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שלום\Downloads\"/>
    </mc:Choice>
  </mc:AlternateContent>
  <xr:revisionPtr revIDLastSave="0" documentId="13_ncr:1_{E32B65DD-7E64-454B-8588-A3B57D6431EA}" xr6:coauthVersionLast="47" xr6:coauthVersionMax="47" xr10:uidLastSave="{00000000-0000-0000-0000-000000000000}"/>
  <bookViews>
    <workbookView xWindow="-108" yWindow="-108" windowWidth="23256" windowHeight="12456" xr2:uid="{DF8A0AB2-F801-4B02-BFC0-613960A5CD03}"/>
  </bookViews>
  <sheets>
    <sheet name="מאגר מילים" sheetId="1" r:id="rId1"/>
    <sheet name="טבלת עזר" sheetId="2" r:id="rId2"/>
    <sheet name="מיון וסינון" sheetId="3" r:id="rId3"/>
  </sheets>
  <definedNames>
    <definedName name="_xlnm._FilterDatabase" localSheetId="0" hidden="1">'מאגר מילים'!$A$1:$W$6695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" i="1" l="1"/>
  <c r="F3" i="1"/>
  <c r="H3" i="1"/>
  <c r="I3" i="1" a="1"/>
  <c r="I3" i="1" s="1"/>
  <c r="D4" i="1"/>
  <c r="F4" i="1"/>
  <c r="H4" i="1"/>
  <c r="I4" i="1" a="1"/>
  <c r="I4" i="1" s="1"/>
  <c r="D5" i="1"/>
  <c r="F5" i="1"/>
  <c r="H5" i="1"/>
  <c r="I5" i="1" a="1"/>
  <c r="I5" i="1" s="1"/>
  <c r="D6" i="1"/>
  <c r="F6" i="1"/>
  <c r="H6" i="1"/>
  <c r="I6" i="1" a="1"/>
  <c r="I6" i="1" s="1"/>
  <c r="D7" i="1"/>
  <c r="F7" i="1"/>
  <c r="H7" i="1"/>
  <c r="I7" i="1" a="1"/>
  <c r="I7" i="1" s="1"/>
  <c r="D8" i="1"/>
  <c r="F8" i="1"/>
  <c r="H8" i="1"/>
  <c r="I8" i="1" a="1"/>
  <c r="I8" i="1" s="1"/>
  <c r="D9" i="1"/>
  <c r="F9" i="1"/>
  <c r="H9" i="1"/>
  <c r="I9" i="1" a="1"/>
  <c r="I9" i="1" s="1"/>
  <c r="D10" i="1"/>
  <c r="F10" i="1"/>
  <c r="H10" i="1"/>
  <c r="I10" i="1" a="1"/>
  <c r="I10" i="1" s="1"/>
  <c r="D11" i="1"/>
  <c r="F11" i="1"/>
  <c r="H11" i="1"/>
  <c r="I11" i="1" a="1"/>
  <c r="I11" i="1" s="1"/>
  <c r="D12" i="1"/>
  <c r="F12" i="1"/>
  <c r="H12" i="1"/>
  <c r="I12" i="1" a="1"/>
  <c r="I12" i="1" s="1"/>
  <c r="D13" i="1"/>
  <c r="F13" i="1"/>
  <c r="H13" i="1"/>
  <c r="I13" i="1" a="1"/>
  <c r="I13" i="1" s="1"/>
  <c r="D14" i="1"/>
  <c r="F14" i="1"/>
  <c r="H14" i="1"/>
  <c r="I14" i="1" a="1"/>
  <c r="I14" i="1" s="1"/>
  <c r="D15" i="1"/>
  <c r="F15" i="1"/>
  <c r="H15" i="1"/>
  <c r="I15" i="1" a="1"/>
  <c r="I15" i="1" s="1"/>
  <c r="D16" i="1"/>
  <c r="F16" i="1"/>
  <c r="H16" i="1"/>
  <c r="I16" i="1" a="1"/>
  <c r="I16" i="1" s="1"/>
  <c r="D17" i="1"/>
  <c r="F17" i="1"/>
  <c r="H17" i="1"/>
  <c r="I17" i="1" a="1"/>
  <c r="I17" i="1" s="1"/>
  <c r="D18" i="1"/>
  <c r="F18" i="1"/>
  <c r="H18" i="1"/>
  <c r="I18" i="1" a="1"/>
  <c r="I18" i="1" s="1"/>
  <c r="D19" i="1"/>
  <c r="F19" i="1"/>
  <c r="H19" i="1"/>
  <c r="I19" i="1" a="1"/>
  <c r="I19" i="1" s="1"/>
  <c r="D20" i="1"/>
  <c r="F20" i="1"/>
  <c r="H20" i="1"/>
  <c r="I20" i="1" a="1"/>
  <c r="I20" i="1" s="1"/>
  <c r="D21" i="1"/>
  <c r="F21" i="1"/>
  <c r="H21" i="1"/>
  <c r="I21" i="1" a="1"/>
  <c r="I21" i="1" s="1"/>
  <c r="D22" i="1"/>
  <c r="F22" i="1"/>
  <c r="H22" i="1"/>
  <c r="I22" i="1" a="1"/>
  <c r="I22" i="1" s="1"/>
  <c r="D23" i="1"/>
  <c r="F23" i="1"/>
  <c r="H23" i="1"/>
  <c r="I23" i="1" a="1"/>
  <c r="I23" i="1" s="1"/>
  <c r="D24" i="1"/>
  <c r="F24" i="1"/>
  <c r="H24" i="1"/>
  <c r="I24" i="1" a="1"/>
  <c r="I24" i="1" s="1"/>
  <c r="D25" i="1"/>
  <c r="F25" i="1"/>
  <c r="H25" i="1"/>
  <c r="I25" i="1" a="1"/>
  <c r="I25" i="1" s="1"/>
  <c r="D26" i="1"/>
  <c r="F26" i="1"/>
  <c r="H26" i="1"/>
  <c r="I26" i="1" a="1"/>
  <c r="I26" i="1" s="1"/>
  <c r="D27" i="1"/>
  <c r="F27" i="1"/>
  <c r="H27" i="1"/>
  <c r="I27" i="1" a="1"/>
  <c r="I27" i="1" s="1"/>
  <c r="D28" i="1"/>
  <c r="F28" i="1"/>
  <c r="H28" i="1"/>
  <c r="I28" i="1" a="1"/>
  <c r="I28" i="1" s="1"/>
  <c r="D29" i="1"/>
  <c r="F29" i="1"/>
  <c r="H29" i="1"/>
  <c r="I29" i="1" a="1"/>
  <c r="I29" i="1" s="1"/>
  <c r="D30" i="1"/>
  <c r="F30" i="1"/>
  <c r="H30" i="1"/>
  <c r="I30" i="1" a="1"/>
  <c r="I30" i="1" s="1"/>
  <c r="D31" i="1"/>
  <c r="F31" i="1"/>
  <c r="H31" i="1"/>
  <c r="I31" i="1" a="1"/>
  <c r="I31" i="1" s="1"/>
  <c r="D32" i="1"/>
  <c r="F32" i="1"/>
  <c r="H32" i="1"/>
  <c r="I32" i="1" a="1"/>
  <c r="I32" i="1" s="1"/>
  <c r="D33" i="1"/>
  <c r="F33" i="1"/>
  <c r="H33" i="1"/>
  <c r="I33" i="1" a="1"/>
  <c r="I33" i="1" s="1"/>
  <c r="D34" i="1"/>
  <c r="F34" i="1"/>
  <c r="H34" i="1"/>
  <c r="I34" i="1" a="1"/>
  <c r="I34" i="1" s="1"/>
  <c r="D35" i="1"/>
  <c r="F35" i="1"/>
  <c r="H35" i="1"/>
  <c r="I35" i="1" a="1"/>
  <c r="I35" i="1" s="1"/>
  <c r="D36" i="1"/>
  <c r="F36" i="1"/>
  <c r="H36" i="1"/>
  <c r="I36" i="1" a="1"/>
  <c r="I36" i="1" s="1"/>
  <c r="D37" i="1"/>
  <c r="F37" i="1"/>
  <c r="H37" i="1"/>
  <c r="I37" i="1" a="1"/>
  <c r="I37" i="1" s="1"/>
  <c r="D38" i="1"/>
  <c r="F38" i="1"/>
  <c r="H38" i="1"/>
  <c r="I38" i="1" a="1"/>
  <c r="I38" i="1" s="1"/>
  <c r="D39" i="1"/>
  <c r="F39" i="1"/>
  <c r="H39" i="1"/>
  <c r="I39" i="1" a="1"/>
  <c r="I39" i="1" s="1"/>
  <c r="D40" i="1"/>
  <c r="F40" i="1"/>
  <c r="H40" i="1"/>
  <c r="I40" i="1" a="1"/>
  <c r="I40" i="1" s="1"/>
  <c r="D41" i="1"/>
  <c r="F41" i="1"/>
  <c r="H41" i="1"/>
  <c r="I41" i="1" a="1"/>
  <c r="I41" i="1" s="1"/>
  <c r="D42" i="1"/>
  <c r="F42" i="1"/>
  <c r="H42" i="1"/>
  <c r="I42" i="1" a="1"/>
  <c r="I42" i="1" s="1"/>
  <c r="D43" i="1"/>
  <c r="F43" i="1"/>
  <c r="H43" i="1"/>
  <c r="I43" i="1" a="1"/>
  <c r="I43" i="1" s="1"/>
  <c r="D44" i="1"/>
  <c r="F44" i="1"/>
  <c r="H44" i="1"/>
  <c r="I44" i="1" a="1"/>
  <c r="I44" i="1" s="1"/>
  <c r="D45" i="1"/>
  <c r="F45" i="1"/>
  <c r="H45" i="1"/>
  <c r="I45" i="1" a="1"/>
  <c r="I45" i="1" s="1"/>
  <c r="D46" i="1"/>
  <c r="F46" i="1"/>
  <c r="H46" i="1"/>
  <c r="I46" i="1" a="1"/>
  <c r="I46" i="1" s="1"/>
  <c r="D47" i="1"/>
  <c r="F47" i="1"/>
  <c r="H47" i="1"/>
  <c r="I47" i="1" a="1"/>
  <c r="I47" i="1" s="1"/>
  <c r="D48" i="1"/>
  <c r="F48" i="1"/>
  <c r="H48" i="1"/>
  <c r="I48" i="1" a="1"/>
  <c r="I48" i="1" s="1"/>
  <c r="D49" i="1"/>
  <c r="F49" i="1"/>
  <c r="H49" i="1"/>
  <c r="I49" i="1" a="1"/>
  <c r="I49" i="1" s="1"/>
  <c r="D50" i="1"/>
  <c r="F50" i="1"/>
  <c r="H50" i="1"/>
  <c r="I50" i="1" a="1"/>
  <c r="I50" i="1" s="1"/>
  <c r="D51" i="1"/>
  <c r="F51" i="1"/>
  <c r="H51" i="1"/>
  <c r="I51" i="1" a="1"/>
  <c r="I51" i="1" s="1"/>
  <c r="D52" i="1"/>
  <c r="F52" i="1"/>
  <c r="H52" i="1"/>
  <c r="I52" i="1" a="1"/>
  <c r="I52" i="1" s="1"/>
  <c r="D53" i="1"/>
  <c r="F53" i="1"/>
  <c r="H53" i="1"/>
  <c r="I53" i="1" a="1"/>
  <c r="I53" i="1" s="1"/>
  <c r="D54" i="1"/>
  <c r="F54" i="1"/>
  <c r="H54" i="1"/>
  <c r="I54" i="1" a="1"/>
  <c r="I54" i="1" s="1"/>
  <c r="D55" i="1"/>
  <c r="F55" i="1"/>
  <c r="H55" i="1"/>
  <c r="I55" i="1" a="1"/>
  <c r="I55" i="1" s="1"/>
  <c r="D56" i="1"/>
  <c r="F56" i="1"/>
  <c r="H56" i="1"/>
  <c r="I56" i="1" a="1"/>
  <c r="I56" i="1" s="1"/>
  <c r="D57" i="1"/>
  <c r="F57" i="1"/>
  <c r="H57" i="1"/>
  <c r="I57" i="1" a="1"/>
  <c r="I57" i="1" s="1"/>
  <c r="D58" i="1"/>
  <c r="F58" i="1"/>
  <c r="H58" i="1"/>
  <c r="I58" i="1" a="1"/>
  <c r="I58" i="1" s="1"/>
  <c r="D59" i="1"/>
  <c r="F59" i="1"/>
  <c r="H59" i="1"/>
  <c r="I59" i="1" a="1"/>
  <c r="I59" i="1" s="1"/>
  <c r="D60" i="1"/>
  <c r="F60" i="1"/>
  <c r="H60" i="1"/>
  <c r="I60" i="1" a="1"/>
  <c r="I60" i="1" s="1"/>
  <c r="D61" i="1"/>
  <c r="F61" i="1"/>
  <c r="H61" i="1"/>
  <c r="I61" i="1" a="1"/>
  <c r="I61" i="1" s="1"/>
  <c r="D62" i="1"/>
  <c r="F62" i="1"/>
  <c r="H62" i="1"/>
  <c r="I62" i="1" a="1"/>
  <c r="I62" i="1" s="1"/>
  <c r="D63" i="1"/>
  <c r="F63" i="1"/>
  <c r="H63" i="1"/>
  <c r="I63" i="1" a="1"/>
  <c r="I63" i="1" s="1"/>
  <c r="D64" i="1"/>
  <c r="F64" i="1"/>
  <c r="H64" i="1"/>
  <c r="I64" i="1" a="1"/>
  <c r="I64" i="1" s="1"/>
  <c r="D65" i="1"/>
  <c r="F65" i="1"/>
  <c r="H65" i="1"/>
  <c r="I65" i="1" a="1"/>
  <c r="I65" i="1" s="1"/>
  <c r="D66" i="1"/>
  <c r="F66" i="1"/>
  <c r="H66" i="1"/>
  <c r="I66" i="1" a="1"/>
  <c r="I66" i="1" s="1"/>
  <c r="D67" i="1"/>
  <c r="F67" i="1"/>
  <c r="H67" i="1"/>
  <c r="I67" i="1" a="1"/>
  <c r="I67" i="1" s="1"/>
  <c r="D68" i="1"/>
  <c r="F68" i="1"/>
  <c r="H68" i="1"/>
  <c r="I68" i="1" a="1"/>
  <c r="I68" i="1" s="1"/>
  <c r="D69" i="1"/>
  <c r="F69" i="1"/>
  <c r="H69" i="1"/>
  <c r="I69" i="1" a="1"/>
  <c r="I69" i="1" s="1"/>
  <c r="D70" i="1"/>
  <c r="F70" i="1"/>
  <c r="H70" i="1"/>
  <c r="I70" i="1" a="1"/>
  <c r="I70" i="1" s="1"/>
  <c r="D71" i="1"/>
  <c r="F71" i="1"/>
  <c r="H71" i="1"/>
  <c r="I71" i="1" a="1"/>
  <c r="I71" i="1" s="1"/>
  <c r="D72" i="1"/>
  <c r="F72" i="1"/>
  <c r="H72" i="1"/>
  <c r="I72" i="1" a="1"/>
  <c r="I72" i="1" s="1"/>
  <c r="D73" i="1"/>
  <c r="F73" i="1"/>
  <c r="H73" i="1"/>
  <c r="I73" i="1" a="1"/>
  <c r="I73" i="1" s="1"/>
  <c r="D74" i="1"/>
  <c r="F74" i="1"/>
  <c r="H74" i="1"/>
  <c r="I74" i="1" a="1"/>
  <c r="I74" i="1" s="1"/>
  <c r="D75" i="1"/>
  <c r="F75" i="1"/>
  <c r="H75" i="1"/>
  <c r="I75" i="1" a="1"/>
  <c r="I75" i="1" s="1"/>
  <c r="D76" i="1"/>
  <c r="F76" i="1"/>
  <c r="H76" i="1"/>
  <c r="I76" i="1" a="1"/>
  <c r="I76" i="1" s="1"/>
  <c r="D77" i="1"/>
  <c r="F77" i="1"/>
  <c r="H77" i="1"/>
  <c r="I77" i="1" a="1"/>
  <c r="I77" i="1" s="1"/>
  <c r="D78" i="1"/>
  <c r="F78" i="1"/>
  <c r="H78" i="1"/>
  <c r="I78" i="1" a="1"/>
  <c r="I78" i="1" s="1"/>
  <c r="D79" i="1"/>
  <c r="F79" i="1"/>
  <c r="H79" i="1"/>
  <c r="I79" i="1" a="1"/>
  <c r="I79" i="1" s="1"/>
  <c r="D80" i="1"/>
  <c r="F80" i="1"/>
  <c r="H80" i="1"/>
  <c r="I80" i="1" a="1"/>
  <c r="I80" i="1" s="1"/>
  <c r="D81" i="1"/>
  <c r="F81" i="1"/>
  <c r="H81" i="1"/>
  <c r="I81" i="1" a="1"/>
  <c r="I81" i="1" s="1"/>
  <c r="D82" i="1"/>
  <c r="F82" i="1"/>
  <c r="H82" i="1"/>
  <c r="I82" i="1" a="1"/>
  <c r="I82" i="1" s="1"/>
  <c r="D83" i="1"/>
  <c r="F83" i="1"/>
  <c r="H83" i="1"/>
  <c r="I83" i="1" a="1"/>
  <c r="I83" i="1" s="1"/>
  <c r="D84" i="1"/>
  <c r="F84" i="1"/>
  <c r="H84" i="1"/>
  <c r="I84" i="1" a="1"/>
  <c r="I84" i="1" s="1"/>
  <c r="D85" i="1"/>
  <c r="F85" i="1"/>
  <c r="H85" i="1"/>
  <c r="I85" i="1" a="1"/>
  <c r="I85" i="1" s="1"/>
  <c r="D86" i="1"/>
  <c r="F86" i="1"/>
  <c r="H86" i="1"/>
  <c r="I86" i="1" a="1"/>
  <c r="I86" i="1" s="1"/>
  <c r="D87" i="1"/>
  <c r="F87" i="1"/>
  <c r="H87" i="1"/>
  <c r="I87" i="1" a="1"/>
  <c r="I87" i="1" s="1"/>
  <c r="D88" i="1"/>
  <c r="F88" i="1"/>
  <c r="H88" i="1"/>
  <c r="I88" i="1" a="1"/>
  <c r="I88" i="1" s="1"/>
  <c r="D89" i="1"/>
  <c r="F89" i="1"/>
  <c r="H89" i="1"/>
  <c r="I89" i="1" a="1"/>
  <c r="I89" i="1" s="1"/>
  <c r="D90" i="1"/>
  <c r="F90" i="1"/>
  <c r="H90" i="1"/>
  <c r="I90" i="1" a="1"/>
  <c r="I90" i="1" s="1"/>
  <c r="D91" i="1"/>
  <c r="F91" i="1"/>
  <c r="H91" i="1"/>
  <c r="I91" i="1" a="1"/>
  <c r="I91" i="1" s="1"/>
  <c r="D92" i="1"/>
  <c r="F92" i="1"/>
  <c r="H92" i="1"/>
  <c r="I92" i="1" a="1"/>
  <c r="I92" i="1" s="1"/>
  <c r="D93" i="1"/>
  <c r="F93" i="1"/>
  <c r="H93" i="1"/>
  <c r="I93" i="1" a="1"/>
  <c r="I93" i="1" s="1"/>
  <c r="D94" i="1"/>
  <c r="F94" i="1"/>
  <c r="H94" i="1"/>
  <c r="I94" i="1" a="1"/>
  <c r="I94" i="1" s="1"/>
  <c r="D95" i="1"/>
  <c r="F95" i="1"/>
  <c r="H95" i="1"/>
  <c r="I95" i="1" a="1"/>
  <c r="I95" i="1" s="1"/>
  <c r="D96" i="1"/>
  <c r="F96" i="1"/>
  <c r="H96" i="1"/>
  <c r="I96" i="1" a="1"/>
  <c r="I96" i="1" s="1"/>
  <c r="D97" i="1"/>
  <c r="F97" i="1"/>
  <c r="H97" i="1"/>
  <c r="I97" i="1" a="1"/>
  <c r="I97" i="1" s="1"/>
  <c r="D98" i="1"/>
  <c r="F98" i="1"/>
  <c r="H98" i="1"/>
  <c r="I98" i="1" a="1"/>
  <c r="I98" i="1" s="1"/>
  <c r="D99" i="1"/>
  <c r="F99" i="1"/>
  <c r="H99" i="1"/>
  <c r="I99" i="1" a="1"/>
  <c r="I99" i="1" s="1"/>
  <c r="D100" i="1"/>
  <c r="F100" i="1"/>
  <c r="H100" i="1"/>
  <c r="I100" i="1" a="1"/>
  <c r="I100" i="1" s="1"/>
  <c r="D101" i="1"/>
  <c r="F101" i="1"/>
  <c r="H101" i="1"/>
  <c r="I101" i="1" a="1"/>
  <c r="I101" i="1" s="1"/>
  <c r="D102" i="1"/>
  <c r="F102" i="1"/>
  <c r="H102" i="1"/>
  <c r="I102" i="1" a="1"/>
  <c r="I102" i="1" s="1"/>
  <c r="D103" i="1"/>
  <c r="F103" i="1"/>
  <c r="H103" i="1"/>
  <c r="I103" i="1" a="1"/>
  <c r="I103" i="1" s="1"/>
  <c r="D104" i="1"/>
  <c r="F104" i="1"/>
  <c r="H104" i="1"/>
  <c r="I104" i="1" a="1"/>
  <c r="I104" i="1" s="1"/>
  <c r="D105" i="1"/>
  <c r="F105" i="1"/>
  <c r="H105" i="1"/>
  <c r="I105" i="1" a="1"/>
  <c r="I105" i="1" s="1"/>
  <c r="D106" i="1"/>
  <c r="F106" i="1"/>
  <c r="H106" i="1"/>
  <c r="I106" i="1" a="1"/>
  <c r="I106" i="1" s="1"/>
  <c r="D107" i="1"/>
  <c r="F107" i="1"/>
  <c r="H107" i="1"/>
  <c r="I107" i="1" a="1"/>
  <c r="I107" i="1" s="1"/>
  <c r="D108" i="1"/>
  <c r="F108" i="1"/>
  <c r="H108" i="1"/>
  <c r="I108" i="1" a="1"/>
  <c r="I108" i="1" s="1"/>
  <c r="D109" i="1"/>
  <c r="F109" i="1"/>
  <c r="H109" i="1"/>
  <c r="I109" i="1" a="1"/>
  <c r="I109" i="1" s="1"/>
  <c r="D110" i="1"/>
  <c r="F110" i="1"/>
  <c r="H110" i="1"/>
  <c r="I110" i="1" a="1"/>
  <c r="I110" i="1" s="1"/>
  <c r="D111" i="1"/>
  <c r="F111" i="1"/>
  <c r="H111" i="1"/>
  <c r="I111" i="1" a="1"/>
  <c r="I111" i="1" s="1"/>
  <c r="D112" i="1"/>
  <c r="F112" i="1"/>
  <c r="H112" i="1"/>
  <c r="I112" i="1" a="1"/>
  <c r="I112" i="1" s="1"/>
  <c r="D113" i="1"/>
  <c r="F113" i="1"/>
  <c r="H113" i="1"/>
  <c r="I113" i="1" a="1"/>
  <c r="I113" i="1" s="1"/>
  <c r="D114" i="1"/>
  <c r="F114" i="1"/>
  <c r="H114" i="1"/>
  <c r="I114" i="1" a="1"/>
  <c r="I114" i="1" s="1"/>
  <c r="D115" i="1"/>
  <c r="F115" i="1"/>
  <c r="H115" i="1"/>
  <c r="I115" i="1" a="1"/>
  <c r="I115" i="1" s="1"/>
  <c r="D116" i="1"/>
  <c r="F116" i="1"/>
  <c r="H116" i="1"/>
  <c r="I116" i="1" a="1"/>
  <c r="I116" i="1" s="1"/>
  <c r="D117" i="1"/>
  <c r="F117" i="1"/>
  <c r="H117" i="1"/>
  <c r="I117" i="1" a="1"/>
  <c r="I117" i="1" s="1"/>
  <c r="D118" i="1"/>
  <c r="F118" i="1"/>
  <c r="H118" i="1"/>
  <c r="I118" i="1" a="1"/>
  <c r="I118" i="1" s="1"/>
  <c r="D119" i="1"/>
  <c r="F119" i="1"/>
  <c r="H119" i="1"/>
  <c r="I119" i="1" a="1"/>
  <c r="I119" i="1" s="1"/>
  <c r="D120" i="1"/>
  <c r="F120" i="1"/>
  <c r="H120" i="1"/>
  <c r="I120" i="1" a="1"/>
  <c r="I120" i="1" s="1"/>
  <c r="D121" i="1"/>
  <c r="F121" i="1"/>
  <c r="H121" i="1"/>
  <c r="I121" i="1" a="1"/>
  <c r="I121" i="1" s="1"/>
  <c r="D122" i="1"/>
  <c r="F122" i="1"/>
  <c r="H122" i="1"/>
  <c r="I122" i="1" a="1"/>
  <c r="I122" i="1" s="1"/>
  <c r="D123" i="1"/>
  <c r="F123" i="1"/>
  <c r="H123" i="1"/>
  <c r="I123" i="1" a="1"/>
  <c r="I123" i="1" s="1"/>
  <c r="D124" i="1"/>
  <c r="F124" i="1"/>
  <c r="H124" i="1"/>
  <c r="I124" i="1" a="1"/>
  <c r="I124" i="1" s="1"/>
  <c r="D125" i="1"/>
  <c r="F125" i="1"/>
  <c r="H125" i="1"/>
  <c r="I125" i="1" a="1"/>
  <c r="I125" i="1" s="1"/>
  <c r="D126" i="1"/>
  <c r="F126" i="1"/>
  <c r="H126" i="1"/>
  <c r="I126" i="1" a="1"/>
  <c r="I126" i="1" s="1"/>
  <c r="D127" i="1"/>
  <c r="F127" i="1"/>
  <c r="H127" i="1"/>
  <c r="I127" i="1" a="1"/>
  <c r="I127" i="1" s="1"/>
  <c r="D128" i="1"/>
  <c r="F128" i="1"/>
  <c r="H128" i="1"/>
  <c r="I128" i="1" a="1"/>
  <c r="I128" i="1" s="1"/>
  <c r="D129" i="1"/>
  <c r="F129" i="1"/>
  <c r="H129" i="1"/>
  <c r="I129" i="1" a="1"/>
  <c r="I129" i="1" s="1"/>
  <c r="D130" i="1"/>
  <c r="F130" i="1"/>
  <c r="H130" i="1"/>
  <c r="I130" i="1" a="1"/>
  <c r="I130" i="1" s="1"/>
  <c r="D131" i="1"/>
  <c r="F131" i="1"/>
  <c r="H131" i="1"/>
  <c r="I131" i="1" a="1"/>
  <c r="I131" i="1" s="1"/>
  <c r="D132" i="1"/>
  <c r="F132" i="1"/>
  <c r="H132" i="1"/>
  <c r="I132" i="1" a="1"/>
  <c r="I132" i="1" s="1"/>
  <c r="D133" i="1"/>
  <c r="F133" i="1"/>
  <c r="H133" i="1"/>
  <c r="I133" i="1" a="1"/>
  <c r="I133" i="1" s="1"/>
  <c r="D134" i="1"/>
  <c r="F134" i="1"/>
  <c r="H134" i="1"/>
  <c r="I134" i="1" a="1"/>
  <c r="I134" i="1" s="1"/>
  <c r="D135" i="1"/>
  <c r="F135" i="1"/>
  <c r="H135" i="1"/>
  <c r="I135" i="1" a="1"/>
  <c r="I135" i="1" s="1"/>
  <c r="D136" i="1"/>
  <c r="F136" i="1"/>
  <c r="H136" i="1"/>
  <c r="I136" i="1" a="1"/>
  <c r="I136" i="1" s="1"/>
  <c r="D137" i="1"/>
  <c r="F137" i="1"/>
  <c r="H137" i="1"/>
  <c r="I137" i="1" a="1"/>
  <c r="I137" i="1" s="1"/>
  <c r="D138" i="1"/>
  <c r="F138" i="1"/>
  <c r="H138" i="1"/>
  <c r="I138" i="1" a="1"/>
  <c r="I138" i="1" s="1"/>
  <c r="D139" i="1"/>
  <c r="F139" i="1"/>
  <c r="H139" i="1"/>
  <c r="I139" i="1" a="1"/>
  <c r="I139" i="1" s="1"/>
  <c r="D140" i="1"/>
  <c r="F140" i="1"/>
  <c r="H140" i="1"/>
  <c r="I140" i="1" a="1"/>
  <c r="I140" i="1" s="1"/>
  <c r="D141" i="1"/>
  <c r="F141" i="1"/>
  <c r="H141" i="1"/>
  <c r="I141" i="1" a="1"/>
  <c r="I141" i="1" s="1"/>
  <c r="D142" i="1"/>
  <c r="F142" i="1"/>
  <c r="H142" i="1"/>
  <c r="I142" i="1" a="1"/>
  <c r="I142" i="1" s="1"/>
  <c r="D143" i="1"/>
  <c r="F143" i="1"/>
  <c r="H143" i="1"/>
  <c r="I143" i="1" a="1"/>
  <c r="I143" i="1" s="1"/>
  <c r="D144" i="1"/>
  <c r="F144" i="1"/>
  <c r="H144" i="1"/>
  <c r="I144" i="1" a="1"/>
  <c r="I144" i="1" s="1"/>
  <c r="D145" i="1"/>
  <c r="F145" i="1"/>
  <c r="H145" i="1"/>
  <c r="I145" i="1" a="1"/>
  <c r="I145" i="1" s="1"/>
  <c r="D146" i="1"/>
  <c r="F146" i="1"/>
  <c r="H146" i="1"/>
  <c r="I146" i="1" a="1"/>
  <c r="I146" i="1" s="1"/>
  <c r="D147" i="1"/>
  <c r="F147" i="1"/>
  <c r="H147" i="1"/>
  <c r="I147" i="1" a="1"/>
  <c r="I147" i="1" s="1"/>
  <c r="D148" i="1"/>
  <c r="F148" i="1"/>
  <c r="H148" i="1"/>
  <c r="I148" i="1" a="1"/>
  <c r="I148" i="1" s="1"/>
  <c r="D149" i="1"/>
  <c r="F149" i="1"/>
  <c r="H149" i="1"/>
  <c r="I149" i="1" a="1"/>
  <c r="I149" i="1" s="1"/>
  <c r="D150" i="1"/>
  <c r="F150" i="1"/>
  <c r="H150" i="1"/>
  <c r="I150" i="1" a="1"/>
  <c r="I150" i="1" s="1"/>
  <c r="D151" i="1"/>
  <c r="F151" i="1"/>
  <c r="H151" i="1"/>
  <c r="I151" i="1" a="1"/>
  <c r="I151" i="1" s="1"/>
  <c r="D152" i="1"/>
  <c r="F152" i="1"/>
  <c r="H152" i="1"/>
  <c r="I152" i="1" a="1"/>
  <c r="I152" i="1" s="1"/>
  <c r="D153" i="1"/>
  <c r="F153" i="1"/>
  <c r="H153" i="1"/>
  <c r="I153" i="1" a="1"/>
  <c r="I153" i="1" s="1"/>
  <c r="D154" i="1"/>
  <c r="F154" i="1"/>
  <c r="H154" i="1"/>
  <c r="I154" i="1" a="1"/>
  <c r="I154" i="1" s="1"/>
  <c r="D155" i="1"/>
  <c r="F155" i="1"/>
  <c r="H155" i="1"/>
  <c r="I155" i="1" a="1"/>
  <c r="I155" i="1" s="1"/>
  <c r="D156" i="1"/>
  <c r="F156" i="1"/>
  <c r="H156" i="1"/>
  <c r="I156" i="1" a="1"/>
  <c r="I156" i="1" s="1"/>
  <c r="D157" i="1"/>
  <c r="F157" i="1"/>
  <c r="H157" i="1"/>
  <c r="I157" i="1" a="1"/>
  <c r="I157" i="1" s="1"/>
  <c r="D158" i="1"/>
  <c r="F158" i="1"/>
  <c r="H158" i="1"/>
  <c r="I158" i="1" a="1"/>
  <c r="I158" i="1" s="1"/>
  <c r="D159" i="1"/>
  <c r="F159" i="1"/>
  <c r="H159" i="1"/>
  <c r="I159" i="1" a="1"/>
  <c r="I159" i="1" s="1"/>
  <c r="D160" i="1"/>
  <c r="F160" i="1"/>
  <c r="H160" i="1"/>
  <c r="I160" i="1" a="1"/>
  <c r="I160" i="1" s="1"/>
  <c r="D161" i="1"/>
  <c r="F161" i="1"/>
  <c r="H161" i="1"/>
  <c r="I161" i="1" a="1"/>
  <c r="I161" i="1" s="1"/>
  <c r="D162" i="1"/>
  <c r="F162" i="1"/>
  <c r="H162" i="1"/>
  <c r="I162" i="1" a="1"/>
  <c r="I162" i="1" s="1"/>
  <c r="D163" i="1"/>
  <c r="F163" i="1"/>
  <c r="H163" i="1"/>
  <c r="I163" i="1" a="1"/>
  <c r="I163" i="1" s="1"/>
  <c r="D164" i="1"/>
  <c r="F164" i="1"/>
  <c r="H164" i="1"/>
  <c r="I164" i="1" a="1"/>
  <c r="I164" i="1" s="1"/>
  <c r="D165" i="1"/>
  <c r="F165" i="1"/>
  <c r="H165" i="1"/>
  <c r="I165" i="1" a="1"/>
  <c r="I165" i="1" s="1"/>
  <c r="D166" i="1"/>
  <c r="F166" i="1"/>
  <c r="H166" i="1"/>
  <c r="I166" i="1" a="1"/>
  <c r="I166" i="1" s="1"/>
  <c r="D167" i="1"/>
  <c r="F167" i="1"/>
  <c r="H167" i="1"/>
  <c r="I167" i="1" a="1"/>
  <c r="I167" i="1" s="1"/>
  <c r="D168" i="1"/>
  <c r="F168" i="1"/>
  <c r="H168" i="1"/>
  <c r="I168" i="1" a="1"/>
  <c r="I168" i="1" s="1"/>
  <c r="D169" i="1"/>
  <c r="F169" i="1"/>
  <c r="H169" i="1"/>
  <c r="I169" i="1" a="1"/>
  <c r="I169" i="1" s="1"/>
  <c r="D170" i="1"/>
  <c r="F170" i="1"/>
  <c r="H170" i="1"/>
  <c r="I170" i="1" a="1"/>
  <c r="I170" i="1" s="1"/>
  <c r="D171" i="1"/>
  <c r="F171" i="1"/>
  <c r="H171" i="1"/>
  <c r="I171" i="1" a="1"/>
  <c r="I171" i="1" s="1"/>
  <c r="D172" i="1"/>
  <c r="F172" i="1"/>
  <c r="H172" i="1"/>
  <c r="I172" i="1" a="1"/>
  <c r="I172" i="1" s="1"/>
  <c r="D173" i="1"/>
  <c r="F173" i="1"/>
  <c r="H173" i="1"/>
  <c r="I173" i="1" a="1"/>
  <c r="I173" i="1" s="1"/>
  <c r="D174" i="1"/>
  <c r="F174" i="1"/>
  <c r="H174" i="1"/>
  <c r="I174" i="1" a="1"/>
  <c r="I174" i="1" s="1"/>
  <c r="D175" i="1"/>
  <c r="F175" i="1"/>
  <c r="H175" i="1"/>
  <c r="I175" i="1" a="1"/>
  <c r="I175" i="1" s="1"/>
  <c r="D176" i="1"/>
  <c r="F176" i="1"/>
  <c r="H176" i="1"/>
  <c r="I176" i="1" a="1"/>
  <c r="I176" i="1" s="1"/>
  <c r="D177" i="1"/>
  <c r="F177" i="1"/>
  <c r="H177" i="1"/>
  <c r="I177" i="1" a="1"/>
  <c r="I177" i="1" s="1"/>
  <c r="D178" i="1"/>
  <c r="F178" i="1"/>
  <c r="H178" i="1"/>
  <c r="I178" i="1" a="1"/>
  <c r="I178" i="1" s="1"/>
  <c r="D179" i="1"/>
  <c r="F179" i="1"/>
  <c r="H179" i="1"/>
  <c r="I179" i="1" a="1"/>
  <c r="I179" i="1" s="1"/>
  <c r="D180" i="1"/>
  <c r="F180" i="1"/>
  <c r="H180" i="1"/>
  <c r="I180" i="1" a="1"/>
  <c r="I180" i="1" s="1"/>
  <c r="D181" i="1"/>
  <c r="F181" i="1"/>
  <c r="H181" i="1"/>
  <c r="I181" i="1" a="1"/>
  <c r="I181" i="1" s="1"/>
  <c r="D182" i="1"/>
  <c r="F182" i="1"/>
  <c r="H182" i="1"/>
  <c r="I182" i="1" a="1"/>
  <c r="I182" i="1" s="1"/>
  <c r="D183" i="1"/>
  <c r="F183" i="1"/>
  <c r="H183" i="1"/>
  <c r="I183" i="1" a="1"/>
  <c r="I183" i="1" s="1"/>
  <c r="D184" i="1"/>
  <c r="F184" i="1"/>
  <c r="H184" i="1"/>
  <c r="I184" i="1" a="1"/>
  <c r="I184" i="1" s="1"/>
  <c r="D185" i="1"/>
  <c r="F185" i="1"/>
  <c r="H185" i="1"/>
  <c r="I185" i="1" a="1"/>
  <c r="I185" i="1" s="1"/>
  <c r="D186" i="1"/>
  <c r="F186" i="1"/>
  <c r="H186" i="1"/>
  <c r="I186" i="1" a="1"/>
  <c r="I186" i="1" s="1"/>
  <c r="D187" i="1"/>
  <c r="F187" i="1"/>
  <c r="H187" i="1"/>
  <c r="I187" i="1" a="1"/>
  <c r="I187" i="1" s="1"/>
  <c r="D188" i="1"/>
  <c r="F188" i="1"/>
  <c r="H188" i="1"/>
  <c r="I188" i="1" a="1"/>
  <c r="I188" i="1" s="1"/>
  <c r="D189" i="1"/>
  <c r="F189" i="1"/>
  <c r="H189" i="1"/>
  <c r="I189" i="1" a="1"/>
  <c r="I189" i="1" s="1"/>
  <c r="D190" i="1"/>
  <c r="F190" i="1"/>
  <c r="H190" i="1"/>
  <c r="I190" i="1" a="1"/>
  <c r="I190" i="1" s="1"/>
  <c r="D191" i="1"/>
  <c r="F191" i="1"/>
  <c r="H191" i="1"/>
  <c r="I191" i="1" a="1"/>
  <c r="I191" i="1" s="1"/>
  <c r="D192" i="1"/>
  <c r="F192" i="1"/>
  <c r="H192" i="1"/>
  <c r="I192" i="1" a="1"/>
  <c r="I192" i="1" s="1"/>
  <c r="D193" i="1"/>
  <c r="F193" i="1"/>
  <c r="H193" i="1"/>
  <c r="I193" i="1" a="1"/>
  <c r="I193" i="1" s="1"/>
  <c r="D194" i="1"/>
  <c r="F194" i="1"/>
  <c r="H194" i="1"/>
  <c r="I194" i="1" a="1"/>
  <c r="I194" i="1" s="1"/>
  <c r="D195" i="1"/>
  <c r="F195" i="1"/>
  <c r="H195" i="1"/>
  <c r="I195" i="1" a="1"/>
  <c r="I195" i="1" s="1"/>
  <c r="D196" i="1"/>
  <c r="F196" i="1"/>
  <c r="H196" i="1"/>
  <c r="I196" i="1" a="1"/>
  <c r="I196" i="1" s="1"/>
  <c r="D197" i="1"/>
  <c r="F197" i="1"/>
  <c r="H197" i="1"/>
  <c r="I197" i="1" a="1"/>
  <c r="I197" i="1" s="1"/>
  <c r="D198" i="1"/>
  <c r="F198" i="1"/>
  <c r="H198" i="1"/>
  <c r="I198" i="1" a="1"/>
  <c r="I198" i="1" s="1"/>
  <c r="D199" i="1"/>
  <c r="F199" i="1"/>
  <c r="H199" i="1"/>
  <c r="I199" i="1" a="1"/>
  <c r="I199" i="1" s="1"/>
  <c r="D200" i="1"/>
  <c r="F200" i="1"/>
  <c r="H200" i="1"/>
  <c r="I200" i="1" a="1"/>
  <c r="I200" i="1" s="1"/>
  <c r="D201" i="1"/>
  <c r="F201" i="1"/>
  <c r="H201" i="1"/>
  <c r="I201" i="1" a="1"/>
  <c r="I201" i="1" s="1"/>
  <c r="D202" i="1"/>
  <c r="F202" i="1"/>
  <c r="H202" i="1"/>
  <c r="I202" i="1" a="1"/>
  <c r="I202" i="1" s="1"/>
  <c r="D203" i="1"/>
  <c r="F203" i="1"/>
  <c r="H203" i="1"/>
  <c r="I203" i="1" a="1"/>
  <c r="I203" i="1" s="1"/>
  <c r="D204" i="1"/>
  <c r="F204" i="1"/>
  <c r="H204" i="1"/>
  <c r="I204" i="1" a="1"/>
  <c r="I204" i="1" s="1"/>
  <c r="D205" i="1"/>
  <c r="F205" i="1"/>
  <c r="H205" i="1"/>
  <c r="I205" i="1" a="1"/>
  <c r="I205" i="1" s="1"/>
  <c r="D206" i="1"/>
  <c r="F206" i="1"/>
  <c r="H206" i="1"/>
  <c r="I206" i="1" a="1"/>
  <c r="I206" i="1" s="1"/>
  <c r="D207" i="1"/>
  <c r="F207" i="1"/>
  <c r="H207" i="1"/>
  <c r="I207" i="1" a="1"/>
  <c r="I207" i="1" s="1"/>
  <c r="D208" i="1"/>
  <c r="F208" i="1"/>
  <c r="H208" i="1"/>
  <c r="I208" i="1" a="1"/>
  <c r="I208" i="1" s="1"/>
  <c r="D209" i="1"/>
  <c r="F209" i="1"/>
  <c r="H209" i="1"/>
  <c r="I209" i="1" a="1"/>
  <c r="I209" i="1" s="1"/>
  <c r="D210" i="1"/>
  <c r="F210" i="1"/>
  <c r="H210" i="1"/>
  <c r="I210" i="1" a="1"/>
  <c r="I210" i="1" s="1"/>
  <c r="D211" i="1"/>
  <c r="F211" i="1"/>
  <c r="H211" i="1"/>
  <c r="I211" i="1" a="1"/>
  <c r="I211" i="1" s="1"/>
  <c r="D212" i="1"/>
  <c r="F212" i="1"/>
  <c r="H212" i="1"/>
  <c r="I212" i="1" a="1"/>
  <c r="I212" i="1" s="1"/>
  <c r="D213" i="1"/>
  <c r="F213" i="1"/>
  <c r="H213" i="1"/>
  <c r="I213" i="1" a="1"/>
  <c r="I213" i="1" s="1"/>
  <c r="D214" i="1"/>
  <c r="F214" i="1"/>
  <c r="H214" i="1"/>
  <c r="I214" i="1" a="1"/>
  <c r="I214" i="1" s="1"/>
  <c r="D215" i="1"/>
  <c r="F215" i="1"/>
  <c r="H215" i="1"/>
  <c r="I215" i="1" a="1"/>
  <c r="I215" i="1" s="1"/>
  <c r="D216" i="1"/>
  <c r="F216" i="1"/>
  <c r="H216" i="1"/>
  <c r="I216" i="1" a="1"/>
  <c r="I216" i="1" s="1"/>
  <c r="D217" i="1"/>
  <c r="F217" i="1"/>
  <c r="H217" i="1"/>
  <c r="I217" i="1" a="1"/>
  <c r="I217" i="1" s="1"/>
  <c r="D218" i="1"/>
  <c r="F218" i="1"/>
  <c r="H218" i="1"/>
  <c r="I218" i="1" a="1"/>
  <c r="I218" i="1" s="1"/>
  <c r="D219" i="1"/>
  <c r="F219" i="1"/>
  <c r="H219" i="1"/>
  <c r="I219" i="1" a="1"/>
  <c r="I219" i="1" s="1"/>
  <c r="D220" i="1"/>
  <c r="F220" i="1"/>
  <c r="H220" i="1"/>
  <c r="I220" i="1" a="1"/>
  <c r="I220" i="1" s="1"/>
  <c r="D221" i="1"/>
  <c r="F221" i="1"/>
  <c r="H221" i="1"/>
  <c r="I221" i="1" a="1"/>
  <c r="I221" i="1" s="1"/>
  <c r="D222" i="1"/>
  <c r="F222" i="1"/>
  <c r="H222" i="1"/>
  <c r="I222" i="1" a="1"/>
  <c r="I222" i="1" s="1"/>
  <c r="D223" i="1"/>
  <c r="F223" i="1"/>
  <c r="H223" i="1"/>
  <c r="I223" i="1" a="1"/>
  <c r="I223" i="1" s="1"/>
  <c r="D224" i="1"/>
  <c r="F224" i="1"/>
  <c r="H224" i="1"/>
  <c r="I224" i="1" a="1"/>
  <c r="I224" i="1" s="1"/>
  <c r="D225" i="1"/>
  <c r="F225" i="1"/>
  <c r="H225" i="1"/>
  <c r="I225" i="1" a="1"/>
  <c r="I225" i="1" s="1"/>
  <c r="D226" i="1"/>
  <c r="F226" i="1"/>
  <c r="H226" i="1"/>
  <c r="I226" i="1" a="1"/>
  <c r="I226" i="1" s="1"/>
  <c r="D227" i="1"/>
  <c r="F227" i="1"/>
  <c r="H227" i="1"/>
  <c r="I227" i="1" a="1"/>
  <c r="I227" i="1" s="1"/>
  <c r="D228" i="1"/>
  <c r="F228" i="1"/>
  <c r="H228" i="1"/>
  <c r="I228" i="1" a="1"/>
  <c r="I228" i="1" s="1"/>
  <c r="D229" i="1"/>
  <c r="F229" i="1"/>
  <c r="H229" i="1"/>
  <c r="I229" i="1" a="1"/>
  <c r="I229" i="1" s="1"/>
  <c r="D230" i="1"/>
  <c r="F230" i="1"/>
  <c r="H230" i="1"/>
  <c r="I230" i="1" a="1"/>
  <c r="I230" i="1" s="1"/>
  <c r="D231" i="1"/>
  <c r="F231" i="1"/>
  <c r="H231" i="1"/>
  <c r="I231" i="1" a="1"/>
  <c r="I231" i="1" s="1"/>
  <c r="D232" i="1"/>
  <c r="F232" i="1"/>
  <c r="H232" i="1"/>
  <c r="I232" i="1" a="1"/>
  <c r="I232" i="1" s="1"/>
  <c r="D233" i="1"/>
  <c r="F233" i="1"/>
  <c r="H233" i="1"/>
  <c r="I233" i="1" a="1"/>
  <c r="I233" i="1" s="1"/>
  <c r="D234" i="1"/>
  <c r="F234" i="1"/>
  <c r="H234" i="1"/>
  <c r="I234" i="1" a="1"/>
  <c r="I234" i="1" s="1"/>
  <c r="D235" i="1"/>
  <c r="F235" i="1"/>
  <c r="H235" i="1"/>
  <c r="I235" i="1" a="1"/>
  <c r="I235" i="1" s="1"/>
  <c r="D236" i="1"/>
  <c r="F236" i="1"/>
  <c r="H236" i="1"/>
  <c r="I236" i="1" a="1"/>
  <c r="I236" i="1" s="1"/>
  <c r="D237" i="1"/>
  <c r="F237" i="1"/>
  <c r="H237" i="1"/>
  <c r="I237" i="1" a="1"/>
  <c r="I237" i="1" s="1"/>
  <c r="D238" i="1"/>
  <c r="F238" i="1"/>
  <c r="H238" i="1"/>
  <c r="I238" i="1" a="1"/>
  <c r="I238" i="1" s="1"/>
  <c r="D239" i="1"/>
  <c r="F239" i="1"/>
  <c r="H239" i="1"/>
  <c r="I239" i="1" a="1"/>
  <c r="I239" i="1" s="1"/>
  <c r="D240" i="1"/>
  <c r="F240" i="1"/>
  <c r="H240" i="1"/>
  <c r="I240" i="1" a="1"/>
  <c r="I240" i="1" s="1"/>
  <c r="D241" i="1"/>
  <c r="F241" i="1"/>
  <c r="H241" i="1"/>
  <c r="I241" i="1" a="1"/>
  <c r="I241" i="1" s="1"/>
  <c r="D242" i="1"/>
  <c r="F242" i="1"/>
  <c r="H242" i="1"/>
  <c r="I242" i="1" a="1"/>
  <c r="I242" i="1" s="1"/>
  <c r="D243" i="1"/>
  <c r="F243" i="1"/>
  <c r="H243" i="1"/>
  <c r="I243" i="1" a="1"/>
  <c r="I243" i="1" s="1"/>
  <c r="D244" i="1"/>
  <c r="F244" i="1"/>
  <c r="H244" i="1"/>
  <c r="I244" i="1" a="1"/>
  <c r="I244" i="1" s="1"/>
  <c r="D245" i="1"/>
  <c r="F245" i="1"/>
  <c r="H245" i="1"/>
  <c r="I245" i="1" a="1"/>
  <c r="I245" i="1" s="1"/>
  <c r="D246" i="1"/>
  <c r="F246" i="1"/>
  <c r="H246" i="1"/>
  <c r="I246" i="1" a="1"/>
  <c r="I246" i="1" s="1"/>
  <c r="D247" i="1"/>
  <c r="F247" i="1"/>
  <c r="H247" i="1"/>
  <c r="I247" i="1" a="1"/>
  <c r="I247" i="1" s="1"/>
  <c r="D248" i="1"/>
  <c r="F248" i="1"/>
  <c r="H248" i="1"/>
  <c r="I248" i="1" a="1"/>
  <c r="I248" i="1" s="1"/>
  <c r="D249" i="1"/>
  <c r="F249" i="1"/>
  <c r="H249" i="1"/>
  <c r="I249" i="1" a="1"/>
  <c r="I249" i="1" s="1"/>
  <c r="D250" i="1"/>
  <c r="F250" i="1"/>
  <c r="H250" i="1"/>
  <c r="I250" i="1" a="1"/>
  <c r="I250" i="1" s="1"/>
  <c r="D251" i="1"/>
  <c r="F251" i="1"/>
  <c r="H251" i="1"/>
  <c r="I251" i="1" a="1"/>
  <c r="I251" i="1" s="1"/>
  <c r="D252" i="1"/>
  <c r="F252" i="1"/>
  <c r="H252" i="1"/>
  <c r="I252" i="1" a="1"/>
  <c r="I252" i="1" s="1"/>
  <c r="D253" i="1"/>
  <c r="F253" i="1"/>
  <c r="H253" i="1"/>
  <c r="I253" i="1" a="1"/>
  <c r="I253" i="1" s="1"/>
  <c r="D254" i="1"/>
  <c r="F254" i="1"/>
  <c r="H254" i="1"/>
  <c r="I254" i="1" a="1"/>
  <c r="I254" i="1" s="1"/>
  <c r="D255" i="1"/>
  <c r="F255" i="1"/>
  <c r="H255" i="1"/>
  <c r="I255" i="1" a="1"/>
  <c r="I255" i="1" s="1"/>
  <c r="D256" i="1"/>
  <c r="F256" i="1"/>
  <c r="H256" i="1"/>
  <c r="I256" i="1" a="1"/>
  <c r="I256" i="1" s="1"/>
  <c r="D257" i="1"/>
  <c r="F257" i="1"/>
  <c r="H257" i="1"/>
  <c r="I257" i="1" a="1"/>
  <c r="I257" i="1" s="1"/>
  <c r="D258" i="1"/>
  <c r="F258" i="1"/>
  <c r="H258" i="1"/>
  <c r="I258" i="1" a="1"/>
  <c r="I258" i="1" s="1"/>
  <c r="D259" i="1"/>
  <c r="F259" i="1"/>
  <c r="H259" i="1"/>
  <c r="I259" i="1" a="1"/>
  <c r="I259" i="1" s="1"/>
  <c r="D260" i="1"/>
  <c r="F260" i="1"/>
  <c r="H260" i="1"/>
  <c r="I260" i="1" a="1"/>
  <c r="I260" i="1" s="1"/>
  <c r="D261" i="1"/>
  <c r="F261" i="1"/>
  <c r="H261" i="1"/>
  <c r="I261" i="1" a="1"/>
  <c r="I261" i="1" s="1"/>
  <c r="D262" i="1"/>
  <c r="F262" i="1"/>
  <c r="H262" i="1"/>
  <c r="I262" i="1" a="1"/>
  <c r="I262" i="1" s="1"/>
  <c r="D263" i="1"/>
  <c r="F263" i="1"/>
  <c r="H263" i="1"/>
  <c r="I263" i="1" a="1"/>
  <c r="I263" i="1" s="1"/>
  <c r="D264" i="1"/>
  <c r="F264" i="1"/>
  <c r="H264" i="1"/>
  <c r="I264" i="1" a="1"/>
  <c r="I264" i="1" s="1"/>
  <c r="D265" i="1"/>
  <c r="F265" i="1"/>
  <c r="H265" i="1"/>
  <c r="I265" i="1" a="1"/>
  <c r="I265" i="1" s="1"/>
  <c r="D266" i="1"/>
  <c r="F266" i="1"/>
  <c r="H266" i="1"/>
  <c r="I266" i="1" a="1"/>
  <c r="I266" i="1" s="1"/>
  <c r="D267" i="1"/>
  <c r="F267" i="1"/>
  <c r="H267" i="1"/>
  <c r="I267" i="1" a="1"/>
  <c r="I267" i="1" s="1"/>
  <c r="D268" i="1"/>
  <c r="F268" i="1"/>
  <c r="H268" i="1"/>
  <c r="I268" i="1" a="1"/>
  <c r="I268" i="1" s="1"/>
  <c r="D269" i="1"/>
  <c r="F269" i="1"/>
  <c r="H269" i="1"/>
  <c r="I269" i="1" a="1"/>
  <c r="I269" i="1" s="1"/>
  <c r="D270" i="1"/>
  <c r="F270" i="1"/>
  <c r="H270" i="1"/>
  <c r="I270" i="1" a="1"/>
  <c r="I270" i="1" s="1"/>
  <c r="D271" i="1"/>
  <c r="F271" i="1"/>
  <c r="H271" i="1"/>
  <c r="I271" i="1" a="1"/>
  <c r="I271" i="1" s="1"/>
  <c r="D272" i="1"/>
  <c r="F272" i="1"/>
  <c r="H272" i="1"/>
  <c r="I272" i="1" a="1"/>
  <c r="I272" i="1" s="1"/>
  <c r="D273" i="1"/>
  <c r="F273" i="1"/>
  <c r="H273" i="1"/>
  <c r="I273" i="1" a="1"/>
  <c r="I273" i="1" s="1"/>
  <c r="D274" i="1"/>
  <c r="F274" i="1"/>
  <c r="H274" i="1"/>
  <c r="I274" i="1" a="1"/>
  <c r="I274" i="1" s="1"/>
  <c r="D275" i="1"/>
  <c r="F275" i="1"/>
  <c r="H275" i="1"/>
  <c r="I275" i="1" a="1"/>
  <c r="I275" i="1" s="1"/>
  <c r="D276" i="1"/>
  <c r="F276" i="1"/>
  <c r="H276" i="1"/>
  <c r="I276" i="1" a="1"/>
  <c r="I276" i="1" s="1"/>
  <c r="D277" i="1"/>
  <c r="F277" i="1"/>
  <c r="H277" i="1"/>
  <c r="I277" i="1" a="1"/>
  <c r="I277" i="1" s="1"/>
  <c r="D278" i="1"/>
  <c r="F278" i="1"/>
  <c r="H278" i="1"/>
  <c r="I278" i="1" a="1"/>
  <c r="I278" i="1" s="1"/>
  <c r="D279" i="1"/>
  <c r="F279" i="1"/>
  <c r="H279" i="1"/>
  <c r="I279" i="1" a="1"/>
  <c r="I279" i="1" s="1"/>
  <c r="D280" i="1"/>
  <c r="F280" i="1"/>
  <c r="H280" i="1"/>
  <c r="I280" i="1" a="1"/>
  <c r="I280" i="1" s="1"/>
  <c r="D281" i="1"/>
  <c r="F281" i="1"/>
  <c r="H281" i="1"/>
  <c r="I281" i="1" a="1"/>
  <c r="I281" i="1" s="1"/>
  <c r="D282" i="1"/>
  <c r="F282" i="1"/>
  <c r="H282" i="1"/>
  <c r="I282" i="1" a="1"/>
  <c r="I282" i="1" s="1"/>
  <c r="D283" i="1"/>
  <c r="F283" i="1"/>
  <c r="H283" i="1"/>
  <c r="I283" i="1" a="1"/>
  <c r="I283" i="1" s="1"/>
  <c r="D284" i="1"/>
  <c r="F284" i="1"/>
  <c r="H284" i="1"/>
  <c r="I284" i="1" a="1"/>
  <c r="I284" i="1" s="1"/>
  <c r="D285" i="1"/>
  <c r="F285" i="1"/>
  <c r="H285" i="1"/>
  <c r="I285" i="1" a="1"/>
  <c r="I285" i="1" s="1"/>
  <c r="D286" i="1"/>
  <c r="F286" i="1"/>
  <c r="H286" i="1"/>
  <c r="I286" i="1" a="1"/>
  <c r="I286" i="1" s="1"/>
  <c r="D287" i="1"/>
  <c r="F287" i="1"/>
  <c r="H287" i="1"/>
  <c r="I287" i="1" a="1"/>
  <c r="I287" i="1" s="1"/>
  <c r="D288" i="1"/>
  <c r="F288" i="1"/>
  <c r="H288" i="1"/>
  <c r="I288" i="1" a="1"/>
  <c r="I288" i="1" s="1"/>
  <c r="D289" i="1"/>
  <c r="F289" i="1"/>
  <c r="H289" i="1"/>
  <c r="I289" i="1" a="1"/>
  <c r="I289" i="1" s="1"/>
  <c r="D290" i="1"/>
  <c r="F290" i="1"/>
  <c r="H290" i="1"/>
  <c r="I290" i="1" a="1"/>
  <c r="I290" i="1" s="1"/>
  <c r="D291" i="1"/>
  <c r="F291" i="1"/>
  <c r="H291" i="1"/>
  <c r="I291" i="1" a="1"/>
  <c r="I291" i="1" s="1"/>
  <c r="D292" i="1"/>
  <c r="F292" i="1"/>
  <c r="H292" i="1"/>
  <c r="I292" i="1" a="1"/>
  <c r="I292" i="1" s="1"/>
  <c r="D293" i="1"/>
  <c r="F293" i="1"/>
  <c r="H293" i="1"/>
  <c r="I293" i="1" a="1"/>
  <c r="I293" i="1" s="1"/>
  <c r="D294" i="1"/>
  <c r="F294" i="1"/>
  <c r="H294" i="1"/>
  <c r="I294" i="1" a="1"/>
  <c r="I294" i="1" s="1"/>
  <c r="D295" i="1"/>
  <c r="F295" i="1"/>
  <c r="H295" i="1"/>
  <c r="I295" i="1" a="1"/>
  <c r="I295" i="1" s="1"/>
  <c r="D296" i="1"/>
  <c r="F296" i="1"/>
  <c r="H296" i="1"/>
  <c r="I296" i="1" a="1"/>
  <c r="I296" i="1" s="1"/>
  <c r="D297" i="1"/>
  <c r="F297" i="1"/>
  <c r="H297" i="1"/>
  <c r="I297" i="1" a="1"/>
  <c r="I297" i="1" s="1"/>
  <c r="D298" i="1"/>
  <c r="F298" i="1"/>
  <c r="H298" i="1"/>
  <c r="I298" i="1" a="1"/>
  <c r="I298" i="1" s="1"/>
  <c r="D299" i="1"/>
  <c r="F299" i="1"/>
  <c r="H299" i="1"/>
  <c r="I299" i="1" a="1"/>
  <c r="I299" i="1" s="1"/>
  <c r="D300" i="1"/>
  <c r="F300" i="1"/>
  <c r="H300" i="1"/>
  <c r="I300" i="1" a="1"/>
  <c r="I300" i="1" s="1"/>
  <c r="D301" i="1"/>
  <c r="F301" i="1"/>
  <c r="H301" i="1"/>
  <c r="I301" i="1" a="1"/>
  <c r="I301" i="1" s="1"/>
  <c r="D302" i="1"/>
  <c r="F302" i="1"/>
  <c r="H302" i="1"/>
  <c r="I302" i="1" a="1"/>
  <c r="I302" i="1" s="1"/>
  <c r="D303" i="1"/>
  <c r="F303" i="1"/>
  <c r="H303" i="1"/>
  <c r="I303" i="1" a="1"/>
  <c r="I303" i="1" s="1"/>
  <c r="D304" i="1"/>
  <c r="F304" i="1"/>
  <c r="H304" i="1"/>
  <c r="I304" i="1" a="1"/>
  <c r="I304" i="1" s="1"/>
  <c r="D305" i="1"/>
  <c r="F305" i="1"/>
  <c r="H305" i="1"/>
  <c r="I305" i="1" a="1"/>
  <c r="I305" i="1" s="1"/>
  <c r="D306" i="1"/>
  <c r="F306" i="1"/>
  <c r="H306" i="1"/>
  <c r="I306" i="1" a="1"/>
  <c r="I306" i="1" s="1"/>
  <c r="D307" i="1"/>
  <c r="F307" i="1"/>
  <c r="H307" i="1"/>
  <c r="I307" i="1" a="1"/>
  <c r="I307" i="1" s="1"/>
  <c r="D308" i="1"/>
  <c r="F308" i="1"/>
  <c r="H308" i="1"/>
  <c r="I308" i="1" a="1"/>
  <c r="I308" i="1" s="1"/>
  <c r="D309" i="1"/>
  <c r="F309" i="1"/>
  <c r="H309" i="1"/>
  <c r="I309" i="1" a="1"/>
  <c r="I309" i="1" s="1"/>
  <c r="D310" i="1"/>
  <c r="F310" i="1"/>
  <c r="H310" i="1"/>
  <c r="I310" i="1" a="1"/>
  <c r="I310" i="1" s="1"/>
  <c r="D311" i="1"/>
  <c r="F311" i="1"/>
  <c r="H311" i="1"/>
  <c r="I311" i="1" a="1"/>
  <c r="I311" i="1" s="1"/>
  <c r="D312" i="1"/>
  <c r="F312" i="1"/>
  <c r="H312" i="1"/>
  <c r="I312" i="1" a="1"/>
  <c r="I312" i="1" s="1"/>
  <c r="D313" i="1"/>
  <c r="F313" i="1"/>
  <c r="H313" i="1"/>
  <c r="I313" i="1" a="1"/>
  <c r="I313" i="1" s="1"/>
  <c r="D314" i="1"/>
  <c r="F314" i="1"/>
  <c r="H314" i="1"/>
  <c r="I314" i="1" a="1"/>
  <c r="I314" i="1" s="1"/>
  <c r="D315" i="1"/>
  <c r="F315" i="1"/>
  <c r="H315" i="1"/>
  <c r="I315" i="1" a="1"/>
  <c r="I315" i="1" s="1"/>
  <c r="D316" i="1"/>
  <c r="F316" i="1"/>
  <c r="H316" i="1"/>
  <c r="I316" i="1" a="1"/>
  <c r="I316" i="1" s="1"/>
  <c r="D317" i="1"/>
  <c r="F317" i="1"/>
  <c r="H317" i="1"/>
  <c r="I317" i="1" a="1"/>
  <c r="I317" i="1" s="1"/>
  <c r="D318" i="1"/>
  <c r="F318" i="1"/>
  <c r="H318" i="1"/>
  <c r="I318" i="1" a="1"/>
  <c r="I318" i="1" s="1"/>
  <c r="D319" i="1"/>
  <c r="F319" i="1"/>
  <c r="H319" i="1"/>
  <c r="I319" i="1" a="1"/>
  <c r="I319" i="1" s="1"/>
  <c r="D320" i="1"/>
  <c r="F320" i="1"/>
  <c r="H320" i="1"/>
  <c r="I320" i="1" a="1"/>
  <c r="I320" i="1" s="1"/>
  <c r="D321" i="1"/>
  <c r="F321" i="1"/>
  <c r="H321" i="1"/>
  <c r="I321" i="1" a="1"/>
  <c r="I321" i="1" s="1"/>
  <c r="D322" i="1"/>
  <c r="F322" i="1"/>
  <c r="H322" i="1"/>
  <c r="I322" i="1" a="1"/>
  <c r="I322" i="1" s="1"/>
  <c r="D323" i="1"/>
  <c r="F323" i="1"/>
  <c r="H323" i="1"/>
  <c r="I323" i="1" a="1"/>
  <c r="I323" i="1" s="1"/>
  <c r="D324" i="1"/>
  <c r="F324" i="1"/>
  <c r="H324" i="1"/>
  <c r="I324" i="1" a="1"/>
  <c r="I324" i="1" s="1"/>
  <c r="D325" i="1"/>
  <c r="F325" i="1"/>
  <c r="H325" i="1"/>
  <c r="I325" i="1" a="1"/>
  <c r="I325" i="1" s="1"/>
  <c r="D326" i="1"/>
  <c r="F326" i="1"/>
  <c r="H326" i="1"/>
  <c r="I326" i="1" a="1"/>
  <c r="I326" i="1" s="1"/>
  <c r="D327" i="1"/>
  <c r="F327" i="1"/>
  <c r="H327" i="1"/>
  <c r="I327" i="1" a="1"/>
  <c r="I327" i="1" s="1"/>
  <c r="D328" i="1"/>
  <c r="F328" i="1"/>
  <c r="H328" i="1"/>
  <c r="I328" i="1" a="1"/>
  <c r="I328" i="1" s="1"/>
  <c r="D329" i="1"/>
  <c r="F329" i="1"/>
  <c r="H329" i="1"/>
  <c r="I329" i="1" a="1"/>
  <c r="I329" i="1" s="1"/>
  <c r="D330" i="1"/>
  <c r="F330" i="1"/>
  <c r="H330" i="1"/>
  <c r="I330" i="1" a="1"/>
  <c r="I330" i="1" s="1"/>
  <c r="D331" i="1"/>
  <c r="F331" i="1"/>
  <c r="H331" i="1"/>
  <c r="I331" i="1" a="1"/>
  <c r="I331" i="1" s="1"/>
  <c r="D332" i="1"/>
  <c r="F332" i="1"/>
  <c r="H332" i="1"/>
  <c r="I332" i="1" a="1"/>
  <c r="I332" i="1" s="1"/>
  <c r="D333" i="1"/>
  <c r="F333" i="1"/>
  <c r="H333" i="1"/>
  <c r="I333" i="1" a="1"/>
  <c r="I333" i="1" s="1"/>
  <c r="D334" i="1"/>
  <c r="F334" i="1"/>
  <c r="H334" i="1"/>
  <c r="I334" i="1" a="1"/>
  <c r="I334" i="1" s="1"/>
  <c r="D335" i="1"/>
  <c r="F335" i="1"/>
  <c r="H335" i="1"/>
  <c r="I335" i="1" a="1"/>
  <c r="I335" i="1" s="1"/>
  <c r="D336" i="1"/>
  <c r="F336" i="1"/>
  <c r="H336" i="1"/>
  <c r="I336" i="1" a="1"/>
  <c r="I336" i="1" s="1"/>
  <c r="D337" i="1"/>
  <c r="F337" i="1"/>
  <c r="H337" i="1"/>
  <c r="I337" i="1" a="1"/>
  <c r="I337" i="1" s="1"/>
  <c r="D338" i="1"/>
  <c r="F338" i="1"/>
  <c r="H338" i="1"/>
  <c r="I338" i="1" a="1"/>
  <c r="I338" i="1" s="1"/>
  <c r="D339" i="1"/>
  <c r="F339" i="1"/>
  <c r="H339" i="1"/>
  <c r="I339" i="1" a="1"/>
  <c r="I339" i="1" s="1"/>
  <c r="D340" i="1"/>
  <c r="F340" i="1"/>
  <c r="H340" i="1"/>
  <c r="I340" i="1" a="1"/>
  <c r="I340" i="1" s="1"/>
  <c r="D341" i="1"/>
  <c r="F341" i="1"/>
  <c r="H341" i="1"/>
  <c r="I341" i="1" a="1"/>
  <c r="I341" i="1" s="1"/>
  <c r="D342" i="1"/>
  <c r="F342" i="1"/>
  <c r="H342" i="1"/>
  <c r="I342" i="1" a="1"/>
  <c r="I342" i="1" s="1"/>
  <c r="D343" i="1"/>
  <c r="F343" i="1"/>
  <c r="H343" i="1"/>
  <c r="I343" i="1" a="1"/>
  <c r="I343" i="1" s="1"/>
  <c r="D344" i="1"/>
  <c r="F344" i="1"/>
  <c r="H344" i="1"/>
  <c r="I344" i="1" a="1"/>
  <c r="I344" i="1" s="1"/>
  <c r="D345" i="1"/>
  <c r="F345" i="1"/>
  <c r="H345" i="1"/>
  <c r="I345" i="1" a="1"/>
  <c r="I345" i="1" s="1"/>
  <c r="D346" i="1"/>
  <c r="F346" i="1"/>
  <c r="H346" i="1"/>
  <c r="I346" i="1" a="1"/>
  <c r="I346" i="1" s="1"/>
  <c r="D347" i="1"/>
  <c r="F347" i="1"/>
  <c r="H347" i="1"/>
  <c r="I347" i="1" a="1"/>
  <c r="I347" i="1" s="1"/>
  <c r="D348" i="1"/>
  <c r="F348" i="1"/>
  <c r="H348" i="1"/>
  <c r="I348" i="1" a="1"/>
  <c r="I348" i="1" s="1"/>
  <c r="D349" i="1"/>
  <c r="F349" i="1"/>
  <c r="H349" i="1"/>
  <c r="I349" i="1" a="1"/>
  <c r="I349" i="1" s="1"/>
  <c r="D350" i="1"/>
  <c r="F350" i="1"/>
  <c r="H350" i="1"/>
  <c r="I350" i="1" a="1"/>
  <c r="I350" i="1" s="1"/>
  <c r="D351" i="1"/>
  <c r="F351" i="1"/>
  <c r="H351" i="1"/>
  <c r="I351" i="1" a="1"/>
  <c r="I351" i="1" s="1"/>
  <c r="D352" i="1"/>
  <c r="F352" i="1"/>
  <c r="H352" i="1"/>
  <c r="I352" i="1" a="1"/>
  <c r="I352" i="1" s="1"/>
  <c r="D353" i="1"/>
  <c r="F353" i="1"/>
  <c r="H353" i="1"/>
  <c r="I353" i="1" a="1"/>
  <c r="I353" i="1" s="1"/>
  <c r="D354" i="1"/>
  <c r="F354" i="1"/>
  <c r="H354" i="1"/>
  <c r="I354" i="1" a="1"/>
  <c r="I354" i="1" s="1"/>
  <c r="D355" i="1"/>
  <c r="F355" i="1"/>
  <c r="H355" i="1"/>
  <c r="I355" i="1" a="1"/>
  <c r="I355" i="1" s="1"/>
  <c r="D356" i="1"/>
  <c r="F356" i="1"/>
  <c r="H356" i="1"/>
  <c r="I356" i="1" a="1"/>
  <c r="I356" i="1" s="1"/>
  <c r="D357" i="1"/>
  <c r="F357" i="1"/>
  <c r="H357" i="1"/>
  <c r="I357" i="1" a="1"/>
  <c r="I357" i="1" s="1"/>
  <c r="D358" i="1"/>
  <c r="F358" i="1"/>
  <c r="H358" i="1"/>
  <c r="I358" i="1" a="1"/>
  <c r="I358" i="1" s="1"/>
  <c r="D359" i="1"/>
  <c r="F359" i="1"/>
  <c r="H359" i="1"/>
  <c r="I359" i="1" a="1"/>
  <c r="I359" i="1" s="1"/>
  <c r="D360" i="1"/>
  <c r="F360" i="1"/>
  <c r="H360" i="1"/>
  <c r="I360" i="1" a="1"/>
  <c r="I360" i="1" s="1"/>
  <c r="D361" i="1"/>
  <c r="F361" i="1"/>
  <c r="H361" i="1"/>
  <c r="I361" i="1" a="1"/>
  <c r="I361" i="1" s="1"/>
  <c r="D362" i="1"/>
  <c r="F362" i="1"/>
  <c r="H362" i="1"/>
  <c r="I362" i="1" a="1"/>
  <c r="I362" i="1" s="1"/>
  <c r="D363" i="1"/>
  <c r="F363" i="1"/>
  <c r="H363" i="1"/>
  <c r="I363" i="1" a="1"/>
  <c r="I363" i="1" s="1"/>
  <c r="D364" i="1"/>
  <c r="F364" i="1"/>
  <c r="H364" i="1"/>
  <c r="I364" i="1" a="1"/>
  <c r="I364" i="1" s="1"/>
  <c r="D365" i="1"/>
  <c r="F365" i="1"/>
  <c r="H365" i="1"/>
  <c r="I365" i="1" a="1"/>
  <c r="I365" i="1" s="1"/>
  <c r="D366" i="1"/>
  <c r="F366" i="1"/>
  <c r="H366" i="1"/>
  <c r="I366" i="1" a="1"/>
  <c r="I366" i="1" s="1"/>
  <c r="D367" i="1"/>
  <c r="F367" i="1"/>
  <c r="H367" i="1"/>
  <c r="I367" i="1" a="1"/>
  <c r="I367" i="1" s="1"/>
  <c r="D368" i="1"/>
  <c r="F368" i="1"/>
  <c r="H368" i="1"/>
  <c r="I368" i="1" a="1"/>
  <c r="I368" i="1" s="1"/>
  <c r="D369" i="1"/>
  <c r="F369" i="1"/>
  <c r="H369" i="1"/>
  <c r="I369" i="1" a="1"/>
  <c r="I369" i="1" s="1"/>
  <c r="D370" i="1"/>
  <c r="F370" i="1"/>
  <c r="H370" i="1"/>
  <c r="I370" i="1" a="1"/>
  <c r="I370" i="1" s="1"/>
  <c r="D371" i="1"/>
  <c r="F371" i="1"/>
  <c r="H371" i="1"/>
  <c r="I371" i="1" a="1"/>
  <c r="I371" i="1" s="1"/>
  <c r="D372" i="1"/>
  <c r="F372" i="1"/>
  <c r="H372" i="1"/>
  <c r="I372" i="1" a="1"/>
  <c r="I372" i="1" s="1"/>
  <c r="D373" i="1"/>
  <c r="F373" i="1"/>
  <c r="H373" i="1"/>
  <c r="I373" i="1" a="1"/>
  <c r="I373" i="1" s="1"/>
  <c r="D374" i="1"/>
  <c r="F374" i="1"/>
  <c r="H374" i="1"/>
  <c r="I374" i="1" a="1"/>
  <c r="I374" i="1" s="1"/>
  <c r="D375" i="1"/>
  <c r="F375" i="1"/>
  <c r="H375" i="1"/>
  <c r="I375" i="1" a="1"/>
  <c r="I375" i="1" s="1"/>
  <c r="D376" i="1"/>
  <c r="F376" i="1"/>
  <c r="H376" i="1"/>
  <c r="I376" i="1" a="1"/>
  <c r="I376" i="1" s="1"/>
  <c r="D377" i="1"/>
  <c r="F377" i="1"/>
  <c r="H377" i="1"/>
  <c r="I377" i="1" a="1"/>
  <c r="I377" i="1" s="1"/>
  <c r="D378" i="1"/>
  <c r="F378" i="1"/>
  <c r="H378" i="1"/>
  <c r="I378" i="1" a="1"/>
  <c r="I378" i="1" s="1"/>
  <c r="D379" i="1"/>
  <c r="F379" i="1"/>
  <c r="H379" i="1"/>
  <c r="I379" i="1" a="1"/>
  <c r="I379" i="1" s="1"/>
  <c r="D380" i="1"/>
  <c r="F380" i="1"/>
  <c r="H380" i="1"/>
  <c r="I380" i="1" a="1"/>
  <c r="I380" i="1" s="1"/>
  <c r="D381" i="1"/>
  <c r="F381" i="1"/>
  <c r="H381" i="1"/>
  <c r="I381" i="1" a="1"/>
  <c r="I381" i="1" s="1"/>
  <c r="D382" i="1"/>
  <c r="F382" i="1"/>
  <c r="H382" i="1"/>
  <c r="I382" i="1" a="1"/>
  <c r="I382" i="1" s="1"/>
  <c r="D383" i="1"/>
  <c r="F383" i="1"/>
  <c r="H383" i="1"/>
  <c r="I383" i="1" a="1"/>
  <c r="I383" i="1" s="1"/>
  <c r="D384" i="1"/>
  <c r="F384" i="1"/>
  <c r="H384" i="1"/>
  <c r="I384" i="1" a="1"/>
  <c r="I384" i="1" s="1"/>
  <c r="D385" i="1"/>
  <c r="F385" i="1"/>
  <c r="H385" i="1"/>
  <c r="I385" i="1" a="1"/>
  <c r="I385" i="1" s="1"/>
  <c r="D386" i="1"/>
  <c r="F386" i="1"/>
  <c r="H386" i="1"/>
  <c r="I386" i="1" a="1"/>
  <c r="I386" i="1" s="1"/>
  <c r="D387" i="1"/>
  <c r="F387" i="1"/>
  <c r="H387" i="1"/>
  <c r="I387" i="1" a="1"/>
  <c r="I387" i="1" s="1"/>
  <c r="D388" i="1"/>
  <c r="F388" i="1"/>
  <c r="H388" i="1"/>
  <c r="I388" i="1" a="1"/>
  <c r="I388" i="1" s="1"/>
  <c r="D389" i="1"/>
  <c r="F389" i="1"/>
  <c r="H389" i="1"/>
  <c r="I389" i="1" a="1"/>
  <c r="I389" i="1" s="1"/>
  <c r="D390" i="1"/>
  <c r="F390" i="1"/>
  <c r="H390" i="1"/>
  <c r="I390" i="1" a="1"/>
  <c r="I390" i="1" s="1"/>
  <c r="D391" i="1"/>
  <c r="F391" i="1"/>
  <c r="H391" i="1"/>
  <c r="I391" i="1" a="1"/>
  <c r="I391" i="1" s="1"/>
  <c r="D392" i="1"/>
  <c r="F392" i="1"/>
  <c r="H392" i="1"/>
  <c r="I392" i="1" a="1"/>
  <c r="I392" i="1" s="1"/>
  <c r="D393" i="1"/>
  <c r="F393" i="1"/>
  <c r="H393" i="1"/>
  <c r="I393" i="1" a="1"/>
  <c r="I393" i="1" s="1"/>
  <c r="D394" i="1"/>
  <c r="F394" i="1"/>
  <c r="H394" i="1"/>
  <c r="I394" i="1" a="1"/>
  <c r="I394" i="1" s="1"/>
  <c r="D395" i="1"/>
  <c r="F395" i="1"/>
  <c r="H395" i="1"/>
  <c r="I395" i="1" a="1"/>
  <c r="I395" i="1" s="1"/>
  <c r="D396" i="1"/>
  <c r="F396" i="1"/>
  <c r="H396" i="1"/>
  <c r="I396" i="1" a="1"/>
  <c r="I396" i="1" s="1"/>
  <c r="D397" i="1"/>
  <c r="F397" i="1"/>
  <c r="H397" i="1"/>
  <c r="I397" i="1" a="1"/>
  <c r="I397" i="1" s="1"/>
  <c r="D398" i="1"/>
  <c r="F398" i="1"/>
  <c r="H398" i="1"/>
  <c r="I398" i="1" a="1"/>
  <c r="I398" i="1" s="1"/>
  <c r="D399" i="1"/>
  <c r="F399" i="1"/>
  <c r="H399" i="1"/>
  <c r="I399" i="1" a="1"/>
  <c r="I399" i="1" s="1"/>
  <c r="D400" i="1"/>
  <c r="F400" i="1"/>
  <c r="H400" i="1"/>
  <c r="I400" i="1" a="1"/>
  <c r="I400" i="1" s="1"/>
  <c r="D401" i="1"/>
  <c r="F401" i="1"/>
  <c r="H401" i="1"/>
  <c r="I401" i="1" a="1"/>
  <c r="I401" i="1" s="1"/>
  <c r="D402" i="1"/>
  <c r="F402" i="1"/>
  <c r="H402" i="1"/>
  <c r="I402" i="1" a="1"/>
  <c r="I402" i="1" s="1"/>
  <c r="D403" i="1"/>
  <c r="F403" i="1"/>
  <c r="H403" i="1"/>
  <c r="I403" i="1" a="1"/>
  <c r="I403" i="1" s="1"/>
  <c r="D404" i="1"/>
  <c r="F404" i="1"/>
  <c r="H404" i="1"/>
  <c r="I404" i="1" a="1"/>
  <c r="I404" i="1" s="1"/>
  <c r="D405" i="1"/>
  <c r="F405" i="1"/>
  <c r="H405" i="1"/>
  <c r="I405" i="1" a="1"/>
  <c r="I405" i="1" s="1"/>
  <c r="D406" i="1"/>
  <c r="F406" i="1"/>
  <c r="H406" i="1"/>
  <c r="I406" i="1" a="1"/>
  <c r="I406" i="1" s="1"/>
  <c r="D407" i="1"/>
  <c r="F407" i="1"/>
  <c r="H407" i="1"/>
  <c r="I407" i="1" a="1"/>
  <c r="I407" i="1" s="1"/>
  <c r="D408" i="1"/>
  <c r="F408" i="1"/>
  <c r="H408" i="1"/>
  <c r="I408" i="1" a="1"/>
  <c r="I408" i="1" s="1"/>
  <c r="D409" i="1"/>
  <c r="F409" i="1"/>
  <c r="H409" i="1"/>
  <c r="I409" i="1" a="1"/>
  <c r="I409" i="1" s="1"/>
  <c r="D410" i="1"/>
  <c r="F410" i="1"/>
  <c r="H410" i="1"/>
  <c r="I410" i="1" a="1"/>
  <c r="I410" i="1" s="1"/>
  <c r="D411" i="1"/>
  <c r="F411" i="1"/>
  <c r="H411" i="1"/>
  <c r="I411" i="1" a="1"/>
  <c r="I411" i="1" s="1"/>
  <c r="D412" i="1"/>
  <c r="F412" i="1"/>
  <c r="H412" i="1"/>
  <c r="I412" i="1" a="1"/>
  <c r="I412" i="1" s="1"/>
  <c r="D413" i="1"/>
  <c r="F413" i="1"/>
  <c r="H413" i="1"/>
  <c r="I413" i="1" a="1"/>
  <c r="I413" i="1" s="1"/>
  <c r="D414" i="1"/>
  <c r="F414" i="1"/>
  <c r="H414" i="1"/>
  <c r="I414" i="1" a="1"/>
  <c r="I414" i="1" s="1"/>
  <c r="D415" i="1"/>
  <c r="F415" i="1"/>
  <c r="H415" i="1"/>
  <c r="I415" i="1" a="1"/>
  <c r="I415" i="1" s="1"/>
  <c r="D416" i="1"/>
  <c r="F416" i="1"/>
  <c r="H416" i="1"/>
  <c r="I416" i="1" a="1"/>
  <c r="I416" i="1" s="1"/>
  <c r="D417" i="1"/>
  <c r="F417" i="1"/>
  <c r="H417" i="1"/>
  <c r="I417" i="1" a="1"/>
  <c r="I417" i="1" s="1"/>
  <c r="D418" i="1"/>
  <c r="F418" i="1"/>
  <c r="H418" i="1"/>
  <c r="I418" i="1" a="1"/>
  <c r="I418" i="1" s="1"/>
  <c r="D419" i="1"/>
  <c r="F419" i="1"/>
  <c r="H419" i="1"/>
  <c r="I419" i="1" a="1"/>
  <c r="I419" i="1" s="1"/>
  <c r="D420" i="1"/>
  <c r="F420" i="1"/>
  <c r="H420" i="1"/>
  <c r="I420" i="1" a="1"/>
  <c r="I420" i="1" s="1"/>
  <c r="D421" i="1"/>
  <c r="F421" i="1"/>
  <c r="H421" i="1"/>
  <c r="I421" i="1" a="1"/>
  <c r="I421" i="1" s="1"/>
  <c r="D422" i="1"/>
  <c r="F422" i="1"/>
  <c r="H422" i="1"/>
  <c r="I422" i="1" a="1"/>
  <c r="I422" i="1" s="1"/>
  <c r="D423" i="1"/>
  <c r="F423" i="1"/>
  <c r="H423" i="1"/>
  <c r="I423" i="1" a="1"/>
  <c r="I423" i="1" s="1"/>
  <c r="D424" i="1"/>
  <c r="F424" i="1"/>
  <c r="H424" i="1"/>
  <c r="I424" i="1" a="1"/>
  <c r="I424" i="1" s="1"/>
  <c r="D425" i="1"/>
  <c r="F425" i="1"/>
  <c r="H425" i="1"/>
  <c r="I425" i="1" a="1"/>
  <c r="I425" i="1" s="1"/>
  <c r="D426" i="1"/>
  <c r="F426" i="1"/>
  <c r="H426" i="1"/>
  <c r="I426" i="1" a="1"/>
  <c r="I426" i="1" s="1"/>
  <c r="D427" i="1"/>
  <c r="F427" i="1"/>
  <c r="H427" i="1"/>
  <c r="I427" i="1" a="1"/>
  <c r="I427" i="1" s="1"/>
  <c r="D428" i="1"/>
  <c r="F428" i="1"/>
  <c r="H428" i="1"/>
  <c r="I428" i="1" a="1"/>
  <c r="I428" i="1" s="1"/>
  <c r="D429" i="1"/>
  <c r="F429" i="1"/>
  <c r="H429" i="1"/>
  <c r="I429" i="1" a="1"/>
  <c r="I429" i="1" s="1"/>
  <c r="D430" i="1"/>
  <c r="F430" i="1"/>
  <c r="H430" i="1"/>
  <c r="I430" i="1" a="1"/>
  <c r="I430" i="1" s="1"/>
  <c r="D431" i="1"/>
  <c r="F431" i="1"/>
  <c r="H431" i="1"/>
  <c r="I431" i="1" a="1"/>
  <c r="I431" i="1" s="1"/>
  <c r="D432" i="1"/>
  <c r="F432" i="1"/>
  <c r="H432" i="1"/>
  <c r="I432" i="1" a="1"/>
  <c r="I432" i="1" s="1"/>
  <c r="D433" i="1"/>
  <c r="F433" i="1"/>
  <c r="H433" i="1"/>
  <c r="I433" i="1" a="1"/>
  <c r="I433" i="1" s="1"/>
  <c r="D434" i="1"/>
  <c r="F434" i="1"/>
  <c r="H434" i="1"/>
  <c r="I434" i="1" a="1"/>
  <c r="I434" i="1" s="1"/>
  <c r="D435" i="1"/>
  <c r="F435" i="1"/>
  <c r="H435" i="1"/>
  <c r="I435" i="1" a="1"/>
  <c r="I435" i="1" s="1"/>
  <c r="D436" i="1"/>
  <c r="F436" i="1"/>
  <c r="H436" i="1"/>
  <c r="I436" i="1" a="1"/>
  <c r="I436" i="1" s="1"/>
  <c r="D437" i="1"/>
  <c r="F437" i="1"/>
  <c r="H437" i="1"/>
  <c r="I437" i="1" a="1"/>
  <c r="I437" i="1" s="1"/>
  <c r="D438" i="1"/>
  <c r="F438" i="1"/>
  <c r="H438" i="1"/>
  <c r="I438" i="1" a="1"/>
  <c r="I438" i="1" s="1"/>
  <c r="D439" i="1"/>
  <c r="F439" i="1"/>
  <c r="H439" i="1"/>
  <c r="I439" i="1" a="1"/>
  <c r="I439" i="1" s="1"/>
  <c r="D440" i="1"/>
  <c r="F440" i="1"/>
  <c r="H440" i="1"/>
  <c r="I440" i="1" a="1"/>
  <c r="I440" i="1" s="1"/>
  <c r="D441" i="1"/>
  <c r="F441" i="1"/>
  <c r="H441" i="1"/>
  <c r="I441" i="1" a="1"/>
  <c r="I441" i="1" s="1"/>
  <c r="D442" i="1"/>
  <c r="F442" i="1"/>
  <c r="H442" i="1"/>
  <c r="I442" i="1" a="1"/>
  <c r="I442" i="1" s="1"/>
  <c r="D443" i="1"/>
  <c r="F443" i="1"/>
  <c r="H443" i="1"/>
  <c r="I443" i="1" a="1"/>
  <c r="I443" i="1" s="1"/>
  <c r="D444" i="1"/>
  <c r="F444" i="1"/>
  <c r="H444" i="1"/>
  <c r="I444" i="1" a="1"/>
  <c r="I444" i="1" s="1"/>
  <c r="D445" i="1"/>
  <c r="F445" i="1"/>
  <c r="H445" i="1"/>
  <c r="I445" i="1" a="1"/>
  <c r="I445" i="1" s="1"/>
  <c r="D446" i="1"/>
  <c r="F446" i="1"/>
  <c r="H446" i="1"/>
  <c r="I446" i="1" a="1"/>
  <c r="I446" i="1" s="1"/>
  <c r="D447" i="1"/>
  <c r="F447" i="1"/>
  <c r="H447" i="1"/>
  <c r="I447" i="1" a="1"/>
  <c r="I447" i="1" s="1"/>
  <c r="D448" i="1"/>
  <c r="F448" i="1"/>
  <c r="H448" i="1"/>
  <c r="I448" i="1" a="1"/>
  <c r="I448" i="1" s="1"/>
  <c r="D449" i="1"/>
  <c r="F449" i="1"/>
  <c r="H449" i="1"/>
  <c r="I449" i="1" a="1"/>
  <c r="I449" i="1" s="1"/>
  <c r="D450" i="1"/>
  <c r="F450" i="1"/>
  <c r="H450" i="1"/>
  <c r="I450" i="1" a="1"/>
  <c r="I450" i="1" s="1"/>
  <c r="D451" i="1"/>
  <c r="F451" i="1"/>
  <c r="H451" i="1"/>
  <c r="I451" i="1" a="1"/>
  <c r="I451" i="1" s="1"/>
  <c r="D452" i="1"/>
  <c r="F452" i="1"/>
  <c r="H452" i="1"/>
  <c r="I452" i="1" a="1"/>
  <c r="I452" i="1" s="1"/>
  <c r="D453" i="1"/>
  <c r="F453" i="1"/>
  <c r="H453" i="1"/>
  <c r="I453" i="1" a="1"/>
  <c r="I453" i="1" s="1"/>
  <c r="D454" i="1"/>
  <c r="F454" i="1"/>
  <c r="H454" i="1"/>
  <c r="I454" i="1" a="1"/>
  <c r="I454" i="1" s="1"/>
  <c r="D455" i="1"/>
  <c r="F455" i="1"/>
  <c r="H455" i="1"/>
  <c r="I455" i="1" a="1"/>
  <c r="I455" i="1" s="1"/>
  <c r="D456" i="1"/>
  <c r="F456" i="1"/>
  <c r="H456" i="1"/>
  <c r="I456" i="1" a="1"/>
  <c r="I456" i="1" s="1"/>
  <c r="D457" i="1"/>
  <c r="F457" i="1"/>
  <c r="H457" i="1"/>
  <c r="I457" i="1" a="1"/>
  <c r="I457" i="1" s="1"/>
  <c r="D458" i="1"/>
  <c r="F458" i="1"/>
  <c r="H458" i="1"/>
  <c r="I458" i="1" a="1"/>
  <c r="I458" i="1" s="1"/>
  <c r="D459" i="1"/>
  <c r="F459" i="1"/>
  <c r="H459" i="1"/>
  <c r="I459" i="1" a="1"/>
  <c r="I459" i="1" s="1"/>
  <c r="D460" i="1"/>
  <c r="F460" i="1"/>
  <c r="H460" i="1"/>
  <c r="I460" i="1" a="1"/>
  <c r="I460" i="1" s="1"/>
  <c r="D461" i="1"/>
  <c r="F461" i="1"/>
  <c r="H461" i="1"/>
  <c r="I461" i="1" a="1"/>
  <c r="I461" i="1" s="1"/>
  <c r="D462" i="1"/>
  <c r="F462" i="1"/>
  <c r="H462" i="1"/>
  <c r="I462" i="1" a="1"/>
  <c r="I462" i="1" s="1"/>
  <c r="D463" i="1"/>
  <c r="F463" i="1"/>
  <c r="H463" i="1"/>
  <c r="I463" i="1" a="1"/>
  <c r="I463" i="1" s="1"/>
  <c r="D464" i="1"/>
  <c r="F464" i="1"/>
  <c r="H464" i="1"/>
  <c r="I464" i="1" a="1"/>
  <c r="I464" i="1" s="1"/>
  <c r="D465" i="1"/>
  <c r="F465" i="1"/>
  <c r="H465" i="1"/>
  <c r="I465" i="1" a="1"/>
  <c r="I465" i="1" s="1"/>
  <c r="D466" i="1"/>
  <c r="F466" i="1"/>
  <c r="H466" i="1"/>
  <c r="I466" i="1" a="1"/>
  <c r="I466" i="1" s="1"/>
  <c r="D467" i="1"/>
  <c r="F467" i="1"/>
  <c r="H467" i="1"/>
  <c r="I467" i="1" a="1"/>
  <c r="I467" i="1" s="1"/>
  <c r="D468" i="1"/>
  <c r="F468" i="1"/>
  <c r="H468" i="1"/>
  <c r="I468" i="1" a="1"/>
  <c r="I468" i="1" s="1"/>
  <c r="D469" i="1"/>
  <c r="F469" i="1"/>
  <c r="H469" i="1"/>
  <c r="I469" i="1" a="1"/>
  <c r="I469" i="1" s="1"/>
  <c r="D470" i="1"/>
  <c r="F470" i="1"/>
  <c r="H470" i="1"/>
  <c r="I470" i="1" a="1"/>
  <c r="I470" i="1" s="1"/>
  <c r="D471" i="1"/>
  <c r="F471" i="1"/>
  <c r="H471" i="1"/>
  <c r="I471" i="1" a="1"/>
  <c r="I471" i="1" s="1"/>
  <c r="D472" i="1"/>
  <c r="F472" i="1"/>
  <c r="H472" i="1"/>
  <c r="I472" i="1" a="1"/>
  <c r="I472" i="1" s="1"/>
  <c r="D473" i="1"/>
  <c r="F473" i="1"/>
  <c r="H473" i="1"/>
  <c r="I473" i="1" a="1"/>
  <c r="I473" i="1" s="1"/>
  <c r="D474" i="1"/>
  <c r="F474" i="1"/>
  <c r="H474" i="1"/>
  <c r="I474" i="1" a="1"/>
  <c r="I474" i="1" s="1"/>
  <c r="D475" i="1"/>
  <c r="F475" i="1"/>
  <c r="H475" i="1"/>
  <c r="I475" i="1" a="1"/>
  <c r="I475" i="1" s="1"/>
  <c r="D476" i="1"/>
  <c r="F476" i="1"/>
  <c r="H476" i="1"/>
  <c r="I476" i="1" a="1"/>
  <c r="I476" i="1" s="1"/>
  <c r="D477" i="1"/>
  <c r="F477" i="1"/>
  <c r="H477" i="1"/>
  <c r="I477" i="1" a="1"/>
  <c r="I477" i="1" s="1"/>
  <c r="D478" i="1"/>
  <c r="F478" i="1"/>
  <c r="H478" i="1"/>
  <c r="I478" i="1" a="1"/>
  <c r="I478" i="1" s="1"/>
  <c r="D479" i="1"/>
  <c r="F479" i="1"/>
  <c r="H479" i="1"/>
  <c r="I479" i="1" a="1"/>
  <c r="I479" i="1" s="1"/>
  <c r="D480" i="1"/>
  <c r="F480" i="1"/>
  <c r="H480" i="1"/>
  <c r="I480" i="1" a="1"/>
  <c r="I480" i="1" s="1"/>
  <c r="D481" i="1"/>
  <c r="F481" i="1"/>
  <c r="H481" i="1"/>
  <c r="I481" i="1" a="1"/>
  <c r="I481" i="1" s="1"/>
  <c r="D482" i="1"/>
  <c r="F482" i="1"/>
  <c r="H482" i="1"/>
  <c r="I482" i="1" a="1"/>
  <c r="I482" i="1" s="1"/>
  <c r="D483" i="1"/>
  <c r="F483" i="1"/>
  <c r="H483" i="1"/>
  <c r="I483" i="1" a="1"/>
  <c r="I483" i="1" s="1"/>
  <c r="D484" i="1"/>
  <c r="F484" i="1"/>
  <c r="H484" i="1"/>
  <c r="I484" i="1" a="1"/>
  <c r="I484" i="1" s="1"/>
  <c r="D485" i="1"/>
  <c r="F485" i="1"/>
  <c r="H485" i="1"/>
  <c r="I485" i="1" a="1"/>
  <c r="I485" i="1" s="1"/>
  <c r="D486" i="1"/>
  <c r="F486" i="1"/>
  <c r="H486" i="1"/>
  <c r="I486" i="1" a="1"/>
  <c r="I486" i="1" s="1"/>
  <c r="D487" i="1"/>
  <c r="F487" i="1"/>
  <c r="H487" i="1"/>
  <c r="I487" i="1" a="1"/>
  <c r="I487" i="1" s="1"/>
  <c r="D488" i="1"/>
  <c r="F488" i="1"/>
  <c r="H488" i="1"/>
  <c r="I488" i="1" a="1"/>
  <c r="I488" i="1" s="1"/>
  <c r="D489" i="1"/>
  <c r="F489" i="1"/>
  <c r="H489" i="1"/>
  <c r="I489" i="1" a="1"/>
  <c r="I489" i="1" s="1"/>
  <c r="D490" i="1"/>
  <c r="F490" i="1"/>
  <c r="H490" i="1"/>
  <c r="I490" i="1" a="1"/>
  <c r="I490" i="1" s="1"/>
  <c r="D491" i="1"/>
  <c r="F491" i="1"/>
  <c r="H491" i="1"/>
  <c r="I491" i="1" a="1"/>
  <c r="I491" i="1" s="1"/>
  <c r="D492" i="1"/>
  <c r="F492" i="1"/>
  <c r="H492" i="1"/>
  <c r="I492" i="1" a="1"/>
  <c r="I492" i="1" s="1"/>
  <c r="D493" i="1"/>
  <c r="F493" i="1"/>
  <c r="H493" i="1"/>
  <c r="I493" i="1" a="1"/>
  <c r="I493" i="1" s="1"/>
  <c r="D494" i="1"/>
  <c r="F494" i="1"/>
  <c r="H494" i="1"/>
  <c r="I494" i="1" a="1"/>
  <c r="I494" i="1" s="1"/>
  <c r="D495" i="1"/>
  <c r="F495" i="1"/>
  <c r="H495" i="1"/>
  <c r="I495" i="1" a="1"/>
  <c r="I495" i="1" s="1"/>
  <c r="D496" i="1"/>
  <c r="F496" i="1"/>
  <c r="H496" i="1"/>
  <c r="I496" i="1" a="1"/>
  <c r="I496" i="1" s="1"/>
  <c r="D497" i="1"/>
  <c r="F497" i="1"/>
  <c r="H497" i="1"/>
  <c r="I497" i="1" a="1"/>
  <c r="I497" i="1" s="1"/>
  <c r="D498" i="1"/>
  <c r="F498" i="1"/>
  <c r="H498" i="1"/>
  <c r="I498" i="1" a="1"/>
  <c r="I498" i="1" s="1"/>
  <c r="D499" i="1"/>
  <c r="F499" i="1"/>
  <c r="H499" i="1"/>
  <c r="I499" i="1" a="1"/>
  <c r="I499" i="1" s="1"/>
  <c r="D500" i="1"/>
  <c r="F500" i="1"/>
  <c r="H500" i="1"/>
  <c r="I500" i="1" a="1"/>
  <c r="I500" i="1" s="1"/>
  <c r="D501" i="1"/>
  <c r="F501" i="1"/>
  <c r="H501" i="1"/>
  <c r="I501" i="1" a="1"/>
  <c r="I501" i="1" s="1"/>
  <c r="D502" i="1"/>
  <c r="F502" i="1"/>
  <c r="H502" i="1"/>
  <c r="I502" i="1" a="1"/>
  <c r="I502" i="1" s="1"/>
  <c r="D503" i="1"/>
  <c r="F503" i="1"/>
  <c r="H503" i="1"/>
  <c r="I503" i="1" a="1"/>
  <c r="I503" i="1" s="1"/>
  <c r="D504" i="1"/>
  <c r="F504" i="1"/>
  <c r="H504" i="1"/>
  <c r="I504" i="1" a="1"/>
  <c r="I504" i="1" s="1"/>
  <c r="D505" i="1"/>
  <c r="F505" i="1"/>
  <c r="H505" i="1"/>
  <c r="I505" i="1" a="1"/>
  <c r="I505" i="1" s="1"/>
  <c r="D506" i="1"/>
  <c r="F506" i="1"/>
  <c r="H506" i="1"/>
  <c r="I506" i="1" a="1"/>
  <c r="I506" i="1" s="1"/>
  <c r="D507" i="1"/>
  <c r="F507" i="1"/>
  <c r="H507" i="1"/>
  <c r="I507" i="1" a="1"/>
  <c r="I507" i="1" s="1"/>
  <c r="D508" i="1"/>
  <c r="F508" i="1"/>
  <c r="H508" i="1"/>
  <c r="I508" i="1" a="1"/>
  <c r="I508" i="1" s="1"/>
  <c r="D509" i="1"/>
  <c r="F509" i="1"/>
  <c r="H509" i="1"/>
  <c r="I509" i="1" a="1"/>
  <c r="I509" i="1" s="1"/>
  <c r="D510" i="1"/>
  <c r="F510" i="1"/>
  <c r="H510" i="1"/>
  <c r="I510" i="1" a="1"/>
  <c r="I510" i="1" s="1"/>
  <c r="D511" i="1"/>
  <c r="F511" i="1"/>
  <c r="H511" i="1"/>
  <c r="I511" i="1" a="1"/>
  <c r="I511" i="1" s="1"/>
  <c r="D512" i="1"/>
  <c r="F512" i="1"/>
  <c r="H512" i="1"/>
  <c r="I512" i="1" a="1"/>
  <c r="I512" i="1" s="1"/>
  <c r="D513" i="1"/>
  <c r="F513" i="1"/>
  <c r="H513" i="1"/>
  <c r="I513" i="1" a="1"/>
  <c r="I513" i="1" s="1"/>
  <c r="D514" i="1"/>
  <c r="F514" i="1"/>
  <c r="H514" i="1"/>
  <c r="I514" i="1" a="1"/>
  <c r="I514" i="1" s="1"/>
  <c r="D515" i="1"/>
  <c r="F515" i="1"/>
  <c r="H515" i="1"/>
  <c r="I515" i="1" a="1"/>
  <c r="I515" i="1" s="1"/>
  <c r="D516" i="1"/>
  <c r="F516" i="1"/>
  <c r="H516" i="1"/>
  <c r="I516" i="1" a="1"/>
  <c r="I516" i="1" s="1"/>
  <c r="D517" i="1"/>
  <c r="F517" i="1"/>
  <c r="H517" i="1"/>
  <c r="I517" i="1" a="1"/>
  <c r="I517" i="1" s="1"/>
  <c r="D518" i="1"/>
  <c r="F518" i="1"/>
  <c r="H518" i="1"/>
  <c r="I518" i="1" a="1"/>
  <c r="I518" i="1" s="1"/>
  <c r="D519" i="1"/>
  <c r="F519" i="1"/>
  <c r="H519" i="1"/>
  <c r="I519" i="1" a="1"/>
  <c r="I519" i="1" s="1"/>
  <c r="D520" i="1"/>
  <c r="F520" i="1"/>
  <c r="H520" i="1"/>
  <c r="I520" i="1" a="1"/>
  <c r="I520" i="1" s="1"/>
  <c r="D521" i="1"/>
  <c r="F521" i="1"/>
  <c r="H521" i="1"/>
  <c r="I521" i="1" a="1"/>
  <c r="I521" i="1" s="1"/>
  <c r="D522" i="1"/>
  <c r="F522" i="1"/>
  <c r="H522" i="1"/>
  <c r="I522" i="1" a="1"/>
  <c r="I522" i="1" s="1"/>
  <c r="D523" i="1"/>
  <c r="F523" i="1"/>
  <c r="H523" i="1"/>
  <c r="I523" i="1" a="1"/>
  <c r="I523" i="1" s="1"/>
  <c r="D524" i="1"/>
  <c r="F524" i="1"/>
  <c r="H524" i="1"/>
  <c r="I524" i="1" a="1"/>
  <c r="I524" i="1" s="1"/>
  <c r="D525" i="1"/>
  <c r="F525" i="1"/>
  <c r="H525" i="1"/>
  <c r="I525" i="1" a="1"/>
  <c r="I525" i="1" s="1"/>
  <c r="D526" i="1"/>
  <c r="F526" i="1"/>
  <c r="H526" i="1"/>
  <c r="I526" i="1" a="1"/>
  <c r="I526" i="1" s="1"/>
  <c r="D527" i="1"/>
  <c r="F527" i="1"/>
  <c r="H527" i="1"/>
  <c r="I527" i="1" a="1"/>
  <c r="I527" i="1" s="1"/>
  <c r="D528" i="1"/>
  <c r="F528" i="1"/>
  <c r="H528" i="1"/>
  <c r="I528" i="1" a="1"/>
  <c r="I528" i="1" s="1"/>
  <c r="D529" i="1"/>
  <c r="F529" i="1"/>
  <c r="H529" i="1"/>
  <c r="I529" i="1" a="1"/>
  <c r="I529" i="1" s="1"/>
  <c r="D530" i="1"/>
  <c r="F530" i="1"/>
  <c r="H530" i="1"/>
  <c r="I530" i="1" a="1"/>
  <c r="I530" i="1" s="1"/>
  <c r="D531" i="1"/>
  <c r="F531" i="1"/>
  <c r="H531" i="1"/>
  <c r="I531" i="1" a="1"/>
  <c r="I531" i="1" s="1"/>
  <c r="D532" i="1"/>
  <c r="F532" i="1"/>
  <c r="H532" i="1"/>
  <c r="I532" i="1" a="1"/>
  <c r="I532" i="1" s="1"/>
  <c r="D533" i="1"/>
  <c r="F533" i="1"/>
  <c r="H533" i="1"/>
  <c r="I533" i="1" a="1"/>
  <c r="I533" i="1" s="1"/>
  <c r="D534" i="1"/>
  <c r="F534" i="1"/>
  <c r="H534" i="1"/>
  <c r="I534" i="1" a="1"/>
  <c r="I534" i="1" s="1"/>
  <c r="D535" i="1"/>
  <c r="F535" i="1"/>
  <c r="H535" i="1"/>
  <c r="I535" i="1" a="1"/>
  <c r="I535" i="1" s="1"/>
  <c r="D536" i="1"/>
  <c r="F536" i="1"/>
  <c r="H536" i="1"/>
  <c r="I536" i="1" a="1"/>
  <c r="I536" i="1" s="1"/>
  <c r="D537" i="1"/>
  <c r="F537" i="1"/>
  <c r="H537" i="1"/>
  <c r="I537" i="1" a="1"/>
  <c r="I537" i="1" s="1"/>
  <c r="D538" i="1"/>
  <c r="F538" i="1"/>
  <c r="H538" i="1"/>
  <c r="I538" i="1" a="1"/>
  <c r="I538" i="1" s="1"/>
  <c r="D539" i="1"/>
  <c r="F539" i="1"/>
  <c r="H539" i="1"/>
  <c r="I539" i="1" a="1"/>
  <c r="I539" i="1" s="1"/>
  <c r="D540" i="1"/>
  <c r="F540" i="1"/>
  <c r="H540" i="1"/>
  <c r="I540" i="1" a="1"/>
  <c r="I540" i="1" s="1"/>
  <c r="D541" i="1"/>
  <c r="F541" i="1"/>
  <c r="H541" i="1"/>
  <c r="I541" i="1" a="1"/>
  <c r="I541" i="1" s="1"/>
  <c r="D542" i="1"/>
  <c r="F542" i="1"/>
  <c r="H542" i="1"/>
  <c r="I542" i="1" a="1"/>
  <c r="I542" i="1" s="1"/>
  <c r="D543" i="1"/>
  <c r="F543" i="1"/>
  <c r="H543" i="1"/>
  <c r="I543" i="1" a="1"/>
  <c r="I543" i="1" s="1"/>
  <c r="D544" i="1"/>
  <c r="F544" i="1"/>
  <c r="H544" i="1"/>
  <c r="I544" i="1" a="1"/>
  <c r="I544" i="1" s="1"/>
  <c r="D545" i="1"/>
  <c r="F545" i="1"/>
  <c r="H545" i="1"/>
  <c r="I545" i="1" a="1"/>
  <c r="I545" i="1" s="1"/>
  <c r="D546" i="1"/>
  <c r="F546" i="1"/>
  <c r="H546" i="1"/>
  <c r="I546" i="1" a="1"/>
  <c r="I546" i="1" s="1"/>
  <c r="D547" i="1"/>
  <c r="F547" i="1"/>
  <c r="H547" i="1"/>
  <c r="I547" i="1" a="1"/>
  <c r="I547" i="1" s="1"/>
  <c r="D548" i="1"/>
  <c r="F548" i="1"/>
  <c r="H548" i="1"/>
  <c r="I548" i="1" a="1"/>
  <c r="I548" i="1" s="1"/>
  <c r="D549" i="1"/>
  <c r="F549" i="1"/>
  <c r="H549" i="1"/>
  <c r="I549" i="1" a="1"/>
  <c r="I549" i="1" s="1"/>
  <c r="D550" i="1"/>
  <c r="F550" i="1"/>
  <c r="H550" i="1"/>
  <c r="I550" i="1" a="1"/>
  <c r="I550" i="1" s="1"/>
  <c r="D551" i="1"/>
  <c r="F551" i="1"/>
  <c r="H551" i="1"/>
  <c r="I551" i="1" a="1"/>
  <c r="I551" i="1" s="1"/>
  <c r="D552" i="1"/>
  <c r="F552" i="1"/>
  <c r="H552" i="1"/>
  <c r="I552" i="1" a="1"/>
  <c r="I552" i="1" s="1"/>
  <c r="D553" i="1"/>
  <c r="F553" i="1"/>
  <c r="H553" i="1"/>
  <c r="I553" i="1" a="1"/>
  <c r="I553" i="1" s="1"/>
  <c r="D554" i="1"/>
  <c r="F554" i="1"/>
  <c r="H554" i="1"/>
  <c r="I554" i="1" a="1"/>
  <c r="I554" i="1" s="1"/>
  <c r="D555" i="1"/>
  <c r="F555" i="1"/>
  <c r="H555" i="1"/>
  <c r="I555" i="1" a="1"/>
  <c r="I555" i="1" s="1"/>
  <c r="D556" i="1"/>
  <c r="F556" i="1"/>
  <c r="H556" i="1"/>
  <c r="I556" i="1" a="1"/>
  <c r="I556" i="1" s="1"/>
  <c r="D557" i="1"/>
  <c r="F557" i="1"/>
  <c r="H557" i="1"/>
  <c r="I557" i="1" a="1"/>
  <c r="I557" i="1" s="1"/>
  <c r="D558" i="1"/>
  <c r="F558" i="1"/>
  <c r="H558" i="1"/>
  <c r="I558" i="1" a="1"/>
  <c r="I558" i="1" s="1"/>
  <c r="D559" i="1"/>
  <c r="F559" i="1"/>
  <c r="H559" i="1"/>
  <c r="I559" i="1" a="1"/>
  <c r="I559" i="1" s="1"/>
  <c r="D560" i="1"/>
  <c r="F560" i="1"/>
  <c r="H560" i="1"/>
  <c r="I560" i="1" a="1"/>
  <c r="I560" i="1" s="1"/>
  <c r="D561" i="1"/>
  <c r="F561" i="1"/>
  <c r="H561" i="1"/>
  <c r="I561" i="1" a="1"/>
  <c r="I561" i="1" s="1"/>
  <c r="D562" i="1"/>
  <c r="F562" i="1"/>
  <c r="H562" i="1"/>
  <c r="I562" i="1" a="1"/>
  <c r="I562" i="1" s="1"/>
  <c r="D563" i="1"/>
  <c r="F563" i="1"/>
  <c r="H563" i="1"/>
  <c r="I563" i="1" a="1"/>
  <c r="I563" i="1" s="1"/>
  <c r="D564" i="1"/>
  <c r="F564" i="1"/>
  <c r="H564" i="1"/>
  <c r="I564" i="1" a="1"/>
  <c r="I564" i="1" s="1"/>
  <c r="D565" i="1"/>
  <c r="F565" i="1"/>
  <c r="H565" i="1"/>
  <c r="I565" i="1" a="1"/>
  <c r="I565" i="1" s="1"/>
  <c r="D566" i="1"/>
  <c r="F566" i="1"/>
  <c r="H566" i="1"/>
  <c r="I566" i="1" a="1"/>
  <c r="I566" i="1" s="1"/>
  <c r="D567" i="1"/>
  <c r="F567" i="1"/>
  <c r="H567" i="1"/>
  <c r="I567" i="1" a="1"/>
  <c r="I567" i="1" s="1"/>
  <c r="D568" i="1"/>
  <c r="F568" i="1"/>
  <c r="H568" i="1"/>
  <c r="I568" i="1" a="1"/>
  <c r="I568" i="1" s="1"/>
  <c r="D569" i="1"/>
  <c r="F569" i="1"/>
  <c r="H569" i="1"/>
  <c r="I569" i="1" a="1"/>
  <c r="I569" i="1" s="1"/>
  <c r="D570" i="1"/>
  <c r="F570" i="1"/>
  <c r="H570" i="1"/>
  <c r="I570" i="1" a="1"/>
  <c r="I570" i="1" s="1"/>
  <c r="D571" i="1"/>
  <c r="F571" i="1"/>
  <c r="H571" i="1"/>
  <c r="I571" i="1" a="1"/>
  <c r="I571" i="1" s="1"/>
  <c r="D572" i="1"/>
  <c r="F572" i="1"/>
  <c r="H572" i="1"/>
  <c r="I572" i="1" a="1"/>
  <c r="I572" i="1" s="1"/>
  <c r="D573" i="1"/>
  <c r="F573" i="1"/>
  <c r="H573" i="1"/>
  <c r="I573" i="1" a="1"/>
  <c r="I573" i="1" s="1"/>
  <c r="D574" i="1"/>
  <c r="F574" i="1"/>
  <c r="H574" i="1"/>
  <c r="I574" i="1" a="1"/>
  <c r="I574" i="1" s="1"/>
  <c r="D575" i="1"/>
  <c r="F575" i="1"/>
  <c r="H575" i="1"/>
  <c r="I575" i="1" a="1"/>
  <c r="I575" i="1" s="1"/>
  <c r="D576" i="1"/>
  <c r="F576" i="1"/>
  <c r="H576" i="1"/>
  <c r="I576" i="1" a="1"/>
  <c r="I576" i="1" s="1"/>
  <c r="D577" i="1"/>
  <c r="F577" i="1"/>
  <c r="H577" i="1"/>
  <c r="I577" i="1" a="1"/>
  <c r="I577" i="1" s="1"/>
  <c r="D578" i="1"/>
  <c r="F578" i="1"/>
  <c r="H578" i="1"/>
  <c r="I578" i="1" a="1"/>
  <c r="I578" i="1" s="1"/>
  <c r="D579" i="1"/>
  <c r="F579" i="1"/>
  <c r="H579" i="1"/>
  <c r="I579" i="1" a="1"/>
  <c r="I579" i="1" s="1"/>
  <c r="D580" i="1"/>
  <c r="F580" i="1"/>
  <c r="H580" i="1"/>
  <c r="I580" i="1" a="1"/>
  <c r="I580" i="1" s="1"/>
  <c r="D581" i="1"/>
  <c r="F581" i="1"/>
  <c r="H581" i="1"/>
  <c r="I581" i="1" a="1"/>
  <c r="I581" i="1" s="1"/>
  <c r="D582" i="1"/>
  <c r="F582" i="1"/>
  <c r="H582" i="1"/>
  <c r="I582" i="1" a="1"/>
  <c r="I582" i="1" s="1"/>
  <c r="D583" i="1"/>
  <c r="F583" i="1"/>
  <c r="H583" i="1"/>
  <c r="I583" i="1" a="1"/>
  <c r="I583" i="1" s="1"/>
  <c r="D584" i="1"/>
  <c r="F584" i="1"/>
  <c r="H584" i="1"/>
  <c r="I584" i="1" a="1"/>
  <c r="I584" i="1" s="1"/>
  <c r="D585" i="1"/>
  <c r="F585" i="1"/>
  <c r="H585" i="1"/>
  <c r="I585" i="1" a="1"/>
  <c r="I585" i="1" s="1"/>
  <c r="D586" i="1"/>
  <c r="F586" i="1"/>
  <c r="H586" i="1"/>
  <c r="I586" i="1" a="1"/>
  <c r="I586" i="1" s="1"/>
  <c r="D587" i="1"/>
  <c r="F587" i="1"/>
  <c r="H587" i="1"/>
  <c r="I587" i="1" a="1"/>
  <c r="I587" i="1" s="1"/>
  <c r="D588" i="1"/>
  <c r="F588" i="1"/>
  <c r="H588" i="1"/>
  <c r="I588" i="1" a="1"/>
  <c r="I588" i="1" s="1"/>
  <c r="D589" i="1"/>
  <c r="F589" i="1"/>
  <c r="H589" i="1"/>
  <c r="I589" i="1" a="1"/>
  <c r="I589" i="1" s="1"/>
  <c r="D590" i="1"/>
  <c r="F590" i="1"/>
  <c r="H590" i="1"/>
  <c r="I590" i="1" a="1"/>
  <c r="I590" i="1" s="1"/>
  <c r="D591" i="1"/>
  <c r="F591" i="1"/>
  <c r="H591" i="1"/>
  <c r="I591" i="1" a="1"/>
  <c r="I591" i="1" s="1"/>
  <c r="D592" i="1"/>
  <c r="F592" i="1"/>
  <c r="H592" i="1"/>
  <c r="I592" i="1" a="1"/>
  <c r="I592" i="1" s="1"/>
  <c r="D593" i="1"/>
  <c r="F593" i="1"/>
  <c r="H593" i="1"/>
  <c r="I593" i="1" a="1"/>
  <c r="I593" i="1" s="1"/>
  <c r="D594" i="1"/>
  <c r="F594" i="1"/>
  <c r="H594" i="1"/>
  <c r="I594" i="1" a="1"/>
  <c r="I594" i="1" s="1"/>
  <c r="D595" i="1"/>
  <c r="F595" i="1"/>
  <c r="H595" i="1"/>
  <c r="I595" i="1" a="1"/>
  <c r="I595" i="1" s="1"/>
  <c r="D596" i="1"/>
  <c r="F596" i="1"/>
  <c r="H596" i="1"/>
  <c r="I596" i="1" a="1"/>
  <c r="I596" i="1" s="1"/>
  <c r="D597" i="1"/>
  <c r="F597" i="1"/>
  <c r="H597" i="1"/>
  <c r="I597" i="1" a="1"/>
  <c r="I597" i="1" s="1"/>
  <c r="D598" i="1"/>
  <c r="F598" i="1"/>
  <c r="H598" i="1"/>
  <c r="I598" i="1" a="1"/>
  <c r="I598" i="1" s="1"/>
  <c r="D599" i="1"/>
  <c r="F599" i="1"/>
  <c r="H599" i="1"/>
  <c r="I599" i="1" a="1"/>
  <c r="I599" i="1" s="1"/>
  <c r="D600" i="1"/>
  <c r="F600" i="1"/>
  <c r="H600" i="1"/>
  <c r="I600" i="1" a="1"/>
  <c r="I600" i="1" s="1"/>
  <c r="D601" i="1"/>
  <c r="F601" i="1"/>
  <c r="H601" i="1"/>
  <c r="I601" i="1" a="1"/>
  <c r="I601" i="1" s="1"/>
  <c r="D602" i="1"/>
  <c r="F602" i="1"/>
  <c r="H602" i="1"/>
  <c r="I602" i="1" a="1"/>
  <c r="I602" i="1" s="1"/>
  <c r="D603" i="1"/>
  <c r="F603" i="1"/>
  <c r="H603" i="1"/>
  <c r="I603" i="1" a="1"/>
  <c r="I603" i="1" s="1"/>
  <c r="D604" i="1"/>
  <c r="F604" i="1"/>
  <c r="H604" i="1"/>
  <c r="I604" i="1" a="1"/>
  <c r="I604" i="1" s="1"/>
  <c r="D605" i="1"/>
  <c r="F605" i="1"/>
  <c r="H605" i="1"/>
  <c r="I605" i="1" a="1"/>
  <c r="I605" i="1" s="1"/>
  <c r="D606" i="1"/>
  <c r="F606" i="1"/>
  <c r="H606" i="1"/>
  <c r="I606" i="1" a="1"/>
  <c r="I606" i="1" s="1"/>
  <c r="D607" i="1"/>
  <c r="F607" i="1"/>
  <c r="H607" i="1"/>
  <c r="I607" i="1" a="1"/>
  <c r="I607" i="1" s="1"/>
  <c r="D608" i="1"/>
  <c r="F608" i="1"/>
  <c r="H608" i="1"/>
  <c r="I608" i="1" a="1"/>
  <c r="I608" i="1" s="1"/>
  <c r="D609" i="1"/>
  <c r="F609" i="1"/>
  <c r="H609" i="1"/>
  <c r="I609" i="1" a="1"/>
  <c r="I609" i="1" s="1"/>
  <c r="D610" i="1"/>
  <c r="F610" i="1"/>
  <c r="H610" i="1"/>
  <c r="I610" i="1" a="1"/>
  <c r="I610" i="1" s="1"/>
  <c r="D611" i="1"/>
  <c r="F611" i="1"/>
  <c r="H611" i="1"/>
  <c r="I611" i="1" a="1"/>
  <c r="I611" i="1" s="1"/>
  <c r="D612" i="1"/>
  <c r="F612" i="1"/>
  <c r="H612" i="1"/>
  <c r="I612" i="1" a="1"/>
  <c r="I612" i="1" s="1"/>
  <c r="D613" i="1"/>
  <c r="F613" i="1"/>
  <c r="H613" i="1"/>
  <c r="I613" i="1" a="1"/>
  <c r="I613" i="1" s="1"/>
  <c r="D614" i="1"/>
  <c r="F614" i="1"/>
  <c r="H614" i="1"/>
  <c r="I614" i="1" a="1"/>
  <c r="I614" i="1" s="1"/>
  <c r="D615" i="1"/>
  <c r="F615" i="1"/>
  <c r="H615" i="1"/>
  <c r="I615" i="1" a="1"/>
  <c r="I615" i="1" s="1"/>
  <c r="D616" i="1"/>
  <c r="F616" i="1"/>
  <c r="H616" i="1"/>
  <c r="I616" i="1" a="1"/>
  <c r="I616" i="1" s="1"/>
  <c r="D617" i="1"/>
  <c r="F617" i="1"/>
  <c r="H617" i="1"/>
  <c r="I617" i="1" a="1"/>
  <c r="I617" i="1" s="1"/>
  <c r="D618" i="1"/>
  <c r="F618" i="1"/>
  <c r="H618" i="1"/>
  <c r="I618" i="1" a="1"/>
  <c r="I618" i="1" s="1"/>
  <c r="D619" i="1"/>
  <c r="F619" i="1"/>
  <c r="H619" i="1"/>
  <c r="I619" i="1" a="1"/>
  <c r="I619" i="1" s="1"/>
  <c r="D620" i="1"/>
  <c r="F620" i="1"/>
  <c r="H620" i="1"/>
  <c r="I620" i="1" a="1"/>
  <c r="I620" i="1" s="1"/>
  <c r="D621" i="1"/>
  <c r="F621" i="1"/>
  <c r="H621" i="1"/>
  <c r="I621" i="1" a="1"/>
  <c r="I621" i="1" s="1"/>
  <c r="D622" i="1"/>
  <c r="F622" i="1"/>
  <c r="H622" i="1"/>
  <c r="I622" i="1" a="1"/>
  <c r="I622" i="1" s="1"/>
  <c r="D623" i="1"/>
  <c r="F623" i="1"/>
  <c r="H623" i="1"/>
  <c r="I623" i="1" a="1"/>
  <c r="I623" i="1" s="1"/>
  <c r="D624" i="1"/>
  <c r="F624" i="1"/>
  <c r="H624" i="1"/>
  <c r="I624" i="1" a="1"/>
  <c r="I624" i="1" s="1"/>
  <c r="D625" i="1"/>
  <c r="F625" i="1"/>
  <c r="H625" i="1"/>
  <c r="I625" i="1" a="1"/>
  <c r="I625" i="1" s="1"/>
  <c r="D626" i="1"/>
  <c r="F626" i="1"/>
  <c r="H626" i="1"/>
  <c r="I626" i="1" a="1"/>
  <c r="I626" i="1" s="1"/>
  <c r="D627" i="1"/>
  <c r="F627" i="1"/>
  <c r="H627" i="1"/>
  <c r="I627" i="1" a="1"/>
  <c r="I627" i="1" s="1"/>
  <c r="D628" i="1"/>
  <c r="F628" i="1"/>
  <c r="H628" i="1"/>
  <c r="I628" i="1" a="1"/>
  <c r="I628" i="1" s="1"/>
  <c r="D629" i="1"/>
  <c r="F629" i="1"/>
  <c r="H629" i="1"/>
  <c r="I629" i="1" a="1"/>
  <c r="I629" i="1" s="1"/>
  <c r="D630" i="1"/>
  <c r="F630" i="1"/>
  <c r="H630" i="1"/>
  <c r="I630" i="1" a="1"/>
  <c r="I630" i="1" s="1"/>
  <c r="D631" i="1"/>
  <c r="F631" i="1"/>
  <c r="H631" i="1"/>
  <c r="I631" i="1" a="1"/>
  <c r="I631" i="1" s="1"/>
  <c r="D632" i="1"/>
  <c r="F632" i="1"/>
  <c r="H632" i="1"/>
  <c r="I632" i="1" a="1"/>
  <c r="I632" i="1" s="1"/>
  <c r="D633" i="1"/>
  <c r="F633" i="1"/>
  <c r="H633" i="1"/>
  <c r="I633" i="1" a="1"/>
  <c r="I633" i="1" s="1"/>
  <c r="D634" i="1"/>
  <c r="F634" i="1"/>
  <c r="H634" i="1"/>
  <c r="I634" i="1" a="1"/>
  <c r="I634" i="1" s="1"/>
  <c r="D635" i="1"/>
  <c r="F635" i="1"/>
  <c r="H635" i="1"/>
  <c r="I635" i="1" a="1"/>
  <c r="I635" i="1" s="1"/>
  <c r="D636" i="1"/>
  <c r="F636" i="1"/>
  <c r="H636" i="1"/>
  <c r="I636" i="1" a="1"/>
  <c r="I636" i="1" s="1"/>
  <c r="D637" i="1"/>
  <c r="F637" i="1"/>
  <c r="H637" i="1"/>
  <c r="I637" i="1" a="1"/>
  <c r="I637" i="1" s="1"/>
  <c r="D638" i="1"/>
  <c r="F638" i="1"/>
  <c r="H638" i="1"/>
  <c r="I638" i="1" a="1"/>
  <c r="I638" i="1" s="1"/>
  <c r="D639" i="1"/>
  <c r="F639" i="1"/>
  <c r="H639" i="1"/>
  <c r="I639" i="1" a="1"/>
  <c r="I639" i="1" s="1"/>
  <c r="D640" i="1"/>
  <c r="F640" i="1"/>
  <c r="H640" i="1"/>
  <c r="I640" i="1" a="1"/>
  <c r="I640" i="1" s="1"/>
  <c r="D641" i="1"/>
  <c r="F641" i="1"/>
  <c r="H641" i="1"/>
  <c r="I641" i="1" a="1"/>
  <c r="I641" i="1" s="1"/>
  <c r="D642" i="1"/>
  <c r="F642" i="1"/>
  <c r="H642" i="1"/>
  <c r="I642" i="1" a="1"/>
  <c r="I642" i="1" s="1"/>
  <c r="D643" i="1"/>
  <c r="F643" i="1"/>
  <c r="H643" i="1"/>
  <c r="I643" i="1" a="1"/>
  <c r="I643" i="1" s="1"/>
  <c r="D644" i="1"/>
  <c r="F644" i="1"/>
  <c r="H644" i="1"/>
  <c r="I644" i="1" a="1"/>
  <c r="I644" i="1" s="1"/>
  <c r="D645" i="1"/>
  <c r="F645" i="1"/>
  <c r="H645" i="1"/>
  <c r="I645" i="1" a="1"/>
  <c r="I645" i="1" s="1"/>
  <c r="D646" i="1"/>
  <c r="F646" i="1"/>
  <c r="H646" i="1"/>
  <c r="I646" i="1" a="1"/>
  <c r="I646" i="1" s="1"/>
  <c r="D647" i="1"/>
  <c r="F647" i="1"/>
  <c r="H647" i="1"/>
  <c r="I647" i="1" a="1"/>
  <c r="I647" i="1" s="1"/>
  <c r="D648" i="1"/>
  <c r="F648" i="1"/>
  <c r="H648" i="1"/>
  <c r="I648" i="1" a="1"/>
  <c r="I648" i="1" s="1"/>
  <c r="D649" i="1"/>
  <c r="F649" i="1"/>
  <c r="H649" i="1"/>
  <c r="I649" i="1" a="1"/>
  <c r="I649" i="1" s="1"/>
  <c r="D650" i="1"/>
  <c r="F650" i="1"/>
  <c r="H650" i="1"/>
  <c r="I650" i="1" a="1"/>
  <c r="I650" i="1" s="1"/>
  <c r="D651" i="1"/>
  <c r="F651" i="1"/>
  <c r="H651" i="1"/>
  <c r="I651" i="1" a="1"/>
  <c r="I651" i="1" s="1"/>
  <c r="D652" i="1"/>
  <c r="F652" i="1"/>
  <c r="H652" i="1"/>
  <c r="I652" i="1" a="1"/>
  <c r="I652" i="1" s="1"/>
  <c r="D653" i="1"/>
  <c r="F653" i="1"/>
  <c r="H653" i="1"/>
  <c r="I653" i="1" a="1"/>
  <c r="I653" i="1" s="1"/>
  <c r="D654" i="1"/>
  <c r="F654" i="1"/>
  <c r="H654" i="1"/>
  <c r="I654" i="1" a="1"/>
  <c r="I654" i="1" s="1"/>
  <c r="D655" i="1"/>
  <c r="F655" i="1"/>
  <c r="H655" i="1"/>
  <c r="I655" i="1" a="1"/>
  <c r="I655" i="1" s="1"/>
  <c r="D656" i="1"/>
  <c r="F656" i="1"/>
  <c r="H656" i="1"/>
  <c r="I656" i="1" a="1"/>
  <c r="I656" i="1" s="1"/>
  <c r="D657" i="1"/>
  <c r="F657" i="1"/>
  <c r="H657" i="1"/>
  <c r="I657" i="1" a="1"/>
  <c r="I657" i="1" s="1"/>
  <c r="D658" i="1"/>
  <c r="F658" i="1"/>
  <c r="H658" i="1"/>
  <c r="I658" i="1" a="1"/>
  <c r="I658" i="1" s="1"/>
  <c r="D659" i="1"/>
  <c r="F659" i="1"/>
  <c r="H659" i="1"/>
  <c r="I659" i="1" a="1"/>
  <c r="I659" i="1" s="1"/>
  <c r="D660" i="1"/>
  <c r="F660" i="1"/>
  <c r="H660" i="1"/>
  <c r="I660" i="1" a="1"/>
  <c r="I660" i="1" s="1"/>
  <c r="D661" i="1"/>
  <c r="F661" i="1"/>
  <c r="H661" i="1"/>
  <c r="I661" i="1" a="1"/>
  <c r="I661" i="1" s="1"/>
  <c r="D662" i="1"/>
  <c r="F662" i="1"/>
  <c r="H662" i="1"/>
  <c r="I662" i="1" a="1"/>
  <c r="I662" i="1" s="1"/>
  <c r="D663" i="1"/>
  <c r="F663" i="1"/>
  <c r="H663" i="1"/>
  <c r="I663" i="1" a="1"/>
  <c r="I663" i="1" s="1"/>
  <c r="D664" i="1"/>
  <c r="F664" i="1"/>
  <c r="H664" i="1"/>
  <c r="I664" i="1" a="1"/>
  <c r="I664" i="1" s="1"/>
  <c r="D665" i="1"/>
  <c r="F665" i="1"/>
  <c r="H665" i="1"/>
  <c r="I665" i="1" a="1"/>
  <c r="I665" i="1" s="1"/>
  <c r="D666" i="1"/>
  <c r="F666" i="1"/>
  <c r="H666" i="1"/>
  <c r="I666" i="1" a="1"/>
  <c r="I666" i="1" s="1"/>
  <c r="D667" i="1"/>
  <c r="F667" i="1"/>
  <c r="H667" i="1"/>
  <c r="I667" i="1" a="1"/>
  <c r="I667" i="1" s="1"/>
  <c r="D668" i="1"/>
  <c r="F668" i="1"/>
  <c r="H668" i="1"/>
  <c r="I668" i="1" a="1"/>
  <c r="I668" i="1" s="1"/>
  <c r="D669" i="1"/>
  <c r="F669" i="1"/>
  <c r="H669" i="1"/>
  <c r="I669" i="1" a="1"/>
  <c r="I669" i="1" s="1"/>
  <c r="D670" i="1"/>
  <c r="F670" i="1"/>
  <c r="H670" i="1"/>
  <c r="I670" i="1" a="1"/>
  <c r="I670" i="1" s="1"/>
  <c r="D671" i="1"/>
  <c r="F671" i="1"/>
  <c r="H671" i="1"/>
  <c r="I671" i="1" a="1"/>
  <c r="I671" i="1" s="1"/>
  <c r="D672" i="1"/>
  <c r="F672" i="1"/>
  <c r="H672" i="1"/>
  <c r="I672" i="1" a="1"/>
  <c r="I672" i="1" s="1"/>
  <c r="D673" i="1"/>
  <c r="F673" i="1"/>
  <c r="H673" i="1"/>
  <c r="I673" i="1" a="1"/>
  <c r="I673" i="1" s="1"/>
  <c r="D674" i="1"/>
  <c r="F674" i="1"/>
  <c r="H674" i="1"/>
  <c r="I674" i="1" a="1"/>
  <c r="I674" i="1" s="1"/>
  <c r="D675" i="1"/>
  <c r="F675" i="1"/>
  <c r="H675" i="1"/>
  <c r="I675" i="1" a="1"/>
  <c r="I675" i="1" s="1"/>
  <c r="D676" i="1"/>
  <c r="F676" i="1"/>
  <c r="H676" i="1"/>
  <c r="I676" i="1" a="1"/>
  <c r="I676" i="1" s="1"/>
  <c r="D677" i="1"/>
  <c r="F677" i="1"/>
  <c r="H677" i="1"/>
  <c r="I677" i="1" a="1"/>
  <c r="I677" i="1" s="1"/>
  <c r="D678" i="1"/>
  <c r="F678" i="1"/>
  <c r="H678" i="1"/>
  <c r="I678" i="1" a="1"/>
  <c r="I678" i="1" s="1"/>
  <c r="D679" i="1"/>
  <c r="F679" i="1"/>
  <c r="H679" i="1"/>
  <c r="I679" i="1" a="1"/>
  <c r="I679" i="1" s="1"/>
  <c r="D680" i="1"/>
  <c r="F680" i="1"/>
  <c r="H680" i="1"/>
  <c r="I680" i="1" a="1"/>
  <c r="I680" i="1" s="1"/>
  <c r="D681" i="1"/>
  <c r="F681" i="1"/>
  <c r="H681" i="1"/>
  <c r="I681" i="1" a="1"/>
  <c r="I681" i="1" s="1"/>
  <c r="D682" i="1"/>
  <c r="F682" i="1"/>
  <c r="H682" i="1"/>
  <c r="I682" i="1" a="1"/>
  <c r="I682" i="1" s="1"/>
  <c r="D683" i="1"/>
  <c r="F683" i="1"/>
  <c r="H683" i="1"/>
  <c r="I683" i="1" a="1"/>
  <c r="I683" i="1" s="1"/>
  <c r="D684" i="1"/>
  <c r="F684" i="1"/>
  <c r="H684" i="1"/>
  <c r="I684" i="1" a="1"/>
  <c r="I684" i="1" s="1"/>
  <c r="D685" i="1"/>
  <c r="F685" i="1"/>
  <c r="H685" i="1"/>
  <c r="I685" i="1" a="1"/>
  <c r="I685" i="1" s="1"/>
  <c r="D686" i="1"/>
  <c r="F686" i="1"/>
  <c r="H686" i="1"/>
  <c r="I686" i="1" a="1"/>
  <c r="I686" i="1" s="1"/>
  <c r="D687" i="1"/>
  <c r="F687" i="1"/>
  <c r="H687" i="1"/>
  <c r="I687" i="1" a="1"/>
  <c r="I687" i="1" s="1"/>
  <c r="D688" i="1"/>
  <c r="F688" i="1"/>
  <c r="H688" i="1"/>
  <c r="I688" i="1" a="1"/>
  <c r="I688" i="1" s="1"/>
  <c r="D689" i="1"/>
  <c r="F689" i="1"/>
  <c r="H689" i="1"/>
  <c r="I689" i="1" a="1"/>
  <c r="I689" i="1" s="1"/>
  <c r="D690" i="1"/>
  <c r="F690" i="1"/>
  <c r="H690" i="1"/>
  <c r="I690" i="1" a="1"/>
  <c r="I690" i="1" s="1"/>
  <c r="D691" i="1"/>
  <c r="F691" i="1"/>
  <c r="H691" i="1"/>
  <c r="I691" i="1" a="1"/>
  <c r="I691" i="1" s="1"/>
  <c r="D692" i="1"/>
  <c r="F692" i="1"/>
  <c r="H692" i="1"/>
  <c r="I692" i="1" a="1"/>
  <c r="I692" i="1" s="1"/>
  <c r="D693" i="1"/>
  <c r="F693" i="1"/>
  <c r="H693" i="1"/>
  <c r="I693" i="1" a="1"/>
  <c r="I693" i="1" s="1"/>
  <c r="D694" i="1"/>
  <c r="F694" i="1"/>
  <c r="H694" i="1"/>
  <c r="I694" i="1" a="1"/>
  <c r="I694" i="1" s="1"/>
  <c r="D695" i="1"/>
  <c r="F695" i="1"/>
  <c r="H695" i="1"/>
  <c r="I695" i="1" a="1"/>
  <c r="I695" i="1" s="1"/>
  <c r="D696" i="1"/>
  <c r="F696" i="1"/>
  <c r="H696" i="1"/>
  <c r="I696" i="1" a="1"/>
  <c r="I696" i="1" s="1"/>
  <c r="D697" i="1"/>
  <c r="F697" i="1"/>
  <c r="H697" i="1"/>
  <c r="I697" i="1" a="1"/>
  <c r="I697" i="1" s="1"/>
  <c r="D698" i="1"/>
  <c r="F698" i="1"/>
  <c r="H698" i="1"/>
  <c r="I698" i="1" a="1"/>
  <c r="I698" i="1" s="1"/>
  <c r="D699" i="1"/>
  <c r="F699" i="1"/>
  <c r="H699" i="1"/>
  <c r="I699" i="1" a="1"/>
  <c r="I699" i="1" s="1"/>
  <c r="D700" i="1"/>
  <c r="F700" i="1"/>
  <c r="H700" i="1"/>
  <c r="I700" i="1" a="1"/>
  <c r="I700" i="1" s="1"/>
  <c r="D701" i="1"/>
  <c r="F701" i="1"/>
  <c r="H701" i="1"/>
  <c r="I701" i="1" a="1"/>
  <c r="I701" i="1" s="1"/>
  <c r="D702" i="1"/>
  <c r="F702" i="1"/>
  <c r="H702" i="1"/>
  <c r="I702" i="1" a="1"/>
  <c r="I702" i="1" s="1"/>
  <c r="D703" i="1"/>
  <c r="F703" i="1"/>
  <c r="H703" i="1"/>
  <c r="I703" i="1" a="1"/>
  <c r="I703" i="1" s="1"/>
  <c r="D704" i="1"/>
  <c r="F704" i="1"/>
  <c r="H704" i="1"/>
  <c r="I704" i="1" a="1"/>
  <c r="I704" i="1" s="1"/>
  <c r="D705" i="1"/>
  <c r="F705" i="1"/>
  <c r="H705" i="1"/>
  <c r="I705" i="1" a="1"/>
  <c r="I705" i="1" s="1"/>
  <c r="D706" i="1"/>
  <c r="F706" i="1"/>
  <c r="H706" i="1"/>
  <c r="I706" i="1" a="1"/>
  <c r="I706" i="1" s="1"/>
  <c r="D707" i="1"/>
  <c r="F707" i="1"/>
  <c r="H707" i="1"/>
  <c r="I707" i="1" a="1"/>
  <c r="I707" i="1" s="1"/>
  <c r="D708" i="1"/>
  <c r="F708" i="1"/>
  <c r="H708" i="1"/>
  <c r="I708" i="1" a="1"/>
  <c r="I708" i="1" s="1"/>
  <c r="D709" i="1"/>
  <c r="F709" i="1"/>
  <c r="H709" i="1"/>
  <c r="I709" i="1" a="1"/>
  <c r="I709" i="1" s="1"/>
  <c r="D710" i="1"/>
  <c r="F710" i="1"/>
  <c r="H710" i="1"/>
  <c r="I710" i="1" a="1"/>
  <c r="I710" i="1" s="1"/>
  <c r="D711" i="1"/>
  <c r="F711" i="1"/>
  <c r="H711" i="1"/>
  <c r="I711" i="1" a="1"/>
  <c r="I711" i="1" s="1"/>
  <c r="D712" i="1"/>
  <c r="F712" i="1"/>
  <c r="H712" i="1"/>
  <c r="I712" i="1" a="1"/>
  <c r="I712" i="1" s="1"/>
  <c r="D713" i="1"/>
  <c r="F713" i="1"/>
  <c r="H713" i="1"/>
  <c r="I713" i="1" a="1"/>
  <c r="I713" i="1" s="1"/>
  <c r="D714" i="1"/>
  <c r="F714" i="1"/>
  <c r="H714" i="1"/>
  <c r="I714" i="1" a="1"/>
  <c r="I714" i="1" s="1"/>
  <c r="D715" i="1"/>
  <c r="F715" i="1"/>
  <c r="H715" i="1"/>
  <c r="I715" i="1" a="1"/>
  <c r="I715" i="1" s="1"/>
  <c r="D716" i="1"/>
  <c r="F716" i="1"/>
  <c r="H716" i="1"/>
  <c r="I716" i="1" a="1"/>
  <c r="I716" i="1" s="1"/>
  <c r="D717" i="1"/>
  <c r="F717" i="1"/>
  <c r="H717" i="1"/>
  <c r="I717" i="1" a="1"/>
  <c r="I717" i="1" s="1"/>
  <c r="D718" i="1"/>
  <c r="F718" i="1"/>
  <c r="H718" i="1"/>
  <c r="I718" i="1" a="1"/>
  <c r="I718" i="1" s="1"/>
  <c r="D719" i="1"/>
  <c r="F719" i="1"/>
  <c r="H719" i="1"/>
  <c r="I719" i="1" a="1"/>
  <c r="I719" i="1" s="1"/>
  <c r="D720" i="1"/>
  <c r="F720" i="1"/>
  <c r="H720" i="1"/>
  <c r="I720" i="1" a="1"/>
  <c r="I720" i="1" s="1"/>
  <c r="D721" i="1"/>
  <c r="F721" i="1"/>
  <c r="H721" i="1"/>
  <c r="I721" i="1" a="1"/>
  <c r="I721" i="1" s="1"/>
  <c r="D722" i="1"/>
  <c r="F722" i="1"/>
  <c r="H722" i="1"/>
  <c r="I722" i="1" a="1"/>
  <c r="I722" i="1" s="1"/>
  <c r="D723" i="1"/>
  <c r="F723" i="1"/>
  <c r="H723" i="1"/>
  <c r="I723" i="1" a="1"/>
  <c r="I723" i="1" s="1"/>
  <c r="D724" i="1"/>
  <c r="F724" i="1"/>
  <c r="H724" i="1"/>
  <c r="I724" i="1" a="1"/>
  <c r="I724" i="1" s="1"/>
  <c r="D725" i="1"/>
  <c r="F725" i="1"/>
  <c r="H725" i="1"/>
  <c r="I725" i="1" a="1"/>
  <c r="I725" i="1" s="1"/>
  <c r="D726" i="1"/>
  <c r="F726" i="1"/>
  <c r="H726" i="1"/>
  <c r="I726" i="1" a="1"/>
  <c r="I726" i="1" s="1"/>
  <c r="D727" i="1"/>
  <c r="F727" i="1"/>
  <c r="H727" i="1"/>
  <c r="I727" i="1" a="1"/>
  <c r="I727" i="1" s="1"/>
  <c r="D728" i="1"/>
  <c r="F728" i="1"/>
  <c r="H728" i="1"/>
  <c r="I728" i="1" a="1"/>
  <c r="I728" i="1" s="1"/>
  <c r="D729" i="1"/>
  <c r="F729" i="1"/>
  <c r="H729" i="1"/>
  <c r="I729" i="1" a="1"/>
  <c r="I729" i="1" s="1"/>
  <c r="D730" i="1"/>
  <c r="F730" i="1"/>
  <c r="H730" i="1"/>
  <c r="I730" i="1" a="1"/>
  <c r="I730" i="1" s="1"/>
  <c r="D731" i="1"/>
  <c r="F731" i="1"/>
  <c r="H731" i="1"/>
  <c r="I731" i="1" a="1"/>
  <c r="I731" i="1" s="1"/>
  <c r="D732" i="1"/>
  <c r="F732" i="1"/>
  <c r="H732" i="1"/>
  <c r="I732" i="1" a="1"/>
  <c r="I732" i="1" s="1"/>
  <c r="D733" i="1"/>
  <c r="F733" i="1"/>
  <c r="H733" i="1"/>
  <c r="I733" i="1" a="1"/>
  <c r="I733" i="1" s="1"/>
  <c r="D734" i="1"/>
  <c r="F734" i="1"/>
  <c r="H734" i="1"/>
  <c r="I734" i="1" a="1"/>
  <c r="I734" i="1" s="1"/>
  <c r="D735" i="1"/>
  <c r="F735" i="1"/>
  <c r="H735" i="1"/>
  <c r="I735" i="1" a="1"/>
  <c r="I735" i="1" s="1"/>
  <c r="D736" i="1"/>
  <c r="F736" i="1"/>
  <c r="H736" i="1"/>
  <c r="I736" i="1" a="1"/>
  <c r="I736" i="1" s="1"/>
  <c r="D737" i="1"/>
  <c r="F737" i="1"/>
  <c r="H737" i="1"/>
  <c r="I737" i="1" a="1"/>
  <c r="I737" i="1" s="1"/>
  <c r="D738" i="1"/>
  <c r="F738" i="1"/>
  <c r="H738" i="1"/>
  <c r="I738" i="1" a="1"/>
  <c r="I738" i="1" s="1"/>
  <c r="D739" i="1"/>
  <c r="F739" i="1"/>
  <c r="H739" i="1"/>
  <c r="I739" i="1" a="1"/>
  <c r="I739" i="1" s="1"/>
  <c r="D740" i="1"/>
  <c r="F740" i="1"/>
  <c r="H740" i="1"/>
  <c r="I740" i="1" a="1"/>
  <c r="I740" i="1" s="1"/>
  <c r="D741" i="1"/>
  <c r="F741" i="1"/>
  <c r="H741" i="1"/>
  <c r="I741" i="1" a="1"/>
  <c r="I741" i="1" s="1"/>
  <c r="D742" i="1"/>
  <c r="F742" i="1"/>
  <c r="H742" i="1"/>
  <c r="I742" i="1" a="1"/>
  <c r="I742" i="1" s="1"/>
  <c r="D743" i="1"/>
  <c r="F743" i="1"/>
  <c r="H743" i="1"/>
  <c r="I743" i="1" a="1"/>
  <c r="I743" i="1" s="1"/>
  <c r="D744" i="1"/>
  <c r="F744" i="1"/>
  <c r="H744" i="1"/>
  <c r="I744" i="1" a="1"/>
  <c r="I744" i="1" s="1"/>
  <c r="D745" i="1"/>
  <c r="F745" i="1"/>
  <c r="H745" i="1"/>
  <c r="I745" i="1" a="1"/>
  <c r="I745" i="1" s="1"/>
  <c r="D746" i="1"/>
  <c r="F746" i="1"/>
  <c r="H746" i="1"/>
  <c r="I746" i="1" a="1"/>
  <c r="I746" i="1" s="1"/>
  <c r="D747" i="1"/>
  <c r="F747" i="1"/>
  <c r="H747" i="1"/>
  <c r="I747" i="1" a="1"/>
  <c r="I747" i="1" s="1"/>
  <c r="D748" i="1"/>
  <c r="F748" i="1"/>
  <c r="H748" i="1"/>
  <c r="I748" i="1" a="1"/>
  <c r="I748" i="1" s="1"/>
  <c r="D749" i="1"/>
  <c r="F749" i="1"/>
  <c r="H749" i="1"/>
  <c r="I749" i="1" a="1"/>
  <c r="I749" i="1" s="1"/>
  <c r="D750" i="1"/>
  <c r="F750" i="1"/>
  <c r="H750" i="1"/>
  <c r="I750" i="1" a="1"/>
  <c r="I750" i="1" s="1"/>
  <c r="D751" i="1"/>
  <c r="F751" i="1"/>
  <c r="H751" i="1"/>
  <c r="I751" i="1" a="1"/>
  <c r="I751" i="1" s="1"/>
  <c r="D752" i="1"/>
  <c r="F752" i="1"/>
  <c r="H752" i="1"/>
  <c r="I752" i="1" a="1"/>
  <c r="I752" i="1" s="1"/>
  <c r="D753" i="1"/>
  <c r="F753" i="1"/>
  <c r="H753" i="1"/>
  <c r="I753" i="1" a="1"/>
  <c r="I753" i="1" s="1"/>
  <c r="D754" i="1"/>
  <c r="F754" i="1"/>
  <c r="H754" i="1"/>
  <c r="I754" i="1" a="1"/>
  <c r="I754" i="1" s="1"/>
  <c r="D755" i="1"/>
  <c r="F755" i="1"/>
  <c r="H755" i="1"/>
  <c r="I755" i="1" a="1"/>
  <c r="I755" i="1" s="1"/>
  <c r="D756" i="1"/>
  <c r="F756" i="1"/>
  <c r="H756" i="1"/>
  <c r="I756" i="1" a="1"/>
  <c r="I756" i="1" s="1"/>
  <c r="D757" i="1"/>
  <c r="F757" i="1"/>
  <c r="H757" i="1"/>
  <c r="I757" i="1" a="1"/>
  <c r="I757" i="1" s="1"/>
  <c r="D758" i="1"/>
  <c r="F758" i="1"/>
  <c r="H758" i="1"/>
  <c r="I758" i="1" a="1"/>
  <c r="I758" i="1" s="1"/>
  <c r="D759" i="1"/>
  <c r="F759" i="1"/>
  <c r="H759" i="1"/>
  <c r="I759" i="1" a="1"/>
  <c r="I759" i="1" s="1"/>
  <c r="D760" i="1"/>
  <c r="F760" i="1"/>
  <c r="H760" i="1"/>
  <c r="I760" i="1" a="1"/>
  <c r="I760" i="1" s="1"/>
  <c r="D761" i="1"/>
  <c r="F761" i="1"/>
  <c r="H761" i="1"/>
  <c r="I761" i="1" a="1"/>
  <c r="I761" i="1" s="1"/>
  <c r="D762" i="1"/>
  <c r="F762" i="1"/>
  <c r="H762" i="1"/>
  <c r="I762" i="1" a="1"/>
  <c r="I762" i="1" s="1"/>
  <c r="D763" i="1"/>
  <c r="F763" i="1"/>
  <c r="H763" i="1"/>
  <c r="I763" i="1" a="1"/>
  <c r="I763" i="1" s="1"/>
  <c r="D764" i="1"/>
  <c r="F764" i="1"/>
  <c r="H764" i="1"/>
  <c r="I764" i="1" a="1"/>
  <c r="I764" i="1" s="1"/>
  <c r="D765" i="1"/>
  <c r="F765" i="1"/>
  <c r="H765" i="1"/>
  <c r="I765" i="1" a="1"/>
  <c r="I765" i="1" s="1"/>
  <c r="D766" i="1"/>
  <c r="F766" i="1"/>
  <c r="H766" i="1"/>
  <c r="I766" i="1" a="1"/>
  <c r="I766" i="1" s="1"/>
  <c r="D767" i="1"/>
  <c r="F767" i="1"/>
  <c r="H767" i="1"/>
  <c r="I767" i="1" a="1"/>
  <c r="I767" i="1" s="1"/>
  <c r="D768" i="1"/>
  <c r="F768" i="1"/>
  <c r="H768" i="1"/>
  <c r="I768" i="1" a="1"/>
  <c r="I768" i="1" s="1"/>
  <c r="D769" i="1"/>
  <c r="F769" i="1"/>
  <c r="H769" i="1"/>
  <c r="I769" i="1" a="1"/>
  <c r="I769" i="1" s="1"/>
  <c r="D770" i="1"/>
  <c r="F770" i="1"/>
  <c r="H770" i="1"/>
  <c r="I770" i="1" a="1"/>
  <c r="I770" i="1" s="1"/>
  <c r="D771" i="1"/>
  <c r="F771" i="1"/>
  <c r="H771" i="1"/>
  <c r="I771" i="1" a="1"/>
  <c r="I771" i="1" s="1"/>
  <c r="D772" i="1"/>
  <c r="F772" i="1"/>
  <c r="H772" i="1"/>
  <c r="I772" i="1" a="1"/>
  <c r="I772" i="1" s="1"/>
  <c r="D773" i="1"/>
  <c r="F773" i="1"/>
  <c r="H773" i="1"/>
  <c r="I773" i="1" a="1"/>
  <c r="I773" i="1" s="1"/>
  <c r="D774" i="1"/>
  <c r="F774" i="1"/>
  <c r="H774" i="1"/>
  <c r="I774" i="1" a="1"/>
  <c r="I774" i="1" s="1"/>
  <c r="D775" i="1"/>
  <c r="F775" i="1"/>
  <c r="H775" i="1"/>
  <c r="I775" i="1" a="1"/>
  <c r="I775" i="1" s="1"/>
  <c r="D776" i="1"/>
  <c r="F776" i="1"/>
  <c r="H776" i="1"/>
  <c r="I776" i="1" a="1"/>
  <c r="I776" i="1" s="1"/>
  <c r="D777" i="1"/>
  <c r="F777" i="1"/>
  <c r="H777" i="1"/>
  <c r="I777" i="1" a="1"/>
  <c r="I777" i="1" s="1"/>
  <c r="D778" i="1"/>
  <c r="F778" i="1"/>
  <c r="H778" i="1"/>
  <c r="I778" i="1" a="1"/>
  <c r="I778" i="1" s="1"/>
  <c r="D779" i="1"/>
  <c r="F779" i="1"/>
  <c r="H779" i="1"/>
  <c r="I779" i="1" a="1"/>
  <c r="I779" i="1" s="1"/>
  <c r="D780" i="1"/>
  <c r="F780" i="1"/>
  <c r="H780" i="1"/>
  <c r="I780" i="1" a="1"/>
  <c r="I780" i="1" s="1"/>
  <c r="D781" i="1"/>
  <c r="F781" i="1"/>
  <c r="H781" i="1"/>
  <c r="I781" i="1" a="1"/>
  <c r="I781" i="1" s="1"/>
  <c r="D782" i="1"/>
  <c r="F782" i="1"/>
  <c r="H782" i="1"/>
  <c r="I782" i="1" a="1"/>
  <c r="I782" i="1" s="1"/>
  <c r="D783" i="1"/>
  <c r="F783" i="1"/>
  <c r="H783" i="1"/>
  <c r="I783" i="1" a="1"/>
  <c r="I783" i="1" s="1"/>
  <c r="D784" i="1"/>
  <c r="F784" i="1"/>
  <c r="H784" i="1"/>
  <c r="I784" i="1" a="1"/>
  <c r="I784" i="1" s="1"/>
  <c r="D785" i="1"/>
  <c r="F785" i="1"/>
  <c r="H785" i="1"/>
  <c r="I785" i="1" a="1"/>
  <c r="I785" i="1" s="1"/>
  <c r="D786" i="1"/>
  <c r="F786" i="1"/>
  <c r="H786" i="1"/>
  <c r="I786" i="1" a="1"/>
  <c r="I786" i="1" s="1"/>
  <c r="D787" i="1"/>
  <c r="F787" i="1"/>
  <c r="H787" i="1"/>
  <c r="I787" i="1" a="1"/>
  <c r="I787" i="1" s="1"/>
  <c r="D788" i="1"/>
  <c r="F788" i="1"/>
  <c r="H788" i="1"/>
  <c r="I788" i="1" a="1"/>
  <c r="I788" i="1" s="1"/>
  <c r="D789" i="1"/>
  <c r="F789" i="1"/>
  <c r="H789" i="1"/>
  <c r="I789" i="1" a="1"/>
  <c r="I789" i="1" s="1"/>
  <c r="D790" i="1"/>
  <c r="F790" i="1"/>
  <c r="H790" i="1"/>
  <c r="I790" i="1" a="1"/>
  <c r="I790" i="1" s="1"/>
  <c r="D791" i="1"/>
  <c r="F791" i="1"/>
  <c r="H791" i="1"/>
  <c r="I791" i="1" a="1"/>
  <c r="I791" i="1" s="1"/>
  <c r="D792" i="1"/>
  <c r="F792" i="1"/>
  <c r="H792" i="1"/>
  <c r="I792" i="1" a="1"/>
  <c r="I792" i="1" s="1"/>
  <c r="D793" i="1"/>
  <c r="F793" i="1"/>
  <c r="H793" i="1"/>
  <c r="I793" i="1" a="1"/>
  <c r="I793" i="1" s="1"/>
  <c r="D794" i="1"/>
  <c r="F794" i="1"/>
  <c r="H794" i="1"/>
  <c r="I794" i="1" a="1"/>
  <c r="I794" i="1" s="1"/>
  <c r="D795" i="1"/>
  <c r="F795" i="1"/>
  <c r="H795" i="1"/>
  <c r="I795" i="1" a="1"/>
  <c r="I795" i="1" s="1"/>
  <c r="D796" i="1"/>
  <c r="F796" i="1"/>
  <c r="H796" i="1"/>
  <c r="I796" i="1" a="1"/>
  <c r="I796" i="1" s="1"/>
  <c r="D797" i="1"/>
  <c r="F797" i="1"/>
  <c r="H797" i="1"/>
  <c r="I797" i="1" a="1"/>
  <c r="I797" i="1" s="1"/>
  <c r="D798" i="1"/>
  <c r="F798" i="1"/>
  <c r="H798" i="1"/>
  <c r="I798" i="1" a="1"/>
  <c r="I798" i="1" s="1"/>
  <c r="D799" i="1"/>
  <c r="F799" i="1"/>
  <c r="H799" i="1"/>
  <c r="I799" i="1" a="1"/>
  <c r="I799" i="1" s="1"/>
  <c r="D800" i="1"/>
  <c r="F800" i="1"/>
  <c r="H800" i="1"/>
  <c r="I800" i="1" a="1"/>
  <c r="I800" i="1" s="1"/>
  <c r="D801" i="1"/>
  <c r="F801" i="1"/>
  <c r="H801" i="1"/>
  <c r="I801" i="1" a="1"/>
  <c r="I801" i="1" s="1"/>
  <c r="D802" i="1"/>
  <c r="F802" i="1"/>
  <c r="H802" i="1"/>
  <c r="I802" i="1" a="1"/>
  <c r="I802" i="1" s="1"/>
  <c r="D803" i="1"/>
  <c r="F803" i="1"/>
  <c r="H803" i="1"/>
  <c r="I803" i="1" a="1"/>
  <c r="I803" i="1" s="1"/>
  <c r="D804" i="1"/>
  <c r="F804" i="1"/>
  <c r="H804" i="1"/>
  <c r="I804" i="1" a="1"/>
  <c r="I804" i="1" s="1"/>
  <c r="D805" i="1"/>
  <c r="F805" i="1"/>
  <c r="H805" i="1"/>
  <c r="I805" i="1" a="1"/>
  <c r="I805" i="1" s="1"/>
  <c r="D806" i="1"/>
  <c r="F806" i="1"/>
  <c r="H806" i="1"/>
  <c r="I806" i="1" a="1"/>
  <c r="I806" i="1" s="1"/>
  <c r="D807" i="1"/>
  <c r="F807" i="1"/>
  <c r="H807" i="1"/>
  <c r="I807" i="1" a="1"/>
  <c r="I807" i="1" s="1"/>
  <c r="D808" i="1"/>
  <c r="F808" i="1"/>
  <c r="H808" i="1"/>
  <c r="I808" i="1" a="1"/>
  <c r="I808" i="1" s="1"/>
  <c r="D809" i="1"/>
  <c r="F809" i="1"/>
  <c r="H809" i="1"/>
  <c r="I809" i="1" a="1"/>
  <c r="I809" i="1" s="1"/>
  <c r="D810" i="1"/>
  <c r="F810" i="1"/>
  <c r="H810" i="1"/>
  <c r="I810" i="1" a="1"/>
  <c r="I810" i="1" s="1"/>
  <c r="D811" i="1"/>
  <c r="F811" i="1"/>
  <c r="H811" i="1"/>
  <c r="I811" i="1" a="1"/>
  <c r="I811" i="1" s="1"/>
  <c r="D812" i="1"/>
  <c r="F812" i="1"/>
  <c r="H812" i="1"/>
  <c r="I812" i="1" a="1"/>
  <c r="I812" i="1" s="1"/>
  <c r="D813" i="1"/>
  <c r="F813" i="1"/>
  <c r="H813" i="1"/>
  <c r="I813" i="1" a="1"/>
  <c r="I813" i="1" s="1"/>
  <c r="D814" i="1"/>
  <c r="F814" i="1"/>
  <c r="H814" i="1"/>
  <c r="I814" i="1" a="1"/>
  <c r="I814" i="1" s="1"/>
  <c r="D815" i="1"/>
  <c r="F815" i="1"/>
  <c r="H815" i="1"/>
  <c r="I815" i="1" a="1"/>
  <c r="I815" i="1" s="1"/>
  <c r="D816" i="1"/>
  <c r="F816" i="1"/>
  <c r="H816" i="1"/>
  <c r="I816" i="1" a="1"/>
  <c r="I816" i="1" s="1"/>
  <c r="D817" i="1"/>
  <c r="F817" i="1"/>
  <c r="H817" i="1"/>
  <c r="I817" i="1" a="1"/>
  <c r="I817" i="1" s="1"/>
  <c r="D818" i="1"/>
  <c r="F818" i="1"/>
  <c r="H818" i="1"/>
  <c r="I818" i="1" a="1"/>
  <c r="I818" i="1" s="1"/>
  <c r="D819" i="1"/>
  <c r="F819" i="1"/>
  <c r="H819" i="1"/>
  <c r="I819" i="1" a="1"/>
  <c r="I819" i="1" s="1"/>
  <c r="D820" i="1"/>
  <c r="F820" i="1"/>
  <c r="H820" i="1"/>
  <c r="I820" i="1" a="1"/>
  <c r="I820" i="1" s="1"/>
  <c r="D821" i="1"/>
  <c r="F821" i="1"/>
  <c r="H821" i="1"/>
  <c r="I821" i="1" a="1"/>
  <c r="I821" i="1" s="1"/>
  <c r="D822" i="1"/>
  <c r="F822" i="1"/>
  <c r="H822" i="1"/>
  <c r="I822" i="1" a="1"/>
  <c r="I822" i="1" s="1"/>
  <c r="D823" i="1"/>
  <c r="F823" i="1"/>
  <c r="H823" i="1"/>
  <c r="I823" i="1" a="1"/>
  <c r="I823" i="1" s="1"/>
  <c r="D824" i="1"/>
  <c r="F824" i="1"/>
  <c r="H824" i="1"/>
  <c r="I824" i="1" a="1"/>
  <c r="I824" i="1" s="1"/>
  <c r="D825" i="1"/>
  <c r="F825" i="1"/>
  <c r="H825" i="1"/>
  <c r="I825" i="1" a="1"/>
  <c r="I825" i="1" s="1"/>
  <c r="D826" i="1"/>
  <c r="F826" i="1"/>
  <c r="H826" i="1"/>
  <c r="I826" i="1" a="1"/>
  <c r="I826" i="1" s="1"/>
  <c r="D827" i="1"/>
  <c r="F827" i="1"/>
  <c r="H827" i="1"/>
  <c r="I827" i="1" a="1"/>
  <c r="I827" i="1" s="1"/>
  <c r="D828" i="1"/>
  <c r="F828" i="1"/>
  <c r="H828" i="1"/>
  <c r="I828" i="1" a="1"/>
  <c r="I828" i="1" s="1"/>
  <c r="D829" i="1"/>
  <c r="F829" i="1"/>
  <c r="H829" i="1"/>
  <c r="I829" i="1" a="1"/>
  <c r="I829" i="1" s="1"/>
  <c r="D830" i="1"/>
  <c r="F830" i="1"/>
  <c r="H830" i="1"/>
  <c r="I830" i="1" a="1"/>
  <c r="I830" i="1" s="1"/>
  <c r="D831" i="1"/>
  <c r="F831" i="1"/>
  <c r="H831" i="1"/>
  <c r="I831" i="1" a="1"/>
  <c r="I831" i="1" s="1"/>
  <c r="D832" i="1"/>
  <c r="F832" i="1"/>
  <c r="H832" i="1"/>
  <c r="I832" i="1" a="1"/>
  <c r="I832" i="1" s="1"/>
  <c r="D833" i="1"/>
  <c r="F833" i="1"/>
  <c r="H833" i="1"/>
  <c r="I833" i="1" a="1"/>
  <c r="I833" i="1" s="1"/>
  <c r="D834" i="1"/>
  <c r="F834" i="1"/>
  <c r="H834" i="1"/>
  <c r="I834" i="1" a="1"/>
  <c r="I834" i="1" s="1"/>
  <c r="D835" i="1"/>
  <c r="F835" i="1"/>
  <c r="H835" i="1"/>
  <c r="I835" i="1" a="1"/>
  <c r="I835" i="1" s="1"/>
  <c r="D836" i="1"/>
  <c r="F836" i="1"/>
  <c r="H836" i="1"/>
  <c r="I836" i="1" a="1"/>
  <c r="I836" i="1" s="1"/>
  <c r="D837" i="1"/>
  <c r="F837" i="1"/>
  <c r="H837" i="1"/>
  <c r="I837" i="1" a="1"/>
  <c r="I837" i="1" s="1"/>
  <c r="D838" i="1"/>
  <c r="F838" i="1"/>
  <c r="H838" i="1"/>
  <c r="I838" i="1" a="1"/>
  <c r="I838" i="1" s="1"/>
  <c r="D839" i="1"/>
  <c r="F839" i="1"/>
  <c r="H839" i="1"/>
  <c r="I839" i="1" a="1"/>
  <c r="I839" i="1" s="1"/>
  <c r="D840" i="1"/>
  <c r="F840" i="1"/>
  <c r="H840" i="1"/>
  <c r="I840" i="1" a="1"/>
  <c r="I840" i="1" s="1"/>
  <c r="D841" i="1"/>
  <c r="F841" i="1"/>
  <c r="H841" i="1"/>
  <c r="I841" i="1" a="1"/>
  <c r="I841" i="1" s="1"/>
  <c r="D842" i="1"/>
  <c r="F842" i="1"/>
  <c r="H842" i="1"/>
  <c r="I842" i="1" a="1"/>
  <c r="I842" i="1" s="1"/>
  <c r="D843" i="1"/>
  <c r="F843" i="1"/>
  <c r="H843" i="1"/>
  <c r="I843" i="1" a="1"/>
  <c r="I843" i="1" s="1"/>
  <c r="D844" i="1"/>
  <c r="F844" i="1"/>
  <c r="H844" i="1"/>
  <c r="I844" i="1" a="1"/>
  <c r="I844" i="1" s="1"/>
  <c r="D845" i="1"/>
  <c r="F845" i="1"/>
  <c r="H845" i="1"/>
  <c r="I845" i="1" a="1"/>
  <c r="I845" i="1" s="1"/>
  <c r="D846" i="1"/>
  <c r="F846" i="1"/>
  <c r="H846" i="1"/>
  <c r="I846" i="1" a="1"/>
  <c r="I846" i="1" s="1"/>
  <c r="D847" i="1"/>
  <c r="F847" i="1"/>
  <c r="H847" i="1"/>
  <c r="I847" i="1" a="1"/>
  <c r="I847" i="1" s="1"/>
  <c r="D848" i="1"/>
  <c r="F848" i="1"/>
  <c r="H848" i="1"/>
  <c r="I848" i="1" a="1"/>
  <c r="I848" i="1" s="1"/>
  <c r="D849" i="1"/>
  <c r="F849" i="1"/>
  <c r="H849" i="1"/>
  <c r="I849" i="1" a="1"/>
  <c r="I849" i="1" s="1"/>
  <c r="D850" i="1"/>
  <c r="F850" i="1"/>
  <c r="H850" i="1"/>
  <c r="I850" i="1" a="1"/>
  <c r="I850" i="1" s="1"/>
  <c r="D851" i="1"/>
  <c r="F851" i="1"/>
  <c r="H851" i="1"/>
  <c r="I851" i="1" a="1"/>
  <c r="I851" i="1" s="1"/>
  <c r="D852" i="1"/>
  <c r="F852" i="1"/>
  <c r="H852" i="1"/>
  <c r="I852" i="1" a="1"/>
  <c r="I852" i="1" s="1"/>
  <c r="D853" i="1"/>
  <c r="F853" i="1"/>
  <c r="H853" i="1"/>
  <c r="I853" i="1" a="1"/>
  <c r="I853" i="1" s="1"/>
  <c r="D854" i="1"/>
  <c r="F854" i="1"/>
  <c r="H854" i="1"/>
  <c r="I854" i="1" a="1"/>
  <c r="I854" i="1" s="1"/>
  <c r="D855" i="1"/>
  <c r="F855" i="1"/>
  <c r="H855" i="1"/>
  <c r="I855" i="1" a="1"/>
  <c r="I855" i="1" s="1"/>
  <c r="D856" i="1"/>
  <c r="F856" i="1"/>
  <c r="H856" i="1"/>
  <c r="I856" i="1" a="1"/>
  <c r="I856" i="1" s="1"/>
  <c r="D857" i="1"/>
  <c r="F857" i="1"/>
  <c r="H857" i="1"/>
  <c r="I857" i="1" a="1"/>
  <c r="I857" i="1" s="1"/>
  <c r="D858" i="1"/>
  <c r="F858" i="1"/>
  <c r="H858" i="1"/>
  <c r="I858" i="1" a="1"/>
  <c r="I858" i="1" s="1"/>
  <c r="D859" i="1"/>
  <c r="F859" i="1"/>
  <c r="H859" i="1"/>
  <c r="I859" i="1" a="1"/>
  <c r="I859" i="1" s="1"/>
  <c r="D860" i="1"/>
  <c r="F860" i="1"/>
  <c r="H860" i="1"/>
  <c r="I860" i="1" a="1"/>
  <c r="I860" i="1" s="1"/>
  <c r="D861" i="1"/>
  <c r="F861" i="1"/>
  <c r="H861" i="1"/>
  <c r="I861" i="1" a="1"/>
  <c r="I861" i="1" s="1"/>
  <c r="D862" i="1"/>
  <c r="F862" i="1"/>
  <c r="H862" i="1"/>
  <c r="I862" i="1" a="1"/>
  <c r="I862" i="1" s="1"/>
  <c r="D863" i="1"/>
  <c r="F863" i="1"/>
  <c r="H863" i="1"/>
  <c r="I863" i="1" a="1"/>
  <c r="I863" i="1" s="1"/>
  <c r="D864" i="1"/>
  <c r="F864" i="1"/>
  <c r="H864" i="1"/>
  <c r="I864" i="1" a="1"/>
  <c r="I864" i="1" s="1"/>
  <c r="D865" i="1"/>
  <c r="F865" i="1"/>
  <c r="H865" i="1"/>
  <c r="I865" i="1" a="1"/>
  <c r="I865" i="1" s="1"/>
  <c r="D866" i="1"/>
  <c r="F866" i="1"/>
  <c r="H866" i="1"/>
  <c r="I866" i="1" a="1"/>
  <c r="I866" i="1" s="1"/>
  <c r="D867" i="1"/>
  <c r="F867" i="1"/>
  <c r="H867" i="1"/>
  <c r="I867" i="1" a="1"/>
  <c r="I867" i="1" s="1"/>
  <c r="D868" i="1"/>
  <c r="F868" i="1"/>
  <c r="H868" i="1"/>
  <c r="I868" i="1" a="1"/>
  <c r="I868" i="1" s="1"/>
  <c r="D869" i="1"/>
  <c r="F869" i="1"/>
  <c r="H869" i="1"/>
  <c r="I869" i="1" a="1"/>
  <c r="I869" i="1" s="1"/>
  <c r="D870" i="1"/>
  <c r="F870" i="1"/>
  <c r="H870" i="1"/>
  <c r="I870" i="1" a="1"/>
  <c r="I870" i="1" s="1"/>
  <c r="D871" i="1"/>
  <c r="F871" i="1"/>
  <c r="H871" i="1"/>
  <c r="I871" i="1" a="1"/>
  <c r="I871" i="1" s="1"/>
  <c r="D872" i="1"/>
  <c r="F872" i="1"/>
  <c r="H872" i="1"/>
  <c r="I872" i="1" a="1"/>
  <c r="I872" i="1" s="1"/>
  <c r="D873" i="1"/>
  <c r="F873" i="1"/>
  <c r="H873" i="1"/>
  <c r="I873" i="1" a="1"/>
  <c r="I873" i="1" s="1"/>
  <c r="D874" i="1"/>
  <c r="F874" i="1"/>
  <c r="H874" i="1"/>
  <c r="I874" i="1" a="1"/>
  <c r="I874" i="1" s="1"/>
  <c r="D875" i="1"/>
  <c r="F875" i="1"/>
  <c r="H875" i="1"/>
  <c r="I875" i="1" a="1"/>
  <c r="I875" i="1" s="1"/>
  <c r="D876" i="1"/>
  <c r="F876" i="1"/>
  <c r="H876" i="1"/>
  <c r="I876" i="1" a="1"/>
  <c r="I876" i="1" s="1"/>
  <c r="D877" i="1"/>
  <c r="F877" i="1"/>
  <c r="H877" i="1"/>
  <c r="I877" i="1" a="1"/>
  <c r="I877" i="1" s="1"/>
  <c r="D878" i="1"/>
  <c r="F878" i="1"/>
  <c r="H878" i="1"/>
  <c r="I878" i="1" a="1"/>
  <c r="I878" i="1" s="1"/>
  <c r="D879" i="1"/>
  <c r="F879" i="1"/>
  <c r="H879" i="1"/>
  <c r="I879" i="1" a="1"/>
  <c r="I879" i="1" s="1"/>
  <c r="D880" i="1"/>
  <c r="F880" i="1"/>
  <c r="H880" i="1"/>
  <c r="I880" i="1" a="1"/>
  <c r="I880" i="1" s="1"/>
  <c r="D881" i="1"/>
  <c r="F881" i="1"/>
  <c r="H881" i="1"/>
  <c r="I881" i="1" a="1"/>
  <c r="I881" i="1" s="1"/>
  <c r="D882" i="1"/>
  <c r="F882" i="1"/>
  <c r="H882" i="1"/>
  <c r="I882" i="1" a="1"/>
  <c r="I882" i="1" s="1"/>
  <c r="D883" i="1"/>
  <c r="F883" i="1"/>
  <c r="H883" i="1"/>
  <c r="I883" i="1" a="1"/>
  <c r="I883" i="1" s="1"/>
  <c r="D884" i="1"/>
  <c r="F884" i="1"/>
  <c r="H884" i="1"/>
  <c r="I884" i="1" a="1"/>
  <c r="I884" i="1" s="1"/>
  <c r="D885" i="1"/>
  <c r="F885" i="1"/>
  <c r="H885" i="1"/>
  <c r="I885" i="1" a="1"/>
  <c r="I885" i="1" s="1"/>
  <c r="D886" i="1"/>
  <c r="F886" i="1"/>
  <c r="H886" i="1"/>
  <c r="I886" i="1" a="1"/>
  <c r="I886" i="1" s="1"/>
  <c r="D887" i="1"/>
  <c r="F887" i="1"/>
  <c r="H887" i="1"/>
  <c r="I887" i="1" a="1"/>
  <c r="I887" i="1" s="1"/>
  <c r="D888" i="1"/>
  <c r="F888" i="1"/>
  <c r="H888" i="1"/>
  <c r="I888" i="1" a="1"/>
  <c r="I888" i="1" s="1"/>
  <c r="D889" i="1"/>
  <c r="F889" i="1"/>
  <c r="H889" i="1"/>
  <c r="I889" i="1" a="1"/>
  <c r="I889" i="1" s="1"/>
  <c r="D890" i="1"/>
  <c r="F890" i="1"/>
  <c r="H890" i="1"/>
  <c r="I890" i="1" a="1"/>
  <c r="I890" i="1" s="1"/>
  <c r="D891" i="1"/>
  <c r="F891" i="1"/>
  <c r="H891" i="1"/>
  <c r="I891" i="1" a="1"/>
  <c r="I891" i="1" s="1"/>
  <c r="D892" i="1"/>
  <c r="F892" i="1"/>
  <c r="H892" i="1"/>
  <c r="I892" i="1" a="1"/>
  <c r="I892" i="1" s="1"/>
  <c r="D893" i="1"/>
  <c r="F893" i="1"/>
  <c r="H893" i="1"/>
  <c r="I893" i="1" a="1"/>
  <c r="I893" i="1" s="1"/>
  <c r="D894" i="1"/>
  <c r="F894" i="1"/>
  <c r="H894" i="1"/>
  <c r="I894" i="1" a="1"/>
  <c r="I894" i="1" s="1"/>
  <c r="D895" i="1"/>
  <c r="F895" i="1"/>
  <c r="H895" i="1"/>
  <c r="I895" i="1" a="1"/>
  <c r="I895" i="1" s="1"/>
  <c r="D896" i="1"/>
  <c r="F896" i="1"/>
  <c r="H896" i="1"/>
  <c r="I896" i="1" a="1"/>
  <c r="I896" i="1" s="1"/>
  <c r="D897" i="1"/>
  <c r="F897" i="1"/>
  <c r="H897" i="1"/>
  <c r="I897" i="1" a="1"/>
  <c r="I897" i="1" s="1"/>
  <c r="D898" i="1"/>
  <c r="F898" i="1"/>
  <c r="H898" i="1"/>
  <c r="I898" i="1" a="1"/>
  <c r="I898" i="1" s="1"/>
  <c r="D899" i="1"/>
  <c r="F899" i="1"/>
  <c r="H899" i="1"/>
  <c r="I899" i="1" a="1"/>
  <c r="I899" i="1" s="1"/>
  <c r="D900" i="1"/>
  <c r="F900" i="1"/>
  <c r="H900" i="1"/>
  <c r="I900" i="1" a="1"/>
  <c r="I900" i="1" s="1"/>
  <c r="D901" i="1"/>
  <c r="F901" i="1"/>
  <c r="H901" i="1"/>
  <c r="I901" i="1" a="1"/>
  <c r="I901" i="1" s="1"/>
  <c r="D902" i="1"/>
  <c r="F902" i="1"/>
  <c r="H902" i="1"/>
  <c r="I902" i="1" a="1"/>
  <c r="I902" i="1" s="1"/>
  <c r="D903" i="1"/>
  <c r="F903" i="1"/>
  <c r="H903" i="1"/>
  <c r="I903" i="1" a="1"/>
  <c r="I903" i="1" s="1"/>
  <c r="D904" i="1"/>
  <c r="F904" i="1"/>
  <c r="H904" i="1"/>
  <c r="I904" i="1" a="1"/>
  <c r="I904" i="1" s="1"/>
  <c r="D905" i="1"/>
  <c r="F905" i="1"/>
  <c r="H905" i="1"/>
  <c r="I905" i="1" a="1"/>
  <c r="I905" i="1" s="1"/>
  <c r="D906" i="1"/>
  <c r="F906" i="1"/>
  <c r="H906" i="1"/>
  <c r="I906" i="1" a="1"/>
  <c r="I906" i="1" s="1"/>
  <c r="D907" i="1"/>
  <c r="F907" i="1"/>
  <c r="H907" i="1"/>
  <c r="I907" i="1" a="1"/>
  <c r="I907" i="1" s="1"/>
  <c r="D908" i="1"/>
  <c r="F908" i="1"/>
  <c r="H908" i="1"/>
  <c r="I908" i="1" a="1"/>
  <c r="I908" i="1" s="1"/>
  <c r="D909" i="1"/>
  <c r="F909" i="1"/>
  <c r="H909" i="1"/>
  <c r="I909" i="1" a="1"/>
  <c r="I909" i="1" s="1"/>
  <c r="D910" i="1"/>
  <c r="F910" i="1"/>
  <c r="H910" i="1"/>
  <c r="I910" i="1" a="1"/>
  <c r="I910" i="1" s="1"/>
  <c r="D911" i="1"/>
  <c r="F911" i="1"/>
  <c r="H911" i="1"/>
  <c r="I911" i="1" a="1"/>
  <c r="I911" i="1" s="1"/>
  <c r="D912" i="1"/>
  <c r="F912" i="1"/>
  <c r="H912" i="1"/>
  <c r="I912" i="1" a="1"/>
  <c r="I912" i="1" s="1"/>
  <c r="D913" i="1"/>
  <c r="F913" i="1"/>
  <c r="H913" i="1"/>
  <c r="I913" i="1" a="1"/>
  <c r="I913" i="1" s="1"/>
  <c r="D914" i="1"/>
  <c r="F914" i="1"/>
  <c r="H914" i="1"/>
  <c r="I914" i="1" a="1"/>
  <c r="I914" i="1" s="1"/>
  <c r="D915" i="1"/>
  <c r="F915" i="1"/>
  <c r="H915" i="1"/>
  <c r="I915" i="1" a="1"/>
  <c r="I915" i="1" s="1"/>
  <c r="D916" i="1"/>
  <c r="F916" i="1"/>
  <c r="H916" i="1"/>
  <c r="I916" i="1" a="1"/>
  <c r="I916" i="1" s="1"/>
  <c r="D917" i="1"/>
  <c r="F917" i="1"/>
  <c r="H917" i="1"/>
  <c r="I917" i="1" a="1"/>
  <c r="I917" i="1" s="1"/>
  <c r="D918" i="1"/>
  <c r="F918" i="1"/>
  <c r="H918" i="1"/>
  <c r="I918" i="1" a="1"/>
  <c r="I918" i="1" s="1"/>
  <c r="D919" i="1"/>
  <c r="F919" i="1"/>
  <c r="H919" i="1"/>
  <c r="I919" i="1" a="1"/>
  <c r="I919" i="1" s="1"/>
  <c r="D920" i="1"/>
  <c r="F920" i="1"/>
  <c r="H920" i="1"/>
  <c r="I920" i="1" a="1"/>
  <c r="I920" i="1" s="1"/>
  <c r="D921" i="1"/>
  <c r="F921" i="1"/>
  <c r="H921" i="1"/>
  <c r="I921" i="1" a="1"/>
  <c r="I921" i="1" s="1"/>
  <c r="D922" i="1"/>
  <c r="F922" i="1"/>
  <c r="H922" i="1"/>
  <c r="I922" i="1" a="1"/>
  <c r="I922" i="1" s="1"/>
  <c r="D923" i="1"/>
  <c r="F923" i="1"/>
  <c r="H923" i="1"/>
  <c r="I923" i="1" a="1"/>
  <c r="I923" i="1" s="1"/>
  <c r="D924" i="1"/>
  <c r="F924" i="1"/>
  <c r="H924" i="1"/>
  <c r="I924" i="1" a="1"/>
  <c r="I924" i="1" s="1"/>
  <c r="D925" i="1"/>
  <c r="F925" i="1"/>
  <c r="H925" i="1"/>
  <c r="I925" i="1" a="1"/>
  <c r="I925" i="1" s="1"/>
  <c r="D926" i="1"/>
  <c r="F926" i="1"/>
  <c r="H926" i="1"/>
  <c r="I926" i="1" a="1"/>
  <c r="I926" i="1" s="1"/>
  <c r="D927" i="1"/>
  <c r="F927" i="1"/>
  <c r="H927" i="1"/>
  <c r="I927" i="1" a="1"/>
  <c r="I927" i="1" s="1"/>
  <c r="D928" i="1"/>
  <c r="F928" i="1"/>
  <c r="H928" i="1"/>
  <c r="I928" i="1" a="1"/>
  <c r="I928" i="1" s="1"/>
  <c r="D929" i="1"/>
  <c r="F929" i="1"/>
  <c r="H929" i="1"/>
  <c r="I929" i="1" a="1"/>
  <c r="I929" i="1" s="1"/>
  <c r="D930" i="1"/>
  <c r="F930" i="1"/>
  <c r="H930" i="1"/>
  <c r="I930" i="1" a="1"/>
  <c r="I930" i="1" s="1"/>
  <c r="D931" i="1"/>
  <c r="F931" i="1"/>
  <c r="H931" i="1"/>
  <c r="I931" i="1" a="1"/>
  <c r="I931" i="1" s="1"/>
  <c r="D932" i="1"/>
  <c r="F932" i="1"/>
  <c r="H932" i="1"/>
  <c r="I932" i="1" a="1"/>
  <c r="I932" i="1" s="1"/>
  <c r="D933" i="1"/>
  <c r="F933" i="1"/>
  <c r="H933" i="1"/>
  <c r="I933" i="1" a="1"/>
  <c r="I933" i="1" s="1"/>
  <c r="D934" i="1"/>
  <c r="F934" i="1"/>
  <c r="H934" i="1"/>
  <c r="I934" i="1" a="1"/>
  <c r="I934" i="1" s="1"/>
  <c r="D935" i="1"/>
  <c r="F935" i="1"/>
  <c r="H935" i="1"/>
  <c r="I935" i="1" a="1"/>
  <c r="I935" i="1" s="1"/>
  <c r="D936" i="1"/>
  <c r="F936" i="1"/>
  <c r="H936" i="1"/>
  <c r="I936" i="1" a="1"/>
  <c r="I936" i="1" s="1"/>
  <c r="D937" i="1"/>
  <c r="F937" i="1"/>
  <c r="H937" i="1"/>
  <c r="I937" i="1" a="1"/>
  <c r="I937" i="1" s="1"/>
  <c r="D938" i="1"/>
  <c r="F938" i="1"/>
  <c r="H938" i="1"/>
  <c r="I938" i="1" a="1"/>
  <c r="I938" i="1" s="1"/>
  <c r="D939" i="1"/>
  <c r="F939" i="1"/>
  <c r="H939" i="1"/>
  <c r="I939" i="1" a="1"/>
  <c r="I939" i="1" s="1"/>
  <c r="D940" i="1"/>
  <c r="F940" i="1"/>
  <c r="H940" i="1"/>
  <c r="I940" i="1" a="1"/>
  <c r="I940" i="1" s="1"/>
  <c r="D941" i="1"/>
  <c r="F941" i="1"/>
  <c r="H941" i="1"/>
  <c r="I941" i="1" a="1"/>
  <c r="I941" i="1" s="1"/>
  <c r="D942" i="1"/>
  <c r="F942" i="1"/>
  <c r="H942" i="1"/>
  <c r="I942" i="1" a="1"/>
  <c r="I942" i="1" s="1"/>
  <c r="D943" i="1"/>
  <c r="F943" i="1"/>
  <c r="H943" i="1"/>
  <c r="I943" i="1" a="1"/>
  <c r="I943" i="1" s="1"/>
  <c r="D944" i="1"/>
  <c r="F944" i="1"/>
  <c r="H944" i="1"/>
  <c r="I944" i="1" a="1"/>
  <c r="I944" i="1" s="1"/>
  <c r="D945" i="1"/>
  <c r="F945" i="1"/>
  <c r="H945" i="1"/>
  <c r="I945" i="1" a="1"/>
  <c r="I945" i="1" s="1"/>
  <c r="D946" i="1"/>
  <c r="F946" i="1"/>
  <c r="H946" i="1"/>
  <c r="I946" i="1" a="1"/>
  <c r="I946" i="1" s="1"/>
  <c r="D947" i="1"/>
  <c r="F947" i="1"/>
  <c r="H947" i="1"/>
  <c r="I947" i="1" a="1"/>
  <c r="I947" i="1" s="1"/>
  <c r="D948" i="1"/>
  <c r="F948" i="1"/>
  <c r="H948" i="1"/>
  <c r="I948" i="1" a="1"/>
  <c r="I948" i="1" s="1"/>
  <c r="D949" i="1"/>
  <c r="F949" i="1"/>
  <c r="H949" i="1"/>
  <c r="I949" i="1" a="1"/>
  <c r="I949" i="1" s="1"/>
  <c r="D950" i="1"/>
  <c r="F950" i="1"/>
  <c r="H950" i="1"/>
  <c r="I950" i="1" a="1"/>
  <c r="I950" i="1" s="1"/>
  <c r="D951" i="1"/>
  <c r="F951" i="1"/>
  <c r="H951" i="1"/>
  <c r="I951" i="1" a="1"/>
  <c r="I951" i="1" s="1"/>
  <c r="D952" i="1"/>
  <c r="F952" i="1"/>
  <c r="H952" i="1"/>
  <c r="I952" i="1" a="1"/>
  <c r="I952" i="1" s="1"/>
  <c r="D953" i="1"/>
  <c r="F953" i="1"/>
  <c r="H953" i="1"/>
  <c r="I953" i="1" a="1"/>
  <c r="I953" i="1" s="1"/>
  <c r="D954" i="1"/>
  <c r="F954" i="1"/>
  <c r="H954" i="1"/>
  <c r="I954" i="1" a="1"/>
  <c r="I954" i="1" s="1"/>
  <c r="D955" i="1"/>
  <c r="F955" i="1"/>
  <c r="H955" i="1"/>
  <c r="I955" i="1" a="1"/>
  <c r="I955" i="1" s="1"/>
  <c r="D956" i="1"/>
  <c r="F956" i="1"/>
  <c r="H956" i="1"/>
  <c r="I956" i="1" a="1"/>
  <c r="I956" i="1" s="1"/>
  <c r="D957" i="1"/>
  <c r="F957" i="1"/>
  <c r="H957" i="1"/>
  <c r="I957" i="1" a="1"/>
  <c r="I957" i="1" s="1"/>
  <c r="D958" i="1"/>
  <c r="F958" i="1"/>
  <c r="H958" i="1"/>
  <c r="I958" i="1" a="1"/>
  <c r="I958" i="1" s="1"/>
  <c r="D959" i="1"/>
  <c r="F959" i="1"/>
  <c r="H959" i="1"/>
  <c r="I959" i="1" a="1"/>
  <c r="I959" i="1" s="1"/>
  <c r="D960" i="1"/>
  <c r="F960" i="1"/>
  <c r="H960" i="1"/>
  <c r="I960" i="1" a="1"/>
  <c r="I960" i="1" s="1"/>
  <c r="D961" i="1"/>
  <c r="F961" i="1"/>
  <c r="H961" i="1"/>
  <c r="I961" i="1" a="1"/>
  <c r="I961" i="1" s="1"/>
  <c r="D962" i="1"/>
  <c r="F962" i="1"/>
  <c r="H962" i="1"/>
  <c r="I962" i="1" a="1"/>
  <c r="I962" i="1" s="1"/>
  <c r="D963" i="1"/>
  <c r="F963" i="1"/>
  <c r="H963" i="1"/>
  <c r="I963" i="1" a="1"/>
  <c r="I963" i="1" s="1"/>
  <c r="D964" i="1"/>
  <c r="F964" i="1"/>
  <c r="H964" i="1"/>
  <c r="I964" i="1" a="1"/>
  <c r="I964" i="1" s="1"/>
  <c r="D965" i="1"/>
  <c r="F965" i="1"/>
  <c r="H965" i="1"/>
  <c r="I965" i="1" a="1"/>
  <c r="I965" i="1" s="1"/>
  <c r="D966" i="1"/>
  <c r="F966" i="1"/>
  <c r="H966" i="1"/>
  <c r="I966" i="1" a="1"/>
  <c r="I966" i="1" s="1"/>
  <c r="D967" i="1"/>
  <c r="F967" i="1"/>
  <c r="H967" i="1"/>
  <c r="I967" i="1" a="1"/>
  <c r="I967" i="1" s="1"/>
  <c r="D968" i="1"/>
  <c r="F968" i="1"/>
  <c r="H968" i="1"/>
  <c r="I968" i="1" a="1"/>
  <c r="I968" i="1" s="1"/>
  <c r="D969" i="1"/>
  <c r="F969" i="1"/>
  <c r="H969" i="1"/>
  <c r="I969" i="1" a="1"/>
  <c r="I969" i="1" s="1"/>
  <c r="D970" i="1"/>
  <c r="F970" i="1"/>
  <c r="H970" i="1"/>
  <c r="I970" i="1" a="1"/>
  <c r="I970" i="1" s="1"/>
  <c r="D971" i="1"/>
  <c r="F971" i="1"/>
  <c r="H971" i="1"/>
  <c r="I971" i="1" a="1"/>
  <c r="I971" i="1" s="1"/>
  <c r="D972" i="1"/>
  <c r="F972" i="1"/>
  <c r="H972" i="1"/>
  <c r="I972" i="1" a="1"/>
  <c r="I972" i="1" s="1"/>
  <c r="D973" i="1"/>
  <c r="F973" i="1"/>
  <c r="H973" i="1"/>
  <c r="I973" i="1" a="1"/>
  <c r="I973" i="1" s="1"/>
  <c r="D974" i="1"/>
  <c r="F974" i="1"/>
  <c r="H974" i="1"/>
  <c r="I974" i="1" a="1"/>
  <c r="I974" i="1" s="1"/>
  <c r="D975" i="1"/>
  <c r="F975" i="1"/>
  <c r="H975" i="1"/>
  <c r="I975" i="1" a="1"/>
  <c r="I975" i="1" s="1"/>
  <c r="D976" i="1"/>
  <c r="F976" i="1"/>
  <c r="H976" i="1"/>
  <c r="I976" i="1" a="1"/>
  <c r="I976" i="1" s="1"/>
  <c r="D977" i="1"/>
  <c r="F977" i="1"/>
  <c r="H977" i="1"/>
  <c r="I977" i="1" a="1"/>
  <c r="I977" i="1" s="1"/>
  <c r="D978" i="1"/>
  <c r="F978" i="1"/>
  <c r="H978" i="1"/>
  <c r="I978" i="1" a="1"/>
  <c r="I978" i="1" s="1"/>
  <c r="D979" i="1"/>
  <c r="F979" i="1"/>
  <c r="H979" i="1"/>
  <c r="I979" i="1" a="1"/>
  <c r="I979" i="1" s="1"/>
  <c r="D980" i="1"/>
  <c r="F980" i="1"/>
  <c r="H980" i="1"/>
  <c r="I980" i="1" a="1"/>
  <c r="I980" i="1" s="1"/>
  <c r="D981" i="1"/>
  <c r="F981" i="1"/>
  <c r="H981" i="1"/>
  <c r="I981" i="1" a="1"/>
  <c r="I981" i="1" s="1"/>
  <c r="D982" i="1"/>
  <c r="F982" i="1"/>
  <c r="H982" i="1"/>
  <c r="I982" i="1" a="1"/>
  <c r="I982" i="1" s="1"/>
  <c r="D983" i="1"/>
  <c r="F983" i="1"/>
  <c r="H983" i="1"/>
  <c r="I983" i="1" a="1"/>
  <c r="I983" i="1" s="1"/>
  <c r="D984" i="1"/>
  <c r="F984" i="1"/>
  <c r="H984" i="1"/>
  <c r="I984" i="1" a="1"/>
  <c r="I984" i="1" s="1"/>
  <c r="D985" i="1"/>
  <c r="F985" i="1"/>
  <c r="H985" i="1"/>
  <c r="I985" i="1" a="1"/>
  <c r="I985" i="1" s="1"/>
  <c r="D986" i="1"/>
  <c r="F986" i="1"/>
  <c r="H986" i="1"/>
  <c r="I986" i="1" a="1"/>
  <c r="I986" i="1" s="1"/>
  <c r="D987" i="1"/>
  <c r="F987" i="1"/>
  <c r="H987" i="1"/>
  <c r="I987" i="1" a="1"/>
  <c r="I987" i="1" s="1"/>
  <c r="D988" i="1"/>
  <c r="F988" i="1"/>
  <c r="H988" i="1"/>
  <c r="I988" i="1" a="1"/>
  <c r="I988" i="1" s="1"/>
  <c r="D989" i="1"/>
  <c r="F989" i="1"/>
  <c r="H989" i="1"/>
  <c r="I989" i="1" a="1"/>
  <c r="I989" i="1" s="1"/>
  <c r="D990" i="1"/>
  <c r="F990" i="1"/>
  <c r="H990" i="1"/>
  <c r="I990" i="1" a="1"/>
  <c r="I990" i="1" s="1"/>
  <c r="D991" i="1"/>
  <c r="F991" i="1"/>
  <c r="H991" i="1"/>
  <c r="I991" i="1" a="1"/>
  <c r="I991" i="1" s="1"/>
  <c r="D992" i="1"/>
  <c r="F992" i="1"/>
  <c r="H992" i="1"/>
  <c r="I992" i="1" a="1"/>
  <c r="I992" i="1" s="1"/>
  <c r="D993" i="1"/>
  <c r="F993" i="1"/>
  <c r="H993" i="1"/>
  <c r="I993" i="1" a="1"/>
  <c r="I993" i="1" s="1"/>
  <c r="D994" i="1"/>
  <c r="F994" i="1"/>
  <c r="H994" i="1"/>
  <c r="I994" i="1" a="1"/>
  <c r="I994" i="1" s="1"/>
  <c r="D995" i="1"/>
  <c r="F995" i="1"/>
  <c r="H995" i="1"/>
  <c r="I995" i="1" a="1"/>
  <c r="I995" i="1" s="1"/>
  <c r="D996" i="1"/>
  <c r="F996" i="1"/>
  <c r="H996" i="1"/>
  <c r="I996" i="1" a="1"/>
  <c r="I996" i="1" s="1"/>
  <c r="D997" i="1"/>
  <c r="F997" i="1"/>
  <c r="H997" i="1"/>
  <c r="I997" i="1" a="1"/>
  <c r="I997" i="1" s="1"/>
  <c r="D998" i="1"/>
  <c r="F998" i="1"/>
  <c r="H998" i="1"/>
  <c r="I998" i="1" a="1"/>
  <c r="I998" i="1" s="1"/>
  <c r="D999" i="1"/>
  <c r="F999" i="1"/>
  <c r="H999" i="1"/>
  <c r="I999" i="1" a="1"/>
  <c r="I999" i="1" s="1"/>
  <c r="D1000" i="1"/>
  <c r="F1000" i="1"/>
  <c r="H1000" i="1"/>
  <c r="I1000" i="1" a="1"/>
  <c r="I1000" i="1" s="1"/>
  <c r="D1001" i="1"/>
  <c r="F1001" i="1"/>
  <c r="H1001" i="1"/>
  <c r="I1001" i="1" a="1"/>
  <c r="I1001" i="1" s="1"/>
  <c r="D1002" i="1"/>
  <c r="F1002" i="1"/>
  <c r="H1002" i="1"/>
  <c r="I1002" i="1" a="1"/>
  <c r="I1002" i="1" s="1"/>
  <c r="D1003" i="1"/>
  <c r="F1003" i="1"/>
  <c r="H1003" i="1"/>
  <c r="I1003" i="1" a="1"/>
  <c r="I1003" i="1" s="1"/>
  <c r="D1004" i="1"/>
  <c r="F1004" i="1"/>
  <c r="H1004" i="1"/>
  <c r="I1004" i="1" a="1"/>
  <c r="I1004" i="1" s="1"/>
  <c r="D1005" i="1"/>
  <c r="F1005" i="1"/>
  <c r="H1005" i="1"/>
  <c r="I1005" i="1" a="1"/>
  <c r="I1005" i="1" s="1"/>
  <c r="D1006" i="1"/>
  <c r="F1006" i="1"/>
  <c r="H1006" i="1"/>
  <c r="I1006" i="1" a="1"/>
  <c r="I1006" i="1" s="1"/>
  <c r="D1007" i="1"/>
  <c r="F1007" i="1"/>
  <c r="H1007" i="1"/>
  <c r="I1007" i="1" a="1"/>
  <c r="I1007" i="1" s="1"/>
  <c r="D1008" i="1"/>
  <c r="F1008" i="1"/>
  <c r="H1008" i="1"/>
  <c r="I1008" i="1" a="1"/>
  <c r="I1008" i="1" s="1"/>
  <c r="D1009" i="1"/>
  <c r="F1009" i="1"/>
  <c r="H1009" i="1"/>
  <c r="I1009" i="1" a="1"/>
  <c r="I1009" i="1" s="1"/>
  <c r="D1010" i="1"/>
  <c r="F1010" i="1"/>
  <c r="H1010" i="1"/>
  <c r="I1010" i="1" a="1"/>
  <c r="I1010" i="1" s="1"/>
  <c r="D1011" i="1"/>
  <c r="F1011" i="1"/>
  <c r="H1011" i="1"/>
  <c r="I1011" i="1" a="1"/>
  <c r="I1011" i="1" s="1"/>
  <c r="D1012" i="1"/>
  <c r="F1012" i="1"/>
  <c r="H1012" i="1"/>
  <c r="I1012" i="1" a="1"/>
  <c r="I1012" i="1" s="1"/>
  <c r="D1013" i="1"/>
  <c r="F1013" i="1"/>
  <c r="H1013" i="1"/>
  <c r="I1013" i="1" a="1"/>
  <c r="I1013" i="1" s="1"/>
  <c r="D1014" i="1"/>
  <c r="F1014" i="1"/>
  <c r="H1014" i="1"/>
  <c r="I1014" i="1" a="1"/>
  <c r="I1014" i="1" s="1"/>
  <c r="D1015" i="1"/>
  <c r="F1015" i="1"/>
  <c r="H1015" i="1"/>
  <c r="I1015" i="1" a="1"/>
  <c r="I1015" i="1" s="1"/>
  <c r="D1016" i="1"/>
  <c r="F1016" i="1"/>
  <c r="H1016" i="1"/>
  <c r="I1016" i="1" a="1"/>
  <c r="I1016" i="1" s="1"/>
  <c r="D1017" i="1"/>
  <c r="F1017" i="1"/>
  <c r="H1017" i="1"/>
  <c r="I1017" i="1" a="1"/>
  <c r="I1017" i="1" s="1"/>
  <c r="D1018" i="1"/>
  <c r="F1018" i="1"/>
  <c r="H1018" i="1"/>
  <c r="I1018" i="1" a="1"/>
  <c r="I1018" i="1" s="1"/>
  <c r="D1019" i="1"/>
  <c r="F1019" i="1"/>
  <c r="H1019" i="1"/>
  <c r="I1019" i="1" a="1"/>
  <c r="I1019" i="1" s="1"/>
  <c r="D1020" i="1"/>
  <c r="F1020" i="1"/>
  <c r="H1020" i="1"/>
  <c r="I1020" i="1" a="1"/>
  <c r="I1020" i="1" s="1"/>
  <c r="D1021" i="1"/>
  <c r="F1021" i="1"/>
  <c r="H1021" i="1"/>
  <c r="I1021" i="1" a="1"/>
  <c r="I1021" i="1" s="1"/>
  <c r="D1022" i="1"/>
  <c r="F1022" i="1"/>
  <c r="H1022" i="1"/>
  <c r="I1022" i="1" a="1"/>
  <c r="I1022" i="1" s="1"/>
  <c r="D1023" i="1"/>
  <c r="F1023" i="1"/>
  <c r="H1023" i="1"/>
  <c r="I1023" i="1" a="1"/>
  <c r="I1023" i="1" s="1"/>
  <c r="D1024" i="1"/>
  <c r="F1024" i="1"/>
  <c r="H1024" i="1"/>
  <c r="I1024" i="1" a="1"/>
  <c r="I1024" i="1" s="1"/>
  <c r="D1025" i="1"/>
  <c r="F1025" i="1"/>
  <c r="H1025" i="1"/>
  <c r="I1025" i="1" a="1"/>
  <c r="I1025" i="1" s="1"/>
  <c r="D1026" i="1"/>
  <c r="F1026" i="1"/>
  <c r="H1026" i="1"/>
  <c r="I1026" i="1" a="1"/>
  <c r="I1026" i="1" s="1"/>
  <c r="D1027" i="1"/>
  <c r="F1027" i="1"/>
  <c r="H1027" i="1"/>
  <c r="I1027" i="1" a="1"/>
  <c r="I1027" i="1" s="1"/>
  <c r="D1028" i="1"/>
  <c r="F1028" i="1"/>
  <c r="H1028" i="1"/>
  <c r="I1028" i="1" a="1"/>
  <c r="I1028" i="1" s="1"/>
  <c r="D1029" i="1"/>
  <c r="F1029" i="1"/>
  <c r="H1029" i="1"/>
  <c r="I1029" i="1" a="1"/>
  <c r="I1029" i="1" s="1"/>
  <c r="D1030" i="1"/>
  <c r="F1030" i="1"/>
  <c r="H1030" i="1"/>
  <c r="I1030" i="1" a="1"/>
  <c r="I1030" i="1" s="1"/>
  <c r="D1031" i="1"/>
  <c r="F1031" i="1"/>
  <c r="H1031" i="1"/>
  <c r="I1031" i="1" a="1"/>
  <c r="I1031" i="1" s="1"/>
  <c r="D1032" i="1"/>
  <c r="F1032" i="1"/>
  <c r="H1032" i="1"/>
  <c r="I1032" i="1" a="1"/>
  <c r="I1032" i="1" s="1"/>
  <c r="D1033" i="1"/>
  <c r="F1033" i="1"/>
  <c r="H1033" i="1"/>
  <c r="I1033" i="1" a="1"/>
  <c r="I1033" i="1" s="1"/>
  <c r="D1034" i="1"/>
  <c r="F1034" i="1"/>
  <c r="H1034" i="1"/>
  <c r="I1034" i="1" a="1"/>
  <c r="I1034" i="1" s="1"/>
  <c r="D1035" i="1"/>
  <c r="F1035" i="1"/>
  <c r="H1035" i="1"/>
  <c r="I1035" i="1" a="1"/>
  <c r="I1035" i="1" s="1"/>
  <c r="D1036" i="1"/>
  <c r="F1036" i="1"/>
  <c r="H1036" i="1"/>
  <c r="I1036" i="1" a="1"/>
  <c r="I1036" i="1" s="1"/>
  <c r="D1037" i="1"/>
  <c r="F1037" i="1"/>
  <c r="H1037" i="1"/>
  <c r="I1037" i="1" a="1"/>
  <c r="I1037" i="1" s="1"/>
  <c r="D1038" i="1"/>
  <c r="F1038" i="1"/>
  <c r="H1038" i="1"/>
  <c r="I1038" i="1" a="1"/>
  <c r="I1038" i="1" s="1"/>
  <c r="D1039" i="1"/>
  <c r="F1039" i="1"/>
  <c r="H1039" i="1"/>
  <c r="I1039" i="1" a="1"/>
  <c r="I1039" i="1" s="1"/>
  <c r="D1040" i="1"/>
  <c r="F1040" i="1"/>
  <c r="H1040" i="1"/>
  <c r="I1040" i="1" a="1"/>
  <c r="I1040" i="1" s="1"/>
  <c r="D1041" i="1"/>
  <c r="F1041" i="1"/>
  <c r="H1041" i="1"/>
  <c r="I1041" i="1" a="1"/>
  <c r="I1041" i="1" s="1"/>
  <c r="D1042" i="1"/>
  <c r="F1042" i="1"/>
  <c r="H1042" i="1"/>
  <c r="I1042" i="1" a="1"/>
  <c r="I1042" i="1" s="1"/>
  <c r="D1043" i="1"/>
  <c r="F1043" i="1"/>
  <c r="H1043" i="1"/>
  <c r="I1043" i="1" a="1"/>
  <c r="I1043" i="1" s="1"/>
  <c r="D1044" i="1"/>
  <c r="F1044" i="1"/>
  <c r="H1044" i="1"/>
  <c r="I1044" i="1" a="1"/>
  <c r="I1044" i="1" s="1"/>
  <c r="D1045" i="1"/>
  <c r="F1045" i="1"/>
  <c r="H1045" i="1"/>
  <c r="I1045" i="1" a="1"/>
  <c r="I1045" i="1" s="1"/>
  <c r="D1046" i="1"/>
  <c r="F1046" i="1"/>
  <c r="H1046" i="1"/>
  <c r="I1046" i="1" a="1"/>
  <c r="I1046" i="1" s="1"/>
  <c r="D1047" i="1"/>
  <c r="F1047" i="1"/>
  <c r="H1047" i="1"/>
  <c r="I1047" i="1" a="1"/>
  <c r="I1047" i="1" s="1"/>
  <c r="D1048" i="1"/>
  <c r="F1048" i="1"/>
  <c r="H1048" i="1"/>
  <c r="I1048" i="1" a="1"/>
  <c r="I1048" i="1" s="1"/>
  <c r="D1049" i="1"/>
  <c r="F1049" i="1"/>
  <c r="H1049" i="1"/>
  <c r="I1049" i="1" a="1"/>
  <c r="I1049" i="1" s="1"/>
  <c r="D1050" i="1"/>
  <c r="F1050" i="1"/>
  <c r="H1050" i="1"/>
  <c r="I1050" i="1" a="1"/>
  <c r="I1050" i="1" s="1"/>
  <c r="D1051" i="1"/>
  <c r="F1051" i="1"/>
  <c r="H1051" i="1"/>
  <c r="I1051" i="1" a="1"/>
  <c r="I1051" i="1" s="1"/>
  <c r="D1052" i="1"/>
  <c r="F1052" i="1"/>
  <c r="H1052" i="1"/>
  <c r="I1052" i="1" a="1"/>
  <c r="I1052" i="1" s="1"/>
  <c r="D1053" i="1"/>
  <c r="F1053" i="1"/>
  <c r="H1053" i="1"/>
  <c r="I1053" i="1" a="1"/>
  <c r="I1053" i="1" s="1"/>
  <c r="D1054" i="1"/>
  <c r="F1054" i="1"/>
  <c r="H1054" i="1"/>
  <c r="I1054" i="1" a="1"/>
  <c r="I1054" i="1" s="1"/>
  <c r="D1055" i="1"/>
  <c r="F1055" i="1"/>
  <c r="H1055" i="1"/>
  <c r="I1055" i="1" a="1"/>
  <c r="I1055" i="1" s="1"/>
  <c r="D1056" i="1"/>
  <c r="F1056" i="1"/>
  <c r="H1056" i="1"/>
  <c r="I1056" i="1" a="1"/>
  <c r="I1056" i="1" s="1"/>
  <c r="D1057" i="1"/>
  <c r="F1057" i="1"/>
  <c r="H1057" i="1"/>
  <c r="I1057" i="1" a="1"/>
  <c r="I1057" i="1" s="1"/>
  <c r="D1058" i="1"/>
  <c r="F1058" i="1"/>
  <c r="H1058" i="1"/>
  <c r="I1058" i="1" a="1"/>
  <c r="I1058" i="1" s="1"/>
  <c r="D1059" i="1"/>
  <c r="F1059" i="1"/>
  <c r="H1059" i="1"/>
  <c r="I1059" i="1" a="1"/>
  <c r="I1059" i="1" s="1"/>
  <c r="D1060" i="1"/>
  <c r="F1060" i="1"/>
  <c r="H1060" i="1"/>
  <c r="I1060" i="1" a="1"/>
  <c r="I1060" i="1" s="1"/>
  <c r="D1061" i="1"/>
  <c r="F1061" i="1"/>
  <c r="H1061" i="1"/>
  <c r="I1061" i="1" a="1"/>
  <c r="I1061" i="1" s="1"/>
  <c r="D1062" i="1"/>
  <c r="F1062" i="1"/>
  <c r="H1062" i="1"/>
  <c r="I1062" i="1" a="1"/>
  <c r="I1062" i="1" s="1"/>
  <c r="D1063" i="1"/>
  <c r="F1063" i="1"/>
  <c r="H1063" i="1"/>
  <c r="I1063" i="1" a="1"/>
  <c r="I1063" i="1" s="1"/>
  <c r="D1064" i="1"/>
  <c r="F1064" i="1"/>
  <c r="H1064" i="1"/>
  <c r="I1064" i="1" a="1"/>
  <c r="I1064" i="1" s="1"/>
  <c r="D1065" i="1"/>
  <c r="F1065" i="1"/>
  <c r="H1065" i="1"/>
  <c r="I1065" i="1" a="1"/>
  <c r="I1065" i="1" s="1"/>
  <c r="D1066" i="1"/>
  <c r="F1066" i="1"/>
  <c r="H1066" i="1"/>
  <c r="I1066" i="1" a="1"/>
  <c r="I1066" i="1" s="1"/>
  <c r="D1067" i="1"/>
  <c r="F1067" i="1"/>
  <c r="H1067" i="1"/>
  <c r="I1067" i="1" a="1"/>
  <c r="I1067" i="1" s="1"/>
  <c r="D1068" i="1"/>
  <c r="F1068" i="1"/>
  <c r="H1068" i="1"/>
  <c r="I1068" i="1" a="1"/>
  <c r="I1068" i="1" s="1"/>
  <c r="D1069" i="1"/>
  <c r="F1069" i="1"/>
  <c r="H1069" i="1"/>
  <c r="I1069" i="1" a="1"/>
  <c r="I1069" i="1" s="1"/>
  <c r="D1070" i="1"/>
  <c r="F1070" i="1"/>
  <c r="H1070" i="1"/>
  <c r="I1070" i="1" a="1"/>
  <c r="I1070" i="1" s="1"/>
  <c r="D1071" i="1"/>
  <c r="F1071" i="1"/>
  <c r="H1071" i="1"/>
  <c r="I1071" i="1" a="1"/>
  <c r="I1071" i="1" s="1"/>
  <c r="D1072" i="1"/>
  <c r="F1072" i="1"/>
  <c r="H1072" i="1"/>
  <c r="I1072" i="1" a="1"/>
  <c r="I1072" i="1" s="1"/>
  <c r="D1073" i="1"/>
  <c r="F1073" i="1"/>
  <c r="H1073" i="1"/>
  <c r="I1073" i="1" a="1"/>
  <c r="I1073" i="1" s="1"/>
  <c r="D1074" i="1"/>
  <c r="F1074" i="1"/>
  <c r="H1074" i="1"/>
  <c r="I1074" i="1" a="1"/>
  <c r="I1074" i="1" s="1"/>
  <c r="D1075" i="1"/>
  <c r="F1075" i="1"/>
  <c r="H1075" i="1"/>
  <c r="I1075" i="1" a="1"/>
  <c r="I1075" i="1" s="1"/>
  <c r="D1076" i="1"/>
  <c r="F1076" i="1"/>
  <c r="H1076" i="1"/>
  <c r="I1076" i="1" a="1"/>
  <c r="I1076" i="1" s="1"/>
  <c r="D1077" i="1"/>
  <c r="F1077" i="1"/>
  <c r="H1077" i="1"/>
  <c r="I1077" i="1" a="1"/>
  <c r="I1077" i="1" s="1"/>
  <c r="D1078" i="1"/>
  <c r="F1078" i="1"/>
  <c r="H1078" i="1"/>
  <c r="I1078" i="1" a="1"/>
  <c r="I1078" i="1" s="1"/>
  <c r="D1079" i="1"/>
  <c r="F1079" i="1"/>
  <c r="H1079" i="1"/>
  <c r="I1079" i="1" a="1"/>
  <c r="I1079" i="1" s="1"/>
  <c r="D1080" i="1"/>
  <c r="F1080" i="1"/>
  <c r="H1080" i="1"/>
  <c r="I1080" i="1" a="1"/>
  <c r="I1080" i="1" s="1"/>
  <c r="D1081" i="1"/>
  <c r="F1081" i="1"/>
  <c r="H1081" i="1"/>
  <c r="I1081" i="1" a="1"/>
  <c r="I1081" i="1" s="1"/>
  <c r="D1082" i="1"/>
  <c r="F1082" i="1"/>
  <c r="H1082" i="1"/>
  <c r="I1082" i="1" a="1"/>
  <c r="I1082" i="1" s="1"/>
  <c r="D1083" i="1"/>
  <c r="F1083" i="1"/>
  <c r="H1083" i="1"/>
  <c r="I1083" i="1" a="1"/>
  <c r="I1083" i="1" s="1"/>
  <c r="D1084" i="1"/>
  <c r="F1084" i="1"/>
  <c r="H1084" i="1"/>
  <c r="I1084" i="1" a="1"/>
  <c r="I1084" i="1" s="1"/>
  <c r="D1085" i="1"/>
  <c r="F1085" i="1"/>
  <c r="H1085" i="1"/>
  <c r="I1085" i="1" a="1"/>
  <c r="I1085" i="1" s="1"/>
  <c r="D1086" i="1"/>
  <c r="F1086" i="1"/>
  <c r="H1086" i="1"/>
  <c r="I1086" i="1" a="1"/>
  <c r="I1086" i="1" s="1"/>
  <c r="D1087" i="1"/>
  <c r="F1087" i="1"/>
  <c r="H1087" i="1"/>
  <c r="I1087" i="1" a="1"/>
  <c r="I1087" i="1" s="1"/>
  <c r="D1088" i="1"/>
  <c r="F1088" i="1"/>
  <c r="H1088" i="1"/>
  <c r="I1088" i="1" a="1"/>
  <c r="I1088" i="1" s="1"/>
  <c r="D1089" i="1"/>
  <c r="F1089" i="1"/>
  <c r="H1089" i="1"/>
  <c r="I1089" i="1" a="1"/>
  <c r="I1089" i="1" s="1"/>
  <c r="D1090" i="1"/>
  <c r="F1090" i="1"/>
  <c r="H1090" i="1"/>
  <c r="I1090" i="1" a="1"/>
  <c r="I1090" i="1" s="1"/>
  <c r="D1091" i="1"/>
  <c r="F1091" i="1"/>
  <c r="H1091" i="1"/>
  <c r="I1091" i="1" a="1"/>
  <c r="I1091" i="1" s="1"/>
  <c r="D1092" i="1"/>
  <c r="F1092" i="1"/>
  <c r="H1092" i="1"/>
  <c r="I1092" i="1" a="1"/>
  <c r="I1092" i="1" s="1"/>
  <c r="D1093" i="1"/>
  <c r="F1093" i="1"/>
  <c r="H1093" i="1"/>
  <c r="I1093" i="1" a="1"/>
  <c r="I1093" i="1" s="1"/>
  <c r="D1094" i="1"/>
  <c r="F1094" i="1"/>
  <c r="H1094" i="1"/>
  <c r="I1094" i="1" a="1"/>
  <c r="I1094" i="1" s="1"/>
  <c r="D1095" i="1"/>
  <c r="F1095" i="1"/>
  <c r="H1095" i="1"/>
  <c r="I1095" i="1" a="1"/>
  <c r="I1095" i="1" s="1"/>
  <c r="D1096" i="1"/>
  <c r="F1096" i="1"/>
  <c r="H1096" i="1"/>
  <c r="I1096" i="1" a="1"/>
  <c r="I1096" i="1" s="1"/>
  <c r="D1097" i="1"/>
  <c r="F1097" i="1"/>
  <c r="H1097" i="1"/>
  <c r="I1097" i="1" a="1"/>
  <c r="I1097" i="1" s="1"/>
  <c r="D1098" i="1"/>
  <c r="F1098" i="1"/>
  <c r="H1098" i="1"/>
  <c r="I1098" i="1" a="1"/>
  <c r="I1098" i="1" s="1"/>
  <c r="D1099" i="1"/>
  <c r="F1099" i="1"/>
  <c r="H1099" i="1"/>
  <c r="I1099" i="1" a="1"/>
  <c r="I1099" i="1" s="1"/>
  <c r="D1100" i="1"/>
  <c r="F1100" i="1"/>
  <c r="H1100" i="1"/>
  <c r="I1100" i="1" a="1"/>
  <c r="I1100" i="1" s="1"/>
  <c r="D1101" i="1"/>
  <c r="F1101" i="1"/>
  <c r="H1101" i="1"/>
  <c r="I1101" i="1" a="1"/>
  <c r="I1101" i="1" s="1"/>
  <c r="D1102" i="1"/>
  <c r="F1102" i="1"/>
  <c r="H1102" i="1"/>
  <c r="I1102" i="1" a="1"/>
  <c r="I1102" i="1" s="1"/>
  <c r="D1103" i="1"/>
  <c r="F1103" i="1"/>
  <c r="H1103" i="1"/>
  <c r="I1103" i="1" a="1"/>
  <c r="I1103" i="1" s="1"/>
  <c r="D1104" i="1"/>
  <c r="F1104" i="1"/>
  <c r="H1104" i="1"/>
  <c r="I1104" i="1" a="1"/>
  <c r="I1104" i="1" s="1"/>
  <c r="D1105" i="1"/>
  <c r="F1105" i="1"/>
  <c r="H1105" i="1"/>
  <c r="I1105" i="1" a="1"/>
  <c r="I1105" i="1" s="1"/>
  <c r="D1106" i="1"/>
  <c r="F1106" i="1"/>
  <c r="H1106" i="1"/>
  <c r="I1106" i="1" a="1"/>
  <c r="I1106" i="1" s="1"/>
  <c r="D1107" i="1"/>
  <c r="F1107" i="1"/>
  <c r="H1107" i="1"/>
  <c r="I1107" i="1" a="1"/>
  <c r="I1107" i="1" s="1"/>
  <c r="D1108" i="1"/>
  <c r="F1108" i="1"/>
  <c r="H1108" i="1"/>
  <c r="I1108" i="1" a="1"/>
  <c r="I1108" i="1" s="1"/>
  <c r="D1109" i="1"/>
  <c r="F1109" i="1"/>
  <c r="H1109" i="1"/>
  <c r="I1109" i="1" a="1"/>
  <c r="I1109" i="1" s="1"/>
  <c r="D1110" i="1"/>
  <c r="F1110" i="1"/>
  <c r="H1110" i="1"/>
  <c r="I1110" i="1" a="1"/>
  <c r="I1110" i="1" s="1"/>
  <c r="D1111" i="1"/>
  <c r="F1111" i="1"/>
  <c r="H1111" i="1"/>
  <c r="I1111" i="1" a="1"/>
  <c r="I1111" i="1" s="1"/>
  <c r="D1112" i="1"/>
  <c r="F1112" i="1"/>
  <c r="H1112" i="1"/>
  <c r="I1112" i="1" a="1"/>
  <c r="I1112" i="1" s="1"/>
  <c r="D1113" i="1"/>
  <c r="F1113" i="1"/>
  <c r="H1113" i="1"/>
  <c r="I1113" i="1" a="1"/>
  <c r="I1113" i="1" s="1"/>
  <c r="D1114" i="1"/>
  <c r="F1114" i="1"/>
  <c r="H1114" i="1"/>
  <c r="I1114" i="1" a="1"/>
  <c r="I1114" i="1" s="1"/>
  <c r="D1115" i="1"/>
  <c r="F1115" i="1"/>
  <c r="H1115" i="1"/>
  <c r="I1115" i="1" a="1"/>
  <c r="I1115" i="1" s="1"/>
  <c r="D1116" i="1"/>
  <c r="F1116" i="1"/>
  <c r="H1116" i="1"/>
  <c r="I1116" i="1" a="1"/>
  <c r="I1116" i="1" s="1"/>
  <c r="D1117" i="1"/>
  <c r="F1117" i="1"/>
  <c r="H1117" i="1"/>
  <c r="I1117" i="1" a="1"/>
  <c r="I1117" i="1" s="1"/>
  <c r="D1118" i="1"/>
  <c r="F1118" i="1"/>
  <c r="H1118" i="1"/>
  <c r="I1118" i="1" a="1"/>
  <c r="I1118" i="1" s="1"/>
  <c r="D1119" i="1"/>
  <c r="F1119" i="1"/>
  <c r="H1119" i="1"/>
  <c r="I1119" i="1" a="1"/>
  <c r="I1119" i="1" s="1"/>
  <c r="D1120" i="1"/>
  <c r="F1120" i="1"/>
  <c r="H1120" i="1"/>
  <c r="I1120" i="1" a="1"/>
  <c r="I1120" i="1" s="1"/>
  <c r="D1121" i="1"/>
  <c r="F1121" i="1"/>
  <c r="H1121" i="1"/>
  <c r="I1121" i="1" a="1"/>
  <c r="I1121" i="1" s="1"/>
  <c r="D1122" i="1"/>
  <c r="F1122" i="1"/>
  <c r="H1122" i="1"/>
  <c r="I1122" i="1" a="1"/>
  <c r="I1122" i="1" s="1"/>
  <c r="D1123" i="1"/>
  <c r="F1123" i="1"/>
  <c r="H1123" i="1"/>
  <c r="I1123" i="1" a="1"/>
  <c r="I1123" i="1" s="1"/>
  <c r="D1124" i="1"/>
  <c r="F1124" i="1"/>
  <c r="H1124" i="1"/>
  <c r="I1124" i="1" a="1"/>
  <c r="I1124" i="1" s="1"/>
  <c r="D1125" i="1"/>
  <c r="F1125" i="1"/>
  <c r="H1125" i="1"/>
  <c r="I1125" i="1" a="1"/>
  <c r="I1125" i="1" s="1"/>
  <c r="D1126" i="1"/>
  <c r="F1126" i="1"/>
  <c r="H1126" i="1"/>
  <c r="I1126" i="1" a="1"/>
  <c r="I1126" i="1" s="1"/>
  <c r="D1127" i="1"/>
  <c r="F1127" i="1"/>
  <c r="H1127" i="1"/>
  <c r="I1127" i="1" a="1"/>
  <c r="I1127" i="1" s="1"/>
  <c r="D1128" i="1"/>
  <c r="F1128" i="1"/>
  <c r="H1128" i="1"/>
  <c r="I1128" i="1" a="1"/>
  <c r="I1128" i="1" s="1"/>
  <c r="D1129" i="1"/>
  <c r="F1129" i="1"/>
  <c r="H1129" i="1"/>
  <c r="I1129" i="1" a="1"/>
  <c r="I1129" i="1" s="1"/>
  <c r="D1130" i="1"/>
  <c r="F1130" i="1"/>
  <c r="H1130" i="1"/>
  <c r="I1130" i="1" a="1"/>
  <c r="I1130" i="1" s="1"/>
  <c r="D1131" i="1"/>
  <c r="F1131" i="1"/>
  <c r="H1131" i="1"/>
  <c r="I1131" i="1" a="1"/>
  <c r="I1131" i="1" s="1"/>
  <c r="D1132" i="1"/>
  <c r="F1132" i="1"/>
  <c r="H1132" i="1"/>
  <c r="I1132" i="1" a="1"/>
  <c r="I1132" i="1" s="1"/>
  <c r="D1133" i="1"/>
  <c r="F1133" i="1"/>
  <c r="H1133" i="1"/>
  <c r="I1133" i="1" a="1"/>
  <c r="I1133" i="1" s="1"/>
  <c r="D1134" i="1"/>
  <c r="F1134" i="1"/>
  <c r="H1134" i="1"/>
  <c r="I1134" i="1" a="1"/>
  <c r="I1134" i="1" s="1"/>
  <c r="D1135" i="1"/>
  <c r="F1135" i="1"/>
  <c r="H1135" i="1"/>
  <c r="I1135" i="1" a="1"/>
  <c r="I1135" i="1" s="1"/>
  <c r="D1136" i="1"/>
  <c r="F1136" i="1"/>
  <c r="H1136" i="1"/>
  <c r="I1136" i="1" a="1"/>
  <c r="I1136" i="1" s="1"/>
  <c r="D1137" i="1"/>
  <c r="F1137" i="1"/>
  <c r="H1137" i="1"/>
  <c r="I1137" i="1" a="1"/>
  <c r="I1137" i="1" s="1"/>
  <c r="D1138" i="1"/>
  <c r="F1138" i="1"/>
  <c r="H1138" i="1"/>
  <c r="I1138" i="1" a="1"/>
  <c r="I1138" i="1" s="1"/>
  <c r="D1139" i="1"/>
  <c r="F1139" i="1"/>
  <c r="H1139" i="1"/>
  <c r="I1139" i="1" a="1"/>
  <c r="I1139" i="1" s="1"/>
  <c r="D1140" i="1"/>
  <c r="F1140" i="1"/>
  <c r="H1140" i="1"/>
  <c r="I1140" i="1" a="1"/>
  <c r="I1140" i="1" s="1"/>
  <c r="D1141" i="1"/>
  <c r="F1141" i="1"/>
  <c r="H1141" i="1"/>
  <c r="I1141" i="1" a="1"/>
  <c r="I1141" i="1" s="1"/>
  <c r="D1142" i="1"/>
  <c r="F1142" i="1"/>
  <c r="H1142" i="1"/>
  <c r="I1142" i="1" a="1"/>
  <c r="I1142" i="1" s="1"/>
  <c r="D1143" i="1"/>
  <c r="F1143" i="1"/>
  <c r="H1143" i="1"/>
  <c r="I1143" i="1" a="1"/>
  <c r="I1143" i="1" s="1"/>
  <c r="D1144" i="1"/>
  <c r="F1144" i="1"/>
  <c r="H1144" i="1"/>
  <c r="I1144" i="1" a="1"/>
  <c r="I1144" i="1" s="1"/>
  <c r="D1145" i="1"/>
  <c r="F1145" i="1"/>
  <c r="H1145" i="1"/>
  <c r="I1145" i="1" a="1"/>
  <c r="I1145" i="1" s="1"/>
  <c r="D1146" i="1"/>
  <c r="F1146" i="1"/>
  <c r="H1146" i="1"/>
  <c r="I1146" i="1" a="1"/>
  <c r="I1146" i="1" s="1"/>
  <c r="D1147" i="1"/>
  <c r="F1147" i="1"/>
  <c r="H1147" i="1"/>
  <c r="I1147" i="1" a="1"/>
  <c r="I1147" i="1" s="1"/>
  <c r="D1148" i="1"/>
  <c r="F1148" i="1"/>
  <c r="H1148" i="1"/>
  <c r="I1148" i="1" a="1"/>
  <c r="I1148" i="1" s="1"/>
  <c r="D1149" i="1"/>
  <c r="F1149" i="1"/>
  <c r="H1149" i="1"/>
  <c r="I1149" i="1" a="1"/>
  <c r="I1149" i="1" s="1"/>
  <c r="D1150" i="1"/>
  <c r="F1150" i="1"/>
  <c r="H1150" i="1"/>
  <c r="I1150" i="1" a="1"/>
  <c r="I1150" i="1" s="1"/>
  <c r="D1151" i="1"/>
  <c r="F1151" i="1"/>
  <c r="H1151" i="1"/>
  <c r="I1151" i="1" a="1"/>
  <c r="I1151" i="1" s="1"/>
  <c r="D1152" i="1"/>
  <c r="F1152" i="1"/>
  <c r="H1152" i="1"/>
  <c r="I1152" i="1" a="1"/>
  <c r="I1152" i="1" s="1"/>
  <c r="D1153" i="1"/>
  <c r="F1153" i="1"/>
  <c r="H1153" i="1"/>
  <c r="I1153" i="1" a="1"/>
  <c r="I1153" i="1" s="1"/>
  <c r="D1154" i="1"/>
  <c r="F1154" i="1"/>
  <c r="H1154" i="1"/>
  <c r="I1154" i="1" a="1"/>
  <c r="I1154" i="1" s="1"/>
  <c r="D1155" i="1"/>
  <c r="F1155" i="1"/>
  <c r="H1155" i="1"/>
  <c r="I1155" i="1" a="1"/>
  <c r="I1155" i="1" s="1"/>
  <c r="D1156" i="1"/>
  <c r="F1156" i="1"/>
  <c r="H1156" i="1"/>
  <c r="I1156" i="1" a="1"/>
  <c r="I1156" i="1" s="1"/>
  <c r="D1157" i="1"/>
  <c r="F1157" i="1"/>
  <c r="H1157" i="1"/>
  <c r="I1157" i="1" a="1"/>
  <c r="I1157" i="1" s="1"/>
  <c r="D1158" i="1"/>
  <c r="F1158" i="1"/>
  <c r="H1158" i="1"/>
  <c r="I1158" i="1" a="1"/>
  <c r="I1158" i="1" s="1"/>
  <c r="D1159" i="1"/>
  <c r="F1159" i="1"/>
  <c r="H1159" i="1"/>
  <c r="I1159" i="1" a="1"/>
  <c r="I1159" i="1" s="1"/>
  <c r="D1160" i="1"/>
  <c r="F1160" i="1"/>
  <c r="H1160" i="1"/>
  <c r="I1160" i="1" a="1"/>
  <c r="I1160" i="1" s="1"/>
  <c r="D1161" i="1"/>
  <c r="F1161" i="1"/>
  <c r="H1161" i="1"/>
  <c r="I1161" i="1" a="1"/>
  <c r="I1161" i="1" s="1"/>
  <c r="D1162" i="1"/>
  <c r="F1162" i="1"/>
  <c r="H1162" i="1"/>
  <c r="I1162" i="1" a="1"/>
  <c r="I1162" i="1" s="1"/>
  <c r="D1163" i="1"/>
  <c r="F1163" i="1"/>
  <c r="H1163" i="1"/>
  <c r="I1163" i="1" a="1"/>
  <c r="I1163" i="1" s="1"/>
  <c r="D1164" i="1"/>
  <c r="F1164" i="1"/>
  <c r="H1164" i="1"/>
  <c r="I1164" i="1" a="1"/>
  <c r="I1164" i="1" s="1"/>
  <c r="D1165" i="1"/>
  <c r="F1165" i="1"/>
  <c r="H1165" i="1"/>
  <c r="I1165" i="1" a="1"/>
  <c r="I1165" i="1" s="1"/>
  <c r="D1166" i="1"/>
  <c r="F1166" i="1"/>
  <c r="H1166" i="1"/>
  <c r="I1166" i="1" a="1"/>
  <c r="I1166" i="1" s="1"/>
  <c r="D1167" i="1"/>
  <c r="F1167" i="1"/>
  <c r="H1167" i="1"/>
  <c r="I1167" i="1" a="1"/>
  <c r="I1167" i="1" s="1"/>
  <c r="D1168" i="1"/>
  <c r="F1168" i="1"/>
  <c r="H1168" i="1"/>
  <c r="I1168" i="1" a="1"/>
  <c r="I1168" i="1" s="1"/>
  <c r="D1169" i="1"/>
  <c r="F1169" i="1"/>
  <c r="H1169" i="1"/>
  <c r="I1169" i="1" a="1"/>
  <c r="I1169" i="1" s="1"/>
  <c r="D1170" i="1"/>
  <c r="F1170" i="1"/>
  <c r="H1170" i="1"/>
  <c r="I1170" i="1" a="1"/>
  <c r="I1170" i="1" s="1"/>
  <c r="D1171" i="1"/>
  <c r="F1171" i="1"/>
  <c r="H1171" i="1"/>
  <c r="I1171" i="1" a="1"/>
  <c r="I1171" i="1" s="1"/>
  <c r="D1172" i="1"/>
  <c r="F1172" i="1"/>
  <c r="H1172" i="1"/>
  <c r="I1172" i="1" a="1"/>
  <c r="I1172" i="1" s="1"/>
  <c r="D1173" i="1"/>
  <c r="F1173" i="1"/>
  <c r="H1173" i="1"/>
  <c r="I1173" i="1" a="1"/>
  <c r="I1173" i="1" s="1"/>
  <c r="D1174" i="1"/>
  <c r="F1174" i="1"/>
  <c r="H1174" i="1"/>
  <c r="I1174" i="1" a="1"/>
  <c r="I1174" i="1" s="1"/>
  <c r="D1175" i="1"/>
  <c r="F1175" i="1"/>
  <c r="H1175" i="1"/>
  <c r="I1175" i="1" a="1"/>
  <c r="I1175" i="1" s="1"/>
  <c r="D1176" i="1"/>
  <c r="F1176" i="1"/>
  <c r="H1176" i="1"/>
  <c r="I1176" i="1" a="1"/>
  <c r="I1176" i="1" s="1"/>
  <c r="D1177" i="1"/>
  <c r="F1177" i="1"/>
  <c r="H1177" i="1"/>
  <c r="I1177" i="1" a="1"/>
  <c r="I1177" i="1" s="1"/>
  <c r="D1178" i="1"/>
  <c r="F1178" i="1"/>
  <c r="H1178" i="1"/>
  <c r="I1178" i="1" a="1"/>
  <c r="I1178" i="1" s="1"/>
  <c r="D1179" i="1"/>
  <c r="F1179" i="1"/>
  <c r="H1179" i="1"/>
  <c r="I1179" i="1" a="1"/>
  <c r="I1179" i="1" s="1"/>
  <c r="D1180" i="1"/>
  <c r="F1180" i="1"/>
  <c r="H1180" i="1"/>
  <c r="I1180" i="1" a="1"/>
  <c r="I1180" i="1" s="1"/>
  <c r="D1181" i="1"/>
  <c r="F1181" i="1"/>
  <c r="H1181" i="1"/>
  <c r="I1181" i="1" a="1"/>
  <c r="I1181" i="1" s="1"/>
  <c r="D1182" i="1"/>
  <c r="F1182" i="1"/>
  <c r="H1182" i="1"/>
  <c r="I1182" i="1" a="1"/>
  <c r="I1182" i="1" s="1"/>
  <c r="D1183" i="1"/>
  <c r="F1183" i="1"/>
  <c r="H1183" i="1"/>
  <c r="I1183" i="1" a="1"/>
  <c r="I1183" i="1" s="1"/>
  <c r="D1184" i="1"/>
  <c r="F1184" i="1"/>
  <c r="H1184" i="1"/>
  <c r="I1184" i="1" a="1"/>
  <c r="I1184" i="1" s="1"/>
  <c r="D1185" i="1"/>
  <c r="F1185" i="1"/>
  <c r="H1185" i="1"/>
  <c r="I1185" i="1" a="1"/>
  <c r="I1185" i="1" s="1"/>
  <c r="D1186" i="1"/>
  <c r="F1186" i="1"/>
  <c r="H1186" i="1"/>
  <c r="I1186" i="1" a="1"/>
  <c r="I1186" i="1" s="1"/>
  <c r="D1187" i="1"/>
  <c r="F1187" i="1"/>
  <c r="H1187" i="1"/>
  <c r="I1187" i="1" a="1"/>
  <c r="I1187" i="1" s="1"/>
  <c r="D1188" i="1"/>
  <c r="F1188" i="1"/>
  <c r="H1188" i="1"/>
  <c r="I1188" i="1" a="1"/>
  <c r="I1188" i="1" s="1"/>
  <c r="D1189" i="1"/>
  <c r="F1189" i="1"/>
  <c r="H1189" i="1"/>
  <c r="I1189" i="1" a="1"/>
  <c r="I1189" i="1" s="1"/>
  <c r="D1190" i="1"/>
  <c r="F1190" i="1"/>
  <c r="H1190" i="1"/>
  <c r="I1190" i="1" a="1"/>
  <c r="I1190" i="1" s="1"/>
  <c r="D1191" i="1"/>
  <c r="F1191" i="1"/>
  <c r="H1191" i="1"/>
  <c r="I1191" i="1" a="1"/>
  <c r="I1191" i="1" s="1"/>
  <c r="D1192" i="1"/>
  <c r="F1192" i="1"/>
  <c r="H1192" i="1"/>
  <c r="I1192" i="1" a="1"/>
  <c r="I1192" i="1" s="1"/>
  <c r="D1193" i="1"/>
  <c r="F1193" i="1"/>
  <c r="H1193" i="1"/>
  <c r="I1193" i="1" a="1"/>
  <c r="I1193" i="1" s="1"/>
  <c r="D1194" i="1"/>
  <c r="F1194" i="1"/>
  <c r="H1194" i="1"/>
  <c r="I1194" i="1" a="1"/>
  <c r="I1194" i="1" s="1"/>
  <c r="D1195" i="1"/>
  <c r="F1195" i="1"/>
  <c r="H1195" i="1"/>
  <c r="I1195" i="1" a="1"/>
  <c r="I1195" i="1" s="1"/>
  <c r="D1196" i="1"/>
  <c r="F1196" i="1"/>
  <c r="H1196" i="1"/>
  <c r="I1196" i="1" a="1"/>
  <c r="I1196" i="1" s="1"/>
  <c r="D1197" i="1"/>
  <c r="F1197" i="1"/>
  <c r="H1197" i="1"/>
  <c r="I1197" i="1" a="1"/>
  <c r="I1197" i="1" s="1"/>
  <c r="D1198" i="1"/>
  <c r="F1198" i="1"/>
  <c r="H1198" i="1"/>
  <c r="I1198" i="1" a="1"/>
  <c r="I1198" i="1" s="1"/>
  <c r="D1199" i="1"/>
  <c r="F1199" i="1"/>
  <c r="H1199" i="1"/>
  <c r="I1199" i="1" a="1"/>
  <c r="I1199" i="1" s="1"/>
  <c r="D1200" i="1"/>
  <c r="F1200" i="1"/>
  <c r="H1200" i="1"/>
  <c r="I1200" i="1" a="1"/>
  <c r="I1200" i="1" s="1"/>
  <c r="D1201" i="1"/>
  <c r="F1201" i="1"/>
  <c r="H1201" i="1"/>
  <c r="I1201" i="1" a="1"/>
  <c r="I1201" i="1" s="1"/>
  <c r="D1202" i="1"/>
  <c r="F1202" i="1"/>
  <c r="H1202" i="1"/>
  <c r="I1202" i="1" a="1"/>
  <c r="I1202" i="1" s="1"/>
  <c r="D1203" i="1"/>
  <c r="F1203" i="1"/>
  <c r="H1203" i="1"/>
  <c r="I1203" i="1" a="1"/>
  <c r="I1203" i="1" s="1"/>
  <c r="D1204" i="1"/>
  <c r="F1204" i="1"/>
  <c r="H1204" i="1"/>
  <c r="I1204" i="1" a="1"/>
  <c r="I1204" i="1" s="1"/>
  <c r="D1205" i="1"/>
  <c r="F1205" i="1"/>
  <c r="H1205" i="1"/>
  <c r="I1205" i="1" a="1"/>
  <c r="I1205" i="1" s="1"/>
  <c r="D1206" i="1"/>
  <c r="F1206" i="1"/>
  <c r="H1206" i="1"/>
  <c r="I1206" i="1" a="1"/>
  <c r="I1206" i="1" s="1"/>
  <c r="D1207" i="1"/>
  <c r="F1207" i="1"/>
  <c r="H1207" i="1"/>
  <c r="I1207" i="1" a="1"/>
  <c r="I1207" i="1" s="1"/>
  <c r="D1208" i="1"/>
  <c r="F1208" i="1"/>
  <c r="H1208" i="1"/>
  <c r="I1208" i="1" a="1"/>
  <c r="I1208" i="1" s="1"/>
  <c r="D1209" i="1"/>
  <c r="F1209" i="1"/>
  <c r="H1209" i="1"/>
  <c r="I1209" i="1" a="1"/>
  <c r="I1209" i="1" s="1"/>
  <c r="D1210" i="1"/>
  <c r="F1210" i="1"/>
  <c r="H1210" i="1"/>
  <c r="I1210" i="1" a="1"/>
  <c r="I1210" i="1" s="1"/>
  <c r="D1211" i="1"/>
  <c r="F1211" i="1"/>
  <c r="H1211" i="1"/>
  <c r="I1211" i="1" a="1"/>
  <c r="I1211" i="1" s="1"/>
  <c r="D1212" i="1"/>
  <c r="F1212" i="1"/>
  <c r="H1212" i="1"/>
  <c r="I1212" i="1" a="1"/>
  <c r="I1212" i="1" s="1"/>
  <c r="D1213" i="1"/>
  <c r="F1213" i="1"/>
  <c r="H1213" i="1"/>
  <c r="I1213" i="1" a="1"/>
  <c r="I1213" i="1" s="1"/>
  <c r="D1214" i="1"/>
  <c r="F1214" i="1"/>
  <c r="H1214" i="1"/>
  <c r="I1214" i="1" a="1"/>
  <c r="I1214" i="1" s="1"/>
  <c r="D1215" i="1"/>
  <c r="F1215" i="1"/>
  <c r="H1215" i="1"/>
  <c r="I1215" i="1" a="1"/>
  <c r="I1215" i="1" s="1"/>
  <c r="D1216" i="1"/>
  <c r="F1216" i="1"/>
  <c r="H1216" i="1"/>
  <c r="I1216" i="1" a="1"/>
  <c r="I1216" i="1" s="1"/>
  <c r="D1217" i="1"/>
  <c r="F1217" i="1"/>
  <c r="H1217" i="1"/>
  <c r="I1217" i="1" a="1"/>
  <c r="I1217" i="1" s="1"/>
  <c r="D1218" i="1"/>
  <c r="F1218" i="1"/>
  <c r="H1218" i="1"/>
  <c r="I1218" i="1" a="1"/>
  <c r="I1218" i="1" s="1"/>
  <c r="D1219" i="1"/>
  <c r="F1219" i="1"/>
  <c r="H1219" i="1"/>
  <c r="I1219" i="1" a="1"/>
  <c r="I1219" i="1" s="1"/>
  <c r="D1220" i="1"/>
  <c r="F1220" i="1"/>
  <c r="H1220" i="1"/>
  <c r="I1220" i="1" a="1"/>
  <c r="I1220" i="1" s="1"/>
  <c r="D1221" i="1"/>
  <c r="F1221" i="1"/>
  <c r="H1221" i="1"/>
  <c r="I1221" i="1" a="1"/>
  <c r="I1221" i="1" s="1"/>
  <c r="D1222" i="1"/>
  <c r="F1222" i="1"/>
  <c r="H1222" i="1"/>
  <c r="I1222" i="1" a="1"/>
  <c r="I1222" i="1" s="1"/>
  <c r="D1223" i="1"/>
  <c r="F1223" i="1"/>
  <c r="H1223" i="1"/>
  <c r="I1223" i="1" a="1"/>
  <c r="I1223" i="1" s="1"/>
  <c r="D1224" i="1"/>
  <c r="F1224" i="1"/>
  <c r="H1224" i="1"/>
  <c r="I1224" i="1" a="1"/>
  <c r="I1224" i="1" s="1"/>
  <c r="D1225" i="1"/>
  <c r="F1225" i="1"/>
  <c r="H1225" i="1"/>
  <c r="I1225" i="1" a="1"/>
  <c r="I1225" i="1" s="1"/>
  <c r="D1226" i="1"/>
  <c r="F1226" i="1"/>
  <c r="H1226" i="1"/>
  <c r="I1226" i="1" a="1"/>
  <c r="I1226" i="1" s="1"/>
  <c r="D1227" i="1"/>
  <c r="F1227" i="1"/>
  <c r="H1227" i="1"/>
  <c r="I1227" i="1" a="1"/>
  <c r="I1227" i="1" s="1"/>
  <c r="D1228" i="1"/>
  <c r="F1228" i="1"/>
  <c r="H1228" i="1"/>
  <c r="I1228" i="1" a="1"/>
  <c r="I1228" i="1" s="1"/>
  <c r="D1229" i="1"/>
  <c r="F1229" i="1"/>
  <c r="H1229" i="1"/>
  <c r="I1229" i="1" a="1"/>
  <c r="I1229" i="1" s="1"/>
  <c r="D1230" i="1"/>
  <c r="F1230" i="1"/>
  <c r="H1230" i="1"/>
  <c r="I1230" i="1" a="1"/>
  <c r="I1230" i="1" s="1"/>
  <c r="D1231" i="1"/>
  <c r="F1231" i="1"/>
  <c r="H1231" i="1"/>
  <c r="I1231" i="1" a="1"/>
  <c r="I1231" i="1" s="1"/>
  <c r="D1232" i="1"/>
  <c r="F1232" i="1"/>
  <c r="H1232" i="1"/>
  <c r="I1232" i="1" a="1"/>
  <c r="I1232" i="1" s="1"/>
  <c r="D1233" i="1"/>
  <c r="F1233" i="1"/>
  <c r="H1233" i="1"/>
  <c r="I1233" i="1" a="1"/>
  <c r="I1233" i="1" s="1"/>
  <c r="D1234" i="1"/>
  <c r="F1234" i="1"/>
  <c r="H1234" i="1"/>
  <c r="I1234" i="1" a="1"/>
  <c r="I1234" i="1" s="1"/>
  <c r="D1235" i="1"/>
  <c r="F1235" i="1"/>
  <c r="H1235" i="1"/>
  <c r="I1235" i="1" a="1"/>
  <c r="I1235" i="1" s="1"/>
  <c r="D1236" i="1"/>
  <c r="F1236" i="1"/>
  <c r="H1236" i="1"/>
  <c r="I1236" i="1" a="1"/>
  <c r="I1236" i="1" s="1"/>
  <c r="D1237" i="1"/>
  <c r="F1237" i="1"/>
  <c r="H1237" i="1"/>
  <c r="I1237" i="1" a="1"/>
  <c r="I1237" i="1" s="1"/>
  <c r="D1238" i="1"/>
  <c r="F1238" i="1"/>
  <c r="H1238" i="1"/>
  <c r="I1238" i="1" a="1"/>
  <c r="I1238" i="1" s="1"/>
  <c r="D1239" i="1"/>
  <c r="F1239" i="1"/>
  <c r="H1239" i="1"/>
  <c r="I1239" i="1" a="1"/>
  <c r="I1239" i="1" s="1"/>
  <c r="D1240" i="1"/>
  <c r="F1240" i="1"/>
  <c r="H1240" i="1"/>
  <c r="I1240" i="1" a="1"/>
  <c r="I1240" i="1" s="1"/>
  <c r="D1241" i="1"/>
  <c r="F1241" i="1"/>
  <c r="H1241" i="1"/>
  <c r="I1241" i="1" a="1"/>
  <c r="I1241" i="1" s="1"/>
  <c r="D1242" i="1"/>
  <c r="F1242" i="1"/>
  <c r="H1242" i="1"/>
  <c r="I1242" i="1" a="1"/>
  <c r="I1242" i="1" s="1"/>
  <c r="D1243" i="1"/>
  <c r="F1243" i="1"/>
  <c r="H1243" i="1"/>
  <c r="I1243" i="1" a="1"/>
  <c r="I1243" i="1" s="1"/>
  <c r="D1244" i="1"/>
  <c r="F1244" i="1"/>
  <c r="H1244" i="1"/>
  <c r="I1244" i="1" a="1"/>
  <c r="I1244" i="1" s="1"/>
  <c r="D1245" i="1"/>
  <c r="F1245" i="1"/>
  <c r="H1245" i="1"/>
  <c r="I1245" i="1" a="1"/>
  <c r="I1245" i="1" s="1"/>
  <c r="D1246" i="1"/>
  <c r="F1246" i="1"/>
  <c r="H1246" i="1"/>
  <c r="I1246" i="1" a="1"/>
  <c r="I1246" i="1" s="1"/>
  <c r="D1247" i="1"/>
  <c r="F1247" i="1"/>
  <c r="H1247" i="1"/>
  <c r="I1247" i="1" a="1"/>
  <c r="I1247" i="1" s="1"/>
  <c r="D1248" i="1"/>
  <c r="F1248" i="1"/>
  <c r="H1248" i="1"/>
  <c r="I1248" i="1" a="1"/>
  <c r="I1248" i="1" s="1"/>
  <c r="D1249" i="1"/>
  <c r="F1249" i="1"/>
  <c r="H1249" i="1"/>
  <c r="I1249" i="1" a="1"/>
  <c r="I1249" i="1" s="1"/>
  <c r="D1250" i="1"/>
  <c r="F1250" i="1"/>
  <c r="H1250" i="1"/>
  <c r="I1250" i="1" a="1"/>
  <c r="I1250" i="1" s="1"/>
  <c r="D1251" i="1"/>
  <c r="F1251" i="1"/>
  <c r="H1251" i="1"/>
  <c r="I1251" i="1" a="1"/>
  <c r="I1251" i="1" s="1"/>
  <c r="D1252" i="1"/>
  <c r="F1252" i="1"/>
  <c r="H1252" i="1"/>
  <c r="I1252" i="1" a="1"/>
  <c r="I1252" i="1" s="1"/>
  <c r="D1253" i="1"/>
  <c r="F1253" i="1"/>
  <c r="H1253" i="1"/>
  <c r="I1253" i="1" a="1"/>
  <c r="I1253" i="1" s="1"/>
  <c r="D1254" i="1"/>
  <c r="F1254" i="1"/>
  <c r="H1254" i="1"/>
  <c r="I1254" i="1" a="1"/>
  <c r="I1254" i="1" s="1"/>
  <c r="D1255" i="1"/>
  <c r="F1255" i="1"/>
  <c r="H1255" i="1"/>
  <c r="I1255" i="1" a="1"/>
  <c r="I1255" i="1" s="1"/>
  <c r="D1256" i="1"/>
  <c r="F1256" i="1"/>
  <c r="H1256" i="1"/>
  <c r="I1256" i="1" a="1"/>
  <c r="I1256" i="1" s="1"/>
  <c r="D1257" i="1"/>
  <c r="F1257" i="1"/>
  <c r="H1257" i="1"/>
  <c r="I1257" i="1" a="1"/>
  <c r="I1257" i="1" s="1"/>
  <c r="D1258" i="1"/>
  <c r="F1258" i="1"/>
  <c r="H1258" i="1"/>
  <c r="I1258" i="1" a="1"/>
  <c r="I1258" i="1" s="1"/>
  <c r="D1259" i="1"/>
  <c r="F1259" i="1"/>
  <c r="H1259" i="1"/>
  <c r="I1259" i="1" a="1"/>
  <c r="I1259" i="1" s="1"/>
  <c r="D1260" i="1"/>
  <c r="F1260" i="1"/>
  <c r="H1260" i="1"/>
  <c r="I1260" i="1" a="1"/>
  <c r="I1260" i="1" s="1"/>
  <c r="D1261" i="1"/>
  <c r="F1261" i="1"/>
  <c r="H1261" i="1"/>
  <c r="I1261" i="1" a="1"/>
  <c r="I1261" i="1" s="1"/>
  <c r="D1262" i="1"/>
  <c r="F1262" i="1"/>
  <c r="H1262" i="1"/>
  <c r="I1262" i="1" a="1"/>
  <c r="I1262" i="1" s="1"/>
  <c r="D1263" i="1"/>
  <c r="F1263" i="1"/>
  <c r="H1263" i="1"/>
  <c r="I1263" i="1" a="1"/>
  <c r="I1263" i="1" s="1"/>
  <c r="D1264" i="1"/>
  <c r="F1264" i="1"/>
  <c r="H1264" i="1"/>
  <c r="I1264" i="1" a="1"/>
  <c r="I1264" i="1" s="1"/>
  <c r="D1265" i="1"/>
  <c r="F1265" i="1"/>
  <c r="H1265" i="1"/>
  <c r="I1265" i="1" a="1"/>
  <c r="I1265" i="1" s="1"/>
  <c r="D1266" i="1"/>
  <c r="F1266" i="1"/>
  <c r="H1266" i="1"/>
  <c r="I1266" i="1" a="1"/>
  <c r="I1266" i="1" s="1"/>
  <c r="D1267" i="1"/>
  <c r="F1267" i="1"/>
  <c r="H1267" i="1"/>
  <c r="I1267" i="1" a="1"/>
  <c r="I1267" i="1" s="1"/>
  <c r="D1268" i="1"/>
  <c r="F1268" i="1"/>
  <c r="H1268" i="1"/>
  <c r="I1268" i="1" a="1"/>
  <c r="I1268" i="1" s="1"/>
  <c r="D1269" i="1"/>
  <c r="F1269" i="1"/>
  <c r="H1269" i="1"/>
  <c r="I1269" i="1" a="1"/>
  <c r="I1269" i="1" s="1"/>
  <c r="D1270" i="1"/>
  <c r="F1270" i="1"/>
  <c r="H1270" i="1"/>
  <c r="I1270" i="1" a="1"/>
  <c r="I1270" i="1" s="1"/>
  <c r="D1271" i="1"/>
  <c r="F1271" i="1"/>
  <c r="H1271" i="1"/>
  <c r="I1271" i="1" a="1"/>
  <c r="I1271" i="1" s="1"/>
  <c r="D1272" i="1"/>
  <c r="F1272" i="1"/>
  <c r="H1272" i="1"/>
  <c r="I1272" i="1" a="1"/>
  <c r="I1272" i="1" s="1"/>
  <c r="D1273" i="1"/>
  <c r="F1273" i="1"/>
  <c r="H1273" i="1"/>
  <c r="I1273" i="1" a="1"/>
  <c r="I1273" i="1" s="1"/>
  <c r="D1274" i="1"/>
  <c r="F1274" i="1"/>
  <c r="H1274" i="1"/>
  <c r="I1274" i="1" a="1"/>
  <c r="I1274" i="1" s="1"/>
  <c r="D1275" i="1"/>
  <c r="F1275" i="1"/>
  <c r="H1275" i="1"/>
  <c r="I1275" i="1" a="1"/>
  <c r="I1275" i="1" s="1"/>
  <c r="D1276" i="1"/>
  <c r="F1276" i="1"/>
  <c r="H1276" i="1"/>
  <c r="I1276" i="1" a="1"/>
  <c r="I1276" i="1" s="1"/>
  <c r="D1277" i="1"/>
  <c r="F1277" i="1"/>
  <c r="H1277" i="1"/>
  <c r="I1277" i="1" a="1"/>
  <c r="I1277" i="1" s="1"/>
  <c r="D1278" i="1"/>
  <c r="F1278" i="1"/>
  <c r="H1278" i="1"/>
  <c r="I1278" i="1" a="1"/>
  <c r="I1278" i="1" s="1"/>
  <c r="D1279" i="1"/>
  <c r="F1279" i="1"/>
  <c r="H1279" i="1"/>
  <c r="I1279" i="1" a="1"/>
  <c r="I1279" i="1" s="1"/>
  <c r="D1280" i="1"/>
  <c r="F1280" i="1"/>
  <c r="H1280" i="1"/>
  <c r="I1280" i="1" a="1"/>
  <c r="I1280" i="1" s="1"/>
  <c r="D1281" i="1"/>
  <c r="F1281" i="1"/>
  <c r="H1281" i="1"/>
  <c r="I1281" i="1" a="1"/>
  <c r="I1281" i="1" s="1"/>
  <c r="D1282" i="1"/>
  <c r="F1282" i="1"/>
  <c r="H1282" i="1"/>
  <c r="I1282" i="1" a="1"/>
  <c r="I1282" i="1" s="1"/>
  <c r="D1283" i="1"/>
  <c r="F1283" i="1"/>
  <c r="H1283" i="1"/>
  <c r="I1283" i="1" a="1"/>
  <c r="I1283" i="1" s="1"/>
  <c r="D1284" i="1"/>
  <c r="F1284" i="1"/>
  <c r="H1284" i="1"/>
  <c r="I1284" i="1" a="1"/>
  <c r="I1284" i="1" s="1"/>
  <c r="D1285" i="1"/>
  <c r="F1285" i="1"/>
  <c r="H1285" i="1"/>
  <c r="I1285" i="1" a="1"/>
  <c r="I1285" i="1" s="1"/>
  <c r="D1286" i="1"/>
  <c r="F1286" i="1"/>
  <c r="H1286" i="1"/>
  <c r="I1286" i="1" a="1"/>
  <c r="I1286" i="1" s="1"/>
  <c r="D1287" i="1"/>
  <c r="F1287" i="1"/>
  <c r="H1287" i="1"/>
  <c r="I1287" i="1" a="1"/>
  <c r="I1287" i="1" s="1"/>
  <c r="D1288" i="1"/>
  <c r="F1288" i="1"/>
  <c r="H1288" i="1"/>
  <c r="I1288" i="1" a="1"/>
  <c r="I1288" i="1" s="1"/>
  <c r="D1289" i="1"/>
  <c r="F1289" i="1"/>
  <c r="H1289" i="1"/>
  <c r="I1289" i="1" a="1"/>
  <c r="I1289" i="1" s="1"/>
  <c r="D1290" i="1"/>
  <c r="F1290" i="1"/>
  <c r="H1290" i="1"/>
  <c r="I1290" i="1" a="1"/>
  <c r="I1290" i="1" s="1"/>
  <c r="D1291" i="1"/>
  <c r="F1291" i="1"/>
  <c r="H1291" i="1"/>
  <c r="I1291" i="1" a="1"/>
  <c r="I1291" i="1" s="1"/>
  <c r="D1292" i="1"/>
  <c r="F1292" i="1"/>
  <c r="H1292" i="1"/>
  <c r="I1292" i="1" a="1"/>
  <c r="I1292" i="1" s="1"/>
  <c r="D1293" i="1"/>
  <c r="F1293" i="1"/>
  <c r="H1293" i="1"/>
  <c r="I1293" i="1" a="1"/>
  <c r="I1293" i="1" s="1"/>
  <c r="D1294" i="1"/>
  <c r="F1294" i="1"/>
  <c r="H1294" i="1"/>
  <c r="I1294" i="1" a="1"/>
  <c r="I1294" i="1" s="1"/>
  <c r="D1295" i="1"/>
  <c r="F1295" i="1"/>
  <c r="H1295" i="1"/>
  <c r="I1295" i="1" a="1"/>
  <c r="I1295" i="1" s="1"/>
  <c r="D1296" i="1"/>
  <c r="F1296" i="1"/>
  <c r="H1296" i="1"/>
  <c r="I1296" i="1" a="1"/>
  <c r="I1296" i="1" s="1"/>
  <c r="D1297" i="1"/>
  <c r="F1297" i="1"/>
  <c r="H1297" i="1"/>
  <c r="I1297" i="1" a="1"/>
  <c r="I1297" i="1" s="1"/>
  <c r="D1298" i="1"/>
  <c r="F1298" i="1"/>
  <c r="H1298" i="1"/>
  <c r="I1298" i="1" a="1"/>
  <c r="I1298" i="1" s="1"/>
  <c r="D1299" i="1"/>
  <c r="F1299" i="1"/>
  <c r="H1299" i="1"/>
  <c r="I1299" i="1" a="1"/>
  <c r="I1299" i="1" s="1"/>
  <c r="D1300" i="1"/>
  <c r="F1300" i="1"/>
  <c r="H1300" i="1"/>
  <c r="I1300" i="1" a="1"/>
  <c r="I1300" i="1" s="1"/>
  <c r="D1301" i="1"/>
  <c r="F1301" i="1"/>
  <c r="H1301" i="1"/>
  <c r="I1301" i="1" a="1"/>
  <c r="I1301" i="1" s="1"/>
  <c r="D1302" i="1"/>
  <c r="F1302" i="1"/>
  <c r="H1302" i="1"/>
  <c r="I1302" i="1" a="1"/>
  <c r="I1302" i="1" s="1"/>
  <c r="D1303" i="1"/>
  <c r="F1303" i="1"/>
  <c r="H1303" i="1"/>
  <c r="I1303" i="1" a="1"/>
  <c r="I1303" i="1" s="1"/>
  <c r="D1304" i="1"/>
  <c r="F1304" i="1"/>
  <c r="H1304" i="1"/>
  <c r="I1304" i="1" a="1"/>
  <c r="I1304" i="1" s="1"/>
  <c r="D1305" i="1"/>
  <c r="F1305" i="1"/>
  <c r="H1305" i="1"/>
  <c r="I1305" i="1" a="1"/>
  <c r="I1305" i="1" s="1"/>
  <c r="D1306" i="1"/>
  <c r="F1306" i="1"/>
  <c r="H1306" i="1"/>
  <c r="I1306" i="1" a="1"/>
  <c r="I1306" i="1" s="1"/>
  <c r="D1307" i="1"/>
  <c r="F1307" i="1"/>
  <c r="H1307" i="1"/>
  <c r="I1307" i="1" a="1"/>
  <c r="I1307" i="1" s="1"/>
  <c r="D1308" i="1"/>
  <c r="F1308" i="1"/>
  <c r="H1308" i="1"/>
  <c r="I1308" i="1" a="1"/>
  <c r="I1308" i="1" s="1"/>
  <c r="D1309" i="1"/>
  <c r="F1309" i="1"/>
  <c r="H1309" i="1"/>
  <c r="I1309" i="1" a="1"/>
  <c r="I1309" i="1" s="1"/>
  <c r="D1310" i="1"/>
  <c r="F1310" i="1"/>
  <c r="H1310" i="1"/>
  <c r="I1310" i="1" a="1"/>
  <c r="I1310" i="1" s="1"/>
  <c r="D1311" i="1"/>
  <c r="F1311" i="1"/>
  <c r="H1311" i="1"/>
  <c r="I1311" i="1" a="1"/>
  <c r="I1311" i="1" s="1"/>
  <c r="D1312" i="1"/>
  <c r="F1312" i="1"/>
  <c r="H1312" i="1"/>
  <c r="I1312" i="1" a="1"/>
  <c r="I1312" i="1" s="1"/>
  <c r="D1313" i="1"/>
  <c r="F1313" i="1"/>
  <c r="H1313" i="1"/>
  <c r="I1313" i="1" a="1"/>
  <c r="I1313" i="1" s="1"/>
  <c r="D1314" i="1"/>
  <c r="F1314" i="1"/>
  <c r="H1314" i="1"/>
  <c r="I1314" i="1" a="1"/>
  <c r="I1314" i="1" s="1"/>
  <c r="D1315" i="1"/>
  <c r="F1315" i="1"/>
  <c r="H1315" i="1"/>
  <c r="I1315" i="1" a="1"/>
  <c r="I1315" i="1" s="1"/>
  <c r="D1316" i="1"/>
  <c r="F1316" i="1"/>
  <c r="H1316" i="1"/>
  <c r="I1316" i="1" a="1"/>
  <c r="I1316" i="1" s="1"/>
  <c r="D1317" i="1"/>
  <c r="F1317" i="1"/>
  <c r="H1317" i="1"/>
  <c r="I1317" i="1" a="1"/>
  <c r="I1317" i="1" s="1"/>
  <c r="D1318" i="1"/>
  <c r="F1318" i="1"/>
  <c r="H1318" i="1"/>
  <c r="I1318" i="1" a="1"/>
  <c r="I1318" i="1" s="1"/>
  <c r="D1319" i="1"/>
  <c r="F1319" i="1"/>
  <c r="H1319" i="1"/>
  <c r="I1319" i="1" a="1"/>
  <c r="I1319" i="1" s="1"/>
  <c r="D1320" i="1"/>
  <c r="F1320" i="1"/>
  <c r="H1320" i="1"/>
  <c r="I1320" i="1" a="1"/>
  <c r="I1320" i="1" s="1"/>
  <c r="D1321" i="1"/>
  <c r="F1321" i="1"/>
  <c r="H1321" i="1"/>
  <c r="I1321" i="1" a="1"/>
  <c r="I1321" i="1" s="1"/>
  <c r="D1322" i="1"/>
  <c r="F1322" i="1"/>
  <c r="H1322" i="1"/>
  <c r="I1322" i="1" a="1"/>
  <c r="I1322" i="1" s="1"/>
  <c r="D1323" i="1"/>
  <c r="F1323" i="1"/>
  <c r="H1323" i="1"/>
  <c r="I1323" i="1" a="1"/>
  <c r="I1323" i="1" s="1"/>
  <c r="D1324" i="1"/>
  <c r="F1324" i="1"/>
  <c r="H1324" i="1"/>
  <c r="I1324" i="1" a="1"/>
  <c r="I1324" i="1" s="1"/>
  <c r="D1325" i="1"/>
  <c r="F1325" i="1"/>
  <c r="H1325" i="1"/>
  <c r="I1325" i="1" a="1"/>
  <c r="I1325" i="1" s="1"/>
  <c r="D1326" i="1"/>
  <c r="F1326" i="1"/>
  <c r="H1326" i="1"/>
  <c r="I1326" i="1" a="1"/>
  <c r="I1326" i="1" s="1"/>
  <c r="D1327" i="1"/>
  <c r="F1327" i="1"/>
  <c r="H1327" i="1"/>
  <c r="I1327" i="1" a="1"/>
  <c r="I1327" i="1" s="1"/>
  <c r="D1328" i="1"/>
  <c r="F1328" i="1"/>
  <c r="H1328" i="1"/>
  <c r="I1328" i="1" a="1"/>
  <c r="I1328" i="1" s="1"/>
  <c r="D1329" i="1"/>
  <c r="F1329" i="1"/>
  <c r="H1329" i="1"/>
  <c r="I1329" i="1" a="1"/>
  <c r="I1329" i="1" s="1"/>
  <c r="D1330" i="1"/>
  <c r="F1330" i="1"/>
  <c r="H1330" i="1"/>
  <c r="I1330" i="1" a="1"/>
  <c r="I1330" i="1" s="1"/>
  <c r="D1331" i="1"/>
  <c r="F1331" i="1"/>
  <c r="H1331" i="1"/>
  <c r="I1331" i="1" a="1"/>
  <c r="I1331" i="1" s="1"/>
  <c r="D1332" i="1"/>
  <c r="F1332" i="1"/>
  <c r="H1332" i="1"/>
  <c r="I1332" i="1" a="1"/>
  <c r="I1332" i="1" s="1"/>
  <c r="D1333" i="1"/>
  <c r="F1333" i="1"/>
  <c r="H1333" i="1"/>
  <c r="I1333" i="1" a="1"/>
  <c r="I1333" i="1" s="1"/>
  <c r="D1334" i="1"/>
  <c r="F1334" i="1"/>
  <c r="H1334" i="1"/>
  <c r="I1334" i="1" a="1"/>
  <c r="I1334" i="1" s="1"/>
  <c r="D1335" i="1"/>
  <c r="F1335" i="1"/>
  <c r="H1335" i="1"/>
  <c r="I1335" i="1" a="1"/>
  <c r="I1335" i="1" s="1"/>
  <c r="D1336" i="1"/>
  <c r="F1336" i="1"/>
  <c r="H1336" i="1"/>
  <c r="I1336" i="1" a="1"/>
  <c r="I1336" i="1" s="1"/>
  <c r="D1337" i="1"/>
  <c r="F1337" i="1"/>
  <c r="H1337" i="1"/>
  <c r="I1337" i="1" a="1"/>
  <c r="I1337" i="1" s="1"/>
  <c r="D1338" i="1"/>
  <c r="F1338" i="1"/>
  <c r="H1338" i="1"/>
  <c r="I1338" i="1" a="1"/>
  <c r="I1338" i="1" s="1"/>
  <c r="D1339" i="1"/>
  <c r="F1339" i="1"/>
  <c r="H1339" i="1"/>
  <c r="I1339" i="1" a="1"/>
  <c r="I1339" i="1" s="1"/>
  <c r="D1340" i="1"/>
  <c r="F1340" i="1"/>
  <c r="H1340" i="1"/>
  <c r="I1340" i="1" a="1"/>
  <c r="I1340" i="1" s="1"/>
  <c r="D1341" i="1"/>
  <c r="F1341" i="1"/>
  <c r="H1341" i="1"/>
  <c r="I1341" i="1" a="1"/>
  <c r="I1341" i="1" s="1"/>
  <c r="D1342" i="1"/>
  <c r="F1342" i="1"/>
  <c r="H1342" i="1"/>
  <c r="I1342" i="1" a="1"/>
  <c r="I1342" i="1" s="1"/>
  <c r="D1343" i="1"/>
  <c r="F1343" i="1"/>
  <c r="H1343" i="1"/>
  <c r="I1343" i="1" a="1"/>
  <c r="I1343" i="1" s="1"/>
  <c r="D1344" i="1"/>
  <c r="F1344" i="1"/>
  <c r="H1344" i="1"/>
  <c r="I1344" i="1" a="1"/>
  <c r="I1344" i="1" s="1"/>
  <c r="D1345" i="1"/>
  <c r="F1345" i="1"/>
  <c r="H1345" i="1"/>
  <c r="I1345" i="1" a="1"/>
  <c r="I1345" i="1" s="1"/>
  <c r="D1346" i="1"/>
  <c r="F1346" i="1"/>
  <c r="H1346" i="1"/>
  <c r="I1346" i="1" a="1"/>
  <c r="I1346" i="1" s="1"/>
  <c r="D1347" i="1"/>
  <c r="F1347" i="1"/>
  <c r="H1347" i="1"/>
  <c r="I1347" i="1" a="1"/>
  <c r="I1347" i="1" s="1"/>
  <c r="D1348" i="1"/>
  <c r="F1348" i="1"/>
  <c r="H1348" i="1"/>
  <c r="I1348" i="1" a="1"/>
  <c r="I1348" i="1" s="1"/>
  <c r="D1349" i="1"/>
  <c r="F1349" i="1"/>
  <c r="H1349" i="1"/>
  <c r="I1349" i="1" a="1"/>
  <c r="I1349" i="1" s="1"/>
  <c r="D1350" i="1"/>
  <c r="F1350" i="1"/>
  <c r="H1350" i="1"/>
  <c r="I1350" i="1" a="1"/>
  <c r="I1350" i="1" s="1"/>
  <c r="D1351" i="1"/>
  <c r="F1351" i="1"/>
  <c r="H1351" i="1"/>
  <c r="I1351" i="1" a="1"/>
  <c r="I1351" i="1" s="1"/>
  <c r="D1352" i="1"/>
  <c r="F1352" i="1"/>
  <c r="H1352" i="1"/>
  <c r="I1352" i="1" a="1"/>
  <c r="I1352" i="1" s="1"/>
  <c r="D1353" i="1"/>
  <c r="F1353" i="1"/>
  <c r="H1353" i="1"/>
  <c r="I1353" i="1" a="1"/>
  <c r="I1353" i="1" s="1"/>
  <c r="D1354" i="1"/>
  <c r="F1354" i="1"/>
  <c r="H1354" i="1"/>
  <c r="I1354" i="1" a="1"/>
  <c r="I1354" i="1" s="1"/>
  <c r="D1355" i="1"/>
  <c r="F1355" i="1"/>
  <c r="H1355" i="1"/>
  <c r="I1355" i="1" a="1"/>
  <c r="I1355" i="1" s="1"/>
  <c r="D1356" i="1"/>
  <c r="F1356" i="1"/>
  <c r="H1356" i="1"/>
  <c r="I1356" i="1" a="1"/>
  <c r="I1356" i="1" s="1"/>
  <c r="D1357" i="1"/>
  <c r="F1357" i="1"/>
  <c r="H1357" i="1"/>
  <c r="I1357" i="1" a="1"/>
  <c r="I1357" i="1" s="1"/>
  <c r="D1358" i="1"/>
  <c r="F1358" i="1"/>
  <c r="H1358" i="1"/>
  <c r="I1358" i="1" a="1"/>
  <c r="I1358" i="1" s="1"/>
  <c r="D1359" i="1"/>
  <c r="F1359" i="1"/>
  <c r="H1359" i="1"/>
  <c r="I1359" i="1" a="1"/>
  <c r="I1359" i="1" s="1"/>
  <c r="D1360" i="1"/>
  <c r="F1360" i="1"/>
  <c r="H1360" i="1"/>
  <c r="I1360" i="1" a="1"/>
  <c r="I1360" i="1" s="1"/>
  <c r="D1361" i="1"/>
  <c r="F1361" i="1"/>
  <c r="H1361" i="1"/>
  <c r="I1361" i="1" a="1"/>
  <c r="I1361" i="1" s="1"/>
  <c r="D1362" i="1"/>
  <c r="F1362" i="1"/>
  <c r="H1362" i="1"/>
  <c r="I1362" i="1" a="1"/>
  <c r="I1362" i="1" s="1"/>
  <c r="D1363" i="1"/>
  <c r="F1363" i="1"/>
  <c r="H1363" i="1"/>
  <c r="I1363" i="1" a="1"/>
  <c r="I1363" i="1" s="1"/>
  <c r="D1364" i="1"/>
  <c r="F1364" i="1"/>
  <c r="H1364" i="1"/>
  <c r="I1364" i="1" a="1"/>
  <c r="I1364" i="1" s="1"/>
  <c r="D1365" i="1"/>
  <c r="F1365" i="1"/>
  <c r="H1365" i="1"/>
  <c r="I1365" i="1" a="1"/>
  <c r="I1365" i="1" s="1"/>
  <c r="D1366" i="1"/>
  <c r="F1366" i="1"/>
  <c r="H1366" i="1"/>
  <c r="I1366" i="1" a="1"/>
  <c r="I1366" i="1" s="1"/>
  <c r="D1367" i="1"/>
  <c r="F1367" i="1"/>
  <c r="H1367" i="1"/>
  <c r="I1367" i="1" a="1"/>
  <c r="I1367" i="1" s="1"/>
  <c r="D1368" i="1"/>
  <c r="F1368" i="1"/>
  <c r="H1368" i="1"/>
  <c r="I1368" i="1" a="1"/>
  <c r="I1368" i="1" s="1"/>
  <c r="D1369" i="1"/>
  <c r="F1369" i="1"/>
  <c r="H1369" i="1"/>
  <c r="I1369" i="1" a="1"/>
  <c r="I1369" i="1" s="1"/>
  <c r="D1370" i="1"/>
  <c r="F1370" i="1"/>
  <c r="H1370" i="1"/>
  <c r="I1370" i="1" a="1"/>
  <c r="I1370" i="1" s="1"/>
  <c r="D1371" i="1"/>
  <c r="F1371" i="1"/>
  <c r="H1371" i="1"/>
  <c r="I1371" i="1" a="1"/>
  <c r="I1371" i="1" s="1"/>
  <c r="D1372" i="1"/>
  <c r="F1372" i="1"/>
  <c r="H1372" i="1"/>
  <c r="I1372" i="1" a="1"/>
  <c r="I1372" i="1" s="1"/>
  <c r="D1373" i="1"/>
  <c r="F1373" i="1"/>
  <c r="H1373" i="1"/>
  <c r="I1373" i="1" a="1"/>
  <c r="I1373" i="1" s="1"/>
  <c r="D1374" i="1"/>
  <c r="F1374" i="1"/>
  <c r="H1374" i="1"/>
  <c r="I1374" i="1" a="1"/>
  <c r="I1374" i="1" s="1"/>
  <c r="D1375" i="1"/>
  <c r="F1375" i="1"/>
  <c r="H1375" i="1"/>
  <c r="I1375" i="1" a="1"/>
  <c r="I1375" i="1" s="1"/>
  <c r="D1376" i="1"/>
  <c r="F1376" i="1"/>
  <c r="H1376" i="1"/>
  <c r="I1376" i="1" a="1"/>
  <c r="I1376" i="1" s="1"/>
  <c r="D1377" i="1"/>
  <c r="F1377" i="1"/>
  <c r="H1377" i="1"/>
  <c r="I1377" i="1" a="1"/>
  <c r="I1377" i="1" s="1"/>
  <c r="D1378" i="1"/>
  <c r="F1378" i="1"/>
  <c r="H1378" i="1"/>
  <c r="I1378" i="1" a="1"/>
  <c r="I1378" i="1" s="1"/>
  <c r="D1379" i="1"/>
  <c r="F1379" i="1"/>
  <c r="H1379" i="1"/>
  <c r="I1379" i="1" a="1"/>
  <c r="I1379" i="1" s="1"/>
  <c r="D1380" i="1"/>
  <c r="F1380" i="1"/>
  <c r="H1380" i="1"/>
  <c r="I1380" i="1" a="1"/>
  <c r="I1380" i="1" s="1"/>
  <c r="D1381" i="1"/>
  <c r="F1381" i="1"/>
  <c r="H1381" i="1"/>
  <c r="I1381" i="1" a="1"/>
  <c r="I1381" i="1" s="1"/>
  <c r="D1382" i="1"/>
  <c r="F1382" i="1"/>
  <c r="H1382" i="1"/>
  <c r="I1382" i="1" a="1"/>
  <c r="I1382" i="1" s="1"/>
  <c r="D1383" i="1"/>
  <c r="F1383" i="1"/>
  <c r="H1383" i="1"/>
  <c r="I1383" i="1" a="1"/>
  <c r="I1383" i="1" s="1"/>
  <c r="D1384" i="1"/>
  <c r="F1384" i="1"/>
  <c r="H1384" i="1"/>
  <c r="I1384" i="1" a="1"/>
  <c r="I1384" i="1" s="1"/>
  <c r="D1385" i="1"/>
  <c r="F1385" i="1"/>
  <c r="H1385" i="1"/>
  <c r="I1385" i="1" a="1"/>
  <c r="I1385" i="1" s="1"/>
  <c r="D1386" i="1"/>
  <c r="F1386" i="1"/>
  <c r="H1386" i="1"/>
  <c r="I1386" i="1" a="1"/>
  <c r="I1386" i="1" s="1"/>
  <c r="D1387" i="1"/>
  <c r="F1387" i="1"/>
  <c r="H1387" i="1"/>
  <c r="I1387" i="1" a="1"/>
  <c r="I1387" i="1" s="1"/>
  <c r="D1388" i="1"/>
  <c r="F1388" i="1"/>
  <c r="H1388" i="1"/>
  <c r="I1388" i="1" a="1"/>
  <c r="I1388" i="1" s="1"/>
  <c r="D1389" i="1"/>
  <c r="F1389" i="1"/>
  <c r="H1389" i="1"/>
  <c r="I1389" i="1" a="1"/>
  <c r="I1389" i="1" s="1"/>
  <c r="D1390" i="1"/>
  <c r="F1390" i="1"/>
  <c r="H1390" i="1"/>
  <c r="I1390" i="1" a="1"/>
  <c r="I1390" i="1" s="1"/>
  <c r="D1391" i="1"/>
  <c r="F1391" i="1"/>
  <c r="H1391" i="1"/>
  <c r="I1391" i="1" a="1"/>
  <c r="I1391" i="1" s="1"/>
  <c r="D1392" i="1"/>
  <c r="F1392" i="1"/>
  <c r="H1392" i="1"/>
  <c r="I1392" i="1" a="1"/>
  <c r="I1392" i="1" s="1"/>
  <c r="D1393" i="1"/>
  <c r="F1393" i="1"/>
  <c r="H1393" i="1"/>
  <c r="I1393" i="1" a="1"/>
  <c r="I1393" i="1" s="1"/>
  <c r="D1394" i="1"/>
  <c r="F1394" i="1"/>
  <c r="H1394" i="1"/>
  <c r="I1394" i="1" a="1"/>
  <c r="I1394" i="1" s="1"/>
  <c r="D1395" i="1"/>
  <c r="F1395" i="1"/>
  <c r="H1395" i="1"/>
  <c r="I1395" i="1" a="1"/>
  <c r="I1395" i="1" s="1"/>
  <c r="D1396" i="1"/>
  <c r="F1396" i="1"/>
  <c r="H1396" i="1"/>
  <c r="I1396" i="1" a="1"/>
  <c r="I1396" i="1" s="1"/>
  <c r="D1397" i="1"/>
  <c r="F1397" i="1"/>
  <c r="H1397" i="1"/>
  <c r="I1397" i="1" a="1"/>
  <c r="I1397" i="1" s="1"/>
  <c r="D1398" i="1"/>
  <c r="F1398" i="1"/>
  <c r="H1398" i="1"/>
  <c r="I1398" i="1" a="1"/>
  <c r="I1398" i="1" s="1"/>
  <c r="D1399" i="1"/>
  <c r="F1399" i="1"/>
  <c r="H1399" i="1"/>
  <c r="I1399" i="1" a="1"/>
  <c r="I1399" i="1" s="1"/>
  <c r="D1400" i="1"/>
  <c r="F1400" i="1"/>
  <c r="H1400" i="1"/>
  <c r="I1400" i="1" a="1"/>
  <c r="I1400" i="1" s="1"/>
  <c r="D1401" i="1"/>
  <c r="F1401" i="1"/>
  <c r="H1401" i="1"/>
  <c r="I1401" i="1" a="1"/>
  <c r="I1401" i="1" s="1"/>
  <c r="D1402" i="1"/>
  <c r="F1402" i="1"/>
  <c r="H1402" i="1"/>
  <c r="I1402" i="1" a="1"/>
  <c r="I1402" i="1" s="1"/>
  <c r="D1403" i="1"/>
  <c r="F1403" i="1"/>
  <c r="H1403" i="1"/>
  <c r="I1403" i="1" a="1"/>
  <c r="I1403" i="1" s="1"/>
  <c r="D1404" i="1"/>
  <c r="F1404" i="1"/>
  <c r="H1404" i="1"/>
  <c r="I1404" i="1" a="1"/>
  <c r="I1404" i="1" s="1"/>
  <c r="D1405" i="1"/>
  <c r="F1405" i="1"/>
  <c r="H1405" i="1"/>
  <c r="I1405" i="1" a="1"/>
  <c r="I1405" i="1" s="1"/>
  <c r="D1406" i="1"/>
  <c r="F1406" i="1"/>
  <c r="H1406" i="1"/>
  <c r="I1406" i="1" a="1"/>
  <c r="I1406" i="1" s="1"/>
  <c r="D1407" i="1"/>
  <c r="F1407" i="1"/>
  <c r="H1407" i="1"/>
  <c r="I1407" i="1" a="1"/>
  <c r="I1407" i="1" s="1"/>
  <c r="D1408" i="1"/>
  <c r="F1408" i="1"/>
  <c r="H1408" i="1"/>
  <c r="I1408" i="1" a="1"/>
  <c r="I1408" i="1" s="1"/>
  <c r="D1409" i="1"/>
  <c r="F1409" i="1"/>
  <c r="H1409" i="1"/>
  <c r="I1409" i="1" a="1"/>
  <c r="I1409" i="1" s="1"/>
  <c r="D1410" i="1"/>
  <c r="F1410" i="1"/>
  <c r="H1410" i="1"/>
  <c r="I1410" i="1" a="1"/>
  <c r="I1410" i="1" s="1"/>
  <c r="D1411" i="1"/>
  <c r="F1411" i="1"/>
  <c r="H1411" i="1"/>
  <c r="I1411" i="1" a="1"/>
  <c r="I1411" i="1" s="1"/>
  <c r="D1412" i="1"/>
  <c r="F1412" i="1"/>
  <c r="H1412" i="1"/>
  <c r="I1412" i="1" a="1"/>
  <c r="I1412" i="1" s="1"/>
  <c r="D1413" i="1"/>
  <c r="F1413" i="1"/>
  <c r="H1413" i="1"/>
  <c r="I1413" i="1" a="1"/>
  <c r="I1413" i="1" s="1"/>
  <c r="D1414" i="1"/>
  <c r="F1414" i="1"/>
  <c r="H1414" i="1"/>
  <c r="I1414" i="1" a="1"/>
  <c r="I1414" i="1" s="1"/>
  <c r="D1415" i="1"/>
  <c r="F1415" i="1"/>
  <c r="H1415" i="1"/>
  <c r="I1415" i="1" a="1"/>
  <c r="I1415" i="1" s="1"/>
  <c r="D1416" i="1"/>
  <c r="F1416" i="1"/>
  <c r="H1416" i="1"/>
  <c r="I1416" i="1" a="1"/>
  <c r="I1416" i="1" s="1"/>
  <c r="D1417" i="1"/>
  <c r="F1417" i="1"/>
  <c r="H1417" i="1"/>
  <c r="I1417" i="1" a="1"/>
  <c r="I1417" i="1" s="1"/>
  <c r="D1418" i="1"/>
  <c r="F1418" i="1"/>
  <c r="H1418" i="1"/>
  <c r="I1418" i="1" a="1"/>
  <c r="I1418" i="1" s="1"/>
  <c r="D1419" i="1"/>
  <c r="F1419" i="1"/>
  <c r="H1419" i="1"/>
  <c r="I1419" i="1" a="1"/>
  <c r="I1419" i="1" s="1"/>
  <c r="D1420" i="1"/>
  <c r="F1420" i="1"/>
  <c r="H1420" i="1"/>
  <c r="I1420" i="1" a="1"/>
  <c r="I1420" i="1" s="1"/>
  <c r="D1421" i="1"/>
  <c r="F1421" i="1"/>
  <c r="H1421" i="1"/>
  <c r="I1421" i="1" a="1"/>
  <c r="I1421" i="1" s="1"/>
  <c r="D1422" i="1"/>
  <c r="F1422" i="1"/>
  <c r="H1422" i="1"/>
  <c r="I1422" i="1" a="1"/>
  <c r="I1422" i="1" s="1"/>
  <c r="D1423" i="1"/>
  <c r="F1423" i="1"/>
  <c r="H1423" i="1"/>
  <c r="I1423" i="1" a="1"/>
  <c r="I1423" i="1" s="1"/>
  <c r="D1424" i="1"/>
  <c r="F1424" i="1"/>
  <c r="H1424" i="1"/>
  <c r="I1424" i="1" a="1"/>
  <c r="I1424" i="1" s="1"/>
  <c r="D1425" i="1"/>
  <c r="F1425" i="1"/>
  <c r="H1425" i="1"/>
  <c r="I1425" i="1" a="1"/>
  <c r="I1425" i="1" s="1"/>
  <c r="D1426" i="1"/>
  <c r="F1426" i="1"/>
  <c r="H1426" i="1"/>
  <c r="I1426" i="1" a="1"/>
  <c r="I1426" i="1" s="1"/>
  <c r="D1427" i="1"/>
  <c r="F1427" i="1"/>
  <c r="H1427" i="1"/>
  <c r="I1427" i="1" a="1"/>
  <c r="I1427" i="1" s="1"/>
  <c r="D1428" i="1"/>
  <c r="F1428" i="1"/>
  <c r="H1428" i="1"/>
  <c r="I1428" i="1" a="1"/>
  <c r="I1428" i="1" s="1"/>
  <c r="D1429" i="1"/>
  <c r="F1429" i="1"/>
  <c r="H1429" i="1"/>
  <c r="I1429" i="1" a="1"/>
  <c r="I1429" i="1" s="1"/>
  <c r="D1430" i="1"/>
  <c r="F1430" i="1"/>
  <c r="H1430" i="1"/>
  <c r="I1430" i="1" a="1"/>
  <c r="I1430" i="1" s="1"/>
  <c r="D1431" i="1"/>
  <c r="F1431" i="1"/>
  <c r="H1431" i="1"/>
  <c r="I1431" i="1" a="1"/>
  <c r="I1431" i="1" s="1"/>
  <c r="D1432" i="1"/>
  <c r="F1432" i="1"/>
  <c r="H1432" i="1"/>
  <c r="I1432" i="1" a="1"/>
  <c r="I1432" i="1" s="1"/>
  <c r="D1433" i="1"/>
  <c r="F1433" i="1"/>
  <c r="H1433" i="1"/>
  <c r="I1433" i="1" a="1"/>
  <c r="I1433" i="1" s="1"/>
  <c r="D1434" i="1"/>
  <c r="F1434" i="1"/>
  <c r="H1434" i="1"/>
  <c r="I1434" i="1" a="1"/>
  <c r="I1434" i="1" s="1"/>
  <c r="D1435" i="1"/>
  <c r="F1435" i="1"/>
  <c r="H1435" i="1"/>
  <c r="I1435" i="1" a="1"/>
  <c r="I1435" i="1" s="1"/>
  <c r="D1436" i="1"/>
  <c r="F1436" i="1"/>
  <c r="H1436" i="1"/>
  <c r="I1436" i="1" a="1"/>
  <c r="I1436" i="1" s="1"/>
  <c r="D1437" i="1"/>
  <c r="F1437" i="1"/>
  <c r="H1437" i="1"/>
  <c r="I1437" i="1" a="1"/>
  <c r="I1437" i="1" s="1"/>
  <c r="D1438" i="1"/>
  <c r="F1438" i="1"/>
  <c r="H1438" i="1"/>
  <c r="I1438" i="1" a="1"/>
  <c r="I1438" i="1" s="1"/>
  <c r="D1439" i="1"/>
  <c r="F1439" i="1"/>
  <c r="H1439" i="1"/>
  <c r="I1439" i="1" a="1"/>
  <c r="I1439" i="1" s="1"/>
  <c r="D1440" i="1"/>
  <c r="F1440" i="1"/>
  <c r="H1440" i="1"/>
  <c r="I1440" i="1" a="1"/>
  <c r="I1440" i="1" s="1"/>
  <c r="D1441" i="1"/>
  <c r="F1441" i="1"/>
  <c r="H1441" i="1"/>
  <c r="I1441" i="1" a="1"/>
  <c r="I1441" i="1" s="1"/>
  <c r="D1442" i="1"/>
  <c r="F1442" i="1"/>
  <c r="H1442" i="1"/>
  <c r="I1442" i="1" a="1"/>
  <c r="I1442" i="1" s="1"/>
  <c r="D1443" i="1"/>
  <c r="F1443" i="1"/>
  <c r="H1443" i="1"/>
  <c r="I1443" i="1" a="1"/>
  <c r="I1443" i="1" s="1"/>
  <c r="D1444" i="1"/>
  <c r="F1444" i="1"/>
  <c r="H1444" i="1"/>
  <c r="I1444" i="1" a="1"/>
  <c r="I1444" i="1" s="1"/>
  <c r="D1445" i="1"/>
  <c r="F1445" i="1"/>
  <c r="H1445" i="1"/>
  <c r="I1445" i="1" a="1"/>
  <c r="I1445" i="1" s="1"/>
  <c r="D1446" i="1"/>
  <c r="F1446" i="1"/>
  <c r="H1446" i="1"/>
  <c r="I1446" i="1" a="1"/>
  <c r="I1446" i="1" s="1"/>
  <c r="D1447" i="1"/>
  <c r="F1447" i="1"/>
  <c r="H1447" i="1"/>
  <c r="I1447" i="1" a="1"/>
  <c r="I1447" i="1" s="1"/>
  <c r="D1448" i="1"/>
  <c r="F1448" i="1"/>
  <c r="H1448" i="1"/>
  <c r="I1448" i="1" a="1"/>
  <c r="I1448" i="1" s="1"/>
  <c r="D1449" i="1"/>
  <c r="F1449" i="1"/>
  <c r="H1449" i="1"/>
  <c r="I1449" i="1" a="1"/>
  <c r="I1449" i="1" s="1"/>
  <c r="D1450" i="1"/>
  <c r="F1450" i="1"/>
  <c r="H1450" i="1"/>
  <c r="I1450" i="1" a="1"/>
  <c r="I1450" i="1" s="1"/>
  <c r="D1451" i="1"/>
  <c r="F1451" i="1"/>
  <c r="H1451" i="1"/>
  <c r="I1451" i="1" a="1"/>
  <c r="I1451" i="1" s="1"/>
  <c r="D1452" i="1"/>
  <c r="F1452" i="1"/>
  <c r="H1452" i="1"/>
  <c r="I1452" i="1" a="1"/>
  <c r="I1452" i="1" s="1"/>
  <c r="D1453" i="1"/>
  <c r="F1453" i="1"/>
  <c r="H1453" i="1"/>
  <c r="I1453" i="1" a="1"/>
  <c r="I1453" i="1" s="1"/>
  <c r="D1454" i="1"/>
  <c r="F1454" i="1"/>
  <c r="H1454" i="1"/>
  <c r="I1454" i="1" a="1"/>
  <c r="I1454" i="1" s="1"/>
  <c r="D1455" i="1"/>
  <c r="F1455" i="1"/>
  <c r="H1455" i="1"/>
  <c r="I1455" i="1" a="1"/>
  <c r="I1455" i="1" s="1"/>
  <c r="D1456" i="1"/>
  <c r="F1456" i="1"/>
  <c r="H1456" i="1"/>
  <c r="I1456" i="1" a="1"/>
  <c r="I1456" i="1" s="1"/>
  <c r="D1457" i="1"/>
  <c r="F1457" i="1"/>
  <c r="H1457" i="1"/>
  <c r="I1457" i="1" a="1"/>
  <c r="I1457" i="1" s="1"/>
  <c r="D1458" i="1"/>
  <c r="F1458" i="1"/>
  <c r="H1458" i="1"/>
  <c r="I1458" i="1" a="1"/>
  <c r="I1458" i="1" s="1"/>
  <c r="D1459" i="1"/>
  <c r="F1459" i="1"/>
  <c r="H1459" i="1"/>
  <c r="I1459" i="1" a="1"/>
  <c r="I1459" i="1" s="1"/>
  <c r="D1460" i="1"/>
  <c r="F1460" i="1"/>
  <c r="H1460" i="1"/>
  <c r="I1460" i="1" a="1"/>
  <c r="I1460" i="1" s="1"/>
  <c r="D1461" i="1"/>
  <c r="F1461" i="1"/>
  <c r="H1461" i="1"/>
  <c r="I1461" i="1" a="1"/>
  <c r="I1461" i="1" s="1"/>
  <c r="D1462" i="1"/>
  <c r="F1462" i="1"/>
  <c r="H1462" i="1"/>
  <c r="I1462" i="1" a="1"/>
  <c r="I1462" i="1" s="1"/>
  <c r="D1463" i="1"/>
  <c r="F1463" i="1"/>
  <c r="H1463" i="1"/>
  <c r="I1463" i="1" a="1"/>
  <c r="I1463" i="1" s="1"/>
  <c r="D1464" i="1"/>
  <c r="F1464" i="1"/>
  <c r="H1464" i="1"/>
  <c r="I1464" i="1" a="1"/>
  <c r="I1464" i="1" s="1"/>
  <c r="D1465" i="1"/>
  <c r="F1465" i="1"/>
  <c r="H1465" i="1"/>
  <c r="I1465" i="1" a="1"/>
  <c r="I1465" i="1" s="1"/>
  <c r="D1466" i="1"/>
  <c r="F1466" i="1"/>
  <c r="H1466" i="1"/>
  <c r="I1466" i="1" a="1"/>
  <c r="I1466" i="1" s="1"/>
  <c r="D1467" i="1"/>
  <c r="F1467" i="1"/>
  <c r="H1467" i="1"/>
  <c r="I1467" i="1" a="1"/>
  <c r="I1467" i="1" s="1"/>
  <c r="D1468" i="1"/>
  <c r="F1468" i="1"/>
  <c r="H1468" i="1"/>
  <c r="I1468" i="1" a="1"/>
  <c r="I1468" i="1" s="1"/>
  <c r="D1469" i="1"/>
  <c r="F1469" i="1"/>
  <c r="H1469" i="1"/>
  <c r="I1469" i="1" a="1"/>
  <c r="I1469" i="1" s="1"/>
  <c r="D1470" i="1"/>
  <c r="F1470" i="1"/>
  <c r="H1470" i="1"/>
  <c r="I1470" i="1" a="1"/>
  <c r="I1470" i="1" s="1"/>
  <c r="D1471" i="1"/>
  <c r="F1471" i="1"/>
  <c r="H1471" i="1"/>
  <c r="I1471" i="1" a="1"/>
  <c r="I1471" i="1" s="1"/>
  <c r="D1472" i="1"/>
  <c r="F1472" i="1"/>
  <c r="H1472" i="1"/>
  <c r="I1472" i="1" a="1"/>
  <c r="I1472" i="1" s="1"/>
  <c r="D1473" i="1"/>
  <c r="F1473" i="1"/>
  <c r="H1473" i="1"/>
  <c r="I1473" i="1" a="1"/>
  <c r="I1473" i="1" s="1"/>
  <c r="D1474" i="1"/>
  <c r="F1474" i="1"/>
  <c r="H1474" i="1"/>
  <c r="I1474" i="1" a="1"/>
  <c r="I1474" i="1" s="1"/>
  <c r="D1475" i="1"/>
  <c r="F1475" i="1"/>
  <c r="H1475" i="1"/>
  <c r="I1475" i="1" a="1"/>
  <c r="I1475" i="1" s="1"/>
  <c r="D1476" i="1"/>
  <c r="F1476" i="1"/>
  <c r="H1476" i="1"/>
  <c r="I1476" i="1" a="1"/>
  <c r="I1476" i="1" s="1"/>
  <c r="D1477" i="1"/>
  <c r="F1477" i="1"/>
  <c r="H1477" i="1"/>
  <c r="I1477" i="1" a="1"/>
  <c r="I1477" i="1" s="1"/>
  <c r="D1478" i="1"/>
  <c r="F1478" i="1"/>
  <c r="H1478" i="1"/>
  <c r="I1478" i="1" a="1"/>
  <c r="I1478" i="1" s="1"/>
  <c r="D1479" i="1"/>
  <c r="F1479" i="1"/>
  <c r="H1479" i="1"/>
  <c r="I1479" i="1" a="1"/>
  <c r="I1479" i="1" s="1"/>
  <c r="D1480" i="1"/>
  <c r="F1480" i="1"/>
  <c r="H1480" i="1"/>
  <c r="I1480" i="1" a="1"/>
  <c r="I1480" i="1" s="1"/>
  <c r="D1481" i="1"/>
  <c r="F1481" i="1"/>
  <c r="H1481" i="1"/>
  <c r="I1481" i="1" a="1"/>
  <c r="I1481" i="1" s="1"/>
  <c r="D1482" i="1"/>
  <c r="F1482" i="1"/>
  <c r="H1482" i="1"/>
  <c r="I1482" i="1" a="1"/>
  <c r="I1482" i="1" s="1"/>
  <c r="D1483" i="1"/>
  <c r="F1483" i="1"/>
  <c r="H1483" i="1"/>
  <c r="I1483" i="1" a="1"/>
  <c r="I1483" i="1" s="1"/>
  <c r="D1484" i="1"/>
  <c r="F1484" i="1"/>
  <c r="H1484" i="1"/>
  <c r="I1484" i="1" a="1"/>
  <c r="I1484" i="1" s="1"/>
  <c r="D1485" i="1"/>
  <c r="F1485" i="1"/>
  <c r="H1485" i="1"/>
  <c r="I1485" i="1" a="1"/>
  <c r="I1485" i="1" s="1"/>
  <c r="D1486" i="1"/>
  <c r="F1486" i="1"/>
  <c r="H1486" i="1"/>
  <c r="I1486" i="1" a="1"/>
  <c r="I1486" i="1" s="1"/>
  <c r="D1487" i="1"/>
  <c r="F1487" i="1"/>
  <c r="H1487" i="1"/>
  <c r="I1487" i="1" a="1"/>
  <c r="I1487" i="1" s="1"/>
  <c r="D1488" i="1"/>
  <c r="F1488" i="1"/>
  <c r="H1488" i="1"/>
  <c r="I1488" i="1" a="1"/>
  <c r="I1488" i="1" s="1"/>
  <c r="D1489" i="1"/>
  <c r="F1489" i="1"/>
  <c r="H1489" i="1"/>
  <c r="I1489" i="1" a="1"/>
  <c r="I1489" i="1" s="1"/>
  <c r="D1490" i="1"/>
  <c r="F1490" i="1"/>
  <c r="H1490" i="1"/>
  <c r="I1490" i="1" a="1"/>
  <c r="I1490" i="1" s="1"/>
  <c r="D1491" i="1"/>
  <c r="F1491" i="1"/>
  <c r="H1491" i="1"/>
  <c r="I1491" i="1" a="1"/>
  <c r="I1491" i="1" s="1"/>
  <c r="D1492" i="1"/>
  <c r="F1492" i="1"/>
  <c r="H1492" i="1"/>
  <c r="I1492" i="1" a="1"/>
  <c r="I1492" i="1" s="1"/>
  <c r="D1493" i="1"/>
  <c r="F1493" i="1"/>
  <c r="H1493" i="1"/>
  <c r="I1493" i="1" a="1"/>
  <c r="I1493" i="1" s="1"/>
  <c r="D1494" i="1"/>
  <c r="F1494" i="1"/>
  <c r="H1494" i="1"/>
  <c r="I1494" i="1" a="1"/>
  <c r="I1494" i="1" s="1"/>
  <c r="D1495" i="1"/>
  <c r="F1495" i="1"/>
  <c r="H1495" i="1"/>
  <c r="I1495" i="1" a="1"/>
  <c r="I1495" i="1" s="1"/>
  <c r="D1496" i="1"/>
  <c r="F1496" i="1"/>
  <c r="H1496" i="1"/>
  <c r="I1496" i="1" a="1"/>
  <c r="I1496" i="1" s="1"/>
  <c r="D1497" i="1"/>
  <c r="F1497" i="1"/>
  <c r="H1497" i="1"/>
  <c r="I1497" i="1" a="1"/>
  <c r="I1497" i="1" s="1"/>
  <c r="D1498" i="1"/>
  <c r="F1498" i="1"/>
  <c r="H1498" i="1"/>
  <c r="I1498" i="1" a="1"/>
  <c r="I1498" i="1" s="1"/>
  <c r="D1499" i="1"/>
  <c r="F1499" i="1"/>
  <c r="H1499" i="1"/>
  <c r="I1499" i="1" a="1"/>
  <c r="I1499" i="1" s="1"/>
  <c r="D1500" i="1"/>
  <c r="F1500" i="1"/>
  <c r="H1500" i="1"/>
  <c r="I1500" i="1" a="1"/>
  <c r="I1500" i="1" s="1"/>
  <c r="D1501" i="1"/>
  <c r="F1501" i="1"/>
  <c r="H1501" i="1"/>
  <c r="I1501" i="1" a="1"/>
  <c r="I1501" i="1" s="1"/>
  <c r="D1502" i="1"/>
  <c r="F1502" i="1"/>
  <c r="H1502" i="1"/>
  <c r="I1502" i="1" a="1"/>
  <c r="I1502" i="1" s="1"/>
  <c r="D1503" i="1"/>
  <c r="F1503" i="1"/>
  <c r="H1503" i="1"/>
  <c r="I1503" i="1" a="1"/>
  <c r="I1503" i="1" s="1"/>
  <c r="D1504" i="1"/>
  <c r="F1504" i="1"/>
  <c r="H1504" i="1"/>
  <c r="I1504" i="1" a="1"/>
  <c r="I1504" i="1" s="1"/>
  <c r="D1505" i="1"/>
  <c r="F1505" i="1"/>
  <c r="H1505" i="1"/>
  <c r="I1505" i="1" a="1"/>
  <c r="I1505" i="1" s="1"/>
  <c r="D1506" i="1"/>
  <c r="F1506" i="1"/>
  <c r="H1506" i="1"/>
  <c r="I1506" i="1" a="1"/>
  <c r="I1506" i="1" s="1"/>
  <c r="D1507" i="1"/>
  <c r="F1507" i="1"/>
  <c r="H1507" i="1"/>
  <c r="I1507" i="1" a="1"/>
  <c r="I1507" i="1" s="1"/>
  <c r="D1508" i="1"/>
  <c r="F1508" i="1"/>
  <c r="H1508" i="1"/>
  <c r="I1508" i="1" a="1"/>
  <c r="I1508" i="1" s="1"/>
  <c r="D1509" i="1"/>
  <c r="F1509" i="1"/>
  <c r="H1509" i="1"/>
  <c r="I1509" i="1" a="1"/>
  <c r="I1509" i="1" s="1"/>
  <c r="D1510" i="1"/>
  <c r="F1510" i="1"/>
  <c r="H1510" i="1"/>
  <c r="I1510" i="1" a="1"/>
  <c r="I1510" i="1" s="1"/>
  <c r="D1511" i="1"/>
  <c r="F1511" i="1"/>
  <c r="H1511" i="1"/>
  <c r="I1511" i="1" a="1"/>
  <c r="I1511" i="1" s="1"/>
  <c r="D1512" i="1"/>
  <c r="F1512" i="1"/>
  <c r="H1512" i="1"/>
  <c r="I1512" i="1" a="1"/>
  <c r="I1512" i="1" s="1"/>
  <c r="D1513" i="1"/>
  <c r="F1513" i="1"/>
  <c r="H1513" i="1"/>
  <c r="I1513" i="1" a="1"/>
  <c r="I1513" i="1" s="1"/>
  <c r="D1514" i="1"/>
  <c r="F1514" i="1"/>
  <c r="H1514" i="1"/>
  <c r="I1514" i="1" a="1"/>
  <c r="I1514" i="1" s="1"/>
  <c r="D1515" i="1"/>
  <c r="F1515" i="1"/>
  <c r="H1515" i="1"/>
  <c r="I1515" i="1" a="1"/>
  <c r="I1515" i="1" s="1"/>
  <c r="D1516" i="1"/>
  <c r="F1516" i="1"/>
  <c r="H1516" i="1"/>
  <c r="I1516" i="1" a="1"/>
  <c r="I1516" i="1" s="1"/>
  <c r="D1517" i="1"/>
  <c r="F1517" i="1"/>
  <c r="H1517" i="1"/>
  <c r="I1517" i="1" a="1"/>
  <c r="I1517" i="1" s="1"/>
  <c r="D1518" i="1"/>
  <c r="F1518" i="1"/>
  <c r="H1518" i="1"/>
  <c r="I1518" i="1" a="1"/>
  <c r="I1518" i="1" s="1"/>
  <c r="D1519" i="1"/>
  <c r="F1519" i="1"/>
  <c r="H1519" i="1"/>
  <c r="I1519" i="1" a="1"/>
  <c r="I1519" i="1" s="1"/>
  <c r="D1520" i="1"/>
  <c r="F1520" i="1"/>
  <c r="H1520" i="1"/>
  <c r="I1520" i="1" a="1"/>
  <c r="I1520" i="1" s="1"/>
  <c r="D1521" i="1"/>
  <c r="F1521" i="1"/>
  <c r="H1521" i="1"/>
  <c r="I1521" i="1" a="1"/>
  <c r="I1521" i="1" s="1"/>
  <c r="D1522" i="1"/>
  <c r="F1522" i="1"/>
  <c r="H1522" i="1"/>
  <c r="I1522" i="1" a="1"/>
  <c r="I1522" i="1" s="1"/>
  <c r="D1523" i="1"/>
  <c r="F1523" i="1"/>
  <c r="H1523" i="1"/>
  <c r="I1523" i="1" a="1"/>
  <c r="I1523" i="1" s="1"/>
  <c r="D1524" i="1"/>
  <c r="F1524" i="1"/>
  <c r="H1524" i="1"/>
  <c r="I1524" i="1" a="1"/>
  <c r="I1524" i="1" s="1"/>
  <c r="D1525" i="1"/>
  <c r="F1525" i="1"/>
  <c r="H1525" i="1"/>
  <c r="I1525" i="1" a="1"/>
  <c r="I1525" i="1" s="1"/>
  <c r="D1526" i="1"/>
  <c r="F1526" i="1"/>
  <c r="H1526" i="1"/>
  <c r="I1526" i="1" a="1"/>
  <c r="I1526" i="1" s="1"/>
  <c r="D1527" i="1"/>
  <c r="F1527" i="1"/>
  <c r="H1527" i="1"/>
  <c r="I1527" i="1" a="1"/>
  <c r="I1527" i="1" s="1"/>
  <c r="D1528" i="1"/>
  <c r="F1528" i="1"/>
  <c r="H1528" i="1"/>
  <c r="I1528" i="1" a="1"/>
  <c r="I1528" i="1" s="1"/>
  <c r="D1529" i="1"/>
  <c r="F1529" i="1"/>
  <c r="H1529" i="1"/>
  <c r="I1529" i="1" a="1"/>
  <c r="I1529" i="1" s="1"/>
  <c r="D1530" i="1"/>
  <c r="F1530" i="1"/>
  <c r="H1530" i="1"/>
  <c r="I1530" i="1" a="1"/>
  <c r="I1530" i="1" s="1"/>
  <c r="D1531" i="1"/>
  <c r="F1531" i="1"/>
  <c r="H1531" i="1"/>
  <c r="I1531" i="1" a="1"/>
  <c r="I1531" i="1" s="1"/>
  <c r="D1532" i="1"/>
  <c r="F1532" i="1"/>
  <c r="H1532" i="1"/>
  <c r="I1532" i="1" a="1"/>
  <c r="I1532" i="1" s="1"/>
  <c r="D1533" i="1"/>
  <c r="F1533" i="1"/>
  <c r="H1533" i="1"/>
  <c r="I1533" i="1" a="1"/>
  <c r="I1533" i="1" s="1"/>
  <c r="D1534" i="1"/>
  <c r="F1534" i="1"/>
  <c r="H1534" i="1"/>
  <c r="I1534" i="1" a="1"/>
  <c r="I1534" i="1" s="1"/>
  <c r="D1535" i="1"/>
  <c r="F1535" i="1"/>
  <c r="H1535" i="1"/>
  <c r="I1535" i="1" a="1"/>
  <c r="I1535" i="1" s="1"/>
  <c r="D1536" i="1"/>
  <c r="F1536" i="1"/>
  <c r="H1536" i="1"/>
  <c r="I1536" i="1" a="1"/>
  <c r="I1536" i="1" s="1"/>
  <c r="D1537" i="1"/>
  <c r="F1537" i="1"/>
  <c r="H1537" i="1"/>
  <c r="I1537" i="1" a="1"/>
  <c r="I1537" i="1" s="1"/>
  <c r="D1538" i="1"/>
  <c r="F1538" i="1"/>
  <c r="H1538" i="1"/>
  <c r="I1538" i="1" a="1"/>
  <c r="I1538" i="1" s="1"/>
  <c r="D1539" i="1"/>
  <c r="F1539" i="1"/>
  <c r="H1539" i="1"/>
  <c r="I1539" i="1" a="1"/>
  <c r="I1539" i="1" s="1"/>
  <c r="D1540" i="1"/>
  <c r="F1540" i="1"/>
  <c r="H1540" i="1"/>
  <c r="I1540" i="1" a="1"/>
  <c r="I1540" i="1" s="1"/>
  <c r="D1541" i="1"/>
  <c r="F1541" i="1"/>
  <c r="H1541" i="1"/>
  <c r="I1541" i="1" a="1"/>
  <c r="I1541" i="1" s="1"/>
  <c r="D1542" i="1"/>
  <c r="F1542" i="1"/>
  <c r="H1542" i="1"/>
  <c r="I1542" i="1" a="1"/>
  <c r="I1542" i="1" s="1"/>
  <c r="D1543" i="1"/>
  <c r="F1543" i="1"/>
  <c r="H1543" i="1"/>
  <c r="I1543" i="1" a="1"/>
  <c r="I1543" i="1" s="1"/>
  <c r="D1544" i="1"/>
  <c r="F1544" i="1"/>
  <c r="H1544" i="1"/>
  <c r="I1544" i="1" a="1"/>
  <c r="I1544" i="1" s="1"/>
  <c r="D1545" i="1"/>
  <c r="F1545" i="1"/>
  <c r="H1545" i="1"/>
  <c r="I1545" i="1" a="1"/>
  <c r="I1545" i="1" s="1"/>
  <c r="D1546" i="1"/>
  <c r="F1546" i="1"/>
  <c r="H1546" i="1"/>
  <c r="I1546" i="1" a="1"/>
  <c r="I1546" i="1" s="1"/>
  <c r="D1547" i="1"/>
  <c r="F1547" i="1"/>
  <c r="H1547" i="1"/>
  <c r="I1547" i="1" a="1"/>
  <c r="I1547" i="1" s="1"/>
  <c r="D1548" i="1"/>
  <c r="F1548" i="1"/>
  <c r="H1548" i="1"/>
  <c r="I1548" i="1" a="1"/>
  <c r="I1548" i="1" s="1"/>
  <c r="D1549" i="1"/>
  <c r="F1549" i="1"/>
  <c r="H1549" i="1"/>
  <c r="I1549" i="1" a="1"/>
  <c r="I1549" i="1" s="1"/>
  <c r="D1550" i="1"/>
  <c r="F1550" i="1"/>
  <c r="H1550" i="1"/>
  <c r="I1550" i="1" a="1"/>
  <c r="I1550" i="1" s="1"/>
  <c r="D1551" i="1"/>
  <c r="F1551" i="1"/>
  <c r="H1551" i="1"/>
  <c r="I1551" i="1" a="1"/>
  <c r="I1551" i="1" s="1"/>
  <c r="D1552" i="1"/>
  <c r="F1552" i="1"/>
  <c r="H1552" i="1"/>
  <c r="I1552" i="1" a="1"/>
  <c r="I1552" i="1" s="1"/>
  <c r="D1553" i="1"/>
  <c r="F1553" i="1"/>
  <c r="H1553" i="1"/>
  <c r="I1553" i="1" a="1"/>
  <c r="I1553" i="1" s="1"/>
  <c r="D1554" i="1"/>
  <c r="F1554" i="1"/>
  <c r="H1554" i="1"/>
  <c r="I1554" i="1" a="1"/>
  <c r="I1554" i="1" s="1"/>
  <c r="D1555" i="1"/>
  <c r="F1555" i="1"/>
  <c r="H1555" i="1"/>
  <c r="I1555" i="1" a="1"/>
  <c r="I1555" i="1" s="1"/>
  <c r="D1556" i="1"/>
  <c r="F1556" i="1"/>
  <c r="H1556" i="1"/>
  <c r="I1556" i="1" a="1"/>
  <c r="I1556" i="1" s="1"/>
  <c r="D1557" i="1"/>
  <c r="F1557" i="1"/>
  <c r="H1557" i="1"/>
  <c r="I1557" i="1" a="1"/>
  <c r="I1557" i="1" s="1"/>
  <c r="D1558" i="1"/>
  <c r="F1558" i="1"/>
  <c r="H1558" i="1"/>
  <c r="I1558" i="1" a="1"/>
  <c r="I1558" i="1" s="1"/>
  <c r="D1559" i="1"/>
  <c r="F1559" i="1"/>
  <c r="H1559" i="1"/>
  <c r="I1559" i="1" a="1"/>
  <c r="I1559" i="1" s="1"/>
  <c r="D1560" i="1"/>
  <c r="F1560" i="1"/>
  <c r="H1560" i="1"/>
  <c r="I1560" i="1" a="1"/>
  <c r="I1560" i="1" s="1"/>
  <c r="D1561" i="1"/>
  <c r="F1561" i="1"/>
  <c r="H1561" i="1"/>
  <c r="I1561" i="1" a="1"/>
  <c r="I1561" i="1" s="1"/>
  <c r="D1562" i="1"/>
  <c r="F1562" i="1"/>
  <c r="H1562" i="1"/>
  <c r="I1562" i="1" a="1"/>
  <c r="I1562" i="1" s="1"/>
  <c r="D1563" i="1"/>
  <c r="F1563" i="1"/>
  <c r="H1563" i="1"/>
  <c r="I1563" i="1" a="1"/>
  <c r="I1563" i="1" s="1"/>
  <c r="D1564" i="1"/>
  <c r="F1564" i="1"/>
  <c r="H1564" i="1"/>
  <c r="I1564" i="1" a="1"/>
  <c r="I1564" i="1" s="1"/>
  <c r="D1565" i="1"/>
  <c r="F1565" i="1"/>
  <c r="H1565" i="1"/>
  <c r="I1565" i="1" a="1"/>
  <c r="I1565" i="1" s="1"/>
  <c r="D1566" i="1"/>
  <c r="F1566" i="1"/>
  <c r="H1566" i="1"/>
  <c r="I1566" i="1" a="1"/>
  <c r="I1566" i="1" s="1"/>
  <c r="D1567" i="1"/>
  <c r="F1567" i="1"/>
  <c r="H1567" i="1"/>
  <c r="I1567" i="1" a="1"/>
  <c r="I1567" i="1" s="1"/>
  <c r="D1568" i="1"/>
  <c r="F1568" i="1"/>
  <c r="H1568" i="1"/>
  <c r="I1568" i="1" a="1"/>
  <c r="I1568" i="1" s="1"/>
  <c r="D1569" i="1"/>
  <c r="F1569" i="1"/>
  <c r="H1569" i="1"/>
  <c r="I1569" i="1" a="1"/>
  <c r="I1569" i="1" s="1"/>
  <c r="D1570" i="1"/>
  <c r="F1570" i="1"/>
  <c r="H1570" i="1"/>
  <c r="I1570" i="1" a="1"/>
  <c r="I1570" i="1" s="1"/>
  <c r="D1571" i="1"/>
  <c r="F1571" i="1"/>
  <c r="H1571" i="1"/>
  <c r="I1571" i="1" a="1"/>
  <c r="I1571" i="1" s="1"/>
  <c r="D1572" i="1"/>
  <c r="F1572" i="1"/>
  <c r="H1572" i="1"/>
  <c r="I1572" i="1" a="1"/>
  <c r="I1572" i="1" s="1"/>
  <c r="D1573" i="1"/>
  <c r="F1573" i="1"/>
  <c r="H1573" i="1"/>
  <c r="I1573" i="1" a="1"/>
  <c r="I1573" i="1" s="1"/>
  <c r="D1574" i="1"/>
  <c r="F1574" i="1"/>
  <c r="H1574" i="1"/>
  <c r="I1574" i="1" a="1"/>
  <c r="I1574" i="1" s="1"/>
  <c r="D1575" i="1"/>
  <c r="F1575" i="1"/>
  <c r="H1575" i="1"/>
  <c r="I1575" i="1" a="1"/>
  <c r="I1575" i="1" s="1"/>
  <c r="D1576" i="1"/>
  <c r="F1576" i="1"/>
  <c r="H1576" i="1"/>
  <c r="I1576" i="1" a="1"/>
  <c r="I1576" i="1" s="1"/>
  <c r="D1577" i="1"/>
  <c r="F1577" i="1"/>
  <c r="H1577" i="1"/>
  <c r="I1577" i="1" a="1"/>
  <c r="I1577" i="1" s="1"/>
  <c r="D1578" i="1"/>
  <c r="F1578" i="1"/>
  <c r="H1578" i="1"/>
  <c r="I1578" i="1" a="1"/>
  <c r="I1578" i="1" s="1"/>
  <c r="D1579" i="1"/>
  <c r="F1579" i="1"/>
  <c r="H1579" i="1"/>
  <c r="I1579" i="1" a="1"/>
  <c r="I1579" i="1" s="1"/>
  <c r="D1580" i="1"/>
  <c r="F1580" i="1"/>
  <c r="H1580" i="1"/>
  <c r="I1580" i="1" a="1"/>
  <c r="I1580" i="1" s="1"/>
  <c r="D1581" i="1"/>
  <c r="F1581" i="1"/>
  <c r="H1581" i="1"/>
  <c r="I1581" i="1" a="1"/>
  <c r="I1581" i="1" s="1"/>
  <c r="D1582" i="1"/>
  <c r="F1582" i="1"/>
  <c r="H1582" i="1"/>
  <c r="I1582" i="1" a="1"/>
  <c r="I1582" i="1" s="1"/>
  <c r="D1583" i="1"/>
  <c r="F1583" i="1"/>
  <c r="H1583" i="1"/>
  <c r="I1583" i="1" a="1"/>
  <c r="I1583" i="1" s="1"/>
  <c r="D1584" i="1"/>
  <c r="F1584" i="1"/>
  <c r="H1584" i="1"/>
  <c r="I1584" i="1" a="1"/>
  <c r="I1584" i="1" s="1"/>
  <c r="D1585" i="1"/>
  <c r="F1585" i="1"/>
  <c r="H1585" i="1"/>
  <c r="I1585" i="1" a="1"/>
  <c r="I1585" i="1" s="1"/>
  <c r="D1586" i="1"/>
  <c r="F1586" i="1"/>
  <c r="H1586" i="1"/>
  <c r="I1586" i="1" a="1"/>
  <c r="I1586" i="1" s="1"/>
  <c r="D1587" i="1"/>
  <c r="F1587" i="1"/>
  <c r="H1587" i="1"/>
  <c r="I1587" i="1" a="1"/>
  <c r="I1587" i="1" s="1"/>
  <c r="D1588" i="1"/>
  <c r="F1588" i="1"/>
  <c r="H1588" i="1"/>
  <c r="I1588" i="1" a="1"/>
  <c r="I1588" i="1" s="1"/>
  <c r="D1589" i="1"/>
  <c r="F1589" i="1"/>
  <c r="H1589" i="1"/>
  <c r="I1589" i="1" a="1"/>
  <c r="I1589" i="1" s="1"/>
  <c r="D1590" i="1"/>
  <c r="F1590" i="1"/>
  <c r="H1590" i="1"/>
  <c r="I1590" i="1" a="1"/>
  <c r="I1590" i="1" s="1"/>
  <c r="D1591" i="1"/>
  <c r="F1591" i="1"/>
  <c r="H1591" i="1"/>
  <c r="I1591" i="1" a="1"/>
  <c r="I1591" i="1" s="1"/>
  <c r="D1592" i="1"/>
  <c r="F1592" i="1"/>
  <c r="H1592" i="1"/>
  <c r="I1592" i="1" a="1"/>
  <c r="I1592" i="1" s="1"/>
  <c r="D1593" i="1"/>
  <c r="F1593" i="1"/>
  <c r="H1593" i="1"/>
  <c r="I1593" i="1" a="1"/>
  <c r="I1593" i="1" s="1"/>
  <c r="D1594" i="1"/>
  <c r="F1594" i="1"/>
  <c r="H1594" i="1"/>
  <c r="I1594" i="1" a="1"/>
  <c r="I1594" i="1" s="1"/>
  <c r="D1595" i="1"/>
  <c r="F1595" i="1"/>
  <c r="H1595" i="1"/>
  <c r="I1595" i="1" a="1"/>
  <c r="I1595" i="1" s="1"/>
  <c r="D1596" i="1"/>
  <c r="F1596" i="1"/>
  <c r="H1596" i="1"/>
  <c r="I1596" i="1" a="1"/>
  <c r="I1596" i="1" s="1"/>
  <c r="D1597" i="1"/>
  <c r="F1597" i="1"/>
  <c r="H1597" i="1"/>
  <c r="I1597" i="1" a="1"/>
  <c r="I1597" i="1" s="1"/>
  <c r="D1598" i="1"/>
  <c r="F1598" i="1"/>
  <c r="H1598" i="1"/>
  <c r="I1598" i="1" a="1"/>
  <c r="I1598" i="1" s="1"/>
  <c r="D1599" i="1"/>
  <c r="F1599" i="1"/>
  <c r="H1599" i="1"/>
  <c r="I1599" i="1" a="1"/>
  <c r="I1599" i="1" s="1"/>
  <c r="D1600" i="1"/>
  <c r="F1600" i="1"/>
  <c r="H1600" i="1"/>
  <c r="I1600" i="1" a="1"/>
  <c r="I1600" i="1" s="1"/>
  <c r="D1601" i="1"/>
  <c r="F1601" i="1"/>
  <c r="H1601" i="1"/>
  <c r="I1601" i="1" a="1"/>
  <c r="I1601" i="1" s="1"/>
  <c r="D1602" i="1"/>
  <c r="F1602" i="1"/>
  <c r="H1602" i="1"/>
  <c r="I1602" i="1" a="1"/>
  <c r="I1602" i="1" s="1"/>
  <c r="D1603" i="1"/>
  <c r="F1603" i="1"/>
  <c r="H1603" i="1"/>
  <c r="I1603" i="1" a="1"/>
  <c r="I1603" i="1" s="1"/>
  <c r="D1604" i="1"/>
  <c r="F1604" i="1"/>
  <c r="H1604" i="1"/>
  <c r="I1604" i="1" a="1"/>
  <c r="I1604" i="1" s="1"/>
  <c r="D1605" i="1"/>
  <c r="F1605" i="1"/>
  <c r="H1605" i="1"/>
  <c r="I1605" i="1" a="1"/>
  <c r="I1605" i="1" s="1"/>
  <c r="D1606" i="1"/>
  <c r="F1606" i="1"/>
  <c r="H1606" i="1"/>
  <c r="I1606" i="1" a="1"/>
  <c r="I1606" i="1" s="1"/>
  <c r="D1607" i="1"/>
  <c r="F1607" i="1"/>
  <c r="H1607" i="1"/>
  <c r="I1607" i="1" a="1"/>
  <c r="I1607" i="1" s="1"/>
  <c r="D1608" i="1"/>
  <c r="F1608" i="1"/>
  <c r="H1608" i="1"/>
  <c r="I1608" i="1" a="1"/>
  <c r="I1608" i="1" s="1"/>
  <c r="D1609" i="1"/>
  <c r="F1609" i="1"/>
  <c r="H1609" i="1"/>
  <c r="I1609" i="1" a="1"/>
  <c r="I1609" i="1" s="1"/>
  <c r="D1610" i="1"/>
  <c r="F1610" i="1"/>
  <c r="H1610" i="1"/>
  <c r="I1610" i="1" a="1"/>
  <c r="I1610" i="1" s="1"/>
  <c r="D1611" i="1"/>
  <c r="F1611" i="1"/>
  <c r="H1611" i="1"/>
  <c r="I1611" i="1" a="1"/>
  <c r="I1611" i="1" s="1"/>
  <c r="D1612" i="1"/>
  <c r="F1612" i="1"/>
  <c r="H1612" i="1"/>
  <c r="I1612" i="1" a="1"/>
  <c r="I1612" i="1" s="1"/>
  <c r="D1613" i="1"/>
  <c r="F1613" i="1"/>
  <c r="H1613" i="1"/>
  <c r="I1613" i="1" a="1"/>
  <c r="I1613" i="1" s="1"/>
  <c r="D1614" i="1"/>
  <c r="F1614" i="1"/>
  <c r="H1614" i="1"/>
  <c r="I1614" i="1" a="1"/>
  <c r="I1614" i="1" s="1"/>
  <c r="D1615" i="1"/>
  <c r="F1615" i="1"/>
  <c r="H1615" i="1"/>
  <c r="I1615" i="1" a="1"/>
  <c r="I1615" i="1" s="1"/>
  <c r="D1616" i="1"/>
  <c r="F1616" i="1"/>
  <c r="H1616" i="1"/>
  <c r="I1616" i="1" a="1"/>
  <c r="I1616" i="1" s="1"/>
  <c r="D1617" i="1"/>
  <c r="F1617" i="1"/>
  <c r="H1617" i="1"/>
  <c r="I1617" i="1" a="1"/>
  <c r="I1617" i="1" s="1"/>
  <c r="D1618" i="1"/>
  <c r="F1618" i="1"/>
  <c r="H1618" i="1"/>
  <c r="I1618" i="1" a="1"/>
  <c r="I1618" i="1" s="1"/>
  <c r="D1619" i="1"/>
  <c r="F1619" i="1"/>
  <c r="H1619" i="1"/>
  <c r="I1619" i="1" a="1"/>
  <c r="I1619" i="1" s="1"/>
  <c r="D1620" i="1"/>
  <c r="F1620" i="1"/>
  <c r="H1620" i="1"/>
  <c r="I1620" i="1" a="1"/>
  <c r="I1620" i="1" s="1"/>
  <c r="D1621" i="1"/>
  <c r="F1621" i="1"/>
  <c r="H1621" i="1"/>
  <c r="I1621" i="1" a="1"/>
  <c r="I1621" i="1" s="1"/>
  <c r="D1622" i="1"/>
  <c r="F1622" i="1"/>
  <c r="H1622" i="1"/>
  <c r="I1622" i="1" a="1"/>
  <c r="I1622" i="1" s="1"/>
  <c r="D1623" i="1"/>
  <c r="F1623" i="1"/>
  <c r="H1623" i="1"/>
  <c r="I1623" i="1" a="1"/>
  <c r="I1623" i="1" s="1"/>
  <c r="D1624" i="1"/>
  <c r="F1624" i="1"/>
  <c r="H1624" i="1"/>
  <c r="I1624" i="1" a="1"/>
  <c r="I1624" i="1" s="1"/>
  <c r="D1625" i="1"/>
  <c r="F1625" i="1"/>
  <c r="H1625" i="1"/>
  <c r="I1625" i="1" a="1"/>
  <c r="I1625" i="1" s="1"/>
  <c r="D1626" i="1"/>
  <c r="F1626" i="1"/>
  <c r="H1626" i="1"/>
  <c r="I1626" i="1" a="1"/>
  <c r="I1626" i="1" s="1"/>
  <c r="D1627" i="1"/>
  <c r="F1627" i="1"/>
  <c r="H1627" i="1"/>
  <c r="I1627" i="1" a="1"/>
  <c r="I1627" i="1" s="1"/>
  <c r="D1628" i="1"/>
  <c r="F1628" i="1"/>
  <c r="H1628" i="1"/>
  <c r="I1628" i="1" a="1"/>
  <c r="I1628" i="1" s="1"/>
  <c r="D1629" i="1"/>
  <c r="F1629" i="1"/>
  <c r="H1629" i="1"/>
  <c r="I1629" i="1" a="1"/>
  <c r="I1629" i="1" s="1"/>
  <c r="D1630" i="1"/>
  <c r="F1630" i="1"/>
  <c r="H1630" i="1"/>
  <c r="I1630" i="1" a="1"/>
  <c r="I1630" i="1" s="1"/>
  <c r="D1631" i="1"/>
  <c r="F1631" i="1"/>
  <c r="H1631" i="1"/>
  <c r="I1631" i="1" a="1"/>
  <c r="I1631" i="1" s="1"/>
  <c r="D1632" i="1"/>
  <c r="F1632" i="1"/>
  <c r="H1632" i="1"/>
  <c r="I1632" i="1" a="1"/>
  <c r="I1632" i="1" s="1"/>
  <c r="D1633" i="1"/>
  <c r="F1633" i="1"/>
  <c r="H1633" i="1"/>
  <c r="I1633" i="1" a="1"/>
  <c r="I1633" i="1" s="1"/>
  <c r="D1634" i="1"/>
  <c r="F1634" i="1"/>
  <c r="H1634" i="1"/>
  <c r="I1634" i="1" a="1"/>
  <c r="I1634" i="1" s="1"/>
  <c r="D1635" i="1"/>
  <c r="F1635" i="1"/>
  <c r="H1635" i="1"/>
  <c r="I1635" i="1" a="1"/>
  <c r="I1635" i="1" s="1"/>
  <c r="D1636" i="1"/>
  <c r="F1636" i="1"/>
  <c r="H1636" i="1"/>
  <c r="I1636" i="1" a="1"/>
  <c r="I1636" i="1" s="1"/>
  <c r="D1637" i="1"/>
  <c r="F1637" i="1"/>
  <c r="H1637" i="1"/>
  <c r="I1637" i="1" a="1"/>
  <c r="I1637" i="1" s="1"/>
  <c r="D1638" i="1"/>
  <c r="F1638" i="1"/>
  <c r="H1638" i="1"/>
  <c r="I1638" i="1" a="1"/>
  <c r="I1638" i="1" s="1"/>
  <c r="D1639" i="1"/>
  <c r="F1639" i="1"/>
  <c r="H1639" i="1"/>
  <c r="I1639" i="1" a="1"/>
  <c r="I1639" i="1" s="1"/>
  <c r="D1640" i="1"/>
  <c r="F1640" i="1"/>
  <c r="H1640" i="1"/>
  <c r="I1640" i="1" a="1"/>
  <c r="I1640" i="1" s="1"/>
  <c r="D1641" i="1"/>
  <c r="F1641" i="1"/>
  <c r="H1641" i="1"/>
  <c r="I1641" i="1" a="1"/>
  <c r="I1641" i="1" s="1"/>
  <c r="D1642" i="1"/>
  <c r="F1642" i="1"/>
  <c r="H1642" i="1"/>
  <c r="I1642" i="1" a="1"/>
  <c r="I1642" i="1" s="1"/>
  <c r="D1643" i="1"/>
  <c r="F1643" i="1"/>
  <c r="H1643" i="1"/>
  <c r="I1643" i="1" a="1"/>
  <c r="I1643" i="1" s="1"/>
  <c r="D1644" i="1"/>
  <c r="F1644" i="1"/>
  <c r="H1644" i="1"/>
  <c r="I1644" i="1" a="1"/>
  <c r="I1644" i="1" s="1"/>
  <c r="D1645" i="1"/>
  <c r="F1645" i="1"/>
  <c r="H1645" i="1"/>
  <c r="I1645" i="1" a="1"/>
  <c r="I1645" i="1" s="1"/>
  <c r="D1646" i="1"/>
  <c r="F1646" i="1"/>
  <c r="H1646" i="1"/>
  <c r="I1646" i="1" a="1"/>
  <c r="I1646" i="1" s="1"/>
  <c r="D1647" i="1"/>
  <c r="F1647" i="1"/>
  <c r="H1647" i="1"/>
  <c r="I1647" i="1" a="1"/>
  <c r="I1647" i="1" s="1"/>
  <c r="D1648" i="1"/>
  <c r="F1648" i="1"/>
  <c r="H1648" i="1"/>
  <c r="I1648" i="1" a="1"/>
  <c r="I1648" i="1" s="1"/>
  <c r="D1649" i="1"/>
  <c r="F1649" i="1"/>
  <c r="H1649" i="1"/>
  <c r="I1649" i="1" a="1"/>
  <c r="I1649" i="1" s="1"/>
  <c r="D1650" i="1"/>
  <c r="F1650" i="1"/>
  <c r="H1650" i="1"/>
  <c r="I1650" i="1" a="1"/>
  <c r="I1650" i="1" s="1"/>
  <c r="D1651" i="1"/>
  <c r="F1651" i="1"/>
  <c r="H1651" i="1"/>
  <c r="I1651" i="1" a="1"/>
  <c r="I1651" i="1" s="1"/>
  <c r="D1652" i="1"/>
  <c r="F1652" i="1"/>
  <c r="H1652" i="1"/>
  <c r="I1652" i="1" a="1"/>
  <c r="I1652" i="1" s="1"/>
  <c r="D1653" i="1"/>
  <c r="F1653" i="1"/>
  <c r="H1653" i="1"/>
  <c r="I1653" i="1" a="1"/>
  <c r="I1653" i="1" s="1"/>
  <c r="D1654" i="1"/>
  <c r="F1654" i="1"/>
  <c r="H1654" i="1"/>
  <c r="I1654" i="1" a="1"/>
  <c r="I1654" i="1" s="1"/>
  <c r="D1655" i="1"/>
  <c r="F1655" i="1"/>
  <c r="H1655" i="1"/>
  <c r="I1655" i="1" a="1"/>
  <c r="I1655" i="1" s="1"/>
  <c r="D1656" i="1"/>
  <c r="F1656" i="1"/>
  <c r="H1656" i="1"/>
  <c r="I1656" i="1" a="1"/>
  <c r="I1656" i="1" s="1"/>
  <c r="D1657" i="1"/>
  <c r="F1657" i="1"/>
  <c r="H1657" i="1"/>
  <c r="I1657" i="1" a="1"/>
  <c r="I1657" i="1" s="1"/>
  <c r="D1658" i="1"/>
  <c r="F1658" i="1"/>
  <c r="H1658" i="1"/>
  <c r="I1658" i="1" a="1"/>
  <c r="I1658" i="1" s="1"/>
  <c r="D1659" i="1"/>
  <c r="F1659" i="1"/>
  <c r="H1659" i="1"/>
  <c r="I1659" i="1" a="1"/>
  <c r="I1659" i="1" s="1"/>
  <c r="D1660" i="1"/>
  <c r="F1660" i="1"/>
  <c r="H1660" i="1"/>
  <c r="I1660" i="1" a="1"/>
  <c r="I1660" i="1" s="1"/>
  <c r="D1661" i="1"/>
  <c r="F1661" i="1"/>
  <c r="H1661" i="1"/>
  <c r="I1661" i="1" a="1"/>
  <c r="I1661" i="1" s="1"/>
  <c r="D1662" i="1"/>
  <c r="F1662" i="1"/>
  <c r="H1662" i="1"/>
  <c r="I1662" i="1" a="1"/>
  <c r="I1662" i="1" s="1"/>
  <c r="D1663" i="1"/>
  <c r="F1663" i="1"/>
  <c r="H1663" i="1"/>
  <c r="I1663" i="1" a="1"/>
  <c r="I1663" i="1" s="1"/>
  <c r="D1664" i="1"/>
  <c r="F1664" i="1"/>
  <c r="H1664" i="1"/>
  <c r="I1664" i="1" a="1"/>
  <c r="I1664" i="1" s="1"/>
  <c r="D1665" i="1"/>
  <c r="F1665" i="1"/>
  <c r="H1665" i="1"/>
  <c r="I1665" i="1" a="1"/>
  <c r="I1665" i="1" s="1"/>
  <c r="D1666" i="1"/>
  <c r="F1666" i="1"/>
  <c r="H1666" i="1"/>
  <c r="I1666" i="1" a="1"/>
  <c r="I1666" i="1" s="1"/>
  <c r="D1667" i="1"/>
  <c r="F1667" i="1"/>
  <c r="H1667" i="1"/>
  <c r="I1667" i="1" a="1"/>
  <c r="I1667" i="1" s="1"/>
  <c r="D1668" i="1"/>
  <c r="F1668" i="1"/>
  <c r="H1668" i="1"/>
  <c r="I1668" i="1" a="1"/>
  <c r="I1668" i="1" s="1"/>
  <c r="D1669" i="1"/>
  <c r="F1669" i="1"/>
  <c r="H1669" i="1"/>
  <c r="I1669" i="1" a="1"/>
  <c r="I1669" i="1" s="1"/>
  <c r="D1670" i="1"/>
  <c r="F1670" i="1"/>
  <c r="H1670" i="1"/>
  <c r="I1670" i="1" a="1"/>
  <c r="I1670" i="1" s="1"/>
  <c r="D1671" i="1"/>
  <c r="F1671" i="1"/>
  <c r="H1671" i="1"/>
  <c r="I1671" i="1" a="1"/>
  <c r="I1671" i="1" s="1"/>
  <c r="D1672" i="1"/>
  <c r="F1672" i="1"/>
  <c r="H1672" i="1"/>
  <c r="I1672" i="1" a="1"/>
  <c r="I1672" i="1" s="1"/>
  <c r="D1673" i="1"/>
  <c r="F1673" i="1"/>
  <c r="H1673" i="1"/>
  <c r="I1673" i="1" a="1"/>
  <c r="I1673" i="1" s="1"/>
  <c r="D1674" i="1"/>
  <c r="F1674" i="1"/>
  <c r="H1674" i="1"/>
  <c r="I1674" i="1" a="1"/>
  <c r="I1674" i="1" s="1"/>
  <c r="D1675" i="1"/>
  <c r="F1675" i="1"/>
  <c r="H1675" i="1"/>
  <c r="I1675" i="1" a="1"/>
  <c r="I1675" i="1" s="1"/>
  <c r="D1676" i="1"/>
  <c r="F1676" i="1"/>
  <c r="H1676" i="1"/>
  <c r="I1676" i="1" a="1"/>
  <c r="I1676" i="1" s="1"/>
  <c r="D1677" i="1"/>
  <c r="F1677" i="1"/>
  <c r="H1677" i="1"/>
  <c r="I1677" i="1" a="1"/>
  <c r="I1677" i="1" s="1"/>
  <c r="D1678" i="1"/>
  <c r="F1678" i="1"/>
  <c r="H1678" i="1"/>
  <c r="I1678" i="1" a="1"/>
  <c r="I1678" i="1" s="1"/>
  <c r="D1679" i="1"/>
  <c r="F1679" i="1"/>
  <c r="H1679" i="1"/>
  <c r="I1679" i="1" a="1"/>
  <c r="I1679" i="1" s="1"/>
  <c r="D1680" i="1"/>
  <c r="F1680" i="1"/>
  <c r="H1680" i="1"/>
  <c r="I1680" i="1" a="1"/>
  <c r="I1680" i="1" s="1"/>
  <c r="D1681" i="1"/>
  <c r="F1681" i="1"/>
  <c r="H1681" i="1"/>
  <c r="I1681" i="1" a="1"/>
  <c r="I1681" i="1" s="1"/>
  <c r="D1682" i="1"/>
  <c r="F1682" i="1"/>
  <c r="H1682" i="1"/>
  <c r="I1682" i="1" a="1"/>
  <c r="I1682" i="1" s="1"/>
  <c r="D1683" i="1"/>
  <c r="F1683" i="1"/>
  <c r="H1683" i="1"/>
  <c r="I1683" i="1" a="1"/>
  <c r="I1683" i="1" s="1"/>
  <c r="D1684" i="1"/>
  <c r="F1684" i="1"/>
  <c r="H1684" i="1"/>
  <c r="I1684" i="1" a="1"/>
  <c r="I1684" i="1" s="1"/>
  <c r="D1685" i="1"/>
  <c r="F1685" i="1"/>
  <c r="H1685" i="1"/>
  <c r="I1685" i="1" a="1"/>
  <c r="I1685" i="1" s="1"/>
  <c r="D1686" i="1"/>
  <c r="F1686" i="1"/>
  <c r="H1686" i="1"/>
  <c r="I1686" i="1" a="1"/>
  <c r="I1686" i="1" s="1"/>
  <c r="D1687" i="1"/>
  <c r="F1687" i="1"/>
  <c r="H1687" i="1"/>
  <c r="I1687" i="1" a="1"/>
  <c r="I1687" i="1" s="1"/>
  <c r="D1688" i="1"/>
  <c r="F1688" i="1"/>
  <c r="H1688" i="1"/>
  <c r="I1688" i="1" a="1"/>
  <c r="I1688" i="1" s="1"/>
  <c r="D1689" i="1"/>
  <c r="F1689" i="1"/>
  <c r="H1689" i="1"/>
  <c r="I1689" i="1" a="1"/>
  <c r="I1689" i="1" s="1"/>
  <c r="D1690" i="1"/>
  <c r="F1690" i="1"/>
  <c r="H1690" i="1"/>
  <c r="I1690" i="1" a="1"/>
  <c r="I1690" i="1" s="1"/>
  <c r="D1691" i="1"/>
  <c r="F1691" i="1"/>
  <c r="H1691" i="1"/>
  <c r="I1691" i="1" a="1"/>
  <c r="I1691" i="1" s="1"/>
  <c r="D1692" i="1"/>
  <c r="F1692" i="1"/>
  <c r="H1692" i="1"/>
  <c r="I1692" i="1" a="1"/>
  <c r="I1692" i="1" s="1"/>
  <c r="D1693" i="1"/>
  <c r="F1693" i="1"/>
  <c r="H1693" i="1"/>
  <c r="I1693" i="1" a="1"/>
  <c r="I1693" i="1" s="1"/>
  <c r="D1694" i="1"/>
  <c r="F1694" i="1"/>
  <c r="H1694" i="1"/>
  <c r="I1694" i="1" a="1"/>
  <c r="I1694" i="1" s="1"/>
  <c r="D1695" i="1"/>
  <c r="F1695" i="1"/>
  <c r="H1695" i="1"/>
  <c r="I1695" i="1" a="1"/>
  <c r="I1695" i="1" s="1"/>
  <c r="D1696" i="1"/>
  <c r="F1696" i="1"/>
  <c r="H1696" i="1"/>
  <c r="I1696" i="1" a="1"/>
  <c r="I1696" i="1" s="1"/>
  <c r="D1697" i="1"/>
  <c r="F1697" i="1"/>
  <c r="H1697" i="1"/>
  <c r="I1697" i="1" a="1"/>
  <c r="I1697" i="1" s="1"/>
  <c r="D1698" i="1"/>
  <c r="F1698" i="1"/>
  <c r="H1698" i="1"/>
  <c r="I1698" i="1" a="1"/>
  <c r="I1698" i="1" s="1"/>
  <c r="D1699" i="1"/>
  <c r="F1699" i="1"/>
  <c r="H1699" i="1"/>
  <c r="I1699" i="1" a="1"/>
  <c r="I1699" i="1" s="1"/>
  <c r="D1700" i="1"/>
  <c r="F1700" i="1"/>
  <c r="H1700" i="1"/>
  <c r="I1700" i="1" a="1"/>
  <c r="I1700" i="1" s="1"/>
  <c r="D1701" i="1"/>
  <c r="F1701" i="1"/>
  <c r="H1701" i="1"/>
  <c r="I1701" i="1" a="1"/>
  <c r="I1701" i="1" s="1"/>
  <c r="D1702" i="1"/>
  <c r="F1702" i="1"/>
  <c r="H1702" i="1"/>
  <c r="I1702" i="1" a="1"/>
  <c r="I1702" i="1" s="1"/>
  <c r="D1703" i="1"/>
  <c r="F1703" i="1"/>
  <c r="H1703" i="1"/>
  <c r="I1703" i="1" a="1"/>
  <c r="I1703" i="1" s="1"/>
  <c r="D1704" i="1"/>
  <c r="F1704" i="1"/>
  <c r="H1704" i="1"/>
  <c r="I1704" i="1" a="1"/>
  <c r="I1704" i="1" s="1"/>
  <c r="D1705" i="1"/>
  <c r="F1705" i="1"/>
  <c r="H1705" i="1"/>
  <c r="I1705" i="1" a="1"/>
  <c r="I1705" i="1" s="1"/>
  <c r="D1706" i="1"/>
  <c r="F1706" i="1"/>
  <c r="H1706" i="1"/>
  <c r="I1706" i="1" a="1"/>
  <c r="I1706" i="1" s="1"/>
  <c r="D1707" i="1"/>
  <c r="F1707" i="1"/>
  <c r="H1707" i="1"/>
  <c r="I1707" i="1" a="1"/>
  <c r="I1707" i="1" s="1"/>
  <c r="D1708" i="1"/>
  <c r="F1708" i="1"/>
  <c r="H1708" i="1"/>
  <c r="I1708" i="1" a="1"/>
  <c r="I1708" i="1" s="1"/>
  <c r="D1709" i="1"/>
  <c r="F1709" i="1"/>
  <c r="H1709" i="1"/>
  <c r="I1709" i="1" a="1"/>
  <c r="I1709" i="1" s="1"/>
  <c r="D1710" i="1"/>
  <c r="F1710" i="1"/>
  <c r="H1710" i="1"/>
  <c r="I1710" i="1" a="1"/>
  <c r="I1710" i="1" s="1"/>
  <c r="D1711" i="1"/>
  <c r="F1711" i="1"/>
  <c r="H1711" i="1"/>
  <c r="I1711" i="1" a="1"/>
  <c r="I1711" i="1" s="1"/>
  <c r="D1712" i="1"/>
  <c r="F1712" i="1"/>
  <c r="H1712" i="1"/>
  <c r="I1712" i="1" a="1"/>
  <c r="I1712" i="1" s="1"/>
  <c r="D1713" i="1"/>
  <c r="F1713" i="1"/>
  <c r="H1713" i="1"/>
  <c r="I1713" i="1" a="1"/>
  <c r="I1713" i="1" s="1"/>
  <c r="D1714" i="1"/>
  <c r="F1714" i="1"/>
  <c r="H1714" i="1"/>
  <c r="I1714" i="1" a="1"/>
  <c r="I1714" i="1" s="1"/>
  <c r="D1715" i="1"/>
  <c r="F1715" i="1"/>
  <c r="H1715" i="1"/>
  <c r="I1715" i="1" a="1"/>
  <c r="I1715" i="1" s="1"/>
  <c r="D1716" i="1"/>
  <c r="F1716" i="1"/>
  <c r="H1716" i="1"/>
  <c r="I1716" i="1" a="1"/>
  <c r="I1716" i="1" s="1"/>
  <c r="D1717" i="1"/>
  <c r="F1717" i="1"/>
  <c r="H1717" i="1"/>
  <c r="I1717" i="1" a="1"/>
  <c r="I1717" i="1" s="1"/>
  <c r="D1718" i="1"/>
  <c r="F1718" i="1"/>
  <c r="H1718" i="1"/>
  <c r="I1718" i="1" a="1"/>
  <c r="I1718" i="1" s="1"/>
  <c r="D1719" i="1"/>
  <c r="F1719" i="1"/>
  <c r="H1719" i="1"/>
  <c r="I1719" i="1" a="1"/>
  <c r="I1719" i="1" s="1"/>
  <c r="D1720" i="1"/>
  <c r="F1720" i="1"/>
  <c r="H1720" i="1"/>
  <c r="I1720" i="1" a="1"/>
  <c r="I1720" i="1" s="1"/>
  <c r="D1721" i="1"/>
  <c r="F1721" i="1"/>
  <c r="H1721" i="1"/>
  <c r="I1721" i="1" a="1"/>
  <c r="I1721" i="1" s="1"/>
  <c r="D1722" i="1"/>
  <c r="F1722" i="1"/>
  <c r="H1722" i="1"/>
  <c r="I1722" i="1" a="1"/>
  <c r="I1722" i="1" s="1"/>
  <c r="D1723" i="1"/>
  <c r="F1723" i="1"/>
  <c r="H1723" i="1"/>
  <c r="I1723" i="1" a="1"/>
  <c r="I1723" i="1" s="1"/>
  <c r="D1724" i="1"/>
  <c r="F1724" i="1"/>
  <c r="H1724" i="1"/>
  <c r="I1724" i="1" a="1"/>
  <c r="I1724" i="1" s="1"/>
  <c r="D1725" i="1"/>
  <c r="F1725" i="1"/>
  <c r="H1725" i="1"/>
  <c r="I1725" i="1" a="1"/>
  <c r="I1725" i="1" s="1"/>
  <c r="D1726" i="1"/>
  <c r="F1726" i="1"/>
  <c r="H1726" i="1"/>
  <c r="I1726" i="1" a="1"/>
  <c r="I1726" i="1" s="1"/>
  <c r="D1727" i="1"/>
  <c r="F1727" i="1"/>
  <c r="H1727" i="1"/>
  <c r="I1727" i="1" a="1"/>
  <c r="I1727" i="1" s="1"/>
  <c r="D1728" i="1"/>
  <c r="F1728" i="1"/>
  <c r="H1728" i="1"/>
  <c r="I1728" i="1" a="1"/>
  <c r="I1728" i="1" s="1"/>
  <c r="D1729" i="1"/>
  <c r="F1729" i="1"/>
  <c r="H1729" i="1"/>
  <c r="I1729" i="1" a="1"/>
  <c r="I1729" i="1" s="1"/>
  <c r="D1730" i="1"/>
  <c r="F1730" i="1"/>
  <c r="H1730" i="1"/>
  <c r="I1730" i="1" a="1"/>
  <c r="I1730" i="1" s="1"/>
  <c r="D1731" i="1"/>
  <c r="F1731" i="1"/>
  <c r="H1731" i="1"/>
  <c r="I1731" i="1" a="1"/>
  <c r="I1731" i="1" s="1"/>
  <c r="D1732" i="1"/>
  <c r="F1732" i="1"/>
  <c r="H1732" i="1"/>
  <c r="I1732" i="1" a="1"/>
  <c r="I1732" i="1" s="1"/>
  <c r="D1733" i="1"/>
  <c r="F1733" i="1"/>
  <c r="H1733" i="1"/>
  <c r="I1733" i="1" a="1"/>
  <c r="I1733" i="1" s="1"/>
  <c r="D1734" i="1"/>
  <c r="F1734" i="1"/>
  <c r="H1734" i="1"/>
  <c r="I1734" i="1" a="1"/>
  <c r="I1734" i="1" s="1"/>
  <c r="D1735" i="1"/>
  <c r="F1735" i="1"/>
  <c r="H1735" i="1"/>
  <c r="I1735" i="1" a="1"/>
  <c r="I1735" i="1" s="1"/>
  <c r="D1736" i="1"/>
  <c r="F1736" i="1"/>
  <c r="H1736" i="1"/>
  <c r="I1736" i="1" a="1"/>
  <c r="I1736" i="1" s="1"/>
  <c r="D1737" i="1"/>
  <c r="F1737" i="1"/>
  <c r="H1737" i="1"/>
  <c r="I1737" i="1" a="1"/>
  <c r="I1737" i="1" s="1"/>
  <c r="D1738" i="1"/>
  <c r="F1738" i="1"/>
  <c r="H1738" i="1"/>
  <c r="I1738" i="1" a="1"/>
  <c r="I1738" i="1" s="1"/>
  <c r="D1739" i="1"/>
  <c r="F1739" i="1"/>
  <c r="H1739" i="1"/>
  <c r="I1739" i="1" a="1"/>
  <c r="I1739" i="1" s="1"/>
  <c r="D1740" i="1"/>
  <c r="F1740" i="1"/>
  <c r="H1740" i="1"/>
  <c r="I1740" i="1" a="1"/>
  <c r="I1740" i="1" s="1"/>
  <c r="D1741" i="1"/>
  <c r="F1741" i="1"/>
  <c r="H1741" i="1"/>
  <c r="I1741" i="1" a="1"/>
  <c r="I1741" i="1" s="1"/>
  <c r="D1742" i="1"/>
  <c r="F1742" i="1"/>
  <c r="H1742" i="1"/>
  <c r="I1742" i="1" a="1"/>
  <c r="I1742" i="1" s="1"/>
  <c r="D1743" i="1"/>
  <c r="F1743" i="1"/>
  <c r="H1743" i="1"/>
  <c r="I1743" i="1" a="1"/>
  <c r="I1743" i="1" s="1"/>
  <c r="D1744" i="1"/>
  <c r="F1744" i="1"/>
  <c r="H1744" i="1"/>
  <c r="I1744" i="1" a="1"/>
  <c r="I1744" i="1" s="1"/>
  <c r="D1745" i="1"/>
  <c r="F1745" i="1"/>
  <c r="H1745" i="1"/>
  <c r="I1745" i="1" a="1"/>
  <c r="I1745" i="1" s="1"/>
  <c r="D1746" i="1"/>
  <c r="F1746" i="1"/>
  <c r="H1746" i="1"/>
  <c r="I1746" i="1" a="1"/>
  <c r="I1746" i="1" s="1"/>
  <c r="D1747" i="1"/>
  <c r="F1747" i="1"/>
  <c r="H1747" i="1"/>
  <c r="I1747" i="1" a="1"/>
  <c r="I1747" i="1" s="1"/>
  <c r="D1748" i="1"/>
  <c r="F1748" i="1"/>
  <c r="H1748" i="1"/>
  <c r="I1748" i="1" a="1"/>
  <c r="I1748" i="1" s="1"/>
  <c r="D1749" i="1"/>
  <c r="F1749" i="1"/>
  <c r="H1749" i="1"/>
  <c r="I1749" i="1" a="1"/>
  <c r="I1749" i="1" s="1"/>
  <c r="D1750" i="1"/>
  <c r="F1750" i="1"/>
  <c r="H1750" i="1"/>
  <c r="I1750" i="1" a="1"/>
  <c r="I1750" i="1" s="1"/>
  <c r="D1751" i="1"/>
  <c r="F1751" i="1"/>
  <c r="H1751" i="1"/>
  <c r="I1751" i="1" a="1"/>
  <c r="I1751" i="1" s="1"/>
  <c r="D1752" i="1"/>
  <c r="F1752" i="1"/>
  <c r="H1752" i="1"/>
  <c r="I1752" i="1" a="1"/>
  <c r="I1752" i="1" s="1"/>
  <c r="D1753" i="1"/>
  <c r="F1753" i="1"/>
  <c r="H1753" i="1"/>
  <c r="I1753" i="1" a="1"/>
  <c r="I1753" i="1" s="1"/>
  <c r="D1754" i="1"/>
  <c r="F1754" i="1"/>
  <c r="H1754" i="1"/>
  <c r="I1754" i="1" a="1"/>
  <c r="I1754" i="1" s="1"/>
  <c r="D1755" i="1"/>
  <c r="F1755" i="1"/>
  <c r="H1755" i="1"/>
  <c r="I1755" i="1" a="1"/>
  <c r="I1755" i="1" s="1"/>
  <c r="D1756" i="1"/>
  <c r="F1756" i="1"/>
  <c r="H1756" i="1"/>
  <c r="I1756" i="1" a="1"/>
  <c r="I1756" i="1" s="1"/>
  <c r="D1757" i="1"/>
  <c r="F1757" i="1"/>
  <c r="H1757" i="1"/>
  <c r="I1757" i="1" a="1"/>
  <c r="I1757" i="1" s="1"/>
  <c r="D1758" i="1"/>
  <c r="F1758" i="1"/>
  <c r="H1758" i="1"/>
  <c r="I1758" i="1" a="1"/>
  <c r="I1758" i="1" s="1"/>
  <c r="D1759" i="1"/>
  <c r="F1759" i="1"/>
  <c r="H1759" i="1"/>
  <c r="I1759" i="1" a="1"/>
  <c r="I1759" i="1" s="1"/>
  <c r="D1760" i="1"/>
  <c r="F1760" i="1"/>
  <c r="H1760" i="1"/>
  <c r="I1760" i="1" a="1"/>
  <c r="I1760" i="1" s="1"/>
  <c r="D1761" i="1"/>
  <c r="F1761" i="1"/>
  <c r="H1761" i="1"/>
  <c r="I1761" i="1" a="1"/>
  <c r="I1761" i="1" s="1"/>
  <c r="D1762" i="1"/>
  <c r="F1762" i="1"/>
  <c r="H1762" i="1"/>
  <c r="I1762" i="1" a="1"/>
  <c r="I1762" i="1" s="1"/>
  <c r="D1763" i="1"/>
  <c r="F1763" i="1"/>
  <c r="H1763" i="1"/>
  <c r="I1763" i="1" a="1"/>
  <c r="I1763" i="1" s="1"/>
  <c r="D1764" i="1"/>
  <c r="F1764" i="1"/>
  <c r="H1764" i="1"/>
  <c r="I1764" i="1" a="1"/>
  <c r="I1764" i="1" s="1"/>
  <c r="D1765" i="1"/>
  <c r="F1765" i="1"/>
  <c r="H1765" i="1"/>
  <c r="I1765" i="1" a="1"/>
  <c r="I1765" i="1" s="1"/>
  <c r="D1766" i="1"/>
  <c r="F1766" i="1"/>
  <c r="H1766" i="1"/>
  <c r="I1766" i="1" a="1"/>
  <c r="I1766" i="1" s="1"/>
  <c r="D1767" i="1"/>
  <c r="F1767" i="1"/>
  <c r="H1767" i="1"/>
  <c r="I1767" i="1" a="1"/>
  <c r="I1767" i="1" s="1"/>
  <c r="D1768" i="1"/>
  <c r="F1768" i="1"/>
  <c r="H1768" i="1"/>
  <c r="I1768" i="1" a="1"/>
  <c r="I1768" i="1" s="1"/>
  <c r="D1769" i="1"/>
  <c r="F1769" i="1"/>
  <c r="H1769" i="1"/>
  <c r="I1769" i="1" a="1"/>
  <c r="I1769" i="1" s="1"/>
  <c r="D1770" i="1"/>
  <c r="F1770" i="1"/>
  <c r="H1770" i="1"/>
  <c r="I1770" i="1" a="1"/>
  <c r="I1770" i="1" s="1"/>
  <c r="D1771" i="1"/>
  <c r="F1771" i="1"/>
  <c r="H1771" i="1"/>
  <c r="I1771" i="1" a="1"/>
  <c r="I1771" i="1" s="1"/>
  <c r="D1772" i="1"/>
  <c r="F1772" i="1"/>
  <c r="H1772" i="1"/>
  <c r="I1772" i="1" a="1"/>
  <c r="I1772" i="1" s="1"/>
  <c r="D1773" i="1"/>
  <c r="F1773" i="1"/>
  <c r="H1773" i="1"/>
  <c r="I1773" i="1" a="1"/>
  <c r="I1773" i="1" s="1"/>
  <c r="D1774" i="1"/>
  <c r="F1774" i="1"/>
  <c r="H1774" i="1"/>
  <c r="I1774" i="1" a="1"/>
  <c r="I1774" i="1" s="1"/>
  <c r="D1775" i="1"/>
  <c r="F1775" i="1"/>
  <c r="H1775" i="1"/>
  <c r="I1775" i="1" a="1"/>
  <c r="I1775" i="1" s="1"/>
  <c r="D1776" i="1"/>
  <c r="F1776" i="1"/>
  <c r="H1776" i="1"/>
  <c r="I1776" i="1" a="1"/>
  <c r="I1776" i="1" s="1"/>
  <c r="D1777" i="1"/>
  <c r="F1777" i="1"/>
  <c r="H1777" i="1"/>
  <c r="I1777" i="1" a="1"/>
  <c r="I1777" i="1" s="1"/>
  <c r="D1778" i="1"/>
  <c r="F1778" i="1"/>
  <c r="H1778" i="1"/>
  <c r="I1778" i="1" a="1"/>
  <c r="I1778" i="1" s="1"/>
  <c r="D1779" i="1"/>
  <c r="F1779" i="1"/>
  <c r="H1779" i="1"/>
  <c r="I1779" i="1" a="1"/>
  <c r="I1779" i="1" s="1"/>
  <c r="D1780" i="1"/>
  <c r="F1780" i="1"/>
  <c r="H1780" i="1"/>
  <c r="I1780" i="1" a="1"/>
  <c r="I1780" i="1" s="1"/>
  <c r="D1781" i="1"/>
  <c r="F1781" i="1"/>
  <c r="H1781" i="1"/>
  <c r="I1781" i="1" a="1"/>
  <c r="I1781" i="1" s="1"/>
  <c r="D1782" i="1"/>
  <c r="F1782" i="1"/>
  <c r="H1782" i="1"/>
  <c r="I1782" i="1" a="1"/>
  <c r="I1782" i="1" s="1"/>
  <c r="D1783" i="1"/>
  <c r="F1783" i="1"/>
  <c r="H1783" i="1"/>
  <c r="I1783" i="1" a="1"/>
  <c r="I1783" i="1" s="1"/>
  <c r="D1784" i="1"/>
  <c r="F1784" i="1"/>
  <c r="H1784" i="1"/>
  <c r="I1784" i="1" a="1"/>
  <c r="I1784" i="1" s="1"/>
  <c r="D1785" i="1"/>
  <c r="F1785" i="1"/>
  <c r="H1785" i="1"/>
  <c r="I1785" i="1" a="1"/>
  <c r="I1785" i="1" s="1"/>
  <c r="D1786" i="1"/>
  <c r="F1786" i="1"/>
  <c r="H1786" i="1"/>
  <c r="I1786" i="1" a="1"/>
  <c r="I1786" i="1" s="1"/>
  <c r="D1787" i="1"/>
  <c r="F1787" i="1"/>
  <c r="H1787" i="1"/>
  <c r="I1787" i="1" a="1"/>
  <c r="I1787" i="1" s="1"/>
  <c r="D1788" i="1"/>
  <c r="F1788" i="1"/>
  <c r="H1788" i="1"/>
  <c r="I1788" i="1" a="1"/>
  <c r="I1788" i="1" s="1"/>
  <c r="D1789" i="1"/>
  <c r="F1789" i="1"/>
  <c r="H1789" i="1"/>
  <c r="I1789" i="1" a="1"/>
  <c r="I1789" i="1" s="1"/>
  <c r="D1790" i="1"/>
  <c r="F1790" i="1"/>
  <c r="H1790" i="1"/>
  <c r="I1790" i="1" a="1"/>
  <c r="I1790" i="1" s="1"/>
  <c r="D1791" i="1"/>
  <c r="F1791" i="1"/>
  <c r="H1791" i="1"/>
  <c r="I1791" i="1" a="1"/>
  <c r="I1791" i="1" s="1"/>
  <c r="D1792" i="1"/>
  <c r="F1792" i="1"/>
  <c r="H1792" i="1"/>
  <c r="I1792" i="1" a="1"/>
  <c r="I1792" i="1" s="1"/>
  <c r="D1793" i="1"/>
  <c r="F1793" i="1"/>
  <c r="H1793" i="1"/>
  <c r="I1793" i="1" a="1"/>
  <c r="I1793" i="1" s="1"/>
  <c r="D1794" i="1"/>
  <c r="F1794" i="1"/>
  <c r="H1794" i="1"/>
  <c r="I1794" i="1" a="1"/>
  <c r="I1794" i="1" s="1"/>
  <c r="D1795" i="1"/>
  <c r="F1795" i="1"/>
  <c r="H1795" i="1"/>
  <c r="I1795" i="1" a="1"/>
  <c r="I1795" i="1" s="1"/>
  <c r="D1796" i="1"/>
  <c r="F1796" i="1"/>
  <c r="H1796" i="1"/>
  <c r="I1796" i="1" a="1"/>
  <c r="I1796" i="1" s="1"/>
  <c r="D1797" i="1"/>
  <c r="F1797" i="1"/>
  <c r="H1797" i="1"/>
  <c r="I1797" i="1" a="1"/>
  <c r="I1797" i="1" s="1"/>
  <c r="D1798" i="1"/>
  <c r="F1798" i="1"/>
  <c r="H1798" i="1"/>
  <c r="I1798" i="1" a="1"/>
  <c r="I1798" i="1" s="1"/>
  <c r="D1799" i="1"/>
  <c r="F1799" i="1"/>
  <c r="H1799" i="1"/>
  <c r="I1799" i="1" a="1"/>
  <c r="I1799" i="1" s="1"/>
  <c r="D1800" i="1"/>
  <c r="F1800" i="1"/>
  <c r="H1800" i="1"/>
  <c r="I1800" i="1" a="1"/>
  <c r="I1800" i="1" s="1"/>
  <c r="D1801" i="1"/>
  <c r="F1801" i="1"/>
  <c r="H1801" i="1"/>
  <c r="I1801" i="1" a="1"/>
  <c r="I1801" i="1" s="1"/>
  <c r="D1802" i="1"/>
  <c r="F1802" i="1"/>
  <c r="H1802" i="1"/>
  <c r="I1802" i="1" a="1"/>
  <c r="I1802" i="1" s="1"/>
  <c r="D1803" i="1"/>
  <c r="F1803" i="1"/>
  <c r="H1803" i="1"/>
  <c r="I1803" i="1" a="1"/>
  <c r="I1803" i="1" s="1"/>
  <c r="D1804" i="1"/>
  <c r="F1804" i="1"/>
  <c r="H1804" i="1"/>
  <c r="I1804" i="1" a="1"/>
  <c r="I1804" i="1" s="1"/>
  <c r="D1805" i="1"/>
  <c r="F1805" i="1"/>
  <c r="H1805" i="1"/>
  <c r="I1805" i="1" a="1"/>
  <c r="I1805" i="1" s="1"/>
  <c r="D1806" i="1"/>
  <c r="F1806" i="1"/>
  <c r="H1806" i="1"/>
  <c r="I1806" i="1" a="1"/>
  <c r="I1806" i="1" s="1"/>
  <c r="D1807" i="1"/>
  <c r="F1807" i="1"/>
  <c r="H1807" i="1"/>
  <c r="I1807" i="1" a="1"/>
  <c r="I1807" i="1" s="1"/>
  <c r="D1808" i="1"/>
  <c r="F1808" i="1"/>
  <c r="H1808" i="1"/>
  <c r="I1808" i="1" a="1"/>
  <c r="I1808" i="1" s="1"/>
  <c r="D1809" i="1"/>
  <c r="F1809" i="1"/>
  <c r="H1809" i="1"/>
  <c r="I1809" i="1" a="1"/>
  <c r="I1809" i="1" s="1"/>
  <c r="D1810" i="1"/>
  <c r="F1810" i="1"/>
  <c r="H1810" i="1"/>
  <c r="I1810" i="1" a="1"/>
  <c r="I1810" i="1" s="1"/>
  <c r="D1811" i="1"/>
  <c r="F1811" i="1"/>
  <c r="H1811" i="1"/>
  <c r="I1811" i="1" a="1"/>
  <c r="I1811" i="1" s="1"/>
  <c r="D1812" i="1"/>
  <c r="F1812" i="1"/>
  <c r="H1812" i="1"/>
  <c r="I1812" i="1" a="1"/>
  <c r="I1812" i="1" s="1"/>
  <c r="D1813" i="1"/>
  <c r="F1813" i="1"/>
  <c r="H1813" i="1"/>
  <c r="I1813" i="1" a="1"/>
  <c r="I1813" i="1" s="1"/>
  <c r="D1814" i="1"/>
  <c r="F1814" i="1"/>
  <c r="H1814" i="1"/>
  <c r="I1814" i="1" a="1"/>
  <c r="I1814" i="1" s="1"/>
  <c r="D1815" i="1"/>
  <c r="F1815" i="1"/>
  <c r="H1815" i="1"/>
  <c r="I1815" i="1" a="1"/>
  <c r="I1815" i="1" s="1"/>
  <c r="D1816" i="1"/>
  <c r="F1816" i="1"/>
  <c r="H1816" i="1"/>
  <c r="I1816" i="1" a="1"/>
  <c r="I1816" i="1" s="1"/>
  <c r="D1817" i="1"/>
  <c r="F1817" i="1"/>
  <c r="H1817" i="1"/>
  <c r="I1817" i="1" a="1"/>
  <c r="I1817" i="1" s="1"/>
  <c r="D1818" i="1"/>
  <c r="F1818" i="1"/>
  <c r="H1818" i="1"/>
  <c r="I1818" i="1" a="1"/>
  <c r="I1818" i="1" s="1"/>
  <c r="D1819" i="1"/>
  <c r="F1819" i="1"/>
  <c r="H1819" i="1"/>
  <c r="I1819" i="1" a="1"/>
  <c r="I1819" i="1" s="1"/>
  <c r="D1820" i="1"/>
  <c r="F1820" i="1"/>
  <c r="H1820" i="1"/>
  <c r="I1820" i="1" a="1"/>
  <c r="I1820" i="1" s="1"/>
  <c r="D1821" i="1"/>
  <c r="F1821" i="1"/>
  <c r="H1821" i="1"/>
  <c r="I1821" i="1" a="1"/>
  <c r="I1821" i="1" s="1"/>
  <c r="D1822" i="1"/>
  <c r="F1822" i="1"/>
  <c r="H1822" i="1"/>
  <c r="I1822" i="1" a="1"/>
  <c r="I1822" i="1" s="1"/>
  <c r="D1823" i="1"/>
  <c r="F1823" i="1"/>
  <c r="H1823" i="1"/>
  <c r="I1823" i="1" a="1"/>
  <c r="I1823" i="1" s="1"/>
  <c r="D1824" i="1"/>
  <c r="F1824" i="1"/>
  <c r="H1824" i="1"/>
  <c r="I1824" i="1" a="1"/>
  <c r="I1824" i="1" s="1"/>
  <c r="D1825" i="1"/>
  <c r="F1825" i="1"/>
  <c r="H1825" i="1"/>
  <c r="I1825" i="1" a="1"/>
  <c r="I1825" i="1" s="1"/>
  <c r="D1826" i="1"/>
  <c r="F1826" i="1"/>
  <c r="H1826" i="1"/>
  <c r="I1826" i="1" a="1"/>
  <c r="I1826" i="1" s="1"/>
  <c r="D1827" i="1"/>
  <c r="F1827" i="1"/>
  <c r="H1827" i="1"/>
  <c r="I1827" i="1" a="1"/>
  <c r="I1827" i="1" s="1"/>
  <c r="D1828" i="1"/>
  <c r="F1828" i="1"/>
  <c r="H1828" i="1"/>
  <c r="I1828" i="1" a="1"/>
  <c r="I1828" i="1" s="1"/>
  <c r="D1829" i="1"/>
  <c r="F1829" i="1"/>
  <c r="H1829" i="1"/>
  <c r="I1829" i="1" a="1"/>
  <c r="I1829" i="1" s="1"/>
  <c r="D1830" i="1"/>
  <c r="F1830" i="1"/>
  <c r="H1830" i="1"/>
  <c r="I1830" i="1" a="1"/>
  <c r="I1830" i="1" s="1"/>
  <c r="D1831" i="1"/>
  <c r="F1831" i="1"/>
  <c r="H1831" i="1"/>
  <c r="I1831" i="1" a="1"/>
  <c r="I1831" i="1" s="1"/>
  <c r="D1832" i="1"/>
  <c r="F1832" i="1"/>
  <c r="H1832" i="1"/>
  <c r="I1832" i="1" a="1"/>
  <c r="I1832" i="1" s="1"/>
  <c r="D1833" i="1"/>
  <c r="F1833" i="1"/>
  <c r="H1833" i="1"/>
  <c r="I1833" i="1" a="1"/>
  <c r="I1833" i="1" s="1"/>
  <c r="D1834" i="1"/>
  <c r="F1834" i="1"/>
  <c r="H1834" i="1"/>
  <c r="I1834" i="1" a="1"/>
  <c r="I1834" i="1" s="1"/>
  <c r="D1835" i="1"/>
  <c r="F1835" i="1"/>
  <c r="H1835" i="1"/>
  <c r="I1835" i="1" a="1"/>
  <c r="I1835" i="1" s="1"/>
  <c r="D1836" i="1"/>
  <c r="F1836" i="1"/>
  <c r="H1836" i="1"/>
  <c r="I1836" i="1" a="1"/>
  <c r="I1836" i="1" s="1"/>
  <c r="D1837" i="1"/>
  <c r="F1837" i="1"/>
  <c r="H1837" i="1"/>
  <c r="I1837" i="1" a="1"/>
  <c r="I1837" i="1" s="1"/>
  <c r="D1838" i="1"/>
  <c r="F1838" i="1"/>
  <c r="H1838" i="1"/>
  <c r="I1838" i="1" a="1"/>
  <c r="I1838" i="1" s="1"/>
  <c r="D1839" i="1"/>
  <c r="F1839" i="1"/>
  <c r="H1839" i="1"/>
  <c r="I1839" i="1" a="1"/>
  <c r="I1839" i="1" s="1"/>
  <c r="D1840" i="1"/>
  <c r="F1840" i="1"/>
  <c r="H1840" i="1"/>
  <c r="I1840" i="1" a="1"/>
  <c r="I1840" i="1" s="1"/>
  <c r="D1841" i="1"/>
  <c r="F1841" i="1"/>
  <c r="H1841" i="1"/>
  <c r="I1841" i="1" a="1"/>
  <c r="I1841" i="1" s="1"/>
  <c r="D1842" i="1"/>
  <c r="F1842" i="1"/>
  <c r="H1842" i="1"/>
  <c r="I1842" i="1" a="1"/>
  <c r="I1842" i="1" s="1"/>
  <c r="D1843" i="1"/>
  <c r="F1843" i="1"/>
  <c r="H1843" i="1"/>
  <c r="I1843" i="1" a="1"/>
  <c r="I1843" i="1" s="1"/>
  <c r="D1844" i="1"/>
  <c r="F1844" i="1"/>
  <c r="H1844" i="1"/>
  <c r="I1844" i="1" a="1"/>
  <c r="I1844" i="1" s="1"/>
  <c r="D1845" i="1"/>
  <c r="F1845" i="1"/>
  <c r="H1845" i="1"/>
  <c r="I1845" i="1" a="1"/>
  <c r="I1845" i="1" s="1"/>
  <c r="D1846" i="1"/>
  <c r="F1846" i="1"/>
  <c r="H1846" i="1"/>
  <c r="I1846" i="1" a="1"/>
  <c r="I1846" i="1" s="1"/>
  <c r="D1847" i="1"/>
  <c r="F1847" i="1"/>
  <c r="H1847" i="1"/>
  <c r="I1847" i="1" a="1"/>
  <c r="I1847" i="1" s="1"/>
  <c r="D1848" i="1"/>
  <c r="F1848" i="1"/>
  <c r="H1848" i="1"/>
  <c r="I1848" i="1" a="1"/>
  <c r="I1848" i="1" s="1"/>
  <c r="D1849" i="1"/>
  <c r="F1849" i="1"/>
  <c r="H1849" i="1"/>
  <c r="I1849" i="1" a="1"/>
  <c r="I1849" i="1" s="1"/>
  <c r="D1850" i="1"/>
  <c r="F1850" i="1"/>
  <c r="H1850" i="1"/>
  <c r="I1850" i="1" a="1"/>
  <c r="I1850" i="1" s="1"/>
  <c r="D1851" i="1"/>
  <c r="F1851" i="1"/>
  <c r="H1851" i="1"/>
  <c r="I1851" i="1" a="1"/>
  <c r="I1851" i="1" s="1"/>
  <c r="D1852" i="1"/>
  <c r="F1852" i="1"/>
  <c r="H1852" i="1"/>
  <c r="I1852" i="1" a="1"/>
  <c r="I1852" i="1" s="1"/>
  <c r="D1853" i="1"/>
  <c r="F1853" i="1"/>
  <c r="H1853" i="1"/>
  <c r="I1853" i="1" a="1"/>
  <c r="I1853" i="1" s="1"/>
  <c r="D1854" i="1"/>
  <c r="F1854" i="1"/>
  <c r="H1854" i="1"/>
  <c r="I1854" i="1" a="1"/>
  <c r="I1854" i="1" s="1"/>
  <c r="D1855" i="1"/>
  <c r="F1855" i="1"/>
  <c r="H1855" i="1"/>
  <c r="I1855" i="1" a="1"/>
  <c r="I1855" i="1" s="1"/>
  <c r="D1856" i="1"/>
  <c r="F1856" i="1"/>
  <c r="H1856" i="1"/>
  <c r="I1856" i="1" a="1"/>
  <c r="I1856" i="1" s="1"/>
  <c r="D1857" i="1"/>
  <c r="F1857" i="1"/>
  <c r="H1857" i="1"/>
  <c r="I1857" i="1" a="1"/>
  <c r="I1857" i="1" s="1"/>
  <c r="D1858" i="1"/>
  <c r="F1858" i="1"/>
  <c r="H1858" i="1"/>
  <c r="I1858" i="1" a="1"/>
  <c r="I1858" i="1" s="1"/>
  <c r="D1859" i="1"/>
  <c r="F1859" i="1"/>
  <c r="H1859" i="1"/>
  <c r="I1859" i="1" a="1"/>
  <c r="I1859" i="1" s="1"/>
  <c r="D1860" i="1"/>
  <c r="F1860" i="1"/>
  <c r="H1860" i="1"/>
  <c r="I1860" i="1" a="1"/>
  <c r="I1860" i="1" s="1"/>
  <c r="D1861" i="1"/>
  <c r="F1861" i="1"/>
  <c r="H1861" i="1"/>
  <c r="I1861" i="1" a="1"/>
  <c r="I1861" i="1" s="1"/>
  <c r="D1862" i="1"/>
  <c r="F1862" i="1"/>
  <c r="H1862" i="1"/>
  <c r="I1862" i="1" a="1"/>
  <c r="I1862" i="1" s="1"/>
  <c r="D1863" i="1"/>
  <c r="F1863" i="1"/>
  <c r="H1863" i="1"/>
  <c r="I1863" i="1" a="1"/>
  <c r="I1863" i="1" s="1"/>
  <c r="D1864" i="1"/>
  <c r="F1864" i="1"/>
  <c r="H1864" i="1"/>
  <c r="I1864" i="1" a="1"/>
  <c r="I1864" i="1" s="1"/>
  <c r="D1865" i="1"/>
  <c r="F1865" i="1"/>
  <c r="H1865" i="1"/>
  <c r="I1865" i="1" a="1"/>
  <c r="I1865" i="1" s="1"/>
  <c r="D1866" i="1"/>
  <c r="F1866" i="1"/>
  <c r="H1866" i="1"/>
  <c r="I1866" i="1" a="1"/>
  <c r="I1866" i="1" s="1"/>
  <c r="D1867" i="1"/>
  <c r="F1867" i="1"/>
  <c r="H1867" i="1"/>
  <c r="I1867" i="1" a="1"/>
  <c r="I1867" i="1" s="1"/>
  <c r="D1868" i="1"/>
  <c r="F1868" i="1"/>
  <c r="H1868" i="1"/>
  <c r="I1868" i="1" a="1"/>
  <c r="I1868" i="1" s="1"/>
  <c r="D1869" i="1"/>
  <c r="F1869" i="1"/>
  <c r="H1869" i="1"/>
  <c r="I1869" i="1" a="1"/>
  <c r="I1869" i="1" s="1"/>
  <c r="D1870" i="1"/>
  <c r="F1870" i="1"/>
  <c r="H1870" i="1"/>
  <c r="I1870" i="1" a="1"/>
  <c r="I1870" i="1" s="1"/>
  <c r="D1871" i="1"/>
  <c r="F1871" i="1"/>
  <c r="H1871" i="1"/>
  <c r="I1871" i="1" a="1"/>
  <c r="I1871" i="1" s="1"/>
  <c r="D1872" i="1"/>
  <c r="F1872" i="1"/>
  <c r="H1872" i="1"/>
  <c r="I1872" i="1" a="1"/>
  <c r="I1872" i="1" s="1"/>
  <c r="D1873" i="1"/>
  <c r="F1873" i="1"/>
  <c r="H1873" i="1"/>
  <c r="I1873" i="1" a="1"/>
  <c r="I1873" i="1" s="1"/>
  <c r="D1874" i="1"/>
  <c r="F1874" i="1"/>
  <c r="H1874" i="1"/>
  <c r="I1874" i="1" a="1"/>
  <c r="I1874" i="1" s="1"/>
  <c r="D1875" i="1"/>
  <c r="F1875" i="1"/>
  <c r="H1875" i="1"/>
  <c r="I1875" i="1" a="1"/>
  <c r="I1875" i="1" s="1"/>
  <c r="D1876" i="1"/>
  <c r="F1876" i="1"/>
  <c r="H1876" i="1"/>
  <c r="I1876" i="1" a="1"/>
  <c r="I1876" i="1" s="1"/>
  <c r="D1877" i="1"/>
  <c r="F1877" i="1"/>
  <c r="H1877" i="1"/>
  <c r="I1877" i="1" a="1"/>
  <c r="I1877" i="1" s="1"/>
  <c r="D1878" i="1"/>
  <c r="F1878" i="1"/>
  <c r="H1878" i="1"/>
  <c r="I1878" i="1" a="1"/>
  <c r="I1878" i="1" s="1"/>
  <c r="D1879" i="1"/>
  <c r="F1879" i="1"/>
  <c r="H1879" i="1"/>
  <c r="I1879" i="1" a="1"/>
  <c r="I1879" i="1" s="1"/>
  <c r="D1880" i="1"/>
  <c r="F1880" i="1"/>
  <c r="H1880" i="1"/>
  <c r="I1880" i="1" a="1"/>
  <c r="I1880" i="1" s="1"/>
  <c r="D1881" i="1"/>
  <c r="F1881" i="1"/>
  <c r="H1881" i="1"/>
  <c r="I1881" i="1" a="1"/>
  <c r="I1881" i="1" s="1"/>
  <c r="D1882" i="1"/>
  <c r="F1882" i="1"/>
  <c r="H1882" i="1"/>
  <c r="I1882" i="1" a="1"/>
  <c r="I1882" i="1" s="1"/>
  <c r="D1883" i="1"/>
  <c r="F1883" i="1"/>
  <c r="H1883" i="1"/>
  <c r="I1883" i="1" a="1"/>
  <c r="I1883" i="1" s="1"/>
  <c r="D1884" i="1"/>
  <c r="F1884" i="1"/>
  <c r="H1884" i="1"/>
  <c r="I1884" i="1" a="1"/>
  <c r="I1884" i="1" s="1"/>
  <c r="D1885" i="1"/>
  <c r="F1885" i="1"/>
  <c r="H1885" i="1"/>
  <c r="I1885" i="1" a="1"/>
  <c r="I1885" i="1" s="1"/>
  <c r="D1886" i="1"/>
  <c r="F1886" i="1"/>
  <c r="H1886" i="1"/>
  <c r="I1886" i="1" a="1"/>
  <c r="I1886" i="1" s="1"/>
  <c r="D1887" i="1"/>
  <c r="F1887" i="1"/>
  <c r="H1887" i="1"/>
  <c r="I1887" i="1" a="1"/>
  <c r="I1887" i="1" s="1"/>
  <c r="D1888" i="1"/>
  <c r="F1888" i="1"/>
  <c r="H1888" i="1"/>
  <c r="I1888" i="1" a="1"/>
  <c r="I1888" i="1" s="1"/>
  <c r="D1889" i="1"/>
  <c r="F1889" i="1"/>
  <c r="H1889" i="1"/>
  <c r="I1889" i="1" a="1"/>
  <c r="I1889" i="1" s="1"/>
  <c r="D1890" i="1"/>
  <c r="F1890" i="1"/>
  <c r="H1890" i="1"/>
  <c r="I1890" i="1" a="1"/>
  <c r="I1890" i="1" s="1"/>
  <c r="D1891" i="1"/>
  <c r="F1891" i="1"/>
  <c r="H1891" i="1"/>
  <c r="I1891" i="1" a="1"/>
  <c r="I1891" i="1" s="1"/>
  <c r="D1892" i="1"/>
  <c r="F1892" i="1"/>
  <c r="H1892" i="1"/>
  <c r="I1892" i="1" a="1"/>
  <c r="I1892" i="1" s="1"/>
  <c r="D1893" i="1"/>
  <c r="F1893" i="1"/>
  <c r="H1893" i="1"/>
  <c r="I1893" i="1" a="1"/>
  <c r="I1893" i="1" s="1"/>
  <c r="D1894" i="1"/>
  <c r="F1894" i="1"/>
  <c r="H1894" i="1"/>
  <c r="I1894" i="1" a="1"/>
  <c r="I1894" i="1" s="1"/>
  <c r="D1895" i="1"/>
  <c r="F1895" i="1"/>
  <c r="H1895" i="1"/>
  <c r="I1895" i="1" a="1"/>
  <c r="I1895" i="1" s="1"/>
  <c r="D1896" i="1"/>
  <c r="F1896" i="1"/>
  <c r="H1896" i="1"/>
  <c r="I1896" i="1" a="1"/>
  <c r="I1896" i="1" s="1"/>
  <c r="D1897" i="1"/>
  <c r="F1897" i="1"/>
  <c r="H1897" i="1"/>
  <c r="I1897" i="1" a="1"/>
  <c r="I1897" i="1" s="1"/>
  <c r="D1898" i="1"/>
  <c r="F1898" i="1"/>
  <c r="H1898" i="1"/>
  <c r="I1898" i="1" a="1"/>
  <c r="I1898" i="1" s="1"/>
  <c r="D1899" i="1"/>
  <c r="F1899" i="1"/>
  <c r="H1899" i="1"/>
  <c r="I1899" i="1" a="1"/>
  <c r="I1899" i="1" s="1"/>
  <c r="D1900" i="1"/>
  <c r="F1900" i="1"/>
  <c r="H1900" i="1"/>
  <c r="I1900" i="1" a="1"/>
  <c r="I1900" i="1" s="1"/>
  <c r="D1901" i="1"/>
  <c r="F1901" i="1"/>
  <c r="H1901" i="1"/>
  <c r="I1901" i="1" a="1"/>
  <c r="I1901" i="1" s="1"/>
  <c r="D1902" i="1"/>
  <c r="F1902" i="1"/>
  <c r="H1902" i="1"/>
  <c r="I1902" i="1" a="1"/>
  <c r="I1902" i="1" s="1"/>
  <c r="D1903" i="1"/>
  <c r="F1903" i="1"/>
  <c r="H1903" i="1"/>
  <c r="I1903" i="1" a="1"/>
  <c r="I1903" i="1" s="1"/>
  <c r="D1904" i="1"/>
  <c r="F1904" i="1"/>
  <c r="H1904" i="1"/>
  <c r="I1904" i="1" a="1"/>
  <c r="I1904" i="1" s="1"/>
  <c r="D1905" i="1"/>
  <c r="F1905" i="1"/>
  <c r="H1905" i="1"/>
  <c r="I1905" i="1" a="1"/>
  <c r="I1905" i="1" s="1"/>
  <c r="D1906" i="1"/>
  <c r="F1906" i="1"/>
  <c r="H1906" i="1"/>
  <c r="I1906" i="1" a="1"/>
  <c r="I1906" i="1" s="1"/>
  <c r="D1907" i="1"/>
  <c r="F1907" i="1"/>
  <c r="H1907" i="1"/>
  <c r="I1907" i="1" a="1"/>
  <c r="I1907" i="1" s="1"/>
  <c r="D1908" i="1"/>
  <c r="F1908" i="1"/>
  <c r="H1908" i="1"/>
  <c r="I1908" i="1" a="1"/>
  <c r="I1908" i="1" s="1"/>
  <c r="D1909" i="1"/>
  <c r="F1909" i="1"/>
  <c r="H1909" i="1"/>
  <c r="I1909" i="1" a="1"/>
  <c r="I1909" i="1" s="1"/>
  <c r="D1910" i="1"/>
  <c r="F1910" i="1"/>
  <c r="H1910" i="1"/>
  <c r="I1910" i="1" a="1"/>
  <c r="I1910" i="1" s="1"/>
  <c r="D1911" i="1"/>
  <c r="F1911" i="1"/>
  <c r="H1911" i="1"/>
  <c r="I1911" i="1" a="1"/>
  <c r="I1911" i="1" s="1"/>
  <c r="D1912" i="1"/>
  <c r="F1912" i="1"/>
  <c r="H1912" i="1"/>
  <c r="I1912" i="1" a="1"/>
  <c r="I1912" i="1" s="1"/>
  <c r="D1913" i="1"/>
  <c r="F1913" i="1"/>
  <c r="H1913" i="1"/>
  <c r="I1913" i="1" a="1"/>
  <c r="I1913" i="1" s="1"/>
  <c r="D1914" i="1"/>
  <c r="F1914" i="1"/>
  <c r="H1914" i="1"/>
  <c r="I1914" i="1" a="1"/>
  <c r="I1914" i="1" s="1"/>
  <c r="D1915" i="1"/>
  <c r="F1915" i="1"/>
  <c r="H1915" i="1"/>
  <c r="I1915" i="1" a="1"/>
  <c r="I1915" i="1" s="1"/>
  <c r="D1916" i="1"/>
  <c r="F1916" i="1"/>
  <c r="H1916" i="1"/>
  <c r="I1916" i="1" a="1"/>
  <c r="I1916" i="1" s="1"/>
  <c r="D1917" i="1"/>
  <c r="F1917" i="1"/>
  <c r="H1917" i="1"/>
  <c r="I1917" i="1" a="1"/>
  <c r="I1917" i="1" s="1"/>
  <c r="D1918" i="1"/>
  <c r="F1918" i="1"/>
  <c r="H1918" i="1"/>
  <c r="I1918" i="1" a="1"/>
  <c r="I1918" i="1" s="1"/>
  <c r="D1919" i="1"/>
  <c r="F1919" i="1"/>
  <c r="H1919" i="1"/>
  <c r="I1919" i="1" a="1"/>
  <c r="I1919" i="1" s="1"/>
  <c r="D1920" i="1"/>
  <c r="F1920" i="1"/>
  <c r="H1920" i="1"/>
  <c r="I1920" i="1" a="1"/>
  <c r="I1920" i="1" s="1"/>
  <c r="D1921" i="1"/>
  <c r="F1921" i="1"/>
  <c r="H1921" i="1"/>
  <c r="I1921" i="1" a="1"/>
  <c r="I1921" i="1" s="1"/>
  <c r="D1922" i="1"/>
  <c r="F1922" i="1"/>
  <c r="H1922" i="1"/>
  <c r="I1922" i="1" a="1"/>
  <c r="I1922" i="1" s="1"/>
  <c r="D1923" i="1"/>
  <c r="F1923" i="1"/>
  <c r="H1923" i="1"/>
  <c r="I1923" i="1" a="1"/>
  <c r="I1923" i="1" s="1"/>
  <c r="D1924" i="1"/>
  <c r="F1924" i="1"/>
  <c r="H1924" i="1"/>
  <c r="I1924" i="1" a="1"/>
  <c r="I1924" i="1" s="1"/>
  <c r="D1925" i="1"/>
  <c r="F1925" i="1"/>
  <c r="H1925" i="1"/>
  <c r="I1925" i="1" a="1"/>
  <c r="I1925" i="1" s="1"/>
  <c r="D1926" i="1"/>
  <c r="F1926" i="1"/>
  <c r="H1926" i="1"/>
  <c r="I1926" i="1" a="1"/>
  <c r="I1926" i="1" s="1"/>
  <c r="D1927" i="1"/>
  <c r="F1927" i="1"/>
  <c r="H1927" i="1"/>
  <c r="I1927" i="1" a="1"/>
  <c r="I1927" i="1" s="1"/>
  <c r="D1928" i="1"/>
  <c r="F1928" i="1"/>
  <c r="H1928" i="1"/>
  <c r="I1928" i="1" a="1"/>
  <c r="I1928" i="1" s="1"/>
  <c r="D1929" i="1"/>
  <c r="F1929" i="1"/>
  <c r="H1929" i="1"/>
  <c r="I1929" i="1" a="1"/>
  <c r="I1929" i="1" s="1"/>
  <c r="D1930" i="1"/>
  <c r="F1930" i="1"/>
  <c r="H1930" i="1"/>
  <c r="I1930" i="1" a="1"/>
  <c r="I1930" i="1" s="1"/>
  <c r="D1931" i="1"/>
  <c r="F1931" i="1"/>
  <c r="H1931" i="1"/>
  <c r="I1931" i="1" a="1"/>
  <c r="I1931" i="1" s="1"/>
  <c r="D1932" i="1"/>
  <c r="F1932" i="1"/>
  <c r="H1932" i="1"/>
  <c r="I1932" i="1" a="1"/>
  <c r="I1932" i="1" s="1"/>
  <c r="D1933" i="1"/>
  <c r="F1933" i="1"/>
  <c r="H1933" i="1"/>
  <c r="I1933" i="1" a="1"/>
  <c r="I1933" i="1" s="1"/>
  <c r="D1934" i="1"/>
  <c r="F1934" i="1"/>
  <c r="H1934" i="1"/>
  <c r="I1934" i="1" a="1"/>
  <c r="I1934" i="1" s="1"/>
  <c r="D1935" i="1"/>
  <c r="F1935" i="1"/>
  <c r="H1935" i="1"/>
  <c r="I1935" i="1" a="1"/>
  <c r="I1935" i="1" s="1"/>
  <c r="D1936" i="1"/>
  <c r="F1936" i="1"/>
  <c r="H1936" i="1"/>
  <c r="I1936" i="1" a="1"/>
  <c r="I1936" i="1" s="1"/>
  <c r="D1937" i="1"/>
  <c r="F1937" i="1"/>
  <c r="H1937" i="1"/>
  <c r="I1937" i="1" a="1"/>
  <c r="I1937" i="1" s="1"/>
  <c r="D1938" i="1"/>
  <c r="F1938" i="1"/>
  <c r="H1938" i="1"/>
  <c r="I1938" i="1" a="1"/>
  <c r="I1938" i="1" s="1"/>
  <c r="D1939" i="1"/>
  <c r="F1939" i="1"/>
  <c r="H1939" i="1"/>
  <c r="I1939" i="1" a="1"/>
  <c r="I1939" i="1" s="1"/>
  <c r="D1940" i="1"/>
  <c r="F1940" i="1"/>
  <c r="H1940" i="1"/>
  <c r="I1940" i="1" a="1"/>
  <c r="I1940" i="1" s="1"/>
  <c r="D1941" i="1"/>
  <c r="F1941" i="1"/>
  <c r="H1941" i="1"/>
  <c r="I1941" i="1" a="1"/>
  <c r="I1941" i="1" s="1"/>
  <c r="D1942" i="1"/>
  <c r="F1942" i="1"/>
  <c r="H1942" i="1"/>
  <c r="I1942" i="1" a="1"/>
  <c r="I1942" i="1" s="1"/>
  <c r="D1943" i="1"/>
  <c r="F1943" i="1"/>
  <c r="H1943" i="1"/>
  <c r="I1943" i="1" a="1"/>
  <c r="I1943" i="1" s="1"/>
  <c r="D1944" i="1"/>
  <c r="F1944" i="1"/>
  <c r="H1944" i="1"/>
  <c r="I1944" i="1" a="1"/>
  <c r="I1944" i="1" s="1"/>
  <c r="D1945" i="1"/>
  <c r="F1945" i="1"/>
  <c r="H1945" i="1"/>
  <c r="I1945" i="1" a="1"/>
  <c r="I1945" i="1" s="1"/>
  <c r="D1946" i="1"/>
  <c r="F1946" i="1"/>
  <c r="H1946" i="1"/>
  <c r="I1946" i="1" a="1"/>
  <c r="I1946" i="1" s="1"/>
  <c r="D1947" i="1"/>
  <c r="F1947" i="1"/>
  <c r="H1947" i="1"/>
  <c r="I1947" i="1" a="1"/>
  <c r="I1947" i="1" s="1"/>
  <c r="D1948" i="1"/>
  <c r="F1948" i="1"/>
  <c r="H1948" i="1"/>
  <c r="I1948" i="1" a="1"/>
  <c r="I1948" i="1" s="1"/>
  <c r="D1949" i="1"/>
  <c r="F1949" i="1"/>
  <c r="H1949" i="1"/>
  <c r="I1949" i="1" a="1"/>
  <c r="I1949" i="1" s="1"/>
  <c r="D1950" i="1"/>
  <c r="F1950" i="1"/>
  <c r="H1950" i="1"/>
  <c r="I1950" i="1" a="1"/>
  <c r="I1950" i="1" s="1"/>
  <c r="D1951" i="1"/>
  <c r="F1951" i="1"/>
  <c r="H1951" i="1"/>
  <c r="I1951" i="1" a="1"/>
  <c r="I1951" i="1" s="1"/>
  <c r="D1952" i="1"/>
  <c r="F1952" i="1"/>
  <c r="H1952" i="1"/>
  <c r="I1952" i="1" a="1"/>
  <c r="I1952" i="1" s="1"/>
  <c r="D1953" i="1"/>
  <c r="F1953" i="1"/>
  <c r="H1953" i="1"/>
  <c r="I1953" i="1" a="1"/>
  <c r="I1953" i="1" s="1"/>
  <c r="D1954" i="1"/>
  <c r="F1954" i="1"/>
  <c r="H1954" i="1"/>
  <c r="I1954" i="1" a="1"/>
  <c r="I1954" i="1" s="1"/>
  <c r="D1955" i="1"/>
  <c r="F1955" i="1"/>
  <c r="H1955" i="1"/>
  <c r="I1955" i="1" a="1"/>
  <c r="I1955" i="1" s="1"/>
  <c r="D1956" i="1"/>
  <c r="F1956" i="1"/>
  <c r="H1956" i="1"/>
  <c r="I1956" i="1" a="1"/>
  <c r="I1956" i="1" s="1"/>
  <c r="D1957" i="1"/>
  <c r="F1957" i="1"/>
  <c r="H1957" i="1"/>
  <c r="I1957" i="1" a="1"/>
  <c r="I1957" i="1" s="1"/>
  <c r="D1958" i="1"/>
  <c r="F1958" i="1"/>
  <c r="H1958" i="1"/>
  <c r="I1958" i="1" a="1"/>
  <c r="I1958" i="1" s="1"/>
  <c r="D1959" i="1"/>
  <c r="F1959" i="1"/>
  <c r="H1959" i="1"/>
  <c r="I1959" i="1" a="1"/>
  <c r="I1959" i="1" s="1"/>
  <c r="D1960" i="1"/>
  <c r="F1960" i="1"/>
  <c r="H1960" i="1"/>
  <c r="I1960" i="1" a="1"/>
  <c r="I1960" i="1" s="1"/>
  <c r="D1961" i="1"/>
  <c r="F1961" i="1"/>
  <c r="H1961" i="1"/>
  <c r="I1961" i="1" a="1"/>
  <c r="I1961" i="1" s="1"/>
  <c r="D1962" i="1"/>
  <c r="F1962" i="1"/>
  <c r="H1962" i="1"/>
  <c r="I1962" i="1" a="1"/>
  <c r="I1962" i="1" s="1"/>
  <c r="D1963" i="1"/>
  <c r="F1963" i="1"/>
  <c r="H1963" i="1"/>
  <c r="I1963" i="1" a="1"/>
  <c r="I1963" i="1" s="1"/>
  <c r="D1964" i="1"/>
  <c r="F1964" i="1"/>
  <c r="H1964" i="1"/>
  <c r="I1964" i="1" a="1"/>
  <c r="I1964" i="1" s="1"/>
  <c r="D1965" i="1"/>
  <c r="F1965" i="1"/>
  <c r="H1965" i="1"/>
  <c r="I1965" i="1" a="1"/>
  <c r="I1965" i="1" s="1"/>
  <c r="D1966" i="1"/>
  <c r="F1966" i="1"/>
  <c r="H1966" i="1"/>
  <c r="I1966" i="1" a="1"/>
  <c r="I1966" i="1" s="1"/>
  <c r="D1967" i="1"/>
  <c r="F1967" i="1"/>
  <c r="H1967" i="1"/>
  <c r="I1967" i="1" a="1"/>
  <c r="I1967" i="1" s="1"/>
  <c r="D1968" i="1"/>
  <c r="F1968" i="1"/>
  <c r="H1968" i="1"/>
  <c r="I1968" i="1" a="1"/>
  <c r="I1968" i="1" s="1"/>
  <c r="D1969" i="1"/>
  <c r="F1969" i="1"/>
  <c r="H1969" i="1"/>
  <c r="I1969" i="1" a="1"/>
  <c r="I1969" i="1" s="1"/>
  <c r="D1970" i="1"/>
  <c r="F1970" i="1"/>
  <c r="H1970" i="1"/>
  <c r="I1970" i="1" a="1"/>
  <c r="I1970" i="1" s="1"/>
  <c r="D1971" i="1"/>
  <c r="F1971" i="1"/>
  <c r="H1971" i="1"/>
  <c r="I1971" i="1" a="1"/>
  <c r="I1971" i="1" s="1"/>
  <c r="D1972" i="1"/>
  <c r="F1972" i="1"/>
  <c r="H1972" i="1"/>
  <c r="I1972" i="1" a="1"/>
  <c r="I1972" i="1" s="1"/>
  <c r="D1973" i="1"/>
  <c r="F1973" i="1"/>
  <c r="H1973" i="1"/>
  <c r="I1973" i="1" a="1"/>
  <c r="I1973" i="1" s="1"/>
  <c r="D1974" i="1"/>
  <c r="F1974" i="1"/>
  <c r="H1974" i="1"/>
  <c r="I1974" i="1" a="1"/>
  <c r="I1974" i="1" s="1"/>
  <c r="D1975" i="1"/>
  <c r="F1975" i="1"/>
  <c r="H1975" i="1"/>
  <c r="I1975" i="1" a="1"/>
  <c r="I1975" i="1" s="1"/>
  <c r="D1976" i="1"/>
  <c r="F1976" i="1"/>
  <c r="H1976" i="1"/>
  <c r="I1976" i="1" a="1"/>
  <c r="I1976" i="1" s="1"/>
  <c r="D1977" i="1"/>
  <c r="F1977" i="1"/>
  <c r="H1977" i="1"/>
  <c r="I1977" i="1" a="1"/>
  <c r="I1977" i="1" s="1"/>
  <c r="D1978" i="1"/>
  <c r="F1978" i="1"/>
  <c r="H1978" i="1"/>
  <c r="I1978" i="1" a="1"/>
  <c r="I1978" i="1" s="1"/>
  <c r="D1979" i="1"/>
  <c r="F1979" i="1"/>
  <c r="H1979" i="1"/>
  <c r="I1979" i="1" a="1"/>
  <c r="I1979" i="1" s="1"/>
  <c r="D1980" i="1"/>
  <c r="F1980" i="1"/>
  <c r="H1980" i="1"/>
  <c r="I1980" i="1" a="1"/>
  <c r="I1980" i="1" s="1"/>
  <c r="D1981" i="1"/>
  <c r="F1981" i="1"/>
  <c r="H1981" i="1"/>
  <c r="I1981" i="1" a="1"/>
  <c r="I1981" i="1" s="1"/>
  <c r="D1982" i="1"/>
  <c r="F1982" i="1"/>
  <c r="H1982" i="1"/>
  <c r="I1982" i="1" a="1"/>
  <c r="I1982" i="1" s="1"/>
  <c r="D1983" i="1"/>
  <c r="F1983" i="1"/>
  <c r="H1983" i="1"/>
  <c r="I1983" i="1" a="1"/>
  <c r="I1983" i="1" s="1"/>
  <c r="D1984" i="1"/>
  <c r="F1984" i="1"/>
  <c r="H1984" i="1"/>
  <c r="I1984" i="1" a="1"/>
  <c r="I1984" i="1" s="1"/>
  <c r="D1985" i="1"/>
  <c r="F1985" i="1"/>
  <c r="H1985" i="1"/>
  <c r="I1985" i="1" a="1"/>
  <c r="I1985" i="1" s="1"/>
  <c r="D1986" i="1"/>
  <c r="F1986" i="1"/>
  <c r="H1986" i="1"/>
  <c r="I1986" i="1" a="1"/>
  <c r="I1986" i="1" s="1"/>
  <c r="D1987" i="1"/>
  <c r="F1987" i="1"/>
  <c r="H1987" i="1"/>
  <c r="I1987" i="1" a="1"/>
  <c r="I1987" i="1" s="1"/>
  <c r="D1988" i="1"/>
  <c r="F1988" i="1"/>
  <c r="H1988" i="1"/>
  <c r="I1988" i="1" a="1"/>
  <c r="I1988" i="1" s="1"/>
  <c r="D1989" i="1"/>
  <c r="F1989" i="1"/>
  <c r="H1989" i="1"/>
  <c r="I1989" i="1" a="1"/>
  <c r="I1989" i="1" s="1"/>
  <c r="D1990" i="1"/>
  <c r="F1990" i="1"/>
  <c r="H1990" i="1"/>
  <c r="I1990" i="1" a="1"/>
  <c r="I1990" i="1" s="1"/>
  <c r="D1991" i="1"/>
  <c r="F1991" i="1"/>
  <c r="H1991" i="1"/>
  <c r="I1991" i="1" a="1"/>
  <c r="I1991" i="1" s="1"/>
  <c r="D1992" i="1"/>
  <c r="F1992" i="1"/>
  <c r="H1992" i="1"/>
  <c r="I1992" i="1" a="1"/>
  <c r="I1992" i="1" s="1"/>
  <c r="D1993" i="1"/>
  <c r="F1993" i="1"/>
  <c r="H1993" i="1"/>
  <c r="I1993" i="1" a="1"/>
  <c r="I1993" i="1" s="1"/>
  <c r="D1994" i="1"/>
  <c r="F1994" i="1"/>
  <c r="H1994" i="1"/>
  <c r="I1994" i="1" a="1"/>
  <c r="I1994" i="1" s="1"/>
  <c r="D1995" i="1"/>
  <c r="F1995" i="1"/>
  <c r="H1995" i="1"/>
  <c r="I1995" i="1" a="1"/>
  <c r="I1995" i="1" s="1"/>
  <c r="D1996" i="1"/>
  <c r="F1996" i="1"/>
  <c r="H1996" i="1"/>
  <c r="I1996" i="1" a="1"/>
  <c r="I1996" i="1" s="1"/>
  <c r="D1997" i="1"/>
  <c r="F1997" i="1"/>
  <c r="H1997" i="1"/>
  <c r="I1997" i="1" a="1"/>
  <c r="I1997" i="1" s="1"/>
  <c r="D1998" i="1"/>
  <c r="F1998" i="1"/>
  <c r="H1998" i="1"/>
  <c r="I1998" i="1" a="1"/>
  <c r="I1998" i="1" s="1"/>
  <c r="D1999" i="1"/>
  <c r="F1999" i="1"/>
  <c r="H1999" i="1"/>
  <c r="I1999" i="1" a="1"/>
  <c r="I1999" i="1" s="1"/>
  <c r="D2000" i="1"/>
  <c r="F2000" i="1"/>
  <c r="H2000" i="1"/>
  <c r="I2000" i="1" a="1"/>
  <c r="I2000" i="1" s="1"/>
  <c r="D2001" i="1"/>
  <c r="F2001" i="1"/>
  <c r="H2001" i="1"/>
  <c r="I2001" i="1" a="1"/>
  <c r="I2001" i="1" s="1"/>
  <c r="D2002" i="1"/>
  <c r="F2002" i="1"/>
  <c r="H2002" i="1"/>
  <c r="I2002" i="1" a="1"/>
  <c r="I2002" i="1" s="1"/>
  <c r="D2003" i="1"/>
  <c r="F2003" i="1"/>
  <c r="H2003" i="1"/>
  <c r="I2003" i="1" a="1"/>
  <c r="I2003" i="1" s="1"/>
  <c r="D2004" i="1"/>
  <c r="F2004" i="1"/>
  <c r="H2004" i="1"/>
  <c r="I2004" i="1" a="1"/>
  <c r="I2004" i="1" s="1"/>
  <c r="D2005" i="1"/>
  <c r="F2005" i="1"/>
  <c r="H2005" i="1"/>
  <c r="I2005" i="1" a="1"/>
  <c r="I2005" i="1" s="1"/>
  <c r="D2006" i="1"/>
  <c r="F2006" i="1"/>
  <c r="H2006" i="1"/>
  <c r="I2006" i="1" a="1"/>
  <c r="I2006" i="1" s="1"/>
  <c r="D2007" i="1"/>
  <c r="F2007" i="1"/>
  <c r="H2007" i="1"/>
  <c r="I2007" i="1" a="1"/>
  <c r="I2007" i="1" s="1"/>
  <c r="D2008" i="1"/>
  <c r="F2008" i="1"/>
  <c r="H2008" i="1"/>
  <c r="I2008" i="1" a="1"/>
  <c r="I2008" i="1" s="1"/>
  <c r="D2009" i="1"/>
  <c r="F2009" i="1"/>
  <c r="H2009" i="1"/>
  <c r="I2009" i="1" a="1"/>
  <c r="I2009" i="1" s="1"/>
  <c r="D2010" i="1"/>
  <c r="F2010" i="1"/>
  <c r="H2010" i="1"/>
  <c r="I2010" i="1" a="1"/>
  <c r="I2010" i="1" s="1"/>
  <c r="D2011" i="1"/>
  <c r="F2011" i="1"/>
  <c r="H2011" i="1"/>
  <c r="I2011" i="1" a="1"/>
  <c r="I2011" i="1" s="1"/>
  <c r="D2012" i="1"/>
  <c r="F2012" i="1"/>
  <c r="H2012" i="1"/>
  <c r="I2012" i="1" a="1"/>
  <c r="I2012" i="1" s="1"/>
  <c r="D2013" i="1"/>
  <c r="F2013" i="1"/>
  <c r="H2013" i="1"/>
  <c r="I2013" i="1" a="1"/>
  <c r="I2013" i="1" s="1"/>
  <c r="D2014" i="1"/>
  <c r="F2014" i="1"/>
  <c r="H2014" i="1"/>
  <c r="I2014" i="1" a="1"/>
  <c r="I2014" i="1" s="1"/>
  <c r="D2015" i="1"/>
  <c r="F2015" i="1"/>
  <c r="H2015" i="1"/>
  <c r="I2015" i="1" a="1"/>
  <c r="I2015" i="1" s="1"/>
  <c r="D2016" i="1"/>
  <c r="F2016" i="1"/>
  <c r="H2016" i="1"/>
  <c r="I2016" i="1" a="1"/>
  <c r="I2016" i="1" s="1"/>
  <c r="D2017" i="1"/>
  <c r="F2017" i="1"/>
  <c r="H2017" i="1"/>
  <c r="I2017" i="1" a="1"/>
  <c r="I2017" i="1" s="1"/>
  <c r="D2018" i="1"/>
  <c r="F2018" i="1"/>
  <c r="H2018" i="1"/>
  <c r="I2018" i="1" a="1"/>
  <c r="I2018" i="1" s="1"/>
  <c r="D2019" i="1"/>
  <c r="F2019" i="1"/>
  <c r="H2019" i="1"/>
  <c r="I2019" i="1" a="1"/>
  <c r="I2019" i="1" s="1"/>
  <c r="D2020" i="1"/>
  <c r="F2020" i="1"/>
  <c r="H2020" i="1"/>
  <c r="I2020" i="1" a="1"/>
  <c r="I2020" i="1" s="1"/>
  <c r="D2021" i="1"/>
  <c r="F2021" i="1"/>
  <c r="H2021" i="1"/>
  <c r="I2021" i="1" a="1"/>
  <c r="I2021" i="1" s="1"/>
  <c r="D2022" i="1"/>
  <c r="F2022" i="1"/>
  <c r="H2022" i="1"/>
  <c r="I2022" i="1" a="1"/>
  <c r="I2022" i="1" s="1"/>
  <c r="D2023" i="1"/>
  <c r="F2023" i="1"/>
  <c r="H2023" i="1"/>
  <c r="I2023" i="1" a="1"/>
  <c r="I2023" i="1" s="1"/>
  <c r="D2024" i="1"/>
  <c r="F2024" i="1"/>
  <c r="H2024" i="1"/>
  <c r="I2024" i="1" a="1"/>
  <c r="I2024" i="1" s="1"/>
  <c r="D2025" i="1"/>
  <c r="F2025" i="1"/>
  <c r="H2025" i="1"/>
  <c r="I2025" i="1" a="1"/>
  <c r="I2025" i="1" s="1"/>
  <c r="D2026" i="1"/>
  <c r="F2026" i="1"/>
  <c r="H2026" i="1"/>
  <c r="I2026" i="1" a="1"/>
  <c r="I2026" i="1" s="1"/>
  <c r="D2027" i="1"/>
  <c r="F2027" i="1"/>
  <c r="H2027" i="1"/>
  <c r="I2027" i="1" a="1"/>
  <c r="I2027" i="1" s="1"/>
  <c r="D2028" i="1"/>
  <c r="F2028" i="1"/>
  <c r="H2028" i="1"/>
  <c r="I2028" i="1" a="1"/>
  <c r="I2028" i="1" s="1"/>
  <c r="D2029" i="1"/>
  <c r="F2029" i="1"/>
  <c r="H2029" i="1"/>
  <c r="I2029" i="1" a="1"/>
  <c r="I2029" i="1" s="1"/>
  <c r="D2030" i="1"/>
  <c r="F2030" i="1"/>
  <c r="H2030" i="1"/>
  <c r="I2030" i="1" a="1"/>
  <c r="I2030" i="1" s="1"/>
  <c r="D2031" i="1"/>
  <c r="F2031" i="1"/>
  <c r="H2031" i="1"/>
  <c r="I2031" i="1" a="1"/>
  <c r="I2031" i="1" s="1"/>
  <c r="D2032" i="1"/>
  <c r="F2032" i="1"/>
  <c r="H2032" i="1"/>
  <c r="I2032" i="1" a="1"/>
  <c r="I2032" i="1" s="1"/>
  <c r="D2033" i="1"/>
  <c r="F2033" i="1"/>
  <c r="H2033" i="1"/>
  <c r="I2033" i="1" a="1"/>
  <c r="I2033" i="1" s="1"/>
  <c r="D2034" i="1"/>
  <c r="F2034" i="1"/>
  <c r="H2034" i="1"/>
  <c r="I2034" i="1" a="1"/>
  <c r="I2034" i="1" s="1"/>
  <c r="D2035" i="1"/>
  <c r="F2035" i="1"/>
  <c r="H2035" i="1"/>
  <c r="I2035" i="1" a="1"/>
  <c r="I2035" i="1" s="1"/>
  <c r="D2036" i="1"/>
  <c r="F2036" i="1"/>
  <c r="H2036" i="1"/>
  <c r="I2036" i="1" a="1"/>
  <c r="I2036" i="1" s="1"/>
  <c r="D2037" i="1"/>
  <c r="F2037" i="1"/>
  <c r="H2037" i="1"/>
  <c r="I2037" i="1" a="1"/>
  <c r="I2037" i="1" s="1"/>
  <c r="D2038" i="1"/>
  <c r="F2038" i="1"/>
  <c r="H2038" i="1"/>
  <c r="I2038" i="1" a="1"/>
  <c r="I2038" i="1" s="1"/>
  <c r="D2039" i="1"/>
  <c r="F2039" i="1"/>
  <c r="H2039" i="1"/>
  <c r="I2039" i="1" a="1"/>
  <c r="I2039" i="1" s="1"/>
  <c r="D2040" i="1"/>
  <c r="F2040" i="1"/>
  <c r="H2040" i="1"/>
  <c r="I2040" i="1" a="1"/>
  <c r="I2040" i="1" s="1"/>
  <c r="D2041" i="1"/>
  <c r="F2041" i="1"/>
  <c r="H2041" i="1"/>
  <c r="I2041" i="1" a="1"/>
  <c r="I2041" i="1" s="1"/>
  <c r="D2042" i="1"/>
  <c r="F2042" i="1"/>
  <c r="H2042" i="1"/>
  <c r="I2042" i="1" a="1"/>
  <c r="I2042" i="1" s="1"/>
  <c r="D2043" i="1"/>
  <c r="F2043" i="1"/>
  <c r="H2043" i="1"/>
  <c r="I2043" i="1" a="1"/>
  <c r="I2043" i="1" s="1"/>
  <c r="D2044" i="1"/>
  <c r="F2044" i="1"/>
  <c r="H2044" i="1"/>
  <c r="I2044" i="1" a="1"/>
  <c r="I2044" i="1" s="1"/>
  <c r="D2045" i="1"/>
  <c r="F2045" i="1"/>
  <c r="H2045" i="1"/>
  <c r="I2045" i="1" a="1"/>
  <c r="I2045" i="1" s="1"/>
  <c r="D2046" i="1"/>
  <c r="F2046" i="1"/>
  <c r="H2046" i="1"/>
  <c r="I2046" i="1" a="1"/>
  <c r="I2046" i="1" s="1"/>
  <c r="D2047" i="1"/>
  <c r="F2047" i="1"/>
  <c r="H2047" i="1"/>
  <c r="I2047" i="1" a="1"/>
  <c r="I2047" i="1" s="1"/>
  <c r="D2048" i="1"/>
  <c r="F2048" i="1"/>
  <c r="H2048" i="1"/>
  <c r="I2048" i="1" a="1"/>
  <c r="I2048" i="1" s="1"/>
  <c r="D2049" i="1"/>
  <c r="F2049" i="1"/>
  <c r="H2049" i="1"/>
  <c r="I2049" i="1" a="1"/>
  <c r="I2049" i="1" s="1"/>
  <c r="D2050" i="1"/>
  <c r="F2050" i="1"/>
  <c r="H2050" i="1"/>
  <c r="I2050" i="1" a="1"/>
  <c r="I2050" i="1" s="1"/>
  <c r="D2051" i="1"/>
  <c r="F2051" i="1"/>
  <c r="H2051" i="1"/>
  <c r="I2051" i="1" a="1"/>
  <c r="I2051" i="1" s="1"/>
  <c r="D2052" i="1"/>
  <c r="F2052" i="1"/>
  <c r="H2052" i="1"/>
  <c r="I2052" i="1" a="1"/>
  <c r="I2052" i="1" s="1"/>
  <c r="D2053" i="1"/>
  <c r="F2053" i="1"/>
  <c r="H2053" i="1"/>
  <c r="I2053" i="1" a="1"/>
  <c r="I2053" i="1" s="1"/>
  <c r="D2054" i="1"/>
  <c r="F2054" i="1"/>
  <c r="H2054" i="1"/>
  <c r="I2054" i="1" a="1"/>
  <c r="I2054" i="1" s="1"/>
  <c r="D2055" i="1"/>
  <c r="F2055" i="1"/>
  <c r="H2055" i="1"/>
  <c r="I2055" i="1" a="1"/>
  <c r="I2055" i="1" s="1"/>
  <c r="D2056" i="1"/>
  <c r="F2056" i="1"/>
  <c r="H2056" i="1"/>
  <c r="I2056" i="1" a="1"/>
  <c r="I2056" i="1" s="1"/>
  <c r="D2057" i="1"/>
  <c r="F2057" i="1"/>
  <c r="H2057" i="1"/>
  <c r="I2057" i="1" a="1"/>
  <c r="I2057" i="1" s="1"/>
  <c r="D2058" i="1"/>
  <c r="F2058" i="1"/>
  <c r="H2058" i="1"/>
  <c r="I2058" i="1" a="1"/>
  <c r="I2058" i="1" s="1"/>
  <c r="D2059" i="1"/>
  <c r="F2059" i="1"/>
  <c r="H2059" i="1"/>
  <c r="I2059" i="1" a="1"/>
  <c r="I2059" i="1" s="1"/>
  <c r="D2060" i="1"/>
  <c r="F2060" i="1"/>
  <c r="H2060" i="1"/>
  <c r="I2060" i="1" a="1"/>
  <c r="I2060" i="1" s="1"/>
  <c r="D2061" i="1"/>
  <c r="F2061" i="1"/>
  <c r="H2061" i="1"/>
  <c r="I2061" i="1" a="1"/>
  <c r="I2061" i="1" s="1"/>
  <c r="D2062" i="1"/>
  <c r="F2062" i="1"/>
  <c r="H2062" i="1"/>
  <c r="I2062" i="1" a="1"/>
  <c r="I2062" i="1" s="1"/>
  <c r="D2063" i="1"/>
  <c r="F2063" i="1"/>
  <c r="H2063" i="1"/>
  <c r="I2063" i="1" a="1"/>
  <c r="I2063" i="1" s="1"/>
  <c r="D2064" i="1"/>
  <c r="F2064" i="1"/>
  <c r="H2064" i="1"/>
  <c r="I2064" i="1" a="1"/>
  <c r="I2064" i="1" s="1"/>
  <c r="D2065" i="1"/>
  <c r="F2065" i="1"/>
  <c r="H2065" i="1"/>
  <c r="I2065" i="1" a="1"/>
  <c r="I2065" i="1" s="1"/>
  <c r="D2066" i="1"/>
  <c r="F2066" i="1"/>
  <c r="H2066" i="1"/>
  <c r="I2066" i="1" a="1"/>
  <c r="I2066" i="1" s="1"/>
  <c r="D2067" i="1"/>
  <c r="F2067" i="1"/>
  <c r="H2067" i="1"/>
  <c r="I2067" i="1" a="1"/>
  <c r="I2067" i="1" s="1"/>
  <c r="D2068" i="1"/>
  <c r="F2068" i="1"/>
  <c r="H2068" i="1"/>
  <c r="I2068" i="1" a="1"/>
  <c r="I2068" i="1" s="1"/>
  <c r="D2069" i="1"/>
  <c r="F2069" i="1"/>
  <c r="H2069" i="1"/>
  <c r="I2069" i="1" a="1"/>
  <c r="I2069" i="1" s="1"/>
  <c r="D2070" i="1"/>
  <c r="F2070" i="1"/>
  <c r="H2070" i="1"/>
  <c r="I2070" i="1" a="1"/>
  <c r="I2070" i="1" s="1"/>
  <c r="D2071" i="1"/>
  <c r="F2071" i="1"/>
  <c r="H2071" i="1"/>
  <c r="I2071" i="1" a="1"/>
  <c r="I2071" i="1" s="1"/>
  <c r="D2072" i="1"/>
  <c r="F2072" i="1"/>
  <c r="H2072" i="1"/>
  <c r="I2072" i="1" a="1"/>
  <c r="I2072" i="1" s="1"/>
  <c r="D2073" i="1"/>
  <c r="F2073" i="1"/>
  <c r="H2073" i="1"/>
  <c r="I2073" i="1" a="1"/>
  <c r="I2073" i="1" s="1"/>
  <c r="D2074" i="1"/>
  <c r="F2074" i="1"/>
  <c r="H2074" i="1"/>
  <c r="I2074" i="1" a="1"/>
  <c r="I2074" i="1" s="1"/>
  <c r="D2075" i="1"/>
  <c r="F2075" i="1"/>
  <c r="H2075" i="1"/>
  <c r="I2075" i="1" a="1"/>
  <c r="I2075" i="1" s="1"/>
  <c r="D2076" i="1"/>
  <c r="F2076" i="1"/>
  <c r="H2076" i="1"/>
  <c r="I2076" i="1" a="1"/>
  <c r="I2076" i="1" s="1"/>
  <c r="D2077" i="1"/>
  <c r="F2077" i="1"/>
  <c r="H2077" i="1"/>
  <c r="I2077" i="1" a="1"/>
  <c r="I2077" i="1" s="1"/>
  <c r="D2078" i="1"/>
  <c r="F2078" i="1"/>
  <c r="H2078" i="1"/>
  <c r="I2078" i="1" a="1"/>
  <c r="I2078" i="1" s="1"/>
  <c r="D2079" i="1"/>
  <c r="F2079" i="1"/>
  <c r="H2079" i="1"/>
  <c r="I2079" i="1" a="1"/>
  <c r="I2079" i="1" s="1"/>
  <c r="D2080" i="1"/>
  <c r="F2080" i="1"/>
  <c r="H2080" i="1"/>
  <c r="I2080" i="1" a="1"/>
  <c r="I2080" i="1" s="1"/>
  <c r="D2081" i="1"/>
  <c r="F2081" i="1"/>
  <c r="H2081" i="1"/>
  <c r="I2081" i="1" a="1"/>
  <c r="I2081" i="1" s="1"/>
  <c r="D2082" i="1"/>
  <c r="F2082" i="1"/>
  <c r="H2082" i="1"/>
  <c r="I2082" i="1" a="1"/>
  <c r="I2082" i="1" s="1"/>
  <c r="D2083" i="1"/>
  <c r="F2083" i="1"/>
  <c r="H2083" i="1"/>
  <c r="I2083" i="1" a="1"/>
  <c r="I2083" i="1" s="1"/>
  <c r="D2084" i="1"/>
  <c r="F2084" i="1"/>
  <c r="H2084" i="1"/>
  <c r="I2084" i="1" a="1"/>
  <c r="I2084" i="1" s="1"/>
  <c r="D2085" i="1"/>
  <c r="F2085" i="1"/>
  <c r="H2085" i="1"/>
  <c r="I2085" i="1" a="1"/>
  <c r="I2085" i="1" s="1"/>
  <c r="D2086" i="1"/>
  <c r="F2086" i="1"/>
  <c r="H2086" i="1"/>
  <c r="I2086" i="1" a="1"/>
  <c r="I2086" i="1" s="1"/>
  <c r="D2087" i="1"/>
  <c r="F2087" i="1"/>
  <c r="H2087" i="1"/>
  <c r="I2087" i="1" a="1"/>
  <c r="I2087" i="1" s="1"/>
  <c r="D2088" i="1"/>
  <c r="F2088" i="1"/>
  <c r="H2088" i="1"/>
  <c r="I2088" i="1" a="1"/>
  <c r="I2088" i="1" s="1"/>
  <c r="D2089" i="1"/>
  <c r="F2089" i="1"/>
  <c r="H2089" i="1"/>
  <c r="I2089" i="1" a="1"/>
  <c r="I2089" i="1" s="1"/>
  <c r="D2090" i="1"/>
  <c r="F2090" i="1"/>
  <c r="H2090" i="1"/>
  <c r="I2090" i="1" a="1"/>
  <c r="I2090" i="1" s="1"/>
  <c r="D2091" i="1"/>
  <c r="F2091" i="1"/>
  <c r="H2091" i="1"/>
  <c r="I2091" i="1" a="1"/>
  <c r="I2091" i="1" s="1"/>
  <c r="D2092" i="1"/>
  <c r="F2092" i="1"/>
  <c r="H2092" i="1"/>
  <c r="I2092" i="1" a="1"/>
  <c r="I2092" i="1" s="1"/>
  <c r="D2093" i="1"/>
  <c r="F2093" i="1"/>
  <c r="H2093" i="1"/>
  <c r="I2093" i="1" a="1"/>
  <c r="I2093" i="1" s="1"/>
  <c r="D2094" i="1"/>
  <c r="F2094" i="1"/>
  <c r="H2094" i="1"/>
  <c r="I2094" i="1" a="1"/>
  <c r="I2094" i="1" s="1"/>
  <c r="D2095" i="1"/>
  <c r="F2095" i="1"/>
  <c r="H2095" i="1"/>
  <c r="I2095" i="1" a="1"/>
  <c r="I2095" i="1" s="1"/>
  <c r="D2096" i="1"/>
  <c r="F2096" i="1"/>
  <c r="H2096" i="1"/>
  <c r="I2096" i="1" a="1"/>
  <c r="I2096" i="1" s="1"/>
  <c r="D2097" i="1"/>
  <c r="F2097" i="1"/>
  <c r="H2097" i="1"/>
  <c r="I2097" i="1" a="1"/>
  <c r="I2097" i="1" s="1"/>
  <c r="D2098" i="1"/>
  <c r="F2098" i="1"/>
  <c r="H2098" i="1"/>
  <c r="I2098" i="1" a="1"/>
  <c r="I2098" i="1" s="1"/>
  <c r="D2099" i="1"/>
  <c r="F2099" i="1"/>
  <c r="H2099" i="1"/>
  <c r="I2099" i="1" a="1"/>
  <c r="I2099" i="1" s="1"/>
  <c r="D2100" i="1"/>
  <c r="F2100" i="1"/>
  <c r="H2100" i="1"/>
  <c r="I2100" i="1" a="1"/>
  <c r="I2100" i="1" s="1"/>
  <c r="D2101" i="1"/>
  <c r="F2101" i="1"/>
  <c r="H2101" i="1"/>
  <c r="I2101" i="1" a="1"/>
  <c r="I2101" i="1" s="1"/>
  <c r="D2102" i="1"/>
  <c r="F2102" i="1"/>
  <c r="H2102" i="1"/>
  <c r="I2102" i="1" a="1"/>
  <c r="I2102" i="1" s="1"/>
  <c r="D2103" i="1"/>
  <c r="F2103" i="1"/>
  <c r="H2103" i="1"/>
  <c r="I2103" i="1" a="1"/>
  <c r="I2103" i="1" s="1"/>
  <c r="D2104" i="1"/>
  <c r="F2104" i="1"/>
  <c r="H2104" i="1"/>
  <c r="I2104" i="1" a="1"/>
  <c r="I2104" i="1" s="1"/>
  <c r="D2105" i="1"/>
  <c r="F2105" i="1"/>
  <c r="H2105" i="1"/>
  <c r="I2105" i="1" a="1"/>
  <c r="I2105" i="1" s="1"/>
  <c r="D2106" i="1"/>
  <c r="F2106" i="1"/>
  <c r="H2106" i="1"/>
  <c r="I2106" i="1" a="1"/>
  <c r="I2106" i="1" s="1"/>
  <c r="D2107" i="1"/>
  <c r="F2107" i="1"/>
  <c r="H2107" i="1"/>
  <c r="I2107" i="1" a="1"/>
  <c r="I2107" i="1" s="1"/>
  <c r="D2108" i="1"/>
  <c r="F2108" i="1"/>
  <c r="H2108" i="1"/>
  <c r="I2108" i="1" a="1"/>
  <c r="I2108" i="1" s="1"/>
  <c r="D2109" i="1"/>
  <c r="F2109" i="1"/>
  <c r="H2109" i="1"/>
  <c r="I2109" i="1" a="1"/>
  <c r="I2109" i="1" s="1"/>
  <c r="D2110" i="1"/>
  <c r="F2110" i="1"/>
  <c r="H2110" i="1"/>
  <c r="I2110" i="1" a="1"/>
  <c r="I2110" i="1" s="1"/>
  <c r="D2111" i="1"/>
  <c r="F2111" i="1"/>
  <c r="H2111" i="1"/>
  <c r="I2111" i="1" a="1"/>
  <c r="I2111" i="1" s="1"/>
  <c r="D2112" i="1"/>
  <c r="F2112" i="1"/>
  <c r="H2112" i="1"/>
  <c r="I2112" i="1" a="1"/>
  <c r="I2112" i="1" s="1"/>
  <c r="D2113" i="1"/>
  <c r="F2113" i="1"/>
  <c r="H2113" i="1"/>
  <c r="I2113" i="1" a="1"/>
  <c r="I2113" i="1" s="1"/>
  <c r="D2114" i="1"/>
  <c r="F2114" i="1"/>
  <c r="H2114" i="1"/>
  <c r="I2114" i="1" a="1"/>
  <c r="I2114" i="1" s="1"/>
  <c r="D2115" i="1"/>
  <c r="F2115" i="1"/>
  <c r="H2115" i="1"/>
  <c r="I2115" i="1" a="1"/>
  <c r="I2115" i="1" s="1"/>
  <c r="D2116" i="1"/>
  <c r="F2116" i="1"/>
  <c r="H2116" i="1"/>
  <c r="I2116" i="1" a="1"/>
  <c r="I2116" i="1" s="1"/>
  <c r="D2117" i="1"/>
  <c r="F2117" i="1"/>
  <c r="H2117" i="1"/>
  <c r="I2117" i="1" a="1"/>
  <c r="I2117" i="1" s="1"/>
  <c r="D2118" i="1"/>
  <c r="F2118" i="1"/>
  <c r="H2118" i="1"/>
  <c r="I2118" i="1" a="1"/>
  <c r="I2118" i="1" s="1"/>
  <c r="D2119" i="1"/>
  <c r="F2119" i="1"/>
  <c r="H2119" i="1"/>
  <c r="I2119" i="1" a="1"/>
  <c r="I2119" i="1" s="1"/>
  <c r="D2120" i="1"/>
  <c r="F2120" i="1"/>
  <c r="H2120" i="1"/>
  <c r="I2120" i="1" a="1"/>
  <c r="I2120" i="1" s="1"/>
  <c r="D2121" i="1"/>
  <c r="F2121" i="1"/>
  <c r="H2121" i="1"/>
  <c r="I2121" i="1" a="1"/>
  <c r="I2121" i="1" s="1"/>
  <c r="D2122" i="1"/>
  <c r="F2122" i="1"/>
  <c r="H2122" i="1"/>
  <c r="I2122" i="1" a="1"/>
  <c r="I2122" i="1" s="1"/>
  <c r="D2123" i="1"/>
  <c r="F2123" i="1"/>
  <c r="H2123" i="1"/>
  <c r="I2123" i="1" a="1"/>
  <c r="I2123" i="1" s="1"/>
  <c r="D2124" i="1"/>
  <c r="F2124" i="1"/>
  <c r="H2124" i="1"/>
  <c r="I2124" i="1" a="1"/>
  <c r="I2124" i="1" s="1"/>
  <c r="D2125" i="1"/>
  <c r="F2125" i="1"/>
  <c r="H2125" i="1"/>
  <c r="I2125" i="1" a="1"/>
  <c r="I2125" i="1" s="1"/>
  <c r="D2126" i="1"/>
  <c r="F2126" i="1"/>
  <c r="H2126" i="1"/>
  <c r="I2126" i="1" a="1"/>
  <c r="I2126" i="1" s="1"/>
  <c r="D2127" i="1"/>
  <c r="F2127" i="1"/>
  <c r="H2127" i="1"/>
  <c r="I2127" i="1" a="1"/>
  <c r="I2127" i="1" s="1"/>
  <c r="D2128" i="1"/>
  <c r="F2128" i="1"/>
  <c r="H2128" i="1"/>
  <c r="I2128" i="1" a="1"/>
  <c r="I2128" i="1" s="1"/>
  <c r="D2129" i="1"/>
  <c r="F2129" i="1"/>
  <c r="H2129" i="1"/>
  <c r="I2129" i="1" a="1"/>
  <c r="I2129" i="1" s="1"/>
  <c r="D2130" i="1"/>
  <c r="F2130" i="1"/>
  <c r="H2130" i="1"/>
  <c r="I2130" i="1" a="1"/>
  <c r="I2130" i="1" s="1"/>
  <c r="D2131" i="1"/>
  <c r="F2131" i="1"/>
  <c r="H2131" i="1"/>
  <c r="I2131" i="1" a="1"/>
  <c r="I2131" i="1" s="1"/>
  <c r="D2132" i="1"/>
  <c r="F2132" i="1"/>
  <c r="H2132" i="1"/>
  <c r="I2132" i="1" a="1"/>
  <c r="I2132" i="1" s="1"/>
  <c r="D2133" i="1"/>
  <c r="F2133" i="1"/>
  <c r="H2133" i="1"/>
  <c r="I2133" i="1" a="1"/>
  <c r="I2133" i="1" s="1"/>
  <c r="D2134" i="1"/>
  <c r="F2134" i="1"/>
  <c r="H2134" i="1"/>
  <c r="I2134" i="1" a="1"/>
  <c r="I2134" i="1" s="1"/>
  <c r="D2135" i="1"/>
  <c r="F2135" i="1"/>
  <c r="H2135" i="1"/>
  <c r="I2135" i="1" a="1"/>
  <c r="I2135" i="1" s="1"/>
  <c r="D2136" i="1"/>
  <c r="F2136" i="1"/>
  <c r="H2136" i="1"/>
  <c r="I2136" i="1" a="1"/>
  <c r="I2136" i="1" s="1"/>
  <c r="D2137" i="1"/>
  <c r="F2137" i="1"/>
  <c r="H2137" i="1"/>
  <c r="I2137" i="1" a="1"/>
  <c r="I2137" i="1" s="1"/>
  <c r="D2138" i="1"/>
  <c r="F2138" i="1"/>
  <c r="H2138" i="1"/>
  <c r="I2138" i="1" a="1"/>
  <c r="I2138" i="1" s="1"/>
  <c r="D2139" i="1"/>
  <c r="F2139" i="1"/>
  <c r="H2139" i="1"/>
  <c r="I2139" i="1" a="1"/>
  <c r="I2139" i="1" s="1"/>
  <c r="D2140" i="1"/>
  <c r="F2140" i="1"/>
  <c r="H2140" i="1"/>
  <c r="I2140" i="1" a="1"/>
  <c r="I2140" i="1" s="1"/>
  <c r="D2141" i="1"/>
  <c r="F2141" i="1"/>
  <c r="H2141" i="1"/>
  <c r="I2141" i="1" a="1"/>
  <c r="I2141" i="1" s="1"/>
  <c r="D2142" i="1"/>
  <c r="F2142" i="1"/>
  <c r="H2142" i="1"/>
  <c r="I2142" i="1" a="1"/>
  <c r="I2142" i="1" s="1"/>
  <c r="D2143" i="1"/>
  <c r="F2143" i="1"/>
  <c r="H2143" i="1"/>
  <c r="I2143" i="1" a="1"/>
  <c r="I2143" i="1" s="1"/>
  <c r="D2144" i="1"/>
  <c r="F2144" i="1"/>
  <c r="H2144" i="1"/>
  <c r="I2144" i="1" a="1"/>
  <c r="I2144" i="1" s="1"/>
  <c r="D2145" i="1"/>
  <c r="F2145" i="1"/>
  <c r="H2145" i="1"/>
  <c r="I2145" i="1" a="1"/>
  <c r="I2145" i="1" s="1"/>
  <c r="D2146" i="1"/>
  <c r="F2146" i="1"/>
  <c r="H2146" i="1"/>
  <c r="I2146" i="1" a="1"/>
  <c r="I2146" i="1" s="1"/>
  <c r="D2147" i="1"/>
  <c r="F2147" i="1"/>
  <c r="H2147" i="1"/>
  <c r="I2147" i="1" a="1"/>
  <c r="I2147" i="1" s="1"/>
  <c r="D2148" i="1"/>
  <c r="F2148" i="1"/>
  <c r="H2148" i="1"/>
  <c r="I2148" i="1" a="1"/>
  <c r="I2148" i="1" s="1"/>
  <c r="D2149" i="1"/>
  <c r="F2149" i="1"/>
  <c r="H2149" i="1"/>
  <c r="I2149" i="1" a="1"/>
  <c r="I2149" i="1" s="1"/>
  <c r="D2150" i="1"/>
  <c r="F2150" i="1"/>
  <c r="H2150" i="1"/>
  <c r="I2150" i="1" a="1"/>
  <c r="I2150" i="1" s="1"/>
  <c r="D2151" i="1"/>
  <c r="F2151" i="1"/>
  <c r="H2151" i="1"/>
  <c r="I2151" i="1" a="1"/>
  <c r="I2151" i="1" s="1"/>
  <c r="D2152" i="1"/>
  <c r="F2152" i="1"/>
  <c r="H2152" i="1"/>
  <c r="I2152" i="1" a="1"/>
  <c r="I2152" i="1" s="1"/>
  <c r="D2153" i="1"/>
  <c r="F2153" i="1"/>
  <c r="H2153" i="1"/>
  <c r="I2153" i="1" a="1"/>
  <c r="I2153" i="1" s="1"/>
  <c r="D2154" i="1"/>
  <c r="F2154" i="1"/>
  <c r="H2154" i="1"/>
  <c r="I2154" i="1" a="1"/>
  <c r="I2154" i="1" s="1"/>
  <c r="D2155" i="1"/>
  <c r="F2155" i="1"/>
  <c r="H2155" i="1"/>
  <c r="I2155" i="1" a="1"/>
  <c r="I2155" i="1" s="1"/>
  <c r="D2156" i="1"/>
  <c r="F2156" i="1"/>
  <c r="H2156" i="1"/>
  <c r="I2156" i="1" a="1"/>
  <c r="I2156" i="1" s="1"/>
  <c r="D2157" i="1"/>
  <c r="F2157" i="1"/>
  <c r="H2157" i="1"/>
  <c r="I2157" i="1" a="1"/>
  <c r="I2157" i="1" s="1"/>
  <c r="D2158" i="1"/>
  <c r="F2158" i="1"/>
  <c r="H2158" i="1"/>
  <c r="I2158" i="1" a="1"/>
  <c r="I2158" i="1" s="1"/>
  <c r="D2159" i="1"/>
  <c r="F2159" i="1"/>
  <c r="H2159" i="1"/>
  <c r="I2159" i="1" a="1"/>
  <c r="I2159" i="1" s="1"/>
  <c r="D2160" i="1"/>
  <c r="F2160" i="1"/>
  <c r="H2160" i="1"/>
  <c r="I2160" i="1" a="1"/>
  <c r="I2160" i="1" s="1"/>
  <c r="D2161" i="1"/>
  <c r="F2161" i="1"/>
  <c r="H2161" i="1"/>
  <c r="I2161" i="1" a="1"/>
  <c r="I2161" i="1" s="1"/>
  <c r="D2162" i="1"/>
  <c r="F2162" i="1"/>
  <c r="H2162" i="1"/>
  <c r="I2162" i="1" a="1"/>
  <c r="I2162" i="1" s="1"/>
  <c r="D2163" i="1"/>
  <c r="F2163" i="1"/>
  <c r="H2163" i="1"/>
  <c r="I2163" i="1" a="1"/>
  <c r="I2163" i="1" s="1"/>
  <c r="D2164" i="1"/>
  <c r="F2164" i="1"/>
  <c r="H2164" i="1"/>
  <c r="I2164" i="1" a="1"/>
  <c r="I2164" i="1" s="1"/>
  <c r="D2165" i="1"/>
  <c r="F2165" i="1"/>
  <c r="H2165" i="1"/>
  <c r="I2165" i="1" a="1"/>
  <c r="I2165" i="1" s="1"/>
  <c r="D2166" i="1"/>
  <c r="F2166" i="1"/>
  <c r="H2166" i="1"/>
  <c r="I2166" i="1" a="1"/>
  <c r="I2166" i="1" s="1"/>
  <c r="D2167" i="1"/>
  <c r="F2167" i="1"/>
  <c r="H2167" i="1"/>
  <c r="I2167" i="1" a="1"/>
  <c r="I2167" i="1" s="1"/>
  <c r="D2168" i="1"/>
  <c r="F2168" i="1"/>
  <c r="H2168" i="1"/>
  <c r="I2168" i="1" a="1"/>
  <c r="I2168" i="1" s="1"/>
  <c r="D2169" i="1"/>
  <c r="F2169" i="1"/>
  <c r="H2169" i="1"/>
  <c r="I2169" i="1" a="1"/>
  <c r="I2169" i="1" s="1"/>
  <c r="D2170" i="1"/>
  <c r="F2170" i="1"/>
  <c r="H2170" i="1"/>
  <c r="I2170" i="1" a="1"/>
  <c r="I2170" i="1" s="1"/>
  <c r="D2171" i="1"/>
  <c r="F2171" i="1"/>
  <c r="H2171" i="1"/>
  <c r="I2171" i="1" a="1"/>
  <c r="I2171" i="1" s="1"/>
  <c r="D2172" i="1"/>
  <c r="F2172" i="1"/>
  <c r="H2172" i="1"/>
  <c r="I2172" i="1" a="1"/>
  <c r="I2172" i="1" s="1"/>
  <c r="D2173" i="1"/>
  <c r="F2173" i="1"/>
  <c r="H2173" i="1"/>
  <c r="I2173" i="1" a="1"/>
  <c r="I2173" i="1" s="1"/>
  <c r="D2174" i="1"/>
  <c r="F2174" i="1"/>
  <c r="H2174" i="1"/>
  <c r="I2174" i="1" a="1"/>
  <c r="I2174" i="1" s="1"/>
  <c r="D2175" i="1"/>
  <c r="F2175" i="1"/>
  <c r="H2175" i="1"/>
  <c r="I2175" i="1" a="1"/>
  <c r="I2175" i="1" s="1"/>
  <c r="D2176" i="1"/>
  <c r="F2176" i="1"/>
  <c r="H2176" i="1"/>
  <c r="I2176" i="1" a="1"/>
  <c r="I2176" i="1" s="1"/>
  <c r="D2177" i="1"/>
  <c r="F2177" i="1"/>
  <c r="H2177" i="1"/>
  <c r="I2177" i="1" a="1"/>
  <c r="I2177" i="1" s="1"/>
  <c r="D2178" i="1"/>
  <c r="F2178" i="1"/>
  <c r="H2178" i="1"/>
  <c r="I2178" i="1" a="1"/>
  <c r="I2178" i="1" s="1"/>
  <c r="D2179" i="1"/>
  <c r="F2179" i="1"/>
  <c r="H2179" i="1"/>
  <c r="I2179" i="1" a="1"/>
  <c r="I2179" i="1" s="1"/>
  <c r="D2180" i="1"/>
  <c r="F2180" i="1"/>
  <c r="H2180" i="1"/>
  <c r="I2180" i="1" a="1"/>
  <c r="I2180" i="1" s="1"/>
  <c r="D2181" i="1"/>
  <c r="F2181" i="1"/>
  <c r="H2181" i="1"/>
  <c r="I2181" i="1" a="1"/>
  <c r="I2181" i="1" s="1"/>
  <c r="D2182" i="1"/>
  <c r="F2182" i="1"/>
  <c r="H2182" i="1"/>
  <c r="I2182" i="1" a="1"/>
  <c r="I2182" i="1" s="1"/>
  <c r="D2183" i="1"/>
  <c r="F2183" i="1"/>
  <c r="H2183" i="1"/>
  <c r="I2183" i="1" a="1"/>
  <c r="I2183" i="1" s="1"/>
  <c r="D2184" i="1"/>
  <c r="F2184" i="1"/>
  <c r="H2184" i="1"/>
  <c r="I2184" i="1" a="1"/>
  <c r="I2184" i="1" s="1"/>
  <c r="D2185" i="1"/>
  <c r="F2185" i="1"/>
  <c r="H2185" i="1"/>
  <c r="I2185" i="1" a="1"/>
  <c r="I2185" i="1" s="1"/>
  <c r="D2186" i="1"/>
  <c r="F2186" i="1"/>
  <c r="H2186" i="1"/>
  <c r="I2186" i="1" a="1"/>
  <c r="I2186" i="1" s="1"/>
  <c r="D2187" i="1"/>
  <c r="F2187" i="1"/>
  <c r="H2187" i="1"/>
  <c r="I2187" i="1" a="1"/>
  <c r="I2187" i="1" s="1"/>
  <c r="D2188" i="1"/>
  <c r="F2188" i="1"/>
  <c r="H2188" i="1"/>
  <c r="I2188" i="1" a="1"/>
  <c r="I2188" i="1" s="1"/>
  <c r="D2189" i="1"/>
  <c r="F2189" i="1"/>
  <c r="H2189" i="1"/>
  <c r="I2189" i="1" a="1"/>
  <c r="I2189" i="1" s="1"/>
  <c r="D2190" i="1"/>
  <c r="F2190" i="1"/>
  <c r="H2190" i="1"/>
  <c r="I2190" i="1" a="1"/>
  <c r="I2190" i="1" s="1"/>
  <c r="D2191" i="1"/>
  <c r="F2191" i="1"/>
  <c r="H2191" i="1"/>
  <c r="I2191" i="1" a="1"/>
  <c r="I2191" i="1" s="1"/>
  <c r="D2192" i="1"/>
  <c r="F2192" i="1"/>
  <c r="H2192" i="1"/>
  <c r="I2192" i="1" a="1"/>
  <c r="I2192" i="1" s="1"/>
  <c r="D2193" i="1"/>
  <c r="F2193" i="1"/>
  <c r="H2193" i="1"/>
  <c r="I2193" i="1" a="1"/>
  <c r="I2193" i="1" s="1"/>
  <c r="D2194" i="1"/>
  <c r="F2194" i="1"/>
  <c r="H2194" i="1"/>
  <c r="I2194" i="1" a="1"/>
  <c r="I2194" i="1" s="1"/>
  <c r="D2195" i="1"/>
  <c r="F2195" i="1"/>
  <c r="H2195" i="1"/>
  <c r="I2195" i="1" a="1"/>
  <c r="I2195" i="1" s="1"/>
  <c r="D2196" i="1"/>
  <c r="F2196" i="1"/>
  <c r="H2196" i="1"/>
  <c r="I2196" i="1" a="1"/>
  <c r="I2196" i="1" s="1"/>
  <c r="D2197" i="1"/>
  <c r="F2197" i="1"/>
  <c r="H2197" i="1"/>
  <c r="I2197" i="1" a="1"/>
  <c r="I2197" i="1" s="1"/>
  <c r="D2198" i="1"/>
  <c r="F2198" i="1"/>
  <c r="H2198" i="1"/>
  <c r="I2198" i="1" a="1"/>
  <c r="I2198" i="1" s="1"/>
  <c r="D2199" i="1"/>
  <c r="F2199" i="1"/>
  <c r="H2199" i="1"/>
  <c r="I2199" i="1" a="1"/>
  <c r="I2199" i="1" s="1"/>
  <c r="D2200" i="1"/>
  <c r="F2200" i="1"/>
  <c r="H2200" i="1"/>
  <c r="I2200" i="1" a="1"/>
  <c r="I2200" i="1" s="1"/>
  <c r="D2201" i="1"/>
  <c r="F2201" i="1"/>
  <c r="H2201" i="1"/>
  <c r="I2201" i="1" a="1"/>
  <c r="I2201" i="1" s="1"/>
  <c r="D2202" i="1"/>
  <c r="F2202" i="1"/>
  <c r="H2202" i="1"/>
  <c r="I2202" i="1" a="1"/>
  <c r="I2202" i="1" s="1"/>
  <c r="D2203" i="1"/>
  <c r="F2203" i="1"/>
  <c r="H2203" i="1"/>
  <c r="I2203" i="1" a="1"/>
  <c r="I2203" i="1" s="1"/>
  <c r="D2204" i="1"/>
  <c r="F2204" i="1"/>
  <c r="H2204" i="1"/>
  <c r="I2204" i="1" a="1"/>
  <c r="I2204" i="1" s="1"/>
  <c r="D2205" i="1"/>
  <c r="F2205" i="1"/>
  <c r="H2205" i="1"/>
  <c r="I2205" i="1" a="1"/>
  <c r="I2205" i="1" s="1"/>
  <c r="D2206" i="1"/>
  <c r="F2206" i="1"/>
  <c r="H2206" i="1"/>
  <c r="I2206" i="1" a="1"/>
  <c r="I2206" i="1" s="1"/>
  <c r="D2207" i="1"/>
  <c r="F2207" i="1"/>
  <c r="H2207" i="1"/>
  <c r="I2207" i="1" a="1"/>
  <c r="I2207" i="1" s="1"/>
  <c r="D2208" i="1"/>
  <c r="F2208" i="1"/>
  <c r="H2208" i="1"/>
  <c r="I2208" i="1" a="1"/>
  <c r="I2208" i="1" s="1"/>
  <c r="D2209" i="1"/>
  <c r="F2209" i="1"/>
  <c r="H2209" i="1"/>
  <c r="I2209" i="1" a="1"/>
  <c r="I2209" i="1" s="1"/>
  <c r="D2210" i="1"/>
  <c r="F2210" i="1"/>
  <c r="H2210" i="1"/>
  <c r="I2210" i="1" a="1"/>
  <c r="I2210" i="1" s="1"/>
  <c r="D2211" i="1"/>
  <c r="F2211" i="1"/>
  <c r="H2211" i="1"/>
  <c r="I2211" i="1" a="1"/>
  <c r="I2211" i="1" s="1"/>
  <c r="D2212" i="1"/>
  <c r="F2212" i="1"/>
  <c r="H2212" i="1"/>
  <c r="I2212" i="1" a="1"/>
  <c r="I2212" i="1" s="1"/>
  <c r="D2213" i="1"/>
  <c r="F2213" i="1"/>
  <c r="H2213" i="1"/>
  <c r="I2213" i="1" a="1"/>
  <c r="I2213" i="1" s="1"/>
  <c r="D2214" i="1"/>
  <c r="F2214" i="1"/>
  <c r="H2214" i="1"/>
  <c r="I2214" i="1" a="1"/>
  <c r="I2214" i="1" s="1"/>
  <c r="D2215" i="1"/>
  <c r="F2215" i="1"/>
  <c r="H2215" i="1"/>
  <c r="I2215" i="1" a="1"/>
  <c r="I2215" i="1" s="1"/>
  <c r="D2216" i="1"/>
  <c r="F2216" i="1"/>
  <c r="H2216" i="1"/>
  <c r="I2216" i="1" a="1"/>
  <c r="I2216" i="1" s="1"/>
  <c r="D2217" i="1"/>
  <c r="F2217" i="1"/>
  <c r="H2217" i="1"/>
  <c r="I2217" i="1" a="1"/>
  <c r="I2217" i="1" s="1"/>
  <c r="D2218" i="1"/>
  <c r="F2218" i="1"/>
  <c r="H2218" i="1"/>
  <c r="I2218" i="1" a="1"/>
  <c r="I2218" i="1" s="1"/>
  <c r="D2219" i="1"/>
  <c r="F2219" i="1"/>
  <c r="H2219" i="1"/>
  <c r="I2219" i="1" a="1"/>
  <c r="I2219" i="1" s="1"/>
  <c r="D2220" i="1"/>
  <c r="F2220" i="1"/>
  <c r="H2220" i="1"/>
  <c r="I2220" i="1" a="1"/>
  <c r="I2220" i="1" s="1"/>
  <c r="D2221" i="1"/>
  <c r="F2221" i="1"/>
  <c r="H2221" i="1"/>
  <c r="I2221" i="1" a="1"/>
  <c r="I2221" i="1" s="1"/>
  <c r="D2222" i="1"/>
  <c r="F2222" i="1"/>
  <c r="H2222" i="1"/>
  <c r="I2222" i="1" a="1"/>
  <c r="I2222" i="1" s="1"/>
  <c r="D2223" i="1"/>
  <c r="F2223" i="1"/>
  <c r="H2223" i="1"/>
  <c r="I2223" i="1" a="1"/>
  <c r="I2223" i="1" s="1"/>
  <c r="D2224" i="1"/>
  <c r="F2224" i="1"/>
  <c r="H2224" i="1"/>
  <c r="I2224" i="1" a="1"/>
  <c r="I2224" i="1" s="1"/>
  <c r="D2225" i="1"/>
  <c r="F2225" i="1"/>
  <c r="H2225" i="1"/>
  <c r="I2225" i="1" a="1"/>
  <c r="I2225" i="1" s="1"/>
  <c r="D2226" i="1"/>
  <c r="F2226" i="1"/>
  <c r="H2226" i="1"/>
  <c r="I2226" i="1" a="1"/>
  <c r="I2226" i="1" s="1"/>
  <c r="D2227" i="1"/>
  <c r="F2227" i="1"/>
  <c r="H2227" i="1"/>
  <c r="I2227" i="1" a="1"/>
  <c r="I2227" i="1" s="1"/>
  <c r="D2228" i="1"/>
  <c r="F2228" i="1"/>
  <c r="H2228" i="1"/>
  <c r="I2228" i="1" a="1"/>
  <c r="I2228" i="1" s="1"/>
  <c r="D2229" i="1"/>
  <c r="F2229" i="1"/>
  <c r="H2229" i="1"/>
  <c r="I2229" i="1" a="1"/>
  <c r="I2229" i="1" s="1"/>
  <c r="D2230" i="1"/>
  <c r="F2230" i="1"/>
  <c r="H2230" i="1"/>
  <c r="I2230" i="1" a="1"/>
  <c r="I2230" i="1" s="1"/>
  <c r="D2231" i="1"/>
  <c r="F2231" i="1"/>
  <c r="H2231" i="1"/>
  <c r="I2231" i="1" a="1"/>
  <c r="I2231" i="1" s="1"/>
  <c r="D2232" i="1"/>
  <c r="F2232" i="1"/>
  <c r="H2232" i="1"/>
  <c r="I2232" i="1" a="1"/>
  <c r="I2232" i="1" s="1"/>
  <c r="D2233" i="1"/>
  <c r="F2233" i="1"/>
  <c r="H2233" i="1"/>
  <c r="I2233" i="1" a="1"/>
  <c r="I2233" i="1" s="1"/>
  <c r="D2234" i="1"/>
  <c r="F2234" i="1"/>
  <c r="H2234" i="1"/>
  <c r="I2234" i="1" a="1"/>
  <c r="I2234" i="1" s="1"/>
  <c r="D2235" i="1"/>
  <c r="F2235" i="1"/>
  <c r="H2235" i="1"/>
  <c r="I2235" i="1" a="1"/>
  <c r="I2235" i="1" s="1"/>
  <c r="D2236" i="1"/>
  <c r="F2236" i="1"/>
  <c r="H2236" i="1"/>
  <c r="I2236" i="1" a="1"/>
  <c r="I2236" i="1" s="1"/>
  <c r="D2237" i="1"/>
  <c r="F2237" i="1"/>
  <c r="H2237" i="1"/>
  <c r="I2237" i="1" a="1"/>
  <c r="I2237" i="1" s="1"/>
  <c r="D2238" i="1"/>
  <c r="F2238" i="1"/>
  <c r="H2238" i="1"/>
  <c r="I2238" i="1" a="1"/>
  <c r="I2238" i="1" s="1"/>
  <c r="D2239" i="1"/>
  <c r="F2239" i="1"/>
  <c r="H2239" i="1"/>
  <c r="I2239" i="1" a="1"/>
  <c r="I2239" i="1" s="1"/>
  <c r="D2240" i="1"/>
  <c r="F2240" i="1"/>
  <c r="H2240" i="1"/>
  <c r="I2240" i="1" a="1"/>
  <c r="I2240" i="1" s="1"/>
  <c r="D2241" i="1"/>
  <c r="F2241" i="1"/>
  <c r="H2241" i="1"/>
  <c r="I2241" i="1" a="1"/>
  <c r="I2241" i="1" s="1"/>
  <c r="D2242" i="1"/>
  <c r="F2242" i="1"/>
  <c r="H2242" i="1"/>
  <c r="I2242" i="1" a="1"/>
  <c r="I2242" i="1" s="1"/>
  <c r="D2243" i="1"/>
  <c r="F2243" i="1"/>
  <c r="H2243" i="1"/>
  <c r="I2243" i="1" a="1"/>
  <c r="I2243" i="1" s="1"/>
  <c r="D2244" i="1"/>
  <c r="F2244" i="1"/>
  <c r="H2244" i="1"/>
  <c r="I2244" i="1" a="1"/>
  <c r="I2244" i="1" s="1"/>
  <c r="D2245" i="1"/>
  <c r="F2245" i="1"/>
  <c r="H2245" i="1"/>
  <c r="I2245" i="1" a="1"/>
  <c r="I2245" i="1" s="1"/>
  <c r="D2246" i="1"/>
  <c r="F2246" i="1"/>
  <c r="H2246" i="1"/>
  <c r="I2246" i="1" a="1"/>
  <c r="I2246" i="1" s="1"/>
  <c r="D2247" i="1"/>
  <c r="F2247" i="1"/>
  <c r="H2247" i="1"/>
  <c r="I2247" i="1" a="1"/>
  <c r="I2247" i="1" s="1"/>
  <c r="D2248" i="1"/>
  <c r="F2248" i="1"/>
  <c r="H2248" i="1"/>
  <c r="I2248" i="1" a="1"/>
  <c r="I2248" i="1" s="1"/>
  <c r="D2249" i="1"/>
  <c r="F2249" i="1"/>
  <c r="H2249" i="1"/>
  <c r="I2249" i="1" a="1"/>
  <c r="I2249" i="1" s="1"/>
  <c r="D2250" i="1"/>
  <c r="F2250" i="1"/>
  <c r="H2250" i="1"/>
  <c r="I2250" i="1" a="1"/>
  <c r="I2250" i="1" s="1"/>
  <c r="D2251" i="1"/>
  <c r="F2251" i="1"/>
  <c r="H2251" i="1"/>
  <c r="I2251" i="1" a="1"/>
  <c r="I2251" i="1" s="1"/>
  <c r="D2252" i="1"/>
  <c r="F2252" i="1"/>
  <c r="H2252" i="1"/>
  <c r="I2252" i="1" a="1"/>
  <c r="I2252" i="1" s="1"/>
  <c r="D2253" i="1"/>
  <c r="F2253" i="1"/>
  <c r="H2253" i="1"/>
  <c r="I2253" i="1" a="1"/>
  <c r="I2253" i="1" s="1"/>
  <c r="D2254" i="1"/>
  <c r="F2254" i="1"/>
  <c r="H2254" i="1"/>
  <c r="I2254" i="1" a="1"/>
  <c r="I2254" i="1" s="1"/>
  <c r="D2255" i="1"/>
  <c r="F2255" i="1"/>
  <c r="H2255" i="1"/>
  <c r="I2255" i="1" a="1"/>
  <c r="I2255" i="1" s="1"/>
  <c r="D2256" i="1"/>
  <c r="F2256" i="1"/>
  <c r="H2256" i="1"/>
  <c r="I2256" i="1" a="1"/>
  <c r="I2256" i="1" s="1"/>
  <c r="D2257" i="1"/>
  <c r="F2257" i="1"/>
  <c r="H2257" i="1"/>
  <c r="I2257" i="1" a="1"/>
  <c r="I2257" i="1" s="1"/>
  <c r="D2258" i="1"/>
  <c r="F2258" i="1"/>
  <c r="H2258" i="1"/>
  <c r="I2258" i="1" a="1"/>
  <c r="I2258" i="1" s="1"/>
  <c r="D2259" i="1"/>
  <c r="F2259" i="1"/>
  <c r="H2259" i="1"/>
  <c r="I2259" i="1" a="1"/>
  <c r="I2259" i="1" s="1"/>
  <c r="D2260" i="1"/>
  <c r="F2260" i="1"/>
  <c r="H2260" i="1"/>
  <c r="I2260" i="1" a="1"/>
  <c r="I2260" i="1" s="1"/>
  <c r="D2261" i="1"/>
  <c r="F2261" i="1"/>
  <c r="H2261" i="1"/>
  <c r="I2261" i="1" a="1"/>
  <c r="I2261" i="1" s="1"/>
  <c r="D2262" i="1"/>
  <c r="F2262" i="1"/>
  <c r="H2262" i="1"/>
  <c r="I2262" i="1" a="1"/>
  <c r="I2262" i="1" s="1"/>
  <c r="D2263" i="1"/>
  <c r="F2263" i="1"/>
  <c r="H2263" i="1"/>
  <c r="I2263" i="1" a="1"/>
  <c r="I2263" i="1" s="1"/>
  <c r="D2264" i="1"/>
  <c r="F2264" i="1"/>
  <c r="H2264" i="1"/>
  <c r="I2264" i="1" a="1"/>
  <c r="I2264" i="1" s="1"/>
  <c r="D2265" i="1"/>
  <c r="F2265" i="1"/>
  <c r="H2265" i="1"/>
  <c r="I2265" i="1" a="1"/>
  <c r="I2265" i="1" s="1"/>
  <c r="D2266" i="1"/>
  <c r="F2266" i="1"/>
  <c r="H2266" i="1"/>
  <c r="I2266" i="1" a="1"/>
  <c r="I2266" i="1" s="1"/>
  <c r="D2267" i="1"/>
  <c r="F2267" i="1"/>
  <c r="H2267" i="1"/>
  <c r="I2267" i="1" a="1"/>
  <c r="I2267" i="1" s="1"/>
  <c r="D2268" i="1"/>
  <c r="F2268" i="1"/>
  <c r="H2268" i="1"/>
  <c r="I2268" i="1" a="1"/>
  <c r="I2268" i="1" s="1"/>
  <c r="D2269" i="1"/>
  <c r="F2269" i="1"/>
  <c r="H2269" i="1"/>
  <c r="I2269" i="1" a="1"/>
  <c r="I2269" i="1" s="1"/>
  <c r="D2270" i="1"/>
  <c r="F2270" i="1"/>
  <c r="H2270" i="1"/>
  <c r="I2270" i="1" a="1"/>
  <c r="I2270" i="1" s="1"/>
  <c r="D2271" i="1"/>
  <c r="F2271" i="1"/>
  <c r="H2271" i="1"/>
  <c r="I2271" i="1" a="1"/>
  <c r="I2271" i="1" s="1"/>
  <c r="D2272" i="1"/>
  <c r="F2272" i="1"/>
  <c r="H2272" i="1"/>
  <c r="I2272" i="1" a="1"/>
  <c r="I2272" i="1" s="1"/>
  <c r="D2273" i="1"/>
  <c r="F2273" i="1"/>
  <c r="H2273" i="1"/>
  <c r="I2273" i="1" a="1"/>
  <c r="I2273" i="1" s="1"/>
  <c r="D2274" i="1"/>
  <c r="F2274" i="1"/>
  <c r="H2274" i="1"/>
  <c r="I2274" i="1" a="1"/>
  <c r="I2274" i="1" s="1"/>
  <c r="D2275" i="1"/>
  <c r="F2275" i="1"/>
  <c r="H2275" i="1"/>
  <c r="I2275" i="1" a="1"/>
  <c r="I2275" i="1" s="1"/>
  <c r="D2276" i="1"/>
  <c r="F2276" i="1"/>
  <c r="H2276" i="1"/>
  <c r="I2276" i="1" a="1"/>
  <c r="I2276" i="1" s="1"/>
  <c r="D2277" i="1"/>
  <c r="F2277" i="1"/>
  <c r="H2277" i="1"/>
  <c r="I2277" i="1" a="1"/>
  <c r="I2277" i="1" s="1"/>
  <c r="D2278" i="1"/>
  <c r="F2278" i="1"/>
  <c r="H2278" i="1"/>
  <c r="I2278" i="1" a="1"/>
  <c r="I2278" i="1" s="1"/>
  <c r="D2279" i="1"/>
  <c r="F2279" i="1"/>
  <c r="H2279" i="1"/>
  <c r="I2279" i="1" a="1"/>
  <c r="I2279" i="1" s="1"/>
  <c r="D2280" i="1"/>
  <c r="F2280" i="1"/>
  <c r="H2280" i="1"/>
  <c r="I2280" i="1" a="1"/>
  <c r="I2280" i="1" s="1"/>
  <c r="D2281" i="1"/>
  <c r="F2281" i="1"/>
  <c r="H2281" i="1"/>
  <c r="I2281" i="1" a="1"/>
  <c r="I2281" i="1" s="1"/>
  <c r="D2282" i="1"/>
  <c r="F2282" i="1"/>
  <c r="H2282" i="1"/>
  <c r="I2282" i="1" a="1"/>
  <c r="I2282" i="1" s="1"/>
  <c r="D2283" i="1"/>
  <c r="F2283" i="1"/>
  <c r="H2283" i="1"/>
  <c r="I2283" i="1" a="1"/>
  <c r="I2283" i="1" s="1"/>
  <c r="D2284" i="1"/>
  <c r="F2284" i="1"/>
  <c r="H2284" i="1"/>
  <c r="I2284" i="1" a="1"/>
  <c r="I2284" i="1" s="1"/>
  <c r="D2285" i="1"/>
  <c r="F2285" i="1"/>
  <c r="H2285" i="1"/>
  <c r="I2285" i="1" a="1"/>
  <c r="I2285" i="1" s="1"/>
  <c r="D2286" i="1"/>
  <c r="F2286" i="1"/>
  <c r="H2286" i="1"/>
  <c r="I2286" i="1" a="1"/>
  <c r="I2286" i="1" s="1"/>
  <c r="D2287" i="1"/>
  <c r="F2287" i="1"/>
  <c r="H2287" i="1"/>
  <c r="I2287" i="1" a="1"/>
  <c r="I2287" i="1" s="1"/>
  <c r="D2288" i="1"/>
  <c r="F2288" i="1"/>
  <c r="H2288" i="1"/>
  <c r="I2288" i="1" a="1"/>
  <c r="I2288" i="1" s="1"/>
  <c r="D2289" i="1"/>
  <c r="F2289" i="1"/>
  <c r="H2289" i="1"/>
  <c r="I2289" i="1" a="1"/>
  <c r="I2289" i="1" s="1"/>
  <c r="D2290" i="1"/>
  <c r="F2290" i="1"/>
  <c r="H2290" i="1"/>
  <c r="I2290" i="1" a="1"/>
  <c r="I2290" i="1" s="1"/>
  <c r="D2291" i="1"/>
  <c r="F2291" i="1"/>
  <c r="H2291" i="1"/>
  <c r="I2291" i="1" a="1"/>
  <c r="I2291" i="1" s="1"/>
  <c r="D2292" i="1"/>
  <c r="F2292" i="1"/>
  <c r="H2292" i="1"/>
  <c r="I2292" i="1" a="1"/>
  <c r="I2292" i="1" s="1"/>
  <c r="D2293" i="1"/>
  <c r="F2293" i="1"/>
  <c r="H2293" i="1"/>
  <c r="I2293" i="1" a="1"/>
  <c r="I2293" i="1" s="1"/>
  <c r="D2294" i="1"/>
  <c r="F2294" i="1"/>
  <c r="H2294" i="1"/>
  <c r="I2294" i="1" a="1"/>
  <c r="I2294" i="1" s="1"/>
  <c r="D2295" i="1"/>
  <c r="F2295" i="1"/>
  <c r="H2295" i="1"/>
  <c r="I2295" i="1" a="1"/>
  <c r="I2295" i="1" s="1"/>
  <c r="D2296" i="1"/>
  <c r="F2296" i="1"/>
  <c r="H2296" i="1"/>
  <c r="I2296" i="1" a="1"/>
  <c r="I2296" i="1" s="1"/>
  <c r="D2297" i="1"/>
  <c r="F2297" i="1"/>
  <c r="H2297" i="1"/>
  <c r="I2297" i="1" a="1"/>
  <c r="I2297" i="1" s="1"/>
  <c r="D2298" i="1"/>
  <c r="F2298" i="1"/>
  <c r="H2298" i="1"/>
  <c r="I2298" i="1" a="1"/>
  <c r="I2298" i="1" s="1"/>
  <c r="D2299" i="1"/>
  <c r="F2299" i="1"/>
  <c r="H2299" i="1"/>
  <c r="I2299" i="1" a="1"/>
  <c r="I2299" i="1" s="1"/>
  <c r="D2300" i="1"/>
  <c r="F2300" i="1"/>
  <c r="H2300" i="1"/>
  <c r="I2300" i="1" a="1"/>
  <c r="I2300" i="1" s="1"/>
  <c r="D2301" i="1"/>
  <c r="F2301" i="1"/>
  <c r="H2301" i="1"/>
  <c r="I2301" i="1" a="1"/>
  <c r="I2301" i="1" s="1"/>
  <c r="D2302" i="1"/>
  <c r="F2302" i="1"/>
  <c r="H2302" i="1"/>
  <c r="I2302" i="1" a="1"/>
  <c r="I2302" i="1" s="1"/>
  <c r="D2303" i="1"/>
  <c r="F2303" i="1"/>
  <c r="H2303" i="1"/>
  <c r="I2303" i="1" a="1"/>
  <c r="I2303" i="1" s="1"/>
  <c r="D2304" i="1"/>
  <c r="F2304" i="1"/>
  <c r="H2304" i="1"/>
  <c r="I2304" i="1" a="1"/>
  <c r="I2304" i="1" s="1"/>
  <c r="D2305" i="1"/>
  <c r="F2305" i="1"/>
  <c r="H2305" i="1"/>
  <c r="I2305" i="1" a="1"/>
  <c r="I2305" i="1" s="1"/>
  <c r="D2306" i="1"/>
  <c r="F2306" i="1"/>
  <c r="H2306" i="1"/>
  <c r="I2306" i="1" a="1"/>
  <c r="I2306" i="1" s="1"/>
  <c r="D2307" i="1"/>
  <c r="F2307" i="1"/>
  <c r="H2307" i="1"/>
  <c r="I2307" i="1" a="1"/>
  <c r="I2307" i="1" s="1"/>
  <c r="D2308" i="1"/>
  <c r="F2308" i="1"/>
  <c r="H2308" i="1"/>
  <c r="I2308" i="1" a="1"/>
  <c r="I2308" i="1" s="1"/>
  <c r="D2309" i="1"/>
  <c r="F2309" i="1"/>
  <c r="H2309" i="1"/>
  <c r="I2309" i="1" a="1"/>
  <c r="I2309" i="1" s="1"/>
  <c r="D2310" i="1"/>
  <c r="F2310" i="1"/>
  <c r="H2310" i="1"/>
  <c r="I2310" i="1" a="1"/>
  <c r="I2310" i="1" s="1"/>
  <c r="D2311" i="1"/>
  <c r="F2311" i="1"/>
  <c r="H2311" i="1"/>
  <c r="I2311" i="1" a="1"/>
  <c r="I2311" i="1" s="1"/>
  <c r="D2312" i="1"/>
  <c r="F2312" i="1"/>
  <c r="H2312" i="1"/>
  <c r="I2312" i="1" a="1"/>
  <c r="I2312" i="1" s="1"/>
  <c r="D2313" i="1"/>
  <c r="F2313" i="1"/>
  <c r="H2313" i="1"/>
  <c r="I2313" i="1" a="1"/>
  <c r="I2313" i="1" s="1"/>
  <c r="D2314" i="1"/>
  <c r="F2314" i="1"/>
  <c r="H2314" i="1"/>
  <c r="I2314" i="1" a="1"/>
  <c r="I2314" i="1" s="1"/>
  <c r="D2315" i="1"/>
  <c r="F2315" i="1"/>
  <c r="H2315" i="1"/>
  <c r="I2315" i="1" a="1"/>
  <c r="I2315" i="1" s="1"/>
  <c r="D2316" i="1"/>
  <c r="F2316" i="1"/>
  <c r="H2316" i="1"/>
  <c r="I2316" i="1" a="1"/>
  <c r="I2316" i="1" s="1"/>
  <c r="D2317" i="1"/>
  <c r="F2317" i="1"/>
  <c r="H2317" i="1"/>
  <c r="I2317" i="1" a="1"/>
  <c r="I2317" i="1" s="1"/>
  <c r="D2318" i="1"/>
  <c r="F2318" i="1"/>
  <c r="H2318" i="1"/>
  <c r="I2318" i="1" a="1"/>
  <c r="I2318" i="1" s="1"/>
  <c r="D2319" i="1"/>
  <c r="F2319" i="1"/>
  <c r="H2319" i="1"/>
  <c r="I2319" i="1" a="1"/>
  <c r="I2319" i="1" s="1"/>
  <c r="D2320" i="1"/>
  <c r="F2320" i="1"/>
  <c r="H2320" i="1"/>
  <c r="I2320" i="1" a="1"/>
  <c r="I2320" i="1" s="1"/>
  <c r="D2321" i="1"/>
  <c r="F2321" i="1"/>
  <c r="H2321" i="1"/>
  <c r="I2321" i="1" a="1"/>
  <c r="I2321" i="1" s="1"/>
  <c r="D2322" i="1"/>
  <c r="F2322" i="1"/>
  <c r="H2322" i="1"/>
  <c r="I2322" i="1" a="1"/>
  <c r="I2322" i="1" s="1"/>
  <c r="D2323" i="1"/>
  <c r="F2323" i="1"/>
  <c r="H2323" i="1"/>
  <c r="I2323" i="1" a="1"/>
  <c r="I2323" i="1" s="1"/>
  <c r="D2324" i="1"/>
  <c r="F2324" i="1"/>
  <c r="H2324" i="1"/>
  <c r="I2324" i="1" a="1"/>
  <c r="I2324" i="1" s="1"/>
  <c r="D2325" i="1"/>
  <c r="F2325" i="1"/>
  <c r="H2325" i="1"/>
  <c r="I2325" i="1" a="1"/>
  <c r="I2325" i="1" s="1"/>
  <c r="D2326" i="1"/>
  <c r="F2326" i="1"/>
  <c r="H2326" i="1"/>
  <c r="I2326" i="1" a="1"/>
  <c r="I2326" i="1" s="1"/>
  <c r="D2327" i="1"/>
  <c r="F2327" i="1"/>
  <c r="H2327" i="1"/>
  <c r="I2327" i="1" a="1"/>
  <c r="I2327" i="1" s="1"/>
  <c r="D2328" i="1"/>
  <c r="F2328" i="1"/>
  <c r="H2328" i="1"/>
  <c r="I2328" i="1" a="1"/>
  <c r="I2328" i="1" s="1"/>
  <c r="D2329" i="1"/>
  <c r="F2329" i="1"/>
  <c r="H2329" i="1"/>
  <c r="I2329" i="1" a="1"/>
  <c r="I2329" i="1" s="1"/>
  <c r="D2330" i="1"/>
  <c r="F2330" i="1"/>
  <c r="H2330" i="1"/>
  <c r="I2330" i="1" a="1"/>
  <c r="I2330" i="1" s="1"/>
  <c r="D2331" i="1"/>
  <c r="F2331" i="1"/>
  <c r="H2331" i="1"/>
  <c r="I2331" i="1" a="1"/>
  <c r="I2331" i="1" s="1"/>
  <c r="D2332" i="1"/>
  <c r="F2332" i="1"/>
  <c r="H2332" i="1"/>
  <c r="I2332" i="1" a="1"/>
  <c r="I2332" i="1" s="1"/>
  <c r="D2333" i="1"/>
  <c r="F2333" i="1"/>
  <c r="H2333" i="1"/>
  <c r="I2333" i="1" a="1"/>
  <c r="I2333" i="1" s="1"/>
  <c r="D2334" i="1"/>
  <c r="F2334" i="1"/>
  <c r="H2334" i="1"/>
  <c r="I2334" i="1" a="1"/>
  <c r="I2334" i="1" s="1"/>
  <c r="D2335" i="1"/>
  <c r="F2335" i="1"/>
  <c r="H2335" i="1"/>
  <c r="I2335" i="1" a="1"/>
  <c r="I2335" i="1" s="1"/>
  <c r="D2336" i="1"/>
  <c r="F2336" i="1"/>
  <c r="H2336" i="1"/>
  <c r="I2336" i="1" a="1"/>
  <c r="I2336" i="1" s="1"/>
  <c r="D2337" i="1"/>
  <c r="F2337" i="1"/>
  <c r="H2337" i="1"/>
  <c r="I2337" i="1" a="1"/>
  <c r="I2337" i="1" s="1"/>
  <c r="D2338" i="1"/>
  <c r="F2338" i="1"/>
  <c r="H2338" i="1"/>
  <c r="I2338" i="1" a="1"/>
  <c r="I2338" i="1" s="1"/>
  <c r="D2339" i="1"/>
  <c r="F2339" i="1"/>
  <c r="H2339" i="1"/>
  <c r="I2339" i="1" a="1"/>
  <c r="I2339" i="1" s="1"/>
  <c r="D2340" i="1"/>
  <c r="F2340" i="1"/>
  <c r="H2340" i="1"/>
  <c r="I2340" i="1" a="1"/>
  <c r="I2340" i="1" s="1"/>
  <c r="D2341" i="1"/>
  <c r="F2341" i="1"/>
  <c r="H2341" i="1"/>
  <c r="I2341" i="1" a="1"/>
  <c r="I2341" i="1" s="1"/>
  <c r="D2342" i="1"/>
  <c r="F2342" i="1"/>
  <c r="H2342" i="1"/>
  <c r="I2342" i="1" a="1"/>
  <c r="I2342" i="1" s="1"/>
  <c r="D2343" i="1"/>
  <c r="F2343" i="1"/>
  <c r="H2343" i="1"/>
  <c r="I2343" i="1" a="1"/>
  <c r="I2343" i="1" s="1"/>
  <c r="D2344" i="1"/>
  <c r="F2344" i="1"/>
  <c r="H2344" i="1"/>
  <c r="I2344" i="1" a="1"/>
  <c r="I2344" i="1" s="1"/>
  <c r="D2345" i="1"/>
  <c r="F2345" i="1"/>
  <c r="H2345" i="1"/>
  <c r="I2345" i="1" a="1"/>
  <c r="I2345" i="1" s="1"/>
  <c r="D2346" i="1"/>
  <c r="F2346" i="1"/>
  <c r="H2346" i="1"/>
  <c r="I2346" i="1" a="1"/>
  <c r="I2346" i="1" s="1"/>
  <c r="D2347" i="1"/>
  <c r="F2347" i="1"/>
  <c r="H2347" i="1"/>
  <c r="I2347" i="1" a="1"/>
  <c r="I2347" i="1" s="1"/>
  <c r="D2348" i="1"/>
  <c r="F2348" i="1"/>
  <c r="H2348" i="1"/>
  <c r="I2348" i="1" a="1"/>
  <c r="I2348" i="1" s="1"/>
  <c r="D2349" i="1"/>
  <c r="F2349" i="1"/>
  <c r="H2349" i="1"/>
  <c r="I2349" i="1" a="1"/>
  <c r="I2349" i="1" s="1"/>
  <c r="D2350" i="1"/>
  <c r="F2350" i="1"/>
  <c r="H2350" i="1"/>
  <c r="I2350" i="1" a="1"/>
  <c r="I2350" i="1" s="1"/>
  <c r="D2351" i="1"/>
  <c r="F2351" i="1"/>
  <c r="H2351" i="1"/>
  <c r="I2351" i="1" a="1"/>
  <c r="I2351" i="1" s="1"/>
  <c r="D2352" i="1"/>
  <c r="F2352" i="1"/>
  <c r="H2352" i="1"/>
  <c r="I2352" i="1" a="1"/>
  <c r="I2352" i="1" s="1"/>
  <c r="D2353" i="1"/>
  <c r="F2353" i="1"/>
  <c r="H2353" i="1"/>
  <c r="I2353" i="1" a="1"/>
  <c r="I2353" i="1" s="1"/>
  <c r="D2354" i="1"/>
  <c r="F2354" i="1"/>
  <c r="H2354" i="1"/>
  <c r="I2354" i="1" a="1"/>
  <c r="I2354" i="1" s="1"/>
  <c r="D2355" i="1"/>
  <c r="F2355" i="1"/>
  <c r="H2355" i="1"/>
  <c r="I2355" i="1" a="1"/>
  <c r="I2355" i="1" s="1"/>
  <c r="D2356" i="1"/>
  <c r="F2356" i="1"/>
  <c r="H2356" i="1"/>
  <c r="I2356" i="1" a="1"/>
  <c r="I2356" i="1" s="1"/>
  <c r="D2357" i="1"/>
  <c r="F2357" i="1"/>
  <c r="H2357" i="1"/>
  <c r="I2357" i="1" a="1"/>
  <c r="I2357" i="1" s="1"/>
  <c r="D2358" i="1"/>
  <c r="F2358" i="1"/>
  <c r="H2358" i="1"/>
  <c r="I2358" i="1" a="1"/>
  <c r="I2358" i="1" s="1"/>
  <c r="D2359" i="1"/>
  <c r="F2359" i="1"/>
  <c r="H2359" i="1"/>
  <c r="I2359" i="1" a="1"/>
  <c r="I2359" i="1" s="1"/>
  <c r="D2360" i="1"/>
  <c r="F2360" i="1"/>
  <c r="H2360" i="1"/>
  <c r="I2360" i="1" a="1"/>
  <c r="I2360" i="1" s="1"/>
  <c r="D2361" i="1"/>
  <c r="F2361" i="1"/>
  <c r="H2361" i="1"/>
  <c r="I2361" i="1" a="1"/>
  <c r="I2361" i="1" s="1"/>
  <c r="D2362" i="1"/>
  <c r="F2362" i="1"/>
  <c r="H2362" i="1"/>
  <c r="I2362" i="1" a="1"/>
  <c r="I2362" i="1" s="1"/>
  <c r="D2363" i="1"/>
  <c r="F2363" i="1"/>
  <c r="H2363" i="1"/>
  <c r="I2363" i="1" a="1"/>
  <c r="I2363" i="1" s="1"/>
  <c r="D2364" i="1"/>
  <c r="F2364" i="1"/>
  <c r="H2364" i="1"/>
  <c r="I2364" i="1" a="1"/>
  <c r="I2364" i="1" s="1"/>
  <c r="D2365" i="1"/>
  <c r="F2365" i="1"/>
  <c r="H2365" i="1"/>
  <c r="I2365" i="1" a="1"/>
  <c r="I2365" i="1" s="1"/>
  <c r="D2366" i="1"/>
  <c r="F2366" i="1"/>
  <c r="H2366" i="1"/>
  <c r="I2366" i="1" a="1"/>
  <c r="I2366" i="1" s="1"/>
  <c r="D2367" i="1"/>
  <c r="F2367" i="1"/>
  <c r="H2367" i="1"/>
  <c r="I2367" i="1" a="1"/>
  <c r="I2367" i="1" s="1"/>
  <c r="D2368" i="1"/>
  <c r="F2368" i="1"/>
  <c r="H2368" i="1"/>
  <c r="I2368" i="1" a="1"/>
  <c r="I2368" i="1" s="1"/>
  <c r="D2369" i="1"/>
  <c r="F2369" i="1"/>
  <c r="H2369" i="1"/>
  <c r="I2369" i="1" a="1"/>
  <c r="I2369" i="1" s="1"/>
  <c r="D2370" i="1"/>
  <c r="F2370" i="1"/>
  <c r="H2370" i="1"/>
  <c r="I2370" i="1" a="1"/>
  <c r="I2370" i="1" s="1"/>
  <c r="D2371" i="1"/>
  <c r="F2371" i="1"/>
  <c r="H2371" i="1"/>
  <c r="I2371" i="1" a="1"/>
  <c r="I2371" i="1" s="1"/>
  <c r="D2372" i="1"/>
  <c r="F2372" i="1"/>
  <c r="H2372" i="1"/>
  <c r="I2372" i="1" a="1"/>
  <c r="I2372" i="1" s="1"/>
  <c r="D2373" i="1"/>
  <c r="F2373" i="1"/>
  <c r="H2373" i="1"/>
  <c r="I2373" i="1" a="1"/>
  <c r="I2373" i="1" s="1"/>
  <c r="D2374" i="1"/>
  <c r="F2374" i="1"/>
  <c r="H2374" i="1"/>
  <c r="I2374" i="1" a="1"/>
  <c r="I2374" i="1" s="1"/>
  <c r="D2375" i="1"/>
  <c r="F2375" i="1"/>
  <c r="H2375" i="1"/>
  <c r="I2375" i="1" a="1"/>
  <c r="I2375" i="1" s="1"/>
  <c r="D2376" i="1"/>
  <c r="F2376" i="1"/>
  <c r="H2376" i="1"/>
  <c r="I2376" i="1" a="1"/>
  <c r="I2376" i="1" s="1"/>
  <c r="D2377" i="1"/>
  <c r="F2377" i="1"/>
  <c r="H2377" i="1"/>
  <c r="I2377" i="1" a="1"/>
  <c r="I2377" i="1" s="1"/>
  <c r="D2378" i="1"/>
  <c r="F2378" i="1"/>
  <c r="H2378" i="1"/>
  <c r="I2378" i="1" a="1"/>
  <c r="I2378" i="1" s="1"/>
  <c r="D2379" i="1"/>
  <c r="F2379" i="1"/>
  <c r="H2379" i="1"/>
  <c r="I2379" i="1" a="1"/>
  <c r="I2379" i="1" s="1"/>
  <c r="D2380" i="1"/>
  <c r="F2380" i="1"/>
  <c r="H2380" i="1"/>
  <c r="I2380" i="1" a="1"/>
  <c r="I2380" i="1" s="1"/>
  <c r="D2381" i="1"/>
  <c r="F2381" i="1"/>
  <c r="H2381" i="1"/>
  <c r="I2381" i="1" a="1"/>
  <c r="I2381" i="1" s="1"/>
  <c r="D2382" i="1"/>
  <c r="F2382" i="1"/>
  <c r="H2382" i="1"/>
  <c r="I2382" i="1" a="1"/>
  <c r="I2382" i="1" s="1"/>
  <c r="D2383" i="1"/>
  <c r="F2383" i="1"/>
  <c r="H2383" i="1"/>
  <c r="I2383" i="1" a="1"/>
  <c r="I2383" i="1" s="1"/>
  <c r="D2384" i="1"/>
  <c r="F2384" i="1"/>
  <c r="H2384" i="1"/>
  <c r="I2384" i="1" a="1"/>
  <c r="I2384" i="1" s="1"/>
  <c r="D2385" i="1"/>
  <c r="F2385" i="1"/>
  <c r="H2385" i="1"/>
  <c r="I2385" i="1" a="1"/>
  <c r="I2385" i="1" s="1"/>
  <c r="D2386" i="1"/>
  <c r="F2386" i="1"/>
  <c r="H2386" i="1"/>
  <c r="I2386" i="1" a="1"/>
  <c r="I2386" i="1" s="1"/>
  <c r="D2387" i="1"/>
  <c r="F2387" i="1"/>
  <c r="H2387" i="1"/>
  <c r="I2387" i="1" a="1"/>
  <c r="I2387" i="1" s="1"/>
  <c r="D2388" i="1"/>
  <c r="F2388" i="1"/>
  <c r="H2388" i="1"/>
  <c r="I2388" i="1" a="1"/>
  <c r="I2388" i="1" s="1"/>
  <c r="D2389" i="1"/>
  <c r="F2389" i="1"/>
  <c r="H2389" i="1"/>
  <c r="I2389" i="1" a="1"/>
  <c r="I2389" i="1" s="1"/>
  <c r="D2390" i="1"/>
  <c r="F2390" i="1"/>
  <c r="H2390" i="1"/>
  <c r="I2390" i="1" a="1"/>
  <c r="I2390" i="1" s="1"/>
  <c r="D2391" i="1"/>
  <c r="F2391" i="1"/>
  <c r="H2391" i="1"/>
  <c r="I2391" i="1" a="1"/>
  <c r="I2391" i="1" s="1"/>
  <c r="D2392" i="1"/>
  <c r="F2392" i="1"/>
  <c r="H2392" i="1"/>
  <c r="I2392" i="1" a="1"/>
  <c r="I2392" i="1" s="1"/>
  <c r="D2393" i="1"/>
  <c r="F2393" i="1"/>
  <c r="H2393" i="1"/>
  <c r="I2393" i="1" a="1"/>
  <c r="I2393" i="1" s="1"/>
  <c r="D2394" i="1"/>
  <c r="F2394" i="1"/>
  <c r="H2394" i="1"/>
  <c r="I2394" i="1" a="1"/>
  <c r="I2394" i="1" s="1"/>
  <c r="D2395" i="1"/>
  <c r="F2395" i="1"/>
  <c r="H2395" i="1"/>
  <c r="I2395" i="1" a="1"/>
  <c r="I2395" i="1" s="1"/>
  <c r="D2396" i="1"/>
  <c r="F2396" i="1"/>
  <c r="H2396" i="1"/>
  <c r="I2396" i="1" a="1"/>
  <c r="I2396" i="1" s="1"/>
  <c r="D2397" i="1"/>
  <c r="F2397" i="1"/>
  <c r="H2397" i="1"/>
  <c r="I2397" i="1" a="1"/>
  <c r="I2397" i="1" s="1"/>
  <c r="D2398" i="1"/>
  <c r="F2398" i="1"/>
  <c r="H2398" i="1"/>
  <c r="I2398" i="1" a="1"/>
  <c r="I2398" i="1" s="1"/>
  <c r="D2399" i="1"/>
  <c r="F2399" i="1"/>
  <c r="H2399" i="1"/>
  <c r="I2399" i="1" a="1"/>
  <c r="I2399" i="1" s="1"/>
  <c r="D2400" i="1"/>
  <c r="F2400" i="1"/>
  <c r="H2400" i="1"/>
  <c r="I2400" i="1" a="1"/>
  <c r="I2400" i="1" s="1"/>
  <c r="D2401" i="1"/>
  <c r="F2401" i="1"/>
  <c r="H2401" i="1"/>
  <c r="I2401" i="1" a="1"/>
  <c r="I2401" i="1" s="1"/>
  <c r="D2402" i="1"/>
  <c r="F2402" i="1"/>
  <c r="H2402" i="1"/>
  <c r="I2402" i="1" a="1"/>
  <c r="I2402" i="1" s="1"/>
  <c r="D2403" i="1"/>
  <c r="F2403" i="1"/>
  <c r="H2403" i="1"/>
  <c r="I2403" i="1" a="1"/>
  <c r="I2403" i="1" s="1"/>
  <c r="D2404" i="1"/>
  <c r="F2404" i="1"/>
  <c r="H2404" i="1"/>
  <c r="I2404" i="1" a="1"/>
  <c r="I2404" i="1" s="1"/>
  <c r="D2405" i="1"/>
  <c r="F2405" i="1"/>
  <c r="H2405" i="1"/>
  <c r="I2405" i="1" a="1"/>
  <c r="I2405" i="1" s="1"/>
  <c r="D2406" i="1"/>
  <c r="F2406" i="1"/>
  <c r="H2406" i="1"/>
  <c r="I2406" i="1" a="1"/>
  <c r="I2406" i="1" s="1"/>
  <c r="D2407" i="1"/>
  <c r="F2407" i="1"/>
  <c r="H2407" i="1"/>
  <c r="I2407" i="1" a="1"/>
  <c r="I2407" i="1" s="1"/>
  <c r="D2408" i="1"/>
  <c r="F2408" i="1"/>
  <c r="H2408" i="1"/>
  <c r="I2408" i="1" a="1"/>
  <c r="I2408" i="1" s="1"/>
  <c r="D2409" i="1"/>
  <c r="F2409" i="1"/>
  <c r="H2409" i="1"/>
  <c r="I2409" i="1" a="1"/>
  <c r="I2409" i="1" s="1"/>
  <c r="D2410" i="1"/>
  <c r="F2410" i="1"/>
  <c r="H2410" i="1"/>
  <c r="I2410" i="1" a="1"/>
  <c r="I2410" i="1" s="1"/>
  <c r="D2411" i="1"/>
  <c r="F2411" i="1"/>
  <c r="H2411" i="1"/>
  <c r="I2411" i="1" a="1"/>
  <c r="I2411" i="1" s="1"/>
  <c r="D2412" i="1"/>
  <c r="F2412" i="1"/>
  <c r="H2412" i="1"/>
  <c r="I2412" i="1" a="1"/>
  <c r="I2412" i="1" s="1"/>
  <c r="D2413" i="1"/>
  <c r="F2413" i="1"/>
  <c r="H2413" i="1"/>
  <c r="I2413" i="1" a="1"/>
  <c r="I2413" i="1" s="1"/>
  <c r="D2414" i="1"/>
  <c r="F2414" i="1"/>
  <c r="H2414" i="1"/>
  <c r="I2414" i="1" a="1"/>
  <c r="I2414" i="1" s="1"/>
  <c r="D2415" i="1"/>
  <c r="F2415" i="1"/>
  <c r="H2415" i="1"/>
  <c r="I2415" i="1" a="1"/>
  <c r="I2415" i="1" s="1"/>
  <c r="D2416" i="1"/>
  <c r="F2416" i="1"/>
  <c r="H2416" i="1"/>
  <c r="I2416" i="1" a="1"/>
  <c r="I2416" i="1" s="1"/>
  <c r="D2417" i="1"/>
  <c r="F2417" i="1"/>
  <c r="H2417" i="1"/>
  <c r="I2417" i="1" a="1"/>
  <c r="I2417" i="1" s="1"/>
  <c r="D2418" i="1"/>
  <c r="F2418" i="1"/>
  <c r="H2418" i="1"/>
  <c r="I2418" i="1" a="1"/>
  <c r="I2418" i="1" s="1"/>
  <c r="D2419" i="1"/>
  <c r="F2419" i="1"/>
  <c r="H2419" i="1"/>
  <c r="I2419" i="1" a="1"/>
  <c r="I2419" i="1" s="1"/>
  <c r="D2420" i="1"/>
  <c r="F2420" i="1"/>
  <c r="H2420" i="1"/>
  <c r="I2420" i="1" a="1"/>
  <c r="I2420" i="1" s="1"/>
  <c r="D2421" i="1"/>
  <c r="F2421" i="1"/>
  <c r="H2421" i="1"/>
  <c r="I2421" i="1" a="1"/>
  <c r="I2421" i="1" s="1"/>
  <c r="D2422" i="1"/>
  <c r="F2422" i="1"/>
  <c r="H2422" i="1"/>
  <c r="I2422" i="1" a="1"/>
  <c r="I2422" i="1" s="1"/>
  <c r="D2423" i="1"/>
  <c r="F2423" i="1"/>
  <c r="H2423" i="1"/>
  <c r="I2423" i="1" a="1"/>
  <c r="I2423" i="1" s="1"/>
  <c r="D2424" i="1"/>
  <c r="F2424" i="1"/>
  <c r="H2424" i="1"/>
  <c r="I2424" i="1" a="1"/>
  <c r="I2424" i="1" s="1"/>
  <c r="D2425" i="1"/>
  <c r="F2425" i="1"/>
  <c r="H2425" i="1"/>
  <c r="I2425" i="1" a="1"/>
  <c r="I2425" i="1" s="1"/>
  <c r="D2426" i="1"/>
  <c r="F2426" i="1"/>
  <c r="H2426" i="1"/>
  <c r="I2426" i="1" a="1"/>
  <c r="I2426" i="1" s="1"/>
  <c r="D2427" i="1"/>
  <c r="F2427" i="1"/>
  <c r="H2427" i="1"/>
  <c r="I2427" i="1" a="1"/>
  <c r="I2427" i="1" s="1"/>
  <c r="D2428" i="1"/>
  <c r="F2428" i="1"/>
  <c r="H2428" i="1"/>
  <c r="I2428" i="1" a="1"/>
  <c r="I2428" i="1" s="1"/>
  <c r="D2429" i="1"/>
  <c r="F2429" i="1"/>
  <c r="H2429" i="1"/>
  <c r="I2429" i="1" a="1"/>
  <c r="I2429" i="1" s="1"/>
  <c r="D2430" i="1"/>
  <c r="F2430" i="1"/>
  <c r="H2430" i="1"/>
  <c r="I2430" i="1" a="1"/>
  <c r="I2430" i="1" s="1"/>
  <c r="D2431" i="1"/>
  <c r="F2431" i="1"/>
  <c r="H2431" i="1"/>
  <c r="I2431" i="1" a="1"/>
  <c r="I2431" i="1" s="1"/>
  <c r="D2432" i="1"/>
  <c r="F2432" i="1"/>
  <c r="H2432" i="1"/>
  <c r="I2432" i="1" a="1"/>
  <c r="I2432" i="1" s="1"/>
  <c r="D2433" i="1"/>
  <c r="F2433" i="1"/>
  <c r="H2433" i="1"/>
  <c r="I2433" i="1" a="1"/>
  <c r="I2433" i="1" s="1"/>
  <c r="D2434" i="1"/>
  <c r="F2434" i="1"/>
  <c r="H2434" i="1"/>
  <c r="I2434" i="1" a="1"/>
  <c r="I2434" i="1" s="1"/>
  <c r="D2435" i="1"/>
  <c r="F2435" i="1"/>
  <c r="H2435" i="1"/>
  <c r="I2435" i="1" a="1"/>
  <c r="I2435" i="1" s="1"/>
  <c r="D2436" i="1"/>
  <c r="F2436" i="1"/>
  <c r="H2436" i="1"/>
  <c r="I2436" i="1" a="1"/>
  <c r="I2436" i="1" s="1"/>
  <c r="D2437" i="1"/>
  <c r="F2437" i="1"/>
  <c r="H2437" i="1"/>
  <c r="I2437" i="1" a="1"/>
  <c r="I2437" i="1" s="1"/>
  <c r="D2438" i="1"/>
  <c r="F2438" i="1"/>
  <c r="H2438" i="1"/>
  <c r="I2438" i="1" a="1"/>
  <c r="I2438" i="1" s="1"/>
  <c r="D2439" i="1"/>
  <c r="F2439" i="1"/>
  <c r="H2439" i="1"/>
  <c r="I2439" i="1" a="1"/>
  <c r="I2439" i="1" s="1"/>
  <c r="D2440" i="1"/>
  <c r="F2440" i="1"/>
  <c r="H2440" i="1"/>
  <c r="I2440" i="1" a="1"/>
  <c r="I2440" i="1" s="1"/>
  <c r="D2441" i="1"/>
  <c r="F2441" i="1"/>
  <c r="H2441" i="1"/>
  <c r="I2441" i="1" a="1"/>
  <c r="I2441" i="1" s="1"/>
  <c r="D2442" i="1"/>
  <c r="F2442" i="1"/>
  <c r="H2442" i="1"/>
  <c r="I2442" i="1" a="1"/>
  <c r="I2442" i="1" s="1"/>
  <c r="D2443" i="1"/>
  <c r="F2443" i="1"/>
  <c r="H2443" i="1"/>
  <c r="I2443" i="1" a="1"/>
  <c r="I2443" i="1" s="1"/>
  <c r="D2444" i="1"/>
  <c r="F2444" i="1"/>
  <c r="H2444" i="1"/>
  <c r="I2444" i="1" a="1"/>
  <c r="I2444" i="1" s="1"/>
  <c r="D2445" i="1"/>
  <c r="F2445" i="1"/>
  <c r="H2445" i="1"/>
  <c r="I2445" i="1" a="1"/>
  <c r="I2445" i="1" s="1"/>
  <c r="D2446" i="1"/>
  <c r="F2446" i="1"/>
  <c r="H2446" i="1"/>
  <c r="I2446" i="1" a="1"/>
  <c r="I2446" i="1" s="1"/>
  <c r="D2447" i="1"/>
  <c r="F2447" i="1"/>
  <c r="H2447" i="1"/>
  <c r="I2447" i="1" a="1"/>
  <c r="I2447" i="1" s="1"/>
  <c r="D2448" i="1"/>
  <c r="F2448" i="1"/>
  <c r="H2448" i="1"/>
  <c r="I2448" i="1" a="1"/>
  <c r="I2448" i="1" s="1"/>
  <c r="D2449" i="1"/>
  <c r="F2449" i="1"/>
  <c r="H2449" i="1"/>
  <c r="I2449" i="1" a="1"/>
  <c r="I2449" i="1" s="1"/>
  <c r="D2450" i="1"/>
  <c r="F2450" i="1"/>
  <c r="H2450" i="1"/>
  <c r="I2450" i="1" a="1"/>
  <c r="I2450" i="1" s="1"/>
  <c r="D2451" i="1"/>
  <c r="F2451" i="1"/>
  <c r="H2451" i="1"/>
  <c r="I2451" i="1" a="1"/>
  <c r="I2451" i="1" s="1"/>
  <c r="D2452" i="1"/>
  <c r="F2452" i="1"/>
  <c r="H2452" i="1"/>
  <c r="I2452" i="1" a="1"/>
  <c r="I2452" i="1" s="1"/>
  <c r="D2453" i="1"/>
  <c r="F2453" i="1"/>
  <c r="H2453" i="1"/>
  <c r="I2453" i="1" a="1"/>
  <c r="I2453" i="1" s="1"/>
  <c r="D2454" i="1"/>
  <c r="F2454" i="1"/>
  <c r="H2454" i="1"/>
  <c r="I2454" i="1" a="1"/>
  <c r="I2454" i="1" s="1"/>
  <c r="D2455" i="1"/>
  <c r="F2455" i="1"/>
  <c r="H2455" i="1"/>
  <c r="I2455" i="1" a="1"/>
  <c r="I2455" i="1" s="1"/>
  <c r="D2456" i="1"/>
  <c r="F2456" i="1"/>
  <c r="H2456" i="1"/>
  <c r="I2456" i="1" a="1"/>
  <c r="I2456" i="1" s="1"/>
  <c r="D2457" i="1"/>
  <c r="F2457" i="1"/>
  <c r="H2457" i="1"/>
  <c r="I2457" i="1" a="1"/>
  <c r="I2457" i="1" s="1"/>
  <c r="D2458" i="1"/>
  <c r="F2458" i="1"/>
  <c r="H2458" i="1"/>
  <c r="I2458" i="1" a="1"/>
  <c r="I2458" i="1" s="1"/>
  <c r="D2459" i="1"/>
  <c r="F2459" i="1"/>
  <c r="H2459" i="1"/>
  <c r="I2459" i="1" a="1"/>
  <c r="I2459" i="1" s="1"/>
  <c r="D2460" i="1"/>
  <c r="F2460" i="1"/>
  <c r="H2460" i="1"/>
  <c r="I2460" i="1" a="1"/>
  <c r="I2460" i="1" s="1"/>
  <c r="D2461" i="1"/>
  <c r="F2461" i="1"/>
  <c r="H2461" i="1"/>
  <c r="I2461" i="1" a="1"/>
  <c r="I2461" i="1" s="1"/>
  <c r="D2462" i="1"/>
  <c r="F2462" i="1"/>
  <c r="H2462" i="1"/>
  <c r="I2462" i="1" a="1"/>
  <c r="I2462" i="1" s="1"/>
  <c r="D2463" i="1"/>
  <c r="F2463" i="1"/>
  <c r="H2463" i="1"/>
  <c r="I2463" i="1" a="1"/>
  <c r="I2463" i="1" s="1"/>
  <c r="D2464" i="1"/>
  <c r="F2464" i="1"/>
  <c r="H2464" i="1"/>
  <c r="I2464" i="1" a="1"/>
  <c r="I2464" i="1" s="1"/>
  <c r="D2465" i="1"/>
  <c r="F2465" i="1"/>
  <c r="H2465" i="1"/>
  <c r="I2465" i="1" a="1"/>
  <c r="I2465" i="1" s="1"/>
  <c r="D2466" i="1"/>
  <c r="F2466" i="1"/>
  <c r="H2466" i="1"/>
  <c r="I2466" i="1" a="1"/>
  <c r="I2466" i="1" s="1"/>
  <c r="D2467" i="1"/>
  <c r="F2467" i="1"/>
  <c r="H2467" i="1"/>
  <c r="I2467" i="1" a="1"/>
  <c r="I2467" i="1" s="1"/>
  <c r="D2468" i="1"/>
  <c r="F2468" i="1"/>
  <c r="H2468" i="1"/>
  <c r="I2468" i="1" a="1"/>
  <c r="I2468" i="1" s="1"/>
  <c r="D2469" i="1"/>
  <c r="F2469" i="1"/>
  <c r="H2469" i="1"/>
  <c r="I2469" i="1" a="1"/>
  <c r="I2469" i="1" s="1"/>
  <c r="D2470" i="1"/>
  <c r="F2470" i="1"/>
  <c r="H2470" i="1"/>
  <c r="I2470" i="1" a="1"/>
  <c r="I2470" i="1" s="1"/>
  <c r="D2471" i="1"/>
  <c r="F2471" i="1"/>
  <c r="H2471" i="1"/>
  <c r="I2471" i="1" a="1"/>
  <c r="I2471" i="1" s="1"/>
  <c r="D2472" i="1"/>
  <c r="F2472" i="1"/>
  <c r="H2472" i="1"/>
  <c r="I2472" i="1" a="1"/>
  <c r="I2472" i="1" s="1"/>
  <c r="D2473" i="1"/>
  <c r="F2473" i="1"/>
  <c r="H2473" i="1"/>
  <c r="I2473" i="1" a="1"/>
  <c r="I2473" i="1" s="1"/>
  <c r="D2474" i="1"/>
  <c r="F2474" i="1"/>
  <c r="H2474" i="1"/>
  <c r="I2474" i="1" a="1"/>
  <c r="I2474" i="1" s="1"/>
  <c r="D2475" i="1"/>
  <c r="F2475" i="1"/>
  <c r="H2475" i="1"/>
  <c r="I2475" i="1" a="1"/>
  <c r="I2475" i="1" s="1"/>
  <c r="D2476" i="1"/>
  <c r="F2476" i="1"/>
  <c r="H2476" i="1"/>
  <c r="I2476" i="1" a="1"/>
  <c r="I2476" i="1" s="1"/>
  <c r="D2477" i="1"/>
  <c r="F2477" i="1"/>
  <c r="H2477" i="1"/>
  <c r="I2477" i="1" a="1"/>
  <c r="I2477" i="1" s="1"/>
  <c r="D2478" i="1"/>
  <c r="F2478" i="1"/>
  <c r="H2478" i="1"/>
  <c r="I2478" i="1" a="1"/>
  <c r="I2478" i="1" s="1"/>
  <c r="D2479" i="1"/>
  <c r="F2479" i="1"/>
  <c r="H2479" i="1"/>
  <c r="I2479" i="1" a="1"/>
  <c r="I2479" i="1" s="1"/>
  <c r="D2480" i="1"/>
  <c r="F2480" i="1"/>
  <c r="H2480" i="1"/>
  <c r="I2480" i="1" a="1"/>
  <c r="I2480" i="1" s="1"/>
  <c r="D2481" i="1"/>
  <c r="F2481" i="1"/>
  <c r="H2481" i="1"/>
  <c r="I2481" i="1" a="1"/>
  <c r="I2481" i="1" s="1"/>
  <c r="D2482" i="1"/>
  <c r="F2482" i="1"/>
  <c r="H2482" i="1"/>
  <c r="I2482" i="1" a="1"/>
  <c r="I2482" i="1" s="1"/>
  <c r="D2483" i="1"/>
  <c r="F2483" i="1"/>
  <c r="H2483" i="1"/>
  <c r="I2483" i="1" a="1"/>
  <c r="I2483" i="1" s="1"/>
  <c r="D2484" i="1"/>
  <c r="F2484" i="1"/>
  <c r="H2484" i="1"/>
  <c r="I2484" i="1" a="1"/>
  <c r="I2484" i="1" s="1"/>
  <c r="D2485" i="1"/>
  <c r="F2485" i="1"/>
  <c r="H2485" i="1"/>
  <c r="I2485" i="1" a="1"/>
  <c r="I2485" i="1" s="1"/>
  <c r="D2486" i="1"/>
  <c r="F2486" i="1"/>
  <c r="H2486" i="1"/>
  <c r="I2486" i="1" a="1"/>
  <c r="I2486" i="1" s="1"/>
  <c r="D2487" i="1"/>
  <c r="F2487" i="1"/>
  <c r="H2487" i="1"/>
  <c r="I2487" i="1" a="1"/>
  <c r="I2487" i="1" s="1"/>
  <c r="D2488" i="1"/>
  <c r="F2488" i="1"/>
  <c r="H2488" i="1"/>
  <c r="I2488" i="1" a="1"/>
  <c r="I2488" i="1" s="1"/>
  <c r="D2489" i="1"/>
  <c r="F2489" i="1"/>
  <c r="H2489" i="1"/>
  <c r="I2489" i="1" a="1"/>
  <c r="I2489" i="1" s="1"/>
  <c r="D2490" i="1"/>
  <c r="F2490" i="1"/>
  <c r="H2490" i="1"/>
  <c r="I2490" i="1" a="1"/>
  <c r="I2490" i="1" s="1"/>
  <c r="D2491" i="1"/>
  <c r="F2491" i="1"/>
  <c r="H2491" i="1"/>
  <c r="I2491" i="1" a="1"/>
  <c r="I2491" i="1" s="1"/>
  <c r="D2492" i="1"/>
  <c r="F2492" i="1"/>
  <c r="H2492" i="1"/>
  <c r="I2492" i="1" a="1"/>
  <c r="I2492" i="1" s="1"/>
  <c r="D2493" i="1"/>
  <c r="F2493" i="1"/>
  <c r="H2493" i="1"/>
  <c r="I2493" i="1" a="1"/>
  <c r="I2493" i="1" s="1"/>
  <c r="D2494" i="1"/>
  <c r="F2494" i="1"/>
  <c r="H2494" i="1"/>
  <c r="I2494" i="1" a="1"/>
  <c r="I2494" i="1" s="1"/>
  <c r="D2495" i="1"/>
  <c r="F2495" i="1"/>
  <c r="H2495" i="1"/>
  <c r="I2495" i="1" a="1"/>
  <c r="I2495" i="1" s="1"/>
  <c r="D2496" i="1"/>
  <c r="F2496" i="1"/>
  <c r="H2496" i="1"/>
  <c r="I2496" i="1" a="1"/>
  <c r="I2496" i="1" s="1"/>
  <c r="D2497" i="1"/>
  <c r="F2497" i="1"/>
  <c r="H2497" i="1"/>
  <c r="I2497" i="1" a="1"/>
  <c r="I2497" i="1" s="1"/>
  <c r="D2498" i="1"/>
  <c r="F2498" i="1"/>
  <c r="H2498" i="1"/>
  <c r="I2498" i="1" a="1"/>
  <c r="I2498" i="1" s="1"/>
  <c r="D2499" i="1"/>
  <c r="F2499" i="1"/>
  <c r="H2499" i="1"/>
  <c r="I2499" i="1" a="1"/>
  <c r="I2499" i="1" s="1"/>
  <c r="D2500" i="1"/>
  <c r="F2500" i="1"/>
  <c r="H2500" i="1"/>
  <c r="I2500" i="1" a="1"/>
  <c r="I2500" i="1" s="1"/>
  <c r="D2501" i="1"/>
  <c r="F2501" i="1"/>
  <c r="H2501" i="1"/>
  <c r="I2501" i="1" a="1"/>
  <c r="I2501" i="1" s="1"/>
  <c r="D2502" i="1"/>
  <c r="F2502" i="1"/>
  <c r="H2502" i="1"/>
  <c r="I2502" i="1" a="1"/>
  <c r="I2502" i="1" s="1"/>
  <c r="D2503" i="1"/>
  <c r="F2503" i="1"/>
  <c r="H2503" i="1"/>
  <c r="I2503" i="1" a="1"/>
  <c r="I2503" i="1" s="1"/>
  <c r="D2504" i="1"/>
  <c r="F2504" i="1"/>
  <c r="H2504" i="1"/>
  <c r="I2504" i="1" a="1"/>
  <c r="I2504" i="1" s="1"/>
  <c r="D2505" i="1"/>
  <c r="F2505" i="1"/>
  <c r="H2505" i="1"/>
  <c r="I2505" i="1" a="1"/>
  <c r="I2505" i="1" s="1"/>
  <c r="D2506" i="1"/>
  <c r="F2506" i="1"/>
  <c r="H2506" i="1"/>
  <c r="I2506" i="1" a="1"/>
  <c r="I2506" i="1" s="1"/>
  <c r="D2507" i="1"/>
  <c r="F2507" i="1"/>
  <c r="H2507" i="1"/>
  <c r="I2507" i="1" a="1"/>
  <c r="I2507" i="1" s="1"/>
  <c r="D2508" i="1"/>
  <c r="F2508" i="1"/>
  <c r="H2508" i="1"/>
  <c r="I2508" i="1" a="1"/>
  <c r="I2508" i="1" s="1"/>
  <c r="D2509" i="1"/>
  <c r="F2509" i="1"/>
  <c r="H2509" i="1"/>
  <c r="I2509" i="1" a="1"/>
  <c r="I2509" i="1" s="1"/>
  <c r="D2510" i="1"/>
  <c r="F2510" i="1"/>
  <c r="H2510" i="1"/>
  <c r="I2510" i="1" a="1"/>
  <c r="I2510" i="1" s="1"/>
  <c r="D2511" i="1"/>
  <c r="F2511" i="1"/>
  <c r="H2511" i="1"/>
  <c r="I2511" i="1" a="1"/>
  <c r="I2511" i="1" s="1"/>
  <c r="D2512" i="1"/>
  <c r="F2512" i="1"/>
  <c r="H2512" i="1"/>
  <c r="I2512" i="1" a="1"/>
  <c r="I2512" i="1" s="1"/>
  <c r="D2513" i="1"/>
  <c r="F2513" i="1"/>
  <c r="H2513" i="1"/>
  <c r="I2513" i="1" a="1"/>
  <c r="I2513" i="1" s="1"/>
  <c r="D2514" i="1"/>
  <c r="F2514" i="1"/>
  <c r="H2514" i="1"/>
  <c r="I2514" i="1" a="1"/>
  <c r="I2514" i="1" s="1"/>
  <c r="D2515" i="1"/>
  <c r="F2515" i="1"/>
  <c r="H2515" i="1"/>
  <c r="I2515" i="1" a="1"/>
  <c r="I2515" i="1" s="1"/>
  <c r="D2516" i="1"/>
  <c r="F2516" i="1"/>
  <c r="H2516" i="1"/>
  <c r="I2516" i="1" a="1"/>
  <c r="I2516" i="1" s="1"/>
  <c r="D2517" i="1"/>
  <c r="F2517" i="1"/>
  <c r="H2517" i="1"/>
  <c r="I2517" i="1" a="1"/>
  <c r="I2517" i="1" s="1"/>
  <c r="D2518" i="1"/>
  <c r="F2518" i="1"/>
  <c r="H2518" i="1"/>
  <c r="I2518" i="1" a="1"/>
  <c r="I2518" i="1" s="1"/>
  <c r="D2519" i="1"/>
  <c r="F2519" i="1"/>
  <c r="H2519" i="1"/>
  <c r="I2519" i="1" a="1"/>
  <c r="I2519" i="1" s="1"/>
  <c r="D2520" i="1"/>
  <c r="F2520" i="1"/>
  <c r="H2520" i="1"/>
  <c r="I2520" i="1" a="1"/>
  <c r="I2520" i="1" s="1"/>
  <c r="D2521" i="1"/>
  <c r="F2521" i="1"/>
  <c r="H2521" i="1"/>
  <c r="I2521" i="1" a="1"/>
  <c r="I2521" i="1" s="1"/>
  <c r="D2522" i="1"/>
  <c r="F2522" i="1"/>
  <c r="H2522" i="1"/>
  <c r="I2522" i="1" a="1"/>
  <c r="I2522" i="1" s="1"/>
  <c r="D2523" i="1"/>
  <c r="F2523" i="1"/>
  <c r="H2523" i="1"/>
  <c r="I2523" i="1" a="1"/>
  <c r="I2523" i="1" s="1"/>
  <c r="D2524" i="1"/>
  <c r="F2524" i="1"/>
  <c r="H2524" i="1"/>
  <c r="I2524" i="1" a="1"/>
  <c r="I2524" i="1" s="1"/>
  <c r="D2525" i="1"/>
  <c r="F2525" i="1"/>
  <c r="H2525" i="1"/>
  <c r="I2525" i="1" a="1"/>
  <c r="I2525" i="1" s="1"/>
  <c r="D2526" i="1"/>
  <c r="F2526" i="1"/>
  <c r="H2526" i="1"/>
  <c r="I2526" i="1" a="1"/>
  <c r="I2526" i="1" s="1"/>
  <c r="D2527" i="1"/>
  <c r="F2527" i="1"/>
  <c r="H2527" i="1"/>
  <c r="I2527" i="1" a="1"/>
  <c r="I2527" i="1" s="1"/>
  <c r="D2528" i="1"/>
  <c r="F2528" i="1"/>
  <c r="H2528" i="1"/>
  <c r="I2528" i="1" a="1"/>
  <c r="I2528" i="1" s="1"/>
  <c r="D2529" i="1"/>
  <c r="F2529" i="1"/>
  <c r="H2529" i="1"/>
  <c r="I2529" i="1" a="1"/>
  <c r="I2529" i="1" s="1"/>
  <c r="D2530" i="1"/>
  <c r="F2530" i="1"/>
  <c r="H2530" i="1"/>
  <c r="I2530" i="1" a="1"/>
  <c r="I2530" i="1" s="1"/>
  <c r="D2531" i="1"/>
  <c r="F2531" i="1"/>
  <c r="H2531" i="1"/>
  <c r="I2531" i="1" a="1"/>
  <c r="I2531" i="1" s="1"/>
  <c r="D2532" i="1"/>
  <c r="F2532" i="1"/>
  <c r="H2532" i="1"/>
  <c r="I2532" i="1" a="1"/>
  <c r="I2532" i="1" s="1"/>
  <c r="D2533" i="1"/>
  <c r="F2533" i="1"/>
  <c r="H2533" i="1"/>
  <c r="I2533" i="1" a="1"/>
  <c r="I2533" i="1" s="1"/>
  <c r="D2534" i="1"/>
  <c r="F2534" i="1"/>
  <c r="H2534" i="1"/>
  <c r="I2534" i="1" a="1"/>
  <c r="I2534" i="1" s="1"/>
  <c r="D2535" i="1"/>
  <c r="F2535" i="1"/>
  <c r="H2535" i="1"/>
  <c r="I2535" i="1" a="1"/>
  <c r="I2535" i="1" s="1"/>
  <c r="D2536" i="1"/>
  <c r="F2536" i="1"/>
  <c r="H2536" i="1"/>
  <c r="I2536" i="1" a="1"/>
  <c r="I2536" i="1" s="1"/>
  <c r="D2537" i="1"/>
  <c r="F2537" i="1"/>
  <c r="H2537" i="1"/>
  <c r="I2537" i="1" a="1"/>
  <c r="I2537" i="1" s="1"/>
  <c r="D2538" i="1"/>
  <c r="F2538" i="1"/>
  <c r="H2538" i="1"/>
  <c r="I2538" i="1" a="1"/>
  <c r="I2538" i="1" s="1"/>
  <c r="D2539" i="1"/>
  <c r="F2539" i="1"/>
  <c r="H2539" i="1"/>
  <c r="I2539" i="1" a="1"/>
  <c r="I2539" i="1" s="1"/>
  <c r="D2540" i="1"/>
  <c r="F2540" i="1"/>
  <c r="H2540" i="1"/>
  <c r="I2540" i="1" a="1"/>
  <c r="I2540" i="1" s="1"/>
  <c r="D2541" i="1"/>
  <c r="F2541" i="1"/>
  <c r="H2541" i="1"/>
  <c r="I2541" i="1" a="1"/>
  <c r="I2541" i="1" s="1"/>
  <c r="D2542" i="1"/>
  <c r="F2542" i="1"/>
  <c r="H2542" i="1"/>
  <c r="I2542" i="1" a="1"/>
  <c r="I2542" i="1" s="1"/>
  <c r="D2543" i="1"/>
  <c r="F2543" i="1"/>
  <c r="H2543" i="1"/>
  <c r="I2543" i="1" a="1"/>
  <c r="I2543" i="1" s="1"/>
  <c r="D2544" i="1"/>
  <c r="F2544" i="1"/>
  <c r="H2544" i="1"/>
  <c r="I2544" i="1" a="1"/>
  <c r="I2544" i="1" s="1"/>
  <c r="D2545" i="1"/>
  <c r="F2545" i="1"/>
  <c r="H2545" i="1"/>
  <c r="I2545" i="1" a="1"/>
  <c r="I2545" i="1" s="1"/>
  <c r="D2546" i="1"/>
  <c r="F2546" i="1"/>
  <c r="H2546" i="1"/>
  <c r="I2546" i="1" a="1"/>
  <c r="I2546" i="1" s="1"/>
  <c r="D2547" i="1"/>
  <c r="F2547" i="1"/>
  <c r="H2547" i="1"/>
  <c r="I2547" i="1" a="1"/>
  <c r="I2547" i="1" s="1"/>
  <c r="D2548" i="1"/>
  <c r="F2548" i="1"/>
  <c r="H2548" i="1"/>
  <c r="I2548" i="1" a="1"/>
  <c r="I2548" i="1" s="1"/>
  <c r="D2549" i="1"/>
  <c r="F2549" i="1"/>
  <c r="H2549" i="1"/>
  <c r="I2549" i="1" a="1"/>
  <c r="I2549" i="1" s="1"/>
  <c r="D2550" i="1"/>
  <c r="F2550" i="1"/>
  <c r="H2550" i="1"/>
  <c r="I2550" i="1" a="1"/>
  <c r="I2550" i="1" s="1"/>
  <c r="D2551" i="1"/>
  <c r="F2551" i="1"/>
  <c r="H2551" i="1"/>
  <c r="I2551" i="1" a="1"/>
  <c r="I2551" i="1" s="1"/>
  <c r="D2552" i="1"/>
  <c r="F2552" i="1"/>
  <c r="H2552" i="1"/>
  <c r="I2552" i="1" a="1"/>
  <c r="I2552" i="1" s="1"/>
  <c r="D2553" i="1"/>
  <c r="F2553" i="1"/>
  <c r="H2553" i="1"/>
  <c r="I2553" i="1" a="1"/>
  <c r="I2553" i="1" s="1"/>
  <c r="D2554" i="1"/>
  <c r="F2554" i="1"/>
  <c r="H2554" i="1"/>
  <c r="I2554" i="1" a="1"/>
  <c r="I2554" i="1" s="1"/>
  <c r="D2555" i="1"/>
  <c r="F2555" i="1"/>
  <c r="H2555" i="1"/>
  <c r="I2555" i="1" a="1"/>
  <c r="I2555" i="1" s="1"/>
  <c r="D2556" i="1"/>
  <c r="F2556" i="1"/>
  <c r="H2556" i="1"/>
  <c r="I2556" i="1" a="1"/>
  <c r="I2556" i="1" s="1"/>
  <c r="D2557" i="1"/>
  <c r="F2557" i="1"/>
  <c r="H2557" i="1"/>
  <c r="I2557" i="1" a="1"/>
  <c r="I2557" i="1" s="1"/>
  <c r="D2558" i="1"/>
  <c r="F2558" i="1"/>
  <c r="H2558" i="1"/>
  <c r="I2558" i="1" a="1"/>
  <c r="I2558" i="1" s="1"/>
  <c r="D2559" i="1"/>
  <c r="F2559" i="1"/>
  <c r="H2559" i="1"/>
  <c r="I2559" i="1" a="1"/>
  <c r="I2559" i="1" s="1"/>
  <c r="D2560" i="1"/>
  <c r="F2560" i="1"/>
  <c r="H2560" i="1"/>
  <c r="I2560" i="1" a="1"/>
  <c r="I2560" i="1" s="1"/>
  <c r="D2561" i="1"/>
  <c r="F2561" i="1"/>
  <c r="H2561" i="1"/>
  <c r="I2561" i="1" a="1"/>
  <c r="I2561" i="1" s="1"/>
  <c r="D2562" i="1"/>
  <c r="F2562" i="1"/>
  <c r="H2562" i="1"/>
  <c r="I2562" i="1" a="1"/>
  <c r="I2562" i="1" s="1"/>
  <c r="D2563" i="1"/>
  <c r="F2563" i="1"/>
  <c r="H2563" i="1"/>
  <c r="I2563" i="1" a="1"/>
  <c r="I2563" i="1" s="1"/>
  <c r="D2564" i="1"/>
  <c r="F2564" i="1"/>
  <c r="H2564" i="1"/>
  <c r="I2564" i="1" a="1"/>
  <c r="I2564" i="1" s="1"/>
  <c r="D2565" i="1"/>
  <c r="F2565" i="1"/>
  <c r="H2565" i="1"/>
  <c r="I2565" i="1" a="1"/>
  <c r="I2565" i="1" s="1"/>
  <c r="D2566" i="1"/>
  <c r="F2566" i="1"/>
  <c r="H2566" i="1"/>
  <c r="I2566" i="1" a="1"/>
  <c r="I2566" i="1" s="1"/>
  <c r="D2567" i="1"/>
  <c r="F2567" i="1"/>
  <c r="H2567" i="1"/>
  <c r="I2567" i="1" a="1"/>
  <c r="I2567" i="1" s="1"/>
  <c r="D2568" i="1"/>
  <c r="F2568" i="1"/>
  <c r="H2568" i="1"/>
  <c r="I2568" i="1" a="1"/>
  <c r="I2568" i="1" s="1"/>
  <c r="D2569" i="1"/>
  <c r="F2569" i="1"/>
  <c r="H2569" i="1"/>
  <c r="I2569" i="1" a="1"/>
  <c r="I2569" i="1" s="1"/>
  <c r="D2570" i="1"/>
  <c r="F2570" i="1"/>
  <c r="H2570" i="1"/>
  <c r="I2570" i="1" a="1"/>
  <c r="I2570" i="1" s="1"/>
  <c r="D2571" i="1"/>
  <c r="F2571" i="1"/>
  <c r="H2571" i="1"/>
  <c r="I2571" i="1" a="1"/>
  <c r="I2571" i="1" s="1"/>
  <c r="D2572" i="1"/>
  <c r="F2572" i="1"/>
  <c r="H2572" i="1"/>
  <c r="I2572" i="1" a="1"/>
  <c r="I2572" i="1" s="1"/>
  <c r="D2573" i="1"/>
  <c r="F2573" i="1"/>
  <c r="H2573" i="1"/>
  <c r="I2573" i="1" a="1"/>
  <c r="I2573" i="1" s="1"/>
  <c r="D2574" i="1"/>
  <c r="F2574" i="1"/>
  <c r="H2574" i="1"/>
  <c r="I2574" i="1" a="1"/>
  <c r="I2574" i="1" s="1"/>
  <c r="D2575" i="1"/>
  <c r="F2575" i="1"/>
  <c r="H2575" i="1"/>
  <c r="I2575" i="1" a="1"/>
  <c r="I2575" i="1" s="1"/>
  <c r="D2576" i="1"/>
  <c r="F2576" i="1"/>
  <c r="H2576" i="1"/>
  <c r="I2576" i="1" a="1"/>
  <c r="I2576" i="1" s="1"/>
  <c r="D2577" i="1"/>
  <c r="F2577" i="1"/>
  <c r="H2577" i="1"/>
  <c r="I2577" i="1" a="1"/>
  <c r="I2577" i="1" s="1"/>
  <c r="D2578" i="1"/>
  <c r="F2578" i="1"/>
  <c r="H2578" i="1"/>
  <c r="I2578" i="1" a="1"/>
  <c r="I2578" i="1" s="1"/>
  <c r="D2579" i="1"/>
  <c r="F2579" i="1"/>
  <c r="H2579" i="1"/>
  <c r="I2579" i="1" a="1"/>
  <c r="I2579" i="1" s="1"/>
  <c r="D2580" i="1"/>
  <c r="F2580" i="1"/>
  <c r="H2580" i="1"/>
  <c r="I2580" i="1" a="1"/>
  <c r="I2580" i="1" s="1"/>
  <c r="D2581" i="1"/>
  <c r="F2581" i="1"/>
  <c r="H2581" i="1"/>
  <c r="I2581" i="1" a="1"/>
  <c r="I2581" i="1" s="1"/>
  <c r="D2582" i="1"/>
  <c r="F2582" i="1"/>
  <c r="H2582" i="1"/>
  <c r="I2582" i="1" a="1"/>
  <c r="I2582" i="1" s="1"/>
  <c r="D2583" i="1"/>
  <c r="F2583" i="1"/>
  <c r="H2583" i="1"/>
  <c r="I2583" i="1" a="1"/>
  <c r="I2583" i="1" s="1"/>
  <c r="D2584" i="1"/>
  <c r="F2584" i="1"/>
  <c r="H2584" i="1"/>
  <c r="I2584" i="1" a="1"/>
  <c r="I2584" i="1" s="1"/>
  <c r="D2585" i="1"/>
  <c r="F2585" i="1"/>
  <c r="H2585" i="1"/>
  <c r="I2585" i="1" a="1"/>
  <c r="I2585" i="1" s="1"/>
  <c r="D2586" i="1"/>
  <c r="F2586" i="1"/>
  <c r="H2586" i="1"/>
  <c r="I2586" i="1" a="1"/>
  <c r="I2586" i="1" s="1"/>
  <c r="D2587" i="1"/>
  <c r="F2587" i="1"/>
  <c r="H2587" i="1"/>
  <c r="I2587" i="1" a="1"/>
  <c r="I2587" i="1" s="1"/>
  <c r="D2588" i="1"/>
  <c r="F2588" i="1"/>
  <c r="H2588" i="1"/>
  <c r="I2588" i="1" a="1"/>
  <c r="I2588" i="1" s="1"/>
  <c r="D2589" i="1"/>
  <c r="F2589" i="1"/>
  <c r="H2589" i="1"/>
  <c r="I2589" i="1" a="1"/>
  <c r="I2589" i="1" s="1"/>
  <c r="D2590" i="1"/>
  <c r="F2590" i="1"/>
  <c r="H2590" i="1"/>
  <c r="I2590" i="1" a="1"/>
  <c r="I2590" i="1" s="1"/>
  <c r="D2591" i="1"/>
  <c r="F2591" i="1"/>
  <c r="H2591" i="1"/>
  <c r="I2591" i="1" a="1"/>
  <c r="I2591" i="1" s="1"/>
  <c r="D2592" i="1"/>
  <c r="F2592" i="1"/>
  <c r="H2592" i="1"/>
  <c r="I2592" i="1" a="1"/>
  <c r="I2592" i="1" s="1"/>
  <c r="D2593" i="1"/>
  <c r="F2593" i="1"/>
  <c r="H2593" i="1"/>
  <c r="I2593" i="1" a="1"/>
  <c r="I2593" i="1" s="1"/>
  <c r="D2594" i="1"/>
  <c r="F2594" i="1"/>
  <c r="H2594" i="1"/>
  <c r="I2594" i="1" a="1"/>
  <c r="I2594" i="1" s="1"/>
  <c r="D2595" i="1"/>
  <c r="F2595" i="1"/>
  <c r="H2595" i="1"/>
  <c r="I2595" i="1" a="1"/>
  <c r="I2595" i="1" s="1"/>
  <c r="D2596" i="1"/>
  <c r="F2596" i="1"/>
  <c r="H2596" i="1"/>
  <c r="I2596" i="1" a="1"/>
  <c r="I2596" i="1" s="1"/>
  <c r="D2597" i="1"/>
  <c r="F2597" i="1"/>
  <c r="H2597" i="1"/>
  <c r="I2597" i="1" a="1"/>
  <c r="I2597" i="1" s="1"/>
  <c r="D2598" i="1"/>
  <c r="F2598" i="1"/>
  <c r="H2598" i="1"/>
  <c r="I2598" i="1" a="1"/>
  <c r="I2598" i="1" s="1"/>
  <c r="D2599" i="1"/>
  <c r="F2599" i="1"/>
  <c r="H2599" i="1"/>
  <c r="I2599" i="1" a="1"/>
  <c r="I2599" i="1" s="1"/>
  <c r="D2600" i="1"/>
  <c r="F2600" i="1"/>
  <c r="H2600" i="1"/>
  <c r="I2600" i="1" a="1"/>
  <c r="I2600" i="1" s="1"/>
  <c r="D2601" i="1"/>
  <c r="F2601" i="1"/>
  <c r="H2601" i="1"/>
  <c r="I2601" i="1" a="1"/>
  <c r="I2601" i="1" s="1"/>
  <c r="D2602" i="1"/>
  <c r="F2602" i="1"/>
  <c r="H2602" i="1"/>
  <c r="I2602" i="1" a="1"/>
  <c r="I2602" i="1" s="1"/>
  <c r="D2603" i="1"/>
  <c r="F2603" i="1"/>
  <c r="H2603" i="1"/>
  <c r="I2603" i="1" a="1"/>
  <c r="I2603" i="1" s="1"/>
  <c r="D2604" i="1"/>
  <c r="F2604" i="1"/>
  <c r="H2604" i="1"/>
  <c r="I2604" i="1" a="1"/>
  <c r="I2604" i="1" s="1"/>
  <c r="D2605" i="1"/>
  <c r="F2605" i="1"/>
  <c r="H2605" i="1"/>
  <c r="I2605" i="1" a="1"/>
  <c r="I2605" i="1" s="1"/>
  <c r="D2606" i="1"/>
  <c r="F2606" i="1"/>
  <c r="H2606" i="1"/>
  <c r="I2606" i="1" a="1"/>
  <c r="I2606" i="1" s="1"/>
  <c r="D2607" i="1"/>
  <c r="F2607" i="1"/>
  <c r="H2607" i="1"/>
  <c r="I2607" i="1" a="1"/>
  <c r="I2607" i="1" s="1"/>
  <c r="D2608" i="1"/>
  <c r="F2608" i="1"/>
  <c r="H2608" i="1"/>
  <c r="I2608" i="1" a="1"/>
  <c r="I2608" i="1" s="1"/>
  <c r="D2609" i="1"/>
  <c r="F2609" i="1"/>
  <c r="H2609" i="1"/>
  <c r="I2609" i="1" a="1"/>
  <c r="I2609" i="1" s="1"/>
  <c r="D2610" i="1"/>
  <c r="F2610" i="1"/>
  <c r="H2610" i="1"/>
  <c r="I2610" i="1" a="1"/>
  <c r="I2610" i="1" s="1"/>
  <c r="D2611" i="1"/>
  <c r="F2611" i="1"/>
  <c r="H2611" i="1"/>
  <c r="I2611" i="1" a="1"/>
  <c r="I2611" i="1" s="1"/>
  <c r="D2612" i="1"/>
  <c r="F2612" i="1"/>
  <c r="H2612" i="1"/>
  <c r="I2612" i="1" a="1"/>
  <c r="I2612" i="1" s="1"/>
  <c r="D2613" i="1"/>
  <c r="F2613" i="1"/>
  <c r="H2613" i="1"/>
  <c r="I2613" i="1" a="1"/>
  <c r="I2613" i="1" s="1"/>
  <c r="D2614" i="1"/>
  <c r="F2614" i="1"/>
  <c r="H2614" i="1"/>
  <c r="I2614" i="1" a="1"/>
  <c r="I2614" i="1" s="1"/>
  <c r="D2615" i="1"/>
  <c r="F2615" i="1"/>
  <c r="H2615" i="1"/>
  <c r="I2615" i="1" a="1"/>
  <c r="I2615" i="1" s="1"/>
  <c r="D2616" i="1"/>
  <c r="F2616" i="1"/>
  <c r="H2616" i="1"/>
  <c r="I2616" i="1" a="1"/>
  <c r="I2616" i="1" s="1"/>
  <c r="D2617" i="1"/>
  <c r="F2617" i="1"/>
  <c r="H2617" i="1"/>
  <c r="I2617" i="1" a="1"/>
  <c r="I2617" i="1" s="1"/>
  <c r="D2618" i="1"/>
  <c r="F2618" i="1"/>
  <c r="H2618" i="1"/>
  <c r="I2618" i="1" a="1"/>
  <c r="I2618" i="1" s="1"/>
  <c r="D2619" i="1"/>
  <c r="F2619" i="1"/>
  <c r="H2619" i="1"/>
  <c r="I2619" i="1" a="1"/>
  <c r="I2619" i="1" s="1"/>
  <c r="D2620" i="1"/>
  <c r="F2620" i="1"/>
  <c r="H2620" i="1"/>
  <c r="I2620" i="1" a="1"/>
  <c r="I2620" i="1" s="1"/>
  <c r="D2621" i="1"/>
  <c r="F2621" i="1"/>
  <c r="H2621" i="1"/>
  <c r="I2621" i="1" a="1"/>
  <c r="I2621" i="1" s="1"/>
  <c r="D2622" i="1"/>
  <c r="F2622" i="1"/>
  <c r="H2622" i="1"/>
  <c r="I2622" i="1" a="1"/>
  <c r="I2622" i="1" s="1"/>
  <c r="D2623" i="1"/>
  <c r="F2623" i="1"/>
  <c r="H2623" i="1"/>
  <c r="I2623" i="1" a="1"/>
  <c r="I2623" i="1" s="1"/>
  <c r="D2624" i="1"/>
  <c r="F2624" i="1"/>
  <c r="H2624" i="1"/>
  <c r="I2624" i="1" a="1"/>
  <c r="I2624" i="1" s="1"/>
  <c r="D2625" i="1"/>
  <c r="F2625" i="1"/>
  <c r="H2625" i="1"/>
  <c r="I2625" i="1" a="1"/>
  <c r="I2625" i="1" s="1"/>
  <c r="D2626" i="1"/>
  <c r="F2626" i="1"/>
  <c r="H2626" i="1"/>
  <c r="I2626" i="1" a="1"/>
  <c r="I2626" i="1" s="1"/>
  <c r="D2627" i="1"/>
  <c r="F2627" i="1"/>
  <c r="H2627" i="1"/>
  <c r="I2627" i="1" a="1"/>
  <c r="I2627" i="1" s="1"/>
  <c r="D2628" i="1"/>
  <c r="F2628" i="1"/>
  <c r="H2628" i="1"/>
  <c r="I2628" i="1" a="1"/>
  <c r="I2628" i="1" s="1"/>
  <c r="D2629" i="1"/>
  <c r="F2629" i="1"/>
  <c r="H2629" i="1"/>
  <c r="I2629" i="1" a="1"/>
  <c r="I2629" i="1" s="1"/>
  <c r="D2630" i="1"/>
  <c r="F2630" i="1"/>
  <c r="H2630" i="1"/>
  <c r="I2630" i="1" a="1"/>
  <c r="I2630" i="1" s="1"/>
  <c r="D2631" i="1"/>
  <c r="F2631" i="1"/>
  <c r="H2631" i="1"/>
  <c r="I2631" i="1" a="1"/>
  <c r="I2631" i="1" s="1"/>
  <c r="D2632" i="1"/>
  <c r="F2632" i="1"/>
  <c r="H2632" i="1"/>
  <c r="I2632" i="1" a="1"/>
  <c r="I2632" i="1" s="1"/>
  <c r="D2633" i="1"/>
  <c r="F2633" i="1"/>
  <c r="H2633" i="1"/>
  <c r="I2633" i="1" a="1"/>
  <c r="I2633" i="1" s="1"/>
  <c r="D2634" i="1"/>
  <c r="F2634" i="1"/>
  <c r="H2634" i="1"/>
  <c r="I2634" i="1" a="1"/>
  <c r="I2634" i="1" s="1"/>
  <c r="D2635" i="1"/>
  <c r="F2635" i="1"/>
  <c r="H2635" i="1"/>
  <c r="I2635" i="1" a="1"/>
  <c r="I2635" i="1" s="1"/>
  <c r="D2636" i="1"/>
  <c r="F2636" i="1"/>
  <c r="H2636" i="1"/>
  <c r="I2636" i="1" a="1"/>
  <c r="I2636" i="1" s="1"/>
  <c r="D2637" i="1"/>
  <c r="F2637" i="1"/>
  <c r="H2637" i="1"/>
  <c r="I2637" i="1" a="1"/>
  <c r="I2637" i="1" s="1"/>
  <c r="D2638" i="1"/>
  <c r="F2638" i="1"/>
  <c r="H2638" i="1"/>
  <c r="I2638" i="1" a="1"/>
  <c r="I2638" i="1" s="1"/>
  <c r="D2639" i="1"/>
  <c r="F2639" i="1"/>
  <c r="H2639" i="1"/>
  <c r="I2639" i="1" a="1"/>
  <c r="I2639" i="1" s="1"/>
  <c r="D2640" i="1"/>
  <c r="F2640" i="1"/>
  <c r="H2640" i="1"/>
  <c r="I2640" i="1" a="1"/>
  <c r="I2640" i="1" s="1"/>
  <c r="D2641" i="1"/>
  <c r="F2641" i="1"/>
  <c r="H2641" i="1"/>
  <c r="I2641" i="1" a="1"/>
  <c r="I2641" i="1" s="1"/>
  <c r="D2642" i="1"/>
  <c r="F2642" i="1"/>
  <c r="H2642" i="1"/>
  <c r="I2642" i="1" a="1"/>
  <c r="I2642" i="1" s="1"/>
  <c r="D2643" i="1"/>
  <c r="F2643" i="1"/>
  <c r="H2643" i="1"/>
  <c r="I2643" i="1" a="1"/>
  <c r="I2643" i="1" s="1"/>
  <c r="D2644" i="1"/>
  <c r="F2644" i="1"/>
  <c r="H2644" i="1"/>
  <c r="I2644" i="1" a="1"/>
  <c r="I2644" i="1" s="1"/>
  <c r="D2645" i="1"/>
  <c r="F2645" i="1"/>
  <c r="H2645" i="1"/>
  <c r="I2645" i="1" a="1"/>
  <c r="I2645" i="1" s="1"/>
  <c r="D2646" i="1"/>
  <c r="F2646" i="1"/>
  <c r="H2646" i="1"/>
  <c r="I2646" i="1" a="1"/>
  <c r="I2646" i="1" s="1"/>
  <c r="D2647" i="1"/>
  <c r="F2647" i="1"/>
  <c r="H2647" i="1"/>
  <c r="I2647" i="1" a="1"/>
  <c r="I2647" i="1" s="1"/>
  <c r="D2648" i="1"/>
  <c r="F2648" i="1"/>
  <c r="H2648" i="1"/>
  <c r="I2648" i="1" a="1"/>
  <c r="I2648" i="1" s="1"/>
  <c r="D2649" i="1"/>
  <c r="F2649" i="1"/>
  <c r="H2649" i="1"/>
  <c r="I2649" i="1" a="1"/>
  <c r="I2649" i="1" s="1"/>
  <c r="D2650" i="1"/>
  <c r="F2650" i="1"/>
  <c r="H2650" i="1"/>
  <c r="I2650" i="1" a="1"/>
  <c r="I2650" i="1" s="1"/>
  <c r="D2651" i="1"/>
  <c r="F2651" i="1"/>
  <c r="H2651" i="1"/>
  <c r="I2651" i="1" a="1"/>
  <c r="I2651" i="1" s="1"/>
  <c r="D2652" i="1"/>
  <c r="F2652" i="1"/>
  <c r="H2652" i="1"/>
  <c r="I2652" i="1" a="1"/>
  <c r="I2652" i="1" s="1"/>
  <c r="D2653" i="1"/>
  <c r="F2653" i="1"/>
  <c r="H2653" i="1"/>
  <c r="I2653" i="1" a="1"/>
  <c r="I2653" i="1" s="1"/>
  <c r="D2654" i="1"/>
  <c r="F2654" i="1"/>
  <c r="H2654" i="1"/>
  <c r="I2654" i="1" a="1"/>
  <c r="I2654" i="1" s="1"/>
  <c r="D2655" i="1"/>
  <c r="F2655" i="1"/>
  <c r="H2655" i="1"/>
  <c r="I2655" i="1" a="1"/>
  <c r="I2655" i="1" s="1"/>
  <c r="D2656" i="1"/>
  <c r="F2656" i="1"/>
  <c r="H2656" i="1"/>
  <c r="I2656" i="1" a="1"/>
  <c r="I2656" i="1" s="1"/>
  <c r="D2657" i="1"/>
  <c r="F2657" i="1"/>
  <c r="H2657" i="1"/>
  <c r="I2657" i="1" a="1"/>
  <c r="I2657" i="1" s="1"/>
  <c r="D2658" i="1"/>
  <c r="F2658" i="1"/>
  <c r="H2658" i="1"/>
  <c r="I2658" i="1" a="1"/>
  <c r="I2658" i="1" s="1"/>
  <c r="D2659" i="1"/>
  <c r="F2659" i="1"/>
  <c r="H2659" i="1"/>
  <c r="I2659" i="1" a="1"/>
  <c r="I2659" i="1" s="1"/>
  <c r="D2660" i="1"/>
  <c r="F2660" i="1"/>
  <c r="H2660" i="1"/>
  <c r="I2660" i="1" a="1"/>
  <c r="I2660" i="1" s="1"/>
  <c r="D2661" i="1"/>
  <c r="F2661" i="1"/>
  <c r="H2661" i="1"/>
  <c r="I2661" i="1" a="1"/>
  <c r="I2661" i="1" s="1"/>
  <c r="D2662" i="1"/>
  <c r="F2662" i="1"/>
  <c r="H2662" i="1"/>
  <c r="I2662" i="1" a="1"/>
  <c r="I2662" i="1" s="1"/>
  <c r="D2663" i="1"/>
  <c r="F2663" i="1"/>
  <c r="H2663" i="1"/>
  <c r="I2663" i="1" a="1"/>
  <c r="I2663" i="1" s="1"/>
  <c r="D2664" i="1"/>
  <c r="F2664" i="1"/>
  <c r="H2664" i="1"/>
  <c r="I2664" i="1" a="1"/>
  <c r="I2664" i="1" s="1"/>
  <c r="D2665" i="1"/>
  <c r="F2665" i="1"/>
  <c r="H2665" i="1"/>
  <c r="I2665" i="1" a="1"/>
  <c r="I2665" i="1" s="1"/>
  <c r="D2666" i="1"/>
  <c r="F2666" i="1"/>
  <c r="H2666" i="1"/>
  <c r="I2666" i="1" a="1"/>
  <c r="I2666" i="1" s="1"/>
  <c r="D2667" i="1"/>
  <c r="F2667" i="1"/>
  <c r="H2667" i="1"/>
  <c r="I2667" i="1" a="1"/>
  <c r="I2667" i="1" s="1"/>
  <c r="D2668" i="1"/>
  <c r="F2668" i="1"/>
  <c r="H2668" i="1"/>
  <c r="I2668" i="1" a="1"/>
  <c r="I2668" i="1" s="1"/>
  <c r="D2669" i="1"/>
  <c r="F2669" i="1"/>
  <c r="H2669" i="1"/>
  <c r="I2669" i="1" a="1"/>
  <c r="I2669" i="1" s="1"/>
  <c r="D2670" i="1"/>
  <c r="F2670" i="1"/>
  <c r="H2670" i="1"/>
  <c r="I2670" i="1" a="1"/>
  <c r="I2670" i="1" s="1"/>
  <c r="D2671" i="1"/>
  <c r="F2671" i="1"/>
  <c r="H2671" i="1"/>
  <c r="I2671" i="1" a="1"/>
  <c r="I2671" i="1" s="1"/>
  <c r="D2672" i="1"/>
  <c r="F2672" i="1"/>
  <c r="H2672" i="1"/>
  <c r="I2672" i="1" a="1"/>
  <c r="I2672" i="1" s="1"/>
  <c r="D2673" i="1"/>
  <c r="F2673" i="1"/>
  <c r="H2673" i="1"/>
  <c r="I2673" i="1" a="1"/>
  <c r="I2673" i="1" s="1"/>
  <c r="D2674" i="1"/>
  <c r="F2674" i="1"/>
  <c r="H2674" i="1"/>
  <c r="I2674" i="1" a="1"/>
  <c r="I2674" i="1" s="1"/>
  <c r="D2675" i="1"/>
  <c r="F2675" i="1"/>
  <c r="H2675" i="1"/>
  <c r="I2675" i="1" a="1"/>
  <c r="I2675" i="1" s="1"/>
  <c r="D2676" i="1"/>
  <c r="F2676" i="1"/>
  <c r="H2676" i="1"/>
  <c r="I2676" i="1" a="1"/>
  <c r="I2676" i="1" s="1"/>
  <c r="D2677" i="1"/>
  <c r="F2677" i="1"/>
  <c r="H2677" i="1"/>
  <c r="I2677" i="1" a="1"/>
  <c r="I2677" i="1" s="1"/>
  <c r="D2678" i="1"/>
  <c r="F2678" i="1"/>
  <c r="H2678" i="1"/>
  <c r="I2678" i="1" a="1"/>
  <c r="I2678" i="1" s="1"/>
  <c r="D2679" i="1"/>
  <c r="F2679" i="1"/>
  <c r="H2679" i="1"/>
  <c r="I2679" i="1" a="1"/>
  <c r="I2679" i="1" s="1"/>
  <c r="D2680" i="1"/>
  <c r="F2680" i="1"/>
  <c r="H2680" i="1"/>
  <c r="I2680" i="1" a="1"/>
  <c r="I2680" i="1" s="1"/>
  <c r="D2681" i="1"/>
  <c r="F2681" i="1"/>
  <c r="H2681" i="1"/>
  <c r="I2681" i="1" a="1"/>
  <c r="I2681" i="1" s="1"/>
  <c r="D2682" i="1"/>
  <c r="F2682" i="1"/>
  <c r="H2682" i="1"/>
  <c r="I2682" i="1" a="1"/>
  <c r="I2682" i="1" s="1"/>
  <c r="D2683" i="1"/>
  <c r="F2683" i="1"/>
  <c r="H2683" i="1"/>
  <c r="I2683" i="1" a="1"/>
  <c r="I2683" i="1" s="1"/>
  <c r="D2684" i="1"/>
  <c r="F2684" i="1"/>
  <c r="H2684" i="1"/>
  <c r="I2684" i="1" a="1"/>
  <c r="I2684" i="1" s="1"/>
  <c r="D2685" i="1"/>
  <c r="F2685" i="1"/>
  <c r="H2685" i="1"/>
  <c r="I2685" i="1" a="1"/>
  <c r="I2685" i="1" s="1"/>
  <c r="D2686" i="1"/>
  <c r="F2686" i="1"/>
  <c r="H2686" i="1"/>
  <c r="I2686" i="1" a="1"/>
  <c r="I2686" i="1" s="1"/>
  <c r="D2687" i="1"/>
  <c r="F2687" i="1"/>
  <c r="H2687" i="1"/>
  <c r="I2687" i="1" a="1"/>
  <c r="I2687" i="1" s="1"/>
  <c r="D2688" i="1"/>
  <c r="F2688" i="1"/>
  <c r="H2688" i="1"/>
  <c r="I2688" i="1" a="1"/>
  <c r="I2688" i="1" s="1"/>
  <c r="D2689" i="1"/>
  <c r="F2689" i="1"/>
  <c r="H2689" i="1"/>
  <c r="I2689" i="1" a="1"/>
  <c r="I2689" i="1" s="1"/>
  <c r="D2690" i="1"/>
  <c r="F2690" i="1"/>
  <c r="H2690" i="1"/>
  <c r="I2690" i="1" a="1"/>
  <c r="I2690" i="1" s="1"/>
  <c r="D2691" i="1"/>
  <c r="F2691" i="1"/>
  <c r="H2691" i="1"/>
  <c r="I2691" i="1" a="1"/>
  <c r="I2691" i="1" s="1"/>
  <c r="D2692" i="1"/>
  <c r="F2692" i="1"/>
  <c r="H2692" i="1"/>
  <c r="I2692" i="1" a="1"/>
  <c r="I2692" i="1" s="1"/>
  <c r="D2693" i="1"/>
  <c r="F2693" i="1"/>
  <c r="H2693" i="1"/>
  <c r="I2693" i="1" a="1"/>
  <c r="I2693" i="1" s="1"/>
  <c r="D2694" i="1"/>
  <c r="F2694" i="1"/>
  <c r="H2694" i="1"/>
  <c r="I2694" i="1" a="1"/>
  <c r="I2694" i="1" s="1"/>
  <c r="D2695" i="1"/>
  <c r="F2695" i="1"/>
  <c r="H2695" i="1"/>
  <c r="I2695" i="1" a="1"/>
  <c r="I2695" i="1" s="1"/>
  <c r="D2696" i="1"/>
  <c r="F2696" i="1"/>
  <c r="H2696" i="1"/>
  <c r="I2696" i="1" a="1"/>
  <c r="I2696" i="1" s="1"/>
  <c r="D2697" i="1"/>
  <c r="F2697" i="1"/>
  <c r="H2697" i="1"/>
  <c r="I2697" i="1" a="1"/>
  <c r="I2697" i="1" s="1"/>
  <c r="D2698" i="1"/>
  <c r="F2698" i="1"/>
  <c r="H2698" i="1"/>
  <c r="I2698" i="1" a="1"/>
  <c r="I2698" i="1" s="1"/>
  <c r="D2699" i="1"/>
  <c r="F2699" i="1"/>
  <c r="H2699" i="1"/>
  <c r="I2699" i="1" a="1"/>
  <c r="I2699" i="1" s="1"/>
  <c r="D2700" i="1"/>
  <c r="F2700" i="1"/>
  <c r="H2700" i="1"/>
  <c r="I2700" i="1" a="1"/>
  <c r="I2700" i="1" s="1"/>
  <c r="D2701" i="1"/>
  <c r="F2701" i="1"/>
  <c r="H2701" i="1"/>
  <c r="I2701" i="1" a="1"/>
  <c r="I2701" i="1" s="1"/>
  <c r="D2702" i="1"/>
  <c r="F2702" i="1"/>
  <c r="H2702" i="1"/>
  <c r="I2702" i="1" a="1"/>
  <c r="I2702" i="1" s="1"/>
  <c r="D2703" i="1"/>
  <c r="F2703" i="1"/>
  <c r="H2703" i="1"/>
  <c r="I2703" i="1" a="1"/>
  <c r="I2703" i="1" s="1"/>
  <c r="D2704" i="1"/>
  <c r="F2704" i="1"/>
  <c r="H2704" i="1"/>
  <c r="I2704" i="1" a="1"/>
  <c r="I2704" i="1" s="1"/>
  <c r="D2705" i="1"/>
  <c r="F2705" i="1"/>
  <c r="H2705" i="1"/>
  <c r="I2705" i="1" a="1"/>
  <c r="I2705" i="1" s="1"/>
  <c r="D2706" i="1"/>
  <c r="F2706" i="1"/>
  <c r="H2706" i="1"/>
  <c r="I2706" i="1" a="1"/>
  <c r="I2706" i="1" s="1"/>
  <c r="D2707" i="1"/>
  <c r="F2707" i="1"/>
  <c r="H2707" i="1"/>
  <c r="I2707" i="1" a="1"/>
  <c r="I2707" i="1" s="1"/>
  <c r="D2708" i="1"/>
  <c r="F2708" i="1"/>
  <c r="H2708" i="1"/>
  <c r="I2708" i="1" a="1"/>
  <c r="I2708" i="1" s="1"/>
  <c r="D2709" i="1"/>
  <c r="F2709" i="1"/>
  <c r="H2709" i="1"/>
  <c r="I2709" i="1" a="1"/>
  <c r="I2709" i="1" s="1"/>
  <c r="D2710" i="1"/>
  <c r="F2710" i="1"/>
  <c r="H2710" i="1"/>
  <c r="I2710" i="1" a="1"/>
  <c r="I2710" i="1" s="1"/>
  <c r="D2711" i="1"/>
  <c r="F2711" i="1"/>
  <c r="H2711" i="1"/>
  <c r="I2711" i="1" a="1"/>
  <c r="I2711" i="1" s="1"/>
  <c r="D2712" i="1"/>
  <c r="F2712" i="1"/>
  <c r="H2712" i="1"/>
  <c r="I2712" i="1" a="1"/>
  <c r="I2712" i="1" s="1"/>
  <c r="D2713" i="1"/>
  <c r="F2713" i="1"/>
  <c r="H2713" i="1"/>
  <c r="I2713" i="1" a="1"/>
  <c r="I2713" i="1" s="1"/>
  <c r="D2714" i="1"/>
  <c r="F2714" i="1"/>
  <c r="H2714" i="1"/>
  <c r="I2714" i="1" a="1"/>
  <c r="I2714" i="1" s="1"/>
  <c r="D2715" i="1"/>
  <c r="F2715" i="1"/>
  <c r="H2715" i="1"/>
  <c r="I2715" i="1" a="1"/>
  <c r="I2715" i="1" s="1"/>
  <c r="D2716" i="1"/>
  <c r="F2716" i="1"/>
  <c r="H2716" i="1"/>
  <c r="I2716" i="1" a="1"/>
  <c r="I2716" i="1" s="1"/>
  <c r="D2717" i="1"/>
  <c r="F2717" i="1"/>
  <c r="H2717" i="1"/>
  <c r="I2717" i="1" a="1"/>
  <c r="I2717" i="1" s="1"/>
  <c r="D2718" i="1"/>
  <c r="F2718" i="1"/>
  <c r="H2718" i="1"/>
  <c r="I2718" i="1" a="1"/>
  <c r="I2718" i="1" s="1"/>
  <c r="D2719" i="1"/>
  <c r="F2719" i="1"/>
  <c r="H2719" i="1"/>
  <c r="I2719" i="1" a="1"/>
  <c r="I2719" i="1" s="1"/>
  <c r="D2720" i="1"/>
  <c r="F2720" i="1"/>
  <c r="H2720" i="1"/>
  <c r="I2720" i="1" a="1"/>
  <c r="I2720" i="1" s="1"/>
  <c r="D2721" i="1"/>
  <c r="F2721" i="1"/>
  <c r="H2721" i="1"/>
  <c r="I2721" i="1" a="1"/>
  <c r="I2721" i="1" s="1"/>
  <c r="D2722" i="1"/>
  <c r="F2722" i="1"/>
  <c r="H2722" i="1"/>
  <c r="I2722" i="1" a="1"/>
  <c r="I2722" i="1" s="1"/>
  <c r="D2723" i="1"/>
  <c r="F2723" i="1"/>
  <c r="H2723" i="1"/>
  <c r="I2723" i="1" a="1"/>
  <c r="I2723" i="1" s="1"/>
  <c r="D2724" i="1"/>
  <c r="F2724" i="1"/>
  <c r="H2724" i="1"/>
  <c r="I2724" i="1" a="1"/>
  <c r="I2724" i="1" s="1"/>
  <c r="D2725" i="1"/>
  <c r="F2725" i="1"/>
  <c r="H2725" i="1"/>
  <c r="I2725" i="1" a="1"/>
  <c r="I2725" i="1" s="1"/>
  <c r="D2726" i="1"/>
  <c r="F2726" i="1"/>
  <c r="H2726" i="1"/>
  <c r="I2726" i="1" a="1"/>
  <c r="I2726" i="1" s="1"/>
  <c r="D2727" i="1"/>
  <c r="F2727" i="1"/>
  <c r="H2727" i="1"/>
  <c r="I2727" i="1" a="1"/>
  <c r="I2727" i="1" s="1"/>
  <c r="D2728" i="1"/>
  <c r="F2728" i="1"/>
  <c r="H2728" i="1"/>
  <c r="I2728" i="1" a="1"/>
  <c r="I2728" i="1" s="1"/>
  <c r="D2729" i="1"/>
  <c r="F2729" i="1"/>
  <c r="H2729" i="1"/>
  <c r="I2729" i="1" a="1"/>
  <c r="I2729" i="1" s="1"/>
  <c r="D2730" i="1"/>
  <c r="F2730" i="1"/>
  <c r="H2730" i="1"/>
  <c r="I2730" i="1" a="1"/>
  <c r="I2730" i="1" s="1"/>
  <c r="D2731" i="1"/>
  <c r="F2731" i="1"/>
  <c r="H2731" i="1"/>
  <c r="I2731" i="1" a="1"/>
  <c r="I2731" i="1" s="1"/>
  <c r="D2732" i="1"/>
  <c r="F2732" i="1"/>
  <c r="H2732" i="1"/>
  <c r="I2732" i="1" a="1"/>
  <c r="I2732" i="1" s="1"/>
  <c r="D2733" i="1"/>
  <c r="F2733" i="1"/>
  <c r="H2733" i="1"/>
  <c r="I2733" i="1" a="1"/>
  <c r="I2733" i="1" s="1"/>
  <c r="D2734" i="1"/>
  <c r="F2734" i="1"/>
  <c r="H2734" i="1"/>
  <c r="I2734" i="1" a="1"/>
  <c r="I2734" i="1" s="1"/>
  <c r="D2735" i="1"/>
  <c r="F2735" i="1"/>
  <c r="H2735" i="1"/>
  <c r="I2735" i="1" a="1"/>
  <c r="I2735" i="1" s="1"/>
  <c r="D2736" i="1"/>
  <c r="F2736" i="1"/>
  <c r="H2736" i="1"/>
  <c r="I2736" i="1" a="1"/>
  <c r="I2736" i="1" s="1"/>
  <c r="D2737" i="1"/>
  <c r="F2737" i="1"/>
  <c r="H2737" i="1"/>
  <c r="I2737" i="1" a="1"/>
  <c r="I2737" i="1" s="1"/>
  <c r="D2738" i="1"/>
  <c r="F2738" i="1"/>
  <c r="H2738" i="1"/>
  <c r="I2738" i="1" a="1"/>
  <c r="I2738" i="1" s="1"/>
  <c r="D2739" i="1"/>
  <c r="F2739" i="1"/>
  <c r="H2739" i="1"/>
  <c r="I2739" i="1" a="1"/>
  <c r="I2739" i="1" s="1"/>
  <c r="D2740" i="1"/>
  <c r="F2740" i="1"/>
  <c r="H2740" i="1"/>
  <c r="I2740" i="1" a="1"/>
  <c r="I2740" i="1" s="1"/>
  <c r="D2741" i="1"/>
  <c r="F2741" i="1"/>
  <c r="H2741" i="1"/>
  <c r="I2741" i="1" a="1"/>
  <c r="I2741" i="1" s="1"/>
  <c r="D2742" i="1"/>
  <c r="F2742" i="1"/>
  <c r="H2742" i="1"/>
  <c r="I2742" i="1" a="1"/>
  <c r="I2742" i="1" s="1"/>
  <c r="D2743" i="1"/>
  <c r="F2743" i="1"/>
  <c r="H2743" i="1"/>
  <c r="I2743" i="1" a="1"/>
  <c r="I2743" i="1" s="1"/>
  <c r="D2744" i="1"/>
  <c r="F2744" i="1"/>
  <c r="H2744" i="1"/>
  <c r="I2744" i="1" a="1"/>
  <c r="I2744" i="1" s="1"/>
  <c r="D2745" i="1"/>
  <c r="F2745" i="1"/>
  <c r="H2745" i="1"/>
  <c r="I2745" i="1" a="1"/>
  <c r="I2745" i="1" s="1"/>
  <c r="D2746" i="1"/>
  <c r="F2746" i="1"/>
  <c r="H2746" i="1"/>
  <c r="I2746" i="1" a="1"/>
  <c r="I2746" i="1" s="1"/>
  <c r="D2747" i="1"/>
  <c r="F2747" i="1"/>
  <c r="H2747" i="1"/>
  <c r="I2747" i="1" a="1"/>
  <c r="I2747" i="1" s="1"/>
  <c r="D2748" i="1"/>
  <c r="F2748" i="1"/>
  <c r="H2748" i="1"/>
  <c r="I2748" i="1" a="1"/>
  <c r="I2748" i="1" s="1"/>
  <c r="D2749" i="1"/>
  <c r="F2749" i="1"/>
  <c r="H2749" i="1"/>
  <c r="I2749" i="1" a="1"/>
  <c r="I2749" i="1" s="1"/>
  <c r="D2750" i="1"/>
  <c r="F2750" i="1"/>
  <c r="H2750" i="1"/>
  <c r="I2750" i="1" a="1"/>
  <c r="I2750" i="1" s="1"/>
  <c r="D2751" i="1"/>
  <c r="F2751" i="1"/>
  <c r="H2751" i="1"/>
  <c r="I2751" i="1" a="1"/>
  <c r="I2751" i="1" s="1"/>
  <c r="D2752" i="1"/>
  <c r="F2752" i="1"/>
  <c r="H2752" i="1"/>
  <c r="I2752" i="1" a="1"/>
  <c r="I2752" i="1" s="1"/>
  <c r="D2753" i="1"/>
  <c r="F2753" i="1"/>
  <c r="H2753" i="1"/>
  <c r="I2753" i="1" a="1"/>
  <c r="I2753" i="1" s="1"/>
  <c r="D2754" i="1"/>
  <c r="F2754" i="1"/>
  <c r="H2754" i="1"/>
  <c r="I2754" i="1" a="1"/>
  <c r="I2754" i="1" s="1"/>
  <c r="D2755" i="1"/>
  <c r="F2755" i="1"/>
  <c r="H2755" i="1"/>
  <c r="I2755" i="1" a="1"/>
  <c r="I2755" i="1" s="1"/>
  <c r="D2756" i="1"/>
  <c r="F2756" i="1"/>
  <c r="H2756" i="1"/>
  <c r="I2756" i="1" a="1"/>
  <c r="I2756" i="1" s="1"/>
  <c r="D2757" i="1"/>
  <c r="F2757" i="1"/>
  <c r="H2757" i="1"/>
  <c r="I2757" i="1" a="1"/>
  <c r="I2757" i="1" s="1"/>
  <c r="D2758" i="1"/>
  <c r="F2758" i="1"/>
  <c r="H2758" i="1"/>
  <c r="I2758" i="1" a="1"/>
  <c r="I2758" i="1" s="1"/>
  <c r="D2759" i="1"/>
  <c r="F2759" i="1"/>
  <c r="H2759" i="1"/>
  <c r="I2759" i="1" a="1"/>
  <c r="I2759" i="1" s="1"/>
  <c r="D2760" i="1"/>
  <c r="F2760" i="1"/>
  <c r="H2760" i="1"/>
  <c r="I2760" i="1" a="1"/>
  <c r="I2760" i="1" s="1"/>
  <c r="D2761" i="1"/>
  <c r="F2761" i="1"/>
  <c r="H2761" i="1"/>
  <c r="I2761" i="1" a="1"/>
  <c r="I2761" i="1" s="1"/>
  <c r="D2762" i="1"/>
  <c r="F2762" i="1"/>
  <c r="H2762" i="1"/>
  <c r="I2762" i="1" a="1"/>
  <c r="I2762" i="1" s="1"/>
  <c r="D2763" i="1"/>
  <c r="F2763" i="1"/>
  <c r="H2763" i="1"/>
  <c r="I2763" i="1" a="1"/>
  <c r="I2763" i="1" s="1"/>
  <c r="D2764" i="1"/>
  <c r="F2764" i="1"/>
  <c r="H2764" i="1"/>
  <c r="I2764" i="1" a="1"/>
  <c r="I2764" i="1" s="1"/>
  <c r="D2765" i="1"/>
  <c r="F2765" i="1"/>
  <c r="H2765" i="1"/>
  <c r="I2765" i="1" a="1"/>
  <c r="I2765" i="1" s="1"/>
  <c r="D2766" i="1"/>
  <c r="F2766" i="1"/>
  <c r="H2766" i="1"/>
  <c r="I2766" i="1" a="1"/>
  <c r="I2766" i="1" s="1"/>
  <c r="D2767" i="1"/>
  <c r="F2767" i="1"/>
  <c r="H2767" i="1"/>
  <c r="I2767" i="1" a="1"/>
  <c r="I2767" i="1" s="1"/>
  <c r="D2768" i="1"/>
  <c r="F2768" i="1"/>
  <c r="H2768" i="1"/>
  <c r="I2768" i="1" a="1"/>
  <c r="I2768" i="1" s="1"/>
  <c r="D2769" i="1"/>
  <c r="F2769" i="1"/>
  <c r="H2769" i="1"/>
  <c r="I2769" i="1" a="1"/>
  <c r="I2769" i="1" s="1"/>
  <c r="D2770" i="1"/>
  <c r="F2770" i="1"/>
  <c r="H2770" i="1"/>
  <c r="I2770" i="1" a="1"/>
  <c r="I2770" i="1" s="1"/>
  <c r="D2771" i="1"/>
  <c r="F2771" i="1"/>
  <c r="H2771" i="1"/>
  <c r="I2771" i="1" a="1"/>
  <c r="I2771" i="1" s="1"/>
  <c r="D2772" i="1"/>
  <c r="F2772" i="1"/>
  <c r="H2772" i="1"/>
  <c r="I2772" i="1" a="1"/>
  <c r="I2772" i="1" s="1"/>
  <c r="D2773" i="1"/>
  <c r="F2773" i="1"/>
  <c r="H2773" i="1"/>
  <c r="I2773" i="1" a="1"/>
  <c r="I2773" i="1" s="1"/>
  <c r="D2774" i="1"/>
  <c r="F2774" i="1"/>
  <c r="H2774" i="1"/>
  <c r="I2774" i="1" a="1"/>
  <c r="I2774" i="1" s="1"/>
  <c r="D2775" i="1"/>
  <c r="F2775" i="1"/>
  <c r="H2775" i="1"/>
  <c r="I2775" i="1" a="1"/>
  <c r="I2775" i="1" s="1"/>
  <c r="D2776" i="1"/>
  <c r="F2776" i="1"/>
  <c r="H2776" i="1"/>
  <c r="I2776" i="1" a="1"/>
  <c r="I2776" i="1" s="1"/>
  <c r="D2777" i="1"/>
  <c r="F2777" i="1"/>
  <c r="H2777" i="1"/>
  <c r="I2777" i="1" a="1"/>
  <c r="I2777" i="1" s="1"/>
  <c r="D2778" i="1"/>
  <c r="F2778" i="1"/>
  <c r="H2778" i="1"/>
  <c r="I2778" i="1" a="1"/>
  <c r="I2778" i="1" s="1"/>
  <c r="D2779" i="1"/>
  <c r="F2779" i="1"/>
  <c r="H2779" i="1"/>
  <c r="I2779" i="1" a="1"/>
  <c r="I2779" i="1" s="1"/>
  <c r="D2780" i="1"/>
  <c r="F2780" i="1"/>
  <c r="H2780" i="1"/>
  <c r="I2780" i="1" a="1"/>
  <c r="I2780" i="1" s="1"/>
  <c r="D2781" i="1"/>
  <c r="F2781" i="1"/>
  <c r="H2781" i="1"/>
  <c r="I2781" i="1" a="1"/>
  <c r="I2781" i="1" s="1"/>
  <c r="D2782" i="1"/>
  <c r="F2782" i="1"/>
  <c r="H2782" i="1"/>
  <c r="I2782" i="1" a="1"/>
  <c r="I2782" i="1" s="1"/>
  <c r="D2783" i="1"/>
  <c r="F2783" i="1"/>
  <c r="H2783" i="1"/>
  <c r="I2783" i="1" a="1"/>
  <c r="I2783" i="1" s="1"/>
  <c r="D2784" i="1"/>
  <c r="F2784" i="1"/>
  <c r="H2784" i="1"/>
  <c r="I2784" i="1" a="1"/>
  <c r="I2784" i="1" s="1"/>
  <c r="D2785" i="1"/>
  <c r="F2785" i="1"/>
  <c r="H2785" i="1"/>
  <c r="I2785" i="1" a="1"/>
  <c r="I2785" i="1" s="1"/>
  <c r="D2786" i="1"/>
  <c r="F2786" i="1"/>
  <c r="H2786" i="1"/>
  <c r="I2786" i="1" a="1"/>
  <c r="I2786" i="1" s="1"/>
  <c r="D2787" i="1"/>
  <c r="F2787" i="1"/>
  <c r="H2787" i="1"/>
  <c r="I2787" i="1" a="1"/>
  <c r="I2787" i="1" s="1"/>
  <c r="D2788" i="1"/>
  <c r="F2788" i="1"/>
  <c r="H2788" i="1"/>
  <c r="I2788" i="1" a="1"/>
  <c r="I2788" i="1" s="1"/>
  <c r="D2789" i="1"/>
  <c r="F2789" i="1"/>
  <c r="H2789" i="1"/>
  <c r="I2789" i="1" a="1"/>
  <c r="I2789" i="1" s="1"/>
  <c r="D2790" i="1"/>
  <c r="F2790" i="1"/>
  <c r="H2790" i="1"/>
  <c r="I2790" i="1" a="1"/>
  <c r="I2790" i="1" s="1"/>
  <c r="D2791" i="1"/>
  <c r="F2791" i="1"/>
  <c r="H2791" i="1"/>
  <c r="I2791" i="1" a="1"/>
  <c r="I2791" i="1" s="1"/>
  <c r="D2792" i="1"/>
  <c r="F2792" i="1"/>
  <c r="H2792" i="1"/>
  <c r="I2792" i="1" a="1"/>
  <c r="I2792" i="1" s="1"/>
  <c r="D2793" i="1"/>
  <c r="F2793" i="1"/>
  <c r="H2793" i="1"/>
  <c r="I2793" i="1" a="1"/>
  <c r="I2793" i="1" s="1"/>
  <c r="D2794" i="1"/>
  <c r="F2794" i="1"/>
  <c r="H2794" i="1"/>
  <c r="I2794" i="1" a="1"/>
  <c r="I2794" i="1" s="1"/>
  <c r="D2795" i="1"/>
  <c r="F2795" i="1"/>
  <c r="H2795" i="1"/>
  <c r="I2795" i="1" a="1"/>
  <c r="I2795" i="1" s="1"/>
  <c r="D2796" i="1"/>
  <c r="F2796" i="1"/>
  <c r="H2796" i="1"/>
  <c r="I2796" i="1" a="1"/>
  <c r="I2796" i="1" s="1"/>
  <c r="D2797" i="1"/>
  <c r="F2797" i="1"/>
  <c r="H2797" i="1"/>
  <c r="I2797" i="1" a="1"/>
  <c r="I2797" i="1" s="1"/>
  <c r="D2798" i="1"/>
  <c r="F2798" i="1"/>
  <c r="H2798" i="1"/>
  <c r="I2798" i="1" a="1"/>
  <c r="I2798" i="1" s="1"/>
  <c r="D2799" i="1"/>
  <c r="F2799" i="1"/>
  <c r="H2799" i="1"/>
  <c r="I2799" i="1" a="1"/>
  <c r="I2799" i="1" s="1"/>
  <c r="D2800" i="1"/>
  <c r="F2800" i="1"/>
  <c r="H2800" i="1"/>
  <c r="I2800" i="1" a="1"/>
  <c r="I2800" i="1" s="1"/>
  <c r="D2801" i="1"/>
  <c r="F2801" i="1"/>
  <c r="H2801" i="1"/>
  <c r="I2801" i="1" a="1"/>
  <c r="I2801" i="1" s="1"/>
  <c r="D2802" i="1"/>
  <c r="F2802" i="1"/>
  <c r="H2802" i="1"/>
  <c r="I2802" i="1" a="1"/>
  <c r="I2802" i="1" s="1"/>
  <c r="D2803" i="1"/>
  <c r="F2803" i="1"/>
  <c r="H2803" i="1"/>
  <c r="I2803" i="1" a="1"/>
  <c r="I2803" i="1" s="1"/>
  <c r="D2804" i="1"/>
  <c r="F2804" i="1"/>
  <c r="H2804" i="1"/>
  <c r="I2804" i="1" a="1"/>
  <c r="I2804" i="1" s="1"/>
  <c r="D2805" i="1"/>
  <c r="F2805" i="1"/>
  <c r="H2805" i="1"/>
  <c r="I2805" i="1" a="1"/>
  <c r="I2805" i="1" s="1"/>
  <c r="D2806" i="1"/>
  <c r="F2806" i="1"/>
  <c r="H2806" i="1"/>
  <c r="I2806" i="1" a="1"/>
  <c r="I2806" i="1" s="1"/>
  <c r="D2807" i="1"/>
  <c r="F2807" i="1"/>
  <c r="H2807" i="1"/>
  <c r="I2807" i="1" a="1"/>
  <c r="I2807" i="1" s="1"/>
  <c r="D2808" i="1"/>
  <c r="F2808" i="1"/>
  <c r="H2808" i="1"/>
  <c r="I2808" i="1" a="1"/>
  <c r="I2808" i="1" s="1"/>
  <c r="D2809" i="1"/>
  <c r="F2809" i="1"/>
  <c r="H2809" i="1"/>
  <c r="I2809" i="1" a="1"/>
  <c r="I2809" i="1" s="1"/>
  <c r="D2810" i="1"/>
  <c r="F2810" i="1"/>
  <c r="H2810" i="1"/>
  <c r="I2810" i="1" a="1"/>
  <c r="I2810" i="1" s="1"/>
  <c r="D2811" i="1"/>
  <c r="F2811" i="1"/>
  <c r="H2811" i="1"/>
  <c r="I2811" i="1" a="1"/>
  <c r="I2811" i="1" s="1"/>
  <c r="D2812" i="1"/>
  <c r="F2812" i="1"/>
  <c r="H2812" i="1"/>
  <c r="I2812" i="1" a="1"/>
  <c r="I2812" i="1" s="1"/>
  <c r="D2813" i="1"/>
  <c r="F2813" i="1"/>
  <c r="H2813" i="1"/>
  <c r="I2813" i="1" a="1"/>
  <c r="I2813" i="1" s="1"/>
  <c r="D2814" i="1"/>
  <c r="F2814" i="1"/>
  <c r="H2814" i="1"/>
  <c r="I2814" i="1" a="1"/>
  <c r="I2814" i="1" s="1"/>
  <c r="D2815" i="1"/>
  <c r="F2815" i="1"/>
  <c r="H2815" i="1"/>
  <c r="I2815" i="1" a="1"/>
  <c r="I2815" i="1" s="1"/>
  <c r="D2816" i="1"/>
  <c r="F2816" i="1"/>
  <c r="H2816" i="1"/>
  <c r="I2816" i="1" a="1"/>
  <c r="I2816" i="1" s="1"/>
  <c r="D2817" i="1"/>
  <c r="F2817" i="1"/>
  <c r="H2817" i="1"/>
  <c r="I2817" i="1" a="1"/>
  <c r="I2817" i="1" s="1"/>
  <c r="D2818" i="1"/>
  <c r="F2818" i="1"/>
  <c r="H2818" i="1"/>
  <c r="I2818" i="1" a="1"/>
  <c r="I2818" i="1" s="1"/>
  <c r="D2819" i="1"/>
  <c r="F2819" i="1"/>
  <c r="H2819" i="1"/>
  <c r="I2819" i="1" a="1"/>
  <c r="I2819" i="1" s="1"/>
  <c r="D2820" i="1"/>
  <c r="F2820" i="1"/>
  <c r="H2820" i="1"/>
  <c r="I2820" i="1" a="1"/>
  <c r="I2820" i="1" s="1"/>
  <c r="D2821" i="1"/>
  <c r="F2821" i="1"/>
  <c r="H2821" i="1"/>
  <c r="I2821" i="1" a="1"/>
  <c r="I2821" i="1" s="1"/>
  <c r="D2822" i="1"/>
  <c r="F2822" i="1"/>
  <c r="H2822" i="1"/>
  <c r="I2822" i="1" a="1"/>
  <c r="I2822" i="1" s="1"/>
  <c r="D2823" i="1"/>
  <c r="F2823" i="1"/>
  <c r="H2823" i="1"/>
  <c r="I2823" i="1" a="1"/>
  <c r="I2823" i="1" s="1"/>
  <c r="D2824" i="1"/>
  <c r="F2824" i="1"/>
  <c r="H2824" i="1"/>
  <c r="I2824" i="1" a="1"/>
  <c r="I2824" i="1" s="1"/>
  <c r="D2825" i="1"/>
  <c r="F2825" i="1"/>
  <c r="H2825" i="1"/>
  <c r="I2825" i="1" a="1"/>
  <c r="I2825" i="1" s="1"/>
  <c r="D2826" i="1"/>
  <c r="F2826" i="1"/>
  <c r="H2826" i="1"/>
  <c r="I2826" i="1" a="1"/>
  <c r="I2826" i="1" s="1"/>
  <c r="D2827" i="1"/>
  <c r="F2827" i="1"/>
  <c r="H2827" i="1"/>
  <c r="I2827" i="1" a="1"/>
  <c r="I2827" i="1" s="1"/>
  <c r="D2828" i="1"/>
  <c r="F2828" i="1"/>
  <c r="H2828" i="1"/>
  <c r="I2828" i="1" a="1"/>
  <c r="I2828" i="1" s="1"/>
  <c r="D2829" i="1"/>
  <c r="F2829" i="1"/>
  <c r="H2829" i="1"/>
  <c r="I2829" i="1" a="1"/>
  <c r="I2829" i="1" s="1"/>
  <c r="D2830" i="1"/>
  <c r="F2830" i="1"/>
  <c r="H2830" i="1"/>
  <c r="I2830" i="1" a="1"/>
  <c r="I2830" i="1" s="1"/>
  <c r="D2831" i="1"/>
  <c r="F2831" i="1"/>
  <c r="H2831" i="1"/>
  <c r="I2831" i="1" a="1"/>
  <c r="I2831" i="1" s="1"/>
  <c r="D2832" i="1"/>
  <c r="F2832" i="1"/>
  <c r="H2832" i="1"/>
  <c r="I2832" i="1" a="1"/>
  <c r="I2832" i="1" s="1"/>
  <c r="D2833" i="1"/>
  <c r="F2833" i="1"/>
  <c r="H2833" i="1"/>
  <c r="I2833" i="1" a="1"/>
  <c r="I2833" i="1" s="1"/>
  <c r="D2834" i="1"/>
  <c r="F2834" i="1"/>
  <c r="H2834" i="1"/>
  <c r="I2834" i="1" a="1"/>
  <c r="I2834" i="1" s="1"/>
  <c r="D2835" i="1"/>
  <c r="F2835" i="1"/>
  <c r="H2835" i="1"/>
  <c r="I2835" i="1" a="1"/>
  <c r="I2835" i="1" s="1"/>
  <c r="D2836" i="1"/>
  <c r="F2836" i="1"/>
  <c r="H2836" i="1"/>
  <c r="I2836" i="1" a="1"/>
  <c r="I2836" i="1" s="1"/>
  <c r="D2837" i="1"/>
  <c r="F2837" i="1"/>
  <c r="H2837" i="1"/>
  <c r="I2837" i="1" a="1"/>
  <c r="I2837" i="1" s="1"/>
  <c r="D2838" i="1"/>
  <c r="F2838" i="1"/>
  <c r="H2838" i="1"/>
  <c r="I2838" i="1" a="1"/>
  <c r="I2838" i="1" s="1"/>
  <c r="D2839" i="1"/>
  <c r="F2839" i="1"/>
  <c r="H2839" i="1"/>
  <c r="I2839" i="1" a="1"/>
  <c r="I2839" i="1" s="1"/>
  <c r="D2840" i="1"/>
  <c r="F2840" i="1"/>
  <c r="H2840" i="1"/>
  <c r="I2840" i="1" a="1"/>
  <c r="I2840" i="1" s="1"/>
  <c r="D2841" i="1"/>
  <c r="F2841" i="1"/>
  <c r="H2841" i="1"/>
  <c r="I2841" i="1" a="1"/>
  <c r="I2841" i="1" s="1"/>
  <c r="D2842" i="1"/>
  <c r="F2842" i="1"/>
  <c r="H2842" i="1"/>
  <c r="I2842" i="1" a="1"/>
  <c r="I2842" i="1" s="1"/>
  <c r="D2843" i="1"/>
  <c r="F2843" i="1"/>
  <c r="H2843" i="1"/>
  <c r="I2843" i="1" a="1"/>
  <c r="I2843" i="1" s="1"/>
  <c r="D2844" i="1"/>
  <c r="F2844" i="1"/>
  <c r="H2844" i="1"/>
  <c r="I2844" i="1" a="1"/>
  <c r="I2844" i="1" s="1"/>
  <c r="D2845" i="1"/>
  <c r="F2845" i="1"/>
  <c r="H2845" i="1"/>
  <c r="I2845" i="1" a="1"/>
  <c r="I2845" i="1" s="1"/>
  <c r="D2846" i="1"/>
  <c r="F2846" i="1"/>
  <c r="H2846" i="1"/>
  <c r="I2846" i="1" a="1"/>
  <c r="I2846" i="1" s="1"/>
  <c r="D2847" i="1"/>
  <c r="F2847" i="1"/>
  <c r="H2847" i="1"/>
  <c r="I2847" i="1" a="1"/>
  <c r="I2847" i="1" s="1"/>
  <c r="D2848" i="1"/>
  <c r="F2848" i="1"/>
  <c r="H2848" i="1"/>
  <c r="I2848" i="1" a="1"/>
  <c r="I2848" i="1" s="1"/>
  <c r="D2849" i="1"/>
  <c r="F2849" i="1"/>
  <c r="H2849" i="1"/>
  <c r="I2849" i="1" a="1"/>
  <c r="I2849" i="1" s="1"/>
  <c r="D2850" i="1"/>
  <c r="F2850" i="1"/>
  <c r="H2850" i="1"/>
  <c r="I2850" i="1" a="1"/>
  <c r="I2850" i="1" s="1"/>
  <c r="D2851" i="1"/>
  <c r="F2851" i="1"/>
  <c r="H2851" i="1"/>
  <c r="I2851" i="1" a="1"/>
  <c r="I2851" i="1" s="1"/>
  <c r="D2852" i="1"/>
  <c r="F2852" i="1"/>
  <c r="H2852" i="1"/>
  <c r="I2852" i="1" a="1"/>
  <c r="I2852" i="1" s="1"/>
  <c r="D2853" i="1"/>
  <c r="F2853" i="1"/>
  <c r="H2853" i="1"/>
  <c r="I2853" i="1" a="1"/>
  <c r="I2853" i="1" s="1"/>
  <c r="D2854" i="1"/>
  <c r="F2854" i="1"/>
  <c r="H2854" i="1"/>
  <c r="I2854" i="1" a="1"/>
  <c r="I2854" i="1" s="1"/>
  <c r="D2855" i="1"/>
  <c r="F2855" i="1"/>
  <c r="H2855" i="1"/>
  <c r="I2855" i="1" a="1"/>
  <c r="I2855" i="1" s="1"/>
  <c r="D2856" i="1"/>
  <c r="F2856" i="1"/>
  <c r="H2856" i="1"/>
  <c r="I2856" i="1" a="1"/>
  <c r="I2856" i="1" s="1"/>
  <c r="D2857" i="1"/>
  <c r="F2857" i="1"/>
  <c r="H2857" i="1"/>
  <c r="I2857" i="1" a="1"/>
  <c r="I2857" i="1" s="1"/>
  <c r="D2858" i="1"/>
  <c r="F2858" i="1"/>
  <c r="H2858" i="1"/>
  <c r="I2858" i="1" a="1"/>
  <c r="I2858" i="1" s="1"/>
  <c r="D2859" i="1"/>
  <c r="F2859" i="1"/>
  <c r="H2859" i="1"/>
  <c r="I2859" i="1" a="1"/>
  <c r="I2859" i="1" s="1"/>
  <c r="D2860" i="1"/>
  <c r="F2860" i="1"/>
  <c r="H2860" i="1"/>
  <c r="I2860" i="1" a="1"/>
  <c r="I2860" i="1" s="1"/>
  <c r="D2861" i="1"/>
  <c r="F2861" i="1"/>
  <c r="H2861" i="1"/>
  <c r="I2861" i="1" a="1"/>
  <c r="I2861" i="1" s="1"/>
  <c r="D2862" i="1"/>
  <c r="F2862" i="1"/>
  <c r="H2862" i="1"/>
  <c r="I2862" i="1" a="1"/>
  <c r="I2862" i="1" s="1"/>
  <c r="D2863" i="1"/>
  <c r="F2863" i="1"/>
  <c r="H2863" i="1"/>
  <c r="I2863" i="1" a="1"/>
  <c r="I2863" i="1" s="1"/>
  <c r="D2864" i="1"/>
  <c r="F2864" i="1"/>
  <c r="H2864" i="1"/>
  <c r="I2864" i="1" a="1"/>
  <c r="I2864" i="1" s="1"/>
  <c r="D2865" i="1"/>
  <c r="F2865" i="1"/>
  <c r="H2865" i="1"/>
  <c r="I2865" i="1" a="1"/>
  <c r="I2865" i="1" s="1"/>
  <c r="D2866" i="1"/>
  <c r="F2866" i="1"/>
  <c r="H2866" i="1"/>
  <c r="I2866" i="1" a="1"/>
  <c r="I2866" i="1" s="1"/>
  <c r="D2867" i="1"/>
  <c r="F2867" i="1"/>
  <c r="H2867" i="1"/>
  <c r="I2867" i="1" a="1"/>
  <c r="I2867" i="1" s="1"/>
  <c r="D2868" i="1"/>
  <c r="F2868" i="1"/>
  <c r="H2868" i="1"/>
  <c r="I2868" i="1" a="1"/>
  <c r="I2868" i="1" s="1"/>
  <c r="D2869" i="1"/>
  <c r="F2869" i="1"/>
  <c r="H2869" i="1"/>
  <c r="I2869" i="1" a="1"/>
  <c r="I2869" i="1" s="1"/>
  <c r="D2870" i="1"/>
  <c r="F2870" i="1"/>
  <c r="H2870" i="1"/>
  <c r="I2870" i="1" a="1"/>
  <c r="I2870" i="1" s="1"/>
  <c r="D2871" i="1"/>
  <c r="F2871" i="1"/>
  <c r="H2871" i="1"/>
  <c r="I2871" i="1" a="1"/>
  <c r="I2871" i="1" s="1"/>
  <c r="D2872" i="1"/>
  <c r="F2872" i="1"/>
  <c r="H2872" i="1"/>
  <c r="I2872" i="1" a="1"/>
  <c r="I2872" i="1" s="1"/>
  <c r="D2873" i="1"/>
  <c r="F2873" i="1"/>
  <c r="H2873" i="1"/>
  <c r="I2873" i="1" a="1"/>
  <c r="I2873" i="1" s="1"/>
  <c r="D2874" i="1"/>
  <c r="F2874" i="1"/>
  <c r="H2874" i="1"/>
  <c r="I2874" i="1" a="1"/>
  <c r="I2874" i="1" s="1"/>
  <c r="D2875" i="1"/>
  <c r="F2875" i="1"/>
  <c r="H2875" i="1"/>
  <c r="I2875" i="1" a="1"/>
  <c r="I2875" i="1" s="1"/>
  <c r="D2876" i="1"/>
  <c r="F2876" i="1"/>
  <c r="H2876" i="1"/>
  <c r="I2876" i="1" a="1"/>
  <c r="I2876" i="1" s="1"/>
  <c r="D2877" i="1"/>
  <c r="F2877" i="1"/>
  <c r="H2877" i="1"/>
  <c r="I2877" i="1" a="1"/>
  <c r="I2877" i="1" s="1"/>
  <c r="D2878" i="1"/>
  <c r="F2878" i="1"/>
  <c r="H2878" i="1"/>
  <c r="I2878" i="1" a="1"/>
  <c r="I2878" i="1" s="1"/>
  <c r="D2879" i="1"/>
  <c r="F2879" i="1"/>
  <c r="H2879" i="1"/>
  <c r="I2879" i="1" a="1"/>
  <c r="I2879" i="1" s="1"/>
  <c r="D2880" i="1"/>
  <c r="F2880" i="1"/>
  <c r="H2880" i="1"/>
  <c r="I2880" i="1" a="1"/>
  <c r="I2880" i="1" s="1"/>
  <c r="D2881" i="1"/>
  <c r="F2881" i="1"/>
  <c r="H2881" i="1"/>
  <c r="I2881" i="1" a="1"/>
  <c r="I2881" i="1" s="1"/>
  <c r="D2882" i="1"/>
  <c r="F2882" i="1"/>
  <c r="H2882" i="1"/>
  <c r="I2882" i="1" a="1"/>
  <c r="I2882" i="1" s="1"/>
  <c r="D2883" i="1"/>
  <c r="F2883" i="1"/>
  <c r="H2883" i="1"/>
  <c r="I2883" i="1" a="1"/>
  <c r="I2883" i="1" s="1"/>
  <c r="D2884" i="1"/>
  <c r="F2884" i="1"/>
  <c r="H2884" i="1"/>
  <c r="I2884" i="1" a="1"/>
  <c r="I2884" i="1" s="1"/>
  <c r="D2885" i="1"/>
  <c r="F2885" i="1"/>
  <c r="H2885" i="1"/>
  <c r="I2885" i="1" a="1"/>
  <c r="I2885" i="1" s="1"/>
  <c r="D2886" i="1"/>
  <c r="F2886" i="1"/>
  <c r="H2886" i="1"/>
  <c r="I2886" i="1" a="1"/>
  <c r="I2886" i="1" s="1"/>
  <c r="D2887" i="1"/>
  <c r="F2887" i="1"/>
  <c r="H2887" i="1"/>
  <c r="I2887" i="1" a="1"/>
  <c r="I2887" i="1" s="1"/>
  <c r="D2888" i="1"/>
  <c r="F2888" i="1"/>
  <c r="H2888" i="1"/>
  <c r="I2888" i="1" a="1"/>
  <c r="I2888" i="1" s="1"/>
  <c r="D2889" i="1"/>
  <c r="F2889" i="1"/>
  <c r="H2889" i="1"/>
  <c r="I2889" i="1" a="1"/>
  <c r="I2889" i="1" s="1"/>
  <c r="D2890" i="1"/>
  <c r="F2890" i="1"/>
  <c r="H2890" i="1"/>
  <c r="I2890" i="1" a="1"/>
  <c r="I2890" i="1" s="1"/>
  <c r="D2891" i="1"/>
  <c r="F2891" i="1"/>
  <c r="H2891" i="1"/>
  <c r="I2891" i="1" a="1"/>
  <c r="I2891" i="1" s="1"/>
  <c r="D2892" i="1"/>
  <c r="F2892" i="1"/>
  <c r="H2892" i="1"/>
  <c r="I2892" i="1" a="1"/>
  <c r="I2892" i="1" s="1"/>
  <c r="D2893" i="1"/>
  <c r="F2893" i="1"/>
  <c r="H2893" i="1"/>
  <c r="I2893" i="1" a="1"/>
  <c r="I2893" i="1" s="1"/>
  <c r="J2893" i="1" s="1"/>
  <c r="D2894" i="1"/>
  <c r="F2894" i="1"/>
  <c r="H2894" i="1"/>
  <c r="I2894" i="1" a="1"/>
  <c r="I2894" i="1" s="1"/>
  <c r="J2894" i="1" s="1"/>
  <c r="D2895" i="1"/>
  <c r="F2895" i="1"/>
  <c r="H2895" i="1"/>
  <c r="I2895" i="1" a="1"/>
  <c r="I2895" i="1" s="1"/>
  <c r="J2895" i="1" s="1"/>
  <c r="D2896" i="1"/>
  <c r="F2896" i="1"/>
  <c r="H2896" i="1"/>
  <c r="I2896" i="1" a="1"/>
  <c r="I2896" i="1" s="1"/>
  <c r="D2897" i="1"/>
  <c r="F2897" i="1"/>
  <c r="H2897" i="1"/>
  <c r="I2897" i="1" a="1"/>
  <c r="I2897" i="1" s="1"/>
  <c r="J2897" i="1" s="1"/>
  <c r="D2898" i="1"/>
  <c r="F2898" i="1"/>
  <c r="H2898" i="1"/>
  <c r="I2898" i="1" a="1"/>
  <c r="I2898" i="1" s="1"/>
  <c r="J2898" i="1" s="1"/>
  <c r="D2899" i="1"/>
  <c r="F2899" i="1"/>
  <c r="H2899" i="1"/>
  <c r="I2899" i="1" a="1"/>
  <c r="I2899" i="1" s="1"/>
  <c r="J2899" i="1" s="1"/>
  <c r="D2900" i="1"/>
  <c r="F2900" i="1"/>
  <c r="H2900" i="1"/>
  <c r="I2900" i="1" a="1"/>
  <c r="I2900" i="1" s="1"/>
  <c r="J2900" i="1" s="1"/>
  <c r="D2901" i="1"/>
  <c r="F2901" i="1"/>
  <c r="H2901" i="1"/>
  <c r="I2901" i="1" a="1"/>
  <c r="I2901" i="1" s="1"/>
  <c r="J2901" i="1" s="1"/>
  <c r="D2902" i="1"/>
  <c r="F2902" i="1"/>
  <c r="H2902" i="1"/>
  <c r="I2902" i="1" a="1"/>
  <c r="I2902" i="1" s="1"/>
  <c r="J2902" i="1" s="1"/>
  <c r="D2903" i="1"/>
  <c r="F2903" i="1"/>
  <c r="H2903" i="1"/>
  <c r="I2903" i="1" a="1"/>
  <c r="I2903" i="1" s="1"/>
  <c r="J2903" i="1" s="1"/>
  <c r="D2904" i="1"/>
  <c r="F2904" i="1"/>
  <c r="H2904" i="1"/>
  <c r="I2904" i="1" a="1"/>
  <c r="I2904" i="1" s="1"/>
  <c r="J2904" i="1" s="1"/>
  <c r="D2905" i="1"/>
  <c r="F2905" i="1"/>
  <c r="H2905" i="1"/>
  <c r="I2905" i="1" a="1"/>
  <c r="I2905" i="1" s="1"/>
  <c r="J2905" i="1" s="1"/>
  <c r="D2906" i="1"/>
  <c r="F2906" i="1"/>
  <c r="H2906" i="1"/>
  <c r="I2906" i="1" a="1"/>
  <c r="I2906" i="1" s="1"/>
  <c r="J2906" i="1" s="1"/>
  <c r="D2907" i="1"/>
  <c r="F2907" i="1"/>
  <c r="H2907" i="1"/>
  <c r="I2907" i="1" a="1"/>
  <c r="I2907" i="1" s="1"/>
  <c r="J2907" i="1" s="1"/>
  <c r="D2908" i="1"/>
  <c r="F2908" i="1"/>
  <c r="H2908" i="1"/>
  <c r="I2908" i="1" a="1"/>
  <c r="I2908" i="1" s="1"/>
  <c r="J2908" i="1" s="1"/>
  <c r="D2909" i="1"/>
  <c r="F2909" i="1"/>
  <c r="H2909" i="1"/>
  <c r="I2909" i="1" a="1"/>
  <c r="I2909" i="1" s="1"/>
  <c r="J2909" i="1" s="1"/>
  <c r="D2910" i="1"/>
  <c r="F2910" i="1"/>
  <c r="H2910" i="1"/>
  <c r="I2910" i="1" a="1"/>
  <c r="I2910" i="1" s="1"/>
  <c r="J2910" i="1" s="1"/>
  <c r="D2911" i="1"/>
  <c r="F2911" i="1"/>
  <c r="H2911" i="1"/>
  <c r="I2911" i="1" a="1"/>
  <c r="I2911" i="1" s="1"/>
  <c r="J2911" i="1" s="1"/>
  <c r="D2912" i="1"/>
  <c r="F2912" i="1"/>
  <c r="H2912" i="1"/>
  <c r="I2912" i="1" a="1"/>
  <c r="I2912" i="1" s="1"/>
  <c r="J2912" i="1" s="1"/>
  <c r="D2913" i="1"/>
  <c r="F2913" i="1"/>
  <c r="H2913" i="1"/>
  <c r="I2913" i="1" a="1"/>
  <c r="I2913" i="1" s="1"/>
  <c r="J2913" i="1" s="1"/>
  <c r="D2914" i="1"/>
  <c r="F2914" i="1"/>
  <c r="H2914" i="1"/>
  <c r="I2914" i="1" a="1"/>
  <c r="I2914" i="1" s="1"/>
  <c r="J2914" i="1" s="1"/>
  <c r="D2915" i="1"/>
  <c r="F2915" i="1"/>
  <c r="H2915" i="1"/>
  <c r="I2915" i="1" a="1"/>
  <c r="I2915" i="1" s="1"/>
  <c r="J2915" i="1" s="1"/>
  <c r="D2916" i="1"/>
  <c r="F2916" i="1"/>
  <c r="H2916" i="1"/>
  <c r="I2916" i="1" a="1"/>
  <c r="I2916" i="1" s="1"/>
  <c r="J2916" i="1" s="1"/>
  <c r="D2917" i="1"/>
  <c r="F2917" i="1"/>
  <c r="H2917" i="1"/>
  <c r="I2917" i="1" a="1"/>
  <c r="I2917" i="1" s="1"/>
  <c r="J2917" i="1" s="1"/>
  <c r="D2918" i="1"/>
  <c r="F2918" i="1"/>
  <c r="H2918" i="1"/>
  <c r="I2918" i="1" a="1"/>
  <c r="I2918" i="1" s="1"/>
  <c r="J2918" i="1" s="1"/>
  <c r="D2919" i="1"/>
  <c r="F2919" i="1"/>
  <c r="H2919" i="1"/>
  <c r="I2919" i="1" a="1"/>
  <c r="I2919" i="1" s="1"/>
  <c r="J2919" i="1" s="1"/>
  <c r="D2920" i="1"/>
  <c r="F2920" i="1"/>
  <c r="H2920" i="1"/>
  <c r="I2920" i="1" a="1"/>
  <c r="I2920" i="1" s="1"/>
  <c r="J2920" i="1" s="1"/>
  <c r="D2921" i="1"/>
  <c r="F2921" i="1"/>
  <c r="H2921" i="1"/>
  <c r="I2921" i="1" a="1"/>
  <c r="I2921" i="1" s="1"/>
  <c r="J2921" i="1" s="1"/>
  <c r="D2922" i="1"/>
  <c r="F2922" i="1"/>
  <c r="H2922" i="1"/>
  <c r="I2922" i="1" a="1"/>
  <c r="I2922" i="1" s="1"/>
  <c r="J2922" i="1" s="1"/>
  <c r="D2923" i="1"/>
  <c r="F2923" i="1"/>
  <c r="H2923" i="1"/>
  <c r="I2923" i="1" a="1"/>
  <c r="I2923" i="1" s="1"/>
  <c r="J2923" i="1" s="1"/>
  <c r="D2924" i="1"/>
  <c r="F2924" i="1"/>
  <c r="H2924" i="1"/>
  <c r="I2924" i="1" a="1"/>
  <c r="I2924" i="1" s="1"/>
  <c r="J2924" i="1" s="1"/>
  <c r="D2925" i="1"/>
  <c r="F2925" i="1"/>
  <c r="H2925" i="1"/>
  <c r="I2925" i="1" a="1"/>
  <c r="I2925" i="1" s="1"/>
  <c r="J2925" i="1" s="1"/>
  <c r="D2926" i="1"/>
  <c r="F2926" i="1"/>
  <c r="H2926" i="1"/>
  <c r="I2926" i="1" a="1"/>
  <c r="I2926" i="1" s="1"/>
  <c r="J2926" i="1" s="1"/>
  <c r="D2927" i="1"/>
  <c r="F2927" i="1"/>
  <c r="H2927" i="1"/>
  <c r="I2927" i="1" a="1"/>
  <c r="I2927" i="1" s="1"/>
  <c r="J2927" i="1" s="1"/>
  <c r="D2928" i="1"/>
  <c r="F2928" i="1"/>
  <c r="H2928" i="1"/>
  <c r="I2928" i="1" a="1"/>
  <c r="I2928" i="1" s="1"/>
  <c r="J2928" i="1" s="1"/>
  <c r="D2929" i="1"/>
  <c r="F2929" i="1"/>
  <c r="H2929" i="1"/>
  <c r="I2929" i="1" a="1"/>
  <c r="I2929" i="1" s="1"/>
  <c r="J2929" i="1" s="1"/>
  <c r="D2930" i="1"/>
  <c r="F2930" i="1"/>
  <c r="H2930" i="1"/>
  <c r="I2930" i="1" a="1"/>
  <c r="I2930" i="1" s="1"/>
  <c r="J2930" i="1" s="1"/>
  <c r="D2931" i="1"/>
  <c r="F2931" i="1"/>
  <c r="H2931" i="1"/>
  <c r="I2931" i="1" a="1"/>
  <c r="I2931" i="1" s="1"/>
  <c r="J2931" i="1" s="1"/>
  <c r="D2932" i="1"/>
  <c r="F2932" i="1"/>
  <c r="H2932" i="1"/>
  <c r="I2932" i="1" a="1"/>
  <c r="I2932" i="1" s="1"/>
  <c r="D2933" i="1"/>
  <c r="F2933" i="1"/>
  <c r="H2933" i="1"/>
  <c r="I2933" i="1" a="1"/>
  <c r="I2933" i="1" s="1"/>
  <c r="J2933" i="1" s="1"/>
  <c r="D2934" i="1"/>
  <c r="F2934" i="1"/>
  <c r="H2934" i="1"/>
  <c r="I2934" i="1" a="1"/>
  <c r="I2934" i="1" s="1"/>
  <c r="J2934" i="1" s="1"/>
  <c r="D2935" i="1"/>
  <c r="F2935" i="1"/>
  <c r="H2935" i="1"/>
  <c r="I2935" i="1" a="1"/>
  <c r="I2935" i="1" s="1"/>
  <c r="J2935" i="1" s="1"/>
  <c r="D2936" i="1"/>
  <c r="F2936" i="1"/>
  <c r="H2936" i="1"/>
  <c r="I2936" i="1" a="1"/>
  <c r="I2936" i="1" s="1"/>
  <c r="J2936" i="1" s="1"/>
  <c r="D2937" i="1"/>
  <c r="F2937" i="1"/>
  <c r="H2937" i="1"/>
  <c r="I2937" i="1" a="1"/>
  <c r="I2937" i="1" s="1"/>
  <c r="J2937" i="1" s="1"/>
  <c r="D2938" i="1"/>
  <c r="F2938" i="1"/>
  <c r="H2938" i="1"/>
  <c r="I2938" i="1" a="1"/>
  <c r="I2938" i="1" s="1"/>
  <c r="J2938" i="1" s="1"/>
  <c r="D2939" i="1"/>
  <c r="F2939" i="1"/>
  <c r="H2939" i="1"/>
  <c r="I2939" i="1" a="1"/>
  <c r="I2939" i="1" s="1"/>
  <c r="J2939" i="1" s="1"/>
  <c r="D2940" i="1"/>
  <c r="F2940" i="1"/>
  <c r="H2940" i="1"/>
  <c r="I2940" i="1" a="1"/>
  <c r="I2940" i="1" s="1"/>
  <c r="J2940" i="1" s="1"/>
  <c r="D2941" i="1"/>
  <c r="F2941" i="1"/>
  <c r="H2941" i="1"/>
  <c r="I2941" i="1" a="1"/>
  <c r="I2941" i="1" s="1"/>
  <c r="J2941" i="1" s="1"/>
  <c r="D2942" i="1"/>
  <c r="F2942" i="1"/>
  <c r="H2942" i="1"/>
  <c r="I2942" i="1" a="1"/>
  <c r="I2942" i="1" s="1"/>
  <c r="J2942" i="1" s="1"/>
  <c r="D2943" i="1"/>
  <c r="F2943" i="1"/>
  <c r="H2943" i="1"/>
  <c r="I2943" i="1" a="1"/>
  <c r="I2943" i="1" s="1"/>
  <c r="J2943" i="1" s="1"/>
  <c r="D2944" i="1"/>
  <c r="F2944" i="1"/>
  <c r="H2944" i="1"/>
  <c r="I2944" i="1" a="1"/>
  <c r="I2944" i="1" s="1"/>
  <c r="J2944" i="1" s="1"/>
  <c r="D2945" i="1"/>
  <c r="F2945" i="1"/>
  <c r="H2945" i="1"/>
  <c r="I2945" i="1" a="1"/>
  <c r="I2945" i="1" s="1"/>
  <c r="J2945" i="1" s="1"/>
  <c r="D2946" i="1"/>
  <c r="F2946" i="1"/>
  <c r="H2946" i="1"/>
  <c r="I2946" i="1" a="1"/>
  <c r="I2946" i="1" s="1"/>
  <c r="J2946" i="1" s="1"/>
  <c r="D2947" i="1"/>
  <c r="F2947" i="1"/>
  <c r="H2947" i="1"/>
  <c r="I2947" i="1" a="1"/>
  <c r="I2947" i="1" s="1"/>
  <c r="J2947" i="1" s="1"/>
  <c r="D2948" i="1"/>
  <c r="F2948" i="1"/>
  <c r="H2948" i="1"/>
  <c r="I2948" i="1" a="1"/>
  <c r="I2948" i="1" s="1"/>
  <c r="J2948" i="1" s="1"/>
  <c r="D2949" i="1"/>
  <c r="F2949" i="1"/>
  <c r="H2949" i="1"/>
  <c r="I2949" i="1" a="1"/>
  <c r="I2949" i="1" s="1"/>
  <c r="J2949" i="1" s="1"/>
  <c r="D2950" i="1"/>
  <c r="F2950" i="1"/>
  <c r="H2950" i="1"/>
  <c r="I2950" i="1" a="1"/>
  <c r="I2950" i="1" s="1"/>
  <c r="J2950" i="1" s="1"/>
  <c r="D2951" i="1"/>
  <c r="F2951" i="1"/>
  <c r="H2951" i="1"/>
  <c r="I2951" i="1" a="1"/>
  <c r="I2951" i="1" s="1"/>
  <c r="J2951" i="1" s="1"/>
  <c r="D2952" i="1"/>
  <c r="F2952" i="1"/>
  <c r="H2952" i="1"/>
  <c r="I2952" i="1" a="1"/>
  <c r="I2952" i="1" s="1"/>
  <c r="J2952" i="1" s="1"/>
  <c r="D2953" i="1"/>
  <c r="F2953" i="1"/>
  <c r="H2953" i="1"/>
  <c r="I2953" i="1" a="1"/>
  <c r="I2953" i="1" s="1"/>
  <c r="J2953" i="1" s="1"/>
  <c r="D2954" i="1"/>
  <c r="F2954" i="1"/>
  <c r="H2954" i="1"/>
  <c r="I2954" i="1" a="1"/>
  <c r="I2954" i="1" s="1"/>
  <c r="D2955" i="1"/>
  <c r="F2955" i="1"/>
  <c r="H2955" i="1"/>
  <c r="I2955" i="1" a="1"/>
  <c r="I2955" i="1" s="1"/>
  <c r="J2955" i="1" s="1"/>
  <c r="D2956" i="1"/>
  <c r="F2956" i="1"/>
  <c r="H2956" i="1"/>
  <c r="I2956" i="1" a="1"/>
  <c r="I2956" i="1" s="1"/>
  <c r="J2956" i="1" s="1"/>
  <c r="D2957" i="1"/>
  <c r="F2957" i="1"/>
  <c r="H2957" i="1"/>
  <c r="I2957" i="1" a="1"/>
  <c r="I2957" i="1" s="1"/>
  <c r="J2957" i="1" s="1"/>
  <c r="D2958" i="1"/>
  <c r="F2958" i="1"/>
  <c r="H2958" i="1"/>
  <c r="I2958" i="1" a="1"/>
  <c r="I2958" i="1" s="1"/>
  <c r="J2958" i="1" s="1"/>
  <c r="D2959" i="1"/>
  <c r="F2959" i="1"/>
  <c r="H2959" i="1"/>
  <c r="I2959" i="1" a="1"/>
  <c r="I2959" i="1" s="1"/>
  <c r="D2960" i="1"/>
  <c r="F2960" i="1"/>
  <c r="H2960" i="1"/>
  <c r="I2960" i="1" a="1"/>
  <c r="I2960" i="1" s="1"/>
  <c r="J2960" i="1" s="1"/>
  <c r="D2961" i="1"/>
  <c r="F2961" i="1"/>
  <c r="H2961" i="1"/>
  <c r="I2961" i="1" a="1"/>
  <c r="I2961" i="1" s="1"/>
  <c r="J2961" i="1" s="1"/>
  <c r="D2962" i="1"/>
  <c r="F2962" i="1"/>
  <c r="H2962" i="1"/>
  <c r="I2962" i="1" a="1"/>
  <c r="I2962" i="1" s="1"/>
  <c r="D2963" i="1"/>
  <c r="F2963" i="1"/>
  <c r="H2963" i="1"/>
  <c r="I2963" i="1" a="1"/>
  <c r="I2963" i="1" s="1"/>
  <c r="J2963" i="1" s="1"/>
  <c r="D2964" i="1"/>
  <c r="F2964" i="1"/>
  <c r="H2964" i="1"/>
  <c r="I2964" i="1" a="1"/>
  <c r="I2964" i="1" s="1"/>
  <c r="J2964" i="1" s="1"/>
  <c r="D2965" i="1"/>
  <c r="F2965" i="1"/>
  <c r="H2965" i="1"/>
  <c r="I2965" i="1" a="1"/>
  <c r="I2965" i="1" s="1"/>
  <c r="J2965" i="1" s="1"/>
  <c r="D2966" i="1"/>
  <c r="F2966" i="1"/>
  <c r="H2966" i="1"/>
  <c r="I2966" i="1" a="1"/>
  <c r="I2966" i="1" s="1"/>
  <c r="J2966" i="1" s="1"/>
  <c r="D2967" i="1"/>
  <c r="F2967" i="1"/>
  <c r="H2967" i="1"/>
  <c r="I2967" i="1" a="1"/>
  <c r="I2967" i="1" s="1"/>
  <c r="J2967" i="1" s="1"/>
  <c r="D2968" i="1"/>
  <c r="F2968" i="1"/>
  <c r="H2968" i="1"/>
  <c r="I2968" i="1" a="1"/>
  <c r="I2968" i="1" s="1"/>
  <c r="D2969" i="1"/>
  <c r="F2969" i="1"/>
  <c r="H2969" i="1"/>
  <c r="I2969" i="1" a="1"/>
  <c r="I2969" i="1" s="1"/>
  <c r="J2969" i="1" s="1"/>
  <c r="D2970" i="1"/>
  <c r="F2970" i="1"/>
  <c r="H2970" i="1"/>
  <c r="I2970" i="1" a="1"/>
  <c r="I2970" i="1" s="1"/>
  <c r="J2970" i="1" s="1"/>
  <c r="D2971" i="1"/>
  <c r="F2971" i="1"/>
  <c r="H2971" i="1"/>
  <c r="I2971" i="1" a="1"/>
  <c r="I2971" i="1" s="1"/>
  <c r="J2971" i="1" s="1"/>
  <c r="D2972" i="1"/>
  <c r="F2972" i="1"/>
  <c r="H2972" i="1"/>
  <c r="I2972" i="1" a="1"/>
  <c r="I2972" i="1" s="1"/>
  <c r="J2972" i="1" s="1"/>
  <c r="D2973" i="1"/>
  <c r="F2973" i="1"/>
  <c r="H2973" i="1"/>
  <c r="I2973" i="1" a="1"/>
  <c r="I2973" i="1" s="1"/>
  <c r="J2973" i="1" s="1"/>
  <c r="D2974" i="1"/>
  <c r="F2974" i="1"/>
  <c r="H2974" i="1"/>
  <c r="I2974" i="1" a="1"/>
  <c r="I2974" i="1" s="1"/>
  <c r="J2974" i="1" s="1"/>
  <c r="D2975" i="1"/>
  <c r="F2975" i="1"/>
  <c r="H2975" i="1"/>
  <c r="I2975" i="1" a="1"/>
  <c r="I2975" i="1" s="1"/>
  <c r="J2975" i="1" s="1"/>
  <c r="D2976" i="1"/>
  <c r="F2976" i="1"/>
  <c r="H2976" i="1"/>
  <c r="I2976" i="1" a="1"/>
  <c r="I2976" i="1" s="1"/>
  <c r="D2977" i="1"/>
  <c r="F2977" i="1"/>
  <c r="H2977" i="1"/>
  <c r="I2977" i="1" a="1"/>
  <c r="I2977" i="1" s="1"/>
  <c r="J2977" i="1" s="1"/>
  <c r="D2978" i="1"/>
  <c r="F2978" i="1"/>
  <c r="H2978" i="1"/>
  <c r="I2978" i="1" a="1"/>
  <c r="I2978" i="1" s="1"/>
  <c r="J2978" i="1" s="1"/>
  <c r="D2979" i="1"/>
  <c r="F2979" i="1"/>
  <c r="H2979" i="1"/>
  <c r="I2979" i="1" a="1"/>
  <c r="I2979" i="1" s="1"/>
  <c r="J2979" i="1" s="1"/>
  <c r="D2980" i="1"/>
  <c r="F2980" i="1"/>
  <c r="H2980" i="1"/>
  <c r="I2980" i="1" a="1"/>
  <c r="I2980" i="1" s="1"/>
  <c r="J2980" i="1" s="1"/>
  <c r="D2981" i="1"/>
  <c r="F2981" i="1"/>
  <c r="H2981" i="1"/>
  <c r="I2981" i="1" a="1"/>
  <c r="I2981" i="1" s="1"/>
  <c r="J2981" i="1" s="1"/>
  <c r="D2982" i="1"/>
  <c r="F2982" i="1"/>
  <c r="H2982" i="1"/>
  <c r="I2982" i="1" a="1"/>
  <c r="I2982" i="1" s="1"/>
  <c r="J2982" i="1" s="1"/>
  <c r="D2983" i="1"/>
  <c r="F2983" i="1"/>
  <c r="H2983" i="1"/>
  <c r="I2983" i="1" a="1"/>
  <c r="I2983" i="1" s="1"/>
  <c r="D2984" i="1"/>
  <c r="F2984" i="1"/>
  <c r="H2984" i="1"/>
  <c r="I2984" i="1" a="1"/>
  <c r="I2984" i="1" s="1"/>
  <c r="J2984" i="1" s="1"/>
  <c r="D2985" i="1"/>
  <c r="F2985" i="1"/>
  <c r="H2985" i="1"/>
  <c r="I2985" i="1" a="1"/>
  <c r="I2985" i="1" s="1"/>
  <c r="J2985" i="1" s="1"/>
  <c r="D2986" i="1"/>
  <c r="F2986" i="1"/>
  <c r="H2986" i="1"/>
  <c r="I2986" i="1" a="1"/>
  <c r="I2986" i="1" s="1"/>
  <c r="J2986" i="1" s="1"/>
  <c r="D2987" i="1"/>
  <c r="F2987" i="1"/>
  <c r="H2987" i="1"/>
  <c r="I2987" i="1" a="1"/>
  <c r="I2987" i="1" s="1"/>
  <c r="J2987" i="1" s="1"/>
  <c r="D2988" i="1"/>
  <c r="F2988" i="1"/>
  <c r="H2988" i="1"/>
  <c r="I2988" i="1" a="1"/>
  <c r="I2988" i="1" s="1"/>
  <c r="J2988" i="1" s="1"/>
  <c r="D2989" i="1"/>
  <c r="F2989" i="1"/>
  <c r="H2989" i="1"/>
  <c r="I2989" i="1" a="1"/>
  <c r="I2989" i="1" s="1"/>
  <c r="J2989" i="1" s="1"/>
  <c r="D2990" i="1"/>
  <c r="F2990" i="1"/>
  <c r="H2990" i="1"/>
  <c r="I2990" i="1" a="1"/>
  <c r="I2990" i="1" s="1"/>
  <c r="J2990" i="1" s="1"/>
  <c r="D2991" i="1"/>
  <c r="F2991" i="1"/>
  <c r="H2991" i="1"/>
  <c r="I2991" i="1" a="1"/>
  <c r="I2991" i="1" s="1"/>
  <c r="J2991" i="1" s="1"/>
  <c r="D2992" i="1"/>
  <c r="F2992" i="1"/>
  <c r="H2992" i="1"/>
  <c r="I2992" i="1" a="1"/>
  <c r="I2992" i="1" s="1"/>
  <c r="J2992" i="1" s="1"/>
  <c r="D2993" i="1"/>
  <c r="F2993" i="1"/>
  <c r="H2993" i="1"/>
  <c r="I2993" i="1" a="1"/>
  <c r="I2993" i="1" s="1"/>
  <c r="J2993" i="1" s="1"/>
  <c r="D2994" i="1"/>
  <c r="F2994" i="1"/>
  <c r="H2994" i="1"/>
  <c r="I2994" i="1" a="1"/>
  <c r="I2994" i="1" s="1"/>
  <c r="D2995" i="1"/>
  <c r="F2995" i="1"/>
  <c r="H2995" i="1"/>
  <c r="I2995" i="1" a="1"/>
  <c r="I2995" i="1" s="1"/>
  <c r="J2995" i="1" s="1"/>
  <c r="D2996" i="1"/>
  <c r="F2996" i="1"/>
  <c r="H2996" i="1"/>
  <c r="I2996" i="1" a="1"/>
  <c r="I2996" i="1" s="1"/>
  <c r="J2996" i="1" s="1"/>
  <c r="D2997" i="1"/>
  <c r="F2997" i="1"/>
  <c r="H2997" i="1"/>
  <c r="I2997" i="1" a="1"/>
  <c r="I2997" i="1" s="1"/>
  <c r="J2997" i="1" s="1"/>
  <c r="D2998" i="1"/>
  <c r="F2998" i="1"/>
  <c r="H2998" i="1"/>
  <c r="I2998" i="1" a="1"/>
  <c r="I2998" i="1" s="1"/>
  <c r="J2998" i="1" s="1"/>
  <c r="D2999" i="1"/>
  <c r="F2999" i="1"/>
  <c r="H2999" i="1"/>
  <c r="I2999" i="1" a="1"/>
  <c r="I2999" i="1" s="1"/>
  <c r="J2999" i="1" s="1"/>
  <c r="D3000" i="1"/>
  <c r="F3000" i="1"/>
  <c r="H3000" i="1"/>
  <c r="I3000" i="1" a="1"/>
  <c r="I3000" i="1" s="1"/>
  <c r="J3000" i="1" s="1"/>
  <c r="D3001" i="1"/>
  <c r="F3001" i="1"/>
  <c r="H3001" i="1"/>
  <c r="I3001" i="1" a="1"/>
  <c r="I3001" i="1" s="1"/>
  <c r="J3001" i="1" s="1"/>
  <c r="D3002" i="1"/>
  <c r="F3002" i="1"/>
  <c r="H3002" i="1"/>
  <c r="I3002" i="1" a="1"/>
  <c r="I3002" i="1" s="1"/>
  <c r="J3002" i="1" s="1"/>
  <c r="D3003" i="1"/>
  <c r="F3003" i="1"/>
  <c r="H3003" i="1"/>
  <c r="I3003" i="1" a="1"/>
  <c r="I3003" i="1" s="1"/>
  <c r="J3003" i="1" s="1"/>
  <c r="D3004" i="1"/>
  <c r="F3004" i="1"/>
  <c r="H3004" i="1"/>
  <c r="I3004" i="1" a="1"/>
  <c r="I3004" i="1" s="1"/>
  <c r="J3004" i="1" s="1"/>
  <c r="D3005" i="1"/>
  <c r="F3005" i="1"/>
  <c r="H3005" i="1"/>
  <c r="I3005" i="1" a="1"/>
  <c r="I3005" i="1" s="1"/>
  <c r="J3005" i="1" s="1"/>
  <c r="D3006" i="1"/>
  <c r="F3006" i="1"/>
  <c r="H3006" i="1"/>
  <c r="I3006" i="1" a="1"/>
  <c r="I3006" i="1" s="1"/>
  <c r="J3006" i="1" s="1"/>
  <c r="D3007" i="1"/>
  <c r="F3007" i="1"/>
  <c r="H3007" i="1"/>
  <c r="I3007" i="1" a="1"/>
  <c r="I3007" i="1" s="1"/>
  <c r="J3007" i="1" s="1"/>
  <c r="D3008" i="1"/>
  <c r="F3008" i="1"/>
  <c r="H3008" i="1"/>
  <c r="I3008" i="1" a="1"/>
  <c r="I3008" i="1" s="1"/>
  <c r="J3008" i="1" s="1"/>
  <c r="D3009" i="1"/>
  <c r="F3009" i="1"/>
  <c r="H3009" i="1"/>
  <c r="I3009" i="1" a="1"/>
  <c r="I3009" i="1" s="1"/>
  <c r="J3009" i="1" s="1"/>
  <c r="D3010" i="1"/>
  <c r="F3010" i="1"/>
  <c r="H3010" i="1"/>
  <c r="I3010" i="1" a="1"/>
  <c r="I3010" i="1" s="1"/>
  <c r="J3010" i="1" s="1"/>
  <c r="D3011" i="1"/>
  <c r="F3011" i="1"/>
  <c r="H3011" i="1"/>
  <c r="I3011" i="1" a="1"/>
  <c r="I3011" i="1" s="1"/>
  <c r="J3011" i="1" s="1"/>
  <c r="D3012" i="1"/>
  <c r="F3012" i="1"/>
  <c r="H3012" i="1"/>
  <c r="I3012" i="1" a="1"/>
  <c r="I3012" i="1" s="1"/>
  <c r="J3012" i="1" s="1"/>
  <c r="D3013" i="1"/>
  <c r="F3013" i="1"/>
  <c r="H3013" i="1"/>
  <c r="I3013" i="1" a="1"/>
  <c r="I3013" i="1" s="1"/>
  <c r="J3013" i="1" s="1"/>
  <c r="D3014" i="1"/>
  <c r="F3014" i="1"/>
  <c r="H3014" i="1"/>
  <c r="I3014" i="1" a="1"/>
  <c r="I3014" i="1" s="1"/>
  <c r="J3014" i="1" s="1"/>
  <c r="D3015" i="1"/>
  <c r="F3015" i="1"/>
  <c r="H3015" i="1"/>
  <c r="I3015" i="1" a="1"/>
  <c r="I3015" i="1" s="1"/>
  <c r="J3015" i="1" s="1"/>
  <c r="D3016" i="1"/>
  <c r="F3016" i="1"/>
  <c r="H3016" i="1"/>
  <c r="I3016" i="1" a="1"/>
  <c r="I3016" i="1" s="1"/>
  <c r="J3016" i="1" s="1"/>
  <c r="D3017" i="1"/>
  <c r="F3017" i="1"/>
  <c r="H3017" i="1"/>
  <c r="I3017" i="1" a="1"/>
  <c r="I3017" i="1" s="1"/>
  <c r="J3017" i="1" s="1"/>
  <c r="D3018" i="1"/>
  <c r="F3018" i="1"/>
  <c r="H3018" i="1"/>
  <c r="I3018" i="1" a="1"/>
  <c r="I3018" i="1" s="1"/>
  <c r="J3018" i="1" s="1"/>
  <c r="D3019" i="1"/>
  <c r="F3019" i="1"/>
  <c r="H3019" i="1"/>
  <c r="I3019" i="1" a="1"/>
  <c r="I3019" i="1" s="1"/>
  <c r="J3019" i="1" s="1"/>
  <c r="D3020" i="1"/>
  <c r="F3020" i="1"/>
  <c r="H3020" i="1"/>
  <c r="I3020" i="1" a="1"/>
  <c r="I3020" i="1" s="1"/>
  <c r="J3020" i="1" s="1"/>
  <c r="D3021" i="1"/>
  <c r="F3021" i="1"/>
  <c r="H3021" i="1"/>
  <c r="I3021" i="1" a="1"/>
  <c r="I3021" i="1" s="1"/>
  <c r="J3021" i="1" s="1"/>
  <c r="D3022" i="1"/>
  <c r="F3022" i="1"/>
  <c r="H3022" i="1"/>
  <c r="I3022" i="1" a="1"/>
  <c r="I3022" i="1" s="1"/>
  <c r="J3022" i="1" s="1"/>
  <c r="D3023" i="1"/>
  <c r="F3023" i="1"/>
  <c r="H3023" i="1"/>
  <c r="I3023" i="1" a="1"/>
  <c r="I3023" i="1" s="1"/>
  <c r="J3023" i="1" s="1"/>
  <c r="D3024" i="1"/>
  <c r="F3024" i="1"/>
  <c r="H3024" i="1"/>
  <c r="I3024" i="1" a="1"/>
  <c r="I3024" i="1" s="1"/>
  <c r="J3024" i="1" s="1"/>
  <c r="D3025" i="1"/>
  <c r="F3025" i="1"/>
  <c r="H3025" i="1"/>
  <c r="I3025" i="1" a="1"/>
  <c r="I3025" i="1" s="1"/>
  <c r="J3025" i="1" s="1"/>
  <c r="D3026" i="1"/>
  <c r="F3026" i="1"/>
  <c r="H3026" i="1"/>
  <c r="I3026" i="1" a="1"/>
  <c r="I3026" i="1" s="1"/>
  <c r="J3026" i="1" s="1"/>
  <c r="D3027" i="1"/>
  <c r="F3027" i="1"/>
  <c r="H3027" i="1"/>
  <c r="I3027" i="1" a="1"/>
  <c r="I3027" i="1" s="1"/>
  <c r="J3027" i="1" s="1"/>
  <c r="D3028" i="1"/>
  <c r="F3028" i="1"/>
  <c r="H3028" i="1"/>
  <c r="I3028" i="1" a="1"/>
  <c r="I3028" i="1" s="1"/>
  <c r="J3028" i="1" s="1"/>
  <c r="D3029" i="1"/>
  <c r="F3029" i="1"/>
  <c r="H3029" i="1"/>
  <c r="I3029" i="1" a="1"/>
  <c r="I3029" i="1" s="1"/>
  <c r="J3029" i="1" s="1"/>
  <c r="D3030" i="1"/>
  <c r="F3030" i="1"/>
  <c r="H3030" i="1"/>
  <c r="I3030" i="1" a="1"/>
  <c r="I3030" i="1" s="1"/>
  <c r="J3030" i="1" s="1"/>
  <c r="D3031" i="1"/>
  <c r="F3031" i="1"/>
  <c r="H3031" i="1"/>
  <c r="I3031" i="1" a="1"/>
  <c r="I3031" i="1" s="1"/>
  <c r="J3031" i="1" s="1"/>
  <c r="D3032" i="1"/>
  <c r="F3032" i="1"/>
  <c r="H3032" i="1"/>
  <c r="I3032" i="1" a="1"/>
  <c r="I3032" i="1" s="1"/>
  <c r="J3032" i="1" s="1"/>
  <c r="D3033" i="1"/>
  <c r="F3033" i="1"/>
  <c r="H3033" i="1"/>
  <c r="I3033" i="1" a="1"/>
  <c r="I3033" i="1" s="1"/>
  <c r="J3033" i="1" s="1"/>
  <c r="D3034" i="1"/>
  <c r="F3034" i="1"/>
  <c r="H3034" i="1"/>
  <c r="I3034" i="1" a="1"/>
  <c r="I3034" i="1" s="1"/>
  <c r="J3034" i="1" s="1"/>
  <c r="D3035" i="1"/>
  <c r="F3035" i="1"/>
  <c r="H3035" i="1"/>
  <c r="I3035" i="1" a="1"/>
  <c r="I3035" i="1" s="1"/>
  <c r="J3035" i="1" s="1"/>
  <c r="D3036" i="1"/>
  <c r="F3036" i="1"/>
  <c r="H3036" i="1"/>
  <c r="I3036" i="1" a="1"/>
  <c r="I3036" i="1" s="1"/>
  <c r="J3036" i="1" s="1"/>
  <c r="D3037" i="1"/>
  <c r="F3037" i="1"/>
  <c r="H3037" i="1"/>
  <c r="I3037" i="1" a="1"/>
  <c r="I3037" i="1" s="1"/>
  <c r="J3037" i="1" s="1"/>
  <c r="D3038" i="1"/>
  <c r="F3038" i="1"/>
  <c r="H3038" i="1"/>
  <c r="I3038" i="1" a="1"/>
  <c r="I3038" i="1" s="1"/>
  <c r="J3038" i="1" s="1"/>
  <c r="D3039" i="1"/>
  <c r="F3039" i="1"/>
  <c r="H3039" i="1"/>
  <c r="I3039" i="1" a="1"/>
  <c r="I3039" i="1" s="1"/>
  <c r="D3040" i="1"/>
  <c r="F3040" i="1"/>
  <c r="H3040" i="1"/>
  <c r="I3040" i="1" a="1"/>
  <c r="I3040" i="1" s="1"/>
  <c r="J3040" i="1" s="1"/>
  <c r="D3041" i="1"/>
  <c r="F3041" i="1"/>
  <c r="H3041" i="1"/>
  <c r="I3041" i="1" a="1"/>
  <c r="I3041" i="1" s="1"/>
  <c r="J3041" i="1" s="1"/>
  <c r="D3042" i="1"/>
  <c r="F3042" i="1"/>
  <c r="H3042" i="1"/>
  <c r="I3042" i="1" a="1"/>
  <c r="I3042" i="1" s="1"/>
  <c r="J3042" i="1" s="1"/>
  <c r="D3043" i="1"/>
  <c r="F3043" i="1"/>
  <c r="H3043" i="1"/>
  <c r="I3043" i="1" a="1"/>
  <c r="I3043" i="1" s="1"/>
  <c r="J3043" i="1" s="1"/>
  <c r="D3044" i="1"/>
  <c r="F3044" i="1"/>
  <c r="H3044" i="1"/>
  <c r="I3044" i="1" a="1"/>
  <c r="I3044" i="1" s="1"/>
  <c r="J3044" i="1" s="1"/>
  <c r="D3045" i="1"/>
  <c r="F3045" i="1"/>
  <c r="H3045" i="1"/>
  <c r="I3045" i="1" a="1"/>
  <c r="I3045" i="1" s="1"/>
  <c r="J3045" i="1" s="1"/>
  <c r="D3046" i="1"/>
  <c r="F3046" i="1"/>
  <c r="H3046" i="1"/>
  <c r="I3046" i="1" a="1"/>
  <c r="I3046" i="1" s="1"/>
  <c r="J3046" i="1" s="1"/>
  <c r="D3047" i="1"/>
  <c r="F3047" i="1"/>
  <c r="H3047" i="1"/>
  <c r="I3047" i="1" a="1"/>
  <c r="I3047" i="1" s="1"/>
  <c r="J3047" i="1" s="1"/>
  <c r="D3048" i="1"/>
  <c r="F3048" i="1"/>
  <c r="H3048" i="1"/>
  <c r="I3048" i="1" a="1"/>
  <c r="I3048" i="1" s="1"/>
  <c r="D3049" i="1"/>
  <c r="F3049" i="1"/>
  <c r="H3049" i="1"/>
  <c r="I3049" i="1" a="1"/>
  <c r="I3049" i="1" s="1"/>
  <c r="J3049" i="1" s="1"/>
  <c r="D3050" i="1"/>
  <c r="F3050" i="1"/>
  <c r="H3050" i="1"/>
  <c r="I3050" i="1" a="1"/>
  <c r="I3050" i="1" s="1"/>
  <c r="J3050" i="1" s="1"/>
  <c r="D3051" i="1"/>
  <c r="F3051" i="1"/>
  <c r="H3051" i="1"/>
  <c r="I3051" i="1" a="1"/>
  <c r="I3051" i="1" s="1"/>
  <c r="J3051" i="1" s="1"/>
  <c r="D3052" i="1"/>
  <c r="F3052" i="1"/>
  <c r="H3052" i="1"/>
  <c r="I3052" i="1" a="1"/>
  <c r="I3052" i="1" s="1"/>
  <c r="J3052" i="1" s="1"/>
  <c r="D3053" i="1"/>
  <c r="F3053" i="1"/>
  <c r="H3053" i="1"/>
  <c r="I3053" i="1" a="1"/>
  <c r="I3053" i="1" s="1"/>
  <c r="J3053" i="1" s="1"/>
  <c r="D3054" i="1"/>
  <c r="F3054" i="1"/>
  <c r="H3054" i="1"/>
  <c r="I3054" i="1" a="1"/>
  <c r="I3054" i="1" s="1"/>
  <c r="J3054" i="1" s="1"/>
  <c r="D3055" i="1"/>
  <c r="F3055" i="1"/>
  <c r="H3055" i="1"/>
  <c r="I3055" i="1" a="1"/>
  <c r="I3055" i="1" s="1"/>
  <c r="J3055" i="1" s="1"/>
  <c r="D3056" i="1"/>
  <c r="F3056" i="1"/>
  <c r="H3056" i="1"/>
  <c r="I3056" i="1" a="1"/>
  <c r="I3056" i="1" s="1"/>
  <c r="J3056" i="1" s="1"/>
  <c r="D3057" i="1"/>
  <c r="F3057" i="1"/>
  <c r="H3057" i="1"/>
  <c r="I3057" i="1" a="1"/>
  <c r="I3057" i="1" s="1"/>
  <c r="J3057" i="1" s="1"/>
  <c r="D3058" i="1"/>
  <c r="F3058" i="1"/>
  <c r="H3058" i="1"/>
  <c r="I3058" i="1" a="1"/>
  <c r="I3058" i="1" s="1"/>
  <c r="J3058" i="1" s="1"/>
  <c r="D3059" i="1"/>
  <c r="F3059" i="1"/>
  <c r="H3059" i="1"/>
  <c r="I3059" i="1" a="1"/>
  <c r="I3059" i="1" s="1"/>
  <c r="J3059" i="1" s="1"/>
  <c r="D3060" i="1"/>
  <c r="F3060" i="1"/>
  <c r="H3060" i="1"/>
  <c r="I3060" i="1" a="1"/>
  <c r="I3060" i="1" s="1"/>
  <c r="J3060" i="1" s="1"/>
  <c r="D3061" i="1"/>
  <c r="F3061" i="1"/>
  <c r="H3061" i="1"/>
  <c r="I3061" i="1" a="1"/>
  <c r="I3061" i="1" s="1"/>
  <c r="J3061" i="1" s="1"/>
  <c r="D3062" i="1"/>
  <c r="F3062" i="1"/>
  <c r="H3062" i="1"/>
  <c r="I3062" i="1" a="1"/>
  <c r="I3062" i="1" s="1"/>
  <c r="J3062" i="1" s="1"/>
  <c r="D3063" i="1"/>
  <c r="F3063" i="1"/>
  <c r="H3063" i="1"/>
  <c r="I3063" i="1" a="1"/>
  <c r="I3063" i="1" s="1"/>
  <c r="J3063" i="1" s="1"/>
  <c r="D3064" i="1"/>
  <c r="F3064" i="1"/>
  <c r="H3064" i="1"/>
  <c r="I3064" i="1" a="1"/>
  <c r="I3064" i="1" s="1"/>
  <c r="J3064" i="1" s="1"/>
  <c r="D3065" i="1"/>
  <c r="F3065" i="1"/>
  <c r="H3065" i="1"/>
  <c r="I3065" i="1" a="1"/>
  <c r="I3065" i="1" s="1"/>
  <c r="J3065" i="1" s="1"/>
  <c r="D3066" i="1"/>
  <c r="F3066" i="1"/>
  <c r="H3066" i="1"/>
  <c r="I3066" i="1" a="1"/>
  <c r="I3066" i="1" s="1"/>
  <c r="J3066" i="1" s="1"/>
  <c r="D3067" i="1"/>
  <c r="F3067" i="1"/>
  <c r="H3067" i="1"/>
  <c r="I3067" i="1" a="1"/>
  <c r="I3067" i="1" s="1"/>
  <c r="J3067" i="1" s="1"/>
  <c r="D3068" i="1"/>
  <c r="F3068" i="1"/>
  <c r="H3068" i="1"/>
  <c r="I3068" i="1" a="1"/>
  <c r="I3068" i="1" s="1"/>
  <c r="J3068" i="1" s="1"/>
  <c r="D3069" i="1"/>
  <c r="F3069" i="1"/>
  <c r="H3069" i="1"/>
  <c r="I3069" i="1" a="1"/>
  <c r="I3069" i="1" s="1"/>
  <c r="J3069" i="1" s="1"/>
  <c r="D3070" i="1"/>
  <c r="F3070" i="1"/>
  <c r="H3070" i="1"/>
  <c r="I3070" i="1" a="1"/>
  <c r="I3070" i="1" s="1"/>
  <c r="J3070" i="1" s="1"/>
  <c r="D3071" i="1"/>
  <c r="F3071" i="1"/>
  <c r="H3071" i="1"/>
  <c r="I3071" i="1" a="1"/>
  <c r="I3071" i="1" s="1"/>
  <c r="J3071" i="1" s="1"/>
  <c r="D3072" i="1"/>
  <c r="F3072" i="1"/>
  <c r="H3072" i="1"/>
  <c r="I3072" i="1" a="1"/>
  <c r="I3072" i="1" s="1"/>
  <c r="J3072" i="1" s="1"/>
  <c r="D3073" i="1"/>
  <c r="F3073" i="1"/>
  <c r="H3073" i="1"/>
  <c r="I3073" i="1" a="1"/>
  <c r="I3073" i="1" s="1"/>
  <c r="J3073" i="1" s="1"/>
  <c r="D3074" i="1"/>
  <c r="F3074" i="1"/>
  <c r="H3074" i="1"/>
  <c r="I3074" i="1" a="1"/>
  <c r="I3074" i="1" s="1"/>
  <c r="J3074" i="1" s="1"/>
  <c r="D3075" i="1"/>
  <c r="F3075" i="1"/>
  <c r="H3075" i="1"/>
  <c r="I3075" i="1" a="1"/>
  <c r="I3075" i="1" s="1"/>
  <c r="J3075" i="1" s="1"/>
  <c r="D3076" i="1"/>
  <c r="F3076" i="1"/>
  <c r="H3076" i="1"/>
  <c r="I3076" i="1" a="1"/>
  <c r="I3076" i="1" s="1"/>
  <c r="J3076" i="1" s="1"/>
  <c r="D3077" i="1"/>
  <c r="F3077" i="1"/>
  <c r="H3077" i="1"/>
  <c r="I3077" i="1" a="1"/>
  <c r="I3077" i="1" s="1"/>
  <c r="J3077" i="1" s="1"/>
  <c r="D3078" i="1"/>
  <c r="F3078" i="1"/>
  <c r="H3078" i="1"/>
  <c r="I3078" i="1" a="1"/>
  <c r="I3078" i="1" s="1"/>
  <c r="J3078" i="1" s="1"/>
  <c r="D3079" i="1"/>
  <c r="F3079" i="1"/>
  <c r="H3079" i="1"/>
  <c r="I3079" i="1" a="1"/>
  <c r="I3079" i="1" s="1"/>
  <c r="J3079" i="1" s="1"/>
  <c r="D3080" i="1"/>
  <c r="F3080" i="1"/>
  <c r="H3080" i="1"/>
  <c r="I3080" i="1" a="1"/>
  <c r="I3080" i="1" s="1"/>
  <c r="J3080" i="1" s="1"/>
  <c r="D3081" i="1"/>
  <c r="F3081" i="1"/>
  <c r="H3081" i="1"/>
  <c r="I3081" i="1" a="1"/>
  <c r="I3081" i="1" s="1"/>
  <c r="J3081" i="1" s="1"/>
  <c r="D3082" i="1"/>
  <c r="F3082" i="1"/>
  <c r="H3082" i="1"/>
  <c r="I3082" i="1" a="1"/>
  <c r="I3082" i="1" s="1"/>
  <c r="D3083" i="1"/>
  <c r="F3083" i="1"/>
  <c r="H3083" i="1"/>
  <c r="I3083" i="1" a="1"/>
  <c r="I3083" i="1" s="1"/>
  <c r="J3083" i="1" s="1"/>
  <c r="D3084" i="1"/>
  <c r="F3084" i="1"/>
  <c r="H3084" i="1"/>
  <c r="I3084" i="1" a="1"/>
  <c r="I3084" i="1" s="1"/>
  <c r="J3084" i="1" s="1"/>
  <c r="D3085" i="1"/>
  <c r="F3085" i="1"/>
  <c r="H3085" i="1"/>
  <c r="I3085" i="1" a="1"/>
  <c r="I3085" i="1" s="1"/>
  <c r="J3085" i="1" s="1"/>
  <c r="D3086" i="1"/>
  <c r="F3086" i="1"/>
  <c r="H3086" i="1"/>
  <c r="I3086" i="1" a="1"/>
  <c r="I3086" i="1" s="1"/>
  <c r="J3086" i="1" s="1"/>
  <c r="D3087" i="1"/>
  <c r="F3087" i="1"/>
  <c r="H3087" i="1"/>
  <c r="I3087" i="1" a="1"/>
  <c r="I3087" i="1" s="1"/>
  <c r="J3087" i="1" s="1"/>
  <c r="D3088" i="1"/>
  <c r="F3088" i="1"/>
  <c r="H3088" i="1"/>
  <c r="I3088" i="1" a="1"/>
  <c r="I3088" i="1" s="1"/>
  <c r="J3088" i="1" s="1"/>
  <c r="D3089" i="1"/>
  <c r="F3089" i="1"/>
  <c r="H3089" i="1"/>
  <c r="I3089" i="1" a="1"/>
  <c r="I3089" i="1" s="1"/>
  <c r="J3089" i="1" s="1"/>
  <c r="D3090" i="1"/>
  <c r="F3090" i="1"/>
  <c r="H3090" i="1"/>
  <c r="I3090" i="1" a="1"/>
  <c r="I3090" i="1" s="1"/>
  <c r="J3090" i="1" s="1"/>
  <c r="D3091" i="1"/>
  <c r="F3091" i="1"/>
  <c r="H3091" i="1"/>
  <c r="I3091" i="1" a="1"/>
  <c r="I3091" i="1" s="1"/>
  <c r="J3091" i="1" s="1"/>
  <c r="D3092" i="1"/>
  <c r="F3092" i="1"/>
  <c r="H3092" i="1"/>
  <c r="I3092" i="1" a="1"/>
  <c r="I3092" i="1" s="1"/>
  <c r="J3092" i="1" s="1"/>
  <c r="D3093" i="1"/>
  <c r="F3093" i="1"/>
  <c r="H3093" i="1"/>
  <c r="I3093" i="1" a="1"/>
  <c r="I3093" i="1" s="1"/>
  <c r="J3093" i="1" s="1"/>
  <c r="D3094" i="1"/>
  <c r="F3094" i="1"/>
  <c r="H3094" i="1"/>
  <c r="I3094" i="1" a="1"/>
  <c r="I3094" i="1" s="1"/>
  <c r="J3094" i="1" s="1"/>
  <c r="D3095" i="1"/>
  <c r="F3095" i="1"/>
  <c r="H3095" i="1"/>
  <c r="I3095" i="1" a="1"/>
  <c r="I3095" i="1" s="1"/>
  <c r="J3095" i="1" s="1"/>
  <c r="D3096" i="1"/>
  <c r="F3096" i="1"/>
  <c r="H3096" i="1"/>
  <c r="I3096" i="1" a="1"/>
  <c r="I3096" i="1" s="1"/>
  <c r="J3096" i="1" s="1"/>
  <c r="D3097" i="1"/>
  <c r="F3097" i="1"/>
  <c r="H3097" i="1"/>
  <c r="I3097" i="1" a="1"/>
  <c r="I3097" i="1" s="1"/>
  <c r="J3097" i="1" s="1"/>
  <c r="D3098" i="1"/>
  <c r="F3098" i="1"/>
  <c r="H3098" i="1"/>
  <c r="I3098" i="1" a="1"/>
  <c r="I3098" i="1" s="1"/>
  <c r="J3098" i="1" s="1"/>
  <c r="D3099" i="1"/>
  <c r="F3099" i="1"/>
  <c r="H3099" i="1"/>
  <c r="I3099" i="1" a="1"/>
  <c r="I3099" i="1" s="1"/>
  <c r="J3099" i="1" s="1"/>
  <c r="D3100" i="1"/>
  <c r="F3100" i="1"/>
  <c r="H3100" i="1"/>
  <c r="I3100" i="1" a="1"/>
  <c r="I3100" i="1" s="1"/>
  <c r="J3100" i="1" s="1"/>
  <c r="D3101" i="1"/>
  <c r="F3101" i="1"/>
  <c r="H3101" i="1"/>
  <c r="I3101" i="1" a="1"/>
  <c r="I3101" i="1" s="1"/>
  <c r="J3101" i="1" s="1"/>
  <c r="D3102" i="1"/>
  <c r="F3102" i="1"/>
  <c r="H3102" i="1"/>
  <c r="I3102" i="1" a="1"/>
  <c r="I3102" i="1" s="1"/>
  <c r="J3102" i="1" s="1"/>
  <c r="D3103" i="1"/>
  <c r="F3103" i="1"/>
  <c r="H3103" i="1"/>
  <c r="I3103" i="1" a="1"/>
  <c r="I3103" i="1" s="1"/>
  <c r="D3104" i="1"/>
  <c r="F3104" i="1"/>
  <c r="H3104" i="1"/>
  <c r="I3104" i="1" a="1"/>
  <c r="I3104" i="1" s="1"/>
  <c r="J3104" i="1" s="1"/>
  <c r="D3105" i="1"/>
  <c r="F3105" i="1"/>
  <c r="H3105" i="1"/>
  <c r="I3105" i="1" a="1"/>
  <c r="I3105" i="1" s="1"/>
  <c r="J3105" i="1" s="1"/>
  <c r="D3106" i="1"/>
  <c r="F3106" i="1"/>
  <c r="H3106" i="1"/>
  <c r="I3106" i="1" a="1"/>
  <c r="I3106" i="1" s="1"/>
  <c r="J3106" i="1" s="1"/>
  <c r="D3107" i="1"/>
  <c r="F3107" i="1"/>
  <c r="H3107" i="1"/>
  <c r="I3107" i="1" a="1"/>
  <c r="I3107" i="1" s="1"/>
  <c r="J3107" i="1" s="1"/>
  <c r="D3108" i="1"/>
  <c r="F3108" i="1"/>
  <c r="H3108" i="1"/>
  <c r="I3108" i="1" a="1"/>
  <c r="I3108" i="1" s="1"/>
  <c r="J3108" i="1" s="1"/>
  <c r="D3109" i="1"/>
  <c r="F3109" i="1"/>
  <c r="H3109" i="1"/>
  <c r="I3109" i="1" a="1"/>
  <c r="I3109" i="1" s="1"/>
  <c r="J3109" i="1" s="1"/>
  <c r="D3110" i="1"/>
  <c r="F3110" i="1"/>
  <c r="H3110" i="1"/>
  <c r="I3110" i="1" a="1"/>
  <c r="I3110" i="1" s="1"/>
  <c r="J3110" i="1" s="1"/>
  <c r="D3111" i="1"/>
  <c r="F3111" i="1"/>
  <c r="H3111" i="1"/>
  <c r="I3111" i="1" a="1"/>
  <c r="I3111" i="1" s="1"/>
  <c r="J3111" i="1" s="1"/>
  <c r="D3112" i="1"/>
  <c r="F3112" i="1"/>
  <c r="H3112" i="1"/>
  <c r="I3112" i="1" a="1"/>
  <c r="I3112" i="1" s="1"/>
  <c r="J3112" i="1" s="1"/>
  <c r="D3113" i="1"/>
  <c r="F3113" i="1"/>
  <c r="H3113" i="1"/>
  <c r="I3113" i="1" a="1"/>
  <c r="I3113" i="1" s="1"/>
  <c r="J3113" i="1" s="1"/>
  <c r="D3114" i="1"/>
  <c r="F3114" i="1"/>
  <c r="H3114" i="1"/>
  <c r="I3114" i="1" a="1"/>
  <c r="I3114" i="1" s="1"/>
  <c r="J3114" i="1" s="1"/>
  <c r="D3115" i="1"/>
  <c r="F3115" i="1"/>
  <c r="H3115" i="1"/>
  <c r="I3115" i="1" a="1"/>
  <c r="I3115" i="1" s="1"/>
  <c r="J3115" i="1" s="1"/>
  <c r="D3116" i="1"/>
  <c r="F3116" i="1"/>
  <c r="H3116" i="1"/>
  <c r="I3116" i="1" a="1"/>
  <c r="I3116" i="1" s="1"/>
  <c r="J3116" i="1" s="1"/>
  <c r="D3117" i="1"/>
  <c r="F3117" i="1"/>
  <c r="H3117" i="1"/>
  <c r="I3117" i="1" a="1"/>
  <c r="I3117" i="1" s="1"/>
  <c r="J3117" i="1" s="1"/>
  <c r="D3118" i="1"/>
  <c r="F3118" i="1"/>
  <c r="H3118" i="1"/>
  <c r="I3118" i="1" a="1"/>
  <c r="I3118" i="1" s="1"/>
  <c r="J3118" i="1" s="1"/>
  <c r="D3119" i="1"/>
  <c r="F3119" i="1"/>
  <c r="H3119" i="1"/>
  <c r="I3119" i="1" a="1"/>
  <c r="I3119" i="1" s="1"/>
  <c r="J3119" i="1" s="1"/>
  <c r="D3120" i="1"/>
  <c r="F3120" i="1"/>
  <c r="H3120" i="1"/>
  <c r="I3120" i="1" a="1"/>
  <c r="I3120" i="1" s="1"/>
  <c r="J3120" i="1" s="1"/>
  <c r="D3121" i="1"/>
  <c r="F3121" i="1"/>
  <c r="H3121" i="1"/>
  <c r="I3121" i="1" a="1"/>
  <c r="I3121" i="1" s="1"/>
  <c r="J3121" i="1" s="1"/>
  <c r="D3122" i="1"/>
  <c r="F3122" i="1"/>
  <c r="H3122" i="1"/>
  <c r="I3122" i="1" a="1"/>
  <c r="I3122" i="1" s="1"/>
  <c r="J3122" i="1" s="1"/>
  <c r="D3123" i="1"/>
  <c r="F3123" i="1"/>
  <c r="H3123" i="1"/>
  <c r="I3123" i="1" a="1"/>
  <c r="I3123" i="1" s="1"/>
  <c r="J3123" i="1" s="1"/>
  <c r="D3124" i="1"/>
  <c r="F3124" i="1"/>
  <c r="H3124" i="1"/>
  <c r="I3124" i="1" a="1"/>
  <c r="I3124" i="1" s="1"/>
  <c r="J3124" i="1" s="1"/>
  <c r="D3125" i="1"/>
  <c r="F3125" i="1"/>
  <c r="H3125" i="1"/>
  <c r="I3125" i="1" a="1"/>
  <c r="I3125" i="1" s="1"/>
  <c r="J3125" i="1" s="1"/>
  <c r="D3126" i="1"/>
  <c r="F3126" i="1"/>
  <c r="H3126" i="1"/>
  <c r="I3126" i="1" a="1"/>
  <c r="I3126" i="1" s="1"/>
  <c r="J3126" i="1" s="1"/>
  <c r="D3127" i="1"/>
  <c r="F3127" i="1"/>
  <c r="H3127" i="1"/>
  <c r="I3127" i="1" a="1"/>
  <c r="I3127" i="1" s="1"/>
  <c r="J3127" i="1" s="1"/>
  <c r="D3128" i="1"/>
  <c r="F3128" i="1"/>
  <c r="H3128" i="1"/>
  <c r="I3128" i="1" a="1"/>
  <c r="I3128" i="1" s="1"/>
  <c r="J3128" i="1" s="1"/>
  <c r="D3129" i="1"/>
  <c r="F3129" i="1"/>
  <c r="H3129" i="1"/>
  <c r="I3129" i="1" a="1"/>
  <c r="I3129" i="1" s="1"/>
  <c r="J3129" i="1" s="1"/>
  <c r="D3130" i="1"/>
  <c r="F3130" i="1"/>
  <c r="H3130" i="1"/>
  <c r="I3130" i="1" a="1"/>
  <c r="I3130" i="1" s="1"/>
  <c r="D3131" i="1"/>
  <c r="F3131" i="1"/>
  <c r="H3131" i="1"/>
  <c r="I3131" i="1" a="1"/>
  <c r="I3131" i="1" s="1"/>
  <c r="J3131" i="1" s="1"/>
  <c r="D3132" i="1"/>
  <c r="F3132" i="1"/>
  <c r="H3132" i="1"/>
  <c r="I3132" i="1" a="1"/>
  <c r="I3132" i="1" s="1"/>
  <c r="J3132" i="1" s="1"/>
  <c r="D3133" i="1"/>
  <c r="F3133" i="1"/>
  <c r="H3133" i="1"/>
  <c r="I3133" i="1" a="1"/>
  <c r="I3133" i="1" s="1"/>
  <c r="J3133" i="1" s="1"/>
  <c r="D3134" i="1"/>
  <c r="F3134" i="1"/>
  <c r="H3134" i="1"/>
  <c r="I3134" i="1" a="1"/>
  <c r="I3134" i="1" s="1"/>
  <c r="J3134" i="1" s="1"/>
  <c r="D3135" i="1"/>
  <c r="F3135" i="1"/>
  <c r="H3135" i="1"/>
  <c r="I3135" i="1" a="1"/>
  <c r="I3135" i="1" s="1"/>
  <c r="J3135" i="1" s="1"/>
  <c r="D3136" i="1"/>
  <c r="F3136" i="1"/>
  <c r="H3136" i="1"/>
  <c r="I3136" i="1" a="1"/>
  <c r="I3136" i="1" s="1"/>
  <c r="J3136" i="1" s="1"/>
  <c r="D3137" i="1"/>
  <c r="F3137" i="1"/>
  <c r="H3137" i="1"/>
  <c r="I3137" i="1" a="1"/>
  <c r="I3137" i="1" s="1"/>
  <c r="J3137" i="1" s="1"/>
  <c r="D3138" i="1"/>
  <c r="F3138" i="1"/>
  <c r="H3138" i="1"/>
  <c r="I3138" i="1" a="1"/>
  <c r="I3138" i="1" s="1"/>
  <c r="J3138" i="1" s="1"/>
  <c r="D3139" i="1"/>
  <c r="F3139" i="1"/>
  <c r="H3139" i="1"/>
  <c r="I3139" i="1" a="1"/>
  <c r="I3139" i="1" s="1"/>
  <c r="J3139" i="1" s="1"/>
  <c r="D3140" i="1"/>
  <c r="F3140" i="1"/>
  <c r="H3140" i="1"/>
  <c r="I3140" i="1" a="1"/>
  <c r="I3140" i="1" s="1"/>
  <c r="J3140" i="1" s="1"/>
  <c r="D3141" i="1"/>
  <c r="F3141" i="1"/>
  <c r="H3141" i="1"/>
  <c r="I3141" i="1" a="1"/>
  <c r="I3141" i="1" s="1"/>
  <c r="J3141" i="1" s="1"/>
  <c r="D3142" i="1"/>
  <c r="F3142" i="1"/>
  <c r="H3142" i="1"/>
  <c r="I3142" i="1" a="1"/>
  <c r="I3142" i="1" s="1"/>
  <c r="J3142" i="1" s="1"/>
  <c r="D3143" i="1"/>
  <c r="F3143" i="1"/>
  <c r="H3143" i="1"/>
  <c r="I3143" i="1" a="1"/>
  <c r="I3143" i="1" s="1"/>
  <c r="J3143" i="1" s="1"/>
  <c r="D3144" i="1"/>
  <c r="F3144" i="1"/>
  <c r="H3144" i="1"/>
  <c r="I3144" i="1" a="1"/>
  <c r="I3144" i="1" s="1"/>
  <c r="J3144" i="1" s="1"/>
  <c r="D3145" i="1"/>
  <c r="F3145" i="1"/>
  <c r="H3145" i="1"/>
  <c r="I3145" i="1" a="1"/>
  <c r="I3145" i="1" s="1"/>
  <c r="J3145" i="1" s="1"/>
  <c r="D3146" i="1"/>
  <c r="F3146" i="1"/>
  <c r="H3146" i="1"/>
  <c r="I3146" i="1" a="1"/>
  <c r="I3146" i="1" s="1"/>
  <c r="J3146" i="1" s="1"/>
  <c r="D3147" i="1"/>
  <c r="F3147" i="1"/>
  <c r="H3147" i="1"/>
  <c r="I3147" i="1" a="1"/>
  <c r="I3147" i="1" s="1"/>
  <c r="J3147" i="1" s="1"/>
  <c r="D3148" i="1"/>
  <c r="F3148" i="1"/>
  <c r="H3148" i="1"/>
  <c r="I3148" i="1" a="1"/>
  <c r="I3148" i="1" s="1"/>
  <c r="D3149" i="1"/>
  <c r="F3149" i="1"/>
  <c r="H3149" i="1"/>
  <c r="I3149" i="1" a="1"/>
  <c r="I3149" i="1" s="1"/>
  <c r="J3149" i="1" s="1"/>
  <c r="D3150" i="1"/>
  <c r="F3150" i="1"/>
  <c r="H3150" i="1"/>
  <c r="I3150" i="1" a="1"/>
  <c r="I3150" i="1" s="1"/>
  <c r="J3150" i="1" s="1"/>
  <c r="D3151" i="1"/>
  <c r="F3151" i="1"/>
  <c r="H3151" i="1"/>
  <c r="I3151" i="1" a="1"/>
  <c r="I3151" i="1" s="1"/>
  <c r="J3151" i="1" s="1"/>
  <c r="D3152" i="1"/>
  <c r="F3152" i="1"/>
  <c r="H3152" i="1"/>
  <c r="I3152" i="1" a="1"/>
  <c r="I3152" i="1" s="1"/>
  <c r="J3152" i="1" s="1"/>
  <c r="D3153" i="1"/>
  <c r="F3153" i="1"/>
  <c r="H3153" i="1"/>
  <c r="I3153" i="1" a="1"/>
  <c r="I3153" i="1" s="1"/>
  <c r="J3153" i="1" s="1"/>
  <c r="D3154" i="1"/>
  <c r="F3154" i="1"/>
  <c r="H3154" i="1"/>
  <c r="I3154" i="1" a="1"/>
  <c r="I3154" i="1" s="1"/>
  <c r="J3154" i="1" s="1"/>
  <c r="D3155" i="1"/>
  <c r="F3155" i="1"/>
  <c r="H3155" i="1"/>
  <c r="I3155" i="1" a="1"/>
  <c r="I3155" i="1" s="1"/>
  <c r="J3155" i="1" s="1"/>
  <c r="D3156" i="1"/>
  <c r="F3156" i="1"/>
  <c r="H3156" i="1"/>
  <c r="I3156" i="1" a="1"/>
  <c r="I3156" i="1" s="1"/>
  <c r="J3156" i="1" s="1"/>
  <c r="D3157" i="1"/>
  <c r="F3157" i="1"/>
  <c r="H3157" i="1"/>
  <c r="I3157" i="1" a="1"/>
  <c r="I3157" i="1" s="1"/>
  <c r="J3157" i="1" s="1"/>
  <c r="D3158" i="1"/>
  <c r="F3158" i="1"/>
  <c r="H3158" i="1"/>
  <c r="I3158" i="1" a="1"/>
  <c r="I3158" i="1" s="1"/>
  <c r="J3158" i="1" s="1"/>
  <c r="D3159" i="1"/>
  <c r="F3159" i="1"/>
  <c r="H3159" i="1"/>
  <c r="I3159" i="1" a="1"/>
  <c r="I3159" i="1" s="1"/>
  <c r="J3159" i="1" s="1"/>
  <c r="D3160" i="1"/>
  <c r="F3160" i="1"/>
  <c r="H3160" i="1"/>
  <c r="I3160" i="1" a="1"/>
  <c r="I3160" i="1" s="1"/>
  <c r="J3160" i="1" s="1"/>
  <c r="D3161" i="1"/>
  <c r="F3161" i="1"/>
  <c r="H3161" i="1"/>
  <c r="I3161" i="1" a="1"/>
  <c r="I3161" i="1" s="1"/>
  <c r="J3161" i="1" s="1"/>
  <c r="D3162" i="1"/>
  <c r="F3162" i="1"/>
  <c r="H3162" i="1"/>
  <c r="I3162" i="1" a="1"/>
  <c r="I3162" i="1" s="1"/>
  <c r="J3162" i="1" s="1"/>
  <c r="D3163" i="1"/>
  <c r="F3163" i="1"/>
  <c r="H3163" i="1"/>
  <c r="I3163" i="1" a="1"/>
  <c r="I3163" i="1" s="1"/>
  <c r="J3163" i="1" s="1"/>
  <c r="D3164" i="1"/>
  <c r="F3164" i="1"/>
  <c r="H3164" i="1"/>
  <c r="I3164" i="1" a="1"/>
  <c r="I3164" i="1" s="1"/>
  <c r="J3164" i="1" s="1"/>
  <c r="D3165" i="1"/>
  <c r="F3165" i="1"/>
  <c r="H3165" i="1"/>
  <c r="I3165" i="1" a="1"/>
  <c r="I3165" i="1" s="1"/>
  <c r="J3165" i="1" s="1"/>
  <c r="D3166" i="1"/>
  <c r="F3166" i="1"/>
  <c r="H3166" i="1"/>
  <c r="I3166" i="1" a="1"/>
  <c r="I3166" i="1" s="1"/>
  <c r="J3166" i="1" s="1"/>
  <c r="D3167" i="1"/>
  <c r="F3167" i="1"/>
  <c r="H3167" i="1"/>
  <c r="I3167" i="1" a="1"/>
  <c r="I3167" i="1" s="1"/>
  <c r="J3167" i="1" s="1"/>
  <c r="D3168" i="1"/>
  <c r="F3168" i="1"/>
  <c r="H3168" i="1"/>
  <c r="I3168" i="1" a="1"/>
  <c r="I3168" i="1" s="1"/>
  <c r="J3168" i="1" s="1"/>
  <c r="D3169" i="1"/>
  <c r="F3169" i="1"/>
  <c r="H3169" i="1"/>
  <c r="I3169" i="1" a="1"/>
  <c r="I3169" i="1" s="1"/>
  <c r="J3169" i="1" s="1"/>
  <c r="D3170" i="1"/>
  <c r="F3170" i="1"/>
  <c r="H3170" i="1"/>
  <c r="I3170" i="1" a="1"/>
  <c r="I3170" i="1" s="1"/>
  <c r="J3170" i="1" s="1"/>
  <c r="D3171" i="1"/>
  <c r="F3171" i="1"/>
  <c r="H3171" i="1"/>
  <c r="I3171" i="1" a="1"/>
  <c r="I3171" i="1" s="1"/>
  <c r="J3171" i="1" s="1"/>
  <c r="D3172" i="1"/>
  <c r="F3172" i="1"/>
  <c r="H3172" i="1"/>
  <c r="I3172" i="1" a="1"/>
  <c r="I3172" i="1" s="1"/>
  <c r="J3172" i="1" s="1"/>
  <c r="D3173" i="1"/>
  <c r="F3173" i="1"/>
  <c r="H3173" i="1"/>
  <c r="I3173" i="1" a="1"/>
  <c r="I3173" i="1" s="1"/>
  <c r="D3174" i="1"/>
  <c r="F3174" i="1"/>
  <c r="H3174" i="1"/>
  <c r="I3174" i="1" a="1"/>
  <c r="I3174" i="1" s="1"/>
  <c r="J3174" i="1" s="1"/>
  <c r="D3175" i="1"/>
  <c r="F3175" i="1"/>
  <c r="H3175" i="1"/>
  <c r="I3175" i="1" a="1"/>
  <c r="I3175" i="1" s="1"/>
  <c r="D3176" i="1"/>
  <c r="F3176" i="1"/>
  <c r="H3176" i="1"/>
  <c r="I3176" i="1" a="1"/>
  <c r="I3176" i="1" s="1"/>
  <c r="J3176" i="1" s="1"/>
  <c r="D3177" i="1"/>
  <c r="F3177" i="1"/>
  <c r="H3177" i="1"/>
  <c r="I3177" i="1" a="1"/>
  <c r="I3177" i="1" s="1"/>
  <c r="J3177" i="1" s="1"/>
  <c r="D3178" i="1"/>
  <c r="F3178" i="1"/>
  <c r="H3178" i="1"/>
  <c r="I3178" i="1" a="1"/>
  <c r="I3178" i="1" s="1"/>
  <c r="J3178" i="1" s="1"/>
  <c r="D3179" i="1"/>
  <c r="F3179" i="1"/>
  <c r="H3179" i="1"/>
  <c r="I3179" i="1" a="1"/>
  <c r="I3179" i="1" s="1"/>
  <c r="J3179" i="1" s="1"/>
  <c r="D3180" i="1"/>
  <c r="F3180" i="1"/>
  <c r="H3180" i="1"/>
  <c r="I3180" i="1" a="1"/>
  <c r="I3180" i="1" s="1"/>
  <c r="J3180" i="1" s="1"/>
  <c r="D3181" i="1"/>
  <c r="F3181" i="1"/>
  <c r="H3181" i="1"/>
  <c r="I3181" i="1" a="1"/>
  <c r="I3181" i="1" s="1"/>
  <c r="J3181" i="1" s="1"/>
  <c r="D3182" i="1"/>
  <c r="F3182" i="1"/>
  <c r="H3182" i="1"/>
  <c r="I3182" i="1" a="1"/>
  <c r="I3182" i="1" s="1"/>
  <c r="J3182" i="1" s="1"/>
  <c r="D3183" i="1"/>
  <c r="F3183" i="1"/>
  <c r="H3183" i="1"/>
  <c r="I3183" i="1" a="1"/>
  <c r="I3183" i="1" s="1"/>
  <c r="J3183" i="1" s="1"/>
  <c r="D3184" i="1"/>
  <c r="F3184" i="1"/>
  <c r="H3184" i="1"/>
  <c r="I3184" i="1" a="1"/>
  <c r="I3184" i="1" s="1"/>
  <c r="J3184" i="1" s="1"/>
  <c r="D3185" i="1"/>
  <c r="F3185" i="1"/>
  <c r="H3185" i="1"/>
  <c r="I3185" i="1" a="1"/>
  <c r="I3185" i="1" s="1"/>
  <c r="J3185" i="1" s="1"/>
  <c r="D3186" i="1"/>
  <c r="F3186" i="1"/>
  <c r="H3186" i="1"/>
  <c r="I3186" i="1" a="1"/>
  <c r="I3186" i="1" s="1"/>
  <c r="J3186" i="1" s="1"/>
  <c r="D3187" i="1"/>
  <c r="F3187" i="1"/>
  <c r="H3187" i="1"/>
  <c r="I3187" i="1" a="1"/>
  <c r="I3187" i="1" s="1"/>
  <c r="J3187" i="1" s="1"/>
  <c r="D3188" i="1"/>
  <c r="F3188" i="1"/>
  <c r="H3188" i="1"/>
  <c r="I3188" i="1" a="1"/>
  <c r="I3188" i="1" s="1"/>
  <c r="J3188" i="1" s="1"/>
  <c r="D3189" i="1"/>
  <c r="F3189" i="1"/>
  <c r="H3189" i="1"/>
  <c r="I3189" i="1" a="1"/>
  <c r="I3189" i="1" s="1"/>
  <c r="J3189" i="1" s="1"/>
  <c r="D3190" i="1"/>
  <c r="F3190" i="1"/>
  <c r="H3190" i="1"/>
  <c r="I3190" i="1" a="1"/>
  <c r="I3190" i="1" s="1"/>
  <c r="J3190" i="1" s="1"/>
  <c r="D3191" i="1"/>
  <c r="F3191" i="1"/>
  <c r="H3191" i="1"/>
  <c r="I3191" i="1" a="1"/>
  <c r="I3191" i="1" s="1"/>
  <c r="J3191" i="1" s="1"/>
  <c r="D3192" i="1"/>
  <c r="F3192" i="1"/>
  <c r="H3192" i="1"/>
  <c r="I3192" i="1" a="1"/>
  <c r="I3192" i="1" s="1"/>
  <c r="J3192" i="1" s="1"/>
  <c r="D3193" i="1"/>
  <c r="F3193" i="1"/>
  <c r="H3193" i="1"/>
  <c r="I3193" i="1" a="1"/>
  <c r="I3193" i="1" s="1"/>
  <c r="J3193" i="1" s="1"/>
  <c r="D3194" i="1"/>
  <c r="F3194" i="1"/>
  <c r="H3194" i="1"/>
  <c r="I3194" i="1" a="1"/>
  <c r="I3194" i="1" s="1"/>
  <c r="D3195" i="1"/>
  <c r="F3195" i="1"/>
  <c r="H3195" i="1"/>
  <c r="I3195" i="1" a="1"/>
  <c r="I3195" i="1" s="1"/>
  <c r="J3195" i="1" s="1"/>
  <c r="D3196" i="1"/>
  <c r="F3196" i="1"/>
  <c r="H3196" i="1"/>
  <c r="I3196" i="1" a="1"/>
  <c r="I3196" i="1" s="1"/>
  <c r="J3196" i="1" s="1"/>
  <c r="D3197" i="1"/>
  <c r="F3197" i="1"/>
  <c r="H3197" i="1"/>
  <c r="I3197" i="1" a="1"/>
  <c r="I3197" i="1" s="1"/>
  <c r="J3197" i="1" s="1"/>
  <c r="D3198" i="1"/>
  <c r="F3198" i="1"/>
  <c r="H3198" i="1"/>
  <c r="I3198" i="1" a="1"/>
  <c r="I3198" i="1" s="1"/>
  <c r="J3198" i="1" s="1"/>
  <c r="D3199" i="1"/>
  <c r="F3199" i="1"/>
  <c r="H3199" i="1"/>
  <c r="I3199" i="1" a="1"/>
  <c r="I3199" i="1" s="1"/>
  <c r="J3199" i="1" s="1"/>
  <c r="D3200" i="1"/>
  <c r="F3200" i="1"/>
  <c r="H3200" i="1"/>
  <c r="I3200" i="1" a="1"/>
  <c r="I3200" i="1" s="1"/>
  <c r="J3200" i="1" s="1"/>
  <c r="D3201" i="1"/>
  <c r="F3201" i="1"/>
  <c r="H3201" i="1"/>
  <c r="I3201" i="1" a="1"/>
  <c r="I3201" i="1" s="1"/>
  <c r="J3201" i="1" s="1"/>
  <c r="D3202" i="1"/>
  <c r="F3202" i="1"/>
  <c r="H3202" i="1"/>
  <c r="I3202" i="1" a="1"/>
  <c r="I3202" i="1" s="1"/>
  <c r="J3202" i="1" s="1"/>
  <c r="D3203" i="1"/>
  <c r="F3203" i="1"/>
  <c r="H3203" i="1"/>
  <c r="I3203" i="1" a="1"/>
  <c r="I3203" i="1" s="1"/>
  <c r="J3203" i="1" s="1"/>
  <c r="D3204" i="1"/>
  <c r="F3204" i="1"/>
  <c r="H3204" i="1"/>
  <c r="I3204" i="1" a="1"/>
  <c r="I3204" i="1" s="1"/>
  <c r="J3204" i="1" s="1"/>
  <c r="D3205" i="1"/>
  <c r="F3205" i="1"/>
  <c r="H3205" i="1"/>
  <c r="I3205" i="1" a="1"/>
  <c r="I3205" i="1" s="1"/>
  <c r="J3205" i="1" s="1"/>
  <c r="D3206" i="1"/>
  <c r="F3206" i="1"/>
  <c r="H3206" i="1"/>
  <c r="I3206" i="1" a="1"/>
  <c r="I3206" i="1" s="1"/>
  <c r="J3206" i="1" s="1"/>
  <c r="D3207" i="1"/>
  <c r="F3207" i="1"/>
  <c r="H3207" i="1"/>
  <c r="I3207" i="1" a="1"/>
  <c r="I3207" i="1" s="1"/>
  <c r="J3207" i="1" s="1"/>
  <c r="D3208" i="1"/>
  <c r="F3208" i="1"/>
  <c r="H3208" i="1"/>
  <c r="I3208" i="1" a="1"/>
  <c r="I3208" i="1" s="1"/>
  <c r="J3208" i="1" s="1"/>
  <c r="D3209" i="1"/>
  <c r="F3209" i="1"/>
  <c r="H3209" i="1"/>
  <c r="I3209" i="1" a="1"/>
  <c r="I3209" i="1" s="1"/>
  <c r="J3209" i="1" s="1"/>
  <c r="D3210" i="1"/>
  <c r="F3210" i="1"/>
  <c r="H3210" i="1"/>
  <c r="I3210" i="1" a="1"/>
  <c r="I3210" i="1" s="1"/>
  <c r="J3210" i="1" s="1"/>
  <c r="D3211" i="1"/>
  <c r="F3211" i="1"/>
  <c r="H3211" i="1"/>
  <c r="I3211" i="1" a="1"/>
  <c r="I3211" i="1" s="1"/>
  <c r="J3211" i="1" s="1"/>
  <c r="D3212" i="1"/>
  <c r="F3212" i="1"/>
  <c r="H3212" i="1"/>
  <c r="I3212" i="1" a="1"/>
  <c r="I3212" i="1" s="1"/>
  <c r="J3212" i="1" s="1"/>
  <c r="D3213" i="1"/>
  <c r="F3213" i="1"/>
  <c r="H3213" i="1"/>
  <c r="I3213" i="1" a="1"/>
  <c r="I3213" i="1" s="1"/>
  <c r="J3213" i="1" s="1"/>
  <c r="D3214" i="1"/>
  <c r="F3214" i="1"/>
  <c r="H3214" i="1"/>
  <c r="I3214" i="1" a="1"/>
  <c r="I3214" i="1" s="1"/>
  <c r="J3214" i="1" s="1"/>
  <c r="D3215" i="1"/>
  <c r="F3215" i="1"/>
  <c r="H3215" i="1"/>
  <c r="I3215" i="1" a="1"/>
  <c r="I3215" i="1" s="1"/>
  <c r="J3215" i="1" s="1"/>
  <c r="D3216" i="1"/>
  <c r="F3216" i="1"/>
  <c r="H3216" i="1"/>
  <c r="I3216" i="1" a="1"/>
  <c r="I3216" i="1" s="1"/>
  <c r="J3216" i="1" s="1"/>
  <c r="D3217" i="1"/>
  <c r="F3217" i="1"/>
  <c r="H3217" i="1"/>
  <c r="I3217" i="1" a="1"/>
  <c r="I3217" i="1" s="1"/>
  <c r="J3217" i="1" s="1"/>
  <c r="D3218" i="1"/>
  <c r="F3218" i="1"/>
  <c r="H3218" i="1"/>
  <c r="I3218" i="1" a="1"/>
  <c r="I3218" i="1" s="1"/>
  <c r="J3218" i="1" s="1"/>
  <c r="D3219" i="1"/>
  <c r="F3219" i="1"/>
  <c r="H3219" i="1"/>
  <c r="I3219" i="1" a="1"/>
  <c r="I3219" i="1" s="1"/>
  <c r="J3219" i="1" s="1"/>
  <c r="D3220" i="1"/>
  <c r="F3220" i="1"/>
  <c r="H3220" i="1"/>
  <c r="I3220" i="1" a="1"/>
  <c r="I3220" i="1" s="1"/>
  <c r="J3220" i="1" s="1"/>
  <c r="D3221" i="1"/>
  <c r="F3221" i="1"/>
  <c r="H3221" i="1"/>
  <c r="I3221" i="1" a="1"/>
  <c r="I3221" i="1" s="1"/>
  <c r="J3221" i="1" s="1"/>
  <c r="D3222" i="1"/>
  <c r="F3222" i="1"/>
  <c r="H3222" i="1"/>
  <c r="I3222" i="1" a="1"/>
  <c r="I3222" i="1" s="1"/>
  <c r="J3222" i="1" s="1"/>
  <c r="D3223" i="1"/>
  <c r="F3223" i="1"/>
  <c r="H3223" i="1"/>
  <c r="I3223" i="1" a="1"/>
  <c r="I3223" i="1" s="1"/>
  <c r="J3223" i="1" s="1"/>
  <c r="D3224" i="1"/>
  <c r="F3224" i="1"/>
  <c r="H3224" i="1"/>
  <c r="I3224" i="1" a="1"/>
  <c r="I3224" i="1" s="1"/>
  <c r="J3224" i="1" s="1"/>
  <c r="D3225" i="1"/>
  <c r="F3225" i="1"/>
  <c r="H3225" i="1"/>
  <c r="I3225" i="1" a="1"/>
  <c r="I3225" i="1" s="1"/>
  <c r="J3225" i="1" s="1"/>
  <c r="D3226" i="1"/>
  <c r="F3226" i="1"/>
  <c r="H3226" i="1"/>
  <c r="I3226" i="1" a="1"/>
  <c r="I3226" i="1" s="1"/>
  <c r="J3226" i="1" s="1"/>
  <c r="D3227" i="1"/>
  <c r="F3227" i="1"/>
  <c r="H3227" i="1"/>
  <c r="I3227" i="1" a="1"/>
  <c r="I3227" i="1" s="1"/>
  <c r="J3227" i="1" s="1"/>
  <c r="D3228" i="1"/>
  <c r="F3228" i="1"/>
  <c r="H3228" i="1"/>
  <c r="I3228" i="1" a="1"/>
  <c r="I3228" i="1" s="1"/>
  <c r="J3228" i="1" s="1"/>
  <c r="D3229" i="1"/>
  <c r="F3229" i="1"/>
  <c r="H3229" i="1"/>
  <c r="I3229" i="1" a="1"/>
  <c r="I3229" i="1" s="1"/>
  <c r="J3229" i="1" s="1"/>
  <c r="D3230" i="1"/>
  <c r="F3230" i="1"/>
  <c r="H3230" i="1"/>
  <c r="I3230" i="1" a="1"/>
  <c r="I3230" i="1" s="1"/>
  <c r="J3230" i="1" s="1"/>
  <c r="D3231" i="1"/>
  <c r="F3231" i="1"/>
  <c r="H3231" i="1"/>
  <c r="I3231" i="1" a="1"/>
  <c r="I3231" i="1" s="1"/>
  <c r="J3231" i="1" s="1"/>
  <c r="D3232" i="1"/>
  <c r="F3232" i="1"/>
  <c r="H3232" i="1"/>
  <c r="I3232" i="1" a="1"/>
  <c r="I3232" i="1" s="1"/>
  <c r="J3232" i="1" s="1"/>
  <c r="D3233" i="1"/>
  <c r="F3233" i="1"/>
  <c r="H3233" i="1"/>
  <c r="I3233" i="1" a="1"/>
  <c r="I3233" i="1" s="1"/>
  <c r="J3233" i="1" s="1"/>
  <c r="D3234" i="1"/>
  <c r="F3234" i="1"/>
  <c r="H3234" i="1"/>
  <c r="I3234" i="1" a="1"/>
  <c r="I3234" i="1" s="1"/>
  <c r="J3234" i="1" s="1"/>
  <c r="D3235" i="1"/>
  <c r="F3235" i="1"/>
  <c r="H3235" i="1"/>
  <c r="I3235" i="1" a="1"/>
  <c r="I3235" i="1" s="1"/>
  <c r="J3235" i="1" s="1"/>
  <c r="D3236" i="1"/>
  <c r="F3236" i="1"/>
  <c r="H3236" i="1"/>
  <c r="I3236" i="1" a="1"/>
  <c r="I3236" i="1" s="1"/>
  <c r="J3236" i="1" s="1"/>
  <c r="D3237" i="1"/>
  <c r="F3237" i="1"/>
  <c r="H3237" i="1"/>
  <c r="I3237" i="1" a="1"/>
  <c r="I3237" i="1" s="1"/>
  <c r="J3237" i="1" s="1"/>
  <c r="D3238" i="1"/>
  <c r="F3238" i="1"/>
  <c r="H3238" i="1"/>
  <c r="I3238" i="1" a="1"/>
  <c r="I3238" i="1" s="1"/>
  <c r="J3238" i="1" s="1"/>
  <c r="D3239" i="1"/>
  <c r="F3239" i="1"/>
  <c r="H3239" i="1"/>
  <c r="I3239" i="1" a="1"/>
  <c r="I3239" i="1" s="1"/>
  <c r="J3239" i="1" s="1"/>
  <c r="D3240" i="1"/>
  <c r="F3240" i="1"/>
  <c r="H3240" i="1"/>
  <c r="I3240" i="1" a="1"/>
  <c r="I3240" i="1" s="1"/>
  <c r="J3240" i="1" s="1"/>
  <c r="D3241" i="1"/>
  <c r="F3241" i="1"/>
  <c r="H3241" i="1"/>
  <c r="I3241" i="1" a="1"/>
  <c r="I3241" i="1" s="1"/>
  <c r="J3241" i="1" s="1"/>
  <c r="D3242" i="1"/>
  <c r="F3242" i="1"/>
  <c r="H3242" i="1"/>
  <c r="I3242" i="1" a="1"/>
  <c r="I3242" i="1" s="1"/>
  <c r="J3242" i="1" s="1"/>
  <c r="D3243" i="1"/>
  <c r="F3243" i="1"/>
  <c r="H3243" i="1"/>
  <c r="I3243" i="1" a="1"/>
  <c r="I3243" i="1" s="1"/>
  <c r="J3243" i="1" s="1"/>
  <c r="D3244" i="1"/>
  <c r="F3244" i="1"/>
  <c r="H3244" i="1"/>
  <c r="I3244" i="1" a="1"/>
  <c r="I3244" i="1" s="1"/>
  <c r="J3244" i="1" s="1"/>
  <c r="D3245" i="1"/>
  <c r="F3245" i="1"/>
  <c r="H3245" i="1"/>
  <c r="I3245" i="1" a="1"/>
  <c r="I3245" i="1" s="1"/>
  <c r="J3245" i="1" s="1"/>
  <c r="D3246" i="1"/>
  <c r="F3246" i="1"/>
  <c r="H3246" i="1"/>
  <c r="I3246" i="1" a="1"/>
  <c r="I3246" i="1" s="1"/>
  <c r="J3246" i="1" s="1"/>
  <c r="D3247" i="1"/>
  <c r="F3247" i="1"/>
  <c r="H3247" i="1"/>
  <c r="I3247" i="1" a="1"/>
  <c r="I3247" i="1" s="1"/>
  <c r="J3247" i="1" s="1"/>
  <c r="D3248" i="1"/>
  <c r="F3248" i="1"/>
  <c r="H3248" i="1"/>
  <c r="I3248" i="1" a="1"/>
  <c r="I3248" i="1" s="1"/>
  <c r="J3248" i="1" s="1"/>
  <c r="D3249" i="1"/>
  <c r="F3249" i="1"/>
  <c r="H3249" i="1"/>
  <c r="I3249" i="1" a="1"/>
  <c r="I3249" i="1" s="1"/>
  <c r="J3249" i="1" s="1"/>
  <c r="D3250" i="1"/>
  <c r="F3250" i="1"/>
  <c r="H3250" i="1"/>
  <c r="I3250" i="1" a="1"/>
  <c r="I3250" i="1" s="1"/>
  <c r="J3250" i="1" s="1"/>
  <c r="D3251" i="1"/>
  <c r="F3251" i="1"/>
  <c r="H3251" i="1"/>
  <c r="I3251" i="1" a="1"/>
  <c r="I3251" i="1" s="1"/>
  <c r="J3251" i="1" s="1"/>
  <c r="D3252" i="1"/>
  <c r="F3252" i="1"/>
  <c r="H3252" i="1"/>
  <c r="I3252" i="1" a="1"/>
  <c r="I3252" i="1" s="1"/>
  <c r="J3252" i="1" s="1"/>
  <c r="D3253" i="1"/>
  <c r="F3253" i="1"/>
  <c r="H3253" i="1"/>
  <c r="I3253" i="1" a="1"/>
  <c r="I3253" i="1" s="1"/>
  <c r="J3253" i="1" s="1"/>
  <c r="D3254" i="1"/>
  <c r="F3254" i="1"/>
  <c r="H3254" i="1"/>
  <c r="I3254" i="1" a="1"/>
  <c r="I3254" i="1" s="1"/>
  <c r="J3254" i="1" s="1"/>
  <c r="D3255" i="1"/>
  <c r="F3255" i="1"/>
  <c r="H3255" i="1"/>
  <c r="I3255" i="1" a="1"/>
  <c r="I3255" i="1" s="1"/>
  <c r="D3256" i="1"/>
  <c r="F3256" i="1"/>
  <c r="H3256" i="1"/>
  <c r="I3256" i="1" a="1"/>
  <c r="I3256" i="1" s="1"/>
  <c r="J3256" i="1" s="1"/>
  <c r="D3257" i="1"/>
  <c r="F3257" i="1"/>
  <c r="H3257" i="1"/>
  <c r="I3257" i="1" a="1"/>
  <c r="I3257" i="1" s="1"/>
  <c r="J3257" i="1" s="1"/>
  <c r="D3258" i="1"/>
  <c r="F3258" i="1"/>
  <c r="H3258" i="1"/>
  <c r="I3258" i="1" a="1"/>
  <c r="I3258" i="1" s="1"/>
  <c r="J3258" i="1" s="1"/>
  <c r="D3259" i="1"/>
  <c r="F3259" i="1"/>
  <c r="H3259" i="1"/>
  <c r="I3259" i="1" a="1"/>
  <c r="I3259" i="1" s="1"/>
  <c r="J3259" i="1" s="1"/>
  <c r="D3260" i="1"/>
  <c r="F3260" i="1"/>
  <c r="H3260" i="1"/>
  <c r="I3260" i="1" a="1"/>
  <c r="I3260" i="1" s="1"/>
  <c r="J3260" i="1" s="1"/>
  <c r="D3261" i="1"/>
  <c r="F3261" i="1"/>
  <c r="H3261" i="1"/>
  <c r="I3261" i="1" a="1"/>
  <c r="I3261" i="1" s="1"/>
  <c r="J3261" i="1" s="1"/>
  <c r="D3262" i="1"/>
  <c r="F3262" i="1"/>
  <c r="H3262" i="1"/>
  <c r="I3262" i="1" a="1"/>
  <c r="I3262" i="1" s="1"/>
  <c r="J3262" i="1" s="1"/>
  <c r="D3263" i="1"/>
  <c r="F3263" i="1"/>
  <c r="H3263" i="1"/>
  <c r="I3263" i="1" a="1"/>
  <c r="I3263" i="1" s="1"/>
  <c r="J3263" i="1" s="1"/>
  <c r="D3264" i="1"/>
  <c r="F3264" i="1"/>
  <c r="H3264" i="1"/>
  <c r="I3264" i="1" a="1"/>
  <c r="I3264" i="1" s="1"/>
  <c r="J3264" i="1" s="1"/>
  <c r="D3265" i="1"/>
  <c r="F3265" i="1"/>
  <c r="H3265" i="1"/>
  <c r="I3265" i="1" a="1"/>
  <c r="I3265" i="1" s="1"/>
  <c r="J3265" i="1" s="1"/>
  <c r="D3266" i="1"/>
  <c r="F3266" i="1"/>
  <c r="H3266" i="1"/>
  <c r="I3266" i="1" a="1"/>
  <c r="I3266" i="1" s="1"/>
  <c r="J3266" i="1" s="1"/>
  <c r="D3267" i="1"/>
  <c r="F3267" i="1"/>
  <c r="H3267" i="1"/>
  <c r="I3267" i="1" a="1"/>
  <c r="I3267" i="1" s="1"/>
  <c r="D3268" i="1"/>
  <c r="F3268" i="1"/>
  <c r="H3268" i="1"/>
  <c r="I3268" i="1" a="1"/>
  <c r="I3268" i="1" s="1"/>
  <c r="J3268" i="1" s="1"/>
  <c r="D3269" i="1"/>
  <c r="F3269" i="1"/>
  <c r="H3269" i="1"/>
  <c r="I3269" i="1" a="1"/>
  <c r="I3269" i="1" s="1"/>
  <c r="J3269" i="1" s="1"/>
  <c r="D3270" i="1"/>
  <c r="F3270" i="1"/>
  <c r="H3270" i="1"/>
  <c r="I3270" i="1" a="1"/>
  <c r="I3270" i="1" s="1"/>
  <c r="J3270" i="1" s="1"/>
  <c r="D3271" i="1"/>
  <c r="F3271" i="1"/>
  <c r="H3271" i="1"/>
  <c r="I3271" i="1" a="1"/>
  <c r="I3271" i="1" s="1"/>
  <c r="J3271" i="1" s="1"/>
  <c r="D3272" i="1"/>
  <c r="F3272" i="1"/>
  <c r="H3272" i="1"/>
  <c r="I3272" i="1" a="1"/>
  <c r="I3272" i="1" s="1"/>
  <c r="J3272" i="1" s="1"/>
  <c r="D3273" i="1"/>
  <c r="F3273" i="1"/>
  <c r="H3273" i="1"/>
  <c r="I3273" i="1" a="1"/>
  <c r="I3273" i="1" s="1"/>
  <c r="J3273" i="1" s="1"/>
  <c r="D3274" i="1"/>
  <c r="F3274" i="1"/>
  <c r="H3274" i="1"/>
  <c r="I3274" i="1" a="1"/>
  <c r="I3274" i="1" s="1"/>
  <c r="J3274" i="1" s="1"/>
  <c r="D3275" i="1"/>
  <c r="F3275" i="1"/>
  <c r="H3275" i="1"/>
  <c r="I3275" i="1" a="1"/>
  <c r="I3275" i="1" s="1"/>
  <c r="J3275" i="1" s="1"/>
  <c r="D3276" i="1"/>
  <c r="F3276" i="1"/>
  <c r="H3276" i="1"/>
  <c r="I3276" i="1" a="1"/>
  <c r="I3276" i="1" s="1"/>
  <c r="D3277" i="1"/>
  <c r="F3277" i="1"/>
  <c r="H3277" i="1"/>
  <c r="I3277" i="1" a="1"/>
  <c r="I3277" i="1" s="1"/>
  <c r="J3277" i="1" s="1"/>
  <c r="D3278" i="1"/>
  <c r="F3278" i="1"/>
  <c r="H3278" i="1"/>
  <c r="I3278" i="1" a="1"/>
  <c r="I3278" i="1" s="1"/>
  <c r="J3278" i="1" s="1"/>
  <c r="D3279" i="1"/>
  <c r="F3279" i="1"/>
  <c r="H3279" i="1"/>
  <c r="I3279" i="1" a="1"/>
  <c r="I3279" i="1" s="1"/>
  <c r="J3279" i="1" s="1"/>
  <c r="D3280" i="1"/>
  <c r="F3280" i="1"/>
  <c r="H3280" i="1"/>
  <c r="I3280" i="1" a="1"/>
  <c r="I3280" i="1" s="1"/>
  <c r="J3280" i="1" s="1"/>
  <c r="D3281" i="1"/>
  <c r="F3281" i="1"/>
  <c r="H3281" i="1"/>
  <c r="I3281" i="1" a="1"/>
  <c r="I3281" i="1" s="1"/>
  <c r="J3281" i="1" s="1"/>
  <c r="D3282" i="1"/>
  <c r="F3282" i="1"/>
  <c r="H3282" i="1"/>
  <c r="I3282" i="1" a="1"/>
  <c r="I3282" i="1" s="1"/>
  <c r="J3282" i="1" s="1"/>
  <c r="D3283" i="1"/>
  <c r="F3283" i="1"/>
  <c r="H3283" i="1"/>
  <c r="I3283" i="1" a="1"/>
  <c r="I3283" i="1" s="1"/>
  <c r="J3283" i="1" s="1"/>
  <c r="D3284" i="1"/>
  <c r="F3284" i="1"/>
  <c r="H3284" i="1"/>
  <c r="I3284" i="1" a="1"/>
  <c r="I3284" i="1" s="1"/>
  <c r="J3284" i="1" s="1"/>
  <c r="D3285" i="1"/>
  <c r="F3285" i="1"/>
  <c r="H3285" i="1"/>
  <c r="I3285" i="1" a="1"/>
  <c r="I3285" i="1" s="1"/>
  <c r="J3285" i="1" s="1"/>
  <c r="D3286" i="1"/>
  <c r="F3286" i="1"/>
  <c r="H3286" i="1"/>
  <c r="I3286" i="1" a="1"/>
  <c r="I3286" i="1" s="1"/>
  <c r="D3287" i="1"/>
  <c r="F3287" i="1"/>
  <c r="H3287" i="1"/>
  <c r="I3287" i="1" a="1"/>
  <c r="I3287" i="1" s="1"/>
  <c r="J3287" i="1" s="1"/>
  <c r="D3288" i="1"/>
  <c r="F3288" i="1"/>
  <c r="H3288" i="1"/>
  <c r="I3288" i="1" a="1"/>
  <c r="I3288" i="1" s="1"/>
  <c r="J3288" i="1" s="1"/>
  <c r="D3289" i="1"/>
  <c r="F3289" i="1"/>
  <c r="H3289" i="1"/>
  <c r="I3289" i="1" a="1"/>
  <c r="I3289" i="1" s="1"/>
  <c r="J3289" i="1" s="1"/>
  <c r="D3290" i="1"/>
  <c r="F3290" i="1"/>
  <c r="H3290" i="1"/>
  <c r="I3290" i="1" a="1"/>
  <c r="I3290" i="1" s="1"/>
  <c r="J3290" i="1" s="1"/>
  <c r="D3291" i="1"/>
  <c r="F3291" i="1"/>
  <c r="H3291" i="1"/>
  <c r="I3291" i="1" a="1"/>
  <c r="I3291" i="1" s="1"/>
  <c r="J3291" i="1" s="1"/>
  <c r="D3292" i="1"/>
  <c r="F3292" i="1"/>
  <c r="H3292" i="1"/>
  <c r="I3292" i="1" a="1"/>
  <c r="I3292" i="1" s="1"/>
  <c r="J3292" i="1" s="1"/>
  <c r="D3293" i="1"/>
  <c r="F3293" i="1"/>
  <c r="H3293" i="1"/>
  <c r="I3293" i="1" a="1"/>
  <c r="I3293" i="1" s="1"/>
  <c r="J3293" i="1" s="1"/>
  <c r="D3294" i="1"/>
  <c r="F3294" i="1"/>
  <c r="H3294" i="1"/>
  <c r="I3294" i="1" a="1"/>
  <c r="I3294" i="1" s="1"/>
  <c r="J3294" i="1" s="1"/>
  <c r="D3295" i="1"/>
  <c r="F3295" i="1"/>
  <c r="H3295" i="1"/>
  <c r="I3295" i="1" a="1"/>
  <c r="I3295" i="1" s="1"/>
  <c r="J3295" i="1" s="1"/>
  <c r="D3296" i="1"/>
  <c r="F3296" i="1"/>
  <c r="H3296" i="1"/>
  <c r="I3296" i="1" a="1"/>
  <c r="I3296" i="1" s="1"/>
  <c r="J3296" i="1" s="1"/>
  <c r="D3297" i="1"/>
  <c r="F3297" i="1"/>
  <c r="H3297" i="1"/>
  <c r="I3297" i="1" a="1"/>
  <c r="I3297" i="1" s="1"/>
  <c r="J3297" i="1" s="1"/>
  <c r="D3298" i="1"/>
  <c r="F3298" i="1"/>
  <c r="H3298" i="1"/>
  <c r="I3298" i="1" a="1"/>
  <c r="I3298" i="1" s="1"/>
  <c r="J3298" i="1" s="1"/>
  <c r="D3299" i="1"/>
  <c r="F3299" i="1"/>
  <c r="H3299" i="1"/>
  <c r="I3299" i="1" a="1"/>
  <c r="I3299" i="1" s="1"/>
  <c r="J3299" i="1" s="1"/>
  <c r="D3300" i="1"/>
  <c r="F3300" i="1"/>
  <c r="H3300" i="1"/>
  <c r="I3300" i="1" a="1"/>
  <c r="I3300" i="1" s="1"/>
  <c r="J3300" i="1" s="1"/>
  <c r="D3301" i="1"/>
  <c r="F3301" i="1"/>
  <c r="H3301" i="1"/>
  <c r="I3301" i="1" a="1"/>
  <c r="I3301" i="1" s="1"/>
  <c r="J3301" i="1" s="1"/>
  <c r="D3302" i="1"/>
  <c r="F3302" i="1"/>
  <c r="H3302" i="1"/>
  <c r="I3302" i="1" a="1"/>
  <c r="I3302" i="1" s="1"/>
  <c r="J3302" i="1" s="1"/>
  <c r="D3303" i="1"/>
  <c r="F3303" i="1"/>
  <c r="H3303" i="1"/>
  <c r="I3303" i="1" a="1"/>
  <c r="I3303" i="1" s="1"/>
  <c r="J3303" i="1" s="1"/>
  <c r="D3304" i="1"/>
  <c r="F3304" i="1"/>
  <c r="H3304" i="1"/>
  <c r="I3304" i="1" a="1"/>
  <c r="I3304" i="1" s="1"/>
  <c r="J3304" i="1" s="1"/>
  <c r="D3305" i="1"/>
  <c r="F3305" i="1"/>
  <c r="H3305" i="1"/>
  <c r="I3305" i="1" a="1"/>
  <c r="I3305" i="1" s="1"/>
  <c r="J3305" i="1" s="1"/>
  <c r="D3306" i="1"/>
  <c r="F3306" i="1"/>
  <c r="H3306" i="1"/>
  <c r="I3306" i="1" a="1"/>
  <c r="I3306" i="1" s="1"/>
  <c r="J3306" i="1" s="1"/>
  <c r="D3307" i="1"/>
  <c r="F3307" i="1"/>
  <c r="H3307" i="1"/>
  <c r="I3307" i="1" a="1"/>
  <c r="I3307" i="1" s="1"/>
  <c r="J3307" i="1" s="1"/>
  <c r="D3308" i="1"/>
  <c r="F3308" i="1"/>
  <c r="H3308" i="1"/>
  <c r="I3308" i="1" a="1"/>
  <c r="I3308" i="1" s="1"/>
  <c r="J3308" i="1" s="1"/>
  <c r="D3309" i="1"/>
  <c r="F3309" i="1"/>
  <c r="H3309" i="1"/>
  <c r="I3309" i="1" a="1"/>
  <c r="I3309" i="1" s="1"/>
  <c r="J3309" i="1" s="1"/>
  <c r="D3310" i="1"/>
  <c r="F3310" i="1"/>
  <c r="H3310" i="1"/>
  <c r="I3310" i="1" a="1"/>
  <c r="I3310" i="1" s="1"/>
  <c r="J3310" i="1" s="1"/>
  <c r="D3311" i="1"/>
  <c r="F3311" i="1"/>
  <c r="H3311" i="1"/>
  <c r="I3311" i="1" a="1"/>
  <c r="I3311" i="1" s="1"/>
  <c r="J3311" i="1" s="1"/>
  <c r="D3312" i="1"/>
  <c r="F3312" i="1"/>
  <c r="H3312" i="1"/>
  <c r="I3312" i="1" a="1"/>
  <c r="I3312" i="1" s="1"/>
  <c r="J3312" i="1" s="1"/>
  <c r="D3313" i="1"/>
  <c r="F3313" i="1"/>
  <c r="H3313" i="1"/>
  <c r="I3313" i="1" a="1"/>
  <c r="I3313" i="1" s="1"/>
  <c r="J3313" i="1" s="1"/>
  <c r="D3314" i="1"/>
  <c r="F3314" i="1"/>
  <c r="H3314" i="1"/>
  <c r="I3314" i="1" a="1"/>
  <c r="I3314" i="1" s="1"/>
  <c r="J3314" i="1" s="1"/>
  <c r="D3315" i="1"/>
  <c r="F3315" i="1"/>
  <c r="H3315" i="1"/>
  <c r="I3315" i="1" a="1"/>
  <c r="I3315" i="1" s="1"/>
  <c r="J3315" i="1" s="1"/>
  <c r="D3316" i="1"/>
  <c r="F3316" i="1"/>
  <c r="H3316" i="1"/>
  <c r="I3316" i="1" a="1"/>
  <c r="I3316" i="1" s="1"/>
  <c r="J3316" i="1" s="1"/>
  <c r="D3317" i="1"/>
  <c r="F3317" i="1"/>
  <c r="H3317" i="1"/>
  <c r="I3317" i="1" a="1"/>
  <c r="I3317" i="1" s="1"/>
  <c r="J3317" i="1" s="1"/>
  <c r="D3318" i="1"/>
  <c r="F3318" i="1"/>
  <c r="H3318" i="1"/>
  <c r="I3318" i="1" a="1"/>
  <c r="I3318" i="1" s="1"/>
  <c r="J3318" i="1" s="1"/>
  <c r="D3319" i="1"/>
  <c r="F3319" i="1"/>
  <c r="H3319" i="1"/>
  <c r="I3319" i="1" a="1"/>
  <c r="I3319" i="1" s="1"/>
  <c r="J3319" i="1" s="1"/>
  <c r="D3320" i="1"/>
  <c r="F3320" i="1"/>
  <c r="H3320" i="1"/>
  <c r="I3320" i="1" a="1"/>
  <c r="I3320" i="1" s="1"/>
  <c r="D3321" i="1"/>
  <c r="F3321" i="1"/>
  <c r="H3321" i="1"/>
  <c r="I3321" i="1" a="1"/>
  <c r="I3321" i="1" s="1"/>
  <c r="D3322" i="1"/>
  <c r="F3322" i="1"/>
  <c r="H3322" i="1"/>
  <c r="I3322" i="1" a="1"/>
  <c r="I3322" i="1" s="1"/>
  <c r="J3322" i="1" s="1"/>
  <c r="D3323" i="1"/>
  <c r="F3323" i="1"/>
  <c r="H3323" i="1"/>
  <c r="I3323" i="1" a="1"/>
  <c r="I3323" i="1" s="1"/>
  <c r="J3323" i="1" s="1"/>
  <c r="D3324" i="1"/>
  <c r="F3324" i="1"/>
  <c r="H3324" i="1"/>
  <c r="I3324" i="1" a="1"/>
  <c r="I3324" i="1" s="1"/>
  <c r="J3324" i="1" s="1"/>
  <c r="D3325" i="1"/>
  <c r="F3325" i="1"/>
  <c r="H3325" i="1"/>
  <c r="I3325" i="1" a="1"/>
  <c r="I3325" i="1" s="1"/>
  <c r="J3325" i="1" s="1"/>
  <c r="D3326" i="1"/>
  <c r="F3326" i="1"/>
  <c r="H3326" i="1"/>
  <c r="I3326" i="1" a="1"/>
  <c r="I3326" i="1" s="1"/>
  <c r="J3326" i="1" s="1"/>
  <c r="D3327" i="1"/>
  <c r="F3327" i="1"/>
  <c r="H3327" i="1"/>
  <c r="I3327" i="1" a="1"/>
  <c r="I3327" i="1" s="1"/>
  <c r="J3327" i="1" s="1"/>
  <c r="D3328" i="1"/>
  <c r="F3328" i="1"/>
  <c r="H3328" i="1"/>
  <c r="I3328" i="1" a="1"/>
  <c r="I3328" i="1" s="1"/>
  <c r="J3328" i="1" s="1"/>
  <c r="D3329" i="1"/>
  <c r="F3329" i="1"/>
  <c r="H3329" i="1"/>
  <c r="I3329" i="1" a="1"/>
  <c r="I3329" i="1" s="1"/>
  <c r="D3330" i="1"/>
  <c r="F3330" i="1"/>
  <c r="H3330" i="1"/>
  <c r="I3330" i="1" a="1"/>
  <c r="I3330" i="1" s="1"/>
  <c r="J3330" i="1" s="1"/>
  <c r="D3331" i="1"/>
  <c r="F3331" i="1"/>
  <c r="H3331" i="1"/>
  <c r="I3331" i="1" a="1"/>
  <c r="I3331" i="1" s="1"/>
  <c r="J3331" i="1" s="1"/>
  <c r="D3332" i="1"/>
  <c r="F3332" i="1"/>
  <c r="H3332" i="1"/>
  <c r="I3332" i="1" a="1"/>
  <c r="I3332" i="1" s="1"/>
  <c r="J3332" i="1" s="1"/>
  <c r="D3333" i="1"/>
  <c r="F3333" i="1"/>
  <c r="H3333" i="1"/>
  <c r="I3333" i="1" a="1"/>
  <c r="I3333" i="1" s="1"/>
  <c r="D3334" i="1"/>
  <c r="F3334" i="1"/>
  <c r="H3334" i="1"/>
  <c r="I3334" i="1" a="1"/>
  <c r="I3334" i="1" s="1"/>
  <c r="J3334" i="1" s="1"/>
  <c r="D3335" i="1"/>
  <c r="F3335" i="1"/>
  <c r="H3335" i="1"/>
  <c r="I3335" i="1" a="1"/>
  <c r="I3335" i="1" s="1"/>
  <c r="J3335" i="1" s="1"/>
  <c r="D3336" i="1"/>
  <c r="F3336" i="1"/>
  <c r="H3336" i="1"/>
  <c r="I3336" i="1" a="1"/>
  <c r="I3336" i="1" s="1"/>
  <c r="J3336" i="1" s="1"/>
  <c r="D3337" i="1"/>
  <c r="F3337" i="1"/>
  <c r="H3337" i="1"/>
  <c r="I3337" i="1" a="1"/>
  <c r="I3337" i="1" s="1"/>
  <c r="J3337" i="1" s="1"/>
  <c r="D3338" i="1"/>
  <c r="F3338" i="1"/>
  <c r="H3338" i="1"/>
  <c r="I3338" i="1" a="1"/>
  <c r="I3338" i="1" s="1"/>
  <c r="J3338" i="1" s="1"/>
  <c r="D3339" i="1"/>
  <c r="F3339" i="1"/>
  <c r="H3339" i="1"/>
  <c r="I3339" i="1" a="1"/>
  <c r="I3339" i="1" s="1"/>
  <c r="J3339" i="1" s="1"/>
  <c r="D3340" i="1"/>
  <c r="F3340" i="1"/>
  <c r="H3340" i="1"/>
  <c r="I3340" i="1" a="1"/>
  <c r="I3340" i="1" s="1"/>
  <c r="J3340" i="1" s="1"/>
  <c r="D3341" i="1"/>
  <c r="F3341" i="1"/>
  <c r="H3341" i="1"/>
  <c r="I3341" i="1" a="1"/>
  <c r="I3341" i="1" s="1"/>
  <c r="J3341" i="1" s="1"/>
  <c r="D3342" i="1"/>
  <c r="F3342" i="1"/>
  <c r="H3342" i="1"/>
  <c r="I3342" i="1" a="1"/>
  <c r="I3342" i="1" s="1"/>
  <c r="J3342" i="1" s="1"/>
  <c r="D3343" i="1"/>
  <c r="F3343" i="1"/>
  <c r="H3343" i="1"/>
  <c r="I3343" i="1" a="1"/>
  <c r="I3343" i="1" s="1"/>
  <c r="J3343" i="1" s="1"/>
  <c r="D3344" i="1"/>
  <c r="F3344" i="1"/>
  <c r="H3344" i="1"/>
  <c r="I3344" i="1" a="1"/>
  <c r="I3344" i="1" s="1"/>
  <c r="J3344" i="1" s="1"/>
  <c r="D3345" i="1"/>
  <c r="F3345" i="1"/>
  <c r="H3345" i="1"/>
  <c r="I3345" i="1" a="1"/>
  <c r="I3345" i="1" s="1"/>
  <c r="J3345" i="1" s="1"/>
  <c r="D3346" i="1"/>
  <c r="F3346" i="1"/>
  <c r="H3346" i="1"/>
  <c r="I3346" i="1" a="1"/>
  <c r="I3346" i="1" s="1"/>
  <c r="J3346" i="1" s="1"/>
  <c r="D3347" i="1"/>
  <c r="F3347" i="1"/>
  <c r="H3347" i="1"/>
  <c r="I3347" i="1" a="1"/>
  <c r="I3347" i="1" s="1"/>
  <c r="J3347" i="1" s="1"/>
  <c r="D3348" i="1"/>
  <c r="F3348" i="1"/>
  <c r="H3348" i="1"/>
  <c r="I3348" i="1" a="1"/>
  <c r="I3348" i="1" s="1"/>
  <c r="J3348" i="1" s="1"/>
  <c r="D3349" i="1"/>
  <c r="F3349" i="1"/>
  <c r="H3349" i="1"/>
  <c r="I3349" i="1" a="1"/>
  <c r="I3349" i="1" s="1"/>
  <c r="J3349" i="1" s="1"/>
  <c r="D3350" i="1"/>
  <c r="F3350" i="1"/>
  <c r="H3350" i="1"/>
  <c r="I3350" i="1" a="1"/>
  <c r="I3350" i="1" s="1"/>
  <c r="J3350" i="1" s="1"/>
  <c r="D3351" i="1"/>
  <c r="F3351" i="1"/>
  <c r="H3351" i="1"/>
  <c r="I3351" i="1" a="1"/>
  <c r="I3351" i="1" s="1"/>
  <c r="J3351" i="1" s="1"/>
  <c r="D3352" i="1"/>
  <c r="F3352" i="1"/>
  <c r="H3352" i="1"/>
  <c r="I3352" i="1" a="1"/>
  <c r="I3352" i="1" s="1"/>
  <c r="J3352" i="1" s="1"/>
  <c r="D3353" i="1"/>
  <c r="F3353" i="1"/>
  <c r="H3353" i="1"/>
  <c r="I3353" i="1" a="1"/>
  <c r="I3353" i="1" s="1"/>
  <c r="J3353" i="1" s="1"/>
  <c r="D3354" i="1"/>
  <c r="F3354" i="1"/>
  <c r="H3354" i="1"/>
  <c r="I3354" i="1" a="1"/>
  <c r="I3354" i="1" s="1"/>
  <c r="J3354" i="1" s="1"/>
  <c r="D3355" i="1"/>
  <c r="F3355" i="1"/>
  <c r="H3355" i="1"/>
  <c r="I3355" i="1" a="1"/>
  <c r="I3355" i="1" s="1"/>
  <c r="J3355" i="1" s="1"/>
  <c r="D3356" i="1"/>
  <c r="F3356" i="1"/>
  <c r="H3356" i="1"/>
  <c r="I3356" i="1" a="1"/>
  <c r="I3356" i="1" s="1"/>
  <c r="J3356" i="1" s="1"/>
  <c r="D3357" i="1"/>
  <c r="F3357" i="1"/>
  <c r="H3357" i="1"/>
  <c r="I3357" i="1" a="1"/>
  <c r="I3357" i="1" s="1"/>
  <c r="J3357" i="1" s="1"/>
  <c r="D3358" i="1"/>
  <c r="F3358" i="1"/>
  <c r="H3358" i="1"/>
  <c r="I3358" i="1" a="1"/>
  <c r="I3358" i="1" s="1"/>
  <c r="J3358" i="1" s="1"/>
  <c r="D3359" i="1"/>
  <c r="F3359" i="1"/>
  <c r="H3359" i="1"/>
  <c r="I3359" i="1" a="1"/>
  <c r="I3359" i="1" s="1"/>
  <c r="J3359" i="1" s="1"/>
  <c r="D3360" i="1"/>
  <c r="F3360" i="1"/>
  <c r="H3360" i="1"/>
  <c r="I3360" i="1" a="1"/>
  <c r="I3360" i="1" s="1"/>
  <c r="J3360" i="1" s="1"/>
  <c r="D3361" i="1"/>
  <c r="F3361" i="1"/>
  <c r="H3361" i="1"/>
  <c r="I3361" i="1" a="1"/>
  <c r="I3361" i="1" s="1"/>
  <c r="J3361" i="1" s="1"/>
  <c r="D3362" i="1"/>
  <c r="F3362" i="1"/>
  <c r="H3362" i="1"/>
  <c r="I3362" i="1" a="1"/>
  <c r="I3362" i="1" s="1"/>
  <c r="J3362" i="1" s="1"/>
  <c r="D3363" i="1"/>
  <c r="F3363" i="1"/>
  <c r="H3363" i="1"/>
  <c r="I3363" i="1" a="1"/>
  <c r="I3363" i="1" s="1"/>
  <c r="J3363" i="1" s="1"/>
  <c r="D3364" i="1"/>
  <c r="F3364" i="1"/>
  <c r="H3364" i="1"/>
  <c r="I3364" i="1" a="1"/>
  <c r="I3364" i="1" s="1"/>
  <c r="J3364" i="1" s="1"/>
  <c r="D3365" i="1"/>
  <c r="F3365" i="1"/>
  <c r="H3365" i="1"/>
  <c r="I3365" i="1" a="1"/>
  <c r="I3365" i="1" s="1"/>
  <c r="J3365" i="1" s="1"/>
  <c r="D3366" i="1"/>
  <c r="F3366" i="1"/>
  <c r="H3366" i="1"/>
  <c r="I3366" i="1" a="1"/>
  <c r="I3366" i="1" s="1"/>
  <c r="J3366" i="1" s="1"/>
  <c r="D3367" i="1"/>
  <c r="F3367" i="1"/>
  <c r="H3367" i="1"/>
  <c r="I3367" i="1" a="1"/>
  <c r="I3367" i="1" s="1"/>
  <c r="J3367" i="1" s="1"/>
  <c r="D3368" i="1"/>
  <c r="F3368" i="1"/>
  <c r="H3368" i="1"/>
  <c r="I3368" i="1" a="1"/>
  <c r="I3368" i="1" s="1"/>
  <c r="J3368" i="1" s="1"/>
  <c r="D3369" i="1"/>
  <c r="F3369" i="1"/>
  <c r="H3369" i="1"/>
  <c r="I3369" i="1" a="1"/>
  <c r="I3369" i="1" s="1"/>
  <c r="J3369" i="1" s="1"/>
  <c r="D3370" i="1"/>
  <c r="F3370" i="1"/>
  <c r="H3370" i="1"/>
  <c r="I3370" i="1" a="1"/>
  <c r="I3370" i="1" s="1"/>
  <c r="J3370" i="1" s="1"/>
  <c r="D3371" i="1"/>
  <c r="F3371" i="1"/>
  <c r="H3371" i="1"/>
  <c r="I3371" i="1" a="1"/>
  <c r="I3371" i="1" s="1"/>
  <c r="J3371" i="1" s="1"/>
  <c r="D3372" i="1"/>
  <c r="F3372" i="1"/>
  <c r="H3372" i="1"/>
  <c r="I3372" i="1" a="1"/>
  <c r="I3372" i="1" s="1"/>
  <c r="J3372" i="1" s="1"/>
  <c r="D3373" i="1"/>
  <c r="F3373" i="1"/>
  <c r="H3373" i="1"/>
  <c r="I3373" i="1" a="1"/>
  <c r="I3373" i="1" s="1"/>
  <c r="J3373" i="1" s="1"/>
  <c r="D3374" i="1"/>
  <c r="F3374" i="1"/>
  <c r="H3374" i="1"/>
  <c r="I3374" i="1" a="1"/>
  <c r="I3374" i="1" s="1"/>
  <c r="J3374" i="1" s="1"/>
  <c r="D3375" i="1"/>
  <c r="F3375" i="1"/>
  <c r="H3375" i="1"/>
  <c r="I3375" i="1" a="1"/>
  <c r="I3375" i="1" s="1"/>
  <c r="J3375" i="1" s="1"/>
  <c r="D3376" i="1"/>
  <c r="F3376" i="1"/>
  <c r="H3376" i="1"/>
  <c r="I3376" i="1" a="1"/>
  <c r="I3376" i="1" s="1"/>
  <c r="J3376" i="1" s="1"/>
  <c r="D3377" i="1"/>
  <c r="F3377" i="1"/>
  <c r="H3377" i="1"/>
  <c r="I3377" i="1" a="1"/>
  <c r="I3377" i="1" s="1"/>
  <c r="J3377" i="1" s="1"/>
  <c r="D3378" i="1"/>
  <c r="F3378" i="1"/>
  <c r="H3378" i="1"/>
  <c r="I3378" i="1" a="1"/>
  <c r="I3378" i="1" s="1"/>
  <c r="J3378" i="1" s="1"/>
  <c r="D3379" i="1"/>
  <c r="F3379" i="1"/>
  <c r="H3379" i="1"/>
  <c r="I3379" i="1" a="1"/>
  <c r="I3379" i="1" s="1"/>
  <c r="J3379" i="1" s="1"/>
  <c r="D3380" i="1"/>
  <c r="F3380" i="1"/>
  <c r="H3380" i="1"/>
  <c r="I3380" i="1" a="1"/>
  <c r="I3380" i="1" s="1"/>
  <c r="J3380" i="1" s="1"/>
  <c r="D3381" i="1"/>
  <c r="F3381" i="1"/>
  <c r="H3381" i="1"/>
  <c r="I3381" i="1" a="1"/>
  <c r="I3381" i="1" s="1"/>
  <c r="J3381" i="1" s="1"/>
  <c r="D3382" i="1"/>
  <c r="F3382" i="1"/>
  <c r="H3382" i="1"/>
  <c r="I3382" i="1" a="1"/>
  <c r="I3382" i="1" s="1"/>
  <c r="J3382" i="1" s="1"/>
  <c r="D3383" i="1"/>
  <c r="F3383" i="1"/>
  <c r="H3383" i="1"/>
  <c r="I3383" i="1" a="1"/>
  <c r="I3383" i="1" s="1"/>
  <c r="J3383" i="1" s="1"/>
  <c r="D3384" i="1"/>
  <c r="F3384" i="1"/>
  <c r="H3384" i="1"/>
  <c r="I3384" i="1" a="1"/>
  <c r="I3384" i="1" s="1"/>
  <c r="D3385" i="1"/>
  <c r="F3385" i="1"/>
  <c r="H3385" i="1"/>
  <c r="I3385" i="1" a="1"/>
  <c r="I3385" i="1" s="1"/>
  <c r="J3385" i="1" s="1"/>
  <c r="D3386" i="1"/>
  <c r="F3386" i="1"/>
  <c r="H3386" i="1"/>
  <c r="I3386" i="1" a="1"/>
  <c r="I3386" i="1" s="1"/>
  <c r="J3386" i="1" s="1"/>
  <c r="D3387" i="1"/>
  <c r="F3387" i="1"/>
  <c r="H3387" i="1"/>
  <c r="I3387" i="1" a="1"/>
  <c r="I3387" i="1" s="1"/>
  <c r="J3387" i="1" s="1"/>
  <c r="D3388" i="1"/>
  <c r="F3388" i="1"/>
  <c r="H3388" i="1"/>
  <c r="I3388" i="1" a="1"/>
  <c r="I3388" i="1" s="1"/>
  <c r="J3388" i="1" s="1"/>
  <c r="D3389" i="1"/>
  <c r="F3389" i="1"/>
  <c r="H3389" i="1"/>
  <c r="I3389" i="1" a="1"/>
  <c r="I3389" i="1" s="1"/>
  <c r="J3389" i="1" s="1"/>
  <c r="D3390" i="1"/>
  <c r="F3390" i="1"/>
  <c r="H3390" i="1"/>
  <c r="I3390" i="1" a="1"/>
  <c r="I3390" i="1" s="1"/>
  <c r="D3391" i="1"/>
  <c r="F3391" i="1"/>
  <c r="H3391" i="1"/>
  <c r="I3391" i="1" a="1"/>
  <c r="I3391" i="1" s="1"/>
  <c r="J3391" i="1" s="1"/>
  <c r="D3392" i="1"/>
  <c r="F3392" i="1"/>
  <c r="H3392" i="1"/>
  <c r="I3392" i="1" a="1"/>
  <c r="I3392" i="1" s="1"/>
  <c r="J3392" i="1" s="1"/>
  <c r="D3393" i="1"/>
  <c r="F3393" i="1"/>
  <c r="H3393" i="1"/>
  <c r="I3393" i="1" a="1"/>
  <c r="I3393" i="1" s="1"/>
  <c r="J3393" i="1" s="1"/>
  <c r="D3394" i="1"/>
  <c r="F3394" i="1"/>
  <c r="H3394" i="1"/>
  <c r="I3394" i="1" a="1"/>
  <c r="I3394" i="1" s="1"/>
  <c r="J3394" i="1" s="1"/>
  <c r="D3395" i="1"/>
  <c r="F3395" i="1"/>
  <c r="H3395" i="1"/>
  <c r="I3395" i="1" a="1"/>
  <c r="I3395" i="1" s="1"/>
  <c r="J3395" i="1" s="1"/>
  <c r="D3396" i="1"/>
  <c r="F3396" i="1"/>
  <c r="H3396" i="1"/>
  <c r="I3396" i="1" a="1"/>
  <c r="I3396" i="1" s="1"/>
  <c r="J3396" i="1" s="1"/>
  <c r="D3397" i="1"/>
  <c r="F3397" i="1"/>
  <c r="H3397" i="1"/>
  <c r="I3397" i="1" a="1"/>
  <c r="I3397" i="1" s="1"/>
  <c r="J3397" i="1" s="1"/>
  <c r="D3398" i="1"/>
  <c r="F3398" i="1"/>
  <c r="H3398" i="1"/>
  <c r="I3398" i="1" a="1"/>
  <c r="I3398" i="1" s="1"/>
  <c r="J3398" i="1" s="1"/>
  <c r="D3399" i="1"/>
  <c r="F3399" i="1"/>
  <c r="H3399" i="1"/>
  <c r="I3399" i="1" a="1"/>
  <c r="I3399" i="1" s="1"/>
  <c r="J3399" i="1" s="1"/>
  <c r="D3400" i="1"/>
  <c r="F3400" i="1"/>
  <c r="H3400" i="1"/>
  <c r="I3400" i="1" a="1"/>
  <c r="I3400" i="1" s="1"/>
  <c r="J3400" i="1" s="1"/>
  <c r="D3401" i="1"/>
  <c r="F3401" i="1"/>
  <c r="H3401" i="1"/>
  <c r="I3401" i="1" a="1"/>
  <c r="I3401" i="1" s="1"/>
  <c r="J3401" i="1" s="1"/>
  <c r="D3402" i="1"/>
  <c r="F3402" i="1"/>
  <c r="H3402" i="1"/>
  <c r="I3402" i="1" a="1"/>
  <c r="I3402" i="1" s="1"/>
  <c r="J3402" i="1" s="1"/>
  <c r="D3403" i="1"/>
  <c r="F3403" i="1"/>
  <c r="H3403" i="1"/>
  <c r="I3403" i="1" a="1"/>
  <c r="I3403" i="1" s="1"/>
  <c r="J3403" i="1" s="1"/>
  <c r="D3404" i="1"/>
  <c r="F3404" i="1"/>
  <c r="H3404" i="1"/>
  <c r="I3404" i="1" a="1"/>
  <c r="I3404" i="1" s="1"/>
  <c r="J3404" i="1" s="1"/>
  <c r="D3405" i="1"/>
  <c r="F3405" i="1"/>
  <c r="H3405" i="1"/>
  <c r="I3405" i="1" a="1"/>
  <c r="I3405" i="1" s="1"/>
  <c r="J3405" i="1" s="1"/>
  <c r="D3406" i="1"/>
  <c r="F3406" i="1"/>
  <c r="H3406" i="1"/>
  <c r="I3406" i="1" a="1"/>
  <c r="I3406" i="1" s="1"/>
  <c r="D3407" i="1"/>
  <c r="F3407" i="1"/>
  <c r="H3407" i="1"/>
  <c r="I3407" i="1" a="1"/>
  <c r="I3407" i="1" s="1"/>
  <c r="J3407" i="1" s="1"/>
  <c r="D3408" i="1"/>
  <c r="F3408" i="1"/>
  <c r="H3408" i="1"/>
  <c r="I3408" i="1" a="1"/>
  <c r="I3408" i="1" s="1"/>
  <c r="J3408" i="1" s="1"/>
  <c r="D3409" i="1"/>
  <c r="F3409" i="1"/>
  <c r="H3409" i="1"/>
  <c r="I3409" i="1" a="1"/>
  <c r="I3409" i="1" s="1"/>
  <c r="J3409" i="1" s="1"/>
  <c r="D3410" i="1"/>
  <c r="F3410" i="1"/>
  <c r="H3410" i="1"/>
  <c r="I3410" i="1" a="1"/>
  <c r="I3410" i="1" s="1"/>
  <c r="J3410" i="1" s="1"/>
  <c r="D3411" i="1"/>
  <c r="F3411" i="1"/>
  <c r="H3411" i="1"/>
  <c r="I3411" i="1" a="1"/>
  <c r="I3411" i="1" s="1"/>
  <c r="J3411" i="1" s="1"/>
  <c r="D3412" i="1"/>
  <c r="F3412" i="1"/>
  <c r="H3412" i="1"/>
  <c r="I3412" i="1" a="1"/>
  <c r="I3412" i="1" s="1"/>
  <c r="J3412" i="1" s="1"/>
  <c r="D3413" i="1"/>
  <c r="F3413" i="1"/>
  <c r="H3413" i="1"/>
  <c r="I3413" i="1" a="1"/>
  <c r="I3413" i="1" s="1"/>
  <c r="J3413" i="1" s="1"/>
  <c r="D3414" i="1"/>
  <c r="F3414" i="1"/>
  <c r="H3414" i="1"/>
  <c r="I3414" i="1" a="1"/>
  <c r="I3414" i="1" s="1"/>
  <c r="J3414" i="1" s="1"/>
  <c r="D3415" i="1"/>
  <c r="F3415" i="1"/>
  <c r="H3415" i="1"/>
  <c r="I3415" i="1" a="1"/>
  <c r="I3415" i="1" s="1"/>
  <c r="J3415" i="1" s="1"/>
  <c r="D3416" i="1"/>
  <c r="F3416" i="1"/>
  <c r="H3416" i="1"/>
  <c r="I3416" i="1" a="1"/>
  <c r="I3416" i="1" s="1"/>
  <c r="J3416" i="1" s="1"/>
  <c r="D3417" i="1"/>
  <c r="F3417" i="1"/>
  <c r="H3417" i="1"/>
  <c r="I3417" i="1" a="1"/>
  <c r="I3417" i="1" s="1"/>
  <c r="J3417" i="1" s="1"/>
  <c r="D3418" i="1"/>
  <c r="F3418" i="1"/>
  <c r="H3418" i="1"/>
  <c r="I3418" i="1" a="1"/>
  <c r="I3418" i="1" s="1"/>
  <c r="J3418" i="1" s="1"/>
  <c r="D3419" i="1"/>
  <c r="F3419" i="1"/>
  <c r="H3419" i="1"/>
  <c r="I3419" i="1" a="1"/>
  <c r="I3419" i="1" s="1"/>
  <c r="J3419" i="1" s="1"/>
  <c r="D3420" i="1"/>
  <c r="F3420" i="1"/>
  <c r="H3420" i="1"/>
  <c r="I3420" i="1" a="1"/>
  <c r="I3420" i="1" s="1"/>
  <c r="J3420" i="1" s="1"/>
  <c r="D3421" i="1"/>
  <c r="F3421" i="1"/>
  <c r="H3421" i="1"/>
  <c r="I3421" i="1" a="1"/>
  <c r="I3421" i="1" s="1"/>
  <c r="J3421" i="1" s="1"/>
  <c r="D3422" i="1"/>
  <c r="F3422" i="1"/>
  <c r="H3422" i="1"/>
  <c r="I3422" i="1" a="1"/>
  <c r="I3422" i="1" s="1"/>
  <c r="J3422" i="1" s="1"/>
  <c r="D3423" i="1"/>
  <c r="F3423" i="1"/>
  <c r="H3423" i="1"/>
  <c r="I3423" i="1" a="1"/>
  <c r="I3423" i="1" s="1"/>
  <c r="J3423" i="1" s="1"/>
  <c r="D3424" i="1"/>
  <c r="F3424" i="1"/>
  <c r="H3424" i="1"/>
  <c r="I3424" i="1" a="1"/>
  <c r="I3424" i="1" s="1"/>
  <c r="J3424" i="1" s="1"/>
  <c r="D3425" i="1"/>
  <c r="F3425" i="1"/>
  <c r="H3425" i="1"/>
  <c r="I3425" i="1" a="1"/>
  <c r="I3425" i="1" s="1"/>
  <c r="J3425" i="1" s="1"/>
  <c r="D3426" i="1"/>
  <c r="F3426" i="1"/>
  <c r="H3426" i="1"/>
  <c r="I3426" i="1" a="1"/>
  <c r="I3426" i="1" s="1"/>
  <c r="J3426" i="1" s="1"/>
  <c r="D3427" i="1"/>
  <c r="F3427" i="1"/>
  <c r="H3427" i="1"/>
  <c r="I3427" i="1" a="1"/>
  <c r="I3427" i="1" s="1"/>
  <c r="J3427" i="1" s="1"/>
  <c r="D3428" i="1"/>
  <c r="F3428" i="1"/>
  <c r="H3428" i="1"/>
  <c r="I3428" i="1" a="1"/>
  <c r="I3428" i="1" s="1"/>
  <c r="J3428" i="1" s="1"/>
  <c r="D3429" i="1"/>
  <c r="F3429" i="1"/>
  <c r="H3429" i="1"/>
  <c r="I3429" i="1" a="1"/>
  <c r="I3429" i="1" s="1"/>
  <c r="J3429" i="1" s="1"/>
  <c r="D3430" i="1"/>
  <c r="F3430" i="1"/>
  <c r="H3430" i="1"/>
  <c r="I3430" i="1" a="1"/>
  <c r="I3430" i="1" s="1"/>
  <c r="J3430" i="1" s="1"/>
  <c r="D3431" i="1"/>
  <c r="F3431" i="1"/>
  <c r="H3431" i="1"/>
  <c r="I3431" i="1" a="1"/>
  <c r="I3431" i="1" s="1"/>
  <c r="D3432" i="1"/>
  <c r="F3432" i="1"/>
  <c r="H3432" i="1"/>
  <c r="I3432" i="1" a="1"/>
  <c r="I3432" i="1" s="1"/>
  <c r="J3432" i="1" s="1"/>
  <c r="D3433" i="1"/>
  <c r="F3433" i="1"/>
  <c r="H3433" i="1"/>
  <c r="I3433" i="1" a="1"/>
  <c r="I3433" i="1" s="1"/>
  <c r="J3433" i="1" s="1"/>
  <c r="D3434" i="1"/>
  <c r="F3434" i="1"/>
  <c r="H3434" i="1"/>
  <c r="I3434" i="1" a="1"/>
  <c r="I3434" i="1" s="1"/>
  <c r="J3434" i="1" s="1"/>
  <c r="D3435" i="1"/>
  <c r="F3435" i="1"/>
  <c r="H3435" i="1"/>
  <c r="I3435" i="1" a="1"/>
  <c r="I3435" i="1" s="1"/>
  <c r="J3435" i="1" s="1"/>
  <c r="D3436" i="1"/>
  <c r="F3436" i="1"/>
  <c r="H3436" i="1"/>
  <c r="I3436" i="1" a="1"/>
  <c r="I3436" i="1" s="1"/>
  <c r="J3436" i="1" s="1"/>
  <c r="D3437" i="1"/>
  <c r="F3437" i="1"/>
  <c r="H3437" i="1"/>
  <c r="I3437" i="1" a="1"/>
  <c r="I3437" i="1" s="1"/>
  <c r="D3438" i="1"/>
  <c r="F3438" i="1"/>
  <c r="H3438" i="1"/>
  <c r="I3438" i="1" a="1"/>
  <c r="I3438" i="1" s="1"/>
  <c r="J3438" i="1" s="1"/>
  <c r="D3439" i="1"/>
  <c r="F3439" i="1"/>
  <c r="H3439" i="1"/>
  <c r="I3439" i="1" a="1"/>
  <c r="I3439" i="1" s="1"/>
  <c r="J3439" i="1" s="1"/>
  <c r="D3440" i="1"/>
  <c r="F3440" i="1"/>
  <c r="H3440" i="1"/>
  <c r="I3440" i="1" a="1"/>
  <c r="I3440" i="1" s="1"/>
  <c r="J3440" i="1" s="1"/>
  <c r="D3441" i="1"/>
  <c r="F3441" i="1"/>
  <c r="H3441" i="1"/>
  <c r="I3441" i="1" a="1"/>
  <c r="I3441" i="1" s="1"/>
  <c r="J3441" i="1" s="1"/>
  <c r="D3442" i="1"/>
  <c r="F3442" i="1"/>
  <c r="H3442" i="1"/>
  <c r="I3442" i="1" a="1"/>
  <c r="I3442" i="1" s="1"/>
  <c r="J3442" i="1" s="1"/>
  <c r="D3443" i="1"/>
  <c r="F3443" i="1"/>
  <c r="H3443" i="1"/>
  <c r="I3443" i="1" a="1"/>
  <c r="I3443" i="1" s="1"/>
  <c r="J3443" i="1" s="1"/>
  <c r="D3444" i="1"/>
  <c r="F3444" i="1"/>
  <c r="H3444" i="1"/>
  <c r="I3444" i="1" a="1"/>
  <c r="I3444" i="1" s="1"/>
  <c r="J3444" i="1" s="1"/>
  <c r="D3445" i="1"/>
  <c r="F3445" i="1"/>
  <c r="H3445" i="1"/>
  <c r="I3445" i="1" a="1"/>
  <c r="I3445" i="1" s="1"/>
  <c r="J3445" i="1" s="1"/>
  <c r="D3446" i="1"/>
  <c r="F3446" i="1"/>
  <c r="H3446" i="1"/>
  <c r="I3446" i="1" a="1"/>
  <c r="I3446" i="1" s="1"/>
  <c r="D3447" i="1"/>
  <c r="F3447" i="1"/>
  <c r="H3447" i="1"/>
  <c r="I3447" i="1" a="1"/>
  <c r="I3447" i="1" s="1"/>
  <c r="J3447" i="1" s="1"/>
  <c r="D3448" i="1"/>
  <c r="F3448" i="1"/>
  <c r="H3448" i="1"/>
  <c r="I3448" i="1" a="1"/>
  <c r="I3448" i="1" s="1"/>
  <c r="J3448" i="1" s="1"/>
  <c r="D3449" i="1"/>
  <c r="F3449" i="1"/>
  <c r="H3449" i="1"/>
  <c r="I3449" i="1" a="1"/>
  <c r="I3449" i="1" s="1"/>
  <c r="J3449" i="1" s="1"/>
  <c r="D3450" i="1"/>
  <c r="F3450" i="1"/>
  <c r="H3450" i="1"/>
  <c r="I3450" i="1" a="1"/>
  <c r="I3450" i="1" s="1"/>
  <c r="J3450" i="1" s="1"/>
  <c r="D3451" i="1"/>
  <c r="F3451" i="1"/>
  <c r="H3451" i="1"/>
  <c r="I3451" i="1" a="1"/>
  <c r="I3451" i="1" s="1"/>
  <c r="J3451" i="1" s="1"/>
  <c r="D3452" i="1"/>
  <c r="F3452" i="1"/>
  <c r="H3452" i="1"/>
  <c r="I3452" i="1" a="1"/>
  <c r="I3452" i="1" s="1"/>
  <c r="J3452" i="1" s="1"/>
  <c r="D3453" i="1"/>
  <c r="F3453" i="1"/>
  <c r="H3453" i="1"/>
  <c r="I3453" i="1" a="1"/>
  <c r="I3453" i="1" s="1"/>
  <c r="J3453" i="1" s="1"/>
  <c r="D3454" i="1"/>
  <c r="F3454" i="1"/>
  <c r="H3454" i="1"/>
  <c r="I3454" i="1" a="1"/>
  <c r="I3454" i="1" s="1"/>
  <c r="J3454" i="1" s="1"/>
  <c r="D3455" i="1"/>
  <c r="F3455" i="1"/>
  <c r="H3455" i="1"/>
  <c r="I3455" i="1" a="1"/>
  <c r="I3455" i="1" s="1"/>
  <c r="J3455" i="1" s="1"/>
  <c r="D3456" i="1"/>
  <c r="F3456" i="1"/>
  <c r="H3456" i="1"/>
  <c r="I3456" i="1" a="1"/>
  <c r="I3456" i="1" s="1"/>
  <c r="J3456" i="1" s="1"/>
  <c r="D3457" i="1"/>
  <c r="F3457" i="1"/>
  <c r="H3457" i="1"/>
  <c r="I3457" i="1" a="1"/>
  <c r="I3457" i="1" s="1"/>
  <c r="J3457" i="1" s="1"/>
  <c r="D3458" i="1"/>
  <c r="F3458" i="1"/>
  <c r="H3458" i="1"/>
  <c r="I3458" i="1" a="1"/>
  <c r="I3458" i="1" s="1"/>
  <c r="J3458" i="1" s="1"/>
  <c r="D3459" i="1"/>
  <c r="F3459" i="1"/>
  <c r="H3459" i="1"/>
  <c r="I3459" i="1" a="1"/>
  <c r="I3459" i="1" s="1"/>
  <c r="J3459" i="1" s="1"/>
  <c r="D3460" i="1"/>
  <c r="F3460" i="1"/>
  <c r="H3460" i="1"/>
  <c r="I3460" i="1" a="1"/>
  <c r="I3460" i="1" s="1"/>
  <c r="D3461" i="1"/>
  <c r="F3461" i="1"/>
  <c r="H3461" i="1"/>
  <c r="I3461" i="1" a="1"/>
  <c r="I3461" i="1" s="1"/>
  <c r="J3461" i="1" s="1"/>
  <c r="D3462" i="1"/>
  <c r="F3462" i="1"/>
  <c r="H3462" i="1"/>
  <c r="I3462" i="1" a="1"/>
  <c r="I3462" i="1" s="1"/>
  <c r="J3462" i="1" s="1"/>
  <c r="D3463" i="1"/>
  <c r="F3463" i="1"/>
  <c r="H3463" i="1"/>
  <c r="I3463" i="1" a="1"/>
  <c r="I3463" i="1" s="1"/>
  <c r="J3463" i="1" s="1"/>
  <c r="D3464" i="1"/>
  <c r="F3464" i="1"/>
  <c r="H3464" i="1"/>
  <c r="I3464" i="1" a="1"/>
  <c r="I3464" i="1" s="1"/>
  <c r="J3464" i="1" s="1"/>
  <c r="D3465" i="1"/>
  <c r="F3465" i="1"/>
  <c r="H3465" i="1"/>
  <c r="I3465" i="1" a="1"/>
  <c r="I3465" i="1" s="1"/>
  <c r="J3465" i="1" s="1"/>
  <c r="D3466" i="1"/>
  <c r="F3466" i="1"/>
  <c r="H3466" i="1"/>
  <c r="I3466" i="1" a="1"/>
  <c r="I3466" i="1" s="1"/>
  <c r="J3466" i="1" s="1"/>
  <c r="D3467" i="1"/>
  <c r="F3467" i="1"/>
  <c r="H3467" i="1"/>
  <c r="I3467" i="1" a="1"/>
  <c r="I3467" i="1" s="1"/>
  <c r="J3467" i="1" s="1"/>
  <c r="D3468" i="1"/>
  <c r="F3468" i="1"/>
  <c r="H3468" i="1"/>
  <c r="I3468" i="1" a="1"/>
  <c r="I3468" i="1" s="1"/>
  <c r="J3468" i="1" s="1"/>
  <c r="D3469" i="1"/>
  <c r="F3469" i="1"/>
  <c r="H3469" i="1"/>
  <c r="I3469" i="1" a="1"/>
  <c r="I3469" i="1" s="1"/>
  <c r="J3469" i="1" s="1"/>
  <c r="D3470" i="1"/>
  <c r="F3470" i="1"/>
  <c r="H3470" i="1"/>
  <c r="I3470" i="1" a="1"/>
  <c r="I3470" i="1" s="1"/>
  <c r="J3470" i="1" s="1"/>
  <c r="D3471" i="1"/>
  <c r="F3471" i="1"/>
  <c r="H3471" i="1"/>
  <c r="I3471" i="1" a="1"/>
  <c r="I3471" i="1" s="1"/>
  <c r="J3471" i="1" s="1"/>
  <c r="D3472" i="1"/>
  <c r="F3472" i="1"/>
  <c r="H3472" i="1"/>
  <c r="I3472" i="1" a="1"/>
  <c r="I3472" i="1" s="1"/>
  <c r="J3472" i="1" s="1"/>
  <c r="D3473" i="1"/>
  <c r="F3473" i="1"/>
  <c r="H3473" i="1"/>
  <c r="I3473" i="1" a="1"/>
  <c r="I3473" i="1" s="1"/>
  <c r="J3473" i="1" s="1"/>
  <c r="D3474" i="1"/>
  <c r="F3474" i="1"/>
  <c r="H3474" i="1"/>
  <c r="I3474" i="1" a="1"/>
  <c r="I3474" i="1" s="1"/>
  <c r="J3474" i="1" s="1"/>
  <c r="D3475" i="1"/>
  <c r="F3475" i="1"/>
  <c r="H3475" i="1"/>
  <c r="I3475" i="1" a="1"/>
  <c r="I3475" i="1" s="1"/>
  <c r="J3475" i="1" s="1"/>
  <c r="D3476" i="1"/>
  <c r="F3476" i="1"/>
  <c r="H3476" i="1"/>
  <c r="I3476" i="1" a="1"/>
  <c r="I3476" i="1" s="1"/>
  <c r="J3476" i="1" s="1"/>
  <c r="D3477" i="1"/>
  <c r="F3477" i="1"/>
  <c r="H3477" i="1"/>
  <c r="I3477" i="1" a="1"/>
  <c r="I3477" i="1" s="1"/>
  <c r="J3477" i="1" s="1"/>
  <c r="D3478" i="1"/>
  <c r="F3478" i="1"/>
  <c r="H3478" i="1"/>
  <c r="I3478" i="1" a="1"/>
  <c r="I3478" i="1" s="1"/>
  <c r="J3478" i="1" s="1"/>
  <c r="D3479" i="1"/>
  <c r="F3479" i="1"/>
  <c r="H3479" i="1"/>
  <c r="I3479" i="1" a="1"/>
  <c r="I3479" i="1" s="1"/>
  <c r="J3479" i="1" s="1"/>
  <c r="D3480" i="1"/>
  <c r="F3480" i="1"/>
  <c r="H3480" i="1"/>
  <c r="I3480" i="1" a="1"/>
  <c r="I3480" i="1" s="1"/>
  <c r="J3480" i="1" s="1"/>
  <c r="D3481" i="1"/>
  <c r="F3481" i="1"/>
  <c r="H3481" i="1"/>
  <c r="I3481" i="1" a="1"/>
  <c r="I3481" i="1" s="1"/>
  <c r="J3481" i="1" s="1"/>
  <c r="D3482" i="1"/>
  <c r="F3482" i="1"/>
  <c r="H3482" i="1"/>
  <c r="I3482" i="1" a="1"/>
  <c r="I3482" i="1" s="1"/>
  <c r="J3482" i="1" s="1"/>
  <c r="D3483" i="1"/>
  <c r="F3483" i="1"/>
  <c r="H3483" i="1"/>
  <c r="I3483" i="1" a="1"/>
  <c r="I3483" i="1" s="1"/>
  <c r="J3483" i="1" s="1"/>
  <c r="D3484" i="1"/>
  <c r="F3484" i="1"/>
  <c r="H3484" i="1"/>
  <c r="I3484" i="1" a="1"/>
  <c r="I3484" i="1" s="1"/>
  <c r="D3485" i="1"/>
  <c r="F3485" i="1"/>
  <c r="H3485" i="1"/>
  <c r="I3485" i="1" a="1"/>
  <c r="I3485" i="1" s="1"/>
  <c r="J3485" i="1" s="1"/>
  <c r="D3486" i="1"/>
  <c r="F3486" i="1"/>
  <c r="H3486" i="1"/>
  <c r="I3486" i="1" a="1"/>
  <c r="I3486" i="1" s="1"/>
  <c r="D3487" i="1"/>
  <c r="F3487" i="1"/>
  <c r="H3487" i="1"/>
  <c r="I3487" i="1" a="1"/>
  <c r="I3487" i="1" s="1"/>
  <c r="J3487" i="1" s="1"/>
  <c r="D3488" i="1"/>
  <c r="F3488" i="1"/>
  <c r="H3488" i="1"/>
  <c r="I3488" i="1" a="1"/>
  <c r="I3488" i="1" s="1"/>
  <c r="J3488" i="1" s="1"/>
  <c r="D3489" i="1"/>
  <c r="F3489" i="1"/>
  <c r="H3489" i="1"/>
  <c r="I3489" i="1" a="1"/>
  <c r="I3489" i="1" s="1"/>
  <c r="J3489" i="1" s="1"/>
  <c r="D3490" i="1"/>
  <c r="F3490" i="1"/>
  <c r="H3490" i="1"/>
  <c r="I3490" i="1" a="1"/>
  <c r="I3490" i="1" s="1"/>
  <c r="J3490" i="1" s="1"/>
  <c r="D3491" i="1"/>
  <c r="F3491" i="1"/>
  <c r="H3491" i="1"/>
  <c r="I3491" i="1" a="1"/>
  <c r="I3491" i="1" s="1"/>
  <c r="J3491" i="1" s="1"/>
  <c r="D3492" i="1"/>
  <c r="F3492" i="1"/>
  <c r="H3492" i="1"/>
  <c r="I3492" i="1" a="1"/>
  <c r="I3492" i="1" s="1"/>
  <c r="D3493" i="1"/>
  <c r="F3493" i="1"/>
  <c r="H3493" i="1"/>
  <c r="I3493" i="1" a="1"/>
  <c r="I3493" i="1" s="1"/>
  <c r="J3493" i="1" s="1"/>
  <c r="D3494" i="1"/>
  <c r="F3494" i="1"/>
  <c r="H3494" i="1"/>
  <c r="I3494" i="1" a="1"/>
  <c r="I3494" i="1" s="1"/>
  <c r="J3494" i="1" s="1"/>
  <c r="D3495" i="1"/>
  <c r="F3495" i="1"/>
  <c r="H3495" i="1"/>
  <c r="I3495" i="1" a="1"/>
  <c r="I3495" i="1" s="1"/>
  <c r="J3495" i="1" s="1"/>
  <c r="D3496" i="1"/>
  <c r="F3496" i="1"/>
  <c r="H3496" i="1"/>
  <c r="I3496" i="1" a="1"/>
  <c r="I3496" i="1" s="1"/>
  <c r="J3496" i="1" s="1"/>
  <c r="D3497" i="1"/>
  <c r="F3497" i="1"/>
  <c r="H3497" i="1"/>
  <c r="I3497" i="1" a="1"/>
  <c r="I3497" i="1" s="1"/>
  <c r="J3497" i="1" s="1"/>
  <c r="D3498" i="1"/>
  <c r="F3498" i="1"/>
  <c r="H3498" i="1"/>
  <c r="I3498" i="1" a="1"/>
  <c r="I3498" i="1" s="1"/>
  <c r="J3498" i="1" s="1"/>
  <c r="D3499" i="1"/>
  <c r="F3499" i="1"/>
  <c r="H3499" i="1"/>
  <c r="I3499" i="1" a="1"/>
  <c r="I3499" i="1" s="1"/>
  <c r="J3499" i="1" s="1"/>
  <c r="D3500" i="1"/>
  <c r="F3500" i="1"/>
  <c r="H3500" i="1"/>
  <c r="I3500" i="1" a="1"/>
  <c r="I3500" i="1" s="1"/>
  <c r="J3500" i="1" s="1"/>
  <c r="D3501" i="1"/>
  <c r="F3501" i="1"/>
  <c r="H3501" i="1"/>
  <c r="I3501" i="1" a="1"/>
  <c r="I3501" i="1" s="1"/>
  <c r="D3502" i="1"/>
  <c r="F3502" i="1"/>
  <c r="H3502" i="1"/>
  <c r="I3502" i="1" a="1"/>
  <c r="I3502" i="1" s="1"/>
  <c r="J3502" i="1" s="1"/>
  <c r="D3503" i="1"/>
  <c r="F3503" i="1"/>
  <c r="H3503" i="1"/>
  <c r="I3503" i="1" a="1"/>
  <c r="I3503" i="1" s="1"/>
  <c r="J3503" i="1" s="1"/>
  <c r="D3504" i="1"/>
  <c r="F3504" i="1"/>
  <c r="H3504" i="1"/>
  <c r="I3504" i="1" a="1"/>
  <c r="I3504" i="1" s="1"/>
  <c r="J3504" i="1" s="1"/>
  <c r="D3505" i="1"/>
  <c r="F3505" i="1"/>
  <c r="H3505" i="1"/>
  <c r="I3505" i="1" a="1"/>
  <c r="I3505" i="1" s="1"/>
  <c r="J3505" i="1" s="1"/>
  <c r="D3506" i="1"/>
  <c r="F3506" i="1"/>
  <c r="H3506" i="1"/>
  <c r="I3506" i="1" a="1"/>
  <c r="I3506" i="1" s="1"/>
  <c r="J3506" i="1" s="1"/>
  <c r="D3507" i="1"/>
  <c r="F3507" i="1"/>
  <c r="H3507" i="1"/>
  <c r="I3507" i="1" a="1"/>
  <c r="I3507" i="1" s="1"/>
  <c r="J3507" i="1" s="1"/>
  <c r="D3508" i="1"/>
  <c r="F3508" i="1"/>
  <c r="H3508" i="1"/>
  <c r="I3508" i="1" a="1"/>
  <c r="I3508" i="1" s="1"/>
  <c r="J3508" i="1" s="1"/>
  <c r="D3509" i="1"/>
  <c r="F3509" i="1"/>
  <c r="H3509" i="1"/>
  <c r="I3509" i="1" a="1"/>
  <c r="I3509" i="1" s="1"/>
  <c r="J3509" i="1" s="1"/>
  <c r="D3510" i="1"/>
  <c r="F3510" i="1"/>
  <c r="H3510" i="1"/>
  <c r="I3510" i="1" a="1"/>
  <c r="I3510" i="1" s="1"/>
  <c r="J3510" i="1" s="1"/>
  <c r="D3511" i="1"/>
  <c r="F3511" i="1"/>
  <c r="H3511" i="1"/>
  <c r="I3511" i="1" a="1"/>
  <c r="I3511" i="1" s="1"/>
  <c r="J3511" i="1" s="1"/>
  <c r="D3512" i="1"/>
  <c r="F3512" i="1"/>
  <c r="H3512" i="1"/>
  <c r="I3512" i="1" a="1"/>
  <c r="I3512" i="1" s="1"/>
  <c r="J3512" i="1" s="1"/>
  <c r="D3513" i="1"/>
  <c r="F3513" i="1"/>
  <c r="H3513" i="1"/>
  <c r="I3513" i="1" a="1"/>
  <c r="I3513" i="1" s="1"/>
  <c r="J3513" i="1" s="1"/>
  <c r="D3514" i="1"/>
  <c r="F3514" i="1"/>
  <c r="H3514" i="1"/>
  <c r="I3514" i="1" a="1"/>
  <c r="I3514" i="1" s="1"/>
  <c r="J3514" i="1" s="1"/>
  <c r="D3515" i="1"/>
  <c r="F3515" i="1"/>
  <c r="H3515" i="1"/>
  <c r="I3515" i="1" a="1"/>
  <c r="I3515" i="1" s="1"/>
  <c r="J3515" i="1" s="1"/>
  <c r="D3516" i="1"/>
  <c r="F3516" i="1"/>
  <c r="H3516" i="1"/>
  <c r="I3516" i="1" a="1"/>
  <c r="I3516" i="1" s="1"/>
  <c r="J3516" i="1" s="1"/>
  <c r="D3517" i="1"/>
  <c r="F3517" i="1"/>
  <c r="H3517" i="1"/>
  <c r="I3517" i="1" a="1"/>
  <c r="I3517" i="1" s="1"/>
  <c r="J3517" i="1" s="1"/>
  <c r="D3518" i="1"/>
  <c r="F3518" i="1"/>
  <c r="H3518" i="1"/>
  <c r="I3518" i="1" a="1"/>
  <c r="I3518" i="1" s="1"/>
  <c r="J3518" i="1" s="1"/>
  <c r="D3519" i="1"/>
  <c r="F3519" i="1"/>
  <c r="H3519" i="1"/>
  <c r="I3519" i="1" a="1"/>
  <c r="I3519" i="1" s="1"/>
  <c r="J3519" i="1" s="1"/>
  <c r="D3520" i="1"/>
  <c r="F3520" i="1"/>
  <c r="H3520" i="1"/>
  <c r="I3520" i="1" a="1"/>
  <c r="I3520" i="1" s="1"/>
  <c r="J3520" i="1" s="1"/>
  <c r="D3521" i="1"/>
  <c r="F3521" i="1"/>
  <c r="H3521" i="1"/>
  <c r="I3521" i="1" a="1"/>
  <c r="I3521" i="1" s="1"/>
  <c r="J3521" i="1" s="1"/>
  <c r="D3522" i="1"/>
  <c r="F3522" i="1"/>
  <c r="H3522" i="1"/>
  <c r="I3522" i="1" a="1"/>
  <c r="I3522" i="1" s="1"/>
  <c r="J3522" i="1" s="1"/>
  <c r="D3523" i="1"/>
  <c r="F3523" i="1"/>
  <c r="H3523" i="1"/>
  <c r="I3523" i="1" a="1"/>
  <c r="I3523" i="1" s="1"/>
  <c r="J3523" i="1" s="1"/>
  <c r="D3524" i="1"/>
  <c r="F3524" i="1"/>
  <c r="H3524" i="1"/>
  <c r="I3524" i="1" a="1"/>
  <c r="I3524" i="1" s="1"/>
  <c r="D3525" i="1"/>
  <c r="F3525" i="1"/>
  <c r="H3525" i="1"/>
  <c r="I3525" i="1" a="1"/>
  <c r="I3525" i="1" s="1"/>
  <c r="J3525" i="1" s="1"/>
  <c r="D3526" i="1"/>
  <c r="F3526" i="1"/>
  <c r="H3526" i="1"/>
  <c r="I3526" i="1" a="1"/>
  <c r="I3526" i="1" s="1"/>
  <c r="D3527" i="1"/>
  <c r="F3527" i="1"/>
  <c r="H3527" i="1"/>
  <c r="I3527" i="1" a="1"/>
  <c r="I3527" i="1" s="1"/>
  <c r="J3527" i="1" s="1"/>
  <c r="D3528" i="1"/>
  <c r="F3528" i="1"/>
  <c r="H3528" i="1"/>
  <c r="I3528" i="1" a="1"/>
  <c r="I3528" i="1" s="1"/>
  <c r="J3528" i="1" s="1"/>
  <c r="D3529" i="1"/>
  <c r="F3529" i="1"/>
  <c r="H3529" i="1"/>
  <c r="I3529" i="1" a="1"/>
  <c r="I3529" i="1" s="1"/>
  <c r="J3529" i="1" s="1"/>
  <c r="D3530" i="1"/>
  <c r="F3530" i="1"/>
  <c r="H3530" i="1"/>
  <c r="I3530" i="1" a="1"/>
  <c r="I3530" i="1" s="1"/>
  <c r="J3530" i="1" s="1"/>
  <c r="D3531" i="1"/>
  <c r="F3531" i="1"/>
  <c r="H3531" i="1"/>
  <c r="I3531" i="1" a="1"/>
  <c r="I3531" i="1" s="1"/>
  <c r="J3531" i="1" s="1"/>
  <c r="D3532" i="1"/>
  <c r="F3532" i="1"/>
  <c r="H3532" i="1"/>
  <c r="I3532" i="1" a="1"/>
  <c r="I3532" i="1" s="1"/>
  <c r="J3532" i="1" s="1"/>
  <c r="D3533" i="1"/>
  <c r="F3533" i="1"/>
  <c r="H3533" i="1"/>
  <c r="I3533" i="1" a="1"/>
  <c r="I3533" i="1" s="1"/>
  <c r="J3533" i="1" s="1"/>
  <c r="D3534" i="1"/>
  <c r="F3534" i="1"/>
  <c r="H3534" i="1"/>
  <c r="I3534" i="1" a="1"/>
  <c r="I3534" i="1" s="1"/>
  <c r="J3534" i="1" s="1"/>
  <c r="D3535" i="1"/>
  <c r="F3535" i="1"/>
  <c r="H3535" i="1"/>
  <c r="I3535" i="1" a="1"/>
  <c r="I3535" i="1" s="1"/>
  <c r="J3535" i="1" s="1"/>
  <c r="D3536" i="1"/>
  <c r="F3536" i="1"/>
  <c r="H3536" i="1"/>
  <c r="I3536" i="1" a="1"/>
  <c r="I3536" i="1" s="1"/>
  <c r="J3536" i="1" s="1"/>
  <c r="D3537" i="1"/>
  <c r="F3537" i="1"/>
  <c r="H3537" i="1"/>
  <c r="I3537" i="1" a="1"/>
  <c r="I3537" i="1" s="1"/>
  <c r="J3537" i="1" s="1"/>
  <c r="D3538" i="1"/>
  <c r="F3538" i="1"/>
  <c r="H3538" i="1"/>
  <c r="I3538" i="1" a="1"/>
  <c r="I3538" i="1" s="1"/>
  <c r="J3538" i="1" s="1"/>
  <c r="D3539" i="1"/>
  <c r="F3539" i="1"/>
  <c r="H3539" i="1"/>
  <c r="I3539" i="1" a="1"/>
  <c r="I3539" i="1" s="1"/>
  <c r="J3539" i="1" s="1"/>
  <c r="D3540" i="1"/>
  <c r="F3540" i="1"/>
  <c r="H3540" i="1"/>
  <c r="I3540" i="1" a="1"/>
  <c r="I3540" i="1" s="1"/>
  <c r="J3540" i="1" s="1"/>
  <c r="D3541" i="1"/>
  <c r="F3541" i="1"/>
  <c r="H3541" i="1"/>
  <c r="I3541" i="1" a="1"/>
  <c r="I3541" i="1" s="1"/>
  <c r="J3541" i="1" s="1"/>
  <c r="D3542" i="1"/>
  <c r="F3542" i="1"/>
  <c r="H3542" i="1"/>
  <c r="I3542" i="1" a="1"/>
  <c r="I3542" i="1" s="1"/>
  <c r="J3542" i="1" s="1"/>
  <c r="D3543" i="1"/>
  <c r="F3543" i="1"/>
  <c r="H3543" i="1"/>
  <c r="I3543" i="1" a="1"/>
  <c r="I3543" i="1" s="1"/>
  <c r="J3543" i="1" s="1"/>
  <c r="D3544" i="1"/>
  <c r="F3544" i="1"/>
  <c r="H3544" i="1"/>
  <c r="I3544" i="1" a="1"/>
  <c r="I3544" i="1" s="1"/>
  <c r="J3544" i="1" s="1"/>
  <c r="D3545" i="1"/>
  <c r="F3545" i="1"/>
  <c r="H3545" i="1"/>
  <c r="I3545" i="1" a="1"/>
  <c r="I3545" i="1" s="1"/>
  <c r="J3545" i="1" s="1"/>
  <c r="D3546" i="1"/>
  <c r="F3546" i="1"/>
  <c r="H3546" i="1"/>
  <c r="I3546" i="1" a="1"/>
  <c r="I3546" i="1" s="1"/>
  <c r="J3546" i="1" s="1"/>
  <c r="D3547" i="1"/>
  <c r="F3547" i="1"/>
  <c r="H3547" i="1"/>
  <c r="I3547" i="1" a="1"/>
  <c r="I3547" i="1" s="1"/>
  <c r="J3547" i="1" s="1"/>
  <c r="D3548" i="1"/>
  <c r="F3548" i="1"/>
  <c r="H3548" i="1"/>
  <c r="I3548" i="1" a="1"/>
  <c r="I3548" i="1" s="1"/>
  <c r="J3548" i="1" s="1"/>
  <c r="D3549" i="1"/>
  <c r="F3549" i="1"/>
  <c r="H3549" i="1"/>
  <c r="I3549" i="1" a="1"/>
  <c r="I3549" i="1" s="1"/>
  <c r="J3549" i="1" s="1"/>
  <c r="D3550" i="1"/>
  <c r="F3550" i="1"/>
  <c r="H3550" i="1"/>
  <c r="I3550" i="1" a="1"/>
  <c r="I3550" i="1" s="1"/>
  <c r="J3550" i="1" s="1"/>
  <c r="D3551" i="1"/>
  <c r="F3551" i="1"/>
  <c r="H3551" i="1"/>
  <c r="I3551" i="1" a="1"/>
  <c r="I3551" i="1" s="1"/>
  <c r="J3551" i="1" s="1"/>
  <c r="D3552" i="1"/>
  <c r="F3552" i="1"/>
  <c r="H3552" i="1"/>
  <c r="I3552" i="1" a="1"/>
  <c r="I3552" i="1" s="1"/>
  <c r="J3552" i="1" s="1"/>
  <c r="D3553" i="1"/>
  <c r="F3553" i="1"/>
  <c r="H3553" i="1"/>
  <c r="I3553" i="1" a="1"/>
  <c r="I3553" i="1" s="1"/>
  <c r="J3553" i="1" s="1"/>
  <c r="D3554" i="1"/>
  <c r="F3554" i="1"/>
  <c r="H3554" i="1"/>
  <c r="I3554" i="1" a="1"/>
  <c r="I3554" i="1" s="1"/>
  <c r="J3554" i="1" s="1"/>
  <c r="D3555" i="1"/>
  <c r="F3555" i="1"/>
  <c r="H3555" i="1"/>
  <c r="I3555" i="1" a="1"/>
  <c r="I3555" i="1" s="1"/>
  <c r="J3555" i="1" s="1"/>
  <c r="D3556" i="1"/>
  <c r="F3556" i="1"/>
  <c r="H3556" i="1"/>
  <c r="I3556" i="1" a="1"/>
  <c r="I3556" i="1" s="1"/>
  <c r="J3556" i="1" s="1"/>
  <c r="D3557" i="1"/>
  <c r="F3557" i="1"/>
  <c r="H3557" i="1"/>
  <c r="I3557" i="1" a="1"/>
  <c r="I3557" i="1" s="1"/>
  <c r="D3558" i="1"/>
  <c r="F3558" i="1"/>
  <c r="H3558" i="1"/>
  <c r="I3558" i="1" a="1"/>
  <c r="I3558" i="1" s="1"/>
  <c r="J3558" i="1" s="1"/>
  <c r="D3559" i="1"/>
  <c r="F3559" i="1"/>
  <c r="H3559" i="1"/>
  <c r="I3559" i="1" a="1"/>
  <c r="I3559" i="1" s="1"/>
  <c r="J3559" i="1" s="1"/>
  <c r="D3560" i="1"/>
  <c r="F3560" i="1"/>
  <c r="H3560" i="1"/>
  <c r="I3560" i="1" a="1"/>
  <c r="I3560" i="1" s="1"/>
  <c r="J3560" i="1" s="1"/>
  <c r="D3561" i="1"/>
  <c r="F3561" i="1"/>
  <c r="H3561" i="1"/>
  <c r="I3561" i="1" a="1"/>
  <c r="I3561" i="1" s="1"/>
  <c r="J3561" i="1" s="1"/>
  <c r="D3562" i="1"/>
  <c r="F3562" i="1"/>
  <c r="H3562" i="1"/>
  <c r="I3562" i="1" a="1"/>
  <c r="I3562" i="1" s="1"/>
  <c r="J3562" i="1" s="1"/>
  <c r="D3563" i="1"/>
  <c r="F3563" i="1"/>
  <c r="H3563" i="1"/>
  <c r="I3563" i="1" a="1"/>
  <c r="I3563" i="1" s="1"/>
  <c r="J3563" i="1" s="1"/>
  <c r="D3564" i="1"/>
  <c r="F3564" i="1"/>
  <c r="H3564" i="1"/>
  <c r="I3564" i="1" a="1"/>
  <c r="I3564" i="1" s="1"/>
  <c r="J3564" i="1" s="1"/>
  <c r="D3565" i="1"/>
  <c r="F3565" i="1"/>
  <c r="H3565" i="1"/>
  <c r="I3565" i="1" a="1"/>
  <c r="I3565" i="1" s="1"/>
  <c r="D3566" i="1"/>
  <c r="F3566" i="1"/>
  <c r="H3566" i="1"/>
  <c r="I3566" i="1" a="1"/>
  <c r="I3566" i="1" s="1"/>
  <c r="J3566" i="1" s="1"/>
  <c r="D3567" i="1"/>
  <c r="F3567" i="1"/>
  <c r="H3567" i="1"/>
  <c r="I3567" i="1" a="1"/>
  <c r="I3567" i="1" s="1"/>
  <c r="J3567" i="1" s="1"/>
  <c r="D3568" i="1"/>
  <c r="F3568" i="1"/>
  <c r="H3568" i="1"/>
  <c r="I3568" i="1" a="1"/>
  <c r="I3568" i="1" s="1"/>
  <c r="J3568" i="1" s="1"/>
  <c r="D3569" i="1"/>
  <c r="F3569" i="1"/>
  <c r="H3569" i="1"/>
  <c r="I3569" i="1" a="1"/>
  <c r="I3569" i="1" s="1"/>
  <c r="J3569" i="1" s="1"/>
  <c r="D3570" i="1"/>
  <c r="F3570" i="1"/>
  <c r="H3570" i="1"/>
  <c r="I3570" i="1" a="1"/>
  <c r="I3570" i="1" s="1"/>
  <c r="J3570" i="1" s="1"/>
  <c r="D3571" i="1"/>
  <c r="F3571" i="1"/>
  <c r="H3571" i="1"/>
  <c r="I3571" i="1" a="1"/>
  <c r="I3571" i="1" s="1"/>
  <c r="J3571" i="1" s="1"/>
  <c r="D3572" i="1"/>
  <c r="F3572" i="1"/>
  <c r="H3572" i="1"/>
  <c r="I3572" i="1" a="1"/>
  <c r="I3572" i="1" s="1"/>
  <c r="J3572" i="1" s="1"/>
  <c r="D3573" i="1"/>
  <c r="F3573" i="1"/>
  <c r="H3573" i="1"/>
  <c r="I3573" i="1" a="1"/>
  <c r="I3573" i="1" s="1"/>
  <c r="J3573" i="1" s="1"/>
  <c r="D3574" i="1"/>
  <c r="F3574" i="1"/>
  <c r="H3574" i="1"/>
  <c r="I3574" i="1" a="1"/>
  <c r="I3574" i="1" s="1"/>
  <c r="J3574" i="1" s="1"/>
  <c r="D3575" i="1"/>
  <c r="F3575" i="1"/>
  <c r="H3575" i="1"/>
  <c r="I3575" i="1" a="1"/>
  <c r="I3575" i="1" s="1"/>
  <c r="J3575" i="1" s="1"/>
  <c r="D3576" i="1"/>
  <c r="F3576" i="1"/>
  <c r="H3576" i="1"/>
  <c r="I3576" i="1" a="1"/>
  <c r="I3576" i="1" s="1"/>
  <c r="J3576" i="1" s="1"/>
  <c r="D3577" i="1"/>
  <c r="F3577" i="1"/>
  <c r="H3577" i="1"/>
  <c r="I3577" i="1" a="1"/>
  <c r="I3577" i="1" s="1"/>
  <c r="J3577" i="1" s="1"/>
  <c r="D3578" i="1"/>
  <c r="F3578" i="1"/>
  <c r="H3578" i="1"/>
  <c r="I3578" i="1" a="1"/>
  <c r="I3578" i="1" s="1"/>
  <c r="J3578" i="1" s="1"/>
  <c r="D3579" i="1"/>
  <c r="F3579" i="1"/>
  <c r="H3579" i="1"/>
  <c r="I3579" i="1" a="1"/>
  <c r="I3579" i="1" s="1"/>
  <c r="J3579" i="1" s="1"/>
  <c r="D3580" i="1"/>
  <c r="F3580" i="1"/>
  <c r="H3580" i="1"/>
  <c r="I3580" i="1" a="1"/>
  <c r="I3580" i="1" s="1"/>
  <c r="J3580" i="1" s="1"/>
  <c r="D3581" i="1"/>
  <c r="F3581" i="1"/>
  <c r="H3581" i="1"/>
  <c r="I3581" i="1" a="1"/>
  <c r="I3581" i="1" s="1"/>
  <c r="J3581" i="1" s="1"/>
  <c r="D3582" i="1"/>
  <c r="F3582" i="1"/>
  <c r="H3582" i="1"/>
  <c r="I3582" i="1" a="1"/>
  <c r="I3582" i="1" s="1"/>
  <c r="J3582" i="1" s="1"/>
  <c r="D3583" i="1"/>
  <c r="F3583" i="1"/>
  <c r="H3583" i="1"/>
  <c r="I3583" i="1" a="1"/>
  <c r="I3583" i="1" s="1"/>
  <c r="J3583" i="1" s="1"/>
  <c r="D3584" i="1"/>
  <c r="F3584" i="1"/>
  <c r="H3584" i="1"/>
  <c r="I3584" i="1" a="1"/>
  <c r="I3584" i="1" s="1"/>
  <c r="J3584" i="1" s="1"/>
  <c r="D3585" i="1"/>
  <c r="F3585" i="1"/>
  <c r="H3585" i="1"/>
  <c r="I3585" i="1" a="1"/>
  <c r="I3585" i="1" s="1"/>
  <c r="J3585" i="1" s="1"/>
  <c r="D3586" i="1"/>
  <c r="F3586" i="1"/>
  <c r="H3586" i="1"/>
  <c r="I3586" i="1" a="1"/>
  <c r="I3586" i="1" s="1"/>
  <c r="J3586" i="1" s="1"/>
  <c r="D3587" i="1"/>
  <c r="F3587" i="1"/>
  <c r="H3587" i="1"/>
  <c r="I3587" i="1" a="1"/>
  <c r="I3587" i="1" s="1"/>
  <c r="J3587" i="1" s="1"/>
  <c r="D3588" i="1"/>
  <c r="F3588" i="1"/>
  <c r="H3588" i="1"/>
  <c r="I3588" i="1" a="1"/>
  <c r="I3588" i="1" s="1"/>
  <c r="J3588" i="1" s="1"/>
  <c r="D3589" i="1"/>
  <c r="F3589" i="1"/>
  <c r="H3589" i="1"/>
  <c r="I3589" i="1" a="1"/>
  <c r="I3589" i="1" s="1"/>
  <c r="J3589" i="1" s="1"/>
  <c r="D3590" i="1"/>
  <c r="F3590" i="1"/>
  <c r="H3590" i="1"/>
  <c r="I3590" i="1" a="1"/>
  <c r="I3590" i="1" s="1"/>
  <c r="J3590" i="1" s="1"/>
  <c r="D3591" i="1"/>
  <c r="F3591" i="1"/>
  <c r="H3591" i="1"/>
  <c r="I3591" i="1" a="1"/>
  <c r="I3591" i="1" s="1"/>
  <c r="J3591" i="1" s="1"/>
  <c r="D3592" i="1"/>
  <c r="F3592" i="1"/>
  <c r="H3592" i="1"/>
  <c r="I3592" i="1" a="1"/>
  <c r="I3592" i="1" s="1"/>
  <c r="J3592" i="1" s="1"/>
  <c r="D3593" i="1"/>
  <c r="F3593" i="1"/>
  <c r="H3593" i="1"/>
  <c r="I3593" i="1" a="1"/>
  <c r="I3593" i="1" s="1"/>
  <c r="J3593" i="1" s="1"/>
  <c r="D3594" i="1"/>
  <c r="F3594" i="1"/>
  <c r="H3594" i="1"/>
  <c r="I3594" i="1" a="1"/>
  <c r="I3594" i="1" s="1"/>
  <c r="J3594" i="1" s="1"/>
  <c r="D3595" i="1"/>
  <c r="F3595" i="1"/>
  <c r="H3595" i="1"/>
  <c r="I3595" i="1" a="1"/>
  <c r="I3595" i="1" s="1"/>
  <c r="J3595" i="1" s="1"/>
  <c r="D3596" i="1"/>
  <c r="F3596" i="1"/>
  <c r="H3596" i="1"/>
  <c r="I3596" i="1" a="1"/>
  <c r="I3596" i="1" s="1"/>
  <c r="J3596" i="1" s="1"/>
  <c r="D3597" i="1"/>
  <c r="F3597" i="1"/>
  <c r="H3597" i="1"/>
  <c r="I3597" i="1" a="1"/>
  <c r="I3597" i="1" s="1"/>
  <c r="J3597" i="1" s="1"/>
  <c r="D3598" i="1"/>
  <c r="F3598" i="1"/>
  <c r="H3598" i="1"/>
  <c r="I3598" i="1" a="1"/>
  <c r="I3598" i="1" s="1"/>
  <c r="J3598" i="1" s="1"/>
  <c r="D3599" i="1"/>
  <c r="F3599" i="1"/>
  <c r="H3599" i="1"/>
  <c r="I3599" i="1" a="1"/>
  <c r="I3599" i="1" s="1"/>
  <c r="J3599" i="1" s="1"/>
  <c r="D3600" i="1"/>
  <c r="F3600" i="1"/>
  <c r="H3600" i="1"/>
  <c r="I3600" i="1" a="1"/>
  <c r="I3600" i="1" s="1"/>
  <c r="J3600" i="1" s="1"/>
  <c r="D3601" i="1"/>
  <c r="F3601" i="1"/>
  <c r="H3601" i="1"/>
  <c r="I3601" i="1" a="1"/>
  <c r="I3601" i="1" s="1"/>
  <c r="D3602" i="1"/>
  <c r="F3602" i="1"/>
  <c r="H3602" i="1"/>
  <c r="I3602" i="1" a="1"/>
  <c r="I3602" i="1" s="1"/>
  <c r="D3603" i="1"/>
  <c r="F3603" i="1"/>
  <c r="H3603" i="1"/>
  <c r="I3603" i="1" a="1"/>
  <c r="I3603" i="1" s="1"/>
  <c r="D3604" i="1"/>
  <c r="F3604" i="1"/>
  <c r="H3604" i="1"/>
  <c r="I3604" i="1" a="1"/>
  <c r="I3604" i="1" s="1"/>
  <c r="D3605" i="1"/>
  <c r="F3605" i="1"/>
  <c r="H3605" i="1"/>
  <c r="I3605" i="1" a="1"/>
  <c r="I3605" i="1" s="1"/>
  <c r="D3606" i="1"/>
  <c r="F3606" i="1"/>
  <c r="H3606" i="1"/>
  <c r="I3606" i="1" a="1"/>
  <c r="I3606" i="1" s="1"/>
  <c r="D3607" i="1"/>
  <c r="F3607" i="1"/>
  <c r="H3607" i="1"/>
  <c r="I3607" i="1" a="1"/>
  <c r="I3607" i="1" s="1"/>
  <c r="D3608" i="1"/>
  <c r="F3608" i="1"/>
  <c r="H3608" i="1"/>
  <c r="I3608" i="1" a="1"/>
  <c r="I3608" i="1" s="1"/>
  <c r="D3609" i="1"/>
  <c r="F3609" i="1"/>
  <c r="H3609" i="1"/>
  <c r="I3609" i="1" a="1"/>
  <c r="I3609" i="1" s="1"/>
  <c r="D3610" i="1"/>
  <c r="F3610" i="1"/>
  <c r="H3610" i="1"/>
  <c r="I3610" i="1" a="1"/>
  <c r="I3610" i="1" s="1"/>
  <c r="D3611" i="1"/>
  <c r="F3611" i="1"/>
  <c r="H3611" i="1"/>
  <c r="I3611" i="1" a="1"/>
  <c r="I3611" i="1" s="1"/>
  <c r="D3612" i="1"/>
  <c r="F3612" i="1"/>
  <c r="H3612" i="1"/>
  <c r="I3612" i="1" a="1"/>
  <c r="I3612" i="1" s="1"/>
  <c r="D3613" i="1"/>
  <c r="F3613" i="1"/>
  <c r="H3613" i="1"/>
  <c r="I3613" i="1" a="1"/>
  <c r="I3613" i="1" s="1"/>
  <c r="D3614" i="1"/>
  <c r="F3614" i="1"/>
  <c r="H3614" i="1"/>
  <c r="I3614" i="1" a="1"/>
  <c r="I3614" i="1" s="1"/>
  <c r="D3615" i="1"/>
  <c r="F3615" i="1"/>
  <c r="H3615" i="1"/>
  <c r="I3615" i="1" a="1"/>
  <c r="I3615" i="1" s="1"/>
  <c r="D3616" i="1"/>
  <c r="F3616" i="1"/>
  <c r="H3616" i="1"/>
  <c r="I3616" i="1" a="1"/>
  <c r="I3616" i="1" s="1"/>
  <c r="D3617" i="1"/>
  <c r="F3617" i="1"/>
  <c r="H3617" i="1"/>
  <c r="I3617" i="1" a="1"/>
  <c r="I3617" i="1" s="1"/>
  <c r="D3618" i="1"/>
  <c r="F3618" i="1"/>
  <c r="H3618" i="1"/>
  <c r="I3618" i="1" a="1"/>
  <c r="I3618" i="1" s="1"/>
  <c r="D3619" i="1"/>
  <c r="F3619" i="1"/>
  <c r="H3619" i="1"/>
  <c r="I3619" i="1" a="1"/>
  <c r="I3619" i="1" s="1"/>
  <c r="D3620" i="1"/>
  <c r="F3620" i="1"/>
  <c r="H3620" i="1"/>
  <c r="I3620" i="1" a="1"/>
  <c r="I3620" i="1" s="1"/>
  <c r="D3621" i="1"/>
  <c r="F3621" i="1"/>
  <c r="H3621" i="1"/>
  <c r="I3621" i="1" a="1"/>
  <c r="I3621" i="1" s="1"/>
  <c r="D3622" i="1"/>
  <c r="F3622" i="1"/>
  <c r="H3622" i="1"/>
  <c r="I3622" i="1" a="1"/>
  <c r="I3622" i="1" s="1"/>
  <c r="D3623" i="1"/>
  <c r="F3623" i="1"/>
  <c r="H3623" i="1"/>
  <c r="I3623" i="1" a="1"/>
  <c r="I3623" i="1" s="1"/>
  <c r="D3624" i="1"/>
  <c r="F3624" i="1"/>
  <c r="H3624" i="1"/>
  <c r="I3624" i="1" a="1"/>
  <c r="I3624" i="1" s="1"/>
  <c r="D3625" i="1"/>
  <c r="F3625" i="1"/>
  <c r="H3625" i="1"/>
  <c r="I3625" i="1" a="1"/>
  <c r="I3625" i="1" s="1"/>
  <c r="D3626" i="1"/>
  <c r="F3626" i="1"/>
  <c r="H3626" i="1"/>
  <c r="I3626" i="1" a="1"/>
  <c r="I3626" i="1" s="1"/>
  <c r="D3627" i="1"/>
  <c r="F3627" i="1"/>
  <c r="H3627" i="1"/>
  <c r="I3627" i="1" a="1"/>
  <c r="I3627" i="1" s="1"/>
  <c r="D3628" i="1"/>
  <c r="F3628" i="1"/>
  <c r="H3628" i="1"/>
  <c r="I3628" i="1" a="1"/>
  <c r="I3628" i="1" s="1"/>
  <c r="D3629" i="1"/>
  <c r="F3629" i="1"/>
  <c r="H3629" i="1"/>
  <c r="I3629" i="1" a="1"/>
  <c r="I3629" i="1" s="1"/>
  <c r="D3630" i="1"/>
  <c r="F3630" i="1"/>
  <c r="H3630" i="1"/>
  <c r="I3630" i="1" a="1"/>
  <c r="I3630" i="1" s="1"/>
  <c r="D3631" i="1"/>
  <c r="F3631" i="1"/>
  <c r="H3631" i="1"/>
  <c r="I3631" i="1" a="1"/>
  <c r="I3631" i="1" s="1"/>
  <c r="D3632" i="1"/>
  <c r="F3632" i="1"/>
  <c r="H3632" i="1"/>
  <c r="I3632" i="1" a="1"/>
  <c r="I3632" i="1" s="1"/>
  <c r="D3633" i="1"/>
  <c r="F3633" i="1"/>
  <c r="H3633" i="1"/>
  <c r="I3633" i="1" a="1"/>
  <c r="I3633" i="1" s="1"/>
  <c r="D3634" i="1"/>
  <c r="F3634" i="1"/>
  <c r="H3634" i="1"/>
  <c r="I3634" i="1" a="1"/>
  <c r="I3634" i="1" s="1"/>
  <c r="D3635" i="1"/>
  <c r="F3635" i="1"/>
  <c r="H3635" i="1"/>
  <c r="I3635" i="1" a="1"/>
  <c r="I3635" i="1" s="1"/>
  <c r="D3636" i="1"/>
  <c r="F3636" i="1"/>
  <c r="H3636" i="1"/>
  <c r="I3636" i="1" a="1"/>
  <c r="I3636" i="1" s="1"/>
  <c r="D3637" i="1"/>
  <c r="F3637" i="1"/>
  <c r="H3637" i="1"/>
  <c r="I3637" i="1" a="1"/>
  <c r="I3637" i="1" s="1"/>
  <c r="D3638" i="1"/>
  <c r="F3638" i="1"/>
  <c r="H3638" i="1"/>
  <c r="I3638" i="1" a="1"/>
  <c r="I3638" i="1" s="1"/>
  <c r="D3639" i="1"/>
  <c r="F3639" i="1"/>
  <c r="H3639" i="1"/>
  <c r="I3639" i="1" a="1"/>
  <c r="I3639" i="1" s="1"/>
  <c r="D3640" i="1"/>
  <c r="F3640" i="1"/>
  <c r="H3640" i="1"/>
  <c r="I3640" i="1" a="1"/>
  <c r="I3640" i="1" s="1"/>
  <c r="D3641" i="1"/>
  <c r="F3641" i="1"/>
  <c r="H3641" i="1"/>
  <c r="I3641" i="1" a="1"/>
  <c r="I3641" i="1" s="1"/>
  <c r="D3642" i="1"/>
  <c r="F3642" i="1"/>
  <c r="H3642" i="1"/>
  <c r="I3642" i="1" a="1"/>
  <c r="I3642" i="1" s="1"/>
  <c r="D3643" i="1"/>
  <c r="F3643" i="1"/>
  <c r="H3643" i="1"/>
  <c r="I3643" i="1" a="1"/>
  <c r="I3643" i="1" s="1"/>
  <c r="D3644" i="1"/>
  <c r="F3644" i="1"/>
  <c r="H3644" i="1"/>
  <c r="I3644" i="1" a="1"/>
  <c r="I3644" i="1" s="1"/>
  <c r="D3645" i="1"/>
  <c r="F3645" i="1"/>
  <c r="H3645" i="1"/>
  <c r="I3645" i="1" a="1"/>
  <c r="I3645" i="1" s="1"/>
  <c r="D3646" i="1"/>
  <c r="F3646" i="1"/>
  <c r="H3646" i="1"/>
  <c r="I3646" i="1" a="1"/>
  <c r="I3646" i="1" s="1"/>
  <c r="D3647" i="1"/>
  <c r="F3647" i="1"/>
  <c r="H3647" i="1"/>
  <c r="I3647" i="1" a="1"/>
  <c r="I3647" i="1" s="1"/>
  <c r="D3648" i="1"/>
  <c r="F3648" i="1"/>
  <c r="H3648" i="1"/>
  <c r="I3648" i="1" a="1"/>
  <c r="I3648" i="1" s="1"/>
  <c r="D3649" i="1"/>
  <c r="F3649" i="1"/>
  <c r="H3649" i="1"/>
  <c r="I3649" i="1" a="1"/>
  <c r="I3649" i="1" s="1"/>
  <c r="D3650" i="1"/>
  <c r="F3650" i="1"/>
  <c r="H3650" i="1"/>
  <c r="I3650" i="1" a="1"/>
  <c r="I3650" i="1" s="1"/>
  <c r="D3651" i="1"/>
  <c r="F3651" i="1"/>
  <c r="H3651" i="1"/>
  <c r="I3651" i="1" a="1"/>
  <c r="I3651" i="1" s="1"/>
  <c r="D3652" i="1"/>
  <c r="F3652" i="1"/>
  <c r="H3652" i="1"/>
  <c r="I3652" i="1" a="1"/>
  <c r="I3652" i="1" s="1"/>
  <c r="D3653" i="1"/>
  <c r="F3653" i="1"/>
  <c r="H3653" i="1"/>
  <c r="I3653" i="1" a="1"/>
  <c r="I3653" i="1" s="1"/>
  <c r="D3654" i="1"/>
  <c r="F3654" i="1"/>
  <c r="H3654" i="1"/>
  <c r="I3654" i="1" a="1"/>
  <c r="I3654" i="1" s="1"/>
  <c r="D3655" i="1"/>
  <c r="F3655" i="1"/>
  <c r="H3655" i="1"/>
  <c r="I3655" i="1" a="1"/>
  <c r="I3655" i="1" s="1"/>
  <c r="D3656" i="1"/>
  <c r="F3656" i="1"/>
  <c r="H3656" i="1"/>
  <c r="I3656" i="1" a="1"/>
  <c r="I3656" i="1" s="1"/>
  <c r="D3657" i="1"/>
  <c r="F3657" i="1"/>
  <c r="H3657" i="1"/>
  <c r="I3657" i="1" a="1"/>
  <c r="I3657" i="1" s="1"/>
  <c r="D3658" i="1"/>
  <c r="F3658" i="1"/>
  <c r="H3658" i="1"/>
  <c r="I3658" i="1" a="1"/>
  <c r="I3658" i="1" s="1"/>
  <c r="D3659" i="1"/>
  <c r="F3659" i="1"/>
  <c r="H3659" i="1"/>
  <c r="I3659" i="1" a="1"/>
  <c r="I3659" i="1" s="1"/>
  <c r="D3660" i="1"/>
  <c r="F3660" i="1"/>
  <c r="H3660" i="1"/>
  <c r="I3660" i="1" a="1"/>
  <c r="I3660" i="1" s="1"/>
  <c r="D3661" i="1"/>
  <c r="F3661" i="1"/>
  <c r="H3661" i="1"/>
  <c r="I3661" i="1" a="1"/>
  <c r="I3661" i="1" s="1"/>
  <c r="D3662" i="1"/>
  <c r="F3662" i="1"/>
  <c r="H3662" i="1"/>
  <c r="I3662" i="1" a="1"/>
  <c r="I3662" i="1" s="1"/>
  <c r="D3663" i="1"/>
  <c r="F3663" i="1"/>
  <c r="H3663" i="1"/>
  <c r="I3663" i="1" a="1"/>
  <c r="I3663" i="1" s="1"/>
  <c r="D3664" i="1"/>
  <c r="F3664" i="1"/>
  <c r="H3664" i="1"/>
  <c r="I3664" i="1" a="1"/>
  <c r="I3664" i="1" s="1"/>
  <c r="D3665" i="1"/>
  <c r="F3665" i="1"/>
  <c r="H3665" i="1"/>
  <c r="I3665" i="1" a="1"/>
  <c r="I3665" i="1" s="1"/>
  <c r="D3666" i="1"/>
  <c r="F3666" i="1"/>
  <c r="H3666" i="1"/>
  <c r="I3666" i="1" a="1"/>
  <c r="I3666" i="1" s="1"/>
  <c r="D3667" i="1"/>
  <c r="F3667" i="1"/>
  <c r="H3667" i="1"/>
  <c r="I3667" i="1" a="1"/>
  <c r="I3667" i="1" s="1"/>
  <c r="D3668" i="1"/>
  <c r="F3668" i="1"/>
  <c r="H3668" i="1"/>
  <c r="I3668" i="1" a="1"/>
  <c r="I3668" i="1" s="1"/>
  <c r="D3669" i="1"/>
  <c r="F3669" i="1"/>
  <c r="H3669" i="1"/>
  <c r="I3669" i="1" a="1"/>
  <c r="I3669" i="1" s="1"/>
  <c r="D3670" i="1"/>
  <c r="F3670" i="1"/>
  <c r="H3670" i="1"/>
  <c r="I3670" i="1" a="1"/>
  <c r="I3670" i="1" s="1"/>
  <c r="D3671" i="1"/>
  <c r="F3671" i="1"/>
  <c r="H3671" i="1"/>
  <c r="I3671" i="1" a="1"/>
  <c r="I3671" i="1" s="1"/>
  <c r="D3672" i="1"/>
  <c r="F3672" i="1"/>
  <c r="H3672" i="1"/>
  <c r="I3672" i="1" a="1"/>
  <c r="I3672" i="1" s="1"/>
  <c r="D3673" i="1"/>
  <c r="F3673" i="1"/>
  <c r="H3673" i="1"/>
  <c r="I3673" i="1" a="1"/>
  <c r="I3673" i="1" s="1"/>
  <c r="D3674" i="1"/>
  <c r="F3674" i="1"/>
  <c r="H3674" i="1"/>
  <c r="I3674" i="1" a="1"/>
  <c r="I3674" i="1" s="1"/>
  <c r="D3675" i="1"/>
  <c r="F3675" i="1"/>
  <c r="H3675" i="1"/>
  <c r="I3675" i="1" a="1"/>
  <c r="I3675" i="1" s="1"/>
  <c r="D3676" i="1"/>
  <c r="F3676" i="1"/>
  <c r="H3676" i="1"/>
  <c r="I3676" i="1" a="1"/>
  <c r="I3676" i="1" s="1"/>
  <c r="D3677" i="1"/>
  <c r="F3677" i="1"/>
  <c r="H3677" i="1"/>
  <c r="I3677" i="1" a="1"/>
  <c r="I3677" i="1" s="1"/>
  <c r="D3678" i="1"/>
  <c r="F3678" i="1"/>
  <c r="H3678" i="1"/>
  <c r="I3678" i="1" a="1"/>
  <c r="I3678" i="1" s="1"/>
  <c r="D3679" i="1"/>
  <c r="F3679" i="1"/>
  <c r="H3679" i="1"/>
  <c r="I3679" i="1" a="1"/>
  <c r="I3679" i="1" s="1"/>
  <c r="D3680" i="1"/>
  <c r="F3680" i="1"/>
  <c r="H3680" i="1"/>
  <c r="I3680" i="1" a="1"/>
  <c r="I3680" i="1" s="1"/>
  <c r="D3681" i="1"/>
  <c r="F3681" i="1"/>
  <c r="H3681" i="1"/>
  <c r="I3681" i="1" a="1"/>
  <c r="I3681" i="1" s="1"/>
  <c r="D3682" i="1"/>
  <c r="F3682" i="1"/>
  <c r="H3682" i="1"/>
  <c r="I3682" i="1" a="1"/>
  <c r="I3682" i="1" s="1"/>
  <c r="D3683" i="1"/>
  <c r="F3683" i="1"/>
  <c r="H3683" i="1"/>
  <c r="I3683" i="1" a="1"/>
  <c r="I3683" i="1" s="1"/>
  <c r="D3684" i="1"/>
  <c r="F3684" i="1"/>
  <c r="H3684" i="1"/>
  <c r="I3684" i="1" a="1"/>
  <c r="I3684" i="1" s="1"/>
  <c r="D3685" i="1"/>
  <c r="F3685" i="1"/>
  <c r="H3685" i="1"/>
  <c r="I3685" i="1" a="1"/>
  <c r="I3685" i="1" s="1"/>
  <c r="D3686" i="1"/>
  <c r="F3686" i="1"/>
  <c r="H3686" i="1"/>
  <c r="I3686" i="1" a="1"/>
  <c r="I3686" i="1" s="1"/>
  <c r="D3687" i="1"/>
  <c r="F3687" i="1"/>
  <c r="H3687" i="1"/>
  <c r="I3687" i="1" a="1"/>
  <c r="I3687" i="1" s="1"/>
  <c r="D3688" i="1"/>
  <c r="F3688" i="1"/>
  <c r="H3688" i="1"/>
  <c r="I3688" i="1" a="1"/>
  <c r="I3688" i="1" s="1"/>
  <c r="D3689" i="1"/>
  <c r="F3689" i="1"/>
  <c r="H3689" i="1"/>
  <c r="I3689" i="1" a="1"/>
  <c r="I3689" i="1" s="1"/>
  <c r="D3690" i="1"/>
  <c r="F3690" i="1"/>
  <c r="H3690" i="1"/>
  <c r="I3690" i="1" a="1"/>
  <c r="I3690" i="1" s="1"/>
  <c r="D3691" i="1"/>
  <c r="F3691" i="1"/>
  <c r="H3691" i="1"/>
  <c r="I3691" i="1" a="1"/>
  <c r="I3691" i="1" s="1"/>
  <c r="D3692" i="1"/>
  <c r="F3692" i="1"/>
  <c r="H3692" i="1"/>
  <c r="I3692" i="1" a="1"/>
  <c r="I3692" i="1" s="1"/>
  <c r="D3693" i="1"/>
  <c r="F3693" i="1"/>
  <c r="H3693" i="1"/>
  <c r="I3693" i="1" a="1"/>
  <c r="I3693" i="1" s="1"/>
  <c r="D3694" i="1"/>
  <c r="F3694" i="1"/>
  <c r="H3694" i="1"/>
  <c r="I3694" i="1" a="1"/>
  <c r="I3694" i="1" s="1"/>
  <c r="D3695" i="1"/>
  <c r="F3695" i="1"/>
  <c r="H3695" i="1"/>
  <c r="I3695" i="1" a="1"/>
  <c r="I3695" i="1" s="1"/>
  <c r="D3696" i="1"/>
  <c r="F3696" i="1"/>
  <c r="H3696" i="1"/>
  <c r="I3696" i="1" a="1"/>
  <c r="I3696" i="1" s="1"/>
  <c r="D3697" i="1"/>
  <c r="F3697" i="1"/>
  <c r="H3697" i="1"/>
  <c r="I3697" i="1" a="1"/>
  <c r="I3697" i="1" s="1"/>
  <c r="D3698" i="1"/>
  <c r="F3698" i="1"/>
  <c r="H3698" i="1"/>
  <c r="I3698" i="1" a="1"/>
  <c r="I3698" i="1" s="1"/>
  <c r="D3699" i="1"/>
  <c r="F3699" i="1"/>
  <c r="H3699" i="1"/>
  <c r="I3699" i="1" a="1"/>
  <c r="I3699" i="1" s="1"/>
  <c r="D3700" i="1"/>
  <c r="F3700" i="1"/>
  <c r="H3700" i="1"/>
  <c r="I3700" i="1" a="1"/>
  <c r="I3700" i="1" s="1"/>
  <c r="D3701" i="1"/>
  <c r="F3701" i="1"/>
  <c r="H3701" i="1"/>
  <c r="I3701" i="1" a="1"/>
  <c r="I3701" i="1" s="1"/>
  <c r="D3702" i="1"/>
  <c r="F3702" i="1"/>
  <c r="H3702" i="1"/>
  <c r="I3702" i="1" a="1"/>
  <c r="I3702" i="1" s="1"/>
  <c r="D3703" i="1"/>
  <c r="F3703" i="1"/>
  <c r="H3703" i="1"/>
  <c r="I3703" i="1" a="1"/>
  <c r="I3703" i="1" s="1"/>
  <c r="D3704" i="1"/>
  <c r="F3704" i="1"/>
  <c r="H3704" i="1"/>
  <c r="I3704" i="1" a="1"/>
  <c r="I3704" i="1" s="1"/>
  <c r="D3705" i="1"/>
  <c r="F3705" i="1"/>
  <c r="H3705" i="1"/>
  <c r="I3705" i="1" a="1"/>
  <c r="I3705" i="1" s="1"/>
  <c r="D3706" i="1"/>
  <c r="F3706" i="1"/>
  <c r="H3706" i="1"/>
  <c r="I3706" i="1" a="1"/>
  <c r="I3706" i="1" s="1"/>
  <c r="D3707" i="1"/>
  <c r="F3707" i="1"/>
  <c r="H3707" i="1"/>
  <c r="I3707" i="1" a="1"/>
  <c r="I3707" i="1" s="1"/>
  <c r="D3708" i="1"/>
  <c r="F3708" i="1"/>
  <c r="H3708" i="1"/>
  <c r="I3708" i="1" a="1"/>
  <c r="I3708" i="1" s="1"/>
  <c r="D3709" i="1"/>
  <c r="F3709" i="1"/>
  <c r="H3709" i="1"/>
  <c r="I3709" i="1" a="1"/>
  <c r="I3709" i="1" s="1"/>
  <c r="D3710" i="1"/>
  <c r="F3710" i="1"/>
  <c r="H3710" i="1"/>
  <c r="I3710" i="1" a="1"/>
  <c r="I3710" i="1" s="1"/>
  <c r="D3711" i="1"/>
  <c r="F3711" i="1"/>
  <c r="H3711" i="1"/>
  <c r="I3711" i="1" a="1"/>
  <c r="I3711" i="1" s="1"/>
  <c r="D3712" i="1"/>
  <c r="F3712" i="1"/>
  <c r="H3712" i="1"/>
  <c r="I3712" i="1" a="1"/>
  <c r="I3712" i="1" s="1"/>
  <c r="D3713" i="1"/>
  <c r="F3713" i="1"/>
  <c r="H3713" i="1"/>
  <c r="I3713" i="1" a="1"/>
  <c r="I3713" i="1" s="1"/>
  <c r="D3714" i="1"/>
  <c r="F3714" i="1"/>
  <c r="H3714" i="1"/>
  <c r="I3714" i="1" a="1"/>
  <c r="I3714" i="1" s="1"/>
  <c r="D3715" i="1"/>
  <c r="F3715" i="1"/>
  <c r="H3715" i="1"/>
  <c r="I3715" i="1" a="1"/>
  <c r="I3715" i="1" s="1"/>
  <c r="D3716" i="1"/>
  <c r="F3716" i="1"/>
  <c r="H3716" i="1"/>
  <c r="I3716" i="1" a="1"/>
  <c r="I3716" i="1" s="1"/>
  <c r="D3717" i="1"/>
  <c r="F3717" i="1"/>
  <c r="H3717" i="1"/>
  <c r="I3717" i="1" a="1"/>
  <c r="I3717" i="1" s="1"/>
  <c r="D3718" i="1"/>
  <c r="F3718" i="1"/>
  <c r="H3718" i="1"/>
  <c r="I3718" i="1" a="1"/>
  <c r="I3718" i="1" s="1"/>
  <c r="D3719" i="1"/>
  <c r="F3719" i="1"/>
  <c r="H3719" i="1"/>
  <c r="I3719" i="1" a="1"/>
  <c r="I3719" i="1" s="1"/>
  <c r="D3720" i="1"/>
  <c r="F3720" i="1"/>
  <c r="H3720" i="1"/>
  <c r="I3720" i="1" a="1"/>
  <c r="I3720" i="1" s="1"/>
  <c r="D3721" i="1"/>
  <c r="F3721" i="1"/>
  <c r="H3721" i="1"/>
  <c r="I3721" i="1" a="1"/>
  <c r="I3721" i="1" s="1"/>
  <c r="D3722" i="1"/>
  <c r="F3722" i="1"/>
  <c r="H3722" i="1"/>
  <c r="I3722" i="1" a="1"/>
  <c r="I3722" i="1" s="1"/>
  <c r="D3723" i="1"/>
  <c r="F3723" i="1"/>
  <c r="H3723" i="1"/>
  <c r="I3723" i="1" a="1"/>
  <c r="I3723" i="1" s="1"/>
  <c r="D3724" i="1"/>
  <c r="F3724" i="1"/>
  <c r="H3724" i="1"/>
  <c r="I3724" i="1" a="1"/>
  <c r="I3724" i="1" s="1"/>
  <c r="D3725" i="1"/>
  <c r="F3725" i="1"/>
  <c r="H3725" i="1"/>
  <c r="I3725" i="1" a="1"/>
  <c r="I3725" i="1" s="1"/>
  <c r="D3726" i="1"/>
  <c r="F3726" i="1"/>
  <c r="H3726" i="1"/>
  <c r="I3726" i="1" a="1"/>
  <c r="I3726" i="1" s="1"/>
  <c r="D3727" i="1"/>
  <c r="F3727" i="1"/>
  <c r="H3727" i="1"/>
  <c r="I3727" i="1" a="1"/>
  <c r="I3727" i="1" s="1"/>
  <c r="D3728" i="1"/>
  <c r="F3728" i="1"/>
  <c r="H3728" i="1"/>
  <c r="I3728" i="1" a="1"/>
  <c r="I3728" i="1" s="1"/>
  <c r="D3729" i="1"/>
  <c r="F3729" i="1"/>
  <c r="H3729" i="1"/>
  <c r="I3729" i="1" a="1"/>
  <c r="I3729" i="1" s="1"/>
  <c r="D3730" i="1"/>
  <c r="F3730" i="1"/>
  <c r="H3730" i="1"/>
  <c r="I3730" i="1" a="1"/>
  <c r="I3730" i="1" s="1"/>
  <c r="D3731" i="1"/>
  <c r="F3731" i="1"/>
  <c r="H3731" i="1"/>
  <c r="I3731" i="1" a="1"/>
  <c r="I3731" i="1" s="1"/>
  <c r="D3732" i="1"/>
  <c r="F3732" i="1"/>
  <c r="H3732" i="1"/>
  <c r="I3732" i="1" a="1"/>
  <c r="I3732" i="1" s="1"/>
  <c r="D3733" i="1"/>
  <c r="F3733" i="1"/>
  <c r="H3733" i="1"/>
  <c r="I3733" i="1" a="1"/>
  <c r="I3733" i="1" s="1"/>
  <c r="D3734" i="1"/>
  <c r="F3734" i="1"/>
  <c r="H3734" i="1"/>
  <c r="I3734" i="1" a="1"/>
  <c r="I3734" i="1" s="1"/>
  <c r="D3735" i="1"/>
  <c r="F3735" i="1"/>
  <c r="H3735" i="1"/>
  <c r="I3735" i="1" a="1"/>
  <c r="I3735" i="1" s="1"/>
  <c r="D3736" i="1"/>
  <c r="F3736" i="1"/>
  <c r="H3736" i="1"/>
  <c r="I3736" i="1" a="1"/>
  <c r="I3736" i="1" s="1"/>
  <c r="D3737" i="1"/>
  <c r="F3737" i="1"/>
  <c r="H3737" i="1"/>
  <c r="I3737" i="1" a="1"/>
  <c r="I3737" i="1" s="1"/>
  <c r="D3738" i="1"/>
  <c r="F3738" i="1"/>
  <c r="H3738" i="1"/>
  <c r="I3738" i="1" a="1"/>
  <c r="I3738" i="1" s="1"/>
  <c r="D3739" i="1"/>
  <c r="F3739" i="1"/>
  <c r="H3739" i="1"/>
  <c r="I3739" i="1" a="1"/>
  <c r="I3739" i="1" s="1"/>
  <c r="D3740" i="1"/>
  <c r="F3740" i="1"/>
  <c r="H3740" i="1"/>
  <c r="I3740" i="1" a="1"/>
  <c r="I3740" i="1" s="1"/>
  <c r="D3741" i="1"/>
  <c r="F3741" i="1"/>
  <c r="H3741" i="1"/>
  <c r="I3741" i="1" a="1"/>
  <c r="I3741" i="1" s="1"/>
  <c r="D3742" i="1"/>
  <c r="F3742" i="1"/>
  <c r="H3742" i="1"/>
  <c r="I3742" i="1" a="1"/>
  <c r="I3742" i="1" s="1"/>
  <c r="D3743" i="1"/>
  <c r="F3743" i="1"/>
  <c r="H3743" i="1"/>
  <c r="I3743" i="1" a="1"/>
  <c r="I3743" i="1" s="1"/>
  <c r="D3744" i="1"/>
  <c r="F3744" i="1"/>
  <c r="H3744" i="1"/>
  <c r="I3744" i="1" a="1"/>
  <c r="I3744" i="1" s="1"/>
  <c r="D3745" i="1"/>
  <c r="F3745" i="1"/>
  <c r="H3745" i="1"/>
  <c r="I3745" i="1" a="1"/>
  <c r="I3745" i="1" s="1"/>
  <c r="D3746" i="1"/>
  <c r="F3746" i="1"/>
  <c r="H3746" i="1"/>
  <c r="I3746" i="1" a="1"/>
  <c r="I3746" i="1" s="1"/>
  <c r="D3747" i="1"/>
  <c r="F3747" i="1"/>
  <c r="H3747" i="1"/>
  <c r="I3747" i="1" a="1"/>
  <c r="I3747" i="1" s="1"/>
  <c r="D3748" i="1"/>
  <c r="F3748" i="1"/>
  <c r="H3748" i="1"/>
  <c r="I3748" i="1" a="1"/>
  <c r="I3748" i="1" s="1"/>
  <c r="D3749" i="1"/>
  <c r="F3749" i="1"/>
  <c r="H3749" i="1"/>
  <c r="I3749" i="1" a="1"/>
  <c r="I3749" i="1" s="1"/>
  <c r="D3750" i="1"/>
  <c r="F3750" i="1"/>
  <c r="H3750" i="1"/>
  <c r="I3750" i="1" a="1"/>
  <c r="I3750" i="1" s="1"/>
  <c r="D3751" i="1"/>
  <c r="F3751" i="1"/>
  <c r="H3751" i="1"/>
  <c r="I3751" i="1" a="1"/>
  <c r="I3751" i="1" s="1"/>
  <c r="D3752" i="1"/>
  <c r="F3752" i="1"/>
  <c r="H3752" i="1"/>
  <c r="I3752" i="1" a="1"/>
  <c r="I3752" i="1" s="1"/>
  <c r="D3753" i="1"/>
  <c r="F3753" i="1"/>
  <c r="H3753" i="1"/>
  <c r="I3753" i="1" a="1"/>
  <c r="I3753" i="1" s="1"/>
  <c r="D3754" i="1"/>
  <c r="F3754" i="1"/>
  <c r="H3754" i="1"/>
  <c r="I3754" i="1" a="1"/>
  <c r="I3754" i="1" s="1"/>
  <c r="D3755" i="1"/>
  <c r="F3755" i="1"/>
  <c r="H3755" i="1"/>
  <c r="I3755" i="1" a="1"/>
  <c r="I3755" i="1" s="1"/>
  <c r="D3756" i="1"/>
  <c r="F3756" i="1"/>
  <c r="H3756" i="1"/>
  <c r="I3756" i="1" a="1"/>
  <c r="I3756" i="1" s="1"/>
  <c r="D3757" i="1"/>
  <c r="F3757" i="1"/>
  <c r="H3757" i="1"/>
  <c r="I3757" i="1" a="1"/>
  <c r="I3757" i="1" s="1"/>
  <c r="D3758" i="1"/>
  <c r="F3758" i="1"/>
  <c r="H3758" i="1"/>
  <c r="I3758" i="1" a="1"/>
  <c r="I3758" i="1" s="1"/>
  <c r="D3759" i="1"/>
  <c r="F3759" i="1"/>
  <c r="H3759" i="1"/>
  <c r="I3759" i="1" a="1"/>
  <c r="I3759" i="1" s="1"/>
  <c r="D3760" i="1"/>
  <c r="F3760" i="1"/>
  <c r="H3760" i="1"/>
  <c r="I3760" i="1" a="1"/>
  <c r="I3760" i="1" s="1"/>
  <c r="D3761" i="1"/>
  <c r="F3761" i="1"/>
  <c r="H3761" i="1"/>
  <c r="I3761" i="1" a="1"/>
  <c r="I3761" i="1" s="1"/>
  <c r="D3762" i="1"/>
  <c r="F3762" i="1"/>
  <c r="H3762" i="1"/>
  <c r="I3762" i="1" a="1"/>
  <c r="I3762" i="1" s="1"/>
  <c r="D3763" i="1"/>
  <c r="F3763" i="1"/>
  <c r="H3763" i="1"/>
  <c r="I3763" i="1" a="1"/>
  <c r="I3763" i="1" s="1"/>
  <c r="D3764" i="1"/>
  <c r="F3764" i="1"/>
  <c r="H3764" i="1"/>
  <c r="I3764" i="1" a="1"/>
  <c r="I3764" i="1" s="1"/>
  <c r="D3765" i="1"/>
  <c r="F3765" i="1"/>
  <c r="H3765" i="1"/>
  <c r="I3765" i="1" a="1"/>
  <c r="I3765" i="1" s="1"/>
  <c r="D3766" i="1"/>
  <c r="F3766" i="1"/>
  <c r="H3766" i="1"/>
  <c r="I3766" i="1" a="1"/>
  <c r="I3766" i="1" s="1"/>
  <c r="D3767" i="1"/>
  <c r="F3767" i="1"/>
  <c r="H3767" i="1"/>
  <c r="I3767" i="1" a="1"/>
  <c r="I3767" i="1" s="1"/>
  <c r="D3768" i="1"/>
  <c r="F3768" i="1"/>
  <c r="H3768" i="1"/>
  <c r="I3768" i="1" a="1"/>
  <c r="I3768" i="1" s="1"/>
  <c r="D3769" i="1"/>
  <c r="F3769" i="1"/>
  <c r="H3769" i="1"/>
  <c r="I3769" i="1" a="1"/>
  <c r="I3769" i="1" s="1"/>
  <c r="D3770" i="1"/>
  <c r="F3770" i="1"/>
  <c r="H3770" i="1"/>
  <c r="I3770" i="1" a="1"/>
  <c r="I3770" i="1" s="1"/>
  <c r="D3771" i="1"/>
  <c r="F3771" i="1"/>
  <c r="H3771" i="1"/>
  <c r="I3771" i="1" a="1"/>
  <c r="I3771" i="1" s="1"/>
  <c r="D3772" i="1"/>
  <c r="F3772" i="1"/>
  <c r="H3772" i="1"/>
  <c r="I3772" i="1" a="1"/>
  <c r="I3772" i="1" s="1"/>
  <c r="D3773" i="1"/>
  <c r="F3773" i="1"/>
  <c r="H3773" i="1"/>
  <c r="I3773" i="1" a="1"/>
  <c r="I3773" i="1" s="1"/>
  <c r="D3774" i="1"/>
  <c r="F3774" i="1"/>
  <c r="H3774" i="1"/>
  <c r="I3774" i="1" a="1"/>
  <c r="I3774" i="1" s="1"/>
  <c r="D3775" i="1"/>
  <c r="F3775" i="1"/>
  <c r="H3775" i="1"/>
  <c r="I3775" i="1" a="1"/>
  <c r="I3775" i="1" s="1"/>
  <c r="D3776" i="1"/>
  <c r="F3776" i="1"/>
  <c r="H3776" i="1"/>
  <c r="I3776" i="1" a="1"/>
  <c r="I3776" i="1" s="1"/>
  <c r="D3777" i="1"/>
  <c r="F3777" i="1"/>
  <c r="H3777" i="1"/>
  <c r="I3777" i="1" a="1"/>
  <c r="I3777" i="1" s="1"/>
  <c r="D3778" i="1"/>
  <c r="F3778" i="1"/>
  <c r="H3778" i="1"/>
  <c r="I3778" i="1" a="1"/>
  <c r="I3778" i="1" s="1"/>
  <c r="D3779" i="1"/>
  <c r="F3779" i="1"/>
  <c r="H3779" i="1"/>
  <c r="I3779" i="1" a="1"/>
  <c r="I3779" i="1" s="1"/>
  <c r="D3780" i="1"/>
  <c r="F3780" i="1"/>
  <c r="H3780" i="1"/>
  <c r="I3780" i="1" a="1"/>
  <c r="I3780" i="1" s="1"/>
  <c r="D3781" i="1"/>
  <c r="F3781" i="1"/>
  <c r="H3781" i="1"/>
  <c r="I3781" i="1" a="1"/>
  <c r="I3781" i="1" s="1"/>
  <c r="D3782" i="1"/>
  <c r="F3782" i="1"/>
  <c r="H3782" i="1"/>
  <c r="I3782" i="1" a="1"/>
  <c r="I3782" i="1" s="1"/>
  <c r="D3783" i="1"/>
  <c r="F3783" i="1"/>
  <c r="H3783" i="1"/>
  <c r="I3783" i="1" a="1"/>
  <c r="I3783" i="1" s="1"/>
  <c r="D3784" i="1"/>
  <c r="F3784" i="1"/>
  <c r="H3784" i="1"/>
  <c r="I3784" i="1" a="1"/>
  <c r="I3784" i="1" s="1"/>
  <c r="D3785" i="1"/>
  <c r="F3785" i="1"/>
  <c r="H3785" i="1"/>
  <c r="I3785" i="1" a="1"/>
  <c r="I3785" i="1" s="1"/>
  <c r="D3786" i="1"/>
  <c r="F3786" i="1"/>
  <c r="H3786" i="1"/>
  <c r="I3786" i="1" a="1"/>
  <c r="I3786" i="1" s="1"/>
  <c r="D3787" i="1"/>
  <c r="F3787" i="1"/>
  <c r="H3787" i="1"/>
  <c r="I3787" i="1" a="1"/>
  <c r="I3787" i="1" s="1"/>
  <c r="D3788" i="1"/>
  <c r="F3788" i="1"/>
  <c r="H3788" i="1"/>
  <c r="I3788" i="1" a="1"/>
  <c r="I3788" i="1" s="1"/>
  <c r="D3789" i="1"/>
  <c r="F3789" i="1"/>
  <c r="H3789" i="1"/>
  <c r="I3789" i="1" a="1"/>
  <c r="I3789" i="1" s="1"/>
  <c r="D3790" i="1"/>
  <c r="F3790" i="1"/>
  <c r="H3790" i="1"/>
  <c r="I3790" i="1" a="1"/>
  <c r="I3790" i="1" s="1"/>
  <c r="D3791" i="1"/>
  <c r="F3791" i="1"/>
  <c r="H3791" i="1"/>
  <c r="I3791" i="1" a="1"/>
  <c r="I3791" i="1" s="1"/>
  <c r="D3792" i="1"/>
  <c r="F3792" i="1"/>
  <c r="H3792" i="1"/>
  <c r="I3792" i="1" a="1"/>
  <c r="I3792" i="1" s="1"/>
  <c r="D3793" i="1"/>
  <c r="F3793" i="1"/>
  <c r="H3793" i="1"/>
  <c r="I3793" i="1" a="1"/>
  <c r="I3793" i="1" s="1"/>
  <c r="D3794" i="1"/>
  <c r="F3794" i="1"/>
  <c r="H3794" i="1"/>
  <c r="I3794" i="1" a="1"/>
  <c r="I3794" i="1" s="1"/>
  <c r="D3795" i="1"/>
  <c r="F3795" i="1"/>
  <c r="H3795" i="1"/>
  <c r="I3795" i="1" a="1"/>
  <c r="I3795" i="1" s="1"/>
  <c r="D3796" i="1"/>
  <c r="F3796" i="1"/>
  <c r="H3796" i="1"/>
  <c r="I3796" i="1" a="1"/>
  <c r="I3796" i="1" s="1"/>
  <c r="D3797" i="1"/>
  <c r="F3797" i="1"/>
  <c r="H3797" i="1"/>
  <c r="I3797" i="1" a="1"/>
  <c r="I3797" i="1" s="1"/>
  <c r="D3798" i="1"/>
  <c r="F3798" i="1"/>
  <c r="H3798" i="1"/>
  <c r="I3798" i="1" a="1"/>
  <c r="I3798" i="1" s="1"/>
  <c r="D3799" i="1"/>
  <c r="F3799" i="1"/>
  <c r="H3799" i="1"/>
  <c r="I3799" i="1" a="1"/>
  <c r="I3799" i="1" s="1"/>
  <c r="D3800" i="1"/>
  <c r="F3800" i="1"/>
  <c r="H3800" i="1"/>
  <c r="I3800" i="1" a="1"/>
  <c r="I3800" i="1" s="1"/>
  <c r="D3801" i="1"/>
  <c r="F3801" i="1"/>
  <c r="H3801" i="1"/>
  <c r="I3801" i="1" a="1"/>
  <c r="I3801" i="1" s="1"/>
  <c r="D3802" i="1"/>
  <c r="F3802" i="1"/>
  <c r="H3802" i="1"/>
  <c r="I3802" i="1" a="1"/>
  <c r="I3802" i="1" s="1"/>
  <c r="D3803" i="1"/>
  <c r="F3803" i="1"/>
  <c r="H3803" i="1"/>
  <c r="I3803" i="1" a="1"/>
  <c r="I3803" i="1" s="1"/>
  <c r="D3804" i="1"/>
  <c r="F3804" i="1"/>
  <c r="H3804" i="1"/>
  <c r="I3804" i="1" a="1"/>
  <c r="I3804" i="1" s="1"/>
  <c r="D3805" i="1"/>
  <c r="F3805" i="1"/>
  <c r="H3805" i="1"/>
  <c r="I3805" i="1" a="1"/>
  <c r="I3805" i="1" s="1"/>
  <c r="D3806" i="1"/>
  <c r="F3806" i="1"/>
  <c r="H3806" i="1"/>
  <c r="I3806" i="1" a="1"/>
  <c r="I3806" i="1" s="1"/>
  <c r="D3807" i="1"/>
  <c r="F3807" i="1"/>
  <c r="H3807" i="1"/>
  <c r="I3807" i="1" a="1"/>
  <c r="I3807" i="1" s="1"/>
  <c r="D3808" i="1"/>
  <c r="F3808" i="1"/>
  <c r="H3808" i="1"/>
  <c r="I3808" i="1" a="1"/>
  <c r="I3808" i="1" s="1"/>
  <c r="D3809" i="1"/>
  <c r="F3809" i="1"/>
  <c r="H3809" i="1"/>
  <c r="I3809" i="1" a="1"/>
  <c r="I3809" i="1" s="1"/>
  <c r="D3810" i="1"/>
  <c r="F3810" i="1"/>
  <c r="H3810" i="1"/>
  <c r="I3810" i="1" a="1"/>
  <c r="I3810" i="1" s="1"/>
  <c r="D3811" i="1"/>
  <c r="F3811" i="1"/>
  <c r="H3811" i="1"/>
  <c r="I3811" i="1" a="1"/>
  <c r="I3811" i="1" s="1"/>
  <c r="D3812" i="1"/>
  <c r="F3812" i="1"/>
  <c r="H3812" i="1"/>
  <c r="I3812" i="1" a="1"/>
  <c r="I3812" i="1" s="1"/>
  <c r="D3813" i="1"/>
  <c r="F3813" i="1"/>
  <c r="H3813" i="1"/>
  <c r="I3813" i="1" a="1"/>
  <c r="I3813" i="1" s="1"/>
  <c r="D3814" i="1"/>
  <c r="F3814" i="1"/>
  <c r="H3814" i="1"/>
  <c r="I3814" i="1" a="1"/>
  <c r="I3814" i="1" s="1"/>
  <c r="D3815" i="1"/>
  <c r="F3815" i="1"/>
  <c r="H3815" i="1"/>
  <c r="I3815" i="1" a="1"/>
  <c r="I3815" i="1" s="1"/>
  <c r="D3816" i="1"/>
  <c r="F3816" i="1"/>
  <c r="H3816" i="1"/>
  <c r="I3816" i="1" a="1"/>
  <c r="I3816" i="1" s="1"/>
  <c r="D3817" i="1"/>
  <c r="F3817" i="1"/>
  <c r="H3817" i="1"/>
  <c r="I3817" i="1" a="1"/>
  <c r="I3817" i="1" s="1"/>
  <c r="D3818" i="1"/>
  <c r="F3818" i="1"/>
  <c r="H3818" i="1"/>
  <c r="I3818" i="1" a="1"/>
  <c r="I3818" i="1" s="1"/>
  <c r="D3819" i="1"/>
  <c r="F3819" i="1"/>
  <c r="H3819" i="1"/>
  <c r="I3819" i="1" a="1"/>
  <c r="I3819" i="1" s="1"/>
  <c r="D3820" i="1"/>
  <c r="F3820" i="1"/>
  <c r="H3820" i="1"/>
  <c r="I3820" i="1" a="1"/>
  <c r="I3820" i="1" s="1"/>
  <c r="D3821" i="1"/>
  <c r="F3821" i="1"/>
  <c r="H3821" i="1"/>
  <c r="I3821" i="1" a="1"/>
  <c r="I3821" i="1" s="1"/>
  <c r="D3822" i="1"/>
  <c r="F3822" i="1"/>
  <c r="H3822" i="1"/>
  <c r="I3822" i="1" a="1"/>
  <c r="I3822" i="1" s="1"/>
  <c r="D3823" i="1"/>
  <c r="F3823" i="1"/>
  <c r="H3823" i="1"/>
  <c r="I3823" i="1" a="1"/>
  <c r="I3823" i="1" s="1"/>
  <c r="D3824" i="1"/>
  <c r="F3824" i="1"/>
  <c r="H3824" i="1"/>
  <c r="I3824" i="1" a="1"/>
  <c r="I3824" i="1" s="1"/>
  <c r="D3825" i="1"/>
  <c r="F3825" i="1"/>
  <c r="H3825" i="1"/>
  <c r="I3825" i="1" a="1"/>
  <c r="I3825" i="1" s="1"/>
  <c r="D3826" i="1"/>
  <c r="F3826" i="1"/>
  <c r="H3826" i="1"/>
  <c r="I3826" i="1" a="1"/>
  <c r="I3826" i="1" s="1"/>
  <c r="D3827" i="1"/>
  <c r="F3827" i="1"/>
  <c r="H3827" i="1"/>
  <c r="I3827" i="1" a="1"/>
  <c r="I3827" i="1" s="1"/>
  <c r="D3828" i="1"/>
  <c r="F3828" i="1"/>
  <c r="H3828" i="1"/>
  <c r="I3828" i="1" a="1"/>
  <c r="I3828" i="1" s="1"/>
  <c r="D3829" i="1"/>
  <c r="F3829" i="1"/>
  <c r="H3829" i="1"/>
  <c r="I3829" i="1" a="1"/>
  <c r="I3829" i="1" s="1"/>
  <c r="D3830" i="1"/>
  <c r="F3830" i="1"/>
  <c r="H3830" i="1"/>
  <c r="I3830" i="1" a="1"/>
  <c r="I3830" i="1" s="1"/>
  <c r="D3831" i="1"/>
  <c r="F3831" i="1"/>
  <c r="H3831" i="1"/>
  <c r="I3831" i="1" a="1"/>
  <c r="I3831" i="1" s="1"/>
  <c r="D3832" i="1"/>
  <c r="F3832" i="1"/>
  <c r="H3832" i="1"/>
  <c r="I3832" i="1" a="1"/>
  <c r="I3832" i="1" s="1"/>
  <c r="D3833" i="1"/>
  <c r="F3833" i="1"/>
  <c r="H3833" i="1"/>
  <c r="I3833" i="1" a="1"/>
  <c r="I3833" i="1" s="1"/>
  <c r="D3834" i="1"/>
  <c r="F3834" i="1"/>
  <c r="H3834" i="1"/>
  <c r="I3834" i="1" a="1"/>
  <c r="I3834" i="1" s="1"/>
  <c r="D3835" i="1"/>
  <c r="F3835" i="1"/>
  <c r="H3835" i="1"/>
  <c r="I3835" i="1" a="1"/>
  <c r="I3835" i="1" s="1"/>
  <c r="D3836" i="1"/>
  <c r="F3836" i="1"/>
  <c r="H3836" i="1"/>
  <c r="I3836" i="1" a="1"/>
  <c r="I3836" i="1" s="1"/>
  <c r="D3837" i="1"/>
  <c r="F3837" i="1"/>
  <c r="H3837" i="1"/>
  <c r="I3837" i="1" a="1"/>
  <c r="I3837" i="1" s="1"/>
  <c r="D3838" i="1"/>
  <c r="F3838" i="1"/>
  <c r="H3838" i="1"/>
  <c r="I3838" i="1" a="1"/>
  <c r="I3838" i="1" s="1"/>
  <c r="D3839" i="1"/>
  <c r="F3839" i="1"/>
  <c r="H3839" i="1"/>
  <c r="I3839" i="1" a="1"/>
  <c r="I3839" i="1" s="1"/>
  <c r="D3840" i="1"/>
  <c r="F3840" i="1"/>
  <c r="H3840" i="1"/>
  <c r="I3840" i="1" a="1"/>
  <c r="I3840" i="1" s="1"/>
  <c r="D3841" i="1"/>
  <c r="F3841" i="1"/>
  <c r="H3841" i="1"/>
  <c r="I3841" i="1" a="1"/>
  <c r="I3841" i="1" s="1"/>
  <c r="D3842" i="1"/>
  <c r="F3842" i="1"/>
  <c r="H3842" i="1"/>
  <c r="I3842" i="1" a="1"/>
  <c r="I3842" i="1" s="1"/>
  <c r="D3843" i="1"/>
  <c r="F3843" i="1"/>
  <c r="H3843" i="1"/>
  <c r="I3843" i="1" a="1"/>
  <c r="I3843" i="1" s="1"/>
  <c r="D3844" i="1"/>
  <c r="F3844" i="1"/>
  <c r="H3844" i="1"/>
  <c r="I3844" i="1" a="1"/>
  <c r="I3844" i="1" s="1"/>
  <c r="D3845" i="1"/>
  <c r="F3845" i="1"/>
  <c r="H3845" i="1"/>
  <c r="I3845" i="1" a="1"/>
  <c r="I3845" i="1" s="1"/>
  <c r="D3846" i="1"/>
  <c r="F3846" i="1"/>
  <c r="H3846" i="1"/>
  <c r="I3846" i="1" a="1"/>
  <c r="I3846" i="1" s="1"/>
  <c r="D3847" i="1"/>
  <c r="F3847" i="1"/>
  <c r="H3847" i="1"/>
  <c r="I3847" i="1" a="1"/>
  <c r="I3847" i="1" s="1"/>
  <c r="D3848" i="1"/>
  <c r="F3848" i="1"/>
  <c r="H3848" i="1"/>
  <c r="I3848" i="1" a="1"/>
  <c r="I3848" i="1" s="1"/>
  <c r="D3849" i="1"/>
  <c r="F3849" i="1"/>
  <c r="H3849" i="1"/>
  <c r="I3849" i="1" a="1"/>
  <c r="I3849" i="1" s="1"/>
  <c r="D3850" i="1"/>
  <c r="F3850" i="1"/>
  <c r="H3850" i="1"/>
  <c r="I3850" i="1" a="1"/>
  <c r="I3850" i="1" s="1"/>
  <c r="D3851" i="1"/>
  <c r="F3851" i="1"/>
  <c r="H3851" i="1"/>
  <c r="I3851" i="1" a="1"/>
  <c r="I3851" i="1" s="1"/>
  <c r="D3852" i="1"/>
  <c r="F3852" i="1"/>
  <c r="H3852" i="1"/>
  <c r="I3852" i="1" a="1"/>
  <c r="I3852" i="1" s="1"/>
  <c r="D3853" i="1"/>
  <c r="F3853" i="1"/>
  <c r="H3853" i="1"/>
  <c r="I3853" i="1" a="1"/>
  <c r="I3853" i="1" s="1"/>
  <c r="D3854" i="1"/>
  <c r="F3854" i="1"/>
  <c r="H3854" i="1"/>
  <c r="I3854" i="1" a="1"/>
  <c r="I3854" i="1" s="1"/>
  <c r="D3855" i="1"/>
  <c r="F3855" i="1"/>
  <c r="H3855" i="1"/>
  <c r="I3855" i="1" a="1"/>
  <c r="I3855" i="1" s="1"/>
  <c r="D3856" i="1"/>
  <c r="F3856" i="1"/>
  <c r="H3856" i="1"/>
  <c r="I3856" i="1" a="1"/>
  <c r="I3856" i="1" s="1"/>
  <c r="D3857" i="1"/>
  <c r="F3857" i="1"/>
  <c r="H3857" i="1"/>
  <c r="I3857" i="1" a="1"/>
  <c r="I3857" i="1" s="1"/>
  <c r="D3858" i="1"/>
  <c r="F3858" i="1"/>
  <c r="H3858" i="1"/>
  <c r="I3858" i="1" a="1"/>
  <c r="I3858" i="1" s="1"/>
  <c r="D3859" i="1"/>
  <c r="F3859" i="1"/>
  <c r="H3859" i="1"/>
  <c r="I3859" i="1" a="1"/>
  <c r="I3859" i="1" s="1"/>
  <c r="D3860" i="1"/>
  <c r="F3860" i="1"/>
  <c r="H3860" i="1"/>
  <c r="I3860" i="1" a="1"/>
  <c r="I3860" i="1" s="1"/>
  <c r="D3861" i="1"/>
  <c r="F3861" i="1"/>
  <c r="H3861" i="1"/>
  <c r="I3861" i="1" a="1"/>
  <c r="I3861" i="1" s="1"/>
  <c r="D3862" i="1"/>
  <c r="F3862" i="1"/>
  <c r="H3862" i="1"/>
  <c r="I3862" i="1" a="1"/>
  <c r="I3862" i="1" s="1"/>
  <c r="D3863" i="1"/>
  <c r="F3863" i="1"/>
  <c r="H3863" i="1"/>
  <c r="I3863" i="1" a="1"/>
  <c r="I3863" i="1" s="1"/>
  <c r="D3864" i="1"/>
  <c r="F3864" i="1"/>
  <c r="H3864" i="1"/>
  <c r="I3864" i="1" a="1"/>
  <c r="I3864" i="1" s="1"/>
  <c r="D3865" i="1"/>
  <c r="F3865" i="1"/>
  <c r="H3865" i="1"/>
  <c r="I3865" i="1" a="1"/>
  <c r="I3865" i="1" s="1"/>
  <c r="D3866" i="1"/>
  <c r="F3866" i="1"/>
  <c r="H3866" i="1"/>
  <c r="I3866" i="1" a="1"/>
  <c r="I3866" i="1" s="1"/>
  <c r="D3867" i="1"/>
  <c r="F3867" i="1"/>
  <c r="H3867" i="1"/>
  <c r="I3867" i="1" a="1"/>
  <c r="I3867" i="1" s="1"/>
  <c r="D3868" i="1"/>
  <c r="F3868" i="1"/>
  <c r="H3868" i="1"/>
  <c r="I3868" i="1" a="1"/>
  <c r="I3868" i="1" s="1"/>
  <c r="D3869" i="1"/>
  <c r="F3869" i="1"/>
  <c r="H3869" i="1"/>
  <c r="I3869" i="1" a="1"/>
  <c r="I3869" i="1" s="1"/>
  <c r="D3870" i="1"/>
  <c r="F3870" i="1"/>
  <c r="H3870" i="1"/>
  <c r="I3870" i="1" a="1"/>
  <c r="I3870" i="1" s="1"/>
  <c r="D3871" i="1"/>
  <c r="F3871" i="1"/>
  <c r="H3871" i="1"/>
  <c r="I3871" i="1" a="1"/>
  <c r="I3871" i="1" s="1"/>
  <c r="D3872" i="1"/>
  <c r="F3872" i="1"/>
  <c r="H3872" i="1"/>
  <c r="I3872" i="1" a="1"/>
  <c r="I3872" i="1" s="1"/>
  <c r="D3873" i="1"/>
  <c r="F3873" i="1"/>
  <c r="H3873" i="1"/>
  <c r="I3873" i="1" a="1"/>
  <c r="I3873" i="1" s="1"/>
  <c r="D3874" i="1"/>
  <c r="F3874" i="1"/>
  <c r="H3874" i="1"/>
  <c r="I3874" i="1" a="1"/>
  <c r="I3874" i="1" s="1"/>
  <c r="D3875" i="1"/>
  <c r="F3875" i="1"/>
  <c r="H3875" i="1"/>
  <c r="I3875" i="1" a="1"/>
  <c r="I3875" i="1" s="1"/>
  <c r="D3876" i="1"/>
  <c r="F3876" i="1"/>
  <c r="H3876" i="1"/>
  <c r="I3876" i="1" a="1"/>
  <c r="I3876" i="1" s="1"/>
  <c r="D3877" i="1"/>
  <c r="F3877" i="1"/>
  <c r="H3877" i="1"/>
  <c r="I3877" i="1" a="1"/>
  <c r="I3877" i="1" s="1"/>
  <c r="D3878" i="1"/>
  <c r="F3878" i="1"/>
  <c r="H3878" i="1"/>
  <c r="I3878" i="1" a="1"/>
  <c r="I3878" i="1" s="1"/>
  <c r="D3879" i="1"/>
  <c r="F3879" i="1"/>
  <c r="H3879" i="1"/>
  <c r="I3879" i="1" a="1"/>
  <c r="I3879" i="1" s="1"/>
  <c r="D3880" i="1"/>
  <c r="F3880" i="1"/>
  <c r="H3880" i="1"/>
  <c r="I3880" i="1" a="1"/>
  <c r="I3880" i="1" s="1"/>
  <c r="D3881" i="1"/>
  <c r="F3881" i="1"/>
  <c r="H3881" i="1"/>
  <c r="I3881" i="1" a="1"/>
  <c r="I3881" i="1" s="1"/>
  <c r="D3882" i="1"/>
  <c r="F3882" i="1"/>
  <c r="H3882" i="1"/>
  <c r="I3882" i="1" a="1"/>
  <c r="I3882" i="1" s="1"/>
  <c r="D3883" i="1"/>
  <c r="F3883" i="1"/>
  <c r="H3883" i="1"/>
  <c r="I3883" i="1" a="1"/>
  <c r="I3883" i="1" s="1"/>
  <c r="D3884" i="1"/>
  <c r="F3884" i="1"/>
  <c r="H3884" i="1"/>
  <c r="I3884" i="1" a="1"/>
  <c r="I3884" i="1" s="1"/>
  <c r="D3885" i="1"/>
  <c r="F3885" i="1"/>
  <c r="H3885" i="1"/>
  <c r="I3885" i="1" a="1"/>
  <c r="I3885" i="1" s="1"/>
  <c r="D3886" i="1"/>
  <c r="F3886" i="1"/>
  <c r="H3886" i="1"/>
  <c r="I3886" i="1" a="1"/>
  <c r="I3886" i="1" s="1"/>
  <c r="D3887" i="1"/>
  <c r="F3887" i="1"/>
  <c r="H3887" i="1"/>
  <c r="I3887" i="1" a="1"/>
  <c r="I3887" i="1" s="1"/>
  <c r="D3888" i="1"/>
  <c r="F3888" i="1"/>
  <c r="H3888" i="1"/>
  <c r="I3888" i="1" a="1"/>
  <c r="I3888" i="1" s="1"/>
  <c r="D3889" i="1"/>
  <c r="F3889" i="1"/>
  <c r="H3889" i="1"/>
  <c r="I3889" i="1" a="1"/>
  <c r="I3889" i="1" s="1"/>
  <c r="D3890" i="1"/>
  <c r="F3890" i="1"/>
  <c r="H3890" i="1"/>
  <c r="I3890" i="1" a="1"/>
  <c r="I3890" i="1" s="1"/>
  <c r="D3891" i="1"/>
  <c r="F3891" i="1"/>
  <c r="H3891" i="1"/>
  <c r="I3891" i="1" a="1"/>
  <c r="I3891" i="1" s="1"/>
  <c r="D3892" i="1"/>
  <c r="F3892" i="1"/>
  <c r="H3892" i="1"/>
  <c r="I3892" i="1" a="1"/>
  <c r="I3892" i="1" s="1"/>
  <c r="D3893" i="1"/>
  <c r="F3893" i="1"/>
  <c r="H3893" i="1"/>
  <c r="I3893" i="1" a="1"/>
  <c r="I3893" i="1" s="1"/>
  <c r="D3894" i="1"/>
  <c r="F3894" i="1"/>
  <c r="H3894" i="1"/>
  <c r="I3894" i="1" a="1"/>
  <c r="I3894" i="1" s="1"/>
  <c r="D3895" i="1"/>
  <c r="F3895" i="1"/>
  <c r="H3895" i="1"/>
  <c r="I3895" i="1" a="1"/>
  <c r="I3895" i="1" s="1"/>
  <c r="D3896" i="1"/>
  <c r="F3896" i="1"/>
  <c r="H3896" i="1"/>
  <c r="I3896" i="1" a="1"/>
  <c r="I3896" i="1" s="1"/>
  <c r="D3897" i="1"/>
  <c r="F3897" i="1"/>
  <c r="H3897" i="1"/>
  <c r="I3897" i="1" a="1"/>
  <c r="I3897" i="1" s="1"/>
  <c r="D3898" i="1"/>
  <c r="F3898" i="1"/>
  <c r="H3898" i="1"/>
  <c r="I3898" i="1" a="1"/>
  <c r="I3898" i="1" s="1"/>
  <c r="D3899" i="1"/>
  <c r="F3899" i="1"/>
  <c r="H3899" i="1"/>
  <c r="I3899" i="1" a="1"/>
  <c r="I3899" i="1" s="1"/>
  <c r="D3900" i="1"/>
  <c r="F3900" i="1"/>
  <c r="H3900" i="1"/>
  <c r="I3900" i="1" a="1"/>
  <c r="I3900" i="1" s="1"/>
  <c r="D3901" i="1"/>
  <c r="F3901" i="1"/>
  <c r="H3901" i="1"/>
  <c r="I3901" i="1" a="1"/>
  <c r="I3901" i="1" s="1"/>
  <c r="D3902" i="1"/>
  <c r="F3902" i="1"/>
  <c r="H3902" i="1"/>
  <c r="I3902" i="1" a="1"/>
  <c r="I3902" i="1" s="1"/>
  <c r="D3903" i="1"/>
  <c r="F3903" i="1"/>
  <c r="H3903" i="1"/>
  <c r="I3903" i="1" a="1"/>
  <c r="I3903" i="1" s="1"/>
  <c r="D3904" i="1"/>
  <c r="F3904" i="1"/>
  <c r="H3904" i="1"/>
  <c r="I3904" i="1" a="1"/>
  <c r="I3904" i="1" s="1"/>
  <c r="D3905" i="1"/>
  <c r="F3905" i="1"/>
  <c r="H3905" i="1"/>
  <c r="I3905" i="1" a="1"/>
  <c r="I3905" i="1" s="1"/>
  <c r="D3906" i="1"/>
  <c r="F3906" i="1"/>
  <c r="H3906" i="1"/>
  <c r="I3906" i="1" a="1"/>
  <c r="I3906" i="1" s="1"/>
  <c r="D3907" i="1"/>
  <c r="F3907" i="1"/>
  <c r="H3907" i="1"/>
  <c r="I3907" i="1" a="1"/>
  <c r="I3907" i="1" s="1"/>
  <c r="D3908" i="1"/>
  <c r="F3908" i="1"/>
  <c r="H3908" i="1"/>
  <c r="I3908" i="1" a="1"/>
  <c r="I3908" i="1" s="1"/>
  <c r="D3909" i="1"/>
  <c r="F3909" i="1"/>
  <c r="H3909" i="1"/>
  <c r="I3909" i="1" a="1"/>
  <c r="I3909" i="1" s="1"/>
  <c r="D3910" i="1"/>
  <c r="F3910" i="1"/>
  <c r="H3910" i="1"/>
  <c r="I3910" i="1" a="1"/>
  <c r="I3910" i="1" s="1"/>
  <c r="D3911" i="1"/>
  <c r="F3911" i="1"/>
  <c r="H3911" i="1"/>
  <c r="I3911" i="1" a="1"/>
  <c r="I3911" i="1" s="1"/>
  <c r="D3912" i="1"/>
  <c r="F3912" i="1"/>
  <c r="H3912" i="1"/>
  <c r="I3912" i="1" a="1"/>
  <c r="I3912" i="1" s="1"/>
  <c r="D3913" i="1"/>
  <c r="F3913" i="1"/>
  <c r="H3913" i="1"/>
  <c r="I3913" i="1" a="1"/>
  <c r="I3913" i="1" s="1"/>
  <c r="D3914" i="1"/>
  <c r="F3914" i="1"/>
  <c r="H3914" i="1"/>
  <c r="I3914" i="1" a="1"/>
  <c r="I3914" i="1" s="1"/>
  <c r="D3915" i="1"/>
  <c r="F3915" i="1"/>
  <c r="H3915" i="1"/>
  <c r="I3915" i="1" a="1"/>
  <c r="I3915" i="1" s="1"/>
  <c r="D3916" i="1"/>
  <c r="F3916" i="1"/>
  <c r="H3916" i="1"/>
  <c r="I3916" i="1" a="1"/>
  <c r="I3916" i="1" s="1"/>
  <c r="D3917" i="1"/>
  <c r="F3917" i="1"/>
  <c r="H3917" i="1"/>
  <c r="I3917" i="1" a="1"/>
  <c r="I3917" i="1" s="1"/>
  <c r="D3918" i="1"/>
  <c r="F3918" i="1"/>
  <c r="H3918" i="1"/>
  <c r="I3918" i="1" a="1"/>
  <c r="I3918" i="1" s="1"/>
  <c r="D3919" i="1"/>
  <c r="F3919" i="1"/>
  <c r="H3919" i="1"/>
  <c r="I3919" i="1" a="1"/>
  <c r="I3919" i="1" s="1"/>
  <c r="D3920" i="1"/>
  <c r="F3920" i="1"/>
  <c r="H3920" i="1"/>
  <c r="I3920" i="1" a="1"/>
  <c r="I3920" i="1" s="1"/>
  <c r="D3921" i="1"/>
  <c r="F3921" i="1"/>
  <c r="H3921" i="1"/>
  <c r="I3921" i="1" a="1"/>
  <c r="I3921" i="1" s="1"/>
  <c r="D3922" i="1"/>
  <c r="F3922" i="1"/>
  <c r="H3922" i="1"/>
  <c r="I3922" i="1" a="1"/>
  <c r="I3922" i="1" s="1"/>
  <c r="D3923" i="1"/>
  <c r="F3923" i="1"/>
  <c r="H3923" i="1"/>
  <c r="I3923" i="1" a="1"/>
  <c r="I3923" i="1" s="1"/>
  <c r="D3924" i="1"/>
  <c r="F3924" i="1"/>
  <c r="H3924" i="1"/>
  <c r="I3924" i="1" a="1"/>
  <c r="I3924" i="1" s="1"/>
  <c r="D3925" i="1"/>
  <c r="F3925" i="1"/>
  <c r="H3925" i="1"/>
  <c r="I3925" i="1" a="1"/>
  <c r="I3925" i="1" s="1"/>
  <c r="D3926" i="1"/>
  <c r="F3926" i="1"/>
  <c r="H3926" i="1"/>
  <c r="I3926" i="1" a="1"/>
  <c r="I3926" i="1" s="1"/>
  <c r="D3927" i="1"/>
  <c r="F3927" i="1"/>
  <c r="H3927" i="1"/>
  <c r="I3927" i="1" a="1"/>
  <c r="I3927" i="1" s="1"/>
  <c r="D3928" i="1"/>
  <c r="F3928" i="1"/>
  <c r="H3928" i="1"/>
  <c r="I3928" i="1" a="1"/>
  <c r="I3928" i="1" s="1"/>
  <c r="D3929" i="1"/>
  <c r="F3929" i="1"/>
  <c r="H3929" i="1"/>
  <c r="I3929" i="1" a="1"/>
  <c r="I3929" i="1" s="1"/>
  <c r="D3930" i="1"/>
  <c r="F3930" i="1"/>
  <c r="H3930" i="1"/>
  <c r="I3930" i="1" a="1"/>
  <c r="I3930" i="1" s="1"/>
  <c r="D3931" i="1"/>
  <c r="F3931" i="1"/>
  <c r="H3931" i="1"/>
  <c r="I3931" i="1" a="1"/>
  <c r="I3931" i="1" s="1"/>
  <c r="D3932" i="1"/>
  <c r="F3932" i="1"/>
  <c r="H3932" i="1"/>
  <c r="I3932" i="1" a="1"/>
  <c r="I3932" i="1" s="1"/>
  <c r="D3933" i="1"/>
  <c r="F3933" i="1"/>
  <c r="H3933" i="1"/>
  <c r="I3933" i="1" a="1"/>
  <c r="I3933" i="1" s="1"/>
  <c r="D3934" i="1"/>
  <c r="F3934" i="1"/>
  <c r="H3934" i="1"/>
  <c r="I3934" i="1" a="1"/>
  <c r="I3934" i="1" s="1"/>
  <c r="D3935" i="1"/>
  <c r="F3935" i="1"/>
  <c r="H3935" i="1"/>
  <c r="I3935" i="1" a="1"/>
  <c r="I3935" i="1" s="1"/>
  <c r="D3936" i="1"/>
  <c r="F3936" i="1"/>
  <c r="H3936" i="1"/>
  <c r="I3936" i="1" a="1"/>
  <c r="I3936" i="1" s="1"/>
  <c r="D3937" i="1"/>
  <c r="F3937" i="1"/>
  <c r="H3937" i="1"/>
  <c r="I3937" i="1" a="1"/>
  <c r="I3937" i="1" s="1"/>
  <c r="D3938" i="1"/>
  <c r="F3938" i="1"/>
  <c r="H3938" i="1"/>
  <c r="I3938" i="1" a="1"/>
  <c r="I3938" i="1" s="1"/>
  <c r="D3939" i="1"/>
  <c r="F3939" i="1"/>
  <c r="H3939" i="1"/>
  <c r="I3939" i="1" a="1"/>
  <c r="I3939" i="1" s="1"/>
  <c r="D3940" i="1"/>
  <c r="F3940" i="1"/>
  <c r="H3940" i="1"/>
  <c r="I3940" i="1" a="1"/>
  <c r="I3940" i="1" s="1"/>
  <c r="D3941" i="1"/>
  <c r="F3941" i="1"/>
  <c r="H3941" i="1"/>
  <c r="I3941" i="1" a="1"/>
  <c r="I3941" i="1" s="1"/>
  <c r="D3942" i="1"/>
  <c r="F3942" i="1"/>
  <c r="H3942" i="1"/>
  <c r="I3942" i="1" a="1"/>
  <c r="I3942" i="1" s="1"/>
  <c r="D3943" i="1"/>
  <c r="F3943" i="1"/>
  <c r="H3943" i="1"/>
  <c r="I3943" i="1" a="1"/>
  <c r="I3943" i="1" s="1"/>
  <c r="D3944" i="1"/>
  <c r="F3944" i="1"/>
  <c r="H3944" i="1"/>
  <c r="I3944" i="1" a="1"/>
  <c r="I3944" i="1" s="1"/>
  <c r="D3945" i="1"/>
  <c r="F3945" i="1"/>
  <c r="H3945" i="1"/>
  <c r="I3945" i="1" a="1"/>
  <c r="I3945" i="1" s="1"/>
  <c r="D3946" i="1"/>
  <c r="F3946" i="1"/>
  <c r="H3946" i="1"/>
  <c r="I3946" i="1" a="1"/>
  <c r="I3946" i="1" s="1"/>
  <c r="D3947" i="1"/>
  <c r="F3947" i="1"/>
  <c r="H3947" i="1"/>
  <c r="I3947" i="1" a="1"/>
  <c r="I3947" i="1" s="1"/>
  <c r="D3948" i="1"/>
  <c r="F3948" i="1"/>
  <c r="H3948" i="1"/>
  <c r="I3948" i="1" a="1"/>
  <c r="I3948" i="1" s="1"/>
  <c r="D3949" i="1"/>
  <c r="F3949" i="1"/>
  <c r="H3949" i="1"/>
  <c r="I3949" i="1" a="1"/>
  <c r="I3949" i="1" s="1"/>
  <c r="D3950" i="1"/>
  <c r="F3950" i="1"/>
  <c r="H3950" i="1"/>
  <c r="I3950" i="1" a="1"/>
  <c r="I3950" i="1" s="1"/>
  <c r="D3951" i="1"/>
  <c r="F3951" i="1"/>
  <c r="H3951" i="1"/>
  <c r="I3951" i="1" a="1"/>
  <c r="I3951" i="1" s="1"/>
  <c r="D3952" i="1"/>
  <c r="F3952" i="1"/>
  <c r="H3952" i="1"/>
  <c r="I3952" i="1" a="1"/>
  <c r="I3952" i="1" s="1"/>
  <c r="D3953" i="1"/>
  <c r="F3953" i="1"/>
  <c r="H3953" i="1"/>
  <c r="I3953" i="1" a="1"/>
  <c r="I3953" i="1" s="1"/>
  <c r="D3954" i="1"/>
  <c r="F3954" i="1"/>
  <c r="H3954" i="1"/>
  <c r="I3954" i="1" a="1"/>
  <c r="I3954" i="1" s="1"/>
  <c r="D3955" i="1"/>
  <c r="F3955" i="1"/>
  <c r="H3955" i="1"/>
  <c r="I3955" i="1" a="1"/>
  <c r="I3955" i="1" s="1"/>
  <c r="D3956" i="1"/>
  <c r="F3956" i="1"/>
  <c r="H3956" i="1"/>
  <c r="I3956" i="1" a="1"/>
  <c r="I3956" i="1" s="1"/>
  <c r="D3957" i="1"/>
  <c r="F3957" i="1"/>
  <c r="H3957" i="1"/>
  <c r="I3957" i="1" a="1"/>
  <c r="I3957" i="1" s="1"/>
  <c r="D3958" i="1"/>
  <c r="F3958" i="1"/>
  <c r="H3958" i="1"/>
  <c r="I3958" i="1" a="1"/>
  <c r="I3958" i="1" s="1"/>
  <c r="D3959" i="1"/>
  <c r="F3959" i="1"/>
  <c r="H3959" i="1"/>
  <c r="I3959" i="1" a="1"/>
  <c r="I3959" i="1" s="1"/>
  <c r="D3960" i="1"/>
  <c r="F3960" i="1"/>
  <c r="H3960" i="1"/>
  <c r="I3960" i="1" a="1"/>
  <c r="I3960" i="1" s="1"/>
  <c r="D3961" i="1"/>
  <c r="F3961" i="1"/>
  <c r="H3961" i="1"/>
  <c r="I3961" i="1" a="1"/>
  <c r="I3961" i="1" s="1"/>
  <c r="D3962" i="1"/>
  <c r="F3962" i="1"/>
  <c r="H3962" i="1"/>
  <c r="I3962" i="1" a="1"/>
  <c r="I3962" i="1" s="1"/>
  <c r="D3963" i="1"/>
  <c r="F3963" i="1"/>
  <c r="H3963" i="1"/>
  <c r="I3963" i="1" a="1"/>
  <c r="I3963" i="1" s="1"/>
  <c r="D3964" i="1"/>
  <c r="F3964" i="1"/>
  <c r="H3964" i="1"/>
  <c r="I3964" i="1" a="1"/>
  <c r="I3964" i="1" s="1"/>
  <c r="D3965" i="1"/>
  <c r="F3965" i="1"/>
  <c r="H3965" i="1"/>
  <c r="I3965" i="1" a="1"/>
  <c r="I3965" i="1" s="1"/>
  <c r="D3966" i="1"/>
  <c r="F3966" i="1"/>
  <c r="H3966" i="1"/>
  <c r="I3966" i="1" a="1"/>
  <c r="I3966" i="1" s="1"/>
  <c r="D3967" i="1"/>
  <c r="F3967" i="1"/>
  <c r="H3967" i="1"/>
  <c r="I3967" i="1" a="1"/>
  <c r="I3967" i="1" s="1"/>
  <c r="D3968" i="1"/>
  <c r="F3968" i="1"/>
  <c r="H3968" i="1"/>
  <c r="I3968" i="1" a="1"/>
  <c r="I3968" i="1" s="1"/>
  <c r="D3969" i="1"/>
  <c r="F3969" i="1"/>
  <c r="H3969" i="1"/>
  <c r="I3969" i="1" a="1"/>
  <c r="I3969" i="1" s="1"/>
  <c r="D3970" i="1"/>
  <c r="F3970" i="1"/>
  <c r="H3970" i="1"/>
  <c r="I3970" i="1" a="1"/>
  <c r="I3970" i="1" s="1"/>
  <c r="D3971" i="1"/>
  <c r="F3971" i="1"/>
  <c r="H3971" i="1"/>
  <c r="I3971" i="1" a="1"/>
  <c r="I3971" i="1" s="1"/>
  <c r="D3972" i="1"/>
  <c r="F3972" i="1"/>
  <c r="H3972" i="1"/>
  <c r="I3972" i="1" a="1"/>
  <c r="I3972" i="1" s="1"/>
  <c r="D3973" i="1"/>
  <c r="F3973" i="1"/>
  <c r="H3973" i="1"/>
  <c r="I3973" i="1" a="1"/>
  <c r="I3973" i="1" s="1"/>
  <c r="D3974" i="1"/>
  <c r="F3974" i="1"/>
  <c r="H3974" i="1"/>
  <c r="I3974" i="1" a="1"/>
  <c r="I3974" i="1" s="1"/>
  <c r="D3975" i="1"/>
  <c r="F3975" i="1"/>
  <c r="H3975" i="1"/>
  <c r="I3975" i="1" a="1"/>
  <c r="I3975" i="1" s="1"/>
  <c r="D3976" i="1"/>
  <c r="F3976" i="1"/>
  <c r="H3976" i="1"/>
  <c r="I3976" i="1" a="1"/>
  <c r="I3976" i="1" s="1"/>
  <c r="D3977" i="1"/>
  <c r="F3977" i="1"/>
  <c r="H3977" i="1"/>
  <c r="I3977" i="1" a="1"/>
  <c r="I3977" i="1" s="1"/>
  <c r="D3978" i="1"/>
  <c r="F3978" i="1"/>
  <c r="H3978" i="1"/>
  <c r="I3978" i="1" a="1"/>
  <c r="I3978" i="1" s="1"/>
  <c r="D3979" i="1"/>
  <c r="F3979" i="1"/>
  <c r="H3979" i="1"/>
  <c r="I3979" i="1" a="1"/>
  <c r="I3979" i="1" s="1"/>
  <c r="D3980" i="1"/>
  <c r="F3980" i="1"/>
  <c r="H3980" i="1"/>
  <c r="I3980" i="1" a="1"/>
  <c r="I3980" i="1" s="1"/>
  <c r="D3981" i="1"/>
  <c r="F3981" i="1"/>
  <c r="H3981" i="1"/>
  <c r="I3981" i="1" a="1"/>
  <c r="I3981" i="1" s="1"/>
  <c r="D3982" i="1"/>
  <c r="F3982" i="1"/>
  <c r="H3982" i="1"/>
  <c r="I3982" i="1" a="1"/>
  <c r="I3982" i="1" s="1"/>
  <c r="D3983" i="1"/>
  <c r="F3983" i="1"/>
  <c r="H3983" i="1"/>
  <c r="I3983" i="1" a="1"/>
  <c r="I3983" i="1" s="1"/>
  <c r="D3984" i="1"/>
  <c r="F3984" i="1"/>
  <c r="H3984" i="1"/>
  <c r="I3984" i="1" a="1"/>
  <c r="I3984" i="1" s="1"/>
  <c r="D3985" i="1"/>
  <c r="F3985" i="1"/>
  <c r="H3985" i="1"/>
  <c r="I3985" i="1" a="1"/>
  <c r="I3985" i="1" s="1"/>
  <c r="D3986" i="1"/>
  <c r="F3986" i="1"/>
  <c r="H3986" i="1"/>
  <c r="I3986" i="1" a="1"/>
  <c r="I3986" i="1" s="1"/>
  <c r="D3987" i="1"/>
  <c r="F3987" i="1"/>
  <c r="H3987" i="1"/>
  <c r="I3987" i="1" a="1"/>
  <c r="I3987" i="1" s="1"/>
  <c r="D3988" i="1"/>
  <c r="F3988" i="1"/>
  <c r="H3988" i="1"/>
  <c r="I3988" i="1" a="1"/>
  <c r="I3988" i="1" s="1"/>
  <c r="D3989" i="1"/>
  <c r="F3989" i="1"/>
  <c r="H3989" i="1"/>
  <c r="I3989" i="1" a="1"/>
  <c r="I3989" i="1" s="1"/>
  <c r="D3990" i="1"/>
  <c r="F3990" i="1"/>
  <c r="H3990" i="1"/>
  <c r="I3990" i="1" a="1"/>
  <c r="I3990" i="1" s="1"/>
  <c r="D3991" i="1"/>
  <c r="F3991" i="1"/>
  <c r="H3991" i="1"/>
  <c r="I3991" i="1" a="1"/>
  <c r="I3991" i="1" s="1"/>
  <c r="D3992" i="1"/>
  <c r="F3992" i="1"/>
  <c r="H3992" i="1"/>
  <c r="I3992" i="1" a="1"/>
  <c r="I3992" i="1" s="1"/>
  <c r="D3993" i="1"/>
  <c r="F3993" i="1"/>
  <c r="H3993" i="1"/>
  <c r="I3993" i="1" a="1"/>
  <c r="I3993" i="1" s="1"/>
  <c r="D3994" i="1"/>
  <c r="F3994" i="1"/>
  <c r="H3994" i="1"/>
  <c r="I3994" i="1" a="1"/>
  <c r="I3994" i="1" s="1"/>
  <c r="D3995" i="1"/>
  <c r="F3995" i="1"/>
  <c r="H3995" i="1"/>
  <c r="I3995" i="1" a="1"/>
  <c r="I3995" i="1" s="1"/>
  <c r="D3996" i="1"/>
  <c r="F3996" i="1"/>
  <c r="H3996" i="1"/>
  <c r="I3996" i="1" a="1"/>
  <c r="I3996" i="1" s="1"/>
  <c r="D3997" i="1"/>
  <c r="F3997" i="1"/>
  <c r="H3997" i="1"/>
  <c r="I3997" i="1" a="1"/>
  <c r="I3997" i="1" s="1"/>
  <c r="D3998" i="1"/>
  <c r="F3998" i="1"/>
  <c r="H3998" i="1"/>
  <c r="I3998" i="1" a="1"/>
  <c r="I3998" i="1" s="1"/>
  <c r="D3999" i="1"/>
  <c r="F3999" i="1"/>
  <c r="H3999" i="1"/>
  <c r="I3999" i="1" a="1"/>
  <c r="I3999" i="1" s="1"/>
  <c r="D4000" i="1"/>
  <c r="F4000" i="1"/>
  <c r="H4000" i="1"/>
  <c r="I4000" i="1" a="1"/>
  <c r="I4000" i="1" s="1"/>
  <c r="D4001" i="1"/>
  <c r="F4001" i="1"/>
  <c r="H4001" i="1"/>
  <c r="I4001" i="1" a="1"/>
  <c r="I4001" i="1" s="1"/>
  <c r="D4002" i="1"/>
  <c r="F4002" i="1"/>
  <c r="H4002" i="1"/>
  <c r="I4002" i="1" a="1"/>
  <c r="I4002" i="1" s="1"/>
  <c r="D4003" i="1"/>
  <c r="F4003" i="1"/>
  <c r="H4003" i="1"/>
  <c r="I4003" i="1" a="1"/>
  <c r="I4003" i="1" s="1"/>
  <c r="D4004" i="1"/>
  <c r="F4004" i="1"/>
  <c r="H4004" i="1"/>
  <c r="I4004" i="1" a="1"/>
  <c r="I4004" i="1" s="1"/>
  <c r="D4005" i="1"/>
  <c r="F4005" i="1"/>
  <c r="H4005" i="1"/>
  <c r="I4005" i="1" a="1"/>
  <c r="I4005" i="1" s="1"/>
  <c r="D4006" i="1"/>
  <c r="F4006" i="1"/>
  <c r="H4006" i="1"/>
  <c r="I4006" i="1" a="1"/>
  <c r="I4006" i="1" s="1"/>
  <c r="D4007" i="1"/>
  <c r="F4007" i="1"/>
  <c r="H4007" i="1"/>
  <c r="I4007" i="1" a="1"/>
  <c r="I4007" i="1" s="1"/>
  <c r="D4008" i="1"/>
  <c r="F4008" i="1"/>
  <c r="H4008" i="1"/>
  <c r="I4008" i="1" a="1"/>
  <c r="I4008" i="1" s="1"/>
  <c r="D4009" i="1"/>
  <c r="F4009" i="1"/>
  <c r="H4009" i="1"/>
  <c r="I4009" i="1" a="1"/>
  <c r="I4009" i="1" s="1"/>
  <c r="D4010" i="1"/>
  <c r="F4010" i="1"/>
  <c r="H4010" i="1"/>
  <c r="I4010" i="1" a="1"/>
  <c r="I4010" i="1" s="1"/>
  <c r="D4011" i="1"/>
  <c r="F4011" i="1"/>
  <c r="H4011" i="1"/>
  <c r="I4011" i="1" a="1"/>
  <c r="I4011" i="1" s="1"/>
  <c r="D4012" i="1"/>
  <c r="F4012" i="1"/>
  <c r="H4012" i="1"/>
  <c r="I4012" i="1" a="1"/>
  <c r="I4012" i="1" s="1"/>
  <c r="D4013" i="1"/>
  <c r="F4013" i="1"/>
  <c r="H4013" i="1"/>
  <c r="I4013" i="1" a="1"/>
  <c r="I4013" i="1" s="1"/>
  <c r="D4014" i="1"/>
  <c r="F4014" i="1"/>
  <c r="H4014" i="1"/>
  <c r="I4014" i="1" a="1"/>
  <c r="I4014" i="1" s="1"/>
  <c r="D4015" i="1"/>
  <c r="F4015" i="1"/>
  <c r="H4015" i="1"/>
  <c r="I4015" i="1" a="1"/>
  <c r="I4015" i="1" s="1"/>
  <c r="D4016" i="1"/>
  <c r="F4016" i="1"/>
  <c r="H4016" i="1"/>
  <c r="I4016" i="1" a="1"/>
  <c r="I4016" i="1" s="1"/>
  <c r="D4017" i="1"/>
  <c r="F4017" i="1"/>
  <c r="H4017" i="1"/>
  <c r="I4017" i="1" a="1"/>
  <c r="I4017" i="1" s="1"/>
  <c r="D4018" i="1"/>
  <c r="F4018" i="1"/>
  <c r="H4018" i="1"/>
  <c r="I4018" i="1" a="1"/>
  <c r="I4018" i="1" s="1"/>
  <c r="D4019" i="1"/>
  <c r="F4019" i="1"/>
  <c r="H4019" i="1"/>
  <c r="I4019" i="1" a="1"/>
  <c r="I4019" i="1" s="1"/>
  <c r="D4020" i="1"/>
  <c r="F4020" i="1"/>
  <c r="H4020" i="1"/>
  <c r="I4020" i="1" a="1"/>
  <c r="I4020" i="1" s="1"/>
  <c r="D4021" i="1"/>
  <c r="F4021" i="1"/>
  <c r="H4021" i="1"/>
  <c r="I4021" i="1" a="1"/>
  <c r="I4021" i="1" s="1"/>
  <c r="D4022" i="1"/>
  <c r="F4022" i="1"/>
  <c r="H4022" i="1"/>
  <c r="I4022" i="1" a="1"/>
  <c r="I4022" i="1" s="1"/>
  <c r="D4023" i="1"/>
  <c r="F4023" i="1"/>
  <c r="H4023" i="1"/>
  <c r="I4023" i="1" a="1"/>
  <c r="I4023" i="1" s="1"/>
  <c r="D4024" i="1"/>
  <c r="F4024" i="1"/>
  <c r="H4024" i="1"/>
  <c r="I4024" i="1" a="1"/>
  <c r="I4024" i="1" s="1"/>
  <c r="D4025" i="1"/>
  <c r="F4025" i="1"/>
  <c r="H4025" i="1"/>
  <c r="I4025" i="1" a="1"/>
  <c r="I4025" i="1" s="1"/>
  <c r="D4026" i="1"/>
  <c r="F4026" i="1"/>
  <c r="H4026" i="1"/>
  <c r="I4026" i="1" a="1"/>
  <c r="I4026" i="1" s="1"/>
  <c r="D4027" i="1"/>
  <c r="F4027" i="1"/>
  <c r="H4027" i="1"/>
  <c r="I4027" i="1" a="1"/>
  <c r="I4027" i="1" s="1"/>
  <c r="D4028" i="1"/>
  <c r="F4028" i="1"/>
  <c r="H4028" i="1"/>
  <c r="I4028" i="1" a="1"/>
  <c r="I4028" i="1" s="1"/>
  <c r="D4029" i="1"/>
  <c r="F4029" i="1"/>
  <c r="H4029" i="1"/>
  <c r="I4029" i="1" a="1"/>
  <c r="I4029" i="1" s="1"/>
  <c r="D4030" i="1"/>
  <c r="F4030" i="1"/>
  <c r="H4030" i="1"/>
  <c r="I4030" i="1" a="1"/>
  <c r="I4030" i="1" s="1"/>
  <c r="D4031" i="1"/>
  <c r="F4031" i="1"/>
  <c r="H4031" i="1"/>
  <c r="I4031" i="1" a="1"/>
  <c r="I4031" i="1" s="1"/>
  <c r="D4032" i="1"/>
  <c r="F4032" i="1"/>
  <c r="H4032" i="1"/>
  <c r="I4032" i="1" a="1"/>
  <c r="I4032" i="1" s="1"/>
  <c r="D4033" i="1"/>
  <c r="F4033" i="1"/>
  <c r="H4033" i="1"/>
  <c r="I4033" i="1" a="1"/>
  <c r="I4033" i="1" s="1"/>
  <c r="D4034" i="1"/>
  <c r="F4034" i="1"/>
  <c r="H4034" i="1"/>
  <c r="I4034" i="1" a="1"/>
  <c r="I4034" i="1" s="1"/>
  <c r="D4035" i="1"/>
  <c r="F4035" i="1"/>
  <c r="H4035" i="1"/>
  <c r="I4035" i="1" a="1"/>
  <c r="I4035" i="1" s="1"/>
  <c r="D4036" i="1"/>
  <c r="F4036" i="1"/>
  <c r="H4036" i="1"/>
  <c r="I4036" i="1" a="1"/>
  <c r="I4036" i="1" s="1"/>
  <c r="D4037" i="1"/>
  <c r="F4037" i="1"/>
  <c r="H4037" i="1"/>
  <c r="I4037" i="1" a="1"/>
  <c r="I4037" i="1" s="1"/>
  <c r="D4038" i="1"/>
  <c r="F4038" i="1"/>
  <c r="H4038" i="1"/>
  <c r="I4038" i="1" a="1"/>
  <c r="I4038" i="1" s="1"/>
  <c r="D4039" i="1"/>
  <c r="F4039" i="1"/>
  <c r="H4039" i="1"/>
  <c r="I4039" i="1" a="1"/>
  <c r="I4039" i="1" s="1"/>
  <c r="D4040" i="1"/>
  <c r="F4040" i="1"/>
  <c r="H4040" i="1"/>
  <c r="I4040" i="1" a="1"/>
  <c r="I4040" i="1" s="1"/>
  <c r="D4041" i="1"/>
  <c r="F4041" i="1"/>
  <c r="H4041" i="1"/>
  <c r="I4041" i="1" a="1"/>
  <c r="I4041" i="1" s="1"/>
  <c r="D4042" i="1"/>
  <c r="F4042" i="1"/>
  <c r="H4042" i="1"/>
  <c r="I4042" i="1" a="1"/>
  <c r="I4042" i="1" s="1"/>
  <c r="D4043" i="1"/>
  <c r="F4043" i="1"/>
  <c r="H4043" i="1"/>
  <c r="I4043" i="1" a="1"/>
  <c r="I4043" i="1" s="1"/>
  <c r="D4044" i="1"/>
  <c r="F4044" i="1"/>
  <c r="H4044" i="1"/>
  <c r="I4044" i="1" a="1"/>
  <c r="I4044" i="1" s="1"/>
  <c r="D4045" i="1"/>
  <c r="F4045" i="1"/>
  <c r="H4045" i="1"/>
  <c r="I4045" i="1" a="1"/>
  <c r="I4045" i="1" s="1"/>
  <c r="D4046" i="1"/>
  <c r="F4046" i="1"/>
  <c r="H4046" i="1"/>
  <c r="I4046" i="1" a="1"/>
  <c r="I4046" i="1" s="1"/>
  <c r="D4047" i="1"/>
  <c r="F4047" i="1"/>
  <c r="H4047" i="1"/>
  <c r="I4047" i="1" a="1"/>
  <c r="I4047" i="1" s="1"/>
  <c r="D4048" i="1"/>
  <c r="F4048" i="1"/>
  <c r="H4048" i="1"/>
  <c r="I4048" i="1" a="1"/>
  <c r="I4048" i="1" s="1"/>
  <c r="D4049" i="1"/>
  <c r="F4049" i="1"/>
  <c r="H4049" i="1"/>
  <c r="I4049" i="1" a="1"/>
  <c r="I4049" i="1" s="1"/>
  <c r="D4050" i="1"/>
  <c r="F4050" i="1"/>
  <c r="H4050" i="1"/>
  <c r="I4050" i="1" a="1"/>
  <c r="I4050" i="1" s="1"/>
  <c r="D4051" i="1"/>
  <c r="F4051" i="1"/>
  <c r="H4051" i="1"/>
  <c r="I4051" i="1" a="1"/>
  <c r="I4051" i="1" s="1"/>
  <c r="D4052" i="1"/>
  <c r="F4052" i="1"/>
  <c r="H4052" i="1"/>
  <c r="I4052" i="1" a="1"/>
  <c r="I4052" i="1" s="1"/>
  <c r="D4053" i="1"/>
  <c r="F4053" i="1"/>
  <c r="H4053" i="1"/>
  <c r="I4053" i="1" a="1"/>
  <c r="I4053" i="1" s="1"/>
  <c r="D4054" i="1"/>
  <c r="F4054" i="1"/>
  <c r="H4054" i="1"/>
  <c r="I4054" i="1" a="1"/>
  <c r="I4054" i="1" s="1"/>
  <c r="D4055" i="1"/>
  <c r="F4055" i="1"/>
  <c r="H4055" i="1"/>
  <c r="I4055" i="1" a="1"/>
  <c r="I4055" i="1" s="1"/>
  <c r="D4056" i="1"/>
  <c r="F4056" i="1"/>
  <c r="H4056" i="1"/>
  <c r="I4056" i="1" a="1"/>
  <c r="I4056" i="1" s="1"/>
  <c r="D4057" i="1"/>
  <c r="F4057" i="1"/>
  <c r="H4057" i="1"/>
  <c r="I4057" i="1" a="1"/>
  <c r="I4057" i="1" s="1"/>
  <c r="D4058" i="1"/>
  <c r="F4058" i="1"/>
  <c r="H4058" i="1"/>
  <c r="I4058" i="1" a="1"/>
  <c r="I4058" i="1" s="1"/>
  <c r="D4059" i="1"/>
  <c r="F4059" i="1"/>
  <c r="H4059" i="1"/>
  <c r="I4059" i="1" a="1"/>
  <c r="I4059" i="1" s="1"/>
  <c r="D4060" i="1"/>
  <c r="F4060" i="1"/>
  <c r="H4060" i="1"/>
  <c r="I4060" i="1" a="1"/>
  <c r="I4060" i="1" s="1"/>
  <c r="D4061" i="1"/>
  <c r="F4061" i="1"/>
  <c r="H4061" i="1"/>
  <c r="I4061" i="1" a="1"/>
  <c r="I4061" i="1" s="1"/>
  <c r="D4062" i="1"/>
  <c r="F4062" i="1"/>
  <c r="H4062" i="1"/>
  <c r="I4062" i="1" a="1"/>
  <c r="I4062" i="1" s="1"/>
  <c r="D4063" i="1"/>
  <c r="F4063" i="1"/>
  <c r="H4063" i="1"/>
  <c r="I4063" i="1" a="1"/>
  <c r="I4063" i="1" s="1"/>
  <c r="D4064" i="1"/>
  <c r="F4064" i="1"/>
  <c r="H4064" i="1"/>
  <c r="I4064" i="1" a="1"/>
  <c r="I4064" i="1" s="1"/>
  <c r="D4065" i="1"/>
  <c r="F4065" i="1"/>
  <c r="H4065" i="1"/>
  <c r="I4065" i="1" a="1"/>
  <c r="I4065" i="1" s="1"/>
  <c r="D4066" i="1"/>
  <c r="F4066" i="1"/>
  <c r="H4066" i="1"/>
  <c r="I4066" i="1" a="1"/>
  <c r="I4066" i="1" s="1"/>
  <c r="D4067" i="1"/>
  <c r="F4067" i="1"/>
  <c r="H4067" i="1"/>
  <c r="I4067" i="1" a="1"/>
  <c r="I4067" i="1" s="1"/>
  <c r="D4068" i="1"/>
  <c r="F4068" i="1"/>
  <c r="H4068" i="1"/>
  <c r="I4068" i="1" a="1"/>
  <c r="I4068" i="1" s="1"/>
  <c r="D4069" i="1"/>
  <c r="F4069" i="1"/>
  <c r="H4069" i="1"/>
  <c r="I4069" i="1" a="1"/>
  <c r="I4069" i="1" s="1"/>
  <c r="D4070" i="1"/>
  <c r="F4070" i="1"/>
  <c r="H4070" i="1"/>
  <c r="I4070" i="1" a="1"/>
  <c r="I4070" i="1" s="1"/>
  <c r="D4071" i="1"/>
  <c r="F4071" i="1"/>
  <c r="H4071" i="1"/>
  <c r="I4071" i="1" a="1"/>
  <c r="I4071" i="1" s="1"/>
  <c r="D4072" i="1"/>
  <c r="F4072" i="1"/>
  <c r="H4072" i="1"/>
  <c r="I4072" i="1" a="1"/>
  <c r="I4072" i="1" s="1"/>
  <c r="D4073" i="1"/>
  <c r="F4073" i="1"/>
  <c r="H4073" i="1"/>
  <c r="I4073" i="1" a="1"/>
  <c r="I4073" i="1" s="1"/>
  <c r="D4074" i="1"/>
  <c r="F4074" i="1"/>
  <c r="H4074" i="1"/>
  <c r="I4074" i="1" a="1"/>
  <c r="I4074" i="1" s="1"/>
  <c r="D4075" i="1"/>
  <c r="F4075" i="1"/>
  <c r="H4075" i="1"/>
  <c r="I4075" i="1" a="1"/>
  <c r="I4075" i="1" s="1"/>
  <c r="D4076" i="1"/>
  <c r="F4076" i="1"/>
  <c r="H4076" i="1"/>
  <c r="I4076" i="1" a="1"/>
  <c r="I4076" i="1" s="1"/>
  <c r="D4077" i="1"/>
  <c r="F4077" i="1"/>
  <c r="H4077" i="1"/>
  <c r="I4077" i="1" a="1"/>
  <c r="I4077" i="1" s="1"/>
  <c r="D4078" i="1"/>
  <c r="F4078" i="1"/>
  <c r="H4078" i="1"/>
  <c r="I4078" i="1" a="1"/>
  <c r="I4078" i="1" s="1"/>
  <c r="D4079" i="1"/>
  <c r="F4079" i="1"/>
  <c r="H4079" i="1"/>
  <c r="I4079" i="1" a="1"/>
  <c r="I4079" i="1" s="1"/>
  <c r="D4080" i="1"/>
  <c r="F4080" i="1"/>
  <c r="H4080" i="1"/>
  <c r="I4080" i="1" a="1"/>
  <c r="I4080" i="1" s="1"/>
  <c r="D4081" i="1"/>
  <c r="F4081" i="1"/>
  <c r="H4081" i="1"/>
  <c r="I4081" i="1" a="1"/>
  <c r="I4081" i="1" s="1"/>
  <c r="D4082" i="1"/>
  <c r="F4082" i="1"/>
  <c r="H4082" i="1"/>
  <c r="I4082" i="1" a="1"/>
  <c r="I4082" i="1" s="1"/>
  <c r="D4083" i="1"/>
  <c r="F4083" i="1"/>
  <c r="H4083" i="1"/>
  <c r="I4083" i="1" a="1"/>
  <c r="I4083" i="1" s="1"/>
  <c r="D4084" i="1"/>
  <c r="F4084" i="1"/>
  <c r="H4084" i="1"/>
  <c r="I4084" i="1" a="1"/>
  <c r="I4084" i="1" s="1"/>
  <c r="D4085" i="1"/>
  <c r="F4085" i="1"/>
  <c r="H4085" i="1"/>
  <c r="I4085" i="1" a="1"/>
  <c r="I4085" i="1" s="1"/>
  <c r="D4086" i="1"/>
  <c r="F4086" i="1"/>
  <c r="H4086" i="1"/>
  <c r="I4086" i="1" a="1"/>
  <c r="I4086" i="1" s="1"/>
  <c r="D4087" i="1"/>
  <c r="F4087" i="1"/>
  <c r="H4087" i="1"/>
  <c r="I4087" i="1" a="1"/>
  <c r="I4087" i="1" s="1"/>
  <c r="D4088" i="1"/>
  <c r="F4088" i="1"/>
  <c r="H4088" i="1"/>
  <c r="I4088" i="1" a="1"/>
  <c r="I4088" i="1" s="1"/>
  <c r="D4089" i="1"/>
  <c r="F4089" i="1"/>
  <c r="H4089" i="1"/>
  <c r="I4089" i="1" a="1"/>
  <c r="I4089" i="1" s="1"/>
  <c r="D4090" i="1"/>
  <c r="F4090" i="1"/>
  <c r="H4090" i="1"/>
  <c r="I4090" i="1" a="1"/>
  <c r="I4090" i="1" s="1"/>
  <c r="D4091" i="1"/>
  <c r="F4091" i="1"/>
  <c r="H4091" i="1"/>
  <c r="I4091" i="1" a="1"/>
  <c r="I4091" i="1" s="1"/>
  <c r="D4092" i="1"/>
  <c r="F4092" i="1"/>
  <c r="H4092" i="1"/>
  <c r="I4092" i="1" a="1"/>
  <c r="I4092" i="1" s="1"/>
  <c r="D4093" i="1"/>
  <c r="F4093" i="1"/>
  <c r="H4093" i="1"/>
  <c r="I4093" i="1" a="1"/>
  <c r="I4093" i="1" s="1"/>
  <c r="D4094" i="1"/>
  <c r="F4094" i="1"/>
  <c r="H4094" i="1"/>
  <c r="I4094" i="1" a="1"/>
  <c r="I4094" i="1" s="1"/>
  <c r="D4095" i="1"/>
  <c r="F4095" i="1"/>
  <c r="H4095" i="1"/>
  <c r="I4095" i="1" a="1"/>
  <c r="I4095" i="1" s="1"/>
  <c r="D4096" i="1"/>
  <c r="F4096" i="1"/>
  <c r="H4096" i="1"/>
  <c r="I4096" i="1" a="1"/>
  <c r="I4096" i="1" s="1"/>
  <c r="D4097" i="1"/>
  <c r="F4097" i="1"/>
  <c r="H4097" i="1"/>
  <c r="I4097" i="1" a="1"/>
  <c r="I4097" i="1" s="1"/>
  <c r="D4098" i="1"/>
  <c r="F4098" i="1"/>
  <c r="H4098" i="1"/>
  <c r="I4098" i="1" a="1"/>
  <c r="I4098" i="1" s="1"/>
  <c r="D4099" i="1"/>
  <c r="F4099" i="1"/>
  <c r="H4099" i="1"/>
  <c r="I4099" i="1" a="1"/>
  <c r="I4099" i="1" s="1"/>
  <c r="D4100" i="1"/>
  <c r="F4100" i="1"/>
  <c r="H4100" i="1"/>
  <c r="I4100" i="1" a="1"/>
  <c r="I4100" i="1" s="1"/>
  <c r="D4101" i="1"/>
  <c r="F4101" i="1"/>
  <c r="H4101" i="1"/>
  <c r="I4101" i="1" a="1"/>
  <c r="I4101" i="1" s="1"/>
  <c r="D4102" i="1"/>
  <c r="F4102" i="1"/>
  <c r="H4102" i="1"/>
  <c r="I4102" i="1" a="1"/>
  <c r="I4102" i="1" s="1"/>
  <c r="D4103" i="1"/>
  <c r="F4103" i="1"/>
  <c r="H4103" i="1"/>
  <c r="I4103" i="1" a="1"/>
  <c r="I4103" i="1" s="1"/>
  <c r="D4104" i="1"/>
  <c r="F4104" i="1"/>
  <c r="H4104" i="1"/>
  <c r="I4104" i="1" a="1"/>
  <c r="I4104" i="1" s="1"/>
  <c r="D4105" i="1"/>
  <c r="F4105" i="1"/>
  <c r="H4105" i="1"/>
  <c r="I4105" i="1" a="1"/>
  <c r="I4105" i="1" s="1"/>
  <c r="D4106" i="1"/>
  <c r="F4106" i="1"/>
  <c r="H4106" i="1"/>
  <c r="I4106" i="1" a="1"/>
  <c r="I4106" i="1" s="1"/>
  <c r="D4107" i="1"/>
  <c r="F4107" i="1"/>
  <c r="H4107" i="1"/>
  <c r="I4107" i="1" a="1"/>
  <c r="I4107" i="1" s="1"/>
  <c r="D4108" i="1"/>
  <c r="F4108" i="1"/>
  <c r="H4108" i="1"/>
  <c r="I4108" i="1" a="1"/>
  <c r="I4108" i="1" s="1"/>
  <c r="D4109" i="1"/>
  <c r="F4109" i="1"/>
  <c r="H4109" i="1"/>
  <c r="I4109" i="1" a="1"/>
  <c r="I4109" i="1" s="1"/>
  <c r="D4110" i="1"/>
  <c r="F4110" i="1"/>
  <c r="H4110" i="1"/>
  <c r="I4110" i="1" a="1"/>
  <c r="I4110" i="1" s="1"/>
  <c r="D4111" i="1"/>
  <c r="F4111" i="1"/>
  <c r="H4111" i="1"/>
  <c r="I4111" i="1" a="1"/>
  <c r="I4111" i="1" s="1"/>
  <c r="D4112" i="1"/>
  <c r="F4112" i="1"/>
  <c r="H4112" i="1"/>
  <c r="I4112" i="1" a="1"/>
  <c r="I4112" i="1" s="1"/>
  <c r="D4113" i="1"/>
  <c r="F4113" i="1"/>
  <c r="H4113" i="1"/>
  <c r="I4113" i="1" a="1"/>
  <c r="I4113" i="1" s="1"/>
  <c r="D4114" i="1"/>
  <c r="F4114" i="1"/>
  <c r="H4114" i="1"/>
  <c r="I4114" i="1" a="1"/>
  <c r="I4114" i="1" s="1"/>
  <c r="D4115" i="1"/>
  <c r="F4115" i="1"/>
  <c r="H4115" i="1"/>
  <c r="I4115" i="1" a="1"/>
  <c r="I4115" i="1" s="1"/>
  <c r="D4116" i="1"/>
  <c r="F4116" i="1"/>
  <c r="H4116" i="1"/>
  <c r="I4116" i="1" a="1"/>
  <c r="I4116" i="1" s="1"/>
  <c r="D4117" i="1"/>
  <c r="F4117" i="1"/>
  <c r="H4117" i="1"/>
  <c r="I4117" i="1" a="1"/>
  <c r="I4117" i="1" s="1"/>
  <c r="D4118" i="1"/>
  <c r="F4118" i="1"/>
  <c r="H4118" i="1"/>
  <c r="I4118" i="1" a="1"/>
  <c r="I4118" i="1" s="1"/>
  <c r="D4119" i="1"/>
  <c r="F4119" i="1"/>
  <c r="H4119" i="1"/>
  <c r="I4119" i="1" a="1"/>
  <c r="I4119" i="1" s="1"/>
  <c r="D4120" i="1"/>
  <c r="F4120" i="1"/>
  <c r="H4120" i="1"/>
  <c r="I4120" i="1" a="1"/>
  <c r="I4120" i="1" s="1"/>
  <c r="D4121" i="1"/>
  <c r="F4121" i="1"/>
  <c r="H4121" i="1"/>
  <c r="I4121" i="1" a="1"/>
  <c r="I4121" i="1" s="1"/>
  <c r="D4122" i="1"/>
  <c r="F4122" i="1"/>
  <c r="H4122" i="1"/>
  <c r="I4122" i="1" a="1"/>
  <c r="I4122" i="1" s="1"/>
  <c r="D4123" i="1"/>
  <c r="F4123" i="1"/>
  <c r="H4123" i="1"/>
  <c r="I4123" i="1" a="1"/>
  <c r="I4123" i="1" s="1"/>
  <c r="D4124" i="1"/>
  <c r="F4124" i="1"/>
  <c r="H4124" i="1"/>
  <c r="I4124" i="1" a="1"/>
  <c r="I4124" i="1" s="1"/>
  <c r="D4125" i="1"/>
  <c r="F4125" i="1"/>
  <c r="H4125" i="1"/>
  <c r="I4125" i="1" a="1"/>
  <c r="I4125" i="1" s="1"/>
  <c r="D4126" i="1"/>
  <c r="F4126" i="1"/>
  <c r="H4126" i="1"/>
  <c r="I4126" i="1" a="1"/>
  <c r="I4126" i="1" s="1"/>
  <c r="D4127" i="1"/>
  <c r="F4127" i="1"/>
  <c r="H4127" i="1"/>
  <c r="I4127" i="1" a="1"/>
  <c r="I4127" i="1" s="1"/>
  <c r="D4128" i="1"/>
  <c r="F4128" i="1"/>
  <c r="H4128" i="1"/>
  <c r="I4128" i="1" a="1"/>
  <c r="I4128" i="1" s="1"/>
  <c r="D4129" i="1"/>
  <c r="F4129" i="1"/>
  <c r="H4129" i="1"/>
  <c r="I4129" i="1" a="1"/>
  <c r="I4129" i="1" s="1"/>
  <c r="D4130" i="1"/>
  <c r="F4130" i="1"/>
  <c r="H4130" i="1"/>
  <c r="I4130" i="1" a="1"/>
  <c r="I4130" i="1" s="1"/>
  <c r="D4131" i="1"/>
  <c r="F4131" i="1"/>
  <c r="H4131" i="1"/>
  <c r="I4131" i="1" a="1"/>
  <c r="I4131" i="1" s="1"/>
  <c r="D4132" i="1"/>
  <c r="F4132" i="1"/>
  <c r="H4132" i="1"/>
  <c r="I4132" i="1" a="1"/>
  <c r="I4132" i="1" s="1"/>
  <c r="D4133" i="1"/>
  <c r="F4133" i="1"/>
  <c r="H4133" i="1"/>
  <c r="I4133" i="1" a="1"/>
  <c r="I4133" i="1" s="1"/>
  <c r="D4134" i="1"/>
  <c r="F4134" i="1"/>
  <c r="H4134" i="1"/>
  <c r="I4134" i="1" a="1"/>
  <c r="I4134" i="1" s="1"/>
  <c r="D4135" i="1"/>
  <c r="F4135" i="1"/>
  <c r="H4135" i="1"/>
  <c r="I4135" i="1" a="1"/>
  <c r="I4135" i="1" s="1"/>
  <c r="D4136" i="1"/>
  <c r="F4136" i="1"/>
  <c r="H4136" i="1"/>
  <c r="I4136" i="1" a="1"/>
  <c r="I4136" i="1" s="1"/>
  <c r="D4137" i="1"/>
  <c r="F4137" i="1"/>
  <c r="H4137" i="1"/>
  <c r="I4137" i="1" a="1"/>
  <c r="I4137" i="1" s="1"/>
  <c r="D4138" i="1"/>
  <c r="F4138" i="1"/>
  <c r="H4138" i="1"/>
  <c r="I4138" i="1" a="1"/>
  <c r="I4138" i="1" s="1"/>
  <c r="D4139" i="1"/>
  <c r="F4139" i="1"/>
  <c r="H4139" i="1"/>
  <c r="I4139" i="1" a="1"/>
  <c r="I4139" i="1" s="1"/>
  <c r="D4140" i="1"/>
  <c r="F4140" i="1"/>
  <c r="H4140" i="1"/>
  <c r="I4140" i="1" a="1"/>
  <c r="I4140" i="1" s="1"/>
  <c r="D4141" i="1"/>
  <c r="F4141" i="1"/>
  <c r="H4141" i="1"/>
  <c r="I4141" i="1" a="1"/>
  <c r="I4141" i="1" s="1"/>
  <c r="D4142" i="1"/>
  <c r="F4142" i="1"/>
  <c r="H4142" i="1"/>
  <c r="I4142" i="1" a="1"/>
  <c r="I4142" i="1" s="1"/>
  <c r="D4143" i="1"/>
  <c r="F4143" i="1"/>
  <c r="H4143" i="1"/>
  <c r="I4143" i="1" a="1"/>
  <c r="I4143" i="1" s="1"/>
  <c r="D4144" i="1"/>
  <c r="F4144" i="1"/>
  <c r="H4144" i="1"/>
  <c r="I4144" i="1" a="1"/>
  <c r="I4144" i="1" s="1"/>
  <c r="D4145" i="1"/>
  <c r="F4145" i="1"/>
  <c r="H4145" i="1"/>
  <c r="I4145" i="1" a="1"/>
  <c r="I4145" i="1" s="1"/>
  <c r="D4146" i="1"/>
  <c r="F4146" i="1"/>
  <c r="H4146" i="1"/>
  <c r="I4146" i="1" a="1"/>
  <c r="I4146" i="1" s="1"/>
  <c r="D4147" i="1"/>
  <c r="F4147" i="1"/>
  <c r="H4147" i="1"/>
  <c r="I4147" i="1" a="1"/>
  <c r="I4147" i="1" s="1"/>
  <c r="D4148" i="1"/>
  <c r="F4148" i="1"/>
  <c r="H4148" i="1"/>
  <c r="I4148" i="1" a="1"/>
  <c r="I4148" i="1" s="1"/>
  <c r="D4149" i="1"/>
  <c r="F4149" i="1"/>
  <c r="H4149" i="1"/>
  <c r="I4149" i="1" a="1"/>
  <c r="I4149" i="1" s="1"/>
  <c r="D4150" i="1"/>
  <c r="F4150" i="1"/>
  <c r="H4150" i="1"/>
  <c r="I4150" i="1" a="1"/>
  <c r="I4150" i="1" s="1"/>
  <c r="D4151" i="1"/>
  <c r="F4151" i="1"/>
  <c r="H4151" i="1"/>
  <c r="I4151" i="1" a="1"/>
  <c r="I4151" i="1" s="1"/>
  <c r="D4152" i="1"/>
  <c r="F4152" i="1"/>
  <c r="H4152" i="1"/>
  <c r="I4152" i="1" a="1"/>
  <c r="I4152" i="1" s="1"/>
  <c r="D4153" i="1"/>
  <c r="F4153" i="1"/>
  <c r="H4153" i="1"/>
  <c r="I4153" i="1" a="1"/>
  <c r="I4153" i="1" s="1"/>
  <c r="D4154" i="1"/>
  <c r="F4154" i="1"/>
  <c r="H4154" i="1"/>
  <c r="I4154" i="1" a="1"/>
  <c r="I4154" i="1" s="1"/>
  <c r="D4155" i="1"/>
  <c r="F4155" i="1"/>
  <c r="H4155" i="1"/>
  <c r="I4155" i="1" a="1"/>
  <c r="I4155" i="1" s="1"/>
  <c r="D4156" i="1"/>
  <c r="F4156" i="1"/>
  <c r="H4156" i="1"/>
  <c r="I4156" i="1" a="1"/>
  <c r="I4156" i="1" s="1"/>
  <c r="D4157" i="1"/>
  <c r="F4157" i="1"/>
  <c r="H4157" i="1"/>
  <c r="I4157" i="1" a="1"/>
  <c r="I4157" i="1" s="1"/>
  <c r="D4158" i="1"/>
  <c r="F4158" i="1"/>
  <c r="H4158" i="1"/>
  <c r="I4158" i="1" a="1"/>
  <c r="I4158" i="1" s="1"/>
  <c r="D4159" i="1"/>
  <c r="F4159" i="1"/>
  <c r="H4159" i="1"/>
  <c r="I4159" i="1" a="1"/>
  <c r="I4159" i="1" s="1"/>
  <c r="D4160" i="1"/>
  <c r="F4160" i="1"/>
  <c r="H4160" i="1"/>
  <c r="I4160" i="1" a="1"/>
  <c r="I4160" i="1" s="1"/>
  <c r="D4161" i="1"/>
  <c r="F4161" i="1"/>
  <c r="H4161" i="1"/>
  <c r="I4161" i="1" a="1"/>
  <c r="I4161" i="1" s="1"/>
  <c r="D4162" i="1"/>
  <c r="F4162" i="1"/>
  <c r="H4162" i="1"/>
  <c r="I4162" i="1" a="1"/>
  <c r="I4162" i="1" s="1"/>
  <c r="D4163" i="1"/>
  <c r="F4163" i="1"/>
  <c r="H4163" i="1"/>
  <c r="I4163" i="1" a="1"/>
  <c r="I4163" i="1" s="1"/>
  <c r="D4164" i="1"/>
  <c r="F4164" i="1"/>
  <c r="H4164" i="1"/>
  <c r="I4164" i="1" a="1"/>
  <c r="I4164" i="1" s="1"/>
  <c r="D4165" i="1"/>
  <c r="F4165" i="1"/>
  <c r="H4165" i="1"/>
  <c r="I4165" i="1" a="1"/>
  <c r="I4165" i="1" s="1"/>
  <c r="D4166" i="1"/>
  <c r="F4166" i="1"/>
  <c r="H4166" i="1"/>
  <c r="I4166" i="1" a="1"/>
  <c r="I4166" i="1" s="1"/>
  <c r="D4167" i="1"/>
  <c r="F4167" i="1"/>
  <c r="H4167" i="1"/>
  <c r="I4167" i="1" a="1"/>
  <c r="I4167" i="1" s="1"/>
  <c r="D4168" i="1"/>
  <c r="F4168" i="1"/>
  <c r="H4168" i="1"/>
  <c r="I4168" i="1" a="1"/>
  <c r="I4168" i="1" s="1"/>
  <c r="D4169" i="1"/>
  <c r="F4169" i="1"/>
  <c r="H4169" i="1"/>
  <c r="I4169" i="1" a="1"/>
  <c r="I4169" i="1" s="1"/>
  <c r="D4170" i="1"/>
  <c r="F4170" i="1"/>
  <c r="H4170" i="1"/>
  <c r="I4170" i="1" a="1"/>
  <c r="I4170" i="1" s="1"/>
  <c r="D4171" i="1"/>
  <c r="F4171" i="1"/>
  <c r="H4171" i="1"/>
  <c r="I4171" i="1" a="1"/>
  <c r="I4171" i="1" s="1"/>
  <c r="D4172" i="1"/>
  <c r="F4172" i="1"/>
  <c r="H4172" i="1"/>
  <c r="I4172" i="1" a="1"/>
  <c r="I4172" i="1" s="1"/>
  <c r="D4173" i="1"/>
  <c r="F4173" i="1"/>
  <c r="H4173" i="1"/>
  <c r="I4173" i="1" a="1"/>
  <c r="I4173" i="1" s="1"/>
  <c r="D4174" i="1"/>
  <c r="F4174" i="1"/>
  <c r="H4174" i="1"/>
  <c r="I4174" i="1" a="1"/>
  <c r="I4174" i="1" s="1"/>
  <c r="D4175" i="1"/>
  <c r="F4175" i="1"/>
  <c r="H4175" i="1"/>
  <c r="I4175" i="1" a="1"/>
  <c r="I4175" i="1" s="1"/>
  <c r="D4176" i="1"/>
  <c r="F4176" i="1"/>
  <c r="H4176" i="1"/>
  <c r="I4176" i="1" a="1"/>
  <c r="I4176" i="1" s="1"/>
  <c r="D4177" i="1"/>
  <c r="F4177" i="1"/>
  <c r="H4177" i="1"/>
  <c r="I4177" i="1" a="1"/>
  <c r="I4177" i="1" s="1"/>
  <c r="D4178" i="1"/>
  <c r="F4178" i="1"/>
  <c r="H4178" i="1"/>
  <c r="I4178" i="1" a="1"/>
  <c r="I4178" i="1" s="1"/>
  <c r="D4179" i="1"/>
  <c r="F4179" i="1"/>
  <c r="H4179" i="1"/>
  <c r="I4179" i="1" a="1"/>
  <c r="I4179" i="1" s="1"/>
  <c r="D4180" i="1"/>
  <c r="F4180" i="1"/>
  <c r="H4180" i="1"/>
  <c r="I4180" i="1" a="1"/>
  <c r="I4180" i="1" s="1"/>
  <c r="D4181" i="1"/>
  <c r="F4181" i="1"/>
  <c r="H4181" i="1"/>
  <c r="I4181" i="1" a="1"/>
  <c r="I4181" i="1" s="1"/>
  <c r="D4182" i="1"/>
  <c r="F4182" i="1"/>
  <c r="H4182" i="1"/>
  <c r="I4182" i="1" a="1"/>
  <c r="I4182" i="1" s="1"/>
  <c r="D4183" i="1"/>
  <c r="F4183" i="1"/>
  <c r="H4183" i="1"/>
  <c r="I4183" i="1" a="1"/>
  <c r="I4183" i="1" s="1"/>
  <c r="D4184" i="1"/>
  <c r="F4184" i="1"/>
  <c r="H4184" i="1"/>
  <c r="I4184" i="1" a="1"/>
  <c r="I4184" i="1" s="1"/>
  <c r="D4185" i="1"/>
  <c r="F4185" i="1"/>
  <c r="H4185" i="1"/>
  <c r="I4185" i="1" a="1"/>
  <c r="I4185" i="1" s="1"/>
  <c r="D4186" i="1"/>
  <c r="F4186" i="1"/>
  <c r="H4186" i="1"/>
  <c r="I4186" i="1" a="1"/>
  <c r="I4186" i="1" s="1"/>
  <c r="D4187" i="1"/>
  <c r="F4187" i="1"/>
  <c r="H4187" i="1"/>
  <c r="I4187" i="1" a="1"/>
  <c r="I4187" i="1" s="1"/>
  <c r="D4188" i="1"/>
  <c r="F4188" i="1"/>
  <c r="H4188" i="1"/>
  <c r="I4188" i="1" a="1"/>
  <c r="I4188" i="1" s="1"/>
  <c r="D4189" i="1"/>
  <c r="F4189" i="1"/>
  <c r="H4189" i="1"/>
  <c r="I4189" i="1" a="1"/>
  <c r="I4189" i="1" s="1"/>
  <c r="D4190" i="1"/>
  <c r="F4190" i="1"/>
  <c r="H4190" i="1"/>
  <c r="I4190" i="1" a="1"/>
  <c r="I4190" i="1" s="1"/>
  <c r="D4191" i="1"/>
  <c r="F4191" i="1"/>
  <c r="H4191" i="1"/>
  <c r="I4191" i="1" a="1"/>
  <c r="I4191" i="1" s="1"/>
  <c r="D4192" i="1"/>
  <c r="F4192" i="1"/>
  <c r="H4192" i="1"/>
  <c r="I4192" i="1" a="1"/>
  <c r="I4192" i="1" s="1"/>
  <c r="D4193" i="1"/>
  <c r="F4193" i="1"/>
  <c r="H4193" i="1"/>
  <c r="I4193" i="1" a="1"/>
  <c r="I4193" i="1" s="1"/>
  <c r="D4194" i="1"/>
  <c r="F4194" i="1"/>
  <c r="H4194" i="1"/>
  <c r="I4194" i="1" a="1"/>
  <c r="I4194" i="1" s="1"/>
  <c r="D4195" i="1"/>
  <c r="F4195" i="1"/>
  <c r="H4195" i="1"/>
  <c r="I4195" i="1" a="1"/>
  <c r="I4195" i="1" s="1"/>
  <c r="D4196" i="1"/>
  <c r="F4196" i="1"/>
  <c r="H4196" i="1"/>
  <c r="I4196" i="1" a="1"/>
  <c r="I4196" i="1" s="1"/>
  <c r="D4197" i="1"/>
  <c r="F4197" i="1"/>
  <c r="H4197" i="1"/>
  <c r="I4197" i="1" a="1"/>
  <c r="I4197" i="1" s="1"/>
  <c r="D4198" i="1"/>
  <c r="F4198" i="1"/>
  <c r="H4198" i="1"/>
  <c r="I4198" i="1" a="1"/>
  <c r="I4198" i="1" s="1"/>
  <c r="D4199" i="1"/>
  <c r="F4199" i="1"/>
  <c r="H4199" i="1"/>
  <c r="I4199" i="1" a="1"/>
  <c r="I4199" i="1" s="1"/>
  <c r="D4200" i="1"/>
  <c r="F4200" i="1"/>
  <c r="H4200" i="1"/>
  <c r="I4200" i="1" a="1"/>
  <c r="I4200" i="1" s="1"/>
  <c r="D4201" i="1"/>
  <c r="F4201" i="1"/>
  <c r="H4201" i="1"/>
  <c r="I4201" i="1" a="1"/>
  <c r="I4201" i="1" s="1"/>
  <c r="D4202" i="1"/>
  <c r="F4202" i="1"/>
  <c r="H4202" i="1"/>
  <c r="I4202" i="1" a="1"/>
  <c r="I4202" i="1" s="1"/>
  <c r="D4203" i="1"/>
  <c r="F4203" i="1"/>
  <c r="H4203" i="1"/>
  <c r="I4203" i="1" a="1"/>
  <c r="I4203" i="1" s="1"/>
  <c r="D4204" i="1"/>
  <c r="F4204" i="1"/>
  <c r="H4204" i="1"/>
  <c r="I4204" i="1" a="1"/>
  <c r="I4204" i="1" s="1"/>
  <c r="D4205" i="1"/>
  <c r="F4205" i="1"/>
  <c r="H4205" i="1"/>
  <c r="I4205" i="1" a="1"/>
  <c r="I4205" i="1" s="1"/>
  <c r="D4206" i="1"/>
  <c r="F4206" i="1"/>
  <c r="H4206" i="1"/>
  <c r="I4206" i="1" a="1"/>
  <c r="I4206" i="1" s="1"/>
  <c r="D4207" i="1"/>
  <c r="F4207" i="1"/>
  <c r="H4207" i="1"/>
  <c r="I4207" i="1" a="1"/>
  <c r="I4207" i="1" s="1"/>
  <c r="D4208" i="1"/>
  <c r="F4208" i="1"/>
  <c r="H4208" i="1"/>
  <c r="I4208" i="1" a="1"/>
  <c r="I4208" i="1" s="1"/>
  <c r="D4209" i="1"/>
  <c r="F4209" i="1"/>
  <c r="H4209" i="1"/>
  <c r="I4209" i="1" a="1"/>
  <c r="I4209" i="1" s="1"/>
  <c r="D4210" i="1"/>
  <c r="F4210" i="1"/>
  <c r="H4210" i="1"/>
  <c r="I4210" i="1" a="1"/>
  <c r="I4210" i="1" s="1"/>
  <c r="D4211" i="1"/>
  <c r="F4211" i="1"/>
  <c r="H4211" i="1"/>
  <c r="I4211" i="1" a="1"/>
  <c r="I4211" i="1" s="1"/>
  <c r="D4212" i="1"/>
  <c r="F4212" i="1"/>
  <c r="H4212" i="1"/>
  <c r="I4212" i="1" a="1"/>
  <c r="I4212" i="1" s="1"/>
  <c r="D4213" i="1"/>
  <c r="F4213" i="1"/>
  <c r="H4213" i="1"/>
  <c r="I4213" i="1" a="1"/>
  <c r="I4213" i="1" s="1"/>
  <c r="D4214" i="1"/>
  <c r="F4214" i="1"/>
  <c r="H4214" i="1"/>
  <c r="I4214" i="1" a="1"/>
  <c r="I4214" i="1" s="1"/>
  <c r="D4215" i="1"/>
  <c r="F4215" i="1"/>
  <c r="H4215" i="1"/>
  <c r="I4215" i="1" a="1"/>
  <c r="I4215" i="1" s="1"/>
  <c r="D4216" i="1"/>
  <c r="F4216" i="1"/>
  <c r="H4216" i="1"/>
  <c r="I4216" i="1" a="1"/>
  <c r="I4216" i="1" s="1"/>
  <c r="D4217" i="1"/>
  <c r="F4217" i="1"/>
  <c r="H4217" i="1"/>
  <c r="I4217" i="1" a="1"/>
  <c r="I4217" i="1" s="1"/>
  <c r="D4218" i="1"/>
  <c r="F4218" i="1"/>
  <c r="H4218" i="1"/>
  <c r="I4218" i="1" a="1"/>
  <c r="I4218" i="1" s="1"/>
  <c r="D4219" i="1"/>
  <c r="F4219" i="1"/>
  <c r="H4219" i="1"/>
  <c r="I4219" i="1" a="1"/>
  <c r="I4219" i="1" s="1"/>
  <c r="D4220" i="1"/>
  <c r="F4220" i="1"/>
  <c r="H4220" i="1"/>
  <c r="I4220" i="1" a="1"/>
  <c r="I4220" i="1" s="1"/>
  <c r="D4221" i="1"/>
  <c r="F4221" i="1"/>
  <c r="H4221" i="1"/>
  <c r="I4221" i="1" a="1"/>
  <c r="I4221" i="1" s="1"/>
  <c r="D4222" i="1"/>
  <c r="F4222" i="1"/>
  <c r="H4222" i="1"/>
  <c r="I4222" i="1" a="1"/>
  <c r="I4222" i="1" s="1"/>
  <c r="D4223" i="1"/>
  <c r="F4223" i="1"/>
  <c r="H4223" i="1"/>
  <c r="I4223" i="1" a="1"/>
  <c r="I4223" i="1" s="1"/>
  <c r="D4224" i="1"/>
  <c r="F4224" i="1"/>
  <c r="H4224" i="1"/>
  <c r="I4224" i="1" a="1"/>
  <c r="I4224" i="1" s="1"/>
  <c r="D4225" i="1"/>
  <c r="F4225" i="1"/>
  <c r="H4225" i="1"/>
  <c r="I4225" i="1" a="1"/>
  <c r="I4225" i="1" s="1"/>
  <c r="D4226" i="1"/>
  <c r="F4226" i="1"/>
  <c r="H4226" i="1"/>
  <c r="I4226" i="1" a="1"/>
  <c r="I4226" i="1" s="1"/>
  <c r="D4227" i="1"/>
  <c r="F4227" i="1"/>
  <c r="H4227" i="1"/>
  <c r="I4227" i="1" a="1"/>
  <c r="I4227" i="1" s="1"/>
  <c r="D4228" i="1"/>
  <c r="F4228" i="1"/>
  <c r="H4228" i="1"/>
  <c r="I4228" i="1" a="1"/>
  <c r="I4228" i="1" s="1"/>
  <c r="D4229" i="1"/>
  <c r="F4229" i="1"/>
  <c r="H4229" i="1"/>
  <c r="I4229" i="1" a="1"/>
  <c r="I4229" i="1" s="1"/>
  <c r="D4230" i="1"/>
  <c r="F4230" i="1"/>
  <c r="H4230" i="1"/>
  <c r="I4230" i="1" a="1"/>
  <c r="I4230" i="1" s="1"/>
  <c r="D4231" i="1"/>
  <c r="F4231" i="1"/>
  <c r="H4231" i="1"/>
  <c r="I4231" i="1" a="1"/>
  <c r="I4231" i="1" s="1"/>
  <c r="D4232" i="1"/>
  <c r="F4232" i="1"/>
  <c r="H4232" i="1"/>
  <c r="I4232" i="1" a="1"/>
  <c r="I4232" i="1" s="1"/>
  <c r="D4233" i="1"/>
  <c r="F4233" i="1"/>
  <c r="H4233" i="1"/>
  <c r="I4233" i="1" a="1"/>
  <c r="I4233" i="1" s="1"/>
  <c r="D4234" i="1"/>
  <c r="F4234" i="1"/>
  <c r="H4234" i="1"/>
  <c r="I4234" i="1" a="1"/>
  <c r="I4234" i="1" s="1"/>
  <c r="D4235" i="1"/>
  <c r="F4235" i="1"/>
  <c r="H4235" i="1"/>
  <c r="I4235" i="1" a="1"/>
  <c r="I4235" i="1" s="1"/>
  <c r="D4236" i="1"/>
  <c r="F4236" i="1"/>
  <c r="H4236" i="1"/>
  <c r="I4236" i="1" a="1"/>
  <c r="I4236" i="1" s="1"/>
  <c r="D4237" i="1"/>
  <c r="F4237" i="1"/>
  <c r="H4237" i="1"/>
  <c r="I4237" i="1" a="1"/>
  <c r="I4237" i="1" s="1"/>
  <c r="D4238" i="1"/>
  <c r="F4238" i="1"/>
  <c r="H4238" i="1"/>
  <c r="I4238" i="1" a="1"/>
  <c r="I4238" i="1" s="1"/>
  <c r="D4239" i="1"/>
  <c r="F4239" i="1"/>
  <c r="H4239" i="1"/>
  <c r="I4239" i="1" a="1"/>
  <c r="I4239" i="1" s="1"/>
  <c r="D4240" i="1"/>
  <c r="F4240" i="1"/>
  <c r="H4240" i="1"/>
  <c r="I4240" i="1" a="1"/>
  <c r="I4240" i="1" s="1"/>
  <c r="D4241" i="1"/>
  <c r="F4241" i="1"/>
  <c r="H4241" i="1"/>
  <c r="I4241" i="1" a="1"/>
  <c r="I4241" i="1" s="1"/>
  <c r="D4242" i="1"/>
  <c r="F4242" i="1"/>
  <c r="H4242" i="1"/>
  <c r="I4242" i="1" a="1"/>
  <c r="I4242" i="1" s="1"/>
  <c r="D4243" i="1"/>
  <c r="F4243" i="1"/>
  <c r="H4243" i="1"/>
  <c r="I4243" i="1" a="1"/>
  <c r="I4243" i="1" s="1"/>
  <c r="D4244" i="1"/>
  <c r="F4244" i="1"/>
  <c r="H4244" i="1"/>
  <c r="I4244" i="1" a="1"/>
  <c r="I4244" i="1" s="1"/>
  <c r="D4245" i="1"/>
  <c r="F4245" i="1"/>
  <c r="H4245" i="1"/>
  <c r="I4245" i="1" a="1"/>
  <c r="I4245" i="1" s="1"/>
  <c r="D4246" i="1"/>
  <c r="F4246" i="1"/>
  <c r="H4246" i="1"/>
  <c r="I4246" i="1" a="1"/>
  <c r="I4246" i="1" s="1"/>
  <c r="D4247" i="1"/>
  <c r="F4247" i="1"/>
  <c r="H4247" i="1"/>
  <c r="I4247" i="1" a="1"/>
  <c r="I4247" i="1" s="1"/>
  <c r="D4248" i="1"/>
  <c r="F4248" i="1"/>
  <c r="H4248" i="1"/>
  <c r="I4248" i="1" a="1"/>
  <c r="I4248" i="1" s="1"/>
  <c r="D4249" i="1"/>
  <c r="F4249" i="1"/>
  <c r="H4249" i="1"/>
  <c r="I4249" i="1" a="1"/>
  <c r="I4249" i="1" s="1"/>
  <c r="D4250" i="1"/>
  <c r="F4250" i="1"/>
  <c r="H4250" i="1"/>
  <c r="I4250" i="1" a="1"/>
  <c r="I4250" i="1" s="1"/>
  <c r="D4251" i="1"/>
  <c r="F4251" i="1"/>
  <c r="H4251" i="1"/>
  <c r="I4251" i="1" a="1"/>
  <c r="I4251" i="1" s="1"/>
  <c r="D4252" i="1"/>
  <c r="F4252" i="1"/>
  <c r="H4252" i="1"/>
  <c r="I4252" i="1" a="1"/>
  <c r="I4252" i="1" s="1"/>
  <c r="D4253" i="1"/>
  <c r="F4253" i="1"/>
  <c r="H4253" i="1"/>
  <c r="I4253" i="1" a="1"/>
  <c r="I4253" i="1" s="1"/>
  <c r="D4254" i="1"/>
  <c r="F4254" i="1"/>
  <c r="H4254" i="1"/>
  <c r="I4254" i="1" a="1"/>
  <c r="I4254" i="1" s="1"/>
  <c r="D4255" i="1"/>
  <c r="F4255" i="1"/>
  <c r="H4255" i="1"/>
  <c r="I4255" i="1" a="1"/>
  <c r="I4255" i="1" s="1"/>
  <c r="D4256" i="1"/>
  <c r="F4256" i="1"/>
  <c r="H4256" i="1"/>
  <c r="I4256" i="1" a="1"/>
  <c r="I4256" i="1" s="1"/>
  <c r="D4257" i="1"/>
  <c r="F4257" i="1"/>
  <c r="H4257" i="1"/>
  <c r="I4257" i="1" a="1"/>
  <c r="I4257" i="1" s="1"/>
  <c r="D4258" i="1"/>
  <c r="F4258" i="1"/>
  <c r="H4258" i="1"/>
  <c r="I4258" i="1" a="1"/>
  <c r="I4258" i="1" s="1"/>
  <c r="D4259" i="1"/>
  <c r="F4259" i="1"/>
  <c r="H4259" i="1"/>
  <c r="I4259" i="1" a="1"/>
  <c r="I4259" i="1" s="1"/>
  <c r="D4260" i="1"/>
  <c r="F4260" i="1"/>
  <c r="H4260" i="1"/>
  <c r="I4260" i="1" a="1"/>
  <c r="I4260" i="1" s="1"/>
  <c r="D4261" i="1"/>
  <c r="F4261" i="1"/>
  <c r="H4261" i="1"/>
  <c r="I4261" i="1" a="1"/>
  <c r="I4261" i="1" s="1"/>
  <c r="D4262" i="1"/>
  <c r="F4262" i="1"/>
  <c r="H4262" i="1"/>
  <c r="I4262" i="1" a="1"/>
  <c r="I4262" i="1" s="1"/>
  <c r="D4263" i="1"/>
  <c r="F4263" i="1"/>
  <c r="H4263" i="1"/>
  <c r="I4263" i="1" a="1"/>
  <c r="I4263" i="1" s="1"/>
  <c r="D4264" i="1"/>
  <c r="F4264" i="1"/>
  <c r="H4264" i="1"/>
  <c r="I4264" i="1" a="1"/>
  <c r="I4264" i="1" s="1"/>
  <c r="D4265" i="1"/>
  <c r="F4265" i="1"/>
  <c r="H4265" i="1"/>
  <c r="I4265" i="1" a="1"/>
  <c r="I4265" i="1" s="1"/>
  <c r="D4266" i="1"/>
  <c r="F4266" i="1"/>
  <c r="H4266" i="1"/>
  <c r="I4266" i="1" a="1"/>
  <c r="I4266" i="1" s="1"/>
  <c r="D4267" i="1"/>
  <c r="F4267" i="1"/>
  <c r="H4267" i="1"/>
  <c r="I4267" i="1" a="1"/>
  <c r="I4267" i="1" s="1"/>
  <c r="D4268" i="1"/>
  <c r="F4268" i="1"/>
  <c r="H4268" i="1"/>
  <c r="I4268" i="1" a="1"/>
  <c r="I4268" i="1" s="1"/>
  <c r="D4269" i="1"/>
  <c r="F4269" i="1"/>
  <c r="H4269" i="1"/>
  <c r="I4269" i="1" a="1"/>
  <c r="I4269" i="1" s="1"/>
  <c r="D4270" i="1"/>
  <c r="F4270" i="1"/>
  <c r="H4270" i="1"/>
  <c r="I4270" i="1" a="1"/>
  <c r="I4270" i="1" s="1"/>
  <c r="D4271" i="1"/>
  <c r="F4271" i="1"/>
  <c r="H4271" i="1"/>
  <c r="I4271" i="1" a="1"/>
  <c r="I4271" i="1" s="1"/>
  <c r="D4272" i="1"/>
  <c r="F4272" i="1"/>
  <c r="H4272" i="1"/>
  <c r="I4272" i="1" a="1"/>
  <c r="I4272" i="1" s="1"/>
  <c r="D4273" i="1"/>
  <c r="F4273" i="1"/>
  <c r="H4273" i="1"/>
  <c r="I4273" i="1" a="1"/>
  <c r="I4273" i="1" s="1"/>
  <c r="D4274" i="1"/>
  <c r="F4274" i="1"/>
  <c r="H4274" i="1"/>
  <c r="I4274" i="1" a="1"/>
  <c r="I4274" i="1" s="1"/>
  <c r="D4275" i="1"/>
  <c r="F4275" i="1"/>
  <c r="H4275" i="1"/>
  <c r="I4275" i="1" a="1"/>
  <c r="I4275" i="1" s="1"/>
  <c r="D4276" i="1"/>
  <c r="F4276" i="1"/>
  <c r="H4276" i="1"/>
  <c r="I4276" i="1" a="1"/>
  <c r="I4276" i="1" s="1"/>
  <c r="D4277" i="1"/>
  <c r="F4277" i="1"/>
  <c r="H4277" i="1"/>
  <c r="I4277" i="1" a="1"/>
  <c r="I4277" i="1" s="1"/>
  <c r="D4278" i="1"/>
  <c r="F4278" i="1"/>
  <c r="H4278" i="1"/>
  <c r="I4278" i="1" a="1"/>
  <c r="I4278" i="1" s="1"/>
  <c r="D4279" i="1"/>
  <c r="F4279" i="1"/>
  <c r="H4279" i="1"/>
  <c r="I4279" i="1" a="1"/>
  <c r="I4279" i="1" s="1"/>
  <c r="D4280" i="1"/>
  <c r="F4280" i="1"/>
  <c r="H4280" i="1"/>
  <c r="I4280" i="1" a="1"/>
  <c r="I4280" i="1" s="1"/>
  <c r="D4281" i="1"/>
  <c r="F4281" i="1"/>
  <c r="H4281" i="1"/>
  <c r="I4281" i="1" a="1"/>
  <c r="I4281" i="1" s="1"/>
  <c r="D4282" i="1"/>
  <c r="F4282" i="1"/>
  <c r="H4282" i="1"/>
  <c r="I4282" i="1" a="1"/>
  <c r="I4282" i="1" s="1"/>
  <c r="D4283" i="1"/>
  <c r="F4283" i="1"/>
  <c r="H4283" i="1"/>
  <c r="I4283" i="1" a="1"/>
  <c r="I4283" i="1" s="1"/>
  <c r="D4284" i="1"/>
  <c r="F4284" i="1"/>
  <c r="H4284" i="1"/>
  <c r="I4284" i="1" a="1"/>
  <c r="I4284" i="1" s="1"/>
  <c r="D4285" i="1"/>
  <c r="F4285" i="1"/>
  <c r="H4285" i="1"/>
  <c r="I4285" i="1" a="1"/>
  <c r="I4285" i="1" s="1"/>
  <c r="D4286" i="1"/>
  <c r="F4286" i="1"/>
  <c r="H4286" i="1"/>
  <c r="I4286" i="1" a="1"/>
  <c r="I4286" i="1" s="1"/>
  <c r="D4287" i="1"/>
  <c r="F4287" i="1"/>
  <c r="H4287" i="1"/>
  <c r="I4287" i="1" a="1"/>
  <c r="I4287" i="1" s="1"/>
  <c r="D4288" i="1"/>
  <c r="F4288" i="1"/>
  <c r="H4288" i="1"/>
  <c r="I4288" i="1" a="1"/>
  <c r="I4288" i="1" s="1"/>
  <c r="D4289" i="1"/>
  <c r="F4289" i="1"/>
  <c r="H4289" i="1"/>
  <c r="I4289" i="1" a="1"/>
  <c r="I4289" i="1" s="1"/>
  <c r="D4290" i="1"/>
  <c r="F4290" i="1"/>
  <c r="H4290" i="1"/>
  <c r="I4290" i="1" a="1"/>
  <c r="I4290" i="1" s="1"/>
  <c r="D4291" i="1"/>
  <c r="F4291" i="1"/>
  <c r="H4291" i="1"/>
  <c r="I4291" i="1" a="1"/>
  <c r="I4291" i="1" s="1"/>
  <c r="D4292" i="1"/>
  <c r="F4292" i="1"/>
  <c r="H4292" i="1"/>
  <c r="I4292" i="1" a="1"/>
  <c r="I4292" i="1" s="1"/>
  <c r="D4293" i="1"/>
  <c r="F4293" i="1"/>
  <c r="H4293" i="1"/>
  <c r="I4293" i="1" a="1"/>
  <c r="I4293" i="1" s="1"/>
  <c r="D4294" i="1"/>
  <c r="F4294" i="1"/>
  <c r="H4294" i="1"/>
  <c r="I4294" i="1" a="1"/>
  <c r="I4294" i="1" s="1"/>
  <c r="D4295" i="1"/>
  <c r="F4295" i="1"/>
  <c r="H4295" i="1"/>
  <c r="I4295" i="1" a="1"/>
  <c r="I4295" i="1" s="1"/>
  <c r="D4296" i="1"/>
  <c r="F4296" i="1"/>
  <c r="H4296" i="1"/>
  <c r="I4296" i="1" a="1"/>
  <c r="I4296" i="1" s="1"/>
  <c r="D4297" i="1"/>
  <c r="F4297" i="1"/>
  <c r="H4297" i="1"/>
  <c r="I4297" i="1" a="1"/>
  <c r="I4297" i="1" s="1"/>
  <c r="D4298" i="1"/>
  <c r="F4298" i="1"/>
  <c r="H4298" i="1"/>
  <c r="I4298" i="1" a="1"/>
  <c r="I4298" i="1" s="1"/>
  <c r="D4299" i="1"/>
  <c r="F4299" i="1"/>
  <c r="H4299" i="1"/>
  <c r="I4299" i="1" a="1"/>
  <c r="I4299" i="1" s="1"/>
  <c r="D4300" i="1"/>
  <c r="F4300" i="1"/>
  <c r="H4300" i="1"/>
  <c r="I4300" i="1" a="1"/>
  <c r="I4300" i="1" s="1"/>
  <c r="D4301" i="1"/>
  <c r="F4301" i="1"/>
  <c r="H4301" i="1"/>
  <c r="I4301" i="1" a="1"/>
  <c r="I4301" i="1" s="1"/>
  <c r="D4302" i="1"/>
  <c r="F4302" i="1"/>
  <c r="H4302" i="1"/>
  <c r="I4302" i="1" a="1"/>
  <c r="I4302" i="1" s="1"/>
  <c r="D4303" i="1"/>
  <c r="F4303" i="1"/>
  <c r="H4303" i="1"/>
  <c r="I4303" i="1" a="1"/>
  <c r="I4303" i="1" s="1"/>
  <c r="D4304" i="1"/>
  <c r="F4304" i="1"/>
  <c r="H4304" i="1"/>
  <c r="I4304" i="1" a="1"/>
  <c r="I4304" i="1" s="1"/>
  <c r="D4305" i="1"/>
  <c r="F4305" i="1"/>
  <c r="H4305" i="1"/>
  <c r="I4305" i="1" a="1"/>
  <c r="I4305" i="1" s="1"/>
  <c r="D4306" i="1"/>
  <c r="F4306" i="1"/>
  <c r="H4306" i="1"/>
  <c r="I4306" i="1" a="1"/>
  <c r="I4306" i="1" s="1"/>
  <c r="D4307" i="1"/>
  <c r="F4307" i="1"/>
  <c r="H4307" i="1"/>
  <c r="I4307" i="1" a="1"/>
  <c r="I4307" i="1" s="1"/>
  <c r="D4308" i="1"/>
  <c r="F4308" i="1"/>
  <c r="H4308" i="1"/>
  <c r="I4308" i="1" a="1"/>
  <c r="I4308" i="1" s="1"/>
  <c r="D4309" i="1"/>
  <c r="F4309" i="1"/>
  <c r="H4309" i="1"/>
  <c r="I4309" i="1" a="1"/>
  <c r="I4309" i="1" s="1"/>
  <c r="D4310" i="1"/>
  <c r="F4310" i="1"/>
  <c r="H4310" i="1"/>
  <c r="I4310" i="1" a="1"/>
  <c r="I4310" i="1" s="1"/>
  <c r="D4311" i="1"/>
  <c r="F4311" i="1"/>
  <c r="H4311" i="1"/>
  <c r="I4311" i="1" a="1"/>
  <c r="I4311" i="1" s="1"/>
  <c r="D4312" i="1"/>
  <c r="F4312" i="1"/>
  <c r="H4312" i="1"/>
  <c r="I4312" i="1" a="1"/>
  <c r="I4312" i="1" s="1"/>
  <c r="D4313" i="1"/>
  <c r="F4313" i="1"/>
  <c r="H4313" i="1"/>
  <c r="I4313" i="1" a="1"/>
  <c r="I4313" i="1" s="1"/>
  <c r="D4314" i="1"/>
  <c r="F4314" i="1"/>
  <c r="H4314" i="1"/>
  <c r="I4314" i="1" a="1"/>
  <c r="I4314" i="1" s="1"/>
  <c r="D4315" i="1"/>
  <c r="F4315" i="1"/>
  <c r="H4315" i="1"/>
  <c r="I4315" i="1" a="1"/>
  <c r="I4315" i="1" s="1"/>
  <c r="D4316" i="1"/>
  <c r="F4316" i="1"/>
  <c r="H4316" i="1"/>
  <c r="I4316" i="1" a="1"/>
  <c r="I4316" i="1" s="1"/>
  <c r="D4317" i="1"/>
  <c r="F4317" i="1"/>
  <c r="H4317" i="1"/>
  <c r="I4317" i="1" a="1"/>
  <c r="I4317" i="1" s="1"/>
  <c r="D4318" i="1"/>
  <c r="F4318" i="1"/>
  <c r="H4318" i="1"/>
  <c r="I4318" i="1" a="1"/>
  <c r="I4318" i="1" s="1"/>
  <c r="D4319" i="1"/>
  <c r="F4319" i="1"/>
  <c r="H4319" i="1"/>
  <c r="I4319" i="1" a="1"/>
  <c r="I4319" i="1" s="1"/>
  <c r="D4320" i="1"/>
  <c r="F4320" i="1"/>
  <c r="H4320" i="1"/>
  <c r="I4320" i="1" a="1"/>
  <c r="I4320" i="1" s="1"/>
  <c r="D4321" i="1"/>
  <c r="F4321" i="1"/>
  <c r="H4321" i="1"/>
  <c r="I4321" i="1" a="1"/>
  <c r="I4321" i="1" s="1"/>
  <c r="D4322" i="1"/>
  <c r="F4322" i="1"/>
  <c r="H4322" i="1"/>
  <c r="I4322" i="1" a="1"/>
  <c r="I4322" i="1" s="1"/>
  <c r="D4323" i="1"/>
  <c r="F4323" i="1"/>
  <c r="H4323" i="1"/>
  <c r="I4323" i="1" a="1"/>
  <c r="I4323" i="1" s="1"/>
  <c r="D4324" i="1"/>
  <c r="F4324" i="1"/>
  <c r="H4324" i="1"/>
  <c r="I4324" i="1" a="1"/>
  <c r="I4324" i="1" s="1"/>
  <c r="D4325" i="1"/>
  <c r="F4325" i="1"/>
  <c r="H4325" i="1"/>
  <c r="I4325" i="1" a="1"/>
  <c r="I4325" i="1" s="1"/>
  <c r="D4326" i="1"/>
  <c r="F4326" i="1"/>
  <c r="H4326" i="1"/>
  <c r="I4326" i="1" a="1"/>
  <c r="I4326" i="1" s="1"/>
  <c r="D4327" i="1"/>
  <c r="F4327" i="1"/>
  <c r="H4327" i="1"/>
  <c r="I4327" i="1" a="1"/>
  <c r="I4327" i="1" s="1"/>
  <c r="D4328" i="1"/>
  <c r="F4328" i="1"/>
  <c r="H4328" i="1"/>
  <c r="I4328" i="1" a="1"/>
  <c r="I4328" i="1" s="1"/>
  <c r="D4329" i="1"/>
  <c r="F4329" i="1"/>
  <c r="H4329" i="1"/>
  <c r="I4329" i="1" a="1"/>
  <c r="I4329" i="1" s="1"/>
  <c r="D4330" i="1"/>
  <c r="F4330" i="1"/>
  <c r="H4330" i="1"/>
  <c r="I4330" i="1" a="1"/>
  <c r="I4330" i="1" s="1"/>
  <c r="D4331" i="1"/>
  <c r="F4331" i="1"/>
  <c r="H4331" i="1"/>
  <c r="I4331" i="1" a="1"/>
  <c r="I4331" i="1" s="1"/>
  <c r="D4332" i="1"/>
  <c r="F4332" i="1"/>
  <c r="H4332" i="1"/>
  <c r="I4332" i="1" a="1"/>
  <c r="I4332" i="1" s="1"/>
  <c r="D4333" i="1"/>
  <c r="F4333" i="1"/>
  <c r="H4333" i="1"/>
  <c r="I4333" i="1" a="1"/>
  <c r="I4333" i="1" s="1"/>
  <c r="D4334" i="1"/>
  <c r="F4334" i="1"/>
  <c r="H4334" i="1"/>
  <c r="I4334" i="1" a="1"/>
  <c r="I4334" i="1" s="1"/>
  <c r="D4335" i="1"/>
  <c r="F4335" i="1"/>
  <c r="H4335" i="1"/>
  <c r="I4335" i="1" a="1"/>
  <c r="I4335" i="1" s="1"/>
  <c r="D4336" i="1"/>
  <c r="F4336" i="1"/>
  <c r="H4336" i="1"/>
  <c r="I4336" i="1" a="1"/>
  <c r="I4336" i="1" s="1"/>
  <c r="D4337" i="1"/>
  <c r="F4337" i="1"/>
  <c r="H4337" i="1"/>
  <c r="I4337" i="1" a="1"/>
  <c r="I4337" i="1" s="1"/>
  <c r="D4338" i="1"/>
  <c r="F4338" i="1"/>
  <c r="H4338" i="1"/>
  <c r="I4338" i="1" a="1"/>
  <c r="I4338" i="1" s="1"/>
  <c r="D4339" i="1"/>
  <c r="F4339" i="1"/>
  <c r="H4339" i="1"/>
  <c r="I4339" i="1" a="1"/>
  <c r="I4339" i="1" s="1"/>
  <c r="D4340" i="1"/>
  <c r="F4340" i="1"/>
  <c r="H4340" i="1"/>
  <c r="I4340" i="1" a="1"/>
  <c r="I4340" i="1" s="1"/>
  <c r="D4341" i="1"/>
  <c r="F4341" i="1"/>
  <c r="H4341" i="1"/>
  <c r="I4341" i="1" a="1"/>
  <c r="I4341" i="1" s="1"/>
  <c r="D4342" i="1"/>
  <c r="F4342" i="1"/>
  <c r="H4342" i="1"/>
  <c r="I4342" i="1" a="1"/>
  <c r="I4342" i="1" s="1"/>
  <c r="D4343" i="1"/>
  <c r="F4343" i="1"/>
  <c r="H4343" i="1"/>
  <c r="I4343" i="1" a="1"/>
  <c r="I4343" i="1" s="1"/>
  <c r="D4344" i="1"/>
  <c r="F4344" i="1"/>
  <c r="H4344" i="1"/>
  <c r="I4344" i="1" a="1"/>
  <c r="I4344" i="1" s="1"/>
  <c r="D4345" i="1"/>
  <c r="F4345" i="1"/>
  <c r="H4345" i="1"/>
  <c r="I4345" i="1" a="1"/>
  <c r="I4345" i="1" s="1"/>
  <c r="D4346" i="1"/>
  <c r="F4346" i="1"/>
  <c r="H4346" i="1"/>
  <c r="I4346" i="1" a="1"/>
  <c r="I4346" i="1" s="1"/>
  <c r="D4347" i="1"/>
  <c r="F4347" i="1"/>
  <c r="H4347" i="1"/>
  <c r="I4347" i="1" a="1"/>
  <c r="I4347" i="1" s="1"/>
  <c r="D4348" i="1"/>
  <c r="F4348" i="1"/>
  <c r="H4348" i="1"/>
  <c r="I4348" i="1" a="1"/>
  <c r="I4348" i="1" s="1"/>
  <c r="D4349" i="1"/>
  <c r="F4349" i="1"/>
  <c r="H4349" i="1"/>
  <c r="I4349" i="1" a="1"/>
  <c r="I4349" i="1" s="1"/>
  <c r="D4350" i="1"/>
  <c r="F4350" i="1"/>
  <c r="H4350" i="1"/>
  <c r="I4350" i="1" a="1"/>
  <c r="I4350" i="1" s="1"/>
  <c r="D4351" i="1"/>
  <c r="F4351" i="1"/>
  <c r="H4351" i="1"/>
  <c r="I4351" i="1" a="1"/>
  <c r="I4351" i="1" s="1"/>
  <c r="D4352" i="1"/>
  <c r="F4352" i="1"/>
  <c r="H4352" i="1"/>
  <c r="I4352" i="1" a="1"/>
  <c r="I4352" i="1" s="1"/>
  <c r="D4353" i="1"/>
  <c r="F4353" i="1"/>
  <c r="H4353" i="1"/>
  <c r="I4353" i="1" a="1"/>
  <c r="I4353" i="1" s="1"/>
  <c r="D4354" i="1"/>
  <c r="F4354" i="1"/>
  <c r="H4354" i="1"/>
  <c r="I4354" i="1" a="1"/>
  <c r="I4354" i="1" s="1"/>
  <c r="D4355" i="1"/>
  <c r="F4355" i="1"/>
  <c r="H4355" i="1"/>
  <c r="I4355" i="1" a="1"/>
  <c r="I4355" i="1" s="1"/>
  <c r="D4356" i="1"/>
  <c r="F4356" i="1"/>
  <c r="H4356" i="1"/>
  <c r="I4356" i="1" a="1"/>
  <c r="I4356" i="1" s="1"/>
  <c r="D4357" i="1"/>
  <c r="F4357" i="1"/>
  <c r="H4357" i="1"/>
  <c r="I4357" i="1" a="1"/>
  <c r="I4357" i="1" s="1"/>
  <c r="D4358" i="1"/>
  <c r="F4358" i="1"/>
  <c r="H4358" i="1"/>
  <c r="I4358" i="1" a="1"/>
  <c r="I4358" i="1" s="1"/>
  <c r="D4359" i="1"/>
  <c r="F4359" i="1"/>
  <c r="H4359" i="1"/>
  <c r="I4359" i="1" a="1"/>
  <c r="I4359" i="1" s="1"/>
  <c r="D4360" i="1"/>
  <c r="F4360" i="1"/>
  <c r="H4360" i="1"/>
  <c r="I4360" i="1" a="1"/>
  <c r="I4360" i="1" s="1"/>
  <c r="D4361" i="1"/>
  <c r="F4361" i="1"/>
  <c r="H4361" i="1"/>
  <c r="I4361" i="1" a="1"/>
  <c r="I4361" i="1" s="1"/>
  <c r="D4362" i="1"/>
  <c r="F4362" i="1"/>
  <c r="H4362" i="1"/>
  <c r="I4362" i="1" a="1"/>
  <c r="I4362" i="1" s="1"/>
  <c r="D4363" i="1"/>
  <c r="F4363" i="1"/>
  <c r="H4363" i="1"/>
  <c r="I4363" i="1" a="1"/>
  <c r="I4363" i="1" s="1"/>
  <c r="D4364" i="1"/>
  <c r="F4364" i="1"/>
  <c r="H4364" i="1"/>
  <c r="I4364" i="1" a="1"/>
  <c r="I4364" i="1" s="1"/>
  <c r="D4365" i="1"/>
  <c r="F4365" i="1"/>
  <c r="H4365" i="1"/>
  <c r="I4365" i="1" a="1"/>
  <c r="I4365" i="1" s="1"/>
  <c r="D4366" i="1"/>
  <c r="F4366" i="1"/>
  <c r="H4366" i="1"/>
  <c r="I4366" i="1" a="1"/>
  <c r="I4366" i="1" s="1"/>
  <c r="D4367" i="1"/>
  <c r="F4367" i="1"/>
  <c r="H4367" i="1"/>
  <c r="I4367" i="1" a="1"/>
  <c r="I4367" i="1" s="1"/>
  <c r="D4368" i="1"/>
  <c r="F4368" i="1"/>
  <c r="H4368" i="1"/>
  <c r="I4368" i="1" a="1"/>
  <c r="I4368" i="1" s="1"/>
  <c r="D4369" i="1"/>
  <c r="F4369" i="1"/>
  <c r="H4369" i="1"/>
  <c r="I4369" i="1" a="1"/>
  <c r="I4369" i="1" s="1"/>
  <c r="D4370" i="1"/>
  <c r="F4370" i="1"/>
  <c r="H4370" i="1"/>
  <c r="I4370" i="1" a="1"/>
  <c r="I4370" i="1" s="1"/>
  <c r="D4371" i="1"/>
  <c r="F4371" i="1"/>
  <c r="H4371" i="1"/>
  <c r="I4371" i="1" a="1"/>
  <c r="I4371" i="1" s="1"/>
  <c r="D4372" i="1"/>
  <c r="F4372" i="1"/>
  <c r="H4372" i="1"/>
  <c r="I4372" i="1" a="1"/>
  <c r="I4372" i="1" s="1"/>
  <c r="D4373" i="1"/>
  <c r="F4373" i="1"/>
  <c r="H4373" i="1"/>
  <c r="I4373" i="1" a="1"/>
  <c r="I4373" i="1" s="1"/>
  <c r="D4374" i="1"/>
  <c r="F4374" i="1"/>
  <c r="H4374" i="1"/>
  <c r="I4374" i="1" a="1"/>
  <c r="I4374" i="1" s="1"/>
  <c r="D4375" i="1"/>
  <c r="F4375" i="1"/>
  <c r="H4375" i="1"/>
  <c r="I4375" i="1" a="1"/>
  <c r="I4375" i="1" s="1"/>
  <c r="D4376" i="1"/>
  <c r="F4376" i="1"/>
  <c r="H4376" i="1"/>
  <c r="I4376" i="1" a="1"/>
  <c r="I4376" i="1" s="1"/>
  <c r="D4377" i="1"/>
  <c r="F4377" i="1"/>
  <c r="H4377" i="1"/>
  <c r="I4377" i="1" a="1"/>
  <c r="I4377" i="1" s="1"/>
  <c r="D4378" i="1"/>
  <c r="F4378" i="1"/>
  <c r="H4378" i="1"/>
  <c r="I4378" i="1" a="1"/>
  <c r="I4378" i="1" s="1"/>
  <c r="D4379" i="1"/>
  <c r="F4379" i="1"/>
  <c r="H4379" i="1"/>
  <c r="I4379" i="1" a="1"/>
  <c r="I4379" i="1" s="1"/>
  <c r="D4380" i="1"/>
  <c r="F4380" i="1"/>
  <c r="H4380" i="1"/>
  <c r="I4380" i="1" a="1"/>
  <c r="I4380" i="1" s="1"/>
  <c r="D4381" i="1"/>
  <c r="F4381" i="1"/>
  <c r="H4381" i="1"/>
  <c r="I4381" i="1" a="1"/>
  <c r="I4381" i="1" s="1"/>
  <c r="D4382" i="1"/>
  <c r="F4382" i="1"/>
  <c r="H4382" i="1"/>
  <c r="I4382" i="1" a="1"/>
  <c r="I4382" i="1" s="1"/>
  <c r="D4383" i="1"/>
  <c r="F4383" i="1"/>
  <c r="H4383" i="1"/>
  <c r="I4383" i="1" a="1"/>
  <c r="I4383" i="1" s="1"/>
  <c r="D4384" i="1"/>
  <c r="F4384" i="1"/>
  <c r="H4384" i="1"/>
  <c r="I4384" i="1" a="1"/>
  <c r="I4384" i="1" s="1"/>
  <c r="D4385" i="1"/>
  <c r="F4385" i="1"/>
  <c r="H4385" i="1"/>
  <c r="I4385" i="1" a="1"/>
  <c r="I4385" i="1" s="1"/>
  <c r="D4386" i="1"/>
  <c r="F4386" i="1"/>
  <c r="H4386" i="1"/>
  <c r="I4386" i="1" a="1"/>
  <c r="I4386" i="1" s="1"/>
  <c r="D4387" i="1"/>
  <c r="F4387" i="1"/>
  <c r="H4387" i="1"/>
  <c r="I4387" i="1" a="1"/>
  <c r="I4387" i="1" s="1"/>
  <c r="D4388" i="1"/>
  <c r="F4388" i="1"/>
  <c r="H4388" i="1"/>
  <c r="I4388" i="1" a="1"/>
  <c r="I4388" i="1" s="1"/>
  <c r="D4389" i="1"/>
  <c r="F4389" i="1"/>
  <c r="H4389" i="1"/>
  <c r="I4389" i="1" a="1"/>
  <c r="I4389" i="1" s="1"/>
  <c r="D4390" i="1"/>
  <c r="F4390" i="1"/>
  <c r="H4390" i="1"/>
  <c r="I4390" i="1" a="1"/>
  <c r="I4390" i="1" s="1"/>
  <c r="D4391" i="1"/>
  <c r="F4391" i="1"/>
  <c r="H4391" i="1"/>
  <c r="I4391" i="1" a="1"/>
  <c r="I4391" i="1" s="1"/>
  <c r="D4392" i="1"/>
  <c r="F4392" i="1"/>
  <c r="H4392" i="1"/>
  <c r="I4392" i="1" a="1"/>
  <c r="I4392" i="1" s="1"/>
  <c r="D4393" i="1"/>
  <c r="F4393" i="1"/>
  <c r="H4393" i="1"/>
  <c r="I4393" i="1" a="1"/>
  <c r="I4393" i="1" s="1"/>
  <c r="D4394" i="1"/>
  <c r="F4394" i="1"/>
  <c r="H4394" i="1"/>
  <c r="I4394" i="1" a="1"/>
  <c r="I4394" i="1" s="1"/>
  <c r="D4395" i="1"/>
  <c r="F4395" i="1"/>
  <c r="H4395" i="1"/>
  <c r="I4395" i="1" a="1"/>
  <c r="I4395" i="1" s="1"/>
  <c r="D4396" i="1"/>
  <c r="F4396" i="1"/>
  <c r="H4396" i="1"/>
  <c r="I4396" i="1" a="1"/>
  <c r="I4396" i="1" s="1"/>
  <c r="D4397" i="1"/>
  <c r="F4397" i="1"/>
  <c r="H4397" i="1"/>
  <c r="I4397" i="1" a="1"/>
  <c r="I4397" i="1" s="1"/>
  <c r="D4398" i="1"/>
  <c r="F4398" i="1"/>
  <c r="H4398" i="1"/>
  <c r="I4398" i="1" a="1"/>
  <c r="I4398" i="1" s="1"/>
  <c r="D4399" i="1"/>
  <c r="F4399" i="1"/>
  <c r="H4399" i="1"/>
  <c r="I4399" i="1" a="1"/>
  <c r="I4399" i="1" s="1"/>
  <c r="D4400" i="1"/>
  <c r="F4400" i="1"/>
  <c r="H4400" i="1"/>
  <c r="I4400" i="1" a="1"/>
  <c r="I4400" i="1" s="1"/>
  <c r="D4401" i="1"/>
  <c r="F4401" i="1"/>
  <c r="H4401" i="1"/>
  <c r="I4401" i="1" a="1"/>
  <c r="I4401" i="1" s="1"/>
  <c r="D4402" i="1"/>
  <c r="F4402" i="1"/>
  <c r="H4402" i="1"/>
  <c r="I4402" i="1" a="1"/>
  <c r="I4402" i="1" s="1"/>
  <c r="D4403" i="1"/>
  <c r="F4403" i="1"/>
  <c r="H4403" i="1"/>
  <c r="I4403" i="1" a="1"/>
  <c r="I4403" i="1" s="1"/>
  <c r="D4404" i="1"/>
  <c r="F4404" i="1"/>
  <c r="H4404" i="1"/>
  <c r="I4404" i="1" a="1"/>
  <c r="I4404" i="1" s="1"/>
  <c r="D4405" i="1"/>
  <c r="F4405" i="1"/>
  <c r="H4405" i="1"/>
  <c r="I4405" i="1" a="1"/>
  <c r="I4405" i="1" s="1"/>
  <c r="D4406" i="1"/>
  <c r="F4406" i="1"/>
  <c r="H4406" i="1"/>
  <c r="I4406" i="1" a="1"/>
  <c r="I4406" i="1" s="1"/>
  <c r="D4407" i="1"/>
  <c r="F4407" i="1"/>
  <c r="H4407" i="1"/>
  <c r="I4407" i="1" a="1"/>
  <c r="I4407" i="1" s="1"/>
  <c r="D4408" i="1"/>
  <c r="F4408" i="1"/>
  <c r="H4408" i="1"/>
  <c r="I4408" i="1" a="1"/>
  <c r="I4408" i="1" s="1"/>
  <c r="D4409" i="1"/>
  <c r="F4409" i="1"/>
  <c r="H4409" i="1"/>
  <c r="I4409" i="1" a="1"/>
  <c r="I4409" i="1" s="1"/>
  <c r="D4410" i="1"/>
  <c r="F4410" i="1"/>
  <c r="H4410" i="1"/>
  <c r="I4410" i="1" a="1"/>
  <c r="I4410" i="1" s="1"/>
  <c r="D4411" i="1"/>
  <c r="F4411" i="1"/>
  <c r="H4411" i="1"/>
  <c r="I4411" i="1" a="1"/>
  <c r="I4411" i="1" s="1"/>
  <c r="D4412" i="1"/>
  <c r="F4412" i="1"/>
  <c r="H4412" i="1"/>
  <c r="I4412" i="1" a="1"/>
  <c r="I4412" i="1" s="1"/>
  <c r="D4413" i="1"/>
  <c r="F4413" i="1"/>
  <c r="H4413" i="1"/>
  <c r="I4413" i="1" a="1"/>
  <c r="I4413" i="1" s="1"/>
  <c r="D4414" i="1"/>
  <c r="F4414" i="1"/>
  <c r="H4414" i="1"/>
  <c r="I4414" i="1" a="1"/>
  <c r="I4414" i="1" s="1"/>
  <c r="D4415" i="1"/>
  <c r="F4415" i="1"/>
  <c r="H4415" i="1"/>
  <c r="I4415" i="1" a="1"/>
  <c r="I4415" i="1" s="1"/>
  <c r="D4416" i="1"/>
  <c r="F4416" i="1"/>
  <c r="H4416" i="1"/>
  <c r="I4416" i="1" a="1"/>
  <c r="I4416" i="1" s="1"/>
  <c r="D4417" i="1"/>
  <c r="F4417" i="1"/>
  <c r="H4417" i="1"/>
  <c r="I4417" i="1" a="1"/>
  <c r="I4417" i="1" s="1"/>
  <c r="D4418" i="1"/>
  <c r="F4418" i="1"/>
  <c r="H4418" i="1"/>
  <c r="I4418" i="1" a="1"/>
  <c r="I4418" i="1" s="1"/>
  <c r="D4419" i="1"/>
  <c r="F4419" i="1"/>
  <c r="H4419" i="1"/>
  <c r="I4419" i="1" a="1"/>
  <c r="I4419" i="1" s="1"/>
  <c r="D4420" i="1"/>
  <c r="F4420" i="1"/>
  <c r="H4420" i="1"/>
  <c r="I4420" i="1" a="1"/>
  <c r="I4420" i="1" s="1"/>
  <c r="D4421" i="1"/>
  <c r="F4421" i="1"/>
  <c r="H4421" i="1"/>
  <c r="I4421" i="1" a="1"/>
  <c r="I4421" i="1" s="1"/>
  <c r="D4422" i="1"/>
  <c r="F4422" i="1"/>
  <c r="H4422" i="1"/>
  <c r="I4422" i="1" a="1"/>
  <c r="I4422" i="1" s="1"/>
  <c r="D4423" i="1"/>
  <c r="F4423" i="1"/>
  <c r="H4423" i="1"/>
  <c r="I4423" i="1" a="1"/>
  <c r="I4423" i="1" s="1"/>
  <c r="D4424" i="1"/>
  <c r="F4424" i="1"/>
  <c r="H4424" i="1"/>
  <c r="I4424" i="1" a="1"/>
  <c r="I4424" i="1" s="1"/>
  <c r="D4425" i="1"/>
  <c r="F4425" i="1"/>
  <c r="H4425" i="1"/>
  <c r="I4425" i="1" a="1"/>
  <c r="I4425" i="1" s="1"/>
  <c r="D4426" i="1"/>
  <c r="F4426" i="1"/>
  <c r="H4426" i="1"/>
  <c r="I4426" i="1" a="1"/>
  <c r="I4426" i="1" s="1"/>
  <c r="D4427" i="1"/>
  <c r="F4427" i="1"/>
  <c r="H4427" i="1"/>
  <c r="I4427" i="1" a="1"/>
  <c r="I4427" i="1" s="1"/>
  <c r="D4428" i="1"/>
  <c r="F4428" i="1"/>
  <c r="H4428" i="1"/>
  <c r="I4428" i="1" a="1"/>
  <c r="I4428" i="1" s="1"/>
  <c r="D4429" i="1"/>
  <c r="F4429" i="1"/>
  <c r="H4429" i="1"/>
  <c r="I4429" i="1" a="1"/>
  <c r="I4429" i="1" s="1"/>
  <c r="D4430" i="1"/>
  <c r="F4430" i="1"/>
  <c r="H4430" i="1"/>
  <c r="I4430" i="1" a="1"/>
  <c r="I4430" i="1" s="1"/>
  <c r="D4431" i="1"/>
  <c r="F4431" i="1"/>
  <c r="H4431" i="1"/>
  <c r="I4431" i="1" a="1"/>
  <c r="I4431" i="1" s="1"/>
  <c r="D4432" i="1"/>
  <c r="F4432" i="1"/>
  <c r="H4432" i="1"/>
  <c r="I4432" i="1" a="1"/>
  <c r="I4432" i="1" s="1"/>
  <c r="D4433" i="1"/>
  <c r="F4433" i="1"/>
  <c r="H4433" i="1"/>
  <c r="I4433" i="1" a="1"/>
  <c r="I4433" i="1" s="1"/>
  <c r="D4434" i="1"/>
  <c r="F4434" i="1"/>
  <c r="H4434" i="1"/>
  <c r="I4434" i="1" a="1"/>
  <c r="I4434" i="1" s="1"/>
  <c r="D4435" i="1"/>
  <c r="F4435" i="1"/>
  <c r="H4435" i="1"/>
  <c r="I4435" i="1" a="1"/>
  <c r="I4435" i="1" s="1"/>
  <c r="D4436" i="1"/>
  <c r="F4436" i="1"/>
  <c r="H4436" i="1"/>
  <c r="I4436" i="1" a="1"/>
  <c r="I4436" i="1" s="1"/>
  <c r="D4437" i="1"/>
  <c r="F4437" i="1"/>
  <c r="H4437" i="1"/>
  <c r="I4437" i="1" a="1"/>
  <c r="I4437" i="1" s="1"/>
  <c r="D4438" i="1"/>
  <c r="F4438" i="1"/>
  <c r="H4438" i="1"/>
  <c r="I4438" i="1" a="1"/>
  <c r="I4438" i="1" s="1"/>
  <c r="D4439" i="1"/>
  <c r="F4439" i="1"/>
  <c r="H4439" i="1"/>
  <c r="I4439" i="1" a="1"/>
  <c r="I4439" i="1" s="1"/>
  <c r="D4440" i="1"/>
  <c r="F4440" i="1"/>
  <c r="H4440" i="1"/>
  <c r="I4440" i="1" a="1"/>
  <c r="I4440" i="1" s="1"/>
  <c r="D4441" i="1"/>
  <c r="F4441" i="1"/>
  <c r="H4441" i="1"/>
  <c r="I4441" i="1" a="1"/>
  <c r="I4441" i="1" s="1"/>
  <c r="D4442" i="1"/>
  <c r="F4442" i="1"/>
  <c r="H4442" i="1"/>
  <c r="I4442" i="1" a="1"/>
  <c r="I4442" i="1" s="1"/>
  <c r="D4443" i="1"/>
  <c r="F4443" i="1"/>
  <c r="H4443" i="1"/>
  <c r="I4443" i="1" a="1"/>
  <c r="I4443" i="1" s="1"/>
  <c r="D4444" i="1"/>
  <c r="F4444" i="1"/>
  <c r="H4444" i="1"/>
  <c r="I4444" i="1" a="1"/>
  <c r="I4444" i="1" s="1"/>
  <c r="D4445" i="1"/>
  <c r="F4445" i="1"/>
  <c r="H4445" i="1"/>
  <c r="I4445" i="1" a="1"/>
  <c r="I4445" i="1" s="1"/>
  <c r="D4446" i="1"/>
  <c r="F4446" i="1"/>
  <c r="H4446" i="1"/>
  <c r="I4446" i="1" a="1"/>
  <c r="I4446" i="1" s="1"/>
  <c r="D4447" i="1"/>
  <c r="F4447" i="1"/>
  <c r="H4447" i="1"/>
  <c r="I4447" i="1" a="1"/>
  <c r="I4447" i="1" s="1"/>
  <c r="D4448" i="1"/>
  <c r="F4448" i="1"/>
  <c r="H4448" i="1"/>
  <c r="I4448" i="1" a="1"/>
  <c r="I4448" i="1" s="1"/>
  <c r="D4449" i="1"/>
  <c r="F4449" i="1"/>
  <c r="H4449" i="1"/>
  <c r="I4449" i="1" a="1"/>
  <c r="I4449" i="1" s="1"/>
  <c r="D4450" i="1"/>
  <c r="F4450" i="1"/>
  <c r="H4450" i="1"/>
  <c r="I4450" i="1" a="1"/>
  <c r="I4450" i="1" s="1"/>
  <c r="D4451" i="1"/>
  <c r="F4451" i="1"/>
  <c r="H4451" i="1"/>
  <c r="I4451" i="1" a="1"/>
  <c r="I4451" i="1" s="1"/>
  <c r="D4452" i="1"/>
  <c r="F4452" i="1"/>
  <c r="H4452" i="1"/>
  <c r="I4452" i="1" a="1"/>
  <c r="I4452" i="1" s="1"/>
  <c r="D4453" i="1"/>
  <c r="F4453" i="1"/>
  <c r="H4453" i="1"/>
  <c r="I4453" i="1" a="1"/>
  <c r="I4453" i="1" s="1"/>
  <c r="D4454" i="1"/>
  <c r="F4454" i="1"/>
  <c r="H4454" i="1"/>
  <c r="I4454" i="1" a="1"/>
  <c r="I4454" i="1" s="1"/>
  <c r="D4455" i="1"/>
  <c r="F4455" i="1"/>
  <c r="H4455" i="1"/>
  <c r="I4455" i="1" a="1"/>
  <c r="I4455" i="1" s="1"/>
  <c r="D4456" i="1"/>
  <c r="F4456" i="1"/>
  <c r="H4456" i="1"/>
  <c r="I4456" i="1" a="1"/>
  <c r="I4456" i="1" s="1"/>
  <c r="D4457" i="1"/>
  <c r="F4457" i="1"/>
  <c r="H4457" i="1"/>
  <c r="I4457" i="1" a="1"/>
  <c r="I4457" i="1" s="1"/>
  <c r="D4458" i="1"/>
  <c r="F4458" i="1"/>
  <c r="H4458" i="1"/>
  <c r="I4458" i="1" a="1"/>
  <c r="I4458" i="1" s="1"/>
  <c r="D4459" i="1"/>
  <c r="F4459" i="1"/>
  <c r="H4459" i="1"/>
  <c r="I4459" i="1" a="1"/>
  <c r="I4459" i="1" s="1"/>
  <c r="D4460" i="1"/>
  <c r="F4460" i="1"/>
  <c r="H4460" i="1"/>
  <c r="I4460" i="1" a="1"/>
  <c r="I4460" i="1" s="1"/>
  <c r="D4461" i="1"/>
  <c r="F4461" i="1"/>
  <c r="H4461" i="1"/>
  <c r="I4461" i="1" a="1"/>
  <c r="I4461" i="1" s="1"/>
  <c r="D4462" i="1"/>
  <c r="F4462" i="1"/>
  <c r="H4462" i="1"/>
  <c r="I4462" i="1" a="1"/>
  <c r="I4462" i="1" s="1"/>
  <c r="D4463" i="1"/>
  <c r="F4463" i="1"/>
  <c r="H4463" i="1"/>
  <c r="I4463" i="1" a="1"/>
  <c r="I4463" i="1" s="1"/>
  <c r="D4464" i="1"/>
  <c r="F4464" i="1"/>
  <c r="H4464" i="1"/>
  <c r="I4464" i="1" a="1"/>
  <c r="I4464" i="1" s="1"/>
  <c r="D4465" i="1"/>
  <c r="F4465" i="1"/>
  <c r="H4465" i="1"/>
  <c r="I4465" i="1" a="1"/>
  <c r="I4465" i="1" s="1"/>
  <c r="D4466" i="1"/>
  <c r="F4466" i="1"/>
  <c r="H4466" i="1"/>
  <c r="I4466" i="1" a="1"/>
  <c r="I4466" i="1" s="1"/>
  <c r="D4467" i="1"/>
  <c r="F4467" i="1"/>
  <c r="H4467" i="1"/>
  <c r="I4467" i="1" a="1"/>
  <c r="I4467" i="1" s="1"/>
  <c r="D4468" i="1"/>
  <c r="F4468" i="1"/>
  <c r="H4468" i="1"/>
  <c r="I4468" i="1" a="1"/>
  <c r="I4468" i="1" s="1"/>
  <c r="D4469" i="1"/>
  <c r="F4469" i="1"/>
  <c r="H4469" i="1"/>
  <c r="I4469" i="1" a="1"/>
  <c r="I4469" i="1" s="1"/>
  <c r="D4470" i="1"/>
  <c r="F4470" i="1"/>
  <c r="H4470" i="1"/>
  <c r="I4470" i="1" a="1"/>
  <c r="I4470" i="1" s="1"/>
  <c r="D4471" i="1"/>
  <c r="F4471" i="1"/>
  <c r="H4471" i="1"/>
  <c r="I4471" i="1" a="1"/>
  <c r="I4471" i="1" s="1"/>
  <c r="D4472" i="1"/>
  <c r="F4472" i="1"/>
  <c r="H4472" i="1"/>
  <c r="I4472" i="1" a="1"/>
  <c r="I4472" i="1" s="1"/>
  <c r="D4473" i="1"/>
  <c r="F4473" i="1"/>
  <c r="H4473" i="1"/>
  <c r="I4473" i="1" a="1"/>
  <c r="I4473" i="1" s="1"/>
  <c r="D4474" i="1"/>
  <c r="F4474" i="1"/>
  <c r="H4474" i="1"/>
  <c r="I4474" i="1" a="1"/>
  <c r="I4474" i="1" s="1"/>
  <c r="D4475" i="1"/>
  <c r="F4475" i="1"/>
  <c r="H4475" i="1"/>
  <c r="I4475" i="1" a="1"/>
  <c r="I4475" i="1" s="1"/>
  <c r="D4476" i="1"/>
  <c r="F4476" i="1"/>
  <c r="H4476" i="1"/>
  <c r="I4476" i="1" a="1"/>
  <c r="I4476" i="1" s="1"/>
  <c r="D4477" i="1"/>
  <c r="F4477" i="1"/>
  <c r="H4477" i="1"/>
  <c r="I4477" i="1" a="1"/>
  <c r="I4477" i="1" s="1"/>
  <c r="D4478" i="1"/>
  <c r="F4478" i="1"/>
  <c r="H4478" i="1"/>
  <c r="I4478" i="1" a="1"/>
  <c r="I4478" i="1" s="1"/>
  <c r="D4479" i="1"/>
  <c r="F4479" i="1"/>
  <c r="H4479" i="1"/>
  <c r="I4479" i="1" a="1"/>
  <c r="I4479" i="1" s="1"/>
  <c r="D4480" i="1"/>
  <c r="F4480" i="1"/>
  <c r="H4480" i="1"/>
  <c r="I4480" i="1" a="1"/>
  <c r="I4480" i="1" s="1"/>
  <c r="D4481" i="1"/>
  <c r="F4481" i="1"/>
  <c r="H4481" i="1"/>
  <c r="I4481" i="1" a="1"/>
  <c r="I4481" i="1" s="1"/>
  <c r="D4482" i="1"/>
  <c r="F4482" i="1"/>
  <c r="H4482" i="1"/>
  <c r="I4482" i="1" a="1"/>
  <c r="I4482" i="1" s="1"/>
  <c r="D4483" i="1"/>
  <c r="F4483" i="1"/>
  <c r="H4483" i="1"/>
  <c r="I4483" i="1" a="1"/>
  <c r="I4483" i="1" s="1"/>
  <c r="D4484" i="1"/>
  <c r="F4484" i="1"/>
  <c r="H4484" i="1"/>
  <c r="I4484" i="1" a="1"/>
  <c r="I4484" i="1" s="1"/>
  <c r="D4485" i="1"/>
  <c r="F4485" i="1"/>
  <c r="H4485" i="1"/>
  <c r="I4485" i="1" a="1"/>
  <c r="I4485" i="1" s="1"/>
  <c r="D4486" i="1"/>
  <c r="F4486" i="1"/>
  <c r="H4486" i="1"/>
  <c r="I4486" i="1" a="1"/>
  <c r="I4486" i="1" s="1"/>
  <c r="D4487" i="1"/>
  <c r="F4487" i="1"/>
  <c r="H4487" i="1"/>
  <c r="I4487" i="1" a="1"/>
  <c r="I4487" i="1" s="1"/>
  <c r="D4488" i="1"/>
  <c r="F4488" i="1"/>
  <c r="H4488" i="1"/>
  <c r="I4488" i="1" a="1"/>
  <c r="I4488" i="1" s="1"/>
  <c r="D4489" i="1"/>
  <c r="F4489" i="1"/>
  <c r="H4489" i="1"/>
  <c r="I4489" i="1" a="1"/>
  <c r="I4489" i="1" s="1"/>
  <c r="D4490" i="1"/>
  <c r="F4490" i="1"/>
  <c r="H4490" i="1"/>
  <c r="I4490" i="1" a="1"/>
  <c r="I4490" i="1" s="1"/>
  <c r="D4491" i="1"/>
  <c r="F4491" i="1"/>
  <c r="H4491" i="1"/>
  <c r="I4491" i="1" a="1"/>
  <c r="I4491" i="1" s="1"/>
  <c r="D4492" i="1"/>
  <c r="F4492" i="1"/>
  <c r="H4492" i="1"/>
  <c r="I4492" i="1" a="1"/>
  <c r="I4492" i="1" s="1"/>
  <c r="D4493" i="1"/>
  <c r="F4493" i="1"/>
  <c r="H4493" i="1"/>
  <c r="I4493" i="1" a="1"/>
  <c r="I4493" i="1" s="1"/>
  <c r="D4494" i="1"/>
  <c r="F4494" i="1"/>
  <c r="H4494" i="1"/>
  <c r="I4494" i="1" a="1"/>
  <c r="I4494" i="1" s="1"/>
  <c r="D4495" i="1"/>
  <c r="F4495" i="1"/>
  <c r="H4495" i="1"/>
  <c r="I4495" i="1" a="1"/>
  <c r="I4495" i="1" s="1"/>
  <c r="D4496" i="1"/>
  <c r="F4496" i="1"/>
  <c r="H4496" i="1"/>
  <c r="I4496" i="1" a="1"/>
  <c r="I4496" i="1" s="1"/>
  <c r="D4497" i="1"/>
  <c r="F4497" i="1"/>
  <c r="H4497" i="1"/>
  <c r="I4497" i="1" a="1"/>
  <c r="I4497" i="1" s="1"/>
  <c r="D4498" i="1"/>
  <c r="F4498" i="1"/>
  <c r="H4498" i="1"/>
  <c r="I4498" i="1" a="1"/>
  <c r="I4498" i="1" s="1"/>
  <c r="D4499" i="1"/>
  <c r="F4499" i="1"/>
  <c r="H4499" i="1"/>
  <c r="I4499" i="1" a="1"/>
  <c r="I4499" i="1" s="1"/>
  <c r="D4500" i="1"/>
  <c r="F4500" i="1"/>
  <c r="H4500" i="1"/>
  <c r="I4500" i="1" a="1"/>
  <c r="I4500" i="1" s="1"/>
  <c r="D4501" i="1"/>
  <c r="F4501" i="1"/>
  <c r="H4501" i="1"/>
  <c r="I4501" i="1" a="1"/>
  <c r="I4501" i="1" s="1"/>
  <c r="D4502" i="1"/>
  <c r="F4502" i="1"/>
  <c r="H4502" i="1"/>
  <c r="I4502" i="1" a="1"/>
  <c r="I4502" i="1" s="1"/>
  <c r="D4503" i="1"/>
  <c r="F4503" i="1"/>
  <c r="H4503" i="1"/>
  <c r="I4503" i="1" a="1"/>
  <c r="I4503" i="1" s="1"/>
  <c r="D4504" i="1"/>
  <c r="F4504" i="1"/>
  <c r="H4504" i="1"/>
  <c r="I4504" i="1" a="1"/>
  <c r="I4504" i="1" s="1"/>
  <c r="D4505" i="1"/>
  <c r="F4505" i="1"/>
  <c r="H4505" i="1"/>
  <c r="I4505" i="1" a="1"/>
  <c r="I4505" i="1" s="1"/>
  <c r="D4506" i="1"/>
  <c r="F4506" i="1"/>
  <c r="H4506" i="1"/>
  <c r="I4506" i="1" a="1"/>
  <c r="I4506" i="1" s="1"/>
  <c r="D4507" i="1"/>
  <c r="F4507" i="1"/>
  <c r="H4507" i="1"/>
  <c r="I4507" i="1" a="1"/>
  <c r="I4507" i="1" s="1"/>
  <c r="D4508" i="1"/>
  <c r="F4508" i="1"/>
  <c r="H4508" i="1"/>
  <c r="I4508" i="1" a="1"/>
  <c r="I4508" i="1" s="1"/>
  <c r="D4509" i="1"/>
  <c r="F4509" i="1"/>
  <c r="H4509" i="1"/>
  <c r="I4509" i="1" a="1"/>
  <c r="I4509" i="1" s="1"/>
  <c r="D4510" i="1"/>
  <c r="F4510" i="1"/>
  <c r="H4510" i="1"/>
  <c r="I4510" i="1" a="1"/>
  <c r="I4510" i="1" s="1"/>
  <c r="D4511" i="1"/>
  <c r="F4511" i="1"/>
  <c r="H4511" i="1"/>
  <c r="I4511" i="1" a="1"/>
  <c r="I4511" i="1" s="1"/>
  <c r="D4512" i="1"/>
  <c r="F4512" i="1"/>
  <c r="H4512" i="1"/>
  <c r="I4512" i="1" a="1"/>
  <c r="I4512" i="1" s="1"/>
  <c r="D4513" i="1"/>
  <c r="F4513" i="1"/>
  <c r="H4513" i="1"/>
  <c r="I4513" i="1" a="1"/>
  <c r="I4513" i="1" s="1"/>
  <c r="D4514" i="1"/>
  <c r="F4514" i="1"/>
  <c r="H4514" i="1"/>
  <c r="I4514" i="1" a="1"/>
  <c r="I4514" i="1" s="1"/>
  <c r="D4515" i="1"/>
  <c r="F4515" i="1"/>
  <c r="H4515" i="1"/>
  <c r="I4515" i="1" a="1"/>
  <c r="I4515" i="1" s="1"/>
  <c r="D4516" i="1"/>
  <c r="F4516" i="1"/>
  <c r="H4516" i="1"/>
  <c r="I4516" i="1" a="1"/>
  <c r="I4516" i="1" s="1"/>
  <c r="D4517" i="1"/>
  <c r="F4517" i="1"/>
  <c r="H4517" i="1"/>
  <c r="I4517" i="1" a="1"/>
  <c r="I4517" i="1" s="1"/>
  <c r="D4518" i="1"/>
  <c r="F4518" i="1"/>
  <c r="H4518" i="1"/>
  <c r="I4518" i="1" a="1"/>
  <c r="I4518" i="1" s="1"/>
  <c r="D4519" i="1"/>
  <c r="F4519" i="1"/>
  <c r="H4519" i="1"/>
  <c r="I4519" i="1" a="1"/>
  <c r="I4519" i="1" s="1"/>
  <c r="D4520" i="1"/>
  <c r="F4520" i="1"/>
  <c r="H4520" i="1"/>
  <c r="I4520" i="1" a="1"/>
  <c r="I4520" i="1" s="1"/>
  <c r="D4521" i="1"/>
  <c r="F4521" i="1"/>
  <c r="H4521" i="1"/>
  <c r="I4521" i="1" a="1"/>
  <c r="I4521" i="1" s="1"/>
  <c r="D4522" i="1"/>
  <c r="F4522" i="1"/>
  <c r="H4522" i="1"/>
  <c r="I4522" i="1" a="1"/>
  <c r="I4522" i="1" s="1"/>
  <c r="D4523" i="1"/>
  <c r="F4523" i="1"/>
  <c r="H4523" i="1"/>
  <c r="I4523" i="1" a="1"/>
  <c r="I4523" i="1" s="1"/>
  <c r="D4524" i="1"/>
  <c r="F4524" i="1"/>
  <c r="H4524" i="1"/>
  <c r="I4524" i="1" a="1"/>
  <c r="I4524" i="1" s="1"/>
  <c r="D4525" i="1"/>
  <c r="F4525" i="1"/>
  <c r="H4525" i="1"/>
  <c r="I4525" i="1" a="1"/>
  <c r="I4525" i="1" s="1"/>
  <c r="D4526" i="1"/>
  <c r="F4526" i="1"/>
  <c r="H4526" i="1"/>
  <c r="I4526" i="1" a="1"/>
  <c r="I4526" i="1" s="1"/>
  <c r="D4527" i="1"/>
  <c r="F4527" i="1"/>
  <c r="H4527" i="1"/>
  <c r="I4527" i="1" a="1"/>
  <c r="I4527" i="1" s="1"/>
  <c r="D4528" i="1"/>
  <c r="F4528" i="1"/>
  <c r="H4528" i="1"/>
  <c r="I4528" i="1" a="1"/>
  <c r="I4528" i="1" s="1"/>
  <c r="D4529" i="1"/>
  <c r="F4529" i="1"/>
  <c r="H4529" i="1"/>
  <c r="I4529" i="1" a="1"/>
  <c r="I4529" i="1" s="1"/>
  <c r="D4530" i="1"/>
  <c r="F4530" i="1"/>
  <c r="H4530" i="1"/>
  <c r="I4530" i="1" a="1"/>
  <c r="I4530" i="1" s="1"/>
  <c r="D4531" i="1"/>
  <c r="F4531" i="1"/>
  <c r="H4531" i="1"/>
  <c r="I4531" i="1" a="1"/>
  <c r="I4531" i="1" s="1"/>
  <c r="D4532" i="1"/>
  <c r="F4532" i="1"/>
  <c r="H4532" i="1"/>
  <c r="I4532" i="1" a="1"/>
  <c r="I4532" i="1" s="1"/>
  <c r="D4533" i="1"/>
  <c r="F4533" i="1"/>
  <c r="H4533" i="1"/>
  <c r="I4533" i="1" a="1"/>
  <c r="I4533" i="1" s="1"/>
  <c r="D4534" i="1"/>
  <c r="F4534" i="1"/>
  <c r="H4534" i="1"/>
  <c r="I4534" i="1" a="1"/>
  <c r="I4534" i="1" s="1"/>
  <c r="D4535" i="1"/>
  <c r="F4535" i="1"/>
  <c r="H4535" i="1"/>
  <c r="I4535" i="1" a="1"/>
  <c r="I4535" i="1" s="1"/>
  <c r="D4536" i="1"/>
  <c r="F4536" i="1"/>
  <c r="H4536" i="1"/>
  <c r="I4536" i="1" a="1"/>
  <c r="I4536" i="1" s="1"/>
  <c r="D4537" i="1"/>
  <c r="F4537" i="1"/>
  <c r="H4537" i="1"/>
  <c r="I4537" i="1" a="1"/>
  <c r="I4537" i="1" s="1"/>
  <c r="D4538" i="1"/>
  <c r="F4538" i="1"/>
  <c r="H4538" i="1"/>
  <c r="I4538" i="1" a="1"/>
  <c r="I4538" i="1" s="1"/>
  <c r="D4539" i="1"/>
  <c r="F4539" i="1"/>
  <c r="H4539" i="1"/>
  <c r="I4539" i="1" a="1"/>
  <c r="I4539" i="1" s="1"/>
  <c r="D4540" i="1"/>
  <c r="F4540" i="1"/>
  <c r="H4540" i="1"/>
  <c r="I4540" i="1" a="1"/>
  <c r="I4540" i="1" s="1"/>
  <c r="D4541" i="1"/>
  <c r="F4541" i="1"/>
  <c r="H4541" i="1"/>
  <c r="I4541" i="1" a="1"/>
  <c r="I4541" i="1" s="1"/>
  <c r="D4542" i="1"/>
  <c r="F4542" i="1"/>
  <c r="H4542" i="1"/>
  <c r="I4542" i="1" a="1"/>
  <c r="I4542" i="1" s="1"/>
  <c r="D4543" i="1"/>
  <c r="F4543" i="1"/>
  <c r="H4543" i="1"/>
  <c r="I4543" i="1" a="1"/>
  <c r="I4543" i="1" s="1"/>
  <c r="D4544" i="1"/>
  <c r="F4544" i="1"/>
  <c r="H4544" i="1"/>
  <c r="I4544" i="1" a="1"/>
  <c r="I4544" i="1" s="1"/>
  <c r="D4545" i="1"/>
  <c r="F4545" i="1"/>
  <c r="H4545" i="1"/>
  <c r="I4545" i="1" a="1"/>
  <c r="I4545" i="1" s="1"/>
  <c r="D4546" i="1"/>
  <c r="F4546" i="1"/>
  <c r="H4546" i="1"/>
  <c r="I4546" i="1" a="1"/>
  <c r="I4546" i="1" s="1"/>
  <c r="D4547" i="1"/>
  <c r="F4547" i="1"/>
  <c r="H4547" i="1"/>
  <c r="I4547" i="1" a="1"/>
  <c r="I4547" i="1" s="1"/>
  <c r="D4548" i="1"/>
  <c r="F4548" i="1"/>
  <c r="H4548" i="1"/>
  <c r="I4548" i="1" a="1"/>
  <c r="I4548" i="1" s="1"/>
  <c r="D4549" i="1"/>
  <c r="F4549" i="1"/>
  <c r="H4549" i="1"/>
  <c r="I4549" i="1" a="1"/>
  <c r="I4549" i="1" s="1"/>
  <c r="D4550" i="1"/>
  <c r="F4550" i="1"/>
  <c r="H4550" i="1"/>
  <c r="I4550" i="1" a="1"/>
  <c r="I4550" i="1" s="1"/>
  <c r="D4551" i="1"/>
  <c r="F4551" i="1"/>
  <c r="H4551" i="1"/>
  <c r="I4551" i="1" a="1"/>
  <c r="I4551" i="1" s="1"/>
  <c r="D4552" i="1"/>
  <c r="F4552" i="1"/>
  <c r="H4552" i="1"/>
  <c r="I4552" i="1" a="1"/>
  <c r="I4552" i="1" s="1"/>
  <c r="D4553" i="1"/>
  <c r="F4553" i="1"/>
  <c r="H4553" i="1"/>
  <c r="I4553" i="1" a="1"/>
  <c r="I4553" i="1" s="1"/>
  <c r="D4554" i="1"/>
  <c r="F4554" i="1"/>
  <c r="H4554" i="1"/>
  <c r="I4554" i="1" a="1"/>
  <c r="I4554" i="1" s="1"/>
  <c r="D4555" i="1"/>
  <c r="F4555" i="1"/>
  <c r="H4555" i="1"/>
  <c r="I4555" i="1" a="1"/>
  <c r="I4555" i="1" s="1"/>
  <c r="D4556" i="1"/>
  <c r="F4556" i="1"/>
  <c r="H4556" i="1"/>
  <c r="I4556" i="1" a="1"/>
  <c r="I4556" i="1" s="1"/>
  <c r="D4557" i="1"/>
  <c r="F4557" i="1"/>
  <c r="H4557" i="1"/>
  <c r="I4557" i="1" a="1"/>
  <c r="I4557" i="1" s="1"/>
  <c r="D4558" i="1"/>
  <c r="F4558" i="1"/>
  <c r="H4558" i="1"/>
  <c r="I4558" i="1" a="1"/>
  <c r="I4558" i="1" s="1"/>
  <c r="D4559" i="1"/>
  <c r="F4559" i="1"/>
  <c r="H4559" i="1"/>
  <c r="I4559" i="1" a="1"/>
  <c r="I4559" i="1" s="1"/>
  <c r="D4560" i="1"/>
  <c r="F4560" i="1"/>
  <c r="H4560" i="1"/>
  <c r="I4560" i="1" a="1"/>
  <c r="I4560" i="1" s="1"/>
  <c r="D4561" i="1"/>
  <c r="F4561" i="1"/>
  <c r="H4561" i="1"/>
  <c r="I4561" i="1" a="1"/>
  <c r="I4561" i="1" s="1"/>
  <c r="D4562" i="1"/>
  <c r="F4562" i="1"/>
  <c r="H4562" i="1"/>
  <c r="I4562" i="1" a="1"/>
  <c r="I4562" i="1" s="1"/>
  <c r="D4563" i="1"/>
  <c r="F4563" i="1"/>
  <c r="H4563" i="1"/>
  <c r="I4563" i="1" a="1"/>
  <c r="I4563" i="1" s="1"/>
  <c r="D4564" i="1"/>
  <c r="F4564" i="1"/>
  <c r="H4564" i="1"/>
  <c r="I4564" i="1" a="1"/>
  <c r="I4564" i="1" s="1"/>
  <c r="D4565" i="1"/>
  <c r="F4565" i="1"/>
  <c r="H4565" i="1"/>
  <c r="I4565" i="1" a="1"/>
  <c r="I4565" i="1" s="1"/>
  <c r="D4566" i="1"/>
  <c r="F4566" i="1"/>
  <c r="H4566" i="1"/>
  <c r="I4566" i="1" a="1"/>
  <c r="I4566" i="1" s="1"/>
  <c r="D4567" i="1"/>
  <c r="F4567" i="1"/>
  <c r="H4567" i="1"/>
  <c r="I4567" i="1" a="1"/>
  <c r="I4567" i="1" s="1"/>
  <c r="D4568" i="1"/>
  <c r="F4568" i="1"/>
  <c r="H4568" i="1"/>
  <c r="I4568" i="1" a="1"/>
  <c r="I4568" i="1" s="1"/>
  <c r="D4569" i="1"/>
  <c r="F4569" i="1"/>
  <c r="H4569" i="1"/>
  <c r="I4569" i="1" a="1"/>
  <c r="I4569" i="1" s="1"/>
  <c r="D4570" i="1"/>
  <c r="F4570" i="1"/>
  <c r="H4570" i="1"/>
  <c r="I4570" i="1" a="1"/>
  <c r="I4570" i="1" s="1"/>
  <c r="D4571" i="1"/>
  <c r="F4571" i="1"/>
  <c r="H4571" i="1"/>
  <c r="I4571" i="1" a="1"/>
  <c r="I4571" i="1" s="1"/>
  <c r="D4572" i="1"/>
  <c r="F4572" i="1"/>
  <c r="H4572" i="1"/>
  <c r="I4572" i="1" a="1"/>
  <c r="I4572" i="1" s="1"/>
  <c r="D4573" i="1"/>
  <c r="F4573" i="1"/>
  <c r="H4573" i="1"/>
  <c r="I4573" i="1" a="1"/>
  <c r="I4573" i="1" s="1"/>
  <c r="D4574" i="1"/>
  <c r="F4574" i="1"/>
  <c r="H4574" i="1"/>
  <c r="I4574" i="1" a="1"/>
  <c r="I4574" i="1" s="1"/>
  <c r="D4575" i="1"/>
  <c r="F4575" i="1"/>
  <c r="H4575" i="1"/>
  <c r="I4575" i="1" a="1"/>
  <c r="I4575" i="1" s="1"/>
  <c r="D4576" i="1"/>
  <c r="F4576" i="1"/>
  <c r="H4576" i="1"/>
  <c r="I4576" i="1" a="1"/>
  <c r="I4576" i="1" s="1"/>
  <c r="D4577" i="1"/>
  <c r="F4577" i="1"/>
  <c r="H4577" i="1"/>
  <c r="I4577" i="1" a="1"/>
  <c r="I4577" i="1" s="1"/>
  <c r="D4578" i="1"/>
  <c r="F4578" i="1"/>
  <c r="H4578" i="1"/>
  <c r="I4578" i="1" a="1"/>
  <c r="I4578" i="1" s="1"/>
  <c r="D4579" i="1"/>
  <c r="F4579" i="1"/>
  <c r="H4579" i="1"/>
  <c r="I4579" i="1" a="1"/>
  <c r="I4579" i="1" s="1"/>
  <c r="D4580" i="1"/>
  <c r="F4580" i="1"/>
  <c r="H4580" i="1"/>
  <c r="I4580" i="1" a="1"/>
  <c r="I4580" i="1" s="1"/>
  <c r="D4581" i="1"/>
  <c r="F4581" i="1"/>
  <c r="H4581" i="1"/>
  <c r="I4581" i="1" a="1"/>
  <c r="I4581" i="1" s="1"/>
  <c r="D4582" i="1"/>
  <c r="F4582" i="1"/>
  <c r="H4582" i="1"/>
  <c r="I4582" i="1" a="1"/>
  <c r="I4582" i="1" s="1"/>
  <c r="D4583" i="1"/>
  <c r="F4583" i="1"/>
  <c r="H4583" i="1"/>
  <c r="I4583" i="1" a="1"/>
  <c r="I4583" i="1" s="1"/>
  <c r="D4584" i="1"/>
  <c r="F4584" i="1"/>
  <c r="H4584" i="1"/>
  <c r="I4584" i="1" a="1"/>
  <c r="I4584" i="1" s="1"/>
  <c r="D4585" i="1"/>
  <c r="F4585" i="1"/>
  <c r="H4585" i="1"/>
  <c r="I4585" i="1" a="1"/>
  <c r="I4585" i="1" s="1"/>
  <c r="D4586" i="1"/>
  <c r="F4586" i="1"/>
  <c r="H4586" i="1"/>
  <c r="I4586" i="1" a="1"/>
  <c r="I4586" i="1" s="1"/>
  <c r="D4587" i="1"/>
  <c r="F4587" i="1"/>
  <c r="H4587" i="1"/>
  <c r="I4587" i="1" a="1"/>
  <c r="I4587" i="1" s="1"/>
  <c r="D4588" i="1"/>
  <c r="F4588" i="1"/>
  <c r="H4588" i="1"/>
  <c r="I4588" i="1" a="1"/>
  <c r="I4588" i="1" s="1"/>
  <c r="D4589" i="1"/>
  <c r="F4589" i="1"/>
  <c r="H4589" i="1"/>
  <c r="I4589" i="1" a="1"/>
  <c r="I4589" i="1" s="1"/>
  <c r="D4590" i="1"/>
  <c r="F4590" i="1"/>
  <c r="H4590" i="1"/>
  <c r="I4590" i="1" a="1"/>
  <c r="I4590" i="1" s="1"/>
  <c r="D4591" i="1"/>
  <c r="F4591" i="1"/>
  <c r="H4591" i="1"/>
  <c r="I4591" i="1" a="1"/>
  <c r="I4591" i="1" s="1"/>
  <c r="D4592" i="1"/>
  <c r="F4592" i="1"/>
  <c r="H4592" i="1"/>
  <c r="I4592" i="1" a="1"/>
  <c r="I4592" i="1" s="1"/>
  <c r="D4593" i="1"/>
  <c r="F4593" i="1"/>
  <c r="H4593" i="1"/>
  <c r="I4593" i="1" a="1"/>
  <c r="I4593" i="1" s="1"/>
  <c r="D4594" i="1"/>
  <c r="F4594" i="1"/>
  <c r="H4594" i="1"/>
  <c r="I4594" i="1" a="1"/>
  <c r="I4594" i="1" s="1"/>
  <c r="D4595" i="1"/>
  <c r="F4595" i="1"/>
  <c r="H4595" i="1"/>
  <c r="I4595" i="1" a="1"/>
  <c r="I4595" i="1" s="1"/>
  <c r="D4596" i="1"/>
  <c r="F4596" i="1"/>
  <c r="H4596" i="1"/>
  <c r="I4596" i="1" a="1"/>
  <c r="I4596" i="1" s="1"/>
  <c r="D4597" i="1"/>
  <c r="F4597" i="1"/>
  <c r="H4597" i="1"/>
  <c r="I4597" i="1" a="1"/>
  <c r="I4597" i="1" s="1"/>
  <c r="D4598" i="1"/>
  <c r="F4598" i="1"/>
  <c r="H4598" i="1"/>
  <c r="I4598" i="1" a="1"/>
  <c r="I4598" i="1" s="1"/>
  <c r="D4599" i="1"/>
  <c r="F4599" i="1"/>
  <c r="H4599" i="1"/>
  <c r="I4599" i="1" a="1"/>
  <c r="I4599" i="1" s="1"/>
  <c r="D4600" i="1"/>
  <c r="F4600" i="1"/>
  <c r="H4600" i="1"/>
  <c r="I4600" i="1" a="1"/>
  <c r="I4600" i="1" s="1"/>
  <c r="D4601" i="1"/>
  <c r="F4601" i="1"/>
  <c r="H4601" i="1"/>
  <c r="I4601" i="1" a="1"/>
  <c r="I4601" i="1" s="1"/>
  <c r="D4602" i="1"/>
  <c r="F4602" i="1"/>
  <c r="H4602" i="1"/>
  <c r="I4602" i="1" a="1"/>
  <c r="I4602" i="1" s="1"/>
  <c r="D4603" i="1"/>
  <c r="F4603" i="1"/>
  <c r="H4603" i="1"/>
  <c r="I4603" i="1" a="1"/>
  <c r="I4603" i="1" s="1"/>
  <c r="D4604" i="1"/>
  <c r="F4604" i="1"/>
  <c r="H4604" i="1"/>
  <c r="I4604" i="1" a="1"/>
  <c r="I4604" i="1" s="1"/>
  <c r="D4605" i="1"/>
  <c r="F4605" i="1"/>
  <c r="H4605" i="1"/>
  <c r="I4605" i="1" a="1"/>
  <c r="I4605" i="1" s="1"/>
  <c r="D4606" i="1"/>
  <c r="F4606" i="1"/>
  <c r="H4606" i="1"/>
  <c r="I4606" i="1" a="1"/>
  <c r="I4606" i="1" s="1"/>
  <c r="D4607" i="1"/>
  <c r="F4607" i="1"/>
  <c r="H4607" i="1"/>
  <c r="I4607" i="1" a="1"/>
  <c r="I4607" i="1" s="1"/>
  <c r="D4608" i="1"/>
  <c r="F4608" i="1"/>
  <c r="H4608" i="1"/>
  <c r="I4608" i="1" a="1"/>
  <c r="I4608" i="1" s="1"/>
  <c r="D4609" i="1"/>
  <c r="F4609" i="1"/>
  <c r="H4609" i="1"/>
  <c r="I4609" i="1" a="1"/>
  <c r="I4609" i="1" s="1"/>
  <c r="D4610" i="1"/>
  <c r="F4610" i="1"/>
  <c r="H4610" i="1"/>
  <c r="I4610" i="1" a="1"/>
  <c r="I4610" i="1" s="1"/>
  <c r="D4611" i="1"/>
  <c r="F4611" i="1"/>
  <c r="H4611" i="1"/>
  <c r="I4611" i="1" a="1"/>
  <c r="I4611" i="1" s="1"/>
  <c r="D4612" i="1"/>
  <c r="F4612" i="1"/>
  <c r="H4612" i="1"/>
  <c r="I4612" i="1" a="1"/>
  <c r="I4612" i="1" s="1"/>
  <c r="D4613" i="1"/>
  <c r="F4613" i="1"/>
  <c r="H4613" i="1"/>
  <c r="I4613" i="1" a="1"/>
  <c r="I4613" i="1" s="1"/>
  <c r="D4614" i="1"/>
  <c r="F4614" i="1"/>
  <c r="H4614" i="1"/>
  <c r="I4614" i="1" a="1"/>
  <c r="I4614" i="1" s="1"/>
  <c r="D4615" i="1"/>
  <c r="F4615" i="1"/>
  <c r="H4615" i="1"/>
  <c r="I4615" i="1" a="1"/>
  <c r="I4615" i="1" s="1"/>
  <c r="D4616" i="1"/>
  <c r="F4616" i="1"/>
  <c r="H4616" i="1"/>
  <c r="I4616" i="1" a="1"/>
  <c r="I4616" i="1" s="1"/>
  <c r="D4617" i="1"/>
  <c r="F4617" i="1"/>
  <c r="H4617" i="1"/>
  <c r="I4617" i="1" a="1"/>
  <c r="I4617" i="1" s="1"/>
  <c r="D4618" i="1"/>
  <c r="F4618" i="1"/>
  <c r="H4618" i="1"/>
  <c r="I4618" i="1" a="1"/>
  <c r="I4618" i="1" s="1"/>
  <c r="D4619" i="1"/>
  <c r="F4619" i="1"/>
  <c r="H4619" i="1"/>
  <c r="I4619" i="1" a="1"/>
  <c r="I4619" i="1" s="1"/>
  <c r="D4620" i="1"/>
  <c r="F4620" i="1"/>
  <c r="H4620" i="1"/>
  <c r="I4620" i="1" a="1"/>
  <c r="I4620" i="1" s="1"/>
  <c r="D4621" i="1"/>
  <c r="F4621" i="1"/>
  <c r="H4621" i="1"/>
  <c r="I4621" i="1" a="1"/>
  <c r="I4621" i="1" s="1"/>
  <c r="D4622" i="1"/>
  <c r="F4622" i="1"/>
  <c r="H4622" i="1"/>
  <c r="I4622" i="1" a="1"/>
  <c r="I4622" i="1" s="1"/>
  <c r="D4623" i="1"/>
  <c r="F4623" i="1"/>
  <c r="H4623" i="1"/>
  <c r="I4623" i="1" a="1"/>
  <c r="I4623" i="1" s="1"/>
  <c r="D4624" i="1"/>
  <c r="F4624" i="1"/>
  <c r="H4624" i="1"/>
  <c r="I4624" i="1" a="1"/>
  <c r="I4624" i="1" s="1"/>
  <c r="D4625" i="1"/>
  <c r="F4625" i="1"/>
  <c r="H4625" i="1"/>
  <c r="I4625" i="1" a="1"/>
  <c r="I4625" i="1" s="1"/>
  <c r="D4626" i="1"/>
  <c r="F4626" i="1"/>
  <c r="H4626" i="1"/>
  <c r="I4626" i="1" a="1"/>
  <c r="I4626" i="1" s="1"/>
  <c r="D4627" i="1"/>
  <c r="F4627" i="1"/>
  <c r="H4627" i="1"/>
  <c r="I4627" i="1" a="1"/>
  <c r="I4627" i="1" s="1"/>
  <c r="D4628" i="1"/>
  <c r="F4628" i="1"/>
  <c r="H4628" i="1"/>
  <c r="I4628" i="1" a="1"/>
  <c r="I4628" i="1" s="1"/>
  <c r="D4629" i="1"/>
  <c r="F4629" i="1"/>
  <c r="H4629" i="1"/>
  <c r="I4629" i="1" a="1"/>
  <c r="I4629" i="1" s="1"/>
  <c r="D4630" i="1"/>
  <c r="F4630" i="1"/>
  <c r="H4630" i="1"/>
  <c r="I4630" i="1" a="1"/>
  <c r="I4630" i="1" s="1"/>
  <c r="D4631" i="1"/>
  <c r="F4631" i="1"/>
  <c r="H4631" i="1"/>
  <c r="I4631" i="1" a="1"/>
  <c r="I4631" i="1" s="1"/>
  <c r="D4632" i="1"/>
  <c r="F4632" i="1"/>
  <c r="H4632" i="1"/>
  <c r="I4632" i="1" a="1"/>
  <c r="I4632" i="1" s="1"/>
  <c r="D4633" i="1"/>
  <c r="F4633" i="1"/>
  <c r="H4633" i="1"/>
  <c r="I4633" i="1" a="1"/>
  <c r="I4633" i="1" s="1"/>
  <c r="D4634" i="1"/>
  <c r="F4634" i="1"/>
  <c r="H4634" i="1"/>
  <c r="I4634" i="1" a="1"/>
  <c r="I4634" i="1" s="1"/>
  <c r="D4635" i="1"/>
  <c r="F4635" i="1"/>
  <c r="H4635" i="1"/>
  <c r="I4635" i="1" a="1"/>
  <c r="I4635" i="1" s="1"/>
  <c r="D4636" i="1"/>
  <c r="F4636" i="1"/>
  <c r="H4636" i="1"/>
  <c r="I4636" i="1" a="1"/>
  <c r="I4636" i="1" s="1"/>
  <c r="D4637" i="1"/>
  <c r="F4637" i="1"/>
  <c r="H4637" i="1"/>
  <c r="I4637" i="1" a="1"/>
  <c r="I4637" i="1" s="1"/>
  <c r="D4638" i="1"/>
  <c r="F4638" i="1"/>
  <c r="H4638" i="1"/>
  <c r="I4638" i="1" a="1"/>
  <c r="I4638" i="1" s="1"/>
  <c r="D4639" i="1"/>
  <c r="F4639" i="1"/>
  <c r="H4639" i="1"/>
  <c r="I4639" i="1" a="1"/>
  <c r="I4639" i="1" s="1"/>
  <c r="D4640" i="1"/>
  <c r="F4640" i="1"/>
  <c r="H4640" i="1"/>
  <c r="I4640" i="1" a="1"/>
  <c r="I4640" i="1" s="1"/>
  <c r="D4641" i="1"/>
  <c r="F4641" i="1"/>
  <c r="H4641" i="1"/>
  <c r="I4641" i="1" a="1"/>
  <c r="I4641" i="1" s="1"/>
  <c r="D4642" i="1"/>
  <c r="F4642" i="1"/>
  <c r="H4642" i="1"/>
  <c r="I4642" i="1" a="1"/>
  <c r="I4642" i="1" s="1"/>
  <c r="D4643" i="1"/>
  <c r="F4643" i="1"/>
  <c r="H4643" i="1"/>
  <c r="I4643" i="1" a="1"/>
  <c r="I4643" i="1" s="1"/>
  <c r="D4644" i="1"/>
  <c r="F4644" i="1"/>
  <c r="H4644" i="1"/>
  <c r="I4644" i="1" a="1"/>
  <c r="I4644" i="1" s="1"/>
  <c r="D4645" i="1"/>
  <c r="F4645" i="1"/>
  <c r="H4645" i="1"/>
  <c r="I4645" i="1" a="1"/>
  <c r="I4645" i="1" s="1"/>
  <c r="D4646" i="1"/>
  <c r="F4646" i="1"/>
  <c r="H4646" i="1"/>
  <c r="I4646" i="1" a="1"/>
  <c r="I4646" i="1" s="1"/>
  <c r="D4647" i="1"/>
  <c r="F4647" i="1"/>
  <c r="H4647" i="1"/>
  <c r="I4647" i="1" a="1"/>
  <c r="I4647" i="1" s="1"/>
  <c r="D4648" i="1"/>
  <c r="F4648" i="1"/>
  <c r="H4648" i="1"/>
  <c r="I4648" i="1" a="1"/>
  <c r="I4648" i="1" s="1"/>
  <c r="D4649" i="1"/>
  <c r="F4649" i="1"/>
  <c r="H4649" i="1"/>
  <c r="I4649" i="1" a="1"/>
  <c r="I4649" i="1" s="1"/>
  <c r="D4650" i="1"/>
  <c r="F4650" i="1"/>
  <c r="H4650" i="1"/>
  <c r="I4650" i="1" a="1"/>
  <c r="I4650" i="1" s="1"/>
  <c r="D4651" i="1"/>
  <c r="F4651" i="1"/>
  <c r="H4651" i="1"/>
  <c r="I4651" i="1" a="1"/>
  <c r="I4651" i="1" s="1"/>
  <c r="D4652" i="1"/>
  <c r="F4652" i="1"/>
  <c r="H4652" i="1"/>
  <c r="I4652" i="1" a="1"/>
  <c r="I4652" i="1" s="1"/>
  <c r="D4653" i="1"/>
  <c r="F4653" i="1"/>
  <c r="H4653" i="1"/>
  <c r="I4653" i="1" a="1"/>
  <c r="I4653" i="1" s="1"/>
  <c r="D4654" i="1"/>
  <c r="F4654" i="1"/>
  <c r="H4654" i="1"/>
  <c r="I4654" i="1" a="1"/>
  <c r="I4654" i="1" s="1"/>
  <c r="D4655" i="1"/>
  <c r="F4655" i="1"/>
  <c r="H4655" i="1"/>
  <c r="I4655" i="1" a="1"/>
  <c r="I4655" i="1" s="1"/>
  <c r="D4656" i="1"/>
  <c r="F4656" i="1"/>
  <c r="H4656" i="1"/>
  <c r="I4656" i="1" a="1"/>
  <c r="I4656" i="1" s="1"/>
  <c r="D4657" i="1"/>
  <c r="F4657" i="1"/>
  <c r="H4657" i="1"/>
  <c r="I4657" i="1" a="1"/>
  <c r="I4657" i="1" s="1"/>
  <c r="D4658" i="1"/>
  <c r="F4658" i="1"/>
  <c r="H4658" i="1"/>
  <c r="I4658" i="1" a="1"/>
  <c r="I4658" i="1" s="1"/>
  <c r="D4659" i="1"/>
  <c r="F4659" i="1"/>
  <c r="H4659" i="1"/>
  <c r="I4659" i="1" a="1"/>
  <c r="I4659" i="1" s="1"/>
  <c r="D4660" i="1"/>
  <c r="F4660" i="1"/>
  <c r="H4660" i="1"/>
  <c r="I4660" i="1" a="1"/>
  <c r="I4660" i="1" s="1"/>
  <c r="D4661" i="1"/>
  <c r="F4661" i="1"/>
  <c r="H4661" i="1"/>
  <c r="I4661" i="1" a="1"/>
  <c r="I4661" i="1" s="1"/>
  <c r="D4662" i="1"/>
  <c r="F4662" i="1"/>
  <c r="H4662" i="1"/>
  <c r="I4662" i="1" a="1"/>
  <c r="I4662" i="1" s="1"/>
  <c r="D4663" i="1"/>
  <c r="F4663" i="1"/>
  <c r="H4663" i="1"/>
  <c r="I4663" i="1" a="1"/>
  <c r="I4663" i="1" s="1"/>
  <c r="D4664" i="1"/>
  <c r="F4664" i="1"/>
  <c r="H4664" i="1"/>
  <c r="I4664" i="1" a="1"/>
  <c r="I4664" i="1" s="1"/>
  <c r="D4665" i="1"/>
  <c r="F4665" i="1"/>
  <c r="H4665" i="1"/>
  <c r="I4665" i="1" a="1"/>
  <c r="I4665" i="1" s="1"/>
  <c r="D4666" i="1"/>
  <c r="F4666" i="1"/>
  <c r="H4666" i="1"/>
  <c r="I4666" i="1" a="1"/>
  <c r="I4666" i="1" s="1"/>
  <c r="D4667" i="1"/>
  <c r="F4667" i="1"/>
  <c r="H4667" i="1"/>
  <c r="I4667" i="1" a="1"/>
  <c r="I4667" i="1" s="1"/>
  <c r="D4668" i="1"/>
  <c r="F4668" i="1"/>
  <c r="H4668" i="1"/>
  <c r="I4668" i="1" a="1"/>
  <c r="I4668" i="1" s="1"/>
  <c r="D4669" i="1"/>
  <c r="F4669" i="1"/>
  <c r="H4669" i="1"/>
  <c r="I4669" i="1" a="1"/>
  <c r="I4669" i="1" s="1"/>
  <c r="D4670" i="1"/>
  <c r="F4670" i="1"/>
  <c r="H4670" i="1"/>
  <c r="I4670" i="1" a="1"/>
  <c r="I4670" i="1" s="1"/>
  <c r="D4671" i="1"/>
  <c r="F4671" i="1"/>
  <c r="H4671" i="1"/>
  <c r="I4671" i="1" a="1"/>
  <c r="I4671" i="1" s="1"/>
  <c r="D4672" i="1"/>
  <c r="F4672" i="1"/>
  <c r="H4672" i="1"/>
  <c r="I4672" i="1" a="1"/>
  <c r="I4672" i="1" s="1"/>
  <c r="D4673" i="1"/>
  <c r="F4673" i="1"/>
  <c r="H4673" i="1"/>
  <c r="I4673" i="1" a="1"/>
  <c r="I4673" i="1" s="1"/>
  <c r="D4674" i="1"/>
  <c r="F4674" i="1"/>
  <c r="H4674" i="1"/>
  <c r="I4674" i="1" a="1"/>
  <c r="I4674" i="1" s="1"/>
  <c r="D4675" i="1"/>
  <c r="F4675" i="1"/>
  <c r="H4675" i="1"/>
  <c r="I4675" i="1" a="1"/>
  <c r="I4675" i="1" s="1"/>
  <c r="D4676" i="1"/>
  <c r="F4676" i="1"/>
  <c r="H4676" i="1"/>
  <c r="I4676" i="1" a="1"/>
  <c r="I4676" i="1" s="1"/>
  <c r="D4677" i="1"/>
  <c r="F4677" i="1"/>
  <c r="H4677" i="1"/>
  <c r="I4677" i="1" a="1"/>
  <c r="I4677" i="1" s="1"/>
  <c r="D4678" i="1"/>
  <c r="F4678" i="1"/>
  <c r="H4678" i="1"/>
  <c r="I4678" i="1" a="1"/>
  <c r="I4678" i="1" s="1"/>
  <c r="D4679" i="1"/>
  <c r="F4679" i="1"/>
  <c r="H4679" i="1"/>
  <c r="I4679" i="1" a="1"/>
  <c r="I4679" i="1" s="1"/>
  <c r="D4680" i="1"/>
  <c r="F4680" i="1"/>
  <c r="H4680" i="1"/>
  <c r="I4680" i="1" a="1"/>
  <c r="I4680" i="1" s="1"/>
  <c r="D4681" i="1"/>
  <c r="F4681" i="1"/>
  <c r="H4681" i="1"/>
  <c r="I4681" i="1" a="1"/>
  <c r="I4681" i="1" s="1"/>
  <c r="D4682" i="1"/>
  <c r="F4682" i="1"/>
  <c r="H4682" i="1"/>
  <c r="I4682" i="1" a="1"/>
  <c r="I4682" i="1" s="1"/>
  <c r="D4683" i="1"/>
  <c r="F4683" i="1"/>
  <c r="H4683" i="1"/>
  <c r="I4683" i="1" a="1"/>
  <c r="I4683" i="1" s="1"/>
  <c r="D4684" i="1"/>
  <c r="F4684" i="1"/>
  <c r="H4684" i="1"/>
  <c r="I4684" i="1" a="1"/>
  <c r="I4684" i="1" s="1"/>
  <c r="D4685" i="1"/>
  <c r="F4685" i="1"/>
  <c r="H4685" i="1"/>
  <c r="I4685" i="1" a="1"/>
  <c r="I4685" i="1" s="1"/>
  <c r="D4686" i="1"/>
  <c r="F4686" i="1"/>
  <c r="H4686" i="1"/>
  <c r="I4686" i="1" a="1"/>
  <c r="I4686" i="1" s="1"/>
  <c r="D4687" i="1"/>
  <c r="F4687" i="1"/>
  <c r="H4687" i="1"/>
  <c r="I4687" i="1" a="1"/>
  <c r="I4687" i="1" s="1"/>
  <c r="D4688" i="1"/>
  <c r="F4688" i="1"/>
  <c r="H4688" i="1"/>
  <c r="I4688" i="1" a="1"/>
  <c r="I4688" i="1" s="1"/>
  <c r="D4689" i="1"/>
  <c r="F4689" i="1"/>
  <c r="H4689" i="1"/>
  <c r="I4689" i="1" a="1"/>
  <c r="I4689" i="1" s="1"/>
  <c r="D4690" i="1"/>
  <c r="F4690" i="1"/>
  <c r="H4690" i="1"/>
  <c r="I4690" i="1" a="1"/>
  <c r="I4690" i="1" s="1"/>
  <c r="D4691" i="1"/>
  <c r="F4691" i="1"/>
  <c r="H4691" i="1"/>
  <c r="I4691" i="1" a="1"/>
  <c r="I4691" i="1" s="1"/>
  <c r="D4692" i="1"/>
  <c r="F4692" i="1"/>
  <c r="H4692" i="1"/>
  <c r="I4692" i="1" a="1"/>
  <c r="I4692" i="1" s="1"/>
  <c r="D4693" i="1"/>
  <c r="F4693" i="1"/>
  <c r="H4693" i="1"/>
  <c r="I4693" i="1" a="1"/>
  <c r="I4693" i="1" s="1"/>
  <c r="D4694" i="1"/>
  <c r="F4694" i="1"/>
  <c r="H4694" i="1"/>
  <c r="I4694" i="1" a="1"/>
  <c r="I4694" i="1" s="1"/>
  <c r="D4695" i="1"/>
  <c r="F4695" i="1"/>
  <c r="H4695" i="1"/>
  <c r="I4695" i="1" a="1"/>
  <c r="I4695" i="1" s="1"/>
  <c r="D4696" i="1"/>
  <c r="F4696" i="1"/>
  <c r="H4696" i="1"/>
  <c r="I4696" i="1" a="1"/>
  <c r="I4696" i="1" s="1"/>
  <c r="D4697" i="1"/>
  <c r="F4697" i="1"/>
  <c r="H4697" i="1"/>
  <c r="I4697" i="1" a="1"/>
  <c r="I4697" i="1" s="1"/>
  <c r="D4698" i="1"/>
  <c r="F4698" i="1"/>
  <c r="H4698" i="1"/>
  <c r="I4698" i="1" a="1"/>
  <c r="I4698" i="1" s="1"/>
  <c r="D4699" i="1"/>
  <c r="F4699" i="1"/>
  <c r="H4699" i="1"/>
  <c r="I4699" i="1" a="1"/>
  <c r="I4699" i="1" s="1"/>
  <c r="D4700" i="1"/>
  <c r="F4700" i="1"/>
  <c r="H4700" i="1"/>
  <c r="I4700" i="1" a="1"/>
  <c r="I4700" i="1" s="1"/>
  <c r="D4701" i="1"/>
  <c r="F4701" i="1"/>
  <c r="H4701" i="1"/>
  <c r="I4701" i="1" a="1"/>
  <c r="I4701" i="1" s="1"/>
  <c r="D4702" i="1"/>
  <c r="F4702" i="1"/>
  <c r="H4702" i="1"/>
  <c r="I4702" i="1" a="1"/>
  <c r="I4702" i="1" s="1"/>
  <c r="D4703" i="1"/>
  <c r="F4703" i="1"/>
  <c r="H4703" i="1"/>
  <c r="I4703" i="1" a="1"/>
  <c r="I4703" i="1" s="1"/>
  <c r="D4704" i="1"/>
  <c r="F4704" i="1"/>
  <c r="H4704" i="1"/>
  <c r="I4704" i="1" a="1"/>
  <c r="I4704" i="1" s="1"/>
  <c r="D4705" i="1"/>
  <c r="F4705" i="1"/>
  <c r="H4705" i="1"/>
  <c r="I4705" i="1" a="1"/>
  <c r="I4705" i="1" s="1"/>
  <c r="D4706" i="1"/>
  <c r="F4706" i="1"/>
  <c r="H4706" i="1"/>
  <c r="I4706" i="1" a="1"/>
  <c r="I4706" i="1" s="1"/>
  <c r="D4707" i="1"/>
  <c r="F4707" i="1"/>
  <c r="H4707" i="1"/>
  <c r="I4707" i="1" a="1"/>
  <c r="I4707" i="1" s="1"/>
  <c r="D4708" i="1"/>
  <c r="F4708" i="1"/>
  <c r="H4708" i="1"/>
  <c r="I4708" i="1" a="1"/>
  <c r="I4708" i="1" s="1"/>
  <c r="D4709" i="1"/>
  <c r="F4709" i="1"/>
  <c r="H4709" i="1"/>
  <c r="I4709" i="1" a="1"/>
  <c r="I4709" i="1" s="1"/>
  <c r="D4710" i="1"/>
  <c r="F4710" i="1"/>
  <c r="H4710" i="1"/>
  <c r="I4710" i="1" a="1"/>
  <c r="I4710" i="1" s="1"/>
  <c r="D4711" i="1"/>
  <c r="F4711" i="1"/>
  <c r="H4711" i="1"/>
  <c r="I4711" i="1" a="1"/>
  <c r="I4711" i="1" s="1"/>
  <c r="D4712" i="1"/>
  <c r="F4712" i="1"/>
  <c r="H4712" i="1"/>
  <c r="I4712" i="1" a="1"/>
  <c r="I4712" i="1" s="1"/>
  <c r="D4713" i="1"/>
  <c r="F4713" i="1"/>
  <c r="H4713" i="1"/>
  <c r="I4713" i="1" a="1"/>
  <c r="I4713" i="1" s="1"/>
  <c r="D4714" i="1"/>
  <c r="F4714" i="1"/>
  <c r="H4714" i="1"/>
  <c r="I4714" i="1" a="1"/>
  <c r="I4714" i="1" s="1"/>
  <c r="D4715" i="1"/>
  <c r="F4715" i="1"/>
  <c r="H4715" i="1"/>
  <c r="I4715" i="1" a="1"/>
  <c r="I4715" i="1" s="1"/>
  <c r="D4716" i="1"/>
  <c r="F4716" i="1"/>
  <c r="H4716" i="1"/>
  <c r="I4716" i="1" a="1"/>
  <c r="I4716" i="1" s="1"/>
  <c r="D4717" i="1"/>
  <c r="F4717" i="1"/>
  <c r="H4717" i="1"/>
  <c r="I4717" i="1" a="1"/>
  <c r="I4717" i="1" s="1"/>
  <c r="D4718" i="1"/>
  <c r="F4718" i="1"/>
  <c r="H4718" i="1"/>
  <c r="I4718" i="1" a="1"/>
  <c r="I4718" i="1" s="1"/>
  <c r="D4719" i="1"/>
  <c r="F4719" i="1"/>
  <c r="H4719" i="1"/>
  <c r="I4719" i="1" a="1"/>
  <c r="I4719" i="1" s="1"/>
  <c r="D4720" i="1"/>
  <c r="F4720" i="1"/>
  <c r="H4720" i="1"/>
  <c r="I4720" i="1" a="1"/>
  <c r="I4720" i="1" s="1"/>
  <c r="D4721" i="1"/>
  <c r="F4721" i="1"/>
  <c r="H4721" i="1"/>
  <c r="I4721" i="1" a="1"/>
  <c r="I4721" i="1" s="1"/>
  <c r="D4722" i="1"/>
  <c r="F4722" i="1"/>
  <c r="H4722" i="1"/>
  <c r="I4722" i="1" a="1"/>
  <c r="I4722" i="1" s="1"/>
  <c r="D4723" i="1"/>
  <c r="F4723" i="1"/>
  <c r="H4723" i="1"/>
  <c r="I4723" i="1" a="1"/>
  <c r="I4723" i="1" s="1"/>
  <c r="D4724" i="1"/>
  <c r="F4724" i="1"/>
  <c r="H4724" i="1"/>
  <c r="I4724" i="1" a="1"/>
  <c r="I4724" i="1" s="1"/>
  <c r="D4725" i="1"/>
  <c r="F4725" i="1"/>
  <c r="H4725" i="1"/>
  <c r="I4725" i="1" a="1"/>
  <c r="I4725" i="1" s="1"/>
  <c r="D4726" i="1"/>
  <c r="F4726" i="1"/>
  <c r="H4726" i="1"/>
  <c r="I4726" i="1" a="1"/>
  <c r="I4726" i="1" s="1"/>
  <c r="D4727" i="1"/>
  <c r="F4727" i="1"/>
  <c r="H4727" i="1"/>
  <c r="I4727" i="1" a="1"/>
  <c r="I4727" i="1" s="1"/>
  <c r="D4728" i="1"/>
  <c r="F4728" i="1"/>
  <c r="H4728" i="1"/>
  <c r="I4728" i="1" a="1"/>
  <c r="I4728" i="1" s="1"/>
  <c r="D4729" i="1"/>
  <c r="F4729" i="1"/>
  <c r="H4729" i="1"/>
  <c r="I4729" i="1" a="1"/>
  <c r="I4729" i="1" s="1"/>
  <c r="D4730" i="1"/>
  <c r="F4730" i="1"/>
  <c r="H4730" i="1"/>
  <c r="I4730" i="1" a="1"/>
  <c r="I4730" i="1" s="1"/>
  <c r="D4731" i="1"/>
  <c r="F4731" i="1"/>
  <c r="H4731" i="1"/>
  <c r="I4731" i="1" a="1"/>
  <c r="I4731" i="1" s="1"/>
  <c r="D4732" i="1"/>
  <c r="F4732" i="1"/>
  <c r="H4732" i="1"/>
  <c r="I4732" i="1" a="1"/>
  <c r="I4732" i="1" s="1"/>
  <c r="D4733" i="1"/>
  <c r="F4733" i="1"/>
  <c r="H4733" i="1"/>
  <c r="I4733" i="1" a="1"/>
  <c r="I4733" i="1" s="1"/>
  <c r="D4734" i="1"/>
  <c r="F4734" i="1"/>
  <c r="H4734" i="1"/>
  <c r="I4734" i="1" a="1"/>
  <c r="I4734" i="1" s="1"/>
  <c r="D4735" i="1"/>
  <c r="F4735" i="1"/>
  <c r="H4735" i="1"/>
  <c r="I4735" i="1" a="1"/>
  <c r="I4735" i="1" s="1"/>
  <c r="D4736" i="1"/>
  <c r="F4736" i="1"/>
  <c r="H4736" i="1"/>
  <c r="I4736" i="1" a="1"/>
  <c r="I4736" i="1" s="1"/>
  <c r="D4737" i="1"/>
  <c r="F4737" i="1"/>
  <c r="H4737" i="1"/>
  <c r="I4737" i="1" a="1"/>
  <c r="I4737" i="1" s="1"/>
  <c r="D4738" i="1"/>
  <c r="F4738" i="1"/>
  <c r="H4738" i="1"/>
  <c r="I4738" i="1" a="1"/>
  <c r="I4738" i="1" s="1"/>
  <c r="D4739" i="1"/>
  <c r="F4739" i="1"/>
  <c r="H4739" i="1"/>
  <c r="I4739" i="1" a="1"/>
  <c r="I4739" i="1" s="1"/>
  <c r="D4740" i="1"/>
  <c r="F4740" i="1"/>
  <c r="H4740" i="1"/>
  <c r="I4740" i="1" a="1"/>
  <c r="I4740" i="1" s="1"/>
  <c r="D4741" i="1"/>
  <c r="F4741" i="1"/>
  <c r="H4741" i="1"/>
  <c r="I4741" i="1" a="1"/>
  <c r="I4741" i="1" s="1"/>
  <c r="D4742" i="1"/>
  <c r="F4742" i="1"/>
  <c r="H4742" i="1"/>
  <c r="I4742" i="1" a="1"/>
  <c r="I4742" i="1" s="1"/>
  <c r="D4743" i="1"/>
  <c r="F4743" i="1"/>
  <c r="H4743" i="1"/>
  <c r="I4743" i="1" a="1"/>
  <c r="I4743" i="1" s="1"/>
  <c r="D4744" i="1"/>
  <c r="F4744" i="1"/>
  <c r="H4744" i="1"/>
  <c r="I4744" i="1" a="1"/>
  <c r="I4744" i="1" s="1"/>
  <c r="D4745" i="1"/>
  <c r="F4745" i="1"/>
  <c r="H4745" i="1"/>
  <c r="I4745" i="1" a="1"/>
  <c r="I4745" i="1" s="1"/>
  <c r="D4746" i="1"/>
  <c r="F4746" i="1"/>
  <c r="H4746" i="1"/>
  <c r="I4746" i="1" a="1"/>
  <c r="I4746" i="1" s="1"/>
  <c r="D4747" i="1"/>
  <c r="F4747" i="1"/>
  <c r="H4747" i="1"/>
  <c r="I4747" i="1" a="1"/>
  <c r="I4747" i="1" s="1"/>
  <c r="D4748" i="1"/>
  <c r="F4748" i="1"/>
  <c r="H4748" i="1"/>
  <c r="I4748" i="1" a="1"/>
  <c r="I4748" i="1" s="1"/>
  <c r="D4749" i="1"/>
  <c r="F4749" i="1"/>
  <c r="H4749" i="1"/>
  <c r="I4749" i="1" a="1"/>
  <c r="I4749" i="1" s="1"/>
  <c r="D4750" i="1"/>
  <c r="F4750" i="1"/>
  <c r="H4750" i="1"/>
  <c r="I4750" i="1" a="1"/>
  <c r="I4750" i="1" s="1"/>
  <c r="D4751" i="1"/>
  <c r="F4751" i="1"/>
  <c r="H4751" i="1"/>
  <c r="I4751" i="1" a="1"/>
  <c r="I4751" i="1" s="1"/>
  <c r="D4752" i="1"/>
  <c r="F4752" i="1"/>
  <c r="H4752" i="1"/>
  <c r="I4752" i="1" a="1"/>
  <c r="I4752" i="1" s="1"/>
  <c r="D4753" i="1"/>
  <c r="F4753" i="1"/>
  <c r="H4753" i="1"/>
  <c r="I4753" i="1" a="1"/>
  <c r="I4753" i="1" s="1"/>
  <c r="D4754" i="1"/>
  <c r="F4754" i="1"/>
  <c r="H4754" i="1"/>
  <c r="I4754" i="1" a="1"/>
  <c r="I4754" i="1" s="1"/>
  <c r="D4755" i="1"/>
  <c r="F4755" i="1"/>
  <c r="H4755" i="1"/>
  <c r="I4755" i="1" a="1"/>
  <c r="I4755" i="1" s="1"/>
  <c r="D4756" i="1"/>
  <c r="F4756" i="1"/>
  <c r="H4756" i="1"/>
  <c r="I4756" i="1" a="1"/>
  <c r="I4756" i="1" s="1"/>
  <c r="D4757" i="1"/>
  <c r="F4757" i="1"/>
  <c r="H4757" i="1"/>
  <c r="I4757" i="1" a="1"/>
  <c r="I4757" i="1" s="1"/>
  <c r="D4758" i="1"/>
  <c r="F4758" i="1"/>
  <c r="H4758" i="1"/>
  <c r="I4758" i="1" a="1"/>
  <c r="I4758" i="1" s="1"/>
  <c r="D4759" i="1"/>
  <c r="F4759" i="1"/>
  <c r="H4759" i="1"/>
  <c r="I4759" i="1" a="1"/>
  <c r="I4759" i="1" s="1"/>
  <c r="D4760" i="1"/>
  <c r="F4760" i="1"/>
  <c r="H4760" i="1"/>
  <c r="I4760" i="1" a="1"/>
  <c r="I4760" i="1" s="1"/>
  <c r="D4761" i="1"/>
  <c r="F4761" i="1"/>
  <c r="H4761" i="1"/>
  <c r="I4761" i="1" a="1"/>
  <c r="I4761" i="1" s="1"/>
  <c r="D4762" i="1"/>
  <c r="F4762" i="1"/>
  <c r="H4762" i="1"/>
  <c r="I4762" i="1" a="1"/>
  <c r="I4762" i="1" s="1"/>
  <c r="D4763" i="1"/>
  <c r="F4763" i="1"/>
  <c r="H4763" i="1"/>
  <c r="I4763" i="1" a="1"/>
  <c r="I4763" i="1" s="1"/>
  <c r="D4764" i="1"/>
  <c r="F4764" i="1"/>
  <c r="H4764" i="1"/>
  <c r="I4764" i="1" a="1"/>
  <c r="I4764" i="1" s="1"/>
  <c r="D4765" i="1"/>
  <c r="F4765" i="1"/>
  <c r="H4765" i="1"/>
  <c r="I4765" i="1" a="1"/>
  <c r="I4765" i="1" s="1"/>
  <c r="D4766" i="1"/>
  <c r="F4766" i="1"/>
  <c r="H4766" i="1"/>
  <c r="I4766" i="1" a="1"/>
  <c r="I4766" i="1" s="1"/>
  <c r="D4767" i="1"/>
  <c r="F4767" i="1"/>
  <c r="H4767" i="1"/>
  <c r="I4767" i="1" a="1"/>
  <c r="I4767" i="1" s="1"/>
  <c r="D4768" i="1"/>
  <c r="F4768" i="1"/>
  <c r="H4768" i="1"/>
  <c r="I4768" i="1" a="1"/>
  <c r="I4768" i="1" s="1"/>
  <c r="D4769" i="1"/>
  <c r="F4769" i="1"/>
  <c r="H4769" i="1"/>
  <c r="I4769" i="1" a="1"/>
  <c r="I4769" i="1" s="1"/>
  <c r="D4770" i="1"/>
  <c r="F4770" i="1"/>
  <c r="H4770" i="1"/>
  <c r="I4770" i="1" a="1"/>
  <c r="I4770" i="1" s="1"/>
  <c r="D4771" i="1"/>
  <c r="F4771" i="1"/>
  <c r="H4771" i="1"/>
  <c r="I4771" i="1" a="1"/>
  <c r="I4771" i="1" s="1"/>
  <c r="D4772" i="1"/>
  <c r="F4772" i="1"/>
  <c r="H4772" i="1"/>
  <c r="I4772" i="1" a="1"/>
  <c r="I4772" i="1" s="1"/>
  <c r="D4773" i="1"/>
  <c r="F4773" i="1"/>
  <c r="H4773" i="1"/>
  <c r="I4773" i="1" a="1"/>
  <c r="I4773" i="1" s="1"/>
  <c r="D4774" i="1"/>
  <c r="F4774" i="1"/>
  <c r="H4774" i="1"/>
  <c r="I4774" i="1" a="1"/>
  <c r="I4774" i="1" s="1"/>
  <c r="D4775" i="1"/>
  <c r="F4775" i="1"/>
  <c r="H4775" i="1"/>
  <c r="I4775" i="1" a="1"/>
  <c r="I4775" i="1" s="1"/>
  <c r="D4776" i="1"/>
  <c r="F4776" i="1"/>
  <c r="H4776" i="1"/>
  <c r="I4776" i="1" a="1"/>
  <c r="I4776" i="1" s="1"/>
  <c r="D4777" i="1"/>
  <c r="F4777" i="1"/>
  <c r="H4777" i="1"/>
  <c r="I4777" i="1" a="1"/>
  <c r="I4777" i="1" s="1"/>
  <c r="D4778" i="1"/>
  <c r="F4778" i="1"/>
  <c r="H4778" i="1"/>
  <c r="I4778" i="1" a="1"/>
  <c r="I4778" i="1" s="1"/>
  <c r="D4779" i="1"/>
  <c r="F4779" i="1"/>
  <c r="H4779" i="1"/>
  <c r="I4779" i="1" a="1"/>
  <c r="I4779" i="1" s="1"/>
  <c r="D4780" i="1"/>
  <c r="F4780" i="1"/>
  <c r="H4780" i="1"/>
  <c r="I4780" i="1" a="1"/>
  <c r="I4780" i="1" s="1"/>
  <c r="D4781" i="1"/>
  <c r="F4781" i="1"/>
  <c r="H4781" i="1"/>
  <c r="I4781" i="1" a="1"/>
  <c r="I4781" i="1" s="1"/>
  <c r="D4782" i="1"/>
  <c r="F4782" i="1"/>
  <c r="H4782" i="1"/>
  <c r="I4782" i="1" a="1"/>
  <c r="I4782" i="1" s="1"/>
  <c r="D4783" i="1"/>
  <c r="F4783" i="1"/>
  <c r="H4783" i="1"/>
  <c r="I4783" i="1" a="1"/>
  <c r="I4783" i="1" s="1"/>
  <c r="D4784" i="1"/>
  <c r="F4784" i="1"/>
  <c r="H4784" i="1"/>
  <c r="I4784" i="1" a="1"/>
  <c r="I4784" i="1" s="1"/>
  <c r="D4785" i="1"/>
  <c r="F4785" i="1"/>
  <c r="H4785" i="1"/>
  <c r="I4785" i="1" a="1"/>
  <c r="I4785" i="1" s="1"/>
  <c r="D4786" i="1"/>
  <c r="F4786" i="1"/>
  <c r="H4786" i="1"/>
  <c r="I4786" i="1" a="1"/>
  <c r="I4786" i="1" s="1"/>
  <c r="D4787" i="1"/>
  <c r="F4787" i="1"/>
  <c r="H4787" i="1"/>
  <c r="I4787" i="1" a="1"/>
  <c r="I4787" i="1" s="1"/>
  <c r="D4788" i="1"/>
  <c r="F4788" i="1"/>
  <c r="H4788" i="1"/>
  <c r="I4788" i="1" a="1"/>
  <c r="I4788" i="1" s="1"/>
  <c r="D4789" i="1"/>
  <c r="F4789" i="1"/>
  <c r="H4789" i="1"/>
  <c r="I4789" i="1" a="1"/>
  <c r="I4789" i="1" s="1"/>
  <c r="D4790" i="1"/>
  <c r="F4790" i="1"/>
  <c r="H4790" i="1"/>
  <c r="I4790" i="1" a="1"/>
  <c r="I4790" i="1" s="1"/>
  <c r="D4791" i="1"/>
  <c r="F4791" i="1"/>
  <c r="H4791" i="1"/>
  <c r="I4791" i="1" a="1"/>
  <c r="I4791" i="1" s="1"/>
  <c r="D4792" i="1"/>
  <c r="F4792" i="1"/>
  <c r="H4792" i="1"/>
  <c r="I4792" i="1" a="1"/>
  <c r="I4792" i="1" s="1"/>
  <c r="D4793" i="1"/>
  <c r="F4793" i="1"/>
  <c r="H4793" i="1"/>
  <c r="I4793" i="1" a="1"/>
  <c r="I4793" i="1" s="1"/>
  <c r="D4794" i="1"/>
  <c r="F4794" i="1"/>
  <c r="H4794" i="1"/>
  <c r="I4794" i="1" a="1"/>
  <c r="I4794" i="1" s="1"/>
  <c r="D4795" i="1"/>
  <c r="F4795" i="1"/>
  <c r="H4795" i="1"/>
  <c r="I4795" i="1" a="1"/>
  <c r="I4795" i="1" s="1"/>
  <c r="D4796" i="1"/>
  <c r="F4796" i="1"/>
  <c r="H4796" i="1"/>
  <c r="I4796" i="1" a="1"/>
  <c r="I4796" i="1" s="1"/>
  <c r="D4797" i="1"/>
  <c r="F4797" i="1"/>
  <c r="H4797" i="1"/>
  <c r="I4797" i="1" a="1"/>
  <c r="I4797" i="1" s="1"/>
  <c r="D4798" i="1"/>
  <c r="F4798" i="1"/>
  <c r="H4798" i="1"/>
  <c r="I4798" i="1" a="1"/>
  <c r="I4798" i="1" s="1"/>
  <c r="D4799" i="1"/>
  <c r="F4799" i="1"/>
  <c r="H4799" i="1"/>
  <c r="I4799" i="1" a="1"/>
  <c r="I4799" i="1" s="1"/>
  <c r="D4800" i="1"/>
  <c r="F4800" i="1"/>
  <c r="H4800" i="1"/>
  <c r="I4800" i="1" a="1"/>
  <c r="I4800" i="1" s="1"/>
  <c r="D4801" i="1"/>
  <c r="F4801" i="1"/>
  <c r="H4801" i="1"/>
  <c r="I4801" i="1" a="1"/>
  <c r="I4801" i="1" s="1"/>
  <c r="D4802" i="1"/>
  <c r="F4802" i="1"/>
  <c r="H4802" i="1"/>
  <c r="I4802" i="1" a="1"/>
  <c r="I4802" i="1" s="1"/>
  <c r="D4803" i="1"/>
  <c r="F4803" i="1"/>
  <c r="H4803" i="1"/>
  <c r="I4803" i="1" a="1"/>
  <c r="I4803" i="1" s="1"/>
  <c r="D4804" i="1"/>
  <c r="F4804" i="1"/>
  <c r="H4804" i="1"/>
  <c r="I4804" i="1" a="1"/>
  <c r="I4804" i="1" s="1"/>
  <c r="D4805" i="1"/>
  <c r="F4805" i="1"/>
  <c r="H4805" i="1"/>
  <c r="I4805" i="1" a="1"/>
  <c r="I4805" i="1" s="1"/>
  <c r="D4806" i="1"/>
  <c r="F4806" i="1"/>
  <c r="H4806" i="1"/>
  <c r="I4806" i="1" a="1"/>
  <c r="I4806" i="1" s="1"/>
  <c r="D4807" i="1"/>
  <c r="F4807" i="1"/>
  <c r="H4807" i="1"/>
  <c r="I4807" i="1" a="1"/>
  <c r="I4807" i="1" s="1"/>
  <c r="D4808" i="1"/>
  <c r="F4808" i="1"/>
  <c r="H4808" i="1"/>
  <c r="I4808" i="1" a="1"/>
  <c r="I4808" i="1" s="1"/>
  <c r="D4809" i="1"/>
  <c r="F4809" i="1"/>
  <c r="H4809" i="1"/>
  <c r="I4809" i="1" a="1"/>
  <c r="I4809" i="1" s="1"/>
  <c r="D4810" i="1"/>
  <c r="F4810" i="1"/>
  <c r="H4810" i="1"/>
  <c r="I4810" i="1" a="1"/>
  <c r="I4810" i="1" s="1"/>
  <c r="D4811" i="1"/>
  <c r="F4811" i="1"/>
  <c r="H4811" i="1"/>
  <c r="I4811" i="1" a="1"/>
  <c r="I4811" i="1" s="1"/>
  <c r="D4812" i="1"/>
  <c r="F4812" i="1"/>
  <c r="H4812" i="1"/>
  <c r="I4812" i="1" a="1"/>
  <c r="I4812" i="1" s="1"/>
  <c r="D4813" i="1"/>
  <c r="F4813" i="1"/>
  <c r="H4813" i="1"/>
  <c r="I4813" i="1" a="1"/>
  <c r="I4813" i="1" s="1"/>
  <c r="D4814" i="1"/>
  <c r="F4814" i="1"/>
  <c r="H4814" i="1"/>
  <c r="I4814" i="1" a="1"/>
  <c r="I4814" i="1" s="1"/>
  <c r="D4815" i="1"/>
  <c r="F4815" i="1"/>
  <c r="H4815" i="1"/>
  <c r="I4815" i="1" a="1"/>
  <c r="I4815" i="1" s="1"/>
  <c r="D4816" i="1"/>
  <c r="F4816" i="1"/>
  <c r="H4816" i="1"/>
  <c r="I4816" i="1" a="1"/>
  <c r="I4816" i="1" s="1"/>
  <c r="D4817" i="1"/>
  <c r="F4817" i="1"/>
  <c r="H4817" i="1"/>
  <c r="I4817" i="1" a="1"/>
  <c r="I4817" i="1" s="1"/>
  <c r="D4818" i="1"/>
  <c r="F4818" i="1"/>
  <c r="H4818" i="1"/>
  <c r="I4818" i="1" a="1"/>
  <c r="I4818" i="1" s="1"/>
  <c r="D4819" i="1"/>
  <c r="F4819" i="1"/>
  <c r="H4819" i="1"/>
  <c r="I4819" i="1" a="1"/>
  <c r="I4819" i="1" s="1"/>
  <c r="D4820" i="1"/>
  <c r="F4820" i="1"/>
  <c r="H4820" i="1"/>
  <c r="I4820" i="1" a="1"/>
  <c r="I4820" i="1" s="1"/>
  <c r="D4821" i="1"/>
  <c r="F4821" i="1"/>
  <c r="H4821" i="1"/>
  <c r="I4821" i="1" a="1"/>
  <c r="I4821" i="1" s="1"/>
  <c r="D4822" i="1"/>
  <c r="F4822" i="1"/>
  <c r="H4822" i="1"/>
  <c r="I4822" i="1" a="1"/>
  <c r="I4822" i="1" s="1"/>
  <c r="D4823" i="1"/>
  <c r="F4823" i="1"/>
  <c r="H4823" i="1"/>
  <c r="I4823" i="1" a="1"/>
  <c r="I4823" i="1" s="1"/>
  <c r="D4824" i="1"/>
  <c r="F4824" i="1"/>
  <c r="H4824" i="1"/>
  <c r="I4824" i="1" a="1"/>
  <c r="I4824" i="1" s="1"/>
  <c r="D4825" i="1"/>
  <c r="F4825" i="1"/>
  <c r="H4825" i="1"/>
  <c r="I4825" i="1" a="1"/>
  <c r="I4825" i="1" s="1"/>
  <c r="D4826" i="1"/>
  <c r="F4826" i="1"/>
  <c r="H4826" i="1"/>
  <c r="I4826" i="1" a="1"/>
  <c r="I4826" i="1" s="1"/>
  <c r="D4827" i="1"/>
  <c r="F4827" i="1"/>
  <c r="H4827" i="1"/>
  <c r="I4827" i="1" a="1"/>
  <c r="I4827" i="1" s="1"/>
  <c r="D4828" i="1"/>
  <c r="F4828" i="1"/>
  <c r="H4828" i="1"/>
  <c r="I4828" i="1" a="1"/>
  <c r="I4828" i="1" s="1"/>
  <c r="D4829" i="1"/>
  <c r="F4829" i="1"/>
  <c r="H4829" i="1"/>
  <c r="I4829" i="1" a="1"/>
  <c r="I4829" i="1" s="1"/>
  <c r="D4830" i="1"/>
  <c r="F4830" i="1"/>
  <c r="H4830" i="1"/>
  <c r="I4830" i="1" a="1"/>
  <c r="I4830" i="1" s="1"/>
  <c r="D4831" i="1"/>
  <c r="F4831" i="1"/>
  <c r="H4831" i="1"/>
  <c r="I4831" i="1" a="1"/>
  <c r="I4831" i="1" s="1"/>
  <c r="D4832" i="1"/>
  <c r="F4832" i="1"/>
  <c r="H4832" i="1"/>
  <c r="I4832" i="1" a="1"/>
  <c r="I4832" i="1" s="1"/>
  <c r="D4833" i="1"/>
  <c r="F4833" i="1"/>
  <c r="H4833" i="1"/>
  <c r="I4833" i="1" a="1"/>
  <c r="I4833" i="1" s="1"/>
  <c r="D4834" i="1"/>
  <c r="F4834" i="1"/>
  <c r="H4834" i="1"/>
  <c r="I4834" i="1" a="1"/>
  <c r="I4834" i="1" s="1"/>
  <c r="D4835" i="1"/>
  <c r="F4835" i="1"/>
  <c r="H4835" i="1"/>
  <c r="I4835" i="1" a="1"/>
  <c r="I4835" i="1" s="1"/>
  <c r="D4836" i="1"/>
  <c r="F4836" i="1"/>
  <c r="H4836" i="1"/>
  <c r="I4836" i="1" a="1"/>
  <c r="I4836" i="1" s="1"/>
  <c r="D4837" i="1"/>
  <c r="F4837" i="1"/>
  <c r="H4837" i="1"/>
  <c r="I4837" i="1" a="1"/>
  <c r="I4837" i="1" s="1"/>
  <c r="D4838" i="1"/>
  <c r="F4838" i="1"/>
  <c r="H4838" i="1"/>
  <c r="I4838" i="1" a="1"/>
  <c r="I4838" i="1" s="1"/>
  <c r="D4839" i="1"/>
  <c r="F4839" i="1"/>
  <c r="H4839" i="1"/>
  <c r="I4839" i="1" a="1"/>
  <c r="I4839" i="1" s="1"/>
  <c r="D4840" i="1"/>
  <c r="F4840" i="1"/>
  <c r="H4840" i="1"/>
  <c r="I4840" i="1" a="1"/>
  <c r="I4840" i="1" s="1"/>
  <c r="D4841" i="1"/>
  <c r="F4841" i="1"/>
  <c r="H4841" i="1"/>
  <c r="I4841" i="1" a="1"/>
  <c r="I4841" i="1" s="1"/>
  <c r="D4842" i="1"/>
  <c r="F4842" i="1"/>
  <c r="H4842" i="1"/>
  <c r="I4842" i="1" a="1"/>
  <c r="I4842" i="1" s="1"/>
  <c r="D4843" i="1"/>
  <c r="F4843" i="1"/>
  <c r="H4843" i="1"/>
  <c r="I4843" i="1" a="1"/>
  <c r="I4843" i="1" s="1"/>
  <c r="D4844" i="1"/>
  <c r="F4844" i="1"/>
  <c r="H4844" i="1"/>
  <c r="I4844" i="1" a="1"/>
  <c r="I4844" i="1" s="1"/>
  <c r="D4845" i="1"/>
  <c r="F4845" i="1"/>
  <c r="H4845" i="1"/>
  <c r="I4845" i="1" a="1"/>
  <c r="I4845" i="1" s="1"/>
  <c r="D4846" i="1"/>
  <c r="F4846" i="1"/>
  <c r="H4846" i="1"/>
  <c r="I4846" i="1" a="1"/>
  <c r="I4846" i="1" s="1"/>
  <c r="D4847" i="1"/>
  <c r="F4847" i="1"/>
  <c r="H4847" i="1"/>
  <c r="I4847" i="1" a="1"/>
  <c r="I4847" i="1" s="1"/>
  <c r="D4848" i="1"/>
  <c r="F4848" i="1"/>
  <c r="H4848" i="1"/>
  <c r="I4848" i="1" a="1"/>
  <c r="I4848" i="1" s="1"/>
  <c r="D4849" i="1"/>
  <c r="F4849" i="1"/>
  <c r="H4849" i="1"/>
  <c r="I4849" i="1" a="1"/>
  <c r="I4849" i="1" s="1"/>
  <c r="D4850" i="1"/>
  <c r="F4850" i="1"/>
  <c r="H4850" i="1"/>
  <c r="I4850" i="1" a="1"/>
  <c r="I4850" i="1" s="1"/>
  <c r="D4851" i="1"/>
  <c r="F4851" i="1"/>
  <c r="H4851" i="1"/>
  <c r="I4851" i="1" a="1"/>
  <c r="I4851" i="1" s="1"/>
  <c r="D4852" i="1"/>
  <c r="F4852" i="1"/>
  <c r="H4852" i="1"/>
  <c r="I4852" i="1" a="1"/>
  <c r="I4852" i="1" s="1"/>
  <c r="D4853" i="1"/>
  <c r="F4853" i="1"/>
  <c r="H4853" i="1"/>
  <c r="I4853" i="1" a="1"/>
  <c r="I4853" i="1" s="1"/>
  <c r="D4854" i="1"/>
  <c r="F4854" i="1"/>
  <c r="H4854" i="1"/>
  <c r="I4854" i="1" a="1"/>
  <c r="I4854" i="1" s="1"/>
  <c r="D4855" i="1"/>
  <c r="F4855" i="1"/>
  <c r="H4855" i="1"/>
  <c r="I4855" i="1" a="1"/>
  <c r="I4855" i="1" s="1"/>
  <c r="D4856" i="1"/>
  <c r="F4856" i="1"/>
  <c r="H4856" i="1"/>
  <c r="I4856" i="1" a="1"/>
  <c r="I4856" i="1" s="1"/>
  <c r="D4857" i="1"/>
  <c r="F4857" i="1"/>
  <c r="H4857" i="1"/>
  <c r="I4857" i="1" a="1"/>
  <c r="I4857" i="1" s="1"/>
  <c r="D4858" i="1"/>
  <c r="F4858" i="1"/>
  <c r="H4858" i="1"/>
  <c r="I4858" i="1" a="1"/>
  <c r="I4858" i="1" s="1"/>
  <c r="D4859" i="1"/>
  <c r="F4859" i="1"/>
  <c r="H4859" i="1"/>
  <c r="I4859" i="1" a="1"/>
  <c r="I4859" i="1" s="1"/>
  <c r="D4860" i="1"/>
  <c r="F4860" i="1"/>
  <c r="H4860" i="1"/>
  <c r="I4860" i="1" a="1"/>
  <c r="I4860" i="1" s="1"/>
  <c r="D4861" i="1"/>
  <c r="F4861" i="1"/>
  <c r="H4861" i="1"/>
  <c r="I4861" i="1" a="1"/>
  <c r="I4861" i="1" s="1"/>
  <c r="D4862" i="1"/>
  <c r="F4862" i="1"/>
  <c r="H4862" i="1"/>
  <c r="I4862" i="1" a="1"/>
  <c r="I4862" i="1" s="1"/>
  <c r="D4863" i="1"/>
  <c r="F4863" i="1"/>
  <c r="H4863" i="1"/>
  <c r="I4863" i="1" a="1"/>
  <c r="I4863" i="1" s="1"/>
  <c r="D4864" i="1"/>
  <c r="F4864" i="1"/>
  <c r="H4864" i="1"/>
  <c r="I4864" i="1" a="1"/>
  <c r="I4864" i="1" s="1"/>
  <c r="D4865" i="1"/>
  <c r="F4865" i="1"/>
  <c r="H4865" i="1"/>
  <c r="I4865" i="1" a="1"/>
  <c r="I4865" i="1" s="1"/>
  <c r="D4866" i="1"/>
  <c r="F4866" i="1"/>
  <c r="H4866" i="1"/>
  <c r="I4866" i="1" a="1"/>
  <c r="I4866" i="1" s="1"/>
  <c r="D4867" i="1"/>
  <c r="F4867" i="1"/>
  <c r="H4867" i="1"/>
  <c r="I4867" i="1" a="1"/>
  <c r="I4867" i="1" s="1"/>
  <c r="D4868" i="1"/>
  <c r="F4868" i="1"/>
  <c r="H4868" i="1"/>
  <c r="I4868" i="1" a="1"/>
  <c r="I4868" i="1" s="1"/>
  <c r="D4869" i="1"/>
  <c r="F4869" i="1"/>
  <c r="H4869" i="1"/>
  <c r="I4869" i="1" a="1"/>
  <c r="I4869" i="1" s="1"/>
  <c r="D4870" i="1"/>
  <c r="F4870" i="1"/>
  <c r="H4870" i="1"/>
  <c r="I4870" i="1" a="1"/>
  <c r="I4870" i="1" s="1"/>
  <c r="D4871" i="1"/>
  <c r="F4871" i="1"/>
  <c r="H4871" i="1"/>
  <c r="I4871" i="1" a="1"/>
  <c r="I4871" i="1" s="1"/>
  <c r="D4872" i="1"/>
  <c r="F4872" i="1"/>
  <c r="H4872" i="1"/>
  <c r="I4872" i="1" a="1"/>
  <c r="I4872" i="1" s="1"/>
  <c r="D4873" i="1"/>
  <c r="F4873" i="1"/>
  <c r="H4873" i="1"/>
  <c r="I4873" i="1" a="1"/>
  <c r="I4873" i="1" s="1"/>
  <c r="D4874" i="1"/>
  <c r="F4874" i="1"/>
  <c r="H4874" i="1"/>
  <c r="I4874" i="1" a="1"/>
  <c r="I4874" i="1" s="1"/>
  <c r="D4875" i="1"/>
  <c r="F4875" i="1"/>
  <c r="H4875" i="1"/>
  <c r="I4875" i="1" a="1"/>
  <c r="I4875" i="1" s="1"/>
  <c r="D4876" i="1"/>
  <c r="F4876" i="1"/>
  <c r="H4876" i="1"/>
  <c r="I4876" i="1" a="1"/>
  <c r="I4876" i="1" s="1"/>
  <c r="D4877" i="1"/>
  <c r="F4877" i="1"/>
  <c r="H4877" i="1"/>
  <c r="I4877" i="1" a="1"/>
  <c r="I4877" i="1" s="1"/>
  <c r="D4878" i="1"/>
  <c r="F4878" i="1"/>
  <c r="H4878" i="1"/>
  <c r="I4878" i="1" a="1"/>
  <c r="I4878" i="1" s="1"/>
  <c r="D4879" i="1"/>
  <c r="F4879" i="1"/>
  <c r="H4879" i="1"/>
  <c r="I4879" i="1" a="1"/>
  <c r="I4879" i="1" s="1"/>
  <c r="D4880" i="1"/>
  <c r="F4880" i="1"/>
  <c r="H4880" i="1"/>
  <c r="I4880" i="1" a="1"/>
  <c r="I4880" i="1" s="1"/>
  <c r="D4881" i="1"/>
  <c r="F4881" i="1"/>
  <c r="H4881" i="1"/>
  <c r="I4881" i="1" a="1"/>
  <c r="I4881" i="1" s="1"/>
  <c r="D4882" i="1"/>
  <c r="F4882" i="1"/>
  <c r="H4882" i="1"/>
  <c r="I4882" i="1" a="1"/>
  <c r="I4882" i="1" s="1"/>
  <c r="D4883" i="1"/>
  <c r="F4883" i="1"/>
  <c r="H4883" i="1"/>
  <c r="I4883" i="1" a="1"/>
  <c r="I4883" i="1" s="1"/>
  <c r="D4884" i="1"/>
  <c r="F4884" i="1"/>
  <c r="H4884" i="1"/>
  <c r="I4884" i="1" a="1"/>
  <c r="I4884" i="1" s="1"/>
  <c r="D4885" i="1"/>
  <c r="F4885" i="1"/>
  <c r="H4885" i="1"/>
  <c r="I4885" i="1" a="1"/>
  <c r="I4885" i="1" s="1"/>
  <c r="D4886" i="1"/>
  <c r="F4886" i="1"/>
  <c r="H4886" i="1"/>
  <c r="I4886" i="1" a="1"/>
  <c r="I4886" i="1" s="1"/>
  <c r="D4887" i="1"/>
  <c r="F4887" i="1"/>
  <c r="H4887" i="1"/>
  <c r="I4887" i="1" a="1"/>
  <c r="I4887" i="1" s="1"/>
  <c r="D4888" i="1"/>
  <c r="F4888" i="1"/>
  <c r="H4888" i="1"/>
  <c r="I4888" i="1" a="1"/>
  <c r="I4888" i="1" s="1"/>
  <c r="D4889" i="1"/>
  <c r="F4889" i="1"/>
  <c r="H4889" i="1"/>
  <c r="I4889" i="1" a="1"/>
  <c r="I4889" i="1" s="1"/>
  <c r="D4890" i="1"/>
  <c r="F4890" i="1"/>
  <c r="H4890" i="1"/>
  <c r="I4890" i="1" a="1"/>
  <c r="I4890" i="1" s="1"/>
  <c r="D4891" i="1"/>
  <c r="F4891" i="1"/>
  <c r="H4891" i="1"/>
  <c r="I4891" i="1" a="1"/>
  <c r="I4891" i="1" s="1"/>
  <c r="D4892" i="1"/>
  <c r="F4892" i="1"/>
  <c r="H4892" i="1"/>
  <c r="I4892" i="1" a="1"/>
  <c r="I4892" i="1" s="1"/>
  <c r="D4893" i="1"/>
  <c r="F4893" i="1"/>
  <c r="H4893" i="1"/>
  <c r="I4893" i="1" a="1"/>
  <c r="I4893" i="1" s="1"/>
  <c r="D4894" i="1"/>
  <c r="F4894" i="1"/>
  <c r="H4894" i="1"/>
  <c r="I4894" i="1" a="1"/>
  <c r="I4894" i="1" s="1"/>
  <c r="D4895" i="1"/>
  <c r="F4895" i="1"/>
  <c r="H4895" i="1"/>
  <c r="I4895" i="1" a="1"/>
  <c r="I4895" i="1" s="1"/>
  <c r="D4896" i="1"/>
  <c r="F4896" i="1"/>
  <c r="H4896" i="1"/>
  <c r="I4896" i="1" a="1"/>
  <c r="I4896" i="1" s="1"/>
  <c r="D4897" i="1"/>
  <c r="F4897" i="1"/>
  <c r="H4897" i="1"/>
  <c r="I4897" i="1" a="1"/>
  <c r="I4897" i="1" s="1"/>
  <c r="D4898" i="1"/>
  <c r="F4898" i="1"/>
  <c r="H4898" i="1"/>
  <c r="I4898" i="1" a="1"/>
  <c r="I4898" i="1" s="1"/>
  <c r="D4899" i="1"/>
  <c r="F4899" i="1"/>
  <c r="H4899" i="1"/>
  <c r="I4899" i="1" a="1"/>
  <c r="I4899" i="1" s="1"/>
  <c r="D4900" i="1"/>
  <c r="F4900" i="1"/>
  <c r="H4900" i="1"/>
  <c r="I4900" i="1" a="1"/>
  <c r="I4900" i="1" s="1"/>
  <c r="D4901" i="1"/>
  <c r="F4901" i="1"/>
  <c r="H4901" i="1"/>
  <c r="I4901" i="1" a="1"/>
  <c r="I4901" i="1" s="1"/>
  <c r="D4902" i="1"/>
  <c r="F4902" i="1"/>
  <c r="H4902" i="1"/>
  <c r="I4902" i="1" a="1"/>
  <c r="I4902" i="1" s="1"/>
  <c r="D4903" i="1"/>
  <c r="F4903" i="1"/>
  <c r="H4903" i="1"/>
  <c r="I4903" i="1" a="1"/>
  <c r="I4903" i="1" s="1"/>
  <c r="D4904" i="1"/>
  <c r="F4904" i="1"/>
  <c r="H4904" i="1"/>
  <c r="I4904" i="1" a="1"/>
  <c r="I4904" i="1" s="1"/>
  <c r="D4905" i="1"/>
  <c r="F4905" i="1"/>
  <c r="H4905" i="1"/>
  <c r="I4905" i="1" a="1"/>
  <c r="I4905" i="1" s="1"/>
  <c r="D4906" i="1"/>
  <c r="F4906" i="1"/>
  <c r="H4906" i="1"/>
  <c r="I4906" i="1" a="1"/>
  <c r="I4906" i="1" s="1"/>
  <c r="D4907" i="1"/>
  <c r="F4907" i="1"/>
  <c r="H4907" i="1"/>
  <c r="I4907" i="1" a="1"/>
  <c r="I4907" i="1" s="1"/>
  <c r="D4908" i="1"/>
  <c r="F4908" i="1"/>
  <c r="H4908" i="1"/>
  <c r="I4908" i="1" a="1"/>
  <c r="I4908" i="1" s="1"/>
  <c r="D4909" i="1"/>
  <c r="F4909" i="1"/>
  <c r="H4909" i="1"/>
  <c r="I4909" i="1" a="1"/>
  <c r="I4909" i="1" s="1"/>
  <c r="D4910" i="1"/>
  <c r="F4910" i="1"/>
  <c r="H4910" i="1"/>
  <c r="I4910" i="1" a="1"/>
  <c r="I4910" i="1" s="1"/>
  <c r="D4911" i="1"/>
  <c r="F4911" i="1"/>
  <c r="H4911" i="1"/>
  <c r="I4911" i="1" a="1"/>
  <c r="I4911" i="1" s="1"/>
  <c r="D4912" i="1"/>
  <c r="F4912" i="1"/>
  <c r="H4912" i="1"/>
  <c r="I4912" i="1" a="1"/>
  <c r="I4912" i="1" s="1"/>
  <c r="D4913" i="1"/>
  <c r="F4913" i="1"/>
  <c r="H4913" i="1"/>
  <c r="I4913" i="1" a="1"/>
  <c r="I4913" i="1" s="1"/>
  <c r="D4914" i="1"/>
  <c r="F4914" i="1"/>
  <c r="H4914" i="1"/>
  <c r="I4914" i="1" a="1"/>
  <c r="I4914" i="1" s="1"/>
  <c r="D4915" i="1"/>
  <c r="F4915" i="1"/>
  <c r="H4915" i="1"/>
  <c r="I4915" i="1" a="1"/>
  <c r="I4915" i="1" s="1"/>
  <c r="D4916" i="1"/>
  <c r="F4916" i="1"/>
  <c r="H4916" i="1"/>
  <c r="I4916" i="1" a="1"/>
  <c r="I4916" i="1" s="1"/>
  <c r="D4917" i="1"/>
  <c r="F4917" i="1"/>
  <c r="H4917" i="1"/>
  <c r="I4917" i="1" a="1"/>
  <c r="I4917" i="1" s="1"/>
  <c r="D4918" i="1"/>
  <c r="F4918" i="1"/>
  <c r="H4918" i="1"/>
  <c r="I4918" i="1" a="1"/>
  <c r="I4918" i="1" s="1"/>
  <c r="D4919" i="1"/>
  <c r="F4919" i="1"/>
  <c r="H4919" i="1"/>
  <c r="I4919" i="1" a="1"/>
  <c r="I4919" i="1" s="1"/>
  <c r="D4920" i="1"/>
  <c r="F4920" i="1"/>
  <c r="H4920" i="1"/>
  <c r="I4920" i="1" a="1"/>
  <c r="I4920" i="1" s="1"/>
  <c r="D4921" i="1"/>
  <c r="F4921" i="1"/>
  <c r="H4921" i="1"/>
  <c r="I4921" i="1" a="1"/>
  <c r="I4921" i="1" s="1"/>
  <c r="D4922" i="1"/>
  <c r="F4922" i="1"/>
  <c r="H4922" i="1"/>
  <c r="I4922" i="1" a="1"/>
  <c r="I4922" i="1" s="1"/>
  <c r="D4923" i="1"/>
  <c r="F4923" i="1"/>
  <c r="H4923" i="1"/>
  <c r="I4923" i="1" a="1"/>
  <c r="I4923" i="1" s="1"/>
  <c r="D4924" i="1"/>
  <c r="F4924" i="1"/>
  <c r="H4924" i="1"/>
  <c r="I4924" i="1" a="1"/>
  <c r="I4924" i="1" s="1"/>
  <c r="D4925" i="1"/>
  <c r="F4925" i="1"/>
  <c r="H4925" i="1"/>
  <c r="I4925" i="1" a="1"/>
  <c r="I4925" i="1" s="1"/>
  <c r="D4926" i="1"/>
  <c r="F4926" i="1"/>
  <c r="H4926" i="1"/>
  <c r="I4926" i="1" a="1"/>
  <c r="I4926" i="1" s="1"/>
  <c r="D4927" i="1"/>
  <c r="F4927" i="1"/>
  <c r="H4927" i="1"/>
  <c r="I4927" i="1" a="1"/>
  <c r="I4927" i="1" s="1"/>
  <c r="D4928" i="1"/>
  <c r="F4928" i="1"/>
  <c r="H4928" i="1"/>
  <c r="I4928" i="1" a="1"/>
  <c r="I4928" i="1" s="1"/>
  <c r="D4929" i="1"/>
  <c r="F4929" i="1"/>
  <c r="H4929" i="1"/>
  <c r="I4929" i="1" a="1"/>
  <c r="I4929" i="1" s="1"/>
  <c r="D4930" i="1"/>
  <c r="F4930" i="1"/>
  <c r="H4930" i="1"/>
  <c r="I4930" i="1" a="1"/>
  <c r="I4930" i="1" s="1"/>
  <c r="D4931" i="1"/>
  <c r="F4931" i="1"/>
  <c r="H4931" i="1"/>
  <c r="I4931" i="1" a="1"/>
  <c r="I4931" i="1" s="1"/>
  <c r="D4932" i="1"/>
  <c r="F4932" i="1"/>
  <c r="H4932" i="1"/>
  <c r="I4932" i="1" a="1"/>
  <c r="I4932" i="1" s="1"/>
  <c r="D4933" i="1"/>
  <c r="F4933" i="1"/>
  <c r="H4933" i="1"/>
  <c r="I4933" i="1" a="1"/>
  <c r="I4933" i="1" s="1"/>
  <c r="D4934" i="1"/>
  <c r="F4934" i="1"/>
  <c r="H4934" i="1"/>
  <c r="I4934" i="1" a="1"/>
  <c r="I4934" i="1" s="1"/>
  <c r="D4935" i="1"/>
  <c r="F4935" i="1"/>
  <c r="H4935" i="1"/>
  <c r="I4935" i="1" a="1"/>
  <c r="I4935" i="1" s="1"/>
  <c r="D4936" i="1"/>
  <c r="F4936" i="1"/>
  <c r="H4936" i="1"/>
  <c r="I4936" i="1" a="1"/>
  <c r="I4936" i="1" s="1"/>
  <c r="D4937" i="1"/>
  <c r="F4937" i="1"/>
  <c r="H4937" i="1"/>
  <c r="I4937" i="1" a="1"/>
  <c r="I4937" i="1" s="1"/>
  <c r="D4938" i="1"/>
  <c r="F4938" i="1"/>
  <c r="H4938" i="1"/>
  <c r="I4938" i="1" a="1"/>
  <c r="I4938" i="1" s="1"/>
  <c r="D4939" i="1"/>
  <c r="F4939" i="1"/>
  <c r="H4939" i="1"/>
  <c r="I4939" i="1" a="1"/>
  <c r="I4939" i="1" s="1"/>
  <c r="D4940" i="1"/>
  <c r="F4940" i="1"/>
  <c r="H4940" i="1"/>
  <c r="I4940" i="1" a="1"/>
  <c r="I4940" i="1" s="1"/>
  <c r="D4941" i="1"/>
  <c r="F4941" i="1"/>
  <c r="H4941" i="1"/>
  <c r="I4941" i="1" a="1"/>
  <c r="I4941" i="1" s="1"/>
  <c r="D4942" i="1"/>
  <c r="F4942" i="1"/>
  <c r="H4942" i="1"/>
  <c r="I4942" i="1" a="1"/>
  <c r="I4942" i="1" s="1"/>
  <c r="D4943" i="1"/>
  <c r="F4943" i="1"/>
  <c r="H4943" i="1"/>
  <c r="I4943" i="1" a="1"/>
  <c r="I4943" i="1" s="1"/>
  <c r="D4944" i="1"/>
  <c r="F4944" i="1"/>
  <c r="H4944" i="1"/>
  <c r="I4944" i="1" a="1"/>
  <c r="I4944" i="1" s="1"/>
  <c r="D4945" i="1"/>
  <c r="F4945" i="1"/>
  <c r="H4945" i="1"/>
  <c r="I4945" i="1" a="1"/>
  <c r="I4945" i="1" s="1"/>
  <c r="D4946" i="1"/>
  <c r="F4946" i="1"/>
  <c r="H4946" i="1"/>
  <c r="I4946" i="1" a="1"/>
  <c r="I4946" i="1" s="1"/>
  <c r="D4947" i="1"/>
  <c r="F4947" i="1"/>
  <c r="H4947" i="1"/>
  <c r="I4947" i="1" a="1"/>
  <c r="I4947" i="1" s="1"/>
  <c r="D4948" i="1"/>
  <c r="F4948" i="1"/>
  <c r="H4948" i="1"/>
  <c r="I4948" i="1" a="1"/>
  <c r="I4948" i="1" s="1"/>
  <c r="D4949" i="1"/>
  <c r="F4949" i="1"/>
  <c r="H4949" i="1"/>
  <c r="I4949" i="1" a="1"/>
  <c r="I4949" i="1" s="1"/>
  <c r="D4950" i="1"/>
  <c r="F4950" i="1"/>
  <c r="H4950" i="1"/>
  <c r="I4950" i="1" a="1"/>
  <c r="I4950" i="1" s="1"/>
  <c r="D4951" i="1"/>
  <c r="F4951" i="1"/>
  <c r="H4951" i="1"/>
  <c r="I4951" i="1" a="1"/>
  <c r="I4951" i="1" s="1"/>
  <c r="D4952" i="1"/>
  <c r="F4952" i="1"/>
  <c r="H4952" i="1"/>
  <c r="I4952" i="1" a="1"/>
  <c r="I4952" i="1" s="1"/>
  <c r="D4953" i="1"/>
  <c r="F4953" i="1"/>
  <c r="H4953" i="1"/>
  <c r="I4953" i="1" a="1"/>
  <c r="I4953" i="1" s="1"/>
  <c r="D4954" i="1"/>
  <c r="F4954" i="1"/>
  <c r="H4954" i="1"/>
  <c r="I4954" i="1" a="1"/>
  <c r="I4954" i="1" s="1"/>
  <c r="D4955" i="1"/>
  <c r="F4955" i="1"/>
  <c r="H4955" i="1"/>
  <c r="I4955" i="1" a="1"/>
  <c r="I4955" i="1" s="1"/>
  <c r="D4956" i="1"/>
  <c r="F4956" i="1"/>
  <c r="H4956" i="1"/>
  <c r="I4956" i="1" a="1"/>
  <c r="I4956" i="1" s="1"/>
  <c r="D4957" i="1"/>
  <c r="F4957" i="1"/>
  <c r="H4957" i="1"/>
  <c r="I4957" i="1" a="1"/>
  <c r="I4957" i="1" s="1"/>
  <c r="D4958" i="1"/>
  <c r="F4958" i="1"/>
  <c r="H4958" i="1"/>
  <c r="I4958" i="1" a="1"/>
  <c r="I4958" i="1" s="1"/>
  <c r="D4959" i="1"/>
  <c r="F4959" i="1"/>
  <c r="H4959" i="1"/>
  <c r="I4959" i="1" a="1"/>
  <c r="I4959" i="1" s="1"/>
  <c r="D4960" i="1"/>
  <c r="F4960" i="1"/>
  <c r="H4960" i="1"/>
  <c r="I4960" i="1" a="1"/>
  <c r="I4960" i="1" s="1"/>
  <c r="D4961" i="1"/>
  <c r="F4961" i="1"/>
  <c r="H4961" i="1"/>
  <c r="I4961" i="1" a="1"/>
  <c r="I4961" i="1" s="1"/>
  <c r="D4962" i="1"/>
  <c r="F4962" i="1"/>
  <c r="H4962" i="1"/>
  <c r="I4962" i="1" a="1"/>
  <c r="I4962" i="1" s="1"/>
  <c r="D4963" i="1"/>
  <c r="F4963" i="1"/>
  <c r="H4963" i="1"/>
  <c r="I4963" i="1" a="1"/>
  <c r="I4963" i="1" s="1"/>
  <c r="D4964" i="1"/>
  <c r="F4964" i="1"/>
  <c r="H4964" i="1"/>
  <c r="I4964" i="1" a="1"/>
  <c r="I4964" i="1" s="1"/>
  <c r="D4965" i="1"/>
  <c r="F4965" i="1"/>
  <c r="H4965" i="1"/>
  <c r="I4965" i="1" a="1"/>
  <c r="I4965" i="1" s="1"/>
  <c r="D4966" i="1"/>
  <c r="F4966" i="1"/>
  <c r="H4966" i="1"/>
  <c r="I4966" i="1" a="1"/>
  <c r="I4966" i="1" s="1"/>
  <c r="D4967" i="1"/>
  <c r="F4967" i="1"/>
  <c r="H4967" i="1"/>
  <c r="I4967" i="1" a="1"/>
  <c r="I4967" i="1" s="1"/>
  <c r="D4968" i="1"/>
  <c r="F4968" i="1"/>
  <c r="H4968" i="1"/>
  <c r="I4968" i="1" a="1"/>
  <c r="I4968" i="1" s="1"/>
  <c r="D4969" i="1"/>
  <c r="F4969" i="1"/>
  <c r="H4969" i="1"/>
  <c r="I4969" i="1" a="1"/>
  <c r="I4969" i="1" s="1"/>
  <c r="D4970" i="1"/>
  <c r="F4970" i="1"/>
  <c r="H4970" i="1"/>
  <c r="I4970" i="1" a="1"/>
  <c r="I4970" i="1" s="1"/>
  <c r="D4971" i="1"/>
  <c r="F4971" i="1"/>
  <c r="H4971" i="1"/>
  <c r="I4971" i="1" a="1"/>
  <c r="I4971" i="1" s="1"/>
  <c r="D4972" i="1"/>
  <c r="F4972" i="1"/>
  <c r="H4972" i="1"/>
  <c r="I4972" i="1" a="1"/>
  <c r="I4972" i="1" s="1"/>
  <c r="D4973" i="1"/>
  <c r="F4973" i="1"/>
  <c r="H4973" i="1"/>
  <c r="I4973" i="1" a="1"/>
  <c r="I4973" i="1" s="1"/>
  <c r="D4974" i="1"/>
  <c r="F4974" i="1"/>
  <c r="H4974" i="1"/>
  <c r="I4974" i="1" a="1"/>
  <c r="I4974" i="1" s="1"/>
  <c r="D4975" i="1"/>
  <c r="F4975" i="1"/>
  <c r="H4975" i="1"/>
  <c r="I4975" i="1" a="1"/>
  <c r="I4975" i="1" s="1"/>
  <c r="D4976" i="1"/>
  <c r="F4976" i="1"/>
  <c r="H4976" i="1"/>
  <c r="I4976" i="1" a="1"/>
  <c r="I4976" i="1" s="1"/>
  <c r="D4977" i="1"/>
  <c r="F4977" i="1"/>
  <c r="H4977" i="1"/>
  <c r="I4977" i="1" a="1"/>
  <c r="I4977" i="1" s="1"/>
  <c r="D4978" i="1"/>
  <c r="F4978" i="1"/>
  <c r="H4978" i="1"/>
  <c r="I4978" i="1" a="1"/>
  <c r="I4978" i="1" s="1"/>
  <c r="D4979" i="1"/>
  <c r="F4979" i="1"/>
  <c r="H4979" i="1"/>
  <c r="I4979" i="1" a="1"/>
  <c r="I4979" i="1" s="1"/>
  <c r="D4980" i="1"/>
  <c r="F4980" i="1"/>
  <c r="H4980" i="1"/>
  <c r="I4980" i="1" a="1"/>
  <c r="I4980" i="1" s="1"/>
  <c r="D4981" i="1"/>
  <c r="F4981" i="1"/>
  <c r="H4981" i="1"/>
  <c r="I4981" i="1" a="1"/>
  <c r="I4981" i="1" s="1"/>
  <c r="D4982" i="1"/>
  <c r="F4982" i="1"/>
  <c r="H4982" i="1"/>
  <c r="I4982" i="1" a="1"/>
  <c r="I4982" i="1" s="1"/>
  <c r="D4983" i="1"/>
  <c r="F4983" i="1"/>
  <c r="H4983" i="1"/>
  <c r="I4983" i="1" a="1"/>
  <c r="I4983" i="1" s="1"/>
  <c r="D4984" i="1"/>
  <c r="F4984" i="1"/>
  <c r="H4984" i="1"/>
  <c r="I4984" i="1" a="1"/>
  <c r="I4984" i="1" s="1"/>
  <c r="D4985" i="1"/>
  <c r="F4985" i="1"/>
  <c r="H4985" i="1"/>
  <c r="I4985" i="1" a="1"/>
  <c r="I4985" i="1" s="1"/>
  <c r="D4986" i="1"/>
  <c r="F4986" i="1"/>
  <c r="H4986" i="1"/>
  <c r="I4986" i="1" a="1"/>
  <c r="I4986" i="1" s="1"/>
  <c r="D4987" i="1"/>
  <c r="F4987" i="1"/>
  <c r="H4987" i="1"/>
  <c r="I4987" i="1" a="1"/>
  <c r="I4987" i="1" s="1"/>
  <c r="D4988" i="1"/>
  <c r="F4988" i="1"/>
  <c r="H4988" i="1"/>
  <c r="I4988" i="1" a="1"/>
  <c r="I4988" i="1" s="1"/>
  <c r="D4989" i="1"/>
  <c r="F4989" i="1"/>
  <c r="H4989" i="1"/>
  <c r="I4989" i="1" a="1"/>
  <c r="I4989" i="1" s="1"/>
  <c r="D4990" i="1"/>
  <c r="F4990" i="1"/>
  <c r="H4990" i="1"/>
  <c r="I4990" i="1" a="1"/>
  <c r="I4990" i="1" s="1"/>
  <c r="D4991" i="1"/>
  <c r="F4991" i="1"/>
  <c r="H4991" i="1"/>
  <c r="I4991" i="1" a="1"/>
  <c r="I4991" i="1" s="1"/>
  <c r="D4992" i="1"/>
  <c r="F4992" i="1"/>
  <c r="H4992" i="1"/>
  <c r="I4992" i="1" a="1"/>
  <c r="I4992" i="1" s="1"/>
  <c r="D4993" i="1"/>
  <c r="F4993" i="1"/>
  <c r="H4993" i="1"/>
  <c r="I4993" i="1" a="1"/>
  <c r="I4993" i="1" s="1"/>
  <c r="D4994" i="1"/>
  <c r="F4994" i="1"/>
  <c r="H4994" i="1"/>
  <c r="I4994" i="1" a="1"/>
  <c r="I4994" i="1" s="1"/>
  <c r="D4995" i="1"/>
  <c r="F4995" i="1"/>
  <c r="H4995" i="1"/>
  <c r="I4995" i="1" a="1"/>
  <c r="I4995" i="1" s="1"/>
  <c r="D4996" i="1"/>
  <c r="F4996" i="1"/>
  <c r="H4996" i="1"/>
  <c r="I4996" i="1" a="1"/>
  <c r="I4996" i="1" s="1"/>
  <c r="D4997" i="1"/>
  <c r="F4997" i="1"/>
  <c r="H4997" i="1"/>
  <c r="I4997" i="1" a="1"/>
  <c r="I4997" i="1" s="1"/>
  <c r="D4998" i="1"/>
  <c r="F4998" i="1"/>
  <c r="H4998" i="1"/>
  <c r="I4998" i="1" a="1"/>
  <c r="I4998" i="1" s="1"/>
  <c r="D4999" i="1"/>
  <c r="F4999" i="1"/>
  <c r="H4999" i="1"/>
  <c r="I4999" i="1" a="1"/>
  <c r="I4999" i="1" s="1"/>
  <c r="D5000" i="1"/>
  <c r="F5000" i="1"/>
  <c r="H5000" i="1"/>
  <c r="I5000" i="1" a="1"/>
  <c r="I5000" i="1" s="1"/>
  <c r="D5001" i="1"/>
  <c r="F5001" i="1"/>
  <c r="H5001" i="1"/>
  <c r="I5001" i="1" a="1"/>
  <c r="I5001" i="1" s="1"/>
  <c r="D5002" i="1"/>
  <c r="F5002" i="1"/>
  <c r="H5002" i="1"/>
  <c r="I5002" i="1" a="1"/>
  <c r="I5002" i="1" s="1"/>
  <c r="D5003" i="1"/>
  <c r="F5003" i="1"/>
  <c r="H5003" i="1"/>
  <c r="I5003" i="1" a="1"/>
  <c r="I5003" i="1" s="1"/>
  <c r="D5004" i="1"/>
  <c r="F5004" i="1"/>
  <c r="H5004" i="1"/>
  <c r="I5004" i="1" a="1"/>
  <c r="I5004" i="1" s="1"/>
  <c r="D5005" i="1"/>
  <c r="F5005" i="1"/>
  <c r="H5005" i="1"/>
  <c r="I5005" i="1" a="1"/>
  <c r="I5005" i="1" s="1"/>
  <c r="D5006" i="1"/>
  <c r="F5006" i="1"/>
  <c r="H5006" i="1"/>
  <c r="I5006" i="1" a="1"/>
  <c r="I5006" i="1" s="1"/>
  <c r="D5007" i="1"/>
  <c r="F5007" i="1"/>
  <c r="H5007" i="1"/>
  <c r="I5007" i="1" a="1"/>
  <c r="I5007" i="1" s="1"/>
  <c r="D5008" i="1"/>
  <c r="F5008" i="1"/>
  <c r="H5008" i="1"/>
  <c r="I5008" i="1" a="1"/>
  <c r="I5008" i="1" s="1"/>
  <c r="D5009" i="1"/>
  <c r="F5009" i="1"/>
  <c r="H5009" i="1"/>
  <c r="I5009" i="1" a="1"/>
  <c r="I5009" i="1" s="1"/>
  <c r="D5010" i="1"/>
  <c r="F5010" i="1"/>
  <c r="H5010" i="1"/>
  <c r="I5010" i="1" a="1"/>
  <c r="I5010" i="1" s="1"/>
  <c r="D5011" i="1"/>
  <c r="F5011" i="1"/>
  <c r="H5011" i="1"/>
  <c r="I5011" i="1" a="1"/>
  <c r="I5011" i="1" s="1"/>
  <c r="D5012" i="1"/>
  <c r="F5012" i="1"/>
  <c r="H5012" i="1"/>
  <c r="I5012" i="1" a="1"/>
  <c r="I5012" i="1" s="1"/>
  <c r="D5013" i="1"/>
  <c r="F5013" i="1"/>
  <c r="H5013" i="1"/>
  <c r="I5013" i="1" a="1"/>
  <c r="I5013" i="1" s="1"/>
  <c r="D5014" i="1"/>
  <c r="F5014" i="1"/>
  <c r="H5014" i="1"/>
  <c r="I5014" i="1" a="1"/>
  <c r="I5014" i="1" s="1"/>
  <c r="D5015" i="1"/>
  <c r="F5015" i="1"/>
  <c r="H5015" i="1"/>
  <c r="I5015" i="1" a="1"/>
  <c r="I5015" i="1" s="1"/>
  <c r="D5016" i="1"/>
  <c r="F5016" i="1"/>
  <c r="H5016" i="1"/>
  <c r="I5016" i="1" a="1"/>
  <c r="I5016" i="1" s="1"/>
  <c r="D5017" i="1"/>
  <c r="F5017" i="1"/>
  <c r="H5017" i="1"/>
  <c r="I5017" i="1" a="1"/>
  <c r="I5017" i="1" s="1"/>
  <c r="D5018" i="1"/>
  <c r="F5018" i="1"/>
  <c r="H5018" i="1"/>
  <c r="I5018" i="1" a="1"/>
  <c r="I5018" i="1" s="1"/>
  <c r="D5019" i="1"/>
  <c r="F5019" i="1"/>
  <c r="H5019" i="1"/>
  <c r="I5019" i="1" a="1"/>
  <c r="I5019" i="1" s="1"/>
  <c r="D5020" i="1"/>
  <c r="F5020" i="1"/>
  <c r="H5020" i="1"/>
  <c r="I5020" i="1" a="1"/>
  <c r="I5020" i="1" s="1"/>
  <c r="D5021" i="1"/>
  <c r="F5021" i="1"/>
  <c r="H5021" i="1"/>
  <c r="I5021" i="1" a="1"/>
  <c r="I5021" i="1" s="1"/>
  <c r="D5022" i="1"/>
  <c r="F5022" i="1"/>
  <c r="H5022" i="1"/>
  <c r="I5022" i="1" a="1"/>
  <c r="I5022" i="1" s="1"/>
  <c r="D5023" i="1"/>
  <c r="F5023" i="1"/>
  <c r="H5023" i="1"/>
  <c r="I5023" i="1" a="1"/>
  <c r="I5023" i="1" s="1"/>
  <c r="D5024" i="1"/>
  <c r="F5024" i="1"/>
  <c r="H5024" i="1"/>
  <c r="I5024" i="1" a="1"/>
  <c r="I5024" i="1" s="1"/>
  <c r="D5025" i="1"/>
  <c r="F5025" i="1"/>
  <c r="H5025" i="1"/>
  <c r="I5025" i="1" a="1"/>
  <c r="I5025" i="1" s="1"/>
  <c r="D5026" i="1"/>
  <c r="F5026" i="1"/>
  <c r="H5026" i="1"/>
  <c r="I5026" i="1" a="1"/>
  <c r="I5026" i="1" s="1"/>
  <c r="D5027" i="1"/>
  <c r="F5027" i="1"/>
  <c r="H5027" i="1"/>
  <c r="I5027" i="1" a="1"/>
  <c r="I5027" i="1" s="1"/>
  <c r="D5028" i="1"/>
  <c r="F5028" i="1"/>
  <c r="H5028" i="1"/>
  <c r="I5028" i="1" a="1"/>
  <c r="I5028" i="1" s="1"/>
  <c r="D5029" i="1"/>
  <c r="F5029" i="1"/>
  <c r="H5029" i="1"/>
  <c r="I5029" i="1" a="1"/>
  <c r="I5029" i="1" s="1"/>
  <c r="D5030" i="1"/>
  <c r="F5030" i="1"/>
  <c r="H5030" i="1"/>
  <c r="I5030" i="1" a="1"/>
  <c r="I5030" i="1" s="1"/>
  <c r="D5031" i="1"/>
  <c r="F5031" i="1"/>
  <c r="H5031" i="1"/>
  <c r="I5031" i="1" a="1"/>
  <c r="I5031" i="1" s="1"/>
  <c r="D5032" i="1"/>
  <c r="F5032" i="1"/>
  <c r="H5032" i="1"/>
  <c r="I5032" i="1" a="1"/>
  <c r="I5032" i="1" s="1"/>
  <c r="D5033" i="1"/>
  <c r="F5033" i="1"/>
  <c r="H5033" i="1"/>
  <c r="I5033" i="1" a="1"/>
  <c r="I5033" i="1" s="1"/>
  <c r="D5034" i="1"/>
  <c r="F5034" i="1"/>
  <c r="H5034" i="1"/>
  <c r="I5034" i="1" a="1"/>
  <c r="I5034" i="1" s="1"/>
  <c r="D5035" i="1"/>
  <c r="F5035" i="1"/>
  <c r="H5035" i="1"/>
  <c r="I5035" i="1" a="1"/>
  <c r="I5035" i="1" s="1"/>
  <c r="D5036" i="1"/>
  <c r="F5036" i="1"/>
  <c r="H5036" i="1"/>
  <c r="I5036" i="1" a="1"/>
  <c r="I5036" i="1" s="1"/>
  <c r="D5037" i="1"/>
  <c r="F5037" i="1"/>
  <c r="H5037" i="1"/>
  <c r="I5037" i="1" a="1"/>
  <c r="I5037" i="1" s="1"/>
  <c r="D5038" i="1"/>
  <c r="F5038" i="1"/>
  <c r="H5038" i="1"/>
  <c r="I5038" i="1" a="1"/>
  <c r="I5038" i="1" s="1"/>
  <c r="D5039" i="1"/>
  <c r="F5039" i="1"/>
  <c r="H5039" i="1"/>
  <c r="I5039" i="1" a="1"/>
  <c r="I5039" i="1" s="1"/>
  <c r="D5040" i="1"/>
  <c r="F5040" i="1"/>
  <c r="H5040" i="1"/>
  <c r="I5040" i="1" a="1"/>
  <c r="I5040" i="1" s="1"/>
  <c r="D5041" i="1"/>
  <c r="F5041" i="1"/>
  <c r="H5041" i="1"/>
  <c r="I5041" i="1" a="1"/>
  <c r="I5041" i="1" s="1"/>
  <c r="D5042" i="1"/>
  <c r="F5042" i="1"/>
  <c r="H5042" i="1"/>
  <c r="I5042" i="1" a="1"/>
  <c r="I5042" i="1" s="1"/>
  <c r="D5043" i="1"/>
  <c r="F5043" i="1"/>
  <c r="H5043" i="1"/>
  <c r="I5043" i="1" a="1"/>
  <c r="I5043" i="1" s="1"/>
  <c r="D5044" i="1"/>
  <c r="F5044" i="1"/>
  <c r="H5044" i="1"/>
  <c r="I5044" i="1" a="1"/>
  <c r="I5044" i="1" s="1"/>
  <c r="D5045" i="1"/>
  <c r="F5045" i="1"/>
  <c r="H5045" i="1"/>
  <c r="I5045" i="1" a="1"/>
  <c r="I5045" i="1" s="1"/>
  <c r="D5046" i="1"/>
  <c r="F5046" i="1"/>
  <c r="H5046" i="1"/>
  <c r="I5046" i="1" a="1"/>
  <c r="I5046" i="1" s="1"/>
  <c r="D5047" i="1"/>
  <c r="F5047" i="1"/>
  <c r="H5047" i="1"/>
  <c r="I5047" i="1" a="1"/>
  <c r="I5047" i="1" s="1"/>
  <c r="D5048" i="1"/>
  <c r="F5048" i="1"/>
  <c r="H5048" i="1"/>
  <c r="I5048" i="1" a="1"/>
  <c r="I5048" i="1" s="1"/>
  <c r="D5049" i="1"/>
  <c r="F5049" i="1"/>
  <c r="H5049" i="1"/>
  <c r="I5049" i="1" a="1"/>
  <c r="I5049" i="1" s="1"/>
  <c r="D5050" i="1"/>
  <c r="F5050" i="1"/>
  <c r="H5050" i="1"/>
  <c r="I5050" i="1" a="1"/>
  <c r="I5050" i="1" s="1"/>
  <c r="D5051" i="1"/>
  <c r="F5051" i="1"/>
  <c r="H5051" i="1"/>
  <c r="I5051" i="1" a="1"/>
  <c r="I5051" i="1" s="1"/>
  <c r="D5052" i="1"/>
  <c r="F5052" i="1"/>
  <c r="H5052" i="1"/>
  <c r="I5052" i="1" a="1"/>
  <c r="I5052" i="1" s="1"/>
  <c r="D5053" i="1"/>
  <c r="F5053" i="1"/>
  <c r="H5053" i="1"/>
  <c r="I5053" i="1" a="1"/>
  <c r="I5053" i="1" s="1"/>
  <c r="D5054" i="1"/>
  <c r="F5054" i="1"/>
  <c r="H5054" i="1"/>
  <c r="I5054" i="1" a="1"/>
  <c r="I5054" i="1" s="1"/>
  <c r="D5055" i="1"/>
  <c r="F5055" i="1"/>
  <c r="H5055" i="1"/>
  <c r="I5055" i="1" a="1"/>
  <c r="I5055" i="1" s="1"/>
  <c r="D5056" i="1"/>
  <c r="F5056" i="1"/>
  <c r="H5056" i="1"/>
  <c r="I5056" i="1" a="1"/>
  <c r="I5056" i="1" s="1"/>
  <c r="D5057" i="1"/>
  <c r="F5057" i="1"/>
  <c r="H5057" i="1"/>
  <c r="I5057" i="1" a="1"/>
  <c r="I5057" i="1" s="1"/>
  <c r="D5058" i="1"/>
  <c r="F5058" i="1"/>
  <c r="H5058" i="1"/>
  <c r="I5058" i="1" a="1"/>
  <c r="I5058" i="1" s="1"/>
  <c r="D5059" i="1"/>
  <c r="F5059" i="1"/>
  <c r="H5059" i="1"/>
  <c r="I5059" i="1" a="1"/>
  <c r="I5059" i="1" s="1"/>
  <c r="D5060" i="1"/>
  <c r="F5060" i="1"/>
  <c r="H5060" i="1"/>
  <c r="I5060" i="1" a="1"/>
  <c r="I5060" i="1" s="1"/>
  <c r="D5061" i="1"/>
  <c r="F5061" i="1"/>
  <c r="H5061" i="1"/>
  <c r="I5061" i="1" a="1"/>
  <c r="I5061" i="1" s="1"/>
  <c r="D5062" i="1"/>
  <c r="F5062" i="1"/>
  <c r="H5062" i="1"/>
  <c r="I5062" i="1" a="1"/>
  <c r="I5062" i="1" s="1"/>
  <c r="D5063" i="1"/>
  <c r="F5063" i="1"/>
  <c r="H5063" i="1"/>
  <c r="I5063" i="1" a="1"/>
  <c r="I5063" i="1" s="1"/>
  <c r="D5064" i="1"/>
  <c r="F5064" i="1"/>
  <c r="H5064" i="1"/>
  <c r="I5064" i="1" a="1"/>
  <c r="I5064" i="1" s="1"/>
  <c r="D5065" i="1"/>
  <c r="F5065" i="1"/>
  <c r="H5065" i="1"/>
  <c r="I5065" i="1" a="1"/>
  <c r="I5065" i="1" s="1"/>
  <c r="D5066" i="1"/>
  <c r="F5066" i="1"/>
  <c r="H5066" i="1"/>
  <c r="I5066" i="1" a="1"/>
  <c r="I5066" i="1" s="1"/>
  <c r="D5067" i="1"/>
  <c r="F5067" i="1"/>
  <c r="H5067" i="1"/>
  <c r="I5067" i="1" a="1"/>
  <c r="I5067" i="1" s="1"/>
  <c r="D5068" i="1"/>
  <c r="F5068" i="1"/>
  <c r="H5068" i="1"/>
  <c r="I5068" i="1" a="1"/>
  <c r="I5068" i="1" s="1"/>
  <c r="D5069" i="1"/>
  <c r="F5069" i="1"/>
  <c r="H5069" i="1"/>
  <c r="I5069" i="1" a="1"/>
  <c r="I5069" i="1" s="1"/>
  <c r="D5070" i="1"/>
  <c r="F5070" i="1"/>
  <c r="H5070" i="1"/>
  <c r="I5070" i="1" a="1"/>
  <c r="I5070" i="1" s="1"/>
  <c r="D5071" i="1"/>
  <c r="F5071" i="1"/>
  <c r="H5071" i="1"/>
  <c r="I5071" i="1" a="1"/>
  <c r="I5071" i="1" s="1"/>
  <c r="D5072" i="1"/>
  <c r="F5072" i="1"/>
  <c r="H5072" i="1"/>
  <c r="I5072" i="1" a="1"/>
  <c r="I5072" i="1" s="1"/>
  <c r="D5073" i="1"/>
  <c r="F5073" i="1"/>
  <c r="H5073" i="1"/>
  <c r="I5073" i="1" a="1"/>
  <c r="I5073" i="1" s="1"/>
  <c r="D5074" i="1"/>
  <c r="F5074" i="1"/>
  <c r="H5074" i="1"/>
  <c r="I5074" i="1" a="1"/>
  <c r="I5074" i="1" s="1"/>
  <c r="D5075" i="1"/>
  <c r="F5075" i="1"/>
  <c r="H5075" i="1"/>
  <c r="I5075" i="1" a="1"/>
  <c r="I5075" i="1" s="1"/>
  <c r="D5076" i="1"/>
  <c r="F5076" i="1"/>
  <c r="H5076" i="1"/>
  <c r="I5076" i="1" a="1"/>
  <c r="I5076" i="1" s="1"/>
  <c r="D5077" i="1"/>
  <c r="F5077" i="1"/>
  <c r="H5077" i="1"/>
  <c r="I5077" i="1" a="1"/>
  <c r="I5077" i="1" s="1"/>
  <c r="D5078" i="1"/>
  <c r="F5078" i="1"/>
  <c r="H5078" i="1"/>
  <c r="I5078" i="1" a="1"/>
  <c r="I5078" i="1" s="1"/>
  <c r="D5079" i="1"/>
  <c r="F5079" i="1"/>
  <c r="H5079" i="1"/>
  <c r="I5079" i="1" a="1"/>
  <c r="I5079" i="1" s="1"/>
  <c r="D5080" i="1"/>
  <c r="F5080" i="1"/>
  <c r="H5080" i="1"/>
  <c r="I5080" i="1" a="1"/>
  <c r="I5080" i="1" s="1"/>
  <c r="D5081" i="1"/>
  <c r="F5081" i="1"/>
  <c r="H5081" i="1"/>
  <c r="I5081" i="1" a="1"/>
  <c r="I5081" i="1" s="1"/>
  <c r="D5082" i="1"/>
  <c r="F5082" i="1"/>
  <c r="H5082" i="1"/>
  <c r="I5082" i="1" a="1"/>
  <c r="I5082" i="1" s="1"/>
  <c r="D5083" i="1"/>
  <c r="F5083" i="1"/>
  <c r="H5083" i="1"/>
  <c r="I5083" i="1" a="1"/>
  <c r="I5083" i="1" s="1"/>
  <c r="D5084" i="1"/>
  <c r="F5084" i="1"/>
  <c r="H5084" i="1"/>
  <c r="I5084" i="1" a="1"/>
  <c r="I5084" i="1" s="1"/>
  <c r="D5085" i="1"/>
  <c r="F5085" i="1"/>
  <c r="H5085" i="1"/>
  <c r="I5085" i="1" a="1"/>
  <c r="I5085" i="1" s="1"/>
  <c r="D5086" i="1"/>
  <c r="F5086" i="1"/>
  <c r="H5086" i="1"/>
  <c r="I5086" i="1" a="1"/>
  <c r="I5086" i="1" s="1"/>
  <c r="D5087" i="1"/>
  <c r="F5087" i="1"/>
  <c r="H5087" i="1"/>
  <c r="I5087" i="1" a="1"/>
  <c r="I5087" i="1" s="1"/>
  <c r="D5088" i="1"/>
  <c r="F5088" i="1"/>
  <c r="H5088" i="1"/>
  <c r="I5088" i="1" a="1"/>
  <c r="I5088" i="1" s="1"/>
  <c r="D5089" i="1"/>
  <c r="F5089" i="1"/>
  <c r="H5089" i="1"/>
  <c r="I5089" i="1" a="1"/>
  <c r="I5089" i="1" s="1"/>
  <c r="D5090" i="1"/>
  <c r="F5090" i="1"/>
  <c r="H5090" i="1"/>
  <c r="I5090" i="1" a="1"/>
  <c r="I5090" i="1" s="1"/>
  <c r="D5091" i="1"/>
  <c r="F5091" i="1"/>
  <c r="H5091" i="1"/>
  <c r="I5091" i="1" a="1"/>
  <c r="I5091" i="1" s="1"/>
  <c r="D5092" i="1"/>
  <c r="F5092" i="1"/>
  <c r="H5092" i="1"/>
  <c r="I5092" i="1" a="1"/>
  <c r="I5092" i="1" s="1"/>
  <c r="D5093" i="1"/>
  <c r="F5093" i="1"/>
  <c r="H5093" i="1"/>
  <c r="I5093" i="1" a="1"/>
  <c r="I5093" i="1" s="1"/>
  <c r="D5094" i="1"/>
  <c r="F5094" i="1"/>
  <c r="H5094" i="1"/>
  <c r="I5094" i="1" a="1"/>
  <c r="I5094" i="1" s="1"/>
  <c r="D5095" i="1"/>
  <c r="F5095" i="1"/>
  <c r="H5095" i="1"/>
  <c r="I5095" i="1" a="1"/>
  <c r="I5095" i="1" s="1"/>
  <c r="D5096" i="1"/>
  <c r="F5096" i="1"/>
  <c r="H5096" i="1"/>
  <c r="I5096" i="1" a="1"/>
  <c r="I5096" i="1" s="1"/>
  <c r="D5097" i="1"/>
  <c r="F5097" i="1"/>
  <c r="H5097" i="1"/>
  <c r="I5097" i="1" a="1"/>
  <c r="I5097" i="1" s="1"/>
  <c r="D5098" i="1"/>
  <c r="F5098" i="1"/>
  <c r="H5098" i="1"/>
  <c r="I5098" i="1" a="1"/>
  <c r="I5098" i="1" s="1"/>
  <c r="D5099" i="1"/>
  <c r="F5099" i="1"/>
  <c r="H5099" i="1"/>
  <c r="I5099" i="1" a="1"/>
  <c r="I5099" i="1" s="1"/>
  <c r="D5100" i="1"/>
  <c r="F5100" i="1"/>
  <c r="H5100" i="1"/>
  <c r="I5100" i="1" a="1"/>
  <c r="I5100" i="1" s="1"/>
  <c r="D5101" i="1"/>
  <c r="F5101" i="1"/>
  <c r="H5101" i="1"/>
  <c r="I5101" i="1" a="1"/>
  <c r="I5101" i="1" s="1"/>
  <c r="D5102" i="1"/>
  <c r="F5102" i="1"/>
  <c r="H5102" i="1"/>
  <c r="I5102" i="1" a="1"/>
  <c r="I5102" i="1" s="1"/>
  <c r="D5103" i="1"/>
  <c r="F5103" i="1"/>
  <c r="H5103" i="1"/>
  <c r="I5103" i="1" a="1"/>
  <c r="I5103" i="1" s="1"/>
  <c r="D5104" i="1"/>
  <c r="F5104" i="1"/>
  <c r="H5104" i="1"/>
  <c r="I5104" i="1" a="1"/>
  <c r="I5104" i="1" s="1"/>
  <c r="D5105" i="1"/>
  <c r="F5105" i="1"/>
  <c r="H5105" i="1"/>
  <c r="I5105" i="1" a="1"/>
  <c r="I5105" i="1" s="1"/>
  <c r="D5106" i="1"/>
  <c r="F5106" i="1"/>
  <c r="H5106" i="1"/>
  <c r="I5106" i="1" a="1"/>
  <c r="I5106" i="1" s="1"/>
  <c r="D5107" i="1"/>
  <c r="F5107" i="1"/>
  <c r="H5107" i="1"/>
  <c r="I5107" i="1" a="1"/>
  <c r="I5107" i="1" s="1"/>
  <c r="D5108" i="1"/>
  <c r="F5108" i="1"/>
  <c r="H5108" i="1"/>
  <c r="I5108" i="1" a="1"/>
  <c r="I5108" i="1" s="1"/>
  <c r="D5109" i="1"/>
  <c r="F5109" i="1"/>
  <c r="H5109" i="1"/>
  <c r="I5109" i="1" a="1"/>
  <c r="I5109" i="1" s="1"/>
  <c r="D5110" i="1"/>
  <c r="F5110" i="1"/>
  <c r="H5110" i="1"/>
  <c r="I5110" i="1" a="1"/>
  <c r="I5110" i="1" s="1"/>
  <c r="D5111" i="1"/>
  <c r="F5111" i="1"/>
  <c r="H5111" i="1"/>
  <c r="I5111" i="1" a="1"/>
  <c r="I5111" i="1" s="1"/>
  <c r="D5112" i="1"/>
  <c r="F5112" i="1"/>
  <c r="H5112" i="1"/>
  <c r="I5112" i="1" a="1"/>
  <c r="I5112" i="1" s="1"/>
  <c r="D5113" i="1"/>
  <c r="F5113" i="1"/>
  <c r="H5113" i="1"/>
  <c r="I5113" i="1" a="1"/>
  <c r="I5113" i="1" s="1"/>
  <c r="D5114" i="1"/>
  <c r="F5114" i="1"/>
  <c r="H5114" i="1"/>
  <c r="I5114" i="1" a="1"/>
  <c r="I5114" i="1" s="1"/>
  <c r="D5115" i="1"/>
  <c r="F5115" i="1"/>
  <c r="H5115" i="1"/>
  <c r="I5115" i="1" a="1"/>
  <c r="I5115" i="1" s="1"/>
  <c r="D5116" i="1"/>
  <c r="F5116" i="1"/>
  <c r="H5116" i="1"/>
  <c r="I5116" i="1" a="1"/>
  <c r="I5116" i="1" s="1"/>
  <c r="D5117" i="1"/>
  <c r="F5117" i="1"/>
  <c r="H5117" i="1"/>
  <c r="I5117" i="1" a="1"/>
  <c r="I5117" i="1" s="1"/>
  <c r="D5118" i="1"/>
  <c r="F5118" i="1"/>
  <c r="H5118" i="1"/>
  <c r="I5118" i="1" a="1"/>
  <c r="I5118" i="1" s="1"/>
  <c r="D5119" i="1"/>
  <c r="F5119" i="1"/>
  <c r="H5119" i="1"/>
  <c r="I5119" i="1" a="1"/>
  <c r="I5119" i="1" s="1"/>
  <c r="D5120" i="1"/>
  <c r="F5120" i="1"/>
  <c r="H5120" i="1"/>
  <c r="I5120" i="1" a="1"/>
  <c r="I5120" i="1" s="1"/>
  <c r="D5121" i="1"/>
  <c r="F5121" i="1"/>
  <c r="H5121" i="1"/>
  <c r="I5121" i="1" a="1"/>
  <c r="I5121" i="1" s="1"/>
  <c r="D5122" i="1"/>
  <c r="F5122" i="1"/>
  <c r="H5122" i="1"/>
  <c r="I5122" i="1" a="1"/>
  <c r="I5122" i="1" s="1"/>
  <c r="D5123" i="1"/>
  <c r="F5123" i="1"/>
  <c r="H5123" i="1"/>
  <c r="I5123" i="1" a="1"/>
  <c r="I5123" i="1" s="1"/>
  <c r="D5124" i="1"/>
  <c r="F5124" i="1"/>
  <c r="H5124" i="1"/>
  <c r="I5124" i="1" a="1"/>
  <c r="I5124" i="1" s="1"/>
  <c r="D5125" i="1"/>
  <c r="F5125" i="1"/>
  <c r="H5125" i="1"/>
  <c r="I5125" i="1" a="1"/>
  <c r="I5125" i="1" s="1"/>
  <c r="D5126" i="1"/>
  <c r="F5126" i="1"/>
  <c r="H5126" i="1"/>
  <c r="I5126" i="1" a="1"/>
  <c r="I5126" i="1" s="1"/>
  <c r="D5127" i="1"/>
  <c r="F5127" i="1"/>
  <c r="H5127" i="1"/>
  <c r="I5127" i="1" a="1"/>
  <c r="I5127" i="1" s="1"/>
  <c r="D5128" i="1"/>
  <c r="F5128" i="1"/>
  <c r="H5128" i="1"/>
  <c r="I5128" i="1" a="1"/>
  <c r="I5128" i="1" s="1"/>
  <c r="D5129" i="1"/>
  <c r="F5129" i="1"/>
  <c r="H5129" i="1"/>
  <c r="I5129" i="1" a="1"/>
  <c r="I5129" i="1" s="1"/>
  <c r="D5130" i="1"/>
  <c r="F5130" i="1"/>
  <c r="H5130" i="1"/>
  <c r="I5130" i="1" a="1"/>
  <c r="I5130" i="1" s="1"/>
  <c r="D5131" i="1"/>
  <c r="F5131" i="1"/>
  <c r="H5131" i="1"/>
  <c r="I5131" i="1" a="1"/>
  <c r="I5131" i="1" s="1"/>
  <c r="D5132" i="1"/>
  <c r="F5132" i="1"/>
  <c r="H5132" i="1"/>
  <c r="I5132" i="1" a="1"/>
  <c r="I5132" i="1" s="1"/>
  <c r="D5133" i="1"/>
  <c r="F5133" i="1"/>
  <c r="H5133" i="1"/>
  <c r="I5133" i="1" a="1"/>
  <c r="I5133" i="1" s="1"/>
  <c r="D5134" i="1"/>
  <c r="F5134" i="1"/>
  <c r="H5134" i="1"/>
  <c r="I5134" i="1" a="1"/>
  <c r="I5134" i="1" s="1"/>
  <c r="D5135" i="1"/>
  <c r="F5135" i="1"/>
  <c r="H5135" i="1"/>
  <c r="I5135" i="1" a="1"/>
  <c r="I5135" i="1" s="1"/>
  <c r="D5136" i="1"/>
  <c r="F5136" i="1"/>
  <c r="H5136" i="1"/>
  <c r="I5136" i="1" a="1"/>
  <c r="I5136" i="1" s="1"/>
  <c r="D5137" i="1"/>
  <c r="F5137" i="1"/>
  <c r="H5137" i="1"/>
  <c r="I5137" i="1" a="1"/>
  <c r="I5137" i="1" s="1"/>
  <c r="D5138" i="1"/>
  <c r="F5138" i="1"/>
  <c r="H5138" i="1"/>
  <c r="I5138" i="1" a="1"/>
  <c r="I5138" i="1" s="1"/>
  <c r="D5139" i="1"/>
  <c r="F5139" i="1"/>
  <c r="H5139" i="1"/>
  <c r="I5139" i="1" a="1"/>
  <c r="I5139" i="1" s="1"/>
  <c r="D5140" i="1"/>
  <c r="F5140" i="1"/>
  <c r="H5140" i="1"/>
  <c r="I5140" i="1" a="1"/>
  <c r="I5140" i="1" s="1"/>
  <c r="D5141" i="1"/>
  <c r="F5141" i="1"/>
  <c r="H5141" i="1"/>
  <c r="I5141" i="1" a="1"/>
  <c r="I5141" i="1" s="1"/>
  <c r="D5142" i="1"/>
  <c r="F5142" i="1"/>
  <c r="H5142" i="1"/>
  <c r="I5142" i="1" a="1"/>
  <c r="I5142" i="1" s="1"/>
  <c r="D5143" i="1"/>
  <c r="F5143" i="1"/>
  <c r="H5143" i="1"/>
  <c r="I5143" i="1" a="1"/>
  <c r="I5143" i="1" s="1"/>
  <c r="D5144" i="1"/>
  <c r="F5144" i="1"/>
  <c r="H5144" i="1"/>
  <c r="I5144" i="1" a="1"/>
  <c r="I5144" i="1" s="1"/>
  <c r="D5145" i="1"/>
  <c r="F5145" i="1"/>
  <c r="H5145" i="1"/>
  <c r="I5145" i="1" a="1"/>
  <c r="I5145" i="1" s="1"/>
  <c r="D5146" i="1"/>
  <c r="F5146" i="1"/>
  <c r="H5146" i="1"/>
  <c r="I5146" i="1" a="1"/>
  <c r="I5146" i="1" s="1"/>
  <c r="D5147" i="1"/>
  <c r="F5147" i="1"/>
  <c r="H5147" i="1"/>
  <c r="I5147" i="1" a="1"/>
  <c r="I5147" i="1" s="1"/>
  <c r="D5148" i="1"/>
  <c r="F5148" i="1"/>
  <c r="H5148" i="1"/>
  <c r="I5148" i="1" a="1"/>
  <c r="I5148" i="1" s="1"/>
  <c r="D5149" i="1"/>
  <c r="F5149" i="1"/>
  <c r="H5149" i="1"/>
  <c r="I5149" i="1" a="1"/>
  <c r="I5149" i="1" s="1"/>
  <c r="D5150" i="1"/>
  <c r="F5150" i="1"/>
  <c r="H5150" i="1"/>
  <c r="I5150" i="1" a="1"/>
  <c r="I5150" i="1" s="1"/>
  <c r="D5151" i="1"/>
  <c r="F5151" i="1"/>
  <c r="H5151" i="1"/>
  <c r="I5151" i="1" a="1"/>
  <c r="I5151" i="1" s="1"/>
  <c r="D5152" i="1"/>
  <c r="F5152" i="1"/>
  <c r="H5152" i="1"/>
  <c r="I5152" i="1" a="1"/>
  <c r="I5152" i="1" s="1"/>
  <c r="D5153" i="1"/>
  <c r="F5153" i="1"/>
  <c r="H5153" i="1"/>
  <c r="I5153" i="1" a="1"/>
  <c r="I5153" i="1" s="1"/>
  <c r="D5154" i="1"/>
  <c r="F5154" i="1"/>
  <c r="H5154" i="1"/>
  <c r="I5154" i="1" a="1"/>
  <c r="I5154" i="1" s="1"/>
  <c r="D5155" i="1"/>
  <c r="F5155" i="1"/>
  <c r="H5155" i="1"/>
  <c r="I5155" i="1" a="1"/>
  <c r="I5155" i="1" s="1"/>
  <c r="D5156" i="1"/>
  <c r="F5156" i="1"/>
  <c r="H5156" i="1"/>
  <c r="I5156" i="1" a="1"/>
  <c r="I5156" i="1" s="1"/>
  <c r="D5157" i="1"/>
  <c r="F5157" i="1"/>
  <c r="H5157" i="1"/>
  <c r="I5157" i="1" a="1"/>
  <c r="I5157" i="1" s="1"/>
  <c r="D5158" i="1"/>
  <c r="F5158" i="1"/>
  <c r="H5158" i="1"/>
  <c r="I5158" i="1" a="1"/>
  <c r="I5158" i="1" s="1"/>
  <c r="D5159" i="1"/>
  <c r="F5159" i="1"/>
  <c r="H5159" i="1"/>
  <c r="I5159" i="1" a="1"/>
  <c r="I5159" i="1" s="1"/>
  <c r="D5160" i="1"/>
  <c r="F5160" i="1"/>
  <c r="H5160" i="1"/>
  <c r="I5160" i="1" a="1"/>
  <c r="I5160" i="1" s="1"/>
  <c r="D5161" i="1"/>
  <c r="F5161" i="1"/>
  <c r="H5161" i="1"/>
  <c r="I5161" i="1" a="1"/>
  <c r="I5161" i="1" s="1"/>
  <c r="D5162" i="1"/>
  <c r="F5162" i="1"/>
  <c r="H5162" i="1"/>
  <c r="I5162" i="1" a="1"/>
  <c r="I5162" i="1" s="1"/>
  <c r="D5163" i="1"/>
  <c r="F5163" i="1"/>
  <c r="H5163" i="1"/>
  <c r="I5163" i="1" a="1"/>
  <c r="I5163" i="1" s="1"/>
  <c r="D5164" i="1"/>
  <c r="F5164" i="1"/>
  <c r="H5164" i="1"/>
  <c r="I5164" i="1" a="1"/>
  <c r="I5164" i="1" s="1"/>
  <c r="D5165" i="1"/>
  <c r="F5165" i="1"/>
  <c r="H5165" i="1"/>
  <c r="I5165" i="1" a="1"/>
  <c r="I5165" i="1" s="1"/>
  <c r="D5166" i="1"/>
  <c r="F5166" i="1"/>
  <c r="H5166" i="1"/>
  <c r="I5166" i="1" a="1"/>
  <c r="I5166" i="1" s="1"/>
  <c r="D5167" i="1"/>
  <c r="F5167" i="1"/>
  <c r="H5167" i="1"/>
  <c r="I5167" i="1" a="1"/>
  <c r="I5167" i="1" s="1"/>
  <c r="D5168" i="1"/>
  <c r="F5168" i="1"/>
  <c r="H5168" i="1"/>
  <c r="I5168" i="1" a="1"/>
  <c r="I5168" i="1" s="1"/>
  <c r="D5169" i="1"/>
  <c r="F5169" i="1"/>
  <c r="H5169" i="1"/>
  <c r="I5169" i="1" a="1"/>
  <c r="I5169" i="1" s="1"/>
  <c r="D5170" i="1"/>
  <c r="F5170" i="1"/>
  <c r="H5170" i="1"/>
  <c r="I5170" i="1" a="1"/>
  <c r="I5170" i="1" s="1"/>
  <c r="D5171" i="1"/>
  <c r="F5171" i="1"/>
  <c r="H5171" i="1"/>
  <c r="I5171" i="1" a="1"/>
  <c r="I5171" i="1" s="1"/>
  <c r="D5172" i="1"/>
  <c r="F5172" i="1"/>
  <c r="H5172" i="1"/>
  <c r="I5172" i="1" a="1"/>
  <c r="I5172" i="1" s="1"/>
  <c r="D5173" i="1"/>
  <c r="F5173" i="1"/>
  <c r="H5173" i="1"/>
  <c r="I5173" i="1" a="1"/>
  <c r="I5173" i="1" s="1"/>
  <c r="D5174" i="1"/>
  <c r="F5174" i="1"/>
  <c r="H5174" i="1"/>
  <c r="I5174" i="1" a="1"/>
  <c r="I5174" i="1" s="1"/>
  <c r="D5175" i="1"/>
  <c r="F5175" i="1"/>
  <c r="H5175" i="1"/>
  <c r="I5175" i="1" a="1"/>
  <c r="I5175" i="1" s="1"/>
  <c r="D5176" i="1"/>
  <c r="F5176" i="1"/>
  <c r="H5176" i="1"/>
  <c r="I5176" i="1" a="1"/>
  <c r="I5176" i="1" s="1"/>
  <c r="D5177" i="1"/>
  <c r="F5177" i="1"/>
  <c r="H5177" i="1"/>
  <c r="I5177" i="1" a="1"/>
  <c r="I5177" i="1" s="1"/>
  <c r="D5178" i="1"/>
  <c r="F5178" i="1"/>
  <c r="H5178" i="1"/>
  <c r="I5178" i="1" a="1"/>
  <c r="I5178" i="1" s="1"/>
  <c r="D5179" i="1"/>
  <c r="F5179" i="1"/>
  <c r="H5179" i="1"/>
  <c r="I5179" i="1" a="1"/>
  <c r="I5179" i="1" s="1"/>
  <c r="D5180" i="1"/>
  <c r="F5180" i="1"/>
  <c r="H5180" i="1"/>
  <c r="I5180" i="1" a="1"/>
  <c r="I5180" i="1" s="1"/>
  <c r="D5181" i="1"/>
  <c r="F5181" i="1"/>
  <c r="H5181" i="1"/>
  <c r="I5181" i="1" a="1"/>
  <c r="I5181" i="1" s="1"/>
  <c r="D5182" i="1"/>
  <c r="F5182" i="1"/>
  <c r="H5182" i="1"/>
  <c r="I5182" i="1" a="1"/>
  <c r="I5182" i="1" s="1"/>
  <c r="D5183" i="1"/>
  <c r="F5183" i="1"/>
  <c r="H5183" i="1"/>
  <c r="I5183" i="1" a="1"/>
  <c r="I5183" i="1" s="1"/>
  <c r="D5184" i="1"/>
  <c r="F5184" i="1"/>
  <c r="H5184" i="1"/>
  <c r="I5184" i="1" a="1"/>
  <c r="I5184" i="1" s="1"/>
  <c r="D5185" i="1"/>
  <c r="F5185" i="1"/>
  <c r="H5185" i="1"/>
  <c r="I5185" i="1" a="1"/>
  <c r="I5185" i="1" s="1"/>
  <c r="D5186" i="1"/>
  <c r="F5186" i="1"/>
  <c r="H5186" i="1"/>
  <c r="I5186" i="1" a="1"/>
  <c r="I5186" i="1" s="1"/>
  <c r="D5187" i="1"/>
  <c r="F5187" i="1"/>
  <c r="H5187" i="1"/>
  <c r="I5187" i="1" a="1"/>
  <c r="I5187" i="1" s="1"/>
  <c r="D5188" i="1"/>
  <c r="F5188" i="1"/>
  <c r="H5188" i="1"/>
  <c r="I5188" i="1" a="1"/>
  <c r="I5188" i="1" s="1"/>
  <c r="D5189" i="1"/>
  <c r="F5189" i="1"/>
  <c r="H5189" i="1"/>
  <c r="I5189" i="1" a="1"/>
  <c r="I5189" i="1" s="1"/>
  <c r="D5190" i="1"/>
  <c r="F5190" i="1"/>
  <c r="H5190" i="1"/>
  <c r="I5190" i="1" a="1"/>
  <c r="I5190" i="1" s="1"/>
  <c r="D5191" i="1"/>
  <c r="F5191" i="1"/>
  <c r="H5191" i="1"/>
  <c r="I5191" i="1" a="1"/>
  <c r="I5191" i="1" s="1"/>
  <c r="D5192" i="1"/>
  <c r="F5192" i="1"/>
  <c r="H5192" i="1"/>
  <c r="I5192" i="1" a="1"/>
  <c r="I5192" i="1" s="1"/>
  <c r="D5193" i="1"/>
  <c r="F5193" i="1"/>
  <c r="H5193" i="1"/>
  <c r="I5193" i="1" a="1"/>
  <c r="I5193" i="1" s="1"/>
  <c r="D5194" i="1"/>
  <c r="F5194" i="1"/>
  <c r="H5194" i="1"/>
  <c r="I5194" i="1" a="1"/>
  <c r="I5194" i="1" s="1"/>
  <c r="D5195" i="1"/>
  <c r="F5195" i="1"/>
  <c r="H5195" i="1"/>
  <c r="I5195" i="1" a="1"/>
  <c r="I5195" i="1" s="1"/>
  <c r="D5196" i="1"/>
  <c r="F5196" i="1"/>
  <c r="H5196" i="1"/>
  <c r="I5196" i="1" a="1"/>
  <c r="I5196" i="1" s="1"/>
  <c r="D5197" i="1"/>
  <c r="F5197" i="1"/>
  <c r="H5197" i="1"/>
  <c r="I5197" i="1" a="1"/>
  <c r="I5197" i="1" s="1"/>
  <c r="D5198" i="1"/>
  <c r="F5198" i="1"/>
  <c r="H5198" i="1"/>
  <c r="I5198" i="1" a="1"/>
  <c r="I5198" i="1" s="1"/>
  <c r="D5199" i="1"/>
  <c r="F5199" i="1"/>
  <c r="H5199" i="1"/>
  <c r="I5199" i="1" a="1"/>
  <c r="I5199" i="1" s="1"/>
  <c r="D5200" i="1"/>
  <c r="F5200" i="1"/>
  <c r="H5200" i="1"/>
  <c r="I5200" i="1" a="1"/>
  <c r="I5200" i="1" s="1"/>
  <c r="D5201" i="1"/>
  <c r="F5201" i="1"/>
  <c r="H5201" i="1"/>
  <c r="I5201" i="1" a="1"/>
  <c r="I5201" i="1" s="1"/>
  <c r="D5202" i="1"/>
  <c r="F5202" i="1"/>
  <c r="H5202" i="1"/>
  <c r="I5202" i="1" a="1"/>
  <c r="I5202" i="1" s="1"/>
  <c r="D5203" i="1"/>
  <c r="F5203" i="1"/>
  <c r="H5203" i="1"/>
  <c r="I5203" i="1" a="1"/>
  <c r="I5203" i="1" s="1"/>
  <c r="D5204" i="1"/>
  <c r="F5204" i="1"/>
  <c r="H5204" i="1"/>
  <c r="I5204" i="1" a="1"/>
  <c r="I5204" i="1" s="1"/>
  <c r="D5205" i="1"/>
  <c r="F5205" i="1"/>
  <c r="H5205" i="1"/>
  <c r="I5205" i="1" a="1"/>
  <c r="I5205" i="1" s="1"/>
  <c r="D5206" i="1"/>
  <c r="F5206" i="1"/>
  <c r="H5206" i="1"/>
  <c r="I5206" i="1" a="1"/>
  <c r="I5206" i="1" s="1"/>
  <c r="D5207" i="1"/>
  <c r="F5207" i="1"/>
  <c r="H5207" i="1"/>
  <c r="I5207" i="1" a="1"/>
  <c r="I5207" i="1" s="1"/>
  <c r="D5208" i="1"/>
  <c r="F5208" i="1"/>
  <c r="H5208" i="1"/>
  <c r="I5208" i="1" a="1"/>
  <c r="I5208" i="1" s="1"/>
  <c r="D5209" i="1"/>
  <c r="F5209" i="1"/>
  <c r="H5209" i="1"/>
  <c r="I5209" i="1" a="1"/>
  <c r="I5209" i="1" s="1"/>
  <c r="D5210" i="1"/>
  <c r="F5210" i="1"/>
  <c r="H5210" i="1"/>
  <c r="I5210" i="1" a="1"/>
  <c r="I5210" i="1" s="1"/>
  <c r="D5211" i="1"/>
  <c r="F5211" i="1"/>
  <c r="H5211" i="1"/>
  <c r="I5211" i="1" a="1"/>
  <c r="I5211" i="1" s="1"/>
  <c r="D5212" i="1"/>
  <c r="F5212" i="1"/>
  <c r="H5212" i="1"/>
  <c r="I5212" i="1" a="1"/>
  <c r="I5212" i="1" s="1"/>
  <c r="D5213" i="1"/>
  <c r="F5213" i="1"/>
  <c r="H5213" i="1"/>
  <c r="I5213" i="1" a="1"/>
  <c r="I5213" i="1" s="1"/>
  <c r="D5214" i="1"/>
  <c r="F5214" i="1"/>
  <c r="H5214" i="1"/>
  <c r="I5214" i="1" a="1"/>
  <c r="I5214" i="1" s="1"/>
  <c r="D5215" i="1"/>
  <c r="F5215" i="1"/>
  <c r="H5215" i="1"/>
  <c r="I5215" i="1" a="1"/>
  <c r="I5215" i="1" s="1"/>
  <c r="D5216" i="1"/>
  <c r="F5216" i="1"/>
  <c r="H5216" i="1"/>
  <c r="I5216" i="1" a="1"/>
  <c r="I5216" i="1" s="1"/>
  <c r="D5217" i="1"/>
  <c r="F5217" i="1"/>
  <c r="H5217" i="1"/>
  <c r="I5217" i="1" a="1"/>
  <c r="I5217" i="1" s="1"/>
  <c r="D5218" i="1"/>
  <c r="F5218" i="1"/>
  <c r="H5218" i="1"/>
  <c r="I5218" i="1" a="1"/>
  <c r="I5218" i="1" s="1"/>
  <c r="D5219" i="1"/>
  <c r="F5219" i="1"/>
  <c r="H5219" i="1"/>
  <c r="I5219" i="1" a="1"/>
  <c r="I5219" i="1" s="1"/>
  <c r="D5220" i="1"/>
  <c r="F5220" i="1"/>
  <c r="H5220" i="1"/>
  <c r="I5220" i="1" a="1"/>
  <c r="I5220" i="1" s="1"/>
  <c r="D5221" i="1"/>
  <c r="F5221" i="1"/>
  <c r="H5221" i="1"/>
  <c r="I5221" i="1" a="1"/>
  <c r="I5221" i="1" s="1"/>
  <c r="D5222" i="1"/>
  <c r="F5222" i="1"/>
  <c r="H5222" i="1"/>
  <c r="I5222" i="1" a="1"/>
  <c r="I5222" i="1" s="1"/>
  <c r="D5223" i="1"/>
  <c r="F5223" i="1"/>
  <c r="H5223" i="1"/>
  <c r="I5223" i="1" a="1"/>
  <c r="I5223" i="1" s="1"/>
  <c r="D5224" i="1"/>
  <c r="F5224" i="1"/>
  <c r="H5224" i="1"/>
  <c r="I5224" i="1" a="1"/>
  <c r="I5224" i="1" s="1"/>
  <c r="D5225" i="1"/>
  <c r="F5225" i="1"/>
  <c r="H5225" i="1"/>
  <c r="I5225" i="1" a="1"/>
  <c r="I5225" i="1" s="1"/>
  <c r="D5226" i="1"/>
  <c r="F5226" i="1"/>
  <c r="H5226" i="1"/>
  <c r="I5226" i="1" a="1"/>
  <c r="I5226" i="1" s="1"/>
  <c r="D5227" i="1"/>
  <c r="F5227" i="1"/>
  <c r="H5227" i="1"/>
  <c r="I5227" i="1" a="1"/>
  <c r="I5227" i="1" s="1"/>
  <c r="D5228" i="1"/>
  <c r="F5228" i="1"/>
  <c r="H5228" i="1"/>
  <c r="I5228" i="1" a="1"/>
  <c r="I5228" i="1" s="1"/>
  <c r="D5229" i="1"/>
  <c r="F5229" i="1"/>
  <c r="H5229" i="1"/>
  <c r="I5229" i="1" a="1"/>
  <c r="I5229" i="1" s="1"/>
  <c r="D5230" i="1"/>
  <c r="F5230" i="1"/>
  <c r="H5230" i="1"/>
  <c r="I5230" i="1" a="1"/>
  <c r="I5230" i="1" s="1"/>
  <c r="D5231" i="1"/>
  <c r="F5231" i="1"/>
  <c r="H5231" i="1"/>
  <c r="I5231" i="1" a="1"/>
  <c r="I5231" i="1" s="1"/>
  <c r="D5232" i="1"/>
  <c r="F5232" i="1"/>
  <c r="H5232" i="1"/>
  <c r="I5232" i="1" a="1"/>
  <c r="I5232" i="1" s="1"/>
  <c r="D5233" i="1"/>
  <c r="F5233" i="1"/>
  <c r="H5233" i="1"/>
  <c r="I5233" i="1" a="1"/>
  <c r="I5233" i="1" s="1"/>
  <c r="D5234" i="1"/>
  <c r="F5234" i="1"/>
  <c r="H5234" i="1"/>
  <c r="I5234" i="1" a="1"/>
  <c r="I5234" i="1" s="1"/>
  <c r="D5235" i="1"/>
  <c r="F5235" i="1"/>
  <c r="H5235" i="1"/>
  <c r="I5235" i="1" a="1"/>
  <c r="I5235" i="1" s="1"/>
  <c r="D5236" i="1"/>
  <c r="F5236" i="1"/>
  <c r="H5236" i="1"/>
  <c r="I5236" i="1" a="1"/>
  <c r="I5236" i="1" s="1"/>
  <c r="D5237" i="1"/>
  <c r="F5237" i="1"/>
  <c r="H5237" i="1"/>
  <c r="I5237" i="1" a="1"/>
  <c r="I5237" i="1" s="1"/>
  <c r="D5238" i="1"/>
  <c r="F5238" i="1"/>
  <c r="H5238" i="1"/>
  <c r="I5238" i="1" a="1"/>
  <c r="I5238" i="1" s="1"/>
  <c r="D5239" i="1"/>
  <c r="F5239" i="1"/>
  <c r="H5239" i="1"/>
  <c r="I5239" i="1" a="1"/>
  <c r="I5239" i="1" s="1"/>
  <c r="D5240" i="1"/>
  <c r="F5240" i="1"/>
  <c r="H5240" i="1"/>
  <c r="I5240" i="1" a="1"/>
  <c r="I5240" i="1" s="1"/>
  <c r="D5241" i="1"/>
  <c r="F5241" i="1"/>
  <c r="H5241" i="1"/>
  <c r="I5241" i="1" a="1"/>
  <c r="I5241" i="1" s="1"/>
  <c r="D5242" i="1"/>
  <c r="F5242" i="1"/>
  <c r="H5242" i="1"/>
  <c r="I5242" i="1" a="1"/>
  <c r="I5242" i="1" s="1"/>
  <c r="D5243" i="1"/>
  <c r="F5243" i="1"/>
  <c r="H5243" i="1"/>
  <c r="I5243" i="1" a="1"/>
  <c r="I5243" i="1" s="1"/>
  <c r="D5244" i="1"/>
  <c r="F5244" i="1"/>
  <c r="H5244" i="1"/>
  <c r="I5244" i="1" a="1"/>
  <c r="I5244" i="1" s="1"/>
  <c r="D5245" i="1"/>
  <c r="F5245" i="1"/>
  <c r="H5245" i="1"/>
  <c r="I5245" i="1" a="1"/>
  <c r="I5245" i="1" s="1"/>
  <c r="D5246" i="1"/>
  <c r="F5246" i="1"/>
  <c r="H5246" i="1"/>
  <c r="I5246" i="1" a="1"/>
  <c r="I5246" i="1" s="1"/>
  <c r="D5247" i="1"/>
  <c r="F5247" i="1"/>
  <c r="H5247" i="1"/>
  <c r="I5247" i="1" a="1"/>
  <c r="I5247" i="1" s="1"/>
  <c r="D5248" i="1"/>
  <c r="F5248" i="1"/>
  <c r="H5248" i="1"/>
  <c r="I5248" i="1" a="1"/>
  <c r="I5248" i="1" s="1"/>
  <c r="D5249" i="1"/>
  <c r="F5249" i="1"/>
  <c r="H5249" i="1"/>
  <c r="I5249" i="1" a="1"/>
  <c r="I5249" i="1" s="1"/>
  <c r="D5250" i="1"/>
  <c r="F5250" i="1"/>
  <c r="H5250" i="1"/>
  <c r="I5250" i="1" a="1"/>
  <c r="I5250" i="1" s="1"/>
  <c r="D5251" i="1"/>
  <c r="F5251" i="1"/>
  <c r="H5251" i="1"/>
  <c r="I5251" i="1" a="1"/>
  <c r="I5251" i="1" s="1"/>
  <c r="D5252" i="1"/>
  <c r="F5252" i="1"/>
  <c r="H5252" i="1"/>
  <c r="I5252" i="1" a="1"/>
  <c r="I5252" i="1" s="1"/>
  <c r="D5253" i="1"/>
  <c r="F5253" i="1"/>
  <c r="H5253" i="1"/>
  <c r="I5253" i="1" a="1"/>
  <c r="I5253" i="1" s="1"/>
  <c r="D5254" i="1"/>
  <c r="F5254" i="1"/>
  <c r="H5254" i="1"/>
  <c r="I5254" i="1" a="1"/>
  <c r="I5254" i="1" s="1"/>
  <c r="D5255" i="1"/>
  <c r="F5255" i="1"/>
  <c r="H5255" i="1"/>
  <c r="I5255" i="1" a="1"/>
  <c r="I5255" i="1" s="1"/>
  <c r="D5256" i="1"/>
  <c r="F5256" i="1"/>
  <c r="H5256" i="1"/>
  <c r="I5256" i="1" a="1"/>
  <c r="I5256" i="1" s="1"/>
  <c r="D5257" i="1"/>
  <c r="F5257" i="1"/>
  <c r="H5257" i="1"/>
  <c r="I5257" i="1" a="1"/>
  <c r="I5257" i="1" s="1"/>
  <c r="D5258" i="1"/>
  <c r="F5258" i="1"/>
  <c r="H5258" i="1"/>
  <c r="I5258" i="1" a="1"/>
  <c r="I5258" i="1" s="1"/>
  <c r="D5259" i="1"/>
  <c r="F5259" i="1"/>
  <c r="H5259" i="1"/>
  <c r="I5259" i="1" a="1"/>
  <c r="I5259" i="1" s="1"/>
  <c r="D5260" i="1"/>
  <c r="F5260" i="1"/>
  <c r="H5260" i="1"/>
  <c r="I5260" i="1" a="1"/>
  <c r="I5260" i="1" s="1"/>
  <c r="D5261" i="1"/>
  <c r="F5261" i="1"/>
  <c r="H5261" i="1"/>
  <c r="I5261" i="1" a="1"/>
  <c r="I5261" i="1" s="1"/>
  <c r="D5262" i="1"/>
  <c r="F5262" i="1"/>
  <c r="H5262" i="1"/>
  <c r="I5262" i="1" a="1"/>
  <c r="I5262" i="1" s="1"/>
  <c r="D5263" i="1"/>
  <c r="F5263" i="1"/>
  <c r="H5263" i="1"/>
  <c r="I5263" i="1" a="1"/>
  <c r="I5263" i="1" s="1"/>
  <c r="D5264" i="1"/>
  <c r="F5264" i="1"/>
  <c r="H5264" i="1"/>
  <c r="I5264" i="1" a="1"/>
  <c r="I5264" i="1" s="1"/>
  <c r="D5265" i="1"/>
  <c r="F5265" i="1"/>
  <c r="H5265" i="1"/>
  <c r="I5265" i="1" a="1"/>
  <c r="I5265" i="1" s="1"/>
  <c r="D5266" i="1"/>
  <c r="F5266" i="1"/>
  <c r="H5266" i="1"/>
  <c r="I5266" i="1" a="1"/>
  <c r="I5266" i="1" s="1"/>
  <c r="D5267" i="1"/>
  <c r="F5267" i="1"/>
  <c r="H5267" i="1"/>
  <c r="I5267" i="1" a="1"/>
  <c r="I5267" i="1" s="1"/>
  <c r="D5268" i="1"/>
  <c r="F5268" i="1"/>
  <c r="H5268" i="1"/>
  <c r="I5268" i="1" a="1"/>
  <c r="I5268" i="1" s="1"/>
  <c r="D5269" i="1"/>
  <c r="F5269" i="1"/>
  <c r="H5269" i="1"/>
  <c r="I5269" i="1" a="1"/>
  <c r="I5269" i="1" s="1"/>
  <c r="D5270" i="1"/>
  <c r="F5270" i="1"/>
  <c r="H5270" i="1"/>
  <c r="I5270" i="1" a="1"/>
  <c r="I5270" i="1" s="1"/>
  <c r="D5271" i="1"/>
  <c r="F5271" i="1"/>
  <c r="H5271" i="1"/>
  <c r="I5271" i="1" a="1"/>
  <c r="I5271" i="1" s="1"/>
  <c r="D5272" i="1"/>
  <c r="F5272" i="1"/>
  <c r="H5272" i="1"/>
  <c r="I5272" i="1" a="1"/>
  <c r="I5272" i="1" s="1"/>
  <c r="D5273" i="1"/>
  <c r="F5273" i="1"/>
  <c r="H5273" i="1"/>
  <c r="I5273" i="1" a="1"/>
  <c r="I5273" i="1" s="1"/>
  <c r="D5274" i="1"/>
  <c r="F5274" i="1"/>
  <c r="H5274" i="1"/>
  <c r="I5274" i="1" a="1"/>
  <c r="I5274" i="1" s="1"/>
  <c r="D5275" i="1"/>
  <c r="F5275" i="1"/>
  <c r="H5275" i="1"/>
  <c r="I5275" i="1" a="1"/>
  <c r="I5275" i="1" s="1"/>
  <c r="D5276" i="1"/>
  <c r="F5276" i="1"/>
  <c r="H5276" i="1"/>
  <c r="I5276" i="1" a="1"/>
  <c r="I5276" i="1" s="1"/>
  <c r="D5277" i="1"/>
  <c r="F5277" i="1"/>
  <c r="H5277" i="1"/>
  <c r="I5277" i="1" a="1"/>
  <c r="I5277" i="1" s="1"/>
  <c r="D5278" i="1"/>
  <c r="F5278" i="1"/>
  <c r="H5278" i="1"/>
  <c r="I5278" i="1" a="1"/>
  <c r="I5278" i="1" s="1"/>
  <c r="D5279" i="1"/>
  <c r="F5279" i="1"/>
  <c r="H5279" i="1"/>
  <c r="I5279" i="1" a="1"/>
  <c r="I5279" i="1" s="1"/>
  <c r="D5280" i="1"/>
  <c r="F5280" i="1"/>
  <c r="H5280" i="1"/>
  <c r="I5280" i="1" a="1"/>
  <c r="I5280" i="1" s="1"/>
  <c r="D5281" i="1"/>
  <c r="F5281" i="1"/>
  <c r="H5281" i="1"/>
  <c r="I5281" i="1" a="1"/>
  <c r="I5281" i="1" s="1"/>
  <c r="D5282" i="1"/>
  <c r="F5282" i="1"/>
  <c r="H5282" i="1"/>
  <c r="I5282" i="1" a="1"/>
  <c r="I5282" i="1" s="1"/>
  <c r="D5283" i="1"/>
  <c r="F5283" i="1"/>
  <c r="H5283" i="1"/>
  <c r="I5283" i="1" a="1"/>
  <c r="I5283" i="1" s="1"/>
  <c r="D5284" i="1"/>
  <c r="F5284" i="1"/>
  <c r="H5284" i="1"/>
  <c r="I5284" i="1" a="1"/>
  <c r="I5284" i="1" s="1"/>
  <c r="D5285" i="1"/>
  <c r="F5285" i="1"/>
  <c r="H5285" i="1"/>
  <c r="I5285" i="1" a="1"/>
  <c r="I5285" i="1" s="1"/>
  <c r="D5286" i="1"/>
  <c r="F5286" i="1"/>
  <c r="H5286" i="1"/>
  <c r="I5286" i="1" a="1"/>
  <c r="I5286" i="1" s="1"/>
  <c r="D5287" i="1"/>
  <c r="F5287" i="1"/>
  <c r="H5287" i="1"/>
  <c r="I5287" i="1" a="1"/>
  <c r="I5287" i="1" s="1"/>
  <c r="D5288" i="1"/>
  <c r="F5288" i="1"/>
  <c r="H5288" i="1"/>
  <c r="I5288" i="1" a="1"/>
  <c r="I5288" i="1" s="1"/>
  <c r="D5289" i="1"/>
  <c r="F5289" i="1"/>
  <c r="H5289" i="1"/>
  <c r="I5289" i="1" a="1"/>
  <c r="I5289" i="1" s="1"/>
  <c r="D5290" i="1"/>
  <c r="F5290" i="1"/>
  <c r="H5290" i="1"/>
  <c r="I5290" i="1" a="1"/>
  <c r="I5290" i="1" s="1"/>
  <c r="D5291" i="1"/>
  <c r="F5291" i="1"/>
  <c r="H5291" i="1"/>
  <c r="I5291" i="1" a="1"/>
  <c r="I5291" i="1" s="1"/>
  <c r="D5292" i="1"/>
  <c r="F5292" i="1"/>
  <c r="H5292" i="1"/>
  <c r="I5292" i="1" a="1"/>
  <c r="I5292" i="1" s="1"/>
  <c r="D5293" i="1"/>
  <c r="F5293" i="1"/>
  <c r="H5293" i="1"/>
  <c r="I5293" i="1" a="1"/>
  <c r="I5293" i="1" s="1"/>
  <c r="D5294" i="1"/>
  <c r="F5294" i="1"/>
  <c r="H5294" i="1"/>
  <c r="I5294" i="1" a="1"/>
  <c r="I5294" i="1" s="1"/>
  <c r="D5295" i="1"/>
  <c r="F5295" i="1"/>
  <c r="H5295" i="1"/>
  <c r="I5295" i="1" a="1"/>
  <c r="I5295" i="1" s="1"/>
  <c r="D5296" i="1"/>
  <c r="F5296" i="1"/>
  <c r="H5296" i="1"/>
  <c r="I5296" i="1" a="1"/>
  <c r="I5296" i="1" s="1"/>
  <c r="D5297" i="1"/>
  <c r="F5297" i="1"/>
  <c r="H5297" i="1"/>
  <c r="I5297" i="1" a="1"/>
  <c r="I5297" i="1" s="1"/>
  <c r="D5298" i="1"/>
  <c r="F5298" i="1"/>
  <c r="H5298" i="1"/>
  <c r="I5298" i="1" a="1"/>
  <c r="I5298" i="1" s="1"/>
  <c r="D5299" i="1"/>
  <c r="F5299" i="1"/>
  <c r="H5299" i="1"/>
  <c r="I5299" i="1" a="1"/>
  <c r="I5299" i="1" s="1"/>
  <c r="D5300" i="1"/>
  <c r="F5300" i="1"/>
  <c r="H5300" i="1"/>
  <c r="I5300" i="1" a="1"/>
  <c r="I5300" i="1" s="1"/>
  <c r="D5301" i="1"/>
  <c r="F5301" i="1"/>
  <c r="H5301" i="1"/>
  <c r="I5301" i="1" a="1"/>
  <c r="I5301" i="1" s="1"/>
  <c r="D5302" i="1"/>
  <c r="F5302" i="1"/>
  <c r="H5302" i="1"/>
  <c r="I5302" i="1" a="1"/>
  <c r="I5302" i="1" s="1"/>
  <c r="D5303" i="1"/>
  <c r="F5303" i="1"/>
  <c r="H5303" i="1"/>
  <c r="I5303" i="1" a="1"/>
  <c r="I5303" i="1" s="1"/>
  <c r="D5304" i="1"/>
  <c r="F5304" i="1"/>
  <c r="H5304" i="1"/>
  <c r="I5304" i="1" a="1"/>
  <c r="I5304" i="1" s="1"/>
  <c r="D5305" i="1"/>
  <c r="F5305" i="1"/>
  <c r="H5305" i="1"/>
  <c r="I5305" i="1" a="1"/>
  <c r="I5305" i="1" s="1"/>
  <c r="D5306" i="1"/>
  <c r="F5306" i="1"/>
  <c r="H5306" i="1"/>
  <c r="I5306" i="1" a="1"/>
  <c r="I5306" i="1" s="1"/>
  <c r="D5307" i="1"/>
  <c r="F5307" i="1"/>
  <c r="H5307" i="1"/>
  <c r="I5307" i="1" a="1"/>
  <c r="I5307" i="1" s="1"/>
  <c r="D5308" i="1"/>
  <c r="F5308" i="1"/>
  <c r="H5308" i="1"/>
  <c r="I5308" i="1" a="1"/>
  <c r="I5308" i="1" s="1"/>
  <c r="D5309" i="1"/>
  <c r="F5309" i="1"/>
  <c r="H5309" i="1"/>
  <c r="I5309" i="1" a="1"/>
  <c r="I5309" i="1" s="1"/>
  <c r="D5310" i="1"/>
  <c r="F5310" i="1"/>
  <c r="H5310" i="1"/>
  <c r="I5310" i="1" a="1"/>
  <c r="I5310" i="1" s="1"/>
  <c r="D5311" i="1"/>
  <c r="F5311" i="1"/>
  <c r="H5311" i="1"/>
  <c r="I5311" i="1" a="1"/>
  <c r="I5311" i="1" s="1"/>
  <c r="D5312" i="1"/>
  <c r="F5312" i="1"/>
  <c r="H5312" i="1"/>
  <c r="I5312" i="1" a="1"/>
  <c r="I5312" i="1" s="1"/>
  <c r="D5313" i="1"/>
  <c r="F5313" i="1"/>
  <c r="H5313" i="1"/>
  <c r="I5313" i="1" a="1"/>
  <c r="I5313" i="1" s="1"/>
  <c r="D5314" i="1"/>
  <c r="F5314" i="1"/>
  <c r="H5314" i="1"/>
  <c r="I5314" i="1" a="1"/>
  <c r="I5314" i="1" s="1"/>
  <c r="D5315" i="1"/>
  <c r="F5315" i="1"/>
  <c r="H5315" i="1"/>
  <c r="I5315" i="1" a="1"/>
  <c r="I5315" i="1" s="1"/>
  <c r="D5316" i="1"/>
  <c r="F5316" i="1"/>
  <c r="H5316" i="1"/>
  <c r="I5316" i="1" a="1"/>
  <c r="I5316" i="1" s="1"/>
  <c r="D5317" i="1"/>
  <c r="F5317" i="1"/>
  <c r="H5317" i="1"/>
  <c r="I5317" i="1" a="1"/>
  <c r="I5317" i="1" s="1"/>
  <c r="D5318" i="1"/>
  <c r="F5318" i="1"/>
  <c r="H5318" i="1"/>
  <c r="I5318" i="1" a="1"/>
  <c r="I5318" i="1" s="1"/>
  <c r="D5319" i="1"/>
  <c r="F5319" i="1"/>
  <c r="H5319" i="1"/>
  <c r="I5319" i="1" a="1"/>
  <c r="I5319" i="1" s="1"/>
  <c r="D5320" i="1"/>
  <c r="F5320" i="1"/>
  <c r="H5320" i="1"/>
  <c r="I5320" i="1" a="1"/>
  <c r="I5320" i="1" s="1"/>
  <c r="D5321" i="1"/>
  <c r="F5321" i="1"/>
  <c r="H5321" i="1"/>
  <c r="I5321" i="1" a="1"/>
  <c r="I5321" i="1" s="1"/>
  <c r="D5322" i="1"/>
  <c r="F5322" i="1"/>
  <c r="H5322" i="1"/>
  <c r="I5322" i="1" a="1"/>
  <c r="I5322" i="1" s="1"/>
  <c r="D5323" i="1"/>
  <c r="F5323" i="1"/>
  <c r="H5323" i="1"/>
  <c r="I5323" i="1" a="1"/>
  <c r="I5323" i="1" s="1"/>
  <c r="D5324" i="1"/>
  <c r="F5324" i="1"/>
  <c r="H5324" i="1"/>
  <c r="I5324" i="1" a="1"/>
  <c r="I5324" i="1" s="1"/>
  <c r="D5325" i="1"/>
  <c r="F5325" i="1"/>
  <c r="H5325" i="1"/>
  <c r="I5325" i="1" a="1"/>
  <c r="I5325" i="1" s="1"/>
  <c r="D5326" i="1"/>
  <c r="F5326" i="1"/>
  <c r="H5326" i="1"/>
  <c r="I5326" i="1" a="1"/>
  <c r="I5326" i="1" s="1"/>
  <c r="D5327" i="1"/>
  <c r="F5327" i="1"/>
  <c r="H5327" i="1"/>
  <c r="I5327" i="1" a="1"/>
  <c r="I5327" i="1" s="1"/>
  <c r="D5328" i="1"/>
  <c r="F5328" i="1"/>
  <c r="H5328" i="1"/>
  <c r="I5328" i="1" a="1"/>
  <c r="I5328" i="1" s="1"/>
  <c r="D5329" i="1"/>
  <c r="F5329" i="1"/>
  <c r="H5329" i="1"/>
  <c r="I5329" i="1" a="1"/>
  <c r="I5329" i="1" s="1"/>
  <c r="D5330" i="1"/>
  <c r="F5330" i="1"/>
  <c r="H5330" i="1"/>
  <c r="I5330" i="1" a="1"/>
  <c r="I5330" i="1" s="1"/>
  <c r="D5331" i="1"/>
  <c r="F5331" i="1"/>
  <c r="H5331" i="1"/>
  <c r="I5331" i="1" a="1"/>
  <c r="I5331" i="1" s="1"/>
  <c r="D5332" i="1"/>
  <c r="F5332" i="1"/>
  <c r="H5332" i="1"/>
  <c r="I5332" i="1" a="1"/>
  <c r="I5332" i="1" s="1"/>
  <c r="D5333" i="1"/>
  <c r="F5333" i="1"/>
  <c r="H5333" i="1"/>
  <c r="I5333" i="1" a="1"/>
  <c r="I5333" i="1" s="1"/>
  <c r="D5334" i="1"/>
  <c r="F5334" i="1"/>
  <c r="H5334" i="1"/>
  <c r="I5334" i="1" a="1"/>
  <c r="I5334" i="1" s="1"/>
  <c r="D5335" i="1"/>
  <c r="F5335" i="1"/>
  <c r="H5335" i="1"/>
  <c r="I5335" i="1" a="1"/>
  <c r="I5335" i="1" s="1"/>
  <c r="D5336" i="1"/>
  <c r="F5336" i="1"/>
  <c r="H5336" i="1"/>
  <c r="I5336" i="1" a="1"/>
  <c r="I5336" i="1" s="1"/>
  <c r="D5337" i="1"/>
  <c r="F5337" i="1"/>
  <c r="H5337" i="1"/>
  <c r="I5337" i="1" a="1"/>
  <c r="I5337" i="1" s="1"/>
  <c r="D5338" i="1"/>
  <c r="F5338" i="1"/>
  <c r="H5338" i="1"/>
  <c r="I5338" i="1" a="1"/>
  <c r="I5338" i="1" s="1"/>
  <c r="D5339" i="1"/>
  <c r="F5339" i="1"/>
  <c r="H5339" i="1"/>
  <c r="I5339" i="1" a="1"/>
  <c r="I5339" i="1" s="1"/>
  <c r="D5340" i="1"/>
  <c r="F5340" i="1"/>
  <c r="H5340" i="1"/>
  <c r="I5340" i="1" a="1"/>
  <c r="I5340" i="1" s="1"/>
  <c r="D5341" i="1"/>
  <c r="F5341" i="1"/>
  <c r="H5341" i="1"/>
  <c r="I5341" i="1" a="1"/>
  <c r="I5341" i="1" s="1"/>
  <c r="D5342" i="1"/>
  <c r="F5342" i="1"/>
  <c r="H5342" i="1"/>
  <c r="I5342" i="1" a="1"/>
  <c r="I5342" i="1" s="1"/>
  <c r="D5343" i="1"/>
  <c r="F5343" i="1"/>
  <c r="H5343" i="1"/>
  <c r="I5343" i="1" a="1"/>
  <c r="I5343" i="1" s="1"/>
  <c r="D5344" i="1"/>
  <c r="F5344" i="1"/>
  <c r="H5344" i="1"/>
  <c r="I5344" i="1" a="1"/>
  <c r="I5344" i="1" s="1"/>
  <c r="D5345" i="1"/>
  <c r="F5345" i="1"/>
  <c r="H5345" i="1"/>
  <c r="I5345" i="1" a="1"/>
  <c r="I5345" i="1" s="1"/>
  <c r="D5346" i="1"/>
  <c r="F5346" i="1"/>
  <c r="H5346" i="1"/>
  <c r="I5346" i="1" a="1"/>
  <c r="I5346" i="1" s="1"/>
  <c r="D5347" i="1"/>
  <c r="F5347" i="1"/>
  <c r="H5347" i="1"/>
  <c r="I5347" i="1" a="1"/>
  <c r="I5347" i="1" s="1"/>
  <c r="D5348" i="1"/>
  <c r="F5348" i="1"/>
  <c r="H5348" i="1"/>
  <c r="I5348" i="1" a="1"/>
  <c r="I5348" i="1" s="1"/>
  <c r="D5349" i="1"/>
  <c r="F5349" i="1"/>
  <c r="H5349" i="1"/>
  <c r="I5349" i="1" a="1"/>
  <c r="I5349" i="1" s="1"/>
  <c r="D5350" i="1"/>
  <c r="F5350" i="1"/>
  <c r="H5350" i="1"/>
  <c r="I5350" i="1" a="1"/>
  <c r="I5350" i="1" s="1"/>
  <c r="D5351" i="1"/>
  <c r="F5351" i="1"/>
  <c r="H5351" i="1"/>
  <c r="I5351" i="1" a="1"/>
  <c r="I5351" i="1" s="1"/>
  <c r="D5352" i="1"/>
  <c r="F5352" i="1"/>
  <c r="H5352" i="1"/>
  <c r="I5352" i="1" a="1"/>
  <c r="I5352" i="1" s="1"/>
  <c r="D5353" i="1"/>
  <c r="F5353" i="1"/>
  <c r="H5353" i="1"/>
  <c r="I5353" i="1" a="1"/>
  <c r="I5353" i="1" s="1"/>
  <c r="D5354" i="1"/>
  <c r="F5354" i="1"/>
  <c r="H5354" i="1"/>
  <c r="I5354" i="1" a="1"/>
  <c r="I5354" i="1" s="1"/>
  <c r="D5355" i="1"/>
  <c r="F5355" i="1"/>
  <c r="H5355" i="1"/>
  <c r="I5355" i="1" a="1"/>
  <c r="I5355" i="1" s="1"/>
  <c r="D5356" i="1"/>
  <c r="F5356" i="1"/>
  <c r="H5356" i="1"/>
  <c r="I5356" i="1" a="1"/>
  <c r="I5356" i="1" s="1"/>
  <c r="D5357" i="1"/>
  <c r="F5357" i="1"/>
  <c r="H5357" i="1"/>
  <c r="I5357" i="1" a="1"/>
  <c r="I5357" i="1" s="1"/>
  <c r="D5358" i="1"/>
  <c r="F5358" i="1"/>
  <c r="H5358" i="1"/>
  <c r="I5358" i="1" a="1"/>
  <c r="I5358" i="1" s="1"/>
  <c r="D5359" i="1"/>
  <c r="F5359" i="1"/>
  <c r="H5359" i="1"/>
  <c r="I5359" i="1" a="1"/>
  <c r="I5359" i="1" s="1"/>
  <c r="D5360" i="1"/>
  <c r="F5360" i="1"/>
  <c r="H5360" i="1"/>
  <c r="I5360" i="1" a="1"/>
  <c r="I5360" i="1" s="1"/>
  <c r="D5361" i="1"/>
  <c r="F5361" i="1"/>
  <c r="H5361" i="1"/>
  <c r="I5361" i="1" a="1"/>
  <c r="I5361" i="1" s="1"/>
  <c r="D5362" i="1"/>
  <c r="F5362" i="1"/>
  <c r="H5362" i="1"/>
  <c r="I5362" i="1" a="1"/>
  <c r="I5362" i="1" s="1"/>
  <c r="D5363" i="1"/>
  <c r="F5363" i="1"/>
  <c r="H5363" i="1"/>
  <c r="I5363" i="1" a="1"/>
  <c r="I5363" i="1" s="1"/>
  <c r="D5364" i="1"/>
  <c r="F5364" i="1"/>
  <c r="H5364" i="1"/>
  <c r="I5364" i="1" a="1"/>
  <c r="I5364" i="1" s="1"/>
  <c r="D5365" i="1"/>
  <c r="F5365" i="1"/>
  <c r="H5365" i="1"/>
  <c r="I5365" i="1" a="1"/>
  <c r="I5365" i="1" s="1"/>
  <c r="D5366" i="1"/>
  <c r="F5366" i="1"/>
  <c r="H5366" i="1"/>
  <c r="I5366" i="1" a="1"/>
  <c r="I5366" i="1" s="1"/>
  <c r="D5367" i="1"/>
  <c r="F5367" i="1"/>
  <c r="H5367" i="1"/>
  <c r="I5367" i="1" a="1"/>
  <c r="I5367" i="1" s="1"/>
  <c r="D5368" i="1"/>
  <c r="F5368" i="1"/>
  <c r="H5368" i="1"/>
  <c r="I5368" i="1" a="1"/>
  <c r="I5368" i="1" s="1"/>
  <c r="D5369" i="1"/>
  <c r="F5369" i="1"/>
  <c r="H5369" i="1"/>
  <c r="I5369" i="1" a="1"/>
  <c r="I5369" i="1" s="1"/>
  <c r="D5370" i="1"/>
  <c r="F5370" i="1"/>
  <c r="H5370" i="1"/>
  <c r="I5370" i="1" a="1"/>
  <c r="I5370" i="1" s="1"/>
  <c r="D5371" i="1"/>
  <c r="F5371" i="1"/>
  <c r="H5371" i="1"/>
  <c r="I5371" i="1" a="1"/>
  <c r="I5371" i="1" s="1"/>
  <c r="D5372" i="1"/>
  <c r="F5372" i="1"/>
  <c r="H5372" i="1"/>
  <c r="I5372" i="1" a="1"/>
  <c r="I5372" i="1" s="1"/>
  <c r="D5373" i="1"/>
  <c r="F5373" i="1"/>
  <c r="H5373" i="1"/>
  <c r="I5373" i="1" a="1"/>
  <c r="I5373" i="1" s="1"/>
  <c r="D5374" i="1"/>
  <c r="F5374" i="1"/>
  <c r="H5374" i="1"/>
  <c r="I5374" i="1" a="1"/>
  <c r="I5374" i="1" s="1"/>
  <c r="D5375" i="1"/>
  <c r="F5375" i="1"/>
  <c r="H5375" i="1"/>
  <c r="I5375" i="1" a="1"/>
  <c r="I5375" i="1" s="1"/>
  <c r="D5376" i="1"/>
  <c r="F5376" i="1"/>
  <c r="H5376" i="1"/>
  <c r="I5376" i="1" a="1"/>
  <c r="I5376" i="1" s="1"/>
  <c r="D5377" i="1"/>
  <c r="F5377" i="1"/>
  <c r="H5377" i="1"/>
  <c r="I5377" i="1" a="1"/>
  <c r="I5377" i="1" s="1"/>
  <c r="D5378" i="1"/>
  <c r="F5378" i="1"/>
  <c r="H5378" i="1"/>
  <c r="I5378" i="1" a="1"/>
  <c r="I5378" i="1" s="1"/>
  <c r="D5379" i="1"/>
  <c r="F5379" i="1"/>
  <c r="H5379" i="1"/>
  <c r="I5379" i="1" a="1"/>
  <c r="I5379" i="1" s="1"/>
  <c r="D5380" i="1"/>
  <c r="F5380" i="1"/>
  <c r="H5380" i="1"/>
  <c r="I5380" i="1" a="1"/>
  <c r="I5380" i="1" s="1"/>
  <c r="D5381" i="1"/>
  <c r="F5381" i="1"/>
  <c r="H5381" i="1"/>
  <c r="I5381" i="1" a="1"/>
  <c r="I5381" i="1" s="1"/>
  <c r="D5382" i="1"/>
  <c r="F5382" i="1"/>
  <c r="H5382" i="1"/>
  <c r="I5382" i="1" a="1"/>
  <c r="I5382" i="1" s="1"/>
  <c r="D5383" i="1"/>
  <c r="F5383" i="1"/>
  <c r="H5383" i="1"/>
  <c r="I5383" i="1" a="1"/>
  <c r="I5383" i="1" s="1"/>
  <c r="D5384" i="1"/>
  <c r="F5384" i="1"/>
  <c r="H5384" i="1"/>
  <c r="I5384" i="1" a="1"/>
  <c r="I5384" i="1" s="1"/>
  <c r="D5385" i="1"/>
  <c r="F5385" i="1"/>
  <c r="H5385" i="1"/>
  <c r="I5385" i="1" a="1"/>
  <c r="I5385" i="1" s="1"/>
  <c r="D5386" i="1"/>
  <c r="F5386" i="1"/>
  <c r="H5386" i="1"/>
  <c r="I5386" i="1" a="1"/>
  <c r="I5386" i="1" s="1"/>
  <c r="D5387" i="1"/>
  <c r="F5387" i="1"/>
  <c r="H5387" i="1"/>
  <c r="I5387" i="1" a="1"/>
  <c r="I5387" i="1" s="1"/>
  <c r="D5388" i="1"/>
  <c r="F5388" i="1"/>
  <c r="H5388" i="1"/>
  <c r="I5388" i="1" a="1"/>
  <c r="I5388" i="1" s="1"/>
  <c r="D5389" i="1"/>
  <c r="F5389" i="1"/>
  <c r="H5389" i="1"/>
  <c r="I5389" i="1" a="1"/>
  <c r="I5389" i="1" s="1"/>
  <c r="D5390" i="1"/>
  <c r="F5390" i="1"/>
  <c r="H5390" i="1"/>
  <c r="I5390" i="1" a="1"/>
  <c r="I5390" i="1" s="1"/>
  <c r="D5391" i="1"/>
  <c r="F5391" i="1"/>
  <c r="H5391" i="1"/>
  <c r="I5391" i="1" a="1"/>
  <c r="I5391" i="1" s="1"/>
  <c r="D5392" i="1"/>
  <c r="F5392" i="1"/>
  <c r="H5392" i="1"/>
  <c r="I5392" i="1" a="1"/>
  <c r="I5392" i="1" s="1"/>
  <c r="D5393" i="1"/>
  <c r="F5393" i="1"/>
  <c r="H5393" i="1"/>
  <c r="I5393" i="1" a="1"/>
  <c r="I5393" i="1" s="1"/>
  <c r="D5394" i="1"/>
  <c r="F5394" i="1"/>
  <c r="H5394" i="1"/>
  <c r="I5394" i="1" a="1"/>
  <c r="I5394" i="1" s="1"/>
  <c r="D5395" i="1"/>
  <c r="F5395" i="1"/>
  <c r="H5395" i="1"/>
  <c r="I5395" i="1" a="1"/>
  <c r="I5395" i="1" s="1"/>
  <c r="D5396" i="1"/>
  <c r="F5396" i="1"/>
  <c r="H5396" i="1"/>
  <c r="I5396" i="1" a="1"/>
  <c r="I5396" i="1" s="1"/>
  <c r="D5397" i="1"/>
  <c r="F5397" i="1"/>
  <c r="H5397" i="1"/>
  <c r="I5397" i="1" a="1"/>
  <c r="I5397" i="1" s="1"/>
  <c r="D5398" i="1"/>
  <c r="F5398" i="1"/>
  <c r="H5398" i="1"/>
  <c r="I5398" i="1" a="1"/>
  <c r="I5398" i="1" s="1"/>
  <c r="D5399" i="1"/>
  <c r="F5399" i="1"/>
  <c r="H5399" i="1"/>
  <c r="I5399" i="1" a="1"/>
  <c r="I5399" i="1" s="1"/>
  <c r="D5400" i="1"/>
  <c r="F5400" i="1"/>
  <c r="H5400" i="1"/>
  <c r="I5400" i="1" a="1"/>
  <c r="I5400" i="1" s="1"/>
  <c r="D5401" i="1"/>
  <c r="F5401" i="1"/>
  <c r="H5401" i="1"/>
  <c r="I5401" i="1" a="1"/>
  <c r="I5401" i="1" s="1"/>
  <c r="D5402" i="1"/>
  <c r="F5402" i="1"/>
  <c r="H5402" i="1"/>
  <c r="I5402" i="1" a="1"/>
  <c r="I5402" i="1" s="1"/>
  <c r="D5403" i="1"/>
  <c r="F5403" i="1"/>
  <c r="H5403" i="1"/>
  <c r="I5403" i="1" a="1"/>
  <c r="I5403" i="1" s="1"/>
  <c r="D5404" i="1"/>
  <c r="F5404" i="1"/>
  <c r="H5404" i="1"/>
  <c r="I5404" i="1" a="1"/>
  <c r="I5404" i="1" s="1"/>
  <c r="D5405" i="1"/>
  <c r="F5405" i="1"/>
  <c r="H5405" i="1"/>
  <c r="I5405" i="1" a="1"/>
  <c r="I5405" i="1" s="1"/>
  <c r="D5406" i="1"/>
  <c r="F5406" i="1"/>
  <c r="H5406" i="1"/>
  <c r="I5406" i="1" a="1"/>
  <c r="I5406" i="1" s="1"/>
  <c r="D5407" i="1"/>
  <c r="F5407" i="1"/>
  <c r="H5407" i="1"/>
  <c r="I5407" i="1" a="1"/>
  <c r="I5407" i="1" s="1"/>
  <c r="D5408" i="1"/>
  <c r="F5408" i="1"/>
  <c r="H5408" i="1"/>
  <c r="I5408" i="1" a="1"/>
  <c r="I5408" i="1" s="1"/>
  <c r="D5409" i="1"/>
  <c r="F5409" i="1"/>
  <c r="H5409" i="1"/>
  <c r="I5409" i="1" a="1"/>
  <c r="I5409" i="1" s="1"/>
  <c r="D5410" i="1"/>
  <c r="F5410" i="1"/>
  <c r="H5410" i="1"/>
  <c r="I5410" i="1" a="1"/>
  <c r="I5410" i="1" s="1"/>
  <c r="D5411" i="1"/>
  <c r="F5411" i="1"/>
  <c r="H5411" i="1"/>
  <c r="I5411" i="1" a="1"/>
  <c r="I5411" i="1" s="1"/>
  <c r="D5412" i="1"/>
  <c r="F5412" i="1"/>
  <c r="H5412" i="1"/>
  <c r="I5412" i="1" a="1"/>
  <c r="I5412" i="1" s="1"/>
  <c r="D5413" i="1"/>
  <c r="F5413" i="1"/>
  <c r="H5413" i="1"/>
  <c r="I5413" i="1" a="1"/>
  <c r="I5413" i="1" s="1"/>
  <c r="D5414" i="1"/>
  <c r="F5414" i="1"/>
  <c r="H5414" i="1"/>
  <c r="I5414" i="1" a="1"/>
  <c r="I5414" i="1" s="1"/>
  <c r="D5415" i="1"/>
  <c r="F5415" i="1"/>
  <c r="H5415" i="1"/>
  <c r="I5415" i="1" a="1"/>
  <c r="I5415" i="1" s="1"/>
  <c r="D5416" i="1"/>
  <c r="F5416" i="1"/>
  <c r="H5416" i="1"/>
  <c r="I5416" i="1" a="1"/>
  <c r="I5416" i="1" s="1"/>
  <c r="D5417" i="1"/>
  <c r="F5417" i="1"/>
  <c r="H5417" i="1"/>
  <c r="I5417" i="1" a="1"/>
  <c r="I5417" i="1" s="1"/>
  <c r="D5418" i="1"/>
  <c r="F5418" i="1"/>
  <c r="H5418" i="1"/>
  <c r="I5418" i="1" a="1"/>
  <c r="I5418" i="1" s="1"/>
  <c r="D5419" i="1"/>
  <c r="F5419" i="1"/>
  <c r="H5419" i="1"/>
  <c r="I5419" i="1" a="1"/>
  <c r="I5419" i="1" s="1"/>
  <c r="D5420" i="1"/>
  <c r="F5420" i="1"/>
  <c r="H5420" i="1"/>
  <c r="I5420" i="1" a="1"/>
  <c r="I5420" i="1" s="1"/>
  <c r="D5421" i="1"/>
  <c r="F5421" i="1"/>
  <c r="H5421" i="1"/>
  <c r="I5421" i="1" a="1"/>
  <c r="I5421" i="1" s="1"/>
  <c r="D5422" i="1"/>
  <c r="F5422" i="1"/>
  <c r="H5422" i="1"/>
  <c r="I5422" i="1" a="1"/>
  <c r="I5422" i="1" s="1"/>
  <c r="D5423" i="1"/>
  <c r="F5423" i="1"/>
  <c r="H5423" i="1"/>
  <c r="I5423" i="1" a="1"/>
  <c r="I5423" i="1" s="1"/>
  <c r="D5424" i="1"/>
  <c r="F5424" i="1"/>
  <c r="H5424" i="1"/>
  <c r="I5424" i="1" a="1"/>
  <c r="I5424" i="1" s="1"/>
  <c r="D5425" i="1"/>
  <c r="F5425" i="1"/>
  <c r="H5425" i="1"/>
  <c r="I5425" i="1" a="1"/>
  <c r="I5425" i="1" s="1"/>
  <c r="D5426" i="1"/>
  <c r="F5426" i="1"/>
  <c r="H5426" i="1"/>
  <c r="I5426" i="1" a="1"/>
  <c r="I5426" i="1" s="1"/>
  <c r="D5427" i="1"/>
  <c r="F5427" i="1"/>
  <c r="H5427" i="1"/>
  <c r="I5427" i="1" a="1"/>
  <c r="I5427" i="1" s="1"/>
  <c r="D5428" i="1"/>
  <c r="F5428" i="1"/>
  <c r="H5428" i="1"/>
  <c r="I5428" i="1" a="1"/>
  <c r="I5428" i="1" s="1"/>
  <c r="D5429" i="1"/>
  <c r="F5429" i="1"/>
  <c r="H5429" i="1"/>
  <c r="I5429" i="1" a="1"/>
  <c r="I5429" i="1" s="1"/>
  <c r="D5430" i="1"/>
  <c r="F5430" i="1"/>
  <c r="H5430" i="1"/>
  <c r="I5430" i="1" a="1"/>
  <c r="I5430" i="1" s="1"/>
  <c r="D5431" i="1"/>
  <c r="F5431" i="1"/>
  <c r="H5431" i="1"/>
  <c r="I5431" i="1" a="1"/>
  <c r="I5431" i="1" s="1"/>
  <c r="D5432" i="1"/>
  <c r="F5432" i="1"/>
  <c r="H5432" i="1"/>
  <c r="I5432" i="1" a="1"/>
  <c r="I5432" i="1" s="1"/>
  <c r="D5433" i="1"/>
  <c r="F5433" i="1"/>
  <c r="H5433" i="1"/>
  <c r="I5433" i="1" a="1"/>
  <c r="I5433" i="1" s="1"/>
  <c r="D5434" i="1"/>
  <c r="F5434" i="1"/>
  <c r="H5434" i="1"/>
  <c r="I5434" i="1" a="1"/>
  <c r="I5434" i="1" s="1"/>
  <c r="D5435" i="1"/>
  <c r="F5435" i="1"/>
  <c r="H5435" i="1"/>
  <c r="I5435" i="1" a="1"/>
  <c r="I5435" i="1" s="1"/>
  <c r="D5436" i="1"/>
  <c r="F5436" i="1"/>
  <c r="H5436" i="1"/>
  <c r="I5436" i="1" a="1"/>
  <c r="I5436" i="1" s="1"/>
  <c r="D5437" i="1"/>
  <c r="F5437" i="1"/>
  <c r="H5437" i="1"/>
  <c r="I5437" i="1" a="1"/>
  <c r="I5437" i="1" s="1"/>
  <c r="D5438" i="1"/>
  <c r="F5438" i="1"/>
  <c r="H5438" i="1"/>
  <c r="I5438" i="1" a="1"/>
  <c r="I5438" i="1" s="1"/>
  <c r="D5439" i="1"/>
  <c r="F5439" i="1"/>
  <c r="H5439" i="1"/>
  <c r="I5439" i="1" a="1"/>
  <c r="I5439" i="1" s="1"/>
  <c r="D5440" i="1"/>
  <c r="F5440" i="1"/>
  <c r="H5440" i="1"/>
  <c r="I5440" i="1" a="1"/>
  <c r="I5440" i="1" s="1"/>
  <c r="D5441" i="1"/>
  <c r="F5441" i="1"/>
  <c r="H5441" i="1"/>
  <c r="I5441" i="1" a="1"/>
  <c r="I5441" i="1" s="1"/>
  <c r="D5442" i="1"/>
  <c r="F5442" i="1"/>
  <c r="H5442" i="1"/>
  <c r="I5442" i="1" a="1"/>
  <c r="I5442" i="1" s="1"/>
  <c r="D5443" i="1"/>
  <c r="F5443" i="1"/>
  <c r="H5443" i="1"/>
  <c r="I5443" i="1" a="1"/>
  <c r="I5443" i="1" s="1"/>
  <c r="D5444" i="1"/>
  <c r="F5444" i="1"/>
  <c r="H5444" i="1"/>
  <c r="I5444" i="1" a="1"/>
  <c r="I5444" i="1" s="1"/>
  <c r="D5445" i="1"/>
  <c r="F5445" i="1"/>
  <c r="H5445" i="1"/>
  <c r="I5445" i="1" a="1"/>
  <c r="I5445" i="1" s="1"/>
  <c r="D5446" i="1"/>
  <c r="F5446" i="1"/>
  <c r="H5446" i="1"/>
  <c r="I5446" i="1" a="1"/>
  <c r="I5446" i="1" s="1"/>
  <c r="D5447" i="1"/>
  <c r="F5447" i="1"/>
  <c r="H5447" i="1"/>
  <c r="I5447" i="1" a="1"/>
  <c r="I5447" i="1" s="1"/>
  <c r="D5448" i="1"/>
  <c r="F5448" i="1"/>
  <c r="H5448" i="1"/>
  <c r="I5448" i="1" a="1"/>
  <c r="I5448" i="1" s="1"/>
  <c r="D5449" i="1"/>
  <c r="F5449" i="1"/>
  <c r="H5449" i="1"/>
  <c r="I5449" i="1" a="1"/>
  <c r="I5449" i="1" s="1"/>
  <c r="D5450" i="1"/>
  <c r="F5450" i="1"/>
  <c r="H5450" i="1"/>
  <c r="I5450" i="1" a="1"/>
  <c r="I5450" i="1" s="1"/>
  <c r="D5451" i="1"/>
  <c r="F5451" i="1"/>
  <c r="H5451" i="1"/>
  <c r="I5451" i="1" a="1"/>
  <c r="I5451" i="1" s="1"/>
  <c r="D5452" i="1"/>
  <c r="F5452" i="1"/>
  <c r="H5452" i="1"/>
  <c r="I5452" i="1" a="1"/>
  <c r="I5452" i="1" s="1"/>
  <c r="D5453" i="1"/>
  <c r="F5453" i="1"/>
  <c r="H5453" i="1"/>
  <c r="I5453" i="1" a="1"/>
  <c r="I5453" i="1" s="1"/>
  <c r="D5454" i="1"/>
  <c r="F5454" i="1"/>
  <c r="H5454" i="1"/>
  <c r="I5454" i="1" a="1"/>
  <c r="I5454" i="1" s="1"/>
  <c r="D5455" i="1"/>
  <c r="F5455" i="1"/>
  <c r="H5455" i="1"/>
  <c r="I5455" i="1" a="1"/>
  <c r="I5455" i="1" s="1"/>
  <c r="D5456" i="1"/>
  <c r="F5456" i="1"/>
  <c r="H5456" i="1"/>
  <c r="I5456" i="1" a="1"/>
  <c r="I5456" i="1" s="1"/>
  <c r="D5457" i="1"/>
  <c r="F5457" i="1"/>
  <c r="H5457" i="1"/>
  <c r="I5457" i="1" a="1"/>
  <c r="I5457" i="1" s="1"/>
  <c r="D5458" i="1"/>
  <c r="F5458" i="1"/>
  <c r="H5458" i="1"/>
  <c r="I5458" i="1" a="1"/>
  <c r="I5458" i="1" s="1"/>
  <c r="D5459" i="1"/>
  <c r="F5459" i="1"/>
  <c r="H5459" i="1"/>
  <c r="I5459" i="1" a="1"/>
  <c r="I5459" i="1" s="1"/>
  <c r="D5460" i="1"/>
  <c r="F5460" i="1"/>
  <c r="H5460" i="1"/>
  <c r="I5460" i="1" a="1"/>
  <c r="I5460" i="1" s="1"/>
  <c r="D5461" i="1"/>
  <c r="F5461" i="1"/>
  <c r="H5461" i="1"/>
  <c r="I5461" i="1" a="1"/>
  <c r="I5461" i="1" s="1"/>
  <c r="D5462" i="1"/>
  <c r="F5462" i="1"/>
  <c r="H5462" i="1"/>
  <c r="I5462" i="1" a="1"/>
  <c r="I5462" i="1" s="1"/>
  <c r="D5463" i="1"/>
  <c r="F5463" i="1"/>
  <c r="H5463" i="1"/>
  <c r="I5463" i="1" a="1"/>
  <c r="I5463" i="1" s="1"/>
  <c r="D5464" i="1"/>
  <c r="F5464" i="1"/>
  <c r="H5464" i="1"/>
  <c r="I5464" i="1" a="1"/>
  <c r="I5464" i="1" s="1"/>
  <c r="D5465" i="1"/>
  <c r="F5465" i="1"/>
  <c r="H5465" i="1"/>
  <c r="I5465" i="1" a="1"/>
  <c r="I5465" i="1" s="1"/>
  <c r="D5466" i="1"/>
  <c r="F5466" i="1"/>
  <c r="H5466" i="1"/>
  <c r="I5466" i="1" a="1"/>
  <c r="I5466" i="1" s="1"/>
  <c r="D5467" i="1"/>
  <c r="F5467" i="1"/>
  <c r="H5467" i="1"/>
  <c r="I5467" i="1" a="1"/>
  <c r="I5467" i="1" s="1"/>
  <c r="D5468" i="1"/>
  <c r="F5468" i="1"/>
  <c r="H5468" i="1"/>
  <c r="I5468" i="1" a="1"/>
  <c r="I5468" i="1" s="1"/>
  <c r="D5469" i="1"/>
  <c r="F5469" i="1"/>
  <c r="H5469" i="1"/>
  <c r="I5469" i="1" a="1"/>
  <c r="I5469" i="1" s="1"/>
  <c r="D5470" i="1"/>
  <c r="F5470" i="1"/>
  <c r="H5470" i="1"/>
  <c r="I5470" i="1" a="1"/>
  <c r="I5470" i="1" s="1"/>
  <c r="D5471" i="1"/>
  <c r="F5471" i="1"/>
  <c r="H5471" i="1"/>
  <c r="I5471" i="1" a="1"/>
  <c r="I5471" i="1" s="1"/>
  <c r="D5472" i="1"/>
  <c r="F5472" i="1"/>
  <c r="H5472" i="1"/>
  <c r="I5472" i="1" a="1"/>
  <c r="I5472" i="1" s="1"/>
  <c r="D5473" i="1"/>
  <c r="F5473" i="1"/>
  <c r="H5473" i="1"/>
  <c r="I5473" i="1" a="1"/>
  <c r="I5473" i="1" s="1"/>
  <c r="D5474" i="1"/>
  <c r="F5474" i="1"/>
  <c r="H5474" i="1"/>
  <c r="I5474" i="1" a="1"/>
  <c r="I5474" i="1" s="1"/>
  <c r="D5475" i="1"/>
  <c r="F5475" i="1"/>
  <c r="H5475" i="1"/>
  <c r="I5475" i="1" a="1"/>
  <c r="I5475" i="1" s="1"/>
  <c r="D5476" i="1"/>
  <c r="F5476" i="1"/>
  <c r="H5476" i="1"/>
  <c r="I5476" i="1" a="1"/>
  <c r="I5476" i="1" s="1"/>
  <c r="D5477" i="1"/>
  <c r="F5477" i="1"/>
  <c r="H5477" i="1"/>
  <c r="I5477" i="1" a="1"/>
  <c r="I5477" i="1" s="1"/>
  <c r="D5478" i="1"/>
  <c r="F5478" i="1"/>
  <c r="H5478" i="1"/>
  <c r="I5478" i="1" a="1"/>
  <c r="I5478" i="1" s="1"/>
  <c r="D5479" i="1"/>
  <c r="F5479" i="1"/>
  <c r="H5479" i="1"/>
  <c r="I5479" i="1" a="1"/>
  <c r="I5479" i="1" s="1"/>
  <c r="D5480" i="1"/>
  <c r="F5480" i="1"/>
  <c r="H5480" i="1"/>
  <c r="I5480" i="1" a="1"/>
  <c r="I5480" i="1" s="1"/>
  <c r="D5481" i="1"/>
  <c r="F5481" i="1"/>
  <c r="H5481" i="1"/>
  <c r="I5481" i="1" a="1"/>
  <c r="I5481" i="1" s="1"/>
  <c r="D5482" i="1"/>
  <c r="F5482" i="1"/>
  <c r="H5482" i="1"/>
  <c r="I5482" i="1" a="1"/>
  <c r="I5482" i="1" s="1"/>
  <c r="D5483" i="1"/>
  <c r="F5483" i="1"/>
  <c r="H5483" i="1"/>
  <c r="I5483" i="1" a="1"/>
  <c r="I5483" i="1" s="1"/>
  <c r="D5484" i="1"/>
  <c r="F5484" i="1"/>
  <c r="H5484" i="1"/>
  <c r="I5484" i="1" a="1"/>
  <c r="I5484" i="1" s="1"/>
  <c r="D5485" i="1"/>
  <c r="F5485" i="1"/>
  <c r="H5485" i="1"/>
  <c r="I5485" i="1" a="1"/>
  <c r="I5485" i="1" s="1"/>
  <c r="D5486" i="1"/>
  <c r="F5486" i="1"/>
  <c r="H5486" i="1"/>
  <c r="I5486" i="1" a="1"/>
  <c r="I5486" i="1" s="1"/>
  <c r="D5487" i="1"/>
  <c r="F5487" i="1"/>
  <c r="H5487" i="1"/>
  <c r="I5487" i="1" a="1"/>
  <c r="I5487" i="1" s="1"/>
  <c r="D5488" i="1"/>
  <c r="F5488" i="1"/>
  <c r="H5488" i="1"/>
  <c r="I5488" i="1" a="1"/>
  <c r="I5488" i="1" s="1"/>
  <c r="D5489" i="1"/>
  <c r="F5489" i="1"/>
  <c r="H5489" i="1"/>
  <c r="I5489" i="1" a="1"/>
  <c r="I5489" i="1" s="1"/>
  <c r="D5490" i="1"/>
  <c r="F5490" i="1"/>
  <c r="H5490" i="1"/>
  <c r="I5490" i="1" a="1"/>
  <c r="I5490" i="1" s="1"/>
  <c r="D5491" i="1"/>
  <c r="F5491" i="1"/>
  <c r="H5491" i="1"/>
  <c r="I5491" i="1" a="1"/>
  <c r="I5491" i="1" s="1"/>
  <c r="D5492" i="1"/>
  <c r="F5492" i="1"/>
  <c r="H5492" i="1"/>
  <c r="I5492" i="1" a="1"/>
  <c r="I5492" i="1" s="1"/>
  <c r="D5493" i="1"/>
  <c r="F5493" i="1"/>
  <c r="H5493" i="1"/>
  <c r="I5493" i="1" a="1"/>
  <c r="I5493" i="1" s="1"/>
  <c r="D5494" i="1"/>
  <c r="F5494" i="1"/>
  <c r="H5494" i="1"/>
  <c r="I5494" i="1" a="1"/>
  <c r="I5494" i="1" s="1"/>
  <c r="D5495" i="1"/>
  <c r="F5495" i="1"/>
  <c r="H5495" i="1"/>
  <c r="I5495" i="1" a="1"/>
  <c r="I5495" i="1" s="1"/>
  <c r="D5496" i="1"/>
  <c r="F5496" i="1"/>
  <c r="H5496" i="1"/>
  <c r="I5496" i="1" a="1"/>
  <c r="I5496" i="1" s="1"/>
  <c r="D5497" i="1"/>
  <c r="F5497" i="1"/>
  <c r="H5497" i="1"/>
  <c r="I5497" i="1" a="1"/>
  <c r="I5497" i="1" s="1"/>
  <c r="D5498" i="1"/>
  <c r="F5498" i="1"/>
  <c r="H5498" i="1"/>
  <c r="I5498" i="1" a="1"/>
  <c r="I5498" i="1" s="1"/>
  <c r="D5499" i="1"/>
  <c r="F5499" i="1"/>
  <c r="H5499" i="1"/>
  <c r="I5499" i="1" a="1"/>
  <c r="I5499" i="1" s="1"/>
  <c r="D5500" i="1"/>
  <c r="F5500" i="1"/>
  <c r="H5500" i="1"/>
  <c r="I5500" i="1" a="1"/>
  <c r="I5500" i="1" s="1"/>
  <c r="D5501" i="1"/>
  <c r="F5501" i="1"/>
  <c r="H5501" i="1"/>
  <c r="I5501" i="1" a="1"/>
  <c r="I5501" i="1" s="1"/>
  <c r="D5502" i="1"/>
  <c r="F5502" i="1"/>
  <c r="H5502" i="1"/>
  <c r="I5502" i="1" a="1"/>
  <c r="I5502" i="1" s="1"/>
  <c r="D5503" i="1"/>
  <c r="F5503" i="1"/>
  <c r="H5503" i="1"/>
  <c r="I5503" i="1" a="1"/>
  <c r="I5503" i="1" s="1"/>
  <c r="D5504" i="1"/>
  <c r="F5504" i="1"/>
  <c r="H5504" i="1"/>
  <c r="I5504" i="1" a="1"/>
  <c r="I5504" i="1" s="1"/>
  <c r="D5505" i="1"/>
  <c r="F5505" i="1"/>
  <c r="H5505" i="1"/>
  <c r="I5505" i="1" a="1"/>
  <c r="I5505" i="1" s="1"/>
  <c r="D5506" i="1"/>
  <c r="F5506" i="1"/>
  <c r="H5506" i="1"/>
  <c r="I5506" i="1" a="1"/>
  <c r="I5506" i="1" s="1"/>
  <c r="D5507" i="1"/>
  <c r="F5507" i="1"/>
  <c r="H5507" i="1"/>
  <c r="I5507" i="1" a="1"/>
  <c r="I5507" i="1" s="1"/>
  <c r="D5508" i="1"/>
  <c r="F5508" i="1"/>
  <c r="H5508" i="1"/>
  <c r="I5508" i="1" a="1"/>
  <c r="I5508" i="1" s="1"/>
  <c r="D5509" i="1"/>
  <c r="F5509" i="1"/>
  <c r="H5509" i="1"/>
  <c r="I5509" i="1" a="1"/>
  <c r="I5509" i="1" s="1"/>
  <c r="D5510" i="1"/>
  <c r="F5510" i="1"/>
  <c r="H5510" i="1"/>
  <c r="I5510" i="1" a="1"/>
  <c r="I5510" i="1" s="1"/>
  <c r="D5511" i="1"/>
  <c r="F5511" i="1"/>
  <c r="H5511" i="1"/>
  <c r="I5511" i="1" a="1"/>
  <c r="I5511" i="1" s="1"/>
  <c r="D5512" i="1"/>
  <c r="F5512" i="1"/>
  <c r="H5512" i="1"/>
  <c r="I5512" i="1" a="1"/>
  <c r="I5512" i="1" s="1"/>
  <c r="D5513" i="1"/>
  <c r="F5513" i="1"/>
  <c r="H5513" i="1"/>
  <c r="I5513" i="1" a="1"/>
  <c r="I5513" i="1" s="1"/>
  <c r="D5514" i="1"/>
  <c r="F5514" i="1"/>
  <c r="H5514" i="1"/>
  <c r="I5514" i="1" a="1"/>
  <c r="I5514" i="1" s="1"/>
  <c r="D5515" i="1"/>
  <c r="F5515" i="1"/>
  <c r="H5515" i="1"/>
  <c r="I5515" i="1" a="1"/>
  <c r="I5515" i="1" s="1"/>
  <c r="D5516" i="1"/>
  <c r="F5516" i="1"/>
  <c r="H5516" i="1"/>
  <c r="I5516" i="1" a="1"/>
  <c r="I5516" i="1" s="1"/>
  <c r="D5517" i="1"/>
  <c r="F5517" i="1"/>
  <c r="H5517" i="1"/>
  <c r="I5517" i="1" a="1"/>
  <c r="I5517" i="1" s="1"/>
  <c r="D5518" i="1"/>
  <c r="F5518" i="1"/>
  <c r="H5518" i="1"/>
  <c r="I5518" i="1" a="1"/>
  <c r="I5518" i="1" s="1"/>
  <c r="D5519" i="1"/>
  <c r="F5519" i="1"/>
  <c r="H5519" i="1"/>
  <c r="I5519" i="1" a="1"/>
  <c r="I5519" i="1" s="1"/>
  <c r="D5520" i="1"/>
  <c r="F5520" i="1"/>
  <c r="H5520" i="1"/>
  <c r="I5520" i="1" a="1"/>
  <c r="I5520" i="1" s="1"/>
  <c r="D5521" i="1"/>
  <c r="F5521" i="1"/>
  <c r="H5521" i="1"/>
  <c r="I5521" i="1" a="1"/>
  <c r="I5521" i="1" s="1"/>
  <c r="D5522" i="1"/>
  <c r="F5522" i="1"/>
  <c r="H5522" i="1"/>
  <c r="I5522" i="1" a="1"/>
  <c r="I5522" i="1" s="1"/>
  <c r="D5523" i="1"/>
  <c r="F5523" i="1"/>
  <c r="H5523" i="1"/>
  <c r="I5523" i="1" a="1"/>
  <c r="I5523" i="1" s="1"/>
  <c r="D5524" i="1"/>
  <c r="F5524" i="1"/>
  <c r="H5524" i="1"/>
  <c r="I5524" i="1" a="1"/>
  <c r="I5524" i="1" s="1"/>
  <c r="D5525" i="1"/>
  <c r="F5525" i="1"/>
  <c r="H5525" i="1"/>
  <c r="I5525" i="1" a="1"/>
  <c r="I5525" i="1" s="1"/>
  <c r="D5526" i="1"/>
  <c r="F5526" i="1"/>
  <c r="H5526" i="1"/>
  <c r="I5526" i="1" a="1"/>
  <c r="I5526" i="1" s="1"/>
  <c r="D5527" i="1"/>
  <c r="F5527" i="1"/>
  <c r="H5527" i="1"/>
  <c r="I5527" i="1" a="1"/>
  <c r="I5527" i="1" s="1"/>
  <c r="D5528" i="1"/>
  <c r="F5528" i="1"/>
  <c r="H5528" i="1"/>
  <c r="I5528" i="1" a="1"/>
  <c r="I5528" i="1" s="1"/>
  <c r="D5529" i="1"/>
  <c r="F5529" i="1"/>
  <c r="H5529" i="1"/>
  <c r="I5529" i="1" a="1"/>
  <c r="I5529" i="1" s="1"/>
  <c r="D5530" i="1"/>
  <c r="F5530" i="1"/>
  <c r="H5530" i="1"/>
  <c r="I5530" i="1" a="1"/>
  <c r="I5530" i="1" s="1"/>
  <c r="D5531" i="1"/>
  <c r="F5531" i="1"/>
  <c r="H5531" i="1"/>
  <c r="I5531" i="1" a="1"/>
  <c r="I5531" i="1" s="1"/>
  <c r="D5532" i="1"/>
  <c r="F5532" i="1"/>
  <c r="H5532" i="1"/>
  <c r="I5532" i="1" a="1"/>
  <c r="I5532" i="1" s="1"/>
  <c r="D5533" i="1"/>
  <c r="F5533" i="1"/>
  <c r="H5533" i="1"/>
  <c r="I5533" i="1" a="1"/>
  <c r="I5533" i="1" s="1"/>
  <c r="D5534" i="1"/>
  <c r="F5534" i="1"/>
  <c r="H5534" i="1"/>
  <c r="I5534" i="1" a="1"/>
  <c r="I5534" i="1" s="1"/>
  <c r="D5535" i="1"/>
  <c r="F5535" i="1"/>
  <c r="H5535" i="1"/>
  <c r="I5535" i="1" a="1"/>
  <c r="I5535" i="1" s="1"/>
  <c r="D5536" i="1"/>
  <c r="F5536" i="1"/>
  <c r="H5536" i="1"/>
  <c r="I5536" i="1" a="1"/>
  <c r="I5536" i="1" s="1"/>
  <c r="D5537" i="1"/>
  <c r="F5537" i="1"/>
  <c r="H5537" i="1"/>
  <c r="I5537" i="1" a="1"/>
  <c r="I5537" i="1" s="1"/>
  <c r="D5538" i="1"/>
  <c r="F5538" i="1"/>
  <c r="H5538" i="1"/>
  <c r="I5538" i="1" a="1"/>
  <c r="I5538" i="1" s="1"/>
  <c r="D5539" i="1"/>
  <c r="F5539" i="1"/>
  <c r="H5539" i="1"/>
  <c r="I5539" i="1" a="1"/>
  <c r="I5539" i="1" s="1"/>
  <c r="D5540" i="1"/>
  <c r="F5540" i="1"/>
  <c r="H5540" i="1"/>
  <c r="I5540" i="1" a="1"/>
  <c r="I5540" i="1" s="1"/>
  <c r="D5541" i="1"/>
  <c r="F5541" i="1"/>
  <c r="H5541" i="1"/>
  <c r="I5541" i="1" a="1"/>
  <c r="I5541" i="1" s="1"/>
  <c r="D5542" i="1"/>
  <c r="F5542" i="1"/>
  <c r="H5542" i="1"/>
  <c r="I5542" i="1" a="1"/>
  <c r="I5542" i="1" s="1"/>
  <c r="D5543" i="1"/>
  <c r="F5543" i="1"/>
  <c r="H5543" i="1"/>
  <c r="I5543" i="1" a="1"/>
  <c r="I5543" i="1" s="1"/>
  <c r="D5544" i="1"/>
  <c r="F5544" i="1"/>
  <c r="H5544" i="1"/>
  <c r="I5544" i="1" a="1"/>
  <c r="I5544" i="1" s="1"/>
  <c r="D5545" i="1"/>
  <c r="F5545" i="1"/>
  <c r="H5545" i="1"/>
  <c r="I5545" i="1" a="1"/>
  <c r="I5545" i="1" s="1"/>
  <c r="D5546" i="1"/>
  <c r="F5546" i="1"/>
  <c r="H5546" i="1"/>
  <c r="I5546" i="1" a="1"/>
  <c r="I5546" i="1" s="1"/>
  <c r="D5547" i="1"/>
  <c r="F5547" i="1"/>
  <c r="H5547" i="1"/>
  <c r="I5547" i="1" a="1"/>
  <c r="I5547" i="1" s="1"/>
  <c r="D5548" i="1"/>
  <c r="F5548" i="1"/>
  <c r="H5548" i="1"/>
  <c r="I5548" i="1" a="1"/>
  <c r="I5548" i="1" s="1"/>
  <c r="D5549" i="1"/>
  <c r="F5549" i="1"/>
  <c r="H5549" i="1"/>
  <c r="I5549" i="1" a="1"/>
  <c r="I5549" i="1" s="1"/>
  <c r="D5550" i="1"/>
  <c r="F5550" i="1"/>
  <c r="H5550" i="1"/>
  <c r="I5550" i="1" a="1"/>
  <c r="I5550" i="1" s="1"/>
  <c r="D5551" i="1"/>
  <c r="F5551" i="1"/>
  <c r="H5551" i="1"/>
  <c r="I5551" i="1" a="1"/>
  <c r="I5551" i="1" s="1"/>
  <c r="D5552" i="1"/>
  <c r="F5552" i="1"/>
  <c r="H5552" i="1"/>
  <c r="I5552" i="1" a="1"/>
  <c r="I5552" i="1" s="1"/>
  <c r="D5553" i="1"/>
  <c r="F5553" i="1"/>
  <c r="H5553" i="1"/>
  <c r="I5553" i="1" a="1"/>
  <c r="I5553" i="1" s="1"/>
  <c r="D5554" i="1"/>
  <c r="F5554" i="1"/>
  <c r="H5554" i="1"/>
  <c r="I5554" i="1" a="1"/>
  <c r="I5554" i="1" s="1"/>
  <c r="D5555" i="1"/>
  <c r="F5555" i="1"/>
  <c r="H5555" i="1"/>
  <c r="I5555" i="1" a="1"/>
  <c r="I5555" i="1" s="1"/>
  <c r="D5556" i="1"/>
  <c r="F5556" i="1"/>
  <c r="H5556" i="1"/>
  <c r="I5556" i="1" a="1"/>
  <c r="I5556" i="1" s="1"/>
  <c r="D5557" i="1"/>
  <c r="F5557" i="1"/>
  <c r="H5557" i="1"/>
  <c r="I5557" i="1" a="1"/>
  <c r="I5557" i="1" s="1"/>
  <c r="D5558" i="1"/>
  <c r="F5558" i="1"/>
  <c r="H5558" i="1"/>
  <c r="I5558" i="1" a="1"/>
  <c r="I5558" i="1" s="1"/>
  <c r="D5559" i="1"/>
  <c r="F5559" i="1"/>
  <c r="H5559" i="1"/>
  <c r="I5559" i="1" a="1"/>
  <c r="I5559" i="1" s="1"/>
  <c r="D5560" i="1"/>
  <c r="F5560" i="1"/>
  <c r="H5560" i="1"/>
  <c r="I5560" i="1" a="1"/>
  <c r="I5560" i="1" s="1"/>
  <c r="D5561" i="1"/>
  <c r="F5561" i="1"/>
  <c r="H5561" i="1"/>
  <c r="I5561" i="1" a="1"/>
  <c r="I5561" i="1" s="1"/>
  <c r="D5562" i="1"/>
  <c r="F5562" i="1"/>
  <c r="H5562" i="1"/>
  <c r="I5562" i="1" a="1"/>
  <c r="I5562" i="1" s="1"/>
  <c r="D5563" i="1"/>
  <c r="F5563" i="1"/>
  <c r="H5563" i="1"/>
  <c r="I5563" i="1" a="1"/>
  <c r="I5563" i="1" s="1"/>
  <c r="D5564" i="1"/>
  <c r="F5564" i="1"/>
  <c r="H5564" i="1"/>
  <c r="I5564" i="1" a="1"/>
  <c r="I5564" i="1" s="1"/>
  <c r="D5565" i="1"/>
  <c r="F5565" i="1"/>
  <c r="H5565" i="1"/>
  <c r="I5565" i="1" a="1"/>
  <c r="I5565" i="1" s="1"/>
  <c r="D5566" i="1"/>
  <c r="F5566" i="1"/>
  <c r="H5566" i="1"/>
  <c r="I5566" i="1" a="1"/>
  <c r="I5566" i="1" s="1"/>
  <c r="D5567" i="1"/>
  <c r="F5567" i="1"/>
  <c r="H5567" i="1"/>
  <c r="I5567" i="1" a="1"/>
  <c r="I5567" i="1" s="1"/>
  <c r="D5568" i="1"/>
  <c r="F5568" i="1"/>
  <c r="H5568" i="1"/>
  <c r="I5568" i="1" a="1"/>
  <c r="I5568" i="1" s="1"/>
  <c r="D5569" i="1"/>
  <c r="F5569" i="1"/>
  <c r="H5569" i="1"/>
  <c r="I5569" i="1" a="1"/>
  <c r="I5569" i="1" s="1"/>
  <c r="D5570" i="1"/>
  <c r="F5570" i="1"/>
  <c r="H5570" i="1"/>
  <c r="I5570" i="1" a="1"/>
  <c r="I5570" i="1" s="1"/>
  <c r="D5571" i="1"/>
  <c r="F5571" i="1"/>
  <c r="H5571" i="1"/>
  <c r="I5571" i="1" a="1"/>
  <c r="I5571" i="1" s="1"/>
  <c r="D5572" i="1"/>
  <c r="F5572" i="1"/>
  <c r="H5572" i="1"/>
  <c r="I5572" i="1" a="1"/>
  <c r="I5572" i="1" s="1"/>
  <c r="D5573" i="1"/>
  <c r="F5573" i="1"/>
  <c r="H5573" i="1"/>
  <c r="I5573" i="1" a="1"/>
  <c r="I5573" i="1" s="1"/>
  <c r="D5574" i="1"/>
  <c r="F5574" i="1"/>
  <c r="H5574" i="1"/>
  <c r="I5574" i="1" a="1"/>
  <c r="I5574" i="1" s="1"/>
  <c r="D5575" i="1"/>
  <c r="F5575" i="1"/>
  <c r="H5575" i="1"/>
  <c r="I5575" i="1" a="1"/>
  <c r="I5575" i="1" s="1"/>
  <c r="D5576" i="1"/>
  <c r="F5576" i="1"/>
  <c r="H5576" i="1"/>
  <c r="I5576" i="1" a="1"/>
  <c r="I5576" i="1" s="1"/>
  <c r="D5577" i="1"/>
  <c r="F5577" i="1"/>
  <c r="H5577" i="1"/>
  <c r="I5577" i="1" a="1"/>
  <c r="I5577" i="1" s="1"/>
  <c r="D5578" i="1"/>
  <c r="F5578" i="1"/>
  <c r="H5578" i="1"/>
  <c r="I5578" i="1" a="1"/>
  <c r="I5578" i="1" s="1"/>
  <c r="D5579" i="1"/>
  <c r="F5579" i="1"/>
  <c r="H5579" i="1"/>
  <c r="I5579" i="1" a="1"/>
  <c r="I5579" i="1" s="1"/>
  <c r="D5580" i="1"/>
  <c r="F5580" i="1"/>
  <c r="H5580" i="1"/>
  <c r="I5580" i="1" a="1"/>
  <c r="I5580" i="1" s="1"/>
  <c r="D5581" i="1"/>
  <c r="F5581" i="1"/>
  <c r="H5581" i="1"/>
  <c r="I5581" i="1" a="1"/>
  <c r="I5581" i="1" s="1"/>
  <c r="D5582" i="1"/>
  <c r="F5582" i="1"/>
  <c r="H5582" i="1"/>
  <c r="I5582" i="1" a="1"/>
  <c r="I5582" i="1" s="1"/>
  <c r="D5583" i="1"/>
  <c r="F5583" i="1"/>
  <c r="H5583" i="1"/>
  <c r="I5583" i="1" a="1"/>
  <c r="I5583" i="1" s="1"/>
  <c r="D5584" i="1"/>
  <c r="F5584" i="1"/>
  <c r="H5584" i="1"/>
  <c r="I5584" i="1" a="1"/>
  <c r="I5584" i="1" s="1"/>
  <c r="D5585" i="1"/>
  <c r="F5585" i="1"/>
  <c r="H5585" i="1"/>
  <c r="I5585" i="1" a="1"/>
  <c r="I5585" i="1" s="1"/>
  <c r="D5586" i="1"/>
  <c r="F5586" i="1"/>
  <c r="H5586" i="1"/>
  <c r="I5586" i="1" a="1"/>
  <c r="I5586" i="1" s="1"/>
  <c r="D5587" i="1"/>
  <c r="F5587" i="1"/>
  <c r="H5587" i="1"/>
  <c r="I5587" i="1" a="1"/>
  <c r="I5587" i="1" s="1"/>
  <c r="D5588" i="1"/>
  <c r="F5588" i="1"/>
  <c r="H5588" i="1"/>
  <c r="I5588" i="1" a="1"/>
  <c r="I5588" i="1" s="1"/>
  <c r="D5589" i="1"/>
  <c r="F5589" i="1"/>
  <c r="H5589" i="1"/>
  <c r="I5589" i="1" a="1"/>
  <c r="I5589" i="1" s="1"/>
  <c r="D5590" i="1"/>
  <c r="F5590" i="1"/>
  <c r="H5590" i="1"/>
  <c r="I5590" i="1" a="1"/>
  <c r="I5590" i="1" s="1"/>
  <c r="D5591" i="1"/>
  <c r="F5591" i="1"/>
  <c r="H5591" i="1"/>
  <c r="I5591" i="1" a="1"/>
  <c r="I5591" i="1" s="1"/>
  <c r="D5592" i="1"/>
  <c r="F5592" i="1"/>
  <c r="H5592" i="1"/>
  <c r="I5592" i="1" a="1"/>
  <c r="I5592" i="1" s="1"/>
  <c r="D5593" i="1"/>
  <c r="F5593" i="1"/>
  <c r="H5593" i="1"/>
  <c r="I5593" i="1" a="1"/>
  <c r="I5593" i="1" s="1"/>
  <c r="D5594" i="1"/>
  <c r="F5594" i="1"/>
  <c r="H5594" i="1"/>
  <c r="I5594" i="1" a="1"/>
  <c r="I5594" i="1" s="1"/>
  <c r="D5595" i="1"/>
  <c r="F5595" i="1"/>
  <c r="H5595" i="1"/>
  <c r="I5595" i="1" a="1"/>
  <c r="I5595" i="1" s="1"/>
  <c r="D5596" i="1"/>
  <c r="F5596" i="1"/>
  <c r="H5596" i="1"/>
  <c r="I5596" i="1" a="1"/>
  <c r="I5596" i="1" s="1"/>
  <c r="D5597" i="1"/>
  <c r="F5597" i="1"/>
  <c r="H5597" i="1"/>
  <c r="I5597" i="1" a="1"/>
  <c r="I5597" i="1" s="1"/>
  <c r="D5598" i="1"/>
  <c r="F5598" i="1"/>
  <c r="H5598" i="1"/>
  <c r="I5598" i="1" a="1"/>
  <c r="I5598" i="1" s="1"/>
  <c r="D5599" i="1"/>
  <c r="F5599" i="1"/>
  <c r="H5599" i="1"/>
  <c r="I5599" i="1" a="1"/>
  <c r="I5599" i="1" s="1"/>
  <c r="D5600" i="1"/>
  <c r="F5600" i="1"/>
  <c r="H5600" i="1"/>
  <c r="I5600" i="1" a="1"/>
  <c r="I5600" i="1" s="1"/>
  <c r="D5601" i="1"/>
  <c r="F5601" i="1"/>
  <c r="H5601" i="1"/>
  <c r="I5601" i="1" a="1"/>
  <c r="I5601" i="1" s="1"/>
  <c r="D5602" i="1"/>
  <c r="F5602" i="1"/>
  <c r="H5602" i="1"/>
  <c r="I5602" i="1" a="1"/>
  <c r="I5602" i="1" s="1"/>
  <c r="D5603" i="1"/>
  <c r="F5603" i="1"/>
  <c r="H5603" i="1"/>
  <c r="I5603" i="1" a="1"/>
  <c r="I5603" i="1" s="1"/>
  <c r="D5604" i="1"/>
  <c r="F5604" i="1"/>
  <c r="H5604" i="1"/>
  <c r="I5604" i="1" a="1"/>
  <c r="I5604" i="1" s="1"/>
  <c r="D5605" i="1"/>
  <c r="F5605" i="1"/>
  <c r="H5605" i="1"/>
  <c r="I5605" i="1" a="1"/>
  <c r="I5605" i="1" s="1"/>
  <c r="D5606" i="1"/>
  <c r="F5606" i="1"/>
  <c r="H5606" i="1"/>
  <c r="I5606" i="1" a="1"/>
  <c r="I5606" i="1" s="1"/>
  <c r="D5607" i="1"/>
  <c r="F5607" i="1"/>
  <c r="H5607" i="1"/>
  <c r="I5607" i="1" a="1"/>
  <c r="I5607" i="1" s="1"/>
  <c r="D5608" i="1"/>
  <c r="F5608" i="1"/>
  <c r="H5608" i="1"/>
  <c r="I5608" i="1" a="1"/>
  <c r="I5608" i="1" s="1"/>
  <c r="D5609" i="1"/>
  <c r="F5609" i="1"/>
  <c r="H5609" i="1"/>
  <c r="I5609" i="1" a="1"/>
  <c r="I5609" i="1" s="1"/>
  <c r="D5610" i="1"/>
  <c r="F5610" i="1"/>
  <c r="H5610" i="1"/>
  <c r="I5610" i="1" a="1"/>
  <c r="I5610" i="1" s="1"/>
  <c r="D5611" i="1"/>
  <c r="F5611" i="1"/>
  <c r="H5611" i="1"/>
  <c r="I5611" i="1" a="1"/>
  <c r="I5611" i="1" s="1"/>
  <c r="D5612" i="1"/>
  <c r="F5612" i="1"/>
  <c r="H5612" i="1"/>
  <c r="I5612" i="1" a="1"/>
  <c r="I5612" i="1" s="1"/>
  <c r="D5613" i="1"/>
  <c r="F5613" i="1"/>
  <c r="H5613" i="1"/>
  <c r="I5613" i="1" a="1"/>
  <c r="I5613" i="1" s="1"/>
  <c r="D5614" i="1"/>
  <c r="F5614" i="1"/>
  <c r="H5614" i="1"/>
  <c r="I5614" i="1" a="1"/>
  <c r="I5614" i="1" s="1"/>
  <c r="D5615" i="1"/>
  <c r="F5615" i="1"/>
  <c r="H5615" i="1"/>
  <c r="I5615" i="1" a="1"/>
  <c r="I5615" i="1" s="1"/>
  <c r="D5616" i="1"/>
  <c r="F5616" i="1"/>
  <c r="H5616" i="1"/>
  <c r="I5616" i="1" a="1"/>
  <c r="I5616" i="1" s="1"/>
  <c r="D5617" i="1"/>
  <c r="F5617" i="1"/>
  <c r="H5617" i="1"/>
  <c r="I5617" i="1" a="1"/>
  <c r="I5617" i="1" s="1"/>
  <c r="D5618" i="1"/>
  <c r="F5618" i="1"/>
  <c r="H5618" i="1"/>
  <c r="I5618" i="1" a="1"/>
  <c r="I5618" i="1" s="1"/>
  <c r="D5619" i="1"/>
  <c r="F5619" i="1"/>
  <c r="H5619" i="1"/>
  <c r="I5619" i="1" a="1"/>
  <c r="I5619" i="1" s="1"/>
  <c r="D5620" i="1"/>
  <c r="F5620" i="1"/>
  <c r="H5620" i="1"/>
  <c r="I5620" i="1" a="1"/>
  <c r="I5620" i="1" s="1"/>
  <c r="D5621" i="1"/>
  <c r="F5621" i="1"/>
  <c r="H5621" i="1"/>
  <c r="I5621" i="1" a="1"/>
  <c r="I5621" i="1" s="1"/>
  <c r="D5622" i="1"/>
  <c r="F5622" i="1"/>
  <c r="H5622" i="1"/>
  <c r="I5622" i="1" a="1"/>
  <c r="I5622" i="1" s="1"/>
  <c r="D5623" i="1"/>
  <c r="F5623" i="1"/>
  <c r="H5623" i="1"/>
  <c r="I5623" i="1" a="1"/>
  <c r="I5623" i="1" s="1"/>
  <c r="D5624" i="1"/>
  <c r="F5624" i="1"/>
  <c r="H5624" i="1"/>
  <c r="I5624" i="1" a="1"/>
  <c r="I5624" i="1" s="1"/>
  <c r="D5625" i="1"/>
  <c r="F5625" i="1"/>
  <c r="H5625" i="1"/>
  <c r="I5625" i="1" a="1"/>
  <c r="I5625" i="1" s="1"/>
  <c r="D5626" i="1"/>
  <c r="F5626" i="1"/>
  <c r="H5626" i="1"/>
  <c r="I5626" i="1" a="1"/>
  <c r="I5626" i="1" s="1"/>
  <c r="D5627" i="1"/>
  <c r="F5627" i="1"/>
  <c r="H5627" i="1"/>
  <c r="I5627" i="1" a="1"/>
  <c r="I5627" i="1" s="1"/>
  <c r="D5628" i="1"/>
  <c r="F5628" i="1"/>
  <c r="H5628" i="1"/>
  <c r="I5628" i="1" a="1"/>
  <c r="I5628" i="1" s="1"/>
  <c r="D5629" i="1"/>
  <c r="F5629" i="1"/>
  <c r="H5629" i="1"/>
  <c r="I5629" i="1" a="1"/>
  <c r="I5629" i="1" s="1"/>
  <c r="D5630" i="1"/>
  <c r="F5630" i="1"/>
  <c r="H5630" i="1"/>
  <c r="I5630" i="1" a="1"/>
  <c r="I5630" i="1" s="1"/>
  <c r="D5631" i="1"/>
  <c r="F5631" i="1"/>
  <c r="H5631" i="1"/>
  <c r="I5631" i="1" a="1"/>
  <c r="I5631" i="1" s="1"/>
  <c r="D5632" i="1"/>
  <c r="F5632" i="1"/>
  <c r="H5632" i="1"/>
  <c r="I5632" i="1" a="1"/>
  <c r="I5632" i="1" s="1"/>
  <c r="D5633" i="1"/>
  <c r="F5633" i="1"/>
  <c r="H5633" i="1"/>
  <c r="I5633" i="1" a="1"/>
  <c r="I5633" i="1" s="1"/>
  <c r="D5634" i="1"/>
  <c r="F5634" i="1"/>
  <c r="H5634" i="1"/>
  <c r="I5634" i="1" a="1"/>
  <c r="I5634" i="1" s="1"/>
  <c r="D5635" i="1"/>
  <c r="F5635" i="1"/>
  <c r="H5635" i="1"/>
  <c r="I5635" i="1" a="1"/>
  <c r="I5635" i="1" s="1"/>
  <c r="D5636" i="1"/>
  <c r="F5636" i="1"/>
  <c r="H5636" i="1"/>
  <c r="I5636" i="1" a="1"/>
  <c r="I5636" i="1" s="1"/>
  <c r="D5637" i="1"/>
  <c r="F5637" i="1"/>
  <c r="H5637" i="1"/>
  <c r="I5637" i="1" a="1"/>
  <c r="I5637" i="1" s="1"/>
  <c r="D5638" i="1"/>
  <c r="F5638" i="1"/>
  <c r="H5638" i="1"/>
  <c r="I5638" i="1" a="1"/>
  <c r="I5638" i="1" s="1"/>
  <c r="D5639" i="1"/>
  <c r="F5639" i="1"/>
  <c r="H5639" i="1"/>
  <c r="I5639" i="1" a="1"/>
  <c r="I5639" i="1" s="1"/>
  <c r="D5640" i="1"/>
  <c r="F5640" i="1"/>
  <c r="H5640" i="1"/>
  <c r="I5640" i="1" a="1"/>
  <c r="I5640" i="1" s="1"/>
  <c r="D5641" i="1"/>
  <c r="F5641" i="1"/>
  <c r="H5641" i="1"/>
  <c r="I5641" i="1" a="1"/>
  <c r="I5641" i="1" s="1"/>
  <c r="D5642" i="1"/>
  <c r="F5642" i="1"/>
  <c r="H5642" i="1"/>
  <c r="I5642" i="1" a="1"/>
  <c r="I5642" i="1" s="1"/>
  <c r="D5643" i="1"/>
  <c r="F5643" i="1"/>
  <c r="H5643" i="1"/>
  <c r="I5643" i="1" a="1"/>
  <c r="I5643" i="1" s="1"/>
  <c r="D5644" i="1"/>
  <c r="F5644" i="1"/>
  <c r="H5644" i="1"/>
  <c r="I5644" i="1" a="1"/>
  <c r="I5644" i="1" s="1"/>
  <c r="D5645" i="1"/>
  <c r="F5645" i="1"/>
  <c r="H5645" i="1"/>
  <c r="I5645" i="1" a="1"/>
  <c r="I5645" i="1" s="1"/>
  <c r="D5646" i="1"/>
  <c r="F5646" i="1"/>
  <c r="H5646" i="1"/>
  <c r="I5646" i="1" a="1"/>
  <c r="I5646" i="1" s="1"/>
  <c r="D5647" i="1"/>
  <c r="F5647" i="1"/>
  <c r="H5647" i="1"/>
  <c r="I5647" i="1" a="1"/>
  <c r="I5647" i="1" s="1"/>
  <c r="D5648" i="1"/>
  <c r="F5648" i="1"/>
  <c r="H5648" i="1"/>
  <c r="I5648" i="1" a="1"/>
  <c r="I5648" i="1" s="1"/>
  <c r="D5649" i="1"/>
  <c r="F5649" i="1"/>
  <c r="H5649" i="1"/>
  <c r="I5649" i="1" a="1"/>
  <c r="I5649" i="1" s="1"/>
  <c r="D5650" i="1"/>
  <c r="F5650" i="1"/>
  <c r="H5650" i="1"/>
  <c r="I5650" i="1" a="1"/>
  <c r="I5650" i="1" s="1"/>
  <c r="D5651" i="1"/>
  <c r="F5651" i="1"/>
  <c r="H5651" i="1"/>
  <c r="I5651" i="1" a="1"/>
  <c r="I5651" i="1" s="1"/>
  <c r="D5652" i="1"/>
  <c r="F5652" i="1"/>
  <c r="H5652" i="1"/>
  <c r="I5652" i="1" a="1"/>
  <c r="I5652" i="1" s="1"/>
  <c r="D5653" i="1"/>
  <c r="F5653" i="1"/>
  <c r="H5653" i="1"/>
  <c r="I5653" i="1" a="1"/>
  <c r="I5653" i="1" s="1"/>
  <c r="D5654" i="1"/>
  <c r="F5654" i="1"/>
  <c r="H5654" i="1"/>
  <c r="I5654" i="1" a="1"/>
  <c r="I5654" i="1" s="1"/>
  <c r="D5655" i="1"/>
  <c r="F5655" i="1"/>
  <c r="H5655" i="1"/>
  <c r="I5655" i="1" a="1"/>
  <c r="I5655" i="1" s="1"/>
  <c r="D5656" i="1"/>
  <c r="F5656" i="1"/>
  <c r="H5656" i="1"/>
  <c r="I5656" i="1" a="1"/>
  <c r="I5656" i="1" s="1"/>
  <c r="D5657" i="1"/>
  <c r="F5657" i="1"/>
  <c r="H5657" i="1"/>
  <c r="I5657" i="1" a="1"/>
  <c r="I5657" i="1" s="1"/>
  <c r="D5658" i="1"/>
  <c r="F5658" i="1"/>
  <c r="H5658" i="1"/>
  <c r="I5658" i="1" a="1"/>
  <c r="I5658" i="1" s="1"/>
  <c r="D5659" i="1"/>
  <c r="F5659" i="1"/>
  <c r="H5659" i="1"/>
  <c r="I5659" i="1" a="1"/>
  <c r="I5659" i="1" s="1"/>
  <c r="D5660" i="1"/>
  <c r="F5660" i="1"/>
  <c r="H5660" i="1"/>
  <c r="I5660" i="1" a="1"/>
  <c r="I5660" i="1" s="1"/>
  <c r="D5661" i="1"/>
  <c r="F5661" i="1"/>
  <c r="H5661" i="1"/>
  <c r="I5661" i="1" a="1"/>
  <c r="I5661" i="1" s="1"/>
  <c r="D5662" i="1"/>
  <c r="F5662" i="1"/>
  <c r="H5662" i="1"/>
  <c r="I5662" i="1" a="1"/>
  <c r="I5662" i="1" s="1"/>
  <c r="D5663" i="1"/>
  <c r="F5663" i="1"/>
  <c r="H5663" i="1"/>
  <c r="I5663" i="1" a="1"/>
  <c r="I5663" i="1" s="1"/>
  <c r="D5664" i="1"/>
  <c r="F5664" i="1"/>
  <c r="H5664" i="1"/>
  <c r="I5664" i="1" a="1"/>
  <c r="I5664" i="1" s="1"/>
  <c r="D5665" i="1"/>
  <c r="F5665" i="1"/>
  <c r="H5665" i="1"/>
  <c r="I5665" i="1" a="1"/>
  <c r="I5665" i="1" s="1"/>
  <c r="D5666" i="1"/>
  <c r="F5666" i="1"/>
  <c r="H5666" i="1"/>
  <c r="I5666" i="1" a="1"/>
  <c r="I5666" i="1" s="1"/>
  <c r="D5667" i="1"/>
  <c r="F5667" i="1"/>
  <c r="H5667" i="1"/>
  <c r="I5667" i="1" a="1"/>
  <c r="I5667" i="1" s="1"/>
  <c r="D5668" i="1"/>
  <c r="F5668" i="1"/>
  <c r="H5668" i="1"/>
  <c r="I5668" i="1" a="1"/>
  <c r="I5668" i="1" s="1"/>
  <c r="D5669" i="1"/>
  <c r="F5669" i="1"/>
  <c r="H5669" i="1"/>
  <c r="I5669" i="1" a="1"/>
  <c r="I5669" i="1" s="1"/>
  <c r="D5670" i="1"/>
  <c r="F5670" i="1"/>
  <c r="H5670" i="1"/>
  <c r="I5670" i="1" a="1"/>
  <c r="I5670" i="1" s="1"/>
  <c r="D5671" i="1"/>
  <c r="F5671" i="1"/>
  <c r="H5671" i="1"/>
  <c r="I5671" i="1" a="1"/>
  <c r="I5671" i="1" s="1"/>
  <c r="D5672" i="1"/>
  <c r="F5672" i="1"/>
  <c r="H5672" i="1"/>
  <c r="I5672" i="1" a="1"/>
  <c r="I5672" i="1" s="1"/>
  <c r="D5673" i="1"/>
  <c r="F5673" i="1"/>
  <c r="H5673" i="1"/>
  <c r="I5673" i="1" a="1"/>
  <c r="I5673" i="1" s="1"/>
  <c r="D5674" i="1"/>
  <c r="F5674" i="1"/>
  <c r="H5674" i="1"/>
  <c r="I5674" i="1" a="1"/>
  <c r="I5674" i="1" s="1"/>
  <c r="D5675" i="1"/>
  <c r="F5675" i="1"/>
  <c r="H5675" i="1"/>
  <c r="I5675" i="1" a="1"/>
  <c r="I5675" i="1" s="1"/>
  <c r="D5676" i="1"/>
  <c r="F5676" i="1"/>
  <c r="H5676" i="1"/>
  <c r="I5676" i="1" a="1"/>
  <c r="I5676" i="1" s="1"/>
  <c r="D5677" i="1"/>
  <c r="F5677" i="1"/>
  <c r="H5677" i="1"/>
  <c r="I5677" i="1" a="1"/>
  <c r="I5677" i="1" s="1"/>
  <c r="D5678" i="1"/>
  <c r="F5678" i="1"/>
  <c r="H5678" i="1"/>
  <c r="I5678" i="1" a="1"/>
  <c r="I5678" i="1" s="1"/>
  <c r="D5679" i="1"/>
  <c r="F5679" i="1"/>
  <c r="H5679" i="1"/>
  <c r="I5679" i="1" a="1"/>
  <c r="I5679" i="1" s="1"/>
  <c r="D5680" i="1"/>
  <c r="F5680" i="1"/>
  <c r="H5680" i="1"/>
  <c r="I5680" i="1" a="1"/>
  <c r="I5680" i="1" s="1"/>
  <c r="D5681" i="1"/>
  <c r="F5681" i="1"/>
  <c r="H5681" i="1"/>
  <c r="I5681" i="1" a="1"/>
  <c r="I5681" i="1" s="1"/>
  <c r="D5682" i="1"/>
  <c r="F5682" i="1"/>
  <c r="H5682" i="1"/>
  <c r="I5682" i="1" a="1"/>
  <c r="I5682" i="1" s="1"/>
  <c r="D5683" i="1"/>
  <c r="F5683" i="1"/>
  <c r="H5683" i="1"/>
  <c r="I5683" i="1" a="1"/>
  <c r="I5683" i="1" s="1"/>
  <c r="D5684" i="1"/>
  <c r="F5684" i="1"/>
  <c r="H5684" i="1"/>
  <c r="I5684" i="1" a="1"/>
  <c r="I5684" i="1" s="1"/>
  <c r="D5685" i="1"/>
  <c r="F5685" i="1"/>
  <c r="H5685" i="1"/>
  <c r="I5685" i="1" a="1"/>
  <c r="I5685" i="1" s="1"/>
  <c r="D5686" i="1"/>
  <c r="F5686" i="1"/>
  <c r="H5686" i="1"/>
  <c r="I5686" i="1" a="1"/>
  <c r="I5686" i="1" s="1"/>
  <c r="D5687" i="1"/>
  <c r="F5687" i="1"/>
  <c r="H5687" i="1"/>
  <c r="I5687" i="1" a="1"/>
  <c r="I5687" i="1" s="1"/>
  <c r="D5688" i="1"/>
  <c r="F5688" i="1"/>
  <c r="H5688" i="1"/>
  <c r="I5688" i="1" a="1"/>
  <c r="I5688" i="1" s="1"/>
  <c r="D5689" i="1"/>
  <c r="F5689" i="1"/>
  <c r="H5689" i="1"/>
  <c r="I5689" i="1" a="1"/>
  <c r="I5689" i="1" s="1"/>
  <c r="D5690" i="1"/>
  <c r="F5690" i="1"/>
  <c r="H5690" i="1"/>
  <c r="I5690" i="1" a="1"/>
  <c r="I5690" i="1" s="1"/>
  <c r="D5691" i="1"/>
  <c r="F5691" i="1"/>
  <c r="H5691" i="1"/>
  <c r="I5691" i="1" a="1"/>
  <c r="I5691" i="1" s="1"/>
  <c r="D5692" i="1"/>
  <c r="F5692" i="1"/>
  <c r="H5692" i="1"/>
  <c r="I5692" i="1" a="1"/>
  <c r="I5692" i="1" s="1"/>
  <c r="D5693" i="1"/>
  <c r="F5693" i="1"/>
  <c r="H5693" i="1"/>
  <c r="I5693" i="1" a="1"/>
  <c r="I5693" i="1" s="1"/>
  <c r="D5694" i="1"/>
  <c r="F5694" i="1"/>
  <c r="H5694" i="1"/>
  <c r="I5694" i="1" a="1"/>
  <c r="I5694" i="1" s="1"/>
  <c r="D5695" i="1"/>
  <c r="F5695" i="1"/>
  <c r="H5695" i="1"/>
  <c r="I5695" i="1" a="1"/>
  <c r="I5695" i="1" s="1"/>
  <c r="D5696" i="1"/>
  <c r="F5696" i="1"/>
  <c r="H5696" i="1"/>
  <c r="I5696" i="1" a="1"/>
  <c r="I5696" i="1" s="1"/>
  <c r="D5697" i="1"/>
  <c r="F5697" i="1"/>
  <c r="H5697" i="1"/>
  <c r="I5697" i="1" a="1"/>
  <c r="I5697" i="1" s="1"/>
  <c r="D5698" i="1"/>
  <c r="F5698" i="1"/>
  <c r="H5698" i="1"/>
  <c r="I5698" i="1" a="1"/>
  <c r="I5698" i="1" s="1"/>
  <c r="D5699" i="1"/>
  <c r="F5699" i="1"/>
  <c r="H5699" i="1"/>
  <c r="I5699" i="1" a="1"/>
  <c r="I5699" i="1" s="1"/>
  <c r="D5700" i="1"/>
  <c r="F5700" i="1"/>
  <c r="H5700" i="1"/>
  <c r="I5700" i="1" a="1"/>
  <c r="I5700" i="1" s="1"/>
  <c r="D5701" i="1"/>
  <c r="F5701" i="1"/>
  <c r="H5701" i="1"/>
  <c r="I5701" i="1" a="1"/>
  <c r="I5701" i="1" s="1"/>
  <c r="D5702" i="1"/>
  <c r="F5702" i="1"/>
  <c r="H5702" i="1"/>
  <c r="I5702" i="1" a="1"/>
  <c r="I5702" i="1" s="1"/>
  <c r="D5703" i="1"/>
  <c r="F5703" i="1"/>
  <c r="H5703" i="1"/>
  <c r="I5703" i="1" a="1"/>
  <c r="I5703" i="1" s="1"/>
  <c r="D5704" i="1"/>
  <c r="F5704" i="1"/>
  <c r="H5704" i="1"/>
  <c r="I5704" i="1" a="1"/>
  <c r="I5704" i="1" s="1"/>
  <c r="D5705" i="1"/>
  <c r="F5705" i="1"/>
  <c r="H5705" i="1"/>
  <c r="I5705" i="1" a="1"/>
  <c r="I5705" i="1" s="1"/>
  <c r="D5706" i="1"/>
  <c r="F5706" i="1"/>
  <c r="H5706" i="1"/>
  <c r="I5706" i="1" a="1"/>
  <c r="I5706" i="1" s="1"/>
  <c r="D5707" i="1"/>
  <c r="F5707" i="1"/>
  <c r="H5707" i="1"/>
  <c r="I5707" i="1" a="1"/>
  <c r="I5707" i="1" s="1"/>
  <c r="D5708" i="1"/>
  <c r="F5708" i="1"/>
  <c r="H5708" i="1"/>
  <c r="I5708" i="1" a="1"/>
  <c r="I5708" i="1" s="1"/>
  <c r="D5709" i="1"/>
  <c r="F5709" i="1"/>
  <c r="H5709" i="1"/>
  <c r="I5709" i="1" a="1"/>
  <c r="I5709" i="1" s="1"/>
  <c r="D5710" i="1"/>
  <c r="F5710" i="1"/>
  <c r="H5710" i="1"/>
  <c r="I5710" i="1" a="1"/>
  <c r="I5710" i="1" s="1"/>
  <c r="D5711" i="1"/>
  <c r="F5711" i="1"/>
  <c r="H5711" i="1"/>
  <c r="I5711" i="1" a="1"/>
  <c r="I5711" i="1" s="1"/>
  <c r="D5712" i="1"/>
  <c r="F5712" i="1"/>
  <c r="H5712" i="1"/>
  <c r="I5712" i="1" a="1"/>
  <c r="I5712" i="1" s="1"/>
  <c r="D5713" i="1"/>
  <c r="F5713" i="1"/>
  <c r="H5713" i="1"/>
  <c r="I5713" i="1" a="1"/>
  <c r="I5713" i="1" s="1"/>
  <c r="D5714" i="1"/>
  <c r="F5714" i="1"/>
  <c r="H5714" i="1"/>
  <c r="I5714" i="1" a="1"/>
  <c r="I5714" i="1" s="1"/>
  <c r="D5715" i="1"/>
  <c r="F5715" i="1"/>
  <c r="H5715" i="1"/>
  <c r="I5715" i="1" a="1"/>
  <c r="I5715" i="1" s="1"/>
  <c r="D5716" i="1"/>
  <c r="F5716" i="1"/>
  <c r="H5716" i="1"/>
  <c r="I5716" i="1" a="1"/>
  <c r="I5716" i="1" s="1"/>
  <c r="D5717" i="1"/>
  <c r="F5717" i="1"/>
  <c r="H5717" i="1"/>
  <c r="I5717" i="1" a="1"/>
  <c r="I5717" i="1" s="1"/>
  <c r="D5718" i="1"/>
  <c r="F5718" i="1"/>
  <c r="H5718" i="1"/>
  <c r="I5718" i="1" a="1"/>
  <c r="I5718" i="1" s="1"/>
  <c r="D5719" i="1"/>
  <c r="F5719" i="1"/>
  <c r="H5719" i="1"/>
  <c r="I5719" i="1" a="1"/>
  <c r="I5719" i="1" s="1"/>
  <c r="D5720" i="1"/>
  <c r="F5720" i="1"/>
  <c r="H5720" i="1"/>
  <c r="I5720" i="1" a="1"/>
  <c r="I5720" i="1" s="1"/>
  <c r="D5721" i="1"/>
  <c r="F5721" i="1"/>
  <c r="H5721" i="1"/>
  <c r="I5721" i="1" a="1"/>
  <c r="I5721" i="1" s="1"/>
  <c r="D5722" i="1"/>
  <c r="F5722" i="1"/>
  <c r="H5722" i="1"/>
  <c r="I5722" i="1" a="1"/>
  <c r="I5722" i="1" s="1"/>
  <c r="D5723" i="1"/>
  <c r="F5723" i="1"/>
  <c r="H5723" i="1"/>
  <c r="I5723" i="1" a="1"/>
  <c r="I5723" i="1" s="1"/>
  <c r="D5724" i="1"/>
  <c r="F5724" i="1"/>
  <c r="H5724" i="1"/>
  <c r="I5724" i="1" a="1"/>
  <c r="I5724" i="1" s="1"/>
  <c r="D5725" i="1"/>
  <c r="F5725" i="1"/>
  <c r="H5725" i="1"/>
  <c r="I5725" i="1" a="1"/>
  <c r="I5725" i="1" s="1"/>
  <c r="D5726" i="1"/>
  <c r="F5726" i="1"/>
  <c r="H5726" i="1"/>
  <c r="I5726" i="1" a="1"/>
  <c r="I5726" i="1" s="1"/>
  <c r="D5727" i="1"/>
  <c r="F5727" i="1"/>
  <c r="H5727" i="1"/>
  <c r="I5727" i="1" a="1"/>
  <c r="I5727" i="1" s="1"/>
  <c r="D5728" i="1"/>
  <c r="F5728" i="1"/>
  <c r="H5728" i="1"/>
  <c r="I5728" i="1" a="1"/>
  <c r="I5728" i="1" s="1"/>
  <c r="D5729" i="1"/>
  <c r="F5729" i="1"/>
  <c r="H5729" i="1"/>
  <c r="I5729" i="1" a="1"/>
  <c r="I5729" i="1" s="1"/>
  <c r="D5730" i="1"/>
  <c r="F5730" i="1"/>
  <c r="H5730" i="1"/>
  <c r="I5730" i="1" a="1"/>
  <c r="I5730" i="1" s="1"/>
  <c r="D5731" i="1"/>
  <c r="F5731" i="1"/>
  <c r="H5731" i="1"/>
  <c r="I5731" i="1" a="1"/>
  <c r="I5731" i="1" s="1"/>
  <c r="D5732" i="1"/>
  <c r="F5732" i="1"/>
  <c r="H5732" i="1"/>
  <c r="I5732" i="1" a="1"/>
  <c r="I5732" i="1" s="1"/>
  <c r="D5733" i="1"/>
  <c r="F5733" i="1"/>
  <c r="H5733" i="1"/>
  <c r="I5733" i="1" a="1"/>
  <c r="I5733" i="1" s="1"/>
  <c r="D5734" i="1"/>
  <c r="F5734" i="1"/>
  <c r="H5734" i="1"/>
  <c r="I5734" i="1" a="1"/>
  <c r="I5734" i="1" s="1"/>
  <c r="D5735" i="1"/>
  <c r="F5735" i="1"/>
  <c r="H5735" i="1"/>
  <c r="I5735" i="1" a="1"/>
  <c r="I5735" i="1" s="1"/>
  <c r="D5736" i="1"/>
  <c r="F5736" i="1"/>
  <c r="H5736" i="1"/>
  <c r="I5736" i="1" a="1"/>
  <c r="I5736" i="1" s="1"/>
  <c r="D5737" i="1"/>
  <c r="F5737" i="1"/>
  <c r="H5737" i="1"/>
  <c r="I5737" i="1" a="1"/>
  <c r="I5737" i="1" s="1"/>
  <c r="D5738" i="1"/>
  <c r="F5738" i="1"/>
  <c r="H5738" i="1"/>
  <c r="I5738" i="1" a="1"/>
  <c r="I5738" i="1" s="1"/>
  <c r="D5739" i="1"/>
  <c r="F5739" i="1"/>
  <c r="H5739" i="1"/>
  <c r="I5739" i="1" a="1"/>
  <c r="I5739" i="1" s="1"/>
  <c r="D5740" i="1"/>
  <c r="F5740" i="1"/>
  <c r="H5740" i="1"/>
  <c r="I5740" i="1" a="1"/>
  <c r="I5740" i="1" s="1"/>
  <c r="D5741" i="1"/>
  <c r="F5741" i="1"/>
  <c r="H5741" i="1"/>
  <c r="I5741" i="1" a="1"/>
  <c r="I5741" i="1" s="1"/>
  <c r="D5742" i="1"/>
  <c r="F5742" i="1"/>
  <c r="H5742" i="1"/>
  <c r="I5742" i="1" a="1"/>
  <c r="I5742" i="1" s="1"/>
  <c r="D5743" i="1"/>
  <c r="F5743" i="1"/>
  <c r="H5743" i="1"/>
  <c r="I5743" i="1" a="1"/>
  <c r="I5743" i="1" s="1"/>
  <c r="D5744" i="1"/>
  <c r="F5744" i="1"/>
  <c r="H5744" i="1"/>
  <c r="I5744" i="1" a="1"/>
  <c r="I5744" i="1" s="1"/>
  <c r="D5745" i="1"/>
  <c r="F5745" i="1"/>
  <c r="H5745" i="1"/>
  <c r="I5745" i="1" a="1"/>
  <c r="I5745" i="1" s="1"/>
  <c r="D5746" i="1"/>
  <c r="F5746" i="1"/>
  <c r="H5746" i="1"/>
  <c r="I5746" i="1" a="1"/>
  <c r="I5746" i="1" s="1"/>
  <c r="D5747" i="1"/>
  <c r="F5747" i="1"/>
  <c r="H5747" i="1"/>
  <c r="I5747" i="1" a="1"/>
  <c r="I5747" i="1" s="1"/>
  <c r="D5748" i="1"/>
  <c r="F5748" i="1"/>
  <c r="H5748" i="1"/>
  <c r="I5748" i="1" a="1"/>
  <c r="I5748" i="1" s="1"/>
  <c r="D5749" i="1"/>
  <c r="F5749" i="1"/>
  <c r="H5749" i="1"/>
  <c r="I5749" i="1" a="1"/>
  <c r="I5749" i="1" s="1"/>
  <c r="D5750" i="1"/>
  <c r="F5750" i="1"/>
  <c r="H5750" i="1"/>
  <c r="I5750" i="1" a="1"/>
  <c r="I5750" i="1" s="1"/>
  <c r="D5751" i="1"/>
  <c r="F5751" i="1"/>
  <c r="H5751" i="1"/>
  <c r="I5751" i="1" a="1"/>
  <c r="I5751" i="1" s="1"/>
  <c r="D5752" i="1"/>
  <c r="F5752" i="1"/>
  <c r="H5752" i="1"/>
  <c r="I5752" i="1" a="1"/>
  <c r="I5752" i="1" s="1"/>
  <c r="D5753" i="1"/>
  <c r="F5753" i="1"/>
  <c r="H5753" i="1"/>
  <c r="I5753" i="1" a="1"/>
  <c r="I5753" i="1" s="1"/>
  <c r="D5754" i="1"/>
  <c r="F5754" i="1"/>
  <c r="H5754" i="1"/>
  <c r="I5754" i="1" a="1"/>
  <c r="I5754" i="1" s="1"/>
  <c r="D5755" i="1"/>
  <c r="F5755" i="1"/>
  <c r="H5755" i="1"/>
  <c r="I5755" i="1" a="1"/>
  <c r="I5755" i="1" s="1"/>
  <c r="D5756" i="1"/>
  <c r="F5756" i="1"/>
  <c r="H5756" i="1"/>
  <c r="I5756" i="1" a="1"/>
  <c r="I5756" i="1" s="1"/>
  <c r="D5757" i="1"/>
  <c r="F5757" i="1"/>
  <c r="H5757" i="1"/>
  <c r="I5757" i="1" a="1"/>
  <c r="I5757" i="1" s="1"/>
  <c r="D5758" i="1"/>
  <c r="F5758" i="1"/>
  <c r="H5758" i="1"/>
  <c r="I5758" i="1" a="1"/>
  <c r="I5758" i="1" s="1"/>
  <c r="D5759" i="1"/>
  <c r="F5759" i="1"/>
  <c r="H5759" i="1"/>
  <c r="I5759" i="1" a="1"/>
  <c r="I5759" i="1" s="1"/>
  <c r="D5760" i="1"/>
  <c r="F5760" i="1"/>
  <c r="H5760" i="1"/>
  <c r="I5760" i="1" a="1"/>
  <c r="I5760" i="1" s="1"/>
  <c r="D5761" i="1"/>
  <c r="F5761" i="1"/>
  <c r="H5761" i="1"/>
  <c r="I5761" i="1" a="1"/>
  <c r="I5761" i="1" s="1"/>
  <c r="D5762" i="1"/>
  <c r="F5762" i="1"/>
  <c r="H5762" i="1"/>
  <c r="I5762" i="1" a="1"/>
  <c r="I5762" i="1" s="1"/>
  <c r="D5763" i="1"/>
  <c r="F5763" i="1"/>
  <c r="H5763" i="1"/>
  <c r="I5763" i="1" a="1"/>
  <c r="I5763" i="1" s="1"/>
  <c r="D5764" i="1"/>
  <c r="F5764" i="1"/>
  <c r="H5764" i="1"/>
  <c r="I5764" i="1" a="1"/>
  <c r="I5764" i="1" s="1"/>
  <c r="D5765" i="1"/>
  <c r="F5765" i="1"/>
  <c r="H5765" i="1"/>
  <c r="I5765" i="1" a="1"/>
  <c r="I5765" i="1" s="1"/>
  <c r="D5766" i="1"/>
  <c r="F5766" i="1"/>
  <c r="H5766" i="1"/>
  <c r="I5766" i="1" a="1"/>
  <c r="I5766" i="1" s="1"/>
  <c r="D5767" i="1"/>
  <c r="F5767" i="1"/>
  <c r="H5767" i="1"/>
  <c r="I5767" i="1" a="1"/>
  <c r="I5767" i="1" s="1"/>
  <c r="D5768" i="1"/>
  <c r="F5768" i="1"/>
  <c r="H5768" i="1"/>
  <c r="I5768" i="1" a="1"/>
  <c r="I5768" i="1" s="1"/>
  <c r="D5769" i="1"/>
  <c r="F5769" i="1"/>
  <c r="H5769" i="1"/>
  <c r="I5769" i="1" a="1"/>
  <c r="I5769" i="1" s="1"/>
  <c r="D5770" i="1"/>
  <c r="F5770" i="1"/>
  <c r="H5770" i="1"/>
  <c r="I5770" i="1" a="1"/>
  <c r="I5770" i="1" s="1"/>
  <c r="D5771" i="1"/>
  <c r="F5771" i="1"/>
  <c r="H5771" i="1"/>
  <c r="I5771" i="1" a="1"/>
  <c r="I5771" i="1" s="1"/>
  <c r="D5772" i="1"/>
  <c r="F5772" i="1"/>
  <c r="H5772" i="1"/>
  <c r="I5772" i="1" a="1"/>
  <c r="I5772" i="1" s="1"/>
  <c r="D5773" i="1"/>
  <c r="F5773" i="1"/>
  <c r="H5773" i="1"/>
  <c r="I5773" i="1" a="1"/>
  <c r="I5773" i="1" s="1"/>
  <c r="D5774" i="1"/>
  <c r="F5774" i="1"/>
  <c r="H5774" i="1"/>
  <c r="I5774" i="1" a="1"/>
  <c r="I5774" i="1" s="1"/>
  <c r="D5775" i="1"/>
  <c r="F5775" i="1"/>
  <c r="H5775" i="1"/>
  <c r="I5775" i="1" a="1"/>
  <c r="I5775" i="1" s="1"/>
  <c r="D5776" i="1"/>
  <c r="F5776" i="1"/>
  <c r="H5776" i="1"/>
  <c r="I5776" i="1" a="1"/>
  <c r="I5776" i="1" s="1"/>
  <c r="D5777" i="1"/>
  <c r="F5777" i="1"/>
  <c r="H5777" i="1"/>
  <c r="I5777" i="1" a="1"/>
  <c r="I5777" i="1" s="1"/>
  <c r="D5778" i="1"/>
  <c r="F5778" i="1"/>
  <c r="H5778" i="1"/>
  <c r="I5778" i="1" a="1"/>
  <c r="I5778" i="1" s="1"/>
  <c r="D5779" i="1"/>
  <c r="F5779" i="1"/>
  <c r="H5779" i="1"/>
  <c r="I5779" i="1" a="1"/>
  <c r="I5779" i="1" s="1"/>
  <c r="D5780" i="1"/>
  <c r="F5780" i="1"/>
  <c r="H5780" i="1"/>
  <c r="I5780" i="1" a="1"/>
  <c r="I5780" i="1" s="1"/>
  <c r="D5781" i="1"/>
  <c r="F5781" i="1"/>
  <c r="H5781" i="1"/>
  <c r="I5781" i="1" a="1"/>
  <c r="I5781" i="1" s="1"/>
  <c r="D5782" i="1"/>
  <c r="F5782" i="1"/>
  <c r="H5782" i="1"/>
  <c r="I5782" i="1" a="1"/>
  <c r="I5782" i="1" s="1"/>
  <c r="D5783" i="1"/>
  <c r="F5783" i="1"/>
  <c r="H5783" i="1"/>
  <c r="I5783" i="1" a="1"/>
  <c r="I5783" i="1" s="1"/>
  <c r="D5784" i="1"/>
  <c r="F5784" i="1"/>
  <c r="H5784" i="1"/>
  <c r="I5784" i="1" a="1"/>
  <c r="I5784" i="1" s="1"/>
  <c r="D5785" i="1"/>
  <c r="F5785" i="1"/>
  <c r="H5785" i="1"/>
  <c r="I5785" i="1" a="1"/>
  <c r="I5785" i="1" s="1"/>
  <c r="D5786" i="1"/>
  <c r="F5786" i="1"/>
  <c r="H5786" i="1"/>
  <c r="I5786" i="1" a="1"/>
  <c r="I5786" i="1" s="1"/>
  <c r="D5787" i="1"/>
  <c r="F5787" i="1"/>
  <c r="H5787" i="1"/>
  <c r="I5787" i="1" a="1"/>
  <c r="I5787" i="1" s="1"/>
  <c r="D5788" i="1"/>
  <c r="F5788" i="1"/>
  <c r="H5788" i="1"/>
  <c r="I5788" i="1" a="1"/>
  <c r="I5788" i="1" s="1"/>
  <c r="D5789" i="1"/>
  <c r="F5789" i="1"/>
  <c r="H5789" i="1"/>
  <c r="I5789" i="1" a="1"/>
  <c r="I5789" i="1" s="1"/>
  <c r="D5790" i="1"/>
  <c r="F5790" i="1"/>
  <c r="H5790" i="1"/>
  <c r="I5790" i="1" a="1"/>
  <c r="I5790" i="1" s="1"/>
  <c r="D5791" i="1"/>
  <c r="F5791" i="1"/>
  <c r="H5791" i="1"/>
  <c r="I5791" i="1" a="1"/>
  <c r="I5791" i="1" s="1"/>
  <c r="D5792" i="1"/>
  <c r="F5792" i="1"/>
  <c r="H5792" i="1"/>
  <c r="I5792" i="1" a="1"/>
  <c r="I5792" i="1" s="1"/>
  <c r="D5793" i="1"/>
  <c r="F5793" i="1"/>
  <c r="H5793" i="1"/>
  <c r="I5793" i="1" a="1"/>
  <c r="I5793" i="1" s="1"/>
  <c r="D5794" i="1"/>
  <c r="F5794" i="1"/>
  <c r="H5794" i="1"/>
  <c r="I5794" i="1" a="1"/>
  <c r="I5794" i="1" s="1"/>
  <c r="D5795" i="1"/>
  <c r="F5795" i="1"/>
  <c r="H5795" i="1"/>
  <c r="I5795" i="1" a="1"/>
  <c r="I5795" i="1" s="1"/>
  <c r="D5796" i="1"/>
  <c r="F5796" i="1"/>
  <c r="H5796" i="1"/>
  <c r="I5796" i="1" a="1"/>
  <c r="I5796" i="1" s="1"/>
  <c r="D5797" i="1"/>
  <c r="F5797" i="1"/>
  <c r="H5797" i="1"/>
  <c r="I5797" i="1" a="1"/>
  <c r="I5797" i="1" s="1"/>
  <c r="D5798" i="1"/>
  <c r="F5798" i="1"/>
  <c r="H5798" i="1"/>
  <c r="I5798" i="1" a="1"/>
  <c r="I5798" i="1" s="1"/>
  <c r="D5799" i="1"/>
  <c r="F5799" i="1"/>
  <c r="H5799" i="1"/>
  <c r="I5799" i="1" a="1"/>
  <c r="I5799" i="1" s="1"/>
  <c r="D5800" i="1"/>
  <c r="F5800" i="1"/>
  <c r="H5800" i="1"/>
  <c r="I5800" i="1" a="1"/>
  <c r="I5800" i="1" s="1"/>
  <c r="D5801" i="1"/>
  <c r="F5801" i="1"/>
  <c r="H5801" i="1"/>
  <c r="I5801" i="1" a="1"/>
  <c r="I5801" i="1" s="1"/>
  <c r="D5802" i="1"/>
  <c r="F5802" i="1"/>
  <c r="H5802" i="1"/>
  <c r="I5802" i="1" a="1"/>
  <c r="I5802" i="1" s="1"/>
  <c r="D5803" i="1"/>
  <c r="F5803" i="1"/>
  <c r="H5803" i="1"/>
  <c r="I5803" i="1" a="1"/>
  <c r="I5803" i="1" s="1"/>
  <c r="D5804" i="1"/>
  <c r="F5804" i="1"/>
  <c r="H5804" i="1"/>
  <c r="I5804" i="1" a="1"/>
  <c r="I5804" i="1" s="1"/>
  <c r="D5805" i="1"/>
  <c r="F5805" i="1"/>
  <c r="H5805" i="1"/>
  <c r="I5805" i="1" a="1"/>
  <c r="I5805" i="1" s="1"/>
  <c r="D5806" i="1"/>
  <c r="F5806" i="1"/>
  <c r="H5806" i="1"/>
  <c r="I5806" i="1" a="1"/>
  <c r="I5806" i="1" s="1"/>
  <c r="D5807" i="1"/>
  <c r="F5807" i="1"/>
  <c r="H5807" i="1"/>
  <c r="I5807" i="1" a="1"/>
  <c r="I5807" i="1" s="1"/>
  <c r="D5808" i="1"/>
  <c r="F5808" i="1"/>
  <c r="H5808" i="1"/>
  <c r="I5808" i="1" a="1"/>
  <c r="I5808" i="1" s="1"/>
  <c r="D5809" i="1"/>
  <c r="F5809" i="1"/>
  <c r="H5809" i="1"/>
  <c r="I5809" i="1" a="1"/>
  <c r="I5809" i="1" s="1"/>
  <c r="D5810" i="1"/>
  <c r="F5810" i="1"/>
  <c r="H5810" i="1"/>
  <c r="I5810" i="1" a="1"/>
  <c r="I5810" i="1" s="1"/>
  <c r="D5811" i="1"/>
  <c r="F5811" i="1"/>
  <c r="H5811" i="1"/>
  <c r="I5811" i="1" a="1"/>
  <c r="I5811" i="1" s="1"/>
  <c r="D5812" i="1"/>
  <c r="F5812" i="1"/>
  <c r="H5812" i="1"/>
  <c r="I5812" i="1" a="1"/>
  <c r="I5812" i="1" s="1"/>
  <c r="D5813" i="1"/>
  <c r="F5813" i="1"/>
  <c r="H5813" i="1"/>
  <c r="I5813" i="1" a="1"/>
  <c r="I5813" i="1" s="1"/>
  <c r="D5814" i="1"/>
  <c r="F5814" i="1"/>
  <c r="H5814" i="1"/>
  <c r="I5814" i="1" a="1"/>
  <c r="I5814" i="1" s="1"/>
  <c r="D5815" i="1"/>
  <c r="F5815" i="1"/>
  <c r="H5815" i="1"/>
  <c r="I5815" i="1" a="1"/>
  <c r="I5815" i="1" s="1"/>
  <c r="D5816" i="1"/>
  <c r="F5816" i="1"/>
  <c r="H5816" i="1"/>
  <c r="I5816" i="1" a="1"/>
  <c r="I5816" i="1" s="1"/>
  <c r="D5817" i="1"/>
  <c r="F5817" i="1"/>
  <c r="H5817" i="1"/>
  <c r="I5817" i="1" a="1"/>
  <c r="I5817" i="1" s="1"/>
  <c r="D5818" i="1"/>
  <c r="F5818" i="1"/>
  <c r="H5818" i="1"/>
  <c r="I5818" i="1" a="1"/>
  <c r="I5818" i="1" s="1"/>
  <c r="D5819" i="1"/>
  <c r="F5819" i="1"/>
  <c r="H5819" i="1"/>
  <c r="I5819" i="1" a="1"/>
  <c r="I5819" i="1" s="1"/>
  <c r="D5820" i="1"/>
  <c r="F5820" i="1"/>
  <c r="H5820" i="1"/>
  <c r="I5820" i="1" a="1"/>
  <c r="I5820" i="1" s="1"/>
  <c r="D5821" i="1"/>
  <c r="F5821" i="1"/>
  <c r="H5821" i="1"/>
  <c r="I5821" i="1" a="1"/>
  <c r="I5821" i="1" s="1"/>
  <c r="D5822" i="1"/>
  <c r="F5822" i="1"/>
  <c r="H5822" i="1"/>
  <c r="I5822" i="1" a="1"/>
  <c r="I5822" i="1" s="1"/>
  <c r="D5823" i="1"/>
  <c r="F5823" i="1"/>
  <c r="H5823" i="1"/>
  <c r="I5823" i="1" a="1"/>
  <c r="I5823" i="1" s="1"/>
  <c r="D5824" i="1"/>
  <c r="F5824" i="1"/>
  <c r="H5824" i="1"/>
  <c r="I5824" i="1" a="1"/>
  <c r="I5824" i="1" s="1"/>
  <c r="D5825" i="1"/>
  <c r="F5825" i="1"/>
  <c r="H5825" i="1"/>
  <c r="I5825" i="1" a="1"/>
  <c r="I5825" i="1" s="1"/>
  <c r="D5826" i="1"/>
  <c r="F5826" i="1"/>
  <c r="H5826" i="1"/>
  <c r="I5826" i="1" a="1"/>
  <c r="I5826" i="1" s="1"/>
  <c r="D5827" i="1"/>
  <c r="F5827" i="1"/>
  <c r="H5827" i="1"/>
  <c r="I5827" i="1" a="1"/>
  <c r="I5827" i="1" s="1"/>
  <c r="D5828" i="1"/>
  <c r="F5828" i="1"/>
  <c r="H5828" i="1"/>
  <c r="I5828" i="1" a="1"/>
  <c r="I5828" i="1" s="1"/>
  <c r="D5829" i="1"/>
  <c r="F5829" i="1"/>
  <c r="H5829" i="1"/>
  <c r="I5829" i="1" a="1"/>
  <c r="I5829" i="1" s="1"/>
  <c r="D5830" i="1"/>
  <c r="F5830" i="1"/>
  <c r="H5830" i="1"/>
  <c r="I5830" i="1" a="1"/>
  <c r="I5830" i="1" s="1"/>
  <c r="D5831" i="1"/>
  <c r="F5831" i="1"/>
  <c r="H5831" i="1"/>
  <c r="I5831" i="1" a="1"/>
  <c r="I5831" i="1" s="1"/>
  <c r="D5832" i="1"/>
  <c r="F5832" i="1"/>
  <c r="H5832" i="1"/>
  <c r="I5832" i="1" a="1"/>
  <c r="I5832" i="1" s="1"/>
  <c r="D5833" i="1"/>
  <c r="F5833" i="1"/>
  <c r="H5833" i="1"/>
  <c r="I5833" i="1" a="1"/>
  <c r="I5833" i="1" s="1"/>
  <c r="D5834" i="1"/>
  <c r="F5834" i="1"/>
  <c r="H5834" i="1"/>
  <c r="I5834" i="1" a="1"/>
  <c r="I5834" i="1" s="1"/>
  <c r="D5835" i="1"/>
  <c r="F5835" i="1"/>
  <c r="H5835" i="1"/>
  <c r="I5835" i="1" a="1"/>
  <c r="I5835" i="1" s="1"/>
  <c r="D5836" i="1"/>
  <c r="F5836" i="1"/>
  <c r="H5836" i="1"/>
  <c r="I5836" i="1" a="1"/>
  <c r="I5836" i="1" s="1"/>
  <c r="D5837" i="1"/>
  <c r="F5837" i="1"/>
  <c r="H5837" i="1"/>
  <c r="I5837" i="1" a="1"/>
  <c r="I5837" i="1" s="1"/>
  <c r="D5838" i="1"/>
  <c r="F5838" i="1"/>
  <c r="H5838" i="1"/>
  <c r="I5838" i="1" a="1"/>
  <c r="I5838" i="1" s="1"/>
  <c r="D5839" i="1"/>
  <c r="F5839" i="1"/>
  <c r="H5839" i="1"/>
  <c r="I5839" i="1" a="1"/>
  <c r="I5839" i="1" s="1"/>
  <c r="D5840" i="1"/>
  <c r="F5840" i="1"/>
  <c r="H5840" i="1"/>
  <c r="I5840" i="1" a="1"/>
  <c r="I5840" i="1" s="1"/>
  <c r="D5841" i="1"/>
  <c r="F5841" i="1"/>
  <c r="H5841" i="1"/>
  <c r="I5841" i="1" a="1"/>
  <c r="I5841" i="1" s="1"/>
  <c r="D5842" i="1"/>
  <c r="F5842" i="1"/>
  <c r="H5842" i="1"/>
  <c r="I5842" i="1" a="1"/>
  <c r="I5842" i="1" s="1"/>
  <c r="D5843" i="1"/>
  <c r="F5843" i="1"/>
  <c r="H5843" i="1"/>
  <c r="I5843" i="1" a="1"/>
  <c r="I5843" i="1" s="1"/>
  <c r="D5844" i="1"/>
  <c r="F5844" i="1"/>
  <c r="H5844" i="1"/>
  <c r="I5844" i="1" a="1"/>
  <c r="I5844" i="1" s="1"/>
  <c r="D5845" i="1"/>
  <c r="F5845" i="1"/>
  <c r="H5845" i="1"/>
  <c r="I5845" i="1" a="1"/>
  <c r="I5845" i="1" s="1"/>
  <c r="D5846" i="1"/>
  <c r="F5846" i="1"/>
  <c r="H5846" i="1"/>
  <c r="I5846" i="1" a="1"/>
  <c r="I5846" i="1" s="1"/>
  <c r="D5847" i="1"/>
  <c r="F5847" i="1"/>
  <c r="H5847" i="1"/>
  <c r="I5847" i="1" a="1"/>
  <c r="I5847" i="1" s="1"/>
  <c r="D5848" i="1"/>
  <c r="F5848" i="1"/>
  <c r="H5848" i="1"/>
  <c r="I5848" i="1" a="1"/>
  <c r="I5848" i="1" s="1"/>
  <c r="D5849" i="1"/>
  <c r="F5849" i="1"/>
  <c r="H5849" i="1"/>
  <c r="I5849" i="1" a="1"/>
  <c r="I5849" i="1" s="1"/>
  <c r="D5850" i="1"/>
  <c r="F5850" i="1"/>
  <c r="H5850" i="1"/>
  <c r="I5850" i="1" a="1"/>
  <c r="I5850" i="1" s="1"/>
  <c r="D5851" i="1"/>
  <c r="F5851" i="1"/>
  <c r="H5851" i="1"/>
  <c r="I5851" i="1" a="1"/>
  <c r="I5851" i="1" s="1"/>
  <c r="D5852" i="1"/>
  <c r="F5852" i="1"/>
  <c r="H5852" i="1"/>
  <c r="I5852" i="1" a="1"/>
  <c r="I5852" i="1" s="1"/>
  <c r="D5853" i="1"/>
  <c r="F5853" i="1"/>
  <c r="H5853" i="1"/>
  <c r="I5853" i="1" a="1"/>
  <c r="I5853" i="1" s="1"/>
  <c r="D5854" i="1"/>
  <c r="F5854" i="1"/>
  <c r="H5854" i="1"/>
  <c r="I5854" i="1" a="1"/>
  <c r="I5854" i="1" s="1"/>
  <c r="D5855" i="1"/>
  <c r="F5855" i="1"/>
  <c r="H5855" i="1"/>
  <c r="I5855" i="1" a="1"/>
  <c r="I5855" i="1" s="1"/>
  <c r="D5856" i="1"/>
  <c r="F5856" i="1"/>
  <c r="H5856" i="1"/>
  <c r="I5856" i="1" a="1"/>
  <c r="I5856" i="1" s="1"/>
  <c r="D5857" i="1"/>
  <c r="F5857" i="1"/>
  <c r="H5857" i="1"/>
  <c r="I5857" i="1" a="1"/>
  <c r="I5857" i="1" s="1"/>
  <c r="D5858" i="1"/>
  <c r="F5858" i="1"/>
  <c r="H5858" i="1"/>
  <c r="I5858" i="1" a="1"/>
  <c r="I5858" i="1" s="1"/>
  <c r="D5859" i="1"/>
  <c r="F5859" i="1"/>
  <c r="H5859" i="1"/>
  <c r="I5859" i="1" a="1"/>
  <c r="I5859" i="1" s="1"/>
  <c r="D5860" i="1"/>
  <c r="F5860" i="1"/>
  <c r="H5860" i="1"/>
  <c r="I5860" i="1" a="1"/>
  <c r="I5860" i="1" s="1"/>
  <c r="D5861" i="1"/>
  <c r="F5861" i="1"/>
  <c r="H5861" i="1"/>
  <c r="I5861" i="1" a="1"/>
  <c r="I5861" i="1" s="1"/>
  <c r="D5862" i="1"/>
  <c r="F5862" i="1"/>
  <c r="H5862" i="1"/>
  <c r="I5862" i="1" a="1"/>
  <c r="I5862" i="1" s="1"/>
  <c r="D5863" i="1"/>
  <c r="F5863" i="1"/>
  <c r="H5863" i="1"/>
  <c r="I5863" i="1" a="1"/>
  <c r="I5863" i="1" s="1"/>
  <c r="D5864" i="1"/>
  <c r="F5864" i="1"/>
  <c r="H5864" i="1"/>
  <c r="I5864" i="1" a="1"/>
  <c r="I5864" i="1" s="1"/>
  <c r="D5865" i="1"/>
  <c r="F5865" i="1"/>
  <c r="H5865" i="1"/>
  <c r="I5865" i="1" a="1"/>
  <c r="I5865" i="1" s="1"/>
  <c r="D5866" i="1"/>
  <c r="F5866" i="1"/>
  <c r="H5866" i="1"/>
  <c r="I5866" i="1" a="1"/>
  <c r="I5866" i="1" s="1"/>
  <c r="D5867" i="1"/>
  <c r="F5867" i="1"/>
  <c r="H5867" i="1"/>
  <c r="I5867" i="1" a="1"/>
  <c r="I5867" i="1" s="1"/>
  <c r="D5868" i="1"/>
  <c r="F5868" i="1"/>
  <c r="H5868" i="1"/>
  <c r="I5868" i="1" a="1"/>
  <c r="I5868" i="1" s="1"/>
  <c r="D5869" i="1"/>
  <c r="F5869" i="1"/>
  <c r="H5869" i="1"/>
  <c r="I5869" i="1" a="1"/>
  <c r="I5869" i="1" s="1"/>
  <c r="D5870" i="1"/>
  <c r="F5870" i="1"/>
  <c r="H5870" i="1"/>
  <c r="I5870" i="1" a="1"/>
  <c r="I5870" i="1" s="1"/>
  <c r="D5871" i="1"/>
  <c r="F5871" i="1"/>
  <c r="H5871" i="1"/>
  <c r="I5871" i="1" a="1"/>
  <c r="I5871" i="1" s="1"/>
  <c r="D5872" i="1"/>
  <c r="F5872" i="1"/>
  <c r="H5872" i="1"/>
  <c r="I5872" i="1" a="1"/>
  <c r="I5872" i="1" s="1"/>
  <c r="D5873" i="1"/>
  <c r="F5873" i="1"/>
  <c r="H5873" i="1"/>
  <c r="I5873" i="1" a="1"/>
  <c r="I5873" i="1" s="1"/>
  <c r="D5874" i="1"/>
  <c r="F5874" i="1"/>
  <c r="H5874" i="1"/>
  <c r="I5874" i="1" a="1"/>
  <c r="I5874" i="1" s="1"/>
  <c r="D5875" i="1"/>
  <c r="F5875" i="1"/>
  <c r="H5875" i="1"/>
  <c r="I5875" i="1" a="1"/>
  <c r="I5875" i="1" s="1"/>
  <c r="D5876" i="1"/>
  <c r="F5876" i="1"/>
  <c r="H5876" i="1"/>
  <c r="I5876" i="1" a="1"/>
  <c r="I5876" i="1" s="1"/>
  <c r="D5877" i="1"/>
  <c r="F5877" i="1"/>
  <c r="H5877" i="1"/>
  <c r="I5877" i="1" a="1"/>
  <c r="I5877" i="1" s="1"/>
  <c r="D5878" i="1"/>
  <c r="F5878" i="1"/>
  <c r="H5878" i="1"/>
  <c r="I5878" i="1" a="1"/>
  <c r="I5878" i="1" s="1"/>
  <c r="D5879" i="1"/>
  <c r="F5879" i="1"/>
  <c r="H5879" i="1"/>
  <c r="I5879" i="1" a="1"/>
  <c r="I5879" i="1" s="1"/>
  <c r="D5880" i="1"/>
  <c r="F5880" i="1"/>
  <c r="H5880" i="1"/>
  <c r="I5880" i="1" a="1"/>
  <c r="I5880" i="1" s="1"/>
  <c r="D5881" i="1"/>
  <c r="F5881" i="1"/>
  <c r="H5881" i="1"/>
  <c r="I5881" i="1" a="1"/>
  <c r="I5881" i="1" s="1"/>
  <c r="D5882" i="1"/>
  <c r="F5882" i="1"/>
  <c r="H5882" i="1"/>
  <c r="I5882" i="1" a="1"/>
  <c r="I5882" i="1" s="1"/>
  <c r="D5883" i="1"/>
  <c r="F5883" i="1"/>
  <c r="H5883" i="1"/>
  <c r="I5883" i="1" a="1"/>
  <c r="I5883" i="1" s="1"/>
  <c r="D5884" i="1"/>
  <c r="F5884" i="1"/>
  <c r="H5884" i="1"/>
  <c r="I5884" i="1" a="1"/>
  <c r="I5884" i="1" s="1"/>
  <c r="D5885" i="1"/>
  <c r="F5885" i="1"/>
  <c r="H5885" i="1"/>
  <c r="I5885" i="1" a="1"/>
  <c r="I5885" i="1" s="1"/>
  <c r="D5886" i="1"/>
  <c r="F5886" i="1"/>
  <c r="H5886" i="1"/>
  <c r="I5886" i="1" a="1"/>
  <c r="I5886" i="1" s="1"/>
  <c r="D5887" i="1"/>
  <c r="F5887" i="1"/>
  <c r="H5887" i="1"/>
  <c r="I5887" i="1" a="1"/>
  <c r="I5887" i="1" s="1"/>
  <c r="D5888" i="1"/>
  <c r="F5888" i="1"/>
  <c r="H5888" i="1"/>
  <c r="I5888" i="1" a="1"/>
  <c r="I5888" i="1" s="1"/>
  <c r="D5889" i="1"/>
  <c r="F5889" i="1"/>
  <c r="H5889" i="1"/>
  <c r="I5889" i="1" a="1"/>
  <c r="I5889" i="1" s="1"/>
  <c r="D5890" i="1"/>
  <c r="F5890" i="1"/>
  <c r="H5890" i="1"/>
  <c r="I5890" i="1" a="1"/>
  <c r="I5890" i="1" s="1"/>
  <c r="D5891" i="1"/>
  <c r="F5891" i="1"/>
  <c r="H5891" i="1"/>
  <c r="I5891" i="1" a="1"/>
  <c r="I5891" i="1" s="1"/>
  <c r="D5892" i="1"/>
  <c r="F5892" i="1"/>
  <c r="H5892" i="1"/>
  <c r="I5892" i="1" a="1"/>
  <c r="I5892" i="1" s="1"/>
  <c r="D5893" i="1"/>
  <c r="F5893" i="1"/>
  <c r="H5893" i="1"/>
  <c r="I5893" i="1" a="1"/>
  <c r="I5893" i="1" s="1"/>
  <c r="D5894" i="1"/>
  <c r="F5894" i="1"/>
  <c r="H5894" i="1"/>
  <c r="I5894" i="1" a="1"/>
  <c r="I5894" i="1" s="1"/>
  <c r="D5895" i="1"/>
  <c r="F5895" i="1"/>
  <c r="H5895" i="1"/>
  <c r="I5895" i="1" a="1"/>
  <c r="I5895" i="1" s="1"/>
  <c r="D5896" i="1"/>
  <c r="F5896" i="1"/>
  <c r="H5896" i="1"/>
  <c r="I5896" i="1" a="1"/>
  <c r="I5896" i="1" s="1"/>
  <c r="D5897" i="1"/>
  <c r="F5897" i="1"/>
  <c r="H5897" i="1"/>
  <c r="I5897" i="1" a="1"/>
  <c r="I5897" i="1" s="1"/>
  <c r="D5898" i="1"/>
  <c r="F5898" i="1"/>
  <c r="H5898" i="1"/>
  <c r="I5898" i="1" a="1"/>
  <c r="I5898" i="1" s="1"/>
  <c r="D5899" i="1"/>
  <c r="F5899" i="1"/>
  <c r="H5899" i="1"/>
  <c r="I5899" i="1" a="1"/>
  <c r="I5899" i="1" s="1"/>
  <c r="D5900" i="1"/>
  <c r="F5900" i="1"/>
  <c r="H5900" i="1"/>
  <c r="I5900" i="1" a="1"/>
  <c r="I5900" i="1" s="1"/>
  <c r="D5901" i="1"/>
  <c r="F5901" i="1"/>
  <c r="H5901" i="1"/>
  <c r="I5901" i="1" a="1"/>
  <c r="I5901" i="1" s="1"/>
  <c r="D5902" i="1"/>
  <c r="F5902" i="1"/>
  <c r="H5902" i="1"/>
  <c r="I5902" i="1" a="1"/>
  <c r="I5902" i="1" s="1"/>
  <c r="D5903" i="1"/>
  <c r="F5903" i="1"/>
  <c r="H5903" i="1"/>
  <c r="I5903" i="1" a="1"/>
  <c r="I5903" i="1" s="1"/>
  <c r="D5904" i="1"/>
  <c r="F5904" i="1"/>
  <c r="H5904" i="1"/>
  <c r="I5904" i="1" a="1"/>
  <c r="I5904" i="1" s="1"/>
  <c r="D5905" i="1"/>
  <c r="F5905" i="1"/>
  <c r="H5905" i="1"/>
  <c r="I5905" i="1" a="1"/>
  <c r="I5905" i="1" s="1"/>
  <c r="D5906" i="1"/>
  <c r="F5906" i="1"/>
  <c r="H5906" i="1"/>
  <c r="I5906" i="1" a="1"/>
  <c r="I5906" i="1" s="1"/>
  <c r="D5907" i="1"/>
  <c r="F5907" i="1"/>
  <c r="H5907" i="1"/>
  <c r="I5907" i="1" a="1"/>
  <c r="I5907" i="1" s="1"/>
  <c r="D5908" i="1"/>
  <c r="F5908" i="1"/>
  <c r="H5908" i="1"/>
  <c r="I5908" i="1" a="1"/>
  <c r="I5908" i="1" s="1"/>
  <c r="D5909" i="1"/>
  <c r="F5909" i="1"/>
  <c r="H5909" i="1"/>
  <c r="I5909" i="1" a="1"/>
  <c r="I5909" i="1" s="1"/>
  <c r="D5910" i="1"/>
  <c r="F5910" i="1"/>
  <c r="H5910" i="1"/>
  <c r="I5910" i="1" a="1"/>
  <c r="I5910" i="1" s="1"/>
  <c r="D5911" i="1"/>
  <c r="F5911" i="1"/>
  <c r="H5911" i="1"/>
  <c r="I5911" i="1" a="1"/>
  <c r="I5911" i="1" s="1"/>
  <c r="D5912" i="1"/>
  <c r="F5912" i="1"/>
  <c r="H5912" i="1"/>
  <c r="I5912" i="1" a="1"/>
  <c r="I5912" i="1" s="1"/>
  <c r="D5913" i="1"/>
  <c r="F5913" i="1"/>
  <c r="H5913" i="1"/>
  <c r="I5913" i="1" a="1"/>
  <c r="I5913" i="1" s="1"/>
  <c r="D5914" i="1"/>
  <c r="F5914" i="1"/>
  <c r="H5914" i="1"/>
  <c r="I5914" i="1" a="1"/>
  <c r="I5914" i="1" s="1"/>
  <c r="D5915" i="1"/>
  <c r="F5915" i="1"/>
  <c r="H5915" i="1"/>
  <c r="I5915" i="1" a="1"/>
  <c r="I5915" i="1" s="1"/>
  <c r="D5916" i="1"/>
  <c r="F5916" i="1"/>
  <c r="H5916" i="1"/>
  <c r="I5916" i="1" a="1"/>
  <c r="I5916" i="1" s="1"/>
  <c r="D5917" i="1"/>
  <c r="F5917" i="1"/>
  <c r="H5917" i="1"/>
  <c r="I5917" i="1" a="1"/>
  <c r="I5917" i="1" s="1"/>
  <c r="D5918" i="1"/>
  <c r="F5918" i="1"/>
  <c r="H5918" i="1"/>
  <c r="I5918" i="1" a="1"/>
  <c r="I5918" i="1" s="1"/>
  <c r="D5919" i="1"/>
  <c r="F5919" i="1"/>
  <c r="H5919" i="1"/>
  <c r="I5919" i="1" a="1"/>
  <c r="I5919" i="1" s="1"/>
  <c r="D5920" i="1"/>
  <c r="F5920" i="1"/>
  <c r="H5920" i="1"/>
  <c r="I5920" i="1" a="1"/>
  <c r="I5920" i="1" s="1"/>
  <c r="D5921" i="1"/>
  <c r="F5921" i="1"/>
  <c r="H5921" i="1"/>
  <c r="I5921" i="1" a="1"/>
  <c r="I5921" i="1" s="1"/>
  <c r="D5922" i="1"/>
  <c r="F5922" i="1"/>
  <c r="H5922" i="1"/>
  <c r="I5922" i="1" a="1"/>
  <c r="I5922" i="1" s="1"/>
  <c r="D5923" i="1"/>
  <c r="F5923" i="1"/>
  <c r="H5923" i="1"/>
  <c r="I5923" i="1" a="1"/>
  <c r="I5923" i="1" s="1"/>
  <c r="D5924" i="1"/>
  <c r="F5924" i="1"/>
  <c r="H5924" i="1"/>
  <c r="I5924" i="1" a="1"/>
  <c r="I5924" i="1" s="1"/>
  <c r="D5925" i="1"/>
  <c r="F5925" i="1"/>
  <c r="H5925" i="1"/>
  <c r="I5925" i="1" a="1"/>
  <c r="I5925" i="1" s="1"/>
  <c r="D5926" i="1"/>
  <c r="F5926" i="1"/>
  <c r="H5926" i="1"/>
  <c r="I5926" i="1" a="1"/>
  <c r="I5926" i="1" s="1"/>
  <c r="D5927" i="1"/>
  <c r="F5927" i="1"/>
  <c r="H5927" i="1"/>
  <c r="I5927" i="1" a="1"/>
  <c r="I5927" i="1" s="1"/>
  <c r="D5928" i="1"/>
  <c r="F5928" i="1"/>
  <c r="H5928" i="1"/>
  <c r="I5928" i="1" a="1"/>
  <c r="I5928" i="1" s="1"/>
  <c r="D5929" i="1"/>
  <c r="F5929" i="1"/>
  <c r="H5929" i="1"/>
  <c r="I5929" i="1" a="1"/>
  <c r="I5929" i="1" s="1"/>
  <c r="D5930" i="1"/>
  <c r="F5930" i="1"/>
  <c r="H5930" i="1"/>
  <c r="I5930" i="1" a="1"/>
  <c r="I5930" i="1" s="1"/>
  <c r="D5931" i="1"/>
  <c r="F5931" i="1"/>
  <c r="H5931" i="1"/>
  <c r="I5931" i="1" a="1"/>
  <c r="I5931" i="1" s="1"/>
  <c r="D5932" i="1"/>
  <c r="F5932" i="1"/>
  <c r="H5932" i="1"/>
  <c r="I5932" i="1" a="1"/>
  <c r="I5932" i="1" s="1"/>
  <c r="D5933" i="1"/>
  <c r="F5933" i="1"/>
  <c r="H5933" i="1"/>
  <c r="I5933" i="1" a="1"/>
  <c r="I5933" i="1" s="1"/>
  <c r="D5934" i="1"/>
  <c r="F5934" i="1"/>
  <c r="H5934" i="1"/>
  <c r="I5934" i="1" a="1"/>
  <c r="I5934" i="1" s="1"/>
  <c r="D5935" i="1"/>
  <c r="F5935" i="1"/>
  <c r="H5935" i="1"/>
  <c r="I5935" i="1" a="1"/>
  <c r="I5935" i="1" s="1"/>
  <c r="D5936" i="1"/>
  <c r="F5936" i="1"/>
  <c r="H5936" i="1"/>
  <c r="I5936" i="1" a="1"/>
  <c r="I5936" i="1" s="1"/>
  <c r="D5937" i="1"/>
  <c r="F5937" i="1"/>
  <c r="H5937" i="1"/>
  <c r="I5937" i="1" a="1"/>
  <c r="I5937" i="1" s="1"/>
  <c r="D5938" i="1"/>
  <c r="F5938" i="1"/>
  <c r="H5938" i="1"/>
  <c r="I5938" i="1" a="1"/>
  <c r="I5938" i="1" s="1"/>
  <c r="D5939" i="1"/>
  <c r="F5939" i="1"/>
  <c r="H5939" i="1"/>
  <c r="I5939" i="1" a="1"/>
  <c r="I5939" i="1" s="1"/>
  <c r="D5940" i="1"/>
  <c r="F5940" i="1"/>
  <c r="H5940" i="1"/>
  <c r="I5940" i="1" a="1"/>
  <c r="I5940" i="1" s="1"/>
  <c r="D5941" i="1"/>
  <c r="F5941" i="1"/>
  <c r="H5941" i="1"/>
  <c r="I5941" i="1" a="1"/>
  <c r="I5941" i="1" s="1"/>
  <c r="D5942" i="1"/>
  <c r="F5942" i="1"/>
  <c r="H5942" i="1"/>
  <c r="I5942" i="1" a="1"/>
  <c r="I5942" i="1" s="1"/>
  <c r="D5943" i="1"/>
  <c r="F5943" i="1"/>
  <c r="H5943" i="1"/>
  <c r="I5943" i="1" a="1"/>
  <c r="I5943" i="1" s="1"/>
  <c r="D5944" i="1"/>
  <c r="F5944" i="1"/>
  <c r="H5944" i="1"/>
  <c r="I5944" i="1" a="1"/>
  <c r="I5944" i="1" s="1"/>
  <c r="D5945" i="1"/>
  <c r="F5945" i="1"/>
  <c r="H5945" i="1"/>
  <c r="I5945" i="1" a="1"/>
  <c r="I5945" i="1" s="1"/>
  <c r="D5946" i="1"/>
  <c r="F5946" i="1"/>
  <c r="H5946" i="1"/>
  <c r="I5946" i="1" a="1"/>
  <c r="I5946" i="1" s="1"/>
  <c r="D5947" i="1"/>
  <c r="F5947" i="1"/>
  <c r="H5947" i="1"/>
  <c r="I5947" i="1" a="1"/>
  <c r="I5947" i="1" s="1"/>
  <c r="D5948" i="1"/>
  <c r="F5948" i="1"/>
  <c r="H5948" i="1"/>
  <c r="I5948" i="1" a="1"/>
  <c r="I5948" i="1" s="1"/>
  <c r="D5949" i="1"/>
  <c r="F5949" i="1"/>
  <c r="H5949" i="1"/>
  <c r="I5949" i="1" a="1"/>
  <c r="I5949" i="1" s="1"/>
  <c r="D5950" i="1"/>
  <c r="F5950" i="1"/>
  <c r="H5950" i="1"/>
  <c r="I5950" i="1" a="1"/>
  <c r="I5950" i="1" s="1"/>
  <c r="D5951" i="1"/>
  <c r="F5951" i="1"/>
  <c r="H5951" i="1"/>
  <c r="I5951" i="1" a="1"/>
  <c r="I5951" i="1" s="1"/>
  <c r="D5952" i="1"/>
  <c r="F5952" i="1"/>
  <c r="H5952" i="1"/>
  <c r="I5952" i="1" a="1"/>
  <c r="I5952" i="1" s="1"/>
  <c r="D5953" i="1"/>
  <c r="F5953" i="1"/>
  <c r="H5953" i="1"/>
  <c r="I5953" i="1" a="1"/>
  <c r="I5953" i="1" s="1"/>
  <c r="D5954" i="1"/>
  <c r="F5954" i="1"/>
  <c r="H5954" i="1"/>
  <c r="I5954" i="1" a="1"/>
  <c r="I5954" i="1" s="1"/>
  <c r="D5955" i="1"/>
  <c r="F5955" i="1"/>
  <c r="H5955" i="1"/>
  <c r="I5955" i="1" a="1"/>
  <c r="I5955" i="1" s="1"/>
  <c r="D5956" i="1"/>
  <c r="F5956" i="1"/>
  <c r="H5956" i="1"/>
  <c r="I5956" i="1" a="1"/>
  <c r="I5956" i="1" s="1"/>
  <c r="D5957" i="1"/>
  <c r="F5957" i="1"/>
  <c r="H5957" i="1"/>
  <c r="I5957" i="1" a="1"/>
  <c r="I5957" i="1" s="1"/>
  <c r="D5958" i="1"/>
  <c r="F5958" i="1"/>
  <c r="H5958" i="1"/>
  <c r="I5958" i="1" a="1"/>
  <c r="I5958" i="1" s="1"/>
  <c r="D5959" i="1"/>
  <c r="F5959" i="1"/>
  <c r="H5959" i="1"/>
  <c r="I5959" i="1" a="1"/>
  <c r="I5959" i="1" s="1"/>
  <c r="D5960" i="1"/>
  <c r="F5960" i="1"/>
  <c r="H5960" i="1"/>
  <c r="I5960" i="1" a="1"/>
  <c r="I5960" i="1" s="1"/>
  <c r="D5961" i="1"/>
  <c r="F5961" i="1"/>
  <c r="H5961" i="1"/>
  <c r="I5961" i="1" a="1"/>
  <c r="I5961" i="1" s="1"/>
  <c r="D5962" i="1"/>
  <c r="F5962" i="1"/>
  <c r="H5962" i="1"/>
  <c r="I5962" i="1" a="1"/>
  <c r="I5962" i="1" s="1"/>
  <c r="D5963" i="1"/>
  <c r="F5963" i="1"/>
  <c r="H5963" i="1"/>
  <c r="I5963" i="1" a="1"/>
  <c r="I5963" i="1" s="1"/>
  <c r="D5964" i="1"/>
  <c r="F5964" i="1"/>
  <c r="H5964" i="1"/>
  <c r="I5964" i="1" a="1"/>
  <c r="I5964" i="1" s="1"/>
  <c r="D5965" i="1"/>
  <c r="F5965" i="1"/>
  <c r="H5965" i="1"/>
  <c r="I5965" i="1" a="1"/>
  <c r="I5965" i="1" s="1"/>
  <c r="D5966" i="1"/>
  <c r="F5966" i="1"/>
  <c r="H5966" i="1"/>
  <c r="I5966" i="1" a="1"/>
  <c r="I5966" i="1" s="1"/>
  <c r="D5967" i="1"/>
  <c r="F5967" i="1"/>
  <c r="H5967" i="1"/>
  <c r="I5967" i="1" a="1"/>
  <c r="I5967" i="1" s="1"/>
  <c r="D5968" i="1"/>
  <c r="F5968" i="1"/>
  <c r="H5968" i="1"/>
  <c r="I5968" i="1" a="1"/>
  <c r="I5968" i="1" s="1"/>
  <c r="D5969" i="1"/>
  <c r="F5969" i="1"/>
  <c r="H5969" i="1"/>
  <c r="I5969" i="1" a="1"/>
  <c r="I5969" i="1" s="1"/>
  <c r="D5970" i="1"/>
  <c r="F5970" i="1"/>
  <c r="H5970" i="1"/>
  <c r="I5970" i="1" a="1"/>
  <c r="I5970" i="1" s="1"/>
  <c r="D5971" i="1"/>
  <c r="F5971" i="1"/>
  <c r="H5971" i="1"/>
  <c r="I5971" i="1" a="1"/>
  <c r="I5971" i="1" s="1"/>
  <c r="D5972" i="1"/>
  <c r="F5972" i="1"/>
  <c r="H5972" i="1"/>
  <c r="I5972" i="1" a="1"/>
  <c r="I5972" i="1" s="1"/>
  <c r="D5973" i="1"/>
  <c r="F5973" i="1"/>
  <c r="H5973" i="1"/>
  <c r="I5973" i="1" a="1"/>
  <c r="I5973" i="1" s="1"/>
  <c r="D5974" i="1"/>
  <c r="F5974" i="1"/>
  <c r="H5974" i="1"/>
  <c r="I5974" i="1" a="1"/>
  <c r="I5974" i="1" s="1"/>
  <c r="D5975" i="1"/>
  <c r="F5975" i="1"/>
  <c r="H5975" i="1"/>
  <c r="I5975" i="1" a="1"/>
  <c r="I5975" i="1" s="1"/>
  <c r="D5976" i="1"/>
  <c r="F5976" i="1"/>
  <c r="H5976" i="1"/>
  <c r="I5976" i="1" a="1"/>
  <c r="I5976" i="1" s="1"/>
  <c r="D5977" i="1"/>
  <c r="F5977" i="1"/>
  <c r="H5977" i="1"/>
  <c r="I5977" i="1" a="1"/>
  <c r="I5977" i="1" s="1"/>
  <c r="D5978" i="1"/>
  <c r="F5978" i="1"/>
  <c r="H5978" i="1"/>
  <c r="I5978" i="1" a="1"/>
  <c r="I5978" i="1" s="1"/>
  <c r="D5979" i="1"/>
  <c r="F5979" i="1"/>
  <c r="H5979" i="1"/>
  <c r="I5979" i="1" a="1"/>
  <c r="I5979" i="1" s="1"/>
  <c r="D5980" i="1"/>
  <c r="F5980" i="1"/>
  <c r="H5980" i="1"/>
  <c r="I5980" i="1" a="1"/>
  <c r="I5980" i="1" s="1"/>
  <c r="D5981" i="1"/>
  <c r="F5981" i="1"/>
  <c r="H5981" i="1"/>
  <c r="I5981" i="1" a="1"/>
  <c r="I5981" i="1" s="1"/>
  <c r="D5982" i="1"/>
  <c r="F5982" i="1"/>
  <c r="H5982" i="1"/>
  <c r="I5982" i="1" a="1"/>
  <c r="I5982" i="1" s="1"/>
  <c r="D5983" i="1"/>
  <c r="F5983" i="1"/>
  <c r="H5983" i="1"/>
  <c r="I5983" i="1" a="1"/>
  <c r="I5983" i="1" s="1"/>
  <c r="D5984" i="1"/>
  <c r="F5984" i="1"/>
  <c r="H5984" i="1"/>
  <c r="I5984" i="1" a="1"/>
  <c r="I5984" i="1" s="1"/>
  <c r="D5985" i="1"/>
  <c r="F5985" i="1"/>
  <c r="H5985" i="1"/>
  <c r="I5985" i="1" a="1"/>
  <c r="I5985" i="1" s="1"/>
  <c r="D5986" i="1"/>
  <c r="F5986" i="1"/>
  <c r="H5986" i="1"/>
  <c r="I5986" i="1" a="1"/>
  <c r="I5986" i="1" s="1"/>
  <c r="D5987" i="1"/>
  <c r="F5987" i="1"/>
  <c r="H5987" i="1"/>
  <c r="I5987" i="1" a="1"/>
  <c r="I5987" i="1" s="1"/>
  <c r="D5988" i="1"/>
  <c r="F5988" i="1"/>
  <c r="H5988" i="1"/>
  <c r="I5988" i="1" a="1"/>
  <c r="I5988" i="1" s="1"/>
  <c r="D5989" i="1"/>
  <c r="F5989" i="1"/>
  <c r="H5989" i="1"/>
  <c r="I5989" i="1" a="1"/>
  <c r="I5989" i="1" s="1"/>
  <c r="D5990" i="1"/>
  <c r="F5990" i="1"/>
  <c r="H5990" i="1"/>
  <c r="I5990" i="1" a="1"/>
  <c r="I5990" i="1" s="1"/>
  <c r="D5991" i="1"/>
  <c r="F5991" i="1"/>
  <c r="H5991" i="1"/>
  <c r="I5991" i="1" a="1"/>
  <c r="I5991" i="1" s="1"/>
  <c r="D5992" i="1"/>
  <c r="F5992" i="1"/>
  <c r="H5992" i="1"/>
  <c r="I5992" i="1" a="1"/>
  <c r="I5992" i="1" s="1"/>
  <c r="D5993" i="1"/>
  <c r="F5993" i="1"/>
  <c r="H5993" i="1"/>
  <c r="I5993" i="1" a="1"/>
  <c r="I5993" i="1" s="1"/>
  <c r="D5994" i="1"/>
  <c r="F5994" i="1"/>
  <c r="H5994" i="1"/>
  <c r="I5994" i="1" a="1"/>
  <c r="I5994" i="1" s="1"/>
  <c r="D5995" i="1"/>
  <c r="F5995" i="1"/>
  <c r="H5995" i="1"/>
  <c r="I5995" i="1" a="1"/>
  <c r="I5995" i="1" s="1"/>
  <c r="D5996" i="1"/>
  <c r="F5996" i="1"/>
  <c r="H5996" i="1"/>
  <c r="I5996" i="1" a="1"/>
  <c r="I5996" i="1" s="1"/>
  <c r="D5997" i="1"/>
  <c r="F5997" i="1"/>
  <c r="H5997" i="1"/>
  <c r="I5997" i="1" a="1"/>
  <c r="I5997" i="1" s="1"/>
  <c r="D5998" i="1"/>
  <c r="F5998" i="1"/>
  <c r="H5998" i="1"/>
  <c r="I5998" i="1" a="1"/>
  <c r="I5998" i="1" s="1"/>
  <c r="D5999" i="1"/>
  <c r="F5999" i="1"/>
  <c r="H5999" i="1"/>
  <c r="I5999" i="1" a="1"/>
  <c r="I5999" i="1" s="1"/>
  <c r="D6000" i="1"/>
  <c r="F6000" i="1"/>
  <c r="H6000" i="1"/>
  <c r="I6000" i="1" a="1"/>
  <c r="I6000" i="1" s="1"/>
  <c r="D6001" i="1"/>
  <c r="F6001" i="1"/>
  <c r="H6001" i="1"/>
  <c r="I6001" i="1" a="1"/>
  <c r="I6001" i="1" s="1"/>
  <c r="D6002" i="1"/>
  <c r="F6002" i="1"/>
  <c r="H6002" i="1"/>
  <c r="I6002" i="1" a="1"/>
  <c r="I6002" i="1" s="1"/>
  <c r="D6003" i="1"/>
  <c r="F6003" i="1"/>
  <c r="H6003" i="1"/>
  <c r="I6003" i="1" a="1"/>
  <c r="I6003" i="1" s="1"/>
  <c r="D6004" i="1"/>
  <c r="F6004" i="1"/>
  <c r="H6004" i="1"/>
  <c r="I6004" i="1" a="1"/>
  <c r="I6004" i="1" s="1"/>
  <c r="D6005" i="1"/>
  <c r="F6005" i="1"/>
  <c r="H6005" i="1"/>
  <c r="I6005" i="1" a="1"/>
  <c r="I6005" i="1" s="1"/>
  <c r="D6006" i="1"/>
  <c r="F6006" i="1"/>
  <c r="H6006" i="1"/>
  <c r="I6006" i="1" a="1"/>
  <c r="I6006" i="1" s="1"/>
  <c r="D6007" i="1"/>
  <c r="F6007" i="1"/>
  <c r="H6007" i="1"/>
  <c r="I6007" i="1" a="1"/>
  <c r="I6007" i="1" s="1"/>
  <c r="D6008" i="1"/>
  <c r="F6008" i="1"/>
  <c r="H6008" i="1"/>
  <c r="I6008" i="1" a="1"/>
  <c r="I6008" i="1" s="1"/>
  <c r="D6009" i="1"/>
  <c r="F6009" i="1"/>
  <c r="H6009" i="1"/>
  <c r="I6009" i="1" a="1"/>
  <c r="I6009" i="1" s="1"/>
  <c r="D6010" i="1"/>
  <c r="F6010" i="1"/>
  <c r="H6010" i="1"/>
  <c r="I6010" i="1" a="1"/>
  <c r="I6010" i="1" s="1"/>
  <c r="D6011" i="1"/>
  <c r="F6011" i="1"/>
  <c r="H6011" i="1"/>
  <c r="I6011" i="1" a="1"/>
  <c r="I6011" i="1" s="1"/>
  <c r="D6012" i="1"/>
  <c r="F6012" i="1"/>
  <c r="H6012" i="1"/>
  <c r="I6012" i="1" a="1"/>
  <c r="I6012" i="1" s="1"/>
  <c r="D6013" i="1"/>
  <c r="F6013" i="1"/>
  <c r="H6013" i="1"/>
  <c r="I6013" i="1" a="1"/>
  <c r="I6013" i="1" s="1"/>
  <c r="D6014" i="1"/>
  <c r="F6014" i="1"/>
  <c r="H6014" i="1"/>
  <c r="I6014" i="1" a="1"/>
  <c r="I6014" i="1" s="1"/>
  <c r="D6015" i="1"/>
  <c r="F6015" i="1"/>
  <c r="H6015" i="1"/>
  <c r="I6015" i="1" a="1"/>
  <c r="I6015" i="1" s="1"/>
  <c r="D6016" i="1"/>
  <c r="F6016" i="1"/>
  <c r="H6016" i="1"/>
  <c r="I6016" i="1" a="1"/>
  <c r="I6016" i="1" s="1"/>
  <c r="D6017" i="1"/>
  <c r="F6017" i="1"/>
  <c r="H6017" i="1"/>
  <c r="I6017" i="1" a="1"/>
  <c r="I6017" i="1" s="1"/>
  <c r="D6018" i="1"/>
  <c r="F6018" i="1"/>
  <c r="H6018" i="1"/>
  <c r="I6018" i="1" a="1"/>
  <c r="I6018" i="1" s="1"/>
  <c r="D6019" i="1"/>
  <c r="F6019" i="1"/>
  <c r="H6019" i="1"/>
  <c r="I6019" i="1" a="1"/>
  <c r="I6019" i="1" s="1"/>
  <c r="D6020" i="1"/>
  <c r="F6020" i="1"/>
  <c r="H6020" i="1"/>
  <c r="I6020" i="1" a="1"/>
  <c r="I6020" i="1" s="1"/>
  <c r="D6021" i="1"/>
  <c r="F6021" i="1"/>
  <c r="H6021" i="1"/>
  <c r="I6021" i="1" a="1"/>
  <c r="I6021" i="1" s="1"/>
  <c r="D6022" i="1"/>
  <c r="F6022" i="1"/>
  <c r="H6022" i="1"/>
  <c r="I6022" i="1" a="1"/>
  <c r="I6022" i="1" s="1"/>
  <c r="D6023" i="1"/>
  <c r="F6023" i="1"/>
  <c r="H6023" i="1"/>
  <c r="I6023" i="1" a="1"/>
  <c r="I6023" i="1" s="1"/>
  <c r="D6024" i="1"/>
  <c r="F6024" i="1"/>
  <c r="H6024" i="1"/>
  <c r="I6024" i="1" a="1"/>
  <c r="I6024" i="1" s="1"/>
  <c r="D6025" i="1"/>
  <c r="F6025" i="1"/>
  <c r="H6025" i="1"/>
  <c r="I6025" i="1" a="1"/>
  <c r="I6025" i="1" s="1"/>
  <c r="D6026" i="1"/>
  <c r="F6026" i="1"/>
  <c r="H6026" i="1"/>
  <c r="I6026" i="1" a="1"/>
  <c r="I6026" i="1" s="1"/>
  <c r="D6027" i="1"/>
  <c r="F6027" i="1"/>
  <c r="H6027" i="1"/>
  <c r="I6027" i="1" a="1"/>
  <c r="I6027" i="1" s="1"/>
  <c r="D6028" i="1"/>
  <c r="F6028" i="1"/>
  <c r="H6028" i="1"/>
  <c r="I6028" i="1" a="1"/>
  <c r="I6028" i="1" s="1"/>
  <c r="D6029" i="1"/>
  <c r="F6029" i="1"/>
  <c r="H6029" i="1"/>
  <c r="I6029" i="1" a="1"/>
  <c r="I6029" i="1" s="1"/>
  <c r="D6030" i="1"/>
  <c r="F6030" i="1"/>
  <c r="H6030" i="1"/>
  <c r="I6030" i="1" a="1"/>
  <c r="I6030" i="1" s="1"/>
  <c r="D6031" i="1"/>
  <c r="F6031" i="1"/>
  <c r="H6031" i="1"/>
  <c r="I6031" i="1" a="1"/>
  <c r="I6031" i="1" s="1"/>
  <c r="D6032" i="1"/>
  <c r="F6032" i="1"/>
  <c r="H6032" i="1"/>
  <c r="I6032" i="1" a="1"/>
  <c r="I6032" i="1" s="1"/>
  <c r="D6033" i="1"/>
  <c r="F6033" i="1"/>
  <c r="H6033" i="1"/>
  <c r="I6033" i="1" a="1"/>
  <c r="I6033" i="1" s="1"/>
  <c r="D6034" i="1"/>
  <c r="F6034" i="1"/>
  <c r="H6034" i="1"/>
  <c r="I6034" i="1" a="1"/>
  <c r="I6034" i="1" s="1"/>
  <c r="D6035" i="1"/>
  <c r="F6035" i="1"/>
  <c r="H6035" i="1"/>
  <c r="I6035" i="1" a="1"/>
  <c r="I6035" i="1" s="1"/>
  <c r="D6036" i="1"/>
  <c r="F6036" i="1"/>
  <c r="H6036" i="1"/>
  <c r="I6036" i="1" a="1"/>
  <c r="I6036" i="1" s="1"/>
  <c r="D6037" i="1"/>
  <c r="F6037" i="1"/>
  <c r="H6037" i="1"/>
  <c r="I6037" i="1" a="1"/>
  <c r="I6037" i="1" s="1"/>
  <c r="D6038" i="1"/>
  <c r="F6038" i="1"/>
  <c r="H6038" i="1"/>
  <c r="I6038" i="1" a="1"/>
  <c r="I6038" i="1" s="1"/>
  <c r="D6039" i="1"/>
  <c r="F6039" i="1"/>
  <c r="H6039" i="1"/>
  <c r="I6039" i="1" a="1"/>
  <c r="I6039" i="1" s="1"/>
  <c r="D6040" i="1"/>
  <c r="F6040" i="1"/>
  <c r="H6040" i="1"/>
  <c r="I6040" i="1" a="1"/>
  <c r="I6040" i="1" s="1"/>
  <c r="D6041" i="1"/>
  <c r="F6041" i="1"/>
  <c r="H6041" i="1"/>
  <c r="I6041" i="1" a="1"/>
  <c r="I6041" i="1" s="1"/>
  <c r="D6042" i="1"/>
  <c r="F6042" i="1"/>
  <c r="H6042" i="1"/>
  <c r="I6042" i="1" a="1"/>
  <c r="I6042" i="1" s="1"/>
  <c r="D6043" i="1"/>
  <c r="F6043" i="1"/>
  <c r="H6043" i="1"/>
  <c r="I6043" i="1" a="1"/>
  <c r="I6043" i="1" s="1"/>
  <c r="D6044" i="1"/>
  <c r="F6044" i="1"/>
  <c r="H6044" i="1"/>
  <c r="I6044" i="1" a="1"/>
  <c r="I6044" i="1" s="1"/>
  <c r="D6045" i="1"/>
  <c r="F6045" i="1"/>
  <c r="H6045" i="1"/>
  <c r="I6045" i="1" a="1"/>
  <c r="I6045" i="1" s="1"/>
  <c r="D6046" i="1"/>
  <c r="F6046" i="1"/>
  <c r="H6046" i="1"/>
  <c r="I6046" i="1" a="1"/>
  <c r="I6046" i="1" s="1"/>
  <c r="D6047" i="1"/>
  <c r="F6047" i="1"/>
  <c r="H6047" i="1"/>
  <c r="I6047" i="1" a="1"/>
  <c r="I6047" i="1" s="1"/>
  <c r="D6048" i="1"/>
  <c r="F6048" i="1"/>
  <c r="H6048" i="1"/>
  <c r="I6048" i="1" a="1"/>
  <c r="I6048" i="1" s="1"/>
  <c r="D6049" i="1"/>
  <c r="F6049" i="1"/>
  <c r="H6049" i="1"/>
  <c r="I6049" i="1" a="1"/>
  <c r="I6049" i="1" s="1"/>
  <c r="D6050" i="1"/>
  <c r="F6050" i="1"/>
  <c r="H6050" i="1"/>
  <c r="I6050" i="1" a="1"/>
  <c r="I6050" i="1" s="1"/>
  <c r="D6051" i="1"/>
  <c r="F6051" i="1"/>
  <c r="H6051" i="1"/>
  <c r="I6051" i="1" a="1"/>
  <c r="I6051" i="1" s="1"/>
  <c r="D6052" i="1"/>
  <c r="F6052" i="1"/>
  <c r="H6052" i="1"/>
  <c r="I6052" i="1" a="1"/>
  <c r="I6052" i="1" s="1"/>
  <c r="D6053" i="1"/>
  <c r="F6053" i="1"/>
  <c r="H6053" i="1"/>
  <c r="I6053" i="1" a="1"/>
  <c r="I6053" i="1" s="1"/>
  <c r="D6054" i="1"/>
  <c r="F6054" i="1"/>
  <c r="H6054" i="1"/>
  <c r="I6054" i="1" a="1"/>
  <c r="I6054" i="1" s="1"/>
  <c r="D6055" i="1"/>
  <c r="F6055" i="1"/>
  <c r="H6055" i="1"/>
  <c r="I6055" i="1" a="1"/>
  <c r="I6055" i="1" s="1"/>
  <c r="D6056" i="1"/>
  <c r="F6056" i="1"/>
  <c r="H6056" i="1"/>
  <c r="I6056" i="1" a="1"/>
  <c r="I6056" i="1" s="1"/>
  <c r="D6057" i="1"/>
  <c r="F6057" i="1"/>
  <c r="H6057" i="1"/>
  <c r="I6057" i="1" a="1"/>
  <c r="I6057" i="1" s="1"/>
  <c r="D6058" i="1"/>
  <c r="F6058" i="1"/>
  <c r="H6058" i="1"/>
  <c r="I6058" i="1" a="1"/>
  <c r="I6058" i="1" s="1"/>
  <c r="D6059" i="1"/>
  <c r="F6059" i="1"/>
  <c r="H6059" i="1"/>
  <c r="I6059" i="1" a="1"/>
  <c r="I6059" i="1" s="1"/>
  <c r="D6060" i="1"/>
  <c r="F6060" i="1"/>
  <c r="H6060" i="1"/>
  <c r="I6060" i="1" a="1"/>
  <c r="I6060" i="1" s="1"/>
  <c r="D6061" i="1"/>
  <c r="F6061" i="1"/>
  <c r="H6061" i="1"/>
  <c r="I6061" i="1" a="1"/>
  <c r="I6061" i="1" s="1"/>
  <c r="D6062" i="1"/>
  <c r="F6062" i="1"/>
  <c r="H6062" i="1"/>
  <c r="I6062" i="1" a="1"/>
  <c r="I6062" i="1" s="1"/>
  <c r="D6063" i="1"/>
  <c r="F6063" i="1"/>
  <c r="H6063" i="1"/>
  <c r="I6063" i="1" a="1"/>
  <c r="I6063" i="1" s="1"/>
  <c r="D6064" i="1"/>
  <c r="F6064" i="1"/>
  <c r="H6064" i="1"/>
  <c r="I6064" i="1" a="1"/>
  <c r="I6064" i="1" s="1"/>
  <c r="D6065" i="1"/>
  <c r="F6065" i="1"/>
  <c r="H6065" i="1"/>
  <c r="I6065" i="1" a="1"/>
  <c r="I6065" i="1" s="1"/>
  <c r="D6066" i="1"/>
  <c r="F6066" i="1"/>
  <c r="H6066" i="1"/>
  <c r="I6066" i="1" a="1"/>
  <c r="I6066" i="1" s="1"/>
  <c r="D6067" i="1"/>
  <c r="F6067" i="1"/>
  <c r="H6067" i="1"/>
  <c r="I6067" i="1" a="1"/>
  <c r="I6067" i="1" s="1"/>
  <c r="D6068" i="1"/>
  <c r="F6068" i="1"/>
  <c r="H6068" i="1"/>
  <c r="I6068" i="1" a="1"/>
  <c r="I6068" i="1" s="1"/>
  <c r="D6069" i="1"/>
  <c r="F6069" i="1"/>
  <c r="H6069" i="1"/>
  <c r="I6069" i="1" a="1"/>
  <c r="I6069" i="1" s="1"/>
  <c r="D6070" i="1"/>
  <c r="F6070" i="1"/>
  <c r="H6070" i="1"/>
  <c r="I6070" i="1" a="1"/>
  <c r="I6070" i="1" s="1"/>
  <c r="D6071" i="1"/>
  <c r="F6071" i="1"/>
  <c r="H6071" i="1"/>
  <c r="I6071" i="1" a="1"/>
  <c r="I6071" i="1" s="1"/>
  <c r="D6072" i="1"/>
  <c r="F6072" i="1"/>
  <c r="H6072" i="1"/>
  <c r="I6072" i="1" a="1"/>
  <c r="I6072" i="1" s="1"/>
  <c r="D6073" i="1"/>
  <c r="F6073" i="1"/>
  <c r="H6073" i="1"/>
  <c r="I6073" i="1" a="1"/>
  <c r="I6073" i="1" s="1"/>
  <c r="D6074" i="1"/>
  <c r="F6074" i="1"/>
  <c r="H6074" i="1"/>
  <c r="I6074" i="1" a="1"/>
  <c r="I6074" i="1" s="1"/>
  <c r="D6075" i="1"/>
  <c r="F6075" i="1"/>
  <c r="H6075" i="1"/>
  <c r="I6075" i="1" a="1"/>
  <c r="I6075" i="1" s="1"/>
  <c r="D6076" i="1"/>
  <c r="F6076" i="1"/>
  <c r="H6076" i="1"/>
  <c r="I6076" i="1" a="1"/>
  <c r="I6076" i="1" s="1"/>
  <c r="D6077" i="1"/>
  <c r="F6077" i="1"/>
  <c r="H6077" i="1"/>
  <c r="I6077" i="1" a="1"/>
  <c r="I6077" i="1" s="1"/>
  <c r="D6078" i="1"/>
  <c r="F6078" i="1"/>
  <c r="H6078" i="1"/>
  <c r="I6078" i="1" a="1"/>
  <c r="I6078" i="1" s="1"/>
  <c r="D6079" i="1"/>
  <c r="F6079" i="1"/>
  <c r="H6079" i="1"/>
  <c r="I6079" i="1" a="1"/>
  <c r="I6079" i="1" s="1"/>
  <c r="D6080" i="1"/>
  <c r="F6080" i="1"/>
  <c r="H6080" i="1"/>
  <c r="I6080" i="1" a="1"/>
  <c r="I6080" i="1" s="1"/>
  <c r="D6081" i="1"/>
  <c r="F6081" i="1"/>
  <c r="H6081" i="1"/>
  <c r="I6081" i="1" a="1"/>
  <c r="I6081" i="1" s="1"/>
  <c r="D6082" i="1"/>
  <c r="F6082" i="1"/>
  <c r="H6082" i="1"/>
  <c r="I6082" i="1" a="1"/>
  <c r="I6082" i="1" s="1"/>
  <c r="D6083" i="1"/>
  <c r="F6083" i="1"/>
  <c r="H6083" i="1"/>
  <c r="I6083" i="1" a="1"/>
  <c r="I6083" i="1" s="1"/>
  <c r="D6084" i="1"/>
  <c r="F6084" i="1"/>
  <c r="H6084" i="1"/>
  <c r="I6084" i="1" a="1"/>
  <c r="I6084" i="1" s="1"/>
  <c r="D6085" i="1"/>
  <c r="F6085" i="1"/>
  <c r="H6085" i="1"/>
  <c r="I6085" i="1" a="1"/>
  <c r="I6085" i="1" s="1"/>
  <c r="D6086" i="1"/>
  <c r="F6086" i="1"/>
  <c r="H6086" i="1"/>
  <c r="I6086" i="1" a="1"/>
  <c r="I6086" i="1" s="1"/>
  <c r="D6087" i="1"/>
  <c r="F6087" i="1"/>
  <c r="H6087" i="1"/>
  <c r="I6087" i="1" a="1"/>
  <c r="I6087" i="1" s="1"/>
  <c r="D6088" i="1"/>
  <c r="F6088" i="1"/>
  <c r="H6088" i="1"/>
  <c r="I6088" i="1" a="1"/>
  <c r="I6088" i="1" s="1"/>
  <c r="D6089" i="1"/>
  <c r="F6089" i="1"/>
  <c r="H6089" i="1"/>
  <c r="I6089" i="1" a="1"/>
  <c r="I6089" i="1" s="1"/>
  <c r="D6090" i="1"/>
  <c r="F6090" i="1"/>
  <c r="H6090" i="1"/>
  <c r="I6090" i="1" a="1"/>
  <c r="I6090" i="1" s="1"/>
  <c r="D6091" i="1"/>
  <c r="F6091" i="1"/>
  <c r="H6091" i="1"/>
  <c r="I6091" i="1" a="1"/>
  <c r="I6091" i="1" s="1"/>
  <c r="D6092" i="1"/>
  <c r="F6092" i="1"/>
  <c r="H6092" i="1"/>
  <c r="I6092" i="1" a="1"/>
  <c r="I6092" i="1" s="1"/>
  <c r="D6093" i="1"/>
  <c r="F6093" i="1"/>
  <c r="H6093" i="1"/>
  <c r="I6093" i="1" a="1"/>
  <c r="I6093" i="1" s="1"/>
  <c r="D6094" i="1"/>
  <c r="F6094" i="1"/>
  <c r="H6094" i="1"/>
  <c r="I6094" i="1" a="1"/>
  <c r="I6094" i="1" s="1"/>
  <c r="D6095" i="1"/>
  <c r="F6095" i="1"/>
  <c r="H6095" i="1"/>
  <c r="I6095" i="1" a="1"/>
  <c r="I6095" i="1" s="1"/>
  <c r="D6096" i="1"/>
  <c r="F6096" i="1"/>
  <c r="H6096" i="1"/>
  <c r="I6096" i="1" a="1"/>
  <c r="I6096" i="1" s="1"/>
  <c r="D6097" i="1"/>
  <c r="F6097" i="1"/>
  <c r="H6097" i="1"/>
  <c r="I6097" i="1" a="1"/>
  <c r="I6097" i="1" s="1"/>
  <c r="D6098" i="1"/>
  <c r="F6098" i="1"/>
  <c r="H6098" i="1"/>
  <c r="I6098" i="1" a="1"/>
  <c r="I6098" i="1" s="1"/>
  <c r="D6099" i="1"/>
  <c r="F6099" i="1"/>
  <c r="H6099" i="1"/>
  <c r="I6099" i="1" a="1"/>
  <c r="I6099" i="1" s="1"/>
  <c r="D6100" i="1"/>
  <c r="F6100" i="1"/>
  <c r="H6100" i="1"/>
  <c r="I6100" i="1" a="1"/>
  <c r="I6100" i="1" s="1"/>
  <c r="D6101" i="1"/>
  <c r="F6101" i="1"/>
  <c r="H6101" i="1"/>
  <c r="I6101" i="1" a="1"/>
  <c r="I6101" i="1" s="1"/>
  <c r="D6102" i="1"/>
  <c r="F6102" i="1"/>
  <c r="H6102" i="1"/>
  <c r="I6102" i="1" a="1"/>
  <c r="I6102" i="1" s="1"/>
  <c r="D6103" i="1"/>
  <c r="F6103" i="1"/>
  <c r="H6103" i="1"/>
  <c r="I6103" i="1" a="1"/>
  <c r="I6103" i="1" s="1"/>
  <c r="D6104" i="1"/>
  <c r="F6104" i="1"/>
  <c r="H6104" i="1"/>
  <c r="I6104" i="1" a="1"/>
  <c r="I6104" i="1" s="1"/>
  <c r="D6105" i="1"/>
  <c r="F6105" i="1"/>
  <c r="H6105" i="1"/>
  <c r="I6105" i="1" a="1"/>
  <c r="I6105" i="1" s="1"/>
  <c r="D6106" i="1"/>
  <c r="F6106" i="1"/>
  <c r="H6106" i="1"/>
  <c r="I6106" i="1" a="1"/>
  <c r="I6106" i="1" s="1"/>
  <c r="D6107" i="1"/>
  <c r="F6107" i="1"/>
  <c r="H6107" i="1"/>
  <c r="I6107" i="1" a="1"/>
  <c r="I6107" i="1" s="1"/>
  <c r="D6108" i="1"/>
  <c r="F6108" i="1"/>
  <c r="H6108" i="1"/>
  <c r="I6108" i="1" a="1"/>
  <c r="I6108" i="1" s="1"/>
  <c r="D6109" i="1"/>
  <c r="F6109" i="1"/>
  <c r="H6109" i="1"/>
  <c r="I6109" i="1" a="1"/>
  <c r="I6109" i="1" s="1"/>
  <c r="D6110" i="1"/>
  <c r="F6110" i="1"/>
  <c r="H6110" i="1"/>
  <c r="I6110" i="1" a="1"/>
  <c r="I6110" i="1" s="1"/>
  <c r="D6111" i="1"/>
  <c r="F6111" i="1"/>
  <c r="H6111" i="1"/>
  <c r="I6111" i="1" a="1"/>
  <c r="I6111" i="1" s="1"/>
  <c r="D6112" i="1"/>
  <c r="F6112" i="1"/>
  <c r="H6112" i="1"/>
  <c r="I6112" i="1" a="1"/>
  <c r="I6112" i="1" s="1"/>
  <c r="D6113" i="1"/>
  <c r="F6113" i="1"/>
  <c r="H6113" i="1"/>
  <c r="I6113" i="1" a="1"/>
  <c r="I6113" i="1" s="1"/>
  <c r="D6114" i="1"/>
  <c r="F6114" i="1"/>
  <c r="H6114" i="1"/>
  <c r="I6114" i="1" a="1"/>
  <c r="I6114" i="1" s="1"/>
  <c r="D6115" i="1"/>
  <c r="F6115" i="1"/>
  <c r="H6115" i="1"/>
  <c r="I6115" i="1" a="1"/>
  <c r="I6115" i="1" s="1"/>
  <c r="D6116" i="1"/>
  <c r="F6116" i="1"/>
  <c r="H6116" i="1"/>
  <c r="I6116" i="1" a="1"/>
  <c r="I6116" i="1" s="1"/>
  <c r="D6117" i="1"/>
  <c r="F6117" i="1"/>
  <c r="H6117" i="1"/>
  <c r="I6117" i="1" a="1"/>
  <c r="I6117" i="1" s="1"/>
  <c r="D6118" i="1"/>
  <c r="F6118" i="1"/>
  <c r="H6118" i="1"/>
  <c r="I6118" i="1" a="1"/>
  <c r="I6118" i="1" s="1"/>
  <c r="D6119" i="1"/>
  <c r="F6119" i="1"/>
  <c r="H6119" i="1"/>
  <c r="I6119" i="1" a="1"/>
  <c r="I6119" i="1" s="1"/>
  <c r="D6120" i="1"/>
  <c r="F6120" i="1"/>
  <c r="H6120" i="1"/>
  <c r="I6120" i="1" a="1"/>
  <c r="I6120" i="1" s="1"/>
  <c r="D6121" i="1"/>
  <c r="F6121" i="1"/>
  <c r="H6121" i="1"/>
  <c r="I6121" i="1" a="1"/>
  <c r="I6121" i="1" s="1"/>
  <c r="D6122" i="1"/>
  <c r="F6122" i="1"/>
  <c r="H6122" i="1"/>
  <c r="I6122" i="1" a="1"/>
  <c r="I6122" i="1" s="1"/>
  <c r="D6123" i="1"/>
  <c r="F6123" i="1"/>
  <c r="H6123" i="1"/>
  <c r="I6123" i="1" a="1"/>
  <c r="I6123" i="1" s="1"/>
  <c r="D6124" i="1"/>
  <c r="F6124" i="1"/>
  <c r="H6124" i="1"/>
  <c r="I6124" i="1" a="1"/>
  <c r="I6124" i="1" s="1"/>
  <c r="D6125" i="1"/>
  <c r="F6125" i="1"/>
  <c r="H6125" i="1"/>
  <c r="I6125" i="1" a="1"/>
  <c r="I6125" i="1" s="1"/>
  <c r="D6126" i="1"/>
  <c r="F6126" i="1"/>
  <c r="H6126" i="1"/>
  <c r="I6126" i="1" a="1"/>
  <c r="I6126" i="1" s="1"/>
  <c r="D6127" i="1"/>
  <c r="F6127" i="1"/>
  <c r="H6127" i="1"/>
  <c r="I6127" i="1" a="1"/>
  <c r="I6127" i="1" s="1"/>
  <c r="D6128" i="1"/>
  <c r="F6128" i="1"/>
  <c r="H6128" i="1"/>
  <c r="I6128" i="1" a="1"/>
  <c r="I6128" i="1" s="1"/>
  <c r="D6129" i="1"/>
  <c r="F6129" i="1"/>
  <c r="H6129" i="1"/>
  <c r="I6129" i="1" a="1"/>
  <c r="I6129" i="1" s="1"/>
  <c r="D6130" i="1"/>
  <c r="F6130" i="1"/>
  <c r="H6130" i="1"/>
  <c r="I6130" i="1" a="1"/>
  <c r="I6130" i="1" s="1"/>
  <c r="D6131" i="1"/>
  <c r="F6131" i="1"/>
  <c r="H6131" i="1"/>
  <c r="I6131" i="1" a="1"/>
  <c r="I6131" i="1" s="1"/>
  <c r="D6132" i="1"/>
  <c r="F6132" i="1"/>
  <c r="H6132" i="1"/>
  <c r="I6132" i="1" a="1"/>
  <c r="I6132" i="1" s="1"/>
  <c r="D6133" i="1"/>
  <c r="F6133" i="1"/>
  <c r="H6133" i="1"/>
  <c r="I6133" i="1" a="1"/>
  <c r="I6133" i="1" s="1"/>
  <c r="D6134" i="1"/>
  <c r="F6134" i="1"/>
  <c r="H6134" i="1"/>
  <c r="I6134" i="1" a="1"/>
  <c r="I6134" i="1" s="1"/>
  <c r="D6135" i="1"/>
  <c r="F6135" i="1"/>
  <c r="H6135" i="1"/>
  <c r="I6135" i="1" a="1"/>
  <c r="I6135" i="1" s="1"/>
  <c r="D6136" i="1"/>
  <c r="F6136" i="1"/>
  <c r="H6136" i="1"/>
  <c r="I6136" i="1" a="1"/>
  <c r="I6136" i="1" s="1"/>
  <c r="D6137" i="1"/>
  <c r="F6137" i="1"/>
  <c r="H6137" i="1"/>
  <c r="I6137" i="1" a="1"/>
  <c r="I6137" i="1" s="1"/>
  <c r="D6138" i="1"/>
  <c r="F6138" i="1"/>
  <c r="H6138" i="1"/>
  <c r="I6138" i="1" a="1"/>
  <c r="I6138" i="1" s="1"/>
  <c r="D6139" i="1"/>
  <c r="F6139" i="1"/>
  <c r="H6139" i="1"/>
  <c r="I6139" i="1" a="1"/>
  <c r="I6139" i="1" s="1"/>
  <c r="D6140" i="1"/>
  <c r="F6140" i="1"/>
  <c r="H6140" i="1"/>
  <c r="I6140" i="1" a="1"/>
  <c r="I6140" i="1" s="1"/>
  <c r="D6141" i="1"/>
  <c r="F6141" i="1"/>
  <c r="H6141" i="1"/>
  <c r="I6141" i="1" a="1"/>
  <c r="I6141" i="1" s="1"/>
  <c r="D6142" i="1"/>
  <c r="F6142" i="1"/>
  <c r="H6142" i="1"/>
  <c r="I6142" i="1" a="1"/>
  <c r="I6142" i="1" s="1"/>
  <c r="D6143" i="1"/>
  <c r="F6143" i="1"/>
  <c r="H6143" i="1"/>
  <c r="I6143" i="1" a="1"/>
  <c r="I6143" i="1" s="1"/>
  <c r="D6144" i="1"/>
  <c r="F6144" i="1"/>
  <c r="H6144" i="1"/>
  <c r="I6144" i="1" a="1"/>
  <c r="I6144" i="1" s="1"/>
  <c r="D6145" i="1"/>
  <c r="F6145" i="1"/>
  <c r="H6145" i="1"/>
  <c r="I6145" i="1" a="1"/>
  <c r="I6145" i="1" s="1"/>
  <c r="D6146" i="1"/>
  <c r="F6146" i="1"/>
  <c r="H6146" i="1"/>
  <c r="I6146" i="1" a="1"/>
  <c r="I6146" i="1" s="1"/>
  <c r="D6147" i="1"/>
  <c r="F6147" i="1"/>
  <c r="H6147" i="1"/>
  <c r="I6147" i="1" a="1"/>
  <c r="I6147" i="1" s="1"/>
  <c r="D6148" i="1"/>
  <c r="F6148" i="1"/>
  <c r="H6148" i="1"/>
  <c r="I6148" i="1" a="1"/>
  <c r="I6148" i="1" s="1"/>
  <c r="D6149" i="1"/>
  <c r="F6149" i="1"/>
  <c r="H6149" i="1"/>
  <c r="I6149" i="1" a="1"/>
  <c r="I6149" i="1" s="1"/>
  <c r="D6150" i="1"/>
  <c r="F6150" i="1"/>
  <c r="H6150" i="1"/>
  <c r="I6150" i="1" a="1"/>
  <c r="I6150" i="1" s="1"/>
  <c r="D6151" i="1"/>
  <c r="F6151" i="1"/>
  <c r="H6151" i="1"/>
  <c r="I6151" i="1" a="1"/>
  <c r="I6151" i="1" s="1"/>
  <c r="D6152" i="1"/>
  <c r="F6152" i="1"/>
  <c r="H6152" i="1"/>
  <c r="I6152" i="1" a="1"/>
  <c r="I6152" i="1" s="1"/>
  <c r="D6153" i="1"/>
  <c r="F6153" i="1"/>
  <c r="H6153" i="1"/>
  <c r="I6153" i="1" a="1"/>
  <c r="I6153" i="1" s="1"/>
  <c r="D6154" i="1"/>
  <c r="F6154" i="1"/>
  <c r="H6154" i="1"/>
  <c r="I6154" i="1" a="1"/>
  <c r="I6154" i="1" s="1"/>
  <c r="D6155" i="1"/>
  <c r="F6155" i="1"/>
  <c r="H6155" i="1"/>
  <c r="I6155" i="1" a="1"/>
  <c r="I6155" i="1" s="1"/>
  <c r="D6156" i="1"/>
  <c r="F6156" i="1"/>
  <c r="H6156" i="1"/>
  <c r="I6156" i="1" a="1"/>
  <c r="I6156" i="1" s="1"/>
  <c r="D6157" i="1"/>
  <c r="F6157" i="1"/>
  <c r="H6157" i="1"/>
  <c r="I6157" i="1" a="1"/>
  <c r="I6157" i="1" s="1"/>
  <c r="D6158" i="1"/>
  <c r="F6158" i="1"/>
  <c r="H6158" i="1"/>
  <c r="I6158" i="1" a="1"/>
  <c r="I6158" i="1" s="1"/>
  <c r="D6159" i="1"/>
  <c r="F6159" i="1"/>
  <c r="H6159" i="1"/>
  <c r="I6159" i="1" a="1"/>
  <c r="I6159" i="1" s="1"/>
  <c r="D6160" i="1"/>
  <c r="F6160" i="1"/>
  <c r="H6160" i="1"/>
  <c r="I6160" i="1" a="1"/>
  <c r="I6160" i="1" s="1"/>
  <c r="D6161" i="1"/>
  <c r="F6161" i="1"/>
  <c r="H6161" i="1"/>
  <c r="I6161" i="1" a="1"/>
  <c r="I6161" i="1" s="1"/>
  <c r="D6162" i="1"/>
  <c r="F6162" i="1"/>
  <c r="H6162" i="1"/>
  <c r="I6162" i="1" a="1"/>
  <c r="I6162" i="1" s="1"/>
  <c r="D6163" i="1"/>
  <c r="F6163" i="1"/>
  <c r="H6163" i="1"/>
  <c r="I6163" i="1" a="1"/>
  <c r="I6163" i="1" s="1"/>
  <c r="D6164" i="1"/>
  <c r="F6164" i="1"/>
  <c r="H6164" i="1"/>
  <c r="I6164" i="1" a="1"/>
  <c r="I6164" i="1" s="1"/>
  <c r="D6165" i="1"/>
  <c r="F6165" i="1"/>
  <c r="H6165" i="1"/>
  <c r="I6165" i="1" a="1"/>
  <c r="I6165" i="1" s="1"/>
  <c r="D6166" i="1"/>
  <c r="F6166" i="1"/>
  <c r="H6166" i="1"/>
  <c r="I6166" i="1" a="1"/>
  <c r="I6166" i="1" s="1"/>
  <c r="D6167" i="1"/>
  <c r="F6167" i="1"/>
  <c r="H6167" i="1"/>
  <c r="I6167" i="1" a="1"/>
  <c r="I6167" i="1" s="1"/>
  <c r="D6168" i="1"/>
  <c r="F6168" i="1"/>
  <c r="H6168" i="1"/>
  <c r="I6168" i="1" a="1"/>
  <c r="I6168" i="1" s="1"/>
  <c r="D6169" i="1"/>
  <c r="F6169" i="1"/>
  <c r="H6169" i="1"/>
  <c r="I6169" i="1" a="1"/>
  <c r="I6169" i="1" s="1"/>
  <c r="D6170" i="1"/>
  <c r="F6170" i="1"/>
  <c r="H6170" i="1"/>
  <c r="I6170" i="1" a="1"/>
  <c r="I6170" i="1" s="1"/>
  <c r="D6171" i="1"/>
  <c r="F6171" i="1"/>
  <c r="H6171" i="1"/>
  <c r="I6171" i="1" a="1"/>
  <c r="I6171" i="1" s="1"/>
  <c r="D6172" i="1"/>
  <c r="F6172" i="1"/>
  <c r="H6172" i="1"/>
  <c r="I6172" i="1" a="1"/>
  <c r="I6172" i="1" s="1"/>
  <c r="D6173" i="1"/>
  <c r="F6173" i="1"/>
  <c r="H6173" i="1"/>
  <c r="I6173" i="1" a="1"/>
  <c r="I6173" i="1" s="1"/>
  <c r="D6174" i="1"/>
  <c r="F6174" i="1"/>
  <c r="H6174" i="1"/>
  <c r="I6174" i="1" a="1"/>
  <c r="I6174" i="1" s="1"/>
  <c r="D6175" i="1"/>
  <c r="F6175" i="1"/>
  <c r="H6175" i="1"/>
  <c r="I6175" i="1" a="1"/>
  <c r="I6175" i="1" s="1"/>
  <c r="D6176" i="1"/>
  <c r="F6176" i="1"/>
  <c r="H6176" i="1"/>
  <c r="I6176" i="1" a="1"/>
  <c r="I6176" i="1" s="1"/>
  <c r="D6177" i="1"/>
  <c r="F6177" i="1"/>
  <c r="H6177" i="1"/>
  <c r="I6177" i="1" a="1"/>
  <c r="I6177" i="1" s="1"/>
  <c r="D6178" i="1"/>
  <c r="F6178" i="1"/>
  <c r="H6178" i="1"/>
  <c r="I6178" i="1" a="1"/>
  <c r="I6178" i="1" s="1"/>
  <c r="D6179" i="1"/>
  <c r="F6179" i="1"/>
  <c r="H6179" i="1"/>
  <c r="I6179" i="1" a="1"/>
  <c r="I6179" i="1" s="1"/>
  <c r="D6180" i="1"/>
  <c r="F6180" i="1"/>
  <c r="H6180" i="1"/>
  <c r="I6180" i="1" a="1"/>
  <c r="I6180" i="1" s="1"/>
  <c r="D6181" i="1"/>
  <c r="F6181" i="1"/>
  <c r="H6181" i="1"/>
  <c r="I6181" i="1" a="1"/>
  <c r="I6181" i="1" s="1"/>
  <c r="D6182" i="1"/>
  <c r="F6182" i="1"/>
  <c r="H6182" i="1"/>
  <c r="I6182" i="1" a="1"/>
  <c r="I6182" i="1" s="1"/>
  <c r="D6183" i="1"/>
  <c r="F6183" i="1"/>
  <c r="H6183" i="1"/>
  <c r="I6183" i="1" a="1"/>
  <c r="I6183" i="1" s="1"/>
  <c r="D6184" i="1"/>
  <c r="F6184" i="1"/>
  <c r="H6184" i="1"/>
  <c r="I6184" i="1" a="1"/>
  <c r="I6184" i="1" s="1"/>
  <c r="D6185" i="1"/>
  <c r="F6185" i="1"/>
  <c r="H6185" i="1"/>
  <c r="I6185" i="1" a="1"/>
  <c r="I6185" i="1" s="1"/>
  <c r="D6186" i="1"/>
  <c r="F6186" i="1"/>
  <c r="H6186" i="1"/>
  <c r="I6186" i="1" a="1"/>
  <c r="I6186" i="1" s="1"/>
  <c r="D6187" i="1"/>
  <c r="F6187" i="1"/>
  <c r="H6187" i="1"/>
  <c r="I6187" i="1" a="1"/>
  <c r="I6187" i="1" s="1"/>
  <c r="D6188" i="1"/>
  <c r="F6188" i="1"/>
  <c r="H6188" i="1"/>
  <c r="I6188" i="1" a="1"/>
  <c r="I6188" i="1" s="1"/>
  <c r="D6189" i="1"/>
  <c r="F6189" i="1"/>
  <c r="H6189" i="1"/>
  <c r="I6189" i="1" a="1"/>
  <c r="I6189" i="1" s="1"/>
  <c r="D6190" i="1"/>
  <c r="F6190" i="1"/>
  <c r="H6190" i="1"/>
  <c r="I6190" i="1" a="1"/>
  <c r="I6190" i="1" s="1"/>
  <c r="D6191" i="1"/>
  <c r="F6191" i="1"/>
  <c r="H6191" i="1"/>
  <c r="I6191" i="1" a="1"/>
  <c r="I6191" i="1" s="1"/>
  <c r="D6192" i="1"/>
  <c r="F6192" i="1"/>
  <c r="H6192" i="1"/>
  <c r="I6192" i="1" a="1"/>
  <c r="I6192" i="1" s="1"/>
  <c r="D6193" i="1"/>
  <c r="F6193" i="1"/>
  <c r="H6193" i="1"/>
  <c r="I6193" i="1" a="1"/>
  <c r="I6193" i="1" s="1"/>
  <c r="D6194" i="1"/>
  <c r="F6194" i="1"/>
  <c r="H6194" i="1"/>
  <c r="I6194" i="1" a="1"/>
  <c r="I6194" i="1" s="1"/>
  <c r="D6195" i="1"/>
  <c r="F6195" i="1"/>
  <c r="H6195" i="1"/>
  <c r="I6195" i="1" a="1"/>
  <c r="I6195" i="1" s="1"/>
  <c r="D6196" i="1"/>
  <c r="F6196" i="1"/>
  <c r="H6196" i="1"/>
  <c r="I6196" i="1" a="1"/>
  <c r="I6196" i="1" s="1"/>
  <c r="D6197" i="1"/>
  <c r="F6197" i="1"/>
  <c r="H6197" i="1"/>
  <c r="I6197" i="1" a="1"/>
  <c r="I6197" i="1" s="1"/>
  <c r="D6198" i="1"/>
  <c r="F6198" i="1"/>
  <c r="H6198" i="1"/>
  <c r="I6198" i="1" a="1"/>
  <c r="I6198" i="1" s="1"/>
  <c r="D6199" i="1"/>
  <c r="F6199" i="1"/>
  <c r="H6199" i="1"/>
  <c r="I6199" i="1" a="1"/>
  <c r="I6199" i="1" s="1"/>
  <c r="D6200" i="1"/>
  <c r="F6200" i="1"/>
  <c r="H6200" i="1"/>
  <c r="I6200" i="1" a="1"/>
  <c r="I6200" i="1" s="1"/>
  <c r="D6201" i="1"/>
  <c r="F6201" i="1"/>
  <c r="H6201" i="1"/>
  <c r="I6201" i="1" a="1"/>
  <c r="I6201" i="1" s="1"/>
  <c r="D6202" i="1"/>
  <c r="F6202" i="1"/>
  <c r="H6202" i="1"/>
  <c r="I6202" i="1" a="1"/>
  <c r="I6202" i="1" s="1"/>
  <c r="D6203" i="1"/>
  <c r="F6203" i="1"/>
  <c r="H6203" i="1"/>
  <c r="I6203" i="1" a="1"/>
  <c r="I6203" i="1" s="1"/>
  <c r="D6204" i="1"/>
  <c r="F6204" i="1"/>
  <c r="H6204" i="1"/>
  <c r="I6204" i="1" a="1"/>
  <c r="I6204" i="1" s="1"/>
  <c r="D6205" i="1"/>
  <c r="F6205" i="1"/>
  <c r="H6205" i="1"/>
  <c r="I6205" i="1" a="1"/>
  <c r="I6205" i="1" s="1"/>
  <c r="D6206" i="1"/>
  <c r="F6206" i="1"/>
  <c r="H6206" i="1"/>
  <c r="I6206" i="1" a="1"/>
  <c r="I6206" i="1" s="1"/>
  <c r="D6207" i="1"/>
  <c r="F6207" i="1"/>
  <c r="H6207" i="1"/>
  <c r="I6207" i="1" a="1"/>
  <c r="I6207" i="1" s="1"/>
  <c r="D6208" i="1"/>
  <c r="F6208" i="1"/>
  <c r="H6208" i="1"/>
  <c r="I6208" i="1" a="1"/>
  <c r="I6208" i="1" s="1"/>
  <c r="D6209" i="1"/>
  <c r="F6209" i="1"/>
  <c r="H6209" i="1"/>
  <c r="I6209" i="1" a="1"/>
  <c r="I6209" i="1" s="1"/>
  <c r="D6210" i="1"/>
  <c r="F6210" i="1"/>
  <c r="H6210" i="1"/>
  <c r="I6210" i="1" a="1"/>
  <c r="I6210" i="1" s="1"/>
  <c r="D6211" i="1"/>
  <c r="F6211" i="1"/>
  <c r="H6211" i="1"/>
  <c r="I6211" i="1" a="1"/>
  <c r="I6211" i="1" s="1"/>
  <c r="D6212" i="1"/>
  <c r="F6212" i="1"/>
  <c r="H6212" i="1"/>
  <c r="I6212" i="1" a="1"/>
  <c r="I6212" i="1" s="1"/>
  <c r="D6213" i="1"/>
  <c r="F6213" i="1"/>
  <c r="H6213" i="1"/>
  <c r="I6213" i="1" a="1"/>
  <c r="I6213" i="1" s="1"/>
  <c r="D6214" i="1"/>
  <c r="F6214" i="1"/>
  <c r="H6214" i="1"/>
  <c r="I6214" i="1" a="1"/>
  <c r="I6214" i="1" s="1"/>
  <c r="D6215" i="1"/>
  <c r="F6215" i="1"/>
  <c r="H6215" i="1"/>
  <c r="I6215" i="1" a="1"/>
  <c r="I6215" i="1" s="1"/>
  <c r="D6216" i="1"/>
  <c r="F6216" i="1"/>
  <c r="H6216" i="1"/>
  <c r="I6216" i="1" a="1"/>
  <c r="I6216" i="1" s="1"/>
  <c r="D6217" i="1"/>
  <c r="F6217" i="1"/>
  <c r="H6217" i="1"/>
  <c r="I6217" i="1" a="1"/>
  <c r="I6217" i="1" s="1"/>
  <c r="D6218" i="1"/>
  <c r="F6218" i="1"/>
  <c r="H6218" i="1"/>
  <c r="I6218" i="1" a="1"/>
  <c r="I6218" i="1" s="1"/>
  <c r="D6219" i="1"/>
  <c r="F6219" i="1"/>
  <c r="H6219" i="1"/>
  <c r="I6219" i="1" a="1"/>
  <c r="I6219" i="1" s="1"/>
  <c r="D6220" i="1"/>
  <c r="F6220" i="1"/>
  <c r="H6220" i="1"/>
  <c r="I6220" i="1" a="1"/>
  <c r="I6220" i="1" s="1"/>
  <c r="D6221" i="1"/>
  <c r="F6221" i="1"/>
  <c r="H6221" i="1"/>
  <c r="I6221" i="1" a="1"/>
  <c r="I6221" i="1" s="1"/>
  <c r="D6222" i="1"/>
  <c r="F6222" i="1"/>
  <c r="H6222" i="1"/>
  <c r="I6222" i="1" a="1"/>
  <c r="I6222" i="1" s="1"/>
  <c r="D6223" i="1"/>
  <c r="F6223" i="1"/>
  <c r="H6223" i="1"/>
  <c r="I6223" i="1" a="1"/>
  <c r="I6223" i="1" s="1"/>
  <c r="D6224" i="1"/>
  <c r="F6224" i="1"/>
  <c r="H6224" i="1"/>
  <c r="I6224" i="1" a="1"/>
  <c r="I6224" i="1" s="1"/>
  <c r="D6225" i="1"/>
  <c r="F6225" i="1"/>
  <c r="H6225" i="1"/>
  <c r="I6225" i="1" a="1"/>
  <c r="I6225" i="1" s="1"/>
  <c r="D6226" i="1"/>
  <c r="F6226" i="1"/>
  <c r="H6226" i="1"/>
  <c r="I6226" i="1" a="1"/>
  <c r="I6226" i="1" s="1"/>
  <c r="D6227" i="1"/>
  <c r="F6227" i="1"/>
  <c r="H6227" i="1"/>
  <c r="I6227" i="1" a="1"/>
  <c r="I6227" i="1" s="1"/>
  <c r="D6228" i="1"/>
  <c r="F6228" i="1"/>
  <c r="H6228" i="1"/>
  <c r="I6228" i="1" a="1"/>
  <c r="I6228" i="1" s="1"/>
  <c r="D6229" i="1"/>
  <c r="F6229" i="1"/>
  <c r="H6229" i="1"/>
  <c r="I6229" i="1" a="1"/>
  <c r="I6229" i="1" s="1"/>
  <c r="D6230" i="1"/>
  <c r="F6230" i="1"/>
  <c r="H6230" i="1"/>
  <c r="I6230" i="1" a="1"/>
  <c r="I6230" i="1" s="1"/>
  <c r="D6231" i="1"/>
  <c r="F6231" i="1"/>
  <c r="H6231" i="1"/>
  <c r="I6231" i="1" a="1"/>
  <c r="I6231" i="1" s="1"/>
  <c r="D6232" i="1"/>
  <c r="F6232" i="1"/>
  <c r="H6232" i="1"/>
  <c r="I6232" i="1" a="1"/>
  <c r="I6232" i="1" s="1"/>
  <c r="D6233" i="1"/>
  <c r="F6233" i="1"/>
  <c r="H6233" i="1"/>
  <c r="I6233" i="1" a="1"/>
  <c r="I6233" i="1" s="1"/>
  <c r="D6234" i="1"/>
  <c r="F6234" i="1"/>
  <c r="H6234" i="1"/>
  <c r="I6234" i="1" a="1"/>
  <c r="I6234" i="1" s="1"/>
  <c r="D6235" i="1"/>
  <c r="F6235" i="1"/>
  <c r="H6235" i="1"/>
  <c r="I6235" i="1" a="1"/>
  <c r="I6235" i="1" s="1"/>
  <c r="D6236" i="1"/>
  <c r="F6236" i="1"/>
  <c r="H6236" i="1"/>
  <c r="I6236" i="1" a="1"/>
  <c r="I6236" i="1" s="1"/>
  <c r="D6237" i="1"/>
  <c r="F6237" i="1"/>
  <c r="H6237" i="1"/>
  <c r="I6237" i="1" a="1"/>
  <c r="I6237" i="1" s="1"/>
  <c r="D6238" i="1"/>
  <c r="F6238" i="1"/>
  <c r="H6238" i="1"/>
  <c r="I6238" i="1" a="1"/>
  <c r="I6238" i="1" s="1"/>
  <c r="D6239" i="1"/>
  <c r="F6239" i="1"/>
  <c r="H6239" i="1"/>
  <c r="I6239" i="1" a="1"/>
  <c r="I6239" i="1" s="1"/>
  <c r="D6240" i="1"/>
  <c r="F6240" i="1"/>
  <c r="H6240" i="1"/>
  <c r="I6240" i="1" a="1"/>
  <c r="I6240" i="1" s="1"/>
  <c r="D6241" i="1"/>
  <c r="F6241" i="1"/>
  <c r="H6241" i="1"/>
  <c r="I6241" i="1" a="1"/>
  <c r="I6241" i="1" s="1"/>
  <c r="D6242" i="1"/>
  <c r="F6242" i="1"/>
  <c r="H6242" i="1"/>
  <c r="I6242" i="1" a="1"/>
  <c r="I6242" i="1" s="1"/>
  <c r="D6243" i="1"/>
  <c r="F6243" i="1"/>
  <c r="H6243" i="1"/>
  <c r="I6243" i="1" a="1"/>
  <c r="I6243" i="1" s="1"/>
  <c r="D6244" i="1"/>
  <c r="F6244" i="1"/>
  <c r="H6244" i="1"/>
  <c r="I6244" i="1" a="1"/>
  <c r="I6244" i="1" s="1"/>
  <c r="D6245" i="1"/>
  <c r="F6245" i="1"/>
  <c r="H6245" i="1"/>
  <c r="I6245" i="1" a="1"/>
  <c r="I6245" i="1" s="1"/>
  <c r="D6246" i="1"/>
  <c r="F6246" i="1"/>
  <c r="H6246" i="1"/>
  <c r="I6246" i="1" a="1"/>
  <c r="I6246" i="1" s="1"/>
  <c r="D6247" i="1"/>
  <c r="F6247" i="1"/>
  <c r="H6247" i="1"/>
  <c r="I6247" i="1" a="1"/>
  <c r="I6247" i="1" s="1"/>
  <c r="D6248" i="1"/>
  <c r="F6248" i="1"/>
  <c r="H6248" i="1"/>
  <c r="I6248" i="1" a="1"/>
  <c r="I6248" i="1" s="1"/>
  <c r="D6249" i="1"/>
  <c r="F6249" i="1"/>
  <c r="H6249" i="1"/>
  <c r="I6249" i="1" a="1"/>
  <c r="I6249" i="1" s="1"/>
  <c r="D6250" i="1"/>
  <c r="F6250" i="1"/>
  <c r="H6250" i="1"/>
  <c r="I6250" i="1" a="1"/>
  <c r="I6250" i="1" s="1"/>
  <c r="D6251" i="1"/>
  <c r="F6251" i="1"/>
  <c r="H6251" i="1"/>
  <c r="I6251" i="1" a="1"/>
  <c r="I6251" i="1" s="1"/>
  <c r="D6252" i="1"/>
  <c r="F6252" i="1"/>
  <c r="H6252" i="1"/>
  <c r="I6252" i="1" a="1"/>
  <c r="I6252" i="1" s="1"/>
  <c r="D6253" i="1"/>
  <c r="F6253" i="1"/>
  <c r="H6253" i="1"/>
  <c r="I6253" i="1" a="1"/>
  <c r="I6253" i="1" s="1"/>
  <c r="D6254" i="1"/>
  <c r="F6254" i="1"/>
  <c r="H6254" i="1"/>
  <c r="I6254" i="1" a="1"/>
  <c r="I6254" i="1" s="1"/>
  <c r="D6255" i="1"/>
  <c r="F6255" i="1"/>
  <c r="H6255" i="1"/>
  <c r="I6255" i="1" a="1"/>
  <c r="I6255" i="1" s="1"/>
  <c r="D6256" i="1"/>
  <c r="F6256" i="1"/>
  <c r="H6256" i="1"/>
  <c r="I6256" i="1" a="1"/>
  <c r="I6256" i="1" s="1"/>
  <c r="D6257" i="1"/>
  <c r="F6257" i="1"/>
  <c r="H6257" i="1"/>
  <c r="I6257" i="1" a="1"/>
  <c r="I6257" i="1" s="1"/>
  <c r="D6258" i="1"/>
  <c r="F6258" i="1"/>
  <c r="H6258" i="1"/>
  <c r="I6258" i="1" a="1"/>
  <c r="I6258" i="1" s="1"/>
  <c r="D6259" i="1"/>
  <c r="F6259" i="1"/>
  <c r="H6259" i="1"/>
  <c r="I6259" i="1" a="1"/>
  <c r="I6259" i="1" s="1"/>
  <c r="D6260" i="1"/>
  <c r="F6260" i="1"/>
  <c r="H6260" i="1"/>
  <c r="I6260" i="1" a="1"/>
  <c r="I6260" i="1" s="1"/>
  <c r="D6261" i="1"/>
  <c r="F6261" i="1"/>
  <c r="H6261" i="1"/>
  <c r="I6261" i="1" a="1"/>
  <c r="I6261" i="1" s="1"/>
  <c r="D6262" i="1"/>
  <c r="F6262" i="1"/>
  <c r="H6262" i="1"/>
  <c r="I6262" i="1" a="1"/>
  <c r="I6262" i="1" s="1"/>
  <c r="D6263" i="1"/>
  <c r="F6263" i="1"/>
  <c r="H6263" i="1"/>
  <c r="I6263" i="1" a="1"/>
  <c r="I6263" i="1" s="1"/>
  <c r="D6264" i="1"/>
  <c r="F6264" i="1"/>
  <c r="H6264" i="1"/>
  <c r="I6264" i="1" a="1"/>
  <c r="I6264" i="1" s="1"/>
  <c r="D6265" i="1"/>
  <c r="F6265" i="1"/>
  <c r="H6265" i="1"/>
  <c r="I6265" i="1" a="1"/>
  <c r="I6265" i="1" s="1"/>
  <c r="D6266" i="1"/>
  <c r="F6266" i="1"/>
  <c r="H6266" i="1"/>
  <c r="I6266" i="1" a="1"/>
  <c r="I6266" i="1" s="1"/>
  <c r="D6267" i="1"/>
  <c r="F6267" i="1"/>
  <c r="H6267" i="1"/>
  <c r="I6267" i="1" a="1"/>
  <c r="I6267" i="1" s="1"/>
  <c r="D6268" i="1"/>
  <c r="F6268" i="1"/>
  <c r="H6268" i="1"/>
  <c r="I6268" i="1" a="1"/>
  <c r="I6268" i="1" s="1"/>
  <c r="D6269" i="1"/>
  <c r="F6269" i="1"/>
  <c r="H6269" i="1"/>
  <c r="I6269" i="1" a="1"/>
  <c r="I6269" i="1" s="1"/>
  <c r="D6270" i="1"/>
  <c r="F6270" i="1"/>
  <c r="H6270" i="1"/>
  <c r="I6270" i="1" a="1"/>
  <c r="I6270" i="1" s="1"/>
  <c r="D6271" i="1"/>
  <c r="F6271" i="1"/>
  <c r="H6271" i="1"/>
  <c r="I6271" i="1" a="1"/>
  <c r="I6271" i="1" s="1"/>
  <c r="D6272" i="1"/>
  <c r="F6272" i="1"/>
  <c r="H6272" i="1"/>
  <c r="I6272" i="1" a="1"/>
  <c r="I6272" i="1" s="1"/>
  <c r="D6273" i="1"/>
  <c r="F6273" i="1"/>
  <c r="H6273" i="1"/>
  <c r="I6273" i="1" a="1"/>
  <c r="I6273" i="1" s="1"/>
  <c r="D6274" i="1"/>
  <c r="F6274" i="1"/>
  <c r="H6274" i="1"/>
  <c r="I6274" i="1" a="1"/>
  <c r="I6274" i="1" s="1"/>
  <c r="D6275" i="1"/>
  <c r="F6275" i="1"/>
  <c r="H6275" i="1"/>
  <c r="I6275" i="1" a="1"/>
  <c r="I6275" i="1" s="1"/>
  <c r="D6276" i="1"/>
  <c r="F6276" i="1"/>
  <c r="H6276" i="1"/>
  <c r="I6276" i="1" a="1"/>
  <c r="I6276" i="1" s="1"/>
  <c r="D6277" i="1"/>
  <c r="F6277" i="1"/>
  <c r="H6277" i="1"/>
  <c r="I6277" i="1" a="1"/>
  <c r="I6277" i="1" s="1"/>
  <c r="D6278" i="1"/>
  <c r="F6278" i="1"/>
  <c r="H6278" i="1"/>
  <c r="I6278" i="1" a="1"/>
  <c r="I6278" i="1" s="1"/>
  <c r="D6279" i="1"/>
  <c r="F6279" i="1"/>
  <c r="H6279" i="1"/>
  <c r="I6279" i="1" a="1"/>
  <c r="I6279" i="1" s="1"/>
  <c r="D6280" i="1"/>
  <c r="F6280" i="1"/>
  <c r="H6280" i="1"/>
  <c r="I6280" i="1" a="1"/>
  <c r="I6280" i="1" s="1"/>
  <c r="D6281" i="1"/>
  <c r="F6281" i="1"/>
  <c r="H6281" i="1"/>
  <c r="I6281" i="1" a="1"/>
  <c r="I6281" i="1" s="1"/>
  <c r="D6282" i="1"/>
  <c r="F6282" i="1"/>
  <c r="H6282" i="1"/>
  <c r="I6282" i="1" a="1"/>
  <c r="I6282" i="1" s="1"/>
  <c r="D6283" i="1"/>
  <c r="F6283" i="1"/>
  <c r="H6283" i="1"/>
  <c r="I6283" i="1" a="1"/>
  <c r="I6283" i="1" s="1"/>
  <c r="D6284" i="1"/>
  <c r="F6284" i="1"/>
  <c r="H6284" i="1"/>
  <c r="I6284" i="1" a="1"/>
  <c r="I6284" i="1" s="1"/>
  <c r="D6285" i="1"/>
  <c r="F6285" i="1"/>
  <c r="H6285" i="1"/>
  <c r="I6285" i="1" a="1"/>
  <c r="I6285" i="1" s="1"/>
  <c r="D6286" i="1"/>
  <c r="F6286" i="1"/>
  <c r="H6286" i="1"/>
  <c r="I6286" i="1" a="1"/>
  <c r="I6286" i="1" s="1"/>
  <c r="D6287" i="1"/>
  <c r="F6287" i="1"/>
  <c r="H6287" i="1"/>
  <c r="I6287" i="1" a="1"/>
  <c r="I6287" i="1" s="1"/>
  <c r="D6288" i="1"/>
  <c r="F6288" i="1"/>
  <c r="H6288" i="1"/>
  <c r="I6288" i="1" a="1"/>
  <c r="I6288" i="1" s="1"/>
  <c r="D6289" i="1"/>
  <c r="F6289" i="1"/>
  <c r="H6289" i="1"/>
  <c r="I6289" i="1" a="1"/>
  <c r="I6289" i="1" s="1"/>
  <c r="D6290" i="1"/>
  <c r="F6290" i="1"/>
  <c r="H6290" i="1"/>
  <c r="I6290" i="1" a="1"/>
  <c r="I6290" i="1" s="1"/>
  <c r="D6291" i="1"/>
  <c r="F6291" i="1"/>
  <c r="H6291" i="1"/>
  <c r="I6291" i="1" a="1"/>
  <c r="I6291" i="1" s="1"/>
  <c r="D6292" i="1"/>
  <c r="F6292" i="1"/>
  <c r="H6292" i="1"/>
  <c r="I6292" i="1" a="1"/>
  <c r="I6292" i="1" s="1"/>
  <c r="D6293" i="1"/>
  <c r="F6293" i="1"/>
  <c r="H6293" i="1"/>
  <c r="I6293" i="1" a="1"/>
  <c r="I6293" i="1" s="1"/>
  <c r="D6294" i="1"/>
  <c r="F6294" i="1"/>
  <c r="H6294" i="1"/>
  <c r="I6294" i="1" a="1"/>
  <c r="I6294" i="1" s="1"/>
  <c r="D6295" i="1"/>
  <c r="F6295" i="1"/>
  <c r="H6295" i="1"/>
  <c r="I6295" i="1" a="1"/>
  <c r="I6295" i="1" s="1"/>
  <c r="D6296" i="1"/>
  <c r="F6296" i="1"/>
  <c r="H6296" i="1"/>
  <c r="I6296" i="1" a="1"/>
  <c r="I6296" i="1" s="1"/>
  <c r="D6297" i="1"/>
  <c r="F6297" i="1"/>
  <c r="H6297" i="1"/>
  <c r="I6297" i="1" a="1"/>
  <c r="I6297" i="1" s="1"/>
  <c r="D6298" i="1"/>
  <c r="F6298" i="1"/>
  <c r="H6298" i="1"/>
  <c r="I6298" i="1" a="1"/>
  <c r="I6298" i="1" s="1"/>
  <c r="D6299" i="1"/>
  <c r="F6299" i="1"/>
  <c r="H6299" i="1"/>
  <c r="I6299" i="1" a="1"/>
  <c r="I6299" i="1" s="1"/>
  <c r="D6300" i="1"/>
  <c r="F6300" i="1"/>
  <c r="H6300" i="1"/>
  <c r="I6300" i="1" a="1"/>
  <c r="I6300" i="1" s="1"/>
  <c r="D6301" i="1"/>
  <c r="F6301" i="1"/>
  <c r="H6301" i="1"/>
  <c r="I6301" i="1" a="1"/>
  <c r="I6301" i="1" s="1"/>
  <c r="D6302" i="1"/>
  <c r="F6302" i="1"/>
  <c r="H6302" i="1"/>
  <c r="I6302" i="1" a="1"/>
  <c r="I6302" i="1" s="1"/>
  <c r="D6303" i="1"/>
  <c r="F6303" i="1"/>
  <c r="H6303" i="1"/>
  <c r="I6303" i="1" a="1"/>
  <c r="I6303" i="1" s="1"/>
  <c r="D6304" i="1"/>
  <c r="F6304" i="1"/>
  <c r="H6304" i="1"/>
  <c r="I6304" i="1" a="1"/>
  <c r="I6304" i="1" s="1"/>
  <c r="D6305" i="1"/>
  <c r="F6305" i="1"/>
  <c r="H6305" i="1"/>
  <c r="I6305" i="1" a="1"/>
  <c r="I6305" i="1" s="1"/>
  <c r="D6306" i="1"/>
  <c r="F6306" i="1"/>
  <c r="H6306" i="1"/>
  <c r="I6306" i="1" a="1"/>
  <c r="I6306" i="1" s="1"/>
  <c r="D6307" i="1"/>
  <c r="F6307" i="1"/>
  <c r="H6307" i="1"/>
  <c r="I6307" i="1" a="1"/>
  <c r="I6307" i="1" s="1"/>
  <c r="D6308" i="1"/>
  <c r="F6308" i="1"/>
  <c r="H6308" i="1"/>
  <c r="I6308" i="1" a="1"/>
  <c r="I6308" i="1" s="1"/>
  <c r="D6309" i="1"/>
  <c r="F6309" i="1"/>
  <c r="H6309" i="1"/>
  <c r="I6309" i="1" a="1"/>
  <c r="I6309" i="1" s="1"/>
  <c r="D6310" i="1"/>
  <c r="F6310" i="1"/>
  <c r="H6310" i="1"/>
  <c r="I6310" i="1" a="1"/>
  <c r="I6310" i="1" s="1"/>
  <c r="D6311" i="1"/>
  <c r="F6311" i="1"/>
  <c r="H6311" i="1"/>
  <c r="I6311" i="1" a="1"/>
  <c r="I6311" i="1" s="1"/>
  <c r="D6312" i="1"/>
  <c r="F6312" i="1"/>
  <c r="H6312" i="1"/>
  <c r="I6312" i="1" a="1"/>
  <c r="I6312" i="1" s="1"/>
  <c r="D6313" i="1"/>
  <c r="F6313" i="1"/>
  <c r="H6313" i="1"/>
  <c r="I6313" i="1" a="1"/>
  <c r="I6313" i="1" s="1"/>
  <c r="D6314" i="1"/>
  <c r="F6314" i="1"/>
  <c r="H6314" i="1"/>
  <c r="I6314" i="1" a="1"/>
  <c r="I6314" i="1" s="1"/>
  <c r="D6315" i="1"/>
  <c r="F6315" i="1"/>
  <c r="H6315" i="1"/>
  <c r="I6315" i="1" a="1"/>
  <c r="I6315" i="1" s="1"/>
  <c r="D6316" i="1"/>
  <c r="F6316" i="1"/>
  <c r="H6316" i="1"/>
  <c r="I6316" i="1" a="1"/>
  <c r="I6316" i="1" s="1"/>
  <c r="D6317" i="1"/>
  <c r="F6317" i="1"/>
  <c r="H6317" i="1"/>
  <c r="I6317" i="1" a="1"/>
  <c r="I6317" i="1" s="1"/>
  <c r="D6318" i="1"/>
  <c r="F6318" i="1"/>
  <c r="H6318" i="1"/>
  <c r="I6318" i="1" a="1"/>
  <c r="I6318" i="1" s="1"/>
  <c r="D6319" i="1"/>
  <c r="F6319" i="1"/>
  <c r="H6319" i="1"/>
  <c r="I6319" i="1" a="1"/>
  <c r="I6319" i="1" s="1"/>
  <c r="D6320" i="1"/>
  <c r="F6320" i="1"/>
  <c r="H6320" i="1"/>
  <c r="I6320" i="1" a="1"/>
  <c r="I6320" i="1" s="1"/>
  <c r="D6321" i="1"/>
  <c r="F6321" i="1"/>
  <c r="H6321" i="1"/>
  <c r="I6321" i="1" a="1"/>
  <c r="I6321" i="1" s="1"/>
  <c r="D6322" i="1"/>
  <c r="F6322" i="1"/>
  <c r="H6322" i="1"/>
  <c r="I6322" i="1" a="1"/>
  <c r="I6322" i="1" s="1"/>
  <c r="D6323" i="1"/>
  <c r="F6323" i="1"/>
  <c r="H6323" i="1"/>
  <c r="I6323" i="1" a="1"/>
  <c r="I6323" i="1" s="1"/>
  <c r="D6324" i="1"/>
  <c r="F6324" i="1"/>
  <c r="H6324" i="1"/>
  <c r="I6324" i="1" a="1"/>
  <c r="I6324" i="1" s="1"/>
  <c r="D6325" i="1"/>
  <c r="F6325" i="1"/>
  <c r="H6325" i="1"/>
  <c r="I6325" i="1" a="1"/>
  <c r="I6325" i="1" s="1"/>
  <c r="D6326" i="1"/>
  <c r="F6326" i="1"/>
  <c r="H6326" i="1"/>
  <c r="I6326" i="1" a="1"/>
  <c r="I6326" i="1" s="1"/>
  <c r="D6327" i="1"/>
  <c r="F6327" i="1"/>
  <c r="H6327" i="1"/>
  <c r="I6327" i="1" a="1"/>
  <c r="I6327" i="1" s="1"/>
  <c r="D6328" i="1"/>
  <c r="F6328" i="1"/>
  <c r="H6328" i="1"/>
  <c r="I6328" i="1" a="1"/>
  <c r="I6328" i="1" s="1"/>
  <c r="D6329" i="1"/>
  <c r="F6329" i="1"/>
  <c r="H6329" i="1"/>
  <c r="I6329" i="1" a="1"/>
  <c r="I6329" i="1" s="1"/>
  <c r="D6330" i="1"/>
  <c r="F6330" i="1"/>
  <c r="H6330" i="1"/>
  <c r="I6330" i="1" a="1"/>
  <c r="I6330" i="1" s="1"/>
  <c r="D6331" i="1"/>
  <c r="F6331" i="1"/>
  <c r="H6331" i="1"/>
  <c r="I6331" i="1" a="1"/>
  <c r="I6331" i="1" s="1"/>
  <c r="D6332" i="1"/>
  <c r="F6332" i="1"/>
  <c r="H6332" i="1"/>
  <c r="I6332" i="1" a="1"/>
  <c r="I6332" i="1" s="1"/>
  <c r="D6333" i="1"/>
  <c r="F6333" i="1"/>
  <c r="H6333" i="1"/>
  <c r="I6333" i="1" a="1"/>
  <c r="I6333" i="1" s="1"/>
  <c r="D6334" i="1"/>
  <c r="F6334" i="1"/>
  <c r="H6334" i="1"/>
  <c r="I6334" i="1" a="1"/>
  <c r="I6334" i="1" s="1"/>
  <c r="D6335" i="1"/>
  <c r="F6335" i="1"/>
  <c r="H6335" i="1"/>
  <c r="I6335" i="1" a="1"/>
  <c r="I6335" i="1" s="1"/>
  <c r="D6336" i="1"/>
  <c r="F6336" i="1"/>
  <c r="H6336" i="1"/>
  <c r="I6336" i="1" a="1"/>
  <c r="I6336" i="1" s="1"/>
  <c r="D6337" i="1"/>
  <c r="F6337" i="1"/>
  <c r="H6337" i="1"/>
  <c r="I6337" i="1" a="1"/>
  <c r="I6337" i="1" s="1"/>
  <c r="D6338" i="1"/>
  <c r="F6338" i="1"/>
  <c r="H6338" i="1"/>
  <c r="I6338" i="1" a="1"/>
  <c r="I6338" i="1" s="1"/>
  <c r="D6339" i="1"/>
  <c r="F6339" i="1"/>
  <c r="H6339" i="1"/>
  <c r="I6339" i="1" a="1"/>
  <c r="I6339" i="1" s="1"/>
  <c r="D6340" i="1"/>
  <c r="F6340" i="1"/>
  <c r="H6340" i="1"/>
  <c r="I6340" i="1" a="1"/>
  <c r="I6340" i="1" s="1"/>
  <c r="D6341" i="1"/>
  <c r="F6341" i="1"/>
  <c r="H6341" i="1"/>
  <c r="I6341" i="1" a="1"/>
  <c r="I6341" i="1" s="1"/>
  <c r="D6342" i="1"/>
  <c r="F6342" i="1"/>
  <c r="H6342" i="1"/>
  <c r="I6342" i="1" a="1"/>
  <c r="I6342" i="1" s="1"/>
  <c r="D6343" i="1"/>
  <c r="F6343" i="1"/>
  <c r="H6343" i="1"/>
  <c r="I6343" i="1" a="1"/>
  <c r="I6343" i="1" s="1"/>
  <c r="D6344" i="1"/>
  <c r="F6344" i="1"/>
  <c r="H6344" i="1"/>
  <c r="I6344" i="1" a="1"/>
  <c r="I6344" i="1" s="1"/>
  <c r="D6345" i="1"/>
  <c r="F6345" i="1"/>
  <c r="H6345" i="1"/>
  <c r="I6345" i="1" a="1"/>
  <c r="I6345" i="1" s="1"/>
  <c r="D6346" i="1"/>
  <c r="F6346" i="1"/>
  <c r="H6346" i="1"/>
  <c r="I6346" i="1" a="1"/>
  <c r="I6346" i="1" s="1"/>
  <c r="D6347" i="1"/>
  <c r="F6347" i="1"/>
  <c r="H6347" i="1"/>
  <c r="I6347" i="1" a="1"/>
  <c r="I6347" i="1" s="1"/>
  <c r="D6348" i="1"/>
  <c r="F6348" i="1"/>
  <c r="H6348" i="1"/>
  <c r="I6348" i="1" a="1"/>
  <c r="I6348" i="1" s="1"/>
  <c r="D6349" i="1"/>
  <c r="F6349" i="1"/>
  <c r="H6349" i="1"/>
  <c r="I6349" i="1" a="1"/>
  <c r="I6349" i="1" s="1"/>
  <c r="D6350" i="1"/>
  <c r="F6350" i="1"/>
  <c r="H6350" i="1"/>
  <c r="I6350" i="1" a="1"/>
  <c r="I6350" i="1" s="1"/>
  <c r="D6351" i="1"/>
  <c r="F6351" i="1"/>
  <c r="H6351" i="1"/>
  <c r="I6351" i="1" a="1"/>
  <c r="I6351" i="1" s="1"/>
  <c r="D6352" i="1"/>
  <c r="F6352" i="1"/>
  <c r="H6352" i="1"/>
  <c r="I6352" i="1" a="1"/>
  <c r="I6352" i="1" s="1"/>
  <c r="D6353" i="1"/>
  <c r="F6353" i="1"/>
  <c r="H6353" i="1"/>
  <c r="I6353" i="1" a="1"/>
  <c r="I6353" i="1" s="1"/>
  <c r="D6354" i="1"/>
  <c r="F6354" i="1"/>
  <c r="H6354" i="1"/>
  <c r="I6354" i="1" a="1"/>
  <c r="I6354" i="1" s="1"/>
  <c r="D6355" i="1"/>
  <c r="F6355" i="1"/>
  <c r="H6355" i="1"/>
  <c r="I6355" i="1" a="1"/>
  <c r="I6355" i="1" s="1"/>
  <c r="D6356" i="1"/>
  <c r="F6356" i="1"/>
  <c r="H6356" i="1"/>
  <c r="I6356" i="1" a="1"/>
  <c r="I6356" i="1" s="1"/>
  <c r="D6357" i="1"/>
  <c r="F6357" i="1"/>
  <c r="H6357" i="1"/>
  <c r="I6357" i="1" a="1"/>
  <c r="I6357" i="1" s="1"/>
  <c r="D6358" i="1"/>
  <c r="F6358" i="1"/>
  <c r="H6358" i="1"/>
  <c r="I6358" i="1" a="1"/>
  <c r="I6358" i="1" s="1"/>
  <c r="D6359" i="1"/>
  <c r="F6359" i="1"/>
  <c r="H6359" i="1"/>
  <c r="I6359" i="1" a="1"/>
  <c r="I6359" i="1" s="1"/>
  <c r="D6360" i="1"/>
  <c r="F6360" i="1"/>
  <c r="H6360" i="1"/>
  <c r="I6360" i="1" a="1"/>
  <c r="I6360" i="1" s="1"/>
  <c r="D6361" i="1"/>
  <c r="F6361" i="1"/>
  <c r="H6361" i="1"/>
  <c r="I6361" i="1" a="1"/>
  <c r="I6361" i="1" s="1"/>
  <c r="D6362" i="1"/>
  <c r="F6362" i="1"/>
  <c r="H6362" i="1"/>
  <c r="I6362" i="1" a="1"/>
  <c r="I6362" i="1" s="1"/>
  <c r="D6363" i="1"/>
  <c r="F6363" i="1"/>
  <c r="H6363" i="1"/>
  <c r="I6363" i="1" a="1"/>
  <c r="I6363" i="1" s="1"/>
  <c r="D6364" i="1"/>
  <c r="F6364" i="1"/>
  <c r="H6364" i="1"/>
  <c r="I6364" i="1" a="1"/>
  <c r="I6364" i="1" s="1"/>
  <c r="D6365" i="1"/>
  <c r="F6365" i="1"/>
  <c r="H6365" i="1"/>
  <c r="I6365" i="1" a="1"/>
  <c r="I6365" i="1" s="1"/>
  <c r="D6366" i="1"/>
  <c r="F6366" i="1"/>
  <c r="H6366" i="1"/>
  <c r="I6366" i="1" a="1"/>
  <c r="I6366" i="1" s="1"/>
  <c r="D6367" i="1"/>
  <c r="F6367" i="1"/>
  <c r="H6367" i="1"/>
  <c r="I6367" i="1" a="1"/>
  <c r="I6367" i="1" s="1"/>
  <c r="D6368" i="1"/>
  <c r="F6368" i="1"/>
  <c r="H6368" i="1"/>
  <c r="I6368" i="1" a="1"/>
  <c r="I6368" i="1" s="1"/>
  <c r="D6369" i="1"/>
  <c r="F6369" i="1"/>
  <c r="H6369" i="1"/>
  <c r="I6369" i="1" a="1"/>
  <c r="I6369" i="1" s="1"/>
  <c r="D6370" i="1"/>
  <c r="F6370" i="1"/>
  <c r="H6370" i="1"/>
  <c r="I6370" i="1" a="1"/>
  <c r="I6370" i="1" s="1"/>
  <c r="D6371" i="1"/>
  <c r="F6371" i="1"/>
  <c r="H6371" i="1"/>
  <c r="I6371" i="1" a="1"/>
  <c r="I6371" i="1" s="1"/>
  <c r="D6372" i="1"/>
  <c r="F6372" i="1"/>
  <c r="H6372" i="1"/>
  <c r="I6372" i="1" a="1"/>
  <c r="I6372" i="1" s="1"/>
  <c r="D6373" i="1"/>
  <c r="F6373" i="1"/>
  <c r="H6373" i="1"/>
  <c r="I6373" i="1" a="1"/>
  <c r="I6373" i="1" s="1"/>
  <c r="D6374" i="1"/>
  <c r="F6374" i="1"/>
  <c r="H6374" i="1"/>
  <c r="I6374" i="1" a="1"/>
  <c r="I6374" i="1" s="1"/>
  <c r="D6375" i="1"/>
  <c r="F6375" i="1"/>
  <c r="H6375" i="1"/>
  <c r="I6375" i="1" a="1"/>
  <c r="I6375" i="1" s="1"/>
  <c r="D6376" i="1"/>
  <c r="F6376" i="1"/>
  <c r="H6376" i="1"/>
  <c r="I6376" i="1" a="1"/>
  <c r="I6376" i="1" s="1"/>
  <c r="D6377" i="1"/>
  <c r="F6377" i="1"/>
  <c r="H6377" i="1"/>
  <c r="I6377" i="1" a="1"/>
  <c r="I6377" i="1" s="1"/>
  <c r="D6378" i="1"/>
  <c r="F6378" i="1"/>
  <c r="H6378" i="1"/>
  <c r="I6378" i="1" a="1"/>
  <c r="I6378" i="1" s="1"/>
  <c r="D6379" i="1"/>
  <c r="F6379" i="1"/>
  <c r="H6379" i="1"/>
  <c r="I6379" i="1" a="1"/>
  <c r="I6379" i="1" s="1"/>
  <c r="D6380" i="1"/>
  <c r="F6380" i="1"/>
  <c r="H6380" i="1"/>
  <c r="I6380" i="1" a="1"/>
  <c r="I6380" i="1" s="1"/>
  <c r="D6381" i="1"/>
  <c r="F6381" i="1"/>
  <c r="H6381" i="1"/>
  <c r="I6381" i="1" a="1"/>
  <c r="I6381" i="1" s="1"/>
  <c r="D6382" i="1"/>
  <c r="F6382" i="1"/>
  <c r="H6382" i="1"/>
  <c r="I6382" i="1" a="1"/>
  <c r="I6382" i="1" s="1"/>
  <c r="D6383" i="1"/>
  <c r="F6383" i="1"/>
  <c r="H6383" i="1"/>
  <c r="I6383" i="1" a="1"/>
  <c r="I6383" i="1" s="1"/>
  <c r="D6384" i="1"/>
  <c r="F6384" i="1"/>
  <c r="H6384" i="1"/>
  <c r="I6384" i="1" a="1"/>
  <c r="I6384" i="1" s="1"/>
  <c r="D6385" i="1"/>
  <c r="F6385" i="1"/>
  <c r="H6385" i="1"/>
  <c r="I6385" i="1" a="1"/>
  <c r="I6385" i="1" s="1"/>
  <c r="D6386" i="1"/>
  <c r="F6386" i="1"/>
  <c r="H6386" i="1"/>
  <c r="I6386" i="1" a="1"/>
  <c r="I6386" i="1" s="1"/>
  <c r="D6387" i="1"/>
  <c r="F6387" i="1"/>
  <c r="H6387" i="1"/>
  <c r="I6387" i="1" a="1"/>
  <c r="I6387" i="1" s="1"/>
  <c r="D6388" i="1"/>
  <c r="F6388" i="1"/>
  <c r="H6388" i="1"/>
  <c r="I6388" i="1" a="1"/>
  <c r="I6388" i="1" s="1"/>
  <c r="D6389" i="1"/>
  <c r="F6389" i="1"/>
  <c r="H6389" i="1"/>
  <c r="I6389" i="1" a="1"/>
  <c r="I6389" i="1" s="1"/>
  <c r="D6390" i="1"/>
  <c r="F6390" i="1"/>
  <c r="H6390" i="1"/>
  <c r="I6390" i="1" a="1"/>
  <c r="I6390" i="1" s="1"/>
  <c r="D6391" i="1"/>
  <c r="F6391" i="1"/>
  <c r="H6391" i="1"/>
  <c r="I6391" i="1" a="1"/>
  <c r="I6391" i="1" s="1"/>
  <c r="D6392" i="1"/>
  <c r="F6392" i="1"/>
  <c r="H6392" i="1"/>
  <c r="I6392" i="1" a="1"/>
  <c r="I6392" i="1" s="1"/>
  <c r="D6393" i="1"/>
  <c r="F6393" i="1"/>
  <c r="H6393" i="1"/>
  <c r="I6393" i="1" a="1"/>
  <c r="I6393" i="1" s="1"/>
  <c r="D6394" i="1"/>
  <c r="F6394" i="1"/>
  <c r="H6394" i="1"/>
  <c r="I6394" i="1" a="1"/>
  <c r="I6394" i="1" s="1"/>
  <c r="D6395" i="1"/>
  <c r="F6395" i="1"/>
  <c r="H6395" i="1"/>
  <c r="I6395" i="1" a="1"/>
  <c r="I6395" i="1" s="1"/>
  <c r="D6396" i="1"/>
  <c r="F6396" i="1"/>
  <c r="H6396" i="1"/>
  <c r="I6396" i="1" a="1"/>
  <c r="I6396" i="1" s="1"/>
  <c r="D6397" i="1"/>
  <c r="F6397" i="1"/>
  <c r="H6397" i="1"/>
  <c r="I6397" i="1" a="1"/>
  <c r="I6397" i="1" s="1"/>
  <c r="D6398" i="1"/>
  <c r="F6398" i="1"/>
  <c r="H6398" i="1"/>
  <c r="I6398" i="1" a="1"/>
  <c r="I6398" i="1" s="1"/>
  <c r="D6399" i="1"/>
  <c r="F6399" i="1"/>
  <c r="H6399" i="1"/>
  <c r="I6399" i="1" a="1"/>
  <c r="I6399" i="1" s="1"/>
  <c r="D6400" i="1"/>
  <c r="F6400" i="1"/>
  <c r="H6400" i="1"/>
  <c r="I6400" i="1" a="1"/>
  <c r="I6400" i="1" s="1"/>
  <c r="D6401" i="1"/>
  <c r="F6401" i="1"/>
  <c r="H6401" i="1"/>
  <c r="I6401" i="1" a="1"/>
  <c r="I6401" i="1" s="1"/>
  <c r="D6402" i="1"/>
  <c r="F6402" i="1"/>
  <c r="H6402" i="1"/>
  <c r="I6402" i="1" a="1"/>
  <c r="I6402" i="1" s="1"/>
  <c r="D6403" i="1"/>
  <c r="F6403" i="1"/>
  <c r="H6403" i="1"/>
  <c r="I6403" i="1" a="1"/>
  <c r="I6403" i="1" s="1"/>
  <c r="D6404" i="1"/>
  <c r="F6404" i="1"/>
  <c r="H6404" i="1"/>
  <c r="I6404" i="1" a="1"/>
  <c r="I6404" i="1" s="1"/>
  <c r="D6405" i="1"/>
  <c r="F6405" i="1"/>
  <c r="H6405" i="1"/>
  <c r="I6405" i="1" a="1"/>
  <c r="I6405" i="1" s="1"/>
  <c r="D6406" i="1"/>
  <c r="F6406" i="1"/>
  <c r="H6406" i="1"/>
  <c r="I6406" i="1" a="1"/>
  <c r="I6406" i="1" s="1"/>
  <c r="J6406" i="1" s="1"/>
  <c r="D6407" i="1"/>
  <c r="F6407" i="1"/>
  <c r="H6407" i="1"/>
  <c r="I6407" i="1" a="1"/>
  <c r="I6407" i="1" s="1"/>
  <c r="J6407" i="1" s="1"/>
  <c r="D6408" i="1"/>
  <c r="F6408" i="1"/>
  <c r="H6408" i="1"/>
  <c r="I6408" i="1" a="1"/>
  <c r="I6408" i="1" s="1"/>
  <c r="J6408" i="1" s="1"/>
  <c r="D6409" i="1"/>
  <c r="F6409" i="1"/>
  <c r="H6409" i="1"/>
  <c r="I6409" i="1" a="1"/>
  <c r="I6409" i="1" s="1"/>
  <c r="J6409" i="1" s="1"/>
  <c r="D6410" i="1"/>
  <c r="F6410" i="1"/>
  <c r="H6410" i="1"/>
  <c r="I6410" i="1" a="1"/>
  <c r="I6410" i="1" s="1"/>
  <c r="J6410" i="1" s="1"/>
  <c r="D6411" i="1"/>
  <c r="F6411" i="1"/>
  <c r="H6411" i="1"/>
  <c r="I6411" i="1" a="1"/>
  <c r="I6411" i="1" s="1"/>
  <c r="J6411" i="1" s="1"/>
  <c r="D6412" i="1"/>
  <c r="F6412" i="1"/>
  <c r="H6412" i="1"/>
  <c r="I6412" i="1" a="1"/>
  <c r="I6412" i="1" s="1"/>
  <c r="J6412" i="1" s="1"/>
  <c r="D6413" i="1"/>
  <c r="F6413" i="1"/>
  <c r="H6413" i="1"/>
  <c r="I6413" i="1" a="1"/>
  <c r="I6413" i="1" s="1"/>
  <c r="J6413" i="1" s="1"/>
  <c r="D6414" i="1"/>
  <c r="F6414" i="1"/>
  <c r="H6414" i="1"/>
  <c r="I6414" i="1" a="1"/>
  <c r="I6414" i="1" s="1"/>
  <c r="J6414" i="1" s="1"/>
  <c r="D6415" i="1"/>
  <c r="F6415" i="1"/>
  <c r="H6415" i="1"/>
  <c r="I6415" i="1" a="1"/>
  <c r="I6415" i="1" s="1"/>
  <c r="J6415" i="1" s="1"/>
  <c r="D6416" i="1"/>
  <c r="F6416" i="1"/>
  <c r="H6416" i="1"/>
  <c r="I6416" i="1" a="1"/>
  <c r="I6416" i="1" s="1"/>
  <c r="J6416" i="1" s="1"/>
  <c r="D6417" i="1"/>
  <c r="F6417" i="1"/>
  <c r="H6417" i="1"/>
  <c r="I6417" i="1" a="1"/>
  <c r="I6417" i="1" s="1"/>
  <c r="J6417" i="1" s="1"/>
  <c r="D6418" i="1"/>
  <c r="F6418" i="1"/>
  <c r="H6418" i="1"/>
  <c r="I6418" i="1" a="1"/>
  <c r="I6418" i="1" s="1"/>
  <c r="J6418" i="1" s="1"/>
  <c r="D6419" i="1"/>
  <c r="F6419" i="1"/>
  <c r="H6419" i="1"/>
  <c r="I6419" i="1" a="1"/>
  <c r="I6419" i="1" s="1"/>
  <c r="J6419" i="1" s="1"/>
  <c r="D6420" i="1"/>
  <c r="F6420" i="1"/>
  <c r="H6420" i="1"/>
  <c r="I6420" i="1" a="1"/>
  <c r="I6420" i="1" s="1"/>
  <c r="J6420" i="1" s="1"/>
  <c r="D6421" i="1"/>
  <c r="F6421" i="1"/>
  <c r="H6421" i="1"/>
  <c r="I6421" i="1" a="1"/>
  <c r="I6421" i="1" s="1"/>
  <c r="J6421" i="1" s="1"/>
  <c r="D6422" i="1"/>
  <c r="F6422" i="1"/>
  <c r="H6422" i="1"/>
  <c r="I6422" i="1" a="1"/>
  <c r="I6422" i="1" s="1"/>
  <c r="J6422" i="1" s="1"/>
  <c r="D6423" i="1"/>
  <c r="F6423" i="1"/>
  <c r="H6423" i="1"/>
  <c r="I6423" i="1" a="1"/>
  <c r="I6423" i="1" s="1"/>
  <c r="J6423" i="1" s="1"/>
  <c r="D6424" i="1"/>
  <c r="F6424" i="1"/>
  <c r="H6424" i="1"/>
  <c r="I6424" i="1" a="1"/>
  <c r="I6424" i="1" s="1"/>
  <c r="J6424" i="1" s="1"/>
  <c r="D6425" i="1"/>
  <c r="F6425" i="1"/>
  <c r="H6425" i="1"/>
  <c r="I6425" i="1" a="1"/>
  <c r="I6425" i="1" s="1"/>
  <c r="J6425" i="1" s="1"/>
  <c r="D6426" i="1"/>
  <c r="F6426" i="1"/>
  <c r="H6426" i="1"/>
  <c r="I6426" i="1" a="1"/>
  <c r="I6426" i="1" s="1"/>
  <c r="J6426" i="1" s="1"/>
  <c r="D6427" i="1"/>
  <c r="F6427" i="1"/>
  <c r="H6427" i="1"/>
  <c r="I6427" i="1" a="1"/>
  <c r="I6427" i="1" s="1"/>
  <c r="J6427" i="1" s="1"/>
  <c r="D6428" i="1"/>
  <c r="F6428" i="1"/>
  <c r="H6428" i="1"/>
  <c r="I6428" i="1" a="1"/>
  <c r="I6428" i="1" s="1"/>
  <c r="J6428" i="1" s="1"/>
  <c r="D6429" i="1"/>
  <c r="F6429" i="1"/>
  <c r="H6429" i="1"/>
  <c r="I6429" i="1" a="1"/>
  <c r="I6429" i="1" s="1"/>
  <c r="J6429" i="1" s="1"/>
  <c r="D6430" i="1"/>
  <c r="F6430" i="1"/>
  <c r="H6430" i="1"/>
  <c r="I6430" i="1" a="1"/>
  <c r="I6430" i="1" s="1"/>
  <c r="J6430" i="1" s="1"/>
  <c r="D6431" i="1"/>
  <c r="F6431" i="1"/>
  <c r="H6431" i="1"/>
  <c r="I6431" i="1" a="1"/>
  <c r="I6431" i="1" s="1"/>
  <c r="J6431" i="1" s="1"/>
  <c r="D6432" i="1"/>
  <c r="F6432" i="1"/>
  <c r="H6432" i="1"/>
  <c r="I6432" i="1" a="1"/>
  <c r="I6432" i="1" s="1"/>
  <c r="J6432" i="1" s="1"/>
  <c r="D6433" i="1"/>
  <c r="F6433" i="1"/>
  <c r="H6433" i="1"/>
  <c r="I6433" i="1" a="1"/>
  <c r="I6433" i="1" s="1"/>
  <c r="J6433" i="1" s="1"/>
  <c r="D6434" i="1"/>
  <c r="F6434" i="1"/>
  <c r="H6434" i="1"/>
  <c r="I6434" i="1" a="1"/>
  <c r="I6434" i="1" s="1"/>
  <c r="J6434" i="1" s="1"/>
  <c r="D6435" i="1"/>
  <c r="F6435" i="1"/>
  <c r="H6435" i="1"/>
  <c r="I6435" i="1" a="1"/>
  <c r="I6435" i="1" s="1"/>
  <c r="J6435" i="1" s="1"/>
  <c r="D6436" i="1"/>
  <c r="F6436" i="1"/>
  <c r="H6436" i="1"/>
  <c r="I6436" i="1" a="1"/>
  <c r="I6436" i="1" s="1"/>
  <c r="J6436" i="1" s="1"/>
  <c r="D6437" i="1"/>
  <c r="F6437" i="1"/>
  <c r="H6437" i="1"/>
  <c r="I6437" i="1" a="1"/>
  <c r="I6437" i="1" s="1"/>
  <c r="J6437" i="1" s="1"/>
  <c r="D6438" i="1"/>
  <c r="F6438" i="1"/>
  <c r="H6438" i="1"/>
  <c r="I6438" i="1" a="1"/>
  <c r="I6438" i="1" s="1"/>
  <c r="J6438" i="1" s="1"/>
  <c r="D6439" i="1"/>
  <c r="F6439" i="1"/>
  <c r="H6439" i="1"/>
  <c r="I6439" i="1" a="1"/>
  <c r="I6439" i="1" s="1"/>
  <c r="J6439" i="1" s="1"/>
  <c r="D6440" i="1"/>
  <c r="F6440" i="1"/>
  <c r="H6440" i="1"/>
  <c r="I6440" i="1" a="1"/>
  <c r="I6440" i="1" s="1"/>
  <c r="J6440" i="1" s="1"/>
  <c r="D6441" i="1"/>
  <c r="F6441" i="1"/>
  <c r="H6441" i="1"/>
  <c r="I6441" i="1" a="1"/>
  <c r="I6441" i="1" s="1"/>
  <c r="J6441" i="1" s="1"/>
  <c r="D6442" i="1"/>
  <c r="F6442" i="1"/>
  <c r="H6442" i="1"/>
  <c r="I6442" i="1" a="1"/>
  <c r="I6442" i="1" s="1"/>
  <c r="J6442" i="1" s="1"/>
  <c r="D6443" i="1"/>
  <c r="F6443" i="1"/>
  <c r="H6443" i="1"/>
  <c r="I6443" i="1" a="1"/>
  <c r="I6443" i="1" s="1"/>
  <c r="J6443" i="1" s="1"/>
  <c r="D6444" i="1"/>
  <c r="F6444" i="1"/>
  <c r="H6444" i="1"/>
  <c r="I6444" i="1" a="1"/>
  <c r="I6444" i="1" s="1"/>
  <c r="J6444" i="1" s="1"/>
  <c r="D6445" i="1"/>
  <c r="F6445" i="1"/>
  <c r="H6445" i="1"/>
  <c r="I6445" i="1" a="1"/>
  <c r="I6445" i="1" s="1"/>
  <c r="J6445" i="1" s="1"/>
  <c r="D6446" i="1"/>
  <c r="F6446" i="1"/>
  <c r="H6446" i="1"/>
  <c r="I6446" i="1" a="1"/>
  <c r="I6446" i="1" s="1"/>
  <c r="D6447" i="1"/>
  <c r="F6447" i="1"/>
  <c r="H6447" i="1"/>
  <c r="I6447" i="1" a="1"/>
  <c r="I6447" i="1" s="1"/>
  <c r="J6447" i="1" s="1"/>
  <c r="D6448" i="1"/>
  <c r="F6448" i="1"/>
  <c r="H6448" i="1"/>
  <c r="I6448" i="1" a="1"/>
  <c r="I6448" i="1" s="1"/>
  <c r="J6448" i="1" s="1"/>
  <c r="D6449" i="1"/>
  <c r="F6449" i="1"/>
  <c r="H6449" i="1"/>
  <c r="I6449" i="1" a="1"/>
  <c r="I6449" i="1" s="1"/>
  <c r="J6449" i="1" s="1"/>
  <c r="D6450" i="1"/>
  <c r="F6450" i="1"/>
  <c r="H6450" i="1"/>
  <c r="I6450" i="1" a="1"/>
  <c r="I6450" i="1" s="1"/>
  <c r="J6450" i="1" s="1"/>
  <c r="D6451" i="1"/>
  <c r="F6451" i="1"/>
  <c r="H6451" i="1"/>
  <c r="I6451" i="1" a="1"/>
  <c r="I6451" i="1" s="1"/>
  <c r="J6451" i="1" s="1"/>
  <c r="D6452" i="1"/>
  <c r="F6452" i="1"/>
  <c r="H6452" i="1"/>
  <c r="I6452" i="1" a="1"/>
  <c r="I6452" i="1" s="1"/>
  <c r="J6452" i="1" s="1"/>
  <c r="D6453" i="1"/>
  <c r="F6453" i="1"/>
  <c r="H6453" i="1"/>
  <c r="I6453" i="1" a="1"/>
  <c r="I6453" i="1" s="1"/>
  <c r="J6453" i="1" s="1"/>
  <c r="D6454" i="1"/>
  <c r="F6454" i="1"/>
  <c r="H6454" i="1"/>
  <c r="I6454" i="1" a="1"/>
  <c r="I6454" i="1" s="1"/>
  <c r="J6454" i="1" s="1"/>
  <c r="D6455" i="1"/>
  <c r="F6455" i="1"/>
  <c r="H6455" i="1"/>
  <c r="I6455" i="1" a="1"/>
  <c r="I6455" i="1" s="1"/>
  <c r="J6455" i="1" s="1"/>
  <c r="D6456" i="1"/>
  <c r="F6456" i="1"/>
  <c r="H6456" i="1"/>
  <c r="I6456" i="1" a="1"/>
  <c r="I6456" i="1" s="1"/>
  <c r="J6456" i="1" s="1"/>
  <c r="D6457" i="1"/>
  <c r="F6457" i="1"/>
  <c r="H6457" i="1"/>
  <c r="I6457" i="1" a="1"/>
  <c r="I6457" i="1" s="1"/>
  <c r="J6457" i="1" s="1"/>
  <c r="D6458" i="1"/>
  <c r="F6458" i="1"/>
  <c r="H6458" i="1"/>
  <c r="I6458" i="1" a="1"/>
  <c r="I6458" i="1" s="1"/>
  <c r="J6458" i="1" s="1"/>
  <c r="D6459" i="1"/>
  <c r="F6459" i="1"/>
  <c r="H6459" i="1"/>
  <c r="I6459" i="1" a="1"/>
  <c r="I6459" i="1" s="1"/>
  <c r="J6459" i="1" s="1"/>
  <c r="D6460" i="1"/>
  <c r="F6460" i="1"/>
  <c r="H6460" i="1"/>
  <c r="I6460" i="1" a="1"/>
  <c r="I6460" i="1" s="1"/>
  <c r="J6460" i="1" s="1"/>
  <c r="D6461" i="1"/>
  <c r="F6461" i="1"/>
  <c r="H6461" i="1"/>
  <c r="I6461" i="1" a="1"/>
  <c r="I6461" i="1" s="1"/>
  <c r="J6461" i="1" s="1"/>
  <c r="D6462" i="1"/>
  <c r="F6462" i="1"/>
  <c r="H6462" i="1"/>
  <c r="I6462" i="1" a="1"/>
  <c r="I6462" i="1" s="1"/>
  <c r="J6462" i="1" s="1"/>
  <c r="D6463" i="1"/>
  <c r="F6463" i="1"/>
  <c r="H6463" i="1"/>
  <c r="I6463" i="1" a="1"/>
  <c r="I6463" i="1" s="1"/>
  <c r="J6463" i="1" s="1"/>
  <c r="D6464" i="1"/>
  <c r="F6464" i="1"/>
  <c r="H6464" i="1"/>
  <c r="I6464" i="1" a="1"/>
  <c r="I6464" i="1" s="1"/>
  <c r="J6464" i="1" s="1"/>
  <c r="D6465" i="1"/>
  <c r="F6465" i="1"/>
  <c r="H6465" i="1"/>
  <c r="I6465" i="1" a="1"/>
  <c r="I6465" i="1" s="1"/>
  <c r="J6465" i="1" s="1"/>
  <c r="D6466" i="1"/>
  <c r="F6466" i="1"/>
  <c r="H6466" i="1"/>
  <c r="I6466" i="1" a="1"/>
  <c r="I6466" i="1" s="1"/>
  <c r="J6466" i="1" s="1"/>
  <c r="D6467" i="1"/>
  <c r="F6467" i="1"/>
  <c r="H6467" i="1"/>
  <c r="I6467" i="1" a="1"/>
  <c r="I6467" i="1" s="1"/>
  <c r="J6467" i="1" s="1"/>
  <c r="D6468" i="1"/>
  <c r="F6468" i="1"/>
  <c r="H6468" i="1"/>
  <c r="I6468" i="1" a="1"/>
  <c r="I6468" i="1" s="1"/>
  <c r="J6468" i="1" s="1"/>
  <c r="D6469" i="1"/>
  <c r="F6469" i="1"/>
  <c r="H6469" i="1"/>
  <c r="I6469" i="1" a="1"/>
  <c r="I6469" i="1" s="1"/>
  <c r="J6469" i="1" s="1"/>
  <c r="D6470" i="1"/>
  <c r="F6470" i="1"/>
  <c r="H6470" i="1"/>
  <c r="I6470" i="1" a="1"/>
  <c r="I6470" i="1" s="1"/>
  <c r="J6470" i="1" s="1"/>
  <c r="D6471" i="1"/>
  <c r="F6471" i="1"/>
  <c r="H6471" i="1"/>
  <c r="I6471" i="1" a="1"/>
  <c r="I6471" i="1" s="1"/>
  <c r="J6471" i="1" s="1"/>
  <c r="D6472" i="1"/>
  <c r="F6472" i="1"/>
  <c r="H6472" i="1"/>
  <c r="I6472" i="1" a="1"/>
  <c r="I6472" i="1" s="1"/>
  <c r="J6472" i="1" s="1"/>
  <c r="D6473" i="1"/>
  <c r="F6473" i="1"/>
  <c r="H6473" i="1"/>
  <c r="I6473" i="1" a="1"/>
  <c r="I6473" i="1" s="1"/>
  <c r="J6473" i="1" s="1"/>
  <c r="D6474" i="1"/>
  <c r="F6474" i="1"/>
  <c r="H6474" i="1"/>
  <c r="I6474" i="1" a="1"/>
  <c r="I6474" i="1" s="1"/>
  <c r="J6474" i="1" s="1"/>
  <c r="D6475" i="1"/>
  <c r="F6475" i="1"/>
  <c r="H6475" i="1"/>
  <c r="I6475" i="1" a="1"/>
  <c r="I6475" i="1" s="1"/>
  <c r="D6476" i="1"/>
  <c r="F6476" i="1"/>
  <c r="H6476" i="1"/>
  <c r="I6476" i="1" a="1"/>
  <c r="I6476" i="1" s="1"/>
  <c r="J6476" i="1" s="1"/>
  <c r="D6477" i="1"/>
  <c r="F6477" i="1"/>
  <c r="H6477" i="1"/>
  <c r="I6477" i="1" a="1"/>
  <c r="I6477" i="1" s="1"/>
  <c r="J6477" i="1" s="1"/>
  <c r="D6478" i="1"/>
  <c r="F6478" i="1"/>
  <c r="H6478" i="1"/>
  <c r="I6478" i="1" a="1"/>
  <c r="I6478" i="1" s="1"/>
  <c r="J6478" i="1" s="1"/>
  <c r="D6479" i="1"/>
  <c r="F6479" i="1"/>
  <c r="H6479" i="1"/>
  <c r="I6479" i="1" a="1"/>
  <c r="I6479" i="1" s="1"/>
  <c r="D6480" i="1"/>
  <c r="F6480" i="1"/>
  <c r="H6480" i="1"/>
  <c r="I6480" i="1" a="1"/>
  <c r="I6480" i="1" s="1"/>
  <c r="J6480" i="1" s="1"/>
  <c r="D6481" i="1"/>
  <c r="F6481" i="1"/>
  <c r="H6481" i="1"/>
  <c r="I6481" i="1" a="1"/>
  <c r="I6481" i="1" s="1"/>
  <c r="D6482" i="1"/>
  <c r="F6482" i="1"/>
  <c r="H6482" i="1"/>
  <c r="I6482" i="1" a="1"/>
  <c r="I6482" i="1" s="1"/>
  <c r="J6482" i="1" s="1"/>
  <c r="D6483" i="1"/>
  <c r="F6483" i="1"/>
  <c r="H6483" i="1"/>
  <c r="I6483" i="1" a="1"/>
  <c r="I6483" i="1" s="1"/>
  <c r="J6483" i="1" s="1"/>
  <c r="D6484" i="1"/>
  <c r="F6484" i="1"/>
  <c r="H6484" i="1"/>
  <c r="I6484" i="1" a="1"/>
  <c r="I6484" i="1" s="1"/>
  <c r="J6484" i="1" s="1"/>
  <c r="D6485" i="1"/>
  <c r="F6485" i="1"/>
  <c r="H6485" i="1"/>
  <c r="I6485" i="1" a="1"/>
  <c r="I6485" i="1" s="1"/>
  <c r="J6485" i="1" s="1"/>
  <c r="D6486" i="1"/>
  <c r="F6486" i="1"/>
  <c r="H6486" i="1"/>
  <c r="I6486" i="1" a="1"/>
  <c r="I6486" i="1" s="1"/>
  <c r="J6486" i="1" s="1"/>
  <c r="D6487" i="1"/>
  <c r="F6487" i="1"/>
  <c r="H6487" i="1"/>
  <c r="I6487" i="1" a="1"/>
  <c r="I6487" i="1" s="1"/>
  <c r="J6487" i="1" s="1"/>
  <c r="D6488" i="1"/>
  <c r="F6488" i="1"/>
  <c r="H6488" i="1"/>
  <c r="I6488" i="1" a="1"/>
  <c r="I6488" i="1" s="1"/>
  <c r="J6488" i="1" s="1"/>
  <c r="D6489" i="1"/>
  <c r="F6489" i="1"/>
  <c r="H6489" i="1"/>
  <c r="I6489" i="1" a="1"/>
  <c r="I6489" i="1" s="1"/>
  <c r="J6489" i="1" s="1"/>
  <c r="D6490" i="1"/>
  <c r="F6490" i="1"/>
  <c r="H6490" i="1"/>
  <c r="I6490" i="1" a="1"/>
  <c r="I6490" i="1" s="1"/>
  <c r="J6490" i="1" s="1"/>
  <c r="D6491" i="1"/>
  <c r="F6491" i="1"/>
  <c r="H6491" i="1"/>
  <c r="I6491" i="1" a="1"/>
  <c r="I6491" i="1" s="1"/>
  <c r="J6491" i="1" s="1"/>
  <c r="D6492" i="1"/>
  <c r="F6492" i="1"/>
  <c r="H6492" i="1"/>
  <c r="I6492" i="1" a="1"/>
  <c r="I6492" i="1" s="1"/>
  <c r="D6493" i="1"/>
  <c r="F6493" i="1"/>
  <c r="H6493" i="1"/>
  <c r="I6493" i="1" a="1"/>
  <c r="I6493" i="1" s="1"/>
  <c r="J6493" i="1" s="1"/>
  <c r="D6494" i="1"/>
  <c r="F6494" i="1"/>
  <c r="H6494" i="1"/>
  <c r="I6494" i="1" a="1"/>
  <c r="I6494" i="1" s="1"/>
  <c r="J6494" i="1" s="1"/>
  <c r="D6495" i="1"/>
  <c r="F6495" i="1"/>
  <c r="H6495" i="1"/>
  <c r="I6495" i="1" a="1"/>
  <c r="I6495" i="1" s="1"/>
  <c r="J6495" i="1" s="1"/>
  <c r="D6496" i="1"/>
  <c r="F6496" i="1"/>
  <c r="H6496" i="1"/>
  <c r="I6496" i="1" a="1"/>
  <c r="I6496" i="1" s="1"/>
  <c r="J6496" i="1" s="1"/>
  <c r="D6497" i="1"/>
  <c r="F6497" i="1"/>
  <c r="H6497" i="1"/>
  <c r="I6497" i="1" a="1"/>
  <c r="I6497" i="1" s="1"/>
  <c r="J6497" i="1" s="1"/>
  <c r="D6498" i="1"/>
  <c r="F6498" i="1"/>
  <c r="H6498" i="1"/>
  <c r="I6498" i="1" a="1"/>
  <c r="I6498" i="1" s="1"/>
  <c r="J6498" i="1" s="1"/>
  <c r="D6499" i="1"/>
  <c r="F6499" i="1"/>
  <c r="H6499" i="1"/>
  <c r="I6499" i="1" a="1"/>
  <c r="I6499" i="1" s="1"/>
  <c r="J6499" i="1" s="1"/>
  <c r="D6500" i="1"/>
  <c r="F6500" i="1"/>
  <c r="H6500" i="1"/>
  <c r="I6500" i="1" a="1"/>
  <c r="I6500" i="1" s="1"/>
  <c r="J6500" i="1" s="1"/>
  <c r="D6501" i="1"/>
  <c r="F6501" i="1"/>
  <c r="H6501" i="1"/>
  <c r="I6501" i="1" a="1"/>
  <c r="I6501" i="1" s="1"/>
  <c r="J6501" i="1" s="1"/>
  <c r="D6502" i="1"/>
  <c r="F6502" i="1"/>
  <c r="H6502" i="1"/>
  <c r="I6502" i="1" a="1"/>
  <c r="I6502" i="1" s="1"/>
  <c r="J6502" i="1" s="1"/>
  <c r="D6503" i="1"/>
  <c r="F6503" i="1"/>
  <c r="H6503" i="1"/>
  <c r="I6503" i="1" a="1"/>
  <c r="I6503" i="1" s="1"/>
  <c r="J6503" i="1" s="1"/>
  <c r="D6504" i="1"/>
  <c r="F6504" i="1"/>
  <c r="H6504" i="1"/>
  <c r="I6504" i="1" a="1"/>
  <c r="I6504" i="1" s="1"/>
  <c r="J6504" i="1" s="1"/>
  <c r="D6505" i="1"/>
  <c r="F6505" i="1"/>
  <c r="H6505" i="1"/>
  <c r="I6505" i="1" a="1"/>
  <c r="I6505" i="1" s="1"/>
  <c r="J6505" i="1" s="1"/>
  <c r="D6506" i="1"/>
  <c r="F6506" i="1"/>
  <c r="H6506" i="1"/>
  <c r="I6506" i="1" a="1"/>
  <c r="I6506" i="1" s="1"/>
  <c r="J6506" i="1" s="1"/>
  <c r="D6507" i="1"/>
  <c r="F6507" i="1"/>
  <c r="H6507" i="1"/>
  <c r="I6507" i="1" a="1"/>
  <c r="I6507" i="1" s="1"/>
  <c r="J6507" i="1" s="1"/>
  <c r="D6508" i="1"/>
  <c r="F6508" i="1"/>
  <c r="H6508" i="1"/>
  <c r="I6508" i="1" a="1"/>
  <c r="I6508" i="1" s="1"/>
  <c r="J6508" i="1" s="1"/>
  <c r="D6509" i="1"/>
  <c r="F6509" i="1"/>
  <c r="H6509" i="1"/>
  <c r="I6509" i="1" a="1"/>
  <c r="I6509" i="1" s="1"/>
  <c r="J6509" i="1" s="1"/>
  <c r="D6510" i="1"/>
  <c r="F6510" i="1"/>
  <c r="H6510" i="1"/>
  <c r="I6510" i="1" a="1"/>
  <c r="I6510" i="1" s="1"/>
  <c r="J6510" i="1" s="1"/>
  <c r="D6511" i="1"/>
  <c r="F6511" i="1"/>
  <c r="H6511" i="1"/>
  <c r="I6511" i="1" a="1"/>
  <c r="I6511" i="1" s="1"/>
  <c r="J6511" i="1" s="1"/>
  <c r="D6512" i="1"/>
  <c r="F6512" i="1"/>
  <c r="H6512" i="1"/>
  <c r="I6512" i="1" a="1"/>
  <c r="I6512" i="1" s="1"/>
  <c r="J6512" i="1" s="1"/>
  <c r="D6513" i="1"/>
  <c r="F6513" i="1"/>
  <c r="H6513" i="1"/>
  <c r="I6513" i="1" a="1"/>
  <c r="I6513" i="1" s="1"/>
  <c r="J6513" i="1" s="1"/>
  <c r="D6514" i="1"/>
  <c r="F6514" i="1"/>
  <c r="H6514" i="1"/>
  <c r="I6514" i="1" a="1"/>
  <c r="I6514" i="1" s="1"/>
  <c r="J6514" i="1" s="1"/>
  <c r="D6515" i="1"/>
  <c r="F6515" i="1"/>
  <c r="H6515" i="1"/>
  <c r="I6515" i="1" a="1"/>
  <c r="I6515" i="1" s="1"/>
  <c r="J6515" i="1" s="1"/>
  <c r="D6516" i="1"/>
  <c r="F6516" i="1"/>
  <c r="H6516" i="1"/>
  <c r="I6516" i="1" a="1"/>
  <c r="I6516" i="1" s="1"/>
  <c r="J6516" i="1" s="1"/>
  <c r="D6517" i="1"/>
  <c r="F6517" i="1"/>
  <c r="H6517" i="1"/>
  <c r="I6517" i="1" a="1"/>
  <c r="I6517" i="1" s="1"/>
  <c r="J6517" i="1" s="1"/>
  <c r="D6518" i="1"/>
  <c r="F6518" i="1"/>
  <c r="H6518" i="1"/>
  <c r="I6518" i="1" a="1"/>
  <c r="I6518" i="1" s="1"/>
  <c r="J6518" i="1" s="1"/>
  <c r="D6519" i="1"/>
  <c r="F6519" i="1"/>
  <c r="H6519" i="1"/>
  <c r="I6519" i="1" a="1"/>
  <c r="I6519" i="1" s="1"/>
  <c r="J6519" i="1" s="1"/>
  <c r="D6520" i="1"/>
  <c r="F6520" i="1"/>
  <c r="H6520" i="1"/>
  <c r="I6520" i="1" a="1"/>
  <c r="I6520" i="1" s="1"/>
  <c r="J6520" i="1" s="1"/>
  <c r="D6521" i="1"/>
  <c r="F6521" i="1"/>
  <c r="H6521" i="1"/>
  <c r="I6521" i="1" a="1"/>
  <c r="I6521" i="1" s="1"/>
  <c r="J6521" i="1" s="1"/>
  <c r="D6522" i="1"/>
  <c r="F6522" i="1"/>
  <c r="H6522" i="1"/>
  <c r="I6522" i="1" a="1"/>
  <c r="I6522" i="1" s="1"/>
  <c r="J6522" i="1" s="1"/>
  <c r="D6523" i="1"/>
  <c r="F6523" i="1"/>
  <c r="H6523" i="1"/>
  <c r="I6523" i="1" a="1"/>
  <c r="I6523" i="1" s="1"/>
  <c r="J6523" i="1" s="1"/>
  <c r="D6524" i="1"/>
  <c r="F6524" i="1"/>
  <c r="H6524" i="1"/>
  <c r="I6524" i="1" a="1"/>
  <c r="I6524" i="1" s="1"/>
  <c r="J6524" i="1" s="1"/>
  <c r="D6525" i="1"/>
  <c r="F6525" i="1"/>
  <c r="H6525" i="1"/>
  <c r="I6525" i="1" a="1"/>
  <c r="I6525" i="1" s="1"/>
  <c r="J6525" i="1" s="1"/>
  <c r="D6526" i="1"/>
  <c r="F6526" i="1"/>
  <c r="H6526" i="1"/>
  <c r="I6526" i="1" a="1"/>
  <c r="I6526" i="1" s="1"/>
  <c r="J6526" i="1" s="1"/>
  <c r="D6527" i="1"/>
  <c r="F6527" i="1"/>
  <c r="H6527" i="1"/>
  <c r="I6527" i="1" a="1"/>
  <c r="I6527" i="1" s="1"/>
  <c r="J6527" i="1" s="1"/>
  <c r="D6528" i="1"/>
  <c r="F6528" i="1"/>
  <c r="H6528" i="1"/>
  <c r="I6528" i="1" a="1"/>
  <c r="I6528" i="1" s="1"/>
  <c r="J6528" i="1" s="1"/>
  <c r="D6529" i="1"/>
  <c r="F6529" i="1"/>
  <c r="H6529" i="1"/>
  <c r="I6529" i="1" a="1"/>
  <c r="I6529" i="1" s="1"/>
  <c r="J6529" i="1" s="1"/>
  <c r="D6530" i="1"/>
  <c r="F6530" i="1"/>
  <c r="H6530" i="1"/>
  <c r="I6530" i="1" a="1"/>
  <c r="I6530" i="1" s="1"/>
  <c r="J6530" i="1" s="1"/>
  <c r="D6531" i="1"/>
  <c r="F6531" i="1"/>
  <c r="H6531" i="1"/>
  <c r="I6531" i="1" a="1"/>
  <c r="I6531" i="1" s="1"/>
  <c r="J6531" i="1" s="1"/>
  <c r="D6532" i="1"/>
  <c r="F6532" i="1"/>
  <c r="H6532" i="1"/>
  <c r="I6532" i="1" a="1"/>
  <c r="I6532" i="1" s="1"/>
  <c r="J6532" i="1" s="1"/>
  <c r="D6533" i="1"/>
  <c r="F6533" i="1"/>
  <c r="H6533" i="1"/>
  <c r="I6533" i="1" a="1"/>
  <c r="I6533" i="1" s="1"/>
  <c r="J6533" i="1" s="1"/>
  <c r="D6534" i="1"/>
  <c r="F6534" i="1"/>
  <c r="H6534" i="1"/>
  <c r="I6534" i="1" a="1"/>
  <c r="I6534" i="1" s="1"/>
  <c r="J6534" i="1" s="1"/>
  <c r="D6535" i="1"/>
  <c r="F6535" i="1"/>
  <c r="H6535" i="1"/>
  <c r="I6535" i="1" a="1"/>
  <c r="I6535" i="1" s="1"/>
  <c r="J6535" i="1" s="1"/>
  <c r="D6536" i="1"/>
  <c r="F6536" i="1"/>
  <c r="H6536" i="1"/>
  <c r="I6536" i="1" a="1"/>
  <c r="I6536" i="1" s="1"/>
  <c r="J6536" i="1" s="1"/>
  <c r="D6537" i="1"/>
  <c r="F6537" i="1"/>
  <c r="H6537" i="1"/>
  <c r="I6537" i="1" a="1"/>
  <c r="I6537" i="1" s="1"/>
  <c r="J6537" i="1" s="1"/>
  <c r="D6538" i="1"/>
  <c r="F6538" i="1"/>
  <c r="H6538" i="1"/>
  <c r="I6538" i="1" a="1"/>
  <c r="I6538" i="1" s="1"/>
  <c r="J6538" i="1" s="1"/>
  <c r="D6539" i="1"/>
  <c r="F6539" i="1"/>
  <c r="H6539" i="1"/>
  <c r="I6539" i="1" a="1"/>
  <c r="I6539" i="1" s="1"/>
  <c r="J6539" i="1" s="1"/>
  <c r="D6540" i="1"/>
  <c r="F6540" i="1"/>
  <c r="H6540" i="1"/>
  <c r="I6540" i="1" a="1"/>
  <c r="I6540" i="1" s="1"/>
  <c r="D6541" i="1"/>
  <c r="F6541" i="1"/>
  <c r="H6541" i="1"/>
  <c r="I6541" i="1" a="1"/>
  <c r="I6541" i="1" s="1"/>
  <c r="J6541" i="1" s="1"/>
  <c r="D6542" i="1"/>
  <c r="F6542" i="1"/>
  <c r="H6542" i="1"/>
  <c r="I6542" i="1" a="1"/>
  <c r="I6542" i="1" s="1"/>
  <c r="D6543" i="1"/>
  <c r="F6543" i="1"/>
  <c r="H6543" i="1"/>
  <c r="I6543" i="1" a="1"/>
  <c r="I6543" i="1" s="1"/>
  <c r="J6543" i="1" s="1"/>
  <c r="D6544" i="1"/>
  <c r="F6544" i="1"/>
  <c r="H6544" i="1"/>
  <c r="I6544" i="1" a="1"/>
  <c r="I6544" i="1" s="1"/>
  <c r="J6544" i="1" s="1"/>
  <c r="D6545" i="1"/>
  <c r="F6545" i="1"/>
  <c r="H6545" i="1"/>
  <c r="I6545" i="1" a="1"/>
  <c r="I6545" i="1" s="1"/>
  <c r="J6545" i="1" s="1"/>
  <c r="D6546" i="1"/>
  <c r="F6546" i="1"/>
  <c r="H6546" i="1"/>
  <c r="I6546" i="1" a="1"/>
  <c r="I6546" i="1" s="1"/>
  <c r="J6546" i="1" s="1"/>
  <c r="D6547" i="1"/>
  <c r="F6547" i="1"/>
  <c r="H6547" i="1"/>
  <c r="I6547" i="1" a="1"/>
  <c r="I6547" i="1" s="1"/>
  <c r="J6547" i="1" s="1"/>
  <c r="D6548" i="1"/>
  <c r="F6548" i="1"/>
  <c r="H6548" i="1"/>
  <c r="I6548" i="1" a="1"/>
  <c r="I6548" i="1" s="1"/>
  <c r="J6548" i="1" s="1"/>
  <c r="D6549" i="1"/>
  <c r="F6549" i="1"/>
  <c r="H6549" i="1"/>
  <c r="I6549" i="1" a="1"/>
  <c r="I6549" i="1" s="1"/>
  <c r="J6549" i="1" s="1"/>
  <c r="D6550" i="1"/>
  <c r="F6550" i="1"/>
  <c r="H6550" i="1"/>
  <c r="I6550" i="1" a="1"/>
  <c r="I6550" i="1" s="1"/>
  <c r="J6550" i="1" s="1"/>
  <c r="D6551" i="1"/>
  <c r="F6551" i="1"/>
  <c r="H6551" i="1"/>
  <c r="I6551" i="1" a="1"/>
  <c r="I6551" i="1" s="1"/>
  <c r="J6551" i="1" s="1"/>
  <c r="D6552" i="1"/>
  <c r="F6552" i="1"/>
  <c r="H6552" i="1"/>
  <c r="I6552" i="1" a="1"/>
  <c r="I6552" i="1" s="1"/>
  <c r="J6552" i="1" s="1"/>
  <c r="D6553" i="1"/>
  <c r="F6553" i="1"/>
  <c r="H6553" i="1"/>
  <c r="I6553" i="1" a="1"/>
  <c r="I6553" i="1" s="1"/>
  <c r="J6553" i="1" s="1"/>
  <c r="D6554" i="1"/>
  <c r="F6554" i="1"/>
  <c r="H6554" i="1"/>
  <c r="I6554" i="1" a="1"/>
  <c r="I6554" i="1" s="1"/>
  <c r="J6554" i="1" s="1"/>
  <c r="D6555" i="1"/>
  <c r="F6555" i="1"/>
  <c r="H6555" i="1"/>
  <c r="I6555" i="1" a="1"/>
  <c r="I6555" i="1" s="1"/>
  <c r="J6555" i="1" s="1"/>
  <c r="D6556" i="1"/>
  <c r="F6556" i="1"/>
  <c r="H6556" i="1"/>
  <c r="I6556" i="1" a="1"/>
  <c r="I6556" i="1" s="1"/>
  <c r="D6557" i="1"/>
  <c r="F6557" i="1"/>
  <c r="H6557" i="1"/>
  <c r="I6557" i="1" a="1"/>
  <c r="I6557" i="1" s="1"/>
  <c r="J6557" i="1" s="1"/>
  <c r="D6558" i="1"/>
  <c r="F6558" i="1"/>
  <c r="H6558" i="1"/>
  <c r="I6558" i="1" a="1"/>
  <c r="I6558" i="1" s="1"/>
  <c r="J6558" i="1" s="1"/>
  <c r="D6559" i="1"/>
  <c r="F6559" i="1"/>
  <c r="H6559" i="1"/>
  <c r="I6559" i="1" a="1"/>
  <c r="I6559" i="1" s="1"/>
  <c r="J6559" i="1" s="1"/>
  <c r="D6560" i="1"/>
  <c r="F6560" i="1"/>
  <c r="H6560" i="1"/>
  <c r="I6560" i="1" a="1"/>
  <c r="I6560" i="1" s="1"/>
  <c r="J6560" i="1" s="1"/>
  <c r="D6561" i="1"/>
  <c r="F6561" i="1"/>
  <c r="H6561" i="1"/>
  <c r="I6561" i="1" a="1"/>
  <c r="I6561" i="1" s="1"/>
  <c r="D6562" i="1"/>
  <c r="F6562" i="1"/>
  <c r="H6562" i="1"/>
  <c r="I6562" i="1" a="1"/>
  <c r="I6562" i="1" s="1"/>
  <c r="J6562" i="1" s="1"/>
  <c r="D6563" i="1"/>
  <c r="F6563" i="1"/>
  <c r="H6563" i="1"/>
  <c r="I6563" i="1" a="1"/>
  <c r="I6563" i="1" s="1"/>
  <c r="J6563" i="1" s="1"/>
  <c r="D6564" i="1"/>
  <c r="F6564" i="1"/>
  <c r="H6564" i="1"/>
  <c r="I6564" i="1" a="1"/>
  <c r="I6564" i="1" s="1"/>
  <c r="J6564" i="1" s="1"/>
  <c r="D6565" i="1"/>
  <c r="F6565" i="1"/>
  <c r="H6565" i="1"/>
  <c r="I6565" i="1" a="1"/>
  <c r="I6565" i="1" s="1"/>
  <c r="J6565" i="1" s="1"/>
  <c r="D6566" i="1"/>
  <c r="F6566" i="1"/>
  <c r="H6566" i="1"/>
  <c r="I6566" i="1" a="1"/>
  <c r="I6566" i="1" s="1"/>
  <c r="J6566" i="1" s="1"/>
  <c r="D6567" i="1"/>
  <c r="F6567" i="1"/>
  <c r="H6567" i="1"/>
  <c r="I6567" i="1" a="1"/>
  <c r="I6567" i="1" s="1"/>
  <c r="J6567" i="1" s="1"/>
  <c r="D6568" i="1"/>
  <c r="F6568" i="1"/>
  <c r="H6568" i="1"/>
  <c r="I6568" i="1" a="1"/>
  <c r="I6568" i="1" s="1"/>
  <c r="J6568" i="1" s="1"/>
  <c r="D6569" i="1"/>
  <c r="F6569" i="1"/>
  <c r="H6569" i="1"/>
  <c r="I6569" i="1" a="1"/>
  <c r="I6569" i="1" s="1"/>
  <c r="J6569" i="1" s="1"/>
  <c r="D6570" i="1"/>
  <c r="F6570" i="1"/>
  <c r="H6570" i="1"/>
  <c r="I6570" i="1" a="1"/>
  <c r="I6570" i="1" s="1"/>
  <c r="J6570" i="1" s="1"/>
  <c r="D6571" i="1"/>
  <c r="F6571" i="1"/>
  <c r="H6571" i="1"/>
  <c r="I6571" i="1" a="1"/>
  <c r="I6571" i="1" s="1"/>
  <c r="J6571" i="1" s="1"/>
  <c r="D6572" i="1"/>
  <c r="F6572" i="1"/>
  <c r="H6572" i="1"/>
  <c r="I6572" i="1" a="1"/>
  <c r="I6572" i="1" s="1"/>
  <c r="J6572" i="1" s="1"/>
  <c r="D6573" i="1"/>
  <c r="F6573" i="1"/>
  <c r="H6573" i="1"/>
  <c r="I6573" i="1" a="1"/>
  <c r="I6573" i="1" s="1"/>
  <c r="J6573" i="1" s="1"/>
  <c r="D6574" i="1"/>
  <c r="F6574" i="1"/>
  <c r="H6574" i="1"/>
  <c r="I6574" i="1" a="1"/>
  <c r="I6574" i="1" s="1"/>
  <c r="J6574" i="1" s="1"/>
  <c r="D6575" i="1"/>
  <c r="F6575" i="1"/>
  <c r="H6575" i="1"/>
  <c r="I6575" i="1" a="1"/>
  <c r="I6575" i="1" s="1"/>
  <c r="J6575" i="1" s="1"/>
  <c r="D6576" i="1"/>
  <c r="F6576" i="1"/>
  <c r="H6576" i="1"/>
  <c r="I6576" i="1" a="1"/>
  <c r="I6576" i="1" s="1"/>
  <c r="J6576" i="1" s="1"/>
  <c r="D6577" i="1"/>
  <c r="F6577" i="1"/>
  <c r="H6577" i="1"/>
  <c r="I6577" i="1" a="1"/>
  <c r="I6577" i="1" s="1"/>
  <c r="J6577" i="1" s="1"/>
  <c r="D6578" i="1"/>
  <c r="F6578" i="1"/>
  <c r="H6578" i="1"/>
  <c r="I6578" i="1" a="1"/>
  <c r="I6578" i="1" s="1"/>
  <c r="J6578" i="1" s="1"/>
  <c r="D6579" i="1"/>
  <c r="F6579" i="1"/>
  <c r="H6579" i="1"/>
  <c r="I6579" i="1" a="1"/>
  <c r="I6579" i="1" s="1"/>
  <c r="J6579" i="1" s="1"/>
  <c r="D6580" i="1"/>
  <c r="F6580" i="1"/>
  <c r="H6580" i="1"/>
  <c r="I6580" i="1" a="1"/>
  <c r="I6580" i="1" s="1"/>
  <c r="J6580" i="1" s="1"/>
  <c r="D6581" i="1"/>
  <c r="F6581" i="1"/>
  <c r="H6581" i="1"/>
  <c r="I6581" i="1" a="1"/>
  <c r="I6581" i="1" s="1"/>
  <c r="J6581" i="1" s="1"/>
  <c r="D6582" i="1"/>
  <c r="F6582" i="1"/>
  <c r="H6582" i="1"/>
  <c r="I6582" i="1" a="1"/>
  <c r="I6582" i="1" s="1"/>
  <c r="J6582" i="1" s="1"/>
  <c r="D6583" i="1"/>
  <c r="F6583" i="1"/>
  <c r="H6583" i="1"/>
  <c r="I6583" i="1" a="1"/>
  <c r="I6583" i="1" s="1"/>
  <c r="J6583" i="1" s="1"/>
  <c r="D6584" i="1"/>
  <c r="F6584" i="1"/>
  <c r="H6584" i="1"/>
  <c r="I6584" i="1" a="1"/>
  <c r="I6584" i="1" s="1"/>
  <c r="J6584" i="1" s="1"/>
  <c r="D6585" i="1"/>
  <c r="F6585" i="1"/>
  <c r="H6585" i="1"/>
  <c r="I6585" i="1" a="1"/>
  <c r="I6585" i="1" s="1"/>
  <c r="J6585" i="1" s="1"/>
  <c r="D6586" i="1"/>
  <c r="F6586" i="1"/>
  <c r="H6586" i="1"/>
  <c r="I6586" i="1" a="1"/>
  <c r="I6586" i="1" s="1"/>
  <c r="J6586" i="1" s="1"/>
  <c r="D6587" i="1"/>
  <c r="F6587" i="1"/>
  <c r="H6587" i="1"/>
  <c r="I6587" i="1" a="1"/>
  <c r="I6587" i="1" s="1"/>
  <c r="J6587" i="1" s="1"/>
  <c r="D6588" i="1"/>
  <c r="F6588" i="1"/>
  <c r="H6588" i="1"/>
  <c r="I6588" i="1" a="1"/>
  <c r="I6588" i="1" s="1"/>
  <c r="J6588" i="1" s="1"/>
  <c r="D6589" i="1"/>
  <c r="F6589" i="1"/>
  <c r="H6589" i="1"/>
  <c r="I6589" i="1" a="1"/>
  <c r="I6589" i="1" s="1"/>
  <c r="J6589" i="1" s="1"/>
  <c r="D6590" i="1"/>
  <c r="F6590" i="1"/>
  <c r="H6590" i="1"/>
  <c r="I6590" i="1" a="1"/>
  <c r="I6590" i="1" s="1"/>
  <c r="J6590" i="1" s="1"/>
  <c r="D6591" i="1"/>
  <c r="F6591" i="1"/>
  <c r="H6591" i="1"/>
  <c r="I6591" i="1" a="1"/>
  <c r="I6591" i="1" s="1"/>
  <c r="J6591" i="1" s="1"/>
  <c r="D6592" i="1"/>
  <c r="F6592" i="1"/>
  <c r="H6592" i="1"/>
  <c r="I6592" i="1" a="1"/>
  <c r="I6592" i="1" s="1"/>
  <c r="J6592" i="1" s="1"/>
  <c r="D6593" i="1"/>
  <c r="F6593" i="1"/>
  <c r="H6593" i="1"/>
  <c r="I6593" i="1" a="1"/>
  <c r="I6593" i="1" s="1"/>
  <c r="J6593" i="1" s="1"/>
  <c r="D6594" i="1"/>
  <c r="F6594" i="1"/>
  <c r="H6594" i="1"/>
  <c r="I6594" i="1" a="1"/>
  <c r="I6594" i="1" s="1"/>
  <c r="J6594" i="1" s="1"/>
  <c r="D6595" i="1"/>
  <c r="F6595" i="1"/>
  <c r="H6595" i="1"/>
  <c r="I6595" i="1" a="1"/>
  <c r="I6595" i="1" s="1"/>
  <c r="J6595" i="1" s="1"/>
  <c r="D6596" i="1"/>
  <c r="F6596" i="1"/>
  <c r="H6596" i="1"/>
  <c r="I6596" i="1" a="1"/>
  <c r="I6596" i="1" s="1"/>
  <c r="J6596" i="1" s="1"/>
  <c r="D6597" i="1"/>
  <c r="F6597" i="1"/>
  <c r="H6597" i="1"/>
  <c r="I6597" i="1" a="1"/>
  <c r="I6597" i="1" s="1"/>
  <c r="J6597" i="1" s="1"/>
  <c r="D6598" i="1"/>
  <c r="F6598" i="1"/>
  <c r="H6598" i="1"/>
  <c r="I6598" i="1" a="1"/>
  <c r="I6598" i="1" s="1"/>
  <c r="J6598" i="1" s="1"/>
  <c r="D6599" i="1"/>
  <c r="F6599" i="1"/>
  <c r="H6599" i="1"/>
  <c r="I6599" i="1" a="1"/>
  <c r="I6599" i="1" s="1"/>
  <c r="J6599" i="1" s="1"/>
  <c r="D6600" i="1"/>
  <c r="F6600" i="1"/>
  <c r="H6600" i="1"/>
  <c r="I6600" i="1" a="1"/>
  <c r="I6600" i="1" s="1"/>
  <c r="J6600" i="1" s="1"/>
  <c r="D6601" i="1"/>
  <c r="F6601" i="1"/>
  <c r="H6601" i="1"/>
  <c r="I6601" i="1" a="1"/>
  <c r="I6601" i="1" s="1"/>
  <c r="J6601" i="1" s="1"/>
  <c r="D6602" i="1"/>
  <c r="F6602" i="1"/>
  <c r="H6602" i="1"/>
  <c r="I6602" i="1" a="1"/>
  <c r="I6602" i="1" s="1"/>
  <c r="J6602" i="1" s="1"/>
  <c r="D6603" i="1"/>
  <c r="F6603" i="1"/>
  <c r="H6603" i="1"/>
  <c r="I6603" i="1" a="1"/>
  <c r="I6603" i="1" s="1"/>
  <c r="J6603" i="1" s="1"/>
  <c r="D6604" i="1"/>
  <c r="F6604" i="1"/>
  <c r="H6604" i="1"/>
  <c r="I6604" i="1" a="1"/>
  <c r="I6604" i="1" s="1"/>
  <c r="J6604" i="1" s="1"/>
  <c r="D6605" i="1"/>
  <c r="F6605" i="1"/>
  <c r="H6605" i="1"/>
  <c r="I6605" i="1" a="1"/>
  <c r="I6605" i="1" s="1"/>
  <c r="J6605" i="1" s="1"/>
  <c r="D6606" i="1"/>
  <c r="F6606" i="1"/>
  <c r="H6606" i="1"/>
  <c r="I6606" i="1" a="1"/>
  <c r="I6606" i="1" s="1"/>
  <c r="J6606" i="1" s="1"/>
  <c r="D6607" i="1"/>
  <c r="F6607" i="1"/>
  <c r="H6607" i="1"/>
  <c r="I6607" i="1" a="1"/>
  <c r="I6607" i="1" s="1"/>
  <c r="J6607" i="1" s="1"/>
  <c r="D6608" i="1"/>
  <c r="F6608" i="1"/>
  <c r="H6608" i="1"/>
  <c r="I6608" i="1" a="1"/>
  <c r="I6608" i="1" s="1"/>
  <c r="J6608" i="1" s="1"/>
  <c r="D6609" i="1"/>
  <c r="F6609" i="1"/>
  <c r="H6609" i="1"/>
  <c r="I6609" i="1" a="1"/>
  <c r="I6609" i="1" s="1"/>
  <c r="J6609" i="1" s="1"/>
  <c r="D6610" i="1"/>
  <c r="F6610" i="1"/>
  <c r="H6610" i="1"/>
  <c r="I6610" i="1" a="1"/>
  <c r="I6610" i="1" s="1"/>
  <c r="J6610" i="1" s="1"/>
  <c r="D6611" i="1"/>
  <c r="F6611" i="1"/>
  <c r="H6611" i="1"/>
  <c r="I6611" i="1" a="1"/>
  <c r="I6611" i="1" s="1"/>
  <c r="J6611" i="1" s="1"/>
  <c r="D6612" i="1"/>
  <c r="F6612" i="1"/>
  <c r="H6612" i="1"/>
  <c r="I6612" i="1" a="1"/>
  <c r="I6612" i="1" s="1"/>
  <c r="J6612" i="1" s="1"/>
  <c r="D6613" i="1"/>
  <c r="F6613" i="1"/>
  <c r="H6613" i="1"/>
  <c r="I6613" i="1" a="1"/>
  <c r="I6613" i="1" s="1"/>
  <c r="J6613" i="1" s="1"/>
  <c r="D6614" i="1"/>
  <c r="F6614" i="1"/>
  <c r="H6614" i="1"/>
  <c r="I6614" i="1" a="1"/>
  <c r="I6614" i="1" s="1"/>
  <c r="J6614" i="1" s="1"/>
  <c r="D6615" i="1"/>
  <c r="F6615" i="1"/>
  <c r="H6615" i="1"/>
  <c r="I6615" i="1" a="1"/>
  <c r="I6615" i="1" s="1"/>
  <c r="J6615" i="1" s="1"/>
  <c r="D6616" i="1"/>
  <c r="F6616" i="1"/>
  <c r="H6616" i="1"/>
  <c r="I6616" i="1" a="1"/>
  <c r="I6616" i="1" s="1"/>
  <c r="J6616" i="1" s="1"/>
  <c r="D6617" i="1"/>
  <c r="F6617" i="1"/>
  <c r="H6617" i="1"/>
  <c r="I6617" i="1" a="1"/>
  <c r="I6617" i="1" s="1"/>
  <c r="J6617" i="1" s="1"/>
  <c r="D6618" i="1"/>
  <c r="F6618" i="1"/>
  <c r="H6618" i="1"/>
  <c r="I6618" i="1" a="1"/>
  <c r="I6618" i="1" s="1"/>
  <c r="J6618" i="1" s="1"/>
  <c r="D6619" i="1"/>
  <c r="F6619" i="1"/>
  <c r="H6619" i="1"/>
  <c r="I6619" i="1" a="1"/>
  <c r="I6619" i="1" s="1"/>
  <c r="J6619" i="1" s="1"/>
  <c r="D6620" i="1"/>
  <c r="F6620" i="1"/>
  <c r="H6620" i="1"/>
  <c r="I6620" i="1" a="1"/>
  <c r="I6620" i="1" s="1"/>
  <c r="J6620" i="1" s="1"/>
  <c r="D6621" i="1"/>
  <c r="F6621" i="1"/>
  <c r="H6621" i="1"/>
  <c r="I6621" i="1" a="1"/>
  <c r="I6621" i="1" s="1"/>
  <c r="J6621" i="1" s="1"/>
  <c r="D6622" i="1"/>
  <c r="F6622" i="1"/>
  <c r="H6622" i="1"/>
  <c r="I6622" i="1" a="1"/>
  <c r="I6622" i="1" s="1"/>
  <c r="J6622" i="1" s="1"/>
  <c r="D6623" i="1"/>
  <c r="F6623" i="1"/>
  <c r="H6623" i="1"/>
  <c r="I6623" i="1" a="1"/>
  <c r="I6623" i="1" s="1"/>
  <c r="J6623" i="1" s="1"/>
  <c r="D6624" i="1"/>
  <c r="F6624" i="1"/>
  <c r="H6624" i="1"/>
  <c r="I6624" i="1" a="1"/>
  <c r="I6624" i="1" s="1"/>
  <c r="J6624" i="1" s="1"/>
  <c r="D6625" i="1"/>
  <c r="F6625" i="1"/>
  <c r="H6625" i="1"/>
  <c r="I6625" i="1" a="1"/>
  <c r="I6625" i="1" s="1"/>
  <c r="J6625" i="1" s="1"/>
  <c r="D6626" i="1"/>
  <c r="F6626" i="1"/>
  <c r="H6626" i="1"/>
  <c r="I6626" i="1" a="1"/>
  <c r="I6626" i="1" s="1"/>
  <c r="J6626" i="1" s="1"/>
  <c r="D6627" i="1"/>
  <c r="F6627" i="1"/>
  <c r="H6627" i="1"/>
  <c r="I6627" i="1" a="1"/>
  <c r="I6627" i="1" s="1"/>
  <c r="J6627" i="1" s="1"/>
  <c r="D6628" i="1"/>
  <c r="F6628" i="1"/>
  <c r="H6628" i="1"/>
  <c r="I6628" i="1" a="1"/>
  <c r="I6628" i="1" s="1"/>
  <c r="J6628" i="1" s="1"/>
  <c r="D6629" i="1"/>
  <c r="F6629" i="1"/>
  <c r="H6629" i="1"/>
  <c r="I6629" i="1" a="1"/>
  <c r="I6629" i="1" s="1"/>
  <c r="J6629" i="1" s="1"/>
  <c r="D6630" i="1"/>
  <c r="F6630" i="1"/>
  <c r="H6630" i="1"/>
  <c r="I6630" i="1" a="1"/>
  <c r="I6630" i="1" s="1"/>
  <c r="J6630" i="1" s="1"/>
  <c r="D6631" i="1"/>
  <c r="F6631" i="1"/>
  <c r="H6631" i="1"/>
  <c r="I6631" i="1" a="1"/>
  <c r="I6631" i="1" s="1"/>
  <c r="J6631" i="1" s="1"/>
  <c r="D6632" i="1"/>
  <c r="F6632" i="1"/>
  <c r="H6632" i="1"/>
  <c r="I6632" i="1" a="1"/>
  <c r="I6632" i="1" s="1"/>
  <c r="J6632" i="1" s="1"/>
  <c r="D6633" i="1"/>
  <c r="F6633" i="1"/>
  <c r="H6633" i="1"/>
  <c r="I6633" i="1" a="1"/>
  <c r="I6633" i="1" s="1"/>
  <c r="J6633" i="1" s="1"/>
  <c r="D6634" i="1"/>
  <c r="F6634" i="1"/>
  <c r="H6634" i="1"/>
  <c r="I6634" i="1" a="1"/>
  <c r="I6634" i="1" s="1"/>
  <c r="J6634" i="1" s="1"/>
  <c r="D6635" i="1"/>
  <c r="F6635" i="1"/>
  <c r="H6635" i="1"/>
  <c r="I6635" i="1" a="1"/>
  <c r="I6635" i="1" s="1"/>
  <c r="J6635" i="1" s="1"/>
  <c r="D6636" i="1"/>
  <c r="F6636" i="1"/>
  <c r="H6636" i="1"/>
  <c r="I6636" i="1" a="1"/>
  <c r="I6636" i="1" s="1"/>
  <c r="J6636" i="1" s="1"/>
  <c r="D6637" i="1"/>
  <c r="F6637" i="1"/>
  <c r="H6637" i="1"/>
  <c r="I6637" i="1" a="1"/>
  <c r="I6637" i="1" s="1"/>
  <c r="J6637" i="1" s="1"/>
  <c r="D6638" i="1"/>
  <c r="F6638" i="1"/>
  <c r="H6638" i="1"/>
  <c r="I6638" i="1" a="1"/>
  <c r="I6638" i="1" s="1"/>
  <c r="J6638" i="1" s="1"/>
  <c r="D6639" i="1"/>
  <c r="F6639" i="1"/>
  <c r="H6639" i="1"/>
  <c r="I6639" i="1" a="1"/>
  <c r="I6639" i="1" s="1"/>
  <c r="J6639" i="1" s="1"/>
  <c r="D6640" i="1"/>
  <c r="F6640" i="1"/>
  <c r="H6640" i="1"/>
  <c r="I6640" i="1" a="1"/>
  <c r="I6640" i="1" s="1"/>
  <c r="D6641" i="1"/>
  <c r="F6641" i="1"/>
  <c r="H6641" i="1"/>
  <c r="I6641" i="1" a="1"/>
  <c r="I6641" i="1" s="1"/>
  <c r="J6641" i="1" s="1"/>
  <c r="D6642" i="1"/>
  <c r="F6642" i="1"/>
  <c r="H6642" i="1"/>
  <c r="I6642" i="1" a="1"/>
  <c r="I6642" i="1" s="1"/>
  <c r="J6642" i="1" s="1"/>
  <c r="D6643" i="1"/>
  <c r="F6643" i="1"/>
  <c r="H6643" i="1"/>
  <c r="I6643" i="1" a="1"/>
  <c r="I6643" i="1" s="1"/>
  <c r="J6643" i="1" s="1"/>
  <c r="D6644" i="1"/>
  <c r="F6644" i="1"/>
  <c r="H6644" i="1"/>
  <c r="I6644" i="1" a="1"/>
  <c r="I6644" i="1" s="1"/>
  <c r="J6644" i="1" s="1"/>
  <c r="D6645" i="1"/>
  <c r="F6645" i="1"/>
  <c r="H6645" i="1"/>
  <c r="I6645" i="1" a="1"/>
  <c r="I6645" i="1" s="1"/>
  <c r="J6645" i="1" s="1"/>
  <c r="D6646" i="1"/>
  <c r="F6646" i="1"/>
  <c r="H6646" i="1"/>
  <c r="I6646" i="1" a="1"/>
  <c r="I6646" i="1" s="1"/>
  <c r="J6646" i="1" s="1"/>
  <c r="D6647" i="1"/>
  <c r="F6647" i="1"/>
  <c r="H6647" i="1"/>
  <c r="I6647" i="1" a="1"/>
  <c r="I6647" i="1" s="1"/>
  <c r="D6648" i="1"/>
  <c r="F6648" i="1"/>
  <c r="H6648" i="1"/>
  <c r="I6648" i="1" a="1"/>
  <c r="I6648" i="1" s="1"/>
  <c r="J6648" i="1" s="1"/>
  <c r="D6649" i="1"/>
  <c r="F6649" i="1"/>
  <c r="H6649" i="1"/>
  <c r="I6649" i="1" a="1"/>
  <c r="I6649" i="1" s="1"/>
  <c r="J6649" i="1" s="1"/>
  <c r="D6650" i="1"/>
  <c r="F6650" i="1"/>
  <c r="H6650" i="1"/>
  <c r="I6650" i="1" a="1"/>
  <c r="I6650" i="1" s="1"/>
  <c r="J6650" i="1" s="1"/>
  <c r="D6651" i="1"/>
  <c r="F6651" i="1"/>
  <c r="H6651" i="1"/>
  <c r="I6651" i="1" a="1"/>
  <c r="I6651" i="1" s="1"/>
  <c r="J6651" i="1" s="1"/>
  <c r="D6652" i="1"/>
  <c r="F6652" i="1"/>
  <c r="H6652" i="1"/>
  <c r="I6652" i="1" a="1"/>
  <c r="I6652" i="1" s="1"/>
  <c r="J6652" i="1" s="1"/>
  <c r="D6653" i="1"/>
  <c r="F6653" i="1"/>
  <c r="H6653" i="1"/>
  <c r="I6653" i="1" a="1"/>
  <c r="I6653" i="1" s="1"/>
  <c r="J6653" i="1" s="1"/>
  <c r="D6654" i="1"/>
  <c r="F6654" i="1"/>
  <c r="H6654" i="1"/>
  <c r="I6654" i="1" a="1"/>
  <c r="I6654" i="1" s="1"/>
  <c r="J6654" i="1" s="1"/>
  <c r="D6655" i="1"/>
  <c r="F6655" i="1"/>
  <c r="H6655" i="1"/>
  <c r="I6655" i="1" a="1"/>
  <c r="I6655" i="1" s="1"/>
  <c r="J6655" i="1" s="1"/>
  <c r="D6656" i="1"/>
  <c r="F6656" i="1"/>
  <c r="H6656" i="1"/>
  <c r="I6656" i="1" a="1"/>
  <c r="I6656" i="1" s="1"/>
  <c r="J6656" i="1" s="1"/>
  <c r="D6657" i="1"/>
  <c r="F6657" i="1"/>
  <c r="H6657" i="1"/>
  <c r="I6657" i="1" a="1"/>
  <c r="I6657" i="1" s="1"/>
  <c r="J6657" i="1" s="1"/>
  <c r="D6658" i="1"/>
  <c r="F6658" i="1"/>
  <c r="H6658" i="1"/>
  <c r="I6658" i="1" a="1"/>
  <c r="I6658" i="1" s="1"/>
  <c r="J6658" i="1" s="1"/>
  <c r="D6659" i="1"/>
  <c r="F6659" i="1"/>
  <c r="H6659" i="1"/>
  <c r="I6659" i="1" a="1"/>
  <c r="I6659" i="1" s="1"/>
  <c r="D6660" i="1"/>
  <c r="F6660" i="1"/>
  <c r="H6660" i="1"/>
  <c r="I6660" i="1" a="1"/>
  <c r="I6660" i="1" s="1"/>
  <c r="D6661" i="1"/>
  <c r="F6661" i="1"/>
  <c r="H6661" i="1"/>
  <c r="I6661" i="1" a="1"/>
  <c r="I6661" i="1" s="1"/>
  <c r="J6661" i="1" s="1"/>
  <c r="D6662" i="1"/>
  <c r="F6662" i="1"/>
  <c r="H6662" i="1"/>
  <c r="I6662" i="1" a="1"/>
  <c r="I6662" i="1" s="1"/>
  <c r="J6662" i="1" s="1"/>
  <c r="D6663" i="1"/>
  <c r="F6663" i="1"/>
  <c r="H6663" i="1"/>
  <c r="I6663" i="1" a="1"/>
  <c r="I6663" i="1" s="1"/>
  <c r="J6663" i="1" s="1"/>
  <c r="D6664" i="1"/>
  <c r="F6664" i="1"/>
  <c r="H6664" i="1"/>
  <c r="I6664" i="1" a="1"/>
  <c r="I6664" i="1" s="1"/>
  <c r="J6664" i="1" s="1"/>
  <c r="D6665" i="1"/>
  <c r="F6665" i="1"/>
  <c r="H6665" i="1"/>
  <c r="I6665" i="1" a="1"/>
  <c r="I6665" i="1" s="1"/>
  <c r="J6665" i="1" s="1"/>
  <c r="D6666" i="1"/>
  <c r="F6666" i="1"/>
  <c r="H6666" i="1"/>
  <c r="I6666" i="1" a="1"/>
  <c r="I6666" i="1" s="1"/>
  <c r="J6666" i="1" s="1"/>
  <c r="D6667" i="1"/>
  <c r="F6667" i="1"/>
  <c r="H6667" i="1"/>
  <c r="I6667" i="1" a="1"/>
  <c r="I6667" i="1" s="1"/>
  <c r="J6667" i="1" s="1"/>
  <c r="D6668" i="1"/>
  <c r="F6668" i="1"/>
  <c r="H6668" i="1"/>
  <c r="I6668" i="1" a="1"/>
  <c r="I6668" i="1" s="1"/>
  <c r="J6668" i="1" s="1"/>
  <c r="D6669" i="1"/>
  <c r="F6669" i="1"/>
  <c r="H6669" i="1"/>
  <c r="I6669" i="1" a="1"/>
  <c r="I6669" i="1" s="1"/>
  <c r="J6669" i="1" s="1"/>
  <c r="D6670" i="1"/>
  <c r="F6670" i="1"/>
  <c r="H6670" i="1"/>
  <c r="I6670" i="1" a="1"/>
  <c r="I6670" i="1" s="1"/>
  <c r="J6670" i="1" s="1"/>
  <c r="D6671" i="1"/>
  <c r="F6671" i="1"/>
  <c r="H6671" i="1"/>
  <c r="I6671" i="1" a="1"/>
  <c r="I6671" i="1" s="1"/>
  <c r="J6671" i="1" s="1"/>
  <c r="D6672" i="1"/>
  <c r="F6672" i="1"/>
  <c r="H6672" i="1"/>
  <c r="I6672" i="1" a="1"/>
  <c r="I6672" i="1" s="1"/>
  <c r="J6672" i="1" s="1"/>
  <c r="D6673" i="1"/>
  <c r="F6673" i="1"/>
  <c r="H6673" i="1"/>
  <c r="I6673" i="1" a="1"/>
  <c r="I6673" i="1" s="1"/>
  <c r="J6673" i="1" s="1"/>
  <c r="D6674" i="1"/>
  <c r="F6674" i="1"/>
  <c r="H6674" i="1"/>
  <c r="I6674" i="1" a="1"/>
  <c r="I6674" i="1" s="1"/>
  <c r="D6675" i="1"/>
  <c r="F6675" i="1"/>
  <c r="H6675" i="1"/>
  <c r="I6675" i="1" a="1"/>
  <c r="I6675" i="1" s="1"/>
  <c r="J6675" i="1" s="1"/>
  <c r="D6676" i="1"/>
  <c r="F6676" i="1"/>
  <c r="H6676" i="1"/>
  <c r="I6676" i="1" a="1"/>
  <c r="I6676" i="1" s="1"/>
  <c r="J6676" i="1" s="1"/>
  <c r="D6677" i="1"/>
  <c r="F6677" i="1"/>
  <c r="H6677" i="1"/>
  <c r="I6677" i="1" a="1"/>
  <c r="I6677" i="1" s="1"/>
  <c r="J6677" i="1" s="1"/>
  <c r="D6678" i="1"/>
  <c r="F6678" i="1"/>
  <c r="H6678" i="1"/>
  <c r="I6678" i="1" a="1"/>
  <c r="I6678" i="1" s="1"/>
  <c r="J6678" i="1" s="1"/>
  <c r="D6679" i="1"/>
  <c r="F6679" i="1"/>
  <c r="H6679" i="1"/>
  <c r="I6679" i="1" a="1"/>
  <c r="I6679" i="1" s="1"/>
  <c r="J6679" i="1" s="1"/>
  <c r="D6680" i="1"/>
  <c r="F6680" i="1"/>
  <c r="H6680" i="1"/>
  <c r="I6680" i="1" a="1"/>
  <c r="I6680" i="1" s="1"/>
  <c r="J6680" i="1" s="1"/>
  <c r="D6681" i="1"/>
  <c r="F6681" i="1"/>
  <c r="H6681" i="1"/>
  <c r="I6681" i="1" a="1"/>
  <c r="I6681" i="1" s="1"/>
  <c r="J6681" i="1" s="1"/>
  <c r="D6682" i="1"/>
  <c r="F6682" i="1"/>
  <c r="H6682" i="1"/>
  <c r="I6682" i="1" a="1"/>
  <c r="I6682" i="1" s="1"/>
  <c r="J6682" i="1" s="1"/>
  <c r="D6683" i="1"/>
  <c r="F6683" i="1"/>
  <c r="H6683" i="1"/>
  <c r="I6683" i="1" a="1"/>
  <c r="I6683" i="1" s="1"/>
  <c r="J6683" i="1" s="1"/>
  <c r="D6684" i="1"/>
  <c r="F6684" i="1"/>
  <c r="H6684" i="1"/>
  <c r="I6684" i="1" a="1"/>
  <c r="I6684" i="1" s="1"/>
  <c r="J6684" i="1" s="1"/>
  <c r="D6685" i="1"/>
  <c r="F6685" i="1"/>
  <c r="H6685" i="1"/>
  <c r="I6685" i="1" a="1"/>
  <c r="I6685" i="1" s="1"/>
  <c r="J6685" i="1" s="1"/>
  <c r="D6686" i="1"/>
  <c r="F6686" i="1"/>
  <c r="H6686" i="1"/>
  <c r="I6686" i="1" a="1"/>
  <c r="I6686" i="1" s="1"/>
  <c r="J6686" i="1" s="1"/>
  <c r="D6687" i="1"/>
  <c r="F6687" i="1"/>
  <c r="H6687" i="1"/>
  <c r="I6687" i="1" a="1"/>
  <c r="I6687" i="1" s="1"/>
  <c r="J6687" i="1" s="1"/>
  <c r="D6688" i="1"/>
  <c r="F6688" i="1"/>
  <c r="H6688" i="1"/>
  <c r="I6688" i="1" a="1"/>
  <c r="I6688" i="1" s="1"/>
  <c r="J6688" i="1" s="1"/>
  <c r="D6689" i="1"/>
  <c r="F6689" i="1"/>
  <c r="H6689" i="1"/>
  <c r="I6689" i="1" a="1"/>
  <c r="I6689" i="1" s="1"/>
  <c r="J6689" i="1" s="1"/>
  <c r="D6690" i="1"/>
  <c r="F6690" i="1"/>
  <c r="H6690" i="1"/>
  <c r="I6690" i="1" a="1"/>
  <c r="I6690" i="1" s="1"/>
  <c r="D6691" i="1"/>
  <c r="F6691" i="1"/>
  <c r="H6691" i="1"/>
  <c r="I6691" i="1" a="1"/>
  <c r="I6691" i="1" s="1"/>
  <c r="J6691" i="1" s="1"/>
  <c r="D6692" i="1"/>
  <c r="F6692" i="1"/>
  <c r="H6692" i="1"/>
  <c r="I6692" i="1" a="1"/>
  <c r="I6692" i="1" s="1"/>
  <c r="J6692" i="1" s="1"/>
  <c r="D6693" i="1"/>
  <c r="F6693" i="1"/>
  <c r="H6693" i="1"/>
  <c r="I6693" i="1" a="1"/>
  <c r="I6693" i="1" s="1"/>
  <c r="J6693" i="1" s="1"/>
  <c r="D6694" i="1"/>
  <c r="F6694" i="1"/>
  <c r="H6694" i="1"/>
  <c r="I6694" i="1" a="1"/>
  <c r="I6694" i="1" s="1"/>
  <c r="J6694" i="1" s="1"/>
  <c r="D2" i="1"/>
  <c r="F2" i="1"/>
  <c r="H2" i="1"/>
  <c r="I2" i="1" a="1"/>
  <c r="I2" i="1" s="1"/>
  <c r="J6690" i="1" l="1"/>
  <c r="J6674" i="1"/>
  <c r="J6556" i="1"/>
  <c r="J3406" i="1"/>
  <c r="J6640" i="1"/>
  <c r="J3329" i="1"/>
  <c r="J3194" i="1"/>
  <c r="J3175" i="1"/>
  <c r="J6475" i="1"/>
  <c r="J6481" i="1"/>
  <c r="J3267" i="1"/>
  <c r="J3390" i="1"/>
  <c r="J2932" i="1"/>
  <c r="J3484" i="1"/>
  <c r="J3255" i="1"/>
  <c r="J3082" i="1"/>
  <c r="J3431" i="1"/>
  <c r="J3524" i="1"/>
  <c r="J3384" i="1"/>
  <c r="J3130" i="1"/>
  <c r="J2954" i="1"/>
  <c r="J6659" i="1"/>
  <c r="J3565" i="1"/>
  <c r="J3486" i="1"/>
  <c r="J3048" i="1"/>
  <c r="J3501" i="1"/>
  <c r="J3039" i="1"/>
  <c r="J3276" i="1"/>
  <c r="J6660" i="1"/>
  <c r="J2983" i="1"/>
  <c r="J2959" i="1"/>
  <c r="J2896" i="1"/>
  <c r="J6561" i="1"/>
  <c r="J6492" i="1"/>
  <c r="J3333" i="1"/>
  <c r="J3321" i="1"/>
  <c r="J2994" i="1"/>
  <c r="J6479" i="1"/>
  <c r="J3492" i="1"/>
  <c r="J3320" i="1"/>
  <c r="J3148" i="1"/>
  <c r="J2976" i="1"/>
  <c r="J3437" i="1"/>
  <c r="J3286" i="1"/>
  <c r="J3103" i="1"/>
  <c r="J3526" i="1"/>
  <c r="J2968" i="1"/>
  <c r="J3446" i="1"/>
  <c r="J3173" i="1"/>
  <c r="J6405" i="1"/>
  <c r="J6404" i="1"/>
  <c r="J6403" i="1"/>
  <c r="J6402" i="1"/>
  <c r="J6401" i="1"/>
  <c r="J6400" i="1"/>
  <c r="J6399" i="1"/>
  <c r="J6398" i="1"/>
  <c r="J6397" i="1"/>
  <c r="J6396" i="1"/>
  <c r="J6395" i="1"/>
  <c r="J6394" i="1"/>
  <c r="J6393" i="1"/>
  <c r="J6392" i="1"/>
  <c r="J6391" i="1"/>
  <c r="J6390" i="1"/>
  <c r="J6389" i="1"/>
  <c r="J6388" i="1"/>
  <c r="J6387" i="1"/>
  <c r="J6386" i="1"/>
  <c r="J6385" i="1"/>
  <c r="J6384" i="1"/>
  <c r="J6383" i="1"/>
  <c r="J6382" i="1"/>
  <c r="J6381" i="1"/>
  <c r="J6380" i="1"/>
  <c r="J6379" i="1"/>
  <c r="J6378" i="1"/>
  <c r="J6377" i="1"/>
  <c r="J6376" i="1"/>
  <c r="J6375" i="1"/>
  <c r="J6374" i="1"/>
  <c r="J6373" i="1"/>
  <c r="J6372" i="1"/>
  <c r="J6371" i="1"/>
  <c r="J6370" i="1"/>
  <c r="J6369" i="1"/>
  <c r="J6368" i="1"/>
  <c r="J6367" i="1"/>
  <c r="J6366" i="1"/>
  <c r="J6365" i="1"/>
  <c r="J6364" i="1"/>
  <c r="J6363" i="1"/>
  <c r="J6362" i="1"/>
  <c r="J6361" i="1"/>
  <c r="J6360" i="1"/>
  <c r="J6359" i="1"/>
  <c r="J6358" i="1"/>
  <c r="J6357" i="1"/>
  <c r="J6356" i="1"/>
  <c r="J6355" i="1"/>
  <c r="J6354" i="1"/>
  <c r="J6353" i="1"/>
  <c r="J6352" i="1"/>
  <c r="J6351" i="1"/>
  <c r="J6350" i="1"/>
  <c r="J6349" i="1"/>
  <c r="J6348" i="1"/>
  <c r="J6347" i="1"/>
  <c r="J6346" i="1"/>
  <c r="J6345" i="1"/>
  <c r="J6344" i="1"/>
  <c r="J6343" i="1"/>
  <c r="J6342" i="1"/>
  <c r="J6341" i="1"/>
  <c r="J6340" i="1"/>
  <c r="J6339" i="1"/>
  <c r="J6338" i="1"/>
  <c r="J6337" i="1"/>
  <c r="J6335" i="1"/>
  <c r="J6334" i="1"/>
  <c r="J6333" i="1"/>
  <c r="J6332" i="1"/>
  <c r="J6331" i="1"/>
  <c r="J6330" i="1"/>
  <c r="J6329" i="1"/>
  <c r="J6328" i="1"/>
  <c r="J6326" i="1"/>
  <c r="J6325" i="1"/>
  <c r="J6324" i="1"/>
  <c r="J6323" i="1"/>
  <c r="J6322" i="1"/>
  <c r="J6321" i="1"/>
  <c r="J6320" i="1"/>
  <c r="J4635" i="1"/>
  <c r="J6327" i="1"/>
  <c r="J6319" i="1"/>
  <c r="J6318" i="1"/>
  <c r="J6317" i="1"/>
  <c r="J6316" i="1"/>
  <c r="J6315" i="1"/>
  <c r="J6314" i="1"/>
  <c r="J6313" i="1"/>
  <c r="J6312" i="1"/>
  <c r="J6311" i="1"/>
  <c r="J6309" i="1"/>
  <c r="J6308" i="1"/>
  <c r="J6307" i="1"/>
  <c r="J6306" i="1"/>
  <c r="J6305" i="1"/>
  <c r="J6304" i="1"/>
  <c r="J6303" i="1"/>
  <c r="J6302" i="1"/>
  <c r="J6301" i="1"/>
  <c r="J6300" i="1"/>
  <c r="J6299" i="1"/>
  <c r="J6298" i="1"/>
  <c r="J6297" i="1"/>
  <c r="J6296" i="1"/>
  <c r="J6295" i="1"/>
  <c r="J6294" i="1"/>
  <c r="J6293" i="1"/>
  <c r="J6292" i="1"/>
  <c r="J6291" i="1"/>
  <c r="J6290" i="1"/>
  <c r="J6289" i="1"/>
  <c r="J6288" i="1"/>
  <c r="J6287" i="1"/>
  <c r="J6286" i="1"/>
  <c r="J6285" i="1"/>
  <c r="J6284" i="1"/>
  <c r="J6283" i="1"/>
  <c r="J6282" i="1"/>
  <c r="J6281" i="1"/>
  <c r="J6280" i="1"/>
  <c r="J6279" i="1"/>
  <c r="J6278" i="1"/>
  <c r="J6277" i="1"/>
  <c r="J6276" i="1"/>
  <c r="J6275" i="1"/>
  <c r="J6274" i="1"/>
  <c r="J6273" i="1"/>
  <c r="J6272" i="1"/>
  <c r="J6271" i="1"/>
  <c r="J6270" i="1"/>
  <c r="J6269" i="1"/>
  <c r="J6268" i="1"/>
  <c r="J6267" i="1"/>
  <c r="J6266" i="1"/>
  <c r="J6265" i="1"/>
  <c r="J6264" i="1"/>
  <c r="J6263" i="1"/>
  <c r="J6262" i="1"/>
  <c r="J6261" i="1"/>
  <c r="J6260" i="1"/>
  <c r="J6259" i="1"/>
  <c r="J6258" i="1"/>
  <c r="J6257" i="1"/>
  <c r="J6256" i="1"/>
  <c r="J6255" i="1"/>
  <c r="J6254" i="1"/>
  <c r="J6253" i="1"/>
  <c r="J6252" i="1"/>
  <c r="J6251" i="1"/>
  <c r="J6250" i="1"/>
  <c r="J6249" i="1"/>
  <c r="J6248" i="1"/>
  <c r="J6247" i="1"/>
  <c r="J6246" i="1"/>
  <c r="J6245" i="1"/>
  <c r="J6244" i="1"/>
  <c r="J6243" i="1"/>
  <c r="J6242" i="1"/>
  <c r="J6241" i="1"/>
  <c r="J6240" i="1"/>
  <c r="J6239" i="1"/>
  <c r="J6237" i="1"/>
  <c r="J6236" i="1"/>
  <c r="J5163" i="1"/>
  <c r="J4111" i="1"/>
  <c r="J2604" i="1"/>
  <c r="J3855" i="1"/>
  <c r="J2892" i="1"/>
  <c r="J2891" i="1"/>
  <c r="J2890" i="1"/>
  <c r="J2889" i="1"/>
  <c r="J2888" i="1"/>
  <c r="J2887" i="1"/>
  <c r="J2886" i="1"/>
  <c r="J2885" i="1"/>
  <c r="J2884" i="1"/>
  <c r="J2883" i="1"/>
  <c r="J2882" i="1"/>
  <c r="J2881" i="1"/>
  <c r="J2880" i="1"/>
  <c r="J2879" i="1"/>
  <c r="J2878" i="1"/>
  <c r="J2877" i="1"/>
  <c r="J2876" i="1"/>
  <c r="J2875" i="1"/>
  <c r="J2874" i="1"/>
  <c r="J2873" i="1"/>
  <c r="J2872" i="1"/>
  <c r="J2871" i="1"/>
  <c r="J2870" i="1"/>
  <c r="J2869" i="1"/>
  <c r="J2868" i="1"/>
  <c r="J2867" i="1"/>
  <c r="J2866" i="1"/>
  <c r="J2865" i="1"/>
  <c r="J2864" i="1"/>
  <c r="J2863" i="1"/>
  <c r="J2862" i="1"/>
  <c r="J2861" i="1"/>
  <c r="J2860" i="1"/>
  <c r="J2859" i="1"/>
  <c r="J2858" i="1"/>
  <c r="J2857" i="1"/>
  <c r="J2855" i="1"/>
  <c r="J2854" i="1"/>
  <c r="J2853" i="1"/>
  <c r="J2852" i="1"/>
  <c r="J2851" i="1"/>
  <c r="J2850" i="1"/>
  <c r="J2849" i="1"/>
  <c r="J2848" i="1"/>
  <c r="J2847" i="1"/>
  <c r="J2846" i="1"/>
  <c r="J2845" i="1"/>
  <c r="J2844" i="1"/>
  <c r="J2843" i="1"/>
  <c r="J2842" i="1"/>
  <c r="J2841" i="1"/>
  <c r="J2840" i="1"/>
  <c r="J2839" i="1"/>
  <c r="J2838" i="1"/>
  <c r="J2837" i="1"/>
  <c r="J2836" i="1"/>
  <c r="J2835" i="1"/>
  <c r="J2834" i="1"/>
  <c r="J2833" i="1"/>
  <c r="J2832" i="1"/>
  <c r="J2831" i="1"/>
  <c r="J4369" i="1"/>
  <c r="J6446" i="1"/>
  <c r="J6238" i="1"/>
  <c r="J4907" i="1"/>
  <c r="J4779" i="1"/>
  <c r="J5295" i="1"/>
  <c r="J4239" i="1"/>
  <c r="J3727" i="1"/>
  <c r="J6235" i="1"/>
  <c r="J6234" i="1"/>
  <c r="J6233" i="1"/>
  <c r="J6232" i="1"/>
  <c r="J6231" i="1"/>
  <c r="J6230" i="1"/>
  <c r="J6229" i="1"/>
  <c r="J6228" i="1"/>
  <c r="J6227" i="1"/>
  <c r="J6226" i="1"/>
  <c r="J6225" i="1"/>
  <c r="J6224" i="1"/>
  <c r="J6223" i="1"/>
  <c r="J6222" i="1"/>
  <c r="J6221" i="1"/>
  <c r="J6220" i="1"/>
  <c r="J6219" i="1"/>
  <c r="J6218" i="1"/>
  <c r="J6217" i="1"/>
  <c r="J6216" i="1"/>
  <c r="J6215" i="1"/>
  <c r="J6214" i="1"/>
  <c r="J6213" i="1"/>
  <c r="J6212" i="1"/>
  <c r="J6211" i="1"/>
  <c r="J6210" i="1"/>
  <c r="J6209" i="1"/>
  <c r="J6208" i="1"/>
  <c r="J6207" i="1"/>
  <c r="J6206" i="1"/>
  <c r="J6205" i="1"/>
  <c r="J6204" i="1"/>
  <c r="J6203" i="1"/>
  <c r="J6202" i="1"/>
  <c r="J6201" i="1"/>
  <c r="J6200" i="1"/>
  <c r="J6199" i="1"/>
  <c r="J6198" i="1"/>
  <c r="J6197" i="1"/>
  <c r="J6196" i="1"/>
  <c r="J6195" i="1"/>
  <c r="J6194" i="1"/>
  <c r="J6193" i="1"/>
  <c r="J6192" i="1"/>
  <c r="J6191" i="1"/>
  <c r="J6190" i="1"/>
  <c r="J6189" i="1"/>
  <c r="J6188" i="1"/>
  <c r="J6187" i="1"/>
  <c r="J6186" i="1"/>
  <c r="J6185" i="1"/>
  <c r="J6184" i="1"/>
  <c r="J6183" i="1"/>
  <c r="J6182" i="1"/>
  <c r="J6181" i="1"/>
  <c r="J6180" i="1"/>
  <c r="J6179" i="1"/>
  <c r="J6178" i="1"/>
  <c r="J6177" i="1"/>
  <c r="J6176" i="1"/>
  <c r="J6175" i="1"/>
  <c r="J6174" i="1"/>
  <c r="J6173" i="1"/>
  <c r="J6172" i="1"/>
  <c r="J6171" i="1"/>
  <c r="J6170" i="1"/>
  <c r="J6169" i="1"/>
  <c r="J6168" i="1"/>
  <c r="J6167" i="1"/>
  <c r="J6166" i="1"/>
  <c r="J6165" i="1"/>
  <c r="J6164" i="1"/>
  <c r="J6163" i="1"/>
  <c r="J5035" i="1"/>
  <c r="J4497" i="1"/>
  <c r="J3983" i="1"/>
  <c r="J2962" i="1"/>
  <c r="J5227" i="1"/>
  <c r="J5099" i="1"/>
  <c r="J4843" i="1"/>
  <c r="J4561" i="1"/>
  <c r="J4305" i="1"/>
  <c r="J4047" i="1"/>
  <c r="J3791" i="1"/>
  <c r="J26" i="1"/>
  <c r="J4971" i="1"/>
  <c r="J4699" i="1"/>
  <c r="J4433" i="1"/>
  <c r="J4175" i="1"/>
  <c r="J3919" i="1"/>
  <c r="J3663" i="1"/>
  <c r="J4207" i="1"/>
  <c r="J4079" i="1"/>
  <c r="J3951" i="1"/>
  <c r="J3823" i="1"/>
  <c r="J3695" i="1"/>
  <c r="J2540" i="1"/>
  <c r="J4143" i="1"/>
  <c r="J4015" i="1"/>
  <c r="J3887" i="1"/>
  <c r="J3759" i="1"/>
  <c r="J3631" i="1"/>
  <c r="J2676" i="1"/>
  <c r="J2636" i="1"/>
  <c r="J2830" i="1"/>
  <c r="J2829" i="1"/>
  <c r="J2828" i="1"/>
  <c r="J2827" i="1"/>
  <c r="J2826" i="1"/>
  <c r="J2825" i="1"/>
  <c r="J2824" i="1"/>
  <c r="J2823" i="1"/>
  <c r="J2822" i="1"/>
  <c r="J2821" i="1"/>
  <c r="J2820" i="1"/>
  <c r="J2819" i="1"/>
  <c r="J2818" i="1"/>
  <c r="J2817" i="1"/>
  <c r="J2816" i="1"/>
  <c r="J2815" i="1"/>
  <c r="J2814" i="1"/>
  <c r="J2813" i="1"/>
  <c r="J2812" i="1"/>
  <c r="J2811" i="1"/>
  <c r="J2810" i="1"/>
  <c r="J2809" i="1"/>
  <c r="J2808" i="1"/>
  <c r="J2807" i="1"/>
  <c r="J2806" i="1"/>
  <c r="J2805" i="1"/>
  <c r="J2804" i="1"/>
  <c r="J2803" i="1"/>
  <c r="J2802" i="1"/>
  <c r="J2801" i="1"/>
  <c r="J2800" i="1"/>
  <c r="J2799" i="1"/>
  <c r="J2798" i="1"/>
  <c r="J2797" i="1"/>
  <c r="J2796" i="1"/>
  <c r="J2795" i="1"/>
  <c r="J2794" i="1"/>
  <c r="J2793" i="1"/>
  <c r="J2792" i="1"/>
  <c r="J2791" i="1"/>
  <c r="J2790" i="1"/>
  <c r="J2789" i="1"/>
  <c r="J2788" i="1"/>
  <c r="J2787" i="1"/>
  <c r="J2786" i="1"/>
  <c r="J2785" i="1"/>
  <c r="J2784" i="1"/>
  <c r="J2783" i="1"/>
  <c r="J2782" i="1"/>
  <c r="J2781" i="1"/>
  <c r="J2780" i="1"/>
  <c r="J2779" i="1"/>
  <c r="J2778" i="1"/>
  <c r="J2777" i="1"/>
  <c r="J2776" i="1"/>
  <c r="J2775" i="1"/>
  <c r="J2774" i="1"/>
  <c r="J2773" i="1"/>
  <c r="J2772" i="1"/>
  <c r="J2771" i="1"/>
  <c r="J2770" i="1"/>
  <c r="J2769" i="1"/>
  <c r="J2768" i="1"/>
  <c r="J2572" i="1"/>
  <c r="J58" i="1"/>
  <c r="J5327" i="1"/>
  <c r="J5311" i="1"/>
  <c r="J5195" i="1"/>
  <c r="J5179" i="1"/>
  <c r="J5067" i="1"/>
  <c r="J5051" i="1"/>
  <c r="J4939" i="1"/>
  <c r="J4923" i="1"/>
  <c r="J4811" i="1"/>
  <c r="J4795" i="1"/>
  <c r="J4667" i="1"/>
  <c r="J4529" i="1"/>
  <c r="J4401" i="1"/>
  <c r="J4271" i="1"/>
  <c r="J5263" i="1"/>
  <c r="J5243" i="1"/>
  <c r="J5131" i="1"/>
  <c r="J5115" i="1"/>
  <c r="J5003" i="1"/>
  <c r="J4987" i="1"/>
  <c r="J4875" i="1"/>
  <c r="J4859" i="1"/>
  <c r="J4747" i="1"/>
  <c r="J4731" i="1"/>
  <c r="J4593" i="1"/>
  <c r="J4465" i="1"/>
  <c r="J4337" i="1"/>
  <c r="J5279" i="1"/>
  <c r="J5211" i="1"/>
  <c r="J5147" i="1"/>
  <c r="J5083" i="1"/>
  <c r="J5019" i="1"/>
  <c r="J4955" i="1"/>
  <c r="J4891" i="1"/>
  <c r="J4827" i="1"/>
  <c r="J4763" i="1"/>
  <c r="J2652" i="1"/>
  <c r="J2588" i="1"/>
  <c r="J74" i="1"/>
  <c r="J10" i="1"/>
  <c r="J2620" i="1"/>
  <c r="J2556" i="1"/>
  <c r="J42" i="1"/>
  <c r="J3557" i="1"/>
  <c r="J3460" i="1"/>
  <c r="J2856" i="1"/>
  <c r="J5319" i="1"/>
  <c r="J5287" i="1"/>
  <c r="J5255" i="1"/>
  <c r="J5219" i="1"/>
  <c r="J5187" i="1"/>
  <c r="J5155" i="1"/>
  <c r="J5123" i="1"/>
  <c r="J5091" i="1"/>
  <c r="J5059" i="1"/>
  <c r="J5027" i="1"/>
  <c r="J4995" i="1"/>
  <c r="J4963" i="1"/>
  <c r="J4931" i="1"/>
  <c r="J4899" i="1"/>
  <c r="J4867" i="1"/>
  <c r="J4835" i="1"/>
  <c r="J4803" i="1"/>
  <c r="J4771" i="1"/>
  <c r="J4739" i="1"/>
  <c r="J4683" i="1"/>
  <c r="J4675" i="1"/>
  <c r="J4617" i="1"/>
  <c r="J4609" i="1"/>
  <c r="J4545" i="1"/>
  <c r="J4481" i="1"/>
  <c r="J4417" i="1"/>
  <c r="J4353" i="1"/>
  <c r="J4289" i="1"/>
  <c r="J4223" i="1"/>
  <c r="J4159" i="1"/>
  <c r="J4095" i="1"/>
  <c r="J4031" i="1"/>
  <c r="J3967" i="1"/>
  <c r="J3903" i="1"/>
  <c r="J3839" i="1"/>
  <c r="J3775" i="1"/>
  <c r="J3711" i="1"/>
  <c r="J3647" i="1"/>
  <c r="J5303" i="1"/>
  <c r="J5271" i="1"/>
  <c r="J5235" i="1"/>
  <c r="J5203" i="1"/>
  <c r="J5171" i="1"/>
  <c r="J5139" i="1"/>
  <c r="J5107" i="1"/>
  <c r="J5075" i="1"/>
  <c r="J5043" i="1"/>
  <c r="J5011" i="1"/>
  <c r="J4979" i="1"/>
  <c r="J4947" i="1"/>
  <c r="J4915" i="1"/>
  <c r="J4883" i="1"/>
  <c r="J4851" i="1"/>
  <c r="J4819" i="1"/>
  <c r="J4787" i="1"/>
  <c r="J4755" i="1"/>
  <c r="J4723" i="1"/>
  <c r="J4715" i="1"/>
  <c r="J4707" i="1"/>
  <c r="J4651" i="1"/>
  <c r="J4643" i="1"/>
  <c r="J4577" i="1"/>
  <c r="J4513" i="1"/>
  <c r="J4449" i="1"/>
  <c r="J4385" i="1"/>
  <c r="J4321" i="1"/>
  <c r="J4255" i="1"/>
  <c r="J4191" i="1"/>
  <c r="J4127" i="1"/>
  <c r="J4063" i="1"/>
  <c r="J3999" i="1"/>
  <c r="J3935" i="1"/>
  <c r="J3871" i="1"/>
  <c r="J3807" i="1"/>
  <c r="J3743" i="1"/>
  <c r="J3679" i="1"/>
  <c r="J3615" i="1"/>
  <c r="J2644" i="1"/>
  <c r="J2612" i="1"/>
  <c r="J2580" i="1"/>
  <c r="J2548" i="1"/>
  <c r="J4691" i="1"/>
  <c r="J4659" i="1"/>
  <c r="J4627" i="1"/>
  <c r="J2668" i="1"/>
  <c r="J2660" i="1"/>
  <c r="J2628" i="1"/>
  <c r="J2596" i="1"/>
  <c r="J2564" i="1"/>
  <c r="J2532" i="1"/>
  <c r="J2525" i="1"/>
  <c r="J2524" i="1"/>
  <c r="J2523" i="1"/>
  <c r="J2522" i="1"/>
  <c r="J2521" i="1"/>
  <c r="J2520" i="1"/>
  <c r="J2519" i="1"/>
  <c r="J2518" i="1"/>
  <c r="J2517" i="1"/>
  <c r="J2516" i="1"/>
  <c r="J2515" i="1"/>
  <c r="J2514" i="1"/>
  <c r="J2513" i="1"/>
  <c r="J2512" i="1"/>
  <c r="J2511" i="1"/>
  <c r="J2510" i="1"/>
  <c r="J2509" i="1"/>
  <c r="J2508" i="1"/>
  <c r="J2507" i="1"/>
  <c r="J2506" i="1"/>
  <c r="J2505" i="1"/>
  <c r="J2504" i="1"/>
  <c r="J2503" i="1"/>
  <c r="J2502" i="1"/>
  <c r="J2501" i="1"/>
  <c r="J2500" i="1"/>
  <c r="J2499" i="1"/>
  <c r="J2498" i="1"/>
  <c r="J2497" i="1"/>
  <c r="J2496" i="1"/>
  <c r="J2495" i="1"/>
  <c r="J2494" i="1"/>
  <c r="J2493" i="1"/>
  <c r="J2492" i="1"/>
  <c r="J2491" i="1"/>
  <c r="J2490" i="1"/>
  <c r="J2489" i="1"/>
  <c r="J2488" i="1"/>
  <c r="J2487" i="1"/>
  <c r="J2486" i="1"/>
  <c r="J2485" i="1"/>
  <c r="J2484" i="1"/>
  <c r="J2483" i="1"/>
  <c r="J2482" i="1"/>
  <c r="J2481" i="1"/>
  <c r="J2480" i="1"/>
  <c r="J2479" i="1"/>
  <c r="J2478" i="1"/>
  <c r="J2477" i="1"/>
  <c r="J2476" i="1"/>
  <c r="J2475" i="1"/>
  <c r="J2474" i="1"/>
  <c r="J2473" i="1"/>
  <c r="J2472" i="1"/>
  <c r="J2471" i="1"/>
  <c r="J2470" i="1"/>
  <c r="J2469" i="1"/>
  <c r="J2468" i="1"/>
  <c r="J2467" i="1"/>
  <c r="J2466" i="1"/>
  <c r="J2465" i="1"/>
  <c r="J2464" i="1"/>
  <c r="J2463" i="1"/>
  <c r="J2462" i="1"/>
  <c r="J2461" i="1"/>
  <c r="J2460" i="1"/>
  <c r="J2459" i="1"/>
  <c r="J2458" i="1"/>
  <c r="J2457" i="1"/>
  <c r="J2456" i="1"/>
  <c r="J2455" i="1"/>
  <c r="J2454" i="1"/>
  <c r="J2453" i="1"/>
  <c r="J2452" i="1"/>
  <c r="J2451" i="1"/>
  <c r="J2450" i="1"/>
  <c r="J2449" i="1"/>
  <c r="J2448" i="1"/>
  <c r="J2447" i="1"/>
  <c r="J2446" i="1"/>
  <c r="J2445" i="1"/>
  <c r="J2444" i="1"/>
  <c r="J2443" i="1"/>
  <c r="J2442" i="1"/>
  <c r="J2441" i="1"/>
  <c r="J2440" i="1"/>
  <c r="J2439" i="1"/>
  <c r="J2438" i="1"/>
  <c r="J2437" i="1"/>
  <c r="J2436" i="1"/>
  <c r="J2435" i="1"/>
  <c r="J2434" i="1"/>
  <c r="J2433" i="1"/>
  <c r="J2432" i="1"/>
  <c r="J2431" i="1"/>
  <c r="J2430" i="1"/>
  <c r="J2429" i="1"/>
  <c r="J2428" i="1"/>
  <c r="J2427" i="1"/>
  <c r="J2426" i="1"/>
  <c r="J2425" i="1"/>
  <c r="J2424" i="1"/>
  <c r="J2423" i="1"/>
  <c r="J2422" i="1"/>
  <c r="J2421" i="1"/>
  <c r="J2420" i="1"/>
  <c r="J66" i="1"/>
  <c r="J34" i="1"/>
  <c r="J82" i="1"/>
  <c r="J50" i="1"/>
  <c r="J18" i="1"/>
  <c r="J5331" i="1"/>
  <c r="J5315" i="1"/>
  <c r="J5299" i="1"/>
  <c r="J5283" i="1"/>
  <c r="J5267" i="1"/>
  <c r="J5251" i="1"/>
  <c r="J4601" i="1"/>
  <c r="J4569" i="1"/>
  <c r="J4537" i="1"/>
  <c r="J4505" i="1"/>
  <c r="J4473" i="1"/>
  <c r="J4441" i="1"/>
  <c r="J4409" i="1"/>
  <c r="J4377" i="1"/>
  <c r="J4345" i="1"/>
  <c r="J4313" i="1"/>
  <c r="J4281" i="1"/>
  <c r="J4277" i="1"/>
  <c r="J4247" i="1"/>
  <c r="J4243" i="1"/>
  <c r="J4215" i="1"/>
  <c r="J4211" i="1"/>
  <c r="J4183" i="1"/>
  <c r="J4179" i="1"/>
  <c r="J4151" i="1"/>
  <c r="J4147" i="1"/>
  <c r="J4119" i="1"/>
  <c r="J4115" i="1"/>
  <c r="J4087" i="1"/>
  <c r="J4083" i="1"/>
  <c r="J4055" i="1"/>
  <c r="J4051" i="1"/>
  <c r="J4023" i="1"/>
  <c r="J4019" i="1"/>
  <c r="J3991" i="1"/>
  <c r="J3987" i="1"/>
  <c r="J3959" i="1"/>
  <c r="J3955" i="1"/>
  <c r="J3927" i="1"/>
  <c r="J3923" i="1"/>
  <c r="J3895" i="1"/>
  <c r="J3891" i="1"/>
  <c r="J3863" i="1"/>
  <c r="J3859" i="1"/>
  <c r="J3831" i="1"/>
  <c r="J3827" i="1"/>
  <c r="J3799" i="1"/>
  <c r="J3795" i="1"/>
  <c r="J3767" i="1"/>
  <c r="J3763" i="1"/>
  <c r="J3735" i="1"/>
  <c r="J3731" i="1"/>
  <c r="J3703" i="1"/>
  <c r="J3699" i="1"/>
  <c r="J3671" i="1"/>
  <c r="J3667" i="1"/>
  <c r="J3639" i="1"/>
  <c r="J3635" i="1"/>
  <c r="J3607" i="1"/>
  <c r="J3603" i="1"/>
  <c r="J6542" i="1"/>
  <c r="J6540" i="1"/>
  <c r="J5323" i="1"/>
  <c r="J5307" i="1"/>
  <c r="J5291" i="1"/>
  <c r="J5275" i="1"/>
  <c r="J5259" i="1"/>
  <c r="J4585" i="1"/>
  <c r="J4553" i="1"/>
  <c r="J4521" i="1"/>
  <c r="J4489" i="1"/>
  <c r="J4457" i="1"/>
  <c r="J4425" i="1"/>
  <c r="J4393" i="1"/>
  <c r="J4361" i="1"/>
  <c r="J4329" i="1"/>
  <c r="J4297" i="1"/>
  <c r="J4293" i="1"/>
  <c r="J4263" i="1"/>
  <c r="J4259" i="1"/>
  <c r="J4231" i="1"/>
  <c r="J4227" i="1"/>
  <c r="J4199" i="1"/>
  <c r="J4195" i="1"/>
  <c r="J4167" i="1"/>
  <c r="J4163" i="1"/>
  <c r="J4135" i="1"/>
  <c r="J4131" i="1"/>
  <c r="J4103" i="1"/>
  <c r="J4099" i="1"/>
  <c r="J4071" i="1"/>
  <c r="J4067" i="1"/>
  <c r="J4039" i="1"/>
  <c r="J4035" i="1"/>
  <c r="J4007" i="1"/>
  <c r="J4003" i="1"/>
  <c r="J3975" i="1"/>
  <c r="J3971" i="1"/>
  <c r="J3943" i="1"/>
  <c r="J3939" i="1"/>
  <c r="J3911" i="1"/>
  <c r="J3907" i="1"/>
  <c r="J3879" i="1"/>
  <c r="J3875" i="1"/>
  <c r="J3847" i="1"/>
  <c r="J3843" i="1"/>
  <c r="J3815" i="1"/>
  <c r="J3811" i="1"/>
  <c r="J3783" i="1"/>
  <c r="J3779" i="1"/>
  <c r="J3751" i="1"/>
  <c r="J3747" i="1"/>
  <c r="J3719" i="1"/>
  <c r="J3715" i="1"/>
  <c r="J3687" i="1"/>
  <c r="J3683" i="1"/>
  <c r="J3655" i="1"/>
  <c r="J3651" i="1"/>
  <c r="J3623" i="1"/>
  <c r="J3619" i="1"/>
  <c r="J2680" i="1"/>
  <c r="J2664" i="1"/>
  <c r="J2648" i="1"/>
  <c r="J2632" i="1"/>
  <c r="J2616" i="1"/>
  <c r="J2600" i="1"/>
  <c r="J2584" i="1"/>
  <c r="J2568" i="1"/>
  <c r="J2552" i="1"/>
  <c r="J2536" i="1"/>
  <c r="J4301" i="1"/>
  <c r="J4285" i="1"/>
  <c r="J4267" i="1"/>
  <c r="J4251" i="1"/>
  <c r="J4235" i="1"/>
  <c r="J4219" i="1"/>
  <c r="J4203" i="1"/>
  <c r="J4187" i="1"/>
  <c r="J4171" i="1"/>
  <c r="J4155" i="1"/>
  <c r="J4139" i="1"/>
  <c r="J4123" i="1"/>
  <c r="J4107" i="1"/>
  <c r="J4091" i="1"/>
  <c r="J4075" i="1"/>
  <c r="J4059" i="1"/>
  <c r="J4043" i="1"/>
  <c r="J4027" i="1"/>
  <c r="J4011" i="1"/>
  <c r="J3995" i="1"/>
  <c r="J3979" i="1"/>
  <c r="J3963" i="1"/>
  <c r="J3947" i="1"/>
  <c r="J3931" i="1"/>
  <c r="J3915" i="1"/>
  <c r="J3899" i="1"/>
  <c r="J3883" i="1"/>
  <c r="J3867" i="1"/>
  <c r="J3851" i="1"/>
  <c r="J3835" i="1"/>
  <c r="J3819" i="1"/>
  <c r="J3803" i="1"/>
  <c r="J3787" i="1"/>
  <c r="J3771" i="1"/>
  <c r="J3755" i="1"/>
  <c r="J3739" i="1"/>
  <c r="J3723" i="1"/>
  <c r="J3707" i="1"/>
  <c r="J3691" i="1"/>
  <c r="J3675" i="1"/>
  <c r="J3659" i="1"/>
  <c r="J3643" i="1"/>
  <c r="J3627" i="1"/>
  <c r="J3611" i="1"/>
  <c r="J2672" i="1"/>
  <c r="J2656" i="1"/>
  <c r="J2640" i="1"/>
  <c r="J2624" i="1"/>
  <c r="J2608" i="1"/>
  <c r="J2592" i="1"/>
  <c r="J2576" i="1"/>
  <c r="J2560" i="1"/>
  <c r="J2544" i="1"/>
  <c r="J2528" i="1"/>
  <c r="J86" i="1"/>
  <c r="J70" i="1"/>
  <c r="J54" i="1"/>
  <c r="J38" i="1"/>
  <c r="J22" i="1"/>
  <c r="J6" i="1"/>
  <c r="J78" i="1"/>
  <c r="J62" i="1"/>
  <c r="J46" i="1"/>
  <c r="J30" i="1"/>
  <c r="J14" i="1"/>
  <c r="J2" i="1"/>
  <c r="J5309" i="1"/>
  <c r="J5301" i="1"/>
  <c r="J5293" i="1"/>
  <c r="J5285" i="1"/>
  <c r="J5277" i="1"/>
  <c r="J5269" i="1"/>
  <c r="J5261" i="1"/>
  <c r="J5253" i="1"/>
  <c r="J5239" i="1"/>
  <c r="J5237" i="1"/>
  <c r="J5223" i="1"/>
  <c r="J5221" i="1"/>
  <c r="J5207" i="1"/>
  <c r="J5205" i="1"/>
  <c r="J5191" i="1"/>
  <c r="J5189" i="1"/>
  <c r="J5175" i="1"/>
  <c r="J5173" i="1"/>
  <c r="J5159" i="1"/>
  <c r="J5157" i="1"/>
  <c r="J5143" i="1"/>
  <c r="J5141" i="1"/>
  <c r="J5127" i="1"/>
  <c r="J5125" i="1"/>
  <c r="J5111" i="1"/>
  <c r="J5109" i="1"/>
  <c r="J5095" i="1"/>
  <c r="J5093" i="1"/>
  <c r="J5079" i="1"/>
  <c r="J5077" i="1"/>
  <c r="J5063" i="1"/>
  <c r="J5061" i="1"/>
  <c r="J5047" i="1"/>
  <c r="J5045" i="1"/>
  <c r="J5031" i="1"/>
  <c r="J5029" i="1"/>
  <c r="J5015" i="1"/>
  <c r="J5013" i="1"/>
  <c r="J4999" i="1"/>
  <c r="J4997" i="1"/>
  <c r="J4983" i="1"/>
  <c r="J4981" i="1"/>
  <c r="J4967" i="1"/>
  <c r="J4965" i="1"/>
  <c r="J4951" i="1"/>
  <c r="J4949" i="1"/>
  <c r="J4935" i="1"/>
  <c r="J4933" i="1"/>
  <c r="J4919" i="1"/>
  <c r="J4917" i="1"/>
  <c r="J4903" i="1"/>
  <c r="J4901" i="1"/>
  <c r="J4887" i="1"/>
  <c r="J4885" i="1"/>
  <c r="J4871" i="1"/>
  <c r="J4869" i="1"/>
  <c r="J4855" i="1"/>
  <c r="J4853" i="1"/>
  <c r="J4839" i="1"/>
  <c r="J4837" i="1"/>
  <c r="J4823" i="1"/>
  <c r="J4821" i="1"/>
  <c r="J4807" i="1"/>
  <c r="J4805" i="1"/>
  <c r="J4791" i="1"/>
  <c r="J4789" i="1"/>
  <c r="J4775" i="1"/>
  <c r="J4773" i="1"/>
  <c r="J4759" i="1"/>
  <c r="J4757" i="1"/>
  <c r="J4743" i="1"/>
  <c r="J4741" i="1"/>
  <c r="J4727" i="1"/>
  <c r="J4725" i="1"/>
  <c r="J4711" i="1"/>
  <c r="J4709" i="1"/>
  <c r="J4695" i="1"/>
  <c r="J4693" i="1"/>
  <c r="J4679" i="1"/>
  <c r="J4677" i="1"/>
  <c r="J4663" i="1"/>
  <c r="J4661" i="1"/>
  <c r="J4647" i="1"/>
  <c r="J4645" i="1"/>
  <c r="J4631" i="1"/>
  <c r="J4629" i="1"/>
  <c r="J4613" i="1"/>
  <c r="J4597" i="1"/>
  <c r="J4581" i="1"/>
  <c r="J4565" i="1"/>
  <c r="J4549" i="1"/>
  <c r="J4533" i="1"/>
  <c r="J4517" i="1"/>
  <c r="J4501" i="1"/>
  <c r="J4485" i="1"/>
  <c r="J4469" i="1"/>
  <c r="J4453" i="1"/>
  <c r="J4437" i="1"/>
  <c r="J4421" i="1"/>
  <c r="J4405" i="1"/>
  <c r="J4389" i="1"/>
  <c r="J4373" i="1"/>
  <c r="J4357" i="1"/>
  <c r="J4341" i="1"/>
  <c r="J4325" i="1"/>
  <c r="J4309" i="1"/>
  <c r="J6310" i="1"/>
  <c r="J5305" i="1"/>
  <c r="J5297" i="1"/>
  <c r="J5289" i="1"/>
  <c r="J5281" i="1"/>
  <c r="J5273" i="1"/>
  <c r="J5265" i="1"/>
  <c r="J5257" i="1"/>
  <c r="J5249" i="1"/>
  <c r="J5247" i="1"/>
  <c r="J5245" i="1"/>
  <c r="J5231" i="1"/>
  <c r="J5229" i="1"/>
  <c r="J5215" i="1"/>
  <c r="J5213" i="1"/>
  <c r="J5199" i="1"/>
  <c r="J5197" i="1"/>
  <c r="J5183" i="1"/>
  <c r="J5181" i="1"/>
  <c r="J5167" i="1"/>
  <c r="J5165" i="1"/>
  <c r="J5151" i="1"/>
  <c r="J5149" i="1"/>
  <c r="J5135" i="1"/>
  <c r="J5133" i="1"/>
  <c r="J5119" i="1"/>
  <c r="J5117" i="1"/>
  <c r="J5103" i="1"/>
  <c r="J5101" i="1"/>
  <c r="J5087" i="1"/>
  <c r="J5085" i="1"/>
  <c r="J5071" i="1"/>
  <c r="J5069" i="1"/>
  <c r="J5055" i="1"/>
  <c r="J5053" i="1"/>
  <c r="J5039" i="1"/>
  <c r="J5037" i="1"/>
  <c r="J5023" i="1"/>
  <c r="J5021" i="1"/>
  <c r="J5007" i="1"/>
  <c r="J5005" i="1"/>
  <c r="J4991" i="1"/>
  <c r="J4989" i="1"/>
  <c r="J4975" i="1"/>
  <c r="J4973" i="1"/>
  <c r="J4959" i="1"/>
  <c r="J4957" i="1"/>
  <c r="J4943" i="1"/>
  <c r="J4941" i="1"/>
  <c r="J4927" i="1"/>
  <c r="J4925" i="1"/>
  <c r="J4911" i="1"/>
  <c r="J4909" i="1"/>
  <c r="J4895" i="1"/>
  <c r="J4893" i="1"/>
  <c r="J4879" i="1"/>
  <c r="J4877" i="1"/>
  <c r="J4863" i="1"/>
  <c r="J4861" i="1"/>
  <c r="J4847" i="1"/>
  <c r="J4845" i="1"/>
  <c r="J4831" i="1"/>
  <c r="J4829" i="1"/>
  <c r="J4815" i="1"/>
  <c r="J4813" i="1"/>
  <c r="J4799" i="1"/>
  <c r="J4797" i="1"/>
  <c r="J4783" i="1"/>
  <c r="J4781" i="1"/>
  <c r="J4767" i="1"/>
  <c r="J4765" i="1"/>
  <c r="J4751" i="1"/>
  <c r="J4749" i="1"/>
  <c r="J4735" i="1"/>
  <c r="J4733" i="1"/>
  <c r="J4719" i="1"/>
  <c r="J4717" i="1"/>
  <c r="J4703" i="1"/>
  <c r="J4701" i="1"/>
  <c r="J4687" i="1"/>
  <c r="J4685" i="1"/>
  <c r="J4671" i="1"/>
  <c r="J4669" i="1"/>
  <c r="J4655" i="1"/>
  <c r="J4653" i="1"/>
  <c r="J4639" i="1"/>
  <c r="J4637" i="1"/>
  <c r="J4623" i="1"/>
  <c r="J4621" i="1"/>
  <c r="J4605" i="1"/>
  <c r="J4589" i="1"/>
  <c r="J4573" i="1"/>
  <c r="J4557" i="1"/>
  <c r="J4541" i="1"/>
  <c r="J4525" i="1"/>
  <c r="J4509" i="1"/>
  <c r="J4493" i="1"/>
  <c r="J4477" i="1"/>
  <c r="J4461" i="1"/>
  <c r="J4445" i="1"/>
  <c r="J4429" i="1"/>
  <c r="J4413" i="1"/>
  <c r="J4397" i="1"/>
  <c r="J4381" i="1"/>
  <c r="J4365" i="1"/>
  <c r="J4349" i="1"/>
  <c r="J4333" i="1"/>
  <c r="J4317" i="1"/>
  <c r="J5241" i="1"/>
  <c r="J5233" i="1"/>
  <c r="J5225" i="1"/>
  <c r="J5217" i="1"/>
  <c r="J5209" i="1"/>
  <c r="J5201" i="1"/>
  <c r="J5193" i="1"/>
  <c r="J5185" i="1"/>
  <c r="J5177" i="1"/>
  <c r="J5169" i="1"/>
  <c r="J5161" i="1"/>
  <c r="J5153" i="1"/>
  <c r="J5145" i="1"/>
  <c r="J5137" i="1"/>
  <c r="J5129" i="1"/>
  <c r="J5121" i="1"/>
  <c r="J5113" i="1"/>
  <c r="J5105" i="1"/>
  <c r="J5097" i="1"/>
  <c r="J5089" i="1"/>
  <c r="J5081" i="1"/>
  <c r="J5073" i="1"/>
  <c r="J5065" i="1"/>
  <c r="J5057" i="1"/>
  <c r="J5049" i="1"/>
  <c r="J5041" i="1"/>
  <c r="J5033" i="1"/>
  <c r="J5025" i="1"/>
  <c r="J5017" i="1"/>
  <c r="J5009" i="1"/>
  <c r="J5001" i="1"/>
  <c r="J4993" i="1"/>
  <c r="J4985" i="1"/>
  <c r="J4977" i="1"/>
  <c r="J4969" i="1"/>
  <c r="J4961" i="1"/>
  <c r="J4953" i="1"/>
  <c r="J4945" i="1"/>
  <c r="J4937" i="1"/>
  <c r="J4929" i="1"/>
  <c r="J4921" i="1"/>
  <c r="J4913" i="1"/>
  <c r="J4905" i="1"/>
  <c r="J4897" i="1"/>
  <c r="J4889" i="1"/>
  <c r="J4881" i="1"/>
  <c r="J4873" i="1"/>
  <c r="J4865" i="1"/>
  <c r="J4857" i="1"/>
  <c r="J4849" i="1"/>
  <c r="J4841" i="1"/>
  <c r="J4833" i="1"/>
  <c r="J4825" i="1"/>
  <c r="J4817" i="1"/>
  <c r="J4809" i="1"/>
  <c r="J4801" i="1"/>
  <c r="J4793" i="1"/>
  <c r="J4785" i="1"/>
  <c r="J4777" i="1"/>
  <c r="J4769" i="1"/>
  <c r="J4761" i="1"/>
  <c r="J4753" i="1"/>
  <c r="J4745" i="1"/>
  <c r="J4737" i="1"/>
  <c r="J4729" i="1"/>
  <c r="J4721" i="1"/>
  <c r="J4713" i="1"/>
  <c r="J4705" i="1"/>
  <c r="J4697" i="1"/>
  <c r="J4689" i="1"/>
  <c r="J4681" i="1"/>
  <c r="J4673" i="1"/>
  <c r="J4665" i="1"/>
  <c r="J4657" i="1"/>
  <c r="J4649" i="1"/>
  <c r="J4641" i="1"/>
  <c r="J4633" i="1"/>
  <c r="J4625" i="1"/>
  <c r="J2678" i="1"/>
  <c r="J2670" i="1"/>
  <c r="J2662" i="1"/>
  <c r="J2654" i="1"/>
  <c r="J2646" i="1"/>
  <c r="J2638" i="1"/>
  <c r="J2630" i="1"/>
  <c r="J2622" i="1"/>
  <c r="J2614" i="1"/>
  <c r="J2606" i="1"/>
  <c r="J2598" i="1"/>
  <c r="J2590" i="1"/>
  <c r="J2582" i="1"/>
  <c r="J2574" i="1"/>
  <c r="J2566" i="1"/>
  <c r="J2558" i="1"/>
  <c r="J2550" i="1"/>
  <c r="J2542" i="1"/>
  <c r="J2534" i="1"/>
  <c r="J2526" i="1"/>
  <c r="J2419" i="1"/>
  <c r="J2418" i="1"/>
  <c r="J2417" i="1"/>
  <c r="J2416" i="1"/>
  <c r="J2415" i="1"/>
  <c r="J2414" i="1"/>
  <c r="J2413" i="1"/>
  <c r="J2412" i="1"/>
  <c r="J2411" i="1"/>
  <c r="J2410" i="1"/>
  <c r="J2409" i="1"/>
  <c r="J2408" i="1"/>
  <c r="J2407" i="1"/>
  <c r="J2406" i="1"/>
  <c r="J2767" i="1"/>
  <c r="J2766" i="1"/>
  <c r="J2765" i="1"/>
  <c r="J2764" i="1"/>
  <c r="J2763" i="1"/>
  <c r="J2762" i="1"/>
  <c r="J2761" i="1"/>
  <c r="J2760" i="1"/>
  <c r="J2759" i="1"/>
  <c r="J2758" i="1"/>
  <c r="J2757" i="1"/>
  <c r="J2756" i="1"/>
  <c r="J2755" i="1"/>
  <c r="J2754" i="1"/>
  <c r="J2753" i="1"/>
  <c r="J2752" i="1"/>
  <c r="J2751" i="1"/>
  <c r="J2750" i="1"/>
  <c r="J2749" i="1"/>
  <c r="J2748" i="1"/>
  <c r="J2747" i="1"/>
  <c r="J2746" i="1"/>
  <c r="J2745" i="1"/>
  <c r="J2744" i="1"/>
  <c r="J2743" i="1"/>
  <c r="J2742" i="1"/>
  <c r="J2741" i="1"/>
  <c r="J2740" i="1"/>
  <c r="J2739" i="1"/>
  <c r="J2738" i="1"/>
  <c r="J2737" i="1"/>
  <c r="J2736" i="1"/>
  <c r="J2735" i="1"/>
  <c r="J2734" i="1"/>
  <c r="J2733" i="1"/>
  <c r="J2732" i="1"/>
  <c r="J2731" i="1"/>
  <c r="J2730" i="1"/>
  <c r="J2729" i="1"/>
  <c r="J2728" i="1"/>
  <c r="J2727" i="1"/>
  <c r="J2726" i="1"/>
  <c r="J2725" i="1"/>
  <c r="J2724" i="1"/>
  <c r="J2723" i="1"/>
  <c r="J2722" i="1"/>
  <c r="J2721" i="1"/>
  <c r="J2720" i="1"/>
  <c r="J2719" i="1"/>
  <c r="J2718" i="1"/>
  <c r="J2717" i="1"/>
  <c r="J2716" i="1"/>
  <c r="J2715" i="1"/>
  <c r="J2714" i="1"/>
  <c r="J2713" i="1"/>
  <c r="J2712" i="1"/>
  <c r="J2711" i="1"/>
  <c r="J2710" i="1"/>
  <c r="J2709" i="1"/>
  <c r="J2708" i="1"/>
  <c r="J2707" i="1"/>
  <c r="J2706" i="1"/>
  <c r="J2705" i="1"/>
  <c r="J2704" i="1"/>
  <c r="J2703" i="1"/>
  <c r="J2702" i="1"/>
  <c r="J2701" i="1"/>
  <c r="J2700" i="1"/>
  <c r="J2699" i="1"/>
  <c r="J2698" i="1"/>
  <c r="J2697" i="1"/>
  <c r="J2696" i="1"/>
  <c r="J2695" i="1"/>
  <c r="J2694" i="1"/>
  <c r="J2693" i="1"/>
  <c r="J2692" i="1"/>
  <c r="J2691" i="1"/>
  <c r="J2690" i="1"/>
  <c r="J2689" i="1"/>
  <c r="J2688" i="1"/>
  <c r="J2687" i="1"/>
  <c r="J2686" i="1"/>
  <c r="J2685" i="1"/>
  <c r="J2684" i="1"/>
  <c r="J2683" i="1"/>
  <c r="J2682" i="1"/>
  <c r="J2681" i="1"/>
  <c r="J2674" i="1"/>
  <c r="J2666" i="1"/>
  <c r="J2658" i="1"/>
  <c r="J2650" i="1"/>
  <c r="J2642" i="1"/>
  <c r="J2634" i="1"/>
  <c r="J2626" i="1"/>
  <c r="J2618" i="1"/>
  <c r="J2610" i="1"/>
  <c r="J2602" i="1"/>
  <c r="J2594" i="1"/>
  <c r="J2586" i="1"/>
  <c r="J2578" i="1"/>
  <c r="J2570" i="1"/>
  <c r="J2562" i="1"/>
  <c r="J2554" i="1"/>
  <c r="J2546" i="1"/>
  <c r="J2538" i="1"/>
  <c r="J2530" i="1"/>
  <c r="J4" i="1"/>
  <c r="J6161" i="1"/>
  <c r="J6159" i="1"/>
  <c r="J6157" i="1"/>
  <c r="J6155" i="1"/>
  <c r="J6153" i="1"/>
  <c r="J6151" i="1"/>
  <c r="J6149" i="1"/>
  <c r="J6147" i="1"/>
  <c r="J6145" i="1"/>
  <c r="J6143" i="1"/>
  <c r="J6141" i="1"/>
  <c r="J6139" i="1"/>
  <c r="J6137" i="1"/>
  <c r="J6135" i="1"/>
  <c r="J6133" i="1"/>
  <c r="J6131" i="1"/>
  <c r="J6129" i="1"/>
  <c r="J6127" i="1"/>
  <c r="J6125" i="1"/>
  <c r="J6123" i="1"/>
  <c r="J6121" i="1"/>
  <c r="J6119" i="1"/>
  <c r="J6117" i="1"/>
  <c r="J6115" i="1"/>
  <c r="J6113" i="1"/>
  <c r="J6111" i="1"/>
  <c r="J6109" i="1"/>
  <c r="J6107" i="1"/>
  <c r="J6105" i="1"/>
  <c r="J6103" i="1"/>
  <c r="J6101" i="1"/>
  <c r="J6099" i="1"/>
  <c r="J6097" i="1"/>
  <c r="J6095" i="1"/>
  <c r="J6093" i="1"/>
  <c r="J6091" i="1"/>
  <c r="J6089" i="1"/>
  <c r="J6087" i="1"/>
  <c r="J6085" i="1"/>
  <c r="J6083" i="1"/>
  <c r="J6081" i="1"/>
  <c r="J6079" i="1"/>
  <c r="J6077" i="1"/>
  <c r="J6075" i="1"/>
  <c r="J6073" i="1"/>
  <c r="J6071" i="1"/>
  <c r="J6069" i="1"/>
  <c r="J6067" i="1"/>
  <c r="J6065" i="1"/>
  <c r="J6063" i="1"/>
  <c r="J6061" i="1"/>
  <c r="J6059" i="1"/>
  <c r="J6057" i="1"/>
  <c r="J6055" i="1"/>
  <c r="J6053" i="1"/>
  <c r="J6051" i="1"/>
  <c r="J6049" i="1"/>
  <c r="J6047" i="1"/>
  <c r="J6045" i="1"/>
  <c r="J6043" i="1"/>
  <c r="J6041" i="1"/>
  <c r="J6039" i="1"/>
  <c r="J6037" i="1"/>
  <c r="J6035" i="1"/>
  <c r="J6033" i="1"/>
  <c r="J6031" i="1"/>
  <c r="J6029" i="1"/>
  <c r="J6027" i="1"/>
  <c r="J6025" i="1"/>
  <c r="J6023" i="1"/>
  <c r="J6021" i="1"/>
  <c r="J6019" i="1"/>
  <c r="J6017" i="1"/>
  <c r="J6015" i="1"/>
  <c r="J6013" i="1"/>
  <c r="J6011" i="1"/>
  <c r="J6009" i="1"/>
  <c r="J6007" i="1"/>
  <c r="J6005" i="1"/>
  <c r="J6003" i="1"/>
  <c r="J6001" i="1"/>
  <c r="J5999" i="1"/>
  <c r="J5997" i="1"/>
  <c r="J5995" i="1"/>
  <c r="J5993" i="1"/>
  <c r="J5991" i="1"/>
  <c r="J5989" i="1"/>
  <c r="J5987" i="1"/>
  <c r="J5985" i="1"/>
  <c r="J5983" i="1"/>
  <c r="J5981" i="1"/>
  <c r="J5979" i="1"/>
  <c r="J5977" i="1"/>
  <c r="J5975" i="1"/>
  <c r="J5973" i="1"/>
  <c r="J5971" i="1"/>
  <c r="J5969" i="1"/>
  <c r="J5967" i="1"/>
  <c r="J5965" i="1"/>
  <c r="J5963" i="1"/>
  <c r="J5961" i="1"/>
  <c r="J5959" i="1"/>
  <c r="J5957" i="1"/>
  <c r="J5955" i="1"/>
  <c r="J5953" i="1"/>
  <c r="J5951" i="1"/>
  <c r="J5949" i="1"/>
  <c r="J5947" i="1"/>
  <c r="J5945" i="1"/>
  <c r="J5943" i="1"/>
  <c r="J5941" i="1"/>
  <c r="J5939" i="1"/>
  <c r="J5937" i="1"/>
  <c r="J5935" i="1"/>
  <c r="J5933" i="1"/>
  <c r="J5931" i="1"/>
  <c r="J5929" i="1"/>
  <c r="J5927" i="1"/>
  <c r="J5925" i="1"/>
  <c r="J5923" i="1"/>
  <c r="J5921" i="1"/>
  <c r="J5919" i="1"/>
  <c r="J5917" i="1"/>
  <c r="J5915" i="1"/>
  <c r="J5913" i="1"/>
  <c r="J5911" i="1"/>
  <c r="J5909" i="1"/>
  <c r="J5907" i="1"/>
  <c r="J5905" i="1"/>
  <c r="J5903" i="1"/>
  <c r="J5901" i="1"/>
  <c r="J5899" i="1"/>
  <c r="J5897" i="1"/>
  <c r="J5895" i="1"/>
  <c r="J5893" i="1"/>
  <c r="J5891" i="1"/>
  <c r="J5889" i="1"/>
  <c r="J5887" i="1"/>
  <c r="J5885" i="1"/>
  <c r="J5883" i="1"/>
  <c r="J5881" i="1"/>
  <c r="J5879" i="1"/>
  <c r="J5877" i="1"/>
  <c r="J5875" i="1"/>
  <c r="J5873" i="1"/>
  <c r="J5871" i="1"/>
  <c r="J5869" i="1"/>
  <c r="J5867" i="1"/>
  <c r="J5865" i="1"/>
  <c r="J5863" i="1"/>
  <c r="J5861" i="1"/>
  <c r="J5859" i="1"/>
  <c r="J5857" i="1"/>
  <c r="J5855" i="1"/>
  <c r="J5853" i="1"/>
  <c r="J5851" i="1"/>
  <c r="J5849" i="1"/>
  <c r="J5847" i="1"/>
  <c r="J5845" i="1"/>
  <c r="J5843" i="1"/>
  <c r="J5841" i="1"/>
  <c r="J5839" i="1"/>
  <c r="J5837" i="1"/>
  <c r="J5835" i="1"/>
  <c r="J5833" i="1"/>
  <c r="J5831" i="1"/>
  <c r="J5829" i="1"/>
  <c r="J5827" i="1"/>
  <c r="J5825" i="1"/>
  <c r="J5823" i="1"/>
  <c r="J5821" i="1"/>
  <c r="J5819" i="1"/>
  <c r="J5817" i="1"/>
  <c r="J5815" i="1"/>
  <c r="J5813" i="1"/>
  <c r="J5811" i="1"/>
  <c r="J5809" i="1"/>
  <c r="J5807" i="1"/>
  <c r="J5805" i="1"/>
  <c r="J5803" i="1"/>
  <c r="J5801" i="1"/>
  <c r="J5799" i="1"/>
  <c r="J5797" i="1"/>
  <c r="J5795" i="1"/>
  <c r="J5793" i="1"/>
  <c r="J5791" i="1"/>
  <c r="J5789" i="1"/>
  <c r="J5787" i="1"/>
  <c r="J5785" i="1"/>
  <c r="J5783" i="1"/>
  <c r="J5781" i="1"/>
  <c r="J5779" i="1"/>
  <c r="J5777" i="1"/>
  <c r="J5775" i="1"/>
  <c r="J5773" i="1"/>
  <c r="J5771" i="1"/>
  <c r="J5769" i="1"/>
  <c r="J5767" i="1"/>
  <c r="J5765" i="1"/>
  <c r="J5763" i="1"/>
  <c r="J5761" i="1"/>
  <c r="J5759" i="1"/>
  <c r="J5757" i="1"/>
  <c r="J5755" i="1"/>
  <c r="J5753" i="1"/>
  <c r="J5751" i="1"/>
  <c r="J5749" i="1"/>
  <c r="J5747" i="1"/>
  <c r="J5745" i="1"/>
  <c r="J5743" i="1"/>
  <c r="J5741" i="1"/>
  <c r="J5739" i="1"/>
  <c r="J5737" i="1"/>
  <c r="J5735" i="1"/>
  <c r="J5733" i="1"/>
  <c r="J5731" i="1"/>
  <c r="J5729" i="1"/>
  <c r="J5727" i="1"/>
  <c r="J5725" i="1"/>
  <c r="J5723" i="1"/>
  <c r="J5721" i="1"/>
  <c r="J5719" i="1"/>
  <c r="J5717" i="1"/>
  <c r="J5715" i="1"/>
  <c r="J5713" i="1"/>
  <c r="J5711" i="1"/>
  <c r="J5709" i="1"/>
  <c r="J5707" i="1"/>
  <c r="J5705" i="1"/>
  <c r="J5703" i="1"/>
  <c r="J5701" i="1"/>
  <c r="J5699" i="1"/>
  <c r="J5697" i="1"/>
  <c r="J5695" i="1"/>
  <c r="J5693" i="1"/>
  <c r="J5691" i="1"/>
  <c r="J5689" i="1"/>
  <c r="J5687" i="1"/>
  <c r="J5685" i="1"/>
  <c r="J5683" i="1"/>
  <c r="J5681" i="1"/>
  <c r="J5679" i="1"/>
  <c r="J5677" i="1"/>
  <c r="J5675" i="1"/>
  <c r="J5673" i="1"/>
  <c r="J5671" i="1"/>
  <c r="J5669" i="1"/>
  <c r="J5667" i="1"/>
  <c r="J5665" i="1"/>
  <c r="J5663" i="1"/>
  <c r="J5661" i="1"/>
  <c r="J5659" i="1"/>
  <c r="J5657" i="1"/>
  <c r="J5655" i="1"/>
  <c r="J5653" i="1"/>
  <c r="J5651" i="1"/>
  <c r="J5649" i="1"/>
  <c r="J5647" i="1"/>
  <c r="J5645" i="1"/>
  <c r="J5643" i="1"/>
  <c r="J5641" i="1"/>
  <c r="J5639" i="1"/>
  <c r="J5637" i="1"/>
  <c r="J5635" i="1"/>
  <c r="J5633" i="1"/>
  <c r="J5631" i="1"/>
  <c r="J5629" i="1"/>
  <c r="J5627" i="1"/>
  <c r="J5625" i="1"/>
  <c r="J5623" i="1"/>
  <c r="J5621" i="1"/>
  <c r="J5619" i="1"/>
  <c r="J5617" i="1"/>
  <c r="J5615" i="1"/>
  <c r="J5613" i="1"/>
  <c r="J5611" i="1"/>
  <c r="J5609" i="1"/>
  <c r="J5607" i="1"/>
  <c r="J5605" i="1"/>
  <c r="J5603" i="1"/>
  <c r="J5601" i="1"/>
  <c r="J5599" i="1"/>
  <c r="J5597" i="1"/>
  <c r="J5595" i="1"/>
  <c r="J5593" i="1"/>
  <c r="J5591" i="1"/>
  <c r="J5589" i="1"/>
  <c r="J5587" i="1"/>
  <c r="J5585" i="1"/>
  <c r="J5583" i="1"/>
  <c r="J5581" i="1"/>
  <c r="J5579" i="1"/>
  <c r="J5577" i="1"/>
  <c r="J5575" i="1"/>
  <c r="J5573" i="1"/>
  <c r="J5570" i="1"/>
  <c r="J5566" i="1"/>
  <c r="J5562" i="1"/>
  <c r="J5558" i="1"/>
  <c r="J5554" i="1"/>
  <c r="J5550" i="1"/>
  <c r="J5546" i="1"/>
  <c r="J5542" i="1"/>
  <c r="J5538" i="1"/>
  <c r="J5534" i="1"/>
  <c r="J5530" i="1"/>
  <c r="J5526" i="1"/>
  <c r="J5522" i="1"/>
  <c r="J5518" i="1"/>
  <c r="J5514" i="1"/>
  <c r="J5510" i="1"/>
  <c r="J5506" i="1"/>
  <c r="J5502" i="1"/>
  <c r="J5498" i="1"/>
  <c r="J5494" i="1"/>
  <c r="J5490" i="1"/>
  <c r="J5486" i="1"/>
  <c r="J5482" i="1"/>
  <c r="J5478" i="1"/>
  <c r="J5474" i="1"/>
  <c r="J5470" i="1"/>
  <c r="J5466" i="1"/>
  <c r="J5462" i="1"/>
  <c r="J5458" i="1"/>
  <c r="J5454" i="1"/>
  <c r="J5450" i="1"/>
  <c r="J5446" i="1"/>
  <c r="J5442" i="1"/>
  <c r="J5438" i="1"/>
  <c r="J5434" i="1"/>
  <c r="J5430" i="1"/>
  <c r="J5426" i="1"/>
  <c r="J5422" i="1"/>
  <c r="J5418" i="1"/>
  <c r="J5414" i="1"/>
  <c r="J5410" i="1"/>
  <c r="J5406" i="1"/>
  <c r="J5402" i="1"/>
  <c r="J5398" i="1"/>
  <c r="J5394" i="1"/>
  <c r="J5390" i="1"/>
  <c r="J5386" i="1"/>
  <c r="J5382" i="1"/>
  <c r="J5378" i="1"/>
  <c r="J5374" i="1"/>
  <c r="J5370" i="1"/>
  <c r="J5366" i="1"/>
  <c r="J5362" i="1"/>
  <c r="J5358" i="1"/>
  <c r="J5354" i="1"/>
  <c r="J5350" i="1"/>
  <c r="J5346" i="1"/>
  <c r="J5342" i="1"/>
  <c r="J5338" i="1"/>
  <c r="J5334" i="1"/>
  <c r="J5329" i="1"/>
  <c r="J5328" i="1"/>
  <c r="J5321" i="1"/>
  <c r="J5320" i="1"/>
  <c r="J5313" i="1"/>
  <c r="J6647" i="1"/>
  <c r="J6336" i="1"/>
  <c r="J6162" i="1"/>
  <c r="J6160" i="1"/>
  <c r="J6158" i="1"/>
  <c r="J6156" i="1"/>
  <c r="J6154" i="1"/>
  <c r="J6152" i="1"/>
  <c r="J6150" i="1"/>
  <c r="J6148" i="1"/>
  <c r="J6146" i="1"/>
  <c r="J6144" i="1"/>
  <c r="J6142" i="1"/>
  <c r="J6140" i="1"/>
  <c r="J6138" i="1"/>
  <c r="J6136" i="1"/>
  <c r="J6134" i="1"/>
  <c r="J6132" i="1"/>
  <c r="J6130" i="1"/>
  <c r="J6128" i="1"/>
  <c r="J6126" i="1"/>
  <c r="J6124" i="1"/>
  <c r="J6122" i="1"/>
  <c r="J6120" i="1"/>
  <c r="J6118" i="1"/>
  <c r="J6116" i="1"/>
  <c r="J6114" i="1"/>
  <c r="J6112" i="1"/>
  <c r="J6110" i="1"/>
  <c r="J6108" i="1"/>
  <c r="J6106" i="1"/>
  <c r="J6104" i="1"/>
  <c r="J6102" i="1"/>
  <c r="J6100" i="1"/>
  <c r="J6098" i="1"/>
  <c r="J6096" i="1"/>
  <c r="J6094" i="1"/>
  <c r="J6092" i="1"/>
  <c r="J6090" i="1"/>
  <c r="J6088" i="1"/>
  <c r="J6086" i="1"/>
  <c r="J6084" i="1"/>
  <c r="J6082" i="1"/>
  <c r="J6080" i="1"/>
  <c r="J6078" i="1"/>
  <c r="J6076" i="1"/>
  <c r="J6074" i="1"/>
  <c r="J6072" i="1"/>
  <c r="J6070" i="1"/>
  <c r="J6068" i="1"/>
  <c r="J6066" i="1"/>
  <c r="J6064" i="1"/>
  <c r="J6062" i="1"/>
  <c r="J6060" i="1"/>
  <c r="J6058" i="1"/>
  <c r="J6056" i="1"/>
  <c r="J6054" i="1"/>
  <c r="J6052" i="1"/>
  <c r="J6050" i="1"/>
  <c r="J6048" i="1"/>
  <c r="J6046" i="1"/>
  <c r="J6044" i="1"/>
  <c r="J6042" i="1"/>
  <c r="J6040" i="1"/>
  <c r="J6038" i="1"/>
  <c r="J6036" i="1"/>
  <c r="J6034" i="1"/>
  <c r="J6032" i="1"/>
  <c r="J6030" i="1"/>
  <c r="J6028" i="1"/>
  <c r="J6026" i="1"/>
  <c r="J6024" i="1"/>
  <c r="J6022" i="1"/>
  <c r="J6020" i="1"/>
  <c r="J6018" i="1"/>
  <c r="J6016" i="1"/>
  <c r="J6014" i="1"/>
  <c r="J6012" i="1"/>
  <c r="J6010" i="1"/>
  <c r="J6008" i="1"/>
  <c r="J6006" i="1"/>
  <c r="J6004" i="1"/>
  <c r="J6002" i="1"/>
  <c r="J6000" i="1"/>
  <c r="J5998" i="1"/>
  <c r="J5996" i="1"/>
  <c r="J5994" i="1"/>
  <c r="J5992" i="1"/>
  <c r="J5990" i="1"/>
  <c r="J5988" i="1"/>
  <c r="J5986" i="1"/>
  <c r="J5984" i="1"/>
  <c r="J5982" i="1"/>
  <c r="J5980" i="1"/>
  <c r="J5978" i="1"/>
  <c r="J5976" i="1"/>
  <c r="J5974" i="1"/>
  <c r="J5972" i="1"/>
  <c r="J5970" i="1"/>
  <c r="J5968" i="1"/>
  <c r="J5966" i="1"/>
  <c r="J5964" i="1"/>
  <c r="J5962" i="1"/>
  <c r="J5960" i="1"/>
  <c r="J5958" i="1"/>
  <c r="J5956" i="1"/>
  <c r="J5954" i="1"/>
  <c r="J5952" i="1"/>
  <c r="J5950" i="1"/>
  <c r="J5948" i="1"/>
  <c r="J5946" i="1"/>
  <c r="J5944" i="1"/>
  <c r="J5942" i="1"/>
  <c r="J5940" i="1"/>
  <c r="J5938" i="1"/>
  <c r="J5936" i="1"/>
  <c r="J5934" i="1"/>
  <c r="J5932" i="1"/>
  <c r="J5930" i="1"/>
  <c r="J5928" i="1"/>
  <c r="J5926" i="1"/>
  <c r="J5924" i="1"/>
  <c r="J5922" i="1"/>
  <c r="J5920" i="1"/>
  <c r="J5918" i="1"/>
  <c r="J5916" i="1"/>
  <c r="J5914" i="1"/>
  <c r="J5912" i="1"/>
  <c r="J5910" i="1"/>
  <c r="J5908" i="1"/>
  <c r="J5906" i="1"/>
  <c r="J5904" i="1"/>
  <c r="J5902" i="1"/>
  <c r="J5900" i="1"/>
  <c r="J5898" i="1"/>
  <c r="J5896" i="1"/>
  <c r="J5894" i="1"/>
  <c r="J5892" i="1"/>
  <c r="J5890" i="1"/>
  <c r="J5888" i="1"/>
  <c r="J5886" i="1"/>
  <c r="J5884" i="1"/>
  <c r="J5882" i="1"/>
  <c r="J5880" i="1"/>
  <c r="J5878" i="1"/>
  <c r="J5876" i="1"/>
  <c r="J5874" i="1"/>
  <c r="J5872" i="1"/>
  <c r="J5870" i="1"/>
  <c r="J5868" i="1"/>
  <c r="J5866" i="1"/>
  <c r="J5864" i="1"/>
  <c r="J5862" i="1"/>
  <c r="J5860" i="1"/>
  <c r="J5858" i="1"/>
  <c r="J5856" i="1"/>
  <c r="J5854" i="1"/>
  <c r="J5852" i="1"/>
  <c r="J5850" i="1"/>
  <c r="J5848" i="1"/>
  <c r="J5846" i="1"/>
  <c r="J5844" i="1"/>
  <c r="J5842" i="1"/>
  <c r="J5840" i="1"/>
  <c r="J5838" i="1"/>
  <c r="J5836" i="1"/>
  <c r="J5834" i="1"/>
  <c r="J5832" i="1"/>
  <c r="J5830" i="1"/>
  <c r="J5828" i="1"/>
  <c r="J5826" i="1"/>
  <c r="J5824" i="1"/>
  <c r="J5822" i="1"/>
  <c r="J5820" i="1"/>
  <c r="J5818" i="1"/>
  <c r="J5816" i="1"/>
  <c r="J5814" i="1"/>
  <c r="J5812" i="1"/>
  <c r="J5810" i="1"/>
  <c r="J5808" i="1"/>
  <c r="J5806" i="1"/>
  <c r="J5804" i="1"/>
  <c r="J5802" i="1"/>
  <c r="J5800" i="1"/>
  <c r="J5798" i="1"/>
  <c r="J5796" i="1"/>
  <c r="J5794" i="1"/>
  <c r="J5792" i="1"/>
  <c r="J5790" i="1"/>
  <c r="J5788" i="1"/>
  <c r="J5786" i="1"/>
  <c r="J5784" i="1"/>
  <c r="J5782" i="1"/>
  <c r="J5780" i="1"/>
  <c r="J5778" i="1"/>
  <c r="J5776" i="1"/>
  <c r="J5774" i="1"/>
  <c r="J5772" i="1"/>
  <c r="J5770" i="1"/>
  <c r="J5768" i="1"/>
  <c r="J5766" i="1"/>
  <c r="J5764" i="1"/>
  <c r="J5762" i="1"/>
  <c r="J5760" i="1"/>
  <c r="J5758" i="1"/>
  <c r="J5756" i="1"/>
  <c r="J5754" i="1"/>
  <c r="J5752" i="1"/>
  <c r="J5750" i="1"/>
  <c r="J5748" i="1"/>
  <c r="J5746" i="1"/>
  <c r="J5744" i="1"/>
  <c r="J5742" i="1"/>
  <c r="J5740" i="1"/>
  <c r="J5738" i="1"/>
  <c r="J5736" i="1"/>
  <c r="J5734" i="1"/>
  <c r="J5732" i="1"/>
  <c r="J5730" i="1"/>
  <c r="J5728" i="1"/>
  <c r="J5726" i="1"/>
  <c r="J5724" i="1"/>
  <c r="J5722" i="1"/>
  <c r="J5720" i="1"/>
  <c r="J5718" i="1"/>
  <c r="J5716" i="1"/>
  <c r="J5714" i="1"/>
  <c r="J5712" i="1"/>
  <c r="J5710" i="1"/>
  <c r="J5708" i="1"/>
  <c r="J5706" i="1"/>
  <c r="J5704" i="1"/>
  <c r="J5702" i="1"/>
  <c r="J5700" i="1"/>
  <c r="J5698" i="1"/>
  <c r="J5696" i="1"/>
  <c r="J5694" i="1"/>
  <c r="J5692" i="1"/>
  <c r="J5690" i="1"/>
  <c r="J5688" i="1"/>
  <c r="J5686" i="1"/>
  <c r="J5684" i="1"/>
  <c r="J5682" i="1"/>
  <c r="J5680" i="1"/>
  <c r="J5678" i="1"/>
  <c r="J5676" i="1"/>
  <c r="J5674" i="1"/>
  <c r="J5672" i="1"/>
  <c r="J5670" i="1"/>
  <c r="J5668" i="1"/>
  <c r="J5666" i="1"/>
  <c r="J5664" i="1"/>
  <c r="J5662" i="1"/>
  <c r="J5660" i="1"/>
  <c r="J5658" i="1"/>
  <c r="J5656" i="1"/>
  <c r="J5654" i="1"/>
  <c r="J5652" i="1"/>
  <c r="J5650" i="1"/>
  <c r="J5648" i="1"/>
  <c r="J5646" i="1"/>
  <c r="J5644" i="1"/>
  <c r="J5642" i="1"/>
  <c r="J5640" i="1"/>
  <c r="J5638" i="1"/>
  <c r="J5636" i="1"/>
  <c r="J5634" i="1"/>
  <c r="J5632" i="1"/>
  <c r="J5630" i="1"/>
  <c r="J5628" i="1"/>
  <c r="J5626" i="1"/>
  <c r="J5624" i="1"/>
  <c r="J5622" i="1"/>
  <c r="J5620" i="1"/>
  <c r="J5618" i="1"/>
  <c r="J5616" i="1"/>
  <c r="J5614" i="1"/>
  <c r="J5612" i="1"/>
  <c r="J5610" i="1"/>
  <c r="J5608" i="1"/>
  <c r="J5606" i="1"/>
  <c r="J5604" i="1"/>
  <c r="J5602" i="1"/>
  <c r="J5600" i="1"/>
  <c r="J5598" i="1"/>
  <c r="J5596" i="1"/>
  <c r="J5594" i="1"/>
  <c r="J5592" i="1"/>
  <c r="J5590" i="1"/>
  <c r="J5588" i="1"/>
  <c r="J5586" i="1"/>
  <c r="J5584" i="1"/>
  <c r="J5582" i="1"/>
  <c r="J5580" i="1"/>
  <c r="J5578" i="1"/>
  <c r="J5576" i="1"/>
  <c r="J5574" i="1"/>
  <c r="J5572" i="1"/>
  <c r="J5568" i="1"/>
  <c r="J5564" i="1"/>
  <c r="J5560" i="1"/>
  <c r="J5556" i="1"/>
  <c r="J5552" i="1"/>
  <c r="J5548" i="1"/>
  <c r="J5544" i="1"/>
  <c r="J5540" i="1"/>
  <c r="J5536" i="1"/>
  <c r="J5532" i="1"/>
  <c r="J5528" i="1"/>
  <c r="J5524" i="1"/>
  <c r="J5520" i="1"/>
  <c r="J5516" i="1"/>
  <c r="J5512" i="1"/>
  <c r="J5508" i="1"/>
  <c r="J5504" i="1"/>
  <c r="J5500" i="1"/>
  <c r="J5496" i="1"/>
  <c r="J5492" i="1"/>
  <c r="J5488" i="1"/>
  <c r="J5484" i="1"/>
  <c r="J5480" i="1"/>
  <c r="J5476" i="1"/>
  <c r="J5472" i="1"/>
  <c r="J5468" i="1"/>
  <c r="J5464" i="1"/>
  <c r="J5460" i="1"/>
  <c r="J5456" i="1"/>
  <c r="J5452" i="1"/>
  <c r="J5448" i="1"/>
  <c r="J5444" i="1"/>
  <c r="J5440" i="1"/>
  <c r="J5436" i="1"/>
  <c r="J5432" i="1"/>
  <c r="J5428" i="1"/>
  <c r="J5424" i="1"/>
  <c r="J5420" i="1"/>
  <c r="J5416" i="1"/>
  <c r="J5412" i="1"/>
  <c r="J5408" i="1"/>
  <c r="J5404" i="1"/>
  <c r="J5400" i="1"/>
  <c r="J5396" i="1"/>
  <c r="J5392" i="1"/>
  <c r="J5388" i="1"/>
  <c r="J5384" i="1"/>
  <c r="J5380" i="1"/>
  <c r="J5376" i="1"/>
  <c r="J5372" i="1"/>
  <c r="J5368" i="1"/>
  <c r="J5364" i="1"/>
  <c r="J5360" i="1"/>
  <c r="J5356" i="1"/>
  <c r="J5352" i="1"/>
  <c r="J5348" i="1"/>
  <c r="J5344" i="1"/>
  <c r="J5340" i="1"/>
  <c r="J5336" i="1"/>
  <c r="J5332" i="1"/>
  <c r="J5325" i="1"/>
  <c r="J5324" i="1"/>
  <c r="J5317" i="1"/>
  <c r="J5316" i="1"/>
  <c r="J5571" i="1"/>
  <c r="J5569" i="1"/>
  <c r="J5567" i="1"/>
  <c r="J5565" i="1"/>
  <c r="J5563" i="1"/>
  <c r="J5561" i="1"/>
  <c r="J5559" i="1"/>
  <c r="J5557" i="1"/>
  <c r="J5555" i="1"/>
  <c r="J5553" i="1"/>
  <c r="J5551" i="1"/>
  <c r="J5549" i="1"/>
  <c r="J5547" i="1"/>
  <c r="J5545" i="1"/>
  <c r="J5543" i="1"/>
  <c r="J5541" i="1"/>
  <c r="J5539" i="1"/>
  <c r="J5537" i="1"/>
  <c r="J5535" i="1"/>
  <c r="J5533" i="1"/>
  <c r="J5531" i="1"/>
  <c r="J5529" i="1"/>
  <c r="J5527" i="1"/>
  <c r="J5525" i="1"/>
  <c r="J5523" i="1"/>
  <c r="J5521" i="1"/>
  <c r="J5519" i="1"/>
  <c r="J5517" i="1"/>
  <c r="J5515" i="1"/>
  <c r="J5513" i="1"/>
  <c r="J5511" i="1"/>
  <c r="J5509" i="1"/>
  <c r="J5507" i="1"/>
  <c r="J5505" i="1"/>
  <c r="J5503" i="1"/>
  <c r="J5501" i="1"/>
  <c r="J5499" i="1"/>
  <c r="J5497" i="1"/>
  <c r="J5495" i="1"/>
  <c r="J5493" i="1"/>
  <c r="J5491" i="1"/>
  <c r="J5489" i="1"/>
  <c r="J5487" i="1"/>
  <c r="J5485" i="1"/>
  <c r="J5483" i="1"/>
  <c r="J5481" i="1"/>
  <c r="J5479" i="1"/>
  <c r="J5477" i="1"/>
  <c r="J5475" i="1"/>
  <c r="J5473" i="1"/>
  <c r="J5471" i="1"/>
  <c r="J5469" i="1"/>
  <c r="J5467" i="1"/>
  <c r="J5465" i="1"/>
  <c r="J5463" i="1"/>
  <c r="J5461" i="1"/>
  <c r="J5459" i="1"/>
  <c r="J5457" i="1"/>
  <c r="J5455" i="1"/>
  <c r="J5453" i="1"/>
  <c r="J5451" i="1"/>
  <c r="J5449" i="1"/>
  <c r="J5447" i="1"/>
  <c r="J5445" i="1"/>
  <c r="J5443" i="1"/>
  <c r="J5441" i="1"/>
  <c r="J5439" i="1"/>
  <c r="J5437" i="1"/>
  <c r="J5435" i="1"/>
  <c r="J5433" i="1"/>
  <c r="J5431" i="1"/>
  <c r="J5429" i="1"/>
  <c r="J5427" i="1"/>
  <c r="J5425" i="1"/>
  <c r="J5423" i="1"/>
  <c r="J5421" i="1"/>
  <c r="J5419" i="1"/>
  <c r="J5417" i="1"/>
  <c r="J5415" i="1"/>
  <c r="J5413" i="1"/>
  <c r="J5411" i="1"/>
  <c r="J5409" i="1"/>
  <c r="J5407" i="1"/>
  <c r="J5405" i="1"/>
  <c r="J5403" i="1"/>
  <c r="J5401" i="1"/>
  <c r="J5399" i="1"/>
  <c r="J5397" i="1"/>
  <c r="J5395" i="1"/>
  <c r="J5393" i="1"/>
  <c r="J5391" i="1"/>
  <c r="J5389" i="1"/>
  <c r="J5387" i="1"/>
  <c r="J5385" i="1"/>
  <c r="J5383" i="1"/>
  <c r="J5381" i="1"/>
  <c r="J5379" i="1"/>
  <c r="J5377" i="1"/>
  <c r="J5375" i="1"/>
  <c r="J5373" i="1"/>
  <c r="J5371" i="1"/>
  <c r="J5369" i="1"/>
  <c r="J5367" i="1"/>
  <c r="J5365" i="1"/>
  <c r="J5363" i="1"/>
  <c r="J5361" i="1"/>
  <c r="J5359" i="1"/>
  <c r="J5357" i="1"/>
  <c r="J5355" i="1"/>
  <c r="J5353" i="1"/>
  <c r="J5351" i="1"/>
  <c r="J5349" i="1"/>
  <c r="J5347" i="1"/>
  <c r="J5345" i="1"/>
  <c r="J5343" i="1"/>
  <c r="J5341" i="1"/>
  <c r="J5339" i="1"/>
  <c r="J5337" i="1"/>
  <c r="J5335" i="1"/>
  <c r="J5333" i="1"/>
  <c r="J5330" i="1"/>
  <c r="J5326" i="1"/>
  <c r="J5322" i="1"/>
  <c r="J5318" i="1"/>
  <c r="J5314" i="1"/>
  <c r="J5310" i="1"/>
  <c r="J5306" i="1"/>
  <c r="J5302" i="1"/>
  <c r="J5298" i="1"/>
  <c r="J5294" i="1"/>
  <c r="J5290" i="1"/>
  <c r="J5286" i="1"/>
  <c r="J5282" i="1"/>
  <c r="J5278" i="1"/>
  <c r="J5274" i="1"/>
  <c r="J5270" i="1"/>
  <c r="J5266" i="1"/>
  <c r="J5262" i="1"/>
  <c r="J5258" i="1"/>
  <c r="J5254" i="1"/>
  <c r="J5250" i="1"/>
  <c r="J5246" i="1"/>
  <c r="J5242" i="1"/>
  <c r="J5238" i="1"/>
  <c r="J5234" i="1"/>
  <c r="J5230" i="1"/>
  <c r="J5226" i="1"/>
  <c r="J5222" i="1"/>
  <c r="J5218" i="1"/>
  <c r="J5214" i="1"/>
  <c r="J5210" i="1"/>
  <c r="J5206" i="1"/>
  <c r="J5202" i="1"/>
  <c r="J5198" i="1"/>
  <c r="J5194" i="1"/>
  <c r="J5190" i="1"/>
  <c r="J5186" i="1"/>
  <c r="J5182" i="1"/>
  <c r="J5178" i="1"/>
  <c r="J5174" i="1"/>
  <c r="J5170" i="1"/>
  <c r="J5166" i="1"/>
  <c r="J5162" i="1"/>
  <c r="J5158" i="1"/>
  <c r="J5154" i="1"/>
  <c r="J5150" i="1"/>
  <c r="J5146" i="1"/>
  <c r="J5142" i="1"/>
  <c r="J5138" i="1"/>
  <c r="J5134" i="1"/>
  <c r="J5130" i="1"/>
  <c r="J5126" i="1"/>
  <c r="J5122" i="1"/>
  <c r="J5118" i="1"/>
  <c r="J5114" i="1"/>
  <c r="J5110" i="1"/>
  <c r="J5106" i="1"/>
  <c r="J5102" i="1"/>
  <c r="J5098" i="1"/>
  <c r="J5094" i="1"/>
  <c r="J5090" i="1"/>
  <c r="J5086" i="1"/>
  <c r="J5082" i="1"/>
  <c r="J5078" i="1"/>
  <c r="J5074" i="1"/>
  <c r="J5070" i="1"/>
  <c r="J5066" i="1"/>
  <c r="J5062" i="1"/>
  <c r="J5058" i="1"/>
  <c r="J5054" i="1"/>
  <c r="J5050" i="1"/>
  <c r="J5046" i="1"/>
  <c r="J5042" i="1"/>
  <c r="J5038" i="1"/>
  <c r="J5034" i="1"/>
  <c r="J5030" i="1"/>
  <c r="J5026" i="1"/>
  <c r="J5022" i="1"/>
  <c r="J5018" i="1"/>
  <c r="J5014" i="1"/>
  <c r="J5010" i="1"/>
  <c r="J5006" i="1"/>
  <c r="J5002" i="1"/>
  <c r="J4998" i="1"/>
  <c r="J4994" i="1"/>
  <c r="J4990" i="1"/>
  <c r="J4986" i="1"/>
  <c r="J4982" i="1"/>
  <c r="J4978" i="1"/>
  <c r="J4974" i="1"/>
  <c r="J4970" i="1"/>
  <c r="J4966" i="1"/>
  <c r="J4962" i="1"/>
  <c r="J4958" i="1"/>
  <c r="J4954" i="1"/>
  <c r="J4950" i="1"/>
  <c r="J4946" i="1"/>
  <c r="J4942" i="1"/>
  <c r="J4938" i="1"/>
  <c r="J4934" i="1"/>
  <c r="J4930" i="1"/>
  <c r="J4926" i="1"/>
  <c r="J4922" i="1"/>
  <c r="J4918" i="1"/>
  <c r="J4914" i="1"/>
  <c r="J4910" i="1"/>
  <c r="J4906" i="1"/>
  <c r="J4902" i="1"/>
  <c r="J4898" i="1"/>
  <c r="J4894" i="1"/>
  <c r="J4890" i="1"/>
  <c r="J4886" i="1"/>
  <c r="J4882" i="1"/>
  <c r="J4878" i="1"/>
  <c r="J4874" i="1"/>
  <c r="J4870" i="1"/>
  <c r="J4866" i="1"/>
  <c r="J4862" i="1"/>
  <c r="J4858" i="1"/>
  <c r="J4854" i="1"/>
  <c r="J4850" i="1"/>
  <c r="J4846" i="1"/>
  <c r="J4842" i="1"/>
  <c r="J4838" i="1"/>
  <c r="J4834" i="1"/>
  <c r="J4830" i="1"/>
  <c r="J4826" i="1"/>
  <c r="J4822" i="1"/>
  <c r="J4818" i="1"/>
  <c r="J4814" i="1"/>
  <c r="J4810" i="1"/>
  <c r="J4806" i="1"/>
  <c r="J4802" i="1"/>
  <c r="J4798" i="1"/>
  <c r="J4794" i="1"/>
  <c r="J4790" i="1"/>
  <c r="J4786" i="1"/>
  <c r="J4782" i="1"/>
  <c r="J4778" i="1"/>
  <c r="J4774" i="1"/>
  <c r="J4770" i="1"/>
  <c r="J4766" i="1"/>
  <c r="J4762" i="1"/>
  <c r="J4758" i="1"/>
  <c r="J4754" i="1"/>
  <c r="J4750" i="1"/>
  <c r="J4746" i="1"/>
  <c r="J4742" i="1"/>
  <c r="J4738" i="1"/>
  <c r="J4734" i="1"/>
  <c r="J4730" i="1"/>
  <c r="J4726" i="1"/>
  <c r="J4722" i="1"/>
  <c r="J4718" i="1"/>
  <c r="J4714" i="1"/>
  <c r="J4710" i="1"/>
  <c r="J4706" i="1"/>
  <c r="J4702" i="1"/>
  <c r="J4698" i="1"/>
  <c r="J4694" i="1"/>
  <c r="J4690" i="1"/>
  <c r="J4686" i="1"/>
  <c r="J4682" i="1"/>
  <c r="J4678" i="1"/>
  <c r="J4674" i="1"/>
  <c r="J4670" i="1"/>
  <c r="J4666" i="1"/>
  <c r="J4662" i="1"/>
  <c r="J4658" i="1"/>
  <c r="J4654" i="1"/>
  <c r="J4650" i="1"/>
  <c r="J4646" i="1"/>
  <c r="J4642" i="1"/>
  <c r="J4638" i="1"/>
  <c r="J4634" i="1"/>
  <c r="J4630" i="1"/>
  <c r="J4626" i="1"/>
  <c r="J4622" i="1"/>
  <c r="J4615" i="1"/>
  <c r="J4614" i="1"/>
  <c r="J4607" i="1"/>
  <c r="J4606" i="1"/>
  <c r="J4599" i="1"/>
  <c r="J4598" i="1"/>
  <c r="J4591" i="1"/>
  <c r="J4590" i="1"/>
  <c r="J4583" i="1"/>
  <c r="J4582" i="1"/>
  <c r="J4575" i="1"/>
  <c r="J4574" i="1"/>
  <c r="J4567" i="1"/>
  <c r="J4566" i="1"/>
  <c r="J4559" i="1"/>
  <c r="J4558" i="1"/>
  <c r="J4551" i="1"/>
  <c r="J4550" i="1"/>
  <c r="J4543" i="1"/>
  <c r="J4542" i="1"/>
  <c r="J4535" i="1"/>
  <c r="J4534" i="1"/>
  <c r="J4527" i="1"/>
  <c r="J4526" i="1"/>
  <c r="J4519" i="1"/>
  <c r="J4518" i="1"/>
  <c r="J4511" i="1"/>
  <c r="J4510" i="1"/>
  <c r="J4503" i="1"/>
  <c r="J4502" i="1"/>
  <c r="J4495" i="1"/>
  <c r="J4494" i="1"/>
  <c r="J4487" i="1"/>
  <c r="J4486" i="1"/>
  <c r="J4479" i="1"/>
  <c r="J4478" i="1"/>
  <c r="J4471" i="1"/>
  <c r="J4470" i="1"/>
  <c r="J4463" i="1"/>
  <c r="J4462" i="1"/>
  <c r="J4455" i="1"/>
  <c r="J4454" i="1"/>
  <c r="J4447" i="1"/>
  <c r="J4446" i="1"/>
  <c r="J4439" i="1"/>
  <c r="J4438" i="1"/>
  <c r="J4431" i="1"/>
  <c r="J4430" i="1"/>
  <c r="J4423" i="1"/>
  <c r="J4422" i="1"/>
  <c r="J4415" i="1"/>
  <c r="J4414" i="1"/>
  <c r="J4407" i="1"/>
  <c r="J4406" i="1"/>
  <c r="J4399" i="1"/>
  <c r="J4398" i="1"/>
  <c r="J4391" i="1"/>
  <c r="J4390" i="1"/>
  <c r="J4383" i="1"/>
  <c r="J4382" i="1"/>
  <c r="J4375" i="1"/>
  <c r="J4374" i="1"/>
  <c r="J4367" i="1"/>
  <c r="J4366" i="1"/>
  <c r="J4359" i="1"/>
  <c r="J4358" i="1"/>
  <c r="J4351" i="1"/>
  <c r="J4350" i="1"/>
  <c r="J4343" i="1"/>
  <c r="J4342" i="1"/>
  <c r="J4335" i="1"/>
  <c r="J4334" i="1"/>
  <c r="J4327" i="1"/>
  <c r="J4326" i="1"/>
  <c r="J4319" i="1"/>
  <c r="J4318" i="1"/>
  <c r="J4311" i="1"/>
  <c r="J4310" i="1"/>
  <c r="J4303" i="1"/>
  <c r="J4302" i="1"/>
  <c r="J4295" i="1"/>
  <c r="J4294" i="1"/>
  <c r="J4287" i="1"/>
  <c r="J4286" i="1"/>
  <c r="J4279" i="1"/>
  <c r="J4278" i="1"/>
  <c r="J5312" i="1"/>
  <c r="J5308" i="1"/>
  <c r="J5304" i="1"/>
  <c r="J5300" i="1"/>
  <c r="J5296" i="1"/>
  <c r="J5292" i="1"/>
  <c r="J5288" i="1"/>
  <c r="J5284" i="1"/>
  <c r="J5280" i="1"/>
  <c r="J5276" i="1"/>
  <c r="J5272" i="1"/>
  <c r="J5268" i="1"/>
  <c r="J5264" i="1"/>
  <c r="J5260" i="1"/>
  <c r="J5256" i="1"/>
  <c r="J5252" i="1"/>
  <c r="J5248" i="1"/>
  <c r="J5244" i="1"/>
  <c r="J5240" i="1"/>
  <c r="J5236" i="1"/>
  <c r="J5232" i="1"/>
  <c r="J5228" i="1"/>
  <c r="J5224" i="1"/>
  <c r="J5220" i="1"/>
  <c r="J5216" i="1"/>
  <c r="J5212" i="1"/>
  <c r="J5208" i="1"/>
  <c r="J5204" i="1"/>
  <c r="J5200" i="1"/>
  <c r="J5196" i="1"/>
  <c r="J5192" i="1"/>
  <c r="J5188" i="1"/>
  <c r="J5184" i="1"/>
  <c r="J5180" i="1"/>
  <c r="J5176" i="1"/>
  <c r="J5172" i="1"/>
  <c r="J5168" i="1"/>
  <c r="J5164" i="1"/>
  <c r="J5160" i="1"/>
  <c r="J5156" i="1"/>
  <c r="J5152" i="1"/>
  <c r="J5148" i="1"/>
  <c r="J5144" i="1"/>
  <c r="J5140" i="1"/>
  <c r="J5136" i="1"/>
  <c r="J5132" i="1"/>
  <c r="J5128" i="1"/>
  <c r="J5124" i="1"/>
  <c r="J5120" i="1"/>
  <c r="J5116" i="1"/>
  <c r="J5112" i="1"/>
  <c r="J5108" i="1"/>
  <c r="J5104" i="1"/>
  <c r="J5100" i="1"/>
  <c r="J5096" i="1"/>
  <c r="J5092" i="1"/>
  <c r="J5088" i="1"/>
  <c r="J5084" i="1"/>
  <c r="J5080" i="1"/>
  <c r="J5076" i="1"/>
  <c r="J5072" i="1"/>
  <c r="J5068" i="1"/>
  <c r="J5064" i="1"/>
  <c r="J5060" i="1"/>
  <c r="J5056" i="1"/>
  <c r="J5052" i="1"/>
  <c r="J5048" i="1"/>
  <c r="J5044" i="1"/>
  <c r="J5040" i="1"/>
  <c r="J5036" i="1"/>
  <c r="J5032" i="1"/>
  <c r="J5028" i="1"/>
  <c r="J5024" i="1"/>
  <c r="J5020" i="1"/>
  <c r="J5016" i="1"/>
  <c r="J5012" i="1"/>
  <c r="J5008" i="1"/>
  <c r="J5004" i="1"/>
  <c r="J5000" i="1"/>
  <c r="J4996" i="1"/>
  <c r="J4992" i="1"/>
  <c r="J4988" i="1"/>
  <c r="J4984" i="1"/>
  <c r="J4980" i="1"/>
  <c r="J4976" i="1"/>
  <c r="J4972" i="1"/>
  <c r="J4968" i="1"/>
  <c r="J4964" i="1"/>
  <c r="J4960" i="1"/>
  <c r="J4956" i="1"/>
  <c r="J4952" i="1"/>
  <c r="J4948" i="1"/>
  <c r="J4944" i="1"/>
  <c r="J4940" i="1"/>
  <c r="J4936" i="1"/>
  <c r="J4932" i="1"/>
  <c r="J4928" i="1"/>
  <c r="J4924" i="1"/>
  <c r="J4920" i="1"/>
  <c r="J4916" i="1"/>
  <c r="J4912" i="1"/>
  <c r="J4908" i="1"/>
  <c r="J4904" i="1"/>
  <c r="J4900" i="1"/>
  <c r="J4896" i="1"/>
  <c r="J4892" i="1"/>
  <c r="J4888" i="1"/>
  <c r="J4884" i="1"/>
  <c r="J4880" i="1"/>
  <c r="J4876" i="1"/>
  <c r="J4872" i="1"/>
  <c r="J4868" i="1"/>
  <c r="J4864" i="1"/>
  <c r="J4860" i="1"/>
  <c r="J4856" i="1"/>
  <c r="J4852" i="1"/>
  <c r="J4848" i="1"/>
  <c r="J4844" i="1"/>
  <c r="J4840" i="1"/>
  <c r="J4836" i="1"/>
  <c r="J4832" i="1"/>
  <c r="J4828" i="1"/>
  <c r="J4824" i="1"/>
  <c r="J4820" i="1"/>
  <c r="J4816" i="1"/>
  <c r="J4812" i="1"/>
  <c r="J4808" i="1"/>
  <c r="J4804" i="1"/>
  <c r="J4800" i="1"/>
  <c r="J4796" i="1"/>
  <c r="J4792" i="1"/>
  <c r="J4788" i="1"/>
  <c r="J4784" i="1"/>
  <c r="J4780" i="1"/>
  <c r="J4776" i="1"/>
  <c r="J4772" i="1"/>
  <c r="J4768" i="1"/>
  <c r="J4764" i="1"/>
  <c r="J4760" i="1"/>
  <c r="J4756" i="1"/>
  <c r="J4752" i="1"/>
  <c r="J4748" i="1"/>
  <c r="J4744" i="1"/>
  <c r="J4740" i="1"/>
  <c r="J4736" i="1"/>
  <c r="J4732" i="1"/>
  <c r="J4728" i="1"/>
  <c r="J4724" i="1"/>
  <c r="J4720" i="1"/>
  <c r="J4716" i="1"/>
  <c r="J4712" i="1"/>
  <c r="J4708" i="1"/>
  <c r="J4704" i="1"/>
  <c r="J4700" i="1"/>
  <c r="J4696" i="1"/>
  <c r="J4692" i="1"/>
  <c r="J4688" i="1"/>
  <c r="J4684" i="1"/>
  <c r="J4680" i="1"/>
  <c r="J4676" i="1"/>
  <c r="J4672" i="1"/>
  <c r="J4668" i="1"/>
  <c r="J4664" i="1"/>
  <c r="J4660" i="1"/>
  <c r="J4656" i="1"/>
  <c r="J4652" i="1"/>
  <c r="J4648" i="1"/>
  <c r="J4644" i="1"/>
  <c r="J4640" i="1"/>
  <c r="J4636" i="1"/>
  <c r="J4632" i="1"/>
  <c r="J4628" i="1"/>
  <c r="J4624" i="1"/>
  <c r="J4620" i="1"/>
  <c r="J4619" i="1"/>
  <c r="J4618" i="1"/>
  <c r="J4611" i="1"/>
  <c r="J4610" i="1"/>
  <c r="J4603" i="1"/>
  <c r="J4602" i="1"/>
  <c r="J4595" i="1"/>
  <c r="J4594" i="1"/>
  <c r="J4587" i="1"/>
  <c r="J4586" i="1"/>
  <c r="J4579" i="1"/>
  <c r="J4578" i="1"/>
  <c r="J4571" i="1"/>
  <c r="J4570" i="1"/>
  <c r="J4563" i="1"/>
  <c r="J4562" i="1"/>
  <c r="J4555" i="1"/>
  <c r="J4554" i="1"/>
  <c r="J4547" i="1"/>
  <c r="J4546" i="1"/>
  <c r="J4539" i="1"/>
  <c r="J4538" i="1"/>
  <c r="J4531" i="1"/>
  <c r="J4530" i="1"/>
  <c r="J4523" i="1"/>
  <c r="J4522" i="1"/>
  <c r="J4515" i="1"/>
  <c r="J4514" i="1"/>
  <c r="J4507" i="1"/>
  <c r="J4506" i="1"/>
  <c r="J4499" i="1"/>
  <c r="J4498" i="1"/>
  <c r="J4491" i="1"/>
  <c r="J4490" i="1"/>
  <c r="J4483" i="1"/>
  <c r="J4482" i="1"/>
  <c r="J4475" i="1"/>
  <c r="J4474" i="1"/>
  <c r="J4467" i="1"/>
  <c r="J4466" i="1"/>
  <c r="J4459" i="1"/>
  <c r="J4458" i="1"/>
  <c r="J4451" i="1"/>
  <c r="J4450" i="1"/>
  <c r="J4443" i="1"/>
  <c r="J4442" i="1"/>
  <c r="J4435" i="1"/>
  <c r="J4434" i="1"/>
  <c r="J4427" i="1"/>
  <c r="J4426" i="1"/>
  <c r="J4419" i="1"/>
  <c r="J4418" i="1"/>
  <c r="J4411" i="1"/>
  <c r="J4410" i="1"/>
  <c r="J4403" i="1"/>
  <c r="J4402" i="1"/>
  <c r="J4395" i="1"/>
  <c r="J4394" i="1"/>
  <c r="J4387" i="1"/>
  <c r="J4386" i="1"/>
  <c r="J4379" i="1"/>
  <c r="J4378" i="1"/>
  <c r="J4371" i="1"/>
  <c r="J4370" i="1"/>
  <c r="J4363" i="1"/>
  <c r="J4362" i="1"/>
  <c r="J4355" i="1"/>
  <c r="J4354" i="1"/>
  <c r="J4347" i="1"/>
  <c r="J4346" i="1"/>
  <c r="J4339" i="1"/>
  <c r="J4338" i="1"/>
  <c r="J4331" i="1"/>
  <c r="J4330" i="1"/>
  <c r="J4323" i="1"/>
  <c r="J4322" i="1"/>
  <c r="J4315" i="1"/>
  <c r="J4314" i="1"/>
  <c r="J4307" i="1"/>
  <c r="J4306" i="1"/>
  <c r="J4299" i="1"/>
  <c r="J4298" i="1"/>
  <c r="J4291" i="1"/>
  <c r="J4290" i="1"/>
  <c r="J4283" i="1"/>
  <c r="J4282" i="1"/>
  <c r="J4275" i="1"/>
  <c r="J4274" i="1"/>
  <c r="J4273" i="1"/>
  <c r="J4272" i="1"/>
  <c r="J4265" i="1"/>
  <c r="J4264" i="1"/>
  <c r="J4257" i="1"/>
  <c r="J4256" i="1"/>
  <c r="J4249" i="1"/>
  <c r="J4248" i="1"/>
  <c r="J4241" i="1"/>
  <c r="J4240" i="1"/>
  <c r="J4233" i="1"/>
  <c r="J4232" i="1"/>
  <c r="J4225" i="1"/>
  <c r="J4224" i="1"/>
  <c r="J4217" i="1"/>
  <c r="J4216" i="1"/>
  <c r="J4209" i="1"/>
  <c r="J4208" i="1"/>
  <c r="J4201" i="1"/>
  <c r="J4200" i="1"/>
  <c r="J4193" i="1"/>
  <c r="J4192" i="1"/>
  <c r="J4185" i="1"/>
  <c r="J4184" i="1"/>
  <c r="J4177" i="1"/>
  <c r="J4176" i="1"/>
  <c r="J4169" i="1"/>
  <c r="J4168" i="1"/>
  <c r="J4161" i="1"/>
  <c r="J4160" i="1"/>
  <c r="J4153" i="1"/>
  <c r="J4152" i="1"/>
  <c r="J4145" i="1"/>
  <c r="J4144" i="1"/>
  <c r="J4137" i="1"/>
  <c r="J4136" i="1"/>
  <c r="J4129" i="1"/>
  <c r="J4128" i="1"/>
  <c r="J4121" i="1"/>
  <c r="J4120" i="1"/>
  <c r="J4113" i="1"/>
  <c r="J4112" i="1"/>
  <c r="J4105" i="1"/>
  <c r="J4104" i="1"/>
  <c r="J4097" i="1"/>
  <c r="J4096" i="1"/>
  <c r="J4089" i="1"/>
  <c r="J4088" i="1"/>
  <c r="J4081" i="1"/>
  <c r="J4080" i="1"/>
  <c r="J4073" i="1"/>
  <c r="J4072" i="1"/>
  <c r="J4065" i="1"/>
  <c r="J4064" i="1"/>
  <c r="J4057" i="1"/>
  <c r="J4056" i="1"/>
  <c r="J4049" i="1"/>
  <c r="J4048" i="1"/>
  <c r="J4041" i="1"/>
  <c r="J4040" i="1"/>
  <c r="J4033" i="1"/>
  <c r="J4032" i="1"/>
  <c r="J4025" i="1"/>
  <c r="J4024" i="1"/>
  <c r="J4017" i="1"/>
  <c r="J4016" i="1"/>
  <c r="J4009" i="1"/>
  <c r="J4008" i="1"/>
  <c r="J4001" i="1"/>
  <c r="J4000" i="1"/>
  <c r="J3993" i="1"/>
  <c r="J3992" i="1"/>
  <c r="J3985" i="1"/>
  <c r="J3984" i="1"/>
  <c r="J3977" i="1"/>
  <c r="J3976" i="1"/>
  <c r="J3969" i="1"/>
  <c r="J3968" i="1"/>
  <c r="J4616" i="1"/>
  <c r="J4612" i="1"/>
  <c r="J4608" i="1"/>
  <c r="J4604" i="1"/>
  <c r="J4600" i="1"/>
  <c r="J4596" i="1"/>
  <c r="J4592" i="1"/>
  <c r="J4588" i="1"/>
  <c r="J4584" i="1"/>
  <c r="J4580" i="1"/>
  <c r="J4576" i="1"/>
  <c r="J4572" i="1"/>
  <c r="J4568" i="1"/>
  <c r="J4564" i="1"/>
  <c r="J4560" i="1"/>
  <c r="J4556" i="1"/>
  <c r="J4552" i="1"/>
  <c r="J4548" i="1"/>
  <c r="J4544" i="1"/>
  <c r="J4540" i="1"/>
  <c r="J4536" i="1"/>
  <c r="J4532" i="1"/>
  <c r="J4528" i="1"/>
  <c r="J4524" i="1"/>
  <c r="J4520" i="1"/>
  <c r="J4516" i="1"/>
  <c r="J4512" i="1"/>
  <c r="J4508" i="1"/>
  <c r="J4504" i="1"/>
  <c r="J4500" i="1"/>
  <c r="J4496" i="1"/>
  <c r="J4492" i="1"/>
  <c r="J4488" i="1"/>
  <c r="J4484" i="1"/>
  <c r="J4480" i="1"/>
  <c r="J4476" i="1"/>
  <c r="J4472" i="1"/>
  <c r="J4468" i="1"/>
  <c r="J4464" i="1"/>
  <c r="J4460" i="1"/>
  <c r="J4456" i="1"/>
  <c r="J4452" i="1"/>
  <c r="J4448" i="1"/>
  <c r="J4444" i="1"/>
  <c r="J4440" i="1"/>
  <c r="J4436" i="1"/>
  <c r="J4432" i="1"/>
  <c r="J4428" i="1"/>
  <c r="J4424" i="1"/>
  <c r="J4420" i="1"/>
  <c r="J4416" i="1"/>
  <c r="J4412" i="1"/>
  <c r="J4408" i="1"/>
  <c r="J4404" i="1"/>
  <c r="J4400" i="1"/>
  <c r="J4396" i="1"/>
  <c r="J4392" i="1"/>
  <c r="J4388" i="1"/>
  <c r="J4384" i="1"/>
  <c r="J4380" i="1"/>
  <c r="J4376" i="1"/>
  <c r="J4372" i="1"/>
  <c r="J4368" i="1"/>
  <c r="J4364" i="1"/>
  <c r="J4360" i="1"/>
  <c r="J4356" i="1"/>
  <c r="J4352" i="1"/>
  <c r="J4348" i="1"/>
  <c r="J4344" i="1"/>
  <c r="J4340" i="1"/>
  <c r="J4336" i="1"/>
  <c r="J4332" i="1"/>
  <c r="J4328" i="1"/>
  <c r="J4324" i="1"/>
  <c r="J4320" i="1"/>
  <c r="J4316" i="1"/>
  <c r="J4312" i="1"/>
  <c r="J4308" i="1"/>
  <c r="J4304" i="1"/>
  <c r="J4300" i="1"/>
  <c r="J4296" i="1"/>
  <c r="J4292" i="1"/>
  <c r="J4288" i="1"/>
  <c r="J4284" i="1"/>
  <c r="J4280" i="1"/>
  <c r="J4276" i="1"/>
  <c r="J4269" i="1"/>
  <c r="J4268" i="1"/>
  <c r="J4261" i="1"/>
  <c r="J4260" i="1"/>
  <c r="J4253" i="1"/>
  <c r="J4252" i="1"/>
  <c r="J4245" i="1"/>
  <c r="J4244" i="1"/>
  <c r="J4237" i="1"/>
  <c r="J4236" i="1"/>
  <c r="J4229" i="1"/>
  <c r="J4228" i="1"/>
  <c r="J4221" i="1"/>
  <c r="J4220" i="1"/>
  <c r="J4213" i="1"/>
  <c r="J4212" i="1"/>
  <c r="J4205" i="1"/>
  <c r="J4204" i="1"/>
  <c r="J4197" i="1"/>
  <c r="J4196" i="1"/>
  <c r="J4189" i="1"/>
  <c r="J4188" i="1"/>
  <c r="J4181" i="1"/>
  <c r="J4180" i="1"/>
  <c r="J4173" i="1"/>
  <c r="J4172" i="1"/>
  <c r="J4165" i="1"/>
  <c r="J4164" i="1"/>
  <c r="J4157" i="1"/>
  <c r="J4156" i="1"/>
  <c r="J4149" i="1"/>
  <c r="J4148" i="1"/>
  <c r="J4141" i="1"/>
  <c r="J4140" i="1"/>
  <c r="J4133" i="1"/>
  <c r="J4132" i="1"/>
  <c r="J4125" i="1"/>
  <c r="J4124" i="1"/>
  <c r="J4117" i="1"/>
  <c r="J4116" i="1"/>
  <c r="J4109" i="1"/>
  <c r="J4108" i="1"/>
  <c r="J4101" i="1"/>
  <c r="J4100" i="1"/>
  <c r="J4093" i="1"/>
  <c r="J4092" i="1"/>
  <c r="J4085" i="1"/>
  <c r="J4084" i="1"/>
  <c r="J4077" i="1"/>
  <c r="J4076" i="1"/>
  <c r="J4069" i="1"/>
  <c r="J4068" i="1"/>
  <c r="J4061" i="1"/>
  <c r="J4060" i="1"/>
  <c r="J4053" i="1"/>
  <c r="J4052" i="1"/>
  <c r="J4045" i="1"/>
  <c r="J4044" i="1"/>
  <c r="J4037" i="1"/>
  <c r="J4036" i="1"/>
  <c r="J4029" i="1"/>
  <c r="J4028" i="1"/>
  <c r="J4021" i="1"/>
  <c r="J4020" i="1"/>
  <c r="J4013" i="1"/>
  <c r="J4012" i="1"/>
  <c r="J4005" i="1"/>
  <c r="J4004" i="1"/>
  <c r="J3997" i="1"/>
  <c r="J3996" i="1"/>
  <c r="J3989" i="1"/>
  <c r="J3988" i="1"/>
  <c r="J3981" i="1"/>
  <c r="J3980" i="1"/>
  <c r="J3973" i="1"/>
  <c r="J3972" i="1"/>
  <c r="J3965" i="1"/>
  <c r="J3964" i="1"/>
  <c r="J3957" i="1"/>
  <c r="J3956" i="1"/>
  <c r="J3949" i="1"/>
  <c r="J3948" i="1"/>
  <c r="J3941" i="1"/>
  <c r="J3940" i="1"/>
  <c r="J3933" i="1"/>
  <c r="J3932" i="1"/>
  <c r="J3925" i="1"/>
  <c r="J3924" i="1"/>
  <c r="J3917" i="1"/>
  <c r="J3916" i="1"/>
  <c r="J3909" i="1"/>
  <c r="J3908" i="1"/>
  <c r="J3901" i="1"/>
  <c r="J3900" i="1"/>
  <c r="J3893" i="1"/>
  <c r="J3892" i="1"/>
  <c r="J3885" i="1"/>
  <c r="J3884" i="1"/>
  <c r="J3877" i="1"/>
  <c r="J3876" i="1"/>
  <c r="J3869" i="1"/>
  <c r="J3868" i="1"/>
  <c r="J3861" i="1"/>
  <c r="J3860" i="1"/>
  <c r="J3853" i="1"/>
  <c r="J3852" i="1"/>
  <c r="J3845" i="1"/>
  <c r="J3844" i="1"/>
  <c r="J3837" i="1"/>
  <c r="J3836" i="1"/>
  <c r="J3829" i="1"/>
  <c r="J3828" i="1"/>
  <c r="J3821" i="1"/>
  <c r="J3820" i="1"/>
  <c r="J3813" i="1"/>
  <c r="J3812" i="1"/>
  <c r="J3805" i="1"/>
  <c r="J3804" i="1"/>
  <c r="J3797" i="1"/>
  <c r="J3796" i="1"/>
  <c r="J3789" i="1"/>
  <c r="J3788" i="1"/>
  <c r="J3781" i="1"/>
  <c r="J3780" i="1"/>
  <c r="J3773" i="1"/>
  <c r="J3772" i="1"/>
  <c r="J3765" i="1"/>
  <c r="J3764" i="1"/>
  <c r="J3757" i="1"/>
  <c r="J3756" i="1"/>
  <c r="J3749" i="1"/>
  <c r="J3748" i="1"/>
  <c r="J3741" i="1"/>
  <c r="J3740" i="1"/>
  <c r="J3733" i="1"/>
  <c r="J3732" i="1"/>
  <c r="J3725" i="1"/>
  <c r="J3724" i="1"/>
  <c r="J3717" i="1"/>
  <c r="J3716" i="1"/>
  <c r="J3709" i="1"/>
  <c r="J3708" i="1"/>
  <c r="J3701" i="1"/>
  <c r="J3700" i="1"/>
  <c r="J3693" i="1"/>
  <c r="J3692" i="1"/>
  <c r="J3685" i="1"/>
  <c r="J3684" i="1"/>
  <c r="J3677" i="1"/>
  <c r="J3676" i="1"/>
  <c r="J3669" i="1"/>
  <c r="J3668" i="1"/>
  <c r="J3661" i="1"/>
  <c r="J3660" i="1"/>
  <c r="J3653" i="1"/>
  <c r="J3652" i="1"/>
  <c r="J3645" i="1"/>
  <c r="J3644" i="1"/>
  <c r="J3637" i="1"/>
  <c r="J3636" i="1"/>
  <c r="J3629" i="1"/>
  <c r="J3628" i="1"/>
  <c r="J3621" i="1"/>
  <c r="J3620" i="1"/>
  <c r="J3613" i="1"/>
  <c r="J3612" i="1"/>
  <c r="J3605" i="1"/>
  <c r="J3604" i="1"/>
  <c r="J3961" i="1"/>
  <c r="J3960" i="1"/>
  <c r="J3953" i="1"/>
  <c r="J3952" i="1"/>
  <c r="J3945" i="1"/>
  <c r="J3944" i="1"/>
  <c r="J3937" i="1"/>
  <c r="J3936" i="1"/>
  <c r="J3929" i="1"/>
  <c r="J3928" i="1"/>
  <c r="J3921" i="1"/>
  <c r="J3920" i="1"/>
  <c r="J3913" i="1"/>
  <c r="J3912" i="1"/>
  <c r="J3905" i="1"/>
  <c r="J3904" i="1"/>
  <c r="J3897" i="1"/>
  <c r="J3896" i="1"/>
  <c r="J3889" i="1"/>
  <c r="J3888" i="1"/>
  <c r="J3881" i="1"/>
  <c r="J3880" i="1"/>
  <c r="J3873" i="1"/>
  <c r="J3872" i="1"/>
  <c r="J3865" i="1"/>
  <c r="J3864" i="1"/>
  <c r="J3857" i="1"/>
  <c r="J3856" i="1"/>
  <c r="J3849" i="1"/>
  <c r="J3848" i="1"/>
  <c r="J3841" i="1"/>
  <c r="J3840" i="1"/>
  <c r="J3833" i="1"/>
  <c r="J3832" i="1"/>
  <c r="J3825" i="1"/>
  <c r="J3824" i="1"/>
  <c r="J3817" i="1"/>
  <c r="J3816" i="1"/>
  <c r="J3809" i="1"/>
  <c r="J3808" i="1"/>
  <c r="J3801" i="1"/>
  <c r="J3800" i="1"/>
  <c r="J3793" i="1"/>
  <c r="J3792" i="1"/>
  <c r="J3785" i="1"/>
  <c r="J3784" i="1"/>
  <c r="J3777" i="1"/>
  <c r="J3776" i="1"/>
  <c r="J3769" i="1"/>
  <c r="J3768" i="1"/>
  <c r="J3761" i="1"/>
  <c r="J3760" i="1"/>
  <c r="J3753" i="1"/>
  <c r="J3752" i="1"/>
  <c r="J3745" i="1"/>
  <c r="J3744" i="1"/>
  <c r="J3737" i="1"/>
  <c r="J3736" i="1"/>
  <c r="J3729" i="1"/>
  <c r="J3728" i="1"/>
  <c r="J3721" i="1"/>
  <c r="J3720" i="1"/>
  <c r="J3713" i="1"/>
  <c r="J3712" i="1"/>
  <c r="J3705" i="1"/>
  <c r="J3704" i="1"/>
  <c r="J3697" i="1"/>
  <c r="J3696" i="1"/>
  <c r="J3689" i="1"/>
  <c r="J3688" i="1"/>
  <c r="J3681" i="1"/>
  <c r="J3680" i="1"/>
  <c r="J3673" i="1"/>
  <c r="J3672" i="1"/>
  <c r="J3665" i="1"/>
  <c r="J3664" i="1"/>
  <c r="J3657" i="1"/>
  <c r="J3656" i="1"/>
  <c r="J3649" i="1"/>
  <c r="J3648" i="1"/>
  <c r="J3641" i="1"/>
  <c r="J3640" i="1"/>
  <c r="J3633" i="1"/>
  <c r="J3632" i="1"/>
  <c r="J3625" i="1"/>
  <c r="J3624" i="1"/>
  <c r="J3617" i="1"/>
  <c r="J3616" i="1"/>
  <c r="J3609" i="1"/>
  <c r="J3608" i="1"/>
  <c r="J3601" i="1"/>
  <c r="J2677" i="1"/>
  <c r="J2673" i="1"/>
  <c r="J2669" i="1"/>
  <c r="J2665" i="1"/>
  <c r="J2661" i="1"/>
  <c r="J2657" i="1"/>
  <c r="J2653" i="1"/>
  <c r="J2649" i="1"/>
  <c r="J2645" i="1"/>
  <c r="J2641" i="1"/>
  <c r="J2637" i="1"/>
  <c r="J2633" i="1"/>
  <c r="J2629" i="1"/>
  <c r="J2625" i="1"/>
  <c r="J2621" i="1"/>
  <c r="J2617" i="1"/>
  <c r="J2613" i="1"/>
  <c r="J2609" i="1"/>
  <c r="J2605" i="1"/>
  <c r="J2601" i="1"/>
  <c r="J2597" i="1"/>
  <c r="J2593" i="1"/>
  <c r="J2589" i="1"/>
  <c r="J2585" i="1"/>
  <c r="J2581" i="1"/>
  <c r="J2577" i="1"/>
  <c r="J2573" i="1"/>
  <c r="J2569" i="1"/>
  <c r="J2565" i="1"/>
  <c r="J2561" i="1"/>
  <c r="J2557" i="1"/>
  <c r="J2553" i="1"/>
  <c r="J2549" i="1"/>
  <c r="J2545" i="1"/>
  <c r="J2541" i="1"/>
  <c r="J2537" i="1"/>
  <c r="J2533" i="1"/>
  <c r="J2529" i="1"/>
  <c r="J2405" i="1"/>
  <c r="J2403" i="1"/>
  <c r="J2401" i="1"/>
  <c r="J2399" i="1"/>
  <c r="J2397" i="1"/>
  <c r="J2395" i="1"/>
  <c r="J2393" i="1"/>
  <c r="J2391" i="1"/>
  <c r="J2389" i="1"/>
  <c r="J2387" i="1"/>
  <c r="J2385" i="1"/>
  <c r="J2383" i="1"/>
  <c r="J2381" i="1"/>
  <c r="J2379" i="1"/>
  <c r="J2377" i="1"/>
  <c r="J2375" i="1"/>
  <c r="J2373" i="1"/>
  <c r="J2371" i="1"/>
  <c r="J2369" i="1"/>
  <c r="J2367" i="1"/>
  <c r="J2365" i="1"/>
  <c r="J2363" i="1"/>
  <c r="J2361" i="1"/>
  <c r="J2359" i="1"/>
  <c r="J2357" i="1"/>
  <c r="J2355" i="1"/>
  <c r="J2353" i="1"/>
  <c r="J2351" i="1"/>
  <c r="J2349" i="1"/>
  <c r="J2347" i="1"/>
  <c r="J2345" i="1"/>
  <c r="J2343" i="1"/>
  <c r="J2341" i="1"/>
  <c r="J2339" i="1"/>
  <c r="J2337" i="1"/>
  <c r="J2335" i="1"/>
  <c r="J2333" i="1"/>
  <c r="J2331" i="1"/>
  <c r="J2329" i="1"/>
  <c r="J2327" i="1"/>
  <c r="J2325" i="1"/>
  <c r="J2323" i="1"/>
  <c r="J2321" i="1"/>
  <c r="J2319" i="1"/>
  <c r="J2317" i="1"/>
  <c r="J2315" i="1"/>
  <c r="J2313" i="1"/>
  <c r="J2311" i="1"/>
  <c r="J2309" i="1"/>
  <c r="J2307" i="1"/>
  <c r="J2305" i="1"/>
  <c r="J2303" i="1"/>
  <c r="J2301" i="1"/>
  <c r="J2299" i="1"/>
  <c r="J2297" i="1"/>
  <c r="J2295" i="1"/>
  <c r="J2293" i="1"/>
  <c r="J2291" i="1"/>
  <c r="J2289" i="1"/>
  <c r="J2287" i="1"/>
  <c r="J2285" i="1"/>
  <c r="J2283" i="1"/>
  <c r="J2281" i="1"/>
  <c r="J2279" i="1"/>
  <c r="J2277" i="1"/>
  <c r="J2275" i="1"/>
  <c r="J2273" i="1"/>
  <c r="J2271" i="1"/>
  <c r="J2269" i="1"/>
  <c r="J2267" i="1"/>
  <c r="J2265" i="1"/>
  <c r="J2263" i="1"/>
  <c r="J2261" i="1"/>
  <c r="J2259" i="1"/>
  <c r="J2257" i="1"/>
  <c r="J2255" i="1"/>
  <c r="J2253" i="1"/>
  <c r="J2251" i="1"/>
  <c r="J2249" i="1"/>
  <c r="J2247" i="1"/>
  <c r="J2245" i="1"/>
  <c r="J2243" i="1"/>
  <c r="J2241" i="1"/>
  <c r="J2239" i="1"/>
  <c r="J2237" i="1"/>
  <c r="J2235" i="1"/>
  <c r="J2233" i="1"/>
  <c r="J2231" i="1"/>
  <c r="J2229" i="1"/>
  <c r="J2227" i="1"/>
  <c r="J2225" i="1"/>
  <c r="J2223" i="1"/>
  <c r="J2221" i="1"/>
  <c r="J2219" i="1"/>
  <c r="J2217" i="1"/>
  <c r="J2215" i="1"/>
  <c r="J2213" i="1"/>
  <c r="J2211" i="1"/>
  <c r="J2209" i="1"/>
  <c r="J2207" i="1"/>
  <c r="J2205" i="1"/>
  <c r="J2203" i="1"/>
  <c r="J2201" i="1"/>
  <c r="J2199" i="1"/>
  <c r="J2197" i="1"/>
  <c r="J2195" i="1"/>
  <c r="J2193" i="1"/>
  <c r="J2191" i="1"/>
  <c r="J2189" i="1"/>
  <c r="J2187" i="1"/>
  <c r="J2185" i="1"/>
  <c r="J2183" i="1"/>
  <c r="J2181" i="1"/>
  <c r="J2179" i="1"/>
  <c r="J2177" i="1"/>
  <c r="J2175" i="1"/>
  <c r="J2173" i="1"/>
  <c r="J2171" i="1"/>
  <c r="J2169" i="1"/>
  <c r="J2167" i="1"/>
  <c r="J2165" i="1"/>
  <c r="J2163" i="1"/>
  <c r="J2161" i="1"/>
  <c r="J2159" i="1"/>
  <c r="J2157" i="1"/>
  <c r="J2155" i="1"/>
  <c r="J2153" i="1"/>
  <c r="J2151" i="1"/>
  <c r="J2149" i="1"/>
  <c r="J2147" i="1"/>
  <c r="J2145" i="1"/>
  <c r="J2143" i="1"/>
  <c r="J2141" i="1"/>
  <c r="J2139" i="1"/>
  <c r="J2137" i="1"/>
  <c r="J2135" i="1"/>
  <c r="J2133" i="1"/>
  <c r="J2131" i="1"/>
  <c r="J2129" i="1"/>
  <c r="J2127" i="1"/>
  <c r="J2125" i="1"/>
  <c r="J2123" i="1"/>
  <c r="J2121" i="1"/>
  <c r="J2119" i="1"/>
  <c r="J2117" i="1"/>
  <c r="J2115" i="1"/>
  <c r="J2113" i="1"/>
  <c r="J4270" i="1"/>
  <c r="J4266" i="1"/>
  <c r="J4262" i="1"/>
  <c r="J4258" i="1"/>
  <c r="J4254" i="1"/>
  <c r="J4250" i="1"/>
  <c r="J4246" i="1"/>
  <c r="J4242" i="1"/>
  <c r="J4238" i="1"/>
  <c r="J4234" i="1"/>
  <c r="J4230" i="1"/>
  <c r="J4226" i="1"/>
  <c r="J4222" i="1"/>
  <c r="J4218" i="1"/>
  <c r="J4214" i="1"/>
  <c r="J4210" i="1"/>
  <c r="J4206" i="1"/>
  <c r="J4202" i="1"/>
  <c r="J4198" i="1"/>
  <c r="J4194" i="1"/>
  <c r="J4190" i="1"/>
  <c r="J4186" i="1"/>
  <c r="J4182" i="1"/>
  <c r="J4178" i="1"/>
  <c r="J4174" i="1"/>
  <c r="J4170" i="1"/>
  <c r="J4166" i="1"/>
  <c r="J4162" i="1"/>
  <c r="J4158" i="1"/>
  <c r="J4154" i="1"/>
  <c r="J4150" i="1"/>
  <c r="J4146" i="1"/>
  <c r="J4142" i="1"/>
  <c r="J4138" i="1"/>
  <c r="J4134" i="1"/>
  <c r="J4130" i="1"/>
  <c r="J4126" i="1"/>
  <c r="J4122" i="1"/>
  <c r="J4118" i="1"/>
  <c r="J4114" i="1"/>
  <c r="J4110" i="1"/>
  <c r="J4106" i="1"/>
  <c r="J4102" i="1"/>
  <c r="J4098" i="1"/>
  <c r="J4094" i="1"/>
  <c r="J4090" i="1"/>
  <c r="J4086" i="1"/>
  <c r="J4082" i="1"/>
  <c r="J4078" i="1"/>
  <c r="J4074" i="1"/>
  <c r="J4070" i="1"/>
  <c r="J4066" i="1"/>
  <c r="J4062" i="1"/>
  <c r="J4058" i="1"/>
  <c r="J4054" i="1"/>
  <c r="J4050" i="1"/>
  <c r="J4046" i="1"/>
  <c r="J4042" i="1"/>
  <c r="J4038" i="1"/>
  <c r="J4034" i="1"/>
  <c r="J4030" i="1"/>
  <c r="J4026" i="1"/>
  <c r="J4022" i="1"/>
  <c r="J4018" i="1"/>
  <c r="J4014" i="1"/>
  <c r="J4010" i="1"/>
  <c r="J4006" i="1"/>
  <c r="J4002" i="1"/>
  <c r="J3998" i="1"/>
  <c r="J3994" i="1"/>
  <c r="J3990" i="1"/>
  <c r="J3986" i="1"/>
  <c r="J3982" i="1"/>
  <c r="J3978" i="1"/>
  <c r="J3974" i="1"/>
  <c r="J3970" i="1"/>
  <c r="J3966" i="1"/>
  <c r="J3962" i="1"/>
  <c r="J3958" i="1"/>
  <c r="J3954" i="1"/>
  <c r="J3950" i="1"/>
  <c r="J3946" i="1"/>
  <c r="J3942" i="1"/>
  <c r="J3938" i="1"/>
  <c r="J3934" i="1"/>
  <c r="J3930" i="1"/>
  <c r="J3926" i="1"/>
  <c r="J3922" i="1"/>
  <c r="J3918" i="1"/>
  <c r="J3914" i="1"/>
  <c r="J3910" i="1"/>
  <c r="J3906" i="1"/>
  <c r="J3902" i="1"/>
  <c r="J3898" i="1"/>
  <c r="J3894" i="1"/>
  <c r="J3890" i="1"/>
  <c r="J3886" i="1"/>
  <c r="J3882" i="1"/>
  <c r="J3878" i="1"/>
  <c r="J3874" i="1"/>
  <c r="J3870" i="1"/>
  <c r="J3866" i="1"/>
  <c r="J3862" i="1"/>
  <c r="J3858" i="1"/>
  <c r="J3854" i="1"/>
  <c r="J3850" i="1"/>
  <c r="J3846" i="1"/>
  <c r="J3842" i="1"/>
  <c r="J3838" i="1"/>
  <c r="J3834" i="1"/>
  <c r="J3830" i="1"/>
  <c r="J3826" i="1"/>
  <c r="J3822" i="1"/>
  <c r="J3818" i="1"/>
  <c r="J3814" i="1"/>
  <c r="J3810" i="1"/>
  <c r="J3806" i="1"/>
  <c r="J3802" i="1"/>
  <c r="J3798" i="1"/>
  <c r="J3794" i="1"/>
  <c r="J3790" i="1"/>
  <c r="J3786" i="1"/>
  <c r="J3782" i="1"/>
  <c r="J3778" i="1"/>
  <c r="J3774" i="1"/>
  <c r="J3770" i="1"/>
  <c r="J3766" i="1"/>
  <c r="J3762" i="1"/>
  <c r="J3758" i="1"/>
  <c r="J3754" i="1"/>
  <c r="J3750" i="1"/>
  <c r="J3746" i="1"/>
  <c r="J3742" i="1"/>
  <c r="J3738" i="1"/>
  <c r="J3734" i="1"/>
  <c r="J3730" i="1"/>
  <c r="J3726" i="1"/>
  <c r="J3722" i="1"/>
  <c r="J3718" i="1"/>
  <c r="J3714" i="1"/>
  <c r="J3710" i="1"/>
  <c r="J3706" i="1"/>
  <c r="J3702" i="1"/>
  <c r="J3698" i="1"/>
  <c r="J3694" i="1"/>
  <c r="J3690" i="1"/>
  <c r="J3686" i="1"/>
  <c r="J3682" i="1"/>
  <c r="J3678" i="1"/>
  <c r="J3674" i="1"/>
  <c r="J3670" i="1"/>
  <c r="J3666" i="1"/>
  <c r="J3662" i="1"/>
  <c r="J3658" i="1"/>
  <c r="J3654" i="1"/>
  <c r="J3650" i="1"/>
  <c r="J3646" i="1"/>
  <c r="J3642" i="1"/>
  <c r="J3638" i="1"/>
  <c r="J3634" i="1"/>
  <c r="J3630" i="1"/>
  <c r="J3626" i="1"/>
  <c r="J3622" i="1"/>
  <c r="J3618" i="1"/>
  <c r="J3614" i="1"/>
  <c r="J3610" i="1"/>
  <c r="J3606" i="1"/>
  <c r="J3602" i="1"/>
  <c r="J2679" i="1"/>
  <c r="J2675" i="1"/>
  <c r="J2671" i="1"/>
  <c r="J2667" i="1"/>
  <c r="J2663" i="1"/>
  <c r="J2659" i="1"/>
  <c r="J2655" i="1"/>
  <c r="J2651" i="1"/>
  <c r="J2647" i="1"/>
  <c r="J2643" i="1"/>
  <c r="J2639" i="1"/>
  <c r="J2635" i="1"/>
  <c r="J2631" i="1"/>
  <c r="J2627" i="1"/>
  <c r="J2623" i="1"/>
  <c r="J2619" i="1"/>
  <c r="J2615" i="1"/>
  <c r="J2611" i="1"/>
  <c r="J2607" i="1"/>
  <c r="J2603" i="1"/>
  <c r="J2599" i="1"/>
  <c r="J2595" i="1"/>
  <c r="J2591" i="1"/>
  <c r="J2587" i="1"/>
  <c r="J2583" i="1"/>
  <c r="J2579" i="1"/>
  <c r="J2575" i="1"/>
  <c r="J2571" i="1"/>
  <c r="J2567" i="1"/>
  <c r="J2563" i="1"/>
  <c r="J2559" i="1"/>
  <c r="J2555" i="1"/>
  <c r="J2551" i="1"/>
  <c r="J2547" i="1"/>
  <c r="J2543" i="1"/>
  <c r="J2539" i="1"/>
  <c r="J2535" i="1"/>
  <c r="J2531" i="1"/>
  <c r="J2527" i="1"/>
  <c r="J2404" i="1"/>
  <c r="J2402" i="1"/>
  <c r="J2400" i="1"/>
  <c r="J2398" i="1"/>
  <c r="J2396" i="1"/>
  <c r="J2394" i="1"/>
  <c r="J2392" i="1"/>
  <c r="J2390" i="1"/>
  <c r="J2388" i="1"/>
  <c r="J2386" i="1"/>
  <c r="J2384" i="1"/>
  <c r="J2382" i="1"/>
  <c r="J2380" i="1"/>
  <c r="J2378" i="1"/>
  <c r="J2376" i="1"/>
  <c r="J2374" i="1"/>
  <c r="J2372" i="1"/>
  <c r="J2370" i="1"/>
  <c r="J2368" i="1"/>
  <c r="J2366" i="1"/>
  <c r="J2364" i="1"/>
  <c r="J2362" i="1"/>
  <c r="J2360" i="1"/>
  <c r="J2358" i="1"/>
  <c r="J2356" i="1"/>
  <c r="J2354" i="1"/>
  <c r="J2352" i="1"/>
  <c r="J2350" i="1"/>
  <c r="J2348" i="1"/>
  <c r="J2346" i="1"/>
  <c r="J2344" i="1"/>
  <c r="J2342" i="1"/>
  <c r="J2340" i="1"/>
  <c r="J2338" i="1"/>
  <c r="J2336" i="1"/>
  <c r="J2334" i="1"/>
  <c r="J2332" i="1"/>
  <c r="J2330" i="1"/>
  <c r="J2328" i="1"/>
  <c r="J2326" i="1"/>
  <c r="J2324" i="1"/>
  <c r="J2322" i="1"/>
  <c r="J2320" i="1"/>
  <c r="J2318" i="1"/>
  <c r="J2316" i="1"/>
  <c r="J2314" i="1"/>
  <c r="J2312" i="1"/>
  <c r="J2310" i="1"/>
  <c r="J2308" i="1"/>
  <c r="J2306" i="1"/>
  <c r="J2304" i="1"/>
  <c r="J2302" i="1"/>
  <c r="J2300" i="1"/>
  <c r="J2298" i="1"/>
  <c r="J2296" i="1"/>
  <c r="J2294" i="1"/>
  <c r="J2292" i="1"/>
  <c r="J2290" i="1"/>
  <c r="J2288" i="1"/>
  <c r="J2286" i="1"/>
  <c r="J2284" i="1"/>
  <c r="J2282" i="1"/>
  <c r="J2280" i="1"/>
  <c r="J2278" i="1"/>
  <c r="J2276" i="1"/>
  <c r="J2274" i="1"/>
  <c r="J2272" i="1"/>
  <c r="J2270" i="1"/>
  <c r="J2268" i="1"/>
  <c r="J2266" i="1"/>
  <c r="J2264" i="1"/>
  <c r="J2262" i="1"/>
  <c r="J2260" i="1"/>
  <c r="J2258" i="1"/>
  <c r="J2256" i="1"/>
  <c r="J2254" i="1"/>
  <c r="J2252" i="1"/>
  <c r="J2250" i="1"/>
  <c r="J2248" i="1"/>
  <c r="J2246" i="1"/>
  <c r="J2244" i="1"/>
  <c r="J2242" i="1"/>
  <c r="J2240" i="1"/>
  <c r="J2238" i="1"/>
  <c r="J2236" i="1"/>
  <c r="J2234" i="1"/>
  <c r="J2232" i="1"/>
  <c r="J2230" i="1"/>
  <c r="J2228" i="1"/>
  <c r="J2226" i="1"/>
  <c r="J2224" i="1"/>
  <c r="J2222" i="1"/>
  <c r="J2220" i="1"/>
  <c r="J2218" i="1"/>
  <c r="J2216" i="1"/>
  <c r="J2214" i="1"/>
  <c r="J2212" i="1"/>
  <c r="J2210" i="1"/>
  <c r="J2208" i="1"/>
  <c r="J2206" i="1"/>
  <c r="J2204" i="1"/>
  <c r="J2202" i="1"/>
  <c r="J2200" i="1"/>
  <c r="J2198" i="1"/>
  <c r="J2196" i="1"/>
  <c r="J2194" i="1"/>
  <c r="J2192" i="1"/>
  <c r="J2190" i="1"/>
  <c r="J2188" i="1"/>
  <c r="J2186" i="1"/>
  <c r="J2184" i="1"/>
  <c r="J2182" i="1"/>
  <c r="J2180" i="1"/>
  <c r="J2178" i="1"/>
  <c r="J2176" i="1"/>
  <c r="J2174" i="1"/>
  <c r="J2172" i="1"/>
  <c r="J2170" i="1"/>
  <c r="J2168" i="1"/>
  <c r="J2166" i="1"/>
  <c r="J2164" i="1"/>
  <c r="J2162" i="1"/>
  <c r="J2160" i="1"/>
  <c r="J2158" i="1"/>
  <c r="J2156" i="1"/>
  <c r="J2154" i="1"/>
  <c r="J2152" i="1"/>
  <c r="J2150" i="1"/>
  <c r="J2148" i="1"/>
  <c r="J2146" i="1"/>
  <c r="J2144" i="1"/>
  <c r="J2142" i="1"/>
  <c r="J2140" i="1"/>
  <c r="J2138" i="1"/>
  <c r="J2136" i="1"/>
  <c r="J2134" i="1"/>
  <c r="J2132" i="1"/>
  <c r="J2130" i="1"/>
  <c r="J2128" i="1"/>
  <c r="J2126" i="1"/>
  <c r="J2124" i="1"/>
  <c r="J2122" i="1"/>
  <c r="J2120" i="1"/>
  <c r="J2118" i="1"/>
  <c r="J2116" i="1"/>
  <c r="J2114" i="1"/>
  <c r="J84" i="1"/>
  <c r="J76" i="1"/>
  <c r="J68" i="1"/>
  <c r="J60" i="1"/>
  <c r="J52" i="1"/>
  <c r="J44" i="1"/>
  <c r="J36" i="1"/>
  <c r="J28" i="1"/>
  <c r="J20" i="1"/>
  <c r="J12" i="1"/>
  <c r="J80" i="1"/>
  <c r="J72" i="1"/>
  <c r="J64" i="1"/>
  <c r="J56" i="1"/>
  <c r="J48" i="1"/>
  <c r="J40" i="1"/>
  <c r="J32" i="1"/>
  <c r="J24" i="1"/>
  <c r="J16" i="1"/>
  <c r="J8" i="1"/>
  <c r="J2111" i="1"/>
  <c r="J2109" i="1"/>
  <c r="J2107" i="1"/>
  <c r="J2105" i="1"/>
  <c r="J2103" i="1"/>
  <c r="J2101" i="1"/>
  <c r="J2099" i="1"/>
  <c r="J2097" i="1"/>
  <c r="J2095" i="1"/>
  <c r="J2093" i="1"/>
  <c r="J2091" i="1"/>
  <c r="J2089" i="1"/>
  <c r="J2087" i="1"/>
  <c r="J2085" i="1"/>
  <c r="J2083" i="1"/>
  <c r="J2081" i="1"/>
  <c r="J2079" i="1"/>
  <c r="J2077" i="1"/>
  <c r="J2075" i="1"/>
  <c r="J2073" i="1"/>
  <c r="J2071" i="1"/>
  <c r="J2069" i="1"/>
  <c r="J2067" i="1"/>
  <c r="J2065" i="1"/>
  <c r="J2063" i="1"/>
  <c r="J2061" i="1"/>
  <c r="J2059" i="1"/>
  <c r="J2057" i="1"/>
  <c r="J2055" i="1"/>
  <c r="J2053" i="1"/>
  <c r="J2051" i="1"/>
  <c r="J2049" i="1"/>
  <c r="J2047" i="1"/>
  <c r="J2045" i="1"/>
  <c r="J2043" i="1"/>
  <c r="J2041" i="1"/>
  <c r="J2039" i="1"/>
  <c r="J2037" i="1"/>
  <c r="J2035" i="1"/>
  <c r="J2033" i="1"/>
  <c r="J2031" i="1"/>
  <c r="J2029" i="1"/>
  <c r="J2027" i="1"/>
  <c r="J2025" i="1"/>
  <c r="J2023" i="1"/>
  <c r="J2021" i="1"/>
  <c r="J2019" i="1"/>
  <c r="J2017" i="1"/>
  <c r="J2015" i="1"/>
  <c r="J2013" i="1"/>
  <c r="J2011" i="1"/>
  <c r="J2009" i="1"/>
  <c r="J2007" i="1"/>
  <c r="J2005" i="1"/>
  <c r="J2003" i="1"/>
  <c r="J2001" i="1"/>
  <c r="J1999" i="1"/>
  <c r="J1997" i="1"/>
  <c r="J1995" i="1"/>
  <c r="J1993" i="1"/>
  <c r="J1991" i="1"/>
  <c r="J1989" i="1"/>
  <c r="J1987" i="1"/>
  <c r="J1985" i="1"/>
  <c r="J1983" i="1"/>
  <c r="J1981" i="1"/>
  <c r="J1979" i="1"/>
  <c r="J1977" i="1"/>
  <c r="J1975" i="1"/>
  <c r="J1973" i="1"/>
  <c r="J1971" i="1"/>
  <c r="J1969" i="1"/>
  <c r="J1967" i="1"/>
  <c r="J1965" i="1"/>
  <c r="J1963" i="1"/>
  <c r="J1961" i="1"/>
  <c r="J1959" i="1"/>
  <c r="J1957" i="1"/>
  <c r="J1955" i="1"/>
  <c r="J1953" i="1"/>
  <c r="J1951" i="1"/>
  <c r="J1949" i="1"/>
  <c r="J1947" i="1"/>
  <c r="J1945" i="1"/>
  <c r="J1943" i="1"/>
  <c r="J1941" i="1"/>
  <c r="J1939" i="1"/>
  <c r="J1937" i="1"/>
  <c r="J1935" i="1"/>
  <c r="J1933" i="1"/>
  <c r="J1931" i="1"/>
  <c r="J1929" i="1"/>
  <c r="J1927" i="1"/>
  <c r="J1925" i="1"/>
  <c r="J1923" i="1"/>
  <c r="J1921" i="1"/>
  <c r="J1919" i="1"/>
  <c r="J1917" i="1"/>
  <c r="J1915" i="1"/>
  <c r="J1913" i="1"/>
  <c r="J1911" i="1"/>
  <c r="J1909" i="1"/>
  <c r="J1907" i="1"/>
  <c r="J1905" i="1"/>
  <c r="J1903" i="1"/>
  <c r="J1901" i="1"/>
  <c r="J1899" i="1"/>
  <c r="J1897" i="1"/>
  <c r="J1895" i="1"/>
  <c r="J1893" i="1"/>
  <c r="J1891" i="1"/>
  <c r="J1889" i="1"/>
  <c r="J1887" i="1"/>
  <c r="J1885" i="1"/>
  <c r="J1883" i="1"/>
  <c r="J1881" i="1"/>
  <c r="J1879" i="1"/>
  <c r="J1877" i="1"/>
  <c r="J1875" i="1"/>
  <c r="J1873" i="1"/>
  <c r="J1871" i="1"/>
  <c r="J1869" i="1"/>
  <c r="J1867" i="1"/>
  <c r="J1865" i="1"/>
  <c r="J1863" i="1"/>
  <c r="J1861" i="1"/>
  <c r="J1859" i="1"/>
  <c r="J1857" i="1"/>
  <c r="J1855" i="1"/>
  <c r="J1853" i="1"/>
  <c r="J1851" i="1"/>
  <c r="J1849" i="1"/>
  <c r="J1847" i="1"/>
  <c r="J1845" i="1"/>
  <c r="J1843" i="1"/>
  <c r="J1841" i="1"/>
  <c r="J1839" i="1"/>
  <c r="J1837" i="1"/>
  <c r="J1835" i="1"/>
  <c r="J1833" i="1"/>
  <c r="J1831" i="1"/>
  <c r="J1829" i="1"/>
  <c r="J1827" i="1"/>
  <c r="J1825" i="1"/>
  <c r="J1823" i="1"/>
  <c r="J1821" i="1"/>
  <c r="J1819" i="1"/>
  <c r="J1817" i="1"/>
  <c r="J1815" i="1"/>
  <c r="J1813" i="1"/>
  <c r="J1811" i="1"/>
  <c r="J1809" i="1"/>
  <c r="J1807" i="1"/>
  <c r="J1805" i="1"/>
  <c r="J1803" i="1"/>
  <c r="J1801" i="1"/>
  <c r="J1799" i="1"/>
  <c r="J1797" i="1"/>
  <c r="J1795" i="1"/>
  <c r="J1793" i="1"/>
  <c r="J1791" i="1"/>
  <c r="J1789" i="1"/>
  <c r="J1787" i="1"/>
  <c r="J1785" i="1"/>
  <c r="J1783" i="1"/>
  <c r="J1781" i="1"/>
  <c r="J1779" i="1"/>
  <c r="J1777" i="1"/>
  <c r="J1775" i="1"/>
  <c r="J1773" i="1"/>
  <c r="J1771" i="1"/>
  <c r="J1769" i="1"/>
  <c r="J1767" i="1"/>
  <c r="J1765" i="1"/>
  <c r="J1763" i="1"/>
  <c r="J1761" i="1"/>
  <c r="J1759" i="1"/>
  <c r="J1757" i="1"/>
  <c r="J1755" i="1"/>
  <c r="J1753" i="1"/>
  <c r="J1751" i="1"/>
  <c r="J1749" i="1"/>
  <c r="J1747" i="1"/>
  <c r="J1745" i="1"/>
  <c r="J1743" i="1"/>
  <c r="J1741" i="1"/>
  <c r="J1739" i="1"/>
  <c r="J1737" i="1"/>
  <c r="J1735" i="1"/>
  <c r="J1733" i="1"/>
  <c r="J1731" i="1"/>
  <c r="J1729" i="1"/>
  <c r="J1727" i="1"/>
  <c r="J1725" i="1"/>
  <c r="J1723" i="1"/>
  <c r="J1721" i="1"/>
  <c r="J1719" i="1"/>
  <c r="J1717" i="1"/>
  <c r="J1715" i="1"/>
  <c r="J1713" i="1"/>
  <c r="J1711" i="1"/>
  <c r="J1709" i="1"/>
  <c r="J1707" i="1"/>
  <c r="J1705" i="1"/>
  <c r="J1703" i="1"/>
  <c r="J1701" i="1"/>
  <c r="J1699" i="1"/>
  <c r="J1697" i="1"/>
  <c r="J1695" i="1"/>
  <c r="J1693" i="1"/>
  <c r="J1691" i="1"/>
  <c r="J1689" i="1"/>
  <c r="J1687" i="1"/>
  <c r="J1685" i="1"/>
  <c r="J1683" i="1"/>
  <c r="J1681" i="1"/>
  <c r="J1679" i="1"/>
  <c r="J1677" i="1"/>
  <c r="J1675" i="1"/>
  <c r="J1673" i="1"/>
  <c r="J1671" i="1"/>
  <c r="J1669" i="1"/>
  <c r="J1667" i="1"/>
  <c r="J1665" i="1"/>
  <c r="J1663" i="1"/>
  <c r="J1661" i="1"/>
  <c r="J1659" i="1"/>
  <c r="J1657" i="1"/>
  <c r="J1655" i="1"/>
  <c r="J1653" i="1"/>
  <c r="J1651" i="1"/>
  <c r="J1649" i="1"/>
  <c r="J1647" i="1"/>
  <c r="J1645" i="1"/>
  <c r="J1643" i="1"/>
  <c r="J1641" i="1"/>
  <c r="J1639" i="1"/>
  <c r="J1637" i="1"/>
  <c r="J1635" i="1"/>
  <c r="J1633" i="1"/>
  <c r="J1631" i="1"/>
  <c r="J1629" i="1"/>
  <c r="J1627" i="1"/>
  <c r="J1625" i="1"/>
  <c r="J1623" i="1"/>
  <c r="J1621" i="1"/>
  <c r="J1619" i="1"/>
  <c r="J1617" i="1"/>
  <c r="J1615" i="1"/>
  <c r="J1613" i="1"/>
  <c r="J1611" i="1"/>
  <c r="J1609" i="1"/>
  <c r="J1607" i="1"/>
  <c r="J1605" i="1"/>
  <c r="J1603" i="1"/>
  <c r="J1601" i="1"/>
  <c r="J1599" i="1"/>
  <c r="J1597" i="1"/>
  <c r="J1595" i="1"/>
  <c r="J1593" i="1"/>
  <c r="J1591" i="1"/>
  <c r="J1589" i="1"/>
  <c r="J1587" i="1"/>
  <c r="J1585" i="1"/>
  <c r="J1583" i="1"/>
  <c r="J1581" i="1"/>
  <c r="J1579" i="1"/>
  <c r="J1577" i="1"/>
  <c r="J1575" i="1"/>
  <c r="J1573" i="1"/>
  <c r="J1571" i="1"/>
  <c r="J1569" i="1"/>
  <c r="J1567" i="1"/>
  <c r="J1565" i="1"/>
  <c r="J1563" i="1"/>
  <c r="J1561" i="1"/>
  <c r="J1559" i="1"/>
  <c r="J1557" i="1"/>
  <c r="J1555" i="1"/>
  <c r="J1553" i="1"/>
  <c r="J1551" i="1"/>
  <c r="J1549" i="1"/>
  <c r="J1547" i="1"/>
  <c r="J1545" i="1"/>
  <c r="J1543" i="1"/>
  <c r="J1541" i="1"/>
  <c r="J1539" i="1"/>
  <c r="J1537" i="1"/>
  <c r="J1535" i="1"/>
  <c r="J1533" i="1"/>
  <c r="J1531" i="1"/>
  <c r="J1529" i="1"/>
  <c r="J1527" i="1"/>
  <c r="J1525" i="1"/>
  <c r="J1523" i="1"/>
  <c r="J1521" i="1"/>
  <c r="J1519" i="1"/>
  <c r="J1517" i="1"/>
  <c r="J1515" i="1"/>
  <c r="J1513" i="1"/>
  <c r="J1511" i="1"/>
  <c r="J1509" i="1"/>
  <c r="J1507" i="1"/>
  <c r="J1505" i="1"/>
  <c r="J1503" i="1"/>
  <c r="J1501" i="1"/>
  <c r="J1499" i="1"/>
  <c r="J1497" i="1"/>
  <c r="J1495" i="1"/>
  <c r="J1493" i="1"/>
  <c r="J1491" i="1"/>
  <c r="J1489" i="1"/>
  <c r="J1487" i="1"/>
  <c r="J1485" i="1"/>
  <c r="J1483" i="1"/>
  <c r="J1481" i="1"/>
  <c r="J1479" i="1"/>
  <c r="J1477" i="1"/>
  <c r="J1475" i="1"/>
  <c r="J1473" i="1"/>
  <c r="J1471" i="1"/>
  <c r="J1469" i="1"/>
  <c r="J1467" i="1"/>
  <c r="J1465" i="1"/>
  <c r="J1463" i="1"/>
  <c r="J1461" i="1"/>
  <c r="J1459" i="1"/>
  <c r="J1457" i="1"/>
  <c r="J1455" i="1"/>
  <c r="J1453" i="1"/>
  <c r="J1451" i="1"/>
  <c r="J1449" i="1"/>
  <c r="J1447" i="1"/>
  <c r="J1445" i="1"/>
  <c r="J1443" i="1"/>
  <c r="J1441" i="1"/>
  <c r="J1439" i="1"/>
  <c r="J1437" i="1"/>
  <c r="J1435" i="1"/>
  <c r="J1433" i="1"/>
  <c r="J1431" i="1"/>
  <c r="J1429" i="1"/>
  <c r="J1427" i="1"/>
  <c r="J1425" i="1"/>
  <c r="J1423" i="1"/>
  <c r="J1421" i="1"/>
  <c r="J1419" i="1"/>
  <c r="J1417" i="1"/>
  <c r="J1415" i="1"/>
  <c r="J1413" i="1"/>
  <c r="J1411" i="1"/>
  <c r="J1409" i="1"/>
  <c r="J1407" i="1"/>
  <c r="J1405" i="1"/>
  <c r="J1403" i="1"/>
  <c r="J1401" i="1"/>
  <c r="J1399" i="1"/>
  <c r="J1397" i="1"/>
  <c r="J1395" i="1"/>
  <c r="J1393" i="1"/>
  <c r="J1391" i="1"/>
  <c r="J1389" i="1"/>
  <c r="J1387" i="1"/>
  <c r="J1385" i="1"/>
  <c r="J1383" i="1"/>
  <c r="J1381" i="1"/>
  <c r="J1379" i="1"/>
  <c r="J1377" i="1"/>
  <c r="J1375" i="1"/>
  <c r="J1373" i="1"/>
  <c r="J1371" i="1"/>
  <c r="J1369" i="1"/>
  <c r="J1367" i="1"/>
  <c r="J1365" i="1"/>
  <c r="J1363" i="1"/>
  <c r="J1361" i="1"/>
  <c r="J1359" i="1"/>
  <c r="J1357" i="1"/>
  <c r="J1355" i="1"/>
  <c r="J1353" i="1"/>
  <c r="J1351" i="1"/>
  <c r="J1349" i="1"/>
  <c r="J1347" i="1"/>
  <c r="J1345" i="1"/>
  <c r="J1343" i="1"/>
  <c r="J1341" i="1"/>
  <c r="J1339" i="1"/>
  <c r="J1337" i="1"/>
  <c r="J1335" i="1"/>
  <c r="J1333" i="1"/>
  <c r="J1331" i="1"/>
  <c r="J1329" i="1"/>
  <c r="J1327" i="1"/>
  <c r="J1325" i="1"/>
  <c r="J1323" i="1"/>
  <c r="J1321" i="1"/>
  <c r="J1319" i="1"/>
  <c r="J1317" i="1"/>
  <c r="J1315" i="1"/>
  <c r="J1313" i="1"/>
  <c r="J1311" i="1"/>
  <c r="J1309" i="1"/>
  <c r="J1307" i="1"/>
  <c r="J1305" i="1"/>
  <c r="J1303" i="1"/>
  <c r="J1301" i="1"/>
  <c r="J1299" i="1"/>
  <c r="J2112" i="1"/>
  <c r="J2110" i="1"/>
  <c r="J1297" i="1"/>
  <c r="J1295" i="1"/>
  <c r="J1293" i="1"/>
  <c r="J1291" i="1"/>
  <c r="J1289" i="1"/>
  <c r="J1287" i="1"/>
  <c r="J1285" i="1"/>
  <c r="J1283" i="1"/>
  <c r="J1281" i="1"/>
  <c r="J1279" i="1"/>
  <c r="J1277" i="1"/>
  <c r="J1275" i="1"/>
  <c r="J1273" i="1"/>
  <c r="J1271" i="1"/>
  <c r="J1269" i="1"/>
  <c r="J1267" i="1"/>
  <c r="J1265" i="1"/>
  <c r="J1263" i="1"/>
  <c r="J1261" i="1"/>
  <c r="J1259" i="1"/>
  <c r="J1257" i="1"/>
  <c r="J1255" i="1"/>
  <c r="J1253" i="1"/>
  <c r="J1251" i="1"/>
  <c r="J1249" i="1"/>
  <c r="J1247" i="1"/>
  <c r="J1245" i="1"/>
  <c r="J1243" i="1"/>
  <c r="J1241" i="1"/>
  <c r="J1239" i="1"/>
  <c r="J1237" i="1"/>
  <c r="J1235" i="1"/>
  <c r="J1233" i="1"/>
  <c r="J1231" i="1"/>
  <c r="J1229" i="1"/>
  <c r="J1227" i="1"/>
  <c r="J1225" i="1"/>
  <c r="J1223" i="1"/>
  <c r="J1221" i="1"/>
  <c r="J1219" i="1"/>
  <c r="J1217" i="1"/>
  <c r="J1215" i="1"/>
  <c r="J1213" i="1"/>
  <c r="J1211" i="1"/>
  <c r="J1209" i="1"/>
  <c r="J1207" i="1"/>
  <c r="J1205" i="1"/>
  <c r="J1203" i="1"/>
  <c r="J1201" i="1"/>
  <c r="J1199" i="1"/>
  <c r="J1197" i="1"/>
  <c r="J1195" i="1"/>
  <c r="J1193" i="1"/>
  <c r="J1191" i="1"/>
  <c r="J1189" i="1"/>
  <c r="J1187" i="1"/>
  <c r="J1185" i="1"/>
  <c r="J1183" i="1"/>
  <c r="J1181" i="1"/>
  <c r="J1179" i="1"/>
  <c r="J1177" i="1"/>
  <c r="J1175" i="1"/>
  <c r="J1173" i="1"/>
  <c r="J1171" i="1"/>
  <c r="J1169" i="1"/>
  <c r="J1167" i="1"/>
  <c r="J1165" i="1"/>
  <c r="J1163" i="1"/>
  <c r="J1161" i="1"/>
  <c r="J1159" i="1"/>
  <c r="J1157" i="1"/>
  <c r="J1155" i="1"/>
  <c r="J1153" i="1"/>
  <c r="J1151" i="1"/>
  <c r="J1149" i="1"/>
  <c r="J1147" i="1"/>
  <c r="J1145" i="1"/>
  <c r="J1143" i="1"/>
  <c r="J1141" i="1"/>
  <c r="J1139" i="1"/>
  <c r="J1137" i="1"/>
  <c r="J1135" i="1"/>
  <c r="J1133" i="1"/>
  <c r="J1131" i="1"/>
  <c r="J1129" i="1"/>
  <c r="J1127" i="1"/>
  <c r="J1125" i="1"/>
  <c r="J1123" i="1"/>
  <c r="J1121" i="1"/>
  <c r="J1119" i="1"/>
  <c r="J1117" i="1"/>
  <c r="J1115" i="1"/>
  <c r="J1113" i="1"/>
  <c r="J1111" i="1"/>
  <c r="J1109" i="1"/>
  <c r="J1107" i="1"/>
  <c r="J1105" i="1"/>
  <c r="J1103" i="1"/>
  <c r="J1101" i="1"/>
  <c r="J1099" i="1"/>
  <c r="J1097" i="1"/>
  <c r="J1095" i="1"/>
  <c r="J1093" i="1"/>
  <c r="J1091" i="1"/>
  <c r="J1089" i="1"/>
  <c r="J1087" i="1"/>
  <c r="J1085" i="1"/>
  <c r="J1083" i="1"/>
  <c r="J1081" i="1"/>
  <c r="J1079" i="1"/>
  <c r="J1077" i="1"/>
  <c r="J1075" i="1"/>
  <c r="J1073" i="1"/>
  <c r="J1071" i="1"/>
  <c r="J1069" i="1"/>
  <c r="J1067" i="1"/>
  <c r="J1065" i="1"/>
  <c r="J1063" i="1"/>
  <c r="J1061" i="1"/>
  <c r="J1059" i="1"/>
  <c r="J1057" i="1"/>
  <c r="J1055" i="1"/>
  <c r="J1053" i="1"/>
  <c r="J1051" i="1"/>
  <c r="J1049" i="1"/>
  <c r="J1047" i="1"/>
  <c r="J1045" i="1"/>
  <c r="J1043" i="1"/>
  <c r="J1041" i="1"/>
  <c r="J1039" i="1"/>
  <c r="J1037" i="1"/>
  <c r="J1035" i="1"/>
  <c r="J1033" i="1"/>
  <c r="J1031" i="1"/>
  <c r="J1029" i="1"/>
  <c r="J1027" i="1"/>
  <c r="J1025" i="1"/>
  <c r="J1023" i="1"/>
  <c r="J1021" i="1"/>
  <c r="J1019" i="1"/>
  <c r="J1017" i="1"/>
  <c r="J1015" i="1"/>
  <c r="J1013" i="1"/>
  <c r="J1011" i="1"/>
  <c r="J1009" i="1"/>
  <c r="J1007" i="1"/>
  <c r="J1005" i="1"/>
  <c r="J1003" i="1"/>
  <c r="J1001" i="1"/>
  <c r="J999" i="1"/>
  <c r="J997" i="1"/>
  <c r="J995" i="1"/>
  <c r="J993" i="1"/>
  <c r="J991" i="1"/>
  <c r="J989" i="1"/>
  <c r="J987" i="1"/>
  <c r="J985" i="1"/>
  <c r="J983" i="1"/>
  <c r="J981" i="1"/>
  <c r="J979" i="1"/>
  <c r="J977" i="1"/>
  <c r="J975" i="1"/>
  <c r="J973" i="1"/>
  <c r="J971" i="1"/>
  <c r="J969" i="1"/>
  <c r="J967" i="1"/>
  <c r="J965" i="1"/>
  <c r="J963" i="1"/>
  <c r="J961" i="1"/>
  <c r="J959" i="1"/>
  <c r="J957" i="1"/>
  <c r="J955" i="1"/>
  <c r="J953" i="1"/>
  <c r="J951" i="1"/>
  <c r="J949" i="1"/>
  <c r="J947" i="1"/>
  <c r="J945" i="1"/>
  <c r="J943" i="1"/>
  <c r="J941" i="1"/>
  <c r="J939" i="1"/>
  <c r="J937" i="1"/>
  <c r="J935" i="1"/>
  <c r="J933" i="1"/>
  <c r="J931" i="1"/>
  <c r="J929" i="1"/>
  <c r="J927" i="1"/>
  <c r="J925" i="1"/>
  <c r="J923" i="1"/>
  <c r="J921" i="1"/>
  <c r="J919" i="1"/>
  <c r="J917" i="1"/>
  <c r="J915" i="1"/>
  <c r="J913" i="1"/>
  <c r="J911" i="1"/>
  <c r="J909" i="1"/>
  <c r="J907" i="1"/>
  <c r="J905" i="1"/>
  <c r="J903" i="1"/>
  <c r="J901" i="1"/>
  <c r="J899" i="1"/>
  <c r="J897" i="1"/>
  <c r="J895" i="1"/>
  <c r="J893" i="1"/>
  <c r="J891" i="1"/>
  <c r="J889" i="1"/>
  <c r="J887" i="1"/>
  <c r="J885" i="1"/>
  <c r="J883" i="1"/>
  <c r="J881" i="1"/>
  <c r="J879" i="1"/>
  <c r="J877" i="1"/>
  <c r="J875" i="1"/>
  <c r="J873" i="1"/>
  <c r="J871" i="1"/>
  <c r="J869" i="1"/>
  <c r="J867" i="1"/>
  <c r="J865" i="1"/>
  <c r="J863" i="1"/>
  <c r="J861" i="1"/>
  <c r="J859" i="1"/>
  <c r="J857" i="1"/>
  <c r="J855" i="1"/>
  <c r="J853" i="1"/>
  <c r="J851" i="1"/>
  <c r="J849" i="1"/>
  <c r="J847" i="1"/>
  <c r="J845" i="1"/>
  <c r="J843" i="1"/>
  <c r="J841" i="1"/>
  <c r="J839" i="1"/>
  <c r="J837" i="1"/>
  <c r="J835" i="1"/>
  <c r="J833" i="1"/>
  <c r="J831" i="1"/>
  <c r="J829" i="1"/>
  <c r="J827" i="1"/>
  <c r="J825" i="1"/>
  <c r="J823" i="1"/>
  <c r="J821" i="1"/>
  <c r="J819" i="1"/>
  <c r="J817" i="1"/>
  <c r="J815" i="1"/>
  <c r="J813" i="1"/>
  <c r="J811" i="1"/>
  <c r="J809" i="1"/>
  <c r="J807" i="1"/>
  <c r="J805" i="1"/>
  <c r="J803" i="1"/>
  <c r="J801" i="1"/>
  <c r="J799" i="1"/>
  <c r="J797" i="1"/>
  <c r="J795" i="1"/>
  <c r="J793" i="1"/>
  <c r="J791" i="1"/>
  <c r="J789" i="1"/>
  <c r="J787" i="1"/>
  <c r="J785" i="1"/>
  <c r="J783" i="1"/>
  <c r="J781" i="1"/>
  <c r="J779" i="1"/>
  <c r="J777" i="1"/>
  <c r="J775" i="1"/>
  <c r="J773" i="1"/>
  <c r="J771" i="1"/>
  <c r="J769" i="1"/>
  <c r="J767" i="1"/>
  <c r="J765" i="1"/>
  <c r="J763" i="1"/>
  <c r="J761" i="1"/>
  <c r="J759" i="1"/>
  <c r="J757" i="1"/>
  <c r="J755" i="1"/>
  <c r="J753" i="1"/>
  <c r="J751" i="1"/>
  <c r="J749" i="1"/>
  <c r="J747" i="1"/>
  <c r="J745" i="1"/>
  <c r="J743" i="1"/>
  <c r="J741" i="1"/>
  <c r="J739" i="1"/>
  <c r="J737" i="1"/>
  <c r="J735" i="1"/>
  <c r="J733" i="1"/>
  <c r="J731" i="1"/>
  <c r="J729" i="1"/>
  <c r="J727" i="1"/>
  <c r="J725" i="1"/>
  <c r="J723" i="1"/>
  <c r="J721" i="1"/>
  <c r="J719" i="1"/>
  <c r="J717" i="1"/>
  <c r="J715" i="1"/>
  <c r="J713" i="1"/>
  <c r="J711" i="1"/>
  <c r="J709" i="1"/>
  <c r="J707" i="1"/>
  <c r="J705" i="1"/>
  <c r="J703" i="1"/>
  <c r="J701" i="1"/>
  <c r="J699" i="1"/>
  <c r="J697" i="1"/>
  <c r="J695" i="1"/>
  <c r="J693" i="1"/>
  <c r="J691" i="1"/>
  <c r="J689" i="1"/>
  <c r="J687" i="1"/>
  <c r="J685" i="1"/>
  <c r="J683" i="1"/>
  <c r="J681" i="1"/>
  <c r="J679" i="1"/>
  <c r="J677" i="1"/>
  <c r="J675" i="1"/>
  <c r="J673" i="1"/>
  <c r="J671" i="1"/>
  <c r="J669" i="1"/>
  <c r="J667" i="1"/>
  <c r="J665" i="1"/>
  <c r="J663" i="1"/>
  <c r="J661" i="1"/>
  <c r="J659" i="1"/>
  <c r="J657" i="1"/>
  <c r="J655" i="1"/>
  <c r="J653" i="1"/>
  <c r="J651" i="1"/>
  <c r="J649" i="1"/>
  <c r="J647" i="1"/>
  <c r="J645" i="1"/>
  <c r="J643" i="1"/>
  <c r="J641" i="1"/>
  <c r="J639" i="1"/>
  <c r="J637" i="1"/>
  <c r="J635" i="1"/>
  <c r="J633" i="1"/>
  <c r="J631" i="1"/>
  <c r="J629" i="1"/>
  <c r="J627" i="1"/>
  <c r="J625" i="1"/>
  <c r="J623" i="1"/>
  <c r="J621" i="1"/>
  <c r="J619" i="1"/>
  <c r="J617" i="1"/>
  <c r="J2108" i="1"/>
  <c r="J2106" i="1"/>
  <c r="J2104" i="1"/>
  <c r="J2102" i="1"/>
  <c r="J2100" i="1"/>
  <c r="J2098" i="1"/>
  <c r="J2096" i="1"/>
  <c r="J2094" i="1"/>
  <c r="J2092" i="1"/>
  <c r="J2090" i="1"/>
  <c r="J2088" i="1"/>
  <c r="J2086" i="1"/>
  <c r="J2084" i="1"/>
  <c r="J2082" i="1"/>
  <c r="J2080" i="1"/>
  <c r="J2078" i="1"/>
  <c r="J2076" i="1"/>
  <c r="J2074" i="1"/>
  <c r="J2072" i="1"/>
  <c r="J2070" i="1"/>
  <c r="J2068" i="1"/>
  <c r="J2066" i="1"/>
  <c r="J2064" i="1"/>
  <c r="J2062" i="1"/>
  <c r="J2060" i="1"/>
  <c r="J2058" i="1"/>
  <c r="J2056" i="1"/>
  <c r="J2054" i="1"/>
  <c r="J2052" i="1"/>
  <c r="J2050" i="1"/>
  <c r="J2048" i="1"/>
  <c r="J2046" i="1"/>
  <c r="J2044" i="1"/>
  <c r="J2042" i="1"/>
  <c r="J2040" i="1"/>
  <c r="J2038" i="1"/>
  <c r="J2036" i="1"/>
  <c r="J2034" i="1"/>
  <c r="J2032" i="1"/>
  <c r="J2030" i="1"/>
  <c r="J2028" i="1"/>
  <c r="J2026" i="1"/>
  <c r="J2024" i="1"/>
  <c r="J2022" i="1"/>
  <c r="J2020" i="1"/>
  <c r="J2018" i="1"/>
  <c r="J2016" i="1"/>
  <c r="J2014" i="1"/>
  <c r="J2012" i="1"/>
  <c r="J2010" i="1"/>
  <c r="J2008" i="1"/>
  <c r="J2006" i="1"/>
  <c r="J2004" i="1"/>
  <c r="J2002" i="1"/>
  <c r="J2000" i="1"/>
  <c r="J1998" i="1"/>
  <c r="J1996" i="1"/>
  <c r="J1994" i="1"/>
  <c r="J1992" i="1"/>
  <c r="J1990" i="1"/>
  <c r="J1988" i="1"/>
  <c r="J1986" i="1"/>
  <c r="J1984" i="1"/>
  <c r="J1982" i="1"/>
  <c r="J1980" i="1"/>
  <c r="J1978" i="1"/>
  <c r="J1976" i="1"/>
  <c r="J1974" i="1"/>
  <c r="J1972" i="1"/>
  <c r="J1970" i="1"/>
  <c r="J1968" i="1"/>
  <c r="J1966" i="1"/>
  <c r="J1964" i="1"/>
  <c r="J1962" i="1"/>
  <c r="J1960" i="1"/>
  <c r="J1958" i="1"/>
  <c r="J1956" i="1"/>
  <c r="J1954" i="1"/>
  <c r="J1952" i="1"/>
  <c r="J1950" i="1"/>
  <c r="J1948" i="1"/>
  <c r="J1946" i="1"/>
  <c r="J1944" i="1"/>
  <c r="J1942" i="1"/>
  <c r="J1940" i="1"/>
  <c r="J1938" i="1"/>
  <c r="J1936" i="1"/>
  <c r="J1934" i="1"/>
  <c r="J1932" i="1"/>
  <c r="J1930" i="1"/>
  <c r="J1928" i="1"/>
  <c r="J1926" i="1"/>
  <c r="J1924" i="1"/>
  <c r="J1922" i="1"/>
  <c r="J1920" i="1"/>
  <c r="J1918" i="1"/>
  <c r="J1916" i="1"/>
  <c r="J1914" i="1"/>
  <c r="J1912" i="1"/>
  <c r="J1910" i="1"/>
  <c r="J1908" i="1"/>
  <c r="J1906" i="1"/>
  <c r="J1904" i="1"/>
  <c r="J1902" i="1"/>
  <c r="J1900" i="1"/>
  <c r="J1898" i="1"/>
  <c r="J1896" i="1"/>
  <c r="J1894" i="1"/>
  <c r="J1892" i="1"/>
  <c r="J1890" i="1"/>
  <c r="J1888" i="1"/>
  <c r="J1886" i="1"/>
  <c r="J1884" i="1"/>
  <c r="J1882" i="1"/>
  <c r="J1880" i="1"/>
  <c r="J1878" i="1"/>
  <c r="J1876" i="1"/>
  <c r="J1874" i="1"/>
  <c r="J1872" i="1"/>
  <c r="J1870" i="1"/>
  <c r="J1868" i="1"/>
  <c r="J1866" i="1"/>
  <c r="J1864" i="1"/>
  <c r="J1862" i="1"/>
  <c r="J1860" i="1"/>
  <c r="J1858" i="1"/>
  <c r="J1856" i="1"/>
  <c r="J1854" i="1"/>
  <c r="J1852" i="1"/>
  <c r="J1850" i="1"/>
  <c r="J1848" i="1"/>
  <c r="J1846" i="1"/>
  <c r="J1844" i="1"/>
  <c r="J1842" i="1"/>
  <c r="J1840" i="1"/>
  <c r="J1838" i="1"/>
  <c r="J1836" i="1"/>
  <c r="J1834" i="1"/>
  <c r="J1832" i="1"/>
  <c r="J1830" i="1"/>
  <c r="J1828" i="1"/>
  <c r="J1826" i="1"/>
  <c r="J1824" i="1"/>
  <c r="J1822" i="1"/>
  <c r="J1820" i="1"/>
  <c r="J1818" i="1"/>
  <c r="J1816" i="1"/>
  <c r="J1814" i="1"/>
  <c r="J1812" i="1"/>
  <c r="J1810" i="1"/>
  <c r="J1808" i="1"/>
  <c r="J1806" i="1"/>
  <c r="J1804" i="1"/>
  <c r="J1802" i="1"/>
  <c r="J1800" i="1"/>
  <c r="J1798" i="1"/>
  <c r="J1796" i="1"/>
  <c r="J1794" i="1"/>
  <c r="J1792" i="1"/>
  <c r="J1790" i="1"/>
  <c r="J1788" i="1"/>
  <c r="J1786" i="1"/>
  <c r="J1784" i="1"/>
  <c r="J1782" i="1"/>
  <c r="J1780" i="1"/>
  <c r="J1778" i="1"/>
  <c r="J1776" i="1"/>
  <c r="J1774" i="1"/>
  <c r="J1772" i="1"/>
  <c r="J1770" i="1"/>
  <c r="J1768" i="1"/>
  <c r="J1766" i="1"/>
  <c r="J1764" i="1"/>
  <c r="J1762" i="1"/>
  <c r="J1760" i="1"/>
  <c r="J1758" i="1"/>
  <c r="J1756" i="1"/>
  <c r="J1754" i="1"/>
  <c r="J1752" i="1"/>
  <c r="J1750" i="1"/>
  <c r="J1748" i="1"/>
  <c r="J1746" i="1"/>
  <c r="J1744" i="1"/>
  <c r="J1742" i="1"/>
  <c r="J1740" i="1"/>
  <c r="J1738" i="1"/>
  <c r="J1736" i="1"/>
  <c r="J1734" i="1"/>
  <c r="J1732" i="1"/>
  <c r="J1730" i="1"/>
  <c r="J1728" i="1"/>
  <c r="J1726" i="1"/>
  <c r="J1724" i="1"/>
  <c r="J1722" i="1"/>
  <c r="J1720" i="1"/>
  <c r="J1718" i="1"/>
  <c r="J1716" i="1"/>
  <c r="J1714" i="1"/>
  <c r="J1712" i="1"/>
  <c r="J1710" i="1"/>
  <c r="J1708" i="1"/>
  <c r="J1706" i="1"/>
  <c r="J1704" i="1"/>
  <c r="J1702" i="1"/>
  <c r="J1700" i="1"/>
  <c r="J1698" i="1"/>
  <c r="J1696" i="1"/>
  <c r="J1694" i="1"/>
  <c r="J1692" i="1"/>
  <c r="J1690" i="1"/>
  <c r="J1688" i="1"/>
  <c r="J1686" i="1"/>
  <c r="J1684" i="1"/>
  <c r="J1682" i="1"/>
  <c r="J1680" i="1"/>
  <c r="J1678" i="1"/>
  <c r="J1676" i="1"/>
  <c r="J1674" i="1"/>
  <c r="J1672" i="1"/>
  <c r="J1670" i="1"/>
  <c r="J1668" i="1"/>
  <c r="J1666" i="1"/>
  <c r="J1664" i="1"/>
  <c r="J1662" i="1"/>
  <c r="J1660" i="1"/>
  <c r="J1658" i="1"/>
  <c r="J1656" i="1"/>
  <c r="J1654" i="1"/>
  <c r="J1652" i="1"/>
  <c r="J1650" i="1"/>
  <c r="J1648" i="1"/>
  <c r="J1646" i="1"/>
  <c r="J1644" i="1"/>
  <c r="J1642" i="1"/>
  <c r="J1640" i="1"/>
  <c r="J1638" i="1"/>
  <c r="J1636" i="1"/>
  <c r="J1634" i="1"/>
  <c r="J1632" i="1"/>
  <c r="J1630" i="1"/>
  <c r="J1628" i="1"/>
  <c r="J1626" i="1"/>
  <c r="J1624" i="1"/>
  <c r="J1622" i="1"/>
  <c r="J1620" i="1"/>
  <c r="J1618" i="1"/>
  <c r="J1616" i="1"/>
  <c r="J1614" i="1"/>
  <c r="J1612" i="1"/>
  <c r="J1610" i="1"/>
  <c r="J1608" i="1"/>
  <c r="J1606" i="1"/>
  <c r="J1604" i="1"/>
  <c r="J1602" i="1"/>
  <c r="J1600" i="1"/>
  <c r="J1598" i="1"/>
  <c r="J1596" i="1"/>
  <c r="J1594" i="1"/>
  <c r="J1592" i="1"/>
  <c r="J1590" i="1"/>
  <c r="J1588" i="1"/>
  <c r="J1586" i="1"/>
  <c r="J1584" i="1"/>
  <c r="J1582" i="1"/>
  <c r="J1580" i="1"/>
  <c r="J1578" i="1"/>
  <c r="J1576" i="1"/>
  <c r="J1574" i="1"/>
  <c r="J1572" i="1"/>
  <c r="J1570" i="1"/>
  <c r="J1568" i="1"/>
  <c r="J1566" i="1"/>
  <c r="J1564" i="1"/>
  <c r="J1562" i="1"/>
  <c r="J1560" i="1"/>
  <c r="J1558" i="1"/>
  <c r="J1556" i="1"/>
  <c r="J1554" i="1"/>
  <c r="J1552" i="1"/>
  <c r="J1550" i="1"/>
  <c r="J1548" i="1"/>
  <c r="J1546" i="1"/>
  <c r="J1544" i="1"/>
  <c r="J1542" i="1"/>
  <c r="J1540" i="1"/>
  <c r="J1538" i="1"/>
  <c r="J1536" i="1"/>
  <c r="J1534" i="1"/>
  <c r="J1532" i="1"/>
  <c r="J1530" i="1"/>
  <c r="J1528" i="1"/>
  <c r="J1526" i="1"/>
  <c r="J1524" i="1"/>
  <c r="J1522" i="1"/>
  <c r="J1520" i="1"/>
  <c r="J1518" i="1"/>
  <c r="J1516" i="1"/>
  <c r="J1514" i="1"/>
  <c r="J1512" i="1"/>
  <c r="J1510" i="1"/>
  <c r="J1508" i="1"/>
  <c r="J1506" i="1"/>
  <c r="J1504" i="1"/>
  <c r="J1502" i="1"/>
  <c r="J1500" i="1"/>
  <c r="J1498" i="1"/>
  <c r="J1496" i="1"/>
  <c r="J1494" i="1"/>
  <c r="J1492" i="1"/>
  <c r="J1490" i="1"/>
  <c r="J1488" i="1"/>
  <c r="J1486" i="1"/>
  <c r="J615" i="1"/>
  <c r="J613" i="1"/>
  <c r="J611" i="1"/>
  <c r="J609" i="1"/>
  <c r="J607" i="1"/>
  <c r="J605" i="1"/>
  <c r="J603" i="1"/>
  <c r="J601" i="1"/>
  <c r="J599" i="1"/>
  <c r="J597" i="1"/>
  <c r="J595" i="1"/>
  <c r="J593" i="1"/>
  <c r="J591" i="1"/>
  <c r="J589" i="1"/>
  <c r="J587" i="1"/>
  <c r="J585" i="1"/>
  <c r="J583" i="1"/>
  <c r="J581" i="1"/>
  <c r="J579" i="1"/>
  <c r="J577" i="1"/>
  <c r="J575" i="1"/>
  <c r="J573" i="1"/>
  <c r="J571" i="1"/>
  <c r="J569" i="1"/>
  <c r="J567" i="1"/>
  <c r="J565" i="1"/>
  <c r="J563" i="1"/>
  <c r="J561" i="1"/>
  <c r="J559" i="1"/>
  <c r="J557" i="1"/>
  <c r="J555" i="1"/>
  <c r="J553" i="1"/>
  <c r="J551" i="1"/>
  <c r="J549" i="1"/>
  <c r="J547" i="1"/>
  <c r="J545" i="1"/>
  <c r="J543" i="1"/>
  <c r="J541" i="1"/>
  <c r="J539" i="1"/>
  <c r="J537" i="1"/>
  <c r="J535" i="1"/>
  <c r="J533" i="1"/>
  <c r="J531" i="1"/>
  <c r="J529" i="1"/>
  <c r="J527" i="1"/>
  <c r="J525" i="1"/>
  <c r="J523" i="1"/>
  <c r="J521" i="1"/>
  <c r="J519" i="1"/>
  <c r="J517" i="1"/>
  <c r="J515" i="1"/>
  <c r="J513" i="1"/>
  <c r="J511" i="1"/>
  <c r="J509" i="1"/>
  <c r="J507" i="1"/>
  <c r="J505" i="1"/>
  <c r="J503" i="1"/>
  <c r="J501" i="1"/>
  <c r="J499" i="1"/>
  <c r="J497" i="1"/>
  <c r="J495" i="1"/>
  <c r="J493" i="1"/>
  <c r="J491" i="1"/>
  <c r="J489" i="1"/>
  <c r="J487" i="1"/>
  <c r="J485" i="1"/>
  <c r="J483" i="1"/>
  <c r="J481" i="1"/>
  <c r="J479" i="1"/>
  <c r="J477" i="1"/>
  <c r="J475" i="1"/>
  <c r="J473" i="1"/>
  <c r="J471" i="1"/>
  <c r="J469" i="1"/>
  <c r="J467" i="1"/>
  <c r="J465" i="1"/>
  <c r="J463" i="1"/>
  <c r="J461" i="1"/>
  <c r="J459" i="1"/>
  <c r="J457" i="1"/>
  <c r="J455" i="1"/>
  <c r="J453" i="1"/>
  <c r="J451" i="1"/>
  <c r="J449" i="1"/>
  <c r="J447" i="1"/>
  <c r="J445" i="1"/>
  <c r="J443" i="1"/>
  <c r="J441" i="1"/>
  <c r="J439" i="1"/>
  <c r="J437" i="1"/>
  <c r="J435" i="1"/>
  <c r="J433" i="1"/>
  <c r="J431" i="1"/>
  <c r="J429" i="1"/>
  <c r="J427" i="1"/>
  <c r="J425" i="1"/>
  <c r="J423" i="1"/>
  <c r="J421" i="1"/>
  <c r="J419" i="1"/>
  <c r="J417" i="1"/>
  <c r="J415" i="1"/>
  <c r="J413" i="1"/>
  <c r="J411" i="1"/>
  <c r="J409" i="1"/>
  <c r="J407" i="1"/>
  <c r="J405" i="1"/>
  <c r="J403" i="1"/>
  <c r="J401" i="1"/>
  <c r="J399" i="1"/>
  <c r="J397" i="1"/>
  <c r="J395" i="1"/>
  <c r="J393" i="1"/>
  <c r="J391" i="1"/>
  <c r="J389" i="1"/>
  <c r="J387" i="1"/>
  <c r="J385" i="1"/>
  <c r="J383" i="1"/>
  <c r="J381" i="1"/>
  <c r="J379" i="1"/>
  <c r="J377" i="1"/>
  <c r="J375" i="1"/>
  <c r="J373" i="1"/>
  <c r="J371" i="1"/>
  <c r="J369" i="1"/>
  <c r="J367" i="1"/>
  <c r="J365" i="1"/>
  <c r="J363" i="1"/>
  <c r="J361" i="1"/>
  <c r="J359" i="1"/>
  <c r="J357" i="1"/>
  <c r="J355" i="1"/>
  <c r="J353" i="1"/>
  <c r="J351" i="1"/>
  <c r="J349" i="1"/>
  <c r="J347" i="1"/>
  <c r="J345" i="1"/>
  <c r="J343" i="1"/>
  <c r="J341" i="1"/>
  <c r="J339" i="1"/>
  <c r="J337" i="1"/>
  <c r="J335" i="1"/>
  <c r="J333" i="1"/>
  <c r="J331" i="1"/>
  <c r="J329" i="1"/>
  <c r="J327" i="1"/>
  <c r="J325" i="1"/>
  <c r="J323" i="1"/>
  <c r="J321" i="1"/>
  <c r="J319" i="1"/>
  <c r="J317" i="1"/>
  <c r="J315" i="1"/>
  <c r="J313" i="1"/>
  <c r="J311" i="1"/>
  <c r="J309" i="1"/>
  <c r="J307" i="1"/>
  <c r="J305" i="1"/>
  <c r="J303" i="1"/>
  <c r="J301" i="1"/>
  <c r="J299" i="1"/>
  <c r="J297" i="1"/>
  <c r="J295" i="1"/>
  <c r="J293" i="1"/>
  <c r="J291" i="1"/>
  <c r="J289" i="1"/>
  <c r="J287" i="1"/>
  <c r="J285" i="1"/>
  <c r="J283" i="1"/>
  <c r="J281" i="1"/>
  <c r="J279" i="1"/>
  <c r="J277" i="1"/>
  <c r="J1484" i="1"/>
  <c r="J1482" i="1"/>
  <c r="J1480" i="1"/>
  <c r="J1478" i="1"/>
  <c r="J1476" i="1"/>
  <c r="J1474" i="1"/>
  <c r="J1472" i="1"/>
  <c r="J1470" i="1"/>
  <c r="J1468" i="1"/>
  <c r="J1466" i="1"/>
  <c r="J1464" i="1"/>
  <c r="J1462" i="1"/>
  <c r="J1460" i="1"/>
  <c r="J1458" i="1"/>
  <c r="J1456" i="1"/>
  <c r="J1454" i="1"/>
  <c r="J1452" i="1"/>
  <c r="J1450" i="1"/>
  <c r="J1448" i="1"/>
  <c r="J1446" i="1"/>
  <c r="J1444" i="1"/>
  <c r="J1442" i="1"/>
  <c r="J1440" i="1"/>
  <c r="J1438" i="1"/>
  <c r="J1436" i="1"/>
  <c r="J1434" i="1"/>
  <c r="J1432" i="1"/>
  <c r="J1430" i="1"/>
  <c r="J1428" i="1"/>
  <c r="J1426" i="1"/>
  <c r="J1424" i="1"/>
  <c r="J1422" i="1"/>
  <c r="J1420" i="1"/>
  <c r="J1418" i="1"/>
  <c r="J1416" i="1"/>
  <c r="J1414" i="1"/>
  <c r="J1412" i="1"/>
  <c r="J1410" i="1"/>
  <c r="J1408" i="1"/>
  <c r="J1406" i="1"/>
  <c r="J1404" i="1"/>
  <c r="J1402" i="1"/>
  <c r="J1400" i="1"/>
  <c r="J1398" i="1"/>
  <c r="J1396" i="1"/>
  <c r="J1394" i="1"/>
  <c r="J1392" i="1"/>
  <c r="J1390" i="1"/>
  <c r="J1388" i="1"/>
  <c r="J1386" i="1"/>
  <c r="J1384" i="1"/>
  <c r="J1382" i="1"/>
  <c r="J1380" i="1"/>
  <c r="J1378" i="1"/>
  <c r="J1376" i="1"/>
  <c r="J1374" i="1"/>
  <c r="J1372" i="1"/>
  <c r="J1370" i="1"/>
  <c r="J1368" i="1"/>
  <c r="J1366" i="1"/>
  <c r="J1364" i="1"/>
  <c r="J1362" i="1"/>
  <c r="J1360" i="1"/>
  <c r="J1358" i="1"/>
  <c r="J1356" i="1"/>
  <c r="J1354" i="1"/>
  <c r="J1352" i="1"/>
  <c r="J1350" i="1"/>
  <c r="J1348" i="1"/>
  <c r="J1346" i="1"/>
  <c r="J1344" i="1"/>
  <c r="J1342" i="1"/>
  <c r="J1340" i="1"/>
  <c r="J1338" i="1"/>
  <c r="J1336" i="1"/>
  <c r="J1334" i="1"/>
  <c r="J1332" i="1"/>
  <c r="J1330" i="1"/>
  <c r="J1328" i="1"/>
  <c r="J1326" i="1"/>
  <c r="J1324" i="1"/>
  <c r="J1322" i="1"/>
  <c r="J1320" i="1"/>
  <c r="J1318" i="1"/>
  <c r="J1316" i="1"/>
  <c r="J1314" i="1"/>
  <c r="J1312" i="1"/>
  <c r="J1310" i="1"/>
  <c r="J1308" i="1"/>
  <c r="J1306" i="1"/>
  <c r="J1304" i="1"/>
  <c r="J1302" i="1"/>
  <c r="J1300" i="1"/>
  <c r="J1298" i="1"/>
  <c r="J1296" i="1"/>
  <c r="J1294" i="1"/>
  <c r="J1292" i="1"/>
  <c r="J1290" i="1"/>
  <c r="J1288" i="1"/>
  <c r="J1286" i="1"/>
  <c r="J1284" i="1"/>
  <c r="J1282" i="1"/>
  <c r="J1280" i="1"/>
  <c r="J1278" i="1"/>
  <c r="J1276" i="1"/>
  <c r="J1274" i="1"/>
  <c r="J1272" i="1"/>
  <c r="J1270" i="1"/>
  <c r="J1268" i="1"/>
  <c r="J1266" i="1"/>
  <c r="J1264" i="1"/>
  <c r="J1262" i="1"/>
  <c r="J1260" i="1"/>
  <c r="J1258" i="1"/>
  <c r="J1256" i="1"/>
  <c r="J1254" i="1"/>
  <c r="J1252" i="1"/>
  <c r="J1250" i="1"/>
  <c r="J1248" i="1"/>
  <c r="J1246" i="1"/>
  <c r="J1244" i="1"/>
  <c r="J1242" i="1"/>
  <c r="J1240" i="1"/>
  <c r="J1238" i="1"/>
  <c r="J1236" i="1"/>
  <c r="J1234" i="1"/>
  <c r="J1232" i="1"/>
  <c r="J1230" i="1"/>
  <c r="J1228" i="1"/>
  <c r="J1226" i="1"/>
  <c r="J1224" i="1"/>
  <c r="J1222" i="1"/>
  <c r="J1220" i="1"/>
  <c r="J1218" i="1"/>
  <c r="J1216" i="1"/>
  <c r="J1214" i="1"/>
  <c r="J1212" i="1"/>
  <c r="J1210" i="1"/>
  <c r="J1208" i="1"/>
  <c r="J1206" i="1"/>
  <c r="J1204" i="1"/>
  <c r="J1202" i="1"/>
  <c r="J1200" i="1"/>
  <c r="J1198" i="1"/>
  <c r="J1196" i="1"/>
  <c r="J1194" i="1"/>
  <c r="J1192" i="1"/>
  <c r="J1190" i="1"/>
  <c r="J1188" i="1"/>
  <c r="J1186" i="1"/>
  <c r="J1184" i="1"/>
  <c r="J1182" i="1"/>
  <c r="J1180" i="1"/>
  <c r="J1178" i="1"/>
  <c r="J1176" i="1"/>
  <c r="J275" i="1"/>
  <c r="J273" i="1"/>
  <c r="J271" i="1"/>
  <c r="J269" i="1"/>
  <c r="J267" i="1"/>
  <c r="J265" i="1"/>
  <c r="J263" i="1"/>
  <c r="J261" i="1"/>
  <c r="J259" i="1"/>
  <c r="J257" i="1"/>
  <c r="J255" i="1"/>
  <c r="J253" i="1"/>
  <c r="J251" i="1"/>
  <c r="J249" i="1"/>
  <c r="J247" i="1"/>
  <c r="J245" i="1"/>
  <c r="J243" i="1"/>
  <c r="J241" i="1"/>
  <c r="J239" i="1"/>
  <c r="J237" i="1"/>
  <c r="J235" i="1"/>
  <c r="J233" i="1"/>
  <c r="J231" i="1"/>
  <c r="J229" i="1"/>
  <c r="J227" i="1"/>
  <c r="J225" i="1"/>
  <c r="J223" i="1"/>
  <c r="J221" i="1"/>
  <c r="J219" i="1"/>
  <c r="J217" i="1"/>
  <c r="J215" i="1"/>
  <c r="J213" i="1"/>
  <c r="J211" i="1"/>
  <c r="J209" i="1"/>
  <c r="J207" i="1"/>
  <c r="J205" i="1"/>
  <c r="J203" i="1"/>
  <c r="J201" i="1"/>
  <c r="J199" i="1"/>
  <c r="J197" i="1"/>
  <c r="J195" i="1"/>
  <c r="J193" i="1"/>
  <c r="J191" i="1"/>
  <c r="J189" i="1"/>
  <c r="J187" i="1"/>
  <c r="J185" i="1"/>
  <c r="J183" i="1"/>
  <c r="J181" i="1"/>
  <c r="J179" i="1"/>
  <c r="J177" i="1"/>
  <c r="J175" i="1"/>
  <c r="J173" i="1"/>
  <c r="J171" i="1"/>
  <c r="J169" i="1"/>
  <c r="J167" i="1"/>
  <c r="J165" i="1"/>
  <c r="J163" i="1"/>
  <c r="J161" i="1"/>
  <c r="J159" i="1"/>
  <c r="J157" i="1"/>
  <c r="J155" i="1"/>
  <c r="J153" i="1"/>
  <c r="J151" i="1"/>
  <c r="J149" i="1"/>
  <c r="J147" i="1"/>
  <c r="J145" i="1"/>
  <c r="J143" i="1"/>
  <c r="J141" i="1"/>
  <c r="J139" i="1"/>
  <c r="J137" i="1"/>
  <c r="J135" i="1"/>
  <c r="J133" i="1"/>
  <c r="J131" i="1"/>
  <c r="J129" i="1"/>
  <c r="J127" i="1"/>
  <c r="J125" i="1"/>
  <c r="J123" i="1"/>
  <c r="J121" i="1"/>
  <c r="J119" i="1"/>
  <c r="J117" i="1"/>
  <c r="J115" i="1"/>
  <c r="J113" i="1"/>
  <c r="J111" i="1"/>
  <c r="J109" i="1"/>
  <c r="J107" i="1"/>
  <c r="J1174" i="1"/>
  <c r="J1172" i="1"/>
  <c r="J1170" i="1"/>
  <c r="J1168" i="1"/>
  <c r="J1166" i="1"/>
  <c r="J1164" i="1"/>
  <c r="J1162" i="1"/>
  <c r="J1160" i="1"/>
  <c r="J1158" i="1"/>
  <c r="J1156" i="1"/>
  <c r="J1154" i="1"/>
  <c r="J1152" i="1"/>
  <c r="J1150" i="1"/>
  <c r="J1148" i="1"/>
  <c r="J1146" i="1"/>
  <c r="J1144" i="1"/>
  <c r="J1142" i="1"/>
  <c r="J1140" i="1"/>
  <c r="J1138" i="1"/>
  <c r="J1136" i="1"/>
  <c r="J1134" i="1"/>
  <c r="J1132" i="1"/>
  <c r="J1130" i="1"/>
  <c r="J1128" i="1"/>
  <c r="J1126" i="1"/>
  <c r="J1124" i="1"/>
  <c r="J1122" i="1"/>
  <c r="J1120" i="1"/>
  <c r="J1118" i="1"/>
  <c r="J1116" i="1"/>
  <c r="J1114" i="1"/>
  <c r="J1112" i="1"/>
  <c r="J1110" i="1"/>
  <c r="J1108" i="1"/>
  <c r="J1106" i="1"/>
  <c r="J1104" i="1"/>
  <c r="J1102" i="1"/>
  <c r="J1100" i="1"/>
  <c r="J1098" i="1"/>
  <c r="J1096" i="1"/>
  <c r="J1094" i="1"/>
  <c r="J1092" i="1"/>
  <c r="J1090" i="1"/>
  <c r="J1088" i="1"/>
  <c r="J1086" i="1"/>
  <c r="J1084" i="1"/>
  <c r="J1082" i="1"/>
  <c r="J1080" i="1"/>
  <c r="J1078" i="1"/>
  <c r="J1076" i="1"/>
  <c r="J1074" i="1"/>
  <c r="J1072" i="1"/>
  <c r="J1070" i="1"/>
  <c r="J1068" i="1"/>
  <c r="J1066" i="1"/>
  <c r="J1064" i="1"/>
  <c r="J1062" i="1"/>
  <c r="J1060" i="1"/>
  <c r="J1058" i="1"/>
  <c r="J1056" i="1"/>
  <c r="J1054" i="1"/>
  <c r="J1052" i="1"/>
  <c r="J1050" i="1"/>
  <c r="J1048" i="1"/>
  <c r="J1046" i="1"/>
  <c r="J1044" i="1"/>
  <c r="J1042" i="1"/>
  <c r="J1040" i="1"/>
  <c r="J1038" i="1"/>
  <c r="J1036" i="1"/>
  <c r="J1034" i="1"/>
  <c r="J1032" i="1"/>
  <c r="J1030" i="1"/>
  <c r="J1028" i="1"/>
  <c r="J1026" i="1"/>
  <c r="J1024" i="1"/>
  <c r="J1022" i="1"/>
  <c r="J1020" i="1"/>
  <c r="J1018" i="1"/>
  <c r="J1016" i="1"/>
  <c r="J1014" i="1"/>
  <c r="J1012" i="1"/>
  <c r="J1010" i="1"/>
  <c r="J1008" i="1"/>
  <c r="J1006" i="1"/>
  <c r="J1004" i="1"/>
  <c r="J1002" i="1"/>
  <c r="J1000" i="1"/>
  <c r="J998" i="1"/>
  <c r="J996" i="1"/>
  <c r="J994" i="1"/>
  <c r="J992" i="1"/>
  <c r="J990" i="1"/>
  <c r="J988" i="1"/>
  <c r="J986" i="1"/>
  <c r="J984" i="1"/>
  <c r="J982" i="1"/>
  <c r="J980" i="1"/>
  <c r="J978" i="1"/>
  <c r="J976" i="1"/>
  <c r="J974" i="1"/>
  <c r="J972" i="1"/>
  <c r="J970" i="1"/>
  <c r="J968" i="1"/>
  <c r="J966" i="1"/>
  <c r="J964" i="1"/>
  <c r="J962" i="1"/>
  <c r="J960" i="1"/>
  <c r="J958" i="1"/>
  <c r="J956" i="1"/>
  <c r="J954" i="1"/>
  <c r="J952" i="1"/>
  <c r="J950" i="1"/>
  <c r="J948" i="1"/>
  <c r="J946" i="1"/>
  <c r="J944" i="1"/>
  <c r="J942" i="1"/>
  <c r="J940" i="1"/>
  <c r="J938" i="1"/>
  <c r="J936" i="1"/>
  <c r="J934" i="1"/>
  <c r="J932" i="1"/>
  <c r="J930" i="1"/>
  <c r="J928" i="1"/>
  <c r="J926" i="1"/>
  <c r="J924" i="1"/>
  <c r="J922" i="1"/>
  <c r="J920" i="1"/>
  <c r="J918" i="1"/>
  <c r="J916" i="1"/>
  <c r="J914" i="1"/>
  <c r="J912" i="1"/>
  <c r="J910" i="1"/>
  <c r="J908" i="1"/>
  <c r="J906" i="1"/>
  <c r="J904" i="1"/>
  <c r="J902" i="1"/>
  <c r="J900" i="1"/>
  <c r="J898" i="1"/>
  <c r="J896" i="1"/>
  <c r="J894" i="1"/>
  <c r="J892" i="1"/>
  <c r="J890" i="1"/>
  <c r="J888" i="1"/>
  <c r="J886" i="1"/>
  <c r="J884" i="1"/>
  <c r="J882" i="1"/>
  <c r="J880" i="1"/>
  <c r="J878" i="1"/>
  <c r="J876" i="1"/>
  <c r="J874" i="1"/>
  <c r="J872" i="1"/>
  <c r="J870" i="1"/>
  <c r="J868" i="1"/>
  <c r="J866" i="1"/>
  <c r="J864" i="1"/>
  <c r="J862" i="1"/>
  <c r="J860" i="1"/>
  <c r="J858" i="1"/>
  <c r="J856" i="1"/>
  <c r="J854" i="1"/>
  <c r="J852" i="1"/>
  <c r="J850" i="1"/>
  <c r="J848" i="1"/>
  <c r="J846" i="1"/>
  <c r="J844" i="1"/>
  <c r="J842" i="1"/>
  <c r="J840" i="1"/>
  <c r="J838" i="1"/>
  <c r="J836" i="1"/>
  <c r="J834" i="1"/>
  <c r="J832" i="1"/>
  <c r="J830" i="1"/>
  <c r="J828" i="1"/>
  <c r="J826" i="1"/>
  <c r="J824" i="1"/>
  <c r="J822" i="1"/>
  <c r="J820" i="1"/>
  <c r="J818" i="1"/>
  <c r="J816" i="1"/>
  <c r="J814" i="1"/>
  <c r="J812" i="1"/>
  <c r="J810" i="1"/>
  <c r="J808" i="1"/>
  <c r="J806" i="1"/>
  <c r="J804" i="1"/>
  <c r="J802" i="1"/>
  <c r="J800" i="1"/>
  <c r="J798" i="1"/>
  <c r="J796" i="1"/>
  <c r="J794" i="1"/>
  <c r="J792" i="1"/>
  <c r="J790" i="1"/>
  <c r="J788" i="1"/>
  <c r="J786" i="1"/>
  <c r="J784" i="1"/>
  <c r="J782" i="1"/>
  <c r="J780" i="1"/>
  <c r="J778" i="1"/>
  <c r="J776" i="1"/>
  <c r="J774" i="1"/>
  <c r="J772" i="1"/>
  <c r="J770" i="1"/>
  <c r="J768" i="1"/>
  <c r="J766" i="1"/>
  <c r="J764" i="1"/>
  <c r="J762" i="1"/>
  <c r="J760" i="1"/>
  <c r="J758" i="1"/>
  <c r="J756" i="1"/>
  <c r="J754" i="1"/>
  <c r="J752" i="1"/>
  <c r="J750" i="1"/>
  <c r="J748" i="1"/>
  <c r="J746" i="1"/>
  <c r="J744" i="1"/>
  <c r="J742" i="1"/>
  <c r="J740" i="1"/>
  <c r="J738" i="1"/>
  <c r="J736" i="1"/>
  <c r="J734" i="1"/>
  <c r="J732" i="1"/>
  <c r="J730" i="1"/>
  <c r="J728" i="1"/>
  <c r="J726" i="1"/>
  <c r="J724" i="1"/>
  <c r="J722" i="1"/>
  <c r="J720" i="1"/>
  <c r="J718" i="1"/>
  <c r="J716" i="1"/>
  <c r="J714" i="1"/>
  <c r="J712" i="1"/>
  <c r="J710" i="1"/>
  <c r="J708" i="1"/>
  <c r="J706" i="1"/>
  <c r="J704" i="1"/>
  <c r="J702" i="1"/>
  <c r="J700" i="1"/>
  <c r="J698" i="1"/>
  <c r="J696" i="1"/>
  <c r="J694" i="1"/>
  <c r="J692" i="1"/>
  <c r="J690" i="1"/>
  <c r="J688" i="1"/>
  <c r="J686" i="1"/>
  <c r="J684" i="1"/>
  <c r="J682" i="1"/>
  <c r="J680" i="1"/>
  <c r="J678" i="1"/>
  <c r="J676" i="1"/>
  <c r="J674" i="1"/>
  <c r="J672" i="1"/>
  <c r="J670" i="1"/>
  <c r="J668" i="1"/>
  <c r="J666" i="1"/>
  <c r="J664" i="1"/>
  <c r="J662" i="1"/>
  <c r="J660" i="1"/>
  <c r="J658" i="1"/>
  <c r="J656" i="1"/>
  <c r="J654" i="1"/>
  <c r="J652" i="1"/>
  <c r="J650" i="1"/>
  <c r="J648" i="1"/>
  <c r="J646" i="1"/>
  <c r="J644" i="1"/>
  <c r="J642" i="1"/>
  <c r="J640" i="1"/>
  <c r="J638" i="1"/>
  <c r="J636" i="1"/>
  <c r="J634" i="1"/>
  <c r="J632" i="1"/>
  <c r="J630" i="1"/>
  <c r="J628" i="1"/>
  <c r="J626" i="1"/>
  <c r="J624" i="1"/>
  <c r="J622" i="1"/>
  <c r="J620" i="1"/>
  <c r="J618" i="1"/>
  <c r="J616" i="1"/>
  <c r="J614" i="1"/>
  <c r="J612" i="1"/>
  <c r="J610" i="1"/>
  <c r="J608" i="1"/>
  <c r="J606" i="1"/>
  <c r="J604" i="1"/>
  <c r="J602" i="1"/>
  <c r="J600" i="1"/>
  <c r="J598" i="1"/>
  <c r="J596" i="1"/>
  <c r="J594" i="1"/>
  <c r="J592" i="1"/>
  <c r="J590" i="1"/>
  <c r="J588" i="1"/>
  <c r="J586" i="1"/>
  <c r="J584" i="1"/>
  <c r="J582" i="1"/>
  <c r="J580" i="1"/>
  <c r="J578" i="1"/>
  <c r="J576" i="1"/>
  <c r="J574" i="1"/>
  <c r="J572" i="1"/>
  <c r="J570" i="1"/>
  <c r="J568" i="1"/>
  <c r="J566" i="1"/>
  <c r="J564" i="1"/>
  <c r="J562" i="1"/>
  <c r="J560" i="1"/>
  <c r="J558" i="1"/>
  <c r="J556" i="1"/>
  <c r="J554" i="1"/>
  <c r="J552" i="1"/>
  <c r="J550" i="1"/>
  <c r="J548" i="1"/>
  <c r="J546" i="1"/>
  <c r="J544" i="1"/>
  <c r="J542" i="1"/>
  <c r="J540" i="1"/>
  <c r="J538" i="1"/>
  <c r="J536" i="1"/>
  <c r="J534" i="1"/>
  <c r="J532" i="1"/>
  <c r="J530" i="1"/>
  <c r="J528" i="1"/>
  <c r="J526" i="1"/>
  <c r="J524" i="1"/>
  <c r="J522" i="1"/>
  <c r="J520" i="1"/>
  <c r="J518" i="1"/>
  <c r="J516" i="1"/>
  <c r="J514" i="1"/>
  <c r="J512" i="1"/>
  <c r="J510" i="1"/>
  <c r="J508" i="1"/>
  <c r="J506" i="1"/>
  <c r="J504" i="1"/>
  <c r="J502" i="1"/>
  <c r="J500" i="1"/>
  <c r="J498" i="1"/>
  <c r="J496" i="1"/>
  <c r="J494" i="1"/>
  <c r="J492" i="1"/>
  <c r="J490" i="1"/>
  <c r="J488" i="1"/>
  <c r="J486" i="1"/>
  <c r="J484" i="1"/>
  <c r="J482" i="1"/>
  <c r="J480" i="1"/>
  <c r="J478" i="1"/>
  <c r="J476" i="1"/>
  <c r="J474" i="1"/>
  <c r="J472" i="1"/>
  <c r="J105" i="1"/>
  <c r="J103" i="1"/>
  <c r="J101" i="1"/>
  <c r="J99" i="1"/>
  <c r="J97" i="1"/>
  <c r="J95" i="1"/>
  <c r="J93" i="1"/>
  <c r="J91" i="1"/>
  <c r="J89" i="1"/>
  <c r="J87" i="1"/>
  <c r="J83" i="1"/>
  <c r="J79" i="1"/>
  <c r="J75" i="1"/>
  <c r="J71" i="1"/>
  <c r="J67" i="1"/>
  <c r="J63" i="1"/>
  <c r="J59" i="1"/>
  <c r="J55" i="1"/>
  <c r="J51" i="1"/>
  <c r="J47" i="1"/>
  <c r="J43" i="1"/>
  <c r="J39" i="1"/>
  <c r="J35" i="1"/>
  <c r="J31" i="1"/>
  <c r="J27" i="1"/>
  <c r="J23" i="1"/>
  <c r="J19" i="1"/>
  <c r="J15" i="1"/>
  <c r="J11" i="1"/>
  <c r="J7" i="1"/>
  <c r="J3" i="1"/>
  <c r="J470" i="1"/>
  <c r="J468" i="1"/>
  <c r="J466" i="1"/>
  <c r="J464" i="1"/>
  <c r="J462" i="1"/>
  <c r="J460" i="1"/>
  <c r="J458" i="1"/>
  <c r="J456" i="1"/>
  <c r="J454" i="1"/>
  <c r="J452" i="1"/>
  <c r="J450" i="1"/>
  <c r="J448" i="1"/>
  <c r="J446" i="1"/>
  <c r="J444" i="1"/>
  <c r="J442" i="1"/>
  <c r="J440" i="1"/>
  <c r="J438" i="1"/>
  <c r="J436" i="1"/>
  <c r="J434" i="1"/>
  <c r="J432" i="1"/>
  <c r="J430" i="1"/>
  <c r="J428" i="1"/>
  <c r="J426" i="1"/>
  <c r="J424" i="1"/>
  <c r="J422" i="1"/>
  <c r="J420" i="1"/>
  <c r="J418" i="1"/>
  <c r="J416" i="1"/>
  <c r="J414" i="1"/>
  <c r="J412" i="1"/>
  <c r="J410" i="1"/>
  <c r="J408" i="1"/>
  <c r="J406" i="1"/>
  <c r="J404" i="1"/>
  <c r="J402" i="1"/>
  <c r="J400" i="1"/>
  <c r="J398" i="1"/>
  <c r="J396" i="1"/>
  <c r="J394" i="1"/>
  <c r="J392" i="1"/>
  <c r="J390" i="1"/>
  <c r="J388" i="1"/>
  <c r="J386" i="1"/>
  <c r="J384" i="1"/>
  <c r="J382" i="1"/>
  <c r="J380" i="1"/>
  <c r="J378" i="1"/>
  <c r="J376" i="1"/>
  <c r="J374" i="1"/>
  <c r="J372" i="1"/>
  <c r="J370" i="1"/>
  <c r="J368" i="1"/>
  <c r="J366" i="1"/>
  <c r="J364" i="1"/>
  <c r="J362" i="1"/>
  <c r="J360" i="1"/>
  <c r="J358" i="1"/>
  <c r="J356" i="1"/>
  <c r="J354" i="1"/>
  <c r="J352" i="1"/>
  <c r="J350" i="1"/>
  <c r="J348" i="1"/>
  <c r="J346" i="1"/>
  <c r="J344" i="1"/>
  <c r="J342" i="1"/>
  <c r="J340" i="1"/>
  <c r="J338" i="1"/>
  <c r="J336" i="1"/>
  <c r="J334" i="1"/>
  <c r="J332" i="1"/>
  <c r="J330" i="1"/>
  <c r="J328" i="1"/>
  <c r="J326" i="1"/>
  <c r="J324" i="1"/>
  <c r="J322" i="1"/>
  <c r="J320" i="1"/>
  <c r="J318" i="1"/>
  <c r="J316" i="1"/>
  <c r="J314" i="1"/>
  <c r="J312" i="1"/>
  <c r="J310" i="1"/>
  <c r="J308" i="1"/>
  <c r="J306" i="1"/>
  <c r="J304" i="1"/>
  <c r="J302" i="1"/>
  <c r="J300" i="1"/>
  <c r="J298" i="1"/>
  <c r="J296" i="1"/>
  <c r="J294" i="1"/>
  <c r="J292" i="1"/>
  <c r="J290" i="1"/>
  <c r="J288" i="1"/>
  <c r="J286" i="1"/>
  <c r="J284" i="1"/>
  <c r="J282" i="1"/>
  <c r="J280" i="1"/>
  <c r="J278" i="1"/>
  <c r="J276" i="1"/>
  <c r="J274" i="1"/>
  <c r="J272" i="1"/>
  <c r="J270" i="1"/>
  <c r="J268" i="1"/>
  <c r="J266" i="1"/>
  <c r="J264" i="1"/>
  <c r="J262" i="1"/>
  <c r="J260" i="1"/>
  <c r="J258" i="1"/>
  <c r="J256" i="1"/>
  <c r="J254" i="1"/>
  <c r="J252" i="1"/>
  <c r="J250" i="1"/>
  <c r="J248" i="1"/>
  <c r="J246" i="1"/>
  <c r="J244" i="1"/>
  <c r="J242" i="1"/>
  <c r="J240" i="1"/>
  <c r="J238" i="1"/>
  <c r="J236" i="1"/>
  <c r="J234" i="1"/>
  <c r="J232" i="1"/>
  <c r="J230" i="1"/>
  <c r="J228" i="1"/>
  <c r="J226" i="1"/>
  <c r="J224" i="1"/>
  <c r="J222" i="1"/>
  <c r="J220" i="1"/>
  <c r="J218" i="1"/>
  <c r="J216" i="1"/>
  <c r="J214" i="1"/>
  <c r="J212" i="1"/>
  <c r="J210" i="1"/>
  <c r="J208" i="1"/>
  <c r="J206" i="1"/>
  <c r="J204" i="1"/>
  <c r="J202" i="1"/>
  <c r="J200" i="1"/>
  <c r="J198" i="1"/>
  <c r="J196" i="1"/>
  <c r="J194" i="1"/>
  <c r="J192" i="1"/>
  <c r="J190" i="1"/>
  <c r="J188" i="1"/>
  <c r="J186" i="1"/>
  <c r="J184" i="1"/>
  <c r="J182" i="1"/>
  <c r="J180" i="1"/>
  <c r="J178" i="1"/>
  <c r="J176" i="1"/>
  <c r="J174" i="1"/>
  <c r="J172" i="1"/>
  <c r="J170" i="1"/>
  <c r="J168" i="1"/>
  <c r="J166" i="1"/>
  <c r="J164" i="1"/>
  <c r="J162" i="1"/>
  <c r="J160" i="1"/>
  <c r="J158" i="1"/>
  <c r="J156" i="1"/>
  <c r="J154" i="1"/>
  <c r="J152" i="1"/>
  <c r="J150" i="1"/>
  <c r="J148" i="1"/>
  <c r="J146" i="1"/>
  <c r="J144" i="1"/>
  <c r="J142" i="1"/>
  <c r="J140" i="1"/>
  <c r="J138" i="1"/>
  <c r="J136" i="1"/>
  <c r="J134" i="1"/>
  <c r="J132" i="1"/>
  <c r="J130" i="1"/>
  <c r="J128" i="1"/>
  <c r="J126" i="1"/>
  <c r="J124" i="1"/>
  <c r="J122" i="1"/>
  <c r="J120" i="1"/>
  <c r="J118" i="1"/>
  <c r="J116" i="1"/>
  <c r="J114" i="1"/>
  <c r="J112" i="1"/>
  <c r="J110" i="1"/>
  <c r="J108" i="1"/>
  <c r="J106" i="1"/>
  <c r="J104" i="1"/>
  <c r="J102" i="1"/>
  <c r="J100" i="1"/>
  <c r="J98" i="1"/>
  <c r="J96" i="1"/>
  <c r="J94" i="1"/>
  <c r="J92" i="1"/>
  <c r="J90" i="1"/>
  <c r="J88" i="1"/>
  <c r="J85" i="1"/>
  <c r="J81" i="1"/>
  <c r="J77" i="1"/>
  <c r="J73" i="1"/>
  <c r="J69" i="1"/>
  <c r="J65" i="1"/>
  <c r="J61" i="1"/>
  <c r="J57" i="1"/>
  <c r="J53" i="1"/>
  <c r="J49" i="1"/>
  <c r="J45" i="1"/>
  <c r="J41" i="1"/>
  <c r="J37" i="1"/>
  <c r="J33" i="1"/>
  <c r="J29" i="1"/>
  <c r="J25" i="1"/>
  <c r="J21" i="1"/>
  <c r="J17" i="1"/>
  <c r="J13" i="1"/>
  <c r="J9" i="1"/>
  <c r="J5" i="1"/>
  <c r="A9" i="3" a="1"/>
  <c r="A9" i="3" s="1"/>
  <c r="E2" i="2" l="1" a="1"/>
  <c r="E2" i="2" s="1"/>
  <c r="G2" i="2" a="1"/>
  <c r="G2" i="2" s="1"/>
  <c r="H2" i="2" a="1"/>
  <c r="H2" i="2" s="1"/>
  <c r="I2" i="2" a="1"/>
  <c r="I2" i="2" s="1"/>
  <c r="J2" i="2" a="1"/>
  <c r="J2" i="2" s="1"/>
  <c r="K2" i="2" a="1"/>
  <c r="K2" i="2" s="1"/>
  <c r="L2" i="2" a="1"/>
  <c r="L2" i="2" s="1"/>
  <c r="M2" i="2" a="1"/>
  <c r="M2" i="2" s="1"/>
  <c r="N2" i="2" a="1"/>
  <c r="N2" i="2" s="1"/>
  <c r="O2" i="2" a="1"/>
  <c r="O2" i="2" s="1"/>
  <c r="B2" i="2" a="1"/>
  <c r="B2" i="2" s="1"/>
  <c r="C2" i="2" a="1"/>
  <c r="C2" i="2" s="1"/>
  <c r="D2" i="2" a="1"/>
  <c r="D2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<sst xmlns="http://schemas.openxmlformats.org/spreadsheetml/2006/main" count="73042" uniqueCount="12559">
  <si>
    <t>אֶקְרָא</t>
  </si>
  <si>
    <t>יוֹמָם</t>
  </si>
  <si>
    <t>וְלֹא</t>
  </si>
  <si>
    <t>תַעֲנֶה</t>
  </si>
  <si>
    <t>וְלַיְלָה</t>
  </si>
  <si>
    <t>דוּמִיָּה</t>
  </si>
  <si>
    <t>וְאַתָּה</t>
  </si>
  <si>
    <t>קָדוֹשׁ</t>
  </si>
  <si>
    <t>יוֹשֵׁב</t>
  </si>
  <si>
    <t>תְּהִלּוֹת</t>
  </si>
  <si>
    <t>בְּךָ</t>
  </si>
  <si>
    <t>בָּטְחוּ</t>
  </si>
  <si>
    <t>אֲבֹתֵינוּ</t>
  </si>
  <si>
    <t>אֵלֶיךָ</t>
  </si>
  <si>
    <t>זָעֲקוּ</t>
  </si>
  <si>
    <t>וְנִמְלָטוּ</t>
  </si>
  <si>
    <t>בָטְחוּ</t>
  </si>
  <si>
    <t>וְאָנֹכִי</t>
  </si>
  <si>
    <t>תוֹלַעַת</t>
  </si>
  <si>
    <t>אִישׁ</t>
  </si>
  <si>
    <t>חֶרְפַּת</t>
  </si>
  <si>
    <t>אָדָם</t>
  </si>
  <si>
    <t>וּבְזוּי</t>
  </si>
  <si>
    <t>כָּל</t>
  </si>
  <si>
    <t>רֹאַי</t>
  </si>
  <si>
    <t>יַלְעִגוּ</t>
  </si>
  <si>
    <t>לִי</t>
  </si>
  <si>
    <t>יַפְטִירוּ</t>
  </si>
  <si>
    <t>בְשָׂפָה</t>
  </si>
  <si>
    <t>יָנִיעוּ</t>
  </si>
  <si>
    <t>גֹּל</t>
  </si>
  <si>
    <t>אֶל</t>
  </si>
  <si>
    <t>יְפַלְּטֵהוּ</t>
  </si>
  <si>
    <t>יַצִּילֵהוּ</t>
  </si>
  <si>
    <t>כִּי</t>
  </si>
  <si>
    <t>חָפֵץ</t>
  </si>
  <si>
    <t>אַתָּה</t>
  </si>
  <si>
    <t>גֹחִי</t>
  </si>
  <si>
    <t>מִבָּטֶן</t>
  </si>
  <si>
    <t>מַבְטִיחִי</t>
  </si>
  <si>
    <t>עַל</t>
  </si>
  <si>
    <t>שְׁדֵי</t>
  </si>
  <si>
    <t>אֲשֶׁר</t>
  </si>
  <si>
    <t>בִּידֵיהֶם</t>
  </si>
  <si>
    <t>זִמָּה</t>
  </si>
  <si>
    <t>וִימִינָם</t>
  </si>
  <si>
    <t>מָלְאָה</t>
  </si>
  <si>
    <t>וַאֲנִי</t>
  </si>
  <si>
    <t>בְּתֻמִּי</t>
  </si>
  <si>
    <t>אֵלֵךְ</t>
  </si>
  <si>
    <t>פְּדֵנִי</t>
  </si>
  <si>
    <t>רַגְלִי</t>
  </si>
  <si>
    <t>עָמְדָה</t>
  </si>
  <si>
    <t>בְמִישׁוֹר</t>
  </si>
  <si>
    <t>בְּמַקְהֵלִים</t>
  </si>
  <si>
    <t>אֲבָרֵךְ</t>
  </si>
  <si>
    <t>אֵל</t>
  </si>
  <si>
    <t>נְקָמוֹת</t>
  </si>
  <si>
    <t>הִנָּשֵׂא</t>
  </si>
  <si>
    <t>שֹׁפֵט</t>
  </si>
  <si>
    <t>הָאָרֶץ</t>
  </si>
  <si>
    <t>הָשֵׁב</t>
  </si>
  <si>
    <t>גְּמוּל</t>
  </si>
  <si>
    <t>עַד</t>
  </si>
  <si>
    <t>מָתַי</t>
  </si>
  <si>
    <t>רְשָׁעִים</t>
  </si>
  <si>
    <t>יַבִּיעוּ</t>
  </si>
  <si>
    <t>יְדַבְּרוּ</t>
  </si>
  <si>
    <t>עָתָק</t>
  </si>
  <si>
    <t>יִתְאַמְּרוּ</t>
  </si>
  <si>
    <t>פֹּעֲלֵי</t>
  </si>
  <si>
    <t>עַמְּךָ</t>
  </si>
  <si>
    <t>יְדַכְּאוּ</t>
  </si>
  <si>
    <t>וְנַחֲלָתְךָ</t>
  </si>
  <si>
    <t>אַלְמָנָה</t>
  </si>
  <si>
    <t>וְגֵר</t>
  </si>
  <si>
    <t>יַהֲרֹגוּ</t>
  </si>
  <si>
    <t>וִיתוֹמִים</t>
  </si>
  <si>
    <t>וַיֹּאמְרוּ</t>
  </si>
  <si>
    <t>לֹא</t>
  </si>
  <si>
    <t>יִרְאֶה</t>
  </si>
  <si>
    <t>יָּהּ</t>
  </si>
  <si>
    <t>יָבִין</t>
  </si>
  <si>
    <t>בִּינוּ</t>
  </si>
  <si>
    <t>בֹּעֲרִים</t>
  </si>
  <si>
    <t>בָּעָם</t>
  </si>
  <si>
    <t>וּכְסִילִים</t>
  </si>
  <si>
    <t>הֲנֹטַע</t>
  </si>
  <si>
    <t>אֹזֶן</t>
  </si>
  <si>
    <t>הֲלֹא</t>
  </si>
  <si>
    <t>יִשְׁמָע</t>
  </si>
  <si>
    <t>אִם</t>
  </si>
  <si>
    <t>יֹצֵר</t>
  </si>
  <si>
    <t>עַיִן</t>
  </si>
  <si>
    <t>הֲיֹסֵר</t>
  </si>
  <si>
    <t>גּוֹיִם</t>
  </si>
  <si>
    <t>יוֹכִיחַ</t>
  </si>
  <si>
    <t>הַמְלַמֵּד</t>
  </si>
  <si>
    <t>יֹדֵעַ</t>
  </si>
  <si>
    <t>מַחְשְׁבוֹת</t>
  </si>
  <si>
    <t>הֵמָּה</t>
  </si>
  <si>
    <t>אַשְׁרֵי</t>
  </si>
  <si>
    <t>הַגֶּבֶר</t>
  </si>
  <si>
    <t>תְּיַסְּרֶנּוּ</t>
  </si>
  <si>
    <t>וּמִתּוֹרָתְךָ</t>
  </si>
  <si>
    <t>לְהַשְׁקִיט</t>
  </si>
  <si>
    <t>לוֹ</t>
  </si>
  <si>
    <t>מִימֵי</t>
  </si>
  <si>
    <t>רָע</t>
  </si>
  <si>
    <t>יִכָּרֶה</t>
  </si>
  <si>
    <t>לָרָשָׁע</t>
  </si>
  <si>
    <t>יִטֹּשׁ</t>
  </si>
  <si>
    <t>עַמּוֹ</t>
  </si>
  <si>
    <t>וְנַחֲלָתוֹ</t>
  </si>
  <si>
    <t>צֶדֶק</t>
  </si>
  <si>
    <t>יָשׁוּב</t>
  </si>
  <si>
    <t>מִשְׁפָּט</t>
  </si>
  <si>
    <t>וְאַחֲרָיו</t>
  </si>
  <si>
    <t>יִשְׁרֵי</t>
  </si>
  <si>
    <t>מִי</t>
  </si>
  <si>
    <t>יָקוּם</t>
  </si>
  <si>
    <t>עִם</t>
  </si>
  <si>
    <t>מְרֵעִים</t>
  </si>
  <si>
    <t>יִתְיַצֵּב</t>
  </si>
  <si>
    <t>לוּלֵי</t>
  </si>
  <si>
    <t>עֶזְרָתָה</t>
  </si>
  <si>
    <t>לִּי</t>
  </si>
  <si>
    <t>כִּמְעַט</t>
  </si>
  <si>
    <t>שָׁכְנָה</t>
  </si>
  <si>
    <t>דוּמָה</t>
  </si>
  <si>
    <t>אָמַרְתִּי</t>
  </si>
  <si>
    <t>מָטָה</t>
  </si>
  <si>
    <t>חַסְדְּךָ</t>
  </si>
  <si>
    <t>בְּרֹב</t>
  </si>
  <si>
    <t>שַׂרְעַפַּי</t>
  </si>
  <si>
    <t>בְּקִרְבִּי</t>
  </si>
  <si>
    <t>תַּנְחוּמֶיךָ</t>
  </si>
  <si>
    <t>יְשַׁעַשְׁעוּ</t>
  </si>
  <si>
    <t>הַיְחָבְרְךָ</t>
  </si>
  <si>
    <t>כִּסֵּא</t>
  </si>
  <si>
    <t>הַוּוֹת</t>
  </si>
  <si>
    <t>עָמָל</t>
  </si>
  <si>
    <t>עֲלֵי</t>
  </si>
  <si>
    <t>יָגוֹדּוּ</t>
  </si>
  <si>
    <t>נֶפֶשׁ</t>
  </si>
  <si>
    <t>צַדִּיק</t>
  </si>
  <si>
    <t>וְדָם</t>
  </si>
  <si>
    <t>נָקִי</t>
  </si>
  <si>
    <t>וַיְהִי</t>
  </si>
  <si>
    <t>לְמִשְׂגָּב</t>
  </si>
  <si>
    <t>לְצוּר</t>
  </si>
  <si>
    <t>וַיָּשֶׁב</t>
  </si>
  <si>
    <t>עֲלֵיהֶם</t>
  </si>
  <si>
    <t>אֶת</t>
  </si>
  <si>
    <t>אוֹנָם</t>
  </si>
  <si>
    <t>וּבְרָעָתָם</t>
  </si>
  <si>
    <t>יַצְמִיתֵם</t>
  </si>
  <si>
    <t>אַל</t>
  </si>
  <si>
    <t>תִּרְחַק</t>
  </si>
  <si>
    <t>מִמֶּנִּי</t>
  </si>
  <si>
    <t>צָרָה</t>
  </si>
  <si>
    <t>קְרוֹבָה</t>
  </si>
  <si>
    <t>אֵין</t>
  </si>
  <si>
    <t>הָאִישׁ</t>
  </si>
  <si>
    <t>הָלַךְ</t>
  </si>
  <si>
    <t>בַּעֲצַת</t>
  </si>
  <si>
    <t>וּבְדֶרֶךְ</t>
  </si>
  <si>
    <t>חַטָּאִים</t>
  </si>
  <si>
    <t>עָמָד</t>
  </si>
  <si>
    <t>וּבְמוֹשַׁב</t>
  </si>
  <si>
    <t>לֵצִים</t>
  </si>
  <si>
    <t>בְּתוֹרַת</t>
  </si>
  <si>
    <t>חֶפְצוֹ</t>
  </si>
  <si>
    <t>וּבְתוֹרָתוֹ</t>
  </si>
  <si>
    <t>יֶהְגֶּה</t>
  </si>
  <si>
    <t>וְהָיָה</t>
  </si>
  <si>
    <t>כְּעֵץ</t>
  </si>
  <si>
    <t>שָׁתוּל</t>
  </si>
  <si>
    <t>פַּלְגֵי</t>
  </si>
  <si>
    <t>מָיִם</t>
  </si>
  <si>
    <t>פִּרְיוֹ</t>
  </si>
  <si>
    <t>יִתֵּן</t>
  </si>
  <si>
    <t>בְּעִתּוֹ</t>
  </si>
  <si>
    <t>וְעָלֵהוּ</t>
  </si>
  <si>
    <t>יִבּוֹל</t>
  </si>
  <si>
    <t>וְכֹל</t>
  </si>
  <si>
    <t>יַעֲשֶׂה</t>
  </si>
  <si>
    <t>כֵן</t>
  </si>
  <si>
    <t>הָרְשָׁעִים</t>
  </si>
  <si>
    <t>כַּמֹּץ</t>
  </si>
  <si>
    <t>תִּדְּפֶנּוּ</t>
  </si>
  <si>
    <t>כֵּן</t>
  </si>
  <si>
    <t>יָקֻמוּ</t>
  </si>
  <si>
    <t>בַּמִּשְׁפָּט</t>
  </si>
  <si>
    <t>וְחַטָּאִים</t>
  </si>
  <si>
    <t>בַּעֲדַת</t>
  </si>
  <si>
    <t>יוֹדֵעַ</t>
  </si>
  <si>
    <t>דֶּרֶךְ</t>
  </si>
  <si>
    <t>צַדִּיקִים</t>
  </si>
  <si>
    <t>וְדֶרֶךְ</t>
  </si>
  <si>
    <t>תְמִימֵי</t>
  </si>
  <si>
    <t>דָרֶךְ</t>
  </si>
  <si>
    <t>הַהֹלְכִים</t>
  </si>
  <si>
    <t>נֹצְרֵי</t>
  </si>
  <si>
    <t>עֵדֹתָיו</t>
  </si>
  <si>
    <t>בְּכָל</t>
  </si>
  <si>
    <t>לֵב</t>
  </si>
  <si>
    <t>אַף</t>
  </si>
  <si>
    <t>פָעֲלוּ</t>
  </si>
  <si>
    <t>עַוְלָה</t>
  </si>
  <si>
    <t>בִּדְרָכָיו</t>
  </si>
  <si>
    <t>צִוִּיתָה</t>
  </si>
  <si>
    <t>פִקֻּדֶיךָ</t>
  </si>
  <si>
    <t>לִשְׁמֹר</t>
  </si>
  <si>
    <t>אַחֲלַי</t>
  </si>
  <si>
    <t>יִכֹּנוּ</t>
  </si>
  <si>
    <t>דְרָכָי</t>
  </si>
  <si>
    <t>אָז</t>
  </si>
  <si>
    <t>אֵבוֹשׁ</t>
  </si>
  <si>
    <t>בְּהַבִּיטִי</t>
  </si>
  <si>
    <t>אוֹדְךָ</t>
  </si>
  <si>
    <t>בְּיֹשֶׁר</t>
  </si>
  <si>
    <t>לֵבָב</t>
  </si>
  <si>
    <t>בְּלָמְדִי</t>
  </si>
  <si>
    <t>מִשְׁפְּטֵי</t>
  </si>
  <si>
    <t>חֻקֶּיךָ</t>
  </si>
  <si>
    <t>אֶשְׁמֹר</t>
  </si>
  <si>
    <t>תַּעַזְבֵנִי</t>
  </si>
  <si>
    <t>בַּמֶּה</t>
  </si>
  <si>
    <t>יְזַכֶּה</t>
  </si>
  <si>
    <t>נַּעַר</t>
  </si>
  <si>
    <t>אָרְחוֹ</t>
  </si>
  <si>
    <t>לִבִּי</t>
  </si>
  <si>
    <t>דְרַשְׁתִּיךָ</t>
  </si>
  <si>
    <t>תַּשְׁגֵּנִי</t>
  </si>
  <si>
    <t>בְּלִבִּי</t>
  </si>
  <si>
    <t>צָפַנְתִּי</t>
  </si>
  <si>
    <t>אִמְרָתֶךָ</t>
  </si>
  <si>
    <t>לְמַעַן</t>
  </si>
  <si>
    <t>אֶחֱטָא</t>
  </si>
  <si>
    <t>בָּרוּךְ</t>
  </si>
  <si>
    <t>לַמְּדֵנִי</t>
  </si>
  <si>
    <t>בִּשְׂפָתַי</t>
  </si>
  <si>
    <t>סִפַּרְתִּי</t>
  </si>
  <si>
    <t>כֹּל</t>
  </si>
  <si>
    <t>בְּדֶרֶךְ</t>
  </si>
  <si>
    <t>עֵדְוֹתֶיךָ</t>
  </si>
  <si>
    <t>שַׂשְׂתִּי</t>
  </si>
  <si>
    <t>כְּעַל</t>
  </si>
  <si>
    <t>בְּפִקֻּדֶיךָ</t>
  </si>
  <si>
    <t>אָשִׂיחָה</t>
  </si>
  <si>
    <t>וְאַבִּיטָה</t>
  </si>
  <si>
    <t>בְּחֻקֹּתֶיךָ</t>
  </si>
  <si>
    <t>אֶשְׁתַּעֲשָׁע</t>
  </si>
  <si>
    <t>אֶשְׁכַּח</t>
  </si>
  <si>
    <t>גְּמֹל</t>
  </si>
  <si>
    <t>עַבְדְּךָ</t>
  </si>
  <si>
    <t>אֶחְיֶה</t>
  </si>
  <si>
    <t>וְאֶשְׁמְרָה</t>
  </si>
  <si>
    <t>גַּל</t>
  </si>
  <si>
    <t>עֵינַי</t>
  </si>
  <si>
    <t>נִפְלָאוֹת</t>
  </si>
  <si>
    <t>גֵּר</t>
  </si>
  <si>
    <t>אָנֹכִי</t>
  </si>
  <si>
    <t>בָאָרֶץ</t>
  </si>
  <si>
    <t>תַּסְתֵּר</t>
  </si>
  <si>
    <t>גָּרְסָה</t>
  </si>
  <si>
    <t>נַפְשִׁי</t>
  </si>
  <si>
    <t>לְתַאֲבָה</t>
  </si>
  <si>
    <t>מִשְׁפָּטֶיךָ</t>
  </si>
  <si>
    <t>בְכָל</t>
  </si>
  <si>
    <t>גָּעַרְתָּ</t>
  </si>
  <si>
    <t>זֵדִים</t>
  </si>
  <si>
    <t>אֲרוּרִים</t>
  </si>
  <si>
    <t>הַשֹּׁגִים</t>
  </si>
  <si>
    <t>מֵעָלַי</t>
  </si>
  <si>
    <t>חֶרְפָּה</t>
  </si>
  <si>
    <t>וָבוּז</t>
  </si>
  <si>
    <t>עֵדֹתֶיךָ</t>
  </si>
  <si>
    <t>גַּם</t>
  </si>
  <si>
    <t>יָשְׁבוּ</t>
  </si>
  <si>
    <t>שָׂרִים</t>
  </si>
  <si>
    <t>בִּי</t>
  </si>
  <si>
    <t>נִדְבָּרוּ</t>
  </si>
  <si>
    <t>יָשִׂיחַ</t>
  </si>
  <si>
    <t>שַׁעֲשֻׁעָי</t>
  </si>
  <si>
    <t>אַנְשֵׁי</t>
  </si>
  <si>
    <t>דָּבְקָה</t>
  </si>
  <si>
    <t>לֶעָפָר</t>
  </si>
  <si>
    <t>חַיֵּנִי</t>
  </si>
  <si>
    <t>דְּרָכַי</t>
  </si>
  <si>
    <t>וַתַּעֲנֵנִי</t>
  </si>
  <si>
    <t>פִּקּוּדֶיךָ</t>
  </si>
  <si>
    <t>הֲבִינֵנִי</t>
  </si>
  <si>
    <t>וְאָשִׂיחָה</t>
  </si>
  <si>
    <t>דָּלְפָה</t>
  </si>
  <si>
    <t>מִתּוּגָה</t>
  </si>
  <si>
    <t>קַיְּמֵנִי</t>
  </si>
  <si>
    <t>שֶׁקֶר</t>
  </si>
  <si>
    <t>הָסֵר</t>
  </si>
  <si>
    <t>וְתוֹרָתְךָ</t>
  </si>
  <si>
    <t>אֱמוּנָה</t>
  </si>
  <si>
    <t>בָחָרְתִּי</t>
  </si>
  <si>
    <t>דָּבַקְתִּי</t>
  </si>
  <si>
    <t>בְעֵדְוֹתֶיךָ</t>
  </si>
  <si>
    <t>מִצְוֹתֶיךָ</t>
  </si>
  <si>
    <t>אָרוּץ</t>
  </si>
  <si>
    <t>תַרְחִיב</t>
  </si>
  <si>
    <t>הוֹרֵנִי</t>
  </si>
  <si>
    <t>וְאֶצְּרֶנָּה</t>
  </si>
  <si>
    <t>וְאֶצְּרָה</t>
  </si>
  <si>
    <t>תוֹרָתֶךָ</t>
  </si>
  <si>
    <t>וְאֶשְׁמְרֶנָּה</t>
  </si>
  <si>
    <t>הַדְרִיכֵנִי</t>
  </si>
  <si>
    <t>בִּנְתִיב</t>
  </si>
  <si>
    <t>בוֹ</t>
  </si>
  <si>
    <t>הַט</t>
  </si>
  <si>
    <t>וְאַל</t>
  </si>
  <si>
    <t>הַעֲבֵר</t>
  </si>
  <si>
    <t>מֵרְאוֹת</t>
  </si>
  <si>
    <t>שָׁוְא</t>
  </si>
  <si>
    <t>בִּדְרָכֶךָ</t>
  </si>
  <si>
    <t>אָהַבְתִּי</t>
  </si>
  <si>
    <t>יִשְׁמַע</t>
  </si>
  <si>
    <t>קוֹלִי</t>
  </si>
  <si>
    <t>הִטָּה</t>
  </si>
  <si>
    <t>אָזְנוֹ</t>
  </si>
  <si>
    <t>וּבְיָמַי</t>
  </si>
  <si>
    <t>אֲפָפוּנִי</t>
  </si>
  <si>
    <t>חֶבְלֵי</t>
  </si>
  <si>
    <t>מָוֶת</t>
  </si>
  <si>
    <t>וּמְצָרֵי</t>
  </si>
  <si>
    <t>שְׁאוֹל</t>
  </si>
  <si>
    <t>מְצָאוּנִי</t>
  </si>
  <si>
    <t>וְיָגוֹן</t>
  </si>
  <si>
    <t>וּבְשֵׁם</t>
  </si>
  <si>
    <t>אָנָּה</t>
  </si>
  <si>
    <t>מַלְּטָה</t>
  </si>
  <si>
    <t>חַנּוּן</t>
  </si>
  <si>
    <t>וְצַדִּיק</t>
  </si>
  <si>
    <t>וֵאלֹהֵינוּ</t>
  </si>
  <si>
    <t>שֹׁמֵר</t>
  </si>
  <si>
    <t>פְּתָאיִם</t>
  </si>
  <si>
    <t>דַּלּוֹתִי</t>
  </si>
  <si>
    <t>וְלִי</t>
  </si>
  <si>
    <t>שׁוּבִי</t>
  </si>
  <si>
    <t>לִמְנוּחָיְכִי</t>
  </si>
  <si>
    <t>גָּמַל</t>
  </si>
  <si>
    <t>חִלַּצְתָּ</t>
  </si>
  <si>
    <t>מִמָּוֶת</t>
  </si>
  <si>
    <t>עֵינִי</t>
  </si>
  <si>
    <t>מִן</t>
  </si>
  <si>
    <t>דִּמְעָה</t>
  </si>
  <si>
    <t>אֶתְהַלֵּךְ</t>
  </si>
  <si>
    <t>לִפְנֵי</t>
  </si>
  <si>
    <t>בְּאַרְצוֹת</t>
  </si>
  <si>
    <t>הֶאֱמַנְתִּי</t>
  </si>
  <si>
    <t>אֲדַבֵּר</t>
  </si>
  <si>
    <t>אֲנִי</t>
  </si>
  <si>
    <t>עָנִיתִי</t>
  </si>
  <si>
    <t>בְחָפְזִי</t>
  </si>
  <si>
    <t>הָאָדָם</t>
  </si>
  <si>
    <t>מָה</t>
  </si>
  <si>
    <t>אָשִׁיב</t>
  </si>
  <si>
    <t>תַּגְמוּלוֹהִי</t>
  </si>
  <si>
    <t>כּוֹס</t>
  </si>
  <si>
    <t>יְשׁוּעוֹת</t>
  </si>
  <si>
    <t>אֶשָּׂא</t>
  </si>
  <si>
    <t>נְדָרַי</t>
  </si>
  <si>
    <t>אֲשַׁלֵּם</t>
  </si>
  <si>
    <t>נֶגְדָה</t>
  </si>
  <si>
    <t>נָּא</t>
  </si>
  <si>
    <t>לְכָל</t>
  </si>
  <si>
    <t>יָקָר</t>
  </si>
  <si>
    <t>בְּעֵינֵי</t>
  </si>
  <si>
    <t>הַמָּוְתָה</t>
  </si>
  <si>
    <t>עַבְדֶּךָ</t>
  </si>
  <si>
    <t>בֶּן</t>
  </si>
  <si>
    <t>אֲמָתֶךָ</t>
  </si>
  <si>
    <t>פִּתַּחְתָּ</t>
  </si>
  <si>
    <t>לְךָ</t>
  </si>
  <si>
    <t>אֶזְבַּח</t>
  </si>
  <si>
    <t>זֶבַח</t>
  </si>
  <si>
    <t>תּוֹדָה</t>
  </si>
  <si>
    <t>בְּחַצְרוֹת</t>
  </si>
  <si>
    <t>בֵּית</t>
  </si>
  <si>
    <t>בְּתוֹכֵכִי</t>
  </si>
  <si>
    <t>יְרוּשָׁלִָם</t>
  </si>
  <si>
    <t>אָמַרְתְּ</t>
  </si>
  <si>
    <t>אָתָּה</t>
  </si>
  <si>
    <t>טוֹבָתִי</t>
  </si>
  <si>
    <t>בַּל</t>
  </si>
  <si>
    <t>אֹהֲבַי</t>
  </si>
  <si>
    <t>וְרֵעַי</t>
  </si>
  <si>
    <t>מִנֶּגֶד</t>
  </si>
  <si>
    <t>נִגְעִי</t>
  </si>
  <si>
    <t>יַעֲמֹדוּ</t>
  </si>
  <si>
    <t>וּקְרוֹבַי</t>
  </si>
  <si>
    <t>מֵרָחֹק</t>
  </si>
  <si>
    <t>אֹהֵב</t>
  </si>
  <si>
    <t>צְדָקָה</t>
  </si>
  <si>
    <t>וּמִשְׁפָּט</t>
  </si>
  <si>
    <t>חֶסֶד</t>
  </si>
  <si>
    <t>בִּדְבַר</t>
  </si>
  <si>
    <t>שָׁמַיִם</t>
  </si>
  <si>
    <t>נַעֲשׂוּ</t>
  </si>
  <si>
    <t>וּבְרוּחַ</t>
  </si>
  <si>
    <t>פִּיו</t>
  </si>
  <si>
    <t>כֹּנֵס</t>
  </si>
  <si>
    <t>כַּנֵּד</t>
  </si>
  <si>
    <t>מֵי</t>
  </si>
  <si>
    <t>הַיָּם</t>
  </si>
  <si>
    <t>נֹתֵן</t>
  </si>
  <si>
    <t>בְּאֹצָרוֹת</t>
  </si>
  <si>
    <t>יִירְאוּ</t>
  </si>
  <si>
    <t>מִמֶּנּוּ</t>
  </si>
  <si>
    <t>יָגוּרוּ</t>
  </si>
  <si>
    <t>יֹשְׁבֵי</t>
  </si>
  <si>
    <t>הוּא</t>
  </si>
  <si>
    <t>אָמַר</t>
  </si>
  <si>
    <t>וַיֶּהִי</t>
  </si>
  <si>
    <t>צִוָּה</t>
  </si>
  <si>
    <t>הֵפִיר</t>
  </si>
  <si>
    <t>עֲצַת</t>
  </si>
  <si>
    <t>הֵנִיא</t>
  </si>
  <si>
    <t>לְעוֹלָם</t>
  </si>
  <si>
    <t>תַּעֲמֹד</t>
  </si>
  <si>
    <t>לִבּוֹ</t>
  </si>
  <si>
    <t>לְדֹר</t>
  </si>
  <si>
    <t>הַגּוֹי</t>
  </si>
  <si>
    <t>הָעָם</t>
  </si>
  <si>
    <t>בָּחַר</t>
  </si>
  <si>
    <t>לְנַחֲלָה</t>
  </si>
  <si>
    <t>מִשָּׁמַיִם</t>
  </si>
  <si>
    <t>הִבִּיט</t>
  </si>
  <si>
    <t>רָאָה</t>
  </si>
  <si>
    <t>בְּנֵי</t>
  </si>
  <si>
    <t>מִמְּכוֹן</t>
  </si>
  <si>
    <t>שִׁבְתּוֹ</t>
  </si>
  <si>
    <t>הִשְׁגִּיחַ</t>
  </si>
  <si>
    <t>הַיֹּצֵר</t>
  </si>
  <si>
    <t>יַחַד</t>
  </si>
  <si>
    <t>לִבָּם</t>
  </si>
  <si>
    <t>הַמֵּבִין</t>
  </si>
  <si>
    <t>הַמֶּלֶךְ</t>
  </si>
  <si>
    <t>נוֹשָׁע</t>
  </si>
  <si>
    <t>בְּרָב</t>
  </si>
  <si>
    <t>חָיִל</t>
  </si>
  <si>
    <t>גִּבּוֹר</t>
  </si>
  <si>
    <t>יִנָּצֵל</t>
  </si>
  <si>
    <t>חָסִיתִי</t>
  </si>
  <si>
    <t>אֵבוֹשָׁה</t>
  </si>
  <si>
    <t>בְּצִדְקָתְךָ</t>
  </si>
  <si>
    <t>תַּצִּילֵנִי</t>
  </si>
  <si>
    <t>וּתְפַלְּטֵנִי</t>
  </si>
  <si>
    <t>הַטֵּה</t>
  </si>
  <si>
    <t>אֵלַי</t>
  </si>
  <si>
    <t>אָזְנְךָ</t>
  </si>
  <si>
    <t>הֱיֵה</t>
  </si>
  <si>
    <t>מָעוֹן</t>
  </si>
  <si>
    <t>לָבוֹא</t>
  </si>
  <si>
    <t>תָּמִיד</t>
  </si>
  <si>
    <t>צִוִּיתָ</t>
  </si>
  <si>
    <t>לְהוֹשִׁיעֵנִי</t>
  </si>
  <si>
    <t>סַלְעִי</t>
  </si>
  <si>
    <t>וּמְצוּדָתִי</t>
  </si>
  <si>
    <t>פַּלְּטֵנִי</t>
  </si>
  <si>
    <t>מִיַּד</t>
  </si>
  <si>
    <t>רָשָׁע</t>
  </si>
  <si>
    <t>מִכַּף</t>
  </si>
  <si>
    <t>מְעַוֵּל</t>
  </si>
  <si>
    <t>תִקְוָתִי</t>
  </si>
  <si>
    <t>מִבְטַחִי</t>
  </si>
  <si>
    <t>עָלֶיךָ</t>
  </si>
  <si>
    <t>נִסְמַכְתִּי</t>
  </si>
  <si>
    <t>מִבֶּטֶן</t>
  </si>
  <si>
    <t>מִמְּעֵי</t>
  </si>
  <si>
    <t>אִמִּי</t>
  </si>
  <si>
    <t>גוֹזִי</t>
  </si>
  <si>
    <t>תְהִלָּתִי</t>
  </si>
  <si>
    <t>כְּמוֹפֵת</t>
  </si>
  <si>
    <t>הָיִיתִי</t>
  </si>
  <si>
    <t>לְרַבִּים</t>
  </si>
  <si>
    <t>מַחֲסִי</t>
  </si>
  <si>
    <t>יִמָּלֵא</t>
  </si>
  <si>
    <t>פִי</t>
  </si>
  <si>
    <t>תְּהִלָּתֶךָ</t>
  </si>
  <si>
    <t>הַיּוֹם</t>
  </si>
  <si>
    <t>תַּשְׁלִיכֵנִי</t>
  </si>
  <si>
    <t>לְעֵת</t>
  </si>
  <si>
    <t>זִקְנָה</t>
  </si>
  <si>
    <t>כִּכְלוֹת</t>
  </si>
  <si>
    <t>כֹּחִי</t>
  </si>
  <si>
    <t>אָמְרוּ</t>
  </si>
  <si>
    <t>אוֹיְבַי</t>
  </si>
  <si>
    <t>וְשֹׁמְרֵי</t>
  </si>
  <si>
    <t>נוֹעֲצוּ</t>
  </si>
  <si>
    <t>לֵאמֹר</t>
  </si>
  <si>
    <t>עֲזָבוֹ</t>
  </si>
  <si>
    <t>רִדְפוּ</t>
  </si>
  <si>
    <t>וְתִפְשׂוּהוּ</t>
  </si>
  <si>
    <t>לְעֶזְרָתִי</t>
  </si>
  <si>
    <t>יֵבֹשׁוּ</t>
  </si>
  <si>
    <t>יִכְלוּ</t>
  </si>
  <si>
    <t>שֹׂטְנֵי</t>
  </si>
  <si>
    <t>יַעֲטוּ</t>
  </si>
  <si>
    <t>וּכְלִמָּה</t>
  </si>
  <si>
    <t>מְבַקְשֵׁי</t>
  </si>
  <si>
    <t>אֲיַחֵל</t>
  </si>
  <si>
    <t>וְהוֹסַפְתִּי</t>
  </si>
  <si>
    <t>פִּי</t>
  </si>
  <si>
    <t>יְסַפֵּר</t>
  </si>
  <si>
    <t>צִדְקָתֶךָ</t>
  </si>
  <si>
    <t>תְּשׁוּעָתֶךָ</t>
  </si>
  <si>
    <t>יָדַעְתִּי</t>
  </si>
  <si>
    <t>אָבוֹא</t>
  </si>
  <si>
    <t>בִּגְבֻרוֹת</t>
  </si>
  <si>
    <t>אַזְכִּיר</t>
  </si>
  <si>
    <t>צִדְקָתְךָ</t>
  </si>
  <si>
    <t>לִמַּדְתַּנִי</t>
  </si>
  <si>
    <t>מִנְּעוּרָי</t>
  </si>
  <si>
    <t>וְעַד</t>
  </si>
  <si>
    <t>הֵנָּה</t>
  </si>
  <si>
    <t>אַגִּיד</t>
  </si>
  <si>
    <t>וְגַם</t>
  </si>
  <si>
    <t>וְשֵׂיבָה</t>
  </si>
  <si>
    <t>זְרוֹעֲךָ</t>
  </si>
  <si>
    <t>לְדוֹר</t>
  </si>
  <si>
    <t>יָבוֹא</t>
  </si>
  <si>
    <t>וְצִדְקָתְךָ</t>
  </si>
  <si>
    <t>מָרוֹם</t>
  </si>
  <si>
    <t>עָשִׂיתָ</t>
  </si>
  <si>
    <t>גְדֹלוֹת</t>
  </si>
  <si>
    <t>הִרְאִיתַנִי</t>
  </si>
  <si>
    <t>צָרוֹת</t>
  </si>
  <si>
    <t>רַבּוֹת</t>
  </si>
  <si>
    <t>וְרָעוֹת</t>
  </si>
  <si>
    <t>תָּשׁוּב</t>
  </si>
  <si>
    <t>תְּחַיֵּינִי</t>
  </si>
  <si>
    <t>וּמִתְּהֹמוֹת</t>
  </si>
  <si>
    <t>תֶּרֶב</t>
  </si>
  <si>
    <t>גְּדֻלָּתִי</t>
  </si>
  <si>
    <t>וְתִסֹּב</t>
  </si>
  <si>
    <t>בִכְלִי</t>
  </si>
  <si>
    <t>נֶבֶל</t>
  </si>
  <si>
    <t>אֲמִתְּךָ</t>
  </si>
  <si>
    <t>אֲזַמְּרָה</t>
  </si>
  <si>
    <t>בְכִנּוֹר</t>
  </si>
  <si>
    <t>קְדוֹשׁ</t>
  </si>
  <si>
    <t>תְּרַנֵּנָּה</t>
  </si>
  <si>
    <t>שְׂפָתַי</t>
  </si>
  <si>
    <t>לָּךְ</t>
  </si>
  <si>
    <t>וְנַפְשִׁי</t>
  </si>
  <si>
    <t>לְשׁוֹנִי</t>
  </si>
  <si>
    <t>תֶּהְגֶּה</t>
  </si>
  <si>
    <t>בֹשׁוּ</t>
  </si>
  <si>
    <t>כִי</t>
  </si>
  <si>
    <t>חָפְרוּ</t>
  </si>
  <si>
    <t>בְּצֵאת</t>
  </si>
  <si>
    <t>יִשְׂרָאֵל</t>
  </si>
  <si>
    <t>מִמִּצְרָיִם</t>
  </si>
  <si>
    <t>יַעֲקֹב</t>
  </si>
  <si>
    <t>מֵעַם</t>
  </si>
  <si>
    <t>הָיְתָה</t>
  </si>
  <si>
    <t>יְהוּדָה</t>
  </si>
  <si>
    <t>לְקָדְשׁוֹ</t>
  </si>
  <si>
    <t>וַיָּנֹס</t>
  </si>
  <si>
    <t>הַיַּרְדֵּן</t>
  </si>
  <si>
    <t>יִסֹּב</t>
  </si>
  <si>
    <t>הֶהָרִים</t>
  </si>
  <si>
    <t>רָקְדוּ</t>
  </si>
  <si>
    <t>כְאֵילִים</t>
  </si>
  <si>
    <t>גְּבָעוֹת</t>
  </si>
  <si>
    <t>כִּבְנֵי</t>
  </si>
  <si>
    <t>מַה</t>
  </si>
  <si>
    <t>לְּךָ</t>
  </si>
  <si>
    <t>תָנוּס</t>
  </si>
  <si>
    <t>תִּסֹּב</t>
  </si>
  <si>
    <t>תִּרְקְדוּ</t>
  </si>
  <si>
    <t>מִלִּפְנֵי</t>
  </si>
  <si>
    <t>אָדוֹן</t>
  </si>
  <si>
    <t>חוּלִי</t>
  </si>
  <si>
    <t>אָרֶץ</t>
  </si>
  <si>
    <t>הַהֹפְכִי</t>
  </si>
  <si>
    <t>הַצּוּר</t>
  </si>
  <si>
    <t>אֲגַם</t>
  </si>
  <si>
    <t>חַלָּמִישׁ</t>
  </si>
  <si>
    <t>לְמַעְיְנוֹ</t>
  </si>
  <si>
    <t>בְּקָרְאִי</t>
  </si>
  <si>
    <t>עֲנֵנִי</t>
  </si>
  <si>
    <t>צִדְקִי</t>
  </si>
  <si>
    <t>בַּצָּר</t>
  </si>
  <si>
    <t>הִרְחַבְתָּ</t>
  </si>
  <si>
    <t>חָנֵּנִי</t>
  </si>
  <si>
    <t>וּשְׁמַע</t>
  </si>
  <si>
    <t>מֶה</t>
  </si>
  <si>
    <t>כְבוֹדִי</t>
  </si>
  <si>
    <t>לִכְלִמָּה</t>
  </si>
  <si>
    <t>תֶּאֱהָבוּן</t>
  </si>
  <si>
    <t>רִיק</t>
  </si>
  <si>
    <t>תְּבַקְשׁוּ</t>
  </si>
  <si>
    <t>כָזָב</t>
  </si>
  <si>
    <t>וּדְעוּ</t>
  </si>
  <si>
    <t>הִפְלָה</t>
  </si>
  <si>
    <t>חָסִיד</t>
  </si>
  <si>
    <t>בִּנְאוֹת</t>
  </si>
  <si>
    <t>דֶּשֶׁא</t>
  </si>
  <si>
    <t>יַרְבִּיצֵנִי</t>
  </si>
  <si>
    <t>מְנֻחוֹת</t>
  </si>
  <si>
    <t>יְשׁוֹבֵב</t>
  </si>
  <si>
    <t>יַנְחֵנִי</t>
  </si>
  <si>
    <t>בְמַעְגְּלֵי</t>
  </si>
  <si>
    <t>בָּרְכִי</t>
  </si>
  <si>
    <t>גָּדַלְתָּ</t>
  </si>
  <si>
    <t>מְּאֹד</t>
  </si>
  <si>
    <t>הוֹד</t>
  </si>
  <si>
    <t>וְהָדָר</t>
  </si>
  <si>
    <t>עֹטֶה</t>
  </si>
  <si>
    <t>אוֹר</t>
  </si>
  <si>
    <t>כַּשַּׂלְמָה</t>
  </si>
  <si>
    <t>נוֹטֶה</t>
  </si>
  <si>
    <t>הַמְקָרֶה</t>
  </si>
  <si>
    <t>בַמַּיִם</t>
  </si>
  <si>
    <t>עֲלִיּוֹתָיו</t>
  </si>
  <si>
    <t>הַשָּׂם</t>
  </si>
  <si>
    <t>עָבִים</t>
  </si>
  <si>
    <t>רְכוּבוֹ</t>
  </si>
  <si>
    <t>הַמְהַלֵּךְ</t>
  </si>
  <si>
    <t>כַּנְפֵי</t>
  </si>
  <si>
    <t>עֹשֶׂה</t>
  </si>
  <si>
    <t>מַלְאָכָיו</t>
  </si>
  <si>
    <t>רוּחוֹת</t>
  </si>
  <si>
    <t>מְשָׁרְתָיו</t>
  </si>
  <si>
    <t>אֵשׁ</t>
  </si>
  <si>
    <t>יָסַד</t>
  </si>
  <si>
    <t>אֶרֶץ</t>
  </si>
  <si>
    <t>מְכוֹנֶיהָ</t>
  </si>
  <si>
    <t>תִּמּוֹט</t>
  </si>
  <si>
    <t>עוֹלָם</t>
  </si>
  <si>
    <t>תְּהוֹם</t>
  </si>
  <si>
    <t>כַּלְּבוּשׁ</t>
  </si>
  <si>
    <t>כִּסִּיתוֹ</t>
  </si>
  <si>
    <t>הָרִים</t>
  </si>
  <si>
    <t>יַעַמְדוּ</t>
  </si>
  <si>
    <t>גַּעֲרָתְךָ</t>
  </si>
  <si>
    <t>יְנוּסוּן</t>
  </si>
  <si>
    <t>קוֹל</t>
  </si>
  <si>
    <t>רַעַמְךָ</t>
  </si>
  <si>
    <t>יַעֲלוּ</t>
  </si>
  <si>
    <t>יֵרְדוּ</t>
  </si>
  <si>
    <t>בְקָעוֹת</t>
  </si>
  <si>
    <t>מְקוֹם</t>
  </si>
  <si>
    <t>זֶה</t>
  </si>
  <si>
    <t>יָסַדְתָּ</t>
  </si>
  <si>
    <t>גְּבוּל</t>
  </si>
  <si>
    <t>שַׂמְתָּ</t>
  </si>
  <si>
    <t>יַעֲבֹרוּן</t>
  </si>
  <si>
    <t>יְשׁוּבוּן</t>
  </si>
  <si>
    <t>לְכַסּוֹת</t>
  </si>
  <si>
    <t>הַמְשַׁלֵּחַ</t>
  </si>
  <si>
    <t>מַעְיָנִים</t>
  </si>
  <si>
    <t>בַּנְּחָלִים</t>
  </si>
  <si>
    <t>בֵּין</t>
  </si>
  <si>
    <t>יַשְׁקוּ</t>
  </si>
  <si>
    <t>חַיְתוֹ</t>
  </si>
  <si>
    <t>שָׂדָי</t>
  </si>
  <si>
    <t>יִשְׁבְּרוּ</t>
  </si>
  <si>
    <t>פְרָאִים</t>
  </si>
  <si>
    <t>עוֹף</t>
  </si>
  <si>
    <t>הַשָּׁמַיִם</t>
  </si>
  <si>
    <t>יִשְׁכּוֹן</t>
  </si>
  <si>
    <t>מִבֵּין</t>
  </si>
  <si>
    <t>עֳפָאיִם</t>
  </si>
  <si>
    <t>יִתְּנוּ</t>
  </si>
  <si>
    <t>מַשְׁקֶה</t>
  </si>
  <si>
    <t>מֵעֲלִיּוֹתָיו</t>
  </si>
  <si>
    <t>מִפְּרִי</t>
  </si>
  <si>
    <t>מַעֲשֶׂיךָ</t>
  </si>
  <si>
    <t>תִּשְׂבַּע</t>
  </si>
  <si>
    <t>מַצְמִיחַ</t>
  </si>
  <si>
    <t>חָצִיר</t>
  </si>
  <si>
    <t>לַבְּהֵמָה</t>
  </si>
  <si>
    <t>וְעֵשֶׂב</t>
  </si>
  <si>
    <t>לַעֲבֹדַת</t>
  </si>
  <si>
    <t>לְהוֹצִיא</t>
  </si>
  <si>
    <t>לֶחֶם</t>
  </si>
  <si>
    <t>וְיַיִן</t>
  </si>
  <si>
    <t>יְשַׂמַּח</t>
  </si>
  <si>
    <t>לְבַב</t>
  </si>
  <si>
    <t>אֱנוֹשׁ</t>
  </si>
  <si>
    <t>לְהַצְהִיל</t>
  </si>
  <si>
    <t>פָּנִים</t>
  </si>
  <si>
    <t>מִשָּׁמֶן</t>
  </si>
  <si>
    <t>וְלֶחֶם</t>
  </si>
  <si>
    <t>יִשְׂבְּעוּ</t>
  </si>
  <si>
    <t>עֲצֵי</t>
  </si>
  <si>
    <t>אַרְזֵי</t>
  </si>
  <si>
    <t>לְבָנוֹן</t>
  </si>
  <si>
    <t>שָׁם</t>
  </si>
  <si>
    <t>צִפֳּרִים</t>
  </si>
  <si>
    <t>יְקַנֵּנוּ</t>
  </si>
  <si>
    <t>חֲסִידָה</t>
  </si>
  <si>
    <t>בְּרוֹשִׁים</t>
  </si>
  <si>
    <t>הַגְּבֹהִים</t>
  </si>
  <si>
    <t>לַיְּעֵלִים</t>
  </si>
  <si>
    <t>סְלָעִים</t>
  </si>
  <si>
    <t>מַחְסֶה</t>
  </si>
  <si>
    <t>עָשָׂה</t>
  </si>
  <si>
    <t>יָרֵחַ</t>
  </si>
  <si>
    <t>לְמוֹעֲדִים</t>
  </si>
  <si>
    <t>שֶׁמֶשׁ</t>
  </si>
  <si>
    <t>יָדַע</t>
  </si>
  <si>
    <t>תָּשֶׁת</t>
  </si>
  <si>
    <t>חֹשֶׁךְ</t>
  </si>
  <si>
    <t>וִיהִי</t>
  </si>
  <si>
    <t>לָיְלָה</t>
  </si>
  <si>
    <t>בּוֹ</t>
  </si>
  <si>
    <t>תִרְמֹשׂ</t>
  </si>
  <si>
    <t>הַכְּפִירִים</t>
  </si>
  <si>
    <t>שֹׁאֲגִים</t>
  </si>
  <si>
    <t>לַטָּרֶף</t>
  </si>
  <si>
    <t>וּלְבַקֵּשׁ</t>
  </si>
  <si>
    <t>מֵאֵל</t>
  </si>
  <si>
    <t>תִּזְרַח</t>
  </si>
  <si>
    <t>הַשֶּׁמֶשׁ</t>
  </si>
  <si>
    <t>יֵאָסֵפוּן</t>
  </si>
  <si>
    <t>וְאֶל</t>
  </si>
  <si>
    <t>מְעוֹנֹתָם</t>
  </si>
  <si>
    <t>יֵצֵא</t>
  </si>
  <si>
    <t>לְפָעֳלוֹ</t>
  </si>
  <si>
    <t>וְלַעֲבֹדָתוֹ</t>
  </si>
  <si>
    <t>עֲדֵי</t>
  </si>
  <si>
    <t>רַבּוּ</t>
  </si>
  <si>
    <t>כֻּלָּם</t>
  </si>
  <si>
    <t>בְּחָכְמָה</t>
  </si>
  <si>
    <t>גָּדוֹל</t>
  </si>
  <si>
    <t>וּרְחַב</t>
  </si>
  <si>
    <t>יָדָיִם</t>
  </si>
  <si>
    <t>רֶמֶשׂ</t>
  </si>
  <si>
    <t>וְאֵין</t>
  </si>
  <si>
    <t>מִסְפָּר</t>
  </si>
  <si>
    <t>חַיּוֹת</t>
  </si>
  <si>
    <t>קְטַנּוֹת</t>
  </si>
  <si>
    <t>אֳנִיּוֹת</t>
  </si>
  <si>
    <t>יְהַלֵּכוּן</t>
  </si>
  <si>
    <t>לִוְיָתָן</t>
  </si>
  <si>
    <t>יָצַרְתָּ</t>
  </si>
  <si>
    <t>לְשַׂחֶק</t>
  </si>
  <si>
    <t>יְשַׂבֵּרוּן</t>
  </si>
  <si>
    <t>לָתֵת</t>
  </si>
  <si>
    <t>אָכְלָם</t>
  </si>
  <si>
    <t>תִּתֵּן</t>
  </si>
  <si>
    <t>לָהֶם</t>
  </si>
  <si>
    <t>יִלְקֹטוּן</t>
  </si>
  <si>
    <t>תִּפְתַּח</t>
  </si>
  <si>
    <t>יָדְךָ</t>
  </si>
  <si>
    <t>יִשְׂבְּעוּן</t>
  </si>
  <si>
    <t>תַּסְתִּיר</t>
  </si>
  <si>
    <t>פָּנֶיךָ</t>
  </si>
  <si>
    <t>יִבָּהֵלוּן</t>
  </si>
  <si>
    <t>תֹּסֵף</t>
  </si>
  <si>
    <t>רוּחָם</t>
  </si>
  <si>
    <t>יִגְוָעוּן</t>
  </si>
  <si>
    <t>עֲפָרָם</t>
  </si>
  <si>
    <t>שָׁמַע</t>
  </si>
  <si>
    <t>עֻזִּי</t>
  </si>
  <si>
    <t>וּמָגִנִּי</t>
  </si>
  <si>
    <t>בָטַח</t>
  </si>
  <si>
    <t>וְנֶעֱזָרְתִּי</t>
  </si>
  <si>
    <t>וַיַּעֲלֹז</t>
  </si>
  <si>
    <t>וּמִשִּׁירִי</t>
  </si>
  <si>
    <t>עֹז</t>
  </si>
  <si>
    <t>לָמוֹ</t>
  </si>
  <si>
    <t>וּמָעוֹז</t>
  </si>
  <si>
    <t>מְשִׁיחוֹ</t>
  </si>
  <si>
    <t>הוֹשִׁיעָה</t>
  </si>
  <si>
    <t>עַמֶּךָ</t>
  </si>
  <si>
    <t>וּבָרֵךְ</t>
  </si>
  <si>
    <t>נַחֲלָתֶךָ</t>
  </si>
  <si>
    <t>וּרְעֵם</t>
  </si>
  <si>
    <t>וְנַשְּׂאֵם</t>
  </si>
  <si>
    <t>בְּגֵיא</t>
  </si>
  <si>
    <t>צַלְמָוֶת</t>
  </si>
  <si>
    <t>אִירָא</t>
  </si>
  <si>
    <t>עִמָּדִי</t>
  </si>
  <si>
    <t>שִׁבְטְךָ</t>
  </si>
  <si>
    <t>וּמִשְׁעַנְתֶּךָ</t>
  </si>
  <si>
    <t>תַּעֲרֹךְ</t>
  </si>
  <si>
    <t>לְפָנַי</t>
  </si>
  <si>
    <t>שֻׁלְחָן</t>
  </si>
  <si>
    <t>נֶגֶד</t>
  </si>
  <si>
    <t>צֹרְרָי</t>
  </si>
  <si>
    <t>דִּשַּׁנְתָּ</t>
  </si>
  <si>
    <t>בַשֶּׁמֶן</t>
  </si>
  <si>
    <t>רֹאשִׁי</t>
  </si>
  <si>
    <t>כּוֹסִי</t>
  </si>
  <si>
    <t>אַךְ</t>
  </si>
  <si>
    <t>טוֹב</t>
  </si>
  <si>
    <t>וָחֶסֶד</t>
  </si>
  <si>
    <t>יִרְדְּפוּנִי</t>
  </si>
  <si>
    <t>יְמֵי</t>
  </si>
  <si>
    <t>חַיָּי</t>
  </si>
  <si>
    <t>וְשַׁבְתִּי</t>
  </si>
  <si>
    <t>בְּבֵית</t>
  </si>
  <si>
    <t>לְאֹרֶךְ</t>
  </si>
  <si>
    <t>שְׁלוֹמִי</t>
  </si>
  <si>
    <t>בָּטַחְתִּי</t>
  </si>
  <si>
    <t>אוֹכֵל</t>
  </si>
  <si>
    <t>לַחְמִי</t>
  </si>
  <si>
    <t>הִגְדִּיל</t>
  </si>
  <si>
    <t>עָלַי</t>
  </si>
  <si>
    <t>וַהֲקִימֵנִי</t>
  </si>
  <si>
    <t>וַאֲשַׁלְּמָה</t>
  </si>
  <si>
    <t>בְּזֹאת</t>
  </si>
  <si>
    <t>חָפַצְתָּ</t>
  </si>
  <si>
    <t>יָרִיעַ</t>
  </si>
  <si>
    <t>אֹיְבִי</t>
  </si>
  <si>
    <t>תָּמַכְתָּ</t>
  </si>
  <si>
    <t>וַתַּצִּיבֵנִי</t>
  </si>
  <si>
    <t>לְפָנֶיךָ</t>
  </si>
  <si>
    <t>מֵהָעוֹלָם</t>
  </si>
  <si>
    <t>הָעוֹלָם</t>
  </si>
  <si>
    <t>אָמֵן</t>
  </si>
  <si>
    <t>דִּבְרֵי</t>
  </si>
  <si>
    <t>פִיו</t>
  </si>
  <si>
    <t>אָוֶן</t>
  </si>
  <si>
    <t>וּמִרְמָה</t>
  </si>
  <si>
    <t>חָדַל</t>
  </si>
  <si>
    <t>לְהַשְׂכִּיל</t>
  </si>
  <si>
    <t>יַחְשֹׁב</t>
  </si>
  <si>
    <t>מִשְׁכָּבוֹ</t>
  </si>
  <si>
    <t>בְּהַשָּׁמַיִם</t>
  </si>
  <si>
    <t>חַסְדֶּךָ</t>
  </si>
  <si>
    <t>אֱמוּנָתְךָ</t>
  </si>
  <si>
    <t>כְּהַרְרֵי</t>
  </si>
  <si>
    <t>מִשְׁפָּטֶךָ</t>
  </si>
  <si>
    <t>רַבָּה</t>
  </si>
  <si>
    <t>וּבְהֵמָה</t>
  </si>
  <si>
    <t>תוֹשִׁיעַ</t>
  </si>
  <si>
    <t>יָּקָר</t>
  </si>
  <si>
    <t>וּבְנֵי</t>
  </si>
  <si>
    <t>בְּצֵל</t>
  </si>
  <si>
    <t>כְּנָפֶיךָ</t>
  </si>
  <si>
    <t>יִרְוְיֻן</t>
  </si>
  <si>
    <t>מִדֶּשֶׁן</t>
  </si>
  <si>
    <t>בֵּיתֶךָ</t>
  </si>
  <si>
    <t>וְנַחַל</t>
  </si>
  <si>
    <t>עֲדָנֶיךָ</t>
  </si>
  <si>
    <t>עִמְּךָ</t>
  </si>
  <si>
    <t>מְקוֹר</t>
  </si>
  <si>
    <t>חַיִּים</t>
  </si>
  <si>
    <t>בְּאוֹרְךָ</t>
  </si>
  <si>
    <t>נִרְאֶה</t>
  </si>
  <si>
    <t>מְשֹׁךְ</t>
  </si>
  <si>
    <t>לְיֹדְעֶיךָ</t>
  </si>
  <si>
    <t>לְיִשְׁרֵי</t>
  </si>
  <si>
    <t>תְּבוֹאֵנִי</t>
  </si>
  <si>
    <t>רֶגֶל</t>
  </si>
  <si>
    <t>גַּאֲוָה</t>
  </si>
  <si>
    <t>וְיַד</t>
  </si>
  <si>
    <t>נָפְלוּ</t>
  </si>
  <si>
    <t>דֹּחוּ</t>
  </si>
  <si>
    <t>יָכְלוּ</t>
  </si>
  <si>
    <t>הַאֲשִׁימֵם</t>
  </si>
  <si>
    <t>יִפְּלוּ</t>
  </si>
  <si>
    <t>מִמֹּעֲצוֹתֵיהֶם</t>
  </si>
  <si>
    <t>פִּשְׁעֵיהֶם</t>
  </si>
  <si>
    <t>הַדִּיחֵמוֹ</t>
  </si>
  <si>
    <t>מָרוּ</t>
  </si>
  <si>
    <t>וְיִשְׂמְחוּ</t>
  </si>
  <si>
    <t>כָל</t>
  </si>
  <si>
    <t>חוֹסֵי</t>
  </si>
  <si>
    <t>בָךְ</t>
  </si>
  <si>
    <t>יְרַנֵּנוּ</t>
  </si>
  <si>
    <t>וְתָסֵךְ</t>
  </si>
  <si>
    <t>עָלֵימוֹ</t>
  </si>
  <si>
    <t>וְיַעְלְצוּ</t>
  </si>
  <si>
    <t>בְךָ</t>
  </si>
  <si>
    <t>אֹהֲבֵי</t>
  </si>
  <si>
    <t>תְּבָרֵךְ</t>
  </si>
  <si>
    <t>כַּצִּנָּה</t>
  </si>
  <si>
    <t>רָצוֹן</t>
  </si>
  <si>
    <t>בַאֲמִתֶּךָ</t>
  </si>
  <si>
    <t>וְלַמְּדֵנִי</t>
  </si>
  <si>
    <t>יִשְׁעִי</t>
  </si>
  <si>
    <t>אוֹתְךָ</t>
  </si>
  <si>
    <t>קִוִּיתִי</t>
  </si>
  <si>
    <t>זְכֹר</t>
  </si>
  <si>
    <t>רַחֲמֶיךָ</t>
  </si>
  <si>
    <t>וַחֲסָדֶיךָ</t>
  </si>
  <si>
    <t>מֵעוֹלָם</t>
  </si>
  <si>
    <t>חַטֹּאות</t>
  </si>
  <si>
    <t>נְעוּרַי</t>
  </si>
  <si>
    <t>וּפְשָׁעַי</t>
  </si>
  <si>
    <t>תִּזְכֹּר</t>
  </si>
  <si>
    <t>כְּחַסְדְּךָ</t>
  </si>
  <si>
    <t>זְכָר</t>
  </si>
  <si>
    <t>טוּבְךָ</t>
  </si>
  <si>
    <t>וְיָשָׁר</t>
  </si>
  <si>
    <t>יוֹרֶה</t>
  </si>
  <si>
    <t>יַדְרֵךְ</t>
  </si>
  <si>
    <t>עֲנָוִים</t>
  </si>
  <si>
    <t>וִילַמֵּד</t>
  </si>
  <si>
    <t>אָרְחוֹת</t>
  </si>
  <si>
    <t>וֶאֱמֶת</t>
  </si>
  <si>
    <t>לְנֹצְרֵי</t>
  </si>
  <si>
    <t>בְרִיתוֹ</t>
  </si>
  <si>
    <t>שִׁמְךָ</t>
  </si>
  <si>
    <t>וְסָלַחְתָּ</t>
  </si>
  <si>
    <t>לַעֲוֹנִי</t>
  </si>
  <si>
    <t>רַב</t>
  </si>
  <si>
    <t>יְרֵא</t>
  </si>
  <si>
    <t>יוֹרֶנּוּ</t>
  </si>
  <si>
    <t>נַפְשׁוֹ</t>
  </si>
  <si>
    <t>בְּטוֹב</t>
  </si>
  <si>
    <t>תָּלִין</t>
  </si>
  <si>
    <t>וְזַרְעוֹ</t>
  </si>
  <si>
    <t>יִירַשׁ</t>
  </si>
  <si>
    <t>סוֹד</t>
  </si>
  <si>
    <t>לִירֵאָיו</t>
  </si>
  <si>
    <t>וּבְרִיתוֹ</t>
  </si>
  <si>
    <t>יוֹצִיא</t>
  </si>
  <si>
    <t>מֵרֶשֶׁת</t>
  </si>
  <si>
    <t>פְּנֵה</t>
  </si>
  <si>
    <t>וְחָנֵּנִי</t>
  </si>
  <si>
    <t>יָחִיד</t>
  </si>
  <si>
    <t>וְעָנִי</t>
  </si>
  <si>
    <t>לְבָבִי</t>
  </si>
  <si>
    <t>הִרְחִיבוּ</t>
  </si>
  <si>
    <t>מִמְּצוּקוֹתַי</t>
  </si>
  <si>
    <t>רְאֵה</t>
  </si>
  <si>
    <t>עָנְיִי</t>
  </si>
  <si>
    <t>וַעֲמָלִי</t>
  </si>
  <si>
    <t>וְשָׂא</t>
  </si>
  <si>
    <t>רָבּוּ</t>
  </si>
  <si>
    <t>וְשִׂנְאַת</t>
  </si>
  <si>
    <t>חָמָס</t>
  </si>
  <si>
    <t>שָׁמְרָה</t>
  </si>
  <si>
    <t>וְהַצִּילֵנִי</t>
  </si>
  <si>
    <t>תֹּם</t>
  </si>
  <si>
    <t>וָיֹשֶׁר</t>
  </si>
  <si>
    <t>יִצְּרוּנִי</t>
  </si>
  <si>
    <t>פְּדֵה</t>
  </si>
  <si>
    <t>מִכֹּל</t>
  </si>
  <si>
    <t>הַחֲזֵק</t>
  </si>
  <si>
    <t>מָגֵן</t>
  </si>
  <si>
    <t>וְצִנָּה</t>
  </si>
  <si>
    <t>וְקוּמָה</t>
  </si>
  <si>
    <t>וְהָרֵק</t>
  </si>
  <si>
    <t>חֲנִית</t>
  </si>
  <si>
    <t>וּסְגֹר</t>
  </si>
  <si>
    <t>לִקְרַאת</t>
  </si>
  <si>
    <t>רֹדְפָי</t>
  </si>
  <si>
    <t>אֱמֹר</t>
  </si>
  <si>
    <t>לְנַפְשִׁי</t>
  </si>
  <si>
    <t>יְשֻׁעָתֵךְ</t>
  </si>
  <si>
    <t>וְיִכָּלְמוּ</t>
  </si>
  <si>
    <t>יִסֹּגוּ</t>
  </si>
  <si>
    <t>אָחוֹר</t>
  </si>
  <si>
    <t>וְיַחְפְּרוּ</t>
  </si>
  <si>
    <t>חֹשְׁבֵי</t>
  </si>
  <si>
    <t>יִהְיוּ</t>
  </si>
  <si>
    <t>כְּמֹץ</t>
  </si>
  <si>
    <t>רוּחַ</t>
  </si>
  <si>
    <t>וּמַלְאַךְ</t>
  </si>
  <si>
    <t>יְהִי</t>
  </si>
  <si>
    <t>דַרְכָּם</t>
  </si>
  <si>
    <t>וַחֲלַקְלַקּוֹת</t>
  </si>
  <si>
    <t>חִנָּם</t>
  </si>
  <si>
    <t>טָמְנוּ</t>
  </si>
  <si>
    <t>שַׁחַת</t>
  </si>
  <si>
    <t>רִשְׁתָּם</t>
  </si>
  <si>
    <t>תְּבוֹאֵהוּ</t>
  </si>
  <si>
    <t>שׁוֹאָה</t>
  </si>
  <si>
    <t>יֵדָע</t>
  </si>
  <si>
    <t>וְרִשְׁתּוֹ</t>
  </si>
  <si>
    <t>טָמַן</t>
  </si>
  <si>
    <t>תִּלְכְּדוֹ</t>
  </si>
  <si>
    <t>בְּשׁוֹאָה</t>
  </si>
  <si>
    <t>יִפָּל</t>
  </si>
  <si>
    <t>תָּגִיל</t>
  </si>
  <si>
    <t>תָּשִׂישׂ</t>
  </si>
  <si>
    <t>עַצְמוֹתַי</t>
  </si>
  <si>
    <t>תֹּאמַרְנָה</t>
  </si>
  <si>
    <t>כָמוֹךָ</t>
  </si>
  <si>
    <t>מַצִּיל</t>
  </si>
  <si>
    <t>עָנִי</t>
  </si>
  <si>
    <t>מֵחָזָק</t>
  </si>
  <si>
    <t>וְאֶבְיוֹן</t>
  </si>
  <si>
    <t>יְקוּמוּן</t>
  </si>
  <si>
    <t>עֵדֵי</t>
  </si>
  <si>
    <t>יְשַׁלְּמוּנִי</t>
  </si>
  <si>
    <t>רָעָה</t>
  </si>
  <si>
    <t>תַּחַת</t>
  </si>
  <si>
    <t>טוֹבָה</t>
  </si>
  <si>
    <t>שְׁכוֹל</t>
  </si>
  <si>
    <t>בַּחֲלוֹתָם</t>
  </si>
  <si>
    <t>לְבוּשִׁי</t>
  </si>
  <si>
    <t>שָׂק</t>
  </si>
  <si>
    <t>עִנֵּיתִי</t>
  </si>
  <si>
    <t>בַצּוֹם</t>
  </si>
  <si>
    <t>וּתְפִלָּתִי</t>
  </si>
  <si>
    <t>חֵיקִי</t>
  </si>
  <si>
    <t>כְּרֵעַ</t>
  </si>
  <si>
    <t>כְּאָח</t>
  </si>
  <si>
    <t>הִתְהַלָּכְתִּי</t>
  </si>
  <si>
    <t>כַּאֲבֶל</t>
  </si>
  <si>
    <t>אֵם</t>
  </si>
  <si>
    <t>קֹדֵר</t>
  </si>
  <si>
    <t>הַלְלוּ</t>
  </si>
  <si>
    <t>שַׁבְּחוּהוּ</t>
  </si>
  <si>
    <t>גָבַר</t>
  </si>
  <si>
    <t>עָלֵינוּ</t>
  </si>
  <si>
    <t>חַסְדּוֹ</t>
  </si>
  <si>
    <t>הַלְלוּיָהּ</t>
  </si>
  <si>
    <t>הוֹדוּ</t>
  </si>
  <si>
    <t>יְמַלֵּל</t>
  </si>
  <si>
    <t>גְּבוּרוֹת</t>
  </si>
  <si>
    <t>יַשְׁמִיעַ</t>
  </si>
  <si>
    <t>שֹׁמְרֵי</t>
  </si>
  <si>
    <t>עֹשֵׂה</t>
  </si>
  <si>
    <t>זָכְרֵנִי</t>
  </si>
  <si>
    <t>בִּרְצוֹן</t>
  </si>
  <si>
    <t>פָּקְדֵנִי</t>
  </si>
  <si>
    <t>לִרְאוֹת</t>
  </si>
  <si>
    <t>בְּטוֹבַת</t>
  </si>
  <si>
    <t>בְּחִירֶיךָ</t>
  </si>
  <si>
    <t>לִשְׂמֹחַ</t>
  </si>
  <si>
    <t>בְּשִׂמְחַת</t>
  </si>
  <si>
    <t>גּוֹיֶךָ</t>
  </si>
  <si>
    <t>לְהִתְהַלֵּל</t>
  </si>
  <si>
    <t>חָטָאנוּ</t>
  </si>
  <si>
    <t>אֲבוֹתֵינוּ</t>
  </si>
  <si>
    <t>הֶעֱוִינוּ</t>
  </si>
  <si>
    <t>בְמִצְרַיִם</t>
  </si>
  <si>
    <t>הִשְׂכִּילוּ</t>
  </si>
  <si>
    <t>נִפְלְאוֹתֶיךָ</t>
  </si>
  <si>
    <t>זָכְרוּ</t>
  </si>
  <si>
    <t>רֹב</t>
  </si>
  <si>
    <t>חֲסָדֶיךָ</t>
  </si>
  <si>
    <t>וַיַּמְרוּ</t>
  </si>
  <si>
    <t>יָם</t>
  </si>
  <si>
    <t>בְּיַם</t>
  </si>
  <si>
    <t>וַיּוֹשִׁיעֵם</t>
  </si>
  <si>
    <t>שְׁמוֹ</t>
  </si>
  <si>
    <t>לְהוֹדִיעַ</t>
  </si>
  <si>
    <t>וַיִּגְעַר</t>
  </si>
  <si>
    <t>סוּף</t>
  </si>
  <si>
    <t>וַיֶּחֱרָב</t>
  </si>
  <si>
    <t>וַיּוֹלִיכֵם</t>
  </si>
  <si>
    <t>בַּתְּהֹמוֹת</t>
  </si>
  <si>
    <t>שׂוֹנֵא</t>
  </si>
  <si>
    <t>וַיִּגְאָלֵם</t>
  </si>
  <si>
    <t>וַיְכַסּוּ</t>
  </si>
  <si>
    <t>מַיִם</t>
  </si>
  <si>
    <t>צָרֵיהֶם</t>
  </si>
  <si>
    <t>אֶחָד</t>
  </si>
  <si>
    <t>מֵהֶם</t>
  </si>
  <si>
    <t>וַיַּאֲמִינוּ</t>
  </si>
  <si>
    <t>בִדְבָרָיו</t>
  </si>
  <si>
    <t>יָשִׁירוּ</t>
  </si>
  <si>
    <t>מִהֲרוּ</t>
  </si>
  <si>
    <t>שָׁכְחוּ</t>
  </si>
  <si>
    <t>מַעֲשָׂיו</t>
  </si>
  <si>
    <t>חִכּוּ</t>
  </si>
  <si>
    <t>וַיִּתְאַוּוּ</t>
  </si>
  <si>
    <t>תַאֲוָה</t>
  </si>
  <si>
    <t>בַּמִּדְבָּר</t>
  </si>
  <si>
    <t>וַיְנַסּוּ</t>
  </si>
  <si>
    <t>וַיִּתֵּן</t>
  </si>
  <si>
    <t>שֶׁאֱלָתָם</t>
  </si>
  <si>
    <t>וַיְשַׁלַּח</t>
  </si>
  <si>
    <t>רָזוֹן</t>
  </si>
  <si>
    <t>וַיְקַנְאוּ</t>
  </si>
  <si>
    <t>לְמֹשֶׁה</t>
  </si>
  <si>
    <t>בַּמַּחֲנֶה</t>
  </si>
  <si>
    <t>לְאַהֲרֹן</t>
  </si>
  <si>
    <t>וַתִּבְלַע</t>
  </si>
  <si>
    <t>דָּתָן</t>
  </si>
  <si>
    <t>וַתְּכַס</t>
  </si>
  <si>
    <t>עֲדַת</t>
  </si>
  <si>
    <t>וַתִּבְעַר</t>
  </si>
  <si>
    <t>בַּעֲדָתָם</t>
  </si>
  <si>
    <t>לֶהָבָה</t>
  </si>
  <si>
    <t>תְּלַהֵט</t>
  </si>
  <si>
    <t>יַעֲשׂוּ</t>
  </si>
  <si>
    <t>עֵגֶל</t>
  </si>
  <si>
    <t>בְּחֹרֵב</t>
  </si>
  <si>
    <t>וַיִּשְׁתַּחֲווּ</t>
  </si>
  <si>
    <t>וַיָּמִירוּ</t>
  </si>
  <si>
    <t>כְּבוֹדָם</t>
  </si>
  <si>
    <t>בְּתַבְנִית</t>
  </si>
  <si>
    <t>שׁוֹר</t>
  </si>
  <si>
    <t>אֹכֵל</t>
  </si>
  <si>
    <t>מוֹשִׁיעָם</t>
  </si>
  <si>
    <t>בְּאֶרֶץ</t>
  </si>
  <si>
    <t>חָם</t>
  </si>
  <si>
    <t>נוֹרָאוֹת</t>
  </si>
  <si>
    <t>יַם</t>
  </si>
  <si>
    <t>וַיֹּאמֶר</t>
  </si>
  <si>
    <t>לְהַשְׁמִידָם</t>
  </si>
  <si>
    <t>מֹשֶׁה</t>
  </si>
  <si>
    <t>בְחִירוֹ</t>
  </si>
  <si>
    <t>עָמַד</t>
  </si>
  <si>
    <t>בַּפֶּרֶץ</t>
  </si>
  <si>
    <t>לְפָנָיו</t>
  </si>
  <si>
    <t>לְהָשִׁיב</t>
  </si>
  <si>
    <t>חֲמָתוֹ</t>
  </si>
  <si>
    <t>וַיִּמְאֲסוּ</t>
  </si>
  <si>
    <t>חֶמְדָּה</t>
  </si>
  <si>
    <t>הֶאֱמִינוּ</t>
  </si>
  <si>
    <t>וַיֵּרָגְנוּ</t>
  </si>
  <si>
    <t>בְאָהֳלֵיהֶם</t>
  </si>
  <si>
    <t>שָׁמְעוּ</t>
  </si>
  <si>
    <t>בְּקוֹל</t>
  </si>
  <si>
    <t>וַיִּשָּׂא</t>
  </si>
  <si>
    <t>יָדוֹ</t>
  </si>
  <si>
    <t>לְהַפִּיל</t>
  </si>
  <si>
    <t>אוֹתָם</t>
  </si>
  <si>
    <t>וּלְהַפִּיל</t>
  </si>
  <si>
    <t>זַרְעָם</t>
  </si>
  <si>
    <t>בַּגּוֹיִם</t>
  </si>
  <si>
    <t>וּלְזָרוֹתָם</t>
  </si>
  <si>
    <t>וַיִּצָּמְדוּ</t>
  </si>
  <si>
    <t>לְבַעַל</t>
  </si>
  <si>
    <t>פְּעוֹר</t>
  </si>
  <si>
    <t>וַיֹּאכְלוּ</t>
  </si>
  <si>
    <t>זִבְחֵי</t>
  </si>
  <si>
    <t>וַיַּכְעִיסוּ</t>
  </si>
  <si>
    <t>בְּמַעַלְלֵיהֶם</t>
  </si>
  <si>
    <t>וַתִּפְרָץ</t>
  </si>
  <si>
    <t>בָּם</t>
  </si>
  <si>
    <t>וַיַּעֲמֹד</t>
  </si>
  <si>
    <t>פִּינְחָס</t>
  </si>
  <si>
    <t>וַיְפַלֵּל</t>
  </si>
  <si>
    <t>וַתֵּעָצַר</t>
  </si>
  <si>
    <t>וַתֵּחָשֶׁב</t>
  </si>
  <si>
    <t>לִצְדָקָה</t>
  </si>
  <si>
    <t>וָדֹר</t>
  </si>
  <si>
    <t>וַיַּקְצִיפוּ</t>
  </si>
  <si>
    <t>מְרִיבָה</t>
  </si>
  <si>
    <t>וַיֵּרַע</t>
  </si>
  <si>
    <t>הִמְרוּ</t>
  </si>
  <si>
    <t>רוּחוֹ</t>
  </si>
  <si>
    <t>וַיְבַטֵּא</t>
  </si>
  <si>
    <t>הִשְׁמִידוּ</t>
  </si>
  <si>
    <t>אוֹדֶה</t>
  </si>
  <si>
    <t>בְּסוֹד</t>
  </si>
  <si>
    <t>יְשָׁרִים</t>
  </si>
  <si>
    <t>גְּדֹלִים</t>
  </si>
  <si>
    <t>מַעֲשֵׂי</t>
  </si>
  <si>
    <t>דְּרוּשִׁים</t>
  </si>
  <si>
    <t>פָּעֳלוֹ</t>
  </si>
  <si>
    <t>וְצִדְקָתוֹ</t>
  </si>
  <si>
    <t>עֹמֶדֶת</t>
  </si>
  <si>
    <t>זֵכֶר</t>
  </si>
  <si>
    <t>לְנִפְלְאֹתָיו</t>
  </si>
  <si>
    <t>וְרַחוּם</t>
  </si>
  <si>
    <t>טֶרֶף</t>
  </si>
  <si>
    <t>נָתַן</t>
  </si>
  <si>
    <t>יִזְכֹּר</t>
  </si>
  <si>
    <t>כֹּחַ</t>
  </si>
  <si>
    <t>הִגִּיד</t>
  </si>
  <si>
    <t>לְעַמּוֹ</t>
  </si>
  <si>
    <t>נַחֲלַת</t>
  </si>
  <si>
    <t>יָדָיו</t>
  </si>
  <si>
    <t>אֱמֶת</t>
  </si>
  <si>
    <t>נֶאֱמָנִים</t>
  </si>
  <si>
    <t>סְמוּכִים</t>
  </si>
  <si>
    <t>לָעַד</t>
  </si>
  <si>
    <t>עֲשׂוּיִם</t>
  </si>
  <si>
    <t>בֶּאֱמֶת</t>
  </si>
  <si>
    <t>פְּדוּת</t>
  </si>
  <si>
    <t>שָׁלַח</t>
  </si>
  <si>
    <t>בְּרִיתוֹ</t>
  </si>
  <si>
    <t>וְנוֹרָא</t>
  </si>
  <si>
    <t>רֵאשִׁית</t>
  </si>
  <si>
    <t>חָכְמָה</t>
  </si>
  <si>
    <t>יִרְאַת</t>
  </si>
  <si>
    <t>שֵׂכֶל</t>
  </si>
  <si>
    <t>עֹשֵׂיהֶם</t>
  </si>
  <si>
    <t>תְּהִלָּתוֹ</t>
  </si>
  <si>
    <t>יָרֵא</t>
  </si>
  <si>
    <t>בְּמִצְוֹתָיו</t>
  </si>
  <si>
    <t>בָּאָרֶץ</t>
  </si>
  <si>
    <t>יִהְיֶה</t>
  </si>
  <si>
    <t>זַרְעוֹ</t>
  </si>
  <si>
    <t>דּוֹר</t>
  </si>
  <si>
    <t>הוֹן</t>
  </si>
  <si>
    <t>וָעֹשֶׁר</t>
  </si>
  <si>
    <t>בְּבֵיתוֹ</t>
  </si>
  <si>
    <t>זָרַח</t>
  </si>
  <si>
    <t>בַּחֹשֶׁךְ</t>
  </si>
  <si>
    <t>לַיְשָׁרִים</t>
  </si>
  <si>
    <t>חוֹנֵן</t>
  </si>
  <si>
    <t>וּמַלְוֶה</t>
  </si>
  <si>
    <t>יְכַלְכֵּל</t>
  </si>
  <si>
    <t>דְּבָרָיו</t>
  </si>
  <si>
    <t>יִמּוֹט</t>
  </si>
  <si>
    <t>לְזֵכֶר</t>
  </si>
  <si>
    <t>מִשְּׁמוּעָה</t>
  </si>
  <si>
    <t>יִירָא</t>
  </si>
  <si>
    <t>נָכוֹן</t>
  </si>
  <si>
    <t>בָּטֻחַ</t>
  </si>
  <si>
    <t>סָמוּךְ</t>
  </si>
  <si>
    <t>פִּזַּר</t>
  </si>
  <si>
    <t>לָאֶבְיוֹנִים</t>
  </si>
  <si>
    <t>צִדְקָתוֹ</t>
  </si>
  <si>
    <t>קַרְנוֹ</t>
  </si>
  <si>
    <t>תָּרוּם</t>
  </si>
  <si>
    <t>וְכָעָס</t>
  </si>
  <si>
    <t>שִׁנָּיו</t>
  </si>
  <si>
    <t>יַחֲרֹק</t>
  </si>
  <si>
    <t>וְנָמָס</t>
  </si>
  <si>
    <t>תַּאֲוַת</t>
  </si>
  <si>
    <t>עַבְדֵי</t>
  </si>
  <si>
    <t>שֵׁם</t>
  </si>
  <si>
    <t>מְבֹרָךְ</t>
  </si>
  <si>
    <t>מֵעַתָּה</t>
  </si>
  <si>
    <t>מִמִּזְרַח</t>
  </si>
  <si>
    <t>מְבוֹאוֹ</t>
  </si>
  <si>
    <t>מְהֻלָּל</t>
  </si>
  <si>
    <t>רָם</t>
  </si>
  <si>
    <t>הַמַּגְבִּיהִי</t>
  </si>
  <si>
    <t>הַמַּשְׁפִּילִי</t>
  </si>
  <si>
    <t>בַּשָּׁמַיִם</t>
  </si>
  <si>
    <t>מְקִימִי</t>
  </si>
  <si>
    <t>מֵעָפָר</t>
  </si>
  <si>
    <t>דָּל</t>
  </si>
  <si>
    <t>מֵאַשְׁפֹּת</t>
  </si>
  <si>
    <t>יָרִים</t>
  </si>
  <si>
    <t>לְהוֹשִׁיבִי</t>
  </si>
  <si>
    <t>נְדִיבִים</t>
  </si>
  <si>
    <t>נְדִיבֵי</t>
  </si>
  <si>
    <t>מוֹשִׁיבִי</t>
  </si>
  <si>
    <t>עֲקֶרֶת</t>
  </si>
  <si>
    <t>הַבַּיִת</t>
  </si>
  <si>
    <t>הַבָּנִים</t>
  </si>
  <si>
    <t>שְׂמֵחָה</t>
  </si>
  <si>
    <t>שֶׁעֹמְדִים</t>
  </si>
  <si>
    <t>זַמְּרוּ</t>
  </si>
  <si>
    <t>לִשְׁמוֹ</t>
  </si>
  <si>
    <t>יָהּ</t>
  </si>
  <si>
    <t>גָדוֹל</t>
  </si>
  <si>
    <t>וַאֲדֹנֵינוּ</t>
  </si>
  <si>
    <t>מִכָּל</t>
  </si>
  <si>
    <t>וּבָאָרֶץ</t>
  </si>
  <si>
    <t>בַּיַּמִּים</t>
  </si>
  <si>
    <t>וְכָל</t>
  </si>
  <si>
    <t>מַעֲלֶה</t>
  </si>
  <si>
    <t>נְשִׂאִים</t>
  </si>
  <si>
    <t>מִקְצֵה</t>
  </si>
  <si>
    <t>בְּרָקִים</t>
  </si>
  <si>
    <t>לַמָּטָר</t>
  </si>
  <si>
    <t>מוֹצֵא</t>
  </si>
  <si>
    <t>שֶׁהִכָּה</t>
  </si>
  <si>
    <t>בְּכוֹרֵי</t>
  </si>
  <si>
    <t>מִצְרָיִם</t>
  </si>
  <si>
    <t>מֵאָדָם</t>
  </si>
  <si>
    <t>אֹתוֹת</t>
  </si>
  <si>
    <t>וּמֹפְתִים</t>
  </si>
  <si>
    <t>בְּפַרְעֹה</t>
  </si>
  <si>
    <t>וּבְכָל</t>
  </si>
  <si>
    <t>רַבִּים</t>
  </si>
  <si>
    <t>וְהָרַג</t>
  </si>
  <si>
    <t>מְלָכִים</t>
  </si>
  <si>
    <t>לְסִיחוֹן</t>
  </si>
  <si>
    <t>מֶלֶךְ</t>
  </si>
  <si>
    <t>הָאֱמֹרִי</t>
  </si>
  <si>
    <t>וּלְעוֹג</t>
  </si>
  <si>
    <t>הַבָּשָׁן</t>
  </si>
  <si>
    <t>וּלְכֹל</t>
  </si>
  <si>
    <t>מַמְלְכוֹת</t>
  </si>
  <si>
    <t>וְנָתַן</t>
  </si>
  <si>
    <t>אַרְצָם</t>
  </si>
  <si>
    <t>נַחֲלָה</t>
  </si>
  <si>
    <t>לְיִשְׂרָאֵל</t>
  </si>
  <si>
    <t>זִכְרְךָ</t>
  </si>
  <si>
    <t>יָדִין</t>
  </si>
  <si>
    <t>וְעַל</t>
  </si>
  <si>
    <t>עֲבָדָיו</t>
  </si>
  <si>
    <t>עֲצַבֵּי</t>
  </si>
  <si>
    <t>הַגּוֹיִם</t>
  </si>
  <si>
    <t>כֶּסֶף</t>
  </si>
  <si>
    <t>וְזָהָב</t>
  </si>
  <si>
    <t>מַעֲשֵׂה</t>
  </si>
  <si>
    <t>יְדֵי</t>
  </si>
  <si>
    <t>פֶּה</t>
  </si>
  <si>
    <t>יְדַבֵּרוּ</t>
  </si>
  <si>
    <t>עֵינַיִם</t>
  </si>
  <si>
    <t>אָזְנַיִם</t>
  </si>
  <si>
    <t>יַאֲזִינוּ</t>
  </si>
  <si>
    <t>יֶשׁ</t>
  </si>
  <si>
    <t>כְּמוֹהֶם</t>
  </si>
  <si>
    <t>בֹּטֵחַ</t>
  </si>
  <si>
    <t>בָּרְכוּ</t>
  </si>
  <si>
    <t>אַהֲרֹן</t>
  </si>
  <si>
    <t>הַלֵּוִי</t>
  </si>
  <si>
    <t>יִרְאֵי</t>
  </si>
  <si>
    <t>מִצִּיּוֹן</t>
  </si>
  <si>
    <t>שֹׁכֵן</t>
  </si>
  <si>
    <t>הַלְלִי</t>
  </si>
  <si>
    <t>אֲהַלְלָה</t>
  </si>
  <si>
    <t>בְּחַיָּי</t>
  </si>
  <si>
    <t>תִּבְטְחוּ</t>
  </si>
  <si>
    <t>בִנְדִיבִים</t>
  </si>
  <si>
    <t>בְּבֶן</t>
  </si>
  <si>
    <t>שֶׁאֵין</t>
  </si>
  <si>
    <t>תֵּצֵא</t>
  </si>
  <si>
    <t>יָשֻׁב</t>
  </si>
  <si>
    <t>לְאַדְמָתוֹ</t>
  </si>
  <si>
    <t>בַּיּוֹם</t>
  </si>
  <si>
    <t>הַהוּא</t>
  </si>
  <si>
    <t>אָבְדוּ</t>
  </si>
  <si>
    <t>שֶׁאֵל</t>
  </si>
  <si>
    <t>בְּעֶזְרוֹ</t>
  </si>
  <si>
    <t>שִׂבְרוֹ</t>
  </si>
  <si>
    <t>וָאָרֶץ</t>
  </si>
  <si>
    <t>וְאֶת</t>
  </si>
  <si>
    <t>הַשֹּׁמֵר</t>
  </si>
  <si>
    <t>לָעֲשׁוּקִים</t>
  </si>
  <si>
    <t>לָרְעֵבִים</t>
  </si>
  <si>
    <t>מַתִּיר</t>
  </si>
  <si>
    <t>פֹּקֵחַ</t>
  </si>
  <si>
    <t>עִוְרִים</t>
  </si>
  <si>
    <t>זֹקֵף</t>
  </si>
  <si>
    <t>כְּפוּפִים</t>
  </si>
  <si>
    <t>גֵּרִים</t>
  </si>
  <si>
    <t>יָתוֹם</t>
  </si>
  <si>
    <t>וְאַלְמָנָה</t>
  </si>
  <si>
    <t>יְעוֹדֵד</t>
  </si>
  <si>
    <t>יִמְלֹךְ</t>
  </si>
  <si>
    <t>צִיּוֹן</t>
  </si>
  <si>
    <t>זַמְּרָה</t>
  </si>
  <si>
    <t>נָעִים</t>
  </si>
  <si>
    <t>נָאוָה</t>
  </si>
  <si>
    <t>בּוֹנֵה</t>
  </si>
  <si>
    <t>יְרוּשָׁלִַם</t>
  </si>
  <si>
    <t>נִדְחֵי</t>
  </si>
  <si>
    <t>הָרֹפֵא</t>
  </si>
  <si>
    <t>לִשְׁבוּרֵי</t>
  </si>
  <si>
    <t>וּמְחַבֵּשׁ</t>
  </si>
  <si>
    <t>מוֹנֶה</t>
  </si>
  <si>
    <t>לַכּוֹכָבִים</t>
  </si>
  <si>
    <t>לְכֻלָּם</t>
  </si>
  <si>
    <t>שֵׁמוֹת</t>
  </si>
  <si>
    <t>אֲדוֹנֵינוּ</t>
  </si>
  <si>
    <t>וְרַב</t>
  </si>
  <si>
    <t>לִתְבוּנָתוֹ</t>
  </si>
  <si>
    <t>מְעוֹדֵד</t>
  </si>
  <si>
    <t>מַשְׁפִּיל</t>
  </si>
  <si>
    <t>עֱנוּ</t>
  </si>
  <si>
    <t>בְּתוֹדָה</t>
  </si>
  <si>
    <t>לֵאלֹהֵינוּ</t>
  </si>
  <si>
    <t>הַמְכַסֶּה</t>
  </si>
  <si>
    <t>בְּעָבִים</t>
  </si>
  <si>
    <t>הַמֵּכִין</t>
  </si>
  <si>
    <t>לָאָרֶץ</t>
  </si>
  <si>
    <t>מָטָר</t>
  </si>
  <si>
    <t>הַמַּצְמִיחַ</t>
  </si>
  <si>
    <t>נוֹתֵן</t>
  </si>
  <si>
    <t>לִבְהֵמָה</t>
  </si>
  <si>
    <t>לַחְמָהּ</t>
  </si>
  <si>
    <t>לִבְנֵי</t>
  </si>
  <si>
    <t>עֹרֵב</t>
  </si>
  <si>
    <t>בִגְבוּרַת</t>
  </si>
  <si>
    <t>הַסּוּס</t>
  </si>
  <si>
    <t>יֶחְפָּץ</t>
  </si>
  <si>
    <t>בְשׁוֹקֵי</t>
  </si>
  <si>
    <t>רוֹצֶה</t>
  </si>
  <si>
    <t>יְרֵאָיו</t>
  </si>
  <si>
    <t>הַמְיַחֲלִים</t>
  </si>
  <si>
    <t>שַׁבְּחִי</t>
  </si>
  <si>
    <t>חִזַּק</t>
  </si>
  <si>
    <t>בְּרִיחֵי</t>
  </si>
  <si>
    <t>שְׁעָרָיִךְ</t>
  </si>
  <si>
    <t>בֵּרַךְ</t>
  </si>
  <si>
    <t>בָּנַיִךְ</t>
  </si>
  <si>
    <t>גְּבוּלֵךְ</t>
  </si>
  <si>
    <t>שָׁלוֹם</t>
  </si>
  <si>
    <t>חֵלֶב</t>
  </si>
  <si>
    <t>חִטִּים</t>
  </si>
  <si>
    <t>הַשֹּׁלֵחַ</t>
  </si>
  <si>
    <t>אִמְרָתוֹ</t>
  </si>
  <si>
    <t>מְהֵרָה</t>
  </si>
  <si>
    <t>יָרוּץ</t>
  </si>
  <si>
    <t>הַנֹּתֵן</t>
  </si>
  <si>
    <t>שֶׁלֶג</t>
  </si>
  <si>
    <t>כַּצָּמֶר</t>
  </si>
  <si>
    <t>כְּפוֹר</t>
  </si>
  <si>
    <t>כָּאֵפֶר</t>
  </si>
  <si>
    <t>מַשְׁלִיךְ</t>
  </si>
  <si>
    <t>קַרְחוֹ</t>
  </si>
  <si>
    <t>כְפִתִּים</t>
  </si>
  <si>
    <t>קָרָתוֹ</t>
  </si>
  <si>
    <t>יִשְׁלַח</t>
  </si>
  <si>
    <t>דְּבָרוֹ</t>
  </si>
  <si>
    <t>וְיַמְסֵם</t>
  </si>
  <si>
    <t>יַשֵּׁב</t>
  </si>
  <si>
    <t>יִזְּלוּ</t>
  </si>
  <si>
    <t>מַגִּיד</t>
  </si>
  <si>
    <t>לְיַעֲקֹב</t>
  </si>
  <si>
    <t>חֻקָּיו</t>
  </si>
  <si>
    <t>וּמִשְׁפָּטָיו</t>
  </si>
  <si>
    <t>גּוֹי</t>
  </si>
  <si>
    <t>וּמִשְׁפָּטִים</t>
  </si>
  <si>
    <t>יְדָעוּם</t>
  </si>
  <si>
    <t>הַלְלוּהוּ</t>
  </si>
  <si>
    <t>וְיָרֵחַ</t>
  </si>
  <si>
    <t>כּוֹכְבֵי</t>
  </si>
  <si>
    <t>שְׁמֵי</t>
  </si>
  <si>
    <t>הַשָּׁמָיִם</t>
  </si>
  <si>
    <t>וְהַמַּיִם</t>
  </si>
  <si>
    <t>מֵעַל</t>
  </si>
  <si>
    <t>יְהַלְלוּ</t>
  </si>
  <si>
    <t>וַיַּעֲמִידֵם</t>
  </si>
  <si>
    <t>חָק</t>
  </si>
  <si>
    <t>תַּנִּינִים</t>
  </si>
  <si>
    <t>וּבָרָד</t>
  </si>
  <si>
    <t>וְקִיטוֹר</t>
  </si>
  <si>
    <t>סְעָרָה</t>
  </si>
  <si>
    <t>עֹשָׂה</t>
  </si>
  <si>
    <t>עֵץ</t>
  </si>
  <si>
    <t>פְּרִי</t>
  </si>
  <si>
    <t>הַחַיָּה</t>
  </si>
  <si>
    <t>בְּהֵמָה</t>
  </si>
  <si>
    <t>וְצִפּוֹר</t>
  </si>
  <si>
    <t>מַלְכֵי</t>
  </si>
  <si>
    <t>לְאֻמִּים</t>
  </si>
  <si>
    <t>שֹׁפְטֵי</t>
  </si>
  <si>
    <t>בַּחוּרִים</t>
  </si>
  <si>
    <t>בְּתוּלוֹת</t>
  </si>
  <si>
    <t>זְקֵנִים</t>
  </si>
  <si>
    <t>נִשְׂגָּב</t>
  </si>
  <si>
    <t>לְבַדּוֹ</t>
  </si>
  <si>
    <t>הוֹדוֹ</t>
  </si>
  <si>
    <t>וַיָּרֶם</t>
  </si>
  <si>
    <t>קֶרֶן</t>
  </si>
  <si>
    <t>תְּהִלָּה</t>
  </si>
  <si>
    <t>חֲסִידָיו</t>
  </si>
  <si>
    <t>עַם</t>
  </si>
  <si>
    <t>קְרֹבוֹ</t>
  </si>
  <si>
    <t>שִׁירוּ</t>
  </si>
  <si>
    <t>שִׁיר</t>
  </si>
  <si>
    <t>חָדָשׁ</t>
  </si>
  <si>
    <t>בִּקְהַל</t>
  </si>
  <si>
    <t>יִשְׂמַח</t>
  </si>
  <si>
    <t>בְּעֹשָׂיו</t>
  </si>
  <si>
    <t>יָגִילוּ</t>
  </si>
  <si>
    <t>בְמָחוֹל</t>
  </si>
  <si>
    <t>בְּתֹף</t>
  </si>
  <si>
    <t>וְכִנּוֹר</t>
  </si>
  <si>
    <t>יְזַמְּרוּ</t>
  </si>
  <si>
    <t>בְּעַמּוֹ</t>
  </si>
  <si>
    <t>יְפָאֵר</t>
  </si>
  <si>
    <t>יַעְלְזוּ</t>
  </si>
  <si>
    <t>חֲסִידִים</t>
  </si>
  <si>
    <t>בְּכָבוֹד</t>
  </si>
  <si>
    <t>יְרַנְּנוּ</t>
  </si>
  <si>
    <t>רוֹמְמוֹת</t>
  </si>
  <si>
    <t>בִּגְרוֹנָם</t>
  </si>
  <si>
    <t>וְחֶרֶב</t>
  </si>
  <si>
    <t>פִּיפִיּוֹת</t>
  </si>
  <si>
    <t>לַעֲשׂוֹת</t>
  </si>
  <si>
    <t>נְקָמָה</t>
  </si>
  <si>
    <t>תּוֹכֵחֹת</t>
  </si>
  <si>
    <t>לֶאְסֹר</t>
  </si>
  <si>
    <t>מַלְכֵיהֶם</t>
  </si>
  <si>
    <t>בְּזִקִּים</t>
  </si>
  <si>
    <t>וְנִכְבְּדֵיהֶם</t>
  </si>
  <si>
    <t>בְּכַבְלֵי</t>
  </si>
  <si>
    <t>בָּהֶם</t>
  </si>
  <si>
    <t>כָּתוּב</t>
  </si>
  <si>
    <t>הָדָר</t>
  </si>
  <si>
    <t>בְּקָדְשׁוֹ</t>
  </si>
  <si>
    <t>בִּרְקִיעַ</t>
  </si>
  <si>
    <t>בִגְבוּרֹתָיו</t>
  </si>
  <si>
    <t>כְּרֹב</t>
  </si>
  <si>
    <t>בְּתֵקַע</t>
  </si>
  <si>
    <t>שׁוֹפָר</t>
  </si>
  <si>
    <t>בְּנֵבֶל</t>
  </si>
  <si>
    <t>בְתֹף</t>
  </si>
  <si>
    <t>וּמָחוֹל</t>
  </si>
  <si>
    <t>בְּמִנִּים</t>
  </si>
  <si>
    <t>בְצִלְצְלֵי</t>
  </si>
  <si>
    <t>בְּצִלְצְלֵי</t>
  </si>
  <si>
    <t>הַנְּשָׁמָה</t>
  </si>
  <si>
    <t>תְּהַלֵּל</t>
  </si>
  <si>
    <t>הַנֶּחֱמָדִים</t>
  </si>
  <si>
    <t>מִזָּהָב</t>
  </si>
  <si>
    <t>וּמִפַּז</t>
  </si>
  <si>
    <t>רָב</t>
  </si>
  <si>
    <t>וּמְתוּקִים</t>
  </si>
  <si>
    <t>מִדְּבַשׁ</t>
  </si>
  <si>
    <t>וְנֹפֶת</t>
  </si>
  <si>
    <t>נִזְהָר</t>
  </si>
  <si>
    <t>בְּשָׁמְרָם</t>
  </si>
  <si>
    <t>עֵקֶב</t>
  </si>
  <si>
    <t>שְׁגִיאוֹת</t>
  </si>
  <si>
    <t>מִנִּסְתָּרוֹת</t>
  </si>
  <si>
    <t>מִזֵּדִים</t>
  </si>
  <si>
    <t>חֲשֹׂךְ</t>
  </si>
  <si>
    <t>יִמְשְׁלוּ</t>
  </si>
  <si>
    <t>בִי</t>
  </si>
  <si>
    <t>אֵיתָם</t>
  </si>
  <si>
    <t>וְנִקֵּיתִי</t>
  </si>
  <si>
    <t>מִפֶּשַׁע</t>
  </si>
  <si>
    <t>לְרָצוֹן</t>
  </si>
  <si>
    <t>אִמְרֵי</t>
  </si>
  <si>
    <t>וְהֶגְיוֹן</t>
  </si>
  <si>
    <t>צוּרִי</t>
  </si>
  <si>
    <t>הֹדוּ</t>
  </si>
  <si>
    <t>יֹאמְרוּ</t>
  </si>
  <si>
    <t>גְּאוּלֵי</t>
  </si>
  <si>
    <t>גְּאָלָם</t>
  </si>
  <si>
    <t>וּמֵאֲרָצוֹת</t>
  </si>
  <si>
    <t>קִבְּצָם</t>
  </si>
  <si>
    <t>מִמִּזְרָח</t>
  </si>
  <si>
    <t>וּמִמַּעֲרָב</t>
  </si>
  <si>
    <t>מִצָּפוֹן</t>
  </si>
  <si>
    <t>תָּעוּ</t>
  </si>
  <si>
    <t>בַמִּדְבָּר</t>
  </si>
  <si>
    <t>בִּישִׁימוֹן</t>
  </si>
  <si>
    <t>דָּרֶךְ</t>
  </si>
  <si>
    <t>עִיר</t>
  </si>
  <si>
    <t>מוֹשָׁב</t>
  </si>
  <si>
    <t>רְעֵבִים</t>
  </si>
  <si>
    <t>צְמֵאִים</t>
  </si>
  <si>
    <t>נַפְשָׁם</t>
  </si>
  <si>
    <t>וַיִּצְעֲקוּ</t>
  </si>
  <si>
    <t>בַּצַּר</t>
  </si>
  <si>
    <t>מִמְּצוּקוֹתֵיהֶם</t>
  </si>
  <si>
    <t>וַיַּדְרִיכֵם</t>
  </si>
  <si>
    <t>יְשָׁרָה</t>
  </si>
  <si>
    <t>לָלֶכֶת</t>
  </si>
  <si>
    <t>יוֹדוּ</t>
  </si>
  <si>
    <t>וְנִפְלְאוֹתָיו</t>
  </si>
  <si>
    <t>הִשְׂבִּיעַ</t>
  </si>
  <si>
    <t>שֹׁקֵקָה</t>
  </si>
  <si>
    <t>וְנֶפֶשׁ</t>
  </si>
  <si>
    <t>רְעֵבָה</t>
  </si>
  <si>
    <t>מִלֵּא</t>
  </si>
  <si>
    <t>וְצַלְמָוֶת</t>
  </si>
  <si>
    <t>אֲסִירֵי</t>
  </si>
  <si>
    <t>עֳנִי</t>
  </si>
  <si>
    <t>וַעֲצַת</t>
  </si>
  <si>
    <t>עֶלְיוֹן</t>
  </si>
  <si>
    <t>וַיַּכְנַע</t>
  </si>
  <si>
    <t>בֶּעָמָל</t>
  </si>
  <si>
    <t>כָּשְׁלוּ</t>
  </si>
  <si>
    <t>וַיִּזְעֲקוּ</t>
  </si>
  <si>
    <t>מִמְּצֻקוֹתֵיהֶם</t>
  </si>
  <si>
    <t>יוֹצִיאֵם</t>
  </si>
  <si>
    <t>מֵחֹשֶׁךְ</t>
  </si>
  <si>
    <t>וּמוֹסְרוֹתֵיהֶם</t>
  </si>
  <si>
    <t>שִׁבַּר</t>
  </si>
  <si>
    <t>דַּלְתוֹת</t>
  </si>
  <si>
    <t>נְחֹשֶׁת</t>
  </si>
  <si>
    <t>וּבְרִיחֵי</t>
  </si>
  <si>
    <t>בַרְזֶל</t>
  </si>
  <si>
    <t>אֱוִלִים</t>
  </si>
  <si>
    <t>מִדֶּרֶךְ</t>
  </si>
  <si>
    <t>פִּשְׁעָם</t>
  </si>
  <si>
    <t>וּמֵעֲוֹנֹתֵיהֶם</t>
  </si>
  <si>
    <t>אֹכֶל</t>
  </si>
  <si>
    <t>תְּתַעֵב</t>
  </si>
  <si>
    <t>וַיַּגִּיעוּ</t>
  </si>
  <si>
    <t>שַׁעֲרֵי</t>
  </si>
  <si>
    <t>וְיִרְפָּאֵם</t>
  </si>
  <si>
    <t>וִימַלֵּט</t>
  </si>
  <si>
    <t>וְיִזְבְּחוּ</t>
  </si>
  <si>
    <t>תוֹדָה</t>
  </si>
  <si>
    <t>וִיסַפְּרוּ</t>
  </si>
  <si>
    <t>יוֹרְדֵי</t>
  </si>
  <si>
    <t>בָּאֳנִיּוֹת</t>
  </si>
  <si>
    <t>עֹשֵׂי</t>
  </si>
  <si>
    <t>מְלָאכָה</t>
  </si>
  <si>
    <t>בְּמַיִם</t>
  </si>
  <si>
    <t>רָאוּ</t>
  </si>
  <si>
    <t>וַיַּעֲמֵד</t>
  </si>
  <si>
    <t>וַתְּרוֹמֵם</t>
  </si>
  <si>
    <t>תְהוֹמוֹת</t>
  </si>
  <si>
    <t>בְּרָעָה</t>
  </si>
  <si>
    <t>יָחוֹגּוּ</t>
  </si>
  <si>
    <t>וְיָנוּעוּ</t>
  </si>
  <si>
    <t>כַּשִּׁכּוֹר</t>
  </si>
  <si>
    <t>חָכְמָתָם</t>
  </si>
  <si>
    <t>וּמִמְּצוּקֹתֵיהֶם</t>
  </si>
  <si>
    <t>יָקֵם</t>
  </si>
  <si>
    <t>לִדְמָמָה</t>
  </si>
  <si>
    <t>וַיֶּחֱשׁוּ</t>
  </si>
  <si>
    <t>וַיִּשְׂמְחוּ</t>
  </si>
  <si>
    <t>יִשְׁתֹּקוּ</t>
  </si>
  <si>
    <t>וַיַּנְחֵם</t>
  </si>
  <si>
    <t>מְחוֹז</t>
  </si>
  <si>
    <t>וִירֹמְמוּהוּ</t>
  </si>
  <si>
    <t>עָם</t>
  </si>
  <si>
    <t>יָשֵׂם</t>
  </si>
  <si>
    <t>נְהָרוֹת</t>
  </si>
  <si>
    <t>לְמִדְבָּר</t>
  </si>
  <si>
    <t>וּמֹצָאֵי</t>
  </si>
  <si>
    <t>לִמְלֵחָה</t>
  </si>
  <si>
    <t>מֵרָעַת</t>
  </si>
  <si>
    <t>מִדְבָּר</t>
  </si>
  <si>
    <t>לַאֲגַם</t>
  </si>
  <si>
    <t>קִרְאוּ</t>
  </si>
  <si>
    <t>בִּשְׁמוֹ</t>
  </si>
  <si>
    <t>הוֹדִיעוּ</t>
  </si>
  <si>
    <t>בָעַמִּים</t>
  </si>
  <si>
    <t>שִׂיחוּ</t>
  </si>
  <si>
    <t>הִתְהַלְלוּ</t>
  </si>
  <si>
    <t>בְּשֵׁם</t>
  </si>
  <si>
    <t>קָדְשׁוֹ</t>
  </si>
  <si>
    <t>דִּרְשׁוּ</t>
  </si>
  <si>
    <t>וְעֻזּוֹ</t>
  </si>
  <si>
    <t>בַּקְּשׁוּ</t>
  </si>
  <si>
    <t>פָנָיו</t>
  </si>
  <si>
    <t>זִכְרוּ</t>
  </si>
  <si>
    <t>נִפְלְאוֹתָיו</t>
  </si>
  <si>
    <t>מֹפְתָיו</t>
  </si>
  <si>
    <t>וּמִשְׁפְּטֵי</t>
  </si>
  <si>
    <t>זֶרַע</t>
  </si>
  <si>
    <t>אַבְרָהָם</t>
  </si>
  <si>
    <t>עַבְדּוֹ</t>
  </si>
  <si>
    <t>זָכַר</t>
  </si>
  <si>
    <t>דָּבָר</t>
  </si>
  <si>
    <t>לְאֶלֶף</t>
  </si>
  <si>
    <t>כָּרַת</t>
  </si>
  <si>
    <t>וּשְׁבוּעָתוֹ</t>
  </si>
  <si>
    <t>וַיַּעֲמִידֶהָ</t>
  </si>
  <si>
    <t>לְחֹק</t>
  </si>
  <si>
    <t>בְּרִית</t>
  </si>
  <si>
    <t>אֶתֵּן</t>
  </si>
  <si>
    <t>כְּנָעַן</t>
  </si>
  <si>
    <t>חֶבֶל</t>
  </si>
  <si>
    <t>בִּהְיוֹתָם</t>
  </si>
  <si>
    <t>מְתֵי</t>
  </si>
  <si>
    <t>וְגָרִים</t>
  </si>
  <si>
    <t>וַיִּתְהַלְּכוּ</t>
  </si>
  <si>
    <t>מִגּוֹי</t>
  </si>
  <si>
    <t>מִמַּמְלָכָה</t>
  </si>
  <si>
    <t>הִנִּיחַ</t>
  </si>
  <si>
    <t>לְעָשְׁקָם</t>
  </si>
  <si>
    <t>וַיּוֹכַח</t>
  </si>
  <si>
    <t>תִּגְּעוּ</t>
  </si>
  <si>
    <t>בִמְשִׁיחָי</t>
  </si>
  <si>
    <t>וְלִנְבִיאַי</t>
  </si>
  <si>
    <t>וַיִּקְרָא</t>
  </si>
  <si>
    <t>רָעָב</t>
  </si>
  <si>
    <t>מַטֵּה</t>
  </si>
  <si>
    <t>לִפְנֵיהֶם</t>
  </si>
  <si>
    <t>לְעֶבֶד</t>
  </si>
  <si>
    <t>נִמְכַּר</t>
  </si>
  <si>
    <t>עִנּוּ</t>
  </si>
  <si>
    <t>בַכֶּבֶל</t>
  </si>
  <si>
    <t>רַגְלוֹ</t>
  </si>
  <si>
    <t>בַּרְזֶל</t>
  </si>
  <si>
    <t>בָּאָה</t>
  </si>
  <si>
    <t>עֵת</t>
  </si>
  <si>
    <t>בֹּא</t>
  </si>
  <si>
    <t>דְבָרוֹ</t>
  </si>
  <si>
    <t>אִמְרַת</t>
  </si>
  <si>
    <t>וַיַּתִּירֵהוּ</t>
  </si>
  <si>
    <t>מֹשֵׁל</t>
  </si>
  <si>
    <t>עַמִּים</t>
  </si>
  <si>
    <t>שָׂמוֹ</t>
  </si>
  <si>
    <t>לְבֵיתוֹ</t>
  </si>
  <si>
    <t>וּמֹשֵׁל</t>
  </si>
  <si>
    <t>שָׂרָיו</t>
  </si>
  <si>
    <t>בְּנַפְשׁוֹ</t>
  </si>
  <si>
    <t>וּזְקֵנָיו</t>
  </si>
  <si>
    <t>וַיָּבֹא</t>
  </si>
  <si>
    <t>וְיַעֲקֹב</t>
  </si>
  <si>
    <t>גָּר</t>
  </si>
  <si>
    <t>וַיֶּפֶר</t>
  </si>
  <si>
    <t>מְאֹד</t>
  </si>
  <si>
    <t>וַיַּעֲצִמֵהוּ</t>
  </si>
  <si>
    <t>הָפַךְ</t>
  </si>
  <si>
    <t>לִשְׂנֹא</t>
  </si>
  <si>
    <t>לְהִתְנַכֵּל</t>
  </si>
  <si>
    <t>שָׂמוּ</t>
  </si>
  <si>
    <t>בָם</t>
  </si>
  <si>
    <t>אֹתוֹתָיו</t>
  </si>
  <si>
    <t>וַיַּחְשִׁךְ</t>
  </si>
  <si>
    <t>מֵימֵיהֶם</t>
  </si>
  <si>
    <t>לְדָם</t>
  </si>
  <si>
    <t>וַיָּמֶת</t>
  </si>
  <si>
    <t>שָׁרַץ</t>
  </si>
  <si>
    <t>צְפַרְדְּעִים</t>
  </si>
  <si>
    <t>בְּחַדְרֵי</t>
  </si>
  <si>
    <t>עָרֹב</t>
  </si>
  <si>
    <t>כִּנִּים</t>
  </si>
  <si>
    <t>גִּשְׁמֵיהֶם</t>
  </si>
  <si>
    <t>בָּרָד</t>
  </si>
  <si>
    <t>לֶהָבוֹת</t>
  </si>
  <si>
    <t>וַיַּךְ</t>
  </si>
  <si>
    <t>גַּפְנָם</t>
  </si>
  <si>
    <t>וּתְאֵנָתָם</t>
  </si>
  <si>
    <t>וַיְשַׁבֵּר</t>
  </si>
  <si>
    <t>אַרְבֶּה</t>
  </si>
  <si>
    <t>וְיֶלֶק</t>
  </si>
  <si>
    <t>יֹאמַר</t>
  </si>
  <si>
    <t>נָא</t>
  </si>
  <si>
    <t>בֵית</t>
  </si>
  <si>
    <t>הַמֵּצַר</t>
  </si>
  <si>
    <t>קָרָאתִי</t>
  </si>
  <si>
    <t>עָנָנִי</t>
  </si>
  <si>
    <t>בַמֶּרְחָב</t>
  </si>
  <si>
    <t>יַּעֲשֶׂה</t>
  </si>
  <si>
    <t>בְּעֹזְרָי</t>
  </si>
  <si>
    <t>אֶרְאֶה</t>
  </si>
  <si>
    <t>לַחֲסוֹת</t>
  </si>
  <si>
    <t>מִבְּטֹחַ</t>
  </si>
  <si>
    <t>סְבָבוּנִי</t>
  </si>
  <si>
    <t>סַבּוּנִי</t>
  </si>
  <si>
    <t>גַם</t>
  </si>
  <si>
    <t>כִדְבוֹרִים</t>
  </si>
  <si>
    <t>דֹּעֲכוּ</t>
  </si>
  <si>
    <t>כְּאֵשׁ</t>
  </si>
  <si>
    <t>קוֹצִים</t>
  </si>
  <si>
    <t>דַּחֹה</t>
  </si>
  <si>
    <t>דְחִיתַנִי</t>
  </si>
  <si>
    <t>לִנְפֹּל</t>
  </si>
  <si>
    <t>עָזִּי</t>
  </si>
  <si>
    <t>וְזִמְרָת</t>
  </si>
  <si>
    <t>רִנָּה</t>
  </si>
  <si>
    <t>וִישׁוּעָה</t>
  </si>
  <si>
    <t>בְּאָהֳלֵי</t>
  </si>
  <si>
    <t>יְמִין</t>
  </si>
  <si>
    <t>רוֹמֵמָה</t>
  </si>
  <si>
    <t>אָמוּת</t>
  </si>
  <si>
    <t>וַאֲסַפֵּר</t>
  </si>
  <si>
    <t>יַסֹּר</t>
  </si>
  <si>
    <t>יִסְּרַנִּי</t>
  </si>
  <si>
    <t>וְלַמָּוֶת</t>
  </si>
  <si>
    <t>פִּתְחוּ</t>
  </si>
  <si>
    <t>אָבֹא</t>
  </si>
  <si>
    <t>הַשַּׁעַר</t>
  </si>
  <si>
    <t>יָבֹאוּ</t>
  </si>
  <si>
    <t>עֲנִיתָנִי</t>
  </si>
  <si>
    <t>וַתְּהִי</t>
  </si>
  <si>
    <t>אֶבֶן</t>
  </si>
  <si>
    <t>מָאֲסוּ</t>
  </si>
  <si>
    <t>הַבּוֹנִים</t>
  </si>
  <si>
    <t>לְרֹאשׁ</t>
  </si>
  <si>
    <t>מֵאֵת</t>
  </si>
  <si>
    <t>זֹּאת</t>
  </si>
  <si>
    <t>הִיא</t>
  </si>
  <si>
    <t>נִפְלָאת</t>
  </si>
  <si>
    <t>נָגִילָה</t>
  </si>
  <si>
    <t>וְנִשְׂמְחָה</t>
  </si>
  <si>
    <t>אָנָּא</t>
  </si>
  <si>
    <t>הַצְלִיחָה</t>
  </si>
  <si>
    <t>הַבָּא</t>
  </si>
  <si>
    <t>בֵּרַכְנוּכֶם</t>
  </si>
  <si>
    <t>מִבֵּית</t>
  </si>
  <si>
    <t>וַיָּאֶר</t>
  </si>
  <si>
    <t>לָנוּ</t>
  </si>
  <si>
    <t>אִסְרוּ</t>
  </si>
  <si>
    <t>חַג</t>
  </si>
  <si>
    <t>בַּעֲבֹתִים</t>
  </si>
  <si>
    <t>קַרְנוֹת</t>
  </si>
  <si>
    <t>אֵלִי</t>
  </si>
  <si>
    <t>וְאוֹדֶךָּ</t>
  </si>
  <si>
    <t>לֵאלֹהֵי</t>
  </si>
  <si>
    <t>הָאֱלֹהִים</t>
  </si>
  <si>
    <t>לַאֲדֹנֵי</t>
  </si>
  <si>
    <t>הָאֲדֹנִים</t>
  </si>
  <si>
    <t>לְעֹשֵׂה</t>
  </si>
  <si>
    <t>גְּדֹלוֹת</t>
  </si>
  <si>
    <t>בִּתְבוּנָה</t>
  </si>
  <si>
    <t>לְרֹקַע</t>
  </si>
  <si>
    <t>הַמָּיִם</t>
  </si>
  <si>
    <t>אוֹרִים</t>
  </si>
  <si>
    <t>לְמֶמְשֶׁלֶת</t>
  </si>
  <si>
    <t>הַיָּרֵחַ</t>
  </si>
  <si>
    <t>וְכוֹכָבִים</t>
  </si>
  <si>
    <t>לְמֶמְשְׁלוֹת</t>
  </si>
  <si>
    <t>בַּלָּיְלָה</t>
  </si>
  <si>
    <t>לְמַכֵּה</t>
  </si>
  <si>
    <t>מִצְרַיִם</t>
  </si>
  <si>
    <t>בִּבְכוֹרֵיהֶם</t>
  </si>
  <si>
    <t>וַיּוֹצֵא</t>
  </si>
  <si>
    <t>מִתּוֹכָם</t>
  </si>
  <si>
    <t>בְּיָד</t>
  </si>
  <si>
    <t>חֲזָקָה</t>
  </si>
  <si>
    <t>וּבִזְרוֹעַ</t>
  </si>
  <si>
    <t>נְטוּיָה</t>
  </si>
  <si>
    <t>לְגֹזֵר</t>
  </si>
  <si>
    <t>לִגְזָרִים</t>
  </si>
  <si>
    <t>וְהֶעֱבִיר</t>
  </si>
  <si>
    <t>בְּתוֹכוֹ</t>
  </si>
  <si>
    <t>וְנִעֵר</t>
  </si>
  <si>
    <t>פַּרְעֹה</t>
  </si>
  <si>
    <t>וְחֵילוֹ</t>
  </si>
  <si>
    <t>בְיַם</t>
  </si>
  <si>
    <t>לְמוֹלִיךְ</t>
  </si>
  <si>
    <t>וַיַּהֲרֹג</t>
  </si>
  <si>
    <t>אַדִּירִים</t>
  </si>
  <si>
    <t>שֶׁבְּשִׁפְלֵנוּ</t>
  </si>
  <si>
    <t>וַיִּפְרְקֵנוּ</t>
  </si>
  <si>
    <t>מִצָּרֵינוּ</t>
  </si>
  <si>
    <t>בָּשָׂר</t>
  </si>
  <si>
    <t>לְאֵל</t>
  </si>
  <si>
    <t>גָמַר</t>
  </si>
  <si>
    <t>פַסּוּ</t>
  </si>
  <si>
    <t>אֱמוּנִים</t>
  </si>
  <si>
    <t>מִבְּנֵי</t>
  </si>
  <si>
    <t>רֵעֵהוּ</t>
  </si>
  <si>
    <t>שְׂפַת</t>
  </si>
  <si>
    <t>חֲלָקוֹת</t>
  </si>
  <si>
    <t>בְּלֵב</t>
  </si>
  <si>
    <t>וָלֵב</t>
  </si>
  <si>
    <t>יַכְרֵת</t>
  </si>
  <si>
    <t>שִׂפְתֵי</t>
  </si>
  <si>
    <t>לָשׁוֹן</t>
  </si>
  <si>
    <t>מְדַבֶּרֶת</t>
  </si>
  <si>
    <t>לִלְשֹׁנֵנוּ</t>
  </si>
  <si>
    <t>נַגְבִּיר</t>
  </si>
  <si>
    <t>שְׂפָתֵינוּ</t>
  </si>
  <si>
    <t>אִתָּנוּ</t>
  </si>
  <si>
    <t>מִשֹּׁד</t>
  </si>
  <si>
    <t>עֲנִיִּים</t>
  </si>
  <si>
    <t>מֵאַנְקַת</t>
  </si>
  <si>
    <t>אֶבְיוֹנִים</t>
  </si>
  <si>
    <t>עַתָּה</t>
  </si>
  <si>
    <t>אָקוּם</t>
  </si>
  <si>
    <t>אָשִׁית</t>
  </si>
  <si>
    <t>בְּיֵשַׁע</t>
  </si>
  <si>
    <t>יָפִיחַ</t>
  </si>
  <si>
    <t>אִמֲרוֹת</t>
  </si>
  <si>
    <t>אֲמָרוֹת</t>
  </si>
  <si>
    <t>טְהֹרוֹת</t>
  </si>
  <si>
    <t>צָרוּף</t>
  </si>
  <si>
    <t>בַּעֲלִיל</t>
  </si>
  <si>
    <t>מְזֻקָּק</t>
  </si>
  <si>
    <t>תִּשְׁמְרֵם</t>
  </si>
  <si>
    <t>תִּצְּרֶנּוּ</t>
  </si>
  <si>
    <t>הַדּוֹר</t>
  </si>
  <si>
    <t>זוּ</t>
  </si>
  <si>
    <t>סָבִיב</t>
  </si>
  <si>
    <t>יִתְהַלָּכוּן</t>
  </si>
  <si>
    <t>כְּרֻם</t>
  </si>
  <si>
    <t>זֻלּוּת</t>
  </si>
  <si>
    <t>וְאֹיְבַי</t>
  </si>
  <si>
    <t>נָתַתָּה</t>
  </si>
  <si>
    <t>עֹרֶף</t>
  </si>
  <si>
    <t>וּמְשַׂנְאַי</t>
  </si>
  <si>
    <t>יְשַׁוְּעוּ</t>
  </si>
  <si>
    <t>מוֹשִׁיעַ</t>
  </si>
  <si>
    <t>וְאֶשְׁחָקֵם</t>
  </si>
  <si>
    <t>כְּעָפָר</t>
  </si>
  <si>
    <t>פְּנֵי</t>
  </si>
  <si>
    <t>כְּטִיט</t>
  </si>
  <si>
    <t>חוּצוֹת</t>
  </si>
  <si>
    <t>תְּפַלְּטֵנִי</t>
  </si>
  <si>
    <t>מֵרִיבֵי</t>
  </si>
  <si>
    <t>תְּשִׂימֵנִי</t>
  </si>
  <si>
    <t>לְשֵׁמַע</t>
  </si>
  <si>
    <t>יִשָּׁמְעוּ</t>
  </si>
  <si>
    <t>נֵכָר</t>
  </si>
  <si>
    <t>יְכַחֲשׁוּ</t>
  </si>
  <si>
    <t>יִבֹּלוּ</t>
  </si>
  <si>
    <t>וְיַחְרְגוּ</t>
  </si>
  <si>
    <t>חַי</t>
  </si>
  <si>
    <t>וּבָרוּךְ</t>
  </si>
  <si>
    <t>וְיָרוּם</t>
  </si>
  <si>
    <t>הָאֵל</t>
  </si>
  <si>
    <t>הַנּוֹתֵן</t>
  </si>
  <si>
    <t>וַיַּדְבֵּר</t>
  </si>
  <si>
    <t>מְפַלְּטִי</t>
  </si>
  <si>
    <t>מֵאֹיְבָי</t>
  </si>
  <si>
    <t>קָמַי</t>
  </si>
  <si>
    <t>תְּרוֹמְמֵנִי</t>
  </si>
  <si>
    <t>מֵאִישׁ</t>
  </si>
  <si>
    <t>בַגּוֹיִם</t>
  </si>
  <si>
    <t>וּלְשִׁמְךָ</t>
  </si>
  <si>
    <t>מַגְדִּיל</t>
  </si>
  <si>
    <t>מַלְכּוֹ</t>
  </si>
  <si>
    <t>וְעֹשֶׂה</t>
  </si>
  <si>
    <t>לִמְשִׁיחוֹ</t>
  </si>
  <si>
    <t>לְדָוִד</t>
  </si>
  <si>
    <t>וּלְזַרְעוֹ</t>
  </si>
  <si>
    <t>עָצֵמוּ</t>
  </si>
  <si>
    <t>וְרַבּוּ</t>
  </si>
  <si>
    <t>שֹׂנְאַי</t>
  </si>
  <si>
    <t>וּמְשַׁלְּמֵי</t>
  </si>
  <si>
    <t>יִשְׂטְנוּנִי</t>
  </si>
  <si>
    <t>רָדְפִי</t>
  </si>
  <si>
    <t>חוּשָׁה</t>
  </si>
  <si>
    <t>וְלוֹ</t>
  </si>
  <si>
    <t>הֵכִין</t>
  </si>
  <si>
    <t>כְּלֵי</t>
  </si>
  <si>
    <t>חִצָּיו</t>
  </si>
  <si>
    <t>לְדֹלְקִים</t>
  </si>
  <si>
    <t>הִנֵּה</t>
  </si>
  <si>
    <t>יְחַבֶּל</t>
  </si>
  <si>
    <t>וְהָרָה</t>
  </si>
  <si>
    <t>וְיָלַד</t>
  </si>
  <si>
    <t>בּוֹר</t>
  </si>
  <si>
    <t>כָּרָה</t>
  </si>
  <si>
    <t>וַיַּחְפְּרֵהוּ</t>
  </si>
  <si>
    <t>וַיִּפֹּל</t>
  </si>
  <si>
    <t>בְּשַׁחַת</t>
  </si>
  <si>
    <t>עֲמָלוֹ</t>
  </si>
  <si>
    <t>בְרֹאשׁוֹ</t>
  </si>
  <si>
    <t>קָדְקֳדוֹ</t>
  </si>
  <si>
    <t>חֲמָסוֹ</t>
  </si>
  <si>
    <t>כְּצִדְקוֹ</t>
  </si>
  <si>
    <t>וַאֲזַמְּרָה</t>
  </si>
  <si>
    <t>בְשַׁלְוִי</t>
  </si>
  <si>
    <t>אֶמּוֹט</t>
  </si>
  <si>
    <t>בִּרְצוֹנְךָ</t>
  </si>
  <si>
    <t>הֶעֱמַדְתָּה</t>
  </si>
  <si>
    <t>לְהַרְרִי</t>
  </si>
  <si>
    <t>הִסְתַּרְתָּ</t>
  </si>
  <si>
    <t>פָנֶיךָ</t>
  </si>
  <si>
    <t>בֶּצַע</t>
  </si>
  <si>
    <t>בְּדָמִי</t>
  </si>
  <si>
    <t>בְּרִדְתִּי</t>
  </si>
  <si>
    <t>שָׁחַת</t>
  </si>
  <si>
    <t>הֲיוֹדְךָ</t>
  </si>
  <si>
    <t>עָפָר</t>
  </si>
  <si>
    <t>הֲיַגִּיד</t>
  </si>
  <si>
    <t>שְׁמַע</t>
  </si>
  <si>
    <t>עֹזֵר</t>
  </si>
  <si>
    <t>הָפַכְתָּ</t>
  </si>
  <si>
    <t>מִסְפְּדִי</t>
  </si>
  <si>
    <t>לְמָחוֹל</t>
  </si>
  <si>
    <t>שַׂקִּי</t>
  </si>
  <si>
    <t>וַתְּאַזְּרֵנִי</t>
  </si>
  <si>
    <t>יְזַמֶּרְךָ</t>
  </si>
  <si>
    <t>כָבוֹד</t>
  </si>
  <si>
    <t>יִדֹּם</t>
  </si>
  <si>
    <t>וַיְנַקְשׁוּ</t>
  </si>
  <si>
    <t>וְדֹרְשֵׁי</t>
  </si>
  <si>
    <t>רָעָתִי</t>
  </si>
  <si>
    <t>דִּבְּרוּ</t>
  </si>
  <si>
    <t>וּמִרְמוֹת</t>
  </si>
  <si>
    <t>כְחֵרֵשׁ</t>
  </si>
  <si>
    <t>אֶשְׁמָע</t>
  </si>
  <si>
    <t>וּכְאִלֵּם</t>
  </si>
  <si>
    <t>יִפְתַּח</t>
  </si>
  <si>
    <t>וָאֱהִי</t>
  </si>
  <si>
    <t>כְּאִישׁ</t>
  </si>
  <si>
    <t>שֹׁמֵעַ</t>
  </si>
  <si>
    <t>בְּפִיו</t>
  </si>
  <si>
    <t>הוֹחָלְתִּי</t>
  </si>
  <si>
    <t>פֶּן</t>
  </si>
  <si>
    <t>יִשְׂמְחוּ</t>
  </si>
  <si>
    <t>בְּמוֹט</t>
  </si>
  <si>
    <t>לְצֶלַע</t>
  </si>
  <si>
    <t>וּמַכְאוֹבִי</t>
  </si>
  <si>
    <t>נֶגְדִּי</t>
  </si>
  <si>
    <t>עֲוֹנִי</t>
  </si>
  <si>
    <t>אֶדְאַג</t>
  </si>
  <si>
    <t>וַיִּשְׁלַח</t>
  </si>
  <si>
    <t>וַיְפִיצֵם</t>
  </si>
  <si>
    <t>וּבְרָקִים</t>
  </si>
  <si>
    <t>וַיֵּרָאוּ</t>
  </si>
  <si>
    <t>אֲפִיקֵי</t>
  </si>
  <si>
    <t>וַיִּגָּלוּ</t>
  </si>
  <si>
    <t>מוֹסְדוֹת</t>
  </si>
  <si>
    <t>תֵּבֵל</t>
  </si>
  <si>
    <t>מִגַּעֲרָתְךָ</t>
  </si>
  <si>
    <t>מִנִּשְׁמַת</t>
  </si>
  <si>
    <t>מִמָּרוֹם</t>
  </si>
  <si>
    <t>יִקָּחֵנִי</t>
  </si>
  <si>
    <t>יַמְשֵׁנִי</t>
  </si>
  <si>
    <t>מִמַּיִם</t>
  </si>
  <si>
    <t>יַצִּילֵנִי</t>
  </si>
  <si>
    <t>מֵאֹיְבִי</t>
  </si>
  <si>
    <t>עָז</t>
  </si>
  <si>
    <t>וּמִשֹּׂנְאַי</t>
  </si>
  <si>
    <t>אָמְצוּ</t>
  </si>
  <si>
    <t>יְקַדְּמוּנִי</t>
  </si>
  <si>
    <t>בְיוֹם</t>
  </si>
  <si>
    <t>אֵידִי</t>
  </si>
  <si>
    <t>לְמִשְׁעָן</t>
  </si>
  <si>
    <t>וַיֵּט</t>
  </si>
  <si>
    <t>וַיֵּרַד</t>
  </si>
  <si>
    <t>וַעֲרָפֶל</t>
  </si>
  <si>
    <t>וַיִּרְכַּב</t>
  </si>
  <si>
    <t>כְּרוּב</t>
  </si>
  <si>
    <t>וַיָּעֹף</t>
  </si>
  <si>
    <t>וַיֵּדֶא</t>
  </si>
  <si>
    <t>יָשֶׁת</t>
  </si>
  <si>
    <t>סִתְרוֹ</t>
  </si>
  <si>
    <t>סְבִיבוֹתָיו</t>
  </si>
  <si>
    <t>סֻכָּתוֹ</t>
  </si>
  <si>
    <t>חֶשְׁכַת</t>
  </si>
  <si>
    <t>עָבֵי</t>
  </si>
  <si>
    <t>מִנֹּגַהּ</t>
  </si>
  <si>
    <t>נֶגְדּוֹ</t>
  </si>
  <si>
    <t>עָבָיו</t>
  </si>
  <si>
    <t>עָבְרוּ</t>
  </si>
  <si>
    <t>וְגַחֲלֵי</t>
  </si>
  <si>
    <t>וַיַּרְעֵם</t>
  </si>
  <si>
    <t>וְעֶלְיוֹן</t>
  </si>
  <si>
    <t>קֹלוֹ</t>
  </si>
  <si>
    <t>וַיּוֹצִיאֵנִי</t>
  </si>
  <si>
    <t>לַמֶּרְחָב</t>
  </si>
  <si>
    <t>יְחַלְּצֵנִי</t>
  </si>
  <si>
    <t>יִגְמְלֵנִי</t>
  </si>
  <si>
    <t>כְּצִדְקִי</t>
  </si>
  <si>
    <t>כְּבֹר</t>
  </si>
  <si>
    <t>יָדַי</t>
  </si>
  <si>
    <t>יָשִׁיב</t>
  </si>
  <si>
    <t>שָׁמַרְתִּי</t>
  </si>
  <si>
    <t>דַּרְכֵי</t>
  </si>
  <si>
    <t>רָשַׁעְתִּי</t>
  </si>
  <si>
    <t>מִשְׁפָּטָיו</t>
  </si>
  <si>
    <t>לְנֶגְדִּי</t>
  </si>
  <si>
    <t>וְחֻקֹּתָיו</t>
  </si>
  <si>
    <t>אָסִיר</t>
  </si>
  <si>
    <t>תָמִים</t>
  </si>
  <si>
    <t>עִמּוֹ</t>
  </si>
  <si>
    <t>וָאֶשְׁתַּמֵּר</t>
  </si>
  <si>
    <t>כְצִדְקִי</t>
  </si>
  <si>
    <t>לְנֶגֶד</t>
  </si>
  <si>
    <t>תִּתְחַסָּד</t>
  </si>
  <si>
    <t>גְּבַר</t>
  </si>
  <si>
    <t>תָּמִים</t>
  </si>
  <si>
    <t>נָבָר</t>
  </si>
  <si>
    <t>תִּתְבָּרָר</t>
  </si>
  <si>
    <t>וְעִם</t>
  </si>
  <si>
    <t>עִקֵּשׁ</t>
  </si>
  <si>
    <t>וְעֵינַיִם</t>
  </si>
  <si>
    <t>רָמוֹת</t>
  </si>
  <si>
    <t>תָּאִיר</t>
  </si>
  <si>
    <t>נֵרִי</t>
  </si>
  <si>
    <t>יַגִּיהַּ</t>
  </si>
  <si>
    <t>אָרֻץ</t>
  </si>
  <si>
    <t>גְּדוּד</t>
  </si>
  <si>
    <t>אֲדַלֶּג</t>
  </si>
  <si>
    <t>דַּרְכּוֹ</t>
  </si>
  <si>
    <t>צְרוּפָה</t>
  </si>
  <si>
    <t>לְכֹל</t>
  </si>
  <si>
    <t>הַחֹסִים</t>
  </si>
  <si>
    <t>מִבַּלְעֲדֵי</t>
  </si>
  <si>
    <t>וּמִי</t>
  </si>
  <si>
    <t>צוּר</t>
  </si>
  <si>
    <t>זוּלָתִי</t>
  </si>
  <si>
    <t>הַמְאַזְּרֵנִי</t>
  </si>
  <si>
    <t>מְשַׁוֶּה</t>
  </si>
  <si>
    <t>רַגְלַי</t>
  </si>
  <si>
    <t>כָּאַיָּלוֹת</t>
  </si>
  <si>
    <t>בָּמֹתַי</t>
  </si>
  <si>
    <t>מְלַמֵּד</t>
  </si>
  <si>
    <t>לַמִּלְחָמָה</t>
  </si>
  <si>
    <t>וְנִחֲתָה</t>
  </si>
  <si>
    <t>קֶשֶׁת</t>
  </si>
  <si>
    <t>נְחוּשָׁה</t>
  </si>
  <si>
    <t>וַתִּתֶּן</t>
  </si>
  <si>
    <t>יִשְׁעֶךָ</t>
  </si>
  <si>
    <t>וִימִינְךָ</t>
  </si>
  <si>
    <t>תִסְעָדֵנִי</t>
  </si>
  <si>
    <t>וְעַנְוַתְךָ</t>
  </si>
  <si>
    <t>וַתִּגְעַשׁ</t>
  </si>
  <si>
    <t>וַתִּרְעַשׁ</t>
  </si>
  <si>
    <t>וּמוֹסְדֵי</t>
  </si>
  <si>
    <t>יִרְגָּזוּ</t>
  </si>
  <si>
    <t>וַיִּתְגָּעֲשׁוּ</t>
  </si>
  <si>
    <t>חָרָה</t>
  </si>
  <si>
    <t>עָלָה</t>
  </si>
  <si>
    <t>עָשָׁן</t>
  </si>
  <si>
    <t>בְּאַפּוֹ</t>
  </si>
  <si>
    <t>וְאֵשׁ</t>
  </si>
  <si>
    <t>מִפִּיו</t>
  </si>
  <si>
    <t>תֹּאכֵל</t>
  </si>
  <si>
    <t>גֶּחָלִים</t>
  </si>
  <si>
    <t>בָּעֲרוּ</t>
  </si>
  <si>
    <t>וּבְצַלְעִי</t>
  </si>
  <si>
    <t>שָׂמְחוּ</t>
  </si>
  <si>
    <t>וְנֶאֱסָפוּ</t>
  </si>
  <si>
    <t>נֶאֶסְפוּ</t>
  </si>
  <si>
    <t>נֵכִים</t>
  </si>
  <si>
    <t>קָרְעוּ</t>
  </si>
  <si>
    <t>בְּחַנְפֵי</t>
  </si>
  <si>
    <t>לַעֲגֵי</t>
  </si>
  <si>
    <t>מָעוֹג</t>
  </si>
  <si>
    <t>חָרֹק</t>
  </si>
  <si>
    <t>כַּמָּה</t>
  </si>
  <si>
    <t>תִּרְאֶה</t>
  </si>
  <si>
    <t>הָשִׁיבָה</t>
  </si>
  <si>
    <t>מִשֹּׁאֵיהֶם</t>
  </si>
  <si>
    <t>מִכְּפִירִים</t>
  </si>
  <si>
    <t>בְּקָהָל</t>
  </si>
  <si>
    <t>בְּעַם</t>
  </si>
  <si>
    <t>עָצוּם</t>
  </si>
  <si>
    <t>אֹיְבַי</t>
  </si>
  <si>
    <t>יִקְרְצוּ</t>
  </si>
  <si>
    <t>רִגְעֵי</t>
  </si>
  <si>
    <t>מִרְמוֹת</t>
  </si>
  <si>
    <t>וַיַּרְחִיבוּ</t>
  </si>
  <si>
    <t>פִּיהֶם</t>
  </si>
  <si>
    <t>הֶאָח</t>
  </si>
  <si>
    <t>רָאֲתָה</t>
  </si>
  <si>
    <t>רָאִיתָה</t>
  </si>
  <si>
    <t>תֶּחֱרַשׁ</t>
  </si>
  <si>
    <t>הָעִירָה</t>
  </si>
  <si>
    <t>וְהָקִיצָה</t>
  </si>
  <si>
    <t>לְמִשְׁפָּטִי</t>
  </si>
  <si>
    <t>שָׁפְטֵנִי</t>
  </si>
  <si>
    <t>כְצִדְקְךָ</t>
  </si>
  <si>
    <t>בְלִבָּם</t>
  </si>
  <si>
    <t>נַפְשֵׁנוּ</t>
  </si>
  <si>
    <t>יַחְדָּו</t>
  </si>
  <si>
    <t>שְׂמֵחֵי</t>
  </si>
  <si>
    <t>יִלְבְּשׁוּ</t>
  </si>
  <si>
    <t>בֹשֶׁת</t>
  </si>
  <si>
    <t>הַמַּגְדִּילִים</t>
  </si>
  <si>
    <t>יָרֹנּוּ</t>
  </si>
  <si>
    <t>חֲפֵצֵי</t>
  </si>
  <si>
    <t>וְיֹאמְרוּ</t>
  </si>
  <si>
    <t>תָמִיד</t>
  </si>
  <si>
    <t>יִגְדַּל</t>
  </si>
  <si>
    <t>הֶחָפֵץ</t>
  </si>
  <si>
    <t>שְׁלוֹם</t>
  </si>
  <si>
    <t>וּלְשׁוֹנִי</t>
  </si>
  <si>
    <t>צִדְקֶךָ</t>
  </si>
  <si>
    <t>חֶלְבָּמוֹ</t>
  </si>
  <si>
    <t>סָּגְרוּ</t>
  </si>
  <si>
    <t>פִּימוֹ</t>
  </si>
  <si>
    <t>אַשֻּׁרֵינוּ</t>
  </si>
  <si>
    <t>סְבָבוּנוּ</t>
  </si>
  <si>
    <t>עֵינֵיהֶם</t>
  </si>
  <si>
    <t>יָשִׁיתוּ</t>
  </si>
  <si>
    <t>לִנְטוֹת</t>
  </si>
  <si>
    <t>דִּמְיֹנוֹ</t>
  </si>
  <si>
    <t>כְּאַרְיֵה</t>
  </si>
  <si>
    <t>יִכְסוֹף</t>
  </si>
  <si>
    <t>לִטְרוֹף</t>
  </si>
  <si>
    <t>וְכִכְפִיר</t>
  </si>
  <si>
    <t>יֹשֵׁב</t>
  </si>
  <si>
    <t>אֲדֹנֵינוּ</t>
  </si>
  <si>
    <t>אַדִּיר</t>
  </si>
  <si>
    <t>תְּנָה</t>
  </si>
  <si>
    <t>הוֹדְךָ</t>
  </si>
  <si>
    <t>מִפִּי</t>
  </si>
  <si>
    <t>עוֹלְלִים</t>
  </si>
  <si>
    <t>וְיֹנְקִים</t>
  </si>
  <si>
    <t>יִסַּדְתָּ</t>
  </si>
  <si>
    <t>צוֹרְרֶיךָ</t>
  </si>
  <si>
    <t>לְהַשְׁבִּית</t>
  </si>
  <si>
    <t>אוֹיֵב</t>
  </si>
  <si>
    <t>שָׁמֶיךָ</t>
  </si>
  <si>
    <t>אֶצְבְּעֹתֶיךָ</t>
  </si>
  <si>
    <t>תִזְכְּרֶנּוּ</t>
  </si>
  <si>
    <t>וּבֶן</t>
  </si>
  <si>
    <t>וַתְּחַסְּרֵהוּ</t>
  </si>
  <si>
    <t>מְּעַט</t>
  </si>
  <si>
    <t>מֵאֱלֹהִים</t>
  </si>
  <si>
    <t>וְכָבוֹד</t>
  </si>
  <si>
    <t>יִסְעָדֶנּוּ</t>
  </si>
  <si>
    <t>עֶרֶשׂ</t>
  </si>
  <si>
    <t>דְּוָי</t>
  </si>
  <si>
    <t>רְפָאָה</t>
  </si>
  <si>
    <t>חָטָאתִי</t>
  </si>
  <si>
    <t>רַע</t>
  </si>
  <si>
    <t>יָמוּת</t>
  </si>
  <si>
    <t>וְאָבַד</t>
  </si>
  <si>
    <t>וְאִם</t>
  </si>
  <si>
    <t>בָּא</t>
  </si>
  <si>
    <t>יְדַבֵּר</t>
  </si>
  <si>
    <t>יִקְבָּץ</t>
  </si>
  <si>
    <t>לַחוּץ</t>
  </si>
  <si>
    <t>יִתְלַחֲשׁוּ</t>
  </si>
  <si>
    <t>שֹׂנְאָי</t>
  </si>
  <si>
    <t>יַחְשְׁבוּ</t>
  </si>
  <si>
    <t>דְּבַר</t>
  </si>
  <si>
    <t>בְּלִיַּעַל</t>
  </si>
  <si>
    <t>יָצוּק</t>
  </si>
  <si>
    <t>וַאֲשֶׁר</t>
  </si>
  <si>
    <t>שָׁכַב</t>
  </si>
  <si>
    <t>יוֹסִיף</t>
  </si>
  <si>
    <t>מָלָךְ</t>
  </si>
  <si>
    <t>גֵּאוּת</t>
  </si>
  <si>
    <t>לָבֵשׁ</t>
  </si>
  <si>
    <t>הִתְאַזָּר</t>
  </si>
  <si>
    <t>תִּכּוֹן</t>
  </si>
  <si>
    <t>כִּסְאֲךָ</t>
  </si>
  <si>
    <t>מֵאָז</t>
  </si>
  <si>
    <t>נָשְׂאוּ</t>
  </si>
  <si>
    <t>קוֹלָם</t>
  </si>
  <si>
    <t>יִשְׂאוּ</t>
  </si>
  <si>
    <t>מִקֹּלוֹת</t>
  </si>
  <si>
    <t>מִשְׁבְּרֵי</t>
  </si>
  <si>
    <t>בַּמָּרוֹם</t>
  </si>
  <si>
    <t>נֶאֶמְנוּ</t>
  </si>
  <si>
    <t>לְבֵיתְךָ</t>
  </si>
  <si>
    <t>נַאֲוָה</t>
  </si>
  <si>
    <t>קֹדֶשׁ</t>
  </si>
  <si>
    <t>תָּגֵל</t>
  </si>
  <si>
    <t>אִיִּים</t>
  </si>
  <si>
    <t>עָנָן</t>
  </si>
  <si>
    <t>סְבִיבָיו</t>
  </si>
  <si>
    <t>מְכוֹן</t>
  </si>
  <si>
    <t>תֵּלֵךְ</t>
  </si>
  <si>
    <t>וּתְלַהֵט</t>
  </si>
  <si>
    <t>הֵאִירוּ</t>
  </si>
  <si>
    <t>בְרָקָיו</t>
  </si>
  <si>
    <t>וַתָּחֵל</t>
  </si>
  <si>
    <t>כַּדּוֹנַג</t>
  </si>
  <si>
    <t>נָמַסּוּ</t>
  </si>
  <si>
    <t>אֲדוֹן</t>
  </si>
  <si>
    <t>הִגִּידוּ</t>
  </si>
  <si>
    <t>צִדְקוֹ</t>
  </si>
  <si>
    <t>וְרָאוּ</t>
  </si>
  <si>
    <t>הָעַמִּים</t>
  </si>
  <si>
    <t>עֹבְדֵי</t>
  </si>
  <si>
    <t>פֶסֶל</t>
  </si>
  <si>
    <t>הַמִּתְהַלְלִים</t>
  </si>
  <si>
    <t>בָּאֱלִילִים</t>
  </si>
  <si>
    <t>הִשְׁתַּחֲווּ</t>
  </si>
  <si>
    <t>שָׁמְעָה</t>
  </si>
  <si>
    <t>וַתִּשְׂמַח</t>
  </si>
  <si>
    <t>וַתָּגֵלְנָה</t>
  </si>
  <si>
    <t>בְּנוֹת</t>
  </si>
  <si>
    <t>נַעֲלֵיתָ</t>
  </si>
  <si>
    <t>שִׂנְאוּ</t>
  </si>
  <si>
    <t>נַפְשׁוֹת</t>
  </si>
  <si>
    <t>זָרֻעַ</t>
  </si>
  <si>
    <t>לַצַּדִּיק</t>
  </si>
  <si>
    <t>וּלְיִשְׁרֵי</t>
  </si>
  <si>
    <t>שִׂמְחוּ</t>
  </si>
  <si>
    <t>וְהוֹדוּ</t>
  </si>
  <si>
    <t>יִרְגְּזוּ</t>
  </si>
  <si>
    <t>כְּרוּבִים</t>
  </si>
  <si>
    <t>תָּנוּט</t>
  </si>
  <si>
    <t>בְּצִיּוֹן</t>
  </si>
  <si>
    <t>וְרָם</t>
  </si>
  <si>
    <t>וְעֹז</t>
  </si>
  <si>
    <t>אָהֵב</t>
  </si>
  <si>
    <t>כּוֹנַנְתָּ</t>
  </si>
  <si>
    <t>מֵישָׁרִים</t>
  </si>
  <si>
    <t>וּצְדָקָה</t>
  </si>
  <si>
    <t>בְּיַעֲקֹב</t>
  </si>
  <si>
    <t>רוֹמְמוּ</t>
  </si>
  <si>
    <t>וְהִשְׁתַּחֲווּ</t>
  </si>
  <si>
    <t>לַהֲדֹם</t>
  </si>
  <si>
    <t>רַגְלָיו</t>
  </si>
  <si>
    <t>וְאַהֲרֹן</t>
  </si>
  <si>
    <t>בְּכֹהֲנָיו</t>
  </si>
  <si>
    <t>וּשְׁמוּאֵל</t>
  </si>
  <si>
    <t>בְּקֹרְאֵי</t>
  </si>
  <si>
    <t>קֹרִאים</t>
  </si>
  <si>
    <t>וְהוּא</t>
  </si>
  <si>
    <t>בְּעַמּוּד</t>
  </si>
  <si>
    <t>אֲלֵיהֶם</t>
  </si>
  <si>
    <t>שָׁמְרוּ</t>
  </si>
  <si>
    <t>וְחֹק</t>
  </si>
  <si>
    <t>עֲנִיתָם</t>
  </si>
  <si>
    <t>נֹשֵׂא</t>
  </si>
  <si>
    <t>הָיִיתָ</t>
  </si>
  <si>
    <t>וְנֹקֵם</t>
  </si>
  <si>
    <t>לְהַר</t>
  </si>
  <si>
    <t>יִתְיַצְּבוּ</t>
  </si>
  <si>
    <t>וְרוֹזְנִים</t>
  </si>
  <si>
    <t>נוֹסְדוּ</t>
  </si>
  <si>
    <t>יָחַד</t>
  </si>
  <si>
    <t>נְנַתְּקָה</t>
  </si>
  <si>
    <t>מוֹסְרוֹתֵימוֹ</t>
  </si>
  <si>
    <t>וְנַשְׁלִיכָה</t>
  </si>
  <si>
    <t>יִשְׂחָק</t>
  </si>
  <si>
    <t>יִלְעַג</t>
  </si>
  <si>
    <t>אֵלֵימוֹ</t>
  </si>
  <si>
    <t>בְאַפּוֹ</t>
  </si>
  <si>
    <t>וּבַחֲרוֹנוֹ</t>
  </si>
  <si>
    <t>נָסַכְתִּי</t>
  </si>
  <si>
    <t>מַלְכִּי</t>
  </si>
  <si>
    <t>הַר</t>
  </si>
  <si>
    <t>אֲסַפְּרָה</t>
  </si>
  <si>
    <t>חֹק</t>
  </si>
  <si>
    <t>בְּנִי</t>
  </si>
  <si>
    <t>שְׁאַל</t>
  </si>
  <si>
    <t>וְאֶתְּנָה</t>
  </si>
  <si>
    <t>גוֹיִם</t>
  </si>
  <si>
    <t>וַאֲחֻזָּתְךָ</t>
  </si>
  <si>
    <t>אַפְסֵי</t>
  </si>
  <si>
    <t>תְּרֹעֵם</t>
  </si>
  <si>
    <t>בְּשֵׁבֶט</t>
  </si>
  <si>
    <t>כִּכְלִי</t>
  </si>
  <si>
    <t>יוֹצֵר</t>
  </si>
  <si>
    <t>וְעַתָּה</t>
  </si>
  <si>
    <t>הַשְׂכִּילוּ</t>
  </si>
  <si>
    <t>הִוָּסְרוּ</t>
  </si>
  <si>
    <t>עִבְדוּ</t>
  </si>
  <si>
    <t>בְּיִרְאָה</t>
  </si>
  <si>
    <t>וְגִילוּ</t>
  </si>
  <si>
    <t>נַשְּׁקוּ</t>
  </si>
  <si>
    <t>בַר</t>
  </si>
  <si>
    <t>יֶאֱנַף</t>
  </si>
  <si>
    <t>וְתֹאבְדוּ</t>
  </si>
  <si>
    <t>דֶרֶךְ</t>
  </si>
  <si>
    <t>יִבְעַר</t>
  </si>
  <si>
    <t>אַפּוֹ</t>
  </si>
  <si>
    <t>בְּסֵתֶר</t>
  </si>
  <si>
    <t>שַׁדַּי</t>
  </si>
  <si>
    <t>אֹמַר</t>
  </si>
  <si>
    <t>מַחְסִי</t>
  </si>
  <si>
    <t>אֶבְטַח</t>
  </si>
  <si>
    <t>יַצִּילְךָ</t>
  </si>
  <si>
    <t>מִפַּח</t>
  </si>
  <si>
    <t>יָקוּשׁ</t>
  </si>
  <si>
    <t>מִדֶּבֶר</t>
  </si>
  <si>
    <t>בְּאֶבְרָתוֹ</t>
  </si>
  <si>
    <t>יָסֶךְ</t>
  </si>
  <si>
    <t>לָךְ</t>
  </si>
  <si>
    <t>וְתַחַת</t>
  </si>
  <si>
    <t>כְּנָפָיו</t>
  </si>
  <si>
    <t>תֶּחְסֶה</t>
  </si>
  <si>
    <t>צִנָּה</t>
  </si>
  <si>
    <t>וְסֹחֵרָה</t>
  </si>
  <si>
    <t>תִירָא</t>
  </si>
  <si>
    <t>מִפַּחַד</t>
  </si>
  <si>
    <t>מֵחֵץ</t>
  </si>
  <si>
    <t>יָעוּף</t>
  </si>
  <si>
    <t>בָּאֹפֶל</t>
  </si>
  <si>
    <t>יַהֲלֹךְ</t>
  </si>
  <si>
    <t>מִקֶּטֶב</t>
  </si>
  <si>
    <t>יָשׁוּד</t>
  </si>
  <si>
    <t>יִפֹּל</t>
  </si>
  <si>
    <t>מִצִּדְּךָ</t>
  </si>
  <si>
    <t>אֶלֶף</t>
  </si>
  <si>
    <t>וּרְבָבָה</t>
  </si>
  <si>
    <t>מִימִינֶךָ</t>
  </si>
  <si>
    <t>רַק</t>
  </si>
  <si>
    <t>בְּעֵינֶיךָ</t>
  </si>
  <si>
    <t>תַבִּיט</t>
  </si>
  <si>
    <t>וְשִׁלֻּמַת</t>
  </si>
  <si>
    <t>תְאֻנֶּה</t>
  </si>
  <si>
    <t>וְנֶגַע</t>
  </si>
  <si>
    <t>יִקְרַב</t>
  </si>
  <si>
    <t>יְצַוֶּה</t>
  </si>
  <si>
    <t>לִשְׁמָרְךָ</t>
  </si>
  <si>
    <t>כַּפַּיִם</t>
  </si>
  <si>
    <t>יִשָּׂאוּנְךָ</t>
  </si>
  <si>
    <t>תִּגֹּף</t>
  </si>
  <si>
    <t>בָּאֶבֶן</t>
  </si>
  <si>
    <t>שַׁחַל</t>
  </si>
  <si>
    <t>וָפֶתֶן</t>
  </si>
  <si>
    <t>תִּדְרֹךְ</t>
  </si>
  <si>
    <t>תִּרְמֹס</t>
  </si>
  <si>
    <t>כְּפִיר</t>
  </si>
  <si>
    <t>חָשַׁק</t>
  </si>
  <si>
    <t>וַאֲפַלְּטֵהוּ</t>
  </si>
  <si>
    <t>אֲשַׂגְּבֵהוּ</t>
  </si>
  <si>
    <t>יִקְרָאֵנִי</t>
  </si>
  <si>
    <t>וְאֶעֱנֵהוּ</t>
  </si>
  <si>
    <t>בְצָרָה</t>
  </si>
  <si>
    <t>אֲחַלְּצֵהוּ</t>
  </si>
  <si>
    <t>אֹרֶךְ</t>
  </si>
  <si>
    <t>יָמִים</t>
  </si>
  <si>
    <t>אַשְׂבִּיעֵהוּ</t>
  </si>
  <si>
    <t>וְאַרְאֵהוּ</t>
  </si>
  <si>
    <t>בַּמָּוֶת</t>
  </si>
  <si>
    <t>זִכְרֶךָ</t>
  </si>
  <si>
    <t>בִּשְׁאוֹל</t>
  </si>
  <si>
    <t>יוֹדֶה</t>
  </si>
  <si>
    <t>יָגַעְתִּי</t>
  </si>
  <si>
    <t>בְּאַנְחָתִי</t>
  </si>
  <si>
    <t>אַשְׂחֶה</t>
  </si>
  <si>
    <t>לַיְלָה</t>
  </si>
  <si>
    <t>מִטָּתִי</t>
  </si>
  <si>
    <t>בְּדִמְעָתִי</t>
  </si>
  <si>
    <t>עַרְשִׂי</t>
  </si>
  <si>
    <t>עָשְׁשָׁה</t>
  </si>
  <si>
    <t>מִכַּעַס</t>
  </si>
  <si>
    <t>עָתְקָה</t>
  </si>
  <si>
    <t>סוּרוּ</t>
  </si>
  <si>
    <t>תְּחִנָּתִי</t>
  </si>
  <si>
    <t>תְּפִלָּתִי</t>
  </si>
  <si>
    <t>וְיִבָּהֲלוּ</t>
  </si>
  <si>
    <t>אֹיְבָי</t>
  </si>
  <si>
    <t>יָשֻׁבוּ</t>
  </si>
  <si>
    <t>מִשְׁפָּטִי</t>
  </si>
  <si>
    <t>וְדִינִי</t>
  </si>
  <si>
    <t>יָשַׁבְתָּ</t>
  </si>
  <si>
    <t>לְכִסֵּא</t>
  </si>
  <si>
    <t>שׁוֹפֵט</t>
  </si>
  <si>
    <t>אִבַּדְתָּ</t>
  </si>
  <si>
    <t>שְׁמָם</t>
  </si>
  <si>
    <t>מָחִיתָ</t>
  </si>
  <si>
    <t>הָאוֹיֵב</t>
  </si>
  <si>
    <t>תַּמּוּ</t>
  </si>
  <si>
    <t>חֳרָבוֹת</t>
  </si>
  <si>
    <t>לָנֶצַח</t>
  </si>
  <si>
    <t>וְעָרִים</t>
  </si>
  <si>
    <t>נָתַשְׁתָּ</t>
  </si>
  <si>
    <t>אָבַד</t>
  </si>
  <si>
    <t>זִכְרָם</t>
  </si>
  <si>
    <t>יֵשֵׁב</t>
  </si>
  <si>
    <t>כּוֹנֵן</t>
  </si>
  <si>
    <t>לַמִּשְׁפָּט</t>
  </si>
  <si>
    <t>יִשְׁפֹּט</t>
  </si>
  <si>
    <t>בְּצֶדֶק</t>
  </si>
  <si>
    <t>מִשְׂגָּב</t>
  </si>
  <si>
    <t>לַדָּךְ</t>
  </si>
  <si>
    <t>לְעִתּוֹת</t>
  </si>
  <si>
    <t>וְיִבְטְחוּ</t>
  </si>
  <si>
    <t>יוֹדְעֵי</t>
  </si>
  <si>
    <t>שְׁמֶךָ</t>
  </si>
  <si>
    <t>עָזַבְתָּ</t>
  </si>
  <si>
    <t>דֹרְשֶׁיךָ</t>
  </si>
  <si>
    <t>הַגִּידוּ</t>
  </si>
  <si>
    <t>דֹרֵשׁ</t>
  </si>
  <si>
    <t>דָּמִים</t>
  </si>
  <si>
    <t>זָכָר</t>
  </si>
  <si>
    <t>שָׁכַח</t>
  </si>
  <si>
    <t>צַעֲקַת</t>
  </si>
  <si>
    <t>חָנְנֵנִי</t>
  </si>
  <si>
    <t>מִשֹּׂנְאָי</t>
  </si>
  <si>
    <t>מְרוֹמְמִי</t>
  </si>
  <si>
    <t>מִשַּׁעֲרֵי</t>
  </si>
  <si>
    <t>תְּהִלָּתֶיךָ</t>
  </si>
  <si>
    <t>בְּשַׁעֲרֵי</t>
  </si>
  <si>
    <t>בַת</t>
  </si>
  <si>
    <t>אָגִילָה</t>
  </si>
  <si>
    <t>טָבְעוּ</t>
  </si>
  <si>
    <t>עָשׂוּ</t>
  </si>
  <si>
    <t>בְּרֶשֶׁת</t>
  </si>
  <si>
    <t>טָמָנוּ</t>
  </si>
  <si>
    <t>נִלְכְּדָה</t>
  </si>
  <si>
    <t>נוֹדַע</t>
  </si>
  <si>
    <t>בְּפֹעַל</t>
  </si>
  <si>
    <t>כַּפָּיו</t>
  </si>
  <si>
    <t>נוֹקֵשׁ</t>
  </si>
  <si>
    <t>הִגָּיוֹן</t>
  </si>
  <si>
    <t>יָשׁוּבוּ</t>
  </si>
  <si>
    <t>לִשְׁאוֹלָה</t>
  </si>
  <si>
    <t>שְׁכֵחֵי</t>
  </si>
  <si>
    <t>יִשָּׁכַח</t>
  </si>
  <si>
    <t>אֶבְיוֹן</t>
  </si>
  <si>
    <t>תִּקְוַת</t>
  </si>
  <si>
    <t>תֹּאבַד</t>
  </si>
  <si>
    <t>קוּמָה</t>
  </si>
  <si>
    <t>יָעֹז</t>
  </si>
  <si>
    <t>יִשָּׁפְטוּ</t>
  </si>
  <si>
    <t>שִׁיתָה</t>
  </si>
  <si>
    <t>מוֹרָה</t>
  </si>
  <si>
    <t>יֵדְעוּ</t>
  </si>
  <si>
    <t>יִדְרְכוּן</t>
  </si>
  <si>
    <t>כּוֹנְנוּ</t>
  </si>
  <si>
    <t>חִצָּם</t>
  </si>
  <si>
    <t>יֶתֶר</t>
  </si>
  <si>
    <t>לִירוֹת</t>
  </si>
  <si>
    <t>בְּמוֹ</t>
  </si>
  <si>
    <t>אֹפֶל</t>
  </si>
  <si>
    <t>הַשָּׁתוֹת</t>
  </si>
  <si>
    <t>יֵהָרֵסוּן</t>
  </si>
  <si>
    <t>בְּהֵיכַל</t>
  </si>
  <si>
    <t>כִּסְאוֹ</t>
  </si>
  <si>
    <t>עֵינָיו</t>
  </si>
  <si>
    <t>יֶחֱזוּ</t>
  </si>
  <si>
    <t>עַפְעַפָּיו</t>
  </si>
  <si>
    <t>יִבְחֲנוּ</t>
  </si>
  <si>
    <t>יִבְחָן</t>
  </si>
  <si>
    <t>וְרָשָׁע</t>
  </si>
  <si>
    <t>וְאֹהֵב</t>
  </si>
  <si>
    <t>שָׂנְאָה</t>
  </si>
  <si>
    <t>יַמְטֵר</t>
  </si>
  <si>
    <t>פַּחִים</t>
  </si>
  <si>
    <t>וְגָפְרִית</t>
  </si>
  <si>
    <t>וְרוּחַ</t>
  </si>
  <si>
    <t>זִלְעָפוֹת</t>
  </si>
  <si>
    <t>מְנָת</t>
  </si>
  <si>
    <t>צְדָקוֹת</t>
  </si>
  <si>
    <t>יָשָׁר</t>
  </si>
  <si>
    <t>כֶחָצִיר</t>
  </si>
  <si>
    <t>יִמָּלוּ</t>
  </si>
  <si>
    <t>וּכְיֶרֶק</t>
  </si>
  <si>
    <t>בְּטַח</t>
  </si>
  <si>
    <t>וַעֲשֵׂה</t>
  </si>
  <si>
    <t>שְׁכָן</t>
  </si>
  <si>
    <t>וּרְעֵה</t>
  </si>
  <si>
    <t>וְהִתְעַנַּג</t>
  </si>
  <si>
    <t>וְיִתֶּן</t>
  </si>
  <si>
    <t>מִשְׁאֲלֹת</t>
  </si>
  <si>
    <t>גּוֹל</t>
  </si>
  <si>
    <t>דַּרְכֶּךָ</t>
  </si>
  <si>
    <t>וּבְטַח</t>
  </si>
  <si>
    <t>עָלָיו</t>
  </si>
  <si>
    <t>וְהוֹצִיא</t>
  </si>
  <si>
    <t>כָאוֹר</t>
  </si>
  <si>
    <t>וּמִשְׁפָּטֶךָ</t>
  </si>
  <si>
    <t>דּוֹם</t>
  </si>
  <si>
    <t>וְהִתְחוֹלֵל</t>
  </si>
  <si>
    <t>תִּתְחַר</t>
  </si>
  <si>
    <t>בְּמַצְלִיחַ</t>
  </si>
  <si>
    <t>בְּאִישׁ</t>
  </si>
  <si>
    <t>הֶרֶף</t>
  </si>
  <si>
    <t>מֵאַף</t>
  </si>
  <si>
    <t>וַעֲזֹב</t>
  </si>
  <si>
    <t>חֵמָה</t>
  </si>
  <si>
    <t>יִכָּרֵתוּן</t>
  </si>
  <si>
    <t>וְקוֵֹי</t>
  </si>
  <si>
    <t>יִירְשׁוּ</t>
  </si>
  <si>
    <t>וְעוֹד</t>
  </si>
  <si>
    <t>מְעַט</t>
  </si>
  <si>
    <t>וְהִתְבּוֹנַנְתָּ</t>
  </si>
  <si>
    <t>מְקוֹמוֹ</t>
  </si>
  <si>
    <t>וַעֲנָוִים</t>
  </si>
  <si>
    <t>וְהִתְעַנְּגוּ</t>
  </si>
  <si>
    <t>זֹמֵם</t>
  </si>
  <si>
    <t>וְחֹרֵק</t>
  </si>
  <si>
    <t>יִשְׂחַק</t>
  </si>
  <si>
    <t>יָבֹא</t>
  </si>
  <si>
    <t>חֶרֶב</t>
  </si>
  <si>
    <t>פָּתְחוּ</t>
  </si>
  <si>
    <t>וְדָרְכוּ</t>
  </si>
  <si>
    <t>קַשְׁתָּם</t>
  </si>
  <si>
    <t>לִטְבוֹחַ</t>
  </si>
  <si>
    <t>חַרְבָּם</t>
  </si>
  <si>
    <t>תָּבוֹא</t>
  </si>
  <si>
    <t>וְקַשְּׁתוֹתָם</t>
  </si>
  <si>
    <t>מֵהֲמוֹן</t>
  </si>
  <si>
    <t>זְרוֹעוֹת</t>
  </si>
  <si>
    <t>תִּשָּׁבַרְנָה</t>
  </si>
  <si>
    <t>וְסוֹמֵךְ</t>
  </si>
  <si>
    <t>תְמִימִם</t>
  </si>
  <si>
    <t>וְנַחֲלָתָם</t>
  </si>
  <si>
    <t>בְּעֵת</t>
  </si>
  <si>
    <t>וּבִימֵי</t>
  </si>
  <si>
    <t>רְעָבוֹן</t>
  </si>
  <si>
    <t>יֹאבֵדוּ</t>
  </si>
  <si>
    <t>וְאֹיְבֵי</t>
  </si>
  <si>
    <t>כִּיקַר</t>
  </si>
  <si>
    <t>כָּרִים</t>
  </si>
  <si>
    <t>כָּלוּ</t>
  </si>
  <si>
    <t>בֶעָשָׁן</t>
  </si>
  <si>
    <t>לוֶֹה</t>
  </si>
  <si>
    <t>יְשַׁלֵּם</t>
  </si>
  <si>
    <t>מְבֹרָכָיו</t>
  </si>
  <si>
    <t>וּמְקֻלָּלָיו</t>
  </si>
  <si>
    <t>מִצְעֲדֵי</t>
  </si>
  <si>
    <t>גֶבֶר</t>
  </si>
  <si>
    <t>כּוֹנָנוּ</t>
  </si>
  <si>
    <t>וְדַרְכּוֹ</t>
  </si>
  <si>
    <t>יוּטָל</t>
  </si>
  <si>
    <t>סוֹמֵךְ</t>
  </si>
  <si>
    <t>נַעַר</t>
  </si>
  <si>
    <t>זָקַנְתִּי</t>
  </si>
  <si>
    <t>רָאִיתִי</t>
  </si>
  <si>
    <t>נֶעֱזָב</t>
  </si>
  <si>
    <t>מְבַקֶּשׁ</t>
  </si>
  <si>
    <t>סוּר</t>
  </si>
  <si>
    <t>מֵרָע</t>
  </si>
  <si>
    <t>וּשְׁכֹן</t>
  </si>
  <si>
    <t>יַעֲזֹב</t>
  </si>
  <si>
    <t>נִשְׁמָרוּ</t>
  </si>
  <si>
    <t>וְזֶרַע</t>
  </si>
  <si>
    <t>וְיִשְׁכְּנוּ</t>
  </si>
  <si>
    <t>וּלְשׁוֹנוֹ</t>
  </si>
  <si>
    <t>תְּדַבֵּר</t>
  </si>
  <si>
    <t>תּוֹרַת</t>
  </si>
  <si>
    <t>בְּלִבּוֹ</t>
  </si>
  <si>
    <t>תִמְעַד</t>
  </si>
  <si>
    <t>מִזְמוֹר</t>
  </si>
  <si>
    <t>וּמְלוֹאָהּ</t>
  </si>
  <si>
    <t>וְיֹשְׁבֵי</t>
  </si>
  <si>
    <t>יַמִּים</t>
  </si>
  <si>
    <t>יְסָדָהּ</t>
  </si>
  <si>
    <t>יַעֲלֶה</t>
  </si>
  <si>
    <t>בְהַר</t>
  </si>
  <si>
    <t>בִּמְקוֹם</t>
  </si>
  <si>
    <t>נְקִי</t>
  </si>
  <si>
    <t>כַפַּיִם</t>
  </si>
  <si>
    <t>וּבַר</t>
  </si>
  <si>
    <t>נָשָׂא</t>
  </si>
  <si>
    <t>לַשָּׁוְא</t>
  </si>
  <si>
    <t>נִשְׁבַּע</t>
  </si>
  <si>
    <t>יִשָּׂא</t>
  </si>
  <si>
    <t>בְרָכָה</t>
  </si>
  <si>
    <t>מֵאֱלֹהֵי</t>
  </si>
  <si>
    <t>דֹּרְשָׁיו</t>
  </si>
  <si>
    <t>שְׂאוּ</t>
  </si>
  <si>
    <t>שְׁעָרִים</t>
  </si>
  <si>
    <t>רָאשֵׁיכֶם</t>
  </si>
  <si>
    <t>וְהִנָּשְׂאוּ</t>
  </si>
  <si>
    <t>פִּתְחֵי</t>
  </si>
  <si>
    <t>וְיָבוֹא</t>
  </si>
  <si>
    <t>הַכָּבוֹד</t>
  </si>
  <si>
    <t>עִזּוּז</t>
  </si>
  <si>
    <t>וְגִבּוֹר</t>
  </si>
  <si>
    <t>וּשְׂאוּ</t>
  </si>
  <si>
    <t>וְיָבֹא</t>
  </si>
  <si>
    <t>צְבָאוֹת</t>
  </si>
  <si>
    <t>בָטַחְתִּי</t>
  </si>
  <si>
    <t>יַעַלְצוּ</t>
  </si>
  <si>
    <t>קוֶֹיךָ</t>
  </si>
  <si>
    <t>הַבּוֹגְדִים</t>
  </si>
  <si>
    <t>דְּרָכֶיךָ</t>
  </si>
  <si>
    <t>הוֹדִיעֵנִי</t>
  </si>
  <si>
    <t>אֹרְחוֹתֶיךָ</t>
  </si>
  <si>
    <t>הָלַכְתִּי</t>
  </si>
  <si>
    <t>בְּחָנֵנִי</t>
  </si>
  <si>
    <t>וְנַסֵּנִי</t>
  </si>
  <si>
    <t>צָרְפָה</t>
  </si>
  <si>
    <t>כִלְיוֹתַי</t>
  </si>
  <si>
    <t>עֵינָי</t>
  </si>
  <si>
    <t>וְהִתְהַלַּכְתִּי</t>
  </si>
  <si>
    <t>יָשַׁבְתִּי</t>
  </si>
  <si>
    <t>נַעֲלָמִים</t>
  </si>
  <si>
    <t>אוֹרִי</t>
  </si>
  <si>
    <t>וְיִשְׁעִי</t>
  </si>
  <si>
    <t>מִמִּי</t>
  </si>
  <si>
    <t>מָעוֹז</t>
  </si>
  <si>
    <t>חַיַּי</t>
  </si>
  <si>
    <t>בִּקְרֹב</t>
  </si>
  <si>
    <t>לֶאֱכֹל</t>
  </si>
  <si>
    <t>בְּשָׂרִי</t>
  </si>
  <si>
    <t>צָרַי</t>
  </si>
  <si>
    <t>כָשְׁלוּ</t>
  </si>
  <si>
    <t>תַּחֲנֶה</t>
  </si>
  <si>
    <t>מַחֲנֶה</t>
  </si>
  <si>
    <t>תָּקוּם</t>
  </si>
  <si>
    <t>מִלְחָמָה</t>
  </si>
  <si>
    <t>אַחַת</t>
  </si>
  <si>
    <t>שָׁאַלְתִּי</t>
  </si>
  <si>
    <t>אוֹתָהּ</t>
  </si>
  <si>
    <t>אֲבַקֵּשׁ</t>
  </si>
  <si>
    <t>שִׁבְתִּי</t>
  </si>
  <si>
    <t>לַחֲזוֹת</t>
  </si>
  <si>
    <t>בְּנֹעַם</t>
  </si>
  <si>
    <t>וּלְבַקֵּר</t>
  </si>
  <si>
    <t>יִצְפְּנֵנִי</t>
  </si>
  <si>
    <t>בְּסֻכֹּה</t>
  </si>
  <si>
    <t>בְּיוֹם</t>
  </si>
  <si>
    <t>יַסְתִּרֵנִי</t>
  </si>
  <si>
    <t>אָהֳלוֹ</t>
  </si>
  <si>
    <t>בְּצוּר</t>
  </si>
  <si>
    <t>יָרוּם</t>
  </si>
  <si>
    <t>סְבִיבוֹתַי</t>
  </si>
  <si>
    <t>וְאֶזְבְּחָה</t>
  </si>
  <si>
    <t>בְאָהֳלוֹ</t>
  </si>
  <si>
    <t>תְרוּעָה</t>
  </si>
  <si>
    <t>אָשִׁירָה</t>
  </si>
  <si>
    <t>פָנָי</t>
  </si>
  <si>
    <t>תַּט</t>
  </si>
  <si>
    <t>בְּאַף</t>
  </si>
  <si>
    <t>עֶזְרָתִי</t>
  </si>
  <si>
    <t>תִּטְּשֵׁנִי</t>
  </si>
  <si>
    <t>אָבִי</t>
  </si>
  <si>
    <t>וְאִמִּי</t>
  </si>
  <si>
    <t>עֲזָבוּנִי</t>
  </si>
  <si>
    <t>וּנְחֵנִי</t>
  </si>
  <si>
    <t>בְּאֹרַח</t>
  </si>
  <si>
    <t>מִישׁוֹר</t>
  </si>
  <si>
    <t>תִּתְּנֵנִי</t>
  </si>
  <si>
    <t>בְּנֶפֶשׁ</t>
  </si>
  <si>
    <t>צָרָי</t>
  </si>
  <si>
    <t>קָמוּ</t>
  </si>
  <si>
    <t>וִיפֵחַ</t>
  </si>
  <si>
    <t>לוּלֵא</t>
  </si>
  <si>
    <t>בְּטוּב</t>
  </si>
  <si>
    <t>קַוֵּה</t>
  </si>
  <si>
    <t>חֲזַק</t>
  </si>
  <si>
    <t>וְיַאֲמֵץ</t>
  </si>
  <si>
    <t>לִבֶּךָ</t>
  </si>
  <si>
    <t>וְקַוֵּה</t>
  </si>
  <si>
    <t>תֶּחֱשֶׁה</t>
  </si>
  <si>
    <t>וְנִמְשַׁלְתִּי</t>
  </si>
  <si>
    <t>תַּחֲנוּנַי</t>
  </si>
  <si>
    <t>בְּשַׁוְּעִי</t>
  </si>
  <si>
    <t>בְּנָשְׂאִי</t>
  </si>
  <si>
    <t>דְּבִיר</t>
  </si>
  <si>
    <t>תִּמְשְׁכֵנִי</t>
  </si>
  <si>
    <t>דֹּבְרֵי</t>
  </si>
  <si>
    <t>רֵעֵיהֶם</t>
  </si>
  <si>
    <t>וְרָעָה</t>
  </si>
  <si>
    <t>תֶּן</t>
  </si>
  <si>
    <t>כְּפָעֳלָם</t>
  </si>
  <si>
    <t>וּכְרֹעַ</t>
  </si>
  <si>
    <t>מַעַלְלֵיהֶם</t>
  </si>
  <si>
    <t>כְּמַעֲשֵׂה</t>
  </si>
  <si>
    <t>יְדֵיהֶם</t>
  </si>
  <si>
    <t>תֵּן</t>
  </si>
  <si>
    <t>גְּמוּלָם</t>
  </si>
  <si>
    <t>יָבִינוּ</t>
  </si>
  <si>
    <t>פְּעֻלֹּת</t>
  </si>
  <si>
    <t>יֶהֶרְסֵם</t>
  </si>
  <si>
    <t>מַשְׂכִּיל</t>
  </si>
  <si>
    <t>נְשׂוּי</t>
  </si>
  <si>
    <t>פֶּשַׁע</t>
  </si>
  <si>
    <t>כְּסוּי</t>
  </si>
  <si>
    <t>עָוֹן</t>
  </si>
  <si>
    <t>בְּרוּחוֹ</t>
  </si>
  <si>
    <t>הֶחֱרַשְׁתִּי</t>
  </si>
  <si>
    <t>בָּלוּ</t>
  </si>
  <si>
    <t>עֲצָמָי</t>
  </si>
  <si>
    <t>בְּשַׁאֲגָתִי</t>
  </si>
  <si>
    <t>וָלַיְלָה</t>
  </si>
  <si>
    <t>תִּכְבַּד</t>
  </si>
  <si>
    <t>יָדֶךָ</t>
  </si>
  <si>
    <t>נֶהְפַּךְ</t>
  </si>
  <si>
    <t>לְשַׁדִּי</t>
  </si>
  <si>
    <t>בְּחַרְבֹנֵי</t>
  </si>
  <si>
    <t>קַיִץ</t>
  </si>
  <si>
    <t>חַטָּאתִי</t>
  </si>
  <si>
    <t>אוֹדִיעֲךָ</t>
  </si>
  <si>
    <t>וַעֲוֹנִי</t>
  </si>
  <si>
    <t>כִסִּיתִי</t>
  </si>
  <si>
    <t>פְשָׁעַי</t>
  </si>
  <si>
    <t>נָשָׂאתָ</t>
  </si>
  <si>
    <t>עֲוֹן</t>
  </si>
  <si>
    <t>זֹאת</t>
  </si>
  <si>
    <t>יִתְפַּלֵּל</t>
  </si>
  <si>
    <t>מְצֹא</t>
  </si>
  <si>
    <t>לְשֵׁטֶף</t>
  </si>
  <si>
    <t>אֵלָיו</t>
  </si>
  <si>
    <t>סֵתֶר</t>
  </si>
  <si>
    <t>מִצַּר</t>
  </si>
  <si>
    <t>תִּצְּרֵנִי</t>
  </si>
  <si>
    <t>רָנֵּי</t>
  </si>
  <si>
    <t>פַלֵּט</t>
  </si>
  <si>
    <t>תְּסוֹבְבֵנִי</t>
  </si>
  <si>
    <t>אַשְׂכִּילְךָ</t>
  </si>
  <si>
    <t>וְאוֹרְךָ</t>
  </si>
  <si>
    <t>תֵלֵךְ</t>
  </si>
  <si>
    <t>אִיעֲצָה</t>
  </si>
  <si>
    <t>תִּהְיוּ</t>
  </si>
  <si>
    <t>כְּסוּס</t>
  </si>
  <si>
    <t>כְּפֶרֶד</t>
  </si>
  <si>
    <t>הָבִין</t>
  </si>
  <si>
    <t>בְּמֶתֶג</t>
  </si>
  <si>
    <t>וָרֶסֶן</t>
  </si>
  <si>
    <t>עֶדְיוֹ</t>
  </si>
  <si>
    <t>לִבְלוֹם</t>
  </si>
  <si>
    <t>קְרֹב</t>
  </si>
  <si>
    <t>מַכְאוֹבִים</t>
  </si>
  <si>
    <t>וְהַבּוֹטֵחַ</t>
  </si>
  <si>
    <t>בַייָ</t>
  </si>
  <si>
    <t>וְהַרְנִינוּ</t>
  </si>
  <si>
    <t>בְּשַׁנּוֹתוֹ</t>
  </si>
  <si>
    <t>טַעְמוֹ</t>
  </si>
  <si>
    <t>אֲבִימֶלֶךְ</t>
  </si>
  <si>
    <t>וַיְגָרֲשֵׁהוּ</t>
  </si>
  <si>
    <t>אֲבָרֲכָה</t>
  </si>
  <si>
    <t>תִּתְהַלֵּל</t>
  </si>
  <si>
    <t>יִשְׁמְעוּ</t>
  </si>
  <si>
    <t>גַּדְּלוּ</t>
  </si>
  <si>
    <t>אִתִּי</t>
  </si>
  <si>
    <t>וּנְרוֹמְמָה</t>
  </si>
  <si>
    <t>דָּרַשְׁתִּי</t>
  </si>
  <si>
    <t>וְעָנָנִי</t>
  </si>
  <si>
    <t>וּמִכָּל</t>
  </si>
  <si>
    <t>מְגוּרוֹתַי</t>
  </si>
  <si>
    <t>הִבִּיטוּ</t>
  </si>
  <si>
    <t>וְנָהָרוּ</t>
  </si>
  <si>
    <t>וּפְנֵיהֶם</t>
  </si>
  <si>
    <t>קָרָא</t>
  </si>
  <si>
    <t>שָׁמֵעַ</t>
  </si>
  <si>
    <t>צָרוֹתָיו</t>
  </si>
  <si>
    <t>חֹנֶה</t>
  </si>
  <si>
    <t>מַלְאַךְ</t>
  </si>
  <si>
    <t>טַעֲמוּ</t>
  </si>
  <si>
    <t>וּרְאוּ</t>
  </si>
  <si>
    <t>יֶחֱסֶה</t>
  </si>
  <si>
    <t>יְראוּ</t>
  </si>
  <si>
    <t>קְדֹשָׁיו</t>
  </si>
  <si>
    <t>מַחְסוֹר</t>
  </si>
  <si>
    <t>כְּפִירִים</t>
  </si>
  <si>
    <t>רָשׁוּ</t>
  </si>
  <si>
    <t>וְרָעֵבוּ</t>
  </si>
  <si>
    <t>יַחְסְרוּ</t>
  </si>
  <si>
    <t>לְכוּ</t>
  </si>
  <si>
    <t>בָנִים</t>
  </si>
  <si>
    <t>שִׁמְעוּ</t>
  </si>
  <si>
    <t>נְצֹר</t>
  </si>
  <si>
    <t>לְשׁוֹנְךָ</t>
  </si>
  <si>
    <t>וּשְׂפָתֶיךָ</t>
  </si>
  <si>
    <t>מִדַּבֵּר</t>
  </si>
  <si>
    <t>בַּקֵּשׁ</t>
  </si>
  <si>
    <t>עֵינֵי</t>
  </si>
  <si>
    <t>וְאָזְנָיו</t>
  </si>
  <si>
    <t>בְּעֹשֵׂי</t>
  </si>
  <si>
    <t>לְהַכְרִית</t>
  </si>
  <si>
    <t>מֵאֶרֶץ</t>
  </si>
  <si>
    <t>רִיבָה</t>
  </si>
  <si>
    <t>יְרִיבַי</t>
  </si>
  <si>
    <t>לְחַם</t>
  </si>
  <si>
    <t>בַּמְּרֵעִים</t>
  </si>
  <si>
    <t>תְּקַנֵּא</t>
  </si>
  <si>
    <t>אַשְׂכִּילָה</t>
  </si>
  <si>
    <t>אֵלָי</t>
  </si>
  <si>
    <t>בְּתָם</t>
  </si>
  <si>
    <t>בְּקֶרֶב</t>
  </si>
  <si>
    <t>בְּלִיָּעַל</t>
  </si>
  <si>
    <t>עֲשֹׂה</t>
  </si>
  <si>
    <t>סֵטִים</t>
  </si>
  <si>
    <t>שָׂנֵאתִי</t>
  </si>
  <si>
    <t>יִדְבַּק</t>
  </si>
  <si>
    <t>יָסוּר</t>
  </si>
  <si>
    <t>מְלָשְׁנִי</t>
  </si>
  <si>
    <t>בַסֵּתֶר</t>
  </si>
  <si>
    <t>אוֹתוֹ</t>
  </si>
  <si>
    <t>אַצְמִית</t>
  </si>
  <si>
    <t>גְּבַהּ</t>
  </si>
  <si>
    <t>אֹתוֹ</t>
  </si>
  <si>
    <t>בְּנֶאֶמְנֵי</t>
  </si>
  <si>
    <t>לָשֶׁבֶת</t>
  </si>
  <si>
    <t>הֹלֵךְ</t>
  </si>
  <si>
    <t>בֵּיתִי</t>
  </si>
  <si>
    <t>רְמִיָּה</t>
  </si>
  <si>
    <t>דֹּבֵר</t>
  </si>
  <si>
    <t>שְׁקָרִים</t>
  </si>
  <si>
    <t>יִכּוֹן</t>
  </si>
  <si>
    <t>לַבְּקָרִים</t>
  </si>
  <si>
    <t>רִשְׁעֵי</t>
  </si>
  <si>
    <t>מֵעִיר</t>
  </si>
  <si>
    <t>קְרָבַי</t>
  </si>
  <si>
    <t>תִּשְׁכְּחִי</t>
  </si>
  <si>
    <t>הַסֹּלֵחַ</t>
  </si>
  <si>
    <t>עֲוֹנֵכִי</t>
  </si>
  <si>
    <t>הַגּוֹאֵל</t>
  </si>
  <si>
    <t>מִשַּׁחַת</t>
  </si>
  <si>
    <t>חַיָּיְכִי</t>
  </si>
  <si>
    <t>הַמְעַטְּרֵכִי</t>
  </si>
  <si>
    <t>הַמַּשְׂבִּיַע</t>
  </si>
  <si>
    <t>בַּטּוֹב</t>
  </si>
  <si>
    <t>עֶדְיֵךְ</t>
  </si>
  <si>
    <t>תִּתְחַדֵּשׁ</t>
  </si>
  <si>
    <t>כַּנֶּשֶׁר</t>
  </si>
  <si>
    <t>יוֹדִיעַ</t>
  </si>
  <si>
    <t>דְּרָכָיו</t>
  </si>
  <si>
    <t>רַחוּם</t>
  </si>
  <si>
    <t>וְחַנּוּן</t>
  </si>
  <si>
    <t>אֶרֶךְ</t>
  </si>
  <si>
    <t>אַפַּיִם</t>
  </si>
  <si>
    <t>יָרִיב</t>
  </si>
  <si>
    <t>כַחֲטָאֵינוּ</t>
  </si>
  <si>
    <t>כַעֲוֹנֹתֵינוּ</t>
  </si>
  <si>
    <t>כִגְבֹהַּ</t>
  </si>
  <si>
    <t>גָּבַר</t>
  </si>
  <si>
    <t>כִּרְחֹק</t>
  </si>
  <si>
    <t>מִזְרָח</t>
  </si>
  <si>
    <t>מִמַּעֲרָב</t>
  </si>
  <si>
    <t>הִרְחִיק</t>
  </si>
  <si>
    <t>כְּרַחֵם</t>
  </si>
  <si>
    <t>אָב</t>
  </si>
  <si>
    <t>בָּנִים</t>
  </si>
  <si>
    <t>רִחַם</t>
  </si>
  <si>
    <t>יִצְרֵנוּ</t>
  </si>
  <si>
    <t>זָכוּר</t>
  </si>
  <si>
    <t>כֶּחָצִיר</t>
  </si>
  <si>
    <t>יָמָיו</t>
  </si>
  <si>
    <t>כְּצִיץ</t>
  </si>
  <si>
    <t>הַשָּׂדֶה</t>
  </si>
  <si>
    <t>עָבְרָה</t>
  </si>
  <si>
    <t>וְאֵינֶנּוּ</t>
  </si>
  <si>
    <t>יַכִּירֶנּוּ</t>
  </si>
  <si>
    <t>עוֹד</t>
  </si>
  <si>
    <t>וְחֶסֶד</t>
  </si>
  <si>
    <t>לְשֹׁמְרֵי</t>
  </si>
  <si>
    <t>וּלְזֹכְרֵי</t>
  </si>
  <si>
    <t>פִקֻּדָיו</t>
  </si>
  <si>
    <t>וּמַלְכוּתוֹ</t>
  </si>
  <si>
    <t>בַּכֹּל</t>
  </si>
  <si>
    <t>גִּבֹּרֵי</t>
  </si>
  <si>
    <t>כֹחַ</t>
  </si>
  <si>
    <t>לִשְׁמֹעַ</t>
  </si>
  <si>
    <t>צְבָאָיו</t>
  </si>
  <si>
    <t>מְקֹמוֹת</t>
  </si>
  <si>
    <t>מֶמְשַׁלְתּוֹ</t>
  </si>
  <si>
    <t>נְאֻם</t>
  </si>
  <si>
    <t>לַאדֹנִי</t>
  </si>
  <si>
    <t>שֵׁב</t>
  </si>
  <si>
    <t>לִימִינִי</t>
  </si>
  <si>
    <t>אֹיְבֶיךָ</t>
  </si>
  <si>
    <t>הֲדֹם</t>
  </si>
  <si>
    <t>עֻזְּךָ</t>
  </si>
  <si>
    <t>רְדֵה</t>
  </si>
  <si>
    <t>נְדָבֹת</t>
  </si>
  <si>
    <t>חֵילֶךָ</t>
  </si>
  <si>
    <t>בְּהַדְרֵי</t>
  </si>
  <si>
    <t>מֵרֶחֶם</t>
  </si>
  <si>
    <t>מִשְׁחָר</t>
  </si>
  <si>
    <t>טַל</t>
  </si>
  <si>
    <t>יִנָּחֵם</t>
  </si>
  <si>
    <t>כֹהֵן</t>
  </si>
  <si>
    <t>דִּבְרָתִי</t>
  </si>
  <si>
    <t>יְמִינְךָ</t>
  </si>
  <si>
    <t>מָחַץ</t>
  </si>
  <si>
    <t>מָלֵא</t>
  </si>
  <si>
    <t>גְוִיּוֹת</t>
  </si>
  <si>
    <t>רֹאשׁ</t>
  </si>
  <si>
    <t>מִנַּחַל</t>
  </si>
  <si>
    <t>בַּדֶּרֶךְ</t>
  </si>
  <si>
    <t>יִשְׁתֶּה</t>
  </si>
  <si>
    <t>אֶשְׁתַּחֲוֶה</t>
  </si>
  <si>
    <t>הֵיכַל</t>
  </si>
  <si>
    <t>קָדְשְׁךָ</t>
  </si>
  <si>
    <t>וְאוֹדֶה</t>
  </si>
  <si>
    <t>אֲמִתֶּךָ</t>
  </si>
  <si>
    <t>הִגְדַּלְתָּ</t>
  </si>
  <si>
    <t>תַּרְהִבֵנִי</t>
  </si>
  <si>
    <t>בְנַפְשִׁי</t>
  </si>
  <si>
    <t>יוֹדוּךָ</t>
  </si>
  <si>
    <t>וְיָשִׁירוּ</t>
  </si>
  <si>
    <t>בְּדַרְכֵי</t>
  </si>
  <si>
    <t>כְּבוֹד</t>
  </si>
  <si>
    <t>וְשָׁפָל</t>
  </si>
  <si>
    <t>וְגָבֹהַּ</t>
  </si>
  <si>
    <t>מִמֶּרְחָק</t>
  </si>
  <si>
    <t>תְּחַיֵּנִי</t>
  </si>
  <si>
    <t>תִּשְׁלַח</t>
  </si>
  <si>
    <t>וְתוֹשִׁיעֵנִי</t>
  </si>
  <si>
    <t>יִגְמֹר</t>
  </si>
  <si>
    <t>בַּעֲדִי</t>
  </si>
  <si>
    <t>יָדֶיךָ</t>
  </si>
  <si>
    <t>לַקְרָב</t>
  </si>
  <si>
    <t>אֶצְבְּעוֹתַי</t>
  </si>
  <si>
    <t>חַסְדִּי</t>
  </si>
  <si>
    <t>מִשְׂגַּבִּי</t>
  </si>
  <si>
    <t>וּמְפַלְטִי</t>
  </si>
  <si>
    <t>מָגִנִּי</t>
  </si>
  <si>
    <t>וּבוֹ</t>
  </si>
  <si>
    <t>הָרוֹדֵד</t>
  </si>
  <si>
    <t>עַמִּי</t>
  </si>
  <si>
    <t>וַתֵּדָעֵהוּ</t>
  </si>
  <si>
    <t>לַהֶבֶל</t>
  </si>
  <si>
    <t>דָּמָה</t>
  </si>
  <si>
    <t>כְּצֵל</t>
  </si>
  <si>
    <t>וְתֵרֵד</t>
  </si>
  <si>
    <t>גַּע</t>
  </si>
  <si>
    <t>בֶּהָרִים</t>
  </si>
  <si>
    <t>בְּרוֹק</t>
  </si>
  <si>
    <t>בָּרָק</t>
  </si>
  <si>
    <t>וּתְפִיצֵם</t>
  </si>
  <si>
    <t>שְׁלַח</t>
  </si>
  <si>
    <t>חִצֶּיךָ</t>
  </si>
  <si>
    <t>פְּצֵנִי</t>
  </si>
  <si>
    <t>דִּבֶּר</t>
  </si>
  <si>
    <t>עָשׂוֹר</t>
  </si>
  <si>
    <t>תְּשׁוּעָה</t>
  </si>
  <si>
    <t>לַמְּלָכִים</t>
  </si>
  <si>
    <t>הַפּוֹצֶה</t>
  </si>
  <si>
    <t>דָּוִד</t>
  </si>
  <si>
    <t>מֵחֶרֶב</t>
  </si>
  <si>
    <t>בָּנֵינוּ</t>
  </si>
  <si>
    <t>כִּנְטִעִים</t>
  </si>
  <si>
    <t>מְגֻדָּלִים</t>
  </si>
  <si>
    <t>בִּנְעוּרֵיהֶם</t>
  </si>
  <si>
    <t>בְּנוֹתֵינוּ</t>
  </si>
  <si>
    <t>כְזָוִיֹּת</t>
  </si>
  <si>
    <t>מְחֻטָּבוֹת</t>
  </si>
  <si>
    <t>תַּבְנִית</t>
  </si>
  <si>
    <t>מְזָוֵינוּ</t>
  </si>
  <si>
    <t>מְלֵאִים</t>
  </si>
  <si>
    <t>מְפִיקִים</t>
  </si>
  <si>
    <t>מִזַּן</t>
  </si>
  <si>
    <t>זַן</t>
  </si>
  <si>
    <t>צֹאונֵנוּ</t>
  </si>
  <si>
    <t>מַאֲלִיפוֹת</t>
  </si>
  <si>
    <t>מְרֻבָּבוֹת</t>
  </si>
  <si>
    <t>אַלּוּפֵינוּ</t>
  </si>
  <si>
    <t>מְסֻבָּלִים</t>
  </si>
  <si>
    <t>פֶּרֶץ</t>
  </si>
  <si>
    <t>יוֹצֵאת</t>
  </si>
  <si>
    <t>צְוָחָה</t>
  </si>
  <si>
    <t>שֶׁכָּכָה</t>
  </si>
  <si>
    <t>לּוֹ</t>
  </si>
  <si>
    <t>נְרַנְּנָה</t>
  </si>
  <si>
    <t>נָרִיעָה</t>
  </si>
  <si>
    <t>נְקַדְּמָה</t>
  </si>
  <si>
    <t>בִּזְמִרוֹת</t>
  </si>
  <si>
    <t>נָרִיעַ</t>
  </si>
  <si>
    <t>וּמֶלֶךְ</t>
  </si>
  <si>
    <t>בְּיָדוֹ</t>
  </si>
  <si>
    <t>מֶחְקְרֵי</t>
  </si>
  <si>
    <t>וְתוֹעֲפוֹת</t>
  </si>
  <si>
    <t>עָשָׂהוּ</t>
  </si>
  <si>
    <t>וְיַבֶּשֶׁת</t>
  </si>
  <si>
    <t>בֹּאוּ</t>
  </si>
  <si>
    <t>נִשְׁתַּחֲוֶה</t>
  </si>
  <si>
    <t>וְנִכְרָעָה</t>
  </si>
  <si>
    <t>נִבְרְכָה</t>
  </si>
  <si>
    <t>וַאֲנַחְנוּ</t>
  </si>
  <si>
    <t>מַרְעִיתוֹ</t>
  </si>
  <si>
    <t>וְצֹאן</t>
  </si>
  <si>
    <t>בְּקֹלוֹ</t>
  </si>
  <si>
    <t>תַּקְשׁוּ</t>
  </si>
  <si>
    <t>לְבַבְכֶם</t>
  </si>
  <si>
    <t>כִּמְרִיבָה</t>
  </si>
  <si>
    <t>כְּיוֹם</t>
  </si>
  <si>
    <t>מַסָּה</t>
  </si>
  <si>
    <t>נִסּוּנִי</t>
  </si>
  <si>
    <t>אֲבוֹתֵיכֶם</t>
  </si>
  <si>
    <t>בְּחָנוּנִי</t>
  </si>
  <si>
    <t>אַרְבָּעִים</t>
  </si>
  <si>
    <t>שָׁנָה</t>
  </si>
  <si>
    <t>אָקוּט</t>
  </si>
  <si>
    <t>בְּדוֹר</t>
  </si>
  <si>
    <t>וָאֹמַר</t>
  </si>
  <si>
    <t>תֹּעֵי</t>
  </si>
  <si>
    <t>הֵם</t>
  </si>
  <si>
    <t>וְהֵם</t>
  </si>
  <si>
    <t>יָדְעוּ</t>
  </si>
  <si>
    <t>נִשְׁבַּעְתִּי</t>
  </si>
  <si>
    <t>בְאַפִּי</t>
  </si>
  <si>
    <t>יְבֹאוּן</t>
  </si>
  <si>
    <t>קֹרַח</t>
  </si>
  <si>
    <t>יְסוּדָתוֹ</t>
  </si>
  <si>
    <t>בְּהַרְרֵי</t>
  </si>
  <si>
    <t>מִשְׁכְּנוֹת</t>
  </si>
  <si>
    <t>נִכְבָּדוֹת</t>
  </si>
  <si>
    <t>מְדֻבָּר</t>
  </si>
  <si>
    <t>בָּךְ</t>
  </si>
  <si>
    <t>רַהַב</t>
  </si>
  <si>
    <t>וּבָבֶל</t>
  </si>
  <si>
    <t>לְיֹדְעָי</t>
  </si>
  <si>
    <t>פְלֶשֶׁת</t>
  </si>
  <si>
    <t>וְצוֹר</t>
  </si>
  <si>
    <t>כּוּשׁ</t>
  </si>
  <si>
    <t>יֻלַּד</t>
  </si>
  <si>
    <t>וּלֲצִיּוֹן</t>
  </si>
  <si>
    <t>יֵאָמַר</t>
  </si>
  <si>
    <t>וְאִישׁ</t>
  </si>
  <si>
    <t>בָּהּ</t>
  </si>
  <si>
    <t>יְכוֹנְנֶהָ</t>
  </si>
  <si>
    <t>יִסְפֹּר</t>
  </si>
  <si>
    <t>בִּכְתוֹב</t>
  </si>
  <si>
    <t>וְשָׁרִים</t>
  </si>
  <si>
    <t>כְּחֹלְלִים</t>
  </si>
  <si>
    <t>מַעְיָנַי</t>
  </si>
  <si>
    <t>סְחַרְחַר</t>
  </si>
  <si>
    <t>עֲזָבַנִי</t>
  </si>
  <si>
    <t>כֹחִי</t>
  </si>
  <si>
    <t>וְאוֹר</t>
  </si>
  <si>
    <t>לִקְדוֹשִׁים</t>
  </si>
  <si>
    <t>וְאַדִּירֵי</t>
  </si>
  <si>
    <t>חֶפְצִי</t>
  </si>
  <si>
    <t>יִרְבּוּ</t>
  </si>
  <si>
    <t>עַצְּבוֹתָם</t>
  </si>
  <si>
    <t>אַחֵר</t>
  </si>
  <si>
    <t>מָהָרוּ</t>
  </si>
  <si>
    <t>אַסִּיךְ</t>
  </si>
  <si>
    <t>נִסְכֵּיהֶם</t>
  </si>
  <si>
    <t>מִדָּם</t>
  </si>
  <si>
    <t>וּבַל</t>
  </si>
  <si>
    <t>שְׁמוֹתָם</t>
  </si>
  <si>
    <t>חֶלְקִי</t>
  </si>
  <si>
    <t>וְכוֹסִי</t>
  </si>
  <si>
    <t>תּוֹמִיךְ</t>
  </si>
  <si>
    <t>חֲבָלִים</t>
  </si>
  <si>
    <t>בַּנְּעִמִים</t>
  </si>
  <si>
    <t>נַחֲלָת</t>
  </si>
  <si>
    <t>שָׁפְרָה</t>
  </si>
  <si>
    <t>יְעָצָנִי</t>
  </si>
  <si>
    <t>לֵילוֹת</t>
  </si>
  <si>
    <t>יִסְּרוּנִי</t>
  </si>
  <si>
    <t>שִׁוִּיתִי</t>
  </si>
  <si>
    <t>מִימִינִי</t>
  </si>
  <si>
    <t>לָכֵן</t>
  </si>
  <si>
    <t>שָׂמַח</t>
  </si>
  <si>
    <t>וַיָּגֶל</t>
  </si>
  <si>
    <t>כְּבוֹדִי</t>
  </si>
  <si>
    <t>יִשְׁכֹּן</t>
  </si>
  <si>
    <t>תַעֲזֹב</t>
  </si>
  <si>
    <t>לִשְׁאוֹל</t>
  </si>
  <si>
    <t>תִתֵּן</t>
  </si>
  <si>
    <t>חֲסִידְךָ</t>
  </si>
  <si>
    <t>תּוֹדִיעֵנִי</t>
  </si>
  <si>
    <t>אֹרַח</t>
  </si>
  <si>
    <t>שֹׂבַע</t>
  </si>
  <si>
    <t>שְׂמָחוֹת</t>
  </si>
  <si>
    <t>נְעִמוֹת</t>
  </si>
  <si>
    <t>בִּימִינְךָ</t>
  </si>
  <si>
    <t>לִשְׁלֹמֹה</t>
  </si>
  <si>
    <t>לְמֶלֶךְ</t>
  </si>
  <si>
    <t>לְבֶן</t>
  </si>
  <si>
    <t>בְצֶדֶק</t>
  </si>
  <si>
    <t>וַעֲנִיֶּיךָ</t>
  </si>
  <si>
    <t>לָעָם</t>
  </si>
  <si>
    <t>וּגְבָעוֹת</t>
  </si>
  <si>
    <t>עֲנִיֵּי</t>
  </si>
  <si>
    <t>יוֹשִׁיעַ</t>
  </si>
  <si>
    <t>וִידַכֵּא</t>
  </si>
  <si>
    <t>יִירָאוּךָ</t>
  </si>
  <si>
    <t>שָׁמֶשׁ</t>
  </si>
  <si>
    <t>וְלִפְנֵי</t>
  </si>
  <si>
    <t>יֵרֵד</t>
  </si>
  <si>
    <t>כְּמָטָר</t>
  </si>
  <si>
    <t>גֵּז</t>
  </si>
  <si>
    <t>כִּרְבִיבִים</t>
  </si>
  <si>
    <t>זַרְזִיף</t>
  </si>
  <si>
    <t>יִפְרַח</t>
  </si>
  <si>
    <t>בְּיָמָיו</t>
  </si>
  <si>
    <t>וְרֹב</t>
  </si>
  <si>
    <t>בְּלִי</t>
  </si>
  <si>
    <t>וְיֵרְדְּ</t>
  </si>
  <si>
    <t>מִיָּם</t>
  </si>
  <si>
    <t>וּמִנָּהָר</t>
  </si>
  <si>
    <t>יִכְרְעוּ</t>
  </si>
  <si>
    <t>צִיִּים</t>
  </si>
  <si>
    <t>וְאֹיְבָיו</t>
  </si>
  <si>
    <t>תַרְשִׁישׁ</t>
  </si>
  <si>
    <t>וְאִיִּים</t>
  </si>
  <si>
    <t>מִנְחָה</t>
  </si>
  <si>
    <t>יָשִׁיבוּ</t>
  </si>
  <si>
    <t>שְׁבָא</t>
  </si>
  <si>
    <t>וּסְבָא</t>
  </si>
  <si>
    <t>אֶשְׁכָּר</t>
  </si>
  <si>
    <t>וְיִשְׁתַּחֲווּ</t>
  </si>
  <si>
    <t>יַצִּיל</t>
  </si>
  <si>
    <t>מְשַׁוֵּעַ</t>
  </si>
  <si>
    <t>יָחֹס</t>
  </si>
  <si>
    <t>דַּל</t>
  </si>
  <si>
    <t>וְנַפְשׁוֹת</t>
  </si>
  <si>
    <t>מִתּוֹךְ</t>
  </si>
  <si>
    <t>וּמֵחָמָס</t>
  </si>
  <si>
    <t>יִגְאַל</t>
  </si>
  <si>
    <t>וְיֵיקַר</t>
  </si>
  <si>
    <t>דָּמָם</t>
  </si>
  <si>
    <t>וִיחִי</t>
  </si>
  <si>
    <t>מִזְּהַב</t>
  </si>
  <si>
    <t>וְיִתְפַּלֵּל</t>
  </si>
  <si>
    <t>בַּעֲדוֹ</t>
  </si>
  <si>
    <t>פִסַּת</t>
  </si>
  <si>
    <t>בַּר</t>
  </si>
  <si>
    <t>בְּרֹאשׁ</t>
  </si>
  <si>
    <t>יִרְעַשׁ</t>
  </si>
  <si>
    <t>כַּלְּבָנוֹן</t>
  </si>
  <si>
    <t>וְיָצִיצוּ</t>
  </si>
  <si>
    <t>כְּעֵשֶׂב</t>
  </si>
  <si>
    <t>יִנּוֹן</t>
  </si>
  <si>
    <t>וְיִתְבָּרְכוּ</t>
  </si>
  <si>
    <t>כְּבוֹדוֹ</t>
  </si>
  <si>
    <t>וְיִמָּלֵא</t>
  </si>
  <si>
    <t>כְבוֹדוֹ</t>
  </si>
  <si>
    <t>כָּלּוּ</t>
  </si>
  <si>
    <t>תְפִלּוֹת</t>
  </si>
  <si>
    <t>לַמְנַצֵּח</t>
  </si>
  <si>
    <t>בִּנְגִינֹת</t>
  </si>
  <si>
    <t>יְחָנֵּנוּ</t>
  </si>
  <si>
    <t>וִיבָרְכֵנוּ</t>
  </si>
  <si>
    <t>יָאֵר</t>
  </si>
  <si>
    <t>פָּנָיו</t>
  </si>
  <si>
    <t>לָדַעַת</t>
  </si>
  <si>
    <t>וִירַנְּנוּ</t>
  </si>
  <si>
    <t>תִשְׁפֹּט</t>
  </si>
  <si>
    <t>וּלְאֻמִּים</t>
  </si>
  <si>
    <t>תַּנְחֵם</t>
  </si>
  <si>
    <t>נָתְנָה</t>
  </si>
  <si>
    <t>יְבוּלָהּ</t>
  </si>
  <si>
    <t>יְבָרְכֵנוּ</t>
  </si>
  <si>
    <t>וְיִירְאוּ</t>
  </si>
  <si>
    <t>לַמְנַצֵּחַ</t>
  </si>
  <si>
    <t>בִּנְגִינוֹת</t>
  </si>
  <si>
    <t>הַנְּחִילוֹת</t>
  </si>
  <si>
    <t>אֲמָרַי</t>
  </si>
  <si>
    <t>הַאֲזִינָה</t>
  </si>
  <si>
    <t>בִּינָה</t>
  </si>
  <si>
    <t>הַקְשִׁיבָה</t>
  </si>
  <si>
    <t>לְקוֹל</t>
  </si>
  <si>
    <t>שַׁוְעִי</t>
  </si>
  <si>
    <t>בֹּקֶר</t>
  </si>
  <si>
    <t>תִּשְׁמַע</t>
  </si>
  <si>
    <t>אֶעֱרָךְ</t>
  </si>
  <si>
    <t>רֶשַׁע</t>
  </si>
  <si>
    <t>יְגֻרְךָ</t>
  </si>
  <si>
    <t>הוֹלְלִים</t>
  </si>
  <si>
    <t>עֵינֶיךָ</t>
  </si>
  <si>
    <t>שָׂנֵאתָ</t>
  </si>
  <si>
    <t>תְּאַבֵּד</t>
  </si>
  <si>
    <t>יְתָעֵב</t>
  </si>
  <si>
    <t>בֵיתֶךָ</t>
  </si>
  <si>
    <t>נְחֵנִי</t>
  </si>
  <si>
    <t>בְצִדְקָתֶךָ</t>
  </si>
  <si>
    <t>שׁוֹרְרָי</t>
  </si>
  <si>
    <t>הַיְשַׁר</t>
  </si>
  <si>
    <t>בְּפִיהוּ</t>
  </si>
  <si>
    <t>נְכוֹנָה</t>
  </si>
  <si>
    <t>קִרְבָּם</t>
  </si>
  <si>
    <t>קֶבֶר</t>
  </si>
  <si>
    <t>פָּתוּחַ</t>
  </si>
  <si>
    <t>גְּרוֹנָם</t>
  </si>
  <si>
    <t>לְשׁוֹנָם</t>
  </si>
  <si>
    <t>הַשְּׁמִינִית</t>
  </si>
  <si>
    <t>בְּאַפְּךָ</t>
  </si>
  <si>
    <t>תוֹכִיחֵנִי</t>
  </si>
  <si>
    <t>בַּחֲמָתְךָ</t>
  </si>
  <si>
    <t>אֻמְלַל</t>
  </si>
  <si>
    <t>אָנִי</t>
  </si>
  <si>
    <t>רְפָאֵנִי</t>
  </si>
  <si>
    <t>נִבְהֲלוּ</t>
  </si>
  <si>
    <t>נִבְהֲלָה</t>
  </si>
  <si>
    <t>שׁוּבָה</t>
  </si>
  <si>
    <t>חַלְּצָה</t>
  </si>
  <si>
    <t>הוֹשִׁיעֵנִי</t>
  </si>
  <si>
    <t>הַגִּתִּית</t>
  </si>
  <si>
    <t>עַלְמוּת</t>
  </si>
  <si>
    <t>לַבֵּן</t>
  </si>
  <si>
    <t>אֶשְׂמְחָה</t>
  </si>
  <si>
    <t>וְאֶעֶלְצָה</t>
  </si>
  <si>
    <t>בְּשׁוּב</t>
  </si>
  <si>
    <t>יִכָּשְׁלוּ</t>
  </si>
  <si>
    <t>וְיֹאבְדוּ</t>
  </si>
  <si>
    <t>אֵיךְ</t>
  </si>
  <si>
    <t>תֹּאמְרוּ</t>
  </si>
  <si>
    <t>נוּדִי</t>
  </si>
  <si>
    <t>הַרְכֶם</t>
  </si>
  <si>
    <t>אָנָה</t>
  </si>
  <si>
    <t>תִּשְׁכָּחֵנִי</t>
  </si>
  <si>
    <t>נֶצַח</t>
  </si>
  <si>
    <t>עֵצוֹת</t>
  </si>
  <si>
    <t>בְּנַפְשִׁי</t>
  </si>
  <si>
    <t>יָגוֹן</t>
  </si>
  <si>
    <t>בִּלְבָבִי</t>
  </si>
  <si>
    <t>הַבִּיטָה</t>
  </si>
  <si>
    <t>הָאִירָה</t>
  </si>
  <si>
    <t>אִישַׁן</t>
  </si>
  <si>
    <t>נָבָל</t>
  </si>
  <si>
    <t>הִשְׁחִיתוּ</t>
  </si>
  <si>
    <t>הִתְעִיבוּ</t>
  </si>
  <si>
    <t>עֲלִילָה</t>
  </si>
  <si>
    <t>הִשְׁקִיף</t>
  </si>
  <si>
    <t>הֲיֵשׁ</t>
  </si>
  <si>
    <t>דֹּרֵשׁ</t>
  </si>
  <si>
    <t>הַכֹּל</t>
  </si>
  <si>
    <t>סָר</t>
  </si>
  <si>
    <t>נֶאֱלָחוּ</t>
  </si>
  <si>
    <t>אֹכְלֵי</t>
  </si>
  <si>
    <t>אָכְלוּ</t>
  </si>
  <si>
    <t>פָּחֲדוּ</t>
  </si>
  <si>
    <t>פָחַד</t>
  </si>
  <si>
    <t>תָבִישׁוּ</t>
  </si>
  <si>
    <t>יְשׁוּעַת</t>
  </si>
  <si>
    <t>שְׁבוּת</t>
  </si>
  <si>
    <t>יָגֵל</t>
  </si>
  <si>
    <t>הַשִּׁירָה</t>
  </si>
  <si>
    <t>הַזֹּאת</t>
  </si>
  <si>
    <t>הִצִּיל</t>
  </si>
  <si>
    <t>אֹיְבָיו</t>
  </si>
  <si>
    <t>וּמִיַּד</t>
  </si>
  <si>
    <t>וַיֹּאמַר</t>
  </si>
  <si>
    <t>אֶרְחָמְךָ</t>
  </si>
  <si>
    <t>אֶחֱסֶה</t>
  </si>
  <si>
    <t>וְקֶרֶן</t>
  </si>
  <si>
    <t>וּמִן</t>
  </si>
  <si>
    <t>וְנַחֲלֵי</t>
  </si>
  <si>
    <t>בְלִיַּעַל</t>
  </si>
  <si>
    <t>קִדְּמוּנִי</t>
  </si>
  <si>
    <t>מוֹקְשֵׁי</t>
  </si>
  <si>
    <t>אֲשַׁוֵּעַ</t>
  </si>
  <si>
    <t>מֵהֵיכָלוֹ</t>
  </si>
  <si>
    <t>וְשַׁוְעָתִי</t>
  </si>
  <si>
    <t>מְסַפְּרִים</t>
  </si>
  <si>
    <t>וּמַעֲשֵׂה</t>
  </si>
  <si>
    <t>יוֹם</t>
  </si>
  <si>
    <t>לְיוֹם</t>
  </si>
  <si>
    <t>יַבִּיעַ</t>
  </si>
  <si>
    <t>אֹמֶר</t>
  </si>
  <si>
    <t>לְּלַיְלָה</t>
  </si>
  <si>
    <t>יְחַוֶּה</t>
  </si>
  <si>
    <t>דְּבָרִים</t>
  </si>
  <si>
    <t>נִשְׁמָע</t>
  </si>
  <si>
    <t>יָצָא</t>
  </si>
  <si>
    <t>קַוָּם</t>
  </si>
  <si>
    <t>וּבִקְצֵה</t>
  </si>
  <si>
    <t>תֵבֵל</t>
  </si>
  <si>
    <t>מִלֵּיהֶם</t>
  </si>
  <si>
    <t>לַשֶּׁמֶשׁ</t>
  </si>
  <si>
    <t>שָׂם</t>
  </si>
  <si>
    <t>אֹהֶל</t>
  </si>
  <si>
    <t>כְּחָתָן</t>
  </si>
  <si>
    <t>יֹצֵא</t>
  </si>
  <si>
    <t>מֵחֻפָּתוֹ</t>
  </si>
  <si>
    <t>יָשִׂישׂ</t>
  </si>
  <si>
    <t>כְּגִבּוֹר</t>
  </si>
  <si>
    <t>לָרוּץ</t>
  </si>
  <si>
    <t>מוֹצָאוֹ</t>
  </si>
  <si>
    <t>וּתְקוּפָתוֹ</t>
  </si>
  <si>
    <t>קְצוֹתָם</t>
  </si>
  <si>
    <t>נִסְתָּר</t>
  </si>
  <si>
    <t>תְּמִימָה</t>
  </si>
  <si>
    <t>מְשִׁיבַת</t>
  </si>
  <si>
    <t>נָפֶשׁ</t>
  </si>
  <si>
    <t>עֵדוּת</t>
  </si>
  <si>
    <t>נֶאֱמָנָה</t>
  </si>
  <si>
    <t>מַחְכִּימַת</t>
  </si>
  <si>
    <t>פִּקּוּדֵי</t>
  </si>
  <si>
    <t>מְשַׂמְּחֵי</t>
  </si>
  <si>
    <t>מִצְוַת</t>
  </si>
  <si>
    <t>בָּרָה</t>
  </si>
  <si>
    <t>מְאִירַת</t>
  </si>
  <si>
    <t>טְהוֹרָה</t>
  </si>
  <si>
    <t>עוֹמֶדֶת</t>
  </si>
  <si>
    <t>צָדְקוּ</t>
  </si>
  <si>
    <t>יַעַנְךָ</t>
  </si>
  <si>
    <t>יְשַׂגֶּבְךָ</t>
  </si>
  <si>
    <t>עֶזְרְךָ</t>
  </si>
  <si>
    <t>מִקֹּדֶשׁ</t>
  </si>
  <si>
    <t>וּמִצִּיּוֹן</t>
  </si>
  <si>
    <t>מִנְחֹתֶךָ</t>
  </si>
  <si>
    <t>וְעוֹלָתְךָ</t>
  </si>
  <si>
    <t>יְדַשְּׁנֶה</t>
  </si>
  <si>
    <t>יִתֶּן</t>
  </si>
  <si>
    <t>כִלְבָבֶךָ</t>
  </si>
  <si>
    <t>עֲצָתְךָ</t>
  </si>
  <si>
    <t>בִּישׁוּעָתֶךָ</t>
  </si>
  <si>
    <t>נִדְגֹּל</t>
  </si>
  <si>
    <t>יְמַלֵּא</t>
  </si>
  <si>
    <t>הוֹשִׁיעַ</t>
  </si>
  <si>
    <t>יַעֲנֵהוּ</t>
  </si>
  <si>
    <t>מִשְּׁמֵי</t>
  </si>
  <si>
    <t>יֵשַׁע</t>
  </si>
  <si>
    <t>אֵלֶּה</t>
  </si>
  <si>
    <t>בָרֶכֶב</t>
  </si>
  <si>
    <t>וְאֵלֶּה</t>
  </si>
  <si>
    <t>בַסּוּסִים</t>
  </si>
  <si>
    <t>כָּרְעוּ</t>
  </si>
  <si>
    <t>וְנָפָלוּ</t>
  </si>
  <si>
    <t>קַּמְנוּ</t>
  </si>
  <si>
    <t>יַעֲנֵנוּ</t>
  </si>
  <si>
    <t>בְּעָזְּךָ</t>
  </si>
  <si>
    <t>וּבִישׁוּעָתְךָ</t>
  </si>
  <si>
    <t>יָּגֶיל</t>
  </si>
  <si>
    <t>וַאֲרֶשֶׁת</t>
  </si>
  <si>
    <t>שְׂפָתָיו</t>
  </si>
  <si>
    <t>מָנַעְתָּ</t>
  </si>
  <si>
    <t>תְקַדְּמֶנּוּ</t>
  </si>
  <si>
    <t>בִּרְכוֹת</t>
  </si>
  <si>
    <t>תָּשִׁית</t>
  </si>
  <si>
    <t>לְרֹאשׁוֹ</t>
  </si>
  <si>
    <t>עֲטֶרֶת</t>
  </si>
  <si>
    <t>שָׁאַל</t>
  </si>
  <si>
    <t>מִמְּךָ</t>
  </si>
  <si>
    <t>תְּשַׁוֶּה</t>
  </si>
  <si>
    <t>תְשִׁיתֵהוּ</t>
  </si>
  <si>
    <t>בְרָכוֹת</t>
  </si>
  <si>
    <t>תְּחַדֵּהוּ</t>
  </si>
  <si>
    <t>בְשִׂמְחָה</t>
  </si>
  <si>
    <t>וּבְחֶסֶד</t>
  </si>
  <si>
    <t>תִּמְצָא</t>
  </si>
  <si>
    <t>תְּשִׁיתֵמוֹ</t>
  </si>
  <si>
    <t>כְּתַנּוּר</t>
  </si>
  <si>
    <t>יְבַלְּעֵם</t>
  </si>
  <si>
    <t>וְתֹאכְלֵם</t>
  </si>
  <si>
    <t>פִּרְיָמוֹ</t>
  </si>
  <si>
    <t>וְזַרְעָם</t>
  </si>
  <si>
    <t>נָטוּ</t>
  </si>
  <si>
    <t>חָשְׁבוּ</t>
  </si>
  <si>
    <t>מְזִמָּה</t>
  </si>
  <si>
    <t>שֶׁכֶם</t>
  </si>
  <si>
    <t>בְּמֵיתָרֶיךָ</t>
  </si>
  <si>
    <t>תְּכוֹנֵן</t>
  </si>
  <si>
    <t>רוּמָה</t>
  </si>
  <si>
    <t>בְּעֻזֶּךָ</t>
  </si>
  <si>
    <t>נָשִׁירָה</t>
  </si>
  <si>
    <t>וּנְזַמְּרָה</t>
  </si>
  <si>
    <t>אַיֶּלֶת</t>
  </si>
  <si>
    <t>הַשַּׁחַר</t>
  </si>
  <si>
    <t>לָמָה</t>
  </si>
  <si>
    <t>עֲזַבְתָּנִי</t>
  </si>
  <si>
    <t>רָחוֹק</t>
  </si>
  <si>
    <t>מִישׁוּעָתִי</t>
  </si>
  <si>
    <t>הַצִּילֵנִי</t>
  </si>
  <si>
    <t>לְבֵית</t>
  </si>
  <si>
    <t>מְצוּדוֹת</t>
  </si>
  <si>
    <t>וּלְמַעַן</t>
  </si>
  <si>
    <t>תַּנְחֵנִי</t>
  </si>
  <si>
    <t>תּוֹצִיאֵנִי</t>
  </si>
  <si>
    <t>בְּיָדְךָ</t>
  </si>
  <si>
    <t>אַפְקִיד</t>
  </si>
  <si>
    <t>רוּחִי</t>
  </si>
  <si>
    <t>פָּדִיתָה</t>
  </si>
  <si>
    <t>אוֹתִי</t>
  </si>
  <si>
    <t>הַשֹּׁמְרִים</t>
  </si>
  <si>
    <t>הַבְלֵי</t>
  </si>
  <si>
    <t>וְאֶשְׂמְחָה</t>
  </si>
  <si>
    <t>בְּחַסְדֶּךָ</t>
  </si>
  <si>
    <t>רָאִיתָ</t>
  </si>
  <si>
    <t>יָדַעְתָּ</t>
  </si>
  <si>
    <t>בְּצָרוֹת</t>
  </si>
  <si>
    <t>הִסְגַּרְתַּנִי</t>
  </si>
  <si>
    <t>בְּיַד</t>
  </si>
  <si>
    <t>הֶעֱמַדְתָּ</t>
  </si>
  <si>
    <t>צַר</t>
  </si>
  <si>
    <t>בְכַעַס</t>
  </si>
  <si>
    <t>כָלוּ</t>
  </si>
  <si>
    <t>בְיָגוֹן</t>
  </si>
  <si>
    <t>וּשְׁנוֹתַי</t>
  </si>
  <si>
    <t>בַּאֲנָחָה</t>
  </si>
  <si>
    <t>כָּשַׁל</t>
  </si>
  <si>
    <t>בַּעֲוֹנִי</t>
  </si>
  <si>
    <t>וַעֲצָמַי</t>
  </si>
  <si>
    <t>צֹרְרַי</t>
  </si>
  <si>
    <t>וְלִשֲׁכֵנַי</t>
  </si>
  <si>
    <t>וּפַחַד</t>
  </si>
  <si>
    <t>לִמְיֻדָּעָי</t>
  </si>
  <si>
    <t>בַּחוּץ</t>
  </si>
  <si>
    <t>נָדְדוּ</t>
  </si>
  <si>
    <t>נִשְׁכַּחְתִּי</t>
  </si>
  <si>
    <t>כְּמֵת</t>
  </si>
  <si>
    <t>מִלֵּב</t>
  </si>
  <si>
    <t>שָׁמַעְתִּי</t>
  </si>
  <si>
    <t>דִּבַּת</t>
  </si>
  <si>
    <t>מָגוֹר</t>
  </si>
  <si>
    <t>מִסָּבִיב</t>
  </si>
  <si>
    <t>בְּהִוָּסְדָם</t>
  </si>
  <si>
    <t>לָקַחַת</t>
  </si>
  <si>
    <t>עִתֹּתָי</t>
  </si>
  <si>
    <t>קְרָאתִיךָ</t>
  </si>
  <si>
    <t>יִדְּמוּ</t>
  </si>
  <si>
    <t>תֵּאָלַמְנָה</t>
  </si>
  <si>
    <t>שָׁקֶר</t>
  </si>
  <si>
    <t>הַדֹּבְרוֹת</t>
  </si>
  <si>
    <t>בְּגַאֲוָה</t>
  </si>
  <si>
    <t>צָפַנְתָּ</t>
  </si>
  <si>
    <t>לִּירֵאֶיךָ</t>
  </si>
  <si>
    <t>פָּעַלְתָּ</t>
  </si>
  <si>
    <t>לַחֹסִים</t>
  </si>
  <si>
    <t>תַּסְתִּירֵם</t>
  </si>
  <si>
    <t>מֵרֻכְסֵי</t>
  </si>
  <si>
    <t>תִּצְפְּנֵם</t>
  </si>
  <si>
    <t>בְּסֻכָּה</t>
  </si>
  <si>
    <t>מֵרִיב</t>
  </si>
  <si>
    <t>הִפְלִיא</t>
  </si>
  <si>
    <t>בְּעִיר</t>
  </si>
  <si>
    <t>נִגְרַזְתִּי</t>
  </si>
  <si>
    <t>אָכֵן</t>
  </si>
  <si>
    <t>שָׁמַעְתָּ</t>
  </si>
  <si>
    <t>אֶהֱבוּ</t>
  </si>
  <si>
    <t>נֹצֵר</t>
  </si>
  <si>
    <t>וּמְשַׁלֵּם</t>
  </si>
  <si>
    <t>חִזְקוּ</t>
  </si>
  <si>
    <t>פַּחַד</t>
  </si>
  <si>
    <t>הֶחֱלִיק</t>
  </si>
  <si>
    <t>בְּעֵינָיו</t>
  </si>
  <si>
    <t>לִמְצֹא</t>
  </si>
  <si>
    <t>עֲוֹנוֹ</t>
  </si>
  <si>
    <t>לִידוּתוּן</t>
  </si>
  <si>
    <t>אֶשְׁמְרָה</t>
  </si>
  <si>
    <t>דְרָכַי</t>
  </si>
  <si>
    <t>מֵחֲטוֹא</t>
  </si>
  <si>
    <t>בִלְשׁוֹנִי</t>
  </si>
  <si>
    <t>לְפִי</t>
  </si>
  <si>
    <t>מַחְסוֹם</t>
  </si>
  <si>
    <t>בְּעֹד</t>
  </si>
  <si>
    <t>נֶאֱלַמְתִּי</t>
  </si>
  <si>
    <t>הֶחֱשֵׁיתִי</t>
  </si>
  <si>
    <t>מִטּוֹב</t>
  </si>
  <si>
    <t>וּכְאֵבִי</t>
  </si>
  <si>
    <t>חַם</t>
  </si>
  <si>
    <t>בַּהֲגִיגִי</t>
  </si>
  <si>
    <t>תִבְעַר</t>
  </si>
  <si>
    <t>דִּבַּרְתִּי</t>
  </si>
  <si>
    <t>קִצִּי</t>
  </si>
  <si>
    <t>וּמִדַּת</t>
  </si>
  <si>
    <t>יָמַי</t>
  </si>
  <si>
    <t>אֵדְעָה</t>
  </si>
  <si>
    <t>חָדֵל</t>
  </si>
  <si>
    <t>טְפָחוֹת</t>
  </si>
  <si>
    <t>וְחֶלְדִּי</t>
  </si>
  <si>
    <t>כְאַיִן</t>
  </si>
  <si>
    <t>נֶגְדֶּךָ</t>
  </si>
  <si>
    <t>הֶבֶל</t>
  </si>
  <si>
    <t>נִצָּב</t>
  </si>
  <si>
    <t>בְּצֶלֶם</t>
  </si>
  <si>
    <t>יִתְהַלֶּךְ</t>
  </si>
  <si>
    <t>יֶהֱמָיוּן</t>
  </si>
  <si>
    <t>יִצְבֹּר</t>
  </si>
  <si>
    <t>יֵדַע</t>
  </si>
  <si>
    <t>קִּוִּיתִי</t>
  </si>
  <si>
    <t>תּוֹחַלְתִּי</t>
  </si>
  <si>
    <t>פְּשָׁעַי</t>
  </si>
  <si>
    <t>אֶפְתַּח</t>
  </si>
  <si>
    <t>נִגְעֶךָ</t>
  </si>
  <si>
    <t>מִתִּגְרַת</t>
  </si>
  <si>
    <t>בְּתוֹכָחוֹת</t>
  </si>
  <si>
    <t>יִסַּרְתָּ</t>
  </si>
  <si>
    <t>וַתֶּמֶס</t>
  </si>
  <si>
    <t>כָּעָשׁ</t>
  </si>
  <si>
    <t>חֲמוּדוֹ</t>
  </si>
  <si>
    <t>שִׁמְעָה</t>
  </si>
  <si>
    <t>תְפִלָּתִי</t>
  </si>
  <si>
    <t>דִּמְעָתִי</t>
  </si>
  <si>
    <t>גֵר</t>
  </si>
  <si>
    <t>עִמָּךְ</t>
  </si>
  <si>
    <t>תּוֹשָׁב</t>
  </si>
  <si>
    <t>כְּכָל</t>
  </si>
  <si>
    <t>הָשַׁע</t>
  </si>
  <si>
    <t>וְאַבְלִיגָה</t>
  </si>
  <si>
    <t>בְּטֶרֶם</t>
  </si>
  <si>
    <t>קַוֹּה</t>
  </si>
  <si>
    <t>וַיִּשְׁמַע</t>
  </si>
  <si>
    <t>וַיַּעֲלֵנִי</t>
  </si>
  <si>
    <t>מִבּוֹר</t>
  </si>
  <si>
    <t>שָׁאוֹן</t>
  </si>
  <si>
    <t>מִטִּיט</t>
  </si>
  <si>
    <t>הַיָּוֵן</t>
  </si>
  <si>
    <t>וַיָּקֶם</t>
  </si>
  <si>
    <t>סֶלַע</t>
  </si>
  <si>
    <t>בְּפִי</t>
  </si>
  <si>
    <t>יִרְאוּ</t>
  </si>
  <si>
    <t>וְיִירָאוּ</t>
  </si>
  <si>
    <t>מִבְטַחוֹ</t>
  </si>
  <si>
    <t>פָנָה</t>
  </si>
  <si>
    <t>רְהָבִים</t>
  </si>
  <si>
    <t>וְשָׂטֵי</t>
  </si>
  <si>
    <t>נִפְלְאֹתֶיךָ</t>
  </si>
  <si>
    <t>וּמַחְשְׁבֹתֶיךָ</t>
  </si>
  <si>
    <t>אֵלֵינוּ</t>
  </si>
  <si>
    <t>עֲרֹךְ</t>
  </si>
  <si>
    <t>אַגִּידָה</t>
  </si>
  <si>
    <t>וַאֲדַבֵּרָה</t>
  </si>
  <si>
    <t>עָצְמוּ</t>
  </si>
  <si>
    <t>וּמִנְחָה</t>
  </si>
  <si>
    <t>כָּרִיתָ</t>
  </si>
  <si>
    <t>עוֹלָה</t>
  </si>
  <si>
    <t>וַחֲטָאָה</t>
  </si>
  <si>
    <t>בָאתִי</t>
  </si>
  <si>
    <t>בִּמְגִלַּת</t>
  </si>
  <si>
    <t>סֵפֶר</t>
  </si>
  <si>
    <t>רְצוֹנְךָ</t>
  </si>
  <si>
    <t>חָפָצְתִּי</t>
  </si>
  <si>
    <t>בְּתוֹךְ</t>
  </si>
  <si>
    <t>בִּשַּׂרְתִּי</t>
  </si>
  <si>
    <t>אֶכְלָא</t>
  </si>
  <si>
    <t>וּתְשׁוּעָתְךָ</t>
  </si>
  <si>
    <t>אָמָרְתִּי</t>
  </si>
  <si>
    <t>כִחַדְתִּי</t>
  </si>
  <si>
    <t>וַאֲמִתְּךָ</t>
  </si>
  <si>
    <t>לְקָהָל</t>
  </si>
  <si>
    <t>תִכְלָא</t>
  </si>
  <si>
    <t>אָפְפוּ</t>
  </si>
  <si>
    <t>רָעוֹת</t>
  </si>
  <si>
    <t>הִשִּׂיגוּנִי</t>
  </si>
  <si>
    <t>עֲוֹנֹתַי</t>
  </si>
  <si>
    <t>יָכֹלְתִּי</t>
  </si>
  <si>
    <t>מִשַּׂעֲרוֹת</t>
  </si>
  <si>
    <t>וְלִבִּי</t>
  </si>
  <si>
    <t>רְצֵה</t>
  </si>
  <si>
    <t>לְהַצִּילֵנִי</t>
  </si>
  <si>
    <t>לִסְפּוֹתָהּ</t>
  </si>
  <si>
    <t>יָשֹׁמּוּ</t>
  </si>
  <si>
    <t>בָּשְׁתָּם</t>
  </si>
  <si>
    <t>הָאֹמְרִים</t>
  </si>
  <si>
    <t>יָשִׂישׂוּ</t>
  </si>
  <si>
    <t>מְבַקְשֶׁיךָ</t>
  </si>
  <si>
    <t>יַחֲשָׁב</t>
  </si>
  <si>
    <t>יְמַלְּטֵהוּ</t>
  </si>
  <si>
    <t>יִשְׁמְרֵהוּ</t>
  </si>
  <si>
    <t>וִיחַיֵּהוּ</t>
  </si>
  <si>
    <t>וְאֻשַּׁר</t>
  </si>
  <si>
    <t>תִּתְּנֵהוּ</t>
  </si>
  <si>
    <t>כְּאַיָּל</t>
  </si>
  <si>
    <t>תַּעֲרֹג</t>
  </si>
  <si>
    <t>תַעֲרֹג</t>
  </si>
  <si>
    <t>צָמְאָה</t>
  </si>
  <si>
    <t>לֵאלֹהִים</t>
  </si>
  <si>
    <t>חָי</t>
  </si>
  <si>
    <t>וְאֵרָאֶה</t>
  </si>
  <si>
    <t>דִמְעָתִי</t>
  </si>
  <si>
    <t>וָלָיְלָה</t>
  </si>
  <si>
    <t>בֶּאֱמֹר</t>
  </si>
  <si>
    <t>אַיֵּה</t>
  </si>
  <si>
    <t>אֶזְכְּרָה</t>
  </si>
  <si>
    <t>וְאֶשְׁפְּכָה</t>
  </si>
  <si>
    <t>אֶעֱבֹר</t>
  </si>
  <si>
    <t>בַּסָּךְ</t>
  </si>
  <si>
    <t>אֶדַּדֵּם</t>
  </si>
  <si>
    <t>וְתוֹדָה</t>
  </si>
  <si>
    <t>הָמוֹן</t>
  </si>
  <si>
    <t>תִּשְׁתּוֹחֲחִי</t>
  </si>
  <si>
    <t>וַתֶּהֱמִי</t>
  </si>
  <si>
    <t>עָלָי</t>
  </si>
  <si>
    <t>הוֹחִילִי</t>
  </si>
  <si>
    <t>אוֹדֶנּוּ</t>
  </si>
  <si>
    <t>תִשְׁתּוֹחָח</t>
  </si>
  <si>
    <t>אֶזְכָּרְךָ</t>
  </si>
  <si>
    <t>יַרְדֵּן</t>
  </si>
  <si>
    <t>וְחֶרְמוֹנִים</t>
  </si>
  <si>
    <t>מֵהַר</t>
  </si>
  <si>
    <t>קוֹרֵא</t>
  </si>
  <si>
    <t>צִנּוֹרֶיךָ</t>
  </si>
  <si>
    <t>מִשְׁבָּרֶיךָ</t>
  </si>
  <si>
    <t>וְגַלֶּיךָ</t>
  </si>
  <si>
    <t>וּבַלַּיְלָה</t>
  </si>
  <si>
    <t>שִׁירוֹ</t>
  </si>
  <si>
    <t>עִמִּי</t>
  </si>
  <si>
    <t>תְּפִלָּה</t>
  </si>
  <si>
    <t>אוֹמְרָה</t>
  </si>
  <si>
    <t>שְׁכַחְתָּנִי</t>
  </si>
  <si>
    <t>לָמָּה</t>
  </si>
  <si>
    <t>בְּלַחַץ</t>
  </si>
  <si>
    <t>בְּרֶצַח</t>
  </si>
  <si>
    <t>בְּעַצְמוֹתַי</t>
  </si>
  <si>
    <t>חֵרְפוּנִי</t>
  </si>
  <si>
    <t>צוֹרְרָי</t>
  </si>
  <si>
    <t>בְּאָמְרָם</t>
  </si>
  <si>
    <t>וּמַה</t>
  </si>
  <si>
    <t>תֶּהֱמִי</t>
  </si>
  <si>
    <t>יְשׁוּעֹת</t>
  </si>
  <si>
    <t>פָּנַי</t>
  </si>
  <si>
    <t>בְּאָזְנֵינוּ</t>
  </si>
  <si>
    <t>שָׁמַעְנוּ</t>
  </si>
  <si>
    <t>סִפְּרוּ</t>
  </si>
  <si>
    <t>פֹּעַל</t>
  </si>
  <si>
    <t>בִימֵיהֶם</t>
  </si>
  <si>
    <t>בִּימֵי</t>
  </si>
  <si>
    <t>הוֹרַשְׁתָּ</t>
  </si>
  <si>
    <t>וַתִּטָּעֵם</t>
  </si>
  <si>
    <t>תָּרַע</t>
  </si>
  <si>
    <t>בְחַרְבָּם</t>
  </si>
  <si>
    <t>יָרְשׁוּ</t>
  </si>
  <si>
    <t>וּזְרוֹעָם</t>
  </si>
  <si>
    <t>לָּמוֹ</t>
  </si>
  <si>
    <t>וּזְרוֹעֲךָ</t>
  </si>
  <si>
    <t>צַוֵּה</t>
  </si>
  <si>
    <t>צָרֵינוּ</t>
  </si>
  <si>
    <t>נְנַגֵּחַ</t>
  </si>
  <si>
    <t>בְּשִׁמְךָ</t>
  </si>
  <si>
    <t>נָבוּס</t>
  </si>
  <si>
    <t>בְקַשְׁתִּי</t>
  </si>
  <si>
    <t>אֶבְטָח</t>
  </si>
  <si>
    <t>וְחַרְבִּי</t>
  </si>
  <si>
    <t>הוֹשַׁעְתָּנוּ</t>
  </si>
  <si>
    <t>וּמְשַׂנְאֵינוּ</t>
  </si>
  <si>
    <t>בֵּאלֹהִים</t>
  </si>
  <si>
    <t>הִלַּלְנוּ</t>
  </si>
  <si>
    <t>וְשִׁמְךָ</t>
  </si>
  <si>
    <t>נוֹדֶה</t>
  </si>
  <si>
    <t>זָנַחְתָּ</t>
  </si>
  <si>
    <t>וַתַּכְלִימֵנוּ</t>
  </si>
  <si>
    <t>תֵצֵא</t>
  </si>
  <si>
    <t>תְּשִׁיבֵנוּ</t>
  </si>
  <si>
    <t>מִנִּי</t>
  </si>
  <si>
    <t>צָר</t>
  </si>
  <si>
    <t>שָׁסוּ</t>
  </si>
  <si>
    <t>תִּתְּנֵנוּ</t>
  </si>
  <si>
    <t>כְּצֹאן</t>
  </si>
  <si>
    <t>מַאֲכָל</t>
  </si>
  <si>
    <t>וּבַגּוֹיִם</t>
  </si>
  <si>
    <t>תִּמְכֹּר</t>
  </si>
  <si>
    <t>בְלֹא</t>
  </si>
  <si>
    <t>רִבִּיתָ</t>
  </si>
  <si>
    <t>תְּשִׂימֵנוּ</t>
  </si>
  <si>
    <t>לִשְׁכֵנֵינוּ</t>
  </si>
  <si>
    <t>לַעַג</t>
  </si>
  <si>
    <t>וָקֶלֶס</t>
  </si>
  <si>
    <t>מָשָׁל</t>
  </si>
  <si>
    <t>מְנוֹד</t>
  </si>
  <si>
    <t>כְּלִמָּתִי</t>
  </si>
  <si>
    <t>וּבֹשֶׁת</t>
  </si>
  <si>
    <t>מִקּוֹל</t>
  </si>
  <si>
    <t>מְחָרֵף</t>
  </si>
  <si>
    <t>וּמְגַדֵּף</t>
  </si>
  <si>
    <t>מִפְּנֵי</t>
  </si>
  <si>
    <t>בָּאַתְנוּ</t>
  </si>
  <si>
    <t>שְׁכַחֲנוּךָ</t>
  </si>
  <si>
    <t>שִׁקַּרְנוּ</t>
  </si>
  <si>
    <t>נָסוֹג</t>
  </si>
  <si>
    <t>לִבֵּנוּ</t>
  </si>
  <si>
    <t>וַתֵּט</t>
  </si>
  <si>
    <t>אֲשֻׁרֵינוּ</t>
  </si>
  <si>
    <t>דִכִּיתָנוּ</t>
  </si>
  <si>
    <t>תַּנִּים</t>
  </si>
  <si>
    <t>שָׁכַחְנוּ</t>
  </si>
  <si>
    <t>וַנִּפְרֹשׂ</t>
  </si>
  <si>
    <t>כַּפֵּינוּ</t>
  </si>
  <si>
    <t>יַחֲקָר</t>
  </si>
  <si>
    <t>תַּעֲלֻמוֹת</t>
  </si>
  <si>
    <t>הֹרַגְנוּ</t>
  </si>
  <si>
    <t>נֶחְשַׁבְנוּ</t>
  </si>
  <si>
    <t>עוּרָה</t>
  </si>
  <si>
    <t>תִישַׁן</t>
  </si>
  <si>
    <t>הָקִיצָה</t>
  </si>
  <si>
    <t>תִּזְנַח</t>
  </si>
  <si>
    <t>תַסְתִּיר</t>
  </si>
  <si>
    <t>תִּשְׁכַּח</t>
  </si>
  <si>
    <t>עָנְיֵנוּ</t>
  </si>
  <si>
    <t>שָׁחָה</t>
  </si>
  <si>
    <t>לָּנוּ</t>
  </si>
  <si>
    <t>וּפְדֵנוּ</t>
  </si>
  <si>
    <t>שֹׁשַׁנִּים</t>
  </si>
  <si>
    <t>רָחַשׁ</t>
  </si>
  <si>
    <t>אֹמֵר</t>
  </si>
  <si>
    <t>מַעֲשַׂי</t>
  </si>
  <si>
    <t>עֵט</t>
  </si>
  <si>
    <t>סוֹפֵר</t>
  </si>
  <si>
    <t>יָפְיָפִיתָ</t>
  </si>
  <si>
    <t>הוּצַק</t>
  </si>
  <si>
    <t>חֵן</t>
  </si>
  <si>
    <t>בְּשְׂפְתוֹתֶיךָ</t>
  </si>
  <si>
    <t>בֵּרַכְךָ</t>
  </si>
  <si>
    <t>חֲגוֹר</t>
  </si>
  <si>
    <t>חַרְבְּךָ</t>
  </si>
  <si>
    <t>יָרֵךְ</t>
  </si>
  <si>
    <t>וַהֲדָרְךָ</t>
  </si>
  <si>
    <t>צְלַח</t>
  </si>
  <si>
    <t>רְכַב</t>
  </si>
  <si>
    <t>וְעַנְוָה</t>
  </si>
  <si>
    <t>וְתוֹרְךָ</t>
  </si>
  <si>
    <t>שְׁנוּנִים</t>
  </si>
  <si>
    <t>תַּחְתֶּיךָ</t>
  </si>
  <si>
    <t>אוֹיְבֵי</t>
  </si>
  <si>
    <t>וָעֶד</t>
  </si>
  <si>
    <t>שֵׁבֶט</t>
  </si>
  <si>
    <t>מִישֹׁר</t>
  </si>
  <si>
    <t>אָהַבְתָּ</t>
  </si>
  <si>
    <t>צֶּדֶק</t>
  </si>
  <si>
    <t>וַתִּשְׂנָא</t>
  </si>
  <si>
    <t>מְשָׁחֲךָ</t>
  </si>
  <si>
    <t>שֶׁמֶן</t>
  </si>
  <si>
    <t>שָׂשׂוֹן</t>
  </si>
  <si>
    <t>מֹר</t>
  </si>
  <si>
    <t>וַאֲהָלוֹת</t>
  </si>
  <si>
    <t>קְצִיעוֹת</t>
  </si>
  <si>
    <t>בִּגְדֹתֶיךָ</t>
  </si>
  <si>
    <t>הֵיכְלֵי</t>
  </si>
  <si>
    <t>שֵׁן</t>
  </si>
  <si>
    <t>בְּיִקְּרוֹתֶיךָ</t>
  </si>
  <si>
    <t>נִצְּבָה</t>
  </si>
  <si>
    <t>שֵׁגַל</t>
  </si>
  <si>
    <t>לִימִינְךָ</t>
  </si>
  <si>
    <t>בְּכֶתֶם</t>
  </si>
  <si>
    <t>שִׁמְעִי</t>
  </si>
  <si>
    <t>וּרְאִי</t>
  </si>
  <si>
    <t>וְהַטִּי</t>
  </si>
  <si>
    <t>אָזְנֵךְ</t>
  </si>
  <si>
    <t>וְשִׁכְחִי</t>
  </si>
  <si>
    <t>עַמֵּךְ</t>
  </si>
  <si>
    <t>וּבֵית</t>
  </si>
  <si>
    <t>וְיִתְאָו</t>
  </si>
  <si>
    <t>יָפְיֵךְ</t>
  </si>
  <si>
    <t>אֲדֹנַיִךְ</t>
  </si>
  <si>
    <t>וְהִשְׁתַּחֲוִי</t>
  </si>
  <si>
    <t>וּבַת</t>
  </si>
  <si>
    <t>צֹר</t>
  </si>
  <si>
    <t>בְּמִנְחָה</t>
  </si>
  <si>
    <t>פָּנַיִךְ</t>
  </si>
  <si>
    <t>יְחַלּוּ</t>
  </si>
  <si>
    <t>עֲשִׁירֵי</t>
  </si>
  <si>
    <t>כְּבוּדָּה</t>
  </si>
  <si>
    <t>פְּנִימָה</t>
  </si>
  <si>
    <t>מִמִּשְׁבְּצוֹת</t>
  </si>
  <si>
    <t>זָהָב</t>
  </si>
  <si>
    <t>לִרְקָמוֹת</t>
  </si>
  <si>
    <t>תּוּבַל</t>
  </si>
  <si>
    <t>לַמֶּלֶךְ</t>
  </si>
  <si>
    <t>אַחֲרֶיהָ</t>
  </si>
  <si>
    <t>רֵעוֹתֶיהָ</t>
  </si>
  <si>
    <t>מוּבָאוֹת</t>
  </si>
  <si>
    <t>תּוּבַלְנָה</t>
  </si>
  <si>
    <t>בִּשְׂמָחֹת</t>
  </si>
  <si>
    <t>וָגִיל</t>
  </si>
  <si>
    <t>תְּבֹאֶינָה</t>
  </si>
  <si>
    <t>אֲבֹתֶיךָ</t>
  </si>
  <si>
    <t>בָנֶיךָ</t>
  </si>
  <si>
    <t>לְשָׂרִים</t>
  </si>
  <si>
    <t>אַזְכִּירָה</t>
  </si>
  <si>
    <t>דֹּר</t>
  </si>
  <si>
    <t>יְהוֹדֻךָ</t>
  </si>
  <si>
    <t>לְעֹלָם</t>
  </si>
  <si>
    <t>עֲלָמוֹת</t>
  </si>
  <si>
    <t>מַחֲסֶה</t>
  </si>
  <si>
    <t>וָעֹז</t>
  </si>
  <si>
    <t>עֶזְרָה</t>
  </si>
  <si>
    <t>בְצָרוֹת</t>
  </si>
  <si>
    <t>נִמְצָא</t>
  </si>
  <si>
    <t>נִירָא</t>
  </si>
  <si>
    <t>בְּהָמִיר</t>
  </si>
  <si>
    <t>וּבְמוֹט</t>
  </si>
  <si>
    <t>יֶהֱמוּ</t>
  </si>
  <si>
    <t>יֶחְמְרוּ</t>
  </si>
  <si>
    <t>מֵימָיו</t>
  </si>
  <si>
    <t>יִרְעֲשׁוּ</t>
  </si>
  <si>
    <t>בְּגַאֲוָתוֹ</t>
  </si>
  <si>
    <t>נָהָר</t>
  </si>
  <si>
    <t>פְּלָגָיו</t>
  </si>
  <si>
    <t>יְשַׂמְּחוּ</t>
  </si>
  <si>
    <t>קְדֹשׁ</t>
  </si>
  <si>
    <t>מִשְׁכְּנֵי</t>
  </si>
  <si>
    <t>בְּקִרְבָּהּ</t>
  </si>
  <si>
    <t>יַעְזְרֶהָ</t>
  </si>
  <si>
    <t>לִפְנוֹת</t>
  </si>
  <si>
    <t>הָמוּ</t>
  </si>
  <si>
    <t>מָטוּ</t>
  </si>
  <si>
    <t>מַמְלָכוֹת</t>
  </si>
  <si>
    <t>בְּקוֹלוֹ</t>
  </si>
  <si>
    <t>תָּמוּג</t>
  </si>
  <si>
    <t>עִמָּנוּ</t>
  </si>
  <si>
    <t>חֲזוּ</t>
  </si>
  <si>
    <t>מִפְעֲלוֹת</t>
  </si>
  <si>
    <t>שַׁמּוֹת</t>
  </si>
  <si>
    <t>מַשְׁבִּית</t>
  </si>
  <si>
    <t>מִלְחָמוֹת</t>
  </si>
  <si>
    <t>קְצֵה</t>
  </si>
  <si>
    <t>יְשַׁבֵּר</t>
  </si>
  <si>
    <t>וְקִצֵּץ</t>
  </si>
  <si>
    <t>עֲגָלוֹת</t>
  </si>
  <si>
    <t>יִשְׂרֹף</t>
  </si>
  <si>
    <t>הַרְפּוּ</t>
  </si>
  <si>
    <t>אָרוּם</t>
  </si>
  <si>
    <t>תִּקְעוּ</t>
  </si>
  <si>
    <t>כָף</t>
  </si>
  <si>
    <t>הָרִיעוּ</t>
  </si>
  <si>
    <t>נוֹרָא</t>
  </si>
  <si>
    <t>יַדְבֵּר</t>
  </si>
  <si>
    <t>תַּחְתֵּינוּ</t>
  </si>
  <si>
    <t>יִבְחַר</t>
  </si>
  <si>
    <t>נַחֲלָתֵנוּ</t>
  </si>
  <si>
    <t>גְּאוֹן</t>
  </si>
  <si>
    <t>בִּתְרוּעָה</t>
  </si>
  <si>
    <t>זַמֵּרוּ</t>
  </si>
  <si>
    <t>לְמַלְכֵּנוּ</t>
  </si>
  <si>
    <t>מָלַךְ</t>
  </si>
  <si>
    <t>יָשַׁב</t>
  </si>
  <si>
    <t>נֶאֱסָפוּ</t>
  </si>
  <si>
    <t>מָגִנֵּי</t>
  </si>
  <si>
    <t>הַאֲזִינוּ</t>
  </si>
  <si>
    <t>עָשִׁיר</t>
  </si>
  <si>
    <t>חָכְמוֹת</t>
  </si>
  <si>
    <t>וְהָגוּת</t>
  </si>
  <si>
    <t>אַטֶּה</t>
  </si>
  <si>
    <t>לְמָשָׁל</t>
  </si>
  <si>
    <t>אָזְנִי</t>
  </si>
  <si>
    <t>בְּכִנּוֹר</t>
  </si>
  <si>
    <t>עֲקֵבַי</t>
  </si>
  <si>
    <t>הַבֹּטְחִים</t>
  </si>
  <si>
    <t>חֵילָם</t>
  </si>
  <si>
    <t>וּבְרֹב</t>
  </si>
  <si>
    <t>עָשְׁרָם</t>
  </si>
  <si>
    <t>אָח</t>
  </si>
  <si>
    <t>פָדֹה</t>
  </si>
  <si>
    <t>יִפְדֶּה</t>
  </si>
  <si>
    <t>וְיֵקַר</t>
  </si>
  <si>
    <t>פִּדְיוֹן</t>
  </si>
  <si>
    <t>וְחָדַל</t>
  </si>
  <si>
    <t>חֲכָמִים</t>
  </si>
  <si>
    <t>יָמוּתוּ</t>
  </si>
  <si>
    <t>כְּסִיל</t>
  </si>
  <si>
    <t>וָבַעַר</t>
  </si>
  <si>
    <t>וְעָזְבוּ</t>
  </si>
  <si>
    <t>לַאֲחֵרִים</t>
  </si>
  <si>
    <t>בָּתֵּימוֹ</t>
  </si>
  <si>
    <t>מִשְׁכְּנֹתָם</t>
  </si>
  <si>
    <t>קָרְאוּ</t>
  </si>
  <si>
    <t>בִשְׁמוֹתָם</t>
  </si>
  <si>
    <t>וְאָדָם</t>
  </si>
  <si>
    <t>בִּיקָר</t>
  </si>
  <si>
    <t>יָלִין</t>
  </si>
  <si>
    <t>נִמְשַׁל</t>
  </si>
  <si>
    <t>כַּבְּהֵמוֹת</t>
  </si>
  <si>
    <t>כֵּסֶל</t>
  </si>
  <si>
    <t>וְאַחֲרֵיהֶם</t>
  </si>
  <si>
    <t>בְּפִיהֶם</t>
  </si>
  <si>
    <t>יִרְצוּ</t>
  </si>
  <si>
    <t>כַּצֹּאן</t>
  </si>
  <si>
    <t>שַׁתּוּ</t>
  </si>
  <si>
    <t>יִרְעֵם</t>
  </si>
  <si>
    <t>וַיִּרְדּוּ</t>
  </si>
  <si>
    <t>לַבֹּקֶר</t>
  </si>
  <si>
    <t>וְצוּרָם</t>
  </si>
  <si>
    <t>לְבַלּוֹת</t>
  </si>
  <si>
    <t>מִזְּבֻל</t>
  </si>
  <si>
    <t>תִּירָא</t>
  </si>
  <si>
    <t>יַעֲשִׁר</t>
  </si>
  <si>
    <t>יִרְבֶּה</t>
  </si>
  <si>
    <t>בְמוֹתוֹ</t>
  </si>
  <si>
    <t>יִקַּח</t>
  </si>
  <si>
    <t>אַחֲרָיו</t>
  </si>
  <si>
    <t>בְּחַיָּיו</t>
  </si>
  <si>
    <t>יְבָרֵךְ</t>
  </si>
  <si>
    <t>וְיוֹדֻךָ</t>
  </si>
  <si>
    <t>תֵיטִיב</t>
  </si>
  <si>
    <t>אֲבוֹתָיו</t>
  </si>
  <si>
    <t>נֵצַח</t>
  </si>
  <si>
    <t>בְּבוֹא</t>
  </si>
  <si>
    <t>נָתָן</t>
  </si>
  <si>
    <t>הַנָּבִיא</t>
  </si>
  <si>
    <t>כַּאֲשֶׁר</t>
  </si>
  <si>
    <t>בַּת</t>
  </si>
  <si>
    <t>כְּחַסְדֶּךָ</t>
  </si>
  <si>
    <t>מְחֵה</t>
  </si>
  <si>
    <t>הֶרֶב</t>
  </si>
  <si>
    <t>כַּבְּסֵנִי</t>
  </si>
  <si>
    <t>מֵעֲוֹנִי</t>
  </si>
  <si>
    <t>וּמֵחַטָּאתִי</t>
  </si>
  <si>
    <t>אֵדָע</t>
  </si>
  <si>
    <t>וְחַטָּאתִי</t>
  </si>
  <si>
    <t>לְבַדְּךָ</t>
  </si>
  <si>
    <t>וְהָרַע</t>
  </si>
  <si>
    <t>עָשִׂיתִי</t>
  </si>
  <si>
    <t>תִּצְדַּק</t>
  </si>
  <si>
    <t>בְּדָבְרֶךָ</t>
  </si>
  <si>
    <t>תִּזְכֶּה</t>
  </si>
  <si>
    <t>הֵן</t>
  </si>
  <si>
    <t>בְּעָווֹן</t>
  </si>
  <si>
    <t>חוֹלָלְתִּי</t>
  </si>
  <si>
    <t>וּבְחֵטְא</t>
  </si>
  <si>
    <t>יֶחֱמַתְנִי</t>
  </si>
  <si>
    <t>בַטֻּחוֹת</t>
  </si>
  <si>
    <t>וּבְסָתֻם</t>
  </si>
  <si>
    <t>תְּחַטְּאֵנִי</t>
  </si>
  <si>
    <t>בְאֵזוֹב</t>
  </si>
  <si>
    <t>וְאֶטְהָר</t>
  </si>
  <si>
    <t>תְּכַבְּסֵנִי</t>
  </si>
  <si>
    <t>וּמִשֶּׁלֶג</t>
  </si>
  <si>
    <t>תַּשְׁמִיעֵנִי</t>
  </si>
  <si>
    <t>וְשִׂמְחָה</t>
  </si>
  <si>
    <t>תָּגֵלְנָה</t>
  </si>
  <si>
    <t>עֲצָמוֹת</t>
  </si>
  <si>
    <t>הַסְתֵּר</t>
  </si>
  <si>
    <t>מֵחֲטָאָי</t>
  </si>
  <si>
    <t>טָהוֹר</t>
  </si>
  <si>
    <t>בְּרָא</t>
  </si>
  <si>
    <t>חַדֵּשׁ</t>
  </si>
  <si>
    <t>מִלְּפָנֶיךָ</t>
  </si>
  <si>
    <t>תִּקַּח</t>
  </si>
  <si>
    <t>שְׂשׂוֹן</t>
  </si>
  <si>
    <t>נְדִיבָה</t>
  </si>
  <si>
    <t>אֲלַמְּדָה</t>
  </si>
  <si>
    <t>פֹשְׁעִים</t>
  </si>
  <si>
    <t>מִדָּמִים</t>
  </si>
  <si>
    <t>תְּשׁוּעָתִי</t>
  </si>
  <si>
    <t>תְּרַנֵּן</t>
  </si>
  <si>
    <t>תִּפְתָּח</t>
  </si>
  <si>
    <t>וּפִי</t>
  </si>
  <si>
    <t>יַגִּיד</t>
  </si>
  <si>
    <t>תַחְפֹּץ</t>
  </si>
  <si>
    <t>וְאֶתֵּנָה</t>
  </si>
  <si>
    <t>נִשְׁבָּרָה</t>
  </si>
  <si>
    <t>נִשְׁבָּר</t>
  </si>
  <si>
    <t>וְנִדְכֶּה</t>
  </si>
  <si>
    <t>הֵיטִיבָה</t>
  </si>
  <si>
    <t>בִרְצוֹנְךָ</t>
  </si>
  <si>
    <t>תִּבְנֶה</t>
  </si>
  <si>
    <t>חוֹמוֹת</t>
  </si>
  <si>
    <t>תַּחְפֹּץ</t>
  </si>
  <si>
    <t>וְכָלִיל</t>
  </si>
  <si>
    <t>מִזְבַּחֲךָ</t>
  </si>
  <si>
    <t>דּוֹאֵג</t>
  </si>
  <si>
    <t>הָאֲדֹמִי</t>
  </si>
  <si>
    <t>וַיַּגֵּד</t>
  </si>
  <si>
    <t>לְשָׁאוּל</t>
  </si>
  <si>
    <t>דָוִד</t>
  </si>
  <si>
    <t>הַגִּבּוֹר</t>
  </si>
  <si>
    <t>תַּחְשֹׁב</t>
  </si>
  <si>
    <t>לְשׁוֹנֶךָ</t>
  </si>
  <si>
    <t>כְּתַעַר</t>
  </si>
  <si>
    <t>מְלֻטָּשׁ</t>
  </si>
  <si>
    <t>רָּע</t>
  </si>
  <si>
    <t>בָלַע</t>
  </si>
  <si>
    <t>לְשׁוֹן</t>
  </si>
  <si>
    <t>יִתָּצְךָ</t>
  </si>
  <si>
    <t>יַחְתְּךָ</t>
  </si>
  <si>
    <t>וְיִסָּחֲךָ</t>
  </si>
  <si>
    <t>מֵאֹהֶל</t>
  </si>
  <si>
    <t>וְשֵׁרֶשְׁךָ</t>
  </si>
  <si>
    <t>וְיִרְאוּ</t>
  </si>
  <si>
    <t>וְעָלָיו</t>
  </si>
  <si>
    <t>יָשִׂים</t>
  </si>
  <si>
    <t>מָעוּזּוֹ</t>
  </si>
  <si>
    <t>וַיִּבְטַח</t>
  </si>
  <si>
    <t>עָשְׁרוֹ</t>
  </si>
  <si>
    <t>כְּזַיִת</t>
  </si>
  <si>
    <t>רַעֲנָן</t>
  </si>
  <si>
    <t>בְחֶסֶד</t>
  </si>
  <si>
    <t>וַאֲקַוֶּה</t>
  </si>
  <si>
    <t>מָחֲלַת</t>
  </si>
  <si>
    <t>וְהִתְעִיבוּ</t>
  </si>
  <si>
    <t>עָוֶל</t>
  </si>
  <si>
    <t>כֻּלּוֹ</t>
  </si>
  <si>
    <t>סָג</t>
  </si>
  <si>
    <t>פַחַד</t>
  </si>
  <si>
    <t>הָיָה</t>
  </si>
  <si>
    <t>עַצְמוֹת</t>
  </si>
  <si>
    <t>חֹנָךְ</t>
  </si>
  <si>
    <t>הֱבִשֹׁתָה</t>
  </si>
  <si>
    <t>יְשֻׁעוֹת</t>
  </si>
  <si>
    <t>הַזִּיפִים</t>
  </si>
  <si>
    <t>מִסְתַּתֵּר</t>
  </si>
  <si>
    <t>וּבִגְבוּרָתְךָ</t>
  </si>
  <si>
    <t>לְאִמְרֵי</t>
  </si>
  <si>
    <t>זָרִים</t>
  </si>
  <si>
    <t>וְעָרִיצִים</t>
  </si>
  <si>
    <t>בִּקְשׁוּ</t>
  </si>
  <si>
    <t>לְנֶגְדָּם</t>
  </si>
  <si>
    <t>בְּסֹמְכֵי</t>
  </si>
  <si>
    <t>הָרַע</t>
  </si>
  <si>
    <t>לְשֹׁרְרָי</t>
  </si>
  <si>
    <t>בַּאֲמִתְּךָ</t>
  </si>
  <si>
    <t>בִּנְדָבָה</t>
  </si>
  <si>
    <t>אֶזְבְּחָה</t>
  </si>
  <si>
    <t>שִּׁמְךָ</t>
  </si>
  <si>
    <t>הִצִּילָנִי</t>
  </si>
  <si>
    <t>וּבְאֹיְבַי</t>
  </si>
  <si>
    <t>תִּתְעַלַּם</t>
  </si>
  <si>
    <t>וַעֲנֵנִי</t>
  </si>
  <si>
    <t>אָרִיד</t>
  </si>
  <si>
    <t>בְּשִׂיחִי</t>
  </si>
  <si>
    <t>עָקַת</t>
  </si>
  <si>
    <t>יָמִיטוּ</t>
  </si>
  <si>
    <t>וּבְאַף</t>
  </si>
  <si>
    <t>יָחִיל</t>
  </si>
  <si>
    <t>וְאֵימוֹת</t>
  </si>
  <si>
    <t>יִרְאָה</t>
  </si>
  <si>
    <t>וָרַעַד</t>
  </si>
  <si>
    <t>וַתְּכַסֵּנִי</t>
  </si>
  <si>
    <t>אֵבֶר</t>
  </si>
  <si>
    <t>כַּיּוֹנָה</t>
  </si>
  <si>
    <t>אָעוּפָה</t>
  </si>
  <si>
    <t>אַרְחִיק</t>
  </si>
  <si>
    <t>נְדֹד</t>
  </si>
  <si>
    <t>אָלִין</t>
  </si>
  <si>
    <t>אָחִישָׁה</t>
  </si>
  <si>
    <t>מִפְלָט</t>
  </si>
  <si>
    <t>מֵרוּחַ</t>
  </si>
  <si>
    <t>סֹעָה</t>
  </si>
  <si>
    <t>בַּלַּע</t>
  </si>
  <si>
    <t>פַּלַּג</t>
  </si>
  <si>
    <t>וְרִיב</t>
  </si>
  <si>
    <t>יְסוֹבְבֻהָ</t>
  </si>
  <si>
    <t>חוֹמֹתֶיהָ</t>
  </si>
  <si>
    <t>וְאָוֶן</t>
  </si>
  <si>
    <t>וְעָמָל</t>
  </si>
  <si>
    <t>יָמִישׁ</t>
  </si>
  <si>
    <t>מֵרְחֹבָהּ</t>
  </si>
  <si>
    <t>תֹּךְ</t>
  </si>
  <si>
    <t>יְחָרְפֵנִי</t>
  </si>
  <si>
    <t>וְאֶשָּׂא</t>
  </si>
  <si>
    <t>מְשַׂנְאִי</t>
  </si>
  <si>
    <t>וְאֶסָּתֵר</t>
  </si>
  <si>
    <t>כְּעֶרְכִּי</t>
  </si>
  <si>
    <t>אַלּוּפִי</t>
  </si>
  <si>
    <t>נַמְתִּיק</t>
  </si>
  <si>
    <t>נְהַלֵּךְ</t>
  </si>
  <si>
    <t>יַשִּׁי</t>
  </si>
  <si>
    <t>בִּמְגוּרָם</t>
  </si>
  <si>
    <t>עֶרֶב</t>
  </si>
  <si>
    <t>וָבֹקֶר</t>
  </si>
  <si>
    <t>וְצָהֳרַיִם</t>
  </si>
  <si>
    <t>וְאֶהֱמֶה</t>
  </si>
  <si>
    <t>פָּדָה</t>
  </si>
  <si>
    <t>בְשָׁלוֹם</t>
  </si>
  <si>
    <t>מִקֲּרָב</t>
  </si>
  <si>
    <t>בְרַבִּים</t>
  </si>
  <si>
    <t>הָיוּ</t>
  </si>
  <si>
    <t>וְיַעֲנֵם</t>
  </si>
  <si>
    <t>וְיֹשֵׁב</t>
  </si>
  <si>
    <t>קֶדֶם</t>
  </si>
  <si>
    <t>סֶלָה</t>
  </si>
  <si>
    <t>חֲלִיפוֹת</t>
  </si>
  <si>
    <t>יָרְאוּ</t>
  </si>
  <si>
    <t>בִּשְׁלֹמָיו</t>
  </si>
  <si>
    <t>חִלֵּל</t>
  </si>
  <si>
    <t>חָלְקוּ</t>
  </si>
  <si>
    <t>מַחְמָאֹת</t>
  </si>
  <si>
    <t>וּקֲרָב</t>
  </si>
  <si>
    <t>רַכּוּ</t>
  </si>
  <si>
    <t>דְבָרָיו</t>
  </si>
  <si>
    <t>מִשֶּׁמֶן</t>
  </si>
  <si>
    <t>וְהֵמָּה</t>
  </si>
  <si>
    <t>הַשְׁלֵךְ</t>
  </si>
  <si>
    <t>יְהָבְךָ</t>
  </si>
  <si>
    <t>יְכַלְכְּלֶךָ</t>
  </si>
  <si>
    <t>מוֹט</t>
  </si>
  <si>
    <t>תּוֹרִדֵם</t>
  </si>
  <si>
    <t>לִבְאֵר</t>
  </si>
  <si>
    <t>דָמִים</t>
  </si>
  <si>
    <t>יֶחֱצוּ</t>
  </si>
  <si>
    <t>יְמֵיהֶם</t>
  </si>
  <si>
    <t>יוֹנַת</t>
  </si>
  <si>
    <t>אֵלֶם</t>
  </si>
  <si>
    <t>רְחֹקִים</t>
  </si>
  <si>
    <t>מִכְתָּם</t>
  </si>
  <si>
    <t>בֶּאֱחֹז</t>
  </si>
  <si>
    <t>פְלִשְׁתִּים</t>
  </si>
  <si>
    <t>שְׁאָפַנִי</t>
  </si>
  <si>
    <t>לֹחֵם</t>
  </si>
  <si>
    <t>שָׁאֲפוּ</t>
  </si>
  <si>
    <t>שׁוֹרְרַי</t>
  </si>
  <si>
    <t>לֹחֲמִים</t>
  </si>
  <si>
    <t>אֲהַלֵּל</t>
  </si>
  <si>
    <t>בָשָׂר</t>
  </si>
  <si>
    <t>דְּבָרַי</t>
  </si>
  <si>
    <t>יְעַצֵּבוּ</t>
  </si>
  <si>
    <t>מַחְשְׁבֹתָם</t>
  </si>
  <si>
    <t>יִצְפּוֹנוּ</t>
  </si>
  <si>
    <t>יִשְׁמֹרוּ</t>
  </si>
  <si>
    <t>קִוּוּ</t>
  </si>
  <si>
    <t>פַּלֶּט</t>
  </si>
  <si>
    <t>הוֹרֵד</t>
  </si>
  <si>
    <t>נֹדִי</t>
  </si>
  <si>
    <t>סָפַרְתָּה</t>
  </si>
  <si>
    <t>שִׂימָה</t>
  </si>
  <si>
    <t>בְנֹאדֶךָ</t>
  </si>
  <si>
    <t>נְדָרֶיךָ</t>
  </si>
  <si>
    <t>תּוֹדֹת</t>
  </si>
  <si>
    <t>הִצַּלְתָּ</t>
  </si>
  <si>
    <t>מִדֶּחִי</t>
  </si>
  <si>
    <t>לְהִתְהַלֵּךְ</t>
  </si>
  <si>
    <t>בְּאוֹר</t>
  </si>
  <si>
    <t>תַּשְׁחֵת</t>
  </si>
  <si>
    <t>בְּבָרְחוֹ</t>
  </si>
  <si>
    <t>שָׁאוּל</t>
  </si>
  <si>
    <t>חָסָיָה</t>
  </si>
  <si>
    <t>וּבְצֵל</t>
  </si>
  <si>
    <t>אֶחְסֶה</t>
  </si>
  <si>
    <t>יַעֲבֹר</t>
  </si>
  <si>
    <t>לָאֵל</t>
  </si>
  <si>
    <t>גֹּמֵר</t>
  </si>
  <si>
    <t>וְיוֹשִׁיעֵנִי</t>
  </si>
  <si>
    <t>חֵרֵף</t>
  </si>
  <si>
    <t>שֹׁאֲפִי</t>
  </si>
  <si>
    <t>לְבָאִם</t>
  </si>
  <si>
    <t>אֶשְׁכְּבָה</t>
  </si>
  <si>
    <t>לֹהֲטִים</t>
  </si>
  <si>
    <t>שִׁנֵּיהֶם</t>
  </si>
  <si>
    <t>וְחִצִּים</t>
  </si>
  <si>
    <t>וּלְשׁוֹנָם</t>
  </si>
  <si>
    <t>רֶשֶׁת</t>
  </si>
  <si>
    <t>הֵכִינוּ</t>
  </si>
  <si>
    <t>לִפְעָמַי</t>
  </si>
  <si>
    <t>כָּפַף</t>
  </si>
  <si>
    <t>כָּרוּ</t>
  </si>
  <si>
    <t>שִׁיחָה</t>
  </si>
  <si>
    <t>בְתוֹכָהּ</t>
  </si>
  <si>
    <t>הַנֵּבֶל</t>
  </si>
  <si>
    <t>אָעִירָה</t>
  </si>
  <si>
    <t>אֲזַמֶּרְךָ</t>
  </si>
  <si>
    <t>גָדֹל</t>
  </si>
  <si>
    <t>שְׁחָקִים</t>
  </si>
  <si>
    <t>הַאֻמְנָם</t>
  </si>
  <si>
    <t>תְּדַבֵּרוּן</t>
  </si>
  <si>
    <t>תִּשְׁפְּטוּ</t>
  </si>
  <si>
    <t>עוֹלֹת</t>
  </si>
  <si>
    <t>תִּפְעָלוּן</t>
  </si>
  <si>
    <t>חֲמַס</t>
  </si>
  <si>
    <t>יְדֵיכֶם</t>
  </si>
  <si>
    <t>זֹרוּ</t>
  </si>
  <si>
    <t>מֵרָחֶם</t>
  </si>
  <si>
    <t>חֲמַת</t>
  </si>
  <si>
    <t>כִּדְמוּת</t>
  </si>
  <si>
    <t>נָחָשׁ</t>
  </si>
  <si>
    <t>כְּמוֹ</t>
  </si>
  <si>
    <t>פֶתֶן</t>
  </si>
  <si>
    <t>חֵרֵשׁ</t>
  </si>
  <si>
    <t>יַאְטֵם</t>
  </si>
  <si>
    <t>מְלַחֲשִׁים</t>
  </si>
  <si>
    <t>חוֹבֵר</t>
  </si>
  <si>
    <t>חֲבָרִים</t>
  </si>
  <si>
    <t>הֲרָס</t>
  </si>
  <si>
    <t>שִׁנֵּימוֹ</t>
  </si>
  <si>
    <t>בְּפִימוֹ</t>
  </si>
  <si>
    <t>מַלְתְּעוֹת</t>
  </si>
  <si>
    <t>נְתֹץ</t>
  </si>
  <si>
    <t>יִמָּאֲסוּ</t>
  </si>
  <si>
    <t>כְמוֹ</t>
  </si>
  <si>
    <t>יִתְהַלְּכוּ</t>
  </si>
  <si>
    <t>יִדְרֹךְ</t>
  </si>
  <si>
    <t>שַׁבְּלוּל</t>
  </si>
  <si>
    <t>תֶּמֶס</t>
  </si>
  <si>
    <t>נֵפֶל</t>
  </si>
  <si>
    <t>אֵשֶׁת</t>
  </si>
  <si>
    <t>חָזוּ</t>
  </si>
  <si>
    <t>סִּירֹתֵיכֶם</t>
  </si>
  <si>
    <t>אָטָד</t>
  </si>
  <si>
    <t>חָרוֹן</t>
  </si>
  <si>
    <t>חָזָה</t>
  </si>
  <si>
    <t>נָקָם</t>
  </si>
  <si>
    <t>פְּעָמָיו</t>
  </si>
  <si>
    <t>יִרְחַץ</t>
  </si>
  <si>
    <t>בְּדַם</t>
  </si>
  <si>
    <t>וְיֹאמַר</t>
  </si>
  <si>
    <t>יֵשׁ</t>
  </si>
  <si>
    <t>שֹׁפְטִים</t>
  </si>
  <si>
    <t>בִּשְׁלֹחַ</t>
  </si>
  <si>
    <t>וַיִּשְׁמְרוּ</t>
  </si>
  <si>
    <t>מֵאֹיְבַי</t>
  </si>
  <si>
    <t>מִּמִתְקוֹמְמַי</t>
  </si>
  <si>
    <t>מִפֹּעֲלֵי</t>
  </si>
  <si>
    <t>וּמֵאַנְשֵׁי</t>
  </si>
  <si>
    <t>אָרְבוּ</t>
  </si>
  <si>
    <t>עַזִים</t>
  </si>
  <si>
    <t>פִשְׁעִי</t>
  </si>
  <si>
    <t>יְרוּצוּן</t>
  </si>
  <si>
    <t>וְיִכּוֹנָנוּ</t>
  </si>
  <si>
    <t>לִקְרָאתִי</t>
  </si>
  <si>
    <t>לִפְקֹד</t>
  </si>
  <si>
    <t>תָּחֹן</t>
  </si>
  <si>
    <t>בֹּגְדֵי</t>
  </si>
  <si>
    <t>לָעֶרֶב</t>
  </si>
  <si>
    <t>כַכָּלֶב</t>
  </si>
  <si>
    <t>וִיסוֹבְבוּ</t>
  </si>
  <si>
    <t>יַבִּיעוּן</t>
  </si>
  <si>
    <t>חֲרָבוֹת</t>
  </si>
  <si>
    <t>בְּשִׂפְתוֹתֵיהֶם</t>
  </si>
  <si>
    <t>תִּשְׂחַק</t>
  </si>
  <si>
    <t>תִּלְעַג</t>
  </si>
  <si>
    <t>עֻזּוֹ</t>
  </si>
  <si>
    <t>אֶשְׁמֹרָה</t>
  </si>
  <si>
    <t>יְקַדְּמֵנִי</t>
  </si>
  <si>
    <t>יַרְאֵנִי</t>
  </si>
  <si>
    <t>תַּהַרְגֵם</t>
  </si>
  <si>
    <t>יִשְׁכְּחוּ</t>
  </si>
  <si>
    <t>הֲנִיעֵמוֹ</t>
  </si>
  <si>
    <t>בְחֵילְךָ</t>
  </si>
  <si>
    <t>וְהוֹרִידֵמוֹ</t>
  </si>
  <si>
    <t>מָגִנֵּנוּ</t>
  </si>
  <si>
    <t>חַטַּאת</t>
  </si>
  <si>
    <t>שְׂפָתֵימוֹ</t>
  </si>
  <si>
    <t>וְיִלָּכְדוּ</t>
  </si>
  <si>
    <t>בִגְאוֹנָם</t>
  </si>
  <si>
    <t>וּמֵאָלָה</t>
  </si>
  <si>
    <t>וּמִכַּחַשׁ</t>
  </si>
  <si>
    <t>כַּלֵּה</t>
  </si>
  <si>
    <t>בְחֵמָה</t>
  </si>
  <si>
    <t>וְאֵינֵמוֹ</t>
  </si>
  <si>
    <t>וְיֵדְעוּ</t>
  </si>
  <si>
    <t>לְאַפְסֵי</t>
  </si>
  <si>
    <t>וְיָשׁוּבוּ</t>
  </si>
  <si>
    <t>יְנִיעוּן</t>
  </si>
  <si>
    <t>אָשִׁיר</t>
  </si>
  <si>
    <t>עֻזֶּךָ</t>
  </si>
  <si>
    <t>וַאֲרַנֵּן</t>
  </si>
  <si>
    <t>וּמָנוֹס</t>
  </si>
  <si>
    <t>אֲזַמֵּרָה</t>
  </si>
  <si>
    <t>שׁוּשַׁן</t>
  </si>
  <si>
    <t>בְּהַצּוֹתוֹ</t>
  </si>
  <si>
    <t>אֲרַם</t>
  </si>
  <si>
    <t>נַהֲרַיִם</t>
  </si>
  <si>
    <t>צוֹבָה</t>
  </si>
  <si>
    <t>וַיָּשָׁב</t>
  </si>
  <si>
    <t>יוֹאָב</t>
  </si>
  <si>
    <t>אֱדוֹם</t>
  </si>
  <si>
    <t>מֶלַח</t>
  </si>
  <si>
    <t>שְׁנֵים</t>
  </si>
  <si>
    <t>עָשָׂר</t>
  </si>
  <si>
    <t>זְנַחְתָּנוּ</t>
  </si>
  <si>
    <t>פְרַצְתָּנוּ</t>
  </si>
  <si>
    <t>אָנַפְתָּ</t>
  </si>
  <si>
    <t>תְּשׁוֹבֵב</t>
  </si>
  <si>
    <t>הִרְעַשְׁתָּה</t>
  </si>
  <si>
    <t>פְּצַמְתָּהּ</t>
  </si>
  <si>
    <t>רְפָה</t>
  </si>
  <si>
    <t>שְׁבָרֶיהָ</t>
  </si>
  <si>
    <t>הִרְאִיתָה</t>
  </si>
  <si>
    <t>קָשָׁה</t>
  </si>
  <si>
    <t>הִשְׁקִיתָנוּ</t>
  </si>
  <si>
    <t>יַיִן</t>
  </si>
  <si>
    <t>נֵּס</t>
  </si>
  <si>
    <t>לְהִתְנוֹסֵס</t>
  </si>
  <si>
    <t>קֹשֶׁט</t>
  </si>
  <si>
    <t>יֵחָלְצוּן</t>
  </si>
  <si>
    <t>יְדִידֶיךָ</t>
  </si>
  <si>
    <t>אֶעְלֹזָה</t>
  </si>
  <si>
    <t>אֲחַלְּקָה</t>
  </si>
  <si>
    <t>שְׁכֶם</t>
  </si>
  <si>
    <t>וְעֵמֶק</t>
  </si>
  <si>
    <t>סֻכּוֹת</t>
  </si>
  <si>
    <t>גִלְעָד</t>
  </si>
  <si>
    <t>מְנַשֶּׁה</t>
  </si>
  <si>
    <t>וְאֶפְרַיִם</t>
  </si>
  <si>
    <t>מוֹאָב</t>
  </si>
  <si>
    <t>סִיר</t>
  </si>
  <si>
    <t>רַחְצִי</t>
  </si>
  <si>
    <t>אַשְׁלִיךְ</t>
  </si>
  <si>
    <t>נַעֲלִי</t>
  </si>
  <si>
    <t>פְּלֶשֶׁת</t>
  </si>
  <si>
    <t>יֹבִלֵנִי</t>
  </si>
  <si>
    <t>מָצוֹר</t>
  </si>
  <si>
    <t>נָחַנִי</t>
  </si>
  <si>
    <t>הָבָה</t>
  </si>
  <si>
    <t>עֶזְרָת</t>
  </si>
  <si>
    <t>מִצָּר</t>
  </si>
  <si>
    <t>וְשָׁוְא</t>
  </si>
  <si>
    <t>תְּשׁוּעַת</t>
  </si>
  <si>
    <t>נַעֲשֶׂה</t>
  </si>
  <si>
    <t>יָבוּס</t>
  </si>
  <si>
    <t>נְגִינַת</t>
  </si>
  <si>
    <t>רִנָּתִי</t>
  </si>
  <si>
    <t>בַּעֲטֹף</t>
  </si>
  <si>
    <t>מִגְדַּל</t>
  </si>
  <si>
    <t>אָגוּרָה</t>
  </si>
  <si>
    <t>בְאָהָלְךָ</t>
  </si>
  <si>
    <t>עוֹלָמִים</t>
  </si>
  <si>
    <t>בְסֵתֶר</t>
  </si>
  <si>
    <t>לִנְדָרָי</t>
  </si>
  <si>
    <t>נָתַתָּ</t>
  </si>
  <si>
    <t>יְרֻשַּׁת</t>
  </si>
  <si>
    <t>תּוֹסִיף</t>
  </si>
  <si>
    <t>שְׁנוֹתָיו</t>
  </si>
  <si>
    <t>דֹר</t>
  </si>
  <si>
    <t>מַן</t>
  </si>
  <si>
    <t>לְשַׁלְּמִי</t>
  </si>
  <si>
    <t>יְדוּתוּן</t>
  </si>
  <si>
    <t>דּוּמִיָּה</t>
  </si>
  <si>
    <t>וִישׁוּעָתִי</t>
  </si>
  <si>
    <t>תְּהוֹתְתוּ</t>
  </si>
  <si>
    <t>תְּרָצְּחוּ</t>
  </si>
  <si>
    <t>כֻלְּכֶם</t>
  </si>
  <si>
    <t>כְּקִיר</t>
  </si>
  <si>
    <t>נָטוּי</t>
  </si>
  <si>
    <t>גָּדֵר</t>
  </si>
  <si>
    <t>מִשְּׂאֵתוֹ</t>
  </si>
  <si>
    <t>יָעֲצוּ</t>
  </si>
  <si>
    <t>לְהַדִּיחַ</t>
  </si>
  <si>
    <t>יְבָרֵכוּ</t>
  </si>
  <si>
    <t>וּבְקִרְבָּם</t>
  </si>
  <si>
    <t>יְקַלְלוּ</t>
  </si>
  <si>
    <t>דּוֹמִּי</t>
  </si>
  <si>
    <t>וּכְבוֹדִי</t>
  </si>
  <si>
    <t>בִּטְחוּ</t>
  </si>
  <si>
    <t>שִׁפְכוּ</t>
  </si>
  <si>
    <t>כָּזָב</t>
  </si>
  <si>
    <t>בְּמֹאזְנַיִם</t>
  </si>
  <si>
    <t>לַעֲלוֹת</t>
  </si>
  <si>
    <t>מֵהֶבֶל</t>
  </si>
  <si>
    <t>בְעֹשֶׁק</t>
  </si>
  <si>
    <t>וּבְגָזֵל</t>
  </si>
  <si>
    <t>תֶּהְבָּלוּ</t>
  </si>
  <si>
    <t>חַיִל</t>
  </si>
  <si>
    <t>יָנוּב</t>
  </si>
  <si>
    <t>תָּשִׁיתוּ</t>
  </si>
  <si>
    <t>שְׁתַּיִם</t>
  </si>
  <si>
    <t>שָׁמָעְתִּי</t>
  </si>
  <si>
    <t>וּלְךָ</t>
  </si>
  <si>
    <t>חָסֶד</t>
  </si>
  <si>
    <t>תְשַׁלֵּם</t>
  </si>
  <si>
    <t>לְאִישׁ</t>
  </si>
  <si>
    <t>בְשִׂיחִי</t>
  </si>
  <si>
    <t>תִּצֹּר</t>
  </si>
  <si>
    <t>תַּסְתִּירֵנִי</t>
  </si>
  <si>
    <t>מִסּוֹד</t>
  </si>
  <si>
    <t>מֵרִגְשַׁת</t>
  </si>
  <si>
    <t>שָׁנְנוּ</t>
  </si>
  <si>
    <t>כַחֶרֶב</t>
  </si>
  <si>
    <t>דָּרְכוּ</t>
  </si>
  <si>
    <t>בַּמִּסְתָּרִים</t>
  </si>
  <si>
    <t>תָּם</t>
  </si>
  <si>
    <t>פִּתְאֹם</t>
  </si>
  <si>
    <t>יֹרֻהוּ</t>
  </si>
  <si>
    <t>יְחַזְּקוּ</t>
  </si>
  <si>
    <t>יְסַפְּרוּ</t>
  </si>
  <si>
    <t>לִטְמוֹן</t>
  </si>
  <si>
    <t>מוֹקְשִׁים</t>
  </si>
  <si>
    <t>יַחְפְּשׂוּ</t>
  </si>
  <si>
    <t>תַּמְנוּ</t>
  </si>
  <si>
    <t>חֵפֶשׂ</t>
  </si>
  <si>
    <t>מְחֻפָּשׂ</t>
  </si>
  <si>
    <t>וְקֶרֶב</t>
  </si>
  <si>
    <t>וְלֵב</t>
  </si>
  <si>
    <t>וַיֹּרֵם</t>
  </si>
  <si>
    <t>חֵץ</t>
  </si>
  <si>
    <t>פִּתְאוֹם</t>
  </si>
  <si>
    <t>וַיַּכְשִׁילוּהוּ</t>
  </si>
  <si>
    <t>יִתְנֹדֲדוּ</t>
  </si>
  <si>
    <t>רֹאֵה</t>
  </si>
  <si>
    <t>וַיִּירְאוּ</t>
  </si>
  <si>
    <t>וַיַּגִּידוּ</t>
  </si>
  <si>
    <t>וּמַעֲשֵׂהוּ</t>
  </si>
  <si>
    <t>וְחָסָה</t>
  </si>
  <si>
    <t>וְיִתְהַלְלוּ</t>
  </si>
  <si>
    <t>דֻמִיָּה</t>
  </si>
  <si>
    <t>תְהִלָּה</t>
  </si>
  <si>
    <t>יְשֻׁלַּם</t>
  </si>
  <si>
    <t>עָדֶיךָ</t>
  </si>
  <si>
    <t>עֲוֹנֹת</t>
  </si>
  <si>
    <t>גָּבְרוּ</t>
  </si>
  <si>
    <t>מֶנִּי</t>
  </si>
  <si>
    <t>פְּשָׁעֵינוּ</t>
  </si>
  <si>
    <t>תִּבְחַר</t>
  </si>
  <si>
    <t>וּתְקָרֵב</t>
  </si>
  <si>
    <t>חֲצֵרֶיךָ</t>
  </si>
  <si>
    <t>נִשְׂבְּעָה</t>
  </si>
  <si>
    <t>תַּעֲנֵנוּ</t>
  </si>
  <si>
    <t>יִשְׁעֵנוּ</t>
  </si>
  <si>
    <t>מִבְטָח</t>
  </si>
  <si>
    <t>קַצְוֵי</t>
  </si>
  <si>
    <t>וְיָם</t>
  </si>
  <si>
    <t>מֵכִין</t>
  </si>
  <si>
    <t>בְּכֹחוֹ</t>
  </si>
  <si>
    <t>נֶאְזָר</t>
  </si>
  <si>
    <t>מַשְׁבִּיחַ</t>
  </si>
  <si>
    <t>שְׁאוֹן</t>
  </si>
  <si>
    <t>גַּלֵּיהֶם</t>
  </si>
  <si>
    <t>וַהֲמוֹן</t>
  </si>
  <si>
    <t>קְצָוֹת</t>
  </si>
  <si>
    <t>מֵאוֹתֹתֶיךָ</t>
  </si>
  <si>
    <t>מוֹצָאֵי</t>
  </si>
  <si>
    <t>בֹקֶר</t>
  </si>
  <si>
    <t>וָעֶרֶב</t>
  </si>
  <si>
    <t>פָּקַדְתָּ</t>
  </si>
  <si>
    <t>וַתְּשֹׁקְקֶהָ</t>
  </si>
  <si>
    <t>רַבַּת</t>
  </si>
  <si>
    <t>תַּעְשְׁרֶנָּה</t>
  </si>
  <si>
    <t>פֶּלֶג</t>
  </si>
  <si>
    <t>תָּכִין</t>
  </si>
  <si>
    <t>דְּגָנָם</t>
  </si>
  <si>
    <t>תְּלָמֶיהָ</t>
  </si>
  <si>
    <t>רַוֵּה</t>
  </si>
  <si>
    <t>נַחֵת</t>
  </si>
  <si>
    <t>גְּדוּדֶיהָ</t>
  </si>
  <si>
    <t>בִּרְבִיבִים</t>
  </si>
  <si>
    <t>תְּמֹגְגֶנָּה</t>
  </si>
  <si>
    <t>צִמְחָהּ</t>
  </si>
  <si>
    <t>עִטַּרְתָּ</t>
  </si>
  <si>
    <t>שְׁנַת</t>
  </si>
  <si>
    <t>טוֹבָתֶךָ</t>
  </si>
  <si>
    <t>וּמַעְגָּלֶיךָ</t>
  </si>
  <si>
    <t>יִרְעֲפוּן</t>
  </si>
  <si>
    <t>יִרְעֲפוּ</t>
  </si>
  <si>
    <t>נְאוֹת</t>
  </si>
  <si>
    <t>וְגִיל</t>
  </si>
  <si>
    <t>לָבְשׁוּ</t>
  </si>
  <si>
    <t>כָרִים</t>
  </si>
  <si>
    <t>הַצֹּאן</t>
  </si>
  <si>
    <t>וַעֲמָקִים</t>
  </si>
  <si>
    <t>יַעַטְפוּ</t>
  </si>
  <si>
    <t>בָר</t>
  </si>
  <si>
    <t>יִתְרוֹעֲעוּ</t>
  </si>
  <si>
    <t>כְבוֹד</t>
  </si>
  <si>
    <t>שִׂימוּ</t>
  </si>
  <si>
    <t>אִמְרוּ</t>
  </si>
  <si>
    <t>נּוֹרָא</t>
  </si>
  <si>
    <t>יִשְׁתַּחֲווּ</t>
  </si>
  <si>
    <t>וִיזַמְּרוּ</t>
  </si>
  <si>
    <t>לְיַבָּשָׁה</t>
  </si>
  <si>
    <t>בַּנָּהָר</t>
  </si>
  <si>
    <t>יַעַבְרוּ</t>
  </si>
  <si>
    <t>בְרָגֶל</t>
  </si>
  <si>
    <t>נִשְׂמְחָה</t>
  </si>
  <si>
    <t>בִּגְבוּרָתוֹ</t>
  </si>
  <si>
    <t>תִּצְפֶּינָה</t>
  </si>
  <si>
    <t>הַסּוֹרְרִים</t>
  </si>
  <si>
    <t>יָרוּמוּ</t>
  </si>
  <si>
    <t>וְהַשְׁמִיעוּ</t>
  </si>
  <si>
    <t>בַּחַיִּים</t>
  </si>
  <si>
    <t>לַמּוֹט</t>
  </si>
  <si>
    <t>בְחַנְתָּנוּ</t>
  </si>
  <si>
    <t>צְרַפְתָּנוּ</t>
  </si>
  <si>
    <t>כִּצְרָף</t>
  </si>
  <si>
    <t>הֲבֵאתָנוּ</t>
  </si>
  <si>
    <t>בַמְּצוּדָה</t>
  </si>
  <si>
    <t>מוּעָקָה</t>
  </si>
  <si>
    <t>הִרְכַּבְתָּ</t>
  </si>
  <si>
    <t>לְרֹאשֵׁנוּ</t>
  </si>
  <si>
    <t>בָּאנוּ</t>
  </si>
  <si>
    <t>בָאֵשׁ</t>
  </si>
  <si>
    <t>וּבַמַּיִם</t>
  </si>
  <si>
    <t>וַתּוֹצִיאֵנוּ</t>
  </si>
  <si>
    <t>בֵיתְךָ</t>
  </si>
  <si>
    <t>בְעוֹלוֹת</t>
  </si>
  <si>
    <t>פָּצוּ</t>
  </si>
  <si>
    <t>שְׂפָתָי</t>
  </si>
  <si>
    <t>וְדִבֶּר</t>
  </si>
  <si>
    <t>עֹלוֹת</t>
  </si>
  <si>
    <t>מֵחִים</t>
  </si>
  <si>
    <t>אַעֲלֶה</t>
  </si>
  <si>
    <t>קְטֹרֶת</t>
  </si>
  <si>
    <t>אֵילִים</t>
  </si>
  <si>
    <t>אֶעֱשֶׂה</t>
  </si>
  <si>
    <t>בָקָר</t>
  </si>
  <si>
    <t>עַתּוּדִים</t>
  </si>
  <si>
    <t>וַאֲסַפְּרָה</t>
  </si>
  <si>
    <t>וְרוֹמַם</t>
  </si>
  <si>
    <t>בְלִבִּי</t>
  </si>
  <si>
    <t>הִקְשִׁיב</t>
  </si>
  <si>
    <t>הֵסִיר</t>
  </si>
  <si>
    <t>וְחַסְדּוֹ</t>
  </si>
  <si>
    <t>יָפוּצוּ</t>
  </si>
  <si>
    <t>אוֹיְבָיו</t>
  </si>
  <si>
    <t>וְיָנוּסוּ</t>
  </si>
  <si>
    <t>מְשַׂנְאָיו</t>
  </si>
  <si>
    <t>כְּהִנְדֹּף</t>
  </si>
  <si>
    <t>תִּנְדֹּף</t>
  </si>
  <si>
    <t>כְּהִמֵּס</t>
  </si>
  <si>
    <t>דּוֹנַג</t>
  </si>
  <si>
    <t>יֹאבְדוּ</t>
  </si>
  <si>
    <t>וְצַדִּיקִים</t>
  </si>
  <si>
    <t>וְיָשִׂישׂוּ</t>
  </si>
  <si>
    <t>סֹלּוּ</t>
  </si>
  <si>
    <t>לָרֹכֵב</t>
  </si>
  <si>
    <t>בָּעֲרָבוֹת</t>
  </si>
  <si>
    <t>בְּיָהּ</t>
  </si>
  <si>
    <t>וְעִלְזוּ</t>
  </si>
  <si>
    <t>אֲבִי</t>
  </si>
  <si>
    <t>יְתוֹמִים</t>
  </si>
  <si>
    <t>וְדַיַּן</t>
  </si>
  <si>
    <t>אַלְמָנוֹת</t>
  </si>
  <si>
    <t>בִּמְעוֹן</t>
  </si>
  <si>
    <t>מוֹשִׁיב</t>
  </si>
  <si>
    <t>יְחִידִים</t>
  </si>
  <si>
    <t>בַּיְתָה</t>
  </si>
  <si>
    <t>מוֹצִיא</t>
  </si>
  <si>
    <t>אֲסִירִים</t>
  </si>
  <si>
    <t>בַּכּוֹשָׁרוֹת</t>
  </si>
  <si>
    <t>סוֹרֲרִים</t>
  </si>
  <si>
    <t>שָׁכְנוּ</t>
  </si>
  <si>
    <t>בְּצֵאתְךָ</t>
  </si>
  <si>
    <t>בְּצַעְדְּךָ</t>
  </si>
  <si>
    <t>בִישִׁימוֹן</t>
  </si>
  <si>
    <t>רָעָשָׁה</t>
  </si>
  <si>
    <t>נָטְפוּ</t>
  </si>
  <si>
    <t>סִינַי</t>
  </si>
  <si>
    <t>גֶּשֶׁם</t>
  </si>
  <si>
    <t>נְדָבוֹת</t>
  </si>
  <si>
    <t>תָּנִיף</t>
  </si>
  <si>
    <t>נַחֲלָתְךָ</t>
  </si>
  <si>
    <t>וְנִלְאָה</t>
  </si>
  <si>
    <t>חַיָּתְךָ</t>
  </si>
  <si>
    <t>בָהּ</t>
  </si>
  <si>
    <t>בְּטוֹבָתְךָ</t>
  </si>
  <si>
    <t>לֶעָנִי</t>
  </si>
  <si>
    <t>הַמְבַשְּׂרוֹת</t>
  </si>
  <si>
    <t>צָבָא</t>
  </si>
  <si>
    <t>יִדֹּדוּן</t>
  </si>
  <si>
    <t>וּנְוַת</t>
  </si>
  <si>
    <t>בַּיִת</t>
  </si>
  <si>
    <t>תְּחַלֵּק</t>
  </si>
  <si>
    <t>תִּשְׁכְּבוּן</t>
  </si>
  <si>
    <t>שְׁפַתָּיִם</t>
  </si>
  <si>
    <t>יוֹנָה</t>
  </si>
  <si>
    <t>נֶחְפָּה</t>
  </si>
  <si>
    <t>בַכֶּסֶף</t>
  </si>
  <si>
    <t>וְאֶבְרוֹתֶיהָ</t>
  </si>
  <si>
    <t>בִּירַקְרַק</t>
  </si>
  <si>
    <t>בְּפָרֵשׂ</t>
  </si>
  <si>
    <t>תַּשְׁלֵג</t>
  </si>
  <si>
    <t>בָּשָׁן</t>
  </si>
  <si>
    <t>גַּבְנֻנִּים</t>
  </si>
  <si>
    <t>תְּרַצְּדוּן</t>
  </si>
  <si>
    <t>הָהָר</t>
  </si>
  <si>
    <t>חָמַד</t>
  </si>
  <si>
    <t>לְשִׁבְתּוֹ</t>
  </si>
  <si>
    <t>רֶכֶב</t>
  </si>
  <si>
    <t>רִבֹּתַיִם</t>
  </si>
  <si>
    <t>אַלְפֵי</t>
  </si>
  <si>
    <t>שִׁנְאָן</t>
  </si>
  <si>
    <t>עָלִיתָ</t>
  </si>
  <si>
    <t>לַמָּרוֹם</t>
  </si>
  <si>
    <t>שָׁבִיתָ</t>
  </si>
  <si>
    <t>שֶּׁבִי</t>
  </si>
  <si>
    <t>לָקַחְתָּ</t>
  </si>
  <si>
    <t>מַתָּנוֹת</t>
  </si>
  <si>
    <t>בָּאָדָם</t>
  </si>
  <si>
    <t>וְאַף</t>
  </si>
  <si>
    <t>סוֹרְרִים</t>
  </si>
  <si>
    <t>לִשְׁכֹּן</t>
  </si>
  <si>
    <t>יַעֲמָס</t>
  </si>
  <si>
    <t>יְשׁוּעָתֵנוּ</t>
  </si>
  <si>
    <t>לְמוֹשָׁעוֹת</t>
  </si>
  <si>
    <t>וְלֵייִ</t>
  </si>
  <si>
    <t>לַמָּוֶת</t>
  </si>
  <si>
    <t>יִמְחַץ</t>
  </si>
  <si>
    <t>קָדְקֹד</t>
  </si>
  <si>
    <t>שֵׂעָר</t>
  </si>
  <si>
    <t>מִתְהַלֵּךְ</t>
  </si>
  <si>
    <t>מִבָּשָׁן</t>
  </si>
  <si>
    <t>מִמְּצֻלוֹת</t>
  </si>
  <si>
    <t>תִּמְחַץ</t>
  </si>
  <si>
    <t>רַגְלְךָ</t>
  </si>
  <si>
    <t>בְּדָם</t>
  </si>
  <si>
    <t>כְּלָבֶיךָ</t>
  </si>
  <si>
    <t>מֵאֹיְבִים</t>
  </si>
  <si>
    <t>הֲלִיכוֹתֶיךָ</t>
  </si>
  <si>
    <t>הֲלִיכוֹת</t>
  </si>
  <si>
    <t>קִדְּמוּ</t>
  </si>
  <si>
    <t>שָׁרִים</t>
  </si>
  <si>
    <t>אַחַר</t>
  </si>
  <si>
    <t>נֹגְנִים</t>
  </si>
  <si>
    <t>בְּמַקְהֵלוֹת</t>
  </si>
  <si>
    <t>מִמְּקוֹר</t>
  </si>
  <si>
    <t>בִּנְיָמִן</t>
  </si>
  <si>
    <t>צָעִיר</t>
  </si>
  <si>
    <t>שׁוֹשַׁנִּים</t>
  </si>
  <si>
    <t>בָאוּ</t>
  </si>
  <si>
    <t>טָבַעְתִּי</t>
  </si>
  <si>
    <t>בִּיוֵן</t>
  </si>
  <si>
    <t>מְצוּלָה</t>
  </si>
  <si>
    <t>מָעֳמָד</t>
  </si>
  <si>
    <t>בָּאתִי</t>
  </si>
  <si>
    <t>בְמַעֲמַקֵּי</t>
  </si>
  <si>
    <t>וְשִׁבֹּלֶת</t>
  </si>
  <si>
    <t>בְקָרְאִי</t>
  </si>
  <si>
    <t>נִחַר</t>
  </si>
  <si>
    <t>גְּרוֹנִי</t>
  </si>
  <si>
    <t>מְיַחֵל</t>
  </si>
  <si>
    <t>מַצְמִיתַי</t>
  </si>
  <si>
    <t>גָזַלְתִּי</t>
  </si>
  <si>
    <t>לְאִוַּלְתִּי</t>
  </si>
  <si>
    <t>וְאַשְׁמוֹתַי</t>
  </si>
  <si>
    <t>יִכָּלְמוּ</t>
  </si>
  <si>
    <t>נָשָׂאתִי</t>
  </si>
  <si>
    <t>כִּסְּתָה</t>
  </si>
  <si>
    <t>כְלִמָּה</t>
  </si>
  <si>
    <t>מוּזָר</t>
  </si>
  <si>
    <t>לְאֶחָי</t>
  </si>
  <si>
    <t>וְנָכְרִי</t>
  </si>
  <si>
    <t>קִנְאַת</t>
  </si>
  <si>
    <t>בֵּיתְךָ</t>
  </si>
  <si>
    <t>אֲכָלָתְנִי</t>
  </si>
  <si>
    <t>וְחֶרְפּוֹת</t>
  </si>
  <si>
    <t>חוֹרְפֶיךָ</t>
  </si>
  <si>
    <t>וָאֶבְכֶּה</t>
  </si>
  <si>
    <t>לַחֲרָפוֹת</t>
  </si>
  <si>
    <t>וָאֶתְּנָה</t>
  </si>
  <si>
    <t>יָשִׂיחוּ</t>
  </si>
  <si>
    <t>שָׁעַר</t>
  </si>
  <si>
    <t>וּנְגִינוֹת</t>
  </si>
  <si>
    <t>שׁוֹתֵי</t>
  </si>
  <si>
    <t>אֶטְבָּעָה</t>
  </si>
  <si>
    <t>אִנָּצְלָה</t>
  </si>
  <si>
    <t>מִשֹּׂנְאַי</t>
  </si>
  <si>
    <t>וּמִמַּעֲמַקֵּי</t>
  </si>
  <si>
    <t>תִּשְׁטְפֵנִי</t>
  </si>
  <si>
    <t>שִׁבֹּלֶת</t>
  </si>
  <si>
    <t>תִּבְלָעֵנִי</t>
  </si>
  <si>
    <t>תֶּאְטַר</t>
  </si>
  <si>
    <t>בְּאֵר</t>
  </si>
  <si>
    <t>מֵעַבְדֶּךָ</t>
  </si>
  <si>
    <t>מַהֵר</t>
  </si>
  <si>
    <t>קָרְבָה</t>
  </si>
  <si>
    <t>גְאָלָהּ</t>
  </si>
  <si>
    <t>חֶרְפָּתִי</t>
  </si>
  <si>
    <t>וּבָשְׁתִּי</t>
  </si>
  <si>
    <t>וּכְלִמָּתִי</t>
  </si>
  <si>
    <t>נֶגְדְּךָ</t>
  </si>
  <si>
    <t>שָׁבְרָה</t>
  </si>
  <si>
    <t>וָאָנוּשָׁה</t>
  </si>
  <si>
    <t>וָאֲקַוֶּה</t>
  </si>
  <si>
    <t>לָנוּד</t>
  </si>
  <si>
    <t>וָאַיִן</t>
  </si>
  <si>
    <t>וְלַמְנַחֲמִים</t>
  </si>
  <si>
    <t>וַיִּתְּנוּ</t>
  </si>
  <si>
    <t>בְּבָרוּתִי</t>
  </si>
  <si>
    <t>וְלִצְמָאִי</t>
  </si>
  <si>
    <t>יַשְׁקוּנִי</t>
  </si>
  <si>
    <t>שֻׁלְחָנָם</t>
  </si>
  <si>
    <t>לְפָח</t>
  </si>
  <si>
    <t>וְלִשְׁלוֹמִים</t>
  </si>
  <si>
    <t>תֶּחְשַׁכְנָה</t>
  </si>
  <si>
    <t>וּמָתְנֵיהֶם</t>
  </si>
  <si>
    <t>שְׁפָךְ</t>
  </si>
  <si>
    <t>זַעְמֶךָ</t>
  </si>
  <si>
    <t>וַחֲרוֹן</t>
  </si>
  <si>
    <t>אַפְּךָ</t>
  </si>
  <si>
    <t>תְּהִי</t>
  </si>
  <si>
    <t>טִירָתָם</t>
  </si>
  <si>
    <t>נְשַׁמָּה</t>
  </si>
  <si>
    <t>בְּאָהֳלֵיהֶם</t>
  </si>
  <si>
    <t>הִכִּיתָ</t>
  </si>
  <si>
    <t>רָדָפוּ</t>
  </si>
  <si>
    <t>מַכְאוֹב</t>
  </si>
  <si>
    <t>חֲלָלֶיךָ</t>
  </si>
  <si>
    <t>עֲוֹנָם</t>
  </si>
  <si>
    <t>יִמָּחוּ</t>
  </si>
  <si>
    <t>מִסֵּפֶר</t>
  </si>
  <si>
    <t>עֶזְרִי</t>
  </si>
  <si>
    <t>לְאָסָף</t>
  </si>
  <si>
    <t>הוֹדִינוּ</t>
  </si>
  <si>
    <t>וְקָרוֹב</t>
  </si>
  <si>
    <t>אֶקַּח</t>
  </si>
  <si>
    <t>מוֹעֵד</t>
  </si>
  <si>
    <t>נְמֹגִים</t>
  </si>
  <si>
    <t>יֹשְׁבֶיהָ</t>
  </si>
  <si>
    <t>תִכַּנְתִּי</t>
  </si>
  <si>
    <t>עַמּוּדֶיהָ</t>
  </si>
  <si>
    <t>לַהוֹלְלִים</t>
  </si>
  <si>
    <t>תָּהֹלּוּ</t>
  </si>
  <si>
    <t>וְלָרְשָׁעִים</t>
  </si>
  <si>
    <t>תָּרִימוּ</t>
  </si>
  <si>
    <t>קַרְנְכֶם</t>
  </si>
  <si>
    <t>תְּדַבְּרוּ</t>
  </si>
  <si>
    <t>בְצַוָּאר</t>
  </si>
  <si>
    <t>מִמּוֹצָא</t>
  </si>
  <si>
    <t>מִמִּדְבַּר</t>
  </si>
  <si>
    <t>יַשְׁפִּיל</t>
  </si>
  <si>
    <t>וְזֶה</t>
  </si>
  <si>
    <t>כוֹס</t>
  </si>
  <si>
    <t>חָמַר</t>
  </si>
  <si>
    <t>מֶסֶךְ</t>
  </si>
  <si>
    <t>וַיַּגֵּר</t>
  </si>
  <si>
    <t>מִזֶּה</t>
  </si>
  <si>
    <t>שְׁמָרֶיהָ</t>
  </si>
  <si>
    <t>יִמְצוּ</t>
  </si>
  <si>
    <t>יִשְׁתּוּ</t>
  </si>
  <si>
    <t>קַרְנֵי</t>
  </si>
  <si>
    <t>אֲגַדֵּעַ</t>
  </si>
  <si>
    <t>תְּרוֹמַמְנָה</t>
  </si>
  <si>
    <t>נוֹדָע</t>
  </si>
  <si>
    <t>בִּיהוּדָה</t>
  </si>
  <si>
    <t>בְּיִשְׂרָאֵל</t>
  </si>
  <si>
    <t>בְשָׁלֵם</t>
  </si>
  <si>
    <t>סֻכּוֹ</t>
  </si>
  <si>
    <t>וּמְעוֹנָתוֹ</t>
  </si>
  <si>
    <t>שָׁמָּה</t>
  </si>
  <si>
    <t>רִשְׁפֵי</t>
  </si>
  <si>
    <t>קָשֶׁת</t>
  </si>
  <si>
    <t>וּמִלְחָמָה</t>
  </si>
  <si>
    <t>נָאוֹר</t>
  </si>
  <si>
    <t>מֵהַרְרֵי</t>
  </si>
  <si>
    <t>אֶשְׁתּוֹלְלוּ</t>
  </si>
  <si>
    <t>אַבִּירֵי</t>
  </si>
  <si>
    <t>נָמוּ</t>
  </si>
  <si>
    <t>שְׁנָתָם</t>
  </si>
  <si>
    <t>מָצְאוּ</t>
  </si>
  <si>
    <t>נִרְדָּם</t>
  </si>
  <si>
    <t>וְרֶכֶב</t>
  </si>
  <si>
    <t>יַעֲמֹד</t>
  </si>
  <si>
    <t>הִשְׁמַעְתָּ</t>
  </si>
  <si>
    <t>דִּין</t>
  </si>
  <si>
    <t>יָרְאָה</t>
  </si>
  <si>
    <t>בְּקוּם</t>
  </si>
  <si>
    <t>לְהוֹשִׁיעַ</t>
  </si>
  <si>
    <t>עַנְוֵי</t>
  </si>
  <si>
    <t>תּוֹדֶךָּ</t>
  </si>
  <si>
    <t>שְׁאֵרִית</t>
  </si>
  <si>
    <t>חֵמֹת</t>
  </si>
  <si>
    <t>נִדֲרוּ</t>
  </si>
  <si>
    <t>וְשַׁלְּמוּ</t>
  </si>
  <si>
    <t>יוֹבִילוּ</t>
  </si>
  <si>
    <t>שַׁי</t>
  </si>
  <si>
    <t>יִבְצֹר</t>
  </si>
  <si>
    <t>נְגִידִים</t>
  </si>
  <si>
    <t>לְמַלְכֵי</t>
  </si>
  <si>
    <t>וְאֶצְעָקָה</t>
  </si>
  <si>
    <t>וְהַאֲזִין</t>
  </si>
  <si>
    <t>צָרָתִי</t>
  </si>
  <si>
    <t>דָּרָשְׁתִּי</t>
  </si>
  <si>
    <t>יָדִי</t>
  </si>
  <si>
    <t>נִגְּרָה</t>
  </si>
  <si>
    <t>תָפוּג</t>
  </si>
  <si>
    <t>מֵאֲנָה</t>
  </si>
  <si>
    <t>הִנָּחֵם</t>
  </si>
  <si>
    <t>וְאֶהֱמָיָה</t>
  </si>
  <si>
    <t>וְתִתְעַטֵּף</t>
  </si>
  <si>
    <t>אָחַזְתָּ</t>
  </si>
  <si>
    <t>שְׁמֻרוֹת</t>
  </si>
  <si>
    <t>נִפְעַמְתִּי</t>
  </si>
  <si>
    <t>חִשַּׁבְתִּי</t>
  </si>
  <si>
    <t>מִקֶּדֶם</t>
  </si>
  <si>
    <t>שְׁנוֹת</t>
  </si>
  <si>
    <t>נְגִינָתִי</t>
  </si>
  <si>
    <t>וַיְחַפֵּשׂ</t>
  </si>
  <si>
    <t>הַלְעוֹלָמִים</t>
  </si>
  <si>
    <t>יִזְנַח</t>
  </si>
  <si>
    <t>יֹסִיף</t>
  </si>
  <si>
    <t>לִרְצוֹת</t>
  </si>
  <si>
    <t>הֶאָפֵס</t>
  </si>
  <si>
    <t>גָּמַר</t>
  </si>
  <si>
    <t>הֲשָׁכַח</t>
  </si>
  <si>
    <t>חַנּוֹת</t>
  </si>
  <si>
    <t>קָפַץ</t>
  </si>
  <si>
    <t>רַחֲמָיו</t>
  </si>
  <si>
    <t>חַלּוֹתִי</t>
  </si>
  <si>
    <t>אֶזְכּוֹר</t>
  </si>
  <si>
    <t>מַעַלְלֵי</t>
  </si>
  <si>
    <t>וְהָגִיתִי</t>
  </si>
  <si>
    <t>פָּעֳלֶךָ</t>
  </si>
  <si>
    <t>וּבַעֲלִילוֹתֶיךָ</t>
  </si>
  <si>
    <t>בַּקֹּדֶשׁ</t>
  </si>
  <si>
    <t>פֶלֶא</t>
  </si>
  <si>
    <t>הוֹדַעְתָּ</t>
  </si>
  <si>
    <t>גָּאַלְתָּ</t>
  </si>
  <si>
    <t>בִּזְרוֹעַ</t>
  </si>
  <si>
    <t>וְיוֹסֵף</t>
  </si>
  <si>
    <t>רָאוּךָ</t>
  </si>
  <si>
    <t>מַּיִם</t>
  </si>
  <si>
    <t>יָחִילוּ</t>
  </si>
  <si>
    <t>זֹרְמוּ</t>
  </si>
  <si>
    <t>עָבוֹת</t>
  </si>
  <si>
    <t>נָתְנוּ</t>
  </si>
  <si>
    <t>חֲצָצֶיךָ</t>
  </si>
  <si>
    <t>בַּגַּלְגַּל</t>
  </si>
  <si>
    <t>בְרָקִים</t>
  </si>
  <si>
    <t>רָגְזָה</t>
  </si>
  <si>
    <t>בַּיָּם</t>
  </si>
  <si>
    <t>וּשְׁבִילְךָ</t>
  </si>
  <si>
    <t>וְעִקְּבוֹתֶיךָ</t>
  </si>
  <si>
    <t>נָחִיתָ</t>
  </si>
  <si>
    <t>כַצֹּאן</t>
  </si>
  <si>
    <t>רֹעֵה</t>
  </si>
  <si>
    <t>נֹהֵג</t>
  </si>
  <si>
    <t>יוֹסֵף</t>
  </si>
  <si>
    <t>הַכְּרוּבִים</t>
  </si>
  <si>
    <t>אֶפְרַיִם</t>
  </si>
  <si>
    <t>וּבִנְיָמִן</t>
  </si>
  <si>
    <t>וּמְנַשֶּׁה</t>
  </si>
  <si>
    <t>עוֹרְרָה</t>
  </si>
  <si>
    <t>גְּבוּרָתֶךָ</t>
  </si>
  <si>
    <t>וּלְכָה</t>
  </si>
  <si>
    <t>לִישֻׁעָתָה</t>
  </si>
  <si>
    <t>הֲשִׁיבֵנוּ</t>
  </si>
  <si>
    <t>וְהָאֵר</t>
  </si>
  <si>
    <t>עָשַׁנְתָּ</t>
  </si>
  <si>
    <t>בִּתְפִלַּת</t>
  </si>
  <si>
    <t>הֶאֱכַלְתָּם</t>
  </si>
  <si>
    <t>וַתַּשְׁקֵמוֹ</t>
  </si>
  <si>
    <t>בִּדְמָעוֹת</t>
  </si>
  <si>
    <t>מָדוֹן</t>
  </si>
  <si>
    <t>וְאֹיְבֵינוּ</t>
  </si>
  <si>
    <t>יִלְעֲגוּ</t>
  </si>
  <si>
    <t>גֶּפֶן</t>
  </si>
  <si>
    <t>מִמִּצְרַיִם</t>
  </si>
  <si>
    <t>תַּסִּיעַ</t>
  </si>
  <si>
    <t>תְּגָרֵשׁ</t>
  </si>
  <si>
    <t>פִּנִּיתָ</t>
  </si>
  <si>
    <t>לְפָנֶיהָ</t>
  </si>
  <si>
    <t>וַתַּשְׁרֵשׁ</t>
  </si>
  <si>
    <t>שָׁרָשֶׁיהָ</t>
  </si>
  <si>
    <t>וַתְּמַלֵּא</t>
  </si>
  <si>
    <t>כָּסּוּ</t>
  </si>
  <si>
    <t>צִלָּהּ</t>
  </si>
  <si>
    <t>וַעֲנָפֶיהָ</t>
  </si>
  <si>
    <t>תְּשַׁלַּח</t>
  </si>
  <si>
    <t>קְצִירֶהָ</t>
  </si>
  <si>
    <t>פָּרַצְתָּ</t>
  </si>
  <si>
    <t>גְדֵרֶיהָ</t>
  </si>
  <si>
    <t>וְאָרוּהָ</t>
  </si>
  <si>
    <t>עֹבְרֵי</t>
  </si>
  <si>
    <t>יְכַרְסְמֶנָּה</t>
  </si>
  <si>
    <t>חֲזִיר</t>
  </si>
  <si>
    <t>מִיָּעַר</t>
  </si>
  <si>
    <t>וְזִיז</t>
  </si>
  <si>
    <t>שָׂדַי</t>
  </si>
  <si>
    <t>שׁוּב</t>
  </si>
  <si>
    <t>הַבֵּט</t>
  </si>
  <si>
    <t>וּרְאֵה</t>
  </si>
  <si>
    <t>וּפְקֹד</t>
  </si>
  <si>
    <t>וְכַנָּה</t>
  </si>
  <si>
    <t>נָטְעָה</t>
  </si>
  <si>
    <t>יְמִינֶךָ</t>
  </si>
  <si>
    <t>בֵּן</t>
  </si>
  <si>
    <t>אִמַּצְתָּה</t>
  </si>
  <si>
    <t>שְׂרֻפָה</t>
  </si>
  <si>
    <t>כְּסוּחָה</t>
  </si>
  <si>
    <t>מִגַּעֲרַת</t>
  </si>
  <si>
    <t>אִמַּצְתָּ</t>
  </si>
  <si>
    <t>מִמֶּךָּ</t>
  </si>
  <si>
    <t>תְּחַיֵּנוּ</t>
  </si>
  <si>
    <t>וּבְשִׁמְךָ</t>
  </si>
  <si>
    <t>הָאֵר</t>
  </si>
  <si>
    <t>הַרְנִינוּ</t>
  </si>
  <si>
    <t>עוּזֵּנוּ</t>
  </si>
  <si>
    <t>זִמְרָה</t>
  </si>
  <si>
    <t>וּתְנוּ</t>
  </si>
  <si>
    <t>תֹף</t>
  </si>
  <si>
    <t>כִּנּוֹר</t>
  </si>
  <si>
    <t>בַחֹדֶשׁ</t>
  </si>
  <si>
    <t>בַּכֵּסֶה</t>
  </si>
  <si>
    <t>בִּיהוֹסֵף</t>
  </si>
  <si>
    <t>בְּצֵאתוֹ</t>
  </si>
  <si>
    <t>הֲסִירוֹתִי</t>
  </si>
  <si>
    <t>מִסֵּבֶל</t>
  </si>
  <si>
    <t>שִׁכְמוֹ</t>
  </si>
  <si>
    <t>מִדּוּד</t>
  </si>
  <si>
    <t>בַּצָּרָה</t>
  </si>
  <si>
    <t>קָרָאתָ</t>
  </si>
  <si>
    <t>וָאֲחַלְּצֶךָּ</t>
  </si>
  <si>
    <t>אֶעֶנְךָ</t>
  </si>
  <si>
    <t>רַעַם</t>
  </si>
  <si>
    <t>אֶבְחָנְךָ</t>
  </si>
  <si>
    <t>וְאָעִידָה</t>
  </si>
  <si>
    <t>זָר</t>
  </si>
  <si>
    <t>תִשְׁתַּחֲוֶה</t>
  </si>
  <si>
    <t>הַמַּעַלְךָ</t>
  </si>
  <si>
    <t>הַרְחֶב</t>
  </si>
  <si>
    <t>פִּיךָ</t>
  </si>
  <si>
    <t>לְקוֹלִי</t>
  </si>
  <si>
    <t>וְיִשְׂרָאֵל</t>
  </si>
  <si>
    <t>אָבָה</t>
  </si>
  <si>
    <t>וָאֲשַׁלְּחֵהוּ</t>
  </si>
  <si>
    <t>בִּשְׁרִירוּת</t>
  </si>
  <si>
    <t>יֵלְכוּ</t>
  </si>
  <si>
    <t>לוּ</t>
  </si>
  <si>
    <t>בִּדְרָכַי</t>
  </si>
  <si>
    <t>אוֹיְבֵיהֶם</t>
  </si>
  <si>
    <t>אַכְנִיעַ</t>
  </si>
  <si>
    <t>מְשַׂנְאֵי</t>
  </si>
  <si>
    <t>עִתָּם</t>
  </si>
  <si>
    <t>וַיַּאֲכִילֵהוּ</t>
  </si>
  <si>
    <t>מֵחֵלֶב</t>
  </si>
  <si>
    <t>חִטָּה</t>
  </si>
  <si>
    <t>וּמִצּוּר</t>
  </si>
  <si>
    <t>דְּבַשׁ</t>
  </si>
  <si>
    <t>יְּדִידוֹת</t>
  </si>
  <si>
    <t>מִשְׁכְּנוֹתֶיךָ</t>
  </si>
  <si>
    <t>נִכְסְפָה</t>
  </si>
  <si>
    <t>כָּלְתָה</t>
  </si>
  <si>
    <t>לְחַצְרוֹת</t>
  </si>
  <si>
    <t>וּבְשָׂרִי</t>
  </si>
  <si>
    <t>צִפּוֹר</t>
  </si>
  <si>
    <t>מָצְאָה</t>
  </si>
  <si>
    <t>בַיִת</t>
  </si>
  <si>
    <t>וּדְרוֹר</t>
  </si>
  <si>
    <t>קֵן</t>
  </si>
  <si>
    <t>לָהּ</t>
  </si>
  <si>
    <t>שָׁתָה</t>
  </si>
  <si>
    <t>אֶפְרֹחֶיהָ</t>
  </si>
  <si>
    <t>מִזְבְּחוֹתֶיךָ</t>
  </si>
  <si>
    <t>יוֹשְׁבֵי</t>
  </si>
  <si>
    <t>יְהַלְלוּךָ</t>
  </si>
  <si>
    <t>עוֹז</t>
  </si>
  <si>
    <t>מְסִלּוֹת</t>
  </si>
  <si>
    <t>בְּעֵמֶק</t>
  </si>
  <si>
    <t>הַבָּכָא</t>
  </si>
  <si>
    <t>מַעְיָן</t>
  </si>
  <si>
    <t>יְשִׁיתוּהוּ</t>
  </si>
  <si>
    <t>בְּרָכוֹת</t>
  </si>
  <si>
    <t>יַעְטֶה</t>
  </si>
  <si>
    <t>מֵחַיִל</t>
  </si>
  <si>
    <t>יֵרָאֶה</t>
  </si>
  <si>
    <t>וְהַבֵּט</t>
  </si>
  <si>
    <t>בַּחֲצֵרֶיךָ</t>
  </si>
  <si>
    <t>מֵאָלֶף</t>
  </si>
  <si>
    <t>בָּחַרְתִּי</t>
  </si>
  <si>
    <t>הִסְתּוֹפֵף</t>
  </si>
  <si>
    <t>מִדּוּר</t>
  </si>
  <si>
    <t>וּמָגֵן</t>
  </si>
  <si>
    <t>יִמְנַע</t>
  </si>
  <si>
    <t>לַהֹלְכִים</t>
  </si>
  <si>
    <t>רָצִיתָ</t>
  </si>
  <si>
    <t>אַרְצֶךָ</t>
  </si>
  <si>
    <t>שַׁבְתָּ</t>
  </si>
  <si>
    <t>שְׁבִית</t>
  </si>
  <si>
    <t>כִּסִּיתָ</t>
  </si>
  <si>
    <t>חַטָּאתָם</t>
  </si>
  <si>
    <t>אָסַפְתָּ</t>
  </si>
  <si>
    <t>עֶבְרָתֶךָ</t>
  </si>
  <si>
    <t>הֱשִׁיבוֹתָ</t>
  </si>
  <si>
    <t>מֵחֲרוֹן</t>
  </si>
  <si>
    <t>שׁוּבֵנוּ</t>
  </si>
  <si>
    <t>וְהָפֵר</t>
  </si>
  <si>
    <t>כַּעַסְךָ</t>
  </si>
  <si>
    <t>הַלְעוֹלָם</t>
  </si>
  <si>
    <t>תֶּאֱנַף</t>
  </si>
  <si>
    <t>בָּנוּ</t>
  </si>
  <si>
    <t>תִּמְשֹׁךְ</t>
  </si>
  <si>
    <t>וְעַמְּךָ</t>
  </si>
  <si>
    <t>הַרְאֵנוּ</t>
  </si>
  <si>
    <t>וְיֶשְׁעֲךָ</t>
  </si>
  <si>
    <t>תִּתֶּן</t>
  </si>
  <si>
    <t>אֶשְׁמְעָה</t>
  </si>
  <si>
    <t>קָרוֹב</t>
  </si>
  <si>
    <t>יִשְׁעוֹ</t>
  </si>
  <si>
    <t>כָּבוֹד</t>
  </si>
  <si>
    <t>נִפְגָּשׁוּ</t>
  </si>
  <si>
    <t>וְשָׁלוֹם</t>
  </si>
  <si>
    <t>תִּצְמָח</t>
  </si>
  <si>
    <t>וְצֶדֶק</t>
  </si>
  <si>
    <t>הַטּוֹב</t>
  </si>
  <si>
    <t>וְאַרְצֵנוּ</t>
  </si>
  <si>
    <t>יְהַלֵּךְ</t>
  </si>
  <si>
    <t>וְיָשֵׂם</t>
  </si>
  <si>
    <t>לְדֶרֶךְ</t>
  </si>
  <si>
    <t>מִרְמָה</t>
  </si>
  <si>
    <t>פָּתָחוּ</t>
  </si>
  <si>
    <t>וְדִבְרֵי</t>
  </si>
  <si>
    <t>שִׂנְאָה</t>
  </si>
  <si>
    <t>וַיִּלָּחֲמוּנִי</t>
  </si>
  <si>
    <t>אַהֲבָתִי</t>
  </si>
  <si>
    <t>וַיָּשִׂימוּ</t>
  </si>
  <si>
    <t>וְשִׂנְאָה</t>
  </si>
  <si>
    <t>הַפְקֵד</t>
  </si>
  <si>
    <t>וְשָׂטָן</t>
  </si>
  <si>
    <t>בְּהִשָּׁפְטוֹ</t>
  </si>
  <si>
    <t>וּתְפִלָּתוֹ</t>
  </si>
  <si>
    <t>תִּהְיֶה</t>
  </si>
  <si>
    <t>מְעַטִּים</t>
  </si>
  <si>
    <t>פְּקֻדָּתוֹ</t>
  </si>
  <si>
    <t>בָנָיו</t>
  </si>
  <si>
    <t>וְאִשְׁתּוֹ</t>
  </si>
  <si>
    <t>וְנוֹעַ</t>
  </si>
  <si>
    <t>יָנוּעוּ</t>
  </si>
  <si>
    <t>וְשִׁאֵלוּ</t>
  </si>
  <si>
    <t>וְדָרְשׁוּ</t>
  </si>
  <si>
    <t>יְנַקֵּשׁ</t>
  </si>
  <si>
    <t>נוֹשֶׁה</t>
  </si>
  <si>
    <t>וְיָבֹזּוּ</t>
  </si>
  <si>
    <t>מֹשֵׁךְ</t>
  </si>
  <si>
    <t>אַחֲרִיתוֹ</t>
  </si>
  <si>
    <t>יִמַּח</t>
  </si>
  <si>
    <t>יִזָּכֵר</t>
  </si>
  <si>
    <t>אֲבֹתָיו</t>
  </si>
  <si>
    <t>וְחַטַּאת</t>
  </si>
  <si>
    <t>אִמּוֹ</t>
  </si>
  <si>
    <t>וְיַכְרֵת</t>
  </si>
  <si>
    <t>יַעַן</t>
  </si>
  <si>
    <t>עֲשׂוֹת</t>
  </si>
  <si>
    <t>וַיִּרְדֹּף</t>
  </si>
  <si>
    <t>וְנִכְאֵה</t>
  </si>
  <si>
    <t>וַיֶּאֱהַב</t>
  </si>
  <si>
    <t>קְלָלָה</t>
  </si>
  <si>
    <t>וַתְּבוֹאֵהוּ</t>
  </si>
  <si>
    <t>בִּבְרָכָה</t>
  </si>
  <si>
    <t>וַתִּרְחַק</t>
  </si>
  <si>
    <t>וַיִּלְבַּשׁ</t>
  </si>
  <si>
    <t>כְּמַדּוֹ</t>
  </si>
  <si>
    <t>וַתָּבֹא</t>
  </si>
  <si>
    <t>כַמַּיִם</t>
  </si>
  <si>
    <t>בְּקִרְבּוֹ</t>
  </si>
  <si>
    <t>וְכַשֶּׁמֶן</t>
  </si>
  <si>
    <t>כְּבֶגֶד</t>
  </si>
  <si>
    <t>וּלְמֵזַח</t>
  </si>
  <si>
    <t>פְּעֻלַּת</t>
  </si>
  <si>
    <t>שֹׂטְנַי</t>
  </si>
  <si>
    <t>וְהַדֹּבְרִים</t>
  </si>
  <si>
    <t>עֲשֵׂה</t>
  </si>
  <si>
    <t>חָלַל</t>
  </si>
  <si>
    <t>כִּנְטוֹתוֹ</t>
  </si>
  <si>
    <t>נֶהֱלָכְתִּי</t>
  </si>
  <si>
    <t>נִנְעַרְתִּי</t>
  </si>
  <si>
    <t>בִּרְכַּי</t>
  </si>
  <si>
    <t>מִצּוֹם</t>
  </si>
  <si>
    <t>כָּחַשׁ</t>
  </si>
  <si>
    <t>יִרְאוּנִי</t>
  </si>
  <si>
    <t>עָזְרֵנִי</t>
  </si>
  <si>
    <t>תְבָרֵךְ</t>
  </si>
  <si>
    <t>וַיֵּבֹשׁוּ</t>
  </si>
  <si>
    <t>וְעַבְדְּךָ</t>
  </si>
  <si>
    <t>שׂוֹטְנַי</t>
  </si>
  <si>
    <t>כְּלִמָּה</t>
  </si>
  <si>
    <t>וְיַעֲטוּ</t>
  </si>
  <si>
    <t>כַמְעִיל</t>
  </si>
  <si>
    <t>וּבְתוֹךְ</t>
  </si>
  <si>
    <t>לִימִין</t>
  </si>
  <si>
    <t>מִשֹּׁפְטֵי</t>
  </si>
  <si>
    <t>חֲקַרְתַּנִי</t>
  </si>
  <si>
    <t>וְקוּמִי</t>
  </si>
  <si>
    <t>בַּנְתָּה</t>
  </si>
  <si>
    <t>לְרֵעִי</t>
  </si>
  <si>
    <t>אָרְחִי</t>
  </si>
  <si>
    <t>וְרִבְעִי</t>
  </si>
  <si>
    <t>זֵרִיתָ</t>
  </si>
  <si>
    <t>מִלָּה</t>
  </si>
  <si>
    <t>בִּלְשׁוֹנִי</t>
  </si>
  <si>
    <t>וָקֶדֶם</t>
  </si>
  <si>
    <t>צַרְתָּנִי</t>
  </si>
  <si>
    <t>וַתָּשֶׁת</t>
  </si>
  <si>
    <t>פְּלִיאָה</t>
  </si>
  <si>
    <t>דַעַת</t>
  </si>
  <si>
    <t>נִשְׂגְּבָה</t>
  </si>
  <si>
    <t>אוּכַל</t>
  </si>
  <si>
    <t>מֵרוּחֶךָ</t>
  </si>
  <si>
    <t>וְאָנָה</t>
  </si>
  <si>
    <t>מִפָּנֶיךָ</t>
  </si>
  <si>
    <t>אֶסַּק</t>
  </si>
  <si>
    <t>וְאַצִּיעָה</t>
  </si>
  <si>
    <t>שְּׁאוֹל</t>
  </si>
  <si>
    <t>כַנְפֵי</t>
  </si>
  <si>
    <t>שָׁחַר</t>
  </si>
  <si>
    <t>אֶשְׁכְּנָה</t>
  </si>
  <si>
    <t>בְּאַחֲרִית</t>
  </si>
  <si>
    <t>תַנְחֵנִי</t>
  </si>
  <si>
    <t>וְתֹאחֲזֵנִי</t>
  </si>
  <si>
    <t>יְשׁוּפֵנִי</t>
  </si>
  <si>
    <t>יַחְשִׁיךְ</t>
  </si>
  <si>
    <t>מִמֶּךָ</t>
  </si>
  <si>
    <t>כַּיּוֹם</t>
  </si>
  <si>
    <t>יָאִיר</t>
  </si>
  <si>
    <t>כַּחֲשֵׁיכָה</t>
  </si>
  <si>
    <t>קָנִיתָ</t>
  </si>
  <si>
    <t>כִלְיֹתָי</t>
  </si>
  <si>
    <t>תְּסֻכֵּנִי</t>
  </si>
  <si>
    <t>בְּבֶטֶן</t>
  </si>
  <si>
    <t>נִפְלֵיתִי</t>
  </si>
  <si>
    <t>נִפְלָאִים</t>
  </si>
  <si>
    <t>יֹדַעַת</t>
  </si>
  <si>
    <t>נִכְחַד</t>
  </si>
  <si>
    <t>עָצְמִי</t>
  </si>
  <si>
    <t>עֻשֵּׂיתִי</t>
  </si>
  <si>
    <t>רֻקַּמְתִּי</t>
  </si>
  <si>
    <t>בְּתַחְתִּיּוֹת</t>
  </si>
  <si>
    <t>גָּלְמִי</t>
  </si>
  <si>
    <t>סִפְרְךָ</t>
  </si>
  <si>
    <t>יִכָּתֵבוּ</t>
  </si>
  <si>
    <t>יֻצָּרוּ</t>
  </si>
  <si>
    <t>יָּקְרוּ</t>
  </si>
  <si>
    <t>רֵעֶיךָ</t>
  </si>
  <si>
    <t>אֶסְפְּרֵם</t>
  </si>
  <si>
    <t>מֵחוֹל</t>
  </si>
  <si>
    <t>יִרְבּוּן</t>
  </si>
  <si>
    <t>הֱקִיצֹתִי</t>
  </si>
  <si>
    <t>וְעוֹדִי</t>
  </si>
  <si>
    <t>תִּקְטֹל</t>
  </si>
  <si>
    <t>וְאַנְשֵׁי</t>
  </si>
  <si>
    <t>יֹאמְרֻךָ</t>
  </si>
  <si>
    <t>לִמְזִמָּה</t>
  </si>
  <si>
    <t>נָשֻׂא</t>
  </si>
  <si>
    <t>הֲלוֹא</t>
  </si>
  <si>
    <t>מְשַׂנְאֶיךָ</t>
  </si>
  <si>
    <t>אֶשְׂנָא</t>
  </si>
  <si>
    <t>וּבִתְקוֹמְמֶיךָ</t>
  </si>
  <si>
    <t>תַּכְלִית</t>
  </si>
  <si>
    <t>שְׂנֵאתִים</t>
  </si>
  <si>
    <t>לְאוֹיְבִים</t>
  </si>
  <si>
    <t>חָקְרֵנִי</t>
  </si>
  <si>
    <t>וְדַע</t>
  </si>
  <si>
    <t>עֹצֶב</t>
  </si>
  <si>
    <t>חַלְּצֵנִי</t>
  </si>
  <si>
    <t>חֲמָסִים</t>
  </si>
  <si>
    <t>שָׁנֲנוּ</t>
  </si>
  <si>
    <t>עַכְשׁוּב</t>
  </si>
  <si>
    <t>שָׁמְרֵנִי</t>
  </si>
  <si>
    <t>מִידֵי</t>
  </si>
  <si>
    <t>תִּנְצְרֵנִי</t>
  </si>
  <si>
    <t>לִדְחוֹת</t>
  </si>
  <si>
    <t>גֵאִים</t>
  </si>
  <si>
    <t>פַּח</t>
  </si>
  <si>
    <t>וַחֲבָלִים</t>
  </si>
  <si>
    <t>פָּרְשׂוּ</t>
  </si>
  <si>
    <t>לְיַד</t>
  </si>
  <si>
    <t>מַעְגָּל</t>
  </si>
  <si>
    <t>מֹקְשִׁים</t>
  </si>
  <si>
    <t>שָׁתוּ</t>
  </si>
  <si>
    <t>יְשׁוּעָתִי</t>
  </si>
  <si>
    <t>סַכֹּתָה</t>
  </si>
  <si>
    <t>לְרֹאשִׁי</t>
  </si>
  <si>
    <t>מַאֲוַיֵּי</t>
  </si>
  <si>
    <t>זְמָמוֹ</t>
  </si>
  <si>
    <t>תָּפֵק</t>
  </si>
  <si>
    <t>מְסִבָּי</t>
  </si>
  <si>
    <t>עֲמַל</t>
  </si>
  <si>
    <t>יִמּוֹטוּ</t>
  </si>
  <si>
    <t>בָּאֵשׁ</t>
  </si>
  <si>
    <t>יַפִּלֵם</t>
  </si>
  <si>
    <t>בְּמַהֲמֹרוֹת</t>
  </si>
  <si>
    <t>יְצוּדֶנּוּ</t>
  </si>
  <si>
    <t>מִשְׁפַּט</t>
  </si>
  <si>
    <t>לִשְׁמֶךָ</t>
  </si>
  <si>
    <t>יֵשְׁבוּ</t>
  </si>
  <si>
    <t>בְּרָחוֹק</t>
  </si>
  <si>
    <t>תַּעְלִים</t>
  </si>
  <si>
    <t>בְּגַאֲוַת</t>
  </si>
  <si>
    <t>יִדְלַק</t>
  </si>
  <si>
    <t>יִתָּפְשׂוּ</t>
  </si>
  <si>
    <t>בִּמְזִמּוֹת</t>
  </si>
  <si>
    <t>הִלֵּל</t>
  </si>
  <si>
    <t>וּבֹצֵעַ</t>
  </si>
  <si>
    <t>בֵּרֵךְ</t>
  </si>
  <si>
    <t>נִאֵץ</t>
  </si>
  <si>
    <t>כְּגֹבַהּ</t>
  </si>
  <si>
    <t>יִדְרֹשׁ</t>
  </si>
  <si>
    <t>דְרָכָיו</t>
  </si>
  <si>
    <t>מִנֶּגְדּוֹ</t>
  </si>
  <si>
    <t>צוֹרְרָיו</t>
  </si>
  <si>
    <t>אָלָה</t>
  </si>
  <si>
    <t>פִּיהוּ</t>
  </si>
  <si>
    <t>וָתֹךְ</t>
  </si>
  <si>
    <t>לְשׁוֹנוֹ</t>
  </si>
  <si>
    <t>בְּמַאְרַב</t>
  </si>
  <si>
    <t>חֲצֵרִים</t>
  </si>
  <si>
    <t>יַהֲרֹג</t>
  </si>
  <si>
    <t>לְחֵלְכָה</t>
  </si>
  <si>
    <t>יֶאֱרֹב</t>
  </si>
  <si>
    <t>בַּמִּסְתָּר</t>
  </si>
  <si>
    <t>בְסֻכֹּה</t>
  </si>
  <si>
    <t>לַחֲטוֹף</t>
  </si>
  <si>
    <t>יַחְטֹף</t>
  </si>
  <si>
    <t>בְּמָשְׁכוֹ</t>
  </si>
  <si>
    <t>יִדְכֶּה</t>
  </si>
  <si>
    <t>יָשֹׁחַ</t>
  </si>
  <si>
    <t>וְנָפַל</t>
  </si>
  <si>
    <t>בַּעֲצוּמָיו</t>
  </si>
  <si>
    <t>חֵיל</t>
  </si>
  <si>
    <t>הִסְתִּיר</t>
  </si>
  <si>
    <t>נְשָׂא</t>
  </si>
  <si>
    <t>רָאִתָה</t>
  </si>
  <si>
    <t>וָכַעַס</t>
  </si>
  <si>
    <t>תַּבִּיט</t>
  </si>
  <si>
    <t>בְּיָדֶךָ</t>
  </si>
  <si>
    <t>חֵלֶכָה</t>
  </si>
  <si>
    <t>שְׁבֹר</t>
  </si>
  <si>
    <t>זְרוֹעַ</t>
  </si>
  <si>
    <t>וָרָע</t>
  </si>
  <si>
    <t>תִּדְרוֹשׁ</t>
  </si>
  <si>
    <t>רִשְׁעוֹ</t>
  </si>
  <si>
    <t>בַל</t>
  </si>
  <si>
    <t>תַּקְשִׁיב</t>
  </si>
  <si>
    <t>לִשְׁפֹּט</t>
  </si>
  <si>
    <t>וָדָךְ</t>
  </si>
  <si>
    <t>לַעֲרֹץ</t>
  </si>
  <si>
    <t>רָגְשׁוּ</t>
  </si>
  <si>
    <t>יֶהְגּוּ</t>
  </si>
  <si>
    <t>לְשִׁמְךָ</t>
  </si>
  <si>
    <t>בַשָּׁמָיִם</t>
  </si>
  <si>
    <t>עֲצַבֵּיהֶם</t>
  </si>
  <si>
    <t>יִשְׁמָעוּ</t>
  </si>
  <si>
    <t>יְמִישׁוּן</t>
  </si>
  <si>
    <t>רַגְלֵיהֶם</t>
  </si>
  <si>
    <t>יְהַלֵּכוּ</t>
  </si>
  <si>
    <t>עֶזְרָם</t>
  </si>
  <si>
    <t>וּמָגִנָּם</t>
  </si>
  <si>
    <t>זְכָרָנוּ</t>
  </si>
  <si>
    <t>הַקְּטַנִּים</t>
  </si>
  <si>
    <t>יֹסֵף</t>
  </si>
  <si>
    <t>עֲלֵיכֶם</t>
  </si>
  <si>
    <t>בְּרוּכִים</t>
  </si>
  <si>
    <t>אַתֶּם</t>
  </si>
  <si>
    <t>וְהָאָרֶץ</t>
  </si>
  <si>
    <t>הַמֵּתִים</t>
  </si>
  <si>
    <t>יֹרְדֵי</t>
  </si>
  <si>
    <t>נְבָרֵךְ</t>
  </si>
  <si>
    <t>אַבְשָׁלוֹם</t>
  </si>
  <si>
    <t>קָמִים</t>
  </si>
  <si>
    <t>אֹמְרִים</t>
  </si>
  <si>
    <t>יְשׁוּעָתָה</t>
  </si>
  <si>
    <t>בֵאלֹהִים</t>
  </si>
  <si>
    <t>וּמֵרִים</t>
  </si>
  <si>
    <t>וַיַּעֲנֵנִי</t>
  </si>
  <si>
    <t>שָׁכַבְתִּי</t>
  </si>
  <si>
    <t>וָאִישָׁנָה</t>
  </si>
  <si>
    <t>הֱקִיצוֹתִי</t>
  </si>
  <si>
    <t>מֵרִבְבוֹת</t>
  </si>
  <si>
    <t>לֶחִי</t>
  </si>
  <si>
    <t>שִׁנֵּי</t>
  </si>
  <si>
    <t>הַיְשׁוּעָה</t>
  </si>
  <si>
    <t>בִרְכָתֶךָ</t>
  </si>
  <si>
    <t>יָגוּר</t>
  </si>
  <si>
    <t>בְּאָהֳלֶךָ</t>
  </si>
  <si>
    <t>בְּהַר</t>
  </si>
  <si>
    <t>הוֹלֵךְ</t>
  </si>
  <si>
    <t>וּפֹעֵל</t>
  </si>
  <si>
    <t>וְדֹבֵר</t>
  </si>
  <si>
    <t>רָגַל</t>
  </si>
  <si>
    <t>לְשֹׁנוֹ</t>
  </si>
  <si>
    <t>לְרֵעֵהוּ</t>
  </si>
  <si>
    <t>וְחֶרְפָּה</t>
  </si>
  <si>
    <t>נִבְזֶה</t>
  </si>
  <si>
    <t>נִמְאָס</t>
  </si>
  <si>
    <t>יְכַבֵּד</t>
  </si>
  <si>
    <t>לְהָרַע</t>
  </si>
  <si>
    <t>כַּסְפּוֹ</t>
  </si>
  <si>
    <t>בְּנֶשֶׁךְ</t>
  </si>
  <si>
    <t>וְשֹׁחַד</t>
  </si>
  <si>
    <t>לָקָח</t>
  </si>
  <si>
    <t>רֹעִי</t>
  </si>
  <si>
    <t>הָבוּ</t>
  </si>
  <si>
    <t>אֵלִים</t>
  </si>
  <si>
    <t>בְּהַדְרַת</t>
  </si>
  <si>
    <t>הִרְעִים</t>
  </si>
  <si>
    <t>בַּכֹּחַ</t>
  </si>
  <si>
    <t>שֹׁבֵר</t>
  </si>
  <si>
    <t>אֲרָזִים</t>
  </si>
  <si>
    <t>וַיַּרְקִידֵם</t>
  </si>
  <si>
    <t>וְשִׂרְיֹן</t>
  </si>
  <si>
    <t>בֶן</t>
  </si>
  <si>
    <t>חֹצֵב</t>
  </si>
  <si>
    <t>לַהֲבוֹת</t>
  </si>
  <si>
    <t>מִדְבַּר</t>
  </si>
  <si>
    <t>יְחוֹלֵל</t>
  </si>
  <si>
    <t>אַיָּלוֹת</t>
  </si>
  <si>
    <t>וַיֶּחֱשֹׂף</t>
  </si>
  <si>
    <t>יְעָרוֹת</t>
  </si>
  <si>
    <t>וּבְהֵיכָלוֹ</t>
  </si>
  <si>
    <t>לַמַּבּוּל</t>
  </si>
  <si>
    <t>יָשָׁב</t>
  </si>
  <si>
    <t>וַיֵּשֶׁב</t>
  </si>
  <si>
    <t>חֲנֻכַּת</t>
  </si>
  <si>
    <t>אֲרוֹמִמְךָ</t>
  </si>
  <si>
    <t>דִלִּיתָנִי</t>
  </si>
  <si>
    <t>שִׂמַּחְתָּ</t>
  </si>
  <si>
    <t>שִׁוַּעְתִּי</t>
  </si>
  <si>
    <t>הֶעֱלִיתָ</t>
  </si>
  <si>
    <t>חִיִּיתַנִי</t>
  </si>
  <si>
    <t>מִיָּרְדִי</t>
  </si>
  <si>
    <t>רֶגַע</t>
  </si>
  <si>
    <t>בִּרְצוֹנוֹ</t>
  </si>
  <si>
    <t>בָּעֶרֶב</t>
  </si>
  <si>
    <t>בֶּכִי</t>
  </si>
  <si>
    <t>וְלַבֹּקֶר</t>
  </si>
  <si>
    <t>בְּקֶצְפְּךָ</t>
  </si>
  <si>
    <t>וּבַחֲמָתְךָ</t>
  </si>
  <si>
    <t>נִחֲתוּ</t>
  </si>
  <si>
    <t>וַתִּנְחַת</t>
  </si>
  <si>
    <t>מְתֹם</t>
  </si>
  <si>
    <t>בִּבְשָׂרִי</t>
  </si>
  <si>
    <t>בַּעֲצָמַי</t>
  </si>
  <si>
    <t>כְּמַשָּׂא</t>
  </si>
  <si>
    <t>כָבֵד</t>
  </si>
  <si>
    <t>יִכְבְּדוּ</t>
  </si>
  <si>
    <t>הִבְאִישׁוּ</t>
  </si>
  <si>
    <t>נָמַקּוּ</t>
  </si>
  <si>
    <t>חַבּוּרֹתָי</t>
  </si>
  <si>
    <t>נַעֲוֵיתִי</t>
  </si>
  <si>
    <t>שַׁחֹתִי</t>
  </si>
  <si>
    <t>כְסָלַי</t>
  </si>
  <si>
    <t>מָלְאוּ</t>
  </si>
  <si>
    <t>נִקְלֶה</t>
  </si>
  <si>
    <t>נְפוּגוֹתִי</t>
  </si>
  <si>
    <t>וְנִדְכֵּיתִי</t>
  </si>
  <si>
    <t>שָׁאַגְתִּי</t>
  </si>
  <si>
    <t>מִנַּהֲמַת</t>
  </si>
  <si>
    <t>תַּאֲוָתִי</t>
  </si>
  <si>
    <t>וְאַנְחָתִי</t>
  </si>
  <si>
    <t>מִכְלַל</t>
  </si>
  <si>
    <t>יֹפִי</t>
  </si>
  <si>
    <t>יֶחֱרַשׁ</t>
  </si>
  <si>
    <t>וּסְבִיבָיו</t>
  </si>
  <si>
    <t>נִשְׂעֲרָה</t>
  </si>
  <si>
    <t>יִקְרָא</t>
  </si>
  <si>
    <t>מֵעָל</t>
  </si>
  <si>
    <t>לָדִין</t>
  </si>
  <si>
    <t>אִסְפוּ</t>
  </si>
  <si>
    <t>חֲסִידָי</t>
  </si>
  <si>
    <t>כֹּרְתֵי</t>
  </si>
  <si>
    <t>בְרִיתִי</t>
  </si>
  <si>
    <t>זְבָחֶיךָ</t>
  </si>
  <si>
    <t>אוֹכִיחֶךָ</t>
  </si>
  <si>
    <t>וְעוֹלֹתֶיךָ</t>
  </si>
  <si>
    <t>מִבֵּיתְךָ</t>
  </si>
  <si>
    <t>פָר</t>
  </si>
  <si>
    <t>מִמִּכְלְאֹתֶיךָ</t>
  </si>
  <si>
    <t>יָעַר</t>
  </si>
  <si>
    <t>בְּהֵמוֹת</t>
  </si>
  <si>
    <t>אֶרְעַב</t>
  </si>
  <si>
    <t>הַאוֹכַל</t>
  </si>
  <si>
    <t>בְּשַׂר</t>
  </si>
  <si>
    <t>אַבִּירִים</t>
  </si>
  <si>
    <t>וְדַם</t>
  </si>
  <si>
    <t>זְבַח</t>
  </si>
  <si>
    <t>וְשַׁלֵּם</t>
  </si>
  <si>
    <t>לְעֶלְיוֹן</t>
  </si>
  <si>
    <t>וּקְרָאֵנִי</t>
  </si>
  <si>
    <t>אֲחַלֶּצְךָ</t>
  </si>
  <si>
    <t>וְלָרָשָׁע</t>
  </si>
  <si>
    <t>לְסַפֵּר</t>
  </si>
  <si>
    <t>חֻקָּי</t>
  </si>
  <si>
    <t>וַתִּשָּׂא</t>
  </si>
  <si>
    <t>מוּסָר</t>
  </si>
  <si>
    <t>וַתַּשְׁלֵךְ</t>
  </si>
  <si>
    <t>גַנָּב</t>
  </si>
  <si>
    <t>וַתִּרֶץ</t>
  </si>
  <si>
    <t>מְנָאֲפִים</t>
  </si>
  <si>
    <t>שָׁלַחְתָּ</t>
  </si>
  <si>
    <t>בְרָעָה</t>
  </si>
  <si>
    <t>וּלְשׁוֹנְךָ</t>
  </si>
  <si>
    <t>תַּצְמִיד</t>
  </si>
  <si>
    <t>תֵּשֵׁב</t>
  </si>
  <si>
    <t>בְּאָחִיךָ</t>
  </si>
  <si>
    <t>תְדַבֵּר</t>
  </si>
  <si>
    <t>אִמְּךָ</t>
  </si>
  <si>
    <t>וְהֶחֱרַשְׁתִּי</t>
  </si>
  <si>
    <t>דִּמִּיתָ</t>
  </si>
  <si>
    <t>הֱיוֹת</t>
  </si>
  <si>
    <t>אֶהְיֶה</t>
  </si>
  <si>
    <t>אוֹכִיחֲךָ</t>
  </si>
  <si>
    <t>וְאֶעֶרְכָה</t>
  </si>
  <si>
    <t>שֹׁכְחֵי</t>
  </si>
  <si>
    <t>אֶטְרֹף</t>
  </si>
  <si>
    <t>זֹבֵחַ</t>
  </si>
  <si>
    <t>יְכַבְּדָנְנִי</t>
  </si>
  <si>
    <t>וְשָׂם</t>
  </si>
  <si>
    <t>אַרְאֶנּוּ</t>
  </si>
  <si>
    <t>בִּהְיוֹתוֹ</t>
  </si>
  <si>
    <t>בְּמִדְבַּר</t>
  </si>
  <si>
    <t>אֲשַׁחֲרֶךָּ</t>
  </si>
  <si>
    <t>כָּמַהּ</t>
  </si>
  <si>
    <t>בְשָׂרִי</t>
  </si>
  <si>
    <t>צִיָּה</t>
  </si>
  <si>
    <t>וְעָיֵף</t>
  </si>
  <si>
    <t>חֲזִיתִיךָ</t>
  </si>
  <si>
    <t>מֵחַיִּים</t>
  </si>
  <si>
    <t>אֲבָרֶכְךָ</t>
  </si>
  <si>
    <t>בְחַיָּי</t>
  </si>
  <si>
    <t>וָדֶשֶׁן</t>
  </si>
  <si>
    <t>וְשִׂפְתֵי</t>
  </si>
  <si>
    <t>רְנָנוֹת</t>
  </si>
  <si>
    <t>יְהַלֶּל</t>
  </si>
  <si>
    <t>זְכַרְתִּיךָ</t>
  </si>
  <si>
    <t>יְצוּעָי</t>
  </si>
  <si>
    <t>בְּאַשְׁמֻרוֹת</t>
  </si>
  <si>
    <t>אֶהְגֶּה</t>
  </si>
  <si>
    <t>אַחֲרֶיךָ</t>
  </si>
  <si>
    <t>תָּמְכָה</t>
  </si>
  <si>
    <t>לְשׁוֹאָה</t>
  </si>
  <si>
    <t>יְבַקְשׁוּ</t>
  </si>
  <si>
    <t>יַגִּירֻהוּ</t>
  </si>
  <si>
    <t>חָרֶב</t>
  </si>
  <si>
    <t>שֻׁעָלִים</t>
  </si>
  <si>
    <t>וְהַמֶּלֶךְ</t>
  </si>
  <si>
    <t>יִתְהַלֵּל</t>
  </si>
  <si>
    <t>הַנִּשְׁבָּע</t>
  </si>
  <si>
    <t>יִסָּכֵר</t>
  </si>
  <si>
    <t>דוֹבְרֵי</t>
  </si>
  <si>
    <t>לְבָרֵי</t>
  </si>
  <si>
    <t>נָטָיוּ</t>
  </si>
  <si>
    <t>רַגְלָי</t>
  </si>
  <si>
    <t>כְּאַיִן</t>
  </si>
  <si>
    <t>שֻׁפְּכוּ</t>
  </si>
  <si>
    <t>קִנֵּאתִי</t>
  </si>
  <si>
    <t>בַּהוֹלְלִים</t>
  </si>
  <si>
    <t>חַרְצֻבּוֹת</t>
  </si>
  <si>
    <t>לְמוֹתָם</t>
  </si>
  <si>
    <t>וּבָרִיא</t>
  </si>
  <si>
    <t>בַּעֲמַל</t>
  </si>
  <si>
    <t>אֵינֵמוֹ</t>
  </si>
  <si>
    <t>עֲנָקַתְמוֹ</t>
  </si>
  <si>
    <t>גַאֲוָה</t>
  </si>
  <si>
    <t>יַעֲטָף</t>
  </si>
  <si>
    <t>שִׁית</t>
  </si>
  <si>
    <t>עֵינֵמוֹ</t>
  </si>
  <si>
    <t>מַשְׂכִּיּוֹת</t>
  </si>
  <si>
    <t>יָמִיקוּ</t>
  </si>
  <si>
    <t>וִידַבְּרוּ</t>
  </si>
  <si>
    <t>בְרָע</t>
  </si>
  <si>
    <t>עֹשֶׁק</t>
  </si>
  <si>
    <t>בַשָּׁמַיִם</t>
  </si>
  <si>
    <t>תִּהֲלַךְ</t>
  </si>
  <si>
    <t>הֲלֹם</t>
  </si>
  <si>
    <t>וּמֵי</t>
  </si>
  <si>
    <t>יִמָּצוּ</t>
  </si>
  <si>
    <t>וְאָמְרוּ</t>
  </si>
  <si>
    <t>אֵיכָה</t>
  </si>
  <si>
    <t>וְיֵשׁ</t>
  </si>
  <si>
    <t>דֵּעָה</t>
  </si>
  <si>
    <t>וְשַׁלְוֵי</t>
  </si>
  <si>
    <t>הִשְׂגּוּ</t>
  </si>
  <si>
    <t>זִכִּיתִי</t>
  </si>
  <si>
    <t>וָאֶרְחַץ</t>
  </si>
  <si>
    <t>בְּנִקָּיוֹן</t>
  </si>
  <si>
    <t>נָגוּעַ</t>
  </si>
  <si>
    <t>וְתוֹכַחְתִּי</t>
  </si>
  <si>
    <t>דוֹר</t>
  </si>
  <si>
    <t>בָּנֶיךָ</t>
  </si>
  <si>
    <t>וָאֲחַשְּׁבָה</t>
  </si>
  <si>
    <t>מִקְדְּשֵׁי</t>
  </si>
  <si>
    <t>אָבִינָה</t>
  </si>
  <si>
    <t>בַּחֲלָקוֹת</t>
  </si>
  <si>
    <t>הִפַּלְתָּם</t>
  </si>
  <si>
    <t>לְשַׁמָּה</t>
  </si>
  <si>
    <t>כְרָגַע</t>
  </si>
  <si>
    <t>סָפוּ</t>
  </si>
  <si>
    <t>תַמּוּ</t>
  </si>
  <si>
    <t>כַּחֲלוֹם</t>
  </si>
  <si>
    <t>מֵהָקִיץ</t>
  </si>
  <si>
    <t>בָּעִיר</t>
  </si>
  <si>
    <t>צַלְמָם</t>
  </si>
  <si>
    <t>יִתְחַמֵּץ</t>
  </si>
  <si>
    <t>וְכִלְיוֹתַי</t>
  </si>
  <si>
    <t>בַעַר</t>
  </si>
  <si>
    <t>בַּעֲצָתְךָ</t>
  </si>
  <si>
    <t>וְאַחַר</t>
  </si>
  <si>
    <t>וְעִמְּךָ</t>
  </si>
  <si>
    <t>חָפַצְתִּי</t>
  </si>
  <si>
    <t>כָּלָה</t>
  </si>
  <si>
    <t>שְׁאֵרִי</t>
  </si>
  <si>
    <t>וּלְבָבִי</t>
  </si>
  <si>
    <t>וְחֶלְקִי</t>
  </si>
  <si>
    <t>רְחֵקֶיךָ</t>
  </si>
  <si>
    <t>הִצְמַתָּה</t>
  </si>
  <si>
    <t>זוֹנֶה</t>
  </si>
  <si>
    <t>קִרֲבַת</t>
  </si>
  <si>
    <t>שַׁתִּי</t>
  </si>
  <si>
    <t>בָּאוּ</t>
  </si>
  <si>
    <t>בְּנַחֲלָתֶךָ</t>
  </si>
  <si>
    <t>טִמְּאוּ</t>
  </si>
  <si>
    <t>קָדְשֶׁךָ</t>
  </si>
  <si>
    <t>נִבְלַת</t>
  </si>
  <si>
    <t>עֲבָדֶיךָ</t>
  </si>
  <si>
    <t>לְעוֹף</t>
  </si>
  <si>
    <t>חֲסִידֶיךָ</t>
  </si>
  <si>
    <t>לְחַיְתוֹ</t>
  </si>
  <si>
    <t>שָׁפְכוּ</t>
  </si>
  <si>
    <t>דָמָם</t>
  </si>
  <si>
    <t>כַּמַּיִם</t>
  </si>
  <si>
    <t>סְבִיבוֹת</t>
  </si>
  <si>
    <t>הָיִינוּ</t>
  </si>
  <si>
    <t>תִּבְעַר</t>
  </si>
  <si>
    <t>שְׁפֹךְ</t>
  </si>
  <si>
    <t>חֲמָתְךָ</t>
  </si>
  <si>
    <t>יְדָעוּךָ</t>
  </si>
  <si>
    <t>אָכַל</t>
  </si>
  <si>
    <t>נָוֵהוּ</t>
  </si>
  <si>
    <t>תִּזְכָּר</t>
  </si>
  <si>
    <t>רִאשֹׁנִים</t>
  </si>
  <si>
    <t>יְקַדְּמוּנוּ</t>
  </si>
  <si>
    <t>דַלּוֹנוּ</t>
  </si>
  <si>
    <t>עָזְרֵנוּ</t>
  </si>
  <si>
    <t>וְהַצִּילֵנוּ</t>
  </si>
  <si>
    <t>וְכַפֵּר</t>
  </si>
  <si>
    <t>חַטֹּאתֵינוּ</t>
  </si>
  <si>
    <t>יִוָּדַע</t>
  </si>
  <si>
    <t>לְעֵינֵינוּ</t>
  </si>
  <si>
    <t>נִקְמַת</t>
  </si>
  <si>
    <t>דַּם</t>
  </si>
  <si>
    <t>אֶנְקַת</t>
  </si>
  <si>
    <t>כְּגֹדֶל</t>
  </si>
  <si>
    <t>הוֹתֵר</t>
  </si>
  <si>
    <t>וְהָשֵׁב</t>
  </si>
  <si>
    <t>שִׁבְעָתַיִם</t>
  </si>
  <si>
    <t>חֵיקָם</t>
  </si>
  <si>
    <t>חֶרְפָּתָם</t>
  </si>
  <si>
    <t>חֵרְפוּךָ</t>
  </si>
  <si>
    <t>מַרְעִיתֶךָ</t>
  </si>
  <si>
    <t>נְסַפֵּר</t>
  </si>
  <si>
    <t>וּפְנֵי</t>
  </si>
  <si>
    <t>תִּשְׂאוּ</t>
  </si>
  <si>
    <t>שִׁפְטוּ</t>
  </si>
  <si>
    <t>דַל</t>
  </si>
  <si>
    <t>וְיָתוֹם</t>
  </si>
  <si>
    <t>וָרָשׁ</t>
  </si>
  <si>
    <t>פַּלְּטוּ</t>
  </si>
  <si>
    <t>בַּחֲשֵׁכָה</t>
  </si>
  <si>
    <t>יִתְהַלָּכוּ</t>
  </si>
  <si>
    <t>מוֹסְדֵי</t>
  </si>
  <si>
    <t>כְּאָדָם</t>
  </si>
  <si>
    <t>תְּמוּתוּן</t>
  </si>
  <si>
    <t>וּכְאַחַד</t>
  </si>
  <si>
    <t>הַשָּׂרִים</t>
  </si>
  <si>
    <t>שָׁפְטָה</t>
  </si>
  <si>
    <t>תִנְחַל</t>
  </si>
  <si>
    <t>לְהֹדוֹת</t>
  </si>
  <si>
    <t>וּלְזַמֵּר</t>
  </si>
  <si>
    <t>לְהַגִּיד</t>
  </si>
  <si>
    <t>בַּבֹּקֶר</t>
  </si>
  <si>
    <t>וֶאֱמוּנָתְךָ</t>
  </si>
  <si>
    <t>וַעֲלֵי</t>
  </si>
  <si>
    <t>נָבֶל</t>
  </si>
  <si>
    <t>שִׂמַּחְתַּנִי</t>
  </si>
  <si>
    <t>בְּפָעֳלֶךָ</t>
  </si>
  <si>
    <t>בְּמַעֲשֵׂי</t>
  </si>
  <si>
    <t>גָּדְלוּ</t>
  </si>
  <si>
    <t>עָמְקוּ</t>
  </si>
  <si>
    <t>בַּעַר</t>
  </si>
  <si>
    <t>וּכְסִיל</t>
  </si>
  <si>
    <t>בִּפְרֹחַ</t>
  </si>
  <si>
    <t>עֵשֶׂב</t>
  </si>
  <si>
    <t>וַיָּצִיצוּ</t>
  </si>
  <si>
    <t>לְהִשָּׁמְדָם</t>
  </si>
  <si>
    <t>יִתְפָּרְדוּ</t>
  </si>
  <si>
    <t>וַתָּרֶם</t>
  </si>
  <si>
    <t>כִּרְאֵים</t>
  </si>
  <si>
    <t>קַרְנִי</t>
  </si>
  <si>
    <t>בַּלֹּתִי</t>
  </si>
  <si>
    <t>בְּשֶׁמֶן</t>
  </si>
  <si>
    <t>וַתַּבֵּט</t>
  </si>
  <si>
    <t>בְּשׁוּרָי</t>
  </si>
  <si>
    <t>בַּקָּמִים</t>
  </si>
  <si>
    <t>תִּשְׁמַעְנָה</t>
  </si>
  <si>
    <t>כַּתָּמָר</t>
  </si>
  <si>
    <t>יִפְרָח</t>
  </si>
  <si>
    <t>כְּאֶרֶז</t>
  </si>
  <si>
    <t>בַּלְּבָנוֹן</t>
  </si>
  <si>
    <t>שְׁתוּלִים</t>
  </si>
  <si>
    <t>יְנוּבוּן</t>
  </si>
  <si>
    <t>בְּשֵׂיבָה</t>
  </si>
  <si>
    <t>דְּשֵׁנִים</t>
  </si>
  <si>
    <t>וְרַעֲנַנִּים</t>
  </si>
  <si>
    <t>עַוְלָתָה</t>
  </si>
  <si>
    <t>יְמִינוֹ</t>
  </si>
  <si>
    <t>וּזְרוֹעַ</t>
  </si>
  <si>
    <t>הוֹדִיעַ</t>
  </si>
  <si>
    <t>יְשׁוּעָתוֹ</t>
  </si>
  <si>
    <t>לְעֵינֵי</t>
  </si>
  <si>
    <t>גִּלָּה</t>
  </si>
  <si>
    <t>וֶאֱמוּנָתוֹ</t>
  </si>
  <si>
    <t>אֵת</t>
  </si>
  <si>
    <t>פִּצְחוּ</t>
  </si>
  <si>
    <t>וְרַנְּנוּ</t>
  </si>
  <si>
    <t>וְקוֹל</t>
  </si>
  <si>
    <t>בַּחֲצֹצְרוֹת</t>
  </si>
  <si>
    <t>יִרְעַם</t>
  </si>
  <si>
    <t>וּמְלֹאוֹ</t>
  </si>
  <si>
    <t>יִמְחֲאוּ</t>
  </si>
  <si>
    <t>בָא</t>
  </si>
  <si>
    <t>וְעַמִּים</t>
  </si>
  <si>
    <t>לְתוֹדָה</t>
  </si>
  <si>
    <t>בְּשִׂמְחָה</t>
  </si>
  <si>
    <t>דְּעוּ</t>
  </si>
  <si>
    <t>עָשָׂנוּ</t>
  </si>
  <si>
    <t>אֲנַחְנוּ</t>
  </si>
  <si>
    <t>שְׁעָרָיו</t>
  </si>
  <si>
    <t>חֲצֵרֹתָיו</t>
  </si>
  <si>
    <t>בִּתְהִלָּה</t>
  </si>
  <si>
    <t>מַשְׂאַת</t>
  </si>
  <si>
    <t>כַּפַּי</t>
  </si>
  <si>
    <t>מִנְחַת</t>
  </si>
  <si>
    <t>נִצְּרָה</t>
  </si>
  <si>
    <t>לְדָבָר</t>
  </si>
  <si>
    <t>לְהִתְעוֹלֵל</t>
  </si>
  <si>
    <t>עֲלִלוֹת</t>
  </si>
  <si>
    <t>בְּרֶשַׁע</t>
  </si>
  <si>
    <t>אִישִׁים</t>
  </si>
  <si>
    <t>אֶלְחַם</t>
  </si>
  <si>
    <t>יֶהֶלְמֵנִי</t>
  </si>
  <si>
    <t>וְיוֹכִיחֵנִי</t>
  </si>
  <si>
    <t>יָנִי</t>
  </si>
  <si>
    <t>נִשְׁמְטוּ</t>
  </si>
  <si>
    <t>בִידֵי</t>
  </si>
  <si>
    <t>שֹׁפְטֵיהֶם</t>
  </si>
  <si>
    <t>וְשָׁמְעוּ</t>
  </si>
  <si>
    <t>פֹלֵחַ</t>
  </si>
  <si>
    <t>וּבֹקֵעַ</t>
  </si>
  <si>
    <t>נִפְזְרוּ</t>
  </si>
  <si>
    <t>עֲצָמֵינוּ</t>
  </si>
  <si>
    <t>בְּכָה</t>
  </si>
  <si>
    <t>תְּעַר</t>
  </si>
  <si>
    <t>פַח</t>
  </si>
  <si>
    <t>יָקְשׁוּ</t>
  </si>
  <si>
    <t>וּמֹקְשׁוֹת</t>
  </si>
  <si>
    <t>בְמַכְמֹרָיו</t>
  </si>
  <si>
    <t>בֶּאֱמֻנָתְךָ</t>
  </si>
  <si>
    <t>בְמִשְׁפָּט</t>
  </si>
  <si>
    <t>יִצְדַּק</t>
  </si>
  <si>
    <t>רָדַף</t>
  </si>
  <si>
    <t>דִּכָּא</t>
  </si>
  <si>
    <t>חַיָּתִי</t>
  </si>
  <si>
    <t>הוֹשִׁיבַנִי</t>
  </si>
  <si>
    <t>בְמַחֲשַׁכִּים</t>
  </si>
  <si>
    <t>כְּמֵתֵי</t>
  </si>
  <si>
    <t>וַתִּתְעַטֵּף</t>
  </si>
  <si>
    <t>בְּתוֹכִי</t>
  </si>
  <si>
    <t>יִשְׁתּוֹמֵם</t>
  </si>
  <si>
    <t>זָכַרְתִּי</t>
  </si>
  <si>
    <t>הָגִיתִי</t>
  </si>
  <si>
    <t>בְּמַעֲשֵׂה</t>
  </si>
  <si>
    <t>פֵּרַשְׂתִּי</t>
  </si>
  <si>
    <t>כְּאֶרֶץ</t>
  </si>
  <si>
    <t>עֲיֵפָה</t>
  </si>
  <si>
    <t>הַשְׁמִיעֵנִי</t>
  </si>
  <si>
    <t>בַבֹּקֶר</t>
  </si>
  <si>
    <t>בָטָחְתִּי</t>
  </si>
  <si>
    <t>רְצוֹנֶךָ</t>
  </si>
  <si>
    <t>רוּחֲךָ</t>
  </si>
  <si>
    <t>תוֹצִיא</t>
  </si>
  <si>
    <t>מִצָּרָה</t>
  </si>
  <si>
    <t>וּבְחַסְדְּךָ</t>
  </si>
  <si>
    <t>תַּצְמִית</t>
  </si>
  <si>
    <t>וְהַאֲבַדְתָּ</t>
  </si>
  <si>
    <t>צֹרֲרֵי</t>
  </si>
  <si>
    <t>שַׁדּוּנִי</t>
  </si>
  <si>
    <t>יַקִּיפוּ</t>
  </si>
  <si>
    <t>יֶעְשַׁן</t>
  </si>
  <si>
    <t>בְּצֹאן</t>
  </si>
  <si>
    <t>עֲדָתְךָ</t>
  </si>
  <si>
    <t>קֶּדֶם</t>
  </si>
  <si>
    <t>שָׁכַנְתָּ</t>
  </si>
  <si>
    <t>הָרִימָה</t>
  </si>
  <si>
    <t>פְעָמֶיךָ</t>
  </si>
  <si>
    <t>לְמַשֻּׁאוֹת</t>
  </si>
  <si>
    <t>הֵרַע</t>
  </si>
  <si>
    <t>שָׁאֲגוּ</t>
  </si>
  <si>
    <t>צֹרְרֶיךָ</t>
  </si>
  <si>
    <t>מוֹעֲדֶךָ</t>
  </si>
  <si>
    <t>אוֹתֹתָם</t>
  </si>
  <si>
    <t>כְּמֵבִיא</t>
  </si>
  <si>
    <t>לְמָעְלָה</t>
  </si>
  <si>
    <t>בִּסֲבָךְ</t>
  </si>
  <si>
    <t>פִּתּוּחֶיהָ</t>
  </si>
  <si>
    <t>יָּחַד</t>
  </si>
  <si>
    <t>בְּכַשִּׁיל</t>
  </si>
  <si>
    <t>וְכֵילַפֹּת</t>
  </si>
  <si>
    <t>שִׁלְחוּ</t>
  </si>
  <si>
    <t>מִקְדָּשֶׁךָ</t>
  </si>
  <si>
    <t>חִלְּלוּ</t>
  </si>
  <si>
    <t>מִשְׁכַּן</t>
  </si>
  <si>
    <t>נִינָם</t>
  </si>
  <si>
    <t>שָׂרְפוּ</t>
  </si>
  <si>
    <t>מוֹעֲדֵי</t>
  </si>
  <si>
    <t>אוֹתֹתֵינוּ</t>
  </si>
  <si>
    <t>רָאִינוּ</t>
  </si>
  <si>
    <t>נָבִיא</t>
  </si>
  <si>
    <t>יְחָרֶף</t>
  </si>
  <si>
    <t>יְנָאֵץ</t>
  </si>
  <si>
    <t>תָשִׁיב</t>
  </si>
  <si>
    <t>וִימִינֶךָ</t>
  </si>
  <si>
    <t>מִקֶּרֶב</t>
  </si>
  <si>
    <t>חֵיקְךָ</t>
  </si>
  <si>
    <t>וֵאלֹהִים</t>
  </si>
  <si>
    <t>פֹּעֵל</t>
  </si>
  <si>
    <t>פוֹרַרְתָּ</t>
  </si>
  <si>
    <t>בְעָזְּךָ</t>
  </si>
  <si>
    <t>שִׁבַּרְתָּ</t>
  </si>
  <si>
    <t>רָאשֵׁי</t>
  </si>
  <si>
    <t>תַנִּינִים</t>
  </si>
  <si>
    <t>רִצַּצְתָּ</t>
  </si>
  <si>
    <t>תִּתְּנֶנּוּ</t>
  </si>
  <si>
    <t>לְעָם</t>
  </si>
  <si>
    <t>בָקַעְתָּ</t>
  </si>
  <si>
    <t>וָנָחַל</t>
  </si>
  <si>
    <t>הוֹבַשְׁתָּ</t>
  </si>
  <si>
    <t>נַהֲרוֹת</t>
  </si>
  <si>
    <t>הֲכִינוֹתָ</t>
  </si>
  <si>
    <t>מָאוֹר</t>
  </si>
  <si>
    <t>הִצַּבְתָּ</t>
  </si>
  <si>
    <t>גְּבוּלוֹת</t>
  </si>
  <si>
    <t>וָחֹרֶף</t>
  </si>
  <si>
    <t>וְעַם</t>
  </si>
  <si>
    <t>נִאֲצוּ</t>
  </si>
  <si>
    <t>לְחַיַּת</t>
  </si>
  <si>
    <t>תּוֹרֶךָ</t>
  </si>
  <si>
    <t>חַיַּת</t>
  </si>
  <si>
    <t>עֲנִיֶּיךָ</t>
  </si>
  <si>
    <t>לַבְּרִית</t>
  </si>
  <si>
    <t>מַחֲשַׁכֵּי</t>
  </si>
  <si>
    <t>יָשֹׁב</t>
  </si>
  <si>
    <t>דַּךְ</t>
  </si>
  <si>
    <t>נִכְלָם</t>
  </si>
  <si>
    <t>רִיבֶךָ</t>
  </si>
  <si>
    <t>חֶרְפָּתְךָ</t>
  </si>
  <si>
    <t>קָמֶיךָ</t>
  </si>
  <si>
    <t>עֹלֶה</t>
  </si>
  <si>
    <t>תּוֹרָתִי</t>
  </si>
  <si>
    <t>הַטּוּ</t>
  </si>
  <si>
    <t>אָזְנְכֶם</t>
  </si>
  <si>
    <t>אֶפְתְּחָה</t>
  </si>
  <si>
    <t>בְמָשָׁל</t>
  </si>
  <si>
    <t>אַבִּיעָה</t>
  </si>
  <si>
    <t>חִידוֹת</t>
  </si>
  <si>
    <t>וַנֵּדָעֵם</t>
  </si>
  <si>
    <t>וַאֲבוֹתֵינוּ</t>
  </si>
  <si>
    <t>נְכַחֵד</t>
  </si>
  <si>
    <t>מִבְּנֵיהֶם</t>
  </si>
  <si>
    <t>אַחֲרוֹן</t>
  </si>
  <si>
    <t>וֶעֱזוּזוֹ</t>
  </si>
  <si>
    <t>וְתוֹרָה</t>
  </si>
  <si>
    <t>לְהוֹדִיעָם</t>
  </si>
  <si>
    <t>יִוָּלֵדוּ</t>
  </si>
  <si>
    <t>וְיָשִׂימוּ</t>
  </si>
  <si>
    <t>כִּסְלָם</t>
  </si>
  <si>
    <t>וּמִצְוֹתָיו</t>
  </si>
  <si>
    <t>כַּאֲבוֹתָם</t>
  </si>
  <si>
    <t>סוֹרֵר</t>
  </si>
  <si>
    <t>וּמֹרֶה</t>
  </si>
  <si>
    <t>נֶאֶמְנָה</t>
  </si>
  <si>
    <t>נוֹשְׁקֵי</t>
  </si>
  <si>
    <t>רוֹמֵי</t>
  </si>
  <si>
    <t>הָפְכוּ</t>
  </si>
  <si>
    <t>מֵאֲנוּ</t>
  </si>
  <si>
    <t>וַיִּשְׁכְּחוּ</t>
  </si>
  <si>
    <t>עֲלִילוֹתָיו</t>
  </si>
  <si>
    <t>אֲבוֹתָם</t>
  </si>
  <si>
    <t>שְׂדֵה</t>
  </si>
  <si>
    <t>בָּקַע</t>
  </si>
  <si>
    <t>וַיַּעֲבִירֵם</t>
  </si>
  <si>
    <t>וַיַּצֶּב</t>
  </si>
  <si>
    <t>בֶּעָנָן</t>
  </si>
  <si>
    <t>הַלַּיְלָה</t>
  </si>
  <si>
    <t>יְבַקַּע</t>
  </si>
  <si>
    <t>צֻרִים</t>
  </si>
  <si>
    <t>וַיַּשְׁקְ</t>
  </si>
  <si>
    <t>כִּתְהֹמוֹת</t>
  </si>
  <si>
    <t>וַיּוֹצִא</t>
  </si>
  <si>
    <t>נוֹזְלִים</t>
  </si>
  <si>
    <t>מִסָּלַע</t>
  </si>
  <si>
    <t>וַיּוֹרֶד</t>
  </si>
  <si>
    <t>כַּנְּהָרוֹת</t>
  </si>
  <si>
    <t>וַיּוֹסִיפוּ</t>
  </si>
  <si>
    <t>לַחֲטֹא</t>
  </si>
  <si>
    <t>לַמְרוֹת</t>
  </si>
  <si>
    <t>בִּלְבָבָם</t>
  </si>
  <si>
    <t>לִשְׁאָל</t>
  </si>
  <si>
    <t>וַיְדַבְּרוּ</t>
  </si>
  <si>
    <t>הֲיוּכַל</t>
  </si>
  <si>
    <t>לַעֲרֹךְ</t>
  </si>
  <si>
    <t>הִכָּה</t>
  </si>
  <si>
    <t>וַיָּזוּבוּ</t>
  </si>
  <si>
    <t>וּנְחָלִים</t>
  </si>
  <si>
    <t>יִשְׁטֹפוּ</t>
  </si>
  <si>
    <t>הֲגַם</t>
  </si>
  <si>
    <t>יוּכַל</t>
  </si>
  <si>
    <t>תֵּת</t>
  </si>
  <si>
    <t>יָכִין</t>
  </si>
  <si>
    <t>שְׁאֵר</t>
  </si>
  <si>
    <t>וַיִּתְעַבָּר</t>
  </si>
  <si>
    <t>נִשְּׂקָה</t>
  </si>
  <si>
    <t>בְיַעֲקֹב</t>
  </si>
  <si>
    <t>וַיְצַו</t>
  </si>
  <si>
    <t>מִמָּעַל</t>
  </si>
  <si>
    <t>וְדַלְתֵי</t>
  </si>
  <si>
    <t>וַיַּמְטֵר</t>
  </si>
  <si>
    <t>מָן</t>
  </si>
  <si>
    <t>וּדְגַן</t>
  </si>
  <si>
    <t>צֵידָה</t>
  </si>
  <si>
    <t>יַסַּע</t>
  </si>
  <si>
    <t>קָדִים</t>
  </si>
  <si>
    <t>בַּשָּׁמָיִם</t>
  </si>
  <si>
    <t>וַיְנַהֵג</t>
  </si>
  <si>
    <t>בְּעֻזּוֹ</t>
  </si>
  <si>
    <t>כֶּעָפָר</t>
  </si>
  <si>
    <t>וּכְחוֹל</t>
  </si>
  <si>
    <t>וַיַּפֵּל</t>
  </si>
  <si>
    <t>מַחֲנֵהוּ</t>
  </si>
  <si>
    <t>לְאֵיתָן</t>
  </si>
  <si>
    <t>חַסְדֵי</t>
  </si>
  <si>
    <t>אוֹדִיעַ</t>
  </si>
  <si>
    <t>יִבָּנֶה</t>
  </si>
  <si>
    <t>תָּכִן</t>
  </si>
  <si>
    <t>כָּרַתִּי</t>
  </si>
  <si>
    <t>בְרִית</t>
  </si>
  <si>
    <t>לִבְחִירִי</t>
  </si>
  <si>
    <t>אָכִין</t>
  </si>
  <si>
    <t>זַרְעֶךָ</t>
  </si>
  <si>
    <t>וּבָנִיתִי</t>
  </si>
  <si>
    <t>וָדוֹר</t>
  </si>
  <si>
    <t>וְיוֹדוּ</t>
  </si>
  <si>
    <t>פִּלְאֲךָ</t>
  </si>
  <si>
    <t>בַשַּׁחַק</t>
  </si>
  <si>
    <t>יַעֲרֹךְ</t>
  </si>
  <si>
    <t>יִדְמֶה</t>
  </si>
  <si>
    <t>בִּבְנֵי</t>
  </si>
  <si>
    <t>נַעֲרָץ</t>
  </si>
  <si>
    <t>קְדֹשִׁים</t>
  </si>
  <si>
    <t>חֲסִין</t>
  </si>
  <si>
    <t>מוֹשֵׁל</t>
  </si>
  <si>
    <t>בְּגֵאוּת</t>
  </si>
  <si>
    <t>בְּשׂוֹא</t>
  </si>
  <si>
    <t>גַלָּיו</t>
  </si>
  <si>
    <t>דִכִּאתָ</t>
  </si>
  <si>
    <t>כֶחָלָל</t>
  </si>
  <si>
    <t>רָהַב</t>
  </si>
  <si>
    <t>פִּזַּרְתָּ</t>
  </si>
  <si>
    <t>וּמְלֹאָהּ</t>
  </si>
  <si>
    <t>צָפוֹן</t>
  </si>
  <si>
    <t>וְיָמִין</t>
  </si>
  <si>
    <t>בְרָאתָם</t>
  </si>
  <si>
    <t>תָּבוֹר</t>
  </si>
  <si>
    <t>וְחֶרְמוֹן</t>
  </si>
  <si>
    <t>גְּבוּרָה</t>
  </si>
  <si>
    <t>תָּעֹז</t>
  </si>
  <si>
    <t>כִּסְאֶךָ</t>
  </si>
  <si>
    <t>יְקַדְּמוּ</t>
  </si>
  <si>
    <t>יְגִילוּן</t>
  </si>
  <si>
    <t>וּבְצִדְקָתְךָ</t>
  </si>
  <si>
    <t>תִפְאֶרֶת</t>
  </si>
  <si>
    <t>עֻזָּמוֹ</t>
  </si>
  <si>
    <t>וּבִרְצֹנְךָ</t>
  </si>
  <si>
    <t>וְלִקְדוֹשׁ</t>
  </si>
  <si>
    <t>דִּבַּרְתָּ</t>
  </si>
  <si>
    <t>בְחָזוֹן</t>
  </si>
  <si>
    <t>לַחֲסִידֶיךָ</t>
  </si>
  <si>
    <t>וַתֹּאמֶר</t>
  </si>
  <si>
    <t>עֵזֶר</t>
  </si>
  <si>
    <t>הֲרִימוֹתִי</t>
  </si>
  <si>
    <t>בָחוּר</t>
  </si>
  <si>
    <t>מָצָאתִי</t>
  </si>
  <si>
    <t>עַבְדִּי</t>
  </si>
  <si>
    <t>קָדְשִׁי</t>
  </si>
  <si>
    <t>יַשִּׁא</t>
  </si>
  <si>
    <t>וְכַתּוֹתִי</t>
  </si>
  <si>
    <t>מִפָּנָיו</t>
  </si>
  <si>
    <t>צָרָיו</t>
  </si>
  <si>
    <t>וּמְשַׂנְאָיו</t>
  </si>
  <si>
    <t>וֶאֶמוּנָתִי</t>
  </si>
  <si>
    <t>וְחַסְדִּי</t>
  </si>
  <si>
    <t>וּבִשְׁמִי</t>
  </si>
  <si>
    <t>וְשַׂמְתִּי</t>
  </si>
  <si>
    <t>בַיָּם</t>
  </si>
  <si>
    <t>וּבַנְּהָרוֹת</t>
  </si>
  <si>
    <t>וְצוּר</t>
  </si>
  <si>
    <t>בְּכוֹר</t>
  </si>
  <si>
    <t>אֶתְּנֵהוּ</t>
  </si>
  <si>
    <t>אֶשְׁמָר</t>
  </si>
  <si>
    <t>וּבְרִיתִי</t>
  </si>
  <si>
    <t>נֶאֱמֶנֶת</t>
  </si>
  <si>
    <t>וְכִסְאוֹ</t>
  </si>
  <si>
    <t>כִּימֵי</t>
  </si>
  <si>
    <t>בַמְּעָרָה</t>
  </si>
  <si>
    <t>אֶזְעָק</t>
  </si>
  <si>
    <t>אֶשְׁפֹּךְ</t>
  </si>
  <si>
    <t>שִׂיחִי</t>
  </si>
  <si>
    <t>בְּהִתְעַטֵּף</t>
  </si>
  <si>
    <t>נְתִיבָתִי</t>
  </si>
  <si>
    <t>אֲהַלֵּךְ</t>
  </si>
  <si>
    <t>הַבֵּיט</t>
  </si>
  <si>
    <t>יָמִין</t>
  </si>
  <si>
    <t>מַכִּיר</t>
  </si>
  <si>
    <t>מָנוֹס</t>
  </si>
  <si>
    <t>דּוֹרֵשׁ</t>
  </si>
  <si>
    <t>זָעַקְתִּי</t>
  </si>
  <si>
    <t>דַלּוֹתִי</t>
  </si>
  <si>
    <t>מֵרֹדְפַי</t>
  </si>
  <si>
    <t>הוֹצִיאָה</t>
  </si>
  <si>
    <t>מִמַּסְגֵּר</t>
  </si>
  <si>
    <t>לְהוֹדוֹת</t>
  </si>
  <si>
    <t>יַכְתִּרוּ</t>
  </si>
  <si>
    <t>תִגְמֹל</t>
  </si>
  <si>
    <t>פָּרִים</t>
  </si>
  <si>
    <t>בָשָׁן</t>
  </si>
  <si>
    <t>אַרְיֵה</t>
  </si>
  <si>
    <t>טֹרֵף</t>
  </si>
  <si>
    <t>נִשְׁפַּכְתִּי</t>
  </si>
  <si>
    <t>וְהִתְפָּרְדוּ</t>
  </si>
  <si>
    <t>עַצְמוֹתָי</t>
  </si>
  <si>
    <t>כַּדּוֹנָג</t>
  </si>
  <si>
    <t>נָמֵס</t>
  </si>
  <si>
    <t>יָבֵשׁ</t>
  </si>
  <si>
    <t>כַּחֶרֶשׂ</t>
  </si>
  <si>
    <t>מֻדְבָּק</t>
  </si>
  <si>
    <t>מַלְקוֹחָי</t>
  </si>
  <si>
    <t>וְלַעֲפַר</t>
  </si>
  <si>
    <t>כְּלָבִים</t>
  </si>
  <si>
    <t>הִקִּיפוּנִי</t>
  </si>
  <si>
    <t>כָּאֲרִי</t>
  </si>
  <si>
    <t>אֲסַפֵּר</t>
  </si>
  <si>
    <t>יַבִּיטוּ</t>
  </si>
  <si>
    <t>יְחַלְּקוּ</t>
  </si>
  <si>
    <t>בְגָדַי</t>
  </si>
  <si>
    <t>יַפִּילוּ</t>
  </si>
  <si>
    <t>תִּרְחָק</t>
  </si>
  <si>
    <t>אֱיָלוּתִי</t>
  </si>
  <si>
    <t>הַצִּילָה</t>
  </si>
  <si>
    <t>כֶּלֶב</t>
  </si>
  <si>
    <t>וּמִקַּרְנֵי</t>
  </si>
  <si>
    <t>רֵמִים</t>
  </si>
  <si>
    <t>קָהָל</t>
  </si>
  <si>
    <t>כַּבְּדוּהוּ</t>
  </si>
  <si>
    <t>וְגוּרוּ</t>
  </si>
  <si>
    <t>בָזָה</t>
  </si>
  <si>
    <t>שִׁקַּץ</t>
  </si>
  <si>
    <t>עֱנוּת</t>
  </si>
  <si>
    <t>וּבְשַׁוְּעוֹ</t>
  </si>
  <si>
    <t>מֵאִתְּךָ</t>
  </si>
  <si>
    <t>יֹאכְלוּ</t>
  </si>
  <si>
    <t>וְיִשְׂבָּעוּ</t>
  </si>
  <si>
    <t>יְחִי</t>
  </si>
  <si>
    <t>יִזְכְּרוּ</t>
  </si>
  <si>
    <t>וְיָשֻׁבוּ</t>
  </si>
  <si>
    <t>מִשְׁפְּחוֹת</t>
  </si>
  <si>
    <t>הַמְּלוּכָה</t>
  </si>
  <si>
    <t>וַיִּשְׁתַּחֲוּוּ</t>
  </si>
  <si>
    <t>דִּשְׁנֵי</t>
  </si>
  <si>
    <t>וְנַפְשׁוֹ</t>
  </si>
  <si>
    <t>יַעַבְדֶנּוּ</t>
  </si>
  <si>
    <t>יְסֻפַּר</t>
  </si>
  <si>
    <t>וְיַגִּידוּ</t>
  </si>
  <si>
    <t>לְעַם</t>
  </si>
  <si>
    <t>נוֹלָד</t>
  </si>
  <si>
    <t>בָּבֶל</t>
  </si>
  <si>
    <t>יָשַׁבְנוּ</t>
  </si>
  <si>
    <t>בָּכִינוּ</t>
  </si>
  <si>
    <t>בְּזָכְרֵנוּ</t>
  </si>
  <si>
    <t>עֲרָבִים</t>
  </si>
  <si>
    <t>בְּתוֹכָהּ</t>
  </si>
  <si>
    <t>תָּלִינוּ</t>
  </si>
  <si>
    <t>שְׁאֵלוּנוּ</t>
  </si>
  <si>
    <t>שׁוֹבֵינוּ</t>
  </si>
  <si>
    <t>וְתוֹלָלֵינוּ</t>
  </si>
  <si>
    <t>שִׂמְחָה</t>
  </si>
  <si>
    <t>מִשִּׁיר</t>
  </si>
  <si>
    <t>נָשִׁיר</t>
  </si>
  <si>
    <t>אַדְמַת</t>
  </si>
  <si>
    <t>אֶשְׁכָּחֵךְ</t>
  </si>
  <si>
    <t>תִּדְבַּק</t>
  </si>
  <si>
    <t>לְחִכִּי</t>
  </si>
  <si>
    <t>אֶזְכְּרֵכִי</t>
  </si>
  <si>
    <t>עָרוּ</t>
  </si>
  <si>
    <t>הַיְסוֹד</t>
  </si>
  <si>
    <t>הַשְּׁדוּדָה</t>
  </si>
  <si>
    <t>שֶׁיְשַׁלֶּם</t>
  </si>
  <si>
    <t>גְּמוּלֵךְ</t>
  </si>
  <si>
    <t>שֶׁגָּמַלְתְּ</t>
  </si>
  <si>
    <t>שֶׁיֹּאחֵז</t>
  </si>
  <si>
    <t>וְנִפֵּץ</t>
  </si>
  <si>
    <t>עֹלָלַיִךְ</t>
  </si>
  <si>
    <t>הָשְׁלַכְתִּי</t>
  </si>
  <si>
    <t>יִטְרֹף</t>
  </si>
  <si>
    <t>פֹּרֵק</t>
  </si>
  <si>
    <t>גָּמַלְתִּי</t>
  </si>
  <si>
    <t>שׁוֹלְמִי</t>
  </si>
  <si>
    <t>וָאֲחַלְּצָה</t>
  </si>
  <si>
    <t>צוֹרְרִי</t>
  </si>
  <si>
    <t>יִרַדֹּף</t>
  </si>
  <si>
    <t>וְיַשֵּׂג</t>
  </si>
  <si>
    <t>וְיִרְמֹס</t>
  </si>
  <si>
    <t>יַשְׁכֵּן</t>
  </si>
  <si>
    <t>יְכָלְתִּיו</t>
  </si>
  <si>
    <t>בְּחַסְדְּךָ</t>
  </si>
  <si>
    <t>גָמַל</t>
  </si>
  <si>
    <t>פּוֹדֶה</t>
  </si>
  <si>
    <t>יֶאְשְׁמוּ</t>
  </si>
  <si>
    <t>וַתְּפַלְּטֵמוֹ</t>
  </si>
  <si>
    <t>בוֹשׁוּ</t>
  </si>
  <si>
    <t>שֹּׁחַד</t>
  </si>
  <si>
    <t>הוֹפִיַע</t>
  </si>
  <si>
    <t>גֵּאִים</t>
  </si>
  <si>
    <t>יַעֲלֹזוּ</t>
  </si>
  <si>
    <t>יְעַנּוּ</t>
  </si>
  <si>
    <t>יְרַצֵּחוּ</t>
  </si>
  <si>
    <t>תַּשְׂכִּילוּ</t>
  </si>
  <si>
    <t>יַבִּיט</t>
  </si>
  <si>
    <t>דָּעַת</t>
  </si>
  <si>
    <t>הָבֶל</t>
  </si>
  <si>
    <t>תְלַמְּדֶנּוּ</t>
  </si>
  <si>
    <t>יִסְעָדֵנִי</t>
  </si>
  <si>
    <t>יַרְשִׁיעוּ</t>
  </si>
  <si>
    <t>עוֹזֵר</t>
  </si>
  <si>
    <t>יַצְלִיחַ</t>
  </si>
  <si>
    <t>תֹּאבֵד</t>
  </si>
  <si>
    <t>יִדְרְשׁוּהוּ</t>
  </si>
  <si>
    <t>הָלָכוּ</t>
  </si>
  <si>
    <t>כִּדְבָרֶךָ</t>
  </si>
  <si>
    <t>מִמִּצְוֹתֶיךָ</t>
  </si>
  <si>
    <t>פִיךָ</t>
  </si>
  <si>
    <t>אֹרְחֹתֶיךָ</t>
  </si>
  <si>
    <t>דְּבָרֶךָ</t>
  </si>
  <si>
    <t>דְבָרֶךָ</t>
  </si>
  <si>
    <t>מִתּוֹרָתֶךָ</t>
  </si>
  <si>
    <t>נָצָרְתִּי</t>
  </si>
  <si>
    <t>בְּחֻקֶּיךָ</t>
  </si>
  <si>
    <t>עֲצָתִי</t>
  </si>
  <si>
    <t>בְּנִפְלְאוֹתֶיךָ</t>
  </si>
  <si>
    <t>תְּבִישֵׁנִי</t>
  </si>
  <si>
    <t>בָּצַע</t>
  </si>
  <si>
    <t>תַּחֲנוּנָי</t>
  </si>
  <si>
    <t>אֶמְצָא</t>
  </si>
  <si>
    <t>מְרַחֵם</t>
  </si>
  <si>
    <t>יְהוֹשִׁיעַ</t>
  </si>
  <si>
    <t>עָלָיְכִי</t>
  </si>
  <si>
    <t>הַחַיִּים</t>
  </si>
  <si>
    <t>כֹּזֵב</t>
  </si>
  <si>
    <t>לַחֲסִידָיו</t>
  </si>
  <si>
    <t>לְמוֹסֵרָי</t>
  </si>
  <si>
    <t>עָמָדוּ</t>
  </si>
  <si>
    <t>צְבָאָם</t>
  </si>
  <si>
    <t>תְּהוֹמוֹת</t>
  </si>
  <si>
    <t>מַעֲשֵׂיהֶם</t>
  </si>
  <si>
    <t>וְהוֹשִׁיעֵנִי</t>
  </si>
  <si>
    <t>וְחוֹמֵץ</t>
  </si>
  <si>
    <t>תִּפְאַרְתֶּךָ</t>
  </si>
  <si>
    <t>סְפֹרוֹת</t>
  </si>
  <si>
    <t>לְבַדֶּךָ</t>
  </si>
  <si>
    <t>תַּעֲלֵנִי</t>
  </si>
  <si>
    <t>תְּנַחֲמֵנִי</t>
  </si>
  <si>
    <t>פָּדִיתָ</t>
  </si>
  <si>
    <t>לֹעֵז</t>
  </si>
  <si>
    <t>מַמְשְׁלוֹתָיו</t>
  </si>
  <si>
    <t>לְאָחוֹר</t>
  </si>
  <si>
    <t>צֹאן</t>
  </si>
  <si>
    <t>יְנַהֲלֵנִי</t>
  </si>
  <si>
    <t>לָבָשְׁתָּ</t>
  </si>
  <si>
    <t>כַּיְרִיעָה</t>
  </si>
  <si>
    <t>לֹהֵט</t>
  </si>
  <si>
    <t>יֵחָפֵזוּן</t>
  </si>
  <si>
    <t>צְמָאָם</t>
  </si>
  <si>
    <t>יִסְעָד</t>
  </si>
  <si>
    <t>נָטָע</t>
  </si>
  <si>
    <t>בֵּיתָהּ</t>
  </si>
  <si>
    <t>לַשְׁפַנִּים</t>
  </si>
  <si>
    <t>יִרְבָּצוּן</t>
  </si>
  <si>
    <t>עָרֶב</t>
  </si>
  <si>
    <t>קִנְיָנֶךָ</t>
  </si>
  <si>
    <t>אֲהוֹדֶנּוּ</t>
  </si>
  <si>
    <t>יְנַחֲמֻנִי</t>
  </si>
  <si>
    <t>רְוָיָה</t>
  </si>
  <si>
    <t>עָקֵב</t>
  </si>
  <si>
    <t>וְאָמֵן</t>
  </si>
  <si>
    <t>לְהֵיטִיב</t>
  </si>
  <si>
    <t>יִמְאָס</t>
  </si>
  <si>
    <t>יֶחֱסָיוּן</t>
  </si>
  <si>
    <t>תַשְׁקֵם</t>
  </si>
  <si>
    <t>תְּנִדֵנִי</t>
  </si>
  <si>
    <t>קוּם</t>
  </si>
  <si>
    <t>תַּעְטְרֶנּוּ</t>
  </si>
  <si>
    <t>בַּדָּרֶךְ</t>
  </si>
  <si>
    <t>וְעֵדֹתָיו</t>
  </si>
  <si>
    <t>יִבְחָר</t>
  </si>
  <si>
    <t>הוֹצִיאֵנִי</t>
  </si>
  <si>
    <t>חַטֹּאותָי</t>
  </si>
  <si>
    <t>שְׂנֵאוּנִי</t>
  </si>
  <si>
    <t>קִוִּיתִיךָ</t>
  </si>
  <si>
    <t>בְּעֶזְרָתִי</t>
  </si>
  <si>
    <t>דּוֹחֶה</t>
  </si>
  <si>
    <t>רֹדְפָם</t>
  </si>
  <si>
    <t>בִּישׁוּעָתוֹ</t>
  </si>
  <si>
    <t>מִגֹּזְלוֹ</t>
  </si>
  <si>
    <t>יִשְׁאָלוּנִי</t>
  </si>
  <si>
    <t>תָשׁוּב</t>
  </si>
  <si>
    <t>שַׁחוֹתִי</t>
  </si>
  <si>
    <t>הָאֻמִּים</t>
  </si>
  <si>
    <t>הִרְשָׁעְנוּ</t>
  </si>
  <si>
    <t>גְּבוּרָתוֹ</t>
  </si>
  <si>
    <t>כַּמִּדְבָּר</t>
  </si>
  <si>
    <t>נוֹתָר</t>
  </si>
  <si>
    <t>לַעֲצָתוֹ</t>
  </si>
  <si>
    <t>בְּנַפְשָׁם</t>
  </si>
  <si>
    <t>אֲבִירָם</t>
  </si>
  <si>
    <t>לְמַסֵּכָה</t>
  </si>
  <si>
    <t>בְּמִצְרָיִם</t>
  </si>
  <si>
    <t>מֵהַשְׁחִית</t>
  </si>
  <si>
    <t>לִדְבָרוֹ</t>
  </si>
  <si>
    <t>בָּאֲרָצוֹת</t>
  </si>
  <si>
    <t>מֵתִים</t>
  </si>
  <si>
    <t>מַגֵּפָה</t>
  </si>
  <si>
    <t>הַמַּגֵּפָה</t>
  </si>
  <si>
    <t>בַּעֲבוּרָם</t>
  </si>
  <si>
    <t>בִּשְׂפָתָיו</t>
  </si>
  <si>
    <t>וְעֵדָה</t>
  </si>
  <si>
    <t>חֶפְצֵיהֶם</t>
  </si>
  <si>
    <t>פִּקּוּדָיו</t>
  </si>
  <si>
    <t>יְבֹרָךְ</t>
  </si>
  <si>
    <t>בְּמִשְׁפָּט</t>
  </si>
  <si>
    <t>בְצָרָיו</t>
  </si>
  <si>
    <t>לָשָׁבֶת</t>
  </si>
  <si>
    <t>לִסְגֻלָּתוֹ</t>
  </si>
  <si>
    <t>מֵאוֹצְרוֹתָיו</t>
  </si>
  <si>
    <t>עֲצוּמִים</t>
  </si>
  <si>
    <t>יִתְנֶחָם</t>
  </si>
  <si>
    <t>בְּעוֹדִי</t>
  </si>
  <si>
    <t>תְשׁוּעָה</t>
  </si>
  <si>
    <t>עֶשְׁתֹּנֹתָיו</t>
  </si>
  <si>
    <t>אֲסוּרִים</t>
  </si>
  <si>
    <t>יְעַוֵּת</t>
  </si>
  <si>
    <t>יְכַנֵּס</t>
  </si>
  <si>
    <t>לְעַצְּבוֹתָם</t>
  </si>
  <si>
    <t>יִקְרָאוּ</t>
  </si>
  <si>
    <t>יִרְצֶה</t>
  </si>
  <si>
    <t>לְחַסְדּוֹ</t>
  </si>
  <si>
    <t>בְּקִרְבֵּךְ</t>
  </si>
  <si>
    <t>יַשְׂבִּיעֵךְ</t>
  </si>
  <si>
    <t>יְפַזֵּר</t>
  </si>
  <si>
    <t>בַּמְּרוֹמִים</t>
  </si>
  <si>
    <t>וְנִבְרָאוּ</t>
  </si>
  <si>
    <t>יַעֲבוֹר</t>
  </si>
  <si>
    <t>תְּהֹמוֹת</t>
  </si>
  <si>
    <t>כָּנָף</t>
  </si>
  <si>
    <t>נְעָרִים</t>
  </si>
  <si>
    <t>וְשָׁמָיִם</t>
  </si>
  <si>
    <t>בְמַלְכָּם</t>
  </si>
  <si>
    <t>בִּישׁוּעָה</t>
  </si>
  <si>
    <t>מִשְׁכְּבוֹתָם</t>
  </si>
  <si>
    <t>בְּיָדָם</t>
  </si>
  <si>
    <t>בַּלְאֻמִּים</t>
  </si>
  <si>
    <t>גֻּדְלוֹ</t>
  </si>
  <si>
    <t>וְעוּגָב</t>
  </si>
  <si>
    <t>צוּפִים</t>
  </si>
  <si>
    <t>נַקֵּנִי</t>
  </si>
  <si>
    <t>וְגֹאֲלִי</t>
  </si>
  <si>
    <t>וּמִיָּם</t>
  </si>
  <si>
    <t>מָצָאוּ</t>
  </si>
  <si>
    <t>תִּתְעַטָּף</t>
  </si>
  <si>
    <t>יַצִּילֵם</t>
  </si>
  <si>
    <t>וּבַרְזֶל</t>
  </si>
  <si>
    <t>נָאָצוּ</t>
  </si>
  <si>
    <t>יוֹשִׁיעֵם</t>
  </si>
  <si>
    <t>יְנַתֵּק</t>
  </si>
  <si>
    <t>גִּדֵּעַ</t>
  </si>
  <si>
    <t>יִתְעַנּוּ</t>
  </si>
  <si>
    <t>מִשְּׁחִיתוֹתָם</t>
  </si>
  <si>
    <t>בְּרִנָּה</t>
  </si>
  <si>
    <t>בִּמְצוּלָה</t>
  </si>
  <si>
    <t>גַּלָּיו</t>
  </si>
  <si>
    <t>תִתְמוֹגָג</t>
  </si>
  <si>
    <t>תִּתְבַּלָּע</t>
  </si>
  <si>
    <t>חֶפְצָם</t>
  </si>
  <si>
    <t>יְהַלְלוּהוּ</t>
  </si>
  <si>
    <t>לְצִמָּאוֹן</t>
  </si>
  <si>
    <t>בְּחִירָיו</t>
  </si>
  <si>
    <t>לְיִשְׂחָק</t>
  </si>
  <si>
    <t>נַחֲלַתְכֶם</t>
  </si>
  <si>
    <t>תָּרֵעוּ</t>
  </si>
  <si>
    <t>שָׁבָר</t>
  </si>
  <si>
    <t>צְרָפָתְהוּ</t>
  </si>
  <si>
    <t>וַיְפַתְּחֵהוּ</t>
  </si>
  <si>
    <t>קִנְיָנוֹ</t>
  </si>
  <si>
    <t>יְחַכֵּם</t>
  </si>
  <si>
    <t>מִצָּרָיו</t>
  </si>
  <si>
    <t>בַּעֲבָדָיו</t>
  </si>
  <si>
    <t>דְּגָתָם</t>
  </si>
  <si>
    <t>גְּבוּלָם</t>
  </si>
  <si>
    <t>בְּאַרְצָם</t>
  </si>
  <si>
    <t>בְשֹׂנְאָי</t>
  </si>
  <si>
    <t>בִּנְדִיבִים</t>
  </si>
  <si>
    <t>אֲמִילַם</t>
  </si>
  <si>
    <t>עֲזָרָנִי</t>
  </si>
  <si>
    <t>לִישׁוּעָה</t>
  </si>
  <si>
    <t>נְתָנָנִי</t>
  </si>
  <si>
    <t>פִּנָּה</t>
  </si>
  <si>
    <t>בְּעֵינֵינוּ</t>
  </si>
  <si>
    <t>הַמִּזְבֵּחַ</t>
  </si>
  <si>
    <t>אֲרוֹמְמֶךָּ</t>
  </si>
  <si>
    <t>שִׁבְעָתָיִם</t>
  </si>
  <si>
    <t>אַצְמִיתֵם</t>
  </si>
  <si>
    <t>עָנָם</t>
  </si>
  <si>
    <t>אֲרִיקֵם</t>
  </si>
  <si>
    <t>יַעַבְדוּנִי</t>
  </si>
  <si>
    <t>מִמִּסְגְּרוֹתֵיהֶם</t>
  </si>
  <si>
    <t>תַּחְתָּי</t>
  </si>
  <si>
    <t>יִפְעָל</t>
  </si>
  <si>
    <t>נִבְהָל</t>
  </si>
  <si>
    <t>אֶתְחַנָּן</t>
  </si>
  <si>
    <t>אוֹדֶךָּ</t>
  </si>
  <si>
    <t>תּוֹכָחוֹת</t>
  </si>
  <si>
    <t>הִגְדִּילוּ</t>
  </si>
  <si>
    <t>מֵחַטָּאתִי</t>
  </si>
  <si>
    <t>וַיְהֻמֵּם</t>
  </si>
  <si>
    <t>אַפֶּךָ</t>
  </si>
  <si>
    <t>תִּתַּמָּם</t>
  </si>
  <si>
    <t>תִּתְפַּתָּל</t>
  </si>
  <si>
    <t>תַּשְׁפִּיל</t>
  </si>
  <si>
    <t>חָשְׁכִּי</t>
  </si>
  <si>
    <t>שׁוּר</t>
  </si>
  <si>
    <t>דַּרְכִּי</t>
  </si>
  <si>
    <t>יַעֲמִידֵנִי</t>
  </si>
  <si>
    <t>זְרוֹעֹתָי</t>
  </si>
  <si>
    <t>תַרְבֵּנִי</t>
  </si>
  <si>
    <t>דָמּוּ</t>
  </si>
  <si>
    <t>יְחִידָתִי</t>
  </si>
  <si>
    <t>אֲהַלְלֶךָּ</t>
  </si>
  <si>
    <t>עָיִן</t>
  </si>
  <si>
    <t>יַחֲשֹׁבוּן</t>
  </si>
  <si>
    <t>עֵינֵינוּ</t>
  </si>
  <si>
    <t>לְרִיבִי</t>
  </si>
  <si>
    <t>בִּלַּעֲנוּהוּ</t>
  </si>
  <si>
    <t>בְגֵאוּת</t>
  </si>
  <si>
    <t>בְּמִסְתָּרִים</t>
  </si>
  <si>
    <t>וּמִתְנַקֵּם</t>
  </si>
  <si>
    <t>כּוֹנָנְתָּה</t>
  </si>
  <si>
    <t>תִפְקְדֶנּוּ</t>
  </si>
  <si>
    <t>תְּעַטְּרֵהוּ</t>
  </si>
  <si>
    <t>בְחָלְיוֹ</t>
  </si>
  <si>
    <t>לָקוּם</t>
  </si>
  <si>
    <t>דָּכְיָם</t>
  </si>
  <si>
    <t>יַעֲנֵם</t>
  </si>
  <si>
    <t>עֲלִילוֹתָם</t>
  </si>
  <si>
    <t>עֲבֹתֵימוֹ</t>
  </si>
  <si>
    <t>יְבַהֲלֵמוֹ</t>
  </si>
  <si>
    <t>יְלִדְתִּיךָ</t>
  </si>
  <si>
    <t>תְּנַפְּצֵם</t>
  </si>
  <si>
    <t>בִּרְעָדָה</t>
  </si>
  <si>
    <t>יִתְלוֹנָן</t>
  </si>
  <si>
    <t>אֲמִתּוֹ</t>
  </si>
  <si>
    <t>צָהֳרָיִם</t>
  </si>
  <si>
    <t>יִגָּשׁ</t>
  </si>
  <si>
    <t>מְעוֹנֶךָ</t>
  </si>
  <si>
    <t>רַגְלֶךָ</t>
  </si>
  <si>
    <t>וְתַנִּין</t>
  </si>
  <si>
    <t>שְׁמִי</t>
  </si>
  <si>
    <t>וַאֲכַבְּדֵהוּ</t>
  </si>
  <si>
    <t>בִּישׁוּעָתִי</t>
  </si>
  <si>
    <t>אַמְסֶה</t>
  </si>
  <si>
    <t>בִּכְיִי</t>
  </si>
  <si>
    <t>יִקָּח</t>
  </si>
  <si>
    <t>רָגַע</t>
  </si>
  <si>
    <t>בְּמֵישָׁרִים</t>
  </si>
  <si>
    <t>רַגְלָם</t>
  </si>
  <si>
    <t>סֶּלָה</t>
  </si>
  <si>
    <t>פָּעָל</t>
  </si>
  <si>
    <t>כּוֹסָם</t>
  </si>
  <si>
    <t>פָנֵימוֹ</t>
  </si>
  <si>
    <t>יִבּוֹלוּן</t>
  </si>
  <si>
    <t>כַּצָּהֳרָיִם</t>
  </si>
  <si>
    <t>מְזִמּוֹת</t>
  </si>
  <si>
    <t>לְהָרֵעַ</t>
  </si>
  <si>
    <t>יוֹמוֹ</t>
  </si>
  <si>
    <t>יִשְׂבָּעוּ</t>
  </si>
  <si>
    <t>וְנוֹתֵן</t>
  </si>
  <si>
    <t>יִכָּרֵתוּ</t>
  </si>
  <si>
    <t>לָחֶם</t>
  </si>
  <si>
    <t>לִבְרָכָה</t>
  </si>
  <si>
    <t>נִכְרָת</t>
  </si>
  <si>
    <t>עָלֶיהָ</t>
  </si>
  <si>
    <t>אֲשֻׁרָיו</t>
  </si>
  <si>
    <t>לְמִרְמָה</t>
  </si>
  <si>
    <t>רֵיקָם</t>
  </si>
  <si>
    <t>אֶמְעָד</t>
  </si>
  <si>
    <t>בַּאֲמִתֶּךָ</t>
  </si>
  <si>
    <t>אֶפְחָד</t>
  </si>
  <si>
    <t>בוֹטֵחַ</t>
  </si>
  <si>
    <t>בְּהֵיכָלוֹ</t>
  </si>
  <si>
    <t>יְרוֹמְמֵנִי</t>
  </si>
  <si>
    <t>יַאַסְפֵנִי</t>
  </si>
  <si>
    <t>בוֹר</t>
  </si>
  <si>
    <t>יִבְנֵם</t>
  </si>
  <si>
    <t>חֲטָאָה</t>
  </si>
  <si>
    <t>יַגִּיעוּ</t>
  </si>
  <si>
    <t>יְסוֹבְבֶנּוּ</t>
  </si>
  <si>
    <t>וַיֵּלַךְ</t>
  </si>
  <si>
    <t>וְיִשְׂמָחוּ</t>
  </si>
  <si>
    <t>יֶחְפָּרוּ</t>
  </si>
  <si>
    <t>הוֹשִׁיעוֹ</t>
  </si>
  <si>
    <t>וַיְחַלְּצֵם</t>
  </si>
  <si>
    <t>אֲלַמֶּדְכֶם</t>
  </si>
  <si>
    <t>וְרָדְפֵהוּ</t>
  </si>
  <si>
    <t>שַׁוְעָתָם</t>
  </si>
  <si>
    <t>לֹחֲמָי</t>
  </si>
  <si>
    <t>אוּכָל</t>
  </si>
  <si>
    <t>יְשָׁרְתֵנִי</t>
  </si>
  <si>
    <t>גְּמוּלָיו</t>
  </si>
  <si>
    <t>תַּחֲלֻאָיְכִי</t>
  </si>
  <si>
    <t>וְרַחֲמִים</t>
  </si>
  <si>
    <t>נְעוּרָיְכִי</t>
  </si>
  <si>
    <t>עֲשׁוּקִים</t>
  </si>
  <si>
    <t>יִטּוֹר</t>
  </si>
  <si>
    <t>אֲנָחְנוּ</t>
  </si>
  <si>
    <t>יָצִיץ</t>
  </si>
  <si>
    <t>לַעֲשׂוֹתָם</t>
  </si>
  <si>
    <t>מָשָׁלָה</t>
  </si>
  <si>
    <t>רְצוֹנוֹ</t>
  </si>
  <si>
    <t>לְרַגְלֶיךָ</t>
  </si>
  <si>
    <t>יַלְדֻתֶיךָ</t>
  </si>
  <si>
    <t>אֲזַמְּרֶךָּ</t>
  </si>
  <si>
    <t>יְיֵדָע</t>
  </si>
  <si>
    <t>תֶּרֶף</t>
  </si>
  <si>
    <t>תַחְתָּי</t>
  </si>
  <si>
    <t>וַתְּחַשְּׁבֵהוּ</t>
  </si>
  <si>
    <t>עוֹבֵר</t>
  </si>
  <si>
    <t>וְיֶעֱשָׁנוּ</t>
  </si>
  <si>
    <t>וּתְהֻמֵּם</t>
  </si>
  <si>
    <t>הֵיכָל</t>
  </si>
  <si>
    <t>בְּחוּצוֹתֵינוּ</t>
  </si>
  <si>
    <t>בִּרְחֹבֹתֵינוּ</t>
  </si>
  <si>
    <t>יָצָרוּ</t>
  </si>
  <si>
    <t>עֹשֵׂנוּ</t>
  </si>
  <si>
    <t>תִשְׁמָעוּ</t>
  </si>
  <si>
    <t>פָעֳלִי</t>
  </si>
  <si>
    <t>מְנוּחָתִי</t>
  </si>
  <si>
    <t>גּוֹרָלִי</t>
  </si>
  <si>
    <t>כִלְיוֹתָי</t>
  </si>
  <si>
    <t>לָבֶטַח</t>
  </si>
  <si>
    <t>בִּצְדָקָה</t>
  </si>
  <si>
    <t>עוֹשֵׁק</t>
  </si>
  <si>
    <t>דּוֹרִים</t>
  </si>
  <si>
    <t>יְלַחֵכוּ</t>
  </si>
  <si>
    <t>יַקְרִיבוּ</t>
  </si>
  <si>
    <t>יַעַבְדוּהוּ</t>
  </si>
  <si>
    <t>יְבָרֲכֶנְהוּ</t>
  </si>
  <si>
    <t>יְאַשְּׁרוּהוּ</t>
  </si>
  <si>
    <t>יִשָׁי</t>
  </si>
  <si>
    <t>יְשׁוּעָתֶךָ</t>
  </si>
  <si>
    <t>הֲגִיגִי</t>
  </si>
  <si>
    <t>אֶתְפַּלָּל</t>
  </si>
  <si>
    <t>וַאֲצַפֶּה</t>
  </si>
  <si>
    <t>בְּיִרְאָתֶךָ</t>
  </si>
  <si>
    <t>יַחֲלִיקוּן</t>
  </si>
  <si>
    <t>תְיַסְּרֵנִי</t>
  </si>
  <si>
    <t>מָתָי</t>
  </si>
  <si>
    <t>הַמָּוֶת</t>
  </si>
  <si>
    <t>קָרָאוּ</t>
  </si>
  <si>
    <t>מַחְסֵהוּ</t>
  </si>
  <si>
    <t>חִזְקִי</t>
  </si>
  <si>
    <t>אִוָּשֵׁעַ</t>
  </si>
  <si>
    <t>יְבַעֲתוּנִי</t>
  </si>
  <si>
    <t>בְאָזְנָיו</t>
  </si>
  <si>
    <t>הָרָקִיעַ</t>
  </si>
  <si>
    <t>מֵחַמָּתוֹ</t>
  </si>
  <si>
    <t>פֶּתִי</t>
  </si>
  <si>
    <t>עֵינָיִם</t>
  </si>
  <si>
    <t>יִסְעָדֶךָּ</t>
  </si>
  <si>
    <t>מִשְׁאֲלוֹתֶיךָ</t>
  </si>
  <si>
    <t>נַזְכִּיר</t>
  </si>
  <si>
    <t>וַנִּתְעוֹדָד</t>
  </si>
  <si>
    <t>קָרְאֵנוּ</t>
  </si>
  <si>
    <t>פָּז</t>
  </si>
  <si>
    <t>שֹׂנְאֶיךָ</t>
  </si>
  <si>
    <t>יוּכָלוּ</t>
  </si>
  <si>
    <t>פְּנֵיהֶם</t>
  </si>
  <si>
    <t>שַׁאֲגָתִי</t>
  </si>
  <si>
    <t>פַלְּטֵנִי</t>
  </si>
  <si>
    <t>וּתְנַהֲלֵנִי</t>
  </si>
  <si>
    <t>מָעוּזִּי</t>
  </si>
  <si>
    <t>בָּטָחְתִּי</t>
  </si>
  <si>
    <t>וּבִטְנִי</t>
  </si>
  <si>
    <t>עָשֵׁשׁוּ</t>
  </si>
  <si>
    <t>אֹבֵד</t>
  </si>
  <si>
    <t>זָמָמוּ</t>
  </si>
  <si>
    <t>וּמֵרֹדְפָי</t>
  </si>
  <si>
    <t>בְחַסְדֶּךָ</t>
  </si>
  <si>
    <t>לְשֹׁנוֹת</t>
  </si>
  <si>
    <t>נֶעְכָּר</t>
  </si>
  <si>
    <t>אֹסְפָם</t>
  </si>
  <si>
    <t>כָלִיתִי</t>
  </si>
  <si>
    <t>אֲבוֹתָי</t>
  </si>
  <si>
    <t>וְאֵינֶנִּי</t>
  </si>
  <si>
    <t>שַׁוְעָתִי</t>
  </si>
  <si>
    <t>אֲשֻׁרָי</t>
  </si>
  <si>
    <t>מִסַּפֵּר</t>
  </si>
  <si>
    <t>שָׁאָלְתָּ</t>
  </si>
  <si>
    <t>מֵעָי</t>
  </si>
  <si>
    <t>יָדָעְתָּ</t>
  </si>
  <si>
    <t>עֲזָבָנִי</t>
  </si>
  <si>
    <t>תְּאַחַר</t>
  </si>
  <si>
    <t>חוֹגֵג</t>
  </si>
  <si>
    <t>מִצְעָר</t>
  </si>
  <si>
    <t>עָבָרוּ</t>
  </si>
  <si>
    <t>וַתְּשַׁלְּחֵם</t>
  </si>
  <si>
    <t>רְצִיתָם</t>
  </si>
  <si>
    <t>קָמֵינוּ</t>
  </si>
  <si>
    <t>תוֹשִׁיעֵנִי</t>
  </si>
  <si>
    <t>הֱבִישׁוֹתָ</t>
  </si>
  <si>
    <t>בְּצִבְאוֹתֵינוּ</t>
  </si>
  <si>
    <t>זֵרִיתָנוּ</t>
  </si>
  <si>
    <t>בִּמְחִירֵיהֶם</t>
  </si>
  <si>
    <t>לִסְבִיבוֹתֵינוּ</t>
  </si>
  <si>
    <t>כִּסָּתְנִי</t>
  </si>
  <si>
    <t>בִּבְרִיתֶךָ</t>
  </si>
  <si>
    <t>אָרְחֶךָ</t>
  </si>
  <si>
    <t>בְצַלְמָוֶת</t>
  </si>
  <si>
    <t>טִבְחָה</t>
  </si>
  <si>
    <t>וְלַחֲצֵנוּ</t>
  </si>
  <si>
    <t>בִּטְנֵנוּ</t>
  </si>
  <si>
    <t>יְדִידֹת</t>
  </si>
  <si>
    <t>מָהִיר</t>
  </si>
  <si>
    <t>וַהֲדָרֶךָ</t>
  </si>
  <si>
    <t>מַלְכוּתֶךָ</t>
  </si>
  <si>
    <t>מֵחֲבֵרֶיךָ</t>
  </si>
  <si>
    <t>שִׂמְּחוּךָ</t>
  </si>
  <si>
    <t>אוֹפִיר</t>
  </si>
  <si>
    <t>אָבִיךְ</t>
  </si>
  <si>
    <t>לְבוּשָׁהּ</t>
  </si>
  <si>
    <t>רַגְלֵינוּ</t>
  </si>
  <si>
    <t>נַעֲלָה</t>
  </si>
  <si>
    <t>חָלֶד</t>
  </si>
  <si>
    <t>תְבוּנוֹת</t>
  </si>
  <si>
    <t>חִידָתִי</t>
  </si>
  <si>
    <t>יְסוּבֵּנִי</t>
  </si>
  <si>
    <t>יִתְהַלָּלוּ</t>
  </si>
  <si>
    <t>כָּפְרוֹ</t>
  </si>
  <si>
    <t>הַשָּׁחַת</t>
  </si>
  <si>
    <t>אֲדָמוֹת</t>
  </si>
  <si>
    <t>נִדְמוּ</t>
  </si>
  <si>
    <t>בֵּיתוֹ</t>
  </si>
  <si>
    <t>שָׁבַע</t>
  </si>
  <si>
    <t>פְשָׁעָי</t>
  </si>
  <si>
    <t>טַהֲרֵנִי</t>
  </si>
  <si>
    <t>בְשָׁפְטֶךָ</t>
  </si>
  <si>
    <t>תוֹדִיעֵנִי</t>
  </si>
  <si>
    <t>אַלְבִּין</t>
  </si>
  <si>
    <t>דִּכִּיתָ</t>
  </si>
  <si>
    <t>תִסְמְכֵנִי</t>
  </si>
  <si>
    <t>תִרְצֶה</t>
  </si>
  <si>
    <t>תִבְזֶה</t>
  </si>
  <si>
    <t>פָרִים</t>
  </si>
  <si>
    <t>אֲחִימֶלֶךְ</t>
  </si>
  <si>
    <t>יִשְׂחָקוּ</t>
  </si>
  <si>
    <t>בְּהַוָּתוֹ</t>
  </si>
  <si>
    <t>מְאָסָם</t>
  </si>
  <si>
    <t>תְדִינֵנִי</t>
  </si>
  <si>
    <t>הַצְמִיתֵם</t>
  </si>
  <si>
    <t>מִתְּחִנָּתִי</t>
  </si>
  <si>
    <t>וְאָהִימָה</t>
  </si>
  <si>
    <t>יִשְׂטְמוּנִי</t>
  </si>
  <si>
    <t>פַּלָּצוּת</t>
  </si>
  <si>
    <t>וְאֶשְׁכֹּנָה</t>
  </si>
  <si>
    <t>מִסָּעַר</t>
  </si>
  <si>
    <t>וּמְיֻדָּעִי</t>
  </si>
  <si>
    <t>בְּרָגֶשׁ</t>
  </si>
  <si>
    <t>בְּקִרְבָּם</t>
  </si>
  <si>
    <t>יוֹשִׁיעֵנִי</t>
  </si>
  <si>
    <t>פְתִחוֹת</t>
  </si>
  <si>
    <t>בְּגַת</t>
  </si>
  <si>
    <t>יִלְחָצֵנִי</t>
  </si>
  <si>
    <t>לָרָע</t>
  </si>
  <si>
    <t>בְּסִפְרָתֶךָ</t>
  </si>
  <si>
    <t>בַּמְּעָרָה</t>
  </si>
  <si>
    <t>וַאֲמִתּוֹ</t>
  </si>
  <si>
    <t>חַדָּה</t>
  </si>
  <si>
    <t>כְּבוֹדֶךָ</t>
  </si>
  <si>
    <t>וַאֲזַמֵּרָה</t>
  </si>
  <si>
    <t>שָּׁחַר</t>
  </si>
  <si>
    <t>תְּפַלֵּסוּן</t>
  </si>
  <si>
    <t>מְחֻכָּם</t>
  </si>
  <si>
    <t>יִתְמֹלָלוּ</t>
  </si>
  <si>
    <t>יִשְׂעָרֶנּוּ</t>
  </si>
  <si>
    <t>הָרָשָׁע</t>
  </si>
  <si>
    <t>לַהֲמִיתוֹ</t>
  </si>
  <si>
    <t>תְּשַׂגְּבֵנִי</t>
  </si>
  <si>
    <t>בְשֹׁרְרָי</t>
  </si>
  <si>
    <t>יְסַפֵּרוּ</t>
  </si>
  <si>
    <t>וַיָּלִינוּ</t>
  </si>
  <si>
    <t>לְלַמֵּד</t>
  </si>
  <si>
    <t>אָלֶף</t>
  </si>
  <si>
    <t>תַּרְעֵלָה</t>
  </si>
  <si>
    <t>אֲמַדֵּד</t>
  </si>
  <si>
    <t>מְחֹקְקִי</t>
  </si>
  <si>
    <t>הִתְרֹעָעִי</t>
  </si>
  <si>
    <t>יִנְצְרֻהוּ</t>
  </si>
  <si>
    <t>הַדְּחוּיָה</t>
  </si>
  <si>
    <t>תִּקְוָתִי</t>
  </si>
  <si>
    <t>כְּמַעֲשֵׂהוּ</t>
  </si>
  <si>
    <t>מָר</t>
  </si>
  <si>
    <t>יִירָאוּ</t>
  </si>
  <si>
    <t>עָמֹק</t>
  </si>
  <si>
    <t>מַכּוֹתָם</t>
  </si>
  <si>
    <t>נֶדֶר</t>
  </si>
  <si>
    <t>תְכַפְּרֵם</t>
  </si>
  <si>
    <t>הֵיכָלֶךָ</t>
  </si>
  <si>
    <t>בִּגְבוּרָה</t>
  </si>
  <si>
    <t>תַּרְנִין</t>
  </si>
  <si>
    <t>תְּכִינֶהָ</t>
  </si>
  <si>
    <t>דָּשֶׁן</t>
  </si>
  <si>
    <t>תַּחְגֹּרְנָה</t>
  </si>
  <si>
    <t>רַגְלֵנוּ</t>
  </si>
  <si>
    <t>כָּסֶף</t>
  </si>
  <si>
    <t>בְמָתְנֵינוּ</t>
  </si>
  <si>
    <t>לָרְוָיָה</t>
  </si>
  <si>
    <t>נְדָרָי</t>
  </si>
  <si>
    <t>מֵאִתִּי</t>
  </si>
  <si>
    <t>צְחִיחָה</t>
  </si>
  <si>
    <t>כוֹנַנְתָּהּ</t>
  </si>
  <si>
    <t>שָׁלָל</t>
  </si>
  <si>
    <t>חָרוּץ</t>
  </si>
  <si>
    <t>בְּצַלְמוֹן</t>
  </si>
  <si>
    <t>תּוֹצָאוֹת</t>
  </si>
  <si>
    <t>בַּאֲשָׁמָיו</t>
  </si>
  <si>
    <t>מִנֵּהוּ</t>
  </si>
  <si>
    <t>בַקֹּדֶשׁ</t>
  </si>
  <si>
    <t>תּוֹפֵפוֹת</t>
  </si>
  <si>
    <t>שְׁטָפָתְנִי</t>
  </si>
  <si>
    <t>נִכְחָדוּ</t>
  </si>
  <si>
    <t>שֵׁכָר</t>
  </si>
  <si>
    <t>פִּיהָ</t>
  </si>
  <si>
    <t>חֹמֶץ</t>
  </si>
  <si>
    <t>לְמוֹקֵשׁ</t>
  </si>
  <si>
    <t>הַמְעַד</t>
  </si>
  <si>
    <t>יַשִּׂיגֵם</t>
  </si>
  <si>
    <t>בְּצִדְקָתֶךָ</t>
  </si>
  <si>
    <t>לְהַזְכִּיר</t>
  </si>
  <si>
    <t>אֶשְׁפֹּט</t>
  </si>
  <si>
    <t>קָרֶן</t>
  </si>
  <si>
    <t>בְצִיּוֹן</t>
  </si>
  <si>
    <t>טָרֶף</t>
  </si>
  <si>
    <t>וָסוּס</t>
  </si>
  <si>
    <t>וְשָׁקָטָה</t>
  </si>
  <si>
    <t>תַּחְגֹּר</t>
  </si>
  <si>
    <t>לַמּוֹרָא</t>
  </si>
  <si>
    <t>פִּלְאֶךָ</t>
  </si>
  <si>
    <t>כֵּאלֹהִים</t>
  </si>
  <si>
    <t>תְהֹמוֹת</t>
  </si>
  <si>
    <t>נֹדָעוּ</t>
  </si>
  <si>
    <t>הוֹפִיעָה</t>
  </si>
  <si>
    <t>וְנִוָּשֵׁעָה</t>
  </si>
  <si>
    <t>שָׁלִישׁ</t>
  </si>
  <si>
    <t>וַתִּטָּעֶהָ</t>
  </si>
  <si>
    <t>יוֹנְקוֹתֶיהָ</t>
  </si>
  <si>
    <t>יִרְעֶנָּה</t>
  </si>
  <si>
    <t>נִקְרָא</t>
  </si>
  <si>
    <t>חַגֵּנוּ</t>
  </si>
  <si>
    <t>תַּעֲבֹרְנָה</t>
  </si>
  <si>
    <t>וַאֲמַלְאֵהוּ</t>
  </si>
  <si>
    <t>בְּמוֹעֲצוֹתֵיהֶם</t>
  </si>
  <si>
    <t>אַשְׂבִּיעֶךָ</t>
  </si>
  <si>
    <t>מוֹרֶה</t>
  </si>
  <si>
    <t>מְשִׁיחֶךָ</t>
  </si>
  <si>
    <t>בְּתָמִים</t>
  </si>
  <si>
    <t>לְכִסְלָה</t>
  </si>
  <si>
    <t>בְּאַרְצֵנוּ</t>
  </si>
  <si>
    <t>נָשָׁקוּ</t>
  </si>
  <si>
    <t>נִשְׁקָף</t>
  </si>
  <si>
    <t>תְפִלָּה</t>
  </si>
  <si>
    <t>לַחֲטָאָה</t>
  </si>
  <si>
    <t>מֵחָרְבוֹתֵיהֶם</t>
  </si>
  <si>
    <t>יְגִיעוֹ</t>
  </si>
  <si>
    <t>לִיתוֹמָיו</t>
  </si>
  <si>
    <t>תִּמָּח</t>
  </si>
  <si>
    <t>לְמוֹתֵת</t>
  </si>
  <si>
    <t>בְּעַצְמוֹתָיו</t>
  </si>
  <si>
    <t>יַחְגְּרֶהָ</t>
  </si>
  <si>
    <t>כָּאַרְבֶּה</t>
  </si>
  <si>
    <t>רֹאשָׁם</t>
  </si>
  <si>
    <t>כְחַסְדֶּךָ</t>
  </si>
  <si>
    <t>עֲשִׂיתָהּ</t>
  </si>
  <si>
    <t>יִשְׂמָח</t>
  </si>
  <si>
    <t>אֲהַלְלֶנּוּ</t>
  </si>
  <si>
    <t>וַתֵּדָע</t>
  </si>
  <si>
    <t>מֵרָחוֹק</t>
  </si>
  <si>
    <t>הִסְכַּנְתָּה</t>
  </si>
  <si>
    <t>כֻלָּהּ</t>
  </si>
  <si>
    <t>כַּפֶּכָה</t>
  </si>
  <si>
    <t>אֶבְרָח</t>
  </si>
  <si>
    <t>הִנֶּךָּ</t>
  </si>
  <si>
    <t>בַּעֲדֵנִי</t>
  </si>
  <si>
    <t>כָּאוֹרָה</t>
  </si>
  <si>
    <t>רָאשֵׁיהֶם</t>
  </si>
  <si>
    <t>עָרֶיךָ</t>
  </si>
  <si>
    <t>אֶתְקוֹטָט</t>
  </si>
  <si>
    <t>שַׂרְעַפָּי</t>
  </si>
  <si>
    <t>פְּעָמָי</t>
  </si>
  <si>
    <t>נָשֶׁק</t>
  </si>
  <si>
    <t>יְכַסֵּמוֹ</t>
  </si>
  <si>
    <t>יָקוּמוּ</t>
  </si>
  <si>
    <t>לְמַדְחֵפֹת</t>
  </si>
  <si>
    <t>אֶבְיֹנִים</t>
  </si>
  <si>
    <t>חָשָׁבוּ</t>
  </si>
  <si>
    <t>מְזִמּוֹתָיו</t>
  </si>
  <si>
    <t>וָאָוֶן</t>
  </si>
  <si>
    <t>יִצְפֹּנוּ</t>
  </si>
  <si>
    <t>בְרִשְׁתּוֹ</t>
  </si>
  <si>
    <t>כָּאִים</t>
  </si>
  <si>
    <t>תִּדְרֹשׁ</t>
  </si>
  <si>
    <t>מֵאַרְצוֹ</t>
  </si>
  <si>
    <t>אָזְנֶךָ</t>
  </si>
  <si>
    <t>יְרִיחוּן</t>
  </si>
  <si>
    <t>הַגְּדֹלִים</t>
  </si>
  <si>
    <t>בְּנֵיכֶם</t>
  </si>
  <si>
    <t>בְּנוֹ</t>
  </si>
  <si>
    <t>יִסְמְכֵנִי</t>
  </si>
  <si>
    <t>בִּלְבָבוֹ</t>
  </si>
  <si>
    <t>יָמִר</t>
  </si>
  <si>
    <t>אֶחְסָר</t>
  </si>
  <si>
    <t>בֶּהָדָר</t>
  </si>
  <si>
    <t>הַלְּבָנוֹן</t>
  </si>
  <si>
    <t>רְאֵמִים</t>
  </si>
  <si>
    <t>קָדֵשׁ</t>
  </si>
  <si>
    <t>בַשָּׁלוֹם</t>
  </si>
  <si>
    <t>וַתִּרְפָּאֵנִי</t>
  </si>
  <si>
    <t>אִוַּלְתִּי</t>
  </si>
  <si>
    <t>הִלָּכְתִּי</t>
  </si>
  <si>
    <t>נִסְתָּרָה</t>
  </si>
  <si>
    <t>מְבֹאוֹ</t>
  </si>
  <si>
    <t>הוֹפִיעַ</t>
  </si>
  <si>
    <t>זָבַח</t>
  </si>
  <si>
    <t>אֶשְׁתֶּה</t>
  </si>
  <si>
    <t>וּתְכַבְּדֵנִי</t>
  </si>
  <si>
    <t>חֶלְקֶךָ</t>
  </si>
  <si>
    <t>דֹּפִי</t>
  </si>
  <si>
    <t>לְעֵינֶיךָ</t>
  </si>
  <si>
    <t>וּכְבוֹדֶךָ</t>
  </si>
  <si>
    <t>יְשַׁבְּחוּנְךָ</t>
  </si>
  <si>
    <t>כַפָּי</t>
  </si>
  <si>
    <t>אֲרַנֵּן</t>
  </si>
  <si>
    <t>אוּלָם</t>
  </si>
  <si>
    <t>יְנֻגָּעוּ</t>
  </si>
  <si>
    <t>בְעֶלְיוֹן</t>
  </si>
  <si>
    <t>כַּפָּי</t>
  </si>
  <si>
    <t>בָגָדְתִּי</t>
  </si>
  <si>
    <t>בְעֵינָי</t>
  </si>
  <si>
    <t>לְאַחֲרִיתָם</t>
  </si>
  <si>
    <t>לְמַשּׁוּאוֹת</t>
  </si>
  <si>
    <t>בַּלָּהוֹת</t>
  </si>
  <si>
    <t>תִּבְזֶה</t>
  </si>
  <si>
    <t>אֶשְׁתּוֹנָן</t>
  </si>
  <si>
    <t>יְמִינִי</t>
  </si>
  <si>
    <t>תִּקָּחֵנִי</t>
  </si>
  <si>
    <t>מַלְאֲכוֹתֶיךָ</t>
  </si>
  <si>
    <t>לְעִיִּים</t>
  </si>
  <si>
    <t>קוֹבֵר</t>
  </si>
  <si>
    <t>קִנְאָתֶךָ</t>
  </si>
  <si>
    <t>הֵשַׁמּוּ</t>
  </si>
  <si>
    <t>הַשָּׁפוּךְ</t>
  </si>
  <si>
    <t>תְמוּתָה</t>
  </si>
  <si>
    <t>הַצְדִּיקוּ</t>
  </si>
  <si>
    <t>הַצִּילוּ</t>
  </si>
  <si>
    <t>כֻּלְּכֶם</t>
  </si>
  <si>
    <t>תִּפֹּלוּ</t>
  </si>
  <si>
    <t>הַשַּׁבָּת</t>
  </si>
  <si>
    <t>בַּלֵּילוֹת</t>
  </si>
  <si>
    <t>מַחְשְׁבֹתֶיךָ</t>
  </si>
  <si>
    <t>אָזְנָי</t>
  </si>
  <si>
    <t>יִשְׂגֶּה</t>
  </si>
  <si>
    <t>יַפְרִיחוּ</t>
  </si>
  <si>
    <t>וְזַמֵּרוּ</t>
  </si>
  <si>
    <t>בִּרְנָנָה</t>
  </si>
  <si>
    <t>אֱמוּנָתוֹ</t>
  </si>
  <si>
    <t>בְּמַנְעַמֵּיהֶם</t>
  </si>
  <si>
    <t>בְּרָעוֹתֵיהֶם</t>
  </si>
  <si>
    <t>נָעֵמוּ</t>
  </si>
  <si>
    <t>אֶעֱבוֹר</t>
  </si>
  <si>
    <t>אֲשׂוֹחֵחַ</t>
  </si>
  <si>
    <t>כִסִּתִי</t>
  </si>
  <si>
    <t>קַרְדֻּמּוֹת</t>
  </si>
  <si>
    <t>יַהֲלֹמוּן</t>
  </si>
  <si>
    <t>כַלֵּה</t>
  </si>
  <si>
    <t>לְצִיִּים</t>
  </si>
  <si>
    <t>אֵיתָן</t>
  </si>
  <si>
    <t>וָשָׁמֶשׁ</t>
  </si>
  <si>
    <t>יְצַרְתָּם</t>
  </si>
  <si>
    <t>לִבְנֵיהֶם</t>
  </si>
  <si>
    <t>יִנְצֹרוּ</t>
  </si>
  <si>
    <t>קְרָב</t>
  </si>
  <si>
    <t>הֶרְאָם</t>
  </si>
  <si>
    <t>צֹעַן</t>
  </si>
  <si>
    <t>נֵד</t>
  </si>
  <si>
    <t>בַּצִּיָּה</t>
  </si>
  <si>
    <t>לְנַפְשָׁם</t>
  </si>
  <si>
    <t>בְיִשְׂרָאֵל</t>
  </si>
  <si>
    <t>פָּתָח</t>
  </si>
  <si>
    <t>לָשֹׂבַע</t>
  </si>
  <si>
    <t>תֵימָן</t>
  </si>
  <si>
    <t>לְמִשְׁכְּנֹתָיו</t>
  </si>
  <si>
    <t>הָאֶזְרָחִי</t>
  </si>
  <si>
    <t>בָהֶם</t>
  </si>
  <si>
    <t>סְבִיבוֹתֶיךָ</t>
  </si>
  <si>
    <t>תְשַׁבְּחֵם</t>
  </si>
  <si>
    <t>אוֹיְבֶיךָ</t>
  </si>
  <si>
    <t>יְסַדְתָּם</t>
  </si>
  <si>
    <t>קַרְנֵנוּ</t>
  </si>
  <si>
    <t>מַלְכֵּנוּ</t>
  </si>
  <si>
    <t>מֵעָם</t>
  </si>
  <si>
    <t>מְשַׁחְתִּיו</t>
  </si>
  <si>
    <t>תְאַמְּצֶנּוּ</t>
  </si>
  <si>
    <t>יְעַנֶּנּוּ</t>
  </si>
  <si>
    <t>אֶגּוֹף</t>
  </si>
  <si>
    <t>שָׁמָיִם</t>
  </si>
  <si>
    <t>כִּתְּרוּנִי</t>
  </si>
  <si>
    <t>וְשֹׁאֵג</t>
  </si>
  <si>
    <t>תִּשְׁפְּתֵנִי</t>
  </si>
  <si>
    <t>וְרַגְלָי</t>
  </si>
  <si>
    <t>גוֹרָל</t>
  </si>
  <si>
    <t>חִיָּה</t>
  </si>
  <si>
    <t>לַדּוֹר</t>
  </si>
  <si>
    <t>כִּנֹּרוֹתֵינוּ</t>
  </si>
  <si>
    <t>שִׂמְחָתִי</t>
  </si>
  <si>
    <t>הַסָּלַע</t>
  </si>
  <si>
    <t>בְּכַפָּי</t>
  </si>
  <si>
    <t>מילים</t>
  </si>
  <si>
    <t>שווא</t>
  </si>
  <si>
    <t>יש</t>
  </si>
  <si>
    <t>אין</t>
  </si>
  <si>
    <t>פתוח/ סגור</t>
  </si>
  <si>
    <t>פתוחה</t>
  </si>
  <si>
    <t>סגורה</t>
  </si>
  <si>
    <t>סוג שווא</t>
  </si>
  <si>
    <t>נע</t>
  </si>
  <si>
    <t>נע ונח</t>
  </si>
  <si>
    <t>שני שוואים ברצף</t>
  </si>
  <si>
    <t>באותיות הדומות</t>
  </si>
  <si>
    <t>שני שווא נח</t>
  </si>
  <si>
    <t>נח</t>
  </si>
  <si>
    <t>קמץ המשתנה</t>
  </si>
  <si>
    <t>פתח גנובה</t>
  </si>
  <si>
    <t>קמץ</t>
  </si>
  <si>
    <t>פתח</t>
  </si>
  <si>
    <t>צירה</t>
  </si>
  <si>
    <t>סגול</t>
  </si>
  <si>
    <t>חיריק</t>
  </si>
  <si>
    <t>חולם</t>
  </si>
  <si>
    <t>שורוק</t>
  </si>
  <si>
    <t>מלאופום</t>
  </si>
  <si>
    <t xml:space="preserve">זְרוֹעִי </t>
  </si>
  <si>
    <t>שני שוואים בסוף מילה</t>
  </si>
  <si>
    <t>שונות 1</t>
  </si>
  <si>
    <t>מקור</t>
  </si>
  <si>
    <t>תהילים</t>
  </si>
  <si>
    <t xml:space="preserve">לפי ניקוד </t>
  </si>
  <si>
    <t>לפי ניקוד</t>
  </si>
  <si>
    <t>מדויק</t>
  </si>
  <si>
    <t>כל הניקוד</t>
  </si>
  <si>
    <t>או זה או זה</t>
  </si>
  <si>
    <t>ללא ניקוד</t>
  </si>
  <si>
    <t>חיפוש ש</t>
  </si>
  <si>
    <t>ספירת ש</t>
  </si>
  <si>
    <t>חיפוש דגש</t>
  </si>
  <si>
    <t>ספירת דגש</t>
  </si>
  <si>
    <t>חיפוש וּ</t>
  </si>
  <si>
    <t>החסרת וּ</t>
  </si>
  <si>
    <t>שווא נח</t>
  </si>
  <si>
    <t>מספר הברות</t>
  </si>
  <si>
    <t>אדום</t>
  </si>
  <si>
    <t>אולים</t>
  </si>
  <si>
    <t>אילותי</t>
  </si>
  <si>
    <t>אמת</t>
  </si>
  <si>
    <t>אמר</t>
  </si>
  <si>
    <t>אמונים</t>
  </si>
  <si>
    <t>אמונה</t>
  </si>
  <si>
    <t>אמונתך</t>
  </si>
  <si>
    <t>אמונתו</t>
  </si>
  <si>
    <t>אנוש</t>
  </si>
  <si>
    <t>אבי</t>
  </si>
  <si>
    <t>אבימלך</t>
  </si>
  <si>
    <t>אבירם</t>
  </si>
  <si>
    <t>אבקש</t>
  </si>
  <si>
    <t>אברכה</t>
  </si>
  <si>
    <t>אברך</t>
  </si>
  <si>
    <t>אברכך</t>
  </si>
  <si>
    <t>אבתינו</t>
  </si>
  <si>
    <t>אבתיך</t>
  </si>
  <si>
    <t>אבתיו</t>
  </si>
  <si>
    <t>אבותיכם</t>
  </si>
  <si>
    <t>אבותינו</t>
  </si>
  <si>
    <t>אבותי</t>
  </si>
  <si>
    <t>אבותיו</t>
  </si>
  <si>
    <t>אבותם</t>
  </si>
  <si>
    <t>אגדע</t>
  </si>
  <si>
    <t>אגם</t>
  </si>
  <si>
    <t>אדבר</t>
  </si>
  <si>
    <t>אדלג</t>
  </si>
  <si>
    <t>אדמות</t>
  </si>
  <si>
    <t>אדנינו</t>
  </si>
  <si>
    <t>אדניך</t>
  </si>
  <si>
    <t>אדון</t>
  </si>
  <si>
    <t>אדונינו</t>
  </si>
  <si>
    <t>אהללך</t>
  </si>
  <si>
    <t>אהללנו</t>
  </si>
  <si>
    <t>אהללה</t>
  </si>
  <si>
    <t>אהלך</t>
  </si>
  <si>
    <t>אהלל</t>
  </si>
  <si>
    <t>אהודנו</t>
  </si>
  <si>
    <t>אזמרך</t>
  </si>
  <si>
    <t>אזמרה</t>
  </si>
  <si>
    <t>אחימלך</t>
  </si>
  <si>
    <t>אחלצהו</t>
  </si>
  <si>
    <t>אחלקה</t>
  </si>
  <si>
    <t>אחלצך</t>
  </si>
  <si>
    <t>איחל</t>
  </si>
  <si>
    <t>אכלתני</t>
  </si>
  <si>
    <t>אליהם</t>
  </si>
  <si>
    <t>אלמדה</t>
  </si>
  <si>
    <t>אלמדכם</t>
  </si>
  <si>
    <t>אמילם</t>
  </si>
  <si>
    <t>אמתך</t>
  </si>
  <si>
    <t>אמתו</t>
  </si>
  <si>
    <t>אמדד</t>
  </si>
  <si>
    <t>אמרי</t>
  </si>
  <si>
    <t>אמרות</t>
  </si>
  <si>
    <t>אני</t>
  </si>
  <si>
    <t>אנחנו</t>
  </si>
  <si>
    <t>אסירים</t>
  </si>
  <si>
    <t>אסירי</t>
  </si>
  <si>
    <t>אספרה</t>
  </si>
  <si>
    <t>אספר</t>
  </si>
  <si>
    <t>אסורים</t>
  </si>
  <si>
    <t>אפיקי</t>
  </si>
  <si>
    <t>אפפוני</t>
  </si>
  <si>
    <t>אריקם</t>
  </si>
  <si>
    <t>ארם</t>
  </si>
  <si>
    <t>ארנן</t>
  </si>
  <si>
    <t>ארזים</t>
  </si>
  <si>
    <t>ארוממך</t>
  </si>
  <si>
    <t>ארורים</t>
  </si>
  <si>
    <t>אשר</t>
  </si>
  <si>
    <t>אשוע</t>
  </si>
  <si>
    <t>אשחרך</t>
  </si>
  <si>
    <t>אשלם</t>
  </si>
  <si>
    <t>אשרינו</t>
  </si>
  <si>
    <t>אשרי</t>
  </si>
  <si>
    <t>אשריו</t>
  </si>
  <si>
    <t>אשגבהו</t>
  </si>
  <si>
    <t>אשוחח</t>
  </si>
  <si>
    <t>אניות</t>
  </si>
  <si>
    <t>אבדת</t>
  </si>
  <si>
    <t>אולתי</t>
  </si>
  <si>
    <t>אושע</t>
  </si>
  <si>
    <t>איים</t>
  </si>
  <si>
    <t>איעצה</t>
  </si>
  <si>
    <t>אירא</t>
  </si>
  <si>
    <t>איש</t>
  </si>
  <si>
    <t>אישים</t>
  </si>
  <si>
    <t>אישן</t>
  </si>
  <si>
    <t>אם</t>
  </si>
  <si>
    <t>אמרת</t>
  </si>
  <si>
    <t>אמרתך</t>
  </si>
  <si>
    <t>אמרתו</t>
  </si>
  <si>
    <t>אמרו</t>
  </si>
  <si>
    <t>אמך</t>
  </si>
  <si>
    <t>אמי</t>
  </si>
  <si>
    <t>אמצת</t>
  </si>
  <si>
    <t>אמצתה</t>
  </si>
  <si>
    <t>אמו</t>
  </si>
  <si>
    <t>אנצלה</t>
  </si>
  <si>
    <t>אספו</t>
  </si>
  <si>
    <t>אסרו</t>
  </si>
  <si>
    <t>אתי</t>
  </si>
  <si>
    <t>אתנו</t>
  </si>
  <si>
    <t>אבר</t>
  </si>
  <si>
    <t>אבוש</t>
  </si>
  <si>
    <t>אבושה</t>
  </si>
  <si>
    <t>אדעה</t>
  </si>
  <si>
    <t>אדע</t>
  </si>
  <si>
    <t>אידי</t>
  </si>
  <si>
    <t>איך</t>
  </si>
  <si>
    <t>איכה</t>
  </si>
  <si>
    <t>אילים</t>
  </si>
  <si>
    <t>אינמו</t>
  </si>
  <si>
    <t>איתם</t>
  </si>
  <si>
    <t>איתן</t>
  </si>
  <si>
    <t>אל</t>
  </si>
  <si>
    <t>אלי</t>
  </si>
  <si>
    <t>אלים</t>
  </si>
  <si>
    <t>אלימו</t>
  </si>
  <si>
    <t>אלינו</t>
  </si>
  <si>
    <t>אלך</t>
  </si>
  <si>
    <t>אליך</t>
  </si>
  <si>
    <t>אלם</t>
  </si>
  <si>
    <t>אליו</t>
  </si>
  <si>
    <t>אלה</t>
  </si>
  <si>
    <t>אש</t>
  </si>
  <si>
    <t>אשת</t>
  </si>
  <si>
    <t>את</t>
  </si>
  <si>
    <t>אבחנך</t>
  </si>
  <si>
    <t>אבטח</t>
  </si>
  <si>
    <t>אבינים</t>
  </si>
  <si>
    <t>אביון</t>
  </si>
  <si>
    <t>אביונים</t>
  </si>
  <si>
    <t>אברח</t>
  </si>
  <si>
    <t>אבן</t>
  </si>
  <si>
    <t>אגוף</t>
  </si>
  <si>
    <t>אדאג</t>
  </si>
  <si>
    <t>אדדם</t>
  </si>
  <si>
    <t>אהגה</t>
  </si>
  <si>
    <t>אהיה</t>
  </si>
  <si>
    <t>אהבו</t>
  </si>
  <si>
    <t>אזבחה</t>
  </si>
  <si>
    <t>אזבח</t>
  </si>
  <si>
    <t>אזכרכי</t>
  </si>
  <si>
    <t>אזכרה</t>
  </si>
  <si>
    <t>אזכרך</t>
  </si>
  <si>
    <t>אזכור</t>
  </si>
  <si>
    <t>אזעק</t>
  </si>
  <si>
    <t>אחיה</t>
  </si>
  <si>
    <t>אחסה</t>
  </si>
  <si>
    <t>אחסר</t>
  </si>
  <si>
    <t>אחטא</t>
  </si>
  <si>
    <t>אחד</t>
  </si>
  <si>
    <t>אטבעה</t>
  </si>
  <si>
    <t>אטרף</t>
  </si>
  <si>
    <t>אכלא</t>
  </si>
  <si>
    <t>אלחם</t>
  </si>
  <si>
    <t>אלף</t>
  </si>
  <si>
    <t>אמעד</t>
  </si>
  <si>
    <t>אמצא</t>
  </si>
  <si>
    <t>אמוט</t>
  </si>
  <si>
    <t>אנקת</t>
  </si>
  <si>
    <t>אספרם</t>
  </si>
  <si>
    <t>אסק</t>
  </si>
  <si>
    <t>אעלזה</t>
  </si>
  <si>
    <t>אעבר</t>
  </si>
  <si>
    <t>אעבור</t>
  </si>
  <si>
    <t>אערך</t>
  </si>
  <si>
    <t>אעשה</t>
  </si>
  <si>
    <t>אענך</t>
  </si>
  <si>
    <t>אפחד</t>
  </si>
  <si>
    <t>אפרים</t>
  </si>
  <si>
    <t>אפרחיה</t>
  </si>
  <si>
    <t>אפתחה</t>
  </si>
  <si>
    <t>אפתח</t>
  </si>
  <si>
    <t>אצבעתיך</t>
  </si>
  <si>
    <t>אצבעותי</t>
  </si>
  <si>
    <t>אקרא</t>
  </si>
  <si>
    <t>אקח</t>
  </si>
  <si>
    <t>אראה</t>
  </si>
  <si>
    <t>ארחמך</t>
  </si>
  <si>
    <t>ארעב</t>
  </si>
  <si>
    <t>ארך</t>
  </si>
  <si>
    <t>ארץ</t>
  </si>
  <si>
    <t>אשכבה</t>
  </si>
  <si>
    <t>אשכנה</t>
  </si>
  <si>
    <t>אשכח</t>
  </si>
  <si>
    <t>אשכחך</t>
  </si>
  <si>
    <t>אשכר</t>
  </si>
  <si>
    <t>אשמעה</t>
  </si>
  <si>
    <t>אשמרה</t>
  </si>
  <si>
    <t>אשמע</t>
  </si>
  <si>
    <t>אשמר</t>
  </si>
  <si>
    <t>אשפט</t>
  </si>
  <si>
    <t>אשפך</t>
  </si>
  <si>
    <t>אשתה</t>
  </si>
  <si>
    <t>אשתחוה</t>
  </si>
  <si>
    <t>אשתעשע</t>
  </si>
  <si>
    <t>אשתוללו</t>
  </si>
  <si>
    <t>אשתונן</t>
  </si>
  <si>
    <t>אשמחה</t>
  </si>
  <si>
    <t>אשנא</t>
  </si>
  <si>
    <t>אשא</t>
  </si>
  <si>
    <t>אתהלך</t>
  </si>
  <si>
    <t>אתחנן</t>
  </si>
  <si>
    <t>אתפלל</t>
  </si>
  <si>
    <t>אתקוטט</t>
  </si>
  <si>
    <t>אתנהו</t>
  </si>
  <si>
    <t>אתן</t>
  </si>
  <si>
    <t>אברהם</t>
  </si>
  <si>
    <t>אבשלום</t>
  </si>
  <si>
    <t>אביעה</t>
  </si>
  <si>
    <t>אבירים</t>
  </si>
  <si>
    <t>אבירי</t>
  </si>
  <si>
    <t>אגיד</t>
  </si>
  <si>
    <t>אגידה</t>
  </si>
  <si>
    <t>אדמת</t>
  </si>
  <si>
    <t>אדיר</t>
  </si>
  <si>
    <t>אדירים</t>
  </si>
  <si>
    <t>אהבתי</t>
  </si>
  <si>
    <t>אהרן</t>
  </si>
  <si>
    <t>אזכיר</t>
  </si>
  <si>
    <t>אזכירה</t>
  </si>
  <si>
    <t>אחלי</t>
  </si>
  <si>
    <t>אחריתו</t>
  </si>
  <si>
    <t>אחריה</t>
  </si>
  <si>
    <t>אחריך</t>
  </si>
  <si>
    <t>אחריו</t>
  </si>
  <si>
    <t>אחרון</t>
  </si>
  <si>
    <t>אחר</t>
  </si>
  <si>
    <t>אחת</t>
  </si>
  <si>
    <t>אטה</t>
  </si>
  <si>
    <t>איה</t>
  </si>
  <si>
    <t>אילת</t>
  </si>
  <si>
    <t>אילות</t>
  </si>
  <si>
    <t>אך</t>
  </si>
  <si>
    <t>אכניע</t>
  </si>
  <si>
    <t>אלבין</t>
  </si>
  <si>
    <t>אלמנה</t>
  </si>
  <si>
    <t>אלמנות</t>
  </si>
  <si>
    <t>אלפי</t>
  </si>
  <si>
    <t>אלופי</t>
  </si>
  <si>
    <t>אלופינו</t>
  </si>
  <si>
    <t>אמסה</t>
  </si>
  <si>
    <t>אנשי</t>
  </si>
  <si>
    <t>אסיך</t>
  </si>
  <si>
    <t>אעלה</t>
  </si>
  <si>
    <t>אף</t>
  </si>
  <si>
    <t>אפסי</t>
  </si>
  <si>
    <t>אפקיד</t>
  </si>
  <si>
    <t>אפך</t>
  </si>
  <si>
    <t>אפים</t>
  </si>
  <si>
    <t>אפו</t>
  </si>
  <si>
    <t>אצמית</t>
  </si>
  <si>
    <t>אצמיתם</t>
  </si>
  <si>
    <t>אראנו</t>
  </si>
  <si>
    <t>ארבה</t>
  </si>
  <si>
    <t>ארבעים</t>
  </si>
  <si>
    <t>ארזי</t>
  </si>
  <si>
    <t>ארחיק</t>
  </si>
  <si>
    <t>אריה</t>
  </si>
  <si>
    <t>ארצך</t>
  </si>
  <si>
    <t>ארצם</t>
  </si>
  <si>
    <t>אשליך</t>
  </si>
  <si>
    <t>אשביעהו</t>
  </si>
  <si>
    <t>אשביעך</t>
  </si>
  <si>
    <t>אשחה</t>
  </si>
  <si>
    <t>אשכילך</t>
  </si>
  <si>
    <t>אשכילה</t>
  </si>
  <si>
    <t>אתם</t>
  </si>
  <si>
    <t>אתה</t>
  </si>
  <si>
    <t>אב</t>
  </si>
  <si>
    <t>אבדו</t>
  </si>
  <si>
    <t>אביך</t>
  </si>
  <si>
    <t>אבינה</t>
  </si>
  <si>
    <t>אבד</t>
  </si>
  <si>
    <t>אבה</t>
  </si>
  <si>
    <t>אבא</t>
  </si>
  <si>
    <t>אבוא</t>
  </si>
  <si>
    <t>אגילה</t>
  </si>
  <si>
    <t>אגורה</t>
  </si>
  <si>
    <t>אדם</t>
  </si>
  <si>
    <t>אהלו</t>
  </si>
  <si>
    <t>אהב</t>
  </si>
  <si>
    <t>אהבת</t>
  </si>
  <si>
    <t>און</t>
  </si>
  <si>
    <t>אז</t>
  </si>
  <si>
    <t>אזנכם</t>
  </si>
  <si>
    <t>אזנך</t>
  </si>
  <si>
    <t>אזני</t>
  </si>
  <si>
    <t>אזנים</t>
  </si>
  <si>
    <t>אזנו</t>
  </si>
  <si>
    <t>אח</t>
  </si>
  <si>
    <t>אחישה</t>
  </si>
  <si>
    <t>אחזת</t>
  </si>
  <si>
    <t>אחור</t>
  </si>
  <si>
    <t>אטד</t>
  </si>
  <si>
    <t>אכלם</t>
  </si>
  <si>
    <t>אכלו</t>
  </si>
  <si>
    <t>אכין</t>
  </si>
  <si>
    <t>אכן</t>
  </si>
  <si>
    <t>אכל</t>
  </si>
  <si>
    <t>אלין</t>
  </si>
  <si>
    <t>אמצו</t>
  </si>
  <si>
    <t>אמן</t>
  </si>
  <si>
    <t>אמרתי</t>
  </si>
  <si>
    <t>אמות</t>
  </si>
  <si>
    <t>אנפת</t>
  </si>
  <si>
    <t>אנה</t>
  </si>
  <si>
    <t>אנכי</t>
  </si>
  <si>
    <t>אנא</t>
  </si>
  <si>
    <t>אסיר</t>
  </si>
  <si>
    <t>אספת</t>
  </si>
  <si>
    <t>אעירה</t>
  </si>
  <si>
    <t>אעופה</t>
  </si>
  <si>
    <t>אפפו</t>
  </si>
  <si>
    <t>אקוט</t>
  </si>
  <si>
    <t>אקום</t>
  </si>
  <si>
    <t>ארבו</t>
  </si>
  <si>
    <t>ארחי</t>
  </si>
  <si>
    <t>ארחך</t>
  </si>
  <si>
    <t>ארחו</t>
  </si>
  <si>
    <t>ארחות</t>
  </si>
  <si>
    <t>אריד</t>
  </si>
  <si>
    <t>ארום</t>
  </si>
  <si>
    <t>ארוץ</t>
  </si>
  <si>
    <t>אשיב</t>
  </si>
  <si>
    <t>אשיר</t>
  </si>
  <si>
    <t>אשירה</t>
  </si>
  <si>
    <t>אשית</t>
  </si>
  <si>
    <t>אשיחה</t>
  </si>
  <si>
    <t>אהבי</t>
  </si>
  <si>
    <t>אהל</t>
  </si>
  <si>
    <t>אזן</t>
  </si>
  <si>
    <t>איבי</t>
  </si>
  <si>
    <t>איביך</t>
  </si>
  <si>
    <t>איביו</t>
  </si>
  <si>
    <t>אכלי</t>
  </si>
  <si>
    <t>אמרים</t>
  </si>
  <si>
    <t>אספם</t>
  </si>
  <si>
    <t>אפל</t>
  </si>
  <si>
    <t>ארחתיך</t>
  </si>
  <si>
    <t>ארחותיך</t>
  </si>
  <si>
    <t>ארח</t>
  </si>
  <si>
    <t>אתו</t>
  </si>
  <si>
    <t>אתות</t>
  </si>
  <si>
    <t>אתותיו</t>
  </si>
  <si>
    <t>אמלל</t>
  </si>
  <si>
    <t>אודך</t>
  </si>
  <si>
    <t>אודיעך</t>
  </si>
  <si>
    <t>אודיע</t>
  </si>
  <si>
    <t>אודה</t>
  </si>
  <si>
    <t>אודנו</t>
  </si>
  <si>
    <t>אויבי</t>
  </si>
  <si>
    <t>אויביהם</t>
  </si>
  <si>
    <t>אויביך</t>
  </si>
  <si>
    <t>אויביו</t>
  </si>
  <si>
    <t>אויב</t>
  </si>
  <si>
    <t>אוכיחך</t>
  </si>
  <si>
    <t>אוכל</t>
  </si>
  <si>
    <t>אומרה</t>
  </si>
  <si>
    <t>אונם</t>
  </si>
  <si>
    <t>אופיר</t>
  </si>
  <si>
    <t>אור</t>
  </si>
  <si>
    <t>אורי</t>
  </si>
  <si>
    <t>אורים</t>
  </si>
  <si>
    <t>אותך</t>
  </si>
  <si>
    <t>אותי</t>
  </si>
  <si>
    <t>אותה</t>
  </si>
  <si>
    <t>אותם</t>
  </si>
  <si>
    <t>אותתינו</t>
  </si>
  <si>
    <t>אותתם</t>
  </si>
  <si>
    <t>אותו</t>
  </si>
  <si>
    <t>אולם</t>
  </si>
  <si>
    <t>באזוב</t>
  </si>
  <si>
    <t>באפי</t>
  </si>
  <si>
    <t>באפו</t>
  </si>
  <si>
    <t>באהליהם</t>
  </si>
  <si>
    <t>באהלו</t>
  </si>
  <si>
    <t>באהלך</t>
  </si>
  <si>
    <t>באזניו</t>
  </si>
  <si>
    <t>בגאות</t>
  </si>
  <si>
    <t>בגדי</t>
  </si>
  <si>
    <t>בהר</t>
  </si>
  <si>
    <t>בחירו</t>
  </si>
  <si>
    <t>בחילך</t>
  </si>
  <si>
    <t>בחמה</t>
  </si>
  <si>
    <t>בחסד</t>
  </si>
  <si>
    <t>בחיי</t>
  </si>
  <si>
    <t>בחנתנו</t>
  </si>
  <si>
    <t>בחסדך</t>
  </si>
  <si>
    <t>בחרבם</t>
  </si>
  <si>
    <t>בחזון</t>
  </si>
  <si>
    <t>בחליו</t>
  </si>
  <si>
    <t>בחפזי</t>
  </si>
  <si>
    <t>בישראל</t>
  </si>
  <si>
    <t>בים</t>
  </si>
  <si>
    <t>ביעקב</t>
  </si>
  <si>
    <t>ביגון</t>
  </si>
  <si>
    <t>ביום</t>
  </si>
  <si>
    <t>בכנור</t>
  </si>
  <si>
    <t>בכעס</t>
  </si>
  <si>
    <t>בך</t>
  </si>
  <si>
    <t>בכל</t>
  </si>
  <si>
    <t>בלבי</t>
  </si>
  <si>
    <t>בלבם</t>
  </si>
  <si>
    <t>בליעל</t>
  </si>
  <si>
    <t>בלא</t>
  </si>
  <si>
    <t>במישור</t>
  </si>
  <si>
    <t>במצרים</t>
  </si>
  <si>
    <t>במשפט</t>
  </si>
  <si>
    <t>במחשכים</t>
  </si>
  <si>
    <t>במכמריו</t>
  </si>
  <si>
    <t>במלכם</t>
  </si>
  <si>
    <t>במעגלי</t>
  </si>
  <si>
    <t>במעמקי</t>
  </si>
  <si>
    <t>במחול</t>
  </si>
  <si>
    <t>במשל</t>
  </si>
  <si>
    <t>במתנינו</t>
  </si>
  <si>
    <t>במותו</t>
  </si>
  <si>
    <t>בנפשי</t>
  </si>
  <si>
    <t>בנאדך</t>
  </si>
  <si>
    <t>בסתר</t>
  </si>
  <si>
    <t>בסכה</t>
  </si>
  <si>
    <t>בעדותיך</t>
  </si>
  <si>
    <t>בעיני</t>
  </si>
  <si>
    <t>בעליון</t>
  </si>
  <si>
    <t>בעזך</t>
  </si>
  <si>
    <t>בעשק</t>
  </si>
  <si>
    <t>בעולות</t>
  </si>
  <si>
    <t>בצדקתך</t>
  </si>
  <si>
    <t>בציון</t>
  </si>
  <si>
    <t>בצלצלי</t>
  </si>
  <si>
    <t>בצדק</t>
  </si>
  <si>
    <t>בצואר</t>
  </si>
  <si>
    <t>בצלמות</t>
  </si>
  <si>
    <t>בצרה</t>
  </si>
  <si>
    <t>בצריו</t>
  </si>
  <si>
    <t>בצרות</t>
  </si>
  <si>
    <t>בקשתי</t>
  </si>
  <si>
    <t>בקעות</t>
  </si>
  <si>
    <t>בקראי</t>
  </si>
  <si>
    <t>ברית</t>
  </si>
  <si>
    <t>בריתי</t>
  </si>
  <si>
    <t>בריתו</t>
  </si>
  <si>
    <t>ברשתו</t>
  </si>
  <si>
    <t>ברבים</t>
  </si>
  <si>
    <t>בראתם</t>
  </si>
  <si>
    <t>ברגל</t>
  </si>
  <si>
    <t>ברכה</t>
  </si>
  <si>
    <t>ברכות</t>
  </si>
  <si>
    <t>ברע</t>
  </si>
  <si>
    <t>ברעה</t>
  </si>
  <si>
    <t>ברקים</t>
  </si>
  <si>
    <t>ברקיו</t>
  </si>
  <si>
    <t>בראשו</t>
  </si>
  <si>
    <t>בשלוי</t>
  </si>
  <si>
    <t>בשלם</t>
  </si>
  <si>
    <t>בשלום</t>
  </si>
  <si>
    <t>בשפטך</t>
  </si>
  <si>
    <t>בשררי</t>
  </si>
  <si>
    <t>בשוקי</t>
  </si>
  <si>
    <t>בשיחי</t>
  </si>
  <si>
    <t>בשמחה</t>
  </si>
  <si>
    <t>בשפה</t>
  </si>
  <si>
    <t>בשרי</t>
  </si>
  <si>
    <t>בשנאי</t>
  </si>
  <si>
    <t>בתף</t>
  </si>
  <si>
    <t>בתוכה</t>
  </si>
  <si>
    <t>בגאונם</t>
  </si>
  <si>
    <t>בגבורת</t>
  </si>
  <si>
    <t>בגבורתיו</t>
  </si>
  <si>
    <t>בדבריו</t>
  </si>
  <si>
    <t>בי</t>
  </si>
  <si>
    <t>בידי</t>
  </si>
  <si>
    <t>בימיהם</t>
  </si>
  <si>
    <t>בישימון</t>
  </si>
  <si>
    <t>בכלי</t>
  </si>
  <si>
    <t>בלשוני</t>
  </si>
  <si>
    <t>במשיחי</t>
  </si>
  <si>
    <t>בנדיבים</t>
  </si>
  <si>
    <t>ברכתך</t>
  </si>
  <si>
    <t>ברצונך</t>
  </si>
  <si>
    <t>בשמותם</t>
  </si>
  <si>
    <t>באלהים</t>
  </si>
  <si>
    <t>בית</t>
  </si>
  <si>
    <t>ביתך</t>
  </si>
  <si>
    <t>בן</t>
  </si>
  <si>
    <t>בעשן</t>
  </si>
  <si>
    <t>באמתך</t>
  </si>
  <si>
    <t>בבקר</t>
  </si>
  <si>
    <t>בגוים</t>
  </si>
  <si>
    <t>בחדש</t>
  </si>
  <si>
    <t>בטחות</t>
  </si>
  <si>
    <t>ביי</t>
  </si>
  <si>
    <t>בכבל</t>
  </si>
  <si>
    <t>בכסף</t>
  </si>
  <si>
    <t>בל</t>
  </si>
  <si>
    <t>במערה</t>
  </si>
  <si>
    <t>במצודה</t>
  </si>
  <si>
    <t>במדבר</t>
  </si>
  <si>
    <t>במרחב</t>
  </si>
  <si>
    <t>במים</t>
  </si>
  <si>
    <t>בסוסים</t>
  </si>
  <si>
    <t>בער</t>
  </si>
  <si>
    <t>בצום</t>
  </si>
  <si>
    <t>בקדש</t>
  </si>
  <si>
    <t>בר</t>
  </si>
  <si>
    <t>ברזל</t>
  </si>
  <si>
    <t>בשמן</t>
  </si>
  <si>
    <t>בשחק</t>
  </si>
  <si>
    <t>בשמים</t>
  </si>
  <si>
    <t>בת</t>
  </si>
  <si>
    <t>בא</t>
  </si>
  <si>
    <t>באש</t>
  </si>
  <si>
    <t>בארץ</t>
  </si>
  <si>
    <t>באו</t>
  </si>
  <si>
    <t>באתי</t>
  </si>
  <si>
    <t>בגדתי</t>
  </si>
  <si>
    <t>בהם</t>
  </si>
  <si>
    <t>בה</t>
  </si>
  <si>
    <t>בזה</t>
  </si>
  <si>
    <t>בחרתי</t>
  </si>
  <si>
    <t>בחור</t>
  </si>
  <si>
    <t>בטחו</t>
  </si>
  <si>
    <t>בטח</t>
  </si>
  <si>
    <t>בטחתי</t>
  </si>
  <si>
    <t>בלע</t>
  </si>
  <si>
    <t>בם</t>
  </si>
  <si>
    <t>בנים</t>
  </si>
  <si>
    <t>בניך</t>
  </si>
  <si>
    <t>בניו</t>
  </si>
  <si>
    <t>בעמים</t>
  </si>
  <si>
    <t>בקעת</t>
  </si>
  <si>
    <t>בקר</t>
  </si>
  <si>
    <t>ברכב</t>
  </si>
  <si>
    <t>בשן</t>
  </si>
  <si>
    <t>בשר</t>
  </si>
  <si>
    <t>בשת</t>
  </si>
  <si>
    <t>בשו</t>
  </si>
  <si>
    <t>באיש</t>
  </si>
  <si>
    <t>באר</t>
  </si>
  <si>
    <t>באברתו</t>
  </si>
  <si>
    <t>באחרית</t>
  </si>
  <si>
    <t>באנחתי</t>
  </si>
  <si>
    <t>באף</t>
  </si>
  <si>
    <t>באפך</t>
  </si>
  <si>
    <t>בארצנו</t>
  </si>
  <si>
    <t>בארצם</t>
  </si>
  <si>
    <t>בארצות</t>
  </si>
  <si>
    <t>באשמרות</t>
  </si>
  <si>
    <t>באהלי</t>
  </si>
  <si>
    <t>באזנינו</t>
  </si>
  <si>
    <t>באחיך</t>
  </si>
  <si>
    <t>באמרם</t>
  </si>
  <si>
    <t>באצרות</t>
  </si>
  <si>
    <t>בארח</t>
  </si>
  <si>
    <t>באור</t>
  </si>
  <si>
    <t>באורך</t>
  </si>
  <si>
    <t>בבית</t>
  </si>
  <si>
    <t>בביתו</t>
  </si>
  <si>
    <t>בבטן</t>
  </si>
  <si>
    <t>בבן</t>
  </si>
  <si>
    <t>בברחו</t>
  </si>
  <si>
    <t>בברותי</t>
  </si>
  <si>
    <t>בבוא</t>
  </si>
  <si>
    <t>בגיא</t>
  </si>
  <si>
    <t>בגאוה</t>
  </si>
  <si>
    <t>בגאותו</t>
  </si>
  <si>
    <t>בגת</t>
  </si>
  <si>
    <t>בדמעתי</t>
  </si>
  <si>
    <t>בדרך</t>
  </si>
  <si>
    <t>בדם</t>
  </si>
  <si>
    <t>בדרכי</t>
  </si>
  <si>
    <t>בדברך</t>
  </si>
  <si>
    <t>בדמי</t>
  </si>
  <si>
    <t>בדור</t>
  </si>
  <si>
    <t>בהוסדם</t>
  </si>
  <si>
    <t>בהשפטו</t>
  </si>
  <si>
    <t>בהתעטף</t>
  </si>
  <si>
    <t>בהיכל</t>
  </si>
  <si>
    <t>בהיכלו</t>
  </si>
  <si>
    <t>בהמה</t>
  </si>
  <si>
    <t>בהמות</t>
  </si>
  <si>
    <t>בהביטי</t>
  </si>
  <si>
    <t>בהדרי</t>
  </si>
  <si>
    <t>בהדרת</t>
  </si>
  <si>
    <t>בהותו</t>
  </si>
  <si>
    <t>בהצותו</t>
  </si>
  <si>
    <t>בהררי</t>
  </si>
  <si>
    <t>בהשמים</t>
  </si>
  <si>
    <t>בהמיר</t>
  </si>
  <si>
    <t>בזקים</t>
  </si>
  <si>
    <t>בזכרנו</t>
  </si>
  <si>
    <t>בזאת</t>
  </si>
  <si>
    <t>בחיריך</t>
  </si>
  <si>
    <t>בחיריו</t>
  </si>
  <si>
    <t>בחדרי</t>
  </si>
  <si>
    <t>בחייו</t>
  </si>
  <si>
    <t>בחנפי</t>
  </si>
  <si>
    <t>בחצרות</t>
  </si>
  <si>
    <t>בחרבני</t>
  </si>
  <si>
    <t>בחכמה</t>
  </si>
  <si>
    <t>בחנני</t>
  </si>
  <si>
    <t>בחנוני</t>
  </si>
  <si>
    <t>בחרב</t>
  </si>
  <si>
    <t>בחקיך</t>
  </si>
  <si>
    <t>בחקתיך</t>
  </si>
  <si>
    <t>בחוצותינו</t>
  </si>
  <si>
    <t>בטרם</t>
  </si>
  <si>
    <t>בטוב</t>
  </si>
  <si>
    <t>בטובת</t>
  </si>
  <si>
    <t>בטובתך</t>
  </si>
  <si>
    <t>ביקרותיך</t>
  </si>
  <si>
    <t>ביראה</t>
  </si>
  <si>
    <t>ביראתך</t>
  </si>
  <si>
    <t>בישע</t>
  </si>
  <si>
    <t>ביד</t>
  </si>
  <si>
    <t>בידך</t>
  </si>
  <si>
    <t>בידם</t>
  </si>
  <si>
    <t>בידו</t>
  </si>
  <si>
    <t>ביה</t>
  </si>
  <si>
    <t>בימיו</t>
  </si>
  <si>
    <t>בישר</t>
  </si>
  <si>
    <t>בכתם</t>
  </si>
  <si>
    <t>בכבלי</t>
  </si>
  <si>
    <t>בכפי</t>
  </si>
  <si>
    <t>בכשיל</t>
  </si>
  <si>
    <t>בכבוד</t>
  </si>
  <si>
    <t>בכה</t>
  </si>
  <si>
    <t>בכהניו</t>
  </si>
  <si>
    <t>בכחו</t>
  </si>
  <si>
    <t>בכור</t>
  </si>
  <si>
    <t>בכורי</t>
  </si>
  <si>
    <t>בלבו</t>
  </si>
  <si>
    <t>בלי</t>
  </si>
  <si>
    <t>בלב</t>
  </si>
  <si>
    <t>בלחץ</t>
  </si>
  <si>
    <t>בלמדי</t>
  </si>
  <si>
    <t>במנחה</t>
  </si>
  <si>
    <t>במנים</t>
  </si>
  <si>
    <t>במסתרים</t>
  </si>
  <si>
    <t>במצותיו</t>
  </si>
  <si>
    <t>במישרים</t>
  </si>
  <si>
    <t>במיתריך</t>
  </si>
  <si>
    <t>במתג</t>
  </si>
  <si>
    <t>במארב</t>
  </si>
  <si>
    <t>במהמרות</t>
  </si>
  <si>
    <t>במנעמיהם</t>
  </si>
  <si>
    <t>במעשה</t>
  </si>
  <si>
    <t>במעשי</t>
  </si>
  <si>
    <t>במעלליהם</t>
  </si>
  <si>
    <t>במצליח</t>
  </si>
  <si>
    <t>במקהלים</t>
  </si>
  <si>
    <t>במקהלות</t>
  </si>
  <si>
    <t>במשכו</t>
  </si>
  <si>
    <t>במאזנים</t>
  </si>
  <si>
    <t>במו</t>
  </si>
  <si>
    <t>במוט</t>
  </si>
  <si>
    <t>במועצותיהם</t>
  </si>
  <si>
    <t>בני</t>
  </si>
  <si>
    <t>בנפלאותיך</t>
  </si>
  <si>
    <t>בנקיון</t>
  </si>
  <si>
    <t>בנבל</t>
  </si>
  <si>
    <t>בניכם</t>
  </si>
  <si>
    <t>בנאמני</t>
  </si>
  <si>
    <t>בנפש</t>
  </si>
  <si>
    <t>בנשך</t>
  </si>
  <si>
    <t>בנחלתך</t>
  </si>
  <si>
    <t>בנפשם</t>
  </si>
  <si>
    <t>בנפשו</t>
  </si>
  <si>
    <t>בנשאי</t>
  </si>
  <si>
    <t>בנעם</t>
  </si>
  <si>
    <t>בנו</t>
  </si>
  <si>
    <t>בנות</t>
  </si>
  <si>
    <t>בנותינו</t>
  </si>
  <si>
    <t>בספרתך</t>
  </si>
  <si>
    <t>בסמכי</t>
  </si>
  <si>
    <t>בסוד</t>
  </si>
  <si>
    <t>בעיר</t>
  </si>
  <si>
    <t>בעתו</t>
  </si>
  <si>
    <t>בעינינו</t>
  </si>
  <si>
    <t>בעיניך</t>
  </si>
  <si>
    <t>בעיניו</t>
  </si>
  <si>
    <t>בעמק</t>
  </si>
  <si>
    <t>בעת</t>
  </si>
  <si>
    <t>בעזרתי</t>
  </si>
  <si>
    <t>בעזרו</t>
  </si>
  <si>
    <t>בעם</t>
  </si>
  <si>
    <t>בעמו</t>
  </si>
  <si>
    <t>בעמוד</t>
  </si>
  <si>
    <t>בעצמותי</t>
  </si>
  <si>
    <t>בעצמותיו</t>
  </si>
  <si>
    <t>בעבים</t>
  </si>
  <si>
    <t>בעוון</t>
  </si>
  <si>
    <t>בעד</t>
  </si>
  <si>
    <t>בעזרי</t>
  </si>
  <si>
    <t>בעשי</t>
  </si>
  <si>
    <t>בעשיו</t>
  </si>
  <si>
    <t>בעזו</t>
  </si>
  <si>
    <t>בעודי</t>
  </si>
  <si>
    <t>בפי</t>
  </si>
  <si>
    <t>בפיהם</t>
  </si>
  <si>
    <t>בפיהו</t>
  </si>
  <si>
    <t>בפיו</t>
  </si>
  <si>
    <t>בפימו</t>
  </si>
  <si>
    <t>בפקדיך</t>
  </si>
  <si>
    <t>בפרעה</t>
  </si>
  <si>
    <t>בפעלך</t>
  </si>
  <si>
    <t>בפרש</t>
  </si>
  <si>
    <t>בפעל</t>
  </si>
  <si>
    <t>בצבאותינו</t>
  </si>
  <si>
    <t>בצאת</t>
  </si>
  <si>
    <t>בצאתך</t>
  </si>
  <si>
    <t>בצאתו</t>
  </si>
  <si>
    <t>בצל</t>
  </si>
  <si>
    <t>בצלם</t>
  </si>
  <si>
    <t>בצלמון</t>
  </si>
  <si>
    <t>בצעדך</t>
  </si>
  <si>
    <t>בצאן</t>
  </si>
  <si>
    <t>בצור</t>
  </si>
  <si>
    <t>בקרבי</t>
  </si>
  <si>
    <t>בקרבך</t>
  </si>
  <si>
    <t>בקרבה</t>
  </si>
  <si>
    <t>בקרבם</t>
  </si>
  <si>
    <t>בקרבו</t>
  </si>
  <si>
    <t>בקצפך</t>
  </si>
  <si>
    <t>בקרב</t>
  </si>
  <si>
    <t>בקדשו</t>
  </si>
  <si>
    <t>בקהל</t>
  </si>
  <si>
    <t>בקלו</t>
  </si>
  <si>
    <t>בקול</t>
  </si>
  <si>
    <t>בקולו</t>
  </si>
  <si>
    <t>בקום</t>
  </si>
  <si>
    <t>ברדתי</t>
  </si>
  <si>
    <t>בריחי</t>
  </si>
  <si>
    <t>ברנה</t>
  </si>
  <si>
    <t>ברצח</t>
  </si>
  <si>
    <t>ברשת</t>
  </si>
  <si>
    <t>ברשע</t>
  </si>
  <si>
    <t>ברא</t>
  </si>
  <si>
    <t>ברב</t>
  </si>
  <si>
    <t>ברגש</t>
  </si>
  <si>
    <t>ברחוק</t>
  </si>
  <si>
    <t>ברעותיהם</t>
  </si>
  <si>
    <t>בראש</t>
  </si>
  <si>
    <t>ברוק</t>
  </si>
  <si>
    <t>ברושים</t>
  </si>
  <si>
    <t>ברוחו</t>
  </si>
  <si>
    <t>ברוכים</t>
  </si>
  <si>
    <t>בשמך</t>
  </si>
  <si>
    <t>בשבט</t>
  </si>
  <si>
    <t>בשם</t>
  </si>
  <si>
    <t>בשאגתי</t>
  </si>
  <si>
    <t>בשועי</t>
  </si>
  <si>
    <t>בשחת</t>
  </si>
  <si>
    <t>בשנותו</t>
  </si>
  <si>
    <t>בשערי</t>
  </si>
  <si>
    <t>בשמרם</t>
  </si>
  <si>
    <t>בשואה</t>
  </si>
  <si>
    <t>בשוב</t>
  </si>
  <si>
    <t>בשורי</t>
  </si>
  <si>
    <t>בשפתותיך</t>
  </si>
  <si>
    <t>בשמחת</t>
  </si>
  <si>
    <t>בשפתותיהם</t>
  </si>
  <si>
    <t>בשיבה</t>
  </si>
  <si>
    <t>בשוא</t>
  </si>
  <si>
    <t>בתקע</t>
  </si>
  <si>
    <t>בתבנית</t>
  </si>
  <si>
    <t>בתחתיות</t>
  </si>
  <si>
    <t>בתם</t>
  </si>
  <si>
    <t>בתמים</t>
  </si>
  <si>
    <t>בתמי</t>
  </si>
  <si>
    <t>בתודה</t>
  </si>
  <si>
    <t>בתוך</t>
  </si>
  <si>
    <t>בתוכי</t>
  </si>
  <si>
    <t>בתוככי</t>
  </si>
  <si>
    <t>בתוכחות</t>
  </si>
  <si>
    <t>בתוכו</t>
  </si>
  <si>
    <t>בתורת</t>
  </si>
  <si>
    <t>בתולות</t>
  </si>
  <si>
    <t>בבכוריהם</t>
  </si>
  <si>
    <t>בבני</t>
  </si>
  <si>
    <t>בבריתך</t>
  </si>
  <si>
    <t>בברכה</t>
  </si>
  <si>
    <t>בבשרי</t>
  </si>
  <si>
    <t>בגברות</t>
  </si>
  <si>
    <t>בגבורה</t>
  </si>
  <si>
    <t>בגבורתו</t>
  </si>
  <si>
    <t>בגדתיך</t>
  </si>
  <si>
    <t>בגרונם</t>
  </si>
  <si>
    <t>בדבר</t>
  </si>
  <si>
    <t>בדמעות</t>
  </si>
  <si>
    <t>בדרכך</t>
  </si>
  <si>
    <t>בדרכיו</t>
  </si>
  <si>
    <t>בהיותם</t>
  </si>
  <si>
    <t>בהיותו</t>
  </si>
  <si>
    <t>בזמרות</t>
  </si>
  <si>
    <t>בזרוע</t>
  </si>
  <si>
    <t>בטננו</t>
  </si>
  <si>
    <t>בידיהם</t>
  </si>
  <si>
    <t>ביהוסף</t>
  </si>
  <si>
    <t>ביהודה</t>
  </si>
  <si>
    <t>ביון</t>
  </si>
  <si>
    <t>בימינך</t>
  </si>
  <si>
    <t>בימי</t>
  </si>
  <si>
    <t>בינה</t>
  </si>
  <si>
    <t>בינו</t>
  </si>
  <si>
    <t>ביקר</t>
  </si>
  <si>
    <t>בירקרק</t>
  </si>
  <si>
    <t>בישועה</t>
  </si>
  <si>
    <t>בישועתי</t>
  </si>
  <si>
    <t>בישועתך</t>
  </si>
  <si>
    <t>בישועתו</t>
  </si>
  <si>
    <t>בכיי</t>
  </si>
  <si>
    <t>בכתוב</t>
  </si>
  <si>
    <t>בלבבי</t>
  </si>
  <si>
    <t>בלבבם</t>
  </si>
  <si>
    <t>בלבבו</t>
  </si>
  <si>
    <t>בלענוהו</t>
  </si>
  <si>
    <t>במגלת</t>
  </si>
  <si>
    <t>במגורם</t>
  </si>
  <si>
    <t>במזמות</t>
  </si>
  <si>
    <t>במחיריהם</t>
  </si>
  <si>
    <t>במעון</t>
  </si>
  <si>
    <t>במצולה</t>
  </si>
  <si>
    <t>במקום</t>
  </si>
  <si>
    <t>בנאות</t>
  </si>
  <si>
    <t>בנגינת</t>
  </si>
  <si>
    <t>בנגינות</t>
  </si>
  <si>
    <t>בנדבה</t>
  </si>
  <si>
    <t>בנימן</t>
  </si>
  <si>
    <t>בנעוריהם</t>
  </si>
  <si>
    <t>בנתיב</t>
  </si>
  <si>
    <t>בסבך</t>
  </si>
  <si>
    <t>בפרח</t>
  </si>
  <si>
    <t>בצדקה</t>
  </si>
  <si>
    <t>בקשו</t>
  </si>
  <si>
    <t>ברביבים</t>
  </si>
  <si>
    <t>ברחבתינו</t>
  </si>
  <si>
    <t>ברכי</t>
  </si>
  <si>
    <t>ברננה</t>
  </si>
  <si>
    <t>ברעדה</t>
  </si>
  <si>
    <t>ברצון</t>
  </si>
  <si>
    <t>ברצונו</t>
  </si>
  <si>
    <t>ברקיע</t>
  </si>
  <si>
    <t>בשאול</t>
  </si>
  <si>
    <t>בשלח</t>
  </si>
  <si>
    <t>בשלמיו</t>
  </si>
  <si>
    <t>בשמו</t>
  </si>
  <si>
    <t>בשרירות</t>
  </si>
  <si>
    <t>בשפתי</t>
  </si>
  <si>
    <t>בשפתיו</t>
  </si>
  <si>
    <t>בשרתי</t>
  </si>
  <si>
    <t>בתבונה</t>
  </si>
  <si>
    <t>בתהלה</t>
  </si>
  <si>
    <t>בתפלת</t>
  </si>
  <si>
    <t>בתרועה</t>
  </si>
  <si>
    <t>בין</t>
  </si>
  <si>
    <t>ביתי</t>
  </si>
  <si>
    <t>ביתה</t>
  </si>
  <si>
    <t>ביתו</t>
  </si>
  <si>
    <t>ברך</t>
  </si>
  <si>
    <t>ברכך</t>
  </si>
  <si>
    <t>ברכנוכם</t>
  </si>
  <si>
    <t>באחז</t>
  </si>
  <si>
    <t>באמת</t>
  </si>
  <si>
    <t>באמר</t>
  </si>
  <si>
    <t>באמנתך</t>
  </si>
  <si>
    <t>בהדר</t>
  </si>
  <si>
    <t>בהרים</t>
  </si>
  <si>
    <t>בכי</t>
  </si>
  <si>
    <t>בעמל</t>
  </si>
  <si>
    <t>בענן</t>
  </si>
  <si>
    <t>בצע</t>
  </si>
  <si>
    <t>באנחה</t>
  </si>
  <si>
    <t>באשמיו</t>
  </si>
  <si>
    <t>בגלגל</t>
  </si>
  <si>
    <t>בהגיגי</t>
  </si>
  <si>
    <t>בהוללים</t>
  </si>
  <si>
    <t>בחלקות</t>
  </si>
  <si>
    <t>בחלותם</t>
  </si>
  <si>
    <t>בחמתך</t>
  </si>
  <si>
    <t>בחצריך</t>
  </si>
  <si>
    <t>בחצצרות</t>
  </si>
  <si>
    <t>בחשכה</t>
  </si>
  <si>
    <t>בחיים</t>
  </si>
  <si>
    <t>בחשך</t>
  </si>
  <si>
    <t>בחוץ</t>
  </si>
  <si>
    <t>בחורים</t>
  </si>
  <si>
    <t>בימים</t>
  </si>
  <si>
    <t>בכסה</t>
  </si>
  <si>
    <t>בכח</t>
  </si>
  <si>
    <t>בכושרות</t>
  </si>
  <si>
    <t>בלאמים</t>
  </si>
  <si>
    <t>בלבנון</t>
  </si>
  <si>
    <t>בלילות</t>
  </si>
  <si>
    <t>בלהות</t>
  </si>
  <si>
    <t>בלילה</t>
  </si>
  <si>
    <t>בלתי</t>
  </si>
  <si>
    <t>במרעים</t>
  </si>
  <si>
    <t>במרומים</t>
  </si>
  <si>
    <t>במסתר</t>
  </si>
  <si>
    <t>במה</t>
  </si>
  <si>
    <t>במחנה</t>
  </si>
  <si>
    <t>במות</t>
  </si>
  <si>
    <t>במרום</t>
  </si>
  <si>
    <t>בנתה</t>
  </si>
  <si>
    <t>בנחלים</t>
  </si>
  <si>
    <t>בנעמים</t>
  </si>
  <si>
    <t>בנהר</t>
  </si>
  <si>
    <t>בסך</t>
  </si>
  <si>
    <t>בעבדיו</t>
  </si>
  <si>
    <t>בעבתים</t>
  </si>
  <si>
    <t>בעבורם</t>
  </si>
  <si>
    <t>בעדי</t>
  </si>
  <si>
    <t>בעדני</t>
  </si>
  <si>
    <t>בעדת</t>
  </si>
  <si>
    <t>בעדתם</t>
  </si>
  <si>
    <t>בעדו</t>
  </si>
  <si>
    <t>בעוני</t>
  </si>
  <si>
    <t>בעטף</t>
  </si>
  <si>
    <t>בעליל</t>
  </si>
  <si>
    <t>בעצת</t>
  </si>
  <si>
    <t>בעצמי</t>
  </si>
  <si>
    <t>בעצתך</t>
  </si>
  <si>
    <t>בעצומיו</t>
  </si>
  <si>
    <t>בפרץ</t>
  </si>
  <si>
    <t>בציה</t>
  </si>
  <si>
    <t>בצר</t>
  </si>
  <si>
    <t>בקש</t>
  </si>
  <si>
    <t>בקמים</t>
  </si>
  <si>
    <t>בתהמות</t>
  </si>
  <si>
    <t>באלילים</t>
  </si>
  <si>
    <t>באניות</t>
  </si>
  <si>
    <t>באבן</t>
  </si>
  <si>
    <t>באתנו</t>
  </si>
  <si>
    <t>באדם</t>
  </si>
  <si>
    <t>באה</t>
  </si>
  <si>
    <t>באפל</t>
  </si>
  <si>
    <t>באנו</t>
  </si>
  <si>
    <t>בבל</t>
  </si>
  <si>
    <t>בחר</t>
  </si>
  <si>
    <t>בכינו</t>
  </si>
  <si>
    <t>בלו</t>
  </si>
  <si>
    <t>במתי</t>
  </si>
  <si>
    <t>בנינו</t>
  </si>
  <si>
    <t>בערבות</t>
  </si>
  <si>
    <t>בערו</t>
  </si>
  <si>
    <t>בערב</t>
  </si>
  <si>
    <t>בקע</t>
  </si>
  <si>
    <t>ברכו</t>
  </si>
  <si>
    <t>ברד</t>
  </si>
  <si>
    <t>ברה</t>
  </si>
  <si>
    <t>ברק</t>
  </si>
  <si>
    <t>ברוך</t>
  </si>
  <si>
    <t>בשתם</t>
  </si>
  <si>
    <t>בתימו</t>
  </si>
  <si>
    <t>בערים</t>
  </si>
  <si>
    <t>בו</t>
  </si>
  <si>
    <t>בונה</t>
  </si>
  <si>
    <t>בור</t>
  </si>
  <si>
    <t>בוטח</t>
  </si>
  <si>
    <t>בושו</t>
  </si>
  <si>
    <t>גאלה</t>
  </si>
  <si>
    <t>גדריה</t>
  </si>
  <si>
    <t>גדלות</t>
  </si>
  <si>
    <t>גויות</t>
  </si>
  <si>
    <t>גלעד</t>
  </si>
  <si>
    <t>גאים</t>
  </si>
  <si>
    <t>גר</t>
  </si>
  <si>
    <t>גבר</t>
  </si>
  <si>
    <t>גאוה</t>
  </si>
  <si>
    <t>גליו</t>
  </si>
  <si>
    <t>גם</t>
  </si>
  <si>
    <t>גנב</t>
  </si>
  <si>
    <t>גדל</t>
  </si>
  <si>
    <t>גדול</t>
  </si>
  <si>
    <t>גזלתי</t>
  </si>
  <si>
    <t>גמל</t>
  </si>
  <si>
    <t>גמר</t>
  </si>
  <si>
    <t>גחי</t>
  </si>
  <si>
    <t>גאלם</t>
  </si>
  <si>
    <t>גאון</t>
  </si>
  <si>
    <t>גאולי</t>
  </si>
  <si>
    <t>גבה</t>
  </si>
  <si>
    <t>גבעות</t>
  </si>
  <si>
    <t>גבול</t>
  </si>
  <si>
    <t>גבולך</t>
  </si>
  <si>
    <t>גבולם</t>
  </si>
  <si>
    <t>גבולות</t>
  </si>
  <si>
    <t>גבורה</t>
  </si>
  <si>
    <t>גבורתך</t>
  </si>
  <si>
    <t>גבורתו</t>
  </si>
  <si>
    <t>גבורות</t>
  </si>
  <si>
    <t>גדלים</t>
  </si>
  <si>
    <t>גדלתי</t>
  </si>
  <si>
    <t>גדוד</t>
  </si>
  <si>
    <t>גדודיה</t>
  </si>
  <si>
    <t>גמול</t>
  </si>
  <si>
    <t>גמולך</t>
  </si>
  <si>
    <t>גמוליו</t>
  </si>
  <si>
    <t>גמולם</t>
  </si>
  <si>
    <t>גרוני</t>
  </si>
  <si>
    <t>גרונם</t>
  </si>
  <si>
    <t>גברי</t>
  </si>
  <si>
    <t>גבור</t>
  </si>
  <si>
    <t>גדע</t>
  </si>
  <si>
    <t>גלה</t>
  </si>
  <si>
    <t>גשמיהם</t>
  </si>
  <si>
    <t>גאות</t>
  </si>
  <si>
    <t>גז</t>
  </si>
  <si>
    <t>גרים</t>
  </si>
  <si>
    <t>גחלים</t>
  </si>
  <si>
    <t>גפן</t>
  </si>
  <si>
    <t>גשם</t>
  </si>
  <si>
    <t>גבננים</t>
  </si>
  <si>
    <t>גדלו</t>
  </si>
  <si>
    <t>גל</t>
  </si>
  <si>
    <t>גליהם</t>
  </si>
  <si>
    <t>גע</t>
  </si>
  <si>
    <t>גערתך</t>
  </si>
  <si>
    <t>גפנם</t>
  </si>
  <si>
    <t>גאלת</t>
  </si>
  <si>
    <t>גברו</t>
  </si>
  <si>
    <t>גדר</t>
  </si>
  <si>
    <t>גדלת</t>
  </si>
  <si>
    <t>גלמי</t>
  </si>
  <si>
    <t>גמלתי</t>
  </si>
  <si>
    <t>גערת</t>
  </si>
  <si>
    <t>גרסה</t>
  </si>
  <si>
    <t>גוי</t>
  </si>
  <si>
    <t>גוים</t>
  </si>
  <si>
    <t>גויך</t>
  </si>
  <si>
    <t>גול</t>
  </si>
  <si>
    <t>גורלי</t>
  </si>
  <si>
    <t>גוזי</t>
  </si>
  <si>
    <t>גורל</t>
  </si>
  <si>
    <t>דברך</t>
  </si>
  <si>
    <t>דבריו</t>
  </si>
  <si>
    <t>דברו</t>
  </si>
  <si>
    <t>דחיתני</t>
  </si>
  <si>
    <t>דרשתיך</t>
  </si>
  <si>
    <t>דרכי</t>
  </si>
  <si>
    <t>דרכיו</t>
  </si>
  <si>
    <t>דכאת</t>
  </si>
  <si>
    <t>דכיתנו</t>
  </si>
  <si>
    <t>דליתני</t>
  </si>
  <si>
    <t>דמעתי</t>
  </si>
  <si>
    <t>דרך</t>
  </si>
  <si>
    <t>דל</t>
  </si>
  <si>
    <t>דלונו</t>
  </si>
  <si>
    <t>דלותי</t>
  </si>
  <si>
    <t>דעת</t>
  </si>
  <si>
    <t>דרכם</t>
  </si>
  <si>
    <t>דוד</t>
  </si>
  <si>
    <t>דמים</t>
  </si>
  <si>
    <t>דמם</t>
  </si>
  <si>
    <t>דמו</t>
  </si>
  <si>
    <t>דר</t>
  </si>
  <si>
    <t>דרשיך</t>
  </si>
  <si>
    <t>דרש</t>
  </si>
  <si>
    <t>דמיה</t>
  </si>
  <si>
    <t>דביר</t>
  </si>
  <si>
    <t>דבר</t>
  </si>
  <si>
    <t>דבש</t>
  </si>
  <si>
    <t>דברים</t>
  </si>
  <si>
    <t>דברי</t>
  </si>
  <si>
    <t>דגנם</t>
  </si>
  <si>
    <t>דגתם</t>
  </si>
  <si>
    <t>דוי</t>
  </si>
  <si>
    <t>דעו</t>
  </si>
  <si>
    <t>דרכיך</t>
  </si>
  <si>
    <t>דרושים</t>
  </si>
  <si>
    <t>דשנים</t>
  </si>
  <si>
    <t>דברתי</t>
  </si>
  <si>
    <t>דברת</t>
  </si>
  <si>
    <t>דבת</t>
  </si>
  <si>
    <t>דין</t>
  </si>
  <si>
    <t>דכית</t>
  </si>
  <si>
    <t>דכא</t>
  </si>
  <si>
    <t>דמינו</t>
  </si>
  <si>
    <t>דמעה</t>
  </si>
  <si>
    <t>דמית</t>
  </si>
  <si>
    <t>דרשו</t>
  </si>
  <si>
    <t>דשני</t>
  </si>
  <si>
    <t>דשנת</t>
  </si>
  <si>
    <t>דעה</t>
  </si>
  <si>
    <t>דשא</t>
  </si>
  <si>
    <t>דחה</t>
  </si>
  <si>
    <t>דך</t>
  </si>
  <si>
    <t>דלתות</t>
  </si>
  <si>
    <t>דם</t>
  </si>
  <si>
    <t>דרכך</t>
  </si>
  <si>
    <t>דרכו</t>
  </si>
  <si>
    <t>דבקה</t>
  </si>
  <si>
    <t>דבקתי</t>
  </si>
  <si>
    <t>דכים</t>
  </si>
  <si>
    <t>דלפה</t>
  </si>
  <si>
    <t>דמה</t>
  </si>
  <si>
    <t>דרשתי</t>
  </si>
  <si>
    <t>דשן</t>
  </si>
  <si>
    <t>דתן</t>
  </si>
  <si>
    <t>דחו</t>
  </si>
  <si>
    <t>דעכו</t>
  </si>
  <si>
    <t>דפי</t>
  </si>
  <si>
    <t>דרשיו</t>
  </si>
  <si>
    <t>דואג</t>
  </si>
  <si>
    <t>דוחה</t>
  </si>
  <si>
    <t>דום</t>
  </si>
  <si>
    <t>דומי</t>
  </si>
  <si>
    <t>דונג</t>
  </si>
  <si>
    <t>דור</t>
  </si>
  <si>
    <t>דורים</t>
  </si>
  <si>
    <t>דורש</t>
  </si>
  <si>
    <t>דומיה</t>
  </si>
  <si>
    <t>דוברי</t>
  </si>
  <si>
    <t>דומה</t>
  </si>
  <si>
    <t>הבישות</t>
  </si>
  <si>
    <t>הבשתה</t>
  </si>
  <si>
    <t>היה</t>
  </si>
  <si>
    <t>היות</t>
  </si>
  <si>
    <t>הקיצתי</t>
  </si>
  <si>
    <t>הקיצותי</t>
  </si>
  <si>
    <t>השיבות</t>
  </si>
  <si>
    <t>הבינני</t>
  </si>
  <si>
    <t>הבאתנו</t>
  </si>
  <si>
    <t>הגיגי</t>
  </si>
  <si>
    <t>הגם</t>
  </si>
  <si>
    <t>הדם</t>
  </si>
  <si>
    <t>היש</t>
  </si>
  <si>
    <t>היגיד</t>
  </si>
  <si>
    <t>היסר</t>
  </si>
  <si>
    <t>היודך</t>
  </si>
  <si>
    <t>היוכל</t>
  </si>
  <si>
    <t>הכינות</t>
  </si>
  <si>
    <t>הליכות</t>
  </si>
  <si>
    <t>הליכותיך</t>
  </si>
  <si>
    <t>הלא</t>
  </si>
  <si>
    <t>הלם</t>
  </si>
  <si>
    <t>הלוא</t>
  </si>
  <si>
    <t>הניעמו</t>
  </si>
  <si>
    <t>הנטע</t>
  </si>
  <si>
    <t>הסירותי</t>
  </si>
  <si>
    <t>הרימותי</t>
  </si>
  <si>
    <t>הרס</t>
  </si>
  <si>
    <t>השיבנו</t>
  </si>
  <si>
    <t>השכח</t>
  </si>
  <si>
    <t>הבאישו</t>
  </si>
  <si>
    <t>הביט</t>
  </si>
  <si>
    <t>הביטו</t>
  </si>
  <si>
    <t>הגדיל</t>
  </si>
  <si>
    <t>הגדילו</t>
  </si>
  <si>
    <t>הגדלת</t>
  </si>
  <si>
    <t>הגיד</t>
  </si>
  <si>
    <t>הגידו</t>
  </si>
  <si>
    <t>הגיון</t>
  </si>
  <si>
    <t>הוסרו</t>
  </si>
  <si>
    <t>הטה</t>
  </si>
  <si>
    <t>היא</t>
  </si>
  <si>
    <t>הכית</t>
  </si>
  <si>
    <t>הכה</t>
  </si>
  <si>
    <t>הלל</t>
  </si>
  <si>
    <t>הללנו</t>
  </si>
  <si>
    <t>הלכתי</t>
  </si>
  <si>
    <t>המרו</t>
  </si>
  <si>
    <t>הניח</t>
  </si>
  <si>
    <t>הנה</t>
  </si>
  <si>
    <t>הנך</t>
  </si>
  <si>
    <t>הנחם</t>
  </si>
  <si>
    <t>הנשא</t>
  </si>
  <si>
    <t>הסגרתני</t>
  </si>
  <si>
    <t>הסכנתה</t>
  </si>
  <si>
    <t>הסתיר</t>
  </si>
  <si>
    <t>הסתרת</t>
  </si>
  <si>
    <t>הסתופף</t>
  </si>
  <si>
    <t>הפליא</t>
  </si>
  <si>
    <t>הפלה</t>
  </si>
  <si>
    <t>הפלתם</t>
  </si>
  <si>
    <t>הצמתה</t>
  </si>
  <si>
    <t>הציל</t>
  </si>
  <si>
    <t>הצילני</t>
  </si>
  <si>
    <t>הצבת</t>
  </si>
  <si>
    <t>הצלת</t>
  </si>
  <si>
    <t>הקשיב</t>
  </si>
  <si>
    <t>הקיפוני</t>
  </si>
  <si>
    <t>הראיתני</t>
  </si>
  <si>
    <t>הראיתה</t>
  </si>
  <si>
    <t>הרחיבו</t>
  </si>
  <si>
    <t>הרחיק</t>
  </si>
  <si>
    <t>הרחבת</t>
  </si>
  <si>
    <t>הרכבת</t>
  </si>
  <si>
    <t>הרעים</t>
  </si>
  <si>
    <t>הרעשתה</t>
  </si>
  <si>
    <t>הרשענו</t>
  </si>
  <si>
    <t>השגיח</t>
  </si>
  <si>
    <t>השחיתו</t>
  </si>
  <si>
    <t>השמידו</t>
  </si>
  <si>
    <t>השמעת</t>
  </si>
  <si>
    <t>השקיף</t>
  </si>
  <si>
    <t>השקיתנו</t>
  </si>
  <si>
    <t>השתחוו</t>
  </si>
  <si>
    <t>השביע</t>
  </si>
  <si>
    <t>השגו</t>
  </si>
  <si>
    <t>השכילו</t>
  </si>
  <si>
    <t>השיגוני</t>
  </si>
  <si>
    <t>התאזר</t>
  </si>
  <si>
    <t>התהללו</t>
  </si>
  <si>
    <t>התהלכתי</t>
  </si>
  <si>
    <t>התעיבו</t>
  </si>
  <si>
    <t>התרעעי</t>
  </si>
  <si>
    <t>האירו</t>
  </si>
  <si>
    <t>היטיבה</t>
  </si>
  <si>
    <t>היכלי</t>
  </si>
  <si>
    <t>היכל</t>
  </si>
  <si>
    <t>היכלך</t>
  </si>
  <si>
    <t>הכין</t>
  </si>
  <si>
    <t>הכינו</t>
  </si>
  <si>
    <t>הם</t>
  </si>
  <si>
    <t>המה</t>
  </si>
  <si>
    <t>הן</t>
  </si>
  <si>
    <t>הניא</t>
  </si>
  <si>
    <t>הסיר</t>
  </si>
  <si>
    <t>הפיר</t>
  </si>
  <si>
    <t>הרע</t>
  </si>
  <si>
    <t>השמו</t>
  </si>
  <si>
    <t>האכלתם</t>
  </si>
  <si>
    <t>האמינו</t>
  </si>
  <si>
    <t>האמנתי</t>
  </si>
  <si>
    <t>האח</t>
  </si>
  <si>
    <t>האפס</t>
  </si>
  <si>
    <t>הבל</t>
  </si>
  <si>
    <t>ההרים</t>
  </si>
  <si>
    <t>החליק</t>
  </si>
  <si>
    <t>החרשתי</t>
  </si>
  <si>
    <t>החשיתי</t>
  </si>
  <si>
    <t>החפץ</t>
  </si>
  <si>
    <t>העוינו</t>
  </si>
  <si>
    <t>העלית</t>
  </si>
  <si>
    <t>העמדת</t>
  </si>
  <si>
    <t>העמדתה</t>
  </si>
  <si>
    <t>הראם</t>
  </si>
  <si>
    <t>הרב</t>
  </si>
  <si>
    <t>הרף</t>
  </si>
  <si>
    <t>האזינה</t>
  </si>
  <si>
    <t>האזינו</t>
  </si>
  <si>
    <t>האשימם</t>
  </si>
  <si>
    <t>האמנם</t>
  </si>
  <si>
    <t>האוכל</t>
  </si>
  <si>
    <t>הבלי</t>
  </si>
  <si>
    <t>הביטה</t>
  </si>
  <si>
    <t>הבט</t>
  </si>
  <si>
    <t>הבית</t>
  </si>
  <si>
    <t>הבא</t>
  </si>
  <si>
    <t>הבכא</t>
  </si>
  <si>
    <t>הבנים</t>
  </si>
  <si>
    <t>הבשן</t>
  </si>
  <si>
    <t>הבטחים</t>
  </si>
  <si>
    <t>הבוגדים</t>
  </si>
  <si>
    <t>הבונים</t>
  </si>
  <si>
    <t>הגבהים</t>
  </si>
  <si>
    <t>הגדלים</t>
  </si>
  <si>
    <t>הגבור</t>
  </si>
  <si>
    <t>הגתית</t>
  </si>
  <si>
    <t>הגבר</t>
  </si>
  <si>
    <t>הגואל</t>
  </si>
  <si>
    <t>הגוי</t>
  </si>
  <si>
    <t>הגוים</t>
  </si>
  <si>
    <t>הדריכני</t>
  </si>
  <si>
    <t>הדחויה</t>
  </si>
  <si>
    <t>הדיחמו</t>
  </si>
  <si>
    <t>הדברות</t>
  </si>
  <si>
    <t>הדור</t>
  </si>
  <si>
    <t>ההלכים</t>
  </si>
  <si>
    <t>ההפכי</t>
  </si>
  <si>
    <t>ההוא</t>
  </si>
  <si>
    <t>הוות</t>
  </si>
  <si>
    <t>הזיפים</t>
  </si>
  <si>
    <t>הזאת</t>
  </si>
  <si>
    <t>החזק</t>
  </si>
  <si>
    <t>החיים</t>
  </si>
  <si>
    <t>החיה</t>
  </si>
  <si>
    <t>החסים</t>
  </si>
  <si>
    <t>הט</t>
  </si>
  <si>
    <t>הטוב</t>
  </si>
  <si>
    <t>הטו</t>
  </si>
  <si>
    <t>היחברך</t>
  </si>
  <si>
    <t>היסוד</t>
  </si>
  <si>
    <t>הישר</t>
  </si>
  <si>
    <t>הישועה</t>
  </si>
  <si>
    <t>הירדן</t>
  </si>
  <si>
    <t>היון</t>
  </si>
  <si>
    <t>הים</t>
  </si>
  <si>
    <t>הירח</t>
  </si>
  <si>
    <t>היצר</t>
  </si>
  <si>
    <t>היום</t>
  </si>
  <si>
    <t>הכפירים</t>
  </si>
  <si>
    <t>הכרובים</t>
  </si>
  <si>
    <t>הכבוד</t>
  </si>
  <si>
    <t>הכל</t>
  </si>
  <si>
    <t>הללי</t>
  </si>
  <si>
    <t>הללו</t>
  </si>
  <si>
    <t>הללוהו</t>
  </si>
  <si>
    <t>הללויה</t>
  </si>
  <si>
    <t>הלעולם</t>
  </si>
  <si>
    <t>הלעולמים</t>
  </si>
  <si>
    <t>הלבנון</t>
  </si>
  <si>
    <t>הלוי</t>
  </si>
  <si>
    <t>הלילה</t>
  </si>
  <si>
    <t>המאזרני</t>
  </si>
  <si>
    <t>המבשרות</t>
  </si>
  <si>
    <t>המהלך</t>
  </si>
  <si>
    <t>המיחלים</t>
  </si>
  <si>
    <t>המכסה</t>
  </si>
  <si>
    <t>המלמד</t>
  </si>
  <si>
    <t>המעד</t>
  </si>
  <si>
    <t>המעטרכי</t>
  </si>
  <si>
    <t>המקרה</t>
  </si>
  <si>
    <t>המשלח</t>
  </si>
  <si>
    <t>המלוכה</t>
  </si>
  <si>
    <t>המזבח</t>
  </si>
  <si>
    <t>המתהללים</t>
  </si>
  <si>
    <t>המבין</t>
  </si>
  <si>
    <t>המכין</t>
  </si>
  <si>
    <t>המצר</t>
  </si>
  <si>
    <t>המתים</t>
  </si>
  <si>
    <t>המלך</t>
  </si>
  <si>
    <t>המגביהי</t>
  </si>
  <si>
    <t>המגדילים</t>
  </si>
  <si>
    <t>המגפה</t>
  </si>
  <si>
    <t>המעלך</t>
  </si>
  <si>
    <t>המצמיח</t>
  </si>
  <si>
    <t>המשפילי</t>
  </si>
  <si>
    <t>המשביע</t>
  </si>
  <si>
    <t>המותה</t>
  </si>
  <si>
    <t>המות</t>
  </si>
  <si>
    <t>המים</t>
  </si>
  <si>
    <t>הנחילות</t>
  </si>
  <si>
    <t>הנשמה</t>
  </si>
  <si>
    <t>הנשבע</t>
  </si>
  <si>
    <t>הנבל</t>
  </si>
  <si>
    <t>הנחמדים</t>
  </si>
  <si>
    <t>הנביא</t>
  </si>
  <si>
    <t>הנתן</t>
  </si>
  <si>
    <t>הנותן</t>
  </si>
  <si>
    <t>הסתר</t>
  </si>
  <si>
    <t>הסלע</t>
  </si>
  <si>
    <t>הסלח</t>
  </si>
  <si>
    <t>הסוררים</t>
  </si>
  <si>
    <t>הסוס</t>
  </si>
  <si>
    <t>העבר</t>
  </si>
  <si>
    <t>הפקד</t>
  </si>
  <si>
    <t>הפוצה</t>
  </si>
  <si>
    <t>הצדיקו</t>
  </si>
  <si>
    <t>הצליחה</t>
  </si>
  <si>
    <t>הצמיתם</t>
  </si>
  <si>
    <t>הצילה</t>
  </si>
  <si>
    <t>הצילו</t>
  </si>
  <si>
    <t>הצאן</t>
  </si>
  <si>
    <t>הצור</t>
  </si>
  <si>
    <t>הקשיבה</t>
  </si>
  <si>
    <t>הקטנים</t>
  </si>
  <si>
    <t>הר</t>
  </si>
  <si>
    <t>הראנו</t>
  </si>
  <si>
    <t>הרחב</t>
  </si>
  <si>
    <t>הרכם</t>
  </si>
  <si>
    <t>הרנינו</t>
  </si>
  <si>
    <t>הרפו</t>
  </si>
  <si>
    <t>השלך</t>
  </si>
  <si>
    <t>השמיעני</t>
  </si>
  <si>
    <t>השדודה</t>
  </si>
  <si>
    <t>השמינית</t>
  </si>
  <si>
    <t>השירה</t>
  </si>
  <si>
    <t>השמש</t>
  </si>
  <si>
    <t>השבת</t>
  </si>
  <si>
    <t>השחר</t>
  </si>
  <si>
    <t>השער</t>
  </si>
  <si>
    <t>השחת</t>
  </si>
  <si>
    <t>השמים</t>
  </si>
  <si>
    <t>השפוך</t>
  </si>
  <si>
    <t>השתות</t>
  </si>
  <si>
    <t>השגים</t>
  </si>
  <si>
    <t>השלח</t>
  </si>
  <si>
    <t>השמרים</t>
  </si>
  <si>
    <t>השמר</t>
  </si>
  <si>
    <t>השדה</t>
  </si>
  <si>
    <t>השם</t>
  </si>
  <si>
    <t>השרים</t>
  </si>
  <si>
    <t>האלהים</t>
  </si>
  <si>
    <t>האמרי</t>
  </si>
  <si>
    <t>האדמי</t>
  </si>
  <si>
    <t>האדנים</t>
  </si>
  <si>
    <t>האירה</t>
  </si>
  <si>
    <t>האיש</t>
  </si>
  <si>
    <t>האל</t>
  </si>
  <si>
    <t>האר</t>
  </si>
  <si>
    <t>האזרחי</t>
  </si>
  <si>
    <t>האדם</t>
  </si>
  <si>
    <t>הארץ</t>
  </si>
  <si>
    <t>האמרים</t>
  </si>
  <si>
    <t>האמים</t>
  </si>
  <si>
    <t>האויב</t>
  </si>
  <si>
    <t>הבין</t>
  </si>
  <si>
    <t>הבה</t>
  </si>
  <si>
    <t>הבו</t>
  </si>
  <si>
    <t>הגיתי</t>
  </si>
  <si>
    <t>הדר</t>
  </si>
  <si>
    <t>ההר</t>
  </si>
  <si>
    <t>היתה</t>
  </si>
  <si>
    <t>היינו</t>
  </si>
  <si>
    <t>הייתי</t>
  </si>
  <si>
    <t>היית</t>
  </si>
  <si>
    <t>היו</t>
  </si>
  <si>
    <t>הלך</t>
  </si>
  <si>
    <t>הלכו</t>
  </si>
  <si>
    <t>המון</t>
  </si>
  <si>
    <t>המו</t>
  </si>
  <si>
    <t>הסר</t>
  </si>
  <si>
    <t>העירה</t>
  </si>
  <si>
    <t>העמים</t>
  </si>
  <si>
    <t>העם</t>
  </si>
  <si>
    <t>העולם</t>
  </si>
  <si>
    <t>הפכו</t>
  </si>
  <si>
    <t>הפך</t>
  </si>
  <si>
    <t>הפכת</t>
  </si>
  <si>
    <t>הקיצה</t>
  </si>
  <si>
    <t>הרשעים</t>
  </si>
  <si>
    <t>הרים</t>
  </si>
  <si>
    <t>הרימה</t>
  </si>
  <si>
    <t>הריעו</t>
  </si>
  <si>
    <t>הרקיע</t>
  </si>
  <si>
    <t>הרשע</t>
  </si>
  <si>
    <t>הרפא</t>
  </si>
  <si>
    <t>הרודד</t>
  </si>
  <si>
    <t>השלכתי</t>
  </si>
  <si>
    <t>השיבה</t>
  </si>
  <si>
    <t>השב</t>
  </si>
  <si>
    <t>השע</t>
  </si>
  <si>
    <t>הדו</t>
  </si>
  <si>
    <t>הרגנו</t>
  </si>
  <si>
    <t>הובשת</t>
  </si>
  <si>
    <t>הוד</t>
  </si>
  <si>
    <t>הודך</t>
  </si>
  <si>
    <t>הודינו</t>
  </si>
  <si>
    <t>הודיעני</t>
  </si>
  <si>
    <t>הודיע</t>
  </si>
  <si>
    <t>הודיעו</t>
  </si>
  <si>
    <t>הודעת</t>
  </si>
  <si>
    <t>הודו</t>
  </si>
  <si>
    <t>הוחילי</t>
  </si>
  <si>
    <t>הוחלתי</t>
  </si>
  <si>
    <t>הוללים</t>
  </si>
  <si>
    <t>הולך</t>
  </si>
  <si>
    <t>הון</t>
  </si>
  <si>
    <t>הופיע</t>
  </si>
  <si>
    <t>הופיעה</t>
  </si>
  <si>
    <t>הוציאני</t>
  </si>
  <si>
    <t>הוציאה</t>
  </si>
  <si>
    <t>הורד</t>
  </si>
  <si>
    <t>הורני</t>
  </si>
  <si>
    <t>הורשת</t>
  </si>
  <si>
    <t>הושיבני</t>
  </si>
  <si>
    <t>הושיעני</t>
  </si>
  <si>
    <t>הושיע</t>
  </si>
  <si>
    <t>הושיעה</t>
  </si>
  <si>
    <t>הושיעו</t>
  </si>
  <si>
    <t>הושעתנו</t>
  </si>
  <si>
    <t>הותר</t>
  </si>
  <si>
    <t>הוא</t>
  </si>
  <si>
    <t>הוצק</t>
  </si>
  <si>
    <t>ואיים</t>
  </si>
  <si>
    <t>ואיש</t>
  </si>
  <si>
    <t>ואם</t>
  </si>
  <si>
    <t>ואמי</t>
  </si>
  <si>
    <t>ואשתו</t>
  </si>
  <si>
    <t>ואימות</t>
  </si>
  <si>
    <t>ואין</t>
  </si>
  <si>
    <t>ואינמו</t>
  </si>
  <si>
    <t>ואינני</t>
  </si>
  <si>
    <t>ואיננו</t>
  </si>
  <si>
    <t>ואלה</t>
  </si>
  <si>
    <t>ואראה</t>
  </si>
  <si>
    <t>ואש</t>
  </si>
  <si>
    <t>ואביון</t>
  </si>
  <si>
    <t>ואברותיה</t>
  </si>
  <si>
    <t>ואהמה</t>
  </si>
  <si>
    <t>ואהמיה</t>
  </si>
  <si>
    <t>ואזבחה</t>
  </si>
  <si>
    <t>ואטהר</t>
  </si>
  <si>
    <t>ואל</t>
  </si>
  <si>
    <t>ואסתר</t>
  </si>
  <si>
    <t>ואענהו</t>
  </si>
  <si>
    <t>ואעלצה</t>
  </si>
  <si>
    <t>ואערכה</t>
  </si>
  <si>
    <t>ואפרים</t>
  </si>
  <si>
    <t>ואצעקה</t>
  </si>
  <si>
    <t>ואצרנה</t>
  </si>
  <si>
    <t>ואצרה</t>
  </si>
  <si>
    <t>ואשחקם</t>
  </si>
  <si>
    <t>ואשכנה</t>
  </si>
  <si>
    <t>ואשמרנה</t>
  </si>
  <si>
    <t>ואשמרה</t>
  </si>
  <si>
    <t>ואשפכה</t>
  </si>
  <si>
    <t>ואשמחה</t>
  </si>
  <si>
    <t>ואשא</t>
  </si>
  <si>
    <t>ואת</t>
  </si>
  <si>
    <t>ואתנה</t>
  </si>
  <si>
    <t>ואבליגה</t>
  </si>
  <si>
    <t>ואביטה</t>
  </si>
  <si>
    <t>ואדירי</t>
  </si>
  <si>
    <t>ואהרן</t>
  </si>
  <si>
    <t>ואחריהם</t>
  </si>
  <si>
    <t>ואחריו</t>
  </si>
  <si>
    <t>ואחר</t>
  </si>
  <si>
    <t>ואלמנה</t>
  </si>
  <si>
    <t>ואנחתי</t>
  </si>
  <si>
    <t>ואנשי</t>
  </si>
  <si>
    <t>ואף</t>
  </si>
  <si>
    <t>ואציעה</t>
  </si>
  <si>
    <t>ואראהו</t>
  </si>
  <si>
    <t>וארצנו</t>
  </si>
  <si>
    <t>ואשמותי</t>
  </si>
  <si>
    <t>ואתה</t>
  </si>
  <si>
    <t>ואבד</t>
  </si>
  <si>
    <t>ואדם</t>
  </si>
  <si>
    <t>ואהימה</t>
  </si>
  <si>
    <t>ואון</t>
  </si>
  <si>
    <t>ואזניו</t>
  </si>
  <si>
    <t>ואמרו</t>
  </si>
  <si>
    <t>ואמן</t>
  </si>
  <si>
    <t>ואנה</t>
  </si>
  <si>
    <t>ואנכי</t>
  </si>
  <si>
    <t>ואעידה</t>
  </si>
  <si>
    <t>וארוה</t>
  </si>
  <si>
    <t>ואשיחה</t>
  </si>
  <si>
    <t>ואהב</t>
  </si>
  <si>
    <t>ואיבי</t>
  </si>
  <si>
    <t>ואיבינו</t>
  </si>
  <si>
    <t>ואיביו</t>
  </si>
  <si>
    <t>ואשר</t>
  </si>
  <si>
    <t>ואודה</t>
  </si>
  <si>
    <t>ואודך</t>
  </si>
  <si>
    <t>ואור</t>
  </si>
  <si>
    <t>ואורך</t>
  </si>
  <si>
    <t>וגבור</t>
  </si>
  <si>
    <t>וגיל</t>
  </si>
  <si>
    <t>וגילו</t>
  </si>
  <si>
    <t>וגר</t>
  </si>
  <si>
    <t>וגחלי</t>
  </si>
  <si>
    <t>וגליך</t>
  </si>
  <si>
    <t>וגם</t>
  </si>
  <si>
    <t>וגבה</t>
  </si>
  <si>
    <t>וגפרית</t>
  </si>
  <si>
    <t>וגרים</t>
  </si>
  <si>
    <t>וגאלי</t>
  </si>
  <si>
    <t>וגורו</t>
  </si>
  <si>
    <t>ודברי</t>
  </si>
  <si>
    <t>ודבר</t>
  </si>
  <si>
    <t>ודיני</t>
  </si>
  <si>
    <t>ודרך</t>
  </si>
  <si>
    <t>ודין</t>
  </si>
  <si>
    <t>ודלתי</t>
  </si>
  <si>
    <t>ודם</t>
  </si>
  <si>
    <t>ודע</t>
  </si>
  <si>
    <t>ודרכו</t>
  </si>
  <si>
    <t>ודרשו</t>
  </si>
  <si>
    <t>ודרשי</t>
  </si>
  <si>
    <t>והנשאו</t>
  </si>
  <si>
    <t>והשתחוי</t>
  </si>
  <si>
    <t>והשתחוו</t>
  </si>
  <si>
    <t>והתבוננת</t>
  </si>
  <si>
    <t>והתהלכתי</t>
  </si>
  <si>
    <t>והתחולל</t>
  </si>
  <si>
    <t>והתעיבו</t>
  </si>
  <si>
    <t>והתענגו</t>
  </si>
  <si>
    <t>והתענג</t>
  </si>
  <si>
    <t>והתפרדו</t>
  </si>
  <si>
    <t>והם</t>
  </si>
  <si>
    <t>והמה</t>
  </si>
  <si>
    <t>והגיון</t>
  </si>
  <si>
    <t>והחרשתי</t>
  </si>
  <si>
    <t>והעביר</t>
  </si>
  <si>
    <t>והאבדת</t>
  </si>
  <si>
    <t>והאזין</t>
  </si>
  <si>
    <t>והבט</t>
  </si>
  <si>
    <t>והבוטח</t>
  </si>
  <si>
    <t>והדברים</t>
  </si>
  <si>
    <t>והטי</t>
  </si>
  <si>
    <t>והמלך</t>
  </si>
  <si>
    <t>והמים</t>
  </si>
  <si>
    <t>והצילני</t>
  </si>
  <si>
    <t>והצילנו</t>
  </si>
  <si>
    <t>והרנינו</t>
  </si>
  <si>
    <t>והשמיעו</t>
  </si>
  <si>
    <t>והאר</t>
  </si>
  <si>
    <t>והארץ</t>
  </si>
  <si>
    <t>והגיתי</t>
  </si>
  <si>
    <t>והגות</t>
  </si>
  <si>
    <t>והדר</t>
  </si>
  <si>
    <t>והיה</t>
  </si>
  <si>
    <t>והפר</t>
  </si>
  <si>
    <t>והקיצה</t>
  </si>
  <si>
    <t>והרק</t>
  </si>
  <si>
    <t>והרג</t>
  </si>
  <si>
    <t>והרע</t>
  </si>
  <si>
    <t>והרה</t>
  </si>
  <si>
    <t>והשב</t>
  </si>
  <si>
    <t>והודו</t>
  </si>
  <si>
    <t>והוספתי</t>
  </si>
  <si>
    <t>והוציא</t>
  </si>
  <si>
    <t>והורידמו</t>
  </si>
  <si>
    <t>והושיעני</t>
  </si>
  <si>
    <t>והוא</t>
  </si>
  <si>
    <t>וזיז</t>
  </si>
  <si>
    <t>וזמרת</t>
  </si>
  <si>
    <t>וזה</t>
  </si>
  <si>
    <t>וזרע</t>
  </si>
  <si>
    <t>וזמרו</t>
  </si>
  <si>
    <t>וזרעם</t>
  </si>
  <si>
    <t>וזרעו</t>
  </si>
  <si>
    <t>וזהב</t>
  </si>
  <si>
    <t>וחצים</t>
  </si>
  <si>
    <t>וחילו</t>
  </si>
  <si>
    <t>וחלדי</t>
  </si>
  <si>
    <t>וחלקי</t>
  </si>
  <si>
    <t>וחסד</t>
  </si>
  <si>
    <t>וחרמון</t>
  </si>
  <si>
    <t>וחרמונים</t>
  </si>
  <si>
    <t>וחרפה</t>
  </si>
  <si>
    <t>וחרפות</t>
  </si>
  <si>
    <t>וחרב</t>
  </si>
  <si>
    <t>וחטאת</t>
  </si>
  <si>
    <t>וחטאים</t>
  </si>
  <si>
    <t>וחטאתי</t>
  </si>
  <si>
    <t>וחנון</t>
  </si>
  <si>
    <t>וחסדי</t>
  </si>
  <si>
    <t>וחסדו</t>
  </si>
  <si>
    <t>וחרבי</t>
  </si>
  <si>
    <t>וחדל</t>
  </si>
  <si>
    <t>וחנני</t>
  </si>
  <si>
    <t>וחסה</t>
  </si>
  <si>
    <t>וחק</t>
  </si>
  <si>
    <t>וחרק</t>
  </si>
  <si>
    <t>וחקתיו</t>
  </si>
  <si>
    <t>וחומץ</t>
  </si>
  <si>
    <t>ויבטחו</t>
  </si>
  <si>
    <t>ויבהלו</t>
  </si>
  <si>
    <t>ויזבחו</t>
  </si>
  <si>
    <t>וייראו</t>
  </si>
  <si>
    <t>ויכלמו</t>
  </si>
  <si>
    <t>ויכוננו</t>
  </si>
  <si>
    <t>וילכדו</t>
  </si>
  <si>
    <t>וימלא</t>
  </si>
  <si>
    <t>ויסחך</t>
  </si>
  <si>
    <t>ויראו</t>
  </si>
  <si>
    <t>וירמס</t>
  </si>
  <si>
    <t>וירפאם</t>
  </si>
  <si>
    <t>וישכנו</t>
  </si>
  <si>
    <t>וישעי</t>
  </si>
  <si>
    <t>וישתחוו</t>
  </si>
  <si>
    <t>וישבעו</t>
  </si>
  <si>
    <t>וישמחו</t>
  </si>
  <si>
    <t>וישראל</t>
  </si>
  <si>
    <t>ויתאו</t>
  </si>
  <si>
    <t>ויתברכו</t>
  </si>
  <si>
    <t>ויתהללו</t>
  </si>
  <si>
    <t>ויתפלל</t>
  </si>
  <si>
    <t>ויתן</t>
  </si>
  <si>
    <t>וידעו</t>
  </si>
  <si>
    <t>וייקר</t>
  </si>
  <si>
    <t>ויקר</t>
  </si>
  <si>
    <t>וירד</t>
  </si>
  <si>
    <t>ויש</t>
  </si>
  <si>
    <t>וילק</t>
  </si>
  <si>
    <t>ויעשנו</t>
  </si>
  <si>
    <t>וישעך</t>
  </si>
  <si>
    <t>ויאמץ</t>
  </si>
  <si>
    <t>ויבשת</t>
  </si>
  <si>
    <t>ויגידו</t>
  </si>
  <si>
    <t>ויד</t>
  </si>
  <si>
    <t>ויחפרו</t>
  </si>
  <si>
    <t>ויחרגו</t>
  </si>
  <si>
    <t>ויין</t>
  </si>
  <si>
    <t>ויכרת</t>
  </si>
  <si>
    <t>וימסם</t>
  </si>
  <si>
    <t>ויעלצו</t>
  </si>
  <si>
    <t>ויעטו</t>
  </si>
  <si>
    <t>ויענם</t>
  </si>
  <si>
    <t>ויעקב</t>
  </si>
  <si>
    <t>וישג</t>
  </si>
  <si>
    <t>ויבא</t>
  </si>
  <si>
    <t>ויבזו</t>
  </si>
  <si>
    <t>ויבוא</t>
  </si>
  <si>
    <t>ויגון</t>
  </si>
  <si>
    <t>וילד</t>
  </si>
  <si>
    <t>וים</t>
  </si>
  <si>
    <t>וימין</t>
  </si>
  <si>
    <t>וינוסו</t>
  </si>
  <si>
    <t>וינועו</t>
  </si>
  <si>
    <t>ויציצו</t>
  </si>
  <si>
    <t>וירח</t>
  </si>
  <si>
    <t>וירום</t>
  </si>
  <si>
    <t>וישירו</t>
  </si>
  <si>
    <t>וישר</t>
  </si>
  <si>
    <t>וישבו</t>
  </si>
  <si>
    <t>וישובו</t>
  </si>
  <si>
    <t>וישימו</t>
  </si>
  <si>
    <t>וישישו</t>
  </si>
  <si>
    <t>וישם</t>
  </si>
  <si>
    <t>ויתום</t>
  </si>
  <si>
    <t>ויאבדו</t>
  </si>
  <si>
    <t>ויאמרו</t>
  </si>
  <si>
    <t>ויאמר</t>
  </si>
  <si>
    <t>וינקים</t>
  </si>
  <si>
    <t>וישבי</t>
  </si>
  <si>
    <t>וישב</t>
  </si>
  <si>
    <t>ויודך</t>
  </si>
  <si>
    <t>ויודו</t>
  </si>
  <si>
    <t>ויוכיחני</t>
  </si>
  <si>
    <t>ויוסף</t>
  </si>
  <si>
    <t>ויושיעני</t>
  </si>
  <si>
    <t>וככפיר</t>
  </si>
  <si>
    <t>וכליותי</t>
  </si>
  <si>
    <t>וכנור</t>
  </si>
  <si>
    <t>וכסאו</t>
  </si>
  <si>
    <t>וכילפת</t>
  </si>
  <si>
    <t>וכנה</t>
  </si>
  <si>
    <t>וכפר</t>
  </si>
  <si>
    <t>וכשמן</t>
  </si>
  <si>
    <t>וכתותי</t>
  </si>
  <si>
    <t>וכבוד</t>
  </si>
  <si>
    <t>וכל</t>
  </si>
  <si>
    <t>וכליל</t>
  </si>
  <si>
    <t>וכעס</t>
  </si>
  <si>
    <t>וכוכבים</t>
  </si>
  <si>
    <t>וכוסי</t>
  </si>
  <si>
    <t>ולבי</t>
  </si>
  <si>
    <t>ולי</t>
  </si>
  <si>
    <t>ולנביאי</t>
  </si>
  <si>
    <t>ולפני</t>
  </si>
  <si>
    <t>ולצמאי</t>
  </si>
  <si>
    <t>ולקדוש</t>
  </si>
  <si>
    <t>ולשלומים</t>
  </si>
  <si>
    <t>ולשכני</t>
  </si>
  <si>
    <t>ולב</t>
  </si>
  <si>
    <t>וליי</t>
  </si>
  <si>
    <t>ולחם</t>
  </si>
  <si>
    <t>ולבקר</t>
  </si>
  <si>
    <t>ולחצנו</t>
  </si>
  <si>
    <t>ולילה</t>
  </si>
  <si>
    <t>ולמנחמים</t>
  </si>
  <si>
    <t>ולמדני</t>
  </si>
  <si>
    <t>ולמות</t>
  </si>
  <si>
    <t>ולעבדתו</t>
  </si>
  <si>
    <t>ולעפר</t>
  </si>
  <si>
    <t>ולרשעים</t>
  </si>
  <si>
    <t>ולרשע</t>
  </si>
  <si>
    <t>ולא</t>
  </si>
  <si>
    <t>ולו</t>
  </si>
  <si>
    <t>ונבראו</t>
  </si>
  <si>
    <t>ונדכיתי</t>
  </si>
  <si>
    <t>ונדכה</t>
  </si>
  <si>
    <t>ונושעה</t>
  </si>
  <si>
    <t>ונחתה</t>
  </si>
  <si>
    <t>ונכאה</t>
  </si>
  <si>
    <t>ונכבדיהם</t>
  </si>
  <si>
    <t>ונכרעה</t>
  </si>
  <si>
    <t>ונלאה</t>
  </si>
  <si>
    <t>ונמלטו</t>
  </si>
  <si>
    <t>ונמשלתי</t>
  </si>
  <si>
    <t>ונער</t>
  </si>
  <si>
    <t>ונפלאותיו</t>
  </si>
  <si>
    <t>ונפץ</t>
  </si>
  <si>
    <t>ונקיתי</t>
  </si>
  <si>
    <t>ונשמחה</t>
  </si>
  <si>
    <t>ונאספו</t>
  </si>
  <si>
    <t>ונגע</t>
  </si>
  <si>
    <t>ונעזרתי</t>
  </si>
  <si>
    <t>ונפש</t>
  </si>
  <si>
    <t>ונחלי</t>
  </si>
  <si>
    <t>ונחלתך</t>
  </si>
  <si>
    <t>ונחלתם</t>
  </si>
  <si>
    <t>ונחלתו</t>
  </si>
  <si>
    <t>ונחל</t>
  </si>
  <si>
    <t>ונסני</t>
  </si>
  <si>
    <t>ונפשי</t>
  </si>
  <si>
    <t>ונפשו</t>
  </si>
  <si>
    <t>ונפשות</t>
  </si>
  <si>
    <t>ונשליכה</t>
  </si>
  <si>
    <t>ונשאם</t>
  </si>
  <si>
    <t>ונהרו</t>
  </si>
  <si>
    <t>ונכרי</t>
  </si>
  <si>
    <t>ונמס</t>
  </si>
  <si>
    <t>ונפל</t>
  </si>
  <si>
    <t>ונפלו</t>
  </si>
  <si>
    <t>ונתן</t>
  </si>
  <si>
    <t>ונפת</t>
  </si>
  <si>
    <t>ונקם</t>
  </si>
  <si>
    <t>ונוע</t>
  </si>
  <si>
    <t>ונורא</t>
  </si>
  <si>
    <t>ונותן</t>
  </si>
  <si>
    <t>וסלחת</t>
  </si>
  <si>
    <t>וסחרה</t>
  </si>
  <si>
    <t>וסומך</t>
  </si>
  <si>
    <t>ועלזו</t>
  </si>
  <si>
    <t>ועם</t>
  </si>
  <si>
    <t>ועמך</t>
  </si>
  <si>
    <t>ועקבותיך</t>
  </si>
  <si>
    <t>ועדה</t>
  </si>
  <si>
    <t>ועדתיו</t>
  </si>
  <si>
    <t>ועינים</t>
  </si>
  <si>
    <t>ועמק</t>
  </si>
  <si>
    <t>ועשב</t>
  </si>
  <si>
    <t>ועליון</t>
  </si>
  <si>
    <t>ועבדך</t>
  </si>
  <si>
    <t>ועד</t>
  </si>
  <si>
    <t>ועל</t>
  </si>
  <si>
    <t>ועמים</t>
  </si>
  <si>
    <t>וענותך</t>
  </si>
  <si>
    <t>וענוה</t>
  </si>
  <si>
    <t>ועתה</t>
  </si>
  <si>
    <t>ועזבו</t>
  </si>
  <si>
    <t>ועיף</t>
  </si>
  <si>
    <t>ועלהו</t>
  </si>
  <si>
    <t>ועליו</t>
  </si>
  <si>
    <t>ועמל</t>
  </si>
  <si>
    <t>ועני</t>
  </si>
  <si>
    <t>וענני</t>
  </si>
  <si>
    <t>וערים</t>
  </si>
  <si>
    <t>ועריצים</t>
  </si>
  <si>
    <t>ועז</t>
  </si>
  <si>
    <t>ועשה</t>
  </si>
  <si>
    <t>ועזו</t>
  </si>
  <si>
    <t>ועוד</t>
  </si>
  <si>
    <t>ועודי</t>
  </si>
  <si>
    <t>ועולתך</t>
  </si>
  <si>
    <t>ועולתיך</t>
  </si>
  <si>
    <t>ועוגב</t>
  </si>
  <si>
    <t>וצדקתך</t>
  </si>
  <si>
    <t>וצדקתו</t>
  </si>
  <si>
    <t>וצנה</t>
  </si>
  <si>
    <t>וצפור</t>
  </si>
  <si>
    <t>וצדק</t>
  </si>
  <si>
    <t>וצדיק</t>
  </si>
  <si>
    <t>וצדיקים</t>
  </si>
  <si>
    <t>וצלמות</t>
  </si>
  <si>
    <t>וצהרים</t>
  </si>
  <si>
    <t>וצאן</t>
  </si>
  <si>
    <t>וצור</t>
  </si>
  <si>
    <t>וצורם</t>
  </si>
  <si>
    <t>וקיטור</t>
  </si>
  <si>
    <t>וקצץ</t>
  </si>
  <si>
    <t>וקרב</t>
  </si>
  <si>
    <t>וקרן</t>
  </si>
  <si>
    <t>וקוה</t>
  </si>
  <si>
    <t>וקשתותם</t>
  </si>
  <si>
    <t>וקרוב</t>
  </si>
  <si>
    <t>וקוי</t>
  </si>
  <si>
    <t>וקול</t>
  </si>
  <si>
    <t>וקומי</t>
  </si>
  <si>
    <t>וקומה</t>
  </si>
  <si>
    <t>ורבעי</t>
  </si>
  <si>
    <t>וריב</t>
  </si>
  <si>
    <t>ורשתו</t>
  </si>
  <si>
    <t>ורעי</t>
  </si>
  <si>
    <t>ורכב</t>
  </si>
  <si>
    <t>ורב</t>
  </si>
  <si>
    <t>ורבו</t>
  </si>
  <si>
    <t>ורגלי</t>
  </si>
  <si>
    <t>ורחמים</t>
  </si>
  <si>
    <t>ורחום</t>
  </si>
  <si>
    <t>ורננו</t>
  </si>
  <si>
    <t>ורעננים</t>
  </si>
  <si>
    <t>וראו</t>
  </si>
  <si>
    <t>ורדפהו</t>
  </si>
  <si>
    <t>ורם</t>
  </si>
  <si>
    <t>ורעבו</t>
  </si>
  <si>
    <t>ורעה</t>
  </si>
  <si>
    <t>ורעות</t>
  </si>
  <si>
    <t>ורשע</t>
  </si>
  <si>
    <t>ורוזנים</t>
  </si>
  <si>
    <t>ורומם</t>
  </si>
  <si>
    <t>ורוח</t>
  </si>
  <si>
    <t>ושאלו</t>
  </si>
  <si>
    <t>ושבלת</t>
  </si>
  <si>
    <t>ושכחי</t>
  </si>
  <si>
    <t>ושלמת</t>
  </si>
  <si>
    <t>ושמך</t>
  </si>
  <si>
    <t>ושרשך</t>
  </si>
  <si>
    <t>ושבתי</t>
  </si>
  <si>
    <t>ושועתי</t>
  </si>
  <si>
    <t>ושלוי</t>
  </si>
  <si>
    <t>ושלמו</t>
  </si>
  <si>
    <t>ושלם</t>
  </si>
  <si>
    <t>ושוא</t>
  </si>
  <si>
    <t>ושלום</t>
  </si>
  <si>
    <t>ושמעו</t>
  </si>
  <si>
    <t>ושמים</t>
  </si>
  <si>
    <t>ושפל</t>
  </si>
  <si>
    <t>ושקטה</t>
  </si>
  <si>
    <t>ושרים</t>
  </si>
  <si>
    <t>ושאג</t>
  </si>
  <si>
    <t>ושחד</t>
  </si>
  <si>
    <t>ושמרי</t>
  </si>
  <si>
    <t>ושמחה</t>
  </si>
  <si>
    <t>ושנאת</t>
  </si>
  <si>
    <t>ושנאה</t>
  </si>
  <si>
    <t>ושפתי</t>
  </si>
  <si>
    <t>ושרין</t>
  </si>
  <si>
    <t>ושיבה</t>
  </si>
  <si>
    <t>ושמתי</t>
  </si>
  <si>
    <t>ושא</t>
  </si>
  <si>
    <t>ושטי</t>
  </si>
  <si>
    <t>ושטן</t>
  </si>
  <si>
    <t>ושם</t>
  </si>
  <si>
    <t>ותסב</t>
  </si>
  <si>
    <t>ותפשוהו</t>
  </si>
  <si>
    <t>ותתעטף</t>
  </si>
  <si>
    <t>ותרד</t>
  </si>
  <si>
    <t>ותחת</t>
  </si>
  <si>
    <t>ותנין</t>
  </si>
  <si>
    <t>ותסך</t>
  </si>
  <si>
    <t>ותאבדו</t>
  </si>
  <si>
    <t>ותאחזני</t>
  </si>
  <si>
    <t>ותאכלם</t>
  </si>
  <si>
    <t>ותודה</t>
  </si>
  <si>
    <t>ותוכחתי</t>
  </si>
  <si>
    <t>ותוללינו</t>
  </si>
  <si>
    <t>ותועפות</t>
  </si>
  <si>
    <t>ותורך</t>
  </si>
  <si>
    <t>ותורה</t>
  </si>
  <si>
    <t>ותורתך</t>
  </si>
  <si>
    <t>ותושיעני</t>
  </si>
  <si>
    <t>ויברכנו</t>
  </si>
  <si>
    <t>וידברו</t>
  </si>
  <si>
    <t>וידכא</t>
  </si>
  <si>
    <t>ויהי</t>
  </si>
  <si>
    <t>ויזמרו</t>
  </si>
  <si>
    <t>ויחי</t>
  </si>
  <si>
    <t>ויחיהו</t>
  </si>
  <si>
    <t>וילמד</t>
  </si>
  <si>
    <t>וימינך</t>
  </si>
  <si>
    <t>וימינם</t>
  </si>
  <si>
    <t>וימלט</t>
  </si>
  <si>
    <t>ויספרו</t>
  </si>
  <si>
    <t>ויסובבו</t>
  </si>
  <si>
    <t>ויפח</t>
  </si>
  <si>
    <t>וירננו</t>
  </si>
  <si>
    <t>וירממוהו</t>
  </si>
  <si>
    <t>וישועה</t>
  </si>
  <si>
    <t>וישועתי</t>
  </si>
  <si>
    <t>ויתומים</t>
  </si>
  <si>
    <t>ואלהים</t>
  </si>
  <si>
    <t>ואלהינו</t>
  </si>
  <si>
    <t>ואמת</t>
  </si>
  <si>
    <t>ואמונתך</t>
  </si>
  <si>
    <t>ואמונתו</t>
  </si>
  <si>
    <t>ואמונתי</t>
  </si>
  <si>
    <t>ועזוזו</t>
  </si>
  <si>
    <t>ואבותינו</t>
  </si>
  <si>
    <t>ואדברה</t>
  </si>
  <si>
    <t>ואדנינו</t>
  </si>
  <si>
    <t>ואהלות</t>
  </si>
  <si>
    <t>ואזמרה</t>
  </si>
  <si>
    <t>ואחזתך</t>
  </si>
  <si>
    <t>ואכבדהו</t>
  </si>
  <si>
    <t>ואמתך</t>
  </si>
  <si>
    <t>ואמתו</t>
  </si>
  <si>
    <t>ואמלאהו</t>
  </si>
  <si>
    <t>ואני</t>
  </si>
  <si>
    <t>ואנחנו</t>
  </si>
  <si>
    <t>ואספרה</t>
  </si>
  <si>
    <t>ואספר</t>
  </si>
  <si>
    <t>ואפלטהו</t>
  </si>
  <si>
    <t>ואצפה</t>
  </si>
  <si>
    <t>ואקוה</t>
  </si>
  <si>
    <t>וארשת</t>
  </si>
  <si>
    <t>וארנן</t>
  </si>
  <si>
    <t>ואשלמה</t>
  </si>
  <si>
    <t>והדרך</t>
  </si>
  <si>
    <t>והמון</t>
  </si>
  <si>
    <t>והקימני</t>
  </si>
  <si>
    <t>וחבלים</t>
  </si>
  <si>
    <t>וחטאה</t>
  </si>
  <si>
    <t>וחלקלקות</t>
  </si>
  <si>
    <t>וחסדיך</t>
  </si>
  <si>
    <t>וחרון</t>
  </si>
  <si>
    <t>ויבטא</t>
  </si>
  <si>
    <t>ויגרשהו</t>
  </si>
  <si>
    <t>ויהמם</t>
  </si>
  <si>
    <t>ויחלצם</t>
  </si>
  <si>
    <t>ויחפש</t>
  </si>
  <si>
    <t>ויכסו</t>
  </si>
  <si>
    <t>וינהג</t>
  </si>
  <si>
    <t>וינסו</t>
  </si>
  <si>
    <t>וינקשו</t>
  </si>
  <si>
    <t>ויפיצם</t>
  </si>
  <si>
    <t>ויפלל</t>
  </si>
  <si>
    <t>ויפתחהו</t>
  </si>
  <si>
    <t>ויצו</t>
  </si>
  <si>
    <t>ויקנאו</t>
  </si>
  <si>
    <t>וישבר</t>
  </si>
  <si>
    <t>וישלח</t>
  </si>
  <si>
    <t>ויבטח</t>
  </si>
  <si>
    <t>ויגאלם</t>
  </si>
  <si>
    <t>ויגער</t>
  </si>
  <si>
    <t>ויגלו</t>
  </si>
  <si>
    <t>ויזעקו</t>
  </si>
  <si>
    <t>וילבש</t>
  </si>
  <si>
    <t>וילחמוני</t>
  </si>
  <si>
    <t>וימאסו</t>
  </si>
  <si>
    <t>ויפרקנו</t>
  </si>
  <si>
    <t>ויפל</t>
  </si>
  <si>
    <t>ויצעקו</t>
  </si>
  <si>
    <t>ויצמדו</t>
  </si>
  <si>
    <t>ויקרא</t>
  </si>
  <si>
    <t>וירדף</t>
  </si>
  <si>
    <t>וירדו</t>
  </si>
  <si>
    <t>וירכב</t>
  </si>
  <si>
    <t>וישכחו</t>
  </si>
  <si>
    <t>וישמרו</t>
  </si>
  <si>
    <t>וישמע</t>
  </si>
  <si>
    <t>וישא</t>
  </si>
  <si>
    <t>ויתאוו</t>
  </si>
  <si>
    <t>ויתגעשו</t>
  </si>
  <si>
    <t>ויתהלכו</t>
  </si>
  <si>
    <t>ויתעבר</t>
  </si>
  <si>
    <t>ויתנו</t>
  </si>
  <si>
    <t>ויבשו</t>
  </si>
  <si>
    <t>וידא</t>
  </si>
  <si>
    <t>ויט</t>
  </si>
  <si>
    <t>וילך</t>
  </si>
  <si>
    <t>וירע</t>
  </si>
  <si>
    <t>וירגנו</t>
  </si>
  <si>
    <t>ויאהב</t>
  </si>
  <si>
    <t>ויחרב</t>
  </si>
  <si>
    <t>ויחשו</t>
  </si>
  <si>
    <t>ויחשף</t>
  </si>
  <si>
    <t>ויפר</t>
  </si>
  <si>
    <t>ויאכילהו</t>
  </si>
  <si>
    <t>ויאמינו</t>
  </si>
  <si>
    <t>ויגיעו</t>
  </si>
  <si>
    <t>ויגד</t>
  </si>
  <si>
    <t>ויגר</t>
  </si>
  <si>
    <t>וידבר</t>
  </si>
  <si>
    <t>וידריכם</t>
  </si>
  <si>
    <t>ויהרג</t>
  </si>
  <si>
    <t>ויחפרהו</t>
  </si>
  <si>
    <t>ויחשך</t>
  </si>
  <si>
    <t>ויך</t>
  </si>
  <si>
    <t>ויכנע</t>
  </si>
  <si>
    <t>ויכעיסו</t>
  </si>
  <si>
    <t>ויכשילוהו</t>
  </si>
  <si>
    <t>וימטר</t>
  </si>
  <si>
    <t>וימרו</t>
  </si>
  <si>
    <t>וינחם</t>
  </si>
  <si>
    <t>ויעבירם</t>
  </si>
  <si>
    <t>ויעלני</t>
  </si>
  <si>
    <t>ויעלז</t>
  </si>
  <si>
    <t>ויעמידם</t>
  </si>
  <si>
    <t>ויעמידה</t>
  </si>
  <si>
    <t>ויעמד</t>
  </si>
  <si>
    <t>ויענני</t>
  </si>
  <si>
    <t>ויעצמהו</t>
  </si>
  <si>
    <t>ויצב</t>
  </si>
  <si>
    <t>ויקציפו</t>
  </si>
  <si>
    <t>וירחיבו</t>
  </si>
  <si>
    <t>וירעם</t>
  </si>
  <si>
    <t>וירקידם</t>
  </si>
  <si>
    <t>וישק</t>
  </si>
  <si>
    <t>ויתירהו</t>
  </si>
  <si>
    <t>ויאר</t>
  </si>
  <si>
    <t>ויגל</t>
  </si>
  <si>
    <t>ויזובו</t>
  </si>
  <si>
    <t>וילינו</t>
  </si>
  <si>
    <t>וימירו</t>
  </si>
  <si>
    <t>וימת</t>
  </si>
  <si>
    <t>וינס</t>
  </si>
  <si>
    <t>ויעף</t>
  </si>
  <si>
    <t>ויקם</t>
  </si>
  <si>
    <t>וירם</t>
  </si>
  <si>
    <t>ויאכלו</t>
  </si>
  <si>
    <t>ויוכח</t>
  </si>
  <si>
    <t>ויוליכם</t>
  </si>
  <si>
    <t>ויוסיפו</t>
  </si>
  <si>
    <t>ויוצא</t>
  </si>
  <si>
    <t>ויוציאני</t>
  </si>
  <si>
    <t>ויורד</t>
  </si>
  <si>
    <t>ויושיעם</t>
  </si>
  <si>
    <t>ונפרש</t>
  </si>
  <si>
    <t>ונתעודד</t>
  </si>
  <si>
    <t>ונדעם</t>
  </si>
  <si>
    <t>ועוני</t>
  </si>
  <si>
    <t>ועזב</t>
  </si>
  <si>
    <t>ועלי</t>
  </si>
  <si>
    <t>ועמלי</t>
  </si>
  <si>
    <t>ועמקים</t>
  </si>
  <si>
    <t>וענייך</t>
  </si>
  <si>
    <t>וענוים</t>
  </si>
  <si>
    <t>וענפיה</t>
  </si>
  <si>
    <t>ועצת</t>
  </si>
  <si>
    <t>ועצמי</t>
  </si>
  <si>
    <t>וערפל</t>
  </si>
  <si>
    <t>ותאזרני</t>
  </si>
  <si>
    <t>ותבואהו</t>
  </si>
  <si>
    <t>ותהי</t>
  </si>
  <si>
    <t>ותחסרהו</t>
  </si>
  <si>
    <t>ותחשבהו</t>
  </si>
  <si>
    <t>ותכס</t>
  </si>
  <si>
    <t>ותכסני</t>
  </si>
  <si>
    <t>ותמלא</t>
  </si>
  <si>
    <t>ותפלטמו</t>
  </si>
  <si>
    <t>ותרומם</t>
  </si>
  <si>
    <t>ותשלחם</t>
  </si>
  <si>
    <t>ותשקקה</t>
  </si>
  <si>
    <t>ותבלע</t>
  </si>
  <si>
    <t>ותבער</t>
  </si>
  <si>
    <t>ותגעש</t>
  </si>
  <si>
    <t>ותטעם</t>
  </si>
  <si>
    <t>ותטעה</t>
  </si>
  <si>
    <t>ותנחת</t>
  </si>
  <si>
    <t>ותפרץ</t>
  </si>
  <si>
    <t>ותרחק</t>
  </si>
  <si>
    <t>ותרעש</t>
  </si>
  <si>
    <t>ותרפאני</t>
  </si>
  <si>
    <t>ותרץ</t>
  </si>
  <si>
    <t>ותשמח</t>
  </si>
  <si>
    <t>ותשנא</t>
  </si>
  <si>
    <t>ותשא</t>
  </si>
  <si>
    <t>ותתן</t>
  </si>
  <si>
    <t>ותדע</t>
  </si>
  <si>
    <t>ותדעהו</t>
  </si>
  <si>
    <t>ותחשב</t>
  </si>
  <si>
    <t>ותט</t>
  </si>
  <si>
    <t>ותעצר</t>
  </si>
  <si>
    <t>ותהמי</t>
  </si>
  <si>
    <t>ותמס</t>
  </si>
  <si>
    <t>ותבט</t>
  </si>
  <si>
    <t>ותכלימנו</t>
  </si>
  <si>
    <t>ותענני</t>
  </si>
  <si>
    <t>ותציבני</t>
  </si>
  <si>
    <t>ותשלך</t>
  </si>
  <si>
    <t>ותשקמו</t>
  </si>
  <si>
    <t>ותשרש</t>
  </si>
  <si>
    <t>ותבא</t>
  </si>
  <si>
    <t>ותגלנה</t>
  </si>
  <si>
    <t>ותחל</t>
  </si>
  <si>
    <t>ותרם</t>
  </si>
  <si>
    <t>ותשת</t>
  </si>
  <si>
    <t>ותאמר</t>
  </si>
  <si>
    <t>ותוציאנו</t>
  </si>
  <si>
    <t>ואהי</t>
  </si>
  <si>
    <t>ואחלצך</t>
  </si>
  <si>
    <t>ואחלצה</t>
  </si>
  <si>
    <t>ואחשבה</t>
  </si>
  <si>
    <t>ואשלחהו</t>
  </si>
  <si>
    <t>ואישנה</t>
  </si>
  <si>
    <t>ואבכה</t>
  </si>
  <si>
    <t>וארחץ</t>
  </si>
  <si>
    <t>ואשתמר</t>
  </si>
  <si>
    <t>ואנושה</t>
  </si>
  <si>
    <t>וארץ</t>
  </si>
  <si>
    <t>ואמר</t>
  </si>
  <si>
    <t>ובער</t>
  </si>
  <si>
    <t>ובקר</t>
  </si>
  <si>
    <t>ובוז</t>
  </si>
  <si>
    <t>ודשן</t>
  </si>
  <si>
    <t>ודך</t>
  </si>
  <si>
    <t>ודר</t>
  </si>
  <si>
    <t>ודור</t>
  </si>
  <si>
    <t>וחרף</t>
  </si>
  <si>
    <t>וסוס</t>
  </si>
  <si>
    <t>וערב</t>
  </si>
  <si>
    <t>ועשר</t>
  </si>
  <si>
    <t>ופתן</t>
  </si>
  <si>
    <t>וקדם</t>
  </si>
  <si>
    <t>וקלס</t>
  </si>
  <si>
    <t>ורסן</t>
  </si>
  <si>
    <t>ורעד</t>
  </si>
  <si>
    <t>ורע</t>
  </si>
  <si>
    <t>ורש</t>
  </si>
  <si>
    <t>ושמש</t>
  </si>
  <si>
    <t>ותך</t>
  </si>
  <si>
    <t>ובאף</t>
  </si>
  <si>
    <t>ובאיבי</t>
  </si>
  <si>
    <t>ובגזל</t>
  </si>
  <si>
    <t>ובדרך</t>
  </si>
  <si>
    <t>ובהיכלו</t>
  </si>
  <si>
    <t>ובהמה</t>
  </si>
  <si>
    <t>ובזוי</t>
  </si>
  <si>
    <t>ובחטא</t>
  </si>
  <si>
    <t>ובחסד</t>
  </si>
  <si>
    <t>ובחסדך</t>
  </si>
  <si>
    <t>ובטח</t>
  </si>
  <si>
    <t>ובימי</t>
  </si>
  <si>
    <t>ובכל</t>
  </si>
  <si>
    <t>ובמוט</t>
  </si>
  <si>
    <t>ובמושב</t>
  </si>
  <si>
    <t>ובני</t>
  </si>
  <si>
    <t>ובסתם</t>
  </si>
  <si>
    <t>ובצדקתך</t>
  </si>
  <si>
    <t>ובצל</t>
  </si>
  <si>
    <t>ובצלעי</t>
  </si>
  <si>
    <t>ובקרבם</t>
  </si>
  <si>
    <t>ובריחי</t>
  </si>
  <si>
    <t>ובריתי</t>
  </si>
  <si>
    <t>ובריתו</t>
  </si>
  <si>
    <t>וברעתם</t>
  </si>
  <si>
    <t>וברקים</t>
  </si>
  <si>
    <t>וברב</t>
  </si>
  <si>
    <t>וברוח</t>
  </si>
  <si>
    <t>ובשמך</t>
  </si>
  <si>
    <t>ובשם</t>
  </si>
  <si>
    <t>ובשועו</t>
  </si>
  <si>
    <t>ובשרי</t>
  </si>
  <si>
    <t>ובתוך</t>
  </si>
  <si>
    <t>ובתורתו</t>
  </si>
  <si>
    <t>ובגבורתך</t>
  </si>
  <si>
    <t>ובזרוע</t>
  </si>
  <si>
    <t>ובטני</t>
  </si>
  <si>
    <t>ובישועתך</t>
  </si>
  <si>
    <t>ובנימן</t>
  </si>
  <si>
    <t>ובקצה</t>
  </si>
  <si>
    <t>וברצנך</t>
  </si>
  <si>
    <t>ובשמי</t>
  </si>
  <si>
    <t>ובתקוממיך</t>
  </si>
  <si>
    <t>ובית</t>
  </si>
  <si>
    <t>ובן</t>
  </si>
  <si>
    <t>ובגוים</t>
  </si>
  <si>
    <t>ובחמתך</t>
  </si>
  <si>
    <t>ובחרונו</t>
  </si>
  <si>
    <t>ובל</t>
  </si>
  <si>
    <t>ובלילה</t>
  </si>
  <si>
    <t>ובמים</t>
  </si>
  <si>
    <t>ובנהרות</t>
  </si>
  <si>
    <t>ובעלילותיך</t>
  </si>
  <si>
    <t>ובר</t>
  </si>
  <si>
    <t>וברזל</t>
  </si>
  <si>
    <t>ובת</t>
  </si>
  <si>
    <t>ובארץ</t>
  </si>
  <si>
    <t>ובבל</t>
  </si>
  <si>
    <t>ובניתי</t>
  </si>
  <si>
    <t>ובריא</t>
  </si>
  <si>
    <t>וברך</t>
  </si>
  <si>
    <t>וברד</t>
  </si>
  <si>
    <t>וברוך</t>
  </si>
  <si>
    <t>ובשתי</t>
  </si>
  <si>
    <t>ובצע</t>
  </si>
  <si>
    <t>ובקע</t>
  </si>
  <si>
    <t>ובשת</t>
  </si>
  <si>
    <t>ובו</t>
  </si>
  <si>
    <t>וגבעות</t>
  </si>
  <si>
    <t>ודגן</t>
  </si>
  <si>
    <t>ודעו</t>
  </si>
  <si>
    <t>ודרור</t>
  </si>
  <si>
    <t>וזקניו</t>
  </si>
  <si>
    <t>וזרועך</t>
  </si>
  <si>
    <t>וזרוע</t>
  </si>
  <si>
    <t>וזרועם</t>
  </si>
  <si>
    <t>וכאלם</t>
  </si>
  <si>
    <t>וכאבי</t>
  </si>
  <si>
    <t>וכאחד</t>
  </si>
  <si>
    <t>וכבודי</t>
  </si>
  <si>
    <t>וכבודך</t>
  </si>
  <si>
    <t>וכחול</t>
  </si>
  <si>
    <t>וכירק</t>
  </si>
  <si>
    <t>וכלמה</t>
  </si>
  <si>
    <t>וכלמתי</t>
  </si>
  <si>
    <t>וכסיל</t>
  </si>
  <si>
    <t>וכסילים</t>
  </si>
  <si>
    <t>וכרע</t>
  </si>
  <si>
    <t>ולאמים</t>
  </si>
  <si>
    <t>ולבקש</t>
  </si>
  <si>
    <t>ולבבי</t>
  </si>
  <si>
    <t>ולהפיל</t>
  </si>
  <si>
    <t>ולזמר</t>
  </si>
  <si>
    <t>ולזרעו</t>
  </si>
  <si>
    <t>ולזרותם</t>
  </si>
  <si>
    <t>ולזכרי</t>
  </si>
  <si>
    <t>ולישרי</t>
  </si>
  <si>
    <t>ולך</t>
  </si>
  <si>
    <t>ולכה</t>
  </si>
  <si>
    <t>ולכל</t>
  </si>
  <si>
    <t>ולמזח</t>
  </si>
  <si>
    <t>ולמען</t>
  </si>
  <si>
    <t>ולעוג</t>
  </si>
  <si>
    <t>ולשמך</t>
  </si>
  <si>
    <t>ולשונך</t>
  </si>
  <si>
    <t>ולשוני</t>
  </si>
  <si>
    <t>ולשונם</t>
  </si>
  <si>
    <t>ולשונו</t>
  </si>
  <si>
    <t>ולציון</t>
  </si>
  <si>
    <t>ומגדף</t>
  </si>
  <si>
    <t>ומחבש</t>
  </si>
  <si>
    <t>ומידעי</t>
  </si>
  <si>
    <t>ומלאה</t>
  </si>
  <si>
    <t>ומלאו</t>
  </si>
  <si>
    <t>ומלואה</t>
  </si>
  <si>
    <t>ומנשה</t>
  </si>
  <si>
    <t>ומעונתו</t>
  </si>
  <si>
    <t>ומפלטי</t>
  </si>
  <si>
    <t>ומצרי</t>
  </si>
  <si>
    <t>ומצודתי</t>
  </si>
  <si>
    <t>ומקלליו</t>
  </si>
  <si>
    <t>ומשלמי</t>
  </si>
  <si>
    <t>ומשלם</t>
  </si>
  <si>
    <t>ומשנאינו</t>
  </si>
  <si>
    <t>ומשנאי</t>
  </si>
  <si>
    <t>ומשנאיו</t>
  </si>
  <si>
    <t>ומתוקים</t>
  </si>
  <si>
    <t>ומדת</t>
  </si>
  <si>
    <t>ומי</t>
  </si>
  <si>
    <t>ומיד</t>
  </si>
  <si>
    <t>ומים</t>
  </si>
  <si>
    <t>ומכחש</t>
  </si>
  <si>
    <t>ומכל</t>
  </si>
  <si>
    <t>ומלחמה</t>
  </si>
  <si>
    <t>וממצוקתיהם</t>
  </si>
  <si>
    <t>וממעמקי</t>
  </si>
  <si>
    <t>וממערב</t>
  </si>
  <si>
    <t>ומן</t>
  </si>
  <si>
    <t>ומנחה</t>
  </si>
  <si>
    <t>ומנהר</t>
  </si>
  <si>
    <t>ומפז</t>
  </si>
  <si>
    <t>ומצותיו</t>
  </si>
  <si>
    <t>ומציון</t>
  </si>
  <si>
    <t>ומצור</t>
  </si>
  <si>
    <t>ומקרני</t>
  </si>
  <si>
    <t>ומרמה</t>
  </si>
  <si>
    <t>ומרמות</t>
  </si>
  <si>
    <t>ומשענתך</t>
  </si>
  <si>
    <t>ומשפטי</t>
  </si>
  <si>
    <t>ומשפט</t>
  </si>
  <si>
    <t>ומשפטים</t>
  </si>
  <si>
    <t>ומשפטך</t>
  </si>
  <si>
    <t>ומשפטיו</t>
  </si>
  <si>
    <t>ומשירי</t>
  </si>
  <si>
    <t>ומשלג</t>
  </si>
  <si>
    <t>ומתנקם</t>
  </si>
  <si>
    <t>ומתהמות</t>
  </si>
  <si>
    <t>ומתורתך</t>
  </si>
  <si>
    <t>ומארצות</t>
  </si>
  <si>
    <t>ומאנשי</t>
  </si>
  <si>
    <t>ומאלה</t>
  </si>
  <si>
    <t>ומחטאתי</t>
  </si>
  <si>
    <t>ומחמס</t>
  </si>
  <si>
    <t>ומעונתיהם</t>
  </si>
  <si>
    <t>ומרים</t>
  </si>
  <si>
    <t>ומרדפי</t>
  </si>
  <si>
    <t>ומלך</t>
  </si>
  <si>
    <t>ומה</t>
  </si>
  <si>
    <t>ומחשבתיך</t>
  </si>
  <si>
    <t>ומכאובי</t>
  </si>
  <si>
    <t>ומלאך</t>
  </si>
  <si>
    <t>ומלוה</t>
  </si>
  <si>
    <t>ומלכותו</t>
  </si>
  <si>
    <t>ומעגליך</t>
  </si>
  <si>
    <t>ומעשה</t>
  </si>
  <si>
    <t>ומעשהו</t>
  </si>
  <si>
    <t>ומגני</t>
  </si>
  <si>
    <t>ומגנם</t>
  </si>
  <si>
    <t>ומגן</t>
  </si>
  <si>
    <t>ומחול</t>
  </si>
  <si>
    <t>ומנוס</t>
  </si>
  <si>
    <t>ומעוז</t>
  </si>
  <si>
    <t>ומתניהם</t>
  </si>
  <si>
    <t>ומפתים</t>
  </si>
  <si>
    <t>ומצאי</t>
  </si>
  <si>
    <t>ומקשות</t>
  </si>
  <si>
    <t>ומרה</t>
  </si>
  <si>
    <t>ומשל</t>
  </si>
  <si>
    <t>ומוסדי</t>
  </si>
  <si>
    <t>ומוסרותיהם</t>
  </si>
  <si>
    <t>ונגינות</t>
  </si>
  <si>
    <t>ונות</t>
  </si>
  <si>
    <t>ונזמרה</t>
  </si>
  <si>
    <t>ונחני</t>
  </si>
  <si>
    <t>ונחלים</t>
  </si>
  <si>
    <t>ונרוממה</t>
  </si>
  <si>
    <t>וסביביו</t>
  </si>
  <si>
    <t>וסבא</t>
  </si>
  <si>
    <t>וסגר</t>
  </si>
  <si>
    <t>ופדנו</t>
  </si>
  <si>
    <t>ופני</t>
  </si>
  <si>
    <t>ופניהם</t>
  </si>
  <si>
    <t>ופקד</t>
  </si>
  <si>
    <t>ופשעי</t>
  </si>
  <si>
    <t>ופי</t>
  </si>
  <si>
    <t>ופחד</t>
  </si>
  <si>
    <t>ופעל</t>
  </si>
  <si>
    <t>וצדקה</t>
  </si>
  <si>
    <t>וקראני</t>
  </si>
  <si>
    <t>וקרובי</t>
  </si>
  <si>
    <t>וראי</t>
  </si>
  <si>
    <t>וראה</t>
  </si>
  <si>
    <t>ורבבה</t>
  </si>
  <si>
    <t>ורחב</t>
  </si>
  <si>
    <t>ורעם</t>
  </si>
  <si>
    <t>ושבילך</t>
  </si>
  <si>
    <t>ושבועתו</t>
  </si>
  <si>
    <t>ושכן</t>
  </si>
  <si>
    <t>ושמע</t>
  </si>
  <si>
    <t>ושמואל</t>
  </si>
  <si>
    <t>ושנותי</t>
  </si>
  <si>
    <t>ושאו</t>
  </si>
  <si>
    <t>ושפתיך</t>
  </si>
  <si>
    <t>ותאנתם</t>
  </si>
  <si>
    <t>ותהמם</t>
  </si>
  <si>
    <t>ותכבדני</t>
  </si>
  <si>
    <t>ותלהט</t>
  </si>
  <si>
    <t>ותנהלני</t>
  </si>
  <si>
    <t>ותנו</t>
  </si>
  <si>
    <t>ותפיצם</t>
  </si>
  <si>
    <t>ותפלתי</t>
  </si>
  <si>
    <t>ותפלתו</t>
  </si>
  <si>
    <t>ותפלטני</t>
  </si>
  <si>
    <t>ותקרב</t>
  </si>
  <si>
    <t>ותקופתו</t>
  </si>
  <si>
    <t>ותשועתך</t>
  </si>
  <si>
    <t>זבח</t>
  </si>
  <si>
    <t>זבחיך</t>
  </si>
  <si>
    <t>זכרתיך</t>
  </si>
  <si>
    <t>זכר</t>
  </si>
  <si>
    <t>זכרנו</t>
  </si>
  <si>
    <t>זממו</t>
  </si>
  <si>
    <t>זנחתנו</t>
  </si>
  <si>
    <t>זקנים</t>
  </si>
  <si>
    <t>זרועך</t>
  </si>
  <si>
    <t>זרועי</t>
  </si>
  <si>
    <t>זרוע</t>
  </si>
  <si>
    <t>זרועתי</t>
  </si>
  <si>
    <t>זרועות</t>
  </si>
  <si>
    <t>זבחי</t>
  </si>
  <si>
    <t>זכרך</t>
  </si>
  <si>
    <t>זכרם</t>
  </si>
  <si>
    <t>זכרו</t>
  </si>
  <si>
    <t>זכיתי</t>
  </si>
  <si>
    <t>זלעפות</t>
  </si>
  <si>
    <t>זמרה</t>
  </si>
  <si>
    <t>זמה</t>
  </si>
  <si>
    <t>זקנה</t>
  </si>
  <si>
    <t>זדים</t>
  </si>
  <si>
    <t>זרית</t>
  </si>
  <si>
    <t>זריתנו</t>
  </si>
  <si>
    <t>זה</t>
  </si>
  <si>
    <t>זרע</t>
  </si>
  <si>
    <t>זמרו</t>
  </si>
  <si>
    <t>זן</t>
  </si>
  <si>
    <t>זעמך</t>
  </si>
  <si>
    <t>זרזיף</t>
  </si>
  <si>
    <t>זרעך</t>
  </si>
  <si>
    <t>זרעם</t>
  </si>
  <si>
    <t>זרעו</t>
  </si>
  <si>
    <t>זהב</t>
  </si>
  <si>
    <t>זכרני</t>
  </si>
  <si>
    <t>זכרתי</t>
  </si>
  <si>
    <t>זכור</t>
  </si>
  <si>
    <t>זנחת</t>
  </si>
  <si>
    <t>זעקו</t>
  </si>
  <si>
    <t>זעקתי</t>
  </si>
  <si>
    <t>זקנתי</t>
  </si>
  <si>
    <t>זר</t>
  </si>
  <si>
    <t>זרים</t>
  </si>
  <si>
    <t>זרח</t>
  </si>
  <si>
    <t>זאת</t>
  </si>
  <si>
    <t>זמם</t>
  </si>
  <si>
    <t>זקף</t>
  </si>
  <si>
    <t>זרמו</t>
  </si>
  <si>
    <t>זרו</t>
  </si>
  <si>
    <t>זלות</t>
  </si>
  <si>
    <t>זונה</t>
  </si>
  <si>
    <t>זו</t>
  </si>
  <si>
    <t>זולתי</t>
  </si>
  <si>
    <t>חבלים</t>
  </si>
  <si>
    <t>חברים</t>
  </si>
  <si>
    <t>חגור</t>
  </si>
  <si>
    <t>חזיר</t>
  </si>
  <si>
    <t>חזיתיך</t>
  </si>
  <si>
    <t>חזק</t>
  </si>
  <si>
    <t>חזקה</t>
  </si>
  <si>
    <t>חזו</t>
  </si>
  <si>
    <t>חטאה</t>
  </si>
  <si>
    <t>חכמים</t>
  </si>
  <si>
    <t>חליפות</t>
  </si>
  <si>
    <t>חלליך</t>
  </si>
  <si>
    <t>חלקות</t>
  </si>
  <si>
    <t>חמס</t>
  </si>
  <si>
    <t>חמת</t>
  </si>
  <si>
    <t>חמסים</t>
  </si>
  <si>
    <t>חמסו</t>
  </si>
  <si>
    <t>חמתך</t>
  </si>
  <si>
    <t>חמתו</t>
  </si>
  <si>
    <t>חמודו</t>
  </si>
  <si>
    <t>חנית</t>
  </si>
  <si>
    <t>חנכת</t>
  </si>
  <si>
    <t>חסידך</t>
  </si>
  <si>
    <t>חסידים</t>
  </si>
  <si>
    <t>חסידיך</t>
  </si>
  <si>
    <t>חסידה</t>
  </si>
  <si>
    <t>חסידי</t>
  </si>
  <si>
    <t>חסידיו</t>
  </si>
  <si>
    <t>חסין</t>
  </si>
  <si>
    <t>חסדיך</t>
  </si>
  <si>
    <t>חפצי</t>
  </si>
  <si>
    <t>חצרים</t>
  </si>
  <si>
    <t>חצריך</t>
  </si>
  <si>
    <t>חצרתיו</t>
  </si>
  <si>
    <t>חצציך</t>
  </si>
  <si>
    <t>חקרתני</t>
  </si>
  <si>
    <t>חרבות</t>
  </si>
  <si>
    <t>חשך</t>
  </si>
  <si>
    <t>חזקי</t>
  </si>
  <si>
    <t>חזקו</t>
  </si>
  <si>
    <t>חטים</t>
  </si>
  <si>
    <t>חטה</t>
  </si>
  <si>
    <t>חייתני</t>
  </si>
  <si>
    <t>חיה</t>
  </si>
  <si>
    <t>חידתי</t>
  </si>
  <si>
    <t>חידות</t>
  </si>
  <si>
    <t>חכו</t>
  </si>
  <si>
    <t>חללו</t>
  </si>
  <si>
    <t>חלל</t>
  </si>
  <si>
    <t>חלצת</t>
  </si>
  <si>
    <t>חנם</t>
  </si>
  <si>
    <t>חציך</t>
  </si>
  <si>
    <t>חציו</t>
  </si>
  <si>
    <t>חצם</t>
  </si>
  <si>
    <t>חשבתי</t>
  </si>
  <si>
    <t>חיל</t>
  </si>
  <si>
    <t>חילך</t>
  </si>
  <si>
    <t>חילם</t>
  </si>
  <si>
    <t>חיקך</t>
  </si>
  <si>
    <t>חיקי</t>
  </si>
  <si>
    <t>חיקם</t>
  </si>
  <si>
    <t>חלב</t>
  </si>
  <si>
    <t>חלכה</t>
  </si>
  <si>
    <t>חמה</t>
  </si>
  <si>
    <t>חן</t>
  </si>
  <si>
    <t>חפש</t>
  </si>
  <si>
    <t>חץ</t>
  </si>
  <si>
    <t>חרפוך</t>
  </si>
  <si>
    <t>חרפוני</t>
  </si>
  <si>
    <t>חרף</t>
  </si>
  <si>
    <t>חרש</t>
  </si>
  <si>
    <t>חבלי</t>
  </si>
  <si>
    <t>חבל</t>
  </si>
  <si>
    <t>חלבמו</t>
  </si>
  <si>
    <t>חלקי</t>
  </si>
  <si>
    <t>חלקך</t>
  </si>
  <si>
    <t>חמדה</t>
  </si>
  <si>
    <t>חסד</t>
  </si>
  <si>
    <t>חפציהם</t>
  </si>
  <si>
    <t>חפצם</t>
  </si>
  <si>
    <t>חפצו</t>
  </si>
  <si>
    <t>חרפת</t>
  </si>
  <si>
    <t>חרפה</t>
  </si>
  <si>
    <t>חרפתך</t>
  </si>
  <si>
    <t>חרפתי</t>
  </si>
  <si>
    <t>חרפתם</t>
  </si>
  <si>
    <t>חרב</t>
  </si>
  <si>
    <t>חשכת</t>
  </si>
  <si>
    <t>חבורתי</t>
  </si>
  <si>
    <t>חג</t>
  </si>
  <si>
    <t>חגנו</t>
  </si>
  <si>
    <t>חדש</t>
  </si>
  <si>
    <t>חדה</t>
  </si>
  <si>
    <t>חטאת</t>
  </si>
  <si>
    <t>חטאים</t>
  </si>
  <si>
    <t>חטאתי</t>
  </si>
  <si>
    <t>חטאתם</t>
  </si>
  <si>
    <t>חטאות</t>
  </si>
  <si>
    <t>חטאותי</t>
  </si>
  <si>
    <t>חטאתינו</t>
  </si>
  <si>
    <t>חי</t>
  </si>
  <si>
    <t>חיתו</t>
  </si>
  <si>
    <t>חיים</t>
  </si>
  <si>
    <t>חיני</t>
  </si>
  <si>
    <t>חיי</t>
  </si>
  <si>
    <t>חית</t>
  </si>
  <si>
    <t>חייכי</t>
  </si>
  <si>
    <t>חיתך</t>
  </si>
  <si>
    <t>חיתי</t>
  </si>
  <si>
    <t>חיות</t>
  </si>
  <si>
    <t>חלצני</t>
  </si>
  <si>
    <t>חלצה</t>
  </si>
  <si>
    <t>חלמיש</t>
  </si>
  <si>
    <t>חלותי</t>
  </si>
  <si>
    <t>חם</t>
  </si>
  <si>
    <t>חנות</t>
  </si>
  <si>
    <t>חנון</t>
  </si>
  <si>
    <t>חסדי</t>
  </si>
  <si>
    <t>חסדך</t>
  </si>
  <si>
    <t>חסדו</t>
  </si>
  <si>
    <t>חרבך</t>
  </si>
  <si>
    <t>חרבם</t>
  </si>
  <si>
    <t>חרצבות</t>
  </si>
  <si>
    <t>חדל</t>
  </si>
  <si>
    <t>חזה</t>
  </si>
  <si>
    <t>חטאנו</t>
  </si>
  <si>
    <t>חכמה</t>
  </si>
  <si>
    <t>חכמתם</t>
  </si>
  <si>
    <t>חכמות</t>
  </si>
  <si>
    <t>חלקו</t>
  </si>
  <si>
    <t>חלד</t>
  </si>
  <si>
    <t>חמד</t>
  </si>
  <si>
    <t>חמר</t>
  </si>
  <si>
    <t>חננני</t>
  </si>
  <si>
    <t>חנני</t>
  </si>
  <si>
    <t>חסיד</t>
  </si>
  <si>
    <t>חסיתי</t>
  </si>
  <si>
    <t>חסיה</t>
  </si>
  <si>
    <t>חפרו</t>
  </si>
  <si>
    <t>חפץ</t>
  </si>
  <si>
    <t>חפצתי</t>
  </si>
  <si>
    <t>חפצת</t>
  </si>
  <si>
    <t>חציר</t>
  </si>
  <si>
    <t>חק</t>
  </si>
  <si>
    <t>חקרני</t>
  </si>
  <si>
    <t>חרה</t>
  </si>
  <si>
    <t>חרק</t>
  </si>
  <si>
    <t>חרון</t>
  </si>
  <si>
    <t>חרוץ</t>
  </si>
  <si>
    <t>חשבו</t>
  </si>
  <si>
    <t>חשכי</t>
  </si>
  <si>
    <t>חשק</t>
  </si>
  <si>
    <t>חמץ</t>
  </si>
  <si>
    <t>חנה</t>
  </si>
  <si>
    <t>חנך</t>
  </si>
  <si>
    <t>חצב</t>
  </si>
  <si>
    <t>חשבי</t>
  </si>
  <si>
    <t>חקיך</t>
  </si>
  <si>
    <t>חקי</t>
  </si>
  <si>
    <t>חקיו</t>
  </si>
  <si>
    <t>חובר</t>
  </si>
  <si>
    <t>חוגג</t>
  </si>
  <si>
    <t>חוללתי</t>
  </si>
  <si>
    <t>חומתיה</t>
  </si>
  <si>
    <t>חומות</t>
  </si>
  <si>
    <t>חונן</t>
  </si>
  <si>
    <t>חוסי</t>
  </si>
  <si>
    <t>חורפיך</t>
  </si>
  <si>
    <t>חולי</t>
  </si>
  <si>
    <t>חוצות</t>
  </si>
  <si>
    <t>חושה</t>
  </si>
  <si>
    <t>טהרות</t>
  </si>
  <si>
    <t>טהורה</t>
  </si>
  <si>
    <t>טפחות</t>
  </si>
  <si>
    <t>טבחה</t>
  </si>
  <si>
    <t>טירתם</t>
  </si>
  <si>
    <t>טמאו</t>
  </si>
  <si>
    <t>טרף</t>
  </si>
  <si>
    <t>טהרני</t>
  </si>
  <si>
    <t>טל</t>
  </si>
  <si>
    <t>טעמו</t>
  </si>
  <si>
    <t>טבעו</t>
  </si>
  <si>
    <t>טבעתי</t>
  </si>
  <si>
    <t>טהור</t>
  </si>
  <si>
    <t>טמנו</t>
  </si>
  <si>
    <t>טמן</t>
  </si>
  <si>
    <t>טוב</t>
  </si>
  <si>
    <t>טובה</t>
  </si>
  <si>
    <t>טובתי</t>
  </si>
  <si>
    <t>טובתך</t>
  </si>
  <si>
    <t>טובך</t>
  </si>
  <si>
    <t>יאשרוהו</t>
  </si>
  <si>
    <t>יבהלמו</t>
  </si>
  <si>
    <t>יבלעם</t>
  </si>
  <si>
    <t>יבעתוני</t>
  </si>
  <si>
    <t>יבקשו</t>
  </si>
  <si>
    <t>יבקע</t>
  </si>
  <si>
    <t>יברכנו</t>
  </si>
  <si>
    <t>יברכנהו</t>
  </si>
  <si>
    <t>יברך</t>
  </si>
  <si>
    <t>יברכו</t>
  </si>
  <si>
    <t>יבאון</t>
  </si>
  <si>
    <t>יבולה</t>
  </si>
  <si>
    <t>יגילון</t>
  </si>
  <si>
    <t>יגיעו</t>
  </si>
  <si>
    <t>יגרך</t>
  </si>
  <si>
    <t>ידידיך</t>
  </si>
  <si>
    <t>ידידת</t>
  </si>
  <si>
    <t>ידי</t>
  </si>
  <si>
    <t>ידיהם</t>
  </si>
  <si>
    <t>ידיכם</t>
  </si>
  <si>
    <t>ידברו</t>
  </si>
  <si>
    <t>ידבר</t>
  </si>
  <si>
    <t>ידכאו</t>
  </si>
  <si>
    <t>ידשנה</t>
  </si>
  <si>
    <t>ידעוך</t>
  </si>
  <si>
    <t>ידעום</t>
  </si>
  <si>
    <t>ידותון</t>
  </si>
  <si>
    <t>יהי</t>
  </si>
  <si>
    <t>יהללו</t>
  </si>
  <si>
    <t>יהללוהו</t>
  </si>
  <si>
    <t>יהללוך</t>
  </si>
  <si>
    <t>יהלך</t>
  </si>
  <si>
    <t>יהלכו</t>
  </si>
  <si>
    <t>יהלכון</t>
  </si>
  <si>
    <t>יהלל</t>
  </si>
  <si>
    <t>יהבך</t>
  </si>
  <si>
    <t>יהודך</t>
  </si>
  <si>
    <t>יהושיע</t>
  </si>
  <si>
    <t>יהודה</t>
  </si>
  <si>
    <t>יזכה</t>
  </si>
  <si>
    <t>יזמרו</t>
  </si>
  <si>
    <t>יזמרך</t>
  </si>
  <si>
    <t>יחי</t>
  </si>
  <si>
    <t>יחידים</t>
  </si>
  <si>
    <t>יחידתי</t>
  </si>
  <si>
    <t>יחבל</t>
  </si>
  <si>
    <t>יחוה</t>
  </si>
  <si>
    <t>יחזקו</t>
  </si>
  <si>
    <t>יחכם</t>
  </si>
  <si>
    <t>יחלצני</t>
  </si>
  <si>
    <t>יחלקו</t>
  </si>
  <si>
    <t>יחלו</t>
  </si>
  <si>
    <t>יחננו</t>
  </si>
  <si>
    <t>יחרפני</t>
  </si>
  <si>
    <t>יחרף</t>
  </si>
  <si>
    <t>יחולל</t>
  </si>
  <si>
    <t>יידע</t>
  </si>
  <si>
    <t>יכבדנני</t>
  </si>
  <si>
    <t>יכבד</t>
  </si>
  <si>
    <t>יכחשו</t>
  </si>
  <si>
    <t>יכלכלך</t>
  </si>
  <si>
    <t>יכלכל</t>
  </si>
  <si>
    <t>יכנס</t>
  </si>
  <si>
    <t>יכסמו</t>
  </si>
  <si>
    <t>יכרסמנה</t>
  </si>
  <si>
    <t>יכלתיו</t>
  </si>
  <si>
    <t>יכוננה</t>
  </si>
  <si>
    <t>ילדתיך</t>
  </si>
  <si>
    <t>ילחכו</t>
  </si>
  <si>
    <t>ימין</t>
  </si>
  <si>
    <t>ימינך</t>
  </si>
  <si>
    <t>ימיני</t>
  </si>
  <si>
    <t>ימינו</t>
  </si>
  <si>
    <t>ימישון</t>
  </si>
  <si>
    <t>ימי</t>
  </si>
  <si>
    <t>ימיהם</t>
  </si>
  <si>
    <t>ימלטהו</t>
  </si>
  <si>
    <t>ימלא</t>
  </si>
  <si>
    <t>ימלל</t>
  </si>
  <si>
    <t>יניעון</t>
  </si>
  <si>
    <t>ינהלני</t>
  </si>
  <si>
    <t>ינחמני</t>
  </si>
  <si>
    <t>ינקש</t>
  </si>
  <si>
    <t>ינתק</t>
  </si>
  <si>
    <t>ינאץ</t>
  </si>
  <si>
    <t>ינגעו</t>
  </si>
  <si>
    <t>ינובון</t>
  </si>
  <si>
    <t>ינוסון</t>
  </si>
  <si>
    <t>יסדתם</t>
  </si>
  <si>
    <t>יספרו</t>
  </si>
  <si>
    <t>יספר</t>
  </si>
  <si>
    <t>יסדה</t>
  </si>
  <si>
    <t>יסובבנו</t>
  </si>
  <si>
    <t>יסובבה</t>
  </si>
  <si>
    <t>יסובני</t>
  </si>
  <si>
    <t>יסודתו</t>
  </si>
  <si>
    <t>יעות</t>
  </si>
  <si>
    <t>יעננו</t>
  </si>
  <si>
    <t>יענו</t>
  </si>
  <si>
    <t>יעצבו</t>
  </si>
  <si>
    <t>יעצני</t>
  </si>
  <si>
    <t>יערות</t>
  </si>
  <si>
    <t>יעודד</t>
  </si>
  <si>
    <t>יפזר</t>
  </si>
  <si>
    <t>יפלטהו</t>
  </si>
  <si>
    <t>יפאר</t>
  </si>
  <si>
    <t>יצוה</t>
  </si>
  <si>
    <t>יצרתם</t>
  </si>
  <si>
    <t>יצודנו</t>
  </si>
  <si>
    <t>יצועי</t>
  </si>
  <si>
    <t>יקדמני</t>
  </si>
  <si>
    <t>יקדמו</t>
  </si>
  <si>
    <t>יקדמוני</t>
  </si>
  <si>
    <t>יקדמונו</t>
  </si>
  <si>
    <t>יקללו</t>
  </si>
  <si>
    <t>יקננו</t>
  </si>
  <si>
    <t>יקומון</t>
  </si>
  <si>
    <t>יריבי</t>
  </si>
  <si>
    <t>יריחון</t>
  </si>
  <si>
    <t>ירא</t>
  </si>
  <si>
    <t>יראיו</t>
  </si>
  <si>
    <t>ירננו</t>
  </si>
  <si>
    <t>ירצחו</t>
  </si>
  <si>
    <t>ירשת</t>
  </si>
  <si>
    <t>יראו</t>
  </si>
  <si>
    <t>ירוממני</t>
  </si>
  <si>
    <t>ירוצון</t>
  </si>
  <si>
    <t>ירושלם</t>
  </si>
  <si>
    <t>ישיתוהו</t>
  </si>
  <si>
    <t>ישבחונך</t>
  </si>
  <si>
    <t>ישבר</t>
  </si>
  <si>
    <t>ישועו</t>
  </si>
  <si>
    <t>ישלמוני</t>
  </si>
  <si>
    <t>ישלם</t>
  </si>
  <si>
    <t>ישעשעו</t>
  </si>
  <si>
    <t>ישרתני</t>
  </si>
  <si>
    <t>ישרים</t>
  </si>
  <si>
    <t>ישרה</t>
  </si>
  <si>
    <t>ישעתך</t>
  </si>
  <si>
    <t>ישעות</t>
  </si>
  <si>
    <t>ישובב</t>
  </si>
  <si>
    <t>ישובון</t>
  </si>
  <si>
    <t>ישועת</t>
  </si>
  <si>
    <t>ישועתי</t>
  </si>
  <si>
    <t>ישועתנו</t>
  </si>
  <si>
    <t>ישועתך</t>
  </si>
  <si>
    <t>ישועתה</t>
  </si>
  <si>
    <t>ישועתו</t>
  </si>
  <si>
    <t>ישועות</t>
  </si>
  <si>
    <t>ישופני</t>
  </si>
  <si>
    <t>ישברון</t>
  </si>
  <si>
    <t>ישגבך</t>
  </si>
  <si>
    <t>ישמחו</t>
  </si>
  <si>
    <t>ישמח</t>
  </si>
  <si>
    <t>יתעב</t>
  </si>
  <si>
    <t>יתומים</t>
  </si>
  <si>
    <t>יבחנו</t>
  </si>
  <si>
    <t>יבחר</t>
  </si>
  <si>
    <t>יבחן</t>
  </si>
  <si>
    <t>יבנם</t>
  </si>
  <si>
    <t>יבער</t>
  </si>
  <si>
    <t>יבצר</t>
  </si>
  <si>
    <t>יבהלון</t>
  </si>
  <si>
    <t>יבנה</t>
  </si>
  <si>
    <t>יבלו</t>
  </si>
  <si>
    <t>יבול</t>
  </si>
  <si>
    <t>יבולון</t>
  </si>
  <si>
    <t>יגאל</t>
  </si>
  <si>
    <t>יגדל</t>
  </si>
  <si>
    <t>יגועון</t>
  </si>
  <si>
    <t>יגמלני</t>
  </si>
  <si>
    <t>יגמר</t>
  </si>
  <si>
    <t>יגש</t>
  </si>
  <si>
    <t>ידבק</t>
  </si>
  <si>
    <t>ידכה</t>
  </si>
  <si>
    <t>ידלק</t>
  </si>
  <si>
    <t>ידמה</t>
  </si>
  <si>
    <t>ידרכון</t>
  </si>
  <si>
    <t>ידרשוהו</t>
  </si>
  <si>
    <t>ידרך</t>
  </si>
  <si>
    <t>ידרש</t>
  </si>
  <si>
    <t>ידמו</t>
  </si>
  <si>
    <t>ידדון</t>
  </si>
  <si>
    <t>ידם</t>
  </si>
  <si>
    <t>יהיה</t>
  </si>
  <si>
    <t>יהיו</t>
  </si>
  <si>
    <t>יודע</t>
  </si>
  <si>
    <t>יולדו</t>
  </si>
  <si>
    <t>יזכרו</t>
  </si>
  <si>
    <t>יזכר</t>
  </si>
  <si>
    <t>יזנח</t>
  </si>
  <si>
    <t>יזלו</t>
  </si>
  <si>
    <t>יטרף</t>
  </si>
  <si>
    <t>יטש</t>
  </si>
  <si>
    <t>יטור</t>
  </si>
  <si>
    <t>ייראו</t>
  </si>
  <si>
    <t>יירשו</t>
  </si>
  <si>
    <t>יירש</t>
  </si>
  <si>
    <t>יירא</t>
  </si>
  <si>
    <t>ייראוך</t>
  </si>
  <si>
    <t>יכבדו</t>
  </si>
  <si>
    <t>יכלו</t>
  </si>
  <si>
    <t>יכסוף</t>
  </si>
  <si>
    <t>יכרעו</t>
  </si>
  <si>
    <t>יכלמו</t>
  </si>
  <si>
    <t>יכרתו</t>
  </si>
  <si>
    <t>יכרתון</t>
  </si>
  <si>
    <t>יכרה</t>
  </si>
  <si>
    <t>יכשלו</t>
  </si>
  <si>
    <t>יכתבו</t>
  </si>
  <si>
    <t>יכנו</t>
  </si>
  <si>
    <t>יכון</t>
  </si>
  <si>
    <t>ילבשו</t>
  </si>
  <si>
    <t>ילחצני</t>
  </si>
  <si>
    <t>ילעגו</t>
  </si>
  <si>
    <t>ילעג</t>
  </si>
  <si>
    <t>ילקטון</t>
  </si>
  <si>
    <t>ימאס</t>
  </si>
  <si>
    <t>ימחאו</t>
  </si>
  <si>
    <t>ימחץ</t>
  </si>
  <si>
    <t>ימלך</t>
  </si>
  <si>
    <t>ימנע</t>
  </si>
  <si>
    <t>ימצו</t>
  </si>
  <si>
    <t>ימשלו</t>
  </si>
  <si>
    <t>ימח</t>
  </si>
  <si>
    <t>ימאסו</t>
  </si>
  <si>
    <t>ימחו</t>
  </si>
  <si>
    <t>ימלו</t>
  </si>
  <si>
    <t>ימוט</t>
  </si>
  <si>
    <t>ימוטו</t>
  </si>
  <si>
    <t>ינצרהו</t>
  </si>
  <si>
    <t>ינצרו</t>
  </si>
  <si>
    <t>ינחם</t>
  </si>
  <si>
    <t>ינצל</t>
  </si>
  <si>
    <t>ינון</t>
  </si>
  <si>
    <t>יסמכני</t>
  </si>
  <si>
    <t>יסעד</t>
  </si>
  <si>
    <t>יסעדני</t>
  </si>
  <si>
    <t>יסעדך</t>
  </si>
  <si>
    <t>יסעדנו</t>
  </si>
  <si>
    <t>יסרני</t>
  </si>
  <si>
    <t>יסרוני</t>
  </si>
  <si>
    <t>יסדת</t>
  </si>
  <si>
    <t>יסרת</t>
  </si>
  <si>
    <t>יסכר</t>
  </si>
  <si>
    <t>יסב</t>
  </si>
  <si>
    <t>יסגו</t>
  </si>
  <si>
    <t>יפדה</t>
  </si>
  <si>
    <t>יפעל</t>
  </si>
  <si>
    <t>יפרח</t>
  </si>
  <si>
    <t>יפתח</t>
  </si>
  <si>
    <t>יפלו</t>
  </si>
  <si>
    <t>יפל</t>
  </si>
  <si>
    <t>יצבר</t>
  </si>
  <si>
    <t>יצדק</t>
  </si>
  <si>
    <t>יצפנני</t>
  </si>
  <si>
    <t>יצפנו</t>
  </si>
  <si>
    <t>יצפונו</t>
  </si>
  <si>
    <t>יצרנו</t>
  </si>
  <si>
    <t>יצרוני</t>
  </si>
  <si>
    <t>יקבץ</t>
  </si>
  <si>
    <t>יקרצו</t>
  </si>
  <si>
    <t>יקרב</t>
  </si>
  <si>
    <t>יקרא</t>
  </si>
  <si>
    <t>יקראני</t>
  </si>
  <si>
    <t>יקראו</t>
  </si>
  <si>
    <t>יקח</t>
  </si>
  <si>
    <t>יקחני</t>
  </si>
  <si>
    <t>יראי</t>
  </si>
  <si>
    <t>יראה</t>
  </si>
  <si>
    <t>יראת</t>
  </si>
  <si>
    <t>יראוני</t>
  </si>
  <si>
    <t>ירבה</t>
  </si>
  <si>
    <t>ירבצון</t>
  </si>
  <si>
    <t>ירבו</t>
  </si>
  <si>
    <t>ירבון</t>
  </si>
  <si>
    <t>ירגזו</t>
  </si>
  <si>
    <t>ירדפוני</t>
  </si>
  <si>
    <t>ירוין</t>
  </si>
  <si>
    <t>ירחץ</t>
  </si>
  <si>
    <t>ירעפו</t>
  </si>
  <si>
    <t>ירעפון</t>
  </si>
  <si>
    <t>ירעשו</t>
  </si>
  <si>
    <t>ירעם</t>
  </si>
  <si>
    <t>ירענה</t>
  </si>
  <si>
    <t>ירעש</t>
  </si>
  <si>
    <t>ירצה</t>
  </si>
  <si>
    <t>ירצו</t>
  </si>
  <si>
    <t>ירדף</t>
  </si>
  <si>
    <t>ישאלוני</t>
  </si>
  <si>
    <t>ישברו</t>
  </si>
  <si>
    <t>ישטפו</t>
  </si>
  <si>
    <t>ישכחו</t>
  </si>
  <si>
    <t>ישכן</t>
  </si>
  <si>
    <t>ישכון</t>
  </si>
  <si>
    <t>ישלח</t>
  </si>
  <si>
    <t>ישמעו</t>
  </si>
  <si>
    <t>ישמרהו</t>
  </si>
  <si>
    <t>ישמע</t>
  </si>
  <si>
    <t>ישמרו</t>
  </si>
  <si>
    <t>ישעי</t>
  </si>
  <si>
    <t>ישענו</t>
  </si>
  <si>
    <t>ישעך</t>
  </si>
  <si>
    <t>ישעו</t>
  </si>
  <si>
    <t>ישפט</t>
  </si>
  <si>
    <t>ישרי</t>
  </si>
  <si>
    <t>ישתה</t>
  </si>
  <si>
    <t>ישתחוו</t>
  </si>
  <si>
    <t>ישתקו</t>
  </si>
  <si>
    <t>ישתומם</t>
  </si>
  <si>
    <t>ישתו</t>
  </si>
  <si>
    <t>ישי</t>
  </si>
  <si>
    <t>ישכח</t>
  </si>
  <si>
    <t>ישפטו</t>
  </si>
  <si>
    <t>ישאו</t>
  </si>
  <si>
    <t>ישבעו</t>
  </si>
  <si>
    <t>ישבעון</t>
  </si>
  <si>
    <t>ישגה</t>
  </si>
  <si>
    <t>ישחק</t>
  </si>
  <si>
    <t>ישחקו</t>
  </si>
  <si>
    <t>ישטמוני</t>
  </si>
  <si>
    <t>ישטנוני</t>
  </si>
  <si>
    <t>ישערנו</t>
  </si>
  <si>
    <t>ישראל</t>
  </si>
  <si>
    <t>ישרף</t>
  </si>
  <si>
    <t>ישא</t>
  </si>
  <si>
    <t>ישאונך</t>
  </si>
  <si>
    <t>יתאמרו</t>
  </si>
  <si>
    <t>יתהלכו</t>
  </si>
  <si>
    <t>יתהלל</t>
  </si>
  <si>
    <t>יתהלך</t>
  </si>
  <si>
    <t>יתהלכון</t>
  </si>
  <si>
    <t>יתהללו</t>
  </si>
  <si>
    <t>יתחמץ</t>
  </si>
  <si>
    <t>יתיצבו</t>
  </si>
  <si>
    <t>יתיצב</t>
  </si>
  <si>
    <t>יתלחשו</t>
  </si>
  <si>
    <t>יתלונן</t>
  </si>
  <si>
    <t>יתמללו</t>
  </si>
  <si>
    <t>יתנחם</t>
  </si>
  <si>
    <t>יתנדדו</t>
  </si>
  <si>
    <t>יתענו</t>
  </si>
  <si>
    <t>יתפלל</t>
  </si>
  <si>
    <t>יתפרדו</t>
  </si>
  <si>
    <t>יתרועעו</t>
  </si>
  <si>
    <t>יתנו</t>
  </si>
  <si>
    <t>יתן</t>
  </si>
  <si>
    <t>יתפשו</t>
  </si>
  <si>
    <t>יתצך</t>
  </si>
  <si>
    <t>יאמר</t>
  </si>
  <si>
    <t>יאספון</t>
  </si>
  <si>
    <t>יבשו</t>
  </si>
  <si>
    <t>ידעו</t>
  </si>
  <si>
    <t>ידע</t>
  </si>
  <si>
    <t>יהרסון</t>
  </si>
  <si>
    <t>יחלצון</t>
  </si>
  <si>
    <t>יחפזון</t>
  </si>
  <si>
    <t>ילכו</t>
  </si>
  <si>
    <t>יצא</t>
  </si>
  <si>
    <t>ירדו</t>
  </si>
  <si>
    <t>ירד</t>
  </si>
  <si>
    <t>ישבו</t>
  </si>
  <si>
    <t>ישב</t>
  </si>
  <si>
    <t>ישע</t>
  </si>
  <si>
    <t>יאשמו</t>
  </si>
  <si>
    <t>יאנף</t>
  </si>
  <si>
    <t>יארב</t>
  </si>
  <si>
    <t>יהגה</t>
  </si>
  <si>
    <t>יהגו</t>
  </si>
  <si>
    <t>יהמיון</t>
  </si>
  <si>
    <t>יהמו</t>
  </si>
  <si>
    <t>יהלמני</t>
  </si>
  <si>
    <t>יהרסם</t>
  </si>
  <si>
    <t>יחמרו</t>
  </si>
  <si>
    <t>יחפץ</t>
  </si>
  <si>
    <t>יחפרו</t>
  </si>
  <si>
    <t>יחזו</t>
  </si>
  <si>
    <t>יחמתני</t>
  </si>
  <si>
    <t>יחסה</t>
  </si>
  <si>
    <t>יחסיון</t>
  </si>
  <si>
    <t>יחצו</t>
  </si>
  <si>
    <t>יחרש</t>
  </si>
  <si>
    <t>יעשן</t>
  </si>
  <si>
    <t>יתר</t>
  </si>
  <si>
    <t>יאטם</t>
  </si>
  <si>
    <t>יאזינו</t>
  </si>
  <si>
    <t>יאספני</t>
  </si>
  <si>
    <t>יביט</t>
  </si>
  <si>
    <t>יביטו</t>
  </si>
  <si>
    <t>יביע</t>
  </si>
  <si>
    <t>יביעו</t>
  </si>
  <si>
    <t>יביעון</t>
  </si>
  <si>
    <t>יגיד</t>
  </si>
  <si>
    <t>יגיה</t>
  </si>
  <si>
    <t>יגירהו</t>
  </si>
  <si>
    <t>יהלמון</t>
  </si>
  <si>
    <t>יהרג</t>
  </si>
  <si>
    <t>יהרגו</t>
  </si>
  <si>
    <t>יחגרה</t>
  </si>
  <si>
    <t>יחדו</t>
  </si>
  <si>
    <t>יחטף</t>
  </si>
  <si>
    <t>יחסרו</t>
  </si>
  <si>
    <t>יחפשו</t>
  </si>
  <si>
    <t>יחשבו</t>
  </si>
  <si>
    <t>יחשיך</t>
  </si>
  <si>
    <t>יחשב</t>
  </si>
  <si>
    <t>יחתך</t>
  </si>
  <si>
    <t>יחליקון</t>
  </si>
  <si>
    <t>יחקר</t>
  </si>
  <si>
    <t>יחרק</t>
  </si>
  <si>
    <t>יחשבון</t>
  </si>
  <si>
    <t>יחד</t>
  </si>
  <si>
    <t>יין</t>
  </si>
  <si>
    <t>יכרת</t>
  </si>
  <si>
    <t>יכתרו</t>
  </si>
  <si>
    <t>יכירנו</t>
  </si>
  <si>
    <t>ים</t>
  </si>
  <si>
    <t>ימטר</t>
  </si>
  <si>
    <t>ימשני</t>
  </si>
  <si>
    <t>ימים</t>
  </si>
  <si>
    <t>ינחני</t>
  </si>
  <si>
    <t>יסתרני</t>
  </si>
  <si>
    <t>יסע</t>
  </si>
  <si>
    <t>יסר</t>
  </si>
  <si>
    <t>יעזרה</t>
  </si>
  <si>
    <t>יעטה</t>
  </si>
  <si>
    <t>יעלזו</t>
  </si>
  <si>
    <t>יעבר</t>
  </si>
  <si>
    <t>יעברון</t>
  </si>
  <si>
    <t>יעבור</t>
  </si>
  <si>
    <t>יעזב</t>
  </si>
  <si>
    <t>יעטף</t>
  </si>
  <si>
    <t>יעטו</t>
  </si>
  <si>
    <t>יעלה</t>
  </si>
  <si>
    <t>יעלו</t>
  </si>
  <si>
    <t>יעמידני</t>
  </si>
  <si>
    <t>יעמס</t>
  </si>
  <si>
    <t>יעמד</t>
  </si>
  <si>
    <t>יעמדו</t>
  </si>
  <si>
    <t>יענהו</t>
  </si>
  <si>
    <t>יענם</t>
  </si>
  <si>
    <t>יעקב</t>
  </si>
  <si>
    <t>יערך</t>
  </si>
  <si>
    <t>יעשר</t>
  </si>
  <si>
    <t>יעשה</t>
  </si>
  <si>
    <t>יעשו</t>
  </si>
  <si>
    <t>יעבדנו</t>
  </si>
  <si>
    <t>יעבדוהו</t>
  </si>
  <si>
    <t>יעבדוני</t>
  </si>
  <si>
    <t>יעברו</t>
  </si>
  <si>
    <t>יעטפו</t>
  </si>
  <si>
    <t>יעלצו</t>
  </si>
  <si>
    <t>יען</t>
  </si>
  <si>
    <t>יענך</t>
  </si>
  <si>
    <t>יפטירו</t>
  </si>
  <si>
    <t>יפריחו</t>
  </si>
  <si>
    <t>יפילו</t>
  </si>
  <si>
    <t>יפלם</t>
  </si>
  <si>
    <t>יצליח</t>
  </si>
  <si>
    <t>יצמיתם</t>
  </si>
  <si>
    <t>יציל</t>
  </si>
  <si>
    <t>יצילך</t>
  </si>
  <si>
    <t>יצילהו</t>
  </si>
  <si>
    <t>יצילם</t>
  </si>
  <si>
    <t>יצילני</t>
  </si>
  <si>
    <t>יקריבו</t>
  </si>
  <si>
    <t>יקיפו</t>
  </si>
  <si>
    <t>יראני</t>
  </si>
  <si>
    <t>ירביצני</t>
  </si>
  <si>
    <t>ירדן</t>
  </si>
  <si>
    <t>ירשיעו</t>
  </si>
  <si>
    <t>ישמיע</t>
  </si>
  <si>
    <t>ישפיל</t>
  </si>
  <si>
    <t>ישקו</t>
  </si>
  <si>
    <t>ישקוני</t>
  </si>
  <si>
    <t>ישביעך</t>
  </si>
  <si>
    <t>ישיגם</t>
  </si>
  <si>
    <t>יאיר</t>
  </si>
  <si>
    <t>יאר</t>
  </si>
  <si>
    <t>יבין</t>
  </si>
  <si>
    <t>יבינו</t>
  </si>
  <si>
    <t>יבש</t>
  </si>
  <si>
    <t>יבא</t>
  </si>
  <si>
    <t>יבאו</t>
  </si>
  <si>
    <t>יבוא</t>
  </si>
  <si>
    <t>יבוס</t>
  </si>
  <si>
    <t>יגילו</t>
  </si>
  <si>
    <t>יגל</t>
  </si>
  <si>
    <t>יגעתי</t>
  </si>
  <si>
    <t>יגודו</t>
  </si>
  <si>
    <t>יגון</t>
  </si>
  <si>
    <t>יגור</t>
  </si>
  <si>
    <t>יגורו</t>
  </si>
  <si>
    <t>ידך</t>
  </si>
  <si>
    <t>ידין</t>
  </si>
  <si>
    <t>ידיך</t>
  </si>
  <si>
    <t>ידעתי</t>
  </si>
  <si>
    <t>ידעת</t>
  </si>
  <si>
    <t>ידים</t>
  </si>
  <si>
    <t>ידיו</t>
  </si>
  <si>
    <t>ידו</t>
  </si>
  <si>
    <t>יה</t>
  </si>
  <si>
    <t>יחיד</t>
  </si>
  <si>
    <t>יחיל</t>
  </si>
  <si>
    <t>יחילו</t>
  </si>
  <si>
    <t>יחס</t>
  </si>
  <si>
    <t>יחוגו</t>
  </si>
  <si>
    <t>יכין</t>
  </si>
  <si>
    <t>יכלתי</t>
  </si>
  <si>
    <t>ילין</t>
  </si>
  <si>
    <t>ימיטו</t>
  </si>
  <si>
    <t>ימיקו</t>
  </si>
  <si>
    <t>ימיש</t>
  </si>
  <si>
    <t>ימר</t>
  </si>
  <si>
    <t>ימיו</t>
  </si>
  <si>
    <t>ימות</t>
  </si>
  <si>
    <t>ימותו</t>
  </si>
  <si>
    <t>יני</t>
  </si>
  <si>
    <t>יניעו</t>
  </si>
  <si>
    <t>ינוב</t>
  </si>
  <si>
    <t>ינועו</t>
  </si>
  <si>
    <t>יסך</t>
  </si>
  <si>
    <t>יסד</t>
  </si>
  <si>
    <t>יסור</t>
  </si>
  <si>
    <t>יעצו</t>
  </si>
  <si>
    <t>יער</t>
  </si>
  <si>
    <t>יעז</t>
  </si>
  <si>
    <t>יעוף</t>
  </si>
  <si>
    <t>יפיך</t>
  </si>
  <si>
    <t>יפיפית</t>
  </si>
  <si>
    <t>יפיח</t>
  </si>
  <si>
    <t>יפוצו</t>
  </si>
  <si>
    <t>יציץ</t>
  </si>
  <si>
    <t>יצרת</t>
  </si>
  <si>
    <t>יצרו</t>
  </si>
  <si>
    <t>יצוק</t>
  </si>
  <si>
    <t>יקשו</t>
  </si>
  <si>
    <t>יקם</t>
  </si>
  <si>
    <t>יקר</t>
  </si>
  <si>
    <t>יקמו</t>
  </si>
  <si>
    <t>יקום</t>
  </si>
  <si>
    <t>יקומו</t>
  </si>
  <si>
    <t>יקוש</t>
  </si>
  <si>
    <t>ירשו</t>
  </si>
  <si>
    <t>יריב</t>
  </si>
  <si>
    <t>ירים</t>
  </si>
  <si>
    <t>יריע</t>
  </si>
  <si>
    <t>ירח</t>
  </si>
  <si>
    <t>ירך</t>
  </si>
  <si>
    <t>ירנו</t>
  </si>
  <si>
    <t>ירום</t>
  </si>
  <si>
    <t>ירומו</t>
  </si>
  <si>
    <t>ירוץ</t>
  </si>
  <si>
    <t>ישיב</t>
  </si>
  <si>
    <t>ישיבו</t>
  </si>
  <si>
    <t>ישירו</t>
  </si>
  <si>
    <t>ישיתו</t>
  </si>
  <si>
    <t>ישת</t>
  </si>
  <si>
    <t>ישבנו</t>
  </si>
  <si>
    <t>ישבתי</t>
  </si>
  <si>
    <t>ישבת</t>
  </si>
  <si>
    <t>ישר</t>
  </si>
  <si>
    <t>ישח</t>
  </si>
  <si>
    <t>ישמו</t>
  </si>
  <si>
    <t>ישוב</t>
  </si>
  <si>
    <t>ישובו</t>
  </si>
  <si>
    <t>ישוד</t>
  </si>
  <si>
    <t>ישיח</t>
  </si>
  <si>
    <t>ישיחו</t>
  </si>
  <si>
    <t>ישים</t>
  </si>
  <si>
    <t>ישיש</t>
  </si>
  <si>
    <t>ישישו</t>
  </si>
  <si>
    <t>ישם</t>
  </si>
  <si>
    <t>יתום</t>
  </si>
  <si>
    <t>יאבדו</t>
  </si>
  <si>
    <t>יאכלו</t>
  </si>
  <si>
    <t>יאמרך</t>
  </si>
  <si>
    <t>יאמרו</t>
  </si>
  <si>
    <t>יבלני</t>
  </si>
  <si>
    <t>יסיף</t>
  </si>
  <si>
    <t>יסף</t>
  </si>
  <si>
    <t>יפי</t>
  </si>
  <si>
    <t>יצר</t>
  </si>
  <si>
    <t>ירדי</t>
  </si>
  <si>
    <t>ירהו</t>
  </si>
  <si>
    <t>ישבי</t>
  </si>
  <si>
    <t>ישביה</t>
  </si>
  <si>
    <t>ילד</t>
  </si>
  <si>
    <t>ידידות</t>
  </si>
  <si>
    <t>יגיל</t>
  </si>
  <si>
    <t>יקרו</t>
  </si>
  <si>
    <t>יואב</t>
  </si>
  <si>
    <t>יובילו</t>
  </si>
  <si>
    <t>יודעי</t>
  </si>
  <si>
    <t>יודיע</t>
  </si>
  <si>
    <t>יודה</t>
  </si>
  <si>
    <t>יודו</t>
  </si>
  <si>
    <t>יודוך</t>
  </si>
  <si>
    <t>יוכיח</t>
  </si>
  <si>
    <t>יום</t>
  </si>
  <si>
    <t>יומם</t>
  </si>
  <si>
    <t>יומו</t>
  </si>
  <si>
    <t>יונקותיה</t>
  </si>
  <si>
    <t>יונת</t>
  </si>
  <si>
    <t>יונה</t>
  </si>
  <si>
    <t>יוסיף</t>
  </si>
  <si>
    <t>יוסף</t>
  </si>
  <si>
    <t>יוציא</t>
  </si>
  <si>
    <t>יוציאם</t>
  </si>
  <si>
    <t>יוצאת</t>
  </si>
  <si>
    <t>יוצר</t>
  </si>
  <si>
    <t>יורדי</t>
  </si>
  <si>
    <t>יורה</t>
  </si>
  <si>
    <t>יורנו</t>
  </si>
  <si>
    <t>יושבי</t>
  </si>
  <si>
    <t>יושיעם</t>
  </si>
  <si>
    <t>יושיעני</t>
  </si>
  <si>
    <t>יושיע</t>
  </si>
  <si>
    <t>יושב</t>
  </si>
  <si>
    <t>יוטל</t>
  </si>
  <si>
    <t>יוכל</t>
  </si>
  <si>
    <t>יוכלו</t>
  </si>
  <si>
    <t>כאילים</t>
  </si>
  <si>
    <t>כאין</t>
  </si>
  <si>
    <t>כבוד</t>
  </si>
  <si>
    <t>כבודי</t>
  </si>
  <si>
    <t>כבודו</t>
  </si>
  <si>
    <t>כזוית</t>
  </si>
  <si>
    <t>כחרש</t>
  </si>
  <si>
    <t>כחסדך</t>
  </si>
  <si>
    <t>כלמה</t>
  </si>
  <si>
    <t>כמו</t>
  </si>
  <si>
    <t>כסלי</t>
  </si>
  <si>
    <t>כפתים</t>
  </si>
  <si>
    <t>כצדקך</t>
  </si>
  <si>
    <t>כצדקי</t>
  </si>
  <si>
    <t>כרגע</t>
  </si>
  <si>
    <t>כגבה</t>
  </si>
  <si>
    <t>כדבורים</t>
  </si>
  <si>
    <t>כחדתי</t>
  </si>
  <si>
    <t>כי</t>
  </si>
  <si>
    <t>כלבבך</t>
  </si>
  <si>
    <t>כליתי</t>
  </si>
  <si>
    <t>כליותי</t>
  </si>
  <si>
    <t>כסיתי</t>
  </si>
  <si>
    <t>כסתי</t>
  </si>
  <si>
    <t>כן</t>
  </si>
  <si>
    <t>כחלל</t>
  </si>
  <si>
    <t>כחציר</t>
  </si>
  <si>
    <t>כחטאינו</t>
  </si>
  <si>
    <t>כחרב</t>
  </si>
  <si>
    <t>ככלב</t>
  </si>
  <si>
    <t>כלה</t>
  </si>
  <si>
    <t>כמעיל</t>
  </si>
  <si>
    <t>כמים</t>
  </si>
  <si>
    <t>כנפי</t>
  </si>
  <si>
    <t>כעונתינו</t>
  </si>
  <si>
    <t>כפים</t>
  </si>
  <si>
    <t>כפי</t>
  </si>
  <si>
    <t>כצאן</t>
  </si>
  <si>
    <t>כאור</t>
  </si>
  <si>
    <t>כבד</t>
  </si>
  <si>
    <t>כזב</t>
  </si>
  <si>
    <t>כל</t>
  </si>
  <si>
    <t>כלו</t>
  </si>
  <si>
    <t>כמוך</t>
  </si>
  <si>
    <t>כף</t>
  </si>
  <si>
    <t>כרים</t>
  </si>
  <si>
    <t>כשלו</t>
  </si>
  <si>
    <t>כהן</t>
  </si>
  <si>
    <t>כחי</t>
  </si>
  <si>
    <t>כח</t>
  </si>
  <si>
    <t>כלכם</t>
  </si>
  <si>
    <t>כאיש</t>
  </si>
  <si>
    <t>כאש</t>
  </si>
  <si>
    <t>כארז</t>
  </si>
  <si>
    <t>כארץ</t>
  </si>
  <si>
    <t>כאיל</t>
  </si>
  <si>
    <t>כאריה</t>
  </si>
  <si>
    <t>כאדם</t>
  </si>
  <si>
    <t>כאח</t>
  </si>
  <si>
    <t>כבגד</t>
  </si>
  <si>
    <t>כבר</t>
  </si>
  <si>
    <t>כבודך</t>
  </si>
  <si>
    <t>כבודם</t>
  </si>
  <si>
    <t>כבודה</t>
  </si>
  <si>
    <t>כגבור</t>
  </si>
  <si>
    <t>כגדל</t>
  </si>
  <si>
    <t>כהמס</t>
  </si>
  <si>
    <t>כהנדף</t>
  </si>
  <si>
    <t>כהררי</t>
  </si>
  <si>
    <t>כזית</t>
  </si>
  <si>
    <t>כחתן</t>
  </si>
  <si>
    <t>כחללים</t>
  </si>
  <si>
    <t>כטיט</t>
  </si>
  <si>
    <t>כיום</t>
  </si>
  <si>
    <t>ככל</t>
  </si>
  <si>
    <t>כלמתי</t>
  </si>
  <si>
    <t>כלי</t>
  </si>
  <si>
    <t>כלבים</t>
  </si>
  <si>
    <t>כלביך</t>
  </si>
  <si>
    <t>כמביא</t>
  </si>
  <si>
    <t>כמת</t>
  </si>
  <si>
    <t>כמתי</t>
  </si>
  <si>
    <t>כמדו</t>
  </si>
  <si>
    <t>כמעשה</t>
  </si>
  <si>
    <t>כמעשהו</t>
  </si>
  <si>
    <t>כמשא</t>
  </si>
  <si>
    <t>כמטר</t>
  </si>
  <si>
    <t>כמץ</t>
  </si>
  <si>
    <t>כמוהם</t>
  </si>
  <si>
    <t>כמופת</t>
  </si>
  <si>
    <t>כנען</t>
  </si>
  <si>
    <t>כנפיך</t>
  </si>
  <si>
    <t>כנפיו</t>
  </si>
  <si>
    <t>כסיל</t>
  </si>
  <si>
    <t>כסוחה</t>
  </si>
  <si>
    <t>כסוי</t>
  </si>
  <si>
    <t>כסוס</t>
  </si>
  <si>
    <t>כעץ</t>
  </si>
  <si>
    <t>כעשב</t>
  </si>
  <si>
    <t>כערכי</t>
  </si>
  <si>
    <t>כעל</t>
  </si>
  <si>
    <t>כעפר</t>
  </si>
  <si>
    <t>כפיר</t>
  </si>
  <si>
    <t>כפירים</t>
  </si>
  <si>
    <t>כפרד</t>
  </si>
  <si>
    <t>כפעלם</t>
  </si>
  <si>
    <t>כפור</t>
  </si>
  <si>
    <t>כפופים</t>
  </si>
  <si>
    <t>כצדקו</t>
  </si>
  <si>
    <t>כציץ</t>
  </si>
  <si>
    <t>כצל</t>
  </si>
  <si>
    <t>כקיר</t>
  </si>
  <si>
    <t>כרע</t>
  </si>
  <si>
    <t>כרחם</t>
  </si>
  <si>
    <t>כרב</t>
  </si>
  <si>
    <t>כרם</t>
  </si>
  <si>
    <t>כרוב</t>
  </si>
  <si>
    <t>כרובים</t>
  </si>
  <si>
    <t>כתנור</t>
  </si>
  <si>
    <t>כתער</t>
  </si>
  <si>
    <t>כבני</t>
  </si>
  <si>
    <t>כדברך</t>
  </si>
  <si>
    <t>כדמות</t>
  </si>
  <si>
    <t>כימי</t>
  </si>
  <si>
    <t>כיקר</t>
  </si>
  <si>
    <t>ככלי</t>
  </si>
  <si>
    <t>ככלות</t>
  </si>
  <si>
    <t>כמעט</t>
  </si>
  <si>
    <t>כמריבה</t>
  </si>
  <si>
    <t>כנטעים</t>
  </si>
  <si>
    <t>כנטותו</t>
  </si>
  <si>
    <t>כנים</t>
  </si>
  <si>
    <t>כנרותינו</t>
  </si>
  <si>
    <t>כנור</t>
  </si>
  <si>
    <t>כסאך</t>
  </si>
  <si>
    <t>כסאו</t>
  </si>
  <si>
    <t>כסלם</t>
  </si>
  <si>
    <t>כסתה</t>
  </si>
  <si>
    <t>כסית</t>
  </si>
  <si>
    <t>כסיתו</t>
  </si>
  <si>
    <t>כסא</t>
  </si>
  <si>
    <t>כסתני</t>
  </si>
  <si>
    <t>כצרף</t>
  </si>
  <si>
    <t>כראים</t>
  </si>
  <si>
    <t>כרביבים</t>
  </si>
  <si>
    <t>כרחק</t>
  </si>
  <si>
    <t>כתהמות</t>
  </si>
  <si>
    <t>כתרוני</t>
  </si>
  <si>
    <t>כאלהים</t>
  </si>
  <si>
    <t>כסל</t>
  </si>
  <si>
    <t>כלב</t>
  </si>
  <si>
    <t>כסף</t>
  </si>
  <si>
    <t>כאבל</t>
  </si>
  <si>
    <t>כאבותם</t>
  </si>
  <si>
    <t>כאשר</t>
  </si>
  <si>
    <t>כבדוהו</t>
  </si>
  <si>
    <t>כבהמות</t>
  </si>
  <si>
    <t>כבסני</t>
  </si>
  <si>
    <t>כדונג</t>
  </si>
  <si>
    <t>כחלום</t>
  </si>
  <si>
    <t>כחשיכה</t>
  </si>
  <si>
    <t>כיריעה</t>
  </si>
  <si>
    <t>כיונה</t>
  </si>
  <si>
    <t>כלבנון</t>
  </si>
  <si>
    <t>כלבוש</t>
  </si>
  <si>
    <t>כמדבר</t>
  </si>
  <si>
    <t>כמה</t>
  </si>
  <si>
    <t>כנהרות</t>
  </si>
  <si>
    <t>כנד</t>
  </si>
  <si>
    <t>כנשר</t>
  </si>
  <si>
    <t>כספו</t>
  </si>
  <si>
    <t>כעסך</t>
  </si>
  <si>
    <t>כפינו</t>
  </si>
  <si>
    <t>כפכה</t>
  </si>
  <si>
    <t>כפיו</t>
  </si>
  <si>
    <t>כצנה</t>
  </si>
  <si>
    <t>כצהרים</t>
  </si>
  <si>
    <t>כצמר</t>
  </si>
  <si>
    <t>כשכור</t>
  </si>
  <si>
    <t>כשלמה</t>
  </si>
  <si>
    <t>כתמר</t>
  </si>
  <si>
    <t>כארי</t>
  </si>
  <si>
    <t>כאים</t>
  </si>
  <si>
    <t>כאפר</t>
  </si>
  <si>
    <t>כאילות</t>
  </si>
  <si>
    <t>כארבה</t>
  </si>
  <si>
    <t>כאורה</t>
  </si>
  <si>
    <t>כחש</t>
  </si>
  <si>
    <t>כלתה</t>
  </si>
  <si>
    <t>כנף</t>
  </si>
  <si>
    <t>כסו</t>
  </si>
  <si>
    <t>כעש</t>
  </si>
  <si>
    <t>כפרו</t>
  </si>
  <si>
    <t>כפף</t>
  </si>
  <si>
    <t>כרעו</t>
  </si>
  <si>
    <t>כרית</t>
  </si>
  <si>
    <t>כרת</t>
  </si>
  <si>
    <t>כרתי</t>
  </si>
  <si>
    <t>כרה</t>
  </si>
  <si>
    <t>כרו</t>
  </si>
  <si>
    <t>כשל</t>
  </si>
  <si>
    <t>כתוב</t>
  </si>
  <si>
    <t>כנס</t>
  </si>
  <si>
    <t>כלם</t>
  </si>
  <si>
    <t>כוכבי</t>
  </si>
  <si>
    <t>כוננו</t>
  </si>
  <si>
    <t>כונן</t>
  </si>
  <si>
    <t>כוננת</t>
  </si>
  <si>
    <t>כוננתה</t>
  </si>
  <si>
    <t>כוס</t>
  </si>
  <si>
    <t>כוסי</t>
  </si>
  <si>
    <t>כוסם</t>
  </si>
  <si>
    <t>כוש</t>
  </si>
  <si>
    <t>לאולתי</t>
  </si>
  <si>
    <t>לאיש</t>
  </si>
  <si>
    <t>לאמרי</t>
  </si>
  <si>
    <t>לאיתן</t>
  </si>
  <si>
    <t>לאל</t>
  </si>
  <si>
    <t>לאחי</t>
  </si>
  <si>
    <t>לאלף</t>
  </si>
  <si>
    <t>לאדמתו</t>
  </si>
  <si>
    <t>לאהרן</t>
  </si>
  <si>
    <t>לאחריתם</t>
  </si>
  <si>
    <t>לאפסי</t>
  </si>
  <si>
    <t>לאחור</t>
  </si>
  <si>
    <t>לאסף</t>
  </si>
  <si>
    <t>לארך</t>
  </si>
  <si>
    <t>לאמים</t>
  </si>
  <si>
    <t>לאויבים</t>
  </si>
  <si>
    <t>לבית</t>
  </si>
  <si>
    <t>לביתך</t>
  </si>
  <si>
    <t>לביתו</t>
  </si>
  <si>
    <t>לבן</t>
  </si>
  <si>
    <t>לבב</t>
  </si>
  <si>
    <t>לבבכם</t>
  </si>
  <si>
    <t>לבדך</t>
  </si>
  <si>
    <t>לבדו</t>
  </si>
  <si>
    <t>לבלות</t>
  </si>
  <si>
    <t>לבעל</t>
  </si>
  <si>
    <t>לבאם</t>
  </si>
  <si>
    <t>לבבי</t>
  </si>
  <si>
    <t>לבנון</t>
  </si>
  <si>
    <t>לברי</t>
  </si>
  <si>
    <t>לבושי</t>
  </si>
  <si>
    <t>לבושה</t>
  </si>
  <si>
    <t>לגזר</t>
  </si>
  <si>
    <t>לדרך</t>
  </si>
  <si>
    <t>לדבר</t>
  </si>
  <si>
    <t>לדוד</t>
  </si>
  <si>
    <t>לדם</t>
  </si>
  <si>
    <t>לדלקים</t>
  </si>
  <si>
    <t>לדר</t>
  </si>
  <si>
    <t>לדור</t>
  </si>
  <si>
    <t>להשמדם</t>
  </si>
  <si>
    <t>להתהלך</t>
  </si>
  <si>
    <t>להתהלל</t>
  </si>
  <si>
    <t>להתנכל</t>
  </si>
  <si>
    <t>להתנוסס</t>
  </si>
  <si>
    <t>להתעולל</t>
  </si>
  <si>
    <t>להיטיב</t>
  </si>
  <si>
    <t>להגיד</t>
  </si>
  <si>
    <t>להדיח</t>
  </si>
  <si>
    <t>להזכיר</t>
  </si>
  <si>
    <t>להכרית</t>
  </si>
  <si>
    <t>להפיל</t>
  </si>
  <si>
    <t>להצהיל</t>
  </si>
  <si>
    <t>להצילני</t>
  </si>
  <si>
    <t>להר</t>
  </si>
  <si>
    <t>להררי</t>
  </si>
  <si>
    <t>להשבית</t>
  </si>
  <si>
    <t>להשמידם</t>
  </si>
  <si>
    <t>להשקיט</t>
  </si>
  <si>
    <t>להשכיל</t>
  </si>
  <si>
    <t>להרע</t>
  </si>
  <si>
    <t>להשיב</t>
  </si>
  <si>
    <t>להדות</t>
  </si>
  <si>
    <t>להודיע</t>
  </si>
  <si>
    <t>להודיעם</t>
  </si>
  <si>
    <t>להודות</t>
  </si>
  <si>
    <t>להוציא</t>
  </si>
  <si>
    <t>להושיבי</t>
  </si>
  <si>
    <t>להושיעני</t>
  </si>
  <si>
    <t>להושיע</t>
  </si>
  <si>
    <t>לזכר</t>
  </si>
  <si>
    <t>לחכי</t>
  </si>
  <si>
    <t>לחלכה</t>
  </si>
  <si>
    <t>לחיתו</t>
  </si>
  <si>
    <t>לחית</t>
  </si>
  <si>
    <t>לחם</t>
  </si>
  <si>
    <t>לחסדו</t>
  </si>
  <si>
    <t>לחצרות</t>
  </si>
  <si>
    <t>לחק</t>
  </si>
  <si>
    <t>לישרי</t>
  </si>
  <si>
    <t>לישחק</t>
  </si>
  <si>
    <t>לישראל</t>
  </si>
  <si>
    <t>ליבשה</t>
  </si>
  <si>
    <t>ליד</t>
  </si>
  <si>
    <t>ליעקב</t>
  </si>
  <si>
    <t>לידעיך</t>
  </si>
  <si>
    <t>לידעי</t>
  </si>
  <si>
    <t>ליום</t>
  </si>
  <si>
    <t>לכסלה</t>
  </si>
  <si>
    <t>לכסא</t>
  </si>
  <si>
    <t>לכסות</t>
  </si>
  <si>
    <t>לך</t>
  </si>
  <si>
    <t>לכל</t>
  </si>
  <si>
    <t>לכלם</t>
  </si>
  <si>
    <t>לכו</t>
  </si>
  <si>
    <t>ללמד</t>
  </si>
  <si>
    <t>למדבר</t>
  </si>
  <si>
    <t>למרמה</t>
  </si>
  <si>
    <t>למשכנתיו</t>
  </si>
  <si>
    <t>למשען</t>
  </si>
  <si>
    <t>למשפטי</t>
  </si>
  <si>
    <t>למשגב</t>
  </si>
  <si>
    <t>למלך</t>
  </si>
  <si>
    <t>לממשלות</t>
  </si>
  <si>
    <t>לממשלת</t>
  </si>
  <si>
    <t>למדחפת</t>
  </si>
  <si>
    <t>למכה</t>
  </si>
  <si>
    <t>למלכי</t>
  </si>
  <si>
    <t>למלכנו</t>
  </si>
  <si>
    <t>למסכה</t>
  </si>
  <si>
    <t>למעינו</t>
  </si>
  <si>
    <t>למען</t>
  </si>
  <si>
    <t>למשאות</t>
  </si>
  <si>
    <t>למשואות</t>
  </si>
  <si>
    <t>למחול</t>
  </si>
  <si>
    <t>למעלה</t>
  </si>
  <si>
    <t>למשל</t>
  </si>
  <si>
    <t>למשה</t>
  </si>
  <si>
    <t>למוליך</t>
  </si>
  <si>
    <t>למוסרי</t>
  </si>
  <si>
    <t>למועדים</t>
  </si>
  <si>
    <t>למוקש</t>
  </si>
  <si>
    <t>למושעות</t>
  </si>
  <si>
    <t>למותת</t>
  </si>
  <si>
    <t>למותם</t>
  </si>
  <si>
    <t>לנפלאתיו</t>
  </si>
  <si>
    <t>לנגדי</t>
  </si>
  <si>
    <t>לנגדם</t>
  </si>
  <si>
    <t>לנגד</t>
  </si>
  <si>
    <t>לנחלה</t>
  </si>
  <si>
    <t>לנפשי</t>
  </si>
  <si>
    <t>לנפשם</t>
  </si>
  <si>
    <t>לנצרי</t>
  </si>
  <si>
    <t>לסיחון</t>
  </si>
  <si>
    <t>לספר</t>
  </si>
  <si>
    <t>לעיים</t>
  </si>
  <si>
    <t>לעתות</t>
  </si>
  <si>
    <t>לעיני</t>
  </si>
  <si>
    <t>לעינינו</t>
  </si>
  <si>
    <t>לעיניך</t>
  </si>
  <si>
    <t>לעת</t>
  </si>
  <si>
    <t>לעבד</t>
  </si>
  <si>
    <t>לעזרתי</t>
  </si>
  <si>
    <t>לעליון</t>
  </si>
  <si>
    <t>לעם</t>
  </si>
  <si>
    <t>לעמו</t>
  </si>
  <si>
    <t>לעצבותם</t>
  </si>
  <si>
    <t>לעשקם</t>
  </si>
  <si>
    <t>לעלם</t>
  </si>
  <si>
    <t>לעשה</t>
  </si>
  <si>
    <t>לעולם</t>
  </si>
  <si>
    <t>לעוף</t>
  </si>
  <si>
    <t>לפי</t>
  </si>
  <si>
    <t>לפח</t>
  </si>
  <si>
    <t>לפניה</t>
  </si>
  <si>
    <t>לפניך</t>
  </si>
  <si>
    <t>לפני</t>
  </si>
  <si>
    <t>לפניו</t>
  </si>
  <si>
    <t>לפעלו</t>
  </si>
  <si>
    <t>לציים</t>
  </si>
  <si>
    <t>לצמאון</t>
  </si>
  <si>
    <t>לצלע</t>
  </si>
  <si>
    <t>לצור</t>
  </si>
  <si>
    <t>לקדשו</t>
  </si>
  <si>
    <t>לקהל</t>
  </si>
  <si>
    <t>לקול</t>
  </si>
  <si>
    <t>לקולי</t>
  </si>
  <si>
    <t>לריבי</t>
  </si>
  <si>
    <t>לרעי</t>
  </si>
  <si>
    <t>לרעהו</t>
  </si>
  <si>
    <t>לרבים</t>
  </si>
  <si>
    <t>לרגליך</t>
  </si>
  <si>
    <t>לרצון</t>
  </si>
  <si>
    <t>לראש</t>
  </si>
  <si>
    <t>לראשי</t>
  </si>
  <si>
    <t>לראשנו</t>
  </si>
  <si>
    <t>לראשו</t>
  </si>
  <si>
    <t>לרקע</t>
  </si>
  <si>
    <t>לשבתו</t>
  </si>
  <si>
    <t>לשמך</t>
  </si>
  <si>
    <t>לשטף</t>
  </si>
  <si>
    <t>לשמע</t>
  </si>
  <si>
    <t>לשדי</t>
  </si>
  <si>
    <t>לשלמי</t>
  </si>
  <si>
    <t>לשמה</t>
  </si>
  <si>
    <t>לשאול</t>
  </si>
  <si>
    <t>לשמרי</t>
  </si>
  <si>
    <t>לשנו</t>
  </si>
  <si>
    <t>לשנות</t>
  </si>
  <si>
    <t>לשררי</t>
  </si>
  <si>
    <t>לשואה</t>
  </si>
  <si>
    <t>לשון</t>
  </si>
  <si>
    <t>לשונך</t>
  </si>
  <si>
    <t>לשוני</t>
  </si>
  <si>
    <t>לשונם</t>
  </si>
  <si>
    <t>לשונו</t>
  </si>
  <si>
    <t>לשחק</t>
  </si>
  <si>
    <t>לשרים</t>
  </si>
  <si>
    <t>לתאבה</t>
  </si>
  <si>
    <t>לתודה</t>
  </si>
  <si>
    <t>לבאר</t>
  </si>
  <si>
    <t>לבהמה</t>
  </si>
  <si>
    <t>לבחירי</t>
  </si>
  <si>
    <t>לבלום</t>
  </si>
  <si>
    <t>לבני</t>
  </si>
  <si>
    <t>לבניהם</t>
  </si>
  <si>
    <t>לברכה</t>
  </si>
  <si>
    <t>לבי</t>
  </si>
  <si>
    <t>לבנו</t>
  </si>
  <si>
    <t>לבך</t>
  </si>
  <si>
    <t>לבם</t>
  </si>
  <si>
    <t>לבו</t>
  </si>
  <si>
    <t>לגזרים</t>
  </si>
  <si>
    <t>לדברו</t>
  </si>
  <si>
    <t>לדחות</t>
  </si>
  <si>
    <t>לדממה</t>
  </si>
  <si>
    <t>לויתן</t>
  </si>
  <si>
    <t>לטבוח</t>
  </si>
  <si>
    <t>לטמון</t>
  </si>
  <si>
    <t>לטרוף</t>
  </si>
  <si>
    <t>לי</t>
  </si>
  <si>
    <t>לידותון</t>
  </si>
  <si>
    <t>לימין</t>
  </si>
  <si>
    <t>לימינך</t>
  </si>
  <si>
    <t>לימיני</t>
  </si>
  <si>
    <t>ליראיו</t>
  </si>
  <si>
    <t>לירות</t>
  </si>
  <si>
    <t>לישעתה</t>
  </si>
  <si>
    <t>לישועה</t>
  </si>
  <si>
    <t>ליתומיו</t>
  </si>
  <si>
    <t>לכלמה</t>
  </si>
  <si>
    <t>ללשננו</t>
  </si>
  <si>
    <t>למזמה</t>
  </si>
  <si>
    <t>למידעי</t>
  </si>
  <si>
    <t>למלחה</t>
  </si>
  <si>
    <t>למנוחיכי</t>
  </si>
  <si>
    <t>למצא</t>
  </si>
  <si>
    <t>למשיחו</t>
  </si>
  <si>
    <t>למדתני</t>
  </si>
  <si>
    <t>לנדרי</t>
  </si>
  <si>
    <t>לנטות</t>
  </si>
  <si>
    <t>לנפל</t>
  </si>
  <si>
    <t>לסביבותינו</t>
  </si>
  <si>
    <t>לסגלתו</t>
  </si>
  <si>
    <t>לספותה</t>
  </si>
  <si>
    <t>לפניהם</t>
  </si>
  <si>
    <t>לפנות</t>
  </si>
  <si>
    <t>לפעמי</t>
  </si>
  <si>
    <t>לפקד</t>
  </si>
  <si>
    <t>לצדקה</t>
  </si>
  <si>
    <t>לקדושים</t>
  </si>
  <si>
    <t>לקראת</t>
  </si>
  <si>
    <t>לקראתי</t>
  </si>
  <si>
    <t>לראות</t>
  </si>
  <si>
    <t>לרצות</t>
  </si>
  <si>
    <t>לרקמות</t>
  </si>
  <si>
    <t>לשאל</t>
  </si>
  <si>
    <t>לשאולה</t>
  </si>
  <si>
    <t>לשבורי</t>
  </si>
  <si>
    <t>לשכנינו</t>
  </si>
  <si>
    <t>לשכן</t>
  </si>
  <si>
    <t>לשלמה</t>
  </si>
  <si>
    <t>לשמרך</t>
  </si>
  <si>
    <t>לשמר</t>
  </si>
  <si>
    <t>לשמו</t>
  </si>
  <si>
    <t>לשפט</t>
  </si>
  <si>
    <t>לשמח</t>
  </si>
  <si>
    <t>לשנא</t>
  </si>
  <si>
    <t>לתבונתו</t>
  </si>
  <si>
    <t>לאלהים</t>
  </si>
  <si>
    <t>לאלהי</t>
  </si>
  <si>
    <t>לאלהינו</t>
  </si>
  <si>
    <t>לאמר</t>
  </si>
  <si>
    <t>לב</t>
  </si>
  <si>
    <t>לילות</t>
  </si>
  <si>
    <t>לצים</t>
  </si>
  <si>
    <t>לאסר</t>
  </si>
  <si>
    <t>לאכל</t>
  </si>
  <si>
    <t>להבה</t>
  </si>
  <si>
    <t>להבות</t>
  </si>
  <si>
    <t>לחי</t>
  </si>
  <si>
    <t>לעני</t>
  </si>
  <si>
    <t>לעפר</t>
  </si>
  <si>
    <t>לאגם</t>
  </si>
  <si>
    <t>לאדני</t>
  </si>
  <si>
    <t>לאחרים</t>
  </si>
  <si>
    <t>לבקרים</t>
  </si>
  <si>
    <t>לברית</t>
  </si>
  <si>
    <t>לבקר</t>
  </si>
  <si>
    <t>לדך</t>
  </si>
  <si>
    <t>להדם</t>
  </si>
  <si>
    <t>להמיתו</t>
  </si>
  <si>
    <t>להבל</t>
  </si>
  <si>
    <t>להלכים</t>
  </si>
  <si>
    <t>להוללים</t>
  </si>
  <si>
    <t>לחמי</t>
  </si>
  <si>
    <t>לחמה</t>
  </si>
  <si>
    <t>לחזות</t>
  </si>
  <si>
    <t>לחטאה</t>
  </si>
  <si>
    <t>לחטא</t>
  </si>
  <si>
    <t>לחטוף</t>
  </si>
  <si>
    <t>לחסידיך</t>
  </si>
  <si>
    <t>לחסידיו</t>
  </si>
  <si>
    <t>לחסות</t>
  </si>
  <si>
    <t>לחרפות</t>
  </si>
  <si>
    <t>לחסים</t>
  </si>
  <si>
    <t>לחוץ</t>
  </si>
  <si>
    <t>לטרף</t>
  </si>
  <si>
    <t>לילה</t>
  </si>
  <si>
    <t>לישרים</t>
  </si>
  <si>
    <t>ליעלים</t>
  </si>
  <si>
    <t>לכוכבים</t>
  </si>
  <si>
    <t>למנצח</t>
  </si>
  <si>
    <t>למרות</t>
  </si>
  <si>
    <t>למדני</t>
  </si>
  <si>
    <t>למלכים</t>
  </si>
  <si>
    <t>למלחמה</t>
  </si>
  <si>
    <t>למשפט</t>
  </si>
  <si>
    <t>למרחב</t>
  </si>
  <si>
    <t>למבול</t>
  </si>
  <si>
    <t>למות</t>
  </si>
  <si>
    <t>למטר</t>
  </si>
  <si>
    <t>למרום</t>
  </si>
  <si>
    <t>למוט</t>
  </si>
  <si>
    <t>למורא</t>
  </si>
  <si>
    <t>לעבדת</t>
  </si>
  <si>
    <t>לעגי</t>
  </si>
  <si>
    <t>לעוני</t>
  </si>
  <si>
    <t>לעלות</t>
  </si>
  <si>
    <t>לעצתו</t>
  </si>
  <si>
    <t>לערך</t>
  </si>
  <si>
    <t>לערץ</t>
  </si>
  <si>
    <t>לעשות</t>
  </si>
  <si>
    <t>לעשותם</t>
  </si>
  <si>
    <t>לעג</t>
  </si>
  <si>
    <t>לצדיק</t>
  </si>
  <si>
    <t>לקרב</t>
  </si>
  <si>
    <t>לשפנים</t>
  </si>
  <si>
    <t>לשמש</t>
  </si>
  <si>
    <t>לשוא</t>
  </si>
  <si>
    <t>לאביונים</t>
  </si>
  <si>
    <t>לארץ</t>
  </si>
  <si>
    <t>לבשו</t>
  </si>
  <si>
    <t>לבש</t>
  </si>
  <si>
    <t>לבטח</t>
  </si>
  <si>
    <t>לבשת</t>
  </si>
  <si>
    <t>לבוא</t>
  </si>
  <si>
    <t>לדין</t>
  </si>
  <si>
    <t>לדעת</t>
  </si>
  <si>
    <t>להם</t>
  </si>
  <si>
    <t>לה</t>
  </si>
  <si>
    <t>לכן</t>
  </si>
  <si>
    <t>ללכת</t>
  </si>
  <si>
    <t>למה</t>
  </si>
  <si>
    <t>למו</t>
  </si>
  <si>
    <t>לנצח</t>
  </si>
  <si>
    <t>לנו</t>
  </si>
  <si>
    <t>לנוד</t>
  </si>
  <si>
    <t>לעשוקים</t>
  </si>
  <si>
    <t>לערב</t>
  </si>
  <si>
    <t>לעד</t>
  </si>
  <si>
    <t>לקחת</t>
  </si>
  <si>
    <t>לקח</t>
  </si>
  <si>
    <t>לקום</t>
  </si>
  <si>
    <t>לרויה</t>
  </si>
  <si>
    <t>לרעבים</t>
  </si>
  <si>
    <t>לרע</t>
  </si>
  <si>
    <t>לרשע</t>
  </si>
  <si>
    <t>לרכב</t>
  </si>
  <si>
    <t>לרוץ</t>
  </si>
  <si>
    <t>לשבת</t>
  </si>
  <si>
    <t>לשבע</t>
  </si>
  <si>
    <t>לתת</t>
  </si>
  <si>
    <t>לא</t>
  </si>
  <si>
    <t>להטים</t>
  </si>
  <si>
    <t>להט</t>
  </si>
  <si>
    <t>לחמים</t>
  </si>
  <si>
    <t>לעז</t>
  </si>
  <si>
    <t>ללילה</t>
  </si>
  <si>
    <t>ליראיך</t>
  </si>
  <si>
    <t>לו</t>
  </si>
  <si>
    <t>לוה</t>
  </si>
  <si>
    <t>לולא</t>
  </si>
  <si>
    <t>לולי</t>
  </si>
  <si>
    <t>מאירת</t>
  </si>
  <si>
    <t>מאסם</t>
  </si>
  <si>
    <t>מאד</t>
  </si>
  <si>
    <t>מבקשי</t>
  </si>
  <si>
    <t>מבקשיך</t>
  </si>
  <si>
    <t>מבקש</t>
  </si>
  <si>
    <t>מבאו</t>
  </si>
  <si>
    <t>מברך</t>
  </si>
  <si>
    <t>מברכיו</t>
  </si>
  <si>
    <t>מבואו</t>
  </si>
  <si>
    <t>מגדלים</t>
  </si>
  <si>
    <t>מגורותי</t>
  </si>
  <si>
    <t>מדברת</t>
  </si>
  <si>
    <t>מדבר</t>
  </si>
  <si>
    <t>מהרה</t>
  </si>
  <si>
    <t>מהלל</t>
  </si>
  <si>
    <t>מזמה</t>
  </si>
  <si>
    <t>מזמות</t>
  </si>
  <si>
    <t>מזמותיו</t>
  </si>
  <si>
    <t>מזוינו</t>
  </si>
  <si>
    <t>מזקק</t>
  </si>
  <si>
    <t>מחה</t>
  </si>
  <si>
    <t>מחרף</t>
  </si>
  <si>
    <t>מחקקי</t>
  </si>
  <si>
    <t>מחטבות</t>
  </si>
  <si>
    <t>מחכם</t>
  </si>
  <si>
    <t>מחפש</t>
  </si>
  <si>
    <t>מחוז</t>
  </si>
  <si>
    <t>מיחל</t>
  </si>
  <si>
    <t>מכון</t>
  </si>
  <si>
    <t>מכוניה</t>
  </si>
  <si>
    <t>מלאים</t>
  </si>
  <si>
    <t>מלחשים</t>
  </si>
  <si>
    <t>מלמד</t>
  </si>
  <si>
    <t>מלאכה</t>
  </si>
  <si>
    <t>מלכים</t>
  </si>
  <si>
    <t>מלשני</t>
  </si>
  <si>
    <t>מלטש</t>
  </si>
  <si>
    <t>מנשה</t>
  </si>
  <si>
    <t>מנאפים</t>
  </si>
  <si>
    <t>מנת</t>
  </si>
  <si>
    <t>מנחות</t>
  </si>
  <si>
    <t>מנוד</t>
  </si>
  <si>
    <t>מנוחתי</t>
  </si>
  <si>
    <t>מסבי</t>
  </si>
  <si>
    <t>מסלות</t>
  </si>
  <si>
    <t>מספרים</t>
  </si>
  <si>
    <t>מסבלים</t>
  </si>
  <si>
    <t>מעול</t>
  </si>
  <si>
    <t>מעט</t>
  </si>
  <si>
    <t>מעטים</t>
  </si>
  <si>
    <t>מעודד</t>
  </si>
  <si>
    <t>מעונך</t>
  </si>
  <si>
    <t>מעונתם</t>
  </si>
  <si>
    <t>מפיקים</t>
  </si>
  <si>
    <t>מפלטי</t>
  </si>
  <si>
    <t>מצאוני</t>
  </si>
  <si>
    <t>מצא</t>
  </si>
  <si>
    <t>מצודות</t>
  </si>
  <si>
    <t>מצולה</t>
  </si>
  <si>
    <t>מקימי</t>
  </si>
  <si>
    <t>מקמות</t>
  </si>
  <si>
    <t>מקום</t>
  </si>
  <si>
    <t>מקומו</t>
  </si>
  <si>
    <t>מריבה</t>
  </si>
  <si>
    <t>מרעים</t>
  </si>
  <si>
    <t>מרחם</t>
  </si>
  <si>
    <t>מרבבות</t>
  </si>
  <si>
    <t>מרוממי</t>
  </si>
  <si>
    <t>משיבת</t>
  </si>
  <si>
    <t>משיחך</t>
  </si>
  <si>
    <t>משיחו</t>
  </si>
  <si>
    <t>משוע</t>
  </si>
  <si>
    <t>משוה</t>
  </si>
  <si>
    <t>משחתיו</t>
  </si>
  <si>
    <t>משחך</t>
  </si>
  <si>
    <t>משרתיו</t>
  </si>
  <si>
    <t>משך</t>
  </si>
  <si>
    <t>משמחי</t>
  </si>
  <si>
    <t>משנאי</t>
  </si>
  <si>
    <t>משנאיך</t>
  </si>
  <si>
    <t>משנאיו</t>
  </si>
  <si>
    <t>מתי</t>
  </si>
  <si>
    <t>מתם</t>
  </si>
  <si>
    <t>מבטחי</t>
  </si>
  <si>
    <t>מבטחו</t>
  </si>
  <si>
    <t>מבטח</t>
  </si>
  <si>
    <t>מבני</t>
  </si>
  <si>
    <t>מבניהם</t>
  </si>
  <si>
    <t>מבין</t>
  </si>
  <si>
    <t>מבית</t>
  </si>
  <si>
    <t>מביתך</t>
  </si>
  <si>
    <t>מבטן</t>
  </si>
  <si>
    <t>מבלעדי</t>
  </si>
  <si>
    <t>מבשן</t>
  </si>
  <si>
    <t>מבור</t>
  </si>
  <si>
    <t>מגדל</t>
  </si>
  <si>
    <t>מגערת</t>
  </si>
  <si>
    <t>מגערתך</t>
  </si>
  <si>
    <t>מגזלו</t>
  </si>
  <si>
    <t>מגוי</t>
  </si>
  <si>
    <t>מדבש</t>
  </si>
  <si>
    <t>מדחי</t>
  </si>
  <si>
    <t>מדרך</t>
  </si>
  <si>
    <t>מדשן</t>
  </si>
  <si>
    <t>מדם</t>
  </si>
  <si>
    <t>מדמים</t>
  </si>
  <si>
    <t>מדוד</t>
  </si>
  <si>
    <t>מדור</t>
  </si>
  <si>
    <t>מהרו</t>
  </si>
  <si>
    <t>מזבחותיך</t>
  </si>
  <si>
    <t>מזבחך</t>
  </si>
  <si>
    <t>מזמור</t>
  </si>
  <si>
    <t>מזרח</t>
  </si>
  <si>
    <t>מזבל</t>
  </si>
  <si>
    <t>מזהב</t>
  </si>
  <si>
    <t>מזדים</t>
  </si>
  <si>
    <t>מזה</t>
  </si>
  <si>
    <t>מזן</t>
  </si>
  <si>
    <t>מטיט</t>
  </si>
  <si>
    <t>מטתי</t>
  </si>
  <si>
    <t>מטוב</t>
  </si>
  <si>
    <t>מי</t>
  </si>
  <si>
    <t>מיד</t>
  </si>
  <si>
    <t>מים</t>
  </si>
  <si>
    <t>מיער</t>
  </si>
  <si>
    <t>מירדי</t>
  </si>
  <si>
    <t>מידי</t>
  </si>
  <si>
    <t>מימיני</t>
  </si>
  <si>
    <t>מימינך</t>
  </si>
  <si>
    <t>מימי</t>
  </si>
  <si>
    <t>מישר</t>
  </si>
  <si>
    <t>מישור</t>
  </si>
  <si>
    <t>מישועתי</t>
  </si>
  <si>
    <t>מכלל</t>
  </si>
  <si>
    <t>מכתם</t>
  </si>
  <si>
    <t>מכפירים</t>
  </si>
  <si>
    <t>מכעס</t>
  </si>
  <si>
    <t>מכף</t>
  </si>
  <si>
    <t>מכל</t>
  </si>
  <si>
    <t>מלחמה</t>
  </si>
  <si>
    <t>מלחמות</t>
  </si>
  <si>
    <t>מלפניך</t>
  </si>
  <si>
    <t>מלפני</t>
  </si>
  <si>
    <t>מלא</t>
  </si>
  <si>
    <t>מלב</t>
  </si>
  <si>
    <t>מליהם</t>
  </si>
  <si>
    <t>מלה</t>
  </si>
  <si>
    <t>ממך</t>
  </si>
  <si>
    <t>ממכון</t>
  </si>
  <si>
    <t>ממעי</t>
  </si>
  <si>
    <t>ממצלות</t>
  </si>
  <si>
    <t>ממצקותיהם</t>
  </si>
  <si>
    <t>ממצוקותיהם</t>
  </si>
  <si>
    <t>ממצוקותי</t>
  </si>
  <si>
    <t>ממקור</t>
  </si>
  <si>
    <t>ממדבר</t>
  </si>
  <si>
    <t>ממזרח</t>
  </si>
  <si>
    <t>ממי</t>
  </si>
  <si>
    <t>ממכלאתיך</t>
  </si>
  <si>
    <t>ממסגרותיהם</t>
  </si>
  <si>
    <t>ממצותיך</t>
  </si>
  <si>
    <t>ממצרים</t>
  </si>
  <si>
    <t>ממשבצות</t>
  </si>
  <si>
    <t>ממני</t>
  </si>
  <si>
    <t>ממנו</t>
  </si>
  <si>
    <t>ממרחק</t>
  </si>
  <si>
    <t>ממים</t>
  </si>
  <si>
    <t>מממלכה</t>
  </si>
  <si>
    <t>ממסגר</t>
  </si>
  <si>
    <t>ממערב</t>
  </si>
  <si>
    <t>ממות</t>
  </si>
  <si>
    <t>ממעל</t>
  </si>
  <si>
    <t>ממרום</t>
  </si>
  <si>
    <t>ממעצותיהם</t>
  </si>
  <si>
    <t>ממוצא</t>
  </si>
  <si>
    <t>מן</t>
  </si>
  <si>
    <t>מנחת</t>
  </si>
  <si>
    <t>מנחה</t>
  </si>
  <si>
    <t>מנחתך</t>
  </si>
  <si>
    <t>מנעורי</t>
  </si>
  <si>
    <t>מני</t>
  </si>
  <si>
    <t>מנסתרות</t>
  </si>
  <si>
    <t>מנשמת</t>
  </si>
  <si>
    <t>מנהו</t>
  </si>
  <si>
    <t>מנגדו</t>
  </si>
  <si>
    <t>מנגד</t>
  </si>
  <si>
    <t>מנהמת</t>
  </si>
  <si>
    <t>מנחל</t>
  </si>
  <si>
    <t>מנגה</t>
  </si>
  <si>
    <t>מספדי</t>
  </si>
  <si>
    <t>מספר</t>
  </si>
  <si>
    <t>מסתתר</t>
  </si>
  <si>
    <t>מסבל</t>
  </si>
  <si>
    <t>מסביב</t>
  </si>
  <si>
    <t>מסלע</t>
  </si>
  <si>
    <t>מסער</t>
  </si>
  <si>
    <t>מסוד</t>
  </si>
  <si>
    <t>מפלט</t>
  </si>
  <si>
    <t>מפעלות</t>
  </si>
  <si>
    <t>מפני</t>
  </si>
  <si>
    <t>מפרי</t>
  </si>
  <si>
    <t>מפי</t>
  </si>
  <si>
    <t>מפיו</t>
  </si>
  <si>
    <t>מפשע</t>
  </si>
  <si>
    <t>מפח</t>
  </si>
  <si>
    <t>מפחד</t>
  </si>
  <si>
    <t>מפניך</t>
  </si>
  <si>
    <t>מפניו</t>
  </si>
  <si>
    <t>מפעלי</t>
  </si>
  <si>
    <t>מצות</t>
  </si>
  <si>
    <t>מצותיך</t>
  </si>
  <si>
    <t>מצעדי</t>
  </si>
  <si>
    <t>מצער</t>
  </si>
  <si>
    <t>מצרים</t>
  </si>
  <si>
    <t>מצדך</t>
  </si>
  <si>
    <t>מציון</t>
  </si>
  <si>
    <t>מצר</t>
  </si>
  <si>
    <t>מצפון</t>
  </si>
  <si>
    <t>מצרינו</t>
  </si>
  <si>
    <t>מצרה</t>
  </si>
  <si>
    <t>מצריו</t>
  </si>
  <si>
    <t>מצום</t>
  </si>
  <si>
    <t>מקדשי</t>
  </si>
  <si>
    <t>מקדשך</t>
  </si>
  <si>
    <t>מקצה</t>
  </si>
  <si>
    <t>מקרב</t>
  </si>
  <si>
    <t>מקדם</t>
  </si>
  <si>
    <t>מקטב</t>
  </si>
  <si>
    <t>מקדש</t>
  </si>
  <si>
    <t>מקלות</t>
  </si>
  <si>
    <t>מקול</t>
  </si>
  <si>
    <t>מרמה</t>
  </si>
  <si>
    <t>מרמות</t>
  </si>
  <si>
    <t>משאלת</t>
  </si>
  <si>
    <t>משאלותיך</t>
  </si>
  <si>
    <t>משברי</t>
  </si>
  <si>
    <t>משבריך</t>
  </si>
  <si>
    <t>משחר</t>
  </si>
  <si>
    <t>משכבותם</t>
  </si>
  <si>
    <t>משכני</t>
  </si>
  <si>
    <t>משכנתם</t>
  </si>
  <si>
    <t>משכנות</t>
  </si>
  <si>
    <t>משכנותיך</t>
  </si>
  <si>
    <t>משכן</t>
  </si>
  <si>
    <t>משכבו</t>
  </si>
  <si>
    <t>משפחות</t>
  </si>
  <si>
    <t>משפטי</t>
  </si>
  <si>
    <t>משפט</t>
  </si>
  <si>
    <t>משפטיך</t>
  </si>
  <si>
    <t>משפטך</t>
  </si>
  <si>
    <t>משפטיו</t>
  </si>
  <si>
    <t>משחיתותם</t>
  </si>
  <si>
    <t>משמי</t>
  </si>
  <si>
    <t>משמועה</t>
  </si>
  <si>
    <t>משיר</t>
  </si>
  <si>
    <t>משמן</t>
  </si>
  <si>
    <t>משחת</t>
  </si>
  <si>
    <t>משערי</t>
  </si>
  <si>
    <t>משמים</t>
  </si>
  <si>
    <t>משאיהם</t>
  </si>
  <si>
    <t>משד</t>
  </si>
  <si>
    <t>משגבי</t>
  </si>
  <si>
    <t>משגב</t>
  </si>
  <si>
    <t>משאתו</t>
  </si>
  <si>
    <t>משערות</t>
  </si>
  <si>
    <t>מתהלך</t>
  </si>
  <si>
    <t>מתחנתי</t>
  </si>
  <si>
    <t>מתגרת</t>
  </si>
  <si>
    <t>מתוך</t>
  </si>
  <si>
    <t>מתוכם</t>
  </si>
  <si>
    <t>מתורתך</t>
  </si>
  <si>
    <t>מתוגה</t>
  </si>
  <si>
    <t>מאלהים</t>
  </si>
  <si>
    <t>מאלהי</t>
  </si>
  <si>
    <t>מאנה</t>
  </si>
  <si>
    <t>מאנו</t>
  </si>
  <si>
    <t>מאיש</t>
  </si>
  <si>
    <t>מאתך</t>
  </si>
  <si>
    <t>מאתי</t>
  </si>
  <si>
    <t>מאל</t>
  </si>
  <si>
    <t>מאת</t>
  </si>
  <si>
    <t>מארץ</t>
  </si>
  <si>
    <t>מאנקת</t>
  </si>
  <si>
    <t>מאף</t>
  </si>
  <si>
    <t>מארצו</t>
  </si>
  <si>
    <t>מאשפת</t>
  </si>
  <si>
    <t>מאדם</t>
  </si>
  <si>
    <t>מאז</t>
  </si>
  <si>
    <t>מאלף</t>
  </si>
  <si>
    <t>מאהל</t>
  </si>
  <si>
    <t>מאיבי</t>
  </si>
  <si>
    <t>מאיבים</t>
  </si>
  <si>
    <t>מאוצרותיו</t>
  </si>
  <si>
    <t>מאותתיך</t>
  </si>
  <si>
    <t>מהמון</t>
  </si>
  <si>
    <t>מהיכלו</t>
  </si>
  <si>
    <t>מהבל</t>
  </si>
  <si>
    <t>מהם</t>
  </si>
  <si>
    <t>מהר</t>
  </si>
  <si>
    <t>מהררי</t>
  </si>
  <si>
    <t>מהשחית</t>
  </si>
  <si>
    <t>מהעולם</t>
  </si>
  <si>
    <t>מהקיץ</t>
  </si>
  <si>
    <t>מחבריך</t>
  </si>
  <si>
    <t>מחטאי</t>
  </si>
  <si>
    <t>מחטוא</t>
  </si>
  <si>
    <t>מחרון</t>
  </si>
  <si>
    <t>מחים</t>
  </si>
  <si>
    <t>מחלב</t>
  </si>
  <si>
    <t>מחץ</t>
  </si>
  <si>
    <t>מחרב</t>
  </si>
  <si>
    <t>מחטאתי</t>
  </si>
  <si>
    <t>מחיל</t>
  </si>
  <si>
    <t>מחיים</t>
  </si>
  <si>
    <t>מחמתו</t>
  </si>
  <si>
    <t>מחזק</t>
  </si>
  <si>
    <t>מחרבותיהם</t>
  </si>
  <si>
    <t>מחשך</t>
  </si>
  <si>
    <t>מחפתו</t>
  </si>
  <si>
    <t>מחול</t>
  </si>
  <si>
    <t>מימיהם</t>
  </si>
  <si>
    <t>מימיו</t>
  </si>
  <si>
    <t>מישרים</t>
  </si>
  <si>
    <t>מכין</t>
  </si>
  <si>
    <t>מעוני</t>
  </si>
  <si>
    <t>מעליותיו</t>
  </si>
  <si>
    <t>מעיר</t>
  </si>
  <si>
    <t>מעבדך</t>
  </si>
  <si>
    <t>מעל</t>
  </si>
  <si>
    <t>מעם</t>
  </si>
  <si>
    <t>מעתה</t>
  </si>
  <si>
    <t>מעי</t>
  </si>
  <si>
    <t>מעלי</t>
  </si>
  <si>
    <t>מעפר</t>
  </si>
  <si>
    <t>מעולם</t>
  </si>
  <si>
    <t>מראות</t>
  </si>
  <si>
    <t>מרחבה</t>
  </si>
  <si>
    <t>מרגשת</t>
  </si>
  <si>
    <t>מריב</t>
  </si>
  <si>
    <t>מריבי</t>
  </si>
  <si>
    <t>מרשת</t>
  </si>
  <si>
    <t>מרחק</t>
  </si>
  <si>
    <t>מרחוק</t>
  </si>
  <si>
    <t>מרע</t>
  </si>
  <si>
    <t>מרעת</t>
  </si>
  <si>
    <t>מרדפי</t>
  </si>
  <si>
    <t>מרכסי</t>
  </si>
  <si>
    <t>מרוחך</t>
  </si>
  <si>
    <t>מרוח</t>
  </si>
  <si>
    <t>מתים</t>
  </si>
  <si>
    <t>מה</t>
  </si>
  <si>
    <t>מחקרי</t>
  </si>
  <si>
    <t>מלך</t>
  </si>
  <si>
    <t>מלח</t>
  </si>
  <si>
    <t>ממשלתו</t>
  </si>
  <si>
    <t>מסך</t>
  </si>
  <si>
    <t>מאויי</t>
  </si>
  <si>
    <t>מאכל</t>
  </si>
  <si>
    <t>מאליפות</t>
  </si>
  <si>
    <t>מבטיחי</t>
  </si>
  <si>
    <t>מגדיל</t>
  </si>
  <si>
    <t>מגיד</t>
  </si>
  <si>
    <t>מגפה</t>
  </si>
  <si>
    <t>מחכימת</t>
  </si>
  <si>
    <t>מחמאת</t>
  </si>
  <si>
    <t>מחסי</t>
  </si>
  <si>
    <t>מחסהו</t>
  </si>
  <si>
    <t>מחסה</t>
  </si>
  <si>
    <t>מחסום</t>
  </si>
  <si>
    <t>מחסור</t>
  </si>
  <si>
    <t>מחשבתיך</t>
  </si>
  <si>
    <t>מחשבתם</t>
  </si>
  <si>
    <t>מחשבות</t>
  </si>
  <si>
    <t>מחנהו</t>
  </si>
  <si>
    <t>מחנה</t>
  </si>
  <si>
    <t>מחשכי</t>
  </si>
  <si>
    <t>מטה</t>
  </si>
  <si>
    <t>מכאוב</t>
  </si>
  <si>
    <t>מכאובים</t>
  </si>
  <si>
    <t>מכיר</t>
  </si>
  <si>
    <t>מכותם</t>
  </si>
  <si>
    <t>מלאכותיך</t>
  </si>
  <si>
    <t>מלאך</t>
  </si>
  <si>
    <t>מלאכיו</t>
  </si>
  <si>
    <t>מלכי</t>
  </si>
  <si>
    <t>מלכיהם</t>
  </si>
  <si>
    <t>מלכנו</t>
  </si>
  <si>
    <t>מלכו</t>
  </si>
  <si>
    <t>מלכותך</t>
  </si>
  <si>
    <t>מלקוחי</t>
  </si>
  <si>
    <t>מלתעות</t>
  </si>
  <si>
    <t>מלטה</t>
  </si>
  <si>
    <t>ממלכות</t>
  </si>
  <si>
    <t>ממשלותיו</t>
  </si>
  <si>
    <t>מסה</t>
  </si>
  <si>
    <t>מעגל</t>
  </si>
  <si>
    <t>מעין</t>
  </si>
  <si>
    <t>מעינים</t>
  </si>
  <si>
    <t>מעיני</t>
  </si>
  <si>
    <t>מעלה</t>
  </si>
  <si>
    <t>מעשה</t>
  </si>
  <si>
    <t>מעשי</t>
  </si>
  <si>
    <t>מעשיהם</t>
  </si>
  <si>
    <t>מעשיך</t>
  </si>
  <si>
    <t>מעשיו</t>
  </si>
  <si>
    <t>מעללי</t>
  </si>
  <si>
    <t>מעלליהם</t>
  </si>
  <si>
    <t>מצמיח</t>
  </si>
  <si>
    <t>מצמיתי</t>
  </si>
  <si>
    <t>מציל</t>
  </si>
  <si>
    <t>מרעיתך</t>
  </si>
  <si>
    <t>מרעיתו</t>
  </si>
  <si>
    <t>משביח</t>
  </si>
  <si>
    <t>משבית</t>
  </si>
  <si>
    <t>משליך</t>
  </si>
  <si>
    <t>משפיל</t>
  </si>
  <si>
    <t>משקה</t>
  </si>
  <si>
    <t>משאת</t>
  </si>
  <si>
    <t>משכיות</t>
  </si>
  <si>
    <t>משכיל</t>
  </si>
  <si>
    <t>מתיר</t>
  </si>
  <si>
    <t>מתנות</t>
  </si>
  <si>
    <t>מאסו</t>
  </si>
  <si>
    <t>מאור</t>
  </si>
  <si>
    <t>מגני</t>
  </si>
  <si>
    <t>מגננו</t>
  </si>
  <si>
    <t>מגן</t>
  </si>
  <si>
    <t>מגור</t>
  </si>
  <si>
    <t>מדון</t>
  </si>
  <si>
    <t>מהיר</t>
  </si>
  <si>
    <t>מות</t>
  </si>
  <si>
    <t>מחלת</t>
  </si>
  <si>
    <t>מחית</t>
  </si>
  <si>
    <t>מטר</t>
  </si>
  <si>
    <t>מטו</t>
  </si>
  <si>
    <t>מלאה</t>
  </si>
  <si>
    <t>מלאו</t>
  </si>
  <si>
    <t>מנעת</t>
  </si>
  <si>
    <t>מנוס</t>
  </si>
  <si>
    <t>מעמד</t>
  </si>
  <si>
    <t>מעוג</t>
  </si>
  <si>
    <t>מעוז</t>
  </si>
  <si>
    <t>מעון</t>
  </si>
  <si>
    <t>מעוזי</t>
  </si>
  <si>
    <t>מעוזו</t>
  </si>
  <si>
    <t>מצאה</t>
  </si>
  <si>
    <t>מצאו</t>
  </si>
  <si>
    <t>מצאתי</t>
  </si>
  <si>
    <t>מצור</t>
  </si>
  <si>
    <t>מר</t>
  </si>
  <si>
    <t>מרום</t>
  </si>
  <si>
    <t>מרו</t>
  </si>
  <si>
    <t>משל</t>
  </si>
  <si>
    <t>משלה</t>
  </si>
  <si>
    <t>מפתיו</t>
  </si>
  <si>
    <t>מקשים</t>
  </si>
  <si>
    <t>משה</t>
  </si>
  <si>
    <t>מדבק</t>
  </si>
  <si>
    <t>ממתקוממי</t>
  </si>
  <si>
    <t>מואב</t>
  </si>
  <si>
    <t>מוט</t>
  </si>
  <si>
    <t>מונה</t>
  </si>
  <si>
    <t>מוסדי</t>
  </si>
  <si>
    <t>מוסדות</t>
  </si>
  <si>
    <t>מוסרותימו</t>
  </si>
  <si>
    <t>מועדי</t>
  </si>
  <si>
    <t>מועדך</t>
  </si>
  <si>
    <t>מועד</t>
  </si>
  <si>
    <t>מוציא</t>
  </si>
  <si>
    <t>מוצא</t>
  </si>
  <si>
    <t>מוצאי</t>
  </si>
  <si>
    <t>מוצאו</t>
  </si>
  <si>
    <t>מוקשים</t>
  </si>
  <si>
    <t>מוקשי</t>
  </si>
  <si>
    <t>מורה</t>
  </si>
  <si>
    <t>מושיב</t>
  </si>
  <si>
    <t>מושיבי</t>
  </si>
  <si>
    <t>מושיע</t>
  </si>
  <si>
    <t>מושיעם</t>
  </si>
  <si>
    <t>מושל</t>
  </si>
  <si>
    <t>מושב</t>
  </si>
  <si>
    <t>מובאות</t>
  </si>
  <si>
    <t>מוזר</t>
  </si>
  <si>
    <t>מוסר</t>
  </si>
  <si>
    <t>מועקה</t>
  </si>
  <si>
    <t>נאם</t>
  </si>
  <si>
    <t>נאות</t>
  </si>
  <si>
    <t>נברך</t>
  </si>
  <si>
    <t>נגידים</t>
  </si>
  <si>
    <t>נגינת</t>
  </si>
  <si>
    <t>נגינתי</t>
  </si>
  <si>
    <t>נדיבים</t>
  </si>
  <si>
    <t>נדיבי</t>
  </si>
  <si>
    <t>נדיבה</t>
  </si>
  <si>
    <t>נדבת</t>
  </si>
  <si>
    <t>נדבות</t>
  </si>
  <si>
    <t>נדריך</t>
  </si>
  <si>
    <t>נדרי</t>
  </si>
  <si>
    <t>נדד</t>
  </si>
  <si>
    <t>נהלך</t>
  </si>
  <si>
    <t>נהרות</t>
  </si>
  <si>
    <t>נחני</t>
  </si>
  <si>
    <t>נחשת</t>
  </si>
  <si>
    <t>נחושה</t>
  </si>
  <si>
    <t>נטויה</t>
  </si>
  <si>
    <t>נכחד</t>
  </si>
  <si>
    <t>נכונה</t>
  </si>
  <si>
    <t>נמגים</t>
  </si>
  <si>
    <t>ננגח</t>
  </si>
  <si>
    <t>ננתקה</t>
  </si>
  <si>
    <t>נספר</t>
  </si>
  <si>
    <t>נעמות</t>
  </si>
  <si>
    <t>נערים</t>
  </si>
  <si>
    <t>נעורי</t>
  </si>
  <si>
    <t>נעוריכי</t>
  </si>
  <si>
    <t>נפוגותי</t>
  </si>
  <si>
    <t>נצר</t>
  </si>
  <si>
    <t>נקי</t>
  </si>
  <si>
    <t>נקדמה</t>
  </si>
  <si>
    <t>נקמה</t>
  </si>
  <si>
    <t>נקמות</t>
  </si>
  <si>
    <t>נרננה</t>
  </si>
  <si>
    <t>נשמה</t>
  </si>
  <si>
    <t>נשאים</t>
  </si>
  <si>
    <t>נשא</t>
  </si>
  <si>
    <t>נשוי</t>
  </si>
  <si>
    <t>נתיבתי</t>
  </si>
  <si>
    <t>נתנני</t>
  </si>
  <si>
    <t>נתץ</t>
  </si>
  <si>
    <t>נאצו</t>
  </si>
  <si>
    <t>נאץ</t>
  </si>
  <si>
    <t>נבהלה</t>
  </si>
  <si>
    <t>נבהלו</t>
  </si>
  <si>
    <t>נבהל</t>
  </si>
  <si>
    <t>נבזה</t>
  </si>
  <si>
    <t>נבלת</t>
  </si>
  <si>
    <t>נברכה</t>
  </si>
  <si>
    <t>נגעי</t>
  </si>
  <si>
    <t>נגעך</t>
  </si>
  <si>
    <t>נגרזתי</t>
  </si>
  <si>
    <t>נגרה</t>
  </si>
  <si>
    <t>נדברו</t>
  </si>
  <si>
    <t>נדגל</t>
  </si>
  <si>
    <t>נדחי</t>
  </si>
  <si>
    <t>נדמו</t>
  </si>
  <si>
    <t>נדרו</t>
  </si>
  <si>
    <t>נזהר</t>
  </si>
  <si>
    <t>נחתו</t>
  </si>
  <si>
    <t>נחר</t>
  </si>
  <si>
    <t>נינם</t>
  </si>
  <si>
    <t>נירא</t>
  </si>
  <si>
    <t>נכבדות</t>
  </si>
  <si>
    <t>נכחדו</t>
  </si>
  <si>
    <t>נכלם</t>
  </si>
  <si>
    <t>נכספה</t>
  </si>
  <si>
    <t>נכרת</t>
  </si>
  <si>
    <t>נלכדה</t>
  </si>
  <si>
    <t>נמאס</t>
  </si>
  <si>
    <t>נמכר</t>
  </si>
  <si>
    <t>נמצא</t>
  </si>
  <si>
    <t>נמשל</t>
  </si>
  <si>
    <t>ננערתי</t>
  </si>
  <si>
    <t>נסכיהם</t>
  </si>
  <si>
    <t>נסמכתי</t>
  </si>
  <si>
    <t>נסתר</t>
  </si>
  <si>
    <t>נסתרה</t>
  </si>
  <si>
    <t>נסוני</t>
  </si>
  <si>
    <t>נפגשו</t>
  </si>
  <si>
    <t>נפזרו</t>
  </si>
  <si>
    <t>נפלאתיך</t>
  </si>
  <si>
    <t>נפלאותיך</t>
  </si>
  <si>
    <t>נפלאותיו</t>
  </si>
  <si>
    <t>נפליתי</t>
  </si>
  <si>
    <t>נפלאים</t>
  </si>
  <si>
    <t>נפלאות</t>
  </si>
  <si>
    <t>נפלאת</t>
  </si>
  <si>
    <t>נפעמתי</t>
  </si>
  <si>
    <t>נצבה</t>
  </si>
  <si>
    <t>נצרה</t>
  </si>
  <si>
    <t>נצב</t>
  </si>
  <si>
    <t>נקלה</t>
  </si>
  <si>
    <t>נקמת</t>
  </si>
  <si>
    <t>נקרא</t>
  </si>
  <si>
    <t>נראה</t>
  </si>
  <si>
    <t>נרדם</t>
  </si>
  <si>
    <t>נשבע</t>
  </si>
  <si>
    <t>נשבעתי</t>
  </si>
  <si>
    <t>נשבר</t>
  </si>
  <si>
    <t>נשברה</t>
  </si>
  <si>
    <t>נשכחתי</t>
  </si>
  <si>
    <t>נשמטו</t>
  </si>
  <si>
    <t>נשמע</t>
  </si>
  <si>
    <t>נשמרו</t>
  </si>
  <si>
    <t>נשפכתי</t>
  </si>
  <si>
    <t>נשקף</t>
  </si>
  <si>
    <t>נשתחוה</t>
  </si>
  <si>
    <t>נשבעה</t>
  </si>
  <si>
    <t>נשגבה</t>
  </si>
  <si>
    <t>נשגב</t>
  </si>
  <si>
    <t>נשמחה</t>
  </si>
  <si>
    <t>נשערה</t>
  </si>
  <si>
    <t>נשקה</t>
  </si>
  <si>
    <t>נד</t>
  </si>
  <si>
    <t>נכים</t>
  </si>
  <si>
    <t>נכר</t>
  </si>
  <si>
    <t>נפל</t>
  </si>
  <si>
    <t>נצח</t>
  </si>
  <si>
    <t>נרי</t>
  </si>
  <si>
    <t>נאזר</t>
  </si>
  <si>
    <t>נאלמתי</t>
  </si>
  <si>
    <t>נאלחו</t>
  </si>
  <si>
    <t>נאמנת</t>
  </si>
  <si>
    <t>נאמנים</t>
  </si>
  <si>
    <t>נאמנה</t>
  </si>
  <si>
    <t>נאספו</t>
  </si>
  <si>
    <t>נאמנו</t>
  </si>
  <si>
    <t>נבל</t>
  </si>
  <si>
    <t>נגדה</t>
  </si>
  <si>
    <t>נגדך</t>
  </si>
  <si>
    <t>נגדי</t>
  </si>
  <si>
    <t>נגדו</t>
  </si>
  <si>
    <t>נגד</t>
  </si>
  <si>
    <t>נדר</t>
  </si>
  <si>
    <t>נהפך</t>
  </si>
  <si>
    <t>נהלכתי</t>
  </si>
  <si>
    <t>נחפה</t>
  </si>
  <si>
    <t>נחשבנו</t>
  </si>
  <si>
    <t>נעכר</t>
  </si>
  <si>
    <t>נעזב</t>
  </si>
  <si>
    <t>נפש</t>
  </si>
  <si>
    <t>נאוה</t>
  </si>
  <si>
    <t>נגביר</t>
  </si>
  <si>
    <t>נהרים</t>
  </si>
  <si>
    <t>נזכיר</t>
  </si>
  <si>
    <t>נחלת</t>
  </si>
  <si>
    <t>נחלתכם</t>
  </si>
  <si>
    <t>נחלה</t>
  </si>
  <si>
    <t>נחלתך</t>
  </si>
  <si>
    <t>נחלתנו</t>
  </si>
  <si>
    <t>נחת</t>
  </si>
  <si>
    <t>נמתיק</t>
  </si>
  <si>
    <t>נעויתי</t>
  </si>
  <si>
    <t>נעלי</t>
  </si>
  <si>
    <t>נעלית</t>
  </si>
  <si>
    <t>נעלה</t>
  </si>
  <si>
    <t>נעלמים</t>
  </si>
  <si>
    <t>נערץ</t>
  </si>
  <si>
    <t>נעשה</t>
  </si>
  <si>
    <t>נעשו</t>
  </si>
  <si>
    <t>נער</t>
  </si>
  <si>
    <t>נפשי</t>
  </si>
  <si>
    <t>נפשנו</t>
  </si>
  <si>
    <t>נפשם</t>
  </si>
  <si>
    <t>נפשו</t>
  </si>
  <si>
    <t>נפשות</t>
  </si>
  <si>
    <t>נקני</t>
  </si>
  <si>
    <t>נשקו</t>
  </si>
  <si>
    <t>נא</t>
  </si>
  <si>
    <t>נאור</t>
  </si>
  <si>
    <t>נביא</t>
  </si>
  <si>
    <t>נבר</t>
  </si>
  <si>
    <t>נבוס</t>
  </si>
  <si>
    <t>נגילה</t>
  </si>
  <si>
    <t>נגוע</t>
  </si>
  <si>
    <t>נדדו</t>
  </si>
  <si>
    <t>נהר</t>
  </si>
  <si>
    <t>נוהו</t>
  </si>
  <si>
    <t>נחית</t>
  </si>
  <si>
    <t>נחש</t>
  </si>
  <si>
    <t>נטעה</t>
  </si>
  <si>
    <t>נטפו</t>
  </si>
  <si>
    <t>נטיו</t>
  </si>
  <si>
    <t>נטע</t>
  </si>
  <si>
    <t>נטו</t>
  </si>
  <si>
    <t>נטוי</t>
  </si>
  <si>
    <t>נכון</t>
  </si>
  <si>
    <t>נמס</t>
  </si>
  <si>
    <t>נמסו</t>
  </si>
  <si>
    <t>נמקו</t>
  </si>
  <si>
    <t>נמו</t>
  </si>
  <si>
    <t>נסכתי</t>
  </si>
  <si>
    <t>נסוג</t>
  </si>
  <si>
    <t>נעים</t>
  </si>
  <si>
    <t>נעמו</t>
  </si>
  <si>
    <t>נפלו</t>
  </si>
  <si>
    <t>נצרתי</t>
  </si>
  <si>
    <t>נקם</t>
  </si>
  <si>
    <t>נריע</t>
  </si>
  <si>
    <t>נריעה</t>
  </si>
  <si>
    <t>נשיר</t>
  </si>
  <si>
    <t>נשירה</t>
  </si>
  <si>
    <t>נשק</t>
  </si>
  <si>
    <t>נשאו</t>
  </si>
  <si>
    <t>נשאתי</t>
  </si>
  <si>
    <t>נשאת</t>
  </si>
  <si>
    <t>נתנה</t>
  </si>
  <si>
    <t>נתנו</t>
  </si>
  <si>
    <t>נתן</t>
  </si>
  <si>
    <t>נתשת</t>
  </si>
  <si>
    <t>נתת</t>
  </si>
  <si>
    <t>נתתה</t>
  </si>
  <si>
    <t>נגנים</t>
  </si>
  <si>
    <t>נדי</t>
  </si>
  <si>
    <t>נדעו</t>
  </si>
  <si>
    <t>נהג</t>
  </si>
  <si>
    <t>נצרי</t>
  </si>
  <si>
    <t>נס</t>
  </si>
  <si>
    <t>נורא</t>
  </si>
  <si>
    <t>נודה</t>
  </si>
  <si>
    <t>נודע</t>
  </si>
  <si>
    <t>נוזלים</t>
  </si>
  <si>
    <t>נוטה</t>
  </si>
  <si>
    <t>נולד</t>
  </si>
  <si>
    <t>נוסדו</t>
  </si>
  <si>
    <t>נועצו</t>
  </si>
  <si>
    <t>נוקש</t>
  </si>
  <si>
    <t>נוראות</t>
  </si>
  <si>
    <t>נושקי</t>
  </si>
  <si>
    <t>נושה</t>
  </si>
  <si>
    <t>נושע</t>
  </si>
  <si>
    <t>נותן</t>
  </si>
  <si>
    <t>נותר</t>
  </si>
  <si>
    <t>נודי</t>
  </si>
  <si>
    <t>סביביו</t>
  </si>
  <si>
    <t>סביבות</t>
  </si>
  <si>
    <t>סביבותיך</t>
  </si>
  <si>
    <t>סביבותי</t>
  </si>
  <si>
    <t>סביבותיו</t>
  </si>
  <si>
    <t>סבבוני</t>
  </si>
  <si>
    <t>סבבונו</t>
  </si>
  <si>
    <t>סחרחר</t>
  </si>
  <si>
    <t>סלעים</t>
  </si>
  <si>
    <t>סמוכים</t>
  </si>
  <si>
    <t>סערה</t>
  </si>
  <si>
    <t>ספרות</t>
  </si>
  <si>
    <t>סיני</t>
  </si>
  <si>
    <t>סיר</t>
  </si>
  <si>
    <t>ספרך</t>
  </si>
  <si>
    <t>ספרו</t>
  </si>
  <si>
    <t>ספרתי</t>
  </si>
  <si>
    <t>סתרו</t>
  </si>
  <si>
    <t>סטים</t>
  </si>
  <si>
    <t>ספר</t>
  </si>
  <si>
    <t>סתר</t>
  </si>
  <si>
    <t>סלע</t>
  </si>
  <si>
    <t>סלה</t>
  </si>
  <si>
    <t>סבוני</t>
  </si>
  <si>
    <t>סכתה</t>
  </si>
  <si>
    <t>סלעי</t>
  </si>
  <si>
    <t>סביב</t>
  </si>
  <si>
    <t>סג</t>
  </si>
  <si>
    <t>סמוך</t>
  </si>
  <si>
    <t>ספרתה</t>
  </si>
  <si>
    <t>ספו</t>
  </si>
  <si>
    <t>סר</t>
  </si>
  <si>
    <t>סלו</t>
  </si>
  <si>
    <t>סעה</t>
  </si>
  <si>
    <t>סכתו</t>
  </si>
  <si>
    <t>סכו</t>
  </si>
  <si>
    <t>סכות</t>
  </si>
  <si>
    <t>סירתיכם</t>
  </si>
  <si>
    <t>סגרו</t>
  </si>
  <si>
    <t>סוד</t>
  </si>
  <si>
    <t>סומך</t>
  </si>
  <si>
    <t>סופר</t>
  </si>
  <si>
    <t>סוררים</t>
  </si>
  <si>
    <t>סורר</t>
  </si>
  <si>
    <t>סוף</t>
  </si>
  <si>
    <t>סור</t>
  </si>
  <si>
    <t>סורו</t>
  </si>
  <si>
    <t>ענו</t>
  </si>
  <si>
    <t>ענות</t>
  </si>
  <si>
    <t>עבדיך</t>
  </si>
  <si>
    <t>עבדיו</t>
  </si>
  <si>
    <t>עבתימו</t>
  </si>
  <si>
    <t>עגלות</t>
  </si>
  <si>
    <t>עדי</t>
  </si>
  <si>
    <t>עדת</t>
  </si>
  <si>
    <t>עדניך</t>
  </si>
  <si>
    <t>עדתך</t>
  </si>
  <si>
    <t>עון</t>
  </si>
  <si>
    <t>עוני</t>
  </si>
  <si>
    <t>עונכי</t>
  </si>
  <si>
    <t>עונם</t>
  </si>
  <si>
    <t>עונת</t>
  </si>
  <si>
    <t>עונתי</t>
  </si>
  <si>
    <t>עונו</t>
  </si>
  <si>
    <t>עזבתני</t>
  </si>
  <si>
    <t>עזבני</t>
  </si>
  <si>
    <t>עזבו</t>
  </si>
  <si>
    <t>עזבוני</t>
  </si>
  <si>
    <t>עזרני</t>
  </si>
  <si>
    <t>עטרת</t>
  </si>
  <si>
    <t>עיפה</t>
  </si>
  <si>
    <t>עליותיו</t>
  </si>
  <si>
    <t>עלילה</t>
  </si>
  <si>
    <t>עלילותיו</t>
  </si>
  <si>
    <t>עלילותם</t>
  </si>
  <si>
    <t>עללות</t>
  </si>
  <si>
    <t>עלי</t>
  </si>
  <si>
    <t>עליהם</t>
  </si>
  <si>
    <t>עליכם</t>
  </si>
  <si>
    <t>עלמות</t>
  </si>
  <si>
    <t>עמל</t>
  </si>
  <si>
    <t>עמלו</t>
  </si>
  <si>
    <t>עניים</t>
  </si>
  <si>
    <t>עניי</t>
  </si>
  <si>
    <t>ענייך</t>
  </si>
  <si>
    <t>עניתם</t>
  </si>
  <si>
    <t>עניתני</t>
  </si>
  <si>
    <t>ענני</t>
  </si>
  <si>
    <t>ענוים</t>
  </si>
  <si>
    <t>ענקתמו</t>
  </si>
  <si>
    <t>עפרם</t>
  </si>
  <si>
    <t>עצי</t>
  </si>
  <si>
    <t>עצבי</t>
  </si>
  <si>
    <t>עצביהם</t>
  </si>
  <si>
    <t>עצת</t>
  </si>
  <si>
    <t>עצמינו</t>
  </si>
  <si>
    <t>עצמי</t>
  </si>
  <si>
    <t>עצמות</t>
  </si>
  <si>
    <t>עצתך</t>
  </si>
  <si>
    <t>עצתי</t>
  </si>
  <si>
    <t>עצומים</t>
  </si>
  <si>
    <t>עקבי</t>
  </si>
  <si>
    <t>עקרת</t>
  </si>
  <si>
    <t>ערבים</t>
  </si>
  <si>
    <t>ערך</t>
  </si>
  <si>
    <t>עשירי</t>
  </si>
  <si>
    <t>עשוקים</t>
  </si>
  <si>
    <t>עשיתה</t>
  </si>
  <si>
    <t>עשה</t>
  </si>
  <si>
    <t>עשות</t>
  </si>
  <si>
    <t>עשוים</t>
  </si>
  <si>
    <t>עני</t>
  </si>
  <si>
    <t>עפאים</t>
  </si>
  <si>
    <t>עבדו</t>
  </si>
  <si>
    <t>עורים</t>
  </si>
  <si>
    <t>עזוז</t>
  </si>
  <si>
    <t>עיר</t>
  </si>
  <si>
    <t>עם</t>
  </si>
  <si>
    <t>עמך</t>
  </si>
  <si>
    <t>עמי</t>
  </si>
  <si>
    <t>עמדי</t>
  </si>
  <si>
    <t>עמנו</t>
  </si>
  <si>
    <t>עמו</t>
  </si>
  <si>
    <t>עניתי</t>
  </si>
  <si>
    <t>עקש</t>
  </si>
  <si>
    <t>עתם</t>
  </si>
  <si>
    <t>עתתי</t>
  </si>
  <si>
    <t>עגל</t>
  </si>
  <si>
    <t>עדותיך</t>
  </si>
  <si>
    <t>עדתיך</t>
  </si>
  <si>
    <t>עדתיו</t>
  </si>
  <si>
    <t>עדות</t>
  </si>
  <si>
    <t>עזר</t>
  </si>
  <si>
    <t>עט</t>
  </si>
  <si>
    <t>עיני</t>
  </si>
  <si>
    <t>עיניהם</t>
  </si>
  <si>
    <t>עינינו</t>
  </si>
  <si>
    <t>עינמו</t>
  </si>
  <si>
    <t>עיניך</t>
  </si>
  <si>
    <t>עינים</t>
  </si>
  <si>
    <t>עיניו</t>
  </si>
  <si>
    <t>עץ</t>
  </si>
  <si>
    <t>עצות</t>
  </si>
  <si>
    <t>עקב</t>
  </si>
  <si>
    <t>עשב</t>
  </si>
  <si>
    <t>עת</t>
  </si>
  <si>
    <t>עברתך</t>
  </si>
  <si>
    <t>עדיך</t>
  </si>
  <si>
    <t>עדיו</t>
  </si>
  <si>
    <t>עזרך</t>
  </si>
  <si>
    <t>עזרי</t>
  </si>
  <si>
    <t>עזרה</t>
  </si>
  <si>
    <t>עזרם</t>
  </si>
  <si>
    <t>עזרת</t>
  </si>
  <si>
    <t>עזרתי</t>
  </si>
  <si>
    <t>עזרתה</t>
  </si>
  <si>
    <t>עליון</t>
  </si>
  <si>
    <t>ערב</t>
  </si>
  <si>
    <t>ערש</t>
  </si>
  <si>
    <t>עשתנתיו</t>
  </si>
  <si>
    <t>עבדי</t>
  </si>
  <si>
    <t>עבדך</t>
  </si>
  <si>
    <t>עד</t>
  </si>
  <si>
    <t>עולה</t>
  </si>
  <si>
    <t>עולתה</t>
  </si>
  <si>
    <t>עזים</t>
  </si>
  <si>
    <t>עין</t>
  </si>
  <si>
    <t>עכשוב</t>
  </si>
  <si>
    <t>על</t>
  </si>
  <si>
    <t>עמים</t>
  </si>
  <si>
    <t>עמודיה</t>
  </si>
  <si>
    <t>ענוי</t>
  </si>
  <si>
    <t>עפעפיו</t>
  </si>
  <si>
    <t>עצמותי</t>
  </si>
  <si>
    <t>עצבותם</t>
  </si>
  <si>
    <t>ערשי</t>
  </si>
  <si>
    <t>עתה</t>
  </si>
  <si>
    <t>עתודים</t>
  </si>
  <si>
    <t>עברה</t>
  </si>
  <si>
    <t>עברו</t>
  </si>
  <si>
    <t>עבים</t>
  </si>
  <si>
    <t>עבי</t>
  </si>
  <si>
    <t>עביו</t>
  </si>
  <si>
    <t>עבות</t>
  </si>
  <si>
    <t>עול</t>
  </si>
  <si>
    <t>עז</t>
  </si>
  <si>
    <t>עזרנו</t>
  </si>
  <si>
    <t>עזבת</t>
  </si>
  <si>
    <t>עזי</t>
  </si>
  <si>
    <t>עלית</t>
  </si>
  <si>
    <t>עלימו</t>
  </si>
  <si>
    <t>עלינו</t>
  </si>
  <si>
    <t>עליה</t>
  </si>
  <si>
    <t>עליך</t>
  </si>
  <si>
    <t>עלה</t>
  </si>
  <si>
    <t>עליכי</t>
  </si>
  <si>
    <t>עליו</t>
  </si>
  <si>
    <t>עמדה</t>
  </si>
  <si>
    <t>עמקו</t>
  </si>
  <si>
    <t>עמד</t>
  </si>
  <si>
    <t>עמדו</t>
  </si>
  <si>
    <t>עמק</t>
  </si>
  <si>
    <t>ענינו</t>
  </si>
  <si>
    <t>ענם</t>
  </si>
  <si>
    <t>ענן</t>
  </si>
  <si>
    <t>עפר</t>
  </si>
  <si>
    <t>עצמו</t>
  </si>
  <si>
    <t>עצום</t>
  </si>
  <si>
    <t>עקת</t>
  </si>
  <si>
    <t>עריך</t>
  </si>
  <si>
    <t>ערו</t>
  </si>
  <si>
    <t>עשרם</t>
  </si>
  <si>
    <t>עשרו</t>
  </si>
  <si>
    <t>עששה</t>
  </si>
  <si>
    <t>עשיר</t>
  </si>
  <si>
    <t>עששו</t>
  </si>
  <si>
    <t>עשנת</t>
  </si>
  <si>
    <t>עשן</t>
  </si>
  <si>
    <t>עשיתי</t>
  </si>
  <si>
    <t>עשית</t>
  </si>
  <si>
    <t>עשהו</t>
  </si>
  <si>
    <t>עשנו</t>
  </si>
  <si>
    <t>עשר</t>
  </si>
  <si>
    <t>עשור</t>
  </si>
  <si>
    <t>עשו</t>
  </si>
  <si>
    <t>עתקה</t>
  </si>
  <si>
    <t>עתק</t>
  </si>
  <si>
    <t>עברי</t>
  </si>
  <si>
    <t>עטה</t>
  </si>
  <si>
    <t>עלליך</t>
  </si>
  <si>
    <t>עלות</t>
  </si>
  <si>
    <t>עמדת</t>
  </si>
  <si>
    <t>עצב</t>
  </si>
  <si>
    <t>ערף</t>
  </si>
  <si>
    <t>עשק</t>
  </si>
  <si>
    <t>עשי</t>
  </si>
  <si>
    <t>עשיהם</t>
  </si>
  <si>
    <t>עזך</t>
  </si>
  <si>
    <t>עזמו</t>
  </si>
  <si>
    <t>עזו</t>
  </si>
  <si>
    <t>עובר</t>
  </si>
  <si>
    <t>עוד</t>
  </si>
  <si>
    <t>עוז</t>
  </si>
  <si>
    <t>עוזר</t>
  </si>
  <si>
    <t>עוללים</t>
  </si>
  <si>
    <t>עולם</t>
  </si>
  <si>
    <t>עולמים</t>
  </si>
  <si>
    <t>עולת</t>
  </si>
  <si>
    <t>עומדת</t>
  </si>
  <si>
    <t>עוף</t>
  </si>
  <si>
    <t>עוררה</t>
  </si>
  <si>
    <t>עושק</t>
  </si>
  <si>
    <t>עוזנו</t>
  </si>
  <si>
    <t>עורה</t>
  </si>
  <si>
    <t>פלשתים</t>
  </si>
  <si>
    <t>פלשת</t>
  </si>
  <si>
    <t>פעמיך</t>
  </si>
  <si>
    <t>פרצתנו</t>
  </si>
  <si>
    <t>פראים</t>
  </si>
  <si>
    <t>פשעי</t>
  </si>
  <si>
    <t>פתחות</t>
  </si>
  <si>
    <t>פי</t>
  </si>
  <si>
    <t>פיו</t>
  </si>
  <si>
    <t>פיך</t>
  </si>
  <si>
    <t>פסת</t>
  </si>
  <si>
    <t>פקדיך</t>
  </si>
  <si>
    <t>פקדיו</t>
  </si>
  <si>
    <t>פלא</t>
  </si>
  <si>
    <t>פסל</t>
  </si>
  <si>
    <t>פתן</t>
  </si>
  <si>
    <t>פח</t>
  </si>
  <si>
    <t>פחד</t>
  </si>
  <si>
    <t>פלטני</t>
  </si>
  <si>
    <t>פלט</t>
  </si>
  <si>
    <t>פסו</t>
  </si>
  <si>
    <t>פדה</t>
  </si>
  <si>
    <t>פנימו</t>
  </si>
  <si>
    <t>פניך</t>
  </si>
  <si>
    <t>פנה</t>
  </si>
  <si>
    <t>פני</t>
  </si>
  <si>
    <t>פניו</t>
  </si>
  <si>
    <t>פעלו</t>
  </si>
  <si>
    <t>פעלי</t>
  </si>
  <si>
    <t>פר</t>
  </si>
  <si>
    <t>פרים</t>
  </si>
  <si>
    <t>פלח</t>
  </si>
  <si>
    <t>פשעים</t>
  </si>
  <si>
    <t>פדני</t>
  </si>
  <si>
    <t>פדות</t>
  </si>
  <si>
    <t>פליאה</t>
  </si>
  <si>
    <t>פלגיו</t>
  </si>
  <si>
    <t>פנימה</t>
  </si>
  <si>
    <t>פניהם</t>
  </si>
  <si>
    <t>פעמי</t>
  </si>
  <si>
    <t>פעמיו</t>
  </si>
  <si>
    <t>פעלת</t>
  </si>
  <si>
    <t>פעור</t>
  </si>
  <si>
    <t>פצני</t>
  </si>
  <si>
    <t>פצמתה</t>
  </si>
  <si>
    <t>פקדתו</t>
  </si>
  <si>
    <t>פרי</t>
  </si>
  <si>
    <t>פשעינו</t>
  </si>
  <si>
    <t>פתאים</t>
  </si>
  <si>
    <t>פדיון</t>
  </si>
  <si>
    <t>פזר</t>
  </si>
  <si>
    <t>פזרת</t>
  </si>
  <si>
    <t>פיהם</t>
  </si>
  <si>
    <t>פיה</t>
  </si>
  <si>
    <t>פיהו</t>
  </si>
  <si>
    <t>פימו</t>
  </si>
  <si>
    <t>פינחס</t>
  </si>
  <si>
    <t>פיפיות</t>
  </si>
  <si>
    <t>פלאך</t>
  </si>
  <si>
    <t>פנית</t>
  </si>
  <si>
    <t>פצחו</t>
  </si>
  <si>
    <t>פקודי</t>
  </si>
  <si>
    <t>פקודיך</t>
  </si>
  <si>
    <t>פקודיו</t>
  </si>
  <si>
    <t>פרימו</t>
  </si>
  <si>
    <t>פריו</t>
  </si>
  <si>
    <t>פשעיהם</t>
  </si>
  <si>
    <t>פשעם</t>
  </si>
  <si>
    <t>פתאם</t>
  </si>
  <si>
    <t>פתאום</t>
  </si>
  <si>
    <t>פתחי</t>
  </si>
  <si>
    <t>פתחו</t>
  </si>
  <si>
    <t>פתחת</t>
  </si>
  <si>
    <t>פתוחיה</t>
  </si>
  <si>
    <t>פרשתי</t>
  </si>
  <si>
    <t>פה</t>
  </si>
  <si>
    <t>פלג</t>
  </si>
  <si>
    <t>פן</t>
  </si>
  <si>
    <t>פרץ</t>
  </si>
  <si>
    <t>פשע</t>
  </si>
  <si>
    <t>פתי</t>
  </si>
  <si>
    <t>פחים</t>
  </si>
  <si>
    <t>פלגי</t>
  </si>
  <si>
    <t>פלטו</t>
  </si>
  <si>
    <t>פלצות</t>
  </si>
  <si>
    <t>פרעה</t>
  </si>
  <si>
    <t>פדית</t>
  </si>
  <si>
    <t>פדיתה</t>
  </si>
  <si>
    <t>פז</t>
  </si>
  <si>
    <t>פחדו</t>
  </si>
  <si>
    <t>פנים</t>
  </si>
  <si>
    <t>פעלך</t>
  </si>
  <si>
    <t>פעל</t>
  </si>
  <si>
    <t>פצו</t>
  </si>
  <si>
    <t>פקדני</t>
  </si>
  <si>
    <t>פקדת</t>
  </si>
  <si>
    <t>פרשו</t>
  </si>
  <si>
    <t>פרצת</t>
  </si>
  <si>
    <t>פתוח</t>
  </si>
  <si>
    <t>פקח</t>
  </si>
  <si>
    <t>פרק</t>
  </si>
  <si>
    <t>פודה</t>
  </si>
  <si>
    <t>פוררת</t>
  </si>
  <si>
    <t>צבאיו</t>
  </si>
  <si>
    <t>צבאם</t>
  </si>
  <si>
    <t>צבאות</t>
  </si>
  <si>
    <t>צדקה</t>
  </si>
  <si>
    <t>צדקות</t>
  </si>
  <si>
    <t>צוחה</t>
  </si>
  <si>
    <t>צחיחה</t>
  </si>
  <si>
    <t>צלח</t>
  </si>
  <si>
    <t>צמאים</t>
  </si>
  <si>
    <t>צמאם</t>
  </si>
  <si>
    <t>צפרדעים</t>
  </si>
  <si>
    <t>צרפתנו</t>
  </si>
  <si>
    <t>צרפתהו</t>
  </si>
  <si>
    <t>צרופה</t>
  </si>
  <si>
    <t>צדקי</t>
  </si>
  <si>
    <t>צדקך</t>
  </si>
  <si>
    <t>צדקתך</t>
  </si>
  <si>
    <t>צדקתו</t>
  </si>
  <si>
    <t>צדקו</t>
  </si>
  <si>
    <t>צוית</t>
  </si>
  <si>
    <t>צויתה</t>
  </si>
  <si>
    <t>צוה</t>
  </si>
  <si>
    <t>ציים</t>
  </si>
  <si>
    <t>ציה</t>
  </si>
  <si>
    <t>ציון</t>
  </si>
  <si>
    <t>צלה</t>
  </si>
  <si>
    <t>צמחה</t>
  </si>
  <si>
    <t>צנה</t>
  </si>
  <si>
    <t>צנוריך</t>
  </si>
  <si>
    <t>צפרים</t>
  </si>
  <si>
    <t>צפור</t>
  </si>
  <si>
    <t>צידה</t>
  </si>
  <si>
    <t>צדק</t>
  </si>
  <si>
    <t>צדיק</t>
  </si>
  <si>
    <t>צדיקים</t>
  </si>
  <si>
    <t>צלמות</t>
  </si>
  <si>
    <t>צלמם</t>
  </si>
  <si>
    <t>צעקת</t>
  </si>
  <si>
    <t>צר</t>
  </si>
  <si>
    <t>צרתני</t>
  </si>
  <si>
    <t>צבא</t>
  </si>
  <si>
    <t>צהרים</t>
  </si>
  <si>
    <t>צמאה</t>
  </si>
  <si>
    <t>צעיר</t>
  </si>
  <si>
    <t>צפנתי</t>
  </si>
  <si>
    <t>צפנת</t>
  </si>
  <si>
    <t>צפון</t>
  </si>
  <si>
    <t>צרפה</t>
  </si>
  <si>
    <t>צריהם</t>
  </si>
  <si>
    <t>צרינו</t>
  </si>
  <si>
    <t>צרי</t>
  </si>
  <si>
    <t>צרה</t>
  </si>
  <si>
    <t>צריו</t>
  </si>
  <si>
    <t>צרתי</t>
  </si>
  <si>
    <t>צרות</t>
  </si>
  <si>
    <t>צרותיו</t>
  </si>
  <si>
    <t>צרוף</t>
  </si>
  <si>
    <t>צאוננו</t>
  </si>
  <si>
    <t>צאן</t>
  </si>
  <si>
    <t>צען</t>
  </si>
  <si>
    <t>צרריך</t>
  </si>
  <si>
    <t>צררי</t>
  </si>
  <si>
    <t>צרים</t>
  </si>
  <si>
    <t>צובה</t>
  </si>
  <si>
    <t>צוררי</t>
  </si>
  <si>
    <t>צורריך</t>
  </si>
  <si>
    <t>צורריו</t>
  </si>
  <si>
    <t>צופים</t>
  </si>
  <si>
    <t>צור</t>
  </si>
  <si>
    <t>צורי</t>
  </si>
  <si>
    <t>קדש</t>
  </si>
  <si>
    <t>קדשים</t>
  </si>
  <si>
    <t>קדשיו</t>
  </si>
  <si>
    <t>קדוש</t>
  </si>
  <si>
    <t>קטנות</t>
  </si>
  <si>
    <t>קטרת</t>
  </si>
  <si>
    <t>קללה</t>
  </si>
  <si>
    <t>קציעות</t>
  </si>
  <si>
    <t>קצירה</t>
  </si>
  <si>
    <t>קצה</t>
  </si>
  <si>
    <t>קצות</t>
  </si>
  <si>
    <t>קצותם</t>
  </si>
  <si>
    <t>קראתיך</t>
  </si>
  <si>
    <t>קרב</t>
  </si>
  <si>
    <t>קרבי</t>
  </si>
  <si>
    <t>קרבו</t>
  </si>
  <si>
    <t>קרובה</t>
  </si>
  <si>
    <t>קבצם</t>
  </si>
  <si>
    <t>קדמו</t>
  </si>
  <si>
    <t>קדמוני</t>
  </si>
  <si>
    <t>קויתי</t>
  </si>
  <si>
    <t>קויתיך</t>
  </si>
  <si>
    <t>קוו</t>
  </si>
  <si>
    <t>קנאת</t>
  </si>
  <si>
    <t>קנאתך</t>
  </si>
  <si>
    <t>קנינך</t>
  </si>
  <si>
    <t>קנינו</t>
  </si>
  <si>
    <t>קנאתי</t>
  </si>
  <si>
    <t>קצי</t>
  </si>
  <si>
    <t>קראו</t>
  </si>
  <si>
    <t>קרבם</t>
  </si>
  <si>
    <t>קרבת</t>
  </si>
  <si>
    <t>קן</t>
  </si>
  <si>
    <t>קבר</t>
  </si>
  <si>
    <t>קדם</t>
  </si>
  <si>
    <t>קרן</t>
  </si>
  <si>
    <t>קשת</t>
  </si>
  <si>
    <t>קוה</t>
  </si>
  <si>
    <t>קום</t>
  </si>
  <si>
    <t>קיץ</t>
  </si>
  <si>
    <t>קימני</t>
  </si>
  <si>
    <t>קצוי</t>
  </si>
  <si>
    <t>קרדמות</t>
  </si>
  <si>
    <t>קרחו</t>
  </si>
  <si>
    <t>קרנכם</t>
  </si>
  <si>
    <t>קרני</t>
  </si>
  <si>
    <t>קרננו</t>
  </si>
  <si>
    <t>קרנו</t>
  </si>
  <si>
    <t>קרנות</t>
  </si>
  <si>
    <t>קשתם</t>
  </si>
  <si>
    <t>קדקדו</t>
  </si>
  <si>
    <t>קדקד</t>
  </si>
  <si>
    <t>קדשך</t>
  </si>
  <si>
    <t>קדשי</t>
  </si>
  <si>
    <t>קדשו</t>
  </si>
  <si>
    <t>קדים</t>
  </si>
  <si>
    <t>קהל</t>
  </si>
  <si>
    <t>קמים</t>
  </si>
  <si>
    <t>קמינו</t>
  </si>
  <si>
    <t>קמיך</t>
  </si>
  <si>
    <t>קמי</t>
  </si>
  <si>
    <t>קמו</t>
  </si>
  <si>
    <t>קנית</t>
  </si>
  <si>
    <t>קפץ</t>
  </si>
  <si>
    <t>קראנו</t>
  </si>
  <si>
    <t>קרבה</t>
  </si>
  <si>
    <t>קרעו</t>
  </si>
  <si>
    <t>קרא</t>
  </si>
  <si>
    <t>קראתי</t>
  </si>
  <si>
    <t>קראת</t>
  </si>
  <si>
    <t>קרתו</t>
  </si>
  <si>
    <t>קרוב</t>
  </si>
  <si>
    <t>קשה</t>
  </si>
  <si>
    <t>קדר</t>
  </si>
  <si>
    <t>קלו</t>
  </si>
  <si>
    <t>קראים</t>
  </si>
  <si>
    <t>קרח</t>
  </si>
  <si>
    <t>קשט</t>
  </si>
  <si>
    <t>קמנו</t>
  </si>
  <si>
    <t>קויך</t>
  </si>
  <si>
    <t>קובר</t>
  </si>
  <si>
    <t>קול</t>
  </si>
  <si>
    <t>קולי</t>
  </si>
  <si>
    <t>קולם</t>
  </si>
  <si>
    <t>קוצים</t>
  </si>
  <si>
    <t>קורא</t>
  </si>
  <si>
    <t>קומה</t>
  </si>
  <si>
    <t>ראה</t>
  </si>
  <si>
    <t>ראמים</t>
  </si>
  <si>
    <t>רדה</t>
  </si>
  <si>
    <t>רהבים</t>
  </si>
  <si>
    <t>רויה</t>
  </si>
  <si>
    <t>רחקיך</t>
  </si>
  <si>
    <t>רחקים</t>
  </si>
  <si>
    <t>רכב</t>
  </si>
  <si>
    <t>רכובו</t>
  </si>
  <si>
    <t>רמיה</t>
  </si>
  <si>
    <t>רננות</t>
  </si>
  <si>
    <t>רעבים</t>
  </si>
  <si>
    <t>רעבה</t>
  </si>
  <si>
    <t>רעבון</t>
  </si>
  <si>
    <t>רפאני</t>
  </si>
  <si>
    <t>רפאה</t>
  </si>
  <si>
    <t>רפה</t>
  </si>
  <si>
    <t>רציתם</t>
  </si>
  <si>
    <t>רצה</t>
  </si>
  <si>
    <t>רצונך</t>
  </si>
  <si>
    <t>רצונו</t>
  </si>
  <si>
    <t>רשעים</t>
  </si>
  <si>
    <t>ראשנים</t>
  </si>
  <si>
    <t>רבית</t>
  </si>
  <si>
    <t>רבתים</t>
  </si>
  <si>
    <t>רגעי</t>
  </si>
  <si>
    <t>רדפו</t>
  </si>
  <si>
    <t>רחם</t>
  </si>
  <si>
    <t>ריבך</t>
  </si>
  <si>
    <t>ריבה</t>
  </si>
  <si>
    <t>ריק</t>
  </si>
  <si>
    <t>רנה</t>
  </si>
  <si>
    <t>רנתי</t>
  </si>
  <si>
    <t>רצצת</t>
  </si>
  <si>
    <t>רשעי</t>
  </si>
  <si>
    <t>רשעו</t>
  </si>
  <si>
    <t>רשפי</t>
  </si>
  <si>
    <t>רשתם</t>
  </si>
  <si>
    <t>ראשית</t>
  </si>
  <si>
    <t>ריקם</t>
  </si>
  <si>
    <t>רמים</t>
  </si>
  <si>
    <t>רעהו</t>
  </si>
  <si>
    <t>רעיהם</t>
  </si>
  <si>
    <t>רעיך</t>
  </si>
  <si>
    <t>רעותיה</t>
  </si>
  <si>
    <t>רגל</t>
  </si>
  <si>
    <t>רגע</t>
  </si>
  <si>
    <t>רמש</t>
  </si>
  <si>
    <t>רשת</t>
  </si>
  <si>
    <t>רשע</t>
  </si>
  <si>
    <t>רב</t>
  </si>
  <si>
    <t>רבים</t>
  </si>
  <si>
    <t>רבת</t>
  </si>
  <si>
    <t>רבה</t>
  </si>
  <si>
    <t>רבות</t>
  </si>
  <si>
    <t>רבו</t>
  </si>
  <si>
    <t>רגלך</t>
  </si>
  <si>
    <t>רגלי</t>
  </si>
  <si>
    <t>רגליהם</t>
  </si>
  <si>
    <t>רגלינו</t>
  </si>
  <si>
    <t>רגלנו</t>
  </si>
  <si>
    <t>רגליו</t>
  </si>
  <si>
    <t>רגלם</t>
  </si>
  <si>
    <t>רגלו</t>
  </si>
  <si>
    <t>רהב</t>
  </si>
  <si>
    <t>רוה</t>
  </si>
  <si>
    <t>רחצי</t>
  </si>
  <si>
    <t>רחמיך</t>
  </si>
  <si>
    <t>רחמיו</t>
  </si>
  <si>
    <t>רחום</t>
  </si>
  <si>
    <t>רכו</t>
  </si>
  <si>
    <t>רע</t>
  </si>
  <si>
    <t>רענן</t>
  </si>
  <si>
    <t>רעם</t>
  </si>
  <si>
    <t>רעמך</t>
  </si>
  <si>
    <t>רק</t>
  </si>
  <si>
    <t>ראתה</t>
  </si>
  <si>
    <t>ראינו</t>
  </si>
  <si>
    <t>ראיתי</t>
  </si>
  <si>
    <t>ראית</t>
  </si>
  <si>
    <t>ראיתה</t>
  </si>
  <si>
    <t>ראו</t>
  </si>
  <si>
    <t>ראוך</t>
  </si>
  <si>
    <t>ראשי</t>
  </si>
  <si>
    <t>ראשיהם</t>
  </si>
  <si>
    <t>ראשיכם</t>
  </si>
  <si>
    <t>רגזה</t>
  </si>
  <si>
    <t>רגשו</t>
  </si>
  <si>
    <t>רדפי</t>
  </si>
  <si>
    <t>רדף</t>
  </si>
  <si>
    <t>רזון</t>
  </si>
  <si>
    <t>רחש</t>
  </si>
  <si>
    <t>רחוק</t>
  </si>
  <si>
    <t>רם</t>
  </si>
  <si>
    <t>רמות</t>
  </si>
  <si>
    <t>רני</t>
  </si>
  <si>
    <t>רעב</t>
  </si>
  <si>
    <t>רעה</t>
  </si>
  <si>
    <t>רעשה</t>
  </si>
  <si>
    <t>רעתי</t>
  </si>
  <si>
    <t>רעות</t>
  </si>
  <si>
    <t>רצית</t>
  </si>
  <si>
    <t>רצון</t>
  </si>
  <si>
    <t>רקדו</t>
  </si>
  <si>
    <t>רשעתי</t>
  </si>
  <si>
    <t>רשו</t>
  </si>
  <si>
    <t>ראי</t>
  </si>
  <si>
    <t>ראש</t>
  </si>
  <si>
    <t>ראשם</t>
  </si>
  <si>
    <t>רדפם</t>
  </si>
  <si>
    <t>רעי</t>
  </si>
  <si>
    <t>רקמתי</t>
  </si>
  <si>
    <t>רוממות</t>
  </si>
  <si>
    <t>רוממו</t>
  </si>
  <si>
    <t>רומי</t>
  </si>
  <si>
    <t>רוממה</t>
  </si>
  <si>
    <t>רוצה</t>
  </si>
  <si>
    <t>רוחך</t>
  </si>
  <si>
    <t>רוחי</t>
  </si>
  <si>
    <t>רוח</t>
  </si>
  <si>
    <t>רוחם</t>
  </si>
  <si>
    <t>רוחו</t>
  </si>
  <si>
    <t>רוחות</t>
  </si>
  <si>
    <t>רומה</t>
  </si>
  <si>
    <t>שאלונו</t>
  </si>
  <si>
    <t>שאר</t>
  </si>
  <si>
    <t>שארי</t>
  </si>
  <si>
    <t>שארית</t>
  </si>
  <si>
    <t>שאל</t>
  </si>
  <si>
    <t>שאפני</t>
  </si>
  <si>
    <t>שאול</t>
  </si>
  <si>
    <t>שאון</t>
  </si>
  <si>
    <t>שבית</t>
  </si>
  <si>
    <t>שבא</t>
  </si>
  <si>
    <t>שבריה</t>
  </si>
  <si>
    <t>שבר</t>
  </si>
  <si>
    <t>שבות</t>
  </si>
  <si>
    <t>שגיאות</t>
  </si>
  <si>
    <t>שדי</t>
  </si>
  <si>
    <t>שחקים</t>
  </si>
  <si>
    <t>שטפתני</t>
  </si>
  <si>
    <t>שכחי</t>
  </si>
  <si>
    <t>שכם</t>
  </si>
  <si>
    <t>שכחתני</t>
  </si>
  <si>
    <t>שכחנוך</t>
  </si>
  <si>
    <t>שכן</t>
  </si>
  <si>
    <t>שכול</t>
  </si>
  <si>
    <t>שלח</t>
  </si>
  <si>
    <t>שלום</t>
  </si>
  <si>
    <t>שלומי</t>
  </si>
  <si>
    <t>שמי</t>
  </si>
  <si>
    <t>שמך</t>
  </si>
  <si>
    <t>שמע</t>
  </si>
  <si>
    <t>שמם</t>
  </si>
  <si>
    <t>שמריה</t>
  </si>
  <si>
    <t>שמרות</t>
  </si>
  <si>
    <t>שמו</t>
  </si>
  <si>
    <t>שמותם</t>
  </si>
  <si>
    <t>שנים</t>
  </si>
  <si>
    <t>שנת</t>
  </si>
  <si>
    <t>שנתם</t>
  </si>
  <si>
    <t>שנות</t>
  </si>
  <si>
    <t>שנותיו</t>
  </si>
  <si>
    <t>שנונים</t>
  </si>
  <si>
    <t>שערים</t>
  </si>
  <si>
    <t>שעריך</t>
  </si>
  <si>
    <t>שעריו</t>
  </si>
  <si>
    <t>שפתים</t>
  </si>
  <si>
    <t>שפך</t>
  </si>
  <si>
    <t>שקרים</t>
  </si>
  <si>
    <t>שתים</t>
  </si>
  <si>
    <t>שתולים</t>
  </si>
  <si>
    <t>שבטך</t>
  </si>
  <si>
    <t>שבעתים</t>
  </si>
  <si>
    <t>שבתי</t>
  </si>
  <si>
    <t>שבתו</t>
  </si>
  <si>
    <t>שברת</t>
  </si>
  <si>
    <t>שבלת</t>
  </si>
  <si>
    <t>שויתי</t>
  </si>
  <si>
    <t>שועתי</t>
  </si>
  <si>
    <t>שיחה</t>
  </si>
  <si>
    <t>שיר</t>
  </si>
  <si>
    <t>שירו</t>
  </si>
  <si>
    <t>שית</t>
  </si>
  <si>
    <t>שיתה</t>
  </si>
  <si>
    <t>שכמו</t>
  </si>
  <si>
    <t>שלחו</t>
  </si>
  <si>
    <t>שמעי</t>
  </si>
  <si>
    <t>שמעה</t>
  </si>
  <si>
    <t>שמעו</t>
  </si>
  <si>
    <t>שנאן</t>
  </si>
  <si>
    <t>שני</t>
  </si>
  <si>
    <t>שניהם</t>
  </si>
  <si>
    <t>שנימו</t>
  </si>
  <si>
    <t>שניו</t>
  </si>
  <si>
    <t>שפטו</t>
  </si>
  <si>
    <t>שפכו</t>
  </si>
  <si>
    <t>שקץ</t>
  </si>
  <si>
    <t>שקרנו</t>
  </si>
  <si>
    <t>שב</t>
  </si>
  <si>
    <t>שבט</t>
  </si>
  <si>
    <t>שגל</t>
  </si>
  <si>
    <t>שכר</t>
  </si>
  <si>
    <t>שם</t>
  </si>
  <si>
    <t>שמות</t>
  </si>
  <si>
    <t>שן</t>
  </si>
  <si>
    <t>שאלתם</t>
  </si>
  <si>
    <t>שאין</t>
  </si>
  <si>
    <t>שבשפלנו</t>
  </si>
  <si>
    <t>שגמלת</t>
  </si>
  <si>
    <t>שהכה</t>
  </si>
  <si>
    <t>שישלם</t>
  </si>
  <si>
    <t>שיאחז</t>
  </si>
  <si>
    <t>שככה</t>
  </si>
  <si>
    <t>שלג</t>
  </si>
  <si>
    <t>שמן</t>
  </si>
  <si>
    <t>שמש</t>
  </si>
  <si>
    <t>שעמדים</t>
  </si>
  <si>
    <t>שקר</t>
  </si>
  <si>
    <t>שאגתי</t>
  </si>
  <si>
    <t>שבת</t>
  </si>
  <si>
    <t>שבחי</t>
  </si>
  <si>
    <t>שבחוהו</t>
  </si>
  <si>
    <t>שבלול</t>
  </si>
  <si>
    <t>שדוני</t>
  </si>
  <si>
    <t>שועי</t>
  </si>
  <si>
    <t>שועתם</t>
  </si>
  <si>
    <t>שחל</t>
  </si>
  <si>
    <t>שחת</t>
  </si>
  <si>
    <t>שחתי</t>
  </si>
  <si>
    <t>שחותי</t>
  </si>
  <si>
    <t>שי</t>
  </si>
  <si>
    <t>שערי</t>
  </si>
  <si>
    <t>שעשעי</t>
  </si>
  <si>
    <t>שתי</t>
  </si>
  <si>
    <t>שתו</t>
  </si>
  <si>
    <t>שאגו</t>
  </si>
  <si>
    <t>שאפו</t>
  </si>
  <si>
    <t>שאלתי</t>
  </si>
  <si>
    <t>שאלת</t>
  </si>
  <si>
    <t>שברה</t>
  </si>
  <si>
    <t>שבע</t>
  </si>
  <si>
    <t>שוא</t>
  </si>
  <si>
    <t>שחר</t>
  </si>
  <si>
    <t>שחה</t>
  </si>
  <si>
    <t>שכחו</t>
  </si>
  <si>
    <t>שכנה</t>
  </si>
  <si>
    <t>שכנו</t>
  </si>
  <si>
    <t>שכב</t>
  </si>
  <si>
    <t>שכבתי</t>
  </si>
  <si>
    <t>שכח</t>
  </si>
  <si>
    <t>שכחנו</t>
  </si>
  <si>
    <t>שכנת</t>
  </si>
  <si>
    <t>שליש</t>
  </si>
  <si>
    <t>שלחת</t>
  </si>
  <si>
    <t>שלל</t>
  </si>
  <si>
    <t>שמרני</t>
  </si>
  <si>
    <t>שמרה</t>
  </si>
  <si>
    <t>שמרו</t>
  </si>
  <si>
    <t>שמיך</t>
  </si>
  <si>
    <t>שמים</t>
  </si>
  <si>
    <t>שמענו</t>
  </si>
  <si>
    <t>שמעתי</t>
  </si>
  <si>
    <t>שמעת</t>
  </si>
  <si>
    <t>שמרתי</t>
  </si>
  <si>
    <t>שמה</t>
  </si>
  <si>
    <t>שננו</t>
  </si>
  <si>
    <t>שנה</t>
  </si>
  <si>
    <t>שסו</t>
  </si>
  <si>
    <t>שער</t>
  </si>
  <si>
    <t>שפטני</t>
  </si>
  <si>
    <t>שפטה</t>
  </si>
  <si>
    <t>שפרה</t>
  </si>
  <si>
    <t>שרים</t>
  </si>
  <si>
    <t>שרץ</t>
  </si>
  <si>
    <t>שרשיה</t>
  </si>
  <si>
    <t>שתה</t>
  </si>
  <si>
    <t>שתול</t>
  </si>
  <si>
    <t>שאגים</t>
  </si>
  <si>
    <t>שאפי</t>
  </si>
  <si>
    <t>שמרי</t>
  </si>
  <si>
    <t>שמר</t>
  </si>
  <si>
    <t>שפטים</t>
  </si>
  <si>
    <t>שפטי</t>
  </si>
  <si>
    <t>שפטיהם</t>
  </si>
  <si>
    <t>שפט</t>
  </si>
  <si>
    <t>שקקה</t>
  </si>
  <si>
    <t>ששנים</t>
  </si>
  <si>
    <t>שלחן</t>
  </si>
  <si>
    <t>שלחנם</t>
  </si>
  <si>
    <t>שעלים</t>
  </si>
  <si>
    <t>שבי</t>
  </si>
  <si>
    <t>שחד</t>
  </si>
  <si>
    <t>שואה</t>
  </si>
  <si>
    <t>שובינו</t>
  </si>
  <si>
    <t>שולמי</t>
  </si>
  <si>
    <t>שופט</t>
  </si>
  <si>
    <t>שופר</t>
  </si>
  <si>
    <t>שור</t>
  </si>
  <si>
    <t>שוררי</t>
  </si>
  <si>
    <t>שושנים</t>
  </si>
  <si>
    <t>שותי</t>
  </si>
  <si>
    <t>שוב</t>
  </si>
  <si>
    <t>שובי</t>
  </si>
  <si>
    <t>שובנו</t>
  </si>
  <si>
    <t>שובה</t>
  </si>
  <si>
    <t>שושן</t>
  </si>
  <si>
    <t>שאו</t>
  </si>
  <si>
    <t>שדה</t>
  </si>
  <si>
    <t>שמחי</t>
  </si>
  <si>
    <t>שמחה</t>
  </si>
  <si>
    <t>שמחות</t>
  </si>
  <si>
    <t>שנאוני</t>
  </si>
  <si>
    <t>שנאתים</t>
  </si>
  <si>
    <t>שפת</t>
  </si>
  <si>
    <t>שפתימו</t>
  </si>
  <si>
    <t>שפתינו</t>
  </si>
  <si>
    <t>שפתי</t>
  </si>
  <si>
    <t>שפתיו</t>
  </si>
  <si>
    <t>שרפה</t>
  </si>
  <si>
    <t>ששון</t>
  </si>
  <si>
    <t>שברו</t>
  </si>
  <si>
    <t>שיחי</t>
  </si>
  <si>
    <t>שיחו</t>
  </si>
  <si>
    <t>שימה</t>
  </si>
  <si>
    <t>שימו</t>
  </si>
  <si>
    <t>שמחתי</t>
  </si>
  <si>
    <t>שמחו</t>
  </si>
  <si>
    <t>שמחוך</t>
  </si>
  <si>
    <t>שמחתני</t>
  </si>
  <si>
    <t>שמחת</t>
  </si>
  <si>
    <t>שנאה</t>
  </si>
  <si>
    <t>שנאו</t>
  </si>
  <si>
    <t>שכל</t>
  </si>
  <si>
    <t>שמת</t>
  </si>
  <si>
    <t>שקי</t>
  </si>
  <si>
    <t>שרעפי</t>
  </si>
  <si>
    <t>ששתי</t>
  </si>
  <si>
    <t>שמח</t>
  </si>
  <si>
    <t>שנאתי</t>
  </si>
  <si>
    <t>שנאת</t>
  </si>
  <si>
    <t>שק</t>
  </si>
  <si>
    <t>שרפו</t>
  </si>
  <si>
    <t>שריו</t>
  </si>
  <si>
    <t>שטני</t>
  </si>
  <si>
    <t>שנאיך</t>
  </si>
  <si>
    <t>שנאי</t>
  </si>
  <si>
    <t>שוטני</t>
  </si>
  <si>
    <t>שונא</t>
  </si>
  <si>
    <t>תאמצנו</t>
  </si>
  <si>
    <t>תאנה</t>
  </si>
  <si>
    <t>תברך</t>
  </si>
  <si>
    <t>תבונות</t>
  </si>
  <si>
    <t>תדינני</t>
  </si>
  <si>
    <t>תדבר</t>
  </si>
  <si>
    <t>תהלה</t>
  </si>
  <si>
    <t>תהלתי</t>
  </si>
  <si>
    <t>תהמות</t>
  </si>
  <si>
    <t>תהומות</t>
  </si>
  <si>
    <t>תיסרני</t>
  </si>
  <si>
    <t>תכפרם</t>
  </si>
  <si>
    <t>תלמדנו</t>
  </si>
  <si>
    <t>תמימם</t>
  </si>
  <si>
    <t>תמימי</t>
  </si>
  <si>
    <t>תמותה</t>
  </si>
  <si>
    <t>תפלה</t>
  </si>
  <si>
    <t>תפלתי</t>
  </si>
  <si>
    <t>תפלות</t>
  </si>
  <si>
    <t>תקדמנו</t>
  </si>
  <si>
    <t>תרועה</t>
  </si>
  <si>
    <t>תשיתהו</t>
  </si>
  <si>
    <t>תשבחם</t>
  </si>
  <si>
    <t>תשלם</t>
  </si>
  <si>
    <t>תשועה</t>
  </si>
  <si>
    <t>תבזה</t>
  </si>
  <si>
    <t>תבער</t>
  </si>
  <si>
    <t>תגמל</t>
  </si>
  <si>
    <t>תזכרנו</t>
  </si>
  <si>
    <t>תירא</t>
  </si>
  <si>
    <t>תישן</t>
  </si>
  <si>
    <t>תכלא</t>
  </si>
  <si>
    <t>תכנתי</t>
  </si>
  <si>
    <t>תמעד</t>
  </si>
  <si>
    <t>תנחל</t>
  </si>
  <si>
    <t>תסמכני</t>
  </si>
  <si>
    <t>תסעדני</t>
  </si>
  <si>
    <t>תפארת</t>
  </si>
  <si>
    <t>תפקדנו</t>
  </si>
  <si>
    <t>תקותי</t>
  </si>
  <si>
    <t>תרמש</t>
  </si>
  <si>
    <t>תרצה</t>
  </si>
  <si>
    <t>תשמעו</t>
  </si>
  <si>
    <t>תשפט</t>
  </si>
  <si>
    <t>תשתחוה</t>
  </si>
  <si>
    <t>תשתוחח</t>
  </si>
  <si>
    <t>תתמוגג</t>
  </si>
  <si>
    <t>תתן</t>
  </si>
  <si>
    <t>תבל</t>
  </si>
  <si>
    <t>תיטיב</t>
  </si>
  <si>
    <t>תימן</t>
  </si>
  <si>
    <t>תלך</t>
  </si>
  <si>
    <t>תצא</t>
  </si>
  <si>
    <t>תאוה</t>
  </si>
  <si>
    <t>תביט</t>
  </si>
  <si>
    <t>תחפץ</t>
  </si>
  <si>
    <t>תחתי</t>
  </si>
  <si>
    <t>תמו</t>
  </si>
  <si>
    <t>תנחני</t>
  </si>
  <si>
    <t>תנינים</t>
  </si>
  <si>
    <t>תסתיר</t>
  </si>
  <si>
    <t>תעזב</t>
  </si>
  <si>
    <t>תענה</t>
  </si>
  <si>
    <t>תערג</t>
  </si>
  <si>
    <t>תרבני</t>
  </si>
  <si>
    <t>תרחיב</t>
  </si>
  <si>
    <t>תרשיש</t>
  </si>
  <si>
    <t>תשקם</t>
  </si>
  <si>
    <t>תבישו</t>
  </si>
  <si>
    <t>תמיד</t>
  </si>
  <si>
    <t>תמים</t>
  </si>
  <si>
    <t>תנוס</t>
  </si>
  <si>
    <t>תפוג</t>
  </si>
  <si>
    <t>תשיב</t>
  </si>
  <si>
    <t>תשוב</t>
  </si>
  <si>
    <t>תף</t>
  </si>
  <si>
    <t>תאבד</t>
  </si>
  <si>
    <t>תאחר</t>
  </si>
  <si>
    <t>תבישני</t>
  </si>
  <si>
    <t>תבקשו</t>
  </si>
  <si>
    <t>תבאינה</t>
  </si>
  <si>
    <t>תבואהו</t>
  </si>
  <si>
    <t>תבואני</t>
  </si>
  <si>
    <t>תגרש</t>
  </si>
  <si>
    <t>תדברו</t>
  </si>
  <si>
    <t>תדברון</t>
  </si>
  <si>
    <t>תהי</t>
  </si>
  <si>
    <t>תהלתיך</t>
  </si>
  <si>
    <t>תהלתך</t>
  </si>
  <si>
    <t>תהלתו</t>
  </si>
  <si>
    <t>תהלות</t>
  </si>
  <si>
    <t>תהלל</t>
  </si>
  <si>
    <t>תהום</t>
  </si>
  <si>
    <t>תהותתו</t>
  </si>
  <si>
    <t>תחנתי</t>
  </si>
  <si>
    <t>תחדהו</t>
  </si>
  <si>
    <t>תחטאני</t>
  </si>
  <si>
    <t>תחייני</t>
  </si>
  <si>
    <t>תחיני</t>
  </si>
  <si>
    <t>תחינו</t>
  </si>
  <si>
    <t>תחלק</t>
  </si>
  <si>
    <t>תיסרנו</t>
  </si>
  <si>
    <t>תכינה</t>
  </si>
  <si>
    <t>תכבסני</t>
  </si>
  <si>
    <t>תכונן</t>
  </si>
  <si>
    <t>תלהט</t>
  </si>
  <si>
    <t>תלמיה</t>
  </si>
  <si>
    <t>תמימה</t>
  </si>
  <si>
    <t>תמגגנה</t>
  </si>
  <si>
    <t>תמותון</t>
  </si>
  <si>
    <t>תנדני</t>
  </si>
  <si>
    <t>תנחמני</t>
  </si>
  <si>
    <t>תנפצם</t>
  </si>
  <si>
    <t>תנה</t>
  </si>
  <si>
    <t>תסכני</t>
  </si>
  <si>
    <t>תסובבני</t>
  </si>
  <si>
    <t>תעטרהו</t>
  </si>
  <si>
    <t>תער</t>
  </si>
  <si>
    <t>תפלטני</t>
  </si>
  <si>
    <t>תפלסון</t>
  </si>
  <si>
    <t>תקנא</t>
  </si>
  <si>
    <t>תרנן</t>
  </si>
  <si>
    <t>תרננה</t>
  </si>
  <si>
    <t>תרצדון</t>
  </si>
  <si>
    <t>תרצחו</t>
  </si>
  <si>
    <t>תרעם</t>
  </si>
  <si>
    <t>תרוממני</t>
  </si>
  <si>
    <t>תרוממנה</t>
  </si>
  <si>
    <t>תשיבנו</t>
  </si>
  <si>
    <t>תשיתמו</t>
  </si>
  <si>
    <t>תשוה</t>
  </si>
  <si>
    <t>תשלח</t>
  </si>
  <si>
    <t>תשובב</t>
  </si>
  <si>
    <t>תשועת</t>
  </si>
  <si>
    <t>תשועתי</t>
  </si>
  <si>
    <t>תשועתך</t>
  </si>
  <si>
    <t>תשימני</t>
  </si>
  <si>
    <t>תשימנו</t>
  </si>
  <si>
    <t>תשגבני</t>
  </si>
  <si>
    <t>תתעב</t>
  </si>
  <si>
    <t>תבחר</t>
  </si>
  <si>
    <t>תבטחו</t>
  </si>
  <si>
    <t>תבלעני</t>
  </si>
  <si>
    <t>תבנה</t>
  </si>
  <si>
    <t>תגעו</t>
  </si>
  <si>
    <t>תגף</t>
  </si>
  <si>
    <t>תדבק</t>
  </si>
  <si>
    <t>תדרך</t>
  </si>
  <si>
    <t>תדרש</t>
  </si>
  <si>
    <t>תדרוש</t>
  </si>
  <si>
    <t>תדפנו</t>
  </si>
  <si>
    <t>תהיה</t>
  </si>
  <si>
    <t>תהיו</t>
  </si>
  <si>
    <t>תהלך</t>
  </si>
  <si>
    <t>תזכה</t>
  </si>
  <si>
    <t>תזכר</t>
  </si>
  <si>
    <t>תזנח</t>
  </si>
  <si>
    <t>תזרח</t>
  </si>
  <si>
    <t>תטשני</t>
  </si>
  <si>
    <t>תכבד</t>
  </si>
  <si>
    <t>תכון</t>
  </si>
  <si>
    <t>תלכדו</t>
  </si>
  <si>
    <t>תלעג</t>
  </si>
  <si>
    <t>תמחץ</t>
  </si>
  <si>
    <t>תמכר</t>
  </si>
  <si>
    <t>תמצא</t>
  </si>
  <si>
    <t>תמשכני</t>
  </si>
  <si>
    <t>תמשך</t>
  </si>
  <si>
    <t>תמח</t>
  </si>
  <si>
    <t>תמוט</t>
  </si>
  <si>
    <t>תנדף</t>
  </si>
  <si>
    <t>תנצרני</t>
  </si>
  <si>
    <t>תסב</t>
  </si>
  <si>
    <t>תפארתך</t>
  </si>
  <si>
    <t>תפעלון</t>
  </si>
  <si>
    <t>תפתח</t>
  </si>
  <si>
    <t>תפלו</t>
  </si>
  <si>
    <t>תצדק</t>
  </si>
  <si>
    <t>תצמח</t>
  </si>
  <si>
    <t>תצפנם</t>
  </si>
  <si>
    <t>תצפינה</t>
  </si>
  <si>
    <t>תצרני</t>
  </si>
  <si>
    <t>תצרנו</t>
  </si>
  <si>
    <t>תצר</t>
  </si>
  <si>
    <t>תקות</t>
  </si>
  <si>
    <t>תקטל</t>
  </si>
  <si>
    <t>תקעו</t>
  </si>
  <si>
    <t>תקח</t>
  </si>
  <si>
    <t>תקחני</t>
  </si>
  <si>
    <t>תראה</t>
  </si>
  <si>
    <t>תרחק</t>
  </si>
  <si>
    <t>תרמס</t>
  </si>
  <si>
    <t>תרקדו</t>
  </si>
  <si>
    <t>תשטפני</t>
  </si>
  <si>
    <t>תשכבון</t>
  </si>
  <si>
    <t>תשכחי</t>
  </si>
  <si>
    <t>תשכח</t>
  </si>
  <si>
    <t>תשכחני</t>
  </si>
  <si>
    <t>תשמרם</t>
  </si>
  <si>
    <t>תשמע</t>
  </si>
  <si>
    <t>תשמענה</t>
  </si>
  <si>
    <t>תשפטו</t>
  </si>
  <si>
    <t>תשפתני</t>
  </si>
  <si>
    <t>תשתוחחי</t>
  </si>
  <si>
    <t>תשברנה</t>
  </si>
  <si>
    <t>תשאו</t>
  </si>
  <si>
    <t>תשבע</t>
  </si>
  <si>
    <t>תשחק</t>
  </si>
  <si>
    <t>תתבלע</t>
  </si>
  <si>
    <t>תתברר</t>
  </si>
  <si>
    <t>תתהלל</t>
  </si>
  <si>
    <t>תתחדש</t>
  </si>
  <si>
    <t>תתחסד</t>
  </si>
  <si>
    <t>תתחר</t>
  </si>
  <si>
    <t>תתעטף</t>
  </si>
  <si>
    <t>תתעלם</t>
  </si>
  <si>
    <t>תתפתל</t>
  </si>
  <si>
    <t>תתנהו</t>
  </si>
  <si>
    <t>תתנני</t>
  </si>
  <si>
    <t>תתננו</t>
  </si>
  <si>
    <t>תתמם</t>
  </si>
  <si>
    <t>תאלמנה</t>
  </si>
  <si>
    <t>תן</t>
  </si>
  <si>
    <t>תשב</t>
  </si>
  <si>
    <t>תת</t>
  </si>
  <si>
    <t>תאטר</t>
  </si>
  <si>
    <t>תאהבון</t>
  </si>
  <si>
    <t>תאנף</t>
  </si>
  <si>
    <t>תהבלו</t>
  </si>
  <si>
    <t>תהגה</t>
  </si>
  <si>
    <t>תהמי</t>
  </si>
  <si>
    <t>תחסה</t>
  </si>
  <si>
    <t>תחשכנה</t>
  </si>
  <si>
    <t>תחרש</t>
  </si>
  <si>
    <t>תחשה</t>
  </si>
  <si>
    <t>תמס</t>
  </si>
  <si>
    <t>תרב</t>
  </si>
  <si>
    <t>תרף</t>
  </si>
  <si>
    <t>תאות</t>
  </si>
  <si>
    <t>תאותי</t>
  </si>
  <si>
    <t>תבנית</t>
  </si>
  <si>
    <t>תגמולוהי</t>
  </si>
  <si>
    <t>תהרגם</t>
  </si>
  <si>
    <t>תחגר</t>
  </si>
  <si>
    <t>תחגרנה</t>
  </si>
  <si>
    <t>תחשב</t>
  </si>
  <si>
    <t>תחתינו</t>
  </si>
  <si>
    <t>תחתיך</t>
  </si>
  <si>
    <t>תחלאיכי</t>
  </si>
  <si>
    <t>תחנה</t>
  </si>
  <si>
    <t>תחנוני</t>
  </si>
  <si>
    <t>תחת</t>
  </si>
  <si>
    <t>תט</t>
  </si>
  <si>
    <t>תכלית</t>
  </si>
  <si>
    <t>תמנו</t>
  </si>
  <si>
    <t>תנחם</t>
  </si>
  <si>
    <t>תנחומיך</t>
  </si>
  <si>
    <t>תנים</t>
  </si>
  <si>
    <t>תסתירם</t>
  </si>
  <si>
    <t>תסתירני</t>
  </si>
  <si>
    <t>תסתר</t>
  </si>
  <si>
    <t>תסיע</t>
  </si>
  <si>
    <t>תעטרנו</t>
  </si>
  <si>
    <t>תעלים</t>
  </si>
  <si>
    <t>תעשרנה</t>
  </si>
  <si>
    <t>תעברנה</t>
  </si>
  <si>
    <t>תעלני</t>
  </si>
  <si>
    <t>תעלמות</t>
  </si>
  <si>
    <t>תעמד</t>
  </si>
  <si>
    <t>תעננו</t>
  </si>
  <si>
    <t>תערך</t>
  </si>
  <si>
    <t>תעזבני</t>
  </si>
  <si>
    <t>תצמיד</t>
  </si>
  <si>
    <t>תצמית</t>
  </si>
  <si>
    <t>תצילני</t>
  </si>
  <si>
    <t>תקשיב</t>
  </si>
  <si>
    <t>תקשו</t>
  </si>
  <si>
    <t>תרהבני</t>
  </si>
  <si>
    <t>תרנין</t>
  </si>
  <si>
    <t>תרעלה</t>
  </si>
  <si>
    <t>תשגני</t>
  </si>
  <si>
    <t>תשחת</t>
  </si>
  <si>
    <t>תשליכני</t>
  </si>
  <si>
    <t>תשלג</t>
  </si>
  <si>
    <t>תשמיעני</t>
  </si>
  <si>
    <t>תשפיל</t>
  </si>
  <si>
    <t>תשכילו</t>
  </si>
  <si>
    <t>תאיר</t>
  </si>
  <si>
    <t>תבוא</t>
  </si>
  <si>
    <t>תבור</t>
  </si>
  <si>
    <t>תגיל</t>
  </si>
  <si>
    <t>תגל</t>
  </si>
  <si>
    <t>תגלנה</t>
  </si>
  <si>
    <t>תהלו</t>
  </si>
  <si>
    <t>תחן</t>
  </si>
  <si>
    <t>תכין</t>
  </si>
  <si>
    <t>תכן</t>
  </si>
  <si>
    <t>תלין</t>
  </si>
  <si>
    <t>תלינו</t>
  </si>
  <si>
    <t>תם</t>
  </si>
  <si>
    <t>תמכה</t>
  </si>
  <si>
    <t>תמכת</t>
  </si>
  <si>
    <t>תמוג</t>
  </si>
  <si>
    <t>תניף</t>
  </si>
  <si>
    <t>תנוט</t>
  </si>
  <si>
    <t>תעז</t>
  </si>
  <si>
    <t>תעו</t>
  </si>
  <si>
    <t>תפק</t>
  </si>
  <si>
    <t>תקום</t>
  </si>
  <si>
    <t>תרימו</t>
  </si>
  <si>
    <t>תרעו</t>
  </si>
  <si>
    <t>תרע</t>
  </si>
  <si>
    <t>תרום</t>
  </si>
  <si>
    <t>תשית</t>
  </si>
  <si>
    <t>תשיתו</t>
  </si>
  <si>
    <t>תשת</t>
  </si>
  <si>
    <t>תשיש</t>
  </si>
  <si>
    <t>תאכל</t>
  </si>
  <si>
    <t>תאמרו</t>
  </si>
  <si>
    <t>תאמרנה</t>
  </si>
  <si>
    <t>תך</t>
  </si>
  <si>
    <t>תסף</t>
  </si>
  <si>
    <t>תעי</t>
  </si>
  <si>
    <t>תודיעני</t>
  </si>
  <si>
    <t>תודך</t>
  </si>
  <si>
    <t>תודה</t>
  </si>
  <si>
    <t>תודת</t>
  </si>
  <si>
    <t>תוחלתי</t>
  </si>
  <si>
    <t>תוכחת</t>
  </si>
  <si>
    <t>תוכחות</t>
  </si>
  <si>
    <t>תומיך</t>
  </si>
  <si>
    <t>תוסיף</t>
  </si>
  <si>
    <t>תופפות</t>
  </si>
  <si>
    <t>תוציאני</t>
  </si>
  <si>
    <t>תוצאות</t>
  </si>
  <si>
    <t>תורדם</t>
  </si>
  <si>
    <t>תורך</t>
  </si>
  <si>
    <t>תורת</t>
  </si>
  <si>
    <t>תורתי</t>
  </si>
  <si>
    <t>תושב</t>
  </si>
  <si>
    <t>תובל</t>
  </si>
  <si>
    <t>תובלנה</t>
  </si>
  <si>
    <t>תוכיחני</t>
  </si>
  <si>
    <t>תולעת</t>
  </si>
  <si>
    <t>תוציא</t>
  </si>
  <si>
    <t>תורתך</t>
  </si>
  <si>
    <t>תושיעני</t>
  </si>
  <si>
    <t>תושיע</t>
  </si>
  <si>
    <t>ש</t>
  </si>
  <si>
    <t>ּ</t>
  </si>
  <si>
    <t>וּ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</si>
</sst>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Guttman Vilna"/>
      <charset val="177"/>
    </font>
    <font>
      <b/>
      <sz val="11"/>
      <color theme="1"/>
      <name val="Arial"/>
      <family val="2"/>
      <charset val="177"/>
      <scheme val="minor"/>
    </font>
    <font>
      <sz val="8"/>
      <name val="Arial"/>
      <family val="2"/>
      <charset val="177"/>
      <scheme val="minor"/>
    </font>
    <font>
      <sz val="11"/>
      <color theme="1"/>
      <name val="Calibri"/>
      <family val="2"/>
    </font>
    <font>
      <sz val="11"/>
      <color rgb="FF000000"/>
      <name val="Arial"/>
      <family val="2"/>
    </font>
    <font>
      <sz val="11"/>
      <name val="Guttman Vilna"/>
      <charset val="177"/>
    </font>
    <font>
      <sz val="10"/>
      <name val="Consolas"/>
      <family val="3"/>
    </font>
    <font>
      <sz val="1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2" xfId="0" applyFont="1" applyBorder="1"/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5" fillId="0" borderId="0" xfId="0" applyFont="1" applyAlignment="1">
      <alignment horizontal="right" vertical="center" readingOrder="2"/>
    </xf>
    <xf numFmtId="0" fontId="4" fillId="0" borderId="0" xfId="0" applyFont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7" fillId="0" borderId="0" xfId="0" applyFont="1" applyAlignment="1">
      <alignment vertical="center" readingOrder="1"/>
    </xf>
    <xf numFmtId="0" fontId="8" fillId="0" borderId="0" xfId="0" applyFont="1"/>
  </cellXfs>
  <cellStyles count="1">
    <cellStyle name="Normal" xfId="0" builtinId="0"/>
  </cellStyles>
  <dxfs count="9">
    <dxf>
      <font>
        <strike val="0"/>
        <outline val="0"/>
        <shadow val="0"/>
        <u val="none"/>
        <vertAlign val="baseline"/>
        <sz val="11"/>
        <color theme="1"/>
        <name val="Guttman Vilna"/>
        <charset val="177"/>
        <scheme val="none"/>
      </font>
    </dxf>
    <dxf>
      <border outline="0">
        <top style="thin">
          <color theme="1"/>
        </top>
      </border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77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alcChain" Target="calcChai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DC9B0FD-9502-49F0-85F7-81CB68B6E58F}" name="תהילים" displayName="תהילים" ref="A1:W6695" totalsRowShown="0">
  <autoFilter ref="A1:W6695" xr:uid="{91D84597-D064-43C8-BA6F-A88677D690E3}"/>
  <tableColumns count="23">
    <tableColumn id="1" xr3:uid="{35C52A69-F4A7-4C21-8268-37606BF7ED53}" name="מילים"/>
    <tableColumn id="23" xr3:uid="{A93C4D29-E24D-4622-8DFC-AA2895C9CDA3}" name="ללא ניקוד"/>
    <tableColumn id="22" xr3:uid="{2D53FE13-1385-402A-8381-AE12E3EE315D}" name="חיפוש ש"/>
    <tableColumn id="21" xr3:uid="{13BB5F98-7EB7-4DCA-927D-0F69E8BDF650}" name="ספירת ש" dataDxfId="8">
      <calculatedColumnFormula>(LEN(B2)-LEN(SUBSTITUTE(B2,C2,"")))</calculatedColumnFormula>
    </tableColumn>
    <tableColumn id="20" xr3:uid="{E0A08370-5667-4248-B579-DA2F6A50FA29}" name="חיפוש דגש"/>
    <tableColumn id="19" xr3:uid="{992FF143-FA8E-4230-9AF9-E8C60AE36185}" name="ספירת דגש" dataDxfId="7">
      <calculatedColumnFormula>(LEN(A2)-LEN(SUBSTITUTE(A2,E2,"")))</calculatedColumnFormula>
    </tableColumn>
    <tableColumn id="18" xr3:uid="{16DA9DCC-2A66-4915-AF35-6E459A169921}" name="חיפוש וּ"/>
    <tableColumn id="17" xr3:uid="{D536580E-8466-4E07-906B-F30F0BC2254B}" name="החסרת וּ" dataDxfId="6">
      <calculatedColumnFormula>(LEN(A2)-LEN(SUBSTITUTE(A2,G2,"")))/2</calculatedColumnFormula>
    </tableColumn>
    <tableColumn id="16" xr3:uid="{A71DD224-F8ED-4BD9-B3EE-7456B94945E9}" name="שווא נח" dataDxfId="5">
      <calculatedColumnFormula array="1">IFERROR(_xlfn.IFS(M2="נח",1,M2="נע ונח",1,M2="שני שווא נח",2,M2="שני שוואים בסוף מילה",2,M2="שני שוואים ברצף",1),"0")</calculatedColumnFormula>
    </tableColumn>
    <tableColumn id="15" xr3:uid="{13DB23A6-24DB-4896-AD55-B46AE7003894}" name="מספר הברות" dataDxfId="4">
      <calculatedColumnFormula>LEN(A2)-(LEN(B2))-D2-F2+H2-I2</calculatedColumnFormula>
    </tableColumn>
    <tableColumn id="2" xr3:uid="{38FC2D2F-5BF6-47A3-A6D2-DA146A30A5CF}" name="פתוח/ סגור"/>
    <tableColumn id="3" xr3:uid="{E89C769A-E09A-424A-A29A-6D485C9B392B}" name="שווא"/>
    <tableColumn id="4" xr3:uid="{FB502A36-A5BF-49D9-9C6A-A8FA753D3FF5}" name="סוג שווא"/>
    <tableColumn id="5" xr3:uid="{B67E1917-013F-4004-8F82-A5914CC83780}" name="שונות 1"/>
    <tableColumn id="6" xr3:uid="{ED790058-E033-4B23-9051-21CE8F823F14}" name="קמץ"/>
    <tableColumn id="7" xr3:uid="{05B6B7DF-36B4-42CC-AF89-D03C5EFE4566}" name="פתח"/>
    <tableColumn id="8" xr3:uid="{ED891CCA-ECB4-46F8-968E-B77A4CC64777}" name="צירה"/>
    <tableColumn id="9" xr3:uid="{4A62BC09-FE15-4518-A026-12584653C1F6}" name="סגול"/>
    <tableColumn id="10" xr3:uid="{228CDADA-407D-4079-A097-714E321C9927}" name="חיריק"/>
    <tableColumn id="11" xr3:uid="{4E1564BB-A541-4085-8A76-A240004A3C23}" name="שורוק"/>
    <tableColumn id="12" xr3:uid="{AC1FBEF0-956F-44DA-99B5-46F18A91AE59}" name="מלאופום"/>
    <tableColumn id="13" xr3:uid="{FED2D1B3-470D-483F-BA9C-9F32729E4853}" name="חולם"/>
    <tableColumn id="14" xr3:uid="{10E0B832-8E27-4FA8-A9E9-E06D062AB746}" name="מקור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543942F-B452-465F-ACE6-42B47D4183FF}" name="טבלת_סינון" displayName="טבלת_סינון" ref="A1:O2" totalsRowShown="0" headerRowDxfId="3" headerRowBorderDxfId="2" tableBorderDxfId="1">
  <autoFilter ref="A1:O2" xr:uid="{49AE7323-A8BF-4582-BC6E-82CB0AB889C9}"/>
  <tableColumns count="15">
    <tableColumn id="1" xr3:uid="{B0730166-1011-4D61-A9B7-A1EF78208270}" name="מילים" dataDxfId="0"/>
    <tableColumn id="2" xr3:uid="{25902AE8-94B2-4F38-85BE-368D311B9FDE}" name="פתוח/ סגור"/>
    <tableColumn id="3" xr3:uid="{C23E2A6A-7F91-4EFE-BF3C-6EB31215D20D}" name="שווא"/>
    <tableColumn id="4" xr3:uid="{215B4E11-1378-46DF-BE05-ECB8785E98C1}" name="סוג שווא"/>
    <tableColumn id="5" xr3:uid="{DFDD29C6-CE74-4066-924B-10F1CEAFA3BA}" name="שונות 1"/>
    <tableColumn id="15" xr3:uid="{B63E44B2-15EB-427F-B3B1-03C84A31BDEC}" name="לפי ניקוד "/>
    <tableColumn id="6" xr3:uid="{A65B9A79-D3AB-4E89-9042-35D30E9581A4}" name="קמץ"/>
    <tableColumn id="7" xr3:uid="{373C2044-33BB-4A24-9A5F-3DD059027BC4}" name="פתח"/>
    <tableColumn id="8" xr3:uid="{1696C5DC-13D9-4BC5-B340-4EFD794925E4}" name="צירה"/>
    <tableColumn id="9" xr3:uid="{14998637-13BF-4D7E-A29B-DA05E65F51FB}" name="סגול"/>
    <tableColumn id="10" xr3:uid="{4AE4E21F-B771-4542-BD80-8E17E41023FC}" name="חיריק"/>
    <tableColumn id="11" xr3:uid="{C999E81A-DB6E-4E58-9E28-CA61986BC768}" name="שורוק"/>
    <tableColumn id="12" xr3:uid="{96564408-143C-4569-8901-5111702EE63A}" name="מלאופום"/>
    <tableColumn id="13" xr3:uid="{5321D775-D7E3-4604-B73D-A10811311B33}" name="חולם"/>
    <tableColumn id="14" xr3:uid="{43D3042C-6BDB-4A93-ADD3-D66C75A33D85}" name="מקור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8FE36-EC26-4DE8-83CB-649776F7A931}">
  <dimension ref="A1:W6695"/>
  <sheetViews>
    <sheetView rightToLeft="1" tabSelected="1" zoomScaleNormal="100" workbookViewId="0">
      <pane ySplit="1" topLeftCell="A6672" activePane="bottomLeft" state="frozen"/>
      <selection pane="bottomLeft" activeCell="A4850" sqref="A4850"/>
    </sheetView>
  </sheetViews>
  <sheetFormatPr defaultRowHeight="13.8" x14ac:dyDescent="0.25"/>
  <cols>
    <col min="1" max="1" width="10.59765625" bestFit="1" customWidth="1"/>
    <col min="2" max="9" width="10.59765625" hidden="1" customWidth="1"/>
    <col min="10" max="10" width="12.69921875" bestFit="1" customWidth="1"/>
    <col min="11" max="11" width="11.3984375" bestFit="1" customWidth="1"/>
    <col min="13" max="13" width="16.3984375" bestFit="1" customWidth="1"/>
    <col min="14" max="14" width="14" bestFit="1" customWidth="1"/>
    <col min="20" max="20" width="11.19921875" bestFit="1" customWidth="1"/>
    <col min="21" max="21" width="9.19921875" bestFit="1" customWidth="1"/>
  </cols>
  <sheetData>
    <row r="1" spans="1:23" x14ac:dyDescent="0.25">
      <c r="A1" t="s">
        <v>6692</v>
      </c>
      <c r="B1" s="4" t="s">
        <v>6726</v>
      </c>
      <c r="C1" s="4" t="s">
        <v>6727</v>
      </c>
      <c r="D1" s="4" t="s">
        <v>6728</v>
      </c>
      <c r="E1" s="4" t="s">
        <v>6729</v>
      </c>
      <c r="F1" s="4" t="s">
        <v>6730</v>
      </c>
      <c r="G1" s="4" t="s">
        <v>6731</v>
      </c>
      <c r="H1" s="4" t="s">
        <v>6732</v>
      </c>
      <c r="I1" s="4" t="s">
        <v>6733</v>
      </c>
      <c r="J1" s="4" t="s">
        <v>6734</v>
      </c>
      <c r="K1" t="s">
        <v>6696</v>
      </c>
      <c r="L1" t="s">
        <v>6693</v>
      </c>
      <c r="M1" t="s">
        <v>6699</v>
      </c>
      <c r="N1" t="s">
        <v>6718</v>
      </c>
      <c r="O1" t="s">
        <v>6708</v>
      </c>
      <c r="P1" t="s">
        <v>6709</v>
      </c>
      <c r="Q1" t="s">
        <v>6710</v>
      </c>
      <c r="R1" t="s">
        <v>6711</v>
      </c>
      <c r="S1" t="s">
        <v>6712</v>
      </c>
      <c r="T1" t="s">
        <v>6714</v>
      </c>
      <c r="U1" t="s">
        <v>6715</v>
      </c>
      <c r="V1" t="s">
        <v>6713</v>
      </c>
      <c r="W1" t="s">
        <v>6719</v>
      </c>
    </row>
    <row r="2" spans="1:23" ht="15.6" x14ac:dyDescent="0.4">
      <c r="A2" s="2" t="s">
        <v>4229</v>
      </c>
      <c r="B2" s="5" t="s">
        <v>6735</v>
      </c>
      <c r="C2" s="7" t="s">
        <v>12556</v>
      </c>
      <c r="D2" s="8">
        <f t="shared" ref="D2" si="0">(LEN(B2)-LEN(SUBSTITUTE(B2,C2,"")))</f>
        <v>0</v>
      </c>
      <c r="E2" s="7" t="s">
        <v>12557</v>
      </c>
      <c r="F2" s="7">
        <f t="shared" ref="F2" si="1">(LEN(A2)-LEN(SUBSTITUTE(A2,E2,"")))</f>
        <v>0</v>
      </c>
      <c r="G2" s="7" t="s">
        <v>12558</v>
      </c>
      <c r="H2" s="7">
        <f t="shared" ref="H2" si="2">(LEN(A2)-LEN(SUBSTITUTE(A2,G2,"")))/2</f>
        <v>0</v>
      </c>
      <c r="I2" s="7" t="str" cm="1">
        <f t="array" ref="I2">IFERROR(_xlfn.IFS(M2="נח",1,M2="נע ונח",1,M2="שני שווא נח",2,M2="שני שוואים בסוף מילה",2,M2="שני שוואים ברצף",1),"0")</f>
        <v>0</v>
      </c>
      <c r="J2" s="9">
        <f t="shared" ref="J2" si="3">LEN(A2)-(LEN(B2))-D2-F2+H2-I2</f>
        <v>2</v>
      </c>
      <c r="K2" t="s">
        <v>6698</v>
      </c>
      <c r="L2" t="s">
        <v>6695</v>
      </c>
      <c r="R2" t="s">
        <v>6694</v>
      </c>
      <c r="V2" t="s">
        <v>6694</v>
      </c>
      <c r="W2" t="s">
        <v>6720</v>
      </c>
    </row>
    <row r="3" spans="1:23" ht="15.6" x14ac:dyDescent="0.4">
      <c r="A3" s="2" t="s">
        <v>1560</v>
      </c>
      <c r="B3" s="5" t="s">
        <v>6736</v>
      </c>
      <c r="C3" s="7" t="s">
        <v>12556</v>
      </c>
      <c r="D3" s="8">
        <f t="shared" ref="D3:D66" si="4">(LEN(B3)-LEN(SUBSTITUTE(B3,C3,"")))</f>
        <v>0</v>
      </c>
      <c r="E3" s="7" t="s">
        <v>12557</v>
      </c>
      <c r="F3" s="7">
        <f t="shared" ref="F3:F66" si="5">(LEN(A3)-LEN(SUBSTITUTE(A3,E3,"")))</f>
        <v>0</v>
      </c>
      <c r="G3" s="7" t="s">
        <v>12558</v>
      </c>
      <c r="H3" s="7">
        <f t="shared" ref="H3:H66" si="6">(LEN(A3)-LEN(SUBSTITUTE(A3,G3,"")))/2</f>
        <v>0</v>
      </c>
      <c r="I3" s="7" t="str" cm="1">
        <f t="array" ref="I3">IFERROR(_xlfn.IFS(M3="נח",1,M3="נע ונח",1,M3="שני שווא נח",2,M3="שני שוואים בסוף מילה",2,M3="שני שוואים ברצף",1),"0")</f>
        <v>0</v>
      </c>
      <c r="J3" s="9">
        <f t="shared" ref="J3:J66" si="7">LEN(A3)-(LEN(B3))-D3-F3+H3-I3</f>
        <v>3</v>
      </c>
      <c r="K3" t="s">
        <v>6698</v>
      </c>
      <c r="L3" t="s">
        <v>6695</v>
      </c>
      <c r="R3" t="s">
        <v>6694</v>
      </c>
      <c r="S3" t="s">
        <v>6694</v>
      </c>
      <c r="W3" t="s">
        <v>6720</v>
      </c>
    </row>
    <row r="4" spans="1:23" ht="15.6" x14ac:dyDescent="0.4">
      <c r="A4" s="2" t="s">
        <v>5897</v>
      </c>
      <c r="B4" s="5" t="s">
        <v>6737</v>
      </c>
      <c r="C4" s="7" t="s">
        <v>12556</v>
      </c>
      <c r="D4" s="8">
        <f t="shared" si="4"/>
        <v>0</v>
      </c>
      <c r="E4" s="7" t="s">
        <v>12557</v>
      </c>
      <c r="F4" s="7">
        <f t="shared" si="5"/>
        <v>1</v>
      </c>
      <c r="G4" s="7" t="s">
        <v>12558</v>
      </c>
      <c r="H4" s="7">
        <f t="shared" si="6"/>
        <v>1</v>
      </c>
      <c r="I4" s="7" t="str" cm="1">
        <f t="array" ref="I4">IFERROR(_xlfn.IFS(M4="נח",1,M4="נע ונח",1,M4="שני שווא נח",2,M4="שני שוואים בסוף מילה",2,M4="שני שוואים ברצף",1),"0")</f>
        <v>0</v>
      </c>
      <c r="J4" s="9">
        <f t="shared" si="7"/>
        <v>4</v>
      </c>
      <c r="K4" t="s">
        <v>6697</v>
      </c>
      <c r="L4" t="s">
        <v>6695</v>
      </c>
      <c r="O4" t="s">
        <v>6694</v>
      </c>
      <c r="R4" t="s">
        <v>6694</v>
      </c>
      <c r="S4" t="s">
        <v>6694</v>
      </c>
      <c r="W4" t="s">
        <v>6720</v>
      </c>
    </row>
    <row r="5" spans="1:23" ht="15.6" x14ac:dyDescent="0.4">
      <c r="A5" s="2" t="s">
        <v>1166</v>
      </c>
      <c r="B5" s="5" t="s">
        <v>6738</v>
      </c>
      <c r="C5" s="7" t="s">
        <v>12556</v>
      </c>
      <c r="D5" s="8">
        <f t="shared" si="4"/>
        <v>0</v>
      </c>
      <c r="E5" s="7" t="s">
        <v>12557</v>
      </c>
      <c r="F5" s="7">
        <f t="shared" si="5"/>
        <v>0</v>
      </c>
      <c r="G5" s="7" t="s">
        <v>12558</v>
      </c>
      <c r="H5" s="7">
        <f t="shared" si="6"/>
        <v>0</v>
      </c>
      <c r="I5" s="7" t="str" cm="1">
        <f t="array" ref="I5">IFERROR(_xlfn.IFS(M5="נח",1,M5="נע ונח",1,M5="שני שווא נח",2,M5="שני שוואים בסוף מילה",2,M5="שני שוואים ברצף",1),"0")</f>
        <v>0</v>
      </c>
      <c r="J5" s="9">
        <f t="shared" si="7"/>
        <v>2</v>
      </c>
      <c r="K5" t="s">
        <v>6698</v>
      </c>
      <c r="L5" t="s">
        <v>6695</v>
      </c>
      <c r="R5" t="s">
        <v>6694</v>
      </c>
      <c r="W5" t="s">
        <v>6720</v>
      </c>
    </row>
    <row r="6" spans="1:23" ht="15.6" x14ac:dyDescent="0.4">
      <c r="A6" s="2" t="s">
        <v>953</v>
      </c>
      <c r="B6" s="5" t="s">
        <v>6739</v>
      </c>
      <c r="C6" s="7" t="s">
        <v>12556</v>
      </c>
      <c r="D6" s="8">
        <f t="shared" si="4"/>
        <v>0</v>
      </c>
      <c r="E6" s="7" t="s">
        <v>12557</v>
      </c>
      <c r="F6" s="7">
        <f t="shared" si="5"/>
        <v>0</v>
      </c>
      <c r="G6" s="7" t="s">
        <v>12558</v>
      </c>
      <c r="H6" s="7">
        <f t="shared" si="6"/>
        <v>0</v>
      </c>
      <c r="I6" s="7" t="str" cm="1">
        <f t="array" ref="I6">IFERROR(_xlfn.IFS(M6="נח",1,M6="נע ונח",1,M6="שני שווא נח",2,M6="שני שוואים בסוף מילה",2,M6="שני שוואים ברצף",1),"0")</f>
        <v>0</v>
      </c>
      <c r="J6" s="9">
        <f t="shared" si="7"/>
        <v>2</v>
      </c>
      <c r="K6" t="s">
        <v>6698</v>
      </c>
      <c r="L6" t="s">
        <v>6695</v>
      </c>
      <c r="R6" t="s">
        <v>6694</v>
      </c>
      <c r="V6" t="s">
        <v>6694</v>
      </c>
      <c r="W6" t="s">
        <v>6720</v>
      </c>
    </row>
    <row r="7" spans="1:23" ht="15.6" x14ac:dyDescent="0.4">
      <c r="A7" s="2" t="s">
        <v>1806</v>
      </c>
      <c r="B7" s="5" t="s">
        <v>6740</v>
      </c>
      <c r="C7" s="7" t="s">
        <v>12556</v>
      </c>
      <c r="D7" s="8">
        <f t="shared" si="4"/>
        <v>0</v>
      </c>
      <c r="E7" s="7" t="s">
        <v>12557</v>
      </c>
      <c r="F7" s="7">
        <f t="shared" si="5"/>
        <v>1</v>
      </c>
      <c r="G7" s="7" t="s">
        <v>12558</v>
      </c>
      <c r="H7" s="7">
        <f t="shared" si="6"/>
        <v>1</v>
      </c>
      <c r="I7" s="7" t="str" cm="1">
        <f t="array" ref="I7">IFERROR(_xlfn.IFS(M7="נח",1,M7="נע ונח",1,M7="שני שווא נח",2,M7="שני שוואים בסוף מילה",2,M7="שני שוואים ברצף",1),"0")</f>
        <v>0</v>
      </c>
      <c r="J7" s="9">
        <f t="shared" si="7"/>
        <v>3</v>
      </c>
      <c r="K7" t="s">
        <v>6698</v>
      </c>
      <c r="L7" t="s">
        <v>6695</v>
      </c>
      <c r="R7" t="s">
        <v>6694</v>
      </c>
      <c r="S7" t="s">
        <v>6694</v>
      </c>
      <c r="W7" t="s">
        <v>6720</v>
      </c>
    </row>
    <row r="8" spans="1:23" ht="15.6" x14ac:dyDescent="0.4">
      <c r="A8" s="2" t="s">
        <v>301</v>
      </c>
      <c r="B8" s="5" t="s">
        <v>6741</v>
      </c>
      <c r="C8" s="7" t="s">
        <v>12556</v>
      </c>
      <c r="D8" s="8">
        <f t="shared" si="4"/>
        <v>0</v>
      </c>
      <c r="E8" s="7" t="s">
        <v>12557</v>
      </c>
      <c r="F8" s="7">
        <f t="shared" si="5"/>
        <v>1</v>
      </c>
      <c r="G8" s="7" t="s">
        <v>12558</v>
      </c>
      <c r="H8" s="7">
        <f t="shared" si="6"/>
        <v>1</v>
      </c>
      <c r="I8" s="7" t="str" cm="1">
        <f t="array" ref="I8">IFERROR(_xlfn.IFS(M8="נח",1,M8="נע ונח",1,M8="שני שווא נח",2,M8="שני שוואים בסוף מילה",2,M8="שני שוואים ברצף",1),"0")</f>
        <v>0</v>
      </c>
      <c r="J8" s="9">
        <f t="shared" si="7"/>
        <v>3</v>
      </c>
      <c r="K8" t="s">
        <v>6697</v>
      </c>
      <c r="L8" t="s">
        <v>6695</v>
      </c>
      <c r="O8" t="s">
        <v>6694</v>
      </c>
      <c r="R8" t="s">
        <v>6694</v>
      </c>
      <c r="W8" t="s">
        <v>6720</v>
      </c>
    </row>
    <row r="9" spans="1:23" ht="15.6" x14ac:dyDescent="0.4">
      <c r="A9" s="2" t="s">
        <v>833</v>
      </c>
      <c r="B9" s="5" t="s">
        <v>6742</v>
      </c>
      <c r="C9" s="7" t="s">
        <v>12556</v>
      </c>
      <c r="D9" s="8">
        <f t="shared" si="4"/>
        <v>0</v>
      </c>
      <c r="E9" s="7" t="s">
        <v>12557</v>
      </c>
      <c r="F9" s="7">
        <f t="shared" si="5"/>
        <v>1</v>
      </c>
      <c r="G9" s="7" t="s">
        <v>12558</v>
      </c>
      <c r="H9" s="7">
        <f t="shared" si="6"/>
        <v>1</v>
      </c>
      <c r="I9" s="7" cm="1">
        <f t="array" ref="I9">IFERROR(_xlfn.IFS(M9="נח",1,M9="נע ונח",1,M9="שני שווא נח",2,M9="שני שוואים בסוף מילה",2,M9="שני שוואים ברצף",1),"0")</f>
        <v>1</v>
      </c>
      <c r="J9" s="9">
        <f t="shared" si="7"/>
        <v>4</v>
      </c>
      <c r="K9" t="s">
        <v>6697</v>
      </c>
      <c r="L9" t="s">
        <v>6694</v>
      </c>
      <c r="M9" t="s">
        <v>6705</v>
      </c>
      <c r="N9" t="s">
        <v>6706</v>
      </c>
      <c r="O9" t="s">
        <v>6694</v>
      </c>
      <c r="R9" t="s">
        <v>6694</v>
      </c>
      <c r="W9" t="s">
        <v>6720</v>
      </c>
    </row>
    <row r="10" spans="1:23" ht="15.6" x14ac:dyDescent="0.4">
      <c r="A10" s="2" t="s">
        <v>6640</v>
      </c>
      <c r="B10" s="5" t="s">
        <v>6743</v>
      </c>
      <c r="C10" s="7" t="s">
        <v>12556</v>
      </c>
      <c r="D10" s="8">
        <f t="shared" si="4"/>
        <v>0</v>
      </c>
      <c r="E10" s="7" t="s">
        <v>12557</v>
      </c>
      <c r="F10" s="7">
        <f t="shared" si="5"/>
        <v>1</v>
      </c>
      <c r="G10" s="7" t="s">
        <v>12558</v>
      </c>
      <c r="H10" s="7">
        <f t="shared" si="6"/>
        <v>1</v>
      </c>
      <c r="I10" s="7" t="str" cm="1">
        <f t="array" ref="I10">IFERROR(_xlfn.IFS(M10="נח",1,M10="נע ונח",1,M10="שני שווא נח",2,M10="שני שוואים בסוף מילה",2,M10="שני שוואים ברצף",1),"0")</f>
        <v>0</v>
      </c>
      <c r="J10" s="9">
        <f t="shared" si="7"/>
        <v>4</v>
      </c>
      <c r="K10" t="s">
        <v>6697</v>
      </c>
      <c r="L10" t="s">
        <v>6695</v>
      </c>
      <c r="O10" t="s">
        <v>6694</v>
      </c>
      <c r="R10" t="s">
        <v>6694</v>
      </c>
      <c r="V10" t="s">
        <v>6694</v>
      </c>
      <c r="W10" t="s">
        <v>6720</v>
      </c>
    </row>
    <row r="11" spans="1:23" ht="15.6" x14ac:dyDescent="0.4">
      <c r="A11" s="2" t="s">
        <v>689</v>
      </c>
      <c r="B11" s="5" t="s">
        <v>6744</v>
      </c>
      <c r="C11" s="7" t="s">
        <v>12556</v>
      </c>
      <c r="D11" s="8">
        <f t="shared" si="4"/>
        <v>1</v>
      </c>
      <c r="E11" s="7" t="s">
        <v>12557</v>
      </c>
      <c r="F11" s="7">
        <f t="shared" si="5"/>
        <v>0</v>
      </c>
      <c r="G11" s="7" t="s">
        <v>12558</v>
      </c>
      <c r="H11" s="7">
        <f t="shared" si="6"/>
        <v>0</v>
      </c>
      <c r="I11" s="7" t="str" cm="1">
        <f t="array" ref="I11">IFERROR(_xlfn.IFS(M11="נח",1,M11="נע ונח",1,M11="שני שווא נח",2,M11="שני שוואים בסוף מילה",2,M11="שני שוואים ברצף",1),"0")</f>
        <v>0</v>
      </c>
      <c r="J11" s="9">
        <f t="shared" si="7"/>
        <v>2</v>
      </c>
      <c r="K11" t="s">
        <v>6698</v>
      </c>
      <c r="L11" t="s">
        <v>6695</v>
      </c>
      <c r="R11" t="s">
        <v>6694</v>
      </c>
      <c r="V11" t="s">
        <v>6694</v>
      </c>
      <c r="W11" t="s">
        <v>6720</v>
      </c>
    </row>
    <row r="12" spans="1:23" ht="15.6" x14ac:dyDescent="0.4">
      <c r="A12" s="2" t="s">
        <v>4481</v>
      </c>
      <c r="B12" s="5" t="s">
        <v>6745</v>
      </c>
      <c r="C12" s="7" t="s">
        <v>12556</v>
      </c>
      <c r="D12" s="8">
        <f t="shared" si="4"/>
        <v>0</v>
      </c>
      <c r="E12" s="7" t="s">
        <v>12557</v>
      </c>
      <c r="F12" s="7">
        <f t="shared" si="5"/>
        <v>0</v>
      </c>
      <c r="G12" s="7" t="s">
        <v>12558</v>
      </c>
      <c r="H12" s="7">
        <f t="shared" si="6"/>
        <v>0</v>
      </c>
      <c r="I12" s="7" t="str" cm="1">
        <f t="array" ref="I12">IFERROR(_xlfn.IFS(M12="נח",1,M12="נע ונח",1,M12="שני שווא נח",2,M12="שני שוואים בסוף מילה",2,M12="שני שוואים ברצף",1),"0")</f>
        <v>0</v>
      </c>
      <c r="J12" s="9">
        <f t="shared" si="7"/>
        <v>2</v>
      </c>
      <c r="K12" t="s">
        <v>6697</v>
      </c>
      <c r="L12" t="s">
        <v>6695</v>
      </c>
      <c r="P12" t="s">
        <v>6694</v>
      </c>
      <c r="S12" t="s">
        <v>6694</v>
      </c>
      <c r="W12" t="s">
        <v>6720</v>
      </c>
    </row>
    <row r="13" spans="1:23" ht="15.6" x14ac:dyDescent="0.4">
      <c r="A13" s="2" t="s">
        <v>2736</v>
      </c>
      <c r="B13" s="5" t="s">
        <v>6746</v>
      </c>
      <c r="C13" s="7" t="s">
        <v>12556</v>
      </c>
      <c r="D13" s="8">
        <f t="shared" si="4"/>
        <v>0</v>
      </c>
      <c r="E13" s="7" t="s">
        <v>12557</v>
      </c>
      <c r="F13" s="7">
        <f t="shared" si="5"/>
        <v>0</v>
      </c>
      <c r="G13" s="7" t="s">
        <v>12558</v>
      </c>
      <c r="H13" s="7">
        <f t="shared" si="6"/>
        <v>0</v>
      </c>
      <c r="I13" s="7" cm="1">
        <f t="array" ref="I13">IFERROR(_xlfn.IFS(M13="נח",1,M13="נע ונח",1,M13="שני שווא נח",2,M13="שני שוואים בסוף מילה",2,M13="שני שוואים ברצף",1),"0")</f>
        <v>1</v>
      </c>
      <c r="J13" s="9">
        <f t="shared" si="7"/>
        <v>4</v>
      </c>
      <c r="K13" t="s">
        <v>6698</v>
      </c>
      <c r="L13" t="s">
        <v>6694</v>
      </c>
      <c r="M13" t="s">
        <v>6705</v>
      </c>
      <c r="P13" t="s">
        <v>6694</v>
      </c>
      <c r="R13" t="s">
        <v>6694</v>
      </c>
      <c r="S13" t="s">
        <v>6694</v>
      </c>
      <c r="W13" t="s">
        <v>6720</v>
      </c>
    </row>
    <row r="14" spans="1:23" ht="15.6" x14ac:dyDescent="0.4">
      <c r="A14" s="2" t="s">
        <v>6073</v>
      </c>
      <c r="B14" s="5" t="s">
        <v>6747</v>
      </c>
      <c r="C14" s="7" t="s">
        <v>12556</v>
      </c>
      <c r="D14" s="8">
        <f t="shared" si="4"/>
        <v>0</v>
      </c>
      <c r="E14" s="7" t="s">
        <v>12557</v>
      </c>
      <c r="F14" s="7">
        <f t="shared" si="5"/>
        <v>0</v>
      </c>
      <c r="G14" s="7" t="s">
        <v>12558</v>
      </c>
      <c r="H14" s="7">
        <f t="shared" si="6"/>
        <v>0</v>
      </c>
      <c r="I14" s="7" t="str" cm="1">
        <f t="array" ref="I14">IFERROR(_xlfn.IFS(M14="נח",1,M14="נע ונח",1,M14="שני שווא נח",2,M14="שני שוואים בסוף מילה",2,M14="שני שוואים ברצף",1),"0")</f>
        <v>0</v>
      </c>
      <c r="J14" s="9">
        <f t="shared" si="7"/>
        <v>3</v>
      </c>
      <c r="K14" t="s">
        <v>6698</v>
      </c>
      <c r="L14" t="s">
        <v>6695</v>
      </c>
      <c r="N14" t="s">
        <v>6706</v>
      </c>
      <c r="O14" t="s">
        <v>6694</v>
      </c>
      <c r="P14" t="s">
        <v>6694</v>
      </c>
      <c r="S14" t="s">
        <v>6694</v>
      </c>
      <c r="W14" t="s">
        <v>6720</v>
      </c>
    </row>
    <row r="15" spans="1:23" ht="15.6" x14ac:dyDescent="0.4">
      <c r="A15" s="2" t="s">
        <v>2621</v>
      </c>
      <c r="B15" s="5" t="s">
        <v>6748</v>
      </c>
      <c r="C15" s="7" t="s">
        <v>12556</v>
      </c>
      <c r="D15" s="8">
        <f t="shared" si="4"/>
        <v>1</v>
      </c>
      <c r="E15" s="7" t="s">
        <v>12557</v>
      </c>
      <c r="F15" s="7">
        <f t="shared" si="5"/>
        <v>1</v>
      </c>
      <c r="G15" s="7" t="s">
        <v>12558</v>
      </c>
      <c r="H15" s="7">
        <f t="shared" si="6"/>
        <v>0</v>
      </c>
      <c r="I15" s="7" t="str" cm="1">
        <f t="array" ref="I15">IFERROR(_xlfn.IFS(M15="נח",1,M15="נע ונח",1,M15="שני שווא נח",2,M15="שני שוואים בסוף מילה",2,M15="שני שוואים ברצף",1),"0")</f>
        <v>0</v>
      </c>
      <c r="J15" s="9">
        <f t="shared" si="7"/>
        <v>3</v>
      </c>
      <c r="K15" t="s">
        <v>6698</v>
      </c>
      <c r="L15" t="s">
        <v>6695</v>
      </c>
      <c r="P15" t="s">
        <v>6694</v>
      </c>
      <c r="Q15" t="s">
        <v>6694</v>
      </c>
      <c r="W15" t="s">
        <v>6720</v>
      </c>
    </row>
    <row r="16" spans="1:23" ht="15.6" x14ac:dyDescent="0.4">
      <c r="A16" s="2" t="s">
        <v>2738</v>
      </c>
      <c r="B16" s="5" t="s">
        <v>6749</v>
      </c>
      <c r="C16" s="7" t="s">
        <v>12556</v>
      </c>
      <c r="D16" s="8">
        <f t="shared" si="4"/>
        <v>0</v>
      </c>
      <c r="E16" s="7" t="s">
        <v>12557</v>
      </c>
      <c r="F16" s="7">
        <f t="shared" si="5"/>
        <v>0</v>
      </c>
      <c r="G16" s="7" t="s">
        <v>12558</v>
      </c>
      <c r="H16" s="7">
        <f t="shared" si="6"/>
        <v>0</v>
      </c>
      <c r="I16" s="7" t="str" cm="1">
        <f t="array" ref="I16">IFERROR(_xlfn.IFS(M16="נח",1,M16="נע ונח",1,M16="שני שווא נח",2,M16="שני שוואים בסוף מילה",2,M16="שני שוואים ברצף",1),"0")</f>
        <v>0</v>
      </c>
      <c r="J16" s="9">
        <f t="shared" si="7"/>
        <v>4</v>
      </c>
      <c r="K16" t="s">
        <v>6697</v>
      </c>
      <c r="L16" t="s">
        <v>6695</v>
      </c>
      <c r="O16" t="s">
        <v>6694</v>
      </c>
      <c r="P16" t="s">
        <v>6694</v>
      </c>
      <c r="W16" t="s">
        <v>6720</v>
      </c>
    </row>
    <row r="17" spans="1:23" ht="15.6" x14ac:dyDescent="0.4">
      <c r="A17" s="2" t="s">
        <v>55</v>
      </c>
      <c r="B17" s="5" t="s">
        <v>6750</v>
      </c>
      <c r="C17" s="7" t="s">
        <v>12556</v>
      </c>
      <c r="D17" s="8">
        <f t="shared" si="4"/>
        <v>0</v>
      </c>
      <c r="E17" s="7" t="s">
        <v>12557</v>
      </c>
      <c r="F17" s="7">
        <f t="shared" si="5"/>
        <v>0</v>
      </c>
      <c r="G17" s="7" t="s">
        <v>12558</v>
      </c>
      <c r="H17" s="7">
        <f t="shared" si="6"/>
        <v>0</v>
      </c>
      <c r="I17" s="7" cm="1">
        <f t="array" ref="I17">IFERROR(_xlfn.IFS(M17="נח",1,M17="נע ונח",1,M17="שני שווא נח",2,M17="שני שוואים בסוף מילה",2,M17="שני שוואים ברצף",1),"0")</f>
        <v>1</v>
      </c>
      <c r="J17" s="9">
        <f t="shared" si="7"/>
        <v>3</v>
      </c>
      <c r="K17" t="s">
        <v>6698</v>
      </c>
      <c r="L17" t="s">
        <v>6694</v>
      </c>
      <c r="M17" t="s">
        <v>6705</v>
      </c>
      <c r="O17" t="s">
        <v>6694</v>
      </c>
      <c r="P17" t="s">
        <v>6694</v>
      </c>
      <c r="Q17" t="s">
        <v>6694</v>
      </c>
      <c r="W17" t="s">
        <v>6720</v>
      </c>
    </row>
    <row r="18" spans="1:23" ht="15.6" x14ac:dyDescent="0.4">
      <c r="A18" s="2" t="s">
        <v>5359</v>
      </c>
      <c r="B18" s="5" t="s">
        <v>6751</v>
      </c>
      <c r="C18" s="7" t="s">
        <v>12556</v>
      </c>
      <c r="D18" s="8">
        <f t="shared" si="4"/>
        <v>0</v>
      </c>
      <c r="E18" s="7" t="s">
        <v>12557</v>
      </c>
      <c r="F18" s="7">
        <f t="shared" si="5"/>
        <v>0</v>
      </c>
      <c r="G18" s="7" t="s">
        <v>12558</v>
      </c>
      <c r="H18" s="7">
        <f t="shared" si="6"/>
        <v>0</v>
      </c>
      <c r="I18" s="7" t="str" cm="1">
        <f t="array" ref="I18">IFERROR(_xlfn.IFS(M18="נח",1,M18="נע ונח",1,M18="שני שווא נח",2,M18="שני שוואים בסוף מילה",2,M18="שני שוואים ברצף",1),"0")</f>
        <v>0</v>
      </c>
      <c r="J18" s="9">
        <f t="shared" si="7"/>
        <v>5</v>
      </c>
      <c r="K18" t="s">
        <v>6697</v>
      </c>
      <c r="L18" t="s">
        <v>6694</v>
      </c>
      <c r="M18" t="s">
        <v>6703</v>
      </c>
      <c r="O18" t="s">
        <v>6694</v>
      </c>
      <c r="P18" t="s">
        <v>6694</v>
      </c>
      <c r="R18" t="s">
        <v>6694</v>
      </c>
      <c r="W18" t="s">
        <v>6720</v>
      </c>
    </row>
    <row r="19" spans="1:23" ht="15.6" x14ac:dyDescent="0.4">
      <c r="A19" s="2" t="s">
        <v>12</v>
      </c>
      <c r="B19" s="5" t="s">
        <v>6752</v>
      </c>
      <c r="C19" s="7" t="s">
        <v>12556</v>
      </c>
      <c r="D19" s="8">
        <f t="shared" si="4"/>
        <v>0</v>
      </c>
      <c r="E19" s="7" t="s">
        <v>12557</v>
      </c>
      <c r="F19" s="7">
        <f t="shared" si="5"/>
        <v>1</v>
      </c>
      <c r="G19" s="7" t="s">
        <v>12558</v>
      </c>
      <c r="H19" s="7">
        <f t="shared" si="6"/>
        <v>1</v>
      </c>
      <c r="I19" s="7" t="str" cm="1">
        <f t="array" ref="I19">IFERROR(_xlfn.IFS(M19="נח",1,M19="נע ונח",1,M19="שני שווא נח",2,M19="שני שוואים בסוף מילה",2,M19="שני שוואים ברצף",1),"0")</f>
        <v>0</v>
      </c>
      <c r="J19" s="9">
        <f t="shared" si="7"/>
        <v>4</v>
      </c>
      <c r="K19" t="s">
        <v>6697</v>
      </c>
      <c r="L19" t="s">
        <v>6695</v>
      </c>
      <c r="P19" t="s">
        <v>6694</v>
      </c>
      <c r="Q19" t="s">
        <v>6694</v>
      </c>
      <c r="V19" t="s">
        <v>6694</v>
      </c>
      <c r="W19" t="s">
        <v>6720</v>
      </c>
    </row>
    <row r="20" spans="1:23" ht="15.6" x14ac:dyDescent="0.4">
      <c r="A20" s="2" t="s">
        <v>3750</v>
      </c>
      <c r="B20" s="5" t="s">
        <v>6753</v>
      </c>
      <c r="C20" s="7" t="s">
        <v>12556</v>
      </c>
      <c r="D20" s="8">
        <f t="shared" si="4"/>
        <v>0</v>
      </c>
      <c r="E20" s="7" t="s">
        <v>12557</v>
      </c>
      <c r="F20" s="7">
        <f t="shared" si="5"/>
        <v>0</v>
      </c>
      <c r="G20" s="7" t="s">
        <v>12558</v>
      </c>
      <c r="H20" s="7">
        <f t="shared" si="6"/>
        <v>0</v>
      </c>
      <c r="I20" s="7" t="str" cm="1">
        <f t="array" ref="I20">IFERROR(_xlfn.IFS(M20="נח",1,M20="נע ונח",1,M20="שני שווא נח",2,M20="שני שוואים בסוף מילה",2,M20="שני שוואים ברצף",1),"0")</f>
        <v>0</v>
      </c>
      <c r="J20" s="9">
        <f t="shared" si="7"/>
        <v>4</v>
      </c>
      <c r="K20" t="s">
        <v>6697</v>
      </c>
      <c r="L20" t="s">
        <v>6695</v>
      </c>
      <c r="O20" t="s">
        <v>6694</v>
      </c>
      <c r="P20" t="s">
        <v>6694</v>
      </c>
      <c r="R20" t="s">
        <v>6694</v>
      </c>
      <c r="V20" t="s">
        <v>6694</v>
      </c>
      <c r="W20" t="s">
        <v>6720</v>
      </c>
    </row>
    <row r="21" spans="1:23" ht="15.6" x14ac:dyDescent="0.4">
      <c r="A21" s="2" t="s">
        <v>4979</v>
      </c>
      <c r="B21" s="5" t="s">
        <v>6754</v>
      </c>
      <c r="C21" s="7" t="s">
        <v>12556</v>
      </c>
      <c r="D21" s="8">
        <f t="shared" si="4"/>
        <v>0</v>
      </c>
      <c r="E21" s="7" t="s">
        <v>12557</v>
      </c>
      <c r="F21" s="7">
        <f t="shared" si="5"/>
        <v>0</v>
      </c>
      <c r="G21" s="7" t="s">
        <v>12558</v>
      </c>
      <c r="H21" s="7">
        <f t="shared" si="6"/>
        <v>0</v>
      </c>
      <c r="I21" s="7" t="str" cm="1">
        <f t="array" ref="I21">IFERROR(_xlfn.IFS(M21="נח",1,M21="נע ונח",1,M21="שני שווא נח",2,M21="שני שוואים בסוף מילה",2,M21="שני שוואים ברצף",1),"0")</f>
        <v>0</v>
      </c>
      <c r="J21" s="9">
        <f t="shared" si="7"/>
        <v>3</v>
      </c>
      <c r="K21" t="s">
        <v>6698</v>
      </c>
      <c r="L21" t="s">
        <v>6695</v>
      </c>
      <c r="N21" t="s">
        <v>6706</v>
      </c>
      <c r="O21" t="s">
        <v>6694</v>
      </c>
      <c r="P21" t="s">
        <v>6694</v>
      </c>
      <c r="V21" t="s">
        <v>6694</v>
      </c>
      <c r="W21" t="s">
        <v>6720</v>
      </c>
    </row>
    <row r="22" spans="1:23" ht="15.6" x14ac:dyDescent="0.4">
      <c r="A22" s="2" t="s">
        <v>2988</v>
      </c>
      <c r="B22" s="5" t="s">
        <v>6755</v>
      </c>
      <c r="C22" s="7" t="s">
        <v>12556</v>
      </c>
      <c r="D22" s="8">
        <f t="shared" si="4"/>
        <v>0</v>
      </c>
      <c r="E22" s="7" t="s">
        <v>12557</v>
      </c>
      <c r="F22" s="7">
        <f t="shared" si="5"/>
        <v>0</v>
      </c>
      <c r="G22" s="7" t="s">
        <v>12558</v>
      </c>
      <c r="H22" s="7">
        <f t="shared" si="6"/>
        <v>0</v>
      </c>
      <c r="I22" s="7" t="str" cm="1">
        <f t="array" ref="I22">IFERROR(_xlfn.IFS(M22="נח",1,M22="נע ונח",1,M22="שני שווא נח",2,M22="שני שוואים בסוף מילה",2,M22="שני שוואים ברצף",1),"0")</f>
        <v>0</v>
      </c>
      <c r="J22" s="9">
        <f t="shared" si="7"/>
        <v>4</v>
      </c>
      <c r="K22" t="s">
        <v>6698</v>
      </c>
      <c r="L22" t="s">
        <v>6695</v>
      </c>
      <c r="P22" t="s">
        <v>6694</v>
      </c>
      <c r="Q22" t="s">
        <v>6694</v>
      </c>
      <c r="R22" t="s">
        <v>6694</v>
      </c>
      <c r="V22" t="s">
        <v>6694</v>
      </c>
      <c r="W22" t="s">
        <v>6720</v>
      </c>
    </row>
    <row r="23" spans="1:23" ht="15.6" x14ac:dyDescent="0.4">
      <c r="A23" s="2" t="s">
        <v>1032</v>
      </c>
      <c r="B23" s="5" t="s">
        <v>6756</v>
      </c>
      <c r="C23" s="7" t="s">
        <v>12556</v>
      </c>
      <c r="D23" s="8">
        <f t="shared" si="4"/>
        <v>0</v>
      </c>
      <c r="E23" s="7" t="s">
        <v>12557</v>
      </c>
      <c r="F23" s="7">
        <f t="shared" si="5"/>
        <v>1</v>
      </c>
      <c r="G23" s="7" t="s">
        <v>12558</v>
      </c>
      <c r="H23" s="7">
        <f t="shared" si="6"/>
        <v>1</v>
      </c>
      <c r="I23" s="7" t="str" cm="1">
        <f t="array" ref="I23">IFERROR(_xlfn.IFS(M23="נח",1,M23="נע ונח",1,M23="שני שווא נח",2,M23="שני שוואים בסוף מילה",2,M23="שני שוואים ברצף",1),"0")</f>
        <v>0</v>
      </c>
      <c r="J23" s="9">
        <f t="shared" si="7"/>
        <v>4</v>
      </c>
      <c r="K23" t="s">
        <v>6697</v>
      </c>
      <c r="L23" t="s">
        <v>6695</v>
      </c>
      <c r="P23" t="s">
        <v>6694</v>
      </c>
      <c r="Q23" t="s">
        <v>6694</v>
      </c>
      <c r="V23" t="s">
        <v>6694</v>
      </c>
      <c r="W23" t="s">
        <v>6720</v>
      </c>
    </row>
    <row r="24" spans="1:23" ht="15.6" x14ac:dyDescent="0.4">
      <c r="A24" s="2" t="s">
        <v>6359</v>
      </c>
      <c r="B24" s="5" t="s">
        <v>6757</v>
      </c>
      <c r="C24" s="7" t="s">
        <v>12556</v>
      </c>
      <c r="D24" s="8">
        <f t="shared" si="4"/>
        <v>0</v>
      </c>
      <c r="E24" s="7" t="s">
        <v>12557</v>
      </c>
      <c r="F24" s="7">
        <f t="shared" si="5"/>
        <v>0</v>
      </c>
      <c r="G24" s="7" t="s">
        <v>12558</v>
      </c>
      <c r="H24" s="7">
        <f t="shared" si="6"/>
        <v>0</v>
      </c>
      <c r="I24" s="7" t="str" cm="1">
        <f t="array" ref="I24">IFERROR(_xlfn.IFS(M24="נח",1,M24="נע ונח",1,M24="שני שווא נח",2,M24="שני שוואים בסוף מילה",2,M24="שני שוואים ברצף",1),"0")</f>
        <v>0</v>
      </c>
      <c r="J24" s="9">
        <f t="shared" si="7"/>
        <v>3</v>
      </c>
      <c r="K24" t="s">
        <v>6698</v>
      </c>
      <c r="L24" t="s">
        <v>6695</v>
      </c>
      <c r="N24" t="s">
        <v>6706</v>
      </c>
      <c r="O24" t="s">
        <v>6694</v>
      </c>
      <c r="P24" t="s">
        <v>6694</v>
      </c>
      <c r="V24" t="s">
        <v>6694</v>
      </c>
      <c r="W24" t="s">
        <v>6720</v>
      </c>
    </row>
    <row r="25" spans="1:23" ht="15.6" x14ac:dyDescent="0.4">
      <c r="A25" s="2" t="s">
        <v>3869</v>
      </c>
      <c r="B25" s="5" t="s">
        <v>6758</v>
      </c>
      <c r="C25" s="7" t="s">
        <v>12556</v>
      </c>
      <c r="D25" s="8">
        <f t="shared" si="4"/>
        <v>0</v>
      </c>
      <c r="E25" s="7" t="s">
        <v>12557</v>
      </c>
      <c r="F25" s="7">
        <f t="shared" si="5"/>
        <v>0</v>
      </c>
      <c r="G25" s="7" t="s">
        <v>12558</v>
      </c>
      <c r="H25" s="7">
        <f t="shared" si="6"/>
        <v>0</v>
      </c>
      <c r="I25" s="7" t="str" cm="1">
        <f t="array" ref="I25">IFERROR(_xlfn.IFS(M25="נח",1,M25="נע ונח",1,M25="שני שווא נח",2,M25="שני שוואים בסוף מילה",2,M25="שני שוואים ברצף",1),"0")</f>
        <v>0</v>
      </c>
      <c r="J25" s="9">
        <f t="shared" si="7"/>
        <v>3</v>
      </c>
      <c r="K25" t="s">
        <v>6698</v>
      </c>
      <c r="L25" t="s">
        <v>6695</v>
      </c>
      <c r="N25" t="s">
        <v>6706</v>
      </c>
      <c r="O25" t="s">
        <v>6694</v>
      </c>
      <c r="P25" t="s">
        <v>6694</v>
      </c>
      <c r="V25" t="s">
        <v>6694</v>
      </c>
      <c r="W25" t="s">
        <v>6720</v>
      </c>
    </row>
    <row r="26" spans="1:23" ht="15.6" x14ac:dyDescent="0.4">
      <c r="A26" s="2" t="s">
        <v>5728</v>
      </c>
      <c r="B26" s="5" t="s">
        <v>6759</v>
      </c>
      <c r="C26" s="7" t="s">
        <v>12556</v>
      </c>
      <c r="D26" s="8">
        <f t="shared" si="4"/>
        <v>0</v>
      </c>
      <c r="E26" s="7" t="s">
        <v>12557</v>
      </c>
      <c r="F26" s="7">
        <f t="shared" si="5"/>
        <v>0</v>
      </c>
      <c r="G26" s="7" t="s">
        <v>12558</v>
      </c>
      <c r="H26" s="7">
        <f t="shared" si="6"/>
        <v>0</v>
      </c>
      <c r="I26" s="7" t="str" cm="1">
        <f t="array" ref="I26">IFERROR(_xlfn.IFS(M26="נח",1,M26="נע ונח",1,M26="שני שווא נח",2,M26="שני שוואים בסוף מילה",2,M26="שני שוואים ברצף",1),"0")</f>
        <v>0</v>
      </c>
      <c r="J26" s="9">
        <f t="shared" si="7"/>
        <v>3</v>
      </c>
      <c r="K26" t="s">
        <v>6698</v>
      </c>
      <c r="L26" t="s">
        <v>6695</v>
      </c>
      <c r="N26" t="s">
        <v>6706</v>
      </c>
      <c r="O26" t="s">
        <v>6694</v>
      </c>
      <c r="P26" t="s">
        <v>6694</v>
      </c>
      <c r="V26" t="s">
        <v>6694</v>
      </c>
      <c r="W26" t="s">
        <v>6720</v>
      </c>
    </row>
    <row r="27" spans="1:23" ht="15.6" x14ac:dyDescent="0.4">
      <c r="A27" s="2" t="s">
        <v>4683</v>
      </c>
      <c r="B27" s="5" t="s">
        <v>6760</v>
      </c>
      <c r="C27" s="7" t="s">
        <v>12556</v>
      </c>
      <c r="D27" s="8">
        <f t="shared" si="4"/>
        <v>0</v>
      </c>
      <c r="E27" s="7" t="s">
        <v>12557</v>
      </c>
      <c r="F27" s="7">
        <f t="shared" si="5"/>
        <v>1</v>
      </c>
      <c r="G27" s="7" t="s">
        <v>12558</v>
      </c>
      <c r="H27" s="7">
        <f t="shared" si="6"/>
        <v>0</v>
      </c>
      <c r="I27" s="7" t="str" cm="1">
        <f t="array" ref="I27">IFERROR(_xlfn.IFS(M27="נח",1,M27="נע ונח",1,M27="שני שווא נח",2,M27="שני שוואים בסוף מילה",2,M27="שני שוואים ברצף",1),"0")</f>
        <v>0</v>
      </c>
      <c r="J27" s="9">
        <f t="shared" si="7"/>
        <v>4</v>
      </c>
      <c r="K27" t="s">
        <v>6697</v>
      </c>
      <c r="L27" t="s">
        <v>6695</v>
      </c>
      <c r="P27" t="s">
        <v>6694</v>
      </c>
      <c r="Q27" t="s">
        <v>6694</v>
      </c>
      <c r="W27" t="s">
        <v>6720</v>
      </c>
    </row>
    <row r="28" spans="1:23" ht="15.6" x14ac:dyDescent="0.4">
      <c r="A28" s="2" t="s">
        <v>585</v>
      </c>
      <c r="B28" s="5" t="s">
        <v>6761</v>
      </c>
      <c r="C28" s="7" t="s">
        <v>12556</v>
      </c>
      <c r="D28" s="8">
        <f t="shared" si="4"/>
        <v>0</v>
      </c>
      <c r="E28" s="7" t="s">
        <v>12557</v>
      </c>
      <c r="F28" s="7">
        <f t="shared" si="5"/>
        <v>0</v>
      </c>
      <c r="G28" s="7" t="s">
        <v>12558</v>
      </c>
      <c r="H28" s="7">
        <f t="shared" si="6"/>
        <v>0</v>
      </c>
      <c r="I28" s="7" t="str" cm="1">
        <f t="array" ref="I28">IFERROR(_xlfn.IFS(M28="נח",1,M28="נע ונח",1,M28="שני שווא נח",2,M28="שני שוואים בסוף מילה",2,M28="שני שוואים ברצף",1),"0")</f>
        <v>0</v>
      </c>
      <c r="J28" s="9">
        <f t="shared" si="7"/>
        <v>2</v>
      </c>
      <c r="K28" t="s">
        <v>6698</v>
      </c>
      <c r="L28" t="s">
        <v>6695</v>
      </c>
      <c r="P28" t="s">
        <v>6694</v>
      </c>
      <c r="W28" t="s">
        <v>6720</v>
      </c>
    </row>
    <row r="29" spans="1:23" ht="15.6" x14ac:dyDescent="0.4">
      <c r="A29" s="2" t="s">
        <v>357</v>
      </c>
      <c r="B29" s="5" t="s">
        <v>6762</v>
      </c>
      <c r="C29" s="7" t="s">
        <v>12556</v>
      </c>
      <c r="D29" s="8">
        <f t="shared" si="4"/>
        <v>0</v>
      </c>
      <c r="E29" s="7" t="s">
        <v>12557</v>
      </c>
      <c r="F29" s="7">
        <f t="shared" si="5"/>
        <v>1</v>
      </c>
      <c r="G29" s="7" t="s">
        <v>12558</v>
      </c>
      <c r="H29" s="7">
        <f t="shared" si="6"/>
        <v>0</v>
      </c>
      <c r="I29" s="7" t="str" cm="1">
        <f t="array" ref="I29">IFERROR(_xlfn.IFS(M29="נח",1,M29="נע ונח",1,M29="שני שווא נח",2,M29="שני שוואים בסוף מילה",2,M29="שני שוואים ברצף",1),"0")</f>
        <v>0</v>
      </c>
      <c r="J29" s="9">
        <f t="shared" si="7"/>
        <v>3</v>
      </c>
      <c r="K29" t="s">
        <v>6698</v>
      </c>
      <c r="L29" t="s">
        <v>6695</v>
      </c>
      <c r="P29" t="s">
        <v>6694</v>
      </c>
      <c r="Q29" t="s">
        <v>6694</v>
      </c>
      <c r="W29" t="s">
        <v>6720</v>
      </c>
    </row>
    <row r="30" spans="1:23" ht="15.6" x14ac:dyDescent="0.4">
      <c r="A30" s="2" t="s">
        <v>2034</v>
      </c>
      <c r="B30" s="5" t="s">
        <v>6763</v>
      </c>
      <c r="C30" s="7" t="s">
        <v>12556</v>
      </c>
      <c r="D30" s="8">
        <f t="shared" si="4"/>
        <v>0</v>
      </c>
      <c r="E30" s="7" t="s">
        <v>12557</v>
      </c>
      <c r="F30" s="7">
        <f t="shared" si="5"/>
        <v>1</v>
      </c>
      <c r="G30" s="7" t="s">
        <v>12558</v>
      </c>
      <c r="H30" s="7">
        <f t="shared" si="6"/>
        <v>0</v>
      </c>
      <c r="I30" s="7" t="str" cm="1">
        <f t="array" ref="I30">IFERROR(_xlfn.IFS(M30="נח",1,M30="נע ונח",1,M30="שני שווא נח",2,M30="שני שוואים בסוף מילה",2,M30="שני שוואים ברצף",1),"0")</f>
        <v>0</v>
      </c>
      <c r="J30" s="9">
        <f t="shared" si="7"/>
        <v>3</v>
      </c>
      <c r="K30" t="s">
        <v>6698</v>
      </c>
      <c r="L30" t="s">
        <v>6695</v>
      </c>
      <c r="P30" t="s">
        <v>6694</v>
      </c>
      <c r="R30" t="s">
        <v>6694</v>
      </c>
      <c r="W30" t="s">
        <v>6720</v>
      </c>
    </row>
    <row r="31" spans="1:23" ht="15.6" x14ac:dyDescent="0.4">
      <c r="A31" s="2" t="s">
        <v>6406</v>
      </c>
      <c r="B31" s="5" t="s">
        <v>6764</v>
      </c>
      <c r="C31" s="7" t="s">
        <v>12556</v>
      </c>
      <c r="D31" s="8">
        <f t="shared" si="4"/>
        <v>0</v>
      </c>
      <c r="E31" s="7" t="s">
        <v>12557</v>
      </c>
      <c r="F31" s="7">
        <f t="shared" si="5"/>
        <v>0</v>
      </c>
      <c r="G31" s="7" t="s">
        <v>12558</v>
      </c>
      <c r="H31" s="7">
        <f t="shared" si="6"/>
        <v>0</v>
      </c>
      <c r="I31" s="7" t="str" cm="1">
        <f t="array" ref="I31">IFERROR(_xlfn.IFS(M31="נח",1,M31="נע ונח",1,M31="שני שווא נח",2,M31="שני שוואים בסוף מילה",2,M31="שני שוואים ברצף",1),"0")</f>
        <v>0</v>
      </c>
      <c r="J31" s="9">
        <f t="shared" si="7"/>
        <v>3</v>
      </c>
      <c r="K31" t="s">
        <v>6698</v>
      </c>
      <c r="L31" t="s">
        <v>6695</v>
      </c>
      <c r="O31" t="s">
        <v>6694</v>
      </c>
      <c r="P31" t="s">
        <v>6694</v>
      </c>
      <c r="V31" t="s">
        <v>6694</v>
      </c>
      <c r="W31" t="s">
        <v>6720</v>
      </c>
    </row>
    <row r="32" spans="1:23" ht="15.6" x14ac:dyDescent="0.4">
      <c r="A32" s="2" t="s">
        <v>2135</v>
      </c>
      <c r="B32" s="5" t="s">
        <v>6765</v>
      </c>
      <c r="C32" s="7" t="s">
        <v>12556</v>
      </c>
      <c r="D32" s="8">
        <f t="shared" si="4"/>
        <v>0</v>
      </c>
      <c r="E32" s="7" t="s">
        <v>12557</v>
      </c>
      <c r="F32" s="7">
        <f t="shared" si="5"/>
        <v>1</v>
      </c>
      <c r="G32" s="7" t="s">
        <v>12558</v>
      </c>
      <c r="H32" s="7">
        <f t="shared" si="6"/>
        <v>1</v>
      </c>
      <c r="I32" s="7" t="str" cm="1">
        <f t="array" ref="I32">IFERROR(_xlfn.IFS(M32="נח",1,M32="נע ונח",1,M32="שני שווא נח",2,M32="שני שוואים בסוף מילה",2,M32="שני שוואים ברצף",1),"0")</f>
        <v>0</v>
      </c>
      <c r="J32" s="9">
        <f t="shared" si="7"/>
        <v>4</v>
      </c>
      <c r="K32" t="s">
        <v>6697</v>
      </c>
      <c r="L32" t="s">
        <v>6695</v>
      </c>
      <c r="P32" t="s">
        <v>6694</v>
      </c>
      <c r="Q32" t="s">
        <v>6694</v>
      </c>
      <c r="V32" t="s">
        <v>6694</v>
      </c>
      <c r="W32" t="s">
        <v>6720</v>
      </c>
    </row>
    <row r="33" spans="1:23" ht="15.6" x14ac:dyDescent="0.4">
      <c r="A33" s="2" t="s">
        <v>3728</v>
      </c>
      <c r="B33" s="5" t="s">
        <v>6766</v>
      </c>
      <c r="C33" s="7" t="s">
        <v>12556</v>
      </c>
      <c r="D33" s="8">
        <f t="shared" si="4"/>
        <v>0</v>
      </c>
      <c r="E33" s="7" t="s">
        <v>12557</v>
      </c>
      <c r="F33" s="7">
        <f t="shared" si="5"/>
        <v>0</v>
      </c>
      <c r="G33" s="7" t="s">
        <v>12558</v>
      </c>
      <c r="H33" s="7">
        <f t="shared" si="6"/>
        <v>0</v>
      </c>
      <c r="I33" s="7" cm="1">
        <f t="array" ref="I33">IFERROR(_xlfn.IFS(M33="נח",1,M33="נע ונח",1,M33="שני שווא נח",2,M33="שני שוואים בסוף מילה",2,M33="שני שוואים ברצף",1),"0")</f>
        <v>1</v>
      </c>
      <c r="J33" s="9">
        <f t="shared" si="7"/>
        <v>4</v>
      </c>
      <c r="K33" t="s">
        <v>6698</v>
      </c>
      <c r="L33" t="s">
        <v>6694</v>
      </c>
      <c r="M33" t="s">
        <v>6705</v>
      </c>
      <c r="P33" t="s">
        <v>6694</v>
      </c>
      <c r="S33" t="s">
        <v>6694</v>
      </c>
      <c r="V33" t="s">
        <v>6694</v>
      </c>
      <c r="W33" t="s">
        <v>6720</v>
      </c>
    </row>
    <row r="34" spans="1:23" ht="15.6" x14ac:dyDescent="0.4">
      <c r="A34" s="2" t="s">
        <v>2205</v>
      </c>
      <c r="B34" s="5" t="s">
        <v>6767</v>
      </c>
      <c r="C34" s="7" t="s">
        <v>12556</v>
      </c>
      <c r="D34" s="8">
        <f t="shared" si="4"/>
        <v>0</v>
      </c>
      <c r="E34" s="7" t="s">
        <v>12557</v>
      </c>
      <c r="F34" s="7">
        <f t="shared" si="5"/>
        <v>0</v>
      </c>
      <c r="G34" s="7" t="s">
        <v>12558</v>
      </c>
      <c r="H34" s="7">
        <f t="shared" si="6"/>
        <v>0</v>
      </c>
      <c r="I34" s="7" t="str" cm="1">
        <f t="array" ref="I34">IFERROR(_xlfn.IFS(M34="נח",1,M34="נע ונח",1,M34="שני שווא נח",2,M34="שני שוואים בסוף מילה",2,M34="שני שוואים ברצף",1),"0")</f>
        <v>0</v>
      </c>
      <c r="J34" s="9">
        <f t="shared" si="7"/>
        <v>2</v>
      </c>
      <c r="K34" t="s">
        <v>6698</v>
      </c>
      <c r="L34" t="s">
        <v>6695</v>
      </c>
      <c r="P34" t="s">
        <v>6694</v>
      </c>
      <c r="V34" t="s">
        <v>6694</v>
      </c>
      <c r="W34" t="s">
        <v>6720</v>
      </c>
    </row>
    <row r="35" spans="1:23" ht="15.6" x14ac:dyDescent="0.4">
      <c r="A35" s="2" t="s">
        <v>1346</v>
      </c>
      <c r="B35" s="5" t="s">
        <v>6768</v>
      </c>
      <c r="C35" s="7" t="s">
        <v>12556</v>
      </c>
      <c r="D35" s="8">
        <f t="shared" si="4"/>
        <v>0</v>
      </c>
      <c r="E35" s="7" t="s">
        <v>12557</v>
      </c>
      <c r="F35" s="7">
        <f t="shared" si="5"/>
        <v>1</v>
      </c>
      <c r="G35" s="7" t="s">
        <v>12558</v>
      </c>
      <c r="H35" s="7">
        <f t="shared" si="6"/>
        <v>1</v>
      </c>
      <c r="I35" s="7" t="str" cm="1">
        <f t="array" ref="I35">IFERROR(_xlfn.IFS(M35="נח",1,M35="נע ונח",1,M35="שני שווא נח",2,M35="שני שוואים בסוף מילה",2,M35="שני שוואים ברצף",1),"0")</f>
        <v>0</v>
      </c>
      <c r="J35" s="9">
        <f t="shared" si="7"/>
        <v>4</v>
      </c>
      <c r="K35" t="s">
        <v>6697</v>
      </c>
      <c r="L35" t="s">
        <v>6695</v>
      </c>
      <c r="P35" t="s">
        <v>6694</v>
      </c>
      <c r="Q35" t="s">
        <v>6694</v>
      </c>
      <c r="V35" t="s">
        <v>6694</v>
      </c>
      <c r="W35" t="s">
        <v>6720</v>
      </c>
    </row>
    <row r="36" spans="1:23" ht="15.6" x14ac:dyDescent="0.4">
      <c r="A36" s="2" t="s">
        <v>6195</v>
      </c>
      <c r="B36" s="5" t="s">
        <v>6769</v>
      </c>
      <c r="C36" s="7" t="s">
        <v>12556</v>
      </c>
      <c r="D36" s="8">
        <f t="shared" si="4"/>
        <v>0</v>
      </c>
      <c r="E36" s="7" t="s">
        <v>12557</v>
      </c>
      <c r="F36" s="7">
        <f t="shared" si="5"/>
        <v>1</v>
      </c>
      <c r="G36" s="7" t="s">
        <v>12558</v>
      </c>
      <c r="H36" s="7">
        <f t="shared" si="6"/>
        <v>0</v>
      </c>
      <c r="I36" s="7" t="str" cm="1">
        <f t="array" ref="I36">IFERROR(_xlfn.IFS(M36="נח",1,M36="נע ונח",1,M36="שני שווא נח",2,M36="שני שוואים בסוף מילה",2,M36="שני שוואים ברצף",1),"0")</f>
        <v>0</v>
      </c>
      <c r="J36" s="9">
        <f t="shared" si="7"/>
        <v>5</v>
      </c>
      <c r="K36" t="s">
        <v>6697</v>
      </c>
      <c r="L36" t="s">
        <v>6694</v>
      </c>
      <c r="M36" t="s">
        <v>6703</v>
      </c>
      <c r="O36" t="s">
        <v>6694</v>
      </c>
      <c r="P36" t="s">
        <v>6694</v>
      </c>
      <c r="R36" t="s">
        <v>6694</v>
      </c>
      <c r="W36" t="s">
        <v>6720</v>
      </c>
    </row>
    <row r="37" spans="1:23" ht="15.6" x14ac:dyDescent="0.4">
      <c r="A37" s="2" t="s">
        <v>6550</v>
      </c>
      <c r="B37" s="5" t="s">
        <v>6770</v>
      </c>
      <c r="C37" s="7" t="s">
        <v>12556</v>
      </c>
      <c r="D37" s="8">
        <f t="shared" si="4"/>
        <v>0</v>
      </c>
      <c r="E37" s="7" t="s">
        <v>12557</v>
      </c>
      <c r="F37" s="7">
        <f t="shared" si="5"/>
        <v>2</v>
      </c>
      <c r="G37" s="7" t="s">
        <v>12558</v>
      </c>
      <c r="H37" s="7">
        <f t="shared" si="6"/>
        <v>1</v>
      </c>
      <c r="I37" s="7" t="str" cm="1">
        <f t="array" ref="I37">IFERROR(_xlfn.IFS(M37="נח",1,M37="נע ונח",1,M37="שני שווא נח",2,M37="שני שוואים בסוף מילה",2,M37="שני שוואים ברצף",1),"0")</f>
        <v>0</v>
      </c>
      <c r="J37" s="9">
        <f t="shared" si="7"/>
        <v>5</v>
      </c>
      <c r="K37" t="s">
        <v>6697</v>
      </c>
      <c r="L37" t="s">
        <v>6694</v>
      </c>
      <c r="M37" t="s">
        <v>6703</v>
      </c>
      <c r="P37" t="s">
        <v>6694</v>
      </c>
      <c r="R37" t="s">
        <v>6694</v>
      </c>
      <c r="W37" t="s">
        <v>6720</v>
      </c>
    </row>
    <row r="38" spans="1:23" ht="15.6" x14ac:dyDescent="0.4">
      <c r="A38" s="2" t="s">
        <v>1302</v>
      </c>
      <c r="B38" s="5" t="s">
        <v>6771</v>
      </c>
      <c r="C38" s="7" t="s">
        <v>12556</v>
      </c>
      <c r="D38" s="8">
        <f t="shared" si="4"/>
        <v>0</v>
      </c>
      <c r="E38" s="7" t="s">
        <v>12557</v>
      </c>
      <c r="F38" s="7">
        <f t="shared" si="5"/>
        <v>0</v>
      </c>
      <c r="G38" s="7" t="s">
        <v>12558</v>
      </c>
      <c r="H38" s="7">
        <f t="shared" si="6"/>
        <v>0</v>
      </c>
      <c r="I38" s="7" t="str" cm="1">
        <f t="array" ref="I38">IFERROR(_xlfn.IFS(M38="נח",1,M38="נע ונח",1,M38="שני שווא נח",2,M38="שני שוואים בסוף מילה",2,M38="שני שוואים ברצף",1),"0")</f>
        <v>0</v>
      </c>
      <c r="J38" s="9">
        <f t="shared" si="7"/>
        <v>4</v>
      </c>
      <c r="K38" t="s">
        <v>6697</v>
      </c>
      <c r="L38" t="s">
        <v>6694</v>
      </c>
      <c r="M38" t="s">
        <v>6703</v>
      </c>
      <c r="O38" t="s">
        <v>6694</v>
      </c>
      <c r="P38" t="s">
        <v>6694</v>
      </c>
      <c r="W38" t="s">
        <v>6720</v>
      </c>
    </row>
    <row r="39" spans="1:23" ht="15.6" x14ac:dyDescent="0.4">
      <c r="A39" s="2" t="s">
        <v>5860</v>
      </c>
      <c r="B39" s="5" t="s">
        <v>6772</v>
      </c>
      <c r="C39" s="7" t="s">
        <v>12556</v>
      </c>
      <c r="D39" s="8">
        <f t="shared" si="4"/>
        <v>0</v>
      </c>
      <c r="E39" s="7" t="s">
        <v>12557</v>
      </c>
      <c r="F39" s="7">
        <f t="shared" si="5"/>
        <v>1</v>
      </c>
      <c r="G39" s="7" t="s">
        <v>12558</v>
      </c>
      <c r="H39" s="7">
        <f t="shared" si="6"/>
        <v>0</v>
      </c>
      <c r="I39" s="7" cm="1">
        <f t="array" ref="I39">IFERROR(_xlfn.IFS(M39="נח",1,M39="נע ונח",1,M39="שני שווא נח",2,M39="שני שוואים בסוף מילה",2,M39="שני שוואים ברצף",1),"0")</f>
        <v>1</v>
      </c>
      <c r="J39" s="9">
        <f t="shared" si="7"/>
        <v>3</v>
      </c>
      <c r="K39" t="s">
        <v>6698</v>
      </c>
      <c r="L39" t="s">
        <v>6694</v>
      </c>
      <c r="M39" t="s">
        <v>6705</v>
      </c>
      <c r="P39" t="s">
        <v>6694</v>
      </c>
      <c r="Q39" t="s">
        <v>6694</v>
      </c>
      <c r="W39" t="s">
        <v>6720</v>
      </c>
    </row>
    <row r="40" spans="1:23" ht="15.6" x14ac:dyDescent="0.4">
      <c r="A40" s="2" t="s">
        <v>4077</v>
      </c>
      <c r="B40" s="5" t="s">
        <v>6773</v>
      </c>
      <c r="C40" s="7" t="s">
        <v>12556</v>
      </c>
      <c r="D40" s="8">
        <f t="shared" si="4"/>
        <v>0</v>
      </c>
      <c r="E40" s="7" t="s">
        <v>12557</v>
      </c>
      <c r="F40" s="7">
        <f t="shared" si="5"/>
        <v>1</v>
      </c>
      <c r="G40" s="7" t="s">
        <v>12558</v>
      </c>
      <c r="H40" s="7">
        <f t="shared" si="6"/>
        <v>0</v>
      </c>
      <c r="I40" s="7" t="str" cm="1">
        <f t="array" ref="I40">IFERROR(_xlfn.IFS(M40="נח",1,M40="נע ונח",1,M40="שני שווא נח",2,M40="שני שוואים בסוף מילה",2,M40="שני שוואים ברצף",1),"0")</f>
        <v>0</v>
      </c>
      <c r="J40" s="9">
        <f t="shared" si="7"/>
        <v>3</v>
      </c>
      <c r="K40" t="s">
        <v>6698</v>
      </c>
      <c r="L40" t="s">
        <v>6695</v>
      </c>
      <c r="P40" t="s">
        <v>6694</v>
      </c>
      <c r="Q40" t="s">
        <v>6694</v>
      </c>
      <c r="W40" t="s">
        <v>6720</v>
      </c>
    </row>
    <row r="41" spans="1:23" ht="15.6" x14ac:dyDescent="0.4">
      <c r="A41" s="2" t="s">
        <v>6039</v>
      </c>
      <c r="B41" s="5" t="s">
        <v>6774</v>
      </c>
      <c r="C41" s="7" t="s">
        <v>12556</v>
      </c>
      <c r="D41" s="8">
        <f t="shared" si="4"/>
        <v>0</v>
      </c>
      <c r="E41" s="7" t="s">
        <v>12557</v>
      </c>
      <c r="F41" s="7">
        <f t="shared" si="5"/>
        <v>2</v>
      </c>
      <c r="G41" s="7" t="s">
        <v>12558</v>
      </c>
      <c r="H41" s="7">
        <f t="shared" si="6"/>
        <v>1</v>
      </c>
      <c r="I41" s="7" t="str" cm="1">
        <f t="array" ref="I41">IFERROR(_xlfn.IFS(M41="נח",1,M41="נע ונח",1,M41="שני שווא נח",2,M41="שני שוואים בסוף מילה",2,M41="שני שוואים ברצף",1),"0")</f>
        <v>0</v>
      </c>
      <c r="J41" s="9">
        <f t="shared" si="7"/>
        <v>4</v>
      </c>
      <c r="K41" t="s">
        <v>6697</v>
      </c>
      <c r="L41" t="s">
        <v>6695</v>
      </c>
      <c r="P41" t="s">
        <v>6694</v>
      </c>
      <c r="R41" t="s">
        <v>6694</v>
      </c>
      <c r="V41" t="s">
        <v>6694</v>
      </c>
      <c r="W41" t="s">
        <v>6720</v>
      </c>
    </row>
    <row r="42" spans="1:23" ht="15.6" x14ac:dyDescent="0.4">
      <c r="A42" s="2" t="s">
        <v>6288</v>
      </c>
      <c r="B42" s="5" t="s">
        <v>6775</v>
      </c>
      <c r="C42" s="7" t="s">
        <v>12556</v>
      </c>
      <c r="D42" s="8">
        <f t="shared" si="4"/>
        <v>0</v>
      </c>
      <c r="E42" s="7" t="s">
        <v>12557</v>
      </c>
      <c r="F42" s="7">
        <f t="shared" si="5"/>
        <v>2</v>
      </c>
      <c r="G42" s="7" t="s">
        <v>12558</v>
      </c>
      <c r="H42" s="7">
        <f t="shared" si="6"/>
        <v>0</v>
      </c>
      <c r="I42" s="7" cm="1">
        <f t="array" ref="I42">IFERROR(_xlfn.IFS(M42="נח",1,M42="נע ונח",1,M42="שני שווא נח",2,M42="שני שוואים בסוף מילה",2,M42="שני שוואים ברצף",1),"0")</f>
        <v>1</v>
      </c>
      <c r="J42" s="9">
        <f t="shared" si="7"/>
        <v>4</v>
      </c>
      <c r="K42" t="s">
        <v>6697</v>
      </c>
      <c r="L42" t="s">
        <v>6694</v>
      </c>
      <c r="M42" t="s">
        <v>6705</v>
      </c>
      <c r="O42" t="s">
        <v>6694</v>
      </c>
      <c r="P42" t="s">
        <v>6694</v>
      </c>
      <c r="R42" t="s">
        <v>6694</v>
      </c>
      <c r="W42" t="s">
        <v>6720</v>
      </c>
    </row>
    <row r="43" spans="1:23" ht="15.6" x14ac:dyDescent="0.4">
      <c r="A43" s="2" t="s">
        <v>546</v>
      </c>
      <c r="B43" s="5" t="s">
        <v>6776</v>
      </c>
      <c r="C43" s="7" t="s">
        <v>12556</v>
      </c>
      <c r="D43" s="8">
        <f t="shared" si="4"/>
        <v>0</v>
      </c>
      <c r="E43" s="7" t="s">
        <v>12557</v>
      </c>
      <c r="F43" s="7">
        <f t="shared" si="5"/>
        <v>1</v>
      </c>
      <c r="G43" s="7" t="s">
        <v>12558</v>
      </c>
      <c r="H43" s="7">
        <f t="shared" si="6"/>
        <v>0</v>
      </c>
      <c r="I43" s="7" cm="1">
        <f t="array" ref="I43">IFERROR(_xlfn.IFS(M43="נח",1,M43="נע ונח",1,M43="שני שווא נח",2,M43="שני שוואים בסוף מילה",2,M43="שני שוואים ברצף",1),"0")</f>
        <v>1</v>
      </c>
      <c r="J43" s="9">
        <f t="shared" si="7"/>
        <v>3</v>
      </c>
      <c r="K43" t="s">
        <v>6697</v>
      </c>
      <c r="L43" t="s">
        <v>6694</v>
      </c>
      <c r="M43" t="s">
        <v>6705</v>
      </c>
      <c r="O43" t="s">
        <v>6694</v>
      </c>
      <c r="P43" t="s">
        <v>6694</v>
      </c>
      <c r="W43" t="s">
        <v>6720</v>
      </c>
    </row>
    <row r="44" spans="1:23" ht="15.6" x14ac:dyDescent="0.4">
      <c r="A44" s="2" t="s">
        <v>4221</v>
      </c>
      <c r="B44" s="5" t="s">
        <v>6776</v>
      </c>
      <c r="C44" s="7" t="s">
        <v>12556</v>
      </c>
      <c r="D44" s="8">
        <f t="shared" si="4"/>
        <v>0</v>
      </c>
      <c r="E44" s="7" t="s">
        <v>12557</v>
      </c>
      <c r="F44" s="7">
        <f t="shared" si="5"/>
        <v>1</v>
      </c>
      <c r="G44" s="7" t="s">
        <v>12558</v>
      </c>
      <c r="H44" s="7">
        <f t="shared" si="6"/>
        <v>0</v>
      </c>
      <c r="I44" s="7" t="str" cm="1">
        <f t="array" ref="I44">IFERROR(_xlfn.IFS(M44="נח",1,M44="נע ונח",1,M44="שני שווא נח",2,M44="שני שוואים בסוף מילה",2,M44="שני שוואים ברצף",1),"0")</f>
        <v>0</v>
      </c>
      <c r="J44" s="9">
        <f t="shared" si="7"/>
        <v>4</v>
      </c>
      <c r="K44" t="s">
        <v>6697</v>
      </c>
      <c r="L44" t="s">
        <v>6695</v>
      </c>
      <c r="O44" t="s">
        <v>6694</v>
      </c>
      <c r="P44" t="s">
        <v>6694</v>
      </c>
      <c r="Q44" t="s">
        <v>6694</v>
      </c>
      <c r="W44" t="s">
        <v>6720</v>
      </c>
    </row>
    <row r="45" spans="1:23" ht="15.6" x14ac:dyDescent="0.4">
      <c r="A45" s="2" t="s">
        <v>4124</v>
      </c>
      <c r="B45" s="5" t="s">
        <v>6775</v>
      </c>
      <c r="C45" s="7" t="s">
        <v>12556</v>
      </c>
      <c r="D45" s="8">
        <f t="shared" si="4"/>
        <v>0</v>
      </c>
      <c r="E45" s="7" t="s">
        <v>12557</v>
      </c>
      <c r="F45" s="7">
        <f t="shared" si="5"/>
        <v>1</v>
      </c>
      <c r="G45" s="7" t="s">
        <v>12558</v>
      </c>
      <c r="H45" s="7">
        <f t="shared" si="6"/>
        <v>0</v>
      </c>
      <c r="I45" s="7" cm="1">
        <f t="array" ref="I45">IFERROR(_xlfn.IFS(M45="נח",1,M45="נע ונח",1,M45="שני שווא נח",2,M45="שני שוואים בסוף מילה",2,M45="שני שוואים ברצף",1),"0")</f>
        <v>1</v>
      </c>
      <c r="J45" s="9">
        <f t="shared" si="7"/>
        <v>4</v>
      </c>
      <c r="K45" t="s">
        <v>6697</v>
      </c>
      <c r="L45" t="s">
        <v>6694</v>
      </c>
      <c r="M45" t="s">
        <v>6705</v>
      </c>
      <c r="O45" t="s">
        <v>6694</v>
      </c>
      <c r="P45" t="s">
        <v>6694</v>
      </c>
      <c r="R45" t="s">
        <v>6694</v>
      </c>
      <c r="W45" t="s">
        <v>6720</v>
      </c>
    </row>
    <row r="46" spans="1:23" ht="15.6" x14ac:dyDescent="0.4">
      <c r="A46" s="2" t="s">
        <v>6420</v>
      </c>
      <c r="B46" s="5" t="s">
        <v>6777</v>
      </c>
      <c r="C46" s="7" t="s">
        <v>12556</v>
      </c>
      <c r="D46" s="8">
        <f t="shared" si="4"/>
        <v>0</v>
      </c>
      <c r="E46" s="7" t="s">
        <v>12557</v>
      </c>
      <c r="F46" s="7">
        <f t="shared" si="5"/>
        <v>0</v>
      </c>
      <c r="G46" s="7" t="s">
        <v>12558</v>
      </c>
      <c r="H46" s="7">
        <f t="shared" si="6"/>
        <v>0</v>
      </c>
      <c r="I46" s="7" cm="1">
        <f t="array" ref="I46">IFERROR(_xlfn.IFS(M46="נח",1,M46="נע ונח",1,M46="שני שווא נח",2,M46="שני שוואים בסוף מילה",2,M46="שני שוואים ברצף",1),"0")</f>
        <v>1</v>
      </c>
      <c r="J46" s="9">
        <f t="shared" si="7"/>
        <v>4</v>
      </c>
      <c r="K46" t="s">
        <v>6698</v>
      </c>
      <c r="L46" t="s">
        <v>6694</v>
      </c>
      <c r="M46" t="s">
        <v>6705</v>
      </c>
      <c r="P46" t="s">
        <v>6694</v>
      </c>
      <c r="R46" t="s">
        <v>6694</v>
      </c>
      <c r="S46" t="s">
        <v>6694</v>
      </c>
      <c r="W46" t="s">
        <v>6720</v>
      </c>
    </row>
    <row r="47" spans="1:23" ht="15.6" x14ac:dyDescent="0.4">
      <c r="A47" s="2" t="s">
        <v>2351</v>
      </c>
      <c r="B47" s="5" t="s">
        <v>6778</v>
      </c>
      <c r="C47" s="7" t="s">
        <v>12556</v>
      </c>
      <c r="D47" s="8">
        <f t="shared" si="4"/>
        <v>0</v>
      </c>
      <c r="E47" s="7" t="s">
        <v>12557</v>
      </c>
      <c r="F47" s="7">
        <f t="shared" si="5"/>
        <v>2</v>
      </c>
      <c r="G47" s="7" t="s">
        <v>12558</v>
      </c>
      <c r="H47" s="7">
        <f t="shared" si="6"/>
        <v>1</v>
      </c>
      <c r="I47" s="7" cm="1">
        <f t="array" ref="I47">IFERROR(_xlfn.IFS(M47="נח",1,M47="נע ונח",1,M47="שני שווא נח",2,M47="שני שוואים בסוף מילה",2,M47="שני שוואים ברצף",1),"0")</f>
        <v>1</v>
      </c>
      <c r="J47" s="9">
        <f t="shared" si="7"/>
        <v>4</v>
      </c>
      <c r="K47" t="s">
        <v>6697</v>
      </c>
      <c r="L47" t="s">
        <v>6694</v>
      </c>
      <c r="M47" t="s">
        <v>6705</v>
      </c>
      <c r="P47" t="s">
        <v>6694</v>
      </c>
      <c r="Q47" t="s">
        <v>6694</v>
      </c>
      <c r="W47" t="s">
        <v>6720</v>
      </c>
    </row>
    <row r="48" spans="1:23" ht="15.6" x14ac:dyDescent="0.4">
      <c r="A48" s="2" t="s">
        <v>4251</v>
      </c>
      <c r="B48" s="5" t="s">
        <v>6779</v>
      </c>
      <c r="C48" s="7" t="s">
        <v>12556</v>
      </c>
      <c r="D48" s="8">
        <f t="shared" si="4"/>
        <v>0</v>
      </c>
      <c r="E48" s="7" t="s">
        <v>12557</v>
      </c>
      <c r="F48" s="7">
        <f t="shared" si="5"/>
        <v>1</v>
      </c>
      <c r="G48" s="7" t="s">
        <v>12558</v>
      </c>
      <c r="H48" s="7">
        <f t="shared" si="6"/>
        <v>0</v>
      </c>
      <c r="I48" s="7" cm="1">
        <f t="array" ref="I48">IFERROR(_xlfn.IFS(M48="נח",1,M48="נע ונח",1,M48="שני שווא נח",2,M48="שני שוואים בסוף מילה",2,M48="שני שוואים ברצף",1),"0")</f>
        <v>1</v>
      </c>
      <c r="J48" s="9">
        <f t="shared" si="7"/>
        <v>3</v>
      </c>
      <c r="K48" t="s">
        <v>6697</v>
      </c>
      <c r="L48" t="s">
        <v>6694</v>
      </c>
      <c r="M48" t="s">
        <v>6705</v>
      </c>
      <c r="O48" t="s">
        <v>6694</v>
      </c>
      <c r="P48" t="s">
        <v>6694</v>
      </c>
      <c r="W48" t="s">
        <v>6720</v>
      </c>
    </row>
    <row r="49" spans="1:23" ht="15.6" x14ac:dyDescent="0.4">
      <c r="A49" s="2" t="s">
        <v>5320</v>
      </c>
      <c r="B49" s="5" t="s">
        <v>6780</v>
      </c>
      <c r="C49" s="7" t="s">
        <v>12556</v>
      </c>
      <c r="D49" s="8">
        <f t="shared" si="4"/>
        <v>0</v>
      </c>
      <c r="E49" s="7" t="s">
        <v>12557</v>
      </c>
      <c r="F49" s="7">
        <f t="shared" si="5"/>
        <v>1</v>
      </c>
      <c r="G49" s="7" t="s">
        <v>12558</v>
      </c>
      <c r="H49" s="7">
        <f t="shared" si="6"/>
        <v>0</v>
      </c>
      <c r="I49" s="7" cm="1">
        <f t="array" ref="I49">IFERROR(_xlfn.IFS(M49="נח",1,M49="נע ונח",1,M49="שני שווא נח",2,M49="שני שוואים בסוף מילה",2,M49="שני שוואים ברצף",1),"0")</f>
        <v>1</v>
      </c>
      <c r="J49" s="9">
        <f t="shared" si="7"/>
        <v>4</v>
      </c>
      <c r="K49" t="s">
        <v>6697</v>
      </c>
      <c r="L49" t="s">
        <v>6694</v>
      </c>
      <c r="M49" t="s">
        <v>6705</v>
      </c>
      <c r="O49" t="s">
        <v>6694</v>
      </c>
      <c r="P49" t="s">
        <v>6694</v>
      </c>
      <c r="R49" t="s">
        <v>6694</v>
      </c>
      <c r="W49" t="s">
        <v>6720</v>
      </c>
    </row>
    <row r="50" spans="1:23" ht="15.6" x14ac:dyDescent="0.4">
      <c r="A50" s="2" t="s">
        <v>508</v>
      </c>
      <c r="B50" s="5" t="s">
        <v>6781</v>
      </c>
      <c r="C50" s="7" t="s">
        <v>12556</v>
      </c>
      <c r="D50" s="8">
        <f t="shared" si="4"/>
        <v>0</v>
      </c>
      <c r="E50" s="7" t="s">
        <v>12557</v>
      </c>
      <c r="F50" s="7">
        <f t="shared" si="5"/>
        <v>0</v>
      </c>
      <c r="G50" s="7" t="s">
        <v>12558</v>
      </c>
      <c r="H50" s="7">
        <f t="shared" si="6"/>
        <v>0</v>
      </c>
      <c r="I50" s="7" t="str" cm="1">
        <f t="array" ref="I50">IFERROR(_xlfn.IFS(M50="נח",1,M50="נע ונח",1,M50="שני שווא נח",2,M50="שני שוואים בסוף מילה",2,M50="שני שוואים ברצף",1),"0")</f>
        <v>0</v>
      </c>
      <c r="J50" s="9">
        <f t="shared" si="7"/>
        <v>3</v>
      </c>
      <c r="K50" t="s">
        <v>6698</v>
      </c>
      <c r="L50" t="s">
        <v>6695</v>
      </c>
      <c r="P50" t="s">
        <v>6694</v>
      </c>
      <c r="Q50" t="s">
        <v>6694</v>
      </c>
      <c r="W50" t="s">
        <v>6720</v>
      </c>
    </row>
    <row r="51" spans="1:23" ht="15.6" x14ac:dyDescent="0.4">
      <c r="A51" s="2" t="s">
        <v>4596</v>
      </c>
      <c r="B51" s="5" t="s">
        <v>6782</v>
      </c>
      <c r="C51" s="7" t="s">
        <v>12556</v>
      </c>
      <c r="D51" s="8">
        <f t="shared" si="4"/>
        <v>0</v>
      </c>
      <c r="E51" s="7" t="s">
        <v>12557</v>
      </c>
      <c r="F51" s="7">
        <f t="shared" si="5"/>
        <v>0</v>
      </c>
      <c r="G51" s="7" t="s">
        <v>12558</v>
      </c>
      <c r="H51" s="7">
        <f t="shared" si="6"/>
        <v>0</v>
      </c>
      <c r="I51" s="7" cm="1">
        <f t="array" ref="I51">IFERROR(_xlfn.IFS(M51="נח",1,M51="נע ונח",1,M51="שני שווא נח",2,M51="שני שוואים בסוף מילה",2,M51="שני שוואים ברצף",1),"0")</f>
        <v>1</v>
      </c>
      <c r="J51" s="9">
        <f t="shared" si="7"/>
        <v>4</v>
      </c>
      <c r="K51" t="s">
        <v>6697</v>
      </c>
      <c r="L51" t="s">
        <v>6694</v>
      </c>
      <c r="M51" t="s">
        <v>6705</v>
      </c>
      <c r="N51" t="s">
        <v>6706</v>
      </c>
      <c r="O51" t="s">
        <v>6694</v>
      </c>
      <c r="P51" t="s">
        <v>6694</v>
      </c>
      <c r="S51" t="s">
        <v>6694</v>
      </c>
      <c r="W51" t="s">
        <v>6720</v>
      </c>
    </row>
    <row r="52" spans="1:23" ht="15.6" x14ac:dyDescent="0.4">
      <c r="A52" s="2" t="s">
        <v>2249</v>
      </c>
      <c r="B52" s="5" t="s">
        <v>6783</v>
      </c>
      <c r="C52" s="7" t="s">
        <v>12556</v>
      </c>
      <c r="D52" s="8">
        <f t="shared" si="4"/>
        <v>0</v>
      </c>
      <c r="E52" s="7" t="s">
        <v>12557</v>
      </c>
      <c r="F52" s="7">
        <f t="shared" si="5"/>
        <v>0</v>
      </c>
      <c r="G52" s="7" t="s">
        <v>12558</v>
      </c>
      <c r="H52" s="7">
        <f t="shared" si="6"/>
        <v>0</v>
      </c>
      <c r="I52" s="7" t="str" cm="1">
        <f t="array" ref="I52">IFERROR(_xlfn.IFS(M52="נח",1,M52="נע ונח",1,M52="שני שווא נח",2,M52="שני שוואים בסוף מילה",2,M52="שני שוואים ברצף",1),"0")</f>
        <v>0</v>
      </c>
      <c r="J52" s="9">
        <f t="shared" si="7"/>
        <v>3</v>
      </c>
      <c r="K52" t="s">
        <v>6698</v>
      </c>
      <c r="L52" t="s">
        <v>6695</v>
      </c>
      <c r="P52" t="s">
        <v>6694</v>
      </c>
      <c r="Q52" t="s">
        <v>6694</v>
      </c>
      <c r="R52" t="s">
        <v>6694</v>
      </c>
      <c r="W52" t="s">
        <v>6720</v>
      </c>
    </row>
    <row r="53" spans="1:23" ht="15.6" x14ac:dyDescent="0.4">
      <c r="A53" s="2" t="s">
        <v>3915</v>
      </c>
      <c r="B53" s="5" t="s">
        <v>6784</v>
      </c>
      <c r="C53" s="7" t="s">
        <v>12556</v>
      </c>
      <c r="D53" s="8">
        <f t="shared" si="4"/>
        <v>0</v>
      </c>
      <c r="E53" s="7" t="s">
        <v>12557</v>
      </c>
      <c r="F53" s="7">
        <f t="shared" si="5"/>
        <v>1</v>
      </c>
      <c r="G53" s="7" t="s">
        <v>12558</v>
      </c>
      <c r="H53" s="7">
        <f t="shared" si="6"/>
        <v>0</v>
      </c>
      <c r="I53" s="7" cm="1">
        <f t="array" ref="I53">IFERROR(_xlfn.IFS(M53="נח",1,M53="נע ונח",1,M53="שני שווא נח",2,M53="שני שוואים בסוף מילה",2,M53="שני שוואים ברצף",1),"0")</f>
        <v>1</v>
      </c>
      <c r="J53" s="9">
        <f t="shared" si="7"/>
        <v>3</v>
      </c>
      <c r="K53" t="s">
        <v>6697</v>
      </c>
      <c r="L53" t="s">
        <v>6694</v>
      </c>
      <c r="M53" t="s">
        <v>6705</v>
      </c>
      <c r="O53" t="s">
        <v>6694</v>
      </c>
      <c r="P53" t="s">
        <v>6694</v>
      </c>
      <c r="W53" t="s">
        <v>6720</v>
      </c>
    </row>
    <row r="54" spans="1:23" ht="15.6" x14ac:dyDescent="0.4">
      <c r="A54" s="2" t="s">
        <v>6269</v>
      </c>
      <c r="B54" s="5" t="s">
        <v>6785</v>
      </c>
      <c r="C54" s="7" t="s">
        <v>12556</v>
      </c>
      <c r="D54" s="8">
        <f t="shared" si="4"/>
        <v>0</v>
      </c>
      <c r="E54" s="7" t="s">
        <v>12557</v>
      </c>
      <c r="F54" s="7">
        <f t="shared" si="5"/>
        <v>1</v>
      </c>
      <c r="G54" s="7" t="s">
        <v>12558</v>
      </c>
      <c r="H54" s="7">
        <f t="shared" si="6"/>
        <v>0</v>
      </c>
      <c r="I54" s="7" cm="1">
        <f t="array" ref="I54">IFERROR(_xlfn.IFS(M54="נח",1,M54="נע ונח",1,M54="שני שווא נח",2,M54="שני שוואים בסוף מילה",2,M54="שני שוואים ברצף",1),"0")</f>
        <v>1</v>
      </c>
      <c r="J54" s="9">
        <f t="shared" si="7"/>
        <v>4</v>
      </c>
      <c r="K54" t="s">
        <v>6698</v>
      </c>
      <c r="L54" t="s">
        <v>6694</v>
      </c>
      <c r="M54" t="s">
        <v>6705</v>
      </c>
      <c r="P54" t="s">
        <v>6694</v>
      </c>
      <c r="R54" t="s">
        <v>6694</v>
      </c>
      <c r="W54" t="s">
        <v>6720</v>
      </c>
    </row>
    <row r="55" spans="1:23" ht="15.6" x14ac:dyDescent="0.4">
      <c r="A55" s="2" t="s">
        <v>6160</v>
      </c>
      <c r="B55" s="5" t="s">
        <v>6786</v>
      </c>
      <c r="C55" s="7" t="s">
        <v>12556</v>
      </c>
      <c r="D55" s="8">
        <f t="shared" si="4"/>
        <v>0</v>
      </c>
      <c r="E55" s="7" t="s">
        <v>12557</v>
      </c>
      <c r="F55" s="7">
        <f t="shared" si="5"/>
        <v>0</v>
      </c>
      <c r="G55" s="7" t="s">
        <v>12558</v>
      </c>
      <c r="H55" s="7">
        <f t="shared" si="6"/>
        <v>0</v>
      </c>
      <c r="I55" s="7" t="str" cm="1">
        <f t="array" ref="I55">IFERROR(_xlfn.IFS(M55="נח",1,M55="נע ונח",1,M55="שני שווא נח",2,M55="שני שוואים בסוף מילה",2,M55="שני שוואים ברצף",1),"0")</f>
        <v>0</v>
      </c>
      <c r="J55" s="9">
        <f t="shared" si="7"/>
        <v>3</v>
      </c>
      <c r="K55" t="s">
        <v>6698</v>
      </c>
      <c r="L55" t="s">
        <v>6695</v>
      </c>
      <c r="P55" t="s">
        <v>6694</v>
      </c>
      <c r="S55" t="s">
        <v>6694</v>
      </c>
      <c r="W55" t="s">
        <v>6720</v>
      </c>
    </row>
    <row r="56" spans="1:23" ht="15.6" x14ac:dyDescent="0.4">
      <c r="A56" s="2" t="s">
        <v>545</v>
      </c>
      <c r="B56" s="5" t="s">
        <v>6787</v>
      </c>
      <c r="C56" s="7" t="s">
        <v>12556</v>
      </c>
      <c r="D56" s="8">
        <f t="shared" si="4"/>
        <v>0</v>
      </c>
      <c r="E56" s="7" t="s">
        <v>12557</v>
      </c>
      <c r="F56" s="7">
        <f t="shared" si="5"/>
        <v>1</v>
      </c>
      <c r="G56" s="7" t="s">
        <v>12558</v>
      </c>
      <c r="H56" s="7">
        <f t="shared" si="6"/>
        <v>0</v>
      </c>
      <c r="I56" s="7" cm="1">
        <f t="array" ref="I56">IFERROR(_xlfn.IFS(M56="נח",1,M56="נע ונח",1,M56="שני שווא נח",2,M56="שני שוואים בסוף מילה",2,M56="שני שוואים ברצף",1),"0")</f>
        <v>1</v>
      </c>
      <c r="J56" s="9">
        <f t="shared" si="7"/>
        <v>3</v>
      </c>
      <c r="K56" t="s">
        <v>6697</v>
      </c>
      <c r="L56" t="s">
        <v>6694</v>
      </c>
      <c r="M56" t="s">
        <v>6705</v>
      </c>
      <c r="O56" t="s">
        <v>6694</v>
      </c>
      <c r="P56" t="s">
        <v>6694</v>
      </c>
      <c r="S56" t="s">
        <v>6694</v>
      </c>
      <c r="W56" t="s">
        <v>6720</v>
      </c>
    </row>
    <row r="57" spans="1:23" ht="15.6" x14ac:dyDescent="0.4">
      <c r="A57" s="2" t="s">
        <v>2894</v>
      </c>
      <c r="B57" s="5" t="s">
        <v>6787</v>
      </c>
      <c r="C57" s="7" t="s">
        <v>12556</v>
      </c>
      <c r="D57" s="8">
        <f t="shared" si="4"/>
        <v>0</v>
      </c>
      <c r="E57" s="7" t="s">
        <v>12557</v>
      </c>
      <c r="F57" s="7">
        <f t="shared" si="5"/>
        <v>1</v>
      </c>
      <c r="G57" s="7" t="s">
        <v>12558</v>
      </c>
      <c r="H57" s="7">
        <f t="shared" si="6"/>
        <v>0</v>
      </c>
      <c r="I57" s="7" t="str" cm="1">
        <f t="array" ref="I57">IFERROR(_xlfn.IFS(M57="נח",1,M57="נע ונח",1,M57="שני שווא נח",2,M57="שני שוואים בסוף מילה",2,M57="שני שוואים ברצף",1),"0")</f>
        <v>0</v>
      </c>
      <c r="J57" s="9">
        <f t="shared" si="7"/>
        <v>4</v>
      </c>
      <c r="K57" t="s">
        <v>6697</v>
      </c>
      <c r="L57" t="s">
        <v>6695</v>
      </c>
      <c r="O57" t="s">
        <v>6694</v>
      </c>
      <c r="P57" t="s">
        <v>6694</v>
      </c>
      <c r="R57" t="s">
        <v>6694</v>
      </c>
      <c r="S57" t="s">
        <v>6694</v>
      </c>
      <c r="W57" t="s">
        <v>6720</v>
      </c>
    </row>
    <row r="58" spans="1:23" ht="15.6" x14ac:dyDescent="0.4">
      <c r="A58" s="2" t="s">
        <v>6218</v>
      </c>
      <c r="B58" s="5" t="s">
        <v>6788</v>
      </c>
      <c r="C58" s="7" t="s">
        <v>12556</v>
      </c>
      <c r="D58" s="8">
        <f t="shared" si="4"/>
        <v>0</v>
      </c>
      <c r="E58" s="7" t="s">
        <v>12557</v>
      </c>
      <c r="F58" s="7">
        <f t="shared" si="5"/>
        <v>1</v>
      </c>
      <c r="G58" s="7" t="s">
        <v>12558</v>
      </c>
      <c r="H58" s="7">
        <f t="shared" si="6"/>
        <v>0</v>
      </c>
      <c r="I58" s="7" t="str" cm="1">
        <f t="array" ref="I58">IFERROR(_xlfn.IFS(M58="נח",1,M58="נע ונח",1,M58="שני שווא נח",2,M58="שני שוואים בסוף מילה",2,M58="שני שוואים ברצף",1),"0")</f>
        <v>0</v>
      </c>
      <c r="J58" s="9">
        <f t="shared" si="7"/>
        <v>3</v>
      </c>
      <c r="K58" t="s">
        <v>6697</v>
      </c>
      <c r="L58" t="s">
        <v>6695</v>
      </c>
      <c r="P58" t="s">
        <v>6694</v>
      </c>
      <c r="S58" t="s">
        <v>6694</v>
      </c>
      <c r="V58" t="s">
        <v>6694</v>
      </c>
      <c r="W58" t="s">
        <v>6720</v>
      </c>
    </row>
    <row r="59" spans="1:23" ht="15.6" x14ac:dyDescent="0.4">
      <c r="A59" s="2" t="s">
        <v>6460</v>
      </c>
      <c r="B59" s="5" t="s">
        <v>6789</v>
      </c>
      <c r="C59" s="7" t="s">
        <v>12556</v>
      </c>
      <c r="D59" s="8">
        <f t="shared" si="4"/>
        <v>0</v>
      </c>
      <c r="E59" s="7" t="s">
        <v>12557</v>
      </c>
      <c r="F59" s="7">
        <f t="shared" si="5"/>
        <v>1</v>
      </c>
      <c r="G59" s="7" t="s">
        <v>12558</v>
      </c>
      <c r="H59" s="7">
        <f t="shared" si="6"/>
        <v>0</v>
      </c>
      <c r="I59" s="7" t="str" cm="1">
        <f t="array" ref="I59">IFERROR(_xlfn.IFS(M59="נח",1,M59="נע ונח",1,M59="שני שווא נח",2,M59="שני שוואים בסוף מילה",2,M59="שני שוואים ברצף",1),"0")</f>
        <v>0</v>
      </c>
      <c r="J59" s="9">
        <f t="shared" si="7"/>
        <v>3</v>
      </c>
      <c r="K59" t="s">
        <v>6698</v>
      </c>
      <c r="L59" t="s">
        <v>6695</v>
      </c>
      <c r="P59" t="s">
        <v>6694</v>
      </c>
      <c r="Q59" t="s">
        <v>6694</v>
      </c>
      <c r="W59" t="s">
        <v>6720</v>
      </c>
    </row>
    <row r="60" spans="1:23" ht="15.6" x14ac:dyDescent="0.4">
      <c r="A60" s="2" t="s">
        <v>3151</v>
      </c>
      <c r="B60" s="5" t="s">
        <v>6790</v>
      </c>
      <c r="C60" s="7" t="s">
        <v>12556</v>
      </c>
      <c r="D60" s="8">
        <f t="shared" si="4"/>
        <v>0</v>
      </c>
      <c r="E60" s="7" t="s">
        <v>12557</v>
      </c>
      <c r="F60" s="7">
        <f t="shared" si="5"/>
        <v>0</v>
      </c>
      <c r="G60" s="7" t="s">
        <v>12558</v>
      </c>
      <c r="H60" s="7">
        <f t="shared" si="6"/>
        <v>0</v>
      </c>
      <c r="I60" s="7" t="str" cm="1">
        <f t="array" ref="I60">IFERROR(_xlfn.IFS(M60="נח",1,M60="נע ונח",1,M60="שני שווא נח",2,M60="שני שוואים בסוף מילה",2,M60="שני שוואים ברצף",1),"0")</f>
        <v>0</v>
      </c>
      <c r="J60" s="9">
        <f t="shared" si="7"/>
        <v>3</v>
      </c>
      <c r="K60" t="s">
        <v>6698</v>
      </c>
      <c r="L60" t="s">
        <v>6695</v>
      </c>
      <c r="O60" t="s">
        <v>6694</v>
      </c>
      <c r="P60" t="s">
        <v>6694</v>
      </c>
      <c r="W60" t="s">
        <v>6720</v>
      </c>
    </row>
    <row r="61" spans="1:23" ht="15.6" x14ac:dyDescent="0.4">
      <c r="A61" s="2" t="s">
        <v>1831</v>
      </c>
      <c r="B61" s="5" t="s">
        <v>6791</v>
      </c>
      <c r="C61" s="7" t="s">
        <v>12556</v>
      </c>
      <c r="D61" s="8">
        <f t="shared" si="4"/>
        <v>0</v>
      </c>
      <c r="E61" s="7" t="s">
        <v>12557</v>
      </c>
      <c r="F61" s="7">
        <f t="shared" si="5"/>
        <v>0</v>
      </c>
      <c r="G61" s="7" t="s">
        <v>12558</v>
      </c>
      <c r="H61" s="7">
        <f t="shared" si="6"/>
        <v>0</v>
      </c>
      <c r="I61" s="7" t="str" cm="1">
        <f t="array" ref="I61">IFERROR(_xlfn.IFS(M61="נח",1,M61="נע ונח",1,M61="שני שווא נח",2,M61="שני שוואים בסוף מילה",2,M61="שני שוואים ברצף",1),"0")</f>
        <v>0</v>
      </c>
      <c r="J61" s="9">
        <f t="shared" si="7"/>
        <v>3</v>
      </c>
      <c r="K61" t="s">
        <v>6698</v>
      </c>
      <c r="L61" t="s">
        <v>6695</v>
      </c>
      <c r="O61" t="s">
        <v>6694</v>
      </c>
      <c r="P61" t="s">
        <v>6694</v>
      </c>
      <c r="V61" t="s">
        <v>6694</v>
      </c>
      <c r="W61" t="s">
        <v>6720</v>
      </c>
    </row>
    <row r="62" spans="1:23" ht="15.6" x14ac:dyDescent="0.4">
      <c r="A62" s="2" t="s">
        <v>378</v>
      </c>
      <c r="B62" s="5" t="s">
        <v>6787</v>
      </c>
      <c r="C62" s="7" t="s">
        <v>12556</v>
      </c>
      <c r="D62" s="8">
        <f t="shared" si="4"/>
        <v>0</v>
      </c>
      <c r="E62" s="7" t="s">
        <v>12557</v>
      </c>
      <c r="F62" s="7">
        <f t="shared" si="5"/>
        <v>0</v>
      </c>
      <c r="G62" s="7" t="s">
        <v>12558</v>
      </c>
      <c r="H62" s="7">
        <f t="shared" si="6"/>
        <v>0</v>
      </c>
      <c r="I62" s="7" t="str" cm="1">
        <f t="array" ref="I62">IFERROR(_xlfn.IFS(M62="נח",1,M62="נע ונח",1,M62="שני שווא נח",2,M62="שני שוואים בסוף מילה",2,M62="שני שוואים ברצף",1),"0")</f>
        <v>0</v>
      </c>
      <c r="J62" s="9">
        <f t="shared" si="7"/>
        <v>4</v>
      </c>
      <c r="K62" t="s">
        <v>6697</v>
      </c>
      <c r="L62" t="s">
        <v>6695</v>
      </c>
      <c r="O62" t="s">
        <v>6694</v>
      </c>
      <c r="P62" t="s">
        <v>6694</v>
      </c>
      <c r="R62" t="s">
        <v>6694</v>
      </c>
      <c r="W62" t="s">
        <v>6720</v>
      </c>
    </row>
    <row r="63" spans="1:23" ht="15.6" x14ac:dyDescent="0.4">
      <c r="A63" s="2" t="s">
        <v>358</v>
      </c>
      <c r="B63" s="5" t="s">
        <v>6792</v>
      </c>
      <c r="C63" s="7" t="s">
        <v>12556</v>
      </c>
      <c r="D63" s="8">
        <f t="shared" si="4"/>
        <v>0</v>
      </c>
      <c r="E63" s="7" t="s">
        <v>12557</v>
      </c>
      <c r="F63" s="7">
        <f t="shared" si="5"/>
        <v>0</v>
      </c>
      <c r="G63" s="7" t="s">
        <v>12558</v>
      </c>
      <c r="H63" s="7">
        <f t="shared" si="6"/>
        <v>0</v>
      </c>
      <c r="I63" s="7" t="str" cm="1">
        <f t="array" ref="I63">IFERROR(_xlfn.IFS(M63="נח",1,M63="נע ונח",1,M63="שני שווא נח",2,M63="שני שוואים בסוף מילה",2,M63="שני שוואים ברצף",1),"0")</f>
        <v>0</v>
      </c>
      <c r="J63" s="9">
        <f t="shared" si="7"/>
        <v>2</v>
      </c>
      <c r="K63" t="s">
        <v>6697</v>
      </c>
      <c r="L63" t="s">
        <v>6695</v>
      </c>
      <c r="P63" t="s">
        <v>6694</v>
      </c>
      <c r="S63" t="s">
        <v>6694</v>
      </c>
      <c r="W63" t="s">
        <v>6720</v>
      </c>
    </row>
    <row r="64" spans="1:23" ht="15.6" x14ac:dyDescent="0.4">
      <c r="A64" s="2" t="s">
        <v>5567</v>
      </c>
      <c r="B64" s="5" t="s">
        <v>6793</v>
      </c>
      <c r="C64" s="7" t="s">
        <v>12556</v>
      </c>
      <c r="D64" s="8">
        <f t="shared" si="4"/>
        <v>0</v>
      </c>
      <c r="E64" s="7" t="s">
        <v>12557</v>
      </c>
      <c r="F64" s="7">
        <f t="shared" si="5"/>
        <v>1</v>
      </c>
      <c r="G64" s="7" t="s">
        <v>12558</v>
      </c>
      <c r="H64" s="7">
        <f t="shared" si="6"/>
        <v>1</v>
      </c>
      <c r="I64" s="7" cm="1">
        <f t="array" ref="I64">IFERROR(_xlfn.IFS(M64="נח",1,M64="נע ונח",1,M64="שני שווא נח",2,M64="שני שוואים בסוף מילה",2,M64="שני שוואים ברצף",1),"0")</f>
        <v>1</v>
      </c>
      <c r="J64" s="9">
        <f t="shared" si="7"/>
        <v>3</v>
      </c>
      <c r="K64" t="s">
        <v>6697</v>
      </c>
      <c r="L64" t="s">
        <v>6694</v>
      </c>
      <c r="M64" t="s">
        <v>6705</v>
      </c>
      <c r="P64" t="s">
        <v>6694</v>
      </c>
      <c r="W64" t="s">
        <v>6720</v>
      </c>
    </row>
    <row r="65" spans="1:23" ht="15.6" x14ac:dyDescent="0.4">
      <c r="A65" s="2" t="s">
        <v>6281</v>
      </c>
      <c r="B65" s="5" t="s">
        <v>6793</v>
      </c>
      <c r="C65" s="7" t="s">
        <v>12556</v>
      </c>
      <c r="D65" s="8">
        <f t="shared" si="4"/>
        <v>0</v>
      </c>
      <c r="E65" s="7" t="s">
        <v>12557</v>
      </c>
      <c r="F65" s="7">
        <f t="shared" si="5"/>
        <v>1</v>
      </c>
      <c r="G65" s="7" t="s">
        <v>12558</v>
      </c>
      <c r="H65" s="7">
        <f t="shared" si="6"/>
        <v>1</v>
      </c>
      <c r="I65" s="7" cm="1">
        <f t="array" ref="I65">IFERROR(_xlfn.IFS(M65="נח",1,M65="נע ונח",1,M65="שני שווא נח",2,M65="שני שוואים בסוף מילה",2,M65="שני שוואים ברצף",1),"0")</f>
        <v>1</v>
      </c>
      <c r="J65" s="9">
        <f t="shared" si="7"/>
        <v>3</v>
      </c>
      <c r="K65" t="s">
        <v>6697</v>
      </c>
      <c r="L65" t="s">
        <v>6694</v>
      </c>
      <c r="M65" t="s">
        <v>6705</v>
      </c>
      <c r="N65" t="s">
        <v>6706</v>
      </c>
      <c r="O65" t="s">
        <v>6694</v>
      </c>
      <c r="P65" t="s">
        <v>6694</v>
      </c>
      <c r="W65" t="s">
        <v>6720</v>
      </c>
    </row>
    <row r="66" spans="1:23" ht="15.6" x14ac:dyDescent="0.4">
      <c r="A66" s="2" t="s">
        <v>4490</v>
      </c>
      <c r="B66" s="5" t="s">
        <v>6794</v>
      </c>
      <c r="C66" s="7" t="s">
        <v>12556</v>
      </c>
      <c r="D66" s="8">
        <f t="shared" si="4"/>
        <v>0</v>
      </c>
      <c r="E66" s="7" t="s">
        <v>12557</v>
      </c>
      <c r="F66" s="7">
        <f t="shared" si="5"/>
        <v>0</v>
      </c>
      <c r="G66" s="7" t="s">
        <v>12558</v>
      </c>
      <c r="H66" s="7">
        <f t="shared" si="6"/>
        <v>0</v>
      </c>
      <c r="I66" s="7" t="str" cm="1">
        <f t="array" ref="I66">IFERROR(_xlfn.IFS(M66="נח",1,M66="נע ונח",1,M66="שני שווא נח",2,M66="שני שוואים בסוף מילה",2,M66="שני שוואים ברצף",1),"0")</f>
        <v>0</v>
      </c>
      <c r="J66" s="9">
        <f t="shared" si="7"/>
        <v>3</v>
      </c>
      <c r="K66" t="s">
        <v>6698</v>
      </c>
      <c r="L66" t="s">
        <v>6695</v>
      </c>
      <c r="P66" t="s">
        <v>6694</v>
      </c>
      <c r="S66" t="s">
        <v>6694</v>
      </c>
      <c r="W66" t="s">
        <v>6720</v>
      </c>
    </row>
    <row r="67" spans="1:23" ht="15.6" x14ac:dyDescent="0.4">
      <c r="A67" s="2" t="s">
        <v>1543</v>
      </c>
      <c r="B67" s="5" t="s">
        <v>6795</v>
      </c>
      <c r="C67" s="7" t="s">
        <v>12556</v>
      </c>
      <c r="D67" s="8">
        <f t="shared" ref="D67:D130" si="8">(LEN(B67)-LEN(SUBSTITUTE(B67,C67,"")))</f>
        <v>0</v>
      </c>
      <c r="E67" s="7" t="s">
        <v>12557</v>
      </c>
      <c r="F67" s="7">
        <f t="shared" ref="F67:F130" si="9">(LEN(A67)-LEN(SUBSTITUTE(A67,E67,"")))</f>
        <v>0</v>
      </c>
      <c r="G67" s="7" t="s">
        <v>12558</v>
      </c>
      <c r="H67" s="7">
        <f t="shared" ref="H67:H130" si="10">(LEN(A67)-LEN(SUBSTITUTE(A67,G67,"")))/2</f>
        <v>0</v>
      </c>
      <c r="I67" s="7" t="str" cm="1">
        <f t="array" ref="I67">IFERROR(_xlfn.IFS(M67="נח",1,M67="נע ונח",1,M67="שני שווא נח",2,M67="שני שוואים בסוף מילה",2,M67="שני שוואים ברצף",1),"0")</f>
        <v>0</v>
      </c>
      <c r="J67" s="9">
        <f t="shared" ref="J67:J130" si="11">LEN(A67)-(LEN(B67))-D67-F67+H67-I67</f>
        <v>3</v>
      </c>
      <c r="K67" t="s">
        <v>6697</v>
      </c>
      <c r="L67" t="s">
        <v>6695</v>
      </c>
      <c r="P67" t="s">
        <v>6694</v>
      </c>
      <c r="Q67" t="s">
        <v>6694</v>
      </c>
      <c r="S67" t="s">
        <v>6694</v>
      </c>
      <c r="W67" t="s">
        <v>6720</v>
      </c>
    </row>
    <row r="68" spans="1:23" ht="15.6" x14ac:dyDescent="0.4">
      <c r="A68" s="2" t="s">
        <v>2272</v>
      </c>
      <c r="B68" s="5" t="s">
        <v>6796</v>
      </c>
      <c r="C68" s="7" t="s">
        <v>12556</v>
      </c>
      <c r="D68" s="8">
        <f t="shared" si="8"/>
        <v>0</v>
      </c>
      <c r="E68" s="7" t="s">
        <v>12557</v>
      </c>
      <c r="F68" s="7">
        <f t="shared" si="9"/>
        <v>1</v>
      </c>
      <c r="G68" s="7" t="s">
        <v>12558</v>
      </c>
      <c r="H68" s="7">
        <f t="shared" si="10"/>
        <v>0</v>
      </c>
      <c r="I68" s="7" cm="1">
        <f t="array" ref="I68">IFERROR(_xlfn.IFS(M68="נח",1,M68="נע ונח",1,M68="שני שווא נח",2,M68="שני שוואים בסוף מילה",2,M68="שני שוואים ברצף",1),"0")</f>
        <v>1</v>
      </c>
      <c r="J68" s="9">
        <f t="shared" si="11"/>
        <v>3</v>
      </c>
      <c r="K68" t="s">
        <v>6697</v>
      </c>
      <c r="L68" t="s">
        <v>6694</v>
      </c>
      <c r="M68" t="s">
        <v>6705</v>
      </c>
      <c r="O68" t="s">
        <v>6694</v>
      </c>
      <c r="P68" t="s">
        <v>6694</v>
      </c>
      <c r="W68" t="s">
        <v>6720</v>
      </c>
    </row>
    <row r="69" spans="1:23" ht="15.6" x14ac:dyDescent="0.4">
      <c r="A69" s="2" t="s">
        <v>5891</v>
      </c>
      <c r="B69" s="5" t="s">
        <v>6797</v>
      </c>
      <c r="C69" s="7" t="s">
        <v>12556</v>
      </c>
      <c r="D69" s="8">
        <f t="shared" si="8"/>
        <v>0</v>
      </c>
      <c r="E69" s="7" t="s">
        <v>12557</v>
      </c>
      <c r="F69" s="7">
        <f t="shared" si="9"/>
        <v>1</v>
      </c>
      <c r="G69" s="7" t="s">
        <v>12558</v>
      </c>
      <c r="H69" s="7">
        <f t="shared" si="10"/>
        <v>0</v>
      </c>
      <c r="I69" s="7" t="str" cm="1">
        <f t="array" ref="I69">IFERROR(_xlfn.IFS(M69="נח",1,M69="נע ונח",1,M69="שני שווא נח",2,M69="שני שוואים בסוף מילה",2,M69="שני שוואים ברצף",1),"0")</f>
        <v>0</v>
      </c>
      <c r="J69" s="9">
        <f t="shared" si="11"/>
        <v>3</v>
      </c>
      <c r="K69" t="s">
        <v>6698</v>
      </c>
      <c r="L69" t="s">
        <v>6695</v>
      </c>
      <c r="P69" t="s">
        <v>6694</v>
      </c>
      <c r="Q69" t="s">
        <v>6694</v>
      </c>
      <c r="W69" t="s">
        <v>6720</v>
      </c>
    </row>
    <row r="70" spans="1:23" ht="15.6" x14ac:dyDescent="0.4">
      <c r="A70" s="2" t="s">
        <v>6098</v>
      </c>
      <c r="B70" s="5" t="s">
        <v>6798</v>
      </c>
      <c r="C70" s="7" t="s">
        <v>12556</v>
      </c>
      <c r="D70" s="8">
        <f t="shared" si="8"/>
        <v>0</v>
      </c>
      <c r="E70" s="7" t="s">
        <v>12557</v>
      </c>
      <c r="F70" s="7">
        <f t="shared" si="9"/>
        <v>1</v>
      </c>
      <c r="G70" s="7" t="s">
        <v>12558</v>
      </c>
      <c r="H70" s="7">
        <f t="shared" si="10"/>
        <v>1</v>
      </c>
      <c r="I70" s="7" t="str" cm="1">
        <f t="array" ref="I70">IFERROR(_xlfn.IFS(M70="נח",1,M70="נע ונח",1,M70="שני שווא נח",2,M70="שני שוואים בסוף מילה",2,M70="שני שוואים ברצף",1),"0")</f>
        <v>0</v>
      </c>
      <c r="J70" s="9">
        <f t="shared" si="11"/>
        <v>3</v>
      </c>
      <c r="K70" t="s">
        <v>6698</v>
      </c>
      <c r="L70" t="s">
        <v>6695</v>
      </c>
      <c r="P70" t="s">
        <v>6694</v>
      </c>
      <c r="S70" t="s">
        <v>6694</v>
      </c>
      <c r="W70" t="s">
        <v>6720</v>
      </c>
    </row>
    <row r="71" spans="1:23" ht="15.6" x14ac:dyDescent="0.4">
      <c r="A71" s="2" t="s">
        <v>1960</v>
      </c>
      <c r="B71" s="5" t="s">
        <v>6799</v>
      </c>
      <c r="C71" s="7" t="s">
        <v>12556</v>
      </c>
      <c r="D71" s="8">
        <f t="shared" si="8"/>
        <v>0</v>
      </c>
      <c r="E71" s="7" t="s">
        <v>12557</v>
      </c>
      <c r="F71" s="7">
        <f t="shared" si="9"/>
        <v>0</v>
      </c>
      <c r="G71" s="7" t="s">
        <v>12558</v>
      </c>
      <c r="H71" s="7">
        <f t="shared" si="10"/>
        <v>0</v>
      </c>
      <c r="I71" s="7" t="str" cm="1">
        <f t="array" ref="I71">IFERROR(_xlfn.IFS(M71="נח",1,M71="נע ונח",1,M71="שני שווא נח",2,M71="שני שוואים בסוף מילה",2,M71="שני שוואים ברצף",1),"0")</f>
        <v>0</v>
      </c>
      <c r="J71" s="9">
        <f t="shared" si="11"/>
        <v>3</v>
      </c>
      <c r="K71" t="s">
        <v>6697</v>
      </c>
      <c r="L71" t="s">
        <v>6695</v>
      </c>
      <c r="P71" t="s">
        <v>6694</v>
      </c>
      <c r="Q71" t="s">
        <v>6694</v>
      </c>
      <c r="S71" t="s">
        <v>6694</v>
      </c>
      <c r="W71" t="s">
        <v>6720</v>
      </c>
    </row>
    <row r="72" spans="1:23" ht="15.6" x14ac:dyDescent="0.4">
      <c r="A72" s="2" t="s">
        <v>328</v>
      </c>
      <c r="B72" s="5" t="s">
        <v>6800</v>
      </c>
      <c r="C72" s="7" t="s">
        <v>12556</v>
      </c>
      <c r="D72" s="8">
        <f t="shared" si="8"/>
        <v>0</v>
      </c>
      <c r="E72" s="7" t="s">
        <v>12557</v>
      </c>
      <c r="F72" s="7">
        <f t="shared" si="9"/>
        <v>1</v>
      </c>
      <c r="G72" s="7" t="s">
        <v>12558</v>
      </c>
      <c r="H72" s="7">
        <f t="shared" si="10"/>
        <v>1</v>
      </c>
      <c r="I72" s="7" t="str" cm="1">
        <f t="array" ref="I72">IFERROR(_xlfn.IFS(M72="נח",1,M72="נע ונח",1,M72="שני שווא נח",2,M72="שני שוואים בסוף מילה",2,M72="שני שוואים ברצף",1),"0")</f>
        <v>0</v>
      </c>
      <c r="J72" s="9">
        <f t="shared" si="11"/>
        <v>4</v>
      </c>
      <c r="K72" t="s">
        <v>6697</v>
      </c>
      <c r="L72" t="s">
        <v>6695</v>
      </c>
      <c r="O72" t="s">
        <v>6694</v>
      </c>
      <c r="P72" t="s">
        <v>6694</v>
      </c>
      <c r="S72" t="s">
        <v>6694</v>
      </c>
      <c r="W72" t="s">
        <v>6720</v>
      </c>
    </row>
    <row r="73" spans="1:23" ht="15.6" x14ac:dyDescent="0.4">
      <c r="A73" s="2" t="s">
        <v>6171</v>
      </c>
      <c r="B73" s="5" t="s">
        <v>6801</v>
      </c>
      <c r="C73" s="7" t="s">
        <v>12556</v>
      </c>
      <c r="D73" s="8">
        <f t="shared" si="8"/>
        <v>0</v>
      </c>
      <c r="E73" s="7" t="s">
        <v>12557</v>
      </c>
      <c r="F73" s="7">
        <f t="shared" si="9"/>
        <v>0</v>
      </c>
      <c r="G73" s="7" t="s">
        <v>12558</v>
      </c>
      <c r="H73" s="7">
        <f t="shared" si="10"/>
        <v>0</v>
      </c>
      <c r="I73" s="7" t="str" cm="1">
        <f t="array" ref="I73">IFERROR(_xlfn.IFS(M73="נח",1,M73="נע ונח",1,M73="שני שווא נח",2,M73="שני שוואים בסוף מילה",2,M73="שני שוואים ברצף",1),"0")</f>
        <v>0</v>
      </c>
      <c r="J73" s="9">
        <f t="shared" si="11"/>
        <v>3</v>
      </c>
      <c r="K73" t="s">
        <v>6698</v>
      </c>
      <c r="L73" t="s">
        <v>6695</v>
      </c>
      <c r="P73" t="s">
        <v>6694</v>
      </c>
      <c r="Q73" t="s">
        <v>6694</v>
      </c>
      <c r="S73" t="s">
        <v>6694</v>
      </c>
      <c r="W73" t="s">
        <v>6720</v>
      </c>
    </row>
    <row r="74" spans="1:23" ht="15.6" x14ac:dyDescent="0.4">
      <c r="A74" s="2" t="s">
        <v>4224</v>
      </c>
      <c r="B74" s="5" t="s">
        <v>6802</v>
      </c>
      <c r="C74" s="7" t="s">
        <v>12556</v>
      </c>
      <c r="D74" s="8">
        <f t="shared" si="8"/>
        <v>0</v>
      </c>
      <c r="E74" s="7" t="s">
        <v>12557</v>
      </c>
      <c r="F74" s="7">
        <f t="shared" si="9"/>
        <v>0</v>
      </c>
      <c r="G74" s="7" t="s">
        <v>12558</v>
      </c>
      <c r="H74" s="7">
        <f t="shared" si="10"/>
        <v>0</v>
      </c>
      <c r="I74" s="7" t="str" cm="1">
        <f t="array" ref="I74">IFERROR(_xlfn.IFS(M74="נח",1,M74="נע ונח",1,M74="שני שווא נח",2,M74="שני שוואים בסוף מילה",2,M74="שני שוואים ברצף",1),"0")</f>
        <v>0</v>
      </c>
      <c r="J74" s="9">
        <f t="shared" si="11"/>
        <v>2</v>
      </c>
      <c r="K74" t="s">
        <v>6698</v>
      </c>
      <c r="L74" t="s">
        <v>6695</v>
      </c>
      <c r="P74" t="s">
        <v>6694</v>
      </c>
      <c r="W74" t="s">
        <v>6720</v>
      </c>
    </row>
    <row r="75" spans="1:23" ht="15.6" x14ac:dyDescent="0.4">
      <c r="A75" s="2" t="s">
        <v>6607</v>
      </c>
      <c r="B75" s="5" t="s">
        <v>6803</v>
      </c>
      <c r="C75" s="7" t="s">
        <v>12556</v>
      </c>
      <c r="D75" s="8">
        <f t="shared" si="8"/>
        <v>0</v>
      </c>
      <c r="E75" s="7" t="s">
        <v>12557</v>
      </c>
      <c r="F75" s="7">
        <f t="shared" si="9"/>
        <v>1</v>
      </c>
      <c r="G75" s="7" t="s">
        <v>12558</v>
      </c>
      <c r="H75" s="7">
        <f t="shared" si="10"/>
        <v>0</v>
      </c>
      <c r="I75" s="7" t="str" cm="1">
        <f t="array" ref="I75">IFERROR(_xlfn.IFS(M75="נח",1,M75="נע ונח",1,M75="שני שווא נח",2,M75="שני שוואים בסוף מילה",2,M75="שני שוואים ברצף",1),"0")</f>
        <v>0</v>
      </c>
      <c r="J75" s="9">
        <f t="shared" si="11"/>
        <v>3</v>
      </c>
      <c r="K75" t="s">
        <v>6698</v>
      </c>
      <c r="L75" t="s">
        <v>6695</v>
      </c>
      <c r="P75" t="s">
        <v>6694</v>
      </c>
      <c r="Q75" t="s">
        <v>6694</v>
      </c>
      <c r="W75" t="s">
        <v>6720</v>
      </c>
    </row>
    <row r="76" spans="1:23" ht="15.6" x14ac:dyDescent="0.4">
      <c r="A76" s="2" t="s">
        <v>5239</v>
      </c>
      <c r="B76" s="5" t="s">
        <v>6804</v>
      </c>
      <c r="C76" s="7" t="s">
        <v>12556</v>
      </c>
      <c r="D76" s="8">
        <f t="shared" si="8"/>
        <v>0</v>
      </c>
      <c r="E76" s="7" t="s">
        <v>12557</v>
      </c>
      <c r="F76" s="7">
        <f t="shared" si="9"/>
        <v>0</v>
      </c>
      <c r="G76" s="7" t="s">
        <v>12558</v>
      </c>
      <c r="H76" s="7">
        <f t="shared" si="10"/>
        <v>0</v>
      </c>
      <c r="I76" s="7" t="str" cm="1">
        <f t="array" ref="I76">IFERROR(_xlfn.IFS(M76="נח",1,M76="נע ונח",1,M76="שני שווא נח",2,M76="שני שוואים בסוף מילה",2,M76="שני שוואים ברצף",1),"0")</f>
        <v>0</v>
      </c>
      <c r="J76" s="9">
        <f t="shared" si="11"/>
        <v>3</v>
      </c>
      <c r="K76" t="s">
        <v>6698</v>
      </c>
      <c r="L76" t="s">
        <v>6695</v>
      </c>
      <c r="O76" t="s">
        <v>6694</v>
      </c>
      <c r="P76" t="s">
        <v>6694</v>
      </c>
      <c r="S76" t="s">
        <v>6694</v>
      </c>
      <c r="W76" t="s">
        <v>6720</v>
      </c>
    </row>
    <row r="77" spans="1:23" ht="15.6" x14ac:dyDescent="0.4">
      <c r="A77" s="2" t="s">
        <v>6167</v>
      </c>
      <c r="B77" s="5" t="s">
        <v>6805</v>
      </c>
      <c r="C77" s="7" t="s">
        <v>12556</v>
      </c>
      <c r="D77" s="8">
        <f t="shared" si="8"/>
        <v>0</v>
      </c>
      <c r="E77" s="7" t="s">
        <v>12557</v>
      </c>
      <c r="F77" s="7">
        <f t="shared" si="9"/>
        <v>1</v>
      </c>
      <c r="G77" s="7" t="s">
        <v>12558</v>
      </c>
      <c r="H77" s="7">
        <f t="shared" si="10"/>
        <v>0</v>
      </c>
      <c r="I77" s="7" t="str" cm="1">
        <f t="array" ref="I77">IFERROR(_xlfn.IFS(M77="נח",1,M77="נע ונח",1,M77="שני שווא נח",2,M77="שני שוואים בסוף מילה",2,M77="שני שוואים ברצף",1),"0")</f>
        <v>0</v>
      </c>
      <c r="J77" s="9">
        <f t="shared" si="11"/>
        <v>5</v>
      </c>
      <c r="K77" t="s">
        <v>6697</v>
      </c>
      <c r="L77" t="s">
        <v>6694</v>
      </c>
      <c r="M77" t="s">
        <v>6703</v>
      </c>
      <c r="O77" t="s">
        <v>6694</v>
      </c>
      <c r="P77" t="s">
        <v>6694</v>
      </c>
      <c r="R77" t="s">
        <v>6694</v>
      </c>
      <c r="V77" t="s">
        <v>6694</v>
      </c>
      <c r="W77" t="s">
        <v>6720</v>
      </c>
    </row>
    <row r="78" spans="1:23" ht="15.6" x14ac:dyDescent="0.4">
      <c r="A78" s="2" t="s">
        <v>5255</v>
      </c>
      <c r="B78" s="5" t="s">
        <v>6805</v>
      </c>
      <c r="C78" s="7" t="s">
        <v>12556</v>
      </c>
      <c r="D78" s="8">
        <f t="shared" si="8"/>
        <v>0</v>
      </c>
      <c r="E78" s="7" t="s">
        <v>12557</v>
      </c>
      <c r="F78" s="7">
        <f t="shared" si="9"/>
        <v>0</v>
      </c>
      <c r="G78" s="7" t="s">
        <v>12558</v>
      </c>
      <c r="H78" s="7">
        <f t="shared" si="10"/>
        <v>0</v>
      </c>
      <c r="I78" s="7" cm="1">
        <f t="array" ref="I78">IFERROR(_xlfn.IFS(M78="נח",1,M78="נע ונח",1,M78="שני שווא נח",2,M78="שני שוואים בסוף מילה",2,M78="שני שוואים ברצף",1),"0")</f>
        <v>1</v>
      </c>
      <c r="J78" s="9">
        <f t="shared" si="11"/>
        <v>4</v>
      </c>
      <c r="K78" t="s">
        <v>6697</v>
      </c>
      <c r="L78" t="s">
        <v>6694</v>
      </c>
      <c r="M78" t="s">
        <v>6705</v>
      </c>
      <c r="O78" t="s">
        <v>6694</v>
      </c>
      <c r="P78" t="s">
        <v>6694</v>
      </c>
      <c r="S78" t="s">
        <v>6694</v>
      </c>
      <c r="V78" t="s">
        <v>6694</v>
      </c>
      <c r="W78" t="s">
        <v>6720</v>
      </c>
    </row>
    <row r="79" spans="1:23" ht="15.6" x14ac:dyDescent="0.4">
      <c r="A79" s="2" t="s">
        <v>273</v>
      </c>
      <c r="B79" s="5" t="s">
        <v>6806</v>
      </c>
      <c r="C79" s="7" t="s">
        <v>12556</v>
      </c>
      <c r="D79" s="8">
        <f t="shared" si="8"/>
        <v>0</v>
      </c>
      <c r="E79" s="7" t="s">
        <v>12557</v>
      </c>
      <c r="F79" s="7">
        <f t="shared" si="9"/>
        <v>1</v>
      </c>
      <c r="G79" s="7" t="s">
        <v>12558</v>
      </c>
      <c r="H79" s="7">
        <f t="shared" si="10"/>
        <v>1</v>
      </c>
      <c r="I79" s="7" t="str" cm="1">
        <f t="array" ref="I79">IFERROR(_xlfn.IFS(M79="נח",1,M79="נע ונח",1,M79="שני שווא נח",2,M79="שני שוואים בסוף מילה",2,M79="שני שוואים ברצף",1),"0")</f>
        <v>0</v>
      </c>
      <c r="J79" s="9">
        <f t="shared" si="11"/>
        <v>3</v>
      </c>
      <c r="K79" t="s">
        <v>6698</v>
      </c>
      <c r="L79" t="s">
        <v>6695</v>
      </c>
      <c r="P79" t="s">
        <v>6694</v>
      </c>
      <c r="S79" t="s">
        <v>6694</v>
      </c>
      <c r="W79" t="s">
        <v>6720</v>
      </c>
    </row>
    <row r="80" spans="1:23" ht="15.6" x14ac:dyDescent="0.4">
      <c r="A80" s="2" t="s">
        <v>42</v>
      </c>
      <c r="B80" s="5" t="s">
        <v>6807</v>
      </c>
      <c r="C80" s="7" t="s">
        <v>12556</v>
      </c>
      <c r="D80" s="8">
        <f t="shared" si="8"/>
        <v>1</v>
      </c>
      <c r="E80" s="7" t="s">
        <v>12557</v>
      </c>
      <c r="F80" s="7">
        <f t="shared" si="9"/>
        <v>0</v>
      </c>
      <c r="G80" s="7" t="s">
        <v>12558</v>
      </c>
      <c r="H80" s="7">
        <f t="shared" si="10"/>
        <v>0</v>
      </c>
      <c r="I80" s="7" t="str" cm="1">
        <f t="array" ref="I80">IFERROR(_xlfn.IFS(M80="נח",1,M80="נע ונח",1,M80="שני שווא נח",2,M80="שני שוואים בסוף מילה",2,M80="שני שוואים ברצף",1),"0")</f>
        <v>0</v>
      </c>
      <c r="J80" s="9">
        <f t="shared" si="11"/>
        <v>2</v>
      </c>
      <c r="K80" t="s">
        <v>6698</v>
      </c>
      <c r="L80" t="s">
        <v>6695</v>
      </c>
      <c r="P80" t="s">
        <v>6694</v>
      </c>
      <c r="R80" t="s">
        <v>6694</v>
      </c>
      <c r="W80" t="s">
        <v>6720</v>
      </c>
    </row>
    <row r="81" spans="1:23" ht="15.6" x14ac:dyDescent="0.4">
      <c r="A81" s="2" t="s">
        <v>3245</v>
      </c>
      <c r="B81" s="5" t="s">
        <v>6808</v>
      </c>
      <c r="C81" s="7" t="s">
        <v>12556</v>
      </c>
      <c r="D81" s="8">
        <f t="shared" si="8"/>
        <v>1</v>
      </c>
      <c r="E81" s="7" t="s">
        <v>12557</v>
      </c>
      <c r="F81" s="7">
        <f t="shared" si="9"/>
        <v>1</v>
      </c>
      <c r="G81" s="7" t="s">
        <v>12558</v>
      </c>
      <c r="H81" s="7">
        <f t="shared" si="10"/>
        <v>1</v>
      </c>
      <c r="I81" s="7" t="str" cm="1">
        <f t="array" ref="I81">IFERROR(_xlfn.IFS(M81="נח",1,M81="נע ונח",1,M81="שני שווא נח",2,M81="שני שוואים בסוף מילה",2,M81="שני שוואים ברצף",1),"0")</f>
        <v>0</v>
      </c>
      <c r="J81" s="9">
        <f t="shared" si="11"/>
        <v>5</v>
      </c>
      <c r="K81" t="s">
        <v>6697</v>
      </c>
      <c r="L81" t="s">
        <v>6695</v>
      </c>
      <c r="P81" t="s">
        <v>6694</v>
      </c>
      <c r="Q81" t="s">
        <v>6694</v>
      </c>
      <c r="W81" t="s">
        <v>6720</v>
      </c>
    </row>
    <row r="82" spans="1:23" ht="15.6" x14ac:dyDescent="0.4">
      <c r="A82" s="2" t="s">
        <v>5352</v>
      </c>
      <c r="B82" s="5" t="s">
        <v>6809</v>
      </c>
      <c r="C82" s="7" t="s">
        <v>12556</v>
      </c>
      <c r="D82" s="8">
        <f t="shared" si="8"/>
        <v>1</v>
      </c>
      <c r="E82" s="7" t="s">
        <v>12557</v>
      </c>
      <c r="F82" s="7">
        <f t="shared" si="9"/>
        <v>1</v>
      </c>
      <c r="G82" s="7" t="s">
        <v>12558</v>
      </c>
      <c r="H82" s="7">
        <f t="shared" si="10"/>
        <v>0</v>
      </c>
      <c r="I82" s="7" t="str" cm="1">
        <f t="array" ref="I82">IFERROR(_xlfn.IFS(M82="נח",1,M82="נע ונח",1,M82="שני שווא נח",2,M82="שני שוואים בסוף מילה",2,M82="שני שוואים ברצף",1),"0")</f>
        <v>0</v>
      </c>
      <c r="J82" s="9">
        <f t="shared" si="11"/>
        <v>5</v>
      </c>
      <c r="K82" t="s">
        <v>6697</v>
      </c>
      <c r="L82" t="s">
        <v>6695</v>
      </c>
      <c r="O82" t="s">
        <v>6694</v>
      </c>
      <c r="P82" t="s">
        <v>6694</v>
      </c>
      <c r="R82" t="s">
        <v>6694</v>
      </c>
      <c r="W82" t="s">
        <v>6720</v>
      </c>
    </row>
    <row r="83" spans="1:23" ht="15.6" x14ac:dyDescent="0.4">
      <c r="A83" s="2" t="s">
        <v>369</v>
      </c>
      <c r="B83" s="5" t="s">
        <v>6810</v>
      </c>
      <c r="C83" s="7" t="s">
        <v>12556</v>
      </c>
      <c r="D83" s="8">
        <f t="shared" si="8"/>
        <v>1</v>
      </c>
      <c r="E83" s="7" t="s">
        <v>12557</v>
      </c>
      <c r="F83" s="7">
        <f t="shared" si="9"/>
        <v>1</v>
      </c>
      <c r="G83" s="7" t="s">
        <v>12558</v>
      </c>
      <c r="H83" s="7">
        <f t="shared" si="10"/>
        <v>0</v>
      </c>
      <c r="I83" s="7" t="str" cm="1">
        <f t="array" ref="I83">IFERROR(_xlfn.IFS(M83="נח",1,M83="נע ונח",1,M83="שני שווא נח",2,M83="שני שוואים בסוף מילה",2,M83="שני שוואים ברצף",1),"0")</f>
        <v>0</v>
      </c>
      <c r="J83" s="9">
        <f t="shared" si="11"/>
        <v>3</v>
      </c>
      <c r="K83" t="s">
        <v>6698</v>
      </c>
      <c r="L83" t="s">
        <v>6695</v>
      </c>
      <c r="P83" t="s">
        <v>6694</v>
      </c>
      <c r="Q83" t="s">
        <v>6694</v>
      </c>
      <c r="W83" t="s">
        <v>6720</v>
      </c>
    </row>
    <row r="84" spans="1:23" ht="15.6" x14ac:dyDescent="0.4">
      <c r="A84" s="2" t="s">
        <v>3657</v>
      </c>
      <c r="B84" s="5" t="s">
        <v>6811</v>
      </c>
      <c r="C84" s="7" t="s">
        <v>12556</v>
      </c>
      <c r="D84" s="8">
        <f t="shared" si="8"/>
        <v>1</v>
      </c>
      <c r="E84" s="7" t="s">
        <v>12557</v>
      </c>
      <c r="F84" s="7">
        <f t="shared" si="9"/>
        <v>1</v>
      </c>
      <c r="G84" s="7" t="s">
        <v>12558</v>
      </c>
      <c r="H84" s="7">
        <f t="shared" si="10"/>
        <v>1</v>
      </c>
      <c r="I84" s="7" t="str" cm="1">
        <f t="array" ref="I84">IFERROR(_xlfn.IFS(M84="נח",1,M84="נע ונח",1,M84="שני שווא נח",2,M84="שני שוואים בסוף מילה",2,M84="שני שוואים ברצף",1),"0")</f>
        <v>0</v>
      </c>
      <c r="J84" s="9">
        <f t="shared" si="11"/>
        <v>4</v>
      </c>
      <c r="K84" t="s">
        <v>6697</v>
      </c>
      <c r="L84" t="s">
        <v>6695</v>
      </c>
      <c r="P84" t="s">
        <v>6694</v>
      </c>
      <c r="Q84" t="s">
        <v>6694</v>
      </c>
      <c r="T84" t="s">
        <v>6694</v>
      </c>
      <c r="U84" t="s">
        <v>6694</v>
      </c>
      <c r="W84" t="s">
        <v>6720</v>
      </c>
    </row>
    <row r="85" spans="1:23" ht="15.6" x14ac:dyDescent="0.4">
      <c r="A85" s="2" t="s">
        <v>6362</v>
      </c>
      <c r="B85" s="5" t="s">
        <v>6812</v>
      </c>
      <c r="C85" s="7" t="s">
        <v>12556</v>
      </c>
      <c r="D85" s="8">
        <f t="shared" si="8"/>
        <v>1</v>
      </c>
      <c r="E85" s="7" t="s">
        <v>12557</v>
      </c>
      <c r="F85" s="7">
        <f t="shared" si="9"/>
        <v>0</v>
      </c>
      <c r="G85" s="7" t="s">
        <v>12558</v>
      </c>
      <c r="H85" s="7">
        <f t="shared" si="10"/>
        <v>0</v>
      </c>
      <c r="I85" s="7" t="str" cm="1">
        <f t="array" ref="I85">IFERROR(_xlfn.IFS(M85="נח",1,M85="נע ונח",1,M85="שני שווא נח",2,M85="שני שוואים בסוף מילה",2,M85="שני שוואים ברצף",1),"0")</f>
        <v>0</v>
      </c>
      <c r="J85" s="9">
        <f t="shared" si="11"/>
        <v>3</v>
      </c>
      <c r="K85" t="s">
        <v>6698</v>
      </c>
      <c r="L85" t="s">
        <v>6695</v>
      </c>
      <c r="N85" t="s">
        <v>6706</v>
      </c>
      <c r="O85" t="s">
        <v>6694</v>
      </c>
      <c r="P85" t="s">
        <v>6694</v>
      </c>
      <c r="T85" t="s">
        <v>6694</v>
      </c>
      <c r="W85" t="s">
        <v>6720</v>
      </c>
    </row>
    <row r="86" spans="1:23" ht="15.6" x14ac:dyDescent="0.4">
      <c r="A86" s="2" t="s">
        <v>6249</v>
      </c>
      <c r="B86" s="5" t="s">
        <v>6813</v>
      </c>
      <c r="C86" s="7" t="s">
        <v>12556</v>
      </c>
      <c r="D86" s="8">
        <f t="shared" si="8"/>
        <v>1</v>
      </c>
      <c r="E86" s="7" t="s">
        <v>12557</v>
      </c>
      <c r="F86" s="7">
        <f t="shared" si="9"/>
        <v>0</v>
      </c>
      <c r="G86" s="7" t="s">
        <v>12558</v>
      </c>
      <c r="H86" s="7">
        <f t="shared" si="10"/>
        <v>0</v>
      </c>
      <c r="I86" s="7" t="str" cm="1">
        <f t="array" ref="I86">IFERROR(_xlfn.IFS(M86="נח",1,M86="נע ונח",1,M86="שני שווא נח",2,M86="שני שוואים בסוף מילה",2,M86="שני שוואים ברצף",1),"0")</f>
        <v>0</v>
      </c>
      <c r="J86" s="9">
        <f t="shared" si="11"/>
        <v>3</v>
      </c>
      <c r="K86" t="s">
        <v>6698</v>
      </c>
      <c r="L86" t="s">
        <v>6695</v>
      </c>
      <c r="N86" t="s">
        <v>6706</v>
      </c>
      <c r="O86" t="s">
        <v>6694</v>
      </c>
      <c r="P86" t="s">
        <v>6694</v>
      </c>
      <c r="T86" t="s">
        <v>6694</v>
      </c>
      <c r="W86" t="s">
        <v>6720</v>
      </c>
    </row>
    <row r="87" spans="1:23" ht="15.6" x14ac:dyDescent="0.4">
      <c r="A87" s="2" t="s">
        <v>2347</v>
      </c>
      <c r="B87" s="5" t="s">
        <v>6814</v>
      </c>
      <c r="C87" s="7" t="s">
        <v>12556</v>
      </c>
      <c r="D87" s="8">
        <f t="shared" si="8"/>
        <v>1</v>
      </c>
      <c r="E87" s="7" t="s">
        <v>12557</v>
      </c>
      <c r="F87" s="7">
        <f t="shared" si="9"/>
        <v>2</v>
      </c>
      <c r="G87" s="7" t="s">
        <v>12558</v>
      </c>
      <c r="H87" s="7">
        <f t="shared" si="10"/>
        <v>1</v>
      </c>
      <c r="I87" s="7" cm="1">
        <f t="array" ref="I87">IFERROR(_xlfn.IFS(M87="נח",1,M87="נע ונח",1,M87="שני שווא נח",2,M87="שני שוואים בסוף מילה",2,M87="שני שוואים ברצף",1),"0")</f>
        <v>1</v>
      </c>
      <c r="J87" s="9">
        <f t="shared" si="11"/>
        <v>4</v>
      </c>
      <c r="K87" t="s">
        <v>6697</v>
      </c>
      <c r="L87" t="s">
        <v>6694</v>
      </c>
      <c r="M87" t="s">
        <v>6705</v>
      </c>
      <c r="P87" t="s">
        <v>6694</v>
      </c>
      <c r="Q87" t="s">
        <v>6694</v>
      </c>
      <c r="U87" t="s">
        <v>6694</v>
      </c>
      <c r="W87" t="s">
        <v>6720</v>
      </c>
    </row>
    <row r="88" spans="1:23" ht="15.6" x14ac:dyDescent="0.4">
      <c r="A88" s="2" t="s">
        <v>6645</v>
      </c>
      <c r="B88" s="5" t="s">
        <v>6815</v>
      </c>
      <c r="C88" s="7" t="s">
        <v>12556</v>
      </c>
      <c r="D88" s="8">
        <f t="shared" si="8"/>
        <v>1</v>
      </c>
      <c r="E88" s="7" t="s">
        <v>12557</v>
      </c>
      <c r="F88" s="7">
        <f t="shared" si="9"/>
        <v>0</v>
      </c>
      <c r="G88" s="7" t="s">
        <v>12558</v>
      </c>
      <c r="H88" s="7">
        <f t="shared" si="10"/>
        <v>0</v>
      </c>
      <c r="I88" s="7" t="str" cm="1">
        <f t="array" ref="I88">IFERROR(_xlfn.IFS(M88="נח",1,M88="נע ונח",1,M88="שני שווא נח",2,M88="שני שוואים בסוף מילה",2,M88="שני שוואים ברצף",1),"0")</f>
        <v>0</v>
      </c>
      <c r="J88" s="9">
        <f t="shared" si="11"/>
        <v>4</v>
      </c>
      <c r="K88" t="s">
        <v>6697</v>
      </c>
      <c r="L88" t="s">
        <v>6695</v>
      </c>
      <c r="N88" t="s">
        <v>6707</v>
      </c>
      <c r="P88" t="s">
        <v>6694</v>
      </c>
      <c r="Q88" t="s">
        <v>6694</v>
      </c>
      <c r="V88" t="s">
        <v>6694</v>
      </c>
      <c r="W88" t="s">
        <v>6720</v>
      </c>
    </row>
    <row r="89" spans="1:23" ht="15.6" x14ac:dyDescent="0.4">
      <c r="A89" s="2" t="s">
        <v>743</v>
      </c>
      <c r="B89" s="5" t="s">
        <v>6816</v>
      </c>
      <c r="C89" s="7" t="s">
        <v>12556</v>
      </c>
      <c r="D89" s="8">
        <f t="shared" si="8"/>
        <v>0</v>
      </c>
      <c r="E89" s="7" t="s">
        <v>12557</v>
      </c>
      <c r="F89" s="7">
        <f t="shared" si="9"/>
        <v>1</v>
      </c>
      <c r="G89" s="7" t="s">
        <v>12558</v>
      </c>
      <c r="H89" s="7">
        <f t="shared" si="10"/>
        <v>0</v>
      </c>
      <c r="I89" s="7" t="str" cm="1">
        <f t="array" ref="I89">IFERROR(_xlfn.IFS(M89="נח",1,M89="נע ונח",1,M89="שני שווא נח",2,M89="שני שוואים בסוף מילה",2,M89="שני שוואים ברצף",1),"0")</f>
        <v>0</v>
      </c>
      <c r="J89" s="9">
        <f t="shared" si="11"/>
        <v>3</v>
      </c>
      <c r="K89" t="s">
        <v>6698</v>
      </c>
      <c r="L89" t="s">
        <v>6695</v>
      </c>
      <c r="O89" t="s">
        <v>6694</v>
      </c>
      <c r="S89" t="s">
        <v>6694</v>
      </c>
      <c r="V89" t="s">
        <v>6694</v>
      </c>
      <c r="W89" t="s">
        <v>6720</v>
      </c>
    </row>
    <row r="90" spans="1:23" ht="15.6" x14ac:dyDescent="0.4">
      <c r="A90" s="2" t="s">
        <v>2381</v>
      </c>
      <c r="B90" s="5" t="s">
        <v>6817</v>
      </c>
      <c r="C90" s="7" t="s">
        <v>12556</v>
      </c>
      <c r="D90" s="8">
        <f t="shared" si="8"/>
        <v>0</v>
      </c>
      <c r="E90" s="7" t="s">
        <v>12557</v>
      </c>
      <c r="F90" s="7">
        <f t="shared" si="9"/>
        <v>2</v>
      </c>
      <c r="G90" s="7" t="s">
        <v>12558</v>
      </c>
      <c r="H90" s="7">
        <f t="shared" si="10"/>
        <v>0</v>
      </c>
      <c r="I90" s="7" cm="1">
        <f t="array" ref="I90">IFERROR(_xlfn.IFS(M90="נח",1,M90="נע ונח",1,M90="שני שווא נח",2,M90="שני שוואים בסוף מילה",2,M90="שני שוואים ברצף",1),"0")</f>
        <v>1</v>
      </c>
      <c r="J90" s="9">
        <f t="shared" si="11"/>
        <v>3</v>
      </c>
      <c r="K90" t="s">
        <v>6698</v>
      </c>
      <c r="L90" t="s">
        <v>6694</v>
      </c>
      <c r="M90" t="s">
        <v>6705</v>
      </c>
      <c r="O90" t="s">
        <v>6694</v>
      </c>
      <c r="P90" t="s">
        <v>6694</v>
      </c>
      <c r="S90" t="s">
        <v>6694</v>
      </c>
      <c r="W90" t="s">
        <v>6720</v>
      </c>
    </row>
    <row r="91" spans="1:23" ht="15.6" x14ac:dyDescent="0.4">
      <c r="A91" s="2" t="s">
        <v>6593</v>
      </c>
      <c r="B91" s="5" t="s">
        <v>6818</v>
      </c>
      <c r="C91" s="7" t="s">
        <v>12556</v>
      </c>
      <c r="D91" s="8">
        <f t="shared" si="8"/>
        <v>0</v>
      </c>
      <c r="E91" s="7" t="s">
        <v>12557</v>
      </c>
      <c r="F91" s="7">
        <f t="shared" si="9"/>
        <v>2</v>
      </c>
      <c r="G91" s="7" t="s">
        <v>12558</v>
      </c>
      <c r="H91" s="7">
        <f t="shared" si="10"/>
        <v>1</v>
      </c>
      <c r="I91" s="7" cm="1">
        <f t="array" ref="I91">IFERROR(_xlfn.IFS(M91="נח",1,M91="נע ונח",1,M91="שני שווא נח",2,M91="שני שוואים בסוף מילה",2,M91="שני שוואים ברצף",1),"0")</f>
        <v>1</v>
      </c>
      <c r="J91" s="9">
        <f t="shared" si="11"/>
        <v>4</v>
      </c>
      <c r="K91" t="s">
        <v>6697</v>
      </c>
      <c r="L91" t="s">
        <v>6694</v>
      </c>
      <c r="M91" t="s">
        <v>6705</v>
      </c>
      <c r="P91" t="s">
        <v>6694</v>
      </c>
      <c r="S91" t="s">
        <v>6694</v>
      </c>
      <c r="U91" t="s">
        <v>6694</v>
      </c>
      <c r="W91" t="s">
        <v>6720</v>
      </c>
    </row>
    <row r="92" spans="1:23" ht="15.6" x14ac:dyDescent="0.4">
      <c r="A92" s="2" t="s">
        <v>6328</v>
      </c>
      <c r="B92" s="5" t="s">
        <v>6819</v>
      </c>
      <c r="C92" s="7" t="s">
        <v>12556</v>
      </c>
      <c r="D92" s="8">
        <f t="shared" si="8"/>
        <v>1</v>
      </c>
      <c r="E92" s="7" t="s">
        <v>12557</v>
      </c>
      <c r="F92" s="7">
        <f t="shared" si="9"/>
        <v>1</v>
      </c>
      <c r="G92" s="7" t="s">
        <v>12558</v>
      </c>
      <c r="H92" s="7">
        <f t="shared" si="10"/>
        <v>1</v>
      </c>
      <c r="I92" s="7" t="str" cm="1">
        <f t="array" ref="I92">IFERROR(_xlfn.IFS(M92="נח",1,M92="נע ונח",1,M92="שני שווא נח",2,M92="שני שוואים בסוף מילה",2,M92="שני שוואים ברצף",1),"0")</f>
        <v>0</v>
      </c>
      <c r="J92" s="9">
        <f t="shared" si="11"/>
        <v>5</v>
      </c>
      <c r="K92" t="s">
        <v>6697</v>
      </c>
      <c r="L92" t="s">
        <v>6695</v>
      </c>
      <c r="O92" t="s">
        <v>6694</v>
      </c>
      <c r="P92" t="s">
        <v>6694</v>
      </c>
      <c r="Q92" t="s">
        <v>6694</v>
      </c>
      <c r="S92" t="s">
        <v>6694</v>
      </c>
      <c r="U92" t="s">
        <v>6694</v>
      </c>
      <c r="W92" t="s">
        <v>6720</v>
      </c>
    </row>
    <row r="93" spans="1:23" ht="15.6" x14ac:dyDescent="0.4">
      <c r="A93" s="2" t="s">
        <v>2194</v>
      </c>
      <c r="B93" s="5" t="s">
        <v>6820</v>
      </c>
      <c r="C93" s="7" t="s">
        <v>12556</v>
      </c>
      <c r="D93" s="8">
        <f t="shared" si="8"/>
        <v>0</v>
      </c>
      <c r="E93" s="7" t="s">
        <v>12557</v>
      </c>
      <c r="F93" s="7">
        <f t="shared" si="9"/>
        <v>1</v>
      </c>
      <c r="G93" s="7" t="s">
        <v>12558</v>
      </c>
      <c r="H93" s="7">
        <f t="shared" si="10"/>
        <v>0</v>
      </c>
      <c r="I93" s="7" t="str" cm="1">
        <f t="array" ref="I93">IFERROR(_xlfn.IFS(M93="נח",1,M93="נע ונח",1,M93="שני שווא נח",2,M93="שני שוואים בסוף מילה",2,M93="שני שוואים ברצף",1),"0")</f>
        <v>0</v>
      </c>
      <c r="J93" s="9">
        <f t="shared" si="11"/>
        <v>2</v>
      </c>
      <c r="K93" t="s">
        <v>6698</v>
      </c>
      <c r="L93" t="s">
        <v>6695</v>
      </c>
      <c r="S93" t="s">
        <v>6694</v>
      </c>
      <c r="W93" t="s">
        <v>6720</v>
      </c>
    </row>
    <row r="94" spans="1:23" ht="15.6" x14ac:dyDescent="0.4">
      <c r="A94" s="2" t="s">
        <v>2720</v>
      </c>
      <c r="B94" s="5" t="s">
        <v>6821</v>
      </c>
      <c r="C94" s="7" t="s">
        <v>12556</v>
      </c>
      <c r="D94" s="8">
        <f t="shared" si="8"/>
        <v>0</v>
      </c>
      <c r="E94" s="7" t="s">
        <v>12557</v>
      </c>
      <c r="F94" s="7">
        <f t="shared" si="9"/>
        <v>0</v>
      </c>
      <c r="G94" s="7" t="s">
        <v>12558</v>
      </c>
      <c r="H94" s="7">
        <f t="shared" si="10"/>
        <v>0</v>
      </c>
      <c r="I94" s="7" t="str" cm="1">
        <f t="array" ref="I94">IFERROR(_xlfn.IFS(M94="נח",1,M94="נע ונח",1,M94="שני שווא נח",2,M94="שני שוואים בסוף מילה",2,M94="שני שוואים ברצף",1),"0")</f>
        <v>0</v>
      </c>
      <c r="J94" s="9">
        <f t="shared" si="11"/>
        <v>3</v>
      </c>
      <c r="K94" t="s">
        <v>6697</v>
      </c>
      <c r="L94" t="s">
        <v>6695</v>
      </c>
      <c r="O94" t="s">
        <v>6694</v>
      </c>
      <c r="P94" t="s">
        <v>6694</v>
      </c>
      <c r="S94" t="s">
        <v>6694</v>
      </c>
      <c r="W94" t="s">
        <v>6720</v>
      </c>
    </row>
    <row r="95" spans="1:23" ht="15.6" x14ac:dyDescent="0.4">
      <c r="A95" s="2" t="s">
        <v>783</v>
      </c>
      <c r="B95" s="5" t="s">
        <v>6822</v>
      </c>
      <c r="C95" s="7" t="s">
        <v>12556</v>
      </c>
      <c r="D95" s="8">
        <f t="shared" si="8"/>
        <v>0</v>
      </c>
      <c r="E95" s="7" t="s">
        <v>12557</v>
      </c>
      <c r="F95" s="7">
        <f t="shared" si="9"/>
        <v>0</v>
      </c>
      <c r="G95" s="7" t="s">
        <v>12558</v>
      </c>
      <c r="H95" s="7">
        <f t="shared" si="10"/>
        <v>0</v>
      </c>
      <c r="I95" s="7" t="str" cm="1">
        <f t="array" ref="I95">IFERROR(_xlfn.IFS(M95="נח",1,M95="נע ונח",1,M95="שני שווא נח",2,M95="שני שוואים בסוף מילה",2,M95="שני שוואים ברצף",1),"0")</f>
        <v>0</v>
      </c>
      <c r="J95" s="9">
        <f t="shared" si="11"/>
        <v>2</v>
      </c>
      <c r="K95" t="s">
        <v>6697</v>
      </c>
      <c r="L95" t="s">
        <v>6695</v>
      </c>
      <c r="O95" t="s">
        <v>6694</v>
      </c>
      <c r="S95" t="s">
        <v>6694</v>
      </c>
      <c r="W95" t="s">
        <v>6720</v>
      </c>
    </row>
    <row r="96" spans="1:23" ht="15.6" x14ac:dyDescent="0.4">
      <c r="A96" s="2" t="s">
        <v>19</v>
      </c>
      <c r="B96" s="5" t="s">
        <v>6823</v>
      </c>
      <c r="C96" s="7" t="s">
        <v>12556</v>
      </c>
      <c r="D96" s="8">
        <f t="shared" si="8"/>
        <v>1</v>
      </c>
      <c r="E96" s="7" t="s">
        <v>12557</v>
      </c>
      <c r="F96" s="7">
        <f t="shared" si="9"/>
        <v>0</v>
      </c>
      <c r="G96" s="7" t="s">
        <v>12558</v>
      </c>
      <c r="H96" s="7">
        <f t="shared" si="10"/>
        <v>0</v>
      </c>
      <c r="I96" s="7" t="str" cm="1">
        <f t="array" ref="I96">IFERROR(_xlfn.IFS(M96="נח",1,M96="נע ונח",1,M96="שני שווא נח",2,M96="שני שוואים בסוף מילה",2,M96="שני שוואים ברצף",1),"0")</f>
        <v>0</v>
      </c>
      <c r="J96" s="9">
        <f t="shared" si="11"/>
        <v>1</v>
      </c>
      <c r="K96" t="s">
        <v>6698</v>
      </c>
      <c r="L96" t="s">
        <v>6695</v>
      </c>
      <c r="S96" t="s">
        <v>6694</v>
      </c>
      <c r="W96" t="s">
        <v>6720</v>
      </c>
    </row>
    <row r="97" spans="1:23" ht="15.6" x14ac:dyDescent="0.4">
      <c r="A97" s="2" t="s">
        <v>5579</v>
      </c>
      <c r="B97" s="5" t="s">
        <v>6824</v>
      </c>
      <c r="C97" s="7" t="s">
        <v>12556</v>
      </c>
      <c r="D97" s="8">
        <f t="shared" si="8"/>
        <v>1</v>
      </c>
      <c r="E97" s="7" t="s">
        <v>12557</v>
      </c>
      <c r="F97" s="7">
        <f t="shared" si="9"/>
        <v>0</v>
      </c>
      <c r="G97" s="7" t="s">
        <v>12558</v>
      </c>
      <c r="H97" s="7">
        <f t="shared" si="10"/>
        <v>0</v>
      </c>
      <c r="I97" s="7" t="str" cm="1">
        <f t="array" ref="I97">IFERROR(_xlfn.IFS(M97="נח",1,M97="נע ונח",1,M97="שני שווא נח",2,M97="שני שוואים בסוף מילה",2,M97="שני שוואים ברצף",1),"0")</f>
        <v>0</v>
      </c>
      <c r="J97" s="9">
        <f t="shared" si="11"/>
        <v>2</v>
      </c>
      <c r="K97" t="s">
        <v>6698</v>
      </c>
      <c r="L97" t="s">
        <v>6695</v>
      </c>
      <c r="S97" t="s">
        <v>6694</v>
      </c>
      <c r="W97" t="s">
        <v>6720</v>
      </c>
    </row>
    <row r="98" spans="1:23" ht="15.6" x14ac:dyDescent="0.4">
      <c r="A98" s="2" t="s">
        <v>3212</v>
      </c>
      <c r="B98" s="5" t="s">
        <v>6825</v>
      </c>
      <c r="C98" s="7" t="s">
        <v>12556</v>
      </c>
      <c r="D98" s="8">
        <f t="shared" si="8"/>
        <v>1</v>
      </c>
      <c r="E98" s="7" t="s">
        <v>12557</v>
      </c>
      <c r="F98" s="7">
        <f t="shared" si="9"/>
        <v>0</v>
      </c>
      <c r="G98" s="7" t="s">
        <v>12558</v>
      </c>
      <c r="H98" s="7">
        <f t="shared" si="10"/>
        <v>0</v>
      </c>
      <c r="I98" s="7" t="str" cm="1">
        <f t="array" ref="I98">IFERROR(_xlfn.IFS(M98="נח",1,M98="נע ונח",1,M98="שני שווא נח",2,M98="שני שוואים בסוף מילה",2,M98="שני שוואים ברצף",1),"0")</f>
        <v>0</v>
      </c>
      <c r="J98" s="9">
        <f t="shared" si="11"/>
        <v>2</v>
      </c>
      <c r="K98" t="s">
        <v>6698</v>
      </c>
      <c r="L98" t="s">
        <v>6695</v>
      </c>
      <c r="P98" t="s">
        <v>6694</v>
      </c>
      <c r="S98" t="s">
        <v>6694</v>
      </c>
      <c r="W98" t="s">
        <v>6720</v>
      </c>
    </row>
    <row r="99" spans="1:23" ht="15.6" x14ac:dyDescent="0.4">
      <c r="A99" s="2" t="s">
        <v>91</v>
      </c>
      <c r="B99" s="5" t="s">
        <v>6826</v>
      </c>
      <c r="C99" s="7" t="s">
        <v>12556</v>
      </c>
      <c r="D99" s="8">
        <f t="shared" si="8"/>
        <v>0</v>
      </c>
      <c r="E99" s="7" t="s">
        <v>12557</v>
      </c>
      <c r="F99" s="7">
        <f t="shared" si="9"/>
        <v>0</v>
      </c>
      <c r="G99" s="7" t="s">
        <v>12558</v>
      </c>
      <c r="H99" s="7">
        <f t="shared" si="10"/>
        <v>0</v>
      </c>
      <c r="I99" s="7" t="str" cm="1">
        <f t="array" ref="I99">IFERROR(_xlfn.IFS(M99="נח",1,M99="נע ונח",1,M99="שני שווא נח",2,M99="שני שוואים בסוף מילה",2,M99="שני שוואים ברצף",1),"0")</f>
        <v>0</v>
      </c>
      <c r="J99" s="9">
        <f t="shared" si="11"/>
        <v>1</v>
      </c>
      <c r="K99" t="s">
        <v>6698</v>
      </c>
      <c r="L99" t="s">
        <v>6695</v>
      </c>
      <c r="S99" t="s">
        <v>6694</v>
      </c>
      <c r="W99" t="s">
        <v>6720</v>
      </c>
    </row>
    <row r="100" spans="1:23" ht="15.6" x14ac:dyDescent="0.4">
      <c r="A100" s="2" t="s">
        <v>1508</v>
      </c>
      <c r="B100" s="5" t="s">
        <v>6790</v>
      </c>
      <c r="C100" s="7" t="s">
        <v>12556</v>
      </c>
      <c r="D100" s="8">
        <f t="shared" si="8"/>
        <v>0</v>
      </c>
      <c r="E100" s="7" t="s">
        <v>12557</v>
      </c>
      <c r="F100" s="7">
        <f t="shared" si="9"/>
        <v>0</v>
      </c>
      <c r="G100" s="7" t="s">
        <v>12558</v>
      </c>
      <c r="H100" s="7">
        <f t="shared" si="10"/>
        <v>0</v>
      </c>
      <c r="I100" s="7" cm="1">
        <f t="array" ref="I100">IFERROR(_xlfn.IFS(M100="נח",1,M100="נע ונח",1,M100="שני שווא נח",2,M100="שני שוואים בסוף מילה",2,M100="שני שוואים ברצף",1),"0")</f>
        <v>1</v>
      </c>
      <c r="J100" s="9">
        <f t="shared" si="11"/>
        <v>2</v>
      </c>
      <c r="K100" t="s">
        <v>6698</v>
      </c>
      <c r="L100" t="s">
        <v>6694</v>
      </c>
      <c r="M100" t="s">
        <v>6705</v>
      </c>
      <c r="Q100" t="s">
        <v>6694</v>
      </c>
      <c r="S100" t="s">
        <v>6694</v>
      </c>
      <c r="W100" t="s">
        <v>6720</v>
      </c>
    </row>
    <row r="101" spans="1:23" ht="15.6" x14ac:dyDescent="0.4">
      <c r="A101" s="2" t="s">
        <v>1661</v>
      </c>
      <c r="B101" s="5" t="s">
        <v>6827</v>
      </c>
      <c r="C101" s="7" t="s">
        <v>12556</v>
      </c>
      <c r="D101" s="8">
        <f t="shared" si="8"/>
        <v>0</v>
      </c>
      <c r="E101" s="7" t="s">
        <v>12557</v>
      </c>
      <c r="F101" s="7">
        <f t="shared" si="9"/>
        <v>0</v>
      </c>
      <c r="G101" s="7" t="s">
        <v>12558</v>
      </c>
      <c r="H101" s="7">
        <f t="shared" si="10"/>
        <v>0</v>
      </c>
      <c r="I101" s="7" cm="1">
        <f t="array" ref="I101">IFERROR(_xlfn.IFS(M101="נח",1,M101="נע ונח",1,M101="שני שווא נח",2,M101="שני שוואים בסוף מילה",2,M101="שני שוואים ברצף",1),"0")</f>
        <v>1</v>
      </c>
      <c r="J101" s="9">
        <f t="shared" si="11"/>
        <v>2</v>
      </c>
      <c r="K101" t="s">
        <v>6698</v>
      </c>
      <c r="L101" t="s">
        <v>6694</v>
      </c>
      <c r="M101" t="s">
        <v>6705</v>
      </c>
      <c r="P101" t="s">
        <v>6694</v>
      </c>
      <c r="S101" t="s">
        <v>6694</v>
      </c>
      <c r="W101" t="s">
        <v>6720</v>
      </c>
    </row>
    <row r="102" spans="1:23" ht="15.6" x14ac:dyDescent="0.4">
      <c r="A102" s="2" t="s">
        <v>237</v>
      </c>
      <c r="B102" s="5" t="s">
        <v>6828</v>
      </c>
      <c r="C102" s="7" t="s">
        <v>12556</v>
      </c>
      <c r="D102" s="8">
        <f t="shared" si="8"/>
        <v>0</v>
      </c>
      <c r="E102" s="7" t="s">
        <v>12557</v>
      </c>
      <c r="F102" s="7">
        <f t="shared" si="9"/>
        <v>0</v>
      </c>
      <c r="G102" s="7" t="s">
        <v>12558</v>
      </c>
      <c r="H102" s="7">
        <f t="shared" si="10"/>
        <v>0</v>
      </c>
      <c r="I102" s="7" cm="1">
        <f t="array" ref="I102">IFERROR(_xlfn.IFS(M102="נח",1,M102="נע ונח",1,M102="שני שווא נח",2,M102="שני שוואים בסוף מילה",2,M102="שני שוואים ברצף",1),"0")</f>
        <v>1</v>
      </c>
      <c r="J102" s="9">
        <f t="shared" si="11"/>
        <v>4</v>
      </c>
      <c r="K102" t="s">
        <v>6697</v>
      </c>
      <c r="L102" t="s">
        <v>6694</v>
      </c>
      <c r="M102" t="s">
        <v>6705</v>
      </c>
      <c r="O102" t="s">
        <v>6694</v>
      </c>
      <c r="R102" t="s">
        <v>6694</v>
      </c>
      <c r="S102" t="s">
        <v>6694</v>
      </c>
      <c r="W102" t="s">
        <v>6720</v>
      </c>
    </row>
    <row r="103" spans="1:23" ht="15.6" x14ac:dyDescent="0.4">
      <c r="A103" s="2" t="s">
        <v>1383</v>
      </c>
      <c r="B103" s="5" t="s">
        <v>6829</v>
      </c>
      <c r="C103" s="7" t="s">
        <v>12556</v>
      </c>
      <c r="D103" s="8">
        <f t="shared" si="8"/>
        <v>0</v>
      </c>
      <c r="E103" s="7" t="s">
        <v>12557</v>
      </c>
      <c r="F103" s="7">
        <f t="shared" si="9"/>
        <v>0</v>
      </c>
      <c r="G103" s="7" t="s">
        <v>12558</v>
      </c>
      <c r="H103" s="7">
        <f t="shared" si="10"/>
        <v>0</v>
      </c>
      <c r="I103" s="7" cm="1">
        <f t="array" ref="I103">IFERROR(_xlfn.IFS(M103="נח",1,M103="נע ונח",1,M103="שני שווא נח",2,M103="שני שוואים בסוף מילה",2,M103="שני שוואים ברצף",1),"0")</f>
        <v>1</v>
      </c>
      <c r="J103" s="9">
        <f t="shared" si="11"/>
        <v>3</v>
      </c>
      <c r="K103" t="s">
        <v>6697</v>
      </c>
      <c r="L103" t="s">
        <v>6694</v>
      </c>
      <c r="M103" t="s">
        <v>6705</v>
      </c>
      <c r="O103" t="s">
        <v>6694</v>
      </c>
      <c r="S103" t="s">
        <v>6694</v>
      </c>
      <c r="V103" t="s">
        <v>6694</v>
      </c>
      <c r="W103" t="s">
        <v>6720</v>
      </c>
    </row>
    <row r="104" spans="1:23" ht="15.6" x14ac:dyDescent="0.4">
      <c r="A104" s="2" t="s">
        <v>4418</v>
      </c>
      <c r="B104" s="5" t="s">
        <v>6830</v>
      </c>
      <c r="C104" s="7" t="s">
        <v>12556</v>
      </c>
      <c r="D104" s="8">
        <f t="shared" si="8"/>
        <v>0</v>
      </c>
      <c r="E104" s="7" t="s">
        <v>12557</v>
      </c>
      <c r="F104" s="7">
        <f t="shared" si="9"/>
        <v>1</v>
      </c>
      <c r="G104" s="7" t="s">
        <v>12558</v>
      </c>
      <c r="H104" s="7">
        <f t="shared" si="10"/>
        <v>1</v>
      </c>
      <c r="I104" s="7" cm="1">
        <f t="array" ref="I104">IFERROR(_xlfn.IFS(M104="נח",1,M104="נע ונח",1,M104="שני שווא נח",2,M104="שני שוואים בסוף מילה",2,M104="שני שוואים ברצף",1),"0")</f>
        <v>1</v>
      </c>
      <c r="J104" s="9">
        <f t="shared" si="11"/>
        <v>2</v>
      </c>
      <c r="K104" t="s">
        <v>6697</v>
      </c>
      <c r="L104" t="s">
        <v>6694</v>
      </c>
      <c r="M104" t="s">
        <v>6705</v>
      </c>
      <c r="S104" t="s">
        <v>6694</v>
      </c>
      <c r="U104" t="s">
        <v>6694</v>
      </c>
      <c r="W104" t="s">
        <v>6720</v>
      </c>
    </row>
    <row r="105" spans="1:23" ht="15.6" x14ac:dyDescent="0.4">
      <c r="A105" s="2" t="s">
        <v>1830</v>
      </c>
      <c r="B105" s="5" t="s">
        <v>6791</v>
      </c>
      <c r="C105" s="7" t="s">
        <v>12556</v>
      </c>
      <c r="D105" s="8">
        <f t="shared" si="8"/>
        <v>0</v>
      </c>
      <c r="E105" s="7" t="s">
        <v>12557</v>
      </c>
      <c r="F105" s="7">
        <f t="shared" si="9"/>
        <v>0</v>
      </c>
      <c r="G105" s="7" t="s">
        <v>12558</v>
      </c>
      <c r="H105" s="7">
        <f t="shared" si="10"/>
        <v>0</v>
      </c>
      <c r="I105" s="7" t="str" cm="1">
        <f t="array" ref="I105">IFERROR(_xlfn.IFS(M105="נח",1,M105="נע ונח",1,M105="שני שווא נח",2,M105="שני שוואים בסוף מילה",2,M105="שני שוואים ברצף",1),"0")</f>
        <v>0</v>
      </c>
      <c r="J105" s="9">
        <f t="shared" si="11"/>
        <v>3</v>
      </c>
      <c r="K105" t="s">
        <v>6698</v>
      </c>
      <c r="L105" t="s">
        <v>6695</v>
      </c>
      <c r="P105" t="s">
        <v>6694</v>
      </c>
      <c r="S105" t="s">
        <v>6694</v>
      </c>
      <c r="V105" t="s">
        <v>6694</v>
      </c>
      <c r="W105" t="s">
        <v>6720</v>
      </c>
    </row>
    <row r="106" spans="1:23" ht="15.6" x14ac:dyDescent="0.4">
      <c r="A106" s="2" t="s">
        <v>5337</v>
      </c>
      <c r="B106" s="5" t="s">
        <v>6831</v>
      </c>
      <c r="C106" s="7" t="s">
        <v>12556</v>
      </c>
      <c r="D106" s="8">
        <f t="shared" si="8"/>
        <v>0</v>
      </c>
      <c r="E106" s="7" t="s">
        <v>12557</v>
      </c>
      <c r="F106" s="7">
        <f t="shared" si="9"/>
        <v>1</v>
      </c>
      <c r="G106" s="7" t="s">
        <v>12558</v>
      </c>
      <c r="H106" s="7">
        <f t="shared" si="10"/>
        <v>0</v>
      </c>
      <c r="I106" s="7" cm="1">
        <f t="array" ref="I106">IFERROR(_xlfn.IFS(M106="נח",1,M106="נע ונח",1,M106="שני שווא נח",2,M106="שני שוואים בסוף מילה",2,M106="שני שוואים ברצף",1),"0")</f>
        <v>1</v>
      </c>
      <c r="J106" s="9">
        <f t="shared" si="11"/>
        <v>2</v>
      </c>
      <c r="K106" t="s">
        <v>6697</v>
      </c>
      <c r="L106" t="s">
        <v>6694</v>
      </c>
      <c r="M106" t="s">
        <v>6705</v>
      </c>
      <c r="O106" t="s">
        <v>6694</v>
      </c>
      <c r="S106" t="s">
        <v>6694</v>
      </c>
      <c r="W106" t="s">
        <v>6720</v>
      </c>
    </row>
    <row r="107" spans="1:23" ht="15.6" x14ac:dyDescent="0.4">
      <c r="A107" s="2" t="s">
        <v>477</v>
      </c>
      <c r="B107" s="5" t="s">
        <v>6832</v>
      </c>
      <c r="C107" s="7" t="s">
        <v>12556</v>
      </c>
      <c r="D107" s="8">
        <f t="shared" si="8"/>
        <v>0</v>
      </c>
      <c r="E107" s="7" t="s">
        <v>12557</v>
      </c>
      <c r="F107" s="7">
        <f t="shared" si="9"/>
        <v>1</v>
      </c>
      <c r="G107" s="7" t="s">
        <v>12558</v>
      </c>
      <c r="H107" s="7">
        <f t="shared" si="10"/>
        <v>0</v>
      </c>
      <c r="I107" s="7" t="str" cm="1">
        <f t="array" ref="I107">IFERROR(_xlfn.IFS(M107="נח",1,M107="נע ונח",1,M107="שני שווא נח",2,M107="שני שוואים בסוף מילה",2,M107="שני שוואים ברצף",1),"0")</f>
        <v>0</v>
      </c>
      <c r="J107" s="9">
        <f t="shared" si="11"/>
        <v>2</v>
      </c>
      <c r="K107" t="s">
        <v>6697</v>
      </c>
      <c r="L107" t="s">
        <v>6695</v>
      </c>
      <c r="S107" t="s">
        <v>6694</v>
      </c>
      <c r="W107" t="s">
        <v>6720</v>
      </c>
    </row>
    <row r="108" spans="1:23" ht="15.6" x14ac:dyDescent="0.4">
      <c r="A108" s="2" t="s">
        <v>4833</v>
      </c>
      <c r="B108" s="5" t="s">
        <v>6833</v>
      </c>
      <c r="C108" s="7" t="s">
        <v>12556</v>
      </c>
      <c r="D108" s="8">
        <f t="shared" si="8"/>
        <v>0</v>
      </c>
      <c r="E108" s="7" t="s">
        <v>12557</v>
      </c>
      <c r="F108" s="7">
        <f t="shared" si="9"/>
        <v>2</v>
      </c>
      <c r="G108" s="7" t="s">
        <v>12558</v>
      </c>
      <c r="H108" s="7">
        <f t="shared" si="10"/>
        <v>0</v>
      </c>
      <c r="I108" s="7" cm="1">
        <f t="array" ref="I108">IFERROR(_xlfn.IFS(M108="נח",1,M108="נע ונח",1,M108="שני שווא נח",2,M108="שני שוואים בסוף מילה",2,M108="שני שוואים ברצף",1),"0")</f>
        <v>1</v>
      </c>
      <c r="J108" s="9">
        <f t="shared" si="11"/>
        <v>3</v>
      </c>
      <c r="K108" t="s">
        <v>6698</v>
      </c>
      <c r="L108" t="s">
        <v>6694</v>
      </c>
      <c r="M108" t="s">
        <v>6705</v>
      </c>
      <c r="O108" t="s">
        <v>6694</v>
      </c>
      <c r="P108" t="s">
        <v>6694</v>
      </c>
      <c r="S108" t="s">
        <v>6694</v>
      </c>
      <c r="W108" t="s">
        <v>6720</v>
      </c>
    </row>
    <row r="109" spans="1:23" ht="15.6" x14ac:dyDescent="0.4">
      <c r="A109" s="2" t="s">
        <v>4829</v>
      </c>
      <c r="B109" s="5" t="s">
        <v>6834</v>
      </c>
      <c r="C109" s="7" t="s">
        <v>12556</v>
      </c>
      <c r="D109" s="8">
        <f t="shared" si="8"/>
        <v>0</v>
      </c>
      <c r="E109" s="7" t="s">
        <v>12557</v>
      </c>
      <c r="F109" s="7">
        <f t="shared" si="9"/>
        <v>2</v>
      </c>
      <c r="G109" s="7" t="s">
        <v>12558</v>
      </c>
      <c r="H109" s="7">
        <f t="shared" si="10"/>
        <v>0</v>
      </c>
      <c r="I109" s="7" cm="1">
        <f t="array" ref="I109">IFERROR(_xlfn.IFS(M109="נח",1,M109="נע ונח",1,M109="שני שווא נח",2,M109="שני שוואים בסוף מילה",2,M109="שני שוואים ברצף",1),"0")</f>
        <v>1</v>
      </c>
      <c r="J109" s="9">
        <f t="shared" si="11"/>
        <v>3</v>
      </c>
      <c r="K109" t="s">
        <v>6697</v>
      </c>
      <c r="L109" t="s">
        <v>6694</v>
      </c>
      <c r="M109" t="s">
        <v>6705</v>
      </c>
      <c r="O109" t="s">
        <v>6694</v>
      </c>
      <c r="P109" t="s">
        <v>6694</v>
      </c>
      <c r="S109" t="s">
        <v>6694</v>
      </c>
      <c r="W109" t="s">
        <v>6720</v>
      </c>
    </row>
    <row r="110" spans="1:23" ht="15.6" x14ac:dyDescent="0.4">
      <c r="A110" s="2" t="s">
        <v>4981</v>
      </c>
      <c r="B110" s="5" t="s">
        <v>6835</v>
      </c>
      <c r="C110" s="7" t="s">
        <v>12556</v>
      </c>
      <c r="D110" s="8">
        <f t="shared" si="8"/>
        <v>0</v>
      </c>
      <c r="E110" s="7" t="s">
        <v>12557</v>
      </c>
      <c r="F110" s="7">
        <f t="shared" si="9"/>
        <v>1</v>
      </c>
      <c r="G110" s="7" t="s">
        <v>12558</v>
      </c>
      <c r="H110" s="7">
        <f t="shared" si="10"/>
        <v>0</v>
      </c>
      <c r="I110" s="7" t="str" cm="1">
        <f t="array" ref="I110">IFERROR(_xlfn.IFS(M110="נח",1,M110="נע ונח",1,M110="שני שווא נח",2,M110="שני שוואים בסוף מילה",2,M110="שני שוואים ברצף",1),"0")</f>
        <v>0</v>
      </c>
      <c r="J110" s="9">
        <f t="shared" si="11"/>
        <v>2</v>
      </c>
      <c r="K110" t="s">
        <v>6697</v>
      </c>
      <c r="L110" t="s">
        <v>6695</v>
      </c>
      <c r="S110" t="s">
        <v>6694</v>
      </c>
      <c r="V110" t="s">
        <v>6694</v>
      </c>
      <c r="W110" t="s">
        <v>6720</v>
      </c>
    </row>
    <row r="111" spans="1:23" ht="15.6" x14ac:dyDescent="0.4">
      <c r="A111" s="2" t="s">
        <v>4607</v>
      </c>
      <c r="B111" s="5" t="s">
        <v>6836</v>
      </c>
      <c r="C111" s="7" t="s">
        <v>12556</v>
      </c>
      <c r="D111" s="8">
        <f t="shared" si="8"/>
        <v>0</v>
      </c>
      <c r="E111" s="7" t="s">
        <v>12557</v>
      </c>
      <c r="F111" s="7">
        <f t="shared" si="9"/>
        <v>1</v>
      </c>
      <c r="G111" s="7" t="s">
        <v>12558</v>
      </c>
      <c r="H111" s="7">
        <f t="shared" si="10"/>
        <v>0</v>
      </c>
      <c r="I111" s="7" cm="1">
        <f t="array" ref="I111">IFERROR(_xlfn.IFS(M111="נח",1,M111="נע ונח",1,M111="שני שווא נח",2,M111="שני שוואים בסוף מילה",2,M111="שני שוואים ברצף",1),"0")</f>
        <v>1</v>
      </c>
      <c r="J111" s="9">
        <f t="shared" si="11"/>
        <v>3</v>
      </c>
      <c r="K111" t="s">
        <v>6697</v>
      </c>
      <c r="L111" t="s">
        <v>6694</v>
      </c>
      <c r="M111" t="s">
        <v>6705</v>
      </c>
      <c r="N111" t="s">
        <v>6706</v>
      </c>
      <c r="O111" t="s">
        <v>6694</v>
      </c>
      <c r="S111" t="s">
        <v>6694</v>
      </c>
      <c r="W111" t="s">
        <v>6720</v>
      </c>
    </row>
    <row r="112" spans="1:23" ht="15.6" x14ac:dyDescent="0.4">
      <c r="A112" s="2" t="s">
        <v>5299</v>
      </c>
      <c r="B112" s="5" t="s">
        <v>6837</v>
      </c>
      <c r="C112" s="7" t="s">
        <v>12556</v>
      </c>
      <c r="D112" s="8">
        <f t="shared" si="8"/>
        <v>0</v>
      </c>
      <c r="E112" s="7" t="s">
        <v>12557</v>
      </c>
      <c r="F112" s="7">
        <f t="shared" si="9"/>
        <v>1</v>
      </c>
      <c r="G112" s="7" t="s">
        <v>12558</v>
      </c>
      <c r="H112" s="7">
        <f t="shared" si="10"/>
        <v>1</v>
      </c>
      <c r="I112" s="7" cm="1">
        <f t="array" ref="I112">IFERROR(_xlfn.IFS(M112="נח",1,M112="נע ונח",1,M112="שני שווא נח",2,M112="שני שוואים בסוף מילה",2,M112="שני שוואים ברצף",1),"0")</f>
        <v>1</v>
      </c>
      <c r="J112" s="9">
        <f t="shared" si="11"/>
        <v>2</v>
      </c>
      <c r="K112" t="s">
        <v>6697</v>
      </c>
      <c r="L112" t="s">
        <v>6694</v>
      </c>
      <c r="M112" t="s">
        <v>6705</v>
      </c>
      <c r="S112" t="s">
        <v>6694</v>
      </c>
      <c r="U112" t="s">
        <v>6694</v>
      </c>
      <c r="W112" t="s">
        <v>6720</v>
      </c>
    </row>
    <row r="113" spans="1:23" ht="15.6" x14ac:dyDescent="0.4">
      <c r="A113" s="2" t="s">
        <v>1758</v>
      </c>
      <c r="B113" s="5" t="s">
        <v>6838</v>
      </c>
      <c r="C113" s="7" t="s">
        <v>12556</v>
      </c>
      <c r="D113" s="8">
        <f t="shared" si="8"/>
        <v>0</v>
      </c>
      <c r="E113" s="7" t="s">
        <v>12557</v>
      </c>
      <c r="F113" s="7">
        <f t="shared" si="9"/>
        <v>1</v>
      </c>
      <c r="G113" s="7" t="s">
        <v>12558</v>
      </c>
      <c r="H113" s="7">
        <f t="shared" si="10"/>
        <v>1</v>
      </c>
      <c r="I113" s="7" cm="1">
        <f t="array" ref="I113">IFERROR(_xlfn.IFS(M113="נח",1,M113="נע ונח",1,M113="שני שווא נח",2,M113="שני שוואים בסוף מילה",2,M113="שני שוואים ברצף",1),"0")</f>
        <v>1</v>
      </c>
      <c r="J113" s="9">
        <f t="shared" si="11"/>
        <v>2</v>
      </c>
      <c r="K113" t="s">
        <v>6697</v>
      </c>
      <c r="L113" t="s">
        <v>6694</v>
      </c>
      <c r="M113" t="s">
        <v>6705</v>
      </c>
      <c r="S113" t="s">
        <v>6694</v>
      </c>
      <c r="U113" t="s">
        <v>6694</v>
      </c>
      <c r="W113" t="s">
        <v>6720</v>
      </c>
    </row>
    <row r="114" spans="1:23" ht="15.6" x14ac:dyDescent="0.4">
      <c r="A114" s="2" t="s">
        <v>2742</v>
      </c>
      <c r="B114" s="5" t="s">
        <v>6839</v>
      </c>
      <c r="C114" s="7" t="s">
        <v>12556</v>
      </c>
      <c r="D114" s="8">
        <f t="shared" si="8"/>
        <v>0</v>
      </c>
      <c r="E114" s="7" t="s">
        <v>12557</v>
      </c>
      <c r="F114" s="7">
        <f t="shared" si="9"/>
        <v>1</v>
      </c>
      <c r="G114" s="7" t="s">
        <v>12558</v>
      </c>
      <c r="H114" s="7">
        <f t="shared" si="10"/>
        <v>0</v>
      </c>
      <c r="I114" s="7" t="str" cm="1">
        <f t="array" ref="I114">IFERROR(_xlfn.IFS(M114="נח",1,M114="נע ונח",1,M114="שני שווא נח",2,M114="שני שוואים בסוף מילה",2,M114="שני שוואים ברצף",1),"0")</f>
        <v>0</v>
      </c>
      <c r="J114" s="9">
        <f t="shared" si="11"/>
        <v>2</v>
      </c>
      <c r="K114" t="s">
        <v>6697</v>
      </c>
      <c r="L114" t="s">
        <v>6695</v>
      </c>
      <c r="S114" t="s">
        <v>6694</v>
      </c>
      <c r="W114" t="s">
        <v>6720</v>
      </c>
    </row>
    <row r="115" spans="1:23" ht="15.6" x14ac:dyDescent="0.4">
      <c r="A115" s="2" t="s">
        <v>1820</v>
      </c>
      <c r="B115" s="5" t="s">
        <v>6840</v>
      </c>
      <c r="C115" s="7" t="s">
        <v>12556</v>
      </c>
      <c r="D115" s="8">
        <f t="shared" si="8"/>
        <v>0</v>
      </c>
      <c r="E115" s="7" t="s">
        <v>12557</v>
      </c>
      <c r="F115" s="7">
        <f t="shared" si="9"/>
        <v>2</v>
      </c>
      <c r="G115" s="7" t="s">
        <v>12558</v>
      </c>
      <c r="H115" s="7">
        <f t="shared" si="10"/>
        <v>1</v>
      </c>
      <c r="I115" s="7" t="str" cm="1">
        <f t="array" ref="I115">IFERROR(_xlfn.IFS(M115="נח",1,M115="נע ונח",1,M115="שני שווא נח",2,M115="שני שוואים בסוף מילה",2,M115="שני שוואים ברצף",1),"0")</f>
        <v>0</v>
      </c>
      <c r="J115" s="9">
        <f t="shared" si="11"/>
        <v>3</v>
      </c>
      <c r="K115" t="s">
        <v>6697</v>
      </c>
      <c r="L115" t="s">
        <v>6695</v>
      </c>
      <c r="O115" t="s">
        <v>6694</v>
      </c>
      <c r="S115" t="s">
        <v>6694</v>
      </c>
      <c r="U115" t="s">
        <v>6694</v>
      </c>
      <c r="W115" t="s">
        <v>6720</v>
      </c>
    </row>
    <row r="116" spans="1:23" ht="15.6" x14ac:dyDescent="0.4">
      <c r="A116" s="2" t="s">
        <v>4003</v>
      </c>
      <c r="B116" s="5" t="s">
        <v>6841</v>
      </c>
      <c r="C116" s="7" t="s">
        <v>12556</v>
      </c>
      <c r="D116" s="8">
        <f t="shared" si="8"/>
        <v>0</v>
      </c>
      <c r="E116" s="7" t="s">
        <v>12557</v>
      </c>
      <c r="F116" s="7">
        <f t="shared" si="9"/>
        <v>0</v>
      </c>
      <c r="G116" s="7" t="s">
        <v>12558</v>
      </c>
      <c r="H116" s="7">
        <f t="shared" si="10"/>
        <v>0</v>
      </c>
      <c r="I116" s="7" t="str" cm="1">
        <f t="array" ref="I116">IFERROR(_xlfn.IFS(M116="נח",1,M116="נע ונח",1,M116="שני שווא נח",2,M116="שני שוואים בסוף מילה",2,M116="שני שוואים ברצף",1),"0")</f>
        <v>0</v>
      </c>
      <c r="J116" s="9">
        <f t="shared" si="11"/>
        <v>2</v>
      </c>
      <c r="K116" t="s">
        <v>6698</v>
      </c>
      <c r="L116" t="s">
        <v>6695</v>
      </c>
      <c r="Q116" t="s">
        <v>6694</v>
      </c>
      <c r="R116" t="s">
        <v>6694</v>
      </c>
      <c r="W116" t="s">
        <v>6720</v>
      </c>
    </row>
    <row r="117" spans="1:23" ht="15.6" x14ac:dyDescent="0.4">
      <c r="A117" s="2" t="s">
        <v>218</v>
      </c>
      <c r="B117" s="5" t="s">
        <v>6842</v>
      </c>
      <c r="C117" s="7" t="s">
        <v>12556</v>
      </c>
      <c r="D117" s="8">
        <f t="shared" si="8"/>
        <v>1</v>
      </c>
      <c r="E117" s="7" t="s">
        <v>12557</v>
      </c>
      <c r="F117" s="7">
        <f t="shared" si="9"/>
        <v>0</v>
      </c>
      <c r="G117" s="7" t="s">
        <v>12558</v>
      </c>
      <c r="H117" s="7">
        <f t="shared" si="10"/>
        <v>0</v>
      </c>
      <c r="I117" s="7" t="str" cm="1">
        <f t="array" ref="I117">IFERROR(_xlfn.IFS(M117="נח",1,M117="נע ונח",1,M117="שני שווא נח",2,M117="שני שוואים בסוף מילה",2,M117="שני שוואים ברצף",1),"0")</f>
        <v>0</v>
      </c>
      <c r="J117" s="9">
        <f t="shared" si="11"/>
        <v>2</v>
      </c>
      <c r="K117" t="s">
        <v>6698</v>
      </c>
      <c r="L117" t="s">
        <v>6695</v>
      </c>
      <c r="Q117" t="s">
        <v>6694</v>
      </c>
      <c r="V117" t="s">
        <v>6694</v>
      </c>
      <c r="W117" t="s">
        <v>6720</v>
      </c>
    </row>
    <row r="118" spans="1:23" ht="15.6" x14ac:dyDescent="0.4">
      <c r="A118" s="2" t="s">
        <v>451</v>
      </c>
      <c r="B118" s="5" t="s">
        <v>6843</v>
      </c>
      <c r="C118" s="7" t="s">
        <v>12556</v>
      </c>
      <c r="D118" s="8">
        <f t="shared" si="8"/>
        <v>1</v>
      </c>
      <c r="E118" s="7" t="s">
        <v>12557</v>
      </c>
      <c r="F118" s="7">
        <f t="shared" si="9"/>
        <v>0</v>
      </c>
      <c r="G118" s="7" t="s">
        <v>12558</v>
      </c>
      <c r="H118" s="7">
        <f t="shared" si="10"/>
        <v>0</v>
      </c>
      <c r="I118" s="7" t="str" cm="1">
        <f t="array" ref="I118">IFERROR(_xlfn.IFS(M118="נח",1,M118="נע ונח",1,M118="שני שווא נח",2,M118="שני שוואים בסוף מילה",2,M118="שני שוואים ברצף",1),"0")</f>
        <v>0</v>
      </c>
      <c r="J118" s="9">
        <f t="shared" si="11"/>
        <v>3</v>
      </c>
      <c r="K118" t="s">
        <v>6697</v>
      </c>
      <c r="L118" t="s">
        <v>6695</v>
      </c>
      <c r="O118" t="s">
        <v>6694</v>
      </c>
      <c r="Q118" t="s">
        <v>6694</v>
      </c>
      <c r="V118" t="s">
        <v>6694</v>
      </c>
      <c r="W118" t="s">
        <v>6720</v>
      </c>
    </row>
    <row r="119" spans="1:23" ht="15.6" x14ac:dyDescent="0.4">
      <c r="A119" s="2" t="s">
        <v>3452</v>
      </c>
      <c r="B119" s="5" t="s">
        <v>6844</v>
      </c>
      <c r="C119" s="7" t="s">
        <v>12556</v>
      </c>
      <c r="D119" s="8">
        <f t="shared" si="8"/>
        <v>0</v>
      </c>
      <c r="E119" s="7" t="s">
        <v>12557</v>
      </c>
      <c r="F119" s="7">
        <f t="shared" si="9"/>
        <v>0</v>
      </c>
      <c r="G119" s="7" t="s">
        <v>12558</v>
      </c>
      <c r="H119" s="7">
        <f t="shared" si="10"/>
        <v>0</v>
      </c>
      <c r="I119" s="7" cm="1">
        <f t="array" ref="I119">IFERROR(_xlfn.IFS(M119="נח",1,M119="נע ונח",1,M119="שני שווא נח",2,M119="שני שוואים בסוף מילה",2,M119="שני שוואים ברצף",1),"0")</f>
        <v>1</v>
      </c>
      <c r="J119" s="9">
        <f t="shared" si="11"/>
        <v>2</v>
      </c>
      <c r="K119" t="s">
        <v>6697</v>
      </c>
      <c r="L119" t="s">
        <v>6694</v>
      </c>
      <c r="M119" t="s">
        <v>6705</v>
      </c>
      <c r="O119" t="s">
        <v>6694</v>
      </c>
      <c r="Q119" t="s">
        <v>6694</v>
      </c>
      <c r="W119" t="s">
        <v>6720</v>
      </c>
    </row>
    <row r="120" spans="1:23" ht="15.6" x14ac:dyDescent="0.4">
      <c r="A120" s="2" t="s">
        <v>3882</v>
      </c>
      <c r="B120" s="5" t="s">
        <v>6845</v>
      </c>
      <c r="C120" s="7" t="s">
        <v>12556</v>
      </c>
      <c r="D120" s="8">
        <f t="shared" si="8"/>
        <v>0</v>
      </c>
      <c r="E120" s="7" t="s">
        <v>12557</v>
      </c>
      <c r="F120" s="7">
        <f t="shared" si="9"/>
        <v>0</v>
      </c>
      <c r="G120" s="7" t="s">
        <v>12558</v>
      </c>
      <c r="H120" s="7">
        <f t="shared" si="10"/>
        <v>0</v>
      </c>
      <c r="I120" s="7" t="str" cm="1">
        <f t="array" ref="I120">IFERROR(_xlfn.IFS(M120="נח",1,M120="נע ונח",1,M120="שני שווא נח",2,M120="שני שוואים בסוף מילה",2,M120="שני שוואים ברצף",1),"0")</f>
        <v>0</v>
      </c>
      <c r="J120" s="9">
        <f t="shared" si="11"/>
        <v>2</v>
      </c>
      <c r="K120" t="s">
        <v>6697</v>
      </c>
      <c r="L120" t="s">
        <v>6695</v>
      </c>
      <c r="O120" t="s">
        <v>6694</v>
      </c>
      <c r="Q120" t="s">
        <v>6694</v>
      </c>
      <c r="W120" t="s">
        <v>6720</v>
      </c>
    </row>
    <row r="121" spans="1:23" ht="15.6" x14ac:dyDescent="0.4">
      <c r="A121" s="2" t="s">
        <v>1977</v>
      </c>
      <c r="B121" s="5" t="s">
        <v>6846</v>
      </c>
      <c r="C121" s="7" t="s">
        <v>12556</v>
      </c>
      <c r="D121" s="8">
        <f t="shared" si="8"/>
        <v>0</v>
      </c>
      <c r="E121" s="7" t="s">
        <v>12557</v>
      </c>
      <c r="F121" s="7">
        <f t="shared" si="9"/>
        <v>0</v>
      </c>
      <c r="G121" s="7" t="s">
        <v>12558</v>
      </c>
      <c r="H121" s="7">
        <f t="shared" si="10"/>
        <v>0</v>
      </c>
      <c r="I121" s="7" t="str" cm="1">
        <f t="array" ref="I121">IFERROR(_xlfn.IFS(M121="נח",1,M121="נע ונח",1,M121="שני שווא נח",2,M121="שני שוואים בסוף מילה",2,M121="שני שוואים ברצף",1),"0")</f>
        <v>0</v>
      </c>
      <c r="J121" s="9">
        <f t="shared" si="11"/>
        <v>2</v>
      </c>
      <c r="K121" t="s">
        <v>6697</v>
      </c>
      <c r="L121" t="s">
        <v>6695</v>
      </c>
      <c r="Q121" t="s">
        <v>6694</v>
      </c>
      <c r="S121" t="s">
        <v>6694</v>
      </c>
      <c r="W121" t="s">
        <v>6720</v>
      </c>
    </row>
    <row r="122" spans="1:23" ht="15.6" x14ac:dyDescent="0.4">
      <c r="A122" s="2" t="s">
        <v>3199</v>
      </c>
      <c r="B122" s="5" t="s">
        <v>6847</v>
      </c>
      <c r="C122" s="7" t="s">
        <v>12556</v>
      </c>
      <c r="D122" s="8">
        <f t="shared" si="8"/>
        <v>0</v>
      </c>
      <c r="E122" s="7" t="s">
        <v>12557</v>
      </c>
      <c r="F122" s="7">
        <f t="shared" si="9"/>
        <v>0</v>
      </c>
      <c r="G122" s="7" t="s">
        <v>12558</v>
      </c>
      <c r="H122" s="7">
        <f t="shared" si="10"/>
        <v>0</v>
      </c>
      <c r="I122" s="7" cm="1">
        <f t="array" ref="I122">IFERROR(_xlfn.IFS(M122="נח",1,M122="נע ונח",1,M122="שני שווא נח",2,M122="שני שוואים בסוף מילה",2,M122="שני שוואים ברצף",1),"0")</f>
        <v>1</v>
      </c>
      <c r="J122" s="9">
        <f t="shared" si="11"/>
        <v>1</v>
      </c>
      <c r="K122" t="s">
        <v>6698</v>
      </c>
      <c r="L122" t="s">
        <v>6694</v>
      </c>
      <c r="M122" t="s">
        <v>6705</v>
      </c>
      <c r="Q122" t="s">
        <v>6694</v>
      </c>
      <c r="W122" t="s">
        <v>6720</v>
      </c>
    </row>
    <row r="123" spans="1:23" ht="15.6" x14ac:dyDescent="0.4">
      <c r="A123" s="2" t="s">
        <v>5409</v>
      </c>
      <c r="B123" s="5" t="s">
        <v>6848</v>
      </c>
      <c r="C123" s="7" t="s">
        <v>12556</v>
      </c>
      <c r="D123" s="8">
        <f t="shared" si="8"/>
        <v>0</v>
      </c>
      <c r="E123" s="7" t="s">
        <v>12557</v>
      </c>
      <c r="F123" s="7">
        <f t="shared" si="9"/>
        <v>0</v>
      </c>
      <c r="G123" s="7" t="s">
        <v>12558</v>
      </c>
      <c r="H123" s="7">
        <f t="shared" si="10"/>
        <v>0</v>
      </c>
      <c r="I123" s="7" t="str" cm="1">
        <f t="array" ref="I123">IFERROR(_xlfn.IFS(M123="נח",1,M123="נע ונח",1,M123="שני שווא נח",2,M123="שני שוואים בסוף מילה",2,M123="שני שוואים ברצף",1),"0")</f>
        <v>0</v>
      </c>
      <c r="J123" s="9">
        <f t="shared" si="11"/>
        <v>2</v>
      </c>
      <c r="K123" t="s">
        <v>6697</v>
      </c>
      <c r="L123" t="s">
        <v>6695</v>
      </c>
      <c r="O123" t="s">
        <v>6694</v>
      </c>
      <c r="Q123" t="s">
        <v>6694</v>
      </c>
      <c r="W123" t="s">
        <v>6720</v>
      </c>
    </row>
    <row r="124" spans="1:23" ht="15.6" x14ac:dyDescent="0.4">
      <c r="A124" s="2" t="s">
        <v>4455</v>
      </c>
      <c r="B124" s="5" t="s">
        <v>6849</v>
      </c>
      <c r="C124" s="7" t="s">
        <v>12556</v>
      </c>
      <c r="D124" s="8">
        <f t="shared" si="8"/>
        <v>0</v>
      </c>
      <c r="E124" s="7" t="s">
        <v>12557</v>
      </c>
      <c r="F124" s="7">
        <f t="shared" si="9"/>
        <v>0</v>
      </c>
      <c r="G124" s="7" t="s">
        <v>12558</v>
      </c>
      <c r="H124" s="7">
        <f t="shared" si="10"/>
        <v>0</v>
      </c>
      <c r="I124" s="7" t="str" cm="1">
        <f t="array" ref="I124">IFERROR(_xlfn.IFS(M124="נח",1,M124="נע ונח",1,M124="שני שווא נח",2,M124="שני שוואים בסוף מילה",2,M124="שני שוואים ברצף",1),"0")</f>
        <v>0</v>
      </c>
      <c r="J124" s="9">
        <f t="shared" si="11"/>
        <v>2</v>
      </c>
      <c r="K124" t="s">
        <v>6698</v>
      </c>
      <c r="L124" t="s">
        <v>6695</v>
      </c>
      <c r="Q124" t="s">
        <v>6694</v>
      </c>
      <c r="S124" t="s">
        <v>6694</v>
      </c>
      <c r="W124" t="s">
        <v>6720</v>
      </c>
    </row>
    <row r="125" spans="1:23" ht="15.6" x14ac:dyDescent="0.4">
      <c r="A125" s="2" t="s">
        <v>162</v>
      </c>
      <c r="B125" s="5" t="s">
        <v>6695</v>
      </c>
      <c r="C125" s="7" t="s">
        <v>12556</v>
      </c>
      <c r="D125" s="8">
        <f t="shared" si="8"/>
        <v>0</v>
      </c>
      <c r="E125" s="7" t="s">
        <v>12557</v>
      </c>
      <c r="F125" s="7">
        <f t="shared" si="9"/>
        <v>0</v>
      </c>
      <c r="G125" s="7" t="s">
        <v>12558</v>
      </c>
      <c r="H125" s="7">
        <f t="shared" si="10"/>
        <v>0</v>
      </c>
      <c r="I125" s="7" t="str" cm="1">
        <f t="array" ref="I125">IFERROR(_xlfn.IFS(M125="נח",1,M125="נע ונח",1,M125="שני שווא נח",2,M125="שני שוואים בסוף מילה",2,M125="שני שוואים ברצף",1),"0")</f>
        <v>0</v>
      </c>
      <c r="J125" s="9">
        <f t="shared" si="11"/>
        <v>1</v>
      </c>
      <c r="K125" t="s">
        <v>6698</v>
      </c>
      <c r="L125" t="s">
        <v>6695</v>
      </c>
      <c r="Q125" t="s">
        <v>6694</v>
      </c>
      <c r="W125" t="s">
        <v>6720</v>
      </c>
    </row>
    <row r="126" spans="1:23" ht="15.6" x14ac:dyDescent="0.4">
      <c r="A126" s="2" t="s">
        <v>5392</v>
      </c>
      <c r="B126" s="5" t="s">
        <v>6850</v>
      </c>
      <c r="C126" s="7" t="s">
        <v>12556</v>
      </c>
      <c r="D126" s="8">
        <f t="shared" si="8"/>
        <v>0</v>
      </c>
      <c r="E126" s="7" t="s">
        <v>12557</v>
      </c>
      <c r="F126" s="7">
        <f t="shared" si="9"/>
        <v>0</v>
      </c>
      <c r="G126" s="7" t="s">
        <v>12558</v>
      </c>
      <c r="H126" s="7">
        <f t="shared" si="10"/>
        <v>0</v>
      </c>
      <c r="I126" s="7" t="str" cm="1">
        <f t="array" ref="I126">IFERROR(_xlfn.IFS(M126="נח",1,M126="נע ונח",1,M126="שני שווא נח",2,M126="שני שוואים בסוף מילה",2,M126="שני שוואים ברצף",1),"0")</f>
        <v>0</v>
      </c>
      <c r="J126" s="9">
        <f t="shared" si="11"/>
        <v>3</v>
      </c>
      <c r="K126" t="s">
        <v>6697</v>
      </c>
      <c r="L126" t="s">
        <v>6695</v>
      </c>
      <c r="Q126" t="s">
        <v>6694</v>
      </c>
      <c r="V126" t="s">
        <v>6694</v>
      </c>
      <c r="W126" t="s">
        <v>6720</v>
      </c>
    </row>
    <row r="127" spans="1:23" ht="15.6" x14ac:dyDescent="0.4">
      <c r="A127" s="2" t="s">
        <v>1504</v>
      </c>
      <c r="B127" s="5" t="s">
        <v>6851</v>
      </c>
      <c r="C127" s="7" t="s">
        <v>12556</v>
      </c>
      <c r="D127" s="8">
        <f t="shared" si="8"/>
        <v>0</v>
      </c>
      <c r="E127" s="7" t="s">
        <v>12557</v>
      </c>
      <c r="F127" s="7">
        <f t="shared" si="9"/>
        <v>0</v>
      </c>
      <c r="G127" s="7" t="s">
        <v>12558</v>
      </c>
      <c r="H127" s="7">
        <f t="shared" si="10"/>
        <v>0</v>
      </c>
      <c r="I127" s="7" t="str" cm="1">
        <f t="array" ref="I127">IFERROR(_xlfn.IFS(M127="נח",1,M127="נע ונח",1,M127="שני שווא נח",2,M127="שני שוואים בסוף מילה",2,M127="שני שוואים ברצף",1),"0")</f>
        <v>0</v>
      </c>
      <c r="J127" s="9">
        <f t="shared" si="11"/>
        <v>2</v>
      </c>
      <c r="K127" t="s">
        <v>6698</v>
      </c>
      <c r="L127" t="s">
        <v>6695</v>
      </c>
      <c r="N127" t="s">
        <v>6706</v>
      </c>
      <c r="O127" t="s">
        <v>6694</v>
      </c>
      <c r="Q127" t="s">
        <v>6694</v>
      </c>
      <c r="W127" t="s">
        <v>6720</v>
      </c>
    </row>
    <row r="128" spans="1:23" ht="15.6" x14ac:dyDescent="0.4">
      <c r="A128" s="2" t="s">
        <v>6651</v>
      </c>
      <c r="B128" s="5" t="s">
        <v>6852</v>
      </c>
      <c r="C128" s="7" t="s">
        <v>12556</v>
      </c>
      <c r="D128" s="8">
        <f t="shared" si="8"/>
        <v>0</v>
      </c>
      <c r="E128" s="7" t="s">
        <v>12557</v>
      </c>
      <c r="F128" s="7">
        <f t="shared" si="9"/>
        <v>0</v>
      </c>
      <c r="G128" s="7" t="s">
        <v>12558</v>
      </c>
      <c r="H128" s="7">
        <f t="shared" si="10"/>
        <v>0</v>
      </c>
      <c r="I128" s="7" t="str" cm="1">
        <f t="array" ref="I128">IFERROR(_xlfn.IFS(M128="נח",1,M128="נע ונח",1,M128="שני שווא נח",2,M128="שני שוואים בסוף מילה",2,M128="שני שוואים ברצף",1),"0")</f>
        <v>0</v>
      </c>
      <c r="J128" s="9">
        <f t="shared" si="11"/>
        <v>2</v>
      </c>
      <c r="K128" t="s">
        <v>6698</v>
      </c>
      <c r="L128" t="s">
        <v>6695</v>
      </c>
      <c r="N128" t="s">
        <v>6706</v>
      </c>
      <c r="O128" t="s">
        <v>6694</v>
      </c>
      <c r="Q128" t="s">
        <v>6694</v>
      </c>
      <c r="W128" t="s">
        <v>6720</v>
      </c>
    </row>
    <row r="129" spans="1:23" ht="15.6" x14ac:dyDescent="0.4">
      <c r="A129" s="2" t="s">
        <v>56</v>
      </c>
      <c r="B129" s="5" t="s">
        <v>6853</v>
      </c>
      <c r="C129" s="7" t="s">
        <v>12556</v>
      </c>
      <c r="D129" s="8">
        <f t="shared" si="8"/>
        <v>0</v>
      </c>
      <c r="E129" s="7" t="s">
        <v>12557</v>
      </c>
      <c r="F129" s="7">
        <f t="shared" si="9"/>
        <v>0</v>
      </c>
      <c r="G129" s="7" t="s">
        <v>12558</v>
      </c>
      <c r="H129" s="7">
        <f t="shared" si="10"/>
        <v>0</v>
      </c>
      <c r="I129" s="7" t="str" cm="1">
        <f t="array" ref="I129">IFERROR(_xlfn.IFS(M129="נח",1,M129="נע ונח",1,M129="שני שווא נח",2,M129="שני שוואים בסוף מילה",2,M129="שני שוואים ברצף",1),"0")</f>
        <v>0</v>
      </c>
      <c r="J129" s="9">
        <f t="shared" si="11"/>
        <v>1</v>
      </c>
      <c r="K129" t="s">
        <v>6698</v>
      </c>
      <c r="L129" t="s">
        <v>6695</v>
      </c>
      <c r="Q129" t="s">
        <v>6694</v>
      </c>
      <c r="W129" t="s">
        <v>6720</v>
      </c>
    </row>
    <row r="130" spans="1:23" ht="15.6" x14ac:dyDescent="0.4">
      <c r="A130" s="2" t="s">
        <v>1762</v>
      </c>
      <c r="B130" s="5" t="s">
        <v>6854</v>
      </c>
      <c r="C130" s="7" t="s">
        <v>12556</v>
      </c>
      <c r="D130" s="8">
        <f t="shared" si="8"/>
        <v>0</v>
      </c>
      <c r="E130" s="7" t="s">
        <v>12557</v>
      </c>
      <c r="F130" s="7">
        <f t="shared" si="9"/>
        <v>0</v>
      </c>
      <c r="G130" s="7" t="s">
        <v>12558</v>
      </c>
      <c r="H130" s="7">
        <f t="shared" si="10"/>
        <v>0</v>
      </c>
      <c r="I130" s="7" t="str" cm="1">
        <f t="array" ref="I130">IFERROR(_xlfn.IFS(M130="נח",1,M130="נע ונח",1,M130="שני שווא נח",2,M130="שני שוואים בסוף מילה",2,M130="שני שוואים ברצף",1),"0")</f>
        <v>0</v>
      </c>
      <c r="J130" s="9">
        <f t="shared" si="11"/>
        <v>2</v>
      </c>
      <c r="K130" t="s">
        <v>6697</v>
      </c>
      <c r="L130" t="s">
        <v>6695</v>
      </c>
      <c r="Q130" t="s">
        <v>6694</v>
      </c>
      <c r="S130" t="s">
        <v>6694</v>
      </c>
      <c r="W130" t="s">
        <v>6720</v>
      </c>
    </row>
    <row r="131" spans="1:23" ht="15.6" x14ac:dyDescent="0.4">
      <c r="A131" s="2" t="s">
        <v>5234</v>
      </c>
      <c r="B131" s="5" t="s">
        <v>6855</v>
      </c>
      <c r="C131" s="7" t="s">
        <v>12556</v>
      </c>
      <c r="D131" s="8">
        <f t="shared" ref="D131:D194" si="12">(LEN(B131)-LEN(SUBSTITUTE(B131,C131,"")))</f>
        <v>0</v>
      </c>
      <c r="E131" s="7" t="s">
        <v>12557</v>
      </c>
      <c r="F131" s="7">
        <f t="shared" ref="F131:F194" si="13">(LEN(A131)-LEN(SUBSTITUTE(A131,E131,"")))</f>
        <v>0</v>
      </c>
      <c r="G131" s="7" t="s">
        <v>12558</v>
      </c>
      <c r="H131" s="7">
        <f t="shared" ref="H131:H194" si="14">(LEN(A131)-LEN(SUBSTITUTE(A131,G131,"")))/2</f>
        <v>0</v>
      </c>
      <c r="I131" s="7" t="str" cm="1">
        <f t="array" ref="I131">IFERROR(_xlfn.IFS(M131="נח",1,M131="נע ונח",1,M131="שני שווא נח",2,M131="שני שוואים בסוף מילה",2,M131="שני שוואים ברצף",1),"0")</f>
        <v>0</v>
      </c>
      <c r="J131" s="9">
        <f t="shared" ref="J131:J194" si="15">LEN(A131)-(LEN(B131))-D131-F131+H131-I131</f>
        <v>2</v>
      </c>
      <c r="K131" t="s">
        <v>6698</v>
      </c>
      <c r="L131" t="s">
        <v>6695</v>
      </c>
      <c r="Q131" t="s">
        <v>6694</v>
      </c>
      <c r="S131" t="s">
        <v>6694</v>
      </c>
      <c r="W131" t="s">
        <v>6720</v>
      </c>
    </row>
    <row r="132" spans="1:23" ht="15.6" x14ac:dyDescent="0.4">
      <c r="A132" s="2" t="s">
        <v>2266</v>
      </c>
      <c r="B132" s="5" t="s">
        <v>6856</v>
      </c>
      <c r="C132" s="7" t="s">
        <v>12556</v>
      </c>
      <c r="D132" s="8">
        <f t="shared" si="12"/>
        <v>0</v>
      </c>
      <c r="E132" s="7" t="s">
        <v>12557</v>
      </c>
      <c r="F132" s="7">
        <f t="shared" si="13"/>
        <v>0</v>
      </c>
      <c r="G132" s="7" t="s">
        <v>12558</v>
      </c>
      <c r="H132" s="7">
        <f t="shared" si="14"/>
        <v>0</v>
      </c>
      <c r="I132" s="7" t="str" cm="1">
        <f t="array" ref="I132">IFERROR(_xlfn.IFS(M132="נח",1,M132="נע ונח",1,M132="שני שווא נח",2,M132="שני שוואים בסוף מילה",2,M132="שני שוואים ברצף",1),"0")</f>
        <v>0</v>
      </c>
      <c r="J132" s="9">
        <f t="shared" si="15"/>
        <v>3</v>
      </c>
      <c r="K132" t="s">
        <v>6697</v>
      </c>
      <c r="L132" t="s">
        <v>6695</v>
      </c>
      <c r="Q132" t="s">
        <v>6694</v>
      </c>
      <c r="V132" t="s">
        <v>6694</v>
      </c>
      <c r="W132" t="s">
        <v>6720</v>
      </c>
    </row>
    <row r="133" spans="1:23" ht="15.6" x14ac:dyDescent="0.4">
      <c r="A133" s="2" t="s">
        <v>3504</v>
      </c>
      <c r="B133" s="5" t="s">
        <v>6857</v>
      </c>
      <c r="C133" s="7" t="s">
        <v>12556</v>
      </c>
      <c r="D133" s="8">
        <f t="shared" si="12"/>
        <v>0</v>
      </c>
      <c r="E133" s="7" t="s">
        <v>12557</v>
      </c>
      <c r="F133" s="7">
        <f t="shared" si="13"/>
        <v>1</v>
      </c>
      <c r="G133" s="7" t="s">
        <v>12558</v>
      </c>
      <c r="H133" s="7">
        <f t="shared" si="14"/>
        <v>1</v>
      </c>
      <c r="I133" s="7" t="str" cm="1">
        <f t="array" ref="I133">IFERROR(_xlfn.IFS(M133="נח",1,M133="נע ונח",1,M133="שני שווא נח",2,M133="שני שוואים בסוף מילה",2,M133="שני שוואים ברצף",1),"0")</f>
        <v>0</v>
      </c>
      <c r="J133" s="9">
        <f t="shared" si="15"/>
        <v>3</v>
      </c>
      <c r="K133" t="s">
        <v>6697</v>
      </c>
      <c r="L133" t="s">
        <v>6695</v>
      </c>
      <c r="Q133" t="s">
        <v>6694</v>
      </c>
      <c r="U133" t="s">
        <v>6694</v>
      </c>
      <c r="W133" t="s">
        <v>6720</v>
      </c>
    </row>
    <row r="134" spans="1:23" ht="15.6" x14ac:dyDescent="0.4">
      <c r="A134" s="2" t="s">
        <v>49</v>
      </c>
      <c r="B134" s="5" t="s">
        <v>6858</v>
      </c>
      <c r="C134" s="7" t="s">
        <v>12556</v>
      </c>
      <c r="D134" s="8">
        <f t="shared" si="12"/>
        <v>0</v>
      </c>
      <c r="E134" s="7" t="s">
        <v>12557</v>
      </c>
      <c r="F134" s="7">
        <f t="shared" si="13"/>
        <v>0</v>
      </c>
      <c r="G134" s="7" t="s">
        <v>12558</v>
      </c>
      <c r="H134" s="7">
        <f t="shared" si="14"/>
        <v>0</v>
      </c>
      <c r="I134" s="7" cm="1">
        <f t="array" ref="I134">IFERROR(_xlfn.IFS(M134="נח",1,M134="נע ונח",1,M134="שני שווא נח",2,M134="שני שוואים בסוף מילה",2,M134="שני שוואים ברצף",1),"0")</f>
        <v>1</v>
      </c>
      <c r="J134" s="9">
        <f t="shared" si="15"/>
        <v>2</v>
      </c>
      <c r="K134" t="s">
        <v>6698</v>
      </c>
      <c r="L134" t="s">
        <v>6694</v>
      </c>
      <c r="M134" t="s">
        <v>6705</v>
      </c>
      <c r="Q134" t="s">
        <v>6694</v>
      </c>
      <c r="W134" t="s">
        <v>6720</v>
      </c>
    </row>
    <row r="135" spans="1:23" ht="15.6" x14ac:dyDescent="0.4">
      <c r="A135" s="2" t="s">
        <v>13</v>
      </c>
      <c r="B135" s="5" t="s">
        <v>6859</v>
      </c>
      <c r="C135" s="7" t="s">
        <v>12556</v>
      </c>
      <c r="D135" s="8">
        <f t="shared" si="12"/>
        <v>0</v>
      </c>
      <c r="E135" s="7" t="s">
        <v>12557</v>
      </c>
      <c r="F135" s="7">
        <f t="shared" si="13"/>
        <v>0</v>
      </c>
      <c r="G135" s="7" t="s">
        <v>12558</v>
      </c>
      <c r="H135" s="7">
        <f t="shared" si="14"/>
        <v>0</v>
      </c>
      <c r="I135" s="7" t="str" cm="1">
        <f t="array" ref="I135">IFERROR(_xlfn.IFS(M135="נח",1,M135="נע ונח",1,M135="שני שווא נח",2,M135="שני שוואים בסוף מילה",2,M135="שני שוואים ברצף",1),"0")</f>
        <v>0</v>
      </c>
      <c r="J135" s="9">
        <f t="shared" si="15"/>
        <v>3</v>
      </c>
      <c r="K135" t="s">
        <v>6697</v>
      </c>
      <c r="L135" t="s">
        <v>6695</v>
      </c>
      <c r="O135" t="s">
        <v>6694</v>
      </c>
      <c r="Q135" t="s">
        <v>6694</v>
      </c>
      <c r="R135" t="s">
        <v>6694</v>
      </c>
      <c r="W135" t="s">
        <v>6720</v>
      </c>
    </row>
    <row r="136" spans="1:23" ht="15.6" x14ac:dyDescent="0.4">
      <c r="A136" s="2" t="s">
        <v>4067</v>
      </c>
      <c r="B136" s="5" t="s">
        <v>6860</v>
      </c>
      <c r="C136" s="7" t="s">
        <v>12556</v>
      </c>
      <c r="D136" s="8">
        <f t="shared" si="12"/>
        <v>0</v>
      </c>
      <c r="E136" s="7" t="s">
        <v>12557</v>
      </c>
      <c r="F136" s="7">
        <f t="shared" si="13"/>
        <v>0</v>
      </c>
      <c r="G136" s="7" t="s">
        <v>12558</v>
      </c>
      <c r="H136" s="7">
        <f t="shared" si="14"/>
        <v>0</v>
      </c>
      <c r="I136" s="7" t="str" cm="1">
        <f t="array" ref="I136">IFERROR(_xlfn.IFS(M136="נח",1,M136="נע ונח",1,M136="שני שווא נח",2,M136="שני שוואים בסוף מילה",2,M136="שני שוואים ברצף",1),"0")</f>
        <v>0</v>
      </c>
      <c r="J136" s="9">
        <f t="shared" si="15"/>
        <v>2</v>
      </c>
      <c r="K136" t="s">
        <v>6698</v>
      </c>
      <c r="L136" t="s">
        <v>6695</v>
      </c>
      <c r="Q136" t="s">
        <v>6694</v>
      </c>
      <c r="R136" t="s">
        <v>6694</v>
      </c>
      <c r="W136" t="s">
        <v>6720</v>
      </c>
    </row>
    <row r="137" spans="1:23" ht="15.6" x14ac:dyDescent="0.4">
      <c r="A137" s="2" t="s">
        <v>456</v>
      </c>
      <c r="B137" s="5" t="s">
        <v>6854</v>
      </c>
      <c r="C137" s="7" t="s">
        <v>12556</v>
      </c>
      <c r="D137" s="8">
        <f t="shared" si="12"/>
        <v>0</v>
      </c>
      <c r="E137" s="7" t="s">
        <v>12557</v>
      </c>
      <c r="F137" s="7">
        <f t="shared" si="13"/>
        <v>0</v>
      </c>
      <c r="G137" s="7" t="s">
        <v>12558</v>
      </c>
      <c r="H137" s="7">
        <f t="shared" si="14"/>
        <v>0</v>
      </c>
      <c r="I137" s="7" t="str" cm="1">
        <f t="array" ref="I137">IFERROR(_xlfn.IFS(M137="נח",1,M137="נע ונח",1,M137="שני שווא נח",2,M137="שני שוואים בסוף מילה",2,M137="שני שוואים ברצף",1),"0")</f>
        <v>0</v>
      </c>
      <c r="J137" s="9">
        <f t="shared" si="15"/>
        <v>2</v>
      </c>
      <c r="K137" t="s">
        <v>6698</v>
      </c>
      <c r="L137" t="s">
        <v>6695</v>
      </c>
      <c r="P137" t="s">
        <v>6694</v>
      </c>
      <c r="Q137" t="s">
        <v>6694</v>
      </c>
      <c r="W137" t="s">
        <v>6720</v>
      </c>
    </row>
    <row r="138" spans="1:23" ht="15.6" x14ac:dyDescent="0.4">
      <c r="A138" s="2" t="s">
        <v>2785</v>
      </c>
      <c r="B138" s="5" t="s">
        <v>6854</v>
      </c>
      <c r="C138" s="7" t="s">
        <v>12556</v>
      </c>
      <c r="D138" s="8">
        <f t="shared" si="12"/>
        <v>0</v>
      </c>
      <c r="E138" s="7" t="s">
        <v>12557</v>
      </c>
      <c r="F138" s="7">
        <f t="shared" si="13"/>
        <v>0</v>
      </c>
      <c r="G138" s="7" t="s">
        <v>12558</v>
      </c>
      <c r="H138" s="7">
        <f t="shared" si="14"/>
        <v>0</v>
      </c>
      <c r="I138" s="7" t="str" cm="1">
        <f t="array" ref="I138">IFERROR(_xlfn.IFS(M138="נח",1,M138="נע ונח",1,M138="שני שווא נח",2,M138="שני שוואים בסוף מילה",2,M138="שני שוואים ברצף",1),"0")</f>
        <v>0</v>
      </c>
      <c r="J138" s="9">
        <f t="shared" si="15"/>
        <v>2</v>
      </c>
      <c r="K138" t="s">
        <v>6698</v>
      </c>
      <c r="L138" t="s">
        <v>6695</v>
      </c>
      <c r="N138" t="s">
        <v>6706</v>
      </c>
      <c r="O138" t="s">
        <v>6694</v>
      </c>
      <c r="Q138" t="s">
        <v>6694</v>
      </c>
      <c r="W138" t="s">
        <v>6720</v>
      </c>
    </row>
    <row r="139" spans="1:23" ht="15.6" x14ac:dyDescent="0.4">
      <c r="A139" s="2" t="s">
        <v>2710</v>
      </c>
      <c r="B139" s="5" t="s">
        <v>6861</v>
      </c>
      <c r="C139" s="7" t="s">
        <v>12556</v>
      </c>
      <c r="D139" s="8">
        <f t="shared" si="12"/>
        <v>0</v>
      </c>
      <c r="E139" s="7" t="s">
        <v>12557</v>
      </c>
      <c r="F139" s="7">
        <f t="shared" si="13"/>
        <v>0</v>
      </c>
      <c r="G139" s="7" t="s">
        <v>12558</v>
      </c>
      <c r="H139" s="7">
        <f t="shared" si="14"/>
        <v>0</v>
      </c>
      <c r="I139" s="7" t="str" cm="1">
        <f t="array" ref="I139">IFERROR(_xlfn.IFS(M139="נח",1,M139="נע ונח",1,M139="שני שווא נח",2,M139="שני שוואים בסוף מילה",2,M139="שני שוואים ברצף",1),"0")</f>
        <v>0</v>
      </c>
      <c r="J139" s="9">
        <f t="shared" si="15"/>
        <v>2</v>
      </c>
      <c r="K139" t="s">
        <v>6698</v>
      </c>
      <c r="L139" t="s">
        <v>6695</v>
      </c>
      <c r="N139" t="s">
        <v>6706</v>
      </c>
      <c r="O139" t="s">
        <v>6694</v>
      </c>
      <c r="Q139" t="s">
        <v>6694</v>
      </c>
      <c r="W139" t="s">
        <v>6720</v>
      </c>
    </row>
    <row r="140" spans="1:23" ht="15.6" x14ac:dyDescent="0.4">
      <c r="A140" s="2" t="s">
        <v>3308</v>
      </c>
      <c r="B140" s="5" t="s">
        <v>6862</v>
      </c>
      <c r="C140" s="7" t="s">
        <v>12556</v>
      </c>
      <c r="D140" s="8">
        <f t="shared" si="12"/>
        <v>0</v>
      </c>
      <c r="E140" s="7" t="s">
        <v>12557</v>
      </c>
      <c r="F140" s="7">
        <f t="shared" si="13"/>
        <v>1</v>
      </c>
      <c r="G140" s="7" t="s">
        <v>12558</v>
      </c>
      <c r="H140" s="7">
        <f t="shared" si="14"/>
        <v>0</v>
      </c>
      <c r="I140" s="7" t="str" cm="1">
        <f t="array" ref="I140">IFERROR(_xlfn.IFS(M140="נח",1,M140="נע ונח",1,M140="שני שווא נח",2,M140="שני שוואים בסוף מילה",2,M140="שני שוואים ברצף",1),"0")</f>
        <v>0</v>
      </c>
      <c r="J140" s="9">
        <f t="shared" si="15"/>
        <v>2</v>
      </c>
      <c r="K140" t="s">
        <v>6697</v>
      </c>
      <c r="L140" t="s">
        <v>6695</v>
      </c>
      <c r="Q140" t="s">
        <v>6694</v>
      </c>
      <c r="R140" t="s">
        <v>6694</v>
      </c>
      <c r="W140" t="s">
        <v>6720</v>
      </c>
    </row>
    <row r="141" spans="1:23" ht="15.6" x14ac:dyDescent="0.4">
      <c r="A141" s="2" t="s">
        <v>1007</v>
      </c>
      <c r="B141" s="5" t="s">
        <v>6826</v>
      </c>
      <c r="C141" s="7" t="s">
        <v>12556</v>
      </c>
      <c r="D141" s="8">
        <f t="shared" si="12"/>
        <v>0</v>
      </c>
      <c r="E141" s="7" t="s">
        <v>12557</v>
      </c>
      <c r="F141" s="7">
        <f t="shared" si="13"/>
        <v>0</v>
      </c>
      <c r="G141" s="7" t="s">
        <v>12558</v>
      </c>
      <c r="H141" s="7">
        <f t="shared" si="14"/>
        <v>0</v>
      </c>
      <c r="I141" s="7" t="str" cm="1">
        <f t="array" ref="I141">IFERROR(_xlfn.IFS(M141="נח",1,M141="נע ונח",1,M141="שני שווא נח",2,M141="שני שוואים בסוף מילה",2,M141="שני שוואים ברצף",1),"0")</f>
        <v>0</v>
      </c>
      <c r="J141" s="9">
        <f t="shared" si="15"/>
        <v>1</v>
      </c>
      <c r="K141" t="s">
        <v>6698</v>
      </c>
      <c r="L141" t="s">
        <v>6695</v>
      </c>
      <c r="Q141" t="s">
        <v>6694</v>
      </c>
      <c r="W141" t="s">
        <v>6720</v>
      </c>
    </row>
    <row r="142" spans="1:23" ht="15.6" x14ac:dyDescent="0.4">
      <c r="A142" s="2" t="s">
        <v>633</v>
      </c>
      <c r="B142" s="5" t="s">
        <v>6863</v>
      </c>
      <c r="C142" s="7" t="s">
        <v>12556</v>
      </c>
      <c r="D142" s="8">
        <f t="shared" si="12"/>
        <v>1</v>
      </c>
      <c r="E142" s="7" t="s">
        <v>12557</v>
      </c>
      <c r="F142" s="7">
        <f t="shared" si="13"/>
        <v>0</v>
      </c>
      <c r="G142" s="7" t="s">
        <v>12558</v>
      </c>
      <c r="H142" s="7">
        <f t="shared" si="14"/>
        <v>0</v>
      </c>
      <c r="I142" s="7" t="str" cm="1">
        <f t="array" ref="I142">IFERROR(_xlfn.IFS(M142="נח",1,M142="נע ונח",1,M142="שני שווא נח",2,M142="שני שוואים בסוף מילה",2,M142="שני שוואים ברצף",1),"0")</f>
        <v>0</v>
      </c>
      <c r="J142" s="9">
        <f t="shared" si="15"/>
        <v>1</v>
      </c>
      <c r="K142" t="s">
        <v>6698</v>
      </c>
      <c r="L142" t="s">
        <v>6695</v>
      </c>
      <c r="Q142" t="s">
        <v>6694</v>
      </c>
      <c r="W142" t="s">
        <v>6720</v>
      </c>
    </row>
    <row r="143" spans="1:23" ht="15.6" x14ac:dyDescent="0.4">
      <c r="A143" s="2" t="s">
        <v>4158</v>
      </c>
      <c r="B143" s="5" t="s">
        <v>6864</v>
      </c>
      <c r="C143" s="7" t="s">
        <v>12556</v>
      </c>
      <c r="D143" s="8">
        <f t="shared" si="12"/>
        <v>1</v>
      </c>
      <c r="E143" s="7" t="s">
        <v>12557</v>
      </c>
      <c r="F143" s="7">
        <f t="shared" si="13"/>
        <v>0</v>
      </c>
      <c r="G143" s="7" t="s">
        <v>12558</v>
      </c>
      <c r="H143" s="7">
        <f t="shared" si="14"/>
        <v>0</v>
      </c>
      <c r="I143" s="7" t="str" cm="1">
        <f t="array" ref="I143">IFERROR(_xlfn.IFS(M143="נח",1,M143="נע ונח",1,M143="שני שווא נח",2,M143="שני שוואים בסוף מילה",2,M143="שני שוואים ברצף",1),"0")</f>
        <v>0</v>
      </c>
      <c r="J143" s="9">
        <f t="shared" si="15"/>
        <v>2</v>
      </c>
      <c r="K143" t="s">
        <v>6698</v>
      </c>
      <c r="L143" t="s">
        <v>6695</v>
      </c>
      <c r="Q143" t="s">
        <v>6694</v>
      </c>
      <c r="R143" t="s">
        <v>6694</v>
      </c>
      <c r="W143" t="s">
        <v>6720</v>
      </c>
    </row>
    <row r="144" spans="1:23" ht="15.6" x14ac:dyDescent="0.4">
      <c r="A144" s="2" t="s">
        <v>5553</v>
      </c>
      <c r="B144" s="5" t="s">
        <v>6865</v>
      </c>
      <c r="C144" s="7" t="s">
        <v>12556</v>
      </c>
      <c r="D144" s="8">
        <f t="shared" si="12"/>
        <v>0</v>
      </c>
      <c r="E144" s="7" t="s">
        <v>12557</v>
      </c>
      <c r="F144" s="7">
        <f t="shared" si="13"/>
        <v>0</v>
      </c>
      <c r="G144" s="7" t="s">
        <v>12558</v>
      </c>
      <c r="H144" s="7">
        <f t="shared" si="14"/>
        <v>0</v>
      </c>
      <c r="I144" s="7" t="str" cm="1">
        <f t="array" ref="I144">IFERROR(_xlfn.IFS(M144="נח",1,M144="נע ונח",1,M144="שני שווא נח",2,M144="שני שוואים בסוף מילה",2,M144="שני שוואים ברצף",1),"0")</f>
        <v>0</v>
      </c>
      <c r="J144" s="9">
        <f t="shared" si="15"/>
        <v>1</v>
      </c>
      <c r="K144" t="s">
        <v>6698</v>
      </c>
      <c r="L144" t="s">
        <v>6695</v>
      </c>
      <c r="Q144" t="s">
        <v>6694</v>
      </c>
      <c r="W144" t="s">
        <v>6720</v>
      </c>
    </row>
    <row r="145" spans="1:23" ht="15.6" x14ac:dyDescent="0.4">
      <c r="A145" s="2" t="s">
        <v>4857</v>
      </c>
      <c r="B145" s="5" t="s">
        <v>6866</v>
      </c>
      <c r="C145" s="7" t="s">
        <v>12556</v>
      </c>
      <c r="D145" s="8">
        <f t="shared" si="12"/>
        <v>0</v>
      </c>
      <c r="E145" s="7" t="s">
        <v>12557</v>
      </c>
      <c r="F145" s="7">
        <f t="shared" si="13"/>
        <v>0</v>
      </c>
      <c r="G145" s="7" t="s">
        <v>12558</v>
      </c>
      <c r="H145" s="7">
        <f t="shared" si="14"/>
        <v>0</v>
      </c>
      <c r="I145" s="7" cm="1">
        <f t="array" ref="I145">IFERROR(_xlfn.IFS(M145="נח",1,M145="נע ונח",1,M145="שני שווא נח",2,M145="שני שוואים בסוף מילה",2,M145="שני שוואים ברצף",1),"0")</f>
        <v>2</v>
      </c>
      <c r="J145" s="9">
        <f t="shared" si="15"/>
        <v>3</v>
      </c>
      <c r="K145" t="s">
        <v>6697</v>
      </c>
      <c r="L145" t="s">
        <v>6694</v>
      </c>
      <c r="M145" t="s">
        <v>6704</v>
      </c>
      <c r="N145" t="s">
        <v>6706</v>
      </c>
      <c r="O145" t="s">
        <v>6694</v>
      </c>
      <c r="R145" t="s">
        <v>6694</v>
      </c>
      <c r="W145" t="s">
        <v>6720</v>
      </c>
    </row>
    <row r="146" spans="1:23" ht="15.6" x14ac:dyDescent="0.4">
      <c r="A146" s="2" t="s">
        <v>2301</v>
      </c>
      <c r="B146" s="5" t="s">
        <v>6867</v>
      </c>
      <c r="C146" s="7" t="s">
        <v>12556</v>
      </c>
      <c r="D146" s="8">
        <f t="shared" si="12"/>
        <v>0</v>
      </c>
      <c r="E146" s="7" t="s">
        <v>12557</v>
      </c>
      <c r="F146" s="7">
        <f t="shared" si="13"/>
        <v>0</v>
      </c>
      <c r="G146" s="7" t="s">
        <v>12558</v>
      </c>
      <c r="H146" s="7">
        <f t="shared" si="14"/>
        <v>0</v>
      </c>
      <c r="I146" s="7" cm="1">
        <f t="array" ref="I146">IFERROR(_xlfn.IFS(M146="נח",1,M146="נע ונח",1,M146="שני שווא נח",2,M146="שני שוואים בסוף מילה",2,M146="שני שוואים ברצף",1),"0")</f>
        <v>1</v>
      </c>
      <c r="J146" s="9">
        <f t="shared" si="15"/>
        <v>2</v>
      </c>
      <c r="K146" t="s">
        <v>6698</v>
      </c>
      <c r="L146" t="s">
        <v>6694</v>
      </c>
      <c r="M146" t="s">
        <v>6705</v>
      </c>
      <c r="P146" t="s">
        <v>6694</v>
      </c>
      <c r="R146" t="s">
        <v>6694</v>
      </c>
      <c r="W146" t="s">
        <v>6720</v>
      </c>
    </row>
    <row r="147" spans="1:23" ht="15.6" x14ac:dyDescent="0.4">
      <c r="A147" s="2" t="s">
        <v>3617</v>
      </c>
      <c r="B147" s="5" t="s">
        <v>6867</v>
      </c>
      <c r="C147" s="7" t="s">
        <v>12556</v>
      </c>
      <c r="D147" s="8">
        <f t="shared" si="12"/>
        <v>0</v>
      </c>
      <c r="E147" s="7" t="s">
        <v>12557</v>
      </c>
      <c r="F147" s="7">
        <f t="shared" si="13"/>
        <v>0</v>
      </c>
      <c r="G147" s="7" t="s">
        <v>12558</v>
      </c>
      <c r="H147" s="7">
        <f t="shared" si="14"/>
        <v>0</v>
      </c>
      <c r="I147" s="7" cm="1">
        <f t="array" ref="I147">IFERROR(_xlfn.IFS(M147="נח",1,M147="נע ונח",1,M147="שני שווא נח",2,M147="שני שוואים בסוף מילה",2,M147="שני שוואים ברצף",1),"0")</f>
        <v>1</v>
      </c>
      <c r="J147" s="9">
        <f t="shared" si="15"/>
        <v>2</v>
      </c>
      <c r="K147" t="s">
        <v>6698</v>
      </c>
      <c r="L147" t="s">
        <v>6694</v>
      </c>
      <c r="M147" t="s">
        <v>6705</v>
      </c>
      <c r="N147" t="s">
        <v>6706</v>
      </c>
      <c r="O147" t="s">
        <v>6694</v>
      </c>
      <c r="R147" t="s">
        <v>6694</v>
      </c>
      <c r="W147" t="s">
        <v>6720</v>
      </c>
    </row>
    <row r="148" spans="1:23" ht="15.6" x14ac:dyDescent="0.4">
      <c r="A148" s="2" t="s">
        <v>6569</v>
      </c>
      <c r="B148" s="5" t="s">
        <v>6868</v>
      </c>
      <c r="C148" s="7" t="s">
        <v>12556</v>
      </c>
      <c r="D148" s="8">
        <f t="shared" si="12"/>
        <v>0</v>
      </c>
      <c r="E148" s="7" t="s">
        <v>12557</v>
      </c>
      <c r="F148" s="7">
        <f t="shared" si="13"/>
        <v>0</v>
      </c>
      <c r="G148" s="7" t="s">
        <v>12558</v>
      </c>
      <c r="H148" s="7">
        <f t="shared" si="14"/>
        <v>0</v>
      </c>
      <c r="I148" s="7" cm="1">
        <f t="array" ref="I148">IFERROR(_xlfn.IFS(M148="נח",1,M148="נע ונח",1,M148="שני שווא נח",2,M148="שני שוואים בסוף מילה",2,M148="שני שוואים ברצף",1),"0")</f>
        <v>1</v>
      </c>
      <c r="J148" s="9">
        <f t="shared" si="15"/>
        <v>3</v>
      </c>
      <c r="K148" t="s">
        <v>6698</v>
      </c>
      <c r="L148" t="s">
        <v>6694</v>
      </c>
      <c r="M148" t="s">
        <v>6705</v>
      </c>
      <c r="R148" t="s">
        <v>6694</v>
      </c>
      <c r="S148" t="s">
        <v>6694</v>
      </c>
      <c r="V148" t="s">
        <v>6694</v>
      </c>
      <c r="W148" t="s">
        <v>6720</v>
      </c>
    </row>
    <row r="149" spans="1:23" ht="15.6" x14ac:dyDescent="0.4">
      <c r="A149" s="2" t="s">
        <v>2433</v>
      </c>
      <c r="B149" s="5" t="s">
        <v>6869</v>
      </c>
      <c r="C149" s="7" t="s">
        <v>12556</v>
      </c>
      <c r="D149" s="8">
        <f t="shared" si="12"/>
        <v>0</v>
      </c>
      <c r="E149" s="7" t="s">
        <v>12557</v>
      </c>
      <c r="F149" s="7">
        <f t="shared" si="13"/>
        <v>0</v>
      </c>
      <c r="G149" s="7" t="s">
        <v>12558</v>
      </c>
      <c r="H149" s="7">
        <f t="shared" si="14"/>
        <v>0</v>
      </c>
      <c r="I149" s="7" cm="1">
        <f t="array" ref="I149">IFERROR(_xlfn.IFS(M149="נח",1,M149="נע ונח",1,M149="שני שווא נח",2,M149="שני שוואים בסוף מילה",2,M149="שני שוואים ברצף",1),"0")</f>
        <v>1</v>
      </c>
      <c r="J149" s="9">
        <f t="shared" si="15"/>
        <v>2</v>
      </c>
      <c r="K149" t="s">
        <v>6698</v>
      </c>
      <c r="L149" t="s">
        <v>6694</v>
      </c>
      <c r="M149" t="s">
        <v>6705</v>
      </c>
      <c r="R149" t="s">
        <v>6694</v>
      </c>
      <c r="V149" t="s">
        <v>6694</v>
      </c>
      <c r="W149" t="s">
        <v>6720</v>
      </c>
    </row>
    <row r="150" spans="1:23" ht="15.6" x14ac:dyDescent="0.4">
      <c r="A150" s="2" t="s">
        <v>1824</v>
      </c>
      <c r="B150" s="5" t="s">
        <v>6870</v>
      </c>
      <c r="C150" s="7" t="s">
        <v>12556</v>
      </c>
      <c r="D150" s="8">
        <f t="shared" si="12"/>
        <v>0</v>
      </c>
      <c r="E150" s="7" t="s">
        <v>12557</v>
      </c>
      <c r="F150" s="7">
        <f t="shared" si="13"/>
        <v>0</v>
      </c>
      <c r="G150" s="7" t="s">
        <v>12558</v>
      </c>
      <c r="H150" s="7">
        <f t="shared" si="14"/>
        <v>0</v>
      </c>
      <c r="I150" s="7" cm="1">
        <f t="array" ref="I150">IFERROR(_xlfn.IFS(M150="נח",1,M150="נע ונח",1,M150="שני שווא נח",2,M150="שני שוואים בסוף מילה",2,M150="שני שוואים ברצף",1),"0")</f>
        <v>1</v>
      </c>
      <c r="J150" s="9">
        <f t="shared" si="15"/>
        <v>3</v>
      </c>
      <c r="K150" t="s">
        <v>6698</v>
      </c>
      <c r="L150" t="s">
        <v>6694</v>
      </c>
      <c r="M150" t="s">
        <v>6705</v>
      </c>
      <c r="R150" t="s">
        <v>6694</v>
      </c>
      <c r="S150" t="s">
        <v>6694</v>
      </c>
      <c r="V150" t="s">
        <v>6694</v>
      </c>
      <c r="W150" t="s">
        <v>6720</v>
      </c>
    </row>
    <row r="151" spans="1:23" ht="15.6" x14ac:dyDescent="0.4">
      <c r="A151" s="2" t="s">
        <v>6556</v>
      </c>
      <c r="B151" s="5" t="s">
        <v>6871</v>
      </c>
      <c r="C151" s="7" t="s">
        <v>12556</v>
      </c>
      <c r="D151" s="8">
        <f t="shared" si="12"/>
        <v>0</v>
      </c>
      <c r="E151" s="7" t="s">
        <v>12557</v>
      </c>
      <c r="F151" s="7">
        <f t="shared" si="13"/>
        <v>0</v>
      </c>
      <c r="G151" s="7" t="s">
        <v>12558</v>
      </c>
      <c r="H151" s="7">
        <f t="shared" si="14"/>
        <v>0</v>
      </c>
      <c r="I151" s="7" cm="1">
        <f t="array" ref="I151">IFERROR(_xlfn.IFS(M151="נח",1,M151="נע ונח",1,M151="שני שווא נח",2,M151="שני שוואים בסוף מילה",2,M151="שני שוואים ברצף",1),"0")</f>
        <v>1</v>
      </c>
      <c r="J151" s="9">
        <f t="shared" si="15"/>
        <v>2</v>
      </c>
      <c r="K151" t="s">
        <v>6698</v>
      </c>
      <c r="L151" t="s">
        <v>6694</v>
      </c>
      <c r="M151" t="s">
        <v>6705</v>
      </c>
      <c r="N151" t="s">
        <v>6706</v>
      </c>
      <c r="O151" t="s">
        <v>6694</v>
      </c>
      <c r="R151" t="s">
        <v>6694</v>
      </c>
      <c r="W151" t="s">
        <v>6720</v>
      </c>
    </row>
    <row r="152" spans="1:23" ht="15.6" x14ac:dyDescent="0.4">
      <c r="A152" s="2" t="s">
        <v>1741</v>
      </c>
      <c r="B152" s="5" t="s">
        <v>6872</v>
      </c>
      <c r="C152" s="7" t="s">
        <v>12556</v>
      </c>
      <c r="D152" s="8">
        <f t="shared" si="12"/>
        <v>0</v>
      </c>
      <c r="E152" s="7" t="s">
        <v>12557</v>
      </c>
      <c r="F152" s="7">
        <f t="shared" si="13"/>
        <v>0</v>
      </c>
      <c r="G152" s="7" t="s">
        <v>12558</v>
      </c>
      <c r="H152" s="7">
        <f t="shared" si="14"/>
        <v>0</v>
      </c>
      <c r="I152" s="7" t="str" cm="1">
        <f t="array" ref="I152">IFERROR(_xlfn.IFS(M152="נח",1,M152="נע ונח",1,M152="שני שווא נח",2,M152="שני שוואים בסוף מילה",2,M152="שני שוואים ברצף",1),"0")</f>
        <v>0</v>
      </c>
      <c r="J152" s="9">
        <f t="shared" si="15"/>
        <v>2</v>
      </c>
      <c r="K152" t="s">
        <v>6698</v>
      </c>
      <c r="L152" t="s">
        <v>6695</v>
      </c>
      <c r="R152" t="s">
        <v>6694</v>
      </c>
      <c r="W152" t="s">
        <v>6720</v>
      </c>
    </row>
    <row r="153" spans="1:23" ht="15.6" x14ac:dyDescent="0.4">
      <c r="A153" s="2" t="s">
        <v>6679</v>
      </c>
      <c r="B153" s="5" t="s">
        <v>6873</v>
      </c>
      <c r="C153" s="7" t="s">
        <v>12556</v>
      </c>
      <c r="D153" s="8">
        <f t="shared" si="12"/>
        <v>0</v>
      </c>
      <c r="E153" s="7" t="s">
        <v>12557</v>
      </c>
      <c r="F153" s="7">
        <f t="shared" si="13"/>
        <v>1</v>
      </c>
      <c r="G153" s="7" t="s">
        <v>12558</v>
      </c>
      <c r="H153" s="7">
        <f t="shared" si="14"/>
        <v>0</v>
      </c>
      <c r="I153" s="7" t="str" cm="1">
        <f t="array" ref="I153">IFERROR(_xlfn.IFS(M153="נח",1,M153="נע ונח",1,M153="שני שווא נח",2,M153="שני שוואים בסוף מילה",2,M153="שני שוואים ברצף",1),"0")</f>
        <v>0</v>
      </c>
      <c r="J153" s="9">
        <f t="shared" si="15"/>
        <v>2</v>
      </c>
      <c r="K153" t="s">
        <v>6698</v>
      </c>
      <c r="L153" t="s">
        <v>6695</v>
      </c>
      <c r="R153" t="s">
        <v>6694</v>
      </c>
      <c r="V153" t="s">
        <v>6694</v>
      </c>
      <c r="W153" t="s">
        <v>6720</v>
      </c>
    </row>
    <row r="154" spans="1:23" ht="15.6" x14ac:dyDescent="0.4">
      <c r="A154" s="2" t="s">
        <v>1955</v>
      </c>
      <c r="B154" s="5" t="s">
        <v>6874</v>
      </c>
      <c r="C154" s="7" t="s">
        <v>12556</v>
      </c>
      <c r="D154" s="8">
        <f t="shared" si="12"/>
        <v>0</v>
      </c>
      <c r="E154" s="7" t="s">
        <v>12557</v>
      </c>
      <c r="F154" s="7">
        <f t="shared" si="13"/>
        <v>0</v>
      </c>
      <c r="G154" s="7" t="s">
        <v>12558</v>
      </c>
      <c r="H154" s="7">
        <f t="shared" si="14"/>
        <v>0</v>
      </c>
      <c r="I154" s="7" cm="1">
        <f t="array" ref="I154">IFERROR(_xlfn.IFS(M154="נח",1,M154="נע ונח",1,M154="שני שווא נח",2,M154="שני שוואים בסוף מילה",2,M154="שני שוואים ברצף",1),"0")</f>
        <v>1</v>
      </c>
      <c r="J154" s="9">
        <f t="shared" si="15"/>
        <v>2</v>
      </c>
      <c r="K154" t="s">
        <v>6698</v>
      </c>
      <c r="L154" t="s">
        <v>6694</v>
      </c>
      <c r="M154" t="s">
        <v>6705</v>
      </c>
      <c r="P154" t="s">
        <v>6694</v>
      </c>
      <c r="R154" t="s">
        <v>6694</v>
      </c>
      <c r="W154" t="s">
        <v>6720</v>
      </c>
    </row>
    <row r="155" spans="1:23" ht="15.6" x14ac:dyDescent="0.4">
      <c r="A155" s="2" t="s">
        <v>3563</v>
      </c>
      <c r="B155" s="5" t="s">
        <v>6875</v>
      </c>
      <c r="C155" s="7" t="s">
        <v>12556</v>
      </c>
      <c r="D155" s="8">
        <f t="shared" si="12"/>
        <v>0</v>
      </c>
      <c r="E155" s="7" t="s">
        <v>12557</v>
      </c>
      <c r="F155" s="7">
        <f t="shared" si="13"/>
        <v>2</v>
      </c>
      <c r="G155" s="7" t="s">
        <v>12558</v>
      </c>
      <c r="H155" s="7">
        <f t="shared" si="14"/>
        <v>0</v>
      </c>
      <c r="I155" s="7" t="str" cm="1">
        <f t="array" ref="I155">IFERROR(_xlfn.IFS(M155="נח",1,M155="נע ונח",1,M155="שני שווא נח",2,M155="שני שוואים בסוף מילה",2,M155="שני שוואים ברצף",1),"0")</f>
        <v>0</v>
      </c>
      <c r="J155" s="9">
        <f t="shared" si="15"/>
        <v>3</v>
      </c>
      <c r="K155" t="s">
        <v>6698</v>
      </c>
      <c r="L155" t="s">
        <v>6695</v>
      </c>
      <c r="P155" t="s">
        <v>6694</v>
      </c>
      <c r="Q155" t="s">
        <v>6694</v>
      </c>
      <c r="R155" t="s">
        <v>6694</v>
      </c>
      <c r="W155" t="s">
        <v>6720</v>
      </c>
    </row>
    <row r="156" spans="1:23" ht="15.6" x14ac:dyDescent="0.4">
      <c r="A156" s="2" t="s">
        <v>5368</v>
      </c>
      <c r="B156" s="5" t="s">
        <v>6876</v>
      </c>
      <c r="C156" s="7" t="s">
        <v>12556</v>
      </c>
      <c r="D156" s="8">
        <f t="shared" si="12"/>
        <v>0</v>
      </c>
      <c r="E156" s="7" t="s">
        <v>12557</v>
      </c>
      <c r="F156" s="7">
        <f t="shared" si="13"/>
        <v>1</v>
      </c>
      <c r="G156" s="7" t="s">
        <v>12558</v>
      </c>
      <c r="H156" s="7">
        <f t="shared" si="14"/>
        <v>0</v>
      </c>
      <c r="I156" s="7" cm="1">
        <f t="array" ref="I156">IFERROR(_xlfn.IFS(M156="נח",1,M156="נע ונח",1,M156="שני שווא נח",2,M156="שני שוואים בסוף מילה",2,M156="שני שוואים ברצף",1),"0")</f>
        <v>1</v>
      </c>
      <c r="J156" s="9">
        <f t="shared" si="15"/>
        <v>2</v>
      </c>
      <c r="K156" t="s">
        <v>6697</v>
      </c>
      <c r="L156" t="s">
        <v>6694</v>
      </c>
      <c r="M156" t="s">
        <v>6705</v>
      </c>
      <c r="R156" t="s">
        <v>6694</v>
      </c>
      <c r="W156" t="s">
        <v>6720</v>
      </c>
    </row>
    <row r="157" spans="1:23" ht="15.6" x14ac:dyDescent="0.4">
      <c r="A157" s="2" t="s">
        <v>5341</v>
      </c>
      <c r="B157" s="5" t="s">
        <v>6877</v>
      </c>
      <c r="C157" s="7" t="s">
        <v>12556</v>
      </c>
      <c r="D157" s="8">
        <f t="shared" si="12"/>
        <v>0</v>
      </c>
      <c r="E157" s="7" t="s">
        <v>12557</v>
      </c>
      <c r="F157" s="7">
        <f t="shared" si="13"/>
        <v>0</v>
      </c>
      <c r="G157" s="7" t="s">
        <v>12558</v>
      </c>
      <c r="H157" s="7">
        <f t="shared" si="14"/>
        <v>0</v>
      </c>
      <c r="I157" s="7" cm="1">
        <f t="array" ref="I157">IFERROR(_xlfn.IFS(M157="נח",1,M157="נע ונח",1,M157="שני שווא נח",2,M157="שני שוואים בסוף מילה",2,M157="שני שוואים ברצף",1),"0")</f>
        <v>1</v>
      </c>
      <c r="J157" s="9">
        <f t="shared" si="15"/>
        <v>2</v>
      </c>
      <c r="K157" t="s">
        <v>6697</v>
      </c>
      <c r="L157" t="s">
        <v>6694</v>
      </c>
      <c r="M157" t="s">
        <v>6705</v>
      </c>
      <c r="R157" t="s">
        <v>6694</v>
      </c>
      <c r="W157" t="s">
        <v>6720</v>
      </c>
    </row>
    <row r="158" spans="1:23" ht="15.6" x14ac:dyDescent="0.4">
      <c r="A158" s="2" t="s">
        <v>3424</v>
      </c>
      <c r="B158" s="5" t="s">
        <v>6878</v>
      </c>
      <c r="C158" s="7" t="s">
        <v>12556</v>
      </c>
      <c r="D158" s="8">
        <f t="shared" si="12"/>
        <v>0</v>
      </c>
      <c r="E158" s="7" t="s">
        <v>12557</v>
      </c>
      <c r="F158" s="7">
        <f t="shared" si="13"/>
        <v>1</v>
      </c>
      <c r="G158" s="7" t="s">
        <v>12558</v>
      </c>
      <c r="H158" s="7">
        <f t="shared" si="14"/>
        <v>1</v>
      </c>
      <c r="I158" s="7" t="str" cm="1">
        <f t="array" ref="I158">IFERROR(_xlfn.IFS(M158="נח",1,M158="נע ונח",1,M158="שני שווא נח",2,M158="שני שוואים בסוף מילה",2,M158="שני שוואים ברצף",1),"0")</f>
        <v>0</v>
      </c>
      <c r="J158" s="9">
        <f t="shared" si="15"/>
        <v>3</v>
      </c>
      <c r="K158" t="s">
        <v>6697</v>
      </c>
      <c r="L158" t="s">
        <v>6695</v>
      </c>
      <c r="R158" t="s">
        <v>6694</v>
      </c>
      <c r="U158" t="s">
        <v>6694</v>
      </c>
      <c r="W158" t="s">
        <v>6720</v>
      </c>
    </row>
    <row r="159" spans="1:23" ht="15.6" x14ac:dyDescent="0.4">
      <c r="A159" s="2" t="s">
        <v>3987</v>
      </c>
      <c r="B159" s="5" t="s">
        <v>6879</v>
      </c>
      <c r="C159" s="7" t="s">
        <v>12556</v>
      </c>
      <c r="D159" s="8">
        <f t="shared" si="12"/>
        <v>0</v>
      </c>
      <c r="E159" s="7" t="s">
        <v>12557</v>
      </c>
      <c r="F159" s="7">
        <f t="shared" si="13"/>
        <v>1</v>
      </c>
      <c r="G159" s="7" t="s">
        <v>12558</v>
      </c>
      <c r="H159" s="7">
        <f t="shared" si="14"/>
        <v>0</v>
      </c>
      <c r="I159" s="7" cm="1">
        <f t="array" ref="I159">IFERROR(_xlfn.IFS(M159="נח",1,M159="נע ונח",1,M159="שני שווא נח",2,M159="שני שוואים בסוף מילה",2,M159="שני שוואים ברצף",1),"0")</f>
        <v>1</v>
      </c>
      <c r="J159" s="9">
        <f t="shared" si="15"/>
        <v>3</v>
      </c>
      <c r="K159" t="s">
        <v>6697</v>
      </c>
      <c r="L159" t="s">
        <v>6694</v>
      </c>
      <c r="M159" t="s">
        <v>6702</v>
      </c>
      <c r="O159" t="s">
        <v>6694</v>
      </c>
      <c r="R159" t="s">
        <v>6694</v>
      </c>
      <c r="W159" t="s">
        <v>6720</v>
      </c>
    </row>
    <row r="160" spans="1:23" ht="15.6" x14ac:dyDescent="0.4">
      <c r="A160" s="2" t="s">
        <v>381</v>
      </c>
      <c r="B160" s="5" t="s">
        <v>6880</v>
      </c>
      <c r="C160" s="7" t="s">
        <v>12556</v>
      </c>
      <c r="D160" s="8">
        <f t="shared" si="12"/>
        <v>0</v>
      </c>
      <c r="E160" s="7" t="s">
        <v>12557</v>
      </c>
      <c r="F160" s="7">
        <f t="shared" si="13"/>
        <v>1</v>
      </c>
      <c r="G160" s="7" t="s">
        <v>12558</v>
      </c>
      <c r="H160" s="7">
        <f t="shared" si="14"/>
        <v>0</v>
      </c>
      <c r="I160" s="7" cm="1">
        <f t="array" ref="I160">IFERROR(_xlfn.IFS(M160="נח",1,M160="נע ונח",1,M160="שני שווא נח",2,M160="שני שוואים בסוף מילה",2,M160="שני שוואים ברצף",1),"0")</f>
        <v>1</v>
      </c>
      <c r="J160" s="9">
        <f t="shared" si="15"/>
        <v>2</v>
      </c>
      <c r="K160" t="s">
        <v>6698</v>
      </c>
      <c r="L160" t="s">
        <v>6694</v>
      </c>
      <c r="M160" t="s">
        <v>6705</v>
      </c>
      <c r="P160" t="s">
        <v>6694</v>
      </c>
      <c r="R160" t="s">
        <v>6694</v>
      </c>
      <c r="W160" t="s">
        <v>6720</v>
      </c>
    </row>
    <row r="161" spans="1:23" ht="15.6" x14ac:dyDescent="0.4">
      <c r="A161" s="2" t="s">
        <v>5942</v>
      </c>
      <c r="B161" s="5" t="s">
        <v>6881</v>
      </c>
      <c r="C161" s="7" t="s">
        <v>12556</v>
      </c>
      <c r="D161" s="8">
        <f t="shared" si="12"/>
        <v>0</v>
      </c>
      <c r="E161" s="7" t="s">
        <v>12557</v>
      </c>
      <c r="F161" s="7">
        <f t="shared" si="13"/>
        <v>1</v>
      </c>
      <c r="G161" s="7" t="s">
        <v>12558</v>
      </c>
      <c r="H161" s="7">
        <f t="shared" si="14"/>
        <v>0</v>
      </c>
      <c r="I161" s="7" cm="1">
        <f t="array" ref="I161">IFERROR(_xlfn.IFS(M161="נח",1,M161="נע ונח",1,M161="שני שווא נח",2,M161="שני שוואים בסוף מילה",2,M161="שני שוואים ברצף",1),"0")</f>
        <v>1</v>
      </c>
      <c r="J161" s="9">
        <f t="shared" si="15"/>
        <v>4</v>
      </c>
      <c r="K161" t="s">
        <v>6697</v>
      </c>
      <c r="L161" t="s">
        <v>6694</v>
      </c>
      <c r="M161" t="s">
        <v>6702</v>
      </c>
      <c r="Q161" t="s">
        <v>6694</v>
      </c>
      <c r="R161" t="s">
        <v>6694</v>
      </c>
      <c r="S161" t="s">
        <v>6694</v>
      </c>
      <c r="W161" t="s">
        <v>6720</v>
      </c>
    </row>
    <row r="162" spans="1:23" ht="15.6" x14ac:dyDescent="0.4">
      <c r="A162" s="2" t="s">
        <v>3559</v>
      </c>
      <c r="B162" s="5" t="s">
        <v>6882</v>
      </c>
      <c r="C162" s="7" t="s">
        <v>12556</v>
      </c>
      <c r="D162" s="8">
        <f t="shared" si="12"/>
        <v>0</v>
      </c>
      <c r="E162" s="7" t="s">
        <v>12557</v>
      </c>
      <c r="F162" s="7">
        <f t="shared" si="13"/>
        <v>1</v>
      </c>
      <c r="G162" s="7" t="s">
        <v>12558</v>
      </c>
      <c r="H162" s="7">
        <f t="shared" si="14"/>
        <v>0</v>
      </c>
      <c r="I162" s="7" cm="1">
        <f t="array" ref="I162">IFERROR(_xlfn.IFS(M162="נח",1,M162="נע ונח",1,M162="שני שווא נח",2,M162="שני שוואים בסוף מילה",2,M162="שני שוואים ברצף",1),"0")</f>
        <v>1</v>
      </c>
      <c r="J162" s="9">
        <f t="shared" si="15"/>
        <v>3</v>
      </c>
      <c r="K162" t="s">
        <v>6697</v>
      </c>
      <c r="L162" t="s">
        <v>6694</v>
      </c>
      <c r="M162" t="s">
        <v>6702</v>
      </c>
      <c r="O162" t="s">
        <v>6694</v>
      </c>
      <c r="R162" t="s">
        <v>6694</v>
      </c>
      <c r="W162" t="s">
        <v>6720</v>
      </c>
    </row>
    <row r="163" spans="1:23" ht="15.6" x14ac:dyDescent="0.4">
      <c r="A163" s="2" t="s">
        <v>3572</v>
      </c>
      <c r="B163" s="5" t="s">
        <v>6883</v>
      </c>
      <c r="C163" s="7" t="s">
        <v>12556</v>
      </c>
      <c r="D163" s="8">
        <f t="shared" si="12"/>
        <v>0</v>
      </c>
      <c r="E163" s="7" t="s">
        <v>12557</v>
      </c>
      <c r="F163" s="7">
        <f t="shared" si="13"/>
        <v>1</v>
      </c>
      <c r="G163" s="7" t="s">
        <v>12558</v>
      </c>
      <c r="H163" s="7">
        <f t="shared" si="14"/>
        <v>0</v>
      </c>
      <c r="I163" s="7" cm="1">
        <f t="array" ref="I163">IFERROR(_xlfn.IFS(M163="נח",1,M163="נע ונח",1,M163="שני שווא נח",2,M163="שני שוואים בסוף מילה",2,M163="שני שוואים ברצף",1),"0")</f>
        <v>2</v>
      </c>
      <c r="J163" s="9">
        <f t="shared" si="15"/>
        <v>3</v>
      </c>
      <c r="K163" t="s">
        <v>6697</v>
      </c>
      <c r="L163" t="s">
        <v>6694</v>
      </c>
      <c r="M163" t="s">
        <v>6704</v>
      </c>
      <c r="N163" t="s">
        <v>6706</v>
      </c>
      <c r="O163" t="s">
        <v>6694</v>
      </c>
      <c r="R163" t="s">
        <v>6694</v>
      </c>
      <c r="W163" t="s">
        <v>6720</v>
      </c>
    </row>
    <row r="164" spans="1:23" ht="15.6" x14ac:dyDescent="0.4">
      <c r="A164" s="2" t="s">
        <v>4751</v>
      </c>
      <c r="B164" s="5" t="s">
        <v>6884</v>
      </c>
      <c r="C164" s="7" t="s">
        <v>12556</v>
      </c>
      <c r="D164" s="8">
        <f t="shared" si="12"/>
        <v>0</v>
      </c>
      <c r="E164" s="7" t="s">
        <v>12557</v>
      </c>
      <c r="F164" s="7">
        <f t="shared" si="13"/>
        <v>1</v>
      </c>
      <c r="G164" s="7" t="s">
        <v>12558</v>
      </c>
      <c r="H164" s="7">
        <f t="shared" si="14"/>
        <v>0</v>
      </c>
      <c r="I164" s="7" cm="1">
        <f t="array" ref="I164">IFERROR(_xlfn.IFS(M164="נח",1,M164="נע ונח",1,M164="שני שווא נח",2,M164="שני שוואים בסוף מילה",2,M164="שני שוואים ברצף",1),"0")</f>
        <v>1</v>
      </c>
      <c r="J164" s="9">
        <f t="shared" si="15"/>
        <v>2</v>
      </c>
      <c r="K164" t="s">
        <v>6698</v>
      </c>
      <c r="L164" t="s">
        <v>6694</v>
      </c>
      <c r="M164" t="s">
        <v>6705</v>
      </c>
      <c r="R164" t="s">
        <v>6694</v>
      </c>
      <c r="V164" t="s">
        <v>6694</v>
      </c>
      <c r="W164" t="s">
        <v>6720</v>
      </c>
    </row>
    <row r="165" spans="1:23" ht="15.6" x14ac:dyDescent="0.4">
      <c r="A165" s="2" t="s">
        <v>5855</v>
      </c>
      <c r="B165" s="5" t="s">
        <v>6885</v>
      </c>
      <c r="C165" s="7" t="s">
        <v>12556</v>
      </c>
      <c r="D165" s="8">
        <f t="shared" si="12"/>
        <v>0</v>
      </c>
      <c r="E165" s="7" t="s">
        <v>12557</v>
      </c>
      <c r="F165" s="7">
        <f t="shared" si="13"/>
        <v>0</v>
      </c>
      <c r="G165" s="7" t="s">
        <v>12558</v>
      </c>
      <c r="H165" s="7">
        <f t="shared" si="14"/>
        <v>0</v>
      </c>
      <c r="I165" s="7" cm="1">
        <f t="array" ref="I165">IFERROR(_xlfn.IFS(M165="נח",1,M165="נע ונח",1,M165="שני שווא נח",2,M165="שני שוואים בסוף מילה",2,M165="שני שוואים ברצף",1),"0")</f>
        <v>1</v>
      </c>
      <c r="J165" s="9">
        <f t="shared" si="15"/>
        <v>2</v>
      </c>
      <c r="K165" t="s">
        <v>6698</v>
      </c>
      <c r="L165" t="s">
        <v>6694</v>
      </c>
      <c r="M165" t="s">
        <v>6705</v>
      </c>
      <c r="N165" t="s">
        <v>6706</v>
      </c>
      <c r="O165" t="s">
        <v>6694</v>
      </c>
      <c r="R165" t="s">
        <v>6694</v>
      </c>
      <c r="W165" t="s">
        <v>6720</v>
      </c>
    </row>
    <row r="166" spans="1:23" ht="15.6" x14ac:dyDescent="0.4">
      <c r="A166" s="2" t="s">
        <v>257</v>
      </c>
      <c r="B166" s="5" t="s">
        <v>6886</v>
      </c>
      <c r="C166" s="7" t="s">
        <v>12556</v>
      </c>
      <c r="D166" s="8">
        <f t="shared" si="12"/>
        <v>0</v>
      </c>
      <c r="E166" s="7" t="s">
        <v>12557</v>
      </c>
      <c r="F166" s="7">
        <f t="shared" si="13"/>
        <v>0</v>
      </c>
      <c r="G166" s="7" t="s">
        <v>12558</v>
      </c>
      <c r="H166" s="7">
        <f t="shared" si="14"/>
        <v>0</v>
      </c>
      <c r="I166" s="7" cm="1">
        <f t="array" ref="I166">IFERROR(_xlfn.IFS(M166="נח",1,M166="נע ונח",1,M166="שני שווא נח",2,M166="שני שוואים בסוף מילה",2,M166="שני שוואים ברצף",1),"0")</f>
        <v>1</v>
      </c>
      <c r="J166" s="9">
        <f t="shared" si="15"/>
        <v>2</v>
      </c>
      <c r="K166" t="s">
        <v>6697</v>
      </c>
      <c r="L166" t="s">
        <v>6694</v>
      </c>
      <c r="M166" t="s">
        <v>6705</v>
      </c>
      <c r="R166" t="s">
        <v>6694</v>
      </c>
      <c r="W166" t="s">
        <v>6720</v>
      </c>
    </row>
    <row r="167" spans="1:23" ht="15.6" x14ac:dyDescent="0.4">
      <c r="A167" s="2" t="s">
        <v>4102</v>
      </c>
      <c r="B167" s="5" t="s">
        <v>6887</v>
      </c>
      <c r="C167" s="7" t="s">
        <v>12556</v>
      </c>
      <c r="D167" s="8">
        <f t="shared" si="12"/>
        <v>0</v>
      </c>
      <c r="E167" s="7" t="s">
        <v>12557</v>
      </c>
      <c r="F167" s="7">
        <f t="shared" si="13"/>
        <v>0</v>
      </c>
      <c r="G167" s="7" t="s">
        <v>12558</v>
      </c>
      <c r="H167" s="7">
        <f t="shared" si="14"/>
        <v>0</v>
      </c>
      <c r="I167" s="7" cm="1">
        <f t="array" ref="I167">IFERROR(_xlfn.IFS(M167="נח",1,M167="נע ונח",1,M167="שני שווא נח",2,M167="שני שוואים בסוף מילה",2,M167="שני שוואים ברצף",1),"0")</f>
        <v>1</v>
      </c>
      <c r="J167" s="9">
        <f t="shared" si="15"/>
        <v>2</v>
      </c>
      <c r="K167" t="s">
        <v>6697</v>
      </c>
      <c r="L167" t="s">
        <v>6694</v>
      </c>
      <c r="M167" t="s">
        <v>6705</v>
      </c>
      <c r="R167" t="s">
        <v>6694</v>
      </c>
      <c r="W167" t="s">
        <v>6720</v>
      </c>
    </row>
    <row r="168" spans="1:23" ht="15.6" x14ac:dyDescent="0.4">
      <c r="A168" s="2" t="s">
        <v>6586</v>
      </c>
      <c r="B168" s="5" t="s">
        <v>6888</v>
      </c>
      <c r="C168" s="7" t="s">
        <v>12556</v>
      </c>
      <c r="D168" s="8">
        <f t="shared" si="12"/>
        <v>0</v>
      </c>
      <c r="E168" s="7" t="s">
        <v>12557</v>
      </c>
      <c r="F168" s="7">
        <f t="shared" si="13"/>
        <v>0</v>
      </c>
      <c r="G168" s="7" t="s">
        <v>12558</v>
      </c>
      <c r="H168" s="7">
        <f t="shared" si="14"/>
        <v>0</v>
      </c>
      <c r="I168" s="7" cm="1">
        <f t="array" ref="I168">IFERROR(_xlfn.IFS(M168="נח",1,M168="נע ונח",1,M168="שני שווא נח",2,M168="שני שוואים בסוף מילה",2,M168="שני שוואים ברצף",1),"0")</f>
        <v>1</v>
      </c>
      <c r="J168" s="9">
        <f t="shared" si="15"/>
        <v>2</v>
      </c>
      <c r="K168" t="s">
        <v>6698</v>
      </c>
      <c r="L168" t="s">
        <v>6694</v>
      </c>
      <c r="M168" t="s">
        <v>6705</v>
      </c>
      <c r="N168" t="s">
        <v>6706</v>
      </c>
      <c r="O168" t="s">
        <v>6694</v>
      </c>
      <c r="R168" t="s">
        <v>6694</v>
      </c>
      <c r="W168" t="s">
        <v>6720</v>
      </c>
    </row>
    <row r="169" spans="1:23" ht="15.6" x14ac:dyDescent="0.4">
      <c r="A169" s="2" t="s">
        <v>239</v>
      </c>
      <c r="B169" s="5" t="s">
        <v>6889</v>
      </c>
      <c r="C169" s="7" t="s">
        <v>12556</v>
      </c>
      <c r="D169" s="8">
        <f t="shared" si="12"/>
        <v>0</v>
      </c>
      <c r="E169" s="7" t="s">
        <v>12557</v>
      </c>
      <c r="F169" s="7">
        <f t="shared" si="13"/>
        <v>0</v>
      </c>
      <c r="G169" s="7" t="s">
        <v>12558</v>
      </c>
      <c r="H169" s="7">
        <f t="shared" si="14"/>
        <v>0</v>
      </c>
      <c r="I169" s="7" t="str" cm="1">
        <f t="array" ref="I169">IFERROR(_xlfn.IFS(M169="נח",1,M169="נע ונח",1,M169="שני שווא נח",2,M169="שני שוואים בסוף מילה",2,M169="שני שוואים ברצף",1),"0")</f>
        <v>0</v>
      </c>
      <c r="J169" s="9">
        <f t="shared" si="15"/>
        <v>3</v>
      </c>
      <c r="K169" t="s">
        <v>6697</v>
      </c>
      <c r="L169" t="s">
        <v>6695</v>
      </c>
      <c r="O169" t="s">
        <v>6694</v>
      </c>
      <c r="R169" t="s">
        <v>6694</v>
      </c>
      <c r="W169" t="s">
        <v>6720</v>
      </c>
    </row>
    <row r="170" spans="1:23" ht="15.6" x14ac:dyDescent="0.4">
      <c r="A170" s="2" t="s">
        <v>3238</v>
      </c>
      <c r="B170" s="5" t="s">
        <v>6887</v>
      </c>
      <c r="C170" s="7" t="s">
        <v>12556</v>
      </c>
      <c r="D170" s="8">
        <f t="shared" si="12"/>
        <v>0</v>
      </c>
      <c r="E170" s="7" t="s">
        <v>12557</v>
      </c>
      <c r="F170" s="7">
        <f t="shared" si="13"/>
        <v>0</v>
      </c>
      <c r="G170" s="7" t="s">
        <v>12558</v>
      </c>
      <c r="H170" s="7">
        <f t="shared" si="14"/>
        <v>0</v>
      </c>
      <c r="I170" s="7" t="str" cm="1">
        <f t="array" ref="I170">IFERROR(_xlfn.IFS(M170="נח",1,M170="נע ונח",1,M170="שני שווא נח",2,M170="שני שוואים בסוף מילה",2,M170="שני שוואים ברצף",1),"0")</f>
        <v>0</v>
      </c>
      <c r="J170" s="9">
        <f t="shared" si="15"/>
        <v>3</v>
      </c>
      <c r="K170" t="s">
        <v>6697</v>
      </c>
      <c r="L170" t="s">
        <v>6695</v>
      </c>
      <c r="R170" t="s">
        <v>6694</v>
      </c>
      <c r="W170" t="s">
        <v>6720</v>
      </c>
    </row>
    <row r="171" spans="1:23" ht="15.6" x14ac:dyDescent="0.4">
      <c r="A171" s="2" t="s">
        <v>1056</v>
      </c>
      <c r="B171" s="5" t="s">
        <v>6890</v>
      </c>
      <c r="C171" s="7" t="s">
        <v>12556</v>
      </c>
      <c r="D171" s="8">
        <f t="shared" si="12"/>
        <v>0</v>
      </c>
      <c r="E171" s="7" t="s">
        <v>12557</v>
      </c>
      <c r="F171" s="7">
        <f t="shared" si="13"/>
        <v>0</v>
      </c>
      <c r="G171" s="7" t="s">
        <v>12558</v>
      </c>
      <c r="H171" s="7">
        <f t="shared" si="14"/>
        <v>0</v>
      </c>
      <c r="I171" s="7" t="str" cm="1">
        <f t="array" ref="I171">IFERROR(_xlfn.IFS(M171="נח",1,M171="נע ונח",1,M171="שני שווא נח",2,M171="שני שוואים בסוף מילה",2,M171="שני שוואים ברצף",1),"0")</f>
        <v>0</v>
      </c>
      <c r="J171" s="9">
        <f t="shared" si="15"/>
        <v>2</v>
      </c>
      <c r="K171" t="s">
        <v>6698</v>
      </c>
      <c r="L171" t="s">
        <v>6695</v>
      </c>
      <c r="N171" t="s">
        <v>6706</v>
      </c>
      <c r="O171" t="s">
        <v>6694</v>
      </c>
      <c r="R171" t="s">
        <v>6694</v>
      </c>
      <c r="W171" t="s">
        <v>6720</v>
      </c>
    </row>
    <row r="172" spans="1:23" ht="15.6" x14ac:dyDescent="0.4">
      <c r="A172" s="2" t="s">
        <v>4606</v>
      </c>
      <c r="B172" s="5" t="s">
        <v>6891</v>
      </c>
      <c r="C172" s="7" t="s">
        <v>12556</v>
      </c>
      <c r="D172" s="8">
        <f t="shared" si="12"/>
        <v>0</v>
      </c>
      <c r="E172" s="7" t="s">
        <v>12557</v>
      </c>
      <c r="F172" s="7">
        <f t="shared" si="13"/>
        <v>1</v>
      </c>
      <c r="G172" s="7" t="s">
        <v>12558</v>
      </c>
      <c r="H172" s="7">
        <f t="shared" si="14"/>
        <v>0</v>
      </c>
      <c r="I172" s="7" cm="1">
        <f t="array" ref="I172">IFERROR(_xlfn.IFS(M172="נח",1,M172="נע ונח",1,M172="שני שווא נח",2,M172="שני שוואים בסוף מילה",2,M172="שני שוואים ברצף",1),"0")</f>
        <v>1</v>
      </c>
      <c r="J172" s="9">
        <f t="shared" si="15"/>
        <v>3</v>
      </c>
      <c r="K172" t="s">
        <v>6697</v>
      </c>
      <c r="L172" t="s">
        <v>6694</v>
      </c>
      <c r="M172" t="s">
        <v>6705</v>
      </c>
      <c r="O172" t="s">
        <v>6694</v>
      </c>
      <c r="R172" t="s">
        <v>6694</v>
      </c>
      <c r="W172" t="s">
        <v>6720</v>
      </c>
    </row>
    <row r="173" spans="1:23" ht="15.6" x14ac:dyDescent="0.4">
      <c r="A173" s="2" t="s">
        <v>5345</v>
      </c>
      <c r="B173" s="5" t="s">
        <v>6892</v>
      </c>
      <c r="C173" s="7" t="s">
        <v>12556</v>
      </c>
      <c r="D173" s="8">
        <f t="shared" si="12"/>
        <v>0</v>
      </c>
      <c r="E173" s="7" t="s">
        <v>12557</v>
      </c>
      <c r="F173" s="7">
        <f t="shared" si="13"/>
        <v>0</v>
      </c>
      <c r="G173" s="7" t="s">
        <v>12558</v>
      </c>
      <c r="H173" s="7">
        <f t="shared" si="14"/>
        <v>0</v>
      </c>
      <c r="I173" s="7" cm="1">
        <f t="array" ref="I173">IFERROR(_xlfn.IFS(M173="נח",1,M173="נע ונח",1,M173="שני שווא נח",2,M173="שני שוואים בסוף מילה",2,M173="שני שוואים ברצף",1),"0")</f>
        <v>1</v>
      </c>
      <c r="J173" s="9">
        <f t="shared" si="15"/>
        <v>2</v>
      </c>
      <c r="K173" t="s">
        <v>6698</v>
      </c>
      <c r="L173" t="s">
        <v>6694</v>
      </c>
      <c r="M173" t="s">
        <v>6705</v>
      </c>
      <c r="R173" t="s">
        <v>6694</v>
      </c>
      <c r="V173" t="s">
        <v>6694</v>
      </c>
      <c r="W173" t="s">
        <v>6720</v>
      </c>
    </row>
    <row r="174" spans="1:23" ht="15.6" x14ac:dyDescent="0.4">
      <c r="A174" s="2" t="s">
        <v>3520</v>
      </c>
      <c r="B174" s="5" t="s">
        <v>6893</v>
      </c>
      <c r="C174" s="7" t="s">
        <v>12556</v>
      </c>
      <c r="D174" s="8">
        <f t="shared" si="12"/>
        <v>0</v>
      </c>
      <c r="E174" s="7" t="s">
        <v>12557</v>
      </c>
      <c r="F174" s="7">
        <f t="shared" si="13"/>
        <v>0</v>
      </c>
      <c r="G174" s="7" t="s">
        <v>12558</v>
      </c>
      <c r="H174" s="7">
        <f t="shared" si="14"/>
        <v>0</v>
      </c>
      <c r="I174" s="7" cm="1">
        <f t="array" ref="I174">IFERROR(_xlfn.IFS(M174="נח",1,M174="נע ונח",1,M174="שני שווא נח",2,M174="שני שוואים בסוף מילה",2,M174="שני שוואים ברצף",1),"0")</f>
        <v>1</v>
      </c>
      <c r="J174" s="9">
        <f t="shared" si="15"/>
        <v>2</v>
      </c>
      <c r="K174" t="s">
        <v>6697</v>
      </c>
      <c r="L174" t="s">
        <v>6694</v>
      </c>
      <c r="M174" t="s">
        <v>6705</v>
      </c>
      <c r="O174" t="s">
        <v>6694</v>
      </c>
      <c r="R174" t="s">
        <v>6694</v>
      </c>
      <c r="W174" t="s">
        <v>6720</v>
      </c>
    </row>
    <row r="175" spans="1:23" ht="15.6" x14ac:dyDescent="0.4">
      <c r="A175" s="2" t="s">
        <v>31</v>
      </c>
      <c r="B175" s="5" t="s">
        <v>6853</v>
      </c>
      <c r="C175" s="7" t="s">
        <v>12556</v>
      </c>
      <c r="D175" s="8">
        <f t="shared" si="12"/>
        <v>0</v>
      </c>
      <c r="E175" s="7" t="s">
        <v>12557</v>
      </c>
      <c r="F175" s="7">
        <f t="shared" si="13"/>
        <v>0</v>
      </c>
      <c r="G175" s="7" t="s">
        <v>12558</v>
      </c>
      <c r="H175" s="7">
        <f t="shared" si="14"/>
        <v>0</v>
      </c>
      <c r="I175" s="7" t="str" cm="1">
        <f t="array" ref="I175">IFERROR(_xlfn.IFS(M175="נח",1,M175="נע ונח",1,M175="שני שווא נח",2,M175="שני שוואים בסוף מילה",2,M175="שני שוואים ברצף",1),"0")</f>
        <v>0</v>
      </c>
      <c r="J175" s="9">
        <f t="shared" si="15"/>
        <v>1</v>
      </c>
      <c r="K175" t="s">
        <v>6698</v>
      </c>
      <c r="L175" t="s">
        <v>6695</v>
      </c>
      <c r="R175" t="s">
        <v>6694</v>
      </c>
      <c r="W175" t="s">
        <v>6720</v>
      </c>
    </row>
    <row r="176" spans="1:23" ht="15.6" x14ac:dyDescent="0.4">
      <c r="A176" s="2" t="s">
        <v>5580</v>
      </c>
      <c r="B176" s="5" t="s">
        <v>6894</v>
      </c>
      <c r="C176" s="7" t="s">
        <v>12556</v>
      </c>
      <c r="D176" s="8">
        <f t="shared" si="12"/>
        <v>0</v>
      </c>
      <c r="E176" s="7" t="s">
        <v>12557</v>
      </c>
      <c r="F176" s="7">
        <f t="shared" si="13"/>
        <v>0</v>
      </c>
      <c r="G176" s="7" t="s">
        <v>12558</v>
      </c>
      <c r="H176" s="7">
        <f t="shared" si="14"/>
        <v>0</v>
      </c>
      <c r="I176" s="7" cm="1">
        <f t="array" ref="I176">IFERROR(_xlfn.IFS(M176="נח",1,M176="נע ונח",1,M176="שני שווא נח",2,M176="שני שוואים בסוף מילה",2,M176="שני שוואים ברצף",1),"0")</f>
        <v>1</v>
      </c>
      <c r="J176" s="9">
        <f t="shared" si="15"/>
        <v>2</v>
      </c>
      <c r="K176" t="s">
        <v>6698</v>
      </c>
      <c r="L176" t="s">
        <v>6694</v>
      </c>
      <c r="M176" t="s">
        <v>6705</v>
      </c>
      <c r="P176" t="s">
        <v>6694</v>
      </c>
      <c r="R176" t="s">
        <v>6694</v>
      </c>
      <c r="W176" t="s">
        <v>6720</v>
      </c>
    </row>
    <row r="177" spans="1:23" ht="15.6" x14ac:dyDescent="0.4">
      <c r="A177" s="2" t="s">
        <v>2324</v>
      </c>
      <c r="B177" s="5" t="s">
        <v>6895</v>
      </c>
      <c r="C177" s="7" t="s">
        <v>12556</v>
      </c>
      <c r="D177" s="8">
        <f t="shared" si="12"/>
        <v>0</v>
      </c>
      <c r="E177" s="7" t="s">
        <v>12557</v>
      </c>
      <c r="F177" s="7">
        <f t="shared" si="13"/>
        <v>0</v>
      </c>
      <c r="G177" s="7" t="s">
        <v>12558</v>
      </c>
      <c r="H177" s="7">
        <f t="shared" si="14"/>
        <v>0</v>
      </c>
      <c r="I177" s="7" t="str" cm="1">
        <f t="array" ref="I177">IFERROR(_xlfn.IFS(M177="נח",1,M177="נע ונח",1,M177="שני שווא נח",2,M177="שני שוואים בסוף מילה",2,M177="שני שוואים ברצף",1),"0")</f>
        <v>0</v>
      </c>
      <c r="J177" s="9">
        <f t="shared" si="15"/>
        <v>2</v>
      </c>
      <c r="K177" t="s">
        <v>6698</v>
      </c>
      <c r="L177" t="s">
        <v>6695</v>
      </c>
      <c r="R177" t="s">
        <v>6694</v>
      </c>
      <c r="W177" t="s">
        <v>6720</v>
      </c>
    </row>
    <row r="178" spans="1:23" ht="15.6" x14ac:dyDescent="0.4">
      <c r="A178" s="2" t="s">
        <v>6252</v>
      </c>
      <c r="B178" s="5" t="s">
        <v>6896</v>
      </c>
      <c r="C178" s="7" t="s">
        <v>12556</v>
      </c>
      <c r="D178" s="8">
        <f t="shared" si="12"/>
        <v>0</v>
      </c>
      <c r="E178" s="7" t="s">
        <v>12557</v>
      </c>
      <c r="F178" s="7">
        <f t="shared" si="13"/>
        <v>0</v>
      </c>
      <c r="G178" s="7" t="s">
        <v>12558</v>
      </c>
      <c r="H178" s="7">
        <f t="shared" si="14"/>
        <v>0</v>
      </c>
      <c r="I178" s="7" cm="1">
        <f t="array" ref="I178">IFERROR(_xlfn.IFS(M178="נח",1,M178="נע ונח",1,M178="שני שווא נח",2,M178="שני שוואים בסוף מילה",2,M178="שני שוואים ברצף",1),"0")</f>
        <v>1</v>
      </c>
      <c r="J178" s="9">
        <f t="shared" si="15"/>
        <v>2</v>
      </c>
      <c r="K178" t="s">
        <v>6698</v>
      </c>
      <c r="L178" t="s">
        <v>6694</v>
      </c>
      <c r="M178" t="s">
        <v>6705</v>
      </c>
      <c r="N178" t="s">
        <v>6706</v>
      </c>
      <c r="O178" t="s">
        <v>6694</v>
      </c>
      <c r="R178" t="s">
        <v>6694</v>
      </c>
      <c r="W178" t="s">
        <v>6720</v>
      </c>
    </row>
    <row r="179" spans="1:23" ht="15.6" x14ac:dyDescent="0.4">
      <c r="A179" s="2" t="s">
        <v>6002</v>
      </c>
      <c r="B179" s="5" t="s">
        <v>6897</v>
      </c>
      <c r="C179" s="7" t="s">
        <v>12556</v>
      </c>
      <c r="D179" s="8">
        <f t="shared" si="12"/>
        <v>0</v>
      </c>
      <c r="E179" s="7" t="s">
        <v>12557</v>
      </c>
      <c r="F179" s="7">
        <f t="shared" si="13"/>
        <v>0</v>
      </c>
      <c r="G179" s="7" t="s">
        <v>12558</v>
      </c>
      <c r="H179" s="7">
        <f t="shared" si="14"/>
        <v>0</v>
      </c>
      <c r="I179" s="7" cm="1">
        <f t="array" ref="I179">IFERROR(_xlfn.IFS(M179="נח",1,M179="נע ונח",1,M179="שני שווא נח",2,M179="שני שוואים בסוף מילה",2,M179="שני שוואים ברצף",1),"0")</f>
        <v>1</v>
      </c>
      <c r="J179" s="9">
        <f t="shared" si="15"/>
        <v>2</v>
      </c>
      <c r="K179" t="s">
        <v>6697</v>
      </c>
      <c r="L179" t="s">
        <v>6694</v>
      </c>
      <c r="M179" t="s">
        <v>6705</v>
      </c>
      <c r="O179" t="s">
        <v>6694</v>
      </c>
      <c r="R179" t="s">
        <v>6694</v>
      </c>
      <c r="W179" t="s">
        <v>6720</v>
      </c>
    </row>
    <row r="180" spans="1:23" ht="15.6" x14ac:dyDescent="0.4">
      <c r="A180" s="2" t="s">
        <v>1911</v>
      </c>
      <c r="B180" s="5" t="s">
        <v>6898</v>
      </c>
      <c r="C180" s="7" t="s">
        <v>12556</v>
      </c>
      <c r="D180" s="8">
        <f t="shared" si="12"/>
        <v>0</v>
      </c>
      <c r="E180" s="7" t="s">
        <v>12557</v>
      </c>
      <c r="F180" s="7">
        <f t="shared" si="13"/>
        <v>1</v>
      </c>
      <c r="G180" s="7" t="s">
        <v>12558</v>
      </c>
      <c r="H180" s="7">
        <f t="shared" si="14"/>
        <v>0</v>
      </c>
      <c r="I180" s="7" t="str" cm="1">
        <f t="array" ref="I180">IFERROR(_xlfn.IFS(M180="נח",1,M180="נע ונח",1,M180="שני שווא נח",2,M180="שני שוואים בסוף מילה",2,M180="שני שוואים ברצף",1),"0")</f>
        <v>0</v>
      </c>
      <c r="J180" s="9">
        <f t="shared" si="15"/>
        <v>2</v>
      </c>
      <c r="K180" t="s">
        <v>6698</v>
      </c>
      <c r="L180" t="s">
        <v>6695</v>
      </c>
      <c r="R180" t="s">
        <v>6694</v>
      </c>
      <c r="V180" t="s">
        <v>6694</v>
      </c>
      <c r="W180" t="s">
        <v>6720</v>
      </c>
    </row>
    <row r="181" spans="1:23" ht="15.6" x14ac:dyDescent="0.4">
      <c r="A181" s="2" t="s">
        <v>5482</v>
      </c>
      <c r="B181" s="5" t="s">
        <v>6899</v>
      </c>
      <c r="C181" s="7" t="s">
        <v>12556</v>
      </c>
      <c r="D181" s="8">
        <f t="shared" si="12"/>
        <v>0</v>
      </c>
      <c r="E181" s="7" t="s">
        <v>12557</v>
      </c>
      <c r="F181" s="7">
        <f t="shared" si="13"/>
        <v>0</v>
      </c>
      <c r="G181" s="7" t="s">
        <v>12558</v>
      </c>
      <c r="H181" s="7">
        <f t="shared" si="14"/>
        <v>0</v>
      </c>
      <c r="I181" s="7" cm="1">
        <f t="array" ref="I181">IFERROR(_xlfn.IFS(M181="נח",1,M181="נע ונח",1,M181="שני שווא נח",2,M181="שני שוואים בסוף מילה",2,M181="שני שוואים ברצף",1),"0")</f>
        <v>1</v>
      </c>
      <c r="J181" s="9">
        <f t="shared" si="15"/>
        <v>2</v>
      </c>
      <c r="K181" t="s">
        <v>6698</v>
      </c>
      <c r="L181" t="s">
        <v>6694</v>
      </c>
      <c r="M181" t="s">
        <v>6705</v>
      </c>
      <c r="P181" t="s">
        <v>6694</v>
      </c>
      <c r="R181" t="s">
        <v>6694</v>
      </c>
      <c r="W181" t="s">
        <v>6720</v>
      </c>
    </row>
    <row r="182" spans="1:23" ht="15.6" x14ac:dyDescent="0.4">
      <c r="A182" s="2" t="s">
        <v>5075</v>
      </c>
      <c r="B182" s="5" t="s">
        <v>6900</v>
      </c>
      <c r="C182" s="7" t="s">
        <v>12556</v>
      </c>
      <c r="D182" s="8">
        <f t="shared" si="12"/>
        <v>0</v>
      </c>
      <c r="E182" s="7" t="s">
        <v>12557</v>
      </c>
      <c r="F182" s="7">
        <f t="shared" si="13"/>
        <v>1</v>
      </c>
      <c r="G182" s="7" t="s">
        <v>12558</v>
      </c>
      <c r="H182" s="7">
        <f t="shared" si="14"/>
        <v>0</v>
      </c>
      <c r="I182" s="7" cm="1">
        <f t="array" ref="I182">IFERROR(_xlfn.IFS(M182="נח",1,M182="נע ונח",1,M182="שני שווא נח",2,M182="שני שוואים בסוף מילה",2,M182="שני שוואים ברצף",1),"0")</f>
        <v>1</v>
      </c>
      <c r="J182" s="9">
        <f t="shared" si="15"/>
        <v>3</v>
      </c>
      <c r="K182" t="s">
        <v>6698</v>
      </c>
      <c r="L182" t="s">
        <v>6694</v>
      </c>
      <c r="M182" t="s">
        <v>6702</v>
      </c>
      <c r="Q182" t="s">
        <v>6694</v>
      </c>
      <c r="R182" t="s">
        <v>6694</v>
      </c>
      <c r="W182" t="s">
        <v>6720</v>
      </c>
    </row>
    <row r="183" spans="1:23" ht="15.6" x14ac:dyDescent="0.4">
      <c r="A183" s="2" t="s">
        <v>5042</v>
      </c>
      <c r="B183" s="5" t="s">
        <v>6901</v>
      </c>
      <c r="C183" s="7" t="s">
        <v>12556</v>
      </c>
      <c r="D183" s="8">
        <f t="shared" si="12"/>
        <v>0</v>
      </c>
      <c r="E183" s="7" t="s">
        <v>12557</v>
      </c>
      <c r="F183" s="7">
        <f t="shared" si="13"/>
        <v>1</v>
      </c>
      <c r="G183" s="7" t="s">
        <v>12558</v>
      </c>
      <c r="H183" s="7">
        <f t="shared" si="14"/>
        <v>0</v>
      </c>
      <c r="I183" s="7" t="str" cm="1">
        <f t="array" ref="I183">IFERROR(_xlfn.IFS(M183="נח",1,M183="נע ונח",1,M183="שני שווא נח",2,M183="שני שוואים בסוף מילה",2,M183="שני שוואים ברצף",1),"0")</f>
        <v>0</v>
      </c>
      <c r="J183" s="9">
        <f t="shared" si="15"/>
        <v>2</v>
      </c>
      <c r="K183" t="s">
        <v>6698</v>
      </c>
      <c r="L183" t="s">
        <v>6695</v>
      </c>
      <c r="P183" t="s">
        <v>6694</v>
      </c>
      <c r="R183" t="s">
        <v>6694</v>
      </c>
      <c r="W183" t="s">
        <v>6720</v>
      </c>
    </row>
    <row r="184" spans="1:23" ht="15.6" x14ac:dyDescent="0.4">
      <c r="A184" s="2" t="s">
        <v>4250</v>
      </c>
      <c r="B184" s="5" t="s">
        <v>6902</v>
      </c>
      <c r="C184" s="7" t="s">
        <v>12556</v>
      </c>
      <c r="D184" s="8">
        <f t="shared" si="12"/>
        <v>0</v>
      </c>
      <c r="E184" s="7" t="s">
        <v>12557</v>
      </c>
      <c r="F184" s="7">
        <f t="shared" si="13"/>
        <v>0</v>
      </c>
      <c r="G184" s="7" t="s">
        <v>12558</v>
      </c>
      <c r="H184" s="7">
        <f t="shared" si="14"/>
        <v>0</v>
      </c>
      <c r="I184" s="7" cm="1">
        <f t="array" ref="I184">IFERROR(_xlfn.IFS(M184="נח",1,M184="נע ונח",1,M184="שני שווא נח",2,M184="שני שוואים בסוף מילה",2,M184="שני שוואים ברצף",1),"0")</f>
        <v>1</v>
      </c>
      <c r="J184" s="9">
        <f t="shared" si="15"/>
        <v>3</v>
      </c>
      <c r="K184" t="s">
        <v>6697</v>
      </c>
      <c r="L184" t="s">
        <v>6694</v>
      </c>
      <c r="M184" t="s">
        <v>6705</v>
      </c>
      <c r="O184" t="s">
        <v>6694</v>
      </c>
      <c r="R184" t="s">
        <v>6694</v>
      </c>
      <c r="V184" t="s">
        <v>6694</v>
      </c>
      <c r="W184" t="s">
        <v>6720</v>
      </c>
    </row>
    <row r="185" spans="1:23" ht="15.6" x14ac:dyDescent="0.4">
      <c r="A185" s="2" t="s">
        <v>3561</v>
      </c>
      <c r="B185" s="5" t="s">
        <v>6903</v>
      </c>
      <c r="C185" s="7" t="s">
        <v>12556</v>
      </c>
      <c r="D185" s="8">
        <f t="shared" si="12"/>
        <v>0</v>
      </c>
      <c r="E185" s="7" t="s">
        <v>12557</v>
      </c>
      <c r="F185" s="7">
        <f t="shared" si="13"/>
        <v>0</v>
      </c>
      <c r="G185" s="7" t="s">
        <v>12558</v>
      </c>
      <c r="H185" s="7">
        <f t="shared" si="14"/>
        <v>0</v>
      </c>
      <c r="I185" s="7" t="str" cm="1">
        <f t="array" ref="I185">IFERROR(_xlfn.IFS(M185="נח",1,M185="נע ונח",1,M185="שני שווא נח",2,M185="שני שוואים בסוף מילה",2,M185="שני שוואים ברצף",1),"0")</f>
        <v>0</v>
      </c>
      <c r="J185" s="9">
        <f t="shared" si="15"/>
        <v>3</v>
      </c>
      <c r="K185" t="s">
        <v>6698</v>
      </c>
      <c r="L185" t="s">
        <v>6695</v>
      </c>
      <c r="R185" t="s">
        <v>6694</v>
      </c>
      <c r="V185" t="s">
        <v>6694</v>
      </c>
      <c r="W185" t="s">
        <v>6720</v>
      </c>
    </row>
    <row r="186" spans="1:23" ht="15.6" x14ac:dyDescent="0.4">
      <c r="A186" s="2" t="s">
        <v>6644</v>
      </c>
      <c r="B186" s="5" t="s">
        <v>6904</v>
      </c>
      <c r="C186" s="7" t="s">
        <v>12556</v>
      </c>
      <c r="D186" s="8">
        <f t="shared" si="12"/>
        <v>0</v>
      </c>
      <c r="E186" s="7" t="s">
        <v>12557</v>
      </c>
      <c r="F186" s="7">
        <f t="shared" si="13"/>
        <v>0</v>
      </c>
      <c r="G186" s="7" t="s">
        <v>12558</v>
      </c>
      <c r="H186" s="7">
        <f t="shared" si="14"/>
        <v>0</v>
      </c>
      <c r="I186" s="7" t="str" cm="1">
        <f t="array" ref="I186">IFERROR(_xlfn.IFS(M186="נח",1,M186="נע ונח",1,M186="שני שווא נח",2,M186="שני שוואים בסוף מילה",2,M186="שני שוואים ברצף",1),"0")</f>
        <v>0</v>
      </c>
      <c r="J186" s="9">
        <f t="shared" si="15"/>
        <v>3</v>
      </c>
      <c r="K186" t="s">
        <v>6698</v>
      </c>
      <c r="L186" t="s">
        <v>6695</v>
      </c>
      <c r="R186" t="s">
        <v>6694</v>
      </c>
      <c r="V186" t="s">
        <v>6694</v>
      </c>
      <c r="W186" t="s">
        <v>6720</v>
      </c>
    </row>
    <row r="187" spans="1:23" ht="15.6" x14ac:dyDescent="0.4">
      <c r="A187" s="2" t="s">
        <v>3159</v>
      </c>
      <c r="B187" s="5" t="s">
        <v>6905</v>
      </c>
      <c r="C187" s="7" t="s">
        <v>12556</v>
      </c>
      <c r="D187" s="8">
        <f t="shared" si="12"/>
        <v>0</v>
      </c>
      <c r="E187" s="7" t="s">
        <v>12557</v>
      </c>
      <c r="F187" s="7">
        <f t="shared" si="13"/>
        <v>0</v>
      </c>
      <c r="G187" s="7" t="s">
        <v>12558</v>
      </c>
      <c r="H187" s="7">
        <f t="shared" si="14"/>
        <v>0</v>
      </c>
      <c r="I187" s="7" cm="1">
        <f t="array" ref="I187">IFERROR(_xlfn.IFS(M187="נח",1,M187="נע ונח",1,M187="שני שווא נח",2,M187="שני שוואים בסוף מילה",2,M187="שני שוואים ברצף",1),"0")</f>
        <v>1</v>
      </c>
      <c r="J187" s="9">
        <f t="shared" si="15"/>
        <v>3</v>
      </c>
      <c r="K187" t="s">
        <v>6698</v>
      </c>
      <c r="L187" t="s">
        <v>6694</v>
      </c>
      <c r="M187" t="s">
        <v>6705</v>
      </c>
      <c r="N187" t="s">
        <v>6706</v>
      </c>
      <c r="O187" t="s">
        <v>6694</v>
      </c>
      <c r="R187" t="s">
        <v>6694</v>
      </c>
      <c r="W187" t="s">
        <v>6720</v>
      </c>
    </row>
    <row r="188" spans="1:23" ht="15.6" x14ac:dyDescent="0.4">
      <c r="A188" s="2" t="s">
        <v>4456</v>
      </c>
      <c r="B188" s="5" t="s">
        <v>6906</v>
      </c>
      <c r="C188" s="7" t="s">
        <v>12556</v>
      </c>
      <c r="D188" s="8">
        <f t="shared" si="12"/>
        <v>1</v>
      </c>
      <c r="E188" s="7" t="s">
        <v>12557</v>
      </c>
      <c r="F188" s="7">
        <f t="shared" si="13"/>
        <v>0</v>
      </c>
      <c r="G188" s="7" t="s">
        <v>12558</v>
      </c>
      <c r="H188" s="7">
        <f t="shared" si="14"/>
        <v>0</v>
      </c>
      <c r="I188" s="7" t="str" cm="1">
        <f t="array" ref="I188">IFERROR(_xlfn.IFS(M188="נח",1,M188="נע ונח",1,M188="שני שווא נח",2,M188="שני שוואים בסוף מילה",2,M188="שני שוואים ברצף",1),"0")</f>
        <v>0</v>
      </c>
      <c r="J188" s="9">
        <f t="shared" si="15"/>
        <v>3</v>
      </c>
      <c r="K188" t="s">
        <v>6697</v>
      </c>
      <c r="L188" t="s">
        <v>6695</v>
      </c>
      <c r="R188" t="s">
        <v>6694</v>
      </c>
      <c r="W188" t="s">
        <v>6720</v>
      </c>
    </row>
    <row r="189" spans="1:23" ht="15.6" x14ac:dyDescent="0.4">
      <c r="A189" s="2" t="s">
        <v>4855</v>
      </c>
      <c r="B189" s="5" t="s">
        <v>6907</v>
      </c>
      <c r="C189" s="7" t="s">
        <v>12556</v>
      </c>
      <c r="D189" s="8">
        <f t="shared" si="12"/>
        <v>0</v>
      </c>
      <c r="E189" s="7" t="s">
        <v>12557</v>
      </c>
      <c r="F189" s="7">
        <f t="shared" si="13"/>
        <v>0</v>
      </c>
      <c r="G189" s="7" t="s">
        <v>12558</v>
      </c>
      <c r="H189" s="7">
        <f t="shared" si="14"/>
        <v>0</v>
      </c>
      <c r="I189" s="7" cm="1">
        <f t="array" ref="I189">IFERROR(_xlfn.IFS(M189="נח",1,M189="נע ונח",1,M189="שני שווא נח",2,M189="שני שוואים בסוף מילה",2,M189="שני שוואים ברצף",1),"0")</f>
        <v>1</v>
      </c>
      <c r="J189" s="9">
        <f t="shared" si="15"/>
        <v>3</v>
      </c>
      <c r="K189" t="s">
        <v>6697</v>
      </c>
      <c r="L189" t="s">
        <v>6694</v>
      </c>
      <c r="M189" t="s">
        <v>6705</v>
      </c>
      <c r="O189" t="s">
        <v>6694</v>
      </c>
      <c r="R189" t="s">
        <v>6694</v>
      </c>
      <c r="W189" t="s">
        <v>6720</v>
      </c>
    </row>
    <row r="190" spans="1:23" ht="15.6" x14ac:dyDescent="0.4">
      <c r="A190" s="2" t="s">
        <v>6254</v>
      </c>
      <c r="B190" s="5" t="s">
        <v>6908</v>
      </c>
      <c r="C190" s="7" t="s">
        <v>12556</v>
      </c>
      <c r="D190" s="8">
        <f t="shared" si="12"/>
        <v>0</v>
      </c>
      <c r="E190" s="7" t="s">
        <v>12557</v>
      </c>
      <c r="F190" s="7">
        <f t="shared" si="13"/>
        <v>0</v>
      </c>
      <c r="G190" s="7" t="s">
        <v>12558</v>
      </c>
      <c r="H190" s="7">
        <f t="shared" si="14"/>
        <v>0</v>
      </c>
      <c r="I190" s="7" cm="1">
        <f t="array" ref="I190">IFERROR(_xlfn.IFS(M190="נח",1,M190="נע ונח",1,M190="שני שווא נח",2,M190="שני שוואים בסוף מילה",2,M190="שני שוואים ברצף",1),"0")</f>
        <v>1</v>
      </c>
      <c r="J190" s="9">
        <f t="shared" si="15"/>
        <v>2</v>
      </c>
      <c r="K190" t="s">
        <v>6698</v>
      </c>
      <c r="L190" t="s">
        <v>6694</v>
      </c>
      <c r="M190" t="s">
        <v>6705</v>
      </c>
      <c r="N190" t="s">
        <v>6706</v>
      </c>
      <c r="O190" t="s">
        <v>6694</v>
      </c>
      <c r="R190" t="s">
        <v>6694</v>
      </c>
      <c r="W190" t="s">
        <v>6720</v>
      </c>
    </row>
    <row r="191" spans="1:23" ht="15.6" x14ac:dyDescent="0.4">
      <c r="A191" s="2" t="s">
        <v>4781</v>
      </c>
      <c r="B191" s="5" t="s">
        <v>6909</v>
      </c>
      <c r="C191" s="7" t="s">
        <v>12556</v>
      </c>
      <c r="D191" s="8">
        <f t="shared" si="12"/>
        <v>0</v>
      </c>
      <c r="E191" s="7" t="s">
        <v>12557</v>
      </c>
      <c r="F191" s="7">
        <f t="shared" si="13"/>
        <v>0</v>
      </c>
      <c r="G191" s="7" t="s">
        <v>12558</v>
      </c>
      <c r="H191" s="7">
        <f t="shared" si="14"/>
        <v>0</v>
      </c>
      <c r="I191" s="7" cm="1">
        <f t="array" ref="I191">IFERROR(_xlfn.IFS(M191="נח",1,M191="נע ונח",1,M191="שני שווא נח",2,M191="שני שוואים בסוף מילה",2,M191="שני שוואים ברצף",1),"0")</f>
        <v>1</v>
      </c>
      <c r="J191" s="9">
        <f t="shared" si="15"/>
        <v>3</v>
      </c>
      <c r="K191" t="s">
        <v>6698</v>
      </c>
      <c r="L191" t="s">
        <v>6694</v>
      </c>
      <c r="M191" t="s">
        <v>6705</v>
      </c>
      <c r="P191" t="s">
        <v>6694</v>
      </c>
      <c r="R191" t="s">
        <v>6694</v>
      </c>
      <c r="S191" t="s">
        <v>6694</v>
      </c>
      <c r="W191" t="s">
        <v>6720</v>
      </c>
    </row>
    <row r="192" spans="1:23" ht="15.6" x14ac:dyDescent="0.4">
      <c r="A192" s="2" t="s">
        <v>4894</v>
      </c>
      <c r="B192" s="5" t="s">
        <v>6910</v>
      </c>
      <c r="C192" s="7" t="s">
        <v>12556</v>
      </c>
      <c r="D192" s="8">
        <f t="shared" si="12"/>
        <v>0</v>
      </c>
      <c r="E192" s="7" t="s">
        <v>12557</v>
      </c>
      <c r="F192" s="7">
        <f t="shared" si="13"/>
        <v>0</v>
      </c>
      <c r="G192" s="7" t="s">
        <v>12558</v>
      </c>
      <c r="H192" s="7">
        <f t="shared" si="14"/>
        <v>0</v>
      </c>
      <c r="I192" s="7" cm="1">
        <f t="array" ref="I192">IFERROR(_xlfn.IFS(M192="נח",1,M192="נע ונח",1,M192="שני שווא נח",2,M192="שני שוואים בסוף מילה",2,M192="שני שוואים ברצף",1),"0")</f>
        <v>1</v>
      </c>
      <c r="J192" s="9">
        <f t="shared" si="15"/>
        <v>4</v>
      </c>
      <c r="K192" t="s">
        <v>6698</v>
      </c>
      <c r="L192" t="s">
        <v>6694</v>
      </c>
      <c r="M192" t="s">
        <v>6705</v>
      </c>
      <c r="O192" t="s">
        <v>6694</v>
      </c>
      <c r="R192" t="s">
        <v>6694</v>
      </c>
      <c r="V192" t="s">
        <v>6694</v>
      </c>
      <c r="W192" t="s">
        <v>6720</v>
      </c>
    </row>
    <row r="193" spans="1:23" ht="15.6" x14ac:dyDescent="0.4">
      <c r="A193" s="2" t="s">
        <v>5702</v>
      </c>
      <c r="B193" s="5" t="s">
        <v>6911</v>
      </c>
      <c r="C193" s="7" t="s">
        <v>12556</v>
      </c>
      <c r="D193" s="8">
        <f t="shared" si="12"/>
        <v>0</v>
      </c>
      <c r="E193" s="7" t="s">
        <v>12557</v>
      </c>
      <c r="F193" s="7">
        <f t="shared" si="13"/>
        <v>1</v>
      </c>
      <c r="G193" s="7" t="s">
        <v>12558</v>
      </c>
      <c r="H193" s="7">
        <f t="shared" si="14"/>
        <v>0</v>
      </c>
      <c r="I193" s="7" cm="1">
        <f t="array" ref="I193">IFERROR(_xlfn.IFS(M193="נח",1,M193="נע ונח",1,M193="שני שווא נח",2,M193="שני שוואים בסוף מילה",2,M193="שני שוואים ברצף",1),"0")</f>
        <v>1</v>
      </c>
      <c r="J193" s="9">
        <f t="shared" si="15"/>
        <v>3</v>
      </c>
      <c r="K193" t="s">
        <v>6697</v>
      </c>
      <c r="L193" t="s">
        <v>6694</v>
      </c>
      <c r="M193" t="s">
        <v>6702</v>
      </c>
      <c r="O193" t="s">
        <v>6694</v>
      </c>
      <c r="R193" t="s">
        <v>6694</v>
      </c>
      <c r="W193" t="s">
        <v>6720</v>
      </c>
    </row>
    <row r="194" spans="1:23" ht="15.6" x14ac:dyDescent="0.4">
      <c r="A194" s="2" t="s">
        <v>3468</v>
      </c>
      <c r="B194" s="5" t="s">
        <v>6912</v>
      </c>
      <c r="C194" s="7" t="s">
        <v>12556</v>
      </c>
      <c r="D194" s="8">
        <f t="shared" si="12"/>
        <v>0</v>
      </c>
      <c r="E194" s="7" t="s">
        <v>12557</v>
      </c>
      <c r="F194" s="7">
        <f t="shared" si="13"/>
        <v>1</v>
      </c>
      <c r="G194" s="7" t="s">
        <v>12558</v>
      </c>
      <c r="H194" s="7">
        <f t="shared" si="14"/>
        <v>0</v>
      </c>
      <c r="I194" s="7" cm="1">
        <f t="array" ref="I194">IFERROR(_xlfn.IFS(M194="נח",1,M194="נע ונח",1,M194="שני שווא נח",2,M194="שני שוואים בסוף מילה",2,M194="שני שוואים ברצף",1),"0")</f>
        <v>1</v>
      </c>
      <c r="J194" s="9">
        <f t="shared" si="15"/>
        <v>2</v>
      </c>
      <c r="K194" t="s">
        <v>6698</v>
      </c>
      <c r="L194" t="s">
        <v>6694</v>
      </c>
      <c r="M194" t="s">
        <v>6705</v>
      </c>
      <c r="P194" t="s">
        <v>6694</v>
      </c>
      <c r="R194" t="s">
        <v>6694</v>
      </c>
      <c r="W194" t="s">
        <v>6720</v>
      </c>
    </row>
    <row r="195" spans="1:23" ht="15.6" x14ac:dyDescent="0.4">
      <c r="A195" s="2" t="s">
        <v>2147</v>
      </c>
      <c r="B195" s="5" t="s">
        <v>6913</v>
      </c>
      <c r="C195" s="7" t="s">
        <v>12556</v>
      </c>
      <c r="D195" s="8">
        <f t="shared" ref="D195:D258" si="16">(LEN(B195)-LEN(SUBSTITUTE(B195,C195,"")))</f>
        <v>0</v>
      </c>
      <c r="E195" s="7" t="s">
        <v>12557</v>
      </c>
      <c r="F195" s="7">
        <f t="shared" ref="F195:F258" si="17">(LEN(A195)-LEN(SUBSTITUTE(A195,E195,"")))</f>
        <v>1</v>
      </c>
      <c r="G195" s="7" t="s">
        <v>12558</v>
      </c>
      <c r="H195" s="7">
        <f t="shared" ref="H195:H258" si="18">(LEN(A195)-LEN(SUBSTITUTE(A195,G195,"")))/2</f>
        <v>0</v>
      </c>
      <c r="I195" s="7" cm="1">
        <f t="array" ref="I195">IFERROR(_xlfn.IFS(M195="נח",1,M195="נע ונח",1,M195="שני שווא נח",2,M195="שני שוואים בסוף מילה",2,M195="שני שוואים ברצף",1),"0")</f>
        <v>1</v>
      </c>
      <c r="J195" s="9">
        <f t="shared" ref="J195:J258" si="19">LEN(A195)-(LEN(B195))-D195-F195+H195-I195</f>
        <v>5</v>
      </c>
      <c r="K195" t="s">
        <v>6697</v>
      </c>
      <c r="L195" t="s">
        <v>6694</v>
      </c>
      <c r="M195" t="s">
        <v>6702</v>
      </c>
      <c r="O195" t="s">
        <v>6694</v>
      </c>
      <c r="R195" t="s">
        <v>6694</v>
      </c>
      <c r="V195" t="s">
        <v>6694</v>
      </c>
      <c r="W195" t="s">
        <v>6720</v>
      </c>
    </row>
    <row r="196" spans="1:23" ht="15.6" x14ac:dyDescent="0.4">
      <c r="A196" s="2" t="s">
        <v>2912</v>
      </c>
      <c r="B196" s="5" t="s">
        <v>6914</v>
      </c>
      <c r="C196" s="7" t="s">
        <v>12556</v>
      </c>
      <c r="D196" s="8">
        <f t="shared" si="16"/>
        <v>0</v>
      </c>
      <c r="E196" s="7" t="s">
        <v>12557</v>
      </c>
      <c r="F196" s="7">
        <f t="shared" si="17"/>
        <v>1</v>
      </c>
      <c r="G196" s="7" t="s">
        <v>12558</v>
      </c>
      <c r="H196" s="7">
        <f t="shared" si="18"/>
        <v>0</v>
      </c>
      <c r="I196" s="7" cm="1">
        <f t="array" ref="I196">IFERROR(_xlfn.IFS(M196="נח",1,M196="נע ונח",1,M196="שני שווא נח",2,M196="שני שוואים בסוף מילה",2,M196="שני שוואים ברצף",1),"0")</f>
        <v>1</v>
      </c>
      <c r="J196" s="9">
        <f t="shared" si="19"/>
        <v>4</v>
      </c>
      <c r="K196" t="s">
        <v>6698</v>
      </c>
      <c r="L196" t="s">
        <v>6694</v>
      </c>
      <c r="M196" t="s">
        <v>6702</v>
      </c>
      <c r="P196" t="s">
        <v>6694</v>
      </c>
      <c r="R196" t="s">
        <v>6694</v>
      </c>
      <c r="V196" t="s">
        <v>6694</v>
      </c>
      <c r="W196" t="s">
        <v>6720</v>
      </c>
    </row>
    <row r="197" spans="1:23" ht="15.6" x14ac:dyDescent="0.4">
      <c r="A197" s="2" t="s">
        <v>0</v>
      </c>
      <c r="B197" s="5" t="s">
        <v>6915</v>
      </c>
      <c r="C197" s="7" t="s">
        <v>12556</v>
      </c>
      <c r="D197" s="8">
        <f t="shared" si="16"/>
        <v>0</v>
      </c>
      <c r="E197" s="7" t="s">
        <v>12557</v>
      </c>
      <c r="F197" s="7">
        <f t="shared" si="17"/>
        <v>0</v>
      </c>
      <c r="G197" s="7" t="s">
        <v>12558</v>
      </c>
      <c r="H197" s="7">
        <f t="shared" si="18"/>
        <v>0</v>
      </c>
      <c r="I197" s="7" cm="1">
        <f t="array" ref="I197">IFERROR(_xlfn.IFS(M197="נח",1,M197="נע ונח",1,M197="שני שווא נח",2,M197="שני שוואים בסוף מילה",2,M197="שני שוואים ברצף",1),"0")</f>
        <v>1</v>
      </c>
      <c r="J197" s="9">
        <f t="shared" si="19"/>
        <v>2</v>
      </c>
      <c r="K197" t="s">
        <v>6697</v>
      </c>
      <c r="L197" t="s">
        <v>6694</v>
      </c>
      <c r="M197" t="s">
        <v>6705</v>
      </c>
      <c r="O197" t="s">
        <v>6694</v>
      </c>
      <c r="R197" t="s">
        <v>6694</v>
      </c>
      <c r="W197" t="s">
        <v>6720</v>
      </c>
    </row>
    <row r="198" spans="1:23" ht="15.6" x14ac:dyDescent="0.4">
      <c r="A198" s="2" t="s">
        <v>4657</v>
      </c>
      <c r="B198" s="5" t="s">
        <v>6916</v>
      </c>
      <c r="C198" s="7" t="s">
        <v>12556</v>
      </c>
      <c r="D198" s="8">
        <f t="shared" si="16"/>
        <v>0</v>
      </c>
      <c r="E198" s="7" t="s">
        <v>12557</v>
      </c>
      <c r="F198" s="7">
        <f t="shared" si="17"/>
        <v>1</v>
      </c>
      <c r="G198" s="7" t="s">
        <v>12558</v>
      </c>
      <c r="H198" s="7">
        <f t="shared" si="18"/>
        <v>0</v>
      </c>
      <c r="I198" s="7" t="str" cm="1">
        <f t="array" ref="I198">IFERROR(_xlfn.IFS(M198="נח",1,M198="נע ונח",1,M198="שני שווא נח",2,M198="שני שוואים בסוף מילה",2,M198="שני שוואים ברצף",1),"0")</f>
        <v>0</v>
      </c>
      <c r="J198" s="9">
        <f t="shared" si="19"/>
        <v>2</v>
      </c>
      <c r="K198" t="s">
        <v>6698</v>
      </c>
      <c r="L198" t="s">
        <v>6695</v>
      </c>
      <c r="P198" t="s">
        <v>6694</v>
      </c>
      <c r="R198" t="s">
        <v>6694</v>
      </c>
      <c r="W198" t="s">
        <v>6720</v>
      </c>
    </row>
    <row r="199" spans="1:23" ht="15.6" x14ac:dyDescent="0.4">
      <c r="A199" s="2" t="s">
        <v>1710</v>
      </c>
      <c r="B199" s="5" t="s">
        <v>6917</v>
      </c>
      <c r="C199" s="7" t="s">
        <v>12556</v>
      </c>
      <c r="D199" s="8">
        <f t="shared" si="16"/>
        <v>0</v>
      </c>
      <c r="E199" s="7" t="s">
        <v>12557</v>
      </c>
      <c r="F199" s="7">
        <f t="shared" si="17"/>
        <v>0</v>
      </c>
      <c r="G199" s="7" t="s">
        <v>12558</v>
      </c>
      <c r="H199" s="7">
        <f t="shared" si="18"/>
        <v>0</v>
      </c>
      <c r="I199" s="7" cm="1">
        <f t="array" ref="I199">IFERROR(_xlfn.IFS(M199="נח",1,M199="נע ונח",1,M199="שני שווא נח",2,M199="שני שוואים בסוף מילה",2,M199="שני שוואים ברצף",1),"0")</f>
        <v>1</v>
      </c>
      <c r="J199" s="9">
        <f t="shared" si="19"/>
        <v>2</v>
      </c>
      <c r="K199" t="s">
        <v>6697</v>
      </c>
      <c r="L199" t="s">
        <v>6694</v>
      </c>
      <c r="M199" t="s">
        <v>6705</v>
      </c>
      <c r="R199" t="s">
        <v>6694</v>
      </c>
      <c r="W199" t="s">
        <v>6720</v>
      </c>
    </row>
    <row r="200" spans="1:23" ht="15.6" x14ac:dyDescent="0.4">
      <c r="A200" s="2" t="s">
        <v>3237</v>
      </c>
      <c r="B200" s="5" t="s">
        <v>6918</v>
      </c>
      <c r="C200" s="7" t="s">
        <v>12556</v>
      </c>
      <c r="D200" s="8">
        <f t="shared" si="16"/>
        <v>0</v>
      </c>
      <c r="E200" s="7" t="s">
        <v>12557</v>
      </c>
      <c r="F200" s="7">
        <f t="shared" si="17"/>
        <v>0</v>
      </c>
      <c r="G200" s="7" t="s">
        <v>12558</v>
      </c>
      <c r="H200" s="7">
        <f t="shared" si="18"/>
        <v>0</v>
      </c>
      <c r="I200" s="7" cm="1">
        <f t="array" ref="I200">IFERROR(_xlfn.IFS(M200="נח",1,M200="נע ונח",1,M200="שני שווא נח",2,M200="שני שוואים בסוף מילה",2,M200="שני שוואים ברצף",1),"0")</f>
        <v>2</v>
      </c>
      <c r="J200" s="9">
        <f t="shared" si="19"/>
        <v>3</v>
      </c>
      <c r="K200" t="s">
        <v>6697</v>
      </c>
      <c r="L200" t="s">
        <v>6694</v>
      </c>
      <c r="M200" t="s">
        <v>6704</v>
      </c>
      <c r="N200" t="s">
        <v>6706</v>
      </c>
      <c r="O200" t="s">
        <v>6694</v>
      </c>
      <c r="R200" t="s">
        <v>6694</v>
      </c>
      <c r="W200" t="s">
        <v>6720</v>
      </c>
    </row>
    <row r="201" spans="1:23" ht="15.6" x14ac:dyDescent="0.4">
      <c r="A201" s="2" t="s">
        <v>5311</v>
      </c>
      <c r="B201" s="5" t="s">
        <v>6919</v>
      </c>
      <c r="C201" s="7" t="s">
        <v>12556</v>
      </c>
      <c r="D201" s="8">
        <f t="shared" si="16"/>
        <v>0</v>
      </c>
      <c r="E201" s="7" t="s">
        <v>12557</v>
      </c>
      <c r="F201" s="7">
        <f t="shared" si="17"/>
        <v>0</v>
      </c>
      <c r="G201" s="7" t="s">
        <v>12558</v>
      </c>
      <c r="H201" s="7">
        <f t="shared" si="18"/>
        <v>0</v>
      </c>
      <c r="I201" s="7" cm="1">
        <f t="array" ref="I201">IFERROR(_xlfn.IFS(M201="נח",1,M201="נע ונח",1,M201="שני שווא נח",2,M201="שני שוואים בסוף מילה",2,M201="שני שוואים ברצף",1),"0")</f>
        <v>1</v>
      </c>
      <c r="J201" s="9">
        <f t="shared" si="19"/>
        <v>2</v>
      </c>
      <c r="K201" t="s">
        <v>6698</v>
      </c>
      <c r="L201" t="s">
        <v>6694</v>
      </c>
      <c r="M201" t="s">
        <v>6705</v>
      </c>
      <c r="P201" t="s">
        <v>6694</v>
      </c>
      <c r="R201" t="s">
        <v>6694</v>
      </c>
      <c r="W201" t="s">
        <v>6720</v>
      </c>
    </row>
    <row r="202" spans="1:23" ht="15.6" x14ac:dyDescent="0.4">
      <c r="A202" s="2" t="s">
        <v>2828</v>
      </c>
      <c r="B202" s="5" t="s">
        <v>6920</v>
      </c>
      <c r="C202" s="7" t="s">
        <v>12556</v>
      </c>
      <c r="D202" s="8">
        <f t="shared" si="16"/>
        <v>0</v>
      </c>
      <c r="E202" s="7" t="s">
        <v>12557</v>
      </c>
      <c r="F202" s="7">
        <f t="shared" si="17"/>
        <v>0</v>
      </c>
      <c r="G202" s="7" t="s">
        <v>12558</v>
      </c>
      <c r="H202" s="7">
        <f t="shared" si="18"/>
        <v>0</v>
      </c>
      <c r="I202" s="7" cm="1">
        <f t="array" ref="I202">IFERROR(_xlfn.IFS(M202="נח",1,M202="נע ונח",1,M202="שני שווא נח",2,M202="שני שוואים בסוף מילה",2,M202="שני שוואים ברצף",1),"0")</f>
        <v>1</v>
      </c>
      <c r="J202" s="9">
        <f t="shared" si="19"/>
        <v>2</v>
      </c>
      <c r="K202" t="s">
        <v>6698</v>
      </c>
      <c r="L202" t="s">
        <v>6694</v>
      </c>
      <c r="M202" t="s">
        <v>6705</v>
      </c>
      <c r="R202" t="s">
        <v>6694</v>
      </c>
      <c r="W202" t="s">
        <v>6720</v>
      </c>
    </row>
    <row r="203" spans="1:23" ht="15.6" x14ac:dyDescent="0.4">
      <c r="A203" s="2" t="s">
        <v>635</v>
      </c>
      <c r="B203" s="5" t="s">
        <v>6921</v>
      </c>
      <c r="C203" s="7" t="s">
        <v>12556</v>
      </c>
      <c r="D203" s="8">
        <f t="shared" si="16"/>
        <v>0</v>
      </c>
      <c r="E203" s="7" t="s">
        <v>12557</v>
      </c>
      <c r="F203" s="7">
        <f t="shared" si="17"/>
        <v>0</v>
      </c>
      <c r="G203" s="7" t="s">
        <v>12558</v>
      </c>
      <c r="H203" s="7">
        <f t="shared" si="18"/>
        <v>0</v>
      </c>
      <c r="I203" s="7" t="str" cm="1">
        <f t="array" ref="I203">IFERROR(_xlfn.IFS(M203="נח",1,M203="נע ונח",1,M203="שני שווא נח",2,M203="שני שוואים בסוף מילה",2,M203="שני שוואים ברצף",1),"0")</f>
        <v>0</v>
      </c>
      <c r="J203" s="9">
        <f t="shared" si="19"/>
        <v>2</v>
      </c>
      <c r="K203" t="s">
        <v>6698</v>
      </c>
      <c r="L203" t="s">
        <v>6695</v>
      </c>
      <c r="R203" t="s">
        <v>6694</v>
      </c>
      <c r="W203" t="s">
        <v>6720</v>
      </c>
    </row>
    <row r="204" spans="1:23" ht="15.6" x14ac:dyDescent="0.4">
      <c r="A204" s="2" t="s">
        <v>4110</v>
      </c>
      <c r="B204" s="5" t="s">
        <v>6922</v>
      </c>
      <c r="C204" s="7" t="s">
        <v>12556</v>
      </c>
      <c r="D204" s="8">
        <f t="shared" si="16"/>
        <v>1</v>
      </c>
      <c r="E204" s="7" t="s">
        <v>12557</v>
      </c>
      <c r="F204" s="7">
        <f t="shared" si="17"/>
        <v>1</v>
      </c>
      <c r="G204" s="7" t="s">
        <v>12558</v>
      </c>
      <c r="H204" s="7">
        <f t="shared" si="18"/>
        <v>0</v>
      </c>
      <c r="I204" s="7" cm="1">
        <f t="array" ref="I204">IFERROR(_xlfn.IFS(M204="נח",1,M204="נע ונח",1,M204="שני שווא נח",2,M204="שני שוואים בסוף מילה",2,M204="שני שוואים ברצף",1),"0")</f>
        <v>1</v>
      </c>
      <c r="J204" s="9">
        <f t="shared" si="19"/>
        <v>3</v>
      </c>
      <c r="K204" t="s">
        <v>6697</v>
      </c>
      <c r="L204" t="s">
        <v>6694</v>
      </c>
      <c r="M204" t="s">
        <v>6702</v>
      </c>
      <c r="O204" t="s">
        <v>6694</v>
      </c>
      <c r="R204" t="s">
        <v>6694</v>
      </c>
      <c r="W204" t="s">
        <v>6720</v>
      </c>
    </row>
    <row r="205" spans="1:23" ht="15.6" x14ac:dyDescent="0.4">
      <c r="A205" s="2" t="s">
        <v>5047</v>
      </c>
      <c r="B205" s="5" t="s">
        <v>6923</v>
      </c>
      <c r="C205" s="7" t="s">
        <v>12556</v>
      </c>
      <c r="D205" s="8">
        <f t="shared" si="16"/>
        <v>1</v>
      </c>
      <c r="E205" s="7" t="s">
        <v>12557</v>
      </c>
      <c r="F205" s="7">
        <f t="shared" si="17"/>
        <v>1</v>
      </c>
      <c r="G205" s="7" t="s">
        <v>12558</v>
      </c>
      <c r="H205" s="7">
        <f t="shared" si="18"/>
        <v>0</v>
      </c>
      <c r="I205" s="7" cm="1">
        <f t="array" ref="I205">IFERROR(_xlfn.IFS(M205="נח",1,M205="נע ונח",1,M205="שני שווא נח",2,M205="שני שוואים בסוף מילה",2,M205="שני שוואים ברצף",1),"0")</f>
        <v>1</v>
      </c>
      <c r="J205" s="9">
        <f t="shared" si="19"/>
        <v>3</v>
      </c>
      <c r="K205" t="s">
        <v>6697</v>
      </c>
      <c r="L205" t="s">
        <v>6694</v>
      </c>
      <c r="M205" t="s">
        <v>6702</v>
      </c>
      <c r="O205" t="s">
        <v>6694</v>
      </c>
      <c r="R205" t="s">
        <v>6694</v>
      </c>
      <c r="W205" t="s">
        <v>6720</v>
      </c>
    </row>
    <row r="206" spans="1:23" ht="15.6" x14ac:dyDescent="0.4">
      <c r="A206" s="2" t="s">
        <v>254</v>
      </c>
      <c r="B206" s="5" t="s">
        <v>6924</v>
      </c>
      <c r="C206" s="7" t="s">
        <v>12556</v>
      </c>
      <c r="D206" s="8">
        <f t="shared" si="16"/>
        <v>1</v>
      </c>
      <c r="E206" s="7" t="s">
        <v>12557</v>
      </c>
      <c r="F206" s="7">
        <f t="shared" si="17"/>
        <v>1</v>
      </c>
      <c r="G206" s="7" t="s">
        <v>12558</v>
      </c>
      <c r="H206" s="7">
        <f t="shared" si="18"/>
        <v>0</v>
      </c>
      <c r="I206" s="7" cm="1">
        <f t="array" ref="I206">IFERROR(_xlfn.IFS(M206="נח",1,M206="נע ונח",1,M206="שני שווא נח",2,M206="שני שוואים בסוף מילה",2,M206="שני שוואים ברצף",1),"0")</f>
        <v>1</v>
      </c>
      <c r="J206" s="9">
        <f t="shared" si="19"/>
        <v>2</v>
      </c>
      <c r="K206" t="s">
        <v>6698</v>
      </c>
      <c r="L206" t="s">
        <v>6694</v>
      </c>
      <c r="M206" t="s">
        <v>6705</v>
      </c>
      <c r="P206" t="s">
        <v>6694</v>
      </c>
      <c r="R206" t="s">
        <v>6694</v>
      </c>
      <c r="W206" t="s">
        <v>6720</v>
      </c>
    </row>
    <row r="207" spans="1:23" ht="15.6" x14ac:dyDescent="0.4">
      <c r="A207" s="2" t="s">
        <v>5939</v>
      </c>
      <c r="B207" s="5" t="s">
        <v>6925</v>
      </c>
      <c r="C207" s="7" t="s">
        <v>12556</v>
      </c>
      <c r="D207" s="8">
        <f t="shared" si="16"/>
        <v>1</v>
      </c>
      <c r="E207" s="7" t="s">
        <v>12557</v>
      </c>
      <c r="F207" s="7">
        <f t="shared" si="17"/>
        <v>1</v>
      </c>
      <c r="G207" s="7" t="s">
        <v>12558</v>
      </c>
      <c r="H207" s="7">
        <f t="shared" si="18"/>
        <v>0</v>
      </c>
      <c r="I207" s="7" cm="1">
        <f t="array" ref="I207">IFERROR(_xlfn.IFS(M207="נח",1,M207="נע ונח",1,M207="שני שווא נח",2,M207="שני שוואים בסוף מילה",2,M207="שני שוואים ברצף",1),"0")</f>
        <v>2</v>
      </c>
      <c r="J207" s="9">
        <f t="shared" si="19"/>
        <v>3</v>
      </c>
      <c r="K207" t="s">
        <v>6698</v>
      </c>
      <c r="L207" t="s">
        <v>6694</v>
      </c>
      <c r="M207" t="s">
        <v>6704</v>
      </c>
      <c r="O207" t="s">
        <v>6694</v>
      </c>
      <c r="Q207" t="s">
        <v>6694</v>
      </c>
      <c r="R207" t="s">
        <v>6694</v>
      </c>
      <c r="W207" t="s">
        <v>6720</v>
      </c>
    </row>
    <row r="208" spans="1:23" ht="15.6" x14ac:dyDescent="0.4">
      <c r="A208" s="2" t="s">
        <v>3103</v>
      </c>
      <c r="B208" s="5" t="s">
        <v>6926</v>
      </c>
      <c r="C208" s="7" t="s">
        <v>12556</v>
      </c>
      <c r="D208" s="8">
        <f t="shared" si="16"/>
        <v>1</v>
      </c>
      <c r="E208" s="7" t="s">
        <v>12557</v>
      </c>
      <c r="F208" s="7">
        <f t="shared" si="17"/>
        <v>1</v>
      </c>
      <c r="G208" s="7" t="s">
        <v>12558</v>
      </c>
      <c r="H208" s="7">
        <f t="shared" si="18"/>
        <v>0</v>
      </c>
      <c r="I208" s="7" cm="1">
        <f t="array" ref="I208">IFERROR(_xlfn.IFS(M208="נח",1,M208="נע ונח",1,M208="שני שווא נח",2,M208="שני שוואים בסוף מילה",2,M208="שני שוואים ברצף",1),"0")</f>
        <v>1</v>
      </c>
      <c r="J208" s="9">
        <f t="shared" si="19"/>
        <v>2</v>
      </c>
      <c r="K208" t="s">
        <v>6698</v>
      </c>
      <c r="L208" t="s">
        <v>6694</v>
      </c>
      <c r="M208" t="s">
        <v>6705</v>
      </c>
      <c r="N208" t="s">
        <v>6706</v>
      </c>
      <c r="O208" t="s">
        <v>6694</v>
      </c>
      <c r="R208" t="s">
        <v>6694</v>
      </c>
      <c r="W208" t="s">
        <v>6720</v>
      </c>
    </row>
    <row r="209" spans="1:23" ht="15.6" x14ac:dyDescent="0.4">
      <c r="A209" s="2" t="s">
        <v>4938</v>
      </c>
      <c r="B209" s="5" t="s">
        <v>6927</v>
      </c>
      <c r="C209" s="7" t="s">
        <v>12556</v>
      </c>
      <c r="D209" s="8">
        <f t="shared" si="16"/>
        <v>1</v>
      </c>
      <c r="E209" s="7" t="s">
        <v>12557</v>
      </c>
      <c r="F209" s="7">
        <f t="shared" si="17"/>
        <v>0</v>
      </c>
      <c r="G209" s="7" t="s">
        <v>12558</v>
      </c>
      <c r="H209" s="7">
        <f t="shared" si="18"/>
        <v>0</v>
      </c>
      <c r="I209" s="7" cm="1">
        <f t="array" ref="I209">IFERROR(_xlfn.IFS(M209="נח",1,M209="נע ונח",1,M209="שני שווא נח",2,M209="שני שוואים בסוף מילה",2,M209="שני שוואים ברצף",1),"0")</f>
        <v>1</v>
      </c>
      <c r="J209" s="9">
        <f t="shared" si="19"/>
        <v>3</v>
      </c>
      <c r="K209" t="s">
        <v>6697</v>
      </c>
      <c r="L209" t="s">
        <v>6694</v>
      </c>
      <c r="M209" t="s">
        <v>6702</v>
      </c>
      <c r="O209" t="s">
        <v>6694</v>
      </c>
      <c r="R209" t="s">
        <v>6694</v>
      </c>
      <c r="W209" t="s">
        <v>6720</v>
      </c>
    </row>
    <row r="210" spans="1:23" ht="15.6" x14ac:dyDescent="0.4">
      <c r="A210" s="2" t="s">
        <v>3434</v>
      </c>
      <c r="B210" s="5" t="s">
        <v>6928</v>
      </c>
      <c r="C210" s="7" t="s">
        <v>12556</v>
      </c>
      <c r="D210" s="8">
        <f t="shared" si="16"/>
        <v>1</v>
      </c>
      <c r="E210" s="7" t="s">
        <v>12557</v>
      </c>
      <c r="F210" s="7">
        <f t="shared" si="17"/>
        <v>0</v>
      </c>
      <c r="G210" s="7" t="s">
        <v>12558</v>
      </c>
      <c r="H210" s="7">
        <f t="shared" si="18"/>
        <v>0</v>
      </c>
      <c r="I210" s="7" cm="1">
        <f t="array" ref="I210">IFERROR(_xlfn.IFS(M210="נח",1,M210="נע ונח",1,M210="שני שווא נח",2,M210="שני שוואים בסוף מילה",2,M210="שני שוואים ברצף",1),"0")</f>
        <v>1</v>
      </c>
      <c r="J210" s="9">
        <f t="shared" si="19"/>
        <v>3</v>
      </c>
      <c r="K210" t="s">
        <v>6697</v>
      </c>
      <c r="L210" t="s">
        <v>6694</v>
      </c>
      <c r="M210" t="s">
        <v>6702</v>
      </c>
      <c r="O210" t="s">
        <v>6694</v>
      </c>
      <c r="R210" t="s">
        <v>6694</v>
      </c>
      <c r="W210" t="s">
        <v>6720</v>
      </c>
    </row>
    <row r="211" spans="1:23" ht="15.6" x14ac:dyDescent="0.4">
      <c r="A211" s="2" t="s">
        <v>1940</v>
      </c>
      <c r="B211" s="5" t="s">
        <v>6929</v>
      </c>
      <c r="C211" s="7" t="s">
        <v>12556</v>
      </c>
      <c r="D211" s="8">
        <f t="shared" si="16"/>
        <v>1</v>
      </c>
      <c r="E211" s="7" t="s">
        <v>12557</v>
      </c>
      <c r="F211" s="7">
        <f t="shared" si="17"/>
        <v>0</v>
      </c>
      <c r="G211" s="7" t="s">
        <v>12558</v>
      </c>
      <c r="H211" s="7">
        <f t="shared" si="18"/>
        <v>0</v>
      </c>
      <c r="I211" s="7" cm="1">
        <f t="array" ref="I211">IFERROR(_xlfn.IFS(M211="נח",1,M211="נע ונח",1,M211="שני שווא נח",2,M211="שני שוואים בסוף מילה",2,M211="שני שוואים ברצף",1),"0")</f>
        <v>1</v>
      </c>
      <c r="J211" s="9">
        <f t="shared" si="19"/>
        <v>2</v>
      </c>
      <c r="K211" t="s">
        <v>6697</v>
      </c>
      <c r="L211" t="s">
        <v>6694</v>
      </c>
      <c r="M211" t="s">
        <v>6705</v>
      </c>
      <c r="O211" t="s">
        <v>6694</v>
      </c>
      <c r="R211" t="s">
        <v>6694</v>
      </c>
      <c r="W211" t="s">
        <v>6720</v>
      </c>
    </row>
    <row r="212" spans="1:23" ht="15.6" x14ac:dyDescent="0.4">
      <c r="A212" s="2" t="s">
        <v>5849</v>
      </c>
      <c r="B212" s="5" t="s">
        <v>6930</v>
      </c>
      <c r="C212" s="7" t="s">
        <v>12556</v>
      </c>
      <c r="D212" s="8">
        <f t="shared" si="16"/>
        <v>1</v>
      </c>
      <c r="E212" s="7" t="s">
        <v>12557</v>
      </c>
      <c r="F212" s="7">
        <f t="shared" si="17"/>
        <v>0</v>
      </c>
      <c r="G212" s="7" t="s">
        <v>12558</v>
      </c>
      <c r="H212" s="7">
        <f t="shared" si="18"/>
        <v>0</v>
      </c>
      <c r="I212" s="7" cm="1">
        <f t="array" ref="I212">IFERROR(_xlfn.IFS(M212="נח",1,M212="נע ונח",1,M212="שני שווא נח",2,M212="שני שוואים בסוף מילה",2,M212="שני שוואים ברצף",1),"0")</f>
        <v>1</v>
      </c>
      <c r="J212" s="9">
        <f t="shared" si="19"/>
        <v>2</v>
      </c>
      <c r="K212" t="s">
        <v>6698</v>
      </c>
      <c r="L212" t="s">
        <v>6694</v>
      </c>
      <c r="M212" t="s">
        <v>6705</v>
      </c>
      <c r="N212" t="s">
        <v>6706</v>
      </c>
      <c r="O212" t="s">
        <v>6694</v>
      </c>
      <c r="R212" t="s">
        <v>6694</v>
      </c>
      <c r="W212" t="s">
        <v>6720</v>
      </c>
    </row>
    <row r="213" spans="1:23" ht="15.6" x14ac:dyDescent="0.4">
      <c r="A213" s="2" t="s">
        <v>226</v>
      </c>
      <c r="B213" s="5" t="s">
        <v>6930</v>
      </c>
      <c r="C213" s="7" t="s">
        <v>12556</v>
      </c>
      <c r="D213" s="8">
        <f t="shared" si="16"/>
        <v>1</v>
      </c>
      <c r="E213" s="7" t="s">
        <v>12557</v>
      </c>
      <c r="F213" s="7">
        <f t="shared" si="17"/>
        <v>0</v>
      </c>
      <c r="G213" s="7" t="s">
        <v>12558</v>
      </c>
      <c r="H213" s="7">
        <f t="shared" si="18"/>
        <v>0</v>
      </c>
      <c r="I213" s="7" cm="1">
        <f t="array" ref="I213">IFERROR(_xlfn.IFS(M213="נח",1,M213="נע ונח",1,M213="שני שווא נח",2,M213="שני שוואים בסוף מילה",2,M213="שני שוואים ברצף",1),"0")</f>
        <v>1</v>
      </c>
      <c r="J213" s="9">
        <f t="shared" si="19"/>
        <v>2</v>
      </c>
      <c r="K213" t="s">
        <v>6698</v>
      </c>
      <c r="L213" t="s">
        <v>6694</v>
      </c>
      <c r="M213" t="s">
        <v>6705</v>
      </c>
      <c r="R213" t="s">
        <v>6694</v>
      </c>
      <c r="V213" t="s">
        <v>6694</v>
      </c>
      <c r="W213" t="s">
        <v>6720</v>
      </c>
    </row>
    <row r="214" spans="1:23" ht="15.6" x14ac:dyDescent="0.4">
      <c r="A214" s="2" t="s">
        <v>4195</v>
      </c>
      <c r="B214" s="5" t="s">
        <v>6928</v>
      </c>
      <c r="C214" s="7" t="s">
        <v>12556</v>
      </c>
      <c r="D214" s="8">
        <f t="shared" si="16"/>
        <v>1</v>
      </c>
      <c r="E214" s="7" t="s">
        <v>12557</v>
      </c>
      <c r="F214" s="7">
        <f t="shared" si="17"/>
        <v>0</v>
      </c>
      <c r="G214" s="7" t="s">
        <v>12558</v>
      </c>
      <c r="H214" s="7">
        <f t="shared" si="18"/>
        <v>0</v>
      </c>
      <c r="I214" s="7" cm="1">
        <f t="array" ref="I214">IFERROR(_xlfn.IFS(M214="נח",1,M214="נע ונח",1,M214="שני שווא נח",2,M214="שני שוואים בסוף מילה",2,M214="שני שוואים ברצף",1),"0")</f>
        <v>1</v>
      </c>
      <c r="J214" s="9">
        <f t="shared" si="19"/>
        <v>3</v>
      </c>
      <c r="K214" t="s">
        <v>6697</v>
      </c>
      <c r="L214" t="s">
        <v>6694</v>
      </c>
      <c r="M214" t="s">
        <v>6705</v>
      </c>
      <c r="O214" t="s">
        <v>6694</v>
      </c>
      <c r="R214" t="s">
        <v>6694</v>
      </c>
      <c r="V214" t="s">
        <v>6694</v>
      </c>
      <c r="W214" t="s">
        <v>6720</v>
      </c>
    </row>
    <row r="215" spans="1:23" ht="15.6" x14ac:dyDescent="0.4">
      <c r="A215" s="2" t="s">
        <v>6505</v>
      </c>
      <c r="B215" s="5" t="s">
        <v>6931</v>
      </c>
      <c r="C215" s="7" t="s">
        <v>12556</v>
      </c>
      <c r="D215" s="8">
        <f t="shared" si="16"/>
        <v>1</v>
      </c>
      <c r="E215" s="7" t="s">
        <v>12557</v>
      </c>
      <c r="F215" s="7">
        <f t="shared" si="17"/>
        <v>1</v>
      </c>
      <c r="G215" s="7" t="s">
        <v>12558</v>
      </c>
      <c r="H215" s="7">
        <f t="shared" si="18"/>
        <v>0</v>
      </c>
      <c r="I215" s="7" cm="1">
        <f t="array" ref="I215">IFERROR(_xlfn.IFS(M215="נח",1,M215="נע ונח",1,M215="שני שווא נח",2,M215="שני שוואים בסוף מילה",2,M215="שני שוואים ברצף",1),"0")</f>
        <v>1</v>
      </c>
      <c r="J215" s="9">
        <f t="shared" si="19"/>
        <v>2</v>
      </c>
      <c r="K215" t="s">
        <v>6698</v>
      </c>
      <c r="L215" t="s">
        <v>6694</v>
      </c>
      <c r="M215" t="s">
        <v>6705</v>
      </c>
      <c r="R215" t="s">
        <v>6694</v>
      </c>
      <c r="V215" t="s">
        <v>6694</v>
      </c>
      <c r="W215" t="s">
        <v>6720</v>
      </c>
    </row>
    <row r="216" spans="1:23" ht="15.6" x14ac:dyDescent="0.4">
      <c r="A216" s="2" t="s">
        <v>5856</v>
      </c>
      <c r="B216" s="5" t="s">
        <v>6932</v>
      </c>
      <c r="C216" s="7" t="s">
        <v>12556</v>
      </c>
      <c r="D216" s="8">
        <f t="shared" si="16"/>
        <v>1</v>
      </c>
      <c r="E216" s="7" t="s">
        <v>12557</v>
      </c>
      <c r="F216" s="7">
        <f t="shared" si="17"/>
        <v>1</v>
      </c>
      <c r="G216" s="7" t="s">
        <v>12558</v>
      </c>
      <c r="H216" s="7">
        <f t="shared" si="18"/>
        <v>0</v>
      </c>
      <c r="I216" s="7" cm="1">
        <f t="array" ref="I216">IFERROR(_xlfn.IFS(M216="נח",1,M216="נע ונח",1,M216="שני שווא נח",2,M216="שני שוואים בסוף מילה",2,M216="שני שוואים ברצף",1),"0")</f>
        <v>2</v>
      </c>
      <c r="J216" s="9">
        <f t="shared" si="19"/>
        <v>2</v>
      </c>
      <c r="K216" t="s">
        <v>6698</v>
      </c>
      <c r="L216" t="s">
        <v>6694</v>
      </c>
      <c r="M216" t="s">
        <v>6704</v>
      </c>
      <c r="R216" t="s">
        <v>6694</v>
      </c>
      <c r="V216" t="s">
        <v>6694</v>
      </c>
      <c r="W216" t="s">
        <v>6720</v>
      </c>
    </row>
    <row r="217" spans="1:23" ht="15.6" x14ac:dyDescent="0.4">
      <c r="A217" s="2" t="s">
        <v>6599</v>
      </c>
      <c r="B217" s="5" t="s">
        <v>6933</v>
      </c>
      <c r="C217" s="7" t="s">
        <v>12556</v>
      </c>
      <c r="D217" s="8">
        <f t="shared" si="16"/>
        <v>1</v>
      </c>
      <c r="E217" s="7" t="s">
        <v>12557</v>
      </c>
      <c r="F217" s="7">
        <f t="shared" si="17"/>
        <v>1</v>
      </c>
      <c r="G217" s="7" t="s">
        <v>12558</v>
      </c>
      <c r="H217" s="7">
        <f t="shared" si="18"/>
        <v>0</v>
      </c>
      <c r="I217" s="7" cm="1">
        <f t="array" ref="I217">IFERROR(_xlfn.IFS(M217="נח",1,M217="נע ונח",1,M217="שני שווא נח",2,M217="שני שוואים בסוף מילה",2,M217="שני שוואים ברצף",1),"0")</f>
        <v>1</v>
      </c>
      <c r="J217" s="9">
        <f t="shared" si="19"/>
        <v>2</v>
      </c>
      <c r="K217" t="s">
        <v>6697</v>
      </c>
      <c r="L217" t="s">
        <v>6694</v>
      </c>
      <c r="M217" t="s">
        <v>6705</v>
      </c>
      <c r="R217" t="s">
        <v>6694</v>
      </c>
      <c r="W217" t="s">
        <v>6720</v>
      </c>
    </row>
    <row r="218" spans="1:23" ht="15.6" x14ac:dyDescent="0.4">
      <c r="A218" s="2" t="s">
        <v>2890</v>
      </c>
      <c r="B218" s="5" t="s">
        <v>6934</v>
      </c>
      <c r="C218" s="7" t="s">
        <v>12556</v>
      </c>
      <c r="D218" s="8">
        <f t="shared" si="16"/>
        <v>1</v>
      </c>
      <c r="E218" s="7" t="s">
        <v>12557</v>
      </c>
      <c r="F218" s="7">
        <f t="shared" si="17"/>
        <v>1</v>
      </c>
      <c r="G218" s="7" t="s">
        <v>12558</v>
      </c>
      <c r="H218" s="7">
        <f t="shared" si="18"/>
        <v>0</v>
      </c>
      <c r="I218" s="7" cm="1">
        <f t="array" ref="I218">IFERROR(_xlfn.IFS(M218="נח",1,M218="נע ונח",1,M218="שני שווא נח",2,M218="שני שוואים בסוף מילה",2,M218="שני שוואים ברצף",1),"0")</f>
        <v>1</v>
      </c>
      <c r="J218" s="9">
        <f t="shared" si="19"/>
        <v>4</v>
      </c>
      <c r="K218" t="s">
        <v>6697</v>
      </c>
      <c r="L218" t="s">
        <v>6694</v>
      </c>
      <c r="M218" t="s">
        <v>6705</v>
      </c>
      <c r="P218" t="s">
        <v>6694</v>
      </c>
      <c r="R218" t="s">
        <v>6694</v>
      </c>
      <c r="W218" t="s">
        <v>6720</v>
      </c>
    </row>
    <row r="219" spans="1:23" ht="15.6" x14ac:dyDescent="0.4">
      <c r="A219" s="2" t="s">
        <v>253</v>
      </c>
      <c r="B219" s="5" t="s">
        <v>6935</v>
      </c>
      <c r="C219" s="7" t="s">
        <v>12556</v>
      </c>
      <c r="D219" s="8">
        <f t="shared" si="16"/>
        <v>2</v>
      </c>
      <c r="E219" s="7" t="s">
        <v>12557</v>
      </c>
      <c r="F219" s="7">
        <f t="shared" si="17"/>
        <v>1</v>
      </c>
      <c r="G219" s="7" t="s">
        <v>12558</v>
      </c>
      <c r="H219" s="7">
        <f t="shared" si="18"/>
        <v>0</v>
      </c>
      <c r="I219" s="7" cm="1">
        <f t="array" ref="I219">IFERROR(_xlfn.IFS(M219="נח",1,M219="נע ונח",1,M219="שני שווא נח",2,M219="שני שוואים בסוף מילה",2,M219="שני שוואים ברצף",1),"0")</f>
        <v>1</v>
      </c>
      <c r="J219" s="9">
        <f t="shared" si="19"/>
        <v>4</v>
      </c>
      <c r="K219" t="s">
        <v>6697</v>
      </c>
      <c r="L219" t="s">
        <v>6694</v>
      </c>
      <c r="M219" t="s">
        <v>6705</v>
      </c>
      <c r="O219" t="s">
        <v>6694</v>
      </c>
      <c r="P219" t="s">
        <v>6694</v>
      </c>
      <c r="R219" t="s">
        <v>6694</v>
      </c>
      <c r="W219" t="s">
        <v>6720</v>
      </c>
    </row>
    <row r="220" spans="1:23" ht="15.6" x14ac:dyDescent="0.4">
      <c r="A220" s="2" t="s">
        <v>4697</v>
      </c>
      <c r="B220" s="5" t="s">
        <v>6936</v>
      </c>
      <c r="C220" s="7" t="s">
        <v>12556</v>
      </c>
      <c r="D220" s="8">
        <f t="shared" si="16"/>
        <v>1</v>
      </c>
      <c r="E220" s="7" t="s">
        <v>12557</v>
      </c>
      <c r="F220" s="7">
        <f t="shared" si="17"/>
        <v>2</v>
      </c>
      <c r="G220" s="7" t="s">
        <v>12558</v>
      </c>
      <c r="H220" s="7">
        <f t="shared" si="18"/>
        <v>1</v>
      </c>
      <c r="I220" s="7" t="str" cm="1">
        <f t="array" ref="I220">IFERROR(_xlfn.IFS(M220="נח",1,M220="נע ונח",1,M220="שני שווא נח",2,M220="שני שוואים בסוף מילה",2,M220="שני שוואים ברצף",1),"0")</f>
        <v>0</v>
      </c>
      <c r="J220" s="9">
        <f t="shared" si="19"/>
        <v>5</v>
      </c>
      <c r="K220" t="s">
        <v>6697</v>
      </c>
      <c r="L220" t="s">
        <v>6694</v>
      </c>
      <c r="M220" t="s">
        <v>6703</v>
      </c>
      <c r="R220" t="s">
        <v>6694</v>
      </c>
      <c r="U220" t="s">
        <v>6694</v>
      </c>
      <c r="V220" t="s">
        <v>6694</v>
      </c>
      <c r="W220" t="s">
        <v>6720</v>
      </c>
    </row>
    <row r="221" spans="1:23" ht="15.6" x14ac:dyDescent="0.4">
      <c r="A221" s="2" t="s">
        <v>6618</v>
      </c>
      <c r="B221" s="5" t="s">
        <v>6937</v>
      </c>
      <c r="C221" s="7" t="s">
        <v>12556</v>
      </c>
      <c r="D221" s="8">
        <f t="shared" si="16"/>
        <v>1</v>
      </c>
      <c r="E221" s="7" t="s">
        <v>12557</v>
      </c>
      <c r="F221" s="7">
        <f t="shared" si="17"/>
        <v>1</v>
      </c>
      <c r="G221" s="7" t="s">
        <v>12558</v>
      </c>
      <c r="H221" s="7">
        <f t="shared" si="18"/>
        <v>0</v>
      </c>
      <c r="I221" s="7" cm="1">
        <f t="array" ref="I221">IFERROR(_xlfn.IFS(M221="נח",1,M221="נע ונח",1,M221="שני שווא נח",2,M221="שני שוואים בסוף מילה",2,M221="שני שוואים ברצף",1),"0")</f>
        <v>1</v>
      </c>
      <c r="J221" s="9">
        <f t="shared" si="19"/>
        <v>3</v>
      </c>
      <c r="K221" t="s">
        <v>6698</v>
      </c>
      <c r="L221" t="s">
        <v>6694</v>
      </c>
      <c r="M221" t="s">
        <v>6705</v>
      </c>
      <c r="N221" t="s">
        <v>6706</v>
      </c>
      <c r="O221" t="s">
        <v>6694</v>
      </c>
      <c r="R221" t="s">
        <v>6694</v>
      </c>
      <c r="V221" t="s">
        <v>6694</v>
      </c>
      <c r="W221" t="s">
        <v>6720</v>
      </c>
    </row>
    <row r="222" spans="1:23" ht="15.6" x14ac:dyDescent="0.4">
      <c r="A222" s="2" t="s">
        <v>3194</v>
      </c>
      <c r="B222" s="5" t="s">
        <v>6938</v>
      </c>
      <c r="C222" s="7" t="s">
        <v>12556</v>
      </c>
      <c r="D222" s="8">
        <f t="shared" si="16"/>
        <v>1</v>
      </c>
      <c r="E222" s="7" t="s">
        <v>12557</v>
      </c>
      <c r="F222" s="7">
        <f t="shared" si="17"/>
        <v>0</v>
      </c>
      <c r="G222" s="7" t="s">
        <v>12558</v>
      </c>
      <c r="H222" s="7">
        <f t="shared" si="18"/>
        <v>0</v>
      </c>
      <c r="I222" s="7" cm="1">
        <f t="array" ref="I222">IFERROR(_xlfn.IFS(M222="נח",1,M222="נע ונח",1,M222="שני שווא נח",2,M222="שני שוואים בסוף מילה",2,M222="שני שוואים ברצף",1),"0")</f>
        <v>1</v>
      </c>
      <c r="J222" s="9">
        <f t="shared" si="19"/>
        <v>3</v>
      </c>
      <c r="K222" t="s">
        <v>6697</v>
      </c>
      <c r="L222" t="s">
        <v>6694</v>
      </c>
      <c r="M222" t="s">
        <v>6702</v>
      </c>
      <c r="O222" t="s">
        <v>6694</v>
      </c>
      <c r="R222" t="s">
        <v>6694</v>
      </c>
      <c r="W222" t="s">
        <v>6720</v>
      </c>
    </row>
    <row r="223" spans="1:23" ht="15.6" x14ac:dyDescent="0.4">
      <c r="A223" s="2" t="s">
        <v>5087</v>
      </c>
      <c r="B223" s="5" t="s">
        <v>6939</v>
      </c>
      <c r="C223" s="7" t="s">
        <v>12556</v>
      </c>
      <c r="D223" s="8">
        <f t="shared" si="16"/>
        <v>1</v>
      </c>
      <c r="E223" s="7" t="s">
        <v>12557</v>
      </c>
      <c r="F223" s="7">
        <f t="shared" si="17"/>
        <v>0</v>
      </c>
      <c r="G223" s="7" t="s">
        <v>12558</v>
      </c>
      <c r="H223" s="7">
        <f t="shared" si="18"/>
        <v>0</v>
      </c>
      <c r="I223" s="7" cm="1">
        <f t="array" ref="I223">IFERROR(_xlfn.IFS(M223="נח",1,M223="נע ונח",1,M223="שני שווא נח",2,M223="שני שוואים בסוף מילה",2,M223="שני שוואים ברצף",1),"0")</f>
        <v>1</v>
      </c>
      <c r="J223" s="9">
        <f t="shared" si="19"/>
        <v>2</v>
      </c>
      <c r="K223" t="s">
        <v>6697</v>
      </c>
      <c r="L223" t="s">
        <v>6694</v>
      </c>
      <c r="M223" t="s">
        <v>6705</v>
      </c>
      <c r="O223" t="s">
        <v>6694</v>
      </c>
      <c r="R223" t="s">
        <v>6694</v>
      </c>
      <c r="W223" t="s">
        <v>6720</v>
      </c>
    </row>
    <row r="224" spans="1:23" ht="15.6" x14ac:dyDescent="0.4">
      <c r="A224" s="2" t="s">
        <v>367</v>
      </c>
      <c r="B224" s="5" t="s">
        <v>6940</v>
      </c>
      <c r="C224" s="7" t="s">
        <v>12556</v>
      </c>
      <c r="D224" s="8">
        <f t="shared" si="16"/>
        <v>1</v>
      </c>
      <c r="E224" s="7" t="s">
        <v>12557</v>
      </c>
      <c r="F224" s="7">
        <f t="shared" si="17"/>
        <v>1</v>
      </c>
      <c r="G224" s="7" t="s">
        <v>12558</v>
      </c>
      <c r="H224" s="7">
        <f t="shared" si="18"/>
        <v>0</v>
      </c>
      <c r="I224" s="7" t="str" cm="1">
        <f t="array" ref="I224">IFERROR(_xlfn.IFS(M224="נח",1,M224="נע ונח",1,M224="שני שווא נח",2,M224="שני שוואים בסוף מילה",2,M224="שני שוואים ברצף",1),"0")</f>
        <v>0</v>
      </c>
      <c r="J224" s="9">
        <f t="shared" si="19"/>
        <v>2</v>
      </c>
      <c r="K224" t="s">
        <v>6697</v>
      </c>
      <c r="L224" t="s">
        <v>6695</v>
      </c>
      <c r="O224" t="s">
        <v>6694</v>
      </c>
      <c r="R224" t="s">
        <v>6694</v>
      </c>
      <c r="W224" t="s">
        <v>6720</v>
      </c>
    </row>
    <row r="225" spans="1:23" ht="15.6" x14ac:dyDescent="0.4">
      <c r="A225" s="2" t="s">
        <v>153</v>
      </c>
      <c r="B225" s="5" t="s">
        <v>6865</v>
      </c>
      <c r="C225" s="7" t="s">
        <v>12556</v>
      </c>
      <c r="D225" s="8">
        <f t="shared" si="16"/>
        <v>0</v>
      </c>
      <c r="E225" s="7" t="s">
        <v>12557</v>
      </c>
      <c r="F225" s="7">
        <f t="shared" si="17"/>
        <v>0</v>
      </c>
      <c r="G225" s="7" t="s">
        <v>12558</v>
      </c>
      <c r="H225" s="7">
        <f t="shared" si="18"/>
        <v>0</v>
      </c>
      <c r="I225" s="7" t="str" cm="1">
        <f t="array" ref="I225">IFERROR(_xlfn.IFS(M225="נח",1,M225="נע ונח",1,M225="שני שווא נח",2,M225="שני שוואים בסוף מילה",2,M225="שני שוואים ברצף",1),"0")</f>
        <v>0</v>
      </c>
      <c r="J225" s="9">
        <f t="shared" si="19"/>
        <v>1</v>
      </c>
      <c r="K225" t="s">
        <v>6698</v>
      </c>
      <c r="L225" t="s">
        <v>6695</v>
      </c>
      <c r="R225" t="s">
        <v>6694</v>
      </c>
      <c r="W225" t="s">
        <v>6720</v>
      </c>
    </row>
    <row r="226" spans="1:23" ht="15.6" x14ac:dyDescent="0.4">
      <c r="A226" s="2" t="s">
        <v>353</v>
      </c>
      <c r="B226" s="5" t="s">
        <v>6941</v>
      </c>
      <c r="C226" s="7" t="s">
        <v>12556</v>
      </c>
      <c r="D226" s="8">
        <f t="shared" si="16"/>
        <v>0</v>
      </c>
      <c r="E226" s="7" t="s">
        <v>12557</v>
      </c>
      <c r="F226" s="7">
        <f t="shared" si="17"/>
        <v>1</v>
      </c>
      <c r="G226" s="7" t="s">
        <v>12558</v>
      </c>
      <c r="H226" s="7">
        <f t="shared" si="18"/>
        <v>0</v>
      </c>
      <c r="I226" s="7" cm="1">
        <f t="array" ref="I226">IFERROR(_xlfn.IFS(M226="נח",1,M226="נע ונח",1,M226="שני שווא נח",2,M226="שני שוואים בסוף מילה",2,M226="שני שוואים ברצף",1),"0")</f>
        <v>2</v>
      </c>
      <c r="J226" s="9">
        <f t="shared" si="19"/>
        <v>3</v>
      </c>
      <c r="K226" t="s">
        <v>6698</v>
      </c>
      <c r="L226" t="s">
        <v>6694</v>
      </c>
      <c r="M226" t="s">
        <v>6704</v>
      </c>
      <c r="P226" t="s">
        <v>6694</v>
      </c>
      <c r="Q226" t="s">
        <v>6694</v>
      </c>
      <c r="R226" t="s">
        <v>6694</v>
      </c>
      <c r="W226" t="s">
        <v>6720</v>
      </c>
    </row>
    <row r="227" spans="1:23" ht="15.6" x14ac:dyDescent="0.4">
      <c r="A227" s="2" t="s">
        <v>6177</v>
      </c>
      <c r="B227" s="5" t="s">
        <v>6942</v>
      </c>
      <c r="C227" s="7" t="s">
        <v>12556</v>
      </c>
      <c r="D227" s="8">
        <f t="shared" si="16"/>
        <v>0</v>
      </c>
      <c r="E227" s="7" t="s">
        <v>12557</v>
      </c>
      <c r="F227" s="7">
        <f t="shared" si="17"/>
        <v>1</v>
      </c>
      <c r="G227" s="7" t="s">
        <v>12558</v>
      </c>
      <c r="H227" s="7">
        <f t="shared" si="18"/>
        <v>0</v>
      </c>
      <c r="I227" s="7" cm="1">
        <f t="array" ref="I227">IFERROR(_xlfn.IFS(M227="נח",1,M227="נע ונח",1,M227="שני שווא נח",2,M227="שני שוואים בסוף מילה",2,M227="שני שוואים ברצף",1),"0")</f>
        <v>1</v>
      </c>
      <c r="J227" s="9">
        <f t="shared" si="19"/>
        <v>3</v>
      </c>
      <c r="K227" t="s">
        <v>6698</v>
      </c>
      <c r="L227" t="s">
        <v>6694</v>
      </c>
      <c r="M227" t="s">
        <v>6705</v>
      </c>
      <c r="N227" t="s">
        <v>6706</v>
      </c>
      <c r="O227" t="s">
        <v>6694</v>
      </c>
      <c r="P227" t="s">
        <v>6694</v>
      </c>
      <c r="R227" t="s">
        <v>6694</v>
      </c>
      <c r="W227" t="s">
        <v>6720</v>
      </c>
    </row>
    <row r="228" spans="1:23" ht="15.6" x14ac:dyDescent="0.4">
      <c r="A228" s="2" t="s">
        <v>6318</v>
      </c>
      <c r="B228" s="5" t="s">
        <v>6943</v>
      </c>
      <c r="C228" s="7" t="s">
        <v>12556</v>
      </c>
      <c r="D228" s="8">
        <f t="shared" si="16"/>
        <v>0</v>
      </c>
      <c r="E228" s="7" t="s">
        <v>12557</v>
      </c>
      <c r="F228" s="7">
        <f t="shared" si="17"/>
        <v>2</v>
      </c>
      <c r="G228" s="7" t="s">
        <v>12558</v>
      </c>
      <c r="H228" s="7">
        <f t="shared" si="18"/>
        <v>0</v>
      </c>
      <c r="I228" s="7" cm="1">
        <f t="array" ref="I228">IFERROR(_xlfn.IFS(M228="נח",1,M228="נע ונח",1,M228="שני שווא נח",2,M228="שני שוואים בסוף מילה",2,M228="שני שוואים ברצף",1),"0")</f>
        <v>1</v>
      </c>
      <c r="J228" s="9">
        <f t="shared" si="19"/>
        <v>3</v>
      </c>
      <c r="K228" t="s">
        <v>6698</v>
      </c>
      <c r="L228" t="s">
        <v>6694</v>
      </c>
      <c r="M228" t="s">
        <v>6705</v>
      </c>
      <c r="N228" t="s">
        <v>6706</v>
      </c>
      <c r="O228" t="s">
        <v>6694</v>
      </c>
      <c r="P228" t="s">
        <v>6694</v>
      </c>
      <c r="R228" t="s">
        <v>6694</v>
      </c>
      <c r="W228" t="s">
        <v>6720</v>
      </c>
    </row>
    <row r="229" spans="1:23" ht="15.6" x14ac:dyDescent="0.4">
      <c r="A229" s="2" t="s">
        <v>6562</v>
      </c>
      <c r="B229" s="5" t="s">
        <v>6944</v>
      </c>
      <c r="C229" s="7" t="s">
        <v>12556</v>
      </c>
      <c r="D229" s="8">
        <f t="shared" si="16"/>
        <v>0</v>
      </c>
      <c r="E229" s="7" t="s">
        <v>12557</v>
      </c>
      <c r="F229" s="7">
        <f t="shared" si="17"/>
        <v>0</v>
      </c>
      <c r="G229" s="7" t="s">
        <v>12558</v>
      </c>
      <c r="H229" s="7">
        <f t="shared" si="18"/>
        <v>0</v>
      </c>
      <c r="I229" s="7" cm="1">
        <f t="array" ref="I229">IFERROR(_xlfn.IFS(M229="נח",1,M229="נע ונח",1,M229="שני שווא נח",2,M229="שני שוואים בסוף מילה",2,M229="שני שוואים ברצף",1),"0")</f>
        <v>1</v>
      </c>
      <c r="J229" s="9">
        <f t="shared" si="19"/>
        <v>3</v>
      </c>
      <c r="K229" t="s">
        <v>6698</v>
      </c>
      <c r="L229" t="s">
        <v>6694</v>
      </c>
      <c r="M229" t="s">
        <v>6705</v>
      </c>
      <c r="N229" t="s">
        <v>6706</v>
      </c>
      <c r="O229" t="s">
        <v>6694</v>
      </c>
      <c r="R229" t="s">
        <v>6694</v>
      </c>
      <c r="V229" t="s">
        <v>6694</v>
      </c>
      <c r="W229" t="s">
        <v>6720</v>
      </c>
    </row>
    <row r="230" spans="1:23" ht="15.6" x14ac:dyDescent="0.4">
      <c r="A230" s="2" t="s">
        <v>5848</v>
      </c>
      <c r="B230" s="5" t="s">
        <v>6945</v>
      </c>
      <c r="C230" s="7" t="s">
        <v>12556</v>
      </c>
      <c r="D230" s="8">
        <f t="shared" si="16"/>
        <v>0</v>
      </c>
      <c r="E230" s="7" t="s">
        <v>12557</v>
      </c>
      <c r="F230" s="7">
        <f t="shared" si="17"/>
        <v>2</v>
      </c>
      <c r="G230" s="7" t="s">
        <v>12558</v>
      </c>
      <c r="H230" s="7">
        <f t="shared" si="18"/>
        <v>1</v>
      </c>
      <c r="I230" s="7" cm="1">
        <f t="array" ref="I230">IFERROR(_xlfn.IFS(M230="נח",1,M230="נע ונח",1,M230="שני שווא נח",2,M230="שני שוואים בסוף מילה",2,M230="שני שוואים ברצף",1),"0")</f>
        <v>1</v>
      </c>
      <c r="J230" s="9">
        <f t="shared" si="19"/>
        <v>3</v>
      </c>
      <c r="K230" t="s">
        <v>6697</v>
      </c>
      <c r="L230" t="s">
        <v>6694</v>
      </c>
      <c r="M230" t="s">
        <v>6705</v>
      </c>
      <c r="Q230" t="s">
        <v>6694</v>
      </c>
      <c r="R230" t="s">
        <v>6694</v>
      </c>
      <c r="U230" t="s">
        <v>6694</v>
      </c>
      <c r="W230" t="s">
        <v>6720</v>
      </c>
    </row>
    <row r="231" spans="1:23" ht="15.6" x14ac:dyDescent="0.4">
      <c r="A231" s="2" t="s">
        <v>1632</v>
      </c>
      <c r="B231" s="5" t="s">
        <v>6946</v>
      </c>
      <c r="C231" s="7" t="s">
        <v>12556</v>
      </c>
      <c r="D231" s="8">
        <f t="shared" si="16"/>
        <v>0</v>
      </c>
      <c r="E231" s="7" t="s">
        <v>12557</v>
      </c>
      <c r="F231" s="7">
        <f t="shared" si="17"/>
        <v>1</v>
      </c>
      <c r="G231" s="7" t="s">
        <v>12558</v>
      </c>
      <c r="H231" s="7">
        <f t="shared" si="18"/>
        <v>0</v>
      </c>
      <c r="I231" s="7" t="str" cm="1">
        <f t="array" ref="I231">IFERROR(_xlfn.IFS(M231="נח",1,M231="נע ונח",1,M231="שני שווא נח",2,M231="שני שוואים בסוף מילה",2,M231="שני שוואים ברצף",1),"0")</f>
        <v>0</v>
      </c>
      <c r="J231" s="9">
        <f t="shared" si="19"/>
        <v>2</v>
      </c>
      <c r="K231" t="s">
        <v>6698</v>
      </c>
      <c r="L231" t="s">
        <v>6695</v>
      </c>
      <c r="Q231" t="s">
        <v>6694</v>
      </c>
      <c r="R231" t="s">
        <v>6694</v>
      </c>
      <c r="W231" t="s">
        <v>6720</v>
      </c>
    </row>
    <row r="232" spans="1:23" ht="15.6" x14ac:dyDescent="0.4">
      <c r="A232" s="2" t="s">
        <v>1622</v>
      </c>
      <c r="B232" s="5" t="s">
        <v>6947</v>
      </c>
      <c r="C232" s="7" t="s">
        <v>12556</v>
      </c>
      <c r="D232" s="8">
        <f t="shared" si="16"/>
        <v>0</v>
      </c>
      <c r="E232" s="7" t="s">
        <v>12557</v>
      </c>
      <c r="F232" s="7">
        <f t="shared" si="17"/>
        <v>0</v>
      </c>
      <c r="G232" s="7" t="s">
        <v>12558</v>
      </c>
      <c r="H232" s="7">
        <f t="shared" si="18"/>
        <v>0</v>
      </c>
      <c r="I232" s="7" cm="1">
        <f t="array" ref="I232">IFERROR(_xlfn.IFS(M232="נח",1,M232="נע ונח",1,M232="שני שווא נח",2,M232="שני שוואים בסוף מילה",2,M232="שני שוואים ברצף",1),"0")</f>
        <v>1</v>
      </c>
      <c r="J232" s="9">
        <f t="shared" si="19"/>
        <v>3</v>
      </c>
      <c r="K232" t="s">
        <v>6698</v>
      </c>
      <c r="L232" t="s">
        <v>6694</v>
      </c>
      <c r="M232" t="s">
        <v>6705</v>
      </c>
      <c r="N232" t="s">
        <v>6706</v>
      </c>
      <c r="O232" t="s">
        <v>6694</v>
      </c>
      <c r="P232" t="s">
        <v>6694</v>
      </c>
      <c r="W232" t="s">
        <v>6720</v>
      </c>
    </row>
    <row r="233" spans="1:23" ht="15.6" x14ac:dyDescent="0.4">
      <c r="A233" s="2" t="s">
        <v>5199</v>
      </c>
      <c r="B233" s="5" t="s">
        <v>6948</v>
      </c>
      <c r="C233" s="7" t="s">
        <v>12556</v>
      </c>
      <c r="D233" s="8">
        <f t="shared" si="16"/>
        <v>1</v>
      </c>
      <c r="E233" s="7" t="s">
        <v>12557</v>
      </c>
      <c r="F233" s="7">
        <f t="shared" si="17"/>
        <v>0</v>
      </c>
      <c r="G233" s="7" t="s">
        <v>12558</v>
      </c>
      <c r="H233" s="7">
        <f t="shared" si="18"/>
        <v>0</v>
      </c>
      <c r="I233" s="7" cm="1">
        <f t="array" ref="I233">IFERROR(_xlfn.IFS(M233="נח",1,M233="נע ונח",1,M233="שני שווא נח",2,M233="שני שוואים בסוף מילה",2,M233="שני שוואים ברצף",1),"0")</f>
        <v>1</v>
      </c>
      <c r="J233" s="9">
        <f t="shared" si="19"/>
        <v>3</v>
      </c>
      <c r="K233" t="s">
        <v>6698</v>
      </c>
      <c r="L233" t="s">
        <v>6694</v>
      </c>
      <c r="M233" t="s">
        <v>6705</v>
      </c>
      <c r="O233" t="s">
        <v>6694</v>
      </c>
      <c r="P233" t="s">
        <v>6694</v>
      </c>
      <c r="V233" t="s">
        <v>6694</v>
      </c>
      <c r="W233" t="s">
        <v>6720</v>
      </c>
    </row>
    <row r="234" spans="1:23" ht="15.6" x14ac:dyDescent="0.4">
      <c r="A234" s="2" t="s">
        <v>5704</v>
      </c>
      <c r="B234" s="5" t="s">
        <v>6949</v>
      </c>
      <c r="C234" s="7" t="s">
        <v>12556</v>
      </c>
      <c r="D234" s="8">
        <f t="shared" si="16"/>
        <v>0</v>
      </c>
      <c r="E234" s="7" t="s">
        <v>12557</v>
      </c>
      <c r="F234" s="7">
        <f t="shared" si="17"/>
        <v>1</v>
      </c>
      <c r="G234" s="7" t="s">
        <v>12558</v>
      </c>
      <c r="H234" s="7">
        <f t="shared" si="18"/>
        <v>0</v>
      </c>
      <c r="I234" s="7" t="str" cm="1">
        <f t="array" ref="I234">IFERROR(_xlfn.IFS(M234="נח",1,M234="נע ונח",1,M234="שני שווא נח",2,M234="שני שוואים בסוף מילה",2,M234="שני שוואים ברצף",1),"0")</f>
        <v>0</v>
      </c>
      <c r="J234" s="9">
        <f t="shared" si="19"/>
        <v>3</v>
      </c>
      <c r="K234" t="s">
        <v>6697</v>
      </c>
      <c r="L234" t="s">
        <v>6695</v>
      </c>
      <c r="O234" t="s">
        <v>6694</v>
      </c>
      <c r="P234" t="s">
        <v>6694</v>
      </c>
      <c r="S234" t="s">
        <v>6694</v>
      </c>
      <c r="W234" t="s">
        <v>6720</v>
      </c>
    </row>
    <row r="235" spans="1:23" ht="15.6" x14ac:dyDescent="0.4">
      <c r="A235" s="2" t="s">
        <v>5314</v>
      </c>
      <c r="B235" s="5" t="s">
        <v>6950</v>
      </c>
      <c r="C235" s="7" t="s">
        <v>12556</v>
      </c>
      <c r="D235" s="8">
        <f t="shared" si="16"/>
        <v>0</v>
      </c>
      <c r="E235" s="7" t="s">
        <v>12557</v>
      </c>
      <c r="F235" s="7">
        <f t="shared" si="17"/>
        <v>1</v>
      </c>
      <c r="G235" s="7" t="s">
        <v>12558</v>
      </c>
      <c r="H235" s="7">
        <f t="shared" si="18"/>
        <v>0</v>
      </c>
      <c r="I235" s="7" t="str" cm="1">
        <f t="array" ref="I235">IFERROR(_xlfn.IFS(M235="נח",1,M235="נע ונח",1,M235="שני שווא נח",2,M235="שני שוואים בסוף מילה",2,M235="שני שוואים ברצף",1),"0")</f>
        <v>0</v>
      </c>
      <c r="J235" s="9">
        <f t="shared" si="19"/>
        <v>3</v>
      </c>
      <c r="K235" t="s">
        <v>6698</v>
      </c>
      <c r="L235" t="s">
        <v>6695</v>
      </c>
      <c r="P235" t="s">
        <v>6694</v>
      </c>
      <c r="S235" t="s">
        <v>6694</v>
      </c>
      <c r="W235" t="s">
        <v>6720</v>
      </c>
    </row>
    <row r="236" spans="1:23" ht="15.6" x14ac:dyDescent="0.4">
      <c r="A236" s="2" t="s">
        <v>4698</v>
      </c>
      <c r="B236" s="5" t="s">
        <v>6951</v>
      </c>
      <c r="C236" s="7" t="s">
        <v>12556</v>
      </c>
      <c r="D236" s="8">
        <f t="shared" si="16"/>
        <v>0</v>
      </c>
      <c r="E236" s="7" t="s">
        <v>12557</v>
      </c>
      <c r="F236" s="7">
        <f t="shared" si="17"/>
        <v>1</v>
      </c>
      <c r="G236" s="7" t="s">
        <v>12558</v>
      </c>
      <c r="H236" s="7">
        <f t="shared" si="18"/>
        <v>0</v>
      </c>
      <c r="I236" s="7" t="str" cm="1">
        <f t="array" ref="I236">IFERROR(_xlfn.IFS(M236="נח",1,M236="נע ונח",1,M236="שני שווא נח",2,M236="שני שוואים בסוף מילה",2,M236="שני שוואים ברצף",1),"0")</f>
        <v>0</v>
      </c>
      <c r="J236" s="9">
        <f t="shared" si="19"/>
        <v>3</v>
      </c>
      <c r="K236" t="s">
        <v>6697</v>
      </c>
      <c r="L236" t="s">
        <v>6695</v>
      </c>
      <c r="P236" t="s">
        <v>6694</v>
      </c>
      <c r="Q236" t="s">
        <v>6694</v>
      </c>
      <c r="S236" t="s">
        <v>6694</v>
      </c>
      <c r="W236" t="s">
        <v>6720</v>
      </c>
    </row>
    <row r="237" spans="1:23" ht="15.6" x14ac:dyDescent="0.4">
      <c r="A237" s="2" t="s">
        <v>523</v>
      </c>
      <c r="B237" s="5" t="s">
        <v>6952</v>
      </c>
      <c r="C237" s="7" t="s">
        <v>12556</v>
      </c>
      <c r="D237" s="8">
        <f t="shared" si="16"/>
        <v>0</v>
      </c>
      <c r="E237" s="7" t="s">
        <v>12557</v>
      </c>
      <c r="F237" s="7">
        <f t="shared" si="17"/>
        <v>1</v>
      </c>
      <c r="G237" s="7" t="s">
        <v>12558</v>
      </c>
      <c r="H237" s="7">
        <f t="shared" si="18"/>
        <v>0</v>
      </c>
      <c r="I237" s="7" t="str" cm="1">
        <f t="array" ref="I237">IFERROR(_xlfn.IFS(M237="נח",1,M237="נע ונח",1,M237="שני שווא נח",2,M237="שני שוואים בסוף מילה",2,M237="שני שוואים ברצף",1),"0")</f>
        <v>0</v>
      </c>
      <c r="J237" s="9">
        <f t="shared" si="19"/>
        <v>2</v>
      </c>
      <c r="K237" t="s">
        <v>6698</v>
      </c>
      <c r="L237" t="s">
        <v>6695</v>
      </c>
      <c r="P237" t="s">
        <v>6694</v>
      </c>
      <c r="S237" t="s">
        <v>6694</v>
      </c>
      <c r="W237" t="s">
        <v>6720</v>
      </c>
    </row>
    <row r="238" spans="1:23" ht="15.6" x14ac:dyDescent="0.4">
      <c r="A238" s="2" t="s">
        <v>3506</v>
      </c>
      <c r="B238" s="5" t="s">
        <v>6953</v>
      </c>
      <c r="C238" s="7" t="s">
        <v>12556</v>
      </c>
      <c r="D238" s="8">
        <f t="shared" si="16"/>
        <v>0</v>
      </c>
      <c r="E238" s="7" t="s">
        <v>12557</v>
      </c>
      <c r="F238" s="7">
        <f t="shared" si="17"/>
        <v>1</v>
      </c>
      <c r="G238" s="7" t="s">
        <v>12558</v>
      </c>
      <c r="H238" s="7">
        <f t="shared" si="18"/>
        <v>0</v>
      </c>
      <c r="I238" s="7" t="str" cm="1">
        <f t="array" ref="I238">IFERROR(_xlfn.IFS(M238="נח",1,M238="נע ונח",1,M238="שני שווא נח",2,M238="שני שוואים בסוף מילה",2,M238="שני שוואים ברצף",1),"0")</f>
        <v>0</v>
      </c>
      <c r="J238" s="9">
        <f t="shared" si="19"/>
        <v>3</v>
      </c>
      <c r="K238" t="s">
        <v>6697</v>
      </c>
      <c r="L238" t="s">
        <v>6695</v>
      </c>
      <c r="O238" t="s">
        <v>6694</v>
      </c>
      <c r="P238" t="s">
        <v>6694</v>
      </c>
      <c r="S238" t="s">
        <v>6694</v>
      </c>
      <c r="W238" t="s">
        <v>6720</v>
      </c>
    </row>
    <row r="239" spans="1:23" ht="15.6" x14ac:dyDescent="0.4">
      <c r="A239" s="2" t="s">
        <v>5938</v>
      </c>
      <c r="B239" s="5" t="s">
        <v>6954</v>
      </c>
      <c r="C239" s="7" t="s">
        <v>12556</v>
      </c>
      <c r="D239" s="8">
        <f t="shared" si="16"/>
        <v>0</v>
      </c>
      <c r="E239" s="7" t="s">
        <v>12557</v>
      </c>
      <c r="F239" s="7">
        <f t="shared" si="17"/>
        <v>0</v>
      </c>
      <c r="G239" s="7" t="s">
        <v>12558</v>
      </c>
      <c r="H239" s="7">
        <f t="shared" si="18"/>
        <v>0</v>
      </c>
      <c r="I239" s="7" cm="1">
        <f t="array" ref="I239">IFERROR(_xlfn.IFS(M239="נח",1,M239="נע ונח",1,M239="שני שווא נח",2,M239="שני שוואים בסוף מילה",2,M239="שני שוואים ברצף",1),"0")</f>
        <v>1</v>
      </c>
      <c r="J239" s="9">
        <f t="shared" si="19"/>
        <v>2</v>
      </c>
      <c r="K239" t="s">
        <v>6698</v>
      </c>
      <c r="L239" t="s">
        <v>6694</v>
      </c>
      <c r="M239" t="s">
        <v>6705</v>
      </c>
      <c r="P239" t="s">
        <v>6694</v>
      </c>
      <c r="W239" t="s">
        <v>6720</v>
      </c>
    </row>
    <row r="240" spans="1:23" ht="15.6" x14ac:dyDescent="0.4">
      <c r="A240" s="2" t="s">
        <v>2136</v>
      </c>
      <c r="B240" s="5" t="s">
        <v>6955</v>
      </c>
      <c r="C240" s="7" t="s">
        <v>12556</v>
      </c>
      <c r="D240" s="8">
        <f t="shared" si="16"/>
        <v>0</v>
      </c>
      <c r="E240" s="7" t="s">
        <v>12557</v>
      </c>
      <c r="F240" s="7">
        <f t="shared" si="17"/>
        <v>1</v>
      </c>
      <c r="G240" s="7" t="s">
        <v>12558</v>
      </c>
      <c r="H240" s="7">
        <f t="shared" si="18"/>
        <v>0</v>
      </c>
      <c r="I240" s="7" t="str" cm="1">
        <f t="array" ref="I240">IFERROR(_xlfn.IFS(M240="נח",1,M240="נע ונח",1,M240="שני שווא נח",2,M240="שני שוואים בסוף מילה",2,M240="שני שוואים ברצף",1),"0")</f>
        <v>0</v>
      </c>
      <c r="J240" s="9">
        <f t="shared" si="19"/>
        <v>2</v>
      </c>
      <c r="K240" t="s">
        <v>6698</v>
      </c>
      <c r="L240" t="s">
        <v>6695</v>
      </c>
      <c r="P240" t="s">
        <v>6694</v>
      </c>
      <c r="S240" t="s">
        <v>6694</v>
      </c>
      <c r="W240" t="s">
        <v>6720</v>
      </c>
    </row>
    <row r="241" spans="1:23" ht="15.6" x14ac:dyDescent="0.4">
      <c r="A241" s="2" t="s">
        <v>1798</v>
      </c>
      <c r="B241" s="5" t="s">
        <v>6956</v>
      </c>
      <c r="C241" s="7" t="s">
        <v>12556</v>
      </c>
      <c r="D241" s="8">
        <f t="shared" si="16"/>
        <v>0</v>
      </c>
      <c r="E241" s="7" t="s">
        <v>12557</v>
      </c>
      <c r="F241" s="7">
        <f t="shared" si="17"/>
        <v>1</v>
      </c>
      <c r="G241" s="7" t="s">
        <v>12558</v>
      </c>
      <c r="H241" s="7">
        <f t="shared" si="18"/>
        <v>0</v>
      </c>
      <c r="I241" s="7" t="str" cm="1">
        <f t="array" ref="I241">IFERROR(_xlfn.IFS(M241="נח",1,M241="נע ונח",1,M241="שני שווא נח",2,M241="שני שוואים בסוף מילה",2,M241="שני שוואים ברצף",1),"0")</f>
        <v>0</v>
      </c>
      <c r="J241" s="9">
        <f t="shared" si="19"/>
        <v>3</v>
      </c>
      <c r="K241" t="s">
        <v>6698</v>
      </c>
      <c r="L241" t="s">
        <v>6695</v>
      </c>
      <c r="P241" t="s">
        <v>6694</v>
      </c>
      <c r="S241" t="s">
        <v>6694</v>
      </c>
      <c r="W241" t="s">
        <v>6720</v>
      </c>
    </row>
    <row r="242" spans="1:23" ht="15.6" x14ac:dyDescent="0.4">
      <c r="A242" s="2" t="s">
        <v>4956</v>
      </c>
      <c r="B242" s="5" t="s">
        <v>6957</v>
      </c>
      <c r="C242" s="7" t="s">
        <v>12556</v>
      </c>
      <c r="D242" s="8">
        <f t="shared" si="16"/>
        <v>0</v>
      </c>
      <c r="E242" s="7" t="s">
        <v>12557</v>
      </c>
      <c r="F242" s="7">
        <f t="shared" si="17"/>
        <v>0</v>
      </c>
      <c r="G242" s="7" t="s">
        <v>12558</v>
      </c>
      <c r="H242" s="7">
        <f t="shared" si="18"/>
        <v>0</v>
      </c>
      <c r="I242" s="7" t="str" cm="1">
        <f t="array" ref="I242">IFERROR(_xlfn.IFS(M242="נח",1,M242="נע ונח",1,M242="שני שווא נח",2,M242="שני שוואים בסוף מילה",2,M242="שני שוואים ברצף",1),"0")</f>
        <v>0</v>
      </c>
      <c r="J242" s="9">
        <f t="shared" si="19"/>
        <v>4</v>
      </c>
      <c r="K242" t="s">
        <v>6697</v>
      </c>
      <c r="L242" t="s">
        <v>6695</v>
      </c>
      <c r="O242" t="s">
        <v>6694</v>
      </c>
      <c r="P242" t="s">
        <v>6694</v>
      </c>
      <c r="S242" t="s">
        <v>6694</v>
      </c>
      <c r="W242" t="s">
        <v>6720</v>
      </c>
    </row>
    <row r="243" spans="1:23" ht="15.6" x14ac:dyDescent="0.4">
      <c r="A243" s="2" t="s">
        <v>1296</v>
      </c>
      <c r="B243" s="5" t="s">
        <v>6958</v>
      </c>
      <c r="C243" s="7" t="s">
        <v>12556</v>
      </c>
      <c r="D243" s="8">
        <f t="shared" si="16"/>
        <v>0</v>
      </c>
      <c r="E243" s="7" t="s">
        <v>12557</v>
      </c>
      <c r="F243" s="7">
        <f t="shared" si="17"/>
        <v>0</v>
      </c>
      <c r="G243" s="7" t="s">
        <v>12558</v>
      </c>
      <c r="H243" s="7">
        <f t="shared" si="18"/>
        <v>0</v>
      </c>
      <c r="I243" s="7" t="str" cm="1">
        <f t="array" ref="I243">IFERROR(_xlfn.IFS(M243="נח",1,M243="נע ונח",1,M243="שני שווא נח",2,M243="שני שוואים בסוף מילה",2,M243="שני שוואים ברצף",1),"0")</f>
        <v>0</v>
      </c>
      <c r="J243" s="9">
        <f t="shared" si="19"/>
        <v>3</v>
      </c>
      <c r="K243" t="s">
        <v>6698</v>
      </c>
      <c r="L243" t="s">
        <v>6695</v>
      </c>
      <c r="P243" t="s">
        <v>6694</v>
      </c>
      <c r="V243" t="s">
        <v>6694</v>
      </c>
      <c r="W243" t="s">
        <v>6720</v>
      </c>
    </row>
    <row r="244" spans="1:23" ht="15.6" x14ac:dyDescent="0.4">
      <c r="A244" s="2" t="s">
        <v>517</v>
      </c>
      <c r="B244" s="5" t="s">
        <v>6959</v>
      </c>
      <c r="C244" s="7" t="s">
        <v>12556</v>
      </c>
      <c r="D244" s="8">
        <f t="shared" si="16"/>
        <v>0</v>
      </c>
      <c r="E244" s="7" t="s">
        <v>12557</v>
      </c>
      <c r="F244" s="7">
        <f t="shared" si="17"/>
        <v>1</v>
      </c>
      <c r="G244" s="7" t="s">
        <v>12558</v>
      </c>
      <c r="H244" s="7">
        <f t="shared" si="18"/>
        <v>0</v>
      </c>
      <c r="I244" s="7" cm="1">
        <f t="array" ref="I244">IFERROR(_xlfn.IFS(M244="נח",1,M244="נע ונח",1,M244="שני שווא נח",2,M244="שני שוואים בסוף מילה",2,M244="שני שוואים ברצף",1),"0")</f>
        <v>1</v>
      </c>
      <c r="J244" s="9">
        <f t="shared" si="19"/>
        <v>2</v>
      </c>
      <c r="K244" t="s">
        <v>6698</v>
      </c>
      <c r="L244" t="s">
        <v>6694</v>
      </c>
      <c r="M244" t="s">
        <v>6705</v>
      </c>
      <c r="P244" t="s">
        <v>6694</v>
      </c>
      <c r="S244" t="s">
        <v>6694</v>
      </c>
      <c r="W244" t="s">
        <v>6720</v>
      </c>
    </row>
    <row r="245" spans="1:23" ht="15.6" x14ac:dyDescent="0.4">
      <c r="A245" s="2" t="s">
        <v>3753</v>
      </c>
      <c r="B245" s="5" t="s">
        <v>6960</v>
      </c>
      <c r="C245" s="7" t="s">
        <v>12556</v>
      </c>
      <c r="D245" s="8">
        <f t="shared" si="16"/>
        <v>0</v>
      </c>
      <c r="E245" s="7" t="s">
        <v>12557</v>
      </c>
      <c r="F245" s="7">
        <f t="shared" si="17"/>
        <v>1</v>
      </c>
      <c r="G245" s="7" t="s">
        <v>12558</v>
      </c>
      <c r="H245" s="7">
        <f t="shared" si="18"/>
        <v>0</v>
      </c>
      <c r="I245" s="7" cm="1">
        <f t="array" ref="I245">IFERROR(_xlfn.IFS(M245="נח",1,M245="נע ונח",1,M245="שני שווא נח",2,M245="שני שוואים בסוף מילה",2,M245="שני שוואים ברצף",1),"0")</f>
        <v>1</v>
      </c>
      <c r="J245" s="9">
        <f t="shared" si="19"/>
        <v>3</v>
      </c>
      <c r="K245" t="s">
        <v>6697</v>
      </c>
      <c r="L245" t="s">
        <v>6694</v>
      </c>
      <c r="M245" t="s">
        <v>6705</v>
      </c>
      <c r="O245" t="s">
        <v>6694</v>
      </c>
      <c r="P245" t="s">
        <v>6694</v>
      </c>
      <c r="S245" t="s">
        <v>6694</v>
      </c>
      <c r="W245" t="s">
        <v>6720</v>
      </c>
    </row>
    <row r="246" spans="1:23" ht="15.6" x14ac:dyDescent="0.4">
      <c r="A246" s="2" t="s">
        <v>214</v>
      </c>
      <c r="B246" s="5" t="s">
        <v>6961</v>
      </c>
      <c r="C246" s="7" t="s">
        <v>12556</v>
      </c>
      <c r="D246" s="8">
        <f t="shared" si="16"/>
        <v>0</v>
      </c>
      <c r="E246" s="7" t="s">
        <v>12557</v>
      </c>
      <c r="F246" s="7">
        <f t="shared" si="17"/>
        <v>0</v>
      </c>
      <c r="G246" s="7" t="s">
        <v>12558</v>
      </c>
      <c r="H246" s="7">
        <f t="shared" si="18"/>
        <v>0</v>
      </c>
      <c r="I246" s="7" t="str" cm="1">
        <f t="array" ref="I246">IFERROR(_xlfn.IFS(M246="נח",1,M246="נע ונח",1,M246="שני שווא נח",2,M246="שני שוואים בסוף מילה",2,M246="שני שוואים ברצף",1),"0")</f>
        <v>0</v>
      </c>
      <c r="J246" s="9">
        <f t="shared" si="19"/>
        <v>3</v>
      </c>
      <c r="K246" t="s">
        <v>6698</v>
      </c>
      <c r="L246" t="s">
        <v>6695</v>
      </c>
      <c r="P246" t="s">
        <v>6694</v>
      </c>
      <c r="W246" t="s">
        <v>6720</v>
      </c>
    </row>
    <row r="247" spans="1:23" ht="15.6" x14ac:dyDescent="0.4">
      <c r="A247" s="2" t="s">
        <v>4976</v>
      </c>
      <c r="B247" s="5" t="s">
        <v>6962</v>
      </c>
      <c r="C247" s="7" t="s">
        <v>12556</v>
      </c>
      <c r="D247" s="8">
        <f t="shared" si="16"/>
        <v>0</v>
      </c>
      <c r="E247" s="7" t="s">
        <v>12557</v>
      </c>
      <c r="F247" s="7">
        <f t="shared" si="17"/>
        <v>0</v>
      </c>
      <c r="G247" s="7" t="s">
        <v>12558</v>
      </c>
      <c r="H247" s="7">
        <f t="shared" si="18"/>
        <v>0</v>
      </c>
      <c r="I247" s="7" t="str" cm="1">
        <f t="array" ref="I247">IFERROR(_xlfn.IFS(M247="נח",1,M247="נע ונח",1,M247="שני שווא נח",2,M247="שני שוואים בסוף מילה",2,M247="שני שוואים ברצף",1),"0")</f>
        <v>0</v>
      </c>
      <c r="J247" s="9">
        <f t="shared" si="19"/>
        <v>4</v>
      </c>
      <c r="K247" t="s">
        <v>6697</v>
      </c>
      <c r="L247" t="s">
        <v>6695</v>
      </c>
      <c r="P247" t="s">
        <v>6694</v>
      </c>
      <c r="S247" t="s">
        <v>6694</v>
      </c>
      <c r="V247" t="s">
        <v>6694</v>
      </c>
      <c r="W247" t="s">
        <v>6720</v>
      </c>
    </row>
    <row r="248" spans="1:23" ht="15.6" x14ac:dyDescent="0.4">
      <c r="A248" s="2" t="s">
        <v>3743</v>
      </c>
      <c r="B248" s="5" t="s">
        <v>6963</v>
      </c>
      <c r="C248" s="7" t="s">
        <v>12556</v>
      </c>
      <c r="D248" s="8">
        <f t="shared" si="16"/>
        <v>0</v>
      </c>
      <c r="E248" s="7" t="s">
        <v>12557</v>
      </c>
      <c r="F248" s="7">
        <f t="shared" si="17"/>
        <v>0</v>
      </c>
      <c r="G248" s="7" t="s">
        <v>12558</v>
      </c>
      <c r="H248" s="7">
        <f t="shared" si="18"/>
        <v>0</v>
      </c>
      <c r="I248" s="7" t="str" cm="1">
        <f t="array" ref="I248">IFERROR(_xlfn.IFS(M248="נח",1,M248="נע ונח",1,M248="שני שווא נח",2,M248="שני שוואים בסוף מילה",2,M248="שני שוואים ברצף",1),"0")</f>
        <v>0</v>
      </c>
      <c r="J248" s="9">
        <f t="shared" si="19"/>
        <v>4</v>
      </c>
      <c r="K248" t="s">
        <v>6698</v>
      </c>
      <c r="L248" t="s">
        <v>6695</v>
      </c>
      <c r="O248" t="s">
        <v>6694</v>
      </c>
      <c r="P248" t="s">
        <v>6694</v>
      </c>
      <c r="R248" t="s">
        <v>6694</v>
      </c>
      <c r="W248" t="s">
        <v>6720</v>
      </c>
    </row>
    <row r="249" spans="1:23" ht="15.6" x14ac:dyDescent="0.4">
      <c r="A249" s="2" t="s">
        <v>5369</v>
      </c>
      <c r="B249" s="5" t="s">
        <v>6964</v>
      </c>
      <c r="C249" s="7" t="s">
        <v>12556</v>
      </c>
      <c r="D249" s="8">
        <f t="shared" si="16"/>
        <v>0</v>
      </c>
      <c r="E249" s="7" t="s">
        <v>12557</v>
      </c>
      <c r="F249" s="7">
        <f t="shared" si="17"/>
        <v>0</v>
      </c>
      <c r="G249" s="7" t="s">
        <v>12558</v>
      </c>
      <c r="H249" s="7">
        <f t="shared" si="18"/>
        <v>0</v>
      </c>
      <c r="I249" s="7" t="str" cm="1">
        <f t="array" ref="I249">IFERROR(_xlfn.IFS(M249="נח",1,M249="נע ונח",1,M249="שני שווא נח",2,M249="שני שוואים בסוף מילה",2,M249="שני שוואים ברצף",1),"0")</f>
        <v>0</v>
      </c>
      <c r="J249" s="9">
        <f t="shared" si="19"/>
        <v>4</v>
      </c>
      <c r="K249" t="s">
        <v>6697</v>
      </c>
      <c r="L249" t="s">
        <v>6695</v>
      </c>
      <c r="O249" t="s">
        <v>6694</v>
      </c>
      <c r="P249" t="s">
        <v>6694</v>
      </c>
      <c r="R249" t="s">
        <v>6694</v>
      </c>
      <c r="W249" t="s">
        <v>6720</v>
      </c>
    </row>
    <row r="250" spans="1:23" ht="15.6" x14ac:dyDescent="0.4">
      <c r="A250" s="2" t="s">
        <v>3864</v>
      </c>
      <c r="B250" s="5" t="s">
        <v>6965</v>
      </c>
      <c r="C250" s="7" t="s">
        <v>12556</v>
      </c>
      <c r="D250" s="8">
        <f t="shared" si="16"/>
        <v>0</v>
      </c>
      <c r="E250" s="7" t="s">
        <v>12557</v>
      </c>
      <c r="F250" s="7">
        <f t="shared" si="17"/>
        <v>0</v>
      </c>
      <c r="G250" s="7" t="s">
        <v>12558</v>
      </c>
      <c r="H250" s="7">
        <f t="shared" si="18"/>
        <v>0</v>
      </c>
      <c r="I250" s="7" t="str" cm="1">
        <f t="array" ref="I250">IFERROR(_xlfn.IFS(M250="נח",1,M250="נע ונח",1,M250="שני שווא נח",2,M250="שני שוואים בסוף מילה",2,M250="שני שוואים ברצף",1),"0")</f>
        <v>0</v>
      </c>
      <c r="J250" s="9">
        <f t="shared" si="19"/>
        <v>3</v>
      </c>
      <c r="K250" t="s">
        <v>6698</v>
      </c>
      <c r="L250" t="s">
        <v>6695</v>
      </c>
      <c r="N250" t="s">
        <v>6706</v>
      </c>
      <c r="O250" t="s">
        <v>6694</v>
      </c>
      <c r="P250" t="s">
        <v>6694</v>
      </c>
      <c r="W250" t="s">
        <v>6720</v>
      </c>
    </row>
    <row r="251" spans="1:23" ht="15.6" x14ac:dyDescent="0.4">
      <c r="A251" s="2" t="s">
        <v>5710</v>
      </c>
      <c r="B251" s="5" t="s">
        <v>6966</v>
      </c>
      <c r="C251" s="7" t="s">
        <v>12556</v>
      </c>
      <c r="D251" s="8">
        <f t="shared" si="16"/>
        <v>0</v>
      </c>
      <c r="E251" s="7" t="s">
        <v>12557</v>
      </c>
      <c r="F251" s="7">
        <f t="shared" si="17"/>
        <v>0</v>
      </c>
      <c r="G251" s="7" t="s">
        <v>12558</v>
      </c>
      <c r="H251" s="7">
        <f t="shared" si="18"/>
        <v>0</v>
      </c>
      <c r="I251" s="7" t="str" cm="1">
        <f t="array" ref="I251">IFERROR(_xlfn.IFS(M251="נח",1,M251="נע ונח",1,M251="שני שווא נח",2,M251="שני שוואים בסוף מילה",2,M251="שני שוואים ברצף",1),"0")</f>
        <v>0</v>
      </c>
      <c r="J251" s="9">
        <f t="shared" si="19"/>
        <v>3</v>
      </c>
      <c r="K251" t="s">
        <v>6698</v>
      </c>
      <c r="L251" t="s">
        <v>6695</v>
      </c>
      <c r="P251" t="s">
        <v>6694</v>
      </c>
      <c r="V251" t="s">
        <v>6694</v>
      </c>
      <c r="W251" t="s">
        <v>6720</v>
      </c>
    </row>
    <row r="252" spans="1:23" ht="15.6" x14ac:dyDescent="0.4">
      <c r="A252" s="2" t="s">
        <v>3035</v>
      </c>
      <c r="B252" s="5" t="s">
        <v>6967</v>
      </c>
      <c r="C252" s="7" t="s">
        <v>12556</v>
      </c>
      <c r="D252" s="8">
        <f t="shared" si="16"/>
        <v>0</v>
      </c>
      <c r="E252" s="7" t="s">
        <v>12557</v>
      </c>
      <c r="F252" s="7">
        <f t="shared" si="17"/>
        <v>0</v>
      </c>
      <c r="G252" s="7" t="s">
        <v>12558</v>
      </c>
      <c r="H252" s="7">
        <f t="shared" si="18"/>
        <v>0</v>
      </c>
      <c r="I252" s="7" t="str" cm="1">
        <f t="array" ref="I252">IFERROR(_xlfn.IFS(M252="נח",1,M252="נע ונח",1,M252="שני שווא נח",2,M252="שני שוואים בסוף מילה",2,M252="שני שוואים ברצף",1),"0")</f>
        <v>0</v>
      </c>
      <c r="J252" s="9">
        <f t="shared" si="19"/>
        <v>2</v>
      </c>
      <c r="K252" t="s">
        <v>6698</v>
      </c>
      <c r="L252" t="s">
        <v>6695</v>
      </c>
      <c r="P252" t="s">
        <v>6694</v>
      </c>
      <c r="Q252" t="s">
        <v>6694</v>
      </c>
      <c r="W252" t="s">
        <v>6720</v>
      </c>
    </row>
    <row r="253" spans="1:23" ht="15.6" x14ac:dyDescent="0.4">
      <c r="A253" s="2" t="s">
        <v>4564</v>
      </c>
      <c r="B253" s="5" t="s">
        <v>6967</v>
      </c>
      <c r="C253" s="7" t="s">
        <v>12556</v>
      </c>
      <c r="D253" s="8">
        <f t="shared" si="16"/>
        <v>0</v>
      </c>
      <c r="E253" s="7" t="s">
        <v>12557</v>
      </c>
      <c r="F253" s="7">
        <f t="shared" si="17"/>
        <v>0</v>
      </c>
      <c r="G253" s="7" t="s">
        <v>12558</v>
      </c>
      <c r="H253" s="7">
        <f t="shared" si="18"/>
        <v>0</v>
      </c>
      <c r="I253" s="7" t="str" cm="1">
        <f t="array" ref="I253">IFERROR(_xlfn.IFS(M253="נח",1,M253="נע ונח",1,M253="שני שווא נח",2,M253="שני שוואים בסוף מילה",2,M253="שני שוואים ברצף",1),"0")</f>
        <v>0</v>
      </c>
      <c r="J253" s="9">
        <f t="shared" si="19"/>
        <v>2</v>
      </c>
      <c r="K253" t="s">
        <v>6698</v>
      </c>
      <c r="L253" t="s">
        <v>6695</v>
      </c>
      <c r="P253" t="s">
        <v>6694</v>
      </c>
      <c r="W253" t="s">
        <v>6720</v>
      </c>
    </row>
    <row r="254" spans="1:23" ht="15.6" x14ac:dyDescent="0.4">
      <c r="A254" s="2" t="s">
        <v>2618</v>
      </c>
      <c r="B254" s="5" t="s">
        <v>6968</v>
      </c>
      <c r="C254" s="7" t="s">
        <v>12556</v>
      </c>
      <c r="D254" s="8">
        <f t="shared" si="16"/>
        <v>0</v>
      </c>
      <c r="E254" s="7" t="s">
        <v>12557</v>
      </c>
      <c r="F254" s="7">
        <f t="shared" si="17"/>
        <v>0</v>
      </c>
      <c r="G254" s="7" t="s">
        <v>12558</v>
      </c>
      <c r="H254" s="7">
        <f t="shared" si="18"/>
        <v>0</v>
      </c>
      <c r="I254" s="7" t="str" cm="1">
        <f t="array" ref="I254">IFERROR(_xlfn.IFS(M254="נח",1,M254="נע ונח",1,M254="שני שווא נח",2,M254="שני שוואים בסוף מילה",2,M254="שני שוואים ברצף",1),"0")</f>
        <v>0</v>
      </c>
      <c r="J254" s="9">
        <f t="shared" si="19"/>
        <v>2</v>
      </c>
      <c r="K254" t="s">
        <v>6698</v>
      </c>
      <c r="L254" t="s">
        <v>6695</v>
      </c>
      <c r="P254" t="s">
        <v>6694</v>
      </c>
      <c r="W254" t="s">
        <v>6720</v>
      </c>
    </row>
    <row r="255" spans="1:23" ht="15.6" x14ac:dyDescent="0.4">
      <c r="A255" s="2" t="s">
        <v>3817</v>
      </c>
      <c r="B255" s="5" t="s">
        <v>6969</v>
      </c>
      <c r="C255" s="7" t="s">
        <v>12556</v>
      </c>
      <c r="D255" s="8">
        <f t="shared" si="16"/>
        <v>0</v>
      </c>
      <c r="E255" s="7" t="s">
        <v>12557</v>
      </c>
      <c r="F255" s="7">
        <f t="shared" si="17"/>
        <v>1</v>
      </c>
      <c r="G255" s="7" t="s">
        <v>12558</v>
      </c>
      <c r="H255" s="7">
        <f t="shared" si="18"/>
        <v>0</v>
      </c>
      <c r="I255" s="7" t="str" cm="1">
        <f t="array" ref="I255">IFERROR(_xlfn.IFS(M255="נח",1,M255="נע ונח",1,M255="שני שווא נח",2,M255="שני שוואים בסוף מילה",2,M255="שני שוואים ברצף",1),"0")</f>
        <v>0</v>
      </c>
      <c r="J255" s="9">
        <f t="shared" si="19"/>
        <v>2</v>
      </c>
      <c r="K255" t="s">
        <v>6697</v>
      </c>
      <c r="L255" t="s">
        <v>6695</v>
      </c>
      <c r="P255" t="s">
        <v>6694</v>
      </c>
      <c r="R255" t="s">
        <v>6694</v>
      </c>
      <c r="W255" t="s">
        <v>6720</v>
      </c>
    </row>
    <row r="256" spans="1:23" ht="15.6" x14ac:dyDescent="0.4">
      <c r="A256" s="2" t="s">
        <v>3558</v>
      </c>
      <c r="B256" s="5" t="s">
        <v>6970</v>
      </c>
      <c r="C256" s="7" t="s">
        <v>12556</v>
      </c>
      <c r="D256" s="8">
        <f t="shared" si="16"/>
        <v>0</v>
      </c>
      <c r="E256" s="7" t="s">
        <v>12557</v>
      </c>
      <c r="F256" s="7">
        <f t="shared" si="17"/>
        <v>1</v>
      </c>
      <c r="G256" s="7" t="s">
        <v>12558</v>
      </c>
      <c r="H256" s="7">
        <f t="shared" si="18"/>
        <v>0</v>
      </c>
      <c r="I256" s="7" t="str" cm="1">
        <f t="array" ref="I256">IFERROR(_xlfn.IFS(M256="נח",1,M256="נע ונח",1,M256="שני שווא נח",2,M256="שני שוואים בסוף מילה",2,M256="שני שוואים ברצף",1),"0")</f>
        <v>0</v>
      </c>
      <c r="J256" s="9">
        <f t="shared" si="19"/>
        <v>2</v>
      </c>
      <c r="K256" t="s">
        <v>6697</v>
      </c>
      <c r="L256" t="s">
        <v>6695</v>
      </c>
      <c r="P256" t="s">
        <v>6694</v>
      </c>
      <c r="Q256" t="s">
        <v>6694</v>
      </c>
      <c r="W256" t="s">
        <v>6720</v>
      </c>
    </row>
    <row r="257" spans="1:23" ht="15.6" x14ac:dyDescent="0.4">
      <c r="A257" s="2" t="s">
        <v>3352</v>
      </c>
      <c r="B257" s="5" t="s">
        <v>6971</v>
      </c>
      <c r="C257" s="7" t="s">
        <v>12556</v>
      </c>
      <c r="D257" s="8">
        <f t="shared" si="16"/>
        <v>0</v>
      </c>
      <c r="E257" s="7" t="s">
        <v>12557</v>
      </c>
      <c r="F257" s="7">
        <f t="shared" si="17"/>
        <v>1</v>
      </c>
      <c r="G257" s="7" t="s">
        <v>12558</v>
      </c>
      <c r="H257" s="7">
        <f t="shared" si="18"/>
        <v>0</v>
      </c>
      <c r="I257" s="7" t="str" cm="1">
        <f t="array" ref="I257">IFERROR(_xlfn.IFS(M257="נח",1,M257="נע ונח",1,M257="שני שווא נח",2,M257="שני שוואים בסוף מילה",2,M257="שני שוואים ברצף",1),"0")</f>
        <v>0</v>
      </c>
      <c r="J257" s="9">
        <f t="shared" si="19"/>
        <v>3</v>
      </c>
      <c r="K257" t="s">
        <v>6698</v>
      </c>
      <c r="L257" t="s">
        <v>6695</v>
      </c>
      <c r="P257" t="s">
        <v>6694</v>
      </c>
      <c r="R257" t="s">
        <v>6694</v>
      </c>
      <c r="W257" t="s">
        <v>6720</v>
      </c>
    </row>
    <row r="258" spans="1:23" ht="15.6" x14ac:dyDescent="0.4">
      <c r="A258" s="2" t="s">
        <v>5247</v>
      </c>
      <c r="B258" s="5" t="s">
        <v>6972</v>
      </c>
      <c r="C258" s="7" t="s">
        <v>12556</v>
      </c>
      <c r="D258" s="8">
        <f t="shared" si="16"/>
        <v>0</v>
      </c>
      <c r="E258" s="7" t="s">
        <v>12557</v>
      </c>
      <c r="F258" s="7">
        <f t="shared" si="17"/>
        <v>1</v>
      </c>
      <c r="G258" s="7" t="s">
        <v>12558</v>
      </c>
      <c r="H258" s="7">
        <f t="shared" si="18"/>
        <v>0</v>
      </c>
      <c r="I258" s="7" t="str" cm="1">
        <f t="array" ref="I258">IFERROR(_xlfn.IFS(M258="נח",1,M258="נע ונח",1,M258="שני שווא נח",2,M258="שני שוואים בסוף מילה",2,M258="שני שוואים ברצף",1),"0")</f>
        <v>0</v>
      </c>
      <c r="J258" s="9">
        <f t="shared" si="19"/>
        <v>3</v>
      </c>
      <c r="K258" t="s">
        <v>6698</v>
      </c>
      <c r="L258" t="s">
        <v>6695</v>
      </c>
      <c r="O258" t="s">
        <v>6694</v>
      </c>
      <c r="P258" t="s">
        <v>6694</v>
      </c>
      <c r="V258" t="s">
        <v>6694</v>
      </c>
      <c r="W258" t="s">
        <v>6720</v>
      </c>
    </row>
    <row r="259" spans="1:23" ht="15.6" x14ac:dyDescent="0.4">
      <c r="A259" s="2" t="s">
        <v>796</v>
      </c>
      <c r="B259" s="5" t="s">
        <v>6973</v>
      </c>
      <c r="C259" s="7" t="s">
        <v>12556</v>
      </c>
      <c r="D259" s="8">
        <f t="shared" ref="D259:D322" si="20">(LEN(B259)-LEN(SUBSTITUTE(B259,C259,"")))</f>
        <v>0</v>
      </c>
      <c r="E259" s="7" t="s">
        <v>12557</v>
      </c>
      <c r="F259" s="7">
        <f t="shared" ref="F259:F322" si="21">(LEN(A259)-LEN(SUBSTITUTE(A259,E259,"")))</f>
        <v>0</v>
      </c>
      <c r="G259" s="7" t="s">
        <v>12558</v>
      </c>
      <c r="H259" s="7">
        <f t="shared" ref="H259:H322" si="22">(LEN(A259)-LEN(SUBSTITUTE(A259,G259,"")))/2</f>
        <v>0</v>
      </c>
      <c r="I259" s="7" cm="1">
        <f t="array" ref="I259">IFERROR(_xlfn.IFS(M259="נח",1,M259="נע ונח",1,M259="שני שווא נח",2,M259="שני שוואים בסוף מילה",2,M259="שני שוואים ברצף",1),"0")</f>
        <v>1</v>
      </c>
      <c r="J259" s="9">
        <f t="shared" ref="J259:J322" si="23">LEN(A259)-(LEN(B259))-D259-F259+H259-I259</f>
        <v>1</v>
      </c>
      <c r="K259" t="s">
        <v>6698</v>
      </c>
      <c r="L259" t="s">
        <v>6694</v>
      </c>
      <c r="M259" t="s">
        <v>6705</v>
      </c>
      <c r="P259" t="s">
        <v>6694</v>
      </c>
      <c r="W259" t="s">
        <v>6720</v>
      </c>
    </row>
    <row r="260" spans="1:23" ht="15.6" x14ac:dyDescent="0.4">
      <c r="A260" s="2" t="s">
        <v>4873</v>
      </c>
      <c r="B260" s="5" t="s">
        <v>6974</v>
      </c>
      <c r="C260" s="7" t="s">
        <v>12556</v>
      </c>
      <c r="D260" s="8">
        <f t="shared" si="20"/>
        <v>0</v>
      </c>
      <c r="E260" s="7" t="s">
        <v>12557</v>
      </c>
      <c r="F260" s="7">
        <f t="shared" si="21"/>
        <v>0</v>
      </c>
      <c r="G260" s="7" t="s">
        <v>12558</v>
      </c>
      <c r="H260" s="7">
        <f t="shared" si="22"/>
        <v>0</v>
      </c>
      <c r="I260" s="7" cm="1">
        <f t="array" ref="I260">IFERROR(_xlfn.IFS(M260="נח",1,M260="נע ונח",1,M260="שני שווא נח",2,M260="שני שוואים בסוף מילה",2,M260="שני שוואים ברצף",1),"0")</f>
        <v>1</v>
      </c>
      <c r="J260" s="9">
        <f t="shared" si="23"/>
        <v>3</v>
      </c>
      <c r="K260" t="s">
        <v>6697</v>
      </c>
      <c r="L260" t="s">
        <v>6694</v>
      </c>
      <c r="M260" t="s">
        <v>6705</v>
      </c>
      <c r="P260" t="s">
        <v>6694</v>
      </c>
      <c r="S260" t="s">
        <v>6694</v>
      </c>
      <c r="W260" t="s">
        <v>6720</v>
      </c>
    </row>
    <row r="261" spans="1:23" ht="15.6" x14ac:dyDescent="0.4">
      <c r="A261" s="2" t="s">
        <v>157</v>
      </c>
      <c r="B261" s="5" t="s">
        <v>6853</v>
      </c>
      <c r="C261" s="7" t="s">
        <v>12556</v>
      </c>
      <c r="D261" s="8">
        <f t="shared" si="20"/>
        <v>0</v>
      </c>
      <c r="E261" s="7" t="s">
        <v>12557</v>
      </c>
      <c r="F261" s="7">
        <f t="shared" si="21"/>
        <v>0</v>
      </c>
      <c r="G261" s="7" t="s">
        <v>12558</v>
      </c>
      <c r="H261" s="7">
        <f t="shared" si="22"/>
        <v>0</v>
      </c>
      <c r="I261" s="7" t="str" cm="1">
        <f t="array" ref="I261">IFERROR(_xlfn.IFS(M261="נח",1,M261="נע ונח",1,M261="שני שווא נח",2,M261="שני שוואים בסוף מילה",2,M261="שני שוואים ברצף",1),"0")</f>
        <v>0</v>
      </c>
      <c r="J261" s="9">
        <f t="shared" si="23"/>
        <v>1</v>
      </c>
      <c r="K261" t="s">
        <v>6698</v>
      </c>
      <c r="L261" t="s">
        <v>6695</v>
      </c>
      <c r="P261" t="s">
        <v>6694</v>
      </c>
      <c r="W261" t="s">
        <v>6720</v>
      </c>
    </row>
    <row r="262" spans="1:23" ht="15.6" x14ac:dyDescent="0.4">
      <c r="A262" s="2" t="s">
        <v>6414</v>
      </c>
      <c r="B262" s="5" t="s">
        <v>6975</v>
      </c>
      <c r="C262" s="7" t="s">
        <v>12556</v>
      </c>
      <c r="D262" s="8">
        <f t="shared" si="20"/>
        <v>0</v>
      </c>
      <c r="E262" s="7" t="s">
        <v>12557</v>
      </c>
      <c r="F262" s="7">
        <f t="shared" si="21"/>
        <v>1</v>
      </c>
      <c r="G262" s="7" t="s">
        <v>12558</v>
      </c>
      <c r="H262" s="7">
        <f t="shared" si="22"/>
        <v>0</v>
      </c>
      <c r="I262" s="7" cm="1">
        <f t="array" ref="I262">IFERROR(_xlfn.IFS(M262="נח",1,M262="נע ונח",1,M262="שני שווא נח",2,M262="שני שוואים בסוף מילה",2,M262="שני שוואים ברצף",1),"0")</f>
        <v>1</v>
      </c>
      <c r="J262" s="9">
        <f t="shared" si="23"/>
        <v>2</v>
      </c>
      <c r="K262" t="s">
        <v>6698</v>
      </c>
      <c r="L262" t="s">
        <v>6694</v>
      </c>
      <c r="M262" t="s">
        <v>6705</v>
      </c>
      <c r="P262" t="s">
        <v>6694</v>
      </c>
      <c r="S262" t="s">
        <v>6694</v>
      </c>
      <c r="W262" t="s">
        <v>6720</v>
      </c>
    </row>
    <row r="263" spans="1:23" ht="15.6" x14ac:dyDescent="0.4">
      <c r="A263" s="2" t="s">
        <v>74</v>
      </c>
      <c r="B263" s="5" t="s">
        <v>6976</v>
      </c>
      <c r="C263" s="7" t="s">
        <v>12556</v>
      </c>
      <c r="D263" s="8">
        <f t="shared" si="20"/>
        <v>0</v>
      </c>
      <c r="E263" s="7" t="s">
        <v>12557</v>
      </c>
      <c r="F263" s="7">
        <f t="shared" si="21"/>
        <v>0</v>
      </c>
      <c r="G263" s="7" t="s">
        <v>12558</v>
      </c>
      <c r="H263" s="7">
        <f t="shared" si="22"/>
        <v>0</v>
      </c>
      <c r="I263" s="7" cm="1">
        <f t="array" ref="I263">IFERROR(_xlfn.IFS(M263="נח",1,M263="נע ונח",1,M263="שני שווא נח",2,M263="שני שוואים בסוף מילה",2,M263="שני שוואים ברצף",1),"0")</f>
        <v>1</v>
      </c>
      <c r="J263" s="9">
        <f t="shared" si="23"/>
        <v>3</v>
      </c>
      <c r="K263" t="s">
        <v>6697</v>
      </c>
      <c r="L263" t="s">
        <v>6694</v>
      </c>
      <c r="M263" t="s">
        <v>6705</v>
      </c>
      <c r="O263" t="s">
        <v>6694</v>
      </c>
      <c r="P263" t="s">
        <v>6694</v>
      </c>
      <c r="W263" t="s">
        <v>6720</v>
      </c>
    </row>
    <row r="264" spans="1:23" ht="15.6" x14ac:dyDescent="0.4">
      <c r="A264" s="2" t="s">
        <v>4484</v>
      </c>
      <c r="B264" s="5" t="s">
        <v>6977</v>
      </c>
      <c r="C264" s="7" t="s">
        <v>12556</v>
      </c>
      <c r="D264" s="8">
        <f t="shared" si="20"/>
        <v>0</v>
      </c>
      <c r="E264" s="7" t="s">
        <v>12557</v>
      </c>
      <c r="F264" s="7">
        <f t="shared" si="21"/>
        <v>0</v>
      </c>
      <c r="G264" s="7" t="s">
        <v>12558</v>
      </c>
      <c r="H264" s="7">
        <f t="shared" si="22"/>
        <v>0</v>
      </c>
      <c r="I264" s="7" cm="1">
        <f t="array" ref="I264">IFERROR(_xlfn.IFS(M264="נח",1,M264="נע ונח",1,M264="שני שווא נח",2,M264="שני שוואים בסוף מילה",2,M264="שני שוואים ברצף",1),"0")</f>
        <v>1</v>
      </c>
      <c r="J264" s="9">
        <f t="shared" si="23"/>
        <v>3</v>
      </c>
      <c r="K264" t="s">
        <v>6698</v>
      </c>
      <c r="L264" t="s">
        <v>6694</v>
      </c>
      <c r="M264" t="s">
        <v>6705</v>
      </c>
      <c r="O264" t="s">
        <v>6694</v>
      </c>
      <c r="P264" t="s">
        <v>6694</v>
      </c>
      <c r="V264" t="s">
        <v>6694</v>
      </c>
      <c r="W264" t="s">
        <v>6720</v>
      </c>
    </row>
    <row r="265" spans="1:23" ht="15.6" x14ac:dyDescent="0.4">
      <c r="A265" s="2" t="s">
        <v>4532</v>
      </c>
      <c r="B265" s="5" t="s">
        <v>6978</v>
      </c>
      <c r="C265" s="7" t="s">
        <v>12556</v>
      </c>
      <c r="D265" s="8">
        <f t="shared" si="20"/>
        <v>0</v>
      </c>
      <c r="E265" s="7" t="s">
        <v>12557</v>
      </c>
      <c r="F265" s="7">
        <f t="shared" si="21"/>
        <v>0</v>
      </c>
      <c r="G265" s="7" t="s">
        <v>12558</v>
      </c>
      <c r="H265" s="7">
        <f t="shared" si="22"/>
        <v>0</v>
      </c>
      <c r="I265" s="7" cm="1">
        <f t="array" ref="I265">IFERROR(_xlfn.IFS(M265="נח",1,M265="נע ונח",1,M265="שני שווא נח",2,M265="שני שוואים בסוף מילה",2,M265="שני שוואים ברצף",1),"0")</f>
        <v>1</v>
      </c>
      <c r="J265" s="9">
        <f t="shared" si="23"/>
        <v>2</v>
      </c>
      <c r="K265" t="s">
        <v>6698</v>
      </c>
      <c r="L265" t="s">
        <v>6694</v>
      </c>
      <c r="M265" t="s">
        <v>6705</v>
      </c>
      <c r="P265" t="s">
        <v>6694</v>
      </c>
      <c r="Q265" t="s">
        <v>6694</v>
      </c>
      <c r="W265" t="s">
        <v>6720</v>
      </c>
    </row>
    <row r="266" spans="1:23" ht="15.6" x14ac:dyDescent="0.4">
      <c r="A266" s="2" t="s">
        <v>4028</v>
      </c>
      <c r="B266" s="5" t="s">
        <v>6979</v>
      </c>
      <c r="C266" s="7" t="s">
        <v>12556</v>
      </c>
      <c r="D266" s="8">
        <f t="shared" si="20"/>
        <v>0</v>
      </c>
      <c r="E266" s="7" t="s">
        <v>12557</v>
      </c>
      <c r="F266" s="7">
        <f t="shared" si="21"/>
        <v>2</v>
      </c>
      <c r="G266" s="7" t="s">
        <v>12558</v>
      </c>
      <c r="H266" s="7">
        <f t="shared" si="22"/>
        <v>1</v>
      </c>
      <c r="I266" s="7" t="str" cm="1">
        <f t="array" ref="I266">IFERROR(_xlfn.IFS(M266="נח",1,M266="נע ונח",1,M266="שני שווא נח",2,M266="שני שוואים בסוף מילה",2,M266="שני שוואים ברצף",1),"0")</f>
        <v>0</v>
      </c>
      <c r="J266" s="9">
        <f t="shared" si="23"/>
        <v>3</v>
      </c>
      <c r="K266" t="s">
        <v>6697</v>
      </c>
      <c r="L266" t="s">
        <v>6695</v>
      </c>
      <c r="P266" t="s">
        <v>6694</v>
      </c>
      <c r="S266" t="s">
        <v>6694</v>
      </c>
      <c r="U266" t="s">
        <v>6694</v>
      </c>
      <c r="W266" t="s">
        <v>6720</v>
      </c>
    </row>
    <row r="267" spans="1:23" ht="15.6" x14ac:dyDescent="0.4">
      <c r="A267" s="2" t="s">
        <v>2956</v>
      </c>
      <c r="B267" s="5" t="s">
        <v>6980</v>
      </c>
      <c r="C267" s="7" t="s">
        <v>12556</v>
      </c>
      <c r="D267" s="8">
        <f t="shared" si="20"/>
        <v>0</v>
      </c>
      <c r="E267" s="7" t="s">
        <v>12557</v>
      </c>
      <c r="F267" s="7">
        <f t="shared" si="21"/>
        <v>3</v>
      </c>
      <c r="G267" s="7" t="s">
        <v>12558</v>
      </c>
      <c r="H267" s="7">
        <f t="shared" si="22"/>
        <v>2</v>
      </c>
      <c r="I267" s="7" t="str" cm="1">
        <f t="array" ref="I267">IFERROR(_xlfn.IFS(M267="נח",1,M267="נע ונח",1,M267="שני שווא נח",2,M267="שני שוואים בסוף מילה",2,M267="שני שוואים ברצף",1),"0")</f>
        <v>0</v>
      </c>
      <c r="J267" s="9">
        <f t="shared" si="23"/>
        <v>4</v>
      </c>
      <c r="K267" t="s">
        <v>6697</v>
      </c>
      <c r="L267" t="s">
        <v>6695</v>
      </c>
      <c r="P267" t="s">
        <v>6694</v>
      </c>
      <c r="Q267" t="s">
        <v>6694</v>
      </c>
      <c r="U267" t="s">
        <v>6694</v>
      </c>
      <c r="W267" t="s">
        <v>6720</v>
      </c>
    </row>
    <row r="268" spans="1:23" ht="15.6" x14ac:dyDescent="0.4">
      <c r="A268" s="2" t="s">
        <v>6227</v>
      </c>
      <c r="B268" s="5" t="s">
        <v>6981</v>
      </c>
      <c r="C268" s="7" t="s">
        <v>12556</v>
      </c>
      <c r="D268" s="8">
        <f t="shared" si="20"/>
        <v>0</v>
      </c>
      <c r="E268" s="7" t="s">
        <v>12557</v>
      </c>
      <c r="F268" s="7">
        <f t="shared" si="21"/>
        <v>0</v>
      </c>
      <c r="G268" s="7" t="s">
        <v>12558</v>
      </c>
      <c r="H268" s="7">
        <f t="shared" si="22"/>
        <v>0</v>
      </c>
      <c r="I268" s="7" cm="1">
        <f t="array" ref="I268">IFERROR(_xlfn.IFS(M268="נח",1,M268="נע ונח",1,M268="שני שווא נח",2,M268="שני שוואים בסוף מילה",2,M268="שני שוואים ברצף",1),"0")</f>
        <v>1</v>
      </c>
      <c r="J268" s="9">
        <f t="shared" si="23"/>
        <v>2</v>
      </c>
      <c r="K268" t="s">
        <v>6697</v>
      </c>
      <c r="L268" t="s">
        <v>6694</v>
      </c>
      <c r="M268" t="s">
        <v>6705</v>
      </c>
      <c r="P268" t="s">
        <v>6694</v>
      </c>
      <c r="R268" t="s">
        <v>6694</v>
      </c>
      <c r="W268" t="s">
        <v>6720</v>
      </c>
    </row>
    <row r="269" spans="1:23" ht="15.6" x14ac:dyDescent="0.4">
      <c r="A269" s="2" t="s">
        <v>286</v>
      </c>
      <c r="B269" s="5" t="s">
        <v>6982</v>
      </c>
      <c r="C269" s="7" t="s">
        <v>12556</v>
      </c>
      <c r="D269" s="8">
        <f t="shared" si="20"/>
        <v>1</v>
      </c>
      <c r="E269" s="7" t="s">
        <v>12557</v>
      </c>
      <c r="F269" s="7">
        <f t="shared" si="21"/>
        <v>0</v>
      </c>
      <c r="G269" s="7" t="s">
        <v>12558</v>
      </c>
      <c r="H269" s="7">
        <f t="shared" si="22"/>
        <v>0</v>
      </c>
      <c r="I269" s="7" cm="1">
        <f t="array" ref="I269">IFERROR(_xlfn.IFS(M269="נח",1,M269="נע ונח",1,M269="שני שווא נח",2,M269="שני שוואים בסוף מילה",2,M269="שני שוואים ברצף",1),"0")</f>
        <v>1</v>
      </c>
      <c r="J269" s="9">
        <f t="shared" si="23"/>
        <v>2</v>
      </c>
      <c r="K269" t="s">
        <v>6698</v>
      </c>
      <c r="L269" t="s">
        <v>6694</v>
      </c>
      <c r="M269" t="s">
        <v>6705</v>
      </c>
      <c r="P269" t="s">
        <v>6694</v>
      </c>
      <c r="Q269" t="s">
        <v>6694</v>
      </c>
      <c r="W269" t="s">
        <v>6720</v>
      </c>
    </row>
    <row r="270" spans="1:23" ht="15.6" x14ac:dyDescent="0.4">
      <c r="A270" s="2" t="s">
        <v>3037</v>
      </c>
      <c r="B270" s="5" t="s">
        <v>6983</v>
      </c>
      <c r="C270" s="7" t="s">
        <v>12556</v>
      </c>
      <c r="D270" s="8">
        <f t="shared" si="20"/>
        <v>0</v>
      </c>
      <c r="E270" s="7" t="s">
        <v>12557</v>
      </c>
      <c r="F270" s="7">
        <f t="shared" si="21"/>
        <v>1</v>
      </c>
      <c r="G270" s="7" t="s">
        <v>12558</v>
      </c>
      <c r="H270" s="7">
        <f t="shared" si="22"/>
        <v>0</v>
      </c>
      <c r="I270" s="7" cm="1">
        <f t="array" ref="I270">IFERROR(_xlfn.IFS(M270="נח",1,M270="נע ונח",1,M270="שני שווא נח",2,M270="שני שוואים בסוף מילה",2,M270="שני שוואים ברצף",1),"0")</f>
        <v>1</v>
      </c>
      <c r="J270" s="9">
        <f t="shared" si="23"/>
        <v>2</v>
      </c>
      <c r="K270" t="s">
        <v>6698</v>
      </c>
      <c r="L270" t="s">
        <v>6694</v>
      </c>
      <c r="M270" t="s">
        <v>6705</v>
      </c>
      <c r="P270" t="s">
        <v>6694</v>
      </c>
      <c r="S270" t="s">
        <v>6694</v>
      </c>
      <c r="W270" t="s">
        <v>6720</v>
      </c>
    </row>
    <row r="271" spans="1:23" ht="15.6" x14ac:dyDescent="0.4">
      <c r="A271" s="2" t="s">
        <v>4453</v>
      </c>
      <c r="B271" s="5" t="s">
        <v>6984</v>
      </c>
      <c r="C271" s="7" t="s">
        <v>12556</v>
      </c>
      <c r="D271" s="8">
        <f t="shared" si="20"/>
        <v>0</v>
      </c>
      <c r="E271" s="7" t="s">
        <v>12557</v>
      </c>
      <c r="F271" s="7">
        <f t="shared" si="21"/>
        <v>0</v>
      </c>
      <c r="G271" s="7" t="s">
        <v>12558</v>
      </c>
      <c r="H271" s="7">
        <f t="shared" si="22"/>
        <v>0</v>
      </c>
      <c r="I271" s="7" t="str" cm="1">
        <f t="array" ref="I271">IFERROR(_xlfn.IFS(M271="נח",1,M271="נע ונח",1,M271="שני שווא נח",2,M271="שני שוואים בסוף מילה",2,M271="שני שוואים ברצף",1),"0")</f>
        <v>0</v>
      </c>
      <c r="J271" s="9">
        <f t="shared" si="23"/>
        <v>3</v>
      </c>
      <c r="K271" t="s">
        <v>6697</v>
      </c>
      <c r="L271" t="s">
        <v>6695</v>
      </c>
      <c r="P271" t="s">
        <v>6694</v>
      </c>
      <c r="R271" t="s">
        <v>6694</v>
      </c>
      <c r="W271" t="s">
        <v>6720</v>
      </c>
    </row>
    <row r="272" spans="1:23" ht="15.6" x14ac:dyDescent="0.4">
      <c r="A272" s="2" t="s">
        <v>207</v>
      </c>
      <c r="B272" s="5" t="s">
        <v>6985</v>
      </c>
      <c r="C272" s="7" t="s">
        <v>12556</v>
      </c>
      <c r="D272" s="8">
        <f t="shared" si="20"/>
        <v>0</v>
      </c>
      <c r="E272" s="7" t="s">
        <v>12557</v>
      </c>
      <c r="F272" s="7">
        <f t="shared" si="21"/>
        <v>0</v>
      </c>
      <c r="G272" s="7" t="s">
        <v>12558</v>
      </c>
      <c r="H272" s="7">
        <f t="shared" si="22"/>
        <v>0</v>
      </c>
      <c r="I272" s="7" t="str" cm="1">
        <f t="array" ref="I272">IFERROR(_xlfn.IFS(M272="נח",1,M272="נע ונח",1,M272="שני שווא נח",2,M272="שני שוואים בסוף מילה",2,M272="שני שוואים ברצף",1),"0")</f>
        <v>0</v>
      </c>
      <c r="J272" s="9">
        <f t="shared" si="23"/>
        <v>1</v>
      </c>
      <c r="K272" t="s">
        <v>6698</v>
      </c>
      <c r="L272" t="s">
        <v>6695</v>
      </c>
      <c r="P272" t="s">
        <v>6694</v>
      </c>
      <c r="W272" t="s">
        <v>6720</v>
      </c>
    </row>
    <row r="273" spans="1:23" ht="15.6" x14ac:dyDescent="0.4">
      <c r="A273" s="2" t="s">
        <v>2279</v>
      </c>
      <c r="B273" s="5" t="s">
        <v>6986</v>
      </c>
      <c r="C273" s="7" t="s">
        <v>12556</v>
      </c>
      <c r="D273" s="8">
        <f t="shared" si="20"/>
        <v>0</v>
      </c>
      <c r="E273" s="7" t="s">
        <v>12557</v>
      </c>
      <c r="F273" s="7">
        <f t="shared" si="21"/>
        <v>0</v>
      </c>
      <c r="G273" s="7" t="s">
        <v>12558</v>
      </c>
      <c r="H273" s="7">
        <f t="shared" si="22"/>
        <v>0</v>
      </c>
      <c r="I273" s="7" cm="1">
        <f t="array" ref="I273">IFERROR(_xlfn.IFS(M273="נח",1,M273="נע ונח",1,M273="שני שווא נח",2,M273="שני שוואים בסוף מילה",2,M273="שני שוואים ברצף",1),"0")</f>
        <v>1</v>
      </c>
      <c r="J273" s="9">
        <f t="shared" si="23"/>
        <v>2</v>
      </c>
      <c r="K273" t="s">
        <v>6698</v>
      </c>
      <c r="L273" t="s">
        <v>6694</v>
      </c>
      <c r="M273" t="s">
        <v>6705</v>
      </c>
      <c r="P273" t="s">
        <v>6694</v>
      </c>
      <c r="Q273" t="s">
        <v>6694</v>
      </c>
      <c r="W273" t="s">
        <v>6720</v>
      </c>
    </row>
    <row r="274" spans="1:23" ht="15.6" x14ac:dyDescent="0.4">
      <c r="A274" s="2" t="s">
        <v>3365</v>
      </c>
      <c r="B274" s="5" t="s">
        <v>6987</v>
      </c>
      <c r="C274" s="7" t="s">
        <v>12556</v>
      </c>
      <c r="D274" s="8">
        <f t="shared" si="20"/>
        <v>0</v>
      </c>
      <c r="E274" s="7" t="s">
        <v>12557</v>
      </c>
      <c r="F274" s="7">
        <f t="shared" si="21"/>
        <v>0</v>
      </c>
      <c r="G274" s="7" t="s">
        <v>12558</v>
      </c>
      <c r="H274" s="7">
        <f t="shared" si="22"/>
        <v>0</v>
      </c>
      <c r="I274" s="7" cm="1">
        <f t="array" ref="I274">IFERROR(_xlfn.IFS(M274="נח",1,M274="נע ונח",1,M274="שני שווא נח",2,M274="שני שוואים בסוף מילה",2,M274="שני שוואים ברצף",1),"0")</f>
        <v>1</v>
      </c>
      <c r="J274" s="9">
        <f t="shared" si="23"/>
        <v>2</v>
      </c>
      <c r="K274" t="s">
        <v>6698</v>
      </c>
      <c r="L274" t="s">
        <v>6694</v>
      </c>
      <c r="M274" t="s">
        <v>6705</v>
      </c>
      <c r="P274" t="s">
        <v>6694</v>
      </c>
      <c r="S274" t="s">
        <v>6694</v>
      </c>
      <c r="W274" t="s">
        <v>6720</v>
      </c>
    </row>
    <row r="275" spans="1:23" ht="15.6" x14ac:dyDescent="0.4">
      <c r="A275" s="2" t="s">
        <v>4641</v>
      </c>
      <c r="B275" s="5" t="s">
        <v>6988</v>
      </c>
      <c r="C275" s="7" t="s">
        <v>12556</v>
      </c>
      <c r="D275" s="8">
        <f t="shared" si="20"/>
        <v>0</v>
      </c>
      <c r="E275" s="7" t="s">
        <v>12557</v>
      </c>
      <c r="F275" s="7">
        <f t="shared" si="21"/>
        <v>1</v>
      </c>
      <c r="G275" s="7" t="s">
        <v>12558</v>
      </c>
      <c r="H275" s="7">
        <f t="shared" si="22"/>
        <v>0</v>
      </c>
      <c r="I275" s="7" cm="1">
        <f t="array" ref="I275">IFERROR(_xlfn.IFS(M275="נח",1,M275="נע ונח",1,M275="שני שווא נח",2,M275="שני שוואים בסוף מילה",2,M275="שני שוואים ברצף",1),"0")</f>
        <v>1</v>
      </c>
      <c r="J275" s="9">
        <f t="shared" si="23"/>
        <v>2</v>
      </c>
      <c r="K275" t="s">
        <v>6697</v>
      </c>
      <c r="L275" t="s">
        <v>6694</v>
      </c>
      <c r="M275" t="s">
        <v>6705</v>
      </c>
      <c r="O275" t="s">
        <v>6694</v>
      </c>
      <c r="P275" t="s">
        <v>6694</v>
      </c>
      <c r="W275" t="s">
        <v>6720</v>
      </c>
    </row>
    <row r="276" spans="1:23" ht="15.6" x14ac:dyDescent="0.4">
      <c r="A276" s="2" t="s">
        <v>6183</v>
      </c>
      <c r="B276" s="5" t="s">
        <v>6988</v>
      </c>
      <c r="C276" s="7" t="s">
        <v>12556</v>
      </c>
      <c r="D276" s="8">
        <f t="shared" si="20"/>
        <v>0</v>
      </c>
      <c r="E276" s="7" t="s">
        <v>12557</v>
      </c>
      <c r="F276" s="7">
        <f t="shared" si="21"/>
        <v>1</v>
      </c>
      <c r="G276" s="7" t="s">
        <v>12558</v>
      </c>
      <c r="H276" s="7">
        <f t="shared" si="22"/>
        <v>0</v>
      </c>
      <c r="I276" s="7" t="str" cm="1">
        <f t="array" ref="I276">IFERROR(_xlfn.IFS(M276="נח",1,M276="נע ונח",1,M276="שני שווא נח",2,M276="שני שוואים בסוף מילה",2,M276="שני שוואים ברצף",1),"0")</f>
        <v>0</v>
      </c>
      <c r="J276" s="9">
        <f t="shared" si="23"/>
        <v>3</v>
      </c>
      <c r="K276" t="s">
        <v>6697</v>
      </c>
      <c r="L276" t="s">
        <v>6695</v>
      </c>
      <c r="O276" t="s">
        <v>6694</v>
      </c>
      <c r="P276" t="s">
        <v>6694</v>
      </c>
      <c r="R276" t="s">
        <v>6694</v>
      </c>
      <c r="W276" t="s">
        <v>6720</v>
      </c>
    </row>
    <row r="277" spans="1:23" ht="15.6" x14ac:dyDescent="0.4">
      <c r="A277" s="2" t="s">
        <v>2829</v>
      </c>
      <c r="B277" s="5" t="s">
        <v>6989</v>
      </c>
      <c r="C277" s="7" t="s">
        <v>12556</v>
      </c>
      <c r="D277" s="8">
        <f t="shared" si="20"/>
        <v>0</v>
      </c>
      <c r="E277" s="7" t="s">
        <v>12557</v>
      </c>
      <c r="F277" s="7">
        <f t="shared" si="21"/>
        <v>1</v>
      </c>
      <c r="G277" s="7" t="s">
        <v>12558</v>
      </c>
      <c r="H277" s="7">
        <f t="shared" si="22"/>
        <v>0</v>
      </c>
      <c r="I277" s="7" t="str" cm="1">
        <f t="array" ref="I277">IFERROR(_xlfn.IFS(M277="נח",1,M277="נע ונח",1,M277="שני שווא נח",2,M277="שני שוואים בסוף מילה",2,M277="שני שוואים ברצף",1),"0")</f>
        <v>0</v>
      </c>
      <c r="J277" s="9">
        <f t="shared" si="23"/>
        <v>3</v>
      </c>
      <c r="K277" t="s">
        <v>6698</v>
      </c>
      <c r="L277" t="s">
        <v>6695</v>
      </c>
      <c r="P277" t="s">
        <v>6694</v>
      </c>
      <c r="S277" t="s">
        <v>6694</v>
      </c>
      <c r="W277" t="s">
        <v>6720</v>
      </c>
    </row>
    <row r="278" spans="1:23" ht="15.6" x14ac:dyDescent="0.4">
      <c r="A278" s="2" t="s">
        <v>2296</v>
      </c>
      <c r="B278" s="5" t="s">
        <v>6990</v>
      </c>
      <c r="C278" s="7" t="s">
        <v>12556</v>
      </c>
      <c r="D278" s="8">
        <f t="shared" si="20"/>
        <v>0</v>
      </c>
      <c r="E278" s="7" t="s">
        <v>12557</v>
      </c>
      <c r="F278" s="7">
        <f t="shared" si="21"/>
        <v>1</v>
      </c>
      <c r="G278" s="7" t="s">
        <v>12558</v>
      </c>
      <c r="H278" s="7">
        <f t="shared" si="22"/>
        <v>0</v>
      </c>
      <c r="I278" s="7" t="str" cm="1">
        <f t="array" ref="I278">IFERROR(_xlfn.IFS(M278="נח",1,M278="נע ונח",1,M278="שני שווא נח",2,M278="שני שוואים בסוף מילה",2,M278="שני שוואים ברצף",1),"0")</f>
        <v>0</v>
      </c>
      <c r="J278" s="9">
        <f t="shared" si="23"/>
        <v>2</v>
      </c>
      <c r="K278" t="s">
        <v>6697</v>
      </c>
      <c r="L278" t="s">
        <v>6695</v>
      </c>
      <c r="P278" t="s">
        <v>6694</v>
      </c>
      <c r="V278" t="s">
        <v>6694</v>
      </c>
      <c r="W278" t="s">
        <v>6720</v>
      </c>
    </row>
    <row r="279" spans="1:23" ht="15.6" x14ac:dyDescent="0.4">
      <c r="A279" s="2" t="s">
        <v>2797</v>
      </c>
      <c r="B279" s="5" t="s">
        <v>6991</v>
      </c>
      <c r="C279" s="7" t="s">
        <v>12556</v>
      </c>
      <c r="D279" s="8">
        <f t="shared" si="20"/>
        <v>0</v>
      </c>
      <c r="E279" s="7" t="s">
        <v>12557</v>
      </c>
      <c r="F279" s="7">
        <f t="shared" si="21"/>
        <v>0</v>
      </c>
      <c r="G279" s="7" t="s">
        <v>12558</v>
      </c>
      <c r="H279" s="7">
        <f t="shared" si="22"/>
        <v>0</v>
      </c>
      <c r="I279" s="7" cm="1">
        <f t="array" ref="I279">IFERROR(_xlfn.IFS(M279="נח",1,M279="נע ונח",1,M279="שני שווא נח",2,M279="שני שוואים בסוף מילה",2,M279="שני שוואים ברצף",1),"0")</f>
        <v>1</v>
      </c>
      <c r="J279" s="9">
        <f t="shared" si="23"/>
        <v>2</v>
      </c>
      <c r="K279" t="s">
        <v>6698</v>
      </c>
      <c r="L279" t="s">
        <v>6694</v>
      </c>
      <c r="M279" t="s">
        <v>6705</v>
      </c>
      <c r="P279" t="s">
        <v>6694</v>
      </c>
      <c r="S279" t="s">
        <v>6694</v>
      </c>
      <c r="W279" t="s">
        <v>6720</v>
      </c>
    </row>
    <row r="280" spans="1:23" ht="15.6" x14ac:dyDescent="0.4">
      <c r="A280" s="2" t="s">
        <v>6169</v>
      </c>
      <c r="B280" s="5" t="s">
        <v>6992</v>
      </c>
      <c r="C280" s="7" t="s">
        <v>12556</v>
      </c>
      <c r="D280" s="8">
        <f t="shared" si="20"/>
        <v>0</v>
      </c>
      <c r="E280" s="7" t="s">
        <v>12557</v>
      </c>
      <c r="F280" s="7">
        <f t="shared" si="21"/>
        <v>0</v>
      </c>
      <c r="G280" s="7" t="s">
        <v>12558</v>
      </c>
      <c r="H280" s="7">
        <f t="shared" si="22"/>
        <v>0</v>
      </c>
      <c r="I280" s="7" cm="1">
        <f t="array" ref="I280">IFERROR(_xlfn.IFS(M280="נח",1,M280="נע ונח",1,M280="שני שווא נח",2,M280="שני שוואים בסוף מילה",2,M280="שני שוואים ברצף",1),"0")</f>
        <v>1</v>
      </c>
      <c r="J280" s="9">
        <f t="shared" si="23"/>
        <v>3</v>
      </c>
      <c r="K280" t="s">
        <v>6698</v>
      </c>
      <c r="L280" t="s">
        <v>6694</v>
      </c>
      <c r="M280" t="s">
        <v>6705</v>
      </c>
      <c r="P280" t="s">
        <v>6694</v>
      </c>
      <c r="Q280" t="s">
        <v>6694</v>
      </c>
      <c r="S280" t="s">
        <v>6694</v>
      </c>
      <c r="W280" t="s">
        <v>6720</v>
      </c>
    </row>
    <row r="281" spans="1:23" ht="15.6" x14ac:dyDescent="0.4">
      <c r="A281" s="2" t="s">
        <v>5349</v>
      </c>
      <c r="B281" s="5" t="s">
        <v>6993</v>
      </c>
      <c r="C281" s="7" t="s">
        <v>12556</v>
      </c>
      <c r="D281" s="8">
        <f t="shared" si="20"/>
        <v>0</v>
      </c>
      <c r="E281" s="7" t="s">
        <v>12557</v>
      </c>
      <c r="F281" s="7">
        <f t="shared" si="21"/>
        <v>2</v>
      </c>
      <c r="G281" s="7" t="s">
        <v>12558</v>
      </c>
      <c r="H281" s="7">
        <f t="shared" si="22"/>
        <v>1</v>
      </c>
      <c r="I281" s="7" cm="1">
        <f t="array" ref="I281">IFERROR(_xlfn.IFS(M281="נח",1,M281="נע ונח",1,M281="שני שווא נח",2,M281="שני שוואים בסוף מילה",2,M281="שני שוואים ברצף",1),"0")</f>
        <v>1</v>
      </c>
      <c r="J281" s="9">
        <f t="shared" si="23"/>
        <v>3</v>
      </c>
      <c r="K281" t="s">
        <v>6697</v>
      </c>
      <c r="L281" t="s">
        <v>6694</v>
      </c>
      <c r="M281" t="s">
        <v>6705</v>
      </c>
      <c r="P281" t="s">
        <v>6694</v>
      </c>
      <c r="R281" t="s">
        <v>6694</v>
      </c>
      <c r="U281" t="s">
        <v>6694</v>
      </c>
      <c r="W281" t="s">
        <v>6720</v>
      </c>
    </row>
    <row r="282" spans="1:23" ht="15.6" x14ac:dyDescent="0.4">
      <c r="A282" s="2" t="s">
        <v>1699</v>
      </c>
      <c r="B282" s="5" t="s">
        <v>6994</v>
      </c>
      <c r="C282" s="7" t="s">
        <v>12556</v>
      </c>
      <c r="D282" s="8">
        <f t="shared" si="20"/>
        <v>0</v>
      </c>
      <c r="E282" s="7" t="s">
        <v>12557</v>
      </c>
      <c r="F282" s="7">
        <f t="shared" si="21"/>
        <v>1</v>
      </c>
      <c r="G282" s="7" t="s">
        <v>12558</v>
      </c>
      <c r="H282" s="7">
        <f t="shared" si="22"/>
        <v>0</v>
      </c>
      <c r="I282" s="7" cm="1">
        <f t="array" ref="I282">IFERROR(_xlfn.IFS(M282="נח",1,M282="נע ונח",1,M282="שני שווא נח",2,M282="שני שוואים בסוף מילה",2,M282="שני שוואים ברצף",1),"0")</f>
        <v>1</v>
      </c>
      <c r="J282" s="9">
        <f t="shared" si="23"/>
        <v>2</v>
      </c>
      <c r="K282" t="s">
        <v>6697</v>
      </c>
      <c r="L282" t="s">
        <v>6694</v>
      </c>
      <c r="M282" t="s">
        <v>6705</v>
      </c>
      <c r="P282" t="s">
        <v>6694</v>
      </c>
      <c r="R282" t="s">
        <v>6694</v>
      </c>
      <c r="W282" t="s">
        <v>6720</v>
      </c>
    </row>
    <row r="283" spans="1:23" ht="15.6" x14ac:dyDescent="0.4">
      <c r="A283" s="2" t="s">
        <v>2990</v>
      </c>
      <c r="B283" s="5" t="s">
        <v>6995</v>
      </c>
      <c r="C283" s="7" t="s">
        <v>12556</v>
      </c>
      <c r="D283" s="8">
        <f t="shared" si="20"/>
        <v>0</v>
      </c>
      <c r="E283" s="7" t="s">
        <v>12557</v>
      </c>
      <c r="F283" s="7">
        <f t="shared" si="21"/>
        <v>1</v>
      </c>
      <c r="G283" s="7" t="s">
        <v>12558</v>
      </c>
      <c r="H283" s="7">
        <f t="shared" si="22"/>
        <v>0</v>
      </c>
      <c r="I283" s="7" cm="1">
        <f t="array" ref="I283">IFERROR(_xlfn.IFS(M283="נח",1,M283="נע ונח",1,M283="שני שווא נח",2,M283="שני שוואים בסוף מילה",2,M283="שני שוואים ברצף",1),"0")</f>
        <v>1</v>
      </c>
      <c r="J283" s="9">
        <f t="shared" si="23"/>
        <v>3</v>
      </c>
      <c r="K283" t="s">
        <v>6698</v>
      </c>
      <c r="L283" t="s">
        <v>6694</v>
      </c>
      <c r="M283" t="s">
        <v>6705</v>
      </c>
      <c r="O283" t="s">
        <v>6694</v>
      </c>
      <c r="P283" t="s">
        <v>6694</v>
      </c>
      <c r="S283" t="s">
        <v>6694</v>
      </c>
      <c r="W283" t="s">
        <v>6720</v>
      </c>
    </row>
    <row r="284" spans="1:23" ht="15.6" x14ac:dyDescent="0.4">
      <c r="A284" s="2" t="s">
        <v>696</v>
      </c>
      <c r="B284" s="5" t="s">
        <v>6996</v>
      </c>
      <c r="C284" s="7" t="s">
        <v>12556</v>
      </c>
      <c r="D284" s="8">
        <f t="shared" si="20"/>
        <v>0</v>
      </c>
      <c r="E284" s="7" t="s">
        <v>12557</v>
      </c>
      <c r="F284" s="7">
        <f t="shared" si="21"/>
        <v>0</v>
      </c>
      <c r="G284" s="7" t="s">
        <v>12558</v>
      </c>
      <c r="H284" s="7">
        <f t="shared" si="22"/>
        <v>0</v>
      </c>
      <c r="I284" s="7" cm="1">
        <f t="array" ref="I284">IFERROR(_xlfn.IFS(M284="נח",1,M284="נע ונח",1,M284="שני שווא נח",2,M284="שני שוואים בסוף מילה",2,M284="שני שוואים ברצף",1),"0")</f>
        <v>1</v>
      </c>
      <c r="J284" s="9">
        <f t="shared" si="23"/>
        <v>2</v>
      </c>
      <c r="K284" t="s">
        <v>6698</v>
      </c>
      <c r="L284" t="s">
        <v>6694</v>
      </c>
      <c r="M284" t="s">
        <v>6705</v>
      </c>
      <c r="P284" t="s">
        <v>6694</v>
      </c>
      <c r="Q284" t="s">
        <v>6694</v>
      </c>
      <c r="W284" t="s">
        <v>6720</v>
      </c>
    </row>
    <row r="285" spans="1:23" ht="15.6" x14ac:dyDescent="0.4">
      <c r="A285" s="2" t="s">
        <v>4006</v>
      </c>
      <c r="B285" s="5" t="s">
        <v>6997</v>
      </c>
      <c r="C285" s="7" t="s">
        <v>12556</v>
      </c>
      <c r="D285" s="8">
        <f t="shared" si="20"/>
        <v>0</v>
      </c>
      <c r="E285" s="7" t="s">
        <v>12557</v>
      </c>
      <c r="F285" s="7">
        <f t="shared" si="21"/>
        <v>0</v>
      </c>
      <c r="G285" s="7" t="s">
        <v>12558</v>
      </c>
      <c r="H285" s="7">
        <f t="shared" si="22"/>
        <v>0</v>
      </c>
      <c r="I285" s="7" cm="1">
        <f t="array" ref="I285">IFERROR(_xlfn.IFS(M285="נח",1,M285="נע ונח",1,M285="שני שווא נח",2,M285="שני שוואים בסוף מילה",2,M285="שני שוואים ברצף",1),"0")</f>
        <v>1</v>
      </c>
      <c r="J285" s="9">
        <f t="shared" si="23"/>
        <v>2</v>
      </c>
      <c r="K285" t="s">
        <v>6698</v>
      </c>
      <c r="L285" t="s">
        <v>6694</v>
      </c>
      <c r="M285" t="s">
        <v>6705</v>
      </c>
      <c r="P285" t="s">
        <v>6694</v>
      </c>
      <c r="S285" t="s">
        <v>6694</v>
      </c>
      <c r="W285" t="s">
        <v>6720</v>
      </c>
    </row>
    <row r="286" spans="1:23" ht="15.6" x14ac:dyDescent="0.4">
      <c r="A286" s="2" t="s">
        <v>5876</v>
      </c>
      <c r="B286" s="5" t="s">
        <v>6998</v>
      </c>
      <c r="C286" s="7" t="s">
        <v>12556</v>
      </c>
      <c r="D286" s="8">
        <f t="shared" si="20"/>
        <v>0</v>
      </c>
      <c r="E286" s="7" t="s">
        <v>12557</v>
      </c>
      <c r="F286" s="7">
        <f t="shared" si="21"/>
        <v>0</v>
      </c>
      <c r="G286" s="7" t="s">
        <v>12558</v>
      </c>
      <c r="H286" s="7">
        <f t="shared" si="22"/>
        <v>0</v>
      </c>
      <c r="I286" s="7" cm="1">
        <f t="array" ref="I286">IFERROR(_xlfn.IFS(M286="נח",1,M286="נע ונח",1,M286="שני שווא נח",2,M286="שני שוואים בסוף מילה",2,M286="שני שוואים ברצף",1),"0")</f>
        <v>1</v>
      </c>
      <c r="J286" s="9">
        <f t="shared" si="23"/>
        <v>2</v>
      </c>
      <c r="K286" t="s">
        <v>6697</v>
      </c>
      <c r="L286" t="s">
        <v>6694</v>
      </c>
      <c r="M286" t="s">
        <v>6705</v>
      </c>
      <c r="P286" t="s">
        <v>6694</v>
      </c>
      <c r="Q286" t="s">
        <v>6694</v>
      </c>
      <c r="W286" t="s">
        <v>6720</v>
      </c>
    </row>
    <row r="287" spans="1:23" ht="15.6" x14ac:dyDescent="0.4">
      <c r="A287" s="2" t="s">
        <v>4918</v>
      </c>
      <c r="B287" s="5" t="s">
        <v>6999</v>
      </c>
      <c r="C287" s="7" t="s">
        <v>12556</v>
      </c>
      <c r="D287" s="8">
        <f t="shared" si="20"/>
        <v>0</v>
      </c>
      <c r="E287" s="7" t="s">
        <v>12557</v>
      </c>
      <c r="F287" s="7">
        <f t="shared" si="21"/>
        <v>0</v>
      </c>
      <c r="G287" s="7" t="s">
        <v>12558</v>
      </c>
      <c r="H287" s="7">
        <f t="shared" si="22"/>
        <v>0</v>
      </c>
      <c r="I287" s="7" cm="1">
        <f t="array" ref="I287">IFERROR(_xlfn.IFS(M287="נח",1,M287="נע ונח",1,M287="שני שווא נח",2,M287="שני שוואים בסוף מילה",2,M287="שני שוואים ברצף",1),"0")</f>
        <v>1</v>
      </c>
      <c r="J287" s="9">
        <f t="shared" si="23"/>
        <v>3</v>
      </c>
      <c r="K287" t="s">
        <v>6697</v>
      </c>
      <c r="L287" t="s">
        <v>6694</v>
      </c>
      <c r="M287" t="s">
        <v>6705</v>
      </c>
      <c r="O287" t="s">
        <v>6694</v>
      </c>
      <c r="P287" t="s">
        <v>6694</v>
      </c>
      <c r="R287" t="s">
        <v>6694</v>
      </c>
      <c r="W287" t="s">
        <v>6720</v>
      </c>
    </row>
    <row r="288" spans="1:23" ht="15.6" x14ac:dyDescent="0.4">
      <c r="A288" s="2" t="s">
        <v>1274</v>
      </c>
      <c r="B288" s="5" t="s">
        <v>7000</v>
      </c>
      <c r="C288" s="7" t="s">
        <v>12556</v>
      </c>
      <c r="D288" s="8">
        <f t="shared" si="20"/>
        <v>0</v>
      </c>
      <c r="E288" s="7" t="s">
        <v>12557</v>
      </c>
      <c r="F288" s="7">
        <f t="shared" si="21"/>
        <v>0</v>
      </c>
      <c r="G288" s="7" t="s">
        <v>12558</v>
      </c>
      <c r="H288" s="7">
        <f t="shared" si="22"/>
        <v>0</v>
      </c>
      <c r="I288" s="7" cm="1">
        <f t="array" ref="I288">IFERROR(_xlfn.IFS(M288="נח",1,M288="נע ונח",1,M288="שני שווא נח",2,M288="שני שוואים בסוף מילה",2,M288="שני שוואים ברצף",1),"0")</f>
        <v>1</v>
      </c>
      <c r="J288" s="9">
        <f t="shared" si="23"/>
        <v>2</v>
      </c>
      <c r="K288" t="s">
        <v>6698</v>
      </c>
      <c r="L288" t="s">
        <v>6694</v>
      </c>
      <c r="M288" t="s">
        <v>6705</v>
      </c>
      <c r="N288" t="s">
        <v>6706</v>
      </c>
      <c r="O288" t="s">
        <v>6694</v>
      </c>
      <c r="P288" t="s">
        <v>6694</v>
      </c>
      <c r="W288" t="s">
        <v>6720</v>
      </c>
    </row>
    <row r="289" spans="1:23" ht="15.6" x14ac:dyDescent="0.4">
      <c r="A289" s="2" t="s">
        <v>4261</v>
      </c>
      <c r="B289" s="5" t="s">
        <v>7001</v>
      </c>
      <c r="C289" s="7" t="s">
        <v>12556</v>
      </c>
      <c r="D289" s="8">
        <f t="shared" si="20"/>
        <v>1</v>
      </c>
      <c r="E289" s="7" t="s">
        <v>12557</v>
      </c>
      <c r="F289" s="7">
        <f t="shared" si="21"/>
        <v>0</v>
      </c>
      <c r="G289" s="7" t="s">
        <v>12558</v>
      </c>
      <c r="H289" s="7">
        <f t="shared" si="22"/>
        <v>0</v>
      </c>
      <c r="I289" s="7" cm="1">
        <f t="array" ref="I289">IFERROR(_xlfn.IFS(M289="נח",1,M289="נע ונח",1,M289="שני שווא נח",2,M289="שני שוואים בסוף מילה",2,M289="שני שוואים ברצף",1),"0")</f>
        <v>2</v>
      </c>
      <c r="J289" s="9">
        <f t="shared" si="23"/>
        <v>2</v>
      </c>
      <c r="K289" t="s">
        <v>6698</v>
      </c>
      <c r="L289" t="s">
        <v>6694</v>
      </c>
      <c r="M289" t="s">
        <v>6704</v>
      </c>
      <c r="P289" t="s">
        <v>6694</v>
      </c>
      <c r="S289" t="s">
        <v>6694</v>
      </c>
      <c r="W289" t="s">
        <v>6720</v>
      </c>
    </row>
    <row r="290" spans="1:23" ht="15.6" x14ac:dyDescent="0.4">
      <c r="A290" s="2" t="s">
        <v>101</v>
      </c>
      <c r="B290" s="5" t="s">
        <v>6812</v>
      </c>
      <c r="C290" s="7" t="s">
        <v>12556</v>
      </c>
      <c r="D290" s="8">
        <f t="shared" si="20"/>
        <v>1</v>
      </c>
      <c r="E290" s="7" t="s">
        <v>12557</v>
      </c>
      <c r="F290" s="7">
        <f t="shared" si="21"/>
        <v>0</v>
      </c>
      <c r="G290" s="7" t="s">
        <v>12558</v>
      </c>
      <c r="H290" s="7">
        <f t="shared" si="22"/>
        <v>0</v>
      </c>
      <c r="I290" s="7" cm="1">
        <f t="array" ref="I290">IFERROR(_xlfn.IFS(M290="נח",1,M290="נע ונח",1,M290="שני שווא נח",2,M290="שני שוואים בסוף מילה",2,M290="שני שוואים ברצף",1),"0")</f>
        <v>1</v>
      </c>
      <c r="J290" s="9">
        <f t="shared" si="23"/>
        <v>2</v>
      </c>
      <c r="K290" t="s">
        <v>6698</v>
      </c>
      <c r="L290" t="s">
        <v>6694</v>
      </c>
      <c r="M290" t="s">
        <v>6705</v>
      </c>
      <c r="P290" t="s">
        <v>6694</v>
      </c>
      <c r="Q290" t="s">
        <v>6694</v>
      </c>
      <c r="W290" t="s">
        <v>6720</v>
      </c>
    </row>
    <row r="291" spans="1:23" ht="15.6" x14ac:dyDescent="0.4">
      <c r="A291" s="2" t="s">
        <v>2124</v>
      </c>
      <c r="B291" s="5" t="s">
        <v>6811</v>
      </c>
      <c r="C291" s="7" t="s">
        <v>12556</v>
      </c>
      <c r="D291" s="8">
        <f t="shared" si="20"/>
        <v>1</v>
      </c>
      <c r="E291" s="7" t="s">
        <v>12557</v>
      </c>
      <c r="F291" s="7">
        <f t="shared" si="21"/>
        <v>2</v>
      </c>
      <c r="G291" s="7" t="s">
        <v>12558</v>
      </c>
      <c r="H291" s="7">
        <f t="shared" si="22"/>
        <v>1</v>
      </c>
      <c r="I291" s="7" t="str" cm="1">
        <f t="array" ref="I291">IFERROR(_xlfn.IFS(M291="נח",1,M291="נע ונח",1,M291="שני שווא נח",2,M291="שני שוואים בסוף מילה",2,M291="שני שוואים ברצף",1),"0")</f>
        <v>0</v>
      </c>
      <c r="J291" s="9">
        <f t="shared" si="23"/>
        <v>4</v>
      </c>
      <c r="K291" t="s">
        <v>6697</v>
      </c>
      <c r="L291" t="s">
        <v>6695</v>
      </c>
      <c r="P291" t="s">
        <v>6694</v>
      </c>
      <c r="Q291" t="s">
        <v>6694</v>
      </c>
      <c r="T291" t="s">
        <v>6694</v>
      </c>
      <c r="U291" t="s">
        <v>6694</v>
      </c>
      <c r="W291" t="s">
        <v>6720</v>
      </c>
    </row>
    <row r="292" spans="1:23" ht="15.6" x14ac:dyDescent="0.4">
      <c r="A292" s="2" t="s">
        <v>2354</v>
      </c>
      <c r="B292" s="5" t="s">
        <v>7002</v>
      </c>
      <c r="C292" s="7" t="s">
        <v>12556</v>
      </c>
      <c r="D292" s="8">
        <f t="shared" si="20"/>
        <v>1</v>
      </c>
      <c r="E292" s="7" t="s">
        <v>12557</v>
      </c>
      <c r="F292" s="7">
        <f t="shared" si="21"/>
        <v>2</v>
      </c>
      <c r="G292" s="7" t="s">
        <v>12558</v>
      </c>
      <c r="H292" s="7">
        <f t="shared" si="22"/>
        <v>1</v>
      </c>
      <c r="I292" s="7" cm="1">
        <f t="array" ref="I292">IFERROR(_xlfn.IFS(M292="נח",1,M292="נע ונח",1,M292="שני שווא נח",2,M292="שני שוואים בסוף מילה",2,M292="שני שוואים ברצף",1),"0")</f>
        <v>1</v>
      </c>
      <c r="J292" s="9">
        <f t="shared" si="23"/>
        <v>4</v>
      </c>
      <c r="K292" t="s">
        <v>6697</v>
      </c>
      <c r="L292" t="s">
        <v>6694</v>
      </c>
      <c r="M292" t="s">
        <v>6705</v>
      </c>
      <c r="P292" t="s">
        <v>6694</v>
      </c>
      <c r="Q292" t="s">
        <v>6694</v>
      </c>
      <c r="S292" t="s">
        <v>6694</v>
      </c>
      <c r="U292" t="s">
        <v>6694</v>
      </c>
      <c r="W292" t="s">
        <v>6720</v>
      </c>
    </row>
    <row r="293" spans="1:23" ht="15.6" x14ac:dyDescent="0.4">
      <c r="A293" s="2" t="s">
        <v>6528</v>
      </c>
      <c r="B293" s="5" t="s">
        <v>7003</v>
      </c>
      <c r="C293" s="7" t="s">
        <v>12556</v>
      </c>
      <c r="D293" s="8">
        <f t="shared" si="20"/>
        <v>1</v>
      </c>
      <c r="E293" s="7" t="s">
        <v>12557</v>
      </c>
      <c r="F293" s="7">
        <f t="shared" si="21"/>
        <v>1</v>
      </c>
      <c r="G293" s="7" t="s">
        <v>12558</v>
      </c>
      <c r="H293" s="7">
        <f t="shared" si="22"/>
        <v>0</v>
      </c>
      <c r="I293" s="7" cm="1">
        <f t="array" ref="I293">IFERROR(_xlfn.IFS(M293="נח",1,M293="נע ונח",1,M293="שני שווא נח",2,M293="שני שוואים בסוף מילה",2,M293="שני שוואים ברצף",1),"0")</f>
        <v>1</v>
      </c>
      <c r="J293" s="9">
        <f t="shared" si="23"/>
        <v>4</v>
      </c>
      <c r="K293" t="s">
        <v>6697</v>
      </c>
      <c r="L293" t="s">
        <v>6694</v>
      </c>
      <c r="M293" t="s">
        <v>6705</v>
      </c>
      <c r="O293" t="s">
        <v>6694</v>
      </c>
      <c r="P293" t="s">
        <v>6694</v>
      </c>
      <c r="R293" t="s">
        <v>6694</v>
      </c>
      <c r="S293" t="s">
        <v>6694</v>
      </c>
      <c r="W293" t="s">
        <v>6720</v>
      </c>
    </row>
    <row r="294" spans="1:23" ht="15.6" x14ac:dyDescent="0.4">
      <c r="A294" s="2" t="s">
        <v>2362</v>
      </c>
      <c r="B294" s="5" t="s">
        <v>7004</v>
      </c>
      <c r="C294" s="7" t="s">
        <v>12556</v>
      </c>
      <c r="D294" s="8">
        <f t="shared" si="20"/>
        <v>1</v>
      </c>
      <c r="E294" s="7" t="s">
        <v>12557</v>
      </c>
      <c r="F294" s="7">
        <f t="shared" si="21"/>
        <v>0</v>
      </c>
      <c r="G294" s="7" t="s">
        <v>12558</v>
      </c>
      <c r="H294" s="7">
        <f t="shared" si="22"/>
        <v>0</v>
      </c>
      <c r="I294" s="7" cm="1">
        <f t="array" ref="I294">IFERROR(_xlfn.IFS(M294="נח",1,M294="נע ונח",1,M294="שני שווא נח",2,M294="שני שוואים בסוף מילה",2,M294="שני שוואים ברצף",1),"0")</f>
        <v>1</v>
      </c>
      <c r="J294" s="9">
        <f t="shared" si="23"/>
        <v>2</v>
      </c>
      <c r="K294" t="s">
        <v>6697</v>
      </c>
      <c r="L294" t="s">
        <v>6694</v>
      </c>
      <c r="M294" t="s">
        <v>6705</v>
      </c>
      <c r="P294" t="s">
        <v>6694</v>
      </c>
      <c r="R294" t="s">
        <v>6694</v>
      </c>
      <c r="W294" t="s">
        <v>6720</v>
      </c>
    </row>
    <row r="295" spans="1:23" ht="15.6" x14ac:dyDescent="0.4">
      <c r="A295" s="2" t="s">
        <v>2717</v>
      </c>
      <c r="B295" s="5" t="s">
        <v>7005</v>
      </c>
      <c r="C295" s="7" t="s">
        <v>12556</v>
      </c>
      <c r="D295" s="8">
        <f t="shared" si="20"/>
        <v>1</v>
      </c>
      <c r="E295" s="7" t="s">
        <v>12557</v>
      </c>
      <c r="F295" s="7">
        <f t="shared" si="21"/>
        <v>1</v>
      </c>
      <c r="G295" s="7" t="s">
        <v>12558</v>
      </c>
      <c r="H295" s="7">
        <f t="shared" si="22"/>
        <v>0</v>
      </c>
      <c r="I295" s="7" cm="1">
        <f t="array" ref="I295">IFERROR(_xlfn.IFS(M295="נח",1,M295="נע ונח",1,M295="שני שווא נח",2,M295="שני שוואים בסוף מילה",2,M295="שני שוואים ברצף",1),"0")</f>
        <v>2</v>
      </c>
      <c r="J295" s="9">
        <f t="shared" si="23"/>
        <v>3</v>
      </c>
      <c r="K295" t="s">
        <v>6697</v>
      </c>
      <c r="L295" t="s">
        <v>6694</v>
      </c>
      <c r="M295" t="s">
        <v>6704</v>
      </c>
      <c r="O295" t="s">
        <v>6694</v>
      </c>
      <c r="P295" t="s">
        <v>6694</v>
      </c>
      <c r="S295" t="s">
        <v>6694</v>
      </c>
      <c r="W295" t="s">
        <v>6720</v>
      </c>
    </row>
    <row r="296" spans="1:23" ht="15.6" x14ac:dyDescent="0.4">
      <c r="A296" s="2" t="s">
        <v>2784</v>
      </c>
      <c r="B296" s="5" t="s">
        <v>7006</v>
      </c>
      <c r="C296" s="7" t="s">
        <v>12556</v>
      </c>
      <c r="D296" s="8">
        <f t="shared" si="20"/>
        <v>1</v>
      </c>
      <c r="E296" s="7" t="s">
        <v>12557</v>
      </c>
      <c r="F296" s="7">
        <f t="shared" si="21"/>
        <v>1</v>
      </c>
      <c r="G296" s="7" t="s">
        <v>12558</v>
      </c>
      <c r="H296" s="7">
        <f t="shared" si="22"/>
        <v>0</v>
      </c>
      <c r="I296" s="7" cm="1">
        <f t="array" ref="I296">IFERROR(_xlfn.IFS(M296="נח",1,M296="נע ונח",1,M296="שני שווא נח",2,M296="שני שוואים בסוף מילה",2,M296="שני שוואים ברצף",1),"0")</f>
        <v>1</v>
      </c>
      <c r="J296" s="9">
        <f t="shared" si="23"/>
        <v>3</v>
      </c>
      <c r="K296" t="s">
        <v>6697</v>
      </c>
      <c r="L296" t="s">
        <v>6694</v>
      </c>
      <c r="M296" t="s">
        <v>6705</v>
      </c>
      <c r="O296" t="s">
        <v>6694</v>
      </c>
      <c r="P296" t="s">
        <v>6694</v>
      </c>
      <c r="S296" t="s">
        <v>6694</v>
      </c>
      <c r="W296" t="s">
        <v>6720</v>
      </c>
    </row>
    <row r="297" spans="1:23" ht="15.6" x14ac:dyDescent="0.4">
      <c r="A297" s="2" t="s">
        <v>5194</v>
      </c>
      <c r="B297" s="5" t="s">
        <v>7007</v>
      </c>
      <c r="C297" s="7" t="s">
        <v>12556</v>
      </c>
      <c r="D297" s="8">
        <f t="shared" si="20"/>
        <v>0</v>
      </c>
      <c r="E297" s="7" t="s">
        <v>12557</v>
      </c>
      <c r="F297" s="7">
        <f t="shared" si="21"/>
        <v>1</v>
      </c>
      <c r="G297" s="7" t="s">
        <v>12558</v>
      </c>
      <c r="H297" s="7">
        <f t="shared" si="22"/>
        <v>0</v>
      </c>
      <c r="I297" s="7" t="str" cm="1">
        <f t="array" ref="I297">IFERROR(_xlfn.IFS(M297="נח",1,M297="נע ונח",1,M297="שני שווא נח",2,M297="שני שוואים בסוף מילה",2,M297="שני שוואים ברצף",1),"0")</f>
        <v>0</v>
      </c>
      <c r="J297" s="9">
        <f t="shared" si="23"/>
        <v>2</v>
      </c>
      <c r="K297" t="s">
        <v>6698</v>
      </c>
      <c r="L297" t="s">
        <v>6695</v>
      </c>
      <c r="P297" t="s">
        <v>6694</v>
      </c>
      <c r="R297" t="s">
        <v>6694</v>
      </c>
      <c r="W297" t="s">
        <v>6720</v>
      </c>
    </row>
    <row r="298" spans="1:23" ht="15.6" x14ac:dyDescent="0.4">
      <c r="A298" s="2" t="s">
        <v>36</v>
      </c>
      <c r="B298" s="5" t="s">
        <v>7008</v>
      </c>
      <c r="C298" s="7" t="s">
        <v>12556</v>
      </c>
      <c r="D298" s="8">
        <f t="shared" si="20"/>
        <v>0</v>
      </c>
      <c r="E298" s="7" t="s">
        <v>12557</v>
      </c>
      <c r="F298" s="7">
        <f t="shared" si="21"/>
        <v>1</v>
      </c>
      <c r="G298" s="7" t="s">
        <v>12558</v>
      </c>
      <c r="H298" s="7">
        <f t="shared" si="22"/>
        <v>0</v>
      </c>
      <c r="I298" s="7" t="str" cm="1">
        <f t="array" ref="I298">IFERROR(_xlfn.IFS(M298="נח",1,M298="נע ונח",1,M298="שני שווא נח",2,M298="שני שוואים בסוף מילה",2,M298="שני שוואים ברצף",1),"0")</f>
        <v>0</v>
      </c>
      <c r="J298" s="9">
        <f t="shared" si="23"/>
        <v>2</v>
      </c>
      <c r="K298" t="s">
        <v>6697</v>
      </c>
      <c r="L298" t="s">
        <v>6695</v>
      </c>
      <c r="O298" t="s">
        <v>6694</v>
      </c>
      <c r="P298" t="s">
        <v>6694</v>
      </c>
      <c r="W298" t="s">
        <v>6720</v>
      </c>
    </row>
    <row r="299" spans="1:23" ht="15.6" x14ac:dyDescent="0.4">
      <c r="A299" s="2" t="s">
        <v>2840</v>
      </c>
      <c r="B299" s="5" t="s">
        <v>7009</v>
      </c>
      <c r="C299" s="7" t="s">
        <v>12556</v>
      </c>
      <c r="D299" s="8">
        <f t="shared" si="20"/>
        <v>0</v>
      </c>
      <c r="E299" s="7" t="s">
        <v>12557</v>
      </c>
      <c r="F299" s="7">
        <f t="shared" si="21"/>
        <v>0</v>
      </c>
      <c r="G299" s="7" t="s">
        <v>12558</v>
      </c>
      <c r="H299" s="7">
        <f t="shared" si="22"/>
        <v>0</v>
      </c>
      <c r="I299" s="7" t="str" cm="1">
        <f t="array" ref="I299">IFERROR(_xlfn.IFS(M299="נח",1,M299="נע ונח",1,M299="שני שווא נח",2,M299="שני שוואים בסוף מילה",2,M299="שני שוואים ברצף",1),"0")</f>
        <v>0</v>
      </c>
      <c r="J299" s="9">
        <f t="shared" si="23"/>
        <v>1</v>
      </c>
      <c r="K299" t="s">
        <v>6698</v>
      </c>
      <c r="L299" t="s">
        <v>6695</v>
      </c>
      <c r="N299" t="s">
        <v>6706</v>
      </c>
      <c r="O299" t="s">
        <v>6694</v>
      </c>
      <c r="W299" t="s">
        <v>6720</v>
      </c>
    </row>
    <row r="300" spans="1:23" ht="15.6" x14ac:dyDescent="0.4">
      <c r="A300" s="2" t="s">
        <v>1313</v>
      </c>
      <c r="B300" s="5" t="s">
        <v>7010</v>
      </c>
      <c r="C300" s="7" t="s">
        <v>12556</v>
      </c>
      <c r="D300" s="8">
        <f t="shared" si="20"/>
        <v>0</v>
      </c>
      <c r="E300" s="7" t="s">
        <v>12557</v>
      </c>
      <c r="F300" s="7">
        <f t="shared" si="21"/>
        <v>1</v>
      </c>
      <c r="G300" s="7" t="s">
        <v>12558</v>
      </c>
      <c r="H300" s="7">
        <f t="shared" si="22"/>
        <v>1</v>
      </c>
      <c r="I300" s="7" cm="1">
        <f t="array" ref="I300">IFERROR(_xlfn.IFS(M300="נח",1,M300="נע ונח",1,M300="שני שווא נח",2,M300="שני שוואים בסוף מילה",2,M300="שני שוואים ברצף",1),"0")</f>
        <v>1</v>
      </c>
      <c r="J300" s="9">
        <f t="shared" si="23"/>
        <v>2</v>
      </c>
      <c r="K300" t="s">
        <v>6697</v>
      </c>
      <c r="L300" t="s">
        <v>6694</v>
      </c>
      <c r="M300" t="s">
        <v>6705</v>
      </c>
      <c r="N300" t="s">
        <v>6706</v>
      </c>
      <c r="O300" t="s">
        <v>6694</v>
      </c>
      <c r="U300" t="s">
        <v>6694</v>
      </c>
      <c r="W300" t="s">
        <v>6720</v>
      </c>
    </row>
    <row r="301" spans="1:23" ht="15.6" x14ac:dyDescent="0.4">
      <c r="A301" s="2" t="s">
        <v>2643</v>
      </c>
      <c r="B301" s="5" t="s">
        <v>6745</v>
      </c>
      <c r="C301" s="7" t="s">
        <v>12556</v>
      </c>
      <c r="D301" s="8">
        <f t="shared" si="20"/>
        <v>0</v>
      </c>
      <c r="E301" s="7" t="s">
        <v>12557</v>
      </c>
      <c r="F301" s="7">
        <f t="shared" si="21"/>
        <v>0</v>
      </c>
      <c r="G301" s="7" t="s">
        <v>12558</v>
      </c>
      <c r="H301" s="7">
        <f t="shared" si="22"/>
        <v>0</v>
      </c>
      <c r="I301" s="7" t="str" cm="1">
        <f t="array" ref="I301">IFERROR(_xlfn.IFS(M301="נח",1,M301="נע ונח",1,M301="שני שווא נח",2,M301="שני שוואים בסוף מילה",2,M301="שני שוואים ברצף",1),"0")</f>
        <v>0</v>
      </c>
      <c r="J301" s="9">
        <f t="shared" si="23"/>
        <v>2</v>
      </c>
      <c r="K301" t="s">
        <v>6697</v>
      </c>
      <c r="L301" t="s">
        <v>6695</v>
      </c>
      <c r="O301" t="s">
        <v>6694</v>
      </c>
      <c r="S301" t="s">
        <v>6694</v>
      </c>
      <c r="W301" t="s">
        <v>6720</v>
      </c>
    </row>
    <row r="302" spans="1:23" ht="15.6" x14ac:dyDescent="0.4">
      <c r="A302" s="2" t="s">
        <v>6395</v>
      </c>
      <c r="B302" s="5" t="s">
        <v>7011</v>
      </c>
      <c r="C302" s="7" t="s">
        <v>12556</v>
      </c>
      <c r="D302" s="8">
        <f t="shared" si="20"/>
        <v>0</v>
      </c>
      <c r="E302" s="7" t="s">
        <v>12557</v>
      </c>
      <c r="F302" s="7">
        <f t="shared" si="21"/>
        <v>0</v>
      </c>
      <c r="G302" s="7" t="s">
        <v>12558</v>
      </c>
      <c r="H302" s="7">
        <f t="shared" si="22"/>
        <v>0</v>
      </c>
      <c r="I302" s="7" cm="1">
        <f t="array" ref="I302">IFERROR(_xlfn.IFS(M302="נח",1,M302="נע ונח",1,M302="שני שווא נח",2,M302="שני שוואים בסוף מילה",2,M302="שני שוואים ברצף",1),"0")</f>
        <v>1</v>
      </c>
      <c r="J302" s="9">
        <f t="shared" si="23"/>
        <v>2</v>
      </c>
      <c r="K302" t="s">
        <v>6698</v>
      </c>
      <c r="L302" t="s">
        <v>6694</v>
      </c>
      <c r="M302" t="s">
        <v>6705</v>
      </c>
      <c r="O302" t="s">
        <v>6694</v>
      </c>
      <c r="S302" t="s">
        <v>6694</v>
      </c>
      <c r="W302" t="s">
        <v>6720</v>
      </c>
    </row>
    <row r="303" spans="1:23" ht="15.6" x14ac:dyDescent="0.4">
      <c r="A303" s="2" t="s">
        <v>5423</v>
      </c>
      <c r="B303" s="5" t="s">
        <v>7012</v>
      </c>
      <c r="C303" s="7" t="s">
        <v>12556</v>
      </c>
      <c r="D303" s="8">
        <f t="shared" si="20"/>
        <v>0</v>
      </c>
      <c r="E303" s="7" t="s">
        <v>12557</v>
      </c>
      <c r="F303" s="7">
        <f t="shared" si="21"/>
        <v>0</v>
      </c>
      <c r="G303" s="7" t="s">
        <v>12558</v>
      </c>
      <c r="H303" s="7">
        <f t="shared" si="22"/>
        <v>0</v>
      </c>
      <c r="I303" s="7" t="str" cm="1">
        <f t="array" ref="I303">IFERROR(_xlfn.IFS(M303="נח",1,M303="נע ונח",1,M303="שני שווא נח",2,M303="שני שוואים בסוף מילה",2,M303="שני שוואים ברצף",1),"0")</f>
        <v>0</v>
      </c>
      <c r="J303" s="9">
        <f t="shared" si="23"/>
        <v>3</v>
      </c>
      <c r="K303" t="s">
        <v>6697</v>
      </c>
      <c r="L303" t="s">
        <v>6695</v>
      </c>
      <c r="O303" t="s">
        <v>6694</v>
      </c>
      <c r="S303" t="s">
        <v>6694</v>
      </c>
      <c r="W303" t="s">
        <v>6720</v>
      </c>
    </row>
    <row r="304" spans="1:23" ht="15.6" x14ac:dyDescent="0.4">
      <c r="A304" s="2" t="s">
        <v>2390</v>
      </c>
      <c r="B304" s="5" t="s">
        <v>7013</v>
      </c>
      <c r="C304" s="7" t="s">
        <v>12556</v>
      </c>
      <c r="D304" s="8">
        <f t="shared" si="20"/>
        <v>0</v>
      </c>
      <c r="E304" s="7" t="s">
        <v>12557</v>
      </c>
      <c r="F304" s="7">
        <f t="shared" si="21"/>
        <v>0</v>
      </c>
      <c r="G304" s="7" t="s">
        <v>12558</v>
      </c>
      <c r="H304" s="7">
        <f t="shared" si="22"/>
        <v>0</v>
      </c>
      <c r="I304" s="7" t="str" cm="1">
        <f t="array" ref="I304">IFERROR(_xlfn.IFS(M304="נח",1,M304="נע ונח",1,M304="שני שווא נח",2,M304="שני שוואים בסוף מילה",2,M304="שני שוואים ברצף",1),"0")</f>
        <v>0</v>
      </c>
      <c r="J304" s="9">
        <f t="shared" si="23"/>
        <v>2</v>
      </c>
      <c r="K304" t="s">
        <v>6698</v>
      </c>
      <c r="L304" t="s">
        <v>6695</v>
      </c>
      <c r="O304" t="s">
        <v>6694</v>
      </c>
      <c r="P304" t="s">
        <v>6694</v>
      </c>
      <c r="W304" t="s">
        <v>6720</v>
      </c>
    </row>
    <row r="305" spans="1:23" ht="15.6" x14ac:dyDescent="0.4">
      <c r="A305" s="2" t="s">
        <v>4866</v>
      </c>
      <c r="B305" s="5" t="s">
        <v>7014</v>
      </c>
      <c r="C305" s="7" t="s">
        <v>12556</v>
      </c>
      <c r="D305" s="8">
        <f t="shared" si="20"/>
        <v>0</v>
      </c>
      <c r="E305" s="7" t="s">
        <v>12557</v>
      </c>
      <c r="F305" s="7">
        <f t="shared" si="21"/>
        <v>0</v>
      </c>
      <c r="G305" s="7" t="s">
        <v>12558</v>
      </c>
      <c r="H305" s="7">
        <f t="shared" si="22"/>
        <v>0</v>
      </c>
      <c r="I305" s="7" t="str" cm="1">
        <f t="array" ref="I305">IFERROR(_xlfn.IFS(M305="נח",1,M305="נע ונח",1,M305="שני שווא נח",2,M305="שני שוואים בסוף מילה",2,M305="שני שוואים ברצף",1),"0")</f>
        <v>0</v>
      </c>
      <c r="J305" s="9">
        <f t="shared" si="23"/>
        <v>2</v>
      </c>
      <c r="K305" t="s">
        <v>6697</v>
      </c>
      <c r="L305" t="s">
        <v>6695</v>
      </c>
      <c r="O305" t="s">
        <v>6694</v>
      </c>
      <c r="W305" t="s">
        <v>6720</v>
      </c>
    </row>
    <row r="306" spans="1:23" ht="15.6" x14ac:dyDescent="0.4">
      <c r="A306" s="2" t="s">
        <v>1736</v>
      </c>
      <c r="B306" s="5" t="s">
        <v>7015</v>
      </c>
      <c r="C306" s="7" t="s">
        <v>12556</v>
      </c>
      <c r="D306" s="8">
        <f t="shared" si="20"/>
        <v>0</v>
      </c>
      <c r="E306" s="7" t="s">
        <v>12557</v>
      </c>
      <c r="F306" s="7">
        <f t="shared" si="21"/>
        <v>0</v>
      </c>
      <c r="G306" s="7" t="s">
        <v>12558</v>
      </c>
      <c r="H306" s="7">
        <f t="shared" si="22"/>
        <v>0</v>
      </c>
      <c r="I306" s="7" t="str" cm="1">
        <f t="array" ref="I306">IFERROR(_xlfn.IFS(M306="נח",1,M306="נע ונח",1,M306="שני שווא נח",2,M306="שני שוואים בסוף מילה",2,M306="שני שוואים ברצף",1),"0")</f>
        <v>0</v>
      </c>
      <c r="J306" s="9">
        <f t="shared" si="23"/>
        <v>2</v>
      </c>
      <c r="K306" t="s">
        <v>6697</v>
      </c>
      <c r="L306" t="s">
        <v>6695</v>
      </c>
      <c r="O306" t="s">
        <v>6694</v>
      </c>
      <c r="V306" t="s">
        <v>6694</v>
      </c>
      <c r="W306" t="s">
        <v>6720</v>
      </c>
    </row>
    <row r="307" spans="1:23" ht="15.6" x14ac:dyDescent="0.4">
      <c r="A307" s="2" t="s">
        <v>515</v>
      </c>
      <c r="B307" s="5" t="s">
        <v>7016</v>
      </c>
      <c r="C307" s="7" t="s">
        <v>12556</v>
      </c>
      <c r="D307" s="8">
        <f t="shared" si="20"/>
        <v>0</v>
      </c>
      <c r="E307" s="7" t="s">
        <v>12557</v>
      </c>
      <c r="F307" s="7">
        <f t="shared" si="21"/>
        <v>0</v>
      </c>
      <c r="G307" s="7" t="s">
        <v>12558</v>
      </c>
      <c r="H307" s="7">
        <f t="shared" si="22"/>
        <v>0</v>
      </c>
      <c r="I307" s="7" t="str" cm="1">
        <f t="array" ref="I307">IFERROR(_xlfn.IFS(M307="נח",1,M307="נע ונח",1,M307="שני שווא נח",2,M307="שני שוואים בסוף מילה",2,M307="שני שוואים ברצף",1),"0")</f>
        <v>0</v>
      </c>
      <c r="J307" s="9">
        <f t="shared" si="23"/>
        <v>2</v>
      </c>
      <c r="K307" t="s">
        <v>6697</v>
      </c>
      <c r="L307" t="s">
        <v>6695</v>
      </c>
      <c r="O307" t="s">
        <v>6694</v>
      </c>
      <c r="V307" t="s">
        <v>6694</v>
      </c>
      <c r="W307" t="s">
        <v>6720</v>
      </c>
    </row>
    <row r="308" spans="1:23" ht="15.6" x14ac:dyDescent="0.4">
      <c r="A308" s="2" t="s">
        <v>2418</v>
      </c>
      <c r="B308" s="5" t="s">
        <v>7017</v>
      </c>
      <c r="C308" s="7" t="s">
        <v>12556</v>
      </c>
      <c r="D308" s="8">
        <f t="shared" si="20"/>
        <v>0</v>
      </c>
      <c r="E308" s="7" t="s">
        <v>12557</v>
      </c>
      <c r="F308" s="7">
        <f t="shared" si="21"/>
        <v>0</v>
      </c>
      <c r="G308" s="7" t="s">
        <v>12558</v>
      </c>
      <c r="H308" s="7">
        <f t="shared" si="22"/>
        <v>0</v>
      </c>
      <c r="I308" s="7" t="str" cm="1">
        <f t="array" ref="I308">IFERROR(_xlfn.IFS(M308="נח",1,M308="נע ונח",1,M308="שני שווא נח",2,M308="שני שוואים בסוף מילה",2,M308="שני שוואים ברצף",1),"0")</f>
        <v>0</v>
      </c>
      <c r="J308" s="9">
        <f t="shared" si="23"/>
        <v>3</v>
      </c>
      <c r="K308" t="s">
        <v>6697</v>
      </c>
      <c r="L308" t="s">
        <v>6695</v>
      </c>
      <c r="O308" t="s">
        <v>6694</v>
      </c>
      <c r="S308" t="s">
        <v>6694</v>
      </c>
      <c r="W308" t="s">
        <v>6720</v>
      </c>
    </row>
    <row r="309" spans="1:23" ht="15.6" x14ac:dyDescent="0.4">
      <c r="A309" s="2" t="s">
        <v>4278</v>
      </c>
      <c r="B309" s="5" t="s">
        <v>7018</v>
      </c>
      <c r="C309" s="7" t="s">
        <v>12556</v>
      </c>
      <c r="D309" s="8">
        <f t="shared" si="20"/>
        <v>0</v>
      </c>
      <c r="E309" s="7" t="s">
        <v>12557</v>
      </c>
      <c r="F309" s="7">
        <f t="shared" si="21"/>
        <v>1</v>
      </c>
      <c r="G309" s="7" t="s">
        <v>12558</v>
      </c>
      <c r="H309" s="7">
        <f t="shared" si="22"/>
        <v>1</v>
      </c>
      <c r="I309" s="7" t="str" cm="1">
        <f t="array" ref="I309">IFERROR(_xlfn.IFS(M309="נח",1,M309="נע ונח",1,M309="שני שווא נח",2,M309="שני שוואים בסוף מילה",2,M309="שני שוואים ברצף",1),"0")</f>
        <v>0</v>
      </c>
      <c r="J309" s="9">
        <f t="shared" si="23"/>
        <v>3</v>
      </c>
      <c r="K309" t="s">
        <v>6697</v>
      </c>
      <c r="L309" t="s">
        <v>6695</v>
      </c>
      <c r="O309" t="s">
        <v>6694</v>
      </c>
      <c r="U309" t="s">
        <v>6694</v>
      </c>
      <c r="W309" t="s">
        <v>6720</v>
      </c>
    </row>
    <row r="310" spans="1:23" ht="15.6" x14ac:dyDescent="0.4">
      <c r="A310" s="2" t="s">
        <v>21</v>
      </c>
      <c r="B310" s="5" t="s">
        <v>7019</v>
      </c>
      <c r="C310" s="7" t="s">
        <v>12556</v>
      </c>
      <c r="D310" s="8">
        <f t="shared" si="20"/>
        <v>0</v>
      </c>
      <c r="E310" s="7" t="s">
        <v>12557</v>
      </c>
      <c r="F310" s="7">
        <f t="shared" si="21"/>
        <v>0</v>
      </c>
      <c r="G310" s="7" t="s">
        <v>12558</v>
      </c>
      <c r="H310" s="7">
        <f t="shared" si="22"/>
        <v>0</v>
      </c>
      <c r="I310" s="7" t="str" cm="1">
        <f t="array" ref="I310">IFERROR(_xlfn.IFS(M310="נח",1,M310="נע ונח",1,M310="שני שווא נח",2,M310="שני שוואים בסוף מילה",2,M310="שני שוואים ברצף",1),"0")</f>
        <v>0</v>
      </c>
      <c r="J310" s="9">
        <f t="shared" si="23"/>
        <v>2</v>
      </c>
      <c r="K310" t="s">
        <v>6698</v>
      </c>
      <c r="L310" t="s">
        <v>6695</v>
      </c>
      <c r="N310" t="s">
        <v>6706</v>
      </c>
      <c r="O310" t="s">
        <v>6694</v>
      </c>
      <c r="W310" t="s">
        <v>6720</v>
      </c>
    </row>
    <row r="311" spans="1:23" ht="15.6" x14ac:dyDescent="0.4">
      <c r="A311" s="2" t="s">
        <v>580</v>
      </c>
      <c r="B311" s="5" t="s">
        <v>6767</v>
      </c>
      <c r="C311" s="7" t="s">
        <v>12556</v>
      </c>
      <c r="D311" s="8">
        <f t="shared" si="20"/>
        <v>0</v>
      </c>
      <c r="E311" s="7" t="s">
        <v>12557</v>
      </c>
      <c r="F311" s="7">
        <f t="shared" si="21"/>
        <v>0</v>
      </c>
      <c r="G311" s="7" t="s">
        <v>12558</v>
      </c>
      <c r="H311" s="7">
        <f t="shared" si="22"/>
        <v>0</v>
      </c>
      <c r="I311" s="7" t="str" cm="1">
        <f t="array" ref="I311">IFERROR(_xlfn.IFS(M311="נח",1,M311="נע ונח",1,M311="שני שווא נח",2,M311="שני שוואים בסוף מילה",2,M311="שני שוואים ברצף",1),"0")</f>
        <v>0</v>
      </c>
      <c r="J311" s="9">
        <f t="shared" si="23"/>
        <v>2</v>
      </c>
      <c r="K311" t="s">
        <v>6698</v>
      </c>
      <c r="L311" t="s">
        <v>6695</v>
      </c>
      <c r="O311" t="s">
        <v>6694</v>
      </c>
      <c r="V311" t="s">
        <v>6694</v>
      </c>
      <c r="W311" t="s">
        <v>6720</v>
      </c>
    </row>
    <row r="312" spans="1:23" ht="15.6" x14ac:dyDescent="0.4">
      <c r="A312" s="2" t="s">
        <v>2630</v>
      </c>
      <c r="B312" s="5" t="s">
        <v>7020</v>
      </c>
      <c r="C312" s="7" t="s">
        <v>12556</v>
      </c>
      <c r="D312" s="8">
        <f t="shared" si="20"/>
        <v>0</v>
      </c>
      <c r="E312" s="7" t="s">
        <v>12557</v>
      </c>
      <c r="F312" s="7">
        <f t="shared" si="21"/>
        <v>0</v>
      </c>
      <c r="G312" s="7" t="s">
        <v>12558</v>
      </c>
      <c r="H312" s="7">
        <f t="shared" si="22"/>
        <v>0</v>
      </c>
      <c r="I312" s="7" t="str" cm="1">
        <f t="array" ref="I312">IFERROR(_xlfn.IFS(M312="נח",1,M312="נע ונח",1,M312="שני שווא נח",2,M312="שני שוואים בסוף מילה",2,M312="שני שוואים ברצף",1),"0")</f>
        <v>0</v>
      </c>
      <c r="J312" s="9">
        <f t="shared" si="23"/>
        <v>3</v>
      </c>
      <c r="K312" t="s">
        <v>6697</v>
      </c>
      <c r="L312" t="s">
        <v>6695</v>
      </c>
      <c r="O312" t="s">
        <v>6694</v>
      </c>
      <c r="V312" t="s">
        <v>6694</v>
      </c>
      <c r="W312" t="s">
        <v>6720</v>
      </c>
    </row>
    <row r="313" spans="1:23" ht="15.6" x14ac:dyDescent="0.4">
      <c r="A313" s="2" t="s">
        <v>2233</v>
      </c>
      <c r="B313" s="5" t="s">
        <v>7021</v>
      </c>
      <c r="C313" s="7" t="s">
        <v>12556</v>
      </c>
      <c r="D313" s="8">
        <f t="shared" si="20"/>
        <v>0</v>
      </c>
      <c r="E313" s="7" t="s">
        <v>12557</v>
      </c>
      <c r="F313" s="7">
        <f t="shared" si="21"/>
        <v>0</v>
      </c>
      <c r="G313" s="7" t="s">
        <v>12558</v>
      </c>
      <c r="H313" s="7">
        <f t="shared" si="22"/>
        <v>0</v>
      </c>
      <c r="I313" s="7" t="str" cm="1">
        <f t="array" ref="I313">IFERROR(_xlfn.IFS(M313="נח",1,M313="נע ונח",1,M313="שני שווא נח",2,M313="שני שוואים בסוף מילה",2,M313="שני שוואים ברצף",1),"0")</f>
        <v>0</v>
      </c>
      <c r="J313" s="9">
        <f t="shared" si="23"/>
        <v>2</v>
      </c>
      <c r="K313" t="s">
        <v>6698</v>
      </c>
      <c r="L313" t="s">
        <v>6695</v>
      </c>
      <c r="O313" t="s">
        <v>6694</v>
      </c>
      <c r="Q313" t="s">
        <v>6694</v>
      </c>
      <c r="W313" t="s">
        <v>6720</v>
      </c>
    </row>
    <row r="314" spans="1:23" ht="15.6" x14ac:dyDescent="0.4">
      <c r="A314" s="2" t="s">
        <v>322</v>
      </c>
      <c r="B314" s="5" t="s">
        <v>6957</v>
      </c>
      <c r="C314" s="7" t="s">
        <v>12556</v>
      </c>
      <c r="D314" s="8">
        <f t="shared" si="20"/>
        <v>0</v>
      </c>
      <c r="E314" s="7" t="s">
        <v>12557</v>
      </c>
      <c r="F314" s="7">
        <f t="shared" si="21"/>
        <v>1</v>
      </c>
      <c r="G314" s="7" t="s">
        <v>12558</v>
      </c>
      <c r="H314" s="7">
        <f t="shared" si="22"/>
        <v>0</v>
      </c>
      <c r="I314" s="7" cm="1">
        <f t="array" ref="I314">IFERROR(_xlfn.IFS(M314="נח",1,M314="נע ונח",1,M314="שני שווא נח",2,M314="שני שוואים בסוף מילה",2,M314="שני שוואים ברצף",1),"0")</f>
        <v>1</v>
      </c>
      <c r="J314" s="9">
        <f t="shared" si="23"/>
        <v>3</v>
      </c>
      <c r="K314" t="s">
        <v>6697</v>
      </c>
      <c r="L314" t="s">
        <v>6694</v>
      </c>
      <c r="M314" t="s">
        <v>6705</v>
      </c>
      <c r="O314" t="s">
        <v>6694</v>
      </c>
      <c r="P314" t="s">
        <v>6694</v>
      </c>
      <c r="S314" t="s">
        <v>6694</v>
      </c>
      <c r="W314" t="s">
        <v>6720</v>
      </c>
    </row>
    <row r="315" spans="1:23" ht="15.6" x14ac:dyDescent="0.4">
      <c r="A315" s="2" t="s">
        <v>3702</v>
      </c>
      <c r="B315" s="5" t="s">
        <v>7022</v>
      </c>
      <c r="C315" s="7" t="s">
        <v>12556</v>
      </c>
      <c r="D315" s="8">
        <f t="shared" si="20"/>
        <v>0</v>
      </c>
      <c r="E315" s="7" t="s">
        <v>12557</v>
      </c>
      <c r="F315" s="7">
        <f t="shared" si="21"/>
        <v>1</v>
      </c>
      <c r="G315" s="7" t="s">
        <v>12558</v>
      </c>
      <c r="H315" s="7">
        <f t="shared" si="22"/>
        <v>0</v>
      </c>
      <c r="I315" s="7" cm="1">
        <f t="array" ref="I315">IFERROR(_xlfn.IFS(M315="נח",1,M315="נע ונח",1,M315="שני שווא נח",2,M315="שני שוואים בסוף מילה",2,M315="שני שוואים ברצף",1),"0")</f>
        <v>1</v>
      </c>
      <c r="J315" s="9">
        <f t="shared" si="23"/>
        <v>3</v>
      </c>
      <c r="K315" t="s">
        <v>6698</v>
      </c>
      <c r="L315" t="s">
        <v>6694</v>
      </c>
      <c r="M315" t="s">
        <v>6705</v>
      </c>
      <c r="O315" t="s">
        <v>6694</v>
      </c>
      <c r="P315" t="s">
        <v>6694</v>
      </c>
      <c r="W315" t="s">
        <v>6720</v>
      </c>
    </row>
    <row r="316" spans="1:23" ht="15.6" x14ac:dyDescent="0.4">
      <c r="A316" s="2" t="s">
        <v>825</v>
      </c>
      <c r="B316" s="5" t="s">
        <v>7023</v>
      </c>
      <c r="C316" s="7" t="s">
        <v>12556</v>
      </c>
      <c r="D316" s="8">
        <f t="shared" si="20"/>
        <v>0</v>
      </c>
      <c r="E316" s="7" t="s">
        <v>12557</v>
      </c>
      <c r="F316" s="7">
        <f t="shared" si="21"/>
        <v>0</v>
      </c>
      <c r="G316" s="7" t="s">
        <v>12558</v>
      </c>
      <c r="H316" s="7">
        <f t="shared" si="22"/>
        <v>0</v>
      </c>
      <c r="I316" s="7" t="str" cm="1">
        <f t="array" ref="I316">IFERROR(_xlfn.IFS(M316="נח",1,M316="נע ונח",1,M316="שני שווא נח",2,M316="שני שוואים בסוף מילה",2,M316="שני שוואים ברצף",1),"0")</f>
        <v>0</v>
      </c>
      <c r="J316" s="9">
        <f t="shared" si="23"/>
        <v>2</v>
      </c>
      <c r="K316" t="s">
        <v>6698</v>
      </c>
      <c r="L316" t="s">
        <v>6695</v>
      </c>
      <c r="O316" t="s">
        <v>6694</v>
      </c>
      <c r="R316" t="s">
        <v>6694</v>
      </c>
      <c r="W316" t="s">
        <v>6720</v>
      </c>
    </row>
    <row r="317" spans="1:23" ht="15.6" x14ac:dyDescent="0.4">
      <c r="A317" s="2" t="s">
        <v>217</v>
      </c>
      <c r="B317" s="5" t="s">
        <v>7024</v>
      </c>
      <c r="C317" s="7" t="s">
        <v>12556</v>
      </c>
      <c r="D317" s="8">
        <f t="shared" si="20"/>
        <v>0</v>
      </c>
      <c r="E317" s="7" t="s">
        <v>12557</v>
      </c>
      <c r="F317" s="7">
        <f t="shared" si="21"/>
        <v>0</v>
      </c>
      <c r="G317" s="7" t="s">
        <v>12558</v>
      </c>
      <c r="H317" s="7">
        <f t="shared" si="22"/>
        <v>0</v>
      </c>
      <c r="I317" s="7" t="str" cm="1">
        <f t="array" ref="I317">IFERROR(_xlfn.IFS(M317="נח",1,M317="נע ונח",1,M317="שני שווא נח",2,M317="שני שוואים בסוף מילה",2,M317="שני שוואים ברצף",1),"0")</f>
        <v>0</v>
      </c>
      <c r="J317" s="9">
        <f t="shared" si="23"/>
        <v>1</v>
      </c>
      <c r="K317" t="s">
        <v>6698</v>
      </c>
      <c r="L317" t="s">
        <v>6695</v>
      </c>
      <c r="N317" t="s">
        <v>6706</v>
      </c>
      <c r="O317" t="s">
        <v>6694</v>
      </c>
      <c r="W317" t="s">
        <v>6720</v>
      </c>
    </row>
    <row r="318" spans="1:23" ht="15.6" x14ac:dyDescent="0.4">
      <c r="A318" s="2" t="s">
        <v>5701</v>
      </c>
      <c r="B318" s="5" t="s">
        <v>7025</v>
      </c>
      <c r="C318" s="7" t="s">
        <v>12556</v>
      </c>
      <c r="D318" s="8">
        <f t="shared" si="20"/>
        <v>0</v>
      </c>
      <c r="E318" s="7" t="s">
        <v>12557</v>
      </c>
      <c r="F318" s="7">
        <f t="shared" si="21"/>
        <v>0</v>
      </c>
      <c r="G318" s="7" t="s">
        <v>12558</v>
      </c>
      <c r="H318" s="7">
        <f t="shared" si="22"/>
        <v>0</v>
      </c>
      <c r="I318" s="7" cm="1">
        <f t="array" ref="I318">IFERROR(_xlfn.IFS(M318="נח",1,M318="נע ונח",1,M318="שני שווא נח",2,M318="שני שוואים בסוף מילה",2,M318="שני שוואים ברצף",1),"0")</f>
        <v>1</v>
      </c>
      <c r="J318" s="9">
        <f t="shared" si="23"/>
        <v>3</v>
      </c>
      <c r="K318" t="s">
        <v>6698</v>
      </c>
      <c r="L318" t="s">
        <v>6694</v>
      </c>
      <c r="M318" t="s">
        <v>6702</v>
      </c>
      <c r="N318" t="s">
        <v>6706</v>
      </c>
      <c r="O318" t="s">
        <v>6694</v>
      </c>
      <c r="R318" t="s">
        <v>6694</v>
      </c>
      <c r="W318" t="s">
        <v>6720</v>
      </c>
    </row>
    <row r="319" spans="1:23" ht="15.6" x14ac:dyDescent="0.4">
      <c r="A319" s="2" t="s">
        <v>457</v>
      </c>
      <c r="B319" s="5" t="s">
        <v>7026</v>
      </c>
      <c r="C319" s="7" t="s">
        <v>12556</v>
      </c>
      <c r="D319" s="8">
        <f t="shared" si="20"/>
        <v>0</v>
      </c>
      <c r="E319" s="7" t="s">
        <v>12557</v>
      </c>
      <c r="F319" s="7">
        <f t="shared" si="21"/>
        <v>0</v>
      </c>
      <c r="G319" s="7" t="s">
        <v>12558</v>
      </c>
      <c r="H319" s="7">
        <f t="shared" si="22"/>
        <v>0</v>
      </c>
      <c r="I319" s="7" cm="1">
        <f t="array" ref="I319">IFERROR(_xlfn.IFS(M319="נח",1,M319="נע ונח",1,M319="שני שווא נח",2,M319="שני שוואים בסוף מילה",2,M319="שני שוואים ברצף",1),"0")</f>
        <v>1</v>
      </c>
      <c r="J319" s="9">
        <f t="shared" si="23"/>
        <v>3</v>
      </c>
      <c r="K319" t="s">
        <v>6697</v>
      </c>
      <c r="L319" t="s">
        <v>6694</v>
      </c>
      <c r="M319" t="s">
        <v>6702</v>
      </c>
      <c r="N319" t="s">
        <v>6706</v>
      </c>
      <c r="O319" t="s">
        <v>6694</v>
      </c>
      <c r="W319" t="s">
        <v>6720</v>
      </c>
    </row>
    <row r="320" spans="1:23" ht="15.6" x14ac:dyDescent="0.4">
      <c r="A320" s="2" t="s">
        <v>3819</v>
      </c>
      <c r="B320" s="5" t="s">
        <v>7027</v>
      </c>
      <c r="C320" s="7" t="s">
        <v>12556</v>
      </c>
      <c r="D320" s="8">
        <f t="shared" si="20"/>
        <v>0</v>
      </c>
      <c r="E320" s="7" t="s">
        <v>12557</v>
      </c>
      <c r="F320" s="7">
        <f t="shared" si="21"/>
        <v>0</v>
      </c>
      <c r="G320" s="7" t="s">
        <v>12558</v>
      </c>
      <c r="H320" s="7">
        <f t="shared" si="22"/>
        <v>0</v>
      </c>
      <c r="I320" s="7" cm="1">
        <f t="array" ref="I320">IFERROR(_xlfn.IFS(M320="נח",1,M320="נע ונח",1,M320="שני שווא נח",2,M320="שני שוואים בסוף מילה",2,M320="שני שוואים ברצף",1),"0")</f>
        <v>1</v>
      </c>
      <c r="J320" s="9">
        <f t="shared" si="23"/>
        <v>2</v>
      </c>
      <c r="K320" t="s">
        <v>6697</v>
      </c>
      <c r="L320" t="s">
        <v>6694</v>
      </c>
      <c r="M320" t="s">
        <v>6705</v>
      </c>
      <c r="N320" t="s">
        <v>6706</v>
      </c>
      <c r="O320" t="s">
        <v>6694</v>
      </c>
      <c r="S320" t="s">
        <v>6694</v>
      </c>
      <c r="W320" t="s">
        <v>6720</v>
      </c>
    </row>
    <row r="321" spans="1:23" ht="15.6" x14ac:dyDescent="0.4">
      <c r="A321" s="2" t="s">
        <v>3722</v>
      </c>
      <c r="B321" s="5" t="s">
        <v>7026</v>
      </c>
      <c r="C321" s="7" t="s">
        <v>12556</v>
      </c>
      <c r="D321" s="8">
        <f t="shared" si="20"/>
        <v>0</v>
      </c>
      <c r="E321" s="7" t="s">
        <v>12557</v>
      </c>
      <c r="F321" s="7">
        <f t="shared" si="21"/>
        <v>0</v>
      </c>
      <c r="G321" s="7" t="s">
        <v>12558</v>
      </c>
      <c r="H321" s="7">
        <f t="shared" si="22"/>
        <v>0</v>
      </c>
      <c r="I321" s="7" cm="1">
        <f t="array" ref="I321">IFERROR(_xlfn.IFS(M321="נח",1,M321="נע ונח",1,M321="שני שווא נח",2,M321="שני שוואים בסוף מילה",2,M321="שני שוואים ברצף",1),"0")</f>
        <v>2</v>
      </c>
      <c r="J321" s="9">
        <f t="shared" si="23"/>
        <v>2</v>
      </c>
      <c r="K321" t="s">
        <v>6698</v>
      </c>
      <c r="L321" t="s">
        <v>6694</v>
      </c>
      <c r="M321" t="s">
        <v>6704</v>
      </c>
      <c r="N321" t="s">
        <v>6706</v>
      </c>
      <c r="O321" t="s">
        <v>6694</v>
      </c>
      <c r="Q321" t="s">
        <v>6694</v>
      </c>
      <c r="W321" t="s">
        <v>6720</v>
      </c>
    </row>
    <row r="322" spans="1:23" ht="15.6" x14ac:dyDescent="0.4">
      <c r="A322" s="2" t="s">
        <v>6578</v>
      </c>
      <c r="B322" s="5" t="s">
        <v>7026</v>
      </c>
      <c r="C322" s="7" t="s">
        <v>12556</v>
      </c>
      <c r="D322" s="8">
        <f t="shared" si="20"/>
        <v>0</v>
      </c>
      <c r="E322" s="7" t="s">
        <v>12557</v>
      </c>
      <c r="F322" s="7">
        <f t="shared" si="21"/>
        <v>0</v>
      </c>
      <c r="G322" s="7" t="s">
        <v>12558</v>
      </c>
      <c r="H322" s="7">
        <f t="shared" si="22"/>
        <v>0</v>
      </c>
      <c r="I322" s="7" cm="1">
        <f t="array" ref="I322">IFERROR(_xlfn.IFS(M322="נח",1,M322="נע ונח",1,M322="שני שווא נח",2,M322="שני שוואים בסוף מילה",2,M322="שני שוואים ברצף",1),"0")</f>
        <v>1</v>
      </c>
      <c r="J322" s="9">
        <f t="shared" si="23"/>
        <v>3</v>
      </c>
      <c r="K322" t="s">
        <v>6697</v>
      </c>
      <c r="L322" t="s">
        <v>6694</v>
      </c>
      <c r="M322" t="s">
        <v>6705</v>
      </c>
      <c r="N322" t="s">
        <v>6706</v>
      </c>
      <c r="O322" t="s">
        <v>6694</v>
      </c>
      <c r="R322" t="s">
        <v>6694</v>
      </c>
      <c r="W322" t="s">
        <v>6720</v>
      </c>
    </row>
    <row r="323" spans="1:23" ht="15.6" x14ac:dyDescent="0.4">
      <c r="A323" s="2" t="s">
        <v>1290</v>
      </c>
      <c r="B323" s="5" t="s">
        <v>7028</v>
      </c>
      <c r="C323" s="7" t="s">
        <v>12556</v>
      </c>
      <c r="D323" s="8">
        <f t="shared" ref="D323:D386" si="24">(LEN(B323)-LEN(SUBSTITUTE(B323,C323,"")))</f>
        <v>0</v>
      </c>
      <c r="E323" s="7" t="s">
        <v>12557</v>
      </c>
      <c r="F323" s="7">
        <f t="shared" ref="F323:F386" si="25">(LEN(A323)-LEN(SUBSTITUTE(A323,E323,"")))</f>
        <v>0</v>
      </c>
      <c r="G323" s="7" t="s">
        <v>12558</v>
      </c>
      <c r="H323" s="7">
        <f t="shared" ref="H323:H386" si="26">(LEN(A323)-LEN(SUBSTITUTE(A323,G323,"")))/2</f>
        <v>0</v>
      </c>
      <c r="I323" s="7" cm="1">
        <f t="array" ref="I323">IFERROR(_xlfn.IFS(M323="נח",1,M323="נע ונח",1,M323="שני שווא נח",2,M323="שני שוואים בסוף מילה",2,M323="שני שוואים ברצף",1),"0")</f>
        <v>1</v>
      </c>
      <c r="J323" s="9">
        <f t="shared" ref="J323:J386" si="27">LEN(A323)-(LEN(B323))-D323-F323+H323-I323</f>
        <v>3</v>
      </c>
      <c r="K323" t="s">
        <v>6698</v>
      </c>
      <c r="L323" t="s">
        <v>6694</v>
      </c>
      <c r="M323" t="s">
        <v>6705</v>
      </c>
      <c r="N323" t="s">
        <v>6706</v>
      </c>
      <c r="O323" t="s">
        <v>6694</v>
      </c>
      <c r="P323" t="s">
        <v>6694</v>
      </c>
      <c r="S323" t="s">
        <v>6694</v>
      </c>
      <c r="W323" t="s">
        <v>6720</v>
      </c>
    </row>
    <row r="324" spans="1:23" ht="15.6" x14ac:dyDescent="0.4">
      <c r="A324" s="2" t="s">
        <v>6635</v>
      </c>
      <c r="B324" s="5" t="s">
        <v>7027</v>
      </c>
      <c r="C324" s="7" t="s">
        <v>12556</v>
      </c>
      <c r="D324" s="8">
        <f t="shared" si="24"/>
        <v>0</v>
      </c>
      <c r="E324" s="7" t="s">
        <v>12557</v>
      </c>
      <c r="F324" s="7">
        <f t="shared" si="25"/>
        <v>0</v>
      </c>
      <c r="G324" s="7" t="s">
        <v>12558</v>
      </c>
      <c r="H324" s="7">
        <f t="shared" si="26"/>
        <v>0</v>
      </c>
      <c r="I324" s="7" cm="1">
        <f t="array" ref="I324">IFERROR(_xlfn.IFS(M324="נח",1,M324="נע ונח",1,M324="שני שווא נח",2,M324="שני שוואים בסוף מילה",2,M324="שני שוואים ברצף",1),"0")</f>
        <v>1</v>
      </c>
      <c r="J324" s="9">
        <f t="shared" si="27"/>
        <v>2</v>
      </c>
      <c r="K324" t="s">
        <v>6698</v>
      </c>
      <c r="L324" t="s">
        <v>6694</v>
      </c>
      <c r="M324" t="s">
        <v>6705</v>
      </c>
      <c r="N324" t="s">
        <v>6706</v>
      </c>
      <c r="O324" t="s">
        <v>6694</v>
      </c>
      <c r="W324" t="s">
        <v>6720</v>
      </c>
    </row>
    <row r="325" spans="1:23" ht="15.6" x14ac:dyDescent="0.4">
      <c r="A325" s="2" t="s">
        <v>326</v>
      </c>
      <c r="B325" s="5" t="s">
        <v>7029</v>
      </c>
      <c r="C325" s="7" t="s">
        <v>12556</v>
      </c>
      <c r="D325" s="8">
        <f t="shared" si="24"/>
        <v>0</v>
      </c>
      <c r="E325" s="7" t="s">
        <v>12557</v>
      </c>
      <c r="F325" s="7">
        <f t="shared" si="25"/>
        <v>0</v>
      </c>
      <c r="G325" s="7" t="s">
        <v>12558</v>
      </c>
      <c r="H325" s="7">
        <f t="shared" si="26"/>
        <v>0</v>
      </c>
      <c r="I325" s="7" cm="1">
        <f t="array" ref="I325">IFERROR(_xlfn.IFS(M325="נח",1,M325="נע ונח",1,M325="שני שווא נח",2,M325="שני שוואים בסוף מילה",2,M325="שני שוואים ברצף",1),"0")</f>
        <v>1</v>
      </c>
      <c r="J325" s="9">
        <f t="shared" si="27"/>
        <v>2</v>
      </c>
      <c r="K325" t="s">
        <v>6697</v>
      </c>
      <c r="L325" t="s">
        <v>6694</v>
      </c>
      <c r="M325" t="s">
        <v>6705</v>
      </c>
      <c r="N325" t="s">
        <v>6706</v>
      </c>
      <c r="O325" t="s">
        <v>6694</v>
      </c>
      <c r="V325" t="s">
        <v>6694</v>
      </c>
      <c r="W325" t="s">
        <v>6720</v>
      </c>
    </row>
    <row r="326" spans="1:23" ht="15.6" x14ac:dyDescent="0.4">
      <c r="A326" s="2" t="s">
        <v>3826</v>
      </c>
      <c r="B326" s="5" t="s">
        <v>7030</v>
      </c>
      <c r="C326" s="7" t="s">
        <v>12556</v>
      </c>
      <c r="D326" s="8">
        <f t="shared" si="24"/>
        <v>0</v>
      </c>
      <c r="E326" s="7" t="s">
        <v>12557</v>
      </c>
      <c r="F326" s="7">
        <f t="shared" si="25"/>
        <v>0</v>
      </c>
      <c r="G326" s="7" t="s">
        <v>12558</v>
      </c>
      <c r="H326" s="7">
        <f t="shared" si="26"/>
        <v>0</v>
      </c>
      <c r="I326" s="7" t="str" cm="1">
        <f t="array" ref="I326">IFERROR(_xlfn.IFS(M326="נח",1,M326="נע ונח",1,M326="שני שווא נח",2,M326="שני שוואים בסוף מילה",2,M326="שני שוואים ברצף",1),"0")</f>
        <v>0</v>
      </c>
      <c r="J326" s="9">
        <f t="shared" si="27"/>
        <v>1</v>
      </c>
      <c r="K326" t="s">
        <v>6698</v>
      </c>
      <c r="L326" t="s">
        <v>6695</v>
      </c>
      <c r="N326" t="s">
        <v>6706</v>
      </c>
      <c r="O326" t="s">
        <v>6694</v>
      </c>
      <c r="W326" t="s">
        <v>6720</v>
      </c>
    </row>
    <row r="327" spans="1:23" ht="15.6" x14ac:dyDescent="0.4">
      <c r="A327" s="2" t="s">
        <v>4009</v>
      </c>
      <c r="B327" s="5" t="s">
        <v>7031</v>
      </c>
      <c r="C327" s="7" t="s">
        <v>12556</v>
      </c>
      <c r="D327" s="8">
        <f t="shared" si="24"/>
        <v>1</v>
      </c>
      <c r="E327" s="7" t="s">
        <v>12557</v>
      </c>
      <c r="F327" s="7">
        <f t="shared" si="25"/>
        <v>0</v>
      </c>
      <c r="G327" s="7" t="s">
        <v>12558</v>
      </c>
      <c r="H327" s="7">
        <f t="shared" si="26"/>
        <v>0</v>
      </c>
      <c r="I327" s="7" t="str" cm="1">
        <f t="array" ref="I327">IFERROR(_xlfn.IFS(M327="נח",1,M327="נע ונח",1,M327="שני שווא נח",2,M327="שני שוואים בסוף מילה",2,M327="שני שוואים ברצף",1),"0")</f>
        <v>0</v>
      </c>
      <c r="J327" s="9">
        <f t="shared" si="27"/>
        <v>3</v>
      </c>
      <c r="K327" t="s">
        <v>6697</v>
      </c>
      <c r="L327" t="s">
        <v>6695</v>
      </c>
      <c r="O327" t="s">
        <v>6694</v>
      </c>
      <c r="S327" t="s">
        <v>6694</v>
      </c>
      <c r="W327" t="s">
        <v>6720</v>
      </c>
    </row>
    <row r="328" spans="1:23" ht="15.6" x14ac:dyDescent="0.4">
      <c r="A328" s="2" t="s">
        <v>4732</v>
      </c>
      <c r="B328" s="5" t="s">
        <v>7032</v>
      </c>
      <c r="C328" s="7" t="s">
        <v>12556</v>
      </c>
      <c r="D328" s="8">
        <f t="shared" si="24"/>
        <v>0</v>
      </c>
      <c r="E328" s="7" t="s">
        <v>12557</v>
      </c>
      <c r="F328" s="7">
        <f t="shared" si="25"/>
        <v>1</v>
      </c>
      <c r="G328" s="7" t="s">
        <v>12558</v>
      </c>
      <c r="H328" s="7">
        <f t="shared" si="26"/>
        <v>0</v>
      </c>
      <c r="I328" s="7" cm="1">
        <f t="array" ref="I328">IFERROR(_xlfn.IFS(M328="נח",1,M328="נע ונח",1,M328="שני שווא נח",2,M328="שני שוואים בסוף מילה",2,M328="שני שוואים ברצף",1),"0")</f>
        <v>1</v>
      </c>
      <c r="J328" s="9">
        <f t="shared" si="27"/>
        <v>3</v>
      </c>
      <c r="K328" t="s">
        <v>6698</v>
      </c>
      <c r="L328" t="s">
        <v>6694</v>
      </c>
      <c r="M328" t="s">
        <v>6705</v>
      </c>
      <c r="O328" t="s">
        <v>6694</v>
      </c>
      <c r="P328" t="s">
        <v>6694</v>
      </c>
      <c r="W328" t="s">
        <v>6720</v>
      </c>
    </row>
    <row r="329" spans="1:23" ht="15.6" x14ac:dyDescent="0.4">
      <c r="A329" s="2" t="s">
        <v>958</v>
      </c>
      <c r="B329" s="5" t="s">
        <v>7033</v>
      </c>
      <c r="C329" s="7" t="s">
        <v>12556</v>
      </c>
      <c r="D329" s="8">
        <f t="shared" si="24"/>
        <v>0</v>
      </c>
      <c r="E329" s="7" t="s">
        <v>12557</v>
      </c>
      <c r="F329" s="7">
        <f t="shared" si="25"/>
        <v>0</v>
      </c>
      <c r="G329" s="7" t="s">
        <v>12558</v>
      </c>
      <c r="H329" s="7">
        <f t="shared" si="26"/>
        <v>0</v>
      </c>
      <c r="I329" s="7" t="str" cm="1">
        <f t="array" ref="I329">IFERROR(_xlfn.IFS(M329="נח",1,M329="נע ונח",1,M329="שני שווא נח",2,M329="שני שוואים בסוף מילה",2,M329="שני שוואים ברצף",1),"0")</f>
        <v>0</v>
      </c>
      <c r="J329" s="9">
        <f t="shared" si="27"/>
        <v>2</v>
      </c>
      <c r="K329" t="s">
        <v>6698</v>
      </c>
      <c r="L329" t="s">
        <v>6695</v>
      </c>
      <c r="O329" t="s">
        <v>6694</v>
      </c>
      <c r="V329" t="s">
        <v>6694</v>
      </c>
      <c r="W329" t="s">
        <v>6720</v>
      </c>
    </row>
    <row r="330" spans="1:23" ht="15.6" x14ac:dyDescent="0.4">
      <c r="A330" s="2" t="s">
        <v>4161</v>
      </c>
      <c r="B330" s="5" t="s">
        <v>7034</v>
      </c>
      <c r="C330" s="7" t="s">
        <v>12556</v>
      </c>
      <c r="D330" s="8">
        <f t="shared" si="24"/>
        <v>0</v>
      </c>
      <c r="E330" s="7" t="s">
        <v>12557</v>
      </c>
      <c r="F330" s="7">
        <f t="shared" si="25"/>
        <v>0</v>
      </c>
      <c r="G330" s="7" t="s">
        <v>12558</v>
      </c>
      <c r="H330" s="7">
        <f t="shared" si="26"/>
        <v>0</v>
      </c>
      <c r="I330" s="7" t="str" cm="1">
        <f t="array" ref="I330">IFERROR(_xlfn.IFS(M330="נח",1,M330="נע ונח",1,M330="שני שווא נח",2,M330="שני שוואים בסוף מילה",2,M330="שני שוואים ברצף",1),"0")</f>
        <v>0</v>
      </c>
      <c r="J330" s="9">
        <f t="shared" si="27"/>
        <v>2</v>
      </c>
      <c r="K330" t="s">
        <v>6698</v>
      </c>
      <c r="L330" t="s">
        <v>6695</v>
      </c>
      <c r="N330" t="s">
        <v>6706</v>
      </c>
      <c r="O330" t="s">
        <v>6694</v>
      </c>
      <c r="W330" t="s">
        <v>6720</v>
      </c>
    </row>
    <row r="331" spans="1:23" ht="15.6" x14ac:dyDescent="0.4">
      <c r="A331" s="2" t="s">
        <v>750</v>
      </c>
      <c r="B331" s="5" t="s">
        <v>7035</v>
      </c>
      <c r="C331" s="7" t="s">
        <v>12556</v>
      </c>
      <c r="D331" s="8">
        <f t="shared" si="24"/>
        <v>0</v>
      </c>
      <c r="E331" s="7" t="s">
        <v>12557</v>
      </c>
      <c r="F331" s="7">
        <f t="shared" si="25"/>
        <v>0</v>
      </c>
      <c r="G331" s="7" t="s">
        <v>12558</v>
      </c>
      <c r="H331" s="7">
        <f t="shared" si="26"/>
        <v>0</v>
      </c>
      <c r="I331" s="7" cm="1">
        <f t="array" ref="I331">IFERROR(_xlfn.IFS(M331="נח",1,M331="נע ונח",1,M331="שני שווא נח",2,M331="שני שוואים בסוף מילה",2,M331="שני שוואים ברצף",1),"0")</f>
        <v>1</v>
      </c>
      <c r="J331" s="9">
        <f t="shared" si="27"/>
        <v>2</v>
      </c>
      <c r="K331" t="s">
        <v>6698</v>
      </c>
      <c r="L331" t="s">
        <v>6694</v>
      </c>
      <c r="M331" t="s">
        <v>6705</v>
      </c>
      <c r="N331" t="s">
        <v>6706</v>
      </c>
      <c r="O331" t="s">
        <v>6694</v>
      </c>
      <c r="W331" t="s">
        <v>6720</v>
      </c>
    </row>
    <row r="332" spans="1:23" ht="15.6" x14ac:dyDescent="0.4">
      <c r="A332" s="2" t="s">
        <v>3224</v>
      </c>
      <c r="B332" s="5" t="s">
        <v>7036</v>
      </c>
      <c r="C332" s="7" t="s">
        <v>12556</v>
      </c>
      <c r="D332" s="8">
        <f t="shared" si="24"/>
        <v>0</v>
      </c>
      <c r="E332" s="7" t="s">
        <v>12557</v>
      </c>
      <c r="F332" s="7">
        <f t="shared" si="25"/>
        <v>1</v>
      </c>
      <c r="G332" s="7" t="s">
        <v>12558</v>
      </c>
      <c r="H332" s="7">
        <f t="shared" si="26"/>
        <v>1</v>
      </c>
      <c r="I332" s="7" cm="1">
        <f t="array" ref="I332">IFERROR(_xlfn.IFS(M332="נח",1,M332="נע ונח",1,M332="שני שווא נח",2,M332="שני שוואים בסוף מילה",2,M332="שני שוואים ברצף",1),"0")</f>
        <v>1</v>
      </c>
      <c r="J332" s="9">
        <f t="shared" si="27"/>
        <v>2</v>
      </c>
      <c r="K332" t="s">
        <v>6697</v>
      </c>
      <c r="L332" t="s">
        <v>6694</v>
      </c>
      <c r="M332" t="s">
        <v>6705</v>
      </c>
      <c r="N332" t="s">
        <v>6706</v>
      </c>
      <c r="O332" t="s">
        <v>6694</v>
      </c>
      <c r="U332" t="s">
        <v>6694</v>
      </c>
      <c r="W332" t="s">
        <v>6720</v>
      </c>
    </row>
    <row r="333" spans="1:23" ht="15.6" x14ac:dyDescent="0.4">
      <c r="A333" s="2" t="s">
        <v>5788</v>
      </c>
      <c r="B333" s="5" t="s">
        <v>7037</v>
      </c>
      <c r="C333" s="7" t="s">
        <v>12556</v>
      </c>
      <c r="D333" s="8">
        <f t="shared" si="24"/>
        <v>0</v>
      </c>
      <c r="E333" s="7" t="s">
        <v>12557</v>
      </c>
      <c r="F333" s="7">
        <f t="shared" si="25"/>
        <v>0</v>
      </c>
      <c r="G333" s="7" t="s">
        <v>12558</v>
      </c>
      <c r="H333" s="7">
        <f t="shared" si="26"/>
        <v>0</v>
      </c>
      <c r="I333" s="7" t="str" cm="1">
        <f t="array" ref="I333">IFERROR(_xlfn.IFS(M333="נח",1,M333="נע ונח",1,M333="שני שווא נח",2,M333="שני שוואים בסוף מילה",2,M333="שני שוואים ברצף",1),"0")</f>
        <v>0</v>
      </c>
      <c r="J333" s="9">
        <f t="shared" si="27"/>
        <v>2</v>
      </c>
      <c r="K333" t="s">
        <v>6698</v>
      </c>
      <c r="L333" t="s">
        <v>6695</v>
      </c>
      <c r="O333" t="s">
        <v>6694</v>
      </c>
      <c r="S333" t="s">
        <v>6694</v>
      </c>
      <c r="W333" t="s">
        <v>6720</v>
      </c>
    </row>
    <row r="334" spans="1:23" ht="15.6" x14ac:dyDescent="0.4">
      <c r="A334" s="2" t="s">
        <v>3422</v>
      </c>
      <c r="B334" s="5" t="s">
        <v>7038</v>
      </c>
      <c r="C334" s="7" t="s">
        <v>12556</v>
      </c>
      <c r="D334" s="8">
        <f t="shared" si="24"/>
        <v>0</v>
      </c>
      <c r="E334" s="7" t="s">
        <v>12557</v>
      </c>
      <c r="F334" s="7">
        <f t="shared" si="25"/>
        <v>0</v>
      </c>
      <c r="G334" s="7" t="s">
        <v>12558</v>
      </c>
      <c r="H334" s="7">
        <f t="shared" si="26"/>
        <v>0</v>
      </c>
      <c r="I334" s="7" t="str" cm="1">
        <f t="array" ref="I334">IFERROR(_xlfn.IFS(M334="נח",1,M334="נע ונח",1,M334="שני שווא נח",2,M334="שני שוואים בסוף מילה",2,M334="שני שוואים ברצף",1),"0")</f>
        <v>0</v>
      </c>
      <c r="J334" s="9">
        <f t="shared" si="27"/>
        <v>2</v>
      </c>
      <c r="K334" t="s">
        <v>6698</v>
      </c>
      <c r="L334" t="s">
        <v>6695</v>
      </c>
      <c r="O334" t="s">
        <v>6694</v>
      </c>
      <c r="Q334" t="s">
        <v>6694</v>
      </c>
      <c r="W334" t="s">
        <v>6720</v>
      </c>
    </row>
    <row r="335" spans="1:23" ht="15.6" x14ac:dyDescent="0.4">
      <c r="A335" s="2" t="s">
        <v>5468</v>
      </c>
      <c r="B335" s="5" t="s">
        <v>7039</v>
      </c>
      <c r="C335" s="7" t="s">
        <v>12556</v>
      </c>
      <c r="D335" s="8">
        <f t="shared" si="24"/>
        <v>0</v>
      </c>
      <c r="E335" s="7" t="s">
        <v>12557</v>
      </c>
      <c r="F335" s="7">
        <f t="shared" si="25"/>
        <v>0</v>
      </c>
      <c r="G335" s="7" t="s">
        <v>12558</v>
      </c>
      <c r="H335" s="7">
        <f t="shared" si="26"/>
        <v>0</v>
      </c>
      <c r="I335" s="7" t="str" cm="1">
        <f t="array" ref="I335">IFERROR(_xlfn.IFS(M335="נח",1,M335="נע ונח",1,M335="שני שווא נח",2,M335="שני שוואים בסוף מילה",2,M335="שני שוואים ברצף",1),"0")</f>
        <v>0</v>
      </c>
      <c r="J335" s="9">
        <f t="shared" si="27"/>
        <v>2</v>
      </c>
      <c r="K335" t="s">
        <v>6698</v>
      </c>
      <c r="L335" t="s">
        <v>6695</v>
      </c>
      <c r="O335" t="s">
        <v>6694</v>
      </c>
      <c r="P335" t="s">
        <v>6694</v>
      </c>
      <c r="W335" t="s">
        <v>6720</v>
      </c>
    </row>
    <row r="336" spans="1:23" ht="15.6" x14ac:dyDescent="0.4">
      <c r="A336" s="2" t="s">
        <v>4008</v>
      </c>
      <c r="B336" s="5" t="s">
        <v>7040</v>
      </c>
      <c r="C336" s="7" t="s">
        <v>12556</v>
      </c>
      <c r="D336" s="8">
        <f t="shared" si="24"/>
        <v>0</v>
      </c>
      <c r="E336" s="7" t="s">
        <v>12557</v>
      </c>
      <c r="F336" s="7">
        <f t="shared" si="25"/>
        <v>0</v>
      </c>
      <c r="G336" s="7" t="s">
        <v>12558</v>
      </c>
      <c r="H336" s="7">
        <f t="shared" si="26"/>
        <v>0</v>
      </c>
      <c r="I336" s="7" t="str" cm="1">
        <f t="array" ref="I336">IFERROR(_xlfn.IFS(M336="נח",1,M336="נע ונח",1,M336="שני שווא נח",2,M336="שני שוואים בסוף מילה",2,M336="שני שוואים ברצף",1),"0")</f>
        <v>0</v>
      </c>
      <c r="J336" s="9">
        <f t="shared" si="27"/>
        <v>2</v>
      </c>
      <c r="K336" t="s">
        <v>6698</v>
      </c>
      <c r="L336" t="s">
        <v>6695</v>
      </c>
      <c r="O336" t="s">
        <v>6694</v>
      </c>
      <c r="S336" t="s">
        <v>6694</v>
      </c>
      <c r="W336" t="s">
        <v>6720</v>
      </c>
    </row>
    <row r="337" spans="1:23" ht="15.6" x14ac:dyDescent="0.4">
      <c r="A337" s="2" t="s">
        <v>6458</v>
      </c>
      <c r="B337" s="5" t="s">
        <v>6895</v>
      </c>
      <c r="C337" s="7" t="s">
        <v>12556</v>
      </c>
      <c r="D337" s="8">
        <f t="shared" si="24"/>
        <v>0</v>
      </c>
      <c r="E337" s="7" t="s">
        <v>12557</v>
      </c>
      <c r="F337" s="7">
        <f t="shared" si="25"/>
        <v>0</v>
      </c>
      <c r="G337" s="7" t="s">
        <v>12558</v>
      </c>
      <c r="H337" s="7">
        <f t="shared" si="26"/>
        <v>0</v>
      </c>
      <c r="I337" s="7" t="str" cm="1">
        <f t="array" ref="I337">IFERROR(_xlfn.IFS(M337="נח",1,M337="נע ונח",1,M337="שני שווא נח",2,M337="שני שוואים בסוף מילה",2,M337="שני שוואים ברצף",1),"0")</f>
        <v>0</v>
      </c>
      <c r="J337" s="9">
        <f t="shared" si="27"/>
        <v>2</v>
      </c>
      <c r="K337" t="s">
        <v>6698</v>
      </c>
      <c r="L337" t="s">
        <v>6695</v>
      </c>
      <c r="O337" t="s">
        <v>6694</v>
      </c>
      <c r="R337" t="s">
        <v>6694</v>
      </c>
      <c r="W337" t="s">
        <v>6720</v>
      </c>
    </row>
    <row r="338" spans="1:23" ht="15.6" x14ac:dyDescent="0.4">
      <c r="A338" s="2" t="s">
        <v>5142</v>
      </c>
      <c r="B338" s="5" t="s">
        <v>6862</v>
      </c>
      <c r="C338" s="7" t="s">
        <v>12556</v>
      </c>
      <c r="D338" s="8">
        <f t="shared" si="24"/>
        <v>0</v>
      </c>
      <c r="E338" s="7" t="s">
        <v>12557</v>
      </c>
      <c r="F338" s="7">
        <f t="shared" si="25"/>
        <v>0</v>
      </c>
      <c r="G338" s="7" t="s">
        <v>12558</v>
      </c>
      <c r="H338" s="7">
        <f t="shared" si="26"/>
        <v>0</v>
      </c>
      <c r="I338" s="7" t="str" cm="1">
        <f t="array" ref="I338">IFERROR(_xlfn.IFS(M338="נח",1,M338="נע ונח",1,M338="שני שווא נח",2,M338="שני שוואים בסוף מילה",2,M338="שני שוואים ברצף",1),"0")</f>
        <v>0</v>
      </c>
      <c r="J338" s="9">
        <f t="shared" si="27"/>
        <v>2</v>
      </c>
      <c r="K338" t="s">
        <v>6697</v>
      </c>
      <c r="L338" t="s">
        <v>6695</v>
      </c>
      <c r="O338" t="s">
        <v>6694</v>
      </c>
      <c r="W338" t="s">
        <v>6720</v>
      </c>
    </row>
    <row r="339" spans="1:23" ht="15.6" x14ac:dyDescent="0.4">
      <c r="A339" s="2" t="s">
        <v>1974</v>
      </c>
      <c r="B339" s="5" t="s">
        <v>7041</v>
      </c>
      <c r="C339" s="7" t="s">
        <v>12556</v>
      </c>
      <c r="D339" s="8">
        <f t="shared" si="24"/>
        <v>0</v>
      </c>
      <c r="E339" s="7" t="s">
        <v>12557</v>
      </c>
      <c r="F339" s="7">
        <f t="shared" si="25"/>
        <v>1</v>
      </c>
      <c r="G339" s="7" t="s">
        <v>12558</v>
      </c>
      <c r="H339" s="7">
        <f t="shared" si="26"/>
        <v>1</v>
      </c>
      <c r="I339" s="7" cm="1">
        <f t="array" ref="I339">IFERROR(_xlfn.IFS(M339="נח",1,M339="נע ונח",1,M339="שני שווא נח",2,M339="שני שוואים בסוף מילה",2,M339="שני שוואים ברצף",1),"0")</f>
        <v>1</v>
      </c>
      <c r="J339" s="9">
        <f t="shared" si="27"/>
        <v>2</v>
      </c>
      <c r="K339" t="s">
        <v>6697</v>
      </c>
      <c r="L339" t="s">
        <v>6694</v>
      </c>
      <c r="M339" t="s">
        <v>6705</v>
      </c>
      <c r="N339" t="s">
        <v>6706</v>
      </c>
      <c r="O339" t="s">
        <v>6694</v>
      </c>
      <c r="U339" t="s">
        <v>6694</v>
      </c>
      <c r="W339" t="s">
        <v>6720</v>
      </c>
    </row>
    <row r="340" spans="1:23" ht="15.6" x14ac:dyDescent="0.4">
      <c r="A340" s="2" t="s">
        <v>493</v>
      </c>
      <c r="B340" s="5" t="s">
        <v>6830</v>
      </c>
      <c r="C340" s="7" t="s">
        <v>12556</v>
      </c>
      <c r="D340" s="8">
        <f t="shared" si="24"/>
        <v>0</v>
      </c>
      <c r="E340" s="7" t="s">
        <v>12557</v>
      </c>
      <c r="F340" s="7">
        <f t="shared" si="25"/>
        <v>1</v>
      </c>
      <c r="G340" s="7" t="s">
        <v>12558</v>
      </c>
      <c r="H340" s="7">
        <f t="shared" si="26"/>
        <v>1</v>
      </c>
      <c r="I340" s="7" cm="1">
        <f t="array" ref="I340">IFERROR(_xlfn.IFS(M340="נח",1,M340="נע ונח",1,M340="שני שווא נח",2,M340="שני שוואים בסוף מילה",2,M340="שני שוואים ברצף",1),"0")</f>
        <v>1</v>
      </c>
      <c r="J340" s="9">
        <f t="shared" si="27"/>
        <v>2</v>
      </c>
      <c r="K340" t="s">
        <v>6697</v>
      </c>
      <c r="L340" t="s">
        <v>6694</v>
      </c>
      <c r="M340" t="s">
        <v>6705</v>
      </c>
      <c r="N340" t="s">
        <v>6706</v>
      </c>
      <c r="O340" t="s">
        <v>6694</v>
      </c>
      <c r="U340" t="s">
        <v>6694</v>
      </c>
      <c r="W340" t="s">
        <v>6720</v>
      </c>
    </row>
    <row r="341" spans="1:23" ht="15.6" x14ac:dyDescent="0.4">
      <c r="A341" s="2" t="s">
        <v>822</v>
      </c>
      <c r="B341" s="5" t="s">
        <v>7042</v>
      </c>
      <c r="C341" s="7" t="s">
        <v>12556</v>
      </c>
      <c r="D341" s="8">
        <f t="shared" si="24"/>
        <v>0</v>
      </c>
      <c r="E341" s="7" t="s">
        <v>12557</v>
      </c>
      <c r="F341" s="7">
        <f t="shared" si="25"/>
        <v>0</v>
      </c>
      <c r="G341" s="7" t="s">
        <v>12558</v>
      </c>
      <c r="H341" s="7">
        <f t="shared" si="26"/>
        <v>0</v>
      </c>
      <c r="I341" s="7" t="str" cm="1">
        <f t="array" ref="I341">IFERROR(_xlfn.IFS(M341="נח",1,M341="נע ונח",1,M341="שני שווא נח",2,M341="שני שוואים בסוף מילה",2,M341="שני שוואים ברצף",1),"0")</f>
        <v>0</v>
      </c>
      <c r="J341" s="9">
        <f t="shared" si="27"/>
        <v>2</v>
      </c>
      <c r="K341" t="s">
        <v>6698</v>
      </c>
      <c r="L341" t="s">
        <v>6695</v>
      </c>
      <c r="O341" t="s">
        <v>6694</v>
      </c>
      <c r="Q341" t="s">
        <v>6694</v>
      </c>
      <c r="W341" t="s">
        <v>6720</v>
      </c>
    </row>
    <row r="342" spans="1:23" ht="15.6" x14ac:dyDescent="0.4">
      <c r="A342" s="2" t="s">
        <v>419</v>
      </c>
      <c r="B342" s="5" t="s">
        <v>6739</v>
      </c>
      <c r="C342" s="7" t="s">
        <v>12556</v>
      </c>
      <c r="D342" s="8">
        <f t="shared" si="24"/>
        <v>0</v>
      </c>
      <c r="E342" s="7" t="s">
        <v>12557</v>
      </c>
      <c r="F342" s="7">
        <f t="shared" si="25"/>
        <v>0</v>
      </c>
      <c r="G342" s="7" t="s">
        <v>12558</v>
      </c>
      <c r="H342" s="7">
        <f t="shared" si="26"/>
        <v>0</v>
      </c>
      <c r="I342" s="7" t="str" cm="1">
        <f t="array" ref="I342">IFERROR(_xlfn.IFS(M342="נח",1,M342="נע ונח",1,M342="שני שווא נח",2,M342="שני שוואים בסוף מילה",2,M342="שני שוואים ברצף",1),"0")</f>
        <v>0</v>
      </c>
      <c r="J342" s="9">
        <f t="shared" si="27"/>
        <v>2</v>
      </c>
      <c r="K342" t="s">
        <v>6698</v>
      </c>
      <c r="L342" t="s">
        <v>6695</v>
      </c>
      <c r="O342" t="s">
        <v>6694</v>
      </c>
      <c r="P342" t="s">
        <v>6694</v>
      </c>
      <c r="W342" t="s">
        <v>6720</v>
      </c>
    </row>
    <row r="343" spans="1:23" ht="15.6" x14ac:dyDescent="0.4">
      <c r="A343" s="2" t="s">
        <v>388</v>
      </c>
      <c r="B343" s="5" t="s">
        <v>6827</v>
      </c>
      <c r="C343" s="7" t="s">
        <v>12556</v>
      </c>
      <c r="D343" s="8">
        <f t="shared" si="24"/>
        <v>0</v>
      </c>
      <c r="E343" s="7" t="s">
        <v>12557</v>
      </c>
      <c r="F343" s="7">
        <f t="shared" si="25"/>
        <v>1</v>
      </c>
      <c r="G343" s="7" t="s">
        <v>12558</v>
      </c>
      <c r="H343" s="7">
        <f t="shared" si="26"/>
        <v>0</v>
      </c>
      <c r="I343" s="7" cm="1">
        <f t="array" ref="I343">IFERROR(_xlfn.IFS(M343="נח",1,M343="נע ונח",1,M343="שני שווא נח",2,M343="שני שוואים בסוף מילה",2,M343="שני שוואים ברצף",1),"0")</f>
        <v>2</v>
      </c>
      <c r="J343" s="9">
        <f t="shared" si="27"/>
        <v>2</v>
      </c>
      <c r="K343" t="s">
        <v>6698</v>
      </c>
      <c r="L343" t="s">
        <v>6694</v>
      </c>
      <c r="M343" t="s">
        <v>6717</v>
      </c>
      <c r="O343" t="s">
        <v>6694</v>
      </c>
      <c r="P343" t="s">
        <v>6694</v>
      </c>
      <c r="W343" t="s">
        <v>6720</v>
      </c>
    </row>
    <row r="344" spans="1:23" ht="15.6" x14ac:dyDescent="0.4">
      <c r="A344" s="2" t="s">
        <v>130</v>
      </c>
      <c r="B344" s="5" t="s">
        <v>7043</v>
      </c>
      <c r="C344" s="7" t="s">
        <v>12556</v>
      </c>
      <c r="D344" s="8">
        <f t="shared" si="24"/>
        <v>0</v>
      </c>
      <c r="E344" s="7" t="s">
        <v>12557</v>
      </c>
      <c r="F344" s="7">
        <f t="shared" si="25"/>
        <v>1</v>
      </c>
      <c r="G344" s="7" t="s">
        <v>12558</v>
      </c>
      <c r="H344" s="7">
        <f t="shared" si="26"/>
        <v>0</v>
      </c>
      <c r="I344" s="7" cm="1">
        <f t="array" ref="I344">IFERROR(_xlfn.IFS(M344="נח",1,M344="נע ונח",1,M344="שני שווא נח",2,M344="שני שוואים בסוף מילה",2,M344="שני שוואים ברצף",1),"0")</f>
        <v>1</v>
      </c>
      <c r="J344" s="9">
        <f t="shared" si="27"/>
        <v>3</v>
      </c>
      <c r="K344" t="s">
        <v>6697</v>
      </c>
      <c r="L344" t="s">
        <v>6694</v>
      </c>
      <c r="M344" t="s">
        <v>6705</v>
      </c>
      <c r="O344" t="s">
        <v>6694</v>
      </c>
      <c r="P344" t="s">
        <v>6694</v>
      </c>
      <c r="S344" t="s">
        <v>6694</v>
      </c>
      <c r="W344" t="s">
        <v>6720</v>
      </c>
    </row>
    <row r="345" spans="1:23" ht="15.6" x14ac:dyDescent="0.4">
      <c r="A345" s="2" t="s">
        <v>3522</v>
      </c>
      <c r="B345" s="5" t="s">
        <v>7043</v>
      </c>
      <c r="C345" s="7" t="s">
        <v>12556</v>
      </c>
      <c r="D345" s="8">
        <f t="shared" si="24"/>
        <v>0</v>
      </c>
      <c r="E345" s="7" t="s">
        <v>12557</v>
      </c>
      <c r="F345" s="7">
        <f t="shared" si="25"/>
        <v>1</v>
      </c>
      <c r="G345" s="7" t="s">
        <v>12558</v>
      </c>
      <c r="H345" s="7">
        <f t="shared" si="26"/>
        <v>0</v>
      </c>
      <c r="I345" s="7" cm="1">
        <f t="array" ref="I345">IFERROR(_xlfn.IFS(M345="נח",1,M345="נע ונח",1,M345="שני שווא נח",2,M345="שני שוואים בסוף מילה",2,M345="שני שוואים ברצף",1),"0")</f>
        <v>1</v>
      </c>
      <c r="J345" s="9">
        <f t="shared" si="27"/>
        <v>3</v>
      </c>
      <c r="K345" t="s">
        <v>6697</v>
      </c>
      <c r="L345" t="s">
        <v>6694</v>
      </c>
      <c r="M345" t="s">
        <v>6705</v>
      </c>
      <c r="N345" t="s">
        <v>6706</v>
      </c>
      <c r="O345" t="s">
        <v>6694</v>
      </c>
      <c r="S345" t="s">
        <v>6694</v>
      </c>
      <c r="W345" t="s">
        <v>6720</v>
      </c>
    </row>
    <row r="346" spans="1:23" ht="15.6" x14ac:dyDescent="0.4">
      <c r="A346" s="2" t="s">
        <v>1730</v>
      </c>
      <c r="B346" s="5" t="s">
        <v>7044</v>
      </c>
      <c r="C346" s="7" t="s">
        <v>12556</v>
      </c>
      <c r="D346" s="8">
        <f t="shared" si="24"/>
        <v>0</v>
      </c>
      <c r="E346" s="7" t="s">
        <v>12557</v>
      </c>
      <c r="F346" s="7">
        <f t="shared" si="25"/>
        <v>1</v>
      </c>
      <c r="G346" s="7" t="s">
        <v>12558</v>
      </c>
      <c r="H346" s="7">
        <f t="shared" si="26"/>
        <v>1</v>
      </c>
      <c r="I346" s="7" t="str" cm="1">
        <f t="array" ref="I346">IFERROR(_xlfn.IFS(M346="נח",1,M346="נע ונח",1,M346="שני שווא נח",2,M346="שני שוואים בסוף מילה",2,M346="שני שוואים ברצף",1),"0")</f>
        <v>0</v>
      </c>
      <c r="J346" s="9">
        <f t="shared" si="27"/>
        <v>2</v>
      </c>
      <c r="K346" t="s">
        <v>6698</v>
      </c>
      <c r="L346" t="s">
        <v>6695</v>
      </c>
      <c r="O346" t="s">
        <v>6694</v>
      </c>
      <c r="U346" t="s">
        <v>6694</v>
      </c>
      <c r="W346" t="s">
        <v>6720</v>
      </c>
    </row>
    <row r="347" spans="1:23" ht="15.6" x14ac:dyDescent="0.4">
      <c r="A347" s="2" t="s">
        <v>3184</v>
      </c>
      <c r="B347" s="5" t="s">
        <v>6792</v>
      </c>
      <c r="C347" s="7" t="s">
        <v>12556</v>
      </c>
      <c r="D347" s="8">
        <f t="shared" si="24"/>
        <v>0</v>
      </c>
      <c r="E347" s="7" t="s">
        <v>12557</v>
      </c>
      <c r="F347" s="7">
        <f t="shared" si="25"/>
        <v>0</v>
      </c>
      <c r="G347" s="7" t="s">
        <v>12558</v>
      </c>
      <c r="H347" s="7">
        <f t="shared" si="26"/>
        <v>0</v>
      </c>
      <c r="I347" s="7" t="str" cm="1">
        <f t="array" ref="I347">IFERROR(_xlfn.IFS(M347="נח",1,M347="נע ונח",1,M347="שני שווא נח",2,M347="שני שוואים בסוף מילה",2,M347="שני שוואים ברצף",1),"0")</f>
        <v>0</v>
      </c>
      <c r="J347" s="9">
        <f t="shared" si="27"/>
        <v>2</v>
      </c>
      <c r="K347" t="s">
        <v>6697</v>
      </c>
      <c r="L347" t="s">
        <v>6695</v>
      </c>
      <c r="O347" t="s">
        <v>6694</v>
      </c>
      <c r="S347" t="s">
        <v>6694</v>
      </c>
      <c r="W347" t="s">
        <v>6720</v>
      </c>
    </row>
    <row r="348" spans="1:23" ht="15.6" x14ac:dyDescent="0.4">
      <c r="A348" s="2" t="s">
        <v>4235</v>
      </c>
      <c r="B348" s="5" t="s">
        <v>7045</v>
      </c>
      <c r="C348" s="7" t="s">
        <v>12556</v>
      </c>
      <c r="D348" s="8">
        <f t="shared" si="24"/>
        <v>0</v>
      </c>
      <c r="E348" s="7" t="s">
        <v>12557</v>
      </c>
      <c r="F348" s="7">
        <f t="shared" si="25"/>
        <v>1</v>
      </c>
      <c r="G348" s="7" t="s">
        <v>12558</v>
      </c>
      <c r="H348" s="7">
        <f t="shared" si="26"/>
        <v>0</v>
      </c>
      <c r="I348" s="7" cm="1">
        <f t="array" ref="I348">IFERROR(_xlfn.IFS(M348="נח",1,M348="נע ונח",1,M348="שני שווא נח",2,M348="שני שוואים בסוף מילה",2,M348="שני שוואים ברצף",1),"0")</f>
        <v>1</v>
      </c>
      <c r="J348" s="9">
        <f t="shared" si="27"/>
        <v>3</v>
      </c>
      <c r="K348" t="s">
        <v>6698</v>
      </c>
      <c r="L348" t="s">
        <v>6694</v>
      </c>
      <c r="M348" t="s">
        <v>6705</v>
      </c>
      <c r="O348" t="s">
        <v>6694</v>
      </c>
      <c r="P348" t="s">
        <v>6694</v>
      </c>
      <c r="W348" t="s">
        <v>6720</v>
      </c>
    </row>
    <row r="349" spans="1:23" ht="15.6" x14ac:dyDescent="0.4">
      <c r="A349" s="2" t="s">
        <v>3203</v>
      </c>
      <c r="B349" s="5" t="s">
        <v>7046</v>
      </c>
      <c r="C349" s="7" t="s">
        <v>12556</v>
      </c>
      <c r="D349" s="8">
        <f t="shared" si="24"/>
        <v>0</v>
      </c>
      <c r="E349" s="7" t="s">
        <v>12557</v>
      </c>
      <c r="F349" s="7">
        <f t="shared" si="25"/>
        <v>0</v>
      </c>
      <c r="G349" s="7" t="s">
        <v>12558</v>
      </c>
      <c r="H349" s="7">
        <f t="shared" si="26"/>
        <v>0</v>
      </c>
      <c r="I349" s="7" t="str" cm="1">
        <f t="array" ref="I349">IFERROR(_xlfn.IFS(M349="נח",1,M349="נע ונח",1,M349="שני שווא נח",2,M349="שני שוואים בסוף מילה",2,M349="שני שוואים ברצף",1),"0")</f>
        <v>0</v>
      </c>
      <c r="J349" s="9">
        <f t="shared" si="27"/>
        <v>2</v>
      </c>
      <c r="K349" t="s">
        <v>6697</v>
      </c>
      <c r="L349" t="s">
        <v>6695</v>
      </c>
      <c r="O349" t="s">
        <v>6694</v>
      </c>
      <c r="W349" t="s">
        <v>6720</v>
      </c>
    </row>
    <row r="350" spans="1:23" ht="15.6" x14ac:dyDescent="0.4">
      <c r="A350" s="2" t="s">
        <v>263</v>
      </c>
      <c r="B350" s="5" t="s">
        <v>7047</v>
      </c>
      <c r="C350" s="7" t="s">
        <v>12556</v>
      </c>
      <c r="D350" s="8">
        <f t="shared" si="24"/>
        <v>0</v>
      </c>
      <c r="E350" s="7" t="s">
        <v>12557</v>
      </c>
      <c r="F350" s="7">
        <f t="shared" si="25"/>
        <v>0</v>
      </c>
      <c r="G350" s="7" t="s">
        <v>12558</v>
      </c>
      <c r="H350" s="7">
        <f t="shared" si="26"/>
        <v>0</v>
      </c>
      <c r="I350" s="7" t="str" cm="1">
        <f t="array" ref="I350">IFERROR(_xlfn.IFS(M350="נח",1,M350="נע ונח",1,M350="שני שווא נח",2,M350="שני שוואים בסוף מילה",2,M350="שני שוואים ברצף",1),"0")</f>
        <v>0</v>
      </c>
      <c r="J350" s="9">
        <f t="shared" si="27"/>
        <v>3</v>
      </c>
      <c r="K350" t="s">
        <v>6697</v>
      </c>
      <c r="L350" t="s">
        <v>6695</v>
      </c>
      <c r="O350" t="s">
        <v>6694</v>
      </c>
      <c r="S350" t="s">
        <v>6694</v>
      </c>
      <c r="V350" t="s">
        <v>6694</v>
      </c>
      <c r="W350" t="s">
        <v>6720</v>
      </c>
    </row>
    <row r="351" spans="1:23" ht="15.6" x14ac:dyDescent="0.4">
      <c r="A351" s="2" t="s">
        <v>1751</v>
      </c>
      <c r="B351" s="5" t="s">
        <v>7048</v>
      </c>
      <c r="C351" s="7" t="s">
        <v>12556</v>
      </c>
      <c r="D351" s="8">
        <f t="shared" si="24"/>
        <v>0</v>
      </c>
      <c r="E351" s="7" t="s">
        <v>12557</v>
      </c>
      <c r="F351" s="7">
        <f t="shared" si="25"/>
        <v>1</v>
      </c>
      <c r="G351" s="7" t="s">
        <v>12558</v>
      </c>
      <c r="H351" s="7">
        <f t="shared" si="26"/>
        <v>0</v>
      </c>
      <c r="I351" s="7" t="str" cm="1">
        <f t="array" ref="I351">IFERROR(_xlfn.IFS(M351="נח",1,M351="נע ונח",1,M351="שני שווא נח",2,M351="שני שוואים בסוף מילה",2,M351="שני שוואים ברצף",1),"0")</f>
        <v>0</v>
      </c>
      <c r="J351" s="9">
        <f t="shared" si="27"/>
        <v>2</v>
      </c>
      <c r="K351" t="s">
        <v>6697</v>
      </c>
      <c r="L351" t="s">
        <v>6695</v>
      </c>
      <c r="O351" t="s">
        <v>6694</v>
      </c>
      <c r="W351" t="s">
        <v>6720</v>
      </c>
    </row>
    <row r="352" spans="1:23" ht="15.6" x14ac:dyDescent="0.4">
      <c r="A352" s="2" t="s">
        <v>336</v>
      </c>
      <c r="B352" s="5" t="s">
        <v>7046</v>
      </c>
      <c r="C352" s="7" t="s">
        <v>12556</v>
      </c>
      <c r="D352" s="8">
        <f t="shared" si="24"/>
        <v>0</v>
      </c>
      <c r="E352" s="7" t="s">
        <v>12557</v>
      </c>
      <c r="F352" s="7">
        <f t="shared" si="25"/>
        <v>1</v>
      </c>
      <c r="G352" s="7" t="s">
        <v>12558</v>
      </c>
      <c r="H352" s="7">
        <f t="shared" si="26"/>
        <v>0</v>
      </c>
      <c r="I352" s="7" t="str" cm="1">
        <f t="array" ref="I352">IFERROR(_xlfn.IFS(M352="נח",1,M352="נע ונח",1,M352="שני שווא נח",2,M352="שני שוואים בסוף מילה",2,M352="שני שוואים ברצף",1),"0")</f>
        <v>0</v>
      </c>
      <c r="J352" s="9">
        <f t="shared" si="27"/>
        <v>2</v>
      </c>
      <c r="K352" t="s">
        <v>6697</v>
      </c>
      <c r="L352" t="s">
        <v>6695</v>
      </c>
      <c r="O352" t="s">
        <v>6694</v>
      </c>
      <c r="W352" t="s">
        <v>6720</v>
      </c>
    </row>
    <row r="353" spans="1:23" ht="15.6" x14ac:dyDescent="0.4">
      <c r="A353" s="2" t="s">
        <v>2014</v>
      </c>
      <c r="B353" s="5" t="s">
        <v>7049</v>
      </c>
      <c r="C353" s="7" t="s">
        <v>12556</v>
      </c>
      <c r="D353" s="8">
        <f t="shared" si="24"/>
        <v>0</v>
      </c>
      <c r="E353" s="7" t="s">
        <v>12557</v>
      </c>
      <c r="F353" s="7">
        <f t="shared" si="25"/>
        <v>0</v>
      </c>
      <c r="G353" s="7" t="s">
        <v>12558</v>
      </c>
      <c r="H353" s="7">
        <f t="shared" si="26"/>
        <v>0</v>
      </c>
      <c r="I353" s="7" t="str" cm="1">
        <f t="array" ref="I353">IFERROR(_xlfn.IFS(M353="נח",1,M353="נע ונח",1,M353="שני שווא נח",2,M353="שני שוואים בסוף מילה",2,M353="שני שוואים ברצף",1),"0")</f>
        <v>0</v>
      </c>
      <c r="J353" s="9">
        <f t="shared" si="27"/>
        <v>2</v>
      </c>
      <c r="K353" t="s">
        <v>6698</v>
      </c>
      <c r="L353" t="s">
        <v>6695</v>
      </c>
      <c r="O353" t="s">
        <v>6694</v>
      </c>
      <c r="S353" t="s">
        <v>6694</v>
      </c>
      <c r="W353" t="s">
        <v>6720</v>
      </c>
    </row>
    <row r="354" spans="1:23" ht="15.6" x14ac:dyDescent="0.4">
      <c r="A354" s="2" t="s">
        <v>4923</v>
      </c>
      <c r="B354" s="5" t="s">
        <v>7050</v>
      </c>
      <c r="C354" s="7" t="s">
        <v>12556</v>
      </c>
      <c r="D354" s="8">
        <f t="shared" si="24"/>
        <v>0</v>
      </c>
      <c r="E354" s="7" t="s">
        <v>12557</v>
      </c>
      <c r="F354" s="7">
        <f t="shared" si="25"/>
        <v>1</v>
      </c>
      <c r="G354" s="7" t="s">
        <v>12558</v>
      </c>
      <c r="H354" s="7">
        <f t="shared" si="26"/>
        <v>0</v>
      </c>
      <c r="I354" s="7" cm="1">
        <f t="array" ref="I354">IFERROR(_xlfn.IFS(M354="נח",1,M354="נע ונח",1,M354="שני שווא נח",2,M354="שני שוואים בסוף מילה",2,M354="שני שוואים ברצף",1),"0")</f>
        <v>1</v>
      </c>
      <c r="J354" s="9">
        <f t="shared" si="27"/>
        <v>3</v>
      </c>
      <c r="K354" t="s">
        <v>6698</v>
      </c>
      <c r="L354" t="s">
        <v>6694</v>
      </c>
      <c r="M354" t="s">
        <v>6705</v>
      </c>
      <c r="O354" t="s">
        <v>6694</v>
      </c>
      <c r="P354" t="s">
        <v>6694</v>
      </c>
      <c r="W354" t="s">
        <v>6720</v>
      </c>
    </row>
    <row r="355" spans="1:23" ht="15.6" x14ac:dyDescent="0.4">
      <c r="A355" s="2" t="s">
        <v>4123</v>
      </c>
      <c r="B355" s="5" t="s">
        <v>7051</v>
      </c>
      <c r="C355" s="7" t="s">
        <v>12556</v>
      </c>
      <c r="D355" s="8">
        <f t="shared" si="24"/>
        <v>0</v>
      </c>
      <c r="E355" s="7" t="s">
        <v>12557</v>
      </c>
      <c r="F355" s="7">
        <f t="shared" si="25"/>
        <v>0</v>
      </c>
      <c r="G355" s="7" t="s">
        <v>12558</v>
      </c>
      <c r="H355" s="7">
        <f t="shared" si="26"/>
        <v>0</v>
      </c>
      <c r="I355" s="7" t="str" cm="1">
        <f t="array" ref="I355">IFERROR(_xlfn.IFS(M355="נח",1,M355="נע ונח",1,M355="שני שווא נח",2,M355="שני שוואים בסוף מילה",2,M355="שני שוואים ברצף",1),"0")</f>
        <v>0</v>
      </c>
      <c r="J355" s="9">
        <f t="shared" si="27"/>
        <v>3</v>
      </c>
      <c r="K355" t="s">
        <v>6697</v>
      </c>
      <c r="L355" t="s">
        <v>6695</v>
      </c>
      <c r="O355" t="s">
        <v>6694</v>
      </c>
      <c r="S355" t="s">
        <v>6694</v>
      </c>
      <c r="W355" t="s">
        <v>6720</v>
      </c>
    </row>
    <row r="356" spans="1:23" ht="15.6" x14ac:dyDescent="0.4">
      <c r="A356" s="2" t="s">
        <v>4005</v>
      </c>
      <c r="B356" s="5" t="s">
        <v>7052</v>
      </c>
      <c r="C356" s="7" t="s">
        <v>12556</v>
      </c>
      <c r="D356" s="8">
        <f t="shared" si="24"/>
        <v>0</v>
      </c>
      <c r="E356" s="7" t="s">
        <v>12557</v>
      </c>
      <c r="F356" s="7">
        <f t="shared" si="25"/>
        <v>1</v>
      </c>
      <c r="G356" s="7" t="s">
        <v>12558</v>
      </c>
      <c r="H356" s="7">
        <f t="shared" si="26"/>
        <v>1</v>
      </c>
      <c r="I356" s="7" t="str" cm="1">
        <f t="array" ref="I356">IFERROR(_xlfn.IFS(M356="נח",1,M356="נע ונח",1,M356="שני שווא נח",2,M356="שני שוואים בסוף מילה",2,M356="שני שוואים ברצף",1),"0")</f>
        <v>0</v>
      </c>
      <c r="J356" s="9">
        <f t="shared" si="27"/>
        <v>3</v>
      </c>
      <c r="K356" t="s">
        <v>6697</v>
      </c>
      <c r="L356" t="s">
        <v>6695</v>
      </c>
      <c r="O356" t="s">
        <v>6694</v>
      </c>
      <c r="U356" t="s">
        <v>6694</v>
      </c>
      <c r="W356" t="s">
        <v>6720</v>
      </c>
    </row>
    <row r="357" spans="1:23" ht="15.6" x14ac:dyDescent="0.4">
      <c r="A357" s="2" t="s">
        <v>3527</v>
      </c>
      <c r="B357" s="5" t="s">
        <v>7053</v>
      </c>
      <c r="C357" s="7" t="s">
        <v>12556</v>
      </c>
      <c r="D357" s="8">
        <f t="shared" si="24"/>
        <v>0</v>
      </c>
      <c r="E357" s="7" t="s">
        <v>12557</v>
      </c>
      <c r="F357" s="7">
        <f t="shared" si="25"/>
        <v>1</v>
      </c>
      <c r="G357" s="7" t="s">
        <v>12558</v>
      </c>
      <c r="H357" s="7">
        <f t="shared" si="26"/>
        <v>1</v>
      </c>
      <c r="I357" s="7" t="str" cm="1">
        <f t="array" ref="I357">IFERROR(_xlfn.IFS(M357="נח",1,M357="נע ונח",1,M357="שני שווא נח",2,M357="שני שוואים בסוף מילה",2,M357="שני שוואים ברצף",1),"0")</f>
        <v>0</v>
      </c>
      <c r="J357" s="9">
        <f t="shared" si="27"/>
        <v>3</v>
      </c>
      <c r="K357" t="s">
        <v>6697</v>
      </c>
      <c r="L357" t="s">
        <v>6694</v>
      </c>
      <c r="M357" t="s">
        <v>6703</v>
      </c>
      <c r="N357" t="s">
        <v>6706</v>
      </c>
      <c r="O357" t="s">
        <v>6694</v>
      </c>
      <c r="U357" t="s">
        <v>6694</v>
      </c>
      <c r="W357" t="s">
        <v>6720</v>
      </c>
    </row>
    <row r="358" spans="1:23" ht="15.6" x14ac:dyDescent="0.4">
      <c r="A358" s="2" t="s">
        <v>2992</v>
      </c>
      <c r="B358" s="5" t="s">
        <v>7054</v>
      </c>
      <c r="C358" s="7" t="s">
        <v>12556</v>
      </c>
      <c r="D358" s="8">
        <f t="shared" si="24"/>
        <v>0</v>
      </c>
      <c r="E358" s="7" t="s">
        <v>12557</v>
      </c>
      <c r="F358" s="7">
        <f t="shared" si="25"/>
        <v>1</v>
      </c>
      <c r="G358" s="7" t="s">
        <v>12558</v>
      </c>
      <c r="H358" s="7">
        <f t="shared" si="26"/>
        <v>1</v>
      </c>
      <c r="I358" s="7" t="str" cm="1">
        <f t="array" ref="I358">IFERROR(_xlfn.IFS(M358="נח",1,M358="נע ונח",1,M358="שני שווא נח",2,M358="שני שוואים בסוף מילה",2,M358="שני שוואים ברצף",1),"0")</f>
        <v>0</v>
      </c>
      <c r="J358" s="9">
        <f t="shared" si="27"/>
        <v>2</v>
      </c>
      <c r="K358" t="s">
        <v>6698</v>
      </c>
      <c r="L358" t="s">
        <v>6695</v>
      </c>
      <c r="O358" t="s">
        <v>6694</v>
      </c>
      <c r="U358" t="s">
        <v>6694</v>
      </c>
      <c r="W358" t="s">
        <v>6720</v>
      </c>
    </row>
    <row r="359" spans="1:23" ht="15.6" x14ac:dyDescent="0.4">
      <c r="A359" s="2" t="s">
        <v>1826</v>
      </c>
      <c r="B359" s="5" t="s">
        <v>7055</v>
      </c>
      <c r="C359" s="7" t="s">
        <v>12556</v>
      </c>
      <c r="D359" s="8">
        <f t="shared" si="24"/>
        <v>0</v>
      </c>
      <c r="E359" s="7" t="s">
        <v>12557</v>
      </c>
      <c r="F359" s="7">
        <f t="shared" si="25"/>
        <v>1</v>
      </c>
      <c r="G359" s="7" t="s">
        <v>12558</v>
      </c>
      <c r="H359" s="7">
        <f t="shared" si="26"/>
        <v>1</v>
      </c>
      <c r="I359" s="7" t="str" cm="1">
        <f t="array" ref="I359">IFERROR(_xlfn.IFS(M359="נח",1,M359="נע ונח",1,M359="שני שווא נח",2,M359="שני שוואים בסוף מילה",2,M359="שני שוואים ברצף",1),"0")</f>
        <v>0</v>
      </c>
      <c r="J359" s="9">
        <f t="shared" si="27"/>
        <v>2</v>
      </c>
      <c r="K359" t="s">
        <v>6698</v>
      </c>
      <c r="L359" t="s">
        <v>6695</v>
      </c>
      <c r="O359" t="s">
        <v>6694</v>
      </c>
      <c r="U359" t="s">
        <v>6694</v>
      </c>
      <c r="W359" t="s">
        <v>6720</v>
      </c>
    </row>
    <row r="360" spans="1:23" ht="15.6" x14ac:dyDescent="0.4">
      <c r="A360" s="2" t="s">
        <v>4177</v>
      </c>
      <c r="B360" s="5" t="s">
        <v>7056</v>
      </c>
      <c r="C360" s="7" t="s">
        <v>12556</v>
      </c>
      <c r="D360" s="8">
        <f t="shared" si="24"/>
        <v>0</v>
      </c>
      <c r="E360" s="7" t="s">
        <v>12557</v>
      </c>
      <c r="F360" s="7">
        <f t="shared" si="25"/>
        <v>1</v>
      </c>
      <c r="G360" s="7" t="s">
        <v>12558</v>
      </c>
      <c r="H360" s="7">
        <f t="shared" si="26"/>
        <v>1</v>
      </c>
      <c r="I360" s="7" cm="1">
        <f t="array" ref="I360">IFERROR(_xlfn.IFS(M360="נח",1,M360="נע ונח",1,M360="שני שווא נח",2,M360="שני שוואים בסוף מילה",2,M360="שני שוואים ברצף",1),"0")</f>
        <v>1</v>
      </c>
      <c r="J360" s="9">
        <f t="shared" si="27"/>
        <v>2</v>
      </c>
      <c r="K360" t="s">
        <v>6697</v>
      </c>
      <c r="L360" t="s">
        <v>6694</v>
      </c>
      <c r="M360" t="s">
        <v>6705</v>
      </c>
      <c r="N360" t="s">
        <v>6706</v>
      </c>
      <c r="O360" t="s">
        <v>6694</v>
      </c>
      <c r="U360" t="s">
        <v>6694</v>
      </c>
      <c r="W360" t="s">
        <v>6720</v>
      </c>
    </row>
    <row r="361" spans="1:23" ht="15.6" x14ac:dyDescent="0.4">
      <c r="A361" s="2" t="s">
        <v>5027</v>
      </c>
      <c r="B361" s="5" t="s">
        <v>7057</v>
      </c>
      <c r="C361" s="7" t="s">
        <v>12556</v>
      </c>
      <c r="D361" s="8">
        <f t="shared" si="24"/>
        <v>0</v>
      </c>
      <c r="E361" s="7" t="s">
        <v>12557</v>
      </c>
      <c r="F361" s="7">
        <f t="shared" si="25"/>
        <v>0</v>
      </c>
      <c r="G361" s="7" t="s">
        <v>12558</v>
      </c>
      <c r="H361" s="7">
        <f t="shared" si="26"/>
        <v>0</v>
      </c>
      <c r="I361" s="7" cm="1">
        <f t="array" ref="I361">IFERROR(_xlfn.IFS(M361="נח",1,M361="נע ונח",1,M361="שני שווא נח",2,M361="שני שוואים בסוף מילה",2,M361="שני שוואים ברצף",1),"0")</f>
        <v>1</v>
      </c>
      <c r="J361" s="9">
        <f t="shared" si="27"/>
        <v>2</v>
      </c>
      <c r="K361" t="s">
        <v>6697</v>
      </c>
      <c r="L361" t="s">
        <v>6694</v>
      </c>
      <c r="M361" t="s">
        <v>6705</v>
      </c>
      <c r="N361" t="s">
        <v>6706</v>
      </c>
      <c r="O361" t="s">
        <v>6694</v>
      </c>
      <c r="S361" t="s">
        <v>6694</v>
      </c>
      <c r="W361" t="s">
        <v>6720</v>
      </c>
    </row>
    <row r="362" spans="1:23" ht="15.6" x14ac:dyDescent="0.4">
      <c r="A362" s="2" t="s">
        <v>6383</v>
      </c>
      <c r="B362" s="5" t="s">
        <v>7058</v>
      </c>
      <c r="C362" s="7" t="s">
        <v>12556</v>
      </c>
      <c r="D362" s="8">
        <f t="shared" si="24"/>
        <v>0</v>
      </c>
      <c r="E362" s="7" t="s">
        <v>12557</v>
      </c>
      <c r="F362" s="7">
        <f t="shared" si="25"/>
        <v>0</v>
      </c>
      <c r="G362" s="7" t="s">
        <v>12558</v>
      </c>
      <c r="H362" s="7">
        <f t="shared" si="26"/>
        <v>0</v>
      </c>
      <c r="I362" s="7" cm="1">
        <f t="array" ref="I362">IFERROR(_xlfn.IFS(M362="נח",1,M362="נע ונח",1,M362="שני שווא נח",2,M362="שני שוואים בסוף מילה",2,M362="שני שוואים ברצף",1),"0")</f>
        <v>1</v>
      </c>
      <c r="J362" s="9">
        <f t="shared" si="27"/>
        <v>3</v>
      </c>
      <c r="K362" t="s">
        <v>6697</v>
      </c>
      <c r="L362" t="s">
        <v>6694</v>
      </c>
      <c r="M362" t="s">
        <v>6705</v>
      </c>
      <c r="N362" t="s">
        <v>6706</v>
      </c>
      <c r="O362" t="s">
        <v>6694</v>
      </c>
      <c r="R362" t="s">
        <v>6694</v>
      </c>
      <c r="W362" t="s">
        <v>6720</v>
      </c>
    </row>
    <row r="363" spans="1:23" ht="15.6" x14ac:dyDescent="0.4">
      <c r="A363" s="2" t="s">
        <v>231</v>
      </c>
      <c r="B363" s="5" t="s">
        <v>7059</v>
      </c>
      <c r="C363" s="7" t="s">
        <v>12556</v>
      </c>
      <c r="D363" s="8">
        <f t="shared" si="24"/>
        <v>0</v>
      </c>
      <c r="E363" s="7" t="s">
        <v>12557</v>
      </c>
      <c r="F363" s="7">
        <f t="shared" si="25"/>
        <v>0</v>
      </c>
      <c r="G363" s="7" t="s">
        <v>12558</v>
      </c>
      <c r="H363" s="7">
        <f t="shared" si="26"/>
        <v>0</v>
      </c>
      <c r="I363" s="7" cm="1">
        <f t="array" ref="I363">IFERROR(_xlfn.IFS(M363="נח",1,M363="נע ונח",1,M363="שני שווא נח",2,M363="שני שוואים בסוף מילה",2,M363="שני שוואים ברצף",1),"0")</f>
        <v>1</v>
      </c>
      <c r="J363" s="9">
        <f t="shared" si="27"/>
        <v>2</v>
      </c>
      <c r="K363" t="s">
        <v>6697</v>
      </c>
      <c r="L363" t="s">
        <v>6694</v>
      </c>
      <c r="M363" t="s">
        <v>6705</v>
      </c>
      <c r="N363" t="s">
        <v>6706</v>
      </c>
      <c r="O363" t="s">
        <v>6694</v>
      </c>
      <c r="V363" t="s">
        <v>6694</v>
      </c>
      <c r="W363" t="s">
        <v>6720</v>
      </c>
    </row>
    <row r="364" spans="1:23" ht="15.6" x14ac:dyDescent="0.4">
      <c r="A364" s="2" t="s">
        <v>903</v>
      </c>
      <c r="B364" s="5" t="s">
        <v>7060</v>
      </c>
      <c r="C364" s="7" t="s">
        <v>12556</v>
      </c>
      <c r="D364" s="8">
        <f t="shared" si="24"/>
        <v>0</v>
      </c>
      <c r="E364" s="7" t="s">
        <v>12557</v>
      </c>
      <c r="F364" s="7">
        <f t="shared" si="25"/>
        <v>0</v>
      </c>
      <c r="G364" s="7" t="s">
        <v>12558</v>
      </c>
      <c r="H364" s="7">
        <f t="shared" si="26"/>
        <v>0</v>
      </c>
      <c r="I364" s="7" cm="1">
        <f t="array" ref="I364">IFERROR(_xlfn.IFS(M364="נח",1,M364="נע ונח",1,M364="שני שווא נח",2,M364="שני שוואים בסוף מילה",2,M364="שני שוואים ברצף",1),"0")</f>
        <v>1</v>
      </c>
      <c r="J364" s="9">
        <f t="shared" si="27"/>
        <v>2</v>
      </c>
      <c r="K364" t="s">
        <v>6698</v>
      </c>
      <c r="L364" t="s">
        <v>6694</v>
      </c>
      <c r="M364" t="s">
        <v>6705</v>
      </c>
      <c r="N364" t="s">
        <v>6706</v>
      </c>
      <c r="O364" t="s">
        <v>6694</v>
      </c>
      <c r="V364" t="s">
        <v>6694</v>
      </c>
      <c r="W364" t="s">
        <v>6720</v>
      </c>
    </row>
    <row r="365" spans="1:23" ht="15.6" x14ac:dyDescent="0.4">
      <c r="A365" s="2" t="s">
        <v>3993</v>
      </c>
      <c r="B365" s="5" t="s">
        <v>7061</v>
      </c>
      <c r="C365" s="7" t="s">
        <v>12556</v>
      </c>
      <c r="D365" s="8">
        <f t="shared" si="24"/>
        <v>0</v>
      </c>
      <c r="E365" s="7" t="s">
        <v>12557</v>
      </c>
      <c r="F365" s="7">
        <f t="shared" si="25"/>
        <v>0</v>
      </c>
      <c r="G365" s="7" t="s">
        <v>12558</v>
      </c>
      <c r="H365" s="7">
        <f t="shared" si="26"/>
        <v>0</v>
      </c>
      <c r="I365" s="7" t="str" cm="1">
        <f t="array" ref="I365">IFERROR(_xlfn.IFS(M365="נח",1,M365="נע ונח",1,M365="שני שווא נח",2,M365="שני שוואים בסוף מילה",2,M365="שני שוואים ברצף",1),"0")</f>
        <v>0</v>
      </c>
      <c r="J365" s="9">
        <f t="shared" si="27"/>
        <v>2</v>
      </c>
      <c r="K365" t="s">
        <v>6698</v>
      </c>
      <c r="L365" t="s">
        <v>6695</v>
      </c>
      <c r="O365" t="s">
        <v>6694</v>
      </c>
      <c r="S365" t="s">
        <v>6694</v>
      </c>
      <c r="W365" t="s">
        <v>6720</v>
      </c>
    </row>
    <row r="366" spans="1:23" ht="15.6" x14ac:dyDescent="0.4">
      <c r="A366" s="2" t="s">
        <v>582</v>
      </c>
      <c r="B366" s="5" t="s">
        <v>6921</v>
      </c>
      <c r="C366" s="7" t="s">
        <v>12556</v>
      </c>
      <c r="D366" s="8">
        <f t="shared" si="24"/>
        <v>0</v>
      </c>
      <c r="E366" s="7" t="s">
        <v>12557</v>
      </c>
      <c r="F366" s="7">
        <f t="shared" si="25"/>
        <v>0</v>
      </c>
      <c r="G366" s="7" t="s">
        <v>12558</v>
      </c>
      <c r="H366" s="7">
        <f t="shared" si="26"/>
        <v>0</v>
      </c>
      <c r="I366" s="7" t="str" cm="1">
        <f t="array" ref="I366">IFERROR(_xlfn.IFS(M366="נח",1,M366="נע ונח",1,M366="שני שווא נח",2,M366="שני שוואים בסוף מילה",2,M366="שני שוואים ברצף",1),"0")</f>
        <v>0</v>
      </c>
      <c r="J366" s="9">
        <f t="shared" si="27"/>
        <v>2</v>
      </c>
      <c r="K366" t="s">
        <v>6698</v>
      </c>
      <c r="L366" t="s">
        <v>6695</v>
      </c>
      <c r="O366" t="s">
        <v>6694</v>
      </c>
      <c r="R366" t="s">
        <v>6694</v>
      </c>
      <c r="W366" t="s">
        <v>6720</v>
      </c>
    </row>
    <row r="367" spans="1:23" ht="15.6" x14ac:dyDescent="0.4">
      <c r="A367" s="2" t="s">
        <v>2032</v>
      </c>
      <c r="B367" s="5" t="s">
        <v>6921</v>
      </c>
      <c r="C367" s="7" t="s">
        <v>12556</v>
      </c>
      <c r="D367" s="8">
        <f t="shared" si="24"/>
        <v>0</v>
      </c>
      <c r="E367" s="7" t="s">
        <v>12557</v>
      </c>
      <c r="F367" s="7">
        <f t="shared" si="25"/>
        <v>0</v>
      </c>
      <c r="G367" s="7" t="s">
        <v>12558</v>
      </c>
      <c r="H367" s="7">
        <f t="shared" si="26"/>
        <v>0</v>
      </c>
      <c r="I367" s="7" t="str" cm="1">
        <f t="array" ref="I367">IFERROR(_xlfn.IFS(M367="נח",1,M367="נע ונח",1,M367="שני שווא נח",2,M367="שני שוואים בסוף מילה",2,M367="שני שוואים ברצף",1),"0")</f>
        <v>0</v>
      </c>
      <c r="J367" s="9">
        <f t="shared" si="27"/>
        <v>2</v>
      </c>
      <c r="K367" t="s">
        <v>6698</v>
      </c>
      <c r="L367" t="s">
        <v>6695</v>
      </c>
      <c r="O367" t="s">
        <v>6694</v>
      </c>
      <c r="T367" t="s">
        <v>6694</v>
      </c>
      <c r="W367" t="s">
        <v>6720</v>
      </c>
    </row>
    <row r="368" spans="1:23" ht="15.6" x14ac:dyDescent="0.4">
      <c r="A368" s="2" t="s">
        <v>3796</v>
      </c>
      <c r="B368" s="5" t="s">
        <v>7062</v>
      </c>
      <c r="C368" s="7" t="s">
        <v>12556</v>
      </c>
      <c r="D368" s="8">
        <f t="shared" si="24"/>
        <v>0</v>
      </c>
      <c r="E368" s="7" t="s">
        <v>12557</v>
      </c>
      <c r="F368" s="7">
        <f t="shared" si="25"/>
        <v>1</v>
      </c>
      <c r="G368" s="7" t="s">
        <v>12558</v>
      </c>
      <c r="H368" s="7">
        <f t="shared" si="26"/>
        <v>1</v>
      </c>
      <c r="I368" s="7" t="str" cm="1">
        <f t="array" ref="I368">IFERROR(_xlfn.IFS(M368="נח",1,M368="נע ונח",1,M368="שני שווא נח",2,M368="שני שוואים בסוף מילה",2,M368="שני שוואים ברצף",1),"0")</f>
        <v>0</v>
      </c>
      <c r="J368" s="9">
        <f t="shared" si="27"/>
        <v>2</v>
      </c>
      <c r="K368" t="s">
        <v>6698</v>
      </c>
      <c r="L368" t="s">
        <v>6695</v>
      </c>
      <c r="O368" t="s">
        <v>6694</v>
      </c>
      <c r="U368" t="s">
        <v>6694</v>
      </c>
      <c r="W368" t="s">
        <v>6720</v>
      </c>
    </row>
    <row r="369" spans="1:23" ht="15.6" x14ac:dyDescent="0.4">
      <c r="A369" s="2" t="s">
        <v>306</v>
      </c>
      <c r="B369" s="5" t="s">
        <v>7063</v>
      </c>
      <c r="C369" s="7" t="s">
        <v>12556</v>
      </c>
      <c r="D369" s="8">
        <f t="shared" si="24"/>
        <v>0</v>
      </c>
      <c r="E369" s="7" t="s">
        <v>12557</v>
      </c>
      <c r="F369" s="7">
        <f t="shared" si="25"/>
        <v>1</v>
      </c>
      <c r="G369" s="7" t="s">
        <v>12558</v>
      </c>
      <c r="H369" s="7">
        <f t="shared" si="26"/>
        <v>1</v>
      </c>
      <c r="I369" s="7" t="str" cm="1">
        <f t="array" ref="I369">IFERROR(_xlfn.IFS(M369="נח",1,M369="נע ונח",1,M369="שני שווא נח",2,M369="שני שוואים בסוף מילה",2,M369="שני שוואים ברצף",1),"0")</f>
        <v>0</v>
      </c>
      <c r="J369" s="9">
        <f t="shared" si="27"/>
        <v>2</v>
      </c>
      <c r="K369" t="s">
        <v>6698</v>
      </c>
      <c r="L369" t="s">
        <v>6695</v>
      </c>
      <c r="O369" t="s">
        <v>6694</v>
      </c>
      <c r="U369" t="s">
        <v>6694</v>
      </c>
      <c r="W369" t="s">
        <v>6720</v>
      </c>
    </row>
    <row r="370" spans="1:23" ht="15.6" x14ac:dyDescent="0.4">
      <c r="A370" s="2" t="s">
        <v>363</v>
      </c>
      <c r="B370" s="5" t="s">
        <v>7064</v>
      </c>
      <c r="C370" s="7" t="s">
        <v>12556</v>
      </c>
      <c r="D370" s="8">
        <f t="shared" si="24"/>
        <v>1</v>
      </c>
      <c r="E370" s="7" t="s">
        <v>12557</v>
      </c>
      <c r="F370" s="7">
        <f t="shared" si="25"/>
        <v>0</v>
      </c>
      <c r="G370" s="7" t="s">
        <v>12558</v>
      </c>
      <c r="H370" s="7">
        <f t="shared" si="26"/>
        <v>0</v>
      </c>
      <c r="I370" s="7" t="str" cm="1">
        <f t="array" ref="I370">IFERROR(_xlfn.IFS(M370="נח",1,M370="נע ונח",1,M370="שני שווא נח",2,M370="שני שוואים בסוף מילה",2,M370="שני שוואים ברצף",1),"0")</f>
        <v>0</v>
      </c>
      <c r="J370" s="9">
        <f t="shared" si="27"/>
        <v>2</v>
      </c>
      <c r="K370" t="s">
        <v>6698</v>
      </c>
      <c r="L370" t="s">
        <v>6695</v>
      </c>
      <c r="O370" t="s">
        <v>6694</v>
      </c>
      <c r="S370" t="s">
        <v>6694</v>
      </c>
      <c r="W370" t="s">
        <v>6720</v>
      </c>
    </row>
    <row r="371" spans="1:23" ht="15.6" x14ac:dyDescent="0.4">
      <c r="A371" s="2" t="s">
        <v>4217</v>
      </c>
      <c r="B371" s="5" t="s">
        <v>7065</v>
      </c>
      <c r="C371" s="7" t="s">
        <v>12556</v>
      </c>
      <c r="D371" s="8">
        <f t="shared" si="24"/>
        <v>1</v>
      </c>
      <c r="E371" s="7" t="s">
        <v>12557</v>
      </c>
      <c r="F371" s="7">
        <f t="shared" si="25"/>
        <v>0</v>
      </c>
      <c r="G371" s="7" t="s">
        <v>12558</v>
      </c>
      <c r="H371" s="7">
        <f t="shared" si="26"/>
        <v>0</v>
      </c>
      <c r="I371" s="7" t="str" cm="1">
        <f t="array" ref="I371">IFERROR(_xlfn.IFS(M371="נח",1,M371="נע ונח",1,M371="שני שווא נח",2,M371="שני שוואים בסוף מילה",2,M371="שני שוואים ברצף",1),"0")</f>
        <v>0</v>
      </c>
      <c r="J371" s="9">
        <f t="shared" si="27"/>
        <v>2</v>
      </c>
      <c r="K371" t="s">
        <v>6698</v>
      </c>
      <c r="L371" t="s">
        <v>6695</v>
      </c>
      <c r="O371" t="s">
        <v>6694</v>
      </c>
      <c r="S371" t="s">
        <v>6694</v>
      </c>
      <c r="W371" t="s">
        <v>6720</v>
      </c>
    </row>
    <row r="372" spans="1:23" ht="15.6" x14ac:dyDescent="0.4">
      <c r="A372" s="2" t="s">
        <v>2637</v>
      </c>
      <c r="B372" s="5" t="s">
        <v>7066</v>
      </c>
      <c r="C372" s="7" t="s">
        <v>12556</v>
      </c>
      <c r="D372" s="8">
        <f t="shared" si="24"/>
        <v>1</v>
      </c>
      <c r="E372" s="7" t="s">
        <v>12557</v>
      </c>
      <c r="F372" s="7">
        <f t="shared" si="25"/>
        <v>0</v>
      </c>
      <c r="G372" s="7" t="s">
        <v>12558</v>
      </c>
      <c r="H372" s="7">
        <f t="shared" si="26"/>
        <v>0</v>
      </c>
      <c r="I372" s="7" t="str" cm="1">
        <f t="array" ref="I372">IFERROR(_xlfn.IFS(M372="נח",1,M372="נע ונח",1,M372="שני שווא נח",2,M372="שני שוואים בסוף מילה",2,M372="שני שוואים ברצף",1),"0")</f>
        <v>0</v>
      </c>
      <c r="J372" s="9">
        <f t="shared" si="27"/>
        <v>3</v>
      </c>
      <c r="K372" t="s">
        <v>6697</v>
      </c>
      <c r="L372" t="s">
        <v>6695</v>
      </c>
      <c r="O372" t="s">
        <v>6694</v>
      </c>
      <c r="S372" t="s">
        <v>6694</v>
      </c>
      <c r="W372" t="s">
        <v>6720</v>
      </c>
    </row>
    <row r="373" spans="1:23" ht="15.6" x14ac:dyDescent="0.4">
      <c r="A373" s="2" t="s">
        <v>1827</v>
      </c>
      <c r="B373" s="5" t="s">
        <v>7067</v>
      </c>
      <c r="C373" s="7" t="s">
        <v>12556</v>
      </c>
      <c r="D373" s="8">
        <f t="shared" si="24"/>
        <v>1</v>
      </c>
      <c r="E373" s="7" t="s">
        <v>12557</v>
      </c>
      <c r="F373" s="7">
        <f t="shared" si="25"/>
        <v>0</v>
      </c>
      <c r="G373" s="7" t="s">
        <v>12558</v>
      </c>
      <c r="H373" s="7">
        <f t="shared" si="26"/>
        <v>0</v>
      </c>
      <c r="I373" s="7" t="str" cm="1">
        <f t="array" ref="I373">IFERROR(_xlfn.IFS(M373="נח",1,M373="נע ונח",1,M373="שני שווא נח",2,M373="שני שוואים בסוף מילה",2,M373="שני שוואים ברצף",1),"0")</f>
        <v>0</v>
      </c>
      <c r="J373" s="9">
        <f t="shared" si="27"/>
        <v>2</v>
      </c>
      <c r="K373" t="s">
        <v>6698</v>
      </c>
      <c r="L373" t="s">
        <v>6695</v>
      </c>
      <c r="O373" t="s">
        <v>6694</v>
      </c>
      <c r="S373" t="s">
        <v>6694</v>
      </c>
      <c r="W373" t="s">
        <v>6720</v>
      </c>
    </row>
    <row r="374" spans="1:23" ht="15.6" x14ac:dyDescent="0.4">
      <c r="A374" s="2" t="s">
        <v>250</v>
      </c>
      <c r="B374" s="5" t="s">
        <v>7068</v>
      </c>
      <c r="C374" s="7" t="s">
        <v>12556</v>
      </c>
      <c r="D374" s="8">
        <f t="shared" si="24"/>
        <v>1</v>
      </c>
      <c r="E374" s="7" t="s">
        <v>12557</v>
      </c>
      <c r="F374" s="7">
        <f t="shared" si="25"/>
        <v>0</v>
      </c>
      <c r="G374" s="7" t="s">
        <v>12558</v>
      </c>
      <c r="H374" s="7">
        <f t="shared" si="26"/>
        <v>0</v>
      </c>
      <c r="I374" s="7" t="str" cm="1">
        <f t="array" ref="I374">IFERROR(_xlfn.IFS(M374="נח",1,M374="נע ונח",1,M374="שני שווא נח",2,M374="שני שוואים בסוף מילה",2,M374="שני שוואים ברצף",1),"0")</f>
        <v>0</v>
      </c>
      <c r="J374" s="9">
        <f t="shared" si="27"/>
        <v>3</v>
      </c>
      <c r="K374" t="s">
        <v>6697</v>
      </c>
      <c r="L374" t="s">
        <v>6695</v>
      </c>
      <c r="O374" t="s">
        <v>6694</v>
      </c>
      <c r="S374" t="s">
        <v>6694</v>
      </c>
      <c r="W374" t="s">
        <v>6720</v>
      </c>
    </row>
    <row r="375" spans="1:23" ht="15.6" x14ac:dyDescent="0.4">
      <c r="A375" s="2" t="s">
        <v>389</v>
      </c>
      <c r="B375" s="5" t="s">
        <v>7008</v>
      </c>
      <c r="C375" s="7" t="s">
        <v>12556</v>
      </c>
      <c r="D375" s="8">
        <f t="shared" si="24"/>
        <v>0</v>
      </c>
      <c r="E375" s="7" t="s">
        <v>12557</v>
      </c>
      <c r="F375" s="7">
        <f t="shared" si="25"/>
        <v>1</v>
      </c>
      <c r="G375" s="7" t="s">
        <v>12558</v>
      </c>
      <c r="H375" s="7">
        <f t="shared" si="26"/>
        <v>0</v>
      </c>
      <c r="I375" s="7" t="str" cm="1">
        <f t="array" ref="I375">IFERROR(_xlfn.IFS(M375="נח",1,M375="נע ונח",1,M375="שני שווא נח",2,M375="שני שוואים בסוף מילה",2,M375="שני שוואים ברצף",1),"0")</f>
        <v>0</v>
      </c>
      <c r="J375" s="9">
        <f t="shared" si="27"/>
        <v>2</v>
      </c>
      <c r="K375" t="s">
        <v>6697</v>
      </c>
      <c r="L375" t="s">
        <v>6695</v>
      </c>
      <c r="O375" t="s">
        <v>6694</v>
      </c>
      <c r="W375" t="s">
        <v>6720</v>
      </c>
    </row>
    <row r="376" spans="1:23" ht="15.6" x14ac:dyDescent="0.4">
      <c r="A376" s="2" t="s">
        <v>6351</v>
      </c>
      <c r="B376" s="5" t="s">
        <v>7013</v>
      </c>
      <c r="C376" s="7" t="s">
        <v>12556</v>
      </c>
      <c r="D376" s="8">
        <f t="shared" si="24"/>
        <v>0</v>
      </c>
      <c r="E376" s="7" t="s">
        <v>12557</v>
      </c>
      <c r="F376" s="7">
        <f t="shared" si="25"/>
        <v>0</v>
      </c>
      <c r="G376" s="7" t="s">
        <v>12558</v>
      </c>
      <c r="H376" s="7">
        <f t="shared" si="26"/>
        <v>0</v>
      </c>
      <c r="I376" s="7" t="str" cm="1">
        <f t="array" ref="I376">IFERROR(_xlfn.IFS(M376="נח",1,M376="נע ונח",1,M376="שני שווא נח",2,M376="שני שוואים בסוף מילה",2,M376="שני שוואים ברצף",1),"0")</f>
        <v>0</v>
      </c>
      <c r="J376" s="9">
        <f t="shared" si="27"/>
        <v>2</v>
      </c>
      <c r="K376" t="s">
        <v>6698</v>
      </c>
      <c r="L376" t="s">
        <v>6695</v>
      </c>
      <c r="Q376" t="s">
        <v>6694</v>
      </c>
      <c r="V376" t="s">
        <v>6694</v>
      </c>
      <c r="W376" t="s">
        <v>6720</v>
      </c>
    </row>
    <row r="377" spans="1:23" ht="15.6" x14ac:dyDescent="0.4">
      <c r="A377" s="2" t="s">
        <v>878</v>
      </c>
      <c r="B377" s="5" t="s">
        <v>7069</v>
      </c>
      <c r="C377" s="7" t="s">
        <v>12556</v>
      </c>
      <c r="D377" s="8">
        <f t="shared" si="24"/>
        <v>0</v>
      </c>
      <c r="E377" s="7" t="s">
        <v>12557</v>
      </c>
      <c r="F377" s="7">
        <f t="shared" si="25"/>
        <v>0</v>
      </c>
      <c r="G377" s="7" t="s">
        <v>12558</v>
      </c>
      <c r="H377" s="7">
        <f t="shared" si="26"/>
        <v>0</v>
      </c>
      <c r="I377" s="7" t="str" cm="1">
        <f t="array" ref="I377">IFERROR(_xlfn.IFS(M377="נח",1,M377="נע ונח",1,M377="שני שווא נח",2,M377="שני שוואים בסוף מילה",2,M377="שני שוואים ברצף",1),"0")</f>
        <v>0</v>
      </c>
      <c r="J377" s="9">
        <f t="shared" si="27"/>
        <v>3</v>
      </c>
      <c r="K377" t="s">
        <v>6698</v>
      </c>
      <c r="L377" t="s">
        <v>6695</v>
      </c>
      <c r="P377" t="s">
        <v>6694</v>
      </c>
      <c r="Q377" t="s">
        <v>6694</v>
      </c>
      <c r="V377" t="s">
        <v>6694</v>
      </c>
      <c r="W377" t="s">
        <v>6720</v>
      </c>
    </row>
    <row r="378" spans="1:23" ht="15.6" x14ac:dyDescent="0.4">
      <c r="A378" s="2" t="s">
        <v>392</v>
      </c>
      <c r="B378" s="5" t="s">
        <v>7069</v>
      </c>
      <c r="C378" s="7" t="s">
        <v>12556</v>
      </c>
      <c r="D378" s="8">
        <f t="shared" si="24"/>
        <v>0</v>
      </c>
      <c r="E378" s="7" t="s">
        <v>12557</v>
      </c>
      <c r="F378" s="7">
        <f t="shared" si="25"/>
        <v>0</v>
      </c>
      <c r="G378" s="7" t="s">
        <v>12558</v>
      </c>
      <c r="H378" s="7">
        <f t="shared" si="26"/>
        <v>0</v>
      </c>
      <c r="I378" s="7" t="str" cm="1">
        <f t="array" ref="I378">IFERROR(_xlfn.IFS(M378="נח",1,M378="נע ונח",1,M378="שני שווא נח",2,M378="שני שוואים בסוף מילה",2,M378="שני שוואים ברצף",1),"0")</f>
        <v>0</v>
      </c>
      <c r="J378" s="9">
        <f t="shared" si="27"/>
        <v>3</v>
      </c>
      <c r="K378" t="s">
        <v>6698</v>
      </c>
      <c r="L378" t="s">
        <v>6695</v>
      </c>
      <c r="P378" t="s">
        <v>6694</v>
      </c>
      <c r="V378" t="s">
        <v>6694</v>
      </c>
      <c r="W378" t="s">
        <v>6720</v>
      </c>
    </row>
    <row r="379" spans="1:23" ht="15.6" x14ac:dyDescent="0.4">
      <c r="A379" s="2" t="s">
        <v>399</v>
      </c>
      <c r="B379" s="5" t="s">
        <v>7021</v>
      </c>
      <c r="C379" s="7" t="s">
        <v>12556</v>
      </c>
      <c r="D379" s="8">
        <f t="shared" si="24"/>
        <v>0</v>
      </c>
      <c r="E379" s="7" t="s">
        <v>12557</v>
      </c>
      <c r="F379" s="7">
        <f t="shared" si="25"/>
        <v>0</v>
      </c>
      <c r="G379" s="7" t="s">
        <v>12558</v>
      </c>
      <c r="H379" s="7">
        <f t="shared" si="26"/>
        <v>0</v>
      </c>
      <c r="I379" s="7" t="str" cm="1">
        <f t="array" ref="I379">IFERROR(_xlfn.IFS(M379="נח",1,M379="נע ונח",1,M379="שני שווא נח",2,M379="שני שוואים בסוף מילה",2,M379="שני שוואים ברצף",1),"0")</f>
        <v>0</v>
      </c>
      <c r="J379" s="9">
        <f t="shared" si="27"/>
        <v>2</v>
      </c>
      <c r="K379" t="s">
        <v>6698</v>
      </c>
      <c r="L379" t="s">
        <v>6695</v>
      </c>
      <c r="Q379" t="s">
        <v>6694</v>
      </c>
      <c r="V379" t="s">
        <v>6694</v>
      </c>
      <c r="W379" t="s">
        <v>6720</v>
      </c>
    </row>
    <row r="380" spans="1:23" ht="15.6" x14ac:dyDescent="0.4">
      <c r="A380" s="2" t="s">
        <v>3265</v>
      </c>
      <c r="B380" s="5" t="s">
        <v>7070</v>
      </c>
      <c r="C380" s="7" t="s">
        <v>12556</v>
      </c>
      <c r="D380" s="8">
        <f t="shared" si="24"/>
        <v>0</v>
      </c>
      <c r="E380" s="7" t="s">
        <v>12557</v>
      </c>
      <c r="F380" s="7">
        <f t="shared" si="25"/>
        <v>0</v>
      </c>
      <c r="G380" s="7" t="s">
        <v>12558</v>
      </c>
      <c r="H380" s="7">
        <f t="shared" si="26"/>
        <v>0</v>
      </c>
      <c r="I380" s="7" t="str" cm="1">
        <f t="array" ref="I380">IFERROR(_xlfn.IFS(M380="נח",1,M380="נע ונח",1,M380="שני שווא נח",2,M380="שני שוואים בסוף מילה",2,M380="שני שוואים ברצף",1),"0")</f>
        <v>0</v>
      </c>
      <c r="J380" s="9">
        <f t="shared" si="27"/>
        <v>2</v>
      </c>
      <c r="K380" t="s">
        <v>6698</v>
      </c>
      <c r="L380" t="s">
        <v>6695</v>
      </c>
      <c r="R380" t="s">
        <v>6694</v>
      </c>
      <c r="V380" t="s">
        <v>6694</v>
      </c>
      <c r="W380" t="s">
        <v>6720</v>
      </c>
    </row>
    <row r="381" spans="1:23" ht="15.6" x14ac:dyDescent="0.4">
      <c r="A381" s="2" t="s">
        <v>88</v>
      </c>
      <c r="B381" s="5" t="s">
        <v>7071</v>
      </c>
      <c r="C381" s="7" t="s">
        <v>12556</v>
      </c>
      <c r="D381" s="8">
        <f t="shared" si="24"/>
        <v>0</v>
      </c>
      <c r="E381" s="7" t="s">
        <v>12557</v>
      </c>
      <c r="F381" s="7">
        <f t="shared" si="25"/>
        <v>0</v>
      </c>
      <c r="G381" s="7" t="s">
        <v>12558</v>
      </c>
      <c r="H381" s="7">
        <f t="shared" si="26"/>
        <v>0</v>
      </c>
      <c r="I381" s="7" t="str" cm="1">
        <f t="array" ref="I381">IFERROR(_xlfn.IFS(M381="נח",1,M381="נע ונח",1,M381="שני שווא נח",2,M381="שני שוואים בסוף מילה",2,M381="שני שוואים ברצף",1),"0")</f>
        <v>0</v>
      </c>
      <c r="J381" s="9">
        <f t="shared" si="27"/>
        <v>2</v>
      </c>
      <c r="K381" t="s">
        <v>6698</v>
      </c>
      <c r="L381" t="s">
        <v>6695</v>
      </c>
      <c r="R381" t="s">
        <v>6694</v>
      </c>
      <c r="V381" t="s">
        <v>6694</v>
      </c>
      <c r="W381" t="s">
        <v>6720</v>
      </c>
    </row>
    <row r="382" spans="1:23" ht="15.6" x14ac:dyDescent="0.4">
      <c r="A382" s="2" t="s">
        <v>816</v>
      </c>
      <c r="B382" s="5" t="s">
        <v>7072</v>
      </c>
      <c r="C382" s="7" t="s">
        <v>12556</v>
      </c>
      <c r="D382" s="8">
        <f t="shared" si="24"/>
        <v>0</v>
      </c>
      <c r="E382" s="7" t="s">
        <v>12557</v>
      </c>
      <c r="F382" s="7">
        <f t="shared" si="25"/>
        <v>0</v>
      </c>
      <c r="G382" s="7" t="s">
        <v>12558</v>
      </c>
      <c r="H382" s="7">
        <f t="shared" si="26"/>
        <v>0</v>
      </c>
      <c r="I382" s="7" cm="1">
        <f t="array" ref="I382">IFERROR(_xlfn.IFS(M382="נח",1,M382="נע ונח",1,M382="שני שווא נח",2,M382="שני שוואים בסוף מילה",2,M382="שני שוואים ברצף",1),"0")</f>
        <v>1</v>
      </c>
      <c r="J382" s="9">
        <f t="shared" si="27"/>
        <v>2</v>
      </c>
      <c r="K382" t="s">
        <v>6697</v>
      </c>
      <c r="L382" t="s">
        <v>6694</v>
      </c>
      <c r="M382" t="s">
        <v>6705</v>
      </c>
      <c r="S382" t="s">
        <v>6694</v>
      </c>
      <c r="V382" t="s">
        <v>6694</v>
      </c>
      <c r="W382" t="s">
        <v>6720</v>
      </c>
    </row>
    <row r="383" spans="1:23" ht="15.6" x14ac:dyDescent="0.4">
      <c r="A383" s="2" t="s">
        <v>2869</v>
      </c>
      <c r="B383" s="5" t="s">
        <v>7073</v>
      </c>
      <c r="C383" s="7" t="s">
        <v>12556</v>
      </c>
      <c r="D383" s="8">
        <f t="shared" si="24"/>
        <v>0</v>
      </c>
      <c r="E383" s="7" t="s">
        <v>12557</v>
      </c>
      <c r="F383" s="7">
        <f t="shared" si="25"/>
        <v>0</v>
      </c>
      <c r="G383" s="7" t="s">
        <v>12558</v>
      </c>
      <c r="H383" s="7">
        <f t="shared" si="26"/>
        <v>0</v>
      </c>
      <c r="I383" s="7" cm="1">
        <f t="array" ref="I383">IFERROR(_xlfn.IFS(M383="נח",1,M383="נע ונח",1,M383="שני שווא נח",2,M383="שני שוואים בסוף מילה",2,M383="שני שוואים ברצף",1),"0")</f>
        <v>1</v>
      </c>
      <c r="J383" s="9">
        <f t="shared" si="27"/>
        <v>3</v>
      </c>
      <c r="K383" t="s">
        <v>6697</v>
      </c>
      <c r="L383" t="s">
        <v>6694</v>
      </c>
      <c r="M383" t="s">
        <v>6705</v>
      </c>
      <c r="O383" t="s">
        <v>6694</v>
      </c>
      <c r="R383" t="s">
        <v>6694</v>
      </c>
      <c r="V383" t="s">
        <v>6694</v>
      </c>
      <c r="W383" t="s">
        <v>6720</v>
      </c>
    </row>
    <row r="384" spans="1:23" ht="15.6" x14ac:dyDescent="0.4">
      <c r="A384" s="2" t="s">
        <v>2090</v>
      </c>
      <c r="B384" s="5" t="s">
        <v>7072</v>
      </c>
      <c r="C384" s="7" t="s">
        <v>12556</v>
      </c>
      <c r="D384" s="8">
        <f t="shared" si="24"/>
        <v>0</v>
      </c>
      <c r="E384" s="7" t="s">
        <v>12557</v>
      </c>
      <c r="F384" s="7">
        <f t="shared" si="25"/>
        <v>0</v>
      </c>
      <c r="G384" s="7" t="s">
        <v>12558</v>
      </c>
      <c r="H384" s="7">
        <f t="shared" si="26"/>
        <v>0</v>
      </c>
      <c r="I384" s="7" cm="1">
        <f t="array" ref="I384">IFERROR(_xlfn.IFS(M384="נח",1,M384="נע ונח",1,M384="שני שווא נח",2,M384="שני שוואים בסוף מילה",2,M384="שני שוואים ברצף",1),"0")</f>
        <v>1</v>
      </c>
      <c r="J384" s="9">
        <f t="shared" si="27"/>
        <v>2</v>
      </c>
      <c r="K384" t="s">
        <v>6698</v>
      </c>
      <c r="L384" t="s">
        <v>6694</v>
      </c>
      <c r="M384" t="s">
        <v>6705</v>
      </c>
      <c r="P384" t="s">
        <v>6694</v>
      </c>
      <c r="V384" t="s">
        <v>6694</v>
      </c>
      <c r="W384" t="s">
        <v>6720</v>
      </c>
    </row>
    <row r="385" spans="1:23" ht="15.6" x14ac:dyDescent="0.4">
      <c r="A385" s="2" t="s">
        <v>2374</v>
      </c>
      <c r="B385" s="5" t="s">
        <v>7072</v>
      </c>
      <c r="C385" s="7" t="s">
        <v>12556</v>
      </c>
      <c r="D385" s="8">
        <f t="shared" si="24"/>
        <v>0</v>
      </c>
      <c r="E385" s="7" t="s">
        <v>12557</v>
      </c>
      <c r="F385" s="7">
        <f t="shared" si="25"/>
        <v>0</v>
      </c>
      <c r="G385" s="7" t="s">
        <v>12558</v>
      </c>
      <c r="H385" s="7">
        <f t="shared" si="26"/>
        <v>0</v>
      </c>
      <c r="I385" s="7" cm="1">
        <f t="array" ref="I385">IFERROR(_xlfn.IFS(M385="נח",1,M385="נע ונח",1,M385="שני שווא נח",2,M385="שני שוואים בסוף מילה",2,M385="שני שוואים ברצף",1),"0")</f>
        <v>1</v>
      </c>
      <c r="J385" s="9">
        <f t="shared" si="27"/>
        <v>2</v>
      </c>
      <c r="K385" t="s">
        <v>6698</v>
      </c>
      <c r="L385" t="s">
        <v>6694</v>
      </c>
      <c r="M385" t="s">
        <v>6705</v>
      </c>
      <c r="N385" t="s">
        <v>6706</v>
      </c>
      <c r="O385" t="s">
        <v>6694</v>
      </c>
      <c r="V385" t="s">
        <v>6694</v>
      </c>
      <c r="W385" t="s">
        <v>6720</v>
      </c>
    </row>
    <row r="386" spans="1:23" ht="15.6" x14ac:dyDescent="0.4">
      <c r="A386" s="2" t="s">
        <v>3234</v>
      </c>
      <c r="B386" s="5" t="s">
        <v>7074</v>
      </c>
      <c r="C386" s="7" t="s">
        <v>12556</v>
      </c>
      <c r="D386" s="8">
        <f t="shared" si="24"/>
        <v>0</v>
      </c>
      <c r="E386" s="7" t="s">
        <v>12557</v>
      </c>
      <c r="F386" s="7">
        <f t="shared" si="25"/>
        <v>0</v>
      </c>
      <c r="G386" s="7" t="s">
        <v>12558</v>
      </c>
      <c r="H386" s="7">
        <f t="shared" si="26"/>
        <v>0</v>
      </c>
      <c r="I386" s="7" cm="1">
        <f t="array" ref="I386">IFERROR(_xlfn.IFS(M386="נח",1,M386="נע ונח",1,M386="שני שווא נח",2,M386="שני שוואים בסוף מילה",2,M386="שני שוואים ברצף",1),"0")</f>
        <v>1</v>
      </c>
      <c r="J386" s="9">
        <f t="shared" si="27"/>
        <v>2</v>
      </c>
      <c r="K386" t="s">
        <v>6698</v>
      </c>
      <c r="L386" t="s">
        <v>6694</v>
      </c>
      <c r="M386" t="s">
        <v>6705</v>
      </c>
      <c r="N386" t="s">
        <v>6706</v>
      </c>
      <c r="O386" t="s">
        <v>6694</v>
      </c>
      <c r="V386" t="s">
        <v>6694</v>
      </c>
      <c r="W386" t="s">
        <v>6720</v>
      </c>
    </row>
    <row r="387" spans="1:23" ht="15.6" x14ac:dyDescent="0.4">
      <c r="A387" s="2" t="s">
        <v>3223</v>
      </c>
      <c r="B387" s="5" t="s">
        <v>7075</v>
      </c>
      <c r="C387" s="7" t="s">
        <v>12556</v>
      </c>
      <c r="D387" s="8">
        <f t="shared" ref="D387:D450" si="28">(LEN(B387)-LEN(SUBSTITUTE(B387,C387,"")))</f>
        <v>0</v>
      </c>
      <c r="E387" s="7" t="s">
        <v>12557</v>
      </c>
      <c r="F387" s="7">
        <f t="shared" ref="F387:F450" si="29">(LEN(A387)-LEN(SUBSTITUTE(A387,E387,"")))</f>
        <v>0</v>
      </c>
      <c r="G387" s="7" t="s">
        <v>12558</v>
      </c>
      <c r="H387" s="7">
        <f t="shared" ref="H387:H450" si="30">(LEN(A387)-LEN(SUBSTITUTE(A387,G387,"")))/2</f>
        <v>0</v>
      </c>
      <c r="I387" s="7" cm="1">
        <f t="array" ref="I387">IFERROR(_xlfn.IFS(M387="נח",1,M387="נע ונח",1,M387="שני שווא נח",2,M387="שני שוואים בסוף מילה",2,M387="שני שוואים ברצף",1),"0")</f>
        <v>1</v>
      </c>
      <c r="J387" s="9">
        <f t="shared" ref="J387:J450" si="31">LEN(A387)-(LEN(B387))-D387-F387+H387-I387</f>
        <v>2</v>
      </c>
      <c r="K387" t="s">
        <v>6698</v>
      </c>
      <c r="L387" t="s">
        <v>6694</v>
      </c>
      <c r="M387" t="s">
        <v>6705</v>
      </c>
      <c r="Q387" t="s">
        <v>6694</v>
      </c>
      <c r="V387" t="s">
        <v>6694</v>
      </c>
      <c r="W387" t="s">
        <v>6720</v>
      </c>
    </row>
    <row r="388" spans="1:23" ht="15.6" x14ac:dyDescent="0.4">
      <c r="A388" s="2" t="s">
        <v>1093</v>
      </c>
      <c r="B388" s="5" t="s">
        <v>7039</v>
      </c>
      <c r="C388" s="7" t="s">
        <v>12556</v>
      </c>
      <c r="D388" s="8">
        <f t="shared" si="28"/>
        <v>0</v>
      </c>
      <c r="E388" s="7" t="s">
        <v>12557</v>
      </c>
      <c r="F388" s="7">
        <f t="shared" si="29"/>
        <v>0</v>
      </c>
      <c r="G388" s="7" t="s">
        <v>12558</v>
      </c>
      <c r="H388" s="7">
        <f t="shared" si="30"/>
        <v>0</v>
      </c>
      <c r="I388" s="7" t="str" cm="1">
        <f t="array" ref="I388">IFERROR(_xlfn.IFS(M388="נח",1,M388="נע ונח",1,M388="שני שווא נח",2,M388="שני שוואים בסוף מילה",2,M388="שני שוואים ברצף",1),"0")</f>
        <v>0</v>
      </c>
      <c r="J388" s="9">
        <f t="shared" si="31"/>
        <v>2</v>
      </c>
      <c r="K388" t="s">
        <v>6698</v>
      </c>
      <c r="L388" t="s">
        <v>6695</v>
      </c>
      <c r="Q388" t="s">
        <v>6694</v>
      </c>
      <c r="V388" t="s">
        <v>6694</v>
      </c>
      <c r="W388" t="s">
        <v>6720</v>
      </c>
    </row>
    <row r="389" spans="1:23" ht="15.6" x14ac:dyDescent="0.4">
      <c r="A389" s="2" t="s">
        <v>1564</v>
      </c>
      <c r="B389" s="5" t="s">
        <v>7039</v>
      </c>
      <c r="C389" s="7" t="s">
        <v>12556</v>
      </c>
      <c r="D389" s="8">
        <f t="shared" si="28"/>
        <v>0</v>
      </c>
      <c r="E389" s="7" t="s">
        <v>12557</v>
      </c>
      <c r="F389" s="7">
        <f t="shared" si="29"/>
        <v>0</v>
      </c>
      <c r="G389" s="7" t="s">
        <v>12558</v>
      </c>
      <c r="H389" s="7">
        <f t="shared" si="30"/>
        <v>0</v>
      </c>
      <c r="I389" s="7" t="str" cm="1">
        <f t="array" ref="I389">IFERROR(_xlfn.IFS(M389="נח",1,M389="נע ונח",1,M389="שני שווא נח",2,M389="שני שוואים בסוף מילה",2,M389="שני שוואים ברצף",1),"0")</f>
        <v>0</v>
      </c>
      <c r="J389" s="9">
        <f t="shared" si="31"/>
        <v>2</v>
      </c>
      <c r="K389" t="s">
        <v>6698</v>
      </c>
      <c r="L389" t="s">
        <v>6695</v>
      </c>
      <c r="R389" t="s">
        <v>6694</v>
      </c>
      <c r="V389" t="s">
        <v>6694</v>
      </c>
      <c r="W389" t="s">
        <v>6720</v>
      </c>
    </row>
    <row r="390" spans="1:23" ht="15.6" x14ac:dyDescent="0.4">
      <c r="A390" s="2" t="s">
        <v>5201</v>
      </c>
      <c r="B390" s="5" t="s">
        <v>7076</v>
      </c>
      <c r="C390" s="7" t="s">
        <v>12556</v>
      </c>
      <c r="D390" s="8">
        <f t="shared" si="28"/>
        <v>0</v>
      </c>
      <c r="E390" s="7" t="s">
        <v>12557</v>
      </c>
      <c r="F390" s="7">
        <f t="shared" si="29"/>
        <v>0</v>
      </c>
      <c r="G390" s="7" t="s">
        <v>12558</v>
      </c>
      <c r="H390" s="7">
        <f t="shared" si="30"/>
        <v>0</v>
      </c>
      <c r="I390" s="7" cm="1">
        <f t="array" ref="I390">IFERROR(_xlfn.IFS(M390="נח",1,M390="נע ונח",1,M390="שני שווא נח",2,M390="שני שוואים בסוף מילה",2,M390="שני שוואים ברצף",1),"0")</f>
        <v>1</v>
      </c>
      <c r="J390" s="9">
        <f t="shared" si="31"/>
        <v>2</v>
      </c>
      <c r="K390" t="s">
        <v>6698</v>
      </c>
      <c r="L390" t="s">
        <v>6694</v>
      </c>
      <c r="M390" t="s">
        <v>6705</v>
      </c>
      <c r="S390" t="s">
        <v>6694</v>
      </c>
      <c r="V390" t="s">
        <v>6694</v>
      </c>
      <c r="W390" t="s">
        <v>6720</v>
      </c>
    </row>
    <row r="391" spans="1:23" ht="15.6" x14ac:dyDescent="0.4">
      <c r="A391" s="2" t="s">
        <v>3679</v>
      </c>
      <c r="B391" s="5" t="s">
        <v>6739</v>
      </c>
      <c r="C391" s="7" t="s">
        <v>12556</v>
      </c>
      <c r="D391" s="8">
        <f t="shared" si="28"/>
        <v>0</v>
      </c>
      <c r="E391" s="7" t="s">
        <v>12557</v>
      </c>
      <c r="F391" s="7">
        <f t="shared" si="29"/>
        <v>0</v>
      </c>
      <c r="G391" s="7" t="s">
        <v>12558</v>
      </c>
      <c r="H391" s="7">
        <f t="shared" si="30"/>
        <v>0</v>
      </c>
      <c r="I391" s="7" t="str" cm="1">
        <f t="array" ref="I391">IFERROR(_xlfn.IFS(M391="נח",1,M391="נע ונח",1,M391="שני שווא נח",2,M391="שני שוואים בסוף מילה",2,M391="שני שוואים ברצף",1),"0")</f>
        <v>0</v>
      </c>
      <c r="J391" s="9">
        <f t="shared" si="31"/>
        <v>2</v>
      </c>
      <c r="K391" t="s">
        <v>6698</v>
      </c>
      <c r="L391" t="s">
        <v>6695</v>
      </c>
      <c r="Q391" t="s">
        <v>6694</v>
      </c>
      <c r="V391" t="s">
        <v>6694</v>
      </c>
      <c r="W391" t="s">
        <v>6720</v>
      </c>
    </row>
    <row r="392" spans="1:23" ht="15.6" x14ac:dyDescent="0.4">
      <c r="A392" s="2" t="s">
        <v>3253</v>
      </c>
      <c r="B392" s="5" t="s">
        <v>6739</v>
      </c>
      <c r="C392" s="7" t="s">
        <v>12556</v>
      </c>
      <c r="D392" s="8">
        <f t="shared" si="28"/>
        <v>0</v>
      </c>
      <c r="E392" s="7" t="s">
        <v>12557</v>
      </c>
      <c r="F392" s="7">
        <f t="shared" si="29"/>
        <v>0</v>
      </c>
      <c r="G392" s="7" t="s">
        <v>12558</v>
      </c>
      <c r="H392" s="7">
        <f t="shared" si="30"/>
        <v>0</v>
      </c>
      <c r="I392" s="7" t="str" cm="1">
        <f t="array" ref="I392">IFERROR(_xlfn.IFS(M392="נח",1,M392="נע ונח",1,M392="שני שווא נח",2,M392="שני שוואים בסוף מילה",2,M392="שני שוואים ברצף",1),"0")</f>
        <v>0</v>
      </c>
      <c r="J392" s="9">
        <f t="shared" si="31"/>
        <v>2</v>
      </c>
      <c r="K392" t="s">
        <v>6698</v>
      </c>
      <c r="L392" t="s">
        <v>6695</v>
      </c>
      <c r="R392" t="s">
        <v>6694</v>
      </c>
      <c r="V392" t="s">
        <v>6694</v>
      </c>
      <c r="W392" t="s">
        <v>6720</v>
      </c>
    </row>
    <row r="393" spans="1:23" ht="15.6" x14ac:dyDescent="0.4">
      <c r="A393" s="2" t="s">
        <v>2299</v>
      </c>
      <c r="B393" s="5" t="s">
        <v>6739</v>
      </c>
      <c r="C393" s="7" t="s">
        <v>12556</v>
      </c>
      <c r="D393" s="8">
        <f t="shared" si="28"/>
        <v>0</v>
      </c>
      <c r="E393" s="7" t="s">
        <v>12557</v>
      </c>
      <c r="F393" s="7">
        <f t="shared" si="29"/>
        <v>0</v>
      </c>
      <c r="G393" s="7" t="s">
        <v>12558</v>
      </c>
      <c r="H393" s="7">
        <f t="shared" si="30"/>
        <v>0</v>
      </c>
      <c r="I393" s="7" t="str" cm="1">
        <f t="array" ref="I393">IFERROR(_xlfn.IFS(M393="נח",1,M393="נע ונח",1,M393="שני שווא נח",2,M393="שני שוואים בסוף מילה",2,M393="שני שוואים ברצף",1),"0")</f>
        <v>0</v>
      </c>
      <c r="J393" s="9">
        <f t="shared" si="31"/>
        <v>2</v>
      </c>
      <c r="K393" t="s">
        <v>6698</v>
      </c>
      <c r="L393" t="s">
        <v>6695</v>
      </c>
      <c r="P393" t="s">
        <v>6694</v>
      </c>
      <c r="V393" t="s">
        <v>6694</v>
      </c>
      <c r="W393" t="s">
        <v>6720</v>
      </c>
    </row>
    <row r="394" spans="1:23" ht="15.6" x14ac:dyDescent="0.4">
      <c r="A394" s="2" t="s">
        <v>6357</v>
      </c>
      <c r="B394" s="5" t="s">
        <v>7077</v>
      </c>
      <c r="C394" s="7" t="s">
        <v>12556</v>
      </c>
      <c r="D394" s="8">
        <f t="shared" si="28"/>
        <v>0</v>
      </c>
      <c r="E394" s="7" t="s">
        <v>12557</v>
      </c>
      <c r="F394" s="7">
        <f t="shared" si="29"/>
        <v>0</v>
      </c>
      <c r="G394" s="7" t="s">
        <v>12558</v>
      </c>
      <c r="H394" s="7">
        <f t="shared" si="30"/>
        <v>0</v>
      </c>
      <c r="I394" s="7" cm="1">
        <f t="array" ref="I394">IFERROR(_xlfn.IFS(M394="נח",1,M394="נע ונח",1,M394="שני שווא נח",2,M394="שני שוואים בסוף מילה",2,M394="שני שוואים ברצף",1),"0")</f>
        <v>1</v>
      </c>
      <c r="J394" s="9">
        <f t="shared" si="31"/>
        <v>2</v>
      </c>
      <c r="K394" t="s">
        <v>6698</v>
      </c>
      <c r="L394" t="s">
        <v>6694</v>
      </c>
      <c r="M394" t="s">
        <v>6705</v>
      </c>
      <c r="N394" t="s">
        <v>6706</v>
      </c>
      <c r="O394" t="s">
        <v>6694</v>
      </c>
      <c r="V394" t="s">
        <v>6694</v>
      </c>
      <c r="W394" t="s">
        <v>6720</v>
      </c>
    </row>
    <row r="395" spans="1:23" ht="15.6" x14ac:dyDescent="0.4">
      <c r="A395" s="2" t="s">
        <v>2448</v>
      </c>
      <c r="B395" s="5" t="s">
        <v>7078</v>
      </c>
      <c r="C395" s="7" t="s">
        <v>12556</v>
      </c>
      <c r="D395" s="8">
        <f t="shared" si="28"/>
        <v>0</v>
      </c>
      <c r="E395" s="7" t="s">
        <v>12557</v>
      </c>
      <c r="F395" s="7">
        <f t="shared" si="29"/>
        <v>0</v>
      </c>
      <c r="G395" s="7" t="s">
        <v>12558</v>
      </c>
      <c r="H395" s="7">
        <f t="shared" si="30"/>
        <v>0</v>
      </c>
      <c r="I395" s="7" t="str" cm="1">
        <f t="array" ref="I395">IFERROR(_xlfn.IFS(M395="נח",1,M395="נע ונח",1,M395="שני שווא נח",2,M395="שני שוואים בסוף מילה",2,M395="שני שוואים ברצף",1),"0")</f>
        <v>0</v>
      </c>
      <c r="J395" s="9">
        <f t="shared" si="31"/>
        <v>2</v>
      </c>
      <c r="K395" t="s">
        <v>6698</v>
      </c>
      <c r="L395" t="s">
        <v>6695</v>
      </c>
      <c r="R395" t="s">
        <v>6694</v>
      </c>
      <c r="V395" t="s">
        <v>6694</v>
      </c>
      <c r="W395" t="s">
        <v>6720</v>
      </c>
    </row>
    <row r="396" spans="1:23" ht="15.6" x14ac:dyDescent="0.4">
      <c r="A396" s="2" t="s">
        <v>5991</v>
      </c>
      <c r="B396" s="5" t="s">
        <v>7079</v>
      </c>
      <c r="C396" s="7" t="s">
        <v>12556</v>
      </c>
      <c r="D396" s="8">
        <f t="shared" si="28"/>
        <v>0</v>
      </c>
      <c r="E396" s="7" t="s">
        <v>12557</v>
      </c>
      <c r="F396" s="7">
        <f t="shared" si="29"/>
        <v>0</v>
      </c>
      <c r="G396" s="7" t="s">
        <v>12558</v>
      </c>
      <c r="H396" s="7">
        <f t="shared" si="30"/>
        <v>0</v>
      </c>
      <c r="I396" s="7" cm="1">
        <f t="array" ref="I396">IFERROR(_xlfn.IFS(M396="נח",1,M396="נע ונח",1,M396="שני שווא נח",2,M396="שני שוואים בסוף מילה",2,M396="שני שוואים ברצף",1),"0")</f>
        <v>1</v>
      </c>
      <c r="J396" s="9">
        <f t="shared" si="31"/>
        <v>4</v>
      </c>
      <c r="K396" t="s">
        <v>6697</v>
      </c>
      <c r="L396" t="s">
        <v>6694</v>
      </c>
      <c r="M396" t="s">
        <v>6705</v>
      </c>
      <c r="O396" t="s">
        <v>6694</v>
      </c>
      <c r="R396" t="s">
        <v>6694</v>
      </c>
      <c r="V396" t="s">
        <v>6694</v>
      </c>
      <c r="W396" t="s">
        <v>6720</v>
      </c>
    </row>
    <row r="397" spans="1:23" ht="15.6" x14ac:dyDescent="0.4">
      <c r="A397" s="2" t="s">
        <v>2594</v>
      </c>
      <c r="B397" s="5" t="s">
        <v>7080</v>
      </c>
      <c r="C397" s="7" t="s">
        <v>12556</v>
      </c>
      <c r="D397" s="8">
        <f t="shared" si="28"/>
        <v>0</v>
      </c>
      <c r="E397" s="7" t="s">
        <v>12557</v>
      </c>
      <c r="F397" s="7">
        <f t="shared" si="29"/>
        <v>0</v>
      </c>
      <c r="G397" s="7" t="s">
        <v>12558</v>
      </c>
      <c r="H397" s="7">
        <f t="shared" si="30"/>
        <v>0</v>
      </c>
      <c r="I397" s="7" cm="1">
        <f t="array" ref="I397">IFERROR(_xlfn.IFS(M397="נח",1,M397="נע ונח",1,M397="שני שווא נח",2,M397="שני שוואים בסוף מילה",2,M397="שני שוואים ברצף",1),"0")</f>
        <v>1</v>
      </c>
      <c r="J397" s="9">
        <f t="shared" si="31"/>
        <v>4</v>
      </c>
      <c r="K397" t="s">
        <v>6697</v>
      </c>
      <c r="L397" t="s">
        <v>6694</v>
      </c>
      <c r="M397" t="s">
        <v>6705</v>
      </c>
      <c r="O397" t="s">
        <v>6694</v>
      </c>
      <c r="R397" t="s">
        <v>6694</v>
      </c>
      <c r="V397" t="s">
        <v>6694</v>
      </c>
      <c r="W397" t="s">
        <v>6720</v>
      </c>
    </row>
    <row r="398" spans="1:23" ht="15.6" x14ac:dyDescent="0.4">
      <c r="A398" s="2" t="s">
        <v>2352</v>
      </c>
      <c r="B398" s="5" t="s">
        <v>6920</v>
      </c>
      <c r="C398" s="7" t="s">
        <v>12556</v>
      </c>
      <c r="D398" s="8">
        <f t="shared" si="28"/>
        <v>0</v>
      </c>
      <c r="E398" s="7" t="s">
        <v>12557</v>
      </c>
      <c r="F398" s="7">
        <f t="shared" si="29"/>
        <v>0</v>
      </c>
      <c r="G398" s="7" t="s">
        <v>12558</v>
      </c>
      <c r="H398" s="7">
        <f t="shared" si="30"/>
        <v>0</v>
      </c>
      <c r="I398" s="7" cm="1">
        <f t="array" ref="I398">IFERROR(_xlfn.IFS(M398="נח",1,M398="נע ונח",1,M398="שני שווא נח",2,M398="שני שוואים בסוף מילה",2,M398="שני שוואים ברצף",1),"0")</f>
        <v>1</v>
      </c>
      <c r="J398" s="9">
        <f t="shared" si="31"/>
        <v>2</v>
      </c>
      <c r="K398" t="s">
        <v>6698</v>
      </c>
      <c r="L398" t="s">
        <v>6694</v>
      </c>
      <c r="M398" t="s">
        <v>6705</v>
      </c>
      <c r="R398" t="s">
        <v>6694</v>
      </c>
      <c r="V398" t="s">
        <v>6694</v>
      </c>
      <c r="W398" t="s">
        <v>6720</v>
      </c>
    </row>
    <row r="399" spans="1:23" ht="15.6" x14ac:dyDescent="0.4">
      <c r="A399" s="2" t="s">
        <v>3064</v>
      </c>
      <c r="B399" s="5" t="s">
        <v>7081</v>
      </c>
      <c r="C399" s="7" t="s">
        <v>12556</v>
      </c>
      <c r="D399" s="8">
        <f t="shared" si="28"/>
        <v>0</v>
      </c>
      <c r="E399" s="7" t="s">
        <v>12557</v>
      </c>
      <c r="F399" s="7">
        <f t="shared" si="29"/>
        <v>0</v>
      </c>
      <c r="G399" s="7" t="s">
        <v>12558</v>
      </c>
      <c r="H399" s="7">
        <f t="shared" si="30"/>
        <v>0</v>
      </c>
      <c r="I399" s="7" t="str" cm="1">
        <f t="array" ref="I399">IFERROR(_xlfn.IFS(M399="נח",1,M399="נע ונח",1,M399="שני שווא נח",2,M399="שני שוואים בסוף מילה",2,M399="שני שוואים ברצף",1),"0")</f>
        <v>0</v>
      </c>
      <c r="J399" s="9">
        <f t="shared" si="31"/>
        <v>2</v>
      </c>
      <c r="K399" t="s">
        <v>6698</v>
      </c>
      <c r="L399" t="s">
        <v>6695</v>
      </c>
      <c r="P399" t="s">
        <v>6694</v>
      </c>
      <c r="V399" t="s">
        <v>6694</v>
      </c>
      <c r="W399" t="s">
        <v>6720</v>
      </c>
    </row>
    <row r="400" spans="1:23" ht="15.6" x14ac:dyDescent="0.4">
      <c r="A400" s="2" t="s">
        <v>2799</v>
      </c>
      <c r="B400" s="5" t="s">
        <v>7082</v>
      </c>
      <c r="C400" s="7" t="s">
        <v>12556</v>
      </c>
      <c r="D400" s="8">
        <f t="shared" si="28"/>
        <v>0</v>
      </c>
      <c r="E400" s="7" t="s">
        <v>12557</v>
      </c>
      <c r="F400" s="7">
        <f t="shared" si="29"/>
        <v>0</v>
      </c>
      <c r="G400" s="7" t="s">
        <v>12558</v>
      </c>
      <c r="H400" s="7">
        <f t="shared" si="30"/>
        <v>0</v>
      </c>
      <c r="I400" s="7" t="str" cm="1">
        <f t="array" ref="I400">IFERROR(_xlfn.IFS(M400="נח",1,M400="נע ונח",1,M400="שני שווא נח",2,M400="שני שוואים בסוף מילה",2,M400="שני שוואים ברצף",1),"0")</f>
        <v>0</v>
      </c>
      <c r="J400" s="9">
        <f t="shared" si="31"/>
        <v>2</v>
      </c>
      <c r="K400" t="s">
        <v>6697</v>
      </c>
      <c r="L400" t="s">
        <v>6695</v>
      </c>
      <c r="V400" t="s">
        <v>6694</v>
      </c>
      <c r="W400" t="s">
        <v>6720</v>
      </c>
    </row>
    <row r="401" spans="1:23" ht="15.6" x14ac:dyDescent="0.4">
      <c r="A401" s="2" t="s">
        <v>1259</v>
      </c>
      <c r="B401" s="5" t="s">
        <v>7083</v>
      </c>
      <c r="C401" s="7" t="s">
        <v>12556</v>
      </c>
      <c r="D401" s="8">
        <f t="shared" si="28"/>
        <v>0</v>
      </c>
      <c r="E401" s="7" t="s">
        <v>12557</v>
      </c>
      <c r="F401" s="7">
        <f t="shared" si="29"/>
        <v>0</v>
      </c>
      <c r="G401" s="7" t="s">
        <v>12558</v>
      </c>
      <c r="H401" s="7">
        <f t="shared" si="30"/>
        <v>0</v>
      </c>
      <c r="I401" s="7" t="str" cm="1">
        <f t="array" ref="I401">IFERROR(_xlfn.IFS(M401="נח",1,M401="נע ונח",1,M401="שני שווא נח",2,M401="שני שוואים בסוף מילה",2,M401="שני שוואים ברצף",1),"0")</f>
        <v>0</v>
      </c>
      <c r="J401" s="9">
        <f t="shared" si="31"/>
        <v>2</v>
      </c>
      <c r="K401" t="s">
        <v>6698</v>
      </c>
      <c r="L401" t="s">
        <v>6695</v>
      </c>
      <c r="V401" t="s">
        <v>6694</v>
      </c>
      <c r="W401" t="s">
        <v>6720</v>
      </c>
    </row>
    <row r="402" spans="1:23" ht="15.6" x14ac:dyDescent="0.4">
      <c r="A402" s="2" t="s">
        <v>1682</v>
      </c>
      <c r="B402" s="5" t="s">
        <v>7084</v>
      </c>
      <c r="C402" s="7" t="s">
        <v>12556</v>
      </c>
      <c r="D402" s="8">
        <f t="shared" si="28"/>
        <v>0</v>
      </c>
      <c r="E402" s="7" t="s">
        <v>12557</v>
      </c>
      <c r="F402" s="7">
        <f t="shared" si="29"/>
        <v>0</v>
      </c>
      <c r="G402" s="7" t="s">
        <v>12558</v>
      </c>
      <c r="H402" s="7">
        <f t="shared" si="30"/>
        <v>0</v>
      </c>
      <c r="I402" s="7" t="str" cm="1">
        <f t="array" ref="I402">IFERROR(_xlfn.IFS(M402="נח",1,M402="נע ונח",1,M402="שני שווא נח",2,M402="שני שוואים בסוף מילה",2,M402="שני שוואים ברצף",1),"0")</f>
        <v>0</v>
      </c>
      <c r="J402" s="9">
        <f t="shared" si="31"/>
        <v>3</v>
      </c>
      <c r="K402" t="s">
        <v>6698</v>
      </c>
      <c r="L402" t="s">
        <v>6695</v>
      </c>
      <c r="N402" t="s">
        <v>6706</v>
      </c>
      <c r="O402" t="s">
        <v>6694</v>
      </c>
      <c r="V402" t="s">
        <v>6694</v>
      </c>
      <c r="W402" t="s">
        <v>6720</v>
      </c>
    </row>
    <row r="403" spans="1:23" ht="15.6" x14ac:dyDescent="0.4">
      <c r="A403" s="2" t="s">
        <v>3183</v>
      </c>
      <c r="B403" s="5" t="s">
        <v>7085</v>
      </c>
      <c r="C403" s="7" t="s">
        <v>12556</v>
      </c>
      <c r="D403" s="8">
        <f t="shared" si="28"/>
        <v>0</v>
      </c>
      <c r="E403" s="7" t="s">
        <v>12557</v>
      </c>
      <c r="F403" s="7">
        <f t="shared" si="29"/>
        <v>0</v>
      </c>
      <c r="G403" s="7" t="s">
        <v>12558</v>
      </c>
      <c r="H403" s="7">
        <f t="shared" si="30"/>
        <v>0</v>
      </c>
      <c r="I403" s="7" cm="1">
        <f t="array" ref="I403">IFERROR(_xlfn.IFS(M403="נח",1,M403="נע ונח",1,M403="שני שווא נח",2,M403="שני שוואים בסוף מילה",2,M403="שני שוואים ברצף",1),"0")</f>
        <v>1</v>
      </c>
      <c r="J403" s="9">
        <f t="shared" si="31"/>
        <v>2</v>
      </c>
      <c r="K403" t="s">
        <v>6698</v>
      </c>
      <c r="L403" t="s">
        <v>6694</v>
      </c>
      <c r="M403" t="s">
        <v>6705</v>
      </c>
      <c r="P403" t="s">
        <v>6694</v>
      </c>
      <c r="T403" t="s">
        <v>6694</v>
      </c>
      <c r="W403" t="s">
        <v>6720</v>
      </c>
    </row>
    <row r="404" spans="1:23" ht="15.6" x14ac:dyDescent="0.4">
      <c r="A404" s="2" t="s">
        <v>220</v>
      </c>
      <c r="B404" s="5" t="s">
        <v>7086</v>
      </c>
      <c r="C404" s="7" t="s">
        <v>12556</v>
      </c>
      <c r="D404" s="8">
        <f t="shared" si="28"/>
        <v>0</v>
      </c>
      <c r="E404" s="7" t="s">
        <v>12557</v>
      </c>
      <c r="F404" s="7">
        <f t="shared" si="29"/>
        <v>0</v>
      </c>
      <c r="G404" s="7" t="s">
        <v>12558</v>
      </c>
      <c r="H404" s="7">
        <f t="shared" si="30"/>
        <v>0</v>
      </c>
      <c r="I404" s="7" cm="1">
        <f t="array" ref="I404">IFERROR(_xlfn.IFS(M404="נח",1,M404="נע ונח",1,M404="שני שווא נח",2,M404="שני שוואים בסוף מילה",2,M404="שני שוואים ברצף",1),"0")</f>
        <v>1</v>
      </c>
      <c r="J404" s="9">
        <f t="shared" si="31"/>
        <v>2</v>
      </c>
      <c r="K404" t="s">
        <v>6697</v>
      </c>
      <c r="L404" t="s">
        <v>6694</v>
      </c>
      <c r="M404" t="s">
        <v>6705</v>
      </c>
      <c r="O404" t="s">
        <v>6694</v>
      </c>
      <c r="V404" t="s">
        <v>6694</v>
      </c>
      <c r="W404" t="s">
        <v>6720</v>
      </c>
    </row>
    <row r="405" spans="1:23" ht="15.6" x14ac:dyDescent="0.4">
      <c r="A405" s="2" t="s">
        <v>2700</v>
      </c>
      <c r="B405" s="5" t="s">
        <v>7087</v>
      </c>
      <c r="C405" s="7" t="s">
        <v>12556</v>
      </c>
      <c r="D405" s="8">
        <f t="shared" si="28"/>
        <v>0</v>
      </c>
      <c r="E405" s="7" t="s">
        <v>12557</v>
      </c>
      <c r="F405" s="7">
        <f t="shared" si="29"/>
        <v>0</v>
      </c>
      <c r="G405" s="7" t="s">
        <v>12558</v>
      </c>
      <c r="H405" s="7">
        <f t="shared" si="30"/>
        <v>0</v>
      </c>
      <c r="I405" s="7" t="str" cm="1">
        <f t="array" ref="I405">IFERROR(_xlfn.IFS(M405="נח",1,M405="נע ונח",1,M405="שני שווא נח",2,M405="שני שוואים בסוף מילה",2,M405="שני שוואים ברצף",1),"0")</f>
        <v>0</v>
      </c>
      <c r="J405" s="9">
        <f t="shared" si="31"/>
        <v>4</v>
      </c>
      <c r="K405" t="s">
        <v>6697</v>
      </c>
      <c r="L405" t="s">
        <v>6695</v>
      </c>
      <c r="O405" t="s">
        <v>6694</v>
      </c>
      <c r="P405" t="s">
        <v>6694</v>
      </c>
      <c r="S405" t="s">
        <v>6694</v>
      </c>
      <c r="V405" t="s">
        <v>6694</v>
      </c>
      <c r="W405" t="s">
        <v>6720</v>
      </c>
    </row>
    <row r="406" spans="1:23" ht="15.6" x14ac:dyDescent="0.4">
      <c r="A406" s="2" t="s">
        <v>5782</v>
      </c>
      <c r="B406" s="5" t="s">
        <v>7088</v>
      </c>
      <c r="C406" s="7" t="s">
        <v>12556</v>
      </c>
      <c r="D406" s="8">
        <f t="shared" si="28"/>
        <v>0</v>
      </c>
      <c r="E406" s="7" t="s">
        <v>12557</v>
      </c>
      <c r="F406" s="7">
        <f t="shared" si="29"/>
        <v>0</v>
      </c>
      <c r="G406" s="7" t="s">
        <v>12558</v>
      </c>
      <c r="H406" s="7">
        <f t="shared" si="30"/>
        <v>0</v>
      </c>
      <c r="I406" s="7" t="str" cm="1">
        <f t="array" ref="I406">IFERROR(_xlfn.IFS(M406="נח",1,M406="נע ונח",1,M406="שני שווא נח",2,M406="שני שוואים בסוף מילה",2,M406="שני שוואים ברצף",1),"0")</f>
        <v>0</v>
      </c>
      <c r="J406" s="9">
        <f t="shared" si="31"/>
        <v>3</v>
      </c>
      <c r="K406" t="s">
        <v>6697</v>
      </c>
      <c r="L406" t="s">
        <v>6695</v>
      </c>
      <c r="P406" t="s">
        <v>6694</v>
      </c>
      <c r="S406" t="s">
        <v>6694</v>
      </c>
      <c r="V406" t="s">
        <v>6694</v>
      </c>
      <c r="W406" t="s">
        <v>6720</v>
      </c>
    </row>
    <row r="407" spans="1:23" ht="15.6" x14ac:dyDescent="0.4">
      <c r="A407" s="2" t="s">
        <v>1146</v>
      </c>
      <c r="B407" s="5" t="s">
        <v>7089</v>
      </c>
      <c r="C407" s="7" t="s">
        <v>12556</v>
      </c>
      <c r="D407" s="8">
        <f t="shared" si="28"/>
        <v>0</v>
      </c>
      <c r="E407" s="7" t="s">
        <v>12557</v>
      </c>
      <c r="F407" s="7">
        <f t="shared" si="29"/>
        <v>0</v>
      </c>
      <c r="G407" s="7" t="s">
        <v>12558</v>
      </c>
      <c r="H407" s="7">
        <f t="shared" si="30"/>
        <v>0</v>
      </c>
      <c r="I407" s="7" t="str" cm="1">
        <f t="array" ref="I407">IFERROR(_xlfn.IFS(M407="נח",1,M407="נע ונח",1,M407="שני שווא נח",2,M407="שני שוואים בסוף מילה",2,M407="שני שוואים ברצף",1),"0")</f>
        <v>0</v>
      </c>
      <c r="J407" s="9">
        <f t="shared" si="31"/>
        <v>2</v>
      </c>
      <c r="K407" t="s">
        <v>6697</v>
      </c>
      <c r="L407" t="s">
        <v>6695</v>
      </c>
      <c r="R407" t="s">
        <v>6694</v>
      </c>
      <c r="V407" t="s">
        <v>6694</v>
      </c>
      <c r="W407" t="s">
        <v>6720</v>
      </c>
    </row>
    <row r="408" spans="1:23" ht="15.6" x14ac:dyDescent="0.4">
      <c r="A408" s="2" t="s">
        <v>6178</v>
      </c>
      <c r="B408" s="5" t="s">
        <v>7086</v>
      </c>
      <c r="C408" s="7" t="s">
        <v>12556</v>
      </c>
      <c r="D408" s="8">
        <f t="shared" si="28"/>
        <v>0</v>
      </c>
      <c r="E408" s="7" t="s">
        <v>12557</v>
      </c>
      <c r="F408" s="7">
        <f t="shared" si="29"/>
        <v>1</v>
      </c>
      <c r="G408" s="7" t="s">
        <v>12558</v>
      </c>
      <c r="H408" s="7">
        <f t="shared" si="30"/>
        <v>0</v>
      </c>
      <c r="I408" s="7" t="str" cm="1">
        <f t="array" ref="I408">IFERROR(_xlfn.IFS(M408="נח",1,M408="נע ונח",1,M408="שני שווא נח",2,M408="שני שוואים בסוף מילה",2,M408="שני שוואים ברצף",1),"0")</f>
        <v>0</v>
      </c>
      <c r="J408" s="9">
        <f t="shared" si="31"/>
        <v>3</v>
      </c>
      <c r="K408" t="s">
        <v>6697</v>
      </c>
      <c r="L408" t="s">
        <v>6695</v>
      </c>
      <c r="O408" t="s">
        <v>6694</v>
      </c>
      <c r="R408" t="s">
        <v>6694</v>
      </c>
      <c r="V408" t="s">
        <v>6694</v>
      </c>
      <c r="W408" t="s">
        <v>6720</v>
      </c>
    </row>
    <row r="409" spans="1:23" ht="15.6" x14ac:dyDescent="0.4">
      <c r="A409" s="2" t="s">
        <v>3570</v>
      </c>
      <c r="B409" s="5" t="s">
        <v>7090</v>
      </c>
      <c r="C409" s="7" t="s">
        <v>12556</v>
      </c>
      <c r="D409" s="8">
        <f t="shared" si="28"/>
        <v>0</v>
      </c>
      <c r="E409" s="7" t="s">
        <v>12557</v>
      </c>
      <c r="F409" s="7">
        <f t="shared" si="29"/>
        <v>2</v>
      </c>
      <c r="G409" s="7" t="s">
        <v>12558</v>
      </c>
      <c r="H409" s="7">
        <f t="shared" si="30"/>
        <v>1</v>
      </c>
      <c r="I409" s="7" t="str" cm="1">
        <f t="array" ref="I409">IFERROR(_xlfn.IFS(M409="נח",1,M409="נע ונח",1,M409="שני שווא נח",2,M409="שני שוואים בסוף מילה",2,M409="שני שוואים ברצף",1),"0")</f>
        <v>0</v>
      </c>
      <c r="J409" s="9">
        <f t="shared" si="31"/>
        <v>3</v>
      </c>
      <c r="K409" t="s">
        <v>6697</v>
      </c>
      <c r="L409" t="s">
        <v>6695</v>
      </c>
      <c r="R409" t="s">
        <v>6694</v>
      </c>
      <c r="U409" t="s">
        <v>6694</v>
      </c>
      <c r="V409" t="s">
        <v>6694</v>
      </c>
      <c r="W409" t="s">
        <v>6720</v>
      </c>
    </row>
    <row r="410" spans="1:23" ht="15.6" x14ac:dyDescent="0.4">
      <c r="A410" s="2" t="s">
        <v>3698</v>
      </c>
      <c r="B410" s="5" t="s">
        <v>7091</v>
      </c>
      <c r="C410" s="7" t="s">
        <v>12556</v>
      </c>
      <c r="D410" s="8">
        <f t="shared" si="28"/>
        <v>0</v>
      </c>
      <c r="E410" s="7" t="s">
        <v>12557</v>
      </c>
      <c r="F410" s="7">
        <f t="shared" si="29"/>
        <v>0</v>
      </c>
      <c r="G410" s="7" t="s">
        <v>12558</v>
      </c>
      <c r="H410" s="7">
        <f t="shared" si="30"/>
        <v>0</v>
      </c>
      <c r="I410" s="7" cm="1">
        <f t="array" ref="I410">IFERROR(_xlfn.IFS(M410="נח",1,M410="נע ונח",1,M410="שני שווא נח",2,M410="שני שוואים בסוף מילה",2,M410="שני שוואים ברצף",1),"0")</f>
        <v>1</v>
      </c>
      <c r="J410" s="9">
        <f t="shared" si="31"/>
        <v>2</v>
      </c>
      <c r="K410" t="s">
        <v>6698</v>
      </c>
      <c r="L410" t="s">
        <v>6694</v>
      </c>
      <c r="M410" t="s">
        <v>6705</v>
      </c>
      <c r="Q410" t="s">
        <v>6694</v>
      </c>
      <c r="V410" t="s">
        <v>6694</v>
      </c>
      <c r="W410" t="s">
        <v>6720</v>
      </c>
    </row>
    <row r="411" spans="1:23" ht="15.6" x14ac:dyDescent="0.4">
      <c r="A411" s="2" t="s">
        <v>4872</v>
      </c>
      <c r="B411" s="5" t="s">
        <v>7092</v>
      </c>
      <c r="C411" s="7" t="s">
        <v>12556</v>
      </c>
      <c r="D411" s="8">
        <f t="shared" si="28"/>
        <v>0</v>
      </c>
      <c r="E411" s="7" t="s">
        <v>12557</v>
      </c>
      <c r="F411" s="7">
        <f t="shared" si="29"/>
        <v>0</v>
      </c>
      <c r="G411" s="7" t="s">
        <v>12558</v>
      </c>
      <c r="H411" s="7">
        <f t="shared" si="30"/>
        <v>0</v>
      </c>
      <c r="I411" s="7" cm="1">
        <f t="array" ref="I411">IFERROR(_xlfn.IFS(M411="נח",1,M411="נע ונח",1,M411="שני שווא נח",2,M411="שני שוואים בסוף מילה",2,M411="שני שוואים ברצף",1),"0")</f>
        <v>1</v>
      </c>
      <c r="J411" s="9">
        <f t="shared" si="31"/>
        <v>3</v>
      </c>
      <c r="K411" t="s">
        <v>6698</v>
      </c>
      <c r="L411" t="s">
        <v>6694</v>
      </c>
      <c r="M411" t="s">
        <v>6705</v>
      </c>
      <c r="Q411" t="s">
        <v>6694</v>
      </c>
      <c r="R411" t="s">
        <v>6694</v>
      </c>
      <c r="V411" t="s">
        <v>6694</v>
      </c>
      <c r="W411" t="s">
        <v>6720</v>
      </c>
    </row>
    <row r="412" spans="1:23" ht="15.6" x14ac:dyDescent="0.4">
      <c r="A412" s="2" t="s">
        <v>6671</v>
      </c>
      <c r="B412" s="5" t="s">
        <v>7093</v>
      </c>
      <c r="C412" s="7" t="s">
        <v>12556</v>
      </c>
      <c r="D412" s="8">
        <f t="shared" si="28"/>
        <v>0</v>
      </c>
      <c r="E412" s="7" t="s">
        <v>12557</v>
      </c>
      <c r="F412" s="7">
        <f t="shared" si="29"/>
        <v>0</v>
      </c>
      <c r="G412" s="7" t="s">
        <v>12558</v>
      </c>
      <c r="H412" s="7">
        <f t="shared" si="30"/>
        <v>0</v>
      </c>
      <c r="I412" s="7" cm="1">
        <f t="array" ref="I412">IFERROR(_xlfn.IFS(M412="נח",1,M412="נע ונח",1,M412="שני שווא נח",2,M412="שני שוואים בסוף מילה",2,M412="שני שוואים ברצף",1),"0")</f>
        <v>1</v>
      </c>
      <c r="J412" s="9">
        <f t="shared" si="31"/>
        <v>3</v>
      </c>
      <c r="K412" t="s">
        <v>6697</v>
      </c>
      <c r="L412" t="s">
        <v>6694</v>
      </c>
      <c r="M412" t="s">
        <v>6705</v>
      </c>
      <c r="O412" t="s">
        <v>6694</v>
      </c>
      <c r="R412" t="s">
        <v>6694</v>
      </c>
      <c r="V412" t="s">
        <v>6694</v>
      </c>
      <c r="W412" t="s">
        <v>6720</v>
      </c>
    </row>
    <row r="413" spans="1:23" ht="15.6" x14ac:dyDescent="0.4">
      <c r="A413" s="2" t="s">
        <v>494</v>
      </c>
      <c r="B413" s="5" t="s">
        <v>7091</v>
      </c>
      <c r="C413" s="7" t="s">
        <v>12556</v>
      </c>
      <c r="D413" s="8">
        <f t="shared" si="28"/>
        <v>0</v>
      </c>
      <c r="E413" s="7" t="s">
        <v>12557</v>
      </c>
      <c r="F413" s="7">
        <f t="shared" si="29"/>
        <v>0</v>
      </c>
      <c r="G413" s="7" t="s">
        <v>12558</v>
      </c>
      <c r="H413" s="7">
        <f t="shared" si="30"/>
        <v>0</v>
      </c>
      <c r="I413" s="7" cm="1">
        <f t="array" ref="I413">IFERROR(_xlfn.IFS(M413="נח",1,M413="נע ונח",1,M413="שני שווא נח",2,M413="שני שוואים בסוף מילה",2,M413="שני שוואים ברצף",1),"0")</f>
        <v>1</v>
      </c>
      <c r="J413" s="9">
        <f t="shared" si="31"/>
        <v>2</v>
      </c>
      <c r="K413" t="s">
        <v>6698</v>
      </c>
      <c r="L413" t="s">
        <v>6694</v>
      </c>
      <c r="M413" t="s">
        <v>6705</v>
      </c>
      <c r="P413" t="s">
        <v>6694</v>
      </c>
      <c r="V413" t="s">
        <v>6694</v>
      </c>
      <c r="W413" t="s">
        <v>6720</v>
      </c>
    </row>
    <row r="414" spans="1:23" ht="15.6" x14ac:dyDescent="0.4">
      <c r="A414" s="2" t="s">
        <v>4466</v>
      </c>
      <c r="B414" s="5" t="s">
        <v>7094</v>
      </c>
      <c r="C414" s="7" t="s">
        <v>12556</v>
      </c>
      <c r="D414" s="8">
        <f t="shared" si="28"/>
        <v>0</v>
      </c>
      <c r="E414" s="7" t="s">
        <v>12557</v>
      </c>
      <c r="F414" s="7">
        <f t="shared" si="29"/>
        <v>0</v>
      </c>
      <c r="G414" s="7" t="s">
        <v>12558</v>
      </c>
      <c r="H414" s="7">
        <f t="shared" si="30"/>
        <v>0</v>
      </c>
      <c r="I414" s="7" cm="1">
        <f t="array" ref="I414">IFERROR(_xlfn.IFS(M414="נח",1,M414="נע ונח",1,M414="שני שווא נח",2,M414="שני שוואים בסוף מילה",2,M414="שני שוואים ברצף",1),"0")</f>
        <v>1</v>
      </c>
      <c r="J414" s="9">
        <f t="shared" si="31"/>
        <v>2</v>
      </c>
      <c r="K414" t="s">
        <v>6698</v>
      </c>
      <c r="L414" t="s">
        <v>6694</v>
      </c>
      <c r="M414" t="s">
        <v>6705</v>
      </c>
      <c r="N414" t="s">
        <v>6706</v>
      </c>
      <c r="O414" t="s">
        <v>6694</v>
      </c>
      <c r="V414" t="s">
        <v>6694</v>
      </c>
      <c r="W414" t="s">
        <v>6720</v>
      </c>
    </row>
    <row r="415" spans="1:23" ht="15.6" x14ac:dyDescent="0.4">
      <c r="A415" s="2" t="s">
        <v>2145</v>
      </c>
      <c r="B415" s="5" t="s">
        <v>7095</v>
      </c>
      <c r="C415" s="7" t="s">
        <v>12556</v>
      </c>
      <c r="D415" s="8">
        <f t="shared" si="28"/>
        <v>0</v>
      </c>
      <c r="E415" s="7" t="s">
        <v>12557</v>
      </c>
      <c r="F415" s="7">
        <f t="shared" si="29"/>
        <v>0</v>
      </c>
      <c r="G415" s="7" t="s">
        <v>12558</v>
      </c>
      <c r="H415" s="7">
        <f t="shared" si="30"/>
        <v>0</v>
      </c>
      <c r="I415" s="7" t="str" cm="1">
        <f t="array" ref="I415">IFERROR(_xlfn.IFS(M415="נח",1,M415="נע ונח",1,M415="שני שווא נח",2,M415="שני שוואים בסוף מילה",2,M415="שני שוואים ברצף",1),"0")</f>
        <v>0</v>
      </c>
      <c r="J415" s="9">
        <f t="shared" si="31"/>
        <v>2</v>
      </c>
      <c r="K415" t="s">
        <v>6698</v>
      </c>
      <c r="L415" t="s">
        <v>6695</v>
      </c>
      <c r="Q415" t="s">
        <v>6694</v>
      </c>
      <c r="V415" t="s">
        <v>6694</v>
      </c>
      <c r="W415" t="s">
        <v>6720</v>
      </c>
    </row>
    <row r="416" spans="1:23" ht="15.6" x14ac:dyDescent="0.4">
      <c r="A416" s="2" t="s">
        <v>5342</v>
      </c>
      <c r="B416" s="5" t="s">
        <v>7096</v>
      </c>
      <c r="C416" s="7" t="s">
        <v>12556</v>
      </c>
      <c r="D416" s="8">
        <f t="shared" si="28"/>
        <v>0</v>
      </c>
      <c r="E416" s="7" t="s">
        <v>12557</v>
      </c>
      <c r="F416" s="7">
        <f t="shared" si="29"/>
        <v>0</v>
      </c>
      <c r="G416" s="7" t="s">
        <v>12558</v>
      </c>
      <c r="H416" s="7">
        <f t="shared" si="30"/>
        <v>0</v>
      </c>
      <c r="I416" s="7" t="str" cm="1">
        <f t="array" ref="I416">IFERROR(_xlfn.IFS(M416="נח",1,M416="נע ונח",1,M416="שני שווא נח",2,M416="שני שוואים בסוף מילה",2,M416="שני שוואים ברצף",1),"0")</f>
        <v>0</v>
      </c>
      <c r="J416" s="9">
        <f t="shared" si="31"/>
        <v>4</v>
      </c>
      <c r="K416" t="s">
        <v>6697</v>
      </c>
      <c r="L416" t="s">
        <v>6695</v>
      </c>
      <c r="O416" t="s">
        <v>6694</v>
      </c>
      <c r="P416" t="s">
        <v>6694</v>
      </c>
      <c r="S416" t="s">
        <v>6694</v>
      </c>
      <c r="V416" t="s">
        <v>6694</v>
      </c>
      <c r="W416" t="s">
        <v>6720</v>
      </c>
    </row>
    <row r="417" spans="1:23" ht="15.6" x14ac:dyDescent="0.4">
      <c r="A417" s="2" t="s">
        <v>5304</v>
      </c>
      <c r="B417" s="5" t="s">
        <v>7096</v>
      </c>
      <c r="C417" s="7" t="s">
        <v>12556</v>
      </c>
      <c r="D417" s="8">
        <f t="shared" si="28"/>
        <v>0</v>
      </c>
      <c r="E417" s="7" t="s">
        <v>12557</v>
      </c>
      <c r="F417" s="7">
        <f t="shared" si="29"/>
        <v>0</v>
      </c>
      <c r="G417" s="7" t="s">
        <v>12558</v>
      </c>
      <c r="H417" s="7">
        <f t="shared" si="30"/>
        <v>0</v>
      </c>
      <c r="I417" s="7" t="str" cm="1">
        <f t="array" ref="I417">IFERROR(_xlfn.IFS(M417="נח",1,M417="נע ונח",1,M417="שני שווא נח",2,M417="שני שוואים בסוף מילה",2,M417="שני שוואים ברצף",1),"0")</f>
        <v>0</v>
      </c>
      <c r="J417" s="9">
        <f t="shared" si="31"/>
        <v>4</v>
      </c>
      <c r="K417" t="s">
        <v>6697</v>
      </c>
      <c r="L417" t="s">
        <v>6695</v>
      </c>
      <c r="O417" t="s">
        <v>6694</v>
      </c>
      <c r="R417" t="s">
        <v>6694</v>
      </c>
      <c r="S417" t="s">
        <v>6694</v>
      </c>
      <c r="V417" t="s">
        <v>6694</v>
      </c>
      <c r="W417" t="s">
        <v>6720</v>
      </c>
    </row>
    <row r="418" spans="1:23" ht="15.6" x14ac:dyDescent="0.4">
      <c r="A418" s="2" t="s">
        <v>807</v>
      </c>
      <c r="B418" s="5" t="s">
        <v>7097</v>
      </c>
      <c r="C418" s="7" t="s">
        <v>12556</v>
      </c>
      <c r="D418" s="8">
        <f t="shared" si="28"/>
        <v>0</v>
      </c>
      <c r="E418" s="7" t="s">
        <v>12557</v>
      </c>
      <c r="F418" s="7">
        <f t="shared" si="29"/>
        <v>0</v>
      </c>
      <c r="G418" s="7" t="s">
        <v>12558</v>
      </c>
      <c r="H418" s="7">
        <f t="shared" si="30"/>
        <v>0</v>
      </c>
      <c r="I418" s="7" t="str" cm="1">
        <f t="array" ref="I418">IFERROR(_xlfn.IFS(M418="נח",1,M418="נע ונח",1,M418="שני שווא נח",2,M418="שני שוואים בסוף מילה",2,M418="שני שוואים ברצף",1),"0")</f>
        <v>0</v>
      </c>
      <c r="J418" s="9">
        <f t="shared" si="31"/>
        <v>2</v>
      </c>
      <c r="K418" t="s">
        <v>6698</v>
      </c>
      <c r="L418" t="s">
        <v>6695</v>
      </c>
      <c r="Q418" t="s">
        <v>6694</v>
      </c>
      <c r="V418" t="s">
        <v>6694</v>
      </c>
      <c r="W418" t="s">
        <v>6720</v>
      </c>
    </row>
    <row r="419" spans="1:23" ht="15.6" x14ac:dyDescent="0.4">
      <c r="A419" s="2" t="s">
        <v>3584</v>
      </c>
      <c r="B419" s="5" t="s">
        <v>7098</v>
      </c>
      <c r="C419" s="7" t="s">
        <v>12556</v>
      </c>
      <c r="D419" s="8">
        <f t="shared" si="28"/>
        <v>0</v>
      </c>
      <c r="E419" s="7" t="s">
        <v>12557</v>
      </c>
      <c r="F419" s="7">
        <f t="shared" si="29"/>
        <v>0</v>
      </c>
      <c r="G419" s="7" t="s">
        <v>12558</v>
      </c>
      <c r="H419" s="7">
        <f t="shared" si="30"/>
        <v>0</v>
      </c>
      <c r="I419" s="7" cm="1">
        <f t="array" ref="I419">IFERROR(_xlfn.IFS(M419="נח",1,M419="נע ונח",1,M419="שני שווא נח",2,M419="שני שוואים בסוף מילה",2,M419="שני שוואים ברצף",1),"0")</f>
        <v>1</v>
      </c>
      <c r="J419" s="9">
        <f t="shared" si="31"/>
        <v>2</v>
      </c>
      <c r="K419" t="s">
        <v>6697</v>
      </c>
      <c r="L419" t="s">
        <v>6694</v>
      </c>
      <c r="M419" t="s">
        <v>6705</v>
      </c>
      <c r="O419" t="s">
        <v>6694</v>
      </c>
      <c r="V419" t="s">
        <v>6694</v>
      </c>
      <c r="W419" t="s">
        <v>6720</v>
      </c>
    </row>
    <row r="420" spans="1:23" ht="15.6" x14ac:dyDescent="0.4">
      <c r="A420" s="2" t="s">
        <v>154</v>
      </c>
      <c r="B420" s="5" t="s">
        <v>7099</v>
      </c>
      <c r="C420" s="7" t="s">
        <v>12556</v>
      </c>
      <c r="D420" s="8">
        <f t="shared" si="28"/>
        <v>0</v>
      </c>
      <c r="E420" s="7" t="s">
        <v>12557</v>
      </c>
      <c r="F420" s="7">
        <f t="shared" si="29"/>
        <v>0</v>
      </c>
      <c r="G420" s="7" t="s">
        <v>12558</v>
      </c>
      <c r="H420" s="7">
        <f t="shared" si="30"/>
        <v>0</v>
      </c>
      <c r="I420" s="7" t="str" cm="1">
        <f t="array" ref="I420">IFERROR(_xlfn.IFS(M420="נח",1,M420="נע ונח",1,M420="שני שווא נח",2,M420="שני שוואים בסוף מילה",2,M420="שני שוואים ברצף",1),"0")</f>
        <v>0</v>
      </c>
      <c r="J420" s="9">
        <f t="shared" si="31"/>
        <v>2</v>
      </c>
      <c r="K420" t="s">
        <v>6698</v>
      </c>
      <c r="L420" t="s">
        <v>6695</v>
      </c>
      <c r="N420" t="s">
        <v>6706</v>
      </c>
      <c r="O420" t="s">
        <v>6694</v>
      </c>
      <c r="V420" t="s">
        <v>6694</v>
      </c>
      <c r="W420" t="s">
        <v>6720</v>
      </c>
    </row>
    <row r="421" spans="1:23" ht="15.6" x14ac:dyDescent="0.4">
      <c r="A421" s="2" t="s">
        <v>6394</v>
      </c>
      <c r="B421" s="5" t="s">
        <v>7100</v>
      </c>
      <c r="C421" s="7" t="s">
        <v>12556</v>
      </c>
      <c r="D421" s="8">
        <f t="shared" si="28"/>
        <v>0</v>
      </c>
      <c r="E421" s="7" t="s">
        <v>12557</v>
      </c>
      <c r="F421" s="7">
        <f t="shared" si="29"/>
        <v>0</v>
      </c>
      <c r="G421" s="7" t="s">
        <v>12558</v>
      </c>
      <c r="H421" s="7">
        <f t="shared" si="30"/>
        <v>0</v>
      </c>
      <c r="I421" s="7" t="str" cm="1">
        <f t="array" ref="I421">IFERROR(_xlfn.IFS(M421="נח",1,M421="נע ונח",1,M421="שני שווא נח",2,M421="שני שוואים בסוף מילה",2,M421="שני שוואים ברצף",1),"0")</f>
        <v>0</v>
      </c>
      <c r="J421" s="9">
        <f t="shared" si="31"/>
        <v>2</v>
      </c>
      <c r="K421" t="s">
        <v>6698</v>
      </c>
      <c r="L421" t="s">
        <v>6695</v>
      </c>
      <c r="S421" t="s">
        <v>6694</v>
      </c>
      <c r="V421" t="s">
        <v>6694</v>
      </c>
      <c r="W421" t="s">
        <v>6720</v>
      </c>
    </row>
    <row r="422" spans="1:23" ht="15.6" x14ac:dyDescent="0.4">
      <c r="A422" s="2" t="s">
        <v>618</v>
      </c>
      <c r="B422" s="5" t="s">
        <v>7101</v>
      </c>
      <c r="C422" s="7" t="s">
        <v>12556</v>
      </c>
      <c r="D422" s="8">
        <f t="shared" si="28"/>
        <v>0</v>
      </c>
      <c r="E422" s="7" t="s">
        <v>12557</v>
      </c>
      <c r="F422" s="7">
        <f t="shared" si="29"/>
        <v>0</v>
      </c>
      <c r="G422" s="7" t="s">
        <v>12558</v>
      </c>
      <c r="H422" s="7">
        <f t="shared" si="30"/>
        <v>0</v>
      </c>
      <c r="I422" s="7" t="str" cm="1">
        <f t="array" ref="I422">IFERROR(_xlfn.IFS(M422="נח",1,M422="נע ונח",1,M422="שני שווא נח",2,M422="שני שוואים בסוף מילה",2,M422="שני שוואים ברצף",1),"0")</f>
        <v>0</v>
      </c>
      <c r="J422" s="9">
        <f t="shared" si="31"/>
        <v>1</v>
      </c>
      <c r="K422" t="s">
        <v>6698</v>
      </c>
      <c r="L422" t="s">
        <v>6695</v>
      </c>
      <c r="V422" t="s">
        <v>6694</v>
      </c>
      <c r="W422" t="s">
        <v>6720</v>
      </c>
    </row>
    <row r="423" spans="1:23" ht="15.6" x14ac:dyDescent="0.4">
      <c r="A423" s="2" t="s">
        <v>2604</v>
      </c>
      <c r="B423" s="5" t="s">
        <v>7102</v>
      </c>
      <c r="C423" s="7" t="s">
        <v>12556</v>
      </c>
      <c r="D423" s="8">
        <f t="shared" si="28"/>
        <v>0</v>
      </c>
      <c r="E423" s="7" t="s">
        <v>12557</v>
      </c>
      <c r="F423" s="7">
        <f t="shared" si="29"/>
        <v>0</v>
      </c>
      <c r="G423" s="7" t="s">
        <v>12558</v>
      </c>
      <c r="H423" s="7">
        <f t="shared" si="30"/>
        <v>0</v>
      </c>
      <c r="I423" s="7" t="str" cm="1">
        <f t="array" ref="I423">IFERROR(_xlfn.IFS(M423="נח",1,M423="נע ונח",1,M423="שני שווא נח",2,M423="שני שוואים בסוף מילה",2,M423="שני שוואים ברצף",1),"0")</f>
        <v>0</v>
      </c>
      <c r="J423" s="9">
        <f t="shared" si="31"/>
        <v>2</v>
      </c>
      <c r="K423" t="s">
        <v>6697</v>
      </c>
      <c r="L423" t="s">
        <v>6695</v>
      </c>
      <c r="S423" t="s">
        <v>6694</v>
      </c>
      <c r="V423" t="s">
        <v>6694</v>
      </c>
      <c r="W423" t="s">
        <v>6720</v>
      </c>
    </row>
    <row r="424" spans="1:23" ht="15.6" x14ac:dyDescent="0.4">
      <c r="A424" s="2" t="s">
        <v>1773</v>
      </c>
      <c r="B424" s="5" t="s">
        <v>7103</v>
      </c>
      <c r="C424" s="7" t="s">
        <v>12556</v>
      </c>
      <c r="D424" s="8">
        <f t="shared" si="28"/>
        <v>0</v>
      </c>
      <c r="E424" s="7" t="s">
        <v>12557</v>
      </c>
      <c r="F424" s="7">
        <f t="shared" si="29"/>
        <v>0</v>
      </c>
      <c r="G424" s="7" t="s">
        <v>12558</v>
      </c>
      <c r="H424" s="7">
        <f t="shared" si="30"/>
        <v>0</v>
      </c>
      <c r="I424" s="7" t="str" cm="1">
        <f t="array" ref="I424">IFERROR(_xlfn.IFS(M424="נח",1,M424="נע ונח",1,M424="שני שווא נח",2,M424="שני שוואים בסוף מילה",2,M424="שני שוואים ברצף",1),"0")</f>
        <v>0</v>
      </c>
      <c r="J424" s="9">
        <f t="shared" si="31"/>
        <v>2</v>
      </c>
      <c r="K424" t="s">
        <v>6698</v>
      </c>
      <c r="L424" t="s">
        <v>6695</v>
      </c>
      <c r="S424" t="s">
        <v>6694</v>
      </c>
      <c r="V424" t="s">
        <v>6694</v>
      </c>
      <c r="W424" t="s">
        <v>6720</v>
      </c>
    </row>
    <row r="425" spans="1:23" ht="15.6" x14ac:dyDescent="0.4">
      <c r="A425" s="2" t="s">
        <v>885</v>
      </c>
      <c r="B425" s="5" t="s">
        <v>7104</v>
      </c>
      <c r="C425" s="7" t="s">
        <v>12556</v>
      </c>
      <c r="D425" s="8">
        <f t="shared" si="28"/>
        <v>0</v>
      </c>
      <c r="E425" s="7" t="s">
        <v>12557</v>
      </c>
      <c r="F425" s="7">
        <f t="shared" si="29"/>
        <v>0</v>
      </c>
      <c r="G425" s="7" t="s">
        <v>12558</v>
      </c>
      <c r="H425" s="7">
        <f t="shared" si="30"/>
        <v>0</v>
      </c>
      <c r="I425" s="7" cm="1">
        <f t="array" ref="I425">IFERROR(_xlfn.IFS(M425="נח",1,M425="נע ונח",1,M425="שני שווא נח",2,M425="שני שוואים בסוף מילה",2,M425="שני שוואים ברצף",1),"0")</f>
        <v>1</v>
      </c>
      <c r="J425" s="9">
        <f t="shared" si="31"/>
        <v>2</v>
      </c>
      <c r="K425" t="s">
        <v>6697</v>
      </c>
      <c r="L425" t="s">
        <v>6694</v>
      </c>
      <c r="M425" t="s">
        <v>6705</v>
      </c>
      <c r="O425" t="s">
        <v>6694</v>
      </c>
      <c r="V425" t="s">
        <v>6694</v>
      </c>
      <c r="W425" t="s">
        <v>6720</v>
      </c>
    </row>
    <row r="426" spans="1:23" ht="15.6" x14ac:dyDescent="0.4">
      <c r="A426" s="2" t="s">
        <v>3368</v>
      </c>
      <c r="B426" s="5" t="s">
        <v>7105</v>
      </c>
      <c r="C426" s="7" t="s">
        <v>12556</v>
      </c>
      <c r="D426" s="8">
        <f t="shared" si="28"/>
        <v>0</v>
      </c>
      <c r="E426" s="7" t="s">
        <v>12557</v>
      </c>
      <c r="F426" s="7">
        <f t="shared" si="29"/>
        <v>0</v>
      </c>
      <c r="G426" s="7" t="s">
        <v>12558</v>
      </c>
      <c r="H426" s="7">
        <f t="shared" si="30"/>
        <v>0</v>
      </c>
      <c r="I426" s="7" t="str" cm="1">
        <f t="array" ref="I426">IFERROR(_xlfn.IFS(M426="נח",1,M426="נע ונח",1,M426="שני שווא נח",2,M426="שני שוואים בסוף מילה",2,M426="שני שוואים ברצף",1),"0")</f>
        <v>0</v>
      </c>
      <c r="J426" s="9">
        <f t="shared" si="31"/>
        <v>2</v>
      </c>
      <c r="K426" t="s">
        <v>6697</v>
      </c>
      <c r="L426" t="s">
        <v>6695</v>
      </c>
      <c r="S426" t="s">
        <v>6694</v>
      </c>
      <c r="V426" t="s">
        <v>6694</v>
      </c>
      <c r="W426" t="s">
        <v>6720</v>
      </c>
    </row>
    <row r="427" spans="1:23" ht="15.6" x14ac:dyDescent="0.4">
      <c r="A427" s="2" t="s">
        <v>2620</v>
      </c>
      <c r="B427" s="5" t="s">
        <v>7106</v>
      </c>
      <c r="C427" s="7" t="s">
        <v>12556</v>
      </c>
      <c r="D427" s="8">
        <f t="shared" si="28"/>
        <v>0</v>
      </c>
      <c r="E427" s="7" t="s">
        <v>12557</v>
      </c>
      <c r="F427" s="7">
        <f t="shared" si="29"/>
        <v>1</v>
      </c>
      <c r="G427" s="7" t="s">
        <v>12558</v>
      </c>
      <c r="H427" s="7">
        <f t="shared" si="30"/>
        <v>0</v>
      </c>
      <c r="I427" s="7" t="str" cm="1">
        <f t="array" ref="I427">IFERROR(_xlfn.IFS(M427="נח",1,M427="נע ונח",1,M427="שני שווא נח",2,M427="שני שוואים בסוף מילה",2,M427="שני שוואים ברצף",1),"0")</f>
        <v>0</v>
      </c>
      <c r="J427" s="9">
        <f t="shared" si="31"/>
        <v>2</v>
      </c>
      <c r="K427" t="s">
        <v>6697</v>
      </c>
      <c r="L427" t="s">
        <v>6695</v>
      </c>
      <c r="N427" t="s">
        <v>6706</v>
      </c>
      <c r="O427" t="s">
        <v>6694</v>
      </c>
      <c r="V427" t="s">
        <v>6694</v>
      </c>
      <c r="W427" t="s">
        <v>6720</v>
      </c>
    </row>
    <row r="428" spans="1:23" ht="15.6" x14ac:dyDescent="0.4">
      <c r="A428" s="2" t="s">
        <v>1118</v>
      </c>
      <c r="B428" s="5" t="s">
        <v>7107</v>
      </c>
      <c r="C428" s="7" t="s">
        <v>12556</v>
      </c>
      <c r="D428" s="8">
        <f t="shared" si="28"/>
        <v>0</v>
      </c>
      <c r="E428" s="7" t="s">
        <v>12557</v>
      </c>
      <c r="F428" s="7">
        <f t="shared" si="29"/>
        <v>0</v>
      </c>
      <c r="G428" s="7" t="s">
        <v>12558</v>
      </c>
      <c r="H428" s="7">
        <f t="shared" si="30"/>
        <v>0</v>
      </c>
      <c r="I428" s="7" t="str" cm="1">
        <f t="array" ref="I428">IFERROR(_xlfn.IFS(M428="נח",1,M428="נע ונח",1,M428="שני שווא נח",2,M428="שני שוואים בסוף מילה",2,M428="שני שוואים ברצף",1),"0")</f>
        <v>0</v>
      </c>
      <c r="J428" s="9">
        <f t="shared" si="31"/>
        <v>2</v>
      </c>
      <c r="K428" t="s">
        <v>6698</v>
      </c>
      <c r="L428" t="s">
        <v>6695</v>
      </c>
      <c r="N428" t="s">
        <v>6706</v>
      </c>
      <c r="O428" t="s">
        <v>6694</v>
      </c>
      <c r="V428" t="s">
        <v>6694</v>
      </c>
      <c r="W428" t="s">
        <v>6720</v>
      </c>
    </row>
    <row r="429" spans="1:23" ht="15.6" x14ac:dyDescent="0.4">
      <c r="A429" s="2" t="s">
        <v>5656</v>
      </c>
      <c r="B429" s="5" t="s">
        <v>7108</v>
      </c>
      <c r="C429" s="7" t="s">
        <v>12556</v>
      </c>
      <c r="D429" s="8">
        <f t="shared" si="28"/>
        <v>0</v>
      </c>
      <c r="E429" s="7" t="s">
        <v>12557</v>
      </c>
      <c r="F429" s="7">
        <f t="shared" si="29"/>
        <v>1</v>
      </c>
      <c r="G429" s="7" t="s">
        <v>12558</v>
      </c>
      <c r="H429" s="7">
        <f t="shared" si="30"/>
        <v>1</v>
      </c>
      <c r="I429" s="7" t="str" cm="1">
        <f t="array" ref="I429">IFERROR(_xlfn.IFS(M429="נח",1,M429="נע ונח",1,M429="שני שווא נח",2,M429="שני שוואים בסוף מילה",2,M429="שני שוואים ברצף",1),"0")</f>
        <v>0</v>
      </c>
      <c r="J429" s="9">
        <f t="shared" si="31"/>
        <v>4</v>
      </c>
      <c r="K429" t="s">
        <v>6697</v>
      </c>
      <c r="L429" t="s">
        <v>6695</v>
      </c>
      <c r="Q429" t="s">
        <v>6694</v>
      </c>
      <c r="U429" t="s">
        <v>6694</v>
      </c>
      <c r="V429" t="s">
        <v>6694</v>
      </c>
      <c r="W429" t="s">
        <v>6720</v>
      </c>
    </row>
    <row r="430" spans="1:23" ht="15.6" x14ac:dyDescent="0.4">
      <c r="A430" s="2" t="s">
        <v>5641</v>
      </c>
      <c r="B430" s="5" t="s">
        <v>7109</v>
      </c>
      <c r="C430" s="7" t="s">
        <v>12556</v>
      </c>
      <c r="D430" s="8">
        <f t="shared" si="28"/>
        <v>0</v>
      </c>
      <c r="E430" s="7" t="s">
        <v>12557</v>
      </c>
      <c r="F430" s="7">
        <f t="shared" si="29"/>
        <v>0</v>
      </c>
      <c r="G430" s="7" t="s">
        <v>12558</v>
      </c>
      <c r="H430" s="7">
        <f t="shared" si="30"/>
        <v>0</v>
      </c>
      <c r="I430" s="7" t="str" cm="1">
        <f t="array" ref="I430">IFERROR(_xlfn.IFS(M430="נח",1,M430="נע ונח",1,M430="שני שווא נח",2,M430="שני שוואים בסוף מילה",2,M430="שני שוואים ברצף",1),"0")</f>
        <v>0</v>
      </c>
      <c r="J430" s="9">
        <f t="shared" si="31"/>
        <v>3</v>
      </c>
      <c r="K430" t="s">
        <v>6698</v>
      </c>
      <c r="L430" t="s">
        <v>6695</v>
      </c>
      <c r="N430" t="s">
        <v>6706</v>
      </c>
      <c r="O430" t="s">
        <v>6694</v>
      </c>
      <c r="V430" t="s">
        <v>6694</v>
      </c>
      <c r="W430" t="s">
        <v>6720</v>
      </c>
    </row>
    <row r="431" spans="1:23" ht="15.6" x14ac:dyDescent="0.4">
      <c r="A431" s="2" t="s">
        <v>2796</v>
      </c>
      <c r="B431" s="5" t="s">
        <v>7110</v>
      </c>
      <c r="C431" s="7" t="s">
        <v>12556</v>
      </c>
      <c r="D431" s="8">
        <f t="shared" si="28"/>
        <v>0</v>
      </c>
      <c r="E431" s="7" t="s">
        <v>12557</v>
      </c>
      <c r="F431" s="7">
        <f t="shared" si="29"/>
        <v>0</v>
      </c>
      <c r="G431" s="7" t="s">
        <v>12558</v>
      </c>
      <c r="H431" s="7">
        <f t="shared" si="30"/>
        <v>0</v>
      </c>
      <c r="I431" s="7" t="str" cm="1">
        <f t="array" ref="I431">IFERROR(_xlfn.IFS(M431="נח",1,M431="נע ונח",1,M431="שני שווא נח",2,M431="שני שוואים בסוף מילה",2,M431="שני שוואים ברצף",1),"0")</f>
        <v>0</v>
      </c>
      <c r="J431" s="9">
        <f t="shared" si="31"/>
        <v>2</v>
      </c>
      <c r="K431" t="s">
        <v>6697</v>
      </c>
      <c r="L431" t="s">
        <v>6695</v>
      </c>
      <c r="V431" t="s">
        <v>6694</v>
      </c>
      <c r="W431" t="s">
        <v>6720</v>
      </c>
    </row>
    <row r="432" spans="1:23" ht="15.6" x14ac:dyDescent="0.4">
      <c r="A432" s="2" t="s">
        <v>5038</v>
      </c>
      <c r="B432" s="5" t="s">
        <v>7097</v>
      </c>
      <c r="C432" s="7" t="s">
        <v>12556</v>
      </c>
      <c r="D432" s="8">
        <f t="shared" si="28"/>
        <v>0</v>
      </c>
      <c r="E432" s="7" t="s">
        <v>12557</v>
      </c>
      <c r="F432" s="7">
        <f t="shared" si="29"/>
        <v>1</v>
      </c>
      <c r="G432" s="7" t="s">
        <v>12558</v>
      </c>
      <c r="H432" s="7">
        <f t="shared" si="30"/>
        <v>1</v>
      </c>
      <c r="I432" s="7" t="str" cm="1">
        <f t="array" ref="I432">IFERROR(_xlfn.IFS(M432="נח",1,M432="נע ונח",1,M432="שני שווא נח",2,M432="שני שוואים בסוף מילה",2,M432="שני שוואים ברצף",1),"0")</f>
        <v>0</v>
      </c>
      <c r="J432" s="9">
        <f t="shared" si="31"/>
        <v>2</v>
      </c>
      <c r="K432" t="s">
        <v>6698</v>
      </c>
      <c r="L432" t="s">
        <v>6695</v>
      </c>
      <c r="P432" t="s">
        <v>6694</v>
      </c>
      <c r="U432" t="s">
        <v>6694</v>
      </c>
      <c r="W432" t="s">
        <v>6720</v>
      </c>
    </row>
    <row r="433" spans="1:23" ht="15.6" x14ac:dyDescent="0.4">
      <c r="A433" s="2" t="s">
        <v>6273</v>
      </c>
      <c r="B433" s="5" t="s">
        <v>7097</v>
      </c>
      <c r="C433" s="7" t="s">
        <v>12556</v>
      </c>
      <c r="D433" s="8">
        <f t="shared" si="28"/>
        <v>0</v>
      </c>
      <c r="E433" s="7" t="s">
        <v>12557</v>
      </c>
      <c r="F433" s="7">
        <f t="shared" si="29"/>
        <v>1</v>
      </c>
      <c r="G433" s="7" t="s">
        <v>12558</v>
      </c>
      <c r="H433" s="7">
        <f t="shared" si="30"/>
        <v>1</v>
      </c>
      <c r="I433" s="7" t="str" cm="1">
        <f t="array" ref="I433">IFERROR(_xlfn.IFS(M433="נח",1,M433="נע ונח",1,M433="שני שווא נח",2,M433="שני שוואים בסוף מילה",2,M433="שני שוואים ברצף",1),"0")</f>
        <v>0</v>
      </c>
      <c r="J433" s="9">
        <f t="shared" si="31"/>
        <v>2</v>
      </c>
      <c r="K433" t="s">
        <v>6698</v>
      </c>
      <c r="L433" t="s">
        <v>6695</v>
      </c>
      <c r="N433" t="s">
        <v>6706</v>
      </c>
      <c r="O433" t="s">
        <v>6694</v>
      </c>
      <c r="U433" t="s">
        <v>6694</v>
      </c>
      <c r="W433" t="s">
        <v>6720</v>
      </c>
    </row>
    <row r="434" spans="1:23" ht="15.6" x14ac:dyDescent="0.4">
      <c r="A434" s="2" t="s">
        <v>6608</v>
      </c>
      <c r="B434" s="5" t="s">
        <v>7111</v>
      </c>
      <c r="C434" s="7" t="s">
        <v>12556</v>
      </c>
      <c r="D434" s="8">
        <f t="shared" si="28"/>
        <v>0</v>
      </c>
      <c r="E434" s="7" t="s">
        <v>12557</v>
      </c>
      <c r="F434" s="7">
        <f t="shared" si="29"/>
        <v>1</v>
      </c>
      <c r="G434" s="7" t="s">
        <v>12558</v>
      </c>
      <c r="H434" s="7">
        <f t="shared" si="30"/>
        <v>1</v>
      </c>
      <c r="I434" s="7" t="str" cm="1">
        <f t="array" ref="I434">IFERROR(_xlfn.IFS(M434="נח",1,M434="נע ונח",1,M434="שני שווא נח",2,M434="שני שוואים בסוף מילה",2,M434="שני שוואים ברצף",1),"0")</f>
        <v>0</v>
      </c>
      <c r="J434" s="9">
        <f t="shared" si="31"/>
        <v>2</v>
      </c>
      <c r="K434" t="s">
        <v>6698</v>
      </c>
      <c r="L434" t="s">
        <v>6695</v>
      </c>
      <c r="N434" t="s">
        <v>6706</v>
      </c>
      <c r="O434" t="s">
        <v>6694</v>
      </c>
      <c r="U434" t="s">
        <v>6694</v>
      </c>
      <c r="W434" t="s">
        <v>6720</v>
      </c>
    </row>
    <row r="435" spans="1:23" ht="15.6" x14ac:dyDescent="0.4">
      <c r="A435" s="2" t="s">
        <v>3898</v>
      </c>
      <c r="B435" s="5" t="s">
        <v>7112</v>
      </c>
      <c r="C435" s="7" t="s">
        <v>12556</v>
      </c>
      <c r="D435" s="8">
        <f t="shared" si="28"/>
        <v>0</v>
      </c>
      <c r="E435" s="7" t="s">
        <v>12557</v>
      </c>
      <c r="F435" s="7">
        <f t="shared" si="29"/>
        <v>0</v>
      </c>
      <c r="G435" s="7" t="s">
        <v>12558</v>
      </c>
      <c r="H435" s="7">
        <f t="shared" si="30"/>
        <v>0</v>
      </c>
      <c r="I435" s="7" t="str" cm="1">
        <f t="array" ref="I435">IFERROR(_xlfn.IFS(M435="נח",1,M435="נע ונח",1,M435="שני שווא נח",2,M435="שני שוואים בסוף מילה",2,M435="שני שוואים ברצף",1),"0")</f>
        <v>0</v>
      </c>
      <c r="J435" s="9">
        <f t="shared" si="31"/>
        <v>3</v>
      </c>
      <c r="K435" t="s">
        <v>6698</v>
      </c>
      <c r="L435" t="s">
        <v>6694</v>
      </c>
      <c r="M435" t="s">
        <v>6700</v>
      </c>
      <c r="Q435" t="s">
        <v>6694</v>
      </c>
      <c r="V435" t="s">
        <v>6694</v>
      </c>
      <c r="W435" t="s">
        <v>6720</v>
      </c>
    </row>
    <row r="436" spans="1:23" ht="15.6" x14ac:dyDescent="0.4">
      <c r="A436" s="2" t="s">
        <v>3000</v>
      </c>
      <c r="B436" s="5" t="s">
        <v>7113</v>
      </c>
      <c r="C436" s="7" t="s">
        <v>12556</v>
      </c>
      <c r="D436" s="8">
        <f t="shared" si="28"/>
        <v>0</v>
      </c>
      <c r="E436" s="7" t="s">
        <v>12557</v>
      </c>
      <c r="F436" s="7">
        <f t="shared" si="29"/>
        <v>1</v>
      </c>
      <c r="G436" s="7" t="s">
        <v>12558</v>
      </c>
      <c r="H436" s="7">
        <f t="shared" si="30"/>
        <v>0</v>
      </c>
      <c r="I436" s="7" t="str" cm="1">
        <f t="array" ref="I436">IFERROR(_xlfn.IFS(M436="נח",1,M436="נע ונח",1,M436="שני שווא נח",2,M436="שני שוואים בסוף מילה",2,M436="שני שוואים ברצף",1),"0")</f>
        <v>0</v>
      </c>
      <c r="J436" s="9">
        <f t="shared" si="31"/>
        <v>3</v>
      </c>
      <c r="K436" t="s">
        <v>6697</v>
      </c>
      <c r="L436" t="s">
        <v>6694</v>
      </c>
      <c r="M436" t="s">
        <v>6700</v>
      </c>
      <c r="P436" t="s">
        <v>6694</v>
      </c>
      <c r="S436" t="s">
        <v>6694</v>
      </c>
      <c r="W436" t="s">
        <v>6720</v>
      </c>
    </row>
    <row r="437" spans="1:23" ht="15.6" x14ac:dyDescent="0.4">
      <c r="A437" s="2" t="s">
        <v>2267</v>
      </c>
      <c r="B437" s="5" t="s">
        <v>7114</v>
      </c>
      <c r="C437" s="7" t="s">
        <v>12556</v>
      </c>
      <c r="D437" s="8">
        <f t="shared" si="28"/>
        <v>0</v>
      </c>
      <c r="E437" s="7" t="s">
        <v>12557</v>
      </c>
      <c r="F437" s="7">
        <f t="shared" si="29"/>
        <v>1</v>
      </c>
      <c r="G437" s="7" t="s">
        <v>12558</v>
      </c>
      <c r="H437" s="7">
        <f t="shared" si="30"/>
        <v>0</v>
      </c>
      <c r="I437" s="7" t="str" cm="1">
        <f t="array" ref="I437">IFERROR(_xlfn.IFS(M437="נח",1,M437="נע ונח",1,M437="שני שווא נח",2,M437="שני שוואים בסוף מילה",2,M437="שני שוואים ברצף",1),"0")</f>
        <v>0</v>
      </c>
      <c r="J437" s="9">
        <f t="shared" si="31"/>
        <v>3</v>
      </c>
      <c r="K437" t="s">
        <v>6697</v>
      </c>
      <c r="L437" t="s">
        <v>6694</v>
      </c>
      <c r="M437" t="s">
        <v>6700</v>
      </c>
      <c r="P437" t="s">
        <v>6694</v>
      </c>
      <c r="V437" t="s">
        <v>6694</v>
      </c>
      <c r="W437" t="s">
        <v>6720</v>
      </c>
    </row>
    <row r="438" spans="1:23" ht="15.6" x14ac:dyDescent="0.4">
      <c r="A438" s="2" t="s">
        <v>1112</v>
      </c>
      <c r="B438" s="5" t="s">
        <v>7115</v>
      </c>
      <c r="C438" s="7" t="s">
        <v>12556</v>
      </c>
      <c r="D438" s="8">
        <f t="shared" si="28"/>
        <v>0</v>
      </c>
      <c r="E438" s="7" t="s">
        <v>12557</v>
      </c>
      <c r="F438" s="7">
        <f t="shared" si="29"/>
        <v>0</v>
      </c>
      <c r="G438" s="7" t="s">
        <v>12558</v>
      </c>
      <c r="H438" s="7">
        <f t="shared" si="30"/>
        <v>0</v>
      </c>
      <c r="I438" s="7" t="str" cm="1">
        <f t="array" ref="I438">IFERROR(_xlfn.IFS(M438="נח",1,M438="נע ונח",1,M438="שני שווא נח",2,M438="שני שוואים בסוף מילה",2,M438="שני שוואים ברצף",1),"0")</f>
        <v>0</v>
      </c>
      <c r="J438" s="9">
        <f t="shared" si="31"/>
        <v>5</v>
      </c>
      <c r="K438" t="s">
        <v>6698</v>
      </c>
      <c r="L438" t="s">
        <v>6694</v>
      </c>
      <c r="M438" t="s">
        <v>6700</v>
      </c>
      <c r="O438" t="s">
        <v>6694</v>
      </c>
      <c r="Q438" t="s">
        <v>6694</v>
      </c>
      <c r="R438" t="s">
        <v>6694</v>
      </c>
      <c r="W438" t="s">
        <v>6720</v>
      </c>
    </row>
    <row r="439" spans="1:23" ht="15.6" x14ac:dyDescent="0.4">
      <c r="A439" s="2" t="s">
        <v>2635</v>
      </c>
      <c r="B439" s="5" t="s">
        <v>7116</v>
      </c>
      <c r="C439" s="7" t="s">
        <v>12556</v>
      </c>
      <c r="D439" s="8">
        <f t="shared" si="28"/>
        <v>0</v>
      </c>
      <c r="E439" s="7" t="s">
        <v>12557</v>
      </c>
      <c r="F439" s="7">
        <f t="shared" si="29"/>
        <v>0</v>
      </c>
      <c r="G439" s="7" t="s">
        <v>12558</v>
      </c>
      <c r="H439" s="7">
        <f t="shared" si="30"/>
        <v>0</v>
      </c>
      <c r="I439" s="7" t="str" cm="1">
        <f t="array" ref="I439">IFERROR(_xlfn.IFS(M439="נח",1,M439="נע ונח",1,M439="שני שווא נח",2,M439="שני שוואים בסוף מילה",2,M439="שני שוואים ברצף",1),"0")</f>
        <v>0</v>
      </c>
      <c r="J439" s="9">
        <f t="shared" si="31"/>
        <v>4</v>
      </c>
      <c r="K439" t="s">
        <v>6697</v>
      </c>
      <c r="L439" t="s">
        <v>6694</v>
      </c>
      <c r="M439" t="s">
        <v>6700</v>
      </c>
      <c r="O439" t="s">
        <v>6694</v>
      </c>
      <c r="V439" t="s">
        <v>6694</v>
      </c>
      <c r="W439" t="s">
        <v>6720</v>
      </c>
    </row>
    <row r="440" spans="1:23" ht="15.6" x14ac:dyDescent="0.4">
      <c r="A440" s="2" t="s">
        <v>4279</v>
      </c>
      <c r="B440" s="5" t="s">
        <v>7117</v>
      </c>
      <c r="C440" s="7" t="s">
        <v>12556</v>
      </c>
      <c r="D440" s="8">
        <f t="shared" si="28"/>
        <v>0</v>
      </c>
      <c r="E440" s="7" t="s">
        <v>12557</v>
      </c>
      <c r="F440" s="7">
        <f t="shared" si="29"/>
        <v>0</v>
      </c>
      <c r="G440" s="7" t="s">
        <v>12558</v>
      </c>
      <c r="H440" s="7">
        <f t="shared" si="30"/>
        <v>0</v>
      </c>
      <c r="I440" s="7" cm="1">
        <f t="array" ref="I440">IFERROR(_xlfn.IFS(M440="נח",1,M440="נע ונח",1,M440="שני שווא נח",2,M440="שני שוואים בסוף מילה",2,M440="שני שוואים ברצף",1),"0")</f>
        <v>1</v>
      </c>
      <c r="J440" s="9">
        <f t="shared" si="31"/>
        <v>4</v>
      </c>
      <c r="K440" t="s">
        <v>6697</v>
      </c>
      <c r="L440" t="s">
        <v>6694</v>
      </c>
      <c r="M440" t="s">
        <v>6701</v>
      </c>
      <c r="N440" t="s">
        <v>6706</v>
      </c>
      <c r="O440" t="s">
        <v>6694</v>
      </c>
      <c r="W440" t="s">
        <v>6720</v>
      </c>
    </row>
    <row r="441" spans="1:23" ht="15.6" x14ac:dyDescent="0.4">
      <c r="A441" s="2" t="s">
        <v>6330</v>
      </c>
      <c r="B441" s="5" t="s">
        <v>7118</v>
      </c>
      <c r="C441" s="7" t="s">
        <v>12556</v>
      </c>
      <c r="D441" s="8">
        <f t="shared" si="28"/>
        <v>0</v>
      </c>
      <c r="E441" s="7" t="s">
        <v>12557</v>
      </c>
      <c r="F441" s="7">
        <f t="shared" si="29"/>
        <v>0</v>
      </c>
      <c r="G441" s="7" t="s">
        <v>12558</v>
      </c>
      <c r="H441" s="7">
        <f t="shared" si="30"/>
        <v>0</v>
      </c>
      <c r="I441" s="7" cm="1">
        <f t="array" ref="I441">IFERROR(_xlfn.IFS(M441="נח",1,M441="נע ונח",1,M441="שני שווא נח",2,M441="שני שוואים בסוף מילה",2,M441="שני שוואים ברצף",1),"0")</f>
        <v>1</v>
      </c>
      <c r="J441" s="9">
        <f t="shared" si="31"/>
        <v>3</v>
      </c>
      <c r="K441" t="s">
        <v>6698</v>
      </c>
      <c r="L441" t="s">
        <v>6694</v>
      </c>
      <c r="M441" t="s">
        <v>6701</v>
      </c>
      <c r="N441" t="s">
        <v>6706</v>
      </c>
      <c r="O441" t="s">
        <v>6694</v>
      </c>
      <c r="W441" t="s">
        <v>6720</v>
      </c>
    </row>
    <row r="442" spans="1:23" ht="15.6" x14ac:dyDescent="0.4">
      <c r="A442" s="2" t="s">
        <v>6201</v>
      </c>
      <c r="B442" s="5" t="s">
        <v>7119</v>
      </c>
      <c r="C442" s="7" t="s">
        <v>12556</v>
      </c>
      <c r="D442" s="8">
        <f t="shared" si="28"/>
        <v>0</v>
      </c>
      <c r="E442" s="7" t="s">
        <v>12557</v>
      </c>
      <c r="F442" s="7">
        <f t="shared" si="29"/>
        <v>1</v>
      </c>
      <c r="G442" s="7" t="s">
        <v>12558</v>
      </c>
      <c r="H442" s="7">
        <f t="shared" si="30"/>
        <v>1</v>
      </c>
      <c r="I442" s="7" t="str" cm="1">
        <f t="array" ref="I442">IFERROR(_xlfn.IFS(M442="נח",1,M442="נע ונח",1,M442="שני שווא נח",2,M442="שני שוואים בסוף מילה",2,M442="שני שוואים ברצף",1),"0")</f>
        <v>0</v>
      </c>
      <c r="J442" s="9">
        <f t="shared" si="31"/>
        <v>3</v>
      </c>
      <c r="K442" t="s">
        <v>6698</v>
      </c>
      <c r="L442" t="s">
        <v>6694</v>
      </c>
      <c r="M442" t="s">
        <v>6700</v>
      </c>
      <c r="Q442" t="s">
        <v>6694</v>
      </c>
      <c r="U442" t="s">
        <v>6694</v>
      </c>
      <c r="W442" t="s">
        <v>6720</v>
      </c>
    </row>
    <row r="443" spans="1:23" ht="15.6" x14ac:dyDescent="0.4">
      <c r="A443" s="2" t="s">
        <v>5894</v>
      </c>
      <c r="B443" s="5" t="s">
        <v>7120</v>
      </c>
      <c r="C443" s="7" t="s">
        <v>12556</v>
      </c>
      <c r="D443" s="8">
        <f t="shared" si="28"/>
        <v>0</v>
      </c>
      <c r="E443" s="7" t="s">
        <v>12557</v>
      </c>
      <c r="F443" s="7">
        <f t="shared" si="29"/>
        <v>0</v>
      </c>
      <c r="G443" s="7" t="s">
        <v>12558</v>
      </c>
      <c r="H443" s="7">
        <f t="shared" si="30"/>
        <v>0</v>
      </c>
      <c r="I443" s="7" t="str" cm="1">
        <f t="array" ref="I443">IFERROR(_xlfn.IFS(M443="נח",1,M443="נע ונח",1,M443="שני שווא נח",2,M443="שני שוואים בסוף מילה",2,M443="שני שוואים ברצף",1),"0")</f>
        <v>0</v>
      </c>
      <c r="J443" s="9">
        <f t="shared" si="31"/>
        <v>3</v>
      </c>
      <c r="K443" t="s">
        <v>6698</v>
      </c>
      <c r="L443" t="s">
        <v>6694</v>
      </c>
      <c r="M443" t="s">
        <v>6700</v>
      </c>
      <c r="O443" t="s">
        <v>6694</v>
      </c>
      <c r="P443" t="s">
        <v>6694</v>
      </c>
      <c r="W443" t="s">
        <v>6720</v>
      </c>
    </row>
    <row r="444" spans="1:23" ht="15.6" x14ac:dyDescent="0.4">
      <c r="A444" s="2" t="s">
        <v>2564</v>
      </c>
      <c r="B444" s="5" t="s">
        <v>7121</v>
      </c>
      <c r="C444" s="7" t="s">
        <v>12556</v>
      </c>
      <c r="D444" s="8">
        <f t="shared" si="28"/>
        <v>0</v>
      </c>
      <c r="E444" s="7" t="s">
        <v>12557</v>
      </c>
      <c r="F444" s="7">
        <f t="shared" si="29"/>
        <v>0</v>
      </c>
      <c r="G444" s="7" t="s">
        <v>12558</v>
      </c>
      <c r="H444" s="7">
        <f t="shared" si="30"/>
        <v>0</v>
      </c>
      <c r="I444" s="7" t="str" cm="1">
        <f t="array" ref="I444">IFERROR(_xlfn.IFS(M444="נח",1,M444="נע ונח",1,M444="שני שווא נח",2,M444="שני שוואים בסוף מילה",2,M444="שני שוואים ברצף",1),"0")</f>
        <v>0</v>
      </c>
      <c r="J444" s="9">
        <f t="shared" si="31"/>
        <v>2</v>
      </c>
      <c r="K444" t="s">
        <v>6698</v>
      </c>
      <c r="L444" t="s">
        <v>6694</v>
      </c>
      <c r="M444" t="s">
        <v>6700</v>
      </c>
      <c r="P444" t="s">
        <v>6694</v>
      </c>
      <c r="W444" t="s">
        <v>6720</v>
      </c>
    </row>
    <row r="445" spans="1:23" ht="15.6" x14ac:dyDescent="0.4">
      <c r="A445" s="2" t="s">
        <v>1102</v>
      </c>
      <c r="B445" s="5" t="s">
        <v>7122</v>
      </c>
      <c r="C445" s="7" t="s">
        <v>12556</v>
      </c>
      <c r="D445" s="8">
        <f t="shared" si="28"/>
        <v>0</v>
      </c>
      <c r="E445" s="7" t="s">
        <v>12557</v>
      </c>
      <c r="F445" s="7">
        <f t="shared" si="29"/>
        <v>0</v>
      </c>
      <c r="G445" s="7" t="s">
        <v>12558</v>
      </c>
      <c r="H445" s="7">
        <f t="shared" si="30"/>
        <v>0</v>
      </c>
      <c r="I445" s="7" t="str" cm="1">
        <f t="array" ref="I445">IFERROR(_xlfn.IFS(M445="נח",1,M445="נע ונח",1,M445="שני שווא נח",2,M445="שני שוואים בסוף מילה",2,M445="שני שוואים ברצף",1),"0")</f>
        <v>0</v>
      </c>
      <c r="J445" s="9">
        <f t="shared" si="31"/>
        <v>3</v>
      </c>
      <c r="K445" t="s">
        <v>6697</v>
      </c>
      <c r="L445" t="s">
        <v>6694</v>
      </c>
      <c r="M445" t="s">
        <v>6700</v>
      </c>
      <c r="S445" t="s">
        <v>6694</v>
      </c>
      <c r="V445" t="s">
        <v>6694</v>
      </c>
      <c r="W445" t="s">
        <v>6720</v>
      </c>
    </row>
    <row r="446" spans="1:23" ht="15.6" x14ac:dyDescent="0.4">
      <c r="A446" s="2" t="s">
        <v>4201</v>
      </c>
      <c r="B446" s="5" t="s">
        <v>7123</v>
      </c>
      <c r="C446" s="7" t="s">
        <v>12556</v>
      </c>
      <c r="D446" s="8">
        <f t="shared" si="28"/>
        <v>0</v>
      </c>
      <c r="E446" s="7" t="s">
        <v>12557</v>
      </c>
      <c r="F446" s="7">
        <f t="shared" si="29"/>
        <v>0</v>
      </c>
      <c r="G446" s="7" t="s">
        <v>12558</v>
      </c>
      <c r="H446" s="7">
        <f t="shared" si="30"/>
        <v>0</v>
      </c>
      <c r="I446" s="7" cm="1">
        <f t="array" ref="I446">IFERROR(_xlfn.IFS(M446="נח",1,M446="נע ונח",1,M446="שני שווא נח",2,M446="שני שוואים בסוף מילה",2,M446="שני שוואים ברצף",1),"0")</f>
        <v>1</v>
      </c>
      <c r="J446" s="9">
        <f t="shared" si="31"/>
        <v>3</v>
      </c>
      <c r="K446" t="s">
        <v>6697</v>
      </c>
      <c r="L446" t="s">
        <v>6694</v>
      </c>
      <c r="M446" t="s">
        <v>6701</v>
      </c>
      <c r="O446" t="s">
        <v>6694</v>
      </c>
      <c r="Q446" t="s">
        <v>6694</v>
      </c>
      <c r="W446" t="s">
        <v>6720</v>
      </c>
    </row>
    <row r="447" spans="1:23" ht="15.6" x14ac:dyDescent="0.4">
      <c r="A447" s="2" t="s">
        <v>4211</v>
      </c>
      <c r="B447" s="5" t="s">
        <v>7124</v>
      </c>
      <c r="C447" s="7" t="s">
        <v>12556</v>
      </c>
      <c r="D447" s="8">
        <f t="shared" si="28"/>
        <v>0</v>
      </c>
      <c r="E447" s="7" t="s">
        <v>12557</v>
      </c>
      <c r="F447" s="7">
        <f t="shared" si="29"/>
        <v>0</v>
      </c>
      <c r="G447" s="7" t="s">
        <v>12558</v>
      </c>
      <c r="H447" s="7">
        <f t="shared" si="30"/>
        <v>0</v>
      </c>
      <c r="I447" s="7" t="str" cm="1">
        <f t="array" ref="I447">IFERROR(_xlfn.IFS(M447="נח",1,M447="נע ונח",1,M447="שני שווא נח",2,M447="שני שוואים בסוף מילה",2,M447="שני שוואים ברצף",1),"0")</f>
        <v>0</v>
      </c>
      <c r="J447" s="9">
        <f t="shared" si="31"/>
        <v>3</v>
      </c>
      <c r="K447" t="s">
        <v>6697</v>
      </c>
      <c r="L447" t="s">
        <v>6694</v>
      </c>
      <c r="M447" t="s">
        <v>6700</v>
      </c>
      <c r="O447" t="s">
        <v>6694</v>
      </c>
      <c r="Q447" t="s">
        <v>6694</v>
      </c>
      <c r="W447" t="s">
        <v>6720</v>
      </c>
    </row>
    <row r="448" spans="1:23" ht="15.6" x14ac:dyDescent="0.4">
      <c r="A448" s="2" t="s">
        <v>3961</v>
      </c>
      <c r="B448" s="5" t="s">
        <v>7125</v>
      </c>
      <c r="C448" s="7" t="s">
        <v>12556</v>
      </c>
      <c r="D448" s="8">
        <f t="shared" si="28"/>
        <v>0</v>
      </c>
      <c r="E448" s="7" t="s">
        <v>12557</v>
      </c>
      <c r="F448" s="7">
        <f t="shared" si="29"/>
        <v>0</v>
      </c>
      <c r="G448" s="7" t="s">
        <v>12558</v>
      </c>
      <c r="H448" s="7">
        <f t="shared" si="30"/>
        <v>0</v>
      </c>
      <c r="I448" s="7" t="str" cm="1">
        <f t="array" ref="I448">IFERROR(_xlfn.IFS(M448="נח",1,M448="נע ונח",1,M448="שני שווא נח",2,M448="שני שוואים בסוף מילה",2,M448="שני שוואים ברצף",1),"0")</f>
        <v>0</v>
      </c>
      <c r="J448" s="9">
        <f t="shared" si="31"/>
        <v>3</v>
      </c>
      <c r="K448" t="s">
        <v>6698</v>
      </c>
      <c r="L448" t="s">
        <v>6694</v>
      </c>
      <c r="M448" t="s">
        <v>6700</v>
      </c>
      <c r="R448" t="s">
        <v>6694</v>
      </c>
      <c r="W448" t="s">
        <v>6720</v>
      </c>
    </row>
    <row r="449" spans="1:23" ht="15.6" x14ac:dyDescent="0.4">
      <c r="A449" s="2" t="s">
        <v>5360</v>
      </c>
      <c r="B449" s="5" t="s">
        <v>7126</v>
      </c>
      <c r="C449" s="7" t="s">
        <v>12556</v>
      </c>
      <c r="D449" s="8">
        <f t="shared" si="28"/>
        <v>0</v>
      </c>
      <c r="E449" s="7" t="s">
        <v>12557</v>
      </c>
      <c r="F449" s="7">
        <f t="shared" si="29"/>
        <v>1</v>
      </c>
      <c r="G449" s="7" t="s">
        <v>12558</v>
      </c>
      <c r="H449" s="7">
        <f t="shared" si="30"/>
        <v>0</v>
      </c>
      <c r="I449" s="7" t="str" cm="1">
        <f t="array" ref="I449">IFERROR(_xlfn.IFS(M449="נח",1,M449="נע ונח",1,M449="שני שווא נח",2,M449="שני שוואים בסוף מילה",2,M449="שני שוואים ברצף",1),"0")</f>
        <v>0</v>
      </c>
      <c r="J449" s="9">
        <f t="shared" si="31"/>
        <v>3</v>
      </c>
      <c r="K449" t="s">
        <v>6698</v>
      </c>
      <c r="L449" t="s">
        <v>6694</v>
      </c>
      <c r="M449" t="s">
        <v>6700</v>
      </c>
      <c r="N449" t="s">
        <v>6706</v>
      </c>
      <c r="O449" t="s">
        <v>6694</v>
      </c>
      <c r="P449" t="s">
        <v>6694</v>
      </c>
      <c r="W449" t="s">
        <v>6720</v>
      </c>
    </row>
    <row r="450" spans="1:23" ht="15.6" x14ac:dyDescent="0.4">
      <c r="A450" s="2" t="s">
        <v>4434</v>
      </c>
      <c r="B450" s="5" t="s">
        <v>7127</v>
      </c>
      <c r="C450" s="7" t="s">
        <v>12556</v>
      </c>
      <c r="D450" s="8">
        <f t="shared" si="28"/>
        <v>0</v>
      </c>
      <c r="E450" s="7" t="s">
        <v>12557</v>
      </c>
      <c r="F450" s="7">
        <f t="shared" si="29"/>
        <v>2</v>
      </c>
      <c r="G450" s="7" t="s">
        <v>12558</v>
      </c>
      <c r="H450" s="7">
        <f t="shared" si="30"/>
        <v>1</v>
      </c>
      <c r="I450" s="7" cm="1">
        <f t="array" ref="I450">IFERROR(_xlfn.IFS(M450="נח",1,M450="נע ונח",1,M450="שני שווא נח",2,M450="שני שוואים בסוף מילה",2,M450="שני שוואים ברצף",1),"0")</f>
        <v>1</v>
      </c>
      <c r="J450" s="9">
        <f t="shared" si="31"/>
        <v>4</v>
      </c>
      <c r="K450" t="s">
        <v>6697</v>
      </c>
      <c r="L450" t="s">
        <v>6694</v>
      </c>
      <c r="M450" t="s">
        <v>6701</v>
      </c>
      <c r="O450" t="s">
        <v>6694</v>
      </c>
      <c r="P450" t="s">
        <v>6694</v>
      </c>
      <c r="U450" t="s">
        <v>6694</v>
      </c>
      <c r="W450" t="s">
        <v>6720</v>
      </c>
    </row>
    <row r="451" spans="1:23" ht="15.6" x14ac:dyDescent="0.4">
      <c r="A451" s="2" t="s">
        <v>6354</v>
      </c>
      <c r="B451" s="5" t="s">
        <v>7128</v>
      </c>
      <c r="C451" s="7" t="s">
        <v>12556</v>
      </c>
      <c r="D451" s="8">
        <f t="shared" ref="D451:D514" si="32">(LEN(B451)-LEN(SUBSTITUTE(B451,C451,"")))</f>
        <v>0</v>
      </c>
      <c r="E451" s="7" t="s">
        <v>12557</v>
      </c>
      <c r="F451" s="7">
        <f t="shared" ref="F451:F514" si="33">(LEN(A451)-LEN(SUBSTITUTE(A451,E451,"")))</f>
        <v>1</v>
      </c>
      <c r="G451" s="7" t="s">
        <v>12558</v>
      </c>
      <c r="H451" s="7">
        <f t="shared" ref="H451:H514" si="34">(LEN(A451)-LEN(SUBSTITUTE(A451,G451,"")))/2</f>
        <v>0</v>
      </c>
      <c r="I451" s="7" cm="1">
        <f t="array" ref="I451">IFERROR(_xlfn.IFS(M451="נח",1,M451="נע ונח",1,M451="שני שווא נח",2,M451="שני שוואים בסוף מילה",2,M451="שני שוואים ברצף",1),"0")</f>
        <v>1</v>
      </c>
      <c r="J451" s="9">
        <f t="shared" ref="J451:J514" si="35">LEN(A451)-(LEN(B451))-D451-F451+H451-I451</f>
        <v>4</v>
      </c>
      <c r="K451" t="s">
        <v>6697</v>
      </c>
      <c r="L451" t="s">
        <v>6694</v>
      </c>
      <c r="M451" t="s">
        <v>6701</v>
      </c>
      <c r="O451" t="s">
        <v>6694</v>
      </c>
      <c r="P451" t="s">
        <v>6694</v>
      </c>
      <c r="R451" t="s">
        <v>6694</v>
      </c>
      <c r="W451" t="s">
        <v>6720</v>
      </c>
    </row>
    <row r="452" spans="1:23" ht="15.6" x14ac:dyDescent="0.4">
      <c r="A452" s="2" t="s">
        <v>3606</v>
      </c>
      <c r="B452" s="5" t="s">
        <v>7129</v>
      </c>
      <c r="C452" s="7" t="s">
        <v>12556</v>
      </c>
      <c r="D452" s="8">
        <f t="shared" si="32"/>
        <v>0</v>
      </c>
      <c r="E452" s="7" t="s">
        <v>12557</v>
      </c>
      <c r="F452" s="7">
        <f t="shared" si="33"/>
        <v>1</v>
      </c>
      <c r="G452" s="7" t="s">
        <v>12558</v>
      </c>
      <c r="H452" s="7">
        <f t="shared" si="34"/>
        <v>0</v>
      </c>
      <c r="I452" s="7" cm="1">
        <f t="array" ref="I452">IFERROR(_xlfn.IFS(M452="נח",1,M452="נע ונח",1,M452="שני שווא נח",2,M452="שני שוואים בסוף מילה",2,M452="שני שוואים ברצף",1),"0")</f>
        <v>1</v>
      </c>
      <c r="J452" s="9">
        <f t="shared" si="35"/>
        <v>3</v>
      </c>
      <c r="K452" t="s">
        <v>6698</v>
      </c>
      <c r="L452" t="s">
        <v>6694</v>
      </c>
      <c r="M452" t="s">
        <v>6701</v>
      </c>
      <c r="N452" t="s">
        <v>6706</v>
      </c>
      <c r="O452" t="s">
        <v>6694</v>
      </c>
      <c r="P452" t="s">
        <v>6694</v>
      </c>
      <c r="W452" t="s">
        <v>6720</v>
      </c>
    </row>
    <row r="453" spans="1:23" ht="15.6" x14ac:dyDescent="0.4">
      <c r="A453" s="2" t="s">
        <v>5826</v>
      </c>
      <c r="B453" s="5" t="s">
        <v>7130</v>
      </c>
      <c r="C453" s="7" t="s">
        <v>12556</v>
      </c>
      <c r="D453" s="8">
        <f t="shared" si="32"/>
        <v>0</v>
      </c>
      <c r="E453" s="7" t="s">
        <v>12557</v>
      </c>
      <c r="F453" s="7">
        <f t="shared" si="33"/>
        <v>0</v>
      </c>
      <c r="G453" s="7" t="s">
        <v>12558</v>
      </c>
      <c r="H453" s="7">
        <f t="shared" si="34"/>
        <v>0</v>
      </c>
      <c r="I453" s="7" t="str" cm="1">
        <f t="array" ref="I453">IFERROR(_xlfn.IFS(M453="נח",1,M453="נע ונח",1,M453="שני שווא נח",2,M453="שני שוואים בסוף מילה",2,M453="שני שוואים ברצף",1),"0")</f>
        <v>0</v>
      </c>
      <c r="J453" s="9">
        <f t="shared" si="35"/>
        <v>3</v>
      </c>
      <c r="K453" t="s">
        <v>6698</v>
      </c>
      <c r="L453" t="s">
        <v>6694</v>
      </c>
      <c r="M453" t="s">
        <v>6700</v>
      </c>
      <c r="O453" t="s">
        <v>6694</v>
      </c>
      <c r="V453" t="s">
        <v>6694</v>
      </c>
      <c r="W453" t="s">
        <v>6720</v>
      </c>
    </row>
    <row r="454" spans="1:23" ht="15.6" x14ac:dyDescent="0.4">
      <c r="A454" s="2" t="s">
        <v>6207</v>
      </c>
      <c r="B454" s="5" t="s">
        <v>7131</v>
      </c>
      <c r="C454" s="7" t="s">
        <v>12556</v>
      </c>
      <c r="D454" s="8">
        <f t="shared" si="32"/>
        <v>0</v>
      </c>
      <c r="E454" s="7" t="s">
        <v>12557</v>
      </c>
      <c r="F454" s="7">
        <f t="shared" si="33"/>
        <v>0</v>
      </c>
      <c r="G454" s="7" t="s">
        <v>12558</v>
      </c>
      <c r="H454" s="7">
        <f t="shared" si="34"/>
        <v>0</v>
      </c>
      <c r="I454" s="7" cm="1">
        <f t="array" ref="I454">IFERROR(_xlfn.IFS(M454="נח",1,M454="נע ונח",1,M454="שני שווא נח",2,M454="שני שוואים בסוף מילה",2,M454="שני שוואים ברצף",1),"0")</f>
        <v>1</v>
      </c>
      <c r="J454" s="9">
        <f t="shared" si="35"/>
        <v>3</v>
      </c>
      <c r="K454" t="s">
        <v>6697</v>
      </c>
      <c r="L454" t="s">
        <v>6694</v>
      </c>
      <c r="M454" t="s">
        <v>6701</v>
      </c>
      <c r="N454" t="s">
        <v>6706</v>
      </c>
      <c r="O454" t="s">
        <v>6694</v>
      </c>
      <c r="V454" t="s">
        <v>6694</v>
      </c>
      <c r="W454" t="s">
        <v>6720</v>
      </c>
    </row>
    <row r="455" spans="1:23" ht="15.6" x14ac:dyDescent="0.4">
      <c r="A455" s="2" t="s">
        <v>360</v>
      </c>
      <c r="B455" s="5" t="s">
        <v>7132</v>
      </c>
      <c r="C455" s="7" t="s">
        <v>12556</v>
      </c>
      <c r="D455" s="8">
        <f t="shared" si="32"/>
        <v>0</v>
      </c>
      <c r="E455" s="7" t="s">
        <v>12557</v>
      </c>
      <c r="F455" s="7">
        <f t="shared" si="33"/>
        <v>0</v>
      </c>
      <c r="G455" s="7" t="s">
        <v>12558</v>
      </c>
      <c r="H455" s="7">
        <f t="shared" si="34"/>
        <v>0</v>
      </c>
      <c r="I455" s="7" cm="1">
        <f t="array" ref="I455">IFERROR(_xlfn.IFS(M455="נח",1,M455="נע ונח",1,M455="שני שווא נח",2,M455="שני שוואים בסוף מילה",2,M455="שני שוואים ברצף",1),"0")</f>
        <v>1</v>
      </c>
      <c r="J455" s="9">
        <f t="shared" si="35"/>
        <v>3</v>
      </c>
      <c r="K455" t="s">
        <v>6697</v>
      </c>
      <c r="L455" t="s">
        <v>6694</v>
      </c>
      <c r="M455" t="s">
        <v>6701</v>
      </c>
      <c r="N455" t="s">
        <v>6706</v>
      </c>
      <c r="O455" t="s">
        <v>6694</v>
      </c>
      <c r="S455" t="s">
        <v>6694</v>
      </c>
      <c r="W455" t="s">
        <v>6720</v>
      </c>
    </row>
    <row r="456" spans="1:23" ht="15.6" x14ac:dyDescent="0.4">
      <c r="A456" s="2" t="s">
        <v>6662</v>
      </c>
      <c r="B456" s="5" t="s">
        <v>7133</v>
      </c>
      <c r="C456" s="7" t="s">
        <v>12556</v>
      </c>
      <c r="D456" s="8">
        <f t="shared" si="32"/>
        <v>1</v>
      </c>
      <c r="E456" s="7" t="s">
        <v>12557</v>
      </c>
      <c r="F456" s="7">
        <f t="shared" si="33"/>
        <v>0</v>
      </c>
      <c r="G456" s="7" t="s">
        <v>12558</v>
      </c>
      <c r="H456" s="7">
        <f t="shared" si="34"/>
        <v>0</v>
      </c>
      <c r="I456" s="7" cm="1">
        <f t="array" ref="I456">IFERROR(_xlfn.IFS(M456="נח",1,M456="נע ונח",1,M456="שני שווא נח",2,M456="שני שוואים בסוף מילה",2,M456="שני שוואים ברצף",1),"0")</f>
        <v>1</v>
      </c>
      <c r="J456" s="9">
        <f t="shared" si="35"/>
        <v>4</v>
      </c>
      <c r="K456" t="s">
        <v>6698</v>
      </c>
      <c r="L456" t="s">
        <v>6694</v>
      </c>
      <c r="M456" t="s">
        <v>6701</v>
      </c>
      <c r="O456" t="s">
        <v>6694</v>
      </c>
      <c r="Q456" t="s">
        <v>6694</v>
      </c>
      <c r="S456" t="s">
        <v>6694</v>
      </c>
      <c r="W456" t="s">
        <v>6720</v>
      </c>
    </row>
    <row r="457" spans="1:23" ht="15.6" x14ac:dyDescent="0.4">
      <c r="A457" s="2" t="s">
        <v>1795</v>
      </c>
      <c r="B457" s="5" t="s">
        <v>7134</v>
      </c>
      <c r="C457" s="7" t="s">
        <v>12556</v>
      </c>
      <c r="D457" s="8">
        <f t="shared" si="32"/>
        <v>0</v>
      </c>
      <c r="E457" s="7" t="s">
        <v>12557</v>
      </c>
      <c r="F457" s="7">
        <f t="shared" si="33"/>
        <v>0</v>
      </c>
      <c r="G457" s="7" t="s">
        <v>12558</v>
      </c>
      <c r="H457" s="7">
        <f t="shared" si="34"/>
        <v>0</v>
      </c>
      <c r="I457" s="7" t="str" cm="1">
        <f t="array" ref="I457">IFERROR(_xlfn.IFS(M457="נח",1,M457="נע ונח",1,M457="שני שווא נח",2,M457="שני שוואים בסוף מילה",2,M457="שני שוואים ברצף",1),"0")</f>
        <v>0</v>
      </c>
      <c r="J457" s="9">
        <f t="shared" si="35"/>
        <v>2</v>
      </c>
      <c r="K457" t="s">
        <v>6698</v>
      </c>
      <c r="L457" t="s">
        <v>6694</v>
      </c>
      <c r="M457" t="s">
        <v>6700</v>
      </c>
      <c r="P457" t="s">
        <v>6694</v>
      </c>
      <c r="W457" t="s">
        <v>6720</v>
      </c>
    </row>
    <row r="458" spans="1:23" ht="15.6" x14ac:dyDescent="0.4">
      <c r="A458" s="2" t="s">
        <v>5763</v>
      </c>
      <c r="B458" s="5" t="s">
        <v>7135</v>
      </c>
      <c r="C458" s="7" t="s">
        <v>12556</v>
      </c>
      <c r="D458" s="8">
        <f t="shared" si="32"/>
        <v>0</v>
      </c>
      <c r="E458" s="7" t="s">
        <v>12557</v>
      </c>
      <c r="F458" s="7">
        <f t="shared" si="33"/>
        <v>0</v>
      </c>
      <c r="G458" s="7" t="s">
        <v>12558</v>
      </c>
      <c r="H458" s="7">
        <f t="shared" si="34"/>
        <v>0</v>
      </c>
      <c r="I458" s="7" t="str" cm="1">
        <f t="array" ref="I458">IFERROR(_xlfn.IFS(M458="נח",1,M458="נע ונח",1,M458="שני שווא נח",2,M458="שני שוואים בסוף מילה",2,M458="שני שוואים ברצף",1),"0")</f>
        <v>0</v>
      </c>
      <c r="J458" s="9">
        <f t="shared" si="35"/>
        <v>4</v>
      </c>
      <c r="K458" t="s">
        <v>6698</v>
      </c>
      <c r="L458" t="s">
        <v>6694</v>
      </c>
      <c r="M458" t="s">
        <v>6700</v>
      </c>
      <c r="P458" t="s">
        <v>6694</v>
      </c>
      <c r="V458" t="s">
        <v>6694</v>
      </c>
      <c r="W458" t="s">
        <v>6720</v>
      </c>
    </row>
    <row r="459" spans="1:23" ht="15.6" x14ac:dyDescent="0.4">
      <c r="A459" s="2" t="s">
        <v>3382</v>
      </c>
      <c r="B459" s="5" t="s">
        <v>7136</v>
      </c>
      <c r="C459" s="7" t="s">
        <v>12556</v>
      </c>
      <c r="D459" s="8">
        <f t="shared" si="32"/>
        <v>0</v>
      </c>
      <c r="E459" s="7" t="s">
        <v>12557</v>
      </c>
      <c r="F459" s="7">
        <f t="shared" si="33"/>
        <v>0</v>
      </c>
      <c r="G459" s="7" t="s">
        <v>12558</v>
      </c>
      <c r="H459" s="7">
        <f t="shared" si="34"/>
        <v>0</v>
      </c>
      <c r="I459" s="7" t="str" cm="1">
        <f t="array" ref="I459">IFERROR(_xlfn.IFS(M459="נח",1,M459="נע ונח",1,M459="שני שווא נח",2,M459="שני שוואים בסוף מילה",2,M459="שני שוואים ברצף",1),"0")</f>
        <v>0</v>
      </c>
      <c r="J459" s="9">
        <f t="shared" si="35"/>
        <v>3</v>
      </c>
      <c r="K459" t="s">
        <v>6698</v>
      </c>
      <c r="L459" t="s">
        <v>6694</v>
      </c>
      <c r="M459" t="s">
        <v>6700</v>
      </c>
      <c r="O459" t="s">
        <v>6694</v>
      </c>
      <c r="V459" t="s">
        <v>6694</v>
      </c>
      <c r="W459" t="s">
        <v>6720</v>
      </c>
    </row>
    <row r="460" spans="1:23" ht="15.6" x14ac:dyDescent="0.4">
      <c r="A460" s="2" t="s">
        <v>1976</v>
      </c>
      <c r="B460" s="5" t="s">
        <v>7137</v>
      </c>
      <c r="C460" s="7" t="s">
        <v>12556</v>
      </c>
      <c r="D460" s="8">
        <f t="shared" si="32"/>
        <v>0</v>
      </c>
      <c r="E460" s="7" t="s">
        <v>12557</v>
      </c>
      <c r="F460" s="7">
        <f t="shared" si="33"/>
        <v>0</v>
      </c>
      <c r="G460" s="7" t="s">
        <v>12558</v>
      </c>
      <c r="H460" s="7">
        <f t="shared" si="34"/>
        <v>0</v>
      </c>
      <c r="I460" s="7" t="str" cm="1">
        <f t="array" ref="I460">IFERROR(_xlfn.IFS(M460="נח",1,M460="נע ונח",1,M460="שני שווא נח",2,M460="שני שוואים בסוף מילה",2,M460="שני שוואים ברצף",1),"0")</f>
        <v>0</v>
      </c>
      <c r="J460" s="9">
        <f t="shared" si="35"/>
        <v>2</v>
      </c>
      <c r="K460" t="s">
        <v>6698</v>
      </c>
      <c r="L460" t="s">
        <v>6694</v>
      </c>
      <c r="M460" t="s">
        <v>6700</v>
      </c>
      <c r="V460" t="s">
        <v>6694</v>
      </c>
      <c r="W460" t="s">
        <v>6720</v>
      </c>
    </row>
    <row r="461" spans="1:23" ht="15.6" x14ac:dyDescent="0.4">
      <c r="A461" s="2" t="s">
        <v>547</v>
      </c>
      <c r="B461" s="5" t="s">
        <v>7138</v>
      </c>
      <c r="C461" s="7" t="s">
        <v>12556</v>
      </c>
      <c r="D461" s="8">
        <f t="shared" si="32"/>
        <v>0</v>
      </c>
      <c r="E461" s="7" t="s">
        <v>12557</v>
      </c>
      <c r="F461" s="7">
        <f t="shared" si="33"/>
        <v>1</v>
      </c>
      <c r="G461" s="7" t="s">
        <v>12558</v>
      </c>
      <c r="H461" s="7">
        <f t="shared" si="34"/>
        <v>0</v>
      </c>
      <c r="I461" s="7" t="str" cm="1">
        <f t="array" ref="I461">IFERROR(_xlfn.IFS(M461="נח",1,M461="נע ונח",1,M461="שני שווא נח",2,M461="שני שוואים בסוף מילה",2,M461="שני שוואים ברצף",1),"0")</f>
        <v>0</v>
      </c>
      <c r="J461" s="9">
        <f t="shared" si="35"/>
        <v>3</v>
      </c>
      <c r="K461" t="s">
        <v>6698</v>
      </c>
      <c r="L461" t="s">
        <v>6694</v>
      </c>
      <c r="M461" t="s">
        <v>6700</v>
      </c>
      <c r="S461" t="s">
        <v>6694</v>
      </c>
      <c r="V461" t="s">
        <v>6694</v>
      </c>
      <c r="W461" t="s">
        <v>6720</v>
      </c>
    </row>
    <row r="462" spans="1:23" ht="15.6" x14ac:dyDescent="0.4">
      <c r="A462" s="2" t="s">
        <v>3380</v>
      </c>
      <c r="B462" s="5" t="s">
        <v>7139</v>
      </c>
      <c r="C462" s="7" t="s">
        <v>12556</v>
      </c>
      <c r="D462" s="8">
        <f t="shared" si="32"/>
        <v>0</v>
      </c>
      <c r="E462" s="7" t="s">
        <v>12557</v>
      </c>
      <c r="F462" s="7">
        <f t="shared" si="33"/>
        <v>0</v>
      </c>
      <c r="G462" s="7" t="s">
        <v>12558</v>
      </c>
      <c r="H462" s="7">
        <f t="shared" si="34"/>
        <v>0</v>
      </c>
      <c r="I462" s="7" t="str" cm="1">
        <f t="array" ref="I462">IFERROR(_xlfn.IFS(M462="נח",1,M462="נע ונח",1,M462="שני שווא נח",2,M462="שני שוואים בסוף מילה",2,M462="שני שוואים ברצף",1),"0")</f>
        <v>0</v>
      </c>
      <c r="J462" s="9">
        <f t="shared" si="35"/>
        <v>3</v>
      </c>
      <c r="K462" t="s">
        <v>6698</v>
      </c>
      <c r="L462" t="s">
        <v>6694</v>
      </c>
      <c r="M462" t="s">
        <v>6700</v>
      </c>
      <c r="P462" t="s">
        <v>6694</v>
      </c>
      <c r="W462" t="s">
        <v>6720</v>
      </c>
    </row>
    <row r="463" spans="1:23" ht="15.6" x14ac:dyDescent="0.4">
      <c r="A463" s="2" t="s">
        <v>877</v>
      </c>
      <c r="B463" s="5" t="s">
        <v>7140</v>
      </c>
      <c r="C463" s="7" t="s">
        <v>12556</v>
      </c>
      <c r="D463" s="8">
        <f t="shared" si="32"/>
        <v>0</v>
      </c>
      <c r="E463" s="7" t="s">
        <v>12557</v>
      </c>
      <c r="F463" s="7">
        <f t="shared" si="33"/>
        <v>0</v>
      </c>
      <c r="G463" s="7" t="s">
        <v>12558</v>
      </c>
      <c r="H463" s="7">
        <f t="shared" si="34"/>
        <v>0</v>
      </c>
      <c r="I463" s="7" t="str" cm="1">
        <f t="array" ref="I463">IFERROR(_xlfn.IFS(M463="נח",1,M463="נע ונח",1,M463="שני שווא נח",2,M463="שני שוואים בסוף מילה",2,M463="שני שוואים ברצף",1),"0")</f>
        <v>0</v>
      </c>
      <c r="J463" s="9">
        <f t="shared" si="35"/>
        <v>2</v>
      </c>
      <c r="K463" t="s">
        <v>6697</v>
      </c>
      <c r="L463" t="s">
        <v>6694</v>
      </c>
      <c r="M463" t="s">
        <v>6700</v>
      </c>
      <c r="O463" t="s">
        <v>6694</v>
      </c>
      <c r="W463" t="s">
        <v>6720</v>
      </c>
    </row>
    <row r="464" spans="1:23" ht="15.6" x14ac:dyDescent="0.4">
      <c r="A464" s="2" t="s">
        <v>270</v>
      </c>
      <c r="B464" s="5" t="s">
        <v>7141</v>
      </c>
      <c r="C464" s="7" t="s">
        <v>12556</v>
      </c>
      <c r="D464" s="8">
        <f t="shared" si="32"/>
        <v>0</v>
      </c>
      <c r="E464" s="7" t="s">
        <v>12557</v>
      </c>
      <c r="F464" s="7">
        <f t="shared" si="33"/>
        <v>0</v>
      </c>
      <c r="G464" s="7" t="s">
        <v>12558</v>
      </c>
      <c r="H464" s="7">
        <f t="shared" si="34"/>
        <v>0</v>
      </c>
      <c r="I464" s="7" t="str" cm="1">
        <f t="array" ref="I464">IFERROR(_xlfn.IFS(M464="נח",1,M464="נע ונח",1,M464="שני שווא נח",2,M464="שני שוואים בסוף מילה",2,M464="שני שוואים ברצף",1),"0")</f>
        <v>0</v>
      </c>
      <c r="J464" s="9">
        <f t="shared" si="35"/>
        <v>2</v>
      </c>
      <c r="K464" t="s">
        <v>6698</v>
      </c>
      <c r="L464" t="s">
        <v>6694</v>
      </c>
      <c r="M464" t="s">
        <v>6700</v>
      </c>
      <c r="N464" t="s">
        <v>6706</v>
      </c>
      <c r="O464" t="s">
        <v>6694</v>
      </c>
      <c r="W464" t="s">
        <v>6720</v>
      </c>
    </row>
    <row r="465" spans="1:23" ht="15.6" x14ac:dyDescent="0.4">
      <c r="A465" s="2" t="s">
        <v>4461</v>
      </c>
      <c r="B465" s="5" t="s">
        <v>7142</v>
      </c>
      <c r="C465" s="7" t="s">
        <v>12556</v>
      </c>
      <c r="D465" s="8">
        <f t="shared" si="32"/>
        <v>0</v>
      </c>
      <c r="E465" s="7" t="s">
        <v>12557</v>
      </c>
      <c r="F465" s="7">
        <f t="shared" si="33"/>
        <v>1</v>
      </c>
      <c r="G465" s="7" t="s">
        <v>12558</v>
      </c>
      <c r="H465" s="7">
        <f t="shared" si="34"/>
        <v>0</v>
      </c>
      <c r="I465" s="7" t="str" cm="1">
        <f t="array" ref="I465">IFERROR(_xlfn.IFS(M465="נח",1,M465="נע ונח",1,M465="שני שווא נח",2,M465="שני שוואים בסוף מילה",2,M465="שני שוואים ברצף",1),"0")</f>
        <v>0</v>
      </c>
      <c r="J465" s="9">
        <f t="shared" si="35"/>
        <v>3</v>
      </c>
      <c r="K465" t="s">
        <v>6697</v>
      </c>
      <c r="L465" t="s">
        <v>6694</v>
      </c>
      <c r="M465" t="s">
        <v>6700</v>
      </c>
      <c r="S465" t="s">
        <v>6694</v>
      </c>
      <c r="W465" t="s">
        <v>6720</v>
      </c>
    </row>
    <row r="466" spans="1:23" ht="15.6" x14ac:dyDescent="0.4">
      <c r="A466" s="2" t="s">
        <v>2105</v>
      </c>
      <c r="B466" s="5" t="s">
        <v>7143</v>
      </c>
      <c r="C466" s="7" t="s">
        <v>12556</v>
      </c>
      <c r="D466" s="8">
        <f t="shared" si="32"/>
        <v>0</v>
      </c>
      <c r="E466" s="7" t="s">
        <v>12557</v>
      </c>
      <c r="F466" s="7">
        <f t="shared" si="33"/>
        <v>1</v>
      </c>
      <c r="G466" s="7" t="s">
        <v>12558</v>
      </c>
      <c r="H466" s="7">
        <f t="shared" si="34"/>
        <v>0</v>
      </c>
      <c r="I466" s="7" t="str" cm="1">
        <f t="array" ref="I466">IFERROR(_xlfn.IFS(M466="נח",1,M466="נע ונח",1,M466="שני שווא נח",2,M466="שני שוואים בסוף מילה",2,M466="שני שוואים ברצף",1),"0")</f>
        <v>0</v>
      </c>
      <c r="J466" s="9">
        <f t="shared" si="35"/>
        <v>3</v>
      </c>
      <c r="K466" t="s">
        <v>6698</v>
      </c>
      <c r="L466" t="s">
        <v>6694</v>
      </c>
      <c r="M466" t="s">
        <v>6700</v>
      </c>
      <c r="N466" t="s">
        <v>6706</v>
      </c>
      <c r="O466" t="s">
        <v>6694</v>
      </c>
      <c r="S466" t="s">
        <v>6694</v>
      </c>
      <c r="W466" t="s">
        <v>6720</v>
      </c>
    </row>
    <row r="467" spans="1:23" ht="15.6" x14ac:dyDescent="0.4">
      <c r="A467" s="2" t="s">
        <v>3242</v>
      </c>
      <c r="B467" s="5" t="s">
        <v>7144</v>
      </c>
      <c r="C467" s="7" t="s">
        <v>12556</v>
      </c>
      <c r="D467" s="8">
        <f t="shared" si="32"/>
        <v>0</v>
      </c>
      <c r="E467" s="7" t="s">
        <v>12557</v>
      </c>
      <c r="F467" s="7">
        <f t="shared" si="33"/>
        <v>1</v>
      </c>
      <c r="G467" s="7" t="s">
        <v>12558</v>
      </c>
      <c r="H467" s="7">
        <f t="shared" si="34"/>
        <v>0</v>
      </c>
      <c r="I467" s="7" t="str" cm="1">
        <f t="array" ref="I467">IFERROR(_xlfn.IFS(M467="נח",1,M467="נע ונח",1,M467="שני שווא נח",2,M467="שני שוואים בסוף מילה",2,M467="שני שוואים ברצף",1),"0")</f>
        <v>0</v>
      </c>
      <c r="J467" s="9">
        <f t="shared" si="35"/>
        <v>4</v>
      </c>
      <c r="K467" t="s">
        <v>6698</v>
      </c>
      <c r="L467" t="s">
        <v>6694</v>
      </c>
      <c r="M467" t="s">
        <v>6700</v>
      </c>
      <c r="P467" t="s">
        <v>6694</v>
      </c>
      <c r="S467" t="s">
        <v>6694</v>
      </c>
      <c r="W467" t="s">
        <v>6720</v>
      </c>
    </row>
    <row r="468" spans="1:23" ht="15.6" x14ac:dyDescent="0.4">
      <c r="A468" s="2" t="s">
        <v>3637</v>
      </c>
      <c r="B468" s="5" t="s">
        <v>7145</v>
      </c>
      <c r="C468" s="7" t="s">
        <v>12556</v>
      </c>
      <c r="D468" s="8">
        <f t="shared" si="32"/>
        <v>0</v>
      </c>
      <c r="E468" s="7" t="s">
        <v>12557</v>
      </c>
      <c r="F468" s="7">
        <f t="shared" si="33"/>
        <v>0</v>
      </c>
      <c r="G468" s="7" t="s">
        <v>12558</v>
      </c>
      <c r="H468" s="7">
        <f t="shared" si="34"/>
        <v>0</v>
      </c>
      <c r="I468" s="7" t="str" cm="1">
        <f t="array" ref="I468">IFERROR(_xlfn.IFS(M468="נח",1,M468="נע ונח",1,M468="שני שווא נח",2,M468="שני שוואים בסוף מילה",2,M468="שני שוואים ברצף",1),"0")</f>
        <v>0</v>
      </c>
      <c r="J468" s="9">
        <f t="shared" si="35"/>
        <v>2</v>
      </c>
      <c r="K468" t="s">
        <v>6697</v>
      </c>
      <c r="L468" t="s">
        <v>6694</v>
      </c>
      <c r="M468" t="s">
        <v>6700</v>
      </c>
      <c r="V468" t="s">
        <v>6694</v>
      </c>
      <c r="W468" t="s">
        <v>6720</v>
      </c>
    </row>
    <row r="469" spans="1:23" ht="15.6" x14ac:dyDescent="0.4">
      <c r="A469" s="2" t="s">
        <v>53</v>
      </c>
      <c r="B469" s="5" t="s">
        <v>7146</v>
      </c>
      <c r="C469" s="7" t="s">
        <v>12556</v>
      </c>
      <c r="D469" s="8">
        <f t="shared" si="32"/>
        <v>1</v>
      </c>
      <c r="E469" s="7" t="s">
        <v>12557</v>
      </c>
      <c r="F469" s="7">
        <f t="shared" si="33"/>
        <v>0</v>
      </c>
      <c r="G469" s="7" t="s">
        <v>12558</v>
      </c>
      <c r="H469" s="7">
        <f t="shared" si="34"/>
        <v>0</v>
      </c>
      <c r="I469" s="7" t="str" cm="1">
        <f t="array" ref="I469">IFERROR(_xlfn.IFS(M469="נח",1,M469="נע ונח",1,M469="שני שווא נח",2,M469="שני שוואים בסוף מילה",2,M469="שני שוואים ברצף",1),"0")</f>
        <v>0</v>
      </c>
      <c r="J469" s="9">
        <f t="shared" si="35"/>
        <v>3</v>
      </c>
      <c r="K469" t="s">
        <v>6698</v>
      </c>
      <c r="L469" t="s">
        <v>6694</v>
      </c>
      <c r="M469" t="s">
        <v>6700</v>
      </c>
      <c r="S469" t="s">
        <v>6694</v>
      </c>
      <c r="V469" t="s">
        <v>6694</v>
      </c>
      <c r="W469" t="s">
        <v>6720</v>
      </c>
    </row>
    <row r="470" spans="1:23" ht="15.6" x14ac:dyDescent="0.4">
      <c r="A470" s="2" t="s">
        <v>1034</v>
      </c>
      <c r="B470" s="5" t="s">
        <v>7147</v>
      </c>
      <c r="C470" s="7" t="s">
        <v>12556</v>
      </c>
      <c r="D470" s="8">
        <f t="shared" si="32"/>
        <v>0</v>
      </c>
      <c r="E470" s="7" t="s">
        <v>12557</v>
      </c>
      <c r="F470" s="7">
        <f t="shared" si="33"/>
        <v>0</v>
      </c>
      <c r="G470" s="7" t="s">
        <v>12558</v>
      </c>
      <c r="H470" s="7">
        <f t="shared" si="34"/>
        <v>0</v>
      </c>
      <c r="I470" s="7" cm="1">
        <f t="array" ref="I470">IFERROR(_xlfn.IFS(M470="נח",1,M470="נע ונח",1,M470="שני שווא נח",2,M470="שני שוואים בסוף מילה",2,M470="שני שוואים ברצף",1),"0")</f>
        <v>1</v>
      </c>
      <c r="J470" s="9">
        <f t="shared" si="35"/>
        <v>4</v>
      </c>
      <c r="K470" t="s">
        <v>6698</v>
      </c>
      <c r="L470" t="s">
        <v>6694</v>
      </c>
      <c r="M470" t="s">
        <v>6701</v>
      </c>
      <c r="P470" t="s">
        <v>6694</v>
      </c>
      <c r="S470" t="s">
        <v>6694</v>
      </c>
      <c r="W470" t="s">
        <v>6720</v>
      </c>
    </row>
    <row r="471" spans="1:23" ht="15.6" x14ac:dyDescent="0.4">
      <c r="A471" s="2" t="s">
        <v>5599</v>
      </c>
      <c r="B471" s="5" t="s">
        <v>7148</v>
      </c>
      <c r="C471" s="7" t="s">
        <v>12556</v>
      </c>
      <c r="D471" s="8">
        <f t="shared" si="32"/>
        <v>1</v>
      </c>
      <c r="E471" s="7" t="s">
        <v>12557</v>
      </c>
      <c r="F471" s="7">
        <f t="shared" si="33"/>
        <v>1</v>
      </c>
      <c r="G471" s="7" t="s">
        <v>12558</v>
      </c>
      <c r="H471" s="7">
        <f t="shared" si="34"/>
        <v>0</v>
      </c>
      <c r="I471" s="7" cm="1">
        <f t="array" ref="I471">IFERROR(_xlfn.IFS(M471="נח",1,M471="נע ונח",1,M471="שני שווא נח",2,M471="שני שוואים בסוף מילה",2,M471="שני שוואים ברצף",1),"0")</f>
        <v>1</v>
      </c>
      <c r="J471" s="9">
        <f t="shared" si="35"/>
        <v>3</v>
      </c>
      <c r="K471" t="s">
        <v>6698</v>
      </c>
      <c r="L471" t="s">
        <v>6694</v>
      </c>
      <c r="M471" t="s">
        <v>6701</v>
      </c>
      <c r="N471" t="s">
        <v>6706</v>
      </c>
      <c r="O471" t="s">
        <v>6694</v>
      </c>
      <c r="S471" t="s">
        <v>6694</v>
      </c>
      <c r="W471" t="s">
        <v>6720</v>
      </c>
    </row>
    <row r="472" spans="1:23" ht="15.6" x14ac:dyDescent="0.4">
      <c r="A472" s="2" t="s">
        <v>5605</v>
      </c>
      <c r="B472" s="5" t="s">
        <v>7149</v>
      </c>
      <c r="C472" s="7" t="s">
        <v>12556</v>
      </c>
      <c r="D472" s="8">
        <f t="shared" si="32"/>
        <v>1</v>
      </c>
      <c r="E472" s="7" t="s">
        <v>12557</v>
      </c>
      <c r="F472" s="7">
        <f t="shared" si="33"/>
        <v>1</v>
      </c>
      <c r="G472" s="7" t="s">
        <v>12558</v>
      </c>
      <c r="H472" s="7">
        <f t="shared" si="34"/>
        <v>0</v>
      </c>
      <c r="I472" s="7" t="str" cm="1">
        <f t="array" ref="I472">IFERROR(_xlfn.IFS(M472="נח",1,M472="נע ונח",1,M472="שני שווא נח",2,M472="שני שוואים בסוף מילה",2,M472="שני שוואים ברצף",1),"0")</f>
        <v>0</v>
      </c>
      <c r="J472" s="9">
        <f t="shared" si="35"/>
        <v>5</v>
      </c>
      <c r="K472" t="s">
        <v>6698</v>
      </c>
      <c r="L472" t="s">
        <v>6694</v>
      </c>
      <c r="M472" t="s">
        <v>6700</v>
      </c>
      <c r="P472" t="s">
        <v>6694</v>
      </c>
      <c r="S472" t="s">
        <v>6694</v>
      </c>
      <c r="W472" t="s">
        <v>6720</v>
      </c>
    </row>
    <row r="473" spans="1:23" ht="15.6" x14ac:dyDescent="0.4">
      <c r="A473" s="2" t="s">
        <v>5597</v>
      </c>
      <c r="B473" s="5" t="s">
        <v>7150</v>
      </c>
      <c r="C473" s="7" t="s">
        <v>12556</v>
      </c>
      <c r="D473" s="8">
        <f t="shared" si="32"/>
        <v>0</v>
      </c>
      <c r="E473" s="7" t="s">
        <v>12557</v>
      </c>
      <c r="F473" s="7">
        <f t="shared" si="33"/>
        <v>0</v>
      </c>
      <c r="G473" s="7" t="s">
        <v>12558</v>
      </c>
      <c r="H473" s="7">
        <f t="shared" si="34"/>
        <v>0</v>
      </c>
      <c r="I473" s="7" cm="1">
        <f t="array" ref="I473">IFERROR(_xlfn.IFS(M473="נח",1,M473="נע ונח",1,M473="שני שווא נח",2,M473="שני שוואים בסוף מילה",2,M473="שני שוואים ברצף",1),"0")</f>
        <v>1</v>
      </c>
      <c r="J473" s="9">
        <f t="shared" si="35"/>
        <v>4</v>
      </c>
      <c r="K473" t="s">
        <v>6698</v>
      </c>
      <c r="L473" t="s">
        <v>6694</v>
      </c>
      <c r="M473" t="s">
        <v>6701</v>
      </c>
      <c r="N473" t="s">
        <v>6706</v>
      </c>
      <c r="O473" t="s">
        <v>6694</v>
      </c>
      <c r="P473" t="s">
        <v>6694</v>
      </c>
      <c r="V473" t="s">
        <v>6694</v>
      </c>
      <c r="W473" t="s">
        <v>6720</v>
      </c>
    </row>
    <row r="474" spans="1:23" ht="15.6" x14ac:dyDescent="0.4">
      <c r="A474" s="2" t="s">
        <v>6115</v>
      </c>
      <c r="B474" s="5" t="s">
        <v>7151</v>
      </c>
      <c r="C474" s="7" t="s">
        <v>12556</v>
      </c>
      <c r="D474" s="8">
        <f t="shared" si="32"/>
        <v>0</v>
      </c>
      <c r="E474" s="7" t="s">
        <v>12557</v>
      </c>
      <c r="F474" s="7">
        <f t="shared" si="33"/>
        <v>1</v>
      </c>
      <c r="G474" s="7" t="s">
        <v>12558</v>
      </c>
      <c r="H474" s="7">
        <f t="shared" si="34"/>
        <v>0</v>
      </c>
      <c r="I474" s="7" cm="1">
        <f t="array" ref="I474">IFERROR(_xlfn.IFS(M474="נח",1,M474="נע ונח",1,M474="שני שווא נח",2,M474="שני שוואים בסוף מילה",2,M474="שני שוואים ברצף",1),"0")</f>
        <v>1</v>
      </c>
      <c r="J474" s="9">
        <f t="shared" si="35"/>
        <v>3</v>
      </c>
      <c r="K474" t="s">
        <v>6698</v>
      </c>
      <c r="L474" t="s">
        <v>6694</v>
      </c>
      <c r="M474" t="s">
        <v>6701</v>
      </c>
      <c r="N474" t="s">
        <v>6706</v>
      </c>
      <c r="O474" t="s">
        <v>6694</v>
      </c>
      <c r="P474" t="s">
        <v>6694</v>
      </c>
      <c r="W474" t="s">
        <v>6720</v>
      </c>
    </row>
    <row r="475" spans="1:23" ht="15.6" x14ac:dyDescent="0.4">
      <c r="A475" s="2" t="s">
        <v>611</v>
      </c>
      <c r="B475" s="5" t="s">
        <v>7152</v>
      </c>
      <c r="C475" s="7" t="s">
        <v>12556</v>
      </c>
      <c r="D475" s="8">
        <f t="shared" si="32"/>
        <v>0</v>
      </c>
      <c r="E475" s="7" t="s">
        <v>12557</v>
      </c>
      <c r="F475" s="7">
        <f t="shared" si="33"/>
        <v>1</v>
      </c>
      <c r="G475" s="7" t="s">
        <v>12558</v>
      </c>
      <c r="H475" s="7">
        <f t="shared" si="34"/>
        <v>0</v>
      </c>
      <c r="I475" s="7" cm="1">
        <f t="array" ref="I475">IFERROR(_xlfn.IFS(M475="נח",1,M475="נע ונח",1,M475="שני שווא נח",2,M475="שני שוואים בסוף מילה",2,M475="שני שוואים ברצף",1),"0")</f>
        <v>1</v>
      </c>
      <c r="J475" s="9">
        <f t="shared" si="35"/>
        <v>4</v>
      </c>
      <c r="K475" t="s">
        <v>6698</v>
      </c>
      <c r="L475" t="s">
        <v>6694</v>
      </c>
      <c r="M475" t="s">
        <v>6701</v>
      </c>
      <c r="P475" t="s">
        <v>6694</v>
      </c>
      <c r="Q475" t="s">
        <v>6694</v>
      </c>
      <c r="W475" t="s">
        <v>6720</v>
      </c>
    </row>
    <row r="476" spans="1:23" ht="15.6" x14ac:dyDescent="0.4">
      <c r="A476" s="2" t="s">
        <v>4577</v>
      </c>
      <c r="B476" s="5" t="s">
        <v>7153</v>
      </c>
      <c r="C476" s="7" t="s">
        <v>12556</v>
      </c>
      <c r="D476" s="8">
        <f t="shared" si="32"/>
        <v>0</v>
      </c>
      <c r="E476" s="7" t="s">
        <v>12557</v>
      </c>
      <c r="F476" s="7">
        <f t="shared" si="33"/>
        <v>1</v>
      </c>
      <c r="G476" s="7" t="s">
        <v>12558</v>
      </c>
      <c r="H476" s="7">
        <f t="shared" si="34"/>
        <v>0</v>
      </c>
      <c r="I476" s="7" t="str" cm="1">
        <f t="array" ref="I476">IFERROR(_xlfn.IFS(M476="נח",1,M476="נע ונח",1,M476="שני שווא נח",2,M476="שני שוואים בסוף מילה",2,M476="שני שוואים ברצף",1),"0")</f>
        <v>0</v>
      </c>
      <c r="J476" s="9">
        <f t="shared" si="35"/>
        <v>5</v>
      </c>
      <c r="K476" t="s">
        <v>6698</v>
      </c>
      <c r="L476" t="s">
        <v>6694</v>
      </c>
      <c r="M476" t="s">
        <v>6700</v>
      </c>
      <c r="P476" t="s">
        <v>6694</v>
      </c>
      <c r="Q476" t="s">
        <v>6694</v>
      </c>
      <c r="W476" t="s">
        <v>6720</v>
      </c>
    </row>
    <row r="477" spans="1:23" ht="15.6" x14ac:dyDescent="0.4">
      <c r="A477" s="2" t="s">
        <v>1449</v>
      </c>
      <c r="B477" s="5" t="s">
        <v>7154</v>
      </c>
      <c r="C477" s="7" t="s">
        <v>12556</v>
      </c>
      <c r="D477" s="8">
        <f t="shared" si="32"/>
        <v>0</v>
      </c>
      <c r="E477" s="7" t="s">
        <v>12557</v>
      </c>
      <c r="F477" s="7">
        <f t="shared" si="33"/>
        <v>0</v>
      </c>
      <c r="G477" s="7" t="s">
        <v>12558</v>
      </c>
      <c r="H477" s="7">
        <f t="shared" si="34"/>
        <v>0</v>
      </c>
      <c r="I477" s="7" t="str" cm="1">
        <f t="array" ref="I477">IFERROR(_xlfn.IFS(M477="נח",1,M477="נע ונח",1,M477="שני שווא נח",2,M477="שני שוואים בסוף מילה",2,M477="שני שוואים ברצף",1),"0")</f>
        <v>0</v>
      </c>
      <c r="J477" s="9">
        <f t="shared" si="35"/>
        <v>3</v>
      </c>
      <c r="K477" t="s">
        <v>6698</v>
      </c>
      <c r="L477" t="s">
        <v>6694</v>
      </c>
      <c r="M477" t="s">
        <v>6700</v>
      </c>
      <c r="O477" t="s">
        <v>6694</v>
      </c>
      <c r="V477" t="s">
        <v>6694</v>
      </c>
      <c r="W477" t="s">
        <v>6720</v>
      </c>
    </row>
    <row r="478" spans="1:23" ht="15.6" x14ac:dyDescent="0.4">
      <c r="A478" s="2" t="s">
        <v>5703</v>
      </c>
      <c r="B478" s="5" t="s">
        <v>7155</v>
      </c>
      <c r="C478" s="7" t="s">
        <v>12556</v>
      </c>
      <c r="D478" s="8">
        <f t="shared" si="32"/>
        <v>1</v>
      </c>
      <c r="E478" s="7" t="s">
        <v>12557</v>
      </c>
      <c r="F478" s="7">
        <f t="shared" si="33"/>
        <v>0</v>
      </c>
      <c r="G478" s="7" t="s">
        <v>12558</v>
      </c>
      <c r="H478" s="7">
        <f t="shared" si="34"/>
        <v>0</v>
      </c>
      <c r="I478" s="7" t="str" cm="1">
        <f t="array" ref="I478">IFERROR(_xlfn.IFS(M478="נח",1,M478="נע ונח",1,M478="שני שווא נח",2,M478="שני שוואים בסוף מילה",2,M478="שני שוואים ברצף",1),"0")</f>
        <v>0</v>
      </c>
      <c r="J478" s="9">
        <f t="shared" si="35"/>
        <v>3</v>
      </c>
      <c r="K478" t="s">
        <v>6698</v>
      </c>
      <c r="L478" t="s">
        <v>6694</v>
      </c>
      <c r="M478" t="s">
        <v>6700</v>
      </c>
      <c r="N478" t="s">
        <v>6706</v>
      </c>
      <c r="O478" t="s">
        <v>6694</v>
      </c>
      <c r="W478" t="s">
        <v>6720</v>
      </c>
    </row>
    <row r="479" spans="1:23" ht="15.6" x14ac:dyDescent="0.4">
      <c r="A479" s="2" t="s">
        <v>6481</v>
      </c>
      <c r="B479" s="5" t="s">
        <v>7156</v>
      </c>
      <c r="C479" s="7" t="s">
        <v>12556</v>
      </c>
      <c r="D479" s="8">
        <f t="shared" si="32"/>
        <v>0</v>
      </c>
      <c r="E479" s="7" t="s">
        <v>12557</v>
      </c>
      <c r="F479" s="7">
        <f t="shared" si="33"/>
        <v>1</v>
      </c>
      <c r="G479" s="7" t="s">
        <v>12558</v>
      </c>
      <c r="H479" s="7">
        <f t="shared" si="34"/>
        <v>1</v>
      </c>
      <c r="I479" s="7" cm="1">
        <f t="array" ref="I479">IFERROR(_xlfn.IFS(M479="נח",1,M479="נע ונח",1,M479="שני שווא נח",2,M479="שני שוואים בסוף מילה",2,M479="שני שוואים ברצף",1),"0")</f>
        <v>1</v>
      </c>
      <c r="J479" s="9">
        <f t="shared" si="35"/>
        <v>4</v>
      </c>
      <c r="K479" t="s">
        <v>6697</v>
      </c>
      <c r="L479" t="s">
        <v>6694</v>
      </c>
      <c r="M479" t="s">
        <v>6701</v>
      </c>
      <c r="N479" t="s">
        <v>6706</v>
      </c>
      <c r="O479" t="s">
        <v>6694</v>
      </c>
      <c r="Q479" t="s">
        <v>6694</v>
      </c>
      <c r="U479" t="s">
        <v>6694</v>
      </c>
      <c r="W479" t="s">
        <v>6720</v>
      </c>
    </row>
    <row r="480" spans="1:23" ht="15.6" x14ac:dyDescent="0.4">
      <c r="A480" s="2" t="s">
        <v>3862</v>
      </c>
      <c r="B480" s="5" t="s">
        <v>7157</v>
      </c>
      <c r="C480" s="7" t="s">
        <v>12556</v>
      </c>
      <c r="D480" s="8">
        <f t="shared" si="32"/>
        <v>0</v>
      </c>
      <c r="E480" s="7" t="s">
        <v>12557</v>
      </c>
      <c r="F480" s="7">
        <f t="shared" si="33"/>
        <v>0</v>
      </c>
      <c r="G480" s="7" t="s">
        <v>12558</v>
      </c>
      <c r="H480" s="7">
        <f t="shared" si="34"/>
        <v>0</v>
      </c>
      <c r="I480" s="7" t="str" cm="1">
        <f t="array" ref="I480">IFERROR(_xlfn.IFS(M480="נח",1,M480="נע ונח",1,M480="שני שווא נח",2,M480="שני שוואים בסוף מילה",2,M480="שני שוואים ברצף",1),"0")</f>
        <v>0</v>
      </c>
      <c r="J480" s="9">
        <f t="shared" si="35"/>
        <v>3</v>
      </c>
      <c r="K480" t="s">
        <v>6697</v>
      </c>
      <c r="L480" t="s">
        <v>6694</v>
      </c>
      <c r="M480" t="s">
        <v>6700</v>
      </c>
      <c r="V480" t="s">
        <v>6694</v>
      </c>
      <c r="W480" t="s">
        <v>6720</v>
      </c>
    </row>
    <row r="481" spans="1:23" ht="15.6" x14ac:dyDescent="0.4">
      <c r="A481" s="2" t="s">
        <v>2897</v>
      </c>
      <c r="B481" s="5" t="s">
        <v>7158</v>
      </c>
      <c r="C481" s="7" t="s">
        <v>12556</v>
      </c>
      <c r="D481" s="8">
        <f t="shared" si="32"/>
        <v>1</v>
      </c>
      <c r="E481" s="7" t="s">
        <v>12557</v>
      </c>
      <c r="F481" s="7">
        <f t="shared" si="33"/>
        <v>0</v>
      </c>
      <c r="G481" s="7" t="s">
        <v>12558</v>
      </c>
      <c r="H481" s="7">
        <f t="shared" si="34"/>
        <v>0</v>
      </c>
      <c r="I481" s="7" cm="1">
        <f t="array" ref="I481">IFERROR(_xlfn.IFS(M481="נח",1,M481="נע ונח",1,M481="שני שווא נח",2,M481="שני שוואים בסוף מילה",2,M481="שני שוואים ברצף",1),"0")</f>
        <v>1</v>
      </c>
      <c r="J481" s="9">
        <f t="shared" si="35"/>
        <v>3</v>
      </c>
      <c r="K481" t="s">
        <v>6697</v>
      </c>
      <c r="L481" t="s">
        <v>6694</v>
      </c>
      <c r="M481" t="s">
        <v>6701</v>
      </c>
      <c r="P481" t="s">
        <v>6694</v>
      </c>
      <c r="S481" t="s">
        <v>6694</v>
      </c>
      <c r="W481" t="s">
        <v>6720</v>
      </c>
    </row>
    <row r="482" spans="1:23" ht="15.6" x14ac:dyDescent="0.4">
      <c r="A482" s="2" t="s">
        <v>4090</v>
      </c>
      <c r="B482" s="5" t="s">
        <v>7159</v>
      </c>
      <c r="C482" s="7" t="s">
        <v>12556</v>
      </c>
      <c r="D482" s="8">
        <f t="shared" si="32"/>
        <v>0</v>
      </c>
      <c r="E482" s="7" t="s">
        <v>12557</v>
      </c>
      <c r="F482" s="7">
        <f t="shared" si="33"/>
        <v>0</v>
      </c>
      <c r="G482" s="7" t="s">
        <v>12558</v>
      </c>
      <c r="H482" s="7">
        <f t="shared" si="34"/>
        <v>0</v>
      </c>
      <c r="I482" s="7" t="str" cm="1">
        <f t="array" ref="I482">IFERROR(_xlfn.IFS(M482="נח",1,M482="נע ונח",1,M482="שני שווא נח",2,M482="שני שוואים בסוף מילה",2,M482="שני שוואים ברצף",1),"0")</f>
        <v>0</v>
      </c>
      <c r="J482" s="9">
        <f t="shared" si="35"/>
        <v>4</v>
      </c>
      <c r="K482" t="s">
        <v>6697</v>
      </c>
      <c r="L482" t="s">
        <v>6694</v>
      </c>
      <c r="M482" t="s">
        <v>6700</v>
      </c>
      <c r="O482" t="s">
        <v>6694</v>
      </c>
      <c r="R482" t="s">
        <v>6694</v>
      </c>
      <c r="V482" t="s">
        <v>6694</v>
      </c>
      <c r="W482" t="s">
        <v>6720</v>
      </c>
    </row>
    <row r="483" spans="1:23" ht="15.6" x14ac:dyDescent="0.4">
      <c r="A483" s="2" t="s">
        <v>4281</v>
      </c>
      <c r="B483" s="5" t="s">
        <v>7160</v>
      </c>
      <c r="C483" s="7" t="s">
        <v>12556</v>
      </c>
      <c r="D483" s="8">
        <f t="shared" si="32"/>
        <v>0</v>
      </c>
      <c r="E483" s="7" t="s">
        <v>12557</v>
      </c>
      <c r="F483" s="7">
        <f t="shared" si="33"/>
        <v>0</v>
      </c>
      <c r="G483" s="7" t="s">
        <v>12558</v>
      </c>
      <c r="H483" s="7">
        <f t="shared" si="34"/>
        <v>0</v>
      </c>
      <c r="I483" s="7" t="str" cm="1">
        <f t="array" ref="I483">IFERROR(_xlfn.IFS(M483="נח",1,M483="נע ונח",1,M483="שני שווא נח",2,M483="שני שוואים בסוף מילה",2,M483="שני שוואים ברצף",1),"0")</f>
        <v>0</v>
      </c>
      <c r="J483" s="9">
        <f t="shared" si="35"/>
        <v>3</v>
      </c>
      <c r="K483" t="s">
        <v>6698</v>
      </c>
      <c r="L483" t="s">
        <v>6694</v>
      </c>
      <c r="M483" t="s">
        <v>6700</v>
      </c>
      <c r="Q483" t="s">
        <v>6694</v>
      </c>
      <c r="R483" t="s">
        <v>6694</v>
      </c>
      <c r="W483" t="s">
        <v>6720</v>
      </c>
    </row>
    <row r="484" spans="1:23" ht="15.6" x14ac:dyDescent="0.4">
      <c r="A484" s="2" t="s">
        <v>5152</v>
      </c>
      <c r="B484" s="5" t="s">
        <v>7161</v>
      </c>
      <c r="C484" s="7" t="s">
        <v>12556</v>
      </c>
      <c r="D484" s="8">
        <f t="shared" si="32"/>
        <v>0</v>
      </c>
      <c r="E484" s="7" t="s">
        <v>12557</v>
      </c>
      <c r="F484" s="7">
        <f t="shared" si="33"/>
        <v>1</v>
      </c>
      <c r="G484" s="7" t="s">
        <v>12558</v>
      </c>
      <c r="H484" s="7">
        <f t="shared" si="34"/>
        <v>0</v>
      </c>
      <c r="I484" s="7" t="str" cm="1">
        <f t="array" ref="I484">IFERROR(_xlfn.IFS(M484="נח",1,M484="נע ונח",1,M484="שני שווא נח",2,M484="שני שוואים בסוף מילה",2,M484="שני שוואים ברצף",1),"0")</f>
        <v>0</v>
      </c>
      <c r="J484" s="9">
        <f t="shared" si="35"/>
        <v>3</v>
      </c>
      <c r="K484" t="s">
        <v>6697</v>
      </c>
      <c r="L484" t="s">
        <v>6694</v>
      </c>
      <c r="M484" t="s">
        <v>6700</v>
      </c>
      <c r="T484" t="s">
        <v>6694</v>
      </c>
      <c r="V484" t="s">
        <v>6694</v>
      </c>
      <c r="W484" t="s">
        <v>6720</v>
      </c>
    </row>
    <row r="485" spans="1:23" ht="15.6" x14ac:dyDescent="0.4">
      <c r="A485" s="2" t="s">
        <v>304</v>
      </c>
      <c r="B485" s="5" t="s">
        <v>7162</v>
      </c>
      <c r="C485" s="7" t="s">
        <v>12556</v>
      </c>
      <c r="D485" s="8">
        <f t="shared" si="32"/>
        <v>0</v>
      </c>
      <c r="E485" s="7" t="s">
        <v>12557</v>
      </c>
      <c r="F485" s="7">
        <f t="shared" si="33"/>
        <v>0</v>
      </c>
      <c r="G485" s="7" t="s">
        <v>12558</v>
      </c>
      <c r="H485" s="7">
        <f t="shared" si="34"/>
        <v>0</v>
      </c>
      <c r="I485" s="7" cm="1">
        <f t="array" ref="I485">IFERROR(_xlfn.IFS(M485="נח",1,M485="נע ונח",1,M485="שני שווא נח",2,M485="שני שוואים בסוף מילה",2,M485="שני שוואים ברצף",1),"0")</f>
        <v>1</v>
      </c>
      <c r="J485" s="9">
        <f t="shared" si="35"/>
        <v>5</v>
      </c>
      <c r="K485" t="s">
        <v>6697</v>
      </c>
      <c r="L485" t="s">
        <v>6694</v>
      </c>
      <c r="M485" t="s">
        <v>6701</v>
      </c>
      <c r="O485" t="s">
        <v>6694</v>
      </c>
      <c r="Q485" t="s">
        <v>6694</v>
      </c>
      <c r="R485" t="s">
        <v>6694</v>
      </c>
      <c r="V485" t="s">
        <v>6694</v>
      </c>
      <c r="W485" t="s">
        <v>6720</v>
      </c>
    </row>
    <row r="486" spans="1:23" ht="15.6" x14ac:dyDescent="0.4">
      <c r="A486" s="2" t="s">
        <v>6613</v>
      </c>
      <c r="B486" s="5" t="s">
        <v>7163</v>
      </c>
      <c r="C486" s="7" t="s">
        <v>12556</v>
      </c>
      <c r="D486" s="8">
        <f t="shared" si="32"/>
        <v>0</v>
      </c>
      <c r="E486" s="7" t="s">
        <v>12557</v>
      </c>
      <c r="F486" s="7">
        <f t="shared" si="33"/>
        <v>0</v>
      </c>
      <c r="G486" s="7" t="s">
        <v>12558</v>
      </c>
      <c r="H486" s="7">
        <f t="shared" si="34"/>
        <v>0</v>
      </c>
      <c r="I486" s="7" t="str" cm="1">
        <f t="array" ref="I486">IFERROR(_xlfn.IFS(M486="נח",1,M486="נע ונח",1,M486="שני שווא נח",2,M486="שני שוואים בסוף מילה",2,M486="שני שוואים ברצף",1),"0")</f>
        <v>0</v>
      </c>
      <c r="J486" s="9">
        <f t="shared" si="35"/>
        <v>3</v>
      </c>
      <c r="K486" t="s">
        <v>6698</v>
      </c>
      <c r="L486" t="s">
        <v>6694</v>
      </c>
      <c r="M486" t="s">
        <v>6700</v>
      </c>
      <c r="N486" t="s">
        <v>6706</v>
      </c>
      <c r="O486" t="s">
        <v>6694</v>
      </c>
      <c r="Q486" t="s">
        <v>6694</v>
      </c>
      <c r="W486" t="s">
        <v>6720</v>
      </c>
    </row>
    <row r="487" spans="1:23" ht="15.6" x14ac:dyDescent="0.4">
      <c r="A487" s="2" t="s">
        <v>6610</v>
      </c>
      <c r="B487" s="5" t="s">
        <v>7164</v>
      </c>
      <c r="C487" s="7" t="s">
        <v>12556</v>
      </c>
      <c r="D487" s="8">
        <f t="shared" si="32"/>
        <v>0</v>
      </c>
      <c r="E487" s="7" t="s">
        <v>12557</v>
      </c>
      <c r="F487" s="7">
        <f t="shared" si="33"/>
        <v>0</v>
      </c>
      <c r="G487" s="7" t="s">
        <v>12558</v>
      </c>
      <c r="H487" s="7">
        <f t="shared" si="34"/>
        <v>0</v>
      </c>
      <c r="I487" s="7" cm="1">
        <f t="array" ref="I487">IFERROR(_xlfn.IFS(M487="נח",1,M487="נע ונח",1,M487="שני שווא נח",2,M487="שני שוואים בסוף מילה",2,M487="שני שוואים ברצף",1),"0")</f>
        <v>1</v>
      </c>
      <c r="J487" s="9">
        <f t="shared" si="35"/>
        <v>3</v>
      </c>
      <c r="K487" t="s">
        <v>6698</v>
      </c>
      <c r="L487" t="s">
        <v>6694</v>
      </c>
      <c r="M487" t="s">
        <v>6701</v>
      </c>
      <c r="R487" t="s">
        <v>6694</v>
      </c>
      <c r="V487" t="s">
        <v>6694</v>
      </c>
      <c r="W487" t="s">
        <v>6720</v>
      </c>
    </row>
    <row r="488" spans="1:23" ht="15.6" x14ac:dyDescent="0.4">
      <c r="A488" s="2" t="s">
        <v>5668</v>
      </c>
      <c r="B488" s="5" t="s">
        <v>7165</v>
      </c>
      <c r="C488" s="7" t="s">
        <v>12556</v>
      </c>
      <c r="D488" s="8">
        <f t="shared" si="32"/>
        <v>0</v>
      </c>
      <c r="E488" s="7" t="s">
        <v>12557</v>
      </c>
      <c r="F488" s="7">
        <f t="shared" si="33"/>
        <v>1</v>
      </c>
      <c r="G488" s="7" t="s">
        <v>12558</v>
      </c>
      <c r="H488" s="7">
        <f t="shared" si="34"/>
        <v>0</v>
      </c>
      <c r="I488" s="7" cm="1">
        <f t="array" ref="I488">IFERROR(_xlfn.IFS(M488="נח",1,M488="נע ונח",1,M488="שני שווא נח",2,M488="שני שוואים בסוף מילה",2,M488="שני שוואים ברצף",1),"0")</f>
        <v>1</v>
      </c>
      <c r="J488" s="9">
        <f t="shared" si="35"/>
        <v>3</v>
      </c>
      <c r="K488" t="s">
        <v>6697</v>
      </c>
      <c r="L488" t="s">
        <v>6694</v>
      </c>
      <c r="M488" t="s">
        <v>6701</v>
      </c>
      <c r="O488" t="s">
        <v>6694</v>
      </c>
      <c r="W488" t="s">
        <v>6720</v>
      </c>
    </row>
    <row r="489" spans="1:23" ht="15.6" x14ac:dyDescent="0.4">
      <c r="A489" s="2" t="s">
        <v>4313</v>
      </c>
      <c r="B489" s="5" t="s">
        <v>7166</v>
      </c>
      <c r="C489" s="7" t="s">
        <v>12556</v>
      </c>
      <c r="D489" s="8">
        <f t="shared" si="32"/>
        <v>1</v>
      </c>
      <c r="E489" s="7" t="s">
        <v>12557</v>
      </c>
      <c r="F489" s="7">
        <f t="shared" si="33"/>
        <v>0</v>
      </c>
      <c r="G489" s="7" t="s">
        <v>12558</v>
      </c>
      <c r="H489" s="7">
        <f t="shared" si="34"/>
        <v>0</v>
      </c>
      <c r="I489" s="7" t="str" cm="1">
        <f t="array" ref="I489">IFERROR(_xlfn.IFS(M489="נח",1,M489="נע ונח",1,M489="שני שווא נח",2,M489="שני שוואים בסוף מילה",2,M489="שני שוואים ברצף",1),"0")</f>
        <v>0</v>
      </c>
      <c r="J489" s="9">
        <f t="shared" si="35"/>
        <v>3</v>
      </c>
      <c r="K489" t="s">
        <v>6698</v>
      </c>
      <c r="L489" t="s">
        <v>6694</v>
      </c>
      <c r="M489" t="s">
        <v>6700</v>
      </c>
      <c r="R489" t="s">
        <v>6694</v>
      </c>
      <c r="V489" t="s">
        <v>6694</v>
      </c>
      <c r="W489" t="s">
        <v>6720</v>
      </c>
    </row>
    <row r="490" spans="1:23" ht="15.6" x14ac:dyDescent="0.4">
      <c r="A490" s="2" t="s">
        <v>4447</v>
      </c>
      <c r="B490" s="5" t="s">
        <v>7167</v>
      </c>
      <c r="C490" s="7" t="s">
        <v>12556</v>
      </c>
      <c r="D490" s="8">
        <f t="shared" si="32"/>
        <v>0</v>
      </c>
      <c r="E490" s="7" t="s">
        <v>12557</v>
      </c>
      <c r="F490" s="7">
        <f t="shared" si="33"/>
        <v>0</v>
      </c>
      <c r="G490" s="7" t="s">
        <v>12558</v>
      </c>
      <c r="H490" s="7">
        <f t="shared" si="34"/>
        <v>0</v>
      </c>
      <c r="I490" s="7" t="str" cm="1">
        <f t="array" ref="I490">IFERROR(_xlfn.IFS(M490="נח",1,M490="נע ונח",1,M490="שני שווא נח",2,M490="שני שוואים בסוף מילה",2,M490="שני שוואים ברצף",1),"0")</f>
        <v>0</v>
      </c>
      <c r="J490" s="9">
        <f t="shared" si="35"/>
        <v>3</v>
      </c>
      <c r="K490" t="s">
        <v>6698</v>
      </c>
      <c r="L490" t="s">
        <v>6694</v>
      </c>
      <c r="M490" t="s">
        <v>6700</v>
      </c>
      <c r="V490" t="s">
        <v>6694</v>
      </c>
      <c r="W490" t="s">
        <v>6720</v>
      </c>
    </row>
    <row r="491" spans="1:23" ht="15.6" x14ac:dyDescent="0.4">
      <c r="A491" s="2" t="s">
        <v>3169</v>
      </c>
      <c r="B491" s="5" t="s">
        <v>7168</v>
      </c>
      <c r="C491" s="7" t="s">
        <v>12556</v>
      </c>
      <c r="D491" s="8">
        <f t="shared" si="32"/>
        <v>0</v>
      </c>
      <c r="E491" s="7" t="s">
        <v>12557</v>
      </c>
      <c r="F491" s="7">
        <f t="shared" si="33"/>
        <v>0</v>
      </c>
      <c r="G491" s="7" t="s">
        <v>12558</v>
      </c>
      <c r="H491" s="7">
        <f t="shared" si="34"/>
        <v>0</v>
      </c>
      <c r="I491" s="7" cm="1">
        <f t="array" ref="I491">IFERROR(_xlfn.IFS(M491="נח",1,M491="נע ונח",1,M491="שני שווא נח",2,M491="שני שוואים בסוף מילה",2,M491="שני שוואים ברצף",1),"0")</f>
        <v>1</v>
      </c>
      <c r="J491" s="9">
        <f t="shared" si="35"/>
        <v>5</v>
      </c>
      <c r="K491" t="s">
        <v>6697</v>
      </c>
      <c r="L491" t="s">
        <v>6694</v>
      </c>
      <c r="M491" t="s">
        <v>6701</v>
      </c>
      <c r="O491" t="s">
        <v>6694</v>
      </c>
      <c r="R491" t="s">
        <v>6694</v>
      </c>
      <c r="S491" t="s">
        <v>6694</v>
      </c>
      <c r="W491" t="s">
        <v>6720</v>
      </c>
    </row>
    <row r="492" spans="1:23" ht="15.6" x14ac:dyDescent="0.4">
      <c r="A492" s="2" t="s">
        <v>6507</v>
      </c>
      <c r="B492" s="5" t="s">
        <v>7169</v>
      </c>
      <c r="C492" s="7" t="s">
        <v>12556</v>
      </c>
      <c r="D492" s="8">
        <f t="shared" si="32"/>
        <v>0</v>
      </c>
      <c r="E492" s="7" t="s">
        <v>12557</v>
      </c>
      <c r="F492" s="7">
        <f t="shared" si="33"/>
        <v>1</v>
      </c>
      <c r="G492" s="7" t="s">
        <v>12558</v>
      </c>
      <c r="H492" s="7">
        <f t="shared" si="34"/>
        <v>0</v>
      </c>
      <c r="I492" s="7" t="str" cm="1">
        <f t="array" ref="I492">IFERROR(_xlfn.IFS(M492="נח",1,M492="נע ונח",1,M492="שני שווא נח",2,M492="שני שוואים בסוף מילה",2,M492="שני שוואים ברצף",1),"0")</f>
        <v>0</v>
      </c>
      <c r="J492" s="9">
        <f t="shared" si="35"/>
        <v>3</v>
      </c>
      <c r="K492" t="s">
        <v>6698</v>
      </c>
      <c r="L492" t="s">
        <v>6694</v>
      </c>
      <c r="M492" t="s">
        <v>6700</v>
      </c>
      <c r="S492" t="s">
        <v>6694</v>
      </c>
      <c r="V492" t="s">
        <v>6694</v>
      </c>
      <c r="W492" t="s">
        <v>6720</v>
      </c>
    </row>
    <row r="493" spans="1:23" ht="15.6" x14ac:dyDescent="0.4">
      <c r="A493" s="2" t="s">
        <v>1484</v>
      </c>
      <c r="B493" s="5" t="s">
        <v>7170</v>
      </c>
      <c r="C493" s="7" t="s">
        <v>12556</v>
      </c>
      <c r="D493" s="8">
        <f t="shared" si="32"/>
        <v>0</v>
      </c>
      <c r="E493" s="7" t="s">
        <v>12557</v>
      </c>
      <c r="F493" s="7">
        <f t="shared" si="33"/>
        <v>0</v>
      </c>
      <c r="G493" s="7" t="s">
        <v>12558</v>
      </c>
      <c r="H493" s="7">
        <f t="shared" si="34"/>
        <v>0</v>
      </c>
      <c r="I493" s="7" cm="1">
        <f t="array" ref="I493">IFERROR(_xlfn.IFS(M493="נח",1,M493="נע ונח",1,M493="שני שווא נח",2,M493="שני שוואים בסוף מילה",2,M493="שני שוואים ברצף",1),"0")</f>
        <v>1</v>
      </c>
      <c r="J493" s="9">
        <f t="shared" si="35"/>
        <v>4</v>
      </c>
      <c r="K493" t="s">
        <v>6698</v>
      </c>
      <c r="L493" t="s">
        <v>6694</v>
      </c>
      <c r="M493" t="s">
        <v>6702</v>
      </c>
      <c r="Q493" t="s">
        <v>6694</v>
      </c>
      <c r="S493" t="s">
        <v>6694</v>
      </c>
      <c r="W493" t="s">
        <v>6720</v>
      </c>
    </row>
    <row r="494" spans="1:23" ht="15.6" x14ac:dyDescent="0.4">
      <c r="A494" s="2" t="s">
        <v>3072</v>
      </c>
      <c r="B494" s="5" t="s">
        <v>7171</v>
      </c>
      <c r="C494" s="7" t="s">
        <v>12556</v>
      </c>
      <c r="D494" s="8">
        <f t="shared" si="32"/>
        <v>0</v>
      </c>
      <c r="E494" s="7" t="s">
        <v>12557</v>
      </c>
      <c r="F494" s="7">
        <f t="shared" si="33"/>
        <v>0</v>
      </c>
      <c r="G494" s="7" t="s">
        <v>12558</v>
      </c>
      <c r="H494" s="7">
        <f t="shared" si="34"/>
        <v>0</v>
      </c>
      <c r="I494" s="7" t="str" cm="1">
        <f t="array" ref="I494">IFERROR(_xlfn.IFS(M494="נח",1,M494="נע ונח",1,M494="שני שווא נח",2,M494="שני שוואים בסוף מילה",2,M494="שני שוואים ברצף",1),"0")</f>
        <v>0</v>
      </c>
      <c r="J494" s="9">
        <f t="shared" si="35"/>
        <v>3</v>
      </c>
      <c r="K494" t="s">
        <v>6698</v>
      </c>
      <c r="L494" t="s">
        <v>6694</v>
      </c>
      <c r="M494" t="s">
        <v>6700</v>
      </c>
      <c r="R494" t="s">
        <v>6694</v>
      </c>
      <c r="W494" t="s">
        <v>6720</v>
      </c>
    </row>
    <row r="495" spans="1:23" ht="15.6" x14ac:dyDescent="0.4">
      <c r="A495" s="2" t="s">
        <v>4669</v>
      </c>
      <c r="B495" s="5" t="s">
        <v>7172</v>
      </c>
      <c r="C495" s="7" t="s">
        <v>12556</v>
      </c>
      <c r="D495" s="8">
        <f t="shared" si="32"/>
        <v>0</v>
      </c>
      <c r="E495" s="7" t="s">
        <v>12557</v>
      </c>
      <c r="F495" s="7">
        <f t="shared" si="33"/>
        <v>1</v>
      </c>
      <c r="G495" s="7" t="s">
        <v>12558</v>
      </c>
      <c r="H495" s="7">
        <f t="shared" si="34"/>
        <v>1</v>
      </c>
      <c r="I495" s="7" t="str" cm="1">
        <f t="array" ref="I495">IFERROR(_xlfn.IFS(M495="נח",1,M495="נע ונח",1,M495="שני שווא נח",2,M495="שני שוואים בסוף מילה",2,M495="שני שוואים ברצף",1),"0")</f>
        <v>0</v>
      </c>
      <c r="J495" s="9">
        <f t="shared" si="35"/>
        <v>4</v>
      </c>
      <c r="K495" t="s">
        <v>6698</v>
      </c>
      <c r="L495" t="s">
        <v>6694</v>
      </c>
      <c r="M495" t="s">
        <v>6700</v>
      </c>
      <c r="O495" t="s">
        <v>6694</v>
      </c>
      <c r="P495" t="s">
        <v>6694</v>
      </c>
      <c r="U495" t="s">
        <v>6694</v>
      </c>
      <c r="W495" t="s">
        <v>6720</v>
      </c>
    </row>
    <row r="496" spans="1:23" ht="15.6" x14ac:dyDescent="0.4">
      <c r="A496" s="2" t="s">
        <v>6384</v>
      </c>
      <c r="B496" s="5" t="s">
        <v>7173</v>
      </c>
      <c r="C496" s="7" t="s">
        <v>12556</v>
      </c>
      <c r="D496" s="8">
        <f t="shared" si="32"/>
        <v>0</v>
      </c>
      <c r="E496" s="7" t="s">
        <v>12557</v>
      </c>
      <c r="F496" s="7">
        <f t="shared" si="33"/>
        <v>0</v>
      </c>
      <c r="G496" s="7" t="s">
        <v>12558</v>
      </c>
      <c r="H496" s="7">
        <f t="shared" si="34"/>
        <v>0</v>
      </c>
      <c r="I496" s="7" cm="1">
        <f t="array" ref="I496">IFERROR(_xlfn.IFS(M496="נח",1,M496="נע ונח",1,M496="שני שווא נח",2,M496="שני שוואים בסוף מילה",2,M496="שני שוואים ברצף",1),"0")</f>
        <v>1</v>
      </c>
      <c r="J496" s="9">
        <f t="shared" si="35"/>
        <v>4</v>
      </c>
      <c r="K496" t="s">
        <v>6698</v>
      </c>
      <c r="L496" t="s">
        <v>6694</v>
      </c>
      <c r="M496" t="s">
        <v>6701</v>
      </c>
      <c r="O496" t="s">
        <v>6694</v>
      </c>
      <c r="P496" t="s">
        <v>6694</v>
      </c>
      <c r="R496" t="s">
        <v>6694</v>
      </c>
      <c r="W496" t="s">
        <v>6720</v>
      </c>
    </row>
    <row r="497" spans="1:23" ht="15.6" x14ac:dyDescent="0.4">
      <c r="A497" s="2" t="s">
        <v>2350</v>
      </c>
      <c r="B497" s="5" t="s">
        <v>7174</v>
      </c>
      <c r="C497" s="7" t="s">
        <v>12556</v>
      </c>
      <c r="D497" s="8">
        <f t="shared" si="32"/>
        <v>0</v>
      </c>
      <c r="E497" s="7" t="s">
        <v>12557</v>
      </c>
      <c r="F497" s="7">
        <f t="shared" si="33"/>
        <v>0</v>
      </c>
      <c r="G497" s="7" t="s">
        <v>12558</v>
      </c>
      <c r="H497" s="7">
        <f t="shared" si="34"/>
        <v>0</v>
      </c>
      <c r="I497" s="7" t="str" cm="1">
        <f t="array" ref="I497">IFERROR(_xlfn.IFS(M497="נח",1,M497="נע ונח",1,M497="שני שווא נח",2,M497="שני שוואים בסוף מילה",2,M497="שני שוואים ברצף",1),"0")</f>
        <v>0</v>
      </c>
      <c r="J497" s="9">
        <f t="shared" si="35"/>
        <v>3</v>
      </c>
      <c r="K497" t="s">
        <v>6697</v>
      </c>
      <c r="L497" t="s">
        <v>6694</v>
      </c>
      <c r="M497" t="s">
        <v>6700</v>
      </c>
      <c r="O497" t="s">
        <v>6694</v>
      </c>
      <c r="W497" t="s">
        <v>6720</v>
      </c>
    </row>
    <row r="498" spans="1:23" ht="15.6" x14ac:dyDescent="0.4">
      <c r="A498" s="2" t="s">
        <v>6089</v>
      </c>
      <c r="B498" s="5" t="s">
        <v>7175</v>
      </c>
      <c r="C498" s="7" t="s">
        <v>12556</v>
      </c>
      <c r="D498" s="8">
        <f t="shared" si="32"/>
        <v>0</v>
      </c>
      <c r="E498" s="7" t="s">
        <v>12557</v>
      </c>
      <c r="F498" s="7">
        <f t="shared" si="33"/>
        <v>0</v>
      </c>
      <c r="G498" s="7" t="s">
        <v>12558</v>
      </c>
      <c r="H498" s="7">
        <f t="shared" si="34"/>
        <v>0</v>
      </c>
      <c r="I498" s="7" t="str" cm="1">
        <f t="array" ref="I498">IFERROR(_xlfn.IFS(M498="נח",1,M498="נע ונח",1,M498="שני שווא נח",2,M498="שני שוואים בסוף מילה",2,M498="שני שוואים ברצף",1),"0")</f>
        <v>0</v>
      </c>
      <c r="J498" s="9">
        <f t="shared" si="35"/>
        <v>3</v>
      </c>
      <c r="K498" t="s">
        <v>6698</v>
      </c>
      <c r="L498" t="s">
        <v>6694</v>
      </c>
      <c r="M498" t="s">
        <v>6700</v>
      </c>
      <c r="N498" t="s">
        <v>6706</v>
      </c>
      <c r="O498" t="s">
        <v>6694</v>
      </c>
      <c r="W498" t="s">
        <v>6720</v>
      </c>
    </row>
    <row r="499" spans="1:23" ht="15.6" x14ac:dyDescent="0.4">
      <c r="A499" s="2" t="s">
        <v>3761</v>
      </c>
      <c r="B499" s="5" t="s">
        <v>7176</v>
      </c>
      <c r="C499" s="7" t="s">
        <v>12556</v>
      </c>
      <c r="D499" s="8">
        <f t="shared" si="32"/>
        <v>0</v>
      </c>
      <c r="E499" s="7" t="s">
        <v>12557</v>
      </c>
      <c r="F499" s="7">
        <f t="shared" si="33"/>
        <v>0</v>
      </c>
      <c r="G499" s="7" t="s">
        <v>12558</v>
      </c>
      <c r="H499" s="7">
        <f t="shared" si="34"/>
        <v>0</v>
      </c>
      <c r="I499" s="7" t="str" cm="1">
        <f t="array" ref="I499">IFERROR(_xlfn.IFS(M499="נח",1,M499="נע ונח",1,M499="שני שווא נח",2,M499="שני שוואים בסוף מילה",2,M499="שני שוואים ברצף",1),"0")</f>
        <v>0</v>
      </c>
      <c r="J499" s="9">
        <f t="shared" si="35"/>
        <v>3</v>
      </c>
      <c r="K499" t="s">
        <v>6698</v>
      </c>
      <c r="L499" t="s">
        <v>6694</v>
      </c>
      <c r="M499" t="s">
        <v>6700</v>
      </c>
      <c r="O499" t="s">
        <v>6694</v>
      </c>
      <c r="V499" t="s">
        <v>6694</v>
      </c>
      <c r="W499" t="s">
        <v>6720</v>
      </c>
    </row>
    <row r="500" spans="1:23" ht="15.6" x14ac:dyDescent="0.4">
      <c r="A500" s="2" t="s">
        <v>3616</v>
      </c>
      <c r="B500" s="5" t="s">
        <v>7177</v>
      </c>
      <c r="C500" s="7" t="s">
        <v>12556</v>
      </c>
      <c r="D500" s="8">
        <f t="shared" si="32"/>
        <v>1</v>
      </c>
      <c r="E500" s="7" t="s">
        <v>12557</v>
      </c>
      <c r="F500" s="7">
        <f t="shared" si="33"/>
        <v>1</v>
      </c>
      <c r="G500" s="7" t="s">
        <v>12558</v>
      </c>
      <c r="H500" s="7">
        <f t="shared" si="34"/>
        <v>0</v>
      </c>
      <c r="I500" s="7" cm="1">
        <f t="array" ref="I500">IFERROR(_xlfn.IFS(M500="נח",1,M500="נע ונח",1,M500="שני שווא נח",2,M500="שני שוואים בסוף מילה",2,M500="שני שוואים ברצף",1),"0")</f>
        <v>1</v>
      </c>
      <c r="J500" s="9">
        <f t="shared" si="35"/>
        <v>3</v>
      </c>
      <c r="K500" t="s">
        <v>6697</v>
      </c>
      <c r="L500" t="s">
        <v>6694</v>
      </c>
      <c r="M500" t="s">
        <v>6701</v>
      </c>
      <c r="P500" t="s">
        <v>6694</v>
      </c>
      <c r="S500" t="s">
        <v>6694</v>
      </c>
      <c r="W500" t="s">
        <v>6720</v>
      </c>
    </row>
    <row r="501" spans="1:23" ht="15.6" x14ac:dyDescent="0.4">
      <c r="A501" s="2" t="s">
        <v>650</v>
      </c>
      <c r="B501" s="5" t="s">
        <v>7178</v>
      </c>
      <c r="C501" s="7" t="s">
        <v>12556</v>
      </c>
      <c r="D501" s="8">
        <f t="shared" si="32"/>
        <v>0</v>
      </c>
      <c r="E501" s="7" t="s">
        <v>12557</v>
      </c>
      <c r="F501" s="7">
        <f t="shared" si="33"/>
        <v>0</v>
      </c>
      <c r="G501" s="7" t="s">
        <v>12558</v>
      </c>
      <c r="H501" s="7">
        <f t="shared" si="34"/>
        <v>0</v>
      </c>
      <c r="I501" s="7" t="str" cm="1">
        <f t="array" ref="I501">IFERROR(_xlfn.IFS(M501="נח",1,M501="נע ונח",1,M501="שני שווא נח",2,M501="שני שוואים בסוף מילה",2,M501="שני שוואים ברצף",1),"0")</f>
        <v>0</v>
      </c>
      <c r="J501" s="9">
        <f t="shared" si="35"/>
        <v>3</v>
      </c>
      <c r="K501" t="s">
        <v>6698</v>
      </c>
      <c r="L501" t="s">
        <v>6694</v>
      </c>
      <c r="M501" t="s">
        <v>6700</v>
      </c>
      <c r="O501" t="s">
        <v>6694</v>
      </c>
      <c r="V501" t="s">
        <v>6694</v>
      </c>
      <c r="W501" t="s">
        <v>6720</v>
      </c>
    </row>
    <row r="502" spans="1:23" ht="15.6" x14ac:dyDescent="0.4">
      <c r="A502" s="2" t="s">
        <v>4579</v>
      </c>
      <c r="B502" s="5" t="s">
        <v>7179</v>
      </c>
      <c r="C502" s="7" t="s">
        <v>12556</v>
      </c>
      <c r="D502" s="8">
        <f t="shared" si="32"/>
        <v>0</v>
      </c>
      <c r="E502" s="7" t="s">
        <v>12557</v>
      </c>
      <c r="F502" s="7">
        <f t="shared" si="33"/>
        <v>0</v>
      </c>
      <c r="G502" s="7" t="s">
        <v>12558</v>
      </c>
      <c r="H502" s="7">
        <f t="shared" si="34"/>
        <v>0</v>
      </c>
      <c r="I502" s="7" cm="1">
        <f t="array" ref="I502">IFERROR(_xlfn.IFS(M502="נח",1,M502="נע ונח",1,M502="שני שווא נח",2,M502="שני שוואים בסוף מילה",2,M502="שני שוואים ברצף",1),"0")</f>
        <v>1</v>
      </c>
      <c r="J502" s="9">
        <f t="shared" si="35"/>
        <v>3</v>
      </c>
      <c r="K502" t="s">
        <v>6697</v>
      </c>
      <c r="L502" t="s">
        <v>6694</v>
      </c>
      <c r="M502" t="s">
        <v>6701</v>
      </c>
      <c r="N502" t="s">
        <v>6706</v>
      </c>
      <c r="O502" t="s">
        <v>6694</v>
      </c>
      <c r="S502" t="s">
        <v>6694</v>
      </c>
      <c r="W502" t="s">
        <v>6720</v>
      </c>
    </row>
    <row r="503" spans="1:23" ht="15.6" x14ac:dyDescent="0.4">
      <c r="A503" s="2" t="s">
        <v>5786</v>
      </c>
      <c r="B503" s="5" t="s">
        <v>7180</v>
      </c>
      <c r="C503" s="7" t="s">
        <v>12556</v>
      </c>
      <c r="D503" s="8">
        <f t="shared" si="32"/>
        <v>0</v>
      </c>
      <c r="E503" s="7" t="s">
        <v>12557</v>
      </c>
      <c r="F503" s="7">
        <f t="shared" si="33"/>
        <v>0</v>
      </c>
      <c r="G503" s="7" t="s">
        <v>12558</v>
      </c>
      <c r="H503" s="7">
        <f t="shared" si="34"/>
        <v>0</v>
      </c>
      <c r="I503" s="7" t="str" cm="1">
        <f t="array" ref="I503">IFERROR(_xlfn.IFS(M503="נח",1,M503="נע ונח",1,M503="שני שווא נח",2,M503="שני שוואים בסוף מילה",2,M503="שני שוואים ברצף",1),"0")</f>
        <v>0</v>
      </c>
      <c r="J503" s="9">
        <f t="shared" si="35"/>
        <v>2</v>
      </c>
      <c r="K503" t="s">
        <v>6698</v>
      </c>
      <c r="L503" t="s">
        <v>6694</v>
      </c>
      <c r="M503" t="s">
        <v>6700</v>
      </c>
      <c r="S503" t="s">
        <v>6694</v>
      </c>
      <c r="W503" t="s">
        <v>6720</v>
      </c>
    </row>
    <row r="504" spans="1:23" ht="15.6" x14ac:dyDescent="0.4">
      <c r="A504" s="2" t="s">
        <v>5302</v>
      </c>
      <c r="B504" s="5" t="s">
        <v>7181</v>
      </c>
      <c r="C504" s="7" t="s">
        <v>12556</v>
      </c>
      <c r="D504" s="8">
        <f t="shared" si="32"/>
        <v>0</v>
      </c>
      <c r="E504" s="7" t="s">
        <v>12557</v>
      </c>
      <c r="F504" s="7">
        <f t="shared" si="33"/>
        <v>0</v>
      </c>
      <c r="G504" s="7" t="s">
        <v>12558</v>
      </c>
      <c r="H504" s="7">
        <f t="shared" si="34"/>
        <v>0</v>
      </c>
      <c r="I504" s="7" t="str" cm="1">
        <f t="array" ref="I504">IFERROR(_xlfn.IFS(M504="נח",1,M504="נע ונח",1,M504="שני שווא נח",2,M504="שני שוואים בסוף מילה",2,M504="שני שוואים ברצף",1),"0")</f>
        <v>0</v>
      </c>
      <c r="J504" s="9">
        <f t="shared" si="35"/>
        <v>3</v>
      </c>
      <c r="K504" t="s">
        <v>6697</v>
      </c>
      <c r="L504" t="s">
        <v>6694</v>
      </c>
      <c r="M504" t="s">
        <v>6700</v>
      </c>
      <c r="S504" t="s">
        <v>6694</v>
      </c>
      <c r="W504" t="s">
        <v>6720</v>
      </c>
    </row>
    <row r="505" spans="1:23" ht="15.6" x14ac:dyDescent="0.4">
      <c r="A505" s="2" t="s">
        <v>906</v>
      </c>
      <c r="B505" s="5" t="s">
        <v>7182</v>
      </c>
      <c r="C505" s="7" t="s">
        <v>12556</v>
      </c>
      <c r="D505" s="8">
        <f t="shared" si="32"/>
        <v>0</v>
      </c>
      <c r="E505" s="7" t="s">
        <v>12557</v>
      </c>
      <c r="F505" s="7">
        <f t="shared" si="33"/>
        <v>0</v>
      </c>
      <c r="G505" s="7" t="s">
        <v>12558</v>
      </c>
      <c r="H505" s="7">
        <f t="shared" si="34"/>
        <v>0</v>
      </c>
      <c r="I505" s="7" t="str" cm="1">
        <f t="array" ref="I505">IFERROR(_xlfn.IFS(M505="נח",1,M505="נע ונח",1,M505="שני שווא נח",2,M505="שני שוואים בסוף מילה",2,M505="שני שוואים ברצף",1),"0")</f>
        <v>0</v>
      </c>
      <c r="J505" s="9">
        <f t="shared" si="35"/>
        <v>3</v>
      </c>
      <c r="K505" t="s">
        <v>6697</v>
      </c>
      <c r="L505" t="s">
        <v>6694</v>
      </c>
      <c r="M505" t="s">
        <v>6700</v>
      </c>
      <c r="S505" t="s">
        <v>6694</v>
      </c>
      <c r="V505" t="s">
        <v>6694</v>
      </c>
      <c r="W505" t="s">
        <v>6720</v>
      </c>
    </row>
    <row r="506" spans="1:23" ht="15.6" x14ac:dyDescent="0.4">
      <c r="A506" s="2" t="s">
        <v>6574</v>
      </c>
      <c r="B506" s="5" t="s">
        <v>7183</v>
      </c>
      <c r="C506" s="7" t="s">
        <v>12556</v>
      </c>
      <c r="D506" s="8">
        <f t="shared" si="32"/>
        <v>1</v>
      </c>
      <c r="E506" s="7" t="s">
        <v>12557</v>
      </c>
      <c r="F506" s="7">
        <f t="shared" si="33"/>
        <v>1</v>
      </c>
      <c r="G506" s="7" t="s">
        <v>12558</v>
      </c>
      <c r="H506" s="7">
        <f t="shared" si="34"/>
        <v>0</v>
      </c>
      <c r="I506" s="7" cm="1">
        <f t="array" ref="I506">IFERROR(_xlfn.IFS(M506="נח",1,M506="נע ונח",1,M506="שני שווא נח",2,M506="שני שוואים בסוף מילה",2,M506="שני שוואים ברצף",1),"0")</f>
        <v>1</v>
      </c>
      <c r="J506" s="9">
        <f t="shared" si="35"/>
        <v>3</v>
      </c>
      <c r="K506" t="s">
        <v>6697</v>
      </c>
      <c r="L506" t="s">
        <v>6694</v>
      </c>
      <c r="M506" t="s">
        <v>6701</v>
      </c>
      <c r="S506" t="s">
        <v>6694</v>
      </c>
      <c r="V506" t="s">
        <v>6694</v>
      </c>
      <c r="W506" t="s">
        <v>6720</v>
      </c>
    </row>
    <row r="507" spans="1:23" ht="15.6" x14ac:dyDescent="0.4">
      <c r="A507" s="2" t="s">
        <v>4040</v>
      </c>
      <c r="B507" s="5" t="s">
        <v>7184</v>
      </c>
      <c r="C507" s="7" t="s">
        <v>12556</v>
      </c>
      <c r="D507" s="8">
        <f t="shared" si="32"/>
        <v>0</v>
      </c>
      <c r="E507" s="7" t="s">
        <v>12557</v>
      </c>
      <c r="F507" s="7">
        <f t="shared" si="33"/>
        <v>1</v>
      </c>
      <c r="G507" s="7" t="s">
        <v>12558</v>
      </c>
      <c r="H507" s="7">
        <f t="shared" si="34"/>
        <v>0</v>
      </c>
      <c r="I507" s="7" t="str" cm="1">
        <f t="array" ref="I507">IFERROR(_xlfn.IFS(M507="נח",1,M507="נע ונח",1,M507="שני שווא נח",2,M507="שני שוואים בסוף מילה",2,M507="שני שוואים ברצף",1),"0")</f>
        <v>0</v>
      </c>
      <c r="J507" s="9">
        <f t="shared" si="35"/>
        <v>3</v>
      </c>
      <c r="K507" t="s">
        <v>6698</v>
      </c>
      <c r="L507" t="s">
        <v>6694</v>
      </c>
      <c r="M507" t="s">
        <v>6700</v>
      </c>
      <c r="P507" t="s">
        <v>6694</v>
      </c>
      <c r="S507" t="s">
        <v>6694</v>
      </c>
      <c r="W507" t="s">
        <v>6720</v>
      </c>
    </row>
    <row r="508" spans="1:23" ht="15.6" x14ac:dyDescent="0.4">
      <c r="A508" s="2" t="s">
        <v>5812</v>
      </c>
      <c r="B508" s="5" t="s">
        <v>7185</v>
      </c>
      <c r="C508" s="7" t="s">
        <v>12556</v>
      </c>
      <c r="D508" s="8">
        <f t="shared" si="32"/>
        <v>0</v>
      </c>
      <c r="E508" s="7" t="s">
        <v>12557</v>
      </c>
      <c r="F508" s="7">
        <f t="shared" si="33"/>
        <v>0</v>
      </c>
      <c r="G508" s="7" t="s">
        <v>12558</v>
      </c>
      <c r="H508" s="7">
        <f t="shared" si="34"/>
        <v>0</v>
      </c>
      <c r="I508" s="7" t="str" cm="1">
        <f t="array" ref="I508">IFERROR(_xlfn.IFS(M508="נח",1,M508="נע ונח",1,M508="שני שווא נח",2,M508="שני שוואים בסוף מילה",2,M508="שני שוואים ברצף",1),"0")</f>
        <v>0</v>
      </c>
      <c r="J508" s="9">
        <f t="shared" si="35"/>
        <v>3</v>
      </c>
      <c r="K508" t="s">
        <v>6698</v>
      </c>
      <c r="L508" t="s">
        <v>6694</v>
      </c>
      <c r="M508" t="s">
        <v>6700</v>
      </c>
      <c r="N508" t="s">
        <v>6706</v>
      </c>
      <c r="O508" t="s">
        <v>6694</v>
      </c>
      <c r="W508" t="s">
        <v>6720</v>
      </c>
    </row>
    <row r="509" spans="1:23" ht="15.6" x14ac:dyDescent="0.4">
      <c r="A509" s="2" t="s">
        <v>4425</v>
      </c>
      <c r="B509" s="5" t="s">
        <v>7186</v>
      </c>
      <c r="C509" s="7" t="s">
        <v>12556</v>
      </c>
      <c r="D509" s="8">
        <f t="shared" si="32"/>
        <v>0</v>
      </c>
      <c r="E509" s="7" t="s">
        <v>12557</v>
      </c>
      <c r="F509" s="7">
        <f t="shared" si="33"/>
        <v>0</v>
      </c>
      <c r="G509" s="7" t="s">
        <v>12558</v>
      </c>
      <c r="H509" s="7">
        <f t="shared" si="34"/>
        <v>0</v>
      </c>
      <c r="I509" s="7" t="str" cm="1">
        <f t="array" ref="I509">IFERROR(_xlfn.IFS(M509="נח",1,M509="נע ונח",1,M509="שני שווא נח",2,M509="שני שוואים בסוף מילה",2,M509="שני שוואים ברצף",1),"0")</f>
        <v>0</v>
      </c>
      <c r="J509" s="9">
        <f t="shared" si="35"/>
        <v>3</v>
      </c>
      <c r="K509" t="s">
        <v>6698</v>
      </c>
      <c r="L509" t="s">
        <v>6694</v>
      </c>
      <c r="M509" t="s">
        <v>6700</v>
      </c>
      <c r="O509" t="s">
        <v>6694</v>
      </c>
      <c r="R509" t="s">
        <v>6694</v>
      </c>
      <c r="W509" t="s">
        <v>6720</v>
      </c>
    </row>
    <row r="510" spans="1:23" ht="15.6" x14ac:dyDescent="0.4">
      <c r="A510" s="2" t="s">
        <v>2573</v>
      </c>
      <c r="B510" s="5" t="s">
        <v>7187</v>
      </c>
      <c r="C510" s="7" t="s">
        <v>12556</v>
      </c>
      <c r="D510" s="8">
        <f t="shared" si="32"/>
        <v>0</v>
      </c>
      <c r="E510" s="7" t="s">
        <v>12557</v>
      </c>
      <c r="F510" s="7">
        <f t="shared" si="33"/>
        <v>0</v>
      </c>
      <c r="G510" s="7" t="s">
        <v>12558</v>
      </c>
      <c r="H510" s="7">
        <f t="shared" si="34"/>
        <v>0</v>
      </c>
      <c r="I510" s="7" t="str" cm="1">
        <f t="array" ref="I510">IFERROR(_xlfn.IFS(M510="נח",1,M510="נע ונח",1,M510="שני שווא נח",2,M510="שני שוואים בסוף מילה",2,M510="שני שוואים ברצף",1),"0")</f>
        <v>0</v>
      </c>
      <c r="J510" s="9">
        <f t="shared" si="35"/>
        <v>3</v>
      </c>
      <c r="K510" t="s">
        <v>6697</v>
      </c>
      <c r="L510" t="s">
        <v>6694</v>
      </c>
      <c r="M510" t="s">
        <v>6700</v>
      </c>
      <c r="O510" t="s">
        <v>6694</v>
      </c>
      <c r="W510" t="s">
        <v>6720</v>
      </c>
    </row>
    <row r="511" spans="1:23" ht="15.6" x14ac:dyDescent="0.4">
      <c r="A511" s="2" t="s">
        <v>3331</v>
      </c>
      <c r="B511" s="5" t="s">
        <v>7188</v>
      </c>
      <c r="C511" s="7" t="s">
        <v>12556</v>
      </c>
      <c r="D511" s="8">
        <f t="shared" si="32"/>
        <v>0</v>
      </c>
      <c r="E511" s="7" t="s">
        <v>12557</v>
      </c>
      <c r="F511" s="7">
        <f t="shared" si="33"/>
        <v>0</v>
      </c>
      <c r="G511" s="7" t="s">
        <v>12558</v>
      </c>
      <c r="H511" s="7">
        <f t="shared" si="34"/>
        <v>0</v>
      </c>
      <c r="I511" s="7" t="str" cm="1">
        <f t="array" ref="I511">IFERROR(_xlfn.IFS(M511="נח",1,M511="נע ונח",1,M511="שני שווא נח",2,M511="שני שוואים בסוף מילה",2,M511="שני שוואים ברצף",1),"0")</f>
        <v>0</v>
      </c>
      <c r="J511" s="9">
        <f t="shared" si="35"/>
        <v>3</v>
      </c>
      <c r="K511" t="s">
        <v>6698</v>
      </c>
      <c r="L511" t="s">
        <v>6694</v>
      </c>
      <c r="M511" t="s">
        <v>6700</v>
      </c>
      <c r="O511" t="s">
        <v>6694</v>
      </c>
      <c r="V511" t="s">
        <v>6694</v>
      </c>
      <c r="W511" t="s">
        <v>6720</v>
      </c>
    </row>
    <row r="512" spans="1:23" ht="15.6" x14ac:dyDescent="0.4">
      <c r="A512" s="2" t="s">
        <v>5401</v>
      </c>
      <c r="B512" s="5" t="s">
        <v>7189</v>
      </c>
      <c r="C512" s="7" t="s">
        <v>12556</v>
      </c>
      <c r="D512" s="8">
        <f t="shared" si="32"/>
        <v>0</v>
      </c>
      <c r="E512" s="7" t="s">
        <v>12557</v>
      </c>
      <c r="F512" s="7">
        <f t="shared" si="33"/>
        <v>0</v>
      </c>
      <c r="G512" s="7" t="s">
        <v>12558</v>
      </c>
      <c r="H512" s="7">
        <f t="shared" si="34"/>
        <v>0</v>
      </c>
      <c r="I512" s="7" t="str" cm="1">
        <f t="array" ref="I512">IFERROR(_xlfn.IFS(M512="נח",1,M512="נע ונח",1,M512="שני שווא נח",2,M512="שני שוואים בסוף מילה",2,M512="שני שוואים ברצף",1),"0")</f>
        <v>0</v>
      </c>
      <c r="J512" s="9">
        <f t="shared" si="35"/>
        <v>2</v>
      </c>
      <c r="K512" t="s">
        <v>6697</v>
      </c>
      <c r="L512" t="s">
        <v>6694</v>
      </c>
      <c r="M512" t="s">
        <v>6700</v>
      </c>
      <c r="O512" t="s">
        <v>6694</v>
      </c>
      <c r="W512" t="s">
        <v>6720</v>
      </c>
    </row>
    <row r="513" spans="1:23" ht="15.6" x14ac:dyDescent="0.4">
      <c r="A513" s="2" t="s">
        <v>5331</v>
      </c>
      <c r="B513" s="5" t="s">
        <v>7190</v>
      </c>
      <c r="C513" s="7" t="s">
        <v>12556</v>
      </c>
      <c r="D513" s="8">
        <f t="shared" si="32"/>
        <v>0</v>
      </c>
      <c r="E513" s="7" t="s">
        <v>12557</v>
      </c>
      <c r="F513" s="7">
        <f t="shared" si="33"/>
        <v>0</v>
      </c>
      <c r="G513" s="7" t="s">
        <v>12558</v>
      </c>
      <c r="H513" s="7">
        <f t="shared" si="34"/>
        <v>0</v>
      </c>
      <c r="I513" s="7" t="str" cm="1">
        <f t="array" ref="I513">IFERROR(_xlfn.IFS(M513="נח",1,M513="נע ונח",1,M513="שני שווא נח",2,M513="שני שוואים בסוף מילה",2,M513="שני שוואים ברצף",1),"0")</f>
        <v>0</v>
      </c>
      <c r="J513" s="9">
        <f t="shared" si="35"/>
        <v>3</v>
      </c>
      <c r="K513" t="s">
        <v>6697</v>
      </c>
      <c r="L513" t="s">
        <v>6694</v>
      </c>
      <c r="M513" t="s">
        <v>6700</v>
      </c>
      <c r="O513" t="s">
        <v>6694</v>
      </c>
      <c r="W513" t="s">
        <v>6720</v>
      </c>
    </row>
    <row r="514" spans="1:23" ht="15.6" x14ac:dyDescent="0.4">
      <c r="A514" s="2" t="s">
        <v>4770</v>
      </c>
      <c r="B514" s="5" t="s">
        <v>7191</v>
      </c>
      <c r="C514" s="7" t="s">
        <v>12556</v>
      </c>
      <c r="D514" s="8">
        <f t="shared" si="32"/>
        <v>0</v>
      </c>
      <c r="E514" s="7" t="s">
        <v>12557</v>
      </c>
      <c r="F514" s="7">
        <f t="shared" si="33"/>
        <v>0</v>
      </c>
      <c r="G514" s="7" t="s">
        <v>12558</v>
      </c>
      <c r="H514" s="7">
        <f t="shared" si="34"/>
        <v>0</v>
      </c>
      <c r="I514" s="7" t="str" cm="1">
        <f t="array" ref="I514">IFERROR(_xlfn.IFS(M514="נח",1,M514="נע ונח",1,M514="שני שווא נח",2,M514="שני שוואים בסוף מילה",2,M514="שני שוואים ברצף",1),"0")</f>
        <v>0</v>
      </c>
      <c r="J514" s="9">
        <f t="shared" si="35"/>
        <v>3</v>
      </c>
      <c r="K514" t="s">
        <v>6698</v>
      </c>
      <c r="L514" t="s">
        <v>6694</v>
      </c>
      <c r="M514" t="s">
        <v>6700</v>
      </c>
      <c r="O514" t="s">
        <v>6694</v>
      </c>
      <c r="S514" t="s">
        <v>6694</v>
      </c>
      <c r="W514" t="s">
        <v>6720</v>
      </c>
    </row>
    <row r="515" spans="1:23" ht="15.6" x14ac:dyDescent="0.4">
      <c r="A515" s="2" t="s">
        <v>2201</v>
      </c>
      <c r="B515" s="5" t="s">
        <v>7192</v>
      </c>
      <c r="C515" s="7" t="s">
        <v>12556</v>
      </c>
      <c r="D515" s="8">
        <f t="shared" ref="D515:D578" si="36">(LEN(B515)-LEN(SUBSTITUTE(B515,C515,"")))</f>
        <v>0</v>
      </c>
      <c r="E515" s="7" t="s">
        <v>12557</v>
      </c>
      <c r="F515" s="7">
        <f t="shared" ref="F515:F578" si="37">(LEN(A515)-LEN(SUBSTITUTE(A515,E515,"")))</f>
        <v>0</v>
      </c>
      <c r="G515" s="7" t="s">
        <v>12558</v>
      </c>
      <c r="H515" s="7">
        <f t="shared" ref="H515:H578" si="38">(LEN(A515)-LEN(SUBSTITUTE(A515,G515,"")))/2</f>
        <v>0</v>
      </c>
      <c r="I515" s="7" t="str" cm="1">
        <f t="array" ref="I515">IFERROR(_xlfn.IFS(M515="נח",1,M515="נע ונח",1,M515="שני שווא נח",2,M515="שני שוואים בסוף מילה",2,M515="שני שוואים ברצף",1),"0")</f>
        <v>0</v>
      </c>
      <c r="J515" s="9">
        <f t="shared" ref="J515:J578" si="39">LEN(A515)-(LEN(B515))-D515-F515+H515-I515</f>
        <v>3</v>
      </c>
      <c r="K515" t="s">
        <v>6698</v>
      </c>
      <c r="L515" t="s">
        <v>6694</v>
      </c>
      <c r="M515" t="s">
        <v>6700</v>
      </c>
      <c r="N515" t="s">
        <v>6706</v>
      </c>
      <c r="O515" t="s">
        <v>6694</v>
      </c>
      <c r="W515" t="s">
        <v>6720</v>
      </c>
    </row>
    <row r="516" spans="1:23" ht="15.6" x14ac:dyDescent="0.4">
      <c r="A516" s="2" t="s">
        <v>1905</v>
      </c>
      <c r="B516" s="5" t="s">
        <v>7193</v>
      </c>
      <c r="C516" s="7" t="s">
        <v>12556</v>
      </c>
      <c r="D516" s="8">
        <f t="shared" si="36"/>
        <v>1</v>
      </c>
      <c r="E516" s="7" t="s">
        <v>12557</v>
      </c>
      <c r="F516" s="7">
        <f t="shared" si="37"/>
        <v>0</v>
      </c>
      <c r="G516" s="7" t="s">
        <v>12558</v>
      </c>
      <c r="H516" s="7">
        <f t="shared" si="38"/>
        <v>0</v>
      </c>
      <c r="I516" s="7" t="str" cm="1">
        <f t="array" ref="I516">IFERROR(_xlfn.IFS(M516="נח",1,M516="נע ונח",1,M516="שני שווא נח",2,M516="שני שוואים בסוף מילה",2,M516="שני שוואים ברצף",1),"0")</f>
        <v>0</v>
      </c>
      <c r="J516" s="9">
        <f t="shared" si="39"/>
        <v>3</v>
      </c>
      <c r="K516" t="s">
        <v>6697</v>
      </c>
      <c r="L516" t="s">
        <v>6694</v>
      </c>
      <c r="M516" t="s">
        <v>6700</v>
      </c>
      <c r="V516" t="s">
        <v>6694</v>
      </c>
      <c r="W516" t="s">
        <v>6720</v>
      </c>
    </row>
    <row r="517" spans="1:23" ht="15.6" x14ac:dyDescent="0.4">
      <c r="A517" s="2" t="s">
        <v>1910</v>
      </c>
      <c r="B517" s="5" t="s">
        <v>7194</v>
      </c>
      <c r="C517" s="7" t="s">
        <v>12556</v>
      </c>
      <c r="D517" s="8">
        <f t="shared" si="36"/>
        <v>1</v>
      </c>
      <c r="E517" s="7" t="s">
        <v>12557</v>
      </c>
      <c r="F517" s="7">
        <f t="shared" si="37"/>
        <v>0</v>
      </c>
      <c r="G517" s="7" t="s">
        <v>12558</v>
      </c>
      <c r="H517" s="7">
        <f t="shared" si="38"/>
        <v>0</v>
      </c>
      <c r="I517" s="7" cm="1">
        <f t="array" ref="I517">IFERROR(_xlfn.IFS(M517="נח",1,M517="נע ונח",1,M517="שני שווא נח",2,M517="שני שוואים בסוף מילה",2,M517="שני שוואים ברצף",1),"0")</f>
        <v>1</v>
      </c>
      <c r="J517" s="9">
        <f t="shared" si="39"/>
        <v>3</v>
      </c>
      <c r="K517" t="s">
        <v>6697</v>
      </c>
      <c r="L517" t="s">
        <v>6694</v>
      </c>
      <c r="M517" t="s">
        <v>6701</v>
      </c>
      <c r="P517" t="s">
        <v>6694</v>
      </c>
      <c r="S517" t="s">
        <v>6694</v>
      </c>
      <c r="W517" t="s">
        <v>6720</v>
      </c>
    </row>
    <row r="518" spans="1:23" ht="15.6" x14ac:dyDescent="0.4">
      <c r="A518" s="2" t="s">
        <v>4688</v>
      </c>
      <c r="B518" s="5" t="s">
        <v>7195</v>
      </c>
      <c r="C518" s="7" t="s">
        <v>12556</v>
      </c>
      <c r="D518" s="8">
        <f t="shared" si="36"/>
        <v>1</v>
      </c>
      <c r="E518" s="7" t="s">
        <v>12557</v>
      </c>
      <c r="F518" s="7">
        <f t="shared" si="37"/>
        <v>0</v>
      </c>
      <c r="G518" s="7" t="s">
        <v>12558</v>
      </c>
      <c r="H518" s="7">
        <f t="shared" si="38"/>
        <v>0</v>
      </c>
      <c r="I518" s="7" t="str" cm="1">
        <f t="array" ref="I518">IFERROR(_xlfn.IFS(M518="נח",1,M518="נע ונח",1,M518="שני שווא נח",2,M518="שני שוואים בסוף מילה",2,M518="שני שוואים ברצף",1),"0")</f>
        <v>0</v>
      </c>
      <c r="J518" s="9">
        <f t="shared" si="39"/>
        <v>3</v>
      </c>
      <c r="K518" t="s">
        <v>6698</v>
      </c>
      <c r="L518" t="s">
        <v>6694</v>
      </c>
      <c r="M518" t="s">
        <v>6700</v>
      </c>
      <c r="O518" t="s">
        <v>6694</v>
      </c>
      <c r="Q518" t="s">
        <v>6694</v>
      </c>
      <c r="W518" t="s">
        <v>6720</v>
      </c>
    </row>
    <row r="519" spans="1:23" ht="15.6" x14ac:dyDescent="0.4">
      <c r="A519" s="2" t="s">
        <v>4038</v>
      </c>
      <c r="B519" s="5" t="s">
        <v>7196</v>
      </c>
      <c r="C519" s="7" t="s">
        <v>12556</v>
      </c>
      <c r="D519" s="8">
        <f t="shared" si="36"/>
        <v>1</v>
      </c>
      <c r="E519" s="7" t="s">
        <v>12557</v>
      </c>
      <c r="F519" s="7">
        <f t="shared" si="37"/>
        <v>0</v>
      </c>
      <c r="G519" s="7" t="s">
        <v>12558</v>
      </c>
      <c r="H519" s="7">
        <f t="shared" si="38"/>
        <v>0</v>
      </c>
      <c r="I519" s="7" t="str" cm="1">
        <f t="array" ref="I519">IFERROR(_xlfn.IFS(M519="נח",1,M519="נע ונח",1,M519="שני שווא נח",2,M519="שני שוואים בסוף מילה",2,M519="שני שוואים ברצף",1),"0")</f>
        <v>0</v>
      </c>
      <c r="J519" s="9">
        <f t="shared" si="39"/>
        <v>3</v>
      </c>
      <c r="K519" t="s">
        <v>6698</v>
      </c>
      <c r="L519" t="s">
        <v>6694</v>
      </c>
      <c r="M519" t="s">
        <v>6700</v>
      </c>
      <c r="O519" t="s">
        <v>6694</v>
      </c>
      <c r="V519" t="s">
        <v>6694</v>
      </c>
      <c r="W519" t="s">
        <v>6720</v>
      </c>
    </row>
    <row r="520" spans="1:23" ht="15.6" x14ac:dyDescent="0.4">
      <c r="A520" s="2" t="s">
        <v>6412</v>
      </c>
      <c r="B520" s="5" t="s">
        <v>7197</v>
      </c>
      <c r="C520" s="7" t="s">
        <v>12556</v>
      </c>
      <c r="D520" s="8">
        <f t="shared" si="36"/>
        <v>1</v>
      </c>
      <c r="E520" s="7" t="s">
        <v>12557</v>
      </c>
      <c r="F520" s="7">
        <f t="shared" si="37"/>
        <v>0</v>
      </c>
      <c r="G520" s="7" t="s">
        <v>12558</v>
      </c>
      <c r="H520" s="7">
        <f t="shared" si="38"/>
        <v>0</v>
      </c>
      <c r="I520" s="7" cm="1">
        <f t="array" ref="I520">IFERROR(_xlfn.IFS(M520="נח",1,M520="נע ונח",1,M520="שני שווא נח",2,M520="שני שוואים בסוף מילה",2,M520="שני שוואים ברצף",1),"0")</f>
        <v>1</v>
      </c>
      <c r="J520" s="9">
        <f t="shared" si="39"/>
        <v>4</v>
      </c>
      <c r="K520" t="s">
        <v>6697</v>
      </c>
      <c r="L520" t="s">
        <v>6694</v>
      </c>
      <c r="M520" t="s">
        <v>6701</v>
      </c>
      <c r="N520" t="s">
        <v>6706</v>
      </c>
      <c r="O520" t="s">
        <v>6694</v>
      </c>
      <c r="R520" t="s">
        <v>6694</v>
      </c>
      <c r="W520" t="s">
        <v>6720</v>
      </c>
    </row>
    <row r="521" spans="1:23" ht="15.6" x14ac:dyDescent="0.4">
      <c r="A521" s="2" t="s">
        <v>6454</v>
      </c>
      <c r="B521" s="5" t="s">
        <v>7198</v>
      </c>
      <c r="C521" s="7" t="s">
        <v>12556</v>
      </c>
      <c r="D521" s="8">
        <f t="shared" si="36"/>
        <v>1</v>
      </c>
      <c r="E521" s="7" t="s">
        <v>12557</v>
      </c>
      <c r="F521" s="7">
        <f t="shared" si="37"/>
        <v>0</v>
      </c>
      <c r="G521" s="7" t="s">
        <v>12558</v>
      </c>
      <c r="H521" s="7">
        <f t="shared" si="38"/>
        <v>0</v>
      </c>
      <c r="I521" s="7" t="str" cm="1">
        <f t="array" ref="I521">IFERROR(_xlfn.IFS(M521="נח",1,M521="נע ונח",1,M521="שני שווא נח",2,M521="שני שוואים בסוף מילה",2,M521="שני שוואים ברצף",1),"0")</f>
        <v>0</v>
      </c>
      <c r="J521" s="9">
        <f t="shared" si="39"/>
        <v>4</v>
      </c>
      <c r="K521" t="s">
        <v>6698</v>
      </c>
      <c r="L521" t="s">
        <v>6694</v>
      </c>
      <c r="M521" t="s">
        <v>6703</v>
      </c>
      <c r="N521" t="s">
        <v>6706</v>
      </c>
      <c r="O521" t="s">
        <v>6694</v>
      </c>
      <c r="V521" t="s">
        <v>6694</v>
      </c>
      <c r="W521" t="s">
        <v>6720</v>
      </c>
    </row>
    <row r="522" spans="1:23" ht="15.6" x14ac:dyDescent="0.4">
      <c r="A522" s="2" t="s">
        <v>1368</v>
      </c>
      <c r="B522" s="5" t="s">
        <v>7199</v>
      </c>
      <c r="C522" s="7" t="s">
        <v>12556</v>
      </c>
      <c r="D522" s="8">
        <f t="shared" si="36"/>
        <v>1</v>
      </c>
      <c r="E522" s="7" t="s">
        <v>12557</v>
      </c>
      <c r="F522" s="7">
        <f t="shared" si="37"/>
        <v>0</v>
      </c>
      <c r="G522" s="7" t="s">
        <v>12558</v>
      </c>
      <c r="H522" s="7">
        <f t="shared" si="38"/>
        <v>0</v>
      </c>
      <c r="I522" s="7" t="str" cm="1">
        <f t="array" ref="I522">IFERROR(_xlfn.IFS(M522="נח",1,M522="נע ונח",1,M522="שני שווא נח",2,M522="שני שוואים בסוף מילה",2,M522="שני שוואים ברצף",1),"0")</f>
        <v>0</v>
      </c>
      <c r="J522" s="9">
        <f t="shared" si="39"/>
        <v>3</v>
      </c>
      <c r="K522" t="s">
        <v>6698</v>
      </c>
      <c r="L522" t="s">
        <v>6694</v>
      </c>
      <c r="M522" t="s">
        <v>6700</v>
      </c>
      <c r="Q522" t="s">
        <v>6694</v>
      </c>
      <c r="V522" t="s">
        <v>6694</v>
      </c>
      <c r="W522" t="s">
        <v>6720</v>
      </c>
    </row>
    <row r="523" spans="1:23" ht="15.6" x14ac:dyDescent="0.4">
      <c r="A523" s="2" t="s">
        <v>4325</v>
      </c>
      <c r="B523" s="5" t="s">
        <v>7200</v>
      </c>
      <c r="C523" s="7" t="s">
        <v>12556</v>
      </c>
      <c r="D523" s="8">
        <f t="shared" si="36"/>
        <v>1</v>
      </c>
      <c r="E523" s="7" t="s">
        <v>12557</v>
      </c>
      <c r="F523" s="7">
        <f t="shared" si="37"/>
        <v>0</v>
      </c>
      <c r="G523" s="7" t="s">
        <v>12558</v>
      </c>
      <c r="H523" s="7">
        <f t="shared" si="38"/>
        <v>0</v>
      </c>
      <c r="I523" s="7" t="str" cm="1">
        <f t="array" ref="I523">IFERROR(_xlfn.IFS(M523="נח",1,M523="נע ונח",1,M523="שני שווא נח",2,M523="שני שוואים בסוף מילה",2,M523="שני שוואים ברצף",1),"0")</f>
        <v>0</v>
      </c>
      <c r="J523" s="9">
        <f t="shared" si="39"/>
        <v>3</v>
      </c>
      <c r="K523" t="s">
        <v>6697</v>
      </c>
      <c r="L523" t="s">
        <v>6694</v>
      </c>
      <c r="M523" t="s">
        <v>6700</v>
      </c>
      <c r="S523" t="s">
        <v>6694</v>
      </c>
      <c r="W523" t="s">
        <v>6720</v>
      </c>
    </row>
    <row r="524" spans="1:23" ht="15.6" x14ac:dyDescent="0.4">
      <c r="A524" s="2" t="s">
        <v>3333</v>
      </c>
      <c r="B524" s="5" t="s">
        <v>7201</v>
      </c>
      <c r="C524" s="7" t="s">
        <v>12556</v>
      </c>
      <c r="D524" s="8">
        <f t="shared" si="36"/>
        <v>1</v>
      </c>
      <c r="E524" s="7" t="s">
        <v>12557</v>
      </c>
      <c r="F524" s="7">
        <f t="shared" si="37"/>
        <v>0</v>
      </c>
      <c r="G524" s="7" t="s">
        <v>12558</v>
      </c>
      <c r="H524" s="7">
        <f t="shared" si="38"/>
        <v>0</v>
      </c>
      <c r="I524" s="7" cm="1">
        <f t="array" ref="I524">IFERROR(_xlfn.IFS(M524="נח",1,M524="נע ונח",1,M524="שני שווא נח",2,M524="שני שוואים בסוף מילה",2,M524="שני שוואים ברצף",1),"0")</f>
        <v>1</v>
      </c>
      <c r="J524" s="9">
        <f t="shared" si="39"/>
        <v>3</v>
      </c>
      <c r="K524" t="s">
        <v>6697</v>
      </c>
      <c r="L524" t="s">
        <v>6694</v>
      </c>
      <c r="M524" t="s">
        <v>6701</v>
      </c>
      <c r="O524" t="s">
        <v>6694</v>
      </c>
      <c r="S524" t="s">
        <v>6694</v>
      </c>
      <c r="W524" t="s">
        <v>6720</v>
      </c>
    </row>
    <row r="525" spans="1:23" ht="15.6" x14ac:dyDescent="0.4">
      <c r="A525" s="2" t="s">
        <v>28</v>
      </c>
      <c r="B525" s="5" t="s">
        <v>7202</v>
      </c>
      <c r="C525" s="7" t="s">
        <v>12556</v>
      </c>
      <c r="D525" s="8">
        <f t="shared" si="36"/>
        <v>1</v>
      </c>
      <c r="E525" s="7" t="s">
        <v>12557</v>
      </c>
      <c r="F525" s="7">
        <f t="shared" si="37"/>
        <v>0</v>
      </c>
      <c r="G525" s="7" t="s">
        <v>12558</v>
      </c>
      <c r="H525" s="7">
        <f t="shared" si="38"/>
        <v>0</v>
      </c>
      <c r="I525" s="7" t="str" cm="1">
        <f t="array" ref="I525">IFERROR(_xlfn.IFS(M525="נח",1,M525="נע ונח",1,M525="שני שווא נח",2,M525="שני שוואים בסוף מילה",2,M525="שני שוואים ברצף",1),"0")</f>
        <v>0</v>
      </c>
      <c r="J525" s="9">
        <f t="shared" si="39"/>
        <v>3</v>
      </c>
      <c r="K525" t="s">
        <v>6697</v>
      </c>
      <c r="L525" t="s">
        <v>6694</v>
      </c>
      <c r="M525" t="s">
        <v>6700</v>
      </c>
      <c r="O525" t="s">
        <v>6694</v>
      </c>
      <c r="W525" t="s">
        <v>6720</v>
      </c>
    </row>
    <row r="526" spans="1:23" ht="15.6" x14ac:dyDescent="0.4">
      <c r="A526" s="2" t="s">
        <v>5354</v>
      </c>
      <c r="B526" s="5" t="s">
        <v>7203</v>
      </c>
      <c r="C526" s="7" t="s">
        <v>12556</v>
      </c>
      <c r="D526" s="8">
        <f t="shared" si="36"/>
        <v>1</v>
      </c>
      <c r="E526" s="7" t="s">
        <v>12557</v>
      </c>
      <c r="F526" s="7">
        <f t="shared" si="37"/>
        <v>0</v>
      </c>
      <c r="G526" s="7" t="s">
        <v>12558</v>
      </c>
      <c r="H526" s="7">
        <f t="shared" si="38"/>
        <v>0</v>
      </c>
      <c r="I526" s="7" t="str" cm="1">
        <f t="array" ref="I526">IFERROR(_xlfn.IFS(M526="נח",1,M526="נע ונח",1,M526="שני שווא נח",2,M526="שני שוואים בסוף מילה",2,M526="שני שוואים ברצף",1),"0")</f>
        <v>0</v>
      </c>
      <c r="J526" s="9">
        <f t="shared" si="39"/>
        <v>3</v>
      </c>
      <c r="K526" t="s">
        <v>6697</v>
      </c>
      <c r="L526" t="s">
        <v>6694</v>
      </c>
      <c r="M526" t="s">
        <v>6700</v>
      </c>
      <c r="O526" t="s">
        <v>6694</v>
      </c>
      <c r="S526" t="s">
        <v>6694</v>
      </c>
      <c r="W526" t="s">
        <v>6720</v>
      </c>
    </row>
    <row r="527" spans="1:23" ht="15.6" x14ac:dyDescent="0.4">
      <c r="A527" s="2" t="s">
        <v>6158</v>
      </c>
      <c r="B527" s="5" t="s">
        <v>7204</v>
      </c>
      <c r="C527" s="7" t="s">
        <v>12556</v>
      </c>
      <c r="D527" s="8">
        <f t="shared" si="36"/>
        <v>1</v>
      </c>
      <c r="E527" s="7" t="s">
        <v>12557</v>
      </c>
      <c r="F527" s="7">
        <f t="shared" si="37"/>
        <v>0</v>
      </c>
      <c r="G527" s="7" t="s">
        <v>12558</v>
      </c>
      <c r="H527" s="7">
        <f t="shared" si="38"/>
        <v>0</v>
      </c>
      <c r="I527" s="7" cm="1">
        <f t="array" ref="I527">IFERROR(_xlfn.IFS(M527="נח",1,M527="נע ונח",1,M527="שני שווא נח",2,M527="שני שוואים בסוף מילה",2,M527="שני שוואים ברצף",1),"0")</f>
        <v>1</v>
      </c>
      <c r="J527" s="9">
        <f t="shared" si="39"/>
        <v>3</v>
      </c>
      <c r="K527" t="s">
        <v>6698</v>
      </c>
      <c r="L527" t="s">
        <v>6694</v>
      </c>
      <c r="M527" t="s">
        <v>6701</v>
      </c>
      <c r="N527" t="s">
        <v>6706</v>
      </c>
      <c r="O527" t="s">
        <v>6694</v>
      </c>
      <c r="V527" t="s">
        <v>6694</v>
      </c>
      <c r="W527" t="s">
        <v>6720</v>
      </c>
    </row>
    <row r="528" spans="1:23" ht="15.6" x14ac:dyDescent="0.4">
      <c r="A528" s="2" t="s">
        <v>1481</v>
      </c>
      <c r="B528" s="5" t="s">
        <v>7205</v>
      </c>
      <c r="C528" s="7" t="s">
        <v>12556</v>
      </c>
      <c r="D528" s="8">
        <f t="shared" si="36"/>
        <v>0</v>
      </c>
      <c r="E528" s="7" t="s">
        <v>12557</v>
      </c>
      <c r="F528" s="7">
        <f t="shared" si="37"/>
        <v>0</v>
      </c>
      <c r="G528" s="7" t="s">
        <v>12558</v>
      </c>
      <c r="H528" s="7">
        <f t="shared" si="38"/>
        <v>0</v>
      </c>
      <c r="I528" s="7" t="str" cm="1">
        <f t="array" ref="I528">IFERROR(_xlfn.IFS(M528="נח",1,M528="נע ונח",1,M528="שני שווא נח",2,M528="שני שוואים בסוף מילה",2,M528="שני שוואים ברצף",1),"0")</f>
        <v>0</v>
      </c>
      <c r="J528" s="9">
        <f t="shared" si="39"/>
        <v>2</v>
      </c>
      <c r="K528" t="s">
        <v>6698</v>
      </c>
      <c r="L528" t="s">
        <v>6694</v>
      </c>
      <c r="M528" t="s">
        <v>6700</v>
      </c>
      <c r="V528" t="s">
        <v>6694</v>
      </c>
      <c r="W528" t="s">
        <v>6720</v>
      </c>
    </row>
    <row r="529" spans="1:23" ht="15.6" x14ac:dyDescent="0.4">
      <c r="A529" s="2" t="s">
        <v>4121</v>
      </c>
      <c r="B529" s="5" t="s">
        <v>7206</v>
      </c>
      <c r="C529" s="7" t="s">
        <v>12556</v>
      </c>
      <c r="D529" s="8">
        <f t="shared" si="36"/>
        <v>0</v>
      </c>
      <c r="E529" s="7" t="s">
        <v>12557</v>
      </c>
      <c r="F529" s="7">
        <f t="shared" si="37"/>
        <v>1</v>
      </c>
      <c r="G529" s="7" t="s">
        <v>12558</v>
      </c>
      <c r="H529" s="7">
        <f t="shared" si="38"/>
        <v>0</v>
      </c>
      <c r="I529" s="7" t="str" cm="1">
        <f t="array" ref="I529">IFERROR(_xlfn.IFS(M529="נח",1,M529="נע ונח",1,M529="שני שווא נח",2,M529="שני שוואים בסוף מילה",2,M529="שני שוואים ברצף",1),"0")</f>
        <v>0</v>
      </c>
      <c r="J529" s="9">
        <f t="shared" si="39"/>
        <v>3</v>
      </c>
      <c r="K529" t="s">
        <v>6697</v>
      </c>
      <c r="L529" t="s">
        <v>6694</v>
      </c>
      <c r="M529" t="s">
        <v>6700</v>
      </c>
      <c r="N529" t="s">
        <v>6706</v>
      </c>
      <c r="O529" t="s">
        <v>6694</v>
      </c>
      <c r="V529" t="s">
        <v>6694</v>
      </c>
      <c r="W529" t="s">
        <v>6720</v>
      </c>
    </row>
    <row r="530" spans="1:23" ht="15.6" x14ac:dyDescent="0.4">
      <c r="A530" s="2" t="s">
        <v>4207</v>
      </c>
      <c r="B530" s="5" t="s">
        <v>7207</v>
      </c>
      <c r="C530" s="7" t="s">
        <v>12556</v>
      </c>
      <c r="D530" s="8">
        <f t="shared" si="36"/>
        <v>0</v>
      </c>
      <c r="E530" s="7" t="s">
        <v>12557</v>
      </c>
      <c r="F530" s="7">
        <f t="shared" si="37"/>
        <v>0</v>
      </c>
      <c r="G530" s="7" t="s">
        <v>12558</v>
      </c>
      <c r="H530" s="7">
        <f t="shared" si="38"/>
        <v>0</v>
      </c>
      <c r="I530" s="7" cm="1">
        <f t="array" ref="I530">IFERROR(_xlfn.IFS(M530="נח",1,M530="נע ונח",1,M530="שני שווא נח",2,M530="שני שוואים בסוף מילה",2,M530="שני שוואים ברצף",1),"0")</f>
        <v>1</v>
      </c>
      <c r="J530" s="9">
        <f t="shared" si="39"/>
        <v>3</v>
      </c>
      <c r="K530" t="s">
        <v>6698</v>
      </c>
      <c r="L530" t="s">
        <v>6694</v>
      </c>
      <c r="M530" t="s">
        <v>6705</v>
      </c>
      <c r="N530" t="s">
        <v>6706</v>
      </c>
      <c r="O530" t="s">
        <v>6694</v>
      </c>
      <c r="S530" t="s">
        <v>6694</v>
      </c>
      <c r="V530" t="s">
        <v>6694</v>
      </c>
      <c r="W530" t="s">
        <v>6720</v>
      </c>
    </row>
    <row r="531" spans="1:23" ht="15.6" x14ac:dyDescent="0.4">
      <c r="A531" s="2" t="s">
        <v>1365</v>
      </c>
      <c r="B531" s="5" t="s">
        <v>7208</v>
      </c>
      <c r="C531" s="7" t="s">
        <v>12556</v>
      </c>
      <c r="D531" s="8">
        <f t="shared" si="36"/>
        <v>0</v>
      </c>
      <c r="E531" s="7" t="s">
        <v>12557</v>
      </c>
      <c r="F531" s="7">
        <f t="shared" si="37"/>
        <v>1</v>
      </c>
      <c r="G531" s="7" t="s">
        <v>12558</v>
      </c>
      <c r="H531" s="7">
        <f t="shared" si="38"/>
        <v>1</v>
      </c>
      <c r="I531" s="7" cm="1">
        <f t="array" ref="I531">IFERROR(_xlfn.IFS(M531="נח",1,M531="נע ונח",1,M531="שני שווא נח",2,M531="שני שוואים בסוף מילה",2,M531="שני שוואים ברצף",1),"0")</f>
        <v>1</v>
      </c>
      <c r="J531" s="9">
        <f t="shared" si="39"/>
        <v>3</v>
      </c>
      <c r="K531" t="s">
        <v>6698</v>
      </c>
      <c r="L531" t="s">
        <v>6694</v>
      </c>
      <c r="M531" t="s">
        <v>6705</v>
      </c>
      <c r="P531" t="s">
        <v>6694</v>
      </c>
      <c r="S531" t="s">
        <v>6694</v>
      </c>
      <c r="U531" t="s">
        <v>6694</v>
      </c>
      <c r="W531" t="s">
        <v>6720</v>
      </c>
    </row>
    <row r="532" spans="1:23" ht="15.6" x14ac:dyDescent="0.4">
      <c r="A532" s="2" t="s">
        <v>1476</v>
      </c>
      <c r="B532" s="5" t="s">
        <v>7209</v>
      </c>
      <c r="C532" s="7" t="s">
        <v>12556</v>
      </c>
      <c r="D532" s="8">
        <f t="shared" si="36"/>
        <v>0</v>
      </c>
      <c r="E532" s="7" t="s">
        <v>12557</v>
      </c>
      <c r="F532" s="7">
        <f t="shared" si="37"/>
        <v>1</v>
      </c>
      <c r="G532" s="7" t="s">
        <v>12558</v>
      </c>
      <c r="H532" s="7">
        <f t="shared" si="38"/>
        <v>1</v>
      </c>
      <c r="I532" s="7" cm="1">
        <f t="array" ref="I532">IFERROR(_xlfn.IFS(M532="נח",1,M532="נע ונח",1,M532="שני שווא נח",2,M532="שני שוואים בסוף מילה",2,M532="שני שוואים ברצף",1),"0")</f>
        <v>1</v>
      </c>
      <c r="J532" s="9">
        <f t="shared" si="39"/>
        <v>4</v>
      </c>
      <c r="K532" t="s">
        <v>6698</v>
      </c>
      <c r="L532" t="s">
        <v>6694</v>
      </c>
      <c r="M532" t="s">
        <v>6705</v>
      </c>
      <c r="N532" t="s">
        <v>6706</v>
      </c>
      <c r="O532" t="s">
        <v>6694</v>
      </c>
      <c r="S532" t="s">
        <v>6694</v>
      </c>
      <c r="U532" t="s">
        <v>6694</v>
      </c>
      <c r="V532" t="s">
        <v>6694</v>
      </c>
      <c r="W532" t="s">
        <v>6720</v>
      </c>
    </row>
    <row r="533" spans="1:23" ht="15.6" x14ac:dyDescent="0.4">
      <c r="A533" s="2" t="s">
        <v>1059</v>
      </c>
      <c r="B533" s="5" t="s">
        <v>7210</v>
      </c>
      <c r="C533" s="7" t="s">
        <v>12556</v>
      </c>
      <c r="D533" s="8">
        <f t="shared" si="36"/>
        <v>0</v>
      </c>
      <c r="E533" s="7" t="s">
        <v>12557</v>
      </c>
      <c r="F533" s="7">
        <f t="shared" si="37"/>
        <v>0</v>
      </c>
      <c r="G533" s="7" t="s">
        <v>12558</v>
      </c>
      <c r="H533" s="7">
        <f t="shared" si="38"/>
        <v>0</v>
      </c>
      <c r="I533" s="7" cm="1">
        <f t="array" ref="I533">IFERROR(_xlfn.IFS(M533="נח",1,M533="נע ונח",1,M533="שני שווא נח",2,M533="שני שוואים בסוף מילה",2,M533="שני שוואים ברצף",1),"0")</f>
        <v>1</v>
      </c>
      <c r="J533" s="9">
        <f t="shared" si="39"/>
        <v>3</v>
      </c>
      <c r="K533" t="s">
        <v>6698</v>
      </c>
      <c r="L533" t="s">
        <v>6694</v>
      </c>
      <c r="M533" t="s">
        <v>6705</v>
      </c>
      <c r="N533" t="s">
        <v>6706</v>
      </c>
      <c r="O533" t="s">
        <v>6694</v>
      </c>
      <c r="S533" t="s">
        <v>6694</v>
      </c>
      <c r="W533" t="s">
        <v>6720</v>
      </c>
    </row>
    <row r="534" spans="1:23" ht="15.6" x14ac:dyDescent="0.4">
      <c r="A534" s="2" t="s">
        <v>1503</v>
      </c>
      <c r="B534" s="5" t="s">
        <v>7211</v>
      </c>
      <c r="C534" s="7" t="s">
        <v>12556</v>
      </c>
      <c r="D534" s="8">
        <f t="shared" si="36"/>
        <v>0</v>
      </c>
      <c r="E534" s="7" t="s">
        <v>12557</v>
      </c>
      <c r="F534" s="7">
        <f t="shared" si="37"/>
        <v>0</v>
      </c>
      <c r="G534" s="7" t="s">
        <v>12558</v>
      </c>
      <c r="H534" s="7">
        <f t="shared" si="38"/>
        <v>0</v>
      </c>
      <c r="I534" s="7" t="str" cm="1">
        <f t="array" ref="I534">IFERROR(_xlfn.IFS(M534="נח",1,M534="נע ונח",1,M534="שני שווא נח",2,M534="שני שוואים בסוף מילה",2,M534="שני שוואים ברצף",1),"0")</f>
        <v>0</v>
      </c>
      <c r="J534" s="9">
        <f t="shared" si="39"/>
        <v>1</v>
      </c>
      <c r="K534" t="s">
        <v>6697</v>
      </c>
      <c r="L534" t="s">
        <v>6695</v>
      </c>
      <c r="S534" t="s">
        <v>6694</v>
      </c>
      <c r="W534" t="s">
        <v>6720</v>
      </c>
    </row>
    <row r="535" spans="1:23" ht="15.6" x14ac:dyDescent="0.4">
      <c r="A535" s="2" t="s">
        <v>5585</v>
      </c>
      <c r="B535" s="5" t="s">
        <v>7212</v>
      </c>
      <c r="C535" s="7" t="s">
        <v>12556</v>
      </c>
      <c r="D535" s="8">
        <f t="shared" si="36"/>
        <v>0</v>
      </c>
      <c r="E535" s="7" t="s">
        <v>12557</v>
      </c>
      <c r="F535" s="7">
        <f t="shared" si="37"/>
        <v>0</v>
      </c>
      <c r="G535" s="7" t="s">
        <v>12558</v>
      </c>
      <c r="H535" s="7">
        <f t="shared" si="38"/>
        <v>0</v>
      </c>
      <c r="I535" s="7" t="str" cm="1">
        <f t="array" ref="I535">IFERROR(_xlfn.IFS(M535="נח",1,M535="נע ונח",1,M535="שני שווא נח",2,M535="שני שוואים בסוף מילה",2,M535="שני שוואים ברצף",1),"0")</f>
        <v>0</v>
      </c>
      <c r="J535" s="9">
        <f t="shared" si="39"/>
        <v>2</v>
      </c>
      <c r="K535" t="s">
        <v>6697</v>
      </c>
      <c r="L535" t="s">
        <v>6695</v>
      </c>
      <c r="Q535" t="s">
        <v>6694</v>
      </c>
      <c r="S535" t="s">
        <v>6694</v>
      </c>
      <c r="W535" t="s">
        <v>6720</v>
      </c>
    </row>
    <row r="536" spans="1:23" ht="15.6" x14ac:dyDescent="0.4">
      <c r="A536" s="2" t="s">
        <v>3601</v>
      </c>
      <c r="B536" s="5" t="s">
        <v>7213</v>
      </c>
      <c r="C536" s="7" t="s">
        <v>12556</v>
      </c>
      <c r="D536" s="8">
        <f t="shared" si="36"/>
        <v>0</v>
      </c>
      <c r="E536" s="7" t="s">
        <v>12557</v>
      </c>
      <c r="F536" s="7">
        <f t="shared" si="37"/>
        <v>0</v>
      </c>
      <c r="G536" s="7" t="s">
        <v>12558</v>
      </c>
      <c r="H536" s="7">
        <f t="shared" si="38"/>
        <v>0</v>
      </c>
      <c r="I536" s="7" t="str" cm="1">
        <f t="array" ref="I536">IFERROR(_xlfn.IFS(M536="נח",1,M536="נע ונח",1,M536="שני שווא נח",2,M536="שני שוואים בסוף מילה",2,M536="שני שוואים ברצף",1),"0")</f>
        <v>0</v>
      </c>
      <c r="J536" s="9">
        <f t="shared" si="39"/>
        <v>3</v>
      </c>
      <c r="K536" t="s">
        <v>6698</v>
      </c>
      <c r="L536" t="s">
        <v>6695</v>
      </c>
      <c r="Q536" t="s">
        <v>6694</v>
      </c>
      <c r="R536" t="s">
        <v>6694</v>
      </c>
      <c r="S536" t="s">
        <v>6694</v>
      </c>
      <c r="W536" t="s">
        <v>6720</v>
      </c>
    </row>
    <row r="537" spans="1:23" ht="15.6" x14ac:dyDescent="0.4">
      <c r="A537" s="2" t="s">
        <v>4496</v>
      </c>
      <c r="B537" s="5" t="s">
        <v>7214</v>
      </c>
      <c r="C537" s="7" t="s">
        <v>12556</v>
      </c>
      <c r="D537" s="8">
        <f t="shared" si="36"/>
        <v>1</v>
      </c>
      <c r="E537" s="7" t="s">
        <v>12557</v>
      </c>
      <c r="F537" s="7">
        <f t="shared" si="37"/>
        <v>0</v>
      </c>
      <c r="G537" s="7" t="s">
        <v>12558</v>
      </c>
      <c r="H537" s="7">
        <f t="shared" si="38"/>
        <v>0</v>
      </c>
      <c r="I537" s="7" t="str" cm="1">
        <f t="array" ref="I537">IFERROR(_xlfn.IFS(M537="נח",1,M537="נע ונח",1,M537="שני שווא נח",2,M537="שני שוואים בסוף מילה",2,M537="שני שוואים ברצף",1),"0")</f>
        <v>0</v>
      </c>
      <c r="J537" s="9">
        <f t="shared" si="39"/>
        <v>3</v>
      </c>
      <c r="K537" t="s">
        <v>6698</v>
      </c>
      <c r="L537" t="s">
        <v>6695</v>
      </c>
      <c r="S537" t="s">
        <v>6694</v>
      </c>
      <c r="V537" t="s">
        <v>6694</v>
      </c>
      <c r="W537" t="s">
        <v>6720</v>
      </c>
    </row>
    <row r="538" spans="1:23" ht="15.6" x14ac:dyDescent="0.4">
      <c r="A538" s="2" t="s">
        <v>543</v>
      </c>
      <c r="B538" s="5" t="s">
        <v>7215</v>
      </c>
      <c r="C538" s="7" t="s">
        <v>12556</v>
      </c>
      <c r="D538" s="8">
        <f t="shared" si="36"/>
        <v>0</v>
      </c>
      <c r="E538" s="7" t="s">
        <v>12557</v>
      </c>
      <c r="F538" s="7">
        <f t="shared" si="37"/>
        <v>0</v>
      </c>
      <c r="G538" s="7" t="s">
        <v>12558</v>
      </c>
      <c r="H538" s="7">
        <f t="shared" si="38"/>
        <v>0</v>
      </c>
      <c r="I538" s="7" cm="1">
        <f t="array" ref="I538">IFERROR(_xlfn.IFS(M538="נח",1,M538="נע ונח",1,M538="שני שווא נח",2,M538="שני שוואים בסוף מילה",2,M538="שני שוואים ברצף",1),"0")</f>
        <v>1</v>
      </c>
      <c r="J538" s="9">
        <f t="shared" si="39"/>
        <v>2</v>
      </c>
      <c r="K538" t="s">
        <v>6697</v>
      </c>
      <c r="L538" t="s">
        <v>6694</v>
      </c>
      <c r="M538" t="s">
        <v>6705</v>
      </c>
      <c r="S538" t="s">
        <v>6694</v>
      </c>
      <c r="W538" t="s">
        <v>6720</v>
      </c>
    </row>
    <row r="539" spans="1:23" ht="15.6" x14ac:dyDescent="0.4">
      <c r="A539" s="2" t="s">
        <v>3437</v>
      </c>
      <c r="B539" s="5" t="s">
        <v>7216</v>
      </c>
      <c r="C539" s="7" t="s">
        <v>12556</v>
      </c>
      <c r="D539" s="8">
        <f t="shared" si="36"/>
        <v>1</v>
      </c>
      <c r="E539" s="7" t="s">
        <v>12557</v>
      </c>
      <c r="F539" s="7">
        <f t="shared" si="37"/>
        <v>0</v>
      </c>
      <c r="G539" s="7" t="s">
        <v>12558</v>
      </c>
      <c r="H539" s="7">
        <f t="shared" si="38"/>
        <v>0</v>
      </c>
      <c r="I539" s="7" cm="1">
        <f t="array" ref="I539">IFERROR(_xlfn.IFS(M539="נח",1,M539="נע ונח",1,M539="שני שווא נח",2,M539="שני שוואים בסוף מילה",2,M539="שני שוואים ברצף",1),"0")</f>
        <v>1</v>
      </c>
      <c r="J539" s="9">
        <f t="shared" si="39"/>
        <v>3</v>
      </c>
      <c r="K539" t="s">
        <v>6697</v>
      </c>
      <c r="L539" t="s">
        <v>6694</v>
      </c>
      <c r="M539" t="s">
        <v>6705</v>
      </c>
      <c r="S539" t="s">
        <v>6694</v>
      </c>
      <c r="V539" t="s">
        <v>6694</v>
      </c>
      <c r="W539" t="s">
        <v>6720</v>
      </c>
    </row>
    <row r="540" spans="1:23" ht="15.6" x14ac:dyDescent="0.4">
      <c r="A540" s="2" t="s">
        <v>1645</v>
      </c>
      <c r="B540" s="5" t="s">
        <v>7217</v>
      </c>
      <c r="C540" s="7" t="s">
        <v>12556</v>
      </c>
      <c r="D540" s="8">
        <f t="shared" si="36"/>
        <v>1</v>
      </c>
      <c r="E540" s="7" t="s">
        <v>12557</v>
      </c>
      <c r="F540" s="7">
        <f t="shared" si="37"/>
        <v>0</v>
      </c>
      <c r="G540" s="7" t="s">
        <v>12558</v>
      </c>
      <c r="H540" s="7">
        <f t="shared" si="38"/>
        <v>0</v>
      </c>
      <c r="I540" s="7" cm="1">
        <f t="array" ref="I540">IFERROR(_xlfn.IFS(M540="נח",1,M540="נע ונח",1,M540="שני שווא נח",2,M540="שני שוואים בסוף מילה",2,M540="שני שוואים ברצף",1),"0")</f>
        <v>1</v>
      </c>
      <c r="J540" s="9">
        <f t="shared" si="39"/>
        <v>3</v>
      </c>
      <c r="K540" t="s">
        <v>6698</v>
      </c>
      <c r="L540" t="s">
        <v>6694</v>
      </c>
      <c r="M540" t="s">
        <v>6705</v>
      </c>
      <c r="N540" t="s">
        <v>6706</v>
      </c>
      <c r="O540" t="s">
        <v>6694</v>
      </c>
      <c r="S540" t="s">
        <v>6694</v>
      </c>
      <c r="W540" t="s">
        <v>6720</v>
      </c>
    </row>
    <row r="541" spans="1:23" ht="15.6" x14ac:dyDescent="0.4">
      <c r="A541" s="2" t="s">
        <v>1305</v>
      </c>
      <c r="B541" s="5" t="s">
        <v>7218</v>
      </c>
      <c r="C541" s="7" t="s">
        <v>12556</v>
      </c>
      <c r="D541" s="8">
        <f t="shared" si="36"/>
        <v>0</v>
      </c>
      <c r="E541" s="7" t="s">
        <v>12557</v>
      </c>
      <c r="F541" s="7">
        <f t="shared" si="37"/>
        <v>0</v>
      </c>
      <c r="G541" s="7" t="s">
        <v>12558</v>
      </c>
      <c r="H541" s="7">
        <f t="shared" si="38"/>
        <v>0</v>
      </c>
      <c r="I541" s="7" cm="1">
        <f t="array" ref="I541">IFERROR(_xlfn.IFS(M541="נח",1,M541="נע ונח",1,M541="שני שווא נח",2,M541="שני שוואים בסוף מילה",2,M541="שני שוואים ברצף",1),"0")</f>
        <v>1</v>
      </c>
      <c r="J541" s="9">
        <f t="shared" si="39"/>
        <v>3</v>
      </c>
      <c r="K541" t="s">
        <v>6698</v>
      </c>
      <c r="L541" t="s">
        <v>6694</v>
      </c>
      <c r="M541" t="s">
        <v>6705</v>
      </c>
      <c r="S541" t="s">
        <v>6694</v>
      </c>
      <c r="W541" t="s">
        <v>6720</v>
      </c>
    </row>
    <row r="542" spans="1:23" ht="15.6" x14ac:dyDescent="0.4">
      <c r="A542" s="2" t="s">
        <v>5213</v>
      </c>
      <c r="B542" s="5" t="s">
        <v>7219</v>
      </c>
      <c r="C542" s="7" t="s">
        <v>12556</v>
      </c>
      <c r="D542" s="8">
        <f t="shared" si="36"/>
        <v>0</v>
      </c>
      <c r="E542" s="7" t="s">
        <v>12557</v>
      </c>
      <c r="F542" s="7">
        <f t="shared" si="37"/>
        <v>0</v>
      </c>
      <c r="G542" s="7" t="s">
        <v>12558</v>
      </c>
      <c r="H542" s="7">
        <f t="shared" si="38"/>
        <v>0</v>
      </c>
      <c r="I542" s="7" cm="1">
        <f t="array" ref="I542">IFERROR(_xlfn.IFS(M542="נח",1,M542="נע ונח",1,M542="שני שווא נח",2,M542="שני שוואים בסוף מילה",2,M542="שני שוואים ברצף",1),"0")</f>
        <v>1</v>
      </c>
      <c r="J542" s="9">
        <f t="shared" si="39"/>
        <v>4</v>
      </c>
      <c r="K542" t="s">
        <v>6697</v>
      </c>
      <c r="L542" t="s">
        <v>6694</v>
      </c>
      <c r="M542" t="s">
        <v>6705</v>
      </c>
      <c r="O542" t="s">
        <v>6694</v>
      </c>
      <c r="R542" t="s">
        <v>6694</v>
      </c>
      <c r="S542" t="s">
        <v>6694</v>
      </c>
      <c r="W542" t="s">
        <v>6720</v>
      </c>
    </row>
    <row r="543" spans="1:23" ht="15.6" x14ac:dyDescent="0.4">
      <c r="A543" s="2" t="s">
        <v>3929</v>
      </c>
      <c r="B543" s="5" t="s">
        <v>7220</v>
      </c>
      <c r="C543" s="7" t="s">
        <v>12556</v>
      </c>
      <c r="D543" s="8">
        <f t="shared" si="36"/>
        <v>0</v>
      </c>
      <c r="E543" s="7" t="s">
        <v>12557</v>
      </c>
      <c r="F543" s="7">
        <f t="shared" si="37"/>
        <v>0</v>
      </c>
      <c r="G543" s="7" t="s">
        <v>12558</v>
      </c>
      <c r="H543" s="7">
        <f t="shared" si="38"/>
        <v>0</v>
      </c>
      <c r="I543" s="7" cm="1">
        <f t="array" ref="I543">IFERROR(_xlfn.IFS(M543="נח",1,M543="נע ונח",1,M543="שני שווא נח",2,M543="שני שוואים בסוף מילה",2,M543="שני שוואים ברצף",1),"0")</f>
        <v>2</v>
      </c>
      <c r="J543" s="9">
        <f t="shared" si="39"/>
        <v>3</v>
      </c>
      <c r="K543" t="s">
        <v>6697</v>
      </c>
      <c r="L543" t="s">
        <v>6694</v>
      </c>
      <c r="M543" t="s">
        <v>6704</v>
      </c>
      <c r="O543" t="s">
        <v>6694</v>
      </c>
      <c r="S543" t="s">
        <v>6694</v>
      </c>
      <c r="V543" t="s">
        <v>6694</v>
      </c>
      <c r="W543" t="s">
        <v>6720</v>
      </c>
    </row>
    <row r="544" spans="1:23" ht="15.6" x14ac:dyDescent="0.4">
      <c r="A544" s="2" t="s">
        <v>3841</v>
      </c>
      <c r="B544" s="5" t="s">
        <v>7221</v>
      </c>
      <c r="C544" s="7" t="s">
        <v>12556</v>
      </c>
      <c r="D544" s="8">
        <f t="shared" si="36"/>
        <v>1</v>
      </c>
      <c r="E544" s="7" t="s">
        <v>12557</v>
      </c>
      <c r="F544" s="7">
        <f t="shared" si="37"/>
        <v>0</v>
      </c>
      <c r="G544" s="7" t="s">
        <v>12558</v>
      </c>
      <c r="H544" s="7">
        <f t="shared" si="38"/>
        <v>0</v>
      </c>
      <c r="I544" s="7" cm="1">
        <f t="array" ref="I544">IFERROR(_xlfn.IFS(M544="נח",1,M544="נע ונח",1,M544="שני שווא נח",2,M544="שני שוואים בסוף מילה",2,M544="שני שוואים ברצף",1),"0")</f>
        <v>1</v>
      </c>
      <c r="J544" s="9">
        <f t="shared" si="39"/>
        <v>3</v>
      </c>
      <c r="K544" t="s">
        <v>6698</v>
      </c>
      <c r="L544" t="s">
        <v>6694</v>
      </c>
      <c r="M544" t="s">
        <v>6705</v>
      </c>
      <c r="N544" t="s">
        <v>6706</v>
      </c>
      <c r="O544" t="s">
        <v>6694</v>
      </c>
      <c r="S544" t="s">
        <v>6694</v>
      </c>
      <c r="V544" t="s">
        <v>6694</v>
      </c>
      <c r="W544" t="s">
        <v>6720</v>
      </c>
    </row>
    <row r="545" spans="1:23" ht="15.6" x14ac:dyDescent="0.4">
      <c r="A545" s="2" t="s">
        <v>5203</v>
      </c>
      <c r="B545" s="5" t="s">
        <v>7222</v>
      </c>
      <c r="C545" s="7" t="s">
        <v>12556</v>
      </c>
      <c r="D545" s="8">
        <f t="shared" si="36"/>
        <v>0</v>
      </c>
      <c r="E545" s="7" t="s">
        <v>12557</v>
      </c>
      <c r="F545" s="7">
        <f t="shared" si="37"/>
        <v>0</v>
      </c>
      <c r="G545" s="7" t="s">
        <v>12558</v>
      </c>
      <c r="H545" s="7">
        <f t="shared" si="38"/>
        <v>0</v>
      </c>
      <c r="I545" s="7" t="str" cm="1">
        <f t="array" ref="I545">IFERROR(_xlfn.IFS(M545="נח",1,M545="נע ונח",1,M545="שני שווא נח",2,M545="שני שוואים בסוף מילה",2,M545="שני שוואים ברצף",1),"0")</f>
        <v>0</v>
      </c>
      <c r="J545" s="9">
        <f t="shared" si="39"/>
        <v>3</v>
      </c>
      <c r="K545" t="s">
        <v>6698</v>
      </c>
      <c r="L545" t="s">
        <v>6695</v>
      </c>
      <c r="Q545" t="s">
        <v>6694</v>
      </c>
      <c r="S545" t="s">
        <v>6694</v>
      </c>
      <c r="V545" t="s">
        <v>6694</v>
      </c>
      <c r="W545" t="s">
        <v>6720</v>
      </c>
    </row>
    <row r="546" spans="1:23" ht="15.6" x14ac:dyDescent="0.4">
      <c r="A546" s="2" t="s">
        <v>1703</v>
      </c>
      <c r="B546" s="5" t="s">
        <v>7223</v>
      </c>
      <c r="C546" s="7" t="s">
        <v>12556</v>
      </c>
      <c r="D546" s="8">
        <f t="shared" si="36"/>
        <v>0</v>
      </c>
      <c r="E546" s="7" t="s">
        <v>12557</v>
      </c>
      <c r="F546" s="7">
        <f t="shared" si="37"/>
        <v>0</v>
      </c>
      <c r="G546" s="7" t="s">
        <v>12558</v>
      </c>
      <c r="H546" s="7">
        <f t="shared" si="38"/>
        <v>0</v>
      </c>
      <c r="I546" s="7" t="str" cm="1">
        <f t="array" ref="I546">IFERROR(_xlfn.IFS(M546="נח",1,M546="נע ונח",1,M546="שני שווא נח",2,M546="שני שוואים בסוף מילה",2,M546="שני שוואים ברצף",1),"0")</f>
        <v>0</v>
      </c>
      <c r="J546" s="9">
        <f t="shared" si="39"/>
        <v>1</v>
      </c>
      <c r="K546" t="s">
        <v>6698</v>
      </c>
      <c r="L546" t="s">
        <v>6695</v>
      </c>
      <c r="Q546" t="s">
        <v>6694</v>
      </c>
      <c r="W546" t="s">
        <v>6720</v>
      </c>
    </row>
    <row r="547" spans="1:23" ht="15.6" x14ac:dyDescent="0.4">
      <c r="A547" s="2" t="s">
        <v>4446</v>
      </c>
      <c r="B547" s="5" t="s">
        <v>7224</v>
      </c>
      <c r="C547" s="7" t="s">
        <v>12556</v>
      </c>
      <c r="D547" s="8">
        <f t="shared" si="36"/>
        <v>0</v>
      </c>
      <c r="E547" s="7" t="s">
        <v>12557</v>
      </c>
      <c r="F547" s="7">
        <f t="shared" si="37"/>
        <v>0</v>
      </c>
      <c r="G547" s="7" t="s">
        <v>12558</v>
      </c>
      <c r="H547" s="7">
        <f t="shared" si="38"/>
        <v>0</v>
      </c>
      <c r="I547" s="7" cm="1">
        <f t="array" ref="I547">IFERROR(_xlfn.IFS(M547="נח",1,M547="נע ונח",1,M547="שני שווא נח",2,M547="שני שוואים בסוף מילה",2,M547="שני שוואים ברצף",1),"0")</f>
        <v>1</v>
      </c>
      <c r="J547" s="9">
        <f t="shared" si="39"/>
        <v>2</v>
      </c>
      <c r="K547" t="s">
        <v>6697</v>
      </c>
      <c r="L547" t="s">
        <v>6694</v>
      </c>
      <c r="M547" t="s">
        <v>6705</v>
      </c>
      <c r="O547" t="s">
        <v>6694</v>
      </c>
      <c r="Q547" t="s">
        <v>6694</v>
      </c>
      <c r="W547" t="s">
        <v>6720</v>
      </c>
    </row>
    <row r="548" spans="1:23" ht="15.6" x14ac:dyDescent="0.4">
      <c r="A548" s="2" t="s">
        <v>3167</v>
      </c>
      <c r="B548" s="5" t="s">
        <v>7224</v>
      </c>
      <c r="C548" s="7" t="s">
        <v>12556</v>
      </c>
      <c r="D548" s="8">
        <f t="shared" si="36"/>
        <v>0</v>
      </c>
      <c r="E548" s="7" t="s">
        <v>12557</v>
      </c>
      <c r="F548" s="7">
        <f t="shared" si="37"/>
        <v>0</v>
      </c>
      <c r="G548" s="7" t="s">
        <v>12558</v>
      </c>
      <c r="H548" s="7">
        <f t="shared" si="38"/>
        <v>0</v>
      </c>
      <c r="I548" s="7" t="str" cm="1">
        <f t="array" ref="I548">IFERROR(_xlfn.IFS(M548="נח",1,M548="נע ונח",1,M548="שני שווא נח",2,M548="שני שוואים בסוף מילה",2,M548="שני שוואים ברצף",1),"0")</f>
        <v>0</v>
      </c>
      <c r="J548" s="9">
        <f t="shared" si="39"/>
        <v>3</v>
      </c>
      <c r="K548" t="s">
        <v>6697</v>
      </c>
      <c r="L548" t="s">
        <v>6695</v>
      </c>
      <c r="O548" t="s">
        <v>6694</v>
      </c>
      <c r="Q548" t="s">
        <v>6694</v>
      </c>
      <c r="R548" t="s">
        <v>6694</v>
      </c>
      <c r="W548" t="s">
        <v>6720</v>
      </c>
    </row>
    <row r="549" spans="1:23" ht="15.6" x14ac:dyDescent="0.4">
      <c r="A549" s="2" t="s">
        <v>5242</v>
      </c>
      <c r="B549" s="5" t="s">
        <v>7225</v>
      </c>
      <c r="C549" s="7" t="s">
        <v>12556</v>
      </c>
      <c r="D549" s="8">
        <f t="shared" si="36"/>
        <v>0</v>
      </c>
      <c r="E549" s="7" t="s">
        <v>12557</v>
      </c>
      <c r="F549" s="7">
        <f t="shared" si="37"/>
        <v>0</v>
      </c>
      <c r="G549" s="7" t="s">
        <v>12558</v>
      </c>
      <c r="H549" s="7">
        <f t="shared" si="38"/>
        <v>0</v>
      </c>
      <c r="I549" s="7" t="str" cm="1">
        <f t="array" ref="I549">IFERROR(_xlfn.IFS(M549="נח",1,M549="נע ונח",1,M549="שני שווא נח",2,M549="שני שוואים בסוף מילה",2,M549="שני שוואים ברצף",1),"0")</f>
        <v>0</v>
      </c>
      <c r="J549" s="9">
        <f t="shared" si="39"/>
        <v>1</v>
      </c>
      <c r="K549" t="s">
        <v>6698</v>
      </c>
      <c r="L549" t="s">
        <v>6695</v>
      </c>
      <c r="R549" t="s">
        <v>6694</v>
      </c>
      <c r="W549" t="s">
        <v>6720</v>
      </c>
    </row>
    <row r="550" spans="1:23" ht="15.6" x14ac:dyDescent="0.4">
      <c r="A550" s="2" t="s">
        <v>2530</v>
      </c>
      <c r="B550" s="5" t="s">
        <v>7226</v>
      </c>
      <c r="C550" s="7" t="s">
        <v>12556</v>
      </c>
      <c r="D550" s="8">
        <f t="shared" si="36"/>
        <v>1</v>
      </c>
      <c r="E550" s="7" t="s">
        <v>12557</v>
      </c>
      <c r="F550" s="7">
        <f t="shared" si="37"/>
        <v>0</v>
      </c>
      <c r="G550" s="7" t="s">
        <v>12558</v>
      </c>
      <c r="H550" s="7">
        <f t="shared" si="38"/>
        <v>0</v>
      </c>
      <c r="I550" s="7" t="str" cm="1">
        <f t="array" ref="I550">IFERROR(_xlfn.IFS(M550="נח",1,M550="נע ונח",1,M550="שני שווא נח",2,M550="שני שוואים בסוף מילה",2,M550="שני שוואים ברצף",1),"0")</f>
        <v>0</v>
      </c>
      <c r="J550" s="9">
        <f t="shared" si="39"/>
        <v>3</v>
      </c>
      <c r="K550" t="s">
        <v>6698</v>
      </c>
      <c r="L550" t="s">
        <v>6695</v>
      </c>
      <c r="N550" t="s">
        <v>6706</v>
      </c>
      <c r="O550" t="s">
        <v>6694</v>
      </c>
      <c r="R550" t="s">
        <v>6694</v>
      </c>
      <c r="W550" t="s">
        <v>6720</v>
      </c>
    </row>
    <row r="551" spans="1:23" ht="15.6" x14ac:dyDescent="0.4">
      <c r="A551" s="2" t="s">
        <v>882</v>
      </c>
      <c r="B551" s="5" t="s">
        <v>7227</v>
      </c>
      <c r="C551" s="7" t="s">
        <v>12556</v>
      </c>
      <c r="D551" s="8">
        <f t="shared" si="36"/>
        <v>0</v>
      </c>
      <c r="E551" s="7" t="s">
        <v>12557</v>
      </c>
      <c r="F551" s="7">
        <f t="shared" si="37"/>
        <v>1</v>
      </c>
      <c r="G551" s="7" t="s">
        <v>12558</v>
      </c>
      <c r="H551" s="7">
        <f t="shared" si="38"/>
        <v>0</v>
      </c>
      <c r="I551" s="7" t="str" cm="1">
        <f t="array" ref="I551">IFERROR(_xlfn.IFS(M551="נח",1,M551="נע ונח",1,M551="שני שווא נח",2,M551="שני שוואים בסוף מילה",2,M551="שני שוואים ברצף",1),"0")</f>
        <v>0</v>
      </c>
      <c r="J551" s="9">
        <f t="shared" si="39"/>
        <v>5</v>
      </c>
      <c r="K551" t="s">
        <v>6697</v>
      </c>
      <c r="L551" t="s">
        <v>6695</v>
      </c>
      <c r="O551" t="s">
        <v>6694</v>
      </c>
      <c r="P551" t="s">
        <v>6694</v>
      </c>
      <c r="R551" t="s">
        <v>6694</v>
      </c>
      <c r="S551" t="s">
        <v>6694</v>
      </c>
      <c r="W551" t="s">
        <v>6720</v>
      </c>
    </row>
    <row r="552" spans="1:23" ht="15.6" x14ac:dyDescent="0.4">
      <c r="A552" s="2" t="s">
        <v>5617</v>
      </c>
      <c r="B552" s="5" t="s">
        <v>7228</v>
      </c>
      <c r="C552" s="7" t="s">
        <v>12556</v>
      </c>
      <c r="D552" s="8">
        <f t="shared" si="36"/>
        <v>0</v>
      </c>
      <c r="E552" s="7" t="s">
        <v>12557</v>
      </c>
      <c r="F552" s="7">
        <f t="shared" si="37"/>
        <v>1</v>
      </c>
      <c r="G552" s="7" t="s">
        <v>12558</v>
      </c>
      <c r="H552" s="7">
        <f t="shared" si="38"/>
        <v>0</v>
      </c>
      <c r="I552" s="7" t="str" cm="1">
        <f t="array" ref="I552">IFERROR(_xlfn.IFS(M552="נח",1,M552="נע ונח",1,M552="שני שווא נח",2,M552="שני שוואים בסוף מילה",2,M552="שני שוואים ברצף",1),"0")</f>
        <v>0</v>
      </c>
      <c r="J552" s="9">
        <f t="shared" si="39"/>
        <v>3</v>
      </c>
      <c r="K552" t="s">
        <v>6698</v>
      </c>
      <c r="L552" t="s">
        <v>6695</v>
      </c>
      <c r="P552" t="s">
        <v>6694</v>
      </c>
      <c r="R552" t="s">
        <v>6694</v>
      </c>
      <c r="V552" t="s">
        <v>6694</v>
      </c>
      <c r="W552" t="s">
        <v>6720</v>
      </c>
    </row>
    <row r="553" spans="1:23" ht="15.6" x14ac:dyDescent="0.4">
      <c r="A553" s="2" t="s">
        <v>1875</v>
      </c>
      <c r="B553" s="5" t="s">
        <v>7229</v>
      </c>
      <c r="C553" s="7" t="s">
        <v>12556</v>
      </c>
      <c r="D553" s="8">
        <f t="shared" si="36"/>
        <v>0</v>
      </c>
      <c r="E553" s="7" t="s">
        <v>12557</v>
      </c>
      <c r="F553" s="7">
        <f t="shared" si="37"/>
        <v>1</v>
      </c>
      <c r="G553" s="7" t="s">
        <v>12558</v>
      </c>
      <c r="H553" s="7">
        <f t="shared" si="38"/>
        <v>0</v>
      </c>
      <c r="I553" s="7" t="str" cm="1">
        <f t="array" ref="I553">IFERROR(_xlfn.IFS(M553="נח",1,M553="נע ונח",1,M553="שני שווא נח",2,M553="שני שוואים בסוף מילה",2,M553="שני שוואים ברצף",1),"0")</f>
        <v>0</v>
      </c>
      <c r="J553" s="9">
        <f t="shared" si="39"/>
        <v>3</v>
      </c>
      <c r="K553" t="s">
        <v>6698</v>
      </c>
      <c r="L553" t="s">
        <v>6695</v>
      </c>
      <c r="P553" t="s">
        <v>6694</v>
      </c>
      <c r="S553" t="s">
        <v>6694</v>
      </c>
      <c r="V553" t="s">
        <v>6694</v>
      </c>
      <c r="W553" t="s">
        <v>6720</v>
      </c>
    </row>
    <row r="554" spans="1:23" ht="15.6" x14ac:dyDescent="0.4">
      <c r="A554" s="2" t="s">
        <v>4844</v>
      </c>
      <c r="B554" s="5" t="s">
        <v>7230</v>
      </c>
      <c r="C554" s="7" t="s">
        <v>12556</v>
      </c>
      <c r="D554" s="8">
        <f t="shared" si="36"/>
        <v>1</v>
      </c>
      <c r="E554" s="7" t="s">
        <v>12557</v>
      </c>
      <c r="F554" s="7">
        <f t="shared" si="37"/>
        <v>0</v>
      </c>
      <c r="G554" s="7" t="s">
        <v>12558</v>
      </c>
      <c r="H554" s="7">
        <f t="shared" si="38"/>
        <v>0</v>
      </c>
      <c r="I554" s="7" t="str" cm="1">
        <f t="array" ref="I554">IFERROR(_xlfn.IFS(M554="נח",1,M554="נע ונח",1,M554="שני שווא נח",2,M554="שני שוואים בסוף מילה",2,M554="שני שוואים ברצף",1),"0")</f>
        <v>0</v>
      </c>
      <c r="J554" s="9">
        <f t="shared" si="39"/>
        <v>3</v>
      </c>
      <c r="K554" t="s">
        <v>6698</v>
      </c>
      <c r="L554" t="s">
        <v>6695</v>
      </c>
      <c r="P554" t="s">
        <v>6694</v>
      </c>
      <c r="R554" t="s">
        <v>6694</v>
      </c>
      <c r="V554" t="s">
        <v>6694</v>
      </c>
      <c r="W554" t="s">
        <v>6720</v>
      </c>
    </row>
    <row r="555" spans="1:23" ht="15.6" x14ac:dyDescent="0.4">
      <c r="A555" s="2" t="s">
        <v>3895</v>
      </c>
      <c r="B555" s="5" t="s">
        <v>7231</v>
      </c>
      <c r="C555" s="7" t="s">
        <v>12556</v>
      </c>
      <c r="D555" s="8">
        <f t="shared" si="36"/>
        <v>0</v>
      </c>
      <c r="E555" s="7" t="s">
        <v>12557</v>
      </c>
      <c r="F555" s="7">
        <f t="shared" si="37"/>
        <v>1</v>
      </c>
      <c r="G555" s="7" t="s">
        <v>12558</v>
      </c>
      <c r="H555" s="7">
        <f t="shared" si="38"/>
        <v>0</v>
      </c>
      <c r="I555" s="7" t="str" cm="1">
        <f t="array" ref="I555">IFERROR(_xlfn.IFS(M555="נח",1,M555="נע ונח",1,M555="שני שווא נח",2,M555="שני שוואים בסוף מילה",2,M555="שני שוואים ברצף",1),"0")</f>
        <v>0</v>
      </c>
      <c r="J555" s="9">
        <f t="shared" si="39"/>
        <v>3</v>
      </c>
      <c r="K555" t="s">
        <v>6698</v>
      </c>
      <c r="L555" t="s">
        <v>6695</v>
      </c>
      <c r="P555" t="s">
        <v>6694</v>
      </c>
      <c r="T555" t="s">
        <v>6694</v>
      </c>
      <c r="V555" t="s">
        <v>6694</v>
      </c>
      <c r="W555" t="s">
        <v>6720</v>
      </c>
    </row>
    <row r="556" spans="1:23" ht="15.6" x14ac:dyDescent="0.4">
      <c r="A556" s="2" t="s">
        <v>4889</v>
      </c>
      <c r="B556" s="5" t="s">
        <v>7223</v>
      </c>
      <c r="C556" s="7" t="s">
        <v>12556</v>
      </c>
      <c r="D556" s="8">
        <f t="shared" si="36"/>
        <v>0</v>
      </c>
      <c r="E556" s="7" t="s">
        <v>12557</v>
      </c>
      <c r="F556" s="7">
        <f t="shared" si="37"/>
        <v>0</v>
      </c>
      <c r="G556" s="7" t="s">
        <v>12558</v>
      </c>
      <c r="H556" s="7">
        <f t="shared" si="38"/>
        <v>0</v>
      </c>
      <c r="I556" s="7" t="str" cm="1">
        <f t="array" ref="I556">IFERROR(_xlfn.IFS(M556="נח",1,M556="נע ונח",1,M556="שני שווא נח",2,M556="שני שוואים בסוף מילה",2,M556="שני שוואים ברצף",1),"0")</f>
        <v>0</v>
      </c>
      <c r="J556" s="9">
        <f t="shared" si="39"/>
        <v>2</v>
      </c>
      <c r="K556" t="s">
        <v>6698</v>
      </c>
      <c r="L556" t="s">
        <v>6695</v>
      </c>
      <c r="P556" t="s">
        <v>6694</v>
      </c>
      <c r="S556" t="s">
        <v>6694</v>
      </c>
      <c r="W556" t="s">
        <v>6720</v>
      </c>
    </row>
    <row r="557" spans="1:23" ht="15.6" x14ac:dyDescent="0.4">
      <c r="A557" s="2" t="s">
        <v>5844</v>
      </c>
      <c r="B557" s="5" t="s">
        <v>7134</v>
      </c>
      <c r="C557" s="7" t="s">
        <v>12556</v>
      </c>
      <c r="D557" s="8">
        <f t="shared" si="36"/>
        <v>0</v>
      </c>
      <c r="E557" s="7" t="s">
        <v>12557</v>
      </c>
      <c r="F557" s="7">
        <f t="shared" si="37"/>
        <v>1</v>
      </c>
      <c r="G557" s="7" t="s">
        <v>12558</v>
      </c>
      <c r="H557" s="7">
        <f t="shared" si="38"/>
        <v>0</v>
      </c>
      <c r="I557" s="7" t="str" cm="1">
        <f t="array" ref="I557">IFERROR(_xlfn.IFS(M557="נח",1,M557="נע ונח",1,M557="שני שווא נח",2,M557="שני שוואים בסוף מילה",2,M557="שני שוואים ברצף",1),"0")</f>
        <v>0</v>
      </c>
      <c r="J557" s="9">
        <f t="shared" si="39"/>
        <v>2</v>
      </c>
      <c r="K557" t="s">
        <v>6698</v>
      </c>
      <c r="L557" t="s">
        <v>6695</v>
      </c>
      <c r="N557" t="s">
        <v>6706</v>
      </c>
      <c r="O557" t="s">
        <v>6694</v>
      </c>
      <c r="P557" t="s">
        <v>6694</v>
      </c>
      <c r="W557" t="s">
        <v>6720</v>
      </c>
    </row>
    <row r="558" spans="1:23" ht="15.6" x14ac:dyDescent="0.4">
      <c r="A558" s="2" t="s">
        <v>2732</v>
      </c>
      <c r="B558" s="5" t="s">
        <v>7232</v>
      </c>
      <c r="C558" s="7" t="s">
        <v>12556</v>
      </c>
      <c r="D558" s="8">
        <f t="shared" si="36"/>
        <v>0</v>
      </c>
      <c r="E558" s="7" t="s">
        <v>12557</v>
      </c>
      <c r="F558" s="7">
        <f t="shared" si="37"/>
        <v>0</v>
      </c>
      <c r="G558" s="7" t="s">
        <v>12558</v>
      </c>
      <c r="H558" s="7">
        <f t="shared" si="38"/>
        <v>0</v>
      </c>
      <c r="I558" s="7" t="str" cm="1">
        <f t="array" ref="I558">IFERROR(_xlfn.IFS(M558="נח",1,M558="נע ונח",1,M558="שני שווא נח",2,M558="שני שוואים בסוף מילה",2,M558="שני שוואים ברצף",1),"0")</f>
        <v>0</v>
      </c>
      <c r="J558" s="9">
        <f t="shared" si="39"/>
        <v>2</v>
      </c>
      <c r="K558" t="s">
        <v>6698</v>
      </c>
      <c r="L558" t="s">
        <v>6695</v>
      </c>
      <c r="O558" t="s">
        <v>6694</v>
      </c>
      <c r="P558" t="s">
        <v>6694</v>
      </c>
      <c r="W558" t="s">
        <v>6720</v>
      </c>
    </row>
    <row r="559" spans="1:23" ht="15.6" x14ac:dyDescent="0.4">
      <c r="A559" s="2" t="s">
        <v>1654</v>
      </c>
      <c r="B559" s="5" t="s">
        <v>7233</v>
      </c>
      <c r="C559" s="7" t="s">
        <v>12556</v>
      </c>
      <c r="D559" s="8">
        <f t="shared" si="36"/>
        <v>0</v>
      </c>
      <c r="E559" s="7" t="s">
        <v>12557</v>
      </c>
      <c r="F559" s="7">
        <f t="shared" si="37"/>
        <v>1</v>
      </c>
      <c r="G559" s="7" t="s">
        <v>12558</v>
      </c>
      <c r="H559" s="7">
        <f t="shared" si="38"/>
        <v>0</v>
      </c>
      <c r="I559" s="7" t="str" cm="1">
        <f t="array" ref="I559">IFERROR(_xlfn.IFS(M559="נח",1,M559="נע ונח",1,M559="שני שווא נח",2,M559="שני שוואים בסוף מילה",2,M559="שני שוואים ברצף",1),"0")</f>
        <v>0</v>
      </c>
      <c r="J559" s="9">
        <f t="shared" si="39"/>
        <v>3</v>
      </c>
      <c r="K559" t="s">
        <v>6698</v>
      </c>
      <c r="L559" t="s">
        <v>6695</v>
      </c>
      <c r="P559" t="s">
        <v>6694</v>
      </c>
      <c r="R559" t="s">
        <v>6694</v>
      </c>
      <c r="W559" t="s">
        <v>6720</v>
      </c>
    </row>
    <row r="560" spans="1:23" ht="15.6" x14ac:dyDescent="0.4">
      <c r="A560" s="2" t="s">
        <v>4519</v>
      </c>
      <c r="B560" s="5" t="s">
        <v>7234</v>
      </c>
      <c r="C560" s="7" t="s">
        <v>12556</v>
      </c>
      <c r="D560" s="8">
        <f t="shared" si="36"/>
        <v>0</v>
      </c>
      <c r="E560" s="7" t="s">
        <v>12557</v>
      </c>
      <c r="F560" s="7">
        <f t="shared" si="37"/>
        <v>1</v>
      </c>
      <c r="G560" s="7" t="s">
        <v>12558</v>
      </c>
      <c r="H560" s="7">
        <f t="shared" si="38"/>
        <v>0</v>
      </c>
      <c r="I560" s="7" t="str" cm="1">
        <f t="array" ref="I560">IFERROR(_xlfn.IFS(M560="נח",1,M560="נע ונח",1,M560="שני שווא נח",2,M560="שני שוואים בסוף מילה",2,M560="שני שוואים ברצף",1),"0")</f>
        <v>0</v>
      </c>
      <c r="J560" s="9">
        <f t="shared" si="39"/>
        <v>3</v>
      </c>
      <c r="K560" t="s">
        <v>6698</v>
      </c>
      <c r="L560" t="s">
        <v>6695</v>
      </c>
      <c r="P560" t="s">
        <v>6694</v>
      </c>
      <c r="R560" t="s">
        <v>6694</v>
      </c>
      <c r="W560" t="s">
        <v>6720</v>
      </c>
    </row>
    <row r="561" spans="1:23" ht="15.6" x14ac:dyDescent="0.4">
      <c r="A561" s="2" t="s">
        <v>5173</v>
      </c>
      <c r="B561" s="5" t="s">
        <v>7235</v>
      </c>
      <c r="C561" s="7" t="s">
        <v>12556</v>
      </c>
      <c r="D561" s="8">
        <f t="shared" si="36"/>
        <v>0</v>
      </c>
      <c r="E561" s="7" t="s">
        <v>12557</v>
      </c>
      <c r="F561" s="7">
        <f t="shared" si="37"/>
        <v>0</v>
      </c>
      <c r="G561" s="7" t="s">
        <v>12558</v>
      </c>
      <c r="H561" s="7">
        <f t="shared" si="38"/>
        <v>0</v>
      </c>
      <c r="I561" s="7" t="str" cm="1">
        <f t="array" ref="I561">IFERROR(_xlfn.IFS(M561="נח",1,M561="נע ונח",1,M561="שני שווא נח",2,M561="שני שוואים בסוף מילה",2,M561="שני שוואים ברצף",1),"0")</f>
        <v>0</v>
      </c>
      <c r="J561" s="9">
        <f t="shared" si="39"/>
        <v>1</v>
      </c>
      <c r="K561" t="s">
        <v>6698</v>
      </c>
      <c r="L561" t="s">
        <v>6695</v>
      </c>
      <c r="P561" t="s">
        <v>6694</v>
      </c>
      <c r="W561" t="s">
        <v>6720</v>
      </c>
    </row>
    <row r="562" spans="1:23" ht="15.6" x14ac:dyDescent="0.4">
      <c r="A562" s="2" t="s">
        <v>5854</v>
      </c>
      <c r="B562" s="5" t="s">
        <v>7236</v>
      </c>
      <c r="C562" s="7" t="s">
        <v>12556</v>
      </c>
      <c r="D562" s="8">
        <f t="shared" si="36"/>
        <v>0</v>
      </c>
      <c r="E562" s="7" t="s">
        <v>12557</v>
      </c>
      <c r="F562" s="7">
        <f t="shared" si="37"/>
        <v>1</v>
      </c>
      <c r="G562" s="7" t="s">
        <v>12558</v>
      </c>
      <c r="H562" s="7">
        <f t="shared" si="38"/>
        <v>0</v>
      </c>
      <c r="I562" s="7" cm="1">
        <f t="array" ref="I562">IFERROR(_xlfn.IFS(M562="נח",1,M562="נע ונח",1,M562="שני שווא נח",2,M562="שני שוואים בסוף מילה",2,M562="שני שוואים ברצף",1),"0")</f>
        <v>1</v>
      </c>
      <c r="J562" s="9">
        <f t="shared" si="39"/>
        <v>3</v>
      </c>
      <c r="K562" t="s">
        <v>6697</v>
      </c>
      <c r="L562" t="s">
        <v>6694</v>
      </c>
      <c r="M562" t="s">
        <v>6705</v>
      </c>
      <c r="O562" t="s">
        <v>6694</v>
      </c>
      <c r="P562" t="s">
        <v>6694</v>
      </c>
      <c r="W562" t="s">
        <v>6720</v>
      </c>
    </row>
    <row r="563" spans="1:23" ht="15.6" x14ac:dyDescent="0.4">
      <c r="A563" s="2" t="s">
        <v>4438</v>
      </c>
      <c r="B563" s="5" t="s">
        <v>7237</v>
      </c>
      <c r="C563" s="7" t="s">
        <v>12556</v>
      </c>
      <c r="D563" s="8">
        <f t="shared" si="36"/>
        <v>0</v>
      </c>
      <c r="E563" s="7" t="s">
        <v>12557</v>
      </c>
      <c r="F563" s="7">
        <f t="shared" si="37"/>
        <v>2</v>
      </c>
      <c r="G563" s="7" t="s">
        <v>12558</v>
      </c>
      <c r="H563" s="7">
        <f t="shared" si="38"/>
        <v>1</v>
      </c>
      <c r="I563" s="7" cm="1">
        <f t="array" ref="I563">IFERROR(_xlfn.IFS(M563="נח",1,M563="נע ונח",1,M563="שני שווא נח",2,M563="שני שוואים בסוף מילה",2,M563="שני שוואים ברצף",1),"0")</f>
        <v>1</v>
      </c>
      <c r="J563" s="9">
        <f t="shared" si="39"/>
        <v>3</v>
      </c>
      <c r="K563" t="s">
        <v>6697</v>
      </c>
      <c r="L563" t="s">
        <v>6694</v>
      </c>
      <c r="M563" t="s">
        <v>6705</v>
      </c>
      <c r="O563" t="s">
        <v>6694</v>
      </c>
      <c r="P563" t="s">
        <v>6694</v>
      </c>
      <c r="U563" t="s">
        <v>6694</v>
      </c>
      <c r="W563" t="s">
        <v>6720</v>
      </c>
    </row>
    <row r="564" spans="1:23" ht="15.6" x14ac:dyDescent="0.4">
      <c r="A564" s="2" t="s">
        <v>1521</v>
      </c>
      <c r="B564" s="5" t="s">
        <v>7238</v>
      </c>
      <c r="C564" s="7" t="s">
        <v>12556</v>
      </c>
      <c r="D564" s="8">
        <f t="shared" si="36"/>
        <v>0</v>
      </c>
      <c r="E564" s="7" t="s">
        <v>12557</v>
      </c>
      <c r="F564" s="7">
        <f t="shared" si="37"/>
        <v>2</v>
      </c>
      <c r="G564" s="7" t="s">
        <v>12558</v>
      </c>
      <c r="H564" s="7">
        <f t="shared" si="38"/>
        <v>0</v>
      </c>
      <c r="I564" s="7" cm="1">
        <f t="array" ref="I564">IFERROR(_xlfn.IFS(M564="נח",1,M564="נע ונח",1,M564="שני שווא נח",2,M564="שני שוואים בסוף מילה",2,M564="שני שוואים ברצף",1),"0")</f>
        <v>1</v>
      </c>
      <c r="J564" s="9">
        <f t="shared" si="39"/>
        <v>3</v>
      </c>
      <c r="K564" t="s">
        <v>6698</v>
      </c>
      <c r="L564" t="s">
        <v>6694</v>
      </c>
      <c r="M564" t="s">
        <v>6705</v>
      </c>
      <c r="N564" t="s">
        <v>6706</v>
      </c>
      <c r="O564" t="s">
        <v>6694</v>
      </c>
      <c r="P564" t="s">
        <v>6694</v>
      </c>
      <c r="S564" t="s">
        <v>6694</v>
      </c>
      <c r="W564" t="s">
        <v>6720</v>
      </c>
    </row>
    <row r="565" spans="1:23" ht="15.6" x14ac:dyDescent="0.4">
      <c r="A565" s="2" t="s">
        <v>1707</v>
      </c>
      <c r="B565" s="5" t="s">
        <v>7239</v>
      </c>
      <c r="C565" s="7" t="s">
        <v>12556</v>
      </c>
      <c r="D565" s="8">
        <f t="shared" si="36"/>
        <v>0</v>
      </c>
      <c r="E565" s="7" t="s">
        <v>12557</v>
      </c>
      <c r="F565" s="7">
        <f t="shared" si="37"/>
        <v>1</v>
      </c>
      <c r="G565" s="7" t="s">
        <v>12558</v>
      </c>
      <c r="H565" s="7">
        <f t="shared" si="38"/>
        <v>0</v>
      </c>
      <c r="I565" s="7" cm="1">
        <f t="array" ref="I565">IFERROR(_xlfn.IFS(M565="נח",1,M565="נע ונח",1,M565="שני שווא נח",2,M565="שני שוואים בסוף מילה",2,M565="שני שוואים ברצף",1),"0")</f>
        <v>1</v>
      </c>
      <c r="J565" s="9">
        <f t="shared" si="39"/>
        <v>3</v>
      </c>
      <c r="K565" t="s">
        <v>6698</v>
      </c>
      <c r="L565" t="s">
        <v>6694</v>
      </c>
      <c r="M565" t="s">
        <v>6705</v>
      </c>
      <c r="N565" t="s">
        <v>6706</v>
      </c>
      <c r="O565" t="s">
        <v>6694</v>
      </c>
      <c r="P565" t="s">
        <v>6694</v>
      </c>
      <c r="R565" t="s">
        <v>6694</v>
      </c>
      <c r="W565" t="s">
        <v>6720</v>
      </c>
    </row>
    <row r="566" spans="1:23" ht="15.6" x14ac:dyDescent="0.4">
      <c r="A566" s="2" t="s">
        <v>622</v>
      </c>
      <c r="B566" s="5" t="s">
        <v>7240</v>
      </c>
      <c r="C566" s="7" t="s">
        <v>12556</v>
      </c>
      <c r="D566" s="8">
        <f t="shared" si="36"/>
        <v>0</v>
      </c>
      <c r="E566" s="7" t="s">
        <v>12557</v>
      </c>
      <c r="F566" s="7">
        <f t="shared" si="37"/>
        <v>1</v>
      </c>
      <c r="G566" s="7" t="s">
        <v>12558</v>
      </c>
      <c r="H566" s="7">
        <f t="shared" si="38"/>
        <v>0</v>
      </c>
      <c r="I566" s="7" t="str" cm="1">
        <f t="array" ref="I566">IFERROR(_xlfn.IFS(M566="נח",1,M566="נע ונח",1,M566="שני שווא נח",2,M566="שני שוואים בסוף מילה",2,M566="שני שוואים ברצף",1),"0")</f>
        <v>0</v>
      </c>
      <c r="J566" s="9">
        <f t="shared" si="39"/>
        <v>3</v>
      </c>
      <c r="K566" t="s">
        <v>6698</v>
      </c>
      <c r="L566" t="s">
        <v>6695</v>
      </c>
      <c r="P566" t="s">
        <v>6694</v>
      </c>
      <c r="S566" t="s">
        <v>6694</v>
      </c>
      <c r="W566" t="s">
        <v>6720</v>
      </c>
    </row>
    <row r="567" spans="1:23" ht="15.6" x14ac:dyDescent="0.4">
      <c r="A567" s="2" t="s">
        <v>2795</v>
      </c>
      <c r="B567" s="5" t="s">
        <v>7160</v>
      </c>
      <c r="C567" s="7" t="s">
        <v>12556</v>
      </c>
      <c r="D567" s="8">
        <f t="shared" si="36"/>
        <v>0</v>
      </c>
      <c r="E567" s="7" t="s">
        <v>12557</v>
      </c>
      <c r="F567" s="7">
        <f t="shared" si="37"/>
        <v>1</v>
      </c>
      <c r="G567" s="7" t="s">
        <v>12558</v>
      </c>
      <c r="H567" s="7">
        <f t="shared" si="38"/>
        <v>0</v>
      </c>
      <c r="I567" s="7" t="str" cm="1">
        <f t="array" ref="I567">IFERROR(_xlfn.IFS(M567="נח",1,M567="נע ונח",1,M567="שני שווא נח",2,M567="שני שוואים בסוף מילה",2,M567="שני שוואים ברצף",1),"0")</f>
        <v>0</v>
      </c>
      <c r="J567" s="9">
        <f t="shared" si="39"/>
        <v>3</v>
      </c>
      <c r="K567" t="s">
        <v>6698</v>
      </c>
      <c r="L567" t="s">
        <v>6695</v>
      </c>
      <c r="P567" t="s">
        <v>6694</v>
      </c>
      <c r="Q567" t="s">
        <v>6694</v>
      </c>
      <c r="R567" t="s">
        <v>6694</v>
      </c>
      <c r="W567" t="s">
        <v>6720</v>
      </c>
    </row>
    <row r="568" spans="1:23" ht="15.6" x14ac:dyDescent="0.4">
      <c r="A568" s="2" t="s">
        <v>3311</v>
      </c>
      <c r="B568" s="5" t="s">
        <v>7241</v>
      </c>
      <c r="C568" s="7" t="s">
        <v>12556</v>
      </c>
      <c r="D568" s="8">
        <f t="shared" si="36"/>
        <v>0</v>
      </c>
      <c r="E568" s="7" t="s">
        <v>12557</v>
      </c>
      <c r="F568" s="7">
        <f t="shared" si="37"/>
        <v>2</v>
      </c>
      <c r="G568" s="7" t="s">
        <v>12558</v>
      </c>
      <c r="H568" s="7">
        <f t="shared" si="38"/>
        <v>1</v>
      </c>
      <c r="I568" s="7" t="str" cm="1">
        <f t="array" ref="I568">IFERROR(_xlfn.IFS(M568="נח",1,M568="נע ונח",1,M568="שני שווא נח",2,M568="שני שוואים בסוף מילה",2,M568="שני שוואים ברצף",1),"0")</f>
        <v>0</v>
      </c>
      <c r="J568" s="9">
        <f t="shared" si="39"/>
        <v>3</v>
      </c>
      <c r="K568" t="s">
        <v>6698</v>
      </c>
      <c r="L568" t="s">
        <v>6695</v>
      </c>
      <c r="P568" t="s">
        <v>6694</v>
      </c>
      <c r="S568" t="s">
        <v>6694</v>
      </c>
      <c r="U568" t="s">
        <v>6694</v>
      </c>
      <c r="W568" t="s">
        <v>6720</v>
      </c>
    </row>
    <row r="569" spans="1:23" ht="15.6" x14ac:dyDescent="0.4">
      <c r="A569" s="2" t="s">
        <v>5436</v>
      </c>
      <c r="B569" s="5" t="s">
        <v>7242</v>
      </c>
      <c r="C569" s="7" t="s">
        <v>12556</v>
      </c>
      <c r="D569" s="8">
        <f t="shared" si="36"/>
        <v>0</v>
      </c>
      <c r="E569" s="7" t="s">
        <v>12557</v>
      </c>
      <c r="F569" s="7">
        <f t="shared" si="37"/>
        <v>0</v>
      </c>
      <c r="G569" s="7" t="s">
        <v>12558</v>
      </c>
      <c r="H569" s="7">
        <f t="shared" si="38"/>
        <v>0</v>
      </c>
      <c r="I569" s="7" t="str" cm="1">
        <f t="array" ref="I569">IFERROR(_xlfn.IFS(M569="נח",1,M569="נע ונח",1,M569="שני שווא נח",2,M569="שני שוואים בסוף מילה",2,M569="שני שוואים ברצף",1),"0")</f>
        <v>0</v>
      </c>
      <c r="J569" s="9">
        <f t="shared" si="39"/>
        <v>2</v>
      </c>
      <c r="K569" t="s">
        <v>6698</v>
      </c>
      <c r="L569" t="s">
        <v>6695</v>
      </c>
      <c r="P569" t="s">
        <v>6694</v>
      </c>
      <c r="W569" t="s">
        <v>6720</v>
      </c>
    </row>
    <row r="570" spans="1:23" ht="15.6" x14ac:dyDescent="0.4">
      <c r="A570" s="2" t="s">
        <v>1000</v>
      </c>
      <c r="B570" s="5" t="s">
        <v>7243</v>
      </c>
      <c r="C570" s="7" t="s">
        <v>12556</v>
      </c>
      <c r="D570" s="8">
        <f t="shared" si="36"/>
        <v>0</v>
      </c>
      <c r="E570" s="7" t="s">
        <v>12557</v>
      </c>
      <c r="F570" s="7">
        <f t="shared" si="37"/>
        <v>1</v>
      </c>
      <c r="G570" s="7" t="s">
        <v>12558</v>
      </c>
      <c r="H570" s="7">
        <f t="shared" si="38"/>
        <v>0</v>
      </c>
      <c r="I570" s="7" t="str" cm="1">
        <f t="array" ref="I570">IFERROR(_xlfn.IFS(M570="נח",1,M570="נע ונח",1,M570="שני שווא נח",2,M570="שני שוואים בסוף מילה",2,M570="שני שוואים ברצף",1),"0")</f>
        <v>0</v>
      </c>
      <c r="J570" s="9">
        <f t="shared" si="39"/>
        <v>2</v>
      </c>
      <c r="K570" t="s">
        <v>6698</v>
      </c>
      <c r="L570" t="s">
        <v>6695</v>
      </c>
      <c r="P570" t="s">
        <v>6694</v>
      </c>
      <c r="V570" t="s">
        <v>6694</v>
      </c>
      <c r="W570" t="s">
        <v>6720</v>
      </c>
    </row>
    <row r="571" spans="1:23" ht="15.6" x14ac:dyDescent="0.4">
      <c r="A571" s="2" t="s">
        <v>6493</v>
      </c>
      <c r="B571" s="5" t="s">
        <v>7244</v>
      </c>
      <c r="C571" s="7" t="s">
        <v>12556</v>
      </c>
      <c r="D571" s="8">
        <f t="shared" si="36"/>
        <v>1</v>
      </c>
      <c r="E571" s="7" t="s">
        <v>12557</v>
      </c>
      <c r="F571" s="7">
        <f t="shared" si="37"/>
        <v>1</v>
      </c>
      <c r="G571" s="7" t="s">
        <v>12558</v>
      </c>
      <c r="H571" s="7">
        <f t="shared" si="38"/>
        <v>0</v>
      </c>
      <c r="I571" s="7" t="str" cm="1">
        <f t="array" ref="I571">IFERROR(_xlfn.IFS(M571="נח",1,M571="נע ונח",1,M571="שני שווא נח",2,M571="שני שוואים בסוף מילה",2,M571="שני שוואים ברצף",1),"0")</f>
        <v>0</v>
      </c>
      <c r="J571" s="9">
        <f t="shared" si="39"/>
        <v>3</v>
      </c>
      <c r="K571" t="s">
        <v>6698</v>
      </c>
      <c r="L571" t="s">
        <v>6695</v>
      </c>
      <c r="P571" t="s">
        <v>6694</v>
      </c>
      <c r="R571" t="s">
        <v>6694</v>
      </c>
      <c r="V571" t="s">
        <v>6694</v>
      </c>
      <c r="W571" t="s">
        <v>6720</v>
      </c>
    </row>
    <row r="572" spans="1:23" ht="15.6" x14ac:dyDescent="0.4">
      <c r="A572" s="2" t="s">
        <v>2291</v>
      </c>
      <c r="B572" s="5" t="s">
        <v>7245</v>
      </c>
      <c r="C572" s="7" t="s">
        <v>12556</v>
      </c>
      <c r="D572" s="8">
        <f t="shared" si="36"/>
        <v>0</v>
      </c>
      <c r="E572" s="7" t="s">
        <v>12557</v>
      </c>
      <c r="F572" s="7">
        <f t="shared" si="37"/>
        <v>0</v>
      </c>
      <c r="G572" s="7" t="s">
        <v>12558</v>
      </c>
      <c r="H572" s="7">
        <f t="shared" si="38"/>
        <v>0</v>
      </c>
      <c r="I572" s="7" t="str" cm="1">
        <f t="array" ref="I572">IFERROR(_xlfn.IFS(M572="נח",1,M572="נע ונח",1,M572="שני שווא נח",2,M572="שני שוואים בסוף מילה",2,M572="שני שוואים ברצף",1),"0")</f>
        <v>0</v>
      </c>
      <c r="J572" s="9">
        <f t="shared" si="39"/>
        <v>1</v>
      </c>
      <c r="K572" t="s">
        <v>6698</v>
      </c>
      <c r="L572" t="s">
        <v>6695</v>
      </c>
      <c r="P572" t="s">
        <v>6694</v>
      </c>
      <c r="W572" t="s">
        <v>6720</v>
      </c>
    </row>
    <row r="573" spans="1:23" ht="15.6" x14ac:dyDescent="0.4">
      <c r="A573" s="2" t="s">
        <v>1559</v>
      </c>
      <c r="B573" s="5" t="s">
        <v>7246</v>
      </c>
      <c r="C573" s="7" t="s">
        <v>12556</v>
      </c>
      <c r="D573" s="8">
        <f t="shared" si="36"/>
        <v>0</v>
      </c>
      <c r="E573" s="7" t="s">
        <v>12557</v>
      </c>
      <c r="F573" s="7">
        <f t="shared" si="37"/>
        <v>0</v>
      </c>
      <c r="G573" s="7" t="s">
        <v>12558</v>
      </c>
      <c r="H573" s="7">
        <f t="shared" si="38"/>
        <v>0</v>
      </c>
      <c r="I573" s="7" cm="1">
        <f t="array" ref="I573">IFERROR(_xlfn.IFS(M573="נח",1,M573="נע ונח",1,M573="שני שווא נח",2,M573="שני שוואים בסוף מילה",2,M573="שני שוואים ברצף",1),"0")</f>
        <v>1</v>
      </c>
      <c r="J573" s="9">
        <f t="shared" si="39"/>
        <v>2</v>
      </c>
      <c r="K573" t="s">
        <v>6698</v>
      </c>
      <c r="L573" t="s">
        <v>6694</v>
      </c>
      <c r="M573" t="s">
        <v>6705</v>
      </c>
      <c r="P573" t="s">
        <v>6694</v>
      </c>
      <c r="R573" t="s">
        <v>6694</v>
      </c>
      <c r="W573" t="s">
        <v>6720</v>
      </c>
    </row>
    <row r="574" spans="1:23" ht="15.6" x14ac:dyDescent="0.4">
      <c r="A574" s="2" t="s">
        <v>793</v>
      </c>
      <c r="B574" s="5" t="s">
        <v>7247</v>
      </c>
      <c r="C574" s="7" t="s">
        <v>12556</v>
      </c>
      <c r="D574" s="8">
        <f t="shared" si="36"/>
        <v>1</v>
      </c>
      <c r="E574" s="7" t="s">
        <v>12557</v>
      </c>
      <c r="F574" s="7">
        <f t="shared" si="37"/>
        <v>1</v>
      </c>
      <c r="G574" s="7" t="s">
        <v>12558</v>
      </c>
      <c r="H574" s="7">
        <f t="shared" si="38"/>
        <v>0</v>
      </c>
      <c r="I574" s="7" t="str" cm="1">
        <f t="array" ref="I574">IFERROR(_xlfn.IFS(M574="נח",1,M574="נע ונח",1,M574="שני שווא נח",2,M574="שני שוואים בסוף מילה",2,M574="שני שוואים ברצף",1),"0")</f>
        <v>0</v>
      </c>
      <c r="J574" s="9">
        <f t="shared" si="39"/>
        <v>3</v>
      </c>
      <c r="K574" t="s">
        <v>6698</v>
      </c>
      <c r="L574" t="s">
        <v>6695</v>
      </c>
      <c r="P574" t="s">
        <v>6694</v>
      </c>
      <c r="R574" t="s">
        <v>6694</v>
      </c>
      <c r="W574" t="s">
        <v>6720</v>
      </c>
    </row>
    <row r="575" spans="1:23" ht="15.6" x14ac:dyDescent="0.4">
      <c r="A575" s="2" t="s">
        <v>5794</v>
      </c>
      <c r="B575" s="5" t="s">
        <v>7248</v>
      </c>
      <c r="C575" s="7" t="s">
        <v>12556</v>
      </c>
      <c r="D575" s="8">
        <f t="shared" si="36"/>
        <v>1</v>
      </c>
      <c r="E575" s="7" t="s">
        <v>12557</v>
      </c>
      <c r="F575" s="7">
        <f t="shared" si="37"/>
        <v>1</v>
      </c>
      <c r="G575" s="7" t="s">
        <v>12558</v>
      </c>
      <c r="H575" s="7">
        <f t="shared" si="38"/>
        <v>0</v>
      </c>
      <c r="I575" s="7" t="str" cm="1">
        <f t="array" ref="I575">IFERROR(_xlfn.IFS(M575="נח",1,M575="נע ונח",1,M575="שני שווא נח",2,M575="שני שוואים בסוף מילה",2,M575="שני שוואים ברצף",1),"0")</f>
        <v>0</v>
      </c>
      <c r="J575" s="9">
        <f t="shared" si="39"/>
        <v>3</v>
      </c>
      <c r="K575" t="s">
        <v>6698</v>
      </c>
      <c r="L575" t="s">
        <v>6695</v>
      </c>
      <c r="P575" t="s">
        <v>6694</v>
      </c>
      <c r="W575" t="s">
        <v>6720</v>
      </c>
    </row>
    <row r="576" spans="1:23" ht="15.6" x14ac:dyDescent="0.4">
      <c r="A576" s="2" t="s">
        <v>6591</v>
      </c>
      <c r="B576" s="5" t="s">
        <v>7196</v>
      </c>
      <c r="C576" s="7" t="s">
        <v>12556</v>
      </c>
      <c r="D576" s="8">
        <f t="shared" si="36"/>
        <v>1</v>
      </c>
      <c r="E576" s="7" t="s">
        <v>12557</v>
      </c>
      <c r="F576" s="7">
        <f t="shared" si="37"/>
        <v>1</v>
      </c>
      <c r="G576" s="7" t="s">
        <v>12558</v>
      </c>
      <c r="H576" s="7">
        <f t="shared" si="38"/>
        <v>0</v>
      </c>
      <c r="I576" s="7" t="str" cm="1">
        <f t="array" ref="I576">IFERROR(_xlfn.IFS(M576="נח",1,M576="נע ונח",1,M576="שני שווא נח",2,M576="שני שוואים בסוף מילה",2,M576="שני שוואים ברצף",1),"0")</f>
        <v>0</v>
      </c>
      <c r="J576" s="9">
        <f t="shared" si="39"/>
        <v>3</v>
      </c>
      <c r="K576" t="s">
        <v>6698</v>
      </c>
      <c r="L576" t="s">
        <v>6695</v>
      </c>
      <c r="O576" t="s">
        <v>6694</v>
      </c>
      <c r="P576" t="s">
        <v>6694</v>
      </c>
      <c r="V576" t="s">
        <v>6694</v>
      </c>
      <c r="W576" t="s">
        <v>6720</v>
      </c>
    </row>
    <row r="577" spans="1:23" ht="15.6" x14ac:dyDescent="0.4">
      <c r="A577" s="2" t="s">
        <v>5403</v>
      </c>
      <c r="B577" s="5" t="s">
        <v>7249</v>
      </c>
      <c r="C577" s="7" t="s">
        <v>12556</v>
      </c>
      <c r="D577" s="8">
        <f t="shared" si="36"/>
        <v>1</v>
      </c>
      <c r="E577" s="7" t="s">
        <v>12557</v>
      </c>
      <c r="F577" s="7">
        <f t="shared" si="37"/>
        <v>1</v>
      </c>
      <c r="G577" s="7" t="s">
        <v>12558</v>
      </c>
      <c r="H577" s="7">
        <f t="shared" si="38"/>
        <v>0</v>
      </c>
      <c r="I577" s="7" t="str" cm="1">
        <f t="array" ref="I577">IFERROR(_xlfn.IFS(M577="נח",1,M577="נע ונח",1,M577="שני שווא נח",2,M577="שני שוואים בסוף מילה",2,M577="שני שוואים ברצף",1),"0")</f>
        <v>0</v>
      </c>
      <c r="J577" s="9">
        <f t="shared" si="39"/>
        <v>4</v>
      </c>
      <c r="K577" t="s">
        <v>6698</v>
      </c>
      <c r="L577" t="s">
        <v>6695</v>
      </c>
      <c r="O577" t="s">
        <v>6694</v>
      </c>
      <c r="P577" t="s">
        <v>6694</v>
      </c>
      <c r="S577" t="s">
        <v>6694</v>
      </c>
      <c r="W577" t="s">
        <v>6720</v>
      </c>
    </row>
    <row r="578" spans="1:23" ht="15.6" x14ac:dyDescent="0.4">
      <c r="A578" s="2" t="s">
        <v>5181</v>
      </c>
      <c r="B578" s="5" t="s">
        <v>7249</v>
      </c>
      <c r="C578" s="7" t="s">
        <v>12556</v>
      </c>
      <c r="D578" s="8">
        <f t="shared" si="36"/>
        <v>1</v>
      </c>
      <c r="E578" s="7" t="s">
        <v>12557</v>
      </c>
      <c r="F578" s="7">
        <f t="shared" si="37"/>
        <v>1</v>
      </c>
      <c r="G578" s="7" t="s">
        <v>12558</v>
      </c>
      <c r="H578" s="7">
        <f t="shared" si="38"/>
        <v>0</v>
      </c>
      <c r="I578" s="7" t="str" cm="1">
        <f t="array" ref="I578">IFERROR(_xlfn.IFS(M578="נח",1,M578="נע ונח",1,M578="שני שווא נח",2,M578="שני שוואים בסוף מילה",2,M578="שני שוואים ברצף",1),"0")</f>
        <v>0</v>
      </c>
      <c r="J578" s="9">
        <f t="shared" si="39"/>
        <v>4</v>
      </c>
      <c r="K578" t="s">
        <v>6698</v>
      </c>
      <c r="L578" t="s">
        <v>6695</v>
      </c>
      <c r="N578" t="s">
        <v>6706</v>
      </c>
      <c r="O578" t="s">
        <v>6694</v>
      </c>
      <c r="P578" t="s">
        <v>6694</v>
      </c>
      <c r="S578" t="s">
        <v>6694</v>
      </c>
      <c r="W578" t="s">
        <v>6720</v>
      </c>
    </row>
    <row r="579" spans="1:23" ht="15.6" x14ac:dyDescent="0.4">
      <c r="A579" s="2" t="s">
        <v>2417</v>
      </c>
      <c r="B579" s="5" t="s">
        <v>7250</v>
      </c>
      <c r="C579" s="7" t="s">
        <v>12556</v>
      </c>
      <c r="D579" s="8">
        <f t="shared" ref="D579:D642" si="40">(LEN(B579)-LEN(SUBSTITUTE(B579,C579,"")))</f>
        <v>0</v>
      </c>
      <c r="E579" s="7" t="s">
        <v>12557</v>
      </c>
      <c r="F579" s="7">
        <f t="shared" ref="F579:F642" si="41">(LEN(A579)-LEN(SUBSTITUTE(A579,E579,"")))</f>
        <v>0</v>
      </c>
      <c r="G579" s="7" t="s">
        <v>12558</v>
      </c>
      <c r="H579" s="7">
        <f t="shared" ref="H579:H642" si="42">(LEN(A579)-LEN(SUBSTITUTE(A579,G579,"")))/2</f>
        <v>0</v>
      </c>
      <c r="I579" s="7" t="str" cm="1">
        <f t="array" ref="I579">IFERROR(_xlfn.IFS(M579="נח",1,M579="נע ונח",1,M579="שני שווא נח",2,M579="שני שוואים בסוף מילה",2,M579="שני שוואים ברצף",1),"0")</f>
        <v>0</v>
      </c>
      <c r="J579" s="9">
        <f t="shared" ref="J579:J642" si="43">LEN(A579)-(LEN(B579))-D579-F579+H579-I579</f>
        <v>1</v>
      </c>
      <c r="K579" t="s">
        <v>6698</v>
      </c>
      <c r="L579" t="s">
        <v>6695</v>
      </c>
      <c r="P579" t="s">
        <v>6694</v>
      </c>
      <c r="W579" t="s">
        <v>6720</v>
      </c>
    </row>
    <row r="580" spans="1:23" ht="15.6" x14ac:dyDescent="0.4">
      <c r="A580" s="2" t="s">
        <v>5561</v>
      </c>
      <c r="B580" s="5" t="s">
        <v>7251</v>
      </c>
      <c r="C580" s="7" t="s">
        <v>12556</v>
      </c>
      <c r="D580" s="8">
        <f t="shared" si="40"/>
        <v>0</v>
      </c>
      <c r="E580" s="7" t="s">
        <v>12557</v>
      </c>
      <c r="F580" s="7">
        <f t="shared" si="41"/>
        <v>0</v>
      </c>
      <c r="G580" s="7" t="s">
        <v>12558</v>
      </c>
      <c r="H580" s="7">
        <f t="shared" si="42"/>
        <v>0</v>
      </c>
      <c r="I580" s="7" t="str" cm="1">
        <f t="array" ref="I580">IFERROR(_xlfn.IFS(M580="נח",1,M580="נע ונח",1,M580="שני שווא נח",2,M580="שני שוואים בסוף מילה",2,M580="שני שוואים ברצף",1),"0")</f>
        <v>0</v>
      </c>
      <c r="J580" s="9">
        <f t="shared" si="43"/>
        <v>1</v>
      </c>
      <c r="K580" t="s">
        <v>6697</v>
      </c>
      <c r="L580" t="s">
        <v>6695</v>
      </c>
      <c r="O580" t="s">
        <v>6694</v>
      </c>
      <c r="W580" t="s">
        <v>6720</v>
      </c>
    </row>
    <row r="581" spans="1:23" ht="15.6" x14ac:dyDescent="0.4">
      <c r="A581" s="2" t="s">
        <v>4443</v>
      </c>
      <c r="B581" s="5" t="s">
        <v>7252</v>
      </c>
      <c r="C581" s="7" t="s">
        <v>12556</v>
      </c>
      <c r="D581" s="8">
        <f t="shared" si="40"/>
        <v>1</v>
      </c>
      <c r="E581" s="7" t="s">
        <v>12557</v>
      </c>
      <c r="F581" s="7">
        <f t="shared" si="41"/>
        <v>0</v>
      </c>
      <c r="G581" s="7" t="s">
        <v>12558</v>
      </c>
      <c r="H581" s="7">
        <f t="shared" si="42"/>
        <v>0</v>
      </c>
      <c r="I581" s="7" t="str" cm="1">
        <f t="array" ref="I581">IFERROR(_xlfn.IFS(M581="נח",1,M581="נע ונח",1,M581="שני שווא נח",2,M581="שני שוואים בסוף מילה",2,M581="שני שוואים ברצף",1),"0")</f>
        <v>0</v>
      </c>
      <c r="J581" s="9">
        <f t="shared" si="43"/>
        <v>2</v>
      </c>
      <c r="K581" t="s">
        <v>6698</v>
      </c>
      <c r="L581" t="s">
        <v>6695</v>
      </c>
      <c r="O581" t="s">
        <v>6694</v>
      </c>
      <c r="Q581" t="s">
        <v>6694</v>
      </c>
      <c r="W581" t="s">
        <v>6720</v>
      </c>
    </row>
    <row r="582" spans="1:23" ht="15.6" x14ac:dyDescent="0.4">
      <c r="A582" s="2" t="s">
        <v>264</v>
      </c>
      <c r="B582" s="5" t="s">
        <v>7253</v>
      </c>
      <c r="C582" s="7" t="s">
        <v>12556</v>
      </c>
      <c r="D582" s="8">
        <f t="shared" si="40"/>
        <v>0</v>
      </c>
      <c r="E582" s="7" t="s">
        <v>12557</v>
      </c>
      <c r="F582" s="7">
        <f t="shared" si="41"/>
        <v>0</v>
      </c>
      <c r="G582" s="7" t="s">
        <v>12558</v>
      </c>
      <c r="H582" s="7">
        <f t="shared" si="42"/>
        <v>0</v>
      </c>
      <c r="I582" s="7" t="str" cm="1">
        <f t="array" ref="I582">IFERROR(_xlfn.IFS(M582="נח",1,M582="נע ונח",1,M582="שני שווא נח",2,M582="שני שוואים בסוף מילה",2,M582="שני שוואים ברצף",1),"0")</f>
        <v>0</v>
      </c>
      <c r="J582" s="9">
        <f t="shared" si="43"/>
        <v>3</v>
      </c>
      <c r="K582" t="s">
        <v>6698</v>
      </c>
      <c r="L582" t="s">
        <v>6695</v>
      </c>
      <c r="O582" t="s">
        <v>6694</v>
      </c>
      <c r="R582" t="s">
        <v>6694</v>
      </c>
      <c r="W582" t="s">
        <v>6720</v>
      </c>
    </row>
    <row r="583" spans="1:23" ht="15.6" x14ac:dyDescent="0.4">
      <c r="A583" s="2" t="s">
        <v>4571</v>
      </c>
      <c r="B583" s="5" t="s">
        <v>7254</v>
      </c>
      <c r="C583" s="7" t="s">
        <v>12556</v>
      </c>
      <c r="D583" s="8">
        <f t="shared" si="40"/>
        <v>0</v>
      </c>
      <c r="E583" s="7" t="s">
        <v>12557</v>
      </c>
      <c r="F583" s="7">
        <f t="shared" si="41"/>
        <v>1</v>
      </c>
      <c r="G583" s="7" t="s">
        <v>12558</v>
      </c>
      <c r="H583" s="7">
        <f t="shared" si="42"/>
        <v>1</v>
      </c>
      <c r="I583" s="7" t="str" cm="1">
        <f t="array" ref="I583">IFERROR(_xlfn.IFS(M583="נח",1,M583="נע ונח",1,M583="שני שווא נח",2,M583="שני שוואים בסוף מילה",2,M583="שני שוואים ברצף",1),"0")</f>
        <v>0</v>
      </c>
      <c r="J583" s="9">
        <f t="shared" si="43"/>
        <v>2</v>
      </c>
      <c r="K583" t="s">
        <v>6697</v>
      </c>
      <c r="L583" t="s">
        <v>6695</v>
      </c>
      <c r="O583" t="s">
        <v>6694</v>
      </c>
      <c r="U583" t="s">
        <v>6694</v>
      </c>
      <c r="W583" t="s">
        <v>6720</v>
      </c>
    </row>
    <row r="584" spans="1:23" ht="15.6" x14ac:dyDescent="0.4">
      <c r="A584" s="2" t="s">
        <v>3513</v>
      </c>
      <c r="B584" s="5" t="s">
        <v>7255</v>
      </c>
      <c r="C584" s="7" t="s">
        <v>12556</v>
      </c>
      <c r="D584" s="8">
        <f t="shared" si="40"/>
        <v>0</v>
      </c>
      <c r="E584" s="7" t="s">
        <v>12557</v>
      </c>
      <c r="F584" s="7">
        <f t="shared" si="41"/>
        <v>0</v>
      </c>
      <c r="G584" s="7" t="s">
        <v>12558</v>
      </c>
      <c r="H584" s="7">
        <f t="shared" si="42"/>
        <v>0</v>
      </c>
      <c r="I584" s="7" t="str" cm="1">
        <f t="array" ref="I584">IFERROR(_xlfn.IFS(M584="נח",1,M584="נע ונח",1,M584="שני שווא נח",2,M584="שני שוואים בסוף מילה",2,M584="שני שוואים ברצף",1),"0")</f>
        <v>0</v>
      </c>
      <c r="J584" s="9">
        <f t="shared" si="43"/>
        <v>2</v>
      </c>
      <c r="K584" t="s">
        <v>6697</v>
      </c>
      <c r="L584" t="s">
        <v>6695</v>
      </c>
      <c r="O584" t="s">
        <v>6694</v>
      </c>
      <c r="S584" t="s">
        <v>6694</v>
      </c>
      <c r="W584" t="s">
        <v>6720</v>
      </c>
    </row>
    <row r="585" spans="1:23" ht="15.6" x14ac:dyDescent="0.4">
      <c r="A585" s="2" t="s">
        <v>6612</v>
      </c>
      <c r="B585" s="5" t="s">
        <v>7256</v>
      </c>
      <c r="C585" s="7" t="s">
        <v>12556</v>
      </c>
      <c r="D585" s="8">
        <f t="shared" si="40"/>
        <v>0</v>
      </c>
      <c r="E585" s="7" t="s">
        <v>12557</v>
      </c>
      <c r="F585" s="7">
        <f t="shared" si="41"/>
        <v>1</v>
      </c>
      <c r="G585" s="7" t="s">
        <v>12558</v>
      </c>
      <c r="H585" s="7">
        <f t="shared" si="42"/>
        <v>0</v>
      </c>
      <c r="I585" s="7" cm="1">
        <f t="array" ref="I585">IFERROR(_xlfn.IFS(M585="נח",1,M585="נע ונח",1,M585="שני שווא נח",2,M585="שני שוואים בסוף מילה",2,M585="שני שוואים ברצף",1),"0")</f>
        <v>1</v>
      </c>
      <c r="J585" s="9">
        <f t="shared" si="43"/>
        <v>3</v>
      </c>
      <c r="K585" t="s">
        <v>6697</v>
      </c>
      <c r="L585" t="s">
        <v>6694</v>
      </c>
      <c r="M585" t="s">
        <v>6705</v>
      </c>
      <c r="N585" t="s">
        <v>6706</v>
      </c>
      <c r="O585" t="s">
        <v>6694</v>
      </c>
      <c r="S585" t="s">
        <v>6694</v>
      </c>
      <c r="W585" t="s">
        <v>6720</v>
      </c>
    </row>
    <row r="586" spans="1:23" ht="15.6" x14ac:dyDescent="0.4">
      <c r="A586" s="2" t="s">
        <v>6668</v>
      </c>
      <c r="B586" s="5" t="s">
        <v>7257</v>
      </c>
      <c r="C586" s="7" t="s">
        <v>12556</v>
      </c>
      <c r="D586" s="8">
        <f t="shared" si="40"/>
        <v>0</v>
      </c>
      <c r="E586" s="7" t="s">
        <v>12557</v>
      </c>
      <c r="F586" s="7">
        <f t="shared" si="41"/>
        <v>0</v>
      </c>
      <c r="G586" s="7" t="s">
        <v>12558</v>
      </c>
      <c r="H586" s="7">
        <f t="shared" si="42"/>
        <v>0</v>
      </c>
      <c r="I586" s="7" t="str" cm="1">
        <f t="array" ref="I586">IFERROR(_xlfn.IFS(M586="נח",1,M586="נע ונח",1,M586="שני שווא נח",2,M586="שני שוואים בסוף מילה",2,M586="שני שוואים ברצף",1),"0")</f>
        <v>0</v>
      </c>
      <c r="J586" s="9">
        <f t="shared" si="43"/>
        <v>2</v>
      </c>
      <c r="K586" t="s">
        <v>6698</v>
      </c>
      <c r="L586" t="s">
        <v>6695</v>
      </c>
      <c r="O586" t="s">
        <v>6694</v>
      </c>
      <c r="R586" t="s">
        <v>6694</v>
      </c>
      <c r="W586" t="s">
        <v>6720</v>
      </c>
    </row>
    <row r="587" spans="1:23" ht="15.6" x14ac:dyDescent="0.4">
      <c r="A587" s="2" t="s">
        <v>4506</v>
      </c>
      <c r="B587" s="5" t="s">
        <v>7258</v>
      </c>
      <c r="C587" s="7" t="s">
        <v>12556</v>
      </c>
      <c r="D587" s="8">
        <f t="shared" si="40"/>
        <v>0</v>
      </c>
      <c r="E587" s="7" t="s">
        <v>12557</v>
      </c>
      <c r="F587" s="7">
        <f t="shared" si="41"/>
        <v>1</v>
      </c>
      <c r="G587" s="7" t="s">
        <v>12558</v>
      </c>
      <c r="H587" s="7">
        <f t="shared" si="42"/>
        <v>0</v>
      </c>
      <c r="I587" s="7" t="str" cm="1">
        <f t="array" ref="I587">IFERROR(_xlfn.IFS(M587="נח",1,M587="נע ונח",1,M587="שני שווא נח",2,M587="שני שוואים בסוף מילה",2,M587="שני שוואים ברצף",1),"0")</f>
        <v>0</v>
      </c>
      <c r="J587" s="9">
        <f t="shared" si="43"/>
        <v>1</v>
      </c>
      <c r="K587" t="s">
        <v>6697</v>
      </c>
      <c r="L587" t="s">
        <v>6695</v>
      </c>
      <c r="N587" t="s">
        <v>6706</v>
      </c>
      <c r="O587" t="s">
        <v>6694</v>
      </c>
      <c r="W587" t="s">
        <v>6720</v>
      </c>
    </row>
    <row r="588" spans="1:23" ht="15.6" x14ac:dyDescent="0.4">
      <c r="A588" s="2" t="s">
        <v>5905</v>
      </c>
      <c r="B588" s="5" t="s">
        <v>7259</v>
      </c>
      <c r="C588" s="7" t="s">
        <v>12556</v>
      </c>
      <c r="D588" s="8">
        <f t="shared" si="40"/>
        <v>0</v>
      </c>
      <c r="E588" s="7" t="s">
        <v>12557</v>
      </c>
      <c r="F588" s="7">
        <f t="shared" si="41"/>
        <v>0</v>
      </c>
      <c r="G588" s="7" t="s">
        <v>12558</v>
      </c>
      <c r="H588" s="7">
        <f t="shared" si="42"/>
        <v>0</v>
      </c>
      <c r="I588" s="7" t="str" cm="1">
        <f t="array" ref="I588">IFERROR(_xlfn.IFS(M588="נח",1,M588="נע ונח",1,M588="שני שווא נח",2,M588="שני שוואים בסוף מילה",2,M588="שני שוואים ברצף",1),"0")</f>
        <v>0</v>
      </c>
      <c r="J588" s="9">
        <f t="shared" si="43"/>
        <v>2</v>
      </c>
      <c r="K588" t="s">
        <v>6697</v>
      </c>
      <c r="L588" t="s">
        <v>6695</v>
      </c>
      <c r="O588" t="s">
        <v>6694</v>
      </c>
      <c r="W588" t="s">
        <v>6720</v>
      </c>
    </row>
    <row r="589" spans="1:23" ht="15.6" x14ac:dyDescent="0.4">
      <c r="A589" s="2" t="s">
        <v>302</v>
      </c>
      <c r="B589" s="5" t="s">
        <v>7260</v>
      </c>
      <c r="C589" s="7" t="s">
        <v>12556</v>
      </c>
      <c r="D589" s="8">
        <f t="shared" si="40"/>
        <v>0</v>
      </c>
      <c r="E589" s="7" t="s">
        <v>12557</v>
      </c>
      <c r="F589" s="7">
        <f t="shared" si="41"/>
        <v>1</v>
      </c>
      <c r="G589" s="7" t="s">
        <v>12558</v>
      </c>
      <c r="H589" s="7">
        <f t="shared" si="42"/>
        <v>0</v>
      </c>
      <c r="I589" s="7" cm="1">
        <f t="array" ref="I589">IFERROR(_xlfn.IFS(M589="נח",1,M589="נע ונח",1,M589="שני שווא נח",2,M589="שני שוואים בסוף מילה",2,M589="שני שוואים ברצף",1),"0")</f>
        <v>1</v>
      </c>
      <c r="J589" s="9">
        <f t="shared" si="43"/>
        <v>3</v>
      </c>
      <c r="K589" t="s">
        <v>6697</v>
      </c>
      <c r="L589" t="s">
        <v>6694</v>
      </c>
      <c r="M589" t="s">
        <v>6705</v>
      </c>
      <c r="N589" t="s">
        <v>6706</v>
      </c>
      <c r="O589" t="s">
        <v>6694</v>
      </c>
      <c r="S589" t="s">
        <v>6694</v>
      </c>
      <c r="W589" t="s">
        <v>6720</v>
      </c>
    </row>
    <row r="590" spans="1:23" ht="15.6" x14ac:dyDescent="0.4">
      <c r="A590" s="2" t="s">
        <v>5831</v>
      </c>
      <c r="B590" s="5" t="s">
        <v>7261</v>
      </c>
      <c r="C590" s="7" t="s">
        <v>12556</v>
      </c>
      <c r="D590" s="8">
        <f t="shared" si="40"/>
        <v>0</v>
      </c>
      <c r="E590" s="7" t="s">
        <v>12557</v>
      </c>
      <c r="F590" s="7">
        <f t="shared" si="41"/>
        <v>1</v>
      </c>
      <c r="G590" s="7" t="s">
        <v>12558</v>
      </c>
      <c r="H590" s="7">
        <f t="shared" si="42"/>
        <v>1</v>
      </c>
      <c r="I590" s="7" t="str" cm="1">
        <f t="array" ref="I590">IFERROR(_xlfn.IFS(M590="נח",1,M590="נע ונח",1,M590="שני שווא נח",2,M590="שני שוואים בסוף מילה",2,M590="שני שוואים ברצף",1),"0")</f>
        <v>0</v>
      </c>
      <c r="J590" s="9">
        <f t="shared" si="43"/>
        <v>2</v>
      </c>
      <c r="K590" t="s">
        <v>6698</v>
      </c>
      <c r="L590" t="s">
        <v>6695</v>
      </c>
      <c r="O590" t="s">
        <v>6694</v>
      </c>
      <c r="U590" t="s">
        <v>6694</v>
      </c>
      <c r="W590" t="s">
        <v>6720</v>
      </c>
    </row>
    <row r="591" spans="1:23" ht="15.6" x14ac:dyDescent="0.4">
      <c r="A591" s="2" t="s">
        <v>16</v>
      </c>
      <c r="B591" s="5" t="s">
        <v>7262</v>
      </c>
      <c r="C591" s="7" t="s">
        <v>12556</v>
      </c>
      <c r="D591" s="8">
        <f t="shared" si="40"/>
        <v>0</v>
      </c>
      <c r="E591" s="7" t="s">
        <v>12557</v>
      </c>
      <c r="F591" s="7">
        <f t="shared" si="41"/>
        <v>1</v>
      </c>
      <c r="G591" s="7" t="s">
        <v>12558</v>
      </c>
      <c r="H591" s="7">
        <f t="shared" si="42"/>
        <v>1</v>
      </c>
      <c r="I591" s="7" cm="1">
        <f t="array" ref="I591">IFERROR(_xlfn.IFS(M591="נח",1,M591="נע ונח",1,M591="שני שווא נח",2,M591="שני שוואים בסוף מילה",2,M591="שני שוואים ברצף",1),"0")</f>
        <v>1</v>
      </c>
      <c r="J591" s="9">
        <f t="shared" si="43"/>
        <v>2</v>
      </c>
      <c r="K591" t="s">
        <v>6697</v>
      </c>
      <c r="L591" t="s">
        <v>6694</v>
      </c>
      <c r="M591" t="s">
        <v>6705</v>
      </c>
      <c r="N591" t="s">
        <v>6706</v>
      </c>
      <c r="O591" t="s">
        <v>6694</v>
      </c>
      <c r="U591" t="s">
        <v>6694</v>
      </c>
      <c r="W591" t="s">
        <v>6720</v>
      </c>
    </row>
    <row r="592" spans="1:23" ht="15.6" x14ac:dyDescent="0.4">
      <c r="A592" s="2" t="s">
        <v>767</v>
      </c>
      <c r="B592" s="5" t="s">
        <v>7263</v>
      </c>
      <c r="C592" s="7" t="s">
        <v>12556</v>
      </c>
      <c r="D592" s="8">
        <f t="shared" si="40"/>
        <v>0</v>
      </c>
      <c r="E592" s="7" t="s">
        <v>12557</v>
      </c>
      <c r="F592" s="7">
        <f t="shared" si="41"/>
        <v>0</v>
      </c>
      <c r="G592" s="7" t="s">
        <v>12558</v>
      </c>
      <c r="H592" s="7">
        <f t="shared" si="42"/>
        <v>0</v>
      </c>
      <c r="I592" s="7" t="str" cm="1">
        <f t="array" ref="I592">IFERROR(_xlfn.IFS(M592="נח",1,M592="נע ונח",1,M592="שני שווא נח",2,M592="שני שוואים בסוף מילה",2,M592="שני שוואים ברצף",1),"0")</f>
        <v>0</v>
      </c>
      <c r="J592" s="9">
        <f t="shared" si="43"/>
        <v>2</v>
      </c>
      <c r="K592" t="s">
        <v>6698</v>
      </c>
      <c r="L592" t="s">
        <v>6695</v>
      </c>
      <c r="O592" t="s">
        <v>6694</v>
      </c>
      <c r="P592" t="s">
        <v>6694</v>
      </c>
      <c r="W592" t="s">
        <v>6720</v>
      </c>
    </row>
    <row r="593" spans="1:23" ht="15.6" x14ac:dyDescent="0.4">
      <c r="A593" s="2" t="s">
        <v>2588</v>
      </c>
      <c r="B593" s="5" t="s">
        <v>7264</v>
      </c>
      <c r="C593" s="7" t="s">
        <v>12556</v>
      </c>
      <c r="D593" s="8">
        <f t="shared" si="40"/>
        <v>0</v>
      </c>
      <c r="E593" s="7" t="s">
        <v>12557</v>
      </c>
      <c r="F593" s="7">
        <f t="shared" si="41"/>
        <v>1</v>
      </c>
      <c r="G593" s="7" t="s">
        <v>12558</v>
      </c>
      <c r="H593" s="7">
        <f t="shared" si="42"/>
        <v>0</v>
      </c>
      <c r="I593" s="7" cm="1">
        <f t="array" ref="I593">IFERROR(_xlfn.IFS(M593="נח",1,M593="נע ונח",1,M593="שני שווא נח",2,M593="שני שוואים בסוף מילה",2,M593="שני שוואים ברצף",1),"0")</f>
        <v>1</v>
      </c>
      <c r="J593" s="9">
        <f t="shared" si="43"/>
        <v>3</v>
      </c>
      <c r="K593" t="s">
        <v>6697</v>
      </c>
      <c r="L593" t="s">
        <v>6694</v>
      </c>
      <c r="M593" t="s">
        <v>6705</v>
      </c>
      <c r="O593" t="s">
        <v>6694</v>
      </c>
      <c r="P593" t="s">
        <v>6694</v>
      </c>
      <c r="S593" t="s">
        <v>6694</v>
      </c>
      <c r="W593" t="s">
        <v>6720</v>
      </c>
    </row>
    <row r="594" spans="1:23" ht="15.6" x14ac:dyDescent="0.4">
      <c r="A594" s="2" t="s">
        <v>5618</v>
      </c>
      <c r="B594" s="5" t="s">
        <v>7264</v>
      </c>
      <c r="C594" s="7" t="s">
        <v>12556</v>
      </c>
      <c r="D594" s="8">
        <f t="shared" si="40"/>
        <v>0</v>
      </c>
      <c r="E594" s="7" t="s">
        <v>12557</v>
      </c>
      <c r="F594" s="7">
        <f t="shared" si="41"/>
        <v>1</v>
      </c>
      <c r="G594" s="7" t="s">
        <v>12558</v>
      </c>
      <c r="H594" s="7">
        <f t="shared" si="42"/>
        <v>0</v>
      </c>
      <c r="I594" s="7" cm="1">
        <f t="array" ref="I594">IFERROR(_xlfn.IFS(M594="נח",1,M594="נע ונח",1,M594="שני שווא נח",2,M594="שני שוואים בסוף מילה",2,M594="שני שוואים ברצף",1),"0")</f>
        <v>1</v>
      </c>
      <c r="J594" s="9">
        <f t="shared" si="43"/>
        <v>3</v>
      </c>
      <c r="K594" t="s">
        <v>6697</v>
      </c>
      <c r="L594" t="s">
        <v>6694</v>
      </c>
      <c r="M594" t="s">
        <v>6705</v>
      </c>
      <c r="N594" t="s">
        <v>6706</v>
      </c>
      <c r="O594" t="s">
        <v>6694</v>
      </c>
      <c r="S594" t="s">
        <v>6694</v>
      </c>
      <c r="W594" t="s">
        <v>6720</v>
      </c>
    </row>
    <row r="595" spans="1:23" ht="15.6" x14ac:dyDescent="0.4">
      <c r="A595" s="2" t="s">
        <v>872</v>
      </c>
      <c r="B595" s="5" t="s">
        <v>7140</v>
      </c>
      <c r="C595" s="7" t="s">
        <v>12556</v>
      </c>
      <c r="D595" s="8">
        <f t="shared" si="40"/>
        <v>0</v>
      </c>
      <c r="E595" s="7" t="s">
        <v>12557</v>
      </c>
      <c r="F595" s="7">
        <f t="shared" si="41"/>
        <v>0</v>
      </c>
      <c r="G595" s="7" t="s">
        <v>12558</v>
      </c>
      <c r="H595" s="7">
        <f t="shared" si="42"/>
        <v>0</v>
      </c>
      <c r="I595" s="7" cm="1">
        <f t="array" ref="I595">IFERROR(_xlfn.IFS(M595="נח",1,M595="נע ונח",1,M595="שני שווא נח",2,M595="שני שוואים בסוף מילה",2,M595="שני שוואים ברצף",1),"0")</f>
        <v>1</v>
      </c>
      <c r="J595" s="9">
        <f t="shared" si="43"/>
        <v>1</v>
      </c>
      <c r="K595" t="s">
        <v>6698</v>
      </c>
      <c r="L595" t="s">
        <v>6694</v>
      </c>
      <c r="M595" t="s">
        <v>6705</v>
      </c>
      <c r="N595" t="s">
        <v>6706</v>
      </c>
      <c r="O595" t="s">
        <v>6694</v>
      </c>
      <c r="W595" t="s">
        <v>6720</v>
      </c>
    </row>
    <row r="596" spans="1:23" ht="15.6" x14ac:dyDescent="0.4">
      <c r="A596" s="2" t="s">
        <v>3946</v>
      </c>
      <c r="B596" s="5" t="s">
        <v>7265</v>
      </c>
      <c r="C596" s="7" t="s">
        <v>12556</v>
      </c>
      <c r="D596" s="8">
        <f t="shared" si="40"/>
        <v>0</v>
      </c>
      <c r="E596" s="7" t="s">
        <v>12557</v>
      </c>
      <c r="F596" s="7">
        <f t="shared" si="41"/>
        <v>0</v>
      </c>
      <c r="G596" s="7" t="s">
        <v>12558</v>
      </c>
      <c r="H596" s="7">
        <f t="shared" si="42"/>
        <v>0</v>
      </c>
      <c r="I596" s="7" t="str" cm="1">
        <f t="array" ref="I596">IFERROR(_xlfn.IFS(M596="נח",1,M596="נע ונח",1,M596="שני שווא נח",2,M596="שני שוואים בסוף מילה",2,M596="שני שוואים ברצף",1),"0")</f>
        <v>0</v>
      </c>
      <c r="J596" s="9">
        <f t="shared" si="43"/>
        <v>2</v>
      </c>
      <c r="K596" t="s">
        <v>6697</v>
      </c>
      <c r="L596" t="s">
        <v>6695</v>
      </c>
      <c r="O596" t="s">
        <v>6694</v>
      </c>
      <c r="P596" t="s">
        <v>6694</v>
      </c>
      <c r="W596" t="s">
        <v>6720</v>
      </c>
    </row>
    <row r="597" spans="1:23" ht="15.6" x14ac:dyDescent="0.4">
      <c r="A597" s="2" t="s">
        <v>1681</v>
      </c>
      <c r="B597" s="5" t="s">
        <v>7266</v>
      </c>
      <c r="C597" s="7" t="s">
        <v>12556</v>
      </c>
      <c r="D597" s="8">
        <f t="shared" si="40"/>
        <v>0</v>
      </c>
      <c r="E597" s="7" t="s">
        <v>12557</v>
      </c>
      <c r="F597" s="7">
        <f t="shared" si="41"/>
        <v>0</v>
      </c>
      <c r="G597" s="7" t="s">
        <v>12558</v>
      </c>
      <c r="H597" s="7">
        <f t="shared" si="42"/>
        <v>0</v>
      </c>
      <c r="I597" s="7" t="str" cm="1">
        <f t="array" ref="I597">IFERROR(_xlfn.IFS(M597="נח",1,M597="נע ונח",1,M597="שני שווא נח",2,M597="שני שוואים בסוף מילה",2,M597="שני שוואים ברצף",1),"0")</f>
        <v>0</v>
      </c>
      <c r="J597" s="9">
        <f t="shared" si="43"/>
        <v>1</v>
      </c>
      <c r="K597" t="s">
        <v>6698</v>
      </c>
      <c r="L597" t="s">
        <v>6695</v>
      </c>
      <c r="N597" t="s">
        <v>6706</v>
      </c>
      <c r="O597" t="s">
        <v>6694</v>
      </c>
      <c r="W597" t="s">
        <v>6720</v>
      </c>
    </row>
    <row r="598" spans="1:23" ht="15.6" x14ac:dyDescent="0.4">
      <c r="A598" s="2" t="s">
        <v>2767</v>
      </c>
      <c r="B598" s="5" t="s">
        <v>7267</v>
      </c>
      <c r="C598" s="7" t="s">
        <v>12556</v>
      </c>
      <c r="D598" s="8">
        <f t="shared" si="40"/>
        <v>0</v>
      </c>
      <c r="E598" s="7" t="s">
        <v>12557</v>
      </c>
      <c r="F598" s="7">
        <f t="shared" si="41"/>
        <v>0</v>
      </c>
      <c r="G598" s="7" t="s">
        <v>12558</v>
      </c>
      <c r="H598" s="7">
        <f t="shared" si="42"/>
        <v>0</v>
      </c>
      <c r="I598" s="7" t="str" cm="1">
        <f t="array" ref="I598">IFERROR(_xlfn.IFS(M598="נח",1,M598="נע ונח",1,M598="שני שווא נח",2,M598="שני שוואים בסוף מילה",2,M598="שני שוואים ברצף",1),"0")</f>
        <v>0</v>
      </c>
      <c r="J598" s="9">
        <f t="shared" si="43"/>
        <v>2</v>
      </c>
      <c r="K598" t="s">
        <v>6698</v>
      </c>
      <c r="L598" t="s">
        <v>6695</v>
      </c>
      <c r="O598" t="s">
        <v>6694</v>
      </c>
      <c r="S598" t="s">
        <v>6694</v>
      </c>
      <c r="W598" t="s">
        <v>6720</v>
      </c>
    </row>
    <row r="599" spans="1:23" ht="15.6" x14ac:dyDescent="0.4">
      <c r="A599" s="2" t="s">
        <v>3751</v>
      </c>
      <c r="B599" s="5" t="s">
        <v>7268</v>
      </c>
      <c r="C599" s="7" t="s">
        <v>12556</v>
      </c>
      <c r="D599" s="8">
        <f t="shared" si="40"/>
        <v>0</v>
      </c>
      <c r="E599" s="7" t="s">
        <v>12557</v>
      </c>
      <c r="F599" s="7">
        <f t="shared" si="41"/>
        <v>0</v>
      </c>
      <c r="G599" s="7" t="s">
        <v>12558</v>
      </c>
      <c r="H599" s="7">
        <f t="shared" si="42"/>
        <v>0</v>
      </c>
      <c r="I599" s="7" t="str" cm="1">
        <f t="array" ref="I599">IFERROR(_xlfn.IFS(M599="נח",1,M599="נע ונח",1,M599="שני שווא נח",2,M599="שני שוואים בסוף מילה",2,M599="שני שוואים ברצף",1),"0")</f>
        <v>0</v>
      </c>
      <c r="J599" s="9">
        <f t="shared" si="43"/>
        <v>3</v>
      </c>
      <c r="K599" t="s">
        <v>6697</v>
      </c>
      <c r="L599" t="s">
        <v>6695</v>
      </c>
      <c r="O599" t="s">
        <v>6694</v>
      </c>
      <c r="R599" t="s">
        <v>6694</v>
      </c>
      <c r="W599" t="s">
        <v>6720</v>
      </c>
    </row>
    <row r="600" spans="1:23" ht="15.6" x14ac:dyDescent="0.4">
      <c r="A600" s="2" t="s">
        <v>4966</v>
      </c>
      <c r="B600" s="5" t="s">
        <v>7269</v>
      </c>
      <c r="C600" s="7" t="s">
        <v>12556</v>
      </c>
      <c r="D600" s="8">
        <f t="shared" si="40"/>
        <v>0</v>
      </c>
      <c r="E600" s="7" t="s">
        <v>12557</v>
      </c>
      <c r="F600" s="7">
        <f t="shared" si="41"/>
        <v>0</v>
      </c>
      <c r="G600" s="7" t="s">
        <v>12558</v>
      </c>
      <c r="H600" s="7">
        <f t="shared" si="42"/>
        <v>0</v>
      </c>
      <c r="I600" s="7" t="str" cm="1">
        <f t="array" ref="I600">IFERROR(_xlfn.IFS(M600="נח",1,M600="נע ונח",1,M600="שני שווא נח",2,M600="שני שוואים בסוף מילה",2,M600="שני שוואים ברצף",1),"0")</f>
        <v>0</v>
      </c>
      <c r="J600" s="9">
        <f t="shared" si="43"/>
        <v>2</v>
      </c>
      <c r="K600" t="s">
        <v>6698</v>
      </c>
      <c r="L600" t="s">
        <v>6695</v>
      </c>
      <c r="N600" t="s">
        <v>6706</v>
      </c>
      <c r="O600" t="s">
        <v>6694</v>
      </c>
      <c r="W600" t="s">
        <v>6720</v>
      </c>
    </row>
    <row r="601" spans="1:23" ht="15.6" x14ac:dyDescent="0.4">
      <c r="A601" s="2" t="s">
        <v>1608</v>
      </c>
      <c r="B601" s="5" t="s">
        <v>7270</v>
      </c>
      <c r="C601" s="7" t="s">
        <v>12556</v>
      </c>
      <c r="D601" s="8">
        <f t="shared" si="40"/>
        <v>0</v>
      </c>
      <c r="E601" s="7" t="s">
        <v>12557</v>
      </c>
      <c r="F601" s="7">
        <f t="shared" si="41"/>
        <v>1</v>
      </c>
      <c r="G601" s="7" t="s">
        <v>12558</v>
      </c>
      <c r="H601" s="7">
        <f t="shared" si="42"/>
        <v>0</v>
      </c>
      <c r="I601" s="7" t="str" cm="1">
        <f t="array" ref="I601">IFERROR(_xlfn.IFS(M601="נח",1,M601="נע ונח",1,M601="שני שווא נח",2,M601="שני שוואים בסוף מילה",2,M601="שני שוואים ברצף",1),"0")</f>
        <v>0</v>
      </c>
      <c r="J601" s="9">
        <f t="shared" si="43"/>
        <v>3</v>
      </c>
      <c r="K601" t="s">
        <v>6698</v>
      </c>
      <c r="L601" t="s">
        <v>6695</v>
      </c>
      <c r="O601" t="s">
        <v>6694</v>
      </c>
      <c r="P601" t="s">
        <v>6694</v>
      </c>
      <c r="S601" t="s">
        <v>6694</v>
      </c>
      <c r="W601" t="s">
        <v>6720</v>
      </c>
    </row>
    <row r="602" spans="1:23" ht="15.6" x14ac:dyDescent="0.4">
      <c r="A602" s="2" t="s">
        <v>5675</v>
      </c>
      <c r="B602" s="5" t="s">
        <v>7271</v>
      </c>
      <c r="C602" s="7" t="s">
        <v>12556</v>
      </c>
      <c r="D602" s="8">
        <f t="shared" si="40"/>
        <v>0</v>
      </c>
      <c r="E602" s="7" t="s">
        <v>12557</v>
      </c>
      <c r="F602" s="7">
        <f t="shared" si="41"/>
        <v>1</v>
      </c>
      <c r="G602" s="7" t="s">
        <v>12558</v>
      </c>
      <c r="H602" s="7">
        <f t="shared" si="42"/>
        <v>0</v>
      </c>
      <c r="I602" s="7" cm="1">
        <f t="array" ref="I602">IFERROR(_xlfn.IFS(M602="נח",1,M602="נע ונח",1,M602="שני שווא נח",2,M602="שני שוואים בסוף מילה",2,M602="שני שוואים ברצף",1),"0")</f>
        <v>1</v>
      </c>
      <c r="J602" s="9">
        <f t="shared" si="43"/>
        <v>3</v>
      </c>
      <c r="K602" t="s">
        <v>6698</v>
      </c>
      <c r="L602" t="s">
        <v>6694</v>
      </c>
      <c r="M602" t="s">
        <v>6705</v>
      </c>
      <c r="O602" t="s">
        <v>6694</v>
      </c>
      <c r="P602" t="s">
        <v>6694</v>
      </c>
      <c r="W602" t="s">
        <v>6720</v>
      </c>
    </row>
    <row r="603" spans="1:23" ht="15.6" x14ac:dyDescent="0.4">
      <c r="A603" s="2" t="s">
        <v>4457</v>
      </c>
      <c r="B603" s="5" t="s">
        <v>7272</v>
      </c>
      <c r="C603" s="7" t="s">
        <v>12556</v>
      </c>
      <c r="D603" s="8">
        <f t="shared" si="40"/>
        <v>0</v>
      </c>
      <c r="E603" s="7" t="s">
        <v>12557</v>
      </c>
      <c r="F603" s="7">
        <f t="shared" si="41"/>
        <v>0</v>
      </c>
      <c r="G603" s="7" t="s">
        <v>12558</v>
      </c>
      <c r="H603" s="7">
        <f t="shared" si="42"/>
        <v>0</v>
      </c>
      <c r="I603" s="7" t="str" cm="1">
        <f t="array" ref="I603">IFERROR(_xlfn.IFS(M603="נח",1,M603="נע ונח",1,M603="שני שווא נח",2,M603="שני שוואים בסוף מילה",2,M603="שני שוואים ברצף",1),"0")</f>
        <v>0</v>
      </c>
      <c r="J603" s="9">
        <f t="shared" si="43"/>
        <v>2</v>
      </c>
      <c r="K603" t="s">
        <v>6698</v>
      </c>
      <c r="L603" t="s">
        <v>6695</v>
      </c>
      <c r="N603" t="s">
        <v>6706</v>
      </c>
      <c r="O603" t="s">
        <v>6694</v>
      </c>
      <c r="W603" t="s">
        <v>6720</v>
      </c>
    </row>
    <row r="604" spans="1:23" ht="15.6" x14ac:dyDescent="0.4">
      <c r="A604" s="2" t="s">
        <v>4414</v>
      </c>
      <c r="B604" s="5" t="s">
        <v>7245</v>
      </c>
      <c r="C604" s="7" t="s">
        <v>12556</v>
      </c>
      <c r="D604" s="8">
        <f t="shared" si="40"/>
        <v>0</v>
      </c>
      <c r="E604" s="7" t="s">
        <v>12557</v>
      </c>
      <c r="F604" s="7">
        <f t="shared" si="41"/>
        <v>0</v>
      </c>
      <c r="G604" s="7" t="s">
        <v>12558</v>
      </c>
      <c r="H604" s="7">
        <f t="shared" si="42"/>
        <v>0</v>
      </c>
      <c r="I604" s="7" t="str" cm="1">
        <f t="array" ref="I604">IFERROR(_xlfn.IFS(M604="נח",1,M604="נע ונח",1,M604="שני שווא נח",2,M604="שני שוואים בסוף מילה",2,M604="שני שוואים ברצף",1),"0")</f>
        <v>0</v>
      </c>
      <c r="J604" s="9">
        <f t="shared" si="43"/>
        <v>1</v>
      </c>
      <c r="K604" t="s">
        <v>6698</v>
      </c>
      <c r="L604" t="s">
        <v>6695</v>
      </c>
      <c r="N604" t="s">
        <v>6706</v>
      </c>
      <c r="O604" t="s">
        <v>6694</v>
      </c>
      <c r="W604" t="s">
        <v>6720</v>
      </c>
    </row>
    <row r="605" spans="1:23" ht="15.6" x14ac:dyDescent="0.4">
      <c r="A605" s="2" t="s">
        <v>3309</v>
      </c>
      <c r="B605" s="5" t="s">
        <v>7273</v>
      </c>
      <c r="C605" s="7" t="s">
        <v>12556</v>
      </c>
      <c r="D605" s="8">
        <f t="shared" si="40"/>
        <v>0</v>
      </c>
      <c r="E605" s="7" t="s">
        <v>12557</v>
      </c>
      <c r="F605" s="7">
        <f t="shared" si="41"/>
        <v>0</v>
      </c>
      <c r="G605" s="7" t="s">
        <v>12558</v>
      </c>
      <c r="H605" s="7">
        <f t="shared" si="42"/>
        <v>0</v>
      </c>
      <c r="I605" s="7" t="str" cm="1">
        <f t="array" ref="I605">IFERROR(_xlfn.IFS(M605="נח",1,M605="נע ונח",1,M605="שני שווא נח",2,M605="שני שוואים בסוף מילה",2,M605="שני שוואים ברצף",1),"0")</f>
        <v>0</v>
      </c>
      <c r="J605" s="9">
        <f t="shared" si="43"/>
        <v>3</v>
      </c>
      <c r="K605" t="s">
        <v>6698</v>
      </c>
      <c r="L605" t="s">
        <v>6695</v>
      </c>
      <c r="O605" t="s">
        <v>6694</v>
      </c>
      <c r="R605" t="s">
        <v>6694</v>
      </c>
      <c r="W605" t="s">
        <v>6720</v>
      </c>
    </row>
    <row r="606" spans="1:23" ht="15.6" x14ac:dyDescent="0.4">
      <c r="A606" s="2" t="s">
        <v>5875</v>
      </c>
      <c r="B606" s="5" t="s">
        <v>7274</v>
      </c>
      <c r="C606" s="7" t="s">
        <v>12556</v>
      </c>
      <c r="D606" s="8">
        <f t="shared" si="40"/>
        <v>1</v>
      </c>
      <c r="E606" s="7" t="s">
        <v>12557</v>
      </c>
      <c r="F606" s="7">
        <f t="shared" si="41"/>
        <v>0</v>
      </c>
      <c r="G606" s="7" t="s">
        <v>12558</v>
      </c>
      <c r="H606" s="7">
        <f t="shared" si="42"/>
        <v>0</v>
      </c>
      <c r="I606" s="7" t="str" cm="1">
        <f t="array" ref="I606">IFERROR(_xlfn.IFS(M606="נח",1,M606="נע ונח",1,M606="שני שווא נח",2,M606="שני שוואים בסוף מילה",2,M606="שני שוואים ברצף",1),"0")</f>
        <v>0</v>
      </c>
      <c r="J606" s="9">
        <f t="shared" si="43"/>
        <v>2</v>
      </c>
      <c r="K606" t="s">
        <v>6698</v>
      </c>
      <c r="L606" t="s">
        <v>6695</v>
      </c>
      <c r="N606" t="s">
        <v>6706</v>
      </c>
      <c r="O606" t="s">
        <v>6694</v>
      </c>
      <c r="W606" t="s">
        <v>6720</v>
      </c>
    </row>
    <row r="607" spans="1:23" ht="15.6" x14ac:dyDescent="0.4">
      <c r="A607" s="2" t="s">
        <v>4078</v>
      </c>
      <c r="B607" s="5" t="s">
        <v>7275</v>
      </c>
      <c r="C607" s="7" t="s">
        <v>12556</v>
      </c>
      <c r="D607" s="8">
        <f t="shared" si="40"/>
        <v>1</v>
      </c>
      <c r="E607" s="7" t="s">
        <v>12557</v>
      </c>
      <c r="F607" s="7">
        <f t="shared" si="41"/>
        <v>0</v>
      </c>
      <c r="G607" s="7" t="s">
        <v>12558</v>
      </c>
      <c r="H607" s="7">
        <f t="shared" si="42"/>
        <v>0</v>
      </c>
      <c r="I607" s="7" t="str" cm="1">
        <f t="array" ref="I607">IFERROR(_xlfn.IFS(M607="נח",1,M607="נע ונח",1,M607="שני שווא נח",2,M607="שני שוואים בסוף מילה",2,M607="שני שוואים ברצף",1),"0")</f>
        <v>0</v>
      </c>
      <c r="J607" s="9">
        <f t="shared" si="43"/>
        <v>2</v>
      </c>
      <c r="K607" t="s">
        <v>6698</v>
      </c>
      <c r="L607" t="s">
        <v>6695</v>
      </c>
      <c r="N607" t="s">
        <v>6706</v>
      </c>
      <c r="O607" t="s">
        <v>6694</v>
      </c>
      <c r="W607" t="s">
        <v>6720</v>
      </c>
    </row>
    <row r="608" spans="1:23" ht="15.6" x14ac:dyDescent="0.4">
      <c r="A608" s="2" t="s">
        <v>4385</v>
      </c>
      <c r="B608" s="5" t="s">
        <v>7272</v>
      </c>
      <c r="C608" s="7" t="s">
        <v>12556</v>
      </c>
      <c r="D608" s="8">
        <f t="shared" si="40"/>
        <v>0</v>
      </c>
      <c r="E608" s="7" t="s">
        <v>12557</v>
      </c>
      <c r="F608" s="7">
        <f t="shared" si="41"/>
        <v>0</v>
      </c>
      <c r="G608" s="7" t="s">
        <v>12558</v>
      </c>
      <c r="H608" s="7">
        <f t="shared" si="42"/>
        <v>0</v>
      </c>
      <c r="I608" s="7" t="str" cm="1">
        <f t="array" ref="I608">IFERROR(_xlfn.IFS(M608="נח",1,M608="נע ונח",1,M608="שני שווא נח",2,M608="שני שוואים בסוף מילה",2,M608="שני שוואים ברצף",1),"0")</f>
        <v>0</v>
      </c>
      <c r="J608" s="9">
        <f t="shared" si="43"/>
        <v>2</v>
      </c>
      <c r="K608" t="s">
        <v>6698</v>
      </c>
      <c r="L608" t="s">
        <v>6695</v>
      </c>
      <c r="R608" t="s">
        <v>6694</v>
      </c>
      <c r="V608" t="s">
        <v>6694</v>
      </c>
      <c r="W608" t="s">
        <v>6720</v>
      </c>
    </row>
    <row r="609" spans="1:23" ht="15.6" x14ac:dyDescent="0.4">
      <c r="A609" s="2" t="s">
        <v>2110</v>
      </c>
      <c r="B609" s="5" t="s">
        <v>7276</v>
      </c>
      <c r="C609" s="7" t="s">
        <v>12556</v>
      </c>
      <c r="D609" s="8">
        <f t="shared" si="40"/>
        <v>1</v>
      </c>
      <c r="E609" s="7" t="s">
        <v>12557</v>
      </c>
      <c r="F609" s="7">
        <f t="shared" si="41"/>
        <v>0</v>
      </c>
      <c r="G609" s="7" t="s">
        <v>12558</v>
      </c>
      <c r="H609" s="7">
        <f t="shared" si="42"/>
        <v>0</v>
      </c>
      <c r="I609" s="7" t="str" cm="1">
        <f t="array" ref="I609">IFERROR(_xlfn.IFS(M609="נח",1,M609="נע ונח",1,M609="שני שווא נח",2,M609="שני שוואים בסוף מילה",2,M609="שני שוואים ברצף",1),"0")</f>
        <v>0</v>
      </c>
      <c r="J609" s="9">
        <f t="shared" si="43"/>
        <v>2</v>
      </c>
      <c r="K609" t="s">
        <v>6698</v>
      </c>
      <c r="L609" t="s">
        <v>6695</v>
      </c>
      <c r="R609" t="s">
        <v>6694</v>
      </c>
      <c r="V609" t="s">
        <v>6694</v>
      </c>
      <c r="W609" t="s">
        <v>6720</v>
      </c>
    </row>
    <row r="610" spans="1:23" ht="15.6" x14ac:dyDescent="0.4">
      <c r="A610" s="2" t="s">
        <v>555</v>
      </c>
      <c r="B610" s="5" t="s">
        <v>7277</v>
      </c>
      <c r="C610" s="7" t="s">
        <v>12556</v>
      </c>
      <c r="D610" s="8">
        <f t="shared" si="40"/>
        <v>1</v>
      </c>
      <c r="E610" s="7" t="s">
        <v>12557</v>
      </c>
      <c r="F610" s="7">
        <f t="shared" si="41"/>
        <v>1</v>
      </c>
      <c r="G610" s="7" t="s">
        <v>12558</v>
      </c>
      <c r="H610" s="7">
        <f t="shared" si="42"/>
        <v>1</v>
      </c>
      <c r="I610" s="7" t="str" cm="1">
        <f t="array" ref="I610">IFERROR(_xlfn.IFS(M610="נח",1,M610="נע ונח",1,M610="שני שווא נח",2,M610="שני שוואים בסוף מילה",2,M610="שני שוואים ברצף",1),"0")</f>
        <v>0</v>
      </c>
      <c r="J610" s="9">
        <f t="shared" si="43"/>
        <v>2</v>
      </c>
      <c r="K610" t="s">
        <v>6697</v>
      </c>
      <c r="L610" t="s">
        <v>6695</v>
      </c>
      <c r="U610" t="s">
        <v>6694</v>
      </c>
      <c r="V610" t="s">
        <v>6694</v>
      </c>
      <c r="W610" t="s">
        <v>6720</v>
      </c>
    </row>
    <row r="611" spans="1:23" ht="15.6" x14ac:dyDescent="0.4">
      <c r="A611" s="2" t="s">
        <v>2490</v>
      </c>
      <c r="B611" s="5" t="s">
        <v>7278</v>
      </c>
      <c r="C611" s="7" t="s">
        <v>12556</v>
      </c>
      <c r="D611" s="8">
        <f t="shared" si="40"/>
        <v>1</v>
      </c>
      <c r="E611" s="7" t="s">
        <v>12557</v>
      </c>
      <c r="F611" s="7">
        <f t="shared" si="41"/>
        <v>1</v>
      </c>
      <c r="G611" s="7" t="s">
        <v>12558</v>
      </c>
      <c r="H611" s="7">
        <f t="shared" si="42"/>
        <v>0</v>
      </c>
      <c r="I611" s="7" t="str" cm="1">
        <f t="array" ref="I611">IFERROR(_xlfn.IFS(M611="נח",1,M611="נע ונח",1,M611="שני שווא נח",2,M611="שני שוואים בסוף מילה",2,M611="שני שוואים ברצף",1),"0")</f>
        <v>0</v>
      </c>
      <c r="J611" s="9">
        <f t="shared" si="43"/>
        <v>2</v>
      </c>
      <c r="K611" t="s">
        <v>6698</v>
      </c>
      <c r="L611" t="s">
        <v>6694</v>
      </c>
      <c r="M611" t="s">
        <v>6700</v>
      </c>
      <c r="S611" t="s">
        <v>6694</v>
      </c>
      <c r="W611" t="s">
        <v>6720</v>
      </c>
    </row>
    <row r="612" spans="1:23" ht="15.6" x14ac:dyDescent="0.4">
      <c r="A612" s="2" t="s">
        <v>4614</v>
      </c>
      <c r="B612" s="5" t="s">
        <v>7279</v>
      </c>
      <c r="C612" s="7" t="s">
        <v>12556</v>
      </c>
      <c r="D612" s="8">
        <f t="shared" si="40"/>
        <v>0</v>
      </c>
      <c r="E612" s="7" t="s">
        <v>12557</v>
      </c>
      <c r="F612" s="7">
        <f t="shared" si="41"/>
        <v>1</v>
      </c>
      <c r="G612" s="7" t="s">
        <v>12558</v>
      </c>
      <c r="H612" s="7">
        <f t="shared" si="42"/>
        <v>0</v>
      </c>
      <c r="I612" s="7" t="str" cm="1">
        <f t="array" ref="I612">IFERROR(_xlfn.IFS(M612="נח",1,M612="נע ונח",1,M612="שני שווא נח",2,M612="שני שוואים בסוף מילה",2,M612="שני שוואים ברצף",1),"0")</f>
        <v>0</v>
      </c>
      <c r="J612" s="9">
        <f t="shared" si="43"/>
        <v>2</v>
      </c>
      <c r="K612" t="s">
        <v>6698</v>
      </c>
      <c r="L612" t="s">
        <v>6694</v>
      </c>
      <c r="M612" t="s">
        <v>6700</v>
      </c>
      <c r="Q612" t="s">
        <v>6694</v>
      </c>
      <c r="W612" t="s">
        <v>6720</v>
      </c>
    </row>
    <row r="613" spans="1:23" ht="15.6" x14ac:dyDescent="0.4">
      <c r="A613" s="2" t="s">
        <v>2306</v>
      </c>
      <c r="B613" s="5" t="s">
        <v>7280</v>
      </c>
      <c r="C613" s="7" t="s">
        <v>12556</v>
      </c>
      <c r="D613" s="8">
        <f t="shared" si="40"/>
        <v>0</v>
      </c>
      <c r="E613" s="7" t="s">
        <v>12557</v>
      </c>
      <c r="F613" s="7">
        <f t="shared" si="41"/>
        <v>1</v>
      </c>
      <c r="G613" s="7" t="s">
        <v>12558</v>
      </c>
      <c r="H613" s="7">
        <f t="shared" si="42"/>
        <v>0</v>
      </c>
      <c r="I613" s="7" cm="1">
        <f t="array" ref="I613">IFERROR(_xlfn.IFS(M613="נח",1,M613="נע ונח",1,M613="שני שווא נח",2,M613="שני שוואים בסוף מילה",2,M613="שני שוואים ברצף",1),"0")</f>
        <v>1</v>
      </c>
      <c r="J613" s="9">
        <f t="shared" si="43"/>
        <v>4</v>
      </c>
      <c r="K613" t="s">
        <v>6697</v>
      </c>
      <c r="L613" t="s">
        <v>6694</v>
      </c>
      <c r="M613" t="s">
        <v>6701</v>
      </c>
      <c r="O613" t="s">
        <v>6694</v>
      </c>
      <c r="R613" t="s">
        <v>6694</v>
      </c>
      <c r="V613" t="s">
        <v>6694</v>
      </c>
      <c r="W613" t="s">
        <v>6720</v>
      </c>
    </row>
    <row r="614" spans="1:23" ht="15.6" x14ac:dyDescent="0.4">
      <c r="A614" s="2" t="s">
        <v>1095</v>
      </c>
      <c r="B614" s="5" t="s">
        <v>7253</v>
      </c>
      <c r="C614" s="7" t="s">
        <v>12556</v>
      </c>
      <c r="D614" s="8">
        <f t="shared" si="40"/>
        <v>0</v>
      </c>
      <c r="E614" s="7" t="s">
        <v>12557</v>
      </c>
      <c r="F614" s="7">
        <f t="shared" si="41"/>
        <v>1</v>
      </c>
      <c r="G614" s="7" t="s">
        <v>12558</v>
      </c>
      <c r="H614" s="7">
        <f t="shared" si="42"/>
        <v>0</v>
      </c>
      <c r="I614" s="7" t="str" cm="1">
        <f t="array" ref="I614">IFERROR(_xlfn.IFS(M614="נח",1,M614="נע ונח",1,M614="שני שווא נח",2,M614="שני שוואים בסוף מילה",2,M614="שני שוואים ברצף",1),"0")</f>
        <v>0</v>
      </c>
      <c r="J614" s="9">
        <f t="shared" si="43"/>
        <v>3</v>
      </c>
      <c r="K614" t="s">
        <v>6698</v>
      </c>
      <c r="L614" t="s">
        <v>6694</v>
      </c>
      <c r="M614" t="s">
        <v>6700</v>
      </c>
      <c r="R614" t="s">
        <v>6694</v>
      </c>
      <c r="W614" t="s">
        <v>6720</v>
      </c>
    </row>
    <row r="615" spans="1:23" ht="15.6" x14ac:dyDescent="0.4">
      <c r="A615" s="2" t="s">
        <v>5048</v>
      </c>
      <c r="B615" s="5" t="s">
        <v>7281</v>
      </c>
      <c r="C615" s="7" t="s">
        <v>12556</v>
      </c>
      <c r="D615" s="8">
        <f t="shared" si="40"/>
        <v>0</v>
      </c>
      <c r="E615" s="7" t="s">
        <v>12557</v>
      </c>
      <c r="F615" s="7">
        <f t="shared" si="41"/>
        <v>1</v>
      </c>
      <c r="G615" s="7" t="s">
        <v>12558</v>
      </c>
      <c r="H615" s="7">
        <f t="shared" si="42"/>
        <v>0</v>
      </c>
      <c r="I615" s="7" t="str" cm="1">
        <f t="array" ref="I615">IFERROR(_xlfn.IFS(M615="נח",1,M615="נע ונח",1,M615="שני שווא נח",2,M615="שני שוואים בסוף מילה",2,M615="שני שוואים ברצף",1),"0")</f>
        <v>0</v>
      </c>
      <c r="J615" s="9">
        <f t="shared" si="43"/>
        <v>4</v>
      </c>
      <c r="K615" t="s">
        <v>6698</v>
      </c>
      <c r="L615" t="s">
        <v>6694</v>
      </c>
      <c r="M615" t="s">
        <v>6700</v>
      </c>
      <c r="P615" t="s">
        <v>6694</v>
      </c>
      <c r="S615" t="s">
        <v>6694</v>
      </c>
      <c r="W615" t="s">
        <v>6720</v>
      </c>
    </row>
    <row r="616" spans="1:23" ht="15.6" x14ac:dyDescent="0.4">
      <c r="A616" s="2" t="s">
        <v>2361</v>
      </c>
      <c r="B616" s="5" t="s">
        <v>7282</v>
      </c>
      <c r="C616" s="7" t="s">
        <v>12556</v>
      </c>
      <c r="D616" s="8">
        <f t="shared" si="40"/>
        <v>0</v>
      </c>
      <c r="E616" s="7" t="s">
        <v>12557</v>
      </c>
      <c r="F616" s="7">
        <f t="shared" si="41"/>
        <v>1</v>
      </c>
      <c r="G616" s="7" t="s">
        <v>12558</v>
      </c>
      <c r="H616" s="7">
        <f t="shared" si="42"/>
        <v>0</v>
      </c>
      <c r="I616" s="7" cm="1">
        <f t="array" ref="I616">IFERROR(_xlfn.IFS(M616="נח",1,M616="נע ונח",1,M616="שני שווא נח",2,M616="שני שוואים בסוף מילה",2,M616="שני שוואים ברצף",1),"0")</f>
        <v>1</v>
      </c>
      <c r="J616" s="9">
        <f t="shared" si="43"/>
        <v>4</v>
      </c>
      <c r="K616" t="s">
        <v>6697</v>
      </c>
      <c r="L616" t="s">
        <v>6694</v>
      </c>
      <c r="M616" t="s">
        <v>6701</v>
      </c>
      <c r="O616" t="s">
        <v>6694</v>
      </c>
      <c r="P616" t="s">
        <v>6694</v>
      </c>
      <c r="S616" t="s">
        <v>6694</v>
      </c>
      <c r="W616" t="s">
        <v>6720</v>
      </c>
    </row>
    <row r="617" spans="1:23" ht="15.6" x14ac:dyDescent="0.4">
      <c r="A617" s="2" t="s">
        <v>2640</v>
      </c>
      <c r="B617" s="5" t="s">
        <v>7283</v>
      </c>
      <c r="C617" s="7" t="s">
        <v>12556</v>
      </c>
      <c r="D617" s="8">
        <f t="shared" si="40"/>
        <v>0</v>
      </c>
      <c r="E617" s="7" t="s">
        <v>12557</v>
      </c>
      <c r="F617" s="7">
        <f t="shared" si="41"/>
        <v>1</v>
      </c>
      <c r="G617" s="7" t="s">
        <v>12558</v>
      </c>
      <c r="H617" s="7">
        <f t="shared" si="42"/>
        <v>0</v>
      </c>
      <c r="I617" s="7" t="str" cm="1">
        <f t="array" ref="I617">IFERROR(_xlfn.IFS(M617="נח",1,M617="נע ונח",1,M617="שני שווא נח",2,M617="שני שוואים בסוף מילה",2,M617="שני שוואים ברצף",1),"0")</f>
        <v>0</v>
      </c>
      <c r="J617" s="9">
        <f t="shared" si="43"/>
        <v>2</v>
      </c>
      <c r="K617" t="s">
        <v>6698</v>
      </c>
      <c r="L617" t="s">
        <v>6694</v>
      </c>
      <c r="M617" t="s">
        <v>6700</v>
      </c>
      <c r="P617" t="s">
        <v>6694</v>
      </c>
      <c r="W617" t="s">
        <v>6720</v>
      </c>
    </row>
    <row r="618" spans="1:23" ht="15.6" x14ac:dyDescent="0.4">
      <c r="A618" s="2" t="s">
        <v>3180</v>
      </c>
      <c r="B618" s="5" t="s">
        <v>7284</v>
      </c>
      <c r="C618" s="7" t="s">
        <v>12556</v>
      </c>
      <c r="D618" s="8">
        <f t="shared" si="40"/>
        <v>0</v>
      </c>
      <c r="E618" s="7" t="s">
        <v>12557</v>
      </c>
      <c r="F618" s="7">
        <f t="shared" si="41"/>
        <v>2</v>
      </c>
      <c r="G618" s="7" t="s">
        <v>12558</v>
      </c>
      <c r="H618" s="7">
        <f t="shared" si="42"/>
        <v>0</v>
      </c>
      <c r="I618" s="7" cm="1">
        <f t="array" ref="I618">IFERROR(_xlfn.IFS(M618="נח",1,M618="נע ונח",1,M618="שני שווא נח",2,M618="שני שוואים בסוף מילה",2,M618="שני שוואים ברצף",1),"0")</f>
        <v>1</v>
      </c>
      <c r="J618" s="9">
        <f t="shared" si="43"/>
        <v>3</v>
      </c>
      <c r="K618" t="s">
        <v>6697</v>
      </c>
      <c r="L618" t="s">
        <v>6694</v>
      </c>
      <c r="M618" t="s">
        <v>6701</v>
      </c>
      <c r="O618" t="s">
        <v>6694</v>
      </c>
      <c r="P618" t="s">
        <v>6694</v>
      </c>
      <c r="W618" t="s">
        <v>6720</v>
      </c>
    </row>
    <row r="619" spans="1:23" ht="15.6" x14ac:dyDescent="0.4">
      <c r="A619" s="2" t="s">
        <v>2066</v>
      </c>
      <c r="B619" s="5" t="s">
        <v>7114</v>
      </c>
      <c r="C619" s="7" t="s">
        <v>12556</v>
      </c>
      <c r="D619" s="8">
        <f t="shared" si="40"/>
        <v>0</v>
      </c>
      <c r="E619" s="7" t="s">
        <v>12557</v>
      </c>
      <c r="F619" s="7">
        <f t="shared" si="41"/>
        <v>2</v>
      </c>
      <c r="G619" s="7" t="s">
        <v>12558</v>
      </c>
      <c r="H619" s="7">
        <f t="shared" si="42"/>
        <v>0</v>
      </c>
      <c r="I619" s="7" t="str" cm="1">
        <f t="array" ref="I619">IFERROR(_xlfn.IFS(M619="נח",1,M619="נע ונח",1,M619="שני שווא נח",2,M619="שני שוואים בסוף מילה",2,M619="שני שוואים ברצף",1),"0")</f>
        <v>0</v>
      </c>
      <c r="J619" s="9">
        <f t="shared" si="43"/>
        <v>3</v>
      </c>
      <c r="K619" t="s">
        <v>6697</v>
      </c>
      <c r="L619" t="s">
        <v>6694</v>
      </c>
      <c r="M619" t="s">
        <v>6700</v>
      </c>
      <c r="P619" t="s">
        <v>6694</v>
      </c>
      <c r="V619" t="s">
        <v>6694</v>
      </c>
      <c r="W619" t="s">
        <v>6720</v>
      </c>
    </row>
    <row r="620" spans="1:23" ht="15.6" x14ac:dyDescent="0.4">
      <c r="A620" s="2" t="s">
        <v>6533</v>
      </c>
      <c r="B620" s="5" t="s">
        <v>7285</v>
      </c>
      <c r="C620" s="7" t="s">
        <v>12556</v>
      </c>
      <c r="D620" s="8">
        <f t="shared" si="40"/>
        <v>0</v>
      </c>
      <c r="E620" s="7" t="s">
        <v>12557</v>
      </c>
      <c r="F620" s="7">
        <f t="shared" si="41"/>
        <v>2</v>
      </c>
      <c r="G620" s="7" t="s">
        <v>12558</v>
      </c>
      <c r="H620" s="7">
        <f t="shared" si="42"/>
        <v>1</v>
      </c>
      <c r="I620" s="7" cm="1">
        <f t="array" ref="I620">IFERROR(_xlfn.IFS(M620="נח",1,M620="נע ונח",1,M620="שני שווא נח",2,M620="שני שוואים בסוף מילה",2,M620="שני שוואים ברצף",1),"0")</f>
        <v>1</v>
      </c>
      <c r="J620" s="9">
        <f t="shared" si="43"/>
        <v>4</v>
      </c>
      <c r="K620" t="s">
        <v>6697</v>
      </c>
      <c r="L620" t="s">
        <v>6694</v>
      </c>
      <c r="M620" t="s">
        <v>6701</v>
      </c>
      <c r="P620" t="s">
        <v>6694</v>
      </c>
      <c r="Q620" t="s">
        <v>6694</v>
      </c>
      <c r="U620" t="s">
        <v>6694</v>
      </c>
      <c r="W620" t="s">
        <v>6720</v>
      </c>
    </row>
    <row r="621" spans="1:23" ht="15.6" x14ac:dyDescent="0.4">
      <c r="A621" s="2" t="s">
        <v>6157</v>
      </c>
      <c r="B621" s="5" t="s">
        <v>7286</v>
      </c>
      <c r="C621" s="7" t="s">
        <v>12556</v>
      </c>
      <c r="D621" s="8">
        <f t="shared" si="40"/>
        <v>0</v>
      </c>
      <c r="E621" s="7" t="s">
        <v>12557</v>
      </c>
      <c r="F621" s="7">
        <f t="shared" si="41"/>
        <v>1</v>
      </c>
      <c r="G621" s="7" t="s">
        <v>12558</v>
      </c>
      <c r="H621" s="7">
        <f t="shared" si="42"/>
        <v>0</v>
      </c>
      <c r="I621" s="7" cm="1">
        <f t="array" ref="I621">IFERROR(_xlfn.IFS(M621="נח",1,M621="נע ונח",1,M621="שני שווא נח",2,M621="שני שוואים בסוף מילה",2,M621="שני שוואים ברצף",1),"0")</f>
        <v>1</v>
      </c>
      <c r="J621" s="9">
        <f t="shared" si="43"/>
        <v>3</v>
      </c>
      <c r="K621" t="s">
        <v>6698</v>
      </c>
      <c r="L621" t="s">
        <v>6694</v>
      </c>
      <c r="M621" t="s">
        <v>6701</v>
      </c>
      <c r="N621" t="s">
        <v>6706</v>
      </c>
      <c r="O621" t="s">
        <v>6694</v>
      </c>
      <c r="P621" t="s">
        <v>6694</v>
      </c>
      <c r="W621" t="s">
        <v>6720</v>
      </c>
    </row>
    <row r="622" spans="1:23" ht="15.6" x14ac:dyDescent="0.4">
      <c r="A622" s="2" t="s">
        <v>355</v>
      </c>
      <c r="B622" s="5" t="s">
        <v>7287</v>
      </c>
      <c r="C622" s="7" t="s">
        <v>12556</v>
      </c>
      <c r="D622" s="8">
        <f t="shared" si="40"/>
        <v>0</v>
      </c>
      <c r="E622" s="7" t="s">
        <v>12557</v>
      </c>
      <c r="F622" s="7">
        <f t="shared" si="41"/>
        <v>1</v>
      </c>
      <c r="G622" s="7" t="s">
        <v>12558</v>
      </c>
      <c r="H622" s="7">
        <f t="shared" si="42"/>
        <v>0</v>
      </c>
      <c r="I622" s="7" cm="1">
        <f t="array" ref="I622">IFERROR(_xlfn.IFS(M622="נח",1,M622="נע ונח",1,M622="שני שווא נח",2,M622="שני שוואים בסוף מילה",2,M622="שני שוואים ברצף",1),"0")</f>
        <v>1</v>
      </c>
      <c r="J622" s="9">
        <f t="shared" si="43"/>
        <v>3</v>
      </c>
      <c r="K622" t="s">
        <v>6698</v>
      </c>
      <c r="L622" t="s">
        <v>6694</v>
      </c>
      <c r="M622" t="s">
        <v>6701</v>
      </c>
      <c r="P622" t="s">
        <v>6694</v>
      </c>
      <c r="V622" t="s">
        <v>6694</v>
      </c>
      <c r="W622" t="s">
        <v>6720</v>
      </c>
    </row>
    <row r="623" spans="1:23" ht="15.6" x14ac:dyDescent="0.4">
      <c r="A623" s="2" t="s">
        <v>5367</v>
      </c>
      <c r="B623" s="5" t="s">
        <v>7288</v>
      </c>
      <c r="C623" s="7" t="s">
        <v>12556</v>
      </c>
      <c r="D623" s="8">
        <f t="shared" si="40"/>
        <v>1</v>
      </c>
      <c r="E623" s="7" t="s">
        <v>12557</v>
      </c>
      <c r="F623" s="7">
        <f t="shared" si="41"/>
        <v>1</v>
      </c>
      <c r="G623" s="7" t="s">
        <v>12558</v>
      </c>
      <c r="H623" s="7">
        <f t="shared" si="42"/>
        <v>0</v>
      </c>
      <c r="I623" s="7" cm="1">
        <f t="array" ref="I623">IFERROR(_xlfn.IFS(M623="נח",1,M623="נע ונח",1,M623="שני שווא נח",2,M623="שני שוואים בסוף מילה",2,M623="שני שוואים ברצף",1),"0")</f>
        <v>1</v>
      </c>
      <c r="J623" s="9">
        <f t="shared" si="43"/>
        <v>4</v>
      </c>
      <c r="K623" t="s">
        <v>6698</v>
      </c>
      <c r="L623" t="s">
        <v>6694</v>
      </c>
      <c r="M623" t="s">
        <v>6701</v>
      </c>
      <c r="P623" t="s">
        <v>6694</v>
      </c>
      <c r="T623" t="s">
        <v>6694</v>
      </c>
      <c r="V623" t="s">
        <v>6694</v>
      </c>
      <c r="W623" t="s">
        <v>6720</v>
      </c>
    </row>
    <row r="624" spans="1:23" ht="15.6" x14ac:dyDescent="0.4">
      <c r="A624" s="2" t="s">
        <v>1727</v>
      </c>
      <c r="B624" s="5" t="s">
        <v>7289</v>
      </c>
      <c r="C624" s="7" t="s">
        <v>12556</v>
      </c>
      <c r="D624" s="8">
        <f t="shared" si="40"/>
        <v>0</v>
      </c>
      <c r="E624" s="7" t="s">
        <v>12557</v>
      </c>
      <c r="F624" s="7">
        <f t="shared" si="41"/>
        <v>1</v>
      </c>
      <c r="G624" s="7" t="s">
        <v>12558</v>
      </c>
      <c r="H624" s="7">
        <f t="shared" si="42"/>
        <v>0</v>
      </c>
      <c r="I624" s="7" t="str" cm="1">
        <f t="array" ref="I624">IFERROR(_xlfn.IFS(M624="נח",1,M624="נע ונח",1,M624="שני שווא נח",2,M624="שני שוואים בסוף מילה",2,M624="שני שוואים ברצף",1),"0")</f>
        <v>0</v>
      </c>
      <c r="J624" s="9">
        <f t="shared" si="43"/>
        <v>4</v>
      </c>
      <c r="K624" t="s">
        <v>6698</v>
      </c>
      <c r="L624" t="s">
        <v>6694</v>
      </c>
      <c r="M624" t="s">
        <v>6700</v>
      </c>
      <c r="O624" t="s">
        <v>6694</v>
      </c>
      <c r="Q624" t="s">
        <v>6694</v>
      </c>
      <c r="W624" t="s">
        <v>6720</v>
      </c>
    </row>
    <row r="625" spans="1:23" ht="15.6" x14ac:dyDescent="0.4">
      <c r="A625" s="2" t="s">
        <v>4645</v>
      </c>
      <c r="B625" s="5" t="s">
        <v>7115</v>
      </c>
      <c r="C625" s="7" t="s">
        <v>12556</v>
      </c>
      <c r="D625" s="8">
        <f t="shared" si="40"/>
        <v>0</v>
      </c>
      <c r="E625" s="7" t="s">
        <v>12557</v>
      </c>
      <c r="F625" s="7">
        <f t="shared" si="41"/>
        <v>1</v>
      </c>
      <c r="G625" s="7" t="s">
        <v>12558</v>
      </c>
      <c r="H625" s="7">
        <f t="shared" si="42"/>
        <v>0</v>
      </c>
      <c r="I625" s="7" t="str" cm="1">
        <f t="array" ref="I625">IFERROR(_xlfn.IFS(M625="נח",1,M625="נע ונח",1,M625="שני שווא נח",2,M625="שני שוואים בסוף מילה",2,M625="שני שוואים ברצף",1),"0")</f>
        <v>0</v>
      </c>
      <c r="J625" s="9">
        <f t="shared" si="43"/>
        <v>5</v>
      </c>
      <c r="K625" t="s">
        <v>6698</v>
      </c>
      <c r="L625" t="s">
        <v>6694</v>
      </c>
      <c r="M625" t="s">
        <v>6700</v>
      </c>
      <c r="O625" t="s">
        <v>6694</v>
      </c>
      <c r="Q625" t="s">
        <v>6694</v>
      </c>
      <c r="R625" t="s">
        <v>6694</v>
      </c>
      <c r="W625" t="s">
        <v>6720</v>
      </c>
    </row>
    <row r="626" spans="1:23" ht="15.6" x14ac:dyDescent="0.4">
      <c r="A626" s="2" t="s">
        <v>5215</v>
      </c>
      <c r="B626" s="5" t="s">
        <v>7117</v>
      </c>
      <c r="C626" s="7" t="s">
        <v>12556</v>
      </c>
      <c r="D626" s="8">
        <f t="shared" si="40"/>
        <v>0</v>
      </c>
      <c r="E626" s="7" t="s">
        <v>12557</v>
      </c>
      <c r="F626" s="7">
        <f t="shared" si="41"/>
        <v>1</v>
      </c>
      <c r="G626" s="7" t="s">
        <v>12558</v>
      </c>
      <c r="H626" s="7">
        <f t="shared" si="42"/>
        <v>0</v>
      </c>
      <c r="I626" s="7" t="str" cm="1">
        <f t="array" ref="I626">IFERROR(_xlfn.IFS(M626="נח",1,M626="נע ונח",1,M626="שני שווא נח",2,M626="שני שוואים בסוף מילה",2,M626="שני שוואים ברצף",1),"0")</f>
        <v>0</v>
      </c>
      <c r="J626" s="9">
        <f t="shared" si="43"/>
        <v>5</v>
      </c>
      <c r="K626" t="s">
        <v>6697</v>
      </c>
      <c r="L626" t="s">
        <v>6694</v>
      </c>
      <c r="M626" t="s">
        <v>6700</v>
      </c>
      <c r="O626" t="s">
        <v>6694</v>
      </c>
      <c r="R626" t="s">
        <v>6694</v>
      </c>
      <c r="W626" t="s">
        <v>6720</v>
      </c>
    </row>
    <row r="627" spans="1:23" ht="15.6" x14ac:dyDescent="0.4">
      <c r="A627" s="2" t="s">
        <v>3597</v>
      </c>
      <c r="B627" s="5" t="s">
        <v>7290</v>
      </c>
      <c r="C627" s="7" t="s">
        <v>12556</v>
      </c>
      <c r="D627" s="8">
        <f t="shared" si="40"/>
        <v>0</v>
      </c>
      <c r="E627" s="7" t="s">
        <v>12557</v>
      </c>
      <c r="F627" s="7">
        <f t="shared" si="41"/>
        <v>2</v>
      </c>
      <c r="G627" s="7" t="s">
        <v>12558</v>
      </c>
      <c r="H627" s="7">
        <f t="shared" si="42"/>
        <v>1</v>
      </c>
      <c r="I627" s="7" cm="1">
        <f t="array" ref="I627">IFERROR(_xlfn.IFS(M627="נח",1,M627="נע ונח",1,M627="שני שווא נח",2,M627="שני שוואים בסוף מילה",2,M627="שני שוואים ברצף",1),"0")</f>
        <v>1</v>
      </c>
      <c r="J627" s="9">
        <f t="shared" si="43"/>
        <v>4</v>
      </c>
      <c r="K627" t="s">
        <v>6697</v>
      </c>
      <c r="L627" t="s">
        <v>6694</v>
      </c>
      <c r="M627" t="s">
        <v>6701</v>
      </c>
      <c r="N627" t="s">
        <v>6706</v>
      </c>
      <c r="O627" t="s">
        <v>6694</v>
      </c>
      <c r="Q627" t="s">
        <v>6694</v>
      </c>
      <c r="U627" t="s">
        <v>6694</v>
      </c>
      <c r="W627" t="s">
        <v>6720</v>
      </c>
    </row>
    <row r="628" spans="1:23" ht="15.6" x14ac:dyDescent="0.4">
      <c r="A628" s="2" t="s">
        <v>5335</v>
      </c>
      <c r="B628" s="5" t="s">
        <v>7291</v>
      </c>
      <c r="C628" s="7" t="s">
        <v>12556</v>
      </c>
      <c r="D628" s="8">
        <f t="shared" si="40"/>
        <v>0</v>
      </c>
      <c r="E628" s="7" t="s">
        <v>12557</v>
      </c>
      <c r="F628" s="7">
        <f t="shared" si="41"/>
        <v>1</v>
      </c>
      <c r="G628" s="7" t="s">
        <v>12558</v>
      </c>
      <c r="H628" s="7">
        <f t="shared" si="42"/>
        <v>0</v>
      </c>
      <c r="I628" s="7" t="str" cm="1">
        <f t="array" ref="I628">IFERROR(_xlfn.IFS(M628="נח",1,M628="נע ונח",1,M628="שני שווא נח",2,M628="שני שוואים בסוף מילה",2,M628="שני שוואים ברצף",1),"0")</f>
        <v>0</v>
      </c>
      <c r="J628" s="9">
        <f t="shared" si="43"/>
        <v>4</v>
      </c>
      <c r="K628" t="s">
        <v>6697</v>
      </c>
      <c r="L628" t="s">
        <v>6694</v>
      </c>
      <c r="M628" t="s">
        <v>6700</v>
      </c>
      <c r="O628" t="s">
        <v>6694</v>
      </c>
      <c r="S628" t="s">
        <v>6694</v>
      </c>
      <c r="W628" t="s">
        <v>6720</v>
      </c>
    </row>
    <row r="629" spans="1:23" ht="15.6" x14ac:dyDescent="0.4">
      <c r="A629" s="2" t="s">
        <v>3592</v>
      </c>
      <c r="B629" s="5" t="s">
        <v>7292</v>
      </c>
      <c r="C629" s="7" t="s">
        <v>12556</v>
      </c>
      <c r="D629" s="8">
        <f t="shared" si="40"/>
        <v>0</v>
      </c>
      <c r="E629" s="7" t="s">
        <v>12557</v>
      </c>
      <c r="F629" s="7">
        <f t="shared" si="41"/>
        <v>1</v>
      </c>
      <c r="G629" s="7" t="s">
        <v>12558</v>
      </c>
      <c r="H629" s="7">
        <f t="shared" si="42"/>
        <v>0</v>
      </c>
      <c r="I629" s="7" cm="1">
        <f t="array" ref="I629">IFERROR(_xlfn.IFS(M629="נח",1,M629="נע ונח",1,M629="שני שווא נח",2,M629="שני שוואים בסוף מילה",2,M629="שני שוואים ברצף",1),"0")</f>
        <v>1</v>
      </c>
      <c r="J629" s="9">
        <f t="shared" si="43"/>
        <v>3</v>
      </c>
      <c r="K629" t="s">
        <v>6698</v>
      </c>
      <c r="L629" t="s">
        <v>6694</v>
      </c>
      <c r="M629" t="s">
        <v>6701</v>
      </c>
      <c r="N629" t="s">
        <v>6706</v>
      </c>
      <c r="O629" t="s">
        <v>6694</v>
      </c>
      <c r="W629" t="s">
        <v>6720</v>
      </c>
    </row>
    <row r="630" spans="1:23" ht="15.6" x14ac:dyDescent="0.4">
      <c r="A630" s="2" t="s">
        <v>413</v>
      </c>
      <c r="B630" s="5" t="s">
        <v>7293</v>
      </c>
      <c r="C630" s="7" t="s">
        <v>12556</v>
      </c>
      <c r="D630" s="8">
        <f t="shared" si="40"/>
        <v>0</v>
      </c>
      <c r="E630" s="7" t="s">
        <v>12557</v>
      </c>
      <c r="F630" s="7">
        <f t="shared" si="41"/>
        <v>1</v>
      </c>
      <c r="G630" s="7" t="s">
        <v>12558</v>
      </c>
      <c r="H630" s="7">
        <f t="shared" si="42"/>
        <v>0</v>
      </c>
      <c r="I630" s="7" t="str" cm="1">
        <f t="array" ref="I630">IFERROR(_xlfn.IFS(M630="נח",1,M630="נע ונח",1,M630="שני שווא נח",2,M630="שני שוואים בסוף מילה",2,M630="שני שוואים ברצף",1),"0")</f>
        <v>0</v>
      </c>
      <c r="J630" s="9">
        <f t="shared" si="43"/>
        <v>4</v>
      </c>
      <c r="K630" t="s">
        <v>6698</v>
      </c>
      <c r="L630" t="s">
        <v>6694</v>
      </c>
      <c r="M630" t="s">
        <v>6700</v>
      </c>
      <c r="O630" t="s">
        <v>6694</v>
      </c>
      <c r="V630" t="s">
        <v>6694</v>
      </c>
      <c r="W630" t="s">
        <v>6720</v>
      </c>
    </row>
    <row r="631" spans="1:23" ht="15.6" x14ac:dyDescent="0.4">
      <c r="A631" s="2" t="s">
        <v>2647</v>
      </c>
      <c r="B631" s="5" t="s">
        <v>7294</v>
      </c>
      <c r="C631" s="7" t="s">
        <v>12556</v>
      </c>
      <c r="D631" s="8">
        <f t="shared" si="40"/>
        <v>0</v>
      </c>
      <c r="E631" s="7" t="s">
        <v>12557</v>
      </c>
      <c r="F631" s="7">
        <f t="shared" si="41"/>
        <v>1</v>
      </c>
      <c r="G631" s="7" t="s">
        <v>12558</v>
      </c>
      <c r="H631" s="7">
        <f t="shared" si="42"/>
        <v>0</v>
      </c>
      <c r="I631" s="7" t="str" cm="1">
        <f t="array" ref="I631">IFERROR(_xlfn.IFS(M631="נח",1,M631="נע ונח",1,M631="שני שווא נח",2,M631="שני שוואים בסוף מילה",2,M631="שני שוואים ברצף",1),"0")</f>
        <v>0</v>
      </c>
      <c r="J631" s="9">
        <f t="shared" si="43"/>
        <v>3</v>
      </c>
      <c r="K631" t="s">
        <v>6698</v>
      </c>
      <c r="L631" t="s">
        <v>6694</v>
      </c>
      <c r="M631" t="s">
        <v>6700</v>
      </c>
      <c r="P631" t="s">
        <v>6694</v>
      </c>
      <c r="V631" t="s">
        <v>6694</v>
      </c>
      <c r="W631" t="s">
        <v>6720</v>
      </c>
    </row>
    <row r="632" spans="1:23" ht="15.6" x14ac:dyDescent="0.4">
      <c r="A632" s="2" t="s">
        <v>4096</v>
      </c>
      <c r="B632" s="5" t="s">
        <v>7295</v>
      </c>
      <c r="C632" s="7" t="s">
        <v>12556</v>
      </c>
      <c r="D632" s="8">
        <f t="shared" si="40"/>
        <v>0</v>
      </c>
      <c r="E632" s="7" t="s">
        <v>12557</v>
      </c>
      <c r="F632" s="7">
        <f t="shared" si="41"/>
        <v>1</v>
      </c>
      <c r="G632" s="7" t="s">
        <v>12558</v>
      </c>
      <c r="H632" s="7">
        <f t="shared" si="42"/>
        <v>0</v>
      </c>
      <c r="I632" s="7" t="str" cm="1">
        <f t="array" ref="I632">IFERROR(_xlfn.IFS(M632="נח",1,M632="נע ונח",1,M632="שני שווא נח",2,M632="שני שוואים בסוף מילה",2,M632="שני שוואים ברצף",1),"0")</f>
        <v>0</v>
      </c>
      <c r="J632" s="9">
        <f t="shared" si="43"/>
        <v>2</v>
      </c>
      <c r="K632" t="s">
        <v>6698</v>
      </c>
      <c r="L632" t="s">
        <v>6694</v>
      </c>
      <c r="M632" t="s">
        <v>6700</v>
      </c>
      <c r="V632" t="s">
        <v>6694</v>
      </c>
      <c r="W632" t="s">
        <v>6720</v>
      </c>
    </row>
    <row r="633" spans="1:23" ht="15.6" x14ac:dyDescent="0.4">
      <c r="A633" s="2" t="s">
        <v>851</v>
      </c>
      <c r="B633" s="5" t="s">
        <v>7296</v>
      </c>
      <c r="C633" s="7" t="s">
        <v>12556</v>
      </c>
      <c r="D633" s="8">
        <f t="shared" si="40"/>
        <v>0</v>
      </c>
      <c r="E633" s="7" t="s">
        <v>12557</v>
      </c>
      <c r="F633" s="7">
        <f t="shared" si="41"/>
        <v>1</v>
      </c>
      <c r="G633" s="7" t="s">
        <v>12558</v>
      </c>
      <c r="H633" s="7">
        <f t="shared" si="42"/>
        <v>0</v>
      </c>
      <c r="I633" s="7" cm="1">
        <f t="array" ref="I633">IFERROR(_xlfn.IFS(M633="נח",1,M633="נע ונח",1,M633="שני שווא נח",2,M633="שני שוואים בסוף מילה",2,M633="שני שוואים ברצף",1),"0")</f>
        <v>1</v>
      </c>
      <c r="J633" s="9">
        <f t="shared" si="43"/>
        <v>3</v>
      </c>
      <c r="K633" t="s">
        <v>6697</v>
      </c>
      <c r="L633" t="s">
        <v>6694</v>
      </c>
      <c r="M633" t="s">
        <v>6701</v>
      </c>
      <c r="O633" t="s">
        <v>6694</v>
      </c>
      <c r="V633" t="s">
        <v>6694</v>
      </c>
      <c r="W633" t="s">
        <v>6720</v>
      </c>
    </row>
    <row r="634" spans="1:23" ht="15.6" x14ac:dyDescent="0.4">
      <c r="A634" s="2" t="s">
        <v>803</v>
      </c>
      <c r="B634" s="5" t="s">
        <v>7297</v>
      </c>
      <c r="C634" s="7" t="s">
        <v>12556</v>
      </c>
      <c r="D634" s="8">
        <f t="shared" si="40"/>
        <v>0</v>
      </c>
      <c r="E634" s="7" t="s">
        <v>12557</v>
      </c>
      <c r="F634" s="7">
        <f t="shared" si="41"/>
        <v>1</v>
      </c>
      <c r="G634" s="7" t="s">
        <v>12558</v>
      </c>
      <c r="H634" s="7">
        <f t="shared" si="42"/>
        <v>0</v>
      </c>
      <c r="I634" s="7" t="str" cm="1">
        <f t="array" ref="I634">IFERROR(_xlfn.IFS(M634="נח",1,M634="נע ונח",1,M634="שני שווא נח",2,M634="שני שוואים בסוף מילה",2,M634="שני שוואים ברצף",1),"0")</f>
        <v>0</v>
      </c>
      <c r="J634" s="9">
        <f t="shared" si="43"/>
        <v>2</v>
      </c>
      <c r="K634" t="s">
        <v>6698</v>
      </c>
      <c r="L634" t="s">
        <v>6694</v>
      </c>
      <c r="M634" t="s">
        <v>6700</v>
      </c>
      <c r="Q634" t="s">
        <v>6694</v>
      </c>
      <c r="W634" t="s">
        <v>6720</v>
      </c>
    </row>
    <row r="635" spans="1:23" ht="15.6" x14ac:dyDescent="0.4">
      <c r="A635" s="2" t="s">
        <v>1190</v>
      </c>
      <c r="B635" s="5" t="s">
        <v>7298</v>
      </c>
      <c r="C635" s="7" t="s">
        <v>12556</v>
      </c>
      <c r="D635" s="8">
        <f t="shared" si="40"/>
        <v>0</v>
      </c>
      <c r="E635" s="7" t="s">
        <v>12557</v>
      </c>
      <c r="F635" s="7">
        <f t="shared" si="41"/>
        <v>1</v>
      </c>
      <c r="G635" s="7" t="s">
        <v>12558</v>
      </c>
      <c r="H635" s="7">
        <f t="shared" si="42"/>
        <v>0</v>
      </c>
      <c r="I635" s="7" t="str" cm="1">
        <f t="array" ref="I635">IFERROR(_xlfn.IFS(M635="נח",1,M635="נע ונח",1,M635="שני שווא נח",2,M635="שני שוואים בסוף מילה",2,M635="שני שוואים ברצף",1),"0")</f>
        <v>0</v>
      </c>
      <c r="J635" s="9">
        <f t="shared" si="43"/>
        <v>3</v>
      </c>
      <c r="K635" t="s">
        <v>6697</v>
      </c>
      <c r="L635" t="s">
        <v>6694</v>
      </c>
      <c r="M635" t="s">
        <v>6700</v>
      </c>
      <c r="Q635" t="s">
        <v>6694</v>
      </c>
      <c r="V635" t="s">
        <v>6694</v>
      </c>
      <c r="W635" t="s">
        <v>6720</v>
      </c>
    </row>
    <row r="636" spans="1:23" ht="15.6" x14ac:dyDescent="0.4">
      <c r="A636" s="2" t="s">
        <v>5060</v>
      </c>
      <c r="B636" s="5" t="s">
        <v>7299</v>
      </c>
      <c r="C636" s="7" t="s">
        <v>12556</v>
      </c>
      <c r="D636" s="8">
        <f t="shared" si="40"/>
        <v>0</v>
      </c>
      <c r="E636" s="7" t="s">
        <v>12557</v>
      </c>
      <c r="F636" s="7">
        <f t="shared" si="41"/>
        <v>1</v>
      </c>
      <c r="G636" s="7" t="s">
        <v>12558</v>
      </c>
      <c r="H636" s="7">
        <f t="shared" si="42"/>
        <v>0</v>
      </c>
      <c r="I636" s="7" t="str" cm="1">
        <f t="array" ref="I636">IFERROR(_xlfn.IFS(M636="נח",1,M636="נע ונח",1,M636="שני שווא נח",2,M636="שני שוואים בסוף מילה",2,M636="שני שוואים ברצף",1),"0")</f>
        <v>0</v>
      </c>
      <c r="J636" s="9">
        <f t="shared" si="43"/>
        <v>3</v>
      </c>
      <c r="K636" t="s">
        <v>6698</v>
      </c>
      <c r="L636" t="s">
        <v>6694</v>
      </c>
      <c r="M636" t="s">
        <v>6700</v>
      </c>
      <c r="R636" t="s">
        <v>6694</v>
      </c>
      <c r="W636" t="s">
        <v>6720</v>
      </c>
    </row>
    <row r="637" spans="1:23" ht="15.6" x14ac:dyDescent="0.4">
      <c r="A637" s="2" t="s">
        <v>1306</v>
      </c>
      <c r="B637" s="5" t="s">
        <v>7300</v>
      </c>
      <c r="C637" s="7" t="s">
        <v>12556</v>
      </c>
      <c r="D637" s="8">
        <f t="shared" si="40"/>
        <v>0</v>
      </c>
      <c r="E637" s="7" t="s">
        <v>12557</v>
      </c>
      <c r="F637" s="7">
        <f t="shared" si="41"/>
        <v>1</v>
      </c>
      <c r="G637" s="7" t="s">
        <v>12558</v>
      </c>
      <c r="H637" s="7">
        <f t="shared" si="42"/>
        <v>0</v>
      </c>
      <c r="I637" s="7" t="str" cm="1">
        <f t="array" ref="I637">IFERROR(_xlfn.IFS(M637="נח",1,M637="נע ונח",1,M637="שני שווא נח",2,M637="שני שוואים בסוף מילה",2,M637="שני שוואים ברצף",1),"0")</f>
        <v>0</v>
      </c>
      <c r="J637" s="9">
        <f t="shared" si="43"/>
        <v>2</v>
      </c>
      <c r="K637" t="s">
        <v>6698</v>
      </c>
      <c r="L637" t="s">
        <v>6694</v>
      </c>
      <c r="M637" t="s">
        <v>6700</v>
      </c>
      <c r="R637" t="s">
        <v>6694</v>
      </c>
      <c r="W637" t="s">
        <v>6720</v>
      </c>
    </row>
    <row r="638" spans="1:23" ht="15.6" x14ac:dyDescent="0.4">
      <c r="A638" s="2" t="s">
        <v>4098</v>
      </c>
      <c r="B638" s="5" t="s">
        <v>7301</v>
      </c>
      <c r="C638" s="7" t="s">
        <v>12556</v>
      </c>
      <c r="D638" s="8">
        <f t="shared" si="40"/>
        <v>0</v>
      </c>
      <c r="E638" s="7" t="s">
        <v>12557</v>
      </c>
      <c r="F638" s="7">
        <f t="shared" si="41"/>
        <v>1</v>
      </c>
      <c r="G638" s="7" t="s">
        <v>12558</v>
      </c>
      <c r="H638" s="7">
        <f t="shared" si="42"/>
        <v>0</v>
      </c>
      <c r="I638" s="7" cm="1">
        <f t="array" ref="I638">IFERROR(_xlfn.IFS(M638="נח",1,M638="נע ונח",1,M638="שני שווא נח",2,M638="שני שוואים בסוף מילה",2,M638="שני שוואים ברצף",1),"0")</f>
        <v>1</v>
      </c>
      <c r="J638" s="9">
        <f t="shared" si="43"/>
        <v>3</v>
      </c>
      <c r="K638" t="s">
        <v>6697</v>
      </c>
      <c r="L638" t="s">
        <v>6694</v>
      </c>
      <c r="M638" t="s">
        <v>6701</v>
      </c>
      <c r="N638" t="s">
        <v>6706</v>
      </c>
      <c r="O638" t="s">
        <v>6694</v>
      </c>
      <c r="V638" t="s">
        <v>6694</v>
      </c>
      <c r="W638" t="s">
        <v>6720</v>
      </c>
    </row>
    <row r="639" spans="1:23" ht="15.6" x14ac:dyDescent="0.4">
      <c r="A639" s="2" t="s">
        <v>4630</v>
      </c>
      <c r="B639" s="5" t="s">
        <v>7302</v>
      </c>
      <c r="C639" s="7" t="s">
        <v>12556</v>
      </c>
      <c r="D639" s="8">
        <f t="shared" si="40"/>
        <v>0</v>
      </c>
      <c r="E639" s="7" t="s">
        <v>12557</v>
      </c>
      <c r="F639" s="7">
        <f t="shared" si="41"/>
        <v>2</v>
      </c>
      <c r="G639" s="7" t="s">
        <v>12558</v>
      </c>
      <c r="H639" s="7">
        <f t="shared" si="42"/>
        <v>1</v>
      </c>
      <c r="I639" s="7" t="str" cm="1">
        <f t="array" ref="I639">IFERROR(_xlfn.IFS(M639="נח",1,M639="נע ונח",1,M639="שני שווא נח",2,M639="שני שוואים בסוף מילה",2,M639="שני שוואים ברצף",1),"0")</f>
        <v>0</v>
      </c>
      <c r="J639" s="9">
        <f t="shared" si="43"/>
        <v>4</v>
      </c>
      <c r="K639" t="s">
        <v>6697</v>
      </c>
      <c r="L639" t="s">
        <v>6694</v>
      </c>
      <c r="M639" t="s">
        <v>6700</v>
      </c>
      <c r="O639" t="s">
        <v>6694</v>
      </c>
      <c r="S639" t="s">
        <v>6694</v>
      </c>
      <c r="U639" t="s">
        <v>6694</v>
      </c>
      <c r="W639" t="s">
        <v>6720</v>
      </c>
    </row>
    <row r="640" spans="1:23" ht="15.6" x14ac:dyDescent="0.4">
      <c r="A640" s="2" t="s">
        <v>3871</v>
      </c>
      <c r="B640" s="5" t="s">
        <v>7303</v>
      </c>
      <c r="C640" s="7" t="s">
        <v>12556</v>
      </c>
      <c r="D640" s="8">
        <f t="shared" si="40"/>
        <v>0</v>
      </c>
      <c r="E640" s="7" t="s">
        <v>12557</v>
      </c>
      <c r="F640" s="7">
        <f t="shared" si="41"/>
        <v>1</v>
      </c>
      <c r="G640" s="7" t="s">
        <v>12558</v>
      </c>
      <c r="H640" s="7">
        <f t="shared" si="42"/>
        <v>0</v>
      </c>
      <c r="I640" s="7" t="str" cm="1">
        <f t="array" ref="I640">IFERROR(_xlfn.IFS(M640="נח",1,M640="נע ונח",1,M640="שני שווא נח",2,M640="שני שוואים בסוף מילה",2,M640="שני שוואים ברצף",1),"0")</f>
        <v>0</v>
      </c>
      <c r="J640" s="9">
        <f t="shared" si="43"/>
        <v>2</v>
      </c>
      <c r="K640" t="s">
        <v>6697</v>
      </c>
      <c r="L640" t="s">
        <v>6694</v>
      </c>
      <c r="M640" t="s">
        <v>6700</v>
      </c>
      <c r="V640" t="s">
        <v>6694</v>
      </c>
      <c r="W640" t="s">
        <v>6720</v>
      </c>
    </row>
    <row r="641" spans="1:23" ht="15.6" x14ac:dyDescent="0.4">
      <c r="A641" s="2" t="s">
        <v>5802</v>
      </c>
      <c r="B641" s="5" t="s">
        <v>7119</v>
      </c>
      <c r="C641" s="7" t="s">
        <v>12556</v>
      </c>
      <c r="D641" s="8">
        <f t="shared" si="40"/>
        <v>0</v>
      </c>
      <c r="E641" s="7" t="s">
        <v>12557</v>
      </c>
      <c r="F641" s="7">
        <f t="shared" si="41"/>
        <v>2</v>
      </c>
      <c r="G641" s="7" t="s">
        <v>12558</v>
      </c>
      <c r="H641" s="7">
        <f t="shared" si="42"/>
        <v>1</v>
      </c>
      <c r="I641" s="7" t="str" cm="1">
        <f t="array" ref="I641">IFERROR(_xlfn.IFS(M641="נח",1,M641="נע ונח",1,M641="שני שווא נח",2,M641="שני שוואים בסוף מילה",2,M641="שני שוואים ברצף",1),"0")</f>
        <v>0</v>
      </c>
      <c r="J641" s="9">
        <f t="shared" si="43"/>
        <v>3</v>
      </c>
      <c r="K641" t="s">
        <v>6698</v>
      </c>
      <c r="L641" t="s">
        <v>6694</v>
      </c>
      <c r="M641" t="s">
        <v>6700</v>
      </c>
      <c r="Q641" t="s">
        <v>6694</v>
      </c>
      <c r="U641" t="s">
        <v>6694</v>
      </c>
      <c r="W641" t="s">
        <v>6720</v>
      </c>
    </row>
    <row r="642" spans="1:23" ht="15.6" x14ac:dyDescent="0.4">
      <c r="A642" s="2" t="s">
        <v>781</v>
      </c>
      <c r="B642" s="5" t="s">
        <v>7304</v>
      </c>
      <c r="C642" s="7" t="s">
        <v>12556</v>
      </c>
      <c r="D642" s="8">
        <f t="shared" si="40"/>
        <v>0</v>
      </c>
      <c r="E642" s="7" t="s">
        <v>12557</v>
      </c>
      <c r="F642" s="7">
        <f t="shared" si="41"/>
        <v>1</v>
      </c>
      <c r="G642" s="7" t="s">
        <v>12558</v>
      </c>
      <c r="H642" s="7">
        <f t="shared" si="42"/>
        <v>0</v>
      </c>
      <c r="I642" s="7" t="str" cm="1">
        <f t="array" ref="I642">IFERROR(_xlfn.IFS(M642="נח",1,M642="נע ונח",1,M642="שני שווא נח",2,M642="שני שוואים בסוף מילה",2,M642="שני שוואים ברצף",1),"0")</f>
        <v>0</v>
      </c>
      <c r="J642" s="9">
        <f t="shared" si="43"/>
        <v>2</v>
      </c>
      <c r="K642" t="s">
        <v>6697</v>
      </c>
      <c r="L642" t="s">
        <v>6694</v>
      </c>
      <c r="M642" t="s">
        <v>6700</v>
      </c>
      <c r="Q642" t="s">
        <v>6694</v>
      </c>
      <c r="W642" t="s">
        <v>6720</v>
      </c>
    </row>
    <row r="643" spans="1:23" ht="15.6" x14ac:dyDescent="0.4">
      <c r="A643" s="2" t="s">
        <v>5129</v>
      </c>
      <c r="B643" s="5" t="s">
        <v>7119</v>
      </c>
      <c r="C643" s="7" t="s">
        <v>12556</v>
      </c>
      <c r="D643" s="8">
        <f t="shared" ref="D643:D706" si="44">(LEN(B643)-LEN(SUBSTITUTE(B643,C643,"")))</f>
        <v>0</v>
      </c>
      <c r="E643" s="7" t="s">
        <v>12557</v>
      </c>
      <c r="F643" s="7">
        <f t="shared" ref="F643:F706" si="45">(LEN(A643)-LEN(SUBSTITUTE(A643,E643,"")))</f>
        <v>1</v>
      </c>
      <c r="G643" s="7" t="s">
        <v>12558</v>
      </c>
      <c r="H643" s="7">
        <f t="shared" ref="H643:H706" si="46">(LEN(A643)-LEN(SUBSTITUTE(A643,G643,"")))/2</f>
        <v>0</v>
      </c>
      <c r="I643" s="7" t="str" cm="1">
        <f t="array" ref="I643">IFERROR(_xlfn.IFS(M643="נח",1,M643="נע ונח",1,M643="שני שווא נח",2,M643="שני שוואים בסוף מילה",2,M643="שני שוואים ברצף",1),"0")</f>
        <v>0</v>
      </c>
      <c r="J643" s="9">
        <f t="shared" ref="J643:J706" si="47">LEN(A643)-(LEN(B643))-D643-F643+H643-I643</f>
        <v>4</v>
      </c>
      <c r="K643" t="s">
        <v>6698</v>
      </c>
      <c r="L643" t="s">
        <v>6694</v>
      </c>
      <c r="M643" t="s">
        <v>6700</v>
      </c>
      <c r="P643" t="s">
        <v>6694</v>
      </c>
      <c r="W643" t="s">
        <v>6720</v>
      </c>
    </row>
    <row r="644" spans="1:23" ht="15.6" x14ac:dyDescent="0.4">
      <c r="A644" s="2" t="s">
        <v>3409</v>
      </c>
      <c r="B644" s="5" t="s">
        <v>7305</v>
      </c>
      <c r="C644" s="7" t="s">
        <v>12556</v>
      </c>
      <c r="D644" s="8">
        <f t="shared" si="44"/>
        <v>0</v>
      </c>
      <c r="E644" s="7" t="s">
        <v>12557</v>
      </c>
      <c r="F644" s="7">
        <f t="shared" si="45"/>
        <v>1</v>
      </c>
      <c r="G644" s="7" t="s">
        <v>12558</v>
      </c>
      <c r="H644" s="7">
        <f t="shared" si="46"/>
        <v>0</v>
      </c>
      <c r="I644" s="7" t="str" cm="1">
        <f t="array" ref="I644">IFERROR(_xlfn.IFS(M644="נח",1,M644="נע ונח",1,M644="שני שווא נח",2,M644="שני שוואים בסוף מילה",2,M644="שני שוואים ברצף",1),"0")</f>
        <v>0</v>
      </c>
      <c r="J644" s="9">
        <f t="shared" si="47"/>
        <v>4</v>
      </c>
      <c r="K644" t="s">
        <v>6697</v>
      </c>
      <c r="L644" t="s">
        <v>6694</v>
      </c>
      <c r="M644" t="s">
        <v>6700</v>
      </c>
      <c r="O644" t="s">
        <v>6694</v>
      </c>
      <c r="P644" t="s">
        <v>6694</v>
      </c>
      <c r="W644" t="s">
        <v>6720</v>
      </c>
    </row>
    <row r="645" spans="1:23" ht="15.6" x14ac:dyDescent="0.4">
      <c r="A645" s="2" t="s">
        <v>3770</v>
      </c>
      <c r="B645" s="5" t="s">
        <v>7306</v>
      </c>
      <c r="C645" s="7" t="s">
        <v>12556</v>
      </c>
      <c r="D645" s="8">
        <f t="shared" si="44"/>
        <v>0</v>
      </c>
      <c r="E645" s="7" t="s">
        <v>12557</v>
      </c>
      <c r="F645" s="7">
        <f t="shared" si="45"/>
        <v>1</v>
      </c>
      <c r="G645" s="7" t="s">
        <v>12558</v>
      </c>
      <c r="H645" s="7">
        <f t="shared" si="46"/>
        <v>0</v>
      </c>
      <c r="I645" s="7" t="str" cm="1">
        <f t="array" ref="I645">IFERROR(_xlfn.IFS(M645="נח",1,M645="נע ונח",1,M645="שני שווא נח",2,M645="שני שוואים בסוף מילה",2,M645="שני שוואים ברצף",1),"0")</f>
        <v>0</v>
      </c>
      <c r="J645" s="9">
        <f t="shared" si="47"/>
        <v>5</v>
      </c>
      <c r="K645" t="s">
        <v>6697</v>
      </c>
      <c r="L645" t="s">
        <v>6694</v>
      </c>
      <c r="M645" t="s">
        <v>6700</v>
      </c>
      <c r="O645" t="s">
        <v>6694</v>
      </c>
      <c r="P645" t="s">
        <v>6694</v>
      </c>
      <c r="V645" t="s">
        <v>6694</v>
      </c>
      <c r="W645" t="s">
        <v>6720</v>
      </c>
    </row>
    <row r="646" spans="1:23" ht="15.6" x14ac:dyDescent="0.4">
      <c r="A646" s="2" t="s">
        <v>6437</v>
      </c>
      <c r="B646" s="5" t="s">
        <v>7307</v>
      </c>
      <c r="C646" s="7" t="s">
        <v>12556</v>
      </c>
      <c r="D646" s="8">
        <f t="shared" si="44"/>
        <v>0</v>
      </c>
      <c r="E646" s="7" t="s">
        <v>12557</v>
      </c>
      <c r="F646" s="7">
        <f t="shared" si="45"/>
        <v>1</v>
      </c>
      <c r="G646" s="7" t="s">
        <v>12558</v>
      </c>
      <c r="H646" s="7">
        <f t="shared" si="46"/>
        <v>0</v>
      </c>
      <c r="I646" s="7" t="str" cm="1">
        <f t="array" ref="I646">IFERROR(_xlfn.IFS(M646="נח",1,M646="נע ונח",1,M646="שני שווא נח",2,M646="שני שוואים בסוף מילה",2,M646="שני שוואים ברצף",1),"0")</f>
        <v>0</v>
      </c>
      <c r="J646" s="9">
        <f t="shared" si="47"/>
        <v>2</v>
      </c>
      <c r="K646" t="s">
        <v>6698</v>
      </c>
      <c r="L646" t="s">
        <v>6694</v>
      </c>
      <c r="M646" t="s">
        <v>6700</v>
      </c>
      <c r="P646" t="s">
        <v>6694</v>
      </c>
      <c r="W646" t="s">
        <v>6720</v>
      </c>
    </row>
    <row r="647" spans="1:23" ht="15.6" x14ac:dyDescent="0.4">
      <c r="A647" s="2" t="s">
        <v>2365</v>
      </c>
      <c r="B647" s="5" t="s">
        <v>7308</v>
      </c>
      <c r="C647" s="7" t="s">
        <v>12556</v>
      </c>
      <c r="D647" s="8">
        <f t="shared" si="44"/>
        <v>0</v>
      </c>
      <c r="E647" s="7" t="s">
        <v>12557</v>
      </c>
      <c r="F647" s="7">
        <f t="shared" si="45"/>
        <v>1</v>
      </c>
      <c r="G647" s="7" t="s">
        <v>12558</v>
      </c>
      <c r="H647" s="7">
        <f t="shared" si="46"/>
        <v>0</v>
      </c>
      <c r="I647" s="7" cm="1">
        <f t="array" ref="I647">IFERROR(_xlfn.IFS(M647="נח",1,M647="נע ונח",1,M647="שני שווא נח",2,M647="שני שוואים בסוף מילה",2,M647="שני שוואים ברצף",1),"0")</f>
        <v>1</v>
      </c>
      <c r="J647" s="9">
        <f t="shared" si="47"/>
        <v>4</v>
      </c>
      <c r="K647" t="s">
        <v>6697</v>
      </c>
      <c r="L647" t="s">
        <v>6694</v>
      </c>
      <c r="M647" t="s">
        <v>6701</v>
      </c>
      <c r="O647" t="s">
        <v>6694</v>
      </c>
      <c r="S647" t="s">
        <v>6694</v>
      </c>
      <c r="W647" t="s">
        <v>6720</v>
      </c>
    </row>
    <row r="648" spans="1:23" ht="15.6" x14ac:dyDescent="0.4">
      <c r="A648" s="2" t="s">
        <v>245</v>
      </c>
      <c r="B648" s="5" t="s">
        <v>7309</v>
      </c>
      <c r="C648" s="7" t="s">
        <v>12556</v>
      </c>
      <c r="D648" s="8">
        <f t="shared" si="44"/>
        <v>0</v>
      </c>
      <c r="E648" s="7" t="s">
        <v>12557</v>
      </c>
      <c r="F648" s="7">
        <f t="shared" si="45"/>
        <v>1</v>
      </c>
      <c r="G648" s="7" t="s">
        <v>12558</v>
      </c>
      <c r="H648" s="7">
        <f t="shared" si="46"/>
        <v>0</v>
      </c>
      <c r="I648" s="7" cm="1">
        <f t="array" ref="I648">IFERROR(_xlfn.IFS(M648="נח",1,M648="נע ונח",1,M648="שני שווא נח",2,M648="שני שוואים בסוף מילה",2,M648="שני שוואים ברצף",1),"0")</f>
        <v>1</v>
      </c>
      <c r="J648" s="9">
        <f t="shared" si="47"/>
        <v>3</v>
      </c>
      <c r="K648" t="s">
        <v>6698</v>
      </c>
      <c r="L648" t="s">
        <v>6694</v>
      </c>
      <c r="M648" t="s">
        <v>6701</v>
      </c>
      <c r="R648" t="s">
        <v>6694</v>
      </c>
      <c r="W648" t="s">
        <v>6720</v>
      </c>
    </row>
    <row r="649" spans="1:23" ht="15.6" x14ac:dyDescent="0.4">
      <c r="A649" s="2" t="s">
        <v>4167</v>
      </c>
      <c r="B649" s="5" t="s">
        <v>7310</v>
      </c>
      <c r="C649" s="7" t="s">
        <v>12556</v>
      </c>
      <c r="D649" s="8">
        <f t="shared" si="44"/>
        <v>0</v>
      </c>
      <c r="E649" s="7" t="s">
        <v>12557</v>
      </c>
      <c r="F649" s="7">
        <f t="shared" si="45"/>
        <v>1</v>
      </c>
      <c r="G649" s="7" t="s">
        <v>12558</v>
      </c>
      <c r="H649" s="7">
        <f t="shared" si="46"/>
        <v>0</v>
      </c>
      <c r="I649" s="7" t="str" cm="1">
        <f t="array" ref="I649">IFERROR(_xlfn.IFS(M649="נח",1,M649="נע ונח",1,M649="שני שווא נח",2,M649="שני שוואים בסוף מילה",2,M649="שני שוואים ברצף",1),"0")</f>
        <v>0</v>
      </c>
      <c r="J649" s="9">
        <f t="shared" si="47"/>
        <v>2</v>
      </c>
      <c r="K649" t="s">
        <v>6698</v>
      </c>
      <c r="L649" t="s">
        <v>6694</v>
      </c>
      <c r="M649" t="s">
        <v>6700</v>
      </c>
      <c r="P649" t="s">
        <v>6694</v>
      </c>
      <c r="W649" t="s">
        <v>6720</v>
      </c>
    </row>
    <row r="650" spans="1:23" ht="15.6" x14ac:dyDescent="0.4">
      <c r="A650" s="2" t="s">
        <v>2900</v>
      </c>
      <c r="B650" s="5" t="s">
        <v>7311</v>
      </c>
      <c r="C650" s="7" t="s">
        <v>12556</v>
      </c>
      <c r="D650" s="8">
        <f t="shared" si="44"/>
        <v>0</v>
      </c>
      <c r="E650" s="7" t="s">
        <v>12557</v>
      </c>
      <c r="F650" s="7">
        <f t="shared" si="45"/>
        <v>1</v>
      </c>
      <c r="G650" s="7" t="s">
        <v>12558</v>
      </c>
      <c r="H650" s="7">
        <f t="shared" si="46"/>
        <v>0</v>
      </c>
      <c r="I650" s="7" cm="1">
        <f t="array" ref="I650">IFERROR(_xlfn.IFS(M650="נח",1,M650="נע ונח",1,M650="שני שווא נח",2,M650="שני שוואים בסוף מילה",2,M650="שני שוואים ברצף",1),"0")</f>
        <v>1</v>
      </c>
      <c r="J650" s="9">
        <f t="shared" si="47"/>
        <v>3</v>
      </c>
      <c r="K650" t="s">
        <v>6698</v>
      </c>
      <c r="L650" t="s">
        <v>6694</v>
      </c>
      <c r="M650" t="s">
        <v>6701</v>
      </c>
      <c r="P650" t="s">
        <v>6694</v>
      </c>
      <c r="Q650" t="s">
        <v>6694</v>
      </c>
      <c r="W650" t="s">
        <v>6720</v>
      </c>
    </row>
    <row r="651" spans="1:23" ht="15.6" x14ac:dyDescent="0.4">
      <c r="A651" s="2" t="s">
        <v>3888</v>
      </c>
      <c r="B651" s="5" t="s">
        <v>7312</v>
      </c>
      <c r="C651" s="7" t="s">
        <v>12556</v>
      </c>
      <c r="D651" s="8">
        <f t="shared" si="44"/>
        <v>0</v>
      </c>
      <c r="E651" s="7" t="s">
        <v>12557</v>
      </c>
      <c r="F651" s="7">
        <f t="shared" si="45"/>
        <v>1</v>
      </c>
      <c r="G651" s="7" t="s">
        <v>12558</v>
      </c>
      <c r="H651" s="7">
        <f t="shared" si="46"/>
        <v>0</v>
      </c>
      <c r="I651" s="7" cm="1">
        <f t="array" ref="I651">IFERROR(_xlfn.IFS(M651="נח",1,M651="נע ונח",1,M651="שני שווא נח",2,M651="שני שוואים בסוף מילה",2,M651="שני שוואים ברצף",1),"0")</f>
        <v>1</v>
      </c>
      <c r="J651" s="9">
        <f t="shared" si="47"/>
        <v>4</v>
      </c>
      <c r="K651" t="s">
        <v>6697</v>
      </c>
      <c r="L651" t="s">
        <v>6694</v>
      </c>
      <c r="M651" t="s">
        <v>6701</v>
      </c>
      <c r="N651" t="s">
        <v>6706</v>
      </c>
      <c r="O651" t="s">
        <v>6694</v>
      </c>
      <c r="R651" t="s">
        <v>6694</v>
      </c>
      <c r="W651" t="s">
        <v>6720</v>
      </c>
    </row>
    <row r="652" spans="1:23" ht="15.6" x14ac:dyDescent="0.4">
      <c r="A652" s="2" t="s">
        <v>4557</v>
      </c>
      <c r="B652" s="5" t="s">
        <v>7310</v>
      </c>
      <c r="C652" s="7" t="s">
        <v>12556</v>
      </c>
      <c r="D652" s="8">
        <f t="shared" si="44"/>
        <v>0</v>
      </c>
      <c r="E652" s="7" t="s">
        <v>12557</v>
      </c>
      <c r="F652" s="7">
        <f t="shared" si="45"/>
        <v>1</v>
      </c>
      <c r="G652" s="7" t="s">
        <v>12558</v>
      </c>
      <c r="H652" s="7">
        <f t="shared" si="46"/>
        <v>0</v>
      </c>
      <c r="I652" s="7" t="str" cm="1">
        <f t="array" ref="I652">IFERROR(_xlfn.IFS(M652="נח",1,M652="נע ונח",1,M652="שני שווא נח",2,M652="שני שוואים בסוף מילה",2,M652="שני שוואים ברצף",1),"0")</f>
        <v>0</v>
      </c>
      <c r="J652" s="9">
        <f t="shared" si="47"/>
        <v>2</v>
      </c>
      <c r="K652" t="s">
        <v>6698</v>
      </c>
      <c r="L652" t="s">
        <v>6694</v>
      </c>
      <c r="M652" t="s">
        <v>6700</v>
      </c>
      <c r="N652" t="s">
        <v>6706</v>
      </c>
      <c r="O652" t="s">
        <v>6694</v>
      </c>
      <c r="W652" t="s">
        <v>6720</v>
      </c>
    </row>
    <row r="653" spans="1:23" ht="15.6" x14ac:dyDescent="0.4">
      <c r="A653" s="2" t="s">
        <v>1918</v>
      </c>
      <c r="B653" s="5" t="s">
        <v>7313</v>
      </c>
      <c r="C653" s="7" t="s">
        <v>12556</v>
      </c>
      <c r="D653" s="8">
        <f t="shared" si="44"/>
        <v>0</v>
      </c>
      <c r="E653" s="7" t="s">
        <v>12557</v>
      </c>
      <c r="F653" s="7">
        <f t="shared" si="45"/>
        <v>1</v>
      </c>
      <c r="G653" s="7" t="s">
        <v>12558</v>
      </c>
      <c r="H653" s="7">
        <f t="shared" si="46"/>
        <v>0</v>
      </c>
      <c r="I653" s="7" t="str" cm="1">
        <f t="array" ref="I653">IFERROR(_xlfn.IFS(M653="נח",1,M653="נע ונח",1,M653="שני שווא נח",2,M653="שני שוואים בסוף מילה",2,M653="שני שוואים ברצף",1),"0")</f>
        <v>0</v>
      </c>
      <c r="J653" s="9">
        <f t="shared" si="47"/>
        <v>3</v>
      </c>
      <c r="K653" t="s">
        <v>6697</v>
      </c>
      <c r="L653" t="s">
        <v>6694</v>
      </c>
      <c r="M653" t="s">
        <v>6700</v>
      </c>
      <c r="O653" t="s">
        <v>6694</v>
      </c>
      <c r="S653" t="s">
        <v>6694</v>
      </c>
      <c r="W653" t="s">
        <v>6720</v>
      </c>
    </row>
    <row r="654" spans="1:23" ht="15.6" x14ac:dyDescent="0.4">
      <c r="A654" s="2" t="s">
        <v>2993</v>
      </c>
      <c r="B654" s="5" t="s">
        <v>7314</v>
      </c>
      <c r="C654" s="7" t="s">
        <v>12556</v>
      </c>
      <c r="D654" s="8">
        <f t="shared" si="44"/>
        <v>0</v>
      </c>
      <c r="E654" s="7" t="s">
        <v>12557</v>
      </c>
      <c r="F654" s="7">
        <f t="shared" si="45"/>
        <v>1</v>
      </c>
      <c r="G654" s="7" t="s">
        <v>12558</v>
      </c>
      <c r="H654" s="7">
        <f t="shared" si="46"/>
        <v>0</v>
      </c>
      <c r="I654" s="7" t="str" cm="1">
        <f t="array" ref="I654">IFERROR(_xlfn.IFS(M654="נח",1,M654="נע ונח",1,M654="שני שווא נח",2,M654="שני שוואים בסוף מילה",2,M654="שני שוואים ברצף",1),"0")</f>
        <v>0</v>
      </c>
      <c r="J654" s="9">
        <f t="shared" si="47"/>
        <v>2</v>
      </c>
      <c r="K654" t="s">
        <v>6698</v>
      </c>
      <c r="L654" t="s">
        <v>6694</v>
      </c>
      <c r="M654" t="s">
        <v>6700</v>
      </c>
      <c r="V654" t="s">
        <v>6694</v>
      </c>
      <c r="W654" t="s">
        <v>6720</v>
      </c>
    </row>
    <row r="655" spans="1:23" ht="15.6" x14ac:dyDescent="0.4">
      <c r="A655" s="2" t="s">
        <v>3401</v>
      </c>
      <c r="B655" s="5" t="s">
        <v>7315</v>
      </c>
      <c r="C655" s="7" t="s">
        <v>12556</v>
      </c>
      <c r="D655" s="8">
        <f t="shared" si="44"/>
        <v>0</v>
      </c>
      <c r="E655" s="7" t="s">
        <v>12557</v>
      </c>
      <c r="F655" s="7">
        <f t="shared" si="45"/>
        <v>2</v>
      </c>
      <c r="G655" s="7" t="s">
        <v>12558</v>
      </c>
      <c r="H655" s="7">
        <f t="shared" si="46"/>
        <v>1</v>
      </c>
      <c r="I655" s="7" cm="1">
        <f t="array" ref="I655">IFERROR(_xlfn.IFS(M655="נח",1,M655="נע ונח",1,M655="שני שווא נח",2,M655="שני שוואים בסוף מילה",2,M655="שני שוואים ברצף",1),"0")</f>
        <v>1</v>
      </c>
      <c r="J655" s="9">
        <f t="shared" si="47"/>
        <v>5</v>
      </c>
      <c r="K655" t="s">
        <v>6698</v>
      </c>
      <c r="L655" t="s">
        <v>6694</v>
      </c>
      <c r="M655" t="s">
        <v>6701</v>
      </c>
      <c r="N655" t="s">
        <v>6706</v>
      </c>
      <c r="O655" t="s">
        <v>6694</v>
      </c>
      <c r="S655" t="s">
        <v>6694</v>
      </c>
      <c r="U655" t="s">
        <v>6694</v>
      </c>
      <c r="W655" t="s">
        <v>6720</v>
      </c>
    </row>
    <row r="656" spans="1:23" ht="15.6" x14ac:dyDescent="0.4">
      <c r="A656" s="2" t="s">
        <v>4961</v>
      </c>
      <c r="B656" s="5" t="s">
        <v>7316</v>
      </c>
      <c r="C656" s="7" t="s">
        <v>12556</v>
      </c>
      <c r="D656" s="8">
        <f t="shared" si="44"/>
        <v>1</v>
      </c>
      <c r="E656" s="7" t="s">
        <v>12557</v>
      </c>
      <c r="F656" s="7">
        <f t="shared" si="45"/>
        <v>2</v>
      </c>
      <c r="G656" s="7" t="s">
        <v>12558</v>
      </c>
      <c r="H656" s="7">
        <f t="shared" si="46"/>
        <v>0</v>
      </c>
      <c r="I656" s="7" cm="1">
        <f t="array" ref="I656">IFERROR(_xlfn.IFS(M656="נח",1,M656="נע ונח",1,M656="שני שווא נח",2,M656="שני שוואים בסוף מילה",2,M656="שני שוואים ברצף",1),"0")</f>
        <v>1</v>
      </c>
      <c r="J656" s="9">
        <f t="shared" si="47"/>
        <v>4</v>
      </c>
      <c r="K656" t="s">
        <v>6697</v>
      </c>
      <c r="L656" t="s">
        <v>6694</v>
      </c>
      <c r="M656" t="s">
        <v>6701</v>
      </c>
      <c r="N656" t="s">
        <v>6706</v>
      </c>
      <c r="O656" t="s">
        <v>6694</v>
      </c>
      <c r="S656" t="s">
        <v>6694</v>
      </c>
      <c r="V656" t="s">
        <v>6694</v>
      </c>
      <c r="W656" t="s">
        <v>6720</v>
      </c>
    </row>
    <row r="657" spans="1:23" ht="15.6" x14ac:dyDescent="0.4">
      <c r="A657" s="2" t="s">
        <v>5858</v>
      </c>
      <c r="B657" s="5" t="s">
        <v>7317</v>
      </c>
      <c r="C657" s="7" t="s">
        <v>12556</v>
      </c>
      <c r="D657" s="8">
        <f t="shared" si="44"/>
        <v>0</v>
      </c>
      <c r="E657" s="7" t="s">
        <v>12557</v>
      </c>
      <c r="F657" s="7">
        <f t="shared" si="45"/>
        <v>2</v>
      </c>
      <c r="G657" s="7" t="s">
        <v>12558</v>
      </c>
      <c r="H657" s="7">
        <f t="shared" si="46"/>
        <v>0</v>
      </c>
      <c r="I657" s="7" cm="1">
        <f t="array" ref="I657">IFERROR(_xlfn.IFS(M657="נח",1,M657="נע ונח",1,M657="שני שווא נח",2,M657="שני שוואים בסוף מילה",2,M657="שני שוואים ברצף",1),"0")</f>
        <v>1</v>
      </c>
      <c r="J657" s="9">
        <f t="shared" si="47"/>
        <v>4</v>
      </c>
      <c r="K657" t="s">
        <v>6698</v>
      </c>
      <c r="L657" t="s">
        <v>6694</v>
      </c>
      <c r="M657" t="s">
        <v>6701</v>
      </c>
      <c r="P657" t="s">
        <v>6694</v>
      </c>
      <c r="Q657" t="s">
        <v>6694</v>
      </c>
      <c r="S657" t="s">
        <v>6694</v>
      </c>
      <c r="W657" t="s">
        <v>6720</v>
      </c>
    </row>
    <row r="658" spans="1:23" ht="15.6" x14ac:dyDescent="0.4">
      <c r="A658" s="2" t="s">
        <v>2451</v>
      </c>
      <c r="B658" s="5" t="s">
        <v>7318</v>
      </c>
      <c r="C658" s="7" t="s">
        <v>12556</v>
      </c>
      <c r="D658" s="8">
        <f t="shared" si="44"/>
        <v>0</v>
      </c>
      <c r="E658" s="7" t="s">
        <v>12557</v>
      </c>
      <c r="F658" s="7">
        <f t="shared" si="45"/>
        <v>1</v>
      </c>
      <c r="G658" s="7" t="s">
        <v>12558</v>
      </c>
      <c r="H658" s="7">
        <f t="shared" si="46"/>
        <v>0</v>
      </c>
      <c r="I658" s="7" t="str" cm="1">
        <f t="array" ref="I658">IFERROR(_xlfn.IFS(M658="נח",1,M658="נע ונח",1,M658="שני שווא נח",2,M658="שני שוואים בסוף מילה",2,M658="שני שוואים ברצף",1),"0")</f>
        <v>0</v>
      </c>
      <c r="J658" s="9">
        <f t="shared" si="47"/>
        <v>3</v>
      </c>
      <c r="K658" t="s">
        <v>6698</v>
      </c>
      <c r="L658" t="s">
        <v>6694</v>
      </c>
      <c r="M658" t="s">
        <v>6700</v>
      </c>
      <c r="P658" t="s">
        <v>6694</v>
      </c>
      <c r="Q658" t="s">
        <v>6694</v>
      </c>
      <c r="W658" t="s">
        <v>6720</v>
      </c>
    </row>
    <row r="659" spans="1:23" ht="15.6" x14ac:dyDescent="0.4">
      <c r="A659" s="2" t="s">
        <v>6256</v>
      </c>
      <c r="B659" s="5" t="s">
        <v>7319</v>
      </c>
      <c r="C659" s="7" t="s">
        <v>12556</v>
      </c>
      <c r="D659" s="8">
        <f t="shared" si="44"/>
        <v>0</v>
      </c>
      <c r="E659" s="7" t="s">
        <v>12557</v>
      </c>
      <c r="F659" s="7">
        <f t="shared" si="45"/>
        <v>1</v>
      </c>
      <c r="G659" s="7" t="s">
        <v>12558</v>
      </c>
      <c r="H659" s="7">
        <f t="shared" si="46"/>
        <v>0</v>
      </c>
      <c r="I659" s="7" t="str" cm="1">
        <f t="array" ref="I659">IFERROR(_xlfn.IFS(M659="נח",1,M659="נע ונח",1,M659="שני שווא נח",2,M659="שני שוואים בסוף מילה",2,M659="שני שוואים ברצף",1),"0")</f>
        <v>0</v>
      </c>
      <c r="J659" s="9">
        <f t="shared" si="47"/>
        <v>4</v>
      </c>
      <c r="K659" t="s">
        <v>6697</v>
      </c>
      <c r="L659" t="s">
        <v>6694</v>
      </c>
      <c r="M659" t="s">
        <v>6700</v>
      </c>
      <c r="O659" t="s">
        <v>6694</v>
      </c>
      <c r="Q659" t="s">
        <v>6694</v>
      </c>
      <c r="V659" t="s">
        <v>6694</v>
      </c>
      <c r="W659" t="s">
        <v>6720</v>
      </c>
    </row>
    <row r="660" spans="1:23" ht="15.6" x14ac:dyDescent="0.4">
      <c r="A660" s="2" t="s">
        <v>1425</v>
      </c>
      <c r="B660" s="5" t="s">
        <v>7320</v>
      </c>
      <c r="C660" s="7" t="s">
        <v>12556</v>
      </c>
      <c r="D660" s="8">
        <f t="shared" si="44"/>
        <v>0</v>
      </c>
      <c r="E660" s="7" t="s">
        <v>12557</v>
      </c>
      <c r="F660" s="7">
        <f t="shared" si="45"/>
        <v>1</v>
      </c>
      <c r="G660" s="7" t="s">
        <v>12558</v>
      </c>
      <c r="H660" s="7">
        <f t="shared" si="46"/>
        <v>0</v>
      </c>
      <c r="I660" s="7" t="str" cm="1">
        <f t="array" ref="I660">IFERROR(_xlfn.IFS(M660="נח",1,M660="נע ונח",1,M660="שני שווא נח",2,M660="שני שוואים בסוף מילה",2,M660="שני שוואים ברצף",1),"0")</f>
        <v>0</v>
      </c>
      <c r="J660" s="9">
        <f t="shared" si="47"/>
        <v>3</v>
      </c>
      <c r="K660" t="s">
        <v>6697</v>
      </c>
      <c r="L660" t="s">
        <v>6694</v>
      </c>
      <c r="M660" t="s">
        <v>6700</v>
      </c>
      <c r="O660" t="s">
        <v>6694</v>
      </c>
      <c r="Q660" t="s">
        <v>6694</v>
      </c>
      <c r="W660" t="s">
        <v>6720</v>
      </c>
    </row>
    <row r="661" spans="1:23" ht="15.6" x14ac:dyDescent="0.4">
      <c r="A661" s="2" t="s">
        <v>5310</v>
      </c>
      <c r="B661" s="5" t="s">
        <v>7321</v>
      </c>
      <c r="C661" s="7" t="s">
        <v>12556</v>
      </c>
      <c r="D661" s="8">
        <f t="shared" si="44"/>
        <v>0</v>
      </c>
      <c r="E661" s="7" t="s">
        <v>12557</v>
      </c>
      <c r="F661" s="7">
        <f t="shared" si="45"/>
        <v>1</v>
      </c>
      <c r="G661" s="7" t="s">
        <v>12558</v>
      </c>
      <c r="H661" s="7">
        <f t="shared" si="46"/>
        <v>0</v>
      </c>
      <c r="I661" s="7" t="str" cm="1">
        <f t="array" ref="I661">IFERROR(_xlfn.IFS(M661="נח",1,M661="נע ונח",1,M661="שני שווא נח",2,M661="שני שוואים בסוף מילה",2,M661="שני שוואים ברצף",1),"0")</f>
        <v>0</v>
      </c>
      <c r="J661" s="9">
        <f t="shared" si="47"/>
        <v>3</v>
      </c>
      <c r="K661" t="s">
        <v>6698</v>
      </c>
      <c r="L661" t="s">
        <v>6694</v>
      </c>
      <c r="M661" t="s">
        <v>6700</v>
      </c>
      <c r="Q661" t="s">
        <v>6694</v>
      </c>
      <c r="V661" t="s">
        <v>6694</v>
      </c>
      <c r="W661" t="s">
        <v>6720</v>
      </c>
    </row>
    <row r="662" spans="1:23" ht="15.6" x14ac:dyDescent="0.4">
      <c r="A662" s="2" t="s">
        <v>219</v>
      </c>
      <c r="B662" s="5" t="s">
        <v>7322</v>
      </c>
      <c r="C662" s="7" t="s">
        <v>12556</v>
      </c>
      <c r="D662" s="8">
        <f t="shared" si="44"/>
        <v>0</v>
      </c>
      <c r="E662" s="7" t="s">
        <v>12557</v>
      </c>
      <c r="F662" s="7">
        <f t="shared" si="45"/>
        <v>2</v>
      </c>
      <c r="G662" s="7" t="s">
        <v>12558</v>
      </c>
      <c r="H662" s="7">
        <f t="shared" si="46"/>
        <v>0</v>
      </c>
      <c r="I662" s="7" t="str" cm="1">
        <f t="array" ref="I662">IFERROR(_xlfn.IFS(M662="נח",1,M662="נע ונח",1,M662="שני שווא נח",2,M662="שני שוואים בסוף מילה",2,M662="שני שוואים ברצף",1),"0")</f>
        <v>0</v>
      </c>
      <c r="J662" s="9">
        <f t="shared" si="47"/>
        <v>4</v>
      </c>
      <c r="K662" t="s">
        <v>6697</v>
      </c>
      <c r="L662" t="s">
        <v>6694</v>
      </c>
      <c r="M662" t="s">
        <v>6700</v>
      </c>
      <c r="P662" t="s">
        <v>6694</v>
      </c>
      <c r="S662" t="s">
        <v>6694</v>
      </c>
      <c r="W662" t="s">
        <v>6720</v>
      </c>
    </row>
    <row r="663" spans="1:23" ht="15.6" x14ac:dyDescent="0.4">
      <c r="A663" s="2" t="s">
        <v>2875</v>
      </c>
      <c r="B663" s="5" t="s">
        <v>7323</v>
      </c>
      <c r="C663" s="7" t="s">
        <v>12556</v>
      </c>
      <c r="D663" s="8">
        <f t="shared" si="44"/>
        <v>0</v>
      </c>
      <c r="E663" s="7" t="s">
        <v>12557</v>
      </c>
      <c r="F663" s="7">
        <f t="shared" si="45"/>
        <v>1</v>
      </c>
      <c r="G663" s="7" t="s">
        <v>12558</v>
      </c>
      <c r="H663" s="7">
        <f t="shared" si="46"/>
        <v>0</v>
      </c>
      <c r="I663" s="7" cm="1">
        <f t="array" ref="I663">IFERROR(_xlfn.IFS(M663="נח",1,M663="נע ונח",1,M663="שני שווא נח",2,M663="שני שוואים בסוף מילה",2,M663="שני שוואים ברצף",1),"0")</f>
        <v>1</v>
      </c>
      <c r="J663" s="9">
        <f t="shared" si="47"/>
        <v>3</v>
      </c>
      <c r="K663" t="s">
        <v>6698</v>
      </c>
      <c r="L663" t="s">
        <v>6694</v>
      </c>
      <c r="M663" t="s">
        <v>6701</v>
      </c>
      <c r="P663" t="s">
        <v>6694</v>
      </c>
      <c r="Q663" t="s">
        <v>6694</v>
      </c>
      <c r="W663" t="s">
        <v>6720</v>
      </c>
    </row>
    <row r="664" spans="1:23" ht="15.6" x14ac:dyDescent="0.4">
      <c r="A664" s="2" t="s">
        <v>5235</v>
      </c>
      <c r="B664" s="5" t="s">
        <v>7324</v>
      </c>
      <c r="C664" s="7" t="s">
        <v>12556</v>
      </c>
      <c r="D664" s="8">
        <f t="shared" si="44"/>
        <v>0</v>
      </c>
      <c r="E664" s="7" t="s">
        <v>12557</v>
      </c>
      <c r="F664" s="7">
        <f t="shared" si="45"/>
        <v>1</v>
      </c>
      <c r="G664" s="7" t="s">
        <v>12558</v>
      </c>
      <c r="H664" s="7">
        <f t="shared" si="46"/>
        <v>0</v>
      </c>
      <c r="I664" s="7" cm="1">
        <f t="array" ref="I664">IFERROR(_xlfn.IFS(M664="נח",1,M664="נע ונח",1,M664="שני שווא נח",2,M664="שני שוואים בסוף מילה",2,M664="שני שוואים ברצף",1),"0")</f>
        <v>1</v>
      </c>
      <c r="J664" s="9">
        <f t="shared" si="47"/>
        <v>3</v>
      </c>
      <c r="K664" t="s">
        <v>6698</v>
      </c>
      <c r="L664" t="s">
        <v>6694</v>
      </c>
      <c r="M664" t="s">
        <v>6701</v>
      </c>
      <c r="P664" t="s">
        <v>6694</v>
      </c>
      <c r="W664" t="s">
        <v>6720</v>
      </c>
    </row>
    <row r="665" spans="1:23" ht="15.6" x14ac:dyDescent="0.4">
      <c r="A665" s="2" t="s">
        <v>6422</v>
      </c>
      <c r="B665" s="5" t="s">
        <v>7325</v>
      </c>
      <c r="C665" s="7" t="s">
        <v>12556</v>
      </c>
      <c r="D665" s="8">
        <f t="shared" si="44"/>
        <v>0</v>
      </c>
      <c r="E665" s="7" t="s">
        <v>12557</v>
      </c>
      <c r="F665" s="7">
        <f t="shared" si="45"/>
        <v>2</v>
      </c>
      <c r="G665" s="7" t="s">
        <v>12558</v>
      </c>
      <c r="H665" s="7">
        <f t="shared" si="46"/>
        <v>1</v>
      </c>
      <c r="I665" s="7" t="str" cm="1">
        <f t="array" ref="I665">IFERROR(_xlfn.IFS(M665="נח",1,M665="נע ונח",1,M665="שני שווא נח",2,M665="שני שוואים בסוף מילה",2,M665="שני שוואים ברצף",1),"0")</f>
        <v>0</v>
      </c>
      <c r="J665" s="9">
        <f t="shared" si="47"/>
        <v>5</v>
      </c>
      <c r="K665" t="s">
        <v>6697</v>
      </c>
      <c r="L665" t="s">
        <v>6694</v>
      </c>
      <c r="M665" t="s">
        <v>6700</v>
      </c>
      <c r="O665" t="s">
        <v>6694</v>
      </c>
      <c r="P665" t="s">
        <v>6694</v>
      </c>
      <c r="U665" t="s">
        <v>6694</v>
      </c>
      <c r="V665" t="s">
        <v>6694</v>
      </c>
      <c r="W665" t="s">
        <v>6720</v>
      </c>
    </row>
    <row r="666" spans="1:23" ht="15.6" x14ac:dyDescent="0.4">
      <c r="A666" s="2" t="s">
        <v>4223</v>
      </c>
      <c r="B666" s="5" t="s">
        <v>7326</v>
      </c>
      <c r="C666" s="7" t="s">
        <v>12556</v>
      </c>
      <c r="D666" s="8">
        <f t="shared" si="44"/>
        <v>0</v>
      </c>
      <c r="E666" s="7" t="s">
        <v>12557</v>
      </c>
      <c r="F666" s="7">
        <f t="shared" si="45"/>
        <v>2</v>
      </c>
      <c r="G666" s="7" t="s">
        <v>12558</v>
      </c>
      <c r="H666" s="7">
        <f t="shared" si="46"/>
        <v>0</v>
      </c>
      <c r="I666" s="7" t="str" cm="1">
        <f t="array" ref="I666">IFERROR(_xlfn.IFS(M666="נח",1,M666="נע ונח",1,M666="שני שווא נח",2,M666="שני שוואים בסוף מילה",2,M666="שני שוואים ברצף",1),"0")</f>
        <v>0</v>
      </c>
      <c r="J666" s="9">
        <f t="shared" si="47"/>
        <v>4</v>
      </c>
      <c r="K666" t="s">
        <v>6697</v>
      </c>
      <c r="L666" t="s">
        <v>6694</v>
      </c>
      <c r="M666" t="s">
        <v>6700</v>
      </c>
      <c r="P666" t="s">
        <v>6694</v>
      </c>
      <c r="V666" t="s">
        <v>6694</v>
      </c>
      <c r="W666" t="s">
        <v>6720</v>
      </c>
    </row>
    <row r="667" spans="1:23" ht="15.6" x14ac:dyDescent="0.4">
      <c r="A667" s="2" t="s">
        <v>5216</v>
      </c>
      <c r="B667" s="5" t="s">
        <v>7121</v>
      </c>
      <c r="C667" s="7" t="s">
        <v>12556</v>
      </c>
      <c r="D667" s="8">
        <f t="shared" si="44"/>
        <v>0</v>
      </c>
      <c r="E667" s="7" t="s">
        <v>12557</v>
      </c>
      <c r="F667" s="7">
        <f t="shared" si="45"/>
        <v>1</v>
      </c>
      <c r="G667" s="7" t="s">
        <v>12558</v>
      </c>
      <c r="H667" s="7">
        <f t="shared" si="46"/>
        <v>0</v>
      </c>
      <c r="I667" s="7" t="str" cm="1">
        <f t="array" ref="I667">IFERROR(_xlfn.IFS(M667="נח",1,M667="נע ונח",1,M667="שני שווא נח",2,M667="שני שוואים בסוף מילה",2,M667="שני שוואים ברצף",1),"0")</f>
        <v>0</v>
      </c>
      <c r="J667" s="9">
        <f t="shared" si="47"/>
        <v>2</v>
      </c>
      <c r="K667" t="s">
        <v>6698</v>
      </c>
      <c r="L667" t="s">
        <v>6694</v>
      </c>
      <c r="M667" t="s">
        <v>6700</v>
      </c>
      <c r="P667" t="s">
        <v>6694</v>
      </c>
      <c r="W667" t="s">
        <v>6720</v>
      </c>
    </row>
    <row r="668" spans="1:23" ht="15.6" x14ac:dyDescent="0.4">
      <c r="A668" s="2" t="s">
        <v>3004</v>
      </c>
      <c r="B668" s="5" t="s">
        <v>7327</v>
      </c>
      <c r="C668" s="7" t="s">
        <v>12556</v>
      </c>
      <c r="D668" s="8">
        <f t="shared" si="44"/>
        <v>0</v>
      </c>
      <c r="E668" s="7" t="s">
        <v>12557</v>
      </c>
      <c r="F668" s="7">
        <f t="shared" si="45"/>
        <v>1</v>
      </c>
      <c r="G668" s="7" t="s">
        <v>12558</v>
      </c>
      <c r="H668" s="7">
        <f t="shared" si="46"/>
        <v>0</v>
      </c>
      <c r="I668" s="7" t="str" cm="1">
        <f t="array" ref="I668">IFERROR(_xlfn.IFS(M668="נח",1,M668="נע ונח",1,M668="שני שווא נח",2,M668="שני שוואים בסוף מילה",2,M668="שני שוואים ברצף",1),"0")</f>
        <v>0</v>
      </c>
      <c r="J668" s="9">
        <f t="shared" si="47"/>
        <v>4</v>
      </c>
      <c r="K668" t="s">
        <v>6698</v>
      </c>
      <c r="L668" t="s">
        <v>6694</v>
      </c>
      <c r="M668" t="s">
        <v>6703</v>
      </c>
      <c r="P668" t="s">
        <v>6694</v>
      </c>
      <c r="Q668" t="s">
        <v>6694</v>
      </c>
      <c r="W668" t="s">
        <v>6720</v>
      </c>
    </row>
    <row r="669" spans="1:23" ht="15.6" x14ac:dyDescent="0.4">
      <c r="A669" s="2" t="s">
        <v>831</v>
      </c>
      <c r="B669" s="5" t="s">
        <v>7328</v>
      </c>
      <c r="C669" s="7" t="s">
        <v>12556</v>
      </c>
      <c r="D669" s="8">
        <f t="shared" si="44"/>
        <v>1</v>
      </c>
      <c r="E669" s="7" t="s">
        <v>12557</v>
      </c>
      <c r="F669" s="7">
        <f t="shared" si="45"/>
        <v>2</v>
      </c>
      <c r="G669" s="7" t="s">
        <v>12558</v>
      </c>
      <c r="H669" s="7">
        <f t="shared" si="46"/>
        <v>0</v>
      </c>
      <c r="I669" s="7" t="str" cm="1">
        <f t="array" ref="I669">IFERROR(_xlfn.IFS(M669="נח",1,M669="נע ונח",1,M669="שני שווא נח",2,M669="שני שוואים בסוף מילה",2,M669="שני שוואים ברצף",1),"0")</f>
        <v>0</v>
      </c>
      <c r="J669" s="9">
        <f t="shared" si="47"/>
        <v>5</v>
      </c>
      <c r="K669" t="s">
        <v>6698</v>
      </c>
      <c r="L669" t="s">
        <v>6694</v>
      </c>
      <c r="M669" t="s">
        <v>6700</v>
      </c>
      <c r="O669" t="s">
        <v>6694</v>
      </c>
      <c r="P669" t="s">
        <v>6694</v>
      </c>
      <c r="S669" t="s">
        <v>6694</v>
      </c>
      <c r="W669" t="s">
        <v>6720</v>
      </c>
    </row>
    <row r="670" spans="1:23" ht="15.6" x14ac:dyDescent="0.4">
      <c r="A670" s="2" t="s">
        <v>3764</v>
      </c>
      <c r="B670" s="5" t="s">
        <v>7329</v>
      </c>
      <c r="C670" s="7" t="s">
        <v>12556</v>
      </c>
      <c r="D670" s="8">
        <f t="shared" si="44"/>
        <v>0</v>
      </c>
      <c r="E670" s="7" t="s">
        <v>12557</v>
      </c>
      <c r="F670" s="7">
        <f t="shared" si="45"/>
        <v>1</v>
      </c>
      <c r="G670" s="7" t="s">
        <v>12558</v>
      </c>
      <c r="H670" s="7">
        <f t="shared" si="46"/>
        <v>0</v>
      </c>
      <c r="I670" s="7" t="str" cm="1">
        <f t="array" ref="I670">IFERROR(_xlfn.IFS(M670="נח",1,M670="נע ונח",1,M670="שני שווא נח",2,M670="שני שוואים בסוף מילה",2,M670="שני שוואים ברצף",1),"0")</f>
        <v>0</v>
      </c>
      <c r="J670" s="9">
        <f t="shared" si="47"/>
        <v>3</v>
      </c>
      <c r="K670" t="s">
        <v>6698</v>
      </c>
      <c r="L670" t="s">
        <v>6694</v>
      </c>
      <c r="M670" t="s">
        <v>6700</v>
      </c>
      <c r="O670" t="s">
        <v>6694</v>
      </c>
      <c r="S670" t="s">
        <v>6694</v>
      </c>
      <c r="W670" t="s">
        <v>6720</v>
      </c>
    </row>
    <row r="671" spans="1:23" ht="15.6" x14ac:dyDescent="0.4">
      <c r="A671" s="2" t="s">
        <v>1468</v>
      </c>
      <c r="B671" s="5" t="s">
        <v>7330</v>
      </c>
      <c r="C671" s="7" t="s">
        <v>12556</v>
      </c>
      <c r="D671" s="8">
        <f t="shared" si="44"/>
        <v>0</v>
      </c>
      <c r="E671" s="7" t="s">
        <v>12557</v>
      </c>
      <c r="F671" s="7">
        <f t="shared" si="45"/>
        <v>2</v>
      </c>
      <c r="G671" s="7" t="s">
        <v>12558</v>
      </c>
      <c r="H671" s="7">
        <f t="shared" si="46"/>
        <v>0</v>
      </c>
      <c r="I671" s="7" t="str" cm="1">
        <f t="array" ref="I671">IFERROR(_xlfn.IFS(M671="נח",1,M671="נע ונח",1,M671="שני שווא נח",2,M671="שני שוואים בסוף מילה",2,M671="שני שוואים ברצף",1),"0")</f>
        <v>0</v>
      </c>
      <c r="J671" s="9">
        <f t="shared" si="47"/>
        <v>3</v>
      </c>
      <c r="K671" t="s">
        <v>6698</v>
      </c>
      <c r="L671" t="s">
        <v>6694</v>
      </c>
      <c r="M671" t="s">
        <v>6700</v>
      </c>
      <c r="S671" t="s">
        <v>6694</v>
      </c>
      <c r="W671" t="s">
        <v>6720</v>
      </c>
    </row>
    <row r="672" spans="1:23" ht="15.6" x14ac:dyDescent="0.4">
      <c r="A672" s="2" t="s">
        <v>5928</v>
      </c>
      <c r="B672" s="5" t="s">
        <v>7331</v>
      </c>
      <c r="C672" s="7" t="s">
        <v>12556</v>
      </c>
      <c r="D672" s="8">
        <f t="shared" si="44"/>
        <v>0</v>
      </c>
      <c r="E672" s="7" t="s">
        <v>12557</v>
      </c>
      <c r="F672" s="7">
        <f t="shared" si="45"/>
        <v>2</v>
      </c>
      <c r="G672" s="7" t="s">
        <v>12558</v>
      </c>
      <c r="H672" s="7">
        <f t="shared" si="46"/>
        <v>1</v>
      </c>
      <c r="I672" s="7" cm="1">
        <f t="array" ref="I672">IFERROR(_xlfn.IFS(M672="נח",1,M672="נע ונח",1,M672="שני שווא נח",2,M672="שני שוואים בסוף מילה",2,M672="שני שוואים ברצף",1),"0")</f>
        <v>1</v>
      </c>
      <c r="J672" s="9">
        <f t="shared" si="47"/>
        <v>4</v>
      </c>
      <c r="K672" t="s">
        <v>6697</v>
      </c>
      <c r="L672" t="s">
        <v>6694</v>
      </c>
      <c r="M672" t="s">
        <v>6701</v>
      </c>
      <c r="N672" t="s">
        <v>6706</v>
      </c>
      <c r="O672" t="s">
        <v>6694</v>
      </c>
      <c r="Q672" t="s">
        <v>6694</v>
      </c>
      <c r="U672" t="s">
        <v>6694</v>
      </c>
      <c r="W672" t="s">
        <v>6720</v>
      </c>
    </row>
    <row r="673" spans="1:23" ht="15.6" x14ac:dyDescent="0.4">
      <c r="A673" s="2" t="s">
        <v>813</v>
      </c>
      <c r="B673" s="5" t="s">
        <v>7332</v>
      </c>
      <c r="C673" s="7" t="s">
        <v>12556</v>
      </c>
      <c r="D673" s="8">
        <f t="shared" si="44"/>
        <v>0</v>
      </c>
      <c r="E673" s="7" t="s">
        <v>12557</v>
      </c>
      <c r="F673" s="7">
        <f t="shared" si="45"/>
        <v>1</v>
      </c>
      <c r="G673" s="7" t="s">
        <v>12558</v>
      </c>
      <c r="H673" s="7">
        <f t="shared" si="46"/>
        <v>0</v>
      </c>
      <c r="I673" s="7" t="str" cm="1">
        <f t="array" ref="I673">IFERROR(_xlfn.IFS(M673="נח",1,M673="נע ונח",1,M673="שני שווא נח",2,M673="שני שוואים בסוף מילה",2,M673="שני שוואים ברצף",1),"0")</f>
        <v>0</v>
      </c>
      <c r="J673" s="9">
        <f t="shared" si="47"/>
        <v>2</v>
      </c>
      <c r="K673" t="s">
        <v>6698</v>
      </c>
      <c r="L673" t="s">
        <v>6694</v>
      </c>
      <c r="M673" t="s">
        <v>6700</v>
      </c>
      <c r="V673" t="s">
        <v>6694</v>
      </c>
      <c r="W673" t="s">
        <v>6720</v>
      </c>
    </row>
    <row r="674" spans="1:23" ht="15.6" x14ac:dyDescent="0.4">
      <c r="A674" s="2" t="s">
        <v>1026</v>
      </c>
      <c r="B674" s="5" t="s">
        <v>7333</v>
      </c>
      <c r="C674" s="7" t="s">
        <v>12556</v>
      </c>
      <c r="D674" s="8">
        <f t="shared" si="44"/>
        <v>0</v>
      </c>
      <c r="E674" s="7" t="s">
        <v>12557</v>
      </c>
      <c r="F674" s="7">
        <f t="shared" si="45"/>
        <v>1</v>
      </c>
      <c r="G674" s="7" t="s">
        <v>12558</v>
      </c>
      <c r="H674" s="7">
        <f t="shared" si="46"/>
        <v>0</v>
      </c>
      <c r="I674" s="7" t="str" cm="1">
        <f t="array" ref="I674">IFERROR(_xlfn.IFS(M674="נח",1,M674="נע ונח",1,M674="שני שווא נח",2,M674="שני שוואים בסוף מילה",2,M674="שני שוואים ברצף",1),"0")</f>
        <v>0</v>
      </c>
      <c r="J674" s="9">
        <f t="shared" si="47"/>
        <v>4</v>
      </c>
      <c r="K674" t="s">
        <v>6697</v>
      </c>
      <c r="L674" t="s">
        <v>6694</v>
      </c>
      <c r="M674" t="s">
        <v>6700</v>
      </c>
      <c r="O674" t="s">
        <v>6694</v>
      </c>
      <c r="R674" t="s">
        <v>6694</v>
      </c>
      <c r="S674" t="s">
        <v>6694</v>
      </c>
      <c r="W674" t="s">
        <v>6720</v>
      </c>
    </row>
    <row r="675" spans="1:23" ht="15.6" x14ac:dyDescent="0.4">
      <c r="A675" s="2" t="s">
        <v>6144</v>
      </c>
      <c r="B675" s="5" t="s">
        <v>7334</v>
      </c>
      <c r="C675" s="7" t="s">
        <v>12556</v>
      </c>
      <c r="D675" s="8">
        <f t="shared" si="44"/>
        <v>0</v>
      </c>
      <c r="E675" s="7" t="s">
        <v>12557</v>
      </c>
      <c r="F675" s="7">
        <f t="shared" si="45"/>
        <v>1</v>
      </c>
      <c r="G675" s="7" t="s">
        <v>12558</v>
      </c>
      <c r="H675" s="7">
        <f t="shared" si="46"/>
        <v>0</v>
      </c>
      <c r="I675" s="7" t="str" cm="1">
        <f t="array" ref="I675">IFERROR(_xlfn.IFS(M675="נח",1,M675="נע ונח",1,M675="שני שווא נח",2,M675="שני שוואים בסוף מילה",2,M675="שני שוואים ברצף",1),"0")</f>
        <v>0</v>
      </c>
      <c r="J675" s="9">
        <f t="shared" si="47"/>
        <v>3</v>
      </c>
      <c r="K675" t="s">
        <v>6698</v>
      </c>
      <c r="L675" t="s">
        <v>6694</v>
      </c>
      <c r="M675" t="s">
        <v>6700</v>
      </c>
      <c r="N675" t="s">
        <v>6706</v>
      </c>
      <c r="O675" t="s">
        <v>6694</v>
      </c>
      <c r="S675" t="s">
        <v>6694</v>
      </c>
      <c r="W675" t="s">
        <v>6720</v>
      </c>
    </row>
    <row r="676" spans="1:23" ht="15.6" x14ac:dyDescent="0.4">
      <c r="A676" s="2" t="s">
        <v>1689</v>
      </c>
      <c r="B676" s="5" t="s">
        <v>7335</v>
      </c>
      <c r="C676" s="7" t="s">
        <v>12556</v>
      </c>
      <c r="D676" s="8">
        <f t="shared" si="44"/>
        <v>0</v>
      </c>
      <c r="E676" s="7" t="s">
        <v>12557</v>
      </c>
      <c r="F676" s="7">
        <f t="shared" si="45"/>
        <v>1</v>
      </c>
      <c r="G676" s="7" t="s">
        <v>12558</v>
      </c>
      <c r="H676" s="7">
        <f t="shared" si="46"/>
        <v>0</v>
      </c>
      <c r="I676" s="7" cm="1">
        <f t="array" ref="I676">IFERROR(_xlfn.IFS(M676="נח",1,M676="נע ונח",1,M676="שני שווא נח",2,M676="שני שוואים בסוף מילה",2,M676="שני שוואים ברצף",1),"0")</f>
        <v>1</v>
      </c>
      <c r="J676" s="9">
        <f t="shared" si="47"/>
        <v>3</v>
      </c>
      <c r="K676" t="s">
        <v>6698</v>
      </c>
      <c r="L676" t="s">
        <v>6694</v>
      </c>
      <c r="M676" t="s">
        <v>6701</v>
      </c>
      <c r="P676" t="s">
        <v>6694</v>
      </c>
      <c r="Q676" t="s">
        <v>6694</v>
      </c>
      <c r="W676" t="s">
        <v>6720</v>
      </c>
    </row>
    <row r="677" spans="1:23" ht="15.6" x14ac:dyDescent="0.4">
      <c r="A677" s="2" t="s">
        <v>1303</v>
      </c>
      <c r="B677" s="5" t="s">
        <v>7126</v>
      </c>
      <c r="C677" s="7" t="s">
        <v>12556</v>
      </c>
      <c r="D677" s="8">
        <f t="shared" si="44"/>
        <v>0</v>
      </c>
      <c r="E677" s="7" t="s">
        <v>12557</v>
      </c>
      <c r="F677" s="7">
        <f t="shared" si="45"/>
        <v>2</v>
      </c>
      <c r="G677" s="7" t="s">
        <v>12558</v>
      </c>
      <c r="H677" s="7">
        <f t="shared" si="46"/>
        <v>0</v>
      </c>
      <c r="I677" s="7" t="str" cm="1">
        <f t="array" ref="I677">IFERROR(_xlfn.IFS(M677="נח",1,M677="נע ונח",1,M677="שני שווא נח",2,M677="שני שוואים בסוף מילה",2,M677="שני שוואים ברצף",1),"0")</f>
        <v>0</v>
      </c>
      <c r="J677" s="9">
        <f t="shared" si="47"/>
        <v>3</v>
      </c>
      <c r="K677" t="s">
        <v>6698</v>
      </c>
      <c r="L677" t="s">
        <v>6694</v>
      </c>
      <c r="M677" t="s">
        <v>6700</v>
      </c>
      <c r="N677" t="s">
        <v>6706</v>
      </c>
      <c r="O677" t="s">
        <v>6694</v>
      </c>
      <c r="P677" t="s">
        <v>6694</v>
      </c>
      <c r="W677" t="s">
        <v>6720</v>
      </c>
    </row>
    <row r="678" spans="1:23" ht="15.6" x14ac:dyDescent="0.4">
      <c r="A678" s="2" t="s">
        <v>3865</v>
      </c>
      <c r="B678" s="5" t="s">
        <v>7336</v>
      </c>
      <c r="C678" s="7" t="s">
        <v>12556</v>
      </c>
      <c r="D678" s="8">
        <f t="shared" si="44"/>
        <v>0</v>
      </c>
      <c r="E678" s="7" t="s">
        <v>12557</v>
      </c>
      <c r="F678" s="7">
        <f t="shared" si="45"/>
        <v>2</v>
      </c>
      <c r="G678" s="7" t="s">
        <v>12558</v>
      </c>
      <c r="H678" s="7">
        <f t="shared" si="46"/>
        <v>0</v>
      </c>
      <c r="I678" s="7" t="str" cm="1">
        <f t="array" ref="I678">IFERROR(_xlfn.IFS(M678="נח",1,M678="נע ונח",1,M678="שני שווא נח",2,M678="שני שוואים בסוף מילה",2,M678="שני שוואים ברצף",1),"0")</f>
        <v>0</v>
      </c>
      <c r="J678" s="9">
        <f t="shared" si="47"/>
        <v>3</v>
      </c>
      <c r="K678" t="s">
        <v>6698</v>
      </c>
      <c r="L678" t="s">
        <v>6694</v>
      </c>
      <c r="M678" t="s">
        <v>6700</v>
      </c>
      <c r="N678" t="s">
        <v>6706</v>
      </c>
      <c r="O678" t="s">
        <v>6694</v>
      </c>
      <c r="P678" t="s">
        <v>6694</v>
      </c>
      <c r="W678" t="s">
        <v>6720</v>
      </c>
    </row>
    <row r="679" spans="1:23" ht="15.6" x14ac:dyDescent="0.4">
      <c r="A679" s="2" t="s">
        <v>2078</v>
      </c>
      <c r="B679" s="5" t="s">
        <v>7337</v>
      </c>
      <c r="C679" s="7" t="s">
        <v>12556</v>
      </c>
      <c r="D679" s="8">
        <f t="shared" si="44"/>
        <v>0</v>
      </c>
      <c r="E679" s="7" t="s">
        <v>12557</v>
      </c>
      <c r="F679" s="7">
        <f t="shared" si="45"/>
        <v>1</v>
      </c>
      <c r="G679" s="7" t="s">
        <v>12558</v>
      </c>
      <c r="H679" s="7">
        <f t="shared" si="46"/>
        <v>0</v>
      </c>
      <c r="I679" s="7" cm="1">
        <f t="array" ref="I679">IFERROR(_xlfn.IFS(M679="נח",1,M679="נע ונח",1,M679="שני שווא נח",2,M679="שני שוואים בסוף מילה",2,M679="שני שוואים ברצף",1),"0")</f>
        <v>1</v>
      </c>
      <c r="J679" s="9">
        <f t="shared" si="47"/>
        <v>3</v>
      </c>
      <c r="K679" t="s">
        <v>6698</v>
      </c>
      <c r="L679" t="s">
        <v>6694</v>
      </c>
      <c r="M679" t="s">
        <v>6701</v>
      </c>
      <c r="P679" t="s">
        <v>6694</v>
      </c>
      <c r="Q679" t="s">
        <v>6694</v>
      </c>
      <c r="W679" t="s">
        <v>6720</v>
      </c>
    </row>
    <row r="680" spans="1:23" ht="15.6" x14ac:dyDescent="0.4">
      <c r="A680" s="2" t="s">
        <v>5964</v>
      </c>
      <c r="B680" s="5" t="s">
        <v>7128</v>
      </c>
      <c r="C680" s="7" t="s">
        <v>12556</v>
      </c>
      <c r="D680" s="8">
        <f t="shared" si="44"/>
        <v>0</v>
      </c>
      <c r="E680" s="7" t="s">
        <v>12557</v>
      </c>
      <c r="F680" s="7">
        <f t="shared" si="45"/>
        <v>2</v>
      </c>
      <c r="G680" s="7" t="s">
        <v>12558</v>
      </c>
      <c r="H680" s="7">
        <f t="shared" si="46"/>
        <v>0</v>
      </c>
      <c r="I680" s="7" cm="1">
        <f t="array" ref="I680">IFERROR(_xlfn.IFS(M680="נח",1,M680="נע ונח",1,M680="שני שווא נח",2,M680="שני שוואים בסוף מילה",2,M680="שני שוואים ברצף",1),"0")</f>
        <v>1</v>
      </c>
      <c r="J680" s="9">
        <f t="shared" si="47"/>
        <v>4</v>
      </c>
      <c r="K680" t="s">
        <v>6697</v>
      </c>
      <c r="L680" t="s">
        <v>6694</v>
      </c>
      <c r="M680" t="s">
        <v>6702</v>
      </c>
      <c r="O680" t="s">
        <v>6694</v>
      </c>
      <c r="P680" t="s">
        <v>6694</v>
      </c>
      <c r="W680" t="s">
        <v>6720</v>
      </c>
    </row>
    <row r="681" spans="1:23" ht="15.6" x14ac:dyDescent="0.4">
      <c r="A681" s="2" t="s">
        <v>3372</v>
      </c>
      <c r="B681" s="5" t="s">
        <v>7128</v>
      </c>
      <c r="C681" s="7" t="s">
        <v>12556</v>
      </c>
      <c r="D681" s="8">
        <f t="shared" si="44"/>
        <v>0</v>
      </c>
      <c r="E681" s="7" t="s">
        <v>12557</v>
      </c>
      <c r="F681" s="7">
        <f t="shared" si="45"/>
        <v>2</v>
      </c>
      <c r="G681" s="7" t="s">
        <v>12558</v>
      </c>
      <c r="H681" s="7">
        <f t="shared" si="46"/>
        <v>0</v>
      </c>
      <c r="I681" s="7" cm="1">
        <f t="array" ref="I681">IFERROR(_xlfn.IFS(M681="נח",1,M681="נע ונח",1,M681="שני שווא נח",2,M681="שני שוואים בסוף מילה",2,M681="שני שוואים ברצף",1),"0")</f>
        <v>1</v>
      </c>
      <c r="J681" s="9">
        <f t="shared" si="47"/>
        <v>4</v>
      </c>
      <c r="K681" t="s">
        <v>6697</v>
      </c>
      <c r="L681" t="s">
        <v>6694</v>
      </c>
      <c r="M681" t="s">
        <v>6701</v>
      </c>
      <c r="O681" t="s">
        <v>6694</v>
      </c>
      <c r="P681" t="s">
        <v>6694</v>
      </c>
      <c r="R681" t="s">
        <v>6694</v>
      </c>
      <c r="W681" t="s">
        <v>6720</v>
      </c>
    </row>
    <row r="682" spans="1:23" ht="15.6" x14ac:dyDescent="0.4">
      <c r="A682" s="2" t="s">
        <v>384</v>
      </c>
      <c r="B682" s="5" t="s">
        <v>7338</v>
      </c>
      <c r="C682" s="7" t="s">
        <v>12556</v>
      </c>
      <c r="D682" s="8">
        <f t="shared" si="44"/>
        <v>0</v>
      </c>
      <c r="E682" s="7" t="s">
        <v>12557</v>
      </c>
      <c r="F682" s="7">
        <f t="shared" si="45"/>
        <v>1</v>
      </c>
      <c r="G682" s="7" t="s">
        <v>12558</v>
      </c>
      <c r="H682" s="7">
        <f t="shared" si="46"/>
        <v>0</v>
      </c>
      <c r="I682" s="7" cm="1">
        <f t="array" ref="I682">IFERROR(_xlfn.IFS(M682="נח",1,M682="נע ונח",1,M682="שני שווא נח",2,M682="שני שוואים בסוף מילה",2,M682="שני שוואים ברצף",1),"0")</f>
        <v>1</v>
      </c>
      <c r="J682" s="9">
        <f t="shared" si="47"/>
        <v>3</v>
      </c>
      <c r="K682" t="s">
        <v>6698</v>
      </c>
      <c r="L682" t="s">
        <v>6694</v>
      </c>
      <c r="M682" t="s">
        <v>6701</v>
      </c>
      <c r="P682" t="s">
        <v>6694</v>
      </c>
      <c r="V682" t="s">
        <v>6694</v>
      </c>
      <c r="W682" t="s">
        <v>6720</v>
      </c>
    </row>
    <row r="683" spans="1:23" ht="15.6" x14ac:dyDescent="0.4">
      <c r="A683" s="2" t="s">
        <v>2697</v>
      </c>
      <c r="B683" s="5" t="s">
        <v>7339</v>
      </c>
      <c r="C683" s="7" t="s">
        <v>12556</v>
      </c>
      <c r="D683" s="8">
        <f t="shared" si="44"/>
        <v>0</v>
      </c>
      <c r="E683" s="7" t="s">
        <v>12557</v>
      </c>
      <c r="F683" s="7">
        <f t="shared" si="45"/>
        <v>1</v>
      </c>
      <c r="G683" s="7" t="s">
        <v>12558</v>
      </c>
      <c r="H683" s="7">
        <f t="shared" si="46"/>
        <v>0</v>
      </c>
      <c r="I683" s="7" cm="1">
        <f t="array" ref="I683">IFERROR(_xlfn.IFS(M683="נח",1,M683="נע ונח",1,M683="שני שווא נח",2,M683="שני שוואים בסוף מילה",2,M683="שני שוואים ברצף",1),"0")</f>
        <v>1</v>
      </c>
      <c r="J683" s="9">
        <f t="shared" si="47"/>
        <v>4</v>
      </c>
      <c r="K683" t="s">
        <v>6698</v>
      </c>
      <c r="L683" t="s">
        <v>6694</v>
      </c>
      <c r="M683" t="s">
        <v>6701</v>
      </c>
      <c r="P683" t="s">
        <v>6694</v>
      </c>
      <c r="Q683" t="s">
        <v>6694</v>
      </c>
      <c r="V683" t="s">
        <v>6694</v>
      </c>
      <c r="W683" t="s">
        <v>6720</v>
      </c>
    </row>
    <row r="684" spans="1:23" ht="15.6" x14ac:dyDescent="0.4">
      <c r="A684" s="2" t="s">
        <v>734</v>
      </c>
      <c r="B684" s="5" t="s">
        <v>7340</v>
      </c>
      <c r="C684" s="7" t="s">
        <v>12556</v>
      </c>
      <c r="D684" s="8">
        <f t="shared" si="44"/>
        <v>0</v>
      </c>
      <c r="E684" s="7" t="s">
        <v>12557</v>
      </c>
      <c r="F684" s="7">
        <f t="shared" si="45"/>
        <v>1</v>
      </c>
      <c r="G684" s="7" t="s">
        <v>12558</v>
      </c>
      <c r="H684" s="7">
        <f t="shared" si="46"/>
        <v>0</v>
      </c>
      <c r="I684" s="7" cm="1">
        <f t="array" ref="I684">IFERROR(_xlfn.IFS(M684="נח",1,M684="נע ונח",1,M684="שני שווא נח",2,M684="שני שוואים בסוף מילה",2,M684="שני שוואים ברצף",1),"0")</f>
        <v>1</v>
      </c>
      <c r="J684" s="9">
        <f t="shared" si="47"/>
        <v>3</v>
      </c>
      <c r="K684" t="s">
        <v>6697</v>
      </c>
      <c r="L684" t="s">
        <v>6694</v>
      </c>
      <c r="M684" t="s">
        <v>6701</v>
      </c>
      <c r="N684" t="s">
        <v>6706</v>
      </c>
      <c r="O684" t="s">
        <v>6694</v>
      </c>
      <c r="W684" t="s">
        <v>6720</v>
      </c>
    </row>
    <row r="685" spans="1:23" ht="15.6" x14ac:dyDescent="0.4">
      <c r="A685" s="2" t="s">
        <v>2596</v>
      </c>
      <c r="B685" s="5" t="s">
        <v>7341</v>
      </c>
      <c r="C685" s="7" t="s">
        <v>12556</v>
      </c>
      <c r="D685" s="8">
        <f t="shared" si="44"/>
        <v>0</v>
      </c>
      <c r="E685" s="7" t="s">
        <v>12557</v>
      </c>
      <c r="F685" s="7">
        <f t="shared" si="45"/>
        <v>1</v>
      </c>
      <c r="G685" s="7" t="s">
        <v>12558</v>
      </c>
      <c r="H685" s="7">
        <f t="shared" si="46"/>
        <v>0</v>
      </c>
      <c r="I685" s="7" t="str" cm="1">
        <f t="array" ref="I685">IFERROR(_xlfn.IFS(M685="נח",1,M685="נע ונח",1,M685="שני שווא נח",2,M685="שני שוואים בסוף מילה",2,M685="שני שוואים ברצף",1),"0")</f>
        <v>0</v>
      </c>
      <c r="J685" s="9">
        <f t="shared" si="47"/>
        <v>4</v>
      </c>
      <c r="K685" t="s">
        <v>6697</v>
      </c>
      <c r="L685" t="s">
        <v>6694</v>
      </c>
      <c r="M685" t="s">
        <v>6700</v>
      </c>
      <c r="O685" t="s">
        <v>6694</v>
      </c>
      <c r="Q685" t="s">
        <v>6694</v>
      </c>
      <c r="S685" t="s">
        <v>6694</v>
      </c>
      <c r="W685" t="s">
        <v>6720</v>
      </c>
    </row>
    <row r="686" spans="1:23" ht="15.6" x14ac:dyDescent="0.4">
      <c r="A686" s="2" t="s">
        <v>2989</v>
      </c>
      <c r="B686" s="5" t="s">
        <v>7342</v>
      </c>
      <c r="C686" s="7" t="s">
        <v>12556</v>
      </c>
      <c r="D686" s="8">
        <f t="shared" si="44"/>
        <v>0</v>
      </c>
      <c r="E686" s="7" t="s">
        <v>12557</v>
      </c>
      <c r="F686" s="7">
        <f t="shared" si="45"/>
        <v>2</v>
      </c>
      <c r="G686" s="7" t="s">
        <v>12558</v>
      </c>
      <c r="H686" s="7">
        <f t="shared" si="46"/>
        <v>1</v>
      </c>
      <c r="I686" s="7" t="str" cm="1">
        <f t="array" ref="I686">IFERROR(_xlfn.IFS(M686="נח",1,M686="נע ונח",1,M686="שני שווא נח",2,M686="שני שוואים בסוף מילה",2,M686="שני שוואים ברצף",1),"0")</f>
        <v>0</v>
      </c>
      <c r="J686" s="9">
        <f t="shared" si="47"/>
        <v>4</v>
      </c>
      <c r="K686" t="s">
        <v>6697</v>
      </c>
      <c r="L686" t="s">
        <v>6694</v>
      </c>
      <c r="M686" t="s">
        <v>6700</v>
      </c>
      <c r="O686" t="s">
        <v>6694</v>
      </c>
      <c r="S686" t="s">
        <v>6694</v>
      </c>
      <c r="U686" t="s">
        <v>6694</v>
      </c>
      <c r="W686" t="s">
        <v>6720</v>
      </c>
    </row>
    <row r="687" spans="1:23" ht="15.6" x14ac:dyDescent="0.4">
      <c r="A687" s="2" t="s">
        <v>1087</v>
      </c>
      <c r="B687" s="5" t="s">
        <v>7343</v>
      </c>
      <c r="C687" s="7" t="s">
        <v>12556</v>
      </c>
      <c r="D687" s="8">
        <f t="shared" si="44"/>
        <v>0</v>
      </c>
      <c r="E687" s="7" t="s">
        <v>12557</v>
      </c>
      <c r="F687" s="7">
        <f t="shared" si="45"/>
        <v>1</v>
      </c>
      <c r="G687" s="7" t="s">
        <v>12558</v>
      </c>
      <c r="H687" s="7">
        <f t="shared" si="46"/>
        <v>0</v>
      </c>
      <c r="I687" s="7" t="str" cm="1">
        <f t="array" ref="I687">IFERROR(_xlfn.IFS(M687="נח",1,M687="נע ונח",1,M687="שני שווא נח",2,M687="שני שוואים בסוף מילה",2,M687="שני שוואים ברצף",1),"0")</f>
        <v>0</v>
      </c>
      <c r="J687" s="9">
        <f t="shared" si="47"/>
        <v>3</v>
      </c>
      <c r="K687" t="s">
        <v>6698</v>
      </c>
      <c r="L687" t="s">
        <v>6694</v>
      </c>
      <c r="M687" t="s">
        <v>6700</v>
      </c>
      <c r="Q687" t="s">
        <v>6694</v>
      </c>
      <c r="V687" t="s">
        <v>6694</v>
      </c>
      <c r="W687" t="s">
        <v>6720</v>
      </c>
    </row>
    <row r="688" spans="1:23" ht="15.6" x14ac:dyDescent="0.4">
      <c r="A688" s="2" t="s">
        <v>5996</v>
      </c>
      <c r="B688" s="5" t="s">
        <v>7344</v>
      </c>
      <c r="C688" s="7" t="s">
        <v>12556</v>
      </c>
      <c r="D688" s="8">
        <f t="shared" si="44"/>
        <v>0</v>
      </c>
      <c r="E688" s="7" t="s">
        <v>12557</v>
      </c>
      <c r="F688" s="7">
        <f t="shared" si="45"/>
        <v>2</v>
      </c>
      <c r="G688" s="7" t="s">
        <v>12558</v>
      </c>
      <c r="H688" s="7">
        <f t="shared" si="46"/>
        <v>0</v>
      </c>
      <c r="I688" s="7" t="str" cm="1">
        <f t="array" ref="I688">IFERROR(_xlfn.IFS(M688="נח",1,M688="נע ונח",1,M688="שני שווא נח",2,M688="שני שוואים בסוף מילה",2,M688="שני שוואים ברצף",1),"0")</f>
        <v>0</v>
      </c>
      <c r="J688" s="9">
        <f t="shared" si="47"/>
        <v>4</v>
      </c>
      <c r="K688" t="s">
        <v>6697</v>
      </c>
      <c r="L688" t="s">
        <v>6694</v>
      </c>
      <c r="M688" t="s">
        <v>6700</v>
      </c>
      <c r="O688" t="s">
        <v>6694</v>
      </c>
      <c r="R688" t="s">
        <v>6694</v>
      </c>
      <c r="T688" t="s">
        <v>6694</v>
      </c>
      <c r="W688" t="s">
        <v>6720</v>
      </c>
    </row>
    <row r="689" spans="1:23" ht="15.6" x14ac:dyDescent="0.4">
      <c r="A689" s="2" t="s">
        <v>252</v>
      </c>
      <c r="B689" s="5" t="s">
        <v>7345</v>
      </c>
      <c r="C689" s="7" t="s">
        <v>12556</v>
      </c>
      <c r="D689" s="8">
        <f t="shared" si="44"/>
        <v>0</v>
      </c>
      <c r="E689" s="7" t="s">
        <v>12557</v>
      </c>
      <c r="F689" s="7">
        <f t="shared" si="45"/>
        <v>2</v>
      </c>
      <c r="G689" s="7" t="s">
        <v>12558</v>
      </c>
      <c r="H689" s="7">
        <f t="shared" si="46"/>
        <v>0</v>
      </c>
      <c r="I689" s="7" t="str" cm="1">
        <f t="array" ref="I689">IFERROR(_xlfn.IFS(M689="נח",1,M689="נע ונח",1,M689="שני שווא נח",2,M689="שני שוואים בסוף מילה",2,M689="שני שוואים ברצף",1),"0")</f>
        <v>0</v>
      </c>
      <c r="J689" s="9">
        <f t="shared" si="47"/>
        <v>5</v>
      </c>
      <c r="K689" t="s">
        <v>6697</v>
      </c>
      <c r="L689" t="s">
        <v>6694</v>
      </c>
      <c r="M689" t="s">
        <v>6700</v>
      </c>
      <c r="O689" t="s">
        <v>6694</v>
      </c>
      <c r="R689" t="s">
        <v>6694</v>
      </c>
      <c r="T689" t="s">
        <v>6694</v>
      </c>
      <c r="V689" t="s">
        <v>6694</v>
      </c>
      <c r="W689" t="s">
        <v>6720</v>
      </c>
    </row>
    <row r="690" spans="1:23" ht="15.6" x14ac:dyDescent="0.4">
      <c r="A690" s="2" t="s">
        <v>6297</v>
      </c>
      <c r="B690" s="5" t="s">
        <v>7346</v>
      </c>
      <c r="C690" s="7" t="s">
        <v>12556</v>
      </c>
      <c r="D690" s="8">
        <f t="shared" si="44"/>
        <v>0</v>
      </c>
      <c r="E690" s="7" t="s">
        <v>12557</v>
      </c>
      <c r="F690" s="7">
        <f t="shared" si="45"/>
        <v>3</v>
      </c>
      <c r="G690" s="7" t="s">
        <v>12558</v>
      </c>
      <c r="H690" s="7">
        <f t="shared" si="46"/>
        <v>2</v>
      </c>
      <c r="I690" s="7" t="str" cm="1">
        <f t="array" ref="I690">IFERROR(_xlfn.IFS(M690="נח",1,M690="נע ונח",1,M690="שני שווא נח",2,M690="שני שוואים בסוף מילה",2,M690="שני שוואים ברצף",1),"0")</f>
        <v>0</v>
      </c>
      <c r="J690" s="9">
        <f t="shared" si="47"/>
        <v>5</v>
      </c>
      <c r="K690" t="s">
        <v>6697</v>
      </c>
      <c r="L690" t="s">
        <v>6694</v>
      </c>
      <c r="M690" t="s">
        <v>6700</v>
      </c>
      <c r="Q690" t="s">
        <v>6694</v>
      </c>
      <c r="U690" t="s">
        <v>6694</v>
      </c>
      <c r="V690" t="s">
        <v>6694</v>
      </c>
      <c r="W690" t="s">
        <v>6720</v>
      </c>
    </row>
    <row r="691" spans="1:23" ht="15.6" x14ac:dyDescent="0.4">
      <c r="A691" s="2" t="s">
        <v>3485</v>
      </c>
      <c r="B691" s="5" t="s">
        <v>7347</v>
      </c>
      <c r="C691" s="7" t="s">
        <v>12556</v>
      </c>
      <c r="D691" s="8">
        <f t="shared" si="44"/>
        <v>0</v>
      </c>
      <c r="E691" s="7" t="s">
        <v>12557</v>
      </c>
      <c r="F691" s="7">
        <f t="shared" si="45"/>
        <v>1</v>
      </c>
      <c r="G691" s="7" t="s">
        <v>12558</v>
      </c>
      <c r="H691" s="7">
        <f t="shared" si="46"/>
        <v>0</v>
      </c>
      <c r="I691" s="7" t="str" cm="1">
        <f t="array" ref="I691">IFERROR(_xlfn.IFS(M691="נח",1,M691="נע ונח",1,M691="שני שווא נח",2,M691="שני שוואים בסוף מילה",2,M691="שני שוואים ברצף",1),"0")</f>
        <v>0</v>
      </c>
      <c r="J691" s="9">
        <f t="shared" si="47"/>
        <v>3</v>
      </c>
      <c r="K691" t="s">
        <v>6698</v>
      </c>
      <c r="L691" t="s">
        <v>6694</v>
      </c>
      <c r="M691" t="s">
        <v>6700</v>
      </c>
      <c r="R691" t="s">
        <v>6694</v>
      </c>
      <c r="W691" t="s">
        <v>6720</v>
      </c>
    </row>
    <row r="692" spans="1:23" ht="15.6" x14ac:dyDescent="0.4">
      <c r="A692" s="2" t="s">
        <v>2472</v>
      </c>
      <c r="B692" s="5" t="s">
        <v>7263</v>
      </c>
      <c r="C692" s="7" t="s">
        <v>12556</v>
      </c>
      <c r="D692" s="8">
        <f t="shared" si="44"/>
        <v>0</v>
      </c>
      <c r="E692" s="7" t="s">
        <v>12557</v>
      </c>
      <c r="F692" s="7">
        <f t="shared" si="45"/>
        <v>1</v>
      </c>
      <c r="G692" s="7" t="s">
        <v>12558</v>
      </c>
      <c r="H692" s="7">
        <f t="shared" si="46"/>
        <v>0</v>
      </c>
      <c r="I692" s="7" t="str" cm="1">
        <f t="array" ref="I692">IFERROR(_xlfn.IFS(M692="נח",1,M692="נע ונח",1,M692="שני שווא נח",2,M692="שני שוואים בסוף מילה",2,M692="שני שוואים ברצף",1),"0")</f>
        <v>0</v>
      </c>
      <c r="J692" s="9">
        <f t="shared" si="47"/>
        <v>2</v>
      </c>
      <c r="K692" t="s">
        <v>6698</v>
      </c>
      <c r="L692" t="s">
        <v>6694</v>
      </c>
      <c r="M692" t="s">
        <v>6700</v>
      </c>
      <c r="P692" t="s">
        <v>6694</v>
      </c>
      <c r="W692" t="s">
        <v>6720</v>
      </c>
    </row>
    <row r="693" spans="1:23" ht="15.6" x14ac:dyDescent="0.4">
      <c r="A693" s="2" t="s">
        <v>914</v>
      </c>
      <c r="B693" s="5" t="s">
        <v>7348</v>
      </c>
      <c r="C693" s="7" t="s">
        <v>12556</v>
      </c>
      <c r="D693" s="8">
        <f t="shared" si="44"/>
        <v>0</v>
      </c>
      <c r="E693" s="7" t="s">
        <v>12557</v>
      </c>
      <c r="F693" s="7">
        <f t="shared" si="45"/>
        <v>1</v>
      </c>
      <c r="G693" s="7" t="s">
        <v>12558</v>
      </c>
      <c r="H693" s="7">
        <f t="shared" si="46"/>
        <v>0</v>
      </c>
      <c r="I693" s="7" t="str" cm="1">
        <f t="array" ref="I693">IFERROR(_xlfn.IFS(M693="נח",1,M693="נע ונח",1,M693="שני שווא נח",2,M693="שני שוואים בסוף מילה",2,M693="שני שוואים ברצף",1),"0")</f>
        <v>0</v>
      </c>
      <c r="J693" s="9">
        <f t="shared" si="47"/>
        <v>2</v>
      </c>
      <c r="K693" t="s">
        <v>6698</v>
      </c>
      <c r="L693" t="s">
        <v>6694</v>
      </c>
      <c r="M693" t="s">
        <v>6700</v>
      </c>
      <c r="V693" t="s">
        <v>6694</v>
      </c>
      <c r="W693" t="s">
        <v>6720</v>
      </c>
    </row>
    <row r="694" spans="1:23" ht="15.6" x14ac:dyDescent="0.4">
      <c r="A694" s="2" t="s">
        <v>1025</v>
      </c>
      <c r="B694" s="5" t="s">
        <v>7349</v>
      </c>
      <c r="C694" s="7" t="s">
        <v>12556</v>
      </c>
      <c r="D694" s="8">
        <f t="shared" si="44"/>
        <v>0</v>
      </c>
      <c r="E694" s="7" t="s">
        <v>12557</v>
      </c>
      <c r="F694" s="7">
        <f t="shared" si="45"/>
        <v>1</v>
      </c>
      <c r="G694" s="7" t="s">
        <v>12558</v>
      </c>
      <c r="H694" s="7">
        <f t="shared" si="46"/>
        <v>0</v>
      </c>
      <c r="I694" s="7" t="str" cm="1">
        <f t="array" ref="I694">IFERROR(_xlfn.IFS(M694="נח",1,M694="נע ונח",1,M694="שני שווא נח",2,M694="שני שוואים בסוף מילה",2,M694="שני שוואים ברצף",1),"0")</f>
        <v>0</v>
      </c>
      <c r="J694" s="9">
        <f t="shared" si="47"/>
        <v>3</v>
      </c>
      <c r="K694" t="s">
        <v>6698</v>
      </c>
      <c r="L694" t="s">
        <v>6694</v>
      </c>
      <c r="M694" t="s">
        <v>6700</v>
      </c>
      <c r="P694" t="s">
        <v>6694</v>
      </c>
      <c r="V694" t="s">
        <v>6694</v>
      </c>
      <c r="W694" t="s">
        <v>6720</v>
      </c>
    </row>
    <row r="695" spans="1:23" ht="15.6" x14ac:dyDescent="0.4">
      <c r="A695" s="2" t="s">
        <v>4507</v>
      </c>
      <c r="B695" s="5" t="s">
        <v>7350</v>
      </c>
      <c r="C695" s="7" t="s">
        <v>12556</v>
      </c>
      <c r="D695" s="8">
        <f t="shared" si="44"/>
        <v>0</v>
      </c>
      <c r="E695" s="7" t="s">
        <v>12557</v>
      </c>
      <c r="F695" s="7">
        <f t="shared" si="45"/>
        <v>1</v>
      </c>
      <c r="G695" s="7" t="s">
        <v>12558</v>
      </c>
      <c r="H695" s="7">
        <f t="shared" si="46"/>
        <v>0</v>
      </c>
      <c r="I695" s="7" cm="1">
        <f t="array" ref="I695">IFERROR(_xlfn.IFS(M695="נח",1,M695="נע ונח",1,M695="שני שווא נח",2,M695="שני שוואים בסוף מילה",2,M695="שני שוואים ברצף",1),"0")</f>
        <v>1</v>
      </c>
      <c r="J695" s="9">
        <f t="shared" si="47"/>
        <v>4</v>
      </c>
      <c r="K695" t="s">
        <v>6697</v>
      </c>
      <c r="L695" t="s">
        <v>6694</v>
      </c>
      <c r="M695" t="s">
        <v>6701</v>
      </c>
      <c r="N695" t="s">
        <v>6706</v>
      </c>
      <c r="O695" t="s">
        <v>6694</v>
      </c>
      <c r="V695" t="s">
        <v>6694</v>
      </c>
      <c r="W695" t="s">
        <v>6720</v>
      </c>
    </row>
    <row r="696" spans="1:23" ht="15.6" x14ac:dyDescent="0.4">
      <c r="A696" s="2" t="s">
        <v>2655</v>
      </c>
      <c r="B696" s="5" t="s">
        <v>7348</v>
      </c>
      <c r="C696" s="7" t="s">
        <v>12556</v>
      </c>
      <c r="D696" s="8">
        <f t="shared" si="44"/>
        <v>0</v>
      </c>
      <c r="E696" s="7" t="s">
        <v>12557</v>
      </c>
      <c r="F696" s="7">
        <f t="shared" si="45"/>
        <v>2</v>
      </c>
      <c r="G696" s="7" t="s">
        <v>12558</v>
      </c>
      <c r="H696" s="7">
        <f t="shared" si="46"/>
        <v>1</v>
      </c>
      <c r="I696" s="7" t="str" cm="1">
        <f t="array" ref="I696">IFERROR(_xlfn.IFS(M696="נח",1,M696="נע ונח",1,M696="שני שווא נח",2,M696="שני שוואים בסוף מילה",2,M696="שני שוואים ברצף",1),"0")</f>
        <v>0</v>
      </c>
      <c r="J696" s="9">
        <f t="shared" si="47"/>
        <v>2</v>
      </c>
      <c r="K696" t="s">
        <v>6698</v>
      </c>
      <c r="L696" t="s">
        <v>6694</v>
      </c>
      <c r="M696" t="s">
        <v>6700</v>
      </c>
      <c r="U696" t="s">
        <v>6694</v>
      </c>
      <c r="W696" t="s">
        <v>6720</v>
      </c>
    </row>
    <row r="697" spans="1:23" ht="15.6" x14ac:dyDescent="0.4">
      <c r="A697" s="2" t="s">
        <v>3714</v>
      </c>
      <c r="B697" s="5" t="s">
        <v>7351</v>
      </c>
      <c r="C697" s="7" t="s">
        <v>12556</v>
      </c>
      <c r="D697" s="8">
        <f t="shared" si="44"/>
        <v>0</v>
      </c>
      <c r="E697" s="7" t="s">
        <v>12557</v>
      </c>
      <c r="F697" s="7">
        <f t="shared" si="45"/>
        <v>2</v>
      </c>
      <c r="G697" s="7" t="s">
        <v>12558</v>
      </c>
      <c r="H697" s="7">
        <f t="shared" si="46"/>
        <v>0</v>
      </c>
      <c r="I697" s="7" cm="1">
        <f t="array" ref="I697">IFERROR(_xlfn.IFS(M697="נח",1,M697="נע ונח",1,M697="שני שווא נח",2,M697="שני שוואים בסוף מילה",2,M697="שני שוואים ברצף",1),"0")</f>
        <v>1</v>
      </c>
      <c r="J697" s="9">
        <f t="shared" si="47"/>
        <v>5</v>
      </c>
      <c r="K697" t="s">
        <v>6697</v>
      </c>
      <c r="L697" t="s">
        <v>6694</v>
      </c>
      <c r="M697" t="s">
        <v>6701</v>
      </c>
      <c r="O697" t="s">
        <v>6694</v>
      </c>
      <c r="R697" t="s">
        <v>6694</v>
      </c>
      <c r="S697" t="s">
        <v>6694</v>
      </c>
      <c r="V697" t="s">
        <v>6694</v>
      </c>
      <c r="W697" t="s">
        <v>6720</v>
      </c>
    </row>
    <row r="698" spans="1:23" ht="15.6" x14ac:dyDescent="0.4">
      <c r="A698" s="2" t="s">
        <v>2288</v>
      </c>
      <c r="B698" s="5" t="s">
        <v>7352</v>
      </c>
      <c r="C698" s="7" t="s">
        <v>12556</v>
      </c>
      <c r="D698" s="8">
        <f t="shared" si="44"/>
        <v>0</v>
      </c>
      <c r="E698" s="7" t="s">
        <v>12557</v>
      </c>
      <c r="F698" s="7">
        <f t="shared" si="45"/>
        <v>1</v>
      </c>
      <c r="G698" s="7" t="s">
        <v>12558</v>
      </c>
      <c r="H698" s="7">
        <f t="shared" si="46"/>
        <v>0</v>
      </c>
      <c r="I698" s="7" cm="1">
        <f t="array" ref="I698">IFERROR(_xlfn.IFS(M698="נח",1,M698="נע ונח",1,M698="שני שווא נח",2,M698="שני שוואים בסוף מילה",2,M698="שני שוואים ברצף",1),"0")</f>
        <v>1</v>
      </c>
      <c r="J698" s="9">
        <f t="shared" si="47"/>
        <v>3</v>
      </c>
      <c r="K698" t="s">
        <v>6697</v>
      </c>
      <c r="L698" t="s">
        <v>6694</v>
      </c>
      <c r="M698" t="s">
        <v>6701</v>
      </c>
      <c r="O698" t="s">
        <v>6694</v>
      </c>
      <c r="S698" t="s">
        <v>6694</v>
      </c>
      <c r="W698" t="s">
        <v>6720</v>
      </c>
    </row>
    <row r="699" spans="1:23" ht="15.6" x14ac:dyDescent="0.4">
      <c r="A699" s="2" t="s">
        <v>6320</v>
      </c>
      <c r="B699" s="5" t="s">
        <v>7353</v>
      </c>
      <c r="C699" s="7" t="s">
        <v>12556</v>
      </c>
      <c r="D699" s="8">
        <f t="shared" si="44"/>
        <v>0</v>
      </c>
      <c r="E699" s="7" t="s">
        <v>12557</v>
      </c>
      <c r="F699" s="7">
        <f t="shared" si="45"/>
        <v>1</v>
      </c>
      <c r="G699" s="7" t="s">
        <v>12558</v>
      </c>
      <c r="H699" s="7">
        <f t="shared" si="46"/>
        <v>0</v>
      </c>
      <c r="I699" s="7" cm="1">
        <f t="array" ref="I699">IFERROR(_xlfn.IFS(M699="נח",1,M699="נע ונח",1,M699="שני שווא נח",2,M699="שני שוואים בסוף מילה",2,M699="שני שוואים ברצף",1),"0")</f>
        <v>1</v>
      </c>
      <c r="J699" s="9">
        <f t="shared" si="47"/>
        <v>5</v>
      </c>
      <c r="K699" t="s">
        <v>6697</v>
      </c>
      <c r="L699" t="s">
        <v>6694</v>
      </c>
      <c r="M699" t="s">
        <v>6701</v>
      </c>
      <c r="O699" t="s">
        <v>6694</v>
      </c>
      <c r="R699" t="s">
        <v>6694</v>
      </c>
      <c r="S699" t="s">
        <v>6694</v>
      </c>
      <c r="W699" t="s">
        <v>6720</v>
      </c>
    </row>
    <row r="700" spans="1:23" ht="15.6" x14ac:dyDescent="0.4">
      <c r="A700" s="2" t="s">
        <v>4687</v>
      </c>
      <c r="B700" s="5" t="s">
        <v>7133</v>
      </c>
      <c r="C700" s="7" t="s">
        <v>12556</v>
      </c>
      <c r="D700" s="8">
        <f t="shared" si="44"/>
        <v>1</v>
      </c>
      <c r="E700" s="7" t="s">
        <v>12557</v>
      </c>
      <c r="F700" s="7">
        <f t="shared" si="45"/>
        <v>1</v>
      </c>
      <c r="G700" s="7" t="s">
        <v>12558</v>
      </c>
      <c r="H700" s="7">
        <f t="shared" si="46"/>
        <v>0</v>
      </c>
      <c r="I700" s="7" cm="1">
        <f t="array" ref="I700">IFERROR(_xlfn.IFS(M700="נח",1,M700="נע ונח",1,M700="שני שווא נח",2,M700="שני שוואים בסוף מילה",2,M700="שני שוואים ברצף",1),"0")</f>
        <v>1</v>
      </c>
      <c r="J700" s="9">
        <f t="shared" si="47"/>
        <v>4</v>
      </c>
      <c r="K700" t="s">
        <v>6698</v>
      </c>
      <c r="L700" t="s">
        <v>6694</v>
      </c>
      <c r="M700" t="s">
        <v>6701</v>
      </c>
      <c r="O700" t="s">
        <v>6694</v>
      </c>
      <c r="Q700" t="s">
        <v>6694</v>
      </c>
      <c r="S700" t="s">
        <v>6694</v>
      </c>
      <c r="W700" t="s">
        <v>6720</v>
      </c>
    </row>
    <row r="701" spans="1:23" ht="15.6" x14ac:dyDescent="0.4">
      <c r="A701" s="2" t="s">
        <v>1828</v>
      </c>
      <c r="B701" s="5" t="s">
        <v>7354</v>
      </c>
      <c r="C701" s="7" t="s">
        <v>12556</v>
      </c>
      <c r="D701" s="8">
        <f t="shared" si="44"/>
        <v>1</v>
      </c>
      <c r="E701" s="7" t="s">
        <v>12557</v>
      </c>
      <c r="F701" s="7">
        <f t="shared" si="45"/>
        <v>1</v>
      </c>
      <c r="G701" s="7" t="s">
        <v>12558</v>
      </c>
      <c r="H701" s="7">
        <f t="shared" si="46"/>
        <v>0</v>
      </c>
      <c r="I701" s="7" t="str" cm="1">
        <f t="array" ref="I701">IFERROR(_xlfn.IFS(M701="נח",1,M701="נע ונח",1,M701="שני שווא נח",2,M701="שני שוואים בסוף מילה",2,M701="שני שוואים ברצף",1),"0")</f>
        <v>0</v>
      </c>
      <c r="J701" s="9">
        <f t="shared" si="47"/>
        <v>3</v>
      </c>
      <c r="K701" t="s">
        <v>6697</v>
      </c>
      <c r="L701" t="s">
        <v>6694</v>
      </c>
      <c r="M701" t="s">
        <v>6700</v>
      </c>
      <c r="P701" t="s">
        <v>6694</v>
      </c>
      <c r="Q701" t="s">
        <v>6694</v>
      </c>
      <c r="W701" t="s">
        <v>6720</v>
      </c>
    </row>
    <row r="702" spans="1:23" ht="15.6" x14ac:dyDescent="0.4">
      <c r="A702" s="2" t="s">
        <v>3377</v>
      </c>
      <c r="B702" s="5" t="s">
        <v>7355</v>
      </c>
      <c r="C702" s="7" t="s">
        <v>12556</v>
      </c>
      <c r="D702" s="8">
        <f t="shared" si="44"/>
        <v>0</v>
      </c>
      <c r="E702" s="7" t="s">
        <v>12557</v>
      </c>
      <c r="F702" s="7">
        <f t="shared" si="45"/>
        <v>1</v>
      </c>
      <c r="G702" s="7" t="s">
        <v>12558</v>
      </c>
      <c r="H702" s="7">
        <f t="shared" si="46"/>
        <v>0</v>
      </c>
      <c r="I702" s="7" t="str" cm="1">
        <f t="array" ref="I702">IFERROR(_xlfn.IFS(M702="נח",1,M702="נע ונח",1,M702="שני שווא נח",2,M702="שני שוואים בסוף מילה",2,M702="שני שוואים ברצף",1),"0")</f>
        <v>0</v>
      </c>
      <c r="J702" s="9">
        <f t="shared" si="47"/>
        <v>2</v>
      </c>
      <c r="K702" t="s">
        <v>6698</v>
      </c>
      <c r="L702" t="s">
        <v>6694</v>
      </c>
      <c r="M702" t="s">
        <v>6700</v>
      </c>
      <c r="P702" t="s">
        <v>6694</v>
      </c>
      <c r="W702" t="s">
        <v>6720</v>
      </c>
    </row>
    <row r="703" spans="1:23" ht="15.6" x14ac:dyDescent="0.4">
      <c r="A703" s="2" t="s">
        <v>1042</v>
      </c>
      <c r="B703" s="5" t="s">
        <v>7134</v>
      </c>
      <c r="C703" s="7" t="s">
        <v>12556</v>
      </c>
      <c r="D703" s="8">
        <f t="shared" si="44"/>
        <v>0</v>
      </c>
      <c r="E703" s="7" t="s">
        <v>12557</v>
      </c>
      <c r="F703" s="7">
        <f t="shared" si="45"/>
        <v>1</v>
      </c>
      <c r="G703" s="7" t="s">
        <v>12558</v>
      </c>
      <c r="H703" s="7">
        <f t="shared" si="46"/>
        <v>0</v>
      </c>
      <c r="I703" s="7" t="str" cm="1">
        <f t="array" ref="I703">IFERROR(_xlfn.IFS(M703="נח",1,M703="נע ונח",1,M703="שני שווא נח",2,M703="שני שוואים בסוף מילה",2,M703="שני שוואים ברצף",1),"0")</f>
        <v>0</v>
      </c>
      <c r="J703" s="9">
        <f t="shared" si="47"/>
        <v>2</v>
      </c>
      <c r="K703" t="s">
        <v>6698</v>
      </c>
      <c r="L703" t="s">
        <v>6694</v>
      </c>
      <c r="M703" t="s">
        <v>6700</v>
      </c>
      <c r="P703" t="s">
        <v>6694</v>
      </c>
      <c r="W703" t="s">
        <v>6720</v>
      </c>
    </row>
    <row r="704" spans="1:23" ht="15.6" x14ac:dyDescent="0.4">
      <c r="A704" s="2" t="s">
        <v>2237</v>
      </c>
      <c r="B704" s="5" t="s">
        <v>7135</v>
      </c>
      <c r="C704" s="7" t="s">
        <v>12556</v>
      </c>
      <c r="D704" s="8">
        <f t="shared" si="44"/>
        <v>0</v>
      </c>
      <c r="E704" s="7" t="s">
        <v>12557</v>
      </c>
      <c r="F704" s="7">
        <f t="shared" si="45"/>
        <v>1</v>
      </c>
      <c r="G704" s="7" t="s">
        <v>12558</v>
      </c>
      <c r="H704" s="7">
        <f t="shared" si="46"/>
        <v>0</v>
      </c>
      <c r="I704" s="7" t="str" cm="1">
        <f t="array" ref="I704">IFERROR(_xlfn.IFS(M704="נח",1,M704="נע ונח",1,M704="שני שווא נח",2,M704="שני שוואים בסוף מילה",2,M704="שני שוואים ברצף",1),"0")</f>
        <v>0</v>
      </c>
      <c r="J704" s="9">
        <f t="shared" si="47"/>
        <v>4</v>
      </c>
      <c r="K704" t="s">
        <v>6698</v>
      </c>
      <c r="L704" t="s">
        <v>6694</v>
      </c>
      <c r="M704" t="s">
        <v>6700</v>
      </c>
      <c r="P704" t="s">
        <v>6694</v>
      </c>
      <c r="V704" t="s">
        <v>6694</v>
      </c>
      <c r="W704" t="s">
        <v>6720</v>
      </c>
    </row>
    <row r="705" spans="1:23" ht="15.6" x14ac:dyDescent="0.4">
      <c r="A705" s="2" t="s">
        <v>1784</v>
      </c>
      <c r="B705" s="5" t="s">
        <v>7355</v>
      </c>
      <c r="C705" s="7" t="s">
        <v>12556</v>
      </c>
      <c r="D705" s="8">
        <f t="shared" si="44"/>
        <v>0</v>
      </c>
      <c r="E705" s="7" t="s">
        <v>12557</v>
      </c>
      <c r="F705" s="7">
        <f t="shared" si="45"/>
        <v>1</v>
      </c>
      <c r="G705" s="7" t="s">
        <v>12558</v>
      </c>
      <c r="H705" s="7">
        <f t="shared" si="46"/>
        <v>0</v>
      </c>
      <c r="I705" s="7" t="str" cm="1">
        <f t="array" ref="I705">IFERROR(_xlfn.IFS(M705="נח",1,M705="נע ונח",1,M705="שני שווא נח",2,M705="שני שוואים בסוף מילה",2,M705="שני שוואים ברצף",1),"0")</f>
        <v>0</v>
      </c>
      <c r="J705" s="9">
        <f t="shared" si="47"/>
        <v>2</v>
      </c>
      <c r="K705" t="s">
        <v>6698</v>
      </c>
      <c r="L705" t="s">
        <v>6694</v>
      </c>
      <c r="M705" t="s">
        <v>6700</v>
      </c>
      <c r="N705" t="s">
        <v>6706</v>
      </c>
      <c r="O705" t="s">
        <v>6694</v>
      </c>
      <c r="W705" t="s">
        <v>6720</v>
      </c>
    </row>
    <row r="706" spans="1:23" ht="15.6" x14ac:dyDescent="0.4">
      <c r="A706" s="2" t="s">
        <v>3364</v>
      </c>
      <c r="B706" s="5" t="s">
        <v>7356</v>
      </c>
      <c r="C706" s="7" t="s">
        <v>12556</v>
      </c>
      <c r="D706" s="8">
        <f t="shared" si="44"/>
        <v>0</v>
      </c>
      <c r="E706" s="7" t="s">
        <v>12557</v>
      </c>
      <c r="F706" s="7">
        <f t="shared" si="45"/>
        <v>1</v>
      </c>
      <c r="G706" s="7" t="s">
        <v>12558</v>
      </c>
      <c r="H706" s="7">
        <f t="shared" si="46"/>
        <v>0</v>
      </c>
      <c r="I706" s="7" cm="1">
        <f t="array" ref="I706">IFERROR(_xlfn.IFS(M706="נח",1,M706="נע ונח",1,M706="שני שווא נח",2,M706="שני שוואים בסוף מילה",2,M706="שני שוואים ברצף",1),"0")</f>
        <v>1</v>
      </c>
      <c r="J706" s="9">
        <f t="shared" si="47"/>
        <v>3</v>
      </c>
      <c r="K706" t="s">
        <v>6697</v>
      </c>
      <c r="L706" t="s">
        <v>6694</v>
      </c>
      <c r="M706" t="s">
        <v>6701</v>
      </c>
      <c r="N706" t="s">
        <v>6706</v>
      </c>
      <c r="O706" t="s">
        <v>6694</v>
      </c>
      <c r="W706" t="s">
        <v>6720</v>
      </c>
    </row>
    <row r="707" spans="1:23" ht="15.6" x14ac:dyDescent="0.4">
      <c r="A707" s="2" t="s">
        <v>5166</v>
      </c>
      <c r="B707" s="5" t="s">
        <v>7356</v>
      </c>
      <c r="C707" s="7" t="s">
        <v>12556</v>
      </c>
      <c r="D707" s="8">
        <f t="shared" ref="D707:D770" si="48">(LEN(B707)-LEN(SUBSTITUTE(B707,C707,"")))</f>
        <v>0</v>
      </c>
      <c r="E707" s="7" t="s">
        <v>12557</v>
      </c>
      <c r="F707" s="7">
        <f t="shared" ref="F707:F770" si="49">(LEN(A707)-LEN(SUBSTITUTE(A707,E707,"")))</f>
        <v>1</v>
      </c>
      <c r="G707" s="7" t="s">
        <v>12558</v>
      </c>
      <c r="H707" s="7">
        <f t="shared" ref="H707:H770" si="50">(LEN(A707)-LEN(SUBSTITUTE(A707,G707,"")))/2</f>
        <v>0</v>
      </c>
      <c r="I707" s="7" t="str" cm="1">
        <f t="array" ref="I707">IFERROR(_xlfn.IFS(M707="נח",1,M707="נע ונח",1,M707="שני שווא נח",2,M707="שני שוואים בסוף מילה",2,M707="שני שוואים ברצף",1),"0")</f>
        <v>0</v>
      </c>
      <c r="J707" s="9">
        <f t="shared" ref="J707:J770" si="51">LEN(A707)-(LEN(B707))-D707-F707+H707-I707</f>
        <v>4</v>
      </c>
      <c r="K707" t="s">
        <v>6697</v>
      </c>
      <c r="L707" t="s">
        <v>6694</v>
      </c>
      <c r="M707" t="s">
        <v>6700</v>
      </c>
      <c r="O707" t="s">
        <v>6694</v>
      </c>
      <c r="R707" t="s">
        <v>6694</v>
      </c>
      <c r="W707" t="s">
        <v>6720</v>
      </c>
    </row>
    <row r="708" spans="1:23" ht="15.6" x14ac:dyDescent="0.4">
      <c r="A708" s="2" t="s">
        <v>6118</v>
      </c>
      <c r="B708" s="5" t="s">
        <v>7357</v>
      </c>
      <c r="C708" s="7" t="s">
        <v>12556</v>
      </c>
      <c r="D708" s="8">
        <f t="shared" si="48"/>
        <v>0</v>
      </c>
      <c r="E708" s="7" t="s">
        <v>12557</v>
      </c>
      <c r="F708" s="7">
        <f t="shared" si="49"/>
        <v>1</v>
      </c>
      <c r="G708" s="7" t="s">
        <v>12558</v>
      </c>
      <c r="H708" s="7">
        <f t="shared" si="50"/>
        <v>0</v>
      </c>
      <c r="I708" s="7" t="str" cm="1">
        <f t="array" ref="I708">IFERROR(_xlfn.IFS(M708="נח",1,M708="נע ונח",1,M708="שני שווא נח",2,M708="שני שוואים בסוף מילה",2,M708="שני שוואים ברצף",1),"0")</f>
        <v>0</v>
      </c>
      <c r="J708" s="9">
        <f t="shared" si="51"/>
        <v>3</v>
      </c>
      <c r="K708" t="s">
        <v>6698</v>
      </c>
      <c r="L708" t="s">
        <v>6694</v>
      </c>
      <c r="M708" t="s">
        <v>6700</v>
      </c>
      <c r="N708" t="s">
        <v>6706</v>
      </c>
      <c r="O708" t="s">
        <v>6694</v>
      </c>
      <c r="W708" t="s">
        <v>6720</v>
      </c>
    </row>
    <row r="709" spans="1:23" ht="15.6" x14ac:dyDescent="0.4">
      <c r="A709" s="2" t="s">
        <v>2969</v>
      </c>
      <c r="B709" s="5" t="s">
        <v>7358</v>
      </c>
      <c r="C709" s="7" t="s">
        <v>12556</v>
      </c>
      <c r="D709" s="8">
        <f t="shared" si="48"/>
        <v>0</v>
      </c>
      <c r="E709" s="7" t="s">
        <v>12557</v>
      </c>
      <c r="F709" s="7">
        <f t="shared" si="49"/>
        <v>1</v>
      </c>
      <c r="G709" s="7" t="s">
        <v>12558</v>
      </c>
      <c r="H709" s="7">
        <f t="shared" si="50"/>
        <v>0</v>
      </c>
      <c r="I709" s="7" t="str" cm="1">
        <f t="array" ref="I709">IFERROR(_xlfn.IFS(M709="נח",1,M709="נע ונח",1,M709="שני שווא נח",2,M709="שני שוואים בסוף מילה",2,M709="שני שוואים ברצף",1),"0")</f>
        <v>0</v>
      </c>
      <c r="J709" s="9">
        <f t="shared" si="51"/>
        <v>3</v>
      </c>
      <c r="K709" t="s">
        <v>6697</v>
      </c>
      <c r="L709" t="s">
        <v>6694</v>
      </c>
      <c r="M709" t="s">
        <v>6700</v>
      </c>
      <c r="O709" t="s">
        <v>6694</v>
      </c>
      <c r="V709" t="s">
        <v>6694</v>
      </c>
      <c r="W709" t="s">
        <v>6720</v>
      </c>
    </row>
    <row r="710" spans="1:23" ht="15.6" x14ac:dyDescent="0.4">
      <c r="A710" s="2" t="s">
        <v>4479</v>
      </c>
      <c r="B710" s="5" t="s">
        <v>7359</v>
      </c>
      <c r="C710" s="7" t="s">
        <v>12556</v>
      </c>
      <c r="D710" s="8">
        <f t="shared" si="48"/>
        <v>0</v>
      </c>
      <c r="E710" s="7" t="s">
        <v>12557</v>
      </c>
      <c r="F710" s="7">
        <f t="shared" si="49"/>
        <v>2</v>
      </c>
      <c r="G710" s="7" t="s">
        <v>12558</v>
      </c>
      <c r="H710" s="7">
        <f t="shared" si="50"/>
        <v>0</v>
      </c>
      <c r="I710" s="7" t="str" cm="1">
        <f t="array" ref="I710">IFERROR(_xlfn.IFS(M710="נח",1,M710="נע ונח",1,M710="שני שווא נח",2,M710="שני שוואים בסוף מילה",2,M710="שני שוואים ברצף",1),"0")</f>
        <v>0</v>
      </c>
      <c r="J710" s="9">
        <f t="shared" si="51"/>
        <v>2</v>
      </c>
      <c r="K710" t="s">
        <v>6697</v>
      </c>
      <c r="L710" t="s">
        <v>6694</v>
      </c>
      <c r="M710" t="s">
        <v>6700</v>
      </c>
      <c r="N710" t="s">
        <v>6706</v>
      </c>
      <c r="O710" t="s">
        <v>6694</v>
      </c>
      <c r="W710" t="s">
        <v>6720</v>
      </c>
    </row>
    <row r="711" spans="1:23" ht="15.6" x14ac:dyDescent="0.4">
      <c r="A711" s="2" t="s">
        <v>3088</v>
      </c>
      <c r="B711" s="5" t="s">
        <v>7360</v>
      </c>
      <c r="C711" s="7" t="s">
        <v>12556</v>
      </c>
      <c r="D711" s="8">
        <f t="shared" si="48"/>
        <v>0</v>
      </c>
      <c r="E711" s="7" t="s">
        <v>12557</v>
      </c>
      <c r="F711" s="7">
        <f t="shared" si="49"/>
        <v>1</v>
      </c>
      <c r="G711" s="7" t="s">
        <v>12558</v>
      </c>
      <c r="H711" s="7">
        <f t="shared" si="50"/>
        <v>0</v>
      </c>
      <c r="I711" s="7" t="str" cm="1">
        <f t="array" ref="I711">IFERROR(_xlfn.IFS(M711="נח",1,M711="נע ונח",1,M711="שני שווא נח",2,M711="שני שוואים בסוף מילה",2,M711="שני שוואים ברצף",1),"0")</f>
        <v>0</v>
      </c>
      <c r="J711" s="9">
        <f t="shared" si="51"/>
        <v>3</v>
      </c>
      <c r="K711" t="s">
        <v>6698</v>
      </c>
      <c r="L711" t="s">
        <v>6694</v>
      </c>
      <c r="M711" t="s">
        <v>6700</v>
      </c>
      <c r="N711" t="s">
        <v>6706</v>
      </c>
      <c r="O711" t="s">
        <v>6694</v>
      </c>
      <c r="W711" t="s">
        <v>6720</v>
      </c>
    </row>
    <row r="712" spans="1:23" ht="15.6" x14ac:dyDescent="0.4">
      <c r="A712" s="2" t="s">
        <v>221</v>
      </c>
      <c r="B712" s="5" t="s">
        <v>7361</v>
      </c>
      <c r="C712" s="7" t="s">
        <v>12556</v>
      </c>
      <c r="D712" s="8">
        <f t="shared" si="48"/>
        <v>1</v>
      </c>
      <c r="E712" s="7" t="s">
        <v>12557</v>
      </c>
      <c r="F712" s="7">
        <f t="shared" si="49"/>
        <v>1</v>
      </c>
      <c r="G712" s="7" t="s">
        <v>12558</v>
      </c>
      <c r="H712" s="7">
        <f t="shared" si="50"/>
        <v>0</v>
      </c>
      <c r="I712" s="7" t="str" cm="1">
        <f t="array" ref="I712">IFERROR(_xlfn.IFS(M712="נח",1,M712="נע ונח",1,M712="שני שווא נח",2,M712="שני שוואים בסוף מילה",2,M712="שני שוואים ברצף",1),"0")</f>
        <v>0</v>
      </c>
      <c r="J712" s="9">
        <f t="shared" si="51"/>
        <v>3</v>
      </c>
      <c r="K712" t="s">
        <v>6698</v>
      </c>
      <c r="L712" t="s">
        <v>6694</v>
      </c>
      <c r="M712" t="s">
        <v>6700</v>
      </c>
      <c r="R712" t="s">
        <v>6694</v>
      </c>
      <c r="V712" t="s">
        <v>6694</v>
      </c>
      <c r="W712" t="s">
        <v>6720</v>
      </c>
    </row>
    <row r="713" spans="1:23" ht="15.6" x14ac:dyDescent="0.4">
      <c r="A713" s="2" t="s">
        <v>2628</v>
      </c>
      <c r="B713" s="5" t="s">
        <v>7137</v>
      </c>
      <c r="C713" s="7" t="s">
        <v>12556</v>
      </c>
      <c r="D713" s="8">
        <f t="shared" si="48"/>
        <v>0</v>
      </c>
      <c r="E713" s="7" t="s">
        <v>12557</v>
      </c>
      <c r="F713" s="7">
        <f t="shared" si="49"/>
        <v>1</v>
      </c>
      <c r="G713" s="7" t="s">
        <v>12558</v>
      </c>
      <c r="H713" s="7">
        <f t="shared" si="50"/>
        <v>0</v>
      </c>
      <c r="I713" s="7" t="str" cm="1">
        <f t="array" ref="I713">IFERROR(_xlfn.IFS(M713="נח",1,M713="נע ונח",1,M713="שני שווא נח",2,M713="שני שוואים בסוף מילה",2,M713="שני שוואים ברצף",1),"0")</f>
        <v>0</v>
      </c>
      <c r="J713" s="9">
        <f t="shared" si="51"/>
        <v>2</v>
      </c>
      <c r="K713" t="s">
        <v>6698</v>
      </c>
      <c r="L713" t="s">
        <v>6694</v>
      </c>
      <c r="M713" t="s">
        <v>6700</v>
      </c>
      <c r="V713" t="s">
        <v>6694</v>
      </c>
      <c r="W713" t="s">
        <v>6720</v>
      </c>
    </row>
    <row r="714" spans="1:23" ht="15.6" x14ac:dyDescent="0.4">
      <c r="A714" s="2" t="s">
        <v>3820</v>
      </c>
      <c r="B714" s="5" t="s">
        <v>7138</v>
      </c>
      <c r="C714" s="7" t="s">
        <v>12556</v>
      </c>
      <c r="D714" s="8">
        <f t="shared" si="48"/>
        <v>0</v>
      </c>
      <c r="E714" s="7" t="s">
        <v>12557</v>
      </c>
      <c r="F714" s="7">
        <f t="shared" si="49"/>
        <v>2</v>
      </c>
      <c r="G714" s="7" t="s">
        <v>12558</v>
      </c>
      <c r="H714" s="7">
        <f t="shared" si="50"/>
        <v>0</v>
      </c>
      <c r="I714" s="7" t="str" cm="1">
        <f t="array" ref="I714">IFERROR(_xlfn.IFS(M714="נח",1,M714="נע ונח",1,M714="שני שווא נח",2,M714="שני שוואים בסוף מילה",2,M714="שני שוואים ברצף",1),"0")</f>
        <v>0</v>
      </c>
      <c r="J714" s="9">
        <f t="shared" si="51"/>
        <v>3</v>
      </c>
      <c r="K714" t="s">
        <v>6698</v>
      </c>
      <c r="L714" t="s">
        <v>6694</v>
      </c>
      <c r="M714" t="s">
        <v>6700</v>
      </c>
      <c r="S714" t="s">
        <v>6694</v>
      </c>
      <c r="V714" t="s">
        <v>6694</v>
      </c>
      <c r="W714" t="s">
        <v>6720</v>
      </c>
    </row>
    <row r="715" spans="1:23" ht="15.6" x14ac:dyDescent="0.4">
      <c r="A715" s="2" t="s">
        <v>3718</v>
      </c>
      <c r="B715" s="5" t="s">
        <v>7362</v>
      </c>
      <c r="C715" s="7" t="s">
        <v>12556</v>
      </c>
      <c r="D715" s="8">
        <f t="shared" si="48"/>
        <v>0</v>
      </c>
      <c r="E715" s="7" t="s">
        <v>12557</v>
      </c>
      <c r="F715" s="7">
        <f t="shared" si="49"/>
        <v>1</v>
      </c>
      <c r="G715" s="7" t="s">
        <v>12558</v>
      </c>
      <c r="H715" s="7">
        <f t="shared" si="50"/>
        <v>0</v>
      </c>
      <c r="I715" s="7" t="str" cm="1">
        <f t="array" ref="I715">IFERROR(_xlfn.IFS(M715="נח",1,M715="נע ונח",1,M715="שני שווא נח",2,M715="שני שוואים בסוף מילה",2,M715="שני שוואים ברצף",1),"0")</f>
        <v>0</v>
      </c>
      <c r="J715" s="9">
        <f t="shared" si="51"/>
        <v>3</v>
      </c>
      <c r="K715" t="s">
        <v>6698</v>
      </c>
      <c r="L715" t="s">
        <v>6694</v>
      </c>
      <c r="M715" t="s">
        <v>6700</v>
      </c>
      <c r="R715" t="s">
        <v>6694</v>
      </c>
      <c r="W715" t="s">
        <v>6720</v>
      </c>
    </row>
    <row r="716" spans="1:23" ht="15.6" x14ac:dyDescent="0.4">
      <c r="A716" s="2" t="s">
        <v>1470</v>
      </c>
      <c r="B716" s="5" t="s">
        <v>7363</v>
      </c>
      <c r="C716" s="7" t="s">
        <v>12556</v>
      </c>
      <c r="D716" s="8">
        <f t="shared" si="48"/>
        <v>0</v>
      </c>
      <c r="E716" s="7" t="s">
        <v>12557</v>
      </c>
      <c r="F716" s="7">
        <f t="shared" si="49"/>
        <v>1</v>
      </c>
      <c r="G716" s="7" t="s">
        <v>12558</v>
      </c>
      <c r="H716" s="7">
        <f t="shared" si="50"/>
        <v>0</v>
      </c>
      <c r="I716" s="7" cm="1">
        <f t="array" ref="I716">IFERROR(_xlfn.IFS(M716="נח",1,M716="נע ונח",1,M716="שני שווא נח",2,M716="שני שוואים בסוף מילה",2,M716="שני שוואים ברצף",1),"0")</f>
        <v>1</v>
      </c>
      <c r="J716" s="9">
        <f t="shared" si="51"/>
        <v>3</v>
      </c>
      <c r="K716" t="s">
        <v>6698</v>
      </c>
      <c r="L716" t="s">
        <v>6694</v>
      </c>
      <c r="M716" t="s">
        <v>6701</v>
      </c>
      <c r="P716" t="s">
        <v>6694</v>
      </c>
      <c r="Q716" t="s">
        <v>6694</v>
      </c>
      <c r="W716" t="s">
        <v>6720</v>
      </c>
    </row>
    <row r="717" spans="1:23" ht="15.6" x14ac:dyDescent="0.4">
      <c r="A717" s="2" t="s">
        <v>6691</v>
      </c>
      <c r="B717" s="5" t="s">
        <v>7364</v>
      </c>
      <c r="C717" s="7" t="s">
        <v>12556</v>
      </c>
      <c r="D717" s="8">
        <f t="shared" si="48"/>
        <v>0</v>
      </c>
      <c r="E717" s="7" t="s">
        <v>12557</v>
      </c>
      <c r="F717" s="7">
        <f t="shared" si="49"/>
        <v>2</v>
      </c>
      <c r="G717" s="7" t="s">
        <v>12558</v>
      </c>
      <c r="H717" s="7">
        <f t="shared" si="50"/>
        <v>0</v>
      </c>
      <c r="I717" s="7" t="str" cm="1">
        <f t="array" ref="I717">IFERROR(_xlfn.IFS(M717="נח",1,M717="נע ונח",1,M717="שני שווא נח",2,M717="שני שוואים בסוף מילה",2,M717="שני שוואים ברצף",1),"0")</f>
        <v>0</v>
      </c>
      <c r="J717" s="9">
        <f t="shared" si="51"/>
        <v>3</v>
      </c>
      <c r="K717" t="s">
        <v>6698</v>
      </c>
      <c r="L717" t="s">
        <v>6694</v>
      </c>
      <c r="M717" t="s">
        <v>6700</v>
      </c>
      <c r="N717" t="s">
        <v>6706</v>
      </c>
      <c r="O717" t="s">
        <v>6694</v>
      </c>
      <c r="P717" t="s">
        <v>6694</v>
      </c>
      <c r="W717" t="s">
        <v>6720</v>
      </c>
    </row>
    <row r="718" spans="1:23" ht="15.6" x14ac:dyDescent="0.4">
      <c r="A718" s="2" t="s">
        <v>5647</v>
      </c>
      <c r="B718" s="5" t="s">
        <v>7365</v>
      </c>
      <c r="C718" s="7" t="s">
        <v>12556</v>
      </c>
      <c r="D718" s="8">
        <f t="shared" si="48"/>
        <v>1</v>
      </c>
      <c r="E718" s="7" t="s">
        <v>12557</v>
      </c>
      <c r="F718" s="7">
        <f t="shared" si="49"/>
        <v>2</v>
      </c>
      <c r="G718" s="7" t="s">
        <v>12558</v>
      </c>
      <c r="H718" s="7">
        <f t="shared" si="50"/>
        <v>0</v>
      </c>
      <c r="I718" s="7" t="str" cm="1">
        <f t="array" ref="I718">IFERROR(_xlfn.IFS(M718="נח",1,M718="נע ונח",1,M718="שני שווא נח",2,M718="שני שוואים בסוף מילה",2,M718="שני שוואים ברצף",1),"0")</f>
        <v>0</v>
      </c>
      <c r="J718" s="9">
        <f t="shared" si="51"/>
        <v>3</v>
      </c>
      <c r="K718" t="s">
        <v>6698</v>
      </c>
      <c r="L718" t="s">
        <v>6694</v>
      </c>
      <c r="M718" t="s">
        <v>6700</v>
      </c>
      <c r="P718" t="s">
        <v>6694</v>
      </c>
      <c r="S718" t="s">
        <v>6694</v>
      </c>
      <c r="W718" t="s">
        <v>6720</v>
      </c>
    </row>
    <row r="719" spans="1:23" ht="15.6" x14ac:dyDescent="0.4">
      <c r="A719" s="2" t="s">
        <v>10</v>
      </c>
      <c r="B719" s="5" t="s">
        <v>7140</v>
      </c>
      <c r="C719" s="7" t="s">
        <v>12556</v>
      </c>
      <c r="D719" s="8">
        <f t="shared" si="48"/>
        <v>0</v>
      </c>
      <c r="E719" s="7" t="s">
        <v>12557</v>
      </c>
      <c r="F719" s="7">
        <f t="shared" si="49"/>
        <v>1</v>
      </c>
      <c r="G719" s="7" t="s">
        <v>12558</v>
      </c>
      <c r="H719" s="7">
        <f t="shared" si="50"/>
        <v>0</v>
      </c>
      <c r="I719" s="7" t="str" cm="1">
        <f t="array" ref="I719">IFERROR(_xlfn.IFS(M719="נח",1,M719="נע ונח",1,M719="שני שווא נח",2,M719="שני שוואים בסוף מילה",2,M719="שני שוואים ברצף",1),"0")</f>
        <v>0</v>
      </c>
      <c r="J719" s="9">
        <f t="shared" si="51"/>
        <v>2</v>
      </c>
      <c r="K719" t="s">
        <v>6697</v>
      </c>
      <c r="L719" t="s">
        <v>6694</v>
      </c>
      <c r="M719" t="s">
        <v>6700</v>
      </c>
      <c r="O719" t="s">
        <v>6694</v>
      </c>
      <c r="W719" t="s">
        <v>6720</v>
      </c>
    </row>
    <row r="720" spans="1:23" ht="15.6" x14ac:dyDescent="0.4">
      <c r="A720" s="2" t="s">
        <v>1457</v>
      </c>
      <c r="B720" s="5" t="s">
        <v>7366</v>
      </c>
      <c r="C720" s="7" t="s">
        <v>12556</v>
      </c>
      <c r="D720" s="8">
        <f t="shared" si="48"/>
        <v>0</v>
      </c>
      <c r="E720" s="7" t="s">
        <v>12557</v>
      </c>
      <c r="F720" s="7">
        <f t="shared" si="49"/>
        <v>1</v>
      </c>
      <c r="G720" s="7" t="s">
        <v>12558</v>
      </c>
      <c r="H720" s="7">
        <f t="shared" si="50"/>
        <v>0</v>
      </c>
      <c r="I720" s="7" t="str" cm="1">
        <f t="array" ref="I720">IFERROR(_xlfn.IFS(M720="נח",1,M720="נע ונח",1,M720="שני שווא נח",2,M720="שני שוואים בסוף מילה",2,M720="שני שוואים ברצף",1),"0")</f>
        <v>0</v>
      </c>
      <c r="J720" s="9">
        <f t="shared" si="51"/>
        <v>3</v>
      </c>
      <c r="K720" t="s">
        <v>6698</v>
      </c>
      <c r="L720" t="s">
        <v>6694</v>
      </c>
      <c r="M720" t="s">
        <v>6700</v>
      </c>
      <c r="O720" t="s">
        <v>6694</v>
      </c>
      <c r="V720" t="s">
        <v>6694</v>
      </c>
      <c r="W720" t="s">
        <v>6720</v>
      </c>
    </row>
    <row r="721" spans="1:23" ht="15.6" x14ac:dyDescent="0.4">
      <c r="A721" s="2" t="s">
        <v>5592</v>
      </c>
      <c r="B721" s="5" t="s">
        <v>7367</v>
      </c>
      <c r="C721" s="7" t="s">
        <v>12556</v>
      </c>
      <c r="D721" s="8">
        <f t="shared" si="48"/>
        <v>0</v>
      </c>
      <c r="E721" s="7" t="s">
        <v>12557</v>
      </c>
      <c r="F721" s="7">
        <f t="shared" si="49"/>
        <v>1</v>
      </c>
      <c r="G721" s="7" t="s">
        <v>12558</v>
      </c>
      <c r="H721" s="7">
        <f t="shared" si="50"/>
        <v>0</v>
      </c>
      <c r="I721" s="7" t="str" cm="1">
        <f t="array" ref="I721">IFERROR(_xlfn.IFS(M721="נח",1,M721="נע ונח",1,M721="שני שווא נח",2,M721="שני שוואים בסוף מילה",2,M721="שני שוואים ברצף",1),"0")</f>
        <v>0</v>
      </c>
      <c r="J721" s="9">
        <f t="shared" si="51"/>
        <v>2</v>
      </c>
      <c r="K721" t="s">
        <v>6697</v>
      </c>
      <c r="L721" t="s">
        <v>6694</v>
      </c>
      <c r="M721" t="s">
        <v>6700</v>
      </c>
      <c r="O721" t="s">
        <v>6694</v>
      </c>
      <c r="W721" t="s">
        <v>6720</v>
      </c>
    </row>
    <row r="722" spans="1:23" ht="15.6" x14ac:dyDescent="0.4">
      <c r="A722" s="2" t="s">
        <v>205</v>
      </c>
      <c r="B722" s="5" t="s">
        <v>7141</v>
      </c>
      <c r="C722" s="7" t="s">
        <v>12556</v>
      </c>
      <c r="D722" s="8">
        <f t="shared" si="48"/>
        <v>0</v>
      </c>
      <c r="E722" s="7" t="s">
        <v>12557</v>
      </c>
      <c r="F722" s="7">
        <f t="shared" si="49"/>
        <v>1</v>
      </c>
      <c r="G722" s="7" t="s">
        <v>12558</v>
      </c>
      <c r="H722" s="7">
        <f t="shared" si="50"/>
        <v>0</v>
      </c>
      <c r="I722" s="7" t="str" cm="1">
        <f t="array" ref="I722">IFERROR(_xlfn.IFS(M722="נח",1,M722="נע ונח",1,M722="שני שווא נח",2,M722="שני שוואים בסוף מילה",2,M722="שני שוואים ברצף",1),"0")</f>
        <v>0</v>
      </c>
      <c r="J722" s="9">
        <f t="shared" si="51"/>
        <v>2</v>
      </c>
      <c r="K722" t="s">
        <v>6698</v>
      </c>
      <c r="L722" t="s">
        <v>6694</v>
      </c>
      <c r="M722" t="s">
        <v>6700</v>
      </c>
      <c r="N722" t="s">
        <v>6706</v>
      </c>
      <c r="O722" t="s">
        <v>6694</v>
      </c>
      <c r="W722" t="s">
        <v>6720</v>
      </c>
    </row>
    <row r="723" spans="1:23" ht="15.6" x14ac:dyDescent="0.4">
      <c r="A723" s="2" t="s">
        <v>2243</v>
      </c>
      <c r="B723" s="5" t="s">
        <v>7368</v>
      </c>
      <c r="C723" s="7" t="s">
        <v>12556</v>
      </c>
      <c r="D723" s="8">
        <f t="shared" si="48"/>
        <v>0</v>
      </c>
      <c r="E723" s="7" t="s">
        <v>12557</v>
      </c>
      <c r="F723" s="7">
        <f t="shared" si="49"/>
        <v>1</v>
      </c>
      <c r="G723" s="7" t="s">
        <v>12558</v>
      </c>
      <c r="H723" s="7">
        <f t="shared" si="50"/>
        <v>0</v>
      </c>
      <c r="I723" s="7" t="str" cm="1">
        <f t="array" ref="I723">IFERROR(_xlfn.IFS(M723="נח",1,M723="נע ונח",1,M723="שני שווא נח",2,M723="שני שוואים בסוף מילה",2,M723="שני שוואים ברצף",1),"0")</f>
        <v>0</v>
      </c>
      <c r="J723" s="9">
        <f t="shared" si="51"/>
        <v>4</v>
      </c>
      <c r="K723" t="s">
        <v>6698</v>
      </c>
      <c r="L723" t="s">
        <v>6694</v>
      </c>
      <c r="M723" t="s">
        <v>6700</v>
      </c>
      <c r="N723" t="s">
        <v>6706</v>
      </c>
      <c r="O723" t="s">
        <v>6694</v>
      </c>
      <c r="P723" t="s">
        <v>6694</v>
      </c>
      <c r="V723" t="s">
        <v>6694</v>
      </c>
      <c r="W723" t="s">
        <v>6720</v>
      </c>
    </row>
    <row r="724" spans="1:23" ht="15.6" x14ac:dyDescent="0.4">
      <c r="A724" s="2" t="s">
        <v>4376</v>
      </c>
      <c r="B724" s="5" t="s">
        <v>7369</v>
      </c>
      <c r="C724" s="7" t="s">
        <v>12556</v>
      </c>
      <c r="D724" s="8">
        <f t="shared" si="48"/>
        <v>0</v>
      </c>
      <c r="E724" s="7" t="s">
        <v>12557</v>
      </c>
      <c r="F724" s="7">
        <f t="shared" si="49"/>
        <v>1</v>
      </c>
      <c r="G724" s="7" t="s">
        <v>12558</v>
      </c>
      <c r="H724" s="7">
        <f t="shared" si="50"/>
        <v>0</v>
      </c>
      <c r="I724" s="7" t="str" cm="1">
        <f t="array" ref="I724">IFERROR(_xlfn.IFS(M724="נח",1,M724="נע ונח",1,M724="שני שווא נח",2,M724="שני שוואים בסוף מילה",2,M724="שני שוואים ברצף",1),"0")</f>
        <v>0</v>
      </c>
      <c r="J724" s="9">
        <f t="shared" si="51"/>
        <v>3</v>
      </c>
      <c r="K724" t="s">
        <v>6697</v>
      </c>
      <c r="L724" t="s">
        <v>6694</v>
      </c>
      <c r="M724" t="s">
        <v>6700</v>
      </c>
      <c r="V724" t="s">
        <v>6694</v>
      </c>
      <c r="W724" t="s">
        <v>6720</v>
      </c>
    </row>
    <row r="725" spans="1:23" ht="15.6" x14ac:dyDescent="0.4">
      <c r="A725" s="2" t="s">
        <v>5847</v>
      </c>
      <c r="B725" s="5" t="s">
        <v>7370</v>
      </c>
      <c r="C725" s="7" t="s">
        <v>12556</v>
      </c>
      <c r="D725" s="8">
        <f t="shared" si="48"/>
        <v>0</v>
      </c>
      <c r="E725" s="7" t="s">
        <v>12557</v>
      </c>
      <c r="F725" s="7">
        <f t="shared" si="49"/>
        <v>1</v>
      </c>
      <c r="G725" s="7" t="s">
        <v>12558</v>
      </c>
      <c r="H725" s="7">
        <f t="shared" si="50"/>
        <v>0</v>
      </c>
      <c r="I725" s="7" t="str" cm="1">
        <f t="array" ref="I725">IFERROR(_xlfn.IFS(M725="נח",1,M725="נע ונח",1,M725="שני שווא נח",2,M725="שני שוואים בסוף מילה",2,M725="שני שוואים ברצף",1),"0")</f>
        <v>0</v>
      </c>
      <c r="J725" s="9">
        <f t="shared" si="51"/>
        <v>2</v>
      </c>
      <c r="K725" t="s">
        <v>6698</v>
      </c>
      <c r="L725" t="s">
        <v>6694</v>
      </c>
      <c r="M725" t="s">
        <v>6700</v>
      </c>
      <c r="V725" t="s">
        <v>6694</v>
      </c>
      <c r="W725" t="s">
        <v>6720</v>
      </c>
    </row>
    <row r="726" spans="1:23" ht="15.6" x14ac:dyDescent="0.4">
      <c r="A726" s="2" t="s">
        <v>1256</v>
      </c>
      <c r="B726" s="5" t="s">
        <v>7371</v>
      </c>
      <c r="C726" s="7" t="s">
        <v>12556</v>
      </c>
      <c r="D726" s="8">
        <f t="shared" si="48"/>
        <v>0</v>
      </c>
      <c r="E726" s="7" t="s">
        <v>12557</v>
      </c>
      <c r="F726" s="7">
        <f t="shared" si="49"/>
        <v>1</v>
      </c>
      <c r="G726" s="7" t="s">
        <v>12558</v>
      </c>
      <c r="H726" s="7">
        <f t="shared" si="50"/>
        <v>0</v>
      </c>
      <c r="I726" s="7" t="str" cm="1">
        <f t="array" ref="I726">IFERROR(_xlfn.IFS(M726="נח",1,M726="נע ונח",1,M726="שני שווא נח",2,M726="שני שוואים בסוף מילה",2,M726="שני שוואים ברצף",1),"0")</f>
        <v>0</v>
      </c>
      <c r="J726" s="9">
        <f t="shared" si="51"/>
        <v>3</v>
      </c>
      <c r="K726" t="s">
        <v>6698</v>
      </c>
      <c r="L726" t="s">
        <v>6694</v>
      </c>
      <c r="M726" t="s">
        <v>6700</v>
      </c>
      <c r="Q726" t="s">
        <v>6694</v>
      </c>
      <c r="V726" t="s">
        <v>6694</v>
      </c>
      <c r="W726" t="s">
        <v>6720</v>
      </c>
    </row>
    <row r="727" spans="1:23" ht="15.6" x14ac:dyDescent="0.4">
      <c r="A727" s="2" t="s">
        <v>235</v>
      </c>
      <c r="B727" s="5" t="s">
        <v>7142</v>
      </c>
      <c r="C727" s="7" t="s">
        <v>12556</v>
      </c>
      <c r="D727" s="8">
        <f t="shared" si="48"/>
        <v>0</v>
      </c>
      <c r="E727" s="7" t="s">
        <v>12557</v>
      </c>
      <c r="F727" s="7">
        <f t="shared" si="49"/>
        <v>2</v>
      </c>
      <c r="G727" s="7" t="s">
        <v>12558</v>
      </c>
      <c r="H727" s="7">
        <f t="shared" si="50"/>
        <v>0</v>
      </c>
      <c r="I727" s="7" t="str" cm="1">
        <f t="array" ref="I727">IFERROR(_xlfn.IFS(M727="נח",1,M727="נע ונח",1,M727="שני שווא נח",2,M727="שני שוואים בסוף מילה",2,M727="שני שוואים ברצף",1),"0")</f>
        <v>0</v>
      </c>
      <c r="J727" s="9">
        <f t="shared" si="51"/>
        <v>3</v>
      </c>
      <c r="K727" t="s">
        <v>6697</v>
      </c>
      <c r="L727" t="s">
        <v>6694</v>
      </c>
      <c r="M727" t="s">
        <v>6700</v>
      </c>
      <c r="S727" t="s">
        <v>6694</v>
      </c>
      <c r="W727" t="s">
        <v>6720</v>
      </c>
    </row>
    <row r="728" spans="1:23" ht="15.6" x14ac:dyDescent="0.4">
      <c r="A728" s="2" t="s">
        <v>2556</v>
      </c>
      <c r="B728" s="5" t="s">
        <v>7372</v>
      </c>
      <c r="C728" s="7" t="s">
        <v>12556</v>
      </c>
      <c r="D728" s="8">
        <f t="shared" si="48"/>
        <v>0</v>
      </c>
      <c r="E728" s="7" t="s">
        <v>12557</v>
      </c>
      <c r="F728" s="7">
        <f t="shared" si="49"/>
        <v>2</v>
      </c>
      <c r="G728" s="7" t="s">
        <v>12558</v>
      </c>
      <c r="H728" s="7">
        <f t="shared" si="50"/>
        <v>0</v>
      </c>
      <c r="I728" s="7" t="str" cm="1">
        <f t="array" ref="I728">IFERROR(_xlfn.IFS(M728="נח",1,M728="נע ונח",1,M728="שני שווא נח",2,M728="שני שוואים בסוף מילה",2,M728="שני שוואים ברצף",1),"0")</f>
        <v>0</v>
      </c>
      <c r="J728" s="9">
        <f t="shared" si="51"/>
        <v>3</v>
      </c>
      <c r="K728" t="s">
        <v>6697</v>
      </c>
      <c r="L728" t="s">
        <v>6694</v>
      </c>
      <c r="M728" t="s">
        <v>6700</v>
      </c>
      <c r="S728" t="s">
        <v>6694</v>
      </c>
      <c r="V728" t="s">
        <v>6694</v>
      </c>
      <c r="W728" t="s">
        <v>6720</v>
      </c>
    </row>
    <row r="729" spans="1:23" ht="15.6" x14ac:dyDescent="0.4">
      <c r="A729" s="2" t="s">
        <v>3090</v>
      </c>
      <c r="B729" s="5" t="s">
        <v>7373</v>
      </c>
      <c r="C729" s="7" t="s">
        <v>12556</v>
      </c>
      <c r="D729" s="8">
        <f t="shared" si="48"/>
        <v>0</v>
      </c>
      <c r="E729" s="7" t="s">
        <v>12557</v>
      </c>
      <c r="F729" s="7">
        <f t="shared" si="49"/>
        <v>1</v>
      </c>
      <c r="G729" s="7" t="s">
        <v>12558</v>
      </c>
      <c r="H729" s="7">
        <f t="shared" si="50"/>
        <v>0</v>
      </c>
      <c r="I729" s="7" t="str" cm="1">
        <f t="array" ref="I729">IFERROR(_xlfn.IFS(M729="נח",1,M729="נע ונח",1,M729="שני שווא נח",2,M729="שני שוואים בסוף מילה",2,M729="שני שוואים ברצף",1),"0")</f>
        <v>0</v>
      </c>
      <c r="J729" s="9">
        <f t="shared" si="51"/>
        <v>2</v>
      </c>
      <c r="K729" t="s">
        <v>6697</v>
      </c>
      <c r="L729" t="s">
        <v>6694</v>
      </c>
      <c r="M729" t="s">
        <v>6700</v>
      </c>
      <c r="S729" t="s">
        <v>6694</v>
      </c>
      <c r="W729" t="s">
        <v>6720</v>
      </c>
    </row>
    <row r="730" spans="1:23" ht="15.6" x14ac:dyDescent="0.4">
      <c r="A730" s="2" t="s">
        <v>2171</v>
      </c>
      <c r="B730" s="5" t="s">
        <v>7144</v>
      </c>
      <c r="C730" s="7" t="s">
        <v>12556</v>
      </c>
      <c r="D730" s="8">
        <f t="shared" si="48"/>
        <v>0</v>
      </c>
      <c r="E730" s="7" t="s">
        <v>12557</v>
      </c>
      <c r="F730" s="7">
        <f t="shared" si="49"/>
        <v>2</v>
      </c>
      <c r="G730" s="7" t="s">
        <v>12558</v>
      </c>
      <c r="H730" s="7">
        <f t="shared" si="50"/>
        <v>0</v>
      </c>
      <c r="I730" s="7" t="str" cm="1">
        <f t="array" ref="I730">IFERROR(_xlfn.IFS(M730="נח",1,M730="נע ונח",1,M730="שני שווא נח",2,M730="שני שוואים בסוף מילה",2,M730="שני שוואים ברצף",1),"0")</f>
        <v>0</v>
      </c>
      <c r="J730" s="9">
        <f t="shared" si="51"/>
        <v>4</v>
      </c>
      <c r="K730" t="s">
        <v>6698</v>
      </c>
      <c r="L730" t="s">
        <v>6694</v>
      </c>
      <c r="M730" t="s">
        <v>6700</v>
      </c>
      <c r="P730" t="s">
        <v>6694</v>
      </c>
      <c r="S730" t="s">
        <v>6694</v>
      </c>
      <c r="W730" t="s">
        <v>6720</v>
      </c>
    </row>
    <row r="731" spans="1:23" ht="15.6" x14ac:dyDescent="0.4">
      <c r="A731" s="2" t="s">
        <v>2788</v>
      </c>
      <c r="B731" s="5" t="s">
        <v>7144</v>
      </c>
      <c r="C731" s="7" t="s">
        <v>12556</v>
      </c>
      <c r="D731" s="8">
        <f t="shared" si="48"/>
        <v>0</v>
      </c>
      <c r="E731" s="7" t="s">
        <v>12557</v>
      </c>
      <c r="F731" s="7">
        <f t="shared" si="49"/>
        <v>2</v>
      </c>
      <c r="G731" s="7" t="s">
        <v>12558</v>
      </c>
      <c r="H731" s="7">
        <f t="shared" si="50"/>
        <v>0</v>
      </c>
      <c r="I731" s="7" t="str" cm="1">
        <f t="array" ref="I731">IFERROR(_xlfn.IFS(M731="נח",1,M731="נע ונח",1,M731="שני שווא נח",2,M731="שני שוואים בסוף מילה",2,M731="שני שוואים ברצף",1),"0")</f>
        <v>0</v>
      </c>
      <c r="J731" s="9">
        <f t="shared" si="51"/>
        <v>4</v>
      </c>
      <c r="K731" t="s">
        <v>6698</v>
      </c>
      <c r="L731" t="s">
        <v>6694</v>
      </c>
      <c r="M731" t="s">
        <v>6700</v>
      </c>
      <c r="O731" t="s">
        <v>6694</v>
      </c>
      <c r="P731" t="s">
        <v>6694</v>
      </c>
      <c r="S731" t="s">
        <v>6694</v>
      </c>
      <c r="W731" t="s">
        <v>6720</v>
      </c>
    </row>
    <row r="732" spans="1:23" ht="15.6" x14ac:dyDescent="0.4">
      <c r="A732" s="2" t="s">
        <v>1811</v>
      </c>
      <c r="B732" s="5" t="s">
        <v>7374</v>
      </c>
      <c r="C732" s="7" t="s">
        <v>12556</v>
      </c>
      <c r="D732" s="8">
        <f t="shared" si="48"/>
        <v>0</v>
      </c>
      <c r="E732" s="7" t="s">
        <v>12557</v>
      </c>
      <c r="F732" s="7">
        <f t="shared" si="49"/>
        <v>1</v>
      </c>
      <c r="G732" s="7" t="s">
        <v>12558</v>
      </c>
      <c r="H732" s="7">
        <f t="shared" si="50"/>
        <v>0</v>
      </c>
      <c r="I732" s="7" t="str" cm="1">
        <f t="array" ref="I732">IFERROR(_xlfn.IFS(M732="נח",1,M732="נע ונח",1,M732="שני שווא נח",2,M732="שני שוואים בסוף מילה",2,M732="שני שוואים ברצף",1),"0")</f>
        <v>0</v>
      </c>
      <c r="J732" s="9">
        <f t="shared" si="51"/>
        <v>2</v>
      </c>
      <c r="K732" t="s">
        <v>6698</v>
      </c>
      <c r="L732" t="s">
        <v>6694</v>
      </c>
      <c r="M732" t="s">
        <v>6700</v>
      </c>
      <c r="Q732" t="s">
        <v>6694</v>
      </c>
      <c r="W732" t="s">
        <v>6720</v>
      </c>
    </row>
    <row r="733" spans="1:23" ht="15.6" x14ac:dyDescent="0.4">
      <c r="A733" s="2" t="s">
        <v>3587</v>
      </c>
      <c r="B733" s="5" t="s">
        <v>7375</v>
      </c>
      <c r="C733" s="7" t="s">
        <v>12556</v>
      </c>
      <c r="D733" s="8">
        <f t="shared" si="48"/>
        <v>0</v>
      </c>
      <c r="E733" s="7" t="s">
        <v>12557</v>
      </c>
      <c r="F733" s="7">
        <f t="shared" si="49"/>
        <v>1</v>
      </c>
      <c r="G733" s="7" t="s">
        <v>12558</v>
      </c>
      <c r="H733" s="7">
        <f t="shared" si="50"/>
        <v>0</v>
      </c>
      <c r="I733" s="7" t="str" cm="1">
        <f t="array" ref="I733">IFERROR(_xlfn.IFS(M733="נח",1,M733="נע ונח",1,M733="שני שווא נח",2,M733="שני שוואים בסוף מילה",2,M733="שני שוואים ברצף",1),"0")</f>
        <v>0</v>
      </c>
      <c r="J733" s="9">
        <f t="shared" si="51"/>
        <v>3</v>
      </c>
      <c r="K733" t="s">
        <v>6698</v>
      </c>
      <c r="L733" t="s">
        <v>6694</v>
      </c>
      <c r="M733" t="s">
        <v>6700</v>
      </c>
      <c r="P733" t="s">
        <v>6694</v>
      </c>
      <c r="W733" t="s">
        <v>6720</v>
      </c>
    </row>
    <row r="734" spans="1:23" ht="15.6" x14ac:dyDescent="0.4">
      <c r="A734" s="2" t="s">
        <v>223</v>
      </c>
      <c r="B734" s="5" t="s">
        <v>7376</v>
      </c>
      <c r="C734" s="7" t="s">
        <v>12556</v>
      </c>
      <c r="D734" s="8">
        <f t="shared" si="48"/>
        <v>0</v>
      </c>
      <c r="E734" s="7" t="s">
        <v>12557</v>
      </c>
      <c r="F734" s="7">
        <f t="shared" si="49"/>
        <v>1</v>
      </c>
      <c r="G734" s="7" t="s">
        <v>12558</v>
      </c>
      <c r="H734" s="7">
        <f t="shared" si="50"/>
        <v>0</v>
      </c>
      <c r="I734" s="7" cm="1">
        <f t="array" ref="I734">IFERROR(_xlfn.IFS(M734="נח",1,M734="נע ונח",1,M734="שני שווא נח",2,M734="שני שוואים בסוף מילה",2,M734="שני שוואים ברצף",1),"0")</f>
        <v>1</v>
      </c>
      <c r="J734" s="9">
        <f t="shared" si="51"/>
        <v>3</v>
      </c>
      <c r="K734" t="s">
        <v>6697</v>
      </c>
      <c r="L734" t="s">
        <v>6694</v>
      </c>
      <c r="M734" t="s">
        <v>6701</v>
      </c>
      <c r="N734" t="s">
        <v>6706</v>
      </c>
      <c r="O734" t="s">
        <v>6694</v>
      </c>
      <c r="S734" t="s">
        <v>6694</v>
      </c>
      <c r="W734" t="s">
        <v>6720</v>
      </c>
    </row>
    <row r="735" spans="1:23" ht="15.6" x14ac:dyDescent="0.4">
      <c r="A735" s="2" t="s">
        <v>5351</v>
      </c>
      <c r="B735" s="5" t="s">
        <v>7238</v>
      </c>
      <c r="C735" s="7" t="s">
        <v>12556</v>
      </c>
      <c r="D735" s="8">
        <f t="shared" si="48"/>
        <v>0</v>
      </c>
      <c r="E735" s="7" t="s">
        <v>12557</v>
      </c>
      <c r="F735" s="7">
        <f t="shared" si="49"/>
        <v>2</v>
      </c>
      <c r="G735" s="7" t="s">
        <v>12558</v>
      </c>
      <c r="H735" s="7">
        <f t="shared" si="50"/>
        <v>0</v>
      </c>
      <c r="I735" s="7" cm="1">
        <f t="array" ref="I735">IFERROR(_xlfn.IFS(M735="נח",1,M735="נע ונח",1,M735="שני שווא נח",2,M735="שני שוואים בסוף מילה",2,M735="שני שוואים ברצף",1),"0")</f>
        <v>1</v>
      </c>
      <c r="J735" s="9">
        <f t="shared" si="51"/>
        <v>3</v>
      </c>
      <c r="K735" t="s">
        <v>6698</v>
      </c>
      <c r="L735" t="s">
        <v>6694</v>
      </c>
      <c r="M735" t="s">
        <v>6701</v>
      </c>
      <c r="P735" t="s">
        <v>6694</v>
      </c>
      <c r="S735" t="s">
        <v>6694</v>
      </c>
      <c r="W735" t="s">
        <v>6720</v>
      </c>
    </row>
    <row r="736" spans="1:23" ht="15.6" x14ac:dyDescent="0.4">
      <c r="A736" s="2" t="s">
        <v>3732</v>
      </c>
      <c r="B736" s="5" t="s">
        <v>7377</v>
      </c>
      <c r="C736" s="7" t="s">
        <v>12556</v>
      </c>
      <c r="D736" s="8">
        <f t="shared" si="48"/>
        <v>0</v>
      </c>
      <c r="E736" s="7" t="s">
        <v>12557</v>
      </c>
      <c r="F736" s="7">
        <f t="shared" si="49"/>
        <v>1</v>
      </c>
      <c r="G736" s="7" t="s">
        <v>12558</v>
      </c>
      <c r="H736" s="7">
        <f t="shared" si="50"/>
        <v>0</v>
      </c>
      <c r="I736" s="7" cm="1">
        <f t="array" ref="I736">IFERROR(_xlfn.IFS(M736="נח",1,M736="נע ונח",1,M736="שני שווא נח",2,M736="שני שוואים בסוף מילה",2,M736="שני שוואים ברצף",1),"0")</f>
        <v>1</v>
      </c>
      <c r="J736" s="9">
        <f t="shared" si="51"/>
        <v>3</v>
      </c>
      <c r="K736" t="s">
        <v>6697</v>
      </c>
      <c r="L736" t="s">
        <v>6694</v>
      </c>
      <c r="M736" t="s">
        <v>6701</v>
      </c>
      <c r="O736" t="s">
        <v>6694</v>
      </c>
      <c r="S736" t="s">
        <v>6694</v>
      </c>
      <c r="W736" t="s">
        <v>6720</v>
      </c>
    </row>
    <row r="737" spans="1:23" ht="15.6" x14ac:dyDescent="0.4">
      <c r="A737" s="2" t="s">
        <v>1483</v>
      </c>
      <c r="B737" s="5" t="s">
        <v>7378</v>
      </c>
      <c r="C737" s="7" t="s">
        <v>12556</v>
      </c>
      <c r="D737" s="8">
        <f t="shared" si="48"/>
        <v>0</v>
      </c>
      <c r="E737" s="7" t="s">
        <v>12557</v>
      </c>
      <c r="F737" s="7">
        <f t="shared" si="49"/>
        <v>2</v>
      </c>
      <c r="G737" s="7" t="s">
        <v>12558</v>
      </c>
      <c r="H737" s="7">
        <f t="shared" si="50"/>
        <v>0</v>
      </c>
      <c r="I737" s="7" t="str" cm="1">
        <f t="array" ref="I737">IFERROR(_xlfn.IFS(M737="נח",1,M737="נע ונח",1,M737="שני שווא נח",2,M737="שני שוואים בסוף מילה",2,M737="שני שוואים ברצף",1),"0")</f>
        <v>0</v>
      </c>
      <c r="J737" s="9">
        <f t="shared" si="51"/>
        <v>3</v>
      </c>
      <c r="K737" t="s">
        <v>6698</v>
      </c>
      <c r="L737" t="s">
        <v>6694</v>
      </c>
      <c r="M737" t="s">
        <v>6700</v>
      </c>
      <c r="S737" t="s">
        <v>6694</v>
      </c>
      <c r="W737" t="s">
        <v>6720</v>
      </c>
    </row>
    <row r="738" spans="1:23" ht="15.6" x14ac:dyDescent="0.4">
      <c r="A738" s="2" t="s">
        <v>6202</v>
      </c>
      <c r="B738" s="5" t="s">
        <v>7379</v>
      </c>
      <c r="C738" s="7" t="s">
        <v>12556</v>
      </c>
      <c r="D738" s="8">
        <f t="shared" si="48"/>
        <v>0</v>
      </c>
      <c r="E738" s="7" t="s">
        <v>12557</v>
      </c>
      <c r="F738" s="7">
        <f t="shared" si="49"/>
        <v>2</v>
      </c>
      <c r="G738" s="7" t="s">
        <v>12558</v>
      </c>
      <c r="H738" s="7">
        <f t="shared" si="50"/>
        <v>0</v>
      </c>
      <c r="I738" s="7" cm="1">
        <f t="array" ref="I738">IFERROR(_xlfn.IFS(M738="נח",1,M738="נע ונח",1,M738="שני שווא נח",2,M738="שני שוואים בסוף מילה",2,M738="שני שוואים ברצף",1),"0")</f>
        <v>1</v>
      </c>
      <c r="J738" s="9">
        <f t="shared" si="51"/>
        <v>4</v>
      </c>
      <c r="K738" t="s">
        <v>6698</v>
      </c>
      <c r="L738" t="s">
        <v>6694</v>
      </c>
      <c r="M738" t="s">
        <v>6701</v>
      </c>
      <c r="O738" t="s">
        <v>6694</v>
      </c>
      <c r="S738" t="s">
        <v>6694</v>
      </c>
      <c r="W738" t="s">
        <v>6720</v>
      </c>
    </row>
    <row r="739" spans="1:23" ht="15.6" x14ac:dyDescent="0.4">
      <c r="A739" s="2" t="s">
        <v>1183</v>
      </c>
      <c r="B739" s="5" t="s">
        <v>7380</v>
      </c>
      <c r="C739" s="7" t="s">
        <v>12556</v>
      </c>
      <c r="D739" s="8">
        <f t="shared" si="48"/>
        <v>0</v>
      </c>
      <c r="E739" s="7" t="s">
        <v>12557</v>
      </c>
      <c r="F739" s="7">
        <f t="shared" si="49"/>
        <v>1</v>
      </c>
      <c r="G739" s="7" t="s">
        <v>12558</v>
      </c>
      <c r="H739" s="7">
        <f t="shared" si="50"/>
        <v>0</v>
      </c>
      <c r="I739" s="7" cm="1">
        <f t="array" ref="I739">IFERROR(_xlfn.IFS(M739="נח",1,M739="נע ונח",1,M739="שני שווא נח",2,M739="שני שוואים בסוף מילה",2,M739="שני שוואים ברצף",1),"0")</f>
        <v>1</v>
      </c>
      <c r="J739" s="9">
        <f t="shared" si="51"/>
        <v>4</v>
      </c>
      <c r="K739" t="s">
        <v>6698</v>
      </c>
      <c r="L739" t="s">
        <v>6694</v>
      </c>
      <c r="M739" t="s">
        <v>6701</v>
      </c>
      <c r="N739" t="s">
        <v>6706</v>
      </c>
      <c r="O739" t="s">
        <v>6694</v>
      </c>
      <c r="S739" t="s">
        <v>6694</v>
      </c>
      <c r="V739" t="s">
        <v>6694</v>
      </c>
      <c r="W739" t="s">
        <v>6720</v>
      </c>
    </row>
    <row r="740" spans="1:23" ht="15.6" x14ac:dyDescent="0.4">
      <c r="A740" s="2" t="s">
        <v>6075</v>
      </c>
      <c r="B740" s="5" t="s">
        <v>7147</v>
      </c>
      <c r="C740" s="7" t="s">
        <v>12556</v>
      </c>
      <c r="D740" s="8">
        <f t="shared" si="48"/>
        <v>0</v>
      </c>
      <c r="E740" s="7" t="s">
        <v>12557</v>
      </c>
      <c r="F740" s="7">
        <f t="shared" si="49"/>
        <v>1</v>
      </c>
      <c r="G740" s="7" t="s">
        <v>12558</v>
      </c>
      <c r="H740" s="7">
        <f t="shared" si="50"/>
        <v>0</v>
      </c>
      <c r="I740" s="7" cm="1">
        <f t="array" ref="I740">IFERROR(_xlfn.IFS(M740="נח",1,M740="נע ונח",1,M740="שני שווא נח",2,M740="שני שוואים בסוף מילה",2,M740="שני שוואים ברצף",1),"0")</f>
        <v>1</v>
      </c>
      <c r="J740" s="9">
        <f t="shared" si="51"/>
        <v>4</v>
      </c>
      <c r="K740" t="s">
        <v>6698</v>
      </c>
      <c r="L740" t="s">
        <v>6694</v>
      </c>
      <c r="M740" t="s">
        <v>6701</v>
      </c>
      <c r="N740" t="s">
        <v>6706</v>
      </c>
      <c r="O740" t="s">
        <v>6694</v>
      </c>
      <c r="S740" t="s">
        <v>6694</v>
      </c>
      <c r="W740" t="s">
        <v>6720</v>
      </c>
    </row>
    <row r="741" spans="1:23" ht="15.6" x14ac:dyDescent="0.4">
      <c r="A741" s="2" t="s">
        <v>6088</v>
      </c>
      <c r="B741" s="5" t="s">
        <v>7148</v>
      </c>
      <c r="C741" s="7" t="s">
        <v>12556</v>
      </c>
      <c r="D741" s="8">
        <f t="shared" si="48"/>
        <v>1</v>
      </c>
      <c r="E741" s="7" t="s">
        <v>12557</v>
      </c>
      <c r="F741" s="7">
        <f t="shared" si="49"/>
        <v>2</v>
      </c>
      <c r="G741" s="7" t="s">
        <v>12558</v>
      </c>
      <c r="H741" s="7">
        <f t="shared" si="50"/>
        <v>0</v>
      </c>
      <c r="I741" s="7" cm="1">
        <f t="array" ref="I741">IFERROR(_xlfn.IFS(M741="נח",1,M741="נע ונח",1,M741="שני שווא נח",2,M741="שני שוואים בסוף מילה",2,M741="שני שוואים ברצף",1),"0")</f>
        <v>1</v>
      </c>
      <c r="J741" s="9">
        <f t="shared" si="51"/>
        <v>3</v>
      </c>
      <c r="K741" t="s">
        <v>6698</v>
      </c>
      <c r="L741" t="s">
        <v>6694</v>
      </c>
      <c r="M741" t="s">
        <v>6701</v>
      </c>
      <c r="N741" t="s">
        <v>6706</v>
      </c>
      <c r="O741" t="s">
        <v>6694</v>
      </c>
      <c r="S741" t="s">
        <v>6694</v>
      </c>
      <c r="W741" t="s">
        <v>6720</v>
      </c>
    </row>
    <row r="742" spans="1:23" ht="15.6" x14ac:dyDescent="0.4">
      <c r="A742" s="2" t="s">
        <v>6231</v>
      </c>
      <c r="B742" s="5" t="s">
        <v>7381</v>
      </c>
      <c r="C742" s="7" t="s">
        <v>12556</v>
      </c>
      <c r="D742" s="8">
        <f t="shared" si="48"/>
        <v>1</v>
      </c>
      <c r="E742" s="7" t="s">
        <v>12557</v>
      </c>
      <c r="F742" s="7">
        <f t="shared" si="49"/>
        <v>1</v>
      </c>
      <c r="G742" s="7" t="s">
        <v>12558</v>
      </c>
      <c r="H742" s="7">
        <f t="shared" si="50"/>
        <v>0</v>
      </c>
      <c r="I742" s="7" t="str" cm="1">
        <f t="array" ref="I742">IFERROR(_xlfn.IFS(M742="נח",1,M742="נע ונח",1,M742="שני שווא נח",2,M742="שני שוואים בסוף מילה",2,M742="שני שוואים ברצף",1),"0")</f>
        <v>0</v>
      </c>
      <c r="J742" s="9">
        <f t="shared" si="51"/>
        <v>4</v>
      </c>
      <c r="K742" t="s">
        <v>6698</v>
      </c>
      <c r="L742" t="s">
        <v>6694</v>
      </c>
      <c r="M742" t="s">
        <v>6700</v>
      </c>
      <c r="O742" t="s">
        <v>6694</v>
      </c>
      <c r="Q742" t="s">
        <v>6694</v>
      </c>
      <c r="S742" t="s">
        <v>6694</v>
      </c>
      <c r="W742" t="s">
        <v>6720</v>
      </c>
    </row>
    <row r="743" spans="1:23" ht="15.6" x14ac:dyDescent="0.4">
      <c r="A743" s="2" t="s">
        <v>3346</v>
      </c>
      <c r="B743" s="5" t="s">
        <v>7382</v>
      </c>
      <c r="C743" s="7" t="s">
        <v>12556</v>
      </c>
      <c r="D743" s="8">
        <f t="shared" si="48"/>
        <v>0</v>
      </c>
      <c r="E743" s="7" t="s">
        <v>12557</v>
      </c>
      <c r="F743" s="7">
        <f t="shared" si="49"/>
        <v>1</v>
      </c>
      <c r="G743" s="7" t="s">
        <v>12558</v>
      </c>
      <c r="H743" s="7">
        <f t="shared" si="50"/>
        <v>0</v>
      </c>
      <c r="I743" s="7" t="str" cm="1">
        <f t="array" ref="I743">IFERROR(_xlfn.IFS(M743="נח",1,M743="נע ונח",1,M743="שני שווא נח",2,M743="שני שוואים בסוף מילה",2,M743="שני שוואים ברצף",1),"0")</f>
        <v>0</v>
      </c>
      <c r="J743" s="9">
        <f t="shared" si="51"/>
        <v>5</v>
      </c>
      <c r="K743" t="s">
        <v>6697</v>
      </c>
      <c r="L743" t="s">
        <v>6694</v>
      </c>
      <c r="M743" t="s">
        <v>6700</v>
      </c>
      <c r="O743" t="s">
        <v>6694</v>
      </c>
      <c r="Q743" t="s">
        <v>6694</v>
      </c>
      <c r="R743" t="s">
        <v>6694</v>
      </c>
      <c r="W743" t="s">
        <v>6720</v>
      </c>
    </row>
    <row r="744" spans="1:23" ht="15.6" x14ac:dyDescent="0.4">
      <c r="A744" s="2" t="s">
        <v>2725</v>
      </c>
      <c r="B744" s="5" t="s">
        <v>7383</v>
      </c>
      <c r="C744" s="7" t="s">
        <v>12556</v>
      </c>
      <c r="D744" s="8">
        <f t="shared" si="48"/>
        <v>0</v>
      </c>
      <c r="E744" s="7" t="s">
        <v>12557</v>
      </c>
      <c r="F744" s="7">
        <f t="shared" si="49"/>
        <v>1</v>
      </c>
      <c r="G744" s="7" t="s">
        <v>12558</v>
      </c>
      <c r="H744" s="7">
        <f t="shared" si="50"/>
        <v>0</v>
      </c>
      <c r="I744" s="7" t="str" cm="1">
        <f t="array" ref="I744">IFERROR(_xlfn.IFS(M744="נח",1,M744="נע ונח",1,M744="שני שווא נח",2,M744="שני שוואים בסוף מילה",2,M744="שני שוואים ברצף",1),"0")</f>
        <v>0</v>
      </c>
      <c r="J744" s="9">
        <f t="shared" si="51"/>
        <v>3</v>
      </c>
      <c r="K744" t="s">
        <v>6698</v>
      </c>
      <c r="L744" t="s">
        <v>6694</v>
      </c>
      <c r="M744" t="s">
        <v>6700</v>
      </c>
      <c r="R744" t="s">
        <v>6694</v>
      </c>
      <c r="W744" t="s">
        <v>6720</v>
      </c>
    </row>
    <row r="745" spans="1:23" ht="15.6" x14ac:dyDescent="0.4">
      <c r="A745" s="2" t="s">
        <v>5146</v>
      </c>
      <c r="B745" s="5" t="s">
        <v>7384</v>
      </c>
      <c r="C745" s="7" t="s">
        <v>12556</v>
      </c>
      <c r="D745" s="8">
        <f t="shared" si="48"/>
        <v>0</v>
      </c>
      <c r="E745" s="7" t="s">
        <v>12557</v>
      </c>
      <c r="F745" s="7">
        <f t="shared" si="49"/>
        <v>1</v>
      </c>
      <c r="G745" s="7" t="s">
        <v>12558</v>
      </c>
      <c r="H745" s="7">
        <f t="shared" si="50"/>
        <v>0</v>
      </c>
      <c r="I745" s="7" cm="1">
        <f t="array" ref="I745">IFERROR(_xlfn.IFS(M745="נח",1,M745="נע ונח",1,M745="שני שווא נח",2,M745="שני שוואים בסוף מילה",2,M745="שני שוואים ברצף",1),"0")</f>
        <v>1</v>
      </c>
      <c r="J745" s="9">
        <f t="shared" si="51"/>
        <v>3</v>
      </c>
      <c r="K745" t="s">
        <v>6698</v>
      </c>
      <c r="L745" t="s">
        <v>6694</v>
      </c>
      <c r="M745" t="s">
        <v>6701</v>
      </c>
      <c r="P745" t="s">
        <v>6694</v>
      </c>
      <c r="W745" t="s">
        <v>6720</v>
      </c>
    </row>
    <row r="746" spans="1:23" ht="15.6" x14ac:dyDescent="0.4">
      <c r="A746" s="2" t="s">
        <v>5122</v>
      </c>
      <c r="B746" s="5" t="s">
        <v>7385</v>
      </c>
      <c r="C746" s="7" t="s">
        <v>12556</v>
      </c>
      <c r="D746" s="8">
        <f t="shared" si="48"/>
        <v>0</v>
      </c>
      <c r="E746" s="7" t="s">
        <v>12557</v>
      </c>
      <c r="F746" s="7">
        <f t="shared" si="49"/>
        <v>1</v>
      </c>
      <c r="G746" s="7" t="s">
        <v>12558</v>
      </c>
      <c r="H746" s="7">
        <f t="shared" si="50"/>
        <v>0</v>
      </c>
      <c r="I746" s="7" t="str" cm="1">
        <f t="array" ref="I746">IFERROR(_xlfn.IFS(M746="נח",1,M746="נע ונח",1,M746="שני שווא נח",2,M746="שני שוואים בסוף מילה",2,M746="שני שוואים ברצף",1),"0")</f>
        <v>0</v>
      </c>
      <c r="J746" s="9">
        <f t="shared" si="51"/>
        <v>5</v>
      </c>
      <c r="K746" t="s">
        <v>6698</v>
      </c>
      <c r="L746" t="s">
        <v>6694</v>
      </c>
      <c r="M746" t="s">
        <v>6700</v>
      </c>
      <c r="P746" t="s">
        <v>6694</v>
      </c>
      <c r="V746" t="s">
        <v>6694</v>
      </c>
      <c r="W746" t="s">
        <v>6720</v>
      </c>
    </row>
    <row r="747" spans="1:23" ht="15.6" x14ac:dyDescent="0.4">
      <c r="A747" s="2" t="s">
        <v>1577</v>
      </c>
      <c r="B747" s="5" t="s">
        <v>7240</v>
      </c>
      <c r="C747" s="7" t="s">
        <v>12556</v>
      </c>
      <c r="D747" s="8">
        <f t="shared" si="48"/>
        <v>0</v>
      </c>
      <c r="E747" s="7" t="s">
        <v>12557</v>
      </c>
      <c r="F747" s="7">
        <f t="shared" si="49"/>
        <v>1</v>
      </c>
      <c r="G747" s="7" t="s">
        <v>12558</v>
      </c>
      <c r="H747" s="7">
        <f t="shared" si="50"/>
        <v>0</v>
      </c>
      <c r="I747" s="7" t="str" cm="1">
        <f t="array" ref="I747">IFERROR(_xlfn.IFS(M747="נח",1,M747="נע ונח",1,M747="שני שווא נח",2,M747="שני שוואים בסוף מילה",2,M747="שני שוואים ברצף",1),"0")</f>
        <v>0</v>
      </c>
      <c r="J747" s="9">
        <f t="shared" si="51"/>
        <v>3</v>
      </c>
      <c r="K747" t="s">
        <v>6698</v>
      </c>
      <c r="L747" t="s">
        <v>6694</v>
      </c>
      <c r="M747" t="s">
        <v>6700</v>
      </c>
      <c r="P747" t="s">
        <v>6694</v>
      </c>
      <c r="S747" t="s">
        <v>6694</v>
      </c>
      <c r="W747" t="s">
        <v>6720</v>
      </c>
    </row>
    <row r="748" spans="1:23" ht="15.6" x14ac:dyDescent="0.4">
      <c r="A748" s="2" t="s">
        <v>6641</v>
      </c>
      <c r="B748" s="5" t="s">
        <v>7386</v>
      </c>
      <c r="C748" s="7" t="s">
        <v>12556</v>
      </c>
      <c r="D748" s="8">
        <f t="shared" si="48"/>
        <v>0</v>
      </c>
      <c r="E748" s="7" t="s">
        <v>12557</v>
      </c>
      <c r="F748" s="7">
        <f t="shared" si="49"/>
        <v>2</v>
      </c>
      <c r="G748" s="7" t="s">
        <v>12558</v>
      </c>
      <c r="H748" s="7">
        <f t="shared" si="50"/>
        <v>0</v>
      </c>
      <c r="I748" s="7" cm="1">
        <f t="array" ref="I748">IFERROR(_xlfn.IFS(M748="נח",1,M748="נע ונח",1,M748="שני שווא נח",2,M748="שני שוואים בסוף מילה",2,M748="שני שוואים ברצף",1),"0")</f>
        <v>1</v>
      </c>
      <c r="J748" s="9">
        <f t="shared" si="51"/>
        <v>5</v>
      </c>
      <c r="K748" t="s">
        <v>6698</v>
      </c>
      <c r="L748" t="s">
        <v>6694</v>
      </c>
      <c r="M748" t="s">
        <v>6701</v>
      </c>
      <c r="P748" t="s">
        <v>6694</v>
      </c>
      <c r="Q748" t="s">
        <v>6694</v>
      </c>
      <c r="R748" t="s">
        <v>6694</v>
      </c>
      <c r="W748" t="s">
        <v>6720</v>
      </c>
    </row>
    <row r="749" spans="1:23" ht="15.6" x14ac:dyDescent="0.4">
      <c r="A749" s="2" t="s">
        <v>5612</v>
      </c>
      <c r="B749" s="5" t="s">
        <v>7387</v>
      </c>
      <c r="C749" s="7" t="s">
        <v>12556</v>
      </c>
      <c r="D749" s="8">
        <f t="shared" si="48"/>
        <v>1</v>
      </c>
      <c r="E749" s="7" t="s">
        <v>12557</v>
      </c>
      <c r="F749" s="7">
        <f t="shared" si="49"/>
        <v>1</v>
      </c>
      <c r="G749" s="7" t="s">
        <v>12558</v>
      </c>
      <c r="H749" s="7">
        <f t="shared" si="50"/>
        <v>0</v>
      </c>
      <c r="I749" s="7" t="str" cm="1">
        <f t="array" ref="I749">IFERROR(_xlfn.IFS(M749="נח",1,M749="נע ונח",1,M749="שני שווא נח",2,M749="שני שוואים בסוף מילה",2,M749="שני שוואים ברצף",1),"0")</f>
        <v>0</v>
      </c>
      <c r="J749" s="9">
        <f t="shared" si="51"/>
        <v>4</v>
      </c>
      <c r="K749" t="s">
        <v>6697</v>
      </c>
      <c r="L749" t="s">
        <v>6694</v>
      </c>
      <c r="M749" t="s">
        <v>6700</v>
      </c>
      <c r="P749" t="s">
        <v>6694</v>
      </c>
      <c r="Q749" t="s">
        <v>6694</v>
      </c>
      <c r="W749" t="s">
        <v>6720</v>
      </c>
    </row>
    <row r="750" spans="1:23" ht="15.6" x14ac:dyDescent="0.4">
      <c r="A750" s="2" t="s">
        <v>5517</v>
      </c>
      <c r="B750" s="5" t="s">
        <v>7388</v>
      </c>
      <c r="C750" s="7" t="s">
        <v>12556</v>
      </c>
      <c r="D750" s="8">
        <f t="shared" si="48"/>
        <v>1</v>
      </c>
      <c r="E750" s="7" t="s">
        <v>12557</v>
      </c>
      <c r="F750" s="7">
        <f t="shared" si="49"/>
        <v>1</v>
      </c>
      <c r="G750" s="7" t="s">
        <v>12558</v>
      </c>
      <c r="H750" s="7">
        <f t="shared" si="50"/>
        <v>0</v>
      </c>
      <c r="I750" s="7" t="str" cm="1">
        <f t="array" ref="I750">IFERROR(_xlfn.IFS(M750="נח",1,M750="נע ונח",1,M750="שני שווא נח",2,M750="שני שוואים בסוף מילה",2,M750="שני שוואים ברצף",1),"0")</f>
        <v>0</v>
      </c>
      <c r="J750" s="9">
        <f t="shared" si="51"/>
        <v>4</v>
      </c>
      <c r="K750" t="s">
        <v>6698</v>
      </c>
      <c r="L750" t="s">
        <v>6694</v>
      </c>
      <c r="M750" t="s">
        <v>6700</v>
      </c>
      <c r="P750" t="s">
        <v>6694</v>
      </c>
      <c r="Q750" t="s">
        <v>6694</v>
      </c>
      <c r="W750" t="s">
        <v>6720</v>
      </c>
    </row>
    <row r="751" spans="1:23" ht="15.6" x14ac:dyDescent="0.4">
      <c r="A751" s="2" t="s">
        <v>1129</v>
      </c>
      <c r="B751" s="5" t="s">
        <v>7389</v>
      </c>
      <c r="C751" s="7" t="s">
        <v>12556</v>
      </c>
      <c r="D751" s="8">
        <f t="shared" si="48"/>
        <v>0</v>
      </c>
      <c r="E751" s="7" t="s">
        <v>12557</v>
      </c>
      <c r="F751" s="7">
        <f t="shared" si="49"/>
        <v>1</v>
      </c>
      <c r="G751" s="7" t="s">
        <v>12558</v>
      </c>
      <c r="H751" s="7">
        <f t="shared" si="50"/>
        <v>0</v>
      </c>
      <c r="I751" s="7" t="str" cm="1">
        <f t="array" ref="I751">IFERROR(_xlfn.IFS(M751="נח",1,M751="נע ונח",1,M751="שני שווא נח",2,M751="שני שוואים בסוף מילה",2,M751="שני שוואים ברצף",1),"0")</f>
        <v>0</v>
      </c>
      <c r="J751" s="9">
        <f t="shared" si="51"/>
        <v>6</v>
      </c>
      <c r="K751" t="s">
        <v>6698</v>
      </c>
      <c r="L751" t="s">
        <v>6694</v>
      </c>
      <c r="M751" t="s">
        <v>6703</v>
      </c>
      <c r="P751" t="s">
        <v>6694</v>
      </c>
      <c r="Q751" t="s">
        <v>6694</v>
      </c>
      <c r="R751" t="s">
        <v>6694</v>
      </c>
      <c r="W751" t="s">
        <v>6720</v>
      </c>
    </row>
    <row r="752" spans="1:23" ht="15.6" x14ac:dyDescent="0.4">
      <c r="A752" s="2" t="s">
        <v>2489</v>
      </c>
      <c r="B752" s="5" t="s">
        <v>7390</v>
      </c>
      <c r="C752" s="7" t="s">
        <v>12556</v>
      </c>
      <c r="D752" s="8">
        <f t="shared" si="48"/>
        <v>0</v>
      </c>
      <c r="E752" s="7" t="s">
        <v>12557</v>
      </c>
      <c r="F752" s="7">
        <f t="shared" si="49"/>
        <v>1</v>
      </c>
      <c r="G752" s="7" t="s">
        <v>12558</v>
      </c>
      <c r="H752" s="7">
        <f t="shared" si="50"/>
        <v>0</v>
      </c>
      <c r="I752" s="7" cm="1">
        <f t="array" ref="I752">IFERROR(_xlfn.IFS(M752="נח",1,M752="נע ונח",1,M752="שני שווא נח",2,M752="שני שוואים בסוף מילה",2,M752="שני שוואים ברצף",1),"0")</f>
        <v>1</v>
      </c>
      <c r="J752" s="9">
        <f t="shared" si="51"/>
        <v>4</v>
      </c>
      <c r="K752" t="s">
        <v>6697</v>
      </c>
      <c r="L752" t="s">
        <v>6694</v>
      </c>
      <c r="M752" t="s">
        <v>6701</v>
      </c>
      <c r="N752" t="s">
        <v>6707</v>
      </c>
      <c r="P752" t="s">
        <v>6694</v>
      </c>
      <c r="S752" t="s">
        <v>6694</v>
      </c>
      <c r="W752" t="s">
        <v>6720</v>
      </c>
    </row>
    <row r="753" spans="1:23" ht="15.6" x14ac:dyDescent="0.4">
      <c r="A753" s="2" t="s">
        <v>54</v>
      </c>
      <c r="B753" s="5" t="s">
        <v>7391</v>
      </c>
      <c r="C753" s="7" t="s">
        <v>12556</v>
      </c>
      <c r="D753" s="8">
        <f t="shared" si="48"/>
        <v>0</v>
      </c>
      <c r="E753" s="7" t="s">
        <v>12557</v>
      </c>
      <c r="F753" s="7">
        <f t="shared" si="49"/>
        <v>1</v>
      </c>
      <c r="G753" s="7" t="s">
        <v>12558</v>
      </c>
      <c r="H753" s="7">
        <f t="shared" si="50"/>
        <v>0</v>
      </c>
      <c r="I753" s="7" cm="1">
        <f t="array" ref="I753">IFERROR(_xlfn.IFS(M753="נח",1,M753="נע ונח",1,M753="שני שווא נח",2,M753="שני שוואים בסוף מילה",2,M753="שני שוואים ברצף",1),"0")</f>
        <v>1</v>
      </c>
      <c r="J753" s="9">
        <f t="shared" si="51"/>
        <v>4</v>
      </c>
      <c r="K753" t="s">
        <v>6698</v>
      </c>
      <c r="L753" t="s">
        <v>6694</v>
      </c>
      <c r="M753" t="s">
        <v>6701</v>
      </c>
      <c r="P753" t="s">
        <v>6694</v>
      </c>
      <c r="Q753" t="s">
        <v>6694</v>
      </c>
      <c r="S753" t="s">
        <v>6694</v>
      </c>
      <c r="W753" t="s">
        <v>6720</v>
      </c>
    </row>
    <row r="754" spans="1:23" ht="15.6" x14ac:dyDescent="0.4">
      <c r="A754" s="2" t="s">
        <v>4566</v>
      </c>
      <c r="B754" s="5" t="s">
        <v>7392</v>
      </c>
      <c r="C754" s="7" t="s">
        <v>12556</v>
      </c>
      <c r="D754" s="8">
        <f t="shared" si="48"/>
        <v>0</v>
      </c>
      <c r="E754" s="7" t="s">
        <v>12557</v>
      </c>
      <c r="F754" s="7">
        <f t="shared" si="49"/>
        <v>1</v>
      </c>
      <c r="G754" s="7" t="s">
        <v>12558</v>
      </c>
      <c r="H754" s="7">
        <f t="shared" si="50"/>
        <v>0</v>
      </c>
      <c r="I754" s="7" cm="1">
        <f t="array" ref="I754">IFERROR(_xlfn.IFS(M754="נח",1,M754="נע ונח",1,M754="שני שווא נח",2,M754="שני שוואים בסוף מילה",2,M754="שני שוואים ברצף",1),"0")</f>
        <v>1</v>
      </c>
      <c r="J754" s="9">
        <f t="shared" si="51"/>
        <v>4</v>
      </c>
      <c r="K754" t="s">
        <v>6698</v>
      </c>
      <c r="L754" t="s">
        <v>6694</v>
      </c>
      <c r="M754" t="s">
        <v>6701</v>
      </c>
      <c r="P754" t="s">
        <v>6694</v>
      </c>
      <c r="Q754" t="s">
        <v>6694</v>
      </c>
      <c r="V754" t="s">
        <v>6694</v>
      </c>
      <c r="W754" t="s">
        <v>6720</v>
      </c>
    </row>
    <row r="755" spans="1:23" ht="15.6" x14ac:dyDescent="0.4">
      <c r="A755" s="2" t="s">
        <v>5155</v>
      </c>
      <c r="B755" s="5" t="s">
        <v>7393</v>
      </c>
      <c r="C755" s="7" t="s">
        <v>12556</v>
      </c>
      <c r="D755" s="8">
        <f t="shared" si="48"/>
        <v>1</v>
      </c>
      <c r="E755" s="7" t="s">
        <v>12557</v>
      </c>
      <c r="F755" s="7">
        <f t="shared" si="49"/>
        <v>1</v>
      </c>
      <c r="G755" s="7" t="s">
        <v>12558</v>
      </c>
      <c r="H755" s="7">
        <f t="shared" si="50"/>
        <v>0</v>
      </c>
      <c r="I755" s="7" cm="1">
        <f t="array" ref="I755">IFERROR(_xlfn.IFS(M755="נח",1,M755="נע ונח",1,M755="שני שווא נח",2,M755="שני שוואים בסוף מילה",2,M755="שני שוואים ברצף",1),"0")</f>
        <v>1</v>
      </c>
      <c r="J755" s="9">
        <f t="shared" si="51"/>
        <v>3</v>
      </c>
      <c r="K755" t="s">
        <v>6697</v>
      </c>
      <c r="L755" t="s">
        <v>6694</v>
      </c>
      <c r="M755" t="s">
        <v>6701</v>
      </c>
      <c r="O755" t="s">
        <v>6694</v>
      </c>
      <c r="V755" t="s">
        <v>6694</v>
      </c>
      <c r="W755" t="s">
        <v>6720</v>
      </c>
    </row>
    <row r="756" spans="1:23" ht="15.6" x14ac:dyDescent="0.4">
      <c r="A756" s="2" t="s">
        <v>4310</v>
      </c>
      <c r="B756" s="5" t="s">
        <v>7394</v>
      </c>
      <c r="C756" s="7" t="s">
        <v>12556</v>
      </c>
      <c r="D756" s="8">
        <f t="shared" si="48"/>
        <v>0</v>
      </c>
      <c r="E756" s="7" t="s">
        <v>12557</v>
      </c>
      <c r="F756" s="7">
        <f t="shared" si="49"/>
        <v>1</v>
      </c>
      <c r="G756" s="7" t="s">
        <v>12558</v>
      </c>
      <c r="H756" s="7">
        <f t="shared" si="50"/>
        <v>0</v>
      </c>
      <c r="I756" s="7" cm="1">
        <f t="array" ref="I756">IFERROR(_xlfn.IFS(M756="נח",1,M756="נע ונח",1,M756="שני שווא נח",2,M756="שני שוואים בסוף מילה",2,M756="שני שוואים ברצף",1),"0")</f>
        <v>1</v>
      </c>
      <c r="J756" s="9">
        <f t="shared" si="51"/>
        <v>4</v>
      </c>
      <c r="K756" t="s">
        <v>6698</v>
      </c>
      <c r="L756" t="s">
        <v>6694</v>
      </c>
      <c r="M756" t="s">
        <v>6701</v>
      </c>
      <c r="P756" t="s">
        <v>6694</v>
      </c>
      <c r="S756" t="s">
        <v>6694</v>
      </c>
      <c r="V756" t="s">
        <v>6694</v>
      </c>
      <c r="W756" t="s">
        <v>6720</v>
      </c>
    </row>
    <row r="757" spans="1:23" ht="15.6" x14ac:dyDescent="0.4">
      <c r="A757" s="2" t="s">
        <v>2447</v>
      </c>
      <c r="B757" s="5" t="s">
        <v>7395</v>
      </c>
      <c r="C757" s="7" t="s">
        <v>12556</v>
      </c>
      <c r="D757" s="8">
        <f t="shared" si="48"/>
        <v>0</v>
      </c>
      <c r="E757" s="7" t="s">
        <v>12557</v>
      </c>
      <c r="F757" s="7">
        <f t="shared" si="49"/>
        <v>1</v>
      </c>
      <c r="G757" s="7" t="s">
        <v>12558</v>
      </c>
      <c r="H757" s="7">
        <f t="shared" si="50"/>
        <v>0</v>
      </c>
      <c r="I757" s="7" t="str" cm="1">
        <f t="array" ref="I757">IFERROR(_xlfn.IFS(M757="נח",1,M757="נע ונח",1,M757="שני שווא נח",2,M757="שני שוואים בסוף מילה",2,M757="שני שוואים ברצף",1),"0")</f>
        <v>0</v>
      </c>
      <c r="J757" s="9">
        <f t="shared" si="51"/>
        <v>2</v>
      </c>
      <c r="K757" t="s">
        <v>6697</v>
      </c>
      <c r="L757" t="s">
        <v>6694</v>
      </c>
      <c r="M757" t="s">
        <v>6700</v>
      </c>
      <c r="V757" t="s">
        <v>6694</v>
      </c>
      <c r="W757" t="s">
        <v>6720</v>
      </c>
    </row>
    <row r="758" spans="1:23" ht="15.6" x14ac:dyDescent="0.4">
      <c r="A758" s="2" t="s">
        <v>1950</v>
      </c>
      <c r="B758" s="5" t="s">
        <v>7396</v>
      </c>
      <c r="C758" s="7" t="s">
        <v>12556</v>
      </c>
      <c r="D758" s="8">
        <f t="shared" si="48"/>
        <v>0</v>
      </c>
      <c r="E758" s="7" t="s">
        <v>12557</v>
      </c>
      <c r="F758" s="7">
        <f t="shared" si="49"/>
        <v>1</v>
      </c>
      <c r="G758" s="7" t="s">
        <v>12558</v>
      </c>
      <c r="H758" s="7">
        <f t="shared" si="50"/>
        <v>0</v>
      </c>
      <c r="I758" s="7" t="str" cm="1">
        <f t="array" ref="I758">IFERROR(_xlfn.IFS(M758="נח",1,M758="נע ונח",1,M758="שני שווא נח",2,M758="שני שוואים בסוף מילה",2,M758="שני שוואים ברצף",1),"0")</f>
        <v>0</v>
      </c>
      <c r="J758" s="9">
        <f t="shared" si="51"/>
        <v>2</v>
      </c>
      <c r="K758" t="s">
        <v>6698</v>
      </c>
      <c r="L758" t="s">
        <v>6694</v>
      </c>
      <c r="M758" t="s">
        <v>6700</v>
      </c>
      <c r="V758" t="s">
        <v>6694</v>
      </c>
      <c r="W758" t="s">
        <v>6720</v>
      </c>
    </row>
    <row r="759" spans="1:23" ht="15.6" x14ac:dyDescent="0.4">
      <c r="A759" s="2" t="s">
        <v>6527</v>
      </c>
      <c r="B759" s="5" t="s">
        <v>7397</v>
      </c>
      <c r="C759" s="7" t="s">
        <v>12556</v>
      </c>
      <c r="D759" s="8">
        <f t="shared" si="48"/>
        <v>0</v>
      </c>
      <c r="E759" s="7" t="s">
        <v>12557</v>
      </c>
      <c r="F759" s="7">
        <f t="shared" si="49"/>
        <v>1</v>
      </c>
      <c r="G759" s="7" t="s">
        <v>12558</v>
      </c>
      <c r="H759" s="7">
        <f t="shared" si="50"/>
        <v>0</v>
      </c>
      <c r="I759" s="7" t="str" cm="1">
        <f t="array" ref="I759">IFERROR(_xlfn.IFS(M759="נח",1,M759="נע ונח",1,M759="שני שווא נח",2,M759="שני שוואים בסוף מילה",2,M759="שני שוואים ברצף",1),"0")</f>
        <v>0</v>
      </c>
      <c r="J759" s="9">
        <f t="shared" si="51"/>
        <v>6</v>
      </c>
      <c r="K759" t="s">
        <v>6698</v>
      </c>
      <c r="L759" t="s">
        <v>6694</v>
      </c>
      <c r="M759" t="s">
        <v>6700</v>
      </c>
      <c r="P759" t="s">
        <v>6694</v>
      </c>
      <c r="Q759" t="s">
        <v>6694</v>
      </c>
      <c r="R759" t="s">
        <v>6694</v>
      </c>
      <c r="V759" t="s">
        <v>6694</v>
      </c>
      <c r="W759" t="s">
        <v>6720</v>
      </c>
    </row>
    <row r="760" spans="1:23" ht="15.6" x14ac:dyDescent="0.4">
      <c r="A760" s="2" t="s">
        <v>2274</v>
      </c>
      <c r="B760" s="5" t="s">
        <v>7398</v>
      </c>
      <c r="C760" s="7" t="s">
        <v>12556</v>
      </c>
      <c r="D760" s="8">
        <f t="shared" si="48"/>
        <v>0</v>
      </c>
      <c r="E760" s="7" t="s">
        <v>12557</v>
      </c>
      <c r="F760" s="7">
        <f t="shared" si="49"/>
        <v>1</v>
      </c>
      <c r="G760" s="7" t="s">
        <v>12558</v>
      </c>
      <c r="H760" s="7">
        <f t="shared" si="50"/>
        <v>0</v>
      </c>
      <c r="I760" s="7" t="str" cm="1">
        <f t="array" ref="I760">IFERROR(_xlfn.IFS(M760="נח",1,M760="נע ונח",1,M760="שני שווא נח",2,M760="שני שוואים בסוף מילה",2,M760="שני שוואים ברצף",1),"0")</f>
        <v>0</v>
      </c>
      <c r="J760" s="9">
        <f t="shared" si="51"/>
        <v>2</v>
      </c>
      <c r="K760" t="s">
        <v>6697</v>
      </c>
      <c r="L760" t="s">
        <v>6694</v>
      </c>
      <c r="M760" t="s">
        <v>6700</v>
      </c>
      <c r="S760" t="s">
        <v>6694</v>
      </c>
      <c r="W760" t="s">
        <v>6720</v>
      </c>
    </row>
    <row r="761" spans="1:23" ht="15.6" x14ac:dyDescent="0.4">
      <c r="A761" s="2" t="s">
        <v>5998</v>
      </c>
      <c r="B761" s="5" t="s">
        <v>7399</v>
      </c>
      <c r="C761" s="7" t="s">
        <v>12556</v>
      </c>
      <c r="D761" s="8">
        <f t="shared" si="48"/>
        <v>0</v>
      </c>
      <c r="E761" s="7" t="s">
        <v>12557</v>
      </c>
      <c r="F761" s="7">
        <f t="shared" si="49"/>
        <v>1</v>
      </c>
      <c r="G761" s="7" t="s">
        <v>12558</v>
      </c>
      <c r="H761" s="7">
        <f t="shared" si="50"/>
        <v>0</v>
      </c>
      <c r="I761" s="7" cm="1">
        <f t="array" ref="I761">IFERROR(_xlfn.IFS(M761="נח",1,M761="נע ונח",1,M761="שני שווא נח",2,M761="שני שוואים בסוף מילה",2,M761="שני שוואים ברצף",1),"0")</f>
        <v>1</v>
      </c>
      <c r="J761" s="9">
        <f t="shared" si="51"/>
        <v>6</v>
      </c>
      <c r="K761" t="s">
        <v>6697</v>
      </c>
      <c r="L761" t="s">
        <v>6694</v>
      </c>
      <c r="M761" t="s">
        <v>6702</v>
      </c>
      <c r="O761" t="s">
        <v>6694</v>
      </c>
      <c r="R761" t="s">
        <v>6694</v>
      </c>
      <c r="S761" t="s">
        <v>6694</v>
      </c>
      <c r="V761" t="s">
        <v>6694</v>
      </c>
      <c r="W761" t="s">
        <v>6720</v>
      </c>
    </row>
    <row r="762" spans="1:23" ht="15.6" x14ac:dyDescent="0.4">
      <c r="A762" s="2" t="s">
        <v>5416</v>
      </c>
      <c r="B762" s="5" t="s">
        <v>7400</v>
      </c>
      <c r="C762" s="7" t="s">
        <v>12556</v>
      </c>
      <c r="D762" s="8">
        <f t="shared" si="48"/>
        <v>0</v>
      </c>
      <c r="E762" s="7" t="s">
        <v>12557</v>
      </c>
      <c r="F762" s="7">
        <f t="shared" si="49"/>
        <v>2</v>
      </c>
      <c r="G762" s="7" t="s">
        <v>12558</v>
      </c>
      <c r="H762" s="7">
        <f t="shared" si="50"/>
        <v>0</v>
      </c>
      <c r="I762" s="7" t="str" cm="1">
        <f t="array" ref="I762">IFERROR(_xlfn.IFS(M762="נח",1,M762="נע ונח",1,M762="שני שווא נח",2,M762="שני שוואים בסוף מילה",2,M762="שני שוואים ברצף",1),"0")</f>
        <v>0</v>
      </c>
      <c r="J762" s="9">
        <f t="shared" si="51"/>
        <v>4</v>
      </c>
      <c r="K762" t="s">
        <v>6698</v>
      </c>
      <c r="L762" t="s">
        <v>6694</v>
      </c>
      <c r="M762" t="s">
        <v>6700</v>
      </c>
      <c r="N762" t="s">
        <v>6706</v>
      </c>
      <c r="O762" t="s">
        <v>6694</v>
      </c>
      <c r="S762" t="s">
        <v>6694</v>
      </c>
      <c r="V762" t="s">
        <v>6694</v>
      </c>
      <c r="W762" t="s">
        <v>6720</v>
      </c>
    </row>
    <row r="763" spans="1:23" ht="15.6" x14ac:dyDescent="0.4">
      <c r="A763" s="2" t="s">
        <v>1480</v>
      </c>
      <c r="B763" s="5" t="s">
        <v>7401</v>
      </c>
      <c r="C763" s="7" t="s">
        <v>12556</v>
      </c>
      <c r="D763" s="8">
        <f t="shared" si="48"/>
        <v>0</v>
      </c>
      <c r="E763" s="7" t="s">
        <v>12557</v>
      </c>
      <c r="F763" s="7">
        <f t="shared" si="49"/>
        <v>1</v>
      </c>
      <c r="G763" s="7" t="s">
        <v>12558</v>
      </c>
      <c r="H763" s="7">
        <f t="shared" si="50"/>
        <v>0</v>
      </c>
      <c r="I763" s="7" t="str" cm="1">
        <f t="array" ref="I763">IFERROR(_xlfn.IFS(M763="נח",1,M763="נע ונח",1,M763="שני שווא נח",2,M763="שני שוואים בסוף מילה",2,M763="שני שוואים ברצף",1),"0")</f>
        <v>0</v>
      </c>
      <c r="J763" s="9">
        <f t="shared" si="51"/>
        <v>3</v>
      </c>
      <c r="K763" t="s">
        <v>6698</v>
      </c>
      <c r="L763" t="s">
        <v>6694</v>
      </c>
      <c r="M763" t="s">
        <v>6700</v>
      </c>
      <c r="Q763" t="s">
        <v>6694</v>
      </c>
      <c r="R763" t="s">
        <v>6694</v>
      </c>
      <c r="W763" t="s">
        <v>6720</v>
      </c>
    </row>
    <row r="764" spans="1:23" ht="15.6" x14ac:dyDescent="0.4">
      <c r="A764" s="2" t="s">
        <v>436</v>
      </c>
      <c r="B764" s="5" t="s">
        <v>7398</v>
      </c>
      <c r="C764" s="7" t="s">
        <v>12556</v>
      </c>
      <c r="D764" s="8">
        <f t="shared" si="48"/>
        <v>0</v>
      </c>
      <c r="E764" s="7" t="s">
        <v>12557</v>
      </c>
      <c r="F764" s="7">
        <f t="shared" si="49"/>
        <v>1</v>
      </c>
      <c r="G764" s="7" t="s">
        <v>12558</v>
      </c>
      <c r="H764" s="7">
        <f t="shared" si="50"/>
        <v>0</v>
      </c>
      <c r="I764" s="7" t="str" cm="1">
        <f t="array" ref="I764">IFERROR(_xlfn.IFS(M764="נח",1,M764="נע ונח",1,M764="שני שווא נח",2,M764="שני שוואים בסוף מילה",2,M764="שני שוואים ברצף",1),"0")</f>
        <v>0</v>
      </c>
      <c r="J764" s="9">
        <f t="shared" si="51"/>
        <v>2</v>
      </c>
      <c r="K764" t="s">
        <v>6698</v>
      </c>
      <c r="L764" t="s">
        <v>6694</v>
      </c>
      <c r="M764" t="s">
        <v>6700</v>
      </c>
      <c r="Q764" t="s">
        <v>6694</v>
      </c>
      <c r="W764" t="s">
        <v>6720</v>
      </c>
    </row>
    <row r="765" spans="1:23" ht="15.6" x14ac:dyDescent="0.4">
      <c r="A765" s="2" t="s">
        <v>6581</v>
      </c>
      <c r="B765" s="5" t="s">
        <v>7402</v>
      </c>
      <c r="C765" s="7" t="s">
        <v>12556</v>
      </c>
      <c r="D765" s="8">
        <f t="shared" si="48"/>
        <v>0</v>
      </c>
      <c r="E765" s="7" t="s">
        <v>12557</v>
      </c>
      <c r="F765" s="7">
        <f t="shared" si="49"/>
        <v>1</v>
      </c>
      <c r="G765" s="7" t="s">
        <v>12558</v>
      </c>
      <c r="H765" s="7">
        <f t="shared" si="50"/>
        <v>0</v>
      </c>
      <c r="I765" s="7" t="str" cm="1">
        <f t="array" ref="I765">IFERROR(_xlfn.IFS(M765="נח",1,M765="נע ונח",1,M765="שני שווא נח",2,M765="שני שוואים בסוף מילה",2,M765="שני שוואים ברצף",1),"0")</f>
        <v>0</v>
      </c>
      <c r="J765" s="9">
        <f t="shared" si="51"/>
        <v>3</v>
      </c>
      <c r="K765" t="s">
        <v>6698</v>
      </c>
      <c r="L765" t="s">
        <v>6694</v>
      </c>
      <c r="M765" t="s">
        <v>6700</v>
      </c>
      <c r="Q765" t="s">
        <v>6694</v>
      </c>
      <c r="R765" t="s">
        <v>6694</v>
      </c>
      <c r="W765" t="s">
        <v>6720</v>
      </c>
    </row>
    <row r="766" spans="1:23" ht="15.6" x14ac:dyDescent="0.4">
      <c r="A766" s="2" t="s">
        <v>2800</v>
      </c>
      <c r="B766" s="5" t="s">
        <v>7403</v>
      </c>
      <c r="C766" s="7" t="s">
        <v>12556</v>
      </c>
      <c r="D766" s="8">
        <f t="shared" si="48"/>
        <v>0</v>
      </c>
      <c r="E766" s="7" t="s">
        <v>12557</v>
      </c>
      <c r="F766" s="7">
        <f t="shared" si="49"/>
        <v>1</v>
      </c>
      <c r="G766" s="7" t="s">
        <v>12558</v>
      </c>
      <c r="H766" s="7">
        <f t="shared" si="50"/>
        <v>0</v>
      </c>
      <c r="I766" s="7" cm="1">
        <f t="array" ref="I766">IFERROR(_xlfn.IFS(M766="נח",1,M766="נע ונח",1,M766="שני שווא נח",2,M766="שני שוואים בסוף מילה",2,M766="שני שוואים ברצף",1),"0")</f>
        <v>1</v>
      </c>
      <c r="J766" s="9">
        <f t="shared" si="51"/>
        <v>4</v>
      </c>
      <c r="K766" t="s">
        <v>6698</v>
      </c>
      <c r="L766" t="s">
        <v>6694</v>
      </c>
      <c r="M766" t="s">
        <v>6701</v>
      </c>
      <c r="Q766" t="s">
        <v>6694</v>
      </c>
      <c r="R766" t="s">
        <v>6694</v>
      </c>
      <c r="W766" t="s">
        <v>6720</v>
      </c>
    </row>
    <row r="767" spans="1:23" ht="15.6" x14ac:dyDescent="0.4">
      <c r="A767" s="2" t="s">
        <v>2650</v>
      </c>
      <c r="B767" s="5" t="s">
        <v>7404</v>
      </c>
      <c r="C767" s="7" t="s">
        <v>12556</v>
      </c>
      <c r="D767" s="8">
        <f t="shared" si="48"/>
        <v>1</v>
      </c>
      <c r="E767" s="7" t="s">
        <v>12557</v>
      </c>
      <c r="F767" s="7">
        <f t="shared" si="49"/>
        <v>1</v>
      </c>
      <c r="G767" s="7" t="s">
        <v>12558</v>
      </c>
      <c r="H767" s="7">
        <f t="shared" si="50"/>
        <v>0</v>
      </c>
      <c r="I767" s="7" t="str" cm="1">
        <f t="array" ref="I767">IFERROR(_xlfn.IFS(M767="נח",1,M767="נע ונח",1,M767="שני שווא נח",2,M767="שני שוואים בסוף מילה",2,M767="שני שוואים ברצף",1),"0")</f>
        <v>0</v>
      </c>
      <c r="J767" s="9">
        <f t="shared" si="51"/>
        <v>3</v>
      </c>
      <c r="K767" t="s">
        <v>6698</v>
      </c>
      <c r="L767" t="s">
        <v>6694</v>
      </c>
      <c r="M767" t="s">
        <v>6700</v>
      </c>
      <c r="R767" t="s">
        <v>6694</v>
      </c>
      <c r="W767" t="s">
        <v>6720</v>
      </c>
    </row>
    <row r="768" spans="1:23" ht="15.6" x14ac:dyDescent="0.4">
      <c r="A768" s="2" t="s">
        <v>5229</v>
      </c>
      <c r="B768" s="5" t="s">
        <v>7405</v>
      </c>
      <c r="C768" s="7" t="s">
        <v>12556</v>
      </c>
      <c r="D768" s="8">
        <f t="shared" si="48"/>
        <v>1</v>
      </c>
      <c r="E768" s="7" t="s">
        <v>12557</v>
      </c>
      <c r="F768" s="7">
        <f t="shared" si="49"/>
        <v>1</v>
      </c>
      <c r="G768" s="7" t="s">
        <v>12558</v>
      </c>
      <c r="H768" s="7">
        <f t="shared" si="50"/>
        <v>0</v>
      </c>
      <c r="I768" s="7" cm="1">
        <f t="array" ref="I768">IFERROR(_xlfn.IFS(M768="נח",1,M768="נע ונח",1,M768="שני שווא נח",2,M768="שני שוואים בסוף מילה",2,M768="שני שוואים ברצף",1),"0")</f>
        <v>1</v>
      </c>
      <c r="J768" s="9">
        <f t="shared" si="51"/>
        <v>3</v>
      </c>
      <c r="K768" t="s">
        <v>6698</v>
      </c>
      <c r="L768" t="s">
        <v>6694</v>
      </c>
      <c r="M768" t="s">
        <v>6701</v>
      </c>
      <c r="R768" t="s">
        <v>6694</v>
      </c>
      <c r="W768" t="s">
        <v>6720</v>
      </c>
    </row>
    <row r="769" spans="1:23" ht="15.6" x14ac:dyDescent="0.4">
      <c r="A769" s="2" t="s">
        <v>5451</v>
      </c>
      <c r="B769" s="5" t="s">
        <v>7406</v>
      </c>
      <c r="C769" s="7" t="s">
        <v>12556</v>
      </c>
      <c r="D769" s="8">
        <f t="shared" si="48"/>
        <v>0</v>
      </c>
      <c r="E769" s="7" t="s">
        <v>12557</v>
      </c>
      <c r="F769" s="7">
        <f t="shared" si="49"/>
        <v>1</v>
      </c>
      <c r="G769" s="7" t="s">
        <v>12558</v>
      </c>
      <c r="H769" s="7">
        <f t="shared" si="50"/>
        <v>0</v>
      </c>
      <c r="I769" s="7" t="str" cm="1">
        <f t="array" ref="I769">IFERROR(_xlfn.IFS(M769="נח",1,M769="נע ונח",1,M769="שני שווא נח",2,M769="שני שוואים בסוף מילה",2,M769="שני שוואים ברצף",1),"0")</f>
        <v>0</v>
      </c>
      <c r="J769" s="9">
        <f t="shared" si="51"/>
        <v>6</v>
      </c>
      <c r="K769" t="s">
        <v>6697</v>
      </c>
      <c r="L769" t="s">
        <v>6694</v>
      </c>
      <c r="M769" t="s">
        <v>6700</v>
      </c>
      <c r="O769" t="s">
        <v>6694</v>
      </c>
      <c r="P769" t="s">
        <v>6694</v>
      </c>
      <c r="R769" t="s">
        <v>6694</v>
      </c>
      <c r="W769" t="s">
        <v>6720</v>
      </c>
    </row>
    <row r="770" spans="1:23" ht="15.6" x14ac:dyDescent="0.4">
      <c r="A770" s="2" t="s">
        <v>3207</v>
      </c>
      <c r="B770" s="5" t="s">
        <v>7158</v>
      </c>
      <c r="C770" s="7" t="s">
        <v>12556</v>
      </c>
      <c r="D770" s="8">
        <f t="shared" si="48"/>
        <v>1</v>
      </c>
      <c r="E770" s="7" t="s">
        <v>12557</v>
      </c>
      <c r="F770" s="7">
        <f t="shared" si="49"/>
        <v>1</v>
      </c>
      <c r="G770" s="7" t="s">
        <v>12558</v>
      </c>
      <c r="H770" s="7">
        <f t="shared" si="50"/>
        <v>0</v>
      </c>
      <c r="I770" s="7" cm="1">
        <f t="array" ref="I770">IFERROR(_xlfn.IFS(M770="נח",1,M770="נע ונח",1,M770="שני שווא נח",2,M770="שני שוואים בסוף מילה",2,M770="שני שוואים ברצף",1),"0")</f>
        <v>1</v>
      </c>
      <c r="J770" s="9">
        <f t="shared" si="51"/>
        <v>3</v>
      </c>
      <c r="K770" t="s">
        <v>6697</v>
      </c>
      <c r="L770" t="s">
        <v>6694</v>
      </c>
      <c r="M770" t="s">
        <v>6701</v>
      </c>
      <c r="P770" t="s">
        <v>6694</v>
      </c>
      <c r="S770" t="s">
        <v>6694</v>
      </c>
      <c r="W770" t="s">
        <v>6720</v>
      </c>
    </row>
    <row r="771" spans="1:23" ht="15.6" x14ac:dyDescent="0.4">
      <c r="A771" s="2" t="s">
        <v>6072</v>
      </c>
      <c r="B771" s="5" t="s">
        <v>7407</v>
      </c>
      <c r="C771" s="7" t="s">
        <v>12556</v>
      </c>
      <c r="D771" s="8">
        <f t="shared" ref="D771:D834" si="52">(LEN(B771)-LEN(SUBSTITUTE(B771,C771,"")))</f>
        <v>1</v>
      </c>
      <c r="E771" s="7" t="s">
        <v>12557</v>
      </c>
      <c r="F771" s="7">
        <f t="shared" ref="F771:F834" si="53">(LEN(A771)-LEN(SUBSTITUTE(A771,E771,"")))</f>
        <v>1</v>
      </c>
      <c r="G771" s="7" t="s">
        <v>12558</v>
      </c>
      <c r="H771" s="7">
        <f t="shared" ref="H771:H834" si="54">(LEN(A771)-LEN(SUBSTITUTE(A771,G771,"")))/2</f>
        <v>0</v>
      </c>
      <c r="I771" s="7" cm="1">
        <f t="array" ref="I771">IFERROR(_xlfn.IFS(M771="נח",1,M771="נע ונח",1,M771="שני שווא נח",2,M771="שני שוואים בסוף מילה",2,M771="שני שוואים ברצף",1),"0")</f>
        <v>1</v>
      </c>
      <c r="J771" s="9">
        <f t="shared" ref="J771:J834" si="55">LEN(A771)-(LEN(B771))-D771-F771+H771-I771</f>
        <v>3</v>
      </c>
      <c r="K771" t="s">
        <v>6698</v>
      </c>
      <c r="L771" t="s">
        <v>6694</v>
      </c>
      <c r="M771" t="s">
        <v>6701</v>
      </c>
      <c r="N771" t="s">
        <v>6706</v>
      </c>
      <c r="O771" t="s">
        <v>6694</v>
      </c>
      <c r="P771" t="s">
        <v>6694</v>
      </c>
      <c r="W771" t="s">
        <v>6720</v>
      </c>
    </row>
    <row r="772" spans="1:23" ht="15.6" x14ac:dyDescent="0.4">
      <c r="A772" s="2" t="s">
        <v>1669</v>
      </c>
      <c r="B772" s="5" t="s">
        <v>7408</v>
      </c>
      <c r="C772" s="7" t="s">
        <v>12556</v>
      </c>
      <c r="D772" s="8">
        <f t="shared" si="52"/>
        <v>1</v>
      </c>
      <c r="E772" s="7" t="s">
        <v>12557</v>
      </c>
      <c r="F772" s="7">
        <f t="shared" si="53"/>
        <v>1</v>
      </c>
      <c r="G772" s="7" t="s">
        <v>12558</v>
      </c>
      <c r="H772" s="7">
        <f t="shared" si="54"/>
        <v>0</v>
      </c>
      <c r="I772" s="7" cm="1">
        <f t="array" ref="I772">IFERROR(_xlfn.IFS(M772="נח",1,M772="נע ונח",1,M772="שני שווא נח",2,M772="שני שוואים בסוף מילה",2,M772="שני שוואים ברצף",1),"0")</f>
        <v>1</v>
      </c>
      <c r="J772" s="9">
        <f t="shared" si="55"/>
        <v>3</v>
      </c>
      <c r="K772" t="s">
        <v>6697</v>
      </c>
      <c r="L772" t="s">
        <v>6694</v>
      </c>
      <c r="M772" t="s">
        <v>6701</v>
      </c>
      <c r="P772" t="s">
        <v>6694</v>
      </c>
      <c r="V772" t="s">
        <v>6694</v>
      </c>
      <c r="W772" t="s">
        <v>6720</v>
      </c>
    </row>
    <row r="773" spans="1:23" ht="15.6" x14ac:dyDescent="0.4">
      <c r="A773" s="2" t="s">
        <v>2665</v>
      </c>
      <c r="B773" s="5" t="s">
        <v>7409</v>
      </c>
      <c r="C773" s="7" t="s">
        <v>12556</v>
      </c>
      <c r="D773" s="8">
        <f t="shared" si="52"/>
        <v>1</v>
      </c>
      <c r="E773" s="7" t="s">
        <v>12557</v>
      </c>
      <c r="F773" s="7">
        <f t="shared" si="53"/>
        <v>1</v>
      </c>
      <c r="G773" s="7" t="s">
        <v>12558</v>
      </c>
      <c r="H773" s="7">
        <f t="shared" si="54"/>
        <v>0</v>
      </c>
      <c r="I773" s="7" cm="1">
        <f t="array" ref="I773">IFERROR(_xlfn.IFS(M773="נח",1,M773="נע ונח",1,M773="שני שווא נח",2,M773="שני שוואים בסוף מילה",2,M773="שני שוואים ברצף",1),"0")</f>
        <v>1</v>
      </c>
      <c r="J773" s="9">
        <f t="shared" si="55"/>
        <v>3</v>
      </c>
      <c r="K773" t="s">
        <v>6697</v>
      </c>
      <c r="L773" t="s">
        <v>6694</v>
      </c>
      <c r="M773" t="s">
        <v>6701</v>
      </c>
      <c r="O773" t="s">
        <v>6694</v>
      </c>
      <c r="S773" t="s">
        <v>6694</v>
      </c>
      <c r="W773" t="s">
        <v>6720</v>
      </c>
    </row>
    <row r="774" spans="1:23" ht="15.6" x14ac:dyDescent="0.4">
      <c r="A774" s="2" t="s">
        <v>2624</v>
      </c>
      <c r="B774" s="5" t="s">
        <v>7410</v>
      </c>
      <c r="C774" s="7" t="s">
        <v>12556</v>
      </c>
      <c r="D774" s="8">
        <f t="shared" si="52"/>
        <v>0</v>
      </c>
      <c r="E774" s="7" t="s">
        <v>12557</v>
      </c>
      <c r="F774" s="7">
        <f t="shared" si="53"/>
        <v>1</v>
      </c>
      <c r="G774" s="7" t="s">
        <v>12558</v>
      </c>
      <c r="H774" s="7">
        <f t="shared" si="54"/>
        <v>0</v>
      </c>
      <c r="I774" s="7" t="str" cm="1">
        <f t="array" ref="I774">IFERROR(_xlfn.IFS(M774="נח",1,M774="נע ונח",1,M774="שני שווא נח",2,M774="שני שוואים בסוף מילה",2,M774="שני שוואים ברצף",1),"0")</f>
        <v>0</v>
      </c>
      <c r="J774" s="9">
        <f t="shared" si="55"/>
        <v>3</v>
      </c>
      <c r="K774" t="s">
        <v>6698</v>
      </c>
      <c r="L774" t="s">
        <v>6694</v>
      </c>
      <c r="M774" t="s">
        <v>6700</v>
      </c>
      <c r="P774" t="s">
        <v>6694</v>
      </c>
      <c r="V774" t="s">
        <v>6694</v>
      </c>
      <c r="W774" t="s">
        <v>6720</v>
      </c>
    </row>
    <row r="775" spans="1:23" ht="15.6" x14ac:dyDescent="0.4">
      <c r="A775" s="2" t="s">
        <v>6582</v>
      </c>
      <c r="B775" s="5" t="s">
        <v>7411</v>
      </c>
      <c r="C775" s="7" t="s">
        <v>12556</v>
      </c>
      <c r="D775" s="8">
        <f t="shared" si="52"/>
        <v>0</v>
      </c>
      <c r="E775" s="7" t="s">
        <v>12557</v>
      </c>
      <c r="F775" s="7">
        <f t="shared" si="53"/>
        <v>1</v>
      </c>
      <c r="G775" s="7" t="s">
        <v>12558</v>
      </c>
      <c r="H775" s="7">
        <f t="shared" si="54"/>
        <v>0</v>
      </c>
      <c r="I775" s="7" t="str" cm="1">
        <f t="array" ref="I775">IFERROR(_xlfn.IFS(M775="נח",1,M775="נע ונח",1,M775="שני שווא נח",2,M775="שני שוואים בסוף מילה",2,M775="שני שוואים ברצף",1),"0")</f>
        <v>0</v>
      </c>
      <c r="J775" s="9">
        <f t="shared" si="55"/>
        <v>2</v>
      </c>
      <c r="K775" t="s">
        <v>6697</v>
      </c>
      <c r="L775" t="s">
        <v>6694</v>
      </c>
      <c r="M775" t="s">
        <v>6700</v>
      </c>
      <c r="V775" t="s">
        <v>6694</v>
      </c>
      <c r="W775" t="s">
        <v>6720</v>
      </c>
    </row>
    <row r="776" spans="1:23" ht="15.6" x14ac:dyDescent="0.4">
      <c r="A776" s="2" t="s">
        <v>2218</v>
      </c>
      <c r="B776" s="5" t="s">
        <v>7412</v>
      </c>
      <c r="C776" s="7" t="s">
        <v>12556</v>
      </c>
      <c r="D776" s="8">
        <f t="shared" si="52"/>
        <v>0</v>
      </c>
      <c r="E776" s="7" t="s">
        <v>12557</v>
      </c>
      <c r="F776" s="7">
        <f t="shared" si="53"/>
        <v>1</v>
      </c>
      <c r="G776" s="7" t="s">
        <v>12558</v>
      </c>
      <c r="H776" s="7">
        <f t="shared" si="54"/>
        <v>0</v>
      </c>
      <c r="I776" s="7" t="str" cm="1">
        <f t="array" ref="I776">IFERROR(_xlfn.IFS(M776="נח",1,M776="נע ונח",1,M776="שני שווא נח",2,M776="שני שוואים בסוף מילה",2,M776="שני שוואים ברצף",1),"0")</f>
        <v>0</v>
      </c>
      <c r="J776" s="9">
        <f t="shared" si="55"/>
        <v>2</v>
      </c>
      <c r="K776" t="s">
        <v>6698</v>
      </c>
      <c r="L776" t="s">
        <v>6694</v>
      </c>
      <c r="M776" t="s">
        <v>6700</v>
      </c>
      <c r="V776" t="s">
        <v>6694</v>
      </c>
      <c r="W776" t="s">
        <v>6720</v>
      </c>
    </row>
    <row r="777" spans="1:23" ht="15.6" x14ac:dyDescent="0.4">
      <c r="A777" s="2" t="s">
        <v>2944</v>
      </c>
      <c r="B777" s="5" t="s">
        <v>7413</v>
      </c>
      <c r="C777" s="7" t="s">
        <v>12556</v>
      </c>
      <c r="D777" s="8">
        <f t="shared" si="52"/>
        <v>0</v>
      </c>
      <c r="E777" s="7" t="s">
        <v>12557</v>
      </c>
      <c r="F777" s="7">
        <f t="shared" si="53"/>
        <v>2</v>
      </c>
      <c r="G777" s="7" t="s">
        <v>12558</v>
      </c>
      <c r="H777" s="7">
        <f t="shared" si="54"/>
        <v>1</v>
      </c>
      <c r="I777" s="7" t="str" cm="1">
        <f t="array" ref="I777">IFERROR(_xlfn.IFS(M777="נח",1,M777="נע ונח",1,M777="שני שווא נח",2,M777="שני שוואים בסוף מילה",2,M777="שני שוואים ברצף",1),"0")</f>
        <v>0</v>
      </c>
      <c r="J777" s="9">
        <f t="shared" si="55"/>
        <v>4</v>
      </c>
      <c r="K777" t="s">
        <v>6697</v>
      </c>
      <c r="L777" t="s">
        <v>6694</v>
      </c>
      <c r="M777" t="s">
        <v>6700</v>
      </c>
      <c r="Q777" t="s">
        <v>6694</v>
      </c>
      <c r="U777" t="s">
        <v>6694</v>
      </c>
      <c r="V777" t="s">
        <v>6694</v>
      </c>
      <c r="W777" t="s">
        <v>6720</v>
      </c>
    </row>
    <row r="778" spans="1:23" ht="15.6" x14ac:dyDescent="0.4">
      <c r="A778" s="2" t="s">
        <v>6440</v>
      </c>
      <c r="B778" s="5" t="s">
        <v>7414</v>
      </c>
      <c r="C778" s="7" t="s">
        <v>12556</v>
      </c>
      <c r="D778" s="8">
        <f t="shared" si="52"/>
        <v>0</v>
      </c>
      <c r="E778" s="7" t="s">
        <v>12557</v>
      </c>
      <c r="F778" s="7">
        <f t="shared" si="53"/>
        <v>1</v>
      </c>
      <c r="G778" s="7" t="s">
        <v>12558</v>
      </c>
      <c r="H778" s="7">
        <f t="shared" si="54"/>
        <v>0</v>
      </c>
      <c r="I778" s="7" cm="1">
        <f t="array" ref="I778">IFERROR(_xlfn.IFS(M778="נח",1,M778="נע ונח",1,M778="שני שווא נח",2,M778="שני שוואים בסוף מילה",2,M778="שני שוואים ברצף",1),"0")</f>
        <v>1</v>
      </c>
      <c r="J778" s="9">
        <f t="shared" si="55"/>
        <v>5</v>
      </c>
      <c r="K778" t="s">
        <v>6697</v>
      </c>
      <c r="L778" t="s">
        <v>6694</v>
      </c>
      <c r="M778" t="s">
        <v>6701</v>
      </c>
      <c r="O778" t="s">
        <v>6694</v>
      </c>
      <c r="R778" t="s">
        <v>6694</v>
      </c>
      <c r="S778" t="s">
        <v>6694</v>
      </c>
      <c r="W778" t="s">
        <v>6720</v>
      </c>
    </row>
    <row r="779" spans="1:23" ht="15.6" x14ac:dyDescent="0.4">
      <c r="A779" s="2" t="s">
        <v>2297</v>
      </c>
      <c r="B779" s="5" t="s">
        <v>7160</v>
      </c>
      <c r="C779" s="7" t="s">
        <v>12556</v>
      </c>
      <c r="D779" s="8">
        <f t="shared" si="52"/>
        <v>0</v>
      </c>
      <c r="E779" s="7" t="s">
        <v>12557</v>
      </c>
      <c r="F779" s="7">
        <f t="shared" si="53"/>
        <v>1</v>
      </c>
      <c r="G779" s="7" t="s">
        <v>12558</v>
      </c>
      <c r="H779" s="7">
        <f t="shared" si="54"/>
        <v>0</v>
      </c>
      <c r="I779" s="7" t="str" cm="1">
        <f t="array" ref="I779">IFERROR(_xlfn.IFS(M779="נח",1,M779="נע ונח",1,M779="שני שווא נח",2,M779="שני שוואים בסוף מילה",2,M779="שני שוואים ברצף",1),"0")</f>
        <v>0</v>
      </c>
      <c r="J779" s="9">
        <f t="shared" si="55"/>
        <v>3</v>
      </c>
      <c r="K779" t="s">
        <v>6698</v>
      </c>
      <c r="L779" t="s">
        <v>6694</v>
      </c>
      <c r="M779" t="s">
        <v>6700</v>
      </c>
      <c r="Q779" t="s">
        <v>6694</v>
      </c>
      <c r="R779" t="s">
        <v>6694</v>
      </c>
      <c r="W779" t="s">
        <v>6720</v>
      </c>
    </row>
    <row r="780" spans="1:23" ht="15.6" x14ac:dyDescent="0.4">
      <c r="A780" s="2" t="s">
        <v>3982</v>
      </c>
      <c r="B780" s="5" t="s">
        <v>7415</v>
      </c>
      <c r="C780" s="7" t="s">
        <v>12556</v>
      </c>
      <c r="D780" s="8">
        <f t="shared" si="52"/>
        <v>0</v>
      </c>
      <c r="E780" s="7" t="s">
        <v>12557</v>
      </c>
      <c r="F780" s="7">
        <f t="shared" si="53"/>
        <v>1</v>
      </c>
      <c r="G780" s="7" t="s">
        <v>12558</v>
      </c>
      <c r="H780" s="7">
        <f t="shared" si="54"/>
        <v>0</v>
      </c>
      <c r="I780" s="7" cm="1">
        <f t="array" ref="I780">IFERROR(_xlfn.IFS(M780="נח",1,M780="נע ונח",1,M780="שני שווא נח",2,M780="שני שוואים בסוף מילה",2,M780="שני שוואים ברצף",1),"0")</f>
        <v>1</v>
      </c>
      <c r="J780" s="9">
        <f t="shared" si="55"/>
        <v>3</v>
      </c>
      <c r="K780" t="s">
        <v>6698</v>
      </c>
      <c r="L780" t="s">
        <v>6694</v>
      </c>
      <c r="M780" t="s">
        <v>6701</v>
      </c>
      <c r="Q780" t="s">
        <v>6694</v>
      </c>
      <c r="V780" t="s">
        <v>6694</v>
      </c>
      <c r="W780" t="s">
        <v>6720</v>
      </c>
    </row>
    <row r="781" spans="1:23" ht="15.6" x14ac:dyDescent="0.4">
      <c r="A781" s="2" t="s">
        <v>3417</v>
      </c>
      <c r="B781" s="5" t="s">
        <v>7161</v>
      </c>
      <c r="C781" s="7" t="s">
        <v>12556</v>
      </c>
      <c r="D781" s="8">
        <f t="shared" si="52"/>
        <v>0</v>
      </c>
      <c r="E781" s="7" t="s">
        <v>12557</v>
      </c>
      <c r="F781" s="7">
        <f t="shared" si="53"/>
        <v>2</v>
      </c>
      <c r="G781" s="7" t="s">
        <v>12558</v>
      </c>
      <c r="H781" s="7">
        <f t="shared" si="54"/>
        <v>0</v>
      </c>
      <c r="I781" s="7" t="str" cm="1">
        <f t="array" ref="I781">IFERROR(_xlfn.IFS(M781="נח",1,M781="נע ונח",1,M781="שני שווא נח",2,M781="שני שוואים בסוף מילה",2,M781="שני שוואים ברצף",1),"0")</f>
        <v>0</v>
      </c>
      <c r="J781" s="9">
        <f t="shared" si="55"/>
        <v>3</v>
      </c>
      <c r="K781" t="s">
        <v>6697</v>
      </c>
      <c r="L781" t="s">
        <v>6694</v>
      </c>
      <c r="M781" t="s">
        <v>6700</v>
      </c>
      <c r="O781" t="s">
        <v>6694</v>
      </c>
      <c r="T781" t="s">
        <v>6694</v>
      </c>
      <c r="W781" t="s">
        <v>6720</v>
      </c>
    </row>
    <row r="782" spans="1:23" ht="15.6" x14ac:dyDescent="0.4">
      <c r="A782" s="2" t="s">
        <v>2627</v>
      </c>
      <c r="B782" s="5" t="s">
        <v>7161</v>
      </c>
      <c r="C782" s="7" t="s">
        <v>12556</v>
      </c>
      <c r="D782" s="8">
        <f t="shared" si="52"/>
        <v>0</v>
      </c>
      <c r="E782" s="7" t="s">
        <v>12557</v>
      </c>
      <c r="F782" s="7">
        <f t="shared" si="53"/>
        <v>2</v>
      </c>
      <c r="G782" s="7" t="s">
        <v>12558</v>
      </c>
      <c r="H782" s="7">
        <f t="shared" si="54"/>
        <v>0</v>
      </c>
      <c r="I782" s="7" t="str" cm="1">
        <f t="array" ref="I782">IFERROR(_xlfn.IFS(M782="נח",1,M782="נע ונח",1,M782="שני שווא נח",2,M782="שני שוואים בסוף מילה",2,M782="שני שוואים ברצף",1),"0")</f>
        <v>0</v>
      </c>
      <c r="J782" s="9">
        <f t="shared" si="55"/>
        <v>3</v>
      </c>
      <c r="K782" t="s">
        <v>6697</v>
      </c>
      <c r="L782" t="s">
        <v>6694</v>
      </c>
      <c r="M782" t="s">
        <v>6700</v>
      </c>
      <c r="T782" t="s">
        <v>6694</v>
      </c>
      <c r="V782" t="s">
        <v>6694</v>
      </c>
      <c r="W782" t="s">
        <v>6720</v>
      </c>
    </row>
    <row r="783" spans="1:23" ht="15.6" x14ac:dyDescent="0.4">
      <c r="A783" s="2" t="s">
        <v>1147</v>
      </c>
      <c r="B783" s="5" t="s">
        <v>7416</v>
      </c>
      <c r="C783" s="7" t="s">
        <v>12556</v>
      </c>
      <c r="D783" s="8">
        <f t="shared" si="52"/>
        <v>0</v>
      </c>
      <c r="E783" s="7" t="s">
        <v>12557</v>
      </c>
      <c r="F783" s="7">
        <f t="shared" si="53"/>
        <v>1</v>
      </c>
      <c r="G783" s="7" t="s">
        <v>12558</v>
      </c>
      <c r="H783" s="7">
        <f t="shared" si="54"/>
        <v>0</v>
      </c>
      <c r="I783" s="7" t="str" cm="1">
        <f t="array" ref="I783">IFERROR(_xlfn.IFS(M783="נח",1,M783="נע ונח",1,M783="שני שווא נח",2,M783="שני שוואים בסוף מילה",2,M783="שני שוואים ברצף",1),"0")</f>
        <v>0</v>
      </c>
      <c r="J783" s="9">
        <f t="shared" si="55"/>
        <v>2</v>
      </c>
      <c r="K783" t="s">
        <v>6698</v>
      </c>
      <c r="L783" t="s">
        <v>6694</v>
      </c>
      <c r="M783" t="s">
        <v>6700</v>
      </c>
      <c r="V783" t="s">
        <v>6694</v>
      </c>
      <c r="W783" t="s">
        <v>6720</v>
      </c>
    </row>
    <row r="784" spans="1:23" ht="15.6" x14ac:dyDescent="0.4">
      <c r="A784" s="2" t="s">
        <v>3420</v>
      </c>
      <c r="B784" s="5" t="s">
        <v>7417</v>
      </c>
      <c r="C784" s="7" t="s">
        <v>12556</v>
      </c>
      <c r="D784" s="8">
        <f t="shared" si="52"/>
        <v>0</v>
      </c>
      <c r="E784" s="7" t="s">
        <v>12557</v>
      </c>
      <c r="F784" s="7">
        <f t="shared" si="53"/>
        <v>1</v>
      </c>
      <c r="G784" s="7" t="s">
        <v>12558</v>
      </c>
      <c r="H784" s="7">
        <f t="shared" si="54"/>
        <v>0</v>
      </c>
      <c r="I784" s="7" t="str" cm="1">
        <f t="array" ref="I784">IFERROR(_xlfn.IFS(M784="נח",1,M784="נע ונח",1,M784="שני שווא נח",2,M784="שני שוואים בסוף מילה",2,M784="שני שוואים ברצף",1),"0")</f>
        <v>0</v>
      </c>
      <c r="J784" s="9">
        <f t="shared" si="55"/>
        <v>2</v>
      </c>
      <c r="K784" t="s">
        <v>6698</v>
      </c>
      <c r="L784" t="s">
        <v>6694</v>
      </c>
      <c r="M784" t="s">
        <v>6700</v>
      </c>
      <c r="S784" t="s">
        <v>6694</v>
      </c>
      <c r="W784" t="s">
        <v>6720</v>
      </c>
    </row>
    <row r="785" spans="1:23" ht="15.6" x14ac:dyDescent="0.4">
      <c r="A785" s="2" t="s">
        <v>182</v>
      </c>
      <c r="B785" s="5" t="s">
        <v>7418</v>
      </c>
      <c r="C785" s="7" t="s">
        <v>12556</v>
      </c>
      <c r="D785" s="8">
        <f t="shared" si="52"/>
        <v>0</v>
      </c>
      <c r="E785" s="7" t="s">
        <v>12557</v>
      </c>
      <c r="F785" s="7">
        <f t="shared" si="53"/>
        <v>2</v>
      </c>
      <c r="G785" s="7" t="s">
        <v>12558</v>
      </c>
      <c r="H785" s="7">
        <f t="shared" si="54"/>
        <v>0</v>
      </c>
      <c r="I785" s="7" t="str" cm="1">
        <f t="array" ref="I785">IFERROR(_xlfn.IFS(M785="נח",1,M785="נע ונח",1,M785="שני שווא נח",2,M785="שני שוואים בסוף מילה",2,M785="שני שוואים ברצף",1),"0")</f>
        <v>0</v>
      </c>
      <c r="J785" s="9">
        <f t="shared" si="55"/>
        <v>3</v>
      </c>
      <c r="K785" t="s">
        <v>6697</v>
      </c>
      <c r="L785" t="s">
        <v>6694</v>
      </c>
      <c r="M785" t="s">
        <v>6700</v>
      </c>
      <c r="S785" t="s">
        <v>6694</v>
      </c>
      <c r="V785" t="s">
        <v>6694</v>
      </c>
      <c r="W785" t="s">
        <v>6720</v>
      </c>
    </row>
    <row r="786" spans="1:23" ht="15.6" x14ac:dyDescent="0.4">
      <c r="A786" s="2" t="s">
        <v>374</v>
      </c>
      <c r="B786" s="5" t="s">
        <v>7163</v>
      </c>
      <c r="C786" s="7" t="s">
        <v>12556</v>
      </c>
      <c r="D786" s="8">
        <f t="shared" si="52"/>
        <v>0</v>
      </c>
      <c r="E786" s="7" t="s">
        <v>12557</v>
      </c>
      <c r="F786" s="7">
        <f t="shared" si="53"/>
        <v>1</v>
      </c>
      <c r="G786" s="7" t="s">
        <v>12558</v>
      </c>
      <c r="H786" s="7">
        <f t="shared" si="54"/>
        <v>0</v>
      </c>
      <c r="I786" s="7" t="str" cm="1">
        <f t="array" ref="I786">IFERROR(_xlfn.IFS(M786="נח",1,M786="נע ונח",1,M786="שני שווא נח",2,M786="שני שוואים בסוף מילה",2,M786="שני שוואים ברצף",1),"0")</f>
        <v>0</v>
      </c>
      <c r="J786" s="9">
        <f t="shared" si="55"/>
        <v>3</v>
      </c>
      <c r="K786" t="s">
        <v>6698</v>
      </c>
      <c r="L786" t="s">
        <v>6694</v>
      </c>
      <c r="M786" t="s">
        <v>6700</v>
      </c>
      <c r="Q786" t="s">
        <v>6694</v>
      </c>
      <c r="W786" t="s">
        <v>6720</v>
      </c>
    </row>
    <row r="787" spans="1:23" ht="15.6" x14ac:dyDescent="0.4">
      <c r="A787" s="2" t="s">
        <v>6165</v>
      </c>
      <c r="B787" s="5" t="s">
        <v>7419</v>
      </c>
      <c r="C787" s="7" t="s">
        <v>12556</v>
      </c>
      <c r="D787" s="8">
        <f t="shared" si="52"/>
        <v>0</v>
      </c>
      <c r="E787" s="7" t="s">
        <v>12557</v>
      </c>
      <c r="F787" s="7">
        <f t="shared" si="53"/>
        <v>2</v>
      </c>
      <c r="G787" s="7" t="s">
        <v>12558</v>
      </c>
      <c r="H787" s="7">
        <f t="shared" si="54"/>
        <v>1</v>
      </c>
      <c r="I787" s="7" t="str" cm="1">
        <f t="array" ref="I787">IFERROR(_xlfn.IFS(M787="נח",1,M787="נע ונח",1,M787="שני שווא נח",2,M787="שני שוואים בסוף מילה",2,M787="שני שוואים ברצף",1),"0")</f>
        <v>0</v>
      </c>
      <c r="J787" s="9">
        <f t="shared" si="55"/>
        <v>4</v>
      </c>
      <c r="K787" t="s">
        <v>6697</v>
      </c>
      <c r="L787" t="s">
        <v>6694</v>
      </c>
      <c r="M787" t="s">
        <v>6700</v>
      </c>
      <c r="Q787" t="s">
        <v>6694</v>
      </c>
      <c r="U787" t="s">
        <v>6694</v>
      </c>
      <c r="W787" t="s">
        <v>6720</v>
      </c>
    </row>
    <row r="788" spans="1:23" ht="15.6" x14ac:dyDescent="0.4">
      <c r="A788" s="2" t="s">
        <v>2328</v>
      </c>
      <c r="B788" s="5" t="s">
        <v>7420</v>
      </c>
      <c r="C788" s="7" t="s">
        <v>12556</v>
      </c>
      <c r="D788" s="8">
        <f t="shared" si="52"/>
        <v>0</v>
      </c>
      <c r="E788" s="7" t="s">
        <v>12557</v>
      </c>
      <c r="F788" s="7">
        <f t="shared" si="53"/>
        <v>1</v>
      </c>
      <c r="G788" s="7" t="s">
        <v>12558</v>
      </c>
      <c r="H788" s="7">
        <f t="shared" si="54"/>
        <v>0</v>
      </c>
      <c r="I788" s="7" t="str" cm="1">
        <f t="array" ref="I788">IFERROR(_xlfn.IFS(M788="נח",1,M788="נע ונח",1,M788="שני שווא נח",2,M788="שני שוואים בסוף מילה",2,M788="שני שוואים ברצף",1),"0")</f>
        <v>0</v>
      </c>
      <c r="J788" s="9">
        <f t="shared" si="55"/>
        <v>4</v>
      </c>
      <c r="K788" t="s">
        <v>6697</v>
      </c>
      <c r="L788" t="s">
        <v>6694</v>
      </c>
      <c r="M788" t="s">
        <v>6700</v>
      </c>
      <c r="O788" t="s">
        <v>6694</v>
      </c>
      <c r="Q788" t="s">
        <v>6694</v>
      </c>
      <c r="R788" t="s">
        <v>6694</v>
      </c>
      <c r="W788" t="s">
        <v>6720</v>
      </c>
    </row>
    <row r="789" spans="1:23" ht="15.6" x14ac:dyDescent="0.4">
      <c r="A789" s="2" t="s">
        <v>3430</v>
      </c>
      <c r="B789" s="5" t="s">
        <v>7421</v>
      </c>
      <c r="C789" s="7" t="s">
        <v>12556</v>
      </c>
      <c r="D789" s="8">
        <f t="shared" si="52"/>
        <v>0</v>
      </c>
      <c r="E789" s="7" t="s">
        <v>12557</v>
      </c>
      <c r="F789" s="7">
        <f t="shared" si="53"/>
        <v>1</v>
      </c>
      <c r="G789" s="7" t="s">
        <v>12558</v>
      </c>
      <c r="H789" s="7">
        <f t="shared" si="54"/>
        <v>0</v>
      </c>
      <c r="I789" s="7" t="str" cm="1">
        <f t="array" ref="I789">IFERROR(_xlfn.IFS(M789="נח",1,M789="נע ונח",1,M789="שני שווא נח",2,M789="שני שוואים בסוף מילה",2,M789="שני שוואים ברצף",1),"0")</f>
        <v>0</v>
      </c>
      <c r="J789" s="9">
        <f t="shared" si="55"/>
        <v>3</v>
      </c>
      <c r="K789" t="s">
        <v>6698</v>
      </c>
      <c r="L789" t="s">
        <v>6694</v>
      </c>
      <c r="M789" t="s">
        <v>6700</v>
      </c>
      <c r="N789" t="s">
        <v>6706</v>
      </c>
      <c r="O789" t="s">
        <v>6694</v>
      </c>
      <c r="Q789" t="s">
        <v>6694</v>
      </c>
      <c r="W789" t="s">
        <v>6720</v>
      </c>
    </row>
    <row r="790" spans="1:23" ht="15.6" x14ac:dyDescent="0.4">
      <c r="A790" s="2" t="s">
        <v>4900</v>
      </c>
      <c r="B790" s="5" t="s">
        <v>7422</v>
      </c>
      <c r="C790" s="7" t="s">
        <v>12556</v>
      </c>
      <c r="D790" s="8">
        <f t="shared" si="52"/>
        <v>0</v>
      </c>
      <c r="E790" s="7" t="s">
        <v>12557</v>
      </c>
      <c r="F790" s="7">
        <f t="shared" si="53"/>
        <v>1</v>
      </c>
      <c r="G790" s="7" t="s">
        <v>12558</v>
      </c>
      <c r="H790" s="7">
        <f t="shared" si="54"/>
        <v>0</v>
      </c>
      <c r="I790" s="7" t="str" cm="1">
        <f t="array" ref="I790">IFERROR(_xlfn.IFS(M790="נח",1,M790="נע ונח",1,M790="שני שווא נח",2,M790="שני שוואים בסוף מילה",2,M790="שני שוואים ברצף",1),"0")</f>
        <v>0</v>
      </c>
      <c r="J790" s="9">
        <f t="shared" si="55"/>
        <v>3</v>
      </c>
      <c r="K790" t="s">
        <v>6698</v>
      </c>
      <c r="L790" t="s">
        <v>6694</v>
      </c>
      <c r="M790" t="s">
        <v>6700</v>
      </c>
      <c r="Q790" t="s">
        <v>6694</v>
      </c>
      <c r="R790" t="s">
        <v>6694</v>
      </c>
      <c r="W790" t="s">
        <v>6720</v>
      </c>
    </row>
    <row r="791" spans="1:23" ht="15.6" x14ac:dyDescent="0.4">
      <c r="A791" s="2" t="s">
        <v>2522</v>
      </c>
      <c r="B791" s="5" t="s">
        <v>7423</v>
      </c>
      <c r="C791" s="7" t="s">
        <v>12556</v>
      </c>
      <c r="D791" s="8">
        <f t="shared" si="52"/>
        <v>0</v>
      </c>
      <c r="E791" s="7" t="s">
        <v>12557</v>
      </c>
      <c r="F791" s="7">
        <f t="shared" si="53"/>
        <v>1</v>
      </c>
      <c r="G791" s="7" t="s">
        <v>12558</v>
      </c>
      <c r="H791" s="7">
        <f t="shared" si="54"/>
        <v>0</v>
      </c>
      <c r="I791" s="7" t="str" cm="1">
        <f t="array" ref="I791">IFERROR(_xlfn.IFS(M791="נח",1,M791="נע ונח",1,M791="שני שווא נח",2,M791="שני שוואים בסוף מילה",2,M791="שני שוואים ברצף",1),"0")</f>
        <v>0</v>
      </c>
      <c r="J791" s="9">
        <f t="shared" si="55"/>
        <v>2</v>
      </c>
      <c r="K791" t="s">
        <v>6698</v>
      </c>
      <c r="L791" t="s">
        <v>6694</v>
      </c>
      <c r="M791" t="s">
        <v>6700</v>
      </c>
      <c r="Q791" t="s">
        <v>6694</v>
      </c>
      <c r="W791" t="s">
        <v>6720</v>
      </c>
    </row>
    <row r="792" spans="1:23" ht="15.6" x14ac:dyDescent="0.4">
      <c r="A792" s="2" t="s">
        <v>6058</v>
      </c>
      <c r="B792" s="5" t="s">
        <v>7424</v>
      </c>
      <c r="C792" s="7" t="s">
        <v>12556</v>
      </c>
      <c r="D792" s="8">
        <f t="shared" si="52"/>
        <v>0</v>
      </c>
      <c r="E792" s="7" t="s">
        <v>12557</v>
      </c>
      <c r="F792" s="7">
        <f t="shared" si="53"/>
        <v>1</v>
      </c>
      <c r="G792" s="7" t="s">
        <v>12558</v>
      </c>
      <c r="H792" s="7">
        <f t="shared" si="54"/>
        <v>0</v>
      </c>
      <c r="I792" s="7" cm="1">
        <f t="array" ref="I792">IFERROR(_xlfn.IFS(M792="נח",1,M792="נע ונח",1,M792="שני שווא נח",2,M792="שני שוואים בסוף מילה",2,M792="שני שוואים ברצף",1),"0")</f>
        <v>1</v>
      </c>
      <c r="J792" s="9">
        <f t="shared" si="55"/>
        <v>4</v>
      </c>
      <c r="K792" t="s">
        <v>6697</v>
      </c>
      <c r="L792" t="s">
        <v>6694</v>
      </c>
      <c r="M792" t="s">
        <v>6701</v>
      </c>
      <c r="O792" t="s">
        <v>6694</v>
      </c>
      <c r="R792" t="s">
        <v>6694</v>
      </c>
      <c r="S792" t="s">
        <v>6694</v>
      </c>
      <c r="W792" t="s">
        <v>6720</v>
      </c>
    </row>
    <row r="793" spans="1:23" ht="15.6" x14ac:dyDescent="0.4">
      <c r="A793" s="2" t="s">
        <v>1315</v>
      </c>
      <c r="B793" s="5" t="s">
        <v>7425</v>
      </c>
      <c r="C793" s="7" t="s">
        <v>12556</v>
      </c>
      <c r="D793" s="8">
        <f t="shared" si="52"/>
        <v>0</v>
      </c>
      <c r="E793" s="7" t="s">
        <v>12557</v>
      </c>
      <c r="F793" s="7">
        <f t="shared" si="53"/>
        <v>1</v>
      </c>
      <c r="G793" s="7" t="s">
        <v>12558</v>
      </c>
      <c r="H793" s="7">
        <f t="shared" si="54"/>
        <v>0</v>
      </c>
      <c r="I793" s="7" cm="1">
        <f t="array" ref="I793">IFERROR(_xlfn.IFS(M793="נח",1,M793="נע ונח",1,M793="שני שווא נח",2,M793="שני שוואים בסוף מילה",2,M793="שני שוואים ברצף",1),"0")</f>
        <v>1</v>
      </c>
      <c r="J793" s="9">
        <f t="shared" si="55"/>
        <v>3</v>
      </c>
      <c r="K793" t="s">
        <v>6697</v>
      </c>
      <c r="L793" t="s">
        <v>6694</v>
      </c>
      <c r="M793" t="s">
        <v>6701</v>
      </c>
      <c r="R793" t="s">
        <v>6694</v>
      </c>
      <c r="V793" t="s">
        <v>6694</v>
      </c>
      <c r="W793" t="s">
        <v>6720</v>
      </c>
    </row>
    <row r="794" spans="1:23" ht="15.6" x14ac:dyDescent="0.4">
      <c r="A794" s="2" t="s">
        <v>2088</v>
      </c>
      <c r="B794" s="5" t="s">
        <v>7426</v>
      </c>
      <c r="C794" s="7" t="s">
        <v>12556</v>
      </c>
      <c r="D794" s="8">
        <f t="shared" si="52"/>
        <v>0</v>
      </c>
      <c r="E794" s="7" t="s">
        <v>12557</v>
      </c>
      <c r="F794" s="7">
        <f t="shared" si="53"/>
        <v>1</v>
      </c>
      <c r="G794" s="7" t="s">
        <v>12558</v>
      </c>
      <c r="H794" s="7">
        <f t="shared" si="54"/>
        <v>0</v>
      </c>
      <c r="I794" s="7" t="str" cm="1">
        <f t="array" ref="I794">IFERROR(_xlfn.IFS(M794="נח",1,M794="נע ונח",1,M794="שני שווא נח",2,M794="שני שוואים בסוף מילה",2,M794="שני שוואים ברצף",1),"0")</f>
        <v>0</v>
      </c>
      <c r="J794" s="9">
        <f t="shared" si="55"/>
        <v>2</v>
      </c>
      <c r="K794" t="s">
        <v>6698</v>
      </c>
      <c r="L794" t="s">
        <v>6694</v>
      </c>
      <c r="M794" t="s">
        <v>6700</v>
      </c>
      <c r="P794" t="s">
        <v>6694</v>
      </c>
      <c r="W794" t="s">
        <v>6720</v>
      </c>
    </row>
    <row r="795" spans="1:23" ht="15.6" x14ac:dyDescent="0.4">
      <c r="A795" s="2" t="s">
        <v>1453</v>
      </c>
      <c r="B795" s="5" t="s">
        <v>7427</v>
      </c>
      <c r="C795" s="7" t="s">
        <v>12556</v>
      </c>
      <c r="D795" s="8">
        <f t="shared" si="52"/>
        <v>0</v>
      </c>
      <c r="E795" s="7" t="s">
        <v>12557</v>
      </c>
      <c r="F795" s="7">
        <f t="shared" si="53"/>
        <v>2</v>
      </c>
      <c r="G795" s="7" t="s">
        <v>12558</v>
      </c>
      <c r="H795" s="7">
        <f t="shared" si="54"/>
        <v>0</v>
      </c>
      <c r="I795" s="7" t="str" cm="1">
        <f t="array" ref="I795">IFERROR(_xlfn.IFS(M795="נח",1,M795="נע ונח",1,M795="שני שווא נח",2,M795="שני שוואים בסוף מילה",2,M795="שני שוואים ברצף",1),"0")</f>
        <v>0</v>
      </c>
      <c r="J795" s="9">
        <f t="shared" si="55"/>
        <v>3</v>
      </c>
      <c r="K795" t="s">
        <v>6697</v>
      </c>
      <c r="L795" t="s">
        <v>6694</v>
      </c>
      <c r="M795" t="s">
        <v>6700</v>
      </c>
      <c r="P795" t="s">
        <v>6694</v>
      </c>
      <c r="V795" t="s">
        <v>6694</v>
      </c>
      <c r="W795" t="s">
        <v>6720</v>
      </c>
    </row>
    <row r="796" spans="1:23" ht="15.6" x14ac:dyDescent="0.4">
      <c r="A796" s="2" t="s">
        <v>2248</v>
      </c>
      <c r="B796" s="5" t="s">
        <v>7428</v>
      </c>
      <c r="C796" s="7" t="s">
        <v>12556</v>
      </c>
      <c r="D796" s="8">
        <f t="shared" si="52"/>
        <v>0</v>
      </c>
      <c r="E796" s="7" t="s">
        <v>12557</v>
      </c>
      <c r="F796" s="7">
        <f t="shared" si="53"/>
        <v>3</v>
      </c>
      <c r="G796" s="7" t="s">
        <v>12558</v>
      </c>
      <c r="H796" s="7">
        <f t="shared" si="54"/>
        <v>1</v>
      </c>
      <c r="I796" s="7" t="str" cm="1">
        <f t="array" ref="I796">IFERROR(_xlfn.IFS(M796="נח",1,M796="נע ונח",1,M796="שני שווא נח",2,M796="שני שוואים בסוף מילה",2,M796="שני שוואים ברצף",1),"0")</f>
        <v>0</v>
      </c>
      <c r="J796" s="9">
        <f t="shared" si="55"/>
        <v>3</v>
      </c>
      <c r="K796" t="s">
        <v>6698</v>
      </c>
      <c r="L796" t="s">
        <v>6694</v>
      </c>
      <c r="M796" t="s">
        <v>6700</v>
      </c>
      <c r="P796" t="s">
        <v>6694</v>
      </c>
      <c r="U796" t="s">
        <v>6694</v>
      </c>
      <c r="W796" t="s">
        <v>6720</v>
      </c>
    </row>
    <row r="797" spans="1:23" ht="15.6" x14ac:dyDescent="0.4">
      <c r="A797" s="2" t="s">
        <v>3589</v>
      </c>
      <c r="B797" s="5" t="s">
        <v>7429</v>
      </c>
      <c r="C797" s="7" t="s">
        <v>12556</v>
      </c>
      <c r="D797" s="8">
        <f t="shared" si="52"/>
        <v>0</v>
      </c>
      <c r="E797" s="7" t="s">
        <v>12557</v>
      </c>
      <c r="F797" s="7">
        <f t="shared" si="53"/>
        <v>1</v>
      </c>
      <c r="G797" s="7" t="s">
        <v>12558</v>
      </c>
      <c r="H797" s="7">
        <f t="shared" si="54"/>
        <v>0</v>
      </c>
      <c r="I797" s="7" cm="1">
        <f t="array" ref="I797">IFERROR(_xlfn.IFS(M797="נח",1,M797="נע ונח",1,M797="שני שווא נח",2,M797="שני שוואים בסוף מילה",2,M797="שני שוואים ברצף",1),"0")</f>
        <v>1</v>
      </c>
      <c r="J797" s="9">
        <f t="shared" si="55"/>
        <v>4</v>
      </c>
      <c r="K797" t="s">
        <v>6698</v>
      </c>
      <c r="L797" t="s">
        <v>6694</v>
      </c>
      <c r="M797" t="s">
        <v>6701</v>
      </c>
      <c r="P797" t="s">
        <v>6694</v>
      </c>
      <c r="V797" t="s">
        <v>6694</v>
      </c>
      <c r="W797" t="s">
        <v>6720</v>
      </c>
    </row>
    <row r="798" spans="1:23" ht="15.6" x14ac:dyDescent="0.4">
      <c r="A798" s="2" t="s">
        <v>6543</v>
      </c>
      <c r="B798" s="5" t="s">
        <v>7430</v>
      </c>
      <c r="C798" s="7" t="s">
        <v>12556</v>
      </c>
      <c r="D798" s="8">
        <f t="shared" si="52"/>
        <v>0</v>
      </c>
      <c r="E798" s="7" t="s">
        <v>12557</v>
      </c>
      <c r="F798" s="7">
        <f t="shared" si="53"/>
        <v>1</v>
      </c>
      <c r="G798" s="7" t="s">
        <v>12558</v>
      </c>
      <c r="H798" s="7">
        <f t="shared" si="54"/>
        <v>0</v>
      </c>
      <c r="I798" s="7" cm="1">
        <f t="array" ref="I798">IFERROR(_xlfn.IFS(M798="נח",1,M798="נע ונח",1,M798="שני שווא נח",2,M798="שני שוואים בסוף מילה",2,M798="שני שוואים ברצף",1),"0")</f>
        <v>1</v>
      </c>
      <c r="J798" s="9">
        <f t="shared" si="55"/>
        <v>4</v>
      </c>
      <c r="K798" t="s">
        <v>6698</v>
      </c>
      <c r="L798" t="s">
        <v>6694</v>
      </c>
      <c r="M798" t="s">
        <v>6701</v>
      </c>
      <c r="N798" t="s">
        <v>6706</v>
      </c>
      <c r="O798" t="s">
        <v>6694</v>
      </c>
      <c r="P798" t="s">
        <v>6694</v>
      </c>
      <c r="V798" t="s">
        <v>6694</v>
      </c>
      <c r="W798" t="s">
        <v>6720</v>
      </c>
    </row>
    <row r="799" spans="1:23" ht="15.6" x14ac:dyDescent="0.4">
      <c r="A799" s="2" t="s">
        <v>1355</v>
      </c>
      <c r="B799" s="5" t="s">
        <v>7431</v>
      </c>
      <c r="C799" s="7" t="s">
        <v>12556</v>
      </c>
      <c r="D799" s="8">
        <f t="shared" si="52"/>
        <v>0</v>
      </c>
      <c r="E799" s="7" t="s">
        <v>12557</v>
      </c>
      <c r="F799" s="7">
        <f t="shared" si="53"/>
        <v>1</v>
      </c>
      <c r="G799" s="7" t="s">
        <v>12558</v>
      </c>
      <c r="H799" s="7">
        <f t="shared" si="54"/>
        <v>0</v>
      </c>
      <c r="I799" s="7" t="str" cm="1">
        <f t="array" ref="I799">IFERROR(_xlfn.IFS(M799="נח",1,M799="נע ונח",1,M799="שני שווא נח",2,M799="שני שוואים בסוף מילה",2,M799="שני שוואים ברצף",1),"0")</f>
        <v>0</v>
      </c>
      <c r="J799" s="9">
        <f t="shared" si="55"/>
        <v>3</v>
      </c>
      <c r="K799" t="s">
        <v>6698</v>
      </c>
      <c r="L799" t="s">
        <v>6694</v>
      </c>
      <c r="M799" t="s">
        <v>6700</v>
      </c>
      <c r="O799" t="s">
        <v>6694</v>
      </c>
      <c r="S799" t="s">
        <v>6694</v>
      </c>
      <c r="W799" t="s">
        <v>6720</v>
      </c>
    </row>
    <row r="800" spans="1:23" ht="15.6" x14ac:dyDescent="0.4">
      <c r="A800" s="2" t="s">
        <v>3891</v>
      </c>
      <c r="B800" s="5" t="s">
        <v>7432</v>
      </c>
      <c r="C800" s="7" t="s">
        <v>12556</v>
      </c>
      <c r="D800" s="8">
        <f t="shared" si="52"/>
        <v>0</v>
      </c>
      <c r="E800" s="7" t="s">
        <v>12557</v>
      </c>
      <c r="F800" s="7">
        <f t="shared" si="53"/>
        <v>1</v>
      </c>
      <c r="G800" s="7" t="s">
        <v>12558</v>
      </c>
      <c r="H800" s="7">
        <f t="shared" si="54"/>
        <v>0</v>
      </c>
      <c r="I800" s="7" t="str" cm="1">
        <f t="array" ref="I800">IFERROR(_xlfn.IFS(M800="נח",1,M800="נע ונח",1,M800="שני שווא נח",2,M800="שני שוואים בסוף מילה",2,M800="שני שוואים ברצף",1),"0")</f>
        <v>0</v>
      </c>
      <c r="J800" s="9">
        <f t="shared" si="55"/>
        <v>3</v>
      </c>
      <c r="K800" t="s">
        <v>6698</v>
      </c>
      <c r="L800" t="s">
        <v>6694</v>
      </c>
      <c r="M800" t="s">
        <v>6700</v>
      </c>
      <c r="O800" t="s">
        <v>6694</v>
      </c>
      <c r="V800" t="s">
        <v>6694</v>
      </c>
      <c r="W800" t="s">
        <v>6720</v>
      </c>
    </row>
    <row r="801" spans="1:23" ht="15.6" x14ac:dyDescent="0.4">
      <c r="A801" s="2" t="s">
        <v>3316</v>
      </c>
      <c r="B801" s="5" t="s">
        <v>7165</v>
      </c>
      <c r="C801" s="7" t="s">
        <v>12556</v>
      </c>
      <c r="D801" s="8">
        <f t="shared" si="52"/>
        <v>0</v>
      </c>
      <c r="E801" s="7" t="s">
        <v>12557</v>
      </c>
      <c r="F801" s="7">
        <f t="shared" si="53"/>
        <v>2</v>
      </c>
      <c r="G801" s="7" t="s">
        <v>12558</v>
      </c>
      <c r="H801" s="7">
        <f t="shared" si="54"/>
        <v>0</v>
      </c>
      <c r="I801" s="7" cm="1">
        <f t="array" ref="I801">IFERROR(_xlfn.IFS(M801="נח",1,M801="נע ונח",1,M801="שני שווא נח",2,M801="שני שוואים בסוף מילה",2,M801="שני שוואים ברצף",1),"0")</f>
        <v>1</v>
      </c>
      <c r="J801" s="9">
        <f t="shared" si="55"/>
        <v>3</v>
      </c>
      <c r="K801" t="s">
        <v>6697</v>
      </c>
      <c r="L801" t="s">
        <v>6694</v>
      </c>
      <c r="M801" t="s">
        <v>6701</v>
      </c>
      <c r="O801" t="s">
        <v>6694</v>
      </c>
      <c r="W801" t="s">
        <v>6720</v>
      </c>
    </row>
    <row r="802" spans="1:23" ht="15.6" x14ac:dyDescent="0.4">
      <c r="A802" s="2" t="s">
        <v>3440</v>
      </c>
      <c r="B802" s="5" t="s">
        <v>7433</v>
      </c>
      <c r="C802" s="7" t="s">
        <v>12556</v>
      </c>
      <c r="D802" s="8">
        <f t="shared" si="52"/>
        <v>0</v>
      </c>
      <c r="E802" s="7" t="s">
        <v>12557</v>
      </c>
      <c r="F802" s="7">
        <f t="shared" si="53"/>
        <v>1</v>
      </c>
      <c r="G802" s="7" t="s">
        <v>12558</v>
      </c>
      <c r="H802" s="7">
        <f t="shared" si="54"/>
        <v>0</v>
      </c>
      <c r="I802" s="7" t="str" cm="1">
        <f t="array" ref="I802">IFERROR(_xlfn.IFS(M802="נח",1,M802="נע ונח",1,M802="שני שווא נח",2,M802="שני שוואים בסוף מילה",2,M802="שני שוואים ברצף",1),"0")</f>
        <v>0</v>
      </c>
      <c r="J802" s="9">
        <f t="shared" si="55"/>
        <v>2</v>
      </c>
      <c r="K802" t="s">
        <v>6698</v>
      </c>
      <c r="L802" t="s">
        <v>6694</v>
      </c>
      <c r="M802" t="s">
        <v>6700</v>
      </c>
      <c r="V802" t="s">
        <v>6694</v>
      </c>
      <c r="W802" t="s">
        <v>6720</v>
      </c>
    </row>
    <row r="803" spans="1:23" ht="15.6" x14ac:dyDescent="0.4">
      <c r="A803" s="2" t="s">
        <v>1709</v>
      </c>
      <c r="B803" s="5" t="s">
        <v>7434</v>
      </c>
      <c r="C803" s="7" t="s">
        <v>12556</v>
      </c>
      <c r="D803" s="8">
        <f t="shared" si="52"/>
        <v>0</v>
      </c>
      <c r="E803" s="7" t="s">
        <v>12557</v>
      </c>
      <c r="F803" s="7">
        <f t="shared" si="53"/>
        <v>1</v>
      </c>
      <c r="G803" s="7" t="s">
        <v>12558</v>
      </c>
      <c r="H803" s="7">
        <f t="shared" si="54"/>
        <v>0</v>
      </c>
      <c r="I803" s="7" cm="1">
        <f t="array" ref="I803">IFERROR(_xlfn.IFS(M803="נח",1,M803="נע ונח",1,M803="שני שווא נח",2,M803="שני שוואים בסוף מילה",2,M803="שני שוואים ברצף",1),"0")</f>
        <v>1</v>
      </c>
      <c r="J803" s="9">
        <f t="shared" si="55"/>
        <v>3</v>
      </c>
      <c r="K803" t="s">
        <v>6698</v>
      </c>
      <c r="L803" t="s">
        <v>6694</v>
      </c>
      <c r="M803" t="s">
        <v>6701</v>
      </c>
      <c r="N803" t="s">
        <v>6706</v>
      </c>
      <c r="O803" t="s">
        <v>6694</v>
      </c>
      <c r="V803" t="s">
        <v>6694</v>
      </c>
      <c r="W803" t="s">
        <v>6720</v>
      </c>
    </row>
    <row r="804" spans="1:23" ht="15.6" x14ac:dyDescent="0.4">
      <c r="A804" s="2" t="s">
        <v>2776</v>
      </c>
      <c r="B804" s="5" t="s">
        <v>7435</v>
      </c>
      <c r="C804" s="7" t="s">
        <v>12556</v>
      </c>
      <c r="D804" s="8">
        <f t="shared" si="52"/>
        <v>1</v>
      </c>
      <c r="E804" s="7" t="s">
        <v>12557</v>
      </c>
      <c r="F804" s="7">
        <f t="shared" si="53"/>
        <v>1</v>
      </c>
      <c r="G804" s="7" t="s">
        <v>12558</v>
      </c>
      <c r="H804" s="7">
        <f t="shared" si="54"/>
        <v>0</v>
      </c>
      <c r="I804" s="7" t="str" cm="1">
        <f t="array" ref="I804">IFERROR(_xlfn.IFS(M804="נח",1,M804="נע ונח",1,M804="שני שווא נח",2,M804="שני שוואים בסוף מילה",2,M804="שני שוואים ברצף",1),"0")</f>
        <v>0</v>
      </c>
      <c r="J804" s="9">
        <f t="shared" si="55"/>
        <v>3</v>
      </c>
      <c r="K804" t="s">
        <v>6698</v>
      </c>
      <c r="L804" t="s">
        <v>6694</v>
      </c>
      <c r="M804" t="s">
        <v>6700</v>
      </c>
      <c r="Q804" t="s">
        <v>6694</v>
      </c>
      <c r="V804" t="s">
        <v>6694</v>
      </c>
      <c r="W804" t="s">
        <v>6720</v>
      </c>
    </row>
    <row r="805" spans="1:23" ht="15.6" x14ac:dyDescent="0.4">
      <c r="A805" s="2" t="s">
        <v>1447</v>
      </c>
      <c r="B805" s="5" t="s">
        <v>7436</v>
      </c>
      <c r="C805" s="7" t="s">
        <v>12556</v>
      </c>
      <c r="D805" s="8">
        <f t="shared" si="52"/>
        <v>1</v>
      </c>
      <c r="E805" s="7" t="s">
        <v>12557</v>
      </c>
      <c r="F805" s="7">
        <f t="shared" si="53"/>
        <v>1</v>
      </c>
      <c r="G805" s="7" t="s">
        <v>12558</v>
      </c>
      <c r="H805" s="7">
        <f t="shared" si="54"/>
        <v>0</v>
      </c>
      <c r="I805" s="7" t="str" cm="1">
        <f t="array" ref="I805">IFERROR(_xlfn.IFS(M805="נח",1,M805="נע ונח",1,M805="שני שווא נח",2,M805="שני שוואים בסוף מילה",2,M805="שני שוואים ברצף",1),"0")</f>
        <v>0</v>
      </c>
      <c r="J805" s="9">
        <f t="shared" si="55"/>
        <v>3</v>
      </c>
      <c r="K805" t="s">
        <v>6698</v>
      </c>
      <c r="L805" t="s">
        <v>6694</v>
      </c>
      <c r="M805" t="s">
        <v>6700</v>
      </c>
      <c r="N805" t="s">
        <v>6706</v>
      </c>
      <c r="O805" t="s">
        <v>6694</v>
      </c>
      <c r="V805" t="s">
        <v>6694</v>
      </c>
      <c r="W805" t="s">
        <v>6720</v>
      </c>
    </row>
    <row r="806" spans="1:23" ht="15.6" x14ac:dyDescent="0.4">
      <c r="A806" s="2" t="s">
        <v>3349</v>
      </c>
      <c r="B806" s="5" t="s">
        <v>7165</v>
      </c>
      <c r="C806" s="7" t="s">
        <v>12556</v>
      </c>
      <c r="D806" s="8">
        <f t="shared" si="52"/>
        <v>0</v>
      </c>
      <c r="E806" s="7" t="s">
        <v>12557</v>
      </c>
      <c r="F806" s="7">
        <f t="shared" si="53"/>
        <v>2</v>
      </c>
      <c r="G806" s="7" t="s">
        <v>12558</v>
      </c>
      <c r="H806" s="7">
        <f t="shared" si="54"/>
        <v>0</v>
      </c>
      <c r="I806" s="7" t="str" cm="1">
        <f t="array" ref="I806">IFERROR(_xlfn.IFS(M806="נח",1,M806="נע ונח",1,M806="שני שווא נח",2,M806="שני שוואים בסוף מילה",2,M806="שני שוואים ברצף",1),"0")</f>
        <v>0</v>
      </c>
      <c r="J806" s="9">
        <f t="shared" si="55"/>
        <v>4</v>
      </c>
      <c r="K806" t="s">
        <v>6697</v>
      </c>
      <c r="L806" t="s">
        <v>6694</v>
      </c>
      <c r="M806" t="s">
        <v>6700</v>
      </c>
      <c r="O806" t="s">
        <v>6694</v>
      </c>
      <c r="R806" t="s">
        <v>6694</v>
      </c>
      <c r="T806" t="s">
        <v>6694</v>
      </c>
      <c r="W806" t="s">
        <v>6720</v>
      </c>
    </row>
    <row r="807" spans="1:23" ht="15.6" x14ac:dyDescent="0.4">
      <c r="A807" s="2" t="s">
        <v>5775</v>
      </c>
      <c r="B807" s="5" t="s">
        <v>7437</v>
      </c>
      <c r="C807" s="7" t="s">
        <v>12556</v>
      </c>
      <c r="D807" s="8">
        <f t="shared" si="52"/>
        <v>0</v>
      </c>
      <c r="E807" s="7" t="s">
        <v>12557</v>
      </c>
      <c r="F807" s="7">
        <f t="shared" si="53"/>
        <v>2</v>
      </c>
      <c r="G807" s="7" t="s">
        <v>12558</v>
      </c>
      <c r="H807" s="7">
        <f t="shared" si="54"/>
        <v>0</v>
      </c>
      <c r="I807" s="7" t="str" cm="1">
        <f t="array" ref="I807">IFERROR(_xlfn.IFS(M807="נח",1,M807="נע ונח",1,M807="שני שווא נח",2,M807="שני שוואים בסוף מילה",2,M807="שני שוואים ברצף",1),"0")</f>
        <v>0</v>
      </c>
      <c r="J807" s="9">
        <f t="shared" si="55"/>
        <v>3</v>
      </c>
      <c r="K807" t="s">
        <v>6697</v>
      </c>
      <c r="L807" t="s">
        <v>6694</v>
      </c>
      <c r="M807" t="s">
        <v>6700</v>
      </c>
      <c r="T807" t="s">
        <v>6694</v>
      </c>
      <c r="V807" t="s">
        <v>6694</v>
      </c>
      <c r="W807" t="s">
        <v>6720</v>
      </c>
    </row>
    <row r="808" spans="1:23" ht="15.6" x14ac:dyDescent="0.4">
      <c r="A808" s="2" t="s">
        <v>6095</v>
      </c>
      <c r="B808" s="5" t="s">
        <v>7438</v>
      </c>
      <c r="C808" s="7" t="s">
        <v>12556</v>
      </c>
      <c r="D808" s="8">
        <f t="shared" si="52"/>
        <v>0</v>
      </c>
      <c r="E808" s="7" t="s">
        <v>12557</v>
      </c>
      <c r="F808" s="7">
        <f t="shared" si="53"/>
        <v>1</v>
      </c>
      <c r="G808" s="7" t="s">
        <v>12558</v>
      </c>
      <c r="H808" s="7">
        <f t="shared" si="54"/>
        <v>0</v>
      </c>
      <c r="I808" s="7" t="str" cm="1">
        <f t="array" ref="I808">IFERROR(_xlfn.IFS(M808="נח",1,M808="נע ונח",1,M808="שני שווא נח",2,M808="שני שוואים בסוף מילה",2,M808="שני שוואים ברצף",1),"0")</f>
        <v>0</v>
      </c>
      <c r="J808" s="9">
        <f t="shared" si="55"/>
        <v>3</v>
      </c>
      <c r="K808" t="s">
        <v>6697</v>
      </c>
      <c r="L808" t="s">
        <v>6694</v>
      </c>
      <c r="M808" t="s">
        <v>6700</v>
      </c>
      <c r="S808" t="s">
        <v>6694</v>
      </c>
      <c r="V808" t="s">
        <v>6694</v>
      </c>
      <c r="W808" t="s">
        <v>6720</v>
      </c>
    </row>
    <row r="809" spans="1:23" ht="15.6" x14ac:dyDescent="0.4">
      <c r="A809" s="2" t="s">
        <v>3495</v>
      </c>
      <c r="B809" s="5" t="s">
        <v>7439</v>
      </c>
      <c r="C809" s="7" t="s">
        <v>12556</v>
      </c>
      <c r="D809" s="8">
        <f t="shared" si="52"/>
        <v>0</v>
      </c>
      <c r="E809" s="7" t="s">
        <v>12557</v>
      </c>
      <c r="F809" s="7">
        <f t="shared" si="53"/>
        <v>1</v>
      </c>
      <c r="G809" s="7" t="s">
        <v>12558</v>
      </c>
      <c r="H809" s="7">
        <f t="shared" si="54"/>
        <v>0</v>
      </c>
      <c r="I809" s="7" t="str" cm="1">
        <f t="array" ref="I809">IFERROR(_xlfn.IFS(M809="נח",1,M809="נע ונח",1,M809="שני שווא נח",2,M809="שני שוואים בסוף מילה",2,M809="שני שוואים ברצף",1),"0")</f>
        <v>0</v>
      </c>
      <c r="J809" s="9">
        <f t="shared" si="55"/>
        <v>2</v>
      </c>
      <c r="K809" t="s">
        <v>6697</v>
      </c>
      <c r="L809" t="s">
        <v>6694</v>
      </c>
      <c r="M809" t="s">
        <v>6700</v>
      </c>
      <c r="S809" t="s">
        <v>6694</v>
      </c>
      <c r="W809" t="s">
        <v>6720</v>
      </c>
    </row>
    <row r="810" spans="1:23" ht="15.6" x14ac:dyDescent="0.4">
      <c r="A810" s="2" t="s">
        <v>3849</v>
      </c>
      <c r="B810" s="5" t="s">
        <v>7440</v>
      </c>
      <c r="C810" s="7" t="s">
        <v>12556</v>
      </c>
      <c r="D810" s="8">
        <f t="shared" si="52"/>
        <v>0</v>
      </c>
      <c r="E810" s="7" t="s">
        <v>12557</v>
      </c>
      <c r="F810" s="7">
        <f t="shared" si="53"/>
        <v>1</v>
      </c>
      <c r="G810" s="7" t="s">
        <v>12558</v>
      </c>
      <c r="H810" s="7">
        <f t="shared" si="54"/>
        <v>0</v>
      </c>
      <c r="I810" s="7" t="str" cm="1">
        <f t="array" ref="I810">IFERROR(_xlfn.IFS(M810="נח",1,M810="נע ונח",1,M810="שני שווא נח",2,M810="שני שוואים בסוף מילה",2,M810="שני שוואים ברצף",1),"0")</f>
        <v>0</v>
      </c>
      <c r="J810" s="9">
        <f t="shared" si="55"/>
        <v>3</v>
      </c>
      <c r="K810" t="s">
        <v>6698</v>
      </c>
      <c r="L810" t="s">
        <v>6694</v>
      </c>
      <c r="M810" t="s">
        <v>6700</v>
      </c>
      <c r="R810" t="s">
        <v>6694</v>
      </c>
      <c r="S810" t="s">
        <v>6694</v>
      </c>
      <c r="W810" t="s">
        <v>6720</v>
      </c>
    </row>
    <row r="811" spans="1:23" ht="15.6" x14ac:dyDescent="0.4">
      <c r="A811" s="2" t="s">
        <v>3172</v>
      </c>
      <c r="B811" s="5" t="s">
        <v>7441</v>
      </c>
      <c r="C811" s="7" t="s">
        <v>12556</v>
      </c>
      <c r="D811" s="8">
        <f t="shared" si="52"/>
        <v>0</v>
      </c>
      <c r="E811" s="7" t="s">
        <v>12557</v>
      </c>
      <c r="F811" s="7">
        <f t="shared" si="53"/>
        <v>2</v>
      </c>
      <c r="G811" s="7" t="s">
        <v>12558</v>
      </c>
      <c r="H811" s="7">
        <f t="shared" si="54"/>
        <v>1</v>
      </c>
      <c r="I811" s="7" t="str" cm="1">
        <f t="array" ref="I811">IFERROR(_xlfn.IFS(M811="נח",1,M811="נע ונח",1,M811="שני שווא נח",2,M811="שני שוואים בסוף מילה",2,M811="שני שוואים ברצף",1),"0")</f>
        <v>0</v>
      </c>
      <c r="J811" s="9">
        <f t="shared" si="55"/>
        <v>3</v>
      </c>
      <c r="K811" t="s">
        <v>6697</v>
      </c>
      <c r="L811" t="s">
        <v>6694</v>
      </c>
      <c r="M811" t="s">
        <v>6700</v>
      </c>
      <c r="S811" t="s">
        <v>6694</v>
      </c>
      <c r="U811" t="s">
        <v>6694</v>
      </c>
      <c r="W811" t="s">
        <v>6720</v>
      </c>
    </row>
    <row r="812" spans="1:23" ht="15.6" x14ac:dyDescent="0.4">
      <c r="A812" s="2" t="s">
        <v>1946</v>
      </c>
      <c r="B812" s="5" t="s">
        <v>7442</v>
      </c>
      <c r="C812" s="7" t="s">
        <v>12556</v>
      </c>
      <c r="D812" s="8">
        <f t="shared" si="52"/>
        <v>0</v>
      </c>
      <c r="E812" s="7" t="s">
        <v>12557</v>
      </c>
      <c r="F812" s="7">
        <f t="shared" si="53"/>
        <v>1</v>
      </c>
      <c r="G812" s="7" t="s">
        <v>12558</v>
      </c>
      <c r="H812" s="7">
        <f t="shared" si="54"/>
        <v>0</v>
      </c>
      <c r="I812" s="7" t="str" cm="1">
        <f t="array" ref="I812">IFERROR(_xlfn.IFS(M812="נח",1,M812="נע ונח",1,M812="שני שווא נח",2,M812="שני שוואים בסוף מילה",2,M812="שני שוואים ברצף",1),"0")</f>
        <v>0</v>
      </c>
      <c r="J812" s="9">
        <f t="shared" si="55"/>
        <v>2</v>
      </c>
      <c r="K812" t="s">
        <v>6698</v>
      </c>
      <c r="L812" t="s">
        <v>6694</v>
      </c>
      <c r="M812" t="s">
        <v>6700</v>
      </c>
      <c r="S812" t="s">
        <v>6694</v>
      </c>
      <c r="W812" t="s">
        <v>6720</v>
      </c>
    </row>
    <row r="813" spans="1:23" ht="15.6" x14ac:dyDescent="0.4">
      <c r="A813" s="2" t="s">
        <v>4148</v>
      </c>
      <c r="B813" s="5" t="s">
        <v>7443</v>
      </c>
      <c r="C813" s="7" t="s">
        <v>12556</v>
      </c>
      <c r="D813" s="8">
        <f t="shared" si="52"/>
        <v>0</v>
      </c>
      <c r="E813" s="7" t="s">
        <v>12557</v>
      </c>
      <c r="F813" s="7">
        <f t="shared" si="53"/>
        <v>1</v>
      </c>
      <c r="G813" s="7" t="s">
        <v>12558</v>
      </c>
      <c r="H813" s="7">
        <f t="shared" si="54"/>
        <v>0</v>
      </c>
      <c r="I813" s="7" t="str" cm="1">
        <f t="array" ref="I813">IFERROR(_xlfn.IFS(M813="נח",1,M813="נע ונח",1,M813="שני שווא נח",2,M813="שני שוואים בסוף מילה",2,M813="שני שוואים ברצף",1),"0")</f>
        <v>0</v>
      </c>
      <c r="J813" s="9">
        <f t="shared" si="55"/>
        <v>3</v>
      </c>
      <c r="K813" t="s">
        <v>6697</v>
      </c>
      <c r="L813" t="s">
        <v>6694</v>
      </c>
      <c r="M813" t="s">
        <v>6700</v>
      </c>
      <c r="S813" t="s">
        <v>6694</v>
      </c>
      <c r="V813" t="s">
        <v>6694</v>
      </c>
      <c r="W813" t="s">
        <v>6720</v>
      </c>
    </row>
    <row r="814" spans="1:23" ht="15.6" x14ac:dyDescent="0.4">
      <c r="A814" s="2" t="s">
        <v>249</v>
      </c>
      <c r="B814" s="5" t="s">
        <v>7444</v>
      </c>
      <c r="C814" s="7" t="s">
        <v>12556</v>
      </c>
      <c r="D814" s="8">
        <f t="shared" si="52"/>
        <v>0</v>
      </c>
      <c r="E814" s="7" t="s">
        <v>12557</v>
      </c>
      <c r="F814" s="7">
        <f t="shared" si="53"/>
        <v>2</v>
      </c>
      <c r="G814" s="7" t="s">
        <v>12558</v>
      </c>
      <c r="H814" s="7">
        <f t="shared" si="54"/>
        <v>0</v>
      </c>
      <c r="I814" s="7" t="str" cm="1">
        <f t="array" ref="I814">IFERROR(_xlfn.IFS(M814="נח",1,M814="נע ונח",1,M814="שני שווא נח",2,M814="שני שוואים בסוף מילה",2,M814="שני שוואים ברצף",1),"0")</f>
        <v>0</v>
      </c>
      <c r="J814" s="9">
        <f t="shared" si="55"/>
        <v>5</v>
      </c>
      <c r="K814" t="s">
        <v>6697</v>
      </c>
      <c r="L814" t="s">
        <v>6694</v>
      </c>
      <c r="M814" t="s">
        <v>6700</v>
      </c>
      <c r="O814" t="s">
        <v>6694</v>
      </c>
      <c r="R814" t="s">
        <v>6694</v>
      </c>
      <c r="S814" t="s">
        <v>6694</v>
      </c>
      <c r="T814" t="s">
        <v>6694</v>
      </c>
      <c r="W814" t="s">
        <v>6720</v>
      </c>
    </row>
    <row r="815" spans="1:23" ht="15.6" x14ac:dyDescent="0.4">
      <c r="A815" s="2" t="s">
        <v>1261</v>
      </c>
      <c r="B815" s="5" t="s">
        <v>7445</v>
      </c>
      <c r="C815" s="7" t="s">
        <v>12556</v>
      </c>
      <c r="D815" s="8">
        <f t="shared" si="52"/>
        <v>0</v>
      </c>
      <c r="E815" s="7" t="s">
        <v>12557</v>
      </c>
      <c r="F815" s="7">
        <f t="shared" si="53"/>
        <v>1</v>
      </c>
      <c r="G815" s="7" t="s">
        <v>12558</v>
      </c>
      <c r="H815" s="7">
        <f t="shared" si="54"/>
        <v>0</v>
      </c>
      <c r="I815" s="7" cm="1">
        <f t="array" ref="I815">IFERROR(_xlfn.IFS(M815="נח",1,M815="נע ונח",1,M815="שני שווא נח",2,M815="שני שוואים בסוף מילה",2,M815="שני שוואים ברצף",1),"0")</f>
        <v>1</v>
      </c>
      <c r="J815" s="9">
        <f t="shared" si="55"/>
        <v>3</v>
      </c>
      <c r="K815" t="s">
        <v>6697</v>
      </c>
      <c r="L815" t="s">
        <v>6694</v>
      </c>
      <c r="M815" t="s">
        <v>6701</v>
      </c>
      <c r="P815" t="s">
        <v>6694</v>
      </c>
      <c r="V815" t="s">
        <v>6694</v>
      </c>
      <c r="W815" t="s">
        <v>6720</v>
      </c>
    </row>
    <row r="816" spans="1:23" ht="15.6" x14ac:dyDescent="0.4">
      <c r="A816" s="2" t="s">
        <v>5516</v>
      </c>
      <c r="B816" s="5" t="s">
        <v>7446</v>
      </c>
      <c r="C816" s="7" t="s">
        <v>12556</v>
      </c>
      <c r="D816" s="8">
        <f t="shared" si="52"/>
        <v>0</v>
      </c>
      <c r="E816" s="7" t="s">
        <v>12557</v>
      </c>
      <c r="F816" s="7">
        <f t="shared" si="53"/>
        <v>1</v>
      </c>
      <c r="G816" s="7" t="s">
        <v>12558</v>
      </c>
      <c r="H816" s="7">
        <f t="shared" si="54"/>
        <v>0</v>
      </c>
      <c r="I816" s="7" t="str" cm="1">
        <f t="array" ref="I816">IFERROR(_xlfn.IFS(M816="נח",1,M816="נע ונח",1,M816="שני שווא נח",2,M816="שני שוואים בסוף מילה",2,M816="שני שוואים ברצף",1),"0")</f>
        <v>0</v>
      </c>
      <c r="J816" s="9">
        <f t="shared" si="55"/>
        <v>5</v>
      </c>
      <c r="K816" t="s">
        <v>6697</v>
      </c>
      <c r="L816" t="s">
        <v>6694</v>
      </c>
      <c r="M816" t="s">
        <v>6700</v>
      </c>
      <c r="O816" t="s">
        <v>6694</v>
      </c>
      <c r="R816" t="s">
        <v>6694</v>
      </c>
      <c r="W816" t="s">
        <v>6720</v>
      </c>
    </row>
    <row r="817" spans="1:23" ht="15.6" x14ac:dyDescent="0.4">
      <c r="A817" s="2" t="s">
        <v>4522</v>
      </c>
      <c r="B817" s="5" t="s">
        <v>7447</v>
      </c>
      <c r="C817" s="7" t="s">
        <v>12556</v>
      </c>
      <c r="D817" s="8">
        <f t="shared" si="52"/>
        <v>1</v>
      </c>
      <c r="E817" s="7" t="s">
        <v>12557</v>
      </c>
      <c r="F817" s="7">
        <f t="shared" si="53"/>
        <v>1</v>
      </c>
      <c r="G817" s="7" t="s">
        <v>12558</v>
      </c>
      <c r="H817" s="7">
        <f t="shared" si="54"/>
        <v>0</v>
      </c>
      <c r="I817" s="7" t="str" cm="1">
        <f t="array" ref="I817">IFERROR(_xlfn.IFS(M817="נח",1,M817="נע ונח",1,M817="שני שווא נח",2,M817="שני שוואים בסוף מילה",2,M817="שני שוואים ברצף",1),"0")</f>
        <v>0</v>
      </c>
      <c r="J817" s="9">
        <f t="shared" si="55"/>
        <v>3</v>
      </c>
      <c r="K817" t="s">
        <v>6698</v>
      </c>
      <c r="L817" t="s">
        <v>6694</v>
      </c>
      <c r="M817" t="s">
        <v>6700</v>
      </c>
      <c r="O817" t="s">
        <v>6694</v>
      </c>
      <c r="Q817" t="s">
        <v>6694</v>
      </c>
      <c r="W817" t="s">
        <v>6720</v>
      </c>
    </row>
    <row r="818" spans="1:23" ht="15.6" x14ac:dyDescent="0.4">
      <c r="A818" s="2" t="s">
        <v>2425</v>
      </c>
      <c r="B818" s="5" t="s">
        <v>7448</v>
      </c>
      <c r="C818" s="7" t="s">
        <v>12556</v>
      </c>
      <c r="D818" s="8">
        <f t="shared" si="52"/>
        <v>0</v>
      </c>
      <c r="E818" s="7" t="s">
        <v>12557</v>
      </c>
      <c r="F818" s="7">
        <f t="shared" si="53"/>
        <v>1</v>
      </c>
      <c r="G818" s="7" t="s">
        <v>12558</v>
      </c>
      <c r="H818" s="7">
        <f t="shared" si="54"/>
        <v>0</v>
      </c>
      <c r="I818" s="7" t="str" cm="1">
        <f t="array" ref="I818">IFERROR(_xlfn.IFS(M818="נח",1,M818="נע ונח",1,M818="שני שווא נח",2,M818="שני שוואים בסוף מילה",2,M818="שני שוואים ברצף",1),"0")</f>
        <v>0</v>
      </c>
      <c r="J818" s="9">
        <f t="shared" si="55"/>
        <v>3</v>
      </c>
      <c r="K818" t="s">
        <v>6698</v>
      </c>
      <c r="L818" t="s">
        <v>6694</v>
      </c>
      <c r="M818" t="s">
        <v>6700</v>
      </c>
      <c r="P818" t="s">
        <v>6694</v>
      </c>
      <c r="V818" t="s">
        <v>6694</v>
      </c>
      <c r="W818" t="s">
        <v>6720</v>
      </c>
    </row>
    <row r="819" spans="1:23" ht="15.6" x14ac:dyDescent="0.4">
      <c r="A819" s="2" t="s">
        <v>6377</v>
      </c>
      <c r="B819" s="5" t="s">
        <v>7449</v>
      </c>
      <c r="C819" s="7" t="s">
        <v>12556</v>
      </c>
      <c r="D819" s="8">
        <f t="shared" si="52"/>
        <v>0</v>
      </c>
      <c r="E819" s="7" t="s">
        <v>12557</v>
      </c>
      <c r="F819" s="7">
        <f t="shared" si="53"/>
        <v>2</v>
      </c>
      <c r="G819" s="7" t="s">
        <v>12558</v>
      </c>
      <c r="H819" s="7">
        <f t="shared" si="54"/>
        <v>1</v>
      </c>
      <c r="I819" s="7" cm="1">
        <f t="array" ref="I819">IFERROR(_xlfn.IFS(M819="נח",1,M819="נע ונח",1,M819="שני שווא נח",2,M819="שני שוואים בסוף מילה",2,M819="שני שוואים ברצף",1),"0")</f>
        <v>1</v>
      </c>
      <c r="J819" s="9">
        <f t="shared" si="55"/>
        <v>5</v>
      </c>
      <c r="K819" t="s">
        <v>6697</v>
      </c>
      <c r="L819" t="s">
        <v>6694</v>
      </c>
      <c r="M819" t="s">
        <v>6701</v>
      </c>
      <c r="Q819" t="s">
        <v>6694</v>
      </c>
      <c r="S819" t="s">
        <v>6694</v>
      </c>
      <c r="U819" t="s">
        <v>6694</v>
      </c>
      <c r="V819" t="s">
        <v>6694</v>
      </c>
      <c r="W819" t="s">
        <v>6720</v>
      </c>
    </row>
    <row r="820" spans="1:23" ht="15.6" x14ac:dyDescent="0.4">
      <c r="A820" s="2" t="s">
        <v>452</v>
      </c>
      <c r="B820" s="5" t="s">
        <v>7168</v>
      </c>
      <c r="C820" s="7" t="s">
        <v>12556</v>
      </c>
      <c r="D820" s="8">
        <f t="shared" si="52"/>
        <v>0</v>
      </c>
      <c r="E820" s="7" t="s">
        <v>12557</v>
      </c>
      <c r="F820" s="7">
        <f t="shared" si="53"/>
        <v>1</v>
      </c>
      <c r="G820" s="7" t="s">
        <v>12558</v>
      </c>
      <c r="H820" s="7">
        <f t="shared" si="54"/>
        <v>0</v>
      </c>
      <c r="I820" s="7" cm="1">
        <f t="array" ref="I820">IFERROR(_xlfn.IFS(M820="נח",1,M820="נע ונח",1,M820="שני שווא נח",2,M820="שני שוואים בסוף מילה",2,M820="שני שוואים ברצף",1),"0")</f>
        <v>1</v>
      </c>
      <c r="J820" s="9">
        <f t="shared" si="55"/>
        <v>5</v>
      </c>
      <c r="K820" t="s">
        <v>6697</v>
      </c>
      <c r="L820" t="s">
        <v>6694</v>
      </c>
      <c r="M820" t="s">
        <v>6701</v>
      </c>
      <c r="N820" t="s">
        <v>6706</v>
      </c>
      <c r="O820" t="s">
        <v>6694</v>
      </c>
      <c r="S820" t="s">
        <v>6694</v>
      </c>
      <c r="W820" t="s">
        <v>6720</v>
      </c>
    </row>
    <row r="821" spans="1:23" ht="15.6" x14ac:dyDescent="0.4">
      <c r="A821" s="2" t="s">
        <v>6503</v>
      </c>
      <c r="B821" s="5" t="s">
        <v>7168</v>
      </c>
      <c r="C821" s="7" t="s">
        <v>12556</v>
      </c>
      <c r="D821" s="8">
        <f t="shared" si="52"/>
        <v>0</v>
      </c>
      <c r="E821" s="7" t="s">
        <v>12557</v>
      </c>
      <c r="F821" s="7">
        <f t="shared" si="53"/>
        <v>1</v>
      </c>
      <c r="G821" s="7" t="s">
        <v>12558</v>
      </c>
      <c r="H821" s="7">
        <f t="shared" si="54"/>
        <v>0</v>
      </c>
      <c r="I821" s="7" cm="1">
        <f t="array" ref="I821">IFERROR(_xlfn.IFS(M821="נח",1,M821="נע ונח",1,M821="שני שווא נח",2,M821="שני שוואים בסוף מילה",2,M821="שני שוואים ברצף",1),"0")</f>
        <v>1</v>
      </c>
      <c r="J821" s="9">
        <f t="shared" si="55"/>
        <v>5</v>
      </c>
      <c r="K821" t="s">
        <v>6697</v>
      </c>
      <c r="L821" t="s">
        <v>6694</v>
      </c>
      <c r="M821" t="s">
        <v>6701</v>
      </c>
      <c r="O821" t="s">
        <v>6694</v>
      </c>
      <c r="R821" t="s">
        <v>6694</v>
      </c>
      <c r="S821" t="s">
        <v>6694</v>
      </c>
      <c r="W821" t="s">
        <v>6720</v>
      </c>
    </row>
    <row r="822" spans="1:23" ht="15.6" x14ac:dyDescent="0.4">
      <c r="A822" s="2" t="s">
        <v>2230</v>
      </c>
      <c r="B822" s="5" t="s">
        <v>7169</v>
      </c>
      <c r="C822" s="7" t="s">
        <v>12556</v>
      </c>
      <c r="D822" s="8">
        <f t="shared" si="52"/>
        <v>0</v>
      </c>
      <c r="E822" s="7" t="s">
        <v>12557</v>
      </c>
      <c r="F822" s="7">
        <f t="shared" si="53"/>
        <v>2</v>
      </c>
      <c r="G822" s="7" t="s">
        <v>12558</v>
      </c>
      <c r="H822" s="7">
        <f t="shared" si="54"/>
        <v>0</v>
      </c>
      <c r="I822" s="7" t="str" cm="1">
        <f t="array" ref="I822">IFERROR(_xlfn.IFS(M822="נח",1,M822="נע ונח",1,M822="שני שווא נח",2,M822="שני שוואים בסוף מילה",2,M822="שני שוואים ברצף",1),"0")</f>
        <v>0</v>
      </c>
      <c r="J822" s="9">
        <f t="shared" si="55"/>
        <v>3</v>
      </c>
      <c r="K822" t="s">
        <v>6698</v>
      </c>
      <c r="L822" t="s">
        <v>6694</v>
      </c>
      <c r="M822" t="s">
        <v>6700</v>
      </c>
      <c r="S822" t="s">
        <v>6694</v>
      </c>
      <c r="V822" t="s">
        <v>6694</v>
      </c>
      <c r="W822" t="s">
        <v>6720</v>
      </c>
    </row>
    <row r="823" spans="1:23" ht="15.6" x14ac:dyDescent="0.4">
      <c r="A823" s="2" t="s">
        <v>1485</v>
      </c>
      <c r="B823" s="5" t="s">
        <v>7170</v>
      </c>
      <c r="C823" s="7" t="s">
        <v>12556</v>
      </c>
      <c r="D823" s="8">
        <f t="shared" si="52"/>
        <v>0</v>
      </c>
      <c r="E823" s="7" t="s">
        <v>12557</v>
      </c>
      <c r="F823" s="7">
        <f t="shared" si="53"/>
        <v>1</v>
      </c>
      <c r="G823" s="7" t="s">
        <v>12558</v>
      </c>
      <c r="H823" s="7">
        <f t="shared" si="54"/>
        <v>0</v>
      </c>
      <c r="I823" s="7" cm="1">
        <f t="array" ref="I823">IFERROR(_xlfn.IFS(M823="נח",1,M823="נע ונח",1,M823="שני שווא נח",2,M823="שני שוואים בסוף מילה",2,M823="שני שוואים ברצף",1),"0")</f>
        <v>1</v>
      </c>
      <c r="J823" s="9">
        <f t="shared" si="55"/>
        <v>4</v>
      </c>
      <c r="K823" t="s">
        <v>6698</v>
      </c>
      <c r="L823" t="s">
        <v>6694</v>
      </c>
      <c r="M823" t="s">
        <v>6702</v>
      </c>
      <c r="Q823" t="s">
        <v>6694</v>
      </c>
      <c r="S823" t="s">
        <v>6694</v>
      </c>
      <c r="W823" t="s">
        <v>6720</v>
      </c>
    </row>
    <row r="824" spans="1:23" ht="15.6" x14ac:dyDescent="0.4">
      <c r="A824" s="2" t="s">
        <v>558</v>
      </c>
      <c r="B824" s="5" t="s">
        <v>7450</v>
      </c>
      <c r="C824" s="7" t="s">
        <v>12556</v>
      </c>
      <c r="D824" s="8">
        <f t="shared" si="52"/>
        <v>0</v>
      </c>
      <c r="E824" s="7" t="s">
        <v>12557</v>
      </c>
      <c r="F824" s="7">
        <f t="shared" si="53"/>
        <v>1</v>
      </c>
      <c r="G824" s="7" t="s">
        <v>12558</v>
      </c>
      <c r="H824" s="7">
        <f t="shared" si="54"/>
        <v>0</v>
      </c>
      <c r="I824" s="7" t="str" cm="1">
        <f t="array" ref="I824">IFERROR(_xlfn.IFS(M824="נח",1,M824="נע ונח",1,M824="שני שווא נח",2,M824="שני שוואים בסוף מילה",2,M824="שני שוואים ברצף",1),"0")</f>
        <v>0</v>
      </c>
      <c r="J824" s="9">
        <f t="shared" si="55"/>
        <v>2</v>
      </c>
      <c r="K824" t="s">
        <v>6698</v>
      </c>
      <c r="L824" t="s">
        <v>6694</v>
      </c>
      <c r="M824" t="s">
        <v>6700</v>
      </c>
      <c r="Q824" t="s">
        <v>6694</v>
      </c>
      <c r="W824" t="s">
        <v>6720</v>
      </c>
    </row>
    <row r="825" spans="1:23" ht="15.6" x14ac:dyDescent="0.4">
      <c r="A825" s="2" t="s">
        <v>4494</v>
      </c>
      <c r="B825" s="5" t="s">
        <v>7451</v>
      </c>
      <c r="C825" s="7" t="s">
        <v>12556</v>
      </c>
      <c r="D825" s="8">
        <f t="shared" si="52"/>
        <v>0</v>
      </c>
      <c r="E825" s="7" t="s">
        <v>12557</v>
      </c>
      <c r="F825" s="7">
        <f t="shared" si="53"/>
        <v>1</v>
      </c>
      <c r="G825" s="7" t="s">
        <v>12558</v>
      </c>
      <c r="H825" s="7">
        <f t="shared" si="54"/>
        <v>0</v>
      </c>
      <c r="I825" s="7" cm="1">
        <f t="array" ref="I825">IFERROR(_xlfn.IFS(M825="נח",1,M825="נע ונח",1,M825="שני שווא נח",2,M825="שני שוואים בסוף מילה",2,M825="שני שוואים ברצף",1),"0")</f>
        <v>1</v>
      </c>
      <c r="J825" s="9">
        <f t="shared" si="55"/>
        <v>3</v>
      </c>
      <c r="K825" t="s">
        <v>6697</v>
      </c>
      <c r="L825" t="s">
        <v>6694</v>
      </c>
      <c r="M825" t="s">
        <v>6701</v>
      </c>
      <c r="O825" t="s">
        <v>6694</v>
      </c>
      <c r="Q825" t="s">
        <v>6694</v>
      </c>
      <c r="W825" t="s">
        <v>6720</v>
      </c>
    </row>
    <row r="826" spans="1:23" ht="15.6" x14ac:dyDescent="0.4">
      <c r="A826" s="2" t="s">
        <v>4847</v>
      </c>
      <c r="B826" s="5" t="s">
        <v>7452</v>
      </c>
      <c r="C826" s="7" t="s">
        <v>12556</v>
      </c>
      <c r="D826" s="8">
        <f t="shared" si="52"/>
        <v>0</v>
      </c>
      <c r="E826" s="7" t="s">
        <v>12557</v>
      </c>
      <c r="F826" s="7">
        <f t="shared" si="53"/>
        <v>1</v>
      </c>
      <c r="G826" s="7" t="s">
        <v>12558</v>
      </c>
      <c r="H826" s="7">
        <f t="shared" si="54"/>
        <v>0</v>
      </c>
      <c r="I826" s="7" t="str" cm="1">
        <f t="array" ref="I826">IFERROR(_xlfn.IFS(M826="נח",1,M826="נע ונח",1,M826="שני שווא נח",2,M826="שני שוואים בסוף מילה",2,M826="שני שוואים ברצף",1),"0")</f>
        <v>0</v>
      </c>
      <c r="J826" s="9">
        <f t="shared" si="55"/>
        <v>3</v>
      </c>
      <c r="K826" t="s">
        <v>6697</v>
      </c>
      <c r="L826" t="s">
        <v>6694</v>
      </c>
      <c r="M826" t="s">
        <v>6700</v>
      </c>
      <c r="Q826" t="s">
        <v>6694</v>
      </c>
      <c r="V826" t="s">
        <v>6694</v>
      </c>
      <c r="W826" t="s">
        <v>6720</v>
      </c>
    </row>
    <row r="827" spans="1:23" ht="15.6" x14ac:dyDescent="0.4">
      <c r="A827" s="2" t="s">
        <v>841</v>
      </c>
      <c r="B827" s="5" t="s">
        <v>7453</v>
      </c>
      <c r="C827" s="7" t="s">
        <v>12556</v>
      </c>
      <c r="D827" s="8">
        <f t="shared" si="52"/>
        <v>0</v>
      </c>
      <c r="E827" s="7" t="s">
        <v>12557</v>
      </c>
      <c r="F827" s="7">
        <f t="shared" si="53"/>
        <v>1</v>
      </c>
      <c r="G827" s="7" t="s">
        <v>12558</v>
      </c>
      <c r="H827" s="7">
        <f t="shared" si="54"/>
        <v>0</v>
      </c>
      <c r="I827" s="7" t="str" cm="1">
        <f t="array" ref="I827">IFERROR(_xlfn.IFS(M827="נח",1,M827="נע ונח",1,M827="שני שווא נח",2,M827="שני שוואים בסוף מילה",2,M827="שני שוואים ברצף",1),"0")</f>
        <v>0</v>
      </c>
      <c r="J827" s="9">
        <f t="shared" si="55"/>
        <v>2</v>
      </c>
      <c r="K827" t="s">
        <v>6698</v>
      </c>
      <c r="L827" t="s">
        <v>6694</v>
      </c>
      <c r="M827" t="s">
        <v>6700</v>
      </c>
      <c r="Q827" t="s">
        <v>6694</v>
      </c>
      <c r="W827" t="s">
        <v>6720</v>
      </c>
    </row>
    <row r="828" spans="1:23" ht="15.6" x14ac:dyDescent="0.4">
      <c r="A828" s="2" t="s">
        <v>2396</v>
      </c>
      <c r="B828" s="5" t="s">
        <v>7171</v>
      </c>
      <c r="C828" s="7" t="s">
        <v>12556</v>
      </c>
      <c r="D828" s="8">
        <f t="shared" si="52"/>
        <v>0</v>
      </c>
      <c r="E828" s="7" t="s">
        <v>12557</v>
      </c>
      <c r="F828" s="7">
        <f t="shared" si="53"/>
        <v>1</v>
      </c>
      <c r="G828" s="7" t="s">
        <v>12558</v>
      </c>
      <c r="H828" s="7">
        <f t="shared" si="54"/>
        <v>0</v>
      </c>
      <c r="I828" s="7" t="str" cm="1">
        <f t="array" ref="I828">IFERROR(_xlfn.IFS(M828="נח",1,M828="נע ונח",1,M828="שני שווא נח",2,M828="שני שוואים בסוף מילה",2,M828="שני שוואים ברצף",1),"0")</f>
        <v>0</v>
      </c>
      <c r="J828" s="9">
        <f t="shared" si="55"/>
        <v>3</v>
      </c>
      <c r="K828" t="s">
        <v>6698</v>
      </c>
      <c r="L828" t="s">
        <v>6694</v>
      </c>
      <c r="M828" t="s">
        <v>6700</v>
      </c>
      <c r="R828" t="s">
        <v>6694</v>
      </c>
      <c r="W828" t="s">
        <v>6720</v>
      </c>
    </row>
    <row r="829" spans="1:23" ht="15.6" x14ac:dyDescent="0.4">
      <c r="A829" s="2" t="s">
        <v>3460</v>
      </c>
      <c r="B829" s="5" t="s">
        <v>7454</v>
      </c>
      <c r="C829" s="7" t="s">
        <v>12556</v>
      </c>
      <c r="D829" s="8">
        <f t="shared" si="52"/>
        <v>0</v>
      </c>
      <c r="E829" s="7" t="s">
        <v>12557</v>
      </c>
      <c r="F829" s="7">
        <f t="shared" si="53"/>
        <v>1</v>
      </c>
      <c r="G829" s="7" t="s">
        <v>12558</v>
      </c>
      <c r="H829" s="7">
        <f t="shared" si="54"/>
        <v>0</v>
      </c>
      <c r="I829" s="7" t="str" cm="1">
        <f t="array" ref="I829">IFERROR(_xlfn.IFS(M829="נח",1,M829="נע ונח",1,M829="שני שווא נח",2,M829="שני שוואים בסוף מילה",2,M829="שני שוואים ברצף",1),"0")</f>
        <v>0</v>
      </c>
      <c r="J829" s="9">
        <f t="shared" si="55"/>
        <v>3</v>
      </c>
      <c r="K829" t="s">
        <v>6698</v>
      </c>
      <c r="L829" t="s">
        <v>6694</v>
      </c>
      <c r="M829" t="s">
        <v>6700</v>
      </c>
      <c r="R829" t="s">
        <v>6694</v>
      </c>
      <c r="W829" t="s">
        <v>6720</v>
      </c>
    </row>
    <row r="830" spans="1:23" ht="15.6" x14ac:dyDescent="0.4">
      <c r="A830" s="2" t="s">
        <v>6489</v>
      </c>
      <c r="B830" s="5" t="s">
        <v>7455</v>
      </c>
      <c r="C830" s="7" t="s">
        <v>12556</v>
      </c>
      <c r="D830" s="8">
        <f t="shared" si="52"/>
        <v>0</v>
      </c>
      <c r="E830" s="7" t="s">
        <v>12557</v>
      </c>
      <c r="F830" s="7">
        <f t="shared" si="53"/>
        <v>1</v>
      </c>
      <c r="G830" s="7" t="s">
        <v>12558</v>
      </c>
      <c r="H830" s="7">
        <f t="shared" si="54"/>
        <v>0</v>
      </c>
      <c r="I830" s="7" cm="1">
        <f t="array" ref="I830">IFERROR(_xlfn.IFS(M830="נח",1,M830="נע ונח",1,M830="שני שווא נח",2,M830="שני שוואים בסוף מילה",2,M830="שני שוואים ברצף",1),"0")</f>
        <v>1</v>
      </c>
      <c r="J830" s="9">
        <f t="shared" si="55"/>
        <v>3</v>
      </c>
      <c r="K830" t="s">
        <v>6698</v>
      </c>
      <c r="L830" t="s">
        <v>6694</v>
      </c>
      <c r="M830" t="s">
        <v>6701</v>
      </c>
      <c r="P830" t="s">
        <v>6694</v>
      </c>
      <c r="V830" t="s">
        <v>6694</v>
      </c>
      <c r="W830" t="s">
        <v>6720</v>
      </c>
    </row>
    <row r="831" spans="1:23" ht="15.6" x14ac:dyDescent="0.4">
      <c r="A831" s="2" t="s">
        <v>4495</v>
      </c>
      <c r="B831" s="5" t="s">
        <v>7456</v>
      </c>
      <c r="C831" s="7" t="s">
        <v>12556</v>
      </c>
      <c r="D831" s="8">
        <f t="shared" si="52"/>
        <v>0</v>
      </c>
      <c r="E831" s="7" t="s">
        <v>12557</v>
      </c>
      <c r="F831" s="7">
        <f t="shared" si="53"/>
        <v>2</v>
      </c>
      <c r="G831" s="7" t="s">
        <v>12558</v>
      </c>
      <c r="H831" s="7">
        <f t="shared" si="54"/>
        <v>0</v>
      </c>
      <c r="I831" s="7" cm="1">
        <f t="array" ref="I831">IFERROR(_xlfn.IFS(M831="נח",1,M831="נע ונח",1,M831="שני שווא נח",2,M831="שני שוואים בסוף מילה",2,M831="שני שוואים ברצף",1),"0")</f>
        <v>1</v>
      </c>
      <c r="J831" s="9">
        <f t="shared" si="55"/>
        <v>4</v>
      </c>
      <c r="K831" t="s">
        <v>6697</v>
      </c>
      <c r="L831" t="s">
        <v>6694</v>
      </c>
      <c r="M831" t="s">
        <v>6702</v>
      </c>
      <c r="O831" t="s">
        <v>6694</v>
      </c>
      <c r="P831" t="s">
        <v>6694</v>
      </c>
      <c r="W831" t="s">
        <v>6720</v>
      </c>
    </row>
    <row r="832" spans="1:23" ht="15.6" x14ac:dyDescent="0.4">
      <c r="A832" s="2" t="s">
        <v>3375</v>
      </c>
      <c r="B832" s="5" t="s">
        <v>7176</v>
      </c>
      <c r="C832" s="7" t="s">
        <v>12556</v>
      </c>
      <c r="D832" s="8">
        <f t="shared" si="52"/>
        <v>0</v>
      </c>
      <c r="E832" s="7" t="s">
        <v>12557</v>
      </c>
      <c r="F832" s="7">
        <f t="shared" si="53"/>
        <v>1</v>
      </c>
      <c r="G832" s="7" t="s">
        <v>12558</v>
      </c>
      <c r="H832" s="7">
        <f t="shared" si="54"/>
        <v>0</v>
      </c>
      <c r="I832" s="7" t="str" cm="1">
        <f t="array" ref="I832">IFERROR(_xlfn.IFS(M832="נח",1,M832="נע ונח",1,M832="שני שווא נח",2,M832="שני שוואים בסוף מילה",2,M832="שני שוואים ברצף",1),"0")</f>
        <v>0</v>
      </c>
      <c r="J832" s="9">
        <f t="shared" si="55"/>
        <v>3</v>
      </c>
      <c r="K832" t="s">
        <v>6698</v>
      </c>
      <c r="L832" t="s">
        <v>6694</v>
      </c>
      <c r="M832" t="s">
        <v>6700</v>
      </c>
      <c r="O832" t="s">
        <v>6694</v>
      </c>
      <c r="V832" t="s">
        <v>6694</v>
      </c>
      <c r="W832" t="s">
        <v>6720</v>
      </c>
    </row>
    <row r="833" spans="1:23" ht="15.6" x14ac:dyDescent="0.4">
      <c r="A833" s="2" t="s">
        <v>5630</v>
      </c>
      <c r="B833" s="5" t="s">
        <v>7457</v>
      </c>
      <c r="C833" s="7" t="s">
        <v>12556</v>
      </c>
      <c r="D833" s="8">
        <f t="shared" si="52"/>
        <v>0</v>
      </c>
      <c r="E833" s="7" t="s">
        <v>12557</v>
      </c>
      <c r="F833" s="7">
        <f t="shared" si="53"/>
        <v>1</v>
      </c>
      <c r="G833" s="7" t="s">
        <v>12558</v>
      </c>
      <c r="H833" s="7">
        <f t="shared" si="54"/>
        <v>0</v>
      </c>
      <c r="I833" s="7" t="str" cm="1">
        <f t="array" ref="I833">IFERROR(_xlfn.IFS(M833="נח",1,M833="נע ונח",1,M833="שני שווא נח",2,M833="שני שוואים בסוף מילה",2,M833="שני שוואים ברצף",1),"0")</f>
        <v>0</v>
      </c>
      <c r="J833" s="9">
        <f t="shared" si="55"/>
        <v>2</v>
      </c>
      <c r="K833" t="s">
        <v>6698</v>
      </c>
      <c r="L833" t="s">
        <v>6694</v>
      </c>
      <c r="M833" t="s">
        <v>6700</v>
      </c>
      <c r="V833" t="s">
        <v>6694</v>
      </c>
      <c r="W833" t="s">
        <v>6720</v>
      </c>
    </row>
    <row r="834" spans="1:23" ht="15.6" x14ac:dyDescent="0.4">
      <c r="A834" s="2" t="s">
        <v>2631</v>
      </c>
      <c r="B834" s="5" t="s">
        <v>7458</v>
      </c>
      <c r="C834" s="7" t="s">
        <v>12556</v>
      </c>
      <c r="D834" s="8">
        <f t="shared" si="52"/>
        <v>0</v>
      </c>
      <c r="E834" s="7" t="s">
        <v>12557</v>
      </c>
      <c r="F834" s="7">
        <f t="shared" si="53"/>
        <v>2</v>
      </c>
      <c r="G834" s="7" t="s">
        <v>12558</v>
      </c>
      <c r="H834" s="7">
        <f t="shared" si="54"/>
        <v>1</v>
      </c>
      <c r="I834" s="7" t="str" cm="1">
        <f t="array" ref="I834">IFERROR(_xlfn.IFS(M834="נח",1,M834="נע ונח",1,M834="שני שווא נח",2,M834="שני שוואים בסוף מילה",2,M834="שני שוואים ברצף",1),"0")</f>
        <v>0</v>
      </c>
      <c r="J834" s="9">
        <f t="shared" si="55"/>
        <v>2</v>
      </c>
      <c r="K834" t="s">
        <v>6698</v>
      </c>
      <c r="L834" t="s">
        <v>6694</v>
      </c>
      <c r="M834" t="s">
        <v>6700</v>
      </c>
      <c r="U834" t="s">
        <v>6694</v>
      </c>
      <c r="W834" t="s">
        <v>6720</v>
      </c>
    </row>
    <row r="835" spans="1:23" ht="15.6" x14ac:dyDescent="0.4">
      <c r="A835" s="2" t="s">
        <v>135</v>
      </c>
      <c r="B835" s="5" t="s">
        <v>7459</v>
      </c>
      <c r="C835" s="7" t="s">
        <v>12556</v>
      </c>
      <c r="D835" s="8">
        <f t="shared" ref="D835:D898" si="56">(LEN(B835)-LEN(SUBSTITUTE(B835,C835,"")))</f>
        <v>0</v>
      </c>
      <c r="E835" s="7" t="s">
        <v>12557</v>
      </c>
      <c r="F835" s="7">
        <f t="shared" ref="F835:F898" si="57">(LEN(A835)-LEN(SUBSTITUTE(A835,E835,"")))</f>
        <v>2</v>
      </c>
      <c r="G835" s="7" t="s">
        <v>12558</v>
      </c>
      <c r="H835" s="7">
        <f t="shared" ref="H835:H898" si="58">(LEN(A835)-LEN(SUBSTITUTE(A835,G835,"")))/2</f>
        <v>0</v>
      </c>
      <c r="I835" s="7" cm="1">
        <f t="array" ref="I835">IFERROR(_xlfn.IFS(M835="נח",1,M835="נע ונח",1,M835="שני שווא נח",2,M835="שני שוואים בסוף מילה",2,M835="שני שוואים ברצף",1),"0")</f>
        <v>1</v>
      </c>
      <c r="J835" s="9">
        <f t="shared" ref="J835:J898" si="59">LEN(A835)-(LEN(B835))-D835-F835+H835-I835</f>
        <v>3</v>
      </c>
      <c r="K835" t="s">
        <v>6697</v>
      </c>
      <c r="L835" t="s">
        <v>6694</v>
      </c>
      <c r="M835" t="s">
        <v>6701</v>
      </c>
      <c r="S835" t="s">
        <v>6694</v>
      </c>
      <c r="W835" t="s">
        <v>6720</v>
      </c>
    </row>
    <row r="836" spans="1:23" ht="15.6" x14ac:dyDescent="0.4">
      <c r="A836" s="2" t="s">
        <v>6105</v>
      </c>
      <c r="B836" s="5" t="s">
        <v>7460</v>
      </c>
      <c r="C836" s="7" t="s">
        <v>12556</v>
      </c>
      <c r="D836" s="8">
        <f t="shared" si="56"/>
        <v>0</v>
      </c>
      <c r="E836" s="7" t="s">
        <v>12557</v>
      </c>
      <c r="F836" s="7">
        <f t="shared" si="57"/>
        <v>2</v>
      </c>
      <c r="G836" s="7" t="s">
        <v>12558</v>
      </c>
      <c r="H836" s="7">
        <f t="shared" si="58"/>
        <v>0</v>
      </c>
      <c r="I836" s="7" cm="1">
        <f t="array" ref="I836">IFERROR(_xlfn.IFS(M836="נח",1,M836="נע ונח",1,M836="שני שווא נח",2,M836="שני שוואים בסוף מילה",2,M836="שני שוואים ברצף",1),"0")</f>
        <v>1</v>
      </c>
      <c r="J836" s="9">
        <f t="shared" si="59"/>
        <v>4</v>
      </c>
      <c r="K836" t="s">
        <v>6698</v>
      </c>
      <c r="L836" t="s">
        <v>6694</v>
      </c>
      <c r="M836" t="s">
        <v>6701</v>
      </c>
      <c r="Q836" t="s">
        <v>6694</v>
      </c>
      <c r="S836" t="s">
        <v>6694</v>
      </c>
      <c r="W836" t="s">
        <v>6720</v>
      </c>
    </row>
    <row r="837" spans="1:23" ht="15.6" x14ac:dyDescent="0.4">
      <c r="A837" s="2" t="s">
        <v>3776</v>
      </c>
      <c r="B837" s="5" t="s">
        <v>7461</v>
      </c>
      <c r="C837" s="7" t="s">
        <v>12556</v>
      </c>
      <c r="D837" s="8">
        <f t="shared" si="56"/>
        <v>0</v>
      </c>
      <c r="E837" s="7" t="s">
        <v>12557</v>
      </c>
      <c r="F837" s="7">
        <f t="shared" si="57"/>
        <v>3</v>
      </c>
      <c r="G837" s="7" t="s">
        <v>12558</v>
      </c>
      <c r="H837" s="7">
        <f t="shared" si="58"/>
        <v>0</v>
      </c>
      <c r="I837" s="7" cm="1">
        <f t="array" ref="I837">IFERROR(_xlfn.IFS(M837="נח",1,M837="נע ונח",1,M837="שני שווא נח",2,M837="שני שוואים בסוף מילה",2,M837="שני שוואים ברצף",1),"0")</f>
        <v>1</v>
      </c>
      <c r="J837" s="9">
        <f t="shared" si="59"/>
        <v>3</v>
      </c>
      <c r="K837" t="s">
        <v>6697</v>
      </c>
      <c r="L837" t="s">
        <v>6694</v>
      </c>
      <c r="M837" t="s">
        <v>6701</v>
      </c>
      <c r="N837" t="s">
        <v>6706</v>
      </c>
      <c r="O837" t="s">
        <v>6694</v>
      </c>
      <c r="S837" t="s">
        <v>6694</v>
      </c>
      <c r="W837" t="s">
        <v>6720</v>
      </c>
    </row>
    <row r="838" spans="1:23" ht="15.6" x14ac:dyDescent="0.4">
      <c r="A838" s="2" t="s">
        <v>6434</v>
      </c>
      <c r="B838" s="5" t="s">
        <v>7462</v>
      </c>
      <c r="C838" s="7" t="s">
        <v>12556</v>
      </c>
      <c r="D838" s="8">
        <f t="shared" si="56"/>
        <v>0</v>
      </c>
      <c r="E838" s="7" t="s">
        <v>12557</v>
      </c>
      <c r="F838" s="7">
        <f t="shared" si="57"/>
        <v>2</v>
      </c>
      <c r="G838" s="7" t="s">
        <v>12558</v>
      </c>
      <c r="H838" s="7">
        <f t="shared" si="58"/>
        <v>0</v>
      </c>
      <c r="I838" s="7" cm="1">
        <f t="array" ref="I838">IFERROR(_xlfn.IFS(M838="נח",1,M838="נע ונח",1,M838="שני שווא נח",2,M838="שני שוואים בסוף מילה",2,M838="שני שוואים ברצף",1),"0")</f>
        <v>1</v>
      </c>
      <c r="J838" s="9">
        <f t="shared" si="59"/>
        <v>3</v>
      </c>
      <c r="K838" t="s">
        <v>6698</v>
      </c>
      <c r="L838" t="s">
        <v>6694</v>
      </c>
      <c r="M838" t="s">
        <v>6701</v>
      </c>
      <c r="N838" t="s">
        <v>6706</v>
      </c>
      <c r="O838" t="s">
        <v>6694</v>
      </c>
      <c r="S838" t="s">
        <v>6694</v>
      </c>
      <c r="W838" t="s">
        <v>6720</v>
      </c>
    </row>
    <row r="839" spans="1:23" ht="15.6" x14ac:dyDescent="0.4">
      <c r="A839" s="2" t="s">
        <v>4996</v>
      </c>
      <c r="B839" s="5" t="s">
        <v>7463</v>
      </c>
      <c r="C839" s="7" t="s">
        <v>12556</v>
      </c>
      <c r="D839" s="8">
        <f t="shared" si="56"/>
        <v>0</v>
      </c>
      <c r="E839" s="7" t="s">
        <v>12557</v>
      </c>
      <c r="F839" s="7">
        <f t="shared" si="57"/>
        <v>2</v>
      </c>
      <c r="G839" s="7" t="s">
        <v>12558</v>
      </c>
      <c r="H839" s="7">
        <f t="shared" si="58"/>
        <v>0</v>
      </c>
      <c r="I839" s="7" cm="1">
        <f t="array" ref="I839">IFERROR(_xlfn.IFS(M839="נח",1,M839="נע ונח",1,M839="שני שווא נח",2,M839="שני שוואים בסוף מילה",2,M839="שני שוואים ברצף",1),"0")</f>
        <v>1</v>
      </c>
      <c r="J839" s="9">
        <f t="shared" si="59"/>
        <v>3</v>
      </c>
      <c r="K839" t="s">
        <v>6697</v>
      </c>
      <c r="L839" t="s">
        <v>6694</v>
      </c>
      <c r="M839" t="s">
        <v>6701</v>
      </c>
      <c r="S839" t="s">
        <v>6694</v>
      </c>
      <c r="V839" t="s">
        <v>6694</v>
      </c>
      <c r="W839" t="s">
        <v>6720</v>
      </c>
    </row>
    <row r="840" spans="1:23" ht="15.6" x14ac:dyDescent="0.4">
      <c r="A840" s="2" t="s">
        <v>5267</v>
      </c>
      <c r="B840" s="5" t="s">
        <v>7464</v>
      </c>
      <c r="C840" s="7" t="s">
        <v>12556</v>
      </c>
      <c r="D840" s="8">
        <f t="shared" si="56"/>
        <v>0</v>
      </c>
      <c r="E840" s="7" t="s">
        <v>12557</v>
      </c>
      <c r="F840" s="7">
        <f t="shared" si="57"/>
        <v>2</v>
      </c>
      <c r="G840" s="7" t="s">
        <v>12558</v>
      </c>
      <c r="H840" s="7">
        <f t="shared" si="58"/>
        <v>0</v>
      </c>
      <c r="I840" s="7" cm="1">
        <f t="array" ref="I840">IFERROR(_xlfn.IFS(M840="נח",1,M840="נע ונח",1,M840="שני שווא נח",2,M840="שני שוואים בסוף מילה",2,M840="שני שוואים ברצף",1),"0")</f>
        <v>1</v>
      </c>
      <c r="J840" s="9">
        <f t="shared" si="59"/>
        <v>4</v>
      </c>
      <c r="K840" t="s">
        <v>6697</v>
      </c>
      <c r="L840" t="s">
        <v>6694</v>
      </c>
      <c r="M840" t="s">
        <v>6702</v>
      </c>
      <c r="O840" t="s">
        <v>6694</v>
      </c>
      <c r="R840" t="s">
        <v>6694</v>
      </c>
      <c r="W840" t="s">
        <v>6720</v>
      </c>
    </row>
    <row r="841" spans="1:23" ht="15.6" x14ac:dyDescent="0.4">
      <c r="A841" s="2" t="s">
        <v>2787</v>
      </c>
      <c r="B841" s="5" t="s">
        <v>7465</v>
      </c>
      <c r="C841" s="7" t="s">
        <v>12556</v>
      </c>
      <c r="D841" s="8">
        <f t="shared" si="56"/>
        <v>0</v>
      </c>
      <c r="E841" s="7" t="s">
        <v>12557</v>
      </c>
      <c r="F841" s="7">
        <f t="shared" si="57"/>
        <v>1</v>
      </c>
      <c r="G841" s="7" t="s">
        <v>12558</v>
      </c>
      <c r="H841" s="7">
        <f t="shared" si="58"/>
        <v>0</v>
      </c>
      <c r="I841" s="7" t="str" cm="1">
        <f t="array" ref="I841">IFERROR(_xlfn.IFS(M841="נח",1,M841="נע ונח",1,M841="שני שווא נח",2,M841="שני שוואים בסוף מילה",2,M841="שני שוואים ברצף",1),"0")</f>
        <v>0</v>
      </c>
      <c r="J841" s="9">
        <f t="shared" si="59"/>
        <v>3</v>
      </c>
      <c r="K841" t="s">
        <v>6698</v>
      </c>
      <c r="L841" t="s">
        <v>6694</v>
      </c>
      <c r="M841" t="s">
        <v>6700</v>
      </c>
      <c r="R841" t="s">
        <v>6694</v>
      </c>
      <c r="W841" t="s">
        <v>6720</v>
      </c>
    </row>
    <row r="842" spans="1:23" ht="15.6" x14ac:dyDescent="0.4">
      <c r="A842" s="2" t="s">
        <v>1474</v>
      </c>
      <c r="B842" s="5" t="s">
        <v>7466</v>
      </c>
      <c r="C842" s="7" t="s">
        <v>12556</v>
      </c>
      <c r="D842" s="8">
        <f t="shared" si="56"/>
        <v>1</v>
      </c>
      <c r="E842" s="7" t="s">
        <v>12557</v>
      </c>
      <c r="F842" s="7">
        <f t="shared" si="57"/>
        <v>1</v>
      </c>
      <c r="G842" s="7" t="s">
        <v>12558</v>
      </c>
      <c r="H842" s="7">
        <f t="shared" si="58"/>
        <v>0</v>
      </c>
      <c r="I842" s="7" cm="1">
        <f t="array" ref="I842">IFERROR(_xlfn.IFS(M842="נח",1,M842="נע ונח",1,M842="שני שווא נח",2,M842="שני שוואים בסוף מילה",2,M842="שני שוואים ברצף",1),"0")</f>
        <v>1</v>
      </c>
      <c r="J842" s="9">
        <f t="shared" si="59"/>
        <v>3</v>
      </c>
      <c r="K842" t="s">
        <v>6697</v>
      </c>
      <c r="L842" t="s">
        <v>6694</v>
      </c>
      <c r="M842" t="s">
        <v>6701</v>
      </c>
      <c r="N842" t="s">
        <v>6706</v>
      </c>
      <c r="O842" t="s">
        <v>6694</v>
      </c>
      <c r="V842" t="s">
        <v>6694</v>
      </c>
      <c r="W842" t="s">
        <v>6720</v>
      </c>
    </row>
    <row r="843" spans="1:23" ht="15.6" x14ac:dyDescent="0.4">
      <c r="A843" s="2" t="s">
        <v>2087</v>
      </c>
      <c r="B843" s="5" t="s">
        <v>7467</v>
      </c>
      <c r="C843" s="7" t="s">
        <v>12556</v>
      </c>
      <c r="D843" s="8">
        <f t="shared" si="56"/>
        <v>0</v>
      </c>
      <c r="E843" s="7" t="s">
        <v>12557</v>
      </c>
      <c r="F843" s="7">
        <f t="shared" si="57"/>
        <v>1</v>
      </c>
      <c r="G843" s="7" t="s">
        <v>12558</v>
      </c>
      <c r="H843" s="7">
        <f t="shared" si="58"/>
        <v>0</v>
      </c>
      <c r="I843" s="7" t="str" cm="1">
        <f t="array" ref="I843">IFERROR(_xlfn.IFS(M843="נח",1,M843="נע ונח",1,M843="שני שווא נח",2,M843="שני שוואים בסוף מילה",2,M843="שני שוואים ברצף",1),"0")</f>
        <v>0</v>
      </c>
      <c r="J843" s="9">
        <f t="shared" si="59"/>
        <v>3</v>
      </c>
      <c r="K843" t="s">
        <v>6698</v>
      </c>
      <c r="L843" t="s">
        <v>6694</v>
      </c>
      <c r="M843" t="s">
        <v>6700</v>
      </c>
      <c r="N843" t="s">
        <v>6706</v>
      </c>
      <c r="O843" t="s">
        <v>6694</v>
      </c>
      <c r="W843" t="s">
        <v>6720</v>
      </c>
    </row>
    <row r="844" spans="1:23" ht="15.6" x14ac:dyDescent="0.4">
      <c r="A844" s="2" t="s">
        <v>588</v>
      </c>
      <c r="B844" s="5" t="s">
        <v>7179</v>
      </c>
      <c r="C844" s="7" t="s">
        <v>12556</v>
      </c>
      <c r="D844" s="8">
        <f t="shared" si="56"/>
        <v>0</v>
      </c>
      <c r="E844" s="7" t="s">
        <v>12557</v>
      </c>
      <c r="F844" s="7">
        <f t="shared" si="57"/>
        <v>1</v>
      </c>
      <c r="G844" s="7" t="s">
        <v>12558</v>
      </c>
      <c r="H844" s="7">
        <f t="shared" si="58"/>
        <v>0</v>
      </c>
      <c r="I844" s="7" cm="1">
        <f t="array" ref="I844">IFERROR(_xlfn.IFS(M844="נח",1,M844="נע ונח",1,M844="שני שווא נח",2,M844="שני שוואים בסוף מילה",2,M844="שני שוואים ברצף",1),"0")</f>
        <v>1</v>
      </c>
      <c r="J844" s="9">
        <f t="shared" si="59"/>
        <v>3</v>
      </c>
      <c r="K844" t="s">
        <v>6697</v>
      </c>
      <c r="L844" t="s">
        <v>6694</v>
      </c>
      <c r="M844" t="s">
        <v>6701</v>
      </c>
      <c r="N844" t="s">
        <v>6706</v>
      </c>
      <c r="O844" t="s">
        <v>6694</v>
      </c>
      <c r="S844" t="s">
        <v>6694</v>
      </c>
      <c r="W844" t="s">
        <v>6720</v>
      </c>
    </row>
    <row r="845" spans="1:23" ht="15.6" x14ac:dyDescent="0.4">
      <c r="A845" s="2" t="s">
        <v>2981</v>
      </c>
      <c r="B845" s="5" t="s">
        <v>7468</v>
      </c>
      <c r="C845" s="7" t="s">
        <v>12556</v>
      </c>
      <c r="D845" s="8">
        <f t="shared" si="56"/>
        <v>0</v>
      </c>
      <c r="E845" s="7" t="s">
        <v>12557</v>
      </c>
      <c r="F845" s="7">
        <f t="shared" si="57"/>
        <v>1</v>
      </c>
      <c r="G845" s="7" t="s">
        <v>12558</v>
      </c>
      <c r="H845" s="7">
        <f t="shared" si="58"/>
        <v>0</v>
      </c>
      <c r="I845" s="7" t="str" cm="1">
        <f t="array" ref="I845">IFERROR(_xlfn.IFS(M845="נח",1,M845="נע ונח",1,M845="שני שווא נח",2,M845="שני שוואים בסוף מילה",2,M845="שני שוואים ברצף",1),"0")</f>
        <v>0</v>
      </c>
      <c r="J845" s="9">
        <f t="shared" si="59"/>
        <v>3</v>
      </c>
      <c r="K845" t="s">
        <v>6697</v>
      </c>
      <c r="L845" t="s">
        <v>6694</v>
      </c>
      <c r="M845" t="s">
        <v>6700</v>
      </c>
      <c r="V845" t="s">
        <v>6694</v>
      </c>
      <c r="W845" t="s">
        <v>6720</v>
      </c>
    </row>
    <row r="846" spans="1:23" ht="15.6" x14ac:dyDescent="0.4">
      <c r="A846" s="2" t="s">
        <v>2245</v>
      </c>
      <c r="B846" s="5" t="s">
        <v>7179</v>
      </c>
      <c r="C846" s="7" t="s">
        <v>12556</v>
      </c>
      <c r="D846" s="8">
        <f t="shared" si="56"/>
        <v>0</v>
      </c>
      <c r="E846" s="7" t="s">
        <v>12557</v>
      </c>
      <c r="F846" s="7">
        <f t="shared" si="57"/>
        <v>1</v>
      </c>
      <c r="G846" s="7" t="s">
        <v>12558</v>
      </c>
      <c r="H846" s="7">
        <f t="shared" si="58"/>
        <v>0</v>
      </c>
      <c r="I846" s="7" cm="1">
        <f t="array" ref="I846">IFERROR(_xlfn.IFS(M846="נח",1,M846="נע ונח",1,M846="שני שווא נח",2,M846="שני שוואים בסוף מילה",2,M846="שני שוואים ברצף",1),"0")</f>
        <v>1</v>
      </c>
      <c r="J846" s="9">
        <f t="shared" si="59"/>
        <v>3</v>
      </c>
      <c r="K846" t="s">
        <v>6698</v>
      </c>
      <c r="L846" t="s">
        <v>6694</v>
      </c>
      <c r="M846" t="s">
        <v>6701</v>
      </c>
      <c r="Q846" t="s">
        <v>6694</v>
      </c>
      <c r="V846" t="s">
        <v>6694</v>
      </c>
      <c r="W846" t="s">
        <v>6720</v>
      </c>
    </row>
    <row r="847" spans="1:23" ht="15.6" x14ac:dyDescent="0.4">
      <c r="A847" s="2" t="s">
        <v>1114</v>
      </c>
      <c r="B847" s="5" t="s">
        <v>7469</v>
      </c>
      <c r="C847" s="7" t="s">
        <v>12556</v>
      </c>
      <c r="D847" s="8">
        <f t="shared" si="56"/>
        <v>0</v>
      </c>
      <c r="E847" s="7" t="s">
        <v>12557</v>
      </c>
      <c r="F847" s="7">
        <f t="shared" si="57"/>
        <v>1</v>
      </c>
      <c r="G847" s="7" t="s">
        <v>12558</v>
      </c>
      <c r="H847" s="7">
        <f t="shared" si="58"/>
        <v>0</v>
      </c>
      <c r="I847" s="7" t="str" cm="1">
        <f t="array" ref="I847">IFERROR(_xlfn.IFS(M847="נח",1,M847="נע ונח",1,M847="שני שווא נח",2,M847="שני שוואים בסוף מילה",2,M847="שני שוואים ברצף",1),"0")</f>
        <v>0</v>
      </c>
      <c r="J847" s="9">
        <f t="shared" si="59"/>
        <v>2</v>
      </c>
      <c r="K847" t="s">
        <v>6698</v>
      </c>
      <c r="L847" t="s">
        <v>6694</v>
      </c>
      <c r="M847" t="s">
        <v>6700</v>
      </c>
      <c r="V847" t="s">
        <v>6694</v>
      </c>
      <c r="W847" t="s">
        <v>6720</v>
      </c>
    </row>
    <row r="848" spans="1:23" ht="15.6" x14ac:dyDescent="0.4">
      <c r="A848" s="2" t="s">
        <v>3782</v>
      </c>
      <c r="B848" s="5" t="s">
        <v>7470</v>
      </c>
      <c r="C848" s="7" t="s">
        <v>12556</v>
      </c>
      <c r="D848" s="8">
        <f t="shared" si="56"/>
        <v>0</v>
      </c>
      <c r="E848" s="7" t="s">
        <v>12557</v>
      </c>
      <c r="F848" s="7">
        <f t="shared" si="57"/>
        <v>1</v>
      </c>
      <c r="G848" s="7" t="s">
        <v>12558</v>
      </c>
      <c r="H848" s="7">
        <f t="shared" si="58"/>
        <v>0</v>
      </c>
      <c r="I848" s="7" t="str" cm="1">
        <f t="array" ref="I848">IFERROR(_xlfn.IFS(M848="נח",1,M848="נע ונח",1,M848="שני שווא נח",2,M848="שני שוואים בסוף מילה",2,M848="שני שוואים ברצף",1),"0")</f>
        <v>0</v>
      </c>
      <c r="J848" s="9">
        <f t="shared" si="59"/>
        <v>3</v>
      </c>
      <c r="K848" t="s">
        <v>6697</v>
      </c>
      <c r="L848" t="s">
        <v>6694</v>
      </c>
      <c r="M848" t="s">
        <v>6700</v>
      </c>
      <c r="V848" t="s">
        <v>6694</v>
      </c>
      <c r="W848" t="s">
        <v>6720</v>
      </c>
    </row>
    <row r="849" spans="1:23" ht="15.6" x14ac:dyDescent="0.4">
      <c r="A849" s="2" t="s">
        <v>4708</v>
      </c>
      <c r="B849" s="5" t="s">
        <v>7471</v>
      </c>
      <c r="C849" s="7" t="s">
        <v>12556</v>
      </c>
      <c r="D849" s="8">
        <f t="shared" si="56"/>
        <v>0</v>
      </c>
      <c r="E849" s="7" t="s">
        <v>12557</v>
      </c>
      <c r="F849" s="7">
        <f t="shared" si="57"/>
        <v>2</v>
      </c>
      <c r="G849" s="7" t="s">
        <v>12558</v>
      </c>
      <c r="H849" s="7">
        <f t="shared" si="58"/>
        <v>1</v>
      </c>
      <c r="I849" s="7" t="str" cm="1">
        <f t="array" ref="I849">IFERROR(_xlfn.IFS(M849="נח",1,M849="נע ונח",1,M849="שני שווא נח",2,M849="שני שוואים בסוף מילה",2,M849="שני שוואים ברצף",1),"0")</f>
        <v>0</v>
      </c>
      <c r="J849" s="9">
        <f t="shared" si="59"/>
        <v>2</v>
      </c>
      <c r="K849" t="s">
        <v>6698</v>
      </c>
      <c r="L849" t="s">
        <v>6694</v>
      </c>
      <c r="M849" t="s">
        <v>6700</v>
      </c>
      <c r="U849" t="s">
        <v>6694</v>
      </c>
      <c r="W849" t="s">
        <v>6720</v>
      </c>
    </row>
    <row r="850" spans="1:23" ht="15.6" x14ac:dyDescent="0.4">
      <c r="A850" s="2" t="s">
        <v>1919</v>
      </c>
      <c r="B850" s="5" t="s">
        <v>7472</v>
      </c>
      <c r="C850" s="7" t="s">
        <v>12556</v>
      </c>
      <c r="D850" s="8">
        <f t="shared" si="56"/>
        <v>0</v>
      </c>
      <c r="E850" s="7" t="s">
        <v>12557</v>
      </c>
      <c r="F850" s="7">
        <f t="shared" si="57"/>
        <v>2</v>
      </c>
      <c r="G850" s="7" t="s">
        <v>12558</v>
      </c>
      <c r="H850" s="7">
        <f t="shared" si="58"/>
        <v>0</v>
      </c>
      <c r="I850" s="7" cm="1">
        <f t="array" ref="I850">IFERROR(_xlfn.IFS(M850="נח",1,M850="נע ונח",1,M850="שני שווא נח",2,M850="שני שוואים בסוף מילה",2,M850="שני שוואים ברצף",1),"0")</f>
        <v>1</v>
      </c>
      <c r="J850" s="9">
        <f t="shared" si="59"/>
        <v>3</v>
      </c>
      <c r="K850" t="s">
        <v>6697</v>
      </c>
      <c r="L850" t="s">
        <v>6694</v>
      </c>
      <c r="M850" t="s">
        <v>6701</v>
      </c>
      <c r="S850" t="s">
        <v>6694</v>
      </c>
      <c r="W850" t="s">
        <v>6720</v>
      </c>
    </row>
    <row r="851" spans="1:23" ht="15.6" x14ac:dyDescent="0.4">
      <c r="A851" s="2" t="s">
        <v>1374</v>
      </c>
      <c r="B851" s="5" t="s">
        <v>7473</v>
      </c>
      <c r="C851" s="7" t="s">
        <v>12556</v>
      </c>
      <c r="D851" s="8">
        <f t="shared" si="56"/>
        <v>0</v>
      </c>
      <c r="E851" s="7" t="s">
        <v>12557</v>
      </c>
      <c r="F851" s="7">
        <f t="shared" si="57"/>
        <v>1</v>
      </c>
      <c r="G851" s="7" t="s">
        <v>12558</v>
      </c>
      <c r="H851" s="7">
        <f t="shared" si="58"/>
        <v>0</v>
      </c>
      <c r="I851" s="7" t="str" cm="1">
        <f t="array" ref="I851">IFERROR(_xlfn.IFS(M851="נח",1,M851="נע ונח",1,M851="שני שווא נח",2,M851="שני שוואים בסוף מילה",2,M851="שני שוואים ברצף",1),"0")</f>
        <v>0</v>
      </c>
      <c r="J851" s="9">
        <f t="shared" si="59"/>
        <v>3</v>
      </c>
      <c r="K851" t="s">
        <v>6697</v>
      </c>
      <c r="L851" t="s">
        <v>6694</v>
      </c>
      <c r="M851" t="s">
        <v>6700</v>
      </c>
      <c r="Q851" t="s">
        <v>6694</v>
      </c>
      <c r="S851" t="s">
        <v>6694</v>
      </c>
      <c r="W851" t="s">
        <v>6720</v>
      </c>
    </row>
    <row r="852" spans="1:23" ht="15.6" x14ac:dyDescent="0.4">
      <c r="A852" s="2" t="s">
        <v>1631</v>
      </c>
      <c r="B852" s="5" t="s">
        <v>7180</v>
      </c>
      <c r="C852" s="7" t="s">
        <v>12556</v>
      </c>
      <c r="D852" s="8">
        <f t="shared" si="56"/>
        <v>0</v>
      </c>
      <c r="E852" s="7" t="s">
        <v>12557</v>
      </c>
      <c r="F852" s="7">
        <f t="shared" si="57"/>
        <v>1</v>
      </c>
      <c r="G852" s="7" t="s">
        <v>12558</v>
      </c>
      <c r="H852" s="7">
        <f t="shared" si="58"/>
        <v>0</v>
      </c>
      <c r="I852" s="7" t="str" cm="1">
        <f t="array" ref="I852">IFERROR(_xlfn.IFS(M852="נח",1,M852="נע ונח",1,M852="שני שווא נח",2,M852="שני שוואים בסוף מילה",2,M852="שני שוואים ברצף",1),"0")</f>
        <v>0</v>
      </c>
      <c r="J852" s="9">
        <f t="shared" si="59"/>
        <v>2</v>
      </c>
      <c r="K852" t="s">
        <v>6698</v>
      </c>
      <c r="L852" t="s">
        <v>6694</v>
      </c>
      <c r="M852" t="s">
        <v>6700</v>
      </c>
      <c r="S852" t="s">
        <v>6694</v>
      </c>
      <c r="W852" t="s">
        <v>6720</v>
      </c>
    </row>
    <row r="853" spans="1:23" ht="15.6" x14ac:dyDescent="0.4">
      <c r="A853" s="2" t="s">
        <v>1174</v>
      </c>
      <c r="B853" s="5" t="s">
        <v>7182</v>
      </c>
      <c r="C853" s="7" t="s">
        <v>12556</v>
      </c>
      <c r="D853" s="8">
        <f t="shared" si="56"/>
        <v>0</v>
      </c>
      <c r="E853" s="7" t="s">
        <v>12557</v>
      </c>
      <c r="F853" s="7">
        <f t="shared" si="57"/>
        <v>1</v>
      </c>
      <c r="G853" s="7" t="s">
        <v>12558</v>
      </c>
      <c r="H853" s="7">
        <f t="shared" si="58"/>
        <v>0</v>
      </c>
      <c r="I853" s="7" t="str" cm="1">
        <f t="array" ref="I853">IFERROR(_xlfn.IFS(M853="נח",1,M853="נע ונח",1,M853="שני שווא נח",2,M853="שני שוואים בסוף מילה",2,M853="שני שוואים ברצף",1),"0")</f>
        <v>0</v>
      </c>
      <c r="J853" s="9">
        <f t="shared" si="59"/>
        <v>3</v>
      </c>
      <c r="K853" t="s">
        <v>6697</v>
      </c>
      <c r="L853" t="s">
        <v>6694</v>
      </c>
      <c r="M853" t="s">
        <v>6700</v>
      </c>
      <c r="S853" t="s">
        <v>6694</v>
      </c>
      <c r="V853" t="s">
        <v>6694</v>
      </c>
      <c r="W853" t="s">
        <v>6720</v>
      </c>
    </row>
    <row r="854" spans="1:23" ht="15.6" x14ac:dyDescent="0.4">
      <c r="A854" s="2" t="s">
        <v>6136</v>
      </c>
      <c r="B854" s="5" t="s">
        <v>7474</v>
      </c>
      <c r="C854" s="7" t="s">
        <v>12556</v>
      </c>
      <c r="D854" s="8">
        <f t="shared" si="56"/>
        <v>0</v>
      </c>
      <c r="E854" s="7" t="s">
        <v>12557</v>
      </c>
      <c r="F854" s="7">
        <f t="shared" si="57"/>
        <v>2</v>
      </c>
      <c r="G854" s="7" t="s">
        <v>12558</v>
      </c>
      <c r="H854" s="7">
        <f t="shared" si="58"/>
        <v>0</v>
      </c>
      <c r="I854" s="7" t="str" cm="1">
        <f t="array" ref="I854">IFERROR(_xlfn.IFS(M854="נח",1,M854="נע ונח",1,M854="שני שווא נח",2,M854="שני שוואים בסוף מילה",2,M854="שני שוואים ברצף",1),"0")</f>
        <v>0</v>
      </c>
      <c r="J854" s="9">
        <f t="shared" si="59"/>
        <v>3</v>
      </c>
      <c r="K854" t="s">
        <v>6697</v>
      </c>
      <c r="L854" t="s">
        <v>6694</v>
      </c>
      <c r="M854" t="s">
        <v>6700</v>
      </c>
      <c r="O854" t="s">
        <v>6694</v>
      </c>
      <c r="S854" t="s">
        <v>6694</v>
      </c>
      <c r="W854" t="s">
        <v>6720</v>
      </c>
    </row>
    <row r="855" spans="1:23" ht="15.6" x14ac:dyDescent="0.4">
      <c r="A855" s="2" t="s">
        <v>3588</v>
      </c>
      <c r="B855" s="5" t="s">
        <v>7475</v>
      </c>
      <c r="C855" s="7" t="s">
        <v>12556</v>
      </c>
      <c r="D855" s="8">
        <f t="shared" si="56"/>
        <v>0</v>
      </c>
      <c r="E855" s="7" t="s">
        <v>12557</v>
      </c>
      <c r="F855" s="7">
        <f t="shared" si="57"/>
        <v>1</v>
      </c>
      <c r="G855" s="7" t="s">
        <v>12558</v>
      </c>
      <c r="H855" s="7">
        <f t="shared" si="58"/>
        <v>0</v>
      </c>
      <c r="I855" s="7" t="str" cm="1">
        <f t="array" ref="I855">IFERROR(_xlfn.IFS(M855="נח",1,M855="נע ונח",1,M855="שני שווא נח",2,M855="שני שוואים בסוף מילה",2,M855="שני שוואים ברצף",1),"0")</f>
        <v>0</v>
      </c>
      <c r="J855" s="9">
        <f t="shared" si="59"/>
        <v>3</v>
      </c>
      <c r="K855" t="s">
        <v>6698</v>
      </c>
      <c r="L855" t="s">
        <v>6694</v>
      </c>
      <c r="M855" t="s">
        <v>6700</v>
      </c>
      <c r="P855" t="s">
        <v>6694</v>
      </c>
      <c r="R855" t="s">
        <v>6694</v>
      </c>
      <c r="W855" t="s">
        <v>6720</v>
      </c>
    </row>
    <row r="856" spans="1:23" ht="15.6" x14ac:dyDescent="0.4">
      <c r="A856" s="2" t="s">
        <v>2421</v>
      </c>
      <c r="B856" s="5" t="s">
        <v>7476</v>
      </c>
      <c r="C856" s="7" t="s">
        <v>12556</v>
      </c>
      <c r="D856" s="8">
        <f t="shared" si="56"/>
        <v>1</v>
      </c>
      <c r="E856" s="7" t="s">
        <v>12557</v>
      </c>
      <c r="F856" s="7">
        <f t="shared" si="57"/>
        <v>1</v>
      </c>
      <c r="G856" s="7" t="s">
        <v>12558</v>
      </c>
      <c r="H856" s="7">
        <f t="shared" si="58"/>
        <v>0</v>
      </c>
      <c r="I856" s="7" t="str" cm="1">
        <f t="array" ref="I856">IFERROR(_xlfn.IFS(M856="נח",1,M856="נע ונח",1,M856="שני שווא נח",2,M856="שני שוואים בסוף מילה",2,M856="שני שוואים ברצף",1),"0")</f>
        <v>0</v>
      </c>
      <c r="J856" s="9">
        <f t="shared" si="59"/>
        <v>3</v>
      </c>
      <c r="K856" t="s">
        <v>6698</v>
      </c>
      <c r="L856" t="s">
        <v>6694</v>
      </c>
      <c r="M856" t="s">
        <v>6700</v>
      </c>
      <c r="R856" t="s">
        <v>6694</v>
      </c>
      <c r="W856" t="s">
        <v>6720</v>
      </c>
    </row>
    <row r="857" spans="1:23" ht="15.6" x14ac:dyDescent="0.4">
      <c r="A857" s="2" t="s">
        <v>5578</v>
      </c>
      <c r="B857" s="5" t="s">
        <v>7477</v>
      </c>
      <c r="C857" s="7" t="s">
        <v>12556</v>
      </c>
      <c r="D857" s="8">
        <f t="shared" si="56"/>
        <v>1</v>
      </c>
      <c r="E857" s="7" t="s">
        <v>12557</v>
      </c>
      <c r="F857" s="7">
        <f t="shared" si="57"/>
        <v>1</v>
      </c>
      <c r="G857" s="7" t="s">
        <v>12558</v>
      </c>
      <c r="H857" s="7">
        <f t="shared" si="58"/>
        <v>0</v>
      </c>
      <c r="I857" s="7" t="str" cm="1">
        <f t="array" ref="I857">IFERROR(_xlfn.IFS(M857="נח",1,M857="נע ונח",1,M857="שני שווא נח",2,M857="שני שוואים בסוף מילה",2,M857="שני שוואים ברצף",1),"0")</f>
        <v>0</v>
      </c>
      <c r="J857" s="9">
        <f t="shared" si="59"/>
        <v>3</v>
      </c>
      <c r="K857" t="s">
        <v>6697</v>
      </c>
      <c r="L857" t="s">
        <v>6694</v>
      </c>
      <c r="M857" t="s">
        <v>6700</v>
      </c>
      <c r="P857" t="s">
        <v>6694</v>
      </c>
      <c r="R857" t="s">
        <v>6694</v>
      </c>
      <c r="W857" t="s">
        <v>6720</v>
      </c>
    </row>
    <row r="858" spans="1:23" ht="15.6" x14ac:dyDescent="0.4">
      <c r="A858" s="2" t="s">
        <v>3909</v>
      </c>
      <c r="B858" s="5" t="s">
        <v>7478</v>
      </c>
      <c r="C858" s="7" t="s">
        <v>12556</v>
      </c>
      <c r="D858" s="8">
        <f t="shared" si="56"/>
        <v>0</v>
      </c>
      <c r="E858" s="7" t="s">
        <v>12557</v>
      </c>
      <c r="F858" s="7">
        <f t="shared" si="57"/>
        <v>1</v>
      </c>
      <c r="G858" s="7" t="s">
        <v>12558</v>
      </c>
      <c r="H858" s="7">
        <f t="shared" si="58"/>
        <v>0</v>
      </c>
      <c r="I858" s="7" t="str" cm="1">
        <f t="array" ref="I858">IFERROR(_xlfn.IFS(M858="נח",1,M858="נע ונח",1,M858="שני שווא נח",2,M858="שני שוואים בסוף מילה",2,M858="שני שוואים ברצף",1),"0")</f>
        <v>0</v>
      </c>
      <c r="J858" s="9">
        <f t="shared" si="59"/>
        <v>2</v>
      </c>
      <c r="K858" t="s">
        <v>6697</v>
      </c>
      <c r="L858" t="s">
        <v>6694</v>
      </c>
      <c r="M858" t="s">
        <v>6700</v>
      </c>
      <c r="O858" t="s">
        <v>6694</v>
      </c>
      <c r="W858" t="s">
        <v>6720</v>
      </c>
    </row>
    <row r="859" spans="1:23" ht="15.6" x14ac:dyDescent="0.4">
      <c r="A859" s="2" t="s">
        <v>446</v>
      </c>
      <c r="B859" s="5" t="s">
        <v>7479</v>
      </c>
      <c r="C859" s="7" t="s">
        <v>12556</v>
      </c>
      <c r="D859" s="8">
        <f t="shared" si="56"/>
        <v>0</v>
      </c>
      <c r="E859" s="7" t="s">
        <v>12557</v>
      </c>
      <c r="F859" s="7">
        <f t="shared" si="57"/>
        <v>1</v>
      </c>
      <c r="G859" s="7" t="s">
        <v>12558</v>
      </c>
      <c r="H859" s="7">
        <f t="shared" si="58"/>
        <v>0</v>
      </c>
      <c r="I859" s="7" t="str" cm="1">
        <f t="array" ref="I859">IFERROR(_xlfn.IFS(M859="נח",1,M859="נע ונח",1,M859="שני שווא נח",2,M859="שני שוואים בסוף מילה",2,M859="שני שוואים ברצף",1),"0")</f>
        <v>0</v>
      </c>
      <c r="J859" s="9">
        <f t="shared" si="59"/>
        <v>2</v>
      </c>
      <c r="K859" t="s">
        <v>6698</v>
      </c>
      <c r="L859" t="s">
        <v>6694</v>
      </c>
      <c r="M859" t="s">
        <v>6700</v>
      </c>
      <c r="N859" t="s">
        <v>6706</v>
      </c>
      <c r="O859" t="s">
        <v>6694</v>
      </c>
      <c r="W859" t="s">
        <v>6720</v>
      </c>
    </row>
    <row r="860" spans="1:23" ht="15.6" x14ac:dyDescent="0.4">
      <c r="A860" s="2" t="s">
        <v>6433</v>
      </c>
      <c r="B860" s="5" t="s">
        <v>7480</v>
      </c>
      <c r="C860" s="7" t="s">
        <v>12556</v>
      </c>
      <c r="D860" s="8">
        <f t="shared" si="56"/>
        <v>1</v>
      </c>
      <c r="E860" s="7" t="s">
        <v>12557</v>
      </c>
      <c r="F860" s="7">
        <f t="shared" si="57"/>
        <v>1</v>
      </c>
      <c r="G860" s="7" t="s">
        <v>12558</v>
      </c>
      <c r="H860" s="7">
        <f t="shared" si="58"/>
        <v>0</v>
      </c>
      <c r="I860" s="7" t="str" cm="1">
        <f t="array" ref="I860">IFERROR(_xlfn.IFS(M860="נח",1,M860="נע ונח",1,M860="שני שווא נח",2,M860="שני שוואים בסוף מילה",2,M860="שני שוואים ברצף",1),"0")</f>
        <v>0</v>
      </c>
      <c r="J860" s="9">
        <f t="shared" si="59"/>
        <v>3</v>
      </c>
      <c r="K860" t="s">
        <v>6698</v>
      </c>
      <c r="L860" t="s">
        <v>6694</v>
      </c>
      <c r="M860" t="s">
        <v>6700</v>
      </c>
      <c r="O860" t="s">
        <v>6694</v>
      </c>
      <c r="R860" t="s">
        <v>6694</v>
      </c>
      <c r="W860" t="s">
        <v>6720</v>
      </c>
    </row>
    <row r="861" spans="1:23" ht="15.6" x14ac:dyDescent="0.4">
      <c r="A861" s="2" t="s">
        <v>5127</v>
      </c>
      <c r="B861" s="5" t="s">
        <v>7481</v>
      </c>
      <c r="C861" s="7" t="s">
        <v>12556</v>
      </c>
      <c r="D861" s="8">
        <f t="shared" si="56"/>
        <v>0</v>
      </c>
      <c r="E861" s="7" t="s">
        <v>12557</v>
      </c>
      <c r="F861" s="7">
        <f t="shared" si="57"/>
        <v>1</v>
      </c>
      <c r="G861" s="7" t="s">
        <v>12558</v>
      </c>
      <c r="H861" s="7">
        <f t="shared" si="58"/>
        <v>0</v>
      </c>
      <c r="I861" s="7" t="str" cm="1">
        <f t="array" ref="I861">IFERROR(_xlfn.IFS(M861="נח",1,M861="נע ונח",1,M861="שני שווא נח",2,M861="שני שוואים בסוף מילה",2,M861="שני שוואים ברצף",1),"0")</f>
        <v>0</v>
      </c>
      <c r="J861" s="9">
        <f t="shared" si="59"/>
        <v>3</v>
      </c>
      <c r="K861" t="s">
        <v>6698</v>
      </c>
      <c r="L861" t="s">
        <v>6694</v>
      </c>
      <c r="M861" t="s">
        <v>6700</v>
      </c>
      <c r="O861" t="s">
        <v>6694</v>
      </c>
      <c r="V861" t="s">
        <v>6694</v>
      </c>
      <c r="W861" t="s">
        <v>6720</v>
      </c>
    </row>
    <row r="862" spans="1:23" ht="15.6" x14ac:dyDescent="0.4">
      <c r="A862" s="2" t="s">
        <v>4904</v>
      </c>
      <c r="B862" s="5" t="s">
        <v>7188</v>
      </c>
      <c r="C862" s="7" t="s">
        <v>12556</v>
      </c>
      <c r="D862" s="8">
        <f t="shared" si="56"/>
        <v>0</v>
      </c>
      <c r="E862" s="7" t="s">
        <v>12557</v>
      </c>
      <c r="F862" s="7">
        <f t="shared" si="57"/>
        <v>1</v>
      </c>
      <c r="G862" s="7" t="s">
        <v>12558</v>
      </c>
      <c r="H862" s="7">
        <f t="shared" si="58"/>
        <v>0</v>
      </c>
      <c r="I862" s="7" t="str" cm="1">
        <f t="array" ref="I862">IFERROR(_xlfn.IFS(M862="נח",1,M862="נע ונח",1,M862="שני שווא נח",2,M862="שני שוואים בסוף מילה",2,M862="שני שוואים ברצף",1),"0")</f>
        <v>0</v>
      </c>
      <c r="J862" s="9">
        <f t="shared" si="59"/>
        <v>3</v>
      </c>
      <c r="K862" t="s">
        <v>6698</v>
      </c>
      <c r="L862" t="s">
        <v>6694</v>
      </c>
      <c r="M862" t="s">
        <v>6700</v>
      </c>
      <c r="O862" t="s">
        <v>6694</v>
      </c>
      <c r="V862" t="s">
        <v>6694</v>
      </c>
      <c r="W862" t="s">
        <v>6720</v>
      </c>
    </row>
    <row r="863" spans="1:23" ht="15.6" x14ac:dyDescent="0.4">
      <c r="A863" s="2" t="s">
        <v>1582</v>
      </c>
      <c r="B863" s="5" t="s">
        <v>7190</v>
      </c>
      <c r="C863" s="7" t="s">
        <v>12556</v>
      </c>
      <c r="D863" s="8">
        <f t="shared" si="56"/>
        <v>0</v>
      </c>
      <c r="E863" s="7" t="s">
        <v>12557</v>
      </c>
      <c r="F863" s="7">
        <f t="shared" si="57"/>
        <v>1</v>
      </c>
      <c r="G863" s="7" t="s">
        <v>12558</v>
      </c>
      <c r="H863" s="7">
        <f t="shared" si="58"/>
        <v>0</v>
      </c>
      <c r="I863" s="7" t="str" cm="1">
        <f t="array" ref="I863">IFERROR(_xlfn.IFS(M863="נח",1,M863="נע ונח",1,M863="שני שווא נח",2,M863="שני שוואים בסוף מילה",2,M863="שני שוואים ברצף",1),"0")</f>
        <v>0</v>
      </c>
      <c r="J863" s="9">
        <f t="shared" si="59"/>
        <v>3</v>
      </c>
      <c r="K863" t="s">
        <v>6697</v>
      </c>
      <c r="L863" t="s">
        <v>6694</v>
      </c>
      <c r="M863" t="s">
        <v>6700</v>
      </c>
      <c r="O863" t="s">
        <v>6694</v>
      </c>
      <c r="W863" t="s">
        <v>6720</v>
      </c>
    </row>
    <row r="864" spans="1:23" ht="15.6" x14ac:dyDescent="0.4">
      <c r="A864" s="2" t="s">
        <v>6642</v>
      </c>
      <c r="B864" s="5" t="s">
        <v>7482</v>
      </c>
      <c r="C864" s="7" t="s">
        <v>12556</v>
      </c>
      <c r="D864" s="8">
        <f t="shared" si="56"/>
        <v>0</v>
      </c>
      <c r="E864" s="7" t="s">
        <v>12557</v>
      </c>
      <c r="F864" s="7">
        <f t="shared" si="57"/>
        <v>1</v>
      </c>
      <c r="G864" s="7" t="s">
        <v>12558</v>
      </c>
      <c r="H864" s="7">
        <f t="shared" si="58"/>
        <v>0</v>
      </c>
      <c r="I864" s="7" t="str" cm="1">
        <f t="array" ref="I864">IFERROR(_xlfn.IFS(M864="נח",1,M864="נע ונח",1,M864="שני שווא נח",2,M864="שני שוואים בסוף מילה",2,M864="שני שוואים ברצף",1),"0")</f>
        <v>0</v>
      </c>
      <c r="J864" s="9">
        <f t="shared" si="59"/>
        <v>5</v>
      </c>
      <c r="K864" t="s">
        <v>6698</v>
      </c>
      <c r="L864" t="s">
        <v>6694</v>
      </c>
      <c r="M864" t="s">
        <v>6700</v>
      </c>
      <c r="O864" t="s">
        <v>6694</v>
      </c>
      <c r="Q864" t="s">
        <v>6694</v>
      </c>
      <c r="R864" t="s">
        <v>6694</v>
      </c>
      <c r="V864" t="s">
        <v>6694</v>
      </c>
      <c r="W864" t="s">
        <v>6720</v>
      </c>
    </row>
    <row r="865" spans="1:23" ht="15.6" x14ac:dyDescent="0.4">
      <c r="A865" s="2" t="s">
        <v>1252</v>
      </c>
      <c r="B865" s="5" t="s">
        <v>7191</v>
      </c>
      <c r="C865" s="7" t="s">
        <v>12556</v>
      </c>
      <c r="D865" s="8">
        <f t="shared" si="56"/>
        <v>0</v>
      </c>
      <c r="E865" s="7" t="s">
        <v>12557</v>
      </c>
      <c r="F865" s="7">
        <f t="shared" si="57"/>
        <v>1</v>
      </c>
      <c r="G865" s="7" t="s">
        <v>12558</v>
      </c>
      <c r="H865" s="7">
        <f t="shared" si="58"/>
        <v>0</v>
      </c>
      <c r="I865" s="7" t="str" cm="1">
        <f t="array" ref="I865">IFERROR(_xlfn.IFS(M865="נח",1,M865="נע ונח",1,M865="שני שווא נח",2,M865="שני שוואים בסוף מילה",2,M865="שני שוואים ברצף",1),"0")</f>
        <v>0</v>
      </c>
      <c r="J865" s="9">
        <f t="shared" si="59"/>
        <v>3</v>
      </c>
      <c r="K865" t="s">
        <v>6698</v>
      </c>
      <c r="L865" t="s">
        <v>6694</v>
      </c>
      <c r="M865" t="s">
        <v>6700</v>
      </c>
      <c r="O865" t="s">
        <v>6694</v>
      </c>
      <c r="S865" t="s">
        <v>6694</v>
      </c>
      <c r="W865" t="s">
        <v>6720</v>
      </c>
    </row>
    <row r="866" spans="1:23" ht="15.6" x14ac:dyDescent="0.4">
      <c r="A866" s="2" t="s">
        <v>3121</v>
      </c>
      <c r="B866" s="5" t="s">
        <v>7483</v>
      </c>
      <c r="C866" s="7" t="s">
        <v>12556</v>
      </c>
      <c r="D866" s="8">
        <f t="shared" si="56"/>
        <v>1</v>
      </c>
      <c r="E866" s="7" t="s">
        <v>12557</v>
      </c>
      <c r="F866" s="7">
        <f t="shared" si="57"/>
        <v>1</v>
      </c>
      <c r="G866" s="7" t="s">
        <v>12558</v>
      </c>
      <c r="H866" s="7">
        <f t="shared" si="58"/>
        <v>0</v>
      </c>
      <c r="I866" s="7" t="str" cm="1">
        <f t="array" ref="I866">IFERROR(_xlfn.IFS(M866="נח",1,M866="נע ונח",1,M866="שני שווא נח",2,M866="שני שוואים בסוף מילה",2,M866="שני שוואים ברצף",1),"0")</f>
        <v>0</v>
      </c>
      <c r="J866" s="9">
        <f t="shared" si="59"/>
        <v>2</v>
      </c>
      <c r="K866" t="s">
        <v>6698</v>
      </c>
      <c r="L866" t="s">
        <v>6694</v>
      </c>
      <c r="M866" t="s">
        <v>6700</v>
      </c>
      <c r="V866" t="s">
        <v>6694</v>
      </c>
      <c r="W866" t="s">
        <v>6720</v>
      </c>
    </row>
    <row r="867" spans="1:23" ht="15.6" x14ac:dyDescent="0.4">
      <c r="A867" s="2" t="s">
        <v>133</v>
      </c>
      <c r="B867" s="5" t="s">
        <v>7479</v>
      </c>
      <c r="C867" s="7" t="s">
        <v>12556</v>
      </c>
      <c r="D867" s="8">
        <f t="shared" si="56"/>
        <v>0</v>
      </c>
      <c r="E867" s="7" t="s">
        <v>12557</v>
      </c>
      <c r="F867" s="7">
        <f t="shared" si="57"/>
        <v>1</v>
      </c>
      <c r="G867" s="7" t="s">
        <v>12558</v>
      </c>
      <c r="H867" s="7">
        <f t="shared" si="58"/>
        <v>0</v>
      </c>
      <c r="I867" s="7" t="str" cm="1">
        <f t="array" ref="I867">IFERROR(_xlfn.IFS(M867="נח",1,M867="נע ונח",1,M867="שני שווא נח",2,M867="שני שוואים בסוף מילה",2,M867="שני שוואים ברצף",1),"0")</f>
        <v>0</v>
      </c>
      <c r="J867" s="9">
        <f t="shared" si="59"/>
        <v>2</v>
      </c>
      <c r="K867" t="s">
        <v>6698</v>
      </c>
      <c r="L867" t="s">
        <v>6694</v>
      </c>
      <c r="M867" t="s">
        <v>6700</v>
      </c>
      <c r="V867" t="s">
        <v>6694</v>
      </c>
      <c r="W867" t="s">
        <v>6720</v>
      </c>
    </row>
    <row r="868" spans="1:23" ht="15.6" x14ac:dyDescent="0.4">
      <c r="A868" s="2" t="s">
        <v>2927</v>
      </c>
      <c r="B868" s="5" t="s">
        <v>7484</v>
      </c>
      <c r="C868" s="7" t="s">
        <v>12556</v>
      </c>
      <c r="D868" s="8">
        <f t="shared" si="56"/>
        <v>0</v>
      </c>
      <c r="E868" s="7" t="s">
        <v>12557</v>
      </c>
      <c r="F868" s="7">
        <f t="shared" si="57"/>
        <v>1</v>
      </c>
      <c r="G868" s="7" t="s">
        <v>12558</v>
      </c>
      <c r="H868" s="7">
        <f t="shared" si="58"/>
        <v>0</v>
      </c>
      <c r="I868" s="7" t="str" cm="1">
        <f t="array" ref="I868">IFERROR(_xlfn.IFS(M868="נח",1,M868="נע ונח",1,M868="שני שווא נח",2,M868="שני שוואים בסוף מילה",2,M868="שני שוואים ברצף",1),"0")</f>
        <v>0</v>
      </c>
      <c r="J868" s="9">
        <f t="shared" si="59"/>
        <v>2</v>
      </c>
      <c r="K868" t="s">
        <v>6698</v>
      </c>
      <c r="L868" t="s">
        <v>6694</v>
      </c>
      <c r="M868" t="s">
        <v>6700</v>
      </c>
      <c r="V868" t="s">
        <v>6694</v>
      </c>
      <c r="W868" t="s">
        <v>6720</v>
      </c>
    </row>
    <row r="869" spans="1:23" ht="15.6" x14ac:dyDescent="0.4">
      <c r="A869" s="2" t="s">
        <v>702</v>
      </c>
      <c r="B869" s="5" t="s">
        <v>7485</v>
      </c>
      <c r="C869" s="7" t="s">
        <v>12556</v>
      </c>
      <c r="D869" s="8">
        <f t="shared" si="56"/>
        <v>1</v>
      </c>
      <c r="E869" s="7" t="s">
        <v>12557</v>
      </c>
      <c r="F869" s="7">
        <f t="shared" si="57"/>
        <v>1</v>
      </c>
      <c r="G869" s="7" t="s">
        <v>12558</v>
      </c>
      <c r="H869" s="7">
        <f t="shared" si="58"/>
        <v>0</v>
      </c>
      <c r="I869" s="7" t="str" cm="1">
        <f t="array" ref="I869">IFERROR(_xlfn.IFS(M869="נח",1,M869="נע ונח",1,M869="שני שווא נח",2,M869="שני שוואים בסוף מילה",2,M869="שני שוואים ברצף",1),"0")</f>
        <v>0</v>
      </c>
      <c r="J869" s="9">
        <f t="shared" si="59"/>
        <v>3</v>
      </c>
      <c r="K869" t="s">
        <v>6698</v>
      </c>
      <c r="L869" t="s">
        <v>6694</v>
      </c>
      <c r="M869" t="s">
        <v>6700</v>
      </c>
      <c r="S869" t="s">
        <v>6694</v>
      </c>
      <c r="V869" t="s">
        <v>6694</v>
      </c>
      <c r="W869" t="s">
        <v>6720</v>
      </c>
    </row>
    <row r="870" spans="1:23" ht="15.6" x14ac:dyDescent="0.4">
      <c r="A870" s="2" t="s">
        <v>2687</v>
      </c>
      <c r="B870" s="5" t="s">
        <v>7486</v>
      </c>
      <c r="C870" s="7" t="s">
        <v>12556</v>
      </c>
      <c r="D870" s="8">
        <f t="shared" si="56"/>
        <v>0</v>
      </c>
      <c r="E870" s="7" t="s">
        <v>12557</v>
      </c>
      <c r="F870" s="7">
        <f t="shared" si="57"/>
        <v>2</v>
      </c>
      <c r="G870" s="7" t="s">
        <v>12558</v>
      </c>
      <c r="H870" s="7">
        <f t="shared" si="58"/>
        <v>1</v>
      </c>
      <c r="I870" s="7" t="str" cm="1">
        <f t="array" ref="I870">IFERROR(_xlfn.IFS(M870="נח",1,M870="נע ונח",1,M870="שני שווא נח",2,M870="שני שוואים בסוף מילה",2,M870="שני שוואים ברצף",1),"0")</f>
        <v>0</v>
      </c>
      <c r="J870" s="9">
        <f t="shared" si="59"/>
        <v>3</v>
      </c>
      <c r="K870" t="s">
        <v>6697</v>
      </c>
      <c r="L870" t="s">
        <v>6694</v>
      </c>
      <c r="M870" t="s">
        <v>6700</v>
      </c>
      <c r="U870" t="s">
        <v>6694</v>
      </c>
      <c r="V870" t="s">
        <v>6694</v>
      </c>
      <c r="W870" t="s">
        <v>6720</v>
      </c>
    </row>
    <row r="871" spans="1:23" ht="15.6" x14ac:dyDescent="0.4">
      <c r="A871" s="2" t="s">
        <v>5193</v>
      </c>
      <c r="B871" s="5" t="s">
        <v>7487</v>
      </c>
      <c r="C871" s="7" t="s">
        <v>12556</v>
      </c>
      <c r="D871" s="8">
        <f t="shared" si="56"/>
        <v>0</v>
      </c>
      <c r="E871" s="7" t="s">
        <v>12557</v>
      </c>
      <c r="F871" s="7">
        <f t="shared" si="57"/>
        <v>2</v>
      </c>
      <c r="G871" s="7" t="s">
        <v>12558</v>
      </c>
      <c r="H871" s="7">
        <f t="shared" si="58"/>
        <v>1</v>
      </c>
      <c r="I871" s="7" t="str" cm="1">
        <f t="array" ref="I871">IFERROR(_xlfn.IFS(M871="נח",1,M871="נע ונח",1,M871="שני שווא נח",2,M871="שני שוואים בסוף מילה",2,M871="שני שוואים ברצף",1),"0")</f>
        <v>0</v>
      </c>
      <c r="J871" s="9">
        <f t="shared" si="59"/>
        <v>3</v>
      </c>
      <c r="K871" t="s">
        <v>6698</v>
      </c>
      <c r="L871" t="s">
        <v>6694</v>
      </c>
      <c r="M871" t="s">
        <v>6700</v>
      </c>
      <c r="S871" t="s">
        <v>6694</v>
      </c>
      <c r="U871" t="s">
        <v>6694</v>
      </c>
      <c r="W871" t="s">
        <v>6720</v>
      </c>
    </row>
    <row r="872" spans="1:23" ht="15.6" x14ac:dyDescent="0.4">
      <c r="A872" s="2" t="s">
        <v>3614</v>
      </c>
      <c r="B872" s="5" t="s">
        <v>7488</v>
      </c>
      <c r="C872" s="7" t="s">
        <v>12556</v>
      </c>
      <c r="D872" s="8">
        <f t="shared" si="56"/>
        <v>1</v>
      </c>
      <c r="E872" s="7" t="s">
        <v>12557</v>
      </c>
      <c r="F872" s="7">
        <f t="shared" si="57"/>
        <v>1</v>
      </c>
      <c r="G872" s="7" t="s">
        <v>12558</v>
      </c>
      <c r="H872" s="7">
        <f t="shared" si="58"/>
        <v>0</v>
      </c>
      <c r="I872" s="7" cm="1">
        <f t="array" ref="I872">IFERROR(_xlfn.IFS(M872="נח",1,M872="נע ונח",1,M872="שני שווא נח",2,M872="שני שוואים בסוף מילה",2,M872="שני שוואים ברצף",1),"0")</f>
        <v>1</v>
      </c>
      <c r="J872" s="9">
        <f t="shared" si="59"/>
        <v>3</v>
      </c>
      <c r="K872" t="s">
        <v>6697</v>
      </c>
      <c r="L872" t="s">
        <v>6694</v>
      </c>
      <c r="M872" t="s">
        <v>6701</v>
      </c>
      <c r="O872" t="s">
        <v>6694</v>
      </c>
      <c r="S872" t="s">
        <v>6694</v>
      </c>
      <c r="W872" t="s">
        <v>6720</v>
      </c>
    </row>
    <row r="873" spans="1:23" ht="15.6" x14ac:dyDescent="0.4">
      <c r="A873" s="2" t="s">
        <v>2281</v>
      </c>
      <c r="B873" s="5" t="s">
        <v>7489</v>
      </c>
      <c r="C873" s="7" t="s">
        <v>12556</v>
      </c>
      <c r="D873" s="8">
        <f t="shared" si="56"/>
        <v>1</v>
      </c>
      <c r="E873" s="7" t="s">
        <v>12557</v>
      </c>
      <c r="F873" s="7">
        <f t="shared" si="57"/>
        <v>1</v>
      </c>
      <c r="G873" s="7" t="s">
        <v>12558</v>
      </c>
      <c r="H873" s="7">
        <f t="shared" si="58"/>
        <v>0</v>
      </c>
      <c r="I873" s="7" t="str" cm="1">
        <f t="array" ref="I873">IFERROR(_xlfn.IFS(M873="נח",1,M873="נע ונח",1,M873="שני שווא נח",2,M873="שני שוואים בסוף מילה",2,M873="שני שוואים ברצף",1),"0")</f>
        <v>0</v>
      </c>
      <c r="J873" s="9">
        <f t="shared" si="59"/>
        <v>3</v>
      </c>
      <c r="K873" t="s">
        <v>6698</v>
      </c>
      <c r="L873" t="s">
        <v>6694</v>
      </c>
      <c r="M873" t="s">
        <v>6700</v>
      </c>
      <c r="Q873" t="s">
        <v>6694</v>
      </c>
      <c r="R873" t="s">
        <v>6694</v>
      </c>
      <c r="W873" t="s">
        <v>6720</v>
      </c>
    </row>
    <row r="874" spans="1:23" ht="15.6" x14ac:dyDescent="0.4">
      <c r="A874" s="2" t="s">
        <v>1611</v>
      </c>
      <c r="B874" s="5" t="s">
        <v>7490</v>
      </c>
      <c r="C874" s="7" t="s">
        <v>12556</v>
      </c>
      <c r="D874" s="8">
        <f t="shared" si="56"/>
        <v>1</v>
      </c>
      <c r="E874" s="7" t="s">
        <v>12557</v>
      </c>
      <c r="F874" s="7">
        <f t="shared" si="57"/>
        <v>1</v>
      </c>
      <c r="G874" s="7" t="s">
        <v>12558</v>
      </c>
      <c r="H874" s="7">
        <f t="shared" si="58"/>
        <v>0</v>
      </c>
      <c r="I874" s="7" t="str" cm="1">
        <f t="array" ref="I874">IFERROR(_xlfn.IFS(M874="נח",1,M874="נע ונח",1,M874="שני שווא נח",2,M874="שני שוואים בסוף מילה",2,M874="שני שוואים ברצף",1),"0")</f>
        <v>0</v>
      </c>
      <c r="J874" s="9">
        <f t="shared" si="59"/>
        <v>2</v>
      </c>
      <c r="K874" t="s">
        <v>6698</v>
      </c>
      <c r="L874" t="s">
        <v>6694</v>
      </c>
      <c r="M874" t="s">
        <v>6700</v>
      </c>
      <c r="Q874" t="s">
        <v>6694</v>
      </c>
      <c r="W874" t="s">
        <v>6720</v>
      </c>
    </row>
    <row r="875" spans="1:23" ht="15.6" x14ac:dyDescent="0.4">
      <c r="A875" s="2" t="s">
        <v>5531</v>
      </c>
      <c r="B875" s="5" t="s">
        <v>7247</v>
      </c>
      <c r="C875" s="7" t="s">
        <v>12556</v>
      </c>
      <c r="D875" s="8">
        <f t="shared" si="56"/>
        <v>1</v>
      </c>
      <c r="E875" s="7" t="s">
        <v>12557</v>
      </c>
      <c r="F875" s="7">
        <f t="shared" si="57"/>
        <v>1</v>
      </c>
      <c r="G875" s="7" t="s">
        <v>12558</v>
      </c>
      <c r="H875" s="7">
        <f t="shared" si="58"/>
        <v>0</v>
      </c>
      <c r="I875" s="7" t="str" cm="1">
        <f t="array" ref="I875">IFERROR(_xlfn.IFS(M875="נח",1,M875="נע ונח",1,M875="שני שווא נח",2,M875="שני שוואים בסוף מילה",2,M875="שני שוואים ברצף",1),"0")</f>
        <v>0</v>
      </c>
      <c r="J875" s="9">
        <f t="shared" si="59"/>
        <v>3</v>
      </c>
      <c r="K875" t="s">
        <v>6698</v>
      </c>
      <c r="L875" t="s">
        <v>6694</v>
      </c>
      <c r="M875" t="s">
        <v>6700</v>
      </c>
      <c r="R875" t="s">
        <v>6694</v>
      </c>
      <c r="W875" t="s">
        <v>6720</v>
      </c>
    </row>
    <row r="876" spans="1:23" ht="15.6" x14ac:dyDescent="0.4">
      <c r="A876" s="2" t="s">
        <v>2691</v>
      </c>
      <c r="B876" s="5" t="s">
        <v>7491</v>
      </c>
      <c r="C876" s="7" t="s">
        <v>12556</v>
      </c>
      <c r="D876" s="8">
        <f t="shared" si="56"/>
        <v>1</v>
      </c>
      <c r="E876" s="7" t="s">
        <v>12557</v>
      </c>
      <c r="F876" s="7">
        <f t="shared" si="57"/>
        <v>1</v>
      </c>
      <c r="G876" s="7" t="s">
        <v>12558</v>
      </c>
      <c r="H876" s="7">
        <f t="shared" si="58"/>
        <v>0</v>
      </c>
      <c r="I876" s="7" t="str" cm="1">
        <f t="array" ref="I876">IFERROR(_xlfn.IFS(M876="נח",1,M876="נע ונח",1,M876="שני שווא נח",2,M876="שני שוואים בסוף מילה",2,M876="שני שוואים ברצף",1),"0")</f>
        <v>0</v>
      </c>
      <c r="J876" s="9">
        <f t="shared" si="59"/>
        <v>5</v>
      </c>
      <c r="K876" t="s">
        <v>6697</v>
      </c>
      <c r="L876" t="s">
        <v>6694</v>
      </c>
      <c r="M876" t="s">
        <v>6700</v>
      </c>
      <c r="O876" t="s">
        <v>6694</v>
      </c>
      <c r="P876" t="s">
        <v>6694</v>
      </c>
      <c r="S876" t="s">
        <v>6694</v>
      </c>
      <c r="W876" t="s">
        <v>6720</v>
      </c>
    </row>
    <row r="877" spans="1:23" ht="15.6" x14ac:dyDescent="0.4">
      <c r="A877" s="2" t="s">
        <v>2664</v>
      </c>
      <c r="B877" s="5" t="s">
        <v>7492</v>
      </c>
      <c r="C877" s="7" t="s">
        <v>12556</v>
      </c>
      <c r="D877" s="8">
        <f t="shared" si="56"/>
        <v>1</v>
      </c>
      <c r="E877" s="7" t="s">
        <v>12557</v>
      </c>
      <c r="F877" s="7">
        <f t="shared" si="57"/>
        <v>2</v>
      </c>
      <c r="G877" s="7" t="s">
        <v>12558</v>
      </c>
      <c r="H877" s="7">
        <f t="shared" si="58"/>
        <v>1</v>
      </c>
      <c r="I877" s="7" cm="1">
        <f t="array" ref="I877">IFERROR(_xlfn.IFS(M877="נח",1,M877="נע ונח",1,M877="שני שווא נח",2,M877="שני שוואים בסוף מילה",2,M877="שני שוואים ברצף",1),"0")</f>
        <v>1</v>
      </c>
      <c r="J877" s="9">
        <f t="shared" si="59"/>
        <v>4</v>
      </c>
      <c r="K877" t="s">
        <v>6697</v>
      </c>
      <c r="L877" t="s">
        <v>6694</v>
      </c>
      <c r="M877" t="s">
        <v>6701</v>
      </c>
      <c r="P877" t="s">
        <v>6694</v>
      </c>
      <c r="S877" t="s">
        <v>6694</v>
      </c>
      <c r="U877" t="s">
        <v>6694</v>
      </c>
      <c r="W877" t="s">
        <v>6720</v>
      </c>
    </row>
    <row r="878" spans="1:23" ht="15.6" x14ac:dyDescent="0.4">
      <c r="A878" s="2" t="s">
        <v>1903</v>
      </c>
      <c r="B878" s="5" t="s">
        <v>7493</v>
      </c>
      <c r="C878" s="7" t="s">
        <v>12556</v>
      </c>
      <c r="D878" s="8">
        <f t="shared" si="56"/>
        <v>1</v>
      </c>
      <c r="E878" s="7" t="s">
        <v>12557</v>
      </c>
      <c r="F878" s="7">
        <f t="shared" si="57"/>
        <v>1</v>
      </c>
      <c r="G878" s="7" t="s">
        <v>12558</v>
      </c>
      <c r="H878" s="7">
        <f t="shared" si="58"/>
        <v>0</v>
      </c>
      <c r="I878" s="7" t="str" cm="1">
        <f t="array" ref="I878">IFERROR(_xlfn.IFS(M878="נח",1,M878="נע ונח",1,M878="שני שווא נח",2,M878="שני שוואים בסוף מילה",2,M878="שני שוואים ברצף",1),"0")</f>
        <v>0</v>
      </c>
      <c r="J878" s="9">
        <f t="shared" si="59"/>
        <v>3</v>
      </c>
      <c r="K878" t="s">
        <v>6698</v>
      </c>
      <c r="L878" t="s">
        <v>6694</v>
      </c>
      <c r="M878" t="s">
        <v>6700</v>
      </c>
      <c r="P878" t="s">
        <v>6694</v>
      </c>
      <c r="W878" t="s">
        <v>6720</v>
      </c>
    </row>
    <row r="879" spans="1:23" ht="15.6" x14ac:dyDescent="0.4">
      <c r="A879" s="2" t="s">
        <v>2734</v>
      </c>
      <c r="B879" s="5" t="s">
        <v>7494</v>
      </c>
      <c r="C879" s="7" t="s">
        <v>12556</v>
      </c>
      <c r="D879" s="8">
        <f t="shared" si="56"/>
        <v>1</v>
      </c>
      <c r="E879" s="7" t="s">
        <v>12557</v>
      </c>
      <c r="F879" s="7">
        <f t="shared" si="57"/>
        <v>2</v>
      </c>
      <c r="G879" s="7" t="s">
        <v>12558</v>
      </c>
      <c r="H879" s="7">
        <f t="shared" si="58"/>
        <v>0</v>
      </c>
      <c r="I879" s="7" t="str" cm="1">
        <f t="array" ref="I879">IFERROR(_xlfn.IFS(M879="נח",1,M879="נע ונח",1,M879="שני שווא נח",2,M879="שני שוואים בסוף מילה",2,M879="שני שוואים ברצף",1),"0")</f>
        <v>0</v>
      </c>
      <c r="J879" s="9">
        <f t="shared" si="59"/>
        <v>4</v>
      </c>
      <c r="K879" t="s">
        <v>6697</v>
      </c>
      <c r="L879" t="s">
        <v>6694</v>
      </c>
      <c r="M879" t="s">
        <v>6700</v>
      </c>
      <c r="P879" t="s">
        <v>6694</v>
      </c>
      <c r="V879" t="s">
        <v>6694</v>
      </c>
      <c r="W879" t="s">
        <v>6720</v>
      </c>
    </row>
    <row r="880" spans="1:23" ht="15.6" x14ac:dyDescent="0.4">
      <c r="A880" s="2" t="s">
        <v>2416</v>
      </c>
      <c r="B880" s="5" t="s">
        <v>7495</v>
      </c>
      <c r="C880" s="7" t="s">
        <v>12556</v>
      </c>
      <c r="D880" s="8">
        <f t="shared" si="56"/>
        <v>1</v>
      </c>
      <c r="E880" s="7" t="s">
        <v>12557</v>
      </c>
      <c r="F880" s="7">
        <f t="shared" si="57"/>
        <v>1</v>
      </c>
      <c r="G880" s="7" t="s">
        <v>12558</v>
      </c>
      <c r="H880" s="7">
        <f t="shared" si="58"/>
        <v>0</v>
      </c>
      <c r="I880" s="7" t="str" cm="1">
        <f t="array" ref="I880">IFERROR(_xlfn.IFS(M880="נח",1,M880="נע ונח",1,M880="שני שווא נח",2,M880="שני שוואים בסוף מילה",2,M880="שני שוואים ברצף",1),"0")</f>
        <v>0</v>
      </c>
      <c r="J880" s="9">
        <f t="shared" si="59"/>
        <v>4</v>
      </c>
      <c r="K880" t="s">
        <v>6698</v>
      </c>
      <c r="L880" t="s">
        <v>6694</v>
      </c>
      <c r="M880" t="s">
        <v>6700</v>
      </c>
      <c r="P880" t="s">
        <v>6694</v>
      </c>
      <c r="Q880" t="s">
        <v>6694</v>
      </c>
      <c r="W880" t="s">
        <v>6720</v>
      </c>
    </row>
    <row r="881" spans="1:23" ht="15.6" x14ac:dyDescent="0.4">
      <c r="A881" s="2" t="s">
        <v>1496</v>
      </c>
      <c r="B881" s="5" t="s">
        <v>7496</v>
      </c>
      <c r="C881" s="7" t="s">
        <v>12556</v>
      </c>
      <c r="D881" s="8">
        <f t="shared" si="56"/>
        <v>1</v>
      </c>
      <c r="E881" s="7" t="s">
        <v>12557</v>
      </c>
      <c r="F881" s="7">
        <f t="shared" si="57"/>
        <v>1</v>
      </c>
      <c r="G881" s="7" t="s">
        <v>12558</v>
      </c>
      <c r="H881" s="7">
        <f t="shared" si="58"/>
        <v>0</v>
      </c>
      <c r="I881" s="7" cm="1">
        <f t="array" ref="I881">IFERROR(_xlfn.IFS(M881="נח",1,M881="נע ונח",1,M881="שני שווא נח",2,M881="שני שוואים בסוף מילה",2,M881="שני שוואים ברצף",1),"0")</f>
        <v>1</v>
      </c>
      <c r="J881" s="9">
        <f t="shared" si="59"/>
        <v>3</v>
      </c>
      <c r="K881" t="s">
        <v>6698</v>
      </c>
      <c r="L881" t="s">
        <v>6694</v>
      </c>
      <c r="M881" t="s">
        <v>6701</v>
      </c>
      <c r="N881" t="s">
        <v>6706</v>
      </c>
      <c r="O881" t="s">
        <v>6694</v>
      </c>
      <c r="W881" t="s">
        <v>6720</v>
      </c>
    </row>
    <row r="882" spans="1:23" ht="15.6" x14ac:dyDescent="0.4">
      <c r="A882" s="2" t="s">
        <v>978</v>
      </c>
      <c r="B882" s="5" t="s">
        <v>7497</v>
      </c>
      <c r="C882" s="7" t="s">
        <v>12556</v>
      </c>
      <c r="D882" s="8">
        <f t="shared" si="56"/>
        <v>1</v>
      </c>
      <c r="E882" s="7" t="s">
        <v>12557</v>
      </c>
      <c r="F882" s="7">
        <f t="shared" si="57"/>
        <v>1</v>
      </c>
      <c r="G882" s="7" t="s">
        <v>12558</v>
      </c>
      <c r="H882" s="7">
        <f t="shared" si="58"/>
        <v>0</v>
      </c>
      <c r="I882" s="7" t="str" cm="1">
        <f t="array" ref="I882">IFERROR(_xlfn.IFS(M882="נח",1,M882="נע ונח",1,M882="שני שווא נח",2,M882="שני שוואים בסוף מילה",2,M882="שני שוואים ברצף",1),"0")</f>
        <v>0</v>
      </c>
      <c r="J882" s="9">
        <f t="shared" si="59"/>
        <v>3</v>
      </c>
      <c r="K882" t="s">
        <v>6697</v>
      </c>
      <c r="L882" t="s">
        <v>6694</v>
      </c>
      <c r="M882" t="s">
        <v>6700</v>
      </c>
      <c r="O882" t="s">
        <v>6694</v>
      </c>
      <c r="V882" t="s">
        <v>6694</v>
      </c>
      <c r="W882" t="s">
        <v>6720</v>
      </c>
    </row>
    <row r="883" spans="1:23" ht="15.6" x14ac:dyDescent="0.4">
      <c r="A883" s="2" t="s">
        <v>3196</v>
      </c>
      <c r="B883" s="5" t="s">
        <v>7498</v>
      </c>
      <c r="C883" s="7" t="s">
        <v>12556</v>
      </c>
      <c r="D883" s="8">
        <f t="shared" si="56"/>
        <v>1</v>
      </c>
      <c r="E883" s="7" t="s">
        <v>12557</v>
      </c>
      <c r="F883" s="7">
        <f t="shared" si="57"/>
        <v>2</v>
      </c>
      <c r="G883" s="7" t="s">
        <v>12558</v>
      </c>
      <c r="H883" s="7">
        <f t="shared" si="58"/>
        <v>1</v>
      </c>
      <c r="I883" s="7" t="str" cm="1">
        <f t="array" ref="I883">IFERROR(_xlfn.IFS(M883="נח",1,M883="נע ונח",1,M883="שני שווא נח",2,M883="שני שוואים בסוף מילה",2,M883="שני שוואים ברצף",1),"0")</f>
        <v>0</v>
      </c>
      <c r="J883" s="9">
        <f t="shared" si="59"/>
        <v>2</v>
      </c>
      <c r="K883" t="s">
        <v>6698</v>
      </c>
      <c r="L883" t="s">
        <v>6694</v>
      </c>
      <c r="M883" t="s">
        <v>6700</v>
      </c>
      <c r="U883" t="s">
        <v>6694</v>
      </c>
      <c r="W883" t="s">
        <v>6720</v>
      </c>
    </row>
    <row r="884" spans="1:23" ht="15.6" x14ac:dyDescent="0.4">
      <c r="A884" s="2" t="s">
        <v>5533</v>
      </c>
      <c r="B884" s="5" t="s">
        <v>7499</v>
      </c>
      <c r="C884" s="7" t="s">
        <v>12556</v>
      </c>
      <c r="D884" s="8">
        <f t="shared" si="56"/>
        <v>1</v>
      </c>
      <c r="E884" s="7" t="s">
        <v>12557</v>
      </c>
      <c r="F884" s="7">
        <f t="shared" si="57"/>
        <v>2</v>
      </c>
      <c r="G884" s="7" t="s">
        <v>12558</v>
      </c>
      <c r="H884" s="7">
        <f t="shared" si="58"/>
        <v>1</v>
      </c>
      <c r="I884" s="7" t="str" cm="1">
        <f t="array" ref="I884">IFERROR(_xlfn.IFS(M884="נח",1,M884="נע ונח",1,M884="שני שווא נח",2,M884="שני שוואים בסוף מילה",2,M884="שני שוואים ברצף",1),"0")</f>
        <v>0</v>
      </c>
      <c r="J884" s="9">
        <f t="shared" si="59"/>
        <v>3</v>
      </c>
      <c r="K884" t="s">
        <v>6698</v>
      </c>
      <c r="L884" t="s">
        <v>6694</v>
      </c>
      <c r="M884" t="s">
        <v>6700</v>
      </c>
      <c r="N884" t="s">
        <v>6706</v>
      </c>
      <c r="O884" t="s">
        <v>6694</v>
      </c>
      <c r="U884" t="s">
        <v>6694</v>
      </c>
      <c r="W884" t="s">
        <v>6720</v>
      </c>
    </row>
    <row r="885" spans="1:23" ht="15.6" x14ac:dyDescent="0.4">
      <c r="A885" s="2" t="s">
        <v>3686</v>
      </c>
      <c r="B885" s="5" t="s">
        <v>7500</v>
      </c>
      <c r="C885" s="7" t="s">
        <v>12556</v>
      </c>
      <c r="D885" s="8">
        <f t="shared" si="56"/>
        <v>1</v>
      </c>
      <c r="E885" s="7" t="s">
        <v>12557</v>
      </c>
      <c r="F885" s="7">
        <f t="shared" si="57"/>
        <v>1</v>
      </c>
      <c r="G885" s="7" t="s">
        <v>12558</v>
      </c>
      <c r="H885" s="7">
        <f t="shared" si="58"/>
        <v>0</v>
      </c>
      <c r="I885" s="7" cm="1">
        <f t="array" ref="I885">IFERROR(_xlfn.IFS(M885="נח",1,M885="נע ונח",1,M885="שני שווא נח",2,M885="שני שוואים בסוף מילה",2,M885="שני שוואים ברצף",1),"0")</f>
        <v>1</v>
      </c>
      <c r="J885" s="9">
        <f t="shared" si="59"/>
        <v>5</v>
      </c>
      <c r="K885" t="s">
        <v>6697</v>
      </c>
      <c r="L885" t="s">
        <v>6694</v>
      </c>
      <c r="M885" t="s">
        <v>6702</v>
      </c>
      <c r="O885" t="s">
        <v>6694</v>
      </c>
      <c r="R885" t="s">
        <v>6694</v>
      </c>
      <c r="V885" t="s">
        <v>6694</v>
      </c>
      <c r="W885" t="s">
        <v>6720</v>
      </c>
    </row>
    <row r="886" spans="1:23" ht="15.6" x14ac:dyDescent="0.4">
      <c r="A886" s="2" t="s">
        <v>3994</v>
      </c>
      <c r="B886" s="5" t="s">
        <v>7200</v>
      </c>
      <c r="C886" s="7" t="s">
        <v>12556</v>
      </c>
      <c r="D886" s="8">
        <f t="shared" si="56"/>
        <v>1</v>
      </c>
      <c r="E886" s="7" t="s">
        <v>12557</v>
      </c>
      <c r="F886" s="7">
        <f t="shared" si="57"/>
        <v>1</v>
      </c>
      <c r="G886" s="7" t="s">
        <v>12558</v>
      </c>
      <c r="H886" s="7">
        <f t="shared" si="58"/>
        <v>0</v>
      </c>
      <c r="I886" s="7" t="str" cm="1">
        <f t="array" ref="I886">IFERROR(_xlfn.IFS(M886="נח",1,M886="נע ונח",1,M886="שני שווא נח",2,M886="שני שוואים בסוף מילה",2,M886="שני שוואים ברצף",1),"0")</f>
        <v>0</v>
      </c>
      <c r="J886" s="9">
        <f t="shared" si="59"/>
        <v>3</v>
      </c>
      <c r="K886" t="s">
        <v>6697</v>
      </c>
      <c r="L886" t="s">
        <v>6694</v>
      </c>
      <c r="M886" t="s">
        <v>6700</v>
      </c>
      <c r="S886" t="s">
        <v>6694</v>
      </c>
      <c r="W886" t="s">
        <v>6720</v>
      </c>
    </row>
    <row r="887" spans="1:23" ht="15.6" x14ac:dyDescent="0.4">
      <c r="A887" s="2" t="s">
        <v>1028</v>
      </c>
      <c r="B887" s="5" t="s">
        <v>7501</v>
      </c>
      <c r="C887" s="7" t="s">
        <v>12556</v>
      </c>
      <c r="D887" s="8">
        <f t="shared" si="56"/>
        <v>1</v>
      </c>
      <c r="E887" s="7" t="s">
        <v>12557</v>
      </c>
      <c r="F887" s="7">
        <f t="shared" si="57"/>
        <v>1</v>
      </c>
      <c r="G887" s="7" t="s">
        <v>12558</v>
      </c>
      <c r="H887" s="7">
        <f t="shared" si="58"/>
        <v>0</v>
      </c>
      <c r="I887" s="7" cm="1">
        <f t="array" ref="I887">IFERROR(_xlfn.IFS(M887="נח",1,M887="נע ונח",1,M887="שני שווא נח",2,M887="שני שוואים בסוף מילה",2,M887="שני שוואים ברצף",1),"0")</f>
        <v>1</v>
      </c>
      <c r="J887" s="9">
        <f t="shared" si="59"/>
        <v>3</v>
      </c>
      <c r="K887" t="s">
        <v>6698</v>
      </c>
      <c r="L887" t="s">
        <v>6694</v>
      </c>
      <c r="M887" t="s">
        <v>6701</v>
      </c>
      <c r="P887" t="s">
        <v>6694</v>
      </c>
      <c r="S887" t="s">
        <v>6694</v>
      </c>
      <c r="W887" t="s">
        <v>6720</v>
      </c>
    </row>
    <row r="888" spans="1:23" ht="15.6" x14ac:dyDescent="0.4">
      <c r="A888" s="2" t="s">
        <v>5564</v>
      </c>
      <c r="B888" s="5" t="s">
        <v>7201</v>
      </c>
      <c r="C888" s="7" t="s">
        <v>12556</v>
      </c>
      <c r="D888" s="8">
        <f t="shared" si="56"/>
        <v>1</v>
      </c>
      <c r="E888" s="7" t="s">
        <v>12557</v>
      </c>
      <c r="F888" s="7">
        <f t="shared" si="57"/>
        <v>1</v>
      </c>
      <c r="G888" s="7" t="s">
        <v>12558</v>
      </c>
      <c r="H888" s="7">
        <f t="shared" si="58"/>
        <v>0</v>
      </c>
      <c r="I888" s="7" cm="1">
        <f t="array" ref="I888">IFERROR(_xlfn.IFS(M888="נח",1,M888="נע ונח",1,M888="שני שווא נח",2,M888="שני שוואים בסוף מילה",2,M888="שני שוואים ברצף",1),"0")</f>
        <v>1</v>
      </c>
      <c r="J888" s="9">
        <f t="shared" si="59"/>
        <v>3</v>
      </c>
      <c r="K888" t="s">
        <v>6697</v>
      </c>
      <c r="L888" t="s">
        <v>6694</v>
      </c>
      <c r="M888" t="s">
        <v>6701</v>
      </c>
      <c r="O888" t="s">
        <v>6694</v>
      </c>
      <c r="S888" t="s">
        <v>6694</v>
      </c>
      <c r="W888" t="s">
        <v>6720</v>
      </c>
    </row>
    <row r="889" spans="1:23" ht="15.6" x14ac:dyDescent="0.4">
      <c r="A889" s="2" t="s">
        <v>4191</v>
      </c>
      <c r="B889" s="5" t="s">
        <v>7502</v>
      </c>
      <c r="C889" s="7" t="s">
        <v>12556</v>
      </c>
      <c r="D889" s="8">
        <f t="shared" si="56"/>
        <v>1</v>
      </c>
      <c r="E889" s="7" t="s">
        <v>12557</v>
      </c>
      <c r="F889" s="7">
        <f t="shared" si="57"/>
        <v>1</v>
      </c>
      <c r="G889" s="7" t="s">
        <v>12558</v>
      </c>
      <c r="H889" s="7">
        <f t="shared" si="58"/>
        <v>0</v>
      </c>
      <c r="I889" s="7" cm="1">
        <f t="array" ref="I889">IFERROR(_xlfn.IFS(M889="נח",1,M889="נע ונח",1,M889="שני שווא נח",2,M889="שני שוואים בסוף מילה",2,M889="שני שוואים ברצף",1),"0")</f>
        <v>1</v>
      </c>
      <c r="J889" s="9">
        <f t="shared" si="59"/>
        <v>5</v>
      </c>
      <c r="K889" t="s">
        <v>6698</v>
      </c>
      <c r="L889" t="s">
        <v>6694</v>
      </c>
      <c r="M889" t="s">
        <v>6701</v>
      </c>
      <c r="Q889" t="s">
        <v>6694</v>
      </c>
      <c r="R889" t="s">
        <v>6694</v>
      </c>
      <c r="S889" t="s">
        <v>6694</v>
      </c>
      <c r="V889" t="s">
        <v>6694</v>
      </c>
      <c r="W889" t="s">
        <v>6720</v>
      </c>
    </row>
    <row r="890" spans="1:23" ht="15.6" x14ac:dyDescent="0.4">
      <c r="A890" s="2" t="s">
        <v>5542</v>
      </c>
      <c r="B890" s="5" t="s">
        <v>7503</v>
      </c>
      <c r="C890" s="7" t="s">
        <v>12556</v>
      </c>
      <c r="D890" s="8">
        <f t="shared" si="56"/>
        <v>1</v>
      </c>
      <c r="E890" s="7" t="s">
        <v>12557</v>
      </c>
      <c r="F890" s="7">
        <f t="shared" si="57"/>
        <v>1</v>
      </c>
      <c r="G890" s="7" t="s">
        <v>12558</v>
      </c>
      <c r="H890" s="7">
        <f t="shared" si="58"/>
        <v>0</v>
      </c>
      <c r="I890" s="7" t="str" cm="1">
        <f t="array" ref="I890">IFERROR(_xlfn.IFS(M890="נח",1,M890="נע ונח",1,M890="שני שווא נח",2,M890="שני שוואים בסוף מילה",2,M890="שני שוואים ברצף",1),"0")</f>
        <v>0</v>
      </c>
      <c r="J890" s="9">
        <f t="shared" si="59"/>
        <v>3</v>
      </c>
      <c r="K890" t="s">
        <v>6697</v>
      </c>
      <c r="L890" t="s">
        <v>6694</v>
      </c>
      <c r="M890" t="s">
        <v>6700</v>
      </c>
      <c r="O890" t="s">
        <v>6694</v>
      </c>
      <c r="Q890" t="s">
        <v>6694</v>
      </c>
      <c r="W890" t="s">
        <v>6720</v>
      </c>
    </row>
    <row r="891" spans="1:23" ht="15.6" x14ac:dyDescent="0.4">
      <c r="A891" s="2" t="s">
        <v>5313</v>
      </c>
      <c r="B891" s="5" t="s">
        <v>7275</v>
      </c>
      <c r="C891" s="7" t="s">
        <v>12556</v>
      </c>
      <c r="D891" s="8">
        <f t="shared" si="56"/>
        <v>1</v>
      </c>
      <c r="E891" s="7" t="s">
        <v>12557</v>
      </c>
      <c r="F891" s="7">
        <f t="shared" si="57"/>
        <v>1</v>
      </c>
      <c r="G891" s="7" t="s">
        <v>12558</v>
      </c>
      <c r="H891" s="7">
        <f t="shared" si="58"/>
        <v>0</v>
      </c>
      <c r="I891" s="7" t="str" cm="1">
        <f t="array" ref="I891">IFERROR(_xlfn.IFS(M891="נח",1,M891="נע ונח",1,M891="שני שווא נח",2,M891="שני שוואים בסוף מילה",2,M891="שני שוואים ברצף",1),"0")</f>
        <v>0</v>
      </c>
      <c r="J891" s="9">
        <f t="shared" si="59"/>
        <v>2</v>
      </c>
      <c r="K891" t="s">
        <v>6698</v>
      </c>
      <c r="L891" t="s">
        <v>6694</v>
      </c>
      <c r="M891" t="s">
        <v>6700</v>
      </c>
      <c r="P891" t="s">
        <v>6694</v>
      </c>
      <c r="W891" t="s">
        <v>6720</v>
      </c>
    </row>
    <row r="892" spans="1:23" ht="15.6" x14ac:dyDescent="0.4">
      <c r="A892" s="2" t="s">
        <v>2611</v>
      </c>
      <c r="B892" s="5" t="s">
        <v>7203</v>
      </c>
      <c r="C892" s="7" t="s">
        <v>12556</v>
      </c>
      <c r="D892" s="8">
        <f t="shared" si="56"/>
        <v>1</v>
      </c>
      <c r="E892" s="7" t="s">
        <v>12557</v>
      </c>
      <c r="F892" s="7">
        <f t="shared" si="57"/>
        <v>1</v>
      </c>
      <c r="G892" s="7" t="s">
        <v>12558</v>
      </c>
      <c r="H892" s="7">
        <f t="shared" si="58"/>
        <v>0</v>
      </c>
      <c r="I892" s="7" t="str" cm="1">
        <f t="array" ref="I892">IFERROR(_xlfn.IFS(M892="נח",1,M892="נע ונח",1,M892="שני שווא נח",2,M892="שני שוואים בסוף מילה",2,M892="שני שוואים ברצף",1),"0")</f>
        <v>0</v>
      </c>
      <c r="J892" s="9">
        <f t="shared" si="59"/>
        <v>3</v>
      </c>
      <c r="K892" t="s">
        <v>6697</v>
      </c>
      <c r="L892" t="s">
        <v>6694</v>
      </c>
      <c r="M892" t="s">
        <v>6700</v>
      </c>
      <c r="O892" t="s">
        <v>6694</v>
      </c>
      <c r="S892" t="s">
        <v>6694</v>
      </c>
      <c r="W892" t="s">
        <v>6720</v>
      </c>
    </row>
    <row r="893" spans="1:23" ht="15.6" x14ac:dyDescent="0.4">
      <c r="A893" s="2" t="s">
        <v>5803</v>
      </c>
      <c r="B893" s="5" t="s">
        <v>7504</v>
      </c>
      <c r="C893" s="7" t="s">
        <v>12556</v>
      </c>
      <c r="D893" s="8">
        <f t="shared" si="56"/>
        <v>1</v>
      </c>
      <c r="E893" s="7" t="s">
        <v>12557</v>
      </c>
      <c r="F893" s="7">
        <f t="shared" si="57"/>
        <v>1</v>
      </c>
      <c r="G893" s="7" t="s">
        <v>12558</v>
      </c>
      <c r="H893" s="7">
        <f t="shared" si="58"/>
        <v>0</v>
      </c>
      <c r="I893" s="7" t="str" cm="1">
        <f t="array" ref="I893">IFERROR(_xlfn.IFS(M893="נח",1,M893="נע ונח",1,M893="שני שווא נח",2,M893="שני שוואים בסוף מילה",2,M893="שני שוואים ברצף",1),"0")</f>
        <v>0</v>
      </c>
      <c r="J893" s="9">
        <f t="shared" si="59"/>
        <v>2</v>
      </c>
      <c r="K893" t="s">
        <v>6697</v>
      </c>
      <c r="L893" t="s">
        <v>6694</v>
      </c>
      <c r="M893" t="s">
        <v>6700</v>
      </c>
      <c r="V893" t="s">
        <v>6694</v>
      </c>
      <c r="W893" t="s">
        <v>6720</v>
      </c>
    </row>
    <row r="894" spans="1:23" ht="15.6" x14ac:dyDescent="0.4">
      <c r="A894" s="2" t="s">
        <v>1478</v>
      </c>
      <c r="B894" s="5" t="s">
        <v>7505</v>
      </c>
      <c r="C894" s="7" t="s">
        <v>12556</v>
      </c>
      <c r="D894" s="8">
        <f t="shared" si="56"/>
        <v>0</v>
      </c>
      <c r="E894" s="7" t="s">
        <v>12557</v>
      </c>
      <c r="F894" s="7">
        <f t="shared" si="57"/>
        <v>1</v>
      </c>
      <c r="G894" s="7" t="s">
        <v>12558</v>
      </c>
      <c r="H894" s="7">
        <f t="shared" si="58"/>
        <v>0</v>
      </c>
      <c r="I894" s="7" t="str" cm="1">
        <f t="array" ref="I894">IFERROR(_xlfn.IFS(M894="נח",1,M894="נע ונח",1,M894="שני שווא נח",2,M894="שני שוואים בסוף מילה",2,M894="שני שוואים ברצף",1),"0")</f>
        <v>0</v>
      </c>
      <c r="J894" s="9">
        <f t="shared" si="59"/>
        <v>3</v>
      </c>
      <c r="K894" t="s">
        <v>6697</v>
      </c>
      <c r="L894" t="s">
        <v>6694</v>
      </c>
      <c r="M894" t="s">
        <v>6700</v>
      </c>
      <c r="P894" t="s">
        <v>6694</v>
      </c>
      <c r="Q894" t="s">
        <v>6694</v>
      </c>
      <c r="W894" t="s">
        <v>6720</v>
      </c>
    </row>
    <row r="895" spans="1:23" ht="15.6" x14ac:dyDescent="0.4">
      <c r="A895" s="2" t="s">
        <v>1091</v>
      </c>
      <c r="B895" s="5" t="s">
        <v>7506</v>
      </c>
      <c r="C895" s="7" t="s">
        <v>12556</v>
      </c>
      <c r="D895" s="8">
        <f t="shared" si="56"/>
        <v>0</v>
      </c>
      <c r="E895" s="7" t="s">
        <v>12557</v>
      </c>
      <c r="F895" s="7">
        <f t="shared" si="57"/>
        <v>1</v>
      </c>
      <c r="G895" s="7" t="s">
        <v>12558</v>
      </c>
      <c r="H895" s="7">
        <f t="shared" si="58"/>
        <v>0</v>
      </c>
      <c r="I895" s="7" cm="1">
        <f t="array" ref="I895">IFERROR(_xlfn.IFS(M895="נח",1,M895="נע ונח",1,M895="שני שווא נח",2,M895="שני שוואים בסוף מילה",2,M895="שני שוואים ברצף",1),"0")</f>
        <v>1</v>
      </c>
      <c r="J895" s="9">
        <f t="shared" si="59"/>
        <v>3</v>
      </c>
      <c r="K895" t="s">
        <v>6698</v>
      </c>
      <c r="L895" t="s">
        <v>6694</v>
      </c>
      <c r="M895" t="s">
        <v>6701</v>
      </c>
      <c r="P895" t="s">
        <v>6694</v>
      </c>
      <c r="S895" t="s">
        <v>6694</v>
      </c>
      <c r="W895" t="s">
        <v>6720</v>
      </c>
    </row>
    <row r="896" spans="1:23" ht="15.6" x14ac:dyDescent="0.4">
      <c r="A896" s="2" t="s">
        <v>5068</v>
      </c>
      <c r="B896" s="5" t="s">
        <v>7507</v>
      </c>
      <c r="C896" s="7" t="s">
        <v>12556</v>
      </c>
      <c r="D896" s="8">
        <f t="shared" si="56"/>
        <v>0</v>
      </c>
      <c r="E896" s="7" t="s">
        <v>12557</v>
      </c>
      <c r="F896" s="7">
        <f t="shared" si="57"/>
        <v>3</v>
      </c>
      <c r="G896" s="7" t="s">
        <v>12558</v>
      </c>
      <c r="H896" s="7">
        <f t="shared" si="58"/>
        <v>0</v>
      </c>
      <c r="I896" s="7" cm="1">
        <f t="array" ref="I896">IFERROR(_xlfn.IFS(M896="נח",1,M896="נע ונח",1,M896="שני שווא נח",2,M896="שני שוואים בסוף מילה",2,M896="שני שוואים ברצף",1),"0")</f>
        <v>1</v>
      </c>
      <c r="J896" s="9">
        <f t="shared" si="59"/>
        <v>4</v>
      </c>
      <c r="K896" t="s">
        <v>6698</v>
      </c>
      <c r="L896" t="s">
        <v>6694</v>
      </c>
      <c r="M896" t="s">
        <v>6701</v>
      </c>
      <c r="P896" t="s">
        <v>6694</v>
      </c>
      <c r="S896" t="s">
        <v>6694</v>
      </c>
      <c r="V896" t="s">
        <v>6694</v>
      </c>
      <c r="W896" t="s">
        <v>6720</v>
      </c>
    </row>
    <row r="897" spans="1:23" ht="15.6" x14ac:dyDescent="0.4">
      <c r="A897" s="2" t="s">
        <v>2786</v>
      </c>
      <c r="B897" s="5" t="s">
        <v>7508</v>
      </c>
      <c r="C897" s="7" t="s">
        <v>12556</v>
      </c>
      <c r="D897" s="8">
        <f t="shared" si="56"/>
        <v>0</v>
      </c>
      <c r="E897" s="7" t="s">
        <v>12557</v>
      </c>
      <c r="F897" s="7">
        <f t="shared" si="57"/>
        <v>1</v>
      </c>
      <c r="G897" s="7" t="s">
        <v>12558</v>
      </c>
      <c r="H897" s="7">
        <f t="shared" si="58"/>
        <v>0</v>
      </c>
      <c r="I897" s="7" t="str" cm="1">
        <f t="array" ref="I897">IFERROR(_xlfn.IFS(M897="נח",1,M897="נע ונח",1,M897="שני שווא נח",2,M897="שני שוואים בסוף מילה",2,M897="שני שוואים ברצף",1),"0")</f>
        <v>0</v>
      </c>
      <c r="J897" s="9">
        <f t="shared" si="59"/>
        <v>2</v>
      </c>
      <c r="K897" t="s">
        <v>6698</v>
      </c>
      <c r="L897" t="s">
        <v>6694</v>
      </c>
      <c r="M897" t="s">
        <v>6700</v>
      </c>
      <c r="N897" t="s">
        <v>6706</v>
      </c>
      <c r="O897" t="s">
        <v>6694</v>
      </c>
      <c r="W897" t="s">
        <v>6720</v>
      </c>
    </row>
    <row r="898" spans="1:23" ht="15.6" x14ac:dyDescent="0.4">
      <c r="A898" s="2" t="s">
        <v>6531</v>
      </c>
      <c r="B898" s="5" t="s">
        <v>7509</v>
      </c>
      <c r="C898" s="7" t="s">
        <v>12556</v>
      </c>
      <c r="D898" s="8">
        <f t="shared" si="56"/>
        <v>0</v>
      </c>
      <c r="E898" s="7" t="s">
        <v>12557</v>
      </c>
      <c r="F898" s="7">
        <f t="shared" si="57"/>
        <v>1</v>
      </c>
      <c r="G898" s="7" t="s">
        <v>12558</v>
      </c>
      <c r="H898" s="7">
        <f t="shared" si="58"/>
        <v>0</v>
      </c>
      <c r="I898" s="7" t="str" cm="1">
        <f t="array" ref="I898">IFERROR(_xlfn.IFS(M898="נח",1,M898="נע ונח",1,M898="שני שווא נח",2,M898="שני שוואים בסוף מילה",2,M898="שני שוואים ברצף",1),"0")</f>
        <v>0</v>
      </c>
      <c r="J898" s="9">
        <f t="shared" si="59"/>
        <v>3</v>
      </c>
      <c r="K898" t="s">
        <v>6698</v>
      </c>
      <c r="L898" t="s">
        <v>6694</v>
      </c>
      <c r="M898" t="s">
        <v>6700</v>
      </c>
      <c r="O898" t="s">
        <v>6694</v>
      </c>
      <c r="S898" t="s">
        <v>6694</v>
      </c>
      <c r="W898" t="s">
        <v>6720</v>
      </c>
    </row>
    <row r="899" spans="1:23" ht="15.6" x14ac:dyDescent="0.4">
      <c r="A899" s="2" t="s">
        <v>1450</v>
      </c>
      <c r="B899" s="5" t="s">
        <v>7205</v>
      </c>
      <c r="C899" s="7" t="s">
        <v>12556</v>
      </c>
      <c r="D899" s="8">
        <f t="shared" ref="D899:D962" si="60">(LEN(B899)-LEN(SUBSTITUTE(B899,C899,"")))</f>
        <v>0</v>
      </c>
      <c r="E899" s="7" t="s">
        <v>12557</v>
      </c>
      <c r="F899" s="7">
        <f t="shared" ref="F899:F962" si="61">(LEN(A899)-LEN(SUBSTITUTE(A899,E899,"")))</f>
        <v>1</v>
      </c>
      <c r="G899" s="7" t="s">
        <v>12558</v>
      </c>
      <c r="H899" s="7">
        <f t="shared" ref="H899:H962" si="62">(LEN(A899)-LEN(SUBSTITUTE(A899,G899,"")))/2</f>
        <v>0</v>
      </c>
      <c r="I899" s="7" t="str" cm="1">
        <f t="array" ref="I899">IFERROR(_xlfn.IFS(M899="נח",1,M899="נע ונח",1,M899="שני שווא נח",2,M899="שני שוואים בסוף מילה",2,M899="שני שוואים ברצף",1),"0")</f>
        <v>0</v>
      </c>
      <c r="J899" s="9">
        <f t="shared" ref="J899:J962" si="63">LEN(A899)-(LEN(B899))-D899-F899+H899-I899</f>
        <v>2</v>
      </c>
      <c r="K899" t="s">
        <v>6698</v>
      </c>
      <c r="L899" t="s">
        <v>6694</v>
      </c>
      <c r="M899" t="s">
        <v>6700</v>
      </c>
      <c r="V899" t="s">
        <v>6694</v>
      </c>
      <c r="W899" t="s">
        <v>6720</v>
      </c>
    </row>
    <row r="900" spans="1:23" ht="15.6" x14ac:dyDescent="0.4">
      <c r="A900" s="2" t="s">
        <v>48</v>
      </c>
      <c r="B900" s="5" t="s">
        <v>7510</v>
      </c>
      <c r="C900" s="7" t="s">
        <v>12556</v>
      </c>
      <c r="D900" s="8">
        <f t="shared" si="60"/>
        <v>0</v>
      </c>
      <c r="E900" s="7" t="s">
        <v>12557</v>
      </c>
      <c r="F900" s="7">
        <f t="shared" si="61"/>
        <v>2</v>
      </c>
      <c r="G900" s="7" t="s">
        <v>12558</v>
      </c>
      <c r="H900" s="7">
        <f t="shared" si="62"/>
        <v>0</v>
      </c>
      <c r="I900" s="7" t="str" cm="1">
        <f t="array" ref="I900">IFERROR(_xlfn.IFS(M900="נח",1,M900="נע ונח",1,M900="שני שווא נח",2,M900="שני שוואים בסוף מילה",2,M900="שני שוואים ברצף",1),"0")</f>
        <v>0</v>
      </c>
      <c r="J900" s="9">
        <f t="shared" si="63"/>
        <v>3</v>
      </c>
      <c r="K900" t="s">
        <v>6697</v>
      </c>
      <c r="L900" t="s">
        <v>6694</v>
      </c>
      <c r="M900" t="s">
        <v>6700</v>
      </c>
      <c r="S900" t="s">
        <v>6694</v>
      </c>
      <c r="T900" t="s">
        <v>6694</v>
      </c>
      <c r="W900" t="s">
        <v>6720</v>
      </c>
    </row>
    <row r="901" spans="1:23" ht="15.6" x14ac:dyDescent="0.4">
      <c r="A901" s="2" t="s">
        <v>1352</v>
      </c>
      <c r="B901" s="5" t="s">
        <v>7511</v>
      </c>
      <c r="C901" s="7" t="s">
        <v>12556</v>
      </c>
      <c r="D901" s="8">
        <f t="shared" si="60"/>
        <v>0</v>
      </c>
      <c r="E901" s="7" t="s">
        <v>12557</v>
      </c>
      <c r="F901" s="7">
        <f t="shared" si="61"/>
        <v>1</v>
      </c>
      <c r="G901" s="7" t="s">
        <v>12558</v>
      </c>
      <c r="H901" s="7">
        <f t="shared" si="62"/>
        <v>0</v>
      </c>
      <c r="I901" s="7" t="str" cm="1">
        <f t="array" ref="I901">IFERROR(_xlfn.IFS(M901="נח",1,M901="נע ונח",1,M901="שני שווא נח",2,M901="שני שוואים בסוף מילה",2,M901="שני שוואים ברצף",1),"0")</f>
        <v>0</v>
      </c>
      <c r="J901" s="9">
        <f t="shared" si="63"/>
        <v>3</v>
      </c>
      <c r="K901" t="s">
        <v>6697</v>
      </c>
      <c r="L901" t="s">
        <v>6694</v>
      </c>
      <c r="M901" t="s">
        <v>6700</v>
      </c>
      <c r="O901" t="s">
        <v>6694</v>
      </c>
      <c r="V901" t="s">
        <v>6694</v>
      </c>
      <c r="W901" t="s">
        <v>6720</v>
      </c>
    </row>
    <row r="902" spans="1:23" ht="15.6" x14ac:dyDescent="0.4">
      <c r="A902" s="2" t="s">
        <v>3518</v>
      </c>
      <c r="B902" s="5" t="s">
        <v>7512</v>
      </c>
      <c r="C902" s="7" t="s">
        <v>12556</v>
      </c>
      <c r="D902" s="8">
        <f t="shared" si="60"/>
        <v>0</v>
      </c>
      <c r="E902" s="7" t="s">
        <v>12557</v>
      </c>
      <c r="F902" s="7">
        <f t="shared" si="61"/>
        <v>1</v>
      </c>
      <c r="G902" s="7" t="s">
        <v>12558</v>
      </c>
      <c r="H902" s="7">
        <f t="shared" si="62"/>
        <v>0</v>
      </c>
      <c r="I902" s="7" cm="1">
        <f t="array" ref="I902">IFERROR(_xlfn.IFS(M902="נח",1,M902="נע ונח",1,M902="שני שווא נח",2,M902="שני שוואים בסוף מילה",2,M902="שני שוואים ברצף",1),"0")</f>
        <v>1</v>
      </c>
      <c r="J902" s="9">
        <f t="shared" si="63"/>
        <v>2</v>
      </c>
      <c r="K902" t="s">
        <v>6698</v>
      </c>
      <c r="L902" t="s">
        <v>6694</v>
      </c>
      <c r="M902" t="s">
        <v>6701</v>
      </c>
      <c r="V902" t="s">
        <v>6694</v>
      </c>
      <c r="W902" t="s">
        <v>6720</v>
      </c>
    </row>
    <row r="903" spans="1:23" ht="15.6" x14ac:dyDescent="0.4">
      <c r="A903" s="2" t="s">
        <v>5608</v>
      </c>
      <c r="B903" s="5" t="s">
        <v>7513</v>
      </c>
      <c r="C903" s="7" t="s">
        <v>12556</v>
      </c>
      <c r="D903" s="8">
        <f t="shared" si="60"/>
        <v>0</v>
      </c>
      <c r="E903" s="7" t="s">
        <v>12557</v>
      </c>
      <c r="F903" s="7">
        <f t="shared" si="61"/>
        <v>1</v>
      </c>
      <c r="G903" s="7" t="s">
        <v>12558</v>
      </c>
      <c r="H903" s="7">
        <f t="shared" si="62"/>
        <v>0</v>
      </c>
      <c r="I903" s="7" t="str" cm="1">
        <f t="array" ref="I903">IFERROR(_xlfn.IFS(M903="נח",1,M903="נע ונח",1,M903="שני שווא נח",2,M903="שני שוואים בסוף מילה",2,M903="שני שוואים ברצף",1),"0")</f>
        <v>0</v>
      </c>
      <c r="J903" s="9">
        <f t="shared" si="63"/>
        <v>3</v>
      </c>
      <c r="K903" t="s">
        <v>6697</v>
      </c>
      <c r="L903" t="s">
        <v>6694</v>
      </c>
      <c r="M903" t="s">
        <v>6700</v>
      </c>
      <c r="S903" t="s">
        <v>6694</v>
      </c>
      <c r="V903" t="s">
        <v>6694</v>
      </c>
      <c r="W903" t="s">
        <v>6720</v>
      </c>
    </row>
    <row r="904" spans="1:23" ht="15.6" x14ac:dyDescent="0.4">
      <c r="A904" s="2" t="s">
        <v>386</v>
      </c>
      <c r="B904" s="5" t="s">
        <v>7514</v>
      </c>
      <c r="C904" s="7" t="s">
        <v>12556</v>
      </c>
      <c r="D904" s="8">
        <f t="shared" si="60"/>
        <v>0</v>
      </c>
      <c r="E904" s="7" t="s">
        <v>12557</v>
      </c>
      <c r="F904" s="7">
        <f t="shared" si="61"/>
        <v>1</v>
      </c>
      <c r="G904" s="7" t="s">
        <v>12558</v>
      </c>
      <c r="H904" s="7">
        <f t="shared" si="62"/>
        <v>0</v>
      </c>
      <c r="I904" s="7" t="str" cm="1">
        <f t="array" ref="I904">IFERROR(_xlfn.IFS(M904="נח",1,M904="נע ונח",1,M904="שני שווא נח",2,M904="שני שוואים בסוף מילה",2,M904="שני שוואים ברצף",1),"0")</f>
        <v>0</v>
      </c>
      <c r="J904" s="9">
        <f t="shared" si="63"/>
        <v>4</v>
      </c>
      <c r="K904" t="s">
        <v>6697</v>
      </c>
      <c r="L904" t="s">
        <v>6694</v>
      </c>
      <c r="M904" t="s">
        <v>6700</v>
      </c>
      <c r="Q904" t="s">
        <v>6694</v>
      </c>
      <c r="S904" t="s">
        <v>6694</v>
      </c>
      <c r="V904" t="s">
        <v>6694</v>
      </c>
      <c r="W904" t="s">
        <v>6720</v>
      </c>
    </row>
    <row r="905" spans="1:23" ht="15.6" x14ac:dyDescent="0.4">
      <c r="A905" s="2" t="s">
        <v>5930</v>
      </c>
      <c r="B905" s="5" t="s">
        <v>7206</v>
      </c>
      <c r="C905" s="7" t="s">
        <v>12556</v>
      </c>
      <c r="D905" s="8">
        <f t="shared" si="60"/>
        <v>0</v>
      </c>
      <c r="E905" s="7" t="s">
        <v>12557</v>
      </c>
      <c r="F905" s="7">
        <f t="shared" si="61"/>
        <v>2</v>
      </c>
      <c r="G905" s="7" t="s">
        <v>12558</v>
      </c>
      <c r="H905" s="7">
        <f t="shared" si="62"/>
        <v>0</v>
      </c>
      <c r="I905" s="7" t="str" cm="1">
        <f t="array" ref="I905">IFERROR(_xlfn.IFS(M905="נח",1,M905="נע ונח",1,M905="שני שווא נח",2,M905="שני שוואים בסוף מילה",2,M905="שני שוואים ברצף",1),"0")</f>
        <v>0</v>
      </c>
      <c r="J905" s="9">
        <f t="shared" si="63"/>
        <v>3</v>
      </c>
      <c r="K905" t="s">
        <v>6697</v>
      </c>
      <c r="L905" t="s">
        <v>6694</v>
      </c>
      <c r="M905" t="s">
        <v>6700</v>
      </c>
      <c r="N905" t="s">
        <v>6706</v>
      </c>
      <c r="O905" t="s">
        <v>6694</v>
      </c>
      <c r="V905" t="s">
        <v>6694</v>
      </c>
      <c r="W905" t="s">
        <v>6720</v>
      </c>
    </row>
    <row r="906" spans="1:23" ht="15.6" x14ac:dyDescent="0.4">
      <c r="A906" s="2" t="s">
        <v>3471</v>
      </c>
      <c r="B906" s="5" t="s">
        <v>7515</v>
      </c>
      <c r="C906" s="7" t="s">
        <v>12556</v>
      </c>
      <c r="D906" s="8">
        <f t="shared" si="60"/>
        <v>0</v>
      </c>
      <c r="E906" s="7" t="s">
        <v>12557</v>
      </c>
      <c r="F906" s="7">
        <f t="shared" si="61"/>
        <v>1</v>
      </c>
      <c r="G906" s="7" t="s">
        <v>12558</v>
      </c>
      <c r="H906" s="7">
        <f t="shared" si="62"/>
        <v>0</v>
      </c>
      <c r="I906" s="7" t="str" cm="1">
        <f t="array" ref="I906">IFERROR(_xlfn.IFS(M906="נח",1,M906="נע ונח",1,M906="שני שווא נח",2,M906="שני שוואים בסוף מילה",2,M906="שני שוואים ברצף",1),"0")</f>
        <v>0</v>
      </c>
      <c r="J906" s="9">
        <f t="shared" si="63"/>
        <v>4</v>
      </c>
      <c r="K906" t="s">
        <v>6698</v>
      </c>
      <c r="L906" t="s">
        <v>6694</v>
      </c>
      <c r="M906" t="s">
        <v>6700</v>
      </c>
      <c r="O906" t="s">
        <v>6694</v>
      </c>
      <c r="V906" t="s">
        <v>6694</v>
      </c>
      <c r="W906" t="s">
        <v>6720</v>
      </c>
    </row>
    <row r="907" spans="1:23" ht="15.6" x14ac:dyDescent="0.4">
      <c r="A907" s="2" t="s">
        <v>1791</v>
      </c>
      <c r="B907" s="5" t="s">
        <v>7516</v>
      </c>
      <c r="C907" s="7" t="s">
        <v>12556</v>
      </c>
      <c r="D907" s="8">
        <f t="shared" si="60"/>
        <v>0</v>
      </c>
      <c r="E907" s="7" t="s">
        <v>12557</v>
      </c>
      <c r="F907" s="7">
        <f t="shared" si="61"/>
        <v>1</v>
      </c>
      <c r="G907" s="7" t="s">
        <v>12558</v>
      </c>
      <c r="H907" s="7">
        <f t="shared" si="62"/>
        <v>0</v>
      </c>
      <c r="I907" s="7" t="str" cm="1">
        <f t="array" ref="I907">IFERROR(_xlfn.IFS(M907="נח",1,M907="נע ונח",1,M907="שני שווא נח",2,M907="שני שוואים בסוף מילה",2,M907="שני שוואים ברצף",1),"0")</f>
        <v>0</v>
      </c>
      <c r="J907" s="9">
        <f t="shared" si="63"/>
        <v>3</v>
      </c>
      <c r="K907" t="s">
        <v>6697</v>
      </c>
      <c r="L907" t="s">
        <v>6694</v>
      </c>
      <c r="M907" t="s">
        <v>6700</v>
      </c>
      <c r="V907" t="s">
        <v>6694</v>
      </c>
      <c r="W907" t="s">
        <v>6720</v>
      </c>
    </row>
    <row r="908" spans="1:23" ht="15.6" x14ac:dyDescent="0.4">
      <c r="A908" s="2" t="s">
        <v>171</v>
      </c>
      <c r="B908" s="5" t="s">
        <v>7517</v>
      </c>
      <c r="C908" s="7" t="s">
        <v>12556</v>
      </c>
      <c r="D908" s="8">
        <f t="shared" si="60"/>
        <v>0</v>
      </c>
      <c r="E908" s="7" t="s">
        <v>12557</v>
      </c>
      <c r="F908" s="7">
        <f t="shared" si="61"/>
        <v>1</v>
      </c>
      <c r="G908" s="7" t="s">
        <v>12558</v>
      </c>
      <c r="H908" s="7">
        <f t="shared" si="62"/>
        <v>0</v>
      </c>
      <c r="I908" s="7" t="str" cm="1">
        <f t="array" ref="I908">IFERROR(_xlfn.IFS(M908="נח",1,M908="נע ונח",1,M908="שני שווא נח",2,M908="שני שוואים בסוף מילה",2,M908="שני שוואים ברצף",1),"0")</f>
        <v>0</v>
      </c>
      <c r="J908" s="9">
        <f t="shared" si="63"/>
        <v>3</v>
      </c>
      <c r="K908" t="s">
        <v>6698</v>
      </c>
      <c r="L908" t="s">
        <v>6694</v>
      </c>
      <c r="M908" t="s">
        <v>6700</v>
      </c>
      <c r="P908" t="s">
        <v>6694</v>
      </c>
      <c r="V908" t="s">
        <v>6694</v>
      </c>
      <c r="W908" t="s">
        <v>6720</v>
      </c>
    </row>
    <row r="909" spans="1:23" ht="15.6" x14ac:dyDescent="0.4">
      <c r="A909" s="2" t="s">
        <v>1431</v>
      </c>
      <c r="B909" s="5" t="s">
        <v>7518</v>
      </c>
      <c r="C909" s="7" t="s">
        <v>12556</v>
      </c>
      <c r="D909" s="8">
        <f t="shared" si="60"/>
        <v>0</v>
      </c>
      <c r="E909" s="7" t="s">
        <v>12557</v>
      </c>
      <c r="F909" s="7">
        <f t="shared" si="61"/>
        <v>2</v>
      </c>
      <c r="G909" s="7" t="s">
        <v>12558</v>
      </c>
      <c r="H909" s="7">
        <f t="shared" si="62"/>
        <v>1</v>
      </c>
      <c r="I909" s="7" t="str" cm="1">
        <f t="array" ref="I909">IFERROR(_xlfn.IFS(M909="נח",1,M909="נע ונח",1,M909="שני שווא נח",2,M909="שני שוואים בסוף מילה",2,M909="שני שוואים ברצף",1),"0")</f>
        <v>0</v>
      </c>
      <c r="J909" s="9">
        <f t="shared" si="63"/>
        <v>3</v>
      </c>
      <c r="K909" t="s">
        <v>6698</v>
      </c>
      <c r="L909" t="s">
        <v>6694</v>
      </c>
      <c r="M909" t="s">
        <v>6700</v>
      </c>
      <c r="U909" t="s">
        <v>6694</v>
      </c>
      <c r="V909" t="s">
        <v>6694</v>
      </c>
      <c r="W909" t="s">
        <v>6720</v>
      </c>
    </row>
    <row r="910" spans="1:23" ht="15.6" x14ac:dyDescent="0.4">
      <c r="A910" s="2" t="s">
        <v>1781</v>
      </c>
      <c r="B910" s="5" t="s">
        <v>7519</v>
      </c>
      <c r="C910" s="7" t="s">
        <v>12556</v>
      </c>
      <c r="D910" s="8">
        <f t="shared" si="60"/>
        <v>0</v>
      </c>
      <c r="E910" s="7" t="s">
        <v>12557</v>
      </c>
      <c r="F910" s="7">
        <f t="shared" si="61"/>
        <v>1</v>
      </c>
      <c r="G910" s="7" t="s">
        <v>12558</v>
      </c>
      <c r="H910" s="7">
        <f t="shared" si="62"/>
        <v>0</v>
      </c>
      <c r="I910" s="7" cm="1">
        <f t="array" ref="I910">IFERROR(_xlfn.IFS(M910="נח",1,M910="נע ונח",1,M910="שני שווא נח",2,M910="שני שוואים בסוף מילה",2,M910="שני שוואים ברצף",1),"0")</f>
        <v>1</v>
      </c>
      <c r="J910" s="9">
        <f t="shared" si="63"/>
        <v>4</v>
      </c>
      <c r="K910" t="s">
        <v>6698</v>
      </c>
      <c r="L910" t="s">
        <v>6694</v>
      </c>
      <c r="M910" t="s">
        <v>6705</v>
      </c>
      <c r="Q910" t="s">
        <v>6694</v>
      </c>
      <c r="R910" t="s">
        <v>6694</v>
      </c>
      <c r="S910" t="s">
        <v>6694</v>
      </c>
      <c r="V910" t="s">
        <v>6694</v>
      </c>
      <c r="W910" t="s">
        <v>6720</v>
      </c>
    </row>
    <row r="911" spans="1:23" ht="15.6" x14ac:dyDescent="0.4">
      <c r="A911" s="2" t="s">
        <v>5797</v>
      </c>
      <c r="B911" s="5" t="s">
        <v>7520</v>
      </c>
      <c r="C911" s="7" t="s">
        <v>12556</v>
      </c>
      <c r="D911" s="8">
        <f t="shared" si="60"/>
        <v>0</v>
      </c>
      <c r="E911" s="7" t="s">
        <v>12557</v>
      </c>
      <c r="F911" s="7">
        <f t="shared" si="61"/>
        <v>1</v>
      </c>
      <c r="G911" s="7" t="s">
        <v>12558</v>
      </c>
      <c r="H911" s="7">
        <f t="shared" si="62"/>
        <v>0</v>
      </c>
      <c r="I911" s="7" cm="1">
        <f t="array" ref="I911">IFERROR(_xlfn.IFS(M911="נח",1,M911="נע ונח",1,M911="שני שווא נח",2,M911="שני שוואים בסוף מילה",2,M911="שני שוואים ברצף",1),"0")</f>
        <v>1</v>
      </c>
      <c r="J911" s="9">
        <f t="shared" si="63"/>
        <v>2</v>
      </c>
      <c r="K911" t="s">
        <v>6698</v>
      </c>
      <c r="L911" t="s">
        <v>6694</v>
      </c>
      <c r="M911" t="s">
        <v>6705</v>
      </c>
      <c r="Q911" t="s">
        <v>6694</v>
      </c>
      <c r="S911" t="s">
        <v>6694</v>
      </c>
      <c r="W911" t="s">
        <v>6720</v>
      </c>
    </row>
    <row r="912" spans="1:23" ht="15.6" x14ac:dyDescent="0.4">
      <c r="A912" s="2" t="s">
        <v>6382</v>
      </c>
      <c r="B912" s="5" t="s">
        <v>7521</v>
      </c>
      <c r="C912" s="7" t="s">
        <v>12556</v>
      </c>
      <c r="D912" s="8">
        <f t="shared" si="60"/>
        <v>0</v>
      </c>
      <c r="E912" s="7" t="s">
        <v>12557</v>
      </c>
      <c r="F912" s="7">
        <f t="shared" si="61"/>
        <v>1</v>
      </c>
      <c r="G912" s="7" t="s">
        <v>12558</v>
      </c>
      <c r="H912" s="7">
        <f t="shared" si="62"/>
        <v>0</v>
      </c>
      <c r="I912" s="7" cm="1">
        <f t="array" ref="I912">IFERROR(_xlfn.IFS(M912="נח",1,M912="נע ונח",1,M912="שני שווא נח",2,M912="שני שוואים בסוף מילה",2,M912="שני שוואים ברצף",1),"0")</f>
        <v>1</v>
      </c>
      <c r="J912" s="9">
        <f t="shared" si="63"/>
        <v>4</v>
      </c>
      <c r="K912" t="s">
        <v>6697</v>
      </c>
      <c r="L912" t="s">
        <v>6694</v>
      </c>
      <c r="M912" t="s">
        <v>6705</v>
      </c>
      <c r="O912" t="s">
        <v>6694</v>
      </c>
      <c r="R912" t="s">
        <v>6694</v>
      </c>
      <c r="S912" t="s">
        <v>6694</v>
      </c>
      <c r="W912" t="s">
        <v>6720</v>
      </c>
    </row>
    <row r="913" spans="1:23" ht="15.6" x14ac:dyDescent="0.4">
      <c r="A913" s="2" t="s">
        <v>4990</v>
      </c>
      <c r="B913" s="5" t="s">
        <v>7522</v>
      </c>
      <c r="C913" s="7" t="s">
        <v>12556</v>
      </c>
      <c r="D913" s="8">
        <f t="shared" si="60"/>
        <v>0</v>
      </c>
      <c r="E913" s="7" t="s">
        <v>12557</v>
      </c>
      <c r="F913" s="7">
        <f t="shared" si="61"/>
        <v>1</v>
      </c>
      <c r="G913" s="7" t="s">
        <v>12558</v>
      </c>
      <c r="H913" s="7">
        <f t="shared" si="62"/>
        <v>0</v>
      </c>
      <c r="I913" s="7" cm="1">
        <f t="array" ref="I913">IFERROR(_xlfn.IFS(M913="נח",1,M913="נע ונח",1,M913="שני שווא נח",2,M913="שני שוואים בסוף מילה",2,M913="שני שוואים ברצף",1),"0")</f>
        <v>1</v>
      </c>
      <c r="J913" s="9">
        <f t="shared" si="63"/>
        <v>3</v>
      </c>
      <c r="K913" t="s">
        <v>6697</v>
      </c>
      <c r="L913" t="s">
        <v>6694</v>
      </c>
      <c r="M913" t="s">
        <v>6705</v>
      </c>
      <c r="O913" t="s">
        <v>6694</v>
      </c>
      <c r="S913" t="s">
        <v>6694</v>
      </c>
      <c r="W913" t="s">
        <v>6720</v>
      </c>
    </row>
    <row r="914" spans="1:23" ht="15.6" x14ac:dyDescent="0.4">
      <c r="A914" s="2" t="s">
        <v>5272</v>
      </c>
      <c r="B914" s="5" t="s">
        <v>7523</v>
      </c>
      <c r="C914" s="7" t="s">
        <v>12556</v>
      </c>
      <c r="D914" s="8">
        <f t="shared" si="60"/>
        <v>1</v>
      </c>
      <c r="E914" s="7" t="s">
        <v>12557</v>
      </c>
      <c r="F914" s="7">
        <f t="shared" si="61"/>
        <v>1</v>
      </c>
      <c r="G914" s="7" t="s">
        <v>12558</v>
      </c>
      <c r="H914" s="7">
        <f t="shared" si="62"/>
        <v>0</v>
      </c>
      <c r="I914" s="7" cm="1">
        <f t="array" ref="I914">IFERROR(_xlfn.IFS(M914="נח",1,M914="נע ונח",1,M914="שני שווא נח",2,M914="שני שוואים בסוף מילה",2,M914="שני שוואים ברצף",1),"0")</f>
        <v>1</v>
      </c>
      <c r="J914" s="9">
        <f t="shared" si="63"/>
        <v>3</v>
      </c>
      <c r="K914" t="s">
        <v>6697</v>
      </c>
      <c r="L914" t="s">
        <v>6694</v>
      </c>
      <c r="M914" t="s">
        <v>6705</v>
      </c>
      <c r="O914" t="s">
        <v>6694</v>
      </c>
      <c r="S914" t="s">
        <v>6694</v>
      </c>
      <c r="W914" t="s">
        <v>6720</v>
      </c>
    </row>
    <row r="915" spans="1:23" ht="15.6" x14ac:dyDescent="0.4">
      <c r="A915" s="2" t="s">
        <v>516</v>
      </c>
      <c r="B915" s="5" t="s">
        <v>7524</v>
      </c>
      <c r="C915" s="7" t="s">
        <v>12556</v>
      </c>
      <c r="D915" s="8">
        <f t="shared" si="60"/>
        <v>0</v>
      </c>
      <c r="E915" s="7" t="s">
        <v>12557</v>
      </c>
      <c r="F915" s="7">
        <f t="shared" si="61"/>
        <v>1</v>
      </c>
      <c r="G915" s="7" t="s">
        <v>12558</v>
      </c>
      <c r="H915" s="7">
        <f t="shared" si="62"/>
        <v>0</v>
      </c>
      <c r="I915" s="7" cm="1">
        <f t="array" ref="I915">IFERROR(_xlfn.IFS(M915="נח",1,M915="נע ונח",1,M915="שני שווא נח",2,M915="שני שוואים בסוף מילה",2,M915="שני שוואים ברצף",1),"0")</f>
        <v>1</v>
      </c>
      <c r="J915" s="9">
        <f t="shared" si="63"/>
        <v>3</v>
      </c>
      <c r="K915" t="s">
        <v>6698</v>
      </c>
      <c r="L915" t="s">
        <v>6694</v>
      </c>
      <c r="M915" t="s">
        <v>6705</v>
      </c>
      <c r="S915" t="s">
        <v>6694</v>
      </c>
      <c r="T915" t="s">
        <v>6694</v>
      </c>
      <c r="V915" t="s">
        <v>6694</v>
      </c>
      <c r="W915" t="s">
        <v>6720</v>
      </c>
    </row>
    <row r="916" spans="1:23" ht="15.6" x14ac:dyDescent="0.4">
      <c r="A916" s="2" t="s">
        <v>6474</v>
      </c>
      <c r="B916" s="5" t="s">
        <v>7525</v>
      </c>
      <c r="C916" s="7" t="s">
        <v>12556</v>
      </c>
      <c r="D916" s="8">
        <f t="shared" si="60"/>
        <v>0</v>
      </c>
      <c r="E916" s="7" t="s">
        <v>12557</v>
      </c>
      <c r="F916" s="7">
        <f t="shared" si="61"/>
        <v>2</v>
      </c>
      <c r="G916" s="7" t="s">
        <v>12558</v>
      </c>
      <c r="H916" s="7">
        <f t="shared" si="62"/>
        <v>1</v>
      </c>
      <c r="I916" s="7" cm="1">
        <f t="array" ref="I916">IFERROR(_xlfn.IFS(M916="נח",1,M916="נע ונח",1,M916="שני שווא נח",2,M916="שני שוואים בסוף מילה",2,M916="שני שוואים ברצף",1),"0")</f>
        <v>1</v>
      </c>
      <c r="J916" s="9">
        <f t="shared" si="63"/>
        <v>3</v>
      </c>
      <c r="K916" t="s">
        <v>6697</v>
      </c>
      <c r="L916" t="s">
        <v>6694</v>
      </c>
      <c r="M916" t="s">
        <v>6705</v>
      </c>
      <c r="O916" t="s">
        <v>6694</v>
      </c>
      <c r="S916" t="s">
        <v>6694</v>
      </c>
      <c r="U916" t="s">
        <v>6694</v>
      </c>
      <c r="W916" t="s">
        <v>6720</v>
      </c>
    </row>
    <row r="917" spans="1:23" ht="15.6" x14ac:dyDescent="0.4">
      <c r="A917" s="2" t="s">
        <v>4427</v>
      </c>
      <c r="B917" s="5" t="s">
        <v>7526</v>
      </c>
      <c r="C917" s="7" t="s">
        <v>12556</v>
      </c>
      <c r="D917" s="8">
        <f t="shared" si="60"/>
        <v>0</v>
      </c>
      <c r="E917" s="7" t="s">
        <v>12557</v>
      </c>
      <c r="F917" s="7">
        <f t="shared" si="61"/>
        <v>2</v>
      </c>
      <c r="G917" s="7" t="s">
        <v>12558</v>
      </c>
      <c r="H917" s="7">
        <f t="shared" si="62"/>
        <v>1</v>
      </c>
      <c r="I917" s="7" cm="1">
        <f t="array" ref="I917">IFERROR(_xlfn.IFS(M917="נח",1,M917="נע ונח",1,M917="שני שווא נח",2,M917="שני שוואים בסוף מילה",2,M917="שני שוואים ברצף",1),"0")</f>
        <v>1</v>
      </c>
      <c r="J917" s="9">
        <f t="shared" si="63"/>
        <v>4</v>
      </c>
      <c r="K917" t="s">
        <v>6697</v>
      </c>
      <c r="L917" t="s">
        <v>6694</v>
      </c>
      <c r="M917" t="s">
        <v>6705</v>
      </c>
      <c r="O917" t="s">
        <v>6694</v>
      </c>
      <c r="S917" t="s">
        <v>6694</v>
      </c>
      <c r="U917" t="s">
        <v>6694</v>
      </c>
      <c r="V917" t="s">
        <v>6694</v>
      </c>
      <c r="W917" t="s">
        <v>6720</v>
      </c>
    </row>
    <row r="918" spans="1:23" ht="15.6" x14ac:dyDescent="0.4">
      <c r="A918" s="2" t="s">
        <v>3711</v>
      </c>
      <c r="B918" s="5" t="s">
        <v>7527</v>
      </c>
      <c r="C918" s="7" t="s">
        <v>12556</v>
      </c>
      <c r="D918" s="8">
        <f t="shared" si="60"/>
        <v>0</v>
      </c>
      <c r="E918" s="7" t="s">
        <v>12557</v>
      </c>
      <c r="F918" s="7">
        <f t="shared" si="61"/>
        <v>1</v>
      </c>
      <c r="G918" s="7" t="s">
        <v>12558</v>
      </c>
      <c r="H918" s="7">
        <f t="shared" si="62"/>
        <v>0</v>
      </c>
      <c r="I918" s="7" cm="1">
        <f t="array" ref="I918">IFERROR(_xlfn.IFS(M918="נח",1,M918="נע ונח",1,M918="שני שווא נח",2,M918="שני שוואים בסוף מילה",2,M918="שני שוואים ברצף",1),"0")</f>
        <v>1</v>
      </c>
      <c r="J918" s="9">
        <f t="shared" si="63"/>
        <v>4</v>
      </c>
      <c r="K918" t="s">
        <v>6697</v>
      </c>
      <c r="L918" t="s">
        <v>6694</v>
      </c>
      <c r="M918" t="s">
        <v>6705</v>
      </c>
      <c r="O918" t="s">
        <v>6694</v>
      </c>
      <c r="R918" t="s">
        <v>6694</v>
      </c>
      <c r="S918" t="s">
        <v>6694</v>
      </c>
      <c r="V918" t="s">
        <v>6694</v>
      </c>
      <c r="W918" t="s">
        <v>6720</v>
      </c>
    </row>
    <row r="919" spans="1:23" ht="15.6" x14ac:dyDescent="0.4">
      <c r="A919" s="2" t="s">
        <v>1460</v>
      </c>
      <c r="B919" s="5" t="s">
        <v>7528</v>
      </c>
      <c r="C919" s="7" t="s">
        <v>12556</v>
      </c>
      <c r="D919" s="8">
        <f t="shared" si="60"/>
        <v>0</v>
      </c>
      <c r="E919" s="7" t="s">
        <v>12557</v>
      </c>
      <c r="F919" s="7">
        <f t="shared" si="61"/>
        <v>1</v>
      </c>
      <c r="G919" s="7" t="s">
        <v>12558</v>
      </c>
      <c r="H919" s="7">
        <f t="shared" si="62"/>
        <v>0</v>
      </c>
      <c r="I919" s="7" cm="1">
        <f t="array" ref="I919">IFERROR(_xlfn.IFS(M919="נח",1,M919="נע ונח",1,M919="שני שווא נח",2,M919="שני שוואים בסוף מילה",2,M919="שני שוואים ברצף",1),"0")</f>
        <v>1</v>
      </c>
      <c r="J919" s="9">
        <f t="shared" si="63"/>
        <v>3</v>
      </c>
      <c r="K919" t="s">
        <v>6698</v>
      </c>
      <c r="L919" t="s">
        <v>6694</v>
      </c>
      <c r="M919" t="s">
        <v>6705</v>
      </c>
      <c r="N919" t="s">
        <v>6706</v>
      </c>
      <c r="O919" t="s">
        <v>6694</v>
      </c>
      <c r="S919" t="s">
        <v>6694</v>
      </c>
      <c r="V919" t="s">
        <v>6694</v>
      </c>
      <c r="W919" t="s">
        <v>6720</v>
      </c>
    </row>
    <row r="920" spans="1:23" ht="15.6" x14ac:dyDescent="0.4">
      <c r="A920" s="2" t="s">
        <v>403</v>
      </c>
      <c r="B920" s="5" t="s">
        <v>7529</v>
      </c>
      <c r="C920" s="7" t="s">
        <v>12556</v>
      </c>
      <c r="D920" s="8">
        <f t="shared" si="60"/>
        <v>0</v>
      </c>
      <c r="E920" s="7" t="s">
        <v>12557</v>
      </c>
      <c r="F920" s="7">
        <f t="shared" si="61"/>
        <v>1</v>
      </c>
      <c r="G920" s="7" t="s">
        <v>12558</v>
      </c>
      <c r="H920" s="7">
        <f t="shared" si="62"/>
        <v>0</v>
      </c>
      <c r="I920" s="7" cm="1">
        <f t="array" ref="I920">IFERROR(_xlfn.IFS(M920="נח",1,M920="נע ונח",1,M920="שני שווא נח",2,M920="שני שוואים בסוף מילה",2,M920="שני שוואים ברצף",1),"0")</f>
        <v>1</v>
      </c>
      <c r="J920" s="9">
        <f t="shared" si="63"/>
        <v>2</v>
      </c>
      <c r="K920" t="s">
        <v>6698</v>
      </c>
      <c r="L920" t="s">
        <v>6694</v>
      </c>
      <c r="M920" t="s">
        <v>6705</v>
      </c>
      <c r="P920" t="s">
        <v>6694</v>
      </c>
      <c r="S920" t="s">
        <v>6694</v>
      </c>
      <c r="W920" t="s">
        <v>6720</v>
      </c>
    </row>
    <row r="921" spans="1:23" ht="15.6" x14ac:dyDescent="0.4">
      <c r="A921" s="2" t="s">
        <v>4794</v>
      </c>
      <c r="B921" s="5" t="s">
        <v>7530</v>
      </c>
      <c r="C921" s="7" t="s">
        <v>12556</v>
      </c>
      <c r="D921" s="8">
        <f t="shared" si="60"/>
        <v>0</v>
      </c>
      <c r="E921" s="7" t="s">
        <v>12557</v>
      </c>
      <c r="F921" s="7">
        <f t="shared" si="61"/>
        <v>1</v>
      </c>
      <c r="G921" s="7" t="s">
        <v>12558</v>
      </c>
      <c r="H921" s="7">
        <f t="shared" si="62"/>
        <v>0</v>
      </c>
      <c r="I921" s="7" cm="1">
        <f t="array" ref="I921">IFERROR(_xlfn.IFS(M921="נח",1,M921="נע ונח",1,M921="שני שווא נח",2,M921="שני שוואים בסוף מילה",2,M921="שני שוואים ברצף",1),"0")</f>
        <v>1</v>
      </c>
      <c r="J921" s="9">
        <f t="shared" si="63"/>
        <v>3</v>
      </c>
      <c r="K921" t="s">
        <v>6698</v>
      </c>
      <c r="L921" t="s">
        <v>6694</v>
      </c>
      <c r="M921" t="s">
        <v>6705</v>
      </c>
      <c r="O921" t="s">
        <v>6694</v>
      </c>
      <c r="S921" t="s">
        <v>6694</v>
      </c>
      <c r="V921" t="s">
        <v>6694</v>
      </c>
      <c r="W921" t="s">
        <v>6720</v>
      </c>
    </row>
    <row r="922" spans="1:23" ht="15.6" x14ac:dyDescent="0.4">
      <c r="A922" s="2" t="s">
        <v>321</v>
      </c>
      <c r="B922" s="5" t="s">
        <v>7531</v>
      </c>
      <c r="C922" s="7" t="s">
        <v>12556</v>
      </c>
      <c r="D922" s="8">
        <f t="shared" si="60"/>
        <v>0</v>
      </c>
      <c r="E922" s="7" t="s">
        <v>12557</v>
      </c>
      <c r="F922" s="7">
        <f t="shared" si="61"/>
        <v>1</v>
      </c>
      <c r="G922" s="7" t="s">
        <v>12558</v>
      </c>
      <c r="H922" s="7">
        <f t="shared" si="62"/>
        <v>0</v>
      </c>
      <c r="I922" s="7" cm="1">
        <f t="array" ref="I922">IFERROR(_xlfn.IFS(M922="נח",1,M922="נע ונח",1,M922="שני שווא נח",2,M922="שני שוואים בסוף מילה",2,M922="שני שוואים ברצף",1),"0")</f>
        <v>1</v>
      </c>
      <c r="J922" s="9">
        <f t="shared" si="63"/>
        <v>4</v>
      </c>
      <c r="K922" t="s">
        <v>6697</v>
      </c>
      <c r="L922" t="s">
        <v>6694</v>
      </c>
      <c r="M922" t="s">
        <v>6705</v>
      </c>
      <c r="O922" t="s">
        <v>6694</v>
      </c>
      <c r="R922" t="s">
        <v>6694</v>
      </c>
      <c r="S922" t="s">
        <v>6694</v>
      </c>
      <c r="W922" t="s">
        <v>6720</v>
      </c>
    </row>
    <row r="923" spans="1:23" ht="15.6" x14ac:dyDescent="0.4">
      <c r="A923" s="2" t="s">
        <v>4871</v>
      </c>
      <c r="B923" s="5" t="s">
        <v>7311</v>
      </c>
      <c r="C923" s="7" t="s">
        <v>12556</v>
      </c>
      <c r="D923" s="8">
        <f t="shared" si="60"/>
        <v>0</v>
      </c>
      <c r="E923" s="7" t="s">
        <v>12557</v>
      </c>
      <c r="F923" s="7">
        <f t="shared" si="61"/>
        <v>1</v>
      </c>
      <c r="G923" s="7" t="s">
        <v>12558</v>
      </c>
      <c r="H923" s="7">
        <f t="shared" si="62"/>
        <v>0</v>
      </c>
      <c r="I923" s="7" cm="1">
        <f t="array" ref="I923">IFERROR(_xlfn.IFS(M923="נח",1,M923="נע ונח",1,M923="שני שווא נח",2,M923="שני שוואים בסוף מילה",2,M923="שני שוואים ברצף",1),"0")</f>
        <v>1</v>
      </c>
      <c r="J923" s="9">
        <f t="shared" si="63"/>
        <v>3</v>
      </c>
      <c r="K923" t="s">
        <v>6698</v>
      </c>
      <c r="L923" t="s">
        <v>6694</v>
      </c>
      <c r="M923" t="s">
        <v>6705</v>
      </c>
      <c r="O923" t="s">
        <v>6694</v>
      </c>
      <c r="P923" t="s">
        <v>6694</v>
      </c>
      <c r="S923" t="s">
        <v>6694</v>
      </c>
      <c r="W923" t="s">
        <v>6720</v>
      </c>
    </row>
    <row r="924" spans="1:23" ht="15.6" x14ac:dyDescent="0.4">
      <c r="A924" s="2" t="s">
        <v>210</v>
      </c>
      <c r="B924" s="5" t="s">
        <v>7532</v>
      </c>
      <c r="C924" s="7" t="s">
        <v>12556</v>
      </c>
      <c r="D924" s="8">
        <f t="shared" si="60"/>
        <v>0</v>
      </c>
      <c r="E924" s="7" t="s">
        <v>12557</v>
      </c>
      <c r="F924" s="7">
        <f t="shared" si="61"/>
        <v>1</v>
      </c>
      <c r="G924" s="7" t="s">
        <v>12558</v>
      </c>
      <c r="H924" s="7">
        <f t="shared" si="62"/>
        <v>0</v>
      </c>
      <c r="I924" s="7" cm="1">
        <f t="array" ref="I924">IFERROR(_xlfn.IFS(M924="נח",1,M924="נע ונח",1,M924="שני שווא נח",2,M924="שני שוואים בסוף מילה",2,M924="שני שוואים ברצף",1),"0")</f>
        <v>1</v>
      </c>
      <c r="J924" s="9">
        <f t="shared" si="63"/>
        <v>3</v>
      </c>
      <c r="K924" t="s">
        <v>6698</v>
      </c>
      <c r="L924" t="s">
        <v>6694</v>
      </c>
      <c r="M924" t="s">
        <v>6705</v>
      </c>
      <c r="N924" t="s">
        <v>6706</v>
      </c>
      <c r="O924" t="s">
        <v>6694</v>
      </c>
      <c r="S924" t="s">
        <v>6694</v>
      </c>
      <c r="W924" t="s">
        <v>6720</v>
      </c>
    </row>
    <row r="925" spans="1:23" ht="15.6" x14ac:dyDescent="0.4">
      <c r="A925" s="2" t="s">
        <v>1635</v>
      </c>
      <c r="B925" s="5" t="s">
        <v>7533</v>
      </c>
      <c r="C925" s="7" t="s">
        <v>12556</v>
      </c>
      <c r="D925" s="8">
        <f t="shared" si="60"/>
        <v>0</v>
      </c>
      <c r="E925" s="7" t="s">
        <v>12557</v>
      </c>
      <c r="F925" s="7">
        <f t="shared" si="61"/>
        <v>1</v>
      </c>
      <c r="G925" s="7" t="s">
        <v>12558</v>
      </c>
      <c r="H925" s="7">
        <f t="shared" si="62"/>
        <v>0</v>
      </c>
      <c r="I925" s="7" cm="1">
        <f t="array" ref="I925">IFERROR(_xlfn.IFS(M925="נח",1,M925="נע ונח",1,M925="שני שווא נח",2,M925="שני שוואים בסוף מילה",2,M925="שני שוואים ברצף",1),"0")</f>
        <v>1</v>
      </c>
      <c r="J925" s="9">
        <f t="shared" si="63"/>
        <v>3</v>
      </c>
      <c r="K925" t="s">
        <v>6698</v>
      </c>
      <c r="L925" t="s">
        <v>6694</v>
      </c>
      <c r="M925" t="s">
        <v>6705</v>
      </c>
      <c r="N925" t="s">
        <v>6706</v>
      </c>
      <c r="O925" t="s">
        <v>6694</v>
      </c>
      <c r="S925" t="s">
        <v>6694</v>
      </c>
      <c r="V925" t="s">
        <v>6694</v>
      </c>
      <c r="W925" t="s">
        <v>6720</v>
      </c>
    </row>
    <row r="926" spans="1:23" ht="15.6" x14ac:dyDescent="0.4">
      <c r="A926" s="2" t="s">
        <v>5350</v>
      </c>
      <c r="B926" s="5" t="s">
        <v>7534</v>
      </c>
      <c r="C926" s="7" t="s">
        <v>12556</v>
      </c>
      <c r="D926" s="8">
        <f t="shared" si="60"/>
        <v>0</v>
      </c>
      <c r="E926" s="7" t="s">
        <v>12557</v>
      </c>
      <c r="F926" s="7">
        <f t="shared" si="61"/>
        <v>1</v>
      </c>
      <c r="G926" s="7" t="s">
        <v>12558</v>
      </c>
      <c r="H926" s="7">
        <f t="shared" si="62"/>
        <v>0</v>
      </c>
      <c r="I926" s="7" cm="1">
        <f t="array" ref="I926">IFERROR(_xlfn.IFS(M926="נח",1,M926="נע ונח",1,M926="שני שווא נח",2,M926="שני שוואים בסוף מילה",2,M926="שני שוואים ברצף",1),"0")</f>
        <v>1</v>
      </c>
      <c r="J926" s="9">
        <f t="shared" si="63"/>
        <v>3</v>
      </c>
      <c r="K926" t="s">
        <v>6697</v>
      </c>
      <c r="L926" t="s">
        <v>6694</v>
      </c>
      <c r="M926" t="s">
        <v>6705</v>
      </c>
      <c r="S926" t="s">
        <v>6694</v>
      </c>
      <c r="V926" t="s">
        <v>6694</v>
      </c>
      <c r="W926" t="s">
        <v>6720</v>
      </c>
    </row>
    <row r="927" spans="1:23" ht="15.6" x14ac:dyDescent="0.4">
      <c r="A927" s="2" t="s">
        <v>2966</v>
      </c>
      <c r="B927" s="5" t="s">
        <v>7535</v>
      </c>
      <c r="C927" s="7" t="s">
        <v>12556</v>
      </c>
      <c r="D927" s="8">
        <f t="shared" si="60"/>
        <v>0</v>
      </c>
      <c r="E927" s="7" t="s">
        <v>12557</v>
      </c>
      <c r="F927" s="7">
        <f t="shared" si="61"/>
        <v>1</v>
      </c>
      <c r="G927" s="7" t="s">
        <v>12558</v>
      </c>
      <c r="H927" s="7">
        <f t="shared" si="62"/>
        <v>0</v>
      </c>
      <c r="I927" s="7" cm="1">
        <f t="array" ref="I927">IFERROR(_xlfn.IFS(M927="נח",1,M927="נע ונח",1,M927="שני שווא נח",2,M927="שני שוואים בסוף מילה",2,M927="שני שוואים ברצף",1),"0")</f>
        <v>1</v>
      </c>
      <c r="J927" s="9">
        <f t="shared" si="63"/>
        <v>3</v>
      </c>
      <c r="K927" t="s">
        <v>6698</v>
      </c>
      <c r="L927" t="s">
        <v>6694</v>
      </c>
      <c r="M927" t="s">
        <v>6705</v>
      </c>
      <c r="S927" t="s">
        <v>6694</v>
      </c>
      <c r="V927" t="s">
        <v>6694</v>
      </c>
      <c r="W927" t="s">
        <v>6720</v>
      </c>
    </row>
    <row r="928" spans="1:23" ht="15.6" x14ac:dyDescent="0.4">
      <c r="A928" s="2" t="s">
        <v>4760</v>
      </c>
      <c r="B928" s="5" t="s">
        <v>7536</v>
      </c>
      <c r="C928" s="7" t="s">
        <v>12556</v>
      </c>
      <c r="D928" s="8">
        <f t="shared" si="60"/>
        <v>0</v>
      </c>
      <c r="E928" s="7" t="s">
        <v>12557</v>
      </c>
      <c r="F928" s="7">
        <f t="shared" si="61"/>
        <v>1</v>
      </c>
      <c r="G928" s="7" t="s">
        <v>12558</v>
      </c>
      <c r="H928" s="7">
        <f t="shared" si="62"/>
        <v>0</v>
      </c>
      <c r="I928" s="7" cm="1">
        <f t="array" ref="I928">IFERROR(_xlfn.IFS(M928="נח",1,M928="נע ונח",1,M928="שני שווא נח",2,M928="שני שוואים בסוף מילה",2,M928="שני שוואים ברצף",1),"0")</f>
        <v>1</v>
      </c>
      <c r="J928" s="9">
        <f t="shared" si="63"/>
        <v>3</v>
      </c>
      <c r="K928" t="s">
        <v>6697</v>
      </c>
      <c r="L928" t="s">
        <v>6694</v>
      </c>
      <c r="M928" t="s">
        <v>6705</v>
      </c>
      <c r="P928" t="s">
        <v>6694</v>
      </c>
      <c r="S928" t="s">
        <v>6694</v>
      </c>
      <c r="V928" t="s">
        <v>6694</v>
      </c>
      <c r="W928" t="s">
        <v>6720</v>
      </c>
    </row>
    <row r="929" spans="1:23" ht="15.6" x14ac:dyDescent="0.4">
      <c r="A929" s="2" t="s">
        <v>4307</v>
      </c>
      <c r="B929" s="5" t="s">
        <v>7262</v>
      </c>
      <c r="C929" s="7" t="s">
        <v>12556</v>
      </c>
      <c r="D929" s="8">
        <f t="shared" si="60"/>
        <v>0</v>
      </c>
      <c r="E929" s="7" t="s">
        <v>12557</v>
      </c>
      <c r="F929" s="7">
        <f t="shared" si="61"/>
        <v>2</v>
      </c>
      <c r="G929" s="7" t="s">
        <v>12558</v>
      </c>
      <c r="H929" s="7">
        <f t="shared" si="62"/>
        <v>1</v>
      </c>
      <c r="I929" s="7" cm="1">
        <f t="array" ref="I929">IFERROR(_xlfn.IFS(M929="נח",1,M929="נע ונח",1,M929="שני שווא נח",2,M929="שני שוואים בסוף מילה",2,M929="שני שוואים ברצף",1),"0")</f>
        <v>1</v>
      </c>
      <c r="J929" s="9">
        <f t="shared" si="63"/>
        <v>2</v>
      </c>
      <c r="K929" t="s">
        <v>6697</v>
      </c>
      <c r="L929" t="s">
        <v>6694</v>
      </c>
      <c r="M929" t="s">
        <v>6705</v>
      </c>
      <c r="S929" t="s">
        <v>6694</v>
      </c>
      <c r="U929" t="s">
        <v>6694</v>
      </c>
      <c r="W929" t="s">
        <v>6720</v>
      </c>
    </row>
    <row r="930" spans="1:23" ht="15.6" x14ac:dyDescent="0.4">
      <c r="A930" s="2" t="s">
        <v>6387</v>
      </c>
      <c r="B930" s="5" t="s">
        <v>7537</v>
      </c>
      <c r="C930" s="7" t="s">
        <v>12556</v>
      </c>
      <c r="D930" s="8">
        <f t="shared" si="60"/>
        <v>0</v>
      </c>
      <c r="E930" s="7" t="s">
        <v>12557</v>
      </c>
      <c r="F930" s="7">
        <f t="shared" si="61"/>
        <v>2</v>
      </c>
      <c r="G930" s="7" t="s">
        <v>12558</v>
      </c>
      <c r="H930" s="7">
        <f t="shared" si="62"/>
        <v>1</v>
      </c>
      <c r="I930" s="7" cm="1">
        <f t="array" ref="I930">IFERROR(_xlfn.IFS(M930="נח",1,M930="נע ונח",1,M930="שני שווא נח",2,M930="שני שוואים בסוף מילה",2,M930="שני שוואים ברצף",1),"0")</f>
        <v>1</v>
      </c>
      <c r="J930" s="9">
        <f t="shared" si="63"/>
        <v>3</v>
      </c>
      <c r="K930" t="s">
        <v>6697</v>
      </c>
      <c r="L930" t="s">
        <v>6694</v>
      </c>
      <c r="M930" t="s">
        <v>6705</v>
      </c>
      <c r="Q930" t="s">
        <v>6694</v>
      </c>
      <c r="S930" t="s">
        <v>6694</v>
      </c>
      <c r="U930" t="s">
        <v>6694</v>
      </c>
      <c r="W930" t="s">
        <v>6720</v>
      </c>
    </row>
    <row r="931" spans="1:23" ht="15.6" x14ac:dyDescent="0.4">
      <c r="A931" s="2" t="s">
        <v>282</v>
      </c>
      <c r="B931" s="5" t="s">
        <v>7211</v>
      </c>
      <c r="C931" s="7" t="s">
        <v>12556</v>
      </c>
      <c r="D931" s="8">
        <f t="shared" si="60"/>
        <v>0</v>
      </c>
      <c r="E931" s="7" t="s">
        <v>12557</v>
      </c>
      <c r="F931" s="7">
        <f t="shared" si="61"/>
        <v>1</v>
      </c>
      <c r="G931" s="7" t="s">
        <v>12558</v>
      </c>
      <c r="H931" s="7">
        <f t="shared" si="62"/>
        <v>0</v>
      </c>
      <c r="I931" s="7" t="str" cm="1">
        <f t="array" ref="I931">IFERROR(_xlfn.IFS(M931="נח",1,M931="נע ונח",1,M931="שני שווא נח",2,M931="שני שוואים בסוף מילה",2,M931="שני שוואים ברצף",1),"0")</f>
        <v>0</v>
      </c>
      <c r="J931" s="9">
        <f t="shared" si="63"/>
        <v>1</v>
      </c>
      <c r="K931" t="s">
        <v>6697</v>
      </c>
      <c r="L931" t="s">
        <v>6695</v>
      </c>
      <c r="S931" t="s">
        <v>6694</v>
      </c>
      <c r="W931" t="s">
        <v>6720</v>
      </c>
    </row>
    <row r="932" spans="1:23" ht="15.6" x14ac:dyDescent="0.4">
      <c r="A932" s="2" t="s">
        <v>43</v>
      </c>
      <c r="B932" s="5" t="s">
        <v>7538</v>
      </c>
      <c r="C932" s="7" t="s">
        <v>12556</v>
      </c>
      <c r="D932" s="8">
        <f t="shared" si="60"/>
        <v>0</v>
      </c>
      <c r="E932" s="7" t="s">
        <v>12557</v>
      </c>
      <c r="F932" s="7">
        <f t="shared" si="61"/>
        <v>1</v>
      </c>
      <c r="G932" s="7" t="s">
        <v>12558</v>
      </c>
      <c r="H932" s="7">
        <f t="shared" si="62"/>
        <v>0</v>
      </c>
      <c r="I932" s="7" t="str" cm="1">
        <f t="array" ref="I932">IFERROR(_xlfn.IFS(M932="נח",1,M932="נע ונח",1,M932="שני שווא נח",2,M932="שני שוואים בסוף מילה",2,M932="שני שוואים ברצף",1),"0")</f>
        <v>0</v>
      </c>
      <c r="J932" s="9">
        <f t="shared" si="63"/>
        <v>3</v>
      </c>
      <c r="K932" t="s">
        <v>6698</v>
      </c>
      <c r="L932" t="s">
        <v>6695</v>
      </c>
      <c r="Q932" t="s">
        <v>6694</v>
      </c>
      <c r="R932" t="s">
        <v>6694</v>
      </c>
      <c r="S932" t="s">
        <v>6694</v>
      </c>
      <c r="W932" t="s">
        <v>6720</v>
      </c>
    </row>
    <row r="933" spans="1:23" ht="15.6" x14ac:dyDescent="0.4">
      <c r="A933" s="2" t="s">
        <v>4846</v>
      </c>
      <c r="B933" s="5" t="s">
        <v>7539</v>
      </c>
      <c r="C933" s="7" t="s">
        <v>12556</v>
      </c>
      <c r="D933" s="8">
        <f t="shared" si="60"/>
        <v>0</v>
      </c>
      <c r="E933" s="7" t="s">
        <v>12557</v>
      </c>
      <c r="F933" s="7">
        <f t="shared" si="61"/>
        <v>1</v>
      </c>
      <c r="G933" s="7" t="s">
        <v>12558</v>
      </c>
      <c r="H933" s="7">
        <f t="shared" si="62"/>
        <v>0</v>
      </c>
      <c r="I933" s="7" t="str" cm="1">
        <f t="array" ref="I933">IFERROR(_xlfn.IFS(M933="נח",1,M933="נע ונח",1,M933="שני שווא נח",2,M933="שני שוואים בסוף מילה",2,M933="שני שוואים ברצף",1),"0")</f>
        <v>0</v>
      </c>
      <c r="J933" s="9">
        <f t="shared" si="63"/>
        <v>3</v>
      </c>
      <c r="K933" t="s">
        <v>6698</v>
      </c>
      <c r="L933" t="s">
        <v>6695</v>
      </c>
      <c r="Q933" t="s">
        <v>6694</v>
      </c>
      <c r="S933" t="s">
        <v>6694</v>
      </c>
      <c r="V933" t="s">
        <v>6694</v>
      </c>
      <c r="W933" t="s">
        <v>6720</v>
      </c>
    </row>
    <row r="934" spans="1:23" ht="15.6" x14ac:dyDescent="0.4">
      <c r="A934" s="2" t="s">
        <v>4686</v>
      </c>
      <c r="B934" s="5" t="s">
        <v>7540</v>
      </c>
      <c r="C934" s="7" t="s">
        <v>12556</v>
      </c>
      <c r="D934" s="8">
        <f t="shared" si="60"/>
        <v>0</v>
      </c>
      <c r="E934" s="7" t="s">
        <v>12557</v>
      </c>
      <c r="F934" s="7">
        <f t="shared" si="61"/>
        <v>2</v>
      </c>
      <c r="G934" s="7" t="s">
        <v>12558</v>
      </c>
      <c r="H934" s="7">
        <f t="shared" si="62"/>
        <v>1</v>
      </c>
      <c r="I934" s="7" t="str" cm="1">
        <f t="array" ref="I934">IFERROR(_xlfn.IFS(M934="נח",1,M934="נע ונח",1,M934="שני שווא נח",2,M934="שני שוואים בסוף מילה",2,M934="שני שוואים ברצף",1),"0")</f>
        <v>0</v>
      </c>
      <c r="J934" s="9">
        <f t="shared" si="63"/>
        <v>3</v>
      </c>
      <c r="K934" t="s">
        <v>6697</v>
      </c>
      <c r="L934" t="s">
        <v>6695</v>
      </c>
      <c r="O934" t="s">
        <v>6694</v>
      </c>
      <c r="S934" t="s">
        <v>6694</v>
      </c>
      <c r="U934" t="s">
        <v>6694</v>
      </c>
      <c r="W934" t="s">
        <v>6720</v>
      </c>
    </row>
    <row r="935" spans="1:23" ht="15.6" x14ac:dyDescent="0.4">
      <c r="A935" s="2" t="s">
        <v>4573</v>
      </c>
      <c r="B935" s="5" t="s">
        <v>7541</v>
      </c>
      <c r="C935" s="7" t="s">
        <v>12556</v>
      </c>
      <c r="D935" s="8">
        <f t="shared" si="60"/>
        <v>0</v>
      </c>
      <c r="E935" s="7" t="s">
        <v>12557</v>
      </c>
      <c r="F935" s="7">
        <f t="shared" si="61"/>
        <v>1</v>
      </c>
      <c r="G935" s="7" t="s">
        <v>12558</v>
      </c>
      <c r="H935" s="7">
        <f t="shared" si="62"/>
        <v>0</v>
      </c>
      <c r="I935" s="7" t="str" cm="1">
        <f t="array" ref="I935">IFERROR(_xlfn.IFS(M935="נח",1,M935="נע ונח",1,M935="שני שווא נח",2,M935="שני שוואים בסוף מילה",2,M935="שני שוואים ברצף",1),"0")</f>
        <v>0</v>
      </c>
      <c r="J935" s="9">
        <f t="shared" si="63"/>
        <v>2</v>
      </c>
      <c r="K935" t="s">
        <v>6698</v>
      </c>
      <c r="L935" t="s">
        <v>6695</v>
      </c>
      <c r="Q935" t="s">
        <v>6694</v>
      </c>
      <c r="S935" t="s">
        <v>6694</v>
      </c>
      <c r="W935" t="s">
        <v>6720</v>
      </c>
    </row>
    <row r="936" spans="1:23" ht="15.6" x14ac:dyDescent="0.4">
      <c r="A936" s="2" t="s">
        <v>3068</v>
      </c>
      <c r="B936" s="5" t="s">
        <v>7542</v>
      </c>
      <c r="C936" s="7" t="s">
        <v>12556</v>
      </c>
      <c r="D936" s="8">
        <f t="shared" si="60"/>
        <v>0</v>
      </c>
      <c r="E936" s="7" t="s">
        <v>12557</v>
      </c>
      <c r="F936" s="7">
        <f t="shared" si="61"/>
        <v>1</v>
      </c>
      <c r="G936" s="7" t="s">
        <v>12558</v>
      </c>
      <c r="H936" s="7">
        <f t="shared" si="62"/>
        <v>0</v>
      </c>
      <c r="I936" s="7" cm="1">
        <f t="array" ref="I936">IFERROR(_xlfn.IFS(M936="נח",1,M936="נע ונח",1,M936="שני שווא נח",2,M936="שני שוואים בסוף מילה",2,M936="שני שוואים ברצף",1),"0")</f>
        <v>1</v>
      </c>
      <c r="J936" s="9">
        <f t="shared" si="63"/>
        <v>3</v>
      </c>
      <c r="K936" t="s">
        <v>6697</v>
      </c>
      <c r="L936" t="s">
        <v>6694</v>
      </c>
      <c r="M936" t="s">
        <v>6705</v>
      </c>
      <c r="O936" t="s">
        <v>6694</v>
      </c>
      <c r="S936" t="s">
        <v>6694</v>
      </c>
      <c r="W936" t="s">
        <v>6720</v>
      </c>
    </row>
    <row r="937" spans="1:23" ht="15.6" x14ac:dyDescent="0.4">
      <c r="A937" s="2" t="s">
        <v>3602</v>
      </c>
      <c r="B937" s="5" t="s">
        <v>7543</v>
      </c>
      <c r="C937" s="7" t="s">
        <v>12556</v>
      </c>
      <c r="D937" s="8">
        <f t="shared" si="60"/>
        <v>0</v>
      </c>
      <c r="E937" s="7" t="s">
        <v>12557</v>
      </c>
      <c r="F937" s="7">
        <f t="shared" si="61"/>
        <v>1</v>
      </c>
      <c r="G937" s="7" t="s">
        <v>12558</v>
      </c>
      <c r="H937" s="7">
        <f t="shared" si="62"/>
        <v>0</v>
      </c>
      <c r="I937" s="7" t="str" cm="1">
        <f t="array" ref="I937">IFERROR(_xlfn.IFS(M937="נח",1,M937="נע ונח",1,M937="שני שווא נח",2,M937="שני שוואים בסוף מילה",2,M937="שני שוואים ברצף",1),"0")</f>
        <v>0</v>
      </c>
      <c r="J937" s="9">
        <f t="shared" si="63"/>
        <v>2</v>
      </c>
      <c r="K937" t="s">
        <v>6697</v>
      </c>
      <c r="L937" t="s">
        <v>6695</v>
      </c>
      <c r="Q937" t="s">
        <v>6694</v>
      </c>
      <c r="S937" t="s">
        <v>6694</v>
      </c>
      <c r="W937" t="s">
        <v>6720</v>
      </c>
    </row>
    <row r="938" spans="1:23" ht="15.6" x14ac:dyDescent="0.4">
      <c r="A938" s="2" t="s">
        <v>3153</v>
      </c>
      <c r="B938" s="5" t="s">
        <v>7544</v>
      </c>
      <c r="C938" s="7" t="s">
        <v>12556</v>
      </c>
      <c r="D938" s="8">
        <f t="shared" si="60"/>
        <v>0</v>
      </c>
      <c r="E938" s="7" t="s">
        <v>12557</v>
      </c>
      <c r="F938" s="7">
        <f t="shared" si="61"/>
        <v>1</v>
      </c>
      <c r="G938" s="7" t="s">
        <v>12558</v>
      </c>
      <c r="H938" s="7">
        <f t="shared" si="62"/>
        <v>0</v>
      </c>
      <c r="I938" s="7" t="str" cm="1">
        <f t="array" ref="I938">IFERROR(_xlfn.IFS(M938="נח",1,M938="נע ונח",1,M938="שני שווא נח",2,M938="שני שוואים בסוף מילה",2,M938="שני שוואים ברצף",1),"0")</f>
        <v>0</v>
      </c>
      <c r="J938" s="9">
        <f t="shared" si="63"/>
        <v>2</v>
      </c>
      <c r="K938" t="s">
        <v>6697</v>
      </c>
      <c r="L938" t="s">
        <v>6695</v>
      </c>
      <c r="O938" t="s">
        <v>6694</v>
      </c>
      <c r="S938" t="s">
        <v>6694</v>
      </c>
      <c r="W938" t="s">
        <v>6720</v>
      </c>
    </row>
    <row r="939" spans="1:23" ht="15.6" x14ac:dyDescent="0.4">
      <c r="A939" s="2" t="s">
        <v>83</v>
      </c>
      <c r="B939" s="5" t="s">
        <v>7545</v>
      </c>
      <c r="C939" s="7" t="s">
        <v>12556</v>
      </c>
      <c r="D939" s="8">
        <f t="shared" si="60"/>
        <v>0</v>
      </c>
      <c r="E939" s="7" t="s">
        <v>12557</v>
      </c>
      <c r="F939" s="7">
        <f t="shared" si="61"/>
        <v>2</v>
      </c>
      <c r="G939" s="7" t="s">
        <v>12558</v>
      </c>
      <c r="H939" s="7">
        <f t="shared" si="62"/>
        <v>1</v>
      </c>
      <c r="I939" s="7" t="str" cm="1">
        <f t="array" ref="I939">IFERROR(_xlfn.IFS(M939="נח",1,M939="נע ונח",1,M939="שני שווא נח",2,M939="שני שוואים בסוף מילה",2,M939="שני שוואים ברצף",1),"0")</f>
        <v>0</v>
      </c>
      <c r="J939" s="9">
        <f t="shared" si="63"/>
        <v>2</v>
      </c>
      <c r="K939" t="s">
        <v>6697</v>
      </c>
      <c r="L939" t="s">
        <v>6695</v>
      </c>
      <c r="S939" t="s">
        <v>6694</v>
      </c>
      <c r="U939" t="s">
        <v>6694</v>
      </c>
      <c r="W939" t="s">
        <v>6720</v>
      </c>
    </row>
    <row r="940" spans="1:23" ht="15.6" x14ac:dyDescent="0.4">
      <c r="A940" s="2" t="s">
        <v>3843</v>
      </c>
      <c r="B940" s="5" t="s">
        <v>7546</v>
      </c>
      <c r="C940" s="7" t="s">
        <v>12556</v>
      </c>
      <c r="D940" s="8">
        <f t="shared" si="60"/>
        <v>0</v>
      </c>
      <c r="E940" s="7" t="s">
        <v>12557</v>
      </c>
      <c r="F940" s="7">
        <f t="shared" si="61"/>
        <v>1</v>
      </c>
      <c r="G940" s="7" t="s">
        <v>12558</v>
      </c>
      <c r="H940" s="7">
        <f t="shared" si="62"/>
        <v>0</v>
      </c>
      <c r="I940" s="7" t="str" cm="1">
        <f t="array" ref="I940">IFERROR(_xlfn.IFS(M940="נח",1,M940="נע ונח",1,M940="שני שווא נח",2,M940="שני שוואים בסוף מילה",2,M940="שני שוואים ברצף",1),"0")</f>
        <v>0</v>
      </c>
      <c r="J940" s="9">
        <f t="shared" si="63"/>
        <v>2</v>
      </c>
      <c r="K940" t="s">
        <v>6698</v>
      </c>
      <c r="L940" t="s">
        <v>6695</v>
      </c>
      <c r="N940" t="s">
        <v>6706</v>
      </c>
      <c r="O940" t="s">
        <v>6694</v>
      </c>
      <c r="S940" t="s">
        <v>6694</v>
      </c>
      <c r="W940" t="s">
        <v>6720</v>
      </c>
    </row>
    <row r="941" spans="1:23" ht="15.6" x14ac:dyDescent="0.4">
      <c r="A941" s="2" t="s">
        <v>4521</v>
      </c>
      <c r="B941" s="5" t="s">
        <v>7547</v>
      </c>
      <c r="C941" s="7" t="s">
        <v>12556</v>
      </c>
      <c r="D941" s="8">
        <f t="shared" si="60"/>
        <v>0</v>
      </c>
      <c r="E941" s="7" t="s">
        <v>12557</v>
      </c>
      <c r="F941" s="7">
        <f t="shared" si="61"/>
        <v>1</v>
      </c>
      <c r="G941" s="7" t="s">
        <v>12558</v>
      </c>
      <c r="H941" s="7">
        <f t="shared" si="62"/>
        <v>0</v>
      </c>
      <c r="I941" s="7" cm="1">
        <f t="array" ref="I941">IFERROR(_xlfn.IFS(M941="נח",1,M941="נע ונח",1,M941="שני שווא נח",2,M941="שני שוואים בסוף מילה",2,M941="שני שוואים ברצף",1),"0")</f>
        <v>1</v>
      </c>
      <c r="J941" s="9">
        <f t="shared" si="63"/>
        <v>3</v>
      </c>
      <c r="K941" t="s">
        <v>6698</v>
      </c>
      <c r="L941" t="s">
        <v>6694</v>
      </c>
      <c r="M941" t="s">
        <v>6705</v>
      </c>
      <c r="P941" t="s">
        <v>6694</v>
      </c>
      <c r="S941" t="s">
        <v>6694</v>
      </c>
      <c r="W941" t="s">
        <v>6720</v>
      </c>
    </row>
    <row r="942" spans="1:23" ht="15.6" x14ac:dyDescent="0.4">
      <c r="A942" s="2" t="s">
        <v>1522</v>
      </c>
      <c r="B942" s="5" t="s">
        <v>7214</v>
      </c>
      <c r="C942" s="7" t="s">
        <v>12556</v>
      </c>
      <c r="D942" s="8">
        <f t="shared" si="60"/>
        <v>1</v>
      </c>
      <c r="E942" s="7" t="s">
        <v>12557</v>
      </c>
      <c r="F942" s="7">
        <f t="shared" si="61"/>
        <v>1</v>
      </c>
      <c r="G942" s="7" t="s">
        <v>12558</v>
      </c>
      <c r="H942" s="7">
        <f t="shared" si="62"/>
        <v>0</v>
      </c>
      <c r="I942" s="7" t="str" cm="1">
        <f t="array" ref="I942">IFERROR(_xlfn.IFS(M942="נח",1,M942="נע ונח",1,M942="שני שווא נח",2,M942="שני שוואים בסוף מילה",2,M942="שני שוואים ברצף",1),"0")</f>
        <v>0</v>
      </c>
      <c r="J942" s="9">
        <f t="shared" si="63"/>
        <v>3</v>
      </c>
      <c r="K942" t="s">
        <v>6698</v>
      </c>
      <c r="L942" t="s">
        <v>6695</v>
      </c>
      <c r="S942" t="s">
        <v>6694</v>
      </c>
      <c r="V942" t="s">
        <v>6694</v>
      </c>
      <c r="W942" t="s">
        <v>6720</v>
      </c>
    </row>
    <row r="943" spans="1:23" ht="15.6" x14ac:dyDescent="0.4">
      <c r="A943" s="2" t="s">
        <v>6116</v>
      </c>
      <c r="B943" s="5" t="s">
        <v>7548</v>
      </c>
      <c r="C943" s="7" t="s">
        <v>12556</v>
      </c>
      <c r="D943" s="8">
        <f t="shared" si="60"/>
        <v>1</v>
      </c>
      <c r="E943" s="7" t="s">
        <v>12557</v>
      </c>
      <c r="F943" s="7">
        <f t="shared" si="61"/>
        <v>2</v>
      </c>
      <c r="G943" s="7" t="s">
        <v>12558</v>
      </c>
      <c r="H943" s="7">
        <f t="shared" si="62"/>
        <v>1</v>
      </c>
      <c r="I943" s="7" t="str" cm="1">
        <f t="array" ref="I943">IFERROR(_xlfn.IFS(M943="נח",1,M943="נע ונח",1,M943="שני שווא נח",2,M943="שני שוואים בסוף מילה",2,M943="שני שוואים ברצף",1),"0")</f>
        <v>0</v>
      </c>
      <c r="J943" s="9">
        <f t="shared" si="63"/>
        <v>3</v>
      </c>
      <c r="K943" t="s">
        <v>6697</v>
      </c>
      <c r="L943" t="s">
        <v>6695</v>
      </c>
      <c r="O943" t="s">
        <v>6694</v>
      </c>
      <c r="S943" t="s">
        <v>6694</v>
      </c>
      <c r="U943" t="s">
        <v>6694</v>
      </c>
      <c r="W943" t="s">
        <v>6720</v>
      </c>
    </row>
    <row r="944" spans="1:23" ht="15.6" x14ac:dyDescent="0.4">
      <c r="A944" s="2" t="s">
        <v>6226</v>
      </c>
      <c r="B944" s="5" t="s">
        <v>7549</v>
      </c>
      <c r="C944" s="7" t="s">
        <v>12556</v>
      </c>
      <c r="D944" s="8">
        <f t="shared" si="60"/>
        <v>1</v>
      </c>
      <c r="E944" s="7" t="s">
        <v>12557</v>
      </c>
      <c r="F944" s="7">
        <f t="shared" si="61"/>
        <v>2</v>
      </c>
      <c r="G944" s="7" t="s">
        <v>12558</v>
      </c>
      <c r="H944" s="7">
        <f t="shared" si="62"/>
        <v>1</v>
      </c>
      <c r="I944" s="7" t="str" cm="1">
        <f t="array" ref="I944">IFERROR(_xlfn.IFS(M944="נח",1,M944="נע ונח",1,M944="שני שווא נח",2,M944="שני שוואים בסוף מילה",2,M944="שני שוואים ברצף",1),"0")</f>
        <v>0</v>
      </c>
      <c r="J944" s="9">
        <f t="shared" si="63"/>
        <v>4</v>
      </c>
      <c r="K944" t="s">
        <v>6697</v>
      </c>
      <c r="L944" t="s">
        <v>6695</v>
      </c>
      <c r="O944" t="s">
        <v>6694</v>
      </c>
      <c r="S944" t="s">
        <v>6694</v>
      </c>
      <c r="U944" t="s">
        <v>6694</v>
      </c>
      <c r="W944" t="s">
        <v>6720</v>
      </c>
    </row>
    <row r="945" spans="1:23" ht="15.6" x14ac:dyDescent="0.4">
      <c r="A945" s="2" t="s">
        <v>3301</v>
      </c>
      <c r="B945" s="5" t="s">
        <v>7550</v>
      </c>
      <c r="C945" s="7" t="s">
        <v>12556</v>
      </c>
      <c r="D945" s="8">
        <f t="shared" si="60"/>
        <v>1</v>
      </c>
      <c r="E945" s="7" t="s">
        <v>12557</v>
      </c>
      <c r="F945" s="7">
        <f t="shared" si="61"/>
        <v>2</v>
      </c>
      <c r="G945" s="7" t="s">
        <v>12558</v>
      </c>
      <c r="H945" s="7">
        <f t="shared" si="62"/>
        <v>1</v>
      </c>
      <c r="I945" s="7" t="str" cm="1">
        <f t="array" ref="I945">IFERROR(_xlfn.IFS(M945="נח",1,M945="נע ונח",1,M945="שני שווא נח",2,M945="שני שוואים בסוף מילה",2,M945="שני שוואים ברצף",1),"0")</f>
        <v>0</v>
      </c>
      <c r="J945" s="9">
        <f t="shared" si="63"/>
        <v>5</v>
      </c>
      <c r="K945" t="s">
        <v>6697</v>
      </c>
      <c r="L945" t="s">
        <v>6695</v>
      </c>
      <c r="O945" t="s">
        <v>6694</v>
      </c>
      <c r="R945" t="s">
        <v>6694</v>
      </c>
      <c r="S945" t="s">
        <v>6694</v>
      </c>
      <c r="U945" t="s">
        <v>6694</v>
      </c>
      <c r="W945" t="s">
        <v>6720</v>
      </c>
    </row>
    <row r="946" spans="1:23" ht="15.6" x14ac:dyDescent="0.4">
      <c r="A946" s="2" t="s">
        <v>6061</v>
      </c>
      <c r="B946" s="5" t="s">
        <v>7551</v>
      </c>
      <c r="C946" s="7" t="s">
        <v>12556</v>
      </c>
      <c r="D946" s="8">
        <f t="shared" si="60"/>
        <v>1</v>
      </c>
      <c r="E946" s="7" t="s">
        <v>12557</v>
      </c>
      <c r="F946" s="7">
        <f t="shared" si="61"/>
        <v>2</v>
      </c>
      <c r="G946" s="7" t="s">
        <v>12558</v>
      </c>
      <c r="H946" s="7">
        <f t="shared" si="62"/>
        <v>1</v>
      </c>
      <c r="I946" s="7" t="str" cm="1">
        <f t="array" ref="I946">IFERROR(_xlfn.IFS(M946="נח",1,M946="נע ונח",1,M946="שני שווא נח",2,M946="שני שוואים בסוף מילה",2,M946="שני שוואים ברצף",1),"0")</f>
        <v>0</v>
      </c>
      <c r="J946" s="9">
        <f t="shared" si="63"/>
        <v>4</v>
      </c>
      <c r="K946" t="s">
        <v>6697</v>
      </c>
      <c r="L946" t="s">
        <v>6695</v>
      </c>
      <c r="O946" t="s">
        <v>6694</v>
      </c>
      <c r="S946" t="s">
        <v>6694</v>
      </c>
      <c r="U946" t="s">
        <v>6694</v>
      </c>
      <c r="V946" t="s">
        <v>6694</v>
      </c>
      <c r="W946" t="s">
        <v>6720</v>
      </c>
    </row>
    <row r="947" spans="1:23" ht="15.6" x14ac:dyDescent="0.4">
      <c r="A947" s="2" t="s">
        <v>6228</v>
      </c>
      <c r="B947" s="5" t="s">
        <v>7552</v>
      </c>
      <c r="C947" s="7" t="s">
        <v>12556</v>
      </c>
      <c r="D947" s="8">
        <f t="shared" si="60"/>
        <v>0</v>
      </c>
      <c r="E947" s="7" t="s">
        <v>12557</v>
      </c>
      <c r="F947" s="7">
        <f t="shared" si="61"/>
        <v>1</v>
      </c>
      <c r="G947" s="7" t="s">
        <v>12558</v>
      </c>
      <c r="H947" s="7">
        <f t="shared" si="62"/>
        <v>0</v>
      </c>
      <c r="I947" s="7" cm="1">
        <f t="array" ref="I947">IFERROR(_xlfn.IFS(M947="נח",1,M947="נע ונח",1,M947="שני שווא נח",2,M947="שני שוואים בסוף מילה",2,M947="שני שוואים ברצף",1),"0")</f>
        <v>1</v>
      </c>
      <c r="J947" s="9">
        <f t="shared" si="63"/>
        <v>2</v>
      </c>
      <c r="K947" t="s">
        <v>6697</v>
      </c>
      <c r="L947" t="s">
        <v>6694</v>
      </c>
      <c r="M947" t="s">
        <v>6705</v>
      </c>
      <c r="S947" t="s">
        <v>6694</v>
      </c>
      <c r="W947" t="s">
        <v>6720</v>
      </c>
    </row>
    <row r="948" spans="1:23" ht="15.6" x14ac:dyDescent="0.4">
      <c r="A948" s="2" t="s">
        <v>3022</v>
      </c>
      <c r="B948" s="5" t="s">
        <v>7553</v>
      </c>
      <c r="C948" s="7" t="s">
        <v>12556</v>
      </c>
      <c r="D948" s="8">
        <f t="shared" si="60"/>
        <v>0</v>
      </c>
      <c r="E948" s="7" t="s">
        <v>12557</v>
      </c>
      <c r="F948" s="7">
        <f t="shared" si="61"/>
        <v>1</v>
      </c>
      <c r="G948" s="7" t="s">
        <v>12558</v>
      </c>
      <c r="H948" s="7">
        <f t="shared" si="62"/>
        <v>0</v>
      </c>
      <c r="I948" s="7" cm="1">
        <f t="array" ref="I948">IFERROR(_xlfn.IFS(M948="נח",1,M948="נע ונח",1,M948="שני שווא נח",2,M948="שני שוואים בסוף מילה",2,M948="שני שוואים ברצף",1),"0")</f>
        <v>1</v>
      </c>
      <c r="J948" s="9">
        <f t="shared" si="63"/>
        <v>2</v>
      </c>
      <c r="K948" t="s">
        <v>6698</v>
      </c>
      <c r="L948" t="s">
        <v>6694</v>
      </c>
      <c r="M948" t="s">
        <v>6705</v>
      </c>
      <c r="S948" t="s">
        <v>6694</v>
      </c>
      <c r="V948" t="s">
        <v>6694</v>
      </c>
      <c r="W948" t="s">
        <v>6720</v>
      </c>
    </row>
    <row r="949" spans="1:23" ht="15.6" x14ac:dyDescent="0.4">
      <c r="A949" s="2" t="s">
        <v>3209</v>
      </c>
      <c r="B949" s="5" t="s">
        <v>7554</v>
      </c>
      <c r="C949" s="7" t="s">
        <v>12556</v>
      </c>
      <c r="D949" s="8">
        <f t="shared" si="60"/>
        <v>0</v>
      </c>
      <c r="E949" s="7" t="s">
        <v>12557</v>
      </c>
      <c r="F949" s="7">
        <f t="shared" si="61"/>
        <v>1</v>
      </c>
      <c r="G949" s="7" t="s">
        <v>12558</v>
      </c>
      <c r="H949" s="7">
        <f t="shared" si="62"/>
        <v>0</v>
      </c>
      <c r="I949" s="7" cm="1">
        <f t="array" ref="I949">IFERROR(_xlfn.IFS(M949="נח",1,M949="נע ונח",1,M949="שני שווא נח",2,M949="שני שוואים בסוף מילה",2,M949="שני שוואים ברצף",1),"0")</f>
        <v>1</v>
      </c>
      <c r="J949" s="9">
        <f t="shared" si="63"/>
        <v>3</v>
      </c>
      <c r="K949" t="s">
        <v>6697</v>
      </c>
      <c r="L949" t="s">
        <v>6694</v>
      </c>
      <c r="M949" t="s">
        <v>6705</v>
      </c>
      <c r="O949" t="s">
        <v>6694</v>
      </c>
      <c r="S949" t="s">
        <v>6694</v>
      </c>
      <c r="W949" t="s">
        <v>6720</v>
      </c>
    </row>
    <row r="950" spans="1:23" ht="15.6" x14ac:dyDescent="0.4">
      <c r="A950" s="2" t="s">
        <v>5747</v>
      </c>
      <c r="B950" s="5" t="s">
        <v>7555</v>
      </c>
      <c r="C950" s="7" t="s">
        <v>12556</v>
      </c>
      <c r="D950" s="8">
        <f t="shared" si="60"/>
        <v>0</v>
      </c>
      <c r="E950" s="7" t="s">
        <v>12557</v>
      </c>
      <c r="F950" s="7">
        <f t="shared" si="61"/>
        <v>1</v>
      </c>
      <c r="G950" s="7" t="s">
        <v>12558</v>
      </c>
      <c r="H950" s="7">
        <f t="shared" si="62"/>
        <v>0</v>
      </c>
      <c r="I950" s="7" cm="1">
        <f t="array" ref="I950">IFERROR(_xlfn.IFS(M950="נח",1,M950="נע ונח",1,M950="שני שווא נח",2,M950="שני שוואים בסוף מילה",2,M950="שני שוואים ברצף",1),"0")</f>
        <v>1</v>
      </c>
      <c r="J950" s="9">
        <f t="shared" si="63"/>
        <v>3</v>
      </c>
      <c r="K950" t="s">
        <v>6698</v>
      </c>
      <c r="L950" t="s">
        <v>6694</v>
      </c>
      <c r="M950" t="s">
        <v>6705</v>
      </c>
      <c r="N950" t="s">
        <v>6706</v>
      </c>
      <c r="O950" t="s">
        <v>6694</v>
      </c>
      <c r="S950" t="s">
        <v>6694</v>
      </c>
      <c r="W950" t="s">
        <v>6720</v>
      </c>
    </row>
    <row r="951" spans="1:23" ht="15.6" x14ac:dyDescent="0.4">
      <c r="A951" s="2" t="s">
        <v>6584</v>
      </c>
      <c r="B951" s="5" t="s">
        <v>7556</v>
      </c>
      <c r="C951" s="7" t="s">
        <v>12556</v>
      </c>
      <c r="D951" s="8">
        <f t="shared" si="60"/>
        <v>0</v>
      </c>
      <c r="E951" s="7" t="s">
        <v>12557</v>
      </c>
      <c r="F951" s="7">
        <f t="shared" si="61"/>
        <v>1</v>
      </c>
      <c r="G951" s="7" t="s">
        <v>12558</v>
      </c>
      <c r="H951" s="7">
        <f t="shared" si="62"/>
        <v>0</v>
      </c>
      <c r="I951" s="7" cm="1">
        <f t="array" ref="I951">IFERROR(_xlfn.IFS(M951="נח",1,M951="נע ונח",1,M951="שני שווא נח",2,M951="שני שוואים בסוף מילה",2,M951="שני שוואים ברצף",1),"0")</f>
        <v>1</v>
      </c>
      <c r="J951" s="9">
        <f t="shared" si="63"/>
        <v>3</v>
      </c>
      <c r="K951" t="s">
        <v>6697</v>
      </c>
      <c r="L951" t="s">
        <v>6694</v>
      </c>
      <c r="M951" t="s">
        <v>6705</v>
      </c>
      <c r="O951" t="s">
        <v>6694</v>
      </c>
      <c r="S951" t="s">
        <v>6694</v>
      </c>
      <c r="V951" t="s">
        <v>6694</v>
      </c>
      <c r="W951" t="s">
        <v>6720</v>
      </c>
    </row>
    <row r="952" spans="1:23" ht="15.6" x14ac:dyDescent="0.4">
      <c r="A952" s="2" t="s">
        <v>5031</v>
      </c>
      <c r="B952" s="5" t="s">
        <v>7216</v>
      </c>
      <c r="C952" s="7" t="s">
        <v>12556</v>
      </c>
      <c r="D952" s="8">
        <f t="shared" si="60"/>
        <v>1</v>
      </c>
      <c r="E952" s="7" t="s">
        <v>12557</v>
      </c>
      <c r="F952" s="7">
        <f t="shared" si="61"/>
        <v>1</v>
      </c>
      <c r="G952" s="7" t="s">
        <v>12558</v>
      </c>
      <c r="H952" s="7">
        <f t="shared" si="62"/>
        <v>0</v>
      </c>
      <c r="I952" s="7" cm="1">
        <f t="array" ref="I952">IFERROR(_xlfn.IFS(M952="נח",1,M952="נע ונח",1,M952="שני שווא נח",2,M952="שני שוואים בסוף מילה",2,M952="שני שוואים ברצף",1),"0")</f>
        <v>1</v>
      </c>
      <c r="J952" s="9">
        <f t="shared" si="63"/>
        <v>3</v>
      </c>
      <c r="K952" t="s">
        <v>6697</v>
      </c>
      <c r="L952" t="s">
        <v>6694</v>
      </c>
      <c r="M952" t="s">
        <v>6705</v>
      </c>
      <c r="S952" t="s">
        <v>6694</v>
      </c>
      <c r="V952" t="s">
        <v>6694</v>
      </c>
      <c r="W952" t="s">
        <v>6720</v>
      </c>
    </row>
    <row r="953" spans="1:23" ht="15.6" x14ac:dyDescent="0.4">
      <c r="A953" s="2" t="s">
        <v>6200</v>
      </c>
      <c r="B953" s="5" t="s">
        <v>7557</v>
      </c>
      <c r="C953" s="7" t="s">
        <v>12556</v>
      </c>
      <c r="D953" s="8">
        <f t="shared" si="60"/>
        <v>0</v>
      </c>
      <c r="E953" s="7" t="s">
        <v>12557</v>
      </c>
      <c r="F953" s="7">
        <f t="shared" si="61"/>
        <v>4</v>
      </c>
      <c r="G953" s="7" t="s">
        <v>12558</v>
      </c>
      <c r="H953" s="7">
        <f t="shared" si="62"/>
        <v>2</v>
      </c>
      <c r="I953" s="7" t="str" cm="1">
        <f t="array" ref="I953">IFERROR(_xlfn.IFS(M953="נח",1,M953="נע ונח",1,M953="שני שווא נח",2,M953="שני שוואים בסוף מילה",2,M953="שני שוואים ברצף",1),"0")</f>
        <v>0</v>
      </c>
      <c r="J953" s="9">
        <f t="shared" si="63"/>
        <v>5</v>
      </c>
      <c r="K953" t="s">
        <v>6697</v>
      </c>
      <c r="L953" t="s">
        <v>6695</v>
      </c>
      <c r="P953" t="s">
        <v>6694</v>
      </c>
      <c r="S953" t="s">
        <v>6694</v>
      </c>
      <c r="U953" t="s">
        <v>6694</v>
      </c>
      <c r="W953" t="s">
        <v>6720</v>
      </c>
    </row>
    <row r="954" spans="1:23" ht="15.6" x14ac:dyDescent="0.4">
      <c r="A954" s="2" t="s">
        <v>3514</v>
      </c>
      <c r="B954" s="5" t="s">
        <v>7558</v>
      </c>
      <c r="C954" s="7" t="s">
        <v>12556</v>
      </c>
      <c r="D954" s="8">
        <f t="shared" si="60"/>
        <v>0</v>
      </c>
      <c r="E954" s="7" t="s">
        <v>12557</v>
      </c>
      <c r="F954" s="7">
        <f t="shared" si="61"/>
        <v>2</v>
      </c>
      <c r="G954" s="7" t="s">
        <v>12558</v>
      </c>
      <c r="H954" s="7">
        <f t="shared" si="62"/>
        <v>0</v>
      </c>
      <c r="I954" s="7" cm="1">
        <f t="array" ref="I954">IFERROR(_xlfn.IFS(M954="נח",1,M954="נע ונח",1,M954="שני שווא נח",2,M954="שני שוואים בסוף מילה",2,M954="שני שוואים ברצף",1),"0")</f>
        <v>1</v>
      </c>
      <c r="J954" s="9">
        <f t="shared" si="63"/>
        <v>3</v>
      </c>
      <c r="K954" t="s">
        <v>6698</v>
      </c>
      <c r="L954" t="s">
        <v>6694</v>
      </c>
      <c r="M954" t="s">
        <v>6705</v>
      </c>
      <c r="P954" t="s">
        <v>6694</v>
      </c>
      <c r="S954" t="s">
        <v>6694</v>
      </c>
      <c r="W954" t="s">
        <v>6720</v>
      </c>
    </row>
    <row r="955" spans="1:23" ht="15.6" x14ac:dyDescent="0.4">
      <c r="A955" s="2" t="s">
        <v>4032</v>
      </c>
      <c r="B955" s="5" t="s">
        <v>7559</v>
      </c>
      <c r="C955" s="7" t="s">
        <v>12556</v>
      </c>
      <c r="D955" s="8">
        <f t="shared" si="60"/>
        <v>0</v>
      </c>
      <c r="E955" s="7" t="s">
        <v>12557</v>
      </c>
      <c r="F955" s="7">
        <f t="shared" si="61"/>
        <v>2</v>
      </c>
      <c r="G955" s="7" t="s">
        <v>12558</v>
      </c>
      <c r="H955" s="7">
        <f t="shared" si="62"/>
        <v>1</v>
      </c>
      <c r="I955" s="7" cm="1">
        <f t="array" ref="I955">IFERROR(_xlfn.IFS(M955="נח",1,M955="נע ונח",1,M955="שני שווא נח",2,M955="שני שוואים בסוף מילה",2,M955="שני שוואים ברצף",1),"0")</f>
        <v>1</v>
      </c>
      <c r="J955" s="9">
        <f t="shared" si="63"/>
        <v>3</v>
      </c>
      <c r="K955" t="s">
        <v>6698</v>
      </c>
      <c r="L955" t="s">
        <v>6694</v>
      </c>
      <c r="M955" t="s">
        <v>6705</v>
      </c>
      <c r="N955" t="s">
        <v>6706</v>
      </c>
      <c r="O955" t="s">
        <v>6694</v>
      </c>
      <c r="S955" t="s">
        <v>6694</v>
      </c>
      <c r="U955" t="s">
        <v>6694</v>
      </c>
      <c r="W955" t="s">
        <v>6720</v>
      </c>
    </row>
    <row r="956" spans="1:23" ht="15.6" x14ac:dyDescent="0.4">
      <c r="A956" s="2" t="s">
        <v>5132</v>
      </c>
      <c r="B956" s="5" t="s">
        <v>7560</v>
      </c>
      <c r="C956" s="7" t="s">
        <v>12556</v>
      </c>
      <c r="D956" s="8">
        <f t="shared" si="60"/>
        <v>0</v>
      </c>
      <c r="E956" s="7" t="s">
        <v>12557</v>
      </c>
      <c r="F956" s="7">
        <f t="shared" si="61"/>
        <v>2</v>
      </c>
      <c r="G956" s="7" t="s">
        <v>12558</v>
      </c>
      <c r="H956" s="7">
        <f t="shared" si="62"/>
        <v>0</v>
      </c>
      <c r="I956" s="7" cm="1">
        <f t="array" ref="I956">IFERROR(_xlfn.IFS(M956="נח",1,M956="נע ונח",1,M956="שני שווא נח",2,M956="שני שוואים בסוף מילה",2,M956="שני שוואים ברצף",1),"0")</f>
        <v>1</v>
      </c>
      <c r="J956" s="9">
        <f t="shared" si="63"/>
        <v>3</v>
      </c>
      <c r="K956" t="s">
        <v>6698</v>
      </c>
      <c r="L956" t="s">
        <v>6694</v>
      </c>
      <c r="M956" t="s">
        <v>6705</v>
      </c>
      <c r="S956" t="s">
        <v>6694</v>
      </c>
      <c r="V956" t="s">
        <v>6694</v>
      </c>
      <c r="W956" t="s">
        <v>6720</v>
      </c>
    </row>
    <row r="957" spans="1:23" ht="15.6" x14ac:dyDescent="0.4">
      <c r="A957" s="2" t="s">
        <v>6379</v>
      </c>
      <c r="B957" s="5" t="s">
        <v>7561</v>
      </c>
      <c r="C957" s="7" t="s">
        <v>12556</v>
      </c>
      <c r="D957" s="8">
        <f t="shared" si="60"/>
        <v>0</v>
      </c>
      <c r="E957" s="7" t="s">
        <v>12557</v>
      </c>
      <c r="F957" s="7">
        <f t="shared" si="61"/>
        <v>1</v>
      </c>
      <c r="G957" s="7" t="s">
        <v>12558</v>
      </c>
      <c r="H957" s="7">
        <f t="shared" si="62"/>
        <v>0</v>
      </c>
      <c r="I957" s="7" cm="1">
        <f t="array" ref="I957">IFERROR(_xlfn.IFS(M957="נח",1,M957="נע ונח",1,M957="שני שווא נח",2,M957="שני שוואים בסוף מילה",2,M957="שני שוואים ברצף",1),"0")</f>
        <v>1</v>
      </c>
      <c r="J957" s="9">
        <f t="shared" si="63"/>
        <v>4</v>
      </c>
      <c r="K957" t="s">
        <v>6698</v>
      </c>
      <c r="L957" t="s">
        <v>6694</v>
      </c>
      <c r="M957" t="s">
        <v>6705</v>
      </c>
      <c r="Q957" t="s">
        <v>6694</v>
      </c>
      <c r="R957" t="s">
        <v>6694</v>
      </c>
      <c r="S957" t="s">
        <v>6694</v>
      </c>
      <c r="W957" t="s">
        <v>6720</v>
      </c>
    </row>
    <row r="958" spans="1:23" ht="15.6" x14ac:dyDescent="0.4">
      <c r="A958" s="2" t="s">
        <v>4485</v>
      </c>
      <c r="B958" s="5" t="s">
        <v>7562</v>
      </c>
      <c r="C958" s="7" t="s">
        <v>12556</v>
      </c>
      <c r="D958" s="8">
        <f t="shared" si="60"/>
        <v>0</v>
      </c>
      <c r="E958" s="7" t="s">
        <v>12557</v>
      </c>
      <c r="F958" s="7">
        <f t="shared" si="61"/>
        <v>1</v>
      </c>
      <c r="G958" s="7" t="s">
        <v>12558</v>
      </c>
      <c r="H958" s="7">
        <f t="shared" si="62"/>
        <v>0</v>
      </c>
      <c r="I958" s="7" cm="1">
        <f t="array" ref="I958">IFERROR(_xlfn.IFS(M958="נח",1,M958="נע ונח",1,M958="שני שווא נח",2,M958="שני שוואים בסוף מילה",2,M958="שני שוואים ברצף",1),"0")</f>
        <v>1</v>
      </c>
      <c r="J958" s="9">
        <f t="shared" si="63"/>
        <v>2</v>
      </c>
      <c r="K958" t="s">
        <v>6698</v>
      </c>
      <c r="L958" t="s">
        <v>6694</v>
      </c>
      <c r="M958" t="s">
        <v>6705</v>
      </c>
      <c r="S958" t="s">
        <v>6694</v>
      </c>
      <c r="V958" t="s">
        <v>6694</v>
      </c>
      <c r="W958" t="s">
        <v>6720</v>
      </c>
    </row>
    <row r="959" spans="1:23" ht="15.6" x14ac:dyDescent="0.4">
      <c r="A959" s="2" t="s">
        <v>6137</v>
      </c>
      <c r="B959" s="5" t="s">
        <v>7563</v>
      </c>
      <c r="C959" s="7" t="s">
        <v>12556</v>
      </c>
      <c r="D959" s="8">
        <f t="shared" si="60"/>
        <v>0</v>
      </c>
      <c r="E959" s="7" t="s">
        <v>12557</v>
      </c>
      <c r="F959" s="7">
        <f t="shared" si="61"/>
        <v>2</v>
      </c>
      <c r="G959" s="7" t="s">
        <v>12558</v>
      </c>
      <c r="H959" s="7">
        <f t="shared" si="62"/>
        <v>1</v>
      </c>
      <c r="I959" s="7" cm="1">
        <f t="array" ref="I959">IFERROR(_xlfn.IFS(M959="נח",1,M959="נע ונח",1,M959="שני שווא נח",2,M959="שני שוואים בסוף מילה",2,M959="שני שוואים ברצף",1),"0")</f>
        <v>1</v>
      </c>
      <c r="J959" s="9">
        <f t="shared" si="63"/>
        <v>3</v>
      </c>
      <c r="K959" t="s">
        <v>6697</v>
      </c>
      <c r="L959" t="s">
        <v>6694</v>
      </c>
      <c r="M959" t="s">
        <v>6705</v>
      </c>
      <c r="O959" t="s">
        <v>6694</v>
      </c>
      <c r="S959" t="s">
        <v>6694</v>
      </c>
      <c r="U959" t="s">
        <v>6694</v>
      </c>
      <c r="W959" t="s">
        <v>6720</v>
      </c>
    </row>
    <row r="960" spans="1:23" ht="15.6" x14ac:dyDescent="0.4">
      <c r="A960" s="2" t="s">
        <v>2565</v>
      </c>
      <c r="B960" s="5" t="s">
        <v>7564</v>
      </c>
      <c r="C960" s="7" t="s">
        <v>12556</v>
      </c>
      <c r="D960" s="8">
        <f t="shared" si="60"/>
        <v>0</v>
      </c>
      <c r="E960" s="7" t="s">
        <v>12557</v>
      </c>
      <c r="F960" s="7">
        <f t="shared" si="61"/>
        <v>1</v>
      </c>
      <c r="G960" s="7" t="s">
        <v>12558</v>
      </c>
      <c r="H960" s="7">
        <f t="shared" si="62"/>
        <v>0</v>
      </c>
      <c r="I960" s="7" cm="1">
        <f t="array" ref="I960">IFERROR(_xlfn.IFS(M960="נח",1,M960="נע ונח",1,M960="שני שווא נח",2,M960="שני שוואים בסוף מילה",2,M960="שני שוואים ברצף",1),"0")</f>
        <v>1</v>
      </c>
      <c r="J960" s="9">
        <f t="shared" si="63"/>
        <v>2</v>
      </c>
      <c r="K960" t="s">
        <v>6698</v>
      </c>
      <c r="L960" t="s">
        <v>6694</v>
      </c>
      <c r="M960" t="s">
        <v>6705</v>
      </c>
      <c r="S960" t="s">
        <v>6694</v>
      </c>
      <c r="V960" t="s">
        <v>6694</v>
      </c>
      <c r="W960" t="s">
        <v>6720</v>
      </c>
    </row>
    <row r="961" spans="1:23" ht="15.6" x14ac:dyDescent="0.4">
      <c r="A961" s="2" t="s">
        <v>605</v>
      </c>
      <c r="B961" s="5" t="s">
        <v>7565</v>
      </c>
      <c r="C961" s="7" t="s">
        <v>12556</v>
      </c>
      <c r="D961" s="8">
        <f t="shared" si="60"/>
        <v>0</v>
      </c>
      <c r="E961" s="7" t="s">
        <v>12557</v>
      </c>
      <c r="F961" s="7">
        <f t="shared" si="61"/>
        <v>1</v>
      </c>
      <c r="G961" s="7" t="s">
        <v>12558</v>
      </c>
      <c r="H961" s="7">
        <f t="shared" si="62"/>
        <v>0</v>
      </c>
      <c r="I961" s="7" cm="1">
        <f t="array" ref="I961">IFERROR(_xlfn.IFS(M961="נח",1,M961="נע ונח",1,M961="שני שווא נח",2,M961="שני שוואים בסוף מילה",2,M961="שני שוואים ברצף",1),"0")</f>
        <v>1</v>
      </c>
      <c r="J961" s="9">
        <f t="shared" si="63"/>
        <v>2</v>
      </c>
      <c r="K961" t="s">
        <v>6698</v>
      </c>
      <c r="L961" t="s">
        <v>6694</v>
      </c>
      <c r="M961" t="s">
        <v>6705</v>
      </c>
      <c r="S961" t="s">
        <v>6694</v>
      </c>
      <c r="V961" t="s">
        <v>6694</v>
      </c>
      <c r="W961" t="s">
        <v>6720</v>
      </c>
    </row>
    <row r="962" spans="1:23" ht="15.6" x14ac:dyDescent="0.4">
      <c r="A962" s="2" t="s">
        <v>3134</v>
      </c>
      <c r="B962" s="5" t="s">
        <v>7566</v>
      </c>
      <c r="C962" s="7" t="s">
        <v>12556</v>
      </c>
      <c r="D962" s="8">
        <f t="shared" si="60"/>
        <v>0</v>
      </c>
      <c r="E962" s="7" t="s">
        <v>12557</v>
      </c>
      <c r="F962" s="7">
        <f t="shared" si="61"/>
        <v>1</v>
      </c>
      <c r="G962" s="7" t="s">
        <v>12558</v>
      </c>
      <c r="H962" s="7">
        <f t="shared" si="62"/>
        <v>0</v>
      </c>
      <c r="I962" s="7" cm="1">
        <f t="array" ref="I962">IFERROR(_xlfn.IFS(M962="נח",1,M962="נע ונח",1,M962="שני שווא נח",2,M962="שני שוואים בסוף מילה",2,M962="שני שוואים ברצף",1),"0")</f>
        <v>1</v>
      </c>
      <c r="J962" s="9">
        <f t="shared" si="63"/>
        <v>3</v>
      </c>
      <c r="K962" t="s">
        <v>6698</v>
      </c>
      <c r="L962" t="s">
        <v>6694</v>
      </c>
      <c r="M962" t="s">
        <v>6705</v>
      </c>
      <c r="S962" t="s">
        <v>6694</v>
      </c>
      <c r="V962" t="s">
        <v>6694</v>
      </c>
      <c r="W962" t="s">
        <v>6720</v>
      </c>
    </row>
    <row r="963" spans="1:23" ht="15.6" x14ac:dyDescent="0.4">
      <c r="A963" s="2" t="s">
        <v>3149</v>
      </c>
      <c r="B963" s="5" t="s">
        <v>7567</v>
      </c>
      <c r="C963" s="7" t="s">
        <v>12556</v>
      </c>
      <c r="D963" s="8">
        <f t="shared" ref="D963:D1026" si="64">(LEN(B963)-LEN(SUBSTITUTE(B963,C963,"")))</f>
        <v>0</v>
      </c>
      <c r="E963" s="7" t="s">
        <v>12557</v>
      </c>
      <c r="F963" s="7">
        <f t="shared" ref="F963:F1026" si="65">(LEN(A963)-LEN(SUBSTITUTE(A963,E963,"")))</f>
        <v>1</v>
      </c>
      <c r="G963" s="7" t="s">
        <v>12558</v>
      </c>
      <c r="H963" s="7">
        <f t="shared" ref="H963:H1026" si="66">(LEN(A963)-LEN(SUBSTITUTE(A963,G963,"")))/2</f>
        <v>0</v>
      </c>
      <c r="I963" s="7" cm="1">
        <f t="array" ref="I963">IFERROR(_xlfn.IFS(M963="נח",1,M963="נע ונח",1,M963="שני שווא נח",2,M963="שני שוואים בסוף מילה",2,M963="שני שוואים ברצף",1),"0")</f>
        <v>1</v>
      </c>
      <c r="J963" s="9">
        <f t="shared" ref="J963:J1026" si="67">LEN(A963)-(LEN(B963))-D963-F963+H963-I963</f>
        <v>3</v>
      </c>
      <c r="K963" t="s">
        <v>6698</v>
      </c>
      <c r="L963" t="s">
        <v>6694</v>
      </c>
      <c r="M963" t="s">
        <v>6705</v>
      </c>
      <c r="S963" t="s">
        <v>6694</v>
      </c>
      <c r="V963" t="s">
        <v>6694</v>
      </c>
      <c r="W963" t="s">
        <v>6720</v>
      </c>
    </row>
    <row r="964" spans="1:23" ht="15.6" x14ac:dyDescent="0.4">
      <c r="A964" s="2" t="s">
        <v>6159</v>
      </c>
      <c r="B964" s="5" t="s">
        <v>7218</v>
      </c>
      <c r="C964" s="7" t="s">
        <v>12556</v>
      </c>
      <c r="D964" s="8">
        <f t="shared" si="64"/>
        <v>0</v>
      </c>
      <c r="E964" s="7" t="s">
        <v>12557</v>
      </c>
      <c r="F964" s="7">
        <f t="shared" si="65"/>
        <v>1</v>
      </c>
      <c r="G964" s="7" t="s">
        <v>12558</v>
      </c>
      <c r="H964" s="7">
        <f t="shared" si="66"/>
        <v>0</v>
      </c>
      <c r="I964" s="7" cm="1">
        <f t="array" ref="I964">IFERROR(_xlfn.IFS(M964="נח",1,M964="נע ונח",1,M964="שני שווא נח",2,M964="שני שוואים בסוף מילה",2,M964="שני שוואים ברצף",1),"0")</f>
        <v>1</v>
      </c>
      <c r="J964" s="9">
        <f t="shared" si="67"/>
        <v>3</v>
      </c>
      <c r="K964" t="s">
        <v>6698</v>
      </c>
      <c r="L964" t="s">
        <v>6694</v>
      </c>
      <c r="M964" t="s">
        <v>6705</v>
      </c>
      <c r="S964" t="s">
        <v>6694</v>
      </c>
      <c r="W964" t="s">
        <v>6720</v>
      </c>
    </row>
    <row r="965" spans="1:23" ht="15.6" x14ac:dyDescent="0.4">
      <c r="A965" s="2" t="s">
        <v>3986</v>
      </c>
      <c r="B965" s="5" t="s">
        <v>7568</v>
      </c>
      <c r="C965" s="7" t="s">
        <v>12556</v>
      </c>
      <c r="D965" s="8">
        <f t="shared" si="64"/>
        <v>0</v>
      </c>
      <c r="E965" s="7" t="s">
        <v>12557</v>
      </c>
      <c r="F965" s="7">
        <f t="shared" si="65"/>
        <v>1</v>
      </c>
      <c r="G965" s="7" t="s">
        <v>12558</v>
      </c>
      <c r="H965" s="7">
        <f t="shared" si="66"/>
        <v>0</v>
      </c>
      <c r="I965" s="7" cm="1">
        <f t="array" ref="I965">IFERROR(_xlfn.IFS(M965="נח",1,M965="נע ונח",1,M965="שני שווא נח",2,M965="שני שוואים בסוף מילה",2,M965="שני שוואים ברצף",1),"0")</f>
        <v>1</v>
      </c>
      <c r="J965" s="9">
        <f t="shared" si="67"/>
        <v>3</v>
      </c>
      <c r="K965" t="s">
        <v>6697</v>
      </c>
      <c r="L965" t="s">
        <v>6694</v>
      </c>
      <c r="M965" t="s">
        <v>6705</v>
      </c>
      <c r="O965" t="s">
        <v>6694</v>
      </c>
      <c r="S965" t="s">
        <v>6694</v>
      </c>
      <c r="W965" t="s">
        <v>6720</v>
      </c>
    </row>
    <row r="966" spans="1:23" ht="15.6" x14ac:dyDescent="0.4">
      <c r="A966" s="2" t="s">
        <v>4568</v>
      </c>
      <c r="B966" s="5" t="s">
        <v>7569</v>
      </c>
      <c r="C966" s="7" t="s">
        <v>12556</v>
      </c>
      <c r="D966" s="8">
        <f t="shared" si="64"/>
        <v>0</v>
      </c>
      <c r="E966" s="7" t="s">
        <v>12557</v>
      </c>
      <c r="F966" s="7">
        <f t="shared" si="65"/>
        <v>1</v>
      </c>
      <c r="G966" s="7" t="s">
        <v>12558</v>
      </c>
      <c r="H966" s="7">
        <f t="shared" si="66"/>
        <v>0</v>
      </c>
      <c r="I966" s="7" cm="1">
        <f t="array" ref="I966">IFERROR(_xlfn.IFS(M966="נח",1,M966="נע ונח",1,M966="שני שווא נח",2,M966="שני שוואים בסוף מילה",2,M966="שני שוואים ברצף",1),"0")</f>
        <v>1</v>
      </c>
      <c r="J966" s="9">
        <f t="shared" si="67"/>
        <v>3</v>
      </c>
      <c r="K966" t="s">
        <v>6698</v>
      </c>
      <c r="L966" t="s">
        <v>6694</v>
      </c>
      <c r="M966" t="s">
        <v>6705</v>
      </c>
      <c r="O966" t="s">
        <v>6694</v>
      </c>
      <c r="S966" t="s">
        <v>6694</v>
      </c>
      <c r="W966" t="s">
        <v>6720</v>
      </c>
    </row>
    <row r="967" spans="1:23" ht="15.6" x14ac:dyDescent="0.4">
      <c r="A967" s="2" t="s">
        <v>2943</v>
      </c>
      <c r="B967" s="5" t="s">
        <v>7570</v>
      </c>
      <c r="C967" s="7" t="s">
        <v>12556</v>
      </c>
      <c r="D967" s="8">
        <f t="shared" si="64"/>
        <v>0</v>
      </c>
      <c r="E967" s="7" t="s">
        <v>12557</v>
      </c>
      <c r="F967" s="7">
        <f t="shared" si="65"/>
        <v>2</v>
      </c>
      <c r="G967" s="7" t="s">
        <v>12558</v>
      </c>
      <c r="H967" s="7">
        <f t="shared" si="66"/>
        <v>1</v>
      </c>
      <c r="I967" s="7" cm="1">
        <f t="array" ref="I967">IFERROR(_xlfn.IFS(M967="נח",1,M967="נע ונח",1,M967="שני שווא נח",2,M967="שני שוואים בסוף מילה",2,M967="שני שוואים ברצף",1),"0")</f>
        <v>1</v>
      </c>
      <c r="J967" s="9">
        <f t="shared" si="67"/>
        <v>4</v>
      </c>
      <c r="K967" t="s">
        <v>6698</v>
      </c>
      <c r="L967" t="s">
        <v>6694</v>
      </c>
      <c r="M967" t="s">
        <v>6705</v>
      </c>
      <c r="Q967" t="s">
        <v>6694</v>
      </c>
      <c r="R967" t="s">
        <v>6694</v>
      </c>
      <c r="S967" t="s">
        <v>6694</v>
      </c>
      <c r="U967" t="s">
        <v>6694</v>
      </c>
      <c r="W967" t="s">
        <v>6720</v>
      </c>
    </row>
    <row r="968" spans="1:23" ht="15.6" x14ac:dyDescent="0.4">
      <c r="A968" s="2" t="s">
        <v>314</v>
      </c>
      <c r="B968" s="5" t="s">
        <v>7571</v>
      </c>
      <c r="C968" s="7" t="s">
        <v>12556</v>
      </c>
      <c r="D968" s="8">
        <f t="shared" si="64"/>
        <v>0</v>
      </c>
      <c r="E968" s="7" t="s">
        <v>12557</v>
      </c>
      <c r="F968" s="7">
        <f t="shared" si="65"/>
        <v>1</v>
      </c>
      <c r="G968" s="7" t="s">
        <v>12558</v>
      </c>
      <c r="H968" s="7">
        <f t="shared" si="66"/>
        <v>0</v>
      </c>
      <c r="I968" s="7" cm="1">
        <f t="array" ref="I968">IFERROR(_xlfn.IFS(M968="נח",1,M968="נע ונח",1,M968="שני שווא נח",2,M968="שני שוואים בסוף מילה",2,M968="שני שוואים ברצף",1),"0")</f>
        <v>1</v>
      </c>
      <c r="J968" s="9">
        <f t="shared" si="67"/>
        <v>2</v>
      </c>
      <c r="K968" t="s">
        <v>6698</v>
      </c>
      <c r="L968" t="s">
        <v>6694</v>
      </c>
      <c r="M968" t="s">
        <v>6705</v>
      </c>
      <c r="S968" t="s">
        <v>6694</v>
      </c>
      <c r="W968" t="s">
        <v>6720</v>
      </c>
    </row>
    <row r="969" spans="1:23" ht="15.6" x14ac:dyDescent="0.4">
      <c r="A969" s="2" t="s">
        <v>5644</v>
      </c>
      <c r="B969" s="5" t="s">
        <v>7572</v>
      </c>
      <c r="C969" s="7" t="s">
        <v>12556</v>
      </c>
      <c r="D969" s="8">
        <f t="shared" si="64"/>
        <v>0</v>
      </c>
      <c r="E969" s="7" t="s">
        <v>12557</v>
      </c>
      <c r="F969" s="7">
        <f t="shared" si="65"/>
        <v>1</v>
      </c>
      <c r="G969" s="7" t="s">
        <v>12558</v>
      </c>
      <c r="H969" s="7">
        <f t="shared" si="66"/>
        <v>0</v>
      </c>
      <c r="I969" s="7" cm="1">
        <f t="array" ref="I969">IFERROR(_xlfn.IFS(M969="נח",1,M969="נע ונח",1,M969="שני שווא נח",2,M969="שני שוואים בסוף מילה",2,M969="שני שוואים ברצף",1),"0")</f>
        <v>1</v>
      </c>
      <c r="J969" s="9">
        <f t="shared" si="67"/>
        <v>3</v>
      </c>
      <c r="K969" t="s">
        <v>6698</v>
      </c>
      <c r="L969" t="s">
        <v>6694</v>
      </c>
      <c r="M969" t="s">
        <v>6705</v>
      </c>
      <c r="N969" t="s">
        <v>6706</v>
      </c>
      <c r="O969" t="s">
        <v>6694</v>
      </c>
      <c r="P969" t="s">
        <v>6694</v>
      </c>
      <c r="S969" t="s">
        <v>6694</v>
      </c>
      <c r="W969" t="s">
        <v>6720</v>
      </c>
    </row>
    <row r="970" spans="1:23" ht="15.6" x14ac:dyDescent="0.4">
      <c r="A970" s="2" t="s">
        <v>5522</v>
      </c>
      <c r="B970" s="5" t="s">
        <v>7573</v>
      </c>
      <c r="C970" s="7" t="s">
        <v>12556</v>
      </c>
      <c r="D970" s="8">
        <f t="shared" si="64"/>
        <v>0</v>
      </c>
      <c r="E970" s="7" t="s">
        <v>12557</v>
      </c>
      <c r="F970" s="7">
        <f t="shared" si="65"/>
        <v>1</v>
      </c>
      <c r="G970" s="7" t="s">
        <v>12558</v>
      </c>
      <c r="H970" s="7">
        <f t="shared" si="66"/>
        <v>0</v>
      </c>
      <c r="I970" s="7" cm="1">
        <f t="array" ref="I970">IFERROR(_xlfn.IFS(M970="נח",1,M970="נע ונח",1,M970="שני שווא נח",2,M970="שני שוואים בסוף מילה",2,M970="שני שוואים ברצף",1),"0")</f>
        <v>1</v>
      </c>
      <c r="J970" s="9">
        <f t="shared" si="67"/>
        <v>3</v>
      </c>
      <c r="K970" t="s">
        <v>6697</v>
      </c>
      <c r="L970" t="s">
        <v>6694</v>
      </c>
      <c r="M970" t="s">
        <v>6705</v>
      </c>
      <c r="N970" t="s">
        <v>6707</v>
      </c>
      <c r="P970" t="s">
        <v>6694</v>
      </c>
      <c r="S970" t="s">
        <v>6694</v>
      </c>
      <c r="V970" t="s">
        <v>6694</v>
      </c>
      <c r="W970" t="s">
        <v>6720</v>
      </c>
    </row>
    <row r="971" spans="1:23" ht="15.6" x14ac:dyDescent="0.4">
      <c r="A971" s="2" t="s">
        <v>6307</v>
      </c>
      <c r="B971" s="5" t="s">
        <v>7574</v>
      </c>
      <c r="C971" s="7" t="s">
        <v>12556</v>
      </c>
      <c r="D971" s="8">
        <f t="shared" si="64"/>
        <v>0</v>
      </c>
      <c r="E971" s="7" t="s">
        <v>12557</v>
      </c>
      <c r="F971" s="7">
        <f t="shared" si="65"/>
        <v>1</v>
      </c>
      <c r="G971" s="7" t="s">
        <v>12558</v>
      </c>
      <c r="H971" s="7">
        <f t="shared" si="66"/>
        <v>0</v>
      </c>
      <c r="I971" s="7" cm="1">
        <f t="array" ref="I971">IFERROR(_xlfn.IFS(M971="נח",1,M971="נע ונח",1,M971="שני שווא נח",2,M971="שני שוואים בסוף מילה",2,M971="שני שוואים ברצף",1),"0")</f>
        <v>1</v>
      </c>
      <c r="J971" s="9">
        <f t="shared" si="67"/>
        <v>3</v>
      </c>
      <c r="K971" t="s">
        <v>6697</v>
      </c>
      <c r="L971" t="s">
        <v>6694</v>
      </c>
      <c r="M971" t="s">
        <v>6705</v>
      </c>
      <c r="O971" t="s">
        <v>6694</v>
      </c>
      <c r="S971" t="s">
        <v>6694</v>
      </c>
      <c r="W971" t="s">
        <v>6720</v>
      </c>
    </row>
    <row r="972" spans="1:23" ht="15.6" x14ac:dyDescent="0.4">
      <c r="A972" s="2" t="s">
        <v>1445</v>
      </c>
      <c r="B972" s="5" t="s">
        <v>7467</v>
      </c>
      <c r="C972" s="7" t="s">
        <v>12556</v>
      </c>
      <c r="D972" s="8">
        <f t="shared" si="64"/>
        <v>0</v>
      </c>
      <c r="E972" s="7" t="s">
        <v>12557</v>
      </c>
      <c r="F972" s="7">
        <f t="shared" si="65"/>
        <v>1</v>
      </c>
      <c r="G972" s="7" t="s">
        <v>12558</v>
      </c>
      <c r="H972" s="7">
        <f t="shared" si="66"/>
        <v>0</v>
      </c>
      <c r="I972" s="7" cm="1">
        <f t="array" ref="I972">IFERROR(_xlfn.IFS(M972="נח",1,M972="נע ונח",1,M972="שני שווא נח",2,M972="שני שוואים בסוף מילה",2,M972="שני שוואים ברצף",1),"0")</f>
        <v>1</v>
      </c>
      <c r="J972" s="9">
        <f t="shared" si="67"/>
        <v>2</v>
      </c>
      <c r="K972" t="s">
        <v>6698</v>
      </c>
      <c r="L972" t="s">
        <v>6694</v>
      </c>
      <c r="M972" t="s">
        <v>6705</v>
      </c>
      <c r="P972" t="s">
        <v>6694</v>
      </c>
      <c r="S972" t="s">
        <v>6694</v>
      </c>
      <c r="W972" t="s">
        <v>6720</v>
      </c>
    </row>
    <row r="973" spans="1:23" ht="15.6" x14ac:dyDescent="0.4">
      <c r="A973" s="2" t="s">
        <v>2609</v>
      </c>
      <c r="B973" s="5" t="s">
        <v>7465</v>
      </c>
      <c r="C973" s="7" t="s">
        <v>12556</v>
      </c>
      <c r="D973" s="8">
        <f t="shared" si="64"/>
        <v>0</v>
      </c>
      <c r="E973" s="7" t="s">
        <v>12557</v>
      </c>
      <c r="F973" s="7">
        <f t="shared" si="65"/>
        <v>1</v>
      </c>
      <c r="G973" s="7" t="s">
        <v>12558</v>
      </c>
      <c r="H973" s="7">
        <f t="shared" si="66"/>
        <v>0</v>
      </c>
      <c r="I973" s="7" cm="1">
        <f t="array" ref="I973">IFERROR(_xlfn.IFS(M973="נח",1,M973="נע ונח",1,M973="שני שווא נח",2,M973="שני שוואים בסוף מילה",2,M973="שני שוואים ברצף",1),"0")</f>
        <v>1</v>
      </c>
      <c r="J973" s="9">
        <f t="shared" si="67"/>
        <v>2</v>
      </c>
      <c r="K973" t="s">
        <v>6698</v>
      </c>
      <c r="L973" t="s">
        <v>6694</v>
      </c>
      <c r="M973" t="s">
        <v>6705</v>
      </c>
      <c r="S973" t="s">
        <v>6694</v>
      </c>
      <c r="V973" t="s">
        <v>6694</v>
      </c>
      <c r="W973" t="s">
        <v>6720</v>
      </c>
    </row>
    <row r="974" spans="1:23" ht="15.6" x14ac:dyDescent="0.4">
      <c r="A974" s="2" t="s">
        <v>3980</v>
      </c>
      <c r="B974" s="5" t="s">
        <v>7575</v>
      </c>
      <c r="C974" s="7" t="s">
        <v>12556</v>
      </c>
      <c r="D974" s="8">
        <f t="shared" si="64"/>
        <v>1</v>
      </c>
      <c r="E974" s="7" t="s">
        <v>12557</v>
      </c>
      <c r="F974" s="7">
        <f t="shared" si="65"/>
        <v>2</v>
      </c>
      <c r="G974" s="7" t="s">
        <v>12558</v>
      </c>
      <c r="H974" s="7">
        <f t="shared" si="66"/>
        <v>1</v>
      </c>
      <c r="I974" s="7" cm="1">
        <f t="array" ref="I974">IFERROR(_xlfn.IFS(M974="נח",1,M974="נע ונח",1,M974="שני שווא נח",2,M974="שני שוואים בסוף מילה",2,M974="שני שוואים ברצף",1),"0")</f>
        <v>1</v>
      </c>
      <c r="J974" s="9">
        <f t="shared" si="67"/>
        <v>2</v>
      </c>
      <c r="K974" t="s">
        <v>6697</v>
      </c>
      <c r="L974" t="s">
        <v>6694</v>
      </c>
      <c r="M974" t="s">
        <v>6705</v>
      </c>
      <c r="S974" t="s">
        <v>6694</v>
      </c>
      <c r="U974" t="s">
        <v>6694</v>
      </c>
      <c r="W974" t="s">
        <v>6720</v>
      </c>
    </row>
    <row r="975" spans="1:23" ht="15.6" x14ac:dyDescent="0.4">
      <c r="A975" s="2" t="s">
        <v>4398</v>
      </c>
      <c r="B975" s="5" t="s">
        <v>7576</v>
      </c>
      <c r="C975" s="7" t="s">
        <v>12556</v>
      </c>
      <c r="D975" s="8">
        <f t="shared" si="64"/>
        <v>0</v>
      </c>
      <c r="E975" s="7" t="s">
        <v>12557</v>
      </c>
      <c r="F975" s="7">
        <f t="shared" si="65"/>
        <v>1</v>
      </c>
      <c r="G975" s="7" t="s">
        <v>12558</v>
      </c>
      <c r="H975" s="7">
        <f t="shared" si="66"/>
        <v>0</v>
      </c>
      <c r="I975" s="7" cm="1">
        <f t="array" ref="I975">IFERROR(_xlfn.IFS(M975="נח",1,M975="נע ונח",1,M975="שני שווא נח",2,M975="שני שוואים בסוף מילה",2,M975="שני שוואים ברצף",1),"0")</f>
        <v>1</v>
      </c>
      <c r="J975" s="9">
        <f t="shared" si="67"/>
        <v>3</v>
      </c>
      <c r="K975" t="s">
        <v>6698</v>
      </c>
      <c r="L975" t="s">
        <v>6694</v>
      </c>
      <c r="M975" t="s">
        <v>6705</v>
      </c>
      <c r="S975" t="s">
        <v>6694</v>
      </c>
      <c r="W975" t="s">
        <v>6720</v>
      </c>
    </row>
    <row r="976" spans="1:23" ht="15.6" x14ac:dyDescent="0.4">
      <c r="A976" s="2" t="s">
        <v>6298</v>
      </c>
      <c r="B976" s="5" t="s">
        <v>7577</v>
      </c>
      <c r="C976" s="7" t="s">
        <v>12556</v>
      </c>
      <c r="D976" s="8">
        <f t="shared" si="64"/>
        <v>0</v>
      </c>
      <c r="E976" s="7" t="s">
        <v>12557</v>
      </c>
      <c r="F976" s="7">
        <f t="shared" si="65"/>
        <v>2</v>
      </c>
      <c r="G976" s="7" t="s">
        <v>12558</v>
      </c>
      <c r="H976" s="7">
        <f t="shared" si="66"/>
        <v>1</v>
      </c>
      <c r="I976" s="7" cm="1">
        <f t="array" ref="I976">IFERROR(_xlfn.IFS(M976="נח",1,M976="נע ונח",1,M976="שני שווא נח",2,M976="שני שוואים בסוף מילה",2,M976="שני שוואים ברצף",1),"0")</f>
        <v>1</v>
      </c>
      <c r="J976" s="9">
        <f t="shared" si="67"/>
        <v>5</v>
      </c>
      <c r="K976" t="s">
        <v>6697</v>
      </c>
      <c r="L976" t="s">
        <v>6694</v>
      </c>
      <c r="M976" t="s">
        <v>6705</v>
      </c>
      <c r="Q976" t="s">
        <v>6694</v>
      </c>
      <c r="S976" t="s">
        <v>6694</v>
      </c>
      <c r="U976" t="s">
        <v>6694</v>
      </c>
      <c r="V976" t="s">
        <v>6694</v>
      </c>
      <c r="W976" t="s">
        <v>6720</v>
      </c>
    </row>
    <row r="977" spans="1:23" ht="15.6" x14ac:dyDescent="0.4">
      <c r="A977" s="2" t="s">
        <v>5008</v>
      </c>
      <c r="B977" s="5" t="s">
        <v>7578</v>
      </c>
      <c r="C977" s="7" t="s">
        <v>12556</v>
      </c>
      <c r="D977" s="8">
        <f t="shared" si="64"/>
        <v>0</v>
      </c>
      <c r="E977" s="7" t="s">
        <v>12557</v>
      </c>
      <c r="F977" s="7">
        <f t="shared" si="65"/>
        <v>2</v>
      </c>
      <c r="G977" s="7" t="s">
        <v>12558</v>
      </c>
      <c r="H977" s="7">
        <f t="shared" si="66"/>
        <v>0</v>
      </c>
      <c r="I977" s="7" cm="1">
        <f t="array" ref="I977">IFERROR(_xlfn.IFS(M977="נח",1,M977="נע ונח",1,M977="שני שווא נח",2,M977="שני שוואים בסוף מילה",2,M977="שני שוואים ברצף",1),"0")</f>
        <v>1</v>
      </c>
      <c r="J977" s="9">
        <f t="shared" si="67"/>
        <v>2</v>
      </c>
      <c r="K977" t="s">
        <v>6698</v>
      </c>
      <c r="L977" t="s">
        <v>6694</v>
      </c>
      <c r="M977" t="s">
        <v>6705</v>
      </c>
      <c r="P977" t="s">
        <v>6694</v>
      </c>
      <c r="S977" t="s">
        <v>6694</v>
      </c>
      <c r="W977" t="s">
        <v>6720</v>
      </c>
    </row>
    <row r="978" spans="1:23" ht="15.6" x14ac:dyDescent="0.4">
      <c r="A978" s="2" t="s">
        <v>3323</v>
      </c>
      <c r="B978" s="5" t="s">
        <v>7188</v>
      </c>
      <c r="C978" s="7" t="s">
        <v>12556</v>
      </c>
      <c r="D978" s="8">
        <f t="shared" si="64"/>
        <v>0</v>
      </c>
      <c r="E978" s="7" t="s">
        <v>12557</v>
      </c>
      <c r="F978" s="7">
        <f t="shared" si="65"/>
        <v>1</v>
      </c>
      <c r="G978" s="7" t="s">
        <v>12558</v>
      </c>
      <c r="H978" s="7">
        <f t="shared" si="66"/>
        <v>0</v>
      </c>
      <c r="I978" s="7" cm="1">
        <f t="array" ref="I978">IFERROR(_xlfn.IFS(M978="נח",1,M978="נע ונח",1,M978="שני שווא נח",2,M978="שני שוואים בסוף מילה",2,M978="שני שוואים ברצף",1),"0")</f>
        <v>1</v>
      </c>
      <c r="J978" s="9">
        <f t="shared" si="67"/>
        <v>2</v>
      </c>
      <c r="K978" t="s">
        <v>6698</v>
      </c>
      <c r="L978" t="s">
        <v>6694</v>
      </c>
      <c r="M978" t="s">
        <v>6705</v>
      </c>
      <c r="S978" t="s">
        <v>6694</v>
      </c>
      <c r="V978" t="s">
        <v>6694</v>
      </c>
      <c r="W978" t="s">
        <v>6720</v>
      </c>
    </row>
    <row r="979" spans="1:23" ht="15.6" x14ac:dyDescent="0.4">
      <c r="A979" s="2" t="s">
        <v>6639</v>
      </c>
      <c r="B979" s="5" t="s">
        <v>7579</v>
      </c>
      <c r="C979" s="7" t="s">
        <v>12556</v>
      </c>
      <c r="D979" s="8">
        <f t="shared" si="64"/>
        <v>0</v>
      </c>
      <c r="E979" s="7" t="s">
        <v>12557</v>
      </c>
      <c r="F979" s="7">
        <f t="shared" si="65"/>
        <v>1</v>
      </c>
      <c r="G979" s="7" t="s">
        <v>12558</v>
      </c>
      <c r="H979" s="7">
        <f t="shared" si="66"/>
        <v>0</v>
      </c>
      <c r="I979" s="7" cm="1">
        <f t="array" ref="I979">IFERROR(_xlfn.IFS(M979="נח",1,M979="נע ונח",1,M979="שני שווא נח",2,M979="שני שוואים בסוף מילה",2,M979="שני שוואים ברצף",1),"0")</f>
        <v>1</v>
      </c>
      <c r="J979" s="9">
        <f t="shared" si="67"/>
        <v>3</v>
      </c>
      <c r="K979" t="s">
        <v>6697</v>
      </c>
      <c r="L979" t="s">
        <v>6694</v>
      </c>
      <c r="M979" t="s">
        <v>6705</v>
      </c>
      <c r="O979" t="s">
        <v>6694</v>
      </c>
      <c r="S979" t="s">
        <v>6694</v>
      </c>
      <c r="W979" t="s">
        <v>6720</v>
      </c>
    </row>
    <row r="980" spans="1:23" ht="15.6" x14ac:dyDescent="0.4">
      <c r="A980" s="2" t="s">
        <v>6216</v>
      </c>
      <c r="B980" s="5" t="s">
        <v>7580</v>
      </c>
      <c r="C980" s="7" t="s">
        <v>12556</v>
      </c>
      <c r="D980" s="8">
        <f t="shared" si="64"/>
        <v>0</v>
      </c>
      <c r="E980" s="7" t="s">
        <v>12557</v>
      </c>
      <c r="F980" s="7">
        <f t="shared" si="65"/>
        <v>1</v>
      </c>
      <c r="G980" s="7" t="s">
        <v>12558</v>
      </c>
      <c r="H980" s="7">
        <f t="shared" si="66"/>
        <v>0</v>
      </c>
      <c r="I980" s="7" cm="1">
        <f t="array" ref="I980">IFERROR(_xlfn.IFS(M980="נח",1,M980="נע ונח",1,M980="שני שווא נח",2,M980="שני שוואים בסוף מילה",2,M980="שני שוואים ברצף",1),"0")</f>
        <v>1</v>
      </c>
      <c r="J980" s="9">
        <f t="shared" si="67"/>
        <v>3</v>
      </c>
      <c r="K980" t="s">
        <v>6697</v>
      </c>
      <c r="L980" t="s">
        <v>6694</v>
      </c>
      <c r="M980" t="s">
        <v>6705</v>
      </c>
      <c r="O980" t="s">
        <v>6694</v>
      </c>
      <c r="S980" t="s">
        <v>6694</v>
      </c>
      <c r="W980" t="s">
        <v>6720</v>
      </c>
    </row>
    <row r="981" spans="1:23" ht="15.6" x14ac:dyDescent="0.4">
      <c r="A981" s="2" t="s">
        <v>1022</v>
      </c>
      <c r="B981" s="5" t="s">
        <v>7581</v>
      </c>
      <c r="C981" s="7" t="s">
        <v>12556</v>
      </c>
      <c r="D981" s="8">
        <f t="shared" si="64"/>
        <v>0</v>
      </c>
      <c r="E981" s="7" t="s">
        <v>12557</v>
      </c>
      <c r="F981" s="7">
        <f t="shared" si="65"/>
        <v>1</v>
      </c>
      <c r="G981" s="7" t="s">
        <v>12558</v>
      </c>
      <c r="H981" s="7">
        <f t="shared" si="66"/>
        <v>0</v>
      </c>
      <c r="I981" s="7" cm="1">
        <f t="array" ref="I981">IFERROR(_xlfn.IFS(M981="נח",1,M981="נע ונח",1,M981="שני שווא נח",2,M981="שני שוואים בסוף מילה",2,M981="שני שוואים ברצף",1),"0")</f>
        <v>1</v>
      </c>
      <c r="J981" s="9">
        <f t="shared" si="67"/>
        <v>2</v>
      </c>
      <c r="K981" t="s">
        <v>6698</v>
      </c>
      <c r="L981" t="s">
        <v>6694</v>
      </c>
      <c r="M981" t="s">
        <v>6705</v>
      </c>
      <c r="S981" t="s">
        <v>6694</v>
      </c>
      <c r="V981" t="s">
        <v>6694</v>
      </c>
      <c r="W981" t="s">
        <v>6720</v>
      </c>
    </row>
    <row r="982" spans="1:23" ht="15.6" x14ac:dyDescent="0.4">
      <c r="A982" s="2" t="s">
        <v>1912</v>
      </c>
      <c r="B982" s="5" t="s">
        <v>7220</v>
      </c>
      <c r="C982" s="7" t="s">
        <v>12556</v>
      </c>
      <c r="D982" s="8">
        <f t="shared" si="64"/>
        <v>0</v>
      </c>
      <c r="E982" s="7" t="s">
        <v>12557</v>
      </c>
      <c r="F982" s="7">
        <f t="shared" si="65"/>
        <v>1</v>
      </c>
      <c r="G982" s="7" t="s">
        <v>12558</v>
      </c>
      <c r="H982" s="7">
        <f t="shared" si="66"/>
        <v>0</v>
      </c>
      <c r="I982" s="7" cm="1">
        <f t="array" ref="I982">IFERROR(_xlfn.IFS(M982="נח",1,M982="נע ונח",1,M982="שני שווא נח",2,M982="שני שוואים בסוף מילה",2,M982="שני שוואים ברצף",1),"0")</f>
        <v>2</v>
      </c>
      <c r="J982" s="9">
        <f t="shared" si="67"/>
        <v>3</v>
      </c>
      <c r="K982" t="s">
        <v>6697</v>
      </c>
      <c r="L982" t="s">
        <v>6694</v>
      </c>
      <c r="M982" t="s">
        <v>6704</v>
      </c>
      <c r="O982" t="s">
        <v>6694</v>
      </c>
      <c r="S982" t="s">
        <v>6694</v>
      </c>
      <c r="V982" t="s">
        <v>6694</v>
      </c>
      <c r="W982" t="s">
        <v>6720</v>
      </c>
    </row>
    <row r="983" spans="1:23" ht="15.6" x14ac:dyDescent="0.4">
      <c r="A983" s="2" t="s">
        <v>5263</v>
      </c>
      <c r="B983" s="5" t="s">
        <v>7582</v>
      </c>
      <c r="C983" s="7" t="s">
        <v>12556</v>
      </c>
      <c r="D983" s="8">
        <f t="shared" si="64"/>
        <v>0</v>
      </c>
      <c r="E983" s="7" t="s">
        <v>12557</v>
      </c>
      <c r="F983" s="7">
        <f t="shared" si="65"/>
        <v>1</v>
      </c>
      <c r="G983" s="7" t="s">
        <v>12558</v>
      </c>
      <c r="H983" s="7">
        <f t="shared" si="66"/>
        <v>0</v>
      </c>
      <c r="I983" s="7" cm="1">
        <f t="array" ref="I983">IFERROR(_xlfn.IFS(M983="נח",1,M983="נע ונח",1,M983="שני שווא נח",2,M983="שני שוואים בסוף מילה",2,M983="שני שוואים ברצף",1),"0")</f>
        <v>1</v>
      </c>
      <c r="J983" s="9">
        <f t="shared" si="67"/>
        <v>3</v>
      </c>
      <c r="K983" t="s">
        <v>6697</v>
      </c>
      <c r="L983" t="s">
        <v>6694</v>
      </c>
      <c r="M983" t="s">
        <v>6705</v>
      </c>
      <c r="S983" t="s">
        <v>6694</v>
      </c>
      <c r="V983" t="s">
        <v>6694</v>
      </c>
      <c r="W983" t="s">
        <v>6720</v>
      </c>
    </row>
    <row r="984" spans="1:23" ht="15.6" x14ac:dyDescent="0.4">
      <c r="A984" s="2" t="s">
        <v>1475</v>
      </c>
      <c r="B984" s="5" t="s">
        <v>7583</v>
      </c>
      <c r="C984" s="7" t="s">
        <v>12556</v>
      </c>
      <c r="D984" s="8">
        <f t="shared" si="64"/>
        <v>0</v>
      </c>
      <c r="E984" s="7" t="s">
        <v>12557</v>
      </c>
      <c r="F984" s="7">
        <f t="shared" si="65"/>
        <v>1</v>
      </c>
      <c r="G984" s="7" t="s">
        <v>12558</v>
      </c>
      <c r="H984" s="7">
        <f t="shared" si="66"/>
        <v>0</v>
      </c>
      <c r="I984" s="7" cm="1">
        <f t="array" ref="I984">IFERROR(_xlfn.IFS(M984="נח",1,M984="נע ונח",1,M984="שני שווא נח",2,M984="שני שוואים בסוף מילה",2,M984="שני שוואים ברצף",1),"0")</f>
        <v>1</v>
      </c>
      <c r="J984" s="9">
        <f t="shared" si="67"/>
        <v>3</v>
      </c>
      <c r="K984" t="s">
        <v>6697</v>
      </c>
      <c r="L984" t="s">
        <v>6694</v>
      </c>
      <c r="M984" t="s">
        <v>6705</v>
      </c>
      <c r="P984" t="s">
        <v>6694</v>
      </c>
      <c r="S984" t="s">
        <v>6694</v>
      </c>
      <c r="W984" t="s">
        <v>6720</v>
      </c>
    </row>
    <row r="985" spans="1:23" ht="15.6" x14ac:dyDescent="0.4">
      <c r="A985" s="2" t="s">
        <v>2358</v>
      </c>
      <c r="B985" s="5" t="s">
        <v>7584</v>
      </c>
      <c r="C985" s="7" t="s">
        <v>12556</v>
      </c>
      <c r="D985" s="8">
        <f t="shared" si="64"/>
        <v>1</v>
      </c>
      <c r="E985" s="7" t="s">
        <v>12557</v>
      </c>
      <c r="F985" s="7">
        <f t="shared" si="65"/>
        <v>1</v>
      </c>
      <c r="G985" s="7" t="s">
        <v>12558</v>
      </c>
      <c r="H985" s="7">
        <f t="shared" si="66"/>
        <v>0</v>
      </c>
      <c r="I985" s="7" cm="1">
        <f t="array" ref="I985">IFERROR(_xlfn.IFS(M985="נח",1,M985="נע ונח",1,M985="שני שווא נח",2,M985="שני שוואים בסוף מילה",2,M985="שני שוואים ברצף",1),"0")</f>
        <v>1</v>
      </c>
      <c r="J985" s="9">
        <f t="shared" si="67"/>
        <v>2</v>
      </c>
      <c r="K985" t="s">
        <v>6698</v>
      </c>
      <c r="L985" t="s">
        <v>6694</v>
      </c>
      <c r="M985" t="s">
        <v>6705</v>
      </c>
      <c r="S985" t="s">
        <v>6694</v>
      </c>
      <c r="V985" t="s">
        <v>6694</v>
      </c>
      <c r="W985" t="s">
        <v>6720</v>
      </c>
    </row>
    <row r="986" spans="1:23" ht="15.6" x14ac:dyDescent="0.4">
      <c r="A986" s="2" t="s">
        <v>4171</v>
      </c>
      <c r="B986" s="5" t="s">
        <v>7585</v>
      </c>
      <c r="C986" s="7" t="s">
        <v>12556</v>
      </c>
      <c r="D986" s="8">
        <f t="shared" si="64"/>
        <v>1</v>
      </c>
      <c r="E986" s="7" t="s">
        <v>12557</v>
      </c>
      <c r="F986" s="7">
        <f t="shared" si="65"/>
        <v>1</v>
      </c>
      <c r="G986" s="7" t="s">
        <v>12558</v>
      </c>
      <c r="H986" s="7">
        <f t="shared" si="66"/>
        <v>0</v>
      </c>
      <c r="I986" s="7" cm="1">
        <f t="array" ref="I986">IFERROR(_xlfn.IFS(M986="נח",1,M986="נע ונח",1,M986="שני שווא נח",2,M986="שני שוואים בסוף מילה",2,M986="שני שוואים ברצף",1),"0")</f>
        <v>1</v>
      </c>
      <c r="J986" s="9">
        <f t="shared" si="67"/>
        <v>3</v>
      </c>
      <c r="K986" t="s">
        <v>6697</v>
      </c>
      <c r="L986" t="s">
        <v>6694</v>
      </c>
      <c r="M986" t="s">
        <v>6705</v>
      </c>
      <c r="N986" t="s">
        <v>6707</v>
      </c>
      <c r="P986" t="s">
        <v>6694</v>
      </c>
      <c r="S986" t="s">
        <v>6694</v>
      </c>
      <c r="V986" t="s">
        <v>6694</v>
      </c>
      <c r="W986" t="s">
        <v>6720</v>
      </c>
    </row>
    <row r="987" spans="1:23" ht="15.6" x14ac:dyDescent="0.4">
      <c r="A987" s="2" t="s">
        <v>4048</v>
      </c>
      <c r="B987" s="5" t="s">
        <v>7586</v>
      </c>
      <c r="C987" s="7" t="s">
        <v>12556</v>
      </c>
      <c r="D987" s="8">
        <f t="shared" si="64"/>
        <v>1</v>
      </c>
      <c r="E987" s="7" t="s">
        <v>12557</v>
      </c>
      <c r="F987" s="7">
        <f t="shared" si="65"/>
        <v>1</v>
      </c>
      <c r="G987" s="7" t="s">
        <v>12558</v>
      </c>
      <c r="H987" s="7">
        <f t="shared" si="66"/>
        <v>0</v>
      </c>
      <c r="I987" s="7" cm="1">
        <f t="array" ref="I987">IFERROR(_xlfn.IFS(M987="נח",1,M987="נע ונח",1,M987="שני שווא נח",2,M987="שני שוואים בסוף מילה",2,M987="שני שוואים ברצף",1),"0")</f>
        <v>1</v>
      </c>
      <c r="J987" s="9">
        <f t="shared" si="67"/>
        <v>3</v>
      </c>
      <c r="K987" t="s">
        <v>6698</v>
      </c>
      <c r="L987" t="s">
        <v>6694</v>
      </c>
      <c r="M987" t="s">
        <v>6705</v>
      </c>
      <c r="N987" t="s">
        <v>6706</v>
      </c>
      <c r="O987" t="s">
        <v>6694</v>
      </c>
      <c r="S987" t="s">
        <v>6694</v>
      </c>
      <c r="V987" t="s">
        <v>6694</v>
      </c>
      <c r="W987" t="s">
        <v>6720</v>
      </c>
    </row>
    <row r="988" spans="1:23" ht="15.6" x14ac:dyDescent="0.4">
      <c r="A988" s="2" t="s">
        <v>1606</v>
      </c>
      <c r="B988" s="5" t="s">
        <v>7587</v>
      </c>
      <c r="C988" s="7" t="s">
        <v>12556</v>
      </c>
      <c r="D988" s="8">
        <f t="shared" si="64"/>
        <v>1</v>
      </c>
      <c r="E988" s="7" t="s">
        <v>12557</v>
      </c>
      <c r="F988" s="7">
        <f t="shared" si="65"/>
        <v>1</v>
      </c>
      <c r="G988" s="7" t="s">
        <v>12558</v>
      </c>
      <c r="H988" s="7">
        <f t="shared" si="66"/>
        <v>0</v>
      </c>
      <c r="I988" s="7" cm="1">
        <f t="array" ref="I988">IFERROR(_xlfn.IFS(M988="נח",1,M988="נע ונח",1,M988="שני שווא נח",2,M988="שני שוואים בסוף מילה",2,M988="שני שוואים ברצף",1),"0")</f>
        <v>1</v>
      </c>
      <c r="J988" s="9">
        <f t="shared" si="67"/>
        <v>2</v>
      </c>
      <c r="K988" t="s">
        <v>6697</v>
      </c>
      <c r="L988" t="s">
        <v>6694</v>
      </c>
      <c r="M988" t="s">
        <v>6705</v>
      </c>
      <c r="S988" t="s">
        <v>6694</v>
      </c>
      <c r="V988" t="s">
        <v>6694</v>
      </c>
      <c r="W988" t="s">
        <v>6720</v>
      </c>
    </row>
    <row r="989" spans="1:23" ht="15.6" x14ac:dyDescent="0.4">
      <c r="A989" s="2" t="s">
        <v>4868</v>
      </c>
      <c r="B989" s="5" t="s">
        <v>7588</v>
      </c>
      <c r="C989" s="7" t="s">
        <v>12556</v>
      </c>
      <c r="D989" s="8">
        <f t="shared" si="64"/>
        <v>1</v>
      </c>
      <c r="E989" s="7" t="s">
        <v>12557</v>
      </c>
      <c r="F989" s="7">
        <f t="shared" si="65"/>
        <v>2</v>
      </c>
      <c r="G989" s="7" t="s">
        <v>12558</v>
      </c>
      <c r="H989" s="7">
        <f t="shared" si="66"/>
        <v>1</v>
      </c>
      <c r="I989" s="7" cm="1">
        <f t="array" ref="I989">IFERROR(_xlfn.IFS(M989="נח",1,M989="נע ונח",1,M989="שני שווא נח",2,M989="שני שוואים בסוף מילה",2,M989="שני שוואים ברצף",1),"0")</f>
        <v>1</v>
      </c>
      <c r="J989" s="9">
        <f t="shared" si="67"/>
        <v>3</v>
      </c>
      <c r="K989" t="s">
        <v>6698</v>
      </c>
      <c r="L989" t="s">
        <v>6694</v>
      </c>
      <c r="M989" t="s">
        <v>6705</v>
      </c>
      <c r="S989" t="s">
        <v>6694</v>
      </c>
      <c r="U989" t="s">
        <v>6694</v>
      </c>
      <c r="W989" t="s">
        <v>6720</v>
      </c>
    </row>
    <row r="990" spans="1:23" ht="15.6" x14ac:dyDescent="0.4">
      <c r="A990" s="2" t="s">
        <v>3747</v>
      </c>
      <c r="B990" s="5" t="s">
        <v>7501</v>
      </c>
      <c r="C990" s="7" t="s">
        <v>12556</v>
      </c>
      <c r="D990" s="8">
        <f t="shared" si="64"/>
        <v>1</v>
      </c>
      <c r="E990" s="7" t="s">
        <v>12557</v>
      </c>
      <c r="F990" s="7">
        <f t="shared" si="65"/>
        <v>1</v>
      </c>
      <c r="G990" s="7" t="s">
        <v>12558</v>
      </c>
      <c r="H990" s="7">
        <f t="shared" si="66"/>
        <v>0</v>
      </c>
      <c r="I990" s="7" cm="1">
        <f t="array" ref="I990">IFERROR(_xlfn.IFS(M990="נח",1,M990="נע ונח",1,M990="שני שווא נח",2,M990="שני שוואים בסוף מילה",2,M990="שני שוואים ברצף",1),"0")</f>
        <v>1</v>
      </c>
      <c r="J990" s="9">
        <f t="shared" si="67"/>
        <v>3</v>
      </c>
      <c r="K990" t="s">
        <v>6698</v>
      </c>
      <c r="L990" t="s">
        <v>6694</v>
      </c>
      <c r="M990" t="s">
        <v>6705</v>
      </c>
      <c r="O990" t="s">
        <v>6694</v>
      </c>
      <c r="S990" t="s">
        <v>6694</v>
      </c>
      <c r="V990" t="s">
        <v>6694</v>
      </c>
      <c r="W990" t="s">
        <v>6720</v>
      </c>
    </row>
    <row r="991" spans="1:23" ht="15.6" x14ac:dyDescent="0.4">
      <c r="A991" s="2" t="s">
        <v>242</v>
      </c>
      <c r="B991" s="5" t="s">
        <v>7589</v>
      </c>
      <c r="C991" s="7" t="s">
        <v>12556</v>
      </c>
      <c r="D991" s="8">
        <f t="shared" si="64"/>
        <v>1</v>
      </c>
      <c r="E991" s="7" t="s">
        <v>12557</v>
      </c>
      <c r="F991" s="7">
        <f t="shared" si="65"/>
        <v>1</v>
      </c>
      <c r="G991" s="7" t="s">
        <v>12558</v>
      </c>
      <c r="H991" s="7">
        <f t="shared" si="66"/>
        <v>0</v>
      </c>
      <c r="I991" s="7" cm="1">
        <f t="array" ref="I991">IFERROR(_xlfn.IFS(M991="נח",1,M991="נע ונח",1,M991="שני שווא נח",2,M991="שני שוואים בסוף מילה",2,M991="שני שוואים ברצף",1),"0")</f>
        <v>1</v>
      </c>
      <c r="J991" s="9">
        <f t="shared" si="67"/>
        <v>3</v>
      </c>
      <c r="K991" t="s">
        <v>6698</v>
      </c>
      <c r="L991" t="s">
        <v>6694</v>
      </c>
      <c r="M991" t="s">
        <v>6705</v>
      </c>
      <c r="O991" t="s">
        <v>6694</v>
      </c>
      <c r="P991" t="s">
        <v>6694</v>
      </c>
      <c r="S991" t="s">
        <v>6694</v>
      </c>
      <c r="W991" t="s">
        <v>6720</v>
      </c>
    </row>
    <row r="992" spans="1:23" ht="15.6" x14ac:dyDescent="0.4">
      <c r="A992" s="2" t="s">
        <v>6083</v>
      </c>
      <c r="B992" s="5" t="s">
        <v>7590</v>
      </c>
      <c r="C992" s="7" t="s">
        <v>12556</v>
      </c>
      <c r="D992" s="8">
        <f t="shared" si="64"/>
        <v>1</v>
      </c>
      <c r="E992" s="7" t="s">
        <v>12557</v>
      </c>
      <c r="F992" s="7">
        <f t="shared" si="65"/>
        <v>1</v>
      </c>
      <c r="G992" s="7" t="s">
        <v>12558</v>
      </c>
      <c r="H992" s="7">
        <f t="shared" si="66"/>
        <v>0</v>
      </c>
      <c r="I992" s="7" cm="1">
        <f t="array" ref="I992">IFERROR(_xlfn.IFS(M992="נח",1,M992="נע ונח",1,M992="שני שווא נח",2,M992="שני שוואים בסוף מילה",2,M992="שני שוואים ברצף",1),"0")</f>
        <v>1</v>
      </c>
      <c r="J992" s="9">
        <f t="shared" si="67"/>
        <v>3</v>
      </c>
      <c r="K992" t="s">
        <v>6698</v>
      </c>
      <c r="L992" t="s">
        <v>6694</v>
      </c>
      <c r="M992" t="s">
        <v>6705</v>
      </c>
      <c r="N992" t="s">
        <v>6706</v>
      </c>
      <c r="O992" t="s">
        <v>6694</v>
      </c>
      <c r="S992" t="s">
        <v>6694</v>
      </c>
      <c r="W992" t="s">
        <v>6720</v>
      </c>
    </row>
    <row r="993" spans="1:23" ht="15.6" x14ac:dyDescent="0.4">
      <c r="A993" s="2" t="s">
        <v>3519</v>
      </c>
      <c r="B993" s="5" t="s">
        <v>7591</v>
      </c>
      <c r="C993" s="7" t="s">
        <v>12556</v>
      </c>
      <c r="D993" s="8">
        <f t="shared" si="64"/>
        <v>1</v>
      </c>
      <c r="E993" s="7" t="s">
        <v>12557</v>
      </c>
      <c r="F993" s="7">
        <f t="shared" si="65"/>
        <v>3</v>
      </c>
      <c r="G993" s="7" t="s">
        <v>12558</v>
      </c>
      <c r="H993" s="7">
        <f t="shared" si="66"/>
        <v>0</v>
      </c>
      <c r="I993" s="7" cm="1">
        <f t="array" ref="I993">IFERROR(_xlfn.IFS(M993="נח",1,M993="נע ונח",1,M993="שני שווא נח",2,M993="שני שוואים בסוף מילה",2,M993="שני שוואים ברצף",1),"0")</f>
        <v>1</v>
      </c>
      <c r="J993" s="9">
        <f t="shared" si="67"/>
        <v>3</v>
      </c>
      <c r="K993" t="s">
        <v>6697</v>
      </c>
      <c r="L993" t="s">
        <v>6694</v>
      </c>
      <c r="M993" t="s">
        <v>6705</v>
      </c>
      <c r="P993" t="s">
        <v>6694</v>
      </c>
      <c r="S993" t="s">
        <v>6694</v>
      </c>
      <c r="W993" t="s">
        <v>6720</v>
      </c>
    </row>
    <row r="994" spans="1:23" ht="15.6" x14ac:dyDescent="0.4">
      <c r="A994" s="2" t="s">
        <v>1770</v>
      </c>
      <c r="B994" s="5" t="s">
        <v>7592</v>
      </c>
      <c r="C994" s="7" t="s">
        <v>12556</v>
      </c>
      <c r="D994" s="8">
        <f t="shared" si="64"/>
        <v>0</v>
      </c>
      <c r="E994" s="7" t="s">
        <v>12557</v>
      </c>
      <c r="F994" s="7">
        <f t="shared" si="65"/>
        <v>2</v>
      </c>
      <c r="G994" s="7" t="s">
        <v>12558</v>
      </c>
      <c r="H994" s="7">
        <f t="shared" si="66"/>
        <v>1</v>
      </c>
      <c r="I994" s="7" cm="1">
        <f t="array" ref="I994">IFERROR(_xlfn.IFS(M994="נח",1,M994="נע ונח",1,M994="שני שווא נח",2,M994="שני שוואים בסוף מילה",2,M994="שני שוואים ברצף",1),"0")</f>
        <v>1</v>
      </c>
      <c r="J994" s="9">
        <f t="shared" si="67"/>
        <v>3</v>
      </c>
      <c r="K994" t="s">
        <v>6697</v>
      </c>
      <c r="L994" t="s">
        <v>6694</v>
      </c>
      <c r="M994" t="s">
        <v>6705</v>
      </c>
      <c r="O994" t="s">
        <v>6694</v>
      </c>
      <c r="S994" t="s">
        <v>6694</v>
      </c>
      <c r="U994" t="s">
        <v>6694</v>
      </c>
      <c r="W994" t="s">
        <v>6720</v>
      </c>
    </row>
    <row r="995" spans="1:23" ht="15.6" x14ac:dyDescent="0.4">
      <c r="A995" s="2" t="s">
        <v>5570</v>
      </c>
      <c r="B995" s="5" t="s">
        <v>7593</v>
      </c>
      <c r="C995" s="7" t="s">
        <v>12556</v>
      </c>
      <c r="D995" s="8">
        <f t="shared" si="64"/>
        <v>0</v>
      </c>
      <c r="E995" s="7" t="s">
        <v>12557</v>
      </c>
      <c r="F995" s="7">
        <f t="shared" si="65"/>
        <v>2</v>
      </c>
      <c r="G995" s="7" t="s">
        <v>12558</v>
      </c>
      <c r="H995" s="7">
        <f t="shared" si="66"/>
        <v>0</v>
      </c>
      <c r="I995" s="7" cm="1">
        <f t="array" ref="I995">IFERROR(_xlfn.IFS(M995="נח",1,M995="נע ונח",1,M995="שני שווא נח",2,M995="שני שוואים בסוף מילה",2,M995="שני שוואים ברצף",1),"0")</f>
        <v>1</v>
      </c>
      <c r="J995" s="9">
        <f t="shared" si="67"/>
        <v>3</v>
      </c>
      <c r="K995" t="s">
        <v>6697</v>
      </c>
      <c r="L995" t="s">
        <v>6694</v>
      </c>
      <c r="M995" t="s">
        <v>6705</v>
      </c>
      <c r="O995" t="s">
        <v>6694</v>
      </c>
      <c r="S995" t="s">
        <v>6694</v>
      </c>
      <c r="W995" t="s">
        <v>6720</v>
      </c>
    </row>
    <row r="996" spans="1:23" ht="15.6" x14ac:dyDescent="0.4">
      <c r="A996" s="2" t="s">
        <v>4791</v>
      </c>
      <c r="B996" s="5" t="s">
        <v>7594</v>
      </c>
      <c r="C996" s="7" t="s">
        <v>12556</v>
      </c>
      <c r="D996" s="8">
        <f t="shared" si="64"/>
        <v>0</v>
      </c>
      <c r="E996" s="7" t="s">
        <v>12557</v>
      </c>
      <c r="F996" s="7">
        <f t="shared" si="65"/>
        <v>2</v>
      </c>
      <c r="G996" s="7" t="s">
        <v>12558</v>
      </c>
      <c r="H996" s="7">
        <f t="shared" si="66"/>
        <v>0</v>
      </c>
      <c r="I996" s="7" cm="1">
        <f t="array" ref="I996">IFERROR(_xlfn.IFS(M996="נח",1,M996="נע ונח",1,M996="שני שווא נח",2,M996="שני שוואים בסוף מילה",2,M996="שני שוואים ברצף",1),"0")</f>
        <v>1</v>
      </c>
      <c r="J996" s="9">
        <f t="shared" si="67"/>
        <v>3</v>
      </c>
      <c r="K996" t="s">
        <v>6698</v>
      </c>
      <c r="L996" t="s">
        <v>6694</v>
      </c>
      <c r="M996" t="s">
        <v>6705</v>
      </c>
      <c r="P996" t="s">
        <v>6694</v>
      </c>
      <c r="S996" t="s">
        <v>6694</v>
      </c>
      <c r="W996" t="s">
        <v>6720</v>
      </c>
    </row>
    <row r="997" spans="1:23" ht="15.6" x14ac:dyDescent="0.4">
      <c r="A997" s="2" t="s">
        <v>3806</v>
      </c>
      <c r="B997" s="5" t="s">
        <v>7595</v>
      </c>
      <c r="C997" s="7" t="s">
        <v>12556</v>
      </c>
      <c r="D997" s="8">
        <f t="shared" si="64"/>
        <v>0</v>
      </c>
      <c r="E997" s="7" t="s">
        <v>12557</v>
      </c>
      <c r="F997" s="7">
        <f t="shared" si="65"/>
        <v>2</v>
      </c>
      <c r="G997" s="7" t="s">
        <v>12558</v>
      </c>
      <c r="H997" s="7">
        <f t="shared" si="66"/>
        <v>1</v>
      </c>
      <c r="I997" s="7" cm="1">
        <f t="array" ref="I997">IFERROR(_xlfn.IFS(M997="נח",1,M997="נע ונח",1,M997="שני שווא נח",2,M997="שני שוואים בסוף מילה",2,M997="שני שוואים ברצף",1),"0")</f>
        <v>1</v>
      </c>
      <c r="J997" s="9">
        <f t="shared" si="67"/>
        <v>3</v>
      </c>
      <c r="K997" t="s">
        <v>6697</v>
      </c>
      <c r="L997" t="s">
        <v>6694</v>
      </c>
      <c r="M997" t="s">
        <v>6705</v>
      </c>
      <c r="O997" t="s">
        <v>6694</v>
      </c>
      <c r="S997" t="s">
        <v>6694</v>
      </c>
      <c r="U997" t="s">
        <v>6694</v>
      </c>
      <c r="W997" t="s">
        <v>6720</v>
      </c>
    </row>
    <row r="998" spans="1:23" ht="15.6" x14ac:dyDescent="0.4">
      <c r="A998" s="2" t="s">
        <v>3621</v>
      </c>
      <c r="B998" s="5" t="s">
        <v>7222</v>
      </c>
      <c r="C998" s="7" t="s">
        <v>12556</v>
      </c>
      <c r="D998" s="8">
        <f t="shared" si="64"/>
        <v>0</v>
      </c>
      <c r="E998" s="7" t="s">
        <v>12557</v>
      </c>
      <c r="F998" s="7">
        <f t="shared" si="65"/>
        <v>1</v>
      </c>
      <c r="G998" s="7" t="s">
        <v>12558</v>
      </c>
      <c r="H998" s="7">
        <f t="shared" si="66"/>
        <v>0</v>
      </c>
      <c r="I998" s="7" t="str" cm="1">
        <f t="array" ref="I998">IFERROR(_xlfn.IFS(M998="נח",1,M998="נע ונח",1,M998="שני שווא נח",2,M998="שני שוואים בסוף מילה",2,M998="שני שוואים ברצף",1),"0")</f>
        <v>0</v>
      </c>
      <c r="J998" s="9">
        <f t="shared" si="67"/>
        <v>3</v>
      </c>
      <c r="K998" t="s">
        <v>6698</v>
      </c>
      <c r="L998" t="s">
        <v>6695</v>
      </c>
      <c r="Q998" t="s">
        <v>6694</v>
      </c>
      <c r="S998" t="s">
        <v>6694</v>
      </c>
      <c r="V998" t="s">
        <v>6694</v>
      </c>
      <c r="W998" t="s">
        <v>6720</v>
      </c>
    </row>
    <row r="999" spans="1:23" ht="15.6" x14ac:dyDescent="0.4">
      <c r="A999" s="2" t="s">
        <v>662</v>
      </c>
      <c r="B999" s="5" t="s">
        <v>7596</v>
      </c>
      <c r="C999" s="7" t="s">
        <v>12556</v>
      </c>
      <c r="D999" s="8">
        <f t="shared" si="64"/>
        <v>0</v>
      </c>
      <c r="E999" s="7" t="s">
        <v>12557</v>
      </c>
      <c r="F999" s="7">
        <f t="shared" si="65"/>
        <v>1</v>
      </c>
      <c r="G999" s="7" t="s">
        <v>12558</v>
      </c>
      <c r="H999" s="7">
        <f t="shared" si="66"/>
        <v>0</v>
      </c>
      <c r="I999" s="7" t="str" cm="1">
        <f t="array" ref="I999">IFERROR(_xlfn.IFS(M999="נח",1,M999="נע ונח",1,M999="שני שווא נח",2,M999="שני שוואים בסוף מילה",2,M999="שני שוואים ברצף",1),"0")</f>
        <v>0</v>
      </c>
      <c r="J999" s="9">
        <f t="shared" si="67"/>
        <v>1</v>
      </c>
      <c r="K999" t="s">
        <v>6698</v>
      </c>
      <c r="L999" t="s">
        <v>6695</v>
      </c>
      <c r="Q999" t="s">
        <v>6694</v>
      </c>
      <c r="W999" t="s">
        <v>6720</v>
      </c>
    </row>
    <row r="1000" spans="1:23" ht="15.6" x14ac:dyDescent="0.4">
      <c r="A1000" s="2" t="s">
        <v>385</v>
      </c>
      <c r="B1000" s="5" t="s">
        <v>7223</v>
      </c>
      <c r="C1000" s="7" t="s">
        <v>12556</v>
      </c>
      <c r="D1000" s="8">
        <f t="shared" si="64"/>
        <v>0</v>
      </c>
      <c r="E1000" s="7" t="s">
        <v>12557</v>
      </c>
      <c r="F1000" s="7">
        <f t="shared" si="65"/>
        <v>1</v>
      </c>
      <c r="G1000" s="7" t="s">
        <v>12558</v>
      </c>
      <c r="H1000" s="7">
        <f t="shared" si="66"/>
        <v>0</v>
      </c>
      <c r="I1000" s="7" t="str" cm="1">
        <f t="array" ref="I1000">IFERROR(_xlfn.IFS(M1000="נח",1,M1000="נע ונח",1,M1000="שני שווא נח",2,M1000="שני שוואים בסוף מילה",2,M1000="שני שוואים ברצף",1),"0")</f>
        <v>0</v>
      </c>
      <c r="J1000" s="9">
        <f t="shared" si="67"/>
        <v>1</v>
      </c>
      <c r="K1000" t="s">
        <v>6698</v>
      </c>
      <c r="L1000" t="s">
        <v>6695</v>
      </c>
      <c r="Q1000" t="s">
        <v>6694</v>
      </c>
      <c r="W1000" t="s">
        <v>6720</v>
      </c>
    </row>
    <row r="1001" spans="1:23" ht="15.6" x14ac:dyDescent="0.4">
      <c r="A1001" s="2" t="s">
        <v>4595</v>
      </c>
      <c r="B1001" s="5" t="s">
        <v>7224</v>
      </c>
      <c r="C1001" s="7" t="s">
        <v>12556</v>
      </c>
      <c r="D1001" s="8">
        <f t="shared" si="64"/>
        <v>0</v>
      </c>
      <c r="E1001" s="7" t="s">
        <v>12557</v>
      </c>
      <c r="F1001" s="7">
        <f t="shared" si="65"/>
        <v>1</v>
      </c>
      <c r="G1001" s="7" t="s">
        <v>12558</v>
      </c>
      <c r="H1001" s="7">
        <f t="shared" si="66"/>
        <v>0</v>
      </c>
      <c r="I1001" s="7" cm="1">
        <f t="array" ref="I1001">IFERROR(_xlfn.IFS(M1001="נח",1,M1001="נע ונח",1,M1001="שני שווא נח",2,M1001="שני שוואים בסוף מילה",2,M1001="שני שוואים ברצף",1),"0")</f>
        <v>1</v>
      </c>
      <c r="J1001" s="9">
        <f t="shared" si="67"/>
        <v>2</v>
      </c>
      <c r="K1001" t="s">
        <v>6697</v>
      </c>
      <c r="L1001" t="s">
        <v>6694</v>
      </c>
      <c r="M1001" t="s">
        <v>6705</v>
      </c>
      <c r="O1001" t="s">
        <v>6694</v>
      </c>
      <c r="Q1001" t="s">
        <v>6694</v>
      </c>
      <c r="W1001" t="s">
        <v>6720</v>
      </c>
    </row>
    <row r="1002" spans="1:23" ht="15.6" x14ac:dyDescent="0.4">
      <c r="A1002" s="2" t="s">
        <v>2803</v>
      </c>
      <c r="B1002" s="5" t="s">
        <v>7597</v>
      </c>
      <c r="C1002" s="7" t="s">
        <v>12556</v>
      </c>
      <c r="D1002" s="8">
        <f t="shared" si="64"/>
        <v>0</v>
      </c>
      <c r="E1002" s="7" t="s">
        <v>12557</v>
      </c>
      <c r="F1002" s="7">
        <f t="shared" si="65"/>
        <v>1</v>
      </c>
      <c r="G1002" s="7" t="s">
        <v>12558</v>
      </c>
      <c r="H1002" s="7">
        <f t="shared" si="66"/>
        <v>0</v>
      </c>
      <c r="I1002" s="7" t="str" cm="1">
        <f t="array" ref="I1002">IFERROR(_xlfn.IFS(M1002="נח",1,M1002="נע ונח",1,M1002="שני שווא נח",2,M1002="שני שוואים בסוף מילה",2,M1002="שני שוואים ברצף",1),"0")</f>
        <v>0</v>
      </c>
      <c r="J1002" s="9">
        <f t="shared" si="67"/>
        <v>2</v>
      </c>
      <c r="K1002" t="s">
        <v>6697</v>
      </c>
      <c r="L1002" t="s">
        <v>6695</v>
      </c>
      <c r="Q1002" t="s">
        <v>6694</v>
      </c>
      <c r="S1002" t="s">
        <v>6694</v>
      </c>
      <c r="W1002" t="s">
        <v>6720</v>
      </c>
    </row>
    <row r="1003" spans="1:23" ht="15.6" x14ac:dyDescent="0.4">
      <c r="A1003" s="2" t="s">
        <v>845</v>
      </c>
      <c r="B1003" s="5" t="s">
        <v>7224</v>
      </c>
      <c r="C1003" s="7" t="s">
        <v>12556</v>
      </c>
      <c r="D1003" s="8">
        <f t="shared" si="64"/>
        <v>0</v>
      </c>
      <c r="E1003" s="7" t="s">
        <v>12557</v>
      </c>
      <c r="F1003" s="7">
        <f t="shared" si="65"/>
        <v>1</v>
      </c>
      <c r="G1003" s="7" t="s">
        <v>12558</v>
      </c>
      <c r="H1003" s="7">
        <f t="shared" si="66"/>
        <v>0</v>
      </c>
      <c r="I1003" s="7" t="str" cm="1">
        <f t="array" ref="I1003">IFERROR(_xlfn.IFS(M1003="נח",1,M1003="נע ונח",1,M1003="שני שווא נח",2,M1003="שני שוואים בסוף מילה",2,M1003="שני שוואים ברצף",1),"0")</f>
        <v>0</v>
      </c>
      <c r="J1003" s="9">
        <f t="shared" si="67"/>
        <v>3</v>
      </c>
      <c r="K1003" t="s">
        <v>6697</v>
      </c>
      <c r="L1003" t="s">
        <v>6695</v>
      </c>
      <c r="O1003" t="s">
        <v>6694</v>
      </c>
      <c r="Q1003" t="s">
        <v>6694</v>
      </c>
      <c r="R1003" t="s">
        <v>6694</v>
      </c>
      <c r="W1003" t="s">
        <v>6720</v>
      </c>
    </row>
    <row r="1004" spans="1:23" ht="15.6" x14ac:dyDescent="0.4">
      <c r="A1004" s="2" t="s">
        <v>6034</v>
      </c>
      <c r="B1004" s="5" t="s">
        <v>7598</v>
      </c>
      <c r="C1004" s="7" t="s">
        <v>12556</v>
      </c>
      <c r="D1004" s="8">
        <f t="shared" si="64"/>
        <v>0</v>
      </c>
      <c r="E1004" s="7" t="s">
        <v>12557</v>
      </c>
      <c r="F1004" s="7">
        <f t="shared" si="65"/>
        <v>2</v>
      </c>
      <c r="G1004" s="7" t="s">
        <v>12558</v>
      </c>
      <c r="H1004" s="7">
        <f t="shared" si="66"/>
        <v>0</v>
      </c>
      <c r="I1004" s="7" t="str" cm="1">
        <f t="array" ref="I1004">IFERROR(_xlfn.IFS(M1004="נח",1,M1004="נע ונח",1,M1004="שני שווא נח",2,M1004="שני שוואים בסוף מילה",2,M1004="שני שוואים ברצף",1),"0")</f>
        <v>0</v>
      </c>
      <c r="J1004" s="9">
        <f t="shared" si="67"/>
        <v>2</v>
      </c>
      <c r="K1004" t="s">
        <v>6697</v>
      </c>
      <c r="L1004" t="s">
        <v>6695</v>
      </c>
      <c r="N1004" t="s">
        <v>6706</v>
      </c>
      <c r="O1004" t="s">
        <v>6694</v>
      </c>
      <c r="Q1004" t="s">
        <v>6694</v>
      </c>
      <c r="W1004" t="s">
        <v>6720</v>
      </c>
    </row>
    <row r="1005" spans="1:23" ht="15.6" x14ac:dyDescent="0.4">
      <c r="A1005" s="2" t="s">
        <v>6408</v>
      </c>
      <c r="B1005" s="5" t="s">
        <v>7599</v>
      </c>
      <c r="C1005" s="7" t="s">
        <v>12556</v>
      </c>
      <c r="D1005" s="8">
        <f t="shared" si="64"/>
        <v>0</v>
      </c>
      <c r="E1005" s="7" t="s">
        <v>12557</v>
      </c>
      <c r="F1005" s="7">
        <f t="shared" si="65"/>
        <v>1</v>
      </c>
      <c r="G1005" s="7" t="s">
        <v>12558</v>
      </c>
      <c r="H1005" s="7">
        <f t="shared" si="66"/>
        <v>0</v>
      </c>
      <c r="I1005" s="7" t="str" cm="1">
        <f t="array" ref="I1005">IFERROR(_xlfn.IFS(M1005="נח",1,M1005="נע ונח",1,M1005="שני שווא נח",2,M1005="שני שוואים בסוף מילה",2,M1005="שני שוואים ברצף",1),"0")</f>
        <v>0</v>
      </c>
      <c r="J1005" s="9">
        <f t="shared" si="67"/>
        <v>2</v>
      </c>
      <c r="K1005" t="s">
        <v>6697</v>
      </c>
      <c r="L1005" t="s">
        <v>6695</v>
      </c>
      <c r="Q1005" t="s">
        <v>6694</v>
      </c>
      <c r="V1005" t="s">
        <v>6694</v>
      </c>
      <c r="W1005" t="s">
        <v>6720</v>
      </c>
    </row>
    <row r="1006" spans="1:23" ht="15.6" x14ac:dyDescent="0.4">
      <c r="A1006" s="2" t="s">
        <v>4828</v>
      </c>
      <c r="B1006" s="5" t="s">
        <v>7225</v>
      </c>
      <c r="C1006" s="7" t="s">
        <v>12556</v>
      </c>
      <c r="D1006" s="8">
        <f t="shared" si="64"/>
        <v>0</v>
      </c>
      <c r="E1006" s="7" t="s">
        <v>12557</v>
      </c>
      <c r="F1006" s="7">
        <f t="shared" si="65"/>
        <v>1</v>
      </c>
      <c r="G1006" s="7" t="s">
        <v>12558</v>
      </c>
      <c r="H1006" s="7">
        <f t="shared" si="66"/>
        <v>0</v>
      </c>
      <c r="I1006" s="7" t="str" cm="1">
        <f t="array" ref="I1006">IFERROR(_xlfn.IFS(M1006="נח",1,M1006="נע ונח",1,M1006="שני שווא נח",2,M1006="שני שוואים בסוף מילה",2,M1006="שני שוואים ברצף",1),"0")</f>
        <v>0</v>
      </c>
      <c r="J1006" s="9">
        <f t="shared" si="67"/>
        <v>1</v>
      </c>
      <c r="K1006" t="s">
        <v>6698</v>
      </c>
      <c r="L1006" t="s">
        <v>6695</v>
      </c>
      <c r="Q1006" t="s">
        <v>6694</v>
      </c>
      <c r="W1006" t="s">
        <v>6720</v>
      </c>
    </row>
    <row r="1007" spans="1:23" ht="15.6" x14ac:dyDescent="0.4">
      <c r="A1007" s="2" t="s">
        <v>5135</v>
      </c>
      <c r="B1007" s="5" t="s">
        <v>7600</v>
      </c>
      <c r="C1007" s="7" t="s">
        <v>12556</v>
      </c>
      <c r="D1007" s="8">
        <f t="shared" si="64"/>
        <v>0</v>
      </c>
      <c r="E1007" s="7" t="s">
        <v>12557</v>
      </c>
      <c r="F1007" s="7">
        <f t="shared" si="65"/>
        <v>1</v>
      </c>
      <c r="G1007" s="7" t="s">
        <v>12558</v>
      </c>
      <c r="H1007" s="7">
        <f t="shared" si="66"/>
        <v>0</v>
      </c>
      <c r="I1007" s="7" cm="1">
        <f t="array" ref="I1007">IFERROR(_xlfn.IFS(M1007="נח",1,M1007="נע ונח",1,M1007="שני שווא נח",2,M1007="שני שוואים בסוף מילה",2,M1007="שני שוואים ברצף",1),"0")</f>
        <v>1</v>
      </c>
      <c r="J1007" s="9">
        <f t="shared" si="67"/>
        <v>2</v>
      </c>
      <c r="K1007" t="s">
        <v>6698</v>
      </c>
      <c r="L1007" t="s">
        <v>6694</v>
      </c>
      <c r="M1007" t="s">
        <v>6705</v>
      </c>
      <c r="Q1007" t="s">
        <v>6694</v>
      </c>
      <c r="W1007" t="s">
        <v>6720</v>
      </c>
    </row>
    <row r="1008" spans="1:23" ht="15.6" x14ac:dyDescent="0.4">
      <c r="A1008" s="2" t="s">
        <v>1376</v>
      </c>
      <c r="B1008" s="5" t="s">
        <v>7600</v>
      </c>
      <c r="C1008" s="7" t="s">
        <v>12556</v>
      </c>
      <c r="D1008" s="8">
        <f t="shared" si="64"/>
        <v>0</v>
      </c>
      <c r="E1008" s="7" t="s">
        <v>12557</v>
      </c>
      <c r="F1008" s="7">
        <f t="shared" si="65"/>
        <v>1</v>
      </c>
      <c r="G1008" s="7" t="s">
        <v>12558</v>
      </c>
      <c r="H1008" s="7">
        <f t="shared" si="66"/>
        <v>0</v>
      </c>
      <c r="I1008" s="7" cm="1">
        <f t="array" ref="I1008">IFERROR(_xlfn.IFS(M1008="נח",1,M1008="נע ונח",1,M1008="שני שווא נח",2,M1008="שני שוואים בסוף מילה",2,M1008="שני שוואים ברצף",1),"0")</f>
        <v>1</v>
      </c>
      <c r="J1008" s="9">
        <f t="shared" si="67"/>
        <v>2</v>
      </c>
      <c r="K1008" t="s">
        <v>6698</v>
      </c>
      <c r="L1008" t="s">
        <v>6694</v>
      </c>
      <c r="M1008" t="s">
        <v>6705</v>
      </c>
      <c r="P1008" t="s">
        <v>6694</v>
      </c>
      <c r="Q1008" t="s">
        <v>6694</v>
      </c>
      <c r="W1008" t="s">
        <v>6720</v>
      </c>
    </row>
    <row r="1009" spans="1:23" ht="15.6" x14ac:dyDescent="0.4">
      <c r="A1009" s="2" t="s">
        <v>3687</v>
      </c>
      <c r="B1009" s="5" t="s">
        <v>7601</v>
      </c>
      <c r="C1009" s="7" t="s">
        <v>12556</v>
      </c>
      <c r="D1009" s="8">
        <f t="shared" si="64"/>
        <v>0</v>
      </c>
      <c r="E1009" s="7" t="s">
        <v>12557</v>
      </c>
      <c r="F1009" s="7">
        <f t="shared" si="65"/>
        <v>1</v>
      </c>
      <c r="G1009" s="7" t="s">
        <v>12558</v>
      </c>
      <c r="H1009" s="7">
        <f t="shared" si="66"/>
        <v>0</v>
      </c>
      <c r="I1009" s="7" t="str" cm="1">
        <f t="array" ref="I1009">IFERROR(_xlfn.IFS(M1009="נח",1,M1009="נע ונח",1,M1009="שני שווא נח",2,M1009="שני שוואים בסוף מילה",2,M1009="שני שוואים ברצף",1),"0")</f>
        <v>0</v>
      </c>
      <c r="J1009" s="9">
        <f t="shared" si="67"/>
        <v>4</v>
      </c>
      <c r="K1009" t="s">
        <v>6697</v>
      </c>
      <c r="L1009" t="s">
        <v>6694</v>
      </c>
      <c r="M1009" t="s">
        <v>6703</v>
      </c>
      <c r="O1009" t="s">
        <v>6694</v>
      </c>
      <c r="P1009" t="s">
        <v>6694</v>
      </c>
      <c r="Q1009" t="s">
        <v>6694</v>
      </c>
      <c r="W1009" t="s">
        <v>6720</v>
      </c>
    </row>
    <row r="1010" spans="1:23" ht="15.6" x14ac:dyDescent="0.4">
      <c r="A1010" s="2" t="s">
        <v>1754</v>
      </c>
      <c r="B1010" s="5" t="s">
        <v>7602</v>
      </c>
      <c r="C1010" s="7" t="s">
        <v>12556</v>
      </c>
      <c r="D1010" s="8">
        <f t="shared" si="64"/>
        <v>0</v>
      </c>
      <c r="E1010" s="7" t="s">
        <v>12557</v>
      </c>
      <c r="F1010" s="7">
        <f t="shared" si="65"/>
        <v>2</v>
      </c>
      <c r="G1010" s="7" t="s">
        <v>12558</v>
      </c>
      <c r="H1010" s="7">
        <f t="shared" si="66"/>
        <v>1</v>
      </c>
      <c r="I1010" s="7" cm="1">
        <f t="array" ref="I1010">IFERROR(_xlfn.IFS(M1010="נח",1,M1010="נע ונח",1,M1010="שני שווא נח",2,M1010="שני שוואים בסוף מילה",2,M1010="שני שוואים ברצף",1),"0")</f>
        <v>1</v>
      </c>
      <c r="J1010" s="9">
        <f t="shared" si="67"/>
        <v>4</v>
      </c>
      <c r="K1010" t="s">
        <v>6698</v>
      </c>
      <c r="L1010" t="s">
        <v>6694</v>
      </c>
      <c r="M1010" t="s">
        <v>6705</v>
      </c>
      <c r="P1010" t="s">
        <v>6694</v>
      </c>
      <c r="Q1010" t="s">
        <v>6694</v>
      </c>
      <c r="R1010" t="s">
        <v>6694</v>
      </c>
      <c r="U1010" t="s">
        <v>6694</v>
      </c>
      <c r="W1010" t="s">
        <v>6720</v>
      </c>
    </row>
    <row r="1011" spans="1:23" ht="15.6" x14ac:dyDescent="0.4">
      <c r="A1011" s="2" t="s">
        <v>4070</v>
      </c>
      <c r="B1011" s="5" t="s">
        <v>7603</v>
      </c>
      <c r="C1011" s="7" t="s">
        <v>12556</v>
      </c>
      <c r="D1011" s="8">
        <f t="shared" si="64"/>
        <v>0</v>
      </c>
      <c r="E1011" s="7" t="s">
        <v>12557</v>
      </c>
      <c r="F1011" s="7">
        <f t="shared" si="65"/>
        <v>1</v>
      </c>
      <c r="G1011" s="7" t="s">
        <v>12558</v>
      </c>
      <c r="H1011" s="7">
        <f t="shared" si="66"/>
        <v>0</v>
      </c>
      <c r="I1011" s="7" t="str" cm="1">
        <f t="array" ref="I1011">IFERROR(_xlfn.IFS(M1011="נח",1,M1011="נע ונח",1,M1011="שני שווא נח",2,M1011="שני שוואים בסוף מילה",2,M1011="שני שוואים ברצף",1),"0")</f>
        <v>0</v>
      </c>
      <c r="J1011" s="9">
        <f t="shared" si="67"/>
        <v>3</v>
      </c>
      <c r="K1011" t="s">
        <v>6698</v>
      </c>
      <c r="L1011" t="s">
        <v>6695</v>
      </c>
      <c r="R1011" t="s">
        <v>6694</v>
      </c>
      <c r="V1011" t="s">
        <v>6694</v>
      </c>
      <c r="W1011" t="s">
        <v>6720</v>
      </c>
    </row>
    <row r="1012" spans="1:23" ht="15.6" x14ac:dyDescent="0.4">
      <c r="A1012" s="2" t="s">
        <v>1171</v>
      </c>
      <c r="B1012" s="5" t="s">
        <v>7604</v>
      </c>
      <c r="C1012" s="7" t="s">
        <v>12556</v>
      </c>
      <c r="D1012" s="8">
        <f t="shared" si="64"/>
        <v>0</v>
      </c>
      <c r="E1012" s="7" t="s">
        <v>12557</v>
      </c>
      <c r="F1012" s="7">
        <f t="shared" si="65"/>
        <v>1</v>
      </c>
      <c r="G1012" s="7" t="s">
        <v>12558</v>
      </c>
      <c r="H1012" s="7">
        <f t="shared" si="66"/>
        <v>0</v>
      </c>
      <c r="I1012" s="7" t="str" cm="1">
        <f t="array" ref="I1012">IFERROR(_xlfn.IFS(M1012="נח",1,M1012="נע ונח",1,M1012="שני שווא נח",2,M1012="שני שוואים בסוף מילה",2,M1012="שני שוואים ברצף",1),"0")</f>
        <v>0</v>
      </c>
      <c r="J1012" s="9">
        <f t="shared" si="67"/>
        <v>3</v>
      </c>
      <c r="K1012" t="s">
        <v>6698</v>
      </c>
      <c r="L1012" t="s">
        <v>6695</v>
      </c>
      <c r="R1012" t="s">
        <v>6694</v>
      </c>
      <c r="W1012" t="s">
        <v>6720</v>
      </c>
    </row>
    <row r="1013" spans="1:23" ht="15.6" x14ac:dyDescent="0.4">
      <c r="A1013" s="2" t="s">
        <v>3557</v>
      </c>
      <c r="B1013" s="5" t="s">
        <v>7605</v>
      </c>
      <c r="C1013" s="7" t="s">
        <v>12556</v>
      </c>
      <c r="D1013" s="8">
        <f t="shared" si="64"/>
        <v>0</v>
      </c>
      <c r="E1013" s="7" t="s">
        <v>12557</v>
      </c>
      <c r="F1013" s="7">
        <f t="shared" si="65"/>
        <v>1</v>
      </c>
      <c r="G1013" s="7" t="s">
        <v>12558</v>
      </c>
      <c r="H1013" s="7">
        <f t="shared" si="66"/>
        <v>0</v>
      </c>
      <c r="I1013" s="7" t="str" cm="1">
        <f t="array" ref="I1013">IFERROR(_xlfn.IFS(M1013="נח",1,M1013="נע ונח",1,M1013="שני שווא נח",2,M1013="שני שוואים בסוף מילה",2,M1013="שני שוואים ברצף",1),"0")</f>
        <v>0</v>
      </c>
      <c r="J1013" s="9">
        <f t="shared" si="67"/>
        <v>3</v>
      </c>
      <c r="K1013" t="s">
        <v>6698</v>
      </c>
      <c r="L1013" t="s">
        <v>6695</v>
      </c>
      <c r="R1013" t="s">
        <v>6694</v>
      </c>
      <c r="V1013" t="s">
        <v>6694</v>
      </c>
      <c r="W1013" t="s">
        <v>6720</v>
      </c>
    </row>
    <row r="1014" spans="1:23" ht="15.6" x14ac:dyDescent="0.4">
      <c r="A1014" s="2" t="s">
        <v>5598</v>
      </c>
      <c r="B1014" s="5" t="s">
        <v>7606</v>
      </c>
      <c r="C1014" s="7" t="s">
        <v>12556</v>
      </c>
      <c r="D1014" s="8">
        <f t="shared" si="64"/>
        <v>0</v>
      </c>
      <c r="E1014" s="7" t="s">
        <v>12557</v>
      </c>
      <c r="F1014" s="7">
        <f t="shared" si="65"/>
        <v>1</v>
      </c>
      <c r="G1014" s="7" t="s">
        <v>12558</v>
      </c>
      <c r="H1014" s="7">
        <f t="shared" si="66"/>
        <v>0</v>
      </c>
      <c r="I1014" s="7" cm="1">
        <f t="array" ref="I1014">IFERROR(_xlfn.IFS(M1014="נח",1,M1014="נע ונח",1,M1014="שני שווא נח",2,M1014="שני שוואים בסוף מילה",2,M1014="שני שוואים ברצף",1),"0")</f>
        <v>1</v>
      </c>
      <c r="J1014" s="9">
        <f t="shared" si="67"/>
        <v>5</v>
      </c>
      <c r="K1014" t="s">
        <v>6697</v>
      </c>
      <c r="L1014" t="s">
        <v>6694</v>
      </c>
      <c r="M1014" t="s">
        <v>6705</v>
      </c>
      <c r="N1014" t="s">
        <v>6706</v>
      </c>
      <c r="O1014" t="s">
        <v>6694</v>
      </c>
      <c r="R1014" t="s">
        <v>6694</v>
      </c>
      <c r="T1014" t="s">
        <v>6694</v>
      </c>
      <c r="W1014" t="s">
        <v>6720</v>
      </c>
    </row>
    <row r="1015" spans="1:23" ht="15.6" x14ac:dyDescent="0.4">
      <c r="A1015" s="2" t="s">
        <v>6587</v>
      </c>
      <c r="B1015" s="5" t="s">
        <v>7607</v>
      </c>
      <c r="C1015" s="7" t="s">
        <v>12556</v>
      </c>
      <c r="D1015" s="8">
        <f t="shared" si="64"/>
        <v>0</v>
      </c>
      <c r="E1015" s="7" t="s">
        <v>12557</v>
      </c>
      <c r="F1015" s="7">
        <f t="shared" si="65"/>
        <v>1</v>
      </c>
      <c r="G1015" s="7" t="s">
        <v>12558</v>
      </c>
      <c r="H1015" s="7">
        <f t="shared" si="66"/>
        <v>0</v>
      </c>
      <c r="I1015" s="7" t="str" cm="1">
        <f t="array" ref="I1015">IFERROR(_xlfn.IFS(M1015="נח",1,M1015="נע ונח",1,M1015="שני שווא נח",2,M1015="שני שוואים בסוף מילה",2,M1015="שני שוואים ברצף",1),"0")</f>
        <v>0</v>
      </c>
      <c r="J1015" s="9">
        <f t="shared" si="67"/>
        <v>3</v>
      </c>
      <c r="K1015" t="s">
        <v>6698</v>
      </c>
      <c r="L1015" t="s">
        <v>6695</v>
      </c>
      <c r="N1015" t="s">
        <v>6706</v>
      </c>
      <c r="O1015" t="s">
        <v>6694</v>
      </c>
      <c r="R1015" t="s">
        <v>6694</v>
      </c>
      <c r="W1015" t="s">
        <v>6720</v>
      </c>
    </row>
    <row r="1016" spans="1:23" ht="15.6" x14ac:dyDescent="0.4">
      <c r="A1016" s="2" t="s">
        <v>2926</v>
      </c>
      <c r="B1016" s="5" t="s">
        <v>7608</v>
      </c>
      <c r="C1016" s="7" t="s">
        <v>12556</v>
      </c>
      <c r="D1016" s="8">
        <f t="shared" si="64"/>
        <v>0</v>
      </c>
      <c r="E1016" s="7" t="s">
        <v>12557</v>
      </c>
      <c r="F1016" s="7">
        <f t="shared" si="65"/>
        <v>1</v>
      </c>
      <c r="G1016" s="7" t="s">
        <v>12558</v>
      </c>
      <c r="H1016" s="7">
        <f t="shared" si="66"/>
        <v>0</v>
      </c>
      <c r="I1016" s="7" t="str" cm="1">
        <f t="array" ref="I1016">IFERROR(_xlfn.IFS(M1016="נח",1,M1016="נע ונח",1,M1016="שני שווא נח",2,M1016="שני שוואים בסוף מילה",2,M1016="שני שוואים ברצף",1),"0")</f>
        <v>0</v>
      </c>
      <c r="J1016" s="9">
        <f t="shared" si="67"/>
        <v>3</v>
      </c>
      <c r="K1016" t="s">
        <v>6698</v>
      </c>
      <c r="L1016" t="s">
        <v>6695</v>
      </c>
      <c r="O1016" t="s">
        <v>6694</v>
      </c>
      <c r="R1016" t="s">
        <v>6694</v>
      </c>
      <c r="S1016" t="s">
        <v>6694</v>
      </c>
      <c r="W1016" t="s">
        <v>6720</v>
      </c>
    </row>
    <row r="1017" spans="1:23" ht="15.6" x14ac:dyDescent="0.4">
      <c r="A1017" s="2" t="s">
        <v>5265</v>
      </c>
      <c r="B1017" s="5" t="s">
        <v>7609</v>
      </c>
      <c r="C1017" s="7" t="s">
        <v>12556</v>
      </c>
      <c r="D1017" s="8">
        <f t="shared" si="64"/>
        <v>0</v>
      </c>
      <c r="E1017" s="7" t="s">
        <v>12557</v>
      </c>
      <c r="F1017" s="7">
        <f t="shared" si="65"/>
        <v>1</v>
      </c>
      <c r="G1017" s="7" t="s">
        <v>12558</v>
      </c>
      <c r="H1017" s="7">
        <f t="shared" si="66"/>
        <v>0</v>
      </c>
      <c r="I1017" s="7" t="str" cm="1">
        <f t="array" ref="I1017">IFERROR(_xlfn.IFS(M1017="נח",1,M1017="נע ונח",1,M1017="שני שווא נח",2,M1017="שני שוואים בסוף מילה",2,M1017="שני שוואים ברצף",1),"0")</f>
        <v>0</v>
      </c>
      <c r="J1017" s="9">
        <f t="shared" si="67"/>
        <v>2</v>
      </c>
      <c r="K1017" t="s">
        <v>6697</v>
      </c>
      <c r="L1017" t="s">
        <v>6695</v>
      </c>
      <c r="R1017" t="s">
        <v>6694</v>
      </c>
      <c r="S1017" t="s">
        <v>6694</v>
      </c>
      <c r="W1017" t="s">
        <v>6720</v>
      </c>
    </row>
    <row r="1018" spans="1:23" ht="15.6" x14ac:dyDescent="0.4">
      <c r="A1018" s="2" t="s">
        <v>377</v>
      </c>
      <c r="B1018" s="5" t="s">
        <v>7225</v>
      </c>
      <c r="C1018" s="7" t="s">
        <v>12556</v>
      </c>
      <c r="D1018" s="8">
        <f t="shared" si="64"/>
        <v>0</v>
      </c>
      <c r="E1018" s="7" t="s">
        <v>12557</v>
      </c>
      <c r="F1018" s="7">
        <f t="shared" si="65"/>
        <v>1</v>
      </c>
      <c r="G1018" s="7" t="s">
        <v>12558</v>
      </c>
      <c r="H1018" s="7">
        <f t="shared" si="66"/>
        <v>0</v>
      </c>
      <c r="I1018" s="7" t="str" cm="1">
        <f t="array" ref="I1018">IFERROR(_xlfn.IFS(M1018="נח",1,M1018="נע ונח",1,M1018="שני שווא נח",2,M1018="שני שוואים בסוף מילה",2,M1018="שני שוואים ברצף",1),"0")</f>
        <v>0</v>
      </c>
      <c r="J1018" s="9">
        <f t="shared" si="67"/>
        <v>1</v>
      </c>
      <c r="K1018" t="s">
        <v>6698</v>
      </c>
      <c r="L1018" t="s">
        <v>6695</v>
      </c>
      <c r="R1018" t="s">
        <v>6694</v>
      </c>
      <c r="W1018" t="s">
        <v>6720</v>
      </c>
    </row>
    <row r="1019" spans="1:23" ht="15.6" x14ac:dyDescent="0.4">
      <c r="A1019" s="2" t="s">
        <v>1548</v>
      </c>
      <c r="B1019" s="5" t="s">
        <v>7610</v>
      </c>
      <c r="C1019" s="7" t="s">
        <v>12556</v>
      </c>
      <c r="D1019" s="8">
        <f t="shared" si="64"/>
        <v>0</v>
      </c>
      <c r="E1019" s="7" t="s">
        <v>12557</v>
      </c>
      <c r="F1019" s="7">
        <f t="shared" si="65"/>
        <v>1</v>
      </c>
      <c r="G1019" s="7" t="s">
        <v>12558</v>
      </c>
      <c r="H1019" s="7">
        <f t="shared" si="66"/>
        <v>0</v>
      </c>
      <c r="I1019" s="7" t="str" cm="1">
        <f t="array" ref="I1019">IFERROR(_xlfn.IFS(M1019="נח",1,M1019="נע ונח",1,M1019="שני שווא נח",2,M1019="שני שוואים בסוף מילה",2,M1019="שני שוואים ברצף",1),"0")</f>
        <v>0</v>
      </c>
      <c r="J1019" s="9">
        <f t="shared" si="67"/>
        <v>3</v>
      </c>
      <c r="K1019" t="s">
        <v>6698</v>
      </c>
      <c r="L1019" t="s">
        <v>6695</v>
      </c>
      <c r="N1019" t="s">
        <v>6706</v>
      </c>
      <c r="O1019" t="s">
        <v>6694</v>
      </c>
      <c r="R1019" t="s">
        <v>6694</v>
      </c>
      <c r="W1019" t="s">
        <v>6720</v>
      </c>
    </row>
    <row r="1020" spans="1:23" ht="15.6" x14ac:dyDescent="0.4">
      <c r="A1020" s="2" t="s">
        <v>5733</v>
      </c>
      <c r="B1020" s="5" t="s">
        <v>7611</v>
      </c>
      <c r="C1020" s="7" t="s">
        <v>12556</v>
      </c>
      <c r="D1020" s="8">
        <f t="shared" si="64"/>
        <v>0</v>
      </c>
      <c r="E1020" s="7" t="s">
        <v>12557</v>
      </c>
      <c r="F1020" s="7">
        <f t="shared" si="65"/>
        <v>1</v>
      </c>
      <c r="G1020" s="7" t="s">
        <v>12558</v>
      </c>
      <c r="H1020" s="7">
        <f t="shared" si="66"/>
        <v>0</v>
      </c>
      <c r="I1020" s="7" t="str" cm="1">
        <f t="array" ref="I1020">IFERROR(_xlfn.IFS(M1020="נח",1,M1020="נע ונח",1,M1020="שני שווא נח",2,M1020="שני שוואים בסוף מילה",2,M1020="שני שוואים ברצף",1),"0")</f>
        <v>0</v>
      </c>
      <c r="J1020" s="9">
        <f t="shared" si="67"/>
        <v>3</v>
      </c>
      <c r="K1020" t="s">
        <v>6698</v>
      </c>
      <c r="L1020" t="s">
        <v>6695</v>
      </c>
      <c r="N1020" t="s">
        <v>6706</v>
      </c>
      <c r="O1020" t="s">
        <v>6694</v>
      </c>
      <c r="R1020" t="s">
        <v>6694</v>
      </c>
      <c r="W1020" t="s">
        <v>6720</v>
      </c>
    </row>
    <row r="1021" spans="1:23" ht="15.6" x14ac:dyDescent="0.4">
      <c r="A1021" s="2" t="s">
        <v>1917</v>
      </c>
      <c r="B1021" s="5" t="s">
        <v>7612</v>
      </c>
      <c r="C1021" s="7" t="s">
        <v>12556</v>
      </c>
      <c r="D1021" s="8">
        <f t="shared" si="64"/>
        <v>0</v>
      </c>
      <c r="E1021" s="7" t="s">
        <v>12557</v>
      </c>
      <c r="F1021" s="7">
        <f t="shared" si="65"/>
        <v>1</v>
      </c>
      <c r="G1021" s="7" t="s">
        <v>12558</v>
      </c>
      <c r="H1021" s="7">
        <f t="shared" si="66"/>
        <v>0</v>
      </c>
      <c r="I1021" s="7" t="str" cm="1">
        <f t="array" ref="I1021">IFERROR(_xlfn.IFS(M1021="נח",1,M1021="נע ונח",1,M1021="שני שווא נח",2,M1021="שני שוואים בסוף מילה",2,M1021="שני שוואים ברצף",1),"0")</f>
        <v>0</v>
      </c>
      <c r="J1021" s="9">
        <f t="shared" si="67"/>
        <v>2</v>
      </c>
      <c r="K1021" t="s">
        <v>6697</v>
      </c>
      <c r="L1021" t="s">
        <v>6695</v>
      </c>
      <c r="P1021" t="s">
        <v>6694</v>
      </c>
      <c r="R1021" t="s">
        <v>6694</v>
      </c>
      <c r="W1021" t="s">
        <v>6720</v>
      </c>
    </row>
    <row r="1022" spans="1:23" ht="15.6" x14ac:dyDescent="0.4">
      <c r="A1022" s="2" t="s">
        <v>3985</v>
      </c>
      <c r="B1022" s="5" t="s">
        <v>7227</v>
      </c>
      <c r="C1022" s="7" t="s">
        <v>12556</v>
      </c>
      <c r="D1022" s="8">
        <f t="shared" si="64"/>
        <v>0</v>
      </c>
      <c r="E1022" s="7" t="s">
        <v>12557</v>
      </c>
      <c r="F1022" s="7">
        <f t="shared" si="65"/>
        <v>2</v>
      </c>
      <c r="G1022" s="7" t="s">
        <v>12558</v>
      </c>
      <c r="H1022" s="7">
        <f t="shared" si="66"/>
        <v>0</v>
      </c>
      <c r="I1022" s="7" cm="1">
        <f t="array" ref="I1022">IFERROR(_xlfn.IFS(M1022="נח",1,M1022="נע ונח",1,M1022="שני שווא נח",2,M1022="שני שוואים בסוף מילה",2,M1022="שני שוואים ברצף",1),"0")</f>
        <v>1</v>
      </c>
      <c r="J1022" s="9">
        <f t="shared" si="67"/>
        <v>4</v>
      </c>
      <c r="K1022" t="s">
        <v>6697</v>
      </c>
      <c r="L1022" t="s">
        <v>6694</v>
      </c>
      <c r="M1022" t="s">
        <v>6705</v>
      </c>
      <c r="O1022" t="s">
        <v>6694</v>
      </c>
      <c r="P1022" t="s">
        <v>6694</v>
      </c>
      <c r="S1022" t="s">
        <v>6694</v>
      </c>
      <c r="W1022" t="s">
        <v>6720</v>
      </c>
    </row>
    <row r="1023" spans="1:23" ht="15.6" x14ac:dyDescent="0.4">
      <c r="A1023" s="2" t="s">
        <v>6253</v>
      </c>
      <c r="B1023" s="5" t="s">
        <v>7227</v>
      </c>
      <c r="C1023" s="7" t="s">
        <v>12556</v>
      </c>
      <c r="D1023" s="8">
        <f t="shared" si="64"/>
        <v>0</v>
      </c>
      <c r="E1023" s="7" t="s">
        <v>12557</v>
      </c>
      <c r="F1023" s="7">
        <f t="shared" si="65"/>
        <v>2</v>
      </c>
      <c r="G1023" s="7" t="s">
        <v>12558</v>
      </c>
      <c r="H1023" s="7">
        <f t="shared" si="66"/>
        <v>0</v>
      </c>
      <c r="I1023" s="7" t="str" cm="1">
        <f t="array" ref="I1023">IFERROR(_xlfn.IFS(M1023="נח",1,M1023="נע ונח",1,M1023="שני שווא נח",2,M1023="שני שוואים בסוף מילה",2,M1023="שני שוואים ברצף",1),"0")</f>
        <v>0</v>
      </c>
      <c r="J1023" s="9">
        <f t="shared" si="67"/>
        <v>5</v>
      </c>
      <c r="K1023" t="s">
        <v>6697</v>
      </c>
      <c r="L1023" t="s">
        <v>6695</v>
      </c>
      <c r="O1023" t="s">
        <v>6694</v>
      </c>
      <c r="P1023" t="s">
        <v>6694</v>
      </c>
      <c r="R1023" t="s">
        <v>6694</v>
      </c>
      <c r="S1023" t="s">
        <v>6694</v>
      </c>
      <c r="W1023" t="s">
        <v>6720</v>
      </c>
    </row>
    <row r="1024" spans="1:23" ht="15.6" x14ac:dyDescent="0.4">
      <c r="A1024" s="2" t="s">
        <v>3384</v>
      </c>
      <c r="B1024" s="5" t="s">
        <v>7613</v>
      </c>
      <c r="C1024" s="7" t="s">
        <v>12556</v>
      </c>
      <c r="D1024" s="8">
        <f t="shared" si="64"/>
        <v>0</v>
      </c>
      <c r="E1024" s="7" t="s">
        <v>12557</v>
      </c>
      <c r="F1024" s="7">
        <f t="shared" si="65"/>
        <v>1</v>
      </c>
      <c r="G1024" s="7" t="s">
        <v>12558</v>
      </c>
      <c r="H1024" s="7">
        <f t="shared" si="66"/>
        <v>0</v>
      </c>
      <c r="I1024" s="7" t="str" cm="1">
        <f t="array" ref="I1024">IFERROR(_xlfn.IFS(M1024="נח",1,M1024="נע ונח",1,M1024="שני שווא נח",2,M1024="שני שוואים בסוף מילה",2,M1024="שני שוואים ברצף",1),"0")</f>
        <v>0</v>
      </c>
      <c r="J1024" s="9">
        <f t="shared" si="67"/>
        <v>4</v>
      </c>
      <c r="K1024" t="s">
        <v>6697</v>
      </c>
      <c r="L1024" t="s">
        <v>6695</v>
      </c>
      <c r="O1024" t="s">
        <v>6694</v>
      </c>
      <c r="P1024" t="s">
        <v>6694</v>
      </c>
      <c r="W1024" t="s">
        <v>6720</v>
      </c>
    </row>
    <row r="1025" spans="1:23" ht="15.6" x14ac:dyDescent="0.4">
      <c r="A1025" s="2" t="s">
        <v>6491</v>
      </c>
      <c r="B1025" s="5" t="s">
        <v>7614</v>
      </c>
      <c r="C1025" s="7" t="s">
        <v>12556</v>
      </c>
      <c r="D1025" s="8">
        <f t="shared" si="64"/>
        <v>1</v>
      </c>
      <c r="E1025" s="7" t="s">
        <v>12557</v>
      </c>
      <c r="F1025" s="7">
        <f t="shared" si="65"/>
        <v>1</v>
      </c>
      <c r="G1025" s="7" t="s">
        <v>12558</v>
      </c>
      <c r="H1025" s="7">
        <f t="shared" si="66"/>
        <v>0</v>
      </c>
      <c r="I1025" s="7" t="str" cm="1">
        <f t="array" ref="I1025">IFERROR(_xlfn.IFS(M1025="נח",1,M1025="נע ונח",1,M1025="שני שווא נח",2,M1025="שני שוואים בסוף מילה",2,M1025="שני שוואים ברצף",1),"0")</f>
        <v>0</v>
      </c>
      <c r="J1025" s="9">
        <f t="shared" si="67"/>
        <v>4</v>
      </c>
      <c r="K1025" t="s">
        <v>6698</v>
      </c>
      <c r="L1025" t="s">
        <v>6695</v>
      </c>
      <c r="N1025" t="s">
        <v>6706</v>
      </c>
      <c r="O1025" t="s">
        <v>6694</v>
      </c>
      <c r="P1025" t="s">
        <v>6694</v>
      </c>
      <c r="W1025" t="s">
        <v>6720</v>
      </c>
    </row>
    <row r="1026" spans="1:23" ht="15.6" x14ac:dyDescent="0.4">
      <c r="A1026" s="2" t="s">
        <v>5511</v>
      </c>
      <c r="B1026" s="5" t="s">
        <v>7228</v>
      </c>
      <c r="C1026" s="7" t="s">
        <v>12556</v>
      </c>
      <c r="D1026" s="8">
        <f t="shared" si="64"/>
        <v>0</v>
      </c>
      <c r="E1026" s="7" t="s">
        <v>12557</v>
      </c>
      <c r="F1026" s="7">
        <f t="shared" si="65"/>
        <v>2</v>
      </c>
      <c r="G1026" s="7" t="s">
        <v>12558</v>
      </c>
      <c r="H1026" s="7">
        <f t="shared" si="66"/>
        <v>0</v>
      </c>
      <c r="I1026" s="7" t="str" cm="1">
        <f t="array" ref="I1026">IFERROR(_xlfn.IFS(M1026="נח",1,M1026="נע ונח",1,M1026="שני שווא נח",2,M1026="שני שוואים בסוף מילה",2,M1026="שני שוואים ברצף",1),"0")</f>
        <v>0</v>
      </c>
      <c r="J1026" s="9">
        <f t="shared" si="67"/>
        <v>3</v>
      </c>
      <c r="K1026" t="s">
        <v>6698</v>
      </c>
      <c r="L1026" t="s">
        <v>6695</v>
      </c>
      <c r="P1026" t="s">
        <v>6694</v>
      </c>
      <c r="R1026" t="s">
        <v>6694</v>
      </c>
      <c r="V1026" t="s">
        <v>6694</v>
      </c>
      <c r="W1026" t="s">
        <v>6720</v>
      </c>
    </row>
    <row r="1027" spans="1:23" ht="15.6" x14ac:dyDescent="0.4">
      <c r="A1027" s="2" t="s">
        <v>4769</v>
      </c>
      <c r="B1027" s="5" t="s">
        <v>7615</v>
      </c>
      <c r="C1027" s="7" t="s">
        <v>12556</v>
      </c>
      <c r="D1027" s="8">
        <f t="shared" ref="D1027:D1090" si="68">(LEN(B1027)-LEN(SUBSTITUTE(B1027,C1027,"")))</f>
        <v>0</v>
      </c>
      <c r="E1027" s="7" t="s">
        <v>12557</v>
      </c>
      <c r="F1027" s="7">
        <f t="shared" ref="F1027:F1090" si="69">(LEN(A1027)-LEN(SUBSTITUTE(A1027,E1027,"")))</f>
        <v>3</v>
      </c>
      <c r="G1027" s="7" t="s">
        <v>12558</v>
      </c>
      <c r="H1027" s="7">
        <f t="shared" ref="H1027:H1090" si="70">(LEN(A1027)-LEN(SUBSTITUTE(A1027,G1027,"")))/2</f>
        <v>0</v>
      </c>
      <c r="I1027" s="7" cm="1">
        <f t="array" ref="I1027">IFERROR(_xlfn.IFS(M1027="נח",1,M1027="נע ונח",1,M1027="שני שווא נח",2,M1027="שני שוואים בסוף מילה",2,M1027="שני שוואים ברצף",1),"0")</f>
        <v>1</v>
      </c>
      <c r="J1027" s="9">
        <f t="shared" ref="J1027:J1090" si="71">LEN(A1027)-(LEN(B1027))-D1027-F1027+H1027-I1027</f>
        <v>3</v>
      </c>
      <c r="K1027" t="s">
        <v>6698</v>
      </c>
      <c r="L1027" t="s">
        <v>6694</v>
      </c>
      <c r="M1027" t="s">
        <v>6705</v>
      </c>
      <c r="P1027" t="s">
        <v>6694</v>
      </c>
      <c r="W1027" t="s">
        <v>6720</v>
      </c>
    </row>
    <row r="1028" spans="1:23" ht="15.6" x14ac:dyDescent="0.4">
      <c r="A1028" s="2" t="s">
        <v>1121</v>
      </c>
      <c r="B1028" s="5" t="s">
        <v>7229</v>
      </c>
      <c r="C1028" s="7" t="s">
        <v>12556</v>
      </c>
      <c r="D1028" s="8">
        <f t="shared" si="68"/>
        <v>0</v>
      </c>
      <c r="E1028" s="7" t="s">
        <v>12557</v>
      </c>
      <c r="F1028" s="7">
        <f t="shared" si="69"/>
        <v>2</v>
      </c>
      <c r="G1028" s="7" t="s">
        <v>12558</v>
      </c>
      <c r="H1028" s="7">
        <f t="shared" si="70"/>
        <v>0</v>
      </c>
      <c r="I1028" s="7" t="str" cm="1">
        <f t="array" ref="I1028">IFERROR(_xlfn.IFS(M1028="נח",1,M1028="נע ונח",1,M1028="שני שווא נח",2,M1028="שני שוואים בסוף מילה",2,M1028="שני שוואים ברצף",1),"0")</f>
        <v>0</v>
      </c>
      <c r="J1028" s="9">
        <f t="shared" si="71"/>
        <v>3</v>
      </c>
      <c r="K1028" t="s">
        <v>6698</v>
      </c>
      <c r="L1028" t="s">
        <v>6695</v>
      </c>
      <c r="P1028" t="s">
        <v>6694</v>
      </c>
      <c r="S1028" t="s">
        <v>6694</v>
      </c>
      <c r="V1028" t="s">
        <v>6694</v>
      </c>
      <c r="W1028" t="s">
        <v>6720</v>
      </c>
    </row>
    <row r="1029" spans="1:23" ht="15.6" x14ac:dyDescent="0.4">
      <c r="A1029" s="2" t="s">
        <v>2888</v>
      </c>
      <c r="B1029" s="5" t="s">
        <v>7309</v>
      </c>
      <c r="C1029" s="7" t="s">
        <v>12556</v>
      </c>
      <c r="D1029" s="8">
        <f t="shared" si="68"/>
        <v>0</v>
      </c>
      <c r="E1029" s="7" t="s">
        <v>12557</v>
      </c>
      <c r="F1029" s="7">
        <f t="shared" si="69"/>
        <v>2</v>
      </c>
      <c r="G1029" s="7" t="s">
        <v>12558</v>
      </c>
      <c r="H1029" s="7">
        <f t="shared" si="70"/>
        <v>0</v>
      </c>
      <c r="I1029" s="7" cm="1">
        <f t="array" ref="I1029">IFERROR(_xlfn.IFS(M1029="נח",1,M1029="נע ונח",1,M1029="שני שווא נח",2,M1029="שני שוואים בסוף מילה",2,M1029="שני שוואים ברצף",1),"0")</f>
        <v>1</v>
      </c>
      <c r="J1029" s="9">
        <f t="shared" si="71"/>
        <v>3</v>
      </c>
      <c r="K1029" t="s">
        <v>6698</v>
      </c>
      <c r="L1029" t="s">
        <v>6694</v>
      </c>
      <c r="M1029" t="s">
        <v>6705</v>
      </c>
      <c r="P1029" t="s">
        <v>6694</v>
      </c>
      <c r="R1029" t="s">
        <v>6694</v>
      </c>
      <c r="W1029" t="s">
        <v>6720</v>
      </c>
    </row>
    <row r="1030" spans="1:23" ht="15.6" x14ac:dyDescent="0.4">
      <c r="A1030" s="2" t="s">
        <v>6051</v>
      </c>
      <c r="B1030" s="5" t="s">
        <v>7309</v>
      </c>
      <c r="C1030" s="7" t="s">
        <v>12556</v>
      </c>
      <c r="D1030" s="8">
        <f t="shared" si="68"/>
        <v>0</v>
      </c>
      <c r="E1030" s="7" t="s">
        <v>12557</v>
      </c>
      <c r="F1030" s="7">
        <f t="shared" si="69"/>
        <v>2</v>
      </c>
      <c r="G1030" s="7" t="s">
        <v>12558</v>
      </c>
      <c r="H1030" s="7">
        <f t="shared" si="70"/>
        <v>0</v>
      </c>
      <c r="I1030" s="7" cm="1">
        <f t="array" ref="I1030">IFERROR(_xlfn.IFS(M1030="נח",1,M1030="נע ונח",1,M1030="שני שווא נח",2,M1030="שני שוואים בסוף מילה",2,M1030="שני שוואים ברצף",1),"0")</f>
        <v>1</v>
      </c>
      <c r="J1030" s="9">
        <f t="shared" si="71"/>
        <v>3</v>
      </c>
      <c r="K1030" t="s">
        <v>6698</v>
      </c>
      <c r="L1030" t="s">
        <v>6694</v>
      </c>
      <c r="M1030" t="s">
        <v>6705</v>
      </c>
      <c r="O1030" t="s">
        <v>6694</v>
      </c>
      <c r="P1030" t="s">
        <v>6694</v>
      </c>
      <c r="R1030" t="s">
        <v>6694</v>
      </c>
      <c r="W1030" t="s">
        <v>6720</v>
      </c>
    </row>
    <row r="1031" spans="1:23" ht="15.6" x14ac:dyDescent="0.4">
      <c r="A1031" s="2" t="s">
        <v>3446</v>
      </c>
      <c r="B1031" s="5" t="s">
        <v>7616</v>
      </c>
      <c r="C1031" s="7" t="s">
        <v>12556</v>
      </c>
      <c r="D1031" s="8">
        <f t="shared" si="68"/>
        <v>0</v>
      </c>
      <c r="E1031" s="7" t="s">
        <v>12557</v>
      </c>
      <c r="F1031" s="7">
        <f t="shared" si="69"/>
        <v>1</v>
      </c>
      <c r="G1031" s="7" t="s">
        <v>12558</v>
      </c>
      <c r="H1031" s="7">
        <f t="shared" si="70"/>
        <v>0</v>
      </c>
      <c r="I1031" s="7" t="str" cm="1">
        <f t="array" ref="I1031">IFERROR(_xlfn.IFS(M1031="נח",1,M1031="נע ונח",1,M1031="שני שווא נח",2,M1031="שני שוואים בסוף מילה",2,M1031="שני שוואים ברצף",1),"0")</f>
        <v>0</v>
      </c>
      <c r="J1031" s="9">
        <f t="shared" si="71"/>
        <v>4</v>
      </c>
      <c r="K1031" t="s">
        <v>6697</v>
      </c>
      <c r="L1031" t="s">
        <v>6695</v>
      </c>
      <c r="P1031" t="s">
        <v>6694</v>
      </c>
      <c r="S1031" t="s">
        <v>6694</v>
      </c>
      <c r="W1031" t="s">
        <v>6720</v>
      </c>
    </row>
    <row r="1032" spans="1:23" ht="15.6" x14ac:dyDescent="0.4">
      <c r="A1032" s="2" t="s">
        <v>5387</v>
      </c>
      <c r="B1032" s="5" t="s">
        <v>7617</v>
      </c>
      <c r="C1032" s="7" t="s">
        <v>12556</v>
      </c>
      <c r="D1032" s="8">
        <f t="shared" si="68"/>
        <v>0</v>
      </c>
      <c r="E1032" s="7" t="s">
        <v>12557</v>
      </c>
      <c r="F1032" s="7">
        <f t="shared" si="69"/>
        <v>1</v>
      </c>
      <c r="G1032" s="7" t="s">
        <v>12558</v>
      </c>
      <c r="H1032" s="7">
        <f t="shared" si="70"/>
        <v>0</v>
      </c>
      <c r="I1032" s="7" t="str" cm="1">
        <f t="array" ref="I1032">IFERROR(_xlfn.IFS(M1032="נח",1,M1032="נע ונח",1,M1032="שני שווא נח",2,M1032="שני שוואים בסוף מילה",2,M1032="שני שוואים ברצף",1),"0")</f>
        <v>0</v>
      </c>
      <c r="J1032" s="9">
        <f t="shared" si="71"/>
        <v>4</v>
      </c>
      <c r="K1032" t="s">
        <v>6698</v>
      </c>
      <c r="L1032" t="s">
        <v>6694</v>
      </c>
      <c r="M1032" t="s">
        <v>6703</v>
      </c>
      <c r="P1032" t="s">
        <v>6694</v>
      </c>
      <c r="S1032" t="s">
        <v>6694</v>
      </c>
      <c r="V1032" t="s">
        <v>6694</v>
      </c>
      <c r="W1032" t="s">
        <v>6720</v>
      </c>
    </row>
    <row r="1033" spans="1:23" ht="15.6" x14ac:dyDescent="0.4">
      <c r="A1033" s="2" t="s">
        <v>5424</v>
      </c>
      <c r="B1033" s="5" t="s">
        <v>7618</v>
      </c>
      <c r="C1033" s="7" t="s">
        <v>12556</v>
      </c>
      <c r="D1033" s="8">
        <f t="shared" si="68"/>
        <v>0</v>
      </c>
      <c r="E1033" s="7" t="s">
        <v>12557</v>
      </c>
      <c r="F1033" s="7">
        <f t="shared" si="69"/>
        <v>1</v>
      </c>
      <c r="G1033" s="7" t="s">
        <v>12558</v>
      </c>
      <c r="H1033" s="7">
        <f t="shared" si="70"/>
        <v>0</v>
      </c>
      <c r="I1033" s="7" t="str" cm="1">
        <f t="array" ref="I1033">IFERROR(_xlfn.IFS(M1033="נח",1,M1033="נע ונח",1,M1033="שני שווא נח",2,M1033="שני שוואים בסוף מילה",2,M1033="שני שוואים ברצף",1),"0")</f>
        <v>0</v>
      </c>
      <c r="J1033" s="9">
        <f t="shared" si="71"/>
        <v>4</v>
      </c>
      <c r="K1033" t="s">
        <v>6698</v>
      </c>
      <c r="L1033" t="s">
        <v>6695</v>
      </c>
      <c r="O1033" t="s">
        <v>6694</v>
      </c>
      <c r="P1033" t="s">
        <v>6694</v>
      </c>
      <c r="V1033" t="s">
        <v>6694</v>
      </c>
      <c r="W1033" t="s">
        <v>6720</v>
      </c>
    </row>
    <row r="1034" spans="1:23" ht="15.6" x14ac:dyDescent="0.4">
      <c r="A1034" s="2" t="s">
        <v>996</v>
      </c>
      <c r="B1034" s="5" t="s">
        <v>7619</v>
      </c>
      <c r="C1034" s="7" t="s">
        <v>12556</v>
      </c>
      <c r="D1034" s="8">
        <f t="shared" si="68"/>
        <v>0</v>
      </c>
      <c r="E1034" s="7" t="s">
        <v>12557</v>
      </c>
      <c r="F1034" s="7">
        <f t="shared" si="69"/>
        <v>1</v>
      </c>
      <c r="G1034" s="7" t="s">
        <v>12558</v>
      </c>
      <c r="H1034" s="7">
        <f t="shared" si="70"/>
        <v>0</v>
      </c>
      <c r="I1034" s="7" t="str" cm="1">
        <f t="array" ref="I1034">IFERROR(_xlfn.IFS(M1034="נח",1,M1034="נע ונח",1,M1034="שני שווא נח",2,M1034="שני שוואים בסוף מילה",2,M1034="שני שוואים ברצף",1),"0")</f>
        <v>0</v>
      </c>
      <c r="J1034" s="9">
        <f t="shared" si="71"/>
        <v>4</v>
      </c>
      <c r="K1034" t="s">
        <v>6698</v>
      </c>
      <c r="L1034" t="s">
        <v>6695</v>
      </c>
      <c r="N1034" t="s">
        <v>6706</v>
      </c>
      <c r="O1034" t="s">
        <v>6694</v>
      </c>
      <c r="P1034" t="s">
        <v>6694</v>
      </c>
      <c r="V1034" t="s">
        <v>6694</v>
      </c>
      <c r="W1034" t="s">
        <v>6720</v>
      </c>
    </row>
    <row r="1035" spans="1:23" ht="15.6" x14ac:dyDescent="0.4">
      <c r="A1035" s="2" t="s">
        <v>3182</v>
      </c>
      <c r="B1035" s="5" t="s">
        <v>7620</v>
      </c>
      <c r="C1035" s="7" t="s">
        <v>12556</v>
      </c>
      <c r="D1035" s="8">
        <f t="shared" si="68"/>
        <v>0</v>
      </c>
      <c r="E1035" s="7" t="s">
        <v>12557</v>
      </c>
      <c r="F1035" s="7">
        <f t="shared" si="69"/>
        <v>1</v>
      </c>
      <c r="G1035" s="7" t="s">
        <v>12558</v>
      </c>
      <c r="H1035" s="7">
        <f t="shared" si="70"/>
        <v>0</v>
      </c>
      <c r="I1035" s="7" cm="1">
        <f t="array" ref="I1035">IFERROR(_xlfn.IFS(M1035="נח",1,M1035="נע ונח",1,M1035="שני שווא נח",2,M1035="שני שוואים בסוף מילה",2,M1035="שני שוואים ברצף",1),"0")</f>
        <v>1</v>
      </c>
      <c r="J1035" s="9">
        <f t="shared" si="71"/>
        <v>4</v>
      </c>
      <c r="K1035" t="s">
        <v>6697</v>
      </c>
      <c r="L1035" t="s">
        <v>6694</v>
      </c>
      <c r="M1035" t="s">
        <v>6705</v>
      </c>
      <c r="N1035" t="s">
        <v>6706</v>
      </c>
      <c r="O1035" t="s">
        <v>6694</v>
      </c>
      <c r="P1035" t="s">
        <v>6694</v>
      </c>
      <c r="W1035" t="s">
        <v>6720</v>
      </c>
    </row>
    <row r="1036" spans="1:23" ht="15.6" x14ac:dyDescent="0.4">
      <c r="A1036" s="2" t="s">
        <v>4909</v>
      </c>
      <c r="B1036" s="5" t="s">
        <v>7621</v>
      </c>
      <c r="C1036" s="7" t="s">
        <v>12556</v>
      </c>
      <c r="D1036" s="8">
        <f t="shared" si="68"/>
        <v>0</v>
      </c>
      <c r="E1036" s="7" t="s">
        <v>12557</v>
      </c>
      <c r="F1036" s="7">
        <f t="shared" si="69"/>
        <v>1</v>
      </c>
      <c r="G1036" s="7" t="s">
        <v>12558</v>
      </c>
      <c r="H1036" s="7">
        <f t="shared" si="70"/>
        <v>0</v>
      </c>
      <c r="I1036" s="7" t="str" cm="1">
        <f t="array" ref="I1036">IFERROR(_xlfn.IFS(M1036="נח",1,M1036="נע ונח",1,M1036="שני שווא נח",2,M1036="שני שוואים בסוף מילה",2,M1036="שני שוואים ברצף",1),"0")</f>
        <v>0</v>
      </c>
      <c r="J1036" s="9">
        <f t="shared" si="71"/>
        <v>5</v>
      </c>
      <c r="K1036" t="s">
        <v>6697</v>
      </c>
      <c r="L1036" t="s">
        <v>6695</v>
      </c>
      <c r="O1036" t="s">
        <v>6694</v>
      </c>
      <c r="P1036" t="s">
        <v>6694</v>
      </c>
      <c r="Q1036" t="s">
        <v>6694</v>
      </c>
      <c r="R1036" t="s">
        <v>6694</v>
      </c>
      <c r="W1036" t="s">
        <v>6720</v>
      </c>
    </row>
    <row r="1037" spans="1:23" ht="15.6" x14ac:dyDescent="0.4">
      <c r="A1037" s="2" t="s">
        <v>5557</v>
      </c>
      <c r="B1037" s="5" t="s">
        <v>7622</v>
      </c>
      <c r="C1037" s="7" t="s">
        <v>12556</v>
      </c>
      <c r="D1037" s="8">
        <f t="shared" si="68"/>
        <v>0</v>
      </c>
      <c r="E1037" s="7" t="s">
        <v>12557</v>
      </c>
      <c r="F1037" s="7">
        <f t="shared" si="69"/>
        <v>1</v>
      </c>
      <c r="G1037" s="7" t="s">
        <v>12558</v>
      </c>
      <c r="H1037" s="7">
        <f t="shared" si="70"/>
        <v>0</v>
      </c>
      <c r="I1037" s="7" cm="1">
        <f t="array" ref="I1037">IFERROR(_xlfn.IFS(M1037="נח",1,M1037="נע ונח",1,M1037="שני שווא נח",2,M1037="שני שוואים בסוף מילה",2,M1037="שני שוואים ברצף",1),"0")</f>
        <v>1</v>
      </c>
      <c r="J1037" s="9">
        <f t="shared" si="71"/>
        <v>4</v>
      </c>
      <c r="K1037" t="s">
        <v>6698</v>
      </c>
      <c r="L1037" t="s">
        <v>6694</v>
      </c>
      <c r="M1037" t="s">
        <v>6705</v>
      </c>
      <c r="P1037" t="s">
        <v>6694</v>
      </c>
      <c r="V1037" t="s">
        <v>6694</v>
      </c>
      <c r="W1037" t="s">
        <v>6720</v>
      </c>
    </row>
    <row r="1038" spans="1:23" ht="15.6" x14ac:dyDescent="0.4">
      <c r="A1038" s="2" t="s">
        <v>5499</v>
      </c>
      <c r="B1038" s="5" t="s">
        <v>7623</v>
      </c>
      <c r="C1038" s="7" t="s">
        <v>12556</v>
      </c>
      <c r="D1038" s="8">
        <f t="shared" si="68"/>
        <v>1</v>
      </c>
      <c r="E1038" s="7" t="s">
        <v>12557</v>
      </c>
      <c r="F1038" s="7">
        <f t="shared" si="69"/>
        <v>1</v>
      </c>
      <c r="G1038" s="7" t="s">
        <v>12558</v>
      </c>
      <c r="H1038" s="7">
        <f t="shared" si="70"/>
        <v>0</v>
      </c>
      <c r="I1038" s="7" t="str" cm="1">
        <f t="array" ref="I1038">IFERROR(_xlfn.IFS(M1038="נח",1,M1038="נע ונח",1,M1038="שני שווא נח",2,M1038="שני שוואים בסוף מילה",2,M1038="שני שוואים ברצף",1),"0")</f>
        <v>0</v>
      </c>
      <c r="J1038" s="9">
        <f t="shared" si="71"/>
        <v>4</v>
      </c>
      <c r="K1038" t="s">
        <v>6697</v>
      </c>
      <c r="L1038" t="s">
        <v>6695</v>
      </c>
      <c r="O1038" t="s">
        <v>6694</v>
      </c>
      <c r="P1038" t="s">
        <v>6694</v>
      </c>
      <c r="Q1038" t="s">
        <v>6694</v>
      </c>
      <c r="W1038" t="s">
        <v>6720</v>
      </c>
    </row>
    <row r="1039" spans="1:23" ht="15.6" x14ac:dyDescent="0.4">
      <c r="A1039" s="2" t="s">
        <v>4432</v>
      </c>
      <c r="B1039" s="5" t="s">
        <v>7624</v>
      </c>
      <c r="C1039" s="7" t="s">
        <v>12556</v>
      </c>
      <c r="D1039" s="8">
        <f t="shared" si="68"/>
        <v>0</v>
      </c>
      <c r="E1039" s="7" t="s">
        <v>12557</v>
      </c>
      <c r="F1039" s="7">
        <f t="shared" si="69"/>
        <v>2</v>
      </c>
      <c r="G1039" s="7" t="s">
        <v>12558</v>
      </c>
      <c r="H1039" s="7">
        <f t="shared" si="70"/>
        <v>0</v>
      </c>
      <c r="I1039" s="7" t="str" cm="1">
        <f t="array" ref="I1039">IFERROR(_xlfn.IFS(M1039="נח",1,M1039="נע ונח",1,M1039="שני שווא נח",2,M1039="שני שוואים בסוף מילה",2,M1039="שני שוואים ברצף",1),"0")</f>
        <v>0</v>
      </c>
      <c r="J1039" s="9">
        <f t="shared" si="71"/>
        <v>3</v>
      </c>
      <c r="K1039" t="s">
        <v>6698</v>
      </c>
      <c r="L1039" t="s">
        <v>6695</v>
      </c>
      <c r="P1039" t="s">
        <v>6694</v>
      </c>
      <c r="S1039" t="s">
        <v>6694</v>
      </c>
      <c r="W1039" t="s">
        <v>6720</v>
      </c>
    </row>
    <row r="1040" spans="1:23" ht="15.6" x14ac:dyDescent="0.4">
      <c r="A1040" s="2" t="s">
        <v>1192</v>
      </c>
      <c r="B1040" s="5" t="s">
        <v>7625</v>
      </c>
      <c r="C1040" s="7" t="s">
        <v>12556</v>
      </c>
      <c r="D1040" s="8">
        <f t="shared" si="68"/>
        <v>1</v>
      </c>
      <c r="E1040" s="7" t="s">
        <v>12557</v>
      </c>
      <c r="F1040" s="7">
        <f t="shared" si="69"/>
        <v>1</v>
      </c>
      <c r="G1040" s="7" t="s">
        <v>12558</v>
      </c>
      <c r="H1040" s="7">
        <f t="shared" si="70"/>
        <v>0</v>
      </c>
      <c r="I1040" s="7" cm="1">
        <f t="array" ref="I1040">IFERROR(_xlfn.IFS(M1040="נח",1,M1040="נע ונח",1,M1040="שני שווא נח",2,M1040="שני שוואים בסוף מילה",2,M1040="שני שוואים ברצף",1),"0")</f>
        <v>1</v>
      </c>
      <c r="J1040" s="9">
        <f t="shared" si="71"/>
        <v>3</v>
      </c>
      <c r="K1040" t="s">
        <v>6698</v>
      </c>
      <c r="L1040" t="s">
        <v>6694</v>
      </c>
      <c r="M1040" t="s">
        <v>6705</v>
      </c>
      <c r="P1040" t="s">
        <v>6694</v>
      </c>
      <c r="R1040" t="s">
        <v>6694</v>
      </c>
      <c r="V1040" t="s">
        <v>6694</v>
      </c>
      <c r="W1040" t="s">
        <v>6720</v>
      </c>
    </row>
    <row r="1041" spans="1:23" ht="15.6" x14ac:dyDescent="0.4">
      <c r="A1041" s="2" t="s">
        <v>3392</v>
      </c>
      <c r="B1041" s="5" t="s">
        <v>7626</v>
      </c>
      <c r="C1041" s="7" t="s">
        <v>12556</v>
      </c>
      <c r="D1041" s="8">
        <f t="shared" si="68"/>
        <v>0</v>
      </c>
      <c r="E1041" s="7" t="s">
        <v>12557</v>
      </c>
      <c r="F1041" s="7">
        <f t="shared" si="69"/>
        <v>2</v>
      </c>
      <c r="G1041" s="7" t="s">
        <v>12558</v>
      </c>
      <c r="H1041" s="7">
        <f t="shared" si="70"/>
        <v>1</v>
      </c>
      <c r="I1041" s="7" t="str" cm="1">
        <f t="array" ref="I1041">IFERROR(_xlfn.IFS(M1041="נח",1,M1041="נע ונח",1,M1041="שני שווא נח",2,M1041="שני שוואים בסוף מילה",2,M1041="שני שוואים ברצף",1),"0")</f>
        <v>0</v>
      </c>
      <c r="J1041" s="9">
        <f t="shared" si="71"/>
        <v>2</v>
      </c>
      <c r="K1041" t="s">
        <v>6698</v>
      </c>
      <c r="L1041" t="s">
        <v>6695</v>
      </c>
      <c r="P1041" t="s">
        <v>6694</v>
      </c>
      <c r="U1041" t="s">
        <v>6694</v>
      </c>
      <c r="W1041" t="s">
        <v>6720</v>
      </c>
    </row>
    <row r="1042" spans="1:23" ht="15.6" x14ac:dyDescent="0.4">
      <c r="A1042" s="2" t="s">
        <v>1430</v>
      </c>
      <c r="B1042" s="5" t="s">
        <v>7627</v>
      </c>
      <c r="C1042" s="7" t="s">
        <v>12556</v>
      </c>
      <c r="D1042" s="8">
        <f t="shared" si="68"/>
        <v>0</v>
      </c>
      <c r="E1042" s="7" t="s">
        <v>12557</v>
      </c>
      <c r="F1042" s="7">
        <f t="shared" si="69"/>
        <v>2</v>
      </c>
      <c r="G1042" s="7" t="s">
        <v>12558</v>
      </c>
      <c r="H1042" s="7">
        <f t="shared" si="70"/>
        <v>1</v>
      </c>
      <c r="I1042" s="7" t="str" cm="1">
        <f t="array" ref="I1042">IFERROR(_xlfn.IFS(M1042="נח",1,M1042="נע ונח",1,M1042="שני שווא נח",2,M1042="שני שוואים בסוף מילה",2,M1042="שני שוואים ברצף",1),"0")</f>
        <v>0</v>
      </c>
      <c r="J1042" s="9">
        <f t="shared" si="71"/>
        <v>3</v>
      </c>
      <c r="K1042" t="s">
        <v>6698</v>
      </c>
      <c r="L1042" t="s">
        <v>6695</v>
      </c>
      <c r="P1042" t="s">
        <v>6694</v>
      </c>
      <c r="S1042" t="s">
        <v>6694</v>
      </c>
      <c r="U1042" t="s">
        <v>6694</v>
      </c>
      <c r="W1042" t="s">
        <v>6720</v>
      </c>
    </row>
    <row r="1043" spans="1:23" ht="15.6" x14ac:dyDescent="0.4">
      <c r="A1043" s="2" t="s">
        <v>2820</v>
      </c>
      <c r="B1043" s="5" t="s">
        <v>7348</v>
      </c>
      <c r="C1043" s="7" t="s">
        <v>12556</v>
      </c>
      <c r="D1043" s="8">
        <f t="shared" si="68"/>
        <v>0</v>
      </c>
      <c r="E1043" s="7" t="s">
        <v>12557</v>
      </c>
      <c r="F1043" s="7">
        <f t="shared" si="69"/>
        <v>2</v>
      </c>
      <c r="G1043" s="7" t="s">
        <v>12558</v>
      </c>
      <c r="H1043" s="7">
        <f t="shared" si="70"/>
        <v>0</v>
      </c>
      <c r="I1043" s="7" t="str" cm="1">
        <f t="array" ref="I1043">IFERROR(_xlfn.IFS(M1043="נח",1,M1043="נע ונח",1,M1043="שני שווא נח",2,M1043="שני שוואים בסוף מילה",2,M1043="שני שוואים ברצף",1),"0")</f>
        <v>0</v>
      </c>
      <c r="J1043" s="9">
        <f t="shared" si="71"/>
        <v>2</v>
      </c>
      <c r="K1043" t="s">
        <v>6698</v>
      </c>
      <c r="L1043" t="s">
        <v>6695</v>
      </c>
      <c r="P1043" t="s">
        <v>6694</v>
      </c>
      <c r="V1043" t="s">
        <v>6694</v>
      </c>
      <c r="W1043" t="s">
        <v>6720</v>
      </c>
    </row>
    <row r="1044" spans="1:23" ht="15.6" x14ac:dyDescent="0.4">
      <c r="A1044" s="2" t="s">
        <v>4488</v>
      </c>
      <c r="B1044" s="5" t="s">
        <v>7598</v>
      </c>
      <c r="C1044" s="7" t="s">
        <v>12556</v>
      </c>
      <c r="D1044" s="8">
        <f t="shared" si="68"/>
        <v>0</v>
      </c>
      <c r="E1044" s="7" t="s">
        <v>12557</v>
      </c>
      <c r="F1044" s="7">
        <f t="shared" si="69"/>
        <v>1</v>
      </c>
      <c r="G1044" s="7" t="s">
        <v>12558</v>
      </c>
      <c r="H1044" s="7">
        <f t="shared" si="70"/>
        <v>0</v>
      </c>
      <c r="I1044" s="7" cm="1">
        <f t="array" ref="I1044">IFERROR(_xlfn.IFS(M1044="נח",1,M1044="נע ונח",1,M1044="שני שווא נח",2,M1044="שני שוואים בסוף מילה",2,M1044="שני שוואים ברצף",1),"0")</f>
        <v>1</v>
      </c>
      <c r="J1044" s="9">
        <f t="shared" si="71"/>
        <v>2</v>
      </c>
      <c r="K1044" t="s">
        <v>6697</v>
      </c>
      <c r="L1044" t="s">
        <v>6694</v>
      </c>
      <c r="M1044" t="s">
        <v>6705</v>
      </c>
      <c r="O1044" t="s">
        <v>6694</v>
      </c>
      <c r="P1044" t="s">
        <v>6694</v>
      </c>
      <c r="W1044" t="s">
        <v>6720</v>
      </c>
    </row>
    <row r="1045" spans="1:23" ht="15.6" x14ac:dyDescent="0.4">
      <c r="A1045" s="2" t="s">
        <v>4513</v>
      </c>
      <c r="B1045" s="5" t="s">
        <v>7223</v>
      </c>
      <c r="C1045" s="7" t="s">
        <v>12556</v>
      </c>
      <c r="D1045" s="8">
        <f t="shared" si="68"/>
        <v>0</v>
      </c>
      <c r="E1045" s="7" t="s">
        <v>12557</v>
      </c>
      <c r="F1045" s="7">
        <f t="shared" si="69"/>
        <v>1</v>
      </c>
      <c r="G1045" s="7" t="s">
        <v>12558</v>
      </c>
      <c r="H1045" s="7">
        <f t="shared" si="70"/>
        <v>0</v>
      </c>
      <c r="I1045" s="7" t="str" cm="1">
        <f t="array" ref="I1045">IFERROR(_xlfn.IFS(M1045="נח",1,M1045="נע ונח",1,M1045="שני שווא נח",2,M1045="שני שוואים בסוף מילה",2,M1045="שני שוואים ברצף",1),"0")</f>
        <v>0</v>
      </c>
      <c r="J1045" s="9">
        <f t="shared" si="71"/>
        <v>2</v>
      </c>
      <c r="K1045" t="s">
        <v>6698</v>
      </c>
      <c r="L1045" t="s">
        <v>6695</v>
      </c>
      <c r="P1045" t="s">
        <v>6694</v>
      </c>
      <c r="S1045" t="s">
        <v>6694</v>
      </c>
      <c r="W1045" t="s">
        <v>6720</v>
      </c>
    </row>
    <row r="1046" spans="1:23" ht="15.6" x14ac:dyDescent="0.4">
      <c r="A1046" s="2" t="s">
        <v>1247</v>
      </c>
      <c r="B1046" s="5" t="s">
        <v>7628</v>
      </c>
      <c r="C1046" s="7" t="s">
        <v>12556</v>
      </c>
      <c r="D1046" s="8">
        <f t="shared" si="68"/>
        <v>0</v>
      </c>
      <c r="E1046" s="7" t="s">
        <v>12557</v>
      </c>
      <c r="F1046" s="7">
        <f t="shared" si="69"/>
        <v>3</v>
      </c>
      <c r="G1046" s="7" t="s">
        <v>12558</v>
      </c>
      <c r="H1046" s="7">
        <f t="shared" si="70"/>
        <v>0</v>
      </c>
      <c r="I1046" s="7" t="str" cm="1">
        <f t="array" ref="I1046">IFERROR(_xlfn.IFS(M1046="נח",1,M1046="נע ונח",1,M1046="שני שווא נח",2,M1046="שני שוואים בסוף מילה",2,M1046="שני שוואים ברצף",1),"0")</f>
        <v>0</v>
      </c>
      <c r="J1046" s="9">
        <f t="shared" si="71"/>
        <v>3</v>
      </c>
      <c r="K1046" t="s">
        <v>6698</v>
      </c>
      <c r="L1046" t="s">
        <v>6695</v>
      </c>
      <c r="P1046" t="s">
        <v>6694</v>
      </c>
      <c r="S1046" t="s">
        <v>6694</v>
      </c>
      <c r="W1046" t="s">
        <v>6720</v>
      </c>
    </row>
    <row r="1047" spans="1:23" ht="15.6" x14ac:dyDescent="0.4">
      <c r="A1047" s="2" t="s">
        <v>4772</v>
      </c>
      <c r="B1047" s="5" t="s">
        <v>7134</v>
      </c>
      <c r="C1047" s="7" t="s">
        <v>12556</v>
      </c>
      <c r="D1047" s="8">
        <f t="shared" si="68"/>
        <v>0</v>
      </c>
      <c r="E1047" s="7" t="s">
        <v>12557</v>
      </c>
      <c r="F1047" s="7">
        <f t="shared" si="69"/>
        <v>2</v>
      </c>
      <c r="G1047" s="7" t="s">
        <v>12558</v>
      </c>
      <c r="H1047" s="7">
        <f t="shared" si="70"/>
        <v>0</v>
      </c>
      <c r="I1047" s="7" t="str" cm="1">
        <f t="array" ref="I1047">IFERROR(_xlfn.IFS(M1047="נח",1,M1047="נע ונח",1,M1047="שני שווא נח",2,M1047="שני שוואים בסוף מילה",2,M1047="שני שוואים ברצף",1),"0")</f>
        <v>0</v>
      </c>
      <c r="J1047" s="9">
        <f t="shared" si="71"/>
        <v>2</v>
      </c>
      <c r="K1047" t="s">
        <v>6698</v>
      </c>
      <c r="L1047" t="s">
        <v>6695</v>
      </c>
      <c r="N1047" t="s">
        <v>6706</v>
      </c>
      <c r="O1047" t="s">
        <v>6694</v>
      </c>
      <c r="P1047" t="s">
        <v>6694</v>
      </c>
      <c r="W1047" t="s">
        <v>6720</v>
      </c>
    </row>
    <row r="1048" spans="1:23" ht="15.6" x14ac:dyDescent="0.4">
      <c r="A1048" s="2" t="s">
        <v>1311</v>
      </c>
      <c r="B1048" s="5" t="s">
        <v>7137</v>
      </c>
      <c r="C1048" s="7" t="s">
        <v>12556</v>
      </c>
      <c r="D1048" s="8">
        <f t="shared" si="68"/>
        <v>0</v>
      </c>
      <c r="E1048" s="7" t="s">
        <v>12557</v>
      </c>
      <c r="F1048" s="7">
        <f t="shared" si="69"/>
        <v>2</v>
      </c>
      <c r="G1048" s="7" t="s">
        <v>12558</v>
      </c>
      <c r="H1048" s="7">
        <f t="shared" si="70"/>
        <v>0</v>
      </c>
      <c r="I1048" s="7" t="str" cm="1">
        <f t="array" ref="I1048">IFERROR(_xlfn.IFS(M1048="נח",1,M1048="נע ונח",1,M1048="שני שווא נח",2,M1048="שני שוואים בסוף מילה",2,M1048="שני שוואים ברצף",1),"0")</f>
        <v>0</v>
      </c>
      <c r="J1048" s="9">
        <f t="shared" si="71"/>
        <v>2</v>
      </c>
      <c r="K1048" t="s">
        <v>6698</v>
      </c>
      <c r="L1048" t="s">
        <v>6695</v>
      </c>
      <c r="P1048" t="s">
        <v>6694</v>
      </c>
      <c r="V1048" t="s">
        <v>6694</v>
      </c>
      <c r="W1048" t="s">
        <v>6720</v>
      </c>
    </row>
    <row r="1049" spans="1:23" ht="15.6" x14ac:dyDescent="0.4">
      <c r="A1049" s="2" t="s">
        <v>4845</v>
      </c>
      <c r="B1049" s="5" t="s">
        <v>7629</v>
      </c>
      <c r="C1049" s="7" t="s">
        <v>12556</v>
      </c>
      <c r="D1049" s="8">
        <f t="shared" si="68"/>
        <v>0</v>
      </c>
      <c r="E1049" s="7" t="s">
        <v>12557</v>
      </c>
      <c r="F1049" s="7">
        <f t="shared" si="69"/>
        <v>2</v>
      </c>
      <c r="G1049" s="7" t="s">
        <v>12558</v>
      </c>
      <c r="H1049" s="7">
        <f t="shared" si="70"/>
        <v>0</v>
      </c>
      <c r="I1049" s="7" t="str" cm="1">
        <f t="array" ref="I1049">IFERROR(_xlfn.IFS(M1049="נח",1,M1049="נע ונח",1,M1049="שני שווא נח",2,M1049="שני שוואים בסוף מילה",2,M1049="שני שוואים ברצף",1),"0")</f>
        <v>0</v>
      </c>
      <c r="J1049" s="9">
        <f t="shared" si="71"/>
        <v>3</v>
      </c>
      <c r="K1049" t="s">
        <v>6697</v>
      </c>
      <c r="L1049" t="s">
        <v>6695</v>
      </c>
      <c r="P1049" t="s">
        <v>6694</v>
      </c>
      <c r="Q1049" t="s">
        <v>6694</v>
      </c>
      <c r="R1049" t="s">
        <v>6694</v>
      </c>
      <c r="W1049" t="s">
        <v>6720</v>
      </c>
    </row>
    <row r="1050" spans="1:23" ht="15.6" x14ac:dyDescent="0.4">
      <c r="A1050" s="2" t="s">
        <v>5237</v>
      </c>
      <c r="B1050" s="5" t="s">
        <v>7630</v>
      </c>
      <c r="C1050" s="7" t="s">
        <v>12556</v>
      </c>
      <c r="D1050" s="8">
        <f t="shared" si="68"/>
        <v>0</v>
      </c>
      <c r="E1050" s="7" t="s">
        <v>12557</v>
      </c>
      <c r="F1050" s="7">
        <f t="shared" si="69"/>
        <v>2</v>
      </c>
      <c r="G1050" s="7" t="s">
        <v>12558</v>
      </c>
      <c r="H1050" s="7">
        <f t="shared" si="70"/>
        <v>0</v>
      </c>
      <c r="I1050" s="7" t="str" cm="1">
        <f t="array" ref="I1050">IFERROR(_xlfn.IFS(M1050="נח",1,M1050="נע ונח",1,M1050="שני שווא נח",2,M1050="שני שוואים בסוף מילה",2,M1050="שני שוואים ברצף",1),"0")</f>
        <v>0</v>
      </c>
      <c r="J1050" s="9">
        <f t="shared" si="71"/>
        <v>3</v>
      </c>
      <c r="K1050" t="s">
        <v>6697</v>
      </c>
      <c r="L1050" t="s">
        <v>6695</v>
      </c>
      <c r="N1050" t="s">
        <v>6707</v>
      </c>
      <c r="P1050" t="s">
        <v>6694</v>
      </c>
      <c r="V1050" t="s">
        <v>6694</v>
      </c>
      <c r="W1050" t="s">
        <v>6720</v>
      </c>
    </row>
    <row r="1051" spans="1:23" ht="15.6" x14ac:dyDescent="0.4">
      <c r="A1051" s="2" t="s">
        <v>2858</v>
      </c>
      <c r="B1051" s="5" t="s">
        <v>7141</v>
      </c>
      <c r="C1051" s="7" t="s">
        <v>12556</v>
      </c>
      <c r="D1051" s="8">
        <f t="shared" si="68"/>
        <v>0</v>
      </c>
      <c r="E1051" s="7" t="s">
        <v>12557</v>
      </c>
      <c r="F1051" s="7">
        <f t="shared" si="69"/>
        <v>2</v>
      </c>
      <c r="G1051" s="7" t="s">
        <v>12558</v>
      </c>
      <c r="H1051" s="7">
        <f t="shared" si="70"/>
        <v>0</v>
      </c>
      <c r="I1051" s="7" t="str" cm="1">
        <f t="array" ref="I1051">IFERROR(_xlfn.IFS(M1051="נח",1,M1051="נע ונח",1,M1051="שני שווא נח",2,M1051="שני שוואים בסוף מילה",2,M1051="שני שוואים ברצף",1),"0")</f>
        <v>0</v>
      </c>
      <c r="J1051" s="9">
        <f t="shared" si="71"/>
        <v>2</v>
      </c>
      <c r="K1051" t="s">
        <v>6698</v>
      </c>
      <c r="L1051" t="s">
        <v>6695</v>
      </c>
      <c r="P1051" t="s">
        <v>6694</v>
      </c>
      <c r="V1051" t="s">
        <v>6694</v>
      </c>
      <c r="W1051" t="s">
        <v>6720</v>
      </c>
    </row>
    <row r="1052" spans="1:23" ht="15.6" x14ac:dyDescent="0.4">
      <c r="A1052" s="2" t="s">
        <v>4491</v>
      </c>
      <c r="B1052" s="5" t="s">
        <v>7631</v>
      </c>
      <c r="C1052" s="7" t="s">
        <v>12556</v>
      </c>
      <c r="D1052" s="8">
        <f t="shared" si="68"/>
        <v>1</v>
      </c>
      <c r="E1052" s="7" t="s">
        <v>12557</v>
      </c>
      <c r="F1052" s="7">
        <f t="shared" si="69"/>
        <v>2</v>
      </c>
      <c r="G1052" s="7" t="s">
        <v>12558</v>
      </c>
      <c r="H1052" s="7">
        <f t="shared" si="70"/>
        <v>0</v>
      </c>
      <c r="I1052" s="7" t="str" cm="1">
        <f t="array" ref="I1052">IFERROR(_xlfn.IFS(M1052="נח",1,M1052="נע ונח",1,M1052="שני שווא נח",2,M1052="שני שוואים בסוף מילה",2,M1052="שני שוואים ברצף",1),"0")</f>
        <v>0</v>
      </c>
      <c r="J1052" s="9">
        <f t="shared" si="71"/>
        <v>4</v>
      </c>
      <c r="K1052" t="s">
        <v>6698</v>
      </c>
      <c r="L1052" t="s">
        <v>6695</v>
      </c>
      <c r="O1052" t="s">
        <v>6694</v>
      </c>
      <c r="P1052" t="s">
        <v>6694</v>
      </c>
      <c r="V1052" t="s">
        <v>6694</v>
      </c>
      <c r="W1052" t="s">
        <v>6720</v>
      </c>
    </row>
    <row r="1053" spans="1:23" ht="15.6" x14ac:dyDescent="0.4">
      <c r="A1053" s="2" t="s">
        <v>391</v>
      </c>
      <c r="B1053" s="5" t="s">
        <v>7235</v>
      </c>
      <c r="C1053" s="7" t="s">
        <v>12556</v>
      </c>
      <c r="D1053" s="8">
        <f t="shared" si="68"/>
        <v>0</v>
      </c>
      <c r="E1053" s="7" t="s">
        <v>12557</v>
      </c>
      <c r="F1053" s="7">
        <f t="shared" si="69"/>
        <v>1</v>
      </c>
      <c r="G1053" s="7" t="s">
        <v>12558</v>
      </c>
      <c r="H1053" s="7">
        <f t="shared" si="70"/>
        <v>0</v>
      </c>
      <c r="I1053" s="7" t="str" cm="1">
        <f t="array" ref="I1053">IFERROR(_xlfn.IFS(M1053="נח",1,M1053="נע ונח",1,M1053="שני שווא נח",2,M1053="שני שוואים בסוף מילה",2,M1053="שני שוואים ברצף",1),"0")</f>
        <v>0</v>
      </c>
      <c r="J1053" s="9">
        <f t="shared" si="71"/>
        <v>1</v>
      </c>
      <c r="K1053" t="s">
        <v>6698</v>
      </c>
      <c r="L1053" t="s">
        <v>6695</v>
      </c>
      <c r="P1053" t="s">
        <v>6694</v>
      </c>
      <c r="W1053" t="s">
        <v>6720</v>
      </c>
    </row>
    <row r="1054" spans="1:23" ht="15.6" x14ac:dyDescent="0.4">
      <c r="A1054" s="2" t="s">
        <v>6119</v>
      </c>
      <c r="B1054" s="5" t="s">
        <v>7632</v>
      </c>
      <c r="C1054" s="7" t="s">
        <v>12556</v>
      </c>
      <c r="D1054" s="8">
        <f t="shared" si="68"/>
        <v>0</v>
      </c>
      <c r="E1054" s="7" t="s">
        <v>12557</v>
      </c>
      <c r="F1054" s="7">
        <f t="shared" si="69"/>
        <v>2</v>
      </c>
      <c r="G1054" s="7" t="s">
        <v>12558</v>
      </c>
      <c r="H1054" s="7">
        <f t="shared" si="70"/>
        <v>0</v>
      </c>
      <c r="I1054" s="7" cm="1">
        <f t="array" ref="I1054">IFERROR(_xlfn.IFS(M1054="נח",1,M1054="נע ונח",1,M1054="שני שווא נח",2,M1054="שני שוואים בסוף מילה",2,M1054="שני שוואים ברצף",1),"0")</f>
        <v>1</v>
      </c>
      <c r="J1054" s="9">
        <f t="shared" si="71"/>
        <v>3</v>
      </c>
      <c r="K1054" t="s">
        <v>6698</v>
      </c>
      <c r="L1054" t="s">
        <v>6694</v>
      </c>
      <c r="M1054" t="s">
        <v>6705</v>
      </c>
      <c r="P1054" t="s">
        <v>6694</v>
      </c>
      <c r="S1054" t="s">
        <v>6694</v>
      </c>
      <c r="T1054" t="s">
        <v>6694</v>
      </c>
      <c r="W1054" t="s">
        <v>6720</v>
      </c>
    </row>
    <row r="1055" spans="1:23" ht="15.6" x14ac:dyDescent="0.4">
      <c r="A1055" s="2" t="s">
        <v>5539</v>
      </c>
      <c r="B1055" s="5" t="s">
        <v>7633</v>
      </c>
      <c r="C1055" s="7" t="s">
        <v>12556</v>
      </c>
      <c r="D1055" s="8">
        <f t="shared" si="68"/>
        <v>0</v>
      </c>
      <c r="E1055" s="7" t="s">
        <v>12557</v>
      </c>
      <c r="F1055" s="7">
        <f t="shared" si="69"/>
        <v>2</v>
      </c>
      <c r="G1055" s="7" t="s">
        <v>12558</v>
      </c>
      <c r="H1055" s="7">
        <f t="shared" si="70"/>
        <v>0</v>
      </c>
      <c r="I1055" s="7" cm="1">
        <f t="array" ref="I1055">IFERROR(_xlfn.IFS(M1055="נח",1,M1055="נע ונח",1,M1055="שני שווא נח",2,M1055="שני שוואים בסוף מילה",2,M1055="שני שוואים ברצף",1),"0")</f>
        <v>1</v>
      </c>
      <c r="J1055" s="9">
        <f t="shared" si="71"/>
        <v>3</v>
      </c>
      <c r="K1055" t="s">
        <v>6698</v>
      </c>
      <c r="L1055" t="s">
        <v>6694</v>
      </c>
      <c r="M1055" t="s">
        <v>6705</v>
      </c>
      <c r="O1055" t="s">
        <v>6694</v>
      </c>
      <c r="P1055" t="s">
        <v>6694</v>
      </c>
      <c r="V1055" t="s">
        <v>6694</v>
      </c>
      <c r="W1055" t="s">
        <v>6720</v>
      </c>
    </row>
    <row r="1056" spans="1:23" ht="15.6" x14ac:dyDescent="0.4">
      <c r="A1056" s="2" t="s">
        <v>6633</v>
      </c>
      <c r="B1056" s="5" t="s">
        <v>7634</v>
      </c>
      <c r="C1056" s="7" t="s">
        <v>12556</v>
      </c>
      <c r="D1056" s="8">
        <f t="shared" si="68"/>
        <v>0</v>
      </c>
      <c r="E1056" s="7" t="s">
        <v>12557</v>
      </c>
      <c r="F1056" s="7">
        <f t="shared" si="69"/>
        <v>2</v>
      </c>
      <c r="G1056" s="7" t="s">
        <v>12558</v>
      </c>
      <c r="H1056" s="7">
        <f t="shared" si="70"/>
        <v>0</v>
      </c>
      <c r="I1056" s="7" t="str" cm="1">
        <f t="array" ref="I1056">IFERROR(_xlfn.IFS(M1056="נח",1,M1056="נע ונח",1,M1056="שני שווא נח",2,M1056="שני שוואים בסוף מילה",2,M1056="שני שוואים ברצף",1),"0")</f>
        <v>0</v>
      </c>
      <c r="J1056" s="9">
        <f t="shared" si="71"/>
        <v>3</v>
      </c>
      <c r="K1056" t="s">
        <v>6698</v>
      </c>
      <c r="L1056" t="s">
        <v>6695</v>
      </c>
      <c r="P1056" t="s">
        <v>6694</v>
      </c>
      <c r="Q1056" t="s">
        <v>6694</v>
      </c>
      <c r="V1056" t="s">
        <v>6694</v>
      </c>
      <c r="W1056" t="s">
        <v>6720</v>
      </c>
    </row>
    <row r="1057" spans="1:23" ht="15.6" x14ac:dyDescent="0.4">
      <c r="A1057" s="2" t="s">
        <v>4013</v>
      </c>
      <c r="B1057" s="5" t="s">
        <v>7265</v>
      </c>
      <c r="C1057" s="7" t="s">
        <v>12556</v>
      </c>
      <c r="D1057" s="8">
        <f t="shared" si="68"/>
        <v>0</v>
      </c>
      <c r="E1057" s="7" t="s">
        <v>12557</v>
      </c>
      <c r="F1057" s="7">
        <f t="shared" si="69"/>
        <v>2</v>
      </c>
      <c r="G1057" s="7" t="s">
        <v>12558</v>
      </c>
      <c r="H1057" s="7">
        <f t="shared" si="70"/>
        <v>0</v>
      </c>
      <c r="I1057" s="7" t="str" cm="1">
        <f t="array" ref="I1057">IFERROR(_xlfn.IFS(M1057="נח",1,M1057="נע ונח",1,M1057="שני שווא נח",2,M1057="שני שוואים בסוף מילה",2,M1057="שני שוואים ברצף",1),"0")</f>
        <v>0</v>
      </c>
      <c r="J1057" s="9">
        <f t="shared" si="71"/>
        <v>2</v>
      </c>
      <c r="K1057" t="s">
        <v>6697</v>
      </c>
      <c r="L1057" t="s">
        <v>6695</v>
      </c>
      <c r="P1057" t="s">
        <v>6694</v>
      </c>
      <c r="W1057" t="s">
        <v>6720</v>
      </c>
    </row>
    <row r="1058" spans="1:23" ht="15.6" x14ac:dyDescent="0.4">
      <c r="A1058" s="2" t="s">
        <v>6616</v>
      </c>
      <c r="B1058" s="5" t="s">
        <v>7635</v>
      </c>
      <c r="C1058" s="7" t="s">
        <v>12556</v>
      </c>
      <c r="D1058" s="8">
        <f t="shared" si="68"/>
        <v>0</v>
      </c>
      <c r="E1058" s="7" t="s">
        <v>12557</v>
      </c>
      <c r="F1058" s="7">
        <f t="shared" si="69"/>
        <v>2</v>
      </c>
      <c r="G1058" s="7" t="s">
        <v>12558</v>
      </c>
      <c r="H1058" s="7">
        <f t="shared" si="70"/>
        <v>0</v>
      </c>
      <c r="I1058" s="7" t="str" cm="1">
        <f t="array" ref="I1058">IFERROR(_xlfn.IFS(M1058="נח",1,M1058="נע ונח",1,M1058="שני שווא נח",2,M1058="שני שוואים בסוף מילה",2,M1058="שני שוואים ברצף",1),"0")</f>
        <v>0</v>
      </c>
      <c r="J1058" s="9">
        <f t="shared" si="71"/>
        <v>3</v>
      </c>
      <c r="K1058" t="s">
        <v>6698</v>
      </c>
      <c r="L1058" t="s">
        <v>6695</v>
      </c>
      <c r="O1058" t="s">
        <v>6694</v>
      </c>
      <c r="P1058" t="s">
        <v>6694</v>
      </c>
      <c r="V1058" t="s">
        <v>6694</v>
      </c>
      <c r="W1058" t="s">
        <v>6720</v>
      </c>
    </row>
    <row r="1059" spans="1:23" ht="15.6" x14ac:dyDescent="0.4">
      <c r="A1059" s="2" t="s">
        <v>1778</v>
      </c>
      <c r="B1059" s="5" t="s">
        <v>7636</v>
      </c>
      <c r="C1059" s="7" t="s">
        <v>12556</v>
      </c>
      <c r="D1059" s="8">
        <f t="shared" si="68"/>
        <v>0</v>
      </c>
      <c r="E1059" s="7" t="s">
        <v>12557</v>
      </c>
      <c r="F1059" s="7">
        <f t="shared" si="69"/>
        <v>2</v>
      </c>
      <c r="G1059" s="7" t="s">
        <v>12558</v>
      </c>
      <c r="H1059" s="7">
        <f t="shared" si="70"/>
        <v>0</v>
      </c>
      <c r="I1059" s="7" cm="1">
        <f t="array" ref="I1059">IFERROR(_xlfn.IFS(M1059="נח",1,M1059="נע ונח",1,M1059="שני שווא נח",2,M1059="שני שוואים בסוף מילה",2,M1059="שני שוואים ברצף",1),"0")</f>
        <v>1</v>
      </c>
      <c r="J1059" s="9">
        <f t="shared" si="71"/>
        <v>3</v>
      </c>
      <c r="K1059" t="s">
        <v>6697</v>
      </c>
      <c r="L1059" t="s">
        <v>6694</v>
      </c>
      <c r="M1059" t="s">
        <v>6705</v>
      </c>
      <c r="N1059" t="s">
        <v>6706</v>
      </c>
      <c r="O1059" t="s">
        <v>6694</v>
      </c>
      <c r="P1059" t="s">
        <v>6694</v>
      </c>
      <c r="W1059" t="s">
        <v>6720</v>
      </c>
    </row>
    <row r="1060" spans="1:23" ht="15.6" x14ac:dyDescent="0.4">
      <c r="A1060" s="2" t="s">
        <v>5530</v>
      </c>
      <c r="B1060" s="5" t="s">
        <v>7637</v>
      </c>
      <c r="C1060" s="7" t="s">
        <v>12556</v>
      </c>
      <c r="D1060" s="8">
        <f t="shared" si="68"/>
        <v>0</v>
      </c>
      <c r="E1060" s="7" t="s">
        <v>12557</v>
      </c>
      <c r="F1060" s="7">
        <f t="shared" si="69"/>
        <v>2</v>
      </c>
      <c r="G1060" s="7" t="s">
        <v>12558</v>
      </c>
      <c r="H1060" s="7">
        <f t="shared" si="70"/>
        <v>0</v>
      </c>
      <c r="I1060" s="7" t="str" cm="1">
        <f t="array" ref="I1060">IFERROR(_xlfn.IFS(M1060="נח",1,M1060="נע ונח",1,M1060="שני שווא נח",2,M1060="שני שוואים בסוף מילה",2,M1060="שני שוואים ברצף",1),"0")</f>
        <v>0</v>
      </c>
      <c r="J1060" s="9">
        <f t="shared" si="71"/>
        <v>3</v>
      </c>
      <c r="K1060" t="s">
        <v>6697</v>
      </c>
      <c r="L1060" t="s">
        <v>6695</v>
      </c>
      <c r="P1060" t="s">
        <v>6694</v>
      </c>
      <c r="S1060" t="s">
        <v>6694</v>
      </c>
      <c r="V1060" t="s">
        <v>6694</v>
      </c>
      <c r="W1060" t="s">
        <v>6720</v>
      </c>
    </row>
    <row r="1061" spans="1:23" ht="15.6" x14ac:dyDescent="0.4">
      <c r="A1061" s="2" t="s">
        <v>6441</v>
      </c>
      <c r="B1061" s="5" t="s">
        <v>7236</v>
      </c>
      <c r="C1061" s="7" t="s">
        <v>12556</v>
      </c>
      <c r="D1061" s="8">
        <f t="shared" si="68"/>
        <v>0</v>
      </c>
      <c r="E1061" s="7" t="s">
        <v>12557</v>
      </c>
      <c r="F1061" s="7">
        <f t="shared" si="69"/>
        <v>2</v>
      </c>
      <c r="G1061" s="7" t="s">
        <v>12558</v>
      </c>
      <c r="H1061" s="7">
        <f t="shared" si="70"/>
        <v>0</v>
      </c>
      <c r="I1061" s="7" cm="1">
        <f t="array" ref="I1061">IFERROR(_xlfn.IFS(M1061="נח",1,M1061="נע ונח",1,M1061="שני שווא נח",2,M1061="שני שוואים בסוף מילה",2,M1061="שני שוואים ברצף",1),"0")</f>
        <v>1</v>
      </c>
      <c r="J1061" s="9">
        <f t="shared" si="71"/>
        <v>3</v>
      </c>
      <c r="K1061" t="s">
        <v>6697</v>
      </c>
      <c r="L1061" t="s">
        <v>6694</v>
      </c>
      <c r="M1061" t="s">
        <v>6705</v>
      </c>
      <c r="O1061" t="s">
        <v>6694</v>
      </c>
      <c r="P1061" t="s">
        <v>6694</v>
      </c>
      <c r="W1061" t="s">
        <v>6720</v>
      </c>
    </row>
    <row r="1062" spans="1:23" ht="15.6" x14ac:dyDescent="0.4">
      <c r="A1062" s="2" t="s">
        <v>2782</v>
      </c>
      <c r="B1062" s="5" t="s">
        <v>7638</v>
      </c>
      <c r="C1062" s="7" t="s">
        <v>12556</v>
      </c>
      <c r="D1062" s="8">
        <f t="shared" si="68"/>
        <v>0</v>
      </c>
      <c r="E1062" s="7" t="s">
        <v>12557</v>
      </c>
      <c r="F1062" s="7">
        <f t="shared" si="69"/>
        <v>2</v>
      </c>
      <c r="G1062" s="7" t="s">
        <v>12558</v>
      </c>
      <c r="H1062" s="7">
        <f t="shared" si="70"/>
        <v>0</v>
      </c>
      <c r="I1062" s="7" cm="1">
        <f t="array" ref="I1062">IFERROR(_xlfn.IFS(M1062="נח",1,M1062="נע ונח",1,M1062="שני שווא נח",2,M1062="שני שוואים בסוף מילה",2,M1062="שני שוואים ברצף",1),"0")</f>
        <v>1</v>
      </c>
      <c r="J1062" s="9">
        <f t="shared" si="71"/>
        <v>3</v>
      </c>
      <c r="K1062" t="s">
        <v>6698</v>
      </c>
      <c r="L1062" t="s">
        <v>6694</v>
      </c>
      <c r="M1062" t="s">
        <v>6705</v>
      </c>
      <c r="P1062" t="s">
        <v>6694</v>
      </c>
      <c r="Q1062" t="s">
        <v>6694</v>
      </c>
      <c r="S1062" t="s">
        <v>6694</v>
      </c>
      <c r="W1062" t="s">
        <v>6720</v>
      </c>
    </row>
    <row r="1063" spans="1:23" ht="15.6" x14ac:dyDescent="0.4">
      <c r="A1063" s="2" t="s">
        <v>6108</v>
      </c>
      <c r="B1063" s="5" t="s">
        <v>7639</v>
      </c>
      <c r="C1063" s="7" t="s">
        <v>12556</v>
      </c>
      <c r="D1063" s="8">
        <f t="shared" si="68"/>
        <v>0</v>
      </c>
      <c r="E1063" s="7" t="s">
        <v>12557</v>
      </c>
      <c r="F1063" s="7">
        <f t="shared" si="69"/>
        <v>2</v>
      </c>
      <c r="G1063" s="7" t="s">
        <v>12558</v>
      </c>
      <c r="H1063" s="7">
        <f t="shared" si="70"/>
        <v>0</v>
      </c>
      <c r="I1063" s="7" cm="1">
        <f t="array" ref="I1063">IFERROR(_xlfn.IFS(M1063="נח",1,M1063="נע ונח",1,M1063="שני שווא נח",2,M1063="שני שוואים בסוף מילה",2,M1063="שני שוואים ברצף",1),"0")</f>
        <v>1</v>
      </c>
      <c r="J1063" s="9">
        <f t="shared" si="71"/>
        <v>3</v>
      </c>
      <c r="K1063" t="s">
        <v>6698</v>
      </c>
      <c r="L1063" t="s">
        <v>6694</v>
      </c>
      <c r="M1063" t="s">
        <v>6705</v>
      </c>
      <c r="P1063" t="s">
        <v>6694</v>
      </c>
      <c r="S1063" t="s">
        <v>6694</v>
      </c>
      <c r="V1063" t="s">
        <v>6694</v>
      </c>
      <c r="W1063" t="s">
        <v>6720</v>
      </c>
    </row>
    <row r="1064" spans="1:23" ht="15.6" x14ac:dyDescent="0.4">
      <c r="A1064" s="2" t="s">
        <v>1067</v>
      </c>
      <c r="B1064" s="5" t="s">
        <v>7238</v>
      </c>
      <c r="C1064" s="7" t="s">
        <v>12556</v>
      </c>
      <c r="D1064" s="8">
        <f t="shared" si="68"/>
        <v>0</v>
      </c>
      <c r="E1064" s="7" t="s">
        <v>12557</v>
      </c>
      <c r="F1064" s="7">
        <f t="shared" si="69"/>
        <v>3</v>
      </c>
      <c r="G1064" s="7" t="s">
        <v>12558</v>
      </c>
      <c r="H1064" s="7">
        <f t="shared" si="70"/>
        <v>0</v>
      </c>
      <c r="I1064" s="7" cm="1">
        <f t="array" ref="I1064">IFERROR(_xlfn.IFS(M1064="נח",1,M1064="נע ונח",1,M1064="שני שווא נח",2,M1064="שני שוואים בסוף מילה",2,M1064="שני שוואים ברצף",1),"0")</f>
        <v>1</v>
      </c>
      <c r="J1064" s="9">
        <f t="shared" si="71"/>
        <v>3</v>
      </c>
      <c r="K1064" t="s">
        <v>6698</v>
      </c>
      <c r="L1064" t="s">
        <v>6694</v>
      </c>
      <c r="M1064" t="s">
        <v>6705</v>
      </c>
      <c r="N1064" t="s">
        <v>6706</v>
      </c>
      <c r="O1064" t="s">
        <v>6694</v>
      </c>
      <c r="P1064" t="s">
        <v>6694</v>
      </c>
      <c r="S1064" t="s">
        <v>6694</v>
      </c>
      <c r="W1064" t="s">
        <v>6720</v>
      </c>
    </row>
    <row r="1065" spans="1:23" ht="15.6" x14ac:dyDescent="0.4">
      <c r="A1065" s="2" t="s">
        <v>5151</v>
      </c>
      <c r="B1065" s="5" t="s">
        <v>7640</v>
      </c>
      <c r="C1065" s="7" t="s">
        <v>12556</v>
      </c>
      <c r="D1065" s="8">
        <f t="shared" si="68"/>
        <v>0</v>
      </c>
      <c r="E1065" s="7" t="s">
        <v>12557</v>
      </c>
      <c r="F1065" s="7">
        <f t="shared" si="69"/>
        <v>3</v>
      </c>
      <c r="G1065" s="7" t="s">
        <v>12558</v>
      </c>
      <c r="H1065" s="7">
        <f t="shared" si="70"/>
        <v>0</v>
      </c>
      <c r="I1065" s="7" cm="1">
        <f t="array" ref="I1065">IFERROR(_xlfn.IFS(M1065="נח",1,M1065="נע ונח",1,M1065="שני שווא נח",2,M1065="שני שוואים בסוף מילה",2,M1065="שני שוואים ברצף",1),"0")</f>
        <v>1</v>
      </c>
      <c r="J1065" s="9">
        <f t="shared" si="71"/>
        <v>3</v>
      </c>
      <c r="K1065" t="s">
        <v>6698</v>
      </c>
      <c r="L1065" t="s">
        <v>6694</v>
      </c>
      <c r="M1065" t="s">
        <v>6705</v>
      </c>
      <c r="N1065" t="s">
        <v>6706</v>
      </c>
      <c r="O1065" t="s">
        <v>6694</v>
      </c>
      <c r="P1065" t="s">
        <v>6694</v>
      </c>
      <c r="S1065" t="s">
        <v>6694</v>
      </c>
      <c r="W1065" t="s">
        <v>6720</v>
      </c>
    </row>
    <row r="1066" spans="1:23" ht="15.6" x14ac:dyDescent="0.4">
      <c r="A1066" s="2" t="s">
        <v>4333</v>
      </c>
      <c r="B1066" s="5" t="s">
        <v>7379</v>
      </c>
      <c r="C1066" s="7" t="s">
        <v>12556</v>
      </c>
      <c r="D1066" s="8">
        <f t="shared" si="68"/>
        <v>0</v>
      </c>
      <c r="E1066" s="7" t="s">
        <v>12557</v>
      </c>
      <c r="F1066" s="7">
        <f t="shared" si="69"/>
        <v>3</v>
      </c>
      <c r="G1066" s="7" t="s">
        <v>12558</v>
      </c>
      <c r="H1066" s="7">
        <f t="shared" si="70"/>
        <v>0</v>
      </c>
      <c r="I1066" s="7" cm="1">
        <f t="array" ref="I1066">IFERROR(_xlfn.IFS(M1066="נח",1,M1066="נע ונח",1,M1066="שני שווא נח",2,M1066="שני שוואים בסוף מילה",2,M1066="שני שוואים ברצף",1),"0")</f>
        <v>1</v>
      </c>
      <c r="J1066" s="9">
        <f t="shared" si="71"/>
        <v>4</v>
      </c>
      <c r="K1066" t="s">
        <v>6698</v>
      </c>
      <c r="L1066" t="s">
        <v>6694</v>
      </c>
      <c r="M1066" t="s">
        <v>6705</v>
      </c>
      <c r="O1066" t="s">
        <v>6694</v>
      </c>
      <c r="P1066" t="s">
        <v>6694</v>
      </c>
      <c r="S1066" t="s">
        <v>6694</v>
      </c>
      <c r="W1066" t="s">
        <v>6720</v>
      </c>
    </row>
    <row r="1067" spans="1:23" ht="15.6" x14ac:dyDescent="0.4">
      <c r="A1067" s="2" t="s">
        <v>193</v>
      </c>
      <c r="B1067" s="5" t="s">
        <v>7148</v>
      </c>
      <c r="C1067" s="7" t="s">
        <v>12556</v>
      </c>
      <c r="D1067" s="8">
        <f t="shared" si="68"/>
        <v>1</v>
      </c>
      <c r="E1067" s="7" t="s">
        <v>12557</v>
      </c>
      <c r="F1067" s="7">
        <f t="shared" si="69"/>
        <v>3</v>
      </c>
      <c r="G1067" s="7" t="s">
        <v>12558</v>
      </c>
      <c r="H1067" s="7">
        <f t="shared" si="70"/>
        <v>0</v>
      </c>
      <c r="I1067" s="7" cm="1">
        <f t="array" ref="I1067">IFERROR(_xlfn.IFS(M1067="נח",1,M1067="נע ונח",1,M1067="שני שווא נח",2,M1067="שני שוואים בסוף מילה",2,M1067="שני שוואים ברצף",1),"0")</f>
        <v>1</v>
      </c>
      <c r="J1067" s="9">
        <f t="shared" si="71"/>
        <v>3</v>
      </c>
      <c r="K1067" t="s">
        <v>6698</v>
      </c>
      <c r="L1067" t="s">
        <v>6694</v>
      </c>
      <c r="M1067" t="s">
        <v>6705</v>
      </c>
      <c r="N1067" t="s">
        <v>6706</v>
      </c>
      <c r="O1067" t="s">
        <v>6694</v>
      </c>
      <c r="P1067" t="s">
        <v>6694</v>
      </c>
      <c r="S1067" t="s">
        <v>6694</v>
      </c>
      <c r="W1067" t="s">
        <v>6720</v>
      </c>
    </row>
    <row r="1068" spans="1:23" ht="15.6" x14ac:dyDescent="0.4">
      <c r="A1068" s="2" t="s">
        <v>228</v>
      </c>
      <c r="B1068" s="5" t="s">
        <v>7641</v>
      </c>
      <c r="C1068" s="7" t="s">
        <v>12556</v>
      </c>
      <c r="D1068" s="8">
        <f t="shared" si="68"/>
        <v>0</v>
      </c>
      <c r="E1068" s="7" t="s">
        <v>12557</v>
      </c>
      <c r="F1068" s="7">
        <f t="shared" si="69"/>
        <v>2</v>
      </c>
      <c r="G1068" s="7" t="s">
        <v>12558</v>
      </c>
      <c r="H1068" s="7">
        <f t="shared" si="70"/>
        <v>0</v>
      </c>
      <c r="I1068" s="7" t="str" cm="1">
        <f t="array" ref="I1068">IFERROR(_xlfn.IFS(M1068="נח",1,M1068="נע ונח",1,M1068="שני שווא נח",2,M1068="שני שוואים בסוף מילה",2,M1068="שני שוואים ברצף",1),"0")</f>
        <v>0</v>
      </c>
      <c r="J1068" s="9">
        <f t="shared" si="71"/>
        <v>2</v>
      </c>
      <c r="K1068" t="s">
        <v>6697</v>
      </c>
      <c r="L1068" t="s">
        <v>6695</v>
      </c>
      <c r="P1068" t="s">
        <v>6694</v>
      </c>
      <c r="R1068" t="s">
        <v>6694</v>
      </c>
      <c r="W1068" t="s">
        <v>6720</v>
      </c>
    </row>
    <row r="1069" spans="1:23" ht="15.6" x14ac:dyDescent="0.4">
      <c r="A1069" s="2" t="s">
        <v>1075</v>
      </c>
      <c r="B1069" s="5" t="s">
        <v>7642</v>
      </c>
      <c r="C1069" s="7" t="s">
        <v>12556</v>
      </c>
      <c r="D1069" s="8">
        <f t="shared" si="68"/>
        <v>0</v>
      </c>
      <c r="E1069" s="7" t="s">
        <v>12557</v>
      </c>
      <c r="F1069" s="7">
        <f t="shared" si="69"/>
        <v>2</v>
      </c>
      <c r="G1069" s="7" t="s">
        <v>12558</v>
      </c>
      <c r="H1069" s="7">
        <f t="shared" si="70"/>
        <v>0</v>
      </c>
      <c r="I1069" s="7" t="str" cm="1">
        <f t="array" ref="I1069">IFERROR(_xlfn.IFS(M1069="נח",1,M1069="נע ונח",1,M1069="שני שווא נח",2,M1069="שני שוואים בסוף מילה",2,M1069="שני שוואים ברצף",1),"0")</f>
        <v>0</v>
      </c>
      <c r="J1069" s="9">
        <f t="shared" si="71"/>
        <v>4</v>
      </c>
      <c r="K1069" t="s">
        <v>6697</v>
      </c>
      <c r="L1069" t="s">
        <v>6695</v>
      </c>
      <c r="P1069" t="s">
        <v>6694</v>
      </c>
      <c r="R1069" t="s">
        <v>6694</v>
      </c>
      <c r="W1069" t="s">
        <v>6720</v>
      </c>
    </row>
    <row r="1070" spans="1:23" ht="15.6" x14ac:dyDescent="0.4">
      <c r="A1070" s="2" t="s">
        <v>2356</v>
      </c>
      <c r="B1070" s="5" t="s">
        <v>7643</v>
      </c>
      <c r="C1070" s="7" t="s">
        <v>12556</v>
      </c>
      <c r="D1070" s="8">
        <f t="shared" si="68"/>
        <v>0</v>
      </c>
      <c r="E1070" s="7" t="s">
        <v>12557</v>
      </c>
      <c r="F1070" s="7">
        <f t="shared" si="69"/>
        <v>2</v>
      </c>
      <c r="G1070" s="7" t="s">
        <v>12558</v>
      </c>
      <c r="H1070" s="7">
        <f t="shared" si="70"/>
        <v>0</v>
      </c>
      <c r="I1070" s="7" t="str" cm="1">
        <f t="array" ref="I1070">IFERROR(_xlfn.IFS(M1070="נח",1,M1070="נע ונח",1,M1070="שני שווא נח",2,M1070="שני שוואים בסוף מילה",2,M1070="שני שוואים ברצף",1),"0")</f>
        <v>0</v>
      </c>
      <c r="J1070" s="9">
        <f t="shared" si="71"/>
        <v>3</v>
      </c>
      <c r="K1070" t="s">
        <v>6698</v>
      </c>
      <c r="L1070" t="s">
        <v>6695</v>
      </c>
      <c r="O1070" t="s">
        <v>6694</v>
      </c>
      <c r="P1070" t="s">
        <v>6694</v>
      </c>
      <c r="R1070" t="s">
        <v>6694</v>
      </c>
      <c r="W1070" t="s">
        <v>6720</v>
      </c>
    </row>
    <row r="1071" spans="1:23" ht="15.6" x14ac:dyDescent="0.4">
      <c r="A1071" s="2" t="s">
        <v>2188</v>
      </c>
      <c r="B1071" s="5" t="s">
        <v>7644</v>
      </c>
      <c r="C1071" s="7" t="s">
        <v>12556</v>
      </c>
      <c r="D1071" s="8">
        <f t="shared" si="68"/>
        <v>0</v>
      </c>
      <c r="E1071" s="7" t="s">
        <v>12557</v>
      </c>
      <c r="F1071" s="7">
        <f t="shared" si="69"/>
        <v>2</v>
      </c>
      <c r="G1071" s="7" t="s">
        <v>12558</v>
      </c>
      <c r="H1071" s="7">
        <f t="shared" si="70"/>
        <v>0</v>
      </c>
      <c r="I1071" s="7" t="str" cm="1">
        <f t="array" ref="I1071">IFERROR(_xlfn.IFS(M1071="נח",1,M1071="נע ונח",1,M1071="שני שווא נח",2,M1071="שני שוואים בסוף מילה",2,M1071="שני שוואים ברצף",1),"0")</f>
        <v>0</v>
      </c>
      <c r="J1071" s="9">
        <f t="shared" si="71"/>
        <v>3</v>
      </c>
      <c r="K1071" t="s">
        <v>6698</v>
      </c>
      <c r="L1071" t="s">
        <v>6695</v>
      </c>
      <c r="O1071" t="s">
        <v>6694</v>
      </c>
      <c r="P1071" t="s">
        <v>6694</v>
      </c>
      <c r="V1071" t="s">
        <v>6694</v>
      </c>
      <c r="W1071" t="s">
        <v>6720</v>
      </c>
    </row>
    <row r="1072" spans="1:23" ht="15.6" x14ac:dyDescent="0.4">
      <c r="A1072" s="2" t="s">
        <v>5025</v>
      </c>
      <c r="B1072" s="5" t="s">
        <v>7645</v>
      </c>
      <c r="C1072" s="7" t="s">
        <v>12556</v>
      </c>
      <c r="D1072" s="8">
        <f t="shared" si="68"/>
        <v>0</v>
      </c>
      <c r="E1072" s="7" t="s">
        <v>12557</v>
      </c>
      <c r="F1072" s="7">
        <f t="shared" si="69"/>
        <v>2</v>
      </c>
      <c r="G1072" s="7" t="s">
        <v>12558</v>
      </c>
      <c r="H1072" s="7">
        <f t="shared" si="70"/>
        <v>0</v>
      </c>
      <c r="I1072" s="7" cm="1">
        <f t="array" ref="I1072">IFERROR(_xlfn.IFS(M1072="נח",1,M1072="נע ונח",1,M1072="שני שווא נח",2,M1072="שני שוואים בסוף מילה",2,M1072="שני שוואים ברצף",1),"0")</f>
        <v>1</v>
      </c>
      <c r="J1072" s="9">
        <f t="shared" si="71"/>
        <v>2</v>
      </c>
      <c r="K1072" t="s">
        <v>6697</v>
      </c>
      <c r="L1072" t="s">
        <v>6694</v>
      </c>
      <c r="M1072" t="s">
        <v>6705</v>
      </c>
      <c r="O1072" t="s">
        <v>6694</v>
      </c>
      <c r="P1072" t="s">
        <v>6694</v>
      </c>
      <c r="W1072" t="s">
        <v>6720</v>
      </c>
    </row>
    <row r="1073" spans="1:23" ht="15.6" x14ac:dyDescent="0.4">
      <c r="A1073" s="2" t="s">
        <v>661</v>
      </c>
      <c r="B1073" s="5" t="s">
        <v>7646</v>
      </c>
      <c r="C1073" s="7" t="s">
        <v>12556</v>
      </c>
      <c r="D1073" s="8">
        <f t="shared" si="68"/>
        <v>0</v>
      </c>
      <c r="E1073" s="7" t="s">
        <v>12557</v>
      </c>
      <c r="F1073" s="7">
        <f t="shared" si="69"/>
        <v>2</v>
      </c>
      <c r="G1073" s="7" t="s">
        <v>12558</v>
      </c>
      <c r="H1073" s="7">
        <f t="shared" si="70"/>
        <v>0</v>
      </c>
      <c r="I1073" s="7" cm="1">
        <f t="array" ref="I1073">IFERROR(_xlfn.IFS(M1073="נח",1,M1073="נע ונח",1,M1073="שני שווא נח",2,M1073="שני שוואים בסוף מילה",2,M1073="שני שוואים ברצף",1),"0")</f>
        <v>1</v>
      </c>
      <c r="J1073" s="9">
        <f t="shared" si="71"/>
        <v>3</v>
      </c>
      <c r="K1073" t="s">
        <v>6698</v>
      </c>
      <c r="L1073" t="s">
        <v>6694</v>
      </c>
      <c r="M1073" t="s">
        <v>6705</v>
      </c>
      <c r="O1073" t="s">
        <v>6694</v>
      </c>
      <c r="P1073" t="s">
        <v>6694</v>
      </c>
      <c r="S1073" t="s">
        <v>6694</v>
      </c>
      <c r="W1073" t="s">
        <v>6720</v>
      </c>
    </row>
    <row r="1074" spans="1:23" ht="15.6" x14ac:dyDescent="0.4">
      <c r="A1074" s="2" t="s">
        <v>3046</v>
      </c>
      <c r="B1074" s="5" t="s">
        <v>7647</v>
      </c>
      <c r="C1074" s="7" t="s">
        <v>12556</v>
      </c>
      <c r="D1074" s="8">
        <f t="shared" si="68"/>
        <v>0</v>
      </c>
      <c r="E1074" s="7" t="s">
        <v>12557</v>
      </c>
      <c r="F1074" s="7">
        <f t="shared" si="69"/>
        <v>2</v>
      </c>
      <c r="G1074" s="7" t="s">
        <v>12558</v>
      </c>
      <c r="H1074" s="7">
        <f t="shared" si="70"/>
        <v>0</v>
      </c>
      <c r="I1074" s="7" cm="1">
        <f t="array" ref="I1074">IFERROR(_xlfn.IFS(M1074="נח",1,M1074="נע ונח",1,M1074="שני שווא נח",2,M1074="שני שוואים בסוף מילה",2,M1074="שני שוואים ברצף",1),"0")</f>
        <v>1</v>
      </c>
      <c r="J1074" s="9">
        <f t="shared" si="71"/>
        <v>3</v>
      </c>
      <c r="K1074" t="s">
        <v>6698</v>
      </c>
      <c r="L1074" t="s">
        <v>6694</v>
      </c>
      <c r="M1074" t="s">
        <v>6705</v>
      </c>
      <c r="P1074" t="s">
        <v>6694</v>
      </c>
      <c r="S1074" t="s">
        <v>6694</v>
      </c>
      <c r="W1074" t="s">
        <v>6720</v>
      </c>
    </row>
    <row r="1075" spans="1:23" ht="15.6" x14ac:dyDescent="0.4">
      <c r="A1075" s="2" t="s">
        <v>4423</v>
      </c>
      <c r="B1075" s="5" t="s">
        <v>7648</v>
      </c>
      <c r="C1075" s="7" t="s">
        <v>12556</v>
      </c>
      <c r="D1075" s="8">
        <f t="shared" si="68"/>
        <v>0</v>
      </c>
      <c r="E1075" s="7" t="s">
        <v>12557</v>
      </c>
      <c r="F1075" s="7">
        <f t="shared" si="69"/>
        <v>2</v>
      </c>
      <c r="G1075" s="7" t="s">
        <v>12558</v>
      </c>
      <c r="H1075" s="7">
        <f t="shared" si="70"/>
        <v>0</v>
      </c>
      <c r="I1075" s="7" t="str" cm="1">
        <f t="array" ref="I1075">IFERROR(_xlfn.IFS(M1075="נח",1,M1075="נע ונח",1,M1075="שני שווא נח",2,M1075="שני שוואים בסוף מילה",2,M1075="שני שוואים ברצף",1),"0")</f>
        <v>0</v>
      </c>
      <c r="J1075" s="9">
        <f t="shared" si="71"/>
        <v>3</v>
      </c>
      <c r="K1075" t="s">
        <v>6698</v>
      </c>
      <c r="L1075" t="s">
        <v>6695</v>
      </c>
      <c r="N1075" t="s">
        <v>6706</v>
      </c>
      <c r="O1075" t="s">
        <v>6694</v>
      </c>
      <c r="P1075" t="s">
        <v>6694</v>
      </c>
      <c r="W1075" t="s">
        <v>6720</v>
      </c>
    </row>
    <row r="1076" spans="1:23" ht="15.6" x14ac:dyDescent="0.4">
      <c r="A1076" s="2" t="s">
        <v>3562</v>
      </c>
      <c r="B1076" s="5" t="s">
        <v>7649</v>
      </c>
      <c r="C1076" s="7" t="s">
        <v>12556</v>
      </c>
      <c r="D1076" s="8">
        <f t="shared" si="68"/>
        <v>0</v>
      </c>
      <c r="E1076" s="7" t="s">
        <v>12557</v>
      </c>
      <c r="F1076" s="7">
        <f t="shared" si="69"/>
        <v>2</v>
      </c>
      <c r="G1076" s="7" t="s">
        <v>12558</v>
      </c>
      <c r="H1076" s="7">
        <f t="shared" si="70"/>
        <v>0</v>
      </c>
      <c r="I1076" s="7" cm="1">
        <f t="array" ref="I1076">IFERROR(_xlfn.IFS(M1076="נח",1,M1076="נע ונח",1,M1076="שני שווא נח",2,M1076="שני שוואים בסוף מילה",2,M1076="שני שוואים ברצף",1),"0")</f>
        <v>1</v>
      </c>
      <c r="J1076" s="9">
        <f t="shared" si="71"/>
        <v>2</v>
      </c>
      <c r="K1076" t="s">
        <v>6698</v>
      </c>
      <c r="L1076" t="s">
        <v>6694</v>
      </c>
      <c r="M1076" t="s">
        <v>6705</v>
      </c>
      <c r="N1076" t="s">
        <v>6706</v>
      </c>
      <c r="O1076" t="s">
        <v>6694</v>
      </c>
      <c r="P1076" t="s">
        <v>6694</v>
      </c>
      <c r="W1076" t="s">
        <v>6720</v>
      </c>
    </row>
    <row r="1077" spans="1:23" ht="15.6" x14ac:dyDescent="0.4">
      <c r="A1077" s="2" t="s">
        <v>6154</v>
      </c>
      <c r="B1077" s="5" t="s">
        <v>7650</v>
      </c>
      <c r="C1077" s="7" t="s">
        <v>12556</v>
      </c>
      <c r="D1077" s="8">
        <f t="shared" si="68"/>
        <v>0</v>
      </c>
      <c r="E1077" s="7" t="s">
        <v>12557</v>
      </c>
      <c r="F1077" s="7">
        <f t="shared" si="69"/>
        <v>1</v>
      </c>
      <c r="G1077" s="7" t="s">
        <v>12558</v>
      </c>
      <c r="H1077" s="7">
        <f t="shared" si="70"/>
        <v>0</v>
      </c>
      <c r="I1077" s="7" t="str" cm="1">
        <f t="array" ref="I1077">IFERROR(_xlfn.IFS(M1077="נח",1,M1077="נע ונח",1,M1077="שני שווא נח",2,M1077="שני שוואים בסוף מילה",2,M1077="שני שוואים ברצף",1),"0")</f>
        <v>0</v>
      </c>
      <c r="J1077" s="9">
        <f t="shared" si="71"/>
        <v>4</v>
      </c>
      <c r="K1077" t="s">
        <v>6698</v>
      </c>
      <c r="L1077" t="s">
        <v>6695</v>
      </c>
      <c r="N1077" t="s">
        <v>6706</v>
      </c>
      <c r="O1077" t="s">
        <v>6694</v>
      </c>
      <c r="P1077" t="s">
        <v>6694</v>
      </c>
      <c r="W1077" t="s">
        <v>6720</v>
      </c>
    </row>
    <row r="1078" spans="1:23" ht="15.6" x14ac:dyDescent="0.4">
      <c r="A1078" s="2" t="s">
        <v>1760</v>
      </c>
      <c r="B1078" s="5" t="s">
        <v>7651</v>
      </c>
      <c r="C1078" s="7" t="s">
        <v>12556</v>
      </c>
      <c r="D1078" s="8">
        <f t="shared" si="68"/>
        <v>0</v>
      </c>
      <c r="E1078" s="7" t="s">
        <v>12557</v>
      </c>
      <c r="F1078" s="7">
        <f t="shared" si="69"/>
        <v>1</v>
      </c>
      <c r="G1078" s="7" t="s">
        <v>12558</v>
      </c>
      <c r="H1078" s="7">
        <f t="shared" si="70"/>
        <v>0</v>
      </c>
      <c r="I1078" s="7" t="str" cm="1">
        <f t="array" ref="I1078">IFERROR(_xlfn.IFS(M1078="נח",1,M1078="נע ונח",1,M1078="שני שווא נח",2,M1078="שני שוואים בסוף מילה",2,M1078="שני שוואים ברצף",1),"0")</f>
        <v>0</v>
      </c>
      <c r="J1078" s="9">
        <f t="shared" si="71"/>
        <v>4</v>
      </c>
      <c r="K1078" t="s">
        <v>6698</v>
      </c>
      <c r="L1078" t="s">
        <v>6695</v>
      </c>
      <c r="P1078" t="s">
        <v>6694</v>
      </c>
      <c r="S1078" t="s">
        <v>6694</v>
      </c>
      <c r="V1078" t="s">
        <v>6694</v>
      </c>
      <c r="W1078" t="s">
        <v>6720</v>
      </c>
    </row>
    <row r="1079" spans="1:23" ht="15.6" x14ac:dyDescent="0.4">
      <c r="A1079" s="2" t="s">
        <v>6082</v>
      </c>
      <c r="B1079" s="5" t="s">
        <v>7652</v>
      </c>
      <c r="C1079" s="7" t="s">
        <v>12556</v>
      </c>
      <c r="D1079" s="8">
        <f t="shared" si="68"/>
        <v>0</v>
      </c>
      <c r="E1079" s="7" t="s">
        <v>12557</v>
      </c>
      <c r="F1079" s="7">
        <f t="shared" si="69"/>
        <v>2</v>
      </c>
      <c r="G1079" s="7" t="s">
        <v>12558</v>
      </c>
      <c r="H1079" s="7">
        <f t="shared" si="70"/>
        <v>1</v>
      </c>
      <c r="I1079" s="7" t="str" cm="1">
        <f t="array" ref="I1079">IFERROR(_xlfn.IFS(M1079="נח",1,M1079="נע ונח",1,M1079="שני שווא נח",2,M1079="שני שוואים בסוף מילה",2,M1079="שני שוואים ברצף",1),"0")</f>
        <v>0</v>
      </c>
      <c r="J1079" s="9">
        <f t="shared" si="71"/>
        <v>4</v>
      </c>
      <c r="K1079" t="s">
        <v>6698</v>
      </c>
      <c r="L1079" t="s">
        <v>6695</v>
      </c>
      <c r="N1079" t="s">
        <v>6706</v>
      </c>
      <c r="O1079" t="s">
        <v>6694</v>
      </c>
      <c r="P1079" t="s">
        <v>6694</v>
      </c>
      <c r="U1079" t="s">
        <v>6694</v>
      </c>
      <c r="W1079" t="s">
        <v>6720</v>
      </c>
    </row>
    <row r="1080" spans="1:23" ht="15.6" x14ac:dyDescent="0.4">
      <c r="A1080" s="2" t="s">
        <v>2909</v>
      </c>
      <c r="B1080" s="5" t="s">
        <v>7653</v>
      </c>
      <c r="C1080" s="7" t="s">
        <v>12556</v>
      </c>
      <c r="D1080" s="8">
        <f t="shared" si="68"/>
        <v>0</v>
      </c>
      <c r="E1080" s="7" t="s">
        <v>12557</v>
      </c>
      <c r="F1080" s="7">
        <f t="shared" si="69"/>
        <v>1</v>
      </c>
      <c r="G1080" s="7" t="s">
        <v>12558</v>
      </c>
      <c r="H1080" s="7">
        <f t="shared" si="70"/>
        <v>0</v>
      </c>
      <c r="I1080" s="7" t="str" cm="1">
        <f t="array" ref="I1080">IFERROR(_xlfn.IFS(M1080="נח",1,M1080="נע ונח",1,M1080="שני שווא נח",2,M1080="שני שוואים בסוף מילה",2,M1080="שני שוואים ברצף",1),"0")</f>
        <v>0</v>
      </c>
      <c r="J1080" s="9">
        <f t="shared" si="71"/>
        <v>3</v>
      </c>
      <c r="K1080" t="s">
        <v>6697</v>
      </c>
      <c r="L1080" t="s">
        <v>6695</v>
      </c>
      <c r="P1080" t="s">
        <v>6694</v>
      </c>
      <c r="S1080" t="s">
        <v>6694</v>
      </c>
      <c r="W1080" t="s">
        <v>6720</v>
      </c>
    </row>
    <row r="1081" spans="1:23" ht="15.6" x14ac:dyDescent="0.4">
      <c r="A1081" s="2" t="s">
        <v>6558</v>
      </c>
      <c r="B1081" s="5" t="s">
        <v>7654</v>
      </c>
      <c r="C1081" s="7" t="s">
        <v>12556</v>
      </c>
      <c r="D1081" s="8">
        <f t="shared" si="68"/>
        <v>0</v>
      </c>
      <c r="E1081" s="7" t="s">
        <v>12557</v>
      </c>
      <c r="F1081" s="7">
        <f t="shared" si="69"/>
        <v>1</v>
      </c>
      <c r="G1081" s="7" t="s">
        <v>12558</v>
      </c>
      <c r="H1081" s="7">
        <f t="shared" si="70"/>
        <v>0</v>
      </c>
      <c r="I1081" s="7" t="str" cm="1">
        <f t="array" ref="I1081">IFERROR(_xlfn.IFS(M1081="נח",1,M1081="נע ונח",1,M1081="שני שווא נח",2,M1081="שני שוואים בסוף מילה",2,M1081="שני שוואים ברצף",1),"0")</f>
        <v>0</v>
      </c>
      <c r="J1081" s="9">
        <f t="shared" si="71"/>
        <v>4</v>
      </c>
      <c r="K1081" t="s">
        <v>6697</v>
      </c>
      <c r="L1081" t="s">
        <v>6695</v>
      </c>
      <c r="P1081" t="s">
        <v>6694</v>
      </c>
      <c r="Q1081" t="s">
        <v>6694</v>
      </c>
      <c r="S1081" t="s">
        <v>6694</v>
      </c>
      <c r="W1081" t="s">
        <v>6720</v>
      </c>
    </row>
    <row r="1082" spans="1:23" ht="15.6" x14ac:dyDescent="0.4">
      <c r="A1082" s="2" t="s">
        <v>195</v>
      </c>
      <c r="B1082" s="5" t="s">
        <v>7655</v>
      </c>
      <c r="C1082" s="7" t="s">
        <v>12556</v>
      </c>
      <c r="D1082" s="8">
        <f t="shared" si="68"/>
        <v>0</v>
      </c>
      <c r="E1082" s="7" t="s">
        <v>12557</v>
      </c>
      <c r="F1082" s="7">
        <f t="shared" si="69"/>
        <v>1</v>
      </c>
      <c r="G1082" s="7" t="s">
        <v>12558</v>
      </c>
      <c r="H1082" s="7">
        <f t="shared" si="70"/>
        <v>0</v>
      </c>
      <c r="I1082" s="7" t="str" cm="1">
        <f t="array" ref="I1082">IFERROR(_xlfn.IFS(M1082="נח",1,M1082="נע ונח",1,M1082="שני שווא נח",2,M1082="שני שוואים בסוף מילה",2,M1082="שני שוואים ברצף",1),"0")</f>
        <v>0</v>
      </c>
      <c r="J1082" s="9">
        <f t="shared" si="71"/>
        <v>3</v>
      </c>
      <c r="K1082" t="s">
        <v>6698</v>
      </c>
      <c r="L1082" t="s">
        <v>6695</v>
      </c>
      <c r="P1082" t="s">
        <v>6694</v>
      </c>
      <c r="W1082" t="s">
        <v>6720</v>
      </c>
    </row>
    <row r="1083" spans="1:23" ht="15.6" x14ac:dyDescent="0.4">
      <c r="A1083" s="2" t="s">
        <v>1082</v>
      </c>
      <c r="B1083" s="5" t="s">
        <v>7656</v>
      </c>
      <c r="C1083" s="7" t="s">
        <v>12556</v>
      </c>
      <c r="D1083" s="8">
        <f t="shared" si="68"/>
        <v>0</v>
      </c>
      <c r="E1083" s="7" t="s">
        <v>12557</v>
      </c>
      <c r="F1083" s="7">
        <f t="shared" si="69"/>
        <v>1</v>
      </c>
      <c r="G1083" s="7" t="s">
        <v>12558</v>
      </c>
      <c r="H1083" s="7">
        <f t="shared" si="70"/>
        <v>0</v>
      </c>
      <c r="I1083" s="7" t="str" cm="1">
        <f t="array" ref="I1083">IFERROR(_xlfn.IFS(M1083="נח",1,M1083="נע ונח",1,M1083="שני שווא נח",2,M1083="שני שוואים בסוף מילה",2,M1083="שני שוואים ברצף",1),"0")</f>
        <v>0</v>
      </c>
      <c r="J1083" s="9">
        <f t="shared" si="71"/>
        <v>4</v>
      </c>
      <c r="K1083" t="s">
        <v>6698</v>
      </c>
      <c r="L1083" t="s">
        <v>6695</v>
      </c>
      <c r="N1083" t="s">
        <v>6706</v>
      </c>
      <c r="O1083" t="s">
        <v>6694</v>
      </c>
      <c r="P1083" t="s">
        <v>6694</v>
      </c>
      <c r="W1083" t="s">
        <v>6720</v>
      </c>
    </row>
    <row r="1084" spans="1:23" ht="15.6" x14ac:dyDescent="0.4">
      <c r="A1084" s="2" t="s">
        <v>3118</v>
      </c>
      <c r="B1084" s="5" t="s">
        <v>7657</v>
      </c>
      <c r="C1084" s="7" t="s">
        <v>12556</v>
      </c>
      <c r="D1084" s="8">
        <f t="shared" si="68"/>
        <v>0</v>
      </c>
      <c r="E1084" s="7" t="s">
        <v>12557</v>
      </c>
      <c r="F1084" s="7">
        <f t="shared" si="69"/>
        <v>1</v>
      </c>
      <c r="G1084" s="7" t="s">
        <v>12558</v>
      </c>
      <c r="H1084" s="7">
        <f t="shared" si="70"/>
        <v>0</v>
      </c>
      <c r="I1084" s="7" t="str" cm="1">
        <f t="array" ref="I1084">IFERROR(_xlfn.IFS(M1084="נח",1,M1084="נע ונח",1,M1084="שני שווא נח",2,M1084="שני שוואים בסוף מילה",2,M1084="שני שוואים ברצף",1),"0")</f>
        <v>0</v>
      </c>
      <c r="J1084" s="9">
        <f t="shared" si="71"/>
        <v>3</v>
      </c>
      <c r="K1084" t="s">
        <v>6697</v>
      </c>
      <c r="L1084" t="s">
        <v>6695</v>
      </c>
      <c r="P1084" t="s">
        <v>6694</v>
      </c>
      <c r="V1084" t="s">
        <v>6694</v>
      </c>
      <c r="W1084" t="s">
        <v>6720</v>
      </c>
    </row>
    <row r="1085" spans="1:23" ht="15.6" x14ac:dyDescent="0.4">
      <c r="A1085" s="2" t="s">
        <v>3386</v>
      </c>
      <c r="B1085" s="5" t="s">
        <v>7658</v>
      </c>
      <c r="C1085" s="7" t="s">
        <v>12556</v>
      </c>
      <c r="D1085" s="8">
        <f t="shared" si="68"/>
        <v>0</v>
      </c>
      <c r="E1085" s="7" t="s">
        <v>12557</v>
      </c>
      <c r="F1085" s="7">
        <f t="shared" si="69"/>
        <v>1</v>
      </c>
      <c r="G1085" s="7" t="s">
        <v>12558</v>
      </c>
      <c r="H1085" s="7">
        <f t="shared" si="70"/>
        <v>0</v>
      </c>
      <c r="I1085" s="7" t="str" cm="1">
        <f t="array" ref="I1085">IFERROR(_xlfn.IFS(M1085="נח",1,M1085="נע ונח",1,M1085="שני שווא נח",2,M1085="שני שוואים בסוף מילה",2,M1085="שני שוואים ברצף",1),"0")</f>
        <v>0</v>
      </c>
      <c r="J1085" s="9">
        <f t="shared" si="71"/>
        <v>4</v>
      </c>
      <c r="K1085" t="s">
        <v>6697</v>
      </c>
      <c r="L1085" t="s">
        <v>6695</v>
      </c>
      <c r="P1085" t="s">
        <v>6694</v>
      </c>
      <c r="S1085" t="s">
        <v>6694</v>
      </c>
      <c r="V1085" t="s">
        <v>6694</v>
      </c>
      <c r="W1085" t="s">
        <v>6720</v>
      </c>
    </row>
    <row r="1086" spans="1:23" ht="15.6" x14ac:dyDescent="0.4">
      <c r="A1086" s="2" t="s">
        <v>4276</v>
      </c>
      <c r="B1086" s="5" t="s">
        <v>7659</v>
      </c>
      <c r="C1086" s="7" t="s">
        <v>12556</v>
      </c>
      <c r="D1086" s="8">
        <f t="shared" si="68"/>
        <v>0</v>
      </c>
      <c r="E1086" s="7" t="s">
        <v>12557</v>
      </c>
      <c r="F1086" s="7">
        <f t="shared" si="69"/>
        <v>1</v>
      </c>
      <c r="G1086" s="7" t="s">
        <v>12558</v>
      </c>
      <c r="H1086" s="7">
        <f t="shared" si="70"/>
        <v>0</v>
      </c>
      <c r="I1086" s="7" t="str" cm="1">
        <f t="array" ref="I1086">IFERROR(_xlfn.IFS(M1086="נח",1,M1086="נע ונח",1,M1086="שני שווא נח",2,M1086="שני שוואים בסוף מילה",2,M1086="שני שוואים ברצף",1),"0")</f>
        <v>0</v>
      </c>
      <c r="J1086" s="9">
        <f t="shared" si="71"/>
        <v>3</v>
      </c>
      <c r="K1086" t="s">
        <v>6698</v>
      </c>
      <c r="L1086" t="s">
        <v>6695</v>
      </c>
      <c r="P1086" t="s">
        <v>6694</v>
      </c>
      <c r="V1086" t="s">
        <v>6694</v>
      </c>
      <c r="W1086" t="s">
        <v>6720</v>
      </c>
    </row>
    <row r="1087" spans="1:23" ht="15.6" x14ac:dyDescent="0.4">
      <c r="A1087" s="2" t="s">
        <v>1834</v>
      </c>
      <c r="B1087" s="5" t="s">
        <v>7660</v>
      </c>
      <c r="C1087" s="7" t="s">
        <v>12556</v>
      </c>
      <c r="D1087" s="8">
        <f t="shared" si="68"/>
        <v>0</v>
      </c>
      <c r="E1087" s="7" t="s">
        <v>12557</v>
      </c>
      <c r="F1087" s="7">
        <f t="shared" si="69"/>
        <v>1</v>
      </c>
      <c r="G1087" s="7" t="s">
        <v>12558</v>
      </c>
      <c r="H1087" s="7">
        <f t="shared" si="70"/>
        <v>0</v>
      </c>
      <c r="I1087" s="7" t="str" cm="1">
        <f t="array" ref="I1087">IFERROR(_xlfn.IFS(M1087="נח",1,M1087="נע ונח",1,M1087="שני שווא נח",2,M1087="שני שוואים בסוף מילה",2,M1087="שני שוואים ברצף",1),"0")</f>
        <v>0</v>
      </c>
      <c r="J1087" s="9">
        <f t="shared" si="71"/>
        <v>3</v>
      </c>
      <c r="K1087" t="s">
        <v>6698</v>
      </c>
      <c r="L1087" t="s">
        <v>6695</v>
      </c>
      <c r="P1087" t="s">
        <v>6694</v>
      </c>
      <c r="S1087" t="s">
        <v>6694</v>
      </c>
      <c r="W1087" t="s">
        <v>6720</v>
      </c>
    </row>
    <row r="1088" spans="1:23" ht="15.6" x14ac:dyDescent="0.4">
      <c r="A1088" s="2" t="s">
        <v>5391</v>
      </c>
      <c r="B1088" s="5" t="s">
        <v>7610</v>
      </c>
      <c r="C1088" s="7" t="s">
        <v>12556</v>
      </c>
      <c r="D1088" s="8">
        <f t="shared" si="68"/>
        <v>0</v>
      </c>
      <c r="E1088" s="7" t="s">
        <v>12557</v>
      </c>
      <c r="F1088" s="7">
        <f t="shared" si="69"/>
        <v>1</v>
      </c>
      <c r="G1088" s="7" t="s">
        <v>12558</v>
      </c>
      <c r="H1088" s="7">
        <f t="shared" si="70"/>
        <v>0</v>
      </c>
      <c r="I1088" s="7" t="str" cm="1">
        <f t="array" ref="I1088">IFERROR(_xlfn.IFS(M1088="נח",1,M1088="נע ונח",1,M1088="שני שווא נח",2,M1088="שני שוואים בסוף מילה",2,M1088="שני שוואים ברצף",1),"0")</f>
        <v>0</v>
      </c>
      <c r="J1088" s="9">
        <f t="shared" si="71"/>
        <v>3</v>
      </c>
      <c r="K1088" t="s">
        <v>6698</v>
      </c>
      <c r="L1088" t="s">
        <v>6695</v>
      </c>
      <c r="P1088" t="s">
        <v>6694</v>
      </c>
      <c r="W1088" t="s">
        <v>6720</v>
      </c>
    </row>
    <row r="1089" spans="1:23" ht="15.6" x14ac:dyDescent="0.4">
      <c r="A1089" s="2" t="s">
        <v>165</v>
      </c>
      <c r="B1089" s="5" t="s">
        <v>7661</v>
      </c>
      <c r="C1089" s="7" t="s">
        <v>12556</v>
      </c>
      <c r="D1089" s="8">
        <f t="shared" si="68"/>
        <v>0</v>
      </c>
      <c r="E1089" s="7" t="s">
        <v>12557</v>
      </c>
      <c r="F1089" s="7">
        <f t="shared" si="69"/>
        <v>1</v>
      </c>
      <c r="G1089" s="7" t="s">
        <v>12558</v>
      </c>
      <c r="H1089" s="7">
        <f t="shared" si="70"/>
        <v>0</v>
      </c>
      <c r="I1089" s="7" t="str" cm="1">
        <f t="array" ref="I1089">IFERROR(_xlfn.IFS(M1089="נח",1,M1089="נע ונח",1,M1089="שני שווא נח",2,M1089="שני שוואים בסוף מילה",2,M1089="שני שוואים ברצף",1),"0")</f>
        <v>0</v>
      </c>
      <c r="J1089" s="9">
        <f t="shared" si="71"/>
        <v>3</v>
      </c>
      <c r="K1089" t="s">
        <v>6698</v>
      </c>
      <c r="L1089" t="s">
        <v>6695</v>
      </c>
      <c r="P1089" t="s">
        <v>6694</v>
      </c>
      <c r="W1089" t="s">
        <v>6720</v>
      </c>
    </row>
    <row r="1090" spans="1:23" ht="15.6" x14ac:dyDescent="0.4">
      <c r="A1090" s="2" t="s">
        <v>5273</v>
      </c>
      <c r="B1090" s="5" t="s">
        <v>7662</v>
      </c>
      <c r="C1090" s="7" t="s">
        <v>12556</v>
      </c>
      <c r="D1090" s="8">
        <f t="shared" si="68"/>
        <v>0</v>
      </c>
      <c r="E1090" s="7" t="s">
        <v>12557</v>
      </c>
      <c r="F1090" s="7">
        <f t="shared" si="69"/>
        <v>1</v>
      </c>
      <c r="G1090" s="7" t="s">
        <v>12558</v>
      </c>
      <c r="H1090" s="7">
        <f t="shared" si="70"/>
        <v>0</v>
      </c>
      <c r="I1090" s="7" t="str" cm="1">
        <f t="array" ref="I1090">IFERROR(_xlfn.IFS(M1090="נח",1,M1090="נע ונח",1,M1090="שני שווא נח",2,M1090="שני שוואים בסוף מילה",2,M1090="שני שוואים ברצף",1),"0")</f>
        <v>0</v>
      </c>
      <c r="J1090" s="9">
        <f t="shared" si="71"/>
        <v>4</v>
      </c>
      <c r="K1090" t="s">
        <v>6698</v>
      </c>
      <c r="L1090" t="s">
        <v>6695</v>
      </c>
      <c r="O1090" t="s">
        <v>6694</v>
      </c>
      <c r="P1090" t="s">
        <v>6694</v>
      </c>
      <c r="W1090" t="s">
        <v>6720</v>
      </c>
    </row>
    <row r="1091" spans="1:23" ht="15.6" x14ac:dyDescent="0.4">
      <c r="A1091" s="2" t="s">
        <v>5437</v>
      </c>
      <c r="B1091" s="5" t="s">
        <v>7663</v>
      </c>
      <c r="C1091" s="7" t="s">
        <v>12556</v>
      </c>
      <c r="D1091" s="8">
        <f t="shared" ref="D1091:D1154" si="72">(LEN(B1091)-LEN(SUBSTITUTE(B1091,C1091,"")))</f>
        <v>0</v>
      </c>
      <c r="E1091" s="7" t="s">
        <v>12557</v>
      </c>
      <c r="F1091" s="7">
        <f t="shared" ref="F1091:F1154" si="73">(LEN(A1091)-LEN(SUBSTITUTE(A1091,E1091,"")))</f>
        <v>1</v>
      </c>
      <c r="G1091" s="7" t="s">
        <v>12558</v>
      </c>
      <c r="H1091" s="7">
        <f t="shared" ref="H1091:H1154" si="74">(LEN(A1091)-LEN(SUBSTITUTE(A1091,G1091,"")))/2</f>
        <v>0</v>
      </c>
      <c r="I1091" s="7" cm="1">
        <f t="array" ref="I1091">IFERROR(_xlfn.IFS(M1091="נח",1,M1091="נע ונח",1,M1091="שני שווא נח",2,M1091="שני שוואים בסוף מילה",2,M1091="שני שוואים ברצף",1),"0")</f>
        <v>1</v>
      </c>
      <c r="J1091" s="9">
        <f t="shared" ref="J1091:J1154" si="75">LEN(A1091)-(LEN(B1091))-D1091-F1091+H1091-I1091</f>
        <v>4</v>
      </c>
      <c r="K1091" t="s">
        <v>6697</v>
      </c>
      <c r="L1091" t="s">
        <v>6694</v>
      </c>
      <c r="M1091" t="s">
        <v>6705</v>
      </c>
      <c r="N1091" t="s">
        <v>6706</v>
      </c>
      <c r="O1091" t="s">
        <v>6694</v>
      </c>
      <c r="P1091" t="s">
        <v>6694</v>
      </c>
      <c r="W1091" t="s">
        <v>6720</v>
      </c>
    </row>
    <row r="1092" spans="1:23" ht="15.6" x14ac:dyDescent="0.4">
      <c r="A1092" s="2" t="s">
        <v>5159</v>
      </c>
      <c r="B1092" s="5" t="s">
        <v>7664</v>
      </c>
      <c r="C1092" s="7" t="s">
        <v>12556</v>
      </c>
      <c r="D1092" s="8">
        <f t="shared" si="72"/>
        <v>0</v>
      </c>
      <c r="E1092" s="7" t="s">
        <v>12557</v>
      </c>
      <c r="F1092" s="7">
        <f t="shared" si="73"/>
        <v>2</v>
      </c>
      <c r="G1092" s="7" t="s">
        <v>12558</v>
      </c>
      <c r="H1092" s="7">
        <f t="shared" si="74"/>
        <v>1</v>
      </c>
      <c r="I1092" s="7" t="str" cm="1">
        <f t="array" ref="I1092">IFERROR(_xlfn.IFS(M1092="נח",1,M1092="נע ונח",1,M1092="שני שווא נח",2,M1092="שני שוואים בסוף מילה",2,M1092="שני שוואים ברצף",1),"0")</f>
        <v>0</v>
      </c>
      <c r="J1092" s="9">
        <f t="shared" si="75"/>
        <v>4</v>
      </c>
      <c r="K1092" t="s">
        <v>6698</v>
      </c>
      <c r="L1092" t="s">
        <v>6695</v>
      </c>
      <c r="N1092" t="s">
        <v>6706</v>
      </c>
      <c r="O1092" t="s">
        <v>6694</v>
      </c>
      <c r="P1092" t="s">
        <v>6694</v>
      </c>
      <c r="U1092" t="s">
        <v>6694</v>
      </c>
      <c r="W1092" t="s">
        <v>6720</v>
      </c>
    </row>
    <row r="1093" spans="1:23" ht="15.6" x14ac:dyDescent="0.4">
      <c r="A1093" s="2" t="s">
        <v>5520</v>
      </c>
      <c r="B1093" s="5" t="s">
        <v>7242</v>
      </c>
      <c r="C1093" s="7" t="s">
        <v>12556</v>
      </c>
      <c r="D1093" s="8">
        <f t="shared" si="72"/>
        <v>0</v>
      </c>
      <c r="E1093" s="7" t="s">
        <v>12557</v>
      </c>
      <c r="F1093" s="7">
        <f t="shared" si="73"/>
        <v>1</v>
      </c>
      <c r="G1093" s="7" t="s">
        <v>12558</v>
      </c>
      <c r="H1093" s="7">
        <f t="shared" si="74"/>
        <v>0</v>
      </c>
      <c r="I1093" s="7" t="str" cm="1">
        <f t="array" ref="I1093">IFERROR(_xlfn.IFS(M1093="נח",1,M1093="נע ונח",1,M1093="שני שווא נח",2,M1093="שני שוואים בסוף מילה",2,M1093="שני שוואים ברצף",1),"0")</f>
        <v>0</v>
      </c>
      <c r="J1093" s="9">
        <f t="shared" si="75"/>
        <v>2</v>
      </c>
      <c r="K1093" t="s">
        <v>6698</v>
      </c>
      <c r="L1093" t="s">
        <v>6695</v>
      </c>
      <c r="P1093" t="s">
        <v>6694</v>
      </c>
      <c r="W1093" t="s">
        <v>6720</v>
      </c>
    </row>
    <row r="1094" spans="1:23" ht="15.6" x14ac:dyDescent="0.4">
      <c r="A1094" s="2" t="s">
        <v>1104</v>
      </c>
      <c r="B1094" s="5" t="s">
        <v>7665</v>
      </c>
      <c r="C1094" s="7" t="s">
        <v>12556</v>
      </c>
      <c r="D1094" s="8">
        <f t="shared" si="72"/>
        <v>0</v>
      </c>
      <c r="E1094" s="7" t="s">
        <v>12557</v>
      </c>
      <c r="F1094" s="7">
        <f t="shared" si="73"/>
        <v>2</v>
      </c>
      <c r="G1094" s="7" t="s">
        <v>12558</v>
      </c>
      <c r="H1094" s="7">
        <f t="shared" si="74"/>
        <v>0</v>
      </c>
      <c r="I1094" s="7" t="str" cm="1">
        <f t="array" ref="I1094">IFERROR(_xlfn.IFS(M1094="נח",1,M1094="נע ונח",1,M1094="שני שווא נח",2,M1094="שני שוואים בסוף מילה",2,M1094="שני שוואים ברצף",1),"0")</f>
        <v>0</v>
      </c>
      <c r="J1094" s="9">
        <f t="shared" si="75"/>
        <v>3</v>
      </c>
      <c r="K1094" t="s">
        <v>6698</v>
      </c>
      <c r="L1094" t="s">
        <v>6695</v>
      </c>
      <c r="P1094" t="s">
        <v>6694</v>
      </c>
      <c r="R1094" t="s">
        <v>6694</v>
      </c>
      <c r="W1094" t="s">
        <v>6720</v>
      </c>
    </row>
    <row r="1095" spans="1:23" ht="15.6" x14ac:dyDescent="0.4">
      <c r="A1095" s="2" t="s">
        <v>6660</v>
      </c>
      <c r="B1095" s="5" t="s">
        <v>7666</v>
      </c>
      <c r="C1095" s="7" t="s">
        <v>12556</v>
      </c>
      <c r="D1095" s="8">
        <f t="shared" si="72"/>
        <v>0</v>
      </c>
      <c r="E1095" s="7" t="s">
        <v>12557</v>
      </c>
      <c r="F1095" s="7">
        <f t="shared" si="73"/>
        <v>3</v>
      </c>
      <c r="G1095" s="7" t="s">
        <v>12558</v>
      </c>
      <c r="H1095" s="7">
        <f t="shared" si="74"/>
        <v>0</v>
      </c>
      <c r="I1095" s="7" t="str" cm="1">
        <f t="array" ref="I1095">IFERROR(_xlfn.IFS(M1095="נח",1,M1095="נע ונח",1,M1095="שני שווא נח",2,M1095="שני שוואים בסוף מילה",2,M1095="שני שוואים ברצף",1),"0")</f>
        <v>0</v>
      </c>
      <c r="J1095" s="9">
        <f t="shared" si="75"/>
        <v>3</v>
      </c>
      <c r="K1095" t="s">
        <v>6697</v>
      </c>
      <c r="L1095" t="s">
        <v>6695</v>
      </c>
      <c r="O1095" t="s">
        <v>6694</v>
      </c>
      <c r="P1095" t="s">
        <v>6694</v>
      </c>
      <c r="S1095" t="s">
        <v>6694</v>
      </c>
      <c r="W1095" t="s">
        <v>6720</v>
      </c>
    </row>
    <row r="1096" spans="1:23" ht="15.6" x14ac:dyDescent="0.4">
      <c r="A1096" s="2" t="s">
        <v>1530</v>
      </c>
      <c r="B1096" s="5" t="s">
        <v>7667</v>
      </c>
      <c r="C1096" s="7" t="s">
        <v>12556</v>
      </c>
      <c r="D1096" s="8">
        <f t="shared" si="72"/>
        <v>0</v>
      </c>
      <c r="E1096" s="7" t="s">
        <v>12557</v>
      </c>
      <c r="F1096" s="7">
        <f t="shared" si="73"/>
        <v>2</v>
      </c>
      <c r="G1096" s="7" t="s">
        <v>12558</v>
      </c>
      <c r="H1096" s="7">
        <f t="shared" si="74"/>
        <v>0</v>
      </c>
      <c r="I1096" s="7" t="str" cm="1">
        <f t="array" ref="I1096">IFERROR(_xlfn.IFS(M1096="נח",1,M1096="נע ונח",1,M1096="שני שווא נח",2,M1096="שני שוואים בסוף מילה",2,M1096="שני שוואים ברצף",1),"0")</f>
        <v>0</v>
      </c>
      <c r="J1096" s="9">
        <f t="shared" si="75"/>
        <v>2</v>
      </c>
      <c r="K1096" t="s">
        <v>6698</v>
      </c>
      <c r="L1096" t="s">
        <v>6695</v>
      </c>
      <c r="P1096" t="s">
        <v>6694</v>
      </c>
      <c r="W1096" t="s">
        <v>6720</v>
      </c>
    </row>
    <row r="1097" spans="1:23" ht="15.6" x14ac:dyDescent="0.4">
      <c r="A1097" s="2" t="s">
        <v>591</v>
      </c>
      <c r="B1097" s="5" t="s">
        <v>7667</v>
      </c>
      <c r="C1097" s="7" t="s">
        <v>12556</v>
      </c>
      <c r="D1097" s="8">
        <f t="shared" si="72"/>
        <v>0</v>
      </c>
      <c r="E1097" s="7" t="s">
        <v>12557</v>
      </c>
      <c r="F1097" s="7">
        <f t="shared" si="73"/>
        <v>2</v>
      </c>
      <c r="G1097" s="7" t="s">
        <v>12558</v>
      </c>
      <c r="H1097" s="7">
        <f t="shared" si="74"/>
        <v>0</v>
      </c>
      <c r="I1097" s="7" t="str" cm="1">
        <f t="array" ref="I1097">IFERROR(_xlfn.IFS(M1097="נח",1,M1097="נע ונח",1,M1097="שני שווא נח",2,M1097="שני שוואים בסוף מילה",2,M1097="שני שוואים ברצף",1),"0")</f>
        <v>0</v>
      </c>
      <c r="J1097" s="9">
        <f t="shared" si="75"/>
        <v>2</v>
      </c>
      <c r="K1097" t="s">
        <v>6698</v>
      </c>
      <c r="L1097" t="s">
        <v>6695</v>
      </c>
      <c r="N1097" t="s">
        <v>6706</v>
      </c>
      <c r="O1097" t="s">
        <v>6694</v>
      </c>
      <c r="P1097" t="s">
        <v>6694</v>
      </c>
      <c r="W1097" t="s">
        <v>6720</v>
      </c>
    </row>
    <row r="1098" spans="1:23" ht="15.6" x14ac:dyDescent="0.4">
      <c r="A1098" s="2" t="s">
        <v>4852</v>
      </c>
      <c r="B1098" s="5" t="s">
        <v>7174</v>
      </c>
      <c r="C1098" s="7" t="s">
        <v>12556</v>
      </c>
      <c r="D1098" s="8">
        <f t="shared" si="72"/>
        <v>0</v>
      </c>
      <c r="E1098" s="7" t="s">
        <v>12557</v>
      </c>
      <c r="F1098" s="7">
        <f t="shared" si="73"/>
        <v>2</v>
      </c>
      <c r="G1098" s="7" t="s">
        <v>12558</v>
      </c>
      <c r="H1098" s="7">
        <f t="shared" si="74"/>
        <v>0</v>
      </c>
      <c r="I1098" s="7" t="str" cm="1">
        <f t="array" ref="I1098">IFERROR(_xlfn.IFS(M1098="נח",1,M1098="נע ונח",1,M1098="שני שווא נח",2,M1098="שני שוואים בסוף מילה",2,M1098="שני שוואים ברצף",1),"0")</f>
        <v>0</v>
      </c>
      <c r="J1098" s="9">
        <f t="shared" si="75"/>
        <v>3</v>
      </c>
      <c r="K1098" t="s">
        <v>6697</v>
      </c>
      <c r="L1098" t="s">
        <v>6695</v>
      </c>
      <c r="O1098" t="s">
        <v>6694</v>
      </c>
      <c r="P1098" t="s">
        <v>6694</v>
      </c>
      <c r="W1098" t="s">
        <v>6720</v>
      </c>
    </row>
    <row r="1099" spans="1:23" ht="15.6" x14ac:dyDescent="0.4">
      <c r="A1099" s="2" t="s">
        <v>1615</v>
      </c>
      <c r="B1099" s="5" t="s">
        <v>7575</v>
      </c>
      <c r="C1099" s="7" t="s">
        <v>12556</v>
      </c>
      <c r="D1099" s="8">
        <f t="shared" si="72"/>
        <v>1</v>
      </c>
      <c r="E1099" s="7" t="s">
        <v>12557</v>
      </c>
      <c r="F1099" s="7">
        <f t="shared" si="73"/>
        <v>3</v>
      </c>
      <c r="G1099" s="7" t="s">
        <v>12558</v>
      </c>
      <c r="H1099" s="7">
        <f t="shared" si="74"/>
        <v>1</v>
      </c>
      <c r="I1099" s="7" cm="1">
        <f t="array" ref="I1099">IFERROR(_xlfn.IFS(M1099="נח",1,M1099="נע ונח",1,M1099="שני שווא נח",2,M1099="שני שוואים בסוף מילה",2,M1099="שני שוואים ברצף",1),"0")</f>
        <v>1</v>
      </c>
      <c r="J1099" s="9">
        <f t="shared" si="75"/>
        <v>2</v>
      </c>
      <c r="K1099" t="s">
        <v>6697</v>
      </c>
      <c r="L1099" t="s">
        <v>6694</v>
      </c>
      <c r="M1099" t="s">
        <v>6705</v>
      </c>
      <c r="P1099" t="s">
        <v>6694</v>
      </c>
      <c r="U1099" t="s">
        <v>6694</v>
      </c>
      <c r="W1099" t="s">
        <v>6720</v>
      </c>
    </row>
    <row r="1100" spans="1:23" ht="15.6" x14ac:dyDescent="0.4">
      <c r="A1100" s="2" t="s">
        <v>2773</v>
      </c>
      <c r="B1100" s="5" t="s">
        <v>7668</v>
      </c>
      <c r="C1100" s="7" t="s">
        <v>12556</v>
      </c>
      <c r="D1100" s="8">
        <f t="shared" si="72"/>
        <v>1</v>
      </c>
      <c r="E1100" s="7" t="s">
        <v>12557</v>
      </c>
      <c r="F1100" s="7">
        <f t="shared" si="73"/>
        <v>2</v>
      </c>
      <c r="G1100" s="7" t="s">
        <v>12558</v>
      </c>
      <c r="H1100" s="7">
        <f t="shared" si="74"/>
        <v>0</v>
      </c>
      <c r="I1100" s="7" t="str" cm="1">
        <f t="array" ref="I1100">IFERROR(_xlfn.IFS(M1100="נח",1,M1100="נע ונח",1,M1100="שני שווא נח",2,M1100="שני שוואים בסוף מילה",2,M1100="שני שוואים ברצף",1),"0")</f>
        <v>0</v>
      </c>
      <c r="J1100" s="9">
        <f t="shared" si="75"/>
        <v>2</v>
      </c>
      <c r="K1100" t="s">
        <v>6698</v>
      </c>
      <c r="L1100" t="s">
        <v>6695</v>
      </c>
      <c r="P1100" t="s">
        <v>6694</v>
      </c>
      <c r="Q1100" t="s">
        <v>6694</v>
      </c>
      <c r="W1100" t="s">
        <v>6720</v>
      </c>
    </row>
    <row r="1101" spans="1:23" ht="15.6" x14ac:dyDescent="0.4">
      <c r="A1101" s="2" t="s">
        <v>5534</v>
      </c>
      <c r="B1101" s="5" t="s">
        <v>7669</v>
      </c>
      <c r="C1101" s="7" t="s">
        <v>12556</v>
      </c>
      <c r="D1101" s="8">
        <f t="shared" si="72"/>
        <v>0</v>
      </c>
      <c r="E1101" s="7" t="s">
        <v>12557</v>
      </c>
      <c r="F1101" s="7">
        <f t="shared" si="73"/>
        <v>2</v>
      </c>
      <c r="G1101" s="7" t="s">
        <v>12558</v>
      </c>
      <c r="H1101" s="7">
        <f t="shared" si="74"/>
        <v>0</v>
      </c>
      <c r="I1101" s="7" t="str" cm="1">
        <f t="array" ref="I1101">IFERROR(_xlfn.IFS(M1101="נח",1,M1101="נע ונח",1,M1101="שני שווא נח",2,M1101="שני שוואים בסוף מילה",2,M1101="שני שוואים ברצף",1),"0")</f>
        <v>0</v>
      </c>
      <c r="J1101" s="9">
        <f t="shared" si="75"/>
        <v>3</v>
      </c>
      <c r="K1101" t="s">
        <v>6698</v>
      </c>
      <c r="L1101" t="s">
        <v>6695</v>
      </c>
      <c r="O1101" t="s">
        <v>6694</v>
      </c>
      <c r="P1101" t="s">
        <v>6694</v>
      </c>
      <c r="S1101" t="s">
        <v>6694</v>
      </c>
      <c r="W1101" t="s">
        <v>6720</v>
      </c>
    </row>
    <row r="1102" spans="1:23" ht="15.6" x14ac:dyDescent="0.4">
      <c r="A1102" s="2" t="s">
        <v>4756</v>
      </c>
      <c r="B1102" s="5" t="s">
        <v>7244</v>
      </c>
      <c r="C1102" s="7" t="s">
        <v>12556</v>
      </c>
      <c r="D1102" s="8">
        <f t="shared" si="72"/>
        <v>1</v>
      </c>
      <c r="E1102" s="7" t="s">
        <v>12557</v>
      </c>
      <c r="F1102" s="7">
        <f t="shared" si="73"/>
        <v>2</v>
      </c>
      <c r="G1102" s="7" t="s">
        <v>12558</v>
      </c>
      <c r="H1102" s="7">
        <f t="shared" si="74"/>
        <v>0</v>
      </c>
      <c r="I1102" s="7" t="str" cm="1">
        <f t="array" ref="I1102">IFERROR(_xlfn.IFS(M1102="נח",1,M1102="נע ונח",1,M1102="שני שווא נח",2,M1102="שני שוואים בסוף מילה",2,M1102="שני שוואים ברצף",1),"0")</f>
        <v>0</v>
      </c>
      <c r="J1102" s="9">
        <f t="shared" si="75"/>
        <v>3</v>
      </c>
      <c r="K1102" t="s">
        <v>6698</v>
      </c>
      <c r="L1102" t="s">
        <v>6695</v>
      </c>
      <c r="P1102" t="s">
        <v>6694</v>
      </c>
      <c r="R1102" t="s">
        <v>6694</v>
      </c>
      <c r="V1102" t="s">
        <v>6694</v>
      </c>
      <c r="W1102" t="s">
        <v>6720</v>
      </c>
    </row>
    <row r="1103" spans="1:23" ht="15.6" x14ac:dyDescent="0.4">
      <c r="A1103" s="2" t="s">
        <v>3120</v>
      </c>
      <c r="B1103" s="5" t="s">
        <v>7245</v>
      </c>
      <c r="C1103" s="7" t="s">
        <v>12556</v>
      </c>
      <c r="D1103" s="8">
        <f t="shared" si="72"/>
        <v>0</v>
      </c>
      <c r="E1103" s="7" t="s">
        <v>12557</v>
      </c>
      <c r="F1103" s="7">
        <f t="shared" si="73"/>
        <v>1</v>
      </c>
      <c r="G1103" s="7" t="s">
        <v>12558</v>
      </c>
      <c r="H1103" s="7">
        <f t="shared" si="74"/>
        <v>0</v>
      </c>
      <c r="I1103" s="7" t="str" cm="1">
        <f t="array" ref="I1103">IFERROR(_xlfn.IFS(M1103="נח",1,M1103="נע ונח",1,M1103="שני שווא נח",2,M1103="שני שוואים בסוף מילה",2,M1103="שני שוואים ברצף",1),"0")</f>
        <v>0</v>
      </c>
      <c r="J1103" s="9">
        <f t="shared" si="75"/>
        <v>1</v>
      </c>
      <c r="K1103" t="s">
        <v>6698</v>
      </c>
      <c r="L1103" t="s">
        <v>6695</v>
      </c>
      <c r="P1103" t="s">
        <v>6694</v>
      </c>
      <c r="W1103" t="s">
        <v>6720</v>
      </c>
    </row>
    <row r="1104" spans="1:23" ht="15.6" x14ac:dyDescent="0.4">
      <c r="A1104" s="2" t="s">
        <v>1656</v>
      </c>
      <c r="B1104" s="5" t="s">
        <v>7246</v>
      </c>
      <c r="C1104" s="7" t="s">
        <v>12556</v>
      </c>
      <c r="D1104" s="8">
        <f t="shared" si="72"/>
        <v>0</v>
      </c>
      <c r="E1104" s="7" t="s">
        <v>12557</v>
      </c>
      <c r="F1104" s="7">
        <f t="shared" si="73"/>
        <v>1</v>
      </c>
      <c r="G1104" s="7" t="s">
        <v>12558</v>
      </c>
      <c r="H1104" s="7">
        <f t="shared" si="74"/>
        <v>0</v>
      </c>
      <c r="I1104" s="7" cm="1">
        <f t="array" ref="I1104">IFERROR(_xlfn.IFS(M1104="נח",1,M1104="נע ונח",1,M1104="שני שווא נח",2,M1104="שני שוואים בסוף מילה",2,M1104="שני שוואים ברצף",1),"0")</f>
        <v>1</v>
      </c>
      <c r="J1104" s="9">
        <f t="shared" si="75"/>
        <v>2</v>
      </c>
      <c r="K1104" t="s">
        <v>6698</v>
      </c>
      <c r="L1104" t="s">
        <v>6694</v>
      </c>
      <c r="M1104" t="s">
        <v>6705</v>
      </c>
      <c r="P1104" t="s">
        <v>6694</v>
      </c>
      <c r="R1104" t="s">
        <v>6694</v>
      </c>
      <c r="W1104" t="s">
        <v>6720</v>
      </c>
    </row>
    <row r="1105" spans="1:23" ht="15.6" x14ac:dyDescent="0.4">
      <c r="A1105" s="2" t="s">
        <v>1225</v>
      </c>
      <c r="B1105" s="5" t="s">
        <v>7249</v>
      </c>
      <c r="C1105" s="7" t="s">
        <v>12556</v>
      </c>
      <c r="D1105" s="8">
        <f t="shared" si="72"/>
        <v>1</v>
      </c>
      <c r="E1105" s="7" t="s">
        <v>12557</v>
      </c>
      <c r="F1105" s="7">
        <f t="shared" si="73"/>
        <v>2</v>
      </c>
      <c r="G1105" s="7" t="s">
        <v>12558</v>
      </c>
      <c r="H1105" s="7">
        <f t="shared" si="74"/>
        <v>0</v>
      </c>
      <c r="I1105" s="7" t="str" cm="1">
        <f t="array" ref="I1105">IFERROR(_xlfn.IFS(M1105="נח",1,M1105="נע ונח",1,M1105="שני שווא נח",2,M1105="שני שוואים בסוף מילה",2,M1105="שני שוואים ברצף",1),"0")</f>
        <v>0</v>
      </c>
      <c r="J1105" s="9">
        <f t="shared" si="75"/>
        <v>4</v>
      </c>
      <c r="K1105" t="s">
        <v>6698</v>
      </c>
      <c r="L1105" t="s">
        <v>6695</v>
      </c>
      <c r="O1105" t="s">
        <v>6694</v>
      </c>
      <c r="P1105" t="s">
        <v>6694</v>
      </c>
      <c r="S1105" t="s">
        <v>6694</v>
      </c>
      <c r="W1105" t="s">
        <v>6720</v>
      </c>
    </row>
    <row r="1106" spans="1:23" ht="15.6" x14ac:dyDescent="0.4">
      <c r="A1106" s="2" t="s">
        <v>5773</v>
      </c>
      <c r="B1106" s="5" t="s">
        <v>7249</v>
      </c>
      <c r="C1106" s="7" t="s">
        <v>12556</v>
      </c>
      <c r="D1106" s="8">
        <f t="shared" si="72"/>
        <v>1</v>
      </c>
      <c r="E1106" s="7" t="s">
        <v>12557</v>
      </c>
      <c r="F1106" s="7">
        <f t="shared" si="73"/>
        <v>2</v>
      </c>
      <c r="G1106" s="7" t="s">
        <v>12558</v>
      </c>
      <c r="H1106" s="7">
        <f t="shared" si="74"/>
        <v>0</v>
      </c>
      <c r="I1106" s="7" t="str" cm="1">
        <f t="array" ref="I1106">IFERROR(_xlfn.IFS(M1106="נח",1,M1106="נע ונח",1,M1106="שני שווא נח",2,M1106="שני שוואים בסוף מילה",2,M1106="שני שוואים ברצף",1),"0")</f>
        <v>0</v>
      </c>
      <c r="J1106" s="9">
        <f t="shared" si="75"/>
        <v>4</v>
      </c>
      <c r="K1106" t="s">
        <v>6698</v>
      </c>
      <c r="L1106" t="s">
        <v>6695</v>
      </c>
      <c r="N1106" t="s">
        <v>6706</v>
      </c>
      <c r="O1106" t="s">
        <v>6694</v>
      </c>
      <c r="P1106" t="s">
        <v>6694</v>
      </c>
      <c r="S1106" t="s">
        <v>6694</v>
      </c>
      <c r="W1106" t="s">
        <v>6720</v>
      </c>
    </row>
    <row r="1107" spans="1:23" ht="15.6" x14ac:dyDescent="0.4">
      <c r="A1107" s="2" t="s">
        <v>3875</v>
      </c>
      <c r="B1107" s="5" t="s">
        <v>7250</v>
      </c>
      <c r="C1107" s="7" t="s">
        <v>12556</v>
      </c>
      <c r="D1107" s="8">
        <f t="shared" si="72"/>
        <v>0</v>
      </c>
      <c r="E1107" s="7" t="s">
        <v>12557</v>
      </c>
      <c r="F1107" s="7">
        <f t="shared" si="73"/>
        <v>1</v>
      </c>
      <c r="G1107" s="7" t="s">
        <v>12558</v>
      </c>
      <c r="H1107" s="7">
        <f t="shared" si="74"/>
        <v>0</v>
      </c>
      <c r="I1107" s="7" t="str" cm="1">
        <f t="array" ref="I1107">IFERROR(_xlfn.IFS(M1107="נח",1,M1107="נע ונח",1,M1107="שני שווא נח",2,M1107="שני שוואים בסוף מילה",2,M1107="שני שוואים ברצף",1),"0")</f>
        <v>0</v>
      </c>
      <c r="J1107" s="9">
        <f t="shared" si="75"/>
        <v>1</v>
      </c>
      <c r="K1107" t="s">
        <v>6698</v>
      </c>
      <c r="L1107" t="s">
        <v>6695</v>
      </c>
      <c r="P1107" t="s">
        <v>6694</v>
      </c>
      <c r="W1107" t="s">
        <v>6720</v>
      </c>
    </row>
    <row r="1108" spans="1:23" ht="15.6" x14ac:dyDescent="0.4">
      <c r="A1108" s="2" t="s">
        <v>1050</v>
      </c>
      <c r="B1108" s="5" t="s">
        <v>7670</v>
      </c>
      <c r="C1108" s="7" t="s">
        <v>12556</v>
      </c>
      <c r="D1108" s="8">
        <f t="shared" si="72"/>
        <v>0</v>
      </c>
      <c r="E1108" s="7" t="s">
        <v>12557</v>
      </c>
      <c r="F1108" s="7">
        <f t="shared" si="73"/>
        <v>2</v>
      </c>
      <c r="G1108" s="7" t="s">
        <v>12558</v>
      </c>
      <c r="H1108" s="7">
        <f t="shared" si="74"/>
        <v>0</v>
      </c>
      <c r="I1108" s="7" cm="1">
        <f t="array" ref="I1108">IFERROR(_xlfn.IFS(M1108="נח",1,M1108="נע ונח",1,M1108="שני שווא נח",2,M1108="שני שוואים בסוף מילה",2,M1108="שני שוואים ברצף",1),"0")</f>
        <v>1</v>
      </c>
      <c r="J1108" s="9">
        <f t="shared" si="75"/>
        <v>3</v>
      </c>
      <c r="K1108" t="s">
        <v>6698</v>
      </c>
      <c r="L1108" t="s">
        <v>6694</v>
      </c>
      <c r="M1108" t="s">
        <v>6705</v>
      </c>
      <c r="P1108" t="s">
        <v>6694</v>
      </c>
      <c r="V1108" t="s">
        <v>6694</v>
      </c>
      <c r="W1108" t="s">
        <v>6720</v>
      </c>
    </row>
    <row r="1109" spans="1:23" ht="15.6" x14ac:dyDescent="0.4">
      <c r="A1109" s="2" t="s">
        <v>2163</v>
      </c>
      <c r="B1109" s="5" t="s">
        <v>7251</v>
      </c>
      <c r="C1109" s="7" t="s">
        <v>12556</v>
      </c>
      <c r="D1109" s="8">
        <f t="shared" si="72"/>
        <v>0</v>
      </c>
      <c r="E1109" s="7" t="s">
        <v>12557</v>
      </c>
      <c r="F1109" s="7">
        <f t="shared" si="73"/>
        <v>1</v>
      </c>
      <c r="G1109" s="7" t="s">
        <v>12558</v>
      </c>
      <c r="H1109" s="7">
        <f t="shared" si="74"/>
        <v>0</v>
      </c>
      <c r="I1109" s="7" t="str" cm="1">
        <f t="array" ref="I1109">IFERROR(_xlfn.IFS(M1109="נח",1,M1109="נע ונח",1,M1109="שני שווא נח",2,M1109="שני שוואים בסוף מילה",2,M1109="שני שוואים ברצף",1),"0")</f>
        <v>0</v>
      </c>
      <c r="J1109" s="9">
        <f t="shared" si="75"/>
        <v>1</v>
      </c>
      <c r="K1109" t="s">
        <v>6697</v>
      </c>
      <c r="L1109" t="s">
        <v>6695</v>
      </c>
      <c r="O1109" t="s">
        <v>6694</v>
      </c>
      <c r="W1109" t="s">
        <v>6720</v>
      </c>
    </row>
    <row r="1110" spans="1:23" ht="15.6" x14ac:dyDescent="0.4">
      <c r="A1110" s="2" t="s">
        <v>2213</v>
      </c>
      <c r="B1110" s="5" t="s">
        <v>7671</v>
      </c>
      <c r="C1110" s="7" t="s">
        <v>12556</v>
      </c>
      <c r="D1110" s="8">
        <f t="shared" si="72"/>
        <v>0</v>
      </c>
      <c r="E1110" s="7" t="s">
        <v>12557</v>
      </c>
      <c r="F1110" s="7">
        <f t="shared" si="73"/>
        <v>1</v>
      </c>
      <c r="G1110" s="7" t="s">
        <v>12558</v>
      </c>
      <c r="H1110" s="7">
        <f t="shared" si="74"/>
        <v>0</v>
      </c>
      <c r="I1110" s="7" t="str" cm="1">
        <f t="array" ref="I1110">IFERROR(_xlfn.IFS(M1110="נח",1,M1110="נע ונח",1,M1110="שני שווא נח",2,M1110="שני שוואים בסוף מילה",2,M1110="שני שוואים ברצף",1),"0")</f>
        <v>0</v>
      </c>
      <c r="J1110" s="9">
        <f t="shared" si="75"/>
        <v>4</v>
      </c>
      <c r="K1110" t="s">
        <v>6698</v>
      </c>
      <c r="L1110" t="s">
        <v>6695</v>
      </c>
      <c r="O1110" t="s">
        <v>6694</v>
      </c>
      <c r="R1110" t="s">
        <v>6694</v>
      </c>
      <c r="S1110" t="s">
        <v>6694</v>
      </c>
      <c r="W1110" t="s">
        <v>6720</v>
      </c>
    </row>
    <row r="1111" spans="1:23" ht="15.6" x14ac:dyDescent="0.4">
      <c r="A1111" s="2" t="s">
        <v>6078</v>
      </c>
      <c r="B1111" s="5" t="s">
        <v>7287</v>
      </c>
      <c r="C1111" s="7" t="s">
        <v>12556</v>
      </c>
      <c r="D1111" s="8">
        <f t="shared" si="72"/>
        <v>0</v>
      </c>
      <c r="E1111" s="7" t="s">
        <v>12557</v>
      </c>
      <c r="F1111" s="7">
        <f t="shared" si="73"/>
        <v>1</v>
      </c>
      <c r="G1111" s="7" t="s">
        <v>12558</v>
      </c>
      <c r="H1111" s="7">
        <f t="shared" si="74"/>
        <v>0</v>
      </c>
      <c r="I1111" s="7" t="str" cm="1">
        <f t="array" ref="I1111">IFERROR(_xlfn.IFS(M1111="נח",1,M1111="נע ונח",1,M1111="שני שווא נח",2,M1111="שני שוואים בסוף מילה",2,M1111="שני שוואים ברצף",1),"0")</f>
        <v>0</v>
      </c>
      <c r="J1111" s="9">
        <f t="shared" si="75"/>
        <v>4</v>
      </c>
      <c r="K1111" t="s">
        <v>6698</v>
      </c>
      <c r="L1111" t="s">
        <v>6695</v>
      </c>
      <c r="O1111" t="s">
        <v>6694</v>
      </c>
      <c r="P1111" t="s">
        <v>6694</v>
      </c>
      <c r="V1111" t="s">
        <v>6694</v>
      </c>
      <c r="W1111" t="s">
        <v>6720</v>
      </c>
    </row>
    <row r="1112" spans="1:23" ht="15.6" x14ac:dyDescent="0.4">
      <c r="A1112" s="2" t="s">
        <v>1574</v>
      </c>
      <c r="B1112" s="5" t="s">
        <v>7672</v>
      </c>
      <c r="C1112" s="7" t="s">
        <v>12556</v>
      </c>
      <c r="D1112" s="8">
        <f t="shared" si="72"/>
        <v>0</v>
      </c>
      <c r="E1112" s="7" t="s">
        <v>12557</v>
      </c>
      <c r="F1112" s="7">
        <f t="shared" si="73"/>
        <v>2</v>
      </c>
      <c r="G1112" s="7" t="s">
        <v>12558</v>
      </c>
      <c r="H1112" s="7">
        <f t="shared" si="74"/>
        <v>0</v>
      </c>
      <c r="I1112" s="7" t="str" cm="1">
        <f t="array" ref="I1112">IFERROR(_xlfn.IFS(M1112="נח",1,M1112="נע ונח",1,M1112="שני שווא נח",2,M1112="שני שוואים בסוף מילה",2,M1112="שני שוואים ברצף",1),"0")</f>
        <v>0</v>
      </c>
      <c r="J1112" s="9">
        <f t="shared" si="75"/>
        <v>4</v>
      </c>
      <c r="K1112" t="s">
        <v>6698</v>
      </c>
      <c r="L1112" t="s">
        <v>6695</v>
      </c>
      <c r="O1112" t="s">
        <v>6694</v>
      </c>
      <c r="S1112" t="s">
        <v>6694</v>
      </c>
      <c r="V1112" t="s">
        <v>6694</v>
      </c>
      <c r="W1112" t="s">
        <v>6720</v>
      </c>
    </row>
    <row r="1113" spans="1:23" ht="15.6" x14ac:dyDescent="0.4">
      <c r="A1113" s="2" t="s">
        <v>5120</v>
      </c>
      <c r="B1113" s="5" t="s">
        <v>7252</v>
      </c>
      <c r="C1113" s="7" t="s">
        <v>12556</v>
      </c>
      <c r="D1113" s="8">
        <f t="shared" si="72"/>
        <v>1</v>
      </c>
      <c r="E1113" s="7" t="s">
        <v>12557</v>
      </c>
      <c r="F1113" s="7">
        <f t="shared" si="73"/>
        <v>1</v>
      </c>
      <c r="G1113" s="7" t="s">
        <v>12558</v>
      </c>
      <c r="H1113" s="7">
        <f t="shared" si="74"/>
        <v>0</v>
      </c>
      <c r="I1113" s="7" t="str" cm="1">
        <f t="array" ref="I1113">IFERROR(_xlfn.IFS(M1113="נח",1,M1113="נע ונח",1,M1113="שני שווא נח",2,M1113="שני שוואים בסוף מילה",2,M1113="שני שוואים ברצף",1),"0")</f>
        <v>0</v>
      </c>
      <c r="J1113" s="9">
        <f t="shared" si="75"/>
        <v>2</v>
      </c>
      <c r="K1113" t="s">
        <v>6698</v>
      </c>
      <c r="L1113" t="s">
        <v>6695</v>
      </c>
      <c r="O1113" t="s">
        <v>6694</v>
      </c>
      <c r="Q1113" t="s">
        <v>6694</v>
      </c>
      <c r="W1113" t="s">
        <v>6720</v>
      </c>
    </row>
    <row r="1114" spans="1:23" ht="15.6" x14ac:dyDescent="0.4">
      <c r="A1114" s="2" t="s">
        <v>2339</v>
      </c>
      <c r="B1114" s="5" t="s">
        <v>7673</v>
      </c>
      <c r="C1114" s="7" t="s">
        <v>12556</v>
      </c>
      <c r="D1114" s="8">
        <f t="shared" si="72"/>
        <v>0</v>
      </c>
      <c r="E1114" s="7" t="s">
        <v>12557</v>
      </c>
      <c r="F1114" s="7">
        <f t="shared" si="73"/>
        <v>1</v>
      </c>
      <c r="G1114" s="7" t="s">
        <v>12558</v>
      </c>
      <c r="H1114" s="7">
        <f t="shared" si="74"/>
        <v>0</v>
      </c>
      <c r="I1114" s="7" t="str" cm="1">
        <f t="array" ref="I1114">IFERROR(_xlfn.IFS(M1114="נח",1,M1114="נע ונח",1,M1114="שני שווא נח",2,M1114="שני שוואים בסוף מילה",2,M1114="שני שוואים ברצף",1),"0")</f>
        <v>0</v>
      </c>
      <c r="J1114" s="9">
        <f t="shared" si="75"/>
        <v>3</v>
      </c>
      <c r="K1114" t="s">
        <v>6698</v>
      </c>
      <c r="L1114" t="s">
        <v>6695</v>
      </c>
      <c r="O1114" t="s">
        <v>6694</v>
      </c>
      <c r="R1114" t="s">
        <v>6694</v>
      </c>
      <c r="W1114" t="s">
        <v>6720</v>
      </c>
    </row>
    <row r="1115" spans="1:23" ht="15.6" x14ac:dyDescent="0.4">
      <c r="A1115" s="2" t="s">
        <v>3651</v>
      </c>
      <c r="B1115" s="5" t="s">
        <v>7674</v>
      </c>
      <c r="C1115" s="7" t="s">
        <v>12556</v>
      </c>
      <c r="D1115" s="8">
        <f t="shared" si="72"/>
        <v>0</v>
      </c>
      <c r="E1115" s="7" t="s">
        <v>12557</v>
      </c>
      <c r="F1115" s="7">
        <f t="shared" si="73"/>
        <v>2</v>
      </c>
      <c r="G1115" s="7" t="s">
        <v>12558</v>
      </c>
      <c r="H1115" s="7">
        <f t="shared" si="74"/>
        <v>1</v>
      </c>
      <c r="I1115" s="7" cm="1">
        <f t="array" ref="I1115">IFERROR(_xlfn.IFS(M1115="נח",1,M1115="נע ונח",1,M1115="שני שווא נח",2,M1115="שני שוואים בסוף מילה",2,M1115="שני שוואים ברצף",1),"0")</f>
        <v>1</v>
      </c>
      <c r="J1115" s="9">
        <f t="shared" si="75"/>
        <v>3</v>
      </c>
      <c r="K1115" t="s">
        <v>6697</v>
      </c>
      <c r="L1115" t="s">
        <v>6694</v>
      </c>
      <c r="M1115" t="s">
        <v>6705</v>
      </c>
      <c r="O1115" t="s">
        <v>6694</v>
      </c>
      <c r="P1115" t="s">
        <v>6694</v>
      </c>
      <c r="U1115" t="s">
        <v>6694</v>
      </c>
      <c r="W1115" t="s">
        <v>6720</v>
      </c>
    </row>
    <row r="1116" spans="1:23" ht="15.6" x14ac:dyDescent="0.4">
      <c r="A1116" s="2" t="s">
        <v>4540</v>
      </c>
      <c r="B1116" s="5" t="s">
        <v>7675</v>
      </c>
      <c r="C1116" s="7" t="s">
        <v>12556</v>
      </c>
      <c r="D1116" s="8">
        <f t="shared" si="72"/>
        <v>0</v>
      </c>
      <c r="E1116" s="7" t="s">
        <v>12557</v>
      </c>
      <c r="F1116" s="7">
        <f t="shared" si="73"/>
        <v>1</v>
      </c>
      <c r="G1116" s="7" t="s">
        <v>12558</v>
      </c>
      <c r="H1116" s="7">
        <f t="shared" si="74"/>
        <v>0</v>
      </c>
      <c r="I1116" s="7" t="str" cm="1">
        <f t="array" ref="I1116">IFERROR(_xlfn.IFS(M1116="נח",1,M1116="נע ונח",1,M1116="שני שווא נח",2,M1116="שני שוואים בסוף מילה",2,M1116="שני שוואים ברצף",1),"0")</f>
        <v>0</v>
      </c>
      <c r="J1116" s="9">
        <f t="shared" si="75"/>
        <v>3</v>
      </c>
      <c r="K1116" t="s">
        <v>6698</v>
      </c>
      <c r="L1116" t="s">
        <v>6695</v>
      </c>
      <c r="N1116" t="s">
        <v>6706</v>
      </c>
      <c r="O1116" t="s">
        <v>6694</v>
      </c>
      <c r="W1116" t="s">
        <v>6720</v>
      </c>
    </row>
    <row r="1117" spans="1:23" ht="15.6" x14ac:dyDescent="0.4">
      <c r="A1117" s="2" t="s">
        <v>1657</v>
      </c>
      <c r="B1117" s="5" t="s">
        <v>7676</v>
      </c>
      <c r="C1117" s="7" t="s">
        <v>12556</v>
      </c>
      <c r="D1117" s="8">
        <f t="shared" si="72"/>
        <v>0</v>
      </c>
      <c r="E1117" s="7" t="s">
        <v>12557</v>
      </c>
      <c r="F1117" s="7">
        <f t="shared" si="73"/>
        <v>1</v>
      </c>
      <c r="G1117" s="7" t="s">
        <v>12558</v>
      </c>
      <c r="H1117" s="7">
        <f t="shared" si="74"/>
        <v>0</v>
      </c>
      <c r="I1117" s="7" t="str" cm="1">
        <f t="array" ref="I1117">IFERROR(_xlfn.IFS(M1117="נח",1,M1117="נע ונח",1,M1117="שני שווא נח",2,M1117="שני שוואים בסוף מילה",2,M1117="שני שוואים ברצף",1),"0")</f>
        <v>0</v>
      </c>
      <c r="J1117" s="9">
        <f t="shared" si="75"/>
        <v>2</v>
      </c>
      <c r="K1117" t="s">
        <v>6697</v>
      </c>
      <c r="L1117" t="s">
        <v>6695</v>
      </c>
      <c r="O1117" t="s">
        <v>6694</v>
      </c>
      <c r="W1117" t="s">
        <v>6720</v>
      </c>
    </row>
    <row r="1118" spans="1:23" ht="15.6" x14ac:dyDescent="0.4">
      <c r="A1118" s="2" t="s">
        <v>1184</v>
      </c>
      <c r="B1118" s="5" t="s">
        <v>7253</v>
      </c>
      <c r="C1118" s="7" t="s">
        <v>12556</v>
      </c>
      <c r="D1118" s="8">
        <f t="shared" si="72"/>
        <v>0</v>
      </c>
      <c r="E1118" s="7" t="s">
        <v>12557</v>
      </c>
      <c r="F1118" s="7">
        <f t="shared" si="73"/>
        <v>1</v>
      </c>
      <c r="G1118" s="7" t="s">
        <v>12558</v>
      </c>
      <c r="H1118" s="7">
        <f t="shared" si="74"/>
        <v>0</v>
      </c>
      <c r="I1118" s="7" t="str" cm="1">
        <f t="array" ref="I1118">IFERROR(_xlfn.IFS(M1118="נח",1,M1118="נע ונח",1,M1118="שני שווא נח",2,M1118="שני שוואים בסוף מילה",2,M1118="שני שוואים ברצף",1),"0")</f>
        <v>0</v>
      </c>
      <c r="J1118" s="9">
        <f t="shared" si="75"/>
        <v>3</v>
      </c>
      <c r="K1118" t="s">
        <v>6698</v>
      </c>
      <c r="L1118" t="s">
        <v>6695</v>
      </c>
      <c r="O1118" t="s">
        <v>6694</v>
      </c>
      <c r="R1118" t="s">
        <v>6694</v>
      </c>
      <c r="W1118" t="s">
        <v>6720</v>
      </c>
    </row>
    <row r="1119" spans="1:23" ht="15.6" x14ac:dyDescent="0.4">
      <c r="A1119" s="2" t="s">
        <v>2318</v>
      </c>
      <c r="B1119" s="5" t="s">
        <v>7677</v>
      </c>
      <c r="C1119" s="7" t="s">
        <v>12556</v>
      </c>
      <c r="D1119" s="8">
        <f t="shared" si="72"/>
        <v>0</v>
      </c>
      <c r="E1119" s="7" t="s">
        <v>12557</v>
      </c>
      <c r="F1119" s="7">
        <f t="shared" si="73"/>
        <v>1</v>
      </c>
      <c r="G1119" s="7" t="s">
        <v>12558</v>
      </c>
      <c r="H1119" s="7">
        <f t="shared" si="74"/>
        <v>0</v>
      </c>
      <c r="I1119" s="7" t="str" cm="1">
        <f t="array" ref="I1119">IFERROR(_xlfn.IFS(M1119="נח",1,M1119="נע ונח",1,M1119="שני שווא נח",2,M1119="שני שוואים בסוף מילה",2,M1119="שני שוואים ברצף",1),"0")</f>
        <v>0</v>
      </c>
      <c r="J1119" s="9">
        <f t="shared" si="75"/>
        <v>3</v>
      </c>
      <c r="K1119" t="s">
        <v>6698</v>
      </c>
      <c r="L1119" t="s">
        <v>6695</v>
      </c>
      <c r="O1119" t="s">
        <v>6694</v>
      </c>
      <c r="R1119" t="s">
        <v>6694</v>
      </c>
      <c r="V1119" t="s">
        <v>6694</v>
      </c>
      <c r="W1119" t="s">
        <v>6720</v>
      </c>
    </row>
    <row r="1120" spans="1:23" ht="15.6" x14ac:dyDescent="0.4">
      <c r="A1120" s="2" t="s">
        <v>5450</v>
      </c>
      <c r="B1120" s="5" t="s">
        <v>7254</v>
      </c>
      <c r="C1120" s="7" t="s">
        <v>12556</v>
      </c>
      <c r="D1120" s="8">
        <f t="shared" si="72"/>
        <v>0</v>
      </c>
      <c r="E1120" s="7" t="s">
        <v>12557</v>
      </c>
      <c r="F1120" s="7">
        <f t="shared" si="73"/>
        <v>2</v>
      </c>
      <c r="G1120" s="7" t="s">
        <v>12558</v>
      </c>
      <c r="H1120" s="7">
        <f t="shared" si="74"/>
        <v>1</v>
      </c>
      <c r="I1120" s="7" t="str" cm="1">
        <f t="array" ref="I1120">IFERROR(_xlfn.IFS(M1120="נח",1,M1120="נע ונח",1,M1120="שני שווא נח",2,M1120="שני שוואים בסוף מילה",2,M1120="שני שוואים ברצף",1),"0")</f>
        <v>0</v>
      </c>
      <c r="J1120" s="9">
        <f t="shared" si="75"/>
        <v>2</v>
      </c>
      <c r="K1120" t="s">
        <v>6697</v>
      </c>
      <c r="L1120" t="s">
        <v>6695</v>
      </c>
      <c r="O1120" t="s">
        <v>6694</v>
      </c>
      <c r="U1120" t="s">
        <v>6694</v>
      </c>
      <c r="W1120" t="s">
        <v>6720</v>
      </c>
    </row>
    <row r="1121" spans="1:23" ht="15.6" x14ac:dyDescent="0.4">
      <c r="A1121" s="2" t="s">
        <v>4442</v>
      </c>
      <c r="B1121" s="5" t="s">
        <v>7678</v>
      </c>
      <c r="C1121" s="7" t="s">
        <v>12556</v>
      </c>
      <c r="D1121" s="8">
        <f t="shared" si="72"/>
        <v>0</v>
      </c>
      <c r="E1121" s="7" t="s">
        <v>12557</v>
      </c>
      <c r="F1121" s="7">
        <f t="shared" si="73"/>
        <v>2</v>
      </c>
      <c r="G1121" s="7" t="s">
        <v>12558</v>
      </c>
      <c r="H1121" s="7">
        <f t="shared" si="74"/>
        <v>1</v>
      </c>
      <c r="I1121" s="7" t="str" cm="1">
        <f t="array" ref="I1121">IFERROR(_xlfn.IFS(M1121="נח",1,M1121="נע ונח",1,M1121="שני שווא נח",2,M1121="שני שוואים בסוף מילה",2,M1121="שני שוואים ברצף",1),"0")</f>
        <v>0</v>
      </c>
      <c r="J1121" s="9">
        <f t="shared" si="75"/>
        <v>2</v>
      </c>
      <c r="K1121" t="s">
        <v>6697</v>
      </c>
      <c r="L1121" t="s">
        <v>6695</v>
      </c>
      <c r="O1121" t="s">
        <v>6694</v>
      </c>
      <c r="U1121" t="s">
        <v>6694</v>
      </c>
      <c r="W1121" t="s">
        <v>6720</v>
      </c>
    </row>
    <row r="1122" spans="1:23" ht="15.6" x14ac:dyDescent="0.4">
      <c r="A1122" s="2" t="s">
        <v>4576</v>
      </c>
      <c r="B1122" s="5" t="s">
        <v>7255</v>
      </c>
      <c r="C1122" s="7" t="s">
        <v>12556</v>
      </c>
      <c r="D1122" s="8">
        <f t="shared" si="72"/>
        <v>0</v>
      </c>
      <c r="E1122" s="7" t="s">
        <v>12557</v>
      </c>
      <c r="F1122" s="7">
        <f t="shared" si="73"/>
        <v>1</v>
      </c>
      <c r="G1122" s="7" t="s">
        <v>12558</v>
      </c>
      <c r="H1122" s="7">
        <f t="shared" si="74"/>
        <v>0</v>
      </c>
      <c r="I1122" s="7" t="str" cm="1">
        <f t="array" ref="I1122">IFERROR(_xlfn.IFS(M1122="נח",1,M1122="נע ונח",1,M1122="שני שווא נח",2,M1122="שני שוואים בסוף מילה",2,M1122="שני שוואים ברצף",1),"0")</f>
        <v>0</v>
      </c>
      <c r="J1122" s="9">
        <f t="shared" si="75"/>
        <v>2</v>
      </c>
      <c r="K1122" t="s">
        <v>6697</v>
      </c>
      <c r="L1122" t="s">
        <v>6695</v>
      </c>
      <c r="O1122" t="s">
        <v>6694</v>
      </c>
      <c r="S1122" t="s">
        <v>6694</v>
      </c>
      <c r="W1122" t="s">
        <v>6720</v>
      </c>
    </row>
    <row r="1123" spans="1:23" ht="15.6" x14ac:dyDescent="0.4">
      <c r="A1123" s="2" t="s">
        <v>5925</v>
      </c>
      <c r="B1123" s="5" t="s">
        <v>7679</v>
      </c>
      <c r="C1123" s="7" t="s">
        <v>12556</v>
      </c>
      <c r="D1123" s="8">
        <f t="shared" si="72"/>
        <v>0</v>
      </c>
      <c r="E1123" s="7" t="s">
        <v>12557</v>
      </c>
      <c r="F1123" s="7">
        <f t="shared" si="73"/>
        <v>1</v>
      </c>
      <c r="G1123" s="7" t="s">
        <v>12558</v>
      </c>
      <c r="H1123" s="7">
        <f t="shared" si="74"/>
        <v>0</v>
      </c>
      <c r="I1123" s="7" t="str" cm="1">
        <f t="array" ref="I1123">IFERROR(_xlfn.IFS(M1123="נח",1,M1123="נע ונח",1,M1123="שני שווא נח",2,M1123="שני שוואים בסוף מילה",2,M1123="שני שוואים ברצף",1),"0")</f>
        <v>0</v>
      </c>
      <c r="J1123" s="9">
        <f t="shared" si="75"/>
        <v>2</v>
      </c>
      <c r="K1123" t="s">
        <v>6698</v>
      </c>
      <c r="L1123" t="s">
        <v>6695</v>
      </c>
      <c r="O1123" t="s">
        <v>6694</v>
      </c>
      <c r="R1123" t="s">
        <v>6694</v>
      </c>
      <c r="W1123" t="s">
        <v>6720</v>
      </c>
    </row>
    <row r="1124" spans="1:23" ht="15.6" x14ac:dyDescent="0.4">
      <c r="A1124" s="2" t="s">
        <v>1471</v>
      </c>
      <c r="B1124" s="5" t="s">
        <v>7257</v>
      </c>
      <c r="C1124" s="7" t="s">
        <v>12556</v>
      </c>
      <c r="D1124" s="8">
        <f t="shared" si="72"/>
        <v>0</v>
      </c>
      <c r="E1124" s="7" t="s">
        <v>12557</v>
      </c>
      <c r="F1124" s="7">
        <f t="shared" si="73"/>
        <v>1</v>
      </c>
      <c r="G1124" s="7" t="s">
        <v>12558</v>
      </c>
      <c r="H1124" s="7">
        <f t="shared" si="74"/>
        <v>0</v>
      </c>
      <c r="I1124" s="7" t="str" cm="1">
        <f t="array" ref="I1124">IFERROR(_xlfn.IFS(M1124="נח",1,M1124="נע ונח",1,M1124="שני שווא נח",2,M1124="שני שוואים בסוף מילה",2,M1124="שני שוואים ברצף",1),"0")</f>
        <v>0</v>
      </c>
      <c r="J1124" s="9">
        <f t="shared" si="75"/>
        <v>2</v>
      </c>
      <c r="K1124" t="s">
        <v>6698</v>
      </c>
      <c r="L1124" t="s">
        <v>6695</v>
      </c>
      <c r="O1124" t="s">
        <v>6694</v>
      </c>
      <c r="R1124" t="s">
        <v>6694</v>
      </c>
      <c r="W1124" t="s">
        <v>6720</v>
      </c>
    </row>
    <row r="1125" spans="1:23" ht="15.6" x14ac:dyDescent="0.4">
      <c r="A1125" s="2" t="s">
        <v>3019</v>
      </c>
      <c r="B1125" s="5" t="s">
        <v>7258</v>
      </c>
      <c r="C1125" s="7" t="s">
        <v>12556</v>
      </c>
      <c r="D1125" s="8">
        <f t="shared" si="72"/>
        <v>0</v>
      </c>
      <c r="E1125" s="7" t="s">
        <v>12557</v>
      </c>
      <c r="F1125" s="7">
        <f t="shared" si="73"/>
        <v>2</v>
      </c>
      <c r="G1125" s="7" t="s">
        <v>12558</v>
      </c>
      <c r="H1125" s="7">
        <f t="shared" si="74"/>
        <v>0</v>
      </c>
      <c r="I1125" s="7" t="str" cm="1">
        <f t="array" ref="I1125">IFERROR(_xlfn.IFS(M1125="נח",1,M1125="נע ונח",1,M1125="שני שווא נח",2,M1125="שני שוואים בסוף מילה",2,M1125="שני שוואים ברצף",1),"0")</f>
        <v>0</v>
      </c>
      <c r="J1125" s="9">
        <f t="shared" si="75"/>
        <v>1</v>
      </c>
      <c r="K1125" t="s">
        <v>6697</v>
      </c>
      <c r="L1125" t="s">
        <v>6695</v>
      </c>
      <c r="N1125" t="s">
        <v>6706</v>
      </c>
      <c r="O1125" t="s">
        <v>6694</v>
      </c>
      <c r="W1125" t="s">
        <v>6720</v>
      </c>
    </row>
    <row r="1126" spans="1:23" ht="15.6" x14ac:dyDescent="0.4">
      <c r="A1126" s="2" t="s">
        <v>431</v>
      </c>
      <c r="B1126" s="5" t="s">
        <v>7680</v>
      </c>
      <c r="C1126" s="7" t="s">
        <v>12556</v>
      </c>
      <c r="D1126" s="8">
        <f t="shared" si="72"/>
        <v>0</v>
      </c>
      <c r="E1126" s="7" t="s">
        <v>12557</v>
      </c>
      <c r="F1126" s="7">
        <f t="shared" si="73"/>
        <v>1</v>
      </c>
      <c r="G1126" s="7" t="s">
        <v>12558</v>
      </c>
      <c r="H1126" s="7">
        <f t="shared" si="74"/>
        <v>0</v>
      </c>
      <c r="I1126" s="7" t="str" cm="1">
        <f t="array" ref="I1126">IFERROR(_xlfn.IFS(M1126="נח",1,M1126="נע ונח",1,M1126="שני שווא נח",2,M1126="שני שוואים בסוף מילה",2,M1126="שני שוואים ברצף",1),"0")</f>
        <v>0</v>
      </c>
      <c r="J1126" s="9">
        <f t="shared" si="75"/>
        <v>2</v>
      </c>
      <c r="K1126" t="s">
        <v>6698</v>
      </c>
      <c r="L1126" t="s">
        <v>6695</v>
      </c>
      <c r="O1126" t="s">
        <v>6694</v>
      </c>
      <c r="P1126" t="s">
        <v>6694</v>
      </c>
      <c r="W1126" t="s">
        <v>6720</v>
      </c>
    </row>
    <row r="1127" spans="1:23" ht="15.6" x14ac:dyDescent="0.4">
      <c r="A1127" s="2" t="s">
        <v>4911</v>
      </c>
      <c r="B1127" s="5" t="s">
        <v>7260</v>
      </c>
      <c r="C1127" s="7" t="s">
        <v>12556</v>
      </c>
      <c r="D1127" s="8">
        <f t="shared" si="72"/>
        <v>0</v>
      </c>
      <c r="E1127" s="7" t="s">
        <v>12557</v>
      </c>
      <c r="F1127" s="7">
        <f t="shared" si="73"/>
        <v>2</v>
      </c>
      <c r="G1127" s="7" t="s">
        <v>12558</v>
      </c>
      <c r="H1127" s="7">
        <f t="shared" si="74"/>
        <v>0</v>
      </c>
      <c r="I1127" s="7" cm="1">
        <f t="array" ref="I1127">IFERROR(_xlfn.IFS(M1127="נח",1,M1127="נע ונח",1,M1127="שני שווא נח",2,M1127="שני שוואים בסוף מילה",2,M1127="שני שוואים ברצף",1),"0")</f>
        <v>1</v>
      </c>
      <c r="J1127" s="9">
        <f t="shared" si="75"/>
        <v>3</v>
      </c>
      <c r="K1127" t="s">
        <v>6697</v>
      </c>
      <c r="L1127" t="s">
        <v>6694</v>
      </c>
      <c r="M1127" t="s">
        <v>6705</v>
      </c>
      <c r="O1127" t="s">
        <v>6694</v>
      </c>
      <c r="P1127" t="s">
        <v>6694</v>
      </c>
      <c r="S1127" t="s">
        <v>6694</v>
      </c>
      <c r="W1127" t="s">
        <v>6720</v>
      </c>
    </row>
    <row r="1128" spans="1:23" ht="15.6" x14ac:dyDescent="0.4">
      <c r="A1128" s="2" t="s">
        <v>11</v>
      </c>
      <c r="B1128" s="5" t="s">
        <v>7262</v>
      </c>
      <c r="C1128" s="7" t="s">
        <v>12556</v>
      </c>
      <c r="D1128" s="8">
        <f t="shared" si="72"/>
        <v>0</v>
      </c>
      <c r="E1128" s="7" t="s">
        <v>12557</v>
      </c>
      <c r="F1128" s="7">
        <f t="shared" si="73"/>
        <v>2</v>
      </c>
      <c r="G1128" s="7" t="s">
        <v>12558</v>
      </c>
      <c r="H1128" s="7">
        <f t="shared" si="74"/>
        <v>1</v>
      </c>
      <c r="I1128" s="7" cm="1">
        <f t="array" ref="I1128">IFERROR(_xlfn.IFS(M1128="נח",1,M1128="נע ונח",1,M1128="שני שווא נח",2,M1128="שני שוואים בסוף מילה",2,M1128="שני שוואים ברצף",1),"0")</f>
        <v>1</v>
      </c>
      <c r="J1128" s="9">
        <f t="shared" si="75"/>
        <v>2</v>
      </c>
      <c r="K1128" t="s">
        <v>6697</v>
      </c>
      <c r="L1128" t="s">
        <v>6694</v>
      </c>
      <c r="M1128" t="s">
        <v>6705</v>
      </c>
      <c r="N1128" t="s">
        <v>6706</v>
      </c>
      <c r="O1128" t="s">
        <v>6694</v>
      </c>
      <c r="U1128" t="s">
        <v>6694</v>
      </c>
      <c r="W1128" t="s">
        <v>6720</v>
      </c>
    </row>
    <row r="1129" spans="1:23" ht="15.6" x14ac:dyDescent="0.4">
      <c r="A1129" s="2" t="s">
        <v>806</v>
      </c>
      <c r="B1129" s="5" t="s">
        <v>7264</v>
      </c>
      <c r="C1129" s="7" t="s">
        <v>12556</v>
      </c>
      <c r="D1129" s="8">
        <f t="shared" si="72"/>
        <v>0</v>
      </c>
      <c r="E1129" s="7" t="s">
        <v>12557</v>
      </c>
      <c r="F1129" s="7">
        <f t="shared" si="73"/>
        <v>2</v>
      </c>
      <c r="G1129" s="7" t="s">
        <v>12558</v>
      </c>
      <c r="H1129" s="7">
        <f t="shared" si="74"/>
        <v>0</v>
      </c>
      <c r="I1129" s="7" cm="1">
        <f t="array" ref="I1129">IFERROR(_xlfn.IFS(M1129="נח",1,M1129="נע ונח",1,M1129="שני שווא נח",2,M1129="שני שוואים בסוף מילה",2,M1129="שני שוואים ברצף",1),"0")</f>
        <v>1</v>
      </c>
      <c r="J1129" s="9">
        <f t="shared" si="75"/>
        <v>3</v>
      </c>
      <c r="K1129" t="s">
        <v>6697</v>
      </c>
      <c r="L1129" t="s">
        <v>6694</v>
      </c>
      <c r="M1129" t="s">
        <v>6705</v>
      </c>
      <c r="O1129" t="s">
        <v>6694</v>
      </c>
      <c r="P1129" t="s">
        <v>6694</v>
      </c>
      <c r="S1129" t="s">
        <v>6694</v>
      </c>
      <c r="W1129" t="s">
        <v>6720</v>
      </c>
    </row>
    <row r="1130" spans="1:23" ht="15.6" x14ac:dyDescent="0.4">
      <c r="A1130" s="2" t="s">
        <v>6348</v>
      </c>
      <c r="B1130" s="5" t="s">
        <v>7264</v>
      </c>
      <c r="C1130" s="7" t="s">
        <v>12556</v>
      </c>
      <c r="D1130" s="8">
        <f t="shared" si="72"/>
        <v>0</v>
      </c>
      <c r="E1130" s="7" t="s">
        <v>12557</v>
      </c>
      <c r="F1130" s="7">
        <f t="shared" si="73"/>
        <v>2</v>
      </c>
      <c r="G1130" s="7" t="s">
        <v>12558</v>
      </c>
      <c r="H1130" s="7">
        <f t="shared" si="74"/>
        <v>0</v>
      </c>
      <c r="I1130" s="7" cm="1">
        <f t="array" ref="I1130">IFERROR(_xlfn.IFS(M1130="נח",1,M1130="נע ונח",1,M1130="שני שווא נח",2,M1130="שני שוואים בסוף מילה",2,M1130="שני שוואים ברצף",1),"0")</f>
        <v>1</v>
      </c>
      <c r="J1130" s="9">
        <f t="shared" si="75"/>
        <v>3</v>
      </c>
      <c r="K1130" t="s">
        <v>6697</v>
      </c>
      <c r="L1130" t="s">
        <v>6694</v>
      </c>
      <c r="M1130" t="s">
        <v>6705</v>
      </c>
      <c r="N1130" t="s">
        <v>6706</v>
      </c>
      <c r="O1130" t="s">
        <v>6694</v>
      </c>
      <c r="S1130" t="s">
        <v>6694</v>
      </c>
      <c r="W1130" t="s">
        <v>6720</v>
      </c>
    </row>
    <row r="1131" spans="1:23" ht="15.6" x14ac:dyDescent="0.4">
      <c r="A1131" s="2" t="s">
        <v>1203</v>
      </c>
      <c r="B1131" s="5" t="s">
        <v>7263</v>
      </c>
      <c r="C1131" s="7" t="s">
        <v>12556</v>
      </c>
      <c r="D1131" s="8">
        <f t="shared" si="72"/>
        <v>0</v>
      </c>
      <c r="E1131" s="7" t="s">
        <v>12557</v>
      </c>
      <c r="F1131" s="7">
        <f t="shared" si="73"/>
        <v>1</v>
      </c>
      <c r="G1131" s="7" t="s">
        <v>12558</v>
      </c>
      <c r="H1131" s="7">
        <f t="shared" si="74"/>
        <v>0</v>
      </c>
      <c r="I1131" s="7" t="str" cm="1">
        <f t="array" ref="I1131">IFERROR(_xlfn.IFS(M1131="נח",1,M1131="נע ונח",1,M1131="שני שווא נח",2,M1131="שני שוואים בסוף מילה",2,M1131="שני שוואים ברצף",1),"0")</f>
        <v>0</v>
      </c>
      <c r="J1131" s="9">
        <f t="shared" si="75"/>
        <v>3</v>
      </c>
      <c r="K1131" t="s">
        <v>6697</v>
      </c>
      <c r="L1131" t="s">
        <v>6695</v>
      </c>
      <c r="N1131" t="s">
        <v>6707</v>
      </c>
      <c r="O1131" t="s">
        <v>6694</v>
      </c>
      <c r="P1131" t="s">
        <v>6694</v>
      </c>
      <c r="T1131" t="s">
        <v>6694</v>
      </c>
      <c r="W1131" t="s">
        <v>6720</v>
      </c>
    </row>
    <row r="1132" spans="1:23" ht="15.6" x14ac:dyDescent="0.4">
      <c r="A1132" s="2" t="s">
        <v>3008</v>
      </c>
      <c r="B1132" s="5" t="s">
        <v>7140</v>
      </c>
      <c r="C1132" s="7" t="s">
        <v>12556</v>
      </c>
      <c r="D1132" s="8">
        <f t="shared" si="72"/>
        <v>0</v>
      </c>
      <c r="E1132" s="7" t="s">
        <v>12557</v>
      </c>
      <c r="F1132" s="7">
        <f t="shared" si="73"/>
        <v>1</v>
      </c>
      <c r="G1132" s="7" t="s">
        <v>12558</v>
      </c>
      <c r="H1132" s="7">
        <f t="shared" si="74"/>
        <v>0</v>
      </c>
      <c r="I1132" s="7" cm="1">
        <f t="array" ref="I1132">IFERROR(_xlfn.IFS(M1132="נח",1,M1132="נע ונח",1,M1132="שני שווא נח",2,M1132="שני שוואים בסוף מילה",2,M1132="שני שוואים ברצף",1),"0")</f>
        <v>1</v>
      </c>
      <c r="J1132" s="9">
        <f t="shared" si="75"/>
        <v>1</v>
      </c>
      <c r="K1132" t="s">
        <v>6698</v>
      </c>
      <c r="L1132" t="s">
        <v>6694</v>
      </c>
      <c r="M1132" t="s">
        <v>6705</v>
      </c>
      <c r="N1132" t="s">
        <v>6706</v>
      </c>
      <c r="O1132" t="s">
        <v>6694</v>
      </c>
      <c r="W1132" t="s">
        <v>6720</v>
      </c>
    </row>
    <row r="1133" spans="1:23" ht="15.6" x14ac:dyDescent="0.4">
      <c r="A1133" s="2" t="s">
        <v>5927</v>
      </c>
      <c r="B1133" s="5" t="s">
        <v>7681</v>
      </c>
      <c r="C1133" s="7" t="s">
        <v>12556</v>
      </c>
      <c r="D1133" s="8">
        <f t="shared" si="72"/>
        <v>0</v>
      </c>
      <c r="E1133" s="7" t="s">
        <v>12557</v>
      </c>
      <c r="F1133" s="7">
        <f t="shared" si="73"/>
        <v>2</v>
      </c>
      <c r="G1133" s="7" t="s">
        <v>12558</v>
      </c>
      <c r="H1133" s="7">
        <f t="shared" si="74"/>
        <v>1</v>
      </c>
      <c r="I1133" s="7" t="str" cm="1">
        <f t="array" ref="I1133">IFERROR(_xlfn.IFS(M1133="נח",1,M1133="נע ונח",1,M1133="שני שווא נח",2,M1133="שני שוואים בסוף מילה",2,M1133="שני שוואים ברצף",1),"0")</f>
        <v>0</v>
      </c>
      <c r="J1133" s="9">
        <f t="shared" si="75"/>
        <v>3</v>
      </c>
      <c r="K1133" t="s">
        <v>6697</v>
      </c>
      <c r="L1133" t="s">
        <v>6695</v>
      </c>
      <c r="O1133" t="s">
        <v>6694</v>
      </c>
      <c r="S1133" t="s">
        <v>6694</v>
      </c>
      <c r="U1133" t="s">
        <v>6694</v>
      </c>
      <c r="W1133" t="s">
        <v>6720</v>
      </c>
    </row>
    <row r="1134" spans="1:23" ht="15.6" x14ac:dyDescent="0.4">
      <c r="A1134" s="2" t="s">
        <v>2689</v>
      </c>
      <c r="B1134" s="5" t="s">
        <v>7682</v>
      </c>
      <c r="C1134" s="7" t="s">
        <v>12556</v>
      </c>
      <c r="D1134" s="8">
        <f t="shared" si="72"/>
        <v>0</v>
      </c>
      <c r="E1134" s="7" t="s">
        <v>12557</v>
      </c>
      <c r="F1134" s="7">
        <f t="shared" si="73"/>
        <v>2</v>
      </c>
      <c r="G1134" s="7" t="s">
        <v>12558</v>
      </c>
      <c r="H1134" s="7">
        <f t="shared" si="74"/>
        <v>1</v>
      </c>
      <c r="I1134" s="7" t="str" cm="1">
        <f t="array" ref="I1134">IFERROR(_xlfn.IFS(M1134="נח",1,M1134="נע ונח",1,M1134="שני שווא נח",2,M1134="שני שוואים בסוף מילה",2,M1134="שני שוואים ברצף",1),"0")</f>
        <v>0</v>
      </c>
      <c r="J1134" s="9">
        <f t="shared" si="75"/>
        <v>2</v>
      </c>
      <c r="K1134" t="s">
        <v>6697</v>
      </c>
      <c r="L1134" t="s">
        <v>6695</v>
      </c>
      <c r="O1134" t="s">
        <v>6694</v>
      </c>
      <c r="U1134" t="s">
        <v>6694</v>
      </c>
      <c r="W1134" t="s">
        <v>6720</v>
      </c>
    </row>
    <row r="1135" spans="1:23" ht="15.6" x14ac:dyDescent="0.4">
      <c r="A1135" s="2" t="s">
        <v>1131</v>
      </c>
      <c r="B1135" s="5" t="s">
        <v>7266</v>
      </c>
      <c r="C1135" s="7" t="s">
        <v>12556</v>
      </c>
      <c r="D1135" s="8">
        <f t="shared" si="72"/>
        <v>0</v>
      </c>
      <c r="E1135" s="7" t="s">
        <v>12557</v>
      </c>
      <c r="F1135" s="7">
        <f t="shared" si="73"/>
        <v>1</v>
      </c>
      <c r="G1135" s="7" t="s">
        <v>12558</v>
      </c>
      <c r="H1135" s="7">
        <f t="shared" si="74"/>
        <v>0</v>
      </c>
      <c r="I1135" s="7" t="str" cm="1">
        <f t="array" ref="I1135">IFERROR(_xlfn.IFS(M1135="נח",1,M1135="נע ונח",1,M1135="שני שווא נח",2,M1135="שני שוואים בסוף מילה",2,M1135="שני שוואים ברצף",1),"0")</f>
        <v>0</v>
      </c>
      <c r="J1135" s="9">
        <f t="shared" si="75"/>
        <v>1</v>
      </c>
      <c r="K1135" t="s">
        <v>6698</v>
      </c>
      <c r="L1135" t="s">
        <v>6695</v>
      </c>
      <c r="N1135" t="s">
        <v>6706</v>
      </c>
      <c r="O1135" t="s">
        <v>6694</v>
      </c>
      <c r="W1135" t="s">
        <v>6720</v>
      </c>
    </row>
    <row r="1136" spans="1:23" ht="15.6" x14ac:dyDescent="0.4">
      <c r="A1136" s="2" t="s">
        <v>2047</v>
      </c>
      <c r="B1136" s="5" t="s">
        <v>7683</v>
      </c>
      <c r="C1136" s="7" t="s">
        <v>12556</v>
      </c>
      <c r="D1136" s="8">
        <f t="shared" si="72"/>
        <v>0</v>
      </c>
      <c r="E1136" s="7" t="s">
        <v>12557</v>
      </c>
      <c r="F1136" s="7">
        <f t="shared" si="73"/>
        <v>1</v>
      </c>
      <c r="G1136" s="7" t="s">
        <v>12558</v>
      </c>
      <c r="H1136" s="7">
        <f t="shared" si="74"/>
        <v>0</v>
      </c>
      <c r="I1136" s="7" t="str" cm="1">
        <f t="array" ref="I1136">IFERROR(_xlfn.IFS(M1136="נח",1,M1136="נע ונח",1,M1136="שני שווא נח",2,M1136="שני שוואים בסוף מילה",2,M1136="שני שוואים ברצף",1),"0")</f>
        <v>0</v>
      </c>
      <c r="J1136" s="9">
        <f t="shared" si="75"/>
        <v>3</v>
      </c>
      <c r="K1136" t="s">
        <v>6698</v>
      </c>
      <c r="L1136" t="s">
        <v>6695</v>
      </c>
      <c r="O1136" t="s">
        <v>6694</v>
      </c>
      <c r="P1136" t="s">
        <v>6694</v>
      </c>
      <c r="V1136" t="s">
        <v>6694</v>
      </c>
      <c r="W1136" t="s">
        <v>6720</v>
      </c>
    </row>
    <row r="1137" spans="1:23" ht="15.6" x14ac:dyDescent="0.4">
      <c r="A1137" s="2" t="s">
        <v>2841</v>
      </c>
      <c r="B1137" s="5" t="s">
        <v>7267</v>
      </c>
      <c r="C1137" s="7" t="s">
        <v>12556</v>
      </c>
      <c r="D1137" s="8">
        <f t="shared" si="72"/>
        <v>0</v>
      </c>
      <c r="E1137" s="7" t="s">
        <v>12557</v>
      </c>
      <c r="F1137" s="7">
        <f t="shared" si="73"/>
        <v>1</v>
      </c>
      <c r="G1137" s="7" t="s">
        <v>12558</v>
      </c>
      <c r="H1137" s="7">
        <f t="shared" si="74"/>
        <v>0</v>
      </c>
      <c r="I1137" s="7" t="str" cm="1">
        <f t="array" ref="I1137">IFERROR(_xlfn.IFS(M1137="נח",1,M1137="נע ונח",1,M1137="שני שווא נח",2,M1137="שני שוואים בסוף מילה",2,M1137="שני שוואים ברצף",1),"0")</f>
        <v>0</v>
      </c>
      <c r="J1137" s="9">
        <f t="shared" si="75"/>
        <v>2</v>
      </c>
      <c r="K1137" t="s">
        <v>6698</v>
      </c>
      <c r="L1137" t="s">
        <v>6695</v>
      </c>
      <c r="O1137" t="s">
        <v>6694</v>
      </c>
      <c r="S1137" t="s">
        <v>6694</v>
      </c>
      <c r="W1137" t="s">
        <v>6720</v>
      </c>
    </row>
    <row r="1138" spans="1:23" ht="15.6" x14ac:dyDescent="0.4">
      <c r="A1138" s="2" t="s">
        <v>2940</v>
      </c>
      <c r="B1138" s="5" t="s">
        <v>7684</v>
      </c>
      <c r="C1138" s="7" t="s">
        <v>12556</v>
      </c>
      <c r="D1138" s="8">
        <f t="shared" si="72"/>
        <v>0</v>
      </c>
      <c r="E1138" s="7" t="s">
        <v>12557</v>
      </c>
      <c r="F1138" s="7">
        <f t="shared" si="73"/>
        <v>2</v>
      </c>
      <c r="G1138" s="7" t="s">
        <v>12558</v>
      </c>
      <c r="H1138" s="7">
        <f t="shared" si="74"/>
        <v>1</v>
      </c>
      <c r="I1138" s="7" t="str" cm="1">
        <f t="array" ref="I1138">IFERROR(_xlfn.IFS(M1138="נח",1,M1138="נע ונח",1,M1138="שני שווא נח",2,M1138="שני שוואים בסוף מילה",2,M1138="שני שוואים ברצף",1),"0")</f>
        <v>0</v>
      </c>
      <c r="J1138" s="9">
        <f t="shared" si="75"/>
        <v>3</v>
      </c>
      <c r="K1138" t="s">
        <v>6697</v>
      </c>
      <c r="L1138" t="s">
        <v>6695</v>
      </c>
      <c r="O1138" t="s">
        <v>6694</v>
      </c>
      <c r="Q1138" t="s">
        <v>6694</v>
      </c>
      <c r="U1138" t="s">
        <v>6694</v>
      </c>
      <c r="W1138" t="s">
        <v>6720</v>
      </c>
    </row>
    <row r="1139" spans="1:23" ht="15.6" x14ac:dyDescent="0.4">
      <c r="A1139" s="2" t="s">
        <v>5420</v>
      </c>
      <c r="B1139" s="5" t="s">
        <v>7268</v>
      </c>
      <c r="C1139" s="7" t="s">
        <v>12556</v>
      </c>
      <c r="D1139" s="8">
        <f t="shared" si="72"/>
        <v>0</v>
      </c>
      <c r="E1139" s="7" t="s">
        <v>12557</v>
      </c>
      <c r="F1139" s="7">
        <f t="shared" si="73"/>
        <v>1</v>
      </c>
      <c r="G1139" s="7" t="s">
        <v>12558</v>
      </c>
      <c r="H1139" s="7">
        <f t="shared" si="74"/>
        <v>0</v>
      </c>
      <c r="I1139" s="7" t="str" cm="1">
        <f t="array" ref="I1139">IFERROR(_xlfn.IFS(M1139="נח",1,M1139="נע ונח",1,M1139="שני שווא נח",2,M1139="שני שוואים בסוף מילה",2,M1139="שני שוואים ברצף",1),"0")</f>
        <v>0</v>
      </c>
      <c r="J1139" s="9">
        <f t="shared" si="75"/>
        <v>3</v>
      </c>
      <c r="K1139" t="s">
        <v>6697</v>
      </c>
      <c r="L1139" t="s">
        <v>6695</v>
      </c>
      <c r="O1139" t="s">
        <v>6694</v>
      </c>
      <c r="R1139" t="s">
        <v>6694</v>
      </c>
      <c r="W1139" t="s">
        <v>6720</v>
      </c>
    </row>
    <row r="1140" spans="1:23" ht="15.6" x14ac:dyDescent="0.4">
      <c r="A1140" s="2" t="s">
        <v>1377</v>
      </c>
      <c r="B1140" s="5" t="s">
        <v>7268</v>
      </c>
      <c r="C1140" s="7" t="s">
        <v>12556</v>
      </c>
      <c r="D1140" s="8">
        <f t="shared" si="72"/>
        <v>0</v>
      </c>
      <c r="E1140" s="7" t="s">
        <v>12557</v>
      </c>
      <c r="F1140" s="7">
        <f t="shared" si="73"/>
        <v>1</v>
      </c>
      <c r="G1140" s="7" t="s">
        <v>12558</v>
      </c>
      <c r="H1140" s="7">
        <f t="shared" si="74"/>
        <v>0</v>
      </c>
      <c r="I1140" s="7" cm="1">
        <f t="array" ref="I1140">IFERROR(_xlfn.IFS(M1140="נח",1,M1140="נע ונח",1,M1140="שני שווא נח",2,M1140="שני שוואים בסוף מילה",2,M1140="שני שוואים ברצף",1),"0")</f>
        <v>1</v>
      </c>
      <c r="J1140" s="9">
        <f t="shared" si="75"/>
        <v>3</v>
      </c>
      <c r="K1140" t="s">
        <v>6698</v>
      </c>
      <c r="L1140" t="s">
        <v>6694</v>
      </c>
      <c r="M1140" t="s">
        <v>6705</v>
      </c>
      <c r="O1140" t="s">
        <v>6694</v>
      </c>
      <c r="P1140" t="s">
        <v>6694</v>
      </c>
      <c r="S1140" t="s">
        <v>6694</v>
      </c>
      <c r="W1140" t="s">
        <v>6720</v>
      </c>
    </row>
    <row r="1141" spans="1:23" ht="15.6" x14ac:dyDescent="0.4">
      <c r="A1141" s="2" t="s">
        <v>4932</v>
      </c>
      <c r="B1141" s="5" t="s">
        <v>7411</v>
      </c>
      <c r="C1141" s="7" t="s">
        <v>12556</v>
      </c>
      <c r="D1141" s="8">
        <f t="shared" si="72"/>
        <v>0</v>
      </c>
      <c r="E1141" s="7" t="s">
        <v>12557</v>
      </c>
      <c r="F1141" s="7">
        <f t="shared" si="73"/>
        <v>2</v>
      </c>
      <c r="G1141" s="7" t="s">
        <v>12558</v>
      </c>
      <c r="H1141" s="7">
        <f t="shared" si="74"/>
        <v>1</v>
      </c>
      <c r="I1141" s="7" t="str" cm="1">
        <f t="array" ref="I1141">IFERROR(_xlfn.IFS(M1141="נח",1,M1141="נע ונח",1,M1141="שני שווא נח",2,M1141="שני שוואים בסוף מילה",2,M1141="שני שוואים ברצף",1),"0")</f>
        <v>0</v>
      </c>
      <c r="J1141" s="9">
        <f t="shared" si="75"/>
        <v>2</v>
      </c>
      <c r="K1141" t="s">
        <v>6697</v>
      </c>
      <c r="L1141" t="s">
        <v>6695</v>
      </c>
      <c r="O1141" t="s">
        <v>6694</v>
      </c>
      <c r="U1141" t="s">
        <v>6694</v>
      </c>
      <c r="W1141" t="s">
        <v>6720</v>
      </c>
    </row>
    <row r="1142" spans="1:23" ht="15.6" x14ac:dyDescent="0.4">
      <c r="A1142" s="2" t="s">
        <v>4478</v>
      </c>
      <c r="B1142" s="5" t="s">
        <v>7685</v>
      </c>
      <c r="C1142" s="7" t="s">
        <v>12556</v>
      </c>
      <c r="D1142" s="8">
        <f t="shared" si="72"/>
        <v>0</v>
      </c>
      <c r="E1142" s="7" t="s">
        <v>12557</v>
      </c>
      <c r="F1142" s="7">
        <f t="shared" si="73"/>
        <v>1</v>
      </c>
      <c r="G1142" s="7" t="s">
        <v>12558</v>
      </c>
      <c r="H1142" s="7">
        <f t="shared" si="74"/>
        <v>0</v>
      </c>
      <c r="I1142" s="7" t="str" cm="1">
        <f t="array" ref="I1142">IFERROR(_xlfn.IFS(M1142="נח",1,M1142="נע ונח",1,M1142="שני שווא נח",2,M1142="שני שוואים בסוף מילה",2,M1142="שני שוואים ברצף",1),"0")</f>
        <v>0</v>
      </c>
      <c r="J1142" s="9">
        <f t="shared" si="75"/>
        <v>4</v>
      </c>
      <c r="K1142" t="s">
        <v>6698</v>
      </c>
      <c r="L1142" t="s">
        <v>6695</v>
      </c>
      <c r="O1142" t="s">
        <v>6694</v>
      </c>
      <c r="P1142" t="s">
        <v>6694</v>
      </c>
      <c r="V1142" t="s">
        <v>6694</v>
      </c>
      <c r="W1142" t="s">
        <v>6720</v>
      </c>
    </row>
    <row r="1143" spans="1:23" ht="15.6" x14ac:dyDescent="0.4">
      <c r="A1143" s="2" t="s">
        <v>2071</v>
      </c>
      <c r="B1143" s="5" t="s">
        <v>7686</v>
      </c>
      <c r="C1143" s="7" t="s">
        <v>12556</v>
      </c>
      <c r="D1143" s="8">
        <f t="shared" si="72"/>
        <v>0</v>
      </c>
      <c r="E1143" s="7" t="s">
        <v>12557</v>
      </c>
      <c r="F1143" s="7">
        <f t="shared" si="73"/>
        <v>2</v>
      </c>
      <c r="G1143" s="7" t="s">
        <v>12558</v>
      </c>
      <c r="H1143" s="7">
        <f t="shared" si="74"/>
        <v>1</v>
      </c>
      <c r="I1143" s="7" t="str" cm="1">
        <f t="array" ref="I1143">IFERROR(_xlfn.IFS(M1143="נח",1,M1143="נע ונח",1,M1143="שני שווא נח",2,M1143="שני שוואים בסוף מילה",2,M1143="שני שוואים ברצף",1),"0")</f>
        <v>0</v>
      </c>
      <c r="J1143" s="9">
        <f t="shared" si="75"/>
        <v>3</v>
      </c>
      <c r="K1143" t="s">
        <v>6697</v>
      </c>
      <c r="L1143" t="s">
        <v>6695</v>
      </c>
      <c r="O1143" t="s">
        <v>6694</v>
      </c>
      <c r="P1143" t="s">
        <v>6694</v>
      </c>
      <c r="U1143" t="s">
        <v>6694</v>
      </c>
      <c r="W1143" t="s">
        <v>6720</v>
      </c>
    </row>
    <row r="1144" spans="1:23" ht="15.6" x14ac:dyDescent="0.4">
      <c r="A1144" s="2" t="s">
        <v>5432</v>
      </c>
      <c r="B1144" s="5" t="s">
        <v>7417</v>
      </c>
      <c r="C1144" s="7" t="s">
        <v>12556</v>
      </c>
      <c r="D1144" s="8">
        <f t="shared" si="72"/>
        <v>0</v>
      </c>
      <c r="E1144" s="7" t="s">
        <v>12557</v>
      </c>
      <c r="F1144" s="7">
        <f t="shared" si="73"/>
        <v>1</v>
      </c>
      <c r="G1144" s="7" t="s">
        <v>12558</v>
      </c>
      <c r="H1144" s="7">
        <f t="shared" si="74"/>
        <v>0</v>
      </c>
      <c r="I1144" s="7" t="str" cm="1">
        <f t="array" ref="I1144">IFERROR(_xlfn.IFS(M1144="נח",1,M1144="נע ונח",1,M1144="שני שווא נח",2,M1144="שני שוואים בסוף מילה",2,M1144="שני שוואים ברצף",1),"0")</f>
        <v>0</v>
      </c>
      <c r="J1144" s="9">
        <f t="shared" si="75"/>
        <v>2</v>
      </c>
      <c r="K1144" t="s">
        <v>6698</v>
      </c>
      <c r="L1144" t="s">
        <v>6695</v>
      </c>
      <c r="O1144" t="s">
        <v>6694</v>
      </c>
      <c r="S1144" t="s">
        <v>6694</v>
      </c>
      <c r="W1144" t="s">
        <v>6720</v>
      </c>
    </row>
    <row r="1145" spans="1:23" ht="15.6" x14ac:dyDescent="0.4">
      <c r="A1145" s="2" t="s">
        <v>5264</v>
      </c>
      <c r="B1145" s="5" t="s">
        <v>7687</v>
      </c>
      <c r="C1145" s="7" t="s">
        <v>12556</v>
      </c>
      <c r="D1145" s="8">
        <f t="shared" si="72"/>
        <v>0</v>
      </c>
      <c r="E1145" s="7" t="s">
        <v>12557</v>
      </c>
      <c r="F1145" s="7">
        <f t="shared" si="73"/>
        <v>1</v>
      </c>
      <c r="G1145" s="7" t="s">
        <v>12558</v>
      </c>
      <c r="H1145" s="7">
        <f t="shared" si="74"/>
        <v>0</v>
      </c>
      <c r="I1145" s="7" t="str" cm="1">
        <f t="array" ref="I1145">IFERROR(_xlfn.IFS(M1145="נח",1,M1145="נע ונח",1,M1145="שני שווא נח",2,M1145="שני שוואים בסוף מילה",2,M1145="שני שוואים ברצף",1),"0")</f>
        <v>0</v>
      </c>
      <c r="J1145" s="9">
        <f t="shared" si="75"/>
        <v>3</v>
      </c>
      <c r="K1145" t="s">
        <v>6698</v>
      </c>
      <c r="L1145" t="s">
        <v>6695</v>
      </c>
      <c r="O1145" t="s">
        <v>6694</v>
      </c>
      <c r="R1145" t="s">
        <v>6694</v>
      </c>
      <c r="W1145" t="s">
        <v>6720</v>
      </c>
    </row>
    <row r="1146" spans="1:23" ht="15.6" x14ac:dyDescent="0.4">
      <c r="A1146" s="2" t="s">
        <v>85</v>
      </c>
      <c r="B1146" s="5" t="s">
        <v>7426</v>
      </c>
      <c r="C1146" s="7" t="s">
        <v>12556</v>
      </c>
      <c r="D1146" s="8">
        <f t="shared" si="72"/>
        <v>0</v>
      </c>
      <c r="E1146" s="7" t="s">
        <v>12557</v>
      </c>
      <c r="F1146" s="7">
        <f t="shared" si="73"/>
        <v>1</v>
      </c>
      <c r="G1146" s="7" t="s">
        <v>12558</v>
      </c>
      <c r="H1146" s="7">
        <f t="shared" si="74"/>
        <v>0</v>
      </c>
      <c r="I1146" s="7" t="str" cm="1">
        <f t="array" ref="I1146">IFERROR(_xlfn.IFS(M1146="נח",1,M1146="נע ונח",1,M1146="שני שווא נח",2,M1146="שני שוואים בסוף מילה",2,M1146="שני שוואים ברצף",1),"0")</f>
        <v>0</v>
      </c>
      <c r="J1146" s="9">
        <f t="shared" si="75"/>
        <v>2</v>
      </c>
      <c r="K1146" t="s">
        <v>6698</v>
      </c>
      <c r="L1146" t="s">
        <v>6695</v>
      </c>
      <c r="N1146" t="s">
        <v>6706</v>
      </c>
      <c r="O1146" t="s">
        <v>6694</v>
      </c>
      <c r="W1146" t="s">
        <v>6720</v>
      </c>
    </row>
    <row r="1147" spans="1:23" ht="15.6" x14ac:dyDescent="0.4">
      <c r="A1147" s="2" t="s">
        <v>6000</v>
      </c>
      <c r="B1147" s="5" t="s">
        <v>7612</v>
      </c>
      <c r="C1147" s="7" t="s">
        <v>12556</v>
      </c>
      <c r="D1147" s="8">
        <f t="shared" si="72"/>
        <v>0</v>
      </c>
      <c r="E1147" s="7" t="s">
        <v>12557</v>
      </c>
      <c r="F1147" s="7">
        <f t="shared" si="73"/>
        <v>1</v>
      </c>
      <c r="G1147" s="7" t="s">
        <v>12558</v>
      </c>
      <c r="H1147" s="7">
        <f t="shared" si="74"/>
        <v>0</v>
      </c>
      <c r="I1147" s="7" t="str" cm="1">
        <f t="array" ref="I1147">IFERROR(_xlfn.IFS(M1147="נח",1,M1147="נע ונח",1,M1147="שני שווא נח",2,M1147="שני שוואים בסוף מילה",2,M1147="שני שוואים ברצף",1),"0")</f>
        <v>0</v>
      </c>
      <c r="J1147" s="9">
        <f t="shared" si="75"/>
        <v>2</v>
      </c>
      <c r="K1147" t="s">
        <v>6697</v>
      </c>
      <c r="L1147" t="s">
        <v>6695</v>
      </c>
      <c r="O1147" t="s">
        <v>6694</v>
      </c>
      <c r="P1147" t="s">
        <v>6694</v>
      </c>
      <c r="W1147" t="s">
        <v>6720</v>
      </c>
    </row>
    <row r="1148" spans="1:23" ht="15.6" x14ac:dyDescent="0.4">
      <c r="A1148" s="2" t="s">
        <v>5730</v>
      </c>
      <c r="B1148" s="5" t="s">
        <v>7688</v>
      </c>
      <c r="C1148" s="7" t="s">
        <v>12556</v>
      </c>
      <c r="D1148" s="8">
        <f t="shared" si="72"/>
        <v>0</v>
      </c>
      <c r="E1148" s="7" t="s">
        <v>12557</v>
      </c>
      <c r="F1148" s="7">
        <f t="shared" si="73"/>
        <v>1</v>
      </c>
      <c r="G1148" s="7" t="s">
        <v>12558</v>
      </c>
      <c r="H1148" s="7">
        <f t="shared" si="74"/>
        <v>0</v>
      </c>
      <c r="I1148" s="7" t="str" cm="1">
        <f t="array" ref="I1148">IFERROR(_xlfn.IFS(M1148="נח",1,M1148="נע ונח",1,M1148="שני שווא נח",2,M1148="שני שוואים בסוף מילה",2,M1148="שני שוואים ברצף",1),"0")</f>
        <v>0</v>
      </c>
      <c r="J1148" s="9">
        <f t="shared" si="75"/>
        <v>2</v>
      </c>
      <c r="K1148" t="s">
        <v>6697</v>
      </c>
      <c r="L1148" t="s">
        <v>6695</v>
      </c>
      <c r="O1148" t="s">
        <v>6694</v>
      </c>
      <c r="P1148" t="s">
        <v>6694</v>
      </c>
      <c r="W1148" t="s">
        <v>6720</v>
      </c>
    </row>
    <row r="1149" spans="1:23" ht="15.6" x14ac:dyDescent="0.4">
      <c r="A1149" s="2" t="s">
        <v>612</v>
      </c>
      <c r="B1149" s="5" t="s">
        <v>7578</v>
      </c>
      <c r="C1149" s="7" t="s">
        <v>12556</v>
      </c>
      <c r="D1149" s="8">
        <f t="shared" si="72"/>
        <v>0</v>
      </c>
      <c r="E1149" s="7" t="s">
        <v>12557</v>
      </c>
      <c r="F1149" s="7">
        <f t="shared" si="73"/>
        <v>1</v>
      </c>
      <c r="G1149" s="7" t="s">
        <v>12558</v>
      </c>
      <c r="H1149" s="7">
        <f t="shared" si="74"/>
        <v>0</v>
      </c>
      <c r="I1149" s="7" cm="1">
        <f t="array" ref="I1149">IFERROR(_xlfn.IFS(M1149="נח",1,M1149="נע ונח",1,M1149="שני שווא נח",2,M1149="שני שוואים בסוף מילה",2,M1149="שני שוואים ברצף",1),"0")</f>
        <v>1</v>
      </c>
      <c r="J1149" s="9">
        <f t="shared" si="75"/>
        <v>2</v>
      </c>
      <c r="K1149" t="s">
        <v>6697</v>
      </c>
      <c r="L1149" t="s">
        <v>6694</v>
      </c>
      <c r="M1149" t="s">
        <v>6705</v>
      </c>
      <c r="N1149" t="s">
        <v>6706</v>
      </c>
      <c r="O1149" t="s">
        <v>6694</v>
      </c>
      <c r="S1149" t="s">
        <v>6694</v>
      </c>
      <c r="W1149" t="s">
        <v>6720</v>
      </c>
    </row>
    <row r="1150" spans="1:23" ht="15.6" x14ac:dyDescent="0.4">
      <c r="A1150" s="2" t="s">
        <v>1295</v>
      </c>
      <c r="B1150" s="5" t="s">
        <v>7689</v>
      </c>
      <c r="C1150" s="7" t="s">
        <v>12556</v>
      </c>
      <c r="D1150" s="8">
        <f t="shared" si="72"/>
        <v>0</v>
      </c>
      <c r="E1150" s="7" t="s">
        <v>12557</v>
      </c>
      <c r="F1150" s="7">
        <f t="shared" si="73"/>
        <v>2</v>
      </c>
      <c r="G1150" s="7" t="s">
        <v>12558</v>
      </c>
      <c r="H1150" s="7">
        <f t="shared" si="74"/>
        <v>1</v>
      </c>
      <c r="I1150" s="7" cm="1">
        <f t="array" ref="I1150">IFERROR(_xlfn.IFS(M1150="נח",1,M1150="נע ונח",1,M1150="שני שווא נח",2,M1150="שני שוואים בסוף מילה",2,M1150="שני שוואים ברצף",1),"0")</f>
        <v>1</v>
      </c>
      <c r="J1150" s="9">
        <f t="shared" si="75"/>
        <v>2</v>
      </c>
      <c r="K1150" t="s">
        <v>6697</v>
      </c>
      <c r="L1150" t="s">
        <v>6694</v>
      </c>
      <c r="M1150" t="s">
        <v>6705</v>
      </c>
      <c r="N1150" t="s">
        <v>6706</v>
      </c>
      <c r="O1150" t="s">
        <v>6694</v>
      </c>
      <c r="U1150" t="s">
        <v>6694</v>
      </c>
      <c r="W1150" t="s">
        <v>6720</v>
      </c>
    </row>
    <row r="1151" spans="1:23" ht="15.6" x14ac:dyDescent="0.4">
      <c r="A1151" s="2" t="s">
        <v>1693</v>
      </c>
      <c r="B1151" s="5" t="s">
        <v>7690</v>
      </c>
      <c r="C1151" s="7" t="s">
        <v>12556</v>
      </c>
      <c r="D1151" s="8">
        <f t="shared" si="72"/>
        <v>0</v>
      </c>
      <c r="E1151" s="7" t="s">
        <v>12557</v>
      </c>
      <c r="F1151" s="7">
        <f t="shared" si="73"/>
        <v>1</v>
      </c>
      <c r="G1151" s="7" t="s">
        <v>12558</v>
      </c>
      <c r="H1151" s="7">
        <f t="shared" si="74"/>
        <v>0</v>
      </c>
      <c r="I1151" s="7" t="str" cm="1">
        <f t="array" ref="I1151">IFERROR(_xlfn.IFS(M1151="נח",1,M1151="נע ונח",1,M1151="שני שווא נח",2,M1151="שני שוואים בסוף מילה",2,M1151="שני שוואים ברצף",1),"0")</f>
        <v>0</v>
      </c>
      <c r="J1151" s="9">
        <f t="shared" si="75"/>
        <v>2</v>
      </c>
      <c r="K1151" t="s">
        <v>6698</v>
      </c>
      <c r="L1151" t="s">
        <v>6695</v>
      </c>
      <c r="N1151" t="s">
        <v>6706</v>
      </c>
      <c r="O1151" t="s">
        <v>6694</v>
      </c>
      <c r="W1151" t="s">
        <v>6720</v>
      </c>
    </row>
    <row r="1152" spans="1:23" ht="15.6" x14ac:dyDescent="0.4">
      <c r="A1152" s="2" t="s">
        <v>3285</v>
      </c>
      <c r="B1152" s="5" t="s">
        <v>7691</v>
      </c>
      <c r="C1152" s="7" t="s">
        <v>12556</v>
      </c>
      <c r="D1152" s="8">
        <f t="shared" si="72"/>
        <v>0</v>
      </c>
      <c r="E1152" s="7" t="s">
        <v>12557</v>
      </c>
      <c r="F1152" s="7">
        <f t="shared" si="73"/>
        <v>1</v>
      </c>
      <c r="G1152" s="7" t="s">
        <v>12558</v>
      </c>
      <c r="H1152" s="7">
        <f t="shared" si="74"/>
        <v>0</v>
      </c>
      <c r="I1152" s="7" t="str" cm="1">
        <f t="array" ref="I1152">IFERROR(_xlfn.IFS(M1152="נח",1,M1152="נע ונח",1,M1152="שני שווא נח",2,M1152="שני שוואים בסוף מילה",2,M1152="שני שוואים ברצף",1),"0")</f>
        <v>0</v>
      </c>
      <c r="J1152" s="9">
        <f t="shared" si="75"/>
        <v>2</v>
      </c>
      <c r="K1152" t="s">
        <v>6697</v>
      </c>
      <c r="L1152" t="s">
        <v>6695</v>
      </c>
      <c r="O1152" t="s">
        <v>6694</v>
      </c>
      <c r="W1152" t="s">
        <v>6720</v>
      </c>
    </row>
    <row r="1153" spans="1:23" ht="15.6" x14ac:dyDescent="0.4">
      <c r="A1153" s="2" t="s">
        <v>2928</v>
      </c>
      <c r="B1153" s="5" t="s">
        <v>7692</v>
      </c>
      <c r="C1153" s="7" t="s">
        <v>12556</v>
      </c>
      <c r="D1153" s="8">
        <f t="shared" si="72"/>
        <v>0</v>
      </c>
      <c r="E1153" s="7" t="s">
        <v>12557</v>
      </c>
      <c r="F1153" s="7">
        <f t="shared" si="73"/>
        <v>1</v>
      </c>
      <c r="G1153" s="7" t="s">
        <v>12558</v>
      </c>
      <c r="H1153" s="7">
        <f t="shared" si="74"/>
        <v>0</v>
      </c>
      <c r="I1153" s="7" t="str" cm="1">
        <f t="array" ref="I1153">IFERROR(_xlfn.IFS(M1153="נח",1,M1153="נע ונח",1,M1153="שני שווא נח",2,M1153="שני שוואים בסוף מילה",2,M1153="שני שוואים ברצף",1),"0")</f>
        <v>0</v>
      </c>
      <c r="J1153" s="9">
        <f t="shared" si="75"/>
        <v>2</v>
      </c>
      <c r="K1153" t="s">
        <v>6698</v>
      </c>
      <c r="L1153" t="s">
        <v>6695</v>
      </c>
      <c r="N1153" t="s">
        <v>6706</v>
      </c>
      <c r="O1153" t="s">
        <v>6694</v>
      </c>
      <c r="W1153" t="s">
        <v>6720</v>
      </c>
    </row>
    <row r="1154" spans="1:23" ht="15.6" x14ac:dyDescent="0.4">
      <c r="A1154" s="2" t="s">
        <v>240</v>
      </c>
      <c r="B1154" s="5" t="s">
        <v>7693</v>
      </c>
      <c r="C1154" s="7" t="s">
        <v>12556</v>
      </c>
      <c r="D1154" s="8">
        <f t="shared" si="72"/>
        <v>0</v>
      </c>
      <c r="E1154" s="7" t="s">
        <v>12557</v>
      </c>
      <c r="F1154" s="7">
        <f t="shared" si="73"/>
        <v>2</v>
      </c>
      <c r="G1154" s="7" t="s">
        <v>12558</v>
      </c>
      <c r="H1154" s="7">
        <f t="shared" si="74"/>
        <v>1</v>
      </c>
      <c r="I1154" s="7" cm="1">
        <f t="array" ref="I1154">IFERROR(_xlfn.IFS(M1154="נח",1,M1154="נע ונח",1,M1154="שני שווא נח",2,M1154="שני שוואים בסוף מילה",2,M1154="שני שוואים ברצף",1),"0")</f>
        <v>1</v>
      </c>
      <c r="J1154" s="9">
        <f t="shared" si="75"/>
        <v>2</v>
      </c>
      <c r="K1154" t="s">
        <v>6698</v>
      </c>
      <c r="L1154" t="s">
        <v>6694</v>
      </c>
      <c r="M1154" t="s">
        <v>6705</v>
      </c>
      <c r="O1154" t="s">
        <v>6694</v>
      </c>
      <c r="U1154" t="s">
        <v>6694</v>
      </c>
      <c r="W1154" t="s">
        <v>6720</v>
      </c>
    </row>
    <row r="1155" spans="1:23" ht="15.6" x14ac:dyDescent="0.4">
      <c r="A1155" s="2" t="s">
        <v>3538</v>
      </c>
      <c r="B1155" s="5" t="s">
        <v>7694</v>
      </c>
      <c r="C1155" s="7" t="s">
        <v>12556</v>
      </c>
      <c r="D1155" s="8">
        <f t="shared" ref="D1155:D1218" si="76">(LEN(B1155)-LEN(SUBSTITUTE(B1155,C1155,"")))</f>
        <v>1</v>
      </c>
      <c r="E1155" s="7" t="s">
        <v>12557</v>
      </c>
      <c r="F1155" s="7">
        <f t="shared" ref="F1155:F1218" si="77">(LEN(A1155)-LEN(SUBSTITUTE(A1155,E1155,"")))</f>
        <v>2</v>
      </c>
      <c r="G1155" s="7" t="s">
        <v>12558</v>
      </c>
      <c r="H1155" s="7">
        <f t="shared" ref="H1155:H1218" si="78">(LEN(A1155)-LEN(SUBSTITUTE(A1155,G1155,"")))/2</f>
        <v>0</v>
      </c>
      <c r="I1155" s="7" cm="1">
        <f t="array" ref="I1155">IFERROR(_xlfn.IFS(M1155="נח",1,M1155="נע ונח",1,M1155="שני שווא נח",2,M1155="שני שוואים בסוף מילה",2,M1155="שני שוואים ברצף",1),"0")</f>
        <v>1</v>
      </c>
      <c r="J1155" s="9">
        <f t="shared" ref="J1155:J1218" si="79">LEN(A1155)-(LEN(B1155))-D1155-F1155+H1155-I1155</f>
        <v>2</v>
      </c>
      <c r="K1155" t="s">
        <v>6698</v>
      </c>
      <c r="L1155" t="s">
        <v>6694</v>
      </c>
      <c r="M1155" t="s">
        <v>6705</v>
      </c>
      <c r="N1155" t="s">
        <v>6706</v>
      </c>
      <c r="O1155" t="s">
        <v>6694</v>
      </c>
      <c r="W1155" t="s">
        <v>6720</v>
      </c>
    </row>
    <row r="1156" spans="1:23" ht="15.6" x14ac:dyDescent="0.4">
      <c r="A1156" s="2" t="s">
        <v>4524</v>
      </c>
      <c r="B1156" s="5" t="s">
        <v>7274</v>
      </c>
      <c r="C1156" s="7" t="s">
        <v>12556</v>
      </c>
      <c r="D1156" s="8">
        <f t="shared" si="76"/>
        <v>1</v>
      </c>
      <c r="E1156" s="7" t="s">
        <v>12557</v>
      </c>
      <c r="F1156" s="7">
        <f t="shared" si="77"/>
        <v>1</v>
      </c>
      <c r="G1156" s="7" t="s">
        <v>12558</v>
      </c>
      <c r="H1156" s="7">
        <f t="shared" si="78"/>
        <v>0</v>
      </c>
      <c r="I1156" s="7" t="str" cm="1">
        <f t="array" ref="I1156">IFERROR(_xlfn.IFS(M1156="נח",1,M1156="נע ונח",1,M1156="שני שווא נח",2,M1156="שני שוואים בסוף מילה",2,M1156="שני שוואים ברצף",1),"0")</f>
        <v>0</v>
      </c>
      <c r="J1156" s="9">
        <f t="shared" si="79"/>
        <v>2</v>
      </c>
      <c r="K1156" t="s">
        <v>6698</v>
      </c>
      <c r="L1156" t="s">
        <v>6695</v>
      </c>
      <c r="N1156" t="s">
        <v>6706</v>
      </c>
      <c r="O1156" t="s">
        <v>6694</v>
      </c>
      <c r="W1156" t="s">
        <v>6720</v>
      </c>
    </row>
    <row r="1157" spans="1:23" ht="15.6" x14ac:dyDescent="0.4">
      <c r="A1157" s="2" t="s">
        <v>1802</v>
      </c>
      <c r="B1157" s="5" t="s">
        <v>7275</v>
      </c>
      <c r="C1157" s="7" t="s">
        <v>12556</v>
      </c>
      <c r="D1157" s="8">
        <f t="shared" si="76"/>
        <v>1</v>
      </c>
      <c r="E1157" s="7" t="s">
        <v>12557</v>
      </c>
      <c r="F1157" s="7">
        <f t="shared" si="77"/>
        <v>1</v>
      </c>
      <c r="G1157" s="7" t="s">
        <v>12558</v>
      </c>
      <c r="H1157" s="7">
        <f t="shared" si="78"/>
        <v>0</v>
      </c>
      <c r="I1157" s="7" t="str" cm="1">
        <f t="array" ref="I1157">IFERROR(_xlfn.IFS(M1157="נח",1,M1157="נע ונח",1,M1157="שני שווא נח",2,M1157="שני שוואים בסוף מילה",2,M1157="שני שוואים ברצף",1),"0")</f>
        <v>0</v>
      </c>
      <c r="J1157" s="9">
        <f t="shared" si="79"/>
        <v>2</v>
      </c>
      <c r="K1157" t="s">
        <v>6698</v>
      </c>
      <c r="L1157" t="s">
        <v>6695</v>
      </c>
      <c r="N1157" t="s">
        <v>6706</v>
      </c>
      <c r="O1157" t="s">
        <v>6694</v>
      </c>
      <c r="W1157" t="s">
        <v>6720</v>
      </c>
    </row>
    <row r="1158" spans="1:23" ht="15.6" x14ac:dyDescent="0.4">
      <c r="A1158" s="2" t="s">
        <v>3838</v>
      </c>
      <c r="B1158" s="5" t="s">
        <v>7695</v>
      </c>
      <c r="C1158" s="7" t="s">
        <v>12556</v>
      </c>
      <c r="D1158" s="8">
        <f t="shared" si="76"/>
        <v>0</v>
      </c>
      <c r="E1158" s="7" t="s">
        <v>12557</v>
      </c>
      <c r="F1158" s="7">
        <f t="shared" si="77"/>
        <v>2</v>
      </c>
      <c r="G1158" s="7" t="s">
        <v>12558</v>
      </c>
      <c r="H1158" s="7">
        <f t="shared" si="78"/>
        <v>0</v>
      </c>
      <c r="I1158" s="7" t="str" cm="1">
        <f t="array" ref="I1158">IFERROR(_xlfn.IFS(M1158="נח",1,M1158="נע ונח",1,M1158="שני שווא נח",2,M1158="שני שוואים בסוף מילה",2,M1158="שני שוואים ברצף",1),"0")</f>
        <v>0</v>
      </c>
      <c r="J1158" s="9">
        <f t="shared" si="79"/>
        <v>3</v>
      </c>
      <c r="K1158" t="s">
        <v>6697</v>
      </c>
      <c r="L1158" t="s">
        <v>6695</v>
      </c>
      <c r="O1158" t="s">
        <v>6694</v>
      </c>
      <c r="Q1158" t="s">
        <v>6694</v>
      </c>
      <c r="V1158" t="s">
        <v>6694</v>
      </c>
      <c r="W1158" t="s">
        <v>6720</v>
      </c>
    </row>
    <row r="1159" spans="1:23" ht="15.6" x14ac:dyDescent="0.4">
      <c r="A1159" s="2" t="s">
        <v>1659</v>
      </c>
      <c r="B1159" s="5" t="s">
        <v>7251</v>
      </c>
      <c r="C1159" s="7" t="s">
        <v>12556</v>
      </c>
      <c r="D1159" s="8">
        <f t="shared" si="76"/>
        <v>0</v>
      </c>
      <c r="E1159" s="7" t="s">
        <v>12557</v>
      </c>
      <c r="F1159" s="7">
        <f t="shared" si="77"/>
        <v>1</v>
      </c>
      <c r="G1159" s="7" t="s">
        <v>12558</v>
      </c>
      <c r="H1159" s="7">
        <f t="shared" si="78"/>
        <v>0</v>
      </c>
      <c r="I1159" s="7" t="str" cm="1">
        <f t="array" ref="I1159">IFERROR(_xlfn.IFS(M1159="נח",1,M1159="נע ונח",1,M1159="שני שווא נח",2,M1159="שני שוואים בסוף מילה",2,M1159="שני שוואים ברצף",1),"0")</f>
        <v>0</v>
      </c>
      <c r="J1159" s="9">
        <f t="shared" si="79"/>
        <v>1</v>
      </c>
      <c r="K1159" t="s">
        <v>6697</v>
      </c>
      <c r="L1159" t="s">
        <v>6695</v>
      </c>
      <c r="V1159" t="s">
        <v>6694</v>
      </c>
      <c r="W1159" t="s">
        <v>6720</v>
      </c>
    </row>
    <row r="1160" spans="1:23" ht="15.6" x14ac:dyDescent="0.4">
      <c r="A1160" s="2" t="s">
        <v>2974</v>
      </c>
      <c r="B1160" s="5" t="s">
        <v>7254</v>
      </c>
      <c r="C1160" s="7" t="s">
        <v>12556</v>
      </c>
      <c r="D1160" s="8">
        <f t="shared" si="76"/>
        <v>0</v>
      </c>
      <c r="E1160" s="7" t="s">
        <v>12557</v>
      </c>
      <c r="F1160" s="7">
        <f t="shared" si="77"/>
        <v>2</v>
      </c>
      <c r="G1160" s="7" t="s">
        <v>12558</v>
      </c>
      <c r="H1160" s="7">
        <f t="shared" si="78"/>
        <v>1</v>
      </c>
      <c r="I1160" s="7" t="str" cm="1">
        <f t="array" ref="I1160">IFERROR(_xlfn.IFS(M1160="נח",1,M1160="נע ונח",1,M1160="שני שווא נח",2,M1160="שני שוואים בסוף מילה",2,M1160="שני שוואים ברצף",1),"0")</f>
        <v>0</v>
      </c>
      <c r="J1160" s="9">
        <f t="shared" si="79"/>
        <v>2</v>
      </c>
      <c r="K1160" t="s">
        <v>6697</v>
      </c>
      <c r="L1160" t="s">
        <v>6695</v>
      </c>
      <c r="U1160" t="s">
        <v>6694</v>
      </c>
      <c r="V1160" t="s">
        <v>6694</v>
      </c>
      <c r="W1160" t="s">
        <v>6720</v>
      </c>
    </row>
    <row r="1161" spans="1:23" ht="15.6" x14ac:dyDescent="0.4">
      <c r="A1161" s="2" t="s">
        <v>4185</v>
      </c>
      <c r="B1161" s="5" t="s">
        <v>7120</v>
      </c>
      <c r="C1161" s="7" t="s">
        <v>12556</v>
      </c>
      <c r="D1161" s="8">
        <f t="shared" si="76"/>
        <v>0</v>
      </c>
      <c r="E1161" s="7" t="s">
        <v>12557</v>
      </c>
      <c r="F1161" s="7">
        <f t="shared" si="77"/>
        <v>1</v>
      </c>
      <c r="G1161" s="7" t="s">
        <v>12558</v>
      </c>
      <c r="H1161" s="7">
        <f t="shared" si="78"/>
        <v>0</v>
      </c>
      <c r="I1161" s="7" cm="1">
        <f t="array" ref="I1161">IFERROR(_xlfn.IFS(M1161="נח",1,M1161="נע ונח",1,M1161="שני שווא נח",2,M1161="שני שוואים בסוף מילה",2,M1161="שני שוואים ברצף",1),"0")</f>
        <v>1</v>
      </c>
      <c r="J1161" s="9">
        <f t="shared" si="79"/>
        <v>2</v>
      </c>
      <c r="K1161" t="s">
        <v>6698</v>
      </c>
      <c r="L1161" t="s">
        <v>6694</v>
      </c>
      <c r="M1161" t="s">
        <v>6705</v>
      </c>
      <c r="Q1161" t="s">
        <v>6694</v>
      </c>
      <c r="V1161" t="s">
        <v>6694</v>
      </c>
      <c r="W1161" t="s">
        <v>6720</v>
      </c>
    </row>
    <row r="1162" spans="1:23" ht="15.6" x14ac:dyDescent="0.4">
      <c r="A1162" s="2" t="s">
        <v>1294</v>
      </c>
      <c r="B1162" s="5" t="s">
        <v>7263</v>
      </c>
      <c r="C1162" s="7" t="s">
        <v>12556</v>
      </c>
      <c r="D1162" s="8">
        <f t="shared" si="76"/>
        <v>0</v>
      </c>
      <c r="E1162" s="7" t="s">
        <v>12557</v>
      </c>
      <c r="F1162" s="7">
        <f t="shared" si="77"/>
        <v>1</v>
      </c>
      <c r="G1162" s="7" t="s">
        <v>12558</v>
      </c>
      <c r="H1162" s="7">
        <f t="shared" si="78"/>
        <v>0</v>
      </c>
      <c r="I1162" s="7" t="str" cm="1">
        <f t="array" ref="I1162">IFERROR(_xlfn.IFS(M1162="נח",1,M1162="נע ונח",1,M1162="שני שווא נח",2,M1162="שני שוואים בסוף מילה",2,M1162="שני שוואים ברצף",1),"0")</f>
        <v>0</v>
      </c>
      <c r="J1162" s="9">
        <f t="shared" si="79"/>
        <v>3</v>
      </c>
      <c r="K1162" t="s">
        <v>6697</v>
      </c>
      <c r="L1162" t="s">
        <v>6695</v>
      </c>
      <c r="N1162" t="s">
        <v>6707</v>
      </c>
      <c r="P1162" t="s">
        <v>6694</v>
      </c>
      <c r="Q1162" t="s">
        <v>6694</v>
      </c>
      <c r="V1162" t="s">
        <v>6694</v>
      </c>
      <c r="W1162" t="s">
        <v>6720</v>
      </c>
    </row>
    <row r="1163" spans="1:23" ht="15.6" x14ac:dyDescent="0.4">
      <c r="A1163" s="2" t="s">
        <v>84</v>
      </c>
      <c r="B1163" s="5" t="s">
        <v>7696</v>
      </c>
      <c r="C1163" s="7" t="s">
        <v>12556</v>
      </c>
      <c r="D1163" s="8">
        <f t="shared" si="76"/>
        <v>0</v>
      </c>
      <c r="E1163" s="7" t="s">
        <v>12557</v>
      </c>
      <c r="F1163" s="7">
        <f t="shared" si="77"/>
        <v>1</v>
      </c>
      <c r="G1163" s="7" t="s">
        <v>12558</v>
      </c>
      <c r="H1163" s="7">
        <f t="shared" si="78"/>
        <v>0</v>
      </c>
      <c r="I1163" s="7" t="str" cm="1">
        <f t="array" ref="I1163">IFERROR(_xlfn.IFS(M1163="נח",1,M1163="נע ונח",1,M1163="שני שווא נח",2,M1163="שני שוואים בסוף מילה",2,M1163="שני שוואים ברצף",1),"0")</f>
        <v>0</v>
      </c>
      <c r="J1163" s="9">
        <f t="shared" si="79"/>
        <v>3</v>
      </c>
      <c r="K1163" t="s">
        <v>6698</v>
      </c>
      <c r="L1163" t="s">
        <v>6695</v>
      </c>
      <c r="P1163" t="s">
        <v>6694</v>
      </c>
      <c r="S1163" t="s">
        <v>6694</v>
      </c>
      <c r="V1163" t="s">
        <v>6694</v>
      </c>
      <c r="W1163" t="s">
        <v>6720</v>
      </c>
    </row>
    <row r="1164" spans="1:23" ht="15.6" x14ac:dyDescent="0.4">
      <c r="A1164" s="2" t="s">
        <v>3157</v>
      </c>
      <c r="B1164" s="5" t="s">
        <v>7272</v>
      </c>
      <c r="C1164" s="7" t="s">
        <v>12556</v>
      </c>
      <c r="D1164" s="8">
        <f t="shared" si="76"/>
        <v>0</v>
      </c>
      <c r="E1164" s="7" t="s">
        <v>12557</v>
      </c>
      <c r="F1164" s="7">
        <f t="shared" si="77"/>
        <v>1</v>
      </c>
      <c r="G1164" s="7" t="s">
        <v>12558</v>
      </c>
      <c r="H1164" s="7">
        <f t="shared" si="78"/>
        <v>0</v>
      </c>
      <c r="I1164" s="7" t="str" cm="1">
        <f t="array" ref="I1164">IFERROR(_xlfn.IFS(M1164="נח",1,M1164="נע ונח",1,M1164="שני שווא נח",2,M1164="שני שוואים בסוף מילה",2,M1164="שני שוואים ברצף",1),"0")</f>
        <v>0</v>
      </c>
      <c r="J1164" s="9">
        <f t="shared" si="79"/>
        <v>2</v>
      </c>
      <c r="K1164" t="s">
        <v>6698</v>
      </c>
      <c r="L1164" t="s">
        <v>6695</v>
      </c>
      <c r="R1164" t="s">
        <v>6694</v>
      </c>
      <c r="V1164" t="s">
        <v>6694</v>
      </c>
      <c r="W1164" t="s">
        <v>6720</v>
      </c>
    </row>
    <row r="1165" spans="1:23" ht="15.6" x14ac:dyDescent="0.4">
      <c r="A1165" s="2" t="s">
        <v>716</v>
      </c>
      <c r="B1165" s="5" t="s">
        <v>7697</v>
      </c>
      <c r="C1165" s="7" t="s">
        <v>12556</v>
      </c>
      <c r="D1165" s="8">
        <f t="shared" si="76"/>
        <v>0</v>
      </c>
      <c r="E1165" s="7" t="s">
        <v>12557</v>
      </c>
      <c r="F1165" s="7">
        <f t="shared" si="77"/>
        <v>1</v>
      </c>
      <c r="G1165" s="7" t="s">
        <v>12558</v>
      </c>
      <c r="H1165" s="7">
        <f t="shared" si="78"/>
        <v>0</v>
      </c>
      <c r="I1165" s="7" t="str" cm="1">
        <f t="array" ref="I1165">IFERROR(_xlfn.IFS(M1165="נח",1,M1165="נע ונח",1,M1165="שני שווא נח",2,M1165="שני שוואים בסוף מילה",2,M1165="שני שוואים ברצף",1),"0")</f>
        <v>0</v>
      </c>
      <c r="J1165" s="9">
        <f t="shared" si="79"/>
        <v>1</v>
      </c>
      <c r="K1165" t="s">
        <v>6697</v>
      </c>
      <c r="L1165" t="s">
        <v>6695</v>
      </c>
      <c r="V1165" t="s">
        <v>6694</v>
      </c>
      <c r="W1165" t="s">
        <v>6720</v>
      </c>
    </row>
    <row r="1166" spans="1:23" ht="15.6" x14ac:dyDescent="0.4">
      <c r="A1166" s="2" t="s">
        <v>1336</v>
      </c>
      <c r="B1166" s="5" t="s">
        <v>7698</v>
      </c>
      <c r="C1166" s="7" t="s">
        <v>12556</v>
      </c>
      <c r="D1166" s="8">
        <f t="shared" si="76"/>
        <v>0</v>
      </c>
      <c r="E1166" s="7" t="s">
        <v>12557</v>
      </c>
      <c r="F1166" s="7">
        <f t="shared" si="77"/>
        <v>1</v>
      </c>
      <c r="G1166" s="7" t="s">
        <v>12558</v>
      </c>
      <c r="H1166" s="7">
        <f t="shared" si="78"/>
        <v>0</v>
      </c>
      <c r="I1166" s="7" t="str" cm="1">
        <f t="array" ref="I1166">IFERROR(_xlfn.IFS(M1166="נח",1,M1166="נע ונח",1,M1166="שני שווא נח",2,M1166="שני שוואים בסוף מילה",2,M1166="שני שוואים ברצף",1),"0")</f>
        <v>0</v>
      </c>
      <c r="J1166" s="9">
        <f t="shared" si="79"/>
        <v>2</v>
      </c>
      <c r="K1166" t="s">
        <v>6697</v>
      </c>
      <c r="L1166" t="s">
        <v>6695</v>
      </c>
      <c r="Q1166" t="s">
        <v>6694</v>
      </c>
      <c r="V1166" t="s">
        <v>6694</v>
      </c>
      <c r="W1166" t="s">
        <v>6720</v>
      </c>
    </row>
    <row r="1167" spans="1:23" ht="15.6" x14ac:dyDescent="0.4">
      <c r="A1167" s="2" t="s">
        <v>1899</v>
      </c>
      <c r="B1167" s="5" t="s">
        <v>7699</v>
      </c>
      <c r="C1167" s="7" t="s">
        <v>12556</v>
      </c>
      <c r="D1167" s="8">
        <f t="shared" si="76"/>
        <v>0</v>
      </c>
      <c r="E1167" s="7" t="s">
        <v>12557</v>
      </c>
      <c r="F1167" s="7">
        <f t="shared" si="77"/>
        <v>1</v>
      </c>
      <c r="G1167" s="7" t="s">
        <v>12558</v>
      </c>
      <c r="H1167" s="7">
        <f t="shared" si="78"/>
        <v>0</v>
      </c>
      <c r="I1167" s="7" t="str" cm="1">
        <f t="array" ref="I1167">IFERROR(_xlfn.IFS(M1167="נח",1,M1167="נע ונח",1,M1167="שני שווא נח",2,M1167="שני שוואים בסוף מילה",2,M1167="שני שוואים ברצף",1),"0")</f>
        <v>0</v>
      </c>
      <c r="J1167" s="9">
        <f t="shared" si="79"/>
        <v>1</v>
      </c>
      <c r="K1167" t="s">
        <v>6698</v>
      </c>
      <c r="L1167" t="s">
        <v>6695</v>
      </c>
      <c r="V1167" t="s">
        <v>6694</v>
      </c>
      <c r="W1167" t="s">
        <v>6720</v>
      </c>
    </row>
    <row r="1168" spans="1:23" ht="15.6" x14ac:dyDescent="0.4">
      <c r="A1168" s="2" t="s">
        <v>315</v>
      </c>
      <c r="B1168" s="5" t="s">
        <v>7697</v>
      </c>
      <c r="C1168" s="7" t="s">
        <v>12556</v>
      </c>
      <c r="D1168" s="8">
        <f t="shared" si="76"/>
        <v>0</v>
      </c>
      <c r="E1168" s="7" t="s">
        <v>12557</v>
      </c>
      <c r="F1168" s="7">
        <f t="shared" si="77"/>
        <v>0</v>
      </c>
      <c r="G1168" s="7" t="s">
        <v>12558</v>
      </c>
      <c r="H1168" s="7">
        <f t="shared" si="78"/>
        <v>0</v>
      </c>
      <c r="I1168" s="7" t="str" cm="1">
        <f t="array" ref="I1168">IFERROR(_xlfn.IFS(M1168="נח",1,M1168="נע ונח",1,M1168="שני שווא נח",2,M1168="שני שוואים בסוף מילה",2,M1168="שני שוואים ברצף",1),"0")</f>
        <v>0</v>
      </c>
      <c r="J1168" s="9">
        <f t="shared" si="79"/>
        <v>1</v>
      </c>
      <c r="K1168" t="s">
        <v>6697</v>
      </c>
      <c r="L1168" t="s">
        <v>6695</v>
      </c>
      <c r="V1168" t="s">
        <v>6694</v>
      </c>
      <c r="W1168" t="s">
        <v>6720</v>
      </c>
    </row>
    <row r="1169" spans="1:23" ht="15.6" x14ac:dyDescent="0.4">
      <c r="A1169" s="2" t="s">
        <v>6255</v>
      </c>
      <c r="B1169" s="5" t="s">
        <v>7700</v>
      </c>
      <c r="C1169" s="7" t="s">
        <v>12556</v>
      </c>
      <c r="D1169" s="8">
        <f t="shared" si="76"/>
        <v>0</v>
      </c>
      <c r="E1169" s="7" t="s">
        <v>12557</v>
      </c>
      <c r="F1169" s="7">
        <f t="shared" si="77"/>
        <v>0</v>
      </c>
      <c r="G1169" s="7" t="s">
        <v>12558</v>
      </c>
      <c r="H1169" s="7">
        <f t="shared" si="78"/>
        <v>0</v>
      </c>
      <c r="I1169" s="7" t="str" cm="1">
        <f t="array" ref="I1169">IFERROR(_xlfn.IFS(M1169="נח",1,M1169="נע ונח",1,M1169="שני שווא נח",2,M1169="שני שוואים בסוף מילה",2,M1169="שני שוואים ברצף",1),"0")</f>
        <v>0</v>
      </c>
      <c r="J1169" s="9">
        <f t="shared" si="79"/>
        <v>3</v>
      </c>
      <c r="K1169" t="s">
        <v>6697</v>
      </c>
      <c r="L1169" t="s">
        <v>6695</v>
      </c>
      <c r="N1169" t="s">
        <v>6707</v>
      </c>
      <c r="P1169" t="s">
        <v>6694</v>
      </c>
      <c r="Q1169" t="s">
        <v>6694</v>
      </c>
      <c r="V1169" t="s">
        <v>6694</v>
      </c>
      <c r="W1169" t="s">
        <v>6720</v>
      </c>
    </row>
    <row r="1170" spans="1:23" ht="15.6" x14ac:dyDescent="0.4">
      <c r="A1170" s="2" t="s">
        <v>6259</v>
      </c>
      <c r="B1170" s="5" t="s">
        <v>7699</v>
      </c>
      <c r="C1170" s="7" t="s">
        <v>12556</v>
      </c>
      <c r="D1170" s="8">
        <f t="shared" si="76"/>
        <v>0</v>
      </c>
      <c r="E1170" s="7" t="s">
        <v>12557</v>
      </c>
      <c r="F1170" s="7">
        <f t="shared" si="77"/>
        <v>0</v>
      </c>
      <c r="G1170" s="7" t="s">
        <v>12558</v>
      </c>
      <c r="H1170" s="7">
        <f t="shared" si="78"/>
        <v>0</v>
      </c>
      <c r="I1170" s="7" t="str" cm="1">
        <f t="array" ref="I1170">IFERROR(_xlfn.IFS(M1170="נח",1,M1170="נע ונח",1,M1170="שני שווא נח",2,M1170="שני שוואים בסוף מילה",2,M1170="שני שוואים ברצף",1),"0")</f>
        <v>0</v>
      </c>
      <c r="J1170" s="9">
        <f t="shared" si="79"/>
        <v>1</v>
      </c>
      <c r="K1170" t="s">
        <v>6698</v>
      </c>
      <c r="L1170" t="s">
        <v>6695</v>
      </c>
      <c r="V1170" t="s">
        <v>6694</v>
      </c>
      <c r="W1170" t="s">
        <v>6720</v>
      </c>
    </row>
    <row r="1171" spans="1:23" ht="15.6" x14ac:dyDescent="0.4">
      <c r="A1171" s="2" t="s">
        <v>5969</v>
      </c>
      <c r="B1171" s="5" t="s">
        <v>7701</v>
      </c>
      <c r="C1171" s="7" t="s">
        <v>12556</v>
      </c>
      <c r="D1171" s="8">
        <f t="shared" si="76"/>
        <v>1</v>
      </c>
      <c r="E1171" s="7" t="s">
        <v>12557</v>
      </c>
      <c r="F1171" s="7">
        <f t="shared" si="77"/>
        <v>1</v>
      </c>
      <c r="G1171" s="7" t="s">
        <v>12558</v>
      </c>
      <c r="H1171" s="7">
        <f t="shared" si="78"/>
        <v>1</v>
      </c>
      <c r="I1171" s="7" t="str" cm="1">
        <f t="array" ref="I1171">IFERROR(_xlfn.IFS(M1171="נח",1,M1171="נע ונח",1,M1171="שני שווא נח",2,M1171="שני שוואים בסוף מילה",2,M1171="שני שוואים ברצף",1),"0")</f>
        <v>0</v>
      </c>
      <c r="J1171" s="9">
        <f t="shared" si="79"/>
        <v>2</v>
      </c>
      <c r="K1171" t="s">
        <v>6697</v>
      </c>
      <c r="L1171" t="s">
        <v>6695</v>
      </c>
      <c r="U1171" t="s">
        <v>6694</v>
      </c>
      <c r="V1171" t="s">
        <v>6694</v>
      </c>
      <c r="W1171" t="s">
        <v>6720</v>
      </c>
    </row>
    <row r="1172" spans="1:23" ht="15.6" x14ac:dyDescent="0.4">
      <c r="A1172" s="2" t="s">
        <v>4618</v>
      </c>
      <c r="B1172" s="5" t="s">
        <v>7702</v>
      </c>
      <c r="C1172" s="7" t="s">
        <v>12556</v>
      </c>
      <c r="D1172" s="8">
        <f t="shared" si="76"/>
        <v>0</v>
      </c>
      <c r="E1172" s="7" t="s">
        <v>12557</v>
      </c>
      <c r="F1172" s="7">
        <f t="shared" si="77"/>
        <v>1</v>
      </c>
      <c r="G1172" s="7" t="s">
        <v>12558</v>
      </c>
      <c r="H1172" s="7">
        <f t="shared" si="78"/>
        <v>0</v>
      </c>
      <c r="I1172" s="7" t="str" cm="1">
        <f t="array" ref="I1172">IFERROR(_xlfn.IFS(M1172="נח",1,M1172="נע ונח",1,M1172="שני שווא נח",2,M1172="שני שוואים בסוף מילה",2,M1172="שני שוואים ברצף",1),"0")</f>
        <v>0</v>
      </c>
      <c r="J1172" s="9">
        <f t="shared" si="79"/>
        <v>3</v>
      </c>
      <c r="K1172" t="s">
        <v>6697</v>
      </c>
      <c r="L1172" t="s">
        <v>6694</v>
      </c>
      <c r="M1172" t="s">
        <v>6700</v>
      </c>
      <c r="N1172" t="s">
        <v>6706</v>
      </c>
      <c r="O1172" t="s">
        <v>6694</v>
      </c>
      <c r="W1172" t="s">
        <v>6720</v>
      </c>
    </row>
    <row r="1173" spans="1:23" ht="15.6" x14ac:dyDescent="0.4">
      <c r="A1173" s="2" t="s">
        <v>4813</v>
      </c>
      <c r="B1173" s="5" t="s">
        <v>7703</v>
      </c>
      <c r="C1173" s="7" t="s">
        <v>12556</v>
      </c>
      <c r="D1173" s="8">
        <f t="shared" si="76"/>
        <v>0</v>
      </c>
      <c r="E1173" s="7" t="s">
        <v>12557</v>
      </c>
      <c r="F1173" s="7">
        <f t="shared" si="77"/>
        <v>0</v>
      </c>
      <c r="G1173" s="7" t="s">
        <v>12558</v>
      </c>
      <c r="H1173" s="7">
        <f t="shared" si="78"/>
        <v>0</v>
      </c>
      <c r="I1173" s="7" t="str" cm="1">
        <f t="array" ref="I1173">IFERROR(_xlfn.IFS(M1173="נח",1,M1173="נע ונח",1,M1173="שני שווא נח",2,M1173="שני שוואים בסוף מילה",2,M1173="שני שוואים ברצף",1),"0")</f>
        <v>0</v>
      </c>
      <c r="J1173" s="9">
        <f t="shared" si="79"/>
        <v>4</v>
      </c>
      <c r="K1173" t="s">
        <v>6698</v>
      </c>
      <c r="L1173" t="s">
        <v>6694</v>
      </c>
      <c r="M1173" t="s">
        <v>6700</v>
      </c>
      <c r="O1173" t="s">
        <v>6694</v>
      </c>
      <c r="Q1173" t="s">
        <v>6694</v>
      </c>
      <c r="R1173" t="s">
        <v>6694</v>
      </c>
      <c r="W1173" t="s">
        <v>6720</v>
      </c>
    </row>
    <row r="1174" spans="1:23" ht="15.6" x14ac:dyDescent="0.4">
      <c r="A1174" s="2" t="s">
        <v>532</v>
      </c>
      <c r="B1174" s="5" t="s">
        <v>7704</v>
      </c>
      <c r="C1174" s="7" t="s">
        <v>12556</v>
      </c>
      <c r="D1174" s="8">
        <f t="shared" si="76"/>
        <v>0</v>
      </c>
      <c r="E1174" s="7" t="s">
        <v>12557</v>
      </c>
      <c r="F1174" s="7">
        <f t="shared" si="77"/>
        <v>0</v>
      </c>
      <c r="G1174" s="7" t="s">
        <v>12558</v>
      </c>
      <c r="H1174" s="7">
        <f t="shared" si="78"/>
        <v>0</v>
      </c>
      <c r="I1174" s="7" t="str" cm="1">
        <f t="array" ref="I1174">IFERROR(_xlfn.IFS(M1174="נח",1,M1174="נע ונח",1,M1174="שני שווא נח",2,M1174="שני שוואים בסוף מילה",2,M1174="שני שוואים ברצף",1),"0")</f>
        <v>0</v>
      </c>
      <c r="J1174" s="9">
        <f t="shared" si="79"/>
        <v>3</v>
      </c>
      <c r="K1174" t="s">
        <v>6698</v>
      </c>
      <c r="L1174" t="s">
        <v>6694</v>
      </c>
      <c r="M1174" t="s">
        <v>6700</v>
      </c>
      <c r="V1174" t="s">
        <v>6694</v>
      </c>
      <c r="W1174" t="s">
        <v>6720</v>
      </c>
    </row>
    <row r="1175" spans="1:23" ht="15.6" x14ac:dyDescent="0.4">
      <c r="A1175" s="2" t="s">
        <v>2885</v>
      </c>
      <c r="B1175" s="5" t="s">
        <v>7705</v>
      </c>
      <c r="C1175" s="7" t="s">
        <v>12556</v>
      </c>
      <c r="D1175" s="8">
        <f t="shared" si="76"/>
        <v>0</v>
      </c>
      <c r="E1175" s="7" t="s">
        <v>12557</v>
      </c>
      <c r="F1175" s="7">
        <f t="shared" si="77"/>
        <v>1</v>
      </c>
      <c r="G1175" s="7" t="s">
        <v>12558</v>
      </c>
      <c r="H1175" s="7">
        <f t="shared" si="78"/>
        <v>0</v>
      </c>
      <c r="I1175" s="7" t="str" cm="1">
        <f t="array" ref="I1175">IFERROR(_xlfn.IFS(M1175="נח",1,M1175="נע ונח",1,M1175="שני שווא נח",2,M1175="שני שוואים בסוף מילה",2,M1175="שני שוואים ברצף",1),"0")</f>
        <v>0</v>
      </c>
      <c r="J1175" s="9">
        <f t="shared" si="79"/>
        <v>3</v>
      </c>
      <c r="K1175" t="s">
        <v>6698</v>
      </c>
      <c r="L1175" t="s">
        <v>6694</v>
      </c>
      <c r="M1175" t="s">
        <v>6700</v>
      </c>
      <c r="S1175" t="s">
        <v>6694</v>
      </c>
      <c r="V1175" t="s">
        <v>6694</v>
      </c>
      <c r="W1175" t="s">
        <v>6720</v>
      </c>
    </row>
    <row r="1176" spans="1:23" ht="15.6" x14ac:dyDescent="0.4">
      <c r="A1176" s="2" t="s">
        <v>4255</v>
      </c>
      <c r="B1176" s="5" t="s">
        <v>7706</v>
      </c>
      <c r="C1176" s="7" t="s">
        <v>12556</v>
      </c>
      <c r="D1176" s="8">
        <f t="shared" si="76"/>
        <v>0</v>
      </c>
      <c r="E1176" s="7" t="s">
        <v>12557</v>
      </c>
      <c r="F1176" s="7">
        <f t="shared" si="77"/>
        <v>0</v>
      </c>
      <c r="G1176" s="7" t="s">
        <v>12558</v>
      </c>
      <c r="H1176" s="7">
        <f t="shared" si="78"/>
        <v>0</v>
      </c>
      <c r="I1176" s="7" cm="1">
        <f t="array" ref="I1176">IFERROR(_xlfn.IFS(M1176="נח",1,M1176="נע ונח",1,M1176="שני שווא נח",2,M1176="שני שוואים בסוף מילה",2,M1176="שני שוואים ברצף",1),"0")</f>
        <v>1</v>
      </c>
      <c r="J1176" s="9">
        <f t="shared" si="79"/>
        <v>2</v>
      </c>
      <c r="K1176" t="s">
        <v>6698</v>
      </c>
      <c r="L1176" t="s">
        <v>6694</v>
      </c>
      <c r="M1176" t="s">
        <v>6705</v>
      </c>
      <c r="N1176" t="s">
        <v>6706</v>
      </c>
      <c r="O1176" t="s">
        <v>6694</v>
      </c>
      <c r="S1176" t="s">
        <v>6694</v>
      </c>
      <c r="W1176" t="s">
        <v>6720</v>
      </c>
    </row>
    <row r="1177" spans="1:23" ht="15.6" x14ac:dyDescent="0.4">
      <c r="A1177" s="2" t="s">
        <v>5103</v>
      </c>
      <c r="B1177" s="5" t="s">
        <v>7707</v>
      </c>
      <c r="C1177" s="7" t="s">
        <v>12556</v>
      </c>
      <c r="D1177" s="8">
        <f t="shared" si="76"/>
        <v>0</v>
      </c>
      <c r="E1177" s="7" t="s">
        <v>12557</v>
      </c>
      <c r="F1177" s="7">
        <f t="shared" si="77"/>
        <v>0</v>
      </c>
      <c r="G1177" s="7" t="s">
        <v>12558</v>
      </c>
      <c r="H1177" s="7">
        <f t="shared" si="78"/>
        <v>0</v>
      </c>
      <c r="I1177" s="7" t="str" cm="1">
        <f t="array" ref="I1177">IFERROR(_xlfn.IFS(M1177="נח",1,M1177="נע ונח",1,M1177="שני שווא נח",2,M1177="שני שוואים בסוף מילה",2,M1177="שני שוואים ברצף",1),"0")</f>
        <v>0</v>
      </c>
      <c r="J1177" s="9">
        <f t="shared" si="79"/>
        <v>2</v>
      </c>
      <c r="K1177" t="s">
        <v>6698</v>
      </c>
      <c r="L1177" t="s">
        <v>6695</v>
      </c>
      <c r="Q1177" t="s">
        <v>6694</v>
      </c>
      <c r="S1177" t="s">
        <v>6694</v>
      </c>
      <c r="W1177" t="s">
        <v>6720</v>
      </c>
    </row>
    <row r="1178" spans="1:23" ht="15.6" x14ac:dyDescent="0.4">
      <c r="A1178" s="2" t="s">
        <v>3479</v>
      </c>
      <c r="B1178" s="5" t="s">
        <v>7708</v>
      </c>
      <c r="C1178" s="7" t="s">
        <v>12556</v>
      </c>
      <c r="D1178" s="8">
        <f t="shared" si="76"/>
        <v>0</v>
      </c>
      <c r="E1178" s="7" t="s">
        <v>12557</v>
      </c>
      <c r="F1178" s="7">
        <f t="shared" si="77"/>
        <v>0</v>
      </c>
      <c r="G1178" s="7" t="s">
        <v>12558</v>
      </c>
      <c r="H1178" s="7">
        <f t="shared" si="78"/>
        <v>0</v>
      </c>
      <c r="I1178" s="7" t="str" cm="1">
        <f t="array" ref="I1178">IFERROR(_xlfn.IFS(M1178="נח",1,M1178="נע ונח",1,M1178="שני שווא נח",2,M1178="שני שוואים בסוף מילה",2,M1178="שני שוואים ברצף",1),"0")</f>
        <v>0</v>
      </c>
      <c r="J1178" s="9">
        <f t="shared" si="79"/>
        <v>1</v>
      </c>
      <c r="K1178" t="s">
        <v>6698</v>
      </c>
      <c r="L1178" t="s">
        <v>6695</v>
      </c>
      <c r="Q1178" t="s">
        <v>6694</v>
      </c>
      <c r="W1178" t="s">
        <v>6720</v>
      </c>
    </row>
    <row r="1179" spans="1:23" ht="15.6" x14ac:dyDescent="0.4">
      <c r="A1179" s="2" t="s">
        <v>2536</v>
      </c>
      <c r="B1179" s="5" t="s">
        <v>7709</v>
      </c>
      <c r="C1179" s="7" t="s">
        <v>12556</v>
      </c>
      <c r="D1179" s="8">
        <f t="shared" si="76"/>
        <v>0</v>
      </c>
      <c r="E1179" s="7" t="s">
        <v>12557</v>
      </c>
      <c r="F1179" s="7">
        <f t="shared" si="77"/>
        <v>0</v>
      </c>
      <c r="G1179" s="7" t="s">
        <v>12558</v>
      </c>
      <c r="H1179" s="7">
        <f t="shared" si="78"/>
        <v>0</v>
      </c>
      <c r="I1179" s="7" t="str" cm="1">
        <f t="array" ref="I1179">IFERROR(_xlfn.IFS(M1179="נח",1,M1179="נע ונח",1,M1179="שני שווא נח",2,M1179="שני שוואים בסוף מילה",2,M1179="שני שוואים ברצף",1),"0")</f>
        <v>0</v>
      </c>
      <c r="J1179" s="9">
        <f t="shared" si="79"/>
        <v>2</v>
      </c>
      <c r="K1179" t="s">
        <v>6698</v>
      </c>
      <c r="L1179" t="s">
        <v>6695</v>
      </c>
      <c r="R1179" t="s">
        <v>6694</v>
      </c>
      <c r="W1179" t="s">
        <v>6720</v>
      </c>
    </row>
    <row r="1180" spans="1:23" ht="15.6" x14ac:dyDescent="0.4">
      <c r="A1180" s="2" t="s">
        <v>5394</v>
      </c>
      <c r="B1180" s="5" t="s">
        <v>7710</v>
      </c>
      <c r="C1180" s="7" t="s">
        <v>12556</v>
      </c>
      <c r="D1180" s="8">
        <f t="shared" si="76"/>
        <v>0</v>
      </c>
      <c r="E1180" s="7" t="s">
        <v>12557</v>
      </c>
      <c r="F1180" s="7">
        <f t="shared" si="77"/>
        <v>0</v>
      </c>
      <c r="G1180" s="7" t="s">
        <v>12558</v>
      </c>
      <c r="H1180" s="7">
        <f t="shared" si="78"/>
        <v>0</v>
      </c>
      <c r="I1180" s="7" t="str" cm="1">
        <f t="array" ref="I1180">IFERROR(_xlfn.IFS(M1180="נח",1,M1180="נע ונח",1,M1180="שני שווא נח",2,M1180="שני שוואים בסוף מילה",2,M1180="שני שוואים ברצף",1),"0")</f>
        <v>0</v>
      </c>
      <c r="J1180" s="9">
        <f t="shared" si="79"/>
        <v>3</v>
      </c>
      <c r="K1180" t="s">
        <v>6697</v>
      </c>
      <c r="L1180" t="s">
        <v>6695</v>
      </c>
      <c r="O1180" t="s">
        <v>6694</v>
      </c>
      <c r="P1180" t="s">
        <v>6694</v>
      </c>
      <c r="W1180" t="s">
        <v>6720</v>
      </c>
    </row>
    <row r="1181" spans="1:23" ht="15.6" x14ac:dyDescent="0.4">
      <c r="A1181" s="2" t="s">
        <v>5804</v>
      </c>
      <c r="B1181" s="5" t="s">
        <v>7711</v>
      </c>
      <c r="C1181" s="7" t="s">
        <v>12556</v>
      </c>
      <c r="D1181" s="8">
        <f t="shared" si="76"/>
        <v>0</v>
      </c>
      <c r="E1181" s="7" t="s">
        <v>12557</v>
      </c>
      <c r="F1181" s="7">
        <f t="shared" si="77"/>
        <v>1</v>
      </c>
      <c r="G1181" s="7" t="s">
        <v>12558</v>
      </c>
      <c r="H1181" s="7">
        <f t="shared" si="78"/>
        <v>0</v>
      </c>
      <c r="I1181" s="7" t="str" cm="1">
        <f t="array" ref="I1181">IFERROR(_xlfn.IFS(M1181="נח",1,M1181="נע ונח",1,M1181="שני שווא נח",2,M1181="שני שוואים בסוף מילה",2,M1181="שני שוואים ברצף",1),"0")</f>
        <v>0</v>
      </c>
      <c r="J1181" s="9">
        <f t="shared" si="79"/>
        <v>2</v>
      </c>
      <c r="K1181" t="s">
        <v>6698</v>
      </c>
      <c r="L1181" t="s">
        <v>6695</v>
      </c>
      <c r="N1181" t="s">
        <v>6706</v>
      </c>
      <c r="O1181" t="s">
        <v>6694</v>
      </c>
      <c r="P1181" t="s">
        <v>6694</v>
      </c>
      <c r="W1181" t="s">
        <v>6720</v>
      </c>
    </row>
    <row r="1182" spans="1:23" ht="15.6" x14ac:dyDescent="0.4">
      <c r="A1182" s="2" t="s">
        <v>1715</v>
      </c>
      <c r="B1182" s="5" t="s">
        <v>7712</v>
      </c>
      <c r="C1182" s="7" t="s">
        <v>12556</v>
      </c>
      <c r="D1182" s="8">
        <f t="shared" si="76"/>
        <v>0</v>
      </c>
      <c r="E1182" s="7" t="s">
        <v>12557</v>
      </c>
      <c r="F1182" s="7">
        <f t="shared" si="77"/>
        <v>0</v>
      </c>
      <c r="G1182" s="7" t="s">
        <v>12558</v>
      </c>
      <c r="H1182" s="7">
        <f t="shared" si="78"/>
        <v>0</v>
      </c>
      <c r="I1182" s="7" t="str" cm="1">
        <f t="array" ref="I1182">IFERROR(_xlfn.IFS(M1182="נח",1,M1182="נע ונח",1,M1182="שני שווא נח",2,M1182="שני שוואים בסוף מילה",2,M1182="שני שוואים ברצף",1),"0")</f>
        <v>0</v>
      </c>
      <c r="J1182" s="9">
        <f t="shared" si="79"/>
        <v>1</v>
      </c>
      <c r="K1182" t="s">
        <v>6698</v>
      </c>
      <c r="L1182" t="s">
        <v>6695</v>
      </c>
      <c r="P1182" t="s">
        <v>6694</v>
      </c>
      <c r="W1182" t="s">
        <v>6720</v>
      </c>
    </row>
    <row r="1183" spans="1:23" ht="15.6" x14ac:dyDescent="0.4">
      <c r="A1183" s="2" t="s">
        <v>5327</v>
      </c>
      <c r="B1183" s="5" t="s">
        <v>7713</v>
      </c>
      <c r="C1183" s="7" t="s">
        <v>12556</v>
      </c>
      <c r="D1183" s="8">
        <f t="shared" si="76"/>
        <v>0</v>
      </c>
      <c r="E1183" s="7" t="s">
        <v>12557</v>
      </c>
      <c r="F1183" s="7">
        <f t="shared" si="77"/>
        <v>1</v>
      </c>
      <c r="G1183" s="7" t="s">
        <v>12558</v>
      </c>
      <c r="H1183" s="7">
        <f t="shared" si="78"/>
        <v>0</v>
      </c>
      <c r="I1183" s="7" t="str" cm="1">
        <f t="array" ref="I1183">IFERROR(_xlfn.IFS(M1183="נח",1,M1183="נע ונח",1,M1183="שני שווא נח",2,M1183="שני שוואים בסוף מילה",2,M1183="שני שוואים ברצף",1),"0")</f>
        <v>0</v>
      </c>
      <c r="J1183" s="9">
        <f t="shared" si="79"/>
        <v>2</v>
      </c>
      <c r="K1183" t="s">
        <v>6698</v>
      </c>
      <c r="L1183" t="s">
        <v>6695</v>
      </c>
      <c r="N1183" t="s">
        <v>6706</v>
      </c>
      <c r="O1183" t="s">
        <v>6694</v>
      </c>
      <c r="P1183" t="s">
        <v>6694</v>
      </c>
      <c r="W1183" t="s">
        <v>6720</v>
      </c>
    </row>
    <row r="1184" spans="1:23" ht="15.6" x14ac:dyDescent="0.4">
      <c r="A1184" s="2" t="s">
        <v>1011</v>
      </c>
      <c r="B1184" s="5" t="s">
        <v>7709</v>
      </c>
      <c r="C1184" s="7" t="s">
        <v>12556</v>
      </c>
      <c r="D1184" s="8">
        <f t="shared" si="76"/>
        <v>0</v>
      </c>
      <c r="E1184" s="7" t="s">
        <v>12557</v>
      </c>
      <c r="F1184" s="7">
        <f t="shared" si="77"/>
        <v>0</v>
      </c>
      <c r="G1184" s="7" t="s">
        <v>12558</v>
      </c>
      <c r="H1184" s="7">
        <f t="shared" si="78"/>
        <v>0</v>
      </c>
      <c r="I1184" s="7" t="str" cm="1">
        <f t="array" ref="I1184">IFERROR(_xlfn.IFS(M1184="נח",1,M1184="נע ונח",1,M1184="שני שווא נח",2,M1184="שני שוואים בסוף מילה",2,M1184="שני שוואים ברצף",1),"0")</f>
        <v>0</v>
      </c>
      <c r="J1184" s="9">
        <f t="shared" si="79"/>
        <v>2</v>
      </c>
      <c r="K1184" t="s">
        <v>6698</v>
      </c>
      <c r="L1184" t="s">
        <v>6695</v>
      </c>
      <c r="O1184" t="s">
        <v>6694</v>
      </c>
      <c r="P1184" t="s">
        <v>6694</v>
      </c>
      <c r="W1184" t="s">
        <v>6720</v>
      </c>
    </row>
    <row r="1185" spans="1:23" ht="15.6" x14ac:dyDescent="0.4">
      <c r="A1185" s="2" t="s">
        <v>4125</v>
      </c>
      <c r="B1185" s="5" t="s">
        <v>7714</v>
      </c>
      <c r="C1185" s="7" t="s">
        <v>12556</v>
      </c>
      <c r="D1185" s="8">
        <f t="shared" si="76"/>
        <v>0</v>
      </c>
      <c r="E1185" s="7" t="s">
        <v>12557</v>
      </c>
      <c r="F1185" s="7">
        <f t="shared" si="77"/>
        <v>0</v>
      </c>
      <c r="G1185" s="7" t="s">
        <v>12558</v>
      </c>
      <c r="H1185" s="7">
        <f t="shared" si="78"/>
        <v>0</v>
      </c>
      <c r="I1185" s="7" t="str" cm="1">
        <f t="array" ref="I1185">IFERROR(_xlfn.IFS(M1185="נח",1,M1185="נע ונח",1,M1185="שני שווא נח",2,M1185="שני שוואים בסוף מילה",2,M1185="שני שוואים ברצף",1),"0")</f>
        <v>0</v>
      </c>
      <c r="J1185" s="9">
        <f t="shared" si="79"/>
        <v>2</v>
      </c>
      <c r="K1185" t="s">
        <v>6698</v>
      </c>
      <c r="L1185" t="s">
        <v>6695</v>
      </c>
      <c r="O1185" t="s">
        <v>6694</v>
      </c>
      <c r="V1185" t="s">
        <v>6694</v>
      </c>
      <c r="W1185" t="s">
        <v>6720</v>
      </c>
    </row>
    <row r="1186" spans="1:23" ht="15.6" x14ac:dyDescent="0.4">
      <c r="A1186" s="2" t="s">
        <v>1243</v>
      </c>
      <c r="B1186" s="5" t="s">
        <v>7715</v>
      </c>
      <c r="C1186" s="7" t="s">
        <v>12556</v>
      </c>
      <c r="D1186" s="8">
        <f t="shared" si="76"/>
        <v>0</v>
      </c>
      <c r="E1186" s="7" t="s">
        <v>12557</v>
      </c>
      <c r="F1186" s="7">
        <f t="shared" si="77"/>
        <v>0</v>
      </c>
      <c r="G1186" s="7" t="s">
        <v>12558</v>
      </c>
      <c r="H1186" s="7">
        <f t="shared" si="78"/>
        <v>0</v>
      </c>
      <c r="I1186" s="7" t="str" cm="1">
        <f t="array" ref="I1186">IFERROR(_xlfn.IFS(M1186="נח",1,M1186="נע ונח",1,M1186="שני שווא נח",2,M1186="שני שוואים בסוף מילה",2,M1186="שני שוואים ברצף",1),"0")</f>
        <v>0</v>
      </c>
      <c r="J1186" s="9">
        <f t="shared" si="79"/>
        <v>2</v>
      </c>
      <c r="K1186" t="s">
        <v>6698</v>
      </c>
      <c r="L1186" t="s">
        <v>6695</v>
      </c>
      <c r="O1186" t="s">
        <v>6694</v>
      </c>
      <c r="V1186" t="s">
        <v>6694</v>
      </c>
      <c r="W1186" t="s">
        <v>6720</v>
      </c>
    </row>
    <row r="1187" spans="1:23" ht="15.6" x14ac:dyDescent="0.4">
      <c r="A1187" s="2" t="s">
        <v>4584</v>
      </c>
      <c r="B1187" s="5" t="s">
        <v>7716</v>
      </c>
      <c r="C1187" s="7" t="s">
        <v>12556</v>
      </c>
      <c r="D1187" s="8">
        <f t="shared" si="76"/>
        <v>0</v>
      </c>
      <c r="E1187" s="7" t="s">
        <v>12557</v>
      </c>
      <c r="F1187" s="7">
        <f t="shared" si="77"/>
        <v>1</v>
      </c>
      <c r="G1187" s="7" t="s">
        <v>12558</v>
      </c>
      <c r="H1187" s="7">
        <f t="shared" si="78"/>
        <v>0</v>
      </c>
      <c r="I1187" s="7" cm="1">
        <f t="array" ref="I1187">IFERROR(_xlfn.IFS(M1187="נח",1,M1187="נע ונח",1,M1187="שני שווא נח",2,M1187="שני שוואים בסוף מילה",2,M1187="שני שוואים ברצף",1),"0")</f>
        <v>1</v>
      </c>
      <c r="J1187" s="9">
        <f t="shared" si="79"/>
        <v>3</v>
      </c>
      <c r="K1187" t="s">
        <v>6697</v>
      </c>
      <c r="L1187" t="s">
        <v>6694</v>
      </c>
      <c r="M1187" t="s">
        <v>6705</v>
      </c>
      <c r="O1187" t="s">
        <v>6694</v>
      </c>
      <c r="P1187" t="s">
        <v>6694</v>
      </c>
      <c r="S1187" t="s">
        <v>6694</v>
      </c>
      <c r="W1187" t="s">
        <v>6720</v>
      </c>
    </row>
    <row r="1188" spans="1:23" ht="15.6" x14ac:dyDescent="0.4">
      <c r="A1188" s="2" t="s">
        <v>5965</v>
      </c>
      <c r="B1188" s="5" t="s">
        <v>7717</v>
      </c>
      <c r="C1188" s="7" t="s">
        <v>12556</v>
      </c>
      <c r="D1188" s="8">
        <f t="shared" si="76"/>
        <v>0</v>
      </c>
      <c r="E1188" s="7" t="s">
        <v>12557</v>
      </c>
      <c r="F1188" s="7">
        <f t="shared" si="77"/>
        <v>0</v>
      </c>
      <c r="G1188" s="7" t="s">
        <v>12558</v>
      </c>
      <c r="H1188" s="7">
        <f t="shared" si="78"/>
        <v>0</v>
      </c>
      <c r="I1188" s="7" t="str" cm="1">
        <f t="array" ref="I1188">IFERROR(_xlfn.IFS(M1188="נח",1,M1188="נע ונח",1,M1188="שני שווא נח",2,M1188="שני שוואים בסוף מילה",2,M1188="שני שוואים ברצף",1),"0")</f>
        <v>0</v>
      </c>
      <c r="J1188" s="9">
        <f t="shared" si="79"/>
        <v>2</v>
      </c>
      <c r="K1188" t="s">
        <v>6698</v>
      </c>
      <c r="L1188" t="s">
        <v>6695</v>
      </c>
      <c r="O1188" t="s">
        <v>6694</v>
      </c>
      <c r="P1188" t="s">
        <v>6694</v>
      </c>
      <c r="W1188" t="s">
        <v>6720</v>
      </c>
    </row>
    <row r="1189" spans="1:23" ht="15.6" x14ac:dyDescent="0.4">
      <c r="A1189" s="2" t="s">
        <v>1804</v>
      </c>
      <c r="B1189" s="5" t="s">
        <v>7718</v>
      </c>
      <c r="C1189" s="7" t="s">
        <v>12556</v>
      </c>
      <c r="D1189" s="8">
        <f t="shared" si="76"/>
        <v>0</v>
      </c>
      <c r="E1189" s="7" t="s">
        <v>12557</v>
      </c>
      <c r="F1189" s="7">
        <f t="shared" si="77"/>
        <v>0</v>
      </c>
      <c r="G1189" s="7" t="s">
        <v>12558</v>
      </c>
      <c r="H1189" s="7">
        <f t="shared" si="78"/>
        <v>0</v>
      </c>
      <c r="I1189" s="7" t="str" cm="1">
        <f t="array" ref="I1189">IFERROR(_xlfn.IFS(M1189="נח",1,M1189="נע ונח",1,M1189="שני שווא נח",2,M1189="שני שוואים בסוף מילה",2,M1189="שני שוואים ברצף",1),"0")</f>
        <v>0</v>
      </c>
      <c r="J1189" s="9">
        <f t="shared" si="79"/>
        <v>2</v>
      </c>
      <c r="K1189" t="s">
        <v>6698</v>
      </c>
      <c r="L1189" t="s">
        <v>6695</v>
      </c>
      <c r="O1189" t="s">
        <v>6694</v>
      </c>
      <c r="P1189" t="s">
        <v>6694</v>
      </c>
      <c r="W1189" t="s">
        <v>6720</v>
      </c>
    </row>
    <row r="1190" spans="1:23" ht="15.6" x14ac:dyDescent="0.4">
      <c r="A1190" s="2" t="s">
        <v>37</v>
      </c>
      <c r="B1190" s="5" t="s">
        <v>7719</v>
      </c>
      <c r="C1190" s="7" t="s">
        <v>12556</v>
      </c>
      <c r="D1190" s="8">
        <f t="shared" si="76"/>
        <v>0</v>
      </c>
      <c r="E1190" s="7" t="s">
        <v>12557</v>
      </c>
      <c r="F1190" s="7">
        <f t="shared" si="77"/>
        <v>0</v>
      </c>
      <c r="G1190" s="7" t="s">
        <v>12558</v>
      </c>
      <c r="H1190" s="7">
        <f t="shared" si="78"/>
        <v>0</v>
      </c>
      <c r="I1190" s="7" t="str" cm="1">
        <f t="array" ref="I1190">IFERROR(_xlfn.IFS(M1190="נח",1,M1190="נע ונח",1,M1190="שני שווא נח",2,M1190="שני שוואים בסוף מילה",2,M1190="שני שוואים ברצף",1),"0")</f>
        <v>0</v>
      </c>
      <c r="J1190" s="9">
        <f t="shared" si="79"/>
        <v>2</v>
      </c>
      <c r="K1190" t="s">
        <v>6697</v>
      </c>
      <c r="L1190" t="s">
        <v>6695</v>
      </c>
      <c r="S1190" t="s">
        <v>6694</v>
      </c>
      <c r="V1190" t="s">
        <v>6694</v>
      </c>
      <c r="W1190" t="s">
        <v>6720</v>
      </c>
    </row>
    <row r="1191" spans="1:23" ht="15.6" x14ac:dyDescent="0.4">
      <c r="A1191" s="2" t="s">
        <v>1514</v>
      </c>
      <c r="B1191" s="5" t="s">
        <v>7720</v>
      </c>
      <c r="C1191" s="7" t="s">
        <v>12556</v>
      </c>
      <c r="D1191" s="8">
        <f t="shared" si="76"/>
        <v>0</v>
      </c>
      <c r="E1191" s="7" t="s">
        <v>12557</v>
      </c>
      <c r="F1191" s="7">
        <f t="shared" si="77"/>
        <v>1</v>
      </c>
      <c r="G1191" s="7" t="s">
        <v>12558</v>
      </c>
      <c r="H1191" s="7">
        <f t="shared" si="78"/>
        <v>0</v>
      </c>
      <c r="I1191" s="7" t="str" cm="1">
        <f t="array" ref="I1191">IFERROR(_xlfn.IFS(M1191="נח",1,M1191="נע ונח",1,M1191="שני שווא נח",2,M1191="שני שוואים בסוף מילה",2,M1191="שני שוואים ברצף",1),"0")</f>
        <v>0</v>
      </c>
      <c r="J1191" s="9">
        <f t="shared" si="79"/>
        <v>3</v>
      </c>
      <c r="K1191" t="s">
        <v>6698</v>
      </c>
      <c r="L1191" t="s">
        <v>6694</v>
      </c>
      <c r="M1191" t="s">
        <v>6700</v>
      </c>
      <c r="N1191" t="s">
        <v>6706</v>
      </c>
      <c r="O1191" t="s">
        <v>6694</v>
      </c>
      <c r="W1191" t="s">
        <v>6720</v>
      </c>
    </row>
    <row r="1192" spans="1:23" ht="15.6" x14ac:dyDescent="0.4">
      <c r="A1192" s="2" t="s">
        <v>3805</v>
      </c>
      <c r="B1192" s="5" t="s">
        <v>7721</v>
      </c>
      <c r="C1192" s="7" t="s">
        <v>12556</v>
      </c>
      <c r="D1192" s="8">
        <f t="shared" si="76"/>
        <v>0</v>
      </c>
      <c r="E1192" s="7" t="s">
        <v>12557</v>
      </c>
      <c r="F1192" s="7">
        <f t="shared" si="77"/>
        <v>1</v>
      </c>
      <c r="G1192" s="7" t="s">
        <v>12558</v>
      </c>
      <c r="H1192" s="7">
        <f t="shared" si="78"/>
        <v>0</v>
      </c>
      <c r="I1192" s="7" t="str" cm="1">
        <f t="array" ref="I1192">IFERROR(_xlfn.IFS(M1192="נח",1,M1192="נע ונח",1,M1192="שני שווא נח",2,M1192="שני שוואים בסוף מילה",2,M1192="שני שוואים ברצף",1),"0")</f>
        <v>0</v>
      </c>
      <c r="J1192" s="9">
        <f t="shared" si="79"/>
        <v>2</v>
      </c>
      <c r="K1192" t="s">
        <v>6698</v>
      </c>
      <c r="L1192" t="s">
        <v>6694</v>
      </c>
      <c r="M1192" t="s">
        <v>6700</v>
      </c>
      <c r="V1192" t="s">
        <v>6694</v>
      </c>
      <c r="W1192" t="s">
        <v>6720</v>
      </c>
    </row>
    <row r="1193" spans="1:23" ht="15.6" x14ac:dyDescent="0.4">
      <c r="A1193" s="2" t="s">
        <v>1513</v>
      </c>
      <c r="B1193" s="5" t="s">
        <v>7722</v>
      </c>
      <c r="C1193" s="7" t="s">
        <v>12556</v>
      </c>
      <c r="D1193" s="8">
        <f t="shared" si="76"/>
        <v>0</v>
      </c>
      <c r="E1193" s="7" t="s">
        <v>12557</v>
      </c>
      <c r="F1193" s="7">
        <f t="shared" si="77"/>
        <v>2</v>
      </c>
      <c r="G1193" s="7" t="s">
        <v>12558</v>
      </c>
      <c r="H1193" s="7">
        <f t="shared" si="78"/>
        <v>1</v>
      </c>
      <c r="I1193" s="7" t="str" cm="1">
        <f t="array" ref="I1193">IFERROR(_xlfn.IFS(M1193="נח",1,M1193="נע ונח",1,M1193="שני שווא נח",2,M1193="שני שוואים בסוף מילה",2,M1193="שני שוואים ברצף",1),"0")</f>
        <v>0</v>
      </c>
      <c r="J1193" s="9">
        <f t="shared" si="79"/>
        <v>3</v>
      </c>
      <c r="K1193" t="s">
        <v>6698</v>
      </c>
      <c r="L1193" t="s">
        <v>6694</v>
      </c>
      <c r="M1193" t="s">
        <v>6700</v>
      </c>
      <c r="Q1193" t="s">
        <v>6694</v>
      </c>
      <c r="U1193" t="s">
        <v>6694</v>
      </c>
      <c r="W1193" t="s">
        <v>6720</v>
      </c>
    </row>
    <row r="1194" spans="1:23" ht="15.6" x14ac:dyDescent="0.4">
      <c r="A1194" s="2" t="s">
        <v>2798</v>
      </c>
      <c r="B1194" s="5" t="s">
        <v>7723</v>
      </c>
      <c r="C1194" s="7" t="s">
        <v>12556</v>
      </c>
      <c r="D1194" s="8">
        <f t="shared" si="76"/>
        <v>0</v>
      </c>
      <c r="E1194" s="7" t="s">
        <v>12557</v>
      </c>
      <c r="F1194" s="7">
        <f t="shared" si="77"/>
        <v>2</v>
      </c>
      <c r="G1194" s="7" t="s">
        <v>12558</v>
      </c>
      <c r="H1194" s="7">
        <f t="shared" si="78"/>
        <v>0</v>
      </c>
      <c r="I1194" s="7" t="str" cm="1">
        <f t="array" ref="I1194">IFERROR(_xlfn.IFS(M1194="נח",1,M1194="נע ונח",1,M1194="שני שווא נח",2,M1194="שני שוואים בסוף מילה",2,M1194="שני שוואים ברצף",1),"0")</f>
        <v>0</v>
      </c>
      <c r="J1194" s="9">
        <f t="shared" si="79"/>
        <v>2</v>
      </c>
      <c r="K1194" t="s">
        <v>6697</v>
      </c>
      <c r="L1194" t="s">
        <v>6694</v>
      </c>
      <c r="M1194" t="s">
        <v>6700</v>
      </c>
      <c r="P1194" t="s">
        <v>6694</v>
      </c>
      <c r="W1194" t="s">
        <v>6720</v>
      </c>
    </row>
    <row r="1195" spans="1:23" ht="15.6" x14ac:dyDescent="0.4">
      <c r="A1195" s="2" t="s">
        <v>2021</v>
      </c>
      <c r="B1195" s="5" t="s">
        <v>7709</v>
      </c>
      <c r="C1195" s="7" t="s">
        <v>12556</v>
      </c>
      <c r="D1195" s="8">
        <f t="shared" si="76"/>
        <v>0</v>
      </c>
      <c r="E1195" s="7" t="s">
        <v>12557</v>
      </c>
      <c r="F1195" s="7">
        <f t="shared" si="77"/>
        <v>1</v>
      </c>
      <c r="G1195" s="7" t="s">
        <v>12558</v>
      </c>
      <c r="H1195" s="7">
        <f t="shared" si="78"/>
        <v>0</v>
      </c>
      <c r="I1195" s="7" t="str" cm="1">
        <f t="array" ref="I1195">IFERROR(_xlfn.IFS(M1195="נח",1,M1195="נע ונח",1,M1195="שני שווא נח",2,M1195="שני שוואים בסוף מילה",2,M1195="שני שוואים ברצף",1),"0")</f>
        <v>0</v>
      </c>
      <c r="J1195" s="9">
        <f t="shared" si="79"/>
        <v>2</v>
      </c>
      <c r="K1195" t="s">
        <v>6698</v>
      </c>
      <c r="L1195" t="s">
        <v>6694</v>
      </c>
      <c r="M1195" t="s">
        <v>6700</v>
      </c>
      <c r="P1195" t="s">
        <v>6694</v>
      </c>
      <c r="W1195" t="s">
        <v>6720</v>
      </c>
    </row>
    <row r="1196" spans="1:23" ht="15.6" x14ac:dyDescent="0.4">
      <c r="A1196" s="2" t="s">
        <v>572</v>
      </c>
      <c r="B1196" s="5" t="s">
        <v>7724</v>
      </c>
      <c r="C1196" s="7" t="s">
        <v>12556</v>
      </c>
      <c r="D1196" s="8">
        <f t="shared" si="76"/>
        <v>0</v>
      </c>
      <c r="E1196" s="7" t="s">
        <v>12557</v>
      </c>
      <c r="F1196" s="7">
        <f t="shared" si="77"/>
        <v>1</v>
      </c>
      <c r="G1196" s="7" t="s">
        <v>12558</v>
      </c>
      <c r="H1196" s="7">
        <f t="shared" si="78"/>
        <v>0</v>
      </c>
      <c r="I1196" s="7" t="str" cm="1">
        <f t="array" ref="I1196">IFERROR(_xlfn.IFS(M1196="נח",1,M1196="נע ונח",1,M1196="שני שווא נח",2,M1196="שני שוואים בסוף מילה",2,M1196="שני שוואים ברצף",1),"0")</f>
        <v>0</v>
      </c>
      <c r="J1196" s="9">
        <f t="shared" si="79"/>
        <v>3</v>
      </c>
      <c r="K1196" t="s">
        <v>6698</v>
      </c>
      <c r="L1196" t="s">
        <v>6694</v>
      </c>
      <c r="M1196" t="s">
        <v>6700</v>
      </c>
      <c r="O1196" t="s">
        <v>6694</v>
      </c>
      <c r="V1196" t="s">
        <v>6694</v>
      </c>
      <c r="W1196" t="s">
        <v>6720</v>
      </c>
    </row>
    <row r="1197" spans="1:23" ht="15.6" x14ac:dyDescent="0.4">
      <c r="A1197" s="2" t="s">
        <v>654</v>
      </c>
      <c r="B1197" s="5" t="s">
        <v>7725</v>
      </c>
      <c r="C1197" s="7" t="s">
        <v>12556</v>
      </c>
      <c r="D1197" s="8">
        <f t="shared" si="76"/>
        <v>0</v>
      </c>
      <c r="E1197" s="7" t="s">
        <v>12557</v>
      </c>
      <c r="F1197" s="7">
        <f t="shared" si="77"/>
        <v>2</v>
      </c>
      <c r="G1197" s="7" t="s">
        <v>12558</v>
      </c>
      <c r="H1197" s="7">
        <f t="shared" si="78"/>
        <v>1</v>
      </c>
      <c r="I1197" s="7" t="str" cm="1">
        <f t="array" ref="I1197">IFERROR(_xlfn.IFS(M1197="נח",1,M1197="נע ונח",1,M1197="שני שווא נח",2,M1197="שני שוואים בסוף מילה",2,M1197="שני שוואים ברצף",1),"0")</f>
        <v>0</v>
      </c>
      <c r="J1197" s="9">
        <f t="shared" si="79"/>
        <v>2</v>
      </c>
      <c r="K1197" t="s">
        <v>6698</v>
      </c>
      <c r="L1197" t="s">
        <v>6694</v>
      </c>
      <c r="M1197" t="s">
        <v>6700</v>
      </c>
      <c r="U1197" t="s">
        <v>6694</v>
      </c>
      <c r="W1197" t="s">
        <v>6720</v>
      </c>
    </row>
    <row r="1198" spans="1:23" ht="15.6" x14ac:dyDescent="0.4">
      <c r="A1198" s="2" t="s">
        <v>1378</v>
      </c>
      <c r="B1198" s="5" t="s">
        <v>7726</v>
      </c>
      <c r="C1198" s="7" t="s">
        <v>12556</v>
      </c>
      <c r="D1198" s="8">
        <f t="shared" si="76"/>
        <v>0</v>
      </c>
      <c r="E1198" s="7" t="s">
        <v>12557</v>
      </c>
      <c r="F1198" s="7">
        <f t="shared" si="77"/>
        <v>2</v>
      </c>
      <c r="G1198" s="7" t="s">
        <v>12558</v>
      </c>
      <c r="H1198" s="7">
        <f t="shared" si="78"/>
        <v>1</v>
      </c>
      <c r="I1198" s="7" cm="1">
        <f t="array" ref="I1198">IFERROR(_xlfn.IFS(M1198="נח",1,M1198="נע ונח",1,M1198="שני שווא נח",2,M1198="שני שוואים בסוף מילה",2,M1198="שני שוואים ברצף",1),"0")</f>
        <v>1</v>
      </c>
      <c r="J1198" s="9">
        <f t="shared" si="79"/>
        <v>3</v>
      </c>
      <c r="K1198" t="s">
        <v>6698</v>
      </c>
      <c r="L1198" t="s">
        <v>6694</v>
      </c>
      <c r="M1198" t="s">
        <v>6701</v>
      </c>
      <c r="Q1198" t="s">
        <v>6694</v>
      </c>
      <c r="U1198" t="s">
        <v>6694</v>
      </c>
      <c r="W1198" t="s">
        <v>6720</v>
      </c>
    </row>
    <row r="1199" spans="1:23" ht="15.6" x14ac:dyDescent="0.4">
      <c r="A1199" s="2" t="s">
        <v>6156</v>
      </c>
      <c r="B1199" s="5" t="s">
        <v>7727</v>
      </c>
      <c r="C1199" s="7" t="s">
        <v>12556</v>
      </c>
      <c r="D1199" s="8">
        <f t="shared" si="76"/>
        <v>0</v>
      </c>
      <c r="E1199" s="7" t="s">
        <v>12557</v>
      </c>
      <c r="F1199" s="7">
        <f t="shared" si="77"/>
        <v>2</v>
      </c>
      <c r="G1199" s="7" t="s">
        <v>12558</v>
      </c>
      <c r="H1199" s="7">
        <f t="shared" si="78"/>
        <v>1</v>
      </c>
      <c r="I1199" s="7" t="str" cm="1">
        <f t="array" ref="I1199">IFERROR(_xlfn.IFS(M1199="נח",1,M1199="נע ונח",1,M1199="שני שווא נח",2,M1199="שני שוואים בסוף מילה",2,M1199="שני שוואים ברצף",1),"0")</f>
        <v>0</v>
      </c>
      <c r="J1199" s="9">
        <f t="shared" si="79"/>
        <v>3</v>
      </c>
      <c r="K1199" t="s">
        <v>6698</v>
      </c>
      <c r="L1199" t="s">
        <v>6694</v>
      </c>
      <c r="M1199" t="s">
        <v>6700</v>
      </c>
      <c r="N1199" t="s">
        <v>6706</v>
      </c>
      <c r="O1199" t="s">
        <v>6694</v>
      </c>
      <c r="U1199" t="s">
        <v>6694</v>
      </c>
      <c r="W1199" t="s">
        <v>6720</v>
      </c>
    </row>
    <row r="1200" spans="1:23" ht="15.6" x14ac:dyDescent="0.4">
      <c r="A1200" s="2" t="s">
        <v>5682</v>
      </c>
      <c r="B1200" s="5" t="s">
        <v>7728</v>
      </c>
      <c r="C1200" s="7" t="s">
        <v>12556</v>
      </c>
      <c r="D1200" s="8">
        <f t="shared" si="76"/>
        <v>0</v>
      </c>
      <c r="E1200" s="7" t="s">
        <v>12557</v>
      </c>
      <c r="F1200" s="7">
        <f t="shared" si="77"/>
        <v>2</v>
      </c>
      <c r="G1200" s="7" t="s">
        <v>12558</v>
      </c>
      <c r="H1200" s="7">
        <f t="shared" si="78"/>
        <v>1</v>
      </c>
      <c r="I1200" s="7" t="str" cm="1">
        <f t="array" ref="I1200">IFERROR(_xlfn.IFS(M1200="נח",1,M1200="נע ונח",1,M1200="שני שווא נח",2,M1200="שני שוואים בסוף מילה",2,M1200="שני שוואים ברצף",1),"0")</f>
        <v>0</v>
      </c>
      <c r="J1200" s="9">
        <f t="shared" si="79"/>
        <v>3</v>
      </c>
      <c r="K1200" t="s">
        <v>6698</v>
      </c>
      <c r="L1200" t="s">
        <v>6694</v>
      </c>
      <c r="M1200" t="s">
        <v>6700</v>
      </c>
      <c r="U1200" t="s">
        <v>6694</v>
      </c>
      <c r="V1200" t="s">
        <v>6694</v>
      </c>
      <c r="W1200" t="s">
        <v>6720</v>
      </c>
    </row>
    <row r="1201" spans="1:23" ht="15.6" x14ac:dyDescent="0.4">
      <c r="A1201" s="2" t="s">
        <v>5815</v>
      </c>
      <c r="B1201" s="5" t="s">
        <v>7729</v>
      </c>
      <c r="C1201" s="7" t="s">
        <v>12556</v>
      </c>
      <c r="D1201" s="8">
        <f t="shared" si="76"/>
        <v>0</v>
      </c>
      <c r="E1201" s="7" t="s">
        <v>12557</v>
      </c>
      <c r="F1201" s="7">
        <f t="shared" si="77"/>
        <v>2</v>
      </c>
      <c r="G1201" s="7" t="s">
        <v>12558</v>
      </c>
      <c r="H1201" s="7">
        <f t="shared" si="78"/>
        <v>1</v>
      </c>
      <c r="I1201" s="7" t="str" cm="1">
        <f t="array" ref="I1201">IFERROR(_xlfn.IFS(M1201="נח",1,M1201="נע ונח",1,M1201="שני שווא נח",2,M1201="שני שוואים בסוף מילה",2,M1201="שני שוואים ברצף",1),"0")</f>
        <v>0</v>
      </c>
      <c r="J1201" s="9">
        <f t="shared" si="79"/>
        <v>3</v>
      </c>
      <c r="K1201" t="s">
        <v>6697</v>
      </c>
      <c r="L1201" t="s">
        <v>6694</v>
      </c>
      <c r="M1201" t="s">
        <v>6700</v>
      </c>
      <c r="O1201" t="s">
        <v>6694</v>
      </c>
      <c r="U1201" t="s">
        <v>6694</v>
      </c>
      <c r="W1201" t="s">
        <v>6720</v>
      </c>
    </row>
    <row r="1202" spans="1:23" ht="15.6" x14ac:dyDescent="0.4">
      <c r="A1202" s="2" t="s">
        <v>4785</v>
      </c>
      <c r="B1202" s="5" t="s">
        <v>7730</v>
      </c>
      <c r="C1202" s="7" t="s">
        <v>12556</v>
      </c>
      <c r="D1202" s="8">
        <f t="shared" si="76"/>
        <v>0</v>
      </c>
      <c r="E1202" s="7" t="s">
        <v>12557</v>
      </c>
      <c r="F1202" s="7">
        <f t="shared" si="77"/>
        <v>2</v>
      </c>
      <c r="G1202" s="7" t="s">
        <v>12558</v>
      </c>
      <c r="H1202" s="7">
        <f t="shared" si="78"/>
        <v>1</v>
      </c>
      <c r="I1202" s="7" t="str" cm="1">
        <f t="array" ref="I1202">IFERROR(_xlfn.IFS(M1202="נח",1,M1202="נע ונח",1,M1202="שני שווא נח",2,M1202="שני שוואים בסוף מילה",2,M1202="שני שוואים ברצף",1),"0")</f>
        <v>0</v>
      </c>
      <c r="J1202" s="9">
        <f t="shared" si="79"/>
        <v>5</v>
      </c>
      <c r="K1202" t="s">
        <v>6697</v>
      </c>
      <c r="L1202" t="s">
        <v>6694</v>
      </c>
      <c r="M1202" t="s">
        <v>6700</v>
      </c>
      <c r="O1202" t="s">
        <v>6694</v>
      </c>
      <c r="R1202" t="s">
        <v>6694</v>
      </c>
      <c r="U1202" t="s">
        <v>6694</v>
      </c>
      <c r="W1202" t="s">
        <v>6720</v>
      </c>
    </row>
    <row r="1203" spans="1:23" ht="15.6" x14ac:dyDescent="0.4">
      <c r="A1203" s="2" t="s">
        <v>6068</v>
      </c>
      <c r="B1203" s="5" t="s">
        <v>7731</v>
      </c>
      <c r="C1203" s="7" t="s">
        <v>12556</v>
      </c>
      <c r="D1203" s="8">
        <f t="shared" si="76"/>
        <v>0</v>
      </c>
      <c r="E1203" s="7" t="s">
        <v>12557</v>
      </c>
      <c r="F1203" s="7">
        <f t="shared" si="77"/>
        <v>2</v>
      </c>
      <c r="G1203" s="7" t="s">
        <v>12558</v>
      </c>
      <c r="H1203" s="7">
        <f t="shared" si="78"/>
        <v>1</v>
      </c>
      <c r="I1203" s="7" t="str" cm="1">
        <f t="array" ref="I1203">IFERROR(_xlfn.IFS(M1203="נח",1,M1203="נע ונח",1,M1203="שני שווא נח",2,M1203="שני שוואים בסוף מילה",2,M1203="שני שוואים ברצף",1),"0")</f>
        <v>0</v>
      </c>
      <c r="J1203" s="9">
        <f t="shared" si="79"/>
        <v>4</v>
      </c>
      <c r="K1203" t="s">
        <v>6697</v>
      </c>
      <c r="L1203" t="s">
        <v>6694</v>
      </c>
      <c r="M1203" t="s">
        <v>6700</v>
      </c>
      <c r="O1203" t="s">
        <v>6694</v>
      </c>
      <c r="U1203" t="s">
        <v>6694</v>
      </c>
      <c r="V1203" t="s">
        <v>6694</v>
      </c>
      <c r="W1203" t="s">
        <v>6720</v>
      </c>
    </row>
    <row r="1204" spans="1:23" ht="15.6" x14ac:dyDescent="0.4">
      <c r="A1204" s="2" t="s">
        <v>1017</v>
      </c>
      <c r="B1204" s="5" t="s">
        <v>7732</v>
      </c>
      <c r="C1204" s="7" t="s">
        <v>12556</v>
      </c>
      <c r="D1204" s="8">
        <f t="shared" si="76"/>
        <v>0</v>
      </c>
      <c r="E1204" s="7" t="s">
        <v>12557</v>
      </c>
      <c r="F1204" s="7">
        <f t="shared" si="77"/>
        <v>2</v>
      </c>
      <c r="G1204" s="7" t="s">
        <v>12558</v>
      </c>
      <c r="H1204" s="7">
        <f t="shared" si="78"/>
        <v>1</v>
      </c>
      <c r="I1204" s="7" t="str" cm="1">
        <f t="array" ref="I1204">IFERROR(_xlfn.IFS(M1204="נח",1,M1204="נע ונח",1,M1204="שני שווא נח",2,M1204="שני שוואים בסוף מילה",2,M1204="שני שוואים ברצף",1),"0")</f>
        <v>0</v>
      </c>
      <c r="J1204" s="9">
        <f t="shared" si="79"/>
        <v>3</v>
      </c>
      <c r="K1204" t="s">
        <v>6698</v>
      </c>
      <c r="L1204" t="s">
        <v>6694</v>
      </c>
      <c r="M1204" t="s">
        <v>6700</v>
      </c>
      <c r="U1204" t="s">
        <v>6694</v>
      </c>
      <c r="V1204" t="s">
        <v>6694</v>
      </c>
      <c r="W1204" t="s">
        <v>6720</v>
      </c>
    </row>
    <row r="1205" spans="1:23" ht="15.6" x14ac:dyDescent="0.4">
      <c r="A1205" s="2" t="s">
        <v>1149</v>
      </c>
      <c r="B1205" s="5" t="s">
        <v>7733</v>
      </c>
      <c r="C1205" s="7" t="s">
        <v>12556</v>
      </c>
      <c r="D1205" s="8">
        <f t="shared" si="76"/>
        <v>0</v>
      </c>
      <c r="E1205" s="7" t="s">
        <v>12557</v>
      </c>
      <c r="F1205" s="7">
        <f t="shared" si="77"/>
        <v>1</v>
      </c>
      <c r="G1205" s="7" t="s">
        <v>12558</v>
      </c>
      <c r="H1205" s="7">
        <f t="shared" si="78"/>
        <v>0</v>
      </c>
      <c r="I1205" s="7" t="str" cm="1">
        <f t="array" ref="I1205">IFERROR(_xlfn.IFS(M1205="נח",1,M1205="נע ונח",1,M1205="שני שווא נח",2,M1205="שני שוואים בסוף מילה",2,M1205="שני שוואים ברצף",1),"0")</f>
        <v>0</v>
      </c>
      <c r="J1205" s="9">
        <f t="shared" si="79"/>
        <v>3</v>
      </c>
      <c r="K1205" t="s">
        <v>6698</v>
      </c>
      <c r="L1205" t="s">
        <v>6694</v>
      </c>
      <c r="M1205" t="s">
        <v>6700</v>
      </c>
      <c r="S1205" t="s">
        <v>6694</v>
      </c>
      <c r="V1205" t="s">
        <v>6694</v>
      </c>
      <c r="W1205" t="s">
        <v>6720</v>
      </c>
    </row>
    <row r="1206" spans="1:23" ht="15.6" x14ac:dyDescent="0.4">
      <c r="A1206" s="2" t="s">
        <v>1769</v>
      </c>
      <c r="B1206" s="5" t="s">
        <v>7704</v>
      </c>
      <c r="C1206" s="7" t="s">
        <v>12556</v>
      </c>
      <c r="D1206" s="8">
        <f t="shared" si="76"/>
        <v>0</v>
      </c>
      <c r="E1206" s="7" t="s">
        <v>12557</v>
      </c>
      <c r="F1206" s="7">
        <f t="shared" si="77"/>
        <v>1</v>
      </c>
      <c r="G1206" s="7" t="s">
        <v>12558</v>
      </c>
      <c r="H1206" s="7">
        <f t="shared" si="78"/>
        <v>0</v>
      </c>
      <c r="I1206" s="7" t="str" cm="1">
        <f t="array" ref="I1206">IFERROR(_xlfn.IFS(M1206="נח",1,M1206="נע ונח",1,M1206="שני שווא נח",2,M1206="שני שוואים בסוף מילה",2,M1206="שני שוואים ברצף",1),"0")</f>
        <v>0</v>
      </c>
      <c r="J1206" s="9">
        <f t="shared" si="79"/>
        <v>3</v>
      </c>
      <c r="K1206" t="s">
        <v>6698</v>
      </c>
      <c r="L1206" t="s">
        <v>6694</v>
      </c>
      <c r="M1206" t="s">
        <v>6700</v>
      </c>
      <c r="V1206" t="s">
        <v>6694</v>
      </c>
      <c r="W1206" t="s">
        <v>6720</v>
      </c>
    </row>
    <row r="1207" spans="1:23" ht="15.6" x14ac:dyDescent="0.4">
      <c r="A1207" s="2" t="s">
        <v>541</v>
      </c>
      <c r="B1207" s="5" t="s">
        <v>7734</v>
      </c>
      <c r="C1207" s="7" t="s">
        <v>12556</v>
      </c>
      <c r="D1207" s="8">
        <f t="shared" si="76"/>
        <v>0</v>
      </c>
      <c r="E1207" s="7" t="s">
        <v>12557</v>
      </c>
      <c r="F1207" s="7">
        <f t="shared" si="77"/>
        <v>2</v>
      </c>
      <c r="G1207" s="7" t="s">
        <v>12558</v>
      </c>
      <c r="H1207" s="7">
        <f t="shared" si="78"/>
        <v>0</v>
      </c>
      <c r="I1207" s="7" t="str" cm="1">
        <f t="array" ref="I1207">IFERROR(_xlfn.IFS(M1207="נח",1,M1207="נע ונח",1,M1207="שני שווא נח",2,M1207="שני שוואים בסוף מילה",2,M1207="שני שוואים ברצף",1),"0")</f>
        <v>0</v>
      </c>
      <c r="J1207" s="9">
        <f t="shared" si="79"/>
        <v>4</v>
      </c>
      <c r="K1207" t="s">
        <v>6697</v>
      </c>
      <c r="L1207" t="s">
        <v>6694</v>
      </c>
      <c r="M1207" t="s">
        <v>6700</v>
      </c>
      <c r="O1207" t="s">
        <v>6694</v>
      </c>
      <c r="S1207" t="s">
        <v>6694</v>
      </c>
      <c r="T1207" t="s">
        <v>6694</v>
      </c>
      <c r="W1207" t="s">
        <v>6720</v>
      </c>
    </row>
    <row r="1208" spans="1:23" ht="15.6" x14ac:dyDescent="0.4">
      <c r="A1208" s="2" t="s">
        <v>2033</v>
      </c>
      <c r="B1208" s="5" t="s">
        <v>7735</v>
      </c>
      <c r="C1208" s="7" t="s">
        <v>12556</v>
      </c>
      <c r="D1208" s="8">
        <f t="shared" si="76"/>
        <v>0</v>
      </c>
      <c r="E1208" s="7" t="s">
        <v>12557</v>
      </c>
      <c r="F1208" s="7">
        <f t="shared" si="77"/>
        <v>2</v>
      </c>
      <c r="G1208" s="7" t="s">
        <v>12558</v>
      </c>
      <c r="H1208" s="7">
        <f t="shared" si="78"/>
        <v>1</v>
      </c>
      <c r="I1208" s="7" t="str" cm="1">
        <f t="array" ref="I1208">IFERROR(_xlfn.IFS(M1208="נח",1,M1208="נע ונח",1,M1208="שני שווא נח",2,M1208="שני שוואים בסוף מילה",2,M1208="שני שוואים ברצף",1),"0")</f>
        <v>0</v>
      </c>
      <c r="J1208" s="9">
        <f t="shared" si="79"/>
        <v>2</v>
      </c>
      <c r="K1208" t="s">
        <v>6698</v>
      </c>
      <c r="L1208" t="s">
        <v>6694</v>
      </c>
      <c r="M1208" t="s">
        <v>6700</v>
      </c>
      <c r="U1208" t="s">
        <v>6694</v>
      </c>
      <c r="W1208" t="s">
        <v>6720</v>
      </c>
    </row>
    <row r="1209" spans="1:23" ht="15.6" x14ac:dyDescent="0.4">
      <c r="A1209" s="2" t="s">
        <v>4397</v>
      </c>
      <c r="B1209" s="5" t="s">
        <v>7736</v>
      </c>
      <c r="C1209" s="7" t="s">
        <v>12556</v>
      </c>
      <c r="D1209" s="8">
        <f t="shared" si="76"/>
        <v>0</v>
      </c>
      <c r="E1209" s="7" t="s">
        <v>12557</v>
      </c>
      <c r="F1209" s="7">
        <f t="shared" si="77"/>
        <v>2</v>
      </c>
      <c r="G1209" s="7" t="s">
        <v>12558</v>
      </c>
      <c r="H1209" s="7">
        <f t="shared" si="78"/>
        <v>1</v>
      </c>
      <c r="I1209" s="7" t="str" cm="1">
        <f t="array" ref="I1209">IFERROR(_xlfn.IFS(M1209="נח",1,M1209="נע ונח",1,M1209="שני שווא נח",2,M1209="שני שוואים בסוף מילה",2,M1209="שני שוואים ברצף",1),"0")</f>
        <v>0</v>
      </c>
      <c r="J1209" s="9">
        <f t="shared" si="79"/>
        <v>4</v>
      </c>
      <c r="K1209" t="s">
        <v>6698</v>
      </c>
      <c r="L1209" t="s">
        <v>6694</v>
      </c>
      <c r="M1209" t="s">
        <v>6700</v>
      </c>
      <c r="O1209" t="s">
        <v>6694</v>
      </c>
      <c r="R1209" t="s">
        <v>6694</v>
      </c>
      <c r="U1209" t="s">
        <v>6694</v>
      </c>
      <c r="W1209" t="s">
        <v>6720</v>
      </c>
    </row>
    <row r="1210" spans="1:23" ht="15.6" x14ac:dyDescent="0.4">
      <c r="A1210" s="2" t="s">
        <v>255</v>
      </c>
      <c r="B1210" s="5" t="s">
        <v>7717</v>
      </c>
      <c r="C1210" s="7" t="s">
        <v>12556</v>
      </c>
      <c r="D1210" s="8">
        <f t="shared" si="76"/>
        <v>0</v>
      </c>
      <c r="E1210" s="7" t="s">
        <v>12557</v>
      </c>
      <c r="F1210" s="7">
        <f t="shared" si="77"/>
        <v>1</v>
      </c>
      <c r="G1210" s="7" t="s">
        <v>12558</v>
      </c>
      <c r="H1210" s="7">
        <f t="shared" si="78"/>
        <v>0</v>
      </c>
      <c r="I1210" s="7" t="str" cm="1">
        <f t="array" ref="I1210">IFERROR(_xlfn.IFS(M1210="נח",1,M1210="נע ונח",1,M1210="שני שווא נח",2,M1210="שני שוואים בסוף מילה",2,M1210="שני שוואים ברצף",1),"0")</f>
        <v>0</v>
      </c>
      <c r="J1210" s="9">
        <f t="shared" si="79"/>
        <v>2</v>
      </c>
      <c r="K1210" t="s">
        <v>6698</v>
      </c>
      <c r="L1210" t="s">
        <v>6694</v>
      </c>
      <c r="M1210" t="s">
        <v>6700</v>
      </c>
      <c r="V1210" t="s">
        <v>6694</v>
      </c>
      <c r="W1210" t="s">
        <v>6720</v>
      </c>
    </row>
    <row r="1211" spans="1:23" ht="15.6" x14ac:dyDescent="0.4">
      <c r="A1211" s="2" t="s">
        <v>62</v>
      </c>
      <c r="B1211" s="5" t="s">
        <v>7737</v>
      </c>
      <c r="C1211" s="7" t="s">
        <v>12556</v>
      </c>
      <c r="D1211" s="8">
        <f t="shared" si="76"/>
        <v>0</v>
      </c>
      <c r="E1211" s="7" t="s">
        <v>12557</v>
      </c>
      <c r="F1211" s="7">
        <f t="shared" si="77"/>
        <v>2</v>
      </c>
      <c r="G1211" s="7" t="s">
        <v>12558</v>
      </c>
      <c r="H1211" s="7">
        <f t="shared" si="78"/>
        <v>1</v>
      </c>
      <c r="I1211" s="7" t="str" cm="1">
        <f t="array" ref="I1211">IFERROR(_xlfn.IFS(M1211="נח",1,M1211="נע ונח",1,M1211="שני שווא נח",2,M1211="שני שוואים בסוף מילה",2,M1211="שני שוואים ברצף",1),"0")</f>
        <v>0</v>
      </c>
      <c r="J1211" s="9">
        <f t="shared" si="79"/>
        <v>2</v>
      </c>
      <c r="K1211" t="s">
        <v>6698</v>
      </c>
      <c r="L1211" t="s">
        <v>6694</v>
      </c>
      <c r="M1211" t="s">
        <v>6700</v>
      </c>
      <c r="U1211" t="s">
        <v>6694</v>
      </c>
      <c r="W1211" t="s">
        <v>6720</v>
      </c>
    </row>
    <row r="1212" spans="1:23" ht="15.6" x14ac:dyDescent="0.4">
      <c r="A1212" s="2" t="s">
        <v>5947</v>
      </c>
      <c r="B1212" s="5" t="s">
        <v>7738</v>
      </c>
      <c r="C1212" s="7" t="s">
        <v>12556</v>
      </c>
      <c r="D1212" s="8">
        <f t="shared" si="76"/>
        <v>0</v>
      </c>
      <c r="E1212" s="7" t="s">
        <v>12557</v>
      </c>
      <c r="F1212" s="7">
        <f t="shared" si="77"/>
        <v>2</v>
      </c>
      <c r="G1212" s="7" t="s">
        <v>12558</v>
      </c>
      <c r="H1212" s="7">
        <f t="shared" si="78"/>
        <v>1</v>
      </c>
      <c r="I1212" s="7" cm="1">
        <f t="array" ref="I1212">IFERROR(_xlfn.IFS(M1212="נח",1,M1212="נע ונח",1,M1212="שני שווא נח",2,M1212="שני שוואים בסוף מילה",2,M1212="שני שוואים ברצף",1),"0")</f>
        <v>1</v>
      </c>
      <c r="J1212" s="9">
        <f t="shared" si="79"/>
        <v>3</v>
      </c>
      <c r="K1212" t="s">
        <v>6698</v>
      </c>
      <c r="L1212" t="s">
        <v>6694</v>
      </c>
      <c r="M1212" t="s">
        <v>6701</v>
      </c>
      <c r="Q1212" t="s">
        <v>6694</v>
      </c>
      <c r="U1212" t="s">
        <v>6694</v>
      </c>
      <c r="W1212" t="s">
        <v>6720</v>
      </c>
    </row>
    <row r="1213" spans="1:23" ht="15.6" x14ac:dyDescent="0.4">
      <c r="A1213" s="2" t="s">
        <v>6275</v>
      </c>
      <c r="B1213" s="5" t="s">
        <v>7739</v>
      </c>
      <c r="C1213" s="7" t="s">
        <v>12556</v>
      </c>
      <c r="D1213" s="8">
        <f t="shared" si="76"/>
        <v>0</v>
      </c>
      <c r="E1213" s="7" t="s">
        <v>12557</v>
      </c>
      <c r="F1213" s="7">
        <f t="shared" si="77"/>
        <v>2</v>
      </c>
      <c r="G1213" s="7" t="s">
        <v>12558</v>
      </c>
      <c r="H1213" s="7">
        <f t="shared" si="78"/>
        <v>1</v>
      </c>
      <c r="I1213" s="7" t="str" cm="1">
        <f t="array" ref="I1213">IFERROR(_xlfn.IFS(M1213="נח",1,M1213="נע ונח",1,M1213="שני שווא נח",2,M1213="שני שוואים בסוף מילה",2,M1213="שני שוואים ברצף",1),"0")</f>
        <v>0</v>
      </c>
      <c r="J1213" s="9">
        <f t="shared" si="79"/>
        <v>3</v>
      </c>
      <c r="K1213" t="s">
        <v>6698</v>
      </c>
      <c r="L1213" t="s">
        <v>6694</v>
      </c>
      <c r="M1213" t="s">
        <v>6700</v>
      </c>
      <c r="N1213" t="s">
        <v>6706</v>
      </c>
      <c r="O1213" t="s">
        <v>6694</v>
      </c>
      <c r="U1213" t="s">
        <v>6694</v>
      </c>
      <c r="W1213" t="s">
        <v>6720</v>
      </c>
    </row>
    <row r="1214" spans="1:23" ht="15.6" x14ac:dyDescent="0.4">
      <c r="A1214" s="2" t="s">
        <v>2678</v>
      </c>
      <c r="B1214" s="5" t="s">
        <v>7740</v>
      </c>
      <c r="C1214" s="7" t="s">
        <v>12556</v>
      </c>
      <c r="D1214" s="8">
        <f t="shared" si="76"/>
        <v>0</v>
      </c>
      <c r="E1214" s="7" t="s">
        <v>12557</v>
      </c>
      <c r="F1214" s="7">
        <f t="shared" si="77"/>
        <v>2</v>
      </c>
      <c r="G1214" s="7" t="s">
        <v>12558</v>
      </c>
      <c r="H1214" s="7">
        <f t="shared" si="78"/>
        <v>1</v>
      </c>
      <c r="I1214" s="7" t="str" cm="1">
        <f t="array" ref="I1214">IFERROR(_xlfn.IFS(M1214="נח",1,M1214="נע ונח",1,M1214="שני שווא נח",2,M1214="שני שוואים בסוף מילה",2,M1214="שני שוואים ברצף",1),"0")</f>
        <v>0</v>
      </c>
      <c r="J1214" s="9">
        <f t="shared" si="79"/>
        <v>3</v>
      </c>
      <c r="K1214" t="s">
        <v>6698</v>
      </c>
      <c r="L1214" t="s">
        <v>6694</v>
      </c>
      <c r="M1214" t="s">
        <v>6700</v>
      </c>
      <c r="N1214" t="s">
        <v>6706</v>
      </c>
      <c r="O1214" t="s">
        <v>6694</v>
      </c>
      <c r="U1214" t="s">
        <v>6694</v>
      </c>
      <c r="W1214" t="s">
        <v>6720</v>
      </c>
    </row>
    <row r="1215" spans="1:23" ht="15.6" x14ac:dyDescent="0.4">
      <c r="A1215" s="2" t="s">
        <v>4581</v>
      </c>
      <c r="B1215" s="5" t="s">
        <v>7741</v>
      </c>
      <c r="C1215" s="7" t="s">
        <v>12556</v>
      </c>
      <c r="D1215" s="8">
        <f t="shared" si="76"/>
        <v>0</v>
      </c>
      <c r="E1215" s="7" t="s">
        <v>12557</v>
      </c>
      <c r="F1215" s="7">
        <f t="shared" si="77"/>
        <v>1</v>
      </c>
      <c r="G1215" s="7" t="s">
        <v>12558</v>
      </c>
      <c r="H1215" s="7">
        <f t="shared" si="78"/>
        <v>0</v>
      </c>
      <c r="I1215" s="7" t="str" cm="1">
        <f t="array" ref="I1215">IFERROR(_xlfn.IFS(M1215="נח",1,M1215="נע ונח",1,M1215="שני שווא נח",2,M1215="שני שוואים בסוף מילה",2,M1215="שני שוואים ברצף",1),"0")</f>
        <v>0</v>
      </c>
      <c r="J1215" s="9">
        <f t="shared" si="79"/>
        <v>3</v>
      </c>
      <c r="K1215" t="s">
        <v>6697</v>
      </c>
      <c r="L1215" t="s">
        <v>6694</v>
      </c>
      <c r="M1215" t="s">
        <v>6700</v>
      </c>
      <c r="S1215" t="s">
        <v>6694</v>
      </c>
      <c r="V1215" t="s">
        <v>6694</v>
      </c>
      <c r="W1215" t="s">
        <v>6720</v>
      </c>
    </row>
    <row r="1216" spans="1:23" ht="15.6" x14ac:dyDescent="0.4">
      <c r="A1216" s="2" t="s">
        <v>3177</v>
      </c>
      <c r="B1216" s="5" t="s">
        <v>7742</v>
      </c>
      <c r="C1216" s="7" t="s">
        <v>12556</v>
      </c>
      <c r="D1216" s="8">
        <f t="shared" si="76"/>
        <v>0</v>
      </c>
      <c r="E1216" s="7" t="s">
        <v>12557</v>
      </c>
      <c r="F1216" s="7">
        <f t="shared" si="77"/>
        <v>1</v>
      </c>
      <c r="G1216" s="7" t="s">
        <v>12558</v>
      </c>
      <c r="H1216" s="7">
        <f t="shared" si="78"/>
        <v>0</v>
      </c>
      <c r="I1216" s="7" t="str" cm="1">
        <f t="array" ref="I1216">IFERROR(_xlfn.IFS(M1216="נח",1,M1216="נע ונח",1,M1216="שני שווא נח",2,M1216="שני שוואים בסוף מילה",2,M1216="שני שוואים ברצף",1),"0")</f>
        <v>0</v>
      </c>
      <c r="J1216" s="9">
        <f t="shared" si="79"/>
        <v>3</v>
      </c>
      <c r="K1216" t="s">
        <v>6698</v>
      </c>
      <c r="L1216" t="s">
        <v>6694</v>
      </c>
      <c r="M1216" t="s">
        <v>6700</v>
      </c>
      <c r="N1216" t="s">
        <v>6706</v>
      </c>
      <c r="O1216" t="s">
        <v>6694</v>
      </c>
      <c r="V1216" t="s">
        <v>6694</v>
      </c>
      <c r="W1216" t="s">
        <v>6720</v>
      </c>
    </row>
    <row r="1217" spans="1:23" ht="15.6" x14ac:dyDescent="0.4">
      <c r="A1217" s="2" t="s">
        <v>2859</v>
      </c>
      <c r="B1217" s="5" t="s">
        <v>7743</v>
      </c>
      <c r="C1217" s="7" t="s">
        <v>12556</v>
      </c>
      <c r="D1217" s="8">
        <f t="shared" si="76"/>
        <v>0</v>
      </c>
      <c r="E1217" s="7" t="s">
        <v>12557</v>
      </c>
      <c r="F1217" s="7">
        <f t="shared" si="77"/>
        <v>2</v>
      </c>
      <c r="G1217" s="7" t="s">
        <v>12558</v>
      </c>
      <c r="H1217" s="7">
        <f t="shared" si="78"/>
        <v>0</v>
      </c>
      <c r="I1217" s="7" t="str" cm="1">
        <f t="array" ref="I1217">IFERROR(_xlfn.IFS(M1217="נח",1,M1217="נע ונח",1,M1217="שני שווא נח",2,M1217="שני שוואים בסוף מילה",2,M1217="שני שוואים ברצף",1),"0")</f>
        <v>0</v>
      </c>
      <c r="J1217" s="9">
        <f t="shared" si="79"/>
        <v>3</v>
      </c>
      <c r="K1217" t="s">
        <v>6698</v>
      </c>
      <c r="L1217" t="s">
        <v>6695</v>
      </c>
      <c r="Q1217" t="s">
        <v>6694</v>
      </c>
      <c r="S1217" t="s">
        <v>6694</v>
      </c>
      <c r="V1217" t="s">
        <v>6694</v>
      </c>
      <c r="W1217" t="s">
        <v>6720</v>
      </c>
    </row>
    <row r="1218" spans="1:23" ht="15.6" x14ac:dyDescent="0.4">
      <c r="A1218" s="2" t="s">
        <v>448</v>
      </c>
      <c r="B1218" s="5" t="s">
        <v>7744</v>
      </c>
      <c r="C1218" s="7" t="s">
        <v>12556</v>
      </c>
      <c r="D1218" s="8">
        <f t="shared" si="76"/>
        <v>0</v>
      </c>
      <c r="E1218" s="7" t="s">
        <v>12557</v>
      </c>
      <c r="F1218" s="7">
        <f t="shared" si="77"/>
        <v>2</v>
      </c>
      <c r="G1218" s="7" t="s">
        <v>12558</v>
      </c>
      <c r="H1218" s="7">
        <f t="shared" si="78"/>
        <v>0</v>
      </c>
      <c r="I1218" s="7" t="str" cm="1">
        <f t="array" ref="I1218">IFERROR(_xlfn.IFS(M1218="נח",1,M1218="נע ונח",1,M1218="שני שווא נח",2,M1218="שני שוואים בסוף מילה",2,M1218="שני שוואים ברצף",1),"0")</f>
        <v>0</v>
      </c>
      <c r="J1218" s="9">
        <f t="shared" si="79"/>
        <v>2</v>
      </c>
      <c r="K1218" t="s">
        <v>6698</v>
      </c>
      <c r="L1218" t="s">
        <v>6695</v>
      </c>
      <c r="S1218" t="s">
        <v>6694</v>
      </c>
      <c r="V1218" t="s">
        <v>6694</v>
      </c>
      <c r="W1218" t="s">
        <v>6720</v>
      </c>
    </row>
    <row r="1219" spans="1:23" ht="15.6" x14ac:dyDescent="0.4">
      <c r="A1219" s="2" t="s">
        <v>6133</v>
      </c>
      <c r="B1219" s="5" t="s">
        <v>7745</v>
      </c>
      <c r="C1219" s="7" t="s">
        <v>12556</v>
      </c>
      <c r="D1219" s="8">
        <f t="shared" ref="D1219:D1282" si="80">(LEN(B1219)-LEN(SUBSTITUTE(B1219,C1219,"")))</f>
        <v>0</v>
      </c>
      <c r="E1219" s="7" t="s">
        <v>12557</v>
      </c>
      <c r="F1219" s="7">
        <f t="shared" ref="F1219:F1282" si="81">(LEN(A1219)-LEN(SUBSTITUTE(A1219,E1219,"")))</f>
        <v>2</v>
      </c>
      <c r="G1219" s="7" t="s">
        <v>12558</v>
      </c>
      <c r="H1219" s="7">
        <f t="shared" ref="H1219:H1282" si="82">(LEN(A1219)-LEN(SUBSTITUTE(A1219,G1219,"")))/2</f>
        <v>0</v>
      </c>
      <c r="I1219" s="7" t="str" cm="1">
        <f t="array" ref="I1219">IFERROR(_xlfn.IFS(M1219="נח",1,M1219="נע ונח",1,M1219="שני שווא נח",2,M1219="שני שוואים בסוף מילה",2,M1219="שני שוואים ברצף",1),"0")</f>
        <v>0</v>
      </c>
      <c r="J1219" s="9">
        <f t="shared" ref="J1219:J1282" si="83">LEN(A1219)-(LEN(B1219))-D1219-F1219+H1219-I1219</f>
        <v>3</v>
      </c>
      <c r="K1219" t="s">
        <v>6697</v>
      </c>
      <c r="L1219" t="s">
        <v>6695</v>
      </c>
      <c r="P1219" t="s">
        <v>6694</v>
      </c>
      <c r="Q1219" t="s">
        <v>6694</v>
      </c>
      <c r="S1219" t="s">
        <v>6694</v>
      </c>
      <c r="W1219" t="s">
        <v>6720</v>
      </c>
    </row>
    <row r="1220" spans="1:23" ht="15.6" x14ac:dyDescent="0.4">
      <c r="A1220" s="2" t="s">
        <v>5551</v>
      </c>
      <c r="B1220" s="5" t="s">
        <v>7746</v>
      </c>
      <c r="C1220" s="7" t="s">
        <v>12556</v>
      </c>
      <c r="D1220" s="8">
        <f t="shared" si="80"/>
        <v>0</v>
      </c>
      <c r="E1220" s="7" t="s">
        <v>12557</v>
      </c>
      <c r="F1220" s="7">
        <f t="shared" si="81"/>
        <v>2</v>
      </c>
      <c r="G1220" s="7" t="s">
        <v>12558</v>
      </c>
      <c r="H1220" s="7">
        <f t="shared" si="82"/>
        <v>0</v>
      </c>
      <c r="I1220" s="7" t="str" cm="1">
        <f t="array" ref="I1220">IFERROR(_xlfn.IFS(M1220="נח",1,M1220="נע ונח",1,M1220="שני שווא נח",2,M1220="שני שוואים בסוף מילה",2,M1220="שני שוואים ברצף",1),"0")</f>
        <v>0</v>
      </c>
      <c r="J1220" s="9">
        <f t="shared" si="83"/>
        <v>2</v>
      </c>
      <c r="K1220" t="s">
        <v>6697</v>
      </c>
      <c r="L1220" t="s">
        <v>6695</v>
      </c>
      <c r="O1220" t="s">
        <v>6694</v>
      </c>
      <c r="S1220" t="s">
        <v>6694</v>
      </c>
      <c r="W1220" t="s">
        <v>6720</v>
      </c>
    </row>
    <row r="1221" spans="1:23" ht="15.6" x14ac:dyDescent="0.4">
      <c r="A1221" s="2" t="s">
        <v>1692</v>
      </c>
      <c r="B1221" s="5" t="s">
        <v>7747</v>
      </c>
      <c r="C1221" s="7" t="s">
        <v>12556</v>
      </c>
      <c r="D1221" s="8">
        <f t="shared" si="80"/>
        <v>1</v>
      </c>
      <c r="E1221" s="7" t="s">
        <v>12557</v>
      </c>
      <c r="F1221" s="7">
        <f t="shared" si="81"/>
        <v>1</v>
      </c>
      <c r="G1221" s="7" t="s">
        <v>12558</v>
      </c>
      <c r="H1221" s="7">
        <f t="shared" si="82"/>
        <v>0</v>
      </c>
      <c r="I1221" s="7" cm="1">
        <f t="array" ref="I1221">IFERROR(_xlfn.IFS(M1221="נח",1,M1221="נע ונח",1,M1221="שני שווא נח",2,M1221="שני שוואים בסוף מילה",2,M1221="שני שוואים ברצף",1),"0")</f>
        <v>1</v>
      </c>
      <c r="J1221" s="9">
        <f t="shared" si="83"/>
        <v>3</v>
      </c>
      <c r="K1221" t="s">
        <v>6698</v>
      </c>
      <c r="L1221" t="s">
        <v>6694</v>
      </c>
      <c r="M1221" t="s">
        <v>6705</v>
      </c>
      <c r="Q1221" t="s">
        <v>6694</v>
      </c>
      <c r="R1221" t="s">
        <v>6694</v>
      </c>
      <c r="S1221" t="s">
        <v>6694</v>
      </c>
      <c r="W1221" t="s">
        <v>6720</v>
      </c>
    </row>
    <row r="1222" spans="1:23" ht="15.6" x14ac:dyDescent="0.4">
      <c r="A1222" s="2" t="s">
        <v>5972</v>
      </c>
      <c r="B1222" s="5" t="s">
        <v>7707</v>
      </c>
      <c r="C1222" s="7" t="s">
        <v>12556</v>
      </c>
      <c r="D1222" s="8">
        <f t="shared" si="80"/>
        <v>0</v>
      </c>
      <c r="E1222" s="7" t="s">
        <v>12557</v>
      </c>
      <c r="F1222" s="7">
        <f t="shared" si="81"/>
        <v>1</v>
      </c>
      <c r="G1222" s="7" t="s">
        <v>12558</v>
      </c>
      <c r="H1222" s="7">
        <f t="shared" si="82"/>
        <v>0</v>
      </c>
      <c r="I1222" s="7" t="str" cm="1">
        <f t="array" ref="I1222">IFERROR(_xlfn.IFS(M1222="נח",1,M1222="נע ונח",1,M1222="שני שווא נח",2,M1222="שני שוואים בסוף מילה",2,M1222="שני שוואים ברצף",1),"0")</f>
        <v>0</v>
      </c>
      <c r="J1222" s="9">
        <f t="shared" si="83"/>
        <v>2</v>
      </c>
      <c r="K1222" t="s">
        <v>6698</v>
      </c>
      <c r="L1222" t="s">
        <v>6695</v>
      </c>
      <c r="Q1222" t="s">
        <v>6694</v>
      </c>
      <c r="S1222" t="s">
        <v>6694</v>
      </c>
      <c r="W1222" t="s">
        <v>6720</v>
      </c>
    </row>
    <row r="1223" spans="1:23" ht="15.6" x14ac:dyDescent="0.4">
      <c r="A1223" s="2" t="s">
        <v>2177</v>
      </c>
      <c r="B1223" s="5" t="s">
        <v>7748</v>
      </c>
      <c r="C1223" s="7" t="s">
        <v>12556</v>
      </c>
      <c r="D1223" s="8">
        <f t="shared" si="80"/>
        <v>0</v>
      </c>
      <c r="E1223" s="7" t="s">
        <v>12557</v>
      </c>
      <c r="F1223" s="7">
        <f t="shared" si="81"/>
        <v>2</v>
      </c>
      <c r="G1223" s="7" t="s">
        <v>12558</v>
      </c>
      <c r="H1223" s="7">
        <f t="shared" si="82"/>
        <v>1</v>
      </c>
      <c r="I1223" s="7" t="str" cm="1">
        <f t="array" ref="I1223">IFERROR(_xlfn.IFS(M1223="נח",1,M1223="נע ונח",1,M1223="שני שווא נח",2,M1223="שני שוואים בסוף מילה",2,M1223="שני שוואים ברצף",1),"0")</f>
        <v>0</v>
      </c>
      <c r="J1223" s="9">
        <f t="shared" si="83"/>
        <v>2</v>
      </c>
      <c r="K1223" t="s">
        <v>6698</v>
      </c>
      <c r="L1223" t="s">
        <v>6695</v>
      </c>
      <c r="Q1223" t="s">
        <v>6694</v>
      </c>
      <c r="U1223" t="s">
        <v>6694</v>
      </c>
      <c r="W1223" t="s">
        <v>6720</v>
      </c>
    </row>
    <row r="1224" spans="1:23" ht="15.6" x14ac:dyDescent="0.4">
      <c r="A1224" s="2" t="s">
        <v>3084</v>
      </c>
      <c r="B1224" s="5" t="s">
        <v>7749</v>
      </c>
      <c r="C1224" s="7" t="s">
        <v>12556</v>
      </c>
      <c r="D1224" s="8">
        <f t="shared" si="80"/>
        <v>0</v>
      </c>
      <c r="E1224" s="7" t="s">
        <v>12557</v>
      </c>
      <c r="F1224" s="7">
        <f t="shared" si="81"/>
        <v>1</v>
      </c>
      <c r="G1224" s="7" t="s">
        <v>12558</v>
      </c>
      <c r="H1224" s="7">
        <f t="shared" si="82"/>
        <v>0</v>
      </c>
      <c r="I1224" s="7" t="str" cm="1">
        <f t="array" ref="I1224">IFERROR(_xlfn.IFS(M1224="נח",1,M1224="נע ונח",1,M1224="שני שווא נח",2,M1224="שני שוואים בסוף מילה",2,M1224="שני שוואים ברצף",1),"0")</f>
        <v>0</v>
      </c>
      <c r="J1224" s="9">
        <f t="shared" si="83"/>
        <v>1</v>
      </c>
      <c r="K1224" t="s">
        <v>6698</v>
      </c>
      <c r="L1224" t="s">
        <v>6695</v>
      </c>
      <c r="Q1224" t="s">
        <v>6694</v>
      </c>
      <c r="W1224" t="s">
        <v>6720</v>
      </c>
    </row>
    <row r="1225" spans="1:23" ht="15.6" x14ac:dyDescent="0.4">
      <c r="A1225" s="2" t="s">
        <v>262</v>
      </c>
      <c r="B1225" s="5" t="s">
        <v>7708</v>
      </c>
      <c r="C1225" s="7" t="s">
        <v>12556</v>
      </c>
      <c r="D1225" s="8">
        <f t="shared" si="80"/>
        <v>0</v>
      </c>
      <c r="E1225" s="7" t="s">
        <v>12557</v>
      </c>
      <c r="F1225" s="7">
        <f t="shared" si="81"/>
        <v>1</v>
      </c>
      <c r="G1225" s="7" t="s">
        <v>12558</v>
      </c>
      <c r="H1225" s="7">
        <f t="shared" si="82"/>
        <v>0</v>
      </c>
      <c r="I1225" s="7" t="str" cm="1">
        <f t="array" ref="I1225">IFERROR(_xlfn.IFS(M1225="נח",1,M1225="נע ונח",1,M1225="שני שווא נח",2,M1225="שני שוואים בסוף מילה",2,M1225="שני שוואים ברצף",1),"0")</f>
        <v>0</v>
      </c>
      <c r="J1225" s="9">
        <f t="shared" si="83"/>
        <v>1</v>
      </c>
      <c r="K1225" t="s">
        <v>6698</v>
      </c>
      <c r="L1225" t="s">
        <v>6695</v>
      </c>
      <c r="Q1225" t="s">
        <v>6694</v>
      </c>
      <c r="W1225" t="s">
        <v>6720</v>
      </c>
    </row>
    <row r="1226" spans="1:23" ht="15.6" x14ac:dyDescent="0.4">
      <c r="A1226" s="2" t="s">
        <v>1327</v>
      </c>
      <c r="B1226" s="5" t="s">
        <v>7750</v>
      </c>
      <c r="C1226" s="7" t="s">
        <v>12556</v>
      </c>
      <c r="D1226" s="8">
        <f t="shared" si="80"/>
        <v>0</v>
      </c>
      <c r="E1226" s="7" t="s">
        <v>12557</v>
      </c>
      <c r="F1226" s="7">
        <f t="shared" si="81"/>
        <v>1</v>
      </c>
      <c r="G1226" s="7" t="s">
        <v>12558</v>
      </c>
      <c r="H1226" s="7">
        <f t="shared" si="82"/>
        <v>0</v>
      </c>
      <c r="I1226" s="7" t="str" cm="1">
        <f t="array" ref="I1226">IFERROR(_xlfn.IFS(M1226="נח",1,M1226="נע ונח",1,M1226="שני שווא נח",2,M1226="שני שוואים בסוף מילה",2,M1226="שני שוואים ברצף",1),"0")</f>
        <v>0</v>
      </c>
      <c r="J1226" s="9">
        <f t="shared" si="83"/>
        <v>2</v>
      </c>
      <c r="K1226" t="s">
        <v>6698</v>
      </c>
      <c r="L1226" t="s">
        <v>6695</v>
      </c>
      <c r="Q1226" t="s">
        <v>6694</v>
      </c>
      <c r="S1226" t="s">
        <v>6694</v>
      </c>
      <c r="W1226" t="s">
        <v>6720</v>
      </c>
    </row>
    <row r="1227" spans="1:23" ht="15.6" x14ac:dyDescent="0.4">
      <c r="A1227" s="2" t="s">
        <v>2070</v>
      </c>
      <c r="B1227" s="5" t="s">
        <v>7751</v>
      </c>
      <c r="C1227" s="7" t="s">
        <v>12556</v>
      </c>
      <c r="D1227" s="8">
        <f t="shared" si="80"/>
        <v>0</v>
      </c>
      <c r="E1227" s="7" t="s">
        <v>12557</v>
      </c>
      <c r="F1227" s="7">
        <f t="shared" si="81"/>
        <v>1</v>
      </c>
      <c r="G1227" s="7" t="s">
        <v>12558</v>
      </c>
      <c r="H1227" s="7">
        <f t="shared" si="82"/>
        <v>0</v>
      </c>
      <c r="I1227" s="7" t="str" cm="1">
        <f t="array" ref="I1227">IFERROR(_xlfn.IFS(M1227="נח",1,M1227="נע ונח",1,M1227="שני שווא נח",2,M1227="שני שוואים בסוף מילה",2,M1227="שני שוואים ברצף",1),"0")</f>
        <v>0</v>
      </c>
      <c r="J1227" s="9">
        <f t="shared" si="83"/>
        <v>3</v>
      </c>
      <c r="K1227" t="s">
        <v>6698</v>
      </c>
      <c r="L1227" t="s">
        <v>6695</v>
      </c>
      <c r="O1227" t="s">
        <v>6694</v>
      </c>
      <c r="R1227" t="s">
        <v>6694</v>
      </c>
      <c r="S1227" t="s">
        <v>6694</v>
      </c>
      <c r="W1227" t="s">
        <v>6720</v>
      </c>
    </row>
    <row r="1228" spans="1:23" ht="15.6" x14ac:dyDescent="0.4">
      <c r="A1228" s="2" t="s">
        <v>4798</v>
      </c>
      <c r="B1228" s="5" t="s">
        <v>7752</v>
      </c>
      <c r="C1228" s="7" t="s">
        <v>12556</v>
      </c>
      <c r="D1228" s="8">
        <f t="shared" si="80"/>
        <v>0</v>
      </c>
      <c r="E1228" s="7" t="s">
        <v>12557</v>
      </c>
      <c r="F1228" s="7">
        <f t="shared" si="81"/>
        <v>1</v>
      </c>
      <c r="G1228" s="7" t="s">
        <v>12558</v>
      </c>
      <c r="H1228" s="7">
        <f t="shared" si="82"/>
        <v>0</v>
      </c>
      <c r="I1228" s="7" t="str" cm="1">
        <f t="array" ref="I1228">IFERROR(_xlfn.IFS(M1228="נח",1,M1228="נע ונח",1,M1228="שני שווא נח",2,M1228="שני שוואים בסוף מילה",2,M1228="שני שוואים ברצף",1),"0")</f>
        <v>0</v>
      </c>
      <c r="J1228" s="9">
        <f t="shared" si="83"/>
        <v>2</v>
      </c>
      <c r="K1228" t="s">
        <v>6698</v>
      </c>
      <c r="L1228" t="s">
        <v>6695</v>
      </c>
      <c r="R1228" t="s">
        <v>6694</v>
      </c>
      <c r="W1228" t="s">
        <v>6720</v>
      </c>
    </row>
    <row r="1229" spans="1:23" ht="15.6" x14ac:dyDescent="0.4">
      <c r="A1229" s="2" t="s">
        <v>4500</v>
      </c>
      <c r="B1229" s="5" t="s">
        <v>7753</v>
      </c>
      <c r="C1229" s="7" t="s">
        <v>12556</v>
      </c>
      <c r="D1229" s="8">
        <f t="shared" si="80"/>
        <v>1</v>
      </c>
      <c r="E1229" s="7" t="s">
        <v>12557</v>
      </c>
      <c r="F1229" s="7">
        <f t="shared" si="81"/>
        <v>1</v>
      </c>
      <c r="G1229" s="7" t="s">
        <v>12558</v>
      </c>
      <c r="H1229" s="7">
        <f t="shared" si="82"/>
        <v>0</v>
      </c>
      <c r="I1229" s="7" t="str" cm="1">
        <f t="array" ref="I1229">IFERROR(_xlfn.IFS(M1229="נח",1,M1229="נע ונח",1,M1229="שני שווא נח",2,M1229="שני שוואים בסוף מילה",2,M1229="שני שוואים ברצף",1),"0")</f>
        <v>0</v>
      </c>
      <c r="J1229" s="9">
        <f t="shared" si="83"/>
        <v>2</v>
      </c>
      <c r="K1229" t="s">
        <v>6698</v>
      </c>
      <c r="L1229" t="s">
        <v>6695</v>
      </c>
      <c r="R1229" t="s">
        <v>6694</v>
      </c>
      <c r="W1229" t="s">
        <v>6720</v>
      </c>
    </row>
    <row r="1230" spans="1:23" ht="15.6" x14ac:dyDescent="0.4">
      <c r="A1230" s="2" t="s">
        <v>858</v>
      </c>
      <c r="B1230" s="5" t="s">
        <v>7710</v>
      </c>
      <c r="C1230" s="7" t="s">
        <v>12556</v>
      </c>
      <c r="D1230" s="8">
        <f t="shared" si="80"/>
        <v>0</v>
      </c>
      <c r="E1230" s="7" t="s">
        <v>12557</v>
      </c>
      <c r="F1230" s="7">
        <f t="shared" si="81"/>
        <v>1</v>
      </c>
      <c r="G1230" s="7" t="s">
        <v>12558</v>
      </c>
      <c r="H1230" s="7">
        <f t="shared" si="82"/>
        <v>0</v>
      </c>
      <c r="I1230" s="7" t="str" cm="1">
        <f t="array" ref="I1230">IFERROR(_xlfn.IFS(M1230="נח",1,M1230="נע ונח",1,M1230="שני שווא נח",2,M1230="שני שוואים בסוף מילה",2,M1230="שני שוואים ברצף",1),"0")</f>
        <v>0</v>
      </c>
      <c r="J1230" s="9">
        <f t="shared" si="83"/>
        <v>3</v>
      </c>
      <c r="K1230" t="s">
        <v>6697</v>
      </c>
      <c r="L1230" t="s">
        <v>6695</v>
      </c>
      <c r="O1230" t="s">
        <v>6694</v>
      </c>
      <c r="P1230" t="s">
        <v>6694</v>
      </c>
      <c r="W1230" t="s">
        <v>6720</v>
      </c>
    </row>
    <row r="1231" spans="1:23" ht="15.6" x14ac:dyDescent="0.4">
      <c r="A1231" s="2" t="s">
        <v>4525</v>
      </c>
      <c r="B1231" s="5" t="s">
        <v>7754</v>
      </c>
      <c r="C1231" s="7" t="s">
        <v>12556</v>
      </c>
      <c r="D1231" s="8">
        <f t="shared" si="80"/>
        <v>0</v>
      </c>
      <c r="E1231" s="7" t="s">
        <v>12557</v>
      </c>
      <c r="F1231" s="7">
        <f t="shared" si="81"/>
        <v>2</v>
      </c>
      <c r="G1231" s="7" t="s">
        <v>12558</v>
      </c>
      <c r="H1231" s="7">
        <f t="shared" si="82"/>
        <v>0</v>
      </c>
      <c r="I1231" s="7" cm="1">
        <f t="array" ref="I1231">IFERROR(_xlfn.IFS(M1231="נח",1,M1231="נע ונח",1,M1231="שני שווא נח",2,M1231="שני שוואים בסוף מילה",2,M1231="שני שוואים ברצף",1),"0")</f>
        <v>1</v>
      </c>
      <c r="J1231" s="9">
        <f t="shared" si="83"/>
        <v>3</v>
      </c>
      <c r="K1231" t="s">
        <v>6698</v>
      </c>
      <c r="L1231" t="s">
        <v>6694</v>
      </c>
      <c r="M1231" t="s">
        <v>6705</v>
      </c>
      <c r="P1231" t="s">
        <v>6694</v>
      </c>
      <c r="S1231" t="s">
        <v>6694</v>
      </c>
      <c r="T1231" t="s">
        <v>6694</v>
      </c>
      <c r="W1231" t="s">
        <v>6720</v>
      </c>
    </row>
    <row r="1232" spans="1:23" ht="15.6" x14ac:dyDescent="0.4">
      <c r="A1232" s="2" t="s">
        <v>2741</v>
      </c>
      <c r="B1232" s="5" t="s">
        <v>7755</v>
      </c>
      <c r="C1232" s="7" t="s">
        <v>12556</v>
      </c>
      <c r="D1232" s="8">
        <f t="shared" si="80"/>
        <v>0</v>
      </c>
      <c r="E1232" s="7" t="s">
        <v>12557</v>
      </c>
      <c r="F1232" s="7">
        <f t="shared" si="81"/>
        <v>3</v>
      </c>
      <c r="G1232" s="7" t="s">
        <v>12558</v>
      </c>
      <c r="H1232" s="7">
        <f t="shared" si="82"/>
        <v>1</v>
      </c>
      <c r="I1232" s="7" cm="1">
        <f t="array" ref="I1232">IFERROR(_xlfn.IFS(M1232="נח",1,M1232="נע ונח",1,M1232="שני שווא נח",2,M1232="שני שוואים בסוף מילה",2,M1232="שני שוואים ברצף",1),"0")</f>
        <v>1</v>
      </c>
      <c r="J1232" s="9">
        <f t="shared" si="83"/>
        <v>2</v>
      </c>
      <c r="K1232" t="s">
        <v>6697</v>
      </c>
      <c r="L1232" t="s">
        <v>6694</v>
      </c>
      <c r="M1232" t="s">
        <v>6705</v>
      </c>
      <c r="P1232" t="s">
        <v>6694</v>
      </c>
      <c r="U1232" t="s">
        <v>6694</v>
      </c>
      <c r="W1232" t="s">
        <v>6720</v>
      </c>
    </row>
    <row r="1233" spans="1:23" ht="15.6" x14ac:dyDescent="0.4">
      <c r="A1233" s="2" t="s">
        <v>259</v>
      </c>
      <c r="B1233" s="5" t="s">
        <v>7756</v>
      </c>
      <c r="C1233" s="7" t="s">
        <v>12556</v>
      </c>
      <c r="D1233" s="8">
        <f t="shared" si="80"/>
        <v>0</v>
      </c>
      <c r="E1233" s="7" t="s">
        <v>12557</v>
      </c>
      <c r="F1233" s="7">
        <f t="shared" si="81"/>
        <v>1</v>
      </c>
      <c r="G1233" s="7" t="s">
        <v>12558</v>
      </c>
      <c r="H1233" s="7">
        <f t="shared" si="82"/>
        <v>0</v>
      </c>
      <c r="I1233" s="7" t="str" cm="1">
        <f t="array" ref="I1233">IFERROR(_xlfn.IFS(M1233="נח",1,M1233="נע ונח",1,M1233="שני שווא נח",2,M1233="שני שוואים בסוף מילה",2,M1233="שני שוואים ברצף",1),"0")</f>
        <v>0</v>
      </c>
      <c r="J1233" s="9">
        <f t="shared" si="83"/>
        <v>1</v>
      </c>
      <c r="K1233" t="s">
        <v>6698</v>
      </c>
      <c r="L1233" t="s">
        <v>6695</v>
      </c>
      <c r="P1233" t="s">
        <v>6694</v>
      </c>
      <c r="W1233" t="s">
        <v>6720</v>
      </c>
    </row>
    <row r="1234" spans="1:23" ht="15.6" x14ac:dyDescent="0.4">
      <c r="A1234" s="2" t="s">
        <v>4380</v>
      </c>
      <c r="B1234" s="5" t="s">
        <v>7757</v>
      </c>
      <c r="C1234" s="7" t="s">
        <v>12556</v>
      </c>
      <c r="D1234" s="8">
        <f t="shared" si="80"/>
        <v>0</v>
      </c>
      <c r="E1234" s="7" t="s">
        <v>12557</v>
      </c>
      <c r="F1234" s="7">
        <f t="shared" si="81"/>
        <v>2</v>
      </c>
      <c r="G1234" s="7" t="s">
        <v>12558</v>
      </c>
      <c r="H1234" s="7">
        <f t="shared" si="82"/>
        <v>0</v>
      </c>
      <c r="I1234" s="7" t="str" cm="1">
        <f t="array" ref="I1234">IFERROR(_xlfn.IFS(M1234="נח",1,M1234="נע ונח",1,M1234="שני שווא נח",2,M1234="שני שוואים בסוף מילה",2,M1234="שני שוואים ברצף",1),"0")</f>
        <v>0</v>
      </c>
      <c r="J1234" s="9">
        <f t="shared" si="83"/>
        <v>3</v>
      </c>
      <c r="K1234" t="s">
        <v>6698</v>
      </c>
      <c r="L1234" t="s">
        <v>6695</v>
      </c>
      <c r="P1234" t="s">
        <v>6694</v>
      </c>
      <c r="Q1234" t="s">
        <v>6694</v>
      </c>
      <c r="R1234" t="s">
        <v>6694</v>
      </c>
      <c r="W1234" t="s">
        <v>6720</v>
      </c>
    </row>
    <row r="1235" spans="1:23" ht="15.6" x14ac:dyDescent="0.4">
      <c r="A1235" s="2" t="s">
        <v>6138</v>
      </c>
      <c r="B1235" s="5" t="s">
        <v>7711</v>
      </c>
      <c r="C1235" s="7" t="s">
        <v>12556</v>
      </c>
      <c r="D1235" s="8">
        <f t="shared" si="80"/>
        <v>0</v>
      </c>
      <c r="E1235" s="7" t="s">
        <v>12557</v>
      </c>
      <c r="F1235" s="7">
        <f t="shared" si="81"/>
        <v>2</v>
      </c>
      <c r="G1235" s="7" t="s">
        <v>12558</v>
      </c>
      <c r="H1235" s="7">
        <f t="shared" si="82"/>
        <v>0</v>
      </c>
      <c r="I1235" s="7" t="str" cm="1">
        <f t="array" ref="I1235">IFERROR(_xlfn.IFS(M1235="נח",1,M1235="נע ונח",1,M1235="שני שווא נח",2,M1235="שני שוואים בסוף מילה",2,M1235="שני שוואים ברצף",1),"0")</f>
        <v>0</v>
      </c>
      <c r="J1235" s="9">
        <f t="shared" si="83"/>
        <v>2</v>
      </c>
      <c r="K1235" t="s">
        <v>6698</v>
      </c>
      <c r="L1235" t="s">
        <v>6695</v>
      </c>
      <c r="N1235" t="s">
        <v>6706</v>
      </c>
      <c r="O1235" t="s">
        <v>6694</v>
      </c>
      <c r="P1235" t="s">
        <v>6694</v>
      </c>
      <c r="W1235" t="s">
        <v>6720</v>
      </c>
    </row>
    <row r="1236" spans="1:23" ht="15.6" x14ac:dyDescent="0.4">
      <c r="A1236" s="2" t="s">
        <v>279</v>
      </c>
      <c r="B1236" s="5" t="s">
        <v>7712</v>
      </c>
      <c r="C1236" s="7" t="s">
        <v>12556</v>
      </c>
      <c r="D1236" s="8">
        <f t="shared" si="80"/>
        <v>0</v>
      </c>
      <c r="E1236" s="7" t="s">
        <v>12557</v>
      </c>
      <c r="F1236" s="7">
        <f t="shared" si="81"/>
        <v>1</v>
      </c>
      <c r="G1236" s="7" t="s">
        <v>12558</v>
      </c>
      <c r="H1236" s="7">
        <f t="shared" si="82"/>
        <v>0</v>
      </c>
      <c r="I1236" s="7" t="str" cm="1">
        <f t="array" ref="I1236">IFERROR(_xlfn.IFS(M1236="נח",1,M1236="נע ונח",1,M1236="שני שווא נח",2,M1236="שני שוואים בסוף מילה",2,M1236="שני שוואים ברצף",1),"0")</f>
        <v>0</v>
      </c>
      <c r="J1236" s="9">
        <f t="shared" si="83"/>
        <v>1</v>
      </c>
      <c r="K1236" t="s">
        <v>6698</v>
      </c>
      <c r="L1236" t="s">
        <v>6695</v>
      </c>
      <c r="P1236" t="s">
        <v>6694</v>
      </c>
      <c r="W1236" t="s">
        <v>6720</v>
      </c>
    </row>
    <row r="1237" spans="1:23" ht="15.6" x14ac:dyDescent="0.4">
      <c r="A1237" s="2" t="s">
        <v>2925</v>
      </c>
      <c r="B1237" s="5" t="s">
        <v>7758</v>
      </c>
      <c r="C1237" s="7" t="s">
        <v>12556</v>
      </c>
      <c r="D1237" s="8">
        <f t="shared" si="80"/>
        <v>0</v>
      </c>
      <c r="E1237" s="7" t="s">
        <v>12557</v>
      </c>
      <c r="F1237" s="7">
        <f t="shared" si="81"/>
        <v>1</v>
      </c>
      <c r="G1237" s="7" t="s">
        <v>12558</v>
      </c>
      <c r="H1237" s="7">
        <f t="shared" si="82"/>
        <v>0</v>
      </c>
      <c r="I1237" s="7" t="str" cm="1">
        <f t="array" ref="I1237">IFERROR(_xlfn.IFS(M1237="נח",1,M1237="נע ונח",1,M1237="שני שווא נח",2,M1237="שני שוואים בסוף מילה",2,M1237="שני שוואים ברצף",1),"0")</f>
        <v>0</v>
      </c>
      <c r="J1237" s="9">
        <f t="shared" si="83"/>
        <v>1</v>
      </c>
      <c r="K1237" t="s">
        <v>6697</v>
      </c>
      <c r="L1237" t="s">
        <v>6695</v>
      </c>
      <c r="P1237" t="s">
        <v>6694</v>
      </c>
      <c r="W1237" t="s">
        <v>6720</v>
      </c>
    </row>
    <row r="1238" spans="1:23" ht="15.6" x14ac:dyDescent="0.4">
      <c r="A1238" s="2" t="s">
        <v>644</v>
      </c>
      <c r="B1238" s="5" t="s">
        <v>7759</v>
      </c>
      <c r="C1238" s="7" t="s">
        <v>12556</v>
      </c>
      <c r="D1238" s="8">
        <f t="shared" si="80"/>
        <v>0</v>
      </c>
      <c r="E1238" s="7" t="s">
        <v>12557</v>
      </c>
      <c r="F1238" s="7">
        <f t="shared" si="81"/>
        <v>1</v>
      </c>
      <c r="G1238" s="7" t="s">
        <v>12558</v>
      </c>
      <c r="H1238" s="7">
        <f t="shared" si="82"/>
        <v>0</v>
      </c>
      <c r="I1238" s="7" cm="1">
        <f t="array" ref="I1238">IFERROR(_xlfn.IFS(M1238="נח",1,M1238="נע ונח",1,M1238="שני שווא נח",2,M1238="שני שוואים בסוף מילה",2,M1238="שני שוואים ברצף",1),"0")</f>
        <v>1</v>
      </c>
      <c r="J1238" s="9">
        <f t="shared" si="83"/>
        <v>4</v>
      </c>
      <c r="K1238" t="s">
        <v>6697</v>
      </c>
      <c r="L1238" t="s">
        <v>6694</v>
      </c>
      <c r="M1238" t="s">
        <v>6705</v>
      </c>
      <c r="N1238" t="s">
        <v>6706</v>
      </c>
      <c r="O1238" t="s">
        <v>6694</v>
      </c>
      <c r="P1238" t="s">
        <v>6694</v>
      </c>
      <c r="W1238" t="s">
        <v>6720</v>
      </c>
    </row>
    <row r="1239" spans="1:23" ht="15.6" x14ac:dyDescent="0.4">
      <c r="A1239" s="2" t="s">
        <v>1696</v>
      </c>
      <c r="B1239" s="5" t="s">
        <v>7760</v>
      </c>
      <c r="C1239" s="7" t="s">
        <v>12556</v>
      </c>
      <c r="D1239" s="8">
        <f t="shared" si="80"/>
        <v>0</v>
      </c>
      <c r="E1239" s="7" t="s">
        <v>12557</v>
      </c>
      <c r="F1239" s="7">
        <f t="shared" si="81"/>
        <v>1</v>
      </c>
      <c r="G1239" s="7" t="s">
        <v>12558</v>
      </c>
      <c r="H1239" s="7">
        <f t="shared" si="82"/>
        <v>0</v>
      </c>
      <c r="I1239" s="7" cm="1">
        <f t="array" ref="I1239">IFERROR(_xlfn.IFS(M1239="נח",1,M1239="נע ונח",1,M1239="שני שווא נח",2,M1239="שני שוואים בסוף מילה",2,M1239="שני שוואים ברצף",1),"0")</f>
        <v>1</v>
      </c>
      <c r="J1239" s="9">
        <f t="shared" si="83"/>
        <v>2</v>
      </c>
      <c r="K1239" t="s">
        <v>6698</v>
      </c>
      <c r="L1239" t="s">
        <v>6694</v>
      </c>
      <c r="M1239" t="s">
        <v>6705</v>
      </c>
      <c r="N1239" t="s">
        <v>6706</v>
      </c>
      <c r="O1239" t="s">
        <v>6694</v>
      </c>
      <c r="P1239" t="s">
        <v>6694</v>
      </c>
      <c r="W1239" t="s">
        <v>6720</v>
      </c>
    </row>
    <row r="1240" spans="1:23" ht="15.6" x14ac:dyDescent="0.4">
      <c r="A1240" s="2" t="s">
        <v>4759</v>
      </c>
      <c r="B1240" s="5" t="s">
        <v>7761</v>
      </c>
      <c r="C1240" s="7" t="s">
        <v>12556</v>
      </c>
      <c r="D1240" s="8">
        <f t="shared" si="80"/>
        <v>0</v>
      </c>
      <c r="E1240" s="7" t="s">
        <v>12557</v>
      </c>
      <c r="F1240" s="7">
        <f t="shared" si="81"/>
        <v>2</v>
      </c>
      <c r="G1240" s="7" t="s">
        <v>12558</v>
      </c>
      <c r="H1240" s="7">
        <f t="shared" si="82"/>
        <v>0</v>
      </c>
      <c r="I1240" s="7" cm="1">
        <f t="array" ref="I1240">IFERROR(_xlfn.IFS(M1240="נח",1,M1240="נע ונח",1,M1240="שני שווא נח",2,M1240="שני שוואים בסוף מילה",2,M1240="שני שוואים ברצף",1),"0")</f>
        <v>1</v>
      </c>
      <c r="J1240" s="9">
        <f t="shared" si="83"/>
        <v>3</v>
      </c>
      <c r="K1240" t="s">
        <v>6698</v>
      </c>
      <c r="L1240" t="s">
        <v>6694</v>
      </c>
      <c r="M1240" t="s">
        <v>6705</v>
      </c>
      <c r="O1240" t="s">
        <v>6694</v>
      </c>
      <c r="P1240" t="s">
        <v>6694</v>
      </c>
      <c r="W1240" t="s">
        <v>6720</v>
      </c>
    </row>
    <row r="1241" spans="1:23" ht="15.6" x14ac:dyDescent="0.4">
      <c r="A1241" s="2" t="s">
        <v>4363</v>
      </c>
      <c r="B1241" s="5" t="s">
        <v>7762</v>
      </c>
      <c r="C1241" s="7" t="s">
        <v>12556</v>
      </c>
      <c r="D1241" s="8">
        <f t="shared" si="80"/>
        <v>0</v>
      </c>
      <c r="E1241" s="7" t="s">
        <v>12557</v>
      </c>
      <c r="F1241" s="7">
        <f t="shared" si="81"/>
        <v>2</v>
      </c>
      <c r="G1241" s="7" t="s">
        <v>12558</v>
      </c>
      <c r="H1241" s="7">
        <f t="shared" si="82"/>
        <v>1</v>
      </c>
      <c r="I1241" s="7" cm="1">
        <f t="array" ref="I1241">IFERROR(_xlfn.IFS(M1241="נח",1,M1241="נע ונח",1,M1241="שני שווא נח",2,M1241="שני שוואים בסוף מילה",2,M1241="שני שוואים ברצף",1),"0")</f>
        <v>1</v>
      </c>
      <c r="J1241" s="9">
        <f t="shared" si="83"/>
        <v>2</v>
      </c>
      <c r="K1241" t="s">
        <v>6697</v>
      </c>
      <c r="L1241" t="s">
        <v>6694</v>
      </c>
      <c r="M1241" t="s">
        <v>6705</v>
      </c>
      <c r="N1241" t="s">
        <v>6706</v>
      </c>
      <c r="O1241" t="s">
        <v>6694</v>
      </c>
      <c r="U1241" t="s">
        <v>6694</v>
      </c>
      <c r="W1241" t="s">
        <v>6720</v>
      </c>
    </row>
    <row r="1242" spans="1:23" ht="15.6" x14ac:dyDescent="0.4">
      <c r="A1242" s="2" t="s">
        <v>2834</v>
      </c>
      <c r="B1242" s="5" t="s">
        <v>7709</v>
      </c>
      <c r="C1242" s="7" t="s">
        <v>12556</v>
      </c>
      <c r="D1242" s="8">
        <f t="shared" si="80"/>
        <v>0</v>
      </c>
      <c r="E1242" s="7" t="s">
        <v>12557</v>
      </c>
      <c r="F1242" s="7">
        <f t="shared" si="81"/>
        <v>1</v>
      </c>
      <c r="G1242" s="7" t="s">
        <v>12558</v>
      </c>
      <c r="H1242" s="7">
        <f t="shared" si="82"/>
        <v>0</v>
      </c>
      <c r="I1242" s="7" t="str" cm="1">
        <f t="array" ref="I1242">IFERROR(_xlfn.IFS(M1242="נח",1,M1242="נע ונח",1,M1242="שני שווא נח",2,M1242="שני שוואים בסוף מילה",2,M1242="שני שוואים ברצף",1),"0")</f>
        <v>0</v>
      </c>
      <c r="J1242" s="9">
        <f t="shared" si="83"/>
        <v>2</v>
      </c>
      <c r="K1242" t="s">
        <v>6698</v>
      </c>
      <c r="L1242" t="s">
        <v>6695</v>
      </c>
      <c r="O1242" t="s">
        <v>6694</v>
      </c>
      <c r="P1242" t="s">
        <v>6694</v>
      </c>
      <c r="W1242" t="s">
        <v>6720</v>
      </c>
    </row>
    <row r="1243" spans="1:23" ht="15.6" x14ac:dyDescent="0.4">
      <c r="A1243" s="2" t="s">
        <v>5518</v>
      </c>
      <c r="B1243" s="5" t="s">
        <v>7755</v>
      </c>
      <c r="C1243" s="7" t="s">
        <v>12556</v>
      </c>
      <c r="D1243" s="8">
        <f t="shared" si="80"/>
        <v>0</v>
      </c>
      <c r="E1243" s="7" t="s">
        <v>12557</v>
      </c>
      <c r="F1243" s="7">
        <f t="shared" si="81"/>
        <v>2</v>
      </c>
      <c r="G1243" s="7" t="s">
        <v>12558</v>
      </c>
      <c r="H1243" s="7">
        <f t="shared" si="82"/>
        <v>1</v>
      </c>
      <c r="I1243" s="7" cm="1">
        <f t="array" ref="I1243">IFERROR(_xlfn.IFS(M1243="נח",1,M1243="נע ונח",1,M1243="שני שווא נח",2,M1243="שני שוואים בסוף מילה",2,M1243="שני שוואים ברצף",1),"0")</f>
        <v>1</v>
      </c>
      <c r="J1243" s="9">
        <f t="shared" si="83"/>
        <v>2</v>
      </c>
      <c r="K1243" t="s">
        <v>6697</v>
      </c>
      <c r="L1243" t="s">
        <v>6694</v>
      </c>
      <c r="M1243" t="s">
        <v>6705</v>
      </c>
      <c r="N1243" t="s">
        <v>6706</v>
      </c>
      <c r="O1243" t="s">
        <v>6694</v>
      </c>
      <c r="U1243" t="s">
        <v>6694</v>
      </c>
      <c r="W1243" t="s">
        <v>6720</v>
      </c>
    </row>
    <row r="1244" spans="1:23" ht="15.6" x14ac:dyDescent="0.4">
      <c r="A1244" s="2" t="s">
        <v>4298</v>
      </c>
      <c r="B1244" s="5" t="s">
        <v>7763</v>
      </c>
      <c r="C1244" s="7" t="s">
        <v>12556</v>
      </c>
      <c r="D1244" s="8">
        <f t="shared" si="80"/>
        <v>0</v>
      </c>
      <c r="E1244" s="7" t="s">
        <v>12557</v>
      </c>
      <c r="F1244" s="7">
        <f t="shared" si="81"/>
        <v>1</v>
      </c>
      <c r="G1244" s="7" t="s">
        <v>12558</v>
      </c>
      <c r="H1244" s="7">
        <f t="shared" si="82"/>
        <v>0</v>
      </c>
      <c r="I1244" s="7" t="str" cm="1">
        <f t="array" ref="I1244">IFERROR(_xlfn.IFS(M1244="נח",1,M1244="נע ונח",1,M1244="שני שווא נח",2,M1244="שני שוואים בסוף מילה",2,M1244="שני שוואים ברצף",1),"0")</f>
        <v>0</v>
      </c>
      <c r="J1244" s="9">
        <f t="shared" si="83"/>
        <v>2</v>
      </c>
      <c r="K1244" t="s">
        <v>6698</v>
      </c>
      <c r="L1244" t="s">
        <v>6695</v>
      </c>
      <c r="O1244" t="s">
        <v>6694</v>
      </c>
      <c r="Q1244" t="s">
        <v>6694</v>
      </c>
      <c r="W1244" t="s">
        <v>6720</v>
      </c>
    </row>
    <row r="1245" spans="1:23" ht="15.6" x14ac:dyDescent="0.4">
      <c r="A1245" s="2" t="s">
        <v>613</v>
      </c>
      <c r="B1245" s="5" t="s">
        <v>7764</v>
      </c>
      <c r="C1245" s="7" t="s">
        <v>12556</v>
      </c>
      <c r="D1245" s="8">
        <f t="shared" si="80"/>
        <v>0</v>
      </c>
      <c r="E1245" s="7" t="s">
        <v>12557</v>
      </c>
      <c r="F1245" s="7">
        <f t="shared" si="81"/>
        <v>2</v>
      </c>
      <c r="G1245" s="7" t="s">
        <v>12558</v>
      </c>
      <c r="H1245" s="7">
        <f t="shared" si="82"/>
        <v>0</v>
      </c>
      <c r="I1245" s="7" cm="1">
        <f t="array" ref="I1245">IFERROR(_xlfn.IFS(M1245="נח",1,M1245="נע ונח",1,M1245="שני שווא נח",2,M1245="שני שוואים בסוף מילה",2,M1245="שני שוואים ברצף",1),"0")</f>
        <v>1</v>
      </c>
      <c r="J1245" s="9">
        <f t="shared" si="83"/>
        <v>3</v>
      </c>
      <c r="K1245" t="s">
        <v>6698</v>
      </c>
      <c r="L1245" t="s">
        <v>6694</v>
      </c>
      <c r="M1245" t="s">
        <v>6705</v>
      </c>
      <c r="O1245" t="s">
        <v>6694</v>
      </c>
      <c r="P1245" t="s">
        <v>6694</v>
      </c>
      <c r="W1245" t="s">
        <v>6720</v>
      </c>
    </row>
    <row r="1246" spans="1:23" ht="15.6" x14ac:dyDescent="0.4">
      <c r="A1246" s="2" t="s">
        <v>735</v>
      </c>
      <c r="B1246" s="5" t="s">
        <v>7715</v>
      </c>
      <c r="C1246" s="7" t="s">
        <v>12556</v>
      </c>
      <c r="D1246" s="8">
        <f t="shared" si="80"/>
        <v>0</v>
      </c>
      <c r="E1246" s="7" t="s">
        <v>12557</v>
      </c>
      <c r="F1246" s="7">
        <f t="shared" si="81"/>
        <v>1</v>
      </c>
      <c r="G1246" s="7" t="s">
        <v>12558</v>
      </c>
      <c r="H1246" s="7">
        <f t="shared" si="82"/>
        <v>0</v>
      </c>
      <c r="I1246" s="7" t="str" cm="1">
        <f t="array" ref="I1246">IFERROR(_xlfn.IFS(M1246="נח",1,M1246="נע ונח",1,M1246="שני שווא נח",2,M1246="שני שוואים בסוף מילה",2,M1246="שני שוואים ברצף",1),"0")</f>
        <v>0</v>
      </c>
      <c r="J1246" s="9">
        <f t="shared" si="83"/>
        <v>2</v>
      </c>
      <c r="K1246" t="s">
        <v>6698</v>
      </c>
      <c r="L1246" t="s">
        <v>6695</v>
      </c>
      <c r="O1246" t="s">
        <v>6694</v>
      </c>
      <c r="V1246" t="s">
        <v>6694</v>
      </c>
      <c r="W1246" t="s">
        <v>6720</v>
      </c>
    </row>
    <row r="1247" spans="1:23" ht="15.6" x14ac:dyDescent="0.4">
      <c r="A1247" s="2" t="s">
        <v>5069</v>
      </c>
      <c r="B1247" s="5" t="s">
        <v>7765</v>
      </c>
      <c r="C1247" s="7" t="s">
        <v>12556</v>
      </c>
      <c r="D1247" s="8">
        <f t="shared" si="80"/>
        <v>0</v>
      </c>
      <c r="E1247" s="7" t="s">
        <v>12557</v>
      </c>
      <c r="F1247" s="7">
        <f t="shared" si="81"/>
        <v>1</v>
      </c>
      <c r="G1247" s="7" t="s">
        <v>12558</v>
      </c>
      <c r="H1247" s="7">
        <f t="shared" si="82"/>
        <v>0</v>
      </c>
      <c r="I1247" s="7" cm="1">
        <f t="array" ref="I1247">IFERROR(_xlfn.IFS(M1247="נח",1,M1247="נע ונח",1,M1247="שני שווא נח",2,M1247="שני שוואים בסוף מילה",2,M1247="שני שוואים ברצף",1),"0")</f>
        <v>1</v>
      </c>
      <c r="J1247" s="9">
        <f t="shared" si="83"/>
        <v>2</v>
      </c>
      <c r="K1247" t="s">
        <v>6697</v>
      </c>
      <c r="L1247" t="s">
        <v>6694</v>
      </c>
      <c r="M1247" t="s">
        <v>6705</v>
      </c>
      <c r="N1247" t="s">
        <v>6706</v>
      </c>
      <c r="O1247" t="s">
        <v>6694</v>
      </c>
      <c r="S1247" t="s">
        <v>6694</v>
      </c>
      <c r="W1247" t="s">
        <v>6720</v>
      </c>
    </row>
    <row r="1248" spans="1:23" ht="15.6" x14ac:dyDescent="0.4">
      <c r="A1248" s="2" t="s">
        <v>347</v>
      </c>
      <c r="B1248" s="5" t="s">
        <v>7717</v>
      </c>
      <c r="C1248" s="7" t="s">
        <v>12556</v>
      </c>
      <c r="D1248" s="8">
        <f t="shared" si="80"/>
        <v>0</v>
      </c>
      <c r="E1248" s="7" t="s">
        <v>12557</v>
      </c>
      <c r="F1248" s="7">
        <f t="shared" si="81"/>
        <v>1</v>
      </c>
      <c r="G1248" s="7" t="s">
        <v>12558</v>
      </c>
      <c r="H1248" s="7">
        <f t="shared" si="82"/>
        <v>0</v>
      </c>
      <c r="I1248" s="7" t="str" cm="1">
        <f t="array" ref="I1248">IFERROR(_xlfn.IFS(M1248="נח",1,M1248="נע ונח",1,M1248="שני שווא נח",2,M1248="שני שוואים בסוף מילה",2,M1248="שני שוואים ברצף",1),"0")</f>
        <v>0</v>
      </c>
      <c r="J1248" s="9">
        <f t="shared" si="83"/>
        <v>2</v>
      </c>
      <c r="K1248" t="s">
        <v>6698</v>
      </c>
      <c r="L1248" t="s">
        <v>6695</v>
      </c>
      <c r="O1248" t="s">
        <v>6694</v>
      </c>
      <c r="P1248" t="s">
        <v>6694</v>
      </c>
      <c r="W1248" t="s">
        <v>6720</v>
      </c>
    </row>
    <row r="1249" spans="1:23" ht="15.6" x14ac:dyDescent="0.4">
      <c r="A1249" s="2" t="s">
        <v>5955</v>
      </c>
      <c r="B1249" s="5" t="s">
        <v>7766</v>
      </c>
      <c r="C1249" s="7" t="s">
        <v>12556</v>
      </c>
      <c r="D1249" s="8">
        <f t="shared" si="80"/>
        <v>0</v>
      </c>
      <c r="E1249" s="7" t="s">
        <v>12557</v>
      </c>
      <c r="F1249" s="7">
        <f t="shared" si="81"/>
        <v>2</v>
      </c>
      <c r="G1249" s="7" t="s">
        <v>12558</v>
      </c>
      <c r="H1249" s="7">
        <f t="shared" si="82"/>
        <v>0</v>
      </c>
      <c r="I1249" s="7" cm="1">
        <f t="array" ref="I1249">IFERROR(_xlfn.IFS(M1249="נח",1,M1249="נע ונח",1,M1249="שני שווא נח",2,M1249="שני שוואים בסוף מילה",2,M1249="שני שוואים ברצף",1),"0")</f>
        <v>1</v>
      </c>
      <c r="J1249" s="9">
        <f t="shared" si="83"/>
        <v>3</v>
      </c>
      <c r="K1249" t="s">
        <v>6697</v>
      </c>
      <c r="L1249" t="s">
        <v>6694</v>
      </c>
      <c r="M1249" t="s">
        <v>6705</v>
      </c>
      <c r="O1249" t="s">
        <v>6694</v>
      </c>
      <c r="P1249" t="s">
        <v>6694</v>
      </c>
      <c r="S1249" t="s">
        <v>6694</v>
      </c>
      <c r="W1249" t="s">
        <v>6720</v>
      </c>
    </row>
    <row r="1250" spans="1:23" ht="15.6" x14ac:dyDescent="0.4">
      <c r="A1250" s="2" t="s">
        <v>4745</v>
      </c>
      <c r="B1250" s="5" t="s">
        <v>7718</v>
      </c>
      <c r="C1250" s="7" t="s">
        <v>12556</v>
      </c>
      <c r="D1250" s="8">
        <f t="shared" si="80"/>
        <v>0</v>
      </c>
      <c r="E1250" s="7" t="s">
        <v>12557</v>
      </c>
      <c r="F1250" s="7">
        <f t="shared" si="81"/>
        <v>1</v>
      </c>
      <c r="G1250" s="7" t="s">
        <v>12558</v>
      </c>
      <c r="H1250" s="7">
        <f t="shared" si="82"/>
        <v>0</v>
      </c>
      <c r="I1250" s="7" t="str" cm="1">
        <f t="array" ref="I1250">IFERROR(_xlfn.IFS(M1250="נח",1,M1250="נע ונח",1,M1250="שני שווא נח",2,M1250="שני שוואים בסוף מילה",2,M1250="שני שוואים ברצף",1),"0")</f>
        <v>0</v>
      </c>
      <c r="J1250" s="9">
        <f t="shared" si="83"/>
        <v>2</v>
      </c>
      <c r="K1250" t="s">
        <v>6698</v>
      </c>
      <c r="L1250" t="s">
        <v>6695</v>
      </c>
      <c r="O1250" t="s">
        <v>6694</v>
      </c>
      <c r="P1250" t="s">
        <v>6694</v>
      </c>
      <c r="W1250" t="s">
        <v>6720</v>
      </c>
    </row>
    <row r="1251" spans="1:23" ht="15.6" x14ac:dyDescent="0.4">
      <c r="A1251" s="2" t="s">
        <v>271</v>
      </c>
      <c r="B1251" s="5" t="s">
        <v>7767</v>
      </c>
      <c r="C1251" s="7" t="s">
        <v>12556</v>
      </c>
      <c r="D1251" s="8">
        <f t="shared" si="80"/>
        <v>0</v>
      </c>
      <c r="E1251" s="7" t="s">
        <v>12557</v>
      </c>
      <c r="F1251" s="7">
        <f t="shared" si="81"/>
        <v>2</v>
      </c>
      <c r="G1251" s="7" t="s">
        <v>12558</v>
      </c>
      <c r="H1251" s="7">
        <f t="shared" si="82"/>
        <v>0</v>
      </c>
      <c r="I1251" s="7" cm="1">
        <f t="array" ref="I1251">IFERROR(_xlfn.IFS(M1251="נח",1,M1251="נע ונח",1,M1251="שני שווא נח",2,M1251="שני שוואים בסוף מילה",2,M1251="שני שוואים ברצף",1),"0")</f>
        <v>1</v>
      </c>
      <c r="J1251" s="9">
        <f t="shared" si="83"/>
        <v>3</v>
      </c>
      <c r="K1251" t="s">
        <v>6698</v>
      </c>
      <c r="L1251" t="s">
        <v>6694</v>
      </c>
      <c r="M1251" t="s">
        <v>6705</v>
      </c>
      <c r="O1251" t="s">
        <v>6694</v>
      </c>
      <c r="P1251" t="s">
        <v>6694</v>
      </c>
      <c r="W1251" t="s">
        <v>6720</v>
      </c>
    </row>
    <row r="1252" spans="1:23" ht="15.6" x14ac:dyDescent="0.4">
      <c r="A1252" s="2" t="s">
        <v>1673</v>
      </c>
      <c r="B1252" s="5" t="s">
        <v>7708</v>
      </c>
      <c r="C1252" s="7" t="s">
        <v>12556</v>
      </c>
      <c r="D1252" s="8">
        <f t="shared" si="80"/>
        <v>0</v>
      </c>
      <c r="E1252" s="7" t="s">
        <v>12557</v>
      </c>
      <c r="F1252" s="7">
        <f t="shared" si="81"/>
        <v>1</v>
      </c>
      <c r="G1252" s="7" t="s">
        <v>12558</v>
      </c>
      <c r="H1252" s="7">
        <f t="shared" si="82"/>
        <v>0</v>
      </c>
      <c r="I1252" s="7" t="str" cm="1">
        <f t="array" ref="I1252">IFERROR(_xlfn.IFS(M1252="נח",1,M1252="נע ונח",1,M1252="שני שווא נח",2,M1252="שני שוואים בסוף מילה",2,M1252="שני שוואים ברצף",1),"0")</f>
        <v>0</v>
      </c>
      <c r="J1252" s="9">
        <f t="shared" si="83"/>
        <v>1</v>
      </c>
      <c r="K1252" t="s">
        <v>6698</v>
      </c>
      <c r="L1252" t="s">
        <v>6695</v>
      </c>
      <c r="N1252" t="s">
        <v>6706</v>
      </c>
      <c r="O1252" t="s">
        <v>6694</v>
      </c>
      <c r="W1252" t="s">
        <v>6720</v>
      </c>
    </row>
    <row r="1253" spans="1:23" ht="15.6" x14ac:dyDescent="0.4">
      <c r="A1253" s="2" t="s">
        <v>266</v>
      </c>
      <c r="B1253" s="5" t="s">
        <v>7768</v>
      </c>
      <c r="C1253" s="7" t="s">
        <v>12556</v>
      </c>
      <c r="D1253" s="8">
        <f t="shared" si="80"/>
        <v>0</v>
      </c>
      <c r="E1253" s="7" t="s">
        <v>12557</v>
      </c>
      <c r="F1253" s="7">
        <f t="shared" si="81"/>
        <v>1</v>
      </c>
      <c r="G1253" s="7" t="s">
        <v>12558</v>
      </c>
      <c r="H1253" s="7">
        <f t="shared" si="82"/>
        <v>0</v>
      </c>
      <c r="I1253" s="7" cm="1">
        <f t="array" ref="I1253">IFERROR(_xlfn.IFS(M1253="נח",1,M1253="נע ונח",1,M1253="שני שווא נח",2,M1253="שני שוואים בסוף מילה",2,M1253="שני שוואים ברצף",1),"0")</f>
        <v>1</v>
      </c>
      <c r="J1253" s="9">
        <f t="shared" si="83"/>
        <v>2</v>
      </c>
      <c r="K1253" t="s">
        <v>6697</v>
      </c>
      <c r="L1253" t="s">
        <v>6694</v>
      </c>
      <c r="M1253" t="s">
        <v>6705</v>
      </c>
      <c r="N1253" t="s">
        <v>6706</v>
      </c>
      <c r="O1253" t="s">
        <v>6694</v>
      </c>
      <c r="W1253" t="s">
        <v>6720</v>
      </c>
    </row>
    <row r="1254" spans="1:23" ht="15.6" x14ac:dyDescent="0.4">
      <c r="A1254" s="2" t="s">
        <v>30</v>
      </c>
      <c r="B1254" s="5" t="s">
        <v>7756</v>
      </c>
      <c r="C1254" s="7" t="s">
        <v>12556</v>
      </c>
      <c r="D1254" s="8">
        <f t="shared" si="80"/>
        <v>0</v>
      </c>
      <c r="E1254" s="7" t="s">
        <v>12557</v>
      </c>
      <c r="F1254" s="7">
        <f t="shared" si="81"/>
        <v>1</v>
      </c>
      <c r="G1254" s="7" t="s">
        <v>12558</v>
      </c>
      <c r="H1254" s="7">
        <f t="shared" si="82"/>
        <v>0</v>
      </c>
      <c r="I1254" s="7" t="str" cm="1">
        <f t="array" ref="I1254">IFERROR(_xlfn.IFS(M1254="נח",1,M1254="נע ונח",1,M1254="שני שווא נח",2,M1254="שני שוואים בסוף מילה",2,M1254="שני שוואים ברצף",1),"0")</f>
        <v>0</v>
      </c>
      <c r="J1254" s="9">
        <f t="shared" si="83"/>
        <v>1</v>
      </c>
      <c r="K1254" t="s">
        <v>6698</v>
      </c>
      <c r="L1254" t="s">
        <v>6695</v>
      </c>
      <c r="V1254" t="s">
        <v>6694</v>
      </c>
      <c r="W1254" t="s">
        <v>6720</v>
      </c>
    </row>
    <row r="1255" spans="1:23" ht="15.6" x14ac:dyDescent="0.4">
      <c r="A1255" s="2" t="s">
        <v>4105</v>
      </c>
      <c r="B1255" s="5" t="s">
        <v>7718</v>
      </c>
      <c r="C1255" s="7" t="s">
        <v>12556</v>
      </c>
      <c r="D1255" s="8">
        <f t="shared" si="80"/>
        <v>0</v>
      </c>
      <c r="E1255" s="7" t="s">
        <v>12557</v>
      </c>
      <c r="F1255" s="7">
        <f t="shared" si="81"/>
        <v>1</v>
      </c>
      <c r="G1255" s="7" t="s">
        <v>12558</v>
      </c>
      <c r="H1255" s="7">
        <f t="shared" si="82"/>
        <v>0</v>
      </c>
      <c r="I1255" s="7" t="str" cm="1">
        <f t="array" ref="I1255">IFERROR(_xlfn.IFS(M1255="נח",1,M1255="נע ונח",1,M1255="שני שווא נח",2,M1255="שני שוואים בסוף מילה",2,M1255="שני שוואים ברצף",1),"0")</f>
        <v>0</v>
      </c>
      <c r="J1255" s="9">
        <f t="shared" si="83"/>
        <v>2</v>
      </c>
      <c r="K1255" t="s">
        <v>6698</v>
      </c>
      <c r="L1255" t="s">
        <v>6695</v>
      </c>
      <c r="Q1255" t="s">
        <v>6694</v>
      </c>
      <c r="V1255" t="s">
        <v>6694</v>
      </c>
      <c r="W1255" t="s">
        <v>6720</v>
      </c>
    </row>
    <row r="1256" spans="1:23" ht="15.6" x14ac:dyDescent="0.4">
      <c r="A1256" s="2" t="s">
        <v>6120</v>
      </c>
      <c r="B1256" s="5" t="s">
        <v>7755</v>
      </c>
      <c r="C1256" s="7" t="s">
        <v>12556</v>
      </c>
      <c r="D1256" s="8">
        <f t="shared" si="80"/>
        <v>0</v>
      </c>
      <c r="E1256" s="7" t="s">
        <v>12557</v>
      </c>
      <c r="F1256" s="7">
        <f t="shared" si="81"/>
        <v>1</v>
      </c>
      <c r="G1256" s="7" t="s">
        <v>12558</v>
      </c>
      <c r="H1256" s="7">
        <f t="shared" si="82"/>
        <v>0</v>
      </c>
      <c r="I1256" s="7" cm="1">
        <f t="array" ref="I1256">IFERROR(_xlfn.IFS(M1256="נח",1,M1256="נע ונח",1,M1256="שני שווא נח",2,M1256="שני שוואים בסוף מילה",2,M1256="שני שוואים ברצף",1),"0")</f>
        <v>1</v>
      </c>
      <c r="J1256" s="9">
        <f t="shared" si="83"/>
        <v>2</v>
      </c>
      <c r="K1256" t="s">
        <v>6697</v>
      </c>
      <c r="L1256" t="s">
        <v>6694</v>
      </c>
      <c r="M1256" t="s">
        <v>6705</v>
      </c>
      <c r="T1256" t="s">
        <v>6694</v>
      </c>
      <c r="V1256" t="s">
        <v>6694</v>
      </c>
      <c r="W1256" t="s">
        <v>6720</v>
      </c>
    </row>
    <row r="1257" spans="1:23" ht="15.6" x14ac:dyDescent="0.4">
      <c r="A1257" s="2" t="s">
        <v>1404</v>
      </c>
      <c r="B1257" s="5" t="s">
        <v>7769</v>
      </c>
      <c r="C1257" s="7" t="s">
        <v>12556</v>
      </c>
      <c r="D1257" s="8">
        <f t="shared" si="80"/>
        <v>0</v>
      </c>
      <c r="E1257" s="7" t="s">
        <v>12557</v>
      </c>
      <c r="F1257" s="7">
        <f t="shared" si="81"/>
        <v>1</v>
      </c>
      <c r="G1257" s="7" t="s">
        <v>12558</v>
      </c>
      <c r="H1257" s="7">
        <f t="shared" si="82"/>
        <v>0</v>
      </c>
      <c r="I1257" s="7" t="str" cm="1">
        <f t="array" ref="I1257">IFERROR(_xlfn.IFS(M1257="נח",1,M1257="נע ונח",1,M1257="שני שווא נח",2,M1257="שני שוואים בסוף מילה",2,M1257="שני שוואים ברצף",1),"0")</f>
        <v>0</v>
      </c>
      <c r="J1257" s="9">
        <f t="shared" si="83"/>
        <v>1</v>
      </c>
      <c r="K1257" t="s">
        <v>6698</v>
      </c>
      <c r="L1257" t="s">
        <v>6695</v>
      </c>
      <c r="V1257" t="s">
        <v>6694</v>
      </c>
      <c r="W1257" t="s">
        <v>6720</v>
      </c>
    </row>
    <row r="1258" spans="1:23" ht="15.6" x14ac:dyDescent="0.4">
      <c r="A1258" s="2" t="s">
        <v>95</v>
      </c>
      <c r="B1258" s="5" t="s">
        <v>7770</v>
      </c>
      <c r="C1258" s="7" t="s">
        <v>12556</v>
      </c>
      <c r="D1258" s="8">
        <f t="shared" si="80"/>
        <v>0</v>
      </c>
      <c r="E1258" s="7" t="s">
        <v>12557</v>
      </c>
      <c r="F1258" s="7">
        <f t="shared" si="81"/>
        <v>1</v>
      </c>
      <c r="G1258" s="7" t="s">
        <v>12558</v>
      </c>
      <c r="H1258" s="7">
        <f t="shared" si="82"/>
        <v>0</v>
      </c>
      <c r="I1258" s="7" t="str" cm="1">
        <f t="array" ref="I1258">IFERROR(_xlfn.IFS(M1258="נח",1,M1258="נע ונח",1,M1258="שני שווא נח",2,M1258="שני שוואים בסוף מילה",2,M1258="שני שוואים ברצף",1),"0")</f>
        <v>0</v>
      </c>
      <c r="J1258" s="9">
        <f t="shared" si="83"/>
        <v>2</v>
      </c>
      <c r="K1258" t="s">
        <v>6698</v>
      </c>
      <c r="L1258" t="s">
        <v>6695</v>
      </c>
      <c r="S1258" t="s">
        <v>6694</v>
      </c>
      <c r="V1258" t="s">
        <v>6694</v>
      </c>
      <c r="W1258" t="s">
        <v>6720</v>
      </c>
    </row>
    <row r="1259" spans="1:23" ht="15.6" x14ac:dyDescent="0.4">
      <c r="A1259" s="2" t="s">
        <v>1029</v>
      </c>
      <c r="B1259" s="5" t="s">
        <v>7771</v>
      </c>
      <c r="C1259" s="7" t="s">
        <v>12556</v>
      </c>
      <c r="D1259" s="8">
        <f t="shared" si="80"/>
        <v>0</v>
      </c>
      <c r="E1259" s="7" t="s">
        <v>12557</v>
      </c>
      <c r="F1259" s="7">
        <f t="shared" si="81"/>
        <v>1</v>
      </c>
      <c r="G1259" s="7" t="s">
        <v>12558</v>
      </c>
      <c r="H1259" s="7">
        <f t="shared" si="82"/>
        <v>0</v>
      </c>
      <c r="I1259" s="7" t="str" cm="1">
        <f t="array" ref="I1259">IFERROR(_xlfn.IFS(M1259="נח",1,M1259="נע ונח",1,M1259="שני שווא נח",2,M1259="שני שוואים בסוף מילה",2,M1259="שני שוואים ברצף",1),"0")</f>
        <v>0</v>
      </c>
      <c r="J1259" s="9">
        <f t="shared" si="83"/>
        <v>3</v>
      </c>
      <c r="K1259" t="s">
        <v>6697</v>
      </c>
      <c r="L1259" t="s">
        <v>6695</v>
      </c>
      <c r="O1259" t="s">
        <v>6694</v>
      </c>
      <c r="R1259" t="s">
        <v>6694</v>
      </c>
      <c r="V1259" t="s">
        <v>6694</v>
      </c>
      <c r="W1259" t="s">
        <v>6720</v>
      </c>
    </row>
    <row r="1260" spans="1:23" ht="15.6" x14ac:dyDescent="0.4">
      <c r="A1260" s="2" t="s">
        <v>2479</v>
      </c>
      <c r="B1260" s="5" t="s">
        <v>7772</v>
      </c>
      <c r="C1260" s="7" t="s">
        <v>12556</v>
      </c>
      <c r="D1260" s="8">
        <f t="shared" si="80"/>
        <v>0</v>
      </c>
      <c r="E1260" s="7" t="s">
        <v>12557</v>
      </c>
      <c r="F1260" s="7">
        <f t="shared" si="81"/>
        <v>1</v>
      </c>
      <c r="G1260" s="7" t="s">
        <v>12558</v>
      </c>
      <c r="H1260" s="7">
        <f t="shared" si="82"/>
        <v>0</v>
      </c>
      <c r="I1260" s="7" t="str" cm="1">
        <f t="array" ref="I1260">IFERROR(_xlfn.IFS(M1260="נח",1,M1260="נע ונח",1,M1260="שני שווא נח",2,M1260="שני שוואים בסוף מילה",2,M1260="שני שוואים ברצף",1),"0")</f>
        <v>0</v>
      </c>
      <c r="J1260" s="9">
        <f t="shared" si="83"/>
        <v>1</v>
      </c>
      <c r="K1260" t="s">
        <v>6698</v>
      </c>
      <c r="L1260" t="s">
        <v>6695</v>
      </c>
      <c r="V1260" t="s">
        <v>6694</v>
      </c>
      <c r="W1260" t="s">
        <v>6720</v>
      </c>
    </row>
    <row r="1261" spans="1:23" ht="15.6" x14ac:dyDescent="0.4">
      <c r="A1261" s="2" t="s">
        <v>6304</v>
      </c>
      <c r="B1261" s="5" t="s">
        <v>7773</v>
      </c>
      <c r="C1261" s="7" t="s">
        <v>12556</v>
      </c>
      <c r="D1261" s="8">
        <f t="shared" si="80"/>
        <v>0</v>
      </c>
      <c r="E1261" s="7" t="s">
        <v>12557</v>
      </c>
      <c r="F1261" s="7">
        <f t="shared" si="81"/>
        <v>1</v>
      </c>
      <c r="G1261" s="7" t="s">
        <v>12558</v>
      </c>
      <c r="H1261" s="7">
        <f t="shared" si="82"/>
        <v>0</v>
      </c>
      <c r="I1261" s="7" t="str" cm="1">
        <f t="array" ref="I1261">IFERROR(_xlfn.IFS(M1261="נח",1,M1261="נע ונח",1,M1261="שני שווא נח",2,M1261="שני שוואים בסוף מילה",2,M1261="שני שוואים ברצף",1),"0")</f>
        <v>0</v>
      </c>
      <c r="J1261" s="9">
        <f t="shared" si="83"/>
        <v>3</v>
      </c>
      <c r="K1261" t="s">
        <v>6697</v>
      </c>
      <c r="L1261" t="s">
        <v>6695</v>
      </c>
      <c r="O1261" t="s">
        <v>6694</v>
      </c>
      <c r="S1261" t="s">
        <v>6694</v>
      </c>
      <c r="V1261" t="s">
        <v>6694</v>
      </c>
      <c r="W1261" t="s">
        <v>6720</v>
      </c>
    </row>
    <row r="1262" spans="1:23" ht="15.6" x14ac:dyDescent="0.4">
      <c r="A1262" s="2" t="s">
        <v>478</v>
      </c>
      <c r="B1262" s="5" t="s">
        <v>7774</v>
      </c>
      <c r="C1262" s="7" t="s">
        <v>12556</v>
      </c>
      <c r="D1262" s="8">
        <f t="shared" si="80"/>
        <v>0</v>
      </c>
      <c r="E1262" s="7" t="s">
        <v>12557</v>
      </c>
      <c r="F1262" s="7">
        <f t="shared" si="81"/>
        <v>0</v>
      </c>
      <c r="G1262" s="7" t="s">
        <v>12558</v>
      </c>
      <c r="H1262" s="7">
        <f t="shared" si="82"/>
        <v>0</v>
      </c>
      <c r="I1262" s="7" t="str" cm="1">
        <f t="array" ref="I1262">IFERROR(_xlfn.IFS(M1262="נח",1,M1262="נע ונח",1,M1262="שני שווא נח",2,M1262="שני שוואים בסוף מילה",2,M1262="שני שוואים ברצף",1),"0")</f>
        <v>0</v>
      </c>
      <c r="J1262" s="9">
        <f t="shared" si="83"/>
        <v>2</v>
      </c>
      <c r="K1262" t="s">
        <v>6697</v>
      </c>
      <c r="L1262" t="s">
        <v>6695</v>
      </c>
      <c r="S1262" t="s">
        <v>6694</v>
      </c>
      <c r="V1262" t="s">
        <v>6694</v>
      </c>
      <c r="W1262" t="s">
        <v>6720</v>
      </c>
    </row>
    <row r="1263" spans="1:23" ht="15.6" x14ac:dyDescent="0.4">
      <c r="A1263" s="2" t="s">
        <v>2277</v>
      </c>
      <c r="B1263" s="5" t="s">
        <v>7770</v>
      </c>
      <c r="C1263" s="7" t="s">
        <v>12556</v>
      </c>
      <c r="D1263" s="8">
        <f t="shared" si="80"/>
        <v>0</v>
      </c>
      <c r="E1263" s="7" t="s">
        <v>12557</v>
      </c>
      <c r="F1263" s="7">
        <f t="shared" si="81"/>
        <v>0</v>
      </c>
      <c r="G1263" s="7" t="s">
        <v>12558</v>
      </c>
      <c r="H1263" s="7">
        <f t="shared" si="82"/>
        <v>0</v>
      </c>
      <c r="I1263" s="7" t="str" cm="1">
        <f t="array" ref="I1263">IFERROR(_xlfn.IFS(M1263="נח",1,M1263="נע ונח",1,M1263="שני שווא נח",2,M1263="שני שוואים בסוף מילה",2,M1263="שני שוואים ברצף",1),"0")</f>
        <v>0</v>
      </c>
      <c r="J1263" s="9">
        <f t="shared" si="83"/>
        <v>2</v>
      </c>
      <c r="K1263" t="s">
        <v>6698</v>
      </c>
      <c r="L1263" t="s">
        <v>6695</v>
      </c>
      <c r="S1263" t="s">
        <v>6694</v>
      </c>
      <c r="V1263" t="s">
        <v>6694</v>
      </c>
      <c r="W1263" t="s">
        <v>6720</v>
      </c>
    </row>
    <row r="1264" spans="1:23" ht="15.6" x14ac:dyDescent="0.4">
      <c r="A1264" s="2" t="s">
        <v>6685</v>
      </c>
      <c r="B1264" s="5" t="s">
        <v>7775</v>
      </c>
      <c r="C1264" s="7" t="s">
        <v>12556</v>
      </c>
      <c r="D1264" s="8">
        <f t="shared" si="80"/>
        <v>0</v>
      </c>
      <c r="E1264" s="7" t="s">
        <v>12557</v>
      </c>
      <c r="F1264" s="7">
        <f t="shared" si="81"/>
        <v>0</v>
      </c>
      <c r="G1264" s="7" t="s">
        <v>12558</v>
      </c>
      <c r="H1264" s="7">
        <f t="shared" si="82"/>
        <v>0</v>
      </c>
      <c r="I1264" s="7" t="str" cm="1">
        <f t="array" ref="I1264">IFERROR(_xlfn.IFS(M1264="נח",1,M1264="נע ונח",1,M1264="שני שווא נח",2,M1264="שני שוואים בסוף מילה",2,M1264="שני שוואים ברצף",1),"0")</f>
        <v>0</v>
      </c>
      <c r="J1264" s="9">
        <f t="shared" si="83"/>
        <v>2</v>
      </c>
      <c r="K1264" t="s">
        <v>6698</v>
      </c>
      <c r="L1264" t="s">
        <v>6695</v>
      </c>
      <c r="N1264" t="s">
        <v>6706</v>
      </c>
      <c r="O1264" t="s">
        <v>6694</v>
      </c>
      <c r="V1264" t="s">
        <v>6694</v>
      </c>
      <c r="W1264" t="s">
        <v>6720</v>
      </c>
    </row>
    <row r="1265" spans="1:23" ht="15.6" x14ac:dyDescent="0.4">
      <c r="A1265" s="2" t="s">
        <v>5993</v>
      </c>
      <c r="B1265" s="5" t="s">
        <v>7776</v>
      </c>
      <c r="C1265" s="7" t="s">
        <v>12556</v>
      </c>
      <c r="D1265" s="8">
        <f t="shared" si="80"/>
        <v>0</v>
      </c>
      <c r="E1265" s="7" t="s">
        <v>12557</v>
      </c>
      <c r="F1265" s="7">
        <f t="shared" si="81"/>
        <v>0</v>
      </c>
      <c r="G1265" s="7" t="s">
        <v>12558</v>
      </c>
      <c r="H1265" s="7">
        <f t="shared" si="82"/>
        <v>0</v>
      </c>
      <c r="I1265" s="7" t="str" cm="1">
        <f t="array" ref="I1265">IFERROR(_xlfn.IFS(M1265="נח",1,M1265="נע ונח",1,M1265="שני שווא נח",2,M1265="שני שוואים בסוף מילה",2,M1265="שני שוואים ברצף",1),"0")</f>
        <v>0</v>
      </c>
      <c r="J1265" s="9">
        <f t="shared" si="83"/>
        <v>4</v>
      </c>
      <c r="K1265" t="s">
        <v>6697</v>
      </c>
      <c r="L1265" t="s">
        <v>6694</v>
      </c>
      <c r="M1265" t="s">
        <v>6700</v>
      </c>
      <c r="O1265" t="s">
        <v>6694</v>
      </c>
      <c r="R1265" t="s">
        <v>6694</v>
      </c>
      <c r="W1265" t="s">
        <v>6720</v>
      </c>
    </row>
    <row r="1266" spans="1:23" ht="15.6" x14ac:dyDescent="0.4">
      <c r="A1266" s="2" t="s">
        <v>4054</v>
      </c>
      <c r="B1266" s="5" t="s">
        <v>7777</v>
      </c>
      <c r="C1266" s="7" t="s">
        <v>12556</v>
      </c>
      <c r="D1266" s="8">
        <f t="shared" si="80"/>
        <v>0</v>
      </c>
      <c r="E1266" s="7" t="s">
        <v>12557</v>
      </c>
      <c r="F1266" s="7">
        <f t="shared" si="81"/>
        <v>0</v>
      </c>
      <c r="G1266" s="7" t="s">
        <v>12558</v>
      </c>
      <c r="H1266" s="7">
        <f t="shared" si="82"/>
        <v>0</v>
      </c>
      <c r="I1266" s="7" t="str" cm="1">
        <f t="array" ref="I1266">IFERROR(_xlfn.IFS(M1266="נח",1,M1266="נע ונח",1,M1266="שני שווא נח",2,M1266="שני שוואים בסוף מילה",2,M1266="שני שוואים ברצף",1),"0")</f>
        <v>0</v>
      </c>
      <c r="J1266" s="9">
        <f t="shared" si="83"/>
        <v>3</v>
      </c>
      <c r="K1266" t="s">
        <v>6698</v>
      </c>
      <c r="L1266" t="s">
        <v>6694</v>
      </c>
      <c r="M1266" t="s">
        <v>6700</v>
      </c>
      <c r="N1266" t="s">
        <v>6706</v>
      </c>
      <c r="O1266" t="s">
        <v>6694</v>
      </c>
      <c r="W1266" t="s">
        <v>6720</v>
      </c>
    </row>
    <row r="1267" spans="1:23" ht="15.6" x14ac:dyDescent="0.4">
      <c r="A1267" s="2" t="s">
        <v>1660</v>
      </c>
      <c r="B1267" s="5" t="s">
        <v>7778</v>
      </c>
      <c r="C1267" s="7" t="s">
        <v>12556</v>
      </c>
      <c r="D1267" s="8">
        <f t="shared" si="80"/>
        <v>0</v>
      </c>
      <c r="E1267" s="7" t="s">
        <v>12557</v>
      </c>
      <c r="F1267" s="7">
        <f t="shared" si="81"/>
        <v>0</v>
      </c>
      <c r="G1267" s="7" t="s">
        <v>12558</v>
      </c>
      <c r="H1267" s="7">
        <f t="shared" si="82"/>
        <v>0</v>
      </c>
      <c r="I1267" s="7" t="str" cm="1">
        <f t="array" ref="I1267">IFERROR(_xlfn.IFS(M1267="נח",1,M1267="נע ונח",1,M1267="שני שווא נח",2,M1267="שני שוואים בסוף מילה",2,M1267="שני שוואים ברצף",1),"0")</f>
        <v>0</v>
      </c>
      <c r="J1267" s="9">
        <f t="shared" si="83"/>
        <v>3</v>
      </c>
      <c r="K1267" t="s">
        <v>6697</v>
      </c>
      <c r="L1267" t="s">
        <v>6694</v>
      </c>
      <c r="M1267" t="s">
        <v>6700</v>
      </c>
      <c r="O1267" t="s">
        <v>6694</v>
      </c>
      <c r="V1267" t="s">
        <v>6694</v>
      </c>
      <c r="W1267" t="s">
        <v>6720</v>
      </c>
    </row>
    <row r="1268" spans="1:23" ht="15.6" x14ac:dyDescent="0.4">
      <c r="A1268" s="2" t="s">
        <v>1721</v>
      </c>
      <c r="B1268" s="5" t="s">
        <v>7779</v>
      </c>
      <c r="C1268" s="7" t="s">
        <v>12556</v>
      </c>
      <c r="D1268" s="8">
        <f t="shared" si="80"/>
        <v>0</v>
      </c>
      <c r="E1268" s="7" t="s">
        <v>12557</v>
      </c>
      <c r="F1268" s="7">
        <f t="shared" si="81"/>
        <v>0</v>
      </c>
      <c r="G1268" s="7" t="s">
        <v>12558</v>
      </c>
      <c r="H1268" s="7">
        <f t="shared" si="82"/>
        <v>0</v>
      </c>
      <c r="I1268" s="7" t="str" cm="1">
        <f t="array" ref="I1268">IFERROR(_xlfn.IFS(M1268="נח",1,M1268="נע ונח",1,M1268="שני שווא נח",2,M1268="שני שוואים בסוף מילה",2,M1268="שני שוואים ברצף",1),"0")</f>
        <v>0</v>
      </c>
      <c r="J1268" s="9">
        <f t="shared" si="83"/>
        <v>4</v>
      </c>
      <c r="K1268" t="s">
        <v>6697</v>
      </c>
      <c r="L1268" t="s">
        <v>6694</v>
      </c>
      <c r="M1268" t="s">
        <v>6700</v>
      </c>
      <c r="P1268" t="s">
        <v>6694</v>
      </c>
      <c r="S1268" t="s">
        <v>6694</v>
      </c>
      <c r="W1268" t="s">
        <v>6720</v>
      </c>
    </row>
    <row r="1269" spans="1:23" ht="15.6" x14ac:dyDescent="0.4">
      <c r="A1269" s="2" t="s">
        <v>233</v>
      </c>
      <c r="B1269" s="5" t="s">
        <v>7780</v>
      </c>
      <c r="C1269" s="7" t="s">
        <v>12556</v>
      </c>
      <c r="D1269" s="8">
        <f t="shared" si="80"/>
        <v>1</v>
      </c>
      <c r="E1269" s="7" t="s">
        <v>12557</v>
      </c>
      <c r="F1269" s="7">
        <f t="shared" si="81"/>
        <v>1</v>
      </c>
      <c r="G1269" s="7" t="s">
        <v>12558</v>
      </c>
      <c r="H1269" s="7">
        <f t="shared" si="82"/>
        <v>0</v>
      </c>
      <c r="I1269" s="7" cm="1">
        <f t="array" ref="I1269">IFERROR(_xlfn.IFS(M1269="נח",1,M1269="נע ונח",1,M1269="שני שווא נח",2,M1269="שני שוואים בסוף מילה",2,M1269="שני שוואים ברצף",1),"0")</f>
        <v>1</v>
      </c>
      <c r="J1269" s="9">
        <f t="shared" si="83"/>
        <v>4</v>
      </c>
      <c r="K1269" t="s">
        <v>6697</v>
      </c>
      <c r="L1269" t="s">
        <v>6694</v>
      </c>
      <c r="M1269" t="s">
        <v>6701</v>
      </c>
      <c r="O1269" t="s">
        <v>6694</v>
      </c>
      <c r="P1269" t="s">
        <v>6694</v>
      </c>
      <c r="S1269" t="s">
        <v>6694</v>
      </c>
      <c r="W1269" t="s">
        <v>6720</v>
      </c>
    </row>
    <row r="1270" spans="1:23" ht="15.6" x14ac:dyDescent="0.4">
      <c r="A1270" s="2" t="s">
        <v>3435</v>
      </c>
      <c r="B1270" s="5" t="s">
        <v>7781</v>
      </c>
      <c r="C1270" s="7" t="s">
        <v>12556</v>
      </c>
      <c r="D1270" s="8">
        <f t="shared" si="80"/>
        <v>0</v>
      </c>
      <c r="E1270" s="7" t="s">
        <v>12557</v>
      </c>
      <c r="F1270" s="7">
        <f t="shared" si="81"/>
        <v>0</v>
      </c>
      <c r="G1270" s="7" t="s">
        <v>12558</v>
      </c>
      <c r="H1270" s="7">
        <f t="shared" si="82"/>
        <v>0</v>
      </c>
      <c r="I1270" s="7" t="str" cm="1">
        <f t="array" ref="I1270">IFERROR(_xlfn.IFS(M1270="נח",1,M1270="נע ונח",1,M1270="שני שווא נח",2,M1270="שני שוואים בסוף מילה",2,M1270="שני שוואים ברצף",1),"0")</f>
        <v>0</v>
      </c>
      <c r="J1270" s="9">
        <f t="shared" si="83"/>
        <v>3</v>
      </c>
      <c r="K1270" t="s">
        <v>6698</v>
      </c>
      <c r="L1270" t="s">
        <v>6694</v>
      </c>
      <c r="M1270" t="s">
        <v>6700</v>
      </c>
      <c r="O1270" t="s">
        <v>6694</v>
      </c>
      <c r="P1270" t="s">
        <v>6694</v>
      </c>
      <c r="W1270" t="s">
        <v>6720</v>
      </c>
    </row>
    <row r="1271" spans="1:23" ht="15.6" x14ac:dyDescent="0.4">
      <c r="A1271" s="2" t="s">
        <v>216</v>
      </c>
      <c r="B1271" s="5" t="s">
        <v>7781</v>
      </c>
      <c r="C1271" s="7" t="s">
        <v>12556</v>
      </c>
      <c r="D1271" s="8">
        <f t="shared" si="80"/>
        <v>0</v>
      </c>
      <c r="E1271" s="7" t="s">
        <v>12557</v>
      </c>
      <c r="F1271" s="7">
        <f t="shared" si="81"/>
        <v>0</v>
      </c>
      <c r="G1271" s="7" t="s">
        <v>12558</v>
      </c>
      <c r="H1271" s="7">
        <f t="shared" si="82"/>
        <v>0</v>
      </c>
      <c r="I1271" s="7" t="str" cm="1">
        <f t="array" ref="I1271">IFERROR(_xlfn.IFS(M1271="נח",1,M1271="נע ונח",1,M1271="שני שווא נח",2,M1271="שני שוואים בסוף מילה",2,M1271="שני שוואים ברצף",1),"0")</f>
        <v>0</v>
      </c>
      <c r="J1271" s="9">
        <f t="shared" si="83"/>
        <v>3</v>
      </c>
      <c r="K1271" t="s">
        <v>6698</v>
      </c>
      <c r="L1271" t="s">
        <v>6694</v>
      </c>
      <c r="M1271" t="s">
        <v>6700</v>
      </c>
      <c r="N1271" t="s">
        <v>6706</v>
      </c>
      <c r="O1271" t="s">
        <v>6694</v>
      </c>
      <c r="W1271" t="s">
        <v>6720</v>
      </c>
    </row>
    <row r="1272" spans="1:23" ht="15.6" x14ac:dyDescent="0.4">
      <c r="A1272" s="2" t="s">
        <v>5139</v>
      </c>
      <c r="B1272" s="5" t="s">
        <v>7782</v>
      </c>
      <c r="C1272" s="7" t="s">
        <v>12556</v>
      </c>
      <c r="D1272" s="8">
        <f t="shared" si="80"/>
        <v>0</v>
      </c>
      <c r="E1272" s="7" t="s">
        <v>12557</v>
      </c>
      <c r="F1272" s="7">
        <f t="shared" si="81"/>
        <v>0</v>
      </c>
      <c r="G1272" s="7" t="s">
        <v>12558</v>
      </c>
      <c r="H1272" s="7">
        <f t="shared" si="82"/>
        <v>0</v>
      </c>
      <c r="I1272" s="7" t="str" cm="1">
        <f t="array" ref="I1272">IFERROR(_xlfn.IFS(M1272="נח",1,M1272="נע ונח",1,M1272="שני שווא נח",2,M1272="שני שוואים בסוף מילה",2,M1272="שני שוואים ברצף",1),"0")</f>
        <v>0</v>
      </c>
      <c r="J1272" s="9">
        <f t="shared" si="83"/>
        <v>3</v>
      </c>
      <c r="K1272" t="s">
        <v>6698</v>
      </c>
      <c r="L1272" t="s">
        <v>6694</v>
      </c>
      <c r="M1272" t="s">
        <v>6700</v>
      </c>
      <c r="N1272" t="s">
        <v>6706</v>
      </c>
      <c r="O1272" t="s">
        <v>6694</v>
      </c>
      <c r="W1272" t="s">
        <v>6720</v>
      </c>
    </row>
    <row r="1273" spans="1:23" ht="15.6" x14ac:dyDescent="0.4">
      <c r="A1273" s="2" t="s">
        <v>5805</v>
      </c>
      <c r="B1273" s="5" t="s">
        <v>7783</v>
      </c>
      <c r="C1273" s="7" t="s">
        <v>12556</v>
      </c>
      <c r="D1273" s="8">
        <f t="shared" si="80"/>
        <v>0</v>
      </c>
      <c r="E1273" s="7" t="s">
        <v>12557</v>
      </c>
      <c r="F1273" s="7">
        <f t="shared" si="81"/>
        <v>1</v>
      </c>
      <c r="G1273" s="7" t="s">
        <v>12558</v>
      </c>
      <c r="H1273" s="7">
        <f t="shared" si="82"/>
        <v>0</v>
      </c>
      <c r="I1273" s="7" t="str" cm="1">
        <f t="array" ref="I1273">IFERROR(_xlfn.IFS(M1273="נח",1,M1273="נע ונח",1,M1273="שני שווא נח",2,M1273="שני שוואים בסוף מילה",2,M1273="שני שוואים ברצף",1),"0")</f>
        <v>0</v>
      </c>
      <c r="J1273" s="9">
        <f t="shared" si="83"/>
        <v>3</v>
      </c>
      <c r="K1273" t="s">
        <v>6698</v>
      </c>
      <c r="L1273" t="s">
        <v>6695</v>
      </c>
      <c r="O1273" t="s">
        <v>6694</v>
      </c>
      <c r="S1273" t="s">
        <v>6694</v>
      </c>
      <c r="W1273" t="s">
        <v>6720</v>
      </c>
    </row>
    <row r="1274" spans="1:23" ht="15.6" x14ac:dyDescent="0.4">
      <c r="A1274" s="2" t="s">
        <v>3658</v>
      </c>
      <c r="B1274" s="5" t="s">
        <v>7784</v>
      </c>
      <c r="C1274" s="7" t="s">
        <v>12556</v>
      </c>
      <c r="D1274" s="8">
        <f t="shared" si="80"/>
        <v>0</v>
      </c>
      <c r="E1274" s="7" t="s">
        <v>12557</v>
      </c>
      <c r="F1274" s="7">
        <f t="shared" si="81"/>
        <v>2</v>
      </c>
      <c r="G1274" s="7" t="s">
        <v>12558</v>
      </c>
      <c r="H1274" s="7">
        <f t="shared" si="82"/>
        <v>1</v>
      </c>
      <c r="I1274" s="7" t="str" cm="1">
        <f t="array" ref="I1274">IFERROR(_xlfn.IFS(M1274="נח",1,M1274="נע ונח",1,M1274="שני שווא נח",2,M1274="שני שוואים בסוף מילה",2,M1274="שני שוואים ברצף",1),"0")</f>
        <v>0</v>
      </c>
      <c r="J1274" s="9">
        <f t="shared" si="83"/>
        <v>4</v>
      </c>
      <c r="K1274" t="s">
        <v>6697</v>
      </c>
      <c r="L1274" t="s">
        <v>6695</v>
      </c>
      <c r="O1274" t="s">
        <v>6694</v>
      </c>
      <c r="S1274" t="s">
        <v>6694</v>
      </c>
      <c r="U1274" t="s">
        <v>6694</v>
      </c>
      <c r="W1274" t="s">
        <v>6720</v>
      </c>
    </row>
    <row r="1275" spans="1:23" ht="15.6" x14ac:dyDescent="0.4">
      <c r="A1275" s="2" t="s">
        <v>5256</v>
      </c>
      <c r="B1275" s="5" t="s">
        <v>7785</v>
      </c>
      <c r="C1275" s="7" t="s">
        <v>12556</v>
      </c>
      <c r="D1275" s="8">
        <f t="shared" si="80"/>
        <v>0</v>
      </c>
      <c r="E1275" s="7" t="s">
        <v>12557</v>
      </c>
      <c r="F1275" s="7">
        <f t="shared" si="81"/>
        <v>1</v>
      </c>
      <c r="G1275" s="7" t="s">
        <v>12558</v>
      </c>
      <c r="H1275" s="7">
        <f t="shared" si="82"/>
        <v>0</v>
      </c>
      <c r="I1275" s="7" t="str" cm="1">
        <f t="array" ref="I1275">IFERROR(_xlfn.IFS(M1275="נח",1,M1275="נע ונח",1,M1275="שני שווא נח",2,M1275="שני שוואים בסוף מילה",2,M1275="שני שוואים ברצף",1),"0")</f>
        <v>0</v>
      </c>
      <c r="J1275" s="9">
        <f t="shared" si="83"/>
        <v>4</v>
      </c>
      <c r="K1275" t="s">
        <v>6697</v>
      </c>
      <c r="L1275" t="s">
        <v>6695</v>
      </c>
      <c r="O1275" t="s">
        <v>6694</v>
      </c>
      <c r="S1275" t="s">
        <v>6694</v>
      </c>
      <c r="W1275" t="s">
        <v>6720</v>
      </c>
    </row>
    <row r="1276" spans="1:23" ht="15.6" x14ac:dyDescent="0.4">
      <c r="A1276" s="2" t="s">
        <v>3555</v>
      </c>
      <c r="B1276" s="5" t="s">
        <v>7786</v>
      </c>
      <c r="C1276" s="7" t="s">
        <v>12556</v>
      </c>
      <c r="D1276" s="8">
        <f t="shared" si="80"/>
        <v>0</v>
      </c>
      <c r="E1276" s="7" t="s">
        <v>12557</v>
      </c>
      <c r="F1276" s="7">
        <f t="shared" si="81"/>
        <v>0</v>
      </c>
      <c r="G1276" s="7" t="s">
        <v>12558</v>
      </c>
      <c r="H1276" s="7">
        <f t="shared" si="82"/>
        <v>0</v>
      </c>
      <c r="I1276" s="7" cm="1">
        <f t="array" ref="I1276">IFERROR(_xlfn.IFS(M1276="נח",1,M1276="נע ונח",1,M1276="שני שווא נח",2,M1276="שני שוואים בסוף מילה",2,M1276="שני שוואים ברצף",1),"0")</f>
        <v>1</v>
      </c>
      <c r="J1276" s="9">
        <f t="shared" si="83"/>
        <v>3</v>
      </c>
      <c r="K1276" t="s">
        <v>6697</v>
      </c>
      <c r="L1276" t="s">
        <v>6694</v>
      </c>
      <c r="M1276" t="s">
        <v>6705</v>
      </c>
      <c r="O1276" t="s">
        <v>6694</v>
      </c>
      <c r="S1276" t="s">
        <v>6694</v>
      </c>
      <c r="W1276" t="s">
        <v>6720</v>
      </c>
    </row>
    <row r="1277" spans="1:23" ht="15.6" x14ac:dyDescent="0.4">
      <c r="A1277" s="2" t="s">
        <v>2294</v>
      </c>
      <c r="B1277" s="5" t="s">
        <v>7787</v>
      </c>
      <c r="C1277" s="7" t="s">
        <v>12556</v>
      </c>
      <c r="D1277" s="8">
        <f t="shared" si="80"/>
        <v>0</v>
      </c>
      <c r="E1277" s="7" t="s">
        <v>12557</v>
      </c>
      <c r="F1277" s="7">
        <f t="shared" si="81"/>
        <v>0</v>
      </c>
      <c r="G1277" s="7" t="s">
        <v>12558</v>
      </c>
      <c r="H1277" s="7">
        <f t="shared" si="82"/>
        <v>0</v>
      </c>
      <c r="I1277" s="7" cm="1">
        <f t="array" ref="I1277">IFERROR(_xlfn.IFS(M1277="נח",1,M1277="נע ונח",1,M1277="שני שווא נח",2,M1277="שני שוואים בסוף מילה",2,M1277="שני שוואים ברצף",1),"0")</f>
        <v>1</v>
      </c>
      <c r="J1277" s="9">
        <f t="shared" si="83"/>
        <v>2</v>
      </c>
      <c r="K1277" t="s">
        <v>6698</v>
      </c>
      <c r="L1277" t="s">
        <v>6694</v>
      </c>
      <c r="M1277" t="s">
        <v>6705</v>
      </c>
      <c r="R1277" t="s">
        <v>6694</v>
      </c>
      <c r="W1277" t="s">
        <v>6720</v>
      </c>
    </row>
    <row r="1278" spans="1:23" ht="15.6" x14ac:dyDescent="0.4">
      <c r="A1278" s="2" t="s">
        <v>5495</v>
      </c>
      <c r="B1278" s="5" t="s">
        <v>7788</v>
      </c>
      <c r="C1278" s="7" t="s">
        <v>12556</v>
      </c>
      <c r="D1278" s="8">
        <f t="shared" si="80"/>
        <v>0</v>
      </c>
      <c r="E1278" s="7" t="s">
        <v>12557</v>
      </c>
      <c r="F1278" s="7">
        <f t="shared" si="81"/>
        <v>0</v>
      </c>
      <c r="G1278" s="7" t="s">
        <v>12558</v>
      </c>
      <c r="H1278" s="7">
        <f t="shared" si="82"/>
        <v>0</v>
      </c>
      <c r="I1278" s="7" t="str" cm="1">
        <f t="array" ref="I1278">IFERROR(_xlfn.IFS(M1278="נח",1,M1278="נע ונח",1,M1278="שני שווא נח",2,M1278="שני שוואים בסוף מילה",2,M1278="שני שוואים ברצף",1),"0")</f>
        <v>0</v>
      </c>
      <c r="J1278" s="9">
        <f t="shared" si="83"/>
        <v>1</v>
      </c>
      <c r="K1278" t="s">
        <v>6698</v>
      </c>
      <c r="L1278" t="s">
        <v>6695</v>
      </c>
      <c r="P1278" t="s">
        <v>6694</v>
      </c>
      <c r="W1278" t="s">
        <v>6720</v>
      </c>
    </row>
    <row r="1279" spans="1:23" ht="15.6" x14ac:dyDescent="0.4">
      <c r="A1279" s="2" t="s">
        <v>5473</v>
      </c>
      <c r="B1279" s="5" t="s">
        <v>7789</v>
      </c>
      <c r="C1279" s="7" t="s">
        <v>12556</v>
      </c>
      <c r="D1279" s="8">
        <f t="shared" si="80"/>
        <v>0</v>
      </c>
      <c r="E1279" s="7" t="s">
        <v>12557</v>
      </c>
      <c r="F1279" s="7">
        <f t="shared" si="81"/>
        <v>2</v>
      </c>
      <c r="G1279" s="7" t="s">
        <v>12558</v>
      </c>
      <c r="H1279" s="7">
        <f t="shared" si="82"/>
        <v>1</v>
      </c>
      <c r="I1279" s="7" t="str" cm="1">
        <f t="array" ref="I1279">IFERROR(_xlfn.IFS(M1279="נח",1,M1279="נע ונח",1,M1279="שני שווא נח",2,M1279="שני שוואים בסוף מילה",2,M1279="שני שוואים ברצף",1),"0")</f>
        <v>0</v>
      </c>
      <c r="J1279" s="9">
        <f t="shared" si="83"/>
        <v>3</v>
      </c>
      <c r="K1279" t="s">
        <v>6697</v>
      </c>
      <c r="L1279" t="s">
        <v>6695</v>
      </c>
      <c r="P1279" t="s">
        <v>6694</v>
      </c>
      <c r="U1279" t="s">
        <v>6694</v>
      </c>
      <c r="V1279" t="s">
        <v>6694</v>
      </c>
      <c r="W1279" t="s">
        <v>6720</v>
      </c>
    </row>
    <row r="1280" spans="1:23" ht="15.6" x14ac:dyDescent="0.4">
      <c r="A1280" s="2" t="s">
        <v>5867</v>
      </c>
      <c r="B1280" s="5" t="s">
        <v>7790</v>
      </c>
      <c r="C1280" s="7" t="s">
        <v>12556</v>
      </c>
      <c r="D1280" s="8">
        <f t="shared" si="80"/>
        <v>0</v>
      </c>
      <c r="E1280" s="7" t="s">
        <v>12557</v>
      </c>
      <c r="F1280" s="7">
        <f t="shared" si="81"/>
        <v>1</v>
      </c>
      <c r="G1280" s="7" t="s">
        <v>12558</v>
      </c>
      <c r="H1280" s="7">
        <f t="shared" si="82"/>
        <v>0</v>
      </c>
      <c r="I1280" s="7" t="str" cm="1">
        <f t="array" ref="I1280">IFERROR(_xlfn.IFS(M1280="נח",1,M1280="נע ונח",1,M1280="שני שווא נח",2,M1280="שני שוואים בסוף מילה",2,M1280="שני שוואים ברצף",1),"0")</f>
        <v>0</v>
      </c>
      <c r="J1280" s="9">
        <f t="shared" si="83"/>
        <v>3</v>
      </c>
      <c r="K1280" t="s">
        <v>6697</v>
      </c>
      <c r="L1280" t="s">
        <v>6695</v>
      </c>
      <c r="P1280" t="s">
        <v>6694</v>
      </c>
      <c r="S1280" t="s">
        <v>6694</v>
      </c>
      <c r="V1280" t="s">
        <v>6694</v>
      </c>
      <c r="W1280" t="s">
        <v>6720</v>
      </c>
    </row>
    <row r="1281" spans="1:23" ht="15.6" x14ac:dyDescent="0.4">
      <c r="A1281" s="2" t="s">
        <v>5036</v>
      </c>
      <c r="B1281" s="5" t="s">
        <v>7791</v>
      </c>
      <c r="C1281" s="7" t="s">
        <v>12556</v>
      </c>
      <c r="D1281" s="8">
        <f t="shared" si="80"/>
        <v>0</v>
      </c>
      <c r="E1281" s="7" t="s">
        <v>12557</v>
      </c>
      <c r="F1281" s="7">
        <f t="shared" si="81"/>
        <v>0</v>
      </c>
      <c r="G1281" s="7" t="s">
        <v>12558</v>
      </c>
      <c r="H1281" s="7">
        <f t="shared" si="82"/>
        <v>0</v>
      </c>
      <c r="I1281" s="7" t="str" cm="1">
        <f t="array" ref="I1281">IFERROR(_xlfn.IFS(M1281="נח",1,M1281="נע ונח",1,M1281="שני שווא נח",2,M1281="שני שוואים בסוף מילה",2,M1281="שני שוואים ברצף",1),"0")</f>
        <v>0</v>
      </c>
      <c r="J1281" s="9">
        <f t="shared" si="83"/>
        <v>2</v>
      </c>
      <c r="K1281" t="s">
        <v>6698</v>
      </c>
      <c r="L1281" t="s">
        <v>6695</v>
      </c>
      <c r="P1281" t="s">
        <v>6694</v>
      </c>
      <c r="W1281" t="s">
        <v>6720</v>
      </c>
    </row>
    <row r="1282" spans="1:23" ht="15.6" x14ac:dyDescent="0.4">
      <c r="A1282" s="2" t="s">
        <v>966</v>
      </c>
      <c r="B1282" s="5" t="s">
        <v>7792</v>
      </c>
      <c r="C1282" s="7" t="s">
        <v>12556</v>
      </c>
      <c r="D1282" s="8">
        <f t="shared" si="80"/>
        <v>0</v>
      </c>
      <c r="E1282" s="7" t="s">
        <v>12557</v>
      </c>
      <c r="F1282" s="7">
        <f t="shared" si="81"/>
        <v>1</v>
      </c>
      <c r="G1282" s="7" t="s">
        <v>12558</v>
      </c>
      <c r="H1282" s="7">
        <f t="shared" si="82"/>
        <v>0</v>
      </c>
      <c r="I1282" s="7" cm="1">
        <f t="array" ref="I1282">IFERROR(_xlfn.IFS(M1282="נח",1,M1282="נע ונח",1,M1282="שני שווא נח",2,M1282="שני שוואים בסוף מילה",2,M1282="שני שוואים ברצף",1),"0")</f>
        <v>1</v>
      </c>
      <c r="J1282" s="9">
        <f t="shared" si="83"/>
        <v>2</v>
      </c>
      <c r="K1282" t="s">
        <v>6698</v>
      </c>
      <c r="L1282" t="s">
        <v>6694</v>
      </c>
      <c r="M1282" t="s">
        <v>6705</v>
      </c>
      <c r="N1282" t="s">
        <v>6706</v>
      </c>
      <c r="O1282" t="s">
        <v>6694</v>
      </c>
      <c r="P1282" t="s">
        <v>6694</v>
      </c>
      <c r="W1282" t="s">
        <v>6720</v>
      </c>
    </row>
    <row r="1283" spans="1:23" ht="15.6" x14ac:dyDescent="0.4">
      <c r="A1283" s="2" t="s">
        <v>3939</v>
      </c>
      <c r="B1283" s="5" t="s">
        <v>7793</v>
      </c>
      <c r="C1283" s="7" t="s">
        <v>12556</v>
      </c>
      <c r="D1283" s="8">
        <f t="shared" ref="D1283:D1346" si="84">(LEN(B1283)-LEN(SUBSTITUTE(B1283,C1283,"")))</f>
        <v>0</v>
      </c>
      <c r="E1283" s="7" t="s">
        <v>12557</v>
      </c>
      <c r="F1283" s="7">
        <f t="shared" ref="F1283:F1346" si="85">(LEN(A1283)-LEN(SUBSTITUTE(A1283,E1283,"")))</f>
        <v>0</v>
      </c>
      <c r="G1283" s="7" t="s">
        <v>12558</v>
      </c>
      <c r="H1283" s="7">
        <f t="shared" ref="H1283:H1346" si="86">(LEN(A1283)-LEN(SUBSTITUTE(A1283,G1283,"")))/2</f>
        <v>0</v>
      </c>
      <c r="I1283" s="7" t="str" cm="1">
        <f t="array" ref="I1283">IFERROR(_xlfn.IFS(M1283="נח",1,M1283="נע ונח",1,M1283="שני שווא נח",2,M1283="שני שוואים בסוף מילה",2,M1283="שני שוואים ברצף",1),"0")</f>
        <v>0</v>
      </c>
      <c r="J1283" s="9">
        <f t="shared" ref="J1283:J1346" si="87">LEN(A1283)-(LEN(B1283))-D1283-F1283+H1283-I1283</f>
        <v>2</v>
      </c>
      <c r="K1283" t="s">
        <v>6698</v>
      </c>
      <c r="L1283" t="s">
        <v>6695</v>
      </c>
      <c r="O1283" t="s">
        <v>6694</v>
      </c>
      <c r="S1283" t="s">
        <v>6694</v>
      </c>
      <c r="W1283" t="s">
        <v>6720</v>
      </c>
    </row>
    <row r="1284" spans="1:23" ht="15.6" x14ac:dyDescent="0.4">
      <c r="A1284" s="2" t="s">
        <v>4063</v>
      </c>
      <c r="B1284" s="5" t="s">
        <v>7794</v>
      </c>
      <c r="C1284" s="7" t="s">
        <v>12556</v>
      </c>
      <c r="D1284" s="8">
        <f t="shared" si="84"/>
        <v>0</v>
      </c>
      <c r="E1284" s="7" t="s">
        <v>12557</v>
      </c>
      <c r="F1284" s="7">
        <f t="shared" si="85"/>
        <v>0</v>
      </c>
      <c r="G1284" s="7" t="s">
        <v>12558</v>
      </c>
      <c r="H1284" s="7">
        <f t="shared" si="86"/>
        <v>0</v>
      </c>
      <c r="I1284" s="7" t="str" cm="1">
        <f t="array" ref="I1284">IFERROR(_xlfn.IFS(M1284="נח",1,M1284="נע ונח",1,M1284="שני שווא נח",2,M1284="שני שוואים בסוף מילה",2,M1284="שני שוואים ברצף",1),"0")</f>
        <v>0</v>
      </c>
      <c r="J1284" s="9">
        <f t="shared" si="87"/>
        <v>2</v>
      </c>
      <c r="K1284" t="s">
        <v>6698</v>
      </c>
      <c r="L1284" t="s">
        <v>6695</v>
      </c>
      <c r="O1284" t="s">
        <v>6694</v>
      </c>
      <c r="S1284" t="s">
        <v>6694</v>
      </c>
      <c r="W1284" t="s">
        <v>6720</v>
      </c>
    </row>
    <row r="1285" spans="1:23" ht="15.6" x14ac:dyDescent="0.4">
      <c r="A1285" s="2" t="s">
        <v>5460</v>
      </c>
      <c r="B1285" s="5" t="s">
        <v>7795</v>
      </c>
      <c r="C1285" s="7" t="s">
        <v>12556</v>
      </c>
      <c r="D1285" s="8">
        <f t="shared" si="84"/>
        <v>0</v>
      </c>
      <c r="E1285" s="7" t="s">
        <v>12557</v>
      </c>
      <c r="F1285" s="7">
        <f t="shared" si="85"/>
        <v>0</v>
      </c>
      <c r="G1285" s="7" t="s">
        <v>12558</v>
      </c>
      <c r="H1285" s="7">
        <f t="shared" si="86"/>
        <v>0</v>
      </c>
      <c r="I1285" s="7" t="str" cm="1">
        <f t="array" ref="I1285">IFERROR(_xlfn.IFS(M1285="נח",1,M1285="נע ונח",1,M1285="שני שווא נח",2,M1285="שני שוואים בסוף מילה",2,M1285="שני שוואים ברצף",1),"0")</f>
        <v>0</v>
      </c>
      <c r="J1285" s="9">
        <f t="shared" si="87"/>
        <v>2</v>
      </c>
      <c r="K1285" t="s">
        <v>6698</v>
      </c>
      <c r="L1285" t="s">
        <v>6695</v>
      </c>
      <c r="N1285" t="s">
        <v>6706</v>
      </c>
      <c r="O1285" t="s">
        <v>6694</v>
      </c>
      <c r="W1285" t="s">
        <v>6720</v>
      </c>
    </row>
    <row r="1286" spans="1:23" ht="15.6" x14ac:dyDescent="0.4">
      <c r="A1286" s="2" t="s">
        <v>6193</v>
      </c>
      <c r="B1286" s="5" t="s">
        <v>7796</v>
      </c>
      <c r="C1286" s="7" t="s">
        <v>12556</v>
      </c>
      <c r="D1286" s="8">
        <f t="shared" si="84"/>
        <v>0</v>
      </c>
      <c r="E1286" s="7" t="s">
        <v>12557</v>
      </c>
      <c r="F1286" s="7">
        <f t="shared" si="85"/>
        <v>2</v>
      </c>
      <c r="G1286" s="7" t="s">
        <v>12558</v>
      </c>
      <c r="H1286" s="7">
        <f t="shared" si="86"/>
        <v>1</v>
      </c>
      <c r="I1286" s="7" t="str" cm="1">
        <f t="array" ref="I1286">IFERROR(_xlfn.IFS(M1286="נח",1,M1286="נע ונח",1,M1286="שני שווא נח",2,M1286="שני שוואים בסוף מילה",2,M1286="שני שוואים ברצף",1),"0")</f>
        <v>0</v>
      </c>
      <c r="J1286" s="9">
        <f t="shared" si="87"/>
        <v>2</v>
      </c>
      <c r="K1286" t="s">
        <v>6697</v>
      </c>
      <c r="L1286" t="s">
        <v>6695</v>
      </c>
      <c r="O1286" t="s">
        <v>6694</v>
      </c>
      <c r="U1286" t="s">
        <v>6694</v>
      </c>
      <c r="W1286" t="s">
        <v>6720</v>
      </c>
    </row>
    <row r="1287" spans="1:23" ht="15.6" x14ac:dyDescent="0.4">
      <c r="A1287" s="2" t="s">
        <v>201</v>
      </c>
      <c r="B1287" s="5" t="s">
        <v>7787</v>
      </c>
      <c r="C1287" s="7" t="s">
        <v>12556</v>
      </c>
      <c r="D1287" s="8">
        <f t="shared" si="84"/>
        <v>0</v>
      </c>
      <c r="E1287" s="7" t="s">
        <v>12557</v>
      </c>
      <c r="F1287" s="7">
        <f t="shared" si="85"/>
        <v>0</v>
      </c>
      <c r="G1287" s="7" t="s">
        <v>12558</v>
      </c>
      <c r="H1287" s="7">
        <f t="shared" si="86"/>
        <v>0</v>
      </c>
      <c r="I1287" s="7" cm="1">
        <f t="array" ref="I1287">IFERROR(_xlfn.IFS(M1287="נח",1,M1287="נע ונח",1,M1287="שני שווא נח",2,M1287="שני שוואים בסוף מילה",2,M1287="שני שוואים ברצף",1),"0")</f>
        <v>1</v>
      </c>
      <c r="J1287" s="9">
        <f t="shared" si="87"/>
        <v>2</v>
      </c>
      <c r="K1287" t="s">
        <v>6698</v>
      </c>
      <c r="L1287" t="s">
        <v>6694</v>
      </c>
      <c r="M1287" t="s">
        <v>6705</v>
      </c>
      <c r="O1287" t="s">
        <v>6694</v>
      </c>
      <c r="R1287" t="s">
        <v>6694</v>
      </c>
      <c r="W1287" t="s">
        <v>6720</v>
      </c>
    </row>
    <row r="1288" spans="1:23" ht="15.6" x14ac:dyDescent="0.4">
      <c r="A1288" s="2" t="s">
        <v>4287</v>
      </c>
      <c r="B1288" s="5" t="s">
        <v>7797</v>
      </c>
      <c r="C1288" s="7" t="s">
        <v>12556</v>
      </c>
      <c r="D1288" s="8">
        <f t="shared" si="84"/>
        <v>0</v>
      </c>
      <c r="E1288" s="7" t="s">
        <v>12557</v>
      </c>
      <c r="F1288" s="7">
        <f t="shared" si="85"/>
        <v>0</v>
      </c>
      <c r="G1288" s="7" t="s">
        <v>12558</v>
      </c>
      <c r="H1288" s="7">
        <f t="shared" si="86"/>
        <v>0</v>
      </c>
      <c r="I1288" s="7" t="str" cm="1">
        <f t="array" ref="I1288">IFERROR(_xlfn.IFS(M1288="נח",1,M1288="נע ונח",1,M1288="שני שווא נח",2,M1288="שני שוואים בסוף מילה",2,M1288="שני שוואים ברצף",1),"0")</f>
        <v>0</v>
      </c>
      <c r="J1288" s="9">
        <f t="shared" si="87"/>
        <v>1</v>
      </c>
      <c r="K1288" t="s">
        <v>6698</v>
      </c>
      <c r="L1288" t="s">
        <v>6695</v>
      </c>
      <c r="V1288" t="s">
        <v>6694</v>
      </c>
      <c r="W1288" t="s">
        <v>6720</v>
      </c>
    </row>
    <row r="1289" spans="1:23" ht="15.6" x14ac:dyDescent="0.4">
      <c r="A1289" s="2" t="s">
        <v>2404</v>
      </c>
      <c r="B1289" s="5" t="s">
        <v>7798</v>
      </c>
      <c r="C1289" s="7" t="s">
        <v>12556</v>
      </c>
      <c r="D1289" s="8">
        <f t="shared" si="84"/>
        <v>1</v>
      </c>
      <c r="E1289" s="7" t="s">
        <v>12557</v>
      </c>
      <c r="F1289" s="7">
        <f t="shared" si="85"/>
        <v>0</v>
      </c>
      <c r="G1289" s="7" t="s">
        <v>12558</v>
      </c>
      <c r="H1289" s="7">
        <f t="shared" si="86"/>
        <v>0</v>
      </c>
      <c r="I1289" s="7" cm="1">
        <f t="array" ref="I1289">IFERROR(_xlfn.IFS(M1289="נח",1,M1289="נע ונח",1,M1289="שני שווא נח",2,M1289="שני שוואים בסוף מילה",2,M1289="שני שוואים ברצף",1),"0")</f>
        <v>1</v>
      </c>
      <c r="J1289" s="9">
        <f t="shared" si="87"/>
        <v>3</v>
      </c>
      <c r="K1289" t="s">
        <v>6697</v>
      </c>
      <c r="L1289" t="s">
        <v>6694</v>
      </c>
      <c r="M1289" t="s">
        <v>6705</v>
      </c>
      <c r="O1289" t="s">
        <v>6694</v>
      </c>
      <c r="R1289" t="s">
        <v>6694</v>
      </c>
      <c r="V1289" t="s">
        <v>6694</v>
      </c>
      <c r="W1289" t="s">
        <v>6720</v>
      </c>
    </row>
    <row r="1290" spans="1:23" ht="15.6" x14ac:dyDescent="0.4">
      <c r="A1290" s="2" t="s">
        <v>2406</v>
      </c>
      <c r="B1290" s="5" t="s">
        <v>7799</v>
      </c>
      <c r="C1290" s="7" t="s">
        <v>12556</v>
      </c>
      <c r="D1290" s="8">
        <f t="shared" si="84"/>
        <v>1</v>
      </c>
      <c r="E1290" s="7" t="s">
        <v>12557</v>
      </c>
      <c r="F1290" s="7">
        <f t="shared" si="85"/>
        <v>0</v>
      </c>
      <c r="G1290" s="7" t="s">
        <v>12558</v>
      </c>
      <c r="H1290" s="7">
        <f t="shared" si="86"/>
        <v>0</v>
      </c>
      <c r="I1290" s="7" t="str" cm="1">
        <f t="array" ref="I1290">IFERROR(_xlfn.IFS(M1290="נח",1,M1290="נע ונח",1,M1290="שני שווא נח",2,M1290="שני שוואים בסוף מילה",2,M1290="שני שוואים ברצף",1),"0")</f>
        <v>0</v>
      </c>
      <c r="J1290" s="9">
        <f t="shared" si="87"/>
        <v>2</v>
      </c>
      <c r="K1290" t="s">
        <v>6698</v>
      </c>
      <c r="L1290" t="s">
        <v>6695</v>
      </c>
      <c r="Q1290" t="s">
        <v>6694</v>
      </c>
      <c r="V1290" t="s">
        <v>6694</v>
      </c>
      <c r="W1290" t="s">
        <v>6720</v>
      </c>
    </row>
    <row r="1291" spans="1:23" ht="15.6" x14ac:dyDescent="0.4">
      <c r="A1291" s="2" t="s">
        <v>4358</v>
      </c>
      <c r="B1291" s="5" t="s">
        <v>7800</v>
      </c>
      <c r="C1291" s="7" t="s">
        <v>12556</v>
      </c>
      <c r="D1291" s="8">
        <f t="shared" si="84"/>
        <v>0</v>
      </c>
      <c r="E1291" s="7" t="s">
        <v>12557</v>
      </c>
      <c r="F1291" s="7">
        <f t="shared" si="85"/>
        <v>1</v>
      </c>
      <c r="G1291" s="7" t="s">
        <v>12558</v>
      </c>
      <c r="H1291" s="7">
        <f t="shared" si="86"/>
        <v>0</v>
      </c>
      <c r="I1291" s="7" t="str" cm="1">
        <f t="array" ref="I1291">IFERROR(_xlfn.IFS(M1291="נח",1,M1291="נע ונח",1,M1291="שני שווא נח",2,M1291="שני שוואים בסוף מילה",2,M1291="שני שוואים ברצף",1),"0")</f>
        <v>0</v>
      </c>
      <c r="J1291" s="9">
        <f t="shared" si="87"/>
        <v>3</v>
      </c>
      <c r="K1291" t="s">
        <v>6697</v>
      </c>
      <c r="L1291" t="s">
        <v>6695</v>
      </c>
      <c r="O1291" t="s">
        <v>6694</v>
      </c>
      <c r="S1291" t="s">
        <v>6694</v>
      </c>
      <c r="T1291" t="s">
        <v>6694</v>
      </c>
      <c r="W1291" t="s">
        <v>6720</v>
      </c>
    </row>
    <row r="1292" spans="1:23" ht="15.6" x14ac:dyDescent="0.4">
      <c r="A1292" s="2" t="s">
        <v>2666</v>
      </c>
      <c r="B1292" s="5" t="s">
        <v>7801</v>
      </c>
      <c r="C1292" s="7" t="s">
        <v>12556</v>
      </c>
      <c r="D1292" s="8">
        <f t="shared" si="84"/>
        <v>0</v>
      </c>
      <c r="E1292" s="7" t="s">
        <v>12557</v>
      </c>
      <c r="F1292" s="7">
        <f t="shared" si="85"/>
        <v>1</v>
      </c>
      <c r="G1292" s="7" t="s">
        <v>12558</v>
      </c>
      <c r="H1292" s="7">
        <f t="shared" si="86"/>
        <v>0</v>
      </c>
      <c r="I1292" s="7" t="str" cm="1">
        <f t="array" ref="I1292">IFERROR(_xlfn.IFS(M1292="נח",1,M1292="נע ונח",1,M1292="שני שווא נח",2,M1292="שני שוואים בסוף מילה",2,M1292="שני שוואים ברצף",1),"0")</f>
        <v>0</v>
      </c>
      <c r="J1292" s="9">
        <f t="shared" si="87"/>
        <v>2</v>
      </c>
      <c r="K1292" t="s">
        <v>6698</v>
      </c>
      <c r="L1292" t="s">
        <v>6694</v>
      </c>
      <c r="M1292" t="s">
        <v>6700</v>
      </c>
      <c r="S1292" t="s">
        <v>6694</v>
      </c>
      <c r="W1292" t="s">
        <v>6720</v>
      </c>
    </row>
    <row r="1293" spans="1:23" ht="15.6" x14ac:dyDescent="0.4">
      <c r="A1293" s="2" t="s">
        <v>2170</v>
      </c>
      <c r="B1293" s="5" t="s">
        <v>7802</v>
      </c>
      <c r="C1293" s="7" t="s">
        <v>12556</v>
      </c>
      <c r="D1293" s="8">
        <f t="shared" si="84"/>
        <v>0</v>
      </c>
      <c r="E1293" s="7" t="s">
        <v>12557</v>
      </c>
      <c r="F1293" s="7">
        <f t="shared" si="85"/>
        <v>1</v>
      </c>
      <c r="G1293" s="7" t="s">
        <v>12558</v>
      </c>
      <c r="H1293" s="7">
        <f t="shared" si="86"/>
        <v>0</v>
      </c>
      <c r="I1293" s="7" t="str" cm="1">
        <f t="array" ref="I1293">IFERROR(_xlfn.IFS(M1293="נח",1,M1293="נע ונח",1,M1293="שני שווא נח",2,M1293="שני שוואים בסוף מילה",2,M1293="שני שוואים ברצף",1),"0")</f>
        <v>0</v>
      </c>
      <c r="J1293" s="9">
        <f t="shared" si="87"/>
        <v>2</v>
      </c>
      <c r="K1293" t="s">
        <v>6698</v>
      </c>
      <c r="L1293" t="s">
        <v>6694</v>
      </c>
      <c r="M1293" t="s">
        <v>6700</v>
      </c>
      <c r="P1293" t="s">
        <v>6694</v>
      </c>
      <c r="W1293" t="s">
        <v>6720</v>
      </c>
    </row>
    <row r="1294" spans="1:23" ht="15.6" x14ac:dyDescent="0.4">
      <c r="A1294" s="2" t="s">
        <v>4880</v>
      </c>
      <c r="B1294" s="5" t="s">
        <v>7803</v>
      </c>
      <c r="C1294" s="7" t="s">
        <v>12556</v>
      </c>
      <c r="D1294" s="8">
        <f t="shared" si="84"/>
        <v>1</v>
      </c>
      <c r="E1294" s="7" t="s">
        <v>12557</v>
      </c>
      <c r="F1294" s="7">
        <f t="shared" si="85"/>
        <v>1</v>
      </c>
      <c r="G1294" s="7" t="s">
        <v>12558</v>
      </c>
      <c r="H1294" s="7">
        <f t="shared" si="86"/>
        <v>0</v>
      </c>
      <c r="I1294" s="7" t="str" cm="1">
        <f t="array" ref="I1294">IFERROR(_xlfn.IFS(M1294="נח",1,M1294="נע ונח",1,M1294="שני שווא נח",2,M1294="שני שוואים בסוף מילה",2,M1294="שני שוואים ברצף",1),"0")</f>
        <v>0</v>
      </c>
      <c r="J1294" s="9">
        <f t="shared" si="87"/>
        <v>2</v>
      </c>
      <c r="K1294" t="s">
        <v>6698</v>
      </c>
      <c r="L1294" t="s">
        <v>6694</v>
      </c>
      <c r="M1294" t="s">
        <v>6700</v>
      </c>
      <c r="P1294" t="s">
        <v>6694</v>
      </c>
      <c r="W1294" t="s">
        <v>6720</v>
      </c>
    </row>
    <row r="1295" spans="1:23" ht="15.6" x14ac:dyDescent="0.4">
      <c r="A1295" s="2" t="s">
        <v>3256</v>
      </c>
      <c r="B1295" s="5" t="s">
        <v>7804</v>
      </c>
      <c r="C1295" s="7" t="s">
        <v>12556</v>
      </c>
      <c r="D1295" s="8">
        <f t="shared" si="84"/>
        <v>0</v>
      </c>
      <c r="E1295" s="7" t="s">
        <v>12557</v>
      </c>
      <c r="F1295" s="7">
        <f t="shared" si="85"/>
        <v>1</v>
      </c>
      <c r="G1295" s="7" t="s">
        <v>12558</v>
      </c>
      <c r="H1295" s="7">
        <f t="shared" si="86"/>
        <v>0</v>
      </c>
      <c r="I1295" s="7" t="str" cm="1">
        <f t="array" ref="I1295">IFERROR(_xlfn.IFS(M1295="נח",1,M1295="נע ונח",1,M1295="שני שווא נח",2,M1295="שני שוואים בסוף מילה",2,M1295="שני שוואים ברצף",1),"0")</f>
        <v>0</v>
      </c>
      <c r="J1295" s="9">
        <f t="shared" si="87"/>
        <v>3</v>
      </c>
      <c r="K1295" t="s">
        <v>6698</v>
      </c>
      <c r="L1295" t="s">
        <v>6694</v>
      </c>
      <c r="M1295" t="s">
        <v>6700</v>
      </c>
      <c r="O1295" t="s">
        <v>6694</v>
      </c>
      <c r="S1295" t="s">
        <v>6694</v>
      </c>
      <c r="W1295" t="s">
        <v>6720</v>
      </c>
    </row>
    <row r="1296" spans="1:23" ht="15.6" x14ac:dyDescent="0.4">
      <c r="A1296" s="2" t="s">
        <v>5992</v>
      </c>
      <c r="B1296" s="5" t="s">
        <v>7776</v>
      </c>
      <c r="C1296" s="7" t="s">
        <v>12556</v>
      </c>
      <c r="D1296" s="8">
        <f t="shared" si="84"/>
        <v>0</v>
      </c>
      <c r="E1296" s="7" t="s">
        <v>12557</v>
      </c>
      <c r="F1296" s="7">
        <f t="shared" si="85"/>
        <v>1</v>
      </c>
      <c r="G1296" s="7" t="s">
        <v>12558</v>
      </c>
      <c r="H1296" s="7">
        <f t="shared" si="86"/>
        <v>0</v>
      </c>
      <c r="I1296" s="7" t="str" cm="1">
        <f t="array" ref="I1296">IFERROR(_xlfn.IFS(M1296="נח",1,M1296="נע ונח",1,M1296="שני שווא נח",2,M1296="שני שוואים בסוף מילה",2,M1296="שני שוואים ברצף",1),"0")</f>
        <v>0</v>
      </c>
      <c r="J1296" s="9">
        <f t="shared" si="87"/>
        <v>4</v>
      </c>
      <c r="K1296" t="s">
        <v>6697</v>
      </c>
      <c r="L1296" t="s">
        <v>6694</v>
      </c>
      <c r="M1296" t="s">
        <v>6700</v>
      </c>
      <c r="O1296" t="s">
        <v>6694</v>
      </c>
      <c r="R1296" t="s">
        <v>6694</v>
      </c>
      <c r="W1296" t="s">
        <v>6720</v>
      </c>
    </row>
    <row r="1297" spans="1:23" ht="15.6" x14ac:dyDescent="0.4">
      <c r="A1297" s="2" t="s">
        <v>4079</v>
      </c>
      <c r="B1297" s="5" t="s">
        <v>7805</v>
      </c>
      <c r="C1297" s="7" t="s">
        <v>12556</v>
      </c>
      <c r="D1297" s="8">
        <f t="shared" si="84"/>
        <v>0</v>
      </c>
      <c r="E1297" s="7" t="s">
        <v>12557</v>
      </c>
      <c r="F1297" s="7">
        <f t="shared" si="85"/>
        <v>1</v>
      </c>
      <c r="G1297" s="7" t="s">
        <v>12558</v>
      </c>
      <c r="H1297" s="7">
        <f t="shared" si="86"/>
        <v>0</v>
      </c>
      <c r="I1297" s="7" t="str" cm="1">
        <f t="array" ref="I1297">IFERROR(_xlfn.IFS(M1297="נח",1,M1297="נע ונח",1,M1297="שני שווא נח",2,M1297="שני שוואים בסוף מילה",2,M1297="שני שוואים ברצף",1),"0")</f>
        <v>0</v>
      </c>
      <c r="J1297" s="9">
        <f t="shared" si="87"/>
        <v>3</v>
      </c>
      <c r="K1297" t="s">
        <v>6698</v>
      </c>
      <c r="L1297" t="s">
        <v>6694</v>
      </c>
      <c r="M1297" t="s">
        <v>6700</v>
      </c>
      <c r="O1297" t="s">
        <v>6694</v>
      </c>
      <c r="P1297" t="s">
        <v>6694</v>
      </c>
      <c r="W1297" t="s">
        <v>6720</v>
      </c>
    </row>
    <row r="1298" spans="1:23" ht="15.6" x14ac:dyDescent="0.4">
      <c r="A1298" s="2" t="s">
        <v>1197</v>
      </c>
      <c r="B1298" s="5" t="s">
        <v>7777</v>
      </c>
      <c r="C1298" s="7" t="s">
        <v>12556</v>
      </c>
      <c r="D1298" s="8">
        <f t="shared" si="84"/>
        <v>0</v>
      </c>
      <c r="E1298" s="7" t="s">
        <v>12557</v>
      </c>
      <c r="F1298" s="7">
        <f t="shared" si="85"/>
        <v>1</v>
      </c>
      <c r="G1298" s="7" t="s">
        <v>12558</v>
      </c>
      <c r="H1298" s="7">
        <f t="shared" si="86"/>
        <v>0</v>
      </c>
      <c r="I1298" s="7" t="str" cm="1">
        <f t="array" ref="I1298">IFERROR(_xlfn.IFS(M1298="נח",1,M1298="נע ונח",1,M1298="שני שווא נח",2,M1298="שני שוואים בסוף מילה",2,M1298="שני שוואים ברצף",1),"0")</f>
        <v>0</v>
      </c>
      <c r="J1298" s="9">
        <f t="shared" si="87"/>
        <v>3</v>
      </c>
      <c r="K1298" t="s">
        <v>6698</v>
      </c>
      <c r="L1298" t="s">
        <v>6694</v>
      </c>
      <c r="M1298" t="s">
        <v>6700</v>
      </c>
      <c r="N1298" t="s">
        <v>6706</v>
      </c>
      <c r="O1298" t="s">
        <v>6694</v>
      </c>
      <c r="W1298" t="s">
        <v>6720</v>
      </c>
    </row>
    <row r="1299" spans="1:23" ht="15.6" x14ac:dyDescent="0.4">
      <c r="A1299" s="2" t="s">
        <v>1396</v>
      </c>
      <c r="B1299" s="5" t="s">
        <v>7778</v>
      </c>
      <c r="C1299" s="7" t="s">
        <v>12556</v>
      </c>
      <c r="D1299" s="8">
        <f t="shared" si="84"/>
        <v>0</v>
      </c>
      <c r="E1299" s="7" t="s">
        <v>12557</v>
      </c>
      <c r="F1299" s="7">
        <f t="shared" si="85"/>
        <v>1</v>
      </c>
      <c r="G1299" s="7" t="s">
        <v>12558</v>
      </c>
      <c r="H1299" s="7">
        <f t="shared" si="86"/>
        <v>0</v>
      </c>
      <c r="I1299" s="7" t="str" cm="1">
        <f t="array" ref="I1299">IFERROR(_xlfn.IFS(M1299="נח",1,M1299="נע ונח",1,M1299="שני שווא נח",2,M1299="שני שוואים בסוף מילה",2,M1299="שני שוואים ברצף",1),"0")</f>
        <v>0</v>
      </c>
      <c r="J1299" s="9">
        <f t="shared" si="87"/>
        <v>3</v>
      </c>
      <c r="K1299" t="s">
        <v>6697</v>
      </c>
      <c r="L1299" t="s">
        <v>6694</v>
      </c>
      <c r="M1299" t="s">
        <v>6700</v>
      </c>
      <c r="O1299" t="s">
        <v>6694</v>
      </c>
      <c r="V1299" t="s">
        <v>6694</v>
      </c>
      <c r="W1299" t="s">
        <v>6720</v>
      </c>
    </row>
    <row r="1300" spans="1:23" ht="15.6" x14ac:dyDescent="0.4">
      <c r="A1300" s="2" t="s">
        <v>4393</v>
      </c>
      <c r="B1300" s="5" t="s">
        <v>7806</v>
      </c>
      <c r="C1300" s="7" t="s">
        <v>12556</v>
      </c>
      <c r="D1300" s="8">
        <f t="shared" si="84"/>
        <v>0</v>
      </c>
      <c r="E1300" s="7" t="s">
        <v>12557</v>
      </c>
      <c r="F1300" s="7">
        <f t="shared" si="85"/>
        <v>1</v>
      </c>
      <c r="G1300" s="7" t="s">
        <v>12558</v>
      </c>
      <c r="H1300" s="7">
        <f t="shared" si="86"/>
        <v>0</v>
      </c>
      <c r="I1300" s="7" t="str" cm="1">
        <f t="array" ref="I1300">IFERROR(_xlfn.IFS(M1300="נח",1,M1300="נע ונח",1,M1300="שני שווא נח",2,M1300="שני שוואים בסוף מילה",2,M1300="שני שוואים ברצף",1),"0")</f>
        <v>0</v>
      </c>
      <c r="J1300" s="9">
        <f t="shared" si="87"/>
        <v>3</v>
      </c>
      <c r="K1300" t="s">
        <v>6698</v>
      </c>
      <c r="L1300" t="s">
        <v>6694</v>
      </c>
      <c r="M1300" t="s">
        <v>6700</v>
      </c>
      <c r="N1300" t="s">
        <v>6706</v>
      </c>
      <c r="O1300" t="s">
        <v>6694</v>
      </c>
      <c r="W1300" t="s">
        <v>6720</v>
      </c>
    </row>
    <row r="1301" spans="1:23" ht="15.6" x14ac:dyDescent="0.4">
      <c r="A1301" s="2" t="s">
        <v>6155</v>
      </c>
      <c r="B1301" s="5" t="s">
        <v>7807</v>
      </c>
      <c r="C1301" s="7" t="s">
        <v>12556</v>
      </c>
      <c r="D1301" s="8">
        <f t="shared" si="84"/>
        <v>0</v>
      </c>
      <c r="E1301" s="7" t="s">
        <v>12557</v>
      </c>
      <c r="F1301" s="7">
        <f t="shared" si="85"/>
        <v>1</v>
      </c>
      <c r="G1301" s="7" t="s">
        <v>12558</v>
      </c>
      <c r="H1301" s="7">
        <f t="shared" si="86"/>
        <v>0</v>
      </c>
      <c r="I1301" s="7" t="str" cm="1">
        <f t="array" ref="I1301">IFERROR(_xlfn.IFS(M1301="נח",1,M1301="נע ונח",1,M1301="שני שווא נח",2,M1301="שני שוואים בסוף מילה",2,M1301="שני שוואים ברצף",1),"0")</f>
        <v>0</v>
      </c>
      <c r="J1301" s="9">
        <f t="shared" si="87"/>
        <v>3</v>
      </c>
      <c r="K1301" t="s">
        <v>6698</v>
      </c>
      <c r="L1301" t="s">
        <v>6694</v>
      </c>
      <c r="M1301" t="s">
        <v>6700</v>
      </c>
      <c r="N1301" t="s">
        <v>6706</v>
      </c>
      <c r="O1301" t="s">
        <v>6694</v>
      </c>
      <c r="W1301" t="s">
        <v>6720</v>
      </c>
    </row>
    <row r="1302" spans="1:23" ht="15.6" x14ac:dyDescent="0.4">
      <c r="A1302" s="2" t="s">
        <v>2156</v>
      </c>
      <c r="B1302" s="5" t="s">
        <v>7808</v>
      </c>
      <c r="C1302" s="7" t="s">
        <v>12556</v>
      </c>
      <c r="D1302" s="8">
        <f t="shared" si="84"/>
        <v>0</v>
      </c>
      <c r="E1302" s="7" t="s">
        <v>12557</v>
      </c>
      <c r="F1302" s="7">
        <f t="shared" si="85"/>
        <v>1</v>
      </c>
      <c r="G1302" s="7" t="s">
        <v>12558</v>
      </c>
      <c r="H1302" s="7">
        <f t="shared" si="86"/>
        <v>0</v>
      </c>
      <c r="I1302" s="7" t="str" cm="1">
        <f t="array" ref="I1302">IFERROR(_xlfn.IFS(M1302="נח",1,M1302="נע ונח",1,M1302="שני שווא נח",2,M1302="שני שוואים בסוף מילה",2,M1302="שני שוואים ברצף",1),"0")</f>
        <v>0</v>
      </c>
      <c r="J1302" s="9">
        <f t="shared" si="87"/>
        <v>2</v>
      </c>
      <c r="K1302" t="s">
        <v>6698</v>
      </c>
      <c r="L1302" t="s">
        <v>6694</v>
      </c>
      <c r="M1302" t="s">
        <v>6700</v>
      </c>
      <c r="N1302" t="s">
        <v>6706</v>
      </c>
      <c r="O1302" t="s">
        <v>6694</v>
      </c>
      <c r="W1302" t="s">
        <v>6720</v>
      </c>
    </row>
    <row r="1303" spans="1:23" ht="15.6" x14ac:dyDescent="0.4">
      <c r="A1303" s="2" t="s">
        <v>5565</v>
      </c>
      <c r="B1303" s="5" t="s">
        <v>7809</v>
      </c>
      <c r="C1303" s="7" t="s">
        <v>12556</v>
      </c>
      <c r="D1303" s="8">
        <f t="shared" si="84"/>
        <v>0</v>
      </c>
      <c r="E1303" s="7" t="s">
        <v>12557</v>
      </c>
      <c r="F1303" s="7">
        <f t="shared" si="85"/>
        <v>2</v>
      </c>
      <c r="G1303" s="7" t="s">
        <v>12558</v>
      </c>
      <c r="H1303" s="7">
        <f t="shared" si="86"/>
        <v>1</v>
      </c>
      <c r="I1303" s="7" t="str" cm="1">
        <f t="array" ref="I1303">IFERROR(_xlfn.IFS(M1303="נח",1,M1303="נע ונח",1,M1303="שני שווא נח",2,M1303="שני שוואים בסוף מילה",2,M1303="שני שוואים ברצף",1),"0")</f>
        <v>0</v>
      </c>
      <c r="J1303" s="9">
        <f t="shared" si="87"/>
        <v>2</v>
      </c>
      <c r="K1303" t="s">
        <v>6697</v>
      </c>
      <c r="L1303" t="s">
        <v>6694</v>
      </c>
      <c r="M1303" t="s">
        <v>6700</v>
      </c>
      <c r="U1303" t="s">
        <v>6694</v>
      </c>
      <c r="W1303" t="s">
        <v>6720</v>
      </c>
    </row>
    <row r="1304" spans="1:23" ht="15.6" x14ac:dyDescent="0.4">
      <c r="A1304" s="2" t="s">
        <v>2592</v>
      </c>
      <c r="B1304" s="5" t="s">
        <v>7810</v>
      </c>
      <c r="C1304" s="7" t="s">
        <v>12556</v>
      </c>
      <c r="D1304" s="8">
        <f t="shared" si="84"/>
        <v>0</v>
      </c>
      <c r="E1304" s="7" t="s">
        <v>12557</v>
      </c>
      <c r="F1304" s="7">
        <f t="shared" si="85"/>
        <v>1</v>
      </c>
      <c r="G1304" s="7" t="s">
        <v>12558</v>
      </c>
      <c r="H1304" s="7">
        <f t="shared" si="86"/>
        <v>0</v>
      </c>
      <c r="I1304" s="7" t="str" cm="1">
        <f t="array" ref="I1304">IFERROR(_xlfn.IFS(M1304="נח",1,M1304="נע ונח",1,M1304="שני שווא נח",2,M1304="שני שוואים בסוף מילה",2,M1304="שני שוואים ברצף",1),"0")</f>
        <v>0</v>
      </c>
      <c r="J1304" s="9">
        <f t="shared" si="87"/>
        <v>4</v>
      </c>
      <c r="K1304" t="s">
        <v>6697</v>
      </c>
      <c r="L1304" t="s">
        <v>6694</v>
      </c>
      <c r="M1304" t="s">
        <v>6700</v>
      </c>
      <c r="O1304" t="s">
        <v>6694</v>
      </c>
      <c r="R1304" t="s">
        <v>6694</v>
      </c>
      <c r="W1304" t="s">
        <v>6720</v>
      </c>
    </row>
    <row r="1305" spans="1:23" ht="15.6" x14ac:dyDescent="0.4">
      <c r="A1305" s="2" t="s">
        <v>290</v>
      </c>
      <c r="B1305" s="5" t="s">
        <v>7781</v>
      </c>
      <c r="C1305" s="7" t="s">
        <v>12556</v>
      </c>
      <c r="D1305" s="8">
        <f t="shared" si="84"/>
        <v>0</v>
      </c>
      <c r="E1305" s="7" t="s">
        <v>12557</v>
      </c>
      <c r="F1305" s="7">
        <f t="shared" si="85"/>
        <v>1</v>
      </c>
      <c r="G1305" s="7" t="s">
        <v>12558</v>
      </c>
      <c r="H1305" s="7">
        <f t="shared" si="86"/>
        <v>0</v>
      </c>
      <c r="I1305" s="7" t="str" cm="1">
        <f t="array" ref="I1305">IFERROR(_xlfn.IFS(M1305="נח",1,M1305="נע ונח",1,M1305="שני שווא נח",2,M1305="שני שוואים בסוף מילה",2,M1305="שני שוואים ברצף",1),"0")</f>
        <v>0</v>
      </c>
      <c r="J1305" s="9">
        <f t="shared" si="87"/>
        <v>3</v>
      </c>
      <c r="K1305" t="s">
        <v>6698</v>
      </c>
      <c r="L1305" t="s">
        <v>6694</v>
      </c>
      <c r="M1305" t="s">
        <v>6700</v>
      </c>
      <c r="O1305" t="s">
        <v>6694</v>
      </c>
      <c r="P1305" t="s">
        <v>6694</v>
      </c>
      <c r="W1305" t="s">
        <v>6720</v>
      </c>
    </row>
    <row r="1306" spans="1:23" ht="15.6" x14ac:dyDescent="0.4">
      <c r="A1306" s="2" t="s">
        <v>2825</v>
      </c>
      <c r="B1306" s="5" t="s">
        <v>7782</v>
      </c>
      <c r="C1306" s="7" t="s">
        <v>12556</v>
      </c>
      <c r="D1306" s="8">
        <f t="shared" si="84"/>
        <v>0</v>
      </c>
      <c r="E1306" s="7" t="s">
        <v>12557</v>
      </c>
      <c r="F1306" s="7">
        <f t="shared" si="85"/>
        <v>1</v>
      </c>
      <c r="G1306" s="7" t="s">
        <v>12558</v>
      </c>
      <c r="H1306" s="7">
        <f t="shared" si="86"/>
        <v>0</v>
      </c>
      <c r="I1306" s="7" t="str" cm="1">
        <f t="array" ref="I1306">IFERROR(_xlfn.IFS(M1306="נח",1,M1306="נע ונח",1,M1306="שני שווא נח",2,M1306="שני שוואים בסוף מילה",2,M1306="שני שוואים ברצף",1),"0")</f>
        <v>0</v>
      </c>
      <c r="J1306" s="9">
        <f t="shared" si="87"/>
        <v>3</v>
      </c>
      <c r="K1306" t="s">
        <v>6698</v>
      </c>
      <c r="L1306" t="s">
        <v>6694</v>
      </c>
      <c r="M1306" t="s">
        <v>6700</v>
      </c>
      <c r="N1306" t="s">
        <v>6706</v>
      </c>
      <c r="O1306" t="s">
        <v>6694</v>
      </c>
      <c r="W1306" t="s">
        <v>6720</v>
      </c>
    </row>
    <row r="1307" spans="1:23" ht="15.6" x14ac:dyDescent="0.4">
      <c r="A1307" s="2" t="s">
        <v>1151</v>
      </c>
      <c r="B1307" s="5" t="s">
        <v>7811</v>
      </c>
      <c r="C1307" s="7" t="s">
        <v>12556</v>
      </c>
      <c r="D1307" s="8">
        <f t="shared" si="84"/>
        <v>1</v>
      </c>
      <c r="E1307" s="7" t="s">
        <v>12557</v>
      </c>
      <c r="F1307" s="7">
        <f t="shared" si="85"/>
        <v>2</v>
      </c>
      <c r="G1307" s="7" t="s">
        <v>12558</v>
      </c>
      <c r="H1307" s="7">
        <f t="shared" si="86"/>
        <v>1</v>
      </c>
      <c r="I1307" s="7" t="str" cm="1">
        <f t="array" ref="I1307">IFERROR(_xlfn.IFS(M1307="נח",1,M1307="נע ונח",1,M1307="שני שווא נח",2,M1307="שני שוואים בסוף מילה",2,M1307="שני שוואים ברצף",1),"0")</f>
        <v>0</v>
      </c>
      <c r="J1307" s="9">
        <f t="shared" si="87"/>
        <v>3</v>
      </c>
      <c r="K1307" t="s">
        <v>6698</v>
      </c>
      <c r="L1307" t="s">
        <v>6694</v>
      </c>
      <c r="M1307" t="s">
        <v>6700</v>
      </c>
      <c r="S1307" t="s">
        <v>6694</v>
      </c>
      <c r="U1307" t="s">
        <v>6694</v>
      </c>
      <c r="W1307" t="s">
        <v>6720</v>
      </c>
    </row>
    <row r="1308" spans="1:23" ht="15.6" x14ac:dyDescent="0.4">
      <c r="A1308" s="2" t="s">
        <v>5543</v>
      </c>
      <c r="B1308" s="5" t="s">
        <v>7812</v>
      </c>
      <c r="C1308" s="7" t="s">
        <v>12556</v>
      </c>
      <c r="D1308" s="8">
        <f t="shared" si="84"/>
        <v>1</v>
      </c>
      <c r="E1308" s="7" t="s">
        <v>12557</v>
      </c>
      <c r="F1308" s="7">
        <f t="shared" si="85"/>
        <v>1</v>
      </c>
      <c r="G1308" s="7" t="s">
        <v>12558</v>
      </c>
      <c r="H1308" s="7">
        <f t="shared" si="86"/>
        <v>0</v>
      </c>
      <c r="I1308" s="7" t="str" cm="1">
        <f t="array" ref="I1308">IFERROR(_xlfn.IFS(M1308="נח",1,M1308="נע ונח",1,M1308="שני שווא נח",2,M1308="שני שוואים בסוף מילה",2,M1308="שני שוואים ברצף",1),"0")</f>
        <v>0</v>
      </c>
      <c r="J1308" s="9">
        <f t="shared" si="87"/>
        <v>3</v>
      </c>
      <c r="K1308" t="s">
        <v>6698</v>
      </c>
      <c r="L1308" t="s">
        <v>6694</v>
      </c>
      <c r="M1308" t="s">
        <v>6700</v>
      </c>
      <c r="Q1308" t="s">
        <v>6694</v>
      </c>
      <c r="S1308" t="s">
        <v>6694</v>
      </c>
      <c r="W1308" t="s">
        <v>6720</v>
      </c>
    </row>
    <row r="1309" spans="1:23" ht="15.6" x14ac:dyDescent="0.4">
      <c r="A1309" s="2" t="s">
        <v>823</v>
      </c>
      <c r="B1309" s="5" t="s">
        <v>7805</v>
      </c>
      <c r="C1309" s="7" t="s">
        <v>12556</v>
      </c>
      <c r="D1309" s="8">
        <f t="shared" si="84"/>
        <v>0</v>
      </c>
      <c r="E1309" s="7" t="s">
        <v>12557</v>
      </c>
      <c r="F1309" s="7">
        <f t="shared" si="85"/>
        <v>1</v>
      </c>
      <c r="G1309" s="7" t="s">
        <v>12558</v>
      </c>
      <c r="H1309" s="7">
        <f t="shared" si="86"/>
        <v>0</v>
      </c>
      <c r="I1309" s="7" cm="1">
        <f t="array" ref="I1309">IFERROR(_xlfn.IFS(M1309="נח",1,M1309="נע ונח",1,M1309="שני שווא נח",2,M1309="שני שוואים בסוף מילה",2,M1309="שני שוואים ברצף",1),"0")</f>
        <v>1</v>
      </c>
      <c r="J1309" s="9">
        <f t="shared" si="87"/>
        <v>2</v>
      </c>
      <c r="K1309" t="s">
        <v>6698</v>
      </c>
      <c r="L1309" t="s">
        <v>6694</v>
      </c>
      <c r="M1309" t="s">
        <v>6705</v>
      </c>
      <c r="Q1309" t="s">
        <v>6694</v>
      </c>
      <c r="S1309" t="s">
        <v>6694</v>
      </c>
      <c r="W1309" t="s">
        <v>6720</v>
      </c>
    </row>
    <row r="1310" spans="1:23" ht="15.6" x14ac:dyDescent="0.4">
      <c r="A1310" s="2" t="s">
        <v>2881</v>
      </c>
      <c r="B1310" s="5" t="s">
        <v>7813</v>
      </c>
      <c r="C1310" s="7" t="s">
        <v>12556</v>
      </c>
      <c r="D1310" s="8">
        <f t="shared" si="84"/>
        <v>0</v>
      </c>
      <c r="E1310" s="7" t="s">
        <v>12557</v>
      </c>
      <c r="F1310" s="7">
        <f t="shared" si="85"/>
        <v>1</v>
      </c>
      <c r="G1310" s="7" t="s">
        <v>12558</v>
      </c>
      <c r="H1310" s="7">
        <f t="shared" si="86"/>
        <v>0</v>
      </c>
      <c r="I1310" s="7" cm="1">
        <f t="array" ref="I1310">IFERROR(_xlfn.IFS(M1310="נח",1,M1310="נע ונח",1,M1310="שני שווא נח",2,M1310="שני שוואים בסוף מילה",2,M1310="שני שוואים ברצף",1),"0")</f>
        <v>1</v>
      </c>
      <c r="J1310" s="9">
        <f t="shared" si="87"/>
        <v>3</v>
      </c>
      <c r="K1310" t="s">
        <v>6697</v>
      </c>
      <c r="L1310" t="s">
        <v>6694</v>
      </c>
      <c r="M1310" t="s">
        <v>6705</v>
      </c>
      <c r="O1310" t="s">
        <v>6694</v>
      </c>
      <c r="S1310" t="s">
        <v>6694</v>
      </c>
      <c r="W1310" t="s">
        <v>6720</v>
      </c>
    </row>
    <row r="1311" spans="1:23" ht="15.6" x14ac:dyDescent="0.4">
      <c r="A1311" s="2" t="s">
        <v>1937</v>
      </c>
      <c r="B1311" s="5" t="s">
        <v>7778</v>
      </c>
      <c r="C1311" s="7" t="s">
        <v>12556</v>
      </c>
      <c r="D1311" s="8">
        <f t="shared" si="84"/>
        <v>0</v>
      </c>
      <c r="E1311" s="7" t="s">
        <v>12557</v>
      </c>
      <c r="F1311" s="7">
        <f t="shared" si="85"/>
        <v>3</v>
      </c>
      <c r="G1311" s="7" t="s">
        <v>12558</v>
      </c>
      <c r="H1311" s="7">
        <f t="shared" si="86"/>
        <v>1</v>
      </c>
      <c r="I1311" s="7" cm="1">
        <f t="array" ref="I1311">IFERROR(_xlfn.IFS(M1311="נח",1,M1311="נע ונח",1,M1311="שני שווא נח",2,M1311="שני שוואים בסוף מילה",2,M1311="שני שוואים ברצף",1),"0")</f>
        <v>1</v>
      </c>
      <c r="J1311" s="9">
        <f t="shared" si="87"/>
        <v>2</v>
      </c>
      <c r="K1311" t="s">
        <v>6697</v>
      </c>
      <c r="L1311" t="s">
        <v>6694</v>
      </c>
      <c r="M1311" t="s">
        <v>6705</v>
      </c>
      <c r="S1311" t="s">
        <v>6694</v>
      </c>
      <c r="U1311" t="s">
        <v>6694</v>
      </c>
      <c r="W1311" t="s">
        <v>6720</v>
      </c>
    </row>
    <row r="1312" spans="1:23" ht="15.6" x14ac:dyDescent="0.4">
      <c r="A1312" s="2" t="s">
        <v>2933</v>
      </c>
      <c r="B1312" s="5" t="s">
        <v>7802</v>
      </c>
      <c r="C1312" s="7" t="s">
        <v>12556</v>
      </c>
      <c r="D1312" s="8">
        <f t="shared" si="84"/>
        <v>0</v>
      </c>
      <c r="E1312" s="7" t="s">
        <v>12557</v>
      </c>
      <c r="F1312" s="7">
        <f t="shared" si="85"/>
        <v>2</v>
      </c>
      <c r="G1312" s="7" t="s">
        <v>12558</v>
      </c>
      <c r="H1312" s="7">
        <f t="shared" si="86"/>
        <v>0</v>
      </c>
      <c r="I1312" s="7" t="str" cm="1">
        <f t="array" ref="I1312">IFERROR(_xlfn.IFS(M1312="נח",1,M1312="נע ונח",1,M1312="שני שווא נח",2,M1312="שני שוואים בסוף מילה",2,M1312="שני שוואים ברצף",1),"0")</f>
        <v>0</v>
      </c>
      <c r="J1312" s="9">
        <f t="shared" si="87"/>
        <v>2</v>
      </c>
      <c r="K1312" t="s">
        <v>6698</v>
      </c>
      <c r="L1312" t="s">
        <v>6695</v>
      </c>
      <c r="R1312" t="s">
        <v>6694</v>
      </c>
      <c r="S1312" t="s">
        <v>6694</v>
      </c>
      <c r="W1312" t="s">
        <v>6720</v>
      </c>
    </row>
    <row r="1313" spans="1:23" ht="15.6" x14ac:dyDescent="0.4">
      <c r="A1313" s="2" t="s">
        <v>3448</v>
      </c>
      <c r="B1313" s="5" t="s">
        <v>7813</v>
      </c>
      <c r="C1313" s="7" t="s">
        <v>12556</v>
      </c>
      <c r="D1313" s="8">
        <f t="shared" si="84"/>
        <v>0</v>
      </c>
      <c r="E1313" s="7" t="s">
        <v>12557</v>
      </c>
      <c r="F1313" s="7">
        <f t="shared" si="85"/>
        <v>3</v>
      </c>
      <c r="G1313" s="7" t="s">
        <v>12558</v>
      </c>
      <c r="H1313" s="7">
        <f t="shared" si="86"/>
        <v>0</v>
      </c>
      <c r="I1313" s="7" cm="1">
        <f t="array" ref="I1313">IFERROR(_xlfn.IFS(M1313="נח",1,M1313="נע ונח",1,M1313="שני שווא נח",2,M1313="שני שוואים בסוף מילה",2,M1313="שני שוואים ברצף",1),"0")</f>
        <v>1</v>
      </c>
      <c r="J1313" s="9">
        <f t="shared" si="87"/>
        <v>3</v>
      </c>
      <c r="K1313" t="s">
        <v>6697</v>
      </c>
      <c r="L1313" t="s">
        <v>6694</v>
      </c>
      <c r="M1313" t="s">
        <v>6705</v>
      </c>
      <c r="P1313" t="s">
        <v>6694</v>
      </c>
      <c r="S1313" t="s">
        <v>6694</v>
      </c>
      <c r="W1313" t="s">
        <v>6720</v>
      </c>
    </row>
    <row r="1314" spans="1:23" ht="15.6" x14ac:dyDescent="0.4">
      <c r="A1314" s="2" t="s">
        <v>5825</v>
      </c>
      <c r="B1314" s="5" t="s">
        <v>7814</v>
      </c>
      <c r="C1314" s="7" t="s">
        <v>12556</v>
      </c>
      <c r="D1314" s="8">
        <f t="shared" si="84"/>
        <v>0</v>
      </c>
      <c r="E1314" s="7" t="s">
        <v>12557</v>
      </c>
      <c r="F1314" s="7">
        <f t="shared" si="85"/>
        <v>3</v>
      </c>
      <c r="G1314" s="7" t="s">
        <v>12558</v>
      </c>
      <c r="H1314" s="7">
        <f t="shared" si="86"/>
        <v>0</v>
      </c>
      <c r="I1314" s="7" cm="1">
        <f t="array" ref="I1314">IFERROR(_xlfn.IFS(M1314="נח",1,M1314="נע ונח",1,M1314="שני שווא נח",2,M1314="שני שוואים בסוף מילה",2,M1314="שני שוואים ברצף",1),"0")</f>
        <v>1</v>
      </c>
      <c r="J1314" s="9">
        <f t="shared" si="87"/>
        <v>3</v>
      </c>
      <c r="K1314" t="s">
        <v>6698</v>
      </c>
      <c r="L1314" t="s">
        <v>6694</v>
      </c>
      <c r="M1314" t="s">
        <v>6705</v>
      </c>
      <c r="O1314" t="s">
        <v>6694</v>
      </c>
      <c r="P1314" t="s">
        <v>6694</v>
      </c>
      <c r="S1314" t="s">
        <v>6694</v>
      </c>
      <c r="W1314" t="s">
        <v>6720</v>
      </c>
    </row>
    <row r="1315" spans="1:23" ht="15.6" x14ac:dyDescent="0.4">
      <c r="A1315" s="2" t="s">
        <v>3398</v>
      </c>
      <c r="B1315" s="5" t="s">
        <v>7815</v>
      </c>
      <c r="C1315" s="7" t="s">
        <v>12556</v>
      </c>
      <c r="D1315" s="8">
        <f t="shared" si="84"/>
        <v>0</v>
      </c>
      <c r="E1315" s="7" t="s">
        <v>12557</v>
      </c>
      <c r="F1315" s="7">
        <f t="shared" si="85"/>
        <v>2</v>
      </c>
      <c r="G1315" s="7" t="s">
        <v>12558</v>
      </c>
      <c r="H1315" s="7">
        <f t="shared" si="86"/>
        <v>0</v>
      </c>
      <c r="I1315" s="7" t="str" cm="1">
        <f t="array" ref="I1315">IFERROR(_xlfn.IFS(M1315="נח",1,M1315="נע ונח",1,M1315="שני שווא נח",2,M1315="שני שוואים בסוף מילה",2,M1315="שני שוואים ברצף",1),"0")</f>
        <v>0</v>
      </c>
      <c r="J1315" s="9">
        <f t="shared" si="87"/>
        <v>2</v>
      </c>
      <c r="K1315" t="s">
        <v>6698</v>
      </c>
      <c r="L1315" t="s">
        <v>6695</v>
      </c>
      <c r="P1315" t="s">
        <v>6694</v>
      </c>
      <c r="S1315" t="s">
        <v>6694</v>
      </c>
      <c r="W1315" t="s">
        <v>6720</v>
      </c>
    </row>
    <row r="1316" spans="1:23" ht="15.6" x14ac:dyDescent="0.4">
      <c r="A1316" s="2" t="s">
        <v>4706</v>
      </c>
      <c r="B1316" s="5" t="s">
        <v>7816</v>
      </c>
      <c r="C1316" s="7" t="s">
        <v>12556</v>
      </c>
      <c r="D1316" s="8">
        <f t="shared" si="84"/>
        <v>0</v>
      </c>
      <c r="E1316" s="7" t="s">
        <v>12557</v>
      </c>
      <c r="F1316" s="7">
        <f t="shared" si="85"/>
        <v>1</v>
      </c>
      <c r="G1316" s="7" t="s">
        <v>12558</v>
      </c>
      <c r="H1316" s="7">
        <f t="shared" si="86"/>
        <v>0</v>
      </c>
      <c r="I1316" s="7" t="str" cm="1">
        <f t="array" ref="I1316">IFERROR(_xlfn.IFS(M1316="נח",1,M1316="נע ונח",1,M1316="שני שווא נח",2,M1316="שני שוואים בסוף מילה",2,M1316="שני שוואים ברצף",1),"0")</f>
        <v>0</v>
      </c>
      <c r="J1316" s="9">
        <f t="shared" si="87"/>
        <v>1</v>
      </c>
      <c r="K1316" t="s">
        <v>6698</v>
      </c>
      <c r="L1316" t="s">
        <v>6695</v>
      </c>
      <c r="S1316" t="s">
        <v>6694</v>
      </c>
      <c r="W1316" t="s">
        <v>6720</v>
      </c>
    </row>
    <row r="1317" spans="1:23" ht="15.6" x14ac:dyDescent="0.4">
      <c r="A1317" s="2" t="s">
        <v>6415</v>
      </c>
      <c r="B1317" s="5" t="s">
        <v>7817</v>
      </c>
      <c r="C1317" s="7" t="s">
        <v>12556</v>
      </c>
      <c r="D1317" s="8">
        <f t="shared" si="84"/>
        <v>0</v>
      </c>
      <c r="E1317" s="7" t="s">
        <v>12557</v>
      </c>
      <c r="F1317" s="7">
        <f t="shared" si="85"/>
        <v>2</v>
      </c>
      <c r="G1317" s="7" t="s">
        <v>12558</v>
      </c>
      <c r="H1317" s="7">
        <f t="shared" si="86"/>
        <v>0</v>
      </c>
      <c r="I1317" s="7" t="str" cm="1">
        <f t="array" ref="I1317">IFERROR(_xlfn.IFS(M1317="נח",1,M1317="נע ונח",1,M1317="שני שווא נח",2,M1317="שני שוואים בסוף מילה",2,M1317="שני שוואים ברצף",1),"0")</f>
        <v>0</v>
      </c>
      <c r="J1317" s="9">
        <f t="shared" si="87"/>
        <v>3</v>
      </c>
      <c r="K1317" t="s">
        <v>6698</v>
      </c>
      <c r="L1317" t="s">
        <v>6695</v>
      </c>
      <c r="O1317" t="s">
        <v>6694</v>
      </c>
      <c r="S1317" t="s">
        <v>6694</v>
      </c>
      <c r="W1317" t="s">
        <v>6720</v>
      </c>
    </row>
    <row r="1318" spans="1:23" ht="15.6" x14ac:dyDescent="0.4">
      <c r="A1318" s="2" t="s">
        <v>5602</v>
      </c>
      <c r="B1318" s="5" t="s">
        <v>7818</v>
      </c>
      <c r="C1318" s="7" t="s">
        <v>12556</v>
      </c>
      <c r="D1318" s="8">
        <f t="shared" si="84"/>
        <v>0</v>
      </c>
      <c r="E1318" s="7" t="s">
        <v>12557</v>
      </c>
      <c r="F1318" s="7">
        <f t="shared" si="85"/>
        <v>2</v>
      </c>
      <c r="G1318" s="7" t="s">
        <v>12558</v>
      </c>
      <c r="H1318" s="7">
        <f t="shared" si="86"/>
        <v>0</v>
      </c>
      <c r="I1318" s="7" t="str" cm="1">
        <f t="array" ref="I1318">IFERROR(_xlfn.IFS(M1318="נח",1,M1318="נע ונח",1,M1318="שני שווא נח",2,M1318="שני שוואים בסוף מילה",2,M1318="שני שוואים ברצף",1),"0")</f>
        <v>0</v>
      </c>
      <c r="J1318" s="9">
        <f t="shared" si="87"/>
        <v>2</v>
      </c>
      <c r="K1318" t="s">
        <v>6697</v>
      </c>
      <c r="L1318" t="s">
        <v>6695</v>
      </c>
      <c r="O1318" t="s">
        <v>6694</v>
      </c>
      <c r="S1318" t="s">
        <v>6694</v>
      </c>
      <c r="W1318" t="s">
        <v>6720</v>
      </c>
    </row>
    <row r="1319" spans="1:23" ht="15.6" x14ac:dyDescent="0.4">
      <c r="A1319" s="2" t="s">
        <v>2129</v>
      </c>
      <c r="B1319" s="5" t="s">
        <v>7819</v>
      </c>
      <c r="C1319" s="7" t="s">
        <v>12556</v>
      </c>
      <c r="D1319" s="8">
        <f t="shared" si="84"/>
        <v>0</v>
      </c>
      <c r="E1319" s="7" t="s">
        <v>12557</v>
      </c>
      <c r="F1319" s="7">
        <f t="shared" si="85"/>
        <v>1</v>
      </c>
      <c r="G1319" s="7" t="s">
        <v>12558</v>
      </c>
      <c r="H1319" s="7">
        <f t="shared" si="86"/>
        <v>0</v>
      </c>
      <c r="I1319" s="7" cm="1">
        <f t="array" ref="I1319">IFERROR(_xlfn.IFS(M1319="נח",1,M1319="נע ונח",1,M1319="שני שווא נח",2,M1319="שני שוואים בסוף מילה",2,M1319="שני שוואים ברצף",1),"0")</f>
        <v>1</v>
      </c>
      <c r="J1319" s="9">
        <f t="shared" si="87"/>
        <v>3</v>
      </c>
      <c r="K1319" t="s">
        <v>6697</v>
      </c>
      <c r="L1319" t="s">
        <v>6694</v>
      </c>
      <c r="M1319" t="s">
        <v>6705</v>
      </c>
      <c r="S1319" t="s">
        <v>6694</v>
      </c>
      <c r="V1319" t="s">
        <v>6694</v>
      </c>
      <c r="W1319" t="s">
        <v>6720</v>
      </c>
    </row>
    <row r="1320" spans="1:23" ht="15.6" x14ac:dyDescent="0.4">
      <c r="A1320" s="2" t="s">
        <v>352</v>
      </c>
      <c r="B1320" s="5" t="s">
        <v>7820</v>
      </c>
      <c r="C1320" s="7" t="s">
        <v>12556</v>
      </c>
      <c r="D1320" s="8">
        <f t="shared" si="84"/>
        <v>0</v>
      </c>
      <c r="E1320" s="7" t="s">
        <v>12557</v>
      </c>
      <c r="F1320" s="7">
        <f t="shared" si="85"/>
        <v>1</v>
      </c>
      <c r="G1320" s="7" t="s">
        <v>12558</v>
      </c>
      <c r="H1320" s="7">
        <f t="shared" si="86"/>
        <v>0</v>
      </c>
      <c r="I1320" s="7" cm="1">
        <f t="array" ref="I1320">IFERROR(_xlfn.IFS(M1320="נח",1,M1320="נע ונח",1,M1320="שני שווא נח",2,M1320="שני שוואים בסוף מילה",2,M1320="שני שוואים ברצף",1),"0")</f>
        <v>1</v>
      </c>
      <c r="J1320" s="9">
        <f t="shared" si="87"/>
        <v>2</v>
      </c>
      <c r="K1320" t="s">
        <v>6697</v>
      </c>
      <c r="L1320" t="s">
        <v>6694</v>
      </c>
      <c r="M1320" t="s">
        <v>6705</v>
      </c>
      <c r="O1320" t="s">
        <v>6694</v>
      </c>
      <c r="S1320" t="s">
        <v>6694</v>
      </c>
      <c r="W1320" t="s">
        <v>6720</v>
      </c>
    </row>
    <row r="1321" spans="1:23" ht="15.6" x14ac:dyDescent="0.4">
      <c r="A1321" s="2" t="s">
        <v>3478</v>
      </c>
      <c r="B1321" s="5" t="s">
        <v>7786</v>
      </c>
      <c r="C1321" s="7" t="s">
        <v>12556</v>
      </c>
      <c r="D1321" s="8">
        <f t="shared" si="84"/>
        <v>0</v>
      </c>
      <c r="E1321" s="7" t="s">
        <v>12557</v>
      </c>
      <c r="F1321" s="7">
        <f t="shared" si="85"/>
        <v>1</v>
      </c>
      <c r="G1321" s="7" t="s">
        <v>12558</v>
      </c>
      <c r="H1321" s="7">
        <f t="shared" si="86"/>
        <v>0</v>
      </c>
      <c r="I1321" s="7" cm="1">
        <f t="array" ref="I1321">IFERROR(_xlfn.IFS(M1321="נח",1,M1321="נע ונח",1,M1321="שני שווא נח",2,M1321="שני שוואים בסוף מילה",2,M1321="שני שוואים ברצף",1),"0")</f>
        <v>1</v>
      </c>
      <c r="J1321" s="9">
        <f t="shared" si="87"/>
        <v>3</v>
      </c>
      <c r="K1321" t="s">
        <v>6697</v>
      </c>
      <c r="L1321" t="s">
        <v>6694</v>
      </c>
      <c r="M1321" t="s">
        <v>6705</v>
      </c>
      <c r="O1321" t="s">
        <v>6694</v>
      </c>
      <c r="S1321" t="s">
        <v>6694</v>
      </c>
      <c r="W1321" t="s">
        <v>6720</v>
      </c>
    </row>
    <row r="1322" spans="1:23" ht="15.6" x14ac:dyDescent="0.4">
      <c r="A1322" s="2" t="s">
        <v>5339</v>
      </c>
      <c r="B1322" s="5" t="s">
        <v>7821</v>
      </c>
      <c r="C1322" s="7" t="s">
        <v>12556</v>
      </c>
      <c r="D1322" s="8">
        <f t="shared" si="84"/>
        <v>0</v>
      </c>
      <c r="E1322" s="7" t="s">
        <v>12557</v>
      </c>
      <c r="F1322" s="7">
        <f t="shared" si="85"/>
        <v>2</v>
      </c>
      <c r="G1322" s="7" t="s">
        <v>12558</v>
      </c>
      <c r="H1322" s="7">
        <f t="shared" si="86"/>
        <v>0</v>
      </c>
      <c r="I1322" s="7" t="str" cm="1">
        <f t="array" ref="I1322">IFERROR(_xlfn.IFS(M1322="נח",1,M1322="נע ונח",1,M1322="שני שווא נח",2,M1322="שני שוואים בסוף מילה",2,M1322="שני שוואים ברצף",1),"0")</f>
        <v>0</v>
      </c>
      <c r="J1322" s="9">
        <f t="shared" si="87"/>
        <v>3</v>
      </c>
      <c r="K1322" t="s">
        <v>6698</v>
      </c>
      <c r="L1322" t="s">
        <v>6695</v>
      </c>
      <c r="O1322" t="s">
        <v>6694</v>
      </c>
      <c r="S1322" t="s">
        <v>6694</v>
      </c>
      <c r="W1322" t="s">
        <v>6720</v>
      </c>
    </row>
    <row r="1323" spans="1:23" ht="15.6" x14ac:dyDescent="0.4">
      <c r="A1323" s="2" t="s">
        <v>1613</v>
      </c>
      <c r="B1323" s="5" t="s">
        <v>7822</v>
      </c>
      <c r="C1323" s="7" t="s">
        <v>12556</v>
      </c>
      <c r="D1323" s="8">
        <f t="shared" si="84"/>
        <v>1</v>
      </c>
      <c r="E1323" s="7" t="s">
        <v>12557</v>
      </c>
      <c r="F1323" s="7">
        <f t="shared" si="85"/>
        <v>2</v>
      </c>
      <c r="G1323" s="7" t="s">
        <v>12558</v>
      </c>
      <c r="H1323" s="7">
        <f t="shared" si="86"/>
        <v>1</v>
      </c>
      <c r="I1323" s="7" cm="1">
        <f t="array" ref="I1323">IFERROR(_xlfn.IFS(M1323="נח",1,M1323="נע ונח",1,M1323="שני שווא נח",2,M1323="שני שוואים בסוף מילה",2,M1323="שני שוואים ברצף",1),"0")</f>
        <v>1</v>
      </c>
      <c r="J1323" s="9">
        <f t="shared" si="87"/>
        <v>2</v>
      </c>
      <c r="K1323" t="s">
        <v>6697</v>
      </c>
      <c r="L1323" t="s">
        <v>6694</v>
      </c>
      <c r="M1323" t="s">
        <v>6705</v>
      </c>
      <c r="S1323" t="s">
        <v>6694</v>
      </c>
      <c r="U1323" t="s">
        <v>6694</v>
      </c>
      <c r="W1323" t="s">
        <v>6720</v>
      </c>
    </row>
    <row r="1324" spans="1:23" ht="15.6" x14ac:dyDescent="0.4">
      <c r="A1324" s="2" t="s">
        <v>5918</v>
      </c>
      <c r="B1324" s="5" t="s">
        <v>7823</v>
      </c>
      <c r="C1324" s="7" t="s">
        <v>12556</v>
      </c>
      <c r="D1324" s="8">
        <f t="shared" si="84"/>
        <v>1</v>
      </c>
      <c r="E1324" s="7" t="s">
        <v>12557</v>
      </c>
      <c r="F1324" s="7">
        <f t="shared" si="85"/>
        <v>1</v>
      </c>
      <c r="G1324" s="7" t="s">
        <v>12558</v>
      </c>
      <c r="H1324" s="7">
        <f t="shared" si="86"/>
        <v>0</v>
      </c>
      <c r="I1324" s="7" cm="1">
        <f t="array" ref="I1324">IFERROR(_xlfn.IFS(M1324="נח",1,M1324="נע ונח",1,M1324="שני שווא נח",2,M1324="שני שוואים בסוף מילה",2,M1324="שני שוואים ברצף",1),"0")</f>
        <v>1</v>
      </c>
      <c r="J1324" s="9">
        <f t="shared" si="87"/>
        <v>2</v>
      </c>
      <c r="K1324" t="s">
        <v>6698</v>
      </c>
      <c r="L1324" t="s">
        <v>6694</v>
      </c>
      <c r="M1324" t="s">
        <v>6705</v>
      </c>
      <c r="Q1324" t="s">
        <v>6694</v>
      </c>
      <c r="S1324" t="s">
        <v>6694</v>
      </c>
      <c r="W1324" t="s">
        <v>6720</v>
      </c>
    </row>
    <row r="1325" spans="1:23" ht="15.6" x14ac:dyDescent="0.4">
      <c r="A1325" s="2" t="s">
        <v>792</v>
      </c>
      <c r="B1325" s="5" t="s">
        <v>7824</v>
      </c>
      <c r="C1325" s="7" t="s">
        <v>12556</v>
      </c>
      <c r="D1325" s="8">
        <f t="shared" si="84"/>
        <v>1</v>
      </c>
      <c r="E1325" s="7" t="s">
        <v>12557</v>
      </c>
      <c r="F1325" s="7">
        <f t="shared" si="85"/>
        <v>3</v>
      </c>
      <c r="G1325" s="7" t="s">
        <v>12558</v>
      </c>
      <c r="H1325" s="7">
        <f t="shared" si="86"/>
        <v>0</v>
      </c>
      <c r="I1325" s="7" cm="1">
        <f t="array" ref="I1325">IFERROR(_xlfn.IFS(M1325="נח",1,M1325="נע ונח",1,M1325="שני שווא נח",2,M1325="שני שוואים בסוף מילה",2,M1325="שני שוואים ברצף",1),"0")</f>
        <v>1</v>
      </c>
      <c r="J1325" s="9">
        <f t="shared" si="87"/>
        <v>3</v>
      </c>
      <c r="K1325" t="s">
        <v>6698</v>
      </c>
      <c r="L1325" t="s">
        <v>6694</v>
      </c>
      <c r="M1325" t="s">
        <v>6705</v>
      </c>
      <c r="O1325" t="s">
        <v>6694</v>
      </c>
      <c r="P1325" t="s">
        <v>6694</v>
      </c>
      <c r="S1325" t="s">
        <v>6694</v>
      </c>
      <c r="W1325" t="s">
        <v>6720</v>
      </c>
    </row>
    <row r="1326" spans="1:23" ht="15.6" x14ac:dyDescent="0.4">
      <c r="A1326" s="2" t="s">
        <v>5411</v>
      </c>
      <c r="B1326" s="5" t="s">
        <v>7825</v>
      </c>
      <c r="C1326" s="7" t="s">
        <v>12556</v>
      </c>
      <c r="D1326" s="8">
        <f t="shared" si="84"/>
        <v>0</v>
      </c>
      <c r="E1326" s="7" t="s">
        <v>12557</v>
      </c>
      <c r="F1326" s="7">
        <f t="shared" si="85"/>
        <v>1</v>
      </c>
      <c r="G1326" s="7" t="s">
        <v>12558</v>
      </c>
      <c r="H1326" s="7">
        <f t="shared" si="86"/>
        <v>0</v>
      </c>
      <c r="I1326" s="7" t="str" cm="1">
        <f t="array" ref="I1326">IFERROR(_xlfn.IFS(M1326="נח",1,M1326="נע ונח",1,M1326="שני שווא נח",2,M1326="שני שוואים בסוף מילה",2,M1326="שני שוואים ברצף",1),"0")</f>
        <v>0</v>
      </c>
      <c r="J1326" s="9">
        <f t="shared" si="87"/>
        <v>2</v>
      </c>
      <c r="K1326" t="s">
        <v>6697</v>
      </c>
      <c r="L1326" t="s">
        <v>6695</v>
      </c>
      <c r="O1326" t="s">
        <v>6694</v>
      </c>
      <c r="Q1326" t="s">
        <v>6694</v>
      </c>
      <c r="W1326" t="s">
        <v>6720</v>
      </c>
    </row>
    <row r="1327" spans="1:23" ht="15.6" x14ac:dyDescent="0.4">
      <c r="A1327" s="2" t="s">
        <v>197</v>
      </c>
      <c r="B1327" s="5" t="s">
        <v>7787</v>
      </c>
      <c r="C1327" s="7" t="s">
        <v>12556</v>
      </c>
      <c r="D1327" s="8">
        <f t="shared" si="84"/>
        <v>0</v>
      </c>
      <c r="E1327" s="7" t="s">
        <v>12557</v>
      </c>
      <c r="F1327" s="7">
        <f t="shared" si="85"/>
        <v>1</v>
      </c>
      <c r="G1327" s="7" t="s">
        <v>12558</v>
      </c>
      <c r="H1327" s="7">
        <f t="shared" si="86"/>
        <v>0</v>
      </c>
      <c r="I1327" s="7" cm="1">
        <f t="array" ref="I1327">IFERROR(_xlfn.IFS(M1327="נח",1,M1327="נע ונח",1,M1327="שני שווא נח",2,M1327="שני שוואים בסוף מילה",2,M1327="שני שוואים ברצף",1),"0")</f>
        <v>1</v>
      </c>
      <c r="J1327" s="9">
        <f t="shared" si="87"/>
        <v>2</v>
      </c>
      <c r="K1327" t="s">
        <v>6698</v>
      </c>
      <c r="L1327" t="s">
        <v>6694</v>
      </c>
      <c r="M1327" t="s">
        <v>6705</v>
      </c>
      <c r="R1327" t="s">
        <v>6694</v>
      </c>
      <c r="W1327" t="s">
        <v>6720</v>
      </c>
    </row>
    <row r="1328" spans="1:23" ht="15.6" x14ac:dyDescent="0.4">
      <c r="A1328" s="2" t="s">
        <v>606</v>
      </c>
      <c r="B1328" s="5" t="s">
        <v>7826</v>
      </c>
      <c r="C1328" s="7" t="s">
        <v>12556</v>
      </c>
      <c r="D1328" s="8">
        <f t="shared" si="84"/>
        <v>1</v>
      </c>
      <c r="E1328" s="7" t="s">
        <v>12557</v>
      </c>
      <c r="F1328" s="7">
        <f t="shared" si="85"/>
        <v>1</v>
      </c>
      <c r="G1328" s="7" t="s">
        <v>12558</v>
      </c>
      <c r="H1328" s="7">
        <f t="shared" si="86"/>
        <v>0</v>
      </c>
      <c r="I1328" s="7" t="str" cm="1">
        <f t="array" ref="I1328">IFERROR(_xlfn.IFS(M1328="נח",1,M1328="נע ונח",1,M1328="שני שווא נח",2,M1328="שני שוואים בסוף מילה",2,M1328="שני שוואים ברצף",1),"0")</f>
        <v>0</v>
      </c>
      <c r="J1328" s="9">
        <f t="shared" si="87"/>
        <v>2</v>
      </c>
      <c r="K1328" t="s">
        <v>6697</v>
      </c>
      <c r="L1328" t="s">
        <v>6695</v>
      </c>
      <c r="R1328" t="s">
        <v>6694</v>
      </c>
      <c r="W1328" t="s">
        <v>6720</v>
      </c>
    </row>
    <row r="1329" spans="1:23" ht="15.6" x14ac:dyDescent="0.4">
      <c r="A1329" s="2" t="s">
        <v>1720</v>
      </c>
      <c r="B1329" s="5" t="s">
        <v>7827</v>
      </c>
      <c r="C1329" s="7" t="s">
        <v>12556</v>
      </c>
      <c r="D1329" s="8">
        <f t="shared" si="84"/>
        <v>0</v>
      </c>
      <c r="E1329" s="7" t="s">
        <v>12557</v>
      </c>
      <c r="F1329" s="7">
        <f t="shared" si="85"/>
        <v>1</v>
      </c>
      <c r="G1329" s="7" t="s">
        <v>12558</v>
      </c>
      <c r="H1329" s="7">
        <f t="shared" si="86"/>
        <v>0</v>
      </c>
      <c r="I1329" s="7" t="str" cm="1">
        <f t="array" ref="I1329">IFERROR(_xlfn.IFS(M1329="נח",1,M1329="נע ונח",1,M1329="שני שווא נח",2,M1329="שני שוואים בסוף מילה",2,M1329="שני שוואים ברצף",1),"0")</f>
        <v>0</v>
      </c>
      <c r="J1329" s="9">
        <f t="shared" si="87"/>
        <v>2</v>
      </c>
      <c r="K1329" t="s">
        <v>6697</v>
      </c>
      <c r="L1329" t="s">
        <v>6695</v>
      </c>
      <c r="P1329" t="s">
        <v>6694</v>
      </c>
      <c r="V1329" t="s">
        <v>6694</v>
      </c>
      <c r="W1329" t="s">
        <v>6720</v>
      </c>
    </row>
    <row r="1330" spans="1:23" ht="15.6" x14ac:dyDescent="0.4">
      <c r="A1330" s="2" t="s">
        <v>5693</v>
      </c>
      <c r="B1330" s="5" t="s">
        <v>7828</v>
      </c>
      <c r="C1330" s="7" t="s">
        <v>12556</v>
      </c>
      <c r="D1330" s="8">
        <f t="shared" si="84"/>
        <v>0</v>
      </c>
      <c r="E1330" s="7" t="s">
        <v>12557</v>
      </c>
      <c r="F1330" s="7">
        <f t="shared" si="85"/>
        <v>1</v>
      </c>
      <c r="G1330" s="7" t="s">
        <v>12558</v>
      </c>
      <c r="H1330" s="7">
        <f t="shared" si="86"/>
        <v>0</v>
      </c>
      <c r="I1330" s="7" cm="1">
        <f t="array" ref="I1330">IFERROR(_xlfn.IFS(M1330="נח",1,M1330="נע ונח",1,M1330="שני שווא נח",2,M1330="שני שוואים בסוף מילה",2,M1330="שני שוואים ברצף",1),"0")</f>
        <v>1</v>
      </c>
      <c r="J1330" s="9">
        <f t="shared" si="87"/>
        <v>1</v>
      </c>
      <c r="K1330" t="s">
        <v>6698</v>
      </c>
      <c r="L1330" t="s">
        <v>6694</v>
      </c>
      <c r="M1330" t="s">
        <v>6705</v>
      </c>
      <c r="P1330" t="s">
        <v>6694</v>
      </c>
      <c r="W1330" t="s">
        <v>6720</v>
      </c>
    </row>
    <row r="1331" spans="1:23" ht="15.6" x14ac:dyDescent="0.4">
      <c r="A1331" s="2" t="s">
        <v>3108</v>
      </c>
      <c r="B1331" s="5" t="s">
        <v>7788</v>
      </c>
      <c r="C1331" s="7" t="s">
        <v>12556</v>
      </c>
      <c r="D1331" s="8">
        <f t="shared" si="84"/>
        <v>0</v>
      </c>
      <c r="E1331" s="7" t="s">
        <v>12557</v>
      </c>
      <c r="F1331" s="7">
        <f t="shared" si="85"/>
        <v>1</v>
      </c>
      <c r="G1331" s="7" t="s">
        <v>12558</v>
      </c>
      <c r="H1331" s="7">
        <f t="shared" si="86"/>
        <v>0</v>
      </c>
      <c r="I1331" s="7" t="str" cm="1">
        <f t="array" ref="I1331">IFERROR(_xlfn.IFS(M1331="נח",1,M1331="נע ונח",1,M1331="שני שווא נח",2,M1331="שני שוואים בסוף מילה",2,M1331="שני שוואים ברצף",1),"0")</f>
        <v>0</v>
      </c>
      <c r="J1331" s="9">
        <f t="shared" si="87"/>
        <v>1</v>
      </c>
      <c r="K1331" t="s">
        <v>6698</v>
      </c>
      <c r="L1331" t="s">
        <v>6695</v>
      </c>
      <c r="P1331" t="s">
        <v>6694</v>
      </c>
      <c r="W1331" t="s">
        <v>6720</v>
      </c>
    </row>
    <row r="1332" spans="1:23" ht="15.6" x14ac:dyDescent="0.4">
      <c r="A1332" s="2" t="s">
        <v>1556</v>
      </c>
      <c r="B1332" s="5" t="s">
        <v>7829</v>
      </c>
      <c r="C1332" s="7" t="s">
        <v>12556</v>
      </c>
      <c r="D1332" s="8">
        <f t="shared" si="84"/>
        <v>0</v>
      </c>
      <c r="E1332" s="7" t="s">
        <v>12557</v>
      </c>
      <c r="F1332" s="7">
        <f t="shared" si="85"/>
        <v>1</v>
      </c>
      <c r="G1332" s="7" t="s">
        <v>12558</v>
      </c>
      <c r="H1332" s="7">
        <f t="shared" si="86"/>
        <v>0</v>
      </c>
      <c r="I1332" s="7" cm="1">
        <f t="array" ref="I1332">IFERROR(_xlfn.IFS(M1332="נח",1,M1332="נע ונח",1,M1332="שני שווא נח",2,M1332="שני שוואים בסוף מילה",2,M1332="שני שוואים ברצף",1),"0")</f>
        <v>1</v>
      </c>
      <c r="J1332" s="9">
        <f t="shared" si="87"/>
        <v>2</v>
      </c>
      <c r="K1332" t="s">
        <v>6698</v>
      </c>
      <c r="L1332" t="s">
        <v>6694</v>
      </c>
      <c r="M1332" t="s">
        <v>6705</v>
      </c>
      <c r="P1332" t="s">
        <v>6694</v>
      </c>
      <c r="V1332" t="s">
        <v>6694</v>
      </c>
      <c r="W1332" t="s">
        <v>6720</v>
      </c>
    </row>
    <row r="1333" spans="1:23" ht="15.6" x14ac:dyDescent="0.4">
      <c r="A1333" s="2" t="s">
        <v>343</v>
      </c>
      <c r="B1333" s="5" t="s">
        <v>7790</v>
      </c>
      <c r="C1333" s="7" t="s">
        <v>12556</v>
      </c>
      <c r="D1333" s="8">
        <f t="shared" si="84"/>
        <v>0</v>
      </c>
      <c r="E1333" s="7" t="s">
        <v>12557</v>
      </c>
      <c r="F1333" s="7">
        <f t="shared" si="85"/>
        <v>2</v>
      </c>
      <c r="G1333" s="7" t="s">
        <v>12558</v>
      </c>
      <c r="H1333" s="7">
        <f t="shared" si="86"/>
        <v>0</v>
      </c>
      <c r="I1333" s="7" t="str" cm="1">
        <f t="array" ref="I1333">IFERROR(_xlfn.IFS(M1333="נח",1,M1333="נע ונח",1,M1333="שני שווא נח",2,M1333="שני שוואים בסוף מילה",2,M1333="שני שוואים ברצף",1),"0")</f>
        <v>0</v>
      </c>
      <c r="J1333" s="9">
        <f t="shared" si="87"/>
        <v>3</v>
      </c>
      <c r="K1333" t="s">
        <v>6697</v>
      </c>
      <c r="L1333" t="s">
        <v>6695</v>
      </c>
      <c r="P1333" t="s">
        <v>6694</v>
      </c>
      <c r="S1333" t="s">
        <v>6694</v>
      </c>
      <c r="V1333" t="s">
        <v>6694</v>
      </c>
      <c r="W1333" t="s">
        <v>6720</v>
      </c>
    </row>
    <row r="1334" spans="1:23" ht="15.6" x14ac:dyDescent="0.4">
      <c r="A1334" s="2" t="s">
        <v>5481</v>
      </c>
      <c r="B1334" s="5" t="s">
        <v>7830</v>
      </c>
      <c r="C1334" s="7" t="s">
        <v>12556</v>
      </c>
      <c r="D1334" s="8">
        <f t="shared" si="84"/>
        <v>0</v>
      </c>
      <c r="E1334" s="7" t="s">
        <v>12557</v>
      </c>
      <c r="F1334" s="7">
        <f t="shared" si="85"/>
        <v>1</v>
      </c>
      <c r="G1334" s="7" t="s">
        <v>12558</v>
      </c>
      <c r="H1334" s="7">
        <f t="shared" si="86"/>
        <v>0</v>
      </c>
      <c r="I1334" s="7" t="str" cm="1">
        <f t="array" ref="I1334">IFERROR(_xlfn.IFS(M1334="נח",1,M1334="נע ונח",1,M1334="שני שווא נח",2,M1334="שני שוואים בסוף מילה",2,M1334="שני שוואים ברצף",1),"0")</f>
        <v>0</v>
      </c>
      <c r="J1334" s="9">
        <f t="shared" si="87"/>
        <v>1</v>
      </c>
      <c r="K1334" t="s">
        <v>6698</v>
      </c>
      <c r="L1334" t="s">
        <v>6695</v>
      </c>
      <c r="P1334" t="s">
        <v>6694</v>
      </c>
      <c r="W1334" t="s">
        <v>6720</v>
      </c>
    </row>
    <row r="1335" spans="1:23" ht="15.6" x14ac:dyDescent="0.4">
      <c r="A1335" s="2" t="s">
        <v>2009</v>
      </c>
      <c r="B1335" s="5" t="s">
        <v>7781</v>
      </c>
      <c r="C1335" s="7" t="s">
        <v>12556</v>
      </c>
      <c r="D1335" s="8">
        <f t="shared" si="84"/>
        <v>0</v>
      </c>
      <c r="E1335" s="7" t="s">
        <v>12557</v>
      </c>
      <c r="F1335" s="7">
        <f t="shared" si="85"/>
        <v>1</v>
      </c>
      <c r="G1335" s="7" t="s">
        <v>12558</v>
      </c>
      <c r="H1335" s="7">
        <f t="shared" si="86"/>
        <v>0</v>
      </c>
      <c r="I1335" s="7" cm="1">
        <f t="array" ref="I1335">IFERROR(_xlfn.IFS(M1335="נח",1,M1335="נע ונח",1,M1335="שני שווא נח",2,M1335="שני שוואים בסוף מילה",2,M1335="שני שוואים ברצף",1),"0")</f>
        <v>1</v>
      </c>
      <c r="J1335" s="9">
        <f t="shared" si="87"/>
        <v>2</v>
      </c>
      <c r="K1335" t="s">
        <v>6698</v>
      </c>
      <c r="L1335" t="s">
        <v>6694</v>
      </c>
      <c r="M1335" t="s">
        <v>6705</v>
      </c>
      <c r="P1335" t="s">
        <v>6694</v>
      </c>
      <c r="Q1335" t="s">
        <v>6694</v>
      </c>
      <c r="W1335" t="s">
        <v>6720</v>
      </c>
    </row>
    <row r="1336" spans="1:23" ht="15.6" x14ac:dyDescent="0.4">
      <c r="A1336" s="2" t="s">
        <v>6189</v>
      </c>
      <c r="B1336" s="5" t="s">
        <v>7781</v>
      </c>
      <c r="C1336" s="7" t="s">
        <v>12556</v>
      </c>
      <c r="D1336" s="8">
        <f t="shared" si="84"/>
        <v>0</v>
      </c>
      <c r="E1336" s="7" t="s">
        <v>12557</v>
      </c>
      <c r="F1336" s="7">
        <f t="shared" si="85"/>
        <v>2</v>
      </c>
      <c r="G1336" s="7" t="s">
        <v>12558</v>
      </c>
      <c r="H1336" s="7">
        <f t="shared" si="86"/>
        <v>0</v>
      </c>
      <c r="I1336" s="7" cm="1">
        <f t="array" ref="I1336">IFERROR(_xlfn.IFS(M1336="נח",1,M1336="נע ונח",1,M1336="שני שווא נח",2,M1336="שני שוואים בסוף מילה",2,M1336="שני שוואים ברצף",1),"0")</f>
        <v>1</v>
      </c>
      <c r="J1336" s="9">
        <f t="shared" si="87"/>
        <v>2</v>
      </c>
      <c r="K1336" t="s">
        <v>6697</v>
      </c>
      <c r="L1336" t="s">
        <v>6694</v>
      </c>
      <c r="M1336" t="s">
        <v>6705</v>
      </c>
      <c r="P1336" t="s">
        <v>6694</v>
      </c>
      <c r="S1336" t="s">
        <v>6694</v>
      </c>
      <c r="W1336" t="s">
        <v>6720</v>
      </c>
    </row>
    <row r="1337" spans="1:23" ht="15.6" x14ac:dyDescent="0.4">
      <c r="A1337" s="2" t="s">
        <v>2480</v>
      </c>
      <c r="B1337" s="5" t="s">
        <v>7831</v>
      </c>
      <c r="C1337" s="7" t="s">
        <v>12556</v>
      </c>
      <c r="D1337" s="8">
        <f t="shared" si="84"/>
        <v>0</v>
      </c>
      <c r="E1337" s="7" t="s">
        <v>12557</v>
      </c>
      <c r="F1337" s="7">
        <f t="shared" si="85"/>
        <v>2</v>
      </c>
      <c r="G1337" s="7" t="s">
        <v>12558</v>
      </c>
      <c r="H1337" s="7">
        <f t="shared" si="86"/>
        <v>0</v>
      </c>
      <c r="I1337" s="7" cm="1">
        <f t="array" ref="I1337">IFERROR(_xlfn.IFS(M1337="נח",1,M1337="נע ונח",1,M1337="שני שווא נח",2,M1337="שני שוואים בסוף מילה",2,M1337="שני שוואים ברצף",1),"0")</f>
        <v>1</v>
      </c>
      <c r="J1337" s="9">
        <f t="shared" si="87"/>
        <v>3</v>
      </c>
      <c r="K1337" t="s">
        <v>6697</v>
      </c>
      <c r="L1337" t="s">
        <v>6694</v>
      </c>
      <c r="M1337" t="s">
        <v>6705</v>
      </c>
      <c r="O1337" t="s">
        <v>6694</v>
      </c>
      <c r="P1337" t="s">
        <v>6694</v>
      </c>
      <c r="R1337" t="s">
        <v>6694</v>
      </c>
      <c r="W1337" t="s">
        <v>6720</v>
      </c>
    </row>
    <row r="1338" spans="1:23" ht="15.6" x14ac:dyDescent="0.4">
      <c r="A1338" s="2" t="s">
        <v>2035</v>
      </c>
      <c r="B1338" s="5" t="s">
        <v>7832</v>
      </c>
      <c r="C1338" s="7" t="s">
        <v>12556</v>
      </c>
      <c r="D1338" s="8">
        <f t="shared" si="84"/>
        <v>0</v>
      </c>
      <c r="E1338" s="7" t="s">
        <v>12557</v>
      </c>
      <c r="F1338" s="7">
        <f t="shared" si="85"/>
        <v>2</v>
      </c>
      <c r="G1338" s="7" t="s">
        <v>12558</v>
      </c>
      <c r="H1338" s="7">
        <f t="shared" si="86"/>
        <v>0</v>
      </c>
      <c r="I1338" s="7" cm="1">
        <f t="array" ref="I1338">IFERROR(_xlfn.IFS(M1338="נח",1,M1338="נע ונח",1,M1338="שני שווא נח",2,M1338="שני שוואים בסוף מילה",2,M1338="שני שוואים ברצף",1),"0")</f>
        <v>1</v>
      </c>
      <c r="J1338" s="9">
        <f t="shared" si="87"/>
        <v>2</v>
      </c>
      <c r="K1338" t="s">
        <v>6697</v>
      </c>
      <c r="L1338" t="s">
        <v>6694</v>
      </c>
      <c r="M1338" t="s">
        <v>6705</v>
      </c>
      <c r="P1338" t="s">
        <v>6694</v>
      </c>
      <c r="V1338" t="s">
        <v>6694</v>
      </c>
      <c r="W1338" t="s">
        <v>6720</v>
      </c>
    </row>
    <row r="1339" spans="1:23" ht="15.6" x14ac:dyDescent="0.4">
      <c r="A1339" s="2" t="s">
        <v>287</v>
      </c>
      <c r="B1339" s="5" t="s">
        <v>7833</v>
      </c>
      <c r="C1339" s="7" t="s">
        <v>12556</v>
      </c>
      <c r="D1339" s="8">
        <f t="shared" si="84"/>
        <v>0</v>
      </c>
      <c r="E1339" s="7" t="s">
        <v>12557</v>
      </c>
      <c r="F1339" s="7">
        <f t="shared" si="85"/>
        <v>1</v>
      </c>
      <c r="G1339" s="7" t="s">
        <v>12558</v>
      </c>
      <c r="H1339" s="7">
        <f t="shared" si="86"/>
        <v>0</v>
      </c>
      <c r="I1339" s="7" cm="1">
        <f t="array" ref="I1339">IFERROR(_xlfn.IFS(M1339="נח",1,M1339="נע ונח",1,M1339="שני שווא נח",2,M1339="שני שוואים בסוף מילה",2,M1339="שני שוואים ברצף",1),"0")</f>
        <v>1</v>
      </c>
      <c r="J1339" s="9">
        <f t="shared" si="87"/>
        <v>2</v>
      </c>
      <c r="K1339" t="s">
        <v>6697</v>
      </c>
      <c r="L1339" t="s">
        <v>6694</v>
      </c>
      <c r="M1339" t="s">
        <v>6705</v>
      </c>
      <c r="N1339" t="s">
        <v>6706</v>
      </c>
      <c r="O1339" t="s">
        <v>6694</v>
      </c>
      <c r="W1339" t="s">
        <v>6720</v>
      </c>
    </row>
    <row r="1340" spans="1:23" ht="15.6" x14ac:dyDescent="0.4">
      <c r="A1340" s="2" t="s">
        <v>303</v>
      </c>
      <c r="B1340" s="5" t="s">
        <v>7834</v>
      </c>
      <c r="C1340" s="7" t="s">
        <v>12556</v>
      </c>
      <c r="D1340" s="8">
        <f t="shared" si="84"/>
        <v>0</v>
      </c>
      <c r="E1340" s="7" t="s">
        <v>12557</v>
      </c>
      <c r="F1340" s="7">
        <f t="shared" si="85"/>
        <v>2</v>
      </c>
      <c r="G1340" s="7" t="s">
        <v>12558</v>
      </c>
      <c r="H1340" s="7">
        <f t="shared" si="86"/>
        <v>0</v>
      </c>
      <c r="I1340" s="7" cm="1">
        <f t="array" ref="I1340">IFERROR(_xlfn.IFS(M1340="נח",1,M1340="נע ונח",1,M1340="שני שווא נח",2,M1340="שני שוואים בסוף מילה",2,M1340="שני שוואים ברצף",1),"0")</f>
        <v>1</v>
      </c>
      <c r="J1340" s="9">
        <f t="shared" si="87"/>
        <v>3</v>
      </c>
      <c r="K1340" t="s">
        <v>6697</v>
      </c>
      <c r="L1340" t="s">
        <v>6694</v>
      </c>
      <c r="M1340" t="s">
        <v>6705</v>
      </c>
      <c r="O1340" t="s">
        <v>6694</v>
      </c>
      <c r="P1340" t="s">
        <v>6694</v>
      </c>
      <c r="S1340" t="s">
        <v>6694</v>
      </c>
      <c r="W1340" t="s">
        <v>6720</v>
      </c>
    </row>
    <row r="1341" spans="1:23" ht="15.6" x14ac:dyDescent="0.4">
      <c r="A1341" s="2" t="s">
        <v>1625</v>
      </c>
      <c r="B1341" s="5" t="s">
        <v>7802</v>
      </c>
      <c r="C1341" s="7" t="s">
        <v>12556</v>
      </c>
      <c r="D1341" s="8">
        <f t="shared" si="84"/>
        <v>0</v>
      </c>
      <c r="E1341" s="7" t="s">
        <v>12557</v>
      </c>
      <c r="F1341" s="7">
        <f t="shared" si="85"/>
        <v>1</v>
      </c>
      <c r="G1341" s="7" t="s">
        <v>12558</v>
      </c>
      <c r="H1341" s="7">
        <f t="shared" si="86"/>
        <v>0</v>
      </c>
      <c r="I1341" s="7" t="str" cm="1">
        <f t="array" ref="I1341">IFERROR(_xlfn.IFS(M1341="נח",1,M1341="נע ונח",1,M1341="שני שווא נח",2,M1341="שני שוואים בסוף מילה",2,M1341="שני שוואים ברצף",1),"0")</f>
        <v>0</v>
      </c>
      <c r="J1341" s="9">
        <f t="shared" si="87"/>
        <v>2</v>
      </c>
      <c r="K1341" t="s">
        <v>6698</v>
      </c>
      <c r="L1341" t="s">
        <v>6695</v>
      </c>
      <c r="N1341" t="s">
        <v>6706</v>
      </c>
      <c r="O1341" t="s">
        <v>6694</v>
      </c>
      <c r="W1341" t="s">
        <v>6720</v>
      </c>
    </row>
    <row r="1342" spans="1:23" ht="15.6" x14ac:dyDescent="0.4">
      <c r="A1342" s="2" t="s">
        <v>2938</v>
      </c>
      <c r="B1342" s="5" t="s">
        <v>7793</v>
      </c>
      <c r="C1342" s="7" t="s">
        <v>12556</v>
      </c>
      <c r="D1342" s="8">
        <f t="shared" si="84"/>
        <v>0</v>
      </c>
      <c r="E1342" s="7" t="s">
        <v>12557</v>
      </c>
      <c r="F1342" s="7">
        <f t="shared" si="85"/>
        <v>1</v>
      </c>
      <c r="G1342" s="7" t="s">
        <v>12558</v>
      </c>
      <c r="H1342" s="7">
        <f t="shared" si="86"/>
        <v>0</v>
      </c>
      <c r="I1342" s="7" t="str" cm="1">
        <f t="array" ref="I1342">IFERROR(_xlfn.IFS(M1342="נח",1,M1342="נע ונח",1,M1342="שני שווא נח",2,M1342="שני שוואים בסוף מילה",2,M1342="שני שוואים ברצף",1),"0")</f>
        <v>0</v>
      </c>
      <c r="J1342" s="9">
        <f t="shared" si="87"/>
        <v>2</v>
      </c>
      <c r="K1342" t="s">
        <v>6698</v>
      </c>
      <c r="L1342" t="s">
        <v>6695</v>
      </c>
      <c r="O1342" t="s">
        <v>6694</v>
      </c>
      <c r="S1342" t="s">
        <v>6694</v>
      </c>
      <c r="W1342" t="s">
        <v>6720</v>
      </c>
    </row>
    <row r="1343" spans="1:23" ht="15.6" x14ac:dyDescent="0.4">
      <c r="A1343" s="2" t="s">
        <v>6209</v>
      </c>
      <c r="B1343" s="5" t="s">
        <v>7835</v>
      </c>
      <c r="C1343" s="7" t="s">
        <v>12556</v>
      </c>
      <c r="D1343" s="8">
        <f t="shared" si="84"/>
        <v>0</v>
      </c>
      <c r="E1343" s="7" t="s">
        <v>12557</v>
      </c>
      <c r="F1343" s="7">
        <f t="shared" si="85"/>
        <v>1</v>
      </c>
      <c r="G1343" s="7" t="s">
        <v>12558</v>
      </c>
      <c r="H1343" s="7">
        <f t="shared" si="86"/>
        <v>0</v>
      </c>
      <c r="I1343" s="7" cm="1">
        <f t="array" ref="I1343">IFERROR(_xlfn.IFS(M1343="נח",1,M1343="נע ונח",1,M1343="שני שווא נח",2,M1343="שני שוואים בסוף מילה",2,M1343="שני שוואים ברצף",1),"0")</f>
        <v>1</v>
      </c>
      <c r="J1343" s="9">
        <f t="shared" si="87"/>
        <v>2</v>
      </c>
      <c r="K1343" t="s">
        <v>6698</v>
      </c>
      <c r="L1343" t="s">
        <v>6694</v>
      </c>
      <c r="M1343" t="s">
        <v>6705</v>
      </c>
      <c r="N1343" t="s">
        <v>6706</v>
      </c>
      <c r="O1343" t="s">
        <v>6694</v>
      </c>
      <c r="W1343" t="s">
        <v>6720</v>
      </c>
    </row>
    <row r="1344" spans="1:23" ht="15.6" x14ac:dyDescent="0.4">
      <c r="A1344" s="2" t="s">
        <v>1228</v>
      </c>
      <c r="B1344" s="5" t="s">
        <v>7788</v>
      </c>
      <c r="C1344" s="7" t="s">
        <v>12556</v>
      </c>
      <c r="D1344" s="8">
        <f t="shared" si="84"/>
        <v>0</v>
      </c>
      <c r="E1344" s="7" t="s">
        <v>12557</v>
      </c>
      <c r="F1344" s="7">
        <f t="shared" si="85"/>
        <v>1</v>
      </c>
      <c r="G1344" s="7" t="s">
        <v>12558</v>
      </c>
      <c r="H1344" s="7">
        <f t="shared" si="86"/>
        <v>0</v>
      </c>
      <c r="I1344" s="7" t="str" cm="1">
        <f t="array" ref="I1344">IFERROR(_xlfn.IFS(M1344="נח",1,M1344="נע ונח",1,M1344="שני שווא נח",2,M1344="שני שוואים בסוף מילה",2,M1344="שני שוואים ברצף",1),"0")</f>
        <v>0</v>
      </c>
      <c r="J1344" s="9">
        <f t="shared" si="87"/>
        <v>1</v>
      </c>
      <c r="K1344" t="s">
        <v>6698</v>
      </c>
      <c r="L1344" t="s">
        <v>6695</v>
      </c>
      <c r="N1344" t="s">
        <v>6706</v>
      </c>
      <c r="O1344" t="s">
        <v>6694</v>
      </c>
      <c r="W1344" t="s">
        <v>6720</v>
      </c>
    </row>
    <row r="1345" spans="1:23" ht="15.6" x14ac:dyDescent="0.4">
      <c r="A1345" s="2" t="s">
        <v>295</v>
      </c>
      <c r="B1345" s="5" t="s">
        <v>7836</v>
      </c>
      <c r="C1345" s="7" t="s">
        <v>12556</v>
      </c>
      <c r="D1345" s="8">
        <f t="shared" si="84"/>
        <v>0</v>
      </c>
      <c r="E1345" s="7" t="s">
        <v>12557</v>
      </c>
      <c r="F1345" s="7">
        <f t="shared" si="85"/>
        <v>1</v>
      </c>
      <c r="G1345" s="7" t="s">
        <v>12558</v>
      </c>
      <c r="H1345" s="7">
        <f t="shared" si="86"/>
        <v>0</v>
      </c>
      <c r="I1345" s="7" cm="1">
        <f t="array" ref="I1345">IFERROR(_xlfn.IFS(M1345="נח",1,M1345="נע ונח",1,M1345="שני שווא נח",2,M1345="שני שוואים בסוף מילה",2,M1345="שני שוואים ברצף",1),"0")</f>
        <v>1</v>
      </c>
      <c r="J1345" s="9">
        <f t="shared" si="87"/>
        <v>2</v>
      </c>
      <c r="K1345" t="s">
        <v>6697</v>
      </c>
      <c r="L1345" t="s">
        <v>6694</v>
      </c>
      <c r="M1345" t="s">
        <v>6705</v>
      </c>
      <c r="N1345" t="s">
        <v>6706</v>
      </c>
      <c r="O1345" t="s">
        <v>6694</v>
      </c>
      <c r="W1345" t="s">
        <v>6720</v>
      </c>
    </row>
    <row r="1346" spans="1:23" ht="15.6" x14ac:dyDescent="0.4">
      <c r="A1346" s="2" t="s">
        <v>2407</v>
      </c>
      <c r="B1346" s="5" t="s">
        <v>7794</v>
      </c>
      <c r="C1346" s="7" t="s">
        <v>12556</v>
      </c>
      <c r="D1346" s="8">
        <f t="shared" si="84"/>
        <v>0</v>
      </c>
      <c r="E1346" s="7" t="s">
        <v>12557</v>
      </c>
      <c r="F1346" s="7">
        <f t="shared" si="85"/>
        <v>1</v>
      </c>
      <c r="G1346" s="7" t="s">
        <v>12558</v>
      </c>
      <c r="H1346" s="7">
        <f t="shared" si="86"/>
        <v>0</v>
      </c>
      <c r="I1346" s="7" t="str" cm="1">
        <f t="array" ref="I1346">IFERROR(_xlfn.IFS(M1346="נח",1,M1346="נע ונח",1,M1346="שני שווא נח",2,M1346="שני שוואים בסוף מילה",2,M1346="שני שוואים ברצף",1),"0")</f>
        <v>0</v>
      </c>
      <c r="J1346" s="9">
        <f t="shared" si="87"/>
        <v>2</v>
      </c>
      <c r="K1346" t="s">
        <v>6698</v>
      </c>
      <c r="L1346" t="s">
        <v>6695</v>
      </c>
      <c r="O1346" t="s">
        <v>6694</v>
      </c>
      <c r="S1346" t="s">
        <v>6694</v>
      </c>
      <c r="W1346" t="s">
        <v>6720</v>
      </c>
    </row>
    <row r="1347" spans="1:23" ht="15.6" x14ac:dyDescent="0.4">
      <c r="A1347" s="2" t="s">
        <v>2922</v>
      </c>
      <c r="B1347" s="5" t="s">
        <v>7837</v>
      </c>
      <c r="C1347" s="7" t="s">
        <v>12556</v>
      </c>
      <c r="D1347" s="8">
        <f t="shared" ref="D1347:D1410" si="88">(LEN(B1347)-LEN(SUBSTITUTE(B1347,C1347,"")))</f>
        <v>0</v>
      </c>
      <c r="E1347" s="7" t="s">
        <v>12557</v>
      </c>
      <c r="F1347" s="7">
        <f t="shared" ref="F1347:F1410" si="89">(LEN(A1347)-LEN(SUBSTITUTE(A1347,E1347,"")))</f>
        <v>1</v>
      </c>
      <c r="G1347" s="7" t="s">
        <v>12558</v>
      </c>
      <c r="H1347" s="7">
        <f t="shared" ref="H1347:H1410" si="90">(LEN(A1347)-LEN(SUBSTITUTE(A1347,G1347,"")))/2</f>
        <v>0</v>
      </c>
      <c r="I1347" s="7" t="str" cm="1">
        <f t="array" ref="I1347">IFERROR(_xlfn.IFS(M1347="נח",1,M1347="נע ונח",1,M1347="שני שווא נח",2,M1347="שני שוואים בסוף מילה",2,M1347="שני שוואים ברצף",1),"0")</f>
        <v>0</v>
      </c>
      <c r="J1347" s="9">
        <f t="shared" ref="J1347:J1410" si="91">LEN(A1347)-(LEN(B1347))-D1347-F1347+H1347-I1347</f>
        <v>2</v>
      </c>
      <c r="K1347" t="s">
        <v>6697</v>
      </c>
      <c r="L1347" t="s">
        <v>6695</v>
      </c>
      <c r="O1347" t="s">
        <v>6694</v>
      </c>
      <c r="W1347" t="s">
        <v>6720</v>
      </c>
    </row>
    <row r="1348" spans="1:23" ht="15.6" x14ac:dyDescent="0.4">
      <c r="A1348" s="2" t="s">
        <v>3114</v>
      </c>
      <c r="B1348" s="5" t="s">
        <v>7795</v>
      </c>
      <c r="C1348" s="7" t="s">
        <v>12556</v>
      </c>
      <c r="D1348" s="8">
        <f t="shared" si="88"/>
        <v>0</v>
      </c>
      <c r="E1348" s="7" t="s">
        <v>12557</v>
      </c>
      <c r="F1348" s="7">
        <f t="shared" si="89"/>
        <v>1</v>
      </c>
      <c r="G1348" s="7" t="s">
        <v>12558</v>
      </c>
      <c r="H1348" s="7">
        <f t="shared" si="90"/>
        <v>0</v>
      </c>
      <c r="I1348" s="7" t="str" cm="1">
        <f t="array" ref="I1348">IFERROR(_xlfn.IFS(M1348="נח",1,M1348="נע ונח",1,M1348="שני שווא נח",2,M1348="שני שוואים בסוף מילה",2,M1348="שני שוואים ברצף",1),"0")</f>
        <v>0</v>
      </c>
      <c r="J1348" s="9">
        <f t="shared" si="91"/>
        <v>2</v>
      </c>
      <c r="K1348" t="s">
        <v>6698</v>
      </c>
      <c r="L1348" t="s">
        <v>6695</v>
      </c>
      <c r="N1348" t="s">
        <v>6706</v>
      </c>
      <c r="O1348" t="s">
        <v>6694</v>
      </c>
      <c r="W1348" t="s">
        <v>6720</v>
      </c>
    </row>
    <row r="1349" spans="1:23" ht="15.6" x14ac:dyDescent="0.4">
      <c r="A1349" s="2" t="s">
        <v>5978</v>
      </c>
      <c r="B1349" s="5" t="s">
        <v>7791</v>
      </c>
      <c r="C1349" s="7" t="s">
        <v>12556</v>
      </c>
      <c r="D1349" s="8">
        <f t="shared" si="88"/>
        <v>0</v>
      </c>
      <c r="E1349" s="7" t="s">
        <v>12557</v>
      </c>
      <c r="F1349" s="7">
        <f t="shared" si="89"/>
        <v>1</v>
      </c>
      <c r="G1349" s="7" t="s">
        <v>12558</v>
      </c>
      <c r="H1349" s="7">
        <f t="shared" si="90"/>
        <v>0</v>
      </c>
      <c r="I1349" s="7" t="str" cm="1">
        <f t="array" ref="I1349">IFERROR(_xlfn.IFS(M1349="נח",1,M1349="נע ונח",1,M1349="שני שווא נח",2,M1349="שני שוואים בסוף מילה",2,M1349="שני שוואים ברצף",1),"0")</f>
        <v>0</v>
      </c>
      <c r="J1349" s="9">
        <f t="shared" si="91"/>
        <v>2</v>
      </c>
      <c r="K1349" t="s">
        <v>6698</v>
      </c>
      <c r="L1349" t="s">
        <v>6695</v>
      </c>
      <c r="O1349" t="s">
        <v>6694</v>
      </c>
      <c r="P1349" t="s">
        <v>6694</v>
      </c>
      <c r="W1349" t="s">
        <v>6720</v>
      </c>
    </row>
    <row r="1350" spans="1:23" ht="15.6" x14ac:dyDescent="0.4">
      <c r="A1350" s="2" t="s">
        <v>4332</v>
      </c>
      <c r="B1350" s="5" t="s">
        <v>7832</v>
      </c>
      <c r="C1350" s="7" t="s">
        <v>12556</v>
      </c>
      <c r="D1350" s="8">
        <f t="shared" si="88"/>
        <v>0</v>
      </c>
      <c r="E1350" s="7" t="s">
        <v>12557</v>
      </c>
      <c r="F1350" s="7">
        <f t="shared" si="89"/>
        <v>2</v>
      </c>
      <c r="G1350" s="7" t="s">
        <v>12558</v>
      </c>
      <c r="H1350" s="7">
        <f t="shared" si="90"/>
        <v>1</v>
      </c>
      <c r="I1350" s="7" cm="1">
        <f t="array" ref="I1350">IFERROR(_xlfn.IFS(M1350="נח",1,M1350="נע ונח",1,M1350="שני שווא נח",2,M1350="שני שוואים בסוף מילה",2,M1350="שני שוואים ברצף",1),"0")</f>
        <v>1</v>
      </c>
      <c r="J1350" s="9">
        <f t="shared" si="91"/>
        <v>2</v>
      </c>
      <c r="K1350" t="s">
        <v>6697</v>
      </c>
      <c r="L1350" t="s">
        <v>6694</v>
      </c>
      <c r="M1350" t="s">
        <v>6705</v>
      </c>
      <c r="N1350" t="s">
        <v>6706</v>
      </c>
      <c r="O1350" t="s">
        <v>6694</v>
      </c>
      <c r="U1350" t="s">
        <v>6694</v>
      </c>
      <c r="W1350" t="s">
        <v>6720</v>
      </c>
    </row>
    <row r="1351" spans="1:23" ht="15.6" x14ac:dyDescent="0.4">
      <c r="A1351" s="2" t="s">
        <v>1523</v>
      </c>
      <c r="B1351" s="5" t="s">
        <v>7787</v>
      </c>
      <c r="C1351" s="7" t="s">
        <v>12556</v>
      </c>
      <c r="D1351" s="8">
        <f t="shared" si="88"/>
        <v>0</v>
      </c>
      <c r="E1351" s="7" t="s">
        <v>12557</v>
      </c>
      <c r="F1351" s="7">
        <f t="shared" si="89"/>
        <v>1</v>
      </c>
      <c r="G1351" s="7" t="s">
        <v>12558</v>
      </c>
      <c r="H1351" s="7">
        <f t="shared" si="90"/>
        <v>0</v>
      </c>
      <c r="I1351" s="7" cm="1">
        <f t="array" ref="I1351">IFERROR(_xlfn.IFS(M1351="נח",1,M1351="נע ונח",1,M1351="שני שווא נח",2,M1351="שני שוואים בסוף מילה",2,M1351="שני שוואים ברצף",1),"0")</f>
        <v>1</v>
      </c>
      <c r="J1351" s="9">
        <f t="shared" si="91"/>
        <v>2</v>
      </c>
      <c r="K1351" t="s">
        <v>6698</v>
      </c>
      <c r="L1351" t="s">
        <v>6694</v>
      </c>
      <c r="M1351" t="s">
        <v>6705</v>
      </c>
      <c r="O1351" t="s">
        <v>6694</v>
      </c>
      <c r="R1351" t="s">
        <v>6694</v>
      </c>
      <c r="W1351" t="s">
        <v>6720</v>
      </c>
    </row>
    <row r="1352" spans="1:23" ht="15.6" x14ac:dyDescent="0.4">
      <c r="A1352" s="2" t="s">
        <v>2744</v>
      </c>
      <c r="B1352" s="5" t="s">
        <v>7838</v>
      </c>
      <c r="C1352" s="7" t="s">
        <v>12556</v>
      </c>
      <c r="D1352" s="8">
        <f t="shared" si="88"/>
        <v>1</v>
      </c>
      <c r="E1352" s="7" t="s">
        <v>12557</v>
      </c>
      <c r="F1352" s="7">
        <f t="shared" si="89"/>
        <v>2</v>
      </c>
      <c r="G1352" s="7" t="s">
        <v>12558</v>
      </c>
      <c r="H1352" s="7">
        <f t="shared" si="90"/>
        <v>0</v>
      </c>
      <c r="I1352" s="7" cm="1">
        <f t="array" ref="I1352">IFERROR(_xlfn.IFS(M1352="נח",1,M1352="נע ונח",1,M1352="שני שווא נח",2,M1352="שני שוואים בסוף מילה",2,M1352="שני שוואים ברצף",1),"0")</f>
        <v>1</v>
      </c>
      <c r="J1352" s="9">
        <f t="shared" si="91"/>
        <v>3</v>
      </c>
      <c r="K1352" t="s">
        <v>6697</v>
      </c>
      <c r="L1352" t="s">
        <v>6694</v>
      </c>
      <c r="M1352" t="s">
        <v>6705</v>
      </c>
      <c r="O1352" t="s">
        <v>6694</v>
      </c>
      <c r="P1352" t="s">
        <v>6694</v>
      </c>
      <c r="S1352" t="s">
        <v>6694</v>
      </c>
      <c r="W1352" t="s">
        <v>6720</v>
      </c>
    </row>
    <row r="1353" spans="1:23" ht="15.6" x14ac:dyDescent="0.4">
      <c r="A1353" s="2" t="s">
        <v>4724</v>
      </c>
      <c r="B1353" s="5" t="s">
        <v>7838</v>
      </c>
      <c r="C1353" s="7" t="s">
        <v>12556</v>
      </c>
      <c r="D1353" s="8">
        <f t="shared" si="88"/>
        <v>1</v>
      </c>
      <c r="E1353" s="7" t="s">
        <v>12557</v>
      </c>
      <c r="F1353" s="7">
        <f t="shared" si="89"/>
        <v>2</v>
      </c>
      <c r="G1353" s="7" t="s">
        <v>12558</v>
      </c>
      <c r="H1353" s="7">
        <f t="shared" si="90"/>
        <v>0</v>
      </c>
      <c r="I1353" s="7" cm="1">
        <f t="array" ref="I1353">IFERROR(_xlfn.IFS(M1353="נח",1,M1353="נע ונח",1,M1353="שני שווא נח",2,M1353="שני שוואים בסוף מילה",2,M1353="שני שוואים ברצף",1),"0")</f>
        <v>1</v>
      </c>
      <c r="J1353" s="9">
        <f t="shared" si="91"/>
        <v>3</v>
      </c>
      <c r="K1353" t="s">
        <v>6697</v>
      </c>
      <c r="L1353" t="s">
        <v>6694</v>
      </c>
      <c r="M1353" t="s">
        <v>6705</v>
      </c>
      <c r="O1353" t="s">
        <v>6694</v>
      </c>
      <c r="S1353" t="s">
        <v>6694</v>
      </c>
      <c r="W1353" t="s">
        <v>6720</v>
      </c>
    </row>
    <row r="1354" spans="1:23" ht="15.6" x14ac:dyDescent="0.4">
      <c r="A1354" s="2" t="s">
        <v>6477</v>
      </c>
      <c r="B1354" s="5" t="s">
        <v>7839</v>
      </c>
      <c r="C1354" s="7" t="s">
        <v>12556</v>
      </c>
      <c r="D1354" s="8">
        <f t="shared" si="88"/>
        <v>1</v>
      </c>
      <c r="E1354" s="7" t="s">
        <v>12557</v>
      </c>
      <c r="F1354" s="7">
        <f t="shared" si="89"/>
        <v>1</v>
      </c>
      <c r="G1354" s="7" t="s">
        <v>12558</v>
      </c>
      <c r="H1354" s="7">
        <f t="shared" si="90"/>
        <v>0</v>
      </c>
      <c r="I1354" s="7" t="str" cm="1">
        <f t="array" ref="I1354">IFERROR(_xlfn.IFS(M1354="נח",1,M1354="נע ונח",1,M1354="שני שווא נח",2,M1354="שני שוואים בסוף מילה",2,M1354="שני שוואים ברצף",1),"0")</f>
        <v>0</v>
      </c>
      <c r="J1354" s="9">
        <f t="shared" si="91"/>
        <v>2</v>
      </c>
      <c r="K1354" t="s">
        <v>6698</v>
      </c>
      <c r="L1354" t="s">
        <v>6695</v>
      </c>
      <c r="O1354" t="s">
        <v>6694</v>
      </c>
      <c r="R1354" t="s">
        <v>6694</v>
      </c>
      <c r="W1354" t="s">
        <v>6720</v>
      </c>
    </row>
    <row r="1355" spans="1:23" ht="15.6" x14ac:dyDescent="0.4">
      <c r="A1355" s="2" t="s">
        <v>1078</v>
      </c>
      <c r="B1355" s="5" t="s">
        <v>7840</v>
      </c>
      <c r="C1355" s="7" t="s">
        <v>12556</v>
      </c>
      <c r="D1355" s="8">
        <f t="shared" si="88"/>
        <v>0</v>
      </c>
      <c r="E1355" s="7" t="s">
        <v>12557</v>
      </c>
      <c r="F1355" s="7">
        <f t="shared" si="89"/>
        <v>1</v>
      </c>
      <c r="G1355" s="7" t="s">
        <v>12558</v>
      </c>
      <c r="H1355" s="7">
        <f t="shared" si="90"/>
        <v>0</v>
      </c>
      <c r="I1355" s="7" t="str" cm="1">
        <f t="array" ref="I1355">IFERROR(_xlfn.IFS(M1355="נח",1,M1355="נע ונח",1,M1355="שני שווא נח",2,M1355="שני שוואים בסוף מילה",2,M1355="שני שוואים ברצף",1),"0")</f>
        <v>0</v>
      </c>
      <c r="J1355" s="9">
        <f t="shared" si="91"/>
        <v>2</v>
      </c>
      <c r="K1355" t="s">
        <v>6698</v>
      </c>
      <c r="L1355" t="s">
        <v>6695</v>
      </c>
      <c r="N1355" t="s">
        <v>6706</v>
      </c>
      <c r="O1355" t="s">
        <v>6694</v>
      </c>
      <c r="W1355" t="s">
        <v>6720</v>
      </c>
    </row>
    <row r="1356" spans="1:23" ht="15.6" x14ac:dyDescent="0.4">
      <c r="A1356" s="2" t="s">
        <v>2668</v>
      </c>
      <c r="B1356" s="5" t="s">
        <v>7805</v>
      </c>
      <c r="C1356" s="7" t="s">
        <v>12556</v>
      </c>
      <c r="D1356" s="8">
        <f t="shared" si="88"/>
        <v>0</v>
      </c>
      <c r="E1356" s="7" t="s">
        <v>12557</v>
      </c>
      <c r="F1356" s="7">
        <f t="shared" si="89"/>
        <v>1</v>
      </c>
      <c r="G1356" s="7" t="s">
        <v>12558</v>
      </c>
      <c r="H1356" s="7">
        <f t="shared" si="90"/>
        <v>0</v>
      </c>
      <c r="I1356" s="7" cm="1">
        <f t="array" ref="I1356">IFERROR(_xlfn.IFS(M1356="נח",1,M1356="נע ונח",1,M1356="שני שווא נח",2,M1356="שני שוואים בסוף מילה",2,M1356="שני שוואים ברצף",1),"0")</f>
        <v>1</v>
      </c>
      <c r="J1356" s="9">
        <f t="shared" si="91"/>
        <v>2</v>
      </c>
      <c r="K1356" t="s">
        <v>6698</v>
      </c>
      <c r="L1356" t="s">
        <v>6694</v>
      </c>
      <c r="M1356" t="s">
        <v>6705</v>
      </c>
      <c r="Q1356" t="s">
        <v>6694</v>
      </c>
      <c r="V1356" t="s">
        <v>6694</v>
      </c>
      <c r="W1356" t="s">
        <v>6720</v>
      </c>
    </row>
    <row r="1357" spans="1:23" ht="15.6" x14ac:dyDescent="0.4">
      <c r="A1357" s="2" t="s">
        <v>2805</v>
      </c>
      <c r="B1357" s="5" t="s">
        <v>7802</v>
      </c>
      <c r="C1357" s="7" t="s">
        <v>12556</v>
      </c>
      <c r="D1357" s="8">
        <f t="shared" si="88"/>
        <v>0</v>
      </c>
      <c r="E1357" s="7" t="s">
        <v>12557</v>
      </c>
      <c r="F1357" s="7">
        <f t="shared" si="89"/>
        <v>1</v>
      </c>
      <c r="G1357" s="7" t="s">
        <v>12558</v>
      </c>
      <c r="H1357" s="7">
        <f t="shared" si="90"/>
        <v>0</v>
      </c>
      <c r="I1357" s="7" t="str" cm="1">
        <f t="array" ref="I1357">IFERROR(_xlfn.IFS(M1357="נח",1,M1357="נע ונח",1,M1357="שני שווא נח",2,M1357="שני שוואים בסוף מילה",2,M1357="שני שוואים ברצף",1),"0")</f>
        <v>0</v>
      </c>
      <c r="J1357" s="9">
        <f t="shared" si="91"/>
        <v>2</v>
      </c>
      <c r="K1357" t="s">
        <v>6698</v>
      </c>
      <c r="L1357" t="s">
        <v>6695</v>
      </c>
      <c r="Q1357" t="s">
        <v>6694</v>
      </c>
      <c r="V1357" t="s">
        <v>6694</v>
      </c>
      <c r="W1357" t="s">
        <v>6720</v>
      </c>
    </row>
    <row r="1358" spans="1:23" ht="15.6" x14ac:dyDescent="0.4">
      <c r="A1358" s="2" t="s">
        <v>861</v>
      </c>
      <c r="B1358" s="5" t="s">
        <v>7841</v>
      </c>
      <c r="C1358" s="7" t="s">
        <v>12556</v>
      </c>
      <c r="D1358" s="8">
        <f t="shared" si="88"/>
        <v>0</v>
      </c>
      <c r="E1358" s="7" t="s">
        <v>12557</v>
      </c>
      <c r="F1358" s="7">
        <f t="shared" si="89"/>
        <v>2</v>
      </c>
      <c r="G1358" s="7" t="s">
        <v>12558</v>
      </c>
      <c r="H1358" s="7">
        <f t="shared" si="90"/>
        <v>1</v>
      </c>
      <c r="I1358" s="7" t="str" cm="1">
        <f t="array" ref="I1358">IFERROR(_xlfn.IFS(M1358="נח",1,M1358="נע ונח",1,M1358="שני שווא נח",2,M1358="שני שוואים בסוף מילה",2,M1358="שני שוואים ברצף",1),"0")</f>
        <v>0</v>
      </c>
      <c r="J1358" s="9">
        <f t="shared" si="91"/>
        <v>2</v>
      </c>
      <c r="K1358" t="s">
        <v>6697</v>
      </c>
      <c r="L1358" t="s">
        <v>6695</v>
      </c>
      <c r="U1358" t="s">
        <v>6694</v>
      </c>
      <c r="V1358" t="s">
        <v>6694</v>
      </c>
      <c r="W1358" t="s">
        <v>6720</v>
      </c>
    </row>
    <row r="1359" spans="1:23" ht="15.6" x14ac:dyDescent="0.4">
      <c r="A1359" s="2" t="s">
        <v>1717</v>
      </c>
      <c r="B1359" s="5" t="s">
        <v>7842</v>
      </c>
      <c r="C1359" s="7" t="s">
        <v>12556</v>
      </c>
      <c r="D1359" s="8">
        <f t="shared" si="88"/>
        <v>0</v>
      </c>
      <c r="E1359" s="7" t="s">
        <v>12557</v>
      </c>
      <c r="F1359" s="7">
        <f t="shared" si="89"/>
        <v>2</v>
      </c>
      <c r="G1359" s="7" t="s">
        <v>12558</v>
      </c>
      <c r="H1359" s="7">
        <f t="shared" si="90"/>
        <v>1</v>
      </c>
      <c r="I1359" s="7" t="str" cm="1">
        <f t="array" ref="I1359">IFERROR(_xlfn.IFS(M1359="נח",1,M1359="נע ונח",1,M1359="שני שווא נח",2,M1359="שני שוואים בסוף מילה",2,M1359="שני שוואים ברצף",1),"0")</f>
        <v>0</v>
      </c>
      <c r="J1359" s="9">
        <f t="shared" si="91"/>
        <v>3</v>
      </c>
      <c r="K1359" t="s">
        <v>6697</v>
      </c>
      <c r="L1359" t="s">
        <v>6695</v>
      </c>
      <c r="P1359" t="s">
        <v>6694</v>
      </c>
      <c r="U1359" t="s">
        <v>6694</v>
      </c>
      <c r="V1359" t="s">
        <v>6694</v>
      </c>
      <c r="W1359" t="s">
        <v>6720</v>
      </c>
    </row>
    <row r="1360" spans="1:23" ht="15.6" x14ac:dyDescent="0.4">
      <c r="A1360" s="2" t="s">
        <v>6602</v>
      </c>
      <c r="B1360" s="5" t="s">
        <v>7843</v>
      </c>
      <c r="C1360" s="7" t="s">
        <v>12556</v>
      </c>
      <c r="D1360" s="8">
        <f t="shared" si="88"/>
        <v>0</v>
      </c>
      <c r="E1360" s="7" t="s">
        <v>12557</v>
      </c>
      <c r="F1360" s="7">
        <f t="shared" si="89"/>
        <v>1</v>
      </c>
      <c r="G1360" s="7" t="s">
        <v>12558</v>
      </c>
      <c r="H1360" s="7">
        <f t="shared" si="90"/>
        <v>0</v>
      </c>
      <c r="I1360" s="7" t="str" cm="1">
        <f t="array" ref="I1360">IFERROR(_xlfn.IFS(M1360="נח",1,M1360="נע ונח",1,M1360="שני שווא נח",2,M1360="שני שוואים בסוף מילה",2,M1360="שני שוואים ברצף",1),"0")</f>
        <v>0</v>
      </c>
      <c r="J1360" s="9">
        <f t="shared" si="91"/>
        <v>2</v>
      </c>
      <c r="K1360" t="s">
        <v>6697</v>
      </c>
      <c r="L1360" t="s">
        <v>6695</v>
      </c>
      <c r="S1360" t="s">
        <v>6694</v>
      </c>
      <c r="V1360" t="s">
        <v>6694</v>
      </c>
      <c r="W1360" t="s">
        <v>6720</v>
      </c>
    </row>
    <row r="1361" spans="1:23" ht="15.6" x14ac:dyDescent="0.4">
      <c r="A1361" s="2" t="s">
        <v>3754</v>
      </c>
      <c r="B1361" s="5" t="s">
        <v>7797</v>
      </c>
      <c r="C1361" s="7" t="s">
        <v>12556</v>
      </c>
      <c r="D1361" s="8">
        <f t="shared" si="88"/>
        <v>0</v>
      </c>
      <c r="E1361" s="7" t="s">
        <v>12557</v>
      </c>
      <c r="F1361" s="7">
        <f t="shared" si="89"/>
        <v>1</v>
      </c>
      <c r="G1361" s="7" t="s">
        <v>12558</v>
      </c>
      <c r="H1361" s="7">
        <f t="shared" si="90"/>
        <v>0</v>
      </c>
      <c r="I1361" s="7" t="str" cm="1">
        <f t="array" ref="I1361">IFERROR(_xlfn.IFS(M1361="נח",1,M1361="נע ונח",1,M1361="שני שווא נח",2,M1361="שני שוואים בסוף מילה",2,M1361="שני שוואים ברצף",1),"0")</f>
        <v>0</v>
      </c>
      <c r="J1361" s="9">
        <f t="shared" si="91"/>
        <v>1</v>
      </c>
      <c r="K1361" t="s">
        <v>6698</v>
      </c>
      <c r="L1361" t="s">
        <v>6695</v>
      </c>
      <c r="V1361" t="s">
        <v>6694</v>
      </c>
      <c r="W1361" t="s">
        <v>6720</v>
      </c>
    </row>
    <row r="1362" spans="1:23" ht="15.6" x14ac:dyDescent="0.4">
      <c r="A1362" s="2" t="s">
        <v>2575</v>
      </c>
      <c r="B1362" s="5" t="s">
        <v>7844</v>
      </c>
      <c r="C1362" s="7" t="s">
        <v>12556</v>
      </c>
      <c r="D1362" s="8">
        <f t="shared" si="88"/>
        <v>1</v>
      </c>
      <c r="E1362" s="7" t="s">
        <v>12557</v>
      </c>
      <c r="F1362" s="7">
        <f t="shared" si="89"/>
        <v>1</v>
      </c>
      <c r="G1362" s="7" t="s">
        <v>12558</v>
      </c>
      <c r="H1362" s="7">
        <f t="shared" si="90"/>
        <v>0</v>
      </c>
      <c r="I1362" s="7" cm="1">
        <f t="array" ref="I1362">IFERROR(_xlfn.IFS(M1362="נח",1,M1362="נע ונח",1,M1362="שני שווא נח",2,M1362="שני שוואים בסוף מילה",2,M1362="שני שוואים ברצף",1),"0")</f>
        <v>1</v>
      </c>
      <c r="J1362" s="9">
        <f t="shared" si="91"/>
        <v>2</v>
      </c>
      <c r="K1362" t="s">
        <v>6698</v>
      </c>
      <c r="L1362" t="s">
        <v>6694</v>
      </c>
      <c r="M1362" t="s">
        <v>6705</v>
      </c>
      <c r="N1362" t="s">
        <v>6706</v>
      </c>
      <c r="O1362" t="s">
        <v>6694</v>
      </c>
      <c r="V1362" t="s">
        <v>6694</v>
      </c>
      <c r="W1362" t="s">
        <v>6720</v>
      </c>
    </row>
    <row r="1363" spans="1:23" ht="15.6" x14ac:dyDescent="0.4">
      <c r="A1363" s="2" t="s">
        <v>3219</v>
      </c>
      <c r="B1363" s="5" t="s">
        <v>7799</v>
      </c>
      <c r="C1363" s="7" t="s">
        <v>12556</v>
      </c>
      <c r="D1363" s="8">
        <f t="shared" si="88"/>
        <v>1</v>
      </c>
      <c r="E1363" s="7" t="s">
        <v>12557</v>
      </c>
      <c r="F1363" s="7">
        <f t="shared" si="89"/>
        <v>1</v>
      </c>
      <c r="G1363" s="7" t="s">
        <v>12558</v>
      </c>
      <c r="H1363" s="7">
        <f t="shared" si="90"/>
        <v>0</v>
      </c>
      <c r="I1363" s="7" t="str" cm="1">
        <f t="array" ref="I1363">IFERROR(_xlfn.IFS(M1363="נח",1,M1363="נע ונח",1,M1363="שני שווא נח",2,M1363="שני שוואים בסוף מילה",2,M1363="שני שוואים ברצף",1),"0")</f>
        <v>0</v>
      </c>
      <c r="J1363" s="9">
        <f t="shared" si="91"/>
        <v>2</v>
      </c>
      <c r="K1363" t="s">
        <v>6698</v>
      </c>
      <c r="L1363" t="s">
        <v>6695</v>
      </c>
      <c r="Q1363" t="s">
        <v>6694</v>
      </c>
      <c r="V1363" t="s">
        <v>6694</v>
      </c>
      <c r="W1363" t="s">
        <v>6720</v>
      </c>
    </row>
    <row r="1364" spans="1:23" ht="15.6" x14ac:dyDescent="0.4">
      <c r="A1364" s="2" t="s">
        <v>3935</v>
      </c>
      <c r="B1364" s="5" t="s">
        <v>7845</v>
      </c>
      <c r="C1364" s="7" t="s">
        <v>12556</v>
      </c>
      <c r="D1364" s="8">
        <f t="shared" si="88"/>
        <v>0</v>
      </c>
      <c r="E1364" s="7" t="s">
        <v>12557</v>
      </c>
      <c r="F1364" s="7">
        <f t="shared" si="89"/>
        <v>1</v>
      </c>
      <c r="G1364" s="7" t="s">
        <v>12558</v>
      </c>
      <c r="H1364" s="7">
        <f t="shared" si="90"/>
        <v>0</v>
      </c>
      <c r="I1364" s="7" t="str" cm="1">
        <f t="array" ref="I1364">IFERROR(_xlfn.IFS(M1364="נח",1,M1364="נע ונח",1,M1364="שני שווא נח",2,M1364="שני שוואים בסוף מילה",2,M1364="שני שוואים ברצף",1),"0")</f>
        <v>0</v>
      </c>
      <c r="J1364" s="9">
        <f t="shared" si="91"/>
        <v>2</v>
      </c>
      <c r="K1364" t="s">
        <v>6698</v>
      </c>
      <c r="L1364" t="s">
        <v>6695</v>
      </c>
      <c r="Q1364" t="s">
        <v>6694</v>
      </c>
      <c r="V1364" t="s">
        <v>6694</v>
      </c>
      <c r="W1364" t="s">
        <v>6720</v>
      </c>
    </row>
    <row r="1365" spans="1:23" ht="15.6" x14ac:dyDescent="0.4">
      <c r="A1365" s="2" t="s">
        <v>6059</v>
      </c>
      <c r="B1365" s="5" t="s">
        <v>7846</v>
      </c>
      <c r="C1365" s="7" t="s">
        <v>12556</v>
      </c>
      <c r="D1365" s="8">
        <f t="shared" si="88"/>
        <v>0</v>
      </c>
      <c r="E1365" s="7" t="s">
        <v>12557</v>
      </c>
      <c r="F1365" s="7">
        <f t="shared" si="89"/>
        <v>1</v>
      </c>
      <c r="G1365" s="7" t="s">
        <v>12558</v>
      </c>
      <c r="H1365" s="7">
        <f t="shared" si="90"/>
        <v>0</v>
      </c>
      <c r="I1365" s="7" t="str" cm="1">
        <f t="array" ref="I1365">IFERROR(_xlfn.IFS(M1365="נח",1,M1365="נע ונח",1,M1365="שני שווא נח",2,M1365="שני שוואים בסוף מילה",2,M1365="שני שוואים ברצף",1),"0")</f>
        <v>0</v>
      </c>
      <c r="J1365" s="9">
        <f t="shared" si="91"/>
        <v>2</v>
      </c>
      <c r="K1365" t="s">
        <v>6697</v>
      </c>
      <c r="L1365" t="s">
        <v>6695</v>
      </c>
      <c r="R1365" t="s">
        <v>6694</v>
      </c>
      <c r="V1365" t="s">
        <v>6694</v>
      </c>
      <c r="W1365" t="s">
        <v>6720</v>
      </c>
    </row>
    <row r="1366" spans="1:23" ht="15.6" x14ac:dyDescent="0.4">
      <c r="A1366" s="2" t="s">
        <v>2486</v>
      </c>
      <c r="B1366" s="5" t="s">
        <v>7847</v>
      </c>
      <c r="C1366" s="7" t="s">
        <v>12556</v>
      </c>
      <c r="D1366" s="8">
        <f t="shared" si="88"/>
        <v>0</v>
      </c>
      <c r="E1366" s="7" t="s">
        <v>12557</v>
      </c>
      <c r="F1366" s="7">
        <f t="shared" si="89"/>
        <v>1</v>
      </c>
      <c r="G1366" s="7" t="s">
        <v>12558</v>
      </c>
      <c r="H1366" s="7">
        <f t="shared" si="90"/>
        <v>0</v>
      </c>
      <c r="I1366" s="7" t="str" cm="1">
        <f t="array" ref="I1366">IFERROR(_xlfn.IFS(M1366="נח",1,M1366="נע ונח",1,M1366="שני שווא נח",2,M1366="שני שוואים בסוף מילה",2,M1366="שני שוואים ברצף",1),"0")</f>
        <v>0</v>
      </c>
      <c r="J1366" s="9">
        <f t="shared" si="91"/>
        <v>1</v>
      </c>
      <c r="K1366" t="s">
        <v>6698</v>
      </c>
      <c r="L1366" t="s">
        <v>6695</v>
      </c>
      <c r="V1366" t="s">
        <v>6694</v>
      </c>
      <c r="W1366" t="s">
        <v>6720</v>
      </c>
    </row>
    <row r="1367" spans="1:23" ht="15.6" x14ac:dyDescent="0.4">
      <c r="A1367" s="2" t="s">
        <v>4305</v>
      </c>
      <c r="B1367" s="5" t="s">
        <v>7848</v>
      </c>
      <c r="C1367" s="7" t="s">
        <v>12556</v>
      </c>
      <c r="D1367" s="8">
        <f t="shared" si="88"/>
        <v>0</v>
      </c>
      <c r="E1367" s="7" t="s">
        <v>12557</v>
      </c>
      <c r="F1367" s="7">
        <f t="shared" si="89"/>
        <v>2</v>
      </c>
      <c r="G1367" s="7" t="s">
        <v>12558</v>
      </c>
      <c r="H1367" s="7">
        <f t="shared" si="90"/>
        <v>0</v>
      </c>
      <c r="I1367" s="7" t="str" cm="1">
        <f t="array" ref="I1367">IFERROR(_xlfn.IFS(M1367="נח",1,M1367="נע ונח",1,M1367="שני שווא נח",2,M1367="שני שוואים בסוף מילה",2,M1367="שני שוואים ברצף",1),"0")</f>
        <v>0</v>
      </c>
      <c r="J1367" s="9">
        <f t="shared" si="91"/>
        <v>2</v>
      </c>
      <c r="K1367" t="s">
        <v>6697</v>
      </c>
      <c r="L1367" t="s">
        <v>6695</v>
      </c>
      <c r="S1367" t="s">
        <v>6694</v>
      </c>
      <c r="V1367" t="s">
        <v>6694</v>
      </c>
      <c r="W1367" t="s">
        <v>6720</v>
      </c>
    </row>
    <row r="1368" spans="1:23" ht="15.6" x14ac:dyDescent="0.4">
      <c r="A1368" s="2" t="s">
        <v>4472</v>
      </c>
      <c r="B1368" s="5" t="s">
        <v>7849</v>
      </c>
      <c r="C1368" s="7" t="s">
        <v>12556</v>
      </c>
      <c r="D1368" s="8">
        <f t="shared" si="88"/>
        <v>0</v>
      </c>
      <c r="E1368" s="7" t="s">
        <v>12557</v>
      </c>
      <c r="F1368" s="7">
        <f t="shared" si="89"/>
        <v>1</v>
      </c>
      <c r="G1368" s="7" t="s">
        <v>12558</v>
      </c>
      <c r="H1368" s="7">
        <f t="shared" si="90"/>
        <v>0</v>
      </c>
      <c r="I1368" s="7" t="str" cm="1">
        <f t="array" ref="I1368">IFERROR(_xlfn.IFS(M1368="נח",1,M1368="נע ונח",1,M1368="שני שווא נח",2,M1368="שני שוואים בסוף מילה",2,M1368="שני שוואים ברצף",1),"0")</f>
        <v>0</v>
      </c>
      <c r="J1368" s="9">
        <f t="shared" si="91"/>
        <v>2</v>
      </c>
      <c r="K1368" t="s">
        <v>6698</v>
      </c>
      <c r="L1368" t="s">
        <v>6695</v>
      </c>
      <c r="P1368" t="s">
        <v>6694</v>
      </c>
      <c r="V1368" t="s">
        <v>6694</v>
      </c>
      <c r="W1368" t="s">
        <v>6720</v>
      </c>
    </row>
    <row r="1369" spans="1:23" ht="15.6" x14ac:dyDescent="0.4">
      <c r="A1369" s="2" t="s">
        <v>1187</v>
      </c>
      <c r="B1369" s="5" t="s">
        <v>7850</v>
      </c>
      <c r="C1369" s="7" t="s">
        <v>12556</v>
      </c>
      <c r="D1369" s="8">
        <f t="shared" si="88"/>
        <v>0</v>
      </c>
      <c r="E1369" s="7" t="s">
        <v>12557</v>
      </c>
      <c r="F1369" s="7">
        <f t="shared" si="89"/>
        <v>1</v>
      </c>
      <c r="G1369" s="7" t="s">
        <v>12558</v>
      </c>
      <c r="H1369" s="7">
        <f t="shared" si="90"/>
        <v>0</v>
      </c>
      <c r="I1369" s="7" t="str" cm="1">
        <f t="array" ref="I1369">IFERROR(_xlfn.IFS(M1369="נח",1,M1369="נע ונח",1,M1369="שני שווא נח",2,M1369="שני שוואים בסוף מילה",2,M1369="שני שוואים ברצף",1),"0")</f>
        <v>0</v>
      </c>
      <c r="J1369" s="9">
        <f t="shared" si="91"/>
        <v>1</v>
      </c>
      <c r="K1369" t="s">
        <v>6698</v>
      </c>
      <c r="L1369" t="s">
        <v>6695</v>
      </c>
      <c r="V1369" t="s">
        <v>6694</v>
      </c>
      <c r="W1369" t="s">
        <v>6720</v>
      </c>
    </row>
    <row r="1370" spans="1:23" ht="15.6" x14ac:dyDescent="0.4">
      <c r="A1370" s="2" t="s">
        <v>6309</v>
      </c>
      <c r="B1370" s="5" t="s">
        <v>7851</v>
      </c>
      <c r="C1370" s="7" t="s">
        <v>12556</v>
      </c>
      <c r="D1370" s="8">
        <f t="shared" si="88"/>
        <v>0</v>
      </c>
      <c r="E1370" s="7" t="s">
        <v>12557</v>
      </c>
      <c r="F1370" s="7">
        <f t="shared" si="89"/>
        <v>1</v>
      </c>
      <c r="G1370" s="7" t="s">
        <v>12558</v>
      </c>
      <c r="H1370" s="7">
        <f t="shared" si="90"/>
        <v>0</v>
      </c>
      <c r="I1370" s="7" t="str" cm="1">
        <f t="array" ref="I1370">IFERROR(_xlfn.IFS(M1370="נח",1,M1370="נע ונח",1,M1370="שני שווא נח",2,M1370="שני שוואים בסוף מילה",2,M1370="שני שוואים ברצף",1),"0")</f>
        <v>0</v>
      </c>
      <c r="J1370" s="9">
        <f t="shared" si="91"/>
        <v>2</v>
      </c>
      <c r="K1370" t="s">
        <v>6698</v>
      </c>
      <c r="L1370" t="s">
        <v>6695</v>
      </c>
      <c r="S1370" t="s">
        <v>6694</v>
      </c>
      <c r="V1370" t="s">
        <v>6694</v>
      </c>
      <c r="W1370" t="s">
        <v>6720</v>
      </c>
    </row>
    <row r="1371" spans="1:23" ht="15.6" x14ac:dyDescent="0.4">
      <c r="A1371" s="2" t="s">
        <v>5865</v>
      </c>
      <c r="B1371" s="5" t="s">
        <v>7852</v>
      </c>
      <c r="C1371" s="7" t="s">
        <v>12556</v>
      </c>
      <c r="D1371" s="8">
        <f t="shared" si="88"/>
        <v>1</v>
      </c>
      <c r="E1371" s="7" t="s">
        <v>12557</v>
      </c>
      <c r="F1371" s="7">
        <f t="shared" si="89"/>
        <v>1</v>
      </c>
      <c r="G1371" s="7" t="s">
        <v>12558</v>
      </c>
      <c r="H1371" s="7">
        <f t="shared" si="90"/>
        <v>0</v>
      </c>
      <c r="I1371" s="7" t="str" cm="1">
        <f t="array" ref="I1371">IFERROR(_xlfn.IFS(M1371="נח",1,M1371="נע ונח",1,M1371="שני שווא נח",2,M1371="שני שוואים בסוף מילה",2,M1371="שני שוואים ברצף",1),"0")</f>
        <v>0</v>
      </c>
      <c r="J1371" s="9">
        <f t="shared" si="91"/>
        <v>2</v>
      </c>
      <c r="K1371" t="s">
        <v>6698</v>
      </c>
      <c r="L1371" t="s">
        <v>6695</v>
      </c>
      <c r="Q1371" t="s">
        <v>6694</v>
      </c>
      <c r="V1371" t="s">
        <v>6694</v>
      </c>
      <c r="W1371" t="s">
        <v>6720</v>
      </c>
    </row>
    <row r="1372" spans="1:23" ht="15.6" x14ac:dyDescent="0.4">
      <c r="A1372" s="2" t="s">
        <v>4291</v>
      </c>
      <c r="B1372" s="5" t="s">
        <v>7853</v>
      </c>
      <c r="C1372" s="7" t="s">
        <v>12556</v>
      </c>
      <c r="D1372" s="8">
        <f t="shared" si="88"/>
        <v>0</v>
      </c>
      <c r="E1372" s="7" t="s">
        <v>12557</v>
      </c>
      <c r="F1372" s="7">
        <f t="shared" si="89"/>
        <v>3</v>
      </c>
      <c r="G1372" s="7" t="s">
        <v>12558</v>
      </c>
      <c r="H1372" s="7">
        <f t="shared" si="90"/>
        <v>1</v>
      </c>
      <c r="I1372" s="7" t="str" cm="1">
        <f t="array" ref="I1372">IFERROR(_xlfn.IFS(M1372="נח",1,M1372="נע ונח",1,M1372="שני שווא נח",2,M1372="שני שוואים בסוף מילה",2,M1372="שני שוואים ברצף",1),"0")</f>
        <v>0</v>
      </c>
      <c r="J1372" s="9">
        <f t="shared" si="91"/>
        <v>3</v>
      </c>
      <c r="K1372" t="s">
        <v>6697</v>
      </c>
      <c r="L1372" t="s">
        <v>6695</v>
      </c>
      <c r="O1372" t="s">
        <v>6694</v>
      </c>
      <c r="S1372" t="s">
        <v>6694</v>
      </c>
      <c r="U1372" t="s">
        <v>6694</v>
      </c>
      <c r="W1372" t="s">
        <v>6720</v>
      </c>
    </row>
    <row r="1373" spans="1:23" ht="15.6" x14ac:dyDescent="0.4">
      <c r="A1373" s="2" t="s">
        <v>5380</v>
      </c>
      <c r="B1373" s="5" t="s">
        <v>7854</v>
      </c>
      <c r="C1373" s="7" t="s">
        <v>12556</v>
      </c>
      <c r="D1373" s="8">
        <f t="shared" si="88"/>
        <v>0</v>
      </c>
      <c r="E1373" s="7" t="s">
        <v>12557</v>
      </c>
      <c r="F1373" s="7">
        <f t="shared" si="89"/>
        <v>0</v>
      </c>
      <c r="G1373" s="7" t="s">
        <v>12558</v>
      </c>
      <c r="H1373" s="7">
        <f t="shared" si="90"/>
        <v>0</v>
      </c>
      <c r="I1373" s="7" cm="1">
        <f t="array" ref="I1373">IFERROR(_xlfn.IFS(M1373="נח",1,M1373="נע ונח",1,M1373="שני שווא נח",2,M1373="שני שוואים בסוף מילה",2,M1373="שני שוואים ברצף",1),"0")</f>
        <v>1</v>
      </c>
      <c r="J1373" s="9">
        <f t="shared" si="91"/>
        <v>2</v>
      </c>
      <c r="K1373" t="s">
        <v>6698</v>
      </c>
      <c r="L1373" t="s">
        <v>6694</v>
      </c>
      <c r="M1373" t="s">
        <v>6705</v>
      </c>
      <c r="Q1373" t="s">
        <v>6694</v>
      </c>
      <c r="V1373" t="s">
        <v>6694</v>
      </c>
      <c r="W1373" t="s">
        <v>6720</v>
      </c>
    </row>
    <row r="1374" spans="1:23" ht="15.6" x14ac:dyDescent="0.4">
      <c r="A1374" s="2" t="s">
        <v>5419</v>
      </c>
      <c r="B1374" s="5" t="s">
        <v>7850</v>
      </c>
      <c r="C1374" s="7" t="s">
        <v>12556</v>
      </c>
      <c r="D1374" s="8">
        <f t="shared" si="88"/>
        <v>0</v>
      </c>
      <c r="E1374" s="7" t="s">
        <v>12557</v>
      </c>
      <c r="F1374" s="7">
        <f t="shared" si="89"/>
        <v>0</v>
      </c>
      <c r="G1374" s="7" t="s">
        <v>12558</v>
      </c>
      <c r="H1374" s="7">
        <f t="shared" si="90"/>
        <v>0</v>
      </c>
      <c r="I1374" s="7" t="str" cm="1">
        <f t="array" ref="I1374">IFERROR(_xlfn.IFS(M1374="נח",1,M1374="נע ונח",1,M1374="שני שווא נח",2,M1374="שני שוואים בסוף מילה",2,M1374="שני שוואים ברצף",1),"0")</f>
        <v>0</v>
      </c>
      <c r="J1374" s="9">
        <f t="shared" si="91"/>
        <v>1</v>
      </c>
      <c r="K1374" t="s">
        <v>6698</v>
      </c>
      <c r="L1374" t="s">
        <v>6695</v>
      </c>
      <c r="V1374" t="s">
        <v>6694</v>
      </c>
      <c r="W1374" t="s">
        <v>6720</v>
      </c>
    </row>
    <row r="1375" spans="1:23" ht="15.6" x14ac:dyDescent="0.4">
      <c r="A1375" s="2" t="s">
        <v>5</v>
      </c>
      <c r="B1375" s="5" t="s">
        <v>7853</v>
      </c>
      <c r="C1375" s="7" t="s">
        <v>12556</v>
      </c>
      <c r="D1375" s="8">
        <f t="shared" si="88"/>
        <v>0</v>
      </c>
      <c r="E1375" s="7" t="s">
        <v>12557</v>
      </c>
      <c r="F1375" s="7">
        <f t="shared" si="89"/>
        <v>2</v>
      </c>
      <c r="G1375" s="7" t="s">
        <v>12558</v>
      </c>
      <c r="H1375" s="7">
        <f t="shared" si="90"/>
        <v>1</v>
      </c>
      <c r="I1375" s="7" t="str" cm="1">
        <f t="array" ref="I1375">IFERROR(_xlfn.IFS(M1375="נח",1,M1375="נע ונח",1,M1375="שני שווא נח",2,M1375="שני שוואים בסוף מילה",2,M1375="שני שוואים ברצף",1),"0")</f>
        <v>0</v>
      </c>
      <c r="J1375" s="9">
        <f t="shared" si="91"/>
        <v>3</v>
      </c>
      <c r="K1375" t="s">
        <v>6697</v>
      </c>
      <c r="L1375" t="s">
        <v>6695</v>
      </c>
      <c r="O1375" t="s">
        <v>6694</v>
      </c>
      <c r="S1375" t="s">
        <v>6694</v>
      </c>
      <c r="U1375" t="s">
        <v>6694</v>
      </c>
      <c r="W1375" t="s">
        <v>6720</v>
      </c>
    </row>
    <row r="1376" spans="1:23" ht="15.6" x14ac:dyDescent="0.4">
      <c r="A1376" s="2" t="s">
        <v>129</v>
      </c>
      <c r="B1376" s="5" t="s">
        <v>7855</v>
      </c>
      <c r="C1376" s="7" t="s">
        <v>12556</v>
      </c>
      <c r="D1376" s="8">
        <f t="shared" si="88"/>
        <v>0</v>
      </c>
      <c r="E1376" s="7" t="s">
        <v>12557</v>
      </c>
      <c r="F1376" s="7">
        <f t="shared" si="89"/>
        <v>1</v>
      </c>
      <c r="G1376" s="7" t="s">
        <v>12558</v>
      </c>
      <c r="H1376" s="7">
        <f t="shared" si="90"/>
        <v>1</v>
      </c>
      <c r="I1376" s="7" t="str" cm="1">
        <f t="array" ref="I1376">IFERROR(_xlfn.IFS(M1376="נח",1,M1376="נע ונח",1,M1376="שני שווא נח",2,M1376="שני שוואים בסוף מילה",2,M1376="שני שוואים ברצף",1),"0")</f>
        <v>0</v>
      </c>
      <c r="J1376" s="9">
        <f t="shared" si="91"/>
        <v>2</v>
      </c>
      <c r="K1376" t="s">
        <v>6697</v>
      </c>
      <c r="L1376" t="s">
        <v>6695</v>
      </c>
      <c r="O1376" t="s">
        <v>6694</v>
      </c>
      <c r="U1376" t="s">
        <v>6694</v>
      </c>
      <c r="W1376" t="s">
        <v>6720</v>
      </c>
    </row>
    <row r="1377" spans="1:23" ht="15.6" x14ac:dyDescent="0.4">
      <c r="A1377" s="2" t="s">
        <v>6376</v>
      </c>
      <c r="B1377" s="5" t="s">
        <v>7856</v>
      </c>
      <c r="C1377" s="7" t="s">
        <v>12556</v>
      </c>
      <c r="D1377" s="8">
        <f t="shared" si="88"/>
        <v>1</v>
      </c>
      <c r="E1377" s="7" t="s">
        <v>12557</v>
      </c>
      <c r="F1377" s="7">
        <f t="shared" si="89"/>
        <v>0</v>
      </c>
      <c r="G1377" s="7" t="s">
        <v>12558</v>
      </c>
      <c r="H1377" s="7">
        <f t="shared" si="90"/>
        <v>0</v>
      </c>
      <c r="I1377" s="7" t="str" cm="1">
        <f t="array" ref="I1377">IFERROR(_xlfn.IFS(M1377="נח",1,M1377="נע ונח",1,M1377="שני שווא נח",2,M1377="שני שוואים בסוף מילה",2,M1377="שני שוואים ברצף",1),"0")</f>
        <v>0</v>
      </c>
      <c r="J1377" s="9">
        <f t="shared" si="91"/>
        <v>4</v>
      </c>
      <c r="K1377" t="s">
        <v>6698</v>
      </c>
      <c r="L1377" t="s">
        <v>6695</v>
      </c>
      <c r="O1377" t="s">
        <v>6694</v>
      </c>
      <c r="R1377" t="s">
        <v>6694</v>
      </c>
      <c r="S1377" t="s">
        <v>6694</v>
      </c>
      <c r="V1377" t="s">
        <v>6694</v>
      </c>
      <c r="W1377" t="s">
        <v>6720</v>
      </c>
    </row>
    <row r="1378" spans="1:23" ht="15.6" x14ac:dyDescent="0.4">
      <c r="A1378" s="2" t="s">
        <v>3972</v>
      </c>
      <c r="B1378" s="5" t="s">
        <v>7857</v>
      </c>
      <c r="C1378" s="7" t="s">
        <v>12556</v>
      </c>
      <c r="D1378" s="8">
        <f t="shared" si="88"/>
        <v>1</v>
      </c>
      <c r="E1378" s="7" t="s">
        <v>12557</v>
      </c>
      <c r="F1378" s="7">
        <f t="shared" si="89"/>
        <v>0</v>
      </c>
      <c r="G1378" s="7" t="s">
        <v>12558</v>
      </c>
      <c r="H1378" s="7">
        <f t="shared" si="90"/>
        <v>0</v>
      </c>
      <c r="I1378" s="7" t="str" cm="1">
        <f t="array" ref="I1378">IFERROR(_xlfn.IFS(M1378="נח",1,M1378="נע ונח",1,M1378="שני שווא נח",2,M1378="שני שוואים בסוף מילה",2,M1378="שני שוואים ברצף",1),"0")</f>
        <v>0</v>
      </c>
      <c r="J1378" s="9">
        <f t="shared" si="91"/>
        <v>4</v>
      </c>
      <c r="K1378" t="s">
        <v>6697</v>
      </c>
      <c r="L1378" t="s">
        <v>6695</v>
      </c>
      <c r="O1378" t="s">
        <v>6694</v>
      </c>
      <c r="R1378" t="s">
        <v>6694</v>
      </c>
      <c r="S1378" t="s">
        <v>6694</v>
      </c>
      <c r="V1378" t="s">
        <v>6694</v>
      </c>
      <c r="W1378" t="s">
        <v>6720</v>
      </c>
    </row>
    <row r="1379" spans="1:23" ht="15.6" x14ac:dyDescent="0.4">
      <c r="A1379" s="2" t="s">
        <v>458</v>
      </c>
      <c r="B1379" s="5" t="s">
        <v>7858</v>
      </c>
      <c r="C1379" s="7" t="s">
        <v>12556</v>
      </c>
      <c r="D1379" s="8">
        <f t="shared" si="88"/>
        <v>0</v>
      </c>
      <c r="E1379" s="7" t="s">
        <v>12557</v>
      </c>
      <c r="F1379" s="7">
        <f t="shared" si="89"/>
        <v>0</v>
      </c>
      <c r="G1379" s="7" t="s">
        <v>12558</v>
      </c>
      <c r="H1379" s="7">
        <f t="shared" si="90"/>
        <v>0</v>
      </c>
      <c r="I1379" s="7" t="str" cm="1">
        <f t="array" ref="I1379">IFERROR(_xlfn.IFS(M1379="נח",1,M1379="נע ונח",1,M1379="שני שווא נח",2,M1379="שני שוואים בסוף מילה",2,M1379="שני שוואים ברצף",1),"0")</f>
        <v>0</v>
      </c>
      <c r="J1379" s="9">
        <f t="shared" si="91"/>
        <v>2</v>
      </c>
      <c r="K1379" t="s">
        <v>6697</v>
      </c>
      <c r="L1379" t="s">
        <v>6695</v>
      </c>
      <c r="Q1379" t="s">
        <v>6694</v>
      </c>
      <c r="R1379" t="s">
        <v>6694</v>
      </c>
      <c r="W1379" t="s">
        <v>6720</v>
      </c>
    </row>
    <row r="1380" spans="1:23" ht="15.6" x14ac:dyDescent="0.4">
      <c r="A1380" s="2" t="s">
        <v>5340</v>
      </c>
      <c r="B1380" s="5" t="s">
        <v>7859</v>
      </c>
      <c r="C1380" s="7" t="s">
        <v>12556</v>
      </c>
      <c r="D1380" s="8">
        <f t="shared" si="88"/>
        <v>0</v>
      </c>
      <c r="E1380" s="7" t="s">
        <v>12557</v>
      </c>
      <c r="F1380" s="7">
        <f t="shared" si="89"/>
        <v>0</v>
      </c>
      <c r="G1380" s="7" t="s">
        <v>12558</v>
      </c>
      <c r="H1380" s="7">
        <f t="shared" si="90"/>
        <v>0</v>
      </c>
      <c r="I1380" s="7" t="str" cm="1">
        <f t="array" ref="I1380">IFERROR(_xlfn.IFS(M1380="נח",1,M1380="נע ונח",1,M1380="שני שווא נח",2,M1380="שני שוואים בסוף מילה",2,M1380="שני שוואים ברצף",1),"0")</f>
        <v>0</v>
      </c>
      <c r="J1380" s="9">
        <f t="shared" si="91"/>
        <v>2</v>
      </c>
      <c r="K1380" t="s">
        <v>6698</v>
      </c>
      <c r="L1380" t="s">
        <v>6695</v>
      </c>
      <c r="R1380" t="s">
        <v>6694</v>
      </c>
      <c r="V1380" t="s">
        <v>6694</v>
      </c>
      <c r="W1380" t="s">
        <v>6720</v>
      </c>
    </row>
    <row r="1381" spans="1:23" ht="15.6" x14ac:dyDescent="0.4">
      <c r="A1381" s="2" t="s">
        <v>5078</v>
      </c>
      <c r="B1381" s="5" t="s">
        <v>7860</v>
      </c>
      <c r="C1381" s="7" t="s">
        <v>12556</v>
      </c>
      <c r="D1381" s="8">
        <f t="shared" si="88"/>
        <v>0</v>
      </c>
      <c r="E1381" s="7" t="s">
        <v>12557</v>
      </c>
      <c r="F1381" s="7">
        <f t="shared" si="89"/>
        <v>0</v>
      </c>
      <c r="G1381" s="7" t="s">
        <v>12558</v>
      </c>
      <c r="H1381" s="7">
        <f t="shared" si="90"/>
        <v>0</v>
      </c>
      <c r="I1381" s="7" t="str" cm="1">
        <f t="array" ref="I1381">IFERROR(_xlfn.IFS(M1381="נח",1,M1381="נע ונח",1,M1381="שני שווא נח",2,M1381="שני שוואים בסוף מילה",2,M1381="שני שוואים ברצף",1),"0")</f>
        <v>0</v>
      </c>
      <c r="J1381" s="9">
        <f t="shared" si="91"/>
        <v>4</v>
      </c>
      <c r="K1381" t="s">
        <v>6697</v>
      </c>
      <c r="L1381" t="s">
        <v>6695</v>
      </c>
      <c r="R1381" t="s">
        <v>6694</v>
      </c>
      <c r="S1381" t="s">
        <v>6694</v>
      </c>
      <c r="V1381" t="s">
        <v>6694</v>
      </c>
      <c r="W1381" t="s">
        <v>6720</v>
      </c>
    </row>
    <row r="1382" spans="1:23" ht="15.6" x14ac:dyDescent="0.4">
      <c r="A1382" s="2" t="s">
        <v>5208</v>
      </c>
      <c r="B1382" s="5" t="s">
        <v>7861</v>
      </c>
      <c r="C1382" s="7" t="s">
        <v>12556</v>
      </c>
      <c r="D1382" s="8">
        <f t="shared" si="88"/>
        <v>0</v>
      </c>
      <c r="E1382" s="7" t="s">
        <v>12557</v>
      </c>
      <c r="F1382" s="7">
        <f t="shared" si="89"/>
        <v>0</v>
      </c>
      <c r="G1382" s="7" t="s">
        <v>12558</v>
      </c>
      <c r="H1382" s="7">
        <f t="shared" si="90"/>
        <v>0</v>
      </c>
      <c r="I1382" s="7" t="str" cm="1">
        <f t="array" ref="I1382">IFERROR(_xlfn.IFS(M1382="נח",1,M1382="נע ונח",1,M1382="שני שווא נח",2,M1382="שני שוואים בסוף מילה",2,M1382="שני שוואים ברצף",1),"0")</f>
        <v>0</v>
      </c>
      <c r="J1382" s="9">
        <f t="shared" si="91"/>
        <v>4</v>
      </c>
      <c r="K1382" t="s">
        <v>6697</v>
      </c>
      <c r="L1382" t="s">
        <v>6695</v>
      </c>
      <c r="R1382" t="s">
        <v>6694</v>
      </c>
      <c r="S1382" t="s">
        <v>6694</v>
      </c>
      <c r="V1382" t="s">
        <v>6694</v>
      </c>
      <c r="W1382" t="s">
        <v>6720</v>
      </c>
    </row>
    <row r="1383" spans="1:23" ht="15.6" x14ac:dyDescent="0.4">
      <c r="A1383" s="2" t="s">
        <v>4925</v>
      </c>
      <c r="B1383" s="5" t="s">
        <v>7862</v>
      </c>
      <c r="C1383" s="7" t="s">
        <v>12556</v>
      </c>
      <c r="D1383" s="8">
        <f t="shared" si="88"/>
        <v>1</v>
      </c>
      <c r="E1383" s="7" t="s">
        <v>12557</v>
      </c>
      <c r="F1383" s="7">
        <f t="shared" si="89"/>
        <v>0</v>
      </c>
      <c r="G1383" s="7" t="s">
        <v>12558</v>
      </c>
      <c r="H1383" s="7">
        <f t="shared" si="90"/>
        <v>0</v>
      </c>
      <c r="I1383" s="7" t="str" cm="1">
        <f t="array" ref="I1383">IFERROR(_xlfn.IFS(M1383="נח",1,M1383="נע ונח",1,M1383="שני שווא נח",2,M1383="שני שוואים בסוף מילה",2,M1383="שני שוואים ברצף",1),"0")</f>
        <v>0</v>
      </c>
      <c r="J1383" s="9">
        <f t="shared" si="91"/>
        <v>4</v>
      </c>
      <c r="K1383" t="s">
        <v>6698</v>
      </c>
      <c r="L1383" t="s">
        <v>6695</v>
      </c>
      <c r="O1383" t="s">
        <v>6694</v>
      </c>
      <c r="R1383" t="s">
        <v>6694</v>
      </c>
      <c r="S1383" t="s">
        <v>6694</v>
      </c>
      <c r="V1383" t="s">
        <v>6694</v>
      </c>
      <c r="W1383" t="s">
        <v>6720</v>
      </c>
    </row>
    <row r="1384" spans="1:23" ht="15.6" x14ac:dyDescent="0.4">
      <c r="A1384" s="2" t="s">
        <v>293</v>
      </c>
      <c r="B1384" s="5" t="s">
        <v>7863</v>
      </c>
      <c r="C1384" s="7" t="s">
        <v>12556</v>
      </c>
      <c r="D1384" s="8">
        <f t="shared" si="88"/>
        <v>0</v>
      </c>
      <c r="E1384" s="7" t="s">
        <v>12557</v>
      </c>
      <c r="F1384" s="7">
        <f t="shared" si="89"/>
        <v>0</v>
      </c>
      <c r="G1384" s="7" t="s">
        <v>12558</v>
      </c>
      <c r="H1384" s="7">
        <f t="shared" si="90"/>
        <v>0</v>
      </c>
      <c r="I1384" s="7" t="str" cm="1">
        <f t="array" ref="I1384">IFERROR(_xlfn.IFS(M1384="נח",1,M1384="נע ונח",1,M1384="שני שווא נח",2,M1384="שני שוואים בסוף מילה",2,M1384="שני שוואים ברצף",1),"0")</f>
        <v>0</v>
      </c>
      <c r="J1384" s="9">
        <f t="shared" si="91"/>
        <v>4</v>
      </c>
      <c r="K1384" t="s">
        <v>6697</v>
      </c>
      <c r="L1384" t="s">
        <v>6695</v>
      </c>
      <c r="P1384" t="s">
        <v>6694</v>
      </c>
      <c r="Q1384" t="s">
        <v>6694</v>
      </c>
      <c r="S1384" t="s">
        <v>6694</v>
      </c>
      <c r="W1384" t="s">
        <v>6720</v>
      </c>
    </row>
    <row r="1385" spans="1:23" ht="15.6" x14ac:dyDescent="0.4">
      <c r="A1385" s="2" t="s">
        <v>4437</v>
      </c>
      <c r="B1385" s="5" t="s">
        <v>7864</v>
      </c>
      <c r="C1385" s="7" t="s">
        <v>12556</v>
      </c>
      <c r="D1385" s="8">
        <f t="shared" si="88"/>
        <v>0</v>
      </c>
      <c r="E1385" s="7" t="s">
        <v>12557</v>
      </c>
      <c r="F1385" s="7">
        <f t="shared" si="89"/>
        <v>1</v>
      </c>
      <c r="G1385" s="7" t="s">
        <v>12558</v>
      </c>
      <c r="H1385" s="7">
        <f t="shared" si="90"/>
        <v>1</v>
      </c>
      <c r="I1385" s="7" t="str" cm="1">
        <f t="array" ref="I1385">IFERROR(_xlfn.IFS(M1385="נח",1,M1385="נע ונח",1,M1385="שני שווא נח",2,M1385="שני שוואים בסוף מילה",2,M1385="שני שוואים ברצף",1),"0")</f>
        <v>0</v>
      </c>
      <c r="J1385" s="9">
        <f t="shared" si="91"/>
        <v>4</v>
      </c>
      <c r="K1385" t="s">
        <v>6697</v>
      </c>
      <c r="L1385" t="s">
        <v>6695</v>
      </c>
      <c r="O1385" t="s">
        <v>6694</v>
      </c>
      <c r="P1385" t="s">
        <v>6694</v>
      </c>
      <c r="Q1385" t="s">
        <v>6694</v>
      </c>
      <c r="U1385" t="s">
        <v>6694</v>
      </c>
      <c r="W1385" t="s">
        <v>6720</v>
      </c>
    </row>
    <row r="1386" spans="1:23" ht="15.6" x14ac:dyDescent="0.4">
      <c r="A1386" s="2" t="s">
        <v>6317</v>
      </c>
      <c r="B1386" s="5" t="s">
        <v>7865</v>
      </c>
      <c r="C1386" s="7" t="s">
        <v>12556</v>
      </c>
      <c r="D1386" s="8">
        <f t="shared" si="88"/>
        <v>0</v>
      </c>
      <c r="E1386" s="7" t="s">
        <v>12557</v>
      </c>
      <c r="F1386" s="7">
        <f t="shared" si="89"/>
        <v>0</v>
      </c>
      <c r="G1386" s="7" t="s">
        <v>12558</v>
      </c>
      <c r="H1386" s="7">
        <f t="shared" si="90"/>
        <v>0</v>
      </c>
      <c r="I1386" s="7" t="str" cm="1">
        <f t="array" ref="I1386">IFERROR(_xlfn.IFS(M1386="נח",1,M1386="נע ונח",1,M1386="שני שווא נח",2,M1386="שני שוואים בסוף מילה",2,M1386="שני שוואים ברצף",1),"0")</f>
        <v>0</v>
      </c>
      <c r="J1386" s="9">
        <f t="shared" si="91"/>
        <v>3</v>
      </c>
      <c r="K1386" t="s">
        <v>6697</v>
      </c>
      <c r="L1386" t="s">
        <v>6695</v>
      </c>
      <c r="P1386" t="s">
        <v>6694</v>
      </c>
      <c r="S1386" t="s">
        <v>6694</v>
      </c>
      <c r="W1386" t="s">
        <v>6720</v>
      </c>
    </row>
    <row r="1387" spans="1:23" ht="15.6" x14ac:dyDescent="0.4">
      <c r="A1387" s="2" t="s">
        <v>5756</v>
      </c>
      <c r="B1387" s="5" t="s">
        <v>7866</v>
      </c>
      <c r="C1387" s="7" t="s">
        <v>12556</v>
      </c>
      <c r="D1387" s="8">
        <f t="shared" si="88"/>
        <v>0</v>
      </c>
      <c r="E1387" s="7" t="s">
        <v>12557</v>
      </c>
      <c r="F1387" s="7">
        <f t="shared" si="89"/>
        <v>0</v>
      </c>
      <c r="G1387" s="7" t="s">
        <v>12558</v>
      </c>
      <c r="H1387" s="7">
        <f t="shared" si="90"/>
        <v>0</v>
      </c>
      <c r="I1387" s="7" t="str" cm="1">
        <f t="array" ref="I1387">IFERROR(_xlfn.IFS(M1387="נח",1,M1387="נע ונח",1,M1387="שני שווא נח",2,M1387="שני שוואים בסוף מילה",2,M1387="שני שוואים ברצף",1),"0")</f>
        <v>0</v>
      </c>
      <c r="J1387" s="9">
        <f t="shared" si="91"/>
        <v>2</v>
      </c>
      <c r="K1387" t="s">
        <v>6698</v>
      </c>
      <c r="L1387" t="s">
        <v>6695</v>
      </c>
      <c r="P1387" t="s">
        <v>6694</v>
      </c>
      <c r="W1387" t="s">
        <v>6720</v>
      </c>
    </row>
    <row r="1388" spans="1:23" ht="15.6" x14ac:dyDescent="0.4">
      <c r="A1388" s="2" t="s">
        <v>2870</v>
      </c>
      <c r="B1388" s="5" t="s">
        <v>7867</v>
      </c>
      <c r="C1388" s="7" t="s">
        <v>12556</v>
      </c>
      <c r="D1388" s="8">
        <f t="shared" si="88"/>
        <v>0</v>
      </c>
      <c r="E1388" s="7" t="s">
        <v>12557</v>
      </c>
      <c r="F1388" s="7">
        <f t="shared" si="89"/>
        <v>0</v>
      </c>
      <c r="G1388" s="7" t="s">
        <v>12558</v>
      </c>
      <c r="H1388" s="7">
        <f t="shared" si="90"/>
        <v>0</v>
      </c>
      <c r="I1388" s="7" t="str" cm="1">
        <f t="array" ref="I1388">IFERROR(_xlfn.IFS(M1388="נח",1,M1388="נע ונח",1,M1388="שני שווא נח",2,M1388="שני שוואים בסוף מילה",2,M1388="שני שוואים ברצף",1),"0")</f>
        <v>0</v>
      </c>
      <c r="J1388" s="9">
        <f t="shared" si="91"/>
        <v>2</v>
      </c>
      <c r="K1388" t="s">
        <v>6698</v>
      </c>
      <c r="L1388" t="s">
        <v>6695</v>
      </c>
      <c r="P1388" t="s">
        <v>6694</v>
      </c>
      <c r="V1388" t="s">
        <v>6694</v>
      </c>
      <c r="W1388" t="s">
        <v>6720</v>
      </c>
    </row>
    <row r="1389" spans="1:23" ht="15.6" x14ac:dyDescent="0.4">
      <c r="A1389" s="2" t="s">
        <v>3218</v>
      </c>
      <c r="B1389" s="5" t="s">
        <v>7868</v>
      </c>
      <c r="C1389" s="7" t="s">
        <v>12556</v>
      </c>
      <c r="D1389" s="8">
        <f t="shared" si="88"/>
        <v>1</v>
      </c>
      <c r="E1389" s="7" t="s">
        <v>12557</v>
      </c>
      <c r="F1389" s="7">
        <f t="shared" si="89"/>
        <v>0</v>
      </c>
      <c r="G1389" s="7" t="s">
        <v>12558</v>
      </c>
      <c r="H1389" s="7">
        <f t="shared" si="90"/>
        <v>0</v>
      </c>
      <c r="I1389" s="7" t="str" cm="1">
        <f t="array" ref="I1389">IFERROR(_xlfn.IFS(M1389="נח",1,M1389="נע ונח",1,M1389="שני שווא נח",2,M1389="שני שוואים בסוף מילה",2,M1389="שני שוואים ברצף",1),"0")</f>
        <v>0</v>
      </c>
      <c r="J1389" s="9">
        <f t="shared" si="91"/>
        <v>2</v>
      </c>
      <c r="K1389" t="s">
        <v>6698</v>
      </c>
      <c r="L1389" t="s">
        <v>6695</v>
      </c>
      <c r="P1389" t="s">
        <v>6694</v>
      </c>
      <c r="Q1389" t="s">
        <v>6694</v>
      </c>
      <c r="W1389" t="s">
        <v>6720</v>
      </c>
    </row>
    <row r="1390" spans="1:23" ht="15.6" x14ac:dyDescent="0.4">
      <c r="A1390" s="2" t="s">
        <v>1923</v>
      </c>
      <c r="B1390" s="5" t="s">
        <v>7869</v>
      </c>
      <c r="C1390" s="7" t="s">
        <v>12556</v>
      </c>
      <c r="D1390" s="8">
        <f t="shared" si="88"/>
        <v>0</v>
      </c>
      <c r="E1390" s="7" t="s">
        <v>12557</v>
      </c>
      <c r="F1390" s="7">
        <f t="shared" si="89"/>
        <v>1</v>
      </c>
      <c r="G1390" s="7" t="s">
        <v>12558</v>
      </c>
      <c r="H1390" s="7">
        <f t="shared" si="90"/>
        <v>0</v>
      </c>
      <c r="I1390" s="7" t="str" cm="1">
        <f t="array" ref="I1390">IFERROR(_xlfn.IFS(M1390="נח",1,M1390="נע ונח",1,M1390="שני שווא נח",2,M1390="שני שוואים בסוף מילה",2,M1390="שני שוואים ברצף",1),"0")</f>
        <v>0</v>
      </c>
      <c r="J1390" s="9">
        <f t="shared" si="91"/>
        <v>3</v>
      </c>
      <c r="K1390" t="s">
        <v>6698</v>
      </c>
      <c r="L1390" t="s">
        <v>6695</v>
      </c>
      <c r="P1390" t="s">
        <v>6694</v>
      </c>
      <c r="S1390" t="s">
        <v>6694</v>
      </c>
      <c r="W1390" t="s">
        <v>6720</v>
      </c>
    </row>
    <row r="1391" spans="1:23" ht="15.6" x14ac:dyDescent="0.4">
      <c r="A1391" s="2" t="s">
        <v>94</v>
      </c>
      <c r="B1391" s="5" t="s">
        <v>7870</v>
      </c>
      <c r="C1391" s="7" t="s">
        <v>12556</v>
      </c>
      <c r="D1391" s="8">
        <f t="shared" si="88"/>
        <v>0</v>
      </c>
      <c r="E1391" s="7" t="s">
        <v>12557</v>
      </c>
      <c r="F1391" s="7">
        <f t="shared" si="89"/>
        <v>0</v>
      </c>
      <c r="G1391" s="7" t="s">
        <v>12558</v>
      </c>
      <c r="H1391" s="7">
        <f t="shared" si="90"/>
        <v>0</v>
      </c>
      <c r="I1391" s="7" t="str" cm="1">
        <f t="array" ref="I1391">IFERROR(_xlfn.IFS(M1391="נח",1,M1391="נע ונח",1,M1391="שני שווא נח",2,M1391="שני שוואים בסוף מילה",2,M1391="שני שוואים ברצף",1),"0")</f>
        <v>0</v>
      </c>
      <c r="J1391" s="9">
        <f t="shared" si="91"/>
        <v>3</v>
      </c>
      <c r="K1391" t="s">
        <v>6698</v>
      </c>
      <c r="L1391" t="s">
        <v>6695</v>
      </c>
      <c r="P1391" t="s">
        <v>6694</v>
      </c>
      <c r="Q1391" t="s">
        <v>6694</v>
      </c>
      <c r="V1391" t="s">
        <v>6694</v>
      </c>
      <c r="W1391" t="s">
        <v>6720</v>
      </c>
    </row>
    <row r="1392" spans="1:23" ht="15.6" x14ac:dyDescent="0.4">
      <c r="A1392" s="2" t="s">
        <v>1921</v>
      </c>
      <c r="B1392" s="5" t="s">
        <v>7871</v>
      </c>
      <c r="C1392" s="7" t="s">
        <v>12556</v>
      </c>
      <c r="D1392" s="8">
        <f t="shared" si="88"/>
        <v>0</v>
      </c>
      <c r="E1392" s="7" t="s">
        <v>12557</v>
      </c>
      <c r="F1392" s="7">
        <f t="shared" si="89"/>
        <v>0</v>
      </c>
      <c r="G1392" s="7" t="s">
        <v>12558</v>
      </c>
      <c r="H1392" s="7">
        <f t="shared" si="90"/>
        <v>0</v>
      </c>
      <c r="I1392" s="7" cm="1">
        <f t="array" ref="I1392">IFERROR(_xlfn.IFS(M1392="נח",1,M1392="נע ונח",1,M1392="שני שווא נח",2,M1392="שני שוואים בסוף מילה",2,M1392="שני שוואים ברצף",1),"0")</f>
        <v>1</v>
      </c>
      <c r="J1392" s="9">
        <f t="shared" si="91"/>
        <v>3</v>
      </c>
      <c r="K1392" t="s">
        <v>6697</v>
      </c>
      <c r="L1392" t="s">
        <v>6694</v>
      </c>
      <c r="M1392" t="s">
        <v>6705</v>
      </c>
      <c r="O1392" t="s">
        <v>6694</v>
      </c>
      <c r="P1392" t="s">
        <v>6694</v>
      </c>
      <c r="V1392" t="s">
        <v>6694</v>
      </c>
      <c r="W1392" t="s">
        <v>6720</v>
      </c>
    </row>
    <row r="1393" spans="1:23" ht="15.6" x14ac:dyDescent="0.4">
      <c r="A1393" s="2" t="s">
        <v>5750</v>
      </c>
      <c r="B1393" s="5" t="s">
        <v>7872</v>
      </c>
      <c r="C1393" s="7" t="s">
        <v>12556</v>
      </c>
      <c r="D1393" s="8">
        <f t="shared" si="88"/>
        <v>0</v>
      </c>
      <c r="E1393" s="7" t="s">
        <v>12557</v>
      </c>
      <c r="F1393" s="7">
        <f t="shared" si="89"/>
        <v>1</v>
      </c>
      <c r="G1393" s="7" t="s">
        <v>12558</v>
      </c>
      <c r="H1393" s="7">
        <f t="shared" si="90"/>
        <v>1</v>
      </c>
      <c r="I1393" s="7" t="str" cm="1">
        <f t="array" ref="I1393">IFERROR(_xlfn.IFS(M1393="נח",1,M1393="נע ונח",1,M1393="שני שווא נח",2,M1393="שני שוואים בסוף מילה",2,M1393="שני שוואים ברצף",1),"0")</f>
        <v>0</v>
      </c>
      <c r="J1393" s="9">
        <f t="shared" si="91"/>
        <v>3</v>
      </c>
      <c r="K1393" t="s">
        <v>6698</v>
      </c>
      <c r="L1393" t="s">
        <v>6695</v>
      </c>
      <c r="P1393" t="s">
        <v>6694</v>
      </c>
      <c r="U1393" t="s">
        <v>6694</v>
      </c>
      <c r="W1393" t="s">
        <v>6720</v>
      </c>
    </row>
    <row r="1394" spans="1:23" ht="15.6" x14ac:dyDescent="0.4">
      <c r="A1394" s="2" t="s">
        <v>5679</v>
      </c>
      <c r="B1394" s="5" t="s">
        <v>7873</v>
      </c>
      <c r="C1394" s="7" t="s">
        <v>12556</v>
      </c>
      <c r="D1394" s="8">
        <f t="shared" si="88"/>
        <v>0</v>
      </c>
      <c r="E1394" s="7" t="s">
        <v>12557</v>
      </c>
      <c r="F1394" s="7">
        <f t="shared" si="89"/>
        <v>0</v>
      </c>
      <c r="G1394" s="7" t="s">
        <v>12558</v>
      </c>
      <c r="H1394" s="7">
        <f t="shared" si="90"/>
        <v>0</v>
      </c>
      <c r="I1394" s="7" t="str" cm="1">
        <f t="array" ref="I1394">IFERROR(_xlfn.IFS(M1394="נח",1,M1394="נע ונח",1,M1394="שני שווא נח",2,M1394="שני שוואים בסוף מילה",2,M1394="שני שוואים ברצף",1),"0")</f>
        <v>0</v>
      </c>
      <c r="J1394" s="9">
        <f t="shared" si="91"/>
        <v>4</v>
      </c>
      <c r="K1394" t="s">
        <v>6698</v>
      </c>
      <c r="L1394" t="s">
        <v>6695</v>
      </c>
      <c r="O1394" t="s">
        <v>6694</v>
      </c>
      <c r="P1394" t="s">
        <v>6694</v>
      </c>
      <c r="S1394" t="s">
        <v>6694</v>
      </c>
      <c r="V1394" t="s">
        <v>6694</v>
      </c>
      <c r="W1394" t="s">
        <v>6720</v>
      </c>
    </row>
    <row r="1395" spans="1:23" ht="15.6" x14ac:dyDescent="0.4">
      <c r="A1395" s="2" t="s">
        <v>4561</v>
      </c>
      <c r="B1395" s="5" t="s">
        <v>7874</v>
      </c>
      <c r="C1395" s="7" t="s">
        <v>12556</v>
      </c>
      <c r="D1395" s="8">
        <f t="shared" si="88"/>
        <v>0</v>
      </c>
      <c r="E1395" s="7" t="s">
        <v>12557</v>
      </c>
      <c r="F1395" s="7">
        <f t="shared" si="89"/>
        <v>0</v>
      </c>
      <c r="G1395" s="7" t="s">
        <v>12558</v>
      </c>
      <c r="H1395" s="7">
        <f t="shared" si="90"/>
        <v>0</v>
      </c>
      <c r="I1395" s="7" t="str" cm="1">
        <f t="array" ref="I1395">IFERROR(_xlfn.IFS(M1395="נח",1,M1395="נע ונח",1,M1395="שני שווא נח",2,M1395="שני שוואים בסוף מילה",2,M1395="שני שוואים ברצף",1),"0")</f>
        <v>0</v>
      </c>
      <c r="J1395" s="9">
        <f t="shared" si="91"/>
        <v>3</v>
      </c>
      <c r="K1395" t="s">
        <v>6698</v>
      </c>
      <c r="L1395" t="s">
        <v>6695</v>
      </c>
      <c r="P1395" t="s">
        <v>6694</v>
      </c>
      <c r="S1395" t="s">
        <v>6694</v>
      </c>
      <c r="V1395" t="s">
        <v>6694</v>
      </c>
      <c r="W1395" t="s">
        <v>6720</v>
      </c>
    </row>
    <row r="1396" spans="1:23" ht="15.6" x14ac:dyDescent="0.4">
      <c r="A1396" s="2" t="s">
        <v>4560</v>
      </c>
      <c r="B1396" s="5" t="s">
        <v>7875</v>
      </c>
      <c r="C1396" s="7" t="s">
        <v>12556</v>
      </c>
      <c r="D1396" s="8">
        <f t="shared" si="88"/>
        <v>0</v>
      </c>
      <c r="E1396" s="7" t="s">
        <v>12557</v>
      </c>
      <c r="F1396" s="7">
        <f t="shared" si="89"/>
        <v>0</v>
      </c>
      <c r="G1396" s="7" t="s">
        <v>12558</v>
      </c>
      <c r="H1396" s="7">
        <f t="shared" si="90"/>
        <v>0</v>
      </c>
      <c r="I1396" s="7" t="str" cm="1">
        <f t="array" ref="I1396">IFERROR(_xlfn.IFS(M1396="נח",1,M1396="נע ונח",1,M1396="שני שווא נח",2,M1396="שני שוואים בסוף מילה",2,M1396="שני שוואים ברצף",1),"0")</f>
        <v>0</v>
      </c>
      <c r="J1396" s="9">
        <f t="shared" si="91"/>
        <v>5</v>
      </c>
      <c r="K1396" t="s">
        <v>6697</v>
      </c>
      <c r="L1396" t="s">
        <v>6695</v>
      </c>
      <c r="O1396" t="s">
        <v>6694</v>
      </c>
      <c r="P1396" t="s">
        <v>6694</v>
      </c>
      <c r="R1396" t="s">
        <v>6694</v>
      </c>
      <c r="S1396" t="s">
        <v>6694</v>
      </c>
      <c r="V1396" t="s">
        <v>6694</v>
      </c>
      <c r="W1396" t="s">
        <v>6720</v>
      </c>
    </row>
    <row r="1397" spans="1:23" ht="15.6" x14ac:dyDescent="0.4">
      <c r="A1397" s="2" t="s">
        <v>89</v>
      </c>
      <c r="B1397" s="5" t="s">
        <v>7876</v>
      </c>
      <c r="C1397" s="7" t="s">
        <v>12556</v>
      </c>
      <c r="D1397" s="8">
        <f t="shared" si="88"/>
        <v>0</v>
      </c>
      <c r="E1397" s="7" t="s">
        <v>12557</v>
      </c>
      <c r="F1397" s="7">
        <f t="shared" si="89"/>
        <v>0</v>
      </c>
      <c r="G1397" s="7" t="s">
        <v>12558</v>
      </c>
      <c r="H1397" s="7">
        <f t="shared" si="90"/>
        <v>0</v>
      </c>
      <c r="I1397" s="7" t="str" cm="1">
        <f t="array" ref="I1397">IFERROR(_xlfn.IFS(M1397="נח",1,M1397="נע ונח",1,M1397="שני שווא נח",2,M1397="שני שוואים בסוף מילה",2,M1397="שני שוואים ברצף",1),"0")</f>
        <v>0</v>
      </c>
      <c r="J1397" s="9">
        <f t="shared" si="91"/>
        <v>2</v>
      </c>
      <c r="K1397" t="s">
        <v>6697</v>
      </c>
      <c r="L1397" t="s">
        <v>6695</v>
      </c>
      <c r="P1397" t="s">
        <v>6694</v>
      </c>
      <c r="V1397" t="s">
        <v>6694</v>
      </c>
      <c r="W1397" t="s">
        <v>6720</v>
      </c>
    </row>
    <row r="1398" spans="1:23" ht="15.6" x14ac:dyDescent="0.4">
      <c r="A1398" s="2" t="s">
        <v>5405</v>
      </c>
      <c r="B1398" s="5" t="s">
        <v>7877</v>
      </c>
      <c r="C1398" s="7" t="s">
        <v>12556</v>
      </c>
      <c r="D1398" s="8">
        <f t="shared" si="88"/>
        <v>0</v>
      </c>
      <c r="E1398" s="7" t="s">
        <v>12557</v>
      </c>
      <c r="F1398" s="7">
        <f t="shared" si="89"/>
        <v>0</v>
      </c>
      <c r="G1398" s="7" t="s">
        <v>12558</v>
      </c>
      <c r="H1398" s="7">
        <f t="shared" si="90"/>
        <v>0</v>
      </c>
      <c r="I1398" s="7" t="str" cm="1">
        <f t="array" ref="I1398">IFERROR(_xlfn.IFS(M1398="נח",1,M1398="נע ונח",1,M1398="שני שווא נח",2,M1398="שני שוואים בסוף מילה",2,M1398="שני שוואים ברצף",1),"0")</f>
        <v>0</v>
      </c>
      <c r="J1398" s="9">
        <f t="shared" si="91"/>
        <v>2</v>
      </c>
      <c r="K1398" t="s">
        <v>6698</v>
      </c>
      <c r="L1398" t="s">
        <v>6695</v>
      </c>
      <c r="P1398" t="s">
        <v>6694</v>
      </c>
      <c r="V1398" t="s">
        <v>6694</v>
      </c>
      <c r="W1398" t="s">
        <v>6720</v>
      </c>
    </row>
    <row r="1399" spans="1:23" ht="15.6" x14ac:dyDescent="0.4">
      <c r="A1399" s="2" t="s">
        <v>5085</v>
      </c>
      <c r="B1399" s="5" t="s">
        <v>7878</v>
      </c>
      <c r="C1399" s="7" t="s">
        <v>12556</v>
      </c>
      <c r="D1399" s="8">
        <f t="shared" si="88"/>
        <v>0</v>
      </c>
      <c r="E1399" s="7" t="s">
        <v>12557</v>
      </c>
      <c r="F1399" s="7">
        <f t="shared" si="89"/>
        <v>0</v>
      </c>
      <c r="G1399" s="7" t="s">
        <v>12558</v>
      </c>
      <c r="H1399" s="7">
        <f t="shared" si="90"/>
        <v>0</v>
      </c>
      <c r="I1399" s="7" t="str" cm="1">
        <f t="array" ref="I1399">IFERROR(_xlfn.IFS(M1399="נח",1,M1399="נע ונח",1,M1399="שני שווא נח",2,M1399="שני שוואים בסוף מילה",2,M1399="שני שוואים ברצף",1),"0")</f>
        <v>0</v>
      </c>
      <c r="J1399" s="9">
        <f t="shared" si="91"/>
        <v>2</v>
      </c>
      <c r="K1399" t="s">
        <v>6697</v>
      </c>
      <c r="L1399" t="s">
        <v>6695</v>
      </c>
      <c r="P1399" t="s">
        <v>6694</v>
      </c>
      <c r="V1399" t="s">
        <v>6694</v>
      </c>
      <c r="W1399" t="s">
        <v>6720</v>
      </c>
    </row>
    <row r="1400" spans="1:23" ht="15.6" x14ac:dyDescent="0.4">
      <c r="A1400" s="2" t="s">
        <v>4200</v>
      </c>
      <c r="B1400" s="5" t="s">
        <v>7879</v>
      </c>
      <c r="C1400" s="7" t="s">
        <v>12556</v>
      </c>
      <c r="D1400" s="8">
        <f t="shared" si="88"/>
        <v>0</v>
      </c>
      <c r="E1400" s="7" t="s">
        <v>12557</v>
      </c>
      <c r="F1400" s="7">
        <f t="shared" si="89"/>
        <v>0</v>
      </c>
      <c r="G1400" s="7" t="s">
        <v>12558</v>
      </c>
      <c r="H1400" s="7">
        <f t="shared" si="90"/>
        <v>0</v>
      </c>
      <c r="I1400" s="7" t="str" cm="1">
        <f t="array" ref="I1400">IFERROR(_xlfn.IFS(M1400="נח",1,M1400="נע ונח",1,M1400="שני שווא נח",2,M1400="שני שוואים בסוף מילה",2,M1400="שני שוואים ברצף",1),"0")</f>
        <v>0</v>
      </c>
      <c r="J1400" s="9">
        <f t="shared" si="91"/>
        <v>4</v>
      </c>
      <c r="K1400" t="s">
        <v>6697</v>
      </c>
      <c r="L1400" t="s">
        <v>6695</v>
      </c>
      <c r="P1400" t="s">
        <v>6694</v>
      </c>
      <c r="Q1400" t="s">
        <v>6694</v>
      </c>
      <c r="S1400" t="s">
        <v>6694</v>
      </c>
      <c r="V1400" t="s">
        <v>6694</v>
      </c>
      <c r="W1400" t="s">
        <v>6720</v>
      </c>
    </row>
    <row r="1401" spans="1:23" ht="15.6" x14ac:dyDescent="0.4">
      <c r="A1401" s="2" t="s">
        <v>87</v>
      </c>
      <c r="B1401" s="5" t="s">
        <v>7880</v>
      </c>
      <c r="C1401" s="7" t="s">
        <v>12556</v>
      </c>
      <c r="D1401" s="8">
        <f t="shared" si="88"/>
        <v>0</v>
      </c>
      <c r="E1401" s="7" t="s">
        <v>12557</v>
      </c>
      <c r="F1401" s="7">
        <f t="shared" si="89"/>
        <v>0</v>
      </c>
      <c r="G1401" s="7" t="s">
        <v>12558</v>
      </c>
      <c r="H1401" s="7">
        <f t="shared" si="90"/>
        <v>0</v>
      </c>
      <c r="I1401" s="7" t="str" cm="1">
        <f t="array" ref="I1401">IFERROR(_xlfn.IFS(M1401="נח",1,M1401="נע ונח",1,M1401="שני שווא נח",2,M1401="שני שוואים בסוף מילה",2,M1401="שני שוואים ברצף",1),"0")</f>
        <v>0</v>
      </c>
      <c r="J1401" s="9">
        <f t="shared" si="91"/>
        <v>3</v>
      </c>
      <c r="K1401" t="s">
        <v>6697</v>
      </c>
      <c r="L1401" t="s">
        <v>6695</v>
      </c>
      <c r="P1401" t="s">
        <v>6694</v>
      </c>
      <c r="V1401" t="s">
        <v>6694</v>
      </c>
      <c r="W1401" t="s">
        <v>6720</v>
      </c>
    </row>
    <row r="1402" spans="1:23" ht="15.6" x14ac:dyDescent="0.4">
      <c r="A1402" s="2" t="s">
        <v>4848</v>
      </c>
      <c r="B1402" s="5" t="s">
        <v>7881</v>
      </c>
      <c r="C1402" s="7" t="s">
        <v>12556</v>
      </c>
      <c r="D1402" s="8">
        <f t="shared" si="88"/>
        <v>0</v>
      </c>
      <c r="E1402" s="7" t="s">
        <v>12557</v>
      </c>
      <c r="F1402" s="7">
        <f t="shared" si="89"/>
        <v>0</v>
      </c>
      <c r="G1402" s="7" t="s">
        <v>12558</v>
      </c>
      <c r="H1402" s="7">
        <f t="shared" si="90"/>
        <v>0</v>
      </c>
      <c r="I1402" s="7" t="str" cm="1">
        <f t="array" ref="I1402">IFERROR(_xlfn.IFS(M1402="נח",1,M1402="נע ונח",1,M1402="שני שווא נח",2,M1402="שני שוואים בסוף מילה",2,M1402="שני שוואים ברצף",1),"0")</f>
        <v>0</v>
      </c>
      <c r="J1402" s="9">
        <f t="shared" si="91"/>
        <v>4</v>
      </c>
      <c r="K1402" t="s">
        <v>6697</v>
      </c>
      <c r="L1402" t="s">
        <v>6695</v>
      </c>
      <c r="P1402" t="s">
        <v>6694</v>
      </c>
      <c r="S1402" t="s">
        <v>6694</v>
      </c>
      <c r="V1402" t="s">
        <v>6694</v>
      </c>
      <c r="W1402" t="s">
        <v>6720</v>
      </c>
    </row>
    <row r="1403" spans="1:23" ht="15.6" x14ac:dyDescent="0.4">
      <c r="A1403" s="2" t="s">
        <v>5830</v>
      </c>
      <c r="B1403" s="5" t="s">
        <v>7882</v>
      </c>
      <c r="C1403" s="7" t="s">
        <v>12556</v>
      </c>
      <c r="D1403" s="8">
        <f t="shared" si="88"/>
        <v>0</v>
      </c>
      <c r="E1403" s="7" t="s">
        <v>12557</v>
      </c>
      <c r="F1403" s="7">
        <f t="shared" si="89"/>
        <v>0</v>
      </c>
      <c r="G1403" s="7" t="s">
        <v>12558</v>
      </c>
      <c r="H1403" s="7">
        <f t="shared" si="90"/>
        <v>0</v>
      </c>
      <c r="I1403" s="7" t="str" cm="1">
        <f t="array" ref="I1403">IFERROR(_xlfn.IFS(M1403="נח",1,M1403="נע ונח",1,M1403="שני שווא נח",2,M1403="שני שוואים בסוף מילה",2,M1403="שני שוואים ברצף",1),"0")</f>
        <v>0</v>
      </c>
      <c r="J1403" s="9">
        <f t="shared" si="91"/>
        <v>4</v>
      </c>
      <c r="K1403" t="s">
        <v>6697</v>
      </c>
      <c r="L1403" t="s">
        <v>6695</v>
      </c>
      <c r="P1403" t="s">
        <v>6694</v>
      </c>
      <c r="S1403" t="s">
        <v>6694</v>
      </c>
      <c r="V1403" t="s">
        <v>6694</v>
      </c>
      <c r="W1403" t="s">
        <v>6720</v>
      </c>
    </row>
    <row r="1404" spans="1:23" ht="15.6" x14ac:dyDescent="0.4">
      <c r="A1404" s="2" t="s">
        <v>4146</v>
      </c>
      <c r="B1404" s="5" t="s">
        <v>7883</v>
      </c>
      <c r="C1404" s="7" t="s">
        <v>12556</v>
      </c>
      <c r="D1404" s="8">
        <f t="shared" si="88"/>
        <v>0</v>
      </c>
      <c r="E1404" s="7" t="s">
        <v>12557</v>
      </c>
      <c r="F1404" s="7">
        <f t="shared" si="89"/>
        <v>0</v>
      </c>
      <c r="G1404" s="7" t="s">
        <v>12558</v>
      </c>
      <c r="H1404" s="7">
        <f t="shared" si="90"/>
        <v>0</v>
      </c>
      <c r="I1404" s="7" t="str" cm="1">
        <f t="array" ref="I1404">IFERROR(_xlfn.IFS(M1404="נח",1,M1404="נע ונח",1,M1404="שני שווא נח",2,M1404="שני שוואים בסוף מילה",2,M1404="שני שוואים ברצף",1),"0")</f>
        <v>0</v>
      </c>
      <c r="J1404" s="9">
        <f t="shared" si="91"/>
        <v>2</v>
      </c>
      <c r="K1404" t="s">
        <v>6698</v>
      </c>
      <c r="L1404" t="s">
        <v>6695</v>
      </c>
      <c r="N1404" t="s">
        <v>6706</v>
      </c>
      <c r="O1404" t="s">
        <v>6694</v>
      </c>
      <c r="P1404" t="s">
        <v>6694</v>
      </c>
      <c r="W1404" t="s">
        <v>6720</v>
      </c>
    </row>
    <row r="1405" spans="1:23" ht="15.6" x14ac:dyDescent="0.4">
      <c r="A1405" s="2" t="s">
        <v>4788</v>
      </c>
      <c r="B1405" s="5" t="s">
        <v>7884</v>
      </c>
      <c r="C1405" s="7" t="s">
        <v>12556</v>
      </c>
      <c r="D1405" s="8">
        <f t="shared" si="88"/>
        <v>1</v>
      </c>
      <c r="E1405" s="7" t="s">
        <v>12557</v>
      </c>
      <c r="F1405" s="7">
        <f t="shared" si="89"/>
        <v>1</v>
      </c>
      <c r="G1405" s="7" t="s">
        <v>12558</v>
      </c>
      <c r="H1405" s="7">
        <f t="shared" si="90"/>
        <v>1</v>
      </c>
      <c r="I1405" s="7" t="str" cm="1">
        <f t="array" ref="I1405">IFERROR(_xlfn.IFS(M1405="נח",1,M1405="נע ונח",1,M1405="שני שווא נח",2,M1405="שני שוואים בסוף מילה",2,M1405="שני שוואים ברצף",1),"0")</f>
        <v>0</v>
      </c>
      <c r="J1405" s="9">
        <f t="shared" si="91"/>
        <v>4</v>
      </c>
      <c r="K1405" t="s">
        <v>6697</v>
      </c>
      <c r="L1405" t="s">
        <v>6695</v>
      </c>
      <c r="P1405" t="s">
        <v>6694</v>
      </c>
      <c r="Q1405" t="s">
        <v>6694</v>
      </c>
      <c r="S1405" t="s">
        <v>6694</v>
      </c>
      <c r="U1405" t="s">
        <v>6694</v>
      </c>
      <c r="W1405" t="s">
        <v>6720</v>
      </c>
    </row>
    <row r="1406" spans="1:23" ht="15.6" x14ac:dyDescent="0.4">
      <c r="A1406" s="2" t="s">
        <v>4746</v>
      </c>
      <c r="B1406" s="5" t="s">
        <v>7885</v>
      </c>
      <c r="C1406" s="7" t="s">
        <v>12556</v>
      </c>
      <c r="D1406" s="8">
        <f t="shared" si="88"/>
        <v>1</v>
      </c>
      <c r="E1406" s="7" t="s">
        <v>12557</v>
      </c>
      <c r="F1406" s="7">
        <f t="shared" si="89"/>
        <v>0</v>
      </c>
      <c r="G1406" s="7" t="s">
        <v>12558</v>
      </c>
      <c r="H1406" s="7">
        <f t="shared" si="90"/>
        <v>0</v>
      </c>
      <c r="I1406" s="7" t="str" cm="1">
        <f t="array" ref="I1406">IFERROR(_xlfn.IFS(M1406="נח",1,M1406="נע ונח",1,M1406="שני שווא נח",2,M1406="שני שוואים בסוף מילה",2,M1406="שני שוואים ברצף",1),"0")</f>
        <v>0</v>
      </c>
      <c r="J1406" s="9">
        <f t="shared" si="91"/>
        <v>3</v>
      </c>
      <c r="K1406" t="s">
        <v>6698</v>
      </c>
      <c r="L1406" t="s">
        <v>6695</v>
      </c>
      <c r="O1406" t="s">
        <v>6694</v>
      </c>
      <c r="P1406" t="s">
        <v>6694</v>
      </c>
      <c r="W1406" t="s">
        <v>6720</v>
      </c>
    </row>
    <row r="1407" spans="1:23" ht="15.6" x14ac:dyDescent="0.4">
      <c r="A1407" s="2" t="s">
        <v>5277</v>
      </c>
      <c r="B1407" s="5" t="s">
        <v>7886</v>
      </c>
      <c r="C1407" s="7" t="s">
        <v>12556</v>
      </c>
      <c r="D1407" s="8">
        <f t="shared" si="88"/>
        <v>1</v>
      </c>
      <c r="E1407" s="7" t="s">
        <v>12557</v>
      </c>
      <c r="F1407" s="7">
        <f t="shared" si="89"/>
        <v>1</v>
      </c>
      <c r="G1407" s="7" t="s">
        <v>12558</v>
      </c>
      <c r="H1407" s="7">
        <f t="shared" si="90"/>
        <v>1</v>
      </c>
      <c r="I1407" s="7" cm="1">
        <f t="array" ref="I1407">IFERROR(_xlfn.IFS(M1407="נח",1,M1407="נע ונח",1,M1407="שני שווא נח",2,M1407="שני שוואים בסוף מילה",2,M1407="שני שוואים ברצף",1),"0")</f>
        <v>1</v>
      </c>
      <c r="J1407" s="9">
        <f t="shared" si="91"/>
        <v>3</v>
      </c>
      <c r="K1407" t="s">
        <v>6697</v>
      </c>
      <c r="L1407" t="s">
        <v>6694</v>
      </c>
      <c r="M1407" t="s">
        <v>6705</v>
      </c>
      <c r="S1407" t="s">
        <v>6694</v>
      </c>
      <c r="U1407" t="s">
        <v>6694</v>
      </c>
      <c r="W1407" t="s">
        <v>6720</v>
      </c>
    </row>
    <row r="1408" spans="1:23" ht="15.6" x14ac:dyDescent="0.4">
      <c r="A1408" s="2" t="s">
        <v>434</v>
      </c>
      <c r="B1408" s="5" t="s">
        <v>7887</v>
      </c>
      <c r="C1408" s="7" t="s">
        <v>12556</v>
      </c>
      <c r="D1408" s="8">
        <f t="shared" si="88"/>
        <v>0</v>
      </c>
      <c r="E1408" s="7" t="s">
        <v>12557</v>
      </c>
      <c r="F1408" s="7">
        <f t="shared" si="89"/>
        <v>1</v>
      </c>
      <c r="G1408" s="7" t="s">
        <v>12558</v>
      </c>
      <c r="H1408" s="7">
        <f t="shared" si="90"/>
        <v>0</v>
      </c>
      <c r="I1408" s="7" t="str" cm="1">
        <f t="array" ref="I1408">IFERROR(_xlfn.IFS(M1408="נח",1,M1408="נע ונח",1,M1408="שני שווא נח",2,M1408="שני שוואים בסוף מילה",2,M1408="שני שוואים ברצף",1),"0")</f>
        <v>0</v>
      </c>
      <c r="J1408" s="9">
        <f t="shared" si="91"/>
        <v>2</v>
      </c>
      <c r="K1408" t="s">
        <v>6698</v>
      </c>
      <c r="L1408" t="s">
        <v>6695</v>
      </c>
      <c r="S1408" t="s">
        <v>6694</v>
      </c>
      <c r="W1408" t="s">
        <v>6720</v>
      </c>
    </row>
    <row r="1409" spans="1:23" ht="15.6" x14ac:dyDescent="0.4">
      <c r="A1409" s="2" t="s">
        <v>2748</v>
      </c>
      <c r="B1409" s="5" t="s">
        <v>7888</v>
      </c>
      <c r="C1409" s="7" t="s">
        <v>12556</v>
      </c>
      <c r="D1409" s="8">
        <f t="shared" si="88"/>
        <v>0</v>
      </c>
      <c r="E1409" s="7" t="s">
        <v>12557</v>
      </c>
      <c r="F1409" s="7">
        <f t="shared" si="89"/>
        <v>2</v>
      </c>
      <c r="G1409" s="7" t="s">
        <v>12558</v>
      </c>
      <c r="H1409" s="7">
        <f t="shared" si="90"/>
        <v>1</v>
      </c>
      <c r="I1409" s="7" t="str" cm="1">
        <f t="array" ref="I1409">IFERROR(_xlfn.IFS(M1409="נח",1,M1409="נע ונח",1,M1409="שני שווא נח",2,M1409="שני שוואים בסוף מילה",2,M1409="שני שוואים ברצף",1),"0")</f>
        <v>0</v>
      </c>
      <c r="J1409" s="9">
        <f t="shared" si="91"/>
        <v>3</v>
      </c>
      <c r="K1409" t="s">
        <v>6697</v>
      </c>
      <c r="L1409" t="s">
        <v>6695</v>
      </c>
      <c r="S1409" t="s">
        <v>6694</v>
      </c>
      <c r="U1409" t="s">
        <v>6694</v>
      </c>
      <c r="W1409" t="s">
        <v>6720</v>
      </c>
    </row>
    <row r="1410" spans="1:23" ht="15.6" x14ac:dyDescent="0.4">
      <c r="A1410" s="2" t="s">
        <v>809</v>
      </c>
      <c r="B1410" s="5" t="s">
        <v>7889</v>
      </c>
      <c r="C1410" s="7" t="s">
        <v>12556</v>
      </c>
      <c r="D1410" s="8">
        <f t="shared" si="88"/>
        <v>0</v>
      </c>
      <c r="E1410" s="7" t="s">
        <v>12557</v>
      </c>
      <c r="F1410" s="7">
        <f t="shared" si="89"/>
        <v>1</v>
      </c>
      <c r="G1410" s="7" t="s">
        <v>12558</v>
      </c>
      <c r="H1410" s="7">
        <f t="shared" si="90"/>
        <v>0</v>
      </c>
      <c r="I1410" s="7" cm="1">
        <f t="array" ref="I1410">IFERROR(_xlfn.IFS(M1410="נח",1,M1410="נע ונח",1,M1410="שני שווא נח",2,M1410="שני שוואים בסוף מילה",2,M1410="שני שוואים ברצף",1),"0")</f>
        <v>1</v>
      </c>
      <c r="J1410" s="9">
        <f t="shared" si="91"/>
        <v>2</v>
      </c>
      <c r="K1410" t="s">
        <v>6698</v>
      </c>
      <c r="L1410" t="s">
        <v>6694</v>
      </c>
      <c r="M1410" t="s">
        <v>6705</v>
      </c>
      <c r="S1410" t="s">
        <v>6694</v>
      </c>
      <c r="W1410" t="s">
        <v>6720</v>
      </c>
    </row>
    <row r="1411" spans="1:23" ht="15.6" x14ac:dyDescent="0.4">
      <c r="A1411" s="2" t="s">
        <v>6180</v>
      </c>
      <c r="B1411" s="5" t="s">
        <v>7890</v>
      </c>
      <c r="C1411" s="7" t="s">
        <v>12556</v>
      </c>
      <c r="D1411" s="8">
        <f t="shared" ref="D1411:D1474" si="92">(LEN(B1411)-LEN(SUBSTITUTE(B1411,C1411,"")))</f>
        <v>0</v>
      </c>
      <c r="E1411" s="7" t="s">
        <v>12557</v>
      </c>
      <c r="F1411" s="7">
        <f t="shared" ref="F1411:F1474" si="93">(LEN(A1411)-LEN(SUBSTITUTE(A1411,E1411,"")))</f>
        <v>2</v>
      </c>
      <c r="G1411" s="7" t="s">
        <v>12558</v>
      </c>
      <c r="H1411" s="7">
        <f t="shared" ref="H1411:H1474" si="94">(LEN(A1411)-LEN(SUBSTITUTE(A1411,G1411,"")))/2</f>
        <v>1</v>
      </c>
      <c r="I1411" s="7" cm="1">
        <f t="array" ref="I1411">IFERROR(_xlfn.IFS(M1411="נח",1,M1411="נע ונח",1,M1411="שני שווא נח",2,M1411="שני שוואים בסוף מילה",2,M1411="שני שוואים ברצף",1),"0")</f>
        <v>1</v>
      </c>
      <c r="J1411" s="9">
        <f t="shared" ref="J1411:J1474" si="95">LEN(A1411)-(LEN(B1411))-D1411-F1411+H1411-I1411</f>
        <v>3</v>
      </c>
      <c r="K1411" t="s">
        <v>6697</v>
      </c>
      <c r="L1411" t="s">
        <v>6694</v>
      </c>
      <c r="M1411" t="s">
        <v>6705</v>
      </c>
      <c r="S1411" t="s">
        <v>6694</v>
      </c>
      <c r="U1411" t="s">
        <v>6694</v>
      </c>
      <c r="W1411" t="s">
        <v>6720</v>
      </c>
    </row>
    <row r="1412" spans="1:23" ht="15.6" x14ac:dyDescent="0.4">
      <c r="A1412" s="2" t="s">
        <v>2895</v>
      </c>
      <c r="B1412" s="5" t="s">
        <v>7891</v>
      </c>
      <c r="C1412" s="7" t="s">
        <v>12556</v>
      </c>
      <c r="D1412" s="8">
        <f t="shared" si="92"/>
        <v>0</v>
      </c>
      <c r="E1412" s="7" t="s">
        <v>12557</v>
      </c>
      <c r="F1412" s="7">
        <f t="shared" si="93"/>
        <v>2</v>
      </c>
      <c r="G1412" s="7" t="s">
        <v>12558</v>
      </c>
      <c r="H1412" s="7">
        <f t="shared" si="94"/>
        <v>0</v>
      </c>
      <c r="I1412" s="7" cm="1">
        <f t="array" ref="I1412">IFERROR(_xlfn.IFS(M1412="נח",1,M1412="נע ונח",1,M1412="שני שווא נח",2,M1412="שני שוואים בסוף מילה",2,M1412="שני שוואים ברצף",1),"0")</f>
        <v>2</v>
      </c>
      <c r="J1412" s="9">
        <f t="shared" si="95"/>
        <v>3</v>
      </c>
      <c r="K1412" t="s">
        <v>6698</v>
      </c>
      <c r="L1412" t="s">
        <v>6694</v>
      </c>
      <c r="M1412" t="s">
        <v>6704</v>
      </c>
      <c r="O1412" t="s">
        <v>6694</v>
      </c>
      <c r="P1412" t="s">
        <v>6694</v>
      </c>
      <c r="S1412" t="s">
        <v>6694</v>
      </c>
      <c r="W1412" t="s">
        <v>6720</v>
      </c>
    </row>
    <row r="1413" spans="1:23" ht="15.6" x14ac:dyDescent="0.4">
      <c r="A1413" s="2" t="s">
        <v>1162</v>
      </c>
      <c r="B1413" s="5" t="s">
        <v>7892</v>
      </c>
      <c r="C1413" s="7" t="s">
        <v>12556</v>
      </c>
      <c r="D1413" s="8">
        <f t="shared" si="92"/>
        <v>0</v>
      </c>
      <c r="E1413" s="7" t="s">
        <v>12557</v>
      </c>
      <c r="F1413" s="7">
        <f t="shared" si="93"/>
        <v>1</v>
      </c>
      <c r="G1413" s="7" t="s">
        <v>12558</v>
      </c>
      <c r="H1413" s="7">
        <f t="shared" si="94"/>
        <v>0</v>
      </c>
      <c r="I1413" s="7" t="str" cm="1">
        <f t="array" ref="I1413">IFERROR(_xlfn.IFS(M1413="נח",1,M1413="נע ונח",1,M1413="שני שווא נח",2,M1413="שני שוואים בסוף מילה",2,M1413="שני שוואים ברצף",1),"0")</f>
        <v>0</v>
      </c>
      <c r="J1413" s="9">
        <f t="shared" si="95"/>
        <v>2</v>
      </c>
      <c r="K1413" t="s">
        <v>6698</v>
      </c>
      <c r="L1413" t="s">
        <v>6695</v>
      </c>
      <c r="S1413" t="s">
        <v>6694</v>
      </c>
      <c r="W1413" t="s">
        <v>6720</v>
      </c>
    </row>
    <row r="1414" spans="1:23" ht="15.6" x14ac:dyDescent="0.4">
      <c r="A1414" s="2" t="s">
        <v>2206</v>
      </c>
      <c r="B1414" s="5" t="s">
        <v>7893</v>
      </c>
      <c r="C1414" s="7" t="s">
        <v>12556</v>
      </c>
      <c r="D1414" s="8">
        <f t="shared" si="92"/>
        <v>0</v>
      </c>
      <c r="E1414" s="7" t="s">
        <v>12557</v>
      </c>
      <c r="F1414" s="7">
        <f t="shared" si="93"/>
        <v>2</v>
      </c>
      <c r="G1414" s="7" t="s">
        <v>12558</v>
      </c>
      <c r="H1414" s="7">
        <f t="shared" si="94"/>
        <v>1</v>
      </c>
      <c r="I1414" s="7" t="str" cm="1">
        <f t="array" ref="I1414">IFERROR(_xlfn.IFS(M1414="נח",1,M1414="נע ונח",1,M1414="שני שווא נח",2,M1414="שני שוואים בסוף מילה",2,M1414="שני שוואים ברצף",1),"0")</f>
        <v>0</v>
      </c>
      <c r="J1414" s="9">
        <f t="shared" si="95"/>
        <v>3</v>
      </c>
      <c r="K1414" t="s">
        <v>6697</v>
      </c>
      <c r="L1414" t="s">
        <v>6695</v>
      </c>
      <c r="S1414" t="s">
        <v>6694</v>
      </c>
      <c r="U1414" t="s">
        <v>6694</v>
      </c>
      <c r="W1414" t="s">
        <v>6720</v>
      </c>
    </row>
    <row r="1415" spans="1:23" ht="15.6" x14ac:dyDescent="0.4">
      <c r="A1415" s="2" t="s">
        <v>2428</v>
      </c>
      <c r="B1415" s="5" t="s">
        <v>7894</v>
      </c>
      <c r="C1415" s="7" t="s">
        <v>12556</v>
      </c>
      <c r="D1415" s="8">
        <f t="shared" si="92"/>
        <v>0</v>
      </c>
      <c r="E1415" s="7" t="s">
        <v>12557</v>
      </c>
      <c r="F1415" s="7">
        <f t="shared" si="93"/>
        <v>1</v>
      </c>
      <c r="G1415" s="7" t="s">
        <v>12558</v>
      </c>
      <c r="H1415" s="7">
        <f t="shared" si="94"/>
        <v>0</v>
      </c>
      <c r="I1415" s="7" t="str" cm="1">
        <f t="array" ref="I1415">IFERROR(_xlfn.IFS(M1415="נח",1,M1415="נע ונח",1,M1415="שני שווא נח",2,M1415="שני שוואים בסוף מילה",2,M1415="שני שוואים ברצף",1),"0")</f>
        <v>0</v>
      </c>
      <c r="J1415" s="9">
        <f t="shared" si="95"/>
        <v>3</v>
      </c>
      <c r="K1415" t="s">
        <v>6698</v>
      </c>
      <c r="L1415" t="s">
        <v>6695</v>
      </c>
      <c r="N1415" t="s">
        <v>6706</v>
      </c>
      <c r="O1415" t="s">
        <v>6694</v>
      </c>
      <c r="S1415" t="s">
        <v>6694</v>
      </c>
      <c r="V1415" t="s">
        <v>6694</v>
      </c>
      <c r="W1415" t="s">
        <v>6720</v>
      </c>
    </row>
    <row r="1416" spans="1:23" ht="15.6" x14ac:dyDescent="0.4">
      <c r="A1416" s="2" t="s">
        <v>2286</v>
      </c>
      <c r="B1416" s="5" t="s">
        <v>7895</v>
      </c>
      <c r="C1416" s="7" t="s">
        <v>12556</v>
      </c>
      <c r="D1416" s="8">
        <f t="shared" si="92"/>
        <v>0</v>
      </c>
      <c r="E1416" s="7" t="s">
        <v>12557</v>
      </c>
      <c r="F1416" s="7">
        <f t="shared" si="93"/>
        <v>2</v>
      </c>
      <c r="G1416" s="7" t="s">
        <v>12558</v>
      </c>
      <c r="H1416" s="7">
        <f t="shared" si="94"/>
        <v>2</v>
      </c>
      <c r="I1416" s="7" cm="1">
        <f t="array" ref="I1416">IFERROR(_xlfn.IFS(M1416="נח",1,M1416="נע ונח",1,M1416="שני שווא נח",2,M1416="שני שוואים בסוף מילה",2,M1416="שני שוואים ברצף",1),"0")</f>
        <v>1</v>
      </c>
      <c r="J1416" s="9">
        <f t="shared" si="95"/>
        <v>4</v>
      </c>
      <c r="K1416" t="s">
        <v>6697</v>
      </c>
      <c r="L1416" t="s">
        <v>6694</v>
      </c>
      <c r="M1416" t="s">
        <v>6705</v>
      </c>
      <c r="N1416" t="s">
        <v>6706</v>
      </c>
      <c r="O1416" t="s">
        <v>6694</v>
      </c>
      <c r="S1416" t="s">
        <v>6694</v>
      </c>
      <c r="U1416" t="s">
        <v>6694</v>
      </c>
      <c r="W1416" t="s">
        <v>6720</v>
      </c>
    </row>
    <row r="1417" spans="1:23" ht="15.6" x14ac:dyDescent="0.4">
      <c r="A1417" s="2" t="s">
        <v>325</v>
      </c>
      <c r="B1417" s="5" t="s">
        <v>7896</v>
      </c>
      <c r="C1417" s="7" t="s">
        <v>12556</v>
      </c>
      <c r="D1417" s="8">
        <f t="shared" si="92"/>
        <v>0</v>
      </c>
      <c r="E1417" s="7" t="s">
        <v>12557</v>
      </c>
      <c r="F1417" s="7">
        <f t="shared" si="93"/>
        <v>1</v>
      </c>
      <c r="G1417" s="7" t="s">
        <v>12558</v>
      </c>
      <c r="H1417" s="7">
        <f t="shared" si="94"/>
        <v>0</v>
      </c>
      <c r="I1417" s="7" t="str" cm="1">
        <f t="array" ref="I1417">IFERROR(_xlfn.IFS(M1417="נח",1,M1417="נע ונח",1,M1417="שני שווא נח",2,M1417="שני שוואים בסוף מילה",2,M1417="שני שוואים ברצף",1),"0")</f>
        <v>0</v>
      </c>
      <c r="J1417" s="9">
        <f t="shared" si="95"/>
        <v>2</v>
      </c>
      <c r="K1417" t="s">
        <v>6697</v>
      </c>
      <c r="L1417" t="s">
        <v>6695</v>
      </c>
      <c r="O1417" t="s">
        <v>6694</v>
      </c>
      <c r="S1417" t="s">
        <v>6694</v>
      </c>
      <c r="W1417" t="s">
        <v>6720</v>
      </c>
    </row>
    <row r="1418" spans="1:23" ht="15.6" x14ac:dyDescent="0.4">
      <c r="A1418" s="2" t="s">
        <v>1747</v>
      </c>
      <c r="B1418" s="5" t="s">
        <v>7897</v>
      </c>
      <c r="C1418" s="7" t="s">
        <v>12556</v>
      </c>
      <c r="D1418" s="8">
        <f t="shared" si="92"/>
        <v>0</v>
      </c>
      <c r="E1418" s="7" t="s">
        <v>12557</v>
      </c>
      <c r="F1418" s="7">
        <f t="shared" si="93"/>
        <v>0</v>
      </c>
      <c r="G1418" s="7" t="s">
        <v>12558</v>
      </c>
      <c r="H1418" s="7">
        <f t="shared" si="94"/>
        <v>0</v>
      </c>
      <c r="I1418" s="7" t="str" cm="1">
        <f t="array" ref="I1418">IFERROR(_xlfn.IFS(M1418="נח",1,M1418="נע ונח",1,M1418="שני שווא נח",2,M1418="שני שוואים בסוף מילה",2,M1418="שני שוואים ברצף",1),"0")</f>
        <v>0</v>
      </c>
      <c r="J1418" s="9">
        <f t="shared" si="95"/>
        <v>1</v>
      </c>
      <c r="K1418" t="s">
        <v>6697</v>
      </c>
      <c r="L1418" t="s">
        <v>6695</v>
      </c>
      <c r="S1418" t="s">
        <v>6694</v>
      </c>
      <c r="W1418" t="s">
        <v>6720</v>
      </c>
    </row>
    <row r="1419" spans="1:23" ht="15.6" x14ac:dyDescent="0.4">
      <c r="A1419" s="2" t="s">
        <v>4646</v>
      </c>
      <c r="B1419" s="5" t="s">
        <v>7898</v>
      </c>
      <c r="C1419" s="7" t="s">
        <v>12556</v>
      </c>
      <c r="D1419" s="8">
        <f t="shared" si="92"/>
        <v>0</v>
      </c>
      <c r="E1419" s="7" t="s">
        <v>12557</v>
      </c>
      <c r="F1419" s="7">
        <f t="shared" si="93"/>
        <v>1</v>
      </c>
      <c r="G1419" s="7" t="s">
        <v>12558</v>
      </c>
      <c r="H1419" s="7">
        <f t="shared" si="94"/>
        <v>0</v>
      </c>
      <c r="I1419" s="7" t="str" cm="1">
        <f t="array" ref="I1419">IFERROR(_xlfn.IFS(M1419="נח",1,M1419="נע ונח",1,M1419="שני שווא נח",2,M1419="שני שוואים בסוף מילה",2,M1419="שני שוואים ברצף",1),"0")</f>
        <v>0</v>
      </c>
      <c r="J1419" s="9">
        <f t="shared" si="95"/>
        <v>3</v>
      </c>
      <c r="K1419" t="s">
        <v>6698</v>
      </c>
      <c r="L1419" t="s">
        <v>6695</v>
      </c>
      <c r="O1419" t="s">
        <v>6694</v>
      </c>
      <c r="S1419" t="s">
        <v>6694</v>
      </c>
      <c r="W1419" t="s">
        <v>6720</v>
      </c>
    </row>
    <row r="1420" spans="1:23" ht="15.6" x14ac:dyDescent="0.4">
      <c r="A1420" s="2" t="s">
        <v>5752</v>
      </c>
      <c r="B1420" s="5" t="s">
        <v>7899</v>
      </c>
      <c r="C1420" s="7" t="s">
        <v>12556</v>
      </c>
      <c r="D1420" s="8">
        <f t="shared" si="92"/>
        <v>0</v>
      </c>
      <c r="E1420" s="7" t="s">
        <v>12557</v>
      </c>
      <c r="F1420" s="7">
        <f t="shared" si="93"/>
        <v>1</v>
      </c>
      <c r="G1420" s="7" t="s">
        <v>12558</v>
      </c>
      <c r="H1420" s="7">
        <f t="shared" si="94"/>
        <v>0</v>
      </c>
      <c r="I1420" s="7" t="str" cm="1">
        <f t="array" ref="I1420">IFERROR(_xlfn.IFS(M1420="נח",1,M1420="נע ונח",1,M1420="שני שווא נח",2,M1420="שני שוואים בסוף מילה",2,M1420="שני שוואים ברצף",1),"0")</f>
        <v>0</v>
      </c>
      <c r="J1420" s="9">
        <f t="shared" si="95"/>
        <v>2</v>
      </c>
      <c r="K1420" t="s">
        <v>6697</v>
      </c>
      <c r="L1420" t="s">
        <v>6695</v>
      </c>
      <c r="O1420" t="s">
        <v>6694</v>
      </c>
      <c r="S1420" t="s">
        <v>6694</v>
      </c>
      <c r="W1420" t="s">
        <v>6720</v>
      </c>
    </row>
    <row r="1421" spans="1:23" ht="15.6" x14ac:dyDescent="0.4">
      <c r="A1421" s="2" t="s">
        <v>5133</v>
      </c>
      <c r="B1421" s="5" t="s">
        <v>7900</v>
      </c>
      <c r="C1421" s="7" t="s">
        <v>12556</v>
      </c>
      <c r="D1421" s="8">
        <f t="shared" si="92"/>
        <v>0</v>
      </c>
      <c r="E1421" s="7" t="s">
        <v>12557</v>
      </c>
      <c r="F1421" s="7">
        <f t="shared" si="93"/>
        <v>1</v>
      </c>
      <c r="G1421" s="7" t="s">
        <v>12558</v>
      </c>
      <c r="H1421" s="7">
        <f t="shared" si="94"/>
        <v>0</v>
      </c>
      <c r="I1421" s="7" t="str" cm="1">
        <f t="array" ref="I1421">IFERROR(_xlfn.IFS(M1421="נח",1,M1421="נע ונח",1,M1421="שני שווא נח",2,M1421="שני שוואים בסוף מילה",2,M1421="שני שוואים ברצף",1),"0")</f>
        <v>0</v>
      </c>
      <c r="J1421" s="9">
        <f t="shared" si="95"/>
        <v>2</v>
      </c>
      <c r="K1421" t="s">
        <v>6698</v>
      </c>
      <c r="L1421" t="s">
        <v>6695</v>
      </c>
      <c r="Q1421" t="s">
        <v>6694</v>
      </c>
      <c r="S1421" t="s">
        <v>6694</v>
      </c>
      <c r="W1421" t="s">
        <v>6720</v>
      </c>
    </row>
    <row r="1422" spans="1:23" ht="15.6" x14ac:dyDescent="0.4">
      <c r="A1422" s="2" t="s">
        <v>3622</v>
      </c>
      <c r="B1422" s="5" t="s">
        <v>7901</v>
      </c>
      <c r="C1422" s="7" t="s">
        <v>12556</v>
      </c>
      <c r="D1422" s="8">
        <f t="shared" si="92"/>
        <v>0</v>
      </c>
      <c r="E1422" s="7" t="s">
        <v>12557</v>
      </c>
      <c r="F1422" s="7">
        <f t="shared" si="93"/>
        <v>2</v>
      </c>
      <c r="G1422" s="7" t="s">
        <v>12558</v>
      </c>
      <c r="H1422" s="7">
        <f t="shared" si="94"/>
        <v>1</v>
      </c>
      <c r="I1422" s="7" cm="1">
        <f t="array" ref="I1422">IFERROR(_xlfn.IFS(M1422="נח",1,M1422="נע ונח",1,M1422="שני שווא נח",2,M1422="שני שוואים בסוף מילה",2,M1422="שני שוואים ברצף",1),"0")</f>
        <v>1</v>
      </c>
      <c r="J1422" s="9">
        <f t="shared" si="95"/>
        <v>3</v>
      </c>
      <c r="K1422" t="s">
        <v>6697</v>
      </c>
      <c r="L1422" t="s">
        <v>6694</v>
      </c>
      <c r="M1422" t="s">
        <v>6705</v>
      </c>
      <c r="P1422" t="s">
        <v>6694</v>
      </c>
      <c r="S1422" t="s">
        <v>6694</v>
      </c>
      <c r="U1422" t="s">
        <v>6694</v>
      </c>
      <c r="W1422" t="s">
        <v>6720</v>
      </c>
    </row>
    <row r="1423" spans="1:23" ht="15.6" x14ac:dyDescent="0.4">
      <c r="A1423" s="2" t="s">
        <v>6594</v>
      </c>
      <c r="B1423" s="5" t="s">
        <v>7902</v>
      </c>
      <c r="C1423" s="7" t="s">
        <v>12556</v>
      </c>
      <c r="D1423" s="8">
        <f t="shared" si="92"/>
        <v>0</v>
      </c>
      <c r="E1423" s="7" t="s">
        <v>12557</v>
      </c>
      <c r="F1423" s="7">
        <f t="shared" si="93"/>
        <v>2</v>
      </c>
      <c r="G1423" s="7" t="s">
        <v>12558</v>
      </c>
      <c r="H1423" s="7">
        <f t="shared" si="94"/>
        <v>0</v>
      </c>
      <c r="I1423" s="7" cm="1">
        <f t="array" ref="I1423">IFERROR(_xlfn.IFS(M1423="נח",1,M1423="נע ונח",1,M1423="שני שווא נח",2,M1423="שני שוואים בסוף מילה",2,M1423="שני שוואים ברצף",1),"0")</f>
        <v>1</v>
      </c>
      <c r="J1423" s="9">
        <f t="shared" si="95"/>
        <v>3</v>
      </c>
      <c r="K1423" t="s">
        <v>6697</v>
      </c>
      <c r="L1423" t="s">
        <v>6694</v>
      </c>
      <c r="M1423" t="s">
        <v>6705</v>
      </c>
      <c r="N1423" t="s">
        <v>6706</v>
      </c>
      <c r="O1423" t="s">
        <v>6694</v>
      </c>
      <c r="S1423" t="s">
        <v>6694</v>
      </c>
      <c r="W1423" t="s">
        <v>6720</v>
      </c>
    </row>
    <row r="1424" spans="1:23" ht="15.6" x14ac:dyDescent="0.4">
      <c r="A1424" s="2" t="s">
        <v>1142</v>
      </c>
      <c r="B1424" s="5" t="s">
        <v>7903</v>
      </c>
      <c r="C1424" s="7" t="s">
        <v>12556</v>
      </c>
      <c r="D1424" s="8">
        <f t="shared" si="92"/>
        <v>0</v>
      </c>
      <c r="E1424" s="7" t="s">
        <v>12557</v>
      </c>
      <c r="F1424" s="7">
        <f t="shared" si="93"/>
        <v>1</v>
      </c>
      <c r="G1424" s="7" t="s">
        <v>12558</v>
      </c>
      <c r="H1424" s="7">
        <f t="shared" si="94"/>
        <v>1</v>
      </c>
      <c r="I1424" s="7" cm="1">
        <f t="array" ref="I1424">IFERROR(_xlfn.IFS(M1424="נח",1,M1424="נע ונח",1,M1424="שני שווא נח",2,M1424="שני שוואים בסוף מילה",2,M1424="שני שוואים ברצף",1),"0")</f>
        <v>1</v>
      </c>
      <c r="J1424" s="9">
        <f t="shared" si="95"/>
        <v>2</v>
      </c>
      <c r="K1424" t="s">
        <v>6697</v>
      </c>
      <c r="L1424" t="s">
        <v>6694</v>
      </c>
      <c r="M1424" t="s">
        <v>6705</v>
      </c>
      <c r="S1424" t="s">
        <v>6694</v>
      </c>
      <c r="U1424" t="s">
        <v>6694</v>
      </c>
      <c r="W1424" t="s">
        <v>6720</v>
      </c>
    </row>
    <row r="1425" spans="1:23" ht="15.6" x14ac:dyDescent="0.4">
      <c r="A1425" s="2" t="s">
        <v>1641</v>
      </c>
      <c r="B1425" s="5" t="s">
        <v>7904</v>
      </c>
      <c r="C1425" s="7" t="s">
        <v>12556</v>
      </c>
      <c r="D1425" s="8">
        <f t="shared" si="92"/>
        <v>0</v>
      </c>
      <c r="E1425" s="7" t="s">
        <v>12557</v>
      </c>
      <c r="F1425" s="7">
        <f t="shared" si="93"/>
        <v>1</v>
      </c>
      <c r="G1425" s="7" t="s">
        <v>12558</v>
      </c>
      <c r="H1425" s="7">
        <f t="shared" si="94"/>
        <v>0</v>
      </c>
      <c r="I1425" s="7" t="str" cm="1">
        <f t="array" ref="I1425">IFERROR(_xlfn.IFS(M1425="נח",1,M1425="נע ונח",1,M1425="שני שווא נח",2,M1425="שני שוואים בסוף מילה",2,M1425="שני שוואים ברצף",1),"0")</f>
        <v>0</v>
      </c>
      <c r="J1425" s="9">
        <f t="shared" si="95"/>
        <v>3</v>
      </c>
      <c r="K1425" t="s">
        <v>6697</v>
      </c>
      <c r="L1425" t="s">
        <v>6695</v>
      </c>
      <c r="N1425" t="s">
        <v>6707</v>
      </c>
      <c r="P1425" t="s">
        <v>6694</v>
      </c>
      <c r="S1425" t="s">
        <v>6694</v>
      </c>
      <c r="W1425" t="s">
        <v>6720</v>
      </c>
    </row>
    <row r="1426" spans="1:23" ht="15.6" x14ac:dyDescent="0.4">
      <c r="A1426" s="2" t="s">
        <v>1895</v>
      </c>
      <c r="B1426" s="5" t="s">
        <v>7905</v>
      </c>
      <c r="C1426" s="7" t="s">
        <v>12556</v>
      </c>
      <c r="D1426" s="8">
        <f t="shared" si="92"/>
        <v>0</v>
      </c>
      <c r="E1426" s="7" t="s">
        <v>12557</v>
      </c>
      <c r="F1426" s="7">
        <f t="shared" si="93"/>
        <v>1</v>
      </c>
      <c r="G1426" s="7" t="s">
        <v>12558</v>
      </c>
      <c r="H1426" s="7">
        <f t="shared" si="94"/>
        <v>0</v>
      </c>
      <c r="I1426" s="7" t="str" cm="1">
        <f t="array" ref="I1426">IFERROR(_xlfn.IFS(M1426="נח",1,M1426="נע ונח",1,M1426="שני שווא נח",2,M1426="שני שוואים בסוף מילה",2,M1426="שני שוואים ברצף",1),"0")</f>
        <v>0</v>
      </c>
      <c r="J1426" s="9">
        <f t="shared" si="95"/>
        <v>2</v>
      </c>
      <c r="K1426" t="s">
        <v>6697</v>
      </c>
      <c r="L1426" t="s">
        <v>6695</v>
      </c>
      <c r="Q1426" t="s">
        <v>6694</v>
      </c>
      <c r="S1426" t="s">
        <v>6694</v>
      </c>
      <c r="W1426" t="s">
        <v>6720</v>
      </c>
    </row>
    <row r="1427" spans="1:23" ht="15.6" x14ac:dyDescent="0.4">
      <c r="A1427" s="2" t="s">
        <v>6557</v>
      </c>
      <c r="B1427" s="5" t="s">
        <v>7906</v>
      </c>
      <c r="C1427" s="7" t="s">
        <v>12556</v>
      </c>
      <c r="D1427" s="8">
        <f t="shared" si="92"/>
        <v>0</v>
      </c>
      <c r="E1427" s="7" t="s">
        <v>12557</v>
      </c>
      <c r="F1427" s="7">
        <f t="shared" si="93"/>
        <v>2</v>
      </c>
      <c r="G1427" s="7" t="s">
        <v>12558</v>
      </c>
      <c r="H1427" s="7">
        <f t="shared" si="94"/>
        <v>0</v>
      </c>
      <c r="I1427" s="7" t="str" cm="1">
        <f t="array" ref="I1427">IFERROR(_xlfn.IFS(M1427="נח",1,M1427="נע ונח",1,M1427="שני שווא נח",2,M1427="שני שוואים בסוף מילה",2,M1427="שני שוואים ברצף",1),"0")</f>
        <v>0</v>
      </c>
      <c r="J1427" s="9">
        <f t="shared" si="95"/>
        <v>3</v>
      </c>
      <c r="K1427" t="s">
        <v>6697</v>
      </c>
      <c r="L1427" t="s">
        <v>6695</v>
      </c>
      <c r="O1427" t="s">
        <v>6694</v>
      </c>
      <c r="R1427" t="s">
        <v>6694</v>
      </c>
      <c r="S1427" t="s">
        <v>6694</v>
      </c>
      <c r="W1427" t="s">
        <v>6720</v>
      </c>
    </row>
    <row r="1428" spans="1:23" ht="15.6" x14ac:dyDescent="0.4">
      <c r="A1428" s="2" t="s">
        <v>4729</v>
      </c>
      <c r="B1428" s="5" t="s">
        <v>7907</v>
      </c>
      <c r="C1428" s="7" t="s">
        <v>12556</v>
      </c>
      <c r="D1428" s="8">
        <f t="shared" si="92"/>
        <v>0</v>
      </c>
      <c r="E1428" s="7" t="s">
        <v>12557</v>
      </c>
      <c r="F1428" s="7">
        <f t="shared" si="93"/>
        <v>1</v>
      </c>
      <c r="G1428" s="7" t="s">
        <v>12558</v>
      </c>
      <c r="H1428" s="7">
        <f t="shared" si="94"/>
        <v>0</v>
      </c>
      <c r="I1428" s="7" t="str" cm="1">
        <f t="array" ref="I1428">IFERROR(_xlfn.IFS(M1428="נח",1,M1428="נע ונח",1,M1428="שני שווא נח",2,M1428="שני שוואים בסוף מילה",2,M1428="שני שוואים ברצף",1),"0")</f>
        <v>0</v>
      </c>
      <c r="J1428" s="9">
        <f t="shared" si="95"/>
        <v>3</v>
      </c>
      <c r="K1428" t="s">
        <v>6698</v>
      </c>
      <c r="L1428" t="s">
        <v>6695</v>
      </c>
      <c r="O1428" t="s">
        <v>6694</v>
      </c>
      <c r="Q1428" t="s">
        <v>6694</v>
      </c>
      <c r="S1428" t="s">
        <v>6694</v>
      </c>
      <c r="W1428" t="s">
        <v>6720</v>
      </c>
    </row>
    <row r="1429" spans="1:23" ht="15.6" x14ac:dyDescent="0.4">
      <c r="A1429" s="2" t="s">
        <v>58</v>
      </c>
      <c r="B1429" s="5" t="s">
        <v>7908</v>
      </c>
      <c r="C1429" s="7" t="s">
        <v>12556</v>
      </c>
      <c r="D1429" s="8">
        <f t="shared" si="92"/>
        <v>1</v>
      </c>
      <c r="E1429" s="7" t="s">
        <v>12557</v>
      </c>
      <c r="F1429" s="7">
        <f t="shared" si="93"/>
        <v>1</v>
      </c>
      <c r="G1429" s="7" t="s">
        <v>12558</v>
      </c>
      <c r="H1429" s="7">
        <f t="shared" si="94"/>
        <v>0</v>
      </c>
      <c r="I1429" s="7" t="str" cm="1">
        <f t="array" ref="I1429">IFERROR(_xlfn.IFS(M1429="נח",1,M1429="נע ונח",1,M1429="שני שווא נח",2,M1429="שני שוואים בסוף מילה",2,M1429="שני שוואים ברצף",1),"0")</f>
        <v>0</v>
      </c>
      <c r="J1429" s="9">
        <f t="shared" si="95"/>
        <v>3</v>
      </c>
      <c r="K1429" t="s">
        <v>6697</v>
      </c>
      <c r="L1429" t="s">
        <v>6695</v>
      </c>
      <c r="O1429" t="s">
        <v>6694</v>
      </c>
      <c r="Q1429" t="s">
        <v>6694</v>
      </c>
      <c r="S1429" t="s">
        <v>6694</v>
      </c>
      <c r="W1429" t="s">
        <v>6720</v>
      </c>
    </row>
    <row r="1430" spans="1:23" ht="15.6" x14ac:dyDescent="0.4">
      <c r="A1430" s="2" t="s">
        <v>3376</v>
      </c>
      <c r="B1430" s="5" t="s">
        <v>7909</v>
      </c>
      <c r="C1430" s="7" t="s">
        <v>12556</v>
      </c>
      <c r="D1430" s="8">
        <f t="shared" si="92"/>
        <v>0</v>
      </c>
      <c r="E1430" s="7" t="s">
        <v>12557</v>
      </c>
      <c r="F1430" s="7">
        <f t="shared" si="93"/>
        <v>2</v>
      </c>
      <c r="G1430" s="7" t="s">
        <v>12558</v>
      </c>
      <c r="H1430" s="7">
        <f t="shared" si="94"/>
        <v>0</v>
      </c>
      <c r="I1430" s="7" cm="1">
        <f t="array" ref="I1430">IFERROR(_xlfn.IFS(M1430="נח",1,M1430="נע ונח",1,M1430="שני שווא נח",2,M1430="שני שוואים בסוף מילה",2,M1430="שני שוואים ברצף",1),"0")</f>
        <v>2</v>
      </c>
      <c r="J1430" s="9">
        <f t="shared" si="95"/>
        <v>4</v>
      </c>
      <c r="K1430" t="s">
        <v>6697</v>
      </c>
      <c r="L1430" t="s">
        <v>6694</v>
      </c>
      <c r="M1430" t="s">
        <v>6704</v>
      </c>
      <c r="P1430" t="s">
        <v>6694</v>
      </c>
      <c r="S1430" t="s">
        <v>6694</v>
      </c>
      <c r="W1430" t="s">
        <v>6720</v>
      </c>
    </row>
    <row r="1431" spans="1:23" ht="15.6" x14ac:dyDescent="0.4">
      <c r="A1431" s="2" t="s">
        <v>6553</v>
      </c>
      <c r="B1431" s="5" t="s">
        <v>7910</v>
      </c>
      <c r="C1431" s="7" t="s">
        <v>12556</v>
      </c>
      <c r="D1431" s="8">
        <f t="shared" si="92"/>
        <v>0</v>
      </c>
      <c r="E1431" s="7" t="s">
        <v>12557</v>
      </c>
      <c r="F1431" s="7">
        <f t="shared" si="93"/>
        <v>2</v>
      </c>
      <c r="G1431" s="7" t="s">
        <v>12558</v>
      </c>
      <c r="H1431" s="7">
        <f t="shared" si="94"/>
        <v>0</v>
      </c>
      <c r="I1431" s="7" cm="1">
        <f t="array" ref="I1431">IFERROR(_xlfn.IFS(M1431="נח",1,M1431="נע ונח",1,M1431="שני שווא נח",2,M1431="שני שוואים בסוף מילה",2,M1431="שני שוואים ברצף",1),"0")</f>
        <v>2</v>
      </c>
      <c r="J1431" s="9">
        <f t="shared" si="95"/>
        <v>3</v>
      </c>
      <c r="K1431" t="s">
        <v>6697</v>
      </c>
      <c r="L1431" t="s">
        <v>6694</v>
      </c>
      <c r="M1431" t="s">
        <v>6704</v>
      </c>
      <c r="O1431" t="s">
        <v>6694</v>
      </c>
      <c r="P1431" t="s">
        <v>6694</v>
      </c>
      <c r="S1431" t="s">
        <v>6694</v>
      </c>
      <c r="W1431" t="s">
        <v>6720</v>
      </c>
    </row>
    <row r="1432" spans="1:23" ht="15.6" x14ac:dyDescent="0.4">
      <c r="A1432" s="2" t="s">
        <v>5161</v>
      </c>
      <c r="B1432" s="5" t="s">
        <v>7911</v>
      </c>
      <c r="C1432" s="7" t="s">
        <v>12556</v>
      </c>
      <c r="D1432" s="8">
        <f t="shared" si="92"/>
        <v>0</v>
      </c>
      <c r="E1432" s="7" t="s">
        <v>12557</v>
      </c>
      <c r="F1432" s="7">
        <f t="shared" si="93"/>
        <v>1</v>
      </c>
      <c r="G1432" s="7" t="s">
        <v>12558</v>
      </c>
      <c r="H1432" s="7">
        <f t="shared" si="94"/>
        <v>0</v>
      </c>
      <c r="I1432" s="7" cm="1">
        <f t="array" ref="I1432">IFERROR(_xlfn.IFS(M1432="נח",1,M1432="נע ונח",1,M1432="שני שווא נח",2,M1432="שני שוואים בסוף מילה",2,M1432="שני שוואים ברצף",1),"0")</f>
        <v>1</v>
      </c>
      <c r="J1432" s="9">
        <f t="shared" si="95"/>
        <v>2</v>
      </c>
      <c r="K1432" t="s">
        <v>6698</v>
      </c>
      <c r="L1432" t="s">
        <v>6694</v>
      </c>
      <c r="M1432" t="s">
        <v>6705</v>
      </c>
      <c r="S1432" t="s">
        <v>6694</v>
      </c>
      <c r="W1432" t="s">
        <v>6720</v>
      </c>
    </row>
    <row r="1433" spans="1:23" ht="15.6" x14ac:dyDescent="0.4">
      <c r="A1433" s="2" t="s">
        <v>1915</v>
      </c>
      <c r="B1433" s="5" t="s">
        <v>7912</v>
      </c>
      <c r="C1433" s="7" t="s">
        <v>12556</v>
      </c>
      <c r="D1433" s="8">
        <f t="shared" si="92"/>
        <v>0</v>
      </c>
      <c r="E1433" s="7" t="s">
        <v>12557</v>
      </c>
      <c r="F1433" s="7">
        <f t="shared" si="93"/>
        <v>2</v>
      </c>
      <c r="G1433" s="7" t="s">
        <v>12558</v>
      </c>
      <c r="H1433" s="7">
        <f t="shared" si="94"/>
        <v>0</v>
      </c>
      <c r="I1433" s="7" cm="1">
        <f t="array" ref="I1433">IFERROR(_xlfn.IFS(M1433="נח",1,M1433="נע ונח",1,M1433="שני שווא נח",2,M1433="שני שוואים בסוף מילה",2,M1433="שני שוואים ברצף",1),"0")</f>
        <v>2</v>
      </c>
      <c r="J1433" s="9">
        <f t="shared" si="95"/>
        <v>3</v>
      </c>
      <c r="K1433" t="s">
        <v>6698</v>
      </c>
      <c r="L1433" t="s">
        <v>6694</v>
      </c>
      <c r="M1433" t="s">
        <v>6704</v>
      </c>
      <c r="O1433" t="s">
        <v>6694</v>
      </c>
      <c r="P1433" t="s">
        <v>6694</v>
      </c>
      <c r="S1433" t="s">
        <v>6694</v>
      </c>
      <c r="W1433" t="s">
        <v>6720</v>
      </c>
    </row>
    <row r="1434" spans="1:23" ht="15.6" x14ac:dyDescent="0.4">
      <c r="A1434" s="2" t="s">
        <v>4912</v>
      </c>
      <c r="B1434" s="5" t="s">
        <v>7913</v>
      </c>
      <c r="C1434" s="7" t="s">
        <v>12556</v>
      </c>
      <c r="D1434" s="8">
        <f t="shared" si="92"/>
        <v>0</v>
      </c>
      <c r="E1434" s="7" t="s">
        <v>12557</v>
      </c>
      <c r="F1434" s="7">
        <f t="shared" si="93"/>
        <v>1</v>
      </c>
      <c r="G1434" s="7" t="s">
        <v>12558</v>
      </c>
      <c r="H1434" s="7">
        <f t="shared" si="94"/>
        <v>0</v>
      </c>
      <c r="I1434" s="7" cm="1">
        <f t="array" ref="I1434">IFERROR(_xlfn.IFS(M1434="נח",1,M1434="נע ונח",1,M1434="שני שווא נח",2,M1434="שני שוואים בסוף מילה",2,M1434="שני שוואים ברצף",1),"0")</f>
        <v>1</v>
      </c>
      <c r="J1434" s="9">
        <f t="shared" si="95"/>
        <v>3</v>
      </c>
      <c r="K1434" t="s">
        <v>6698</v>
      </c>
      <c r="L1434" t="s">
        <v>6694</v>
      </c>
      <c r="M1434" t="s">
        <v>6705</v>
      </c>
      <c r="Q1434" t="s">
        <v>6694</v>
      </c>
      <c r="S1434" t="s">
        <v>6694</v>
      </c>
      <c r="V1434" t="s">
        <v>6694</v>
      </c>
      <c r="W1434" t="s">
        <v>6720</v>
      </c>
    </row>
    <row r="1435" spans="1:23" ht="15.6" x14ac:dyDescent="0.4">
      <c r="A1435" s="2" t="s">
        <v>3419</v>
      </c>
      <c r="B1435" s="5" t="s">
        <v>7914</v>
      </c>
      <c r="C1435" s="7" t="s">
        <v>12556</v>
      </c>
      <c r="D1435" s="8">
        <f t="shared" si="92"/>
        <v>0</v>
      </c>
      <c r="E1435" s="7" t="s">
        <v>12557</v>
      </c>
      <c r="F1435" s="7">
        <f t="shared" si="93"/>
        <v>0</v>
      </c>
      <c r="G1435" s="7" t="s">
        <v>12558</v>
      </c>
      <c r="H1435" s="7">
        <f t="shared" si="94"/>
        <v>0</v>
      </c>
      <c r="I1435" s="7" cm="1">
        <f t="array" ref="I1435">IFERROR(_xlfn.IFS(M1435="נח",1,M1435="נע ונח",1,M1435="שני שווא נח",2,M1435="שני שוואים בסוף מילה",2,M1435="שני שוואים ברצף",1),"0")</f>
        <v>1</v>
      </c>
      <c r="J1435" s="9">
        <f t="shared" si="95"/>
        <v>2</v>
      </c>
      <c r="K1435" t="s">
        <v>6697</v>
      </c>
      <c r="L1435" t="s">
        <v>6694</v>
      </c>
      <c r="M1435" t="s">
        <v>6705</v>
      </c>
      <c r="S1435" t="s">
        <v>6694</v>
      </c>
      <c r="W1435" t="s">
        <v>6720</v>
      </c>
    </row>
    <row r="1436" spans="1:23" ht="15.6" x14ac:dyDescent="0.4">
      <c r="A1436" s="2" t="s">
        <v>603</v>
      </c>
      <c r="B1436" s="5" t="s">
        <v>7915</v>
      </c>
      <c r="C1436" s="7" t="s">
        <v>12556</v>
      </c>
      <c r="D1436" s="8">
        <f t="shared" si="92"/>
        <v>0</v>
      </c>
      <c r="E1436" s="7" t="s">
        <v>12557</v>
      </c>
      <c r="F1436" s="7">
        <f t="shared" si="93"/>
        <v>0</v>
      </c>
      <c r="G1436" s="7" t="s">
        <v>12558</v>
      </c>
      <c r="H1436" s="7">
        <f t="shared" si="94"/>
        <v>0</v>
      </c>
      <c r="I1436" s="7" cm="1">
        <f t="array" ref="I1436">IFERROR(_xlfn.IFS(M1436="נח",1,M1436="נע ונח",1,M1436="שני שווא נח",2,M1436="שני שוואים בסוף מילה",2,M1436="שני שוואים ברצף",1),"0")</f>
        <v>1</v>
      </c>
      <c r="J1436" s="9">
        <f t="shared" si="95"/>
        <v>2</v>
      </c>
      <c r="K1436" t="s">
        <v>6697</v>
      </c>
      <c r="L1436" t="s">
        <v>6694</v>
      </c>
      <c r="M1436" t="s">
        <v>6705</v>
      </c>
      <c r="O1436" t="s">
        <v>6694</v>
      </c>
      <c r="S1436" t="s">
        <v>6694</v>
      </c>
      <c r="W1436" t="s">
        <v>6720</v>
      </c>
    </row>
    <row r="1437" spans="1:23" ht="15.6" x14ac:dyDescent="0.4">
      <c r="A1437" s="2" t="s">
        <v>5425</v>
      </c>
      <c r="B1437" s="5" t="s">
        <v>7916</v>
      </c>
      <c r="C1437" s="7" t="s">
        <v>12556</v>
      </c>
      <c r="D1437" s="8">
        <f t="shared" si="92"/>
        <v>0</v>
      </c>
      <c r="E1437" s="7" t="s">
        <v>12557</v>
      </c>
      <c r="F1437" s="7">
        <f t="shared" si="93"/>
        <v>2</v>
      </c>
      <c r="G1437" s="7" t="s">
        <v>12558</v>
      </c>
      <c r="H1437" s="7">
        <f t="shared" si="94"/>
        <v>0</v>
      </c>
      <c r="I1437" s="7" cm="1">
        <f t="array" ref="I1437">IFERROR(_xlfn.IFS(M1437="נח",1,M1437="נע ונח",1,M1437="שני שווא נח",2,M1437="שני שוואים בסוף מילה",2,M1437="שני שוואים ברצף",1),"0")</f>
        <v>1</v>
      </c>
      <c r="J1437" s="9">
        <f t="shared" si="95"/>
        <v>3</v>
      </c>
      <c r="K1437" t="s">
        <v>6698</v>
      </c>
      <c r="L1437" t="s">
        <v>6694</v>
      </c>
      <c r="M1437" t="s">
        <v>6705</v>
      </c>
      <c r="N1437" t="s">
        <v>6706</v>
      </c>
      <c r="O1437" t="s">
        <v>6694</v>
      </c>
      <c r="P1437" t="s">
        <v>6694</v>
      </c>
      <c r="S1437" t="s">
        <v>6694</v>
      </c>
      <c r="W1437" t="s">
        <v>6720</v>
      </c>
    </row>
    <row r="1438" spans="1:23" ht="15.6" x14ac:dyDescent="0.4">
      <c r="A1438" s="2" t="s">
        <v>5446</v>
      </c>
      <c r="B1438" s="5" t="s">
        <v>7917</v>
      </c>
      <c r="C1438" s="7" t="s">
        <v>12556</v>
      </c>
      <c r="D1438" s="8">
        <f t="shared" si="92"/>
        <v>0</v>
      </c>
      <c r="E1438" s="7" t="s">
        <v>12557</v>
      </c>
      <c r="F1438" s="7">
        <f t="shared" si="93"/>
        <v>1</v>
      </c>
      <c r="G1438" s="7" t="s">
        <v>12558</v>
      </c>
      <c r="H1438" s="7">
        <f t="shared" si="94"/>
        <v>0</v>
      </c>
      <c r="I1438" s="7" cm="1">
        <f t="array" ref="I1438">IFERROR(_xlfn.IFS(M1438="נח",1,M1438="נע ונח",1,M1438="שני שווא נח",2,M1438="שני שוואים בסוף מילה",2,M1438="שני שוואים ברצף",1),"0")</f>
        <v>1</v>
      </c>
      <c r="J1438" s="9">
        <f t="shared" si="95"/>
        <v>3</v>
      </c>
      <c r="K1438" t="s">
        <v>6697</v>
      </c>
      <c r="L1438" t="s">
        <v>6694</v>
      </c>
      <c r="M1438" t="s">
        <v>6705</v>
      </c>
      <c r="O1438" t="s">
        <v>6694</v>
      </c>
      <c r="P1438" t="s">
        <v>6694</v>
      </c>
      <c r="S1438" t="s">
        <v>6694</v>
      </c>
      <c r="W1438" t="s">
        <v>6720</v>
      </c>
    </row>
    <row r="1439" spans="1:23" ht="15.6" x14ac:dyDescent="0.4">
      <c r="A1439" s="2" t="s">
        <v>3233</v>
      </c>
      <c r="B1439" s="5" t="s">
        <v>7918</v>
      </c>
      <c r="C1439" s="7" t="s">
        <v>12556</v>
      </c>
      <c r="D1439" s="8">
        <f t="shared" si="92"/>
        <v>0</v>
      </c>
      <c r="E1439" s="7" t="s">
        <v>12557</v>
      </c>
      <c r="F1439" s="7">
        <f t="shared" si="93"/>
        <v>1</v>
      </c>
      <c r="G1439" s="7" t="s">
        <v>12558</v>
      </c>
      <c r="H1439" s="7">
        <f t="shared" si="94"/>
        <v>0</v>
      </c>
      <c r="I1439" s="7" t="str" cm="1">
        <f t="array" ref="I1439">IFERROR(_xlfn.IFS(M1439="נח",1,M1439="נע ונח",1,M1439="שני שווא נח",2,M1439="שני שוואים בסוף מילה",2,M1439="שני שוואים ברצף",1),"0")</f>
        <v>0</v>
      </c>
      <c r="J1439" s="9">
        <f t="shared" si="95"/>
        <v>2</v>
      </c>
      <c r="K1439" t="s">
        <v>6698</v>
      </c>
      <c r="L1439" t="s">
        <v>6695</v>
      </c>
      <c r="S1439" t="s">
        <v>6694</v>
      </c>
      <c r="W1439" t="s">
        <v>6720</v>
      </c>
    </row>
    <row r="1440" spans="1:23" ht="15.6" x14ac:dyDescent="0.4">
      <c r="A1440" s="2" t="s">
        <v>3989</v>
      </c>
      <c r="B1440" s="5" t="s">
        <v>7919</v>
      </c>
      <c r="C1440" s="7" t="s">
        <v>12556</v>
      </c>
      <c r="D1440" s="8">
        <f t="shared" si="92"/>
        <v>0</v>
      </c>
      <c r="E1440" s="7" t="s">
        <v>12557</v>
      </c>
      <c r="F1440" s="7">
        <f t="shared" si="93"/>
        <v>1</v>
      </c>
      <c r="G1440" s="7" t="s">
        <v>12558</v>
      </c>
      <c r="H1440" s="7">
        <f t="shared" si="94"/>
        <v>0</v>
      </c>
      <c r="I1440" s="7" t="str" cm="1">
        <f t="array" ref="I1440">IFERROR(_xlfn.IFS(M1440="נח",1,M1440="נע ונח",1,M1440="שני שווא נח",2,M1440="שני שוואים בסוף מילה",2,M1440="שני שוואים ברצף",1),"0")</f>
        <v>0</v>
      </c>
      <c r="J1440" s="9">
        <f t="shared" si="95"/>
        <v>4</v>
      </c>
      <c r="K1440" t="s">
        <v>6697</v>
      </c>
      <c r="L1440" t="s">
        <v>6695</v>
      </c>
      <c r="O1440" t="s">
        <v>6694</v>
      </c>
      <c r="S1440" t="s">
        <v>6694</v>
      </c>
      <c r="W1440" t="s">
        <v>6720</v>
      </c>
    </row>
    <row r="1441" spans="1:23" ht="15.6" x14ac:dyDescent="0.4">
      <c r="A1441" s="2" t="s">
        <v>5681</v>
      </c>
      <c r="B1441" s="5" t="s">
        <v>7920</v>
      </c>
      <c r="C1441" s="7" t="s">
        <v>12556</v>
      </c>
      <c r="D1441" s="8">
        <f t="shared" si="92"/>
        <v>0</v>
      </c>
      <c r="E1441" s="7" t="s">
        <v>12557</v>
      </c>
      <c r="F1441" s="7">
        <f t="shared" si="93"/>
        <v>2</v>
      </c>
      <c r="G1441" s="7" t="s">
        <v>12558</v>
      </c>
      <c r="H1441" s="7">
        <f t="shared" si="94"/>
        <v>0</v>
      </c>
      <c r="I1441" s="7" cm="1">
        <f t="array" ref="I1441">IFERROR(_xlfn.IFS(M1441="נח",1,M1441="נע ונח",1,M1441="שני שווא נח",2,M1441="שני שוואים בסוף מילה",2,M1441="שני שוואים ברצף",1),"0")</f>
        <v>1</v>
      </c>
      <c r="J1441" s="9">
        <f t="shared" si="95"/>
        <v>3</v>
      </c>
      <c r="K1441" t="s">
        <v>6698</v>
      </c>
      <c r="L1441" t="s">
        <v>6694</v>
      </c>
      <c r="M1441" t="s">
        <v>6705</v>
      </c>
      <c r="O1441" t="s">
        <v>6694</v>
      </c>
      <c r="P1441" t="s">
        <v>6694</v>
      </c>
      <c r="S1441" t="s">
        <v>6694</v>
      </c>
      <c r="W1441" t="s">
        <v>6720</v>
      </c>
    </row>
    <row r="1442" spans="1:23" ht="15.6" x14ac:dyDescent="0.4">
      <c r="A1442" s="2" t="s">
        <v>4093</v>
      </c>
      <c r="B1442" s="5" t="s">
        <v>7921</v>
      </c>
      <c r="C1442" s="7" t="s">
        <v>12556</v>
      </c>
      <c r="D1442" s="8">
        <f t="shared" si="92"/>
        <v>0</v>
      </c>
      <c r="E1442" s="7" t="s">
        <v>12557</v>
      </c>
      <c r="F1442" s="7">
        <f t="shared" si="93"/>
        <v>2</v>
      </c>
      <c r="G1442" s="7" t="s">
        <v>12558</v>
      </c>
      <c r="H1442" s="7">
        <f t="shared" si="94"/>
        <v>0</v>
      </c>
      <c r="I1442" s="7" cm="1">
        <f t="array" ref="I1442">IFERROR(_xlfn.IFS(M1442="נח",1,M1442="נע ונח",1,M1442="שני שווא נח",2,M1442="שני שוואים בסוף מילה",2,M1442="שני שוואים ברצף",1),"0")</f>
        <v>1</v>
      </c>
      <c r="J1442" s="9">
        <f t="shared" si="95"/>
        <v>3</v>
      </c>
      <c r="K1442" t="s">
        <v>6698</v>
      </c>
      <c r="L1442" t="s">
        <v>6694</v>
      </c>
      <c r="M1442" t="s">
        <v>6705</v>
      </c>
      <c r="O1442" t="s">
        <v>6694</v>
      </c>
      <c r="P1442" t="s">
        <v>6694</v>
      </c>
      <c r="S1442" t="s">
        <v>6694</v>
      </c>
      <c r="W1442" t="s">
        <v>6720</v>
      </c>
    </row>
    <row r="1443" spans="1:23" ht="15.6" x14ac:dyDescent="0.4">
      <c r="A1443" s="2" t="s">
        <v>4462</v>
      </c>
      <c r="B1443" s="5" t="s">
        <v>7922</v>
      </c>
      <c r="C1443" s="7" t="s">
        <v>12556</v>
      </c>
      <c r="D1443" s="8">
        <f t="shared" si="92"/>
        <v>1</v>
      </c>
      <c r="E1443" s="7" t="s">
        <v>12557</v>
      </c>
      <c r="F1443" s="7">
        <f t="shared" si="93"/>
        <v>0</v>
      </c>
      <c r="G1443" s="7" t="s">
        <v>12558</v>
      </c>
      <c r="H1443" s="7">
        <f t="shared" si="94"/>
        <v>0</v>
      </c>
      <c r="I1443" s="7" cm="1">
        <f t="array" ref="I1443">IFERROR(_xlfn.IFS(M1443="נח",1,M1443="נע ונח",1,M1443="שני שווא נח",2,M1443="שני שוואים בסוף מילה",2,M1443="שני שוואים ברצף",1),"0")</f>
        <v>1</v>
      </c>
      <c r="J1443" s="9">
        <f t="shared" si="95"/>
        <v>2</v>
      </c>
      <c r="K1443" t="s">
        <v>6698</v>
      </c>
      <c r="L1443" t="s">
        <v>6694</v>
      </c>
      <c r="M1443" t="s">
        <v>6705</v>
      </c>
      <c r="S1443" t="s">
        <v>6694</v>
      </c>
      <c r="W1443" t="s">
        <v>6720</v>
      </c>
    </row>
    <row r="1444" spans="1:23" ht="15.6" x14ac:dyDescent="0.4">
      <c r="A1444" s="2" t="s">
        <v>5889</v>
      </c>
      <c r="B1444" s="5" t="s">
        <v>7923</v>
      </c>
      <c r="C1444" s="7" t="s">
        <v>12556</v>
      </c>
      <c r="D1444" s="8">
        <f t="shared" si="92"/>
        <v>0</v>
      </c>
      <c r="E1444" s="7" t="s">
        <v>12557</v>
      </c>
      <c r="F1444" s="7">
        <f t="shared" si="93"/>
        <v>2</v>
      </c>
      <c r="G1444" s="7" t="s">
        <v>12558</v>
      </c>
      <c r="H1444" s="7">
        <f t="shared" si="94"/>
        <v>1</v>
      </c>
      <c r="I1444" s="7" t="str" cm="1">
        <f t="array" ref="I1444">IFERROR(_xlfn.IFS(M1444="נח",1,M1444="נע ונח",1,M1444="שני שווא נח",2,M1444="שני שוואים בסוף מילה",2,M1444="שני שוואים ברצף",1),"0")</f>
        <v>0</v>
      </c>
      <c r="J1444" s="9">
        <f t="shared" si="95"/>
        <v>4</v>
      </c>
      <c r="K1444" t="s">
        <v>6697</v>
      </c>
      <c r="L1444" t="s">
        <v>6695</v>
      </c>
      <c r="S1444" t="s">
        <v>6694</v>
      </c>
      <c r="U1444" t="s">
        <v>6694</v>
      </c>
      <c r="W1444" t="s">
        <v>6720</v>
      </c>
    </row>
    <row r="1445" spans="1:23" ht="15.6" x14ac:dyDescent="0.4">
      <c r="A1445" s="2" t="s">
        <v>533</v>
      </c>
      <c r="B1445" s="5" t="s">
        <v>7924</v>
      </c>
      <c r="C1445" s="7" t="s">
        <v>12556</v>
      </c>
      <c r="D1445" s="8">
        <f t="shared" si="92"/>
        <v>0</v>
      </c>
      <c r="E1445" s="7" t="s">
        <v>12557</v>
      </c>
      <c r="F1445" s="7">
        <f t="shared" si="93"/>
        <v>0</v>
      </c>
      <c r="G1445" s="7" t="s">
        <v>12558</v>
      </c>
      <c r="H1445" s="7">
        <f t="shared" si="94"/>
        <v>0</v>
      </c>
      <c r="I1445" s="7" cm="1">
        <f t="array" ref="I1445">IFERROR(_xlfn.IFS(M1445="נח",1,M1445="נע ונח",1,M1445="שני שווא נח",2,M1445="שני שוואים בסוף מילה",2,M1445="שני שוואים ברצף",1),"0")</f>
        <v>1</v>
      </c>
      <c r="J1445" s="9">
        <f t="shared" si="95"/>
        <v>4</v>
      </c>
      <c r="K1445" t="s">
        <v>6697</v>
      </c>
      <c r="L1445" t="s">
        <v>6694</v>
      </c>
      <c r="M1445" t="s">
        <v>6705</v>
      </c>
      <c r="P1445" t="s">
        <v>6694</v>
      </c>
      <c r="S1445" t="s">
        <v>6694</v>
      </c>
      <c r="W1445" t="s">
        <v>6720</v>
      </c>
    </row>
    <row r="1446" spans="1:23" ht="15.6" x14ac:dyDescent="0.4">
      <c r="A1446" s="2" t="s">
        <v>4241</v>
      </c>
      <c r="B1446" s="5" t="s">
        <v>7925</v>
      </c>
      <c r="C1446" s="7" t="s">
        <v>12556</v>
      </c>
      <c r="D1446" s="8">
        <f t="shared" si="92"/>
        <v>0</v>
      </c>
      <c r="E1446" s="7" t="s">
        <v>12557</v>
      </c>
      <c r="F1446" s="7">
        <f t="shared" si="93"/>
        <v>0</v>
      </c>
      <c r="G1446" s="7" t="s">
        <v>12558</v>
      </c>
      <c r="H1446" s="7">
        <f t="shared" si="94"/>
        <v>0</v>
      </c>
      <c r="I1446" s="7" cm="1">
        <f t="array" ref="I1446">IFERROR(_xlfn.IFS(M1446="נח",1,M1446="נע ונח",1,M1446="שני שווא נח",2,M1446="שני שוואים בסוף מילה",2,M1446="שני שוואים ברצף",1),"0")</f>
        <v>1</v>
      </c>
      <c r="J1446" s="9">
        <f t="shared" si="95"/>
        <v>3</v>
      </c>
      <c r="K1446" t="s">
        <v>6697</v>
      </c>
      <c r="L1446" t="s">
        <v>6694</v>
      </c>
      <c r="M1446" t="s">
        <v>6705</v>
      </c>
      <c r="O1446" t="s">
        <v>6694</v>
      </c>
      <c r="S1446" t="s">
        <v>6694</v>
      </c>
      <c r="W1446" t="s">
        <v>6720</v>
      </c>
    </row>
    <row r="1447" spans="1:23" ht="15.6" x14ac:dyDescent="0.4">
      <c r="A1447" s="2" t="s">
        <v>928</v>
      </c>
      <c r="B1447" s="5" t="s">
        <v>7926</v>
      </c>
      <c r="C1447" s="7" t="s">
        <v>12556</v>
      </c>
      <c r="D1447" s="8">
        <f t="shared" si="92"/>
        <v>0</v>
      </c>
      <c r="E1447" s="7" t="s">
        <v>12557</v>
      </c>
      <c r="F1447" s="7">
        <f t="shared" si="93"/>
        <v>1</v>
      </c>
      <c r="G1447" s="7" t="s">
        <v>12558</v>
      </c>
      <c r="H1447" s="7">
        <f t="shared" si="94"/>
        <v>1</v>
      </c>
      <c r="I1447" s="7" cm="1">
        <f t="array" ref="I1447">IFERROR(_xlfn.IFS(M1447="נח",1,M1447="נע ונח",1,M1447="שני שווא נח",2,M1447="שני שוואים בסוף מילה",2,M1447="שני שוואים ברצף",1),"0")</f>
        <v>1</v>
      </c>
      <c r="J1447" s="9">
        <f t="shared" si="95"/>
        <v>3</v>
      </c>
      <c r="K1447" t="s">
        <v>6697</v>
      </c>
      <c r="L1447" t="s">
        <v>6694</v>
      </c>
      <c r="M1447" t="s">
        <v>6705</v>
      </c>
      <c r="S1447" t="s">
        <v>6694</v>
      </c>
      <c r="U1447" t="s">
        <v>6694</v>
      </c>
      <c r="W1447" t="s">
        <v>6720</v>
      </c>
    </row>
    <row r="1448" spans="1:23" ht="15.6" x14ac:dyDescent="0.4">
      <c r="A1448" s="2" t="s">
        <v>2838</v>
      </c>
      <c r="B1448" s="5" t="s">
        <v>7927</v>
      </c>
      <c r="C1448" s="7" t="s">
        <v>12556</v>
      </c>
      <c r="D1448" s="8">
        <f t="shared" si="92"/>
        <v>0</v>
      </c>
      <c r="E1448" s="7" t="s">
        <v>12557</v>
      </c>
      <c r="F1448" s="7">
        <f t="shared" si="93"/>
        <v>0</v>
      </c>
      <c r="G1448" s="7" t="s">
        <v>12558</v>
      </c>
      <c r="H1448" s="7">
        <f t="shared" si="94"/>
        <v>0</v>
      </c>
      <c r="I1448" s="7" cm="1">
        <f t="array" ref="I1448">IFERROR(_xlfn.IFS(M1448="נח",1,M1448="נע ונח",1,M1448="שני שווא נח",2,M1448="שני שוואים בסוף מילה",2,M1448="שני שוואים ברצף",1),"0")</f>
        <v>1</v>
      </c>
      <c r="J1448" s="9">
        <f t="shared" si="95"/>
        <v>2</v>
      </c>
      <c r="K1448" t="s">
        <v>6698</v>
      </c>
      <c r="L1448" t="s">
        <v>6694</v>
      </c>
      <c r="M1448" t="s">
        <v>6705</v>
      </c>
      <c r="S1448" t="s">
        <v>6694</v>
      </c>
      <c r="W1448" t="s">
        <v>6720</v>
      </c>
    </row>
    <row r="1449" spans="1:23" ht="15.6" x14ac:dyDescent="0.4">
      <c r="A1449" s="2" t="s">
        <v>592</v>
      </c>
      <c r="B1449" s="5" t="s">
        <v>7928</v>
      </c>
      <c r="C1449" s="7" t="s">
        <v>12556</v>
      </c>
      <c r="D1449" s="8">
        <f t="shared" si="92"/>
        <v>0</v>
      </c>
      <c r="E1449" s="7" t="s">
        <v>12557</v>
      </c>
      <c r="F1449" s="7">
        <f t="shared" si="93"/>
        <v>1</v>
      </c>
      <c r="G1449" s="7" t="s">
        <v>12558</v>
      </c>
      <c r="H1449" s="7">
        <f t="shared" si="94"/>
        <v>0</v>
      </c>
      <c r="I1449" s="7" cm="1">
        <f t="array" ref="I1449">IFERROR(_xlfn.IFS(M1449="נח",1,M1449="נע ונח",1,M1449="שני שווא נח",2,M1449="שני שוואים בסוף מילה",2,M1449="שני שוואים ברצף",1),"0")</f>
        <v>2</v>
      </c>
      <c r="J1449" s="9">
        <f t="shared" si="95"/>
        <v>3</v>
      </c>
      <c r="K1449" t="s">
        <v>6698</v>
      </c>
      <c r="L1449" t="s">
        <v>6694</v>
      </c>
      <c r="M1449" t="s">
        <v>6704</v>
      </c>
      <c r="O1449" t="s">
        <v>6694</v>
      </c>
      <c r="P1449" t="s">
        <v>6694</v>
      </c>
      <c r="S1449" t="s">
        <v>6694</v>
      </c>
      <c r="W1449" t="s">
        <v>6720</v>
      </c>
    </row>
    <row r="1450" spans="1:23" ht="15.6" x14ac:dyDescent="0.4">
      <c r="A1450" s="2" t="s">
        <v>4440</v>
      </c>
      <c r="B1450" s="5" t="s">
        <v>7929</v>
      </c>
      <c r="C1450" s="7" t="s">
        <v>12556</v>
      </c>
      <c r="D1450" s="8">
        <f t="shared" si="92"/>
        <v>0</v>
      </c>
      <c r="E1450" s="7" t="s">
        <v>12557</v>
      </c>
      <c r="F1450" s="7">
        <f t="shared" si="93"/>
        <v>2</v>
      </c>
      <c r="G1450" s="7" t="s">
        <v>12558</v>
      </c>
      <c r="H1450" s="7">
        <f t="shared" si="94"/>
        <v>0</v>
      </c>
      <c r="I1450" s="7" cm="1">
        <f t="array" ref="I1450">IFERROR(_xlfn.IFS(M1450="נח",1,M1450="נע ונח",1,M1450="שני שווא נח",2,M1450="שני שוואים בסוף מילה",2,M1450="שני שוואים ברצף",1),"0")</f>
        <v>2</v>
      </c>
      <c r="J1450" s="9">
        <f t="shared" si="95"/>
        <v>3</v>
      </c>
      <c r="K1450" t="s">
        <v>6698</v>
      </c>
      <c r="L1450" t="s">
        <v>6694</v>
      </c>
      <c r="M1450" t="s">
        <v>6704</v>
      </c>
      <c r="O1450" t="s">
        <v>6694</v>
      </c>
      <c r="P1450" t="s">
        <v>6694</v>
      </c>
      <c r="S1450" t="s">
        <v>6694</v>
      </c>
      <c r="W1450" t="s">
        <v>6720</v>
      </c>
    </row>
    <row r="1451" spans="1:23" ht="15.6" x14ac:dyDescent="0.4">
      <c r="A1451" s="2" t="s">
        <v>5236</v>
      </c>
      <c r="B1451" s="5" t="s">
        <v>7930</v>
      </c>
      <c r="C1451" s="7" t="s">
        <v>12556</v>
      </c>
      <c r="D1451" s="8">
        <f t="shared" si="92"/>
        <v>0</v>
      </c>
      <c r="E1451" s="7" t="s">
        <v>12557</v>
      </c>
      <c r="F1451" s="7">
        <f t="shared" si="93"/>
        <v>0</v>
      </c>
      <c r="G1451" s="7" t="s">
        <v>12558</v>
      </c>
      <c r="H1451" s="7">
        <f t="shared" si="94"/>
        <v>0</v>
      </c>
      <c r="I1451" s="7" cm="1">
        <f t="array" ref="I1451">IFERROR(_xlfn.IFS(M1451="נח",1,M1451="נע ונח",1,M1451="שני שווא נח",2,M1451="שני שוואים בסוף מילה",2,M1451="שני שוואים ברצף",1),"0")</f>
        <v>1</v>
      </c>
      <c r="J1451" s="9">
        <f t="shared" si="95"/>
        <v>2</v>
      </c>
      <c r="K1451" t="s">
        <v>6698</v>
      </c>
      <c r="L1451" t="s">
        <v>6694</v>
      </c>
      <c r="M1451" t="s">
        <v>6705</v>
      </c>
      <c r="S1451" t="s">
        <v>6694</v>
      </c>
      <c r="W1451" t="s">
        <v>6720</v>
      </c>
    </row>
    <row r="1452" spans="1:23" ht="15.6" x14ac:dyDescent="0.4">
      <c r="A1452" s="2" t="s">
        <v>4237</v>
      </c>
      <c r="B1452" s="5" t="s">
        <v>7931</v>
      </c>
      <c r="C1452" s="7" t="s">
        <v>12556</v>
      </c>
      <c r="D1452" s="8">
        <f t="shared" si="92"/>
        <v>1</v>
      </c>
      <c r="E1452" s="7" t="s">
        <v>12557</v>
      </c>
      <c r="F1452" s="7">
        <f t="shared" si="93"/>
        <v>1</v>
      </c>
      <c r="G1452" s="7" t="s">
        <v>12558</v>
      </c>
      <c r="H1452" s="7">
        <f t="shared" si="94"/>
        <v>0</v>
      </c>
      <c r="I1452" s="7" cm="1">
        <f t="array" ref="I1452">IFERROR(_xlfn.IFS(M1452="נח",1,M1452="נע ונח",1,M1452="שני שווא נח",2,M1452="שני שוואים בסוף מילה",2,M1452="שני שוואים ברצף",1),"0")</f>
        <v>2</v>
      </c>
      <c r="J1452" s="9">
        <f t="shared" si="95"/>
        <v>3</v>
      </c>
      <c r="K1452" t="s">
        <v>6697</v>
      </c>
      <c r="L1452" t="s">
        <v>6694</v>
      </c>
      <c r="M1452" t="s">
        <v>6704</v>
      </c>
      <c r="O1452" t="s">
        <v>6694</v>
      </c>
      <c r="P1452" t="s">
        <v>6694</v>
      </c>
      <c r="S1452" t="s">
        <v>6694</v>
      </c>
      <c r="W1452" t="s">
        <v>6720</v>
      </c>
    </row>
    <row r="1453" spans="1:23" ht="15.6" x14ac:dyDescent="0.4">
      <c r="A1453" s="2" t="s">
        <v>6067</v>
      </c>
      <c r="B1453" s="5" t="s">
        <v>7932</v>
      </c>
      <c r="C1453" s="7" t="s">
        <v>12556</v>
      </c>
      <c r="D1453" s="8">
        <f t="shared" si="92"/>
        <v>1</v>
      </c>
      <c r="E1453" s="7" t="s">
        <v>12557</v>
      </c>
      <c r="F1453" s="7">
        <f t="shared" si="93"/>
        <v>1</v>
      </c>
      <c r="G1453" s="7" t="s">
        <v>12558</v>
      </c>
      <c r="H1453" s="7">
        <f t="shared" si="94"/>
        <v>1</v>
      </c>
      <c r="I1453" s="7" cm="1">
        <f t="array" ref="I1453">IFERROR(_xlfn.IFS(M1453="נח",1,M1453="נע ונח",1,M1453="שני שווא נח",2,M1453="שני שוואים בסוף מילה",2,M1453="שני שוואים ברצף",1),"0")</f>
        <v>2</v>
      </c>
      <c r="J1453" s="9">
        <f t="shared" si="95"/>
        <v>3</v>
      </c>
      <c r="K1453" t="s">
        <v>6697</v>
      </c>
      <c r="L1453" t="s">
        <v>6694</v>
      </c>
      <c r="M1453" t="s">
        <v>6704</v>
      </c>
      <c r="N1453" t="s">
        <v>6706</v>
      </c>
      <c r="O1453" t="s">
        <v>6694</v>
      </c>
      <c r="S1453" t="s">
        <v>6694</v>
      </c>
      <c r="U1453" t="s">
        <v>6694</v>
      </c>
      <c r="W1453" t="s">
        <v>6720</v>
      </c>
    </row>
    <row r="1454" spans="1:23" ht="15.6" x14ac:dyDescent="0.4">
      <c r="A1454" s="2" t="s">
        <v>439</v>
      </c>
      <c r="B1454" s="5" t="s">
        <v>7933</v>
      </c>
      <c r="C1454" s="7" t="s">
        <v>12556</v>
      </c>
      <c r="D1454" s="8">
        <f t="shared" si="92"/>
        <v>1</v>
      </c>
      <c r="E1454" s="7" t="s">
        <v>12557</v>
      </c>
      <c r="F1454" s="7">
        <f t="shared" si="93"/>
        <v>1</v>
      </c>
      <c r="G1454" s="7" t="s">
        <v>12558</v>
      </c>
      <c r="H1454" s="7">
        <f t="shared" si="94"/>
        <v>0</v>
      </c>
      <c r="I1454" s="7" cm="1">
        <f t="array" ref="I1454">IFERROR(_xlfn.IFS(M1454="נח",1,M1454="נע ונח",1,M1454="שני שווא נח",2,M1454="שני שוואים בסוף מילה",2,M1454="שני שוואים ברצף",1),"0")</f>
        <v>1</v>
      </c>
      <c r="J1454" s="9">
        <f t="shared" si="95"/>
        <v>3</v>
      </c>
      <c r="K1454" t="s">
        <v>6697</v>
      </c>
      <c r="L1454" t="s">
        <v>6694</v>
      </c>
      <c r="M1454" t="s">
        <v>6705</v>
      </c>
      <c r="N1454" t="s">
        <v>6707</v>
      </c>
      <c r="P1454" t="s">
        <v>6694</v>
      </c>
      <c r="S1454" t="s">
        <v>6694</v>
      </c>
      <c r="W1454" t="s">
        <v>6720</v>
      </c>
    </row>
    <row r="1455" spans="1:23" ht="15.6" x14ac:dyDescent="0.4">
      <c r="A1455" s="2" t="s">
        <v>3214</v>
      </c>
      <c r="B1455" s="5" t="s">
        <v>7934</v>
      </c>
      <c r="C1455" s="7" t="s">
        <v>12556</v>
      </c>
      <c r="D1455" s="8">
        <f t="shared" si="92"/>
        <v>1</v>
      </c>
      <c r="E1455" s="7" t="s">
        <v>12557</v>
      </c>
      <c r="F1455" s="7">
        <f t="shared" si="93"/>
        <v>1</v>
      </c>
      <c r="G1455" s="7" t="s">
        <v>12558</v>
      </c>
      <c r="H1455" s="7">
        <f t="shared" si="94"/>
        <v>1</v>
      </c>
      <c r="I1455" s="7" cm="1">
        <f t="array" ref="I1455">IFERROR(_xlfn.IFS(M1455="נח",1,M1455="נע ונח",1,M1455="שני שווא נח",2,M1455="שני שוואים בסוף מילה",2,M1455="שני שוואים ברצף",1),"0")</f>
        <v>1</v>
      </c>
      <c r="J1455" s="9">
        <f t="shared" si="95"/>
        <v>3</v>
      </c>
      <c r="K1455" t="s">
        <v>6697</v>
      </c>
      <c r="L1455" t="s">
        <v>6694</v>
      </c>
      <c r="M1455" t="s">
        <v>6705</v>
      </c>
      <c r="S1455" t="s">
        <v>6694</v>
      </c>
      <c r="U1455" t="s">
        <v>6694</v>
      </c>
      <c r="W1455" t="s">
        <v>6720</v>
      </c>
    </row>
    <row r="1456" spans="1:23" ht="15.6" x14ac:dyDescent="0.4">
      <c r="A1456" s="2" t="s">
        <v>1145</v>
      </c>
      <c r="B1456" s="5" t="s">
        <v>7935</v>
      </c>
      <c r="C1456" s="7" t="s">
        <v>12556</v>
      </c>
      <c r="D1456" s="8">
        <f t="shared" si="92"/>
        <v>1</v>
      </c>
      <c r="E1456" s="7" t="s">
        <v>12557</v>
      </c>
      <c r="F1456" s="7">
        <f t="shared" si="93"/>
        <v>1</v>
      </c>
      <c r="G1456" s="7" t="s">
        <v>12558</v>
      </c>
      <c r="H1456" s="7">
        <f t="shared" si="94"/>
        <v>1</v>
      </c>
      <c r="I1456" s="7" cm="1">
        <f t="array" ref="I1456">IFERROR(_xlfn.IFS(M1456="נח",1,M1456="נע ונח",1,M1456="שני שווא נח",2,M1456="שני שוואים בסוף מילה",2,M1456="שני שוואים ברצף",1),"0")</f>
        <v>1</v>
      </c>
      <c r="J1456" s="9">
        <f t="shared" si="95"/>
        <v>3</v>
      </c>
      <c r="K1456" t="s">
        <v>6697</v>
      </c>
      <c r="L1456" t="s">
        <v>6694</v>
      </c>
      <c r="M1456" t="s">
        <v>6705</v>
      </c>
      <c r="S1456" t="s">
        <v>6694</v>
      </c>
      <c r="U1456" t="s">
        <v>6694</v>
      </c>
      <c r="W1456" t="s">
        <v>6720</v>
      </c>
    </row>
    <row r="1457" spans="1:23" ht="15.6" x14ac:dyDescent="0.4">
      <c r="A1457" s="2" t="s">
        <v>4705</v>
      </c>
      <c r="B1457" s="5" t="s">
        <v>7936</v>
      </c>
      <c r="C1457" s="7" t="s">
        <v>12556</v>
      </c>
      <c r="D1457" s="8">
        <f t="shared" si="92"/>
        <v>1</v>
      </c>
      <c r="E1457" s="7" t="s">
        <v>12557</v>
      </c>
      <c r="F1457" s="7">
        <f t="shared" si="93"/>
        <v>1</v>
      </c>
      <c r="G1457" s="7" t="s">
        <v>12558</v>
      </c>
      <c r="H1457" s="7">
        <f t="shared" si="94"/>
        <v>0</v>
      </c>
      <c r="I1457" s="7" cm="1">
        <f t="array" ref="I1457">IFERROR(_xlfn.IFS(M1457="נח",1,M1457="נע ונח",1,M1457="שני שווא נח",2,M1457="שני שוואים בסוף מילה",2,M1457="שני שוואים ברצף",1),"0")</f>
        <v>2</v>
      </c>
      <c r="J1457" s="9">
        <f t="shared" si="95"/>
        <v>3</v>
      </c>
      <c r="K1457" t="s">
        <v>6698</v>
      </c>
      <c r="L1457" t="s">
        <v>6694</v>
      </c>
      <c r="M1457" t="s">
        <v>6704</v>
      </c>
      <c r="O1457" t="s">
        <v>6694</v>
      </c>
      <c r="P1457" t="s">
        <v>6694</v>
      </c>
      <c r="S1457" t="s">
        <v>6694</v>
      </c>
      <c r="W1457" t="s">
        <v>6720</v>
      </c>
    </row>
    <row r="1458" spans="1:23" ht="15.6" x14ac:dyDescent="0.4">
      <c r="A1458" s="2" t="s">
        <v>3217</v>
      </c>
      <c r="B1458" s="5" t="s">
        <v>7937</v>
      </c>
      <c r="C1458" s="7" t="s">
        <v>12556</v>
      </c>
      <c r="D1458" s="8">
        <f t="shared" si="92"/>
        <v>1</v>
      </c>
      <c r="E1458" s="7" t="s">
        <v>12557</v>
      </c>
      <c r="F1458" s="7">
        <f t="shared" si="93"/>
        <v>0</v>
      </c>
      <c r="G1458" s="7" t="s">
        <v>12558</v>
      </c>
      <c r="H1458" s="7">
        <f t="shared" si="94"/>
        <v>0</v>
      </c>
      <c r="I1458" s="7" cm="1">
        <f t="array" ref="I1458">IFERROR(_xlfn.IFS(M1458="נח",1,M1458="נע ונח",1,M1458="שני שווא נח",2,M1458="שני שוואים בסוף מילה",2,M1458="שני שוואים ברצף",1),"0")</f>
        <v>1</v>
      </c>
      <c r="J1458" s="9">
        <f t="shared" si="95"/>
        <v>2</v>
      </c>
      <c r="K1458" t="s">
        <v>6698</v>
      </c>
      <c r="L1458" t="s">
        <v>6694</v>
      </c>
      <c r="M1458" t="s">
        <v>6705</v>
      </c>
      <c r="S1458" t="s">
        <v>6694</v>
      </c>
      <c r="W1458" t="s">
        <v>6720</v>
      </c>
    </row>
    <row r="1459" spans="1:23" ht="15.6" x14ac:dyDescent="0.4">
      <c r="A1459" s="2" t="s">
        <v>4243</v>
      </c>
      <c r="B1459" s="5" t="s">
        <v>7938</v>
      </c>
      <c r="C1459" s="7" t="s">
        <v>12556</v>
      </c>
      <c r="D1459" s="8">
        <f t="shared" si="92"/>
        <v>1</v>
      </c>
      <c r="E1459" s="7" t="s">
        <v>12557</v>
      </c>
      <c r="F1459" s="7">
        <f t="shared" si="93"/>
        <v>1</v>
      </c>
      <c r="G1459" s="7" t="s">
        <v>12558</v>
      </c>
      <c r="H1459" s="7">
        <f t="shared" si="94"/>
        <v>1</v>
      </c>
      <c r="I1459" s="7" cm="1">
        <f t="array" ref="I1459">IFERROR(_xlfn.IFS(M1459="נח",1,M1459="נע ונח",1,M1459="שני שווא נח",2,M1459="שני שוואים בסוף מילה",2,M1459="שני שוואים ברצף",1),"0")</f>
        <v>1</v>
      </c>
      <c r="J1459" s="9">
        <f t="shared" si="95"/>
        <v>4</v>
      </c>
      <c r="K1459" t="s">
        <v>6697</v>
      </c>
      <c r="L1459" t="s">
        <v>6694</v>
      </c>
      <c r="M1459" t="s">
        <v>6705</v>
      </c>
      <c r="O1459" t="s">
        <v>6694</v>
      </c>
      <c r="S1459" t="s">
        <v>6694</v>
      </c>
      <c r="U1459" t="s">
        <v>6694</v>
      </c>
      <c r="W1459" t="s">
        <v>6720</v>
      </c>
    </row>
    <row r="1460" spans="1:23" ht="15.6" x14ac:dyDescent="0.4">
      <c r="A1460" s="2" t="s">
        <v>2214</v>
      </c>
      <c r="B1460" s="5" t="s">
        <v>7939</v>
      </c>
      <c r="C1460" s="7" t="s">
        <v>12556</v>
      </c>
      <c r="D1460" s="8">
        <f t="shared" si="92"/>
        <v>1</v>
      </c>
      <c r="E1460" s="7" t="s">
        <v>12557</v>
      </c>
      <c r="F1460" s="7">
        <f t="shared" si="93"/>
        <v>2</v>
      </c>
      <c r="G1460" s="7" t="s">
        <v>12558</v>
      </c>
      <c r="H1460" s="7">
        <f t="shared" si="94"/>
        <v>1</v>
      </c>
      <c r="I1460" s="7" cm="1">
        <f t="array" ref="I1460">IFERROR(_xlfn.IFS(M1460="נח",1,M1460="נע ונח",1,M1460="שני שווא נח",2,M1460="שני שוואים בסוף מילה",2,M1460="שני שוואים ברצף",1),"0")</f>
        <v>1</v>
      </c>
      <c r="J1460" s="9">
        <f t="shared" si="95"/>
        <v>4</v>
      </c>
      <c r="K1460" t="s">
        <v>6697</v>
      </c>
      <c r="L1460" t="s">
        <v>6694</v>
      </c>
      <c r="M1460" t="s">
        <v>6705</v>
      </c>
      <c r="P1460" t="s">
        <v>6694</v>
      </c>
      <c r="S1460" t="s">
        <v>6694</v>
      </c>
      <c r="U1460" t="s">
        <v>6694</v>
      </c>
      <c r="W1460" t="s">
        <v>6720</v>
      </c>
    </row>
    <row r="1461" spans="1:23" ht="15.6" x14ac:dyDescent="0.4">
      <c r="A1461" s="2" t="s">
        <v>1537</v>
      </c>
      <c r="B1461" s="5" t="s">
        <v>7940</v>
      </c>
      <c r="C1461" s="7" t="s">
        <v>12556</v>
      </c>
      <c r="D1461" s="8">
        <f t="shared" si="92"/>
        <v>1</v>
      </c>
      <c r="E1461" s="7" t="s">
        <v>12557</v>
      </c>
      <c r="F1461" s="7">
        <f t="shared" si="93"/>
        <v>1</v>
      </c>
      <c r="G1461" s="7" t="s">
        <v>12558</v>
      </c>
      <c r="H1461" s="7">
        <f t="shared" si="94"/>
        <v>0</v>
      </c>
      <c r="I1461" s="7" cm="1">
        <f t="array" ref="I1461">IFERROR(_xlfn.IFS(M1461="נח",1,M1461="נע ונח",1,M1461="שני שווא נח",2,M1461="שני שוואים בסוף מילה",2,M1461="שני שוואים ברצף",1),"0")</f>
        <v>1</v>
      </c>
      <c r="J1461" s="9">
        <f t="shared" si="95"/>
        <v>3</v>
      </c>
      <c r="K1461" t="s">
        <v>6697</v>
      </c>
      <c r="L1461" t="s">
        <v>6694</v>
      </c>
      <c r="M1461" t="s">
        <v>6705</v>
      </c>
      <c r="P1461" t="s">
        <v>6694</v>
      </c>
      <c r="S1461" t="s">
        <v>6694</v>
      </c>
      <c r="W1461" t="s">
        <v>6720</v>
      </c>
    </row>
    <row r="1462" spans="1:23" ht="15.6" x14ac:dyDescent="0.4">
      <c r="A1462" s="2" t="s">
        <v>5413</v>
      </c>
      <c r="B1462" s="5" t="s">
        <v>7941</v>
      </c>
      <c r="C1462" s="7" t="s">
        <v>12556</v>
      </c>
      <c r="D1462" s="8">
        <f t="shared" si="92"/>
        <v>1</v>
      </c>
      <c r="E1462" s="7" t="s">
        <v>12557</v>
      </c>
      <c r="F1462" s="7">
        <f t="shared" si="93"/>
        <v>2</v>
      </c>
      <c r="G1462" s="7" t="s">
        <v>12558</v>
      </c>
      <c r="H1462" s="7">
        <f t="shared" si="94"/>
        <v>1</v>
      </c>
      <c r="I1462" s="7" cm="1">
        <f t="array" ref="I1462">IFERROR(_xlfn.IFS(M1462="נח",1,M1462="נע ונח",1,M1462="שני שווא נח",2,M1462="שני שוואים בסוף מילה",2,M1462="שני שוואים ברצף",1),"0")</f>
        <v>1</v>
      </c>
      <c r="J1462" s="9">
        <f t="shared" si="95"/>
        <v>2</v>
      </c>
      <c r="K1462" t="s">
        <v>6697</v>
      </c>
      <c r="L1462" t="s">
        <v>6694</v>
      </c>
      <c r="M1462" t="s">
        <v>6705</v>
      </c>
      <c r="S1462" t="s">
        <v>6694</v>
      </c>
      <c r="U1462" t="s">
        <v>6694</v>
      </c>
      <c r="W1462" t="s">
        <v>6720</v>
      </c>
    </row>
    <row r="1463" spans="1:23" ht="15.6" x14ac:dyDescent="0.4">
      <c r="A1463" s="2" t="s">
        <v>1035</v>
      </c>
      <c r="B1463" s="5" t="s">
        <v>7942</v>
      </c>
      <c r="C1463" s="7" t="s">
        <v>12556</v>
      </c>
      <c r="D1463" s="8">
        <f t="shared" si="92"/>
        <v>1</v>
      </c>
      <c r="E1463" s="7" t="s">
        <v>12557</v>
      </c>
      <c r="F1463" s="7">
        <f t="shared" si="93"/>
        <v>2</v>
      </c>
      <c r="G1463" s="7" t="s">
        <v>12558</v>
      </c>
      <c r="H1463" s="7">
        <f t="shared" si="94"/>
        <v>1</v>
      </c>
      <c r="I1463" s="7" cm="1">
        <f t="array" ref="I1463">IFERROR(_xlfn.IFS(M1463="נח",1,M1463="נע ונח",1,M1463="שני שווא נח",2,M1463="שני שוואים בסוף מילה",2,M1463="שני שוואים ברצף",1),"0")</f>
        <v>1</v>
      </c>
      <c r="J1463" s="9">
        <f t="shared" si="95"/>
        <v>3</v>
      </c>
      <c r="K1463" t="s">
        <v>6697</v>
      </c>
      <c r="L1463" t="s">
        <v>6694</v>
      </c>
      <c r="M1463" t="s">
        <v>6705</v>
      </c>
      <c r="S1463" t="s">
        <v>6694</v>
      </c>
      <c r="U1463" t="s">
        <v>6694</v>
      </c>
      <c r="W1463" t="s">
        <v>6720</v>
      </c>
    </row>
    <row r="1464" spans="1:23" ht="15.6" x14ac:dyDescent="0.4">
      <c r="A1464" s="2" t="s">
        <v>3529</v>
      </c>
      <c r="B1464" s="5" t="s">
        <v>7943</v>
      </c>
      <c r="C1464" s="7" t="s">
        <v>12556</v>
      </c>
      <c r="D1464" s="8">
        <f t="shared" si="92"/>
        <v>1</v>
      </c>
      <c r="E1464" s="7" t="s">
        <v>12557</v>
      </c>
      <c r="F1464" s="7">
        <f t="shared" si="93"/>
        <v>2</v>
      </c>
      <c r="G1464" s="7" t="s">
        <v>12558</v>
      </c>
      <c r="H1464" s="7">
        <f t="shared" si="94"/>
        <v>1</v>
      </c>
      <c r="I1464" s="7" t="str" cm="1">
        <f t="array" ref="I1464">IFERROR(_xlfn.IFS(M1464="נח",1,M1464="נע ונח",1,M1464="שני שווא נח",2,M1464="שני שוואים בסוף מילה",2,M1464="שני שוואים ברצף",1),"0")</f>
        <v>0</v>
      </c>
      <c r="J1464" s="9">
        <f t="shared" si="95"/>
        <v>4</v>
      </c>
      <c r="K1464" t="s">
        <v>6697</v>
      </c>
      <c r="L1464" t="s">
        <v>6695</v>
      </c>
      <c r="S1464" t="s">
        <v>6694</v>
      </c>
      <c r="U1464" t="s">
        <v>6694</v>
      </c>
      <c r="W1464" t="s">
        <v>6720</v>
      </c>
    </row>
    <row r="1465" spans="1:23" ht="15.6" x14ac:dyDescent="0.4">
      <c r="A1465" s="2" t="s">
        <v>2179</v>
      </c>
      <c r="B1465" s="5" t="s">
        <v>7944</v>
      </c>
      <c r="C1465" s="7" t="s">
        <v>12556</v>
      </c>
      <c r="D1465" s="8">
        <f t="shared" si="92"/>
        <v>0</v>
      </c>
      <c r="E1465" s="7" t="s">
        <v>12557</v>
      </c>
      <c r="F1465" s="7">
        <f t="shared" si="93"/>
        <v>1</v>
      </c>
      <c r="G1465" s="7" t="s">
        <v>12558</v>
      </c>
      <c r="H1465" s="7">
        <f t="shared" si="94"/>
        <v>0</v>
      </c>
      <c r="I1465" s="7" cm="1">
        <f t="array" ref="I1465">IFERROR(_xlfn.IFS(M1465="נח",1,M1465="נע ונח",1,M1465="שני שווא נח",2,M1465="שני שוואים בסוף מילה",2,M1465="שני שוואים ברצף",1),"0")</f>
        <v>1</v>
      </c>
      <c r="J1465" s="9">
        <f t="shared" si="95"/>
        <v>3</v>
      </c>
      <c r="K1465" t="s">
        <v>6698</v>
      </c>
      <c r="L1465" t="s">
        <v>6694</v>
      </c>
      <c r="M1465" t="s">
        <v>6705</v>
      </c>
      <c r="N1465" t="s">
        <v>6706</v>
      </c>
      <c r="O1465" t="s">
        <v>6694</v>
      </c>
      <c r="P1465" t="s">
        <v>6694</v>
      </c>
      <c r="S1465" t="s">
        <v>6694</v>
      </c>
      <c r="W1465" t="s">
        <v>6720</v>
      </c>
    </row>
    <row r="1466" spans="1:23" ht="15.6" x14ac:dyDescent="0.4">
      <c r="A1466" s="2" t="s">
        <v>1610</v>
      </c>
      <c r="B1466" s="5" t="s">
        <v>7945</v>
      </c>
      <c r="C1466" s="7" t="s">
        <v>12556</v>
      </c>
      <c r="D1466" s="8">
        <f t="shared" si="92"/>
        <v>0</v>
      </c>
      <c r="E1466" s="7" t="s">
        <v>12557</v>
      </c>
      <c r="F1466" s="7">
        <f t="shared" si="93"/>
        <v>1</v>
      </c>
      <c r="G1466" s="7" t="s">
        <v>12558</v>
      </c>
      <c r="H1466" s="7">
        <f t="shared" si="94"/>
        <v>1</v>
      </c>
      <c r="I1466" s="7" t="str" cm="1">
        <f t="array" ref="I1466">IFERROR(_xlfn.IFS(M1466="נח",1,M1466="נע ונח",1,M1466="שני שווא נח",2,M1466="שני שוואים בסוף מילה",2,M1466="שני שוואים ברצף",1),"0")</f>
        <v>0</v>
      </c>
      <c r="J1466" s="9">
        <f t="shared" si="95"/>
        <v>5</v>
      </c>
      <c r="K1466" t="s">
        <v>6697</v>
      </c>
      <c r="L1466" t="s">
        <v>6694</v>
      </c>
      <c r="M1466" t="s">
        <v>6703</v>
      </c>
      <c r="P1466" t="s">
        <v>6694</v>
      </c>
      <c r="S1466" t="s">
        <v>6694</v>
      </c>
      <c r="U1466" t="s">
        <v>6694</v>
      </c>
      <c r="W1466" t="s">
        <v>6720</v>
      </c>
    </row>
    <row r="1467" spans="1:23" ht="15.6" x14ac:dyDescent="0.4">
      <c r="A1467" s="2" t="s">
        <v>1005</v>
      </c>
      <c r="B1467" s="5" t="s">
        <v>7946</v>
      </c>
      <c r="C1467" s="7" t="s">
        <v>12556</v>
      </c>
      <c r="D1467" s="8">
        <f t="shared" si="92"/>
        <v>0</v>
      </c>
      <c r="E1467" s="7" t="s">
        <v>12557</v>
      </c>
      <c r="F1467" s="7">
        <f t="shared" si="93"/>
        <v>2</v>
      </c>
      <c r="G1467" s="7" t="s">
        <v>12558</v>
      </c>
      <c r="H1467" s="7">
        <f t="shared" si="94"/>
        <v>0</v>
      </c>
      <c r="I1467" s="7" cm="1">
        <f t="array" ref="I1467">IFERROR(_xlfn.IFS(M1467="נח",1,M1467="נע ונח",1,M1467="שני שווא נח",2,M1467="שני שוואים בסוף מילה",2,M1467="שני שוואים ברצף",1),"0")</f>
        <v>2</v>
      </c>
      <c r="J1467" s="9">
        <f t="shared" si="95"/>
        <v>4</v>
      </c>
      <c r="K1467" t="s">
        <v>6697</v>
      </c>
      <c r="L1467" t="s">
        <v>6694</v>
      </c>
      <c r="M1467" t="s">
        <v>6704</v>
      </c>
      <c r="N1467" t="s">
        <v>6706</v>
      </c>
      <c r="O1467" t="s">
        <v>6694</v>
      </c>
      <c r="P1467" t="s">
        <v>6694</v>
      </c>
      <c r="S1467" t="s">
        <v>6694</v>
      </c>
      <c r="W1467" t="s">
        <v>6720</v>
      </c>
    </row>
    <row r="1468" spans="1:23" ht="15.6" x14ac:dyDescent="0.4">
      <c r="A1468" s="2" t="s">
        <v>3215</v>
      </c>
      <c r="B1468" s="5" t="s">
        <v>7947</v>
      </c>
      <c r="C1468" s="7" t="s">
        <v>12556</v>
      </c>
      <c r="D1468" s="8">
        <f t="shared" si="92"/>
        <v>0</v>
      </c>
      <c r="E1468" s="7" t="s">
        <v>12557</v>
      </c>
      <c r="F1468" s="7">
        <f t="shared" si="93"/>
        <v>1</v>
      </c>
      <c r="G1468" s="7" t="s">
        <v>12558</v>
      </c>
      <c r="H1468" s="7">
        <f t="shared" si="94"/>
        <v>1</v>
      </c>
      <c r="I1468" s="7" cm="1">
        <f t="array" ref="I1468">IFERROR(_xlfn.IFS(M1468="נח",1,M1468="נע ונח",1,M1468="שני שווא נח",2,M1468="שני שוואים בסוף מילה",2,M1468="שני שוואים ברצף",1),"0")</f>
        <v>1</v>
      </c>
      <c r="J1468" s="9">
        <f t="shared" si="95"/>
        <v>3</v>
      </c>
      <c r="K1468" t="s">
        <v>6697</v>
      </c>
      <c r="L1468" t="s">
        <v>6694</v>
      </c>
      <c r="M1468" t="s">
        <v>6705</v>
      </c>
      <c r="S1468" t="s">
        <v>6694</v>
      </c>
      <c r="U1468" t="s">
        <v>6694</v>
      </c>
      <c r="W1468" t="s">
        <v>6720</v>
      </c>
    </row>
    <row r="1469" spans="1:23" ht="15.6" x14ac:dyDescent="0.4">
      <c r="A1469" s="2" t="s">
        <v>6462</v>
      </c>
      <c r="B1469" s="5" t="s">
        <v>7948</v>
      </c>
      <c r="C1469" s="7" t="s">
        <v>12556</v>
      </c>
      <c r="D1469" s="8">
        <f t="shared" si="92"/>
        <v>0</v>
      </c>
      <c r="E1469" s="7" t="s">
        <v>12557</v>
      </c>
      <c r="F1469" s="7">
        <f t="shared" si="93"/>
        <v>0</v>
      </c>
      <c r="G1469" s="7" t="s">
        <v>12558</v>
      </c>
      <c r="H1469" s="7">
        <f t="shared" si="94"/>
        <v>0</v>
      </c>
      <c r="I1469" s="7" cm="1">
        <f t="array" ref="I1469">IFERROR(_xlfn.IFS(M1469="נח",1,M1469="נע ונח",1,M1469="שני שווא נח",2,M1469="שני שוואים בסוף מילה",2,M1469="שני שוואים ברצף",1),"0")</f>
        <v>1</v>
      </c>
      <c r="J1469" s="9">
        <f t="shared" si="95"/>
        <v>4</v>
      </c>
      <c r="K1469" t="s">
        <v>6697</v>
      </c>
      <c r="L1469" t="s">
        <v>6694</v>
      </c>
      <c r="M1469" t="s">
        <v>6705</v>
      </c>
      <c r="O1469" t="s">
        <v>6694</v>
      </c>
      <c r="S1469" t="s">
        <v>6694</v>
      </c>
      <c r="V1469" t="s">
        <v>6694</v>
      </c>
      <c r="W1469" t="s">
        <v>6720</v>
      </c>
    </row>
    <row r="1470" spans="1:23" ht="15.6" x14ac:dyDescent="0.4">
      <c r="A1470" s="2" t="s">
        <v>2200</v>
      </c>
      <c r="B1470" s="5" t="s">
        <v>7949</v>
      </c>
      <c r="C1470" s="7" t="s">
        <v>12556</v>
      </c>
      <c r="D1470" s="8">
        <f t="shared" si="92"/>
        <v>0</v>
      </c>
      <c r="E1470" s="7" t="s">
        <v>12557</v>
      </c>
      <c r="F1470" s="7">
        <f t="shared" si="93"/>
        <v>1</v>
      </c>
      <c r="G1470" s="7" t="s">
        <v>12558</v>
      </c>
      <c r="H1470" s="7">
        <f t="shared" si="94"/>
        <v>1</v>
      </c>
      <c r="I1470" s="7" t="str" cm="1">
        <f t="array" ref="I1470">IFERROR(_xlfn.IFS(M1470="נח",1,M1470="נע ונח",1,M1470="שני שווא נח",2,M1470="שני שוואים בסוף מילה",2,M1470="שני שוואים ברצף",1),"0")</f>
        <v>0</v>
      </c>
      <c r="J1470" s="9">
        <f t="shared" si="95"/>
        <v>3</v>
      </c>
      <c r="K1470" t="s">
        <v>6697</v>
      </c>
      <c r="L1470" t="s">
        <v>6695</v>
      </c>
      <c r="Q1470" t="s">
        <v>6694</v>
      </c>
      <c r="S1470" t="s">
        <v>6694</v>
      </c>
      <c r="U1470" t="s">
        <v>6694</v>
      </c>
      <c r="W1470" t="s">
        <v>6720</v>
      </c>
    </row>
    <row r="1471" spans="1:23" ht="15.6" x14ac:dyDescent="0.4">
      <c r="A1471" s="2" t="s">
        <v>3928</v>
      </c>
      <c r="B1471" s="5" t="s">
        <v>7950</v>
      </c>
      <c r="C1471" s="7" t="s">
        <v>12556</v>
      </c>
      <c r="D1471" s="8">
        <f t="shared" si="92"/>
        <v>0</v>
      </c>
      <c r="E1471" s="7" t="s">
        <v>12557</v>
      </c>
      <c r="F1471" s="7">
        <f t="shared" si="93"/>
        <v>0</v>
      </c>
      <c r="G1471" s="7" t="s">
        <v>12558</v>
      </c>
      <c r="H1471" s="7">
        <f t="shared" si="94"/>
        <v>0</v>
      </c>
      <c r="I1471" s="7" t="str" cm="1">
        <f t="array" ref="I1471">IFERROR(_xlfn.IFS(M1471="נח",1,M1471="נע ונח",1,M1471="שני שווא נח",2,M1471="שני שוואים בסוף מילה",2,M1471="שני שוואים ברצף",1),"0")</f>
        <v>0</v>
      </c>
      <c r="J1471" s="9">
        <f t="shared" si="95"/>
        <v>3</v>
      </c>
      <c r="K1471" t="s">
        <v>6697</v>
      </c>
      <c r="L1471" t="s">
        <v>6695</v>
      </c>
      <c r="O1471" t="s">
        <v>6694</v>
      </c>
      <c r="Q1471" t="s">
        <v>6694</v>
      </c>
      <c r="S1471" t="s">
        <v>6694</v>
      </c>
      <c r="W1471" t="s">
        <v>6720</v>
      </c>
    </row>
    <row r="1472" spans="1:23" ht="15.6" x14ac:dyDescent="0.4">
      <c r="A1472" s="2" t="s">
        <v>3712</v>
      </c>
      <c r="B1472" s="5" t="s">
        <v>7951</v>
      </c>
      <c r="C1472" s="7" t="s">
        <v>12556</v>
      </c>
      <c r="D1472" s="8">
        <f t="shared" si="92"/>
        <v>0</v>
      </c>
      <c r="E1472" s="7" t="s">
        <v>12557</v>
      </c>
      <c r="F1472" s="7">
        <f t="shared" si="93"/>
        <v>0</v>
      </c>
      <c r="G1472" s="7" t="s">
        <v>12558</v>
      </c>
      <c r="H1472" s="7">
        <f t="shared" si="94"/>
        <v>0</v>
      </c>
      <c r="I1472" s="7" cm="1">
        <f t="array" ref="I1472">IFERROR(_xlfn.IFS(M1472="נח",1,M1472="נע ונח",1,M1472="שני שווא נח",2,M1472="שני שוואים בסוף מילה",2,M1472="שני שוואים ברצף",1),"0")</f>
        <v>1</v>
      </c>
      <c r="J1472" s="9">
        <f t="shared" si="95"/>
        <v>2</v>
      </c>
      <c r="K1472" t="s">
        <v>6698</v>
      </c>
      <c r="L1472" t="s">
        <v>6694</v>
      </c>
      <c r="M1472" t="s">
        <v>6705</v>
      </c>
      <c r="Q1472" t="s">
        <v>6694</v>
      </c>
      <c r="W1472" t="s">
        <v>6720</v>
      </c>
    </row>
    <row r="1473" spans="1:23" ht="15.6" x14ac:dyDescent="0.4">
      <c r="A1473" s="2" t="s">
        <v>2891</v>
      </c>
      <c r="B1473" s="5" t="s">
        <v>7952</v>
      </c>
      <c r="C1473" s="7" t="s">
        <v>12556</v>
      </c>
      <c r="D1473" s="8">
        <f t="shared" si="92"/>
        <v>0</v>
      </c>
      <c r="E1473" s="7" t="s">
        <v>12557</v>
      </c>
      <c r="F1473" s="7">
        <f t="shared" si="93"/>
        <v>0</v>
      </c>
      <c r="G1473" s="7" t="s">
        <v>12558</v>
      </c>
      <c r="H1473" s="7">
        <f t="shared" si="94"/>
        <v>0</v>
      </c>
      <c r="I1473" s="7" t="str" cm="1">
        <f t="array" ref="I1473">IFERROR(_xlfn.IFS(M1473="נח",1,M1473="נע ונח",1,M1473="שני שווא נח",2,M1473="שני שוואים בסוף מילה",2,M1473="שני שוואים ברצף",1),"0")</f>
        <v>0</v>
      </c>
      <c r="J1473" s="9">
        <f t="shared" si="95"/>
        <v>2</v>
      </c>
      <c r="K1473" t="s">
        <v>6698</v>
      </c>
      <c r="L1473" t="s">
        <v>6695</v>
      </c>
      <c r="P1473" t="s">
        <v>6694</v>
      </c>
      <c r="Q1473" t="s">
        <v>6694</v>
      </c>
      <c r="W1473" t="s">
        <v>6720</v>
      </c>
    </row>
    <row r="1474" spans="1:23" ht="15.6" x14ac:dyDescent="0.4">
      <c r="A1474" s="2" t="s">
        <v>6296</v>
      </c>
      <c r="B1474" s="5" t="s">
        <v>7952</v>
      </c>
      <c r="C1474" s="7" t="s">
        <v>12556</v>
      </c>
      <c r="D1474" s="8">
        <f t="shared" si="92"/>
        <v>0</v>
      </c>
      <c r="E1474" s="7" t="s">
        <v>12557</v>
      </c>
      <c r="F1474" s="7">
        <f t="shared" si="93"/>
        <v>0</v>
      </c>
      <c r="G1474" s="7" t="s">
        <v>12558</v>
      </c>
      <c r="H1474" s="7">
        <f t="shared" si="94"/>
        <v>0</v>
      </c>
      <c r="I1474" s="7" t="str" cm="1">
        <f t="array" ref="I1474">IFERROR(_xlfn.IFS(M1474="נח",1,M1474="נע ונח",1,M1474="שני שווא נח",2,M1474="שני שוואים בסוף מילה",2,M1474="שני שוואים ברצף",1),"0")</f>
        <v>0</v>
      </c>
      <c r="J1474" s="9">
        <f t="shared" si="95"/>
        <v>2</v>
      </c>
      <c r="K1474" t="s">
        <v>6698</v>
      </c>
      <c r="L1474" t="s">
        <v>6695</v>
      </c>
      <c r="N1474" t="s">
        <v>6706</v>
      </c>
      <c r="O1474" t="s">
        <v>6694</v>
      </c>
      <c r="Q1474" t="s">
        <v>6694</v>
      </c>
      <c r="W1474" t="s">
        <v>6720</v>
      </c>
    </row>
    <row r="1475" spans="1:23" ht="15.6" x14ac:dyDescent="0.4">
      <c r="A1475" s="2" t="s">
        <v>6473</v>
      </c>
      <c r="B1475" s="5" t="s">
        <v>7953</v>
      </c>
      <c r="C1475" s="7" t="s">
        <v>12556</v>
      </c>
      <c r="D1475" s="8">
        <f t="shared" ref="D1475:D1538" si="96">(LEN(B1475)-LEN(SUBSTITUTE(B1475,C1475,"")))</f>
        <v>0</v>
      </c>
      <c r="E1475" s="7" t="s">
        <v>12557</v>
      </c>
      <c r="F1475" s="7">
        <f t="shared" ref="F1475:F1538" si="97">(LEN(A1475)-LEN(SUBSTITUTE(A1475,E1475,"")))</f>
        <v>0</v>
      </c>
      <c r="G1475" s="7" t="s">
        <v>12558</v>
      </c>
      <c r="H1475" s="7">
        <f t="shared" ref="H1475:H1538" si="98">(LEN(A1475)-LEN(SUBSTITUTE(A1475,G1475,"")))/2</f>
        <v>0</v>
      </c>
      <c r="I1475" s="7" t="str" cm="1">
        <f t="array" ref="I1475">IFERROR(_xlfn.IFS(M1475="נח",1,M1475="נע ונח",1,M1475="שני שווא נח",2,M1475="שני שוואים בסוף מילה",2,M1475="שני שוואים ברצף",1),"0")</f>
        <v>0</v>
      </c>
      <c r="J1475" s="9">
        <f t="shared" ref="J1475:J1538" si="99">LEN(A1475)-(LEN(B1475))-D1475-F1475+H1475-I1475</f>
        <v>4</v>
      </c>
      <c r="K1475" t="s">
        <v>6697</v>
      </c>
      <c r="L1475" t="s">
        <v>6695</v>
      </c>
      <c r="O1475" t="s">
        <v>6694</v>
      </c>
      <c r="Q1475" t="s">
        <v>6694</v>
      </c>
      <c r="R1475" t="s">
        <v>6694</v>
      </c>
      <c r="W1475" t="s">
        <v>6720</v>
      </c>
    </row>
    <row r="1476" spans="1:23" ht="15.6" x14ac:dyDescent="0.4">
      <c r="A1476" s="2" t="s">
        <v>1891</v>
      </c>
      <c r="B1476" s="5" t="s">
        <v>7954</v>
      </c>
      <c r="C1476" s="7" t="s">
        <v>12556</v>
      </c>
      <c r="D1476" s="8">
        <f t="shared" si="96"/>
        <v>0</v>
      </c>
      <c r="E1476" s="7" t="s">
        <v>12557</v>
      </c>
      <c r="F1476" s="7">
        <f t="shared" si="97"/>
        <v>0</v>
      </c>
      <c r="G1476" s="7" t="s">
        <v>12558</v>
      </c>
      <c r="H1476" s="7">
        <f t="shared" si="98"/>
        <v>0</v>
      </c>
      <c r="I1476" s="7" t="str" cm="1">
        <f t="array" ref="I1476">IFERROR(_xlfn.IFS(M1476="נח",1,M1476="נע ונח",1,M1476="שני שווא נח",2,M1476="שני שוואים בסוף מילה",2,M1476="שני שוואים ברצף",1),"0")</f>
        <v>0</v>
      </c>
      <c r="J1476" s="9">
        <f t="shared" si="99"/>
        <v>2</v>
      </c>
      <c r="K1476" t="s">
        <v>6698</v>
      </c>
      <c r="L1476" t="s">
        <v>6695</v>
      </c>
      <c r="Q1476" t="s">
        <v>6694</v>
      </c>
      <c r="S1476" t="s">
        <v>6694</v>
      </c>
      <c r="W1476" t="s">
        <v>6720</v>
      </c>
    </row>
    <row r="1477" spans="1:23" ht="15.6" x14ac:dyDescent="0.4">
      <c r="A1477" s="2" t="s">
        <v>4116</v>
      </c>
      <c r="B1477" s="5" t="s">
        <v>7955</v>
      </c>
      <c r="C1477" s="7" t="s">
        <v>12556</v>
      </c>
      <c r="D1477" s="8">
        <f t="shared" si="96"/>
        <v>0</v>
      </c>
      <c r="E1477" s="7" t="s">
        <v>12557</v>
      </c>
      <c r="F1477" s="7">
        <f t="shared" si="97"/>
        <v>1</v>
      </c>
      <c r="G1477" s="7" t="s">
        <v>12558</v>
      </c>
      <c r="H1477" s="7">
        <f t="shared" si="98"/>
        <v>1</v>
      </c>
      <c r="I1477" s="7" t="str" cm="1">
        <f t="array" ref="I1477">IFERROR(_xlfn.IFS(M1477="נח",1,M1477="נע ונח",1,M1477="שני שווא נח",2,M1477="שני שוואים בסוף מילה",2,M1477="שני שוואים ברצף",1),"0")</f>
        <v>0</v>
      </c>
      <c r="J1477" s="9">
        <f t="shared" si="99"/>
        <v>3</v>
      </c>
      <c r="K1477" t="s">
        <v>6697</v>
      </c>
      <c r="L1477" t="s">
        <v>6695</v>
      </c>
      <c r="Q1477" t="s">
        <v>6694</v>
      </c>
      <c r="S1477" t="s">
        <v>6694</v>
      </c>
      <c r="U1477" t="s">
        <v>6694</v>
      </c>
      <c r="W1477" t="s">
        <v>6720</v>
      </c>
    </row>
    <row r="1478" spans="1:23" ht="15.6" x14ac:dyDescent="0.4">
      <c r="A1478" s="2" t="s">
        <v>2996</v>
      </c>
      <c r="B1478" s="5" t="s">
        <v>7956</v>
      </c>
      <c r="C1478" s="7" t="s">
        <v>12556</v>
      </c>
      <c r="D1478" s="8">
        <f t="shared" si="96"/>
        <v>0</v>
      </c>
      <c r="E1478" s="7" t="s">
        <v>12557</v>
      </c>
      <c r="F1478" s="7">
        <f t="shared" si="97"/>
        <v>0</v>
      </c>
      <c r="G1478" s="7" t="s">
        <v>12558</v>
      </c>
      <c r="H1478" s="7">
        <f t="shared" si="98"/>
        <v>0</v>
      </c>
      <c r="I1478" s="7" t="str" cm="1">
        <f t="array" ref="I1478">IFERROR(_xlfn.IFS(M1478="נח",1,M1478="נע ונח",1,M1478="שני שווא נח",2,M1478="שני שוואים בסוף מילה",2,M1478="שני שוואים ברצף",1),"0")</f>
        <v>0</v>
      </c>
      <c r="J1478" s="9">
        <f t="shared" si="99"/>
        <v>1</v>
      </c>
      <c r="K1478" t="s">
        <v>6698</v>
      </c>
      <c r="L1478" t="s">
        <v>6695</v>
      </c>
      <c r="Q1478" t="s">
        <v>6694</v>
      </c>
      <c r="W1478" t="s">
        <v>6720</v>
      </c>
    </row>
    <row r="1479" spans="1:23" ht="15.6" x14ac:dyDescent="0.4">
      <c r="A1479" s="2" t="s">
        <v>100</v>
      </c>
      <c r="B1479" s="5" t="s">
        <v>7957</v>
      </c>
      <c r="C1479" s="7" t="s">
        <v>12556</v>
      </c>
      <c r="D1479" s="8">
        <f t="shared" si="96"/>
        <v>0</v>
      </c>
      <c r="E1479" s="7" t="s">
        <v>12557</v>
      </c>
      <c r="F1479" s="7">
        <f t="shared" si="97"/>
        <v>1</v>
      </c>
      <c r="G1479" s="7" t="s">
        <v>12558</v>
      </c>
      <c r="H1479" s="7">
        <f t="shared" si="98"/>
        <v>0</v>
      </c>
      <c r="I1479" s="7" t="str" cm="1">
        <f t="array" ref="I1479">IFERROR(_xlfn.IFS(M1479="נח",1,M1479="נע ונח",1,M1479="שני שווא נח",2,M1479="שני שוואים בסוף מילה",2,M1479="שני שוואים ברצף",1),"0")</f>
        <v>0</v>
      </c>
      <c r="J1479" s="9">
        <f t="shared" si="99"/>
        <v>2</v>
      </c>
      <c r="K1479" t="s">
        <v>6697</v>
      </c>
      <c r="L1479" t="s">
        <v>6695</v>
      </c>
      <c r="O1479" t="s">
        <v>6694</v>
      </c>
      <c r="Q1479" t="s">
        <v>6694</v>
      </c>
      <c r="W1479" t="s">
        <v>6720</v>
      </c>
    </row>
    <row r="1480" spans="1:23" ht="15.6" x14ac:dyDescent="0.4">
      <c r="A1480" s="2" t="s">
        <v>3890</v>
      </c>
      <c r="B1480" s="5" t="s">
        <v>7958</v>
      </c>
      <c r="C1480" s="7" t="s">
        <v>12556</v>
      </c>
      <c r="D1480" s="8">
        <f t="shared" si="96"/>
        <v>0</v>
      </c>
      <c r="E1480" s="7" t="s">
        <v>12557</v>
      </c>
      <c r="F1480" s="7">
        <f t="shared" si="97"/>
        <v>0</v>
      </c>
      <c r="G1480" s="7" t="s">
        <v>12558</v>
      </c>
      <c r="H1480" s="7">
        <f t="shared" si="98"/>
        <v>0</v>
      </c>
      <c r="I1480" s="7" t="str" cm="1">
        <f t="array" ref="I1480">IFERROR(_xlfn.IFS(M1480="נח",1,M1480="נע ונח",1,M1480="שני שווא נח",2,M1480="שני שוואים בסוף מילה",2,M1480="שני שוואים ברצף",1),"0")</f>
        <v>0</v>
      </c>
      <c r="J1480" s="9">
        <f t="shared" si="99"/>
        <v>1</v>
      </c>
      <c r="K1480" t="s">
        <v>6698</v>
      </c>
      <c r="L1480" t="s">
        <v>6695</v>
      </c>
      <c r="Q1480" t="s">
        <v>6694</v>
      </c>
      <c r="W1480" t="s">
        <v>6720</v>
      </c>
    </row>
    <row r="1481" spans="1:23" ht="15.6" x14ac:dyDescent="0.4">
      <c r="A1481" s="2" t="s">
        <v>424</v>
      </c>
      <c r="B1481" s="5" t="s">
        <v>7959</v>
      </c>
      <c r="C1481" s="7" t="s">
        <v>12556</v>
      </c>
      <c r="D1481" s="8">
        <f t="shared" si="96"/>
        <v>0</v>
      </c>
      <c r="E1481" s="7" t="s">
        <v>12557</v>
      </c>
      <c r="F1481" s="7">
        <f t="shared" si="97"/>
        <v>0</v>
      </c>
      <c r="G1481" s="7" t="s">
        <v>12558</v>
      </c>
      <c r="H1481" s="7">
        <f t="shared" si="98"/>
        <v>0</v>
      </c>
      <c r="I1481" s="7" t="str" cm="1">
        <f t="array" ref="I1481">IFERROR(_xlfn.IFS(M1481="נח",1,M1481="נע ונח",1,M1481="שני שווא נח",2,M1481="שני שוואים בסוף מילה",2,M1481="שני שוואים ברצף",1),"0")</f>
        <v>0</v>
      </c>
      <c r="J1481" s="9">
        <f t="shared" si="99"/>
        <v>2</v>
      </c>
      <c r="K1481" t="s">
        <v>6697</v>
      </c>
      <c r="L1481" t="s">
        <v>6695</v>
      </c>
      <c r="Q1481" t="s">
        <v>6694</v>
      </c>
      <c r="S1481" t="s">
        <v>6694</v>
      </c>
      <c r="W1481" t="s">
        <v>6720</v>
      </c>
    </row>
    <row r="1482" spans="1:23" ht="15.6" x14ac:dyDescent="0.4">
      <c r="A1482" s="2" t="s">
        <v>522</v>
      </c>
      <c r="B1482" s="5" t="s">
        <v>7905</v>
      </c>
      <c r="C1482" s="7" t="s">
        <v>12556</v>
      </c>
      <c r="D1482" s="8">
        <f t="shared" si="96"/>
        <v>0</v>
      </c>
      <c r="E1482" s="7" t="s">
        <v>12557</v>
      </c>
      <c r="F1482" s="7">
        <f t="shared" si="97"/>
        <v>1</v>
      </c>
      <c r="G1482" s="7" t="s">
        <v>12558</v>
      </c>
      <c r="H1482" s="7">
        <f t="shared" si="98"/>
        <v>0</v>
      </c>
      <c r="I1482" s="7" t="str" cm="1">
        <f t="array" ref="I1482">IFERROR(_xlfn.IFS(M1482="נח",1,M1482="נע ונח",1,M1482="שני שווא נח",2,M1482="שני שוואים בסוף מילה",2,M1482="שני שוואים ברצף",1),"0")</f>
        <v>0</v>
      </c>
      <c r="J1482" s="9">
        <f t="shared" si="99"/>
        <v>2</v>
      </c>
      <c r="K1482" t="s">
        <v>6697</v>
      </c>
      <c r="L1482" t="s">
        <v>6695</v>
      </c>
      <c r="O1482" t="s">
        <v>6694</v>
      </c>
      <c r="Q1482" t="s">
        <v>6694</v>
      </c>
      <c r="W1482" t="s">
        <v>6720</v>
      </c>
    </row>
    <row r="1483" spans="1:23" ht="15.6" x14ac:dyDescent="0.4">
      <c r="A1483" s="2" t="s">
        <v>4463</v>
      </c>
      <c r="B1483" s="5" t="s">
        <v>7960</v>
      </c>
      <c r="C1483" s="7" t="s">
        <v>12556</v>
      </c>
      <c r="D1483" s="8">
        <f t="shared" si="96"/>
        <v>0</v>
      </c>
      <c r="E1483" s="7" t="s">
        <v>12557</v>
      </c>
      <c r="F1483" s="7">
        <f t="shared" si="97"/>
        <v>0</v>
      </c>
      <c r="G1483" s="7" t="s">
        <v>12558</v>
      </c>
      <c r="H1483" s="7">
        <f t="shared" si="98"/>
        <v>0</v>
      </c>
      <c r="I1483" s="7" t="str" cm="1">
        <f t="array" ref="I1483">IFERROR(_xlfn.IFS(M1483="נח",1,M1483="נע ונח",1,M1483="שני שווא נח",2,M1483="שני שוואים בסוף מילה",2,M1483="שני שוואים ברצף",1),"0")</f>
        <v>0</v>
      </c>
      <c r="J1483" s="9">
        <f t="shared" si="99"/>
        <v>2</v>
      </c>
      <c r="K1483" t="s">
        <v>6698</v>
      </c>
      <c r="L1483" t="s">
        <v>6695</v>
      </c>
      <c r="Q1483" t="s">
        <v>6694</v>
      </c>
      <c r="S1483" t="s">
        <v>6694</v>
      </c>
      <c r="W1483" t="s">
        <v>6720</v>
      </c>
    </row>
    <row r="1484" spans="1:23" ht="15.6" x14ac:dyDescent="0.4">
      <c r="A1484" s="2" t="s">
        <v>422</v>
      </c>
      <c r="B1484" s="5" t="s">
        <v>7961</v>
      </c>
      <c r="C1484" s="7" t="s">
        <v>12556</v>
      </c>
      <c r="D1484" s="8">
        <f t="shared" si="96"/>
        <v>0</v>
      </c>
      <c r="E1484" s="7" t="s">
        <v>12557</v>
      </c>
      <c r="F1484" s="7">
        <f t="shared" si="97"/>
        <v>0</v>
      </c>
      <c r="G1484" s="7" t="s">
        <v>12558</v>
      </c>
      <c r="H1484" s="7">
        <f t="shared" si="98"/>
        <v>0</v>
      </c>
      <c r="I1484" s="7" t="str" cm="1">
        <f t="array" ref="I1484">IFERROR(_xlfn.IFS(M1484="נח",1,M1484="נע ונח",1,M1484="שני שווא נח",2,M1484="שני שוואים בסוף מילה",2,M1484="שני שוואים ברצף",1),"0")</f>
        <v>0</v>
      </c>
      <c r="J1484" s="9">
        <f t="shared" si="99"/>
        <v>2</v>
      </c>
      <c r="K1484" t="s">
        <v>6698</v>
      </c>
      <c r="L1484" t="s">
        <v>6695</v>
      </c>
      <c r="Q1484" t="s">
        <v>6694</v>
      </c>
      <c r="S1484" t="s">
        <v>6694</v>
      </c>
      <c r="W1484" t="s">
        <v>6720</v>
      </c>
    </row>
    <row r="1485" spans="1:23" ht="15.6" x14ac:dyDescent="0.4">
      <c r="A1485" s="2" t="s">
        <v>5637</v>
      </c>
      <c r="B1485" s="5" t="s">
        <v>7962</v>
      </c>
      <c r="C1485" s="7" t="s">
        <v>12556</v>
      </c>
      <c r="D1485" s="8">
        <f t="shared" si="96"/>
        <v>0</v>
      </c>
      <c r="E1485" s="7" t="s">
        <v>12557</v>
      </c>
      <c r="F1485" s="7">
        <f t="shared" si="97"/>
        <v>0</v>
      </c>
      <c r="G1485" s="7" t="s">
        <v>12558</v>
      </c>
      <c r="H1485" s="7">
        <f t="shared" si="98"/>
        <v>0</v>
      </c>
      <c r="I1485" s="7" t="str" cm="1">
        <f t="array" ref="I1485">IFERROR(_xlfn.IFS(M1485="נח",1,M1485="נע ונח",1,M1485="שני שווא נח",2,M1485="שני שוואים בסוף מילה",2,M1485="שני שוואים ברצף",1),"0")</f>
        <v>0</v>
      </c>
      <c r="J1485" s="9">
        <f t="shared" si="99"/>
        <v>2</v>
      </c>
      <c r="K1485" t="s">
        <v>6697</v>
      </c>
      <c r="L1485" t="s">
        <v>6695</v>
      </c>
      <c r="P1485" t="s">
        <v>6694</v>
      </c>
      <c r="Q1485" t="s">
        <v>6694</v>
      </c>
      <c r="W1485" t="s">
        <v>6720</v>
      </c>
    </row>
    <row r="1486" spans="1:23" ht="15.6" x14ac:dyDescent="0.4">
      <c r="A1486" s="2" t="s">
        <v>6625</v>
      </c>
      <c r="B1486" s="5" t="s">
        <v>7963</v>
      </c>
      <c r="C1486" s="7" t="s">
        <v>12556</v>
      </c>
      <c r="D1486" s="8">
        <f t="shared" si="96"/>
        <v>1</v>
      </c>
      <c r="E1486" s="7" t="s">
        <v>12557</v>
      </c>
      <c r="F1486" s="7">
        <f t="shared" si="97"/>
        <v>2</v>
      </c>
      <c r="G1486" s="7" t="s">
        <v>12558</v>
      </c>
      <c r="H1486" s="7">
        <f t="shared" si="98"/>
        <v>1</v>
      </c>
      <c r="I1486" s="7" t="str" cm="1">
        <f t="array" ref="I1486">IFERROR(_xlfn.IFS(M1486="נח",1,M1486="נע ונח",1,M1486="שני שווא נח",2,M1486="שני שוואים בסוף מילה",2,M1486="שני שוואים ברצף",1),"0")</f>
        <v>0</v>
      </c>
      <c r="J1486" s="9">
        <f t="shared" si="99"/>
        <v>3</v>
      </c>
      <c r="K1486" t="s">
        <v>6697</v>
      </c>
      <c r="L1486" t="s">
        <v>6695</v>
      </c>
      <c r="P1486" t="s">
        <v>6694</v>
      </c>
      <c r="Q1486" t="s">
        <v>6694</v>
      </c>
      <c r="U1486" t="s">
        <v>6694</v>
      </c>
      <c r="W1486" t="s">
        <v>6720</v>
      </c>
    </row>
    <row r="1487" spans="1:23" ht="15.6" x14ac:dyDescent="0.4">
      <c r="A1487" s="2" t="s">
        <v>4792</v>
      </c>
      <c r="B1487" s="5" t="s">
        <v>7964</v>
      </c>
      <c r="C1487" s="7" t="s">
        <v>12556</v>
      </c>
      <c r="D1487" s="8">
        <f t="shared" si="96"/>
        <v>0</v>
      </c>
      <c r="E1487" s="7" t="s">
        <v>12557</v>
      </c>
      <c r="F1487" s="7">
        <f t="shared" si="97"/>
        <v>1</v>
      </c>
      <c r="G1487" s="7" t="s">
        <v>12558</v>
      </c>
      <c r="H1487" s="7">
        <f t="shared" si="98"/>
        <v>0</v>
      </c>
      <c r="I1487" s="7" cm="1">
        <f t="array" ref="I1487">IFERROR(_xlfn.IFS(M1487="נח",1,M1487="נע ונח",1,M1487="שני שווא נח",2,M1487="שני שוואים בסוף מילה",2,M1487="שני שוואים ברצף",1),"0")</f>
        <v>1</v>
      </c>
      <c r="J1487" s="9">
        <f t="shared" si="99"/>
        <v>4</v>
      </c>
      <c r="K1487" t="s">
        <v>6698</v>
      </c>
      <c r="L1487" t="s">
        <v>6694</v>
      </c>
      <c r="M1487" t="s">
        <v>6705</v>
      </c>
      <c r="N1487" t="s">
        <v>6706</v>
      </c>
      <c r="O1487" t="s">
        <v>6694</v>
      </c>
      <c r="P1487" t="s">
        <v>6694</v>
      </c>
      <c r="R1487" t="s">
        <v>6694</v>
      </c>
      <c r="W1487" t="s">
        <v>6720</v>
      </c>
    </row>
    <row r="1488" spans="1:23" ht="15.6" x14ac:dyDescent="0.4">
      <c r="A1488" s="2" t="s">
        <v>1110</v>
      </c>
      <c r="B1488" s="5" t="s">
        <v>7965</v>
      </c>
      <c r="C1488" s="7" t="s">
        <v>12556</v>
      </c>
      <c r="D1488" s="8">
        <f t="shared" si="96"/>
        <v>0</v>
      </c>
      <c r="E1488" s="7" t="s">
        <v>12557</v>
      </c>
      <c r="F1488" s="7">
        <f t="shared" si="97"/>
        <v>1</v>
      </c>
      <c r="G1488" s="7" t="s">
        <v>12558</v>
      </c>
      <c r="H1488" s="7">
        <f t="shared" si="98"/>
        <v>1</v>
      </c>
      <c r="I1488" s="7" t="str" cm="1">
        <f t="array" ref="I1488">IFERROR(_xlfn.IFS(M1488="נח",1,M1488="נע ונח",1,M1488="שני שווא נח",2,M1488="שני שוואים בסוף מילה",2,M1488="שני שוואים ברצף",1),"0")</f>
        <v>0</v>
      </c>
      <c r="J1488" s="9">
        <f t="shared" si="99"/>
        <v>4</v>
      </c>
      <c r="K1488" t="s">
        <v>6697</v>
      </c>
      <c r="L1488" t="s">
        <v>6695</v>
      </c>
      <c r="R1488" t="s">
        <v>6694</v>
      </c>
      <c r="S1488" t="s">
        <v>6694</v>
      </c>
      <c r="U1488" t="s">
        <v>6694</v>
      </c>
      <c r="W1488" t="s">
        <v>6720</v>
      </c>
    </row>
    <row r="1489" spans="1:23" ht="15.6" x14ac:dyDescent="0.4">
      <c r="A1489" s="2" t="s">
        <v>356</v>
      </c>
      <c r="B1489" s="5" t="s">
        <v>7966</v>
      </c>
      <c r="C1489" s="7" t="s">
        <v>12556</v>
      </c>
      <c r="D1489" s="8">
        <f t="shared" si="96"/>
        <v>0</v>
      </c>
      <c r="E1489" s="7" t="s">
        <v>12557</v>
      </c>
      <c r="F1489" s="7">
        <f t="shared" si="97"/>
        <v>1</v>
      </c>
      <c r="G1489" s="7" t="s">
        <v>12558</v>
      </c>
      <c r="H1489" s="7">
        <f t="shared" si="98"/>
        <v>0</v>
      </c>
      <c r="I1489" s="7" cm="1">
        <f t="array" ref="I1489">IFERROR(_xlfn.IFS(M1489="נח",1,M1489="נע ונח",1,M1489="שני שווא נח",2,M1489="שני שוואים בסוף מילה",2,M1489="שני שוואים ברצף",1),"0")</f>
        <v>1</v>
      </c>
      <c r="J1489" s="9">
        <f t="shared" si="99"/>
        <v>4</v>
      </c>
      <c r="K1489" t="s">
        <v>6697</v>
      </c>
      <c r="L1489" t="s">
        <v>6694</v>
      </c>
      <c r="M1489" t="s">
        <v>6705</v>
      </c>
      <c r="P1489" t="s">
        <v>6694</v>
      </c>
      <c r="R1489" t="s">
        <v>6694</v>
      </c>
      <c r="S1489" t="s">
        <v>6694</v>
      </c>
      <c r="W1489" t="s">
        <v>6720</v>
      </c>
    </row>
    <row r="1490" spans="1:23" ht="15.6" x14ac:dyDescent="0.4">
      <c r="A1490" s="2" t="s">
        <v>2096</v>
      </c>
      <c r="B1490" s="5" t="s">
        <v>7967</v>
      </c>
      <c r="C1490" s="7" t="s">
        <v>12556</v>
      </c>
      <c r="D1490" s="8">
        <f t="shared" si="96"/>
        <v>0</v>
      </c>
      <c r="E1490" s="7" t="s">
        <v>12557</v>
      </c>
      <c r="F1490" s="7">
        <f t="shared" si="97"/>
        <v>0</v>
      </c>
      <c r="G1490" s="7" t="s">
        <v>12558</v>
      </c>
      <c r="H1490" s="7">
        <f t="shared" si="98"/>
        <v>0</v>
      </c>
      <c r="I1490" s="7" t="str" cm="1">
        <f t="array" ref="I1490">IFERROR(_xlfn.IFS(M1490="נח",1,M1490="נע ונח",1,M1490="שני שווא נח",2,M1490="שני שוואים בסוף מילה",2,M1490="שני שוואים ברצף",1),"0")</f>
        <v>0</v>
      </c>
      <c r="J1490" s="9">
        <f t="shared" si="99"/>
        <v>2</v>
      </c>
      <c r="K1490" t="s">
        <v>6698</v>
      </c>
      <c r="L1490" t="s">
        <v>6695</v>
      </c>
      <c r="N1490" t="s">
        <v>6706</v>
      </c>
      <c r="O1490" t="s">
        <v>6694</v>
      </c>
      <c r="R1490" t="s">
        <v>6694</v>
      </c>
      <c r="W1490" t="s">
        <v>6720</v>
      </c>
    </row>
    <row r="1491" spans="1:23" ht="15.6" x14ac:dyDescent="0.4">
      <c r="A1491" s="2" t="s">
        <v>4744</v>
      </c>
      <c r="B1491" s="5" t="s">
        <v>7968</v>
      </c>
      <c r="C1491" s="7" t="s">
        <v>12556</v>
      </c>
      <c r="D1491" s="8">
        <f t="shared" si="96"/>
        <v>0</v>
      </c>
      <c r="E1491" s="7" t="s">
        <v>12557</v>
      </c>
      <c r="F1491" s="7">
        <f t="shared" si="97"/>
        <v>0</v>
      </c>
      <c r="G1491" s="7" t="s">
        <v>12558</v>
      </c>
      <c r="H1491" s="7">
        <f t="shared" si="98"/>
        <v>0</v>
      </c>
      <c r="I1491" s="7" t="str" cm="1">
        <f t="array" ref="I1491">IFERROR(_xlfn.IFS(M1491="נח",1,M1491="נע ונח",1,M1491="שני שווא נח",2,M1491="שני שוואים בסוף מילה",2,M1491="שני שוואים ברצף",1),"0")</f>
        <v>0</v>
      </c>
      <c r="J1491" s="9">
        <f t="shared" si="99"/>
        <v>3</v>
      </c>
      <c r="K1491" t="s">
        <v>6698</v>
      </c>
      <c r="L1491" t="s">
        <v>6695</v>
      </c>
      <c r="O1491" t="s">
        <v>6694</v>
      </c>
      <c r="Q1491" t="s">
        <v>6694</v>
      </c>
      <c r="R1491" t="s">
        <v>6694</v>
      </c>
      <c r="W1491" t="s">
        <v>6720</v>
      </c>
    </row>
    <row r="1492" spans="1:23" ht="15.6" x14ac:dyDescent="0.4">
      <c r="A1492" s="2" t="s">
        <v>3458</v>
      </c>
      <c r="B1492" s="5" t="s">
        <v>7969</v>
      </c>
      <c r="C1492" s="7" t="s">
        <v>12556</v>
      </c>
      <c r="D1492" s="8">
        <f t="shared" si="96"/>
        <v>0</v>
      </c>
      <c r="E1492" s="7" t="s">
        <v>12557</v>
      </c>
      <c r="F1492" s="7">
        <f t="shared" si="97"/>
        <v>0</v>
      </c>
      <c r="G1492" s="7" t="s">
        <v>12558</v>
      </c>
      <c r="H1492" s="7">
        <f t="shared" si="98"/>
        <v>0</v>
      </c>
      <c r="I1492" s="7" t="str" cm="1">
        <f t="array" ref="I1492">IFERROR(_xlfn.IFS(M1492="נח",1,M1492="נע ונח",1,M1492="שני שווא נח",2,M1492="שני שוואים בסוף מילה",2,M1492="שני שוואים ברצף",1),"0")</f>
        <v>0</v>
      </c>
      <c r="J1492" s="9">
        <f t="shared" si="99"/>
        <v>2</v>
      </c>
      <c r="K1492" t="s">
        <v>6698</v>
      </c>
      <c r="L1492" t="s">
        <v>6695</v>
      </c>
      <c r="R1492" t="s">
        <v>6694</v>
      </c>
      <c r="W1492" t="s">
        <v>6720</v>
      </c>
    </row>
    <row r="1493" spans="1:23" ht="15.6" x14ac:dyDescent="0.4">
      <c r="A1493" s="2" t="s">
        <v>569</v>
      </c>
      <c r="B1493" s="5" t="s">
        <v>7970</v>
      </c>
      <c r="C1493" s="7" t="s">
        <v>12556</v>
      </c>
      <c r="D1493" s="8">
        <f t="shared" si="96"/>
        <v>0</v>
      </c>
      <c r="E1493" s="7" t="s">
        <v>12557</v>
      </c>
      <c r="F1493" s="7">
        <f t="shared" si="97"/>
        <v>0</v>
      </c>
      <c r="G1493" s="7" t="s">
        <v>12558</v>
      </c>
      <c r="H1493" s="7">
        <f t="shared" si="98"/>
        <v>0</v>
      </c>
      <c r="I1493" s="7" t="str" cm="1">
        <f t="array" ref="I1493">IFERROR(_xlfn.IFS(M1493="נח",1,M1493="נע ונח",1,M1493="שני שווא נח",2,M1493="שני שוואים בסוף מילה",2,M1493="שני שוואים ברצף",1),"0")</f>
        <v>0</v>
      </c>
      <c r="J1493" s="9">
        <f t="shared" si="99"/>
        <v>3</v>
      </c>
      <c r="K1493" t="s">
        <v>6698</v>
      </c>
      <c r="L1493" t="s">
        <v>6695</v>
      </c>
      <c r="O1493" t="s">
        <v>6694</v>
      </c>
      <c r="R1493" t="s">
        <v>6694</v>
      </c>
      <c r="S1493" t="s">
        <v>6694</v>
      </c>
      <c r="W1493" t="s">
        <v>6720</v>
      </c>
    </row>
    <row r="1494" spans="1:23" ht="15.6" x14ac:dyDescent="0.4">
      <c r="A1494" s="2" t="s">
        <v>3429</v>
      </c>
      <c r="B1494" s="5" t="s">
        <v>7971</v>
      </c>
      <c r="C1494" s="7" t="s">
        <v>12556</v>
      </c>
      <c r="D1494" s="8">
        <f t="shared" si="96"/>
        <v>0</v>
      </c>
      <c r="E1494" s="7" t="s">
        <v>12557</v>
      </c>
      <c r="F1494" s="7">
        <f t="shared" si="97"/>
        <v>0</v>
      </c>
      <c r="G1494" s="7" t="s">
        <v>12558</v>
      </c>
      <c r="H1494" s="7">
        <f t="shared" si="98"/>
        <v>0</v>
      </c>
      <c r="I1494" s="7" t="str" cm="1">
        <f t="array" ref="I1494">IFERROR(_xlfn.IFS(M1494="נח",1,M1494="נע ונח",1,M1494="שני שווא נח",2,M1494="שני שוואים בסוף מילה",2,M1494="שני שוואים ברצף",1),"0")</f>
        <v>0</v>
      </c>
      <c r="J1494" s="9">
        <f t="shared" si="99"/>
        <v>3</v>
      </c>
      <c r="K1494" t="s">
        <v>6698</v>
      </c>
      <c r="L1494" t="s">
        <v>6695</v>
      </c>
      <c r="R1494" t="s">
        <v>6694</v>
      </c>
      <c r="S1494" t="s">
        <v>6694</v>
      </c>
      <c r="W1494" t="s">
        <v>6720</v>
      </c>
    </row>
    <row r="1495" spans="1:23" ht="15.6" x14ac:dyDescent="0.4">
      <c r="A1495" s="2" t="s">
        <v>2688</v>
      </c>
      <c r="B1495" s="5" t="s">
        <v>7972</v>
      </c>
      <c r="C1495" s="7" t="s">
        <v>12556</v>
      </c>
      <c r="D1495" s="8">
        <f t="shared" si="96"/>
        <v>1</v>
      </c>
      <c r="E1495" s="7" t="s">
        <v>12557</v>
      </c>
      <c r="F1495" s="7">
        <f t="shared" si="97"/>
        <v>1</v>
      </c>
      <c r="G1495" s="7" t="s">
        <v>12558</v>
      </c>
      <c r="H1495" s="7">
        <f t="shared" si="98"/>
        <v>0</v>
      </c>
      <c r="I1495" s="7" cm="1">
        <f t="array" ref="I1495">IFERROR(_xlfn.IFS(M1495="נח",1,M1495="נע ונח",1,M1495="שני שווא נח",2,M1495="שני שוואים בסוף מילה",2,M1495="שני שוואים ברצף",1),"0")</f>
        <v>1</v>
      </c>
      <c r="J1495" s="9">
        <f t="shared" si="99"/>
        <v>4</v>
      </c>
      <c r="K1495" t="s">
        <v>6697</v>
      </c>
      <c r="L1495" t="s">
        <v>6694</v>
      </c>
      <c r="M1495" t="s">
        <v>6705</v>
      </c>
      <c r="P1495" t="s">
        <v>6694</v>
      </c>
      <c r="R1495" t="s">
        <v>6694</v>
      </c>
      <c r="S1495" t="s">
        <v>6694</v>
      </c>
      <c r="W1495" t="s">
        <v>6720</v>
      </c>
    </row>
    <row r="1496" spans="1:23" ht="15.6" x14ac:dyDescent="0.4">
      <c r="A1496" s="2" t="s">
        <v>3442</v>
      </c>
      <c r="B1496" s="5" t="s">
        <v>7973</v>
      </c>
      <c r="C1496" s="7" t="s">
        <v>12556</v>
      </c>
      <c r="D1496" s="8">
        <f t="shared" si="96"/>
        <v>1</v>
      </c>
      <c r="E1496" s="7" t="s">
        <v>12557</v>
      </c>
      <c r="F1496" s="7">
        <f t="shared" si="97"/>
        <v>0</v>
      </c>
      <c r="G1496" s="7" t="s">
        <v>12558</v>
      </c>
      <c r="H1496" s="7">
        <f t="shared" si="98"/>
        <v>0</v>
      </c>
      <c r="I1496" s="7" t="str" cm="1">
        <f t="array" ref="I1496">IFERROR(_xlfn.IFS(M1496="נח",1,M1496="נע ונח",1,M1496="שני שווא נח",2,M1496="שני שוואים בסוף מילה",2,M1496="שני שוואים ברצף",1),"0")</f>
        <v>0</v>
      </c>
      <c r="J1496" s="9">
        <f t="shared" si="99"/>
        <v>4</v>
      </c>
      <c r="K1496" t="s">
        <v>6697</v>
      </c>
      <c r="L1496" t="s">
        <v>6695</v>
      </c>
      <c r="Q1496" t="s">
        <v>6694</v>
      </c>
      <c r="R1496" t="s">
        <v>6694</v>
      </c>
      <c r="S1496" t="s">
        <v>6694</v>
      </c>
      <c r="W1496" t="s">
        <v>6720</v>
      </c>
    </row>
    <row r="1497" spans="1:23" ht="15.6" x14ac:dyDescent="0.4">
      <c r="A1497" s="2" t="s">
        <v>2117</v>
      </c>
      <c r="B1497" s="5" t="s">
        <v>7974</v>
      </c>
      <c r="C1497" s="7" t="s">
        <v>12556</v>
      </c>
      <c r="D1497" s="8">
        <f t="shared" si="96"/>
        <v>0</v>
      </c>
      <c r="E1497" s="7" t="s">
        <v>12557</v>
      </c>
      <c r="F1497" s="7">
        <f t="shared" si="97"/>
        <v>0</v>
      </c>
      <c r="G1497" s="7" t="s">
        <v>12558</v>
      </c>
      <c r="H1497" s="7">
        <f t="shared" si="98"/>
        <v>0</v>
      </c>
      <c r="I1497" s="7" t="str" cm="1">
        <f t="array" ref="I1497">IFERROR(_xlfn.IFS(M1497="נח",1,M1497="נע ונח",1,M1497="שני שווא נח",2,M1497="שני שוואים בסוף מילה",2,M1497="שני שוואים ברצף",1),"0")</f>
        <v>0</v>
      </c>
      <c r="J1497" s="9">
        <f t="shared" si="99"/>
        <v>3</v>
      </c>
      <c r="K1497" t="s">
        <v>6698</v>
      </c>
      <c r="L1497" t="s">
        <v>6695</v>
      </c>
      <c r="O1497" t="s">
        <v>6694</v>
      </c>
      <c r="Q1497" t="s">
        <v>6694</v>
      </c>
      <c r="R1497" t="s">
        <v>6694</v>
      </c>
      <c r="W1497" t="s">
        <v>6720</v>
      </c>
    </row>
    <row r="1498" spans="1:23" ht="15.6" x14ac:dyDescent="0.4">
      <c r="A1498" s="2" t="s">
        <v>1033</v>
      </c>
      <c r="B1498" s="5" t="s">
        <v>7975</v>
      </c>
      <c r="C1498" s="7" t="s">
        <v>12556</v>
      </c>
      <c r="D1498" s="8">
        <f t="shared" si="96"/>
        <v>0</v>
      </c>
      <c r="E1498" s="7" t="s">
        <v>12557</v>
      </c>
      <c r="F1498" s="7">
        <f t="shared" si="97"/>
        <v>1</v>
      </c>
      <c r="G1498" s="7" t="s">
        <v>12558</v>
      </c>
      <c r="H1498" s="7">
        <f t="shared" si="98"/>
        <v>1</v>
      </c>
      <c r="I1498" s="7" t="str" cm="1">
        <f t="array" ref="I1498">IFERROR(_xlfn.IFS(M1498="נח",1,M1498="נע ונח",1,M1498="שני שווא נח",2,M1498="שני שוואים בסוף מילה",2,M1498="שני שוואים ברצף",1),"0")</f>
        <v>0</v>
      </c>
      <c r="J1498" s="9">
        <f t="shared" si="99"/>
        <v>4</v>
      </c>
      <c r="K1498" t="s">
        <v>6697</v>
      </c>
      <c r="L1498" t="s">
        <v>6695</v>
      </c>
      <c r="R1498" t="s">
        <v>6694</v>
      </c>
      <c r="S1498" t="s">
        <v>6694</v>
      </c>
      <c r="U1498" t="s">
        <v>6694</v>
      </c>
      <c r="W1498" t="s">
        <v>6720</v>
      </c>
    </row>
    <row r="1499" spans="1:23" ht="15.6" x14ac:dyDescent="0.4">
      <c r="A1499" s="2" t="s">
        <v>5259</v>
      </c>
      <c r="B1499" s="5" t="s">
        <v>7976</v>
      </c>
      <c r="C1499" s="7" t="s">
        <v>12556</v>
      </c>
      <c r="D1499" s="8">
        <f t="shared" si="96"/>
        <v>0</v>
      </c>
      <c r="E1499" s="7" t="s">
        <v>12557</v>
      </c>
      <c r="F1499" s="7">
        <f t="shared" si="97"/>
        <v>0</v>
      </c>
      <c r="G1499" s="7" t="s">
        <v>12558</v>
      </c>
      <c r="H1499" s="7">
        <f t="shared" si="98"/>
        <v>0</v>
      </c>
      <c r="I1499" s="7" t="str" cm="1">
        <f t="array" ref="I1499">IFERROR(_xlfn.IFS(M1499="נח",1,M1499="נע ונח",1,M1499="שני שווא נח",2,M1499="שני שוואים בסוף מילה",2,M1499="שני שוואים ברצף",1),"0")</f>
        <v>0</v>
      </c>
      <c r="J1499" s="9">
        <f t="shared" si="99"/>
        <v>4</v>
      </c>
      <c r="K1499" t="s">
        <v>6698</v>
      </c>
      <c r="L1499" t="s">
        <v>6695</v>
      </c>
      <c r="O1499" t="s">
        <v>6694</v>
      </c>
      <c r="R1499" t="s">
        <v>6694</v>
      </c>
      <c r="S1499" t="s">
        <v>6694</v>
      </c>
      <c r="W1499" t="s">
        <v>6720</v>
      </c>
    </row>
    <row r="1500" spans="1:23" ht="15.6" x14ac:dyDescent="0.4">
      <c r="A1500" s="2" t="s">
        <v>3378</v>
      </c>
      <c r="B1500" s="5" t="s">
        <v>7977</v>
      </c>
      <c r="C1500" s="7" t="s">
        <v>12556</v>
      </c>
      <c r="D1500" s="8">
        <f t="shared" si="96"/>
        <v>0</v>
      </c>
      <c r="E1500" s="7" t="s">
        <v>12557</v>
      </c>
      <c r="F1500" s="7">
        <f t="shared" si="97"/>
        <v>1</v>
      </c>
      <c r="G1500" s="7" t="s">
        <v>12558</v>
      </c>
      <c r="H1500" s="7">
        <f t="shared" si="98"/>
        <v>0</v>
      </c>
      <c r="I1500" s="7" cm="1">
        <f t="array" ref="I1500">IFERROR(_xlfn.IFS(M1500="נח",1,M1500="נע ונח",1,M1500="שני שווא נח",2,M1500="שני שוואים בסוף מילה",2,M1500="שני שוואים ברצף",1),"0")</f>
        <v>1</v>
      </c>
      <c r="J1500" s="9">
        <f t="shared" si="99"/>
        <v>4</v>
      </c>
      <c r="K1500" t="s">
        <v>6698</v>
      </c>
      <c r="L1500" t="s">
        <v>6694</v>
      </c>
      <c r="M1500" t="s">
        <v>6705</v>
      </c>
      <c r="O1500" t="s">
        <v>6694</v>
      </c>
      <c r="P1500" t="s">
        <v>6694</v>
      </c>
      <c r="R1500" t="s">
        <v>6694</v>
      </c>
      <c r="W1500" t="s">
        <v>6720</v>
      </c>
    </row>
    <row r="1501" spans="1:23" ht="15.6" x14ac:dyDescent="0.4">
      <c r="A1501" s="2" t="s">
        <v>1913</v>
      </c>
      <c r="B1501" s="5" t="s">
        <v>7978</v>
      </c>
      <c r="C1501" s="7" t="s">
        <v>12556</v>
      </c>
      <c r="D1501" s="8">
        <f t="shared" si="96"/>
        <v>0</v>
      </c>
      <c r="E1501" s="7" t="s">
        <v>12557</v>
      </c>
      <c r="F1501" s="7">
        <f t="shared" si="97"/>
        <v>1</v>
      </c>
      <c r="G1501" s="7" t="s">
        <v>12558</v>
      </c>
      <c r="H1501" s="7">
        <f t="shared" si="98"/>
        <v>0</v>
      </c>
      <c r="I1501" s="7" cm="1">
        <f t="array" ref="I1501">IFERROR(_xlfn.IFS(M1501="נח",1,M1501="נע ונח",1,M1501="שני שווא נח",2,M1501="שני שוואים בסוף מילה",2,M1501="שני שוואים ברצף",1),"0")</f>
        <v>1</v>
      </c>
      <c r="J1501" s="9">
        <f t="shared" si="99"/>
        <v>4</v>
      </c>
      <c r="K1501" t="s">
        <v>6697</v>
      </c>
      <c r="L1501" t="s">
        <v>6694</v>
      </c>
      <c r="M1501" t="s">
        <v>6705</v>
      </c>
      <c r="O1501" t="s">
        <v>6694</v>
      </c>
      <c r="P1501" t="s">
        <v>6694</v>
      </c>
      <c r="R1501" t="s">
        <v>6694</v>
      </c>
      <c r="W1501" t="s">
        <v>6720</v>
      </c>
    </row>
    <row r="1502" spans="1:23" ht="15.6" x14ac:dyDescent="0.4">
      <c r="A1502" s="2" t="s">
        <v>6657</v>
      </c>
      <c r="B1502" s="5" t="s">
        <v>7979</v>
      </c>
      <c r="C1502" s="7" t="s">
        <v>12556</v>
      </c>
      <c r="D1502" s="8">
        <f t="shared" si="96"/>
        <v>0</v>
      </c>
      <c r="E1502" s="7" t="s">
        <v>12557</v>
      </c>
      <c r="F1502" s="7">
        <f t="shared" si="97"/>
        <v>0</v>
      </c>
      <c r="G1502" s="7" t="s">
        <v>12558</v>
      </c>
      <c r="H1502" s="7">
        <f t="shared" si="98"/>
        <v>0</v>
      </c>
      <c r="I1502" s="7" cm="1">
        <f t="array" ref="I1502">IFERROR(_xlfn.IFS(M1502="נח",1,M1502="נע ונח",1,M1502="שני שווא נח",2,M1502="שני שוואים בסוף מילה",2,M1502="שני שוואים ברצף",1),"0")</f>
        <v>1</v>
      </c>
      <c r="J1502" s="9">
        <f t="shared" si="99"/>
        <v>2</v>
      </c>
      <c r="K1502" t="s">
        <v>6698</v>
      </c>
      <c r="L1502" t="s">
        <v>6694</v>
      </c>
      <c r="M1502" t="s">
        <v>6705</v>
      </c>
      <c r="N1502" t="s">
        <v>6706</v>
      </c>
      <c r="O1502" t="s">
        <v>6694</v>
      </c>
      <c r="R1502" t="s">
        <v>6694</v>
      </c>
      <c r="W1502" t="s">
        <v>6720</v>
      </c>
    </row>
    <row r="1503" spans="1:23" ht="15.6" x14ac:dyDescent="0.4">
      <c r="A1503" s="2" t="s">
        <v>3878</v>
      </c>
      <c r="B1503" s="5" t="s">
        <v>7980</v>
      </c>
      <c r="C1503" s="7" t="s">
        <v>12556</v>
      </c>
      <c r="D1503" s="8">
        <f t="shared" si="96"/>
        <v>0</v>
      </c>
      <c r="E1503" s="7" t="s">
        <v>12557</v>
      </c>
      <c r="F1503" s="7">
        <f t="shared" si="97"/>
        <v>0</v>
      </c>
      <c r="G1503" s="7" t="s">
        <v>12558</v>
      </c>
      <c r="H1503" s="7">
        <f t="shared" si="98"/>
        <v>0</v>
      </c>
      <c r="I1503" s="7" t="str" cm="1">
        <f t="array" ref="I1503">IFERROR(_xlfn.IFS(M1503="נח",1,M1503="נע ונח",1,M1503="שני שווא נח",2,M1503="שני שוואים בסוף מילה",2,M1503="שני שוואים ברצף",1),"0")</f>
        <v>0</v>
      </c>
      <c r="J1503" s="9">
        <f t="shared" si="99"/>
        <v>2</v>
      </c>
      <c r="K1503" t="s">
        <v>6698</v>
      </c>
      <c r="L1503" t="s">
        <v>6695</v>
      </c>
      <c r="R1503" t="s">
        <v>6694</v>
      </c>
      <c r="W1503" t="s">
        <v>6720</v>
      </c>
    </row>
    <row r="1504" spans="1:23" ht="15.6" x14ac:dyDescent="0.4">
      <c r="A1504" s="2" t="s">
        <v>2491</v>
      </c>
      <c r="B1504" s="5" t="s">
        <v>7981</v>
      </c>
      <c r="C1504" s="7" t="s">
        <v>12556</v>
      </c>
      <c r="D1504" s="8">
        <f t="shared" si="96"/>
        <v>0</v>
      </c>
      <c r="E1504" s="7" t="s">
        <v>12557</v>
      </c>
      <c r="F1504" s="7">
        <f t="shared" si="97"/>
        <v>0</v>
      </c>
      <c r="G1504" s="7" t="s">
        <v>12558</v>
      </c>
      <c r="H1504" s="7">
        <f t="shared" si="98"/>
        <v>0</v>
      </c>
      <c r="I1504" s="7" t="str" cm="1">
        <f t="array" ref="I1504">IFERROR(_xlfn.IFS(M1504="נח",1,M1504="נע ונח",1,M1504="שני שווא נח",2,M1504="שני שוואים בסוף מילה",2,M1504="שני שוואים ברצף",1),"0")</f>
        <v>0</v>
      </c>
      <c r="J1504" s="9">
        <f t="shared" si="99"/>
        <v>2</v>
      </c>
      <c r="K1504" t="s">
        <v>6698</v>
      </c>
      <c r="L1504" t="s">
        <v>6695</v>
      </c>
      <c r="R1504" t="s">
        <v>6694</v>
      </c>
      <c r="W1504" t="s">
        <v>6720</v>
      </c>
    </row>
    <row r="1505" spans="1:23" ht="15.6" x14ac:dyDescent="0.4">
      <c r="A1505" s="2" t="s">
        <v>3152</v>
      </c>
      <c r="B1505" s="5" t="s">
        <v>7982</v>
      </c>
      <c r="C1505" s="7" t="s">
        <v>12556</v>
      </c>
      <c r="D1505" s="8">
        <f t="shared" si="96"/>
        <v>0</v>
      </c>
      <c r="E1505" s="7" t="s">
        <v>12557</v>
      </c>
      <c r="F1505" s="7">
        <f t="shared" si="97"/>
        <v>0</v>
      </c>
      <c r="G1505" s="7" t="s">
        <v>12558</v>
      </c>
      <c r="H1505" s="7">
        <f t="shared" si="98"/>
        <v>0</v>
      </c>
      <c r="I1505" s="7" t="str" cm="1">
        <f t="array" ref="I1505">IFERROR(_xlfn.IFS(M1505="נח",1,M1505="נע ונח",1,M1505="שני שווא נח",2,M1505="שני שוואים בסוף מילה",2,M1505="שני שוואים ברצף",1),"0")</f>
        <v>0</v>
      </c>
      <c r="J1505" s="9">
        <f t="shared" si="99"/>
        <v>4</v>
      </c>
      <c r="K1505" t="s">
        <v>6697</v>
      </c>
      <c r="L1505" t="s">
        <v>6695</v>
      </c>
      <c r="O1505" t="s">
        <v>6694</v>
      </c>
      <c r="P1505" t="s">
        <v>6694</v>
      </c>
      <c r="S1505" t="s">
        <v>6694</v>
      </c>
      <c r="W1505" t="s">
        <v>6720</v>
      </c>
    </row>
    <row r="1506" spans="1:23" ht="15.6" x14ac:dyDescent="0.4">
      <c r="A1506" s="2" t="s">
        <v>3813</v>
      </c>
      <c r="B1506" s="5" t="s">
        <v>7983</v>
      </c>
      <c r="C1506" s="7" t="s">
        <v>12556</v>
      </c>
      <c r="D1506" s="8">
        <f t="shared" si="96"/>
        <v>0</v>
      </c>
      <c r="E1506" s="7" t="s">
        <v>12557</v>
      </c>
      <c r="F1506" s="7">
        <f t="shared" si="97"/>
        <v>1</v>
      </c>
      <c r="G1506" s="7" t="s">
        <v>12558</v>
      </c>
      <c r="H1506" s="7">
        <f t="shared" si="98"/>
        <v>1</v>
      </c>
      <c r="I1506" s="7" t="str" cm="1">
        <f t="array" ref="I1506">IFERROR(_xlfn.IFS(M1506="נח",1,M1506="נע ונח",1,M1506="שני שווא נח",2,M1506="שני שוואים בסוף מילה",2,M1506="שני שוואים ברצף",1),"0")</f>
        <v>0</v>
      </c>
      <c r="J1506" s="9">
        <f t="shared" si="99"/>
        <v>4</v>
      </c>
      <c r="K1506" t="s">
        <v>6697</v>
      </c>
      <c r="L1506" t="s">
        <v>6695</v>
      </c>
      <c r="P1506" t="s">
        <v>6694</v>
      </c>
      <c r="S1506" t="s">
        <v>6694</v>
      </c>
      <c r="U1506" t="s">
        <v>6694</v>
      </c>
      <c r="W1506" t="s">
        <v>6720</v>
      </c>
    </row>
    <row r="1507" spans="1:23" ht="15.6" x14ac:dyDescent="0.4">
      <c r="A1507" s="2" t="s">
        <v>863</v>
      </c>
      <c r="B1507" s="5" t="s">
        <v>7984</v>
      </c>
      <c r="C1507" s="7" t="s">
        <v>12556</v>
      </c>
      <c r="D1507" s="8">
        <f t="shared" si="96"/>
        <v>1</v>
      </c>
      <c r="E1507" s="7" t="s">
        <v>12557</v>
      </c>
      <c r="F1507" s="7">
        <f t="shared" si="97"/>
        <v>0</v>
      </c>
      <c r="G1507" s="7" t="s">
        <v>12558</v>
      </c>
      <c r="H1507" s="7">
        <f t="shared" si="98"/>
        <v>0</v>
      </c>
      <c r="I1507" s="7" t="str" cm="1">
        <f t="array" ref="I1507">IFERROR(_xlfn.IFS(M1507="נח",1,M1507="נע ונח",1,M1507="שני שווא נח",2,M1507="שני שוואים בסוף מילה",2,M1507="שני שוואים ברצף",1),"0")</f>
        <v>0</v>
      </c>
      <c r="J1507" s="9">
        <f t="shared" si="99"/>
        <v>4</v>
      </c>
      <c r="K1507" t="s">
        <v>6698</v>
      </c>
      <c r="L1507" t="s">
        <v>6695</v>
      </c>
      <c r="P1507" t="s">
        <v>6694</v>
      </c>
      <c r="Q1507" t="s">
        <v>6694</v>
      </c>
      <c r="S1507" t="s">
        <v>6694</v>
      </c>
      <c r="W1507" t="s">
        <v>6720</v>
      </c>
    </row>
    <row r="1508" spans="1:23" ht="15.6" x14ac:dyDescent="0.4">
      <c r="A1508" s="2" t="s">
        <v>4127</v>
      </c>
      <c r="B1508" s="5" t="s">
        <v>7985</v>
      </c>
      <c r="C1508" s="7" t="s">
        <v>12556</v>
      </c>
      <c r="D1508" s="8">
        <f t="shared" si="96"/>
        <v>0</v>
      </c>
      <c r="E1508" s="7" t="s">
        <v>12557</v>
      </c>
      <c r="F1508" s="7">
        <f t="shared" si="97"/>
        <v>0</v>
      </c>
      <c r="G1508" s="7" t="s">
        <v>12558</v>
      </c>
      <c r="H1508" s="7">
        <f t="shared" si="98"/>
        <v>0</v>
      </c>
      <c r="I1508" s="7" cm="1">
        <f t="array" ref="I1508">IFERROR(_xlfn.IFS(M1508="נח",1,M1508="נע ונח",1,M1508="שני שווא נח",2,M1508="שני שוואים בסוף מילה",2,M1508="שני שוואים ברצף",1),"0")</f>
        <v>1</v>
      </c>
      <c r="J1508" s="9">
        <f t="shared" si="99"/>
        <v>3</v>
      </c>
      <c r="K1508" t="s">
        <v>6698</v>
      </c>
      <c r="L1508" t="s">
        <v>6694</v>
      </c>
      <c r="M1508" t="s">
        <v>6705</v>
      </c>
      <c r="N1508" t="s">
        <v>6706</v>
      </c>
      <c r="O1508" t="s">
        <v>6694</v>
      </c>
      <c r="P1508" t="s">
        <v>6694</v>
      </c>
      <c r="T1508" t="s">
        <v>6694</v>
      </c>
      <c r="W1508" t="s">
        <v>6720</v>
      </c>
    </row>
    <row r="1509" spans="1:23" ht="15.6" x14ac:dyDescent="0.4">
      <c r="A1509" s="2" t="s">
        <v>5312</v>
      </c>
      <c r="B1509" s="5" t="s">
        <v>7986</v>
      </c>
      <c r="C1509" s="7" t="s">
        <v>12556</v>
      </c>
      <c r="D1509" s="8">
        <f t="shared" si="96"/>
        <v>0</v>
      </c>
      <c r="E1509" s="7" t="s">
        <v>12557</v>
      </c>
      <c r="F1509" s="7">
        <f t="shared" si="97"/>
        <v>0</v>
      </c>
      <c r="G1509" s="7" t="s">
        <v>12558</v>
      </c>
      <c r="H1509" s="7">
        <f t="shared" si="98"/>
        <v>0</v>
      </c>
      <c r="I1509" s="7" t="str" cm="1">
        <f t="array" ref="I1509">IFERROR(_xlfn.IFS(M1509="נח",1,M1509="נע ונח",1,M1509="שני שווא נח",2,M1509="שני שוואים בסוף מילה",2,M1509="שני שוואים ברצף",1),"0")</f>
        <v>0</v>
      </c>
      <c r="J1509" s="9">
        <f t="shared" si="99"/>
        <v>3</v>
      </c>
      <c r="K1509" t="s">
        <v>6698</v>
      </c>
      <c r="L1509" t="s">
        <v>6695</v>
      </c>
      <c r="P1509" t="s">
        <v>6694</v>
      </c>
      <c r="V1509" t="s">
        <v>6694</v>
      </c>
      <c r="W1509" t="s">
        <v>6720</v>
      </c>
    </row>
    <row r="1510" spans="1:23" ht="15.6" x14ac:dyDescent="0.4">
      <c r="A1510" s="2" t="s">
        <v>3370</v>
      </c>
      <c r="B1510" s="5" t="s">
        <v>7987</v>
      </c>
      <c r="C1510" s="7" t="s">
        <v>12556</v>
      </c>
      <c r="D1510" s="8">
        <f t="shared" si="96"/>
        <v>0</v>
      </c>
      <c r="E1510" s="7" t="s">
        <v>12557</v>
      </c>
      <c r="F1510" s="7">
        <f t="shared" si="97"/>
        <v>0</v>
      </c>
      <c r="G1510" s="7" t="s">
        <v>12558</v>
      </c>
      <c r="H1510" s="7">
        <f t="shared" si="98"/>
        <v>0</v>
      </c>
      <c r="I1510" s="7" cm="1">
        <f t="array" ref="I1510">IFERROR(_xlfn.IFS(M1510="נח",1,M1510="נע ונח",1,M1510="שני שווא נח",2,M1510="שני שוואים בסוף מילה",2,M1510="שני שוואים ברצף",1),"0")</f>
        <v>1</v>
      </c>
      <c r="J1510" s="9">
        <f t="shared" si="99"/>
        <v>2</v>
      </c>
      <c r="K1510" t="s">
        <v>6698</v>
      </c>
      <c r="L1510" t="s">
        <v>6694</v>
      </c>
      <c r="M1510" t="s">
        <v>6705</v>
      </c>
      <c r="P1510" t="s">
        <v>6694</v>
      </c>
      <c r="Q1510" t="s">
        <v>6694</v>
      </c>
      <c r="W1510" t="s">
        <v>6720</v>
      </c>
    </row>
    <row r="1511" spans="1:23" ht="15.6" x14ac:dyDescent="0.4">
      <c r="A1511" s="2" t="s">
        <v>3210</v>
      </c>
      <c r="B1511" s="5" t="s">
        <v>7988</v>
      </c>
      <c r="C1511" s="7" t="s">
        <v>12556</v>
      </c>
      <c r="D1511" s="8">
        <f t="shared" si="96"/>
        <v>0</v>
      </c>
      <c r="E1511" s="7" t="s">
        <v>12557</v>
      </c>
      <c r="F1511" s="7">
        <f t="shared" si="97"/>
        <v>1</v>
      </c>
      <c r="G1511" s="7" t="s">
        <v>12558</v>
      </c>
      <c r="H1511" s="7">
        <f t="shared" si="98"/>
        <v>0</v>
      </c>
      <c r="I1511" s="7" t="str" cm="1">
        <f t="array" ref="I1511">IFERROR(_xlfn.IFS(M1511="נח",1,M1511="נע ונח",1,M1511="שני שווא נח",2,M1511="שני שוואים בסוף מילה",2,M1511="שני שוואים ברצף",1),"0")</f>
        <v>0</v>
      </c>
      <c r="J1511" s="9">
        <f t="shared" si="99"/>
        <v>3</v>
      </c>
      <c r="K1511" t="s">
        <v>6697</v>
      </c>
      <c r="L1511" t="s">
        <v>6695</v>
      </c>
      <c r="O1511" t="s">
        <v>6694</v>
      </c>
      <c r="P1511" t="s">
        <v>6694</v>
      </c>
      <c r="S1511" t="s">
        <v>6694</v>
      </c>
      <c r="W1511" t="s">
        <v>6720</v>
      </c>
    </row>
    <row r="1512" spans="1:23" ht="15.6" x14ac:dyDescent="0.4">
      <c r="A1512" s="2" t="s">
        <v>4822</v>
      </c>
      <c r="B1512" s="5" t="s">
        <v>7989</v>
      </c>
      <c r="C1512" s="7" t="s">
        <v>12556</v>
      </c>
      <c r="D1512" s="8">
        <f t="shared" si="96"/>
        <v>0</v>
      </c>
      <c r="E1512" s="7" t="s">
        <v>12557</v>
      </c>
      <c r="F1512" s="7">
        <f t="shared" si="97"/>
        <v>1</v>
      </c>
      <c r="G1512" s="7" t="s">
        <v>12558</v>
      </c>
      <c r="H1512" s="7">
        <f t="shared" si="98"/>
        <v>0</v>
      </c>
      <c r="I1512" s="7" t="str" cm="1">
        <f t="array" ref="I1512">IFERROR(_xlfn.IFS(M1512="נח",1,M1512="נע ונח",1,M1512="שני שווא נח",2,M1512="שני שוואים בסוף מילה",2,M1512="שני שוואים ברצף",1),"0")</f>
        <v>0</v>
      </c>
      <c r="J1512" s="9">
        <f t="shared" si="99"/>
        <v>2</v>
      </c>
      <c r="K1512" t="s">
        <v>6698</v>
      </c>
      <c r="L1512" t="s">
        <v>6695</v>
      </c>
      <c r="P1512" t="s">
        <v>6694</v>
      </c>
      <c r="Q1512" t="s">
        <v>6694</v>
      </c>
      <c r="W1512" t="s">
        <v>6720</v>
      </c>
    </row>
    <row r="1513" spans="1:23" ht="15.6" x14ac:dyDescent="0.4">
      <c r="A1513" s="2" t="s">
        <v>5861</v>
      </c>
      <c r="B1513" s="5" t="s">
        <v>7887</v>
      </c>
      <c r="C1513" s="7" t="s">
        <v>12556</v>
      </c>
      <c r="D1513" s="8">
        <f t="shared" si="96"/>
        <v>0</v>
      </c>
      <c r="E1513" s="7" t="s">
        <v>12557</v>
      </c>
      <c r="F1513" s="7">
        <f t="shared" si="97"/>
        <v>1</v>
      </c>
      <c r="G1513" s="7" t="s">
        <v>12558</v>
      </c>
      <c r="H1513" s="7">
        <f t="shared" si="98"/>
        <v>0</v>
      </c>
      <c r="I1513" s="7" t="str" cm="1">
        <f t="array" ref="I1513">IFERROR(_xlfn.IFS(M1513="נח",1,M1513="נע ונח",1,M1513="שני שווא נח",2,M1513="שני שוואים בסוף מילה",2,M1513="שני שוואים ברצף",1),"0")</f>
        <v>0</v>
      </c>
      <c r="J1513" s="9">
        <f t="shared" si="99"/>
        <v>2</v>
      </c>
      <c r="K1513" t="s">
        <v>6698</v>
      </c>
      <c r="L1513" t="s">
        <v>6695</v>
      </c>
      <c r="P1513" t="s">
        <v>6694</v>
      </c>
      <c r="Q1513" t="s">
        <v>6694</v>
      </c>
      <c r="W1513" t="s">
        <v>6720</v>
      </c>
    </row>
    <row r="1514" spans="1:23" ht="15.6" x14ac:dyDescent="0.4">
      <c r="A1514" s="2" t="s">
        <v>1236</v>
      </c>
      <c r="B1514" s="5" t="s">
        <v>7990</v>
      </c>
      <c r="C1514" s="7" t="s">
        <v>12556</v>
      </c>
      <c r="D1514" s="8">
        <f t="shared" si="96"/>
        <v>0</v>
      </c>
      <c r="E1514" s="7" t="s">
        <v>12557</v>
      </c>
      <c r="F1514" s="7">
        <f t="shared" si="97"/>
        <v>1</v>
      </c>
      <c r="G1514" s="7" t="s">
        <v>12558</v>
      </c>
      <c r="H1514" s="7">
        <f t="shared" si="98"/>
        <v>0</v>
      </c>
      <c r="I1514" s="7" t="str" cm="1">
        <f t="array" ref="I1514">IFERROR(_xlfn.IFS(M1514="נח",1,M1514="נע ונח",1,M1514="שני שווא נח",2,M1514="שני שוואים בסוף מילה",2,M1514="שני שוואים ברצף",1),"0")</f>
        <v>0</v>
      </c>
      <c r="J1514" s="9">
        <f t="shared" si="99"/>
        <v>3</v>
      </c>
      <c r="K1514" t="s">
        <v>6698</v>
      </c>
      <c r="L1514" t="s">
        <v>6695</v>
      </c>
      <c r="P1514" t="s">
        <v>6694</v>
      </c>
      <c r="S1514" t="s">
        <v>6694</v>
      </c>
      <c r="W1514" t="s">
        <v>6720</v>
      </c>
    </row>
    <row r="1515" spans="1:23" ht="15.6" x14ac:dyDescent="0.4">
      <c r="A1515" s="2" t="s">
        <v>1753</v>
      </c>
      <c r="B1515" s="5" t="s">
        <v>7991</v>
      </c>
      <c r="C1515" s="7" t="s">
        <v>12556</v>
      </c>
      <c r="D1515" s="8">
        <f t="shared" si="96"/>
        <v>0</v>
      </c>
      <c r="E1515" s="7" t="s">
        <v>12557</v>
      </c>
      <c r="F1515" s="7">
        <f t="shared" si="97"/>
        <v>1</v>
      </c>
      <c r="G1515" s="7" t="s">
        <v>12558</v>
      </c>
      <c r="H1515" s="7">
        <f t="shared" si="98"/>
        <v>0</v>
      </c>
      <c r="I1515" s="7" t="str" cm="1">
        <f t="array" ref="I1515">IFERROR(_xlfn.IFS(M1515="נח",1,M1515="נע ונח",1,M1515="שני שווא נח",2,M1515="שני שוואים בסוף מילה",2,M1515="שני שוואים ברצף",1),"0")</f>
        <v>0</v>
      </c>
      <c r="J1515" s="9">
        <f t="shared" si="99"/>
        <v>2</v>
      </c>
      <c r="K1515" t="s">
        <v>6697</v>
      </c>
      <c r="L1515" t="s">
        <v>6695</v>
      </c>
      <c r="O1515" t="s">
        <v>6694</v>
      </c>
      <c r="P1515" t="s">
        <v>6694</v>
      </c>
      <c r="W1515" t="s">
        <v>6720</v>
      </c>
    </row>
    <row r="1516" spans="1:23" ht="15.6" x14ac:dyDescent="0.4">
      <c r="A1516" s="2" t="s">
        <v>4901</v>
      </c>
      <c r="B1516" s="5" t="s">
        <v>7992</v>
      </c>
      <c r="C1516" s="7" t="s">
        <v>12556</v>
      </c>
      <c r="D1516" s="8">
        <f t="shared" si="96"/>
        <v>0</v>
      </c>
      <c r="E1516" s="7" t="s">
        <v>12557</v>
      </c>
      <c r="F1516" s="7">
        <f t="shared" si="97"/>
        <v>1</v>
      </c>
      <c r="G1516" s="7" t="s">
        <v>12558</v>
      </c>
      <c r="H1516" s="7">
        <f t="shared" si="98"/>
        <v>0</v>
      </c>
      <c r="I1516" s="7" t="str" cm="1">
        <f t="array" ref="I1516">IFERROR(_xlfn.IFS(M1516="נח",1,M1516="נע ונח",1,M1516="שני שווא נח",2,M1516="שני שוואים בסוף מילה",2,M1516="שני שוואים ברצף",1),"0")</f>
        <v>0</v>
      </c>
      <c r="J1516" s="9">
        <f t="shared" si="99"/>
        <v>3</v>
      </c>
      <c r="K1516" t="s">
        <v>6697</v>
      </c>
      <c r="L1516" t="s">
        <v>6695</v>
      </c>
      <c r="O1516" t="s">
        <v>6694</v>
      </c>
      <c r="P1516" t="s">
        <v>6694</v>
      </c>
      <c r="W1516" t="s">
        <v>6720</v>
      </c>
    </row>
    <row r="1517" spans="1:23" ht="15.6" x14ac:dyDescent="0.4">
      <c r="A1517" s="2" t="s">
        <v>1237</v>
      </c>
      <c r="B1517" s="5" t="s">
        <v>7993</v>
      </c>
      <c r="C1517" s="7" t="s">
        <v>12556</v>
      </c>
      <c r="D1517" s="8">
        <f t="shared" si="96"/>
        <v>0</v>
      </c>
      <c r="E1517" s="7" t="s">
        <v>12557</v>
      </c>
      <c r="F1517" s="7">
        <f t="shared" si="97"/>
        <v>1</v>
      </c>
      <c r="G1517" s="7" t="s">
        <v>12558</v>
      </c>
      <c r="H1517" s="7">
        <f t="shared" si="98"/>
        <v>0</v>
      </c>
      <c r="I1517" s="7" t="str" cm="1">
        <f t="array" ref="I1517">IFERROR(_xlfn.IFS(M1517="נח",1,M1517="נע ונח",1,M1517="שני שווא נח",2,M1517="שני שוואים בסוף מילה",2,M1517="שני שוואים ברצף",1),"0")</f>
        <v>0</v>
      </c>
      <c r="J1517" s="9">
        <f t="shared" si="99"/>
        <v>3</v>
      </c>
      <c r="K1517" t="s">
        <v>6698</v>
      </c>
      <c r="L1517" t="s">
        <v>6695</v>
      </c>
      <c r="O1517" t="s">
        <v>6694</v>
      </c>
      <c r="P1517" t="s">
        <v>6694</v>
      </c>
      <c r="S1517" t="s">
        <v>6694</v>
      </c>
      <c r="W1517" t="s">
        <v>6720</v>
      </c>
    </row>
    <row r="1518" spans="1:23" ht="15.6" x14ac:dyDescent="0.4">
      <c r="A1518" s="2" t="s">
        <v>1270</v>
      </c>
      <c r="B1518" s="5" t="s">
        <v>7994</v>
      </c>
      <c r="C1518" s="7" t="s">
        <v>12556</v>
      </c>
      <c r="D1518" s="8">
        <f t="shared" si="96"/>
        <v>1</v>
      </c>
      <c r="E1518" s="7" t="s">
        <v>12557</v>
      </c>
      <c r="F1518" s="7">
        <f t="shared" si="97"/>
        <v>1</v>
      </c>
      <c r="G1518" s="7" t="s">
        <v>12558</v>
      </c>
      <c r="H1518" s="7">
        <f t="shared" si="98"/>
        <v>0</v>
      </c>
      <c r="I1518" s="7" t="str" cm="1">
        <f t="array" ref="I1518">IFERROR(_xlfn.IFS(M1518="נח",1,M1518="נע ונח",1,M1518="שני שווא נח",2,M1518="שני שוואים בסוף מילה",2,M1518="שני שוואים ברצף",1),"0")</f>
        <v>0</v>
      </c>
      <c r="J1518" s="9">
        <f t="shared" si="99"/>
        <v>3</v>
      </c>
      <c r="K1518" t="s">
        <v>6698</v>
      </c>
      <c r="L1518" t="s">
        <v>6695</v>
      </c>
      <c r="N1518" t="s">
        <v>6706</v>
      </c>
      <c r="O1518" t="s">
        <v>6694</v>
      </c>
      <c r="P1518" t="s">
        <v>6694</v>
      </c>
      <c r="W1518" t="s">
        <v>6720</v>
      </c>
    </row>
    <row r="1519" spans="1:23" ht="15.6" x14ac:dyDescent="0.4">
      <c r="A1519" s="2" t="s">
        <v>3822</v>
      </c>
      <c r="B1519" s="5" t="s">
        <v>7995</v>
      </c>
      <c r="C1519" s="7" t="s">
        <v>12556</v>
      </c>
      <c r="D1519" s="8">
        <f t="shared" si="96"/>
        <v>0</v>
      </c>
      <c r="E1519" s="7" t="s">
        <v>12557</v>
      </c>
      <c r="F1519" s="7">
        <f t="shared" si="97"/>
        <v>1</v>
      </c>
      <c r="G1519" s="7" t="s">
        <v>12558</v>
      </c>
      <c r="H1519" s="7">
        <f t="shared" si="98"/>
        <v>0</v>
      </c>
      <c r="I1519" s="7" cm="1">
        <f t="array" ref="I1519">IFERROR(_xlfn.IFS(M1519="נח",1,M1519="נע ונח",1,M1519="שני שווא נח",2,M1519="שני שוואים בסוף מילה",2,M1519="שני שוואים ברצף",1),"0")</f>
        <v>1</v>
      </c>
      <c r="J1519" s="9">
        <f t="shared" si="99"/>
        <v>3</v>
      </c>
      <c r="K1519" t="s">
        <v>6698</v>
      </c>
      <c r="L1519" t="s">
        <v>6694</v>
      </c>
      <c r="M1519" t="s">
        <v>6705</v>
      </c>
      <c r="P1519" t="s">
        <v>6694</v>
      </c>
      <c r="S1519" t="s">
        <v>6694</v>
      </c>
      <c r="V1519" t="s">
        <v>6694</v>
      </c>
      <c r="W1519" t="s">
        <v>6720</v>
      </c>
    </row>
    <row r="1520" spans="1:23" ht="15.6" x14ac:dyDescent="0.4">
      <c r="A1520" s="2" t="s">
        <v>2591</v>
      </c>
      <c r="B1520" s="5" t="s">
        <v>7996</v>
      </c>
      <c r="C1520" s="7" t="s">
        <v>12556</v>
      </c>
      <c r="D1520" s="8">
        <f t="shared" si="96"/>
        <v>0</v>
      </c>
      <c r="E1520" s="7" t="s">
        <v>12557</v>
      </c>
      <c r="F1520" s="7">
        <f t="shared" si="97"/>
        <v>1</v>
      </c>
      <c r="G1520" s="7" t="s">
        <v>12558</v>
      </c>
      <c r="H1520" s="7">
        <f t="shared" si="98"/>
        <v>0</v>
      </c>
      <c r="I1520" s="7" cm="1">
        <f t="array" ref="I1520">IFERROR(_xlfn.IFS(M1520="נח",1,M1520="נע ונח",1,M1520="שני שווא נח",2,M1520="שני שוואים בסוף מילה",2,M1520="שני שוואים ברצף",1),"0")</f>
        <v>1</v>
      </c>
      <c r="J1520" s="9">
        <f t="shared" si="99"/>
        <v>3</v>
      </c>
      <c r="K1520" t="s">
        <v>6698</v>
      </c>
      <c r="L1520" t="s">
        <v>6694</v>
      </c>
      <c r="M1520" t="s">
        <v>6705</v>
      </c>
      <c r="P1520" t="s">
        <v>6694</v>
      </c>
      <c r="S1520" t="s">
        <v>6694</v>
      </c>
      <c r="V1520" t="s">
        <v>6694</v>
      </c>
      <c r="W1520" t="s">
        <v>6720</v>
      </c>
    </row>
    <row r="1521" spans="1:23" ht="15.6" x14ac:dyDescent="0.4">
      <c r="A1521" s="2" t="s">
        <v>1743</v>
      </c>
      <c r="B1521" s="5" t="s">
        <v>7997</v>
      </c>
      <c r="C1521" s="7" t="s">
        <v>12556</v>
      </c>
      <c r="D1521" s="8">
        <f t="shared" si="96"/>
        <v>0</v>
      </c>
      <c r="E1521" s="7" t="s">
        <v>12557</v>
      </c>
      <c r="F1521" s="7">
        <f t="shared" si="97"/>
        <v>1</v>
      </c>
      <c r="G1521" s="7" t="s">
        <v>12558</v>
      </c>
      <c r="H1521" s="7">
        <f t="shared" si="98"/>
        <v>0</v>
      </c>
      <c r="I1521" s="7" t="str" cm="1">
        <f t="array" ref="I1521">IFERROR(_xlfn.IFS(M1521="נח",1,M1521="נע ונח",1,M1521="שני שווא נח",2,M1521="שני שוואים בסוף מילה",2,M1521="שני שוואים ברצף",1),"0")</f>
        <v>0</v>
      </c>
      <c r="J1521" s="9">
        <f t="shared" si="99"/>
        <v>3</v>
      </c>
      <c r="K1521" t="s">
        <v>6698</v>
      </c>
      <c r="L1521" t="s">
        <v>6695</v>
      </c>
      <c r="P1521" t="s">
        <v>6694</v>
      </c>
      <c r="S1521" t="s">
        <v>6694</v>
      </c>
      <c r="V1521" t="s">
        <v>6694</v>
      </c>
      <c r="W1521" t="s">
        <v>6720</v>
      </c>
    </row>
    <row r="1522" spans="1:23" ht="15.6" x14ac:dyDescent="0.4">
      <c r="A1522" s="2" t="s">
        <v>703</v>
      </c>
      <c r="B1522" s="5" t="s">
        <v>7998</v>
      </c>
      <c r="C1522" s="7" t="s">
        <v>12556</v>
      </c>
      <c r="D1522" s="8">
        <f t="shared" si="96"/>
        <v>0</v>
      </c>
      <c r="E1522" s="7" t="s">
        <v>12557</v>
      </c>
      <c r="F1522" s="7">
        <f t="shared" si="97"/>
        <v>1</v>
      </c>
      <c r="G1522" s="7" t="s">
        <v>12558</v>
      </c>
      <c r="H1522" s="7">
        <f t="shared" si="98"/>
        <v>0</v>
      </c>
      <c r="I1522" s="7" cm="1">
        <f t="array" ref="I1522">IFERROR(_xlfn.IFS(M1522="נח",1,M1522="נע ונח",1,M1522="שני שווא נח",2,M1522="שני שוואים בסוף מילה",2,M1522="שני שוואים ברצף",1),"0")</f>
        <v>1</v>
      </c>
      <c r="J1522" s="9">
        <f t="shared" si="99"/>
        <v>3</v>
      </c>
      <c r="K1522" t="s">
        <v>6698</v>
      </c>
      <c r="L1522" t="s">
        <v>6694</v>
      </c>
      <c r="M1522" t="s">
        <v>6705</v>
      </c>
      <c r="P1522" t="s">
        <v>6694</v>
      </c>
      <c r="S1522" t="s">
        <v>6694</v>
      </c>
      <c r="V1522" t="s">
        <v>6694</v>
      </c>
      <c r="W1522" t="s">
        <v>6720</v>
      </c>
    </row>
    <row r="1523" spans="1:23" ht="15.6" x14ac:dyDescent="0.4">
      <c r="A1523" s="2" t="s">
        <v>6580</v>
      </c>
      <c r="B1523" s="5" t="s">
        <v>7999</v>
      </c>
      <c r="C1523" s="7" t="s">
        <v>12556</v>
      </c>
      <c r="D1523" s="8">
        <f t="shared" si="96"/>
        <v>0</v>
      </c>
      <c r="E1523" s="7" t="s">
        <v>12557</v>
      </c>
      <c r="F1523" s="7">
        <f t="shared" si="97"/>
        <v>1</v>
      </c>
      <c r="G1523" s="7" t="s">
        <v>12558</v>
      </c>
      <c r="H1523" s="7">
        <f t="shared" si="98"/>
        <v>0</v>
      </c>
      <c r="I1523" s="7" cm="1">
        <f t="array" ref="I1523">IFERROR(_xlfn.IFS(M1523="נח",1,M1523="נע ונח",1,M1523="שני שווא נח",2,M1523="שני שוואים בסוף מילה",2,M1523="שני שוואים ברצף",1),"0")</f>
        <v>1</v>
      </c>
      <c r="J1523" s="9">
        <f t="shared" si="99"/>
        <v>3</v>
      </c>
      <c r="K1523" t="s">
        <v>6698</v>
      </c>
      <c r="L1523" t="s">
        <v>6694</v>
      </c>
      <c r="M1523" t="s">
        <v>6705</v>
      </c>
      <c r="P1523" t="s">
        <v>6694</v>
      </c>
      <c r="S1523" t="s">
        <v>6694</v>
      </c>
      <c r="V1523" t="s">
        <v>6694</v>
      </c>
      <c r="W1523" t="s">
        <v>6720</v>
      </c>
    </row>
    <row r="1524" spans="1:23" ht="15.6" x14ac:dyDescent="0.4">
      <c r="A1524" s="2" t="s">
        <v>3940</v>
      </c>
      <c r="B1524" s="5" t="s">
        <v>8000</v>
      </c>
      <c r="C1524" s="7" t="s">
        <v>12556</v>
      </c>
      <c r="D1524" s="8">
        <f t="shared" si="96"/>
        <v>0</v>
      </c>
      <c r="E1524" s="7" t="s">
        <v>12557</v>
      </c>
      <c r="F1524" s="7">
        <f t="shared" si="97"/>
        <v>2</v>
      </c>
      <c r="G1524" s="7" t="s">
        <v>12558</v>
      </c>
      <c r="H1524" s="7">
        <f t="shared" si="98"/>
        <v>0</v>
      </c>
      <c r="I1524" s="7" t="str" cm="1">
        <f t="array" ref="I1524">IFERROR(_xlfn.IFS(M1524="נח",1,M1524="נע ונח",1,M1524="שני שווא נח",2,M1524="שני שוואים בסוף מילה",2,M1524="שני שוואים ברצף",1),"0")</f>
        <v>0</v>
      </c>
      <c r="J1524" s="9">
        <f t="shared" si="99"/>
        <v>3</v>
      </c>
      <c r="K1524" t="s">
        <v>6698</v>
      </c>
      <c r="L1524" t="s">
        <v>6695</v>
      </c>
      <c r="P1524" t="s">
        <v>6694</v>
      </c>
      <c r="S1524" t="s">
        <v>6694</v>
      </c>
      <c r="V1524" t="s">
        <v>6694</v>
      </c>
      <c r="W1524" t="s">
        <v>6720</v>
      </c>
    </row>
    <row r="1525" spans="1:23" ht="15.6" x14ac:dyDescent="0.4">
      <c r="A1525" s="2" t="s">
        <v>2405</v>
      </c>
      <c r="B1525" s="5" t="s">
        <v>7893</v>
      </c>
      <c r="C1525" s="7" t="s">
        <v>12556</v>
      </c>
      <c r="D1525" s="8">
        <f t="shared" si="96"/>
        <v>0</v>
      </c>
      <c r="E1525" s="7" t="s">
        <v>12557</v>
      </c>
      <c r="F1525" s="7">
        <f t="shared" si="97"/>
        <v>2</v>
      </c>
      <c r="G1525" s="7" t="s">
        <v>12558</v>
      </c>
      <c r="H1525" s="7">
        <f t="shared" si="98"/>
        <v>1</v>
      </c>
      <c r="I1525" s="7" t="str" cm="1">
        <f t="array" ref="I1525">IFERROR(_xlfn.IFS(M1525="נח",1,M1525="נע ונח",1,M1525="שני שווא נח",2,M1525="שני שוואים בסוף מילה",2,M1525="שני שוואים ברצף",1),"0")</f>
        <v>0</v>
      </c>
      <c r="J1525" s="9">
        <f t="shared" si="99"/>
        <v>3</v>
      </c>
      <c r="K1525" t="s">
        <v>6697</v>
      </c>
      <c r="L1525" t="s">
        <v>6695</v>
      </c>
      <c r="P1525" t="s">
        <v>6694</v>
      </c>
      <c r="S1525" t="s">
        <v>6694</v>
      </c>
      <c r="U1525" t="s">
        <v>6694</v>
      </c>
      <c r="W1525" t="s">
        <v>6720</v>
      </c>
    </row>
    <row r="1526" spans="1:23" ht="15.6" x14ac:dyDescent="0.4">
      <c r="A1526" s="2" t="s">
        <v>3191</v>
      </c>
      <c r="B1526" s="5" t="s">
        <v>8001</v>
      </c>
      <c r="C1526" s="7" t="s">
        <v>12556</v>
      </c>
      <c r="D1526" s="8">
        <f t="shared" si="96"/>
        <v>0</v>
      </c>
      <c r="E1526" s="7" t="s">
        <v>12557</v>
      </c>
      <c r="F1526" s="7">
        <f t="shared" si="97"/>
        <v>2</v>
      </c>
      <c r="G1526" s="7" t="s">
        <v>12558</v>
      </c>
      <c r="H1526" s="7">
        <f t="shared" si="98"/>
        <v>0</v>
      </c>
      <c r="I1526" s="7" t="str" cm="1">
        <f t="array" ref="I1526">IFERROR(_xlfn.IFS(M1526="נח",1,M1526="נע ונח",1,M1526="שני שווא נח",2,M1526="שני שוואים בסוף מילה",2,M1526="שני שוואים ברצף",1),"0")</f>
        <v>0</v>
      </c>
      <c r="J1526" s="9">
        <f t="shared" si="99"/>
        <v>3</v>
      </c>
      <c r="K1526" t="s">
        <v>6698</v>
      </c>
      <c r="L1526" t="s">
        <v>6695</v>
      </c>
      <c r="P1526" t="s">
        <v>6694</v>
      </c>
      <c r="S1526" t="s">
        <v>6694</v>
      </c>
      <c r="W1526" t="s">
        <v>6720</v>
      </c>
    </row>
    <row r="1527" spans="1:23" ht="15.6" x14ac:dyDescent="0.4">
      <c r="A1527" s="2" t="s">
        <v>102</v>
      </c>
      <c r="B1527" s="5" t="s">
        <v>8002</v>
      </c>
      <c r="C1527" s="7" t="s">
        <v>12556</v>
      </c>
      <c r="D1527" s="8">
        <f t="shared" si="96"/>
        <v>0</v>
      </c>
      <c r="E1527" s="7" t="s">
        <v>12557</v>
      </c>
      <c r="F1527" s="7">
        <f t="shared" si="97"/>
        <v>1</v>
      </c>
      <c r="G1527" s="7" t="s">
        <v>12558</v>
      </c>
      <c r="H1527" s="7">
        <f t="shared" si="98"/>
        <v>0</v>
      </c>
      <c r="I1527" s="7" t="str" cm="1">
        <f t="array" ref="I1527">IFERROR(_xlfn.IFS(M1527="נח",1,M1527="נע ונח",1,M1527="שני שווא נח",2,M1527="שני שוואים בסוף מילה",2,M1527="שני שוואים ברצף",1),"0")</f>
        <v>0</v>
      </c>
      <c r="J1527" s="9">
        <f t="shared" si="99"/>
        <v>3</v>
      </c>
      <c r="K1527" t="s">
        <v>6698</v>
      </c>
      <c r="L1527" t="s">
        <v>6695</v>
      </c>
      <c r="P1527" t="s">
        <v>6694</v>
      </c>
      <c r="R1527" t="s">
        <v>6694</v>
      </c>
      <c r="W1527" t="s">
        <v>6720</v>
      </c>
    </row>
    <row r="1528" spans="1:23" ht="15.6" x14ac:dyDescent="0.4">
      <c r="A1528" s="2" t="s">
        <v>2815</v>
      </c>
      <c r="B1528" s="5" t="s">
        <v>8003</v>
      </c>
      <c r="C1528" s="7" t="s">
        <v>12556</v>
      </c>
      <c r="D1528" s="8">
        <f t="shared" si="96"/>
        <v>0</v>
      </c>
      <c r="E1528" s="7" t="s">
        <v>12557</v>
      </c>
      <c r="F1528" s="7">
        <f t="shared" si="97"/>
        <v>1</v>
      </c>
      <c r="G1528" s="7" t="s">
        <v>12558</v>
      </c>
      <c r="H1528" s="7">
        <f t="shared" si="98"/>
        <v>0</v>
      </c>
      <c r="I1528" s="7" t="str" cm="1">
        <f t="array" ref="I1528">IFERROR(_xlfn.IFS(M1528="נח",1,M1528="נע ונח",1,M1528="שני שווא נח",2,M1528="שני שוואים בסוף מילה",2,M1528="שני שוואים ברצף",1),"0")</f>
        <v>0</v>
      </c>
      <c r="J1528" s="9">
        <f t="shared" si="99"/>
        <v>3</v>
      </c>
      <c r="K1528" t="s">
        <v>6698</v>
      </c>
      <c r="L1528" t="s">
        <v>6695</v>
      </c>
      <c r="P1528" t="s">
        <v>6694</v>
      </c>
      <c r="Q1528" t="s">
        <v>6694</v>
      </c>
      <c r="V1528" t="s">
        <v>6694</v>
      </c>
      <c r="W1528" t="s">
        <v>6720</v>
      </c>
    </row>
    <row r="1529" spans="1:23" ht="15.6" x14ac:dyDescent="0.4">
      <c r="A1529" s="2" t="s">
        <v>429</v>
      </c>
      <c r="B1529" s="5" t="s">
        <v>8004</v>
      </c>
      <c r="C1529" s="7" t="s">
        <v>12556</v>
      </c>
      <c r="D1529" s="8">
        <f t="shared" si="96"/>
        <v>0</v>
      </c>
      <c r="E1529" s="7" t="s">
        <v>12557</v>
      </c>
      <c r="F1529" s="7">
        <f t="shared" si="97"/>
        <v>1</v>
      </c>
      <c r="G1529" s="7" t="s">
        <v>12558</v>
      </c>
      <c r="H1529" s="7">
        <f t="shared" si="98"/>
        <v>0</v>
      </c>
      <c r="I1529" s="7" t="str" cm="1">
        <f t="array" ref="I1529">IFERROR(_xlfn.IFS(M1529="נח",1,M1529="נע ונח",1,M1529="שני שווא נח",2,M1529="שני שוואים בסוף מילה",2,M1529="שני שוואים ברצף",1),"0")</f>
        <v>0</v>
      </c>
      <c r="J1529" s="9">
        <f t="shared" si="99"/>
        <v>2</v>
      </c>
      <c r="K1529" t="s">
        <v>6698</v>
      </c>
      <c r="L1529" t="s">
        <v>6695</v>
      </c>
      <c r="P1529" t="s">
        <v>6694</v>
      </c>
      <c r="V1529" t="s">
        <v>6694</v>
      </c>
      <c r="W1529" t="s">
        <v>6720</v>
      </c>
    </row>
    <row r="1530" spans="1:23" ht="15.6" x14ac:dyDescent="0.4">
      <c r="A1530" s="2" t="s">
        <v>1282</v>
      </c>
      <c r="B1530" s="5" t="s">
        <v>8005</v>
      </c>
      <c r="C1530" s="7" t="s">
        <v>12556</v>
      </c>
      <c r="D1530" s="8">
        <f t="shared" si="96"/>
        <v>0</v>
      </c>
      <c r="E1530" s="7" t="s">
        <v>12557</v>
      </c>
      <c r="F1530" s="7">
        <f t="shared" si="97"/>
        <v>1</v>
      </c>
      <c r="G1530" s="7" t="s">
        <v>12558</v>
      </c>
      <c r="H1530" s="7">
        <f t="shared" si="98"/>
        <v>0</v>
      </c>
      <c r="I1530" s="7" t="str" cm="1">
        <f t="array" ref="I1530">IFERROR(_xlfn.IFS(M1530="נח",1,M1530="נע ונח",1,M1530="שני שווא נח",2,M1530="שני שוואים בסוף מילה",2,M1530="שני שוואים ברצף",1),"0")</f>
        <v>0</v>
      </c>
      <c r="J1530" s="9">
        <f t="shared" si="99"/>
        <v>3</v>
      </c>
      <c r="K1530" t="s">
        <v>6698</v>
      </c>
      <c r="L1530" t="s">
        <v>6695</v>
      </c>
      <c r="P1530" t="s">
        <v>6694</v>
      </c>
      <c r="S1530" t="s">
        <v>6694</v>
      </c>
      <c r="V1530" t="s">
        <v>6694</v>
      </c>
      <c r="W1530" t="s">
        <v>6720</v>
      </c>
    </row>
    <row r="1531" spans="1:23" ht="15.6" x14ac:dyDescent="0.4">
      <c r="A1531" s="2" t="s">
        <v>313</v>
      </c>
      <c r="B1531" s="5" t="s">
        <v>8006</v>
      </c>
      <c r="C1531" s="7" t="s">
        <v>12556</v>
      </c>
      <c r="D1531" s="8">
        <f t="shared" si="96"/>
        <v>0</v>
      </c>
      <c r="E1531" s="7" t="s">
        <v>12557</v>
      </c>
      <c r="F1531" s="7">
        <f t="shared" si="97"/>
        <v>0</v>
      </c>
      <c r="G1531" s="7" t="s">
        <v>12558</v>
      </c>
      <c r="H1531" s="7">
        <f t="shared" si="98"/>
        <v>0</v>
      </c>
      <c r="I1531" s="7" cm="1">
        <f t="array" ref="I1531">IFERROR(_xlfn.IFS(M1531="נח",1,M1531="נע ונח",1,M1531="שני שווא נח",2,M1531="שני שוואים בסוף מילה",2,M1531="שני שוואים ברצף",1),"0")</f>
        <v>1</v>
      </c>
      <c r="J1531" s="9">
        <f t="shared" si="99"/>
        <v>4</v>
      </c>
      <c r="K1531" t="s">
        <v>6697</v>
      </c>
      <c r="L1531" t="s">
        <v>6694</v>
      </c>
      <c r="M1531" t="s">
        <v>6705</v>
      </c>
      <c r="P1531" t="s">
        <v>6694</v>
      </c>
      <c r="Q1531" t="s">
        <v>6694</v>
      </c>
      <c r="S1531" t="s">
        <v>6694</v>
      </c>
      <c r="W1531" t="s">
        <v>6720</v>
      </c>
    </row>
    <row r="1532" spans="1:23" ht="15.6" x14ac:dyDescent="0.4">
      <c r="A1532" s="2" t="s">
        <v>6464</v>
      </c>
      <c r="B1532" s="5" t="s">
        <v>8007</v>
      </c>
      <c r="C1532" s="7" t="s">
        <v>12556</v>
      </c>
      <c r="D1532" s="8">
        <f t="shared" si="96"/>
        <v>0</v>
      </c>
      <c r="E1532" s="7" t="s">
        <v>12557</v>
      </c>
      <c r="F1532" s="7">
        <f t="shared" si="97"/>
        <v>2</v>
      </c>
      <c r="G1532" s="7" t="s">
        <v>12558</v>
      </c>
      <c r="H1532" s="7">
        <f t="shared" si="98"/>
        <v>1</v>
      </c>
      <c r="I1532" s="7" cm="1">
        <f t="array" ref="I1532">IFERROR(_xlfn.IFS(M1532="נח",1,M1532="נע ונח",1,M1532="שני שווא נח",2,M1532="שני שוואים בסוף מילה",2,M1532="שני שוואים ברצף",1),"0")</f>
        <v>1</v>
      </c>
      <c r="J1532" s="9">
        <f t="shared" si="99"/>
        <v>3</v>
      </c>
      <c r="K1532" t="s">
        <v>6697</v>
      </c>
      <c r="L1532" t="s">
        <v>6694</v>
      </c>
      <c r="M1532" t="s">
        <v>6705</v>
      </c>
      <c r="O1532" t="s">
        <v>6694</v>
      </c>
      <c r="P1532" t="s">
        <v>6694</v>
      </c>
      <c r="U1532" t="s">
        <v>6694</v>
      </c>
      <c r="W1532" t="s">
        <v>6720</v>
      </c>
    </row>
    <row r="1533" spans="1:23" ht="15.6" x14ac:dyDescent="0.4">
      <c r="A1533" s="2" t="s">
        <v>867</v>
      </c>
      <c r="B1533" s="5" t="s">
        <v>8008</v>
      </c>
      <c r="C1533" s="7" t="s">
        <v>12556</v>
      </c>
      <c r="D1533" s="8">
        <f t="shared" si="96"/>
        <v>0</v>
      </c>
      <c r="E1533" s="7" t="s">
        <v>12557</v>
      </c>
      <c r="F1533" s="7">
        <f t="shared" si="97"/>
        <v>1</v>
      </c>
      <c r="G1533" s="7" t="s">
        <v>12558</v>
      </c>
      <c r="H1533" s="7">
        <f t="shared" si="98"/>
        <v>0</v>
      </c>
      <c r="I1533" s="7" t="str" cm="1">
        <f t="array" ref="I1533">IFERROR(_xlfn.IFS(M1533="נח",1,M1533="נע ונח",1,M1533="שני שווא נח",2,M1533="שני שוואים בסוף מילה",2,M1533="שני שוואים ברצף",1),"0")</f>
        <v>0</v>
      </c>
      <c r="J1533" s="9">
        <f t="shared" si="99"/>
        <v>4</v>
      </c>
      <c r="K1533" t="s">
        <v>6697</v>
      </c>
      <c r="L1533" t="s">
        <v>6695</v>
      </c>
      <c r="P1533" t="s">
        <v>6694</v>
      </c>
      <c r="Q1533" t="s">
        <v>6694</v>
      </c>
      <c r="S1533" t="s">
        <v>6694</v>
      </c>
      <c r="V1533" t="s">
        <v>6694</v>
      </c>
      <c r="W1533" t="s">
        <v>6720</v>
      </c>
    </row>
    <row r="1534" spans="1:23" ht="15.6" x14ac:dyDescent="0.4">
      <c r="A1534" s="2" t="s">
        <v>3408</v>
      </c>
      <c r="B1534" s="5" t="s">
        <v>8009</v>
      </c>
      <c r="C1534" s="7" t="s">
        <v>12556</v>
      </c>
      <c r="D1534" s="8">
        <f t="shared" si="96"/>
        <v>0</v>
      </c>
      <c r="E1534" s="7" t="s">
        <v>12557</v>
      </c>
      <c r="F1534" s="7">
        <f t="shared" si="97"/>
        <v>1</v>
      </c>
      <c r="G1534" s="7" t="s">
        <v>12558</v>
      </c>
      <c r="H1534" s="7">
        <f t="shared" si="98"/>
        <v>0</v>
      </c>
      <c r="I1534" s="7" cm="1">
        <f t="array" ref="I1534">IFERROR(_xlfn.IFS(M1534="נח",1,M1534="נע ונח",1,M1534="שני שווא נח",2,M1534="שני שוואים בסוף מילה",2,M1534="שני שוואים ברצף",1),"0")</f>
        <v>1</v>
      </c>
      <c r="J1534" s="9">
        <f t="shared" si="99"/>
        <v>3</v>
      </c>
      <c r="K1534" t="s">
        <v>6698</v>
      </c>
      <c r="L1534" t="s">
        <v>6694</v>
      </c>
      <c r="M1534" t="s">
        <v>6705</v>
      </c>
      <c r="P1534" t="s">
        <v>6694</v>
      </c>
      <c r="V1534" t="s">
        <v>6694</v>
      </c>
      <c r="W1534" t="s">
        <v>6720</v>
      </c>
    </row>
    <row r="1535" spans="1:23" ht="15.6" x14ac:dyDescent="0.4">
      <c r="A1535" s="2" t="s">
        <v>1838</v>
      </c>
      <c r="B1535" s="5" t="s">
        <v>8010</v>
      </c>
      <c r="C1535" s="7" t="s">
        <v>12556</v>
      </c>
      <c r="D1535" s="8">
        <f t="shared" si="96"/>
        <v>0</v>
      </c>
      <c r="E1535" s="7" t="s">
        <v>12557</v>
      </c>
      <c r="F1535" s="7">
        <f t="shared" si="97"/>
        <v>1</v>
      </c>
      <c r="G1535" s="7" t="s">
        <v>12558</v>
      </c>
      <c r="H1535" s="7">
        <f t="shared" si="98"/>
        <v>0</v>
      </c>
      <c r="I1535" s="7" t="str" cm="1">
        <f t="array" ref="I1535">IFERROR(_xlfn.IFS(M1535="נח",1,M1535="נע ונח",1,M1535="שני שווא נח",2,M1535="שני שוואים בסוף מילה",2,M1535="שני שוואים ברצף",1),"0")</f>
        <v>0</v>
      </c>
      <c r="J1535" s="9">
        <f t="shared" si="99"/>
        <v>2</v>
      </c>
      <c r="K1535" t="s">
        <v>6698</v>
      </c>
      <c r="L1535" t="s">
        <v>6695</v>
      </c>
      <c r="P1535" t="s">
        <v>6694</v>
      </c>
      <c r="V1535" t="s">
        <v>6694</v>
      </c>
      <c r="W1535" t="s">
        <v>6720</v>
      </c>
    </row>
    <row r="1536" spans="1:23" ht="15.6" x14ac:dyDescent="0.4">
      <c r="A1536" s="2" t="s">
        <v>202</v>
      </c>
      <c r="B1536" s="5" t="s">
        <v>8011</v>
      </c>
      <c r="C1536" s="7" t="s">
        <v>12556</v>
      </c>
      <c r="D1536" s="8">
        <f t="shared" si="96"/>
        <v>0</v>
      </c>
      <c r="E1536" s="7" t="s">
        <v>12557</v>
      </c>
      <c r="F1536" s="7">
        <f t="shared" si="97"/>
        <v>0</v>
      </c>
      <c r="G1536" s="7" t="s">
        <v>12558</v>
      </c>
      <c r="H1536" s="7">
        <f t="shared" si="98"/>
        <v>0</v>
      </c>
      <c r="I1536" s="7" cm="1">
        <f t="array" ref="I1536">IFERROR(_xlfn.IFS(M1536="נח",1,M1536="נע ונח",1,M1536="שני שווא נח",2,M1536="שני שוואים בסוף מילה",2,M1536="שני שוואים ברצף",1),"0")</f>
        <v>1</v>
      </c>
      <c r="J1536" s="9">
        <f t="shared" si="99"/>
        <v>3</v>
      </c>
      <c r="K1536" t="s">
        <v>6698</v>
      </c>
      <c r="L1536" t="s">
        <v>6694</v>
      </c>
      <c r="M1536" t="s">
        <v>6705</v>
      </c>
      <c r="P1536" t="s">
        <v>6694</v>
      </c>
      <c r="S1536" t="s">
        <v>6694</v>
      </c>
      <c r="V1536" t="s">
        <v>6694</v>
      </c>
      <c r="W1536" t="s">
        <v>6720</v>
      </c>
    </row>
    <row r="1537" spans="1:23" ht="15.6" x14ac:dyDescent="0.4">
      <c r="A1537" s="2" t="s">
        <v>583</v>
      </c>
      <c r="B1537" s="5" t="s">
        <v>8012</v>
      </c>
      <c r="C1537" s="7" t="s">
        <v>12556</v>
      </c>
      <c r="D1537" s="8">
        <f t="shared" si="96"/>
        <v>0</v>
      </c>
      <c r="E1537" s="7" t="s">
        <v>12557</v>
      </c>
      <c r="F1537" s="7">
        <f t="shared" si="97"/>
        <v>0</v>
      </c>
      <c r="G1537" s="7" t="s">
        <v>12558</v>
      </c>
      <c r="H1537" s="7">
        <f t="shared" si="98"/>
        <v>0</v>
      </c>
      <c r="I1537" s="7" cm="1">
        <f t="array" ref="I1537">IFERROR(_xlfn.IFS(M1537="נח",1,M1537="נע ונח",1,M1537="שני שווא נח",2,M1537="שני שוואים בסוף מילה",2,M1537="שני שוואים ברצף",1),"0")</f>
        <v>1</v>
      </c>
      <c r="J1537" s="9">
        <f t="shared" si="99"/>
        <v>3</v>
      </c>
      <c r="K1537" t="s">
        <v>6697</v>
      </c>
      <c r="L1537" t="s">
        <v>6694</v>
      </c>
      <c r="M1537" t="s">
        <v>6705</v>
      </c>
      <c r="P1537" t="s">
        <v>6694</v>
      </c>
      <c r="S1537" t="s">
        <v>6694</v>
      </c>
      <c r="V1537" t="s">
        <v>6694</v>
      </c>
      <c r="W1537" t="s">
        <v>6720</v>
      </c>
    </row>
    <row r="1538" spans="1:23" ht="15.6" x14ac:dyDescent="0.4">
      <c r="A1538" s="2" t="s">
        <v>1312</v>
      </c>
      <c r="B1538" s="5" t="s">
        <v>8013</v>
      </c>
      <c r="C1538" s="7" t="s">
        <v>12556</v>
      </c>
      <c r="D1538" s="8">
        <f t="shared" si="96"/>
        <v>0</v>
      </c>
      <c r="E1538" s="7" t="s">
        <v>12557</v>
      </c>
      <c r="F1538" s="7">
        <f t="shared" si="97"/>
        <v>1</v>
      </c>
      <c r="G1538" s="7" t="s">
        <v>12558</v>
      </c>
      <c r="H1538" s="7">
        <f t="shared" si="98"/>
        <v>1</v>
      </c>
      <c r="I1538" s="7" t="str" cm="1">
        <f t="array" ref="I1538">IFERROR(_xlfn.IFS(M1538="נח",1,M1538="נע ונח",1,M1538="שני שווא נח",2,M1538="שני שוואים בסוף מילה",2,M1538="שני שוואים ברצף",1),"0")</f>
        <v>0</v>
      </c>
      <c r="J1538" s="9">
        <f t="shared" si="99"/>
        <v>2</v>
      </c>
      <c r="K1538" t="s">
        <v>6697</v>
      </c>
      <c r="L1538" t="s">
        <v>6695</v>
      </c>
      <c r="P1538" t="s">
        <v>6694</v>
      </c>
      <c r="U1538" t="s">
        <v>6694</v>
      </c>
      <c r="W1538" t="s">
        <v>6720</v>
      </c>
    </row>
    <row r="1539" spans="1:23" ht="15.6" x14ac:dyDescent="0.4">
      <c r="A1539" s="2" t="s">
        <v>140</v>
      </c>
      <c r="B1539" s="5" t="s">
        <v>8014</v>
      </c>
      <c r="C1539" s="7" t="s">
        <v>12556</v>
      </c>
      <c r="D1539" s="8">
        <f t="shared" ref="D1539:D1602" si="100">(LEN(B1539)-LEN(SUBSTITUTE(B1539,C1539,"")))</f>
        <v>0</v>
      </c>
      <c r="E1539" s="7" t="s">
        <v>12557</v>
      </c>
      <c r="F1539" s="7">
        <f t="shared" ref="F1539:F1602" si="101">(LEN(A1539)-LEN(SUBSTITUTE(A1539,E1539,"")))</f>
        <v>1</v>
      </c>
      <c r="G1539" s="7" t="s">
        <v>12558</v>
      </c>
      <c r="H1539" s="7">
        <f t="shared" ref="H1539:H1602" si="102">(LEN(A1539)-LEN(SUBSTITUTE(A1539,G1539,"")))/2</f>
        <v>1</v>
      </c>
      <c r="I1539" s="7" t="str" cm="1">
        <f t="array" ref="I1539">IFERROR(_xlfn.IFS(M1539="נח",1,M1539="נע ונח",1,M1539="שני שווא נח",2,M1539="שני שוואים בסוף מילה",2,M1539="שני שוואים ברצף",1),"0")</f>
        <v>0</v>
      </c>
      <c r="J1539" s="9">
        <f t="shared" ref="J1539:J1602" si="103">LEN(A1539)-(LEN(B1539))-D1539-F1539+H1539-I1539</f>
        <v>3</v>
      </c>
      <c r="K1539" t="s">
        <v>6698</v>
      </c>
      <c r="L1539" t="s">
        <v>6695</v>
      </c>
      <c r="P1539" t="s">
        <v>6694</v>
      </c>
      <c r="U1539" t="s">
        <v>6694</v>
      </c>
      <c r="V1539" t="s">
        <v>6694</v>
      </c>
      <c r="W1539" t="s">
        <v>6720</v>
      </c>
    </row>
    <row r="1540" spans="1:23" ht="15.6" x14ac:dyDescent="0.4">
      <c r="A1540" s="2" t="s">
        <v>3974</v>
      </c>
      <c r="B1540" s="5" t="s">
        <v>8015</v>
      </c>
      <c r="C1540" s="7" t="s">
        <v>12556</v>
      </c>
      <c r="D1540" s="8">
        <f t="shared" si="100"/>
        <v>0</v>
      </c>
      <c r="E1540" s="7" t="s">
        <v>12557</v>
      </c>
      <c r="F1540" s="7">
        <f t="shared" si="101"/>
        <v>1</v>
      </c>
      <c r="G1540" s="7" t="s">
        <v>12558</v>
      </c>
      <c r="H1540" s="7">
        <f t="shared" si="102"/>
        <v>0</v>
      </c>
      <c r="I1540" s="7" t="str" cm="1">
        <f t="array" ref="I1540">IFERROR(_xlfn.IFS(M1540="נח",1,M1540="נע ונח",1,M1540="שני שווא נח",2,M1540="שני שוואים בסוף מילה",2,M1540="שני שוואים ברצף",1),"0")</f>
        <v>0</v>
      </c>
      <c r="J1540" s="9">
        <f t="shared" si="103"/>
        <v>3</v>
      </c>
      <c r="K1540" t="s">
        <v>6698</v>
      </c>
      <c r="L1540" t="s">
        <v>6695</v>
      </c>
      <c r="P1540" t="s">
        <v>6694</v>
      </c>
      <c r="S1540" t="s">
        <v>6694</v>
      </c>
      <c r="W1540" t="s">
        <v>6720</v>
      </c>
    </row>
    <row r="1541" spans="1:23" ht="15.6" x14ac:dyDescent="0.4">
      <c r="A1541" s="2" t="s">
        <v>3232</v>
      </c>
      <c r="B1541" s="5" t="s">
        <v>8016</v>
      </c>
      <c r="C1541" s="7" t="s">
        <v>12556</v>
      </c>
      <c r="D1541" s="8">
        <f t="shared" si="100"/>
        <v>0</v>
      </c>
      <c r="E1541" s="7" t="s">
        <v>12557</v>
      </c>
      <c r="F1541" s="7">
        <f t="shared" si="101"/>
        <v>1</v>
      </c>
      <c r="G1541" s="7" t="s">
        <v>12558</v>
      </c>
      <c r="H1541" s="7">
        <f t="shared" si="102"/>
        <v>0</v>
      </c>
      <c r="I1541" s="7" t="str" cm="1">
        <f t="array" ref="I1541">IFERROR(_xlfn.IFS(M1541="נח",1,M1541="נע ונח",1,M1541="שני שווא נח",2,M1541="שני שוואים בסוף מילה",2,M1541="שני שוואים ברצף",1),"0")</f>
        <v>0</v>
      </c>
      <c r="J1541" s="9">
        <f t="shared" si="103"/>
        <v>2</v>
      </c>
      <c r="K1541" t="s">
        <v>6698</v>
      </c>
      <c r="L1541" t="s">
        <v>6695</v>
      </c>
      <c r="P1541" t="s">
        <v>6694</v>
      </c>
      <c r="V1541" t="s">
        <v>6694</v>
      </c>
      <c r="W1541" t="s">
        <v>6720</v>
      </c>
    </row>
    <row r="1542" spans="1:23" ht="15.6" x14ac:dyDescent="0.4">
      <c r="A1542" s="2" t="s">
        <v>944</v>
      </c>
      <c r="B1542" s="5" t="s">
        <v>8017</v>
      </c>
      <c r="C1542" s="7" t="s">
        <v>12556</v>
      </c>
      <c r="D1542" s="8">
        <f t="shared" si="100"/>
        <v>0</v>
      </c>
      <c r="E1542" s="7" t="s">
        <v>12557</v>
      </c>
      <c r="F1542" s="7">
        <f t="shared" si="101"/>
        <v>0</v>
      </c>
      <c r="G1542" s="7" t="s">
        <v>12558</v>
      </c>
      <c r="H1542" s="7">
        <f t="shared" si="102"/>
        <v>0</v>
      </c>
      <c r="I1542" s="7" t="str" cm="1">
        <f t="array" ref="I1542">IFERROR(_xlfn.IFS(M1542="נח",1,M1542="נע ונח",1,M1542="שני שווא נח",2,M1542="שני שוואים בסוף מילה",2,M1542="שני שוואים ברצף",1),"0")</f>
        <v>0</v>
      </c>
      <c r="J1542" s="9">
        <f t="shared" si="103"/>
        <v>3</v>
      </c>
      <c r="K1542" t="s">
        <v>6698</v>
      </c>
      <c r="L1542" t="s">
        <v>6695</v>
      </c>
      <c r="P1542" t="s">
        <v>6694</v>
      </c>
      <c r="Q1542" t="s">
        <v>6694</v>
      </c>
      <c r="W1542" t="s">
        <v>6720</v>
      </c>
    </row>
    <row r="1543" spans="1:23" ht="15.6" x14ac:dyDescent="0.4">
      <c r="A1543" s="2" t="s">
        <v>6006</v>
      </c>
      <c r="B1543" s="5" t="s">
        <v>8018</v>
      </c>
      <c r="C1543" s="7" t="s">
        <v>12556</v>
      </c>
      <c r="D1543" s="8">
        <f t="shared" si="100"/>
        <v>0</v>
      </c>
      <c r="E1543" s="7" t="s">
        <v>12557</v>
      </c>
      <c r="F1543" s="7">
        <f t="shared" si="101"/>
        <v>1</v>
      </c>
      <c r="G1543" s="7" t="s">
        <v>12558</v>
      </c>
      <c r="H1543" s="7">
        <f t="shared" si="102"/>
        <v>0</v>
      </c>
      <c r="I1543" s="7" t="str" cm="1">
        <f t="array" ref="I1543">IFERROR(_xlfn.IFS(M1543="נח",1,M1543="נע ונח",1,M1543="שני שווא נח",2,M1543="שני שוואים בסוף מילה",2,M1543="שני שוואים ברצף",1),"0")</f>
        <v>0</v>
      </c>
      <c r="J1543" s="9">
        <f t="shared" si="103"/>
        <v>3</v>
      </c>
      <c r="K1543" t="s">
        <v>6698</v>
      </c>
      <c r="L1543" t="s">
        <v>6695</v>
      </c>
      <c r="P1543" t="s">
        <v>6694</v>
      </c>
      <c r="S1543" t="s">
        <v>6694</v>
      </c>
      <c r="W1543" t="s">
        <v>6720</v>
      </c>
    </row>
    <row r="1544" spans="1:23" ht="15.6" x14ac:dyDescent="0.4">
      <c r="A1544" s="2" t="s">
        <v>1424</v>
      </c>
      <c r="B1544" s="5" t="s">
        <v>8019</v>
      </c>
      <c r="C1544" s="7" t="s">
        <v>12556</v>
      </c>
      <c r="D1544" s="8">
        <f t="shared" si="100"/>
        <v>0</v>
      </c>
      <c r="E1544" s="7" t="s">
        <v>12557</v>
      </c>
      <c r="F1544" s="7">
        <f t="shared" si="101"/>
        <v>1</v>
      </c>
      <c r="G1544" s="7" t="s">
        <v>12558</v>
      </c>
      <c r="H1544" s="7">
        <f t="shared" si="102"/>
        <v>0</v>
      </c>
      <c r="I1544" s="7" t="str" cm="1">
        <f t="array" ref="I1544">IFERROR(_xlfn.IFS(M1544="נח",1,M1544="נע ונח",1,M1544="שני שווא נח",2,M1544="שני שוואים בסוף מילה",2,M1544="שני שוואים ברצף",1),"0")</f>
        <v>0</v>
      </c>
      <c r="J1544" s="9">
        <f t="shared" si="103"/>
        <v>3</v>
      </c>
      <c r="K1544" t="s">
        <v>6697</v>
      </c>
      <c r="L1544" t="s">
        <v>6695</v>
      </c>
      <c r="O1544" t="s">
        <v>6694</v>
      </c>
      <c r="P1544" t="s">
        <v>6694</v>
      </c>
      <c r="W1544" t="s">
        <v>6720</v>
      </c>
    </row>
    <row r="1545" spans="1:23" ht="15.6" x14ac:dyDescent="0.4">
      <c r="A1545" s="2" t="s">
        <v>2038</v>
      </c>
      <c r="B1545" s="5" t="s">
        <v>8020</v>
      </c>
      <c r="C1545" s="7" t="s">
        <v>12556</v>
      </c>
      <c r="D1545" s="8">
        <f t="shared" si="100"/>
        <v>0</v>
      </c>
      <c r="E1545" s="7" t="s">
        <v>12557</v>
      </c>
      <c r="F1545" s="7">
        <f t="shared" si="101"/>
        <v>0</v>
      </c>
      <c r="G1545" s="7" t="s">
        <v>12558</v>
      </c>
      <c r="H1545" s="7">
        <f t="shared" si="102"/>
        <v>0</v>
      </c>
      <c r="I1545" s="7" t="str" cm="1">
        <f t="array" ref="I1545">IFERROR(_xlfn.IFS(M1545="נח",1,M1545="נע ונח",1,M1545="שני שווא נח",2,M1545="שני שוואים בסוף מילה",2,M1545="שני שוואים ברצף",1),"0")</f>
        <v>0</v>
      </c>
      <c r="J1545" s="9">
        <f t="shared" si="103"/>
        <v>3</v>
      </c>
      <c r="K1545" t="s">
        <v>6698</v>
      </c>
      <c r="L1545" t="s">
        <v>6695</v>
      </c>
      <c r="P1545" t="s">
        <v>6694</v>
      </c>
      <c r="S1545" t="s">
        <v>6694</v>
      </c>
      <c r="V1545" t="s">
        <v>6694</v>
      </c>
      <c r="W1545" t="s">
        <v>6720</v>
      </c>
    </row>
    <row r="1546" spans="1:23" ht="15.6" x14ac:dyDescent="0.4">
      <c r="A1546" s="2" t="s">
        <v>316</v>
      </c>
      <c r="B1546" s="5" t="s">
        <v>8021</v>
      </c>
      <c r="C1546" s="7" t="s">
        <v>12556</v>
      </c>
      <c r="D1546" s="8">
        <f t="shared" si="100"/>
        <v>0</v>
      </c>
      <c r="E1546" s="7" t="s">
        <v>12557</v>
      </c>
      <c r="F1546" s="7">
        <f t="shared" si="101"/>
        <v>0</v>
      </c>
      <c r="G1546" s="7" t="s">
        <v>12558</v>
      </c>
      <c r="H1546" s="7">
        <f t="shared" si="102"/>
        <v>0</v>
      </c>
      <c r="I1546" s="7" t="str" cm="1">
        <f t="array" ref="I1546">IFERROR(_xlfn.IFS(M1546="נח",1,M1546="נע ונח",1,M1546="שני שווא נח",2,M1546="שני שוואים בסוף מילה",2,M1546="שני שוואים ברצף",1),"0")</f>
        <v>0</v>
      </c>
      <c r="J1546" s="9">
        <f t="shared" si="103"/>
        <v>1</v>
      </c>
      <c r="K1546" t="s">
        <v>6698</v>
      </c>
      <c r="L1546" t="s">
        <v>6695</v>
      </c>
      <c r="P1546" t="s">
        <v>6694</v>
      </c>
      <c r="W1546" t="s">
        <v>6720</v>
      </c>
    </row>
    <row r="1547" spans="1:23" ht="15.6" x14ac:dyDescent="0.4">
      <c r="A1547" s="2" t="s">
        <v>455</v>
      </c>
      <c r="B1547" s="5" t="s">
        <v>7896</v>
      </c>
      <c r="C1547" s="7" t="s">
        <v>12556</v>
      </c>
      <c r="D1547" s="8">
        <f t="shared" si="100"/>
        <v>0</v>
      </c>
      <c r="E1547" s="7" t="s">
        <v>12557</v>
      </c>
      <c r="F1547" s="7">
        <f t="shared" si="101"/>
        <v>1</v>
      </c>
      <c r="G1547" s="7" t="s">
        <v>12558</v>
      </c>
      <c r="H1547" s="7">
        <f t="shared" si="102"/>
        <v>0</v>
      </c>
      <c r="I1547" s="7" t="str" cm="1">
        <f t="array" ref="I1547">IFERROR(_xlfn.IFS(M1547="נח",1,M1547="נע ונח",1,M1547="שני שווא נח",2,M1547="שני שוואים בסוף מילה",2,M1547="שני שוואים ברצף",1),"0")</f>
        <v>0</v>
      </c>
      <c r="J1547" s="9">
        <f t="shared" si="103"/>
        <v>2</v>
      </c>
      <c r="K1547" t="s">
        <v>6697</v>
      </c>
      <c r="L1547" t="s">
        <v>6695</v>
      </c>
      <c r="P1547" t="s">
        <v>6694</v>
      </c>
      <c r="Q1547" t="s">
        <v>6694</v>
      </c>
      <c r="W1547" t="s">
        <v>6720</v>
      </c>
    </row>
    <row r="1548" spans="1:23" ht="15.6" x14ac:dyDescent="0.4">
      <c r="A1548" s="2" t="s">
        <v>4946</v>
      </c>
      <c r="B1548" s="5" t="s">
        <v>8022</v>
      </c>
      <c r="C1548" s="7" t="s">
        <v>12556</v>
      </c>
      <c r="D1548" s="8">
        <f t="shared" si="100"/>
        <v>0</v>
      </c>
      <c r="E1548" s="7" t="s">
        <v>12557</v>
      </c>
      <c r="F1548" s="7">
        <f t="shared" si="101"/>
        <v>1</v>
      </c>
      <c r="G1548" s="7" t="s">
        <v>12558</v>
      </c>
      <c r="H1548" s="7">
        <f t="shared" si="102"/>
        <v>0</v>
      </c>
      <c r="I1548" s="7" t="str" cm="1">
        <f t="array" ref="I1548">IFERROR(_xlfn.IFS(M1548="נח",1,M1548="נע ונח",1,M1548="שני שווא נח",2,M1548="שני שוואים בסוף מילה",2,M1548="שני שוואים ברצף",1),"0")</f>
        <v>0</v>
      </c>
      <c r="J1548" s="9">
        <f t="shared" si="103"/>
        <v>2</v>
      </c>
      <c r="K1548" t="s">
        <v>6698</v>
      </c>
      <c r="L1548" t="s">
        <v>6695</v>
      </c>
      <c r="P1548" t="s">
        <v>6694</v>
      </c>
      <c r="V1548" t="s">
        <v>6694</v>
      </c>
      <c r="W1548" t="s">
        <v>6720</v>
      </c>
    </row>
    <row r="1549" spans="1:23" ht="15.6" x14ac:dyDescent="0.4">
      <c r="A1549" s="2" t="s">
        <v>5700</v>
      </c>
      <c r="B1549" s="5" t="s">
        <v>8023</v>
      </c>
      <c r="C1549" s="7" t="s">
        <v>12556</v>
      </c>
      <c r="D1549" s="8">
        <f t="shared" si="100"/>
        <v>0</v>
      </c>
      <c r="E1549" s="7" t="s">
        <v>12557</v>
      </c>
      <c r="F1549" s="7">
        <f t="shared" si="101"/>
        <v>2</v>
      </c>
      <c r="G1549" s="7" t="s">
        <v>12558</v>
      </c>
      <c r="H1549" s="7">
        <f t="shared" si="102"/>
        <v>1</v>
      </c>
      <c r="I1549" s="7" t="str" cm="1">
        <f t="array" ref="I1549">IFERROR(_xlfn.IFS(M1549="נח",1,M1549="נע ונח",1,M1549="שני שווא נח",2,M1549="שני שוואים בסוף מילה",2,M1549="שני שוואים ברצף",1),"0")</f>
        <v>0</v>
      </c>
      <c r="J1549" s="9">
        <f t="shared" si="103"/>
        <v>2</v>
      </c>
      <c r="K1549" t="s">
        <v>6697</v>
      </c>
      <c r="L1549" t="s">
        <v>6695</v>
      </c>
      <c r="P1549" t="s">
        <v>6694</v>
      </c>
      <c r="U1549" t="s">
        <v>6694</v>
      </c>
      <c r="W1549" t="s">
        <v>6720</v>
      </c>
    </row>
    <row r="1550" spans="1:23" ht="15.6" x14ac:dyDescent="0.4">
      <c r="A1550" s="2" t="s">
        <v>138</v>
      </c>
      <c r="B1550" s="5" t="s">
        <v>8024</v>
      </c>
      <c r="C1550" s="7" t="s">
        <v>12556</v>
      </c>
      <c r="D1550" s="8">
        <f t="shared" si="100"/>
        <v>0</v>
      </c>
      <c r="E1550" s="7" t="s">
        <v>12557</v>
      </c>
      <c r="F1550" s="7">
        <f t="shared" si="101"/>
        <v>0</v>
      </c>
      <c r="G1550" s="7" t="s">
        <v>12558</v>
      </c>
      <c r="H1550" s="7">
        <f t="shared" si="102"/>
        <v>0</v>
      </c>
      <c r="I1550" s="7" cm="1">
        <f t="array" ref="I1550">IFERROR(_xlfn.IFS(M1550="נח",1,M1550="נע ונח",1,M1550="שני שווא נח",2,M1550="שני שוואים בסוף מילה",2,M1550="שני שוואים ברצף",1),"0")</f>
        <v>1</v>
      </c>
      <c r="J1550" s="9">
        <f t="shared" si="103"/>
        <v>5</v>
      </c>
      <c r="K1550" t="s">
        <v>6697</v>
      </c>
      <c r="L1550" t="s">
        <v>6694</v>
      </c>
      <c r="M1550" t="s">
        <v>6702</v>
      </c>
      <c r="N1550" t="s">
        <v>6706</v>
      </c>
      <c r="O1550" t="s">
        <v>6694</v>
      </c>
      <c r="P1550" t="s">
        <v>6694</v>
      </c>
      <c r="W1550" t="s">
        <v>6720</v>
      </c>
    </row>
    <row r="1551" spans="1:23" ht="15.6" x14ac:dyDescent="0.4">
      <c r="A1551" s="2" t="s">
        <v>5944</v>
      </c>
      <c r="B1551" s="5" t="s">
        <v>8025</v>
      </c>
      <c r="C1551" s="7" t="s">
        <v>12556</v>
      </c>
      <c r="D1551" s="8">
        <f t="shared" si="100"/>
        <v>0</v>
      </c>
      <c r="E1551" s="7" t="s">
        <v>12557</v>
      </c>
      <c r="F1551" s="7">
        <f t="shared" si="101"/>
        <v>0</v>
      </c>
      <c r="G1551" s="7" t="s">
        <v>12558</v>
      </c>
      <c r="H1551" s="7">
        <f t="shared" si="102"/>
        <v>0</v>
      </c>
      <c r="I1551" s="7" cm="1">
        <f t="array" ref="I1551">IFERROR(_xlfn.IFS(M1551="נח",1,M1551="נע ונח",1,M1551="שני שווא נח",2,M1551="שני שוואים בסוף מילה",2,M1551="שני שוואים ברצף",1),"0")</f>
        <v>1</v>
      </c>
      <c r="J1551" s="9">
        <f t="shared" si="103"/>
        <v>2</v>
      </c>
      <c r="K1551" t="s">
        <v>6698</v>
      </c>
      <c r="L1551" t="s">
        <v>6694</v>
      </c>
      <c r="M1551" t="s">
        <v>6705</v>
      </c>
      <c r="P1551" t="s">
        <v>6694</v>
      </c>
      <c r="V1551" t="s">
        <v>6694</v>
      </c>
      <c r="W1551" t="s">
        <v>6720</v>
      </c>
    </row>
    <row r="1552" spans="1:23" ht="15.6" x14ac:dyDescent="0.4">
      <c r="A1552" s="2" t="s">
        <v>3171</v>
      </c>
      <c r="B1552" s="5" t="s">
        <v>8026</v>
      </c>
      <c r="C1552" s="7" t="s">
        <v>12556</v>
      </c>
      <c r="D1552" s="8">
        <f t="shared" si="100"/>
        <v>1</v>
      </c>
      <c r="E1552" s="7" t="s">
        <v>12557</v>
      </c>
      <c r="F1552" s="7">
        <f t="shared" si="101"/>
        <v>0</v>
      </c>
      <c r="G1552" s="7" t="s">
        <v>12558</v>
      </c>
      <c r="H1552" s="7">
        <f t="shared" si="102"/>
        <v>0</v>
      </c>
      <c r="I1552" s="7" cm="1">
        <f t="array" ref="I1552">IFERROR(_xlfn.IFS(M1552="נח",1,M1552="נע ונח",1,M1552="שני שווא נח",2,M1552="שני שוואים בסוף מילה",2,M1552="שני שוואים ברצף",1),"0")</f>
        <v>1</v>
      </c>
      <c r="J1552" s="9">
        <f t="shared" si="103"/>
        <v>2</v>
      </c>
      <c r="K1552" t="s">
        <v>6698</v>
      </c>
      <c r="L1552" t="s">
        <v>6694</v>
      </c>
      <c r="M1552" t="s">
        <v>6705</v>
      </c>
      <c r="P1552" t="s">
        <v>6694</v>
      </c>
      <c r="W1552" t="s">
        <v>6720</v>
      </c>
    </row>
    <row r="1553" spans="1:23" ht="15.6" x14ac:dyDescent="0.4">
      <c r="A1553" s="2" t="s">
        <v>5212</v>
      </c>
      <c r="B1553" s="5" t="s">
        <v>8027</v>
      </c>
      <c r="C1553" s="7" t="s">
        <v>12556</v>
      </c>
      <c r="D1553" s="8">
        <f t="shared" si="100"/>
        <v>1</v>
      </c>
      <c r="E1553" s="7" t="s">
        <v>12557</v>
      </c>
      <c r="F1553" s="7">
        <f t="shared" si="101"/>
        <v>1</v>
      </c>
      <c r="G1553" s="7" t="s">
        <v>12558</v>
      </c>
      <c r="H1553" s="7">
        <f t="shared" si="102"/>
        <v>1</v>
      </c>
      <c r="I1553" s="7" cm="1">
        <f t="array" ref="I1553">IFERROR(_xlfn.IFS(M1553="נח",1,M1553="נע ונח",1,M1553="שני שווא נח",2,M1553="שני שוואים בסוף מילה",2,M1553="שני שוואים ברצף",1),"0")</f>
        <v>1</v>
      </c>
      <c r="J1553" s="9">
        <f t="shared" si="103"/>
        <v>3</v>
      </c>
      <c r="K1553" t="s">
        <v>6697</v>
      </c>
      <c r="L1553" t="s">
        <v>6694</v>
      </c>
      <c r="M1553" t="s">
        <v>6705</v>
      </c>
      <c r="O1553" t="s">
        <v>6694</v>
      </c>
      <c r="P1553" t="s">
        <v>6694</v>
      </c>
      <c r="U1553" t="s">
        <v>6694</v>
      </c>
      <c r="W1553" t="s">
        <v>6720</v>
      </c>
    </row>
    <row r="1554" spans="1:23" ht="15.6" x14ac:dyDescent="0.4">
      <c r="A1554" s="2" t="s">
        <v>567</v>
      </c>
      <c r="B1554" s="5" t="s">
        <v>8028</v>
      </c>
      <c r="C1554" s="7" t="s">
        <v>12556</v>
      </c>
      <c r="D1554" s="8">
        <f t="shared" si="100"/>
        <v>0</v>
      </c>
      <c r="E1554" s="7" t="s">
        <v>12557</v>
      </c>
      <c r="F1554" s="7">
        <f t="shared" si="101"/>
        <v>2</v>
      </c>
      <c r="G1554" s="7" t="s">
        <v>12558</v>
      </c>
      <c r="H1554" s="7">
        <f t="shared" si="102"/>
        <v>0</v>
      </c>
      <c r="I1554" s="7" cm="1">
        <f t="array" ref="I1554">IFERROR(_xlfn.IFS(M1554="נח",1,M1554="נע ונח",1,M1554="שני שווא נח",2,M1554="שני שוואים בסוף מילה",2,M1554="שני שוואים ברצף",1),"0")</f>
        <v>1</v>
      </c>
      <c r="J1554" s="9">
        <f t="shared" si="103"/>
        <v>3</v>
      </c>
      <c r="K1554" t="s">
        <v>6698</v>
      </c>
      <c r="L1554" t="s">
        <v>6694</v>
      </c>
      <c r="M1554" t="s">
        <v>6705</v>
      </c>
      <c r="P1554" t="s">
        <v>6694</v>
      </c>
      <c r="Q1554" t="s">
        <v>6694</v>
      </c>
      <c r="W1554" t="s">
        <v>6720</v>
      </c>
    </row>
    <row r="1555" spans="1:23" ht="15.6" x14ac:dyDescent="0.4">
      <c r="A1555" s="2" t="s">
        <v>3492</v>
      </c>
      <c r="B1555" s="5" t="s">
        <v>8029</v>
      </c>
      <c r="C1555" s="7" t="s">
        <v>12556</v>
      </c>
      <c r="D1555" s="8">
        <f t="shared" si="100"/>
        <v>0</v>
      </c>
      <c r="E1555" s="7" t="s">
        <v>12557</v>
      </c>
      <c r="F1555" s="7">
        <f t="shared" si="101"/>
        <v>1</v>
      </c>
      <c r="G1555" s="7" t="s">
        <v>12558</v>
      </c>
      <c r="H1555" s="7">
        <f t="shared" si="102"/>
        <v>0</v>
      </c>
      <c r="I1555" s="7" t="str" cm="1">
        <f t="array" ref="I1555">IFERROR(_xlfn.IFS(M1555="נח",1,M1555="נע ונח",1,M1555="שני שווא נח",2,M1555="שני שוואים בסוף מילה",2,M1555="שני שוואים ברצף",1),"0")</f>
        <v>0</v>
      </c>
      <c r="J1555" s="9">
        <f t="shared" si="103"/>
        <v>3</v>
      </c>
      <c r="K1555" t="s">
        <v>6698</v>
      </c>
      <c r="L1555" t="s">
        <v>6695</v>
      </c>
      <c r="O1555" t="s">
        <v>6694</v>
      </c>
      <c r="P1555" t="s">
        <v>6694</v>
      </c>
      <c r="Q1555" t="s">
        <v>6694</v>
      </c>
      <c r="W1555" t="s">
        <v>6720</v>
      </c>
    </row>
    <row r="1556" spans="1:23" ht="15.6" x14ac:dyDescent="0.4">
      <c r="A1556" s="2" t="s">
        <v>411</v>
      </c>
      <c r="B1556" s="5" t="s">
        <v>8030</v>
      </c>
      <c r="C1556" s="7" t="s">
        <v>12556</v>
      </c>
      <c r="D1556" s="8">
        <f t="shared" si="100"/>
        <v>0</v>
      </c>
      <c r="E1556" s="7" t="s">
        <v>12557</v>
      </c>
      <c r="F1556" s="7">
        <f t="shared" si="101"/>
        <v>1</v>
      </c>
      <c r="G1556" s="7" t="s">
        <v>12558</v>
      </c>
      <c r="H1556" s="7">
        <f t="shared" si="102"/>
        <v>0</v>
      </c>
      <c r="I1556" s="7" t="str" cm="1">
        <f t="array" ref="I1556">IFERROR(_xlfn.IFS(M1556="נח",1,M1556="נע ונח",1,M1556="שני שווא נח",2,M1556="שני שוואים בסוף מילה",2,M1556="שני שוואים ברצף",1),"0")</f>
        <v>0</v>
      </c>
      <c r="J1556" s="9">
        <f t="shared" si="103"/>
        <v>2</v>
      </c>
      <c r="K1556" t="s">
        <v>6698</v>
      </c>
      <c r="L1556" t="s">
        <v>6695</v>
      </c>
      <c r="N1556" t="s">
        <v>6706</v>
      </c>
      <c r="O1556" t="s">
        <v>6694</v>
      </c>
      <c r="P1556" t="s">
        <v>6694</v>
      </c>
      <c r="W1556" t="s">
        <v>6720</v>
      </c>
    </row>
    <row r="1557" spans="1:23" ht="15.6" x14ac:dyDescent="0.4">
      <c r="A1557" s="2" t="s">
        <v>1775</v>
      </c>
      <c r="B1557" s="5" t="s">
        <v>8031</v>
      </c>
      <c r="C1557" s="7" t="s">
        <v>12556</v>
      </c>
      <c r="D1557" s="8">
        <f t="shared" si="100"/>
        <v>0</v>
      </c>
      <c r="E1557" s="7" t="s">
        <v>12557</v>
      </c>
      <c r="F1557" s="7">
        <f t="shared" si="101"/>
        <v>1</v>
      </c>
      <c r="G1557" s="7" t="s">
        <v>12558</v>
      </c>
      <c r="H1557" s="7">
        <f t="shared" si="102"/>
        <v>0</v>
      </c>
      <c r="I1557" s="7" t="str" cm="1">
        <f t="array" ref="I1557">IFERROR(_xlfn.IFS(M1557="נח",1,M1557="נע ונח",1,M1557="שני שווא נח",2,M1557="שני שוואים בסוף מילה",2,M1557="שני שוואים ברצף",1),"0")</f>
        <v>0</v>
      </c>
      <c r="J1557" s="9">
        <f t="shared" si="103"/>
        <v>4</v>
      </c>
      <c r="K1557" t="s">
        <v>6697</v>
      </c>
      <c r="L1557" t="s">
        <v>6695</v>
      </c>
      <c r="N1557" t="s">
        <v>6707</v>
      </c>
      <c r="O1557" t="s">
        <v>6694</v>
      </c>
      <c r="P1557" t="s">
        <v>6694</v>
      </c>
      <c r="Q1557" t="s">
        <v>6694</v>
      </c>
      <c r="W1557" t="s">
        <v>6720</v>
      </c>
    </row>
    <row r="1558" spans="1:23" ht="15.6" x14ac:dyDescent="0.4">
      <c r="A1558" s="2" t="s">
        <v>440</v>
      </c>
      <c r="B1558" s="5" t="s">
        <v>8032</v>
      </c>
      <c r="C1558" s="7" t="s">
        <v>12556</v>
      </c>
      <c r="D1558" s="8">
        <f t="shared" si="100"/>
        <v>0</v>
      </c>
      <c r="E1558" s="7" t="s">
        <v>12557</v>
      </c>
      <c r="F1558" s="7">
        <f t="shared" si="101"/>
        <v>1</v>
      </c>
      <c r="G1558" s="7" t="s">
        <v>12558</v>
      </c>
      <c r="H1558" s="7">
        <f t="shared" si="102"/>
        <v>0</v>
      </c>
      <c r="I1558" s="7" t="str" cm="1">
        <f t="array" ref="I1558">IFERROR(_xlfn.IFS(M1558="נח",1,M1558="נע ונח",1,M1558="שני שווא נח",2,M1558="שני שוואים בסוף מילה",2,M1558="שני שוואים ברצף",1),"0")</f>
        <v>0</v>
      </c>
      <c r="J1558" s="9">
        <f t="shared" si="103"/>
        <v>3</v>
      </c>
      <c r="K1558" t="s">
        <v>6698</v>
      </c>
      <c r="L1558" t="s">
        <v>6695</v>
      </c>
      <c r="P1558" t="s">
        <v>6694</v>
      </c>
      <c r="Q1558" t="s">
        <v>6694</v>
      </c>
      <c r="V1558" t="s">
        <v>6694</v>
      </c>
      <c r="W1558" t="s">
        <v>6720</v>
      </c>
    </row>
    <row r="1559" spans="1:23" ht="15.6" x14ac:dyDescent="0.4">
      <c r="A1559" s="2" t="s">
        <v>487</v>
      </c>
      <c r="B1559" s="5" t="s">
        <v>8033</v>
      </c>
      <c r="C1559" s="7" t="s">
        <v>12556</v>
      </c>
      <c r="D1559" s="8">
        <f t="shared" si="100"/>
        <v>0</v>
      </c>
      <c r="E1559" s="7" t="s">
        <v>12557</v>
      </c>
      <c r="F1559" s="7">
        <f t="shared" si="101"/>
        <v>1</v>
      </c>
      <c r="G1559" s="7" t="s">
        <v>12558</v>
      </c>
      <c r="H1559" s="7">
        <f t="shared" si="102"/>
        <v>0</v>
      </c>
      <c r="I1559" s="7" t="str" cm="1">
        <f t="array" ref="I1559">IFERROR(_xlfn.IFS(M1559="נח",1,M1559="נע ונח",1,M1559="שני שווא נח",2,M1559="שני שוואים בסוף מילה",2,M1559="שני שוואים ברצף",1),"0")</f>
        <v>0</v>
      </c>
      <c r="J1559" s="9">
        <f t="shared" si="103"/>
        <v>2</v>
      </c>
      <c r="K1559" t="s">
        <v>6698</v>
      </c>
      <c r="L1559" t="s">
        <v>6695</v>
      </c>
      <c r="P1559" t="s">
        <v>6694</v>
      </c>
      <c r="V1559" t="s">
        <v>6694</v>
      </c>
      <c r="W1559" t="s">
        <v>6720</v>
      </c>
    </row>
    <row r="1560" spans="1:23" ht="15.6" x14ac:dyDescent="0.4">
      <c r="A1560" s="2" t="s">
        <v>718</v>
      </c>
      <c r="B1560" s="5" t="s">
        <v>8034</v>
      </c>
      <c r="C1560" s="7" t="s">
        <v>12556</v>
      </c>
      <c r="D1560" s="8">
        <f t="shared" si="100"/>
        <v>0</v>
      </c>
      <c r="E1560" s="7" t="s">
        <v>12557</v>
      </c>
      <c r="F1560" s="7">
        <f t="shared" si="101"/>
        <v>1</v>
      </c>
      <c r="G1560" s="7" t="s">
        <v>12558</v>
      </c>
      <c r="H1560" s="7">
        <f t="shared" si="102"/>
        <v>0</v>
      </c>
      <c r="I1560" s="7" cm="1">
        <f t="array" ref="I1560">IFERROR(_xlfn.IFS(M1560="נח",1,M1560="נע ונח",1,M1560="שני שווא נח",2,M1560="שני שוואים בסוף מילה",2,M1560="שני שוואים ברצף",1),"0")</f>
        <v>1</v>
      </c>
      <c r="J1560" s="9">
        <f t="shared" si="103"/>
        <v>3</v>
      </c>
      <c r="K1560" t="s">
        <v>6698</v>
      </c>
      <c r="L1560" t="s">
        <v>6694</v>
      </c>
      <c r="M1560" t="s">
        <v>6705</v>
      </c>
      <c r="P1560" t="s">
        <v>6694</v>
      </c>
      <c r="S1560" t="s">
        <v>6694</v>
      </c>
      <c r="W1560" t="s">
        <v>6720</v>
      </c>
    </row>
    <row r="1561" spans="1:23" ht="15.6" x14ac:dyDescent="0.4">
      <c r="A1561" s="2" t="s">
        <v>4780</v>
      </c>
      <c r="B1561" s="5" t="s">
        <v>8035</v>
      </c>
      <c r="C1561" s="7" t="s">
        <v>12556</v>
      </c>
      <c r="D1561" s="8">
        <f t="shared" si="100"/>
        <v>0</v>
      </c>
      <c r="E1561" s="7" t="s">
        <v>12557</v>
      </c>
      <c r="F1561" s="7">
        <f t="shared" si="101"/>
        <v>2</v>
      </c>
      <c r="G1561" s="7" t="s">
        <v>12558</v>
      </c>
      <c r="H1561" s="7">
        <f t="shared" si="102"/>
        <v>1</v>
      </c>
      <c r="I1561" s="7" cm="1">
        <f t="array" ref="I1561">IFERROR(_xlfn.IFS(M1561="נח",1,M1561="נע ונח",1,M1561="שני שווא נח",2,M1561="שני שוואים בסוף מילה",2,M1561="שני שוואים ברצף",1),"0")</f>
        <v>1</v>
      </c>
      <c r="J1561" s="9">
        <f t="shared" si="103"/>
        <v>3</v>
      </c>
      <c r="K1561" t="s">
        <v>6698</v>
      </c>
      <c r="L1561" t="s">
        <v>6694</v>
      </c>
      <c r="M1561" t="s">
        <v>6705</v>
      </c>
      <c r="P1561" t="s">
        <v>6694</v>
      </c>
      <c r="S1561" t="s">
        <v>6694</v>
      </c>
      <c r="U1561" t="s">
        <v>6694</v>
      </c>
      <c r="W1561" t="s">
        <v>6720</v>
      </c>
    </row>
    <row r="1562" spans="1:23" ht="15.6" x14ac:dyDescent="0.4">
      <c r="A1562" s="2" t="s">
        <v>2582</v>
      </c>
      <c r="B1562" s="5" t="s">
        <v>8036</v>
      </c>
      <c r="C1562" s="7" t="s">
        <v>12556</v>
      </c>
      <c r="D1562" s="8">
        <f t="shared" si="100"/>
        <v>0</v>
      </c>
      <c r="E1562" s="7" t="s">
        <v>12557</v>
      </c>
      <c r="F1562" s="7">
        <f t="shared" si="101"/>
        <v>1</v>
      </c>
      <c r="G1562" s="7" t="s">
        <v>12558</v>
      </c>
      <c r="H1562" s="7">
        <f t="shared" si="102"/>
        <v>0</v>
      </c>
      <c r="I1562" s="7" t="str" cm="1">
        <f t="array" ref="I1562">IFERROR(_xlfn.IFS(M1562="נח",1,M1562="נע ונח",1,M1562="שני שווא נח",2,M1562="שני שוואים בסוף מילה",2,M1562="שני שוואים ברצף",1),"0")</f>
        <v>0</v>
      </c>
      <c r="J1562" s="9">
        <f t="shared" si="103"/>
        <v>3</v>
      </c>
      <c r="K1562" t="s">
        <v>6698</v>
      </c>
      <c r="L1562" t="s">
        <v>6695</v>
      </c>
      <c r="O1562" t="s">
        <v>6694</v>
      </c>
      <c r="P1562" t="s">
        <v>6694</v>
      </c>
      <c r="V1562" t="s">
        <v>6694</v>
      </c>
      <c r="W1562" t="s">
        <v>6720</v>
      </c>
    </row>
    <row r="1563" spans="1:23" ht="15.6" x14ac:dyDescent="0.4">
      <c r="A1563" s="2" t="s">
        <v>3220</v>
      </c>
      <c r="B1563" s="5" t="s">
        <v>8037</v>
      </c>
      <c r="C1563" s="7" t="s">
        <v>12556</v>
      </c>
      <c r="D1563" s="8">
        <f t="shared" si="100"/>
        <v>0</v>
      </c>
      <c r="E1563" s="7" t="s">
        <v>12557</v>
      </c>
      <c r="F1563" s="7">
        <f t="shared" si="101"/>
        <v>1</v>
      </c>
      <c r="G1563" s="7" t="s">
        <v>12558</v>
      </c>
      <c r="H1563" s="7">
        <f t="shared" si="102"/>
        <v>0</v>
      </c>
      <c r="I1563" s="7" t="str" cm="1">
        <f t="array" ref="I1563">IFERROR(_xlfn.IFS(M1563="נח",1,M1563="נע ונח",1,M1563="שני שווא נח",2,M1563="שני שוואים בסוף מילה",2,M1563="שני שוואים ברצף",1),"0")</f>
        <v>0</v>
      </c>
      <c r="J1563" s="9">
        <f t="shared" si="103"/>
        <v>2</v>
      </c>
      <c r="K1563" t="s">
        <v>6698</v>
      </c>
      <c r="L1563" t="s">
        <v>6695</v>
      </c>
      <c r="P1563" t="s">
        <v>6694</v>
      </c>
      <c r="V1563" t="s">
        <v>6694</v>
      </c>
      <c r="W1563" t="s">
        <v>6720</v>
      </c>
    </row>
    <row r="1564" spans="1:23" ht="15.6" x14ac:dyDescent="0.4">
      <c r="A1564" s="2" t="s">
        <v>1301</v>
      </c>
      <c r="B1564" s="5" t="s">
        <v>8038</v>
      </c>
      <c r="C1564" s="7" t="s">
        <v>12556</v>
      </c>
      <c r="D1564" s="8">
        <f t="shared" si="100"/>
        <v>0</v>
      </c>
      <c r="E1564" s="7" t="s">
        <v>12557</v>
      </c>
      <c r="F1564" s="7">
        <f t="shared" si="101"/>
        <v>0</v>
      </c>
      <c r="G1564" s="7" t="s">
        <v>12558</v>
      </c>
      <c r="H1564" s="7">
        <f t="shared" si="102"/>
        <v>0</v>
      </c>
      <c r="I1564" s="7" t="str" cm="1">
        <f t="array" ref="I1564">IFERROR(_xlfn.IFS(M1564="נח",1,M1564="נע ונח",1,M1564="שני שווא נח",2,M1564="שני שוואים בסוף מילה",2,M1564="שני שוואים ברצף",1),"0")</f>
        <v>0</v>
      </c>
      <c r="J1564" s="9">
        <f t="shared" si="103"/>
        <v>3</v>
      </c>
      <c r="K1564" t="s">
        <v>6697</v>
      </c>
      <c r="L1564" t="s">
        <v>6694</v>
      </c>
      <c r="M1564" t="s">
        <v>6703</v>
      </c>
      <c r="P1564" t="s">
        <v>6694</v>
      </c>
      <c r="S1564" t="s">
        <v>6694</v>
      </c>
      <c r="W1564" t="s">
        <v>6720</v>
      </c>
    </row>
    <row r="1565" spans="1:23" ht="15.6" x14ac:dyDescent="0.4">
      <c r="A1565" s="2" t="s">
        <v>1009</v>
      </c>
      <c r="B1565" s="5" t="s">
        <v>8039</v>
      </c>
      <c r="C1565" s="7" t="s">
        <v>12556</v>
      </c>
      <c r="D1565" s="8">
        <f t="shared" si="100"/>
        <v>0</v>
      </c>
      <c r="E1565" s="7" t="s">
        <v>12557</v>
      </c>
      <c r="F1565" s="7">
        <f t="shared" si="101"/>
        <v>1</v>
      </c>
      <c r="G1565" s="7" t="s">
        <v>12558</v>
      </c>
      <c r="H1565" s="7">
        <f t="shared" si="102"/>
        <v>1</v>
      </c>
      <c r="I1565" s="7" t="str" cm="1">
        <f t="array" ref="I1565">IFERROR(_xlfn.IFS(M1565="נח",1,M1565="נע ונח",1,M1565="שני שווא נח",2,M1565="שני שוואים בסוף מילה",2,M1565="שני שוואים ברצף",1),"0")</f>
        <v>0</v>
      </c>
      <c r="J1565" s="9">
        <f t="shared" si="103"/>
        <v>3</v>
      </c>
      <c r="K1565" t="s">
        <v>6697</v>
      </c>
      <c r="L1565" t="s">
        <v>6694</v>
      </c>
      <c r="M1565" t="s">
        <v>6703</v>
      </c>
      <c r="P1565" t="s">
        <v>6694</v>
      </c>
      <c r="U1565" t="s">
        <v>6694</v>
      </c>
      <c r="W1565" t="s">
        <v>6720</v>
      </c>
    </row>
    <row r="1566" spans="1:23" ht="15.6" x14ac:dyDescent="0.4">
      <c r="A1566" s="2" t="s">
        <v>1407</v>
      </c>
      <c r="B1566" s="5" t="s">
        <v>8040</v>
      </c>
      <c r="C1566" s="7" t="s">
        <v>12556</v>
      </c>
      <c r="D1566" s="8">
        <f t="shared" si="100"/>
        <v>0</v>
      </c>
      <c r="E1566" s="7" t="s">
        <v>12557</v>
      </c>
      <c r="F1566" s="7">
        <f t="shared" si="101"/>
        <v>2</v>
      </c>
      <c r="G1566" s="7" t="s">
        <v>12558</v>
      </c>
      <c r="H1566" s="7">
        <f t="shared" si="102"/>
        <v>2</v>
      </c>
      <c r="I1566" s="7" t="str" cm="1">
        <f t="array" ref="I1566">IFERROR(_xlfn.IFS(M1566="נח",1,M1566="נע ונח",1,M1566="שני שווא נח",2,M1566="שני שוואים בסוף מילה",2,M1566="שני שוואים ברצף",1),"0")</f>
        <v>0</v>
      </c>
      <c r="J1566" s="9">
        <f t="shared" si="103"/>
        <v>4</v>
      </c>
      <c r="K1566" t="s">
        <v>6697</v>
      </c>
      <c r="L1566" t="s">
        <v>6694</v>
      </c>
      <c r="M1566" t="s">
        <v>6703</v>
      </c>
      <c r="P1566" t="s">
        <v>6694</v>
      </c>
      <c r="U1566" t="s">
        <v>6694</v>
      </c>
      <c r="W1566" t="s">
        <v>6720</v>
      </c>
    </row>
    <row r="1567" spans="1:23" ht="15.6" x14ac:dyDescent="0.4">
      <c r="A1567" s="2" t="s">
        <v>1014</v>
      </c>
      <c r="B1567" s="5" t="s">
        <v>8041</v>
      </c>
      <c r="C1567" s="7" t="s">
        <v>12556</v>
      </c>
      <c r="D1567" s="8">
        <f t="shared" si="100"/>
        <v>0</v>
      </c>
      <c r="E1567" s="7" t="s">
        <v>12557</v>
      </c>
      <c r="F1567" s="7">
        <f t="shared" si="101"/>
        <v>2</v>
      </c>
      <c r="G1567" s="7" t="s">
        <v>12558</v>
      </c>
      <c r="H1567" s="7">
        <f t="shared" si="102"/>
        <v>1</v>
      </c>
      <c r="I1567" s="7" t="str" cm="1">
        <f t="array" ref="I1567">IFERROR(_xlfn.IFS(M1567="נח",1,M1567="נע ונח",1,M1567="שני שווא נח",2,M1567="שני שוואים בסוף מילה",2,M1567="שני שוואים ברצף",1),"0")</f>
        <v>0</v>
      </c>
      <c r="J1567" s="9">
        <f t="shared" si="103"/>
        <v>4</v>
      </c>
      <c r="K1567" t="s">
        <v>6697</v>
      </c>
      <c r="L1567" t="s">
        <v>6694</v>
      </c>
      <c r="M1567" t="s">
        <v>6703</v>
      </c>
      <c r="N1567" t="s">
        <v>6706</v>
      </c>
      <c r="O1567" t="s">
        <v>6694</v>
      </c>
      <c r="P1567" t="s">
        <v>6694</v>
      </c>
      <c r="U1567" t="s">
        <v>6694</v>
      </c>
      <c r="W1567" t="s">
        <v>6720</v>
      </c>
    </row>
    <row r="1568" spans="1:23" ht="15.6" x14ac:dyDescent="0.4">
      <c r="A1568" s="2" t="s">
        <v>4930</v>
      </c>
      <c r="B1568" s="5" t="s">
        <v>8042</v>
      </c>
      <c r="C1568" s="7" t="s">
        <v>12556</v>
      </c>
      <c r="D1568" s="8">
        <f t="shared" si="100"/>
        <v>0</v>
      </c>
      <c r="E1568" s="7" t="s">
        <v>12557</v>
      </c>
      <c r="F1568" s="7">
        <f t="shared" si="101"/>
        <v>0</v>
      </c>
      <c r="G1568" s="7" t="s">
        <v>12558</v>
      </c>
      <c r="H1568" s="7">
        <f t="shared" si="102"/>
        <v>0</v>
      </c>
      <c r="I1568" s="7" cm="1">
        <f t="array" ref="I1568">IFERROR(_xlfn.IFS(M1568="נח",1,M1568="נע ונח",1,M1568="שני שווא נח",2,M1568="שני שוואים בסוף מילה",2,M1568="שני שוואים ברצף",1),"0")</f>
        <v>1</v>
      </c>
      <c r="J1568" s="9">
        <f t="shared" si="103"/>
        <v>3</v>
      </c>
      <c r="K1568" t="s">
        <v>6698</v>
      </c>
      <c r="L1568" t="s">
        <v>6694</v>
      </c>
      <c r="M1568" t="s">
        <v>6705</v>
      </c>
      <c r="N1568" t="s">
        <v>6706</v>
      </c>
      <c r="O1568" t="s">
        <v>6694</v>
      </c>
      <c r="P1568" t="s">
        <v>6694</v>
      </c>
      <c r="V1568" t="s">
        <v>6694</v>
      </c>
      <c r="W1568" t="s">
        <v>6720</v>
      </c>
    </row>
    <row r="1569" spans="1:23" ht="15.6" x14ac:dyDescent="0.4">
      <c r="A1569" s="2" t="s">
        <v>4740</v>
      </c>
      <c r="B1569" s="5" t="s">
        <v>8043</v>
      </c>
      <c r="C1569" s="7" t="s">
        <v>12556</v>
      </c>
      <c r="D1569" s="8">
        <f t="shared" si="100"/>
        <v>0</v>
      </c>
      <c r="E1569" s="7" t="s">
        <v>12557</v>
      </c>
      <c r="F1569" s="7">
        <f t="shared" si="101"/>
        <v>0</v>
      </c>
      <c r="G1569" s="7" t="s">
        <v>12558</v>
      </c>
      <c r="H1569" s="7">
        <f t="shared" si="102"/>
        <v>0</v>
      </c>
      <c r="I1569" s="7" cm="1">
        <f t="array" ref="I1569">IFERROR(_xlfn.IFS(M1569="נח",1,M1569="נע ונח",1,M1569="שני שווא נח",2,M1569="שני שוואים בסוף מילה",2,M1569="שני שוואים ברצף",1),"0")</f>
        <v>1</v>
      </c>
      <c r="J1569" s="9">
        <f t="shared" si="103"/>
        <v>4</v>
      </c>
      <c r="K1569" t="s">
        <v>6698</v>
      </c>
      <c r="L1569" t="s">
        <v>6694</v>
      </c>
      <c r="M1569" t="s">
        <v>6705</v>
      </c>
      <c r="O1569" t="s">
        <v>6694</v>
      </c>
      <c r="P1569" t="s">
        <v>6694</v>
      </c>
      <c r="S1569" t="s">
        <v>6694</v>
      </c>
      <c r="V1569" t="s">
        <v>6694</v>
      </c>
      <c r="W1569" t="s">
        <v>6720</v>
      </c>
    </row>
    <row r="1570" spans="1:23" ht="15.6" x14ac:dyDescent="0.4">
      <c r="A1570" s="2" t="s">
        <v>6588</v>
      </c>
      <c r="B1570" s="5" t="s">
        <v>8044</v>
      </c>
      <c r="C1570" s="7" t="s">
        <v>12556</v>
      </c>
      <c r="D1570" s="8">
        <f t="shared" si="100"/>
        <v>0</v>
      </c>
      <c r="E1570" s="7" t="s">
        <v>12557</v>
      </c>
      <c r="F1570" s="7">
        <f t="shared" si="101"/>
        <v>1</v>
      </c>
      <c r="G1570" s="7" t="s">
        <v>12558</v>
      </c>
      <c r="H1570" s="7">
        <f t="shared" si="102"/>
        <v>0</v>
      </c>
      <c r="I1570" s="7" cm="1">
        <f t="array" ref="I1570">IFERROR(_xlfn.IFS(M1570="נח",1,M1570="נע ונח",1,M1570="שני שווא נח",2,M1570="שני שוואים בסוף מילה",2,M1570="שני שוואים ברצף",1),"0")</f>
        <v>1</v>
      </c>
      <c r="J1570" s="9">
        <f t="shared" si="103"/>
        <v>3</v>
      </c>
      <c r="K1570" t="s">
        <v>6698</v>
      </c>
      <c r="L1570" t="s">
        <v>6694</v>
      </c>
      <c r="M1570" t="s">
        <v>6705</v>
      </c>
      <c r="O1570" t="s">
        <v>6694</v>
      </c>
      <c r="P1570" t="s">
        <v>6694</v>
      </c>
      <c r="V1570" t="s">
        <v>6694</v>
      </c>
      <c r="W1570" t="s">
        <v>6720</v>
      </c>
    </row>
    <row r="1571" spans="1:23" ht="15.6" x14ac:dyDescent="0.4">
      <c r="A1571" s="2" t="s">
        <v>1297</v>
      </c>
      <c r="B1571" s="5" t="s">
        <v>8045</v>
      </c>
      <c r="C1571" s="7" t="s">
        <v>12556</v>
      </c>
      <c r="D1571" s="8">
        <f t="shared" si="100"/>
        <v>0</v>
      </c>
      <c r="E1571" s="7" t="s">
        <v>12557</v>
      </c>
      <c r="F1571" s="7">
        <f t="shared" si="101"/>
        <v>1</v>
      </c>
      <c r="G1571" s="7" t="s">
        <v>12558</v>
      </c>
      <c r="H1571" s="7">
        <f t="shared" si="102"/>
        <v>0</v>
      </c>
      <c r="I1571" s="7" t="str" cm="1">
        <f t="array" ref="I1571">IFERROR(_xlfn.IFS(M1571="נח",1,M1571="נע ונח",1,M1571="שני שווא נח",2,M1571="שני שוואים בסוף מילה",2,M1571="שני שוואים ברצף",1),"0")</f>
        <v>0</v>
      </c>
      <c r="J1571" s="9">
        <f t="shared" si="103"/>
        <v>3</v>
      </c>
      <c r="K1571" t="s">
        <v>6697</v>
      </c>
      <c r="L1571" t="s">
        <v>6695</v>
      </c>
      <c r="P1571" t="s">
        <v>6694</v>
      </c>
      <c r="Q1571" t="s">
        <v>6694</v>
      </c>
      <c r="S1571" t="s">
        <v>6694</v>
      </c>
      <c r="W1571" t="s">
        <v>6720</v>
      </c>
    </row>
    <row r="1572" spans="1:23" ht="15.6" x14ac:dyDescent="0.4">
      <c r="A1572" s="2" t="s">
        <v>5734</v>
      </c>
      <c r="B1572" s="5" t="s">
        <v>8046</v>
      </c>
      <c r="C1572" s="7" t="s">
        <v>12556</v>
      </c>
      <c r="D1572" s="8">
        <f t="shared" si="100"/>
        <v>0</v>
      </c>
      <c r="E1572" s="7" t="s">
        <v>12557</v>
      </c>
      <c r="F1572" s="7">
        <f t="shared" si="101"/>
        <v>1</v>
      </c>
      <c r="G1572" s="7" t="s">
        <v>12558</v>
      </c>
      <c r="H1572" s="7">
        <f t="shared" si="102"/>
        <v>0</v>
      </c>
      <c r="I1572" s="7" cm="1">
        <f t="array" ref="I1572">IFERROR(_xlfn.IFS(M1572="נח",1,M1572="נע ונח",1,M1572="שני שווא נח",2,M1572="שני שוואים בסוף מילה",2,M1572="שני שוואים ברצף",1),"0")</f>
        <v>1</v>
      </c>
      <c r="J1572" s="9">
        <f t="shared" si="103"/>
        <v>3</v>
      </c>
      <c r="K1572" t="s">
        <v>6697</v>
      </c>
      <c r="L1572" t="s">
        <v>6694</v>
      </c>
      <c r="M1572" t="s">
        <v>6705</v>
      </c>
      <c r="O1572" t="s">
        <v>6694</v>
      </c>
      <c r="P1572" t="s">
        <v>6694</v>
      </c>
      <c r="W1572" t="s">
        <v>6720</v>
      </c>
    </row>
    <row r="1573" spans="1:23" ht="15.6" x14ac:dyDescent="0.4">
      <c r="A1573" s="2" t="s">
        <v>2043</v>
      </c>
      <c r="B1573" s="5" t="s">
        <v>8047</v>
      </c>
      <c r="C1573" s="7" t="s">
        <v>12556</v>
      </c>
      <c r="D1573" s="8">
        <f t="shared" si="100"/>
        <v>0</v>
      </c>
      <c r="E1573" s="7" t="s">
        <v>12557</v>
      </c>
      <c r="F1573" s="7">
        <f t="shared" si="101"/>
        <v>1</v>
      </c>
      <c r="G1573" s="7" t="s">
        <v>12558</v>
      </c>
      <c r="H1573" s="7">
        <f t="shared" si="102"/>
        <v>0</v>
      </c>
      <c r="I1573" s="7" cm="1">
        <f t="array" ref="I1573">IFERROR(_xlfn.IFS(M1573="נח",1,M1573="נע ונח",1,M1573="שני שווא נח",2,M1573="שני שוואים בסוף מילה",2,M1573="שני שוואים ברצף",1),"0")</f>
        <v>2</v>
      </c>
      <c r="J1573" s="9">
        <f t="shared" si="103"/>
        <v>4</v>
      </c>
      <c r="K1573" t="s">
        <v>6697</v>
      </c>
      <c r="L1573" t="s">
        <v>6694</v>
      </c>
      <c r="M1573" t="s">
        <v>6704</v>
      </c>
      <c r="P1573" t="s">
        <v>6694</v>
      </c>
      <c r="Q1573" t="s">
        <v>6694</v>
      </c>
      <c r="S1573" t="s">
        <v>6694</v>
      </c>
      <c r="W1573" t="s">
        <v>6720</v>
      </c>
    </row>
    <row r="1574" spans="1:23" ht="15.6" x14ac:dyDescent="0.4">
      <c r="A1574" s="2" t="s">
        <v>4509</v>
      </c>
      <c r="B1574" s="5" t="s">
        <v>8048</v>
      </c>
      <c r="C1574" s="7" t="s">
        <v>12556</v>
      </c>
      <c r="D1574" s="8">
        <f t="shared" si="100"/>
        <v>1</v>
      </c>
      <c r="E1574" s="7" t="s">
        <v>12557</v>
      </c>
      <c r="F1574" s="7">
        <f t="shared" si="101"/>
        <v>1</v>
      </c>
      <c r="G1574" s="7" t="s">
        <v>12558</v>
      </c>
      <c r="H1574" s="7">
        <f t="shared" si="102"/>
        <v>0</v>
      </c>
      <c r="I1574" s="7" cm="1">
        <f t="array" ref="I1574">IFERROR(_xlfn.IFS(M1574="נח",1,M1574="נע ונח",1,M1574="שני שווא נח",2,M1574="שני שוואים בסוף מילה",2,M1574="שני שוואים ברצף",1),"0")</f>
        <v>2</v>
      </c>
      <c r="J1574" s="9">
        <f t="shared" si="103"/>
        <v>3</v>
      </c>
      <c r="K1574" t="s">
        <v>6698</v>
      </c>
      <c r="L1574" t="s">
        <v>6694</v>
      </c>
      <c r="M1574" t="s">
        <v>6704</v>
      </c>
      <c r="P1574" t="s">
        <v>6694</v>
      </c>
      <c r="V1574" t="s">
        <v>6694</v>
      </c>
      <c r="W1574" t="s">
        <v>6720</v>
      </c>
    </row>
    <row r="1575" spans="1:23" ht="15.6" x14ac:dyDescent="0.4">
      <c r="A1575" s="2" t="s">
        <v>627</v>
      </c>
      <c r="B1575" s="5" t="s">
        <v>8049</v>
      </c>
      <c r="C1575" s="7" t="s">
        <v>12556</v>
      </c>
      <c r="D1575" s="8">
        <f t="shared" si="100"/>
        <v>0</v>
      </c>
      <c r="E1575" s="7" t="s">
        <v>12557</v>
      </c>
      <c r="F1575" s="7">
        <f t="shared" si="101"/>
        <v>1</v>
      </c>
      <c r="G1575" s="7" t="s">
        <v>12558</v>
      </c>
      <c r="H1575" s="7">
        <f t="shared" si="102"/>
        <v>0</v>
      </c>
      <c r="I1575" s="7" cm="1">
        <f t="array" ref="I1575">IFERROR(_xlfn.IFS(M1575="נח",1,M1575="נע ונח",1,M1575="שני שווא נח",2,M1575="שני שוואים בסוף מילה",2,M1575="שני שוואים ברצף",1),"0")</f>
        <v>2</v>
      </c>
      <c r="J1575" s="9">
        <f t="shared" si="103"/>
        <v>3</v>
      </c>
      <c r="K1575" t="s">
        <v>6698</v>
      </c>
      <c r="L1575" t="s">
        <v>6694</v>
      </c>
      <c r="M1575" t="s">
        <v>6704</v>
      </c>
      <c r="P1575" t="s">
        <v>6694</v>
      </c>
      <c r="Q1575" t="s">
        <v>6694</v>
      </c>
      <c r="W1575" t="s">
        <v>6720</v>
      </c>
    </row>
    <row r="1576" spans="1:23" ht="15.6" x14ac:dyDescent="0.4">
      <c r="A1576" s="2" t="s">
        <v>1371</v>
      </c>
      <c r="B1576" s="5" t="s">
        <v>8050</v>
      </c>
      <c r="C1576" s="7" t="s">
        <v>12556</v>
      </c>
      <c r="D1576" s="8">
        <f t="shared" si="100"/>
        <v>0</v>
      </c>
      <c r="E1576" s="7" t="s">
        <v>12557</v>
      </c>
      <c r="F1576" s="7">
        <f t="shared" si="101"/>
        <v>0</v>
      </c>
      <c r="G1576" s="7" t="s">
        <v>12558</v>
      </c>
      <c r="H1576" s="7">
        <f t="shared" si="102"/>
        <v>0</v>
      </c>
      <c r="I1576" s="7" cm="1">
        <f t="array" ref="I1576">IFERROR(_xlfn.IFS(M1576="נח",1,M1576="נע ונח",1,M1576="שני שווא נח",2,M1576="שני שוואים בסוף מילה",2,M1576="שני שוואים ברצף",1),"0")</f>
        <v>1</v>
      </c>
      <c r="J1576" s="9">
        <f t="shared" si="103"/>
        <v>4</v>
      </c>
      <c r="K1576" t="s">
        <v>6698</v>
      </c>
      <c r="L1576" t="s">
        <v>6694</v>
      </c>
      <c r="M1576" t="s">
        <v>6705</v>
      </c>
      <c r="P1576" t="s">
        <v>6694</v>
      </c>
      <c r="S1576" t="s">
        <v>6694</v>
      </c>
      <c r="W1576" t="s">
        <v>6720</v>
      </c>
    </row>
    <row r="1577" spans="1:23" ht="15.6" x14ac:dyDescent="0.4">
      <c r="A1577" s="2" t="s">
        <v>1354</v>
      </c>
      <c r="B1577" s="5" t="s">
        <v>8051</v>
      </c>
      <c r="C1577" s="7" t="s">
        <v>12556</v>
      </c>
      <c r="D1577" s="8">
        <f t="shared" si="100"/>
        <v>0</v>
      </c>
      <c r="E1577" s="7" t="s">
        <v>12557</v>
      </c>
      <c r="F1577" s="7">
        <f t="shared" si="101"/>
        <v>1</v>
      </c>
      <c r="G1577" s="7" t="s">
        <v>12558</v>
      </c>
      <c r="H1577" s="7">
        <f t="shared" si="102"/>
        <v>0</v>
      </c>
      <c r="I1577" s="7" cm="1">
        <f t="array" ref="I1577">IFERROR(_xlfn.IFS(M1577="נח",1,M1577="נע ונח",1,M1577="שני שווא נח",2,M1577="שני שוואים בסוף מילה",2,M1577="שני שוואים ברצף",1),"0")</f>
        <v>1</v>
      </c>
      <c r="J1577" s="9">
        <f t="shared" si="103"/>
        <v>3</v>
      </c>
      <c r="K1577" t="s">
        <v>6697</v>
      </c>
      <c r="L1577" t="s">
        <v>6694</v>
      </c>
      <c r="M1577" t="s">
        <v>6705</v>
      </c>
      <c r="P1577" t="s">
        <v>6694</v>
      </c>
      <c r="R1577" t="s">
        <v>6694</v>
      </c>
      <c r="W1577" t="s">
        <v>6720</v>
      </c>
    </row>
    <row r="1578" spans="1:23" ht="15.6" x14ac:dyDescent="0.4">
      <c r="A1578" s="2" t="s">
        <v>97</v>
      </c>
      <c r="B1578" s="5" t="s">
        <v>8052</v>
      </c>
      <c r="C1578" s="7" t="s">
        <v>12556</v>
      </c>
      <c r="D1578" s="8">
        <f t="shared" si="100"/>
        <v>0</v>
      </c>
      <c r="E1578" s="7" t="s">
        <v>12557</v>
      </c>
      <c r="F1578" s="7">
        <f t="shared" si="101"/>
        <v>1</v>
      </c>
      <c r="G1578" s="7" t="s">
        <v>12558</v>
      </c>
      <c r="H1578" s="7">
        <f t="shared" si="102"/>
        <v>0</v>
      </c>
      <c r="I1578" s="7" cm="1">
        <f t="array" ref="I1578">IFERROR(_xlfn.IFS(M1578="נח",1,M1578="נע ונח",1,M1578="שני שווא נח",2,M1578="שני שוואים בסוף מילה",2,M1578="שני שוואים ברצף",1),"0")</f>
        <v>1</v>
      </c>
      <c r="J1578" s="9">
        <f t="shared" si="103"/>
        <v>3</v>
      </c>
      <c r="K1578" t="s">
        <v>6698</v>
      </c>
      <c r="L1578" t="s">
        <v>6694</v>
      </c>
      <c r="M1578" t="s">
        <v>6705</v>
      </c>
      <c r="P1578" t="s">
        <v>6694</v>
      </c>
      <c r="Q1578" t="s">
        <v>6694</v>
      </c>
      <c r="W1578" t="s">
        <v>6720</v>
      </c>
    </row>
    <row r="1579" spans="1:23" ht="15.6" x14ac:dyDescent="0.4">
      <c r="A1579" s="2" t="s">
        <v>6501</v>
      </c>
      <c r="B1579" s="5" t="s">
        <v>8053</v>
      </c>
      <c r="C1579" s="7" t="s">
        <v>12556</v>
      </c>
      <c r="D1579" s="8">
        <f t="shared" si="100"/>
        <v>0</v>
      </c>
      <c r="E1579" s="7" t="s">
        <v>12557</v>
      </c>
      <c r="F1579" s="7">
        <f t="shared" si="101"/>
        <v>0</v>
      </c>
      <c r="G1579" s="7" t="s">
        <v>12558</v>
      </c>
      <c r="H1579" s="7">
        <f t="shared" si="102"/>
        <v>0</v>
      </c>
      <c r="I1579" s="7" cm="1">
        <f t="array" ref="I1579">IFERROR(_xlfn.IFS(M1579="נח",1,M1579="נע ונח",1,M1579="שני שווא נח",2,M1579="שני שוואים בסוף מילה",2,M1579="שני שוואים ברצף",1),"0")</f>
        <v>1</v>
      </c>
      <c r="J1579" s="9">
        <f t="shared" si="103"/>
        <v>2</v>
      </c>
      <c r="K1579" t="s">
        <v>6698</v>
      </c>
      <c r="L1579" t="s">
        <v>6694</v>
      </c>
      <c r="M1579" t="s">
        <v>6705</v>
      </c>
      <c r="P1579" t="s">
        <v>6694</v>
      </c>
      <c r="W1579" t="s">
        <v>6720</v>
      </c>
    </row>
    <row r="1580" spans="1:23" ht="15.6" x14ac:dyDescent="0.4">
      <c r="A1580" s="2" t="s">
        <v>2818</v>
      </c>
      <c r="B1580" s="5" t="s">
        <v>8054</v>
      </c>
      <c r="C1580" s="7" t="s">
        <v>12556</v>
      </c>
      <c r="D1580" s="8">
        <f t="shared" si="100"/>
        <v>0</v>
      </c>
      <c r="E1580" s="7" t="s">
        <v>12557</v>
      </c>
      <c r="F1580" s="7">
        <f t="shared" si="101"/>
        <v>1</v>
      </c>
      <c r="G1580" s="7" t="s">
        <v>12558</v>
      </c>
      <c r="H1580" s="7">
        <f t="shared" si="102"/>
        <v>0</v>
      </c>
      <c r="I1580" s="7" cm="1">
        <f t="array" ref="I1580">IFERROR(_xlfn.IFS(M1580="נח",1,M1580="נע ונח",1,M1580="שני שווא נח",2,M1580="שני שוואים בסוף מילה",2,M1580="שני שוואים ברצף",1),"0")</f>
        <v>2</v>
      </c>
      <c r="J1580" s="9">
        <f t="shared" si="103"/>
        <v>4</v>
      </c>
      <c r="K1580" t="s">
        <v>6697</v>
      </c>
      <c r="L1580" t="s">
        <v>6694</v>
      </c>
      <c r="M1580" t="s">
        <v>6704</v>
      </c>
      <c r="P1580" t="s">
        <v>6694</v>
      </c>
      <c r="Q1580" t="s">
        <v>6694</v>
      </c>
      <c r="S1580" t="s">
        <v>6694</v>
      </c>
      <c r="W1580" t="s">
        <v>6720</v>
      </c>
    </row>
    <row r="1581" spans="1:23" ht="15.6" x14ac:dyDescent="0.4">
      <c r="A1581" s="2" t="s">
        <v>621</v>
      </c>
      <c r="B1581" s="5" t="s">
        <v>8055</v>
      </c>
      <c r="C1581" s="7" t="s">
        <v>12556</v>
      </c>
      <c r="D1581" s="8">
        <f t="shared" si="100"/>
        <v>0</v>
      </c>
      <c r="E1581" s="7" t="s">
        <v>12557</v>
      </c>
      <c r="F1581" s="7">
        <f t="shared" si="101"/>
        <v>0</v>
      </c>
      <c r="G1581" s="7" t="s">
        <v>12558</v>
      </c>
      <c r="H1581" s="7">
        <f t="shared" si="102"/>
        <v>0</v>
      </c>
      <c r="I1581" s="7" cm="1">
        <f t="array" ref="I1581">IFERROR(_xlfn.IFS(M1581="נח",1,M1581="נע ונח",1,M1581="שני שווא נח",2,M1581="שני שוואים בסוף מילה",2,M1581="שני שוואים ברצף",1),"0")</f>
        <v>1</v>
      </c>
      <c r="J1581" s="9">
        <f t="shared" si="103"/>
        <v>3</v>
      </c>
      <c r="K1581" t="s">
        <v>6697</v>
      </c>
      <c r="L1581" t="s">
        <v>6694</v>
      </c>
      <c r="M1581" t="s">
        <v>6705</v>
      </c>
      <c r="O1581" t="s">
        <v>6694</v>
      </c>
      <c r="P1581" t="s">
        <v>6694</v>
      </c>
      <c r="R1581" t="s">
        <v>6694</v>
      </c>
      <c r="W1581" t="s">
        <v>6720</v>
      </c>
    </row>
    <row r="1582" spans="1:23" ht="15.6" x14ac:dyDescent="0.4">
      <c r="A1582" s="2" t="s">
        <v>659</v>
      </c>
      <c r="B1582" s="5" t="s">
        <v>8056</v>
      </c>
      <c r="C1582" s="7" t="s">
        <v>12556</v>
      </c>
      <c r="D1582" s="8">
        <f t="shared" si="100"/>
        <v>1</v>
      </c>
      <c r="E1582" s="7" t="s">
        <v>12557</v>
      </c>
      <c r="F1582" s="7">
        <f t="shared" si="101"/>
        <v>1</v>
      </c>
      <c r="G1582" s="7" t="s">
        <v>12558</v>
      </c>
      <c r="H1582" s="7">
        <f t="shared" si="102"/>
        <v>0</v>
      </c>
      <c r="I1582" s="7" cm="1">
        <f t="array" ref="I1582">IFERROR(_xlfn.IFS(M1582="נח",1,M1582="נע ונח",1,M1582="שני שווא נח",2,M1582="שני שוואים בסוף מילה",2,M1582="שני שוואים ברצף",1),"0")</f>
        <v>1</v>
      </c>
      <c r="J1582" s="9">
        <f t="shared" si="103"/>
        <v>4</v>
      </c>
      <c r="K1582" t="s">
        <v>6697</v>
      </c>
      <c r="L1582" t="s">
        <v>6694</v>
      </c>
      <c r="M1582" t="s">
        <v>6705</v>
      </c>
      <c r="N1582" t="s">
        <v>6707</v>
      </c>
      <c r="P1582" t="s">
        <v>6694</v>
      </c>
      <c r="Q1582" t="s">
        <v>6694</v>
      </c>
      <c r="W1582" t="s">
        <v>6720</v>
      </c>
    </row>
    <row r="1583" spans="1:23" ht="15.6" x14ac:dyDescent="0.4">
      <c r="A1583" s="2" t="s">
        <v>5916</v>
      </c>
      <c r="B1583" s="5" t="s">
        <v>8057</v>
      </c>
      <c r="C1583" s="7" t="s">
        <v>12556</v>
      </c>
      <c r="D1583" s="8">
        <f t="shared" si="100"/>
        <v>0</v>
      </c>
      <c r="E1583" s="7" t="s">
        <v>12557</v>
      </c>
      <c r="F1583" s="7">
        <f t="shared" si="101"/>
        <v>2</v>
      </c>
      <c r="G1583" s="7" t="s">
        <v>12558</v>
      </c>
      <c r="H1583" s="7">
        <f t="shared" si="102"/>
        <v>1</v>
      </c>
      <c r="I1583" s="7" cm="1">
        <f t="array" ref="I1583">IFERROR(_xlfn.IFS(M1583="נח",1,M1583="נע ונח",1,M1583="שני שווא נח",2,M1583="שני שוואים בסוף מילה",2,M1583="שני שוואים ברצף",1),"0")</f>
        <v>1</v>
      </c>
      <c r="J1583" s="9">
        <f t="shared" si="103"/>
        <v>3</v>
      </c>
      <c r="K1583" t="s">
        <v>6697</v>
      </c>
      <c r="L1583" t="s">
        <v>6694</v>
      </c>
      <c r="M1583" t="s">
        <v>6705</v>
      </c>
      <c r="O1583" t="s">
        <v>6694</v>
      </c>
      <c r="P1583" t="s">
        <v>6694</v>
      </c>
      <c r="U1583" t="s">
        <v>6694</v>
      </c>
      <c r="W1583" t="s">
        <v>6720</v>
      </c>
    </row>
    <row r="1584" spans="1:23" ht="15.6" x14ac:dyDescent="0.4">
      <c r="A1584" s="2" t="s">
        <v>6166</v>
      </c>
      <c r="B1584" s="5" t="s">
        <v>8058</v>
      </c>
      <c r="C1584" s="7" t="s">
        <v>12556</v>
      </c>
      <c r="D1584" s="8">
        <f t="shared" si="100"/>
        <v>0</v>
      </c>
      <c r="E1584" s="7" t="s">
        <v>12557</v>
      </c>
      <c r="F1584" s="7">
        <f t="shared" si="101"/>
        <v>2</v>
      </c>
      <c r="G1584" s="7" t="s">
        <v>12558</v>
      </c>
      <c r="H1584" s="7">
        <f t="shared" si="102"/>
        <v>0</v>
      </c>
      <c r="I1584" s="7" cm="1">
        <f t="array" ref="I1584">IFERROR(_xlfn.IFS(M1584="נח",1,M1584="נע ונח",1,M1584="שני שווא נח",2,M1584="שני שוואים בסוף מילה",2,M1584="שני שוואים ברצף",1),"0")</f>
        <v>1</v>
      </c>
      <c r="J1584" s="9">
        <f t="shared" si="103"/>
        <v>4</v>
      </c>
      <c r="K1584" t="s">
        <v>6697</v>
      </c>
      <c r="L1584" t="s">
        <v>6694</v>
      </c>
      <c r="M1584" t="s">
        <v>6705</v>
      </c>
      <c r="N1584" t="s">
        <v>6707</v>
      </c>
      <c r="P1584" t="s">
        <v>6694</v>
      </c>
      <c r="Q1584" t="s">
        <v>6694</v>
      </c>
      <c r="S1584" t="s">
        <v>6694</v>
      </c>
      <c r="W1584" t="s">
        <v>6720</v>
      </c>
    </row>
    <row r="1585" spans="1:23" ht="15.6" x14ac:dyDescent="0.4">
      <c r="A1585" s="2" t="s">
        <v>2212</v>
      </c>
      <c r="B1585" s="5" t="s">
        <v>8059</v>
      </c>
      <c r="C1585" s="7" t="s">
        <v>12556</v>
      </c>
      <c r="D1585" s="8">
        <f t="shared" si="100"/>
        <v>0</v>
      </c>
      <c r="E1585" s="7" t="s">
        <v>12557</v>
      </c>
      <c r="F1585" s="7">
        <f t="shared" si="101"/>
        <v>1</v>
      </c>
      <c r="G1585" s="7" t="s">
        <v>12558</v>
      </c>
      <c r="H1585" s="7">
        <f t="shared" si="102"/>
        <v>0</v>
      </c>
      <c r="I1585" s="7" t="str" cm="1">
        <f t="array" ref="I1585">IFERROR(_xlfn.IFS(M1585="נח",1,M1585="נע ונח",1,M1585="שני שווא נח",2,M1585="שני שוואים בסוף מילה",2,M1585="שני שוואים ברצף",1),"0")</f>
        <v>0</v>
      </c>
      <c r="J1585" s="9">
        <f t="shared" si="103"/>
        <v>6</v>
      </c>
      <c r="K1585" t="s">
        <v>6698</v>
      </c>
      <c r="L1585" t="s">
        <v>6694</v>
      </c>
      <c r="M1585" t="s">
        <v>6703</v>
      </c>
      <c r="P1585" t="s">
        <v>6694</v>
      </c>
      <c r="S1585" t="s">
        <v>6694</v>
      </c>
      <c r="W1585" t="s">
        <v>6720</v>
      </c>
    </row>
    <row r="1586" spans="1:23" ht="15.6" x14ac:dyDescent="0.4">
      <c r="A1586" s="2" t="s">
        <v>443</v>
      </c>
      <c r="B1586" s="5" t="s">
        <v>8060</v>
      </c>
      <c r="C1586" s="7" t="s">
        <v>12556</v>
      </c>
      <c r="D1586" s="8">
        <f t="shared" si="100"/>
        <v>0</v>
      </c>
      <c r="E1586" s="7" t="s">
        <v>12557</v>
      </c>
      <c r="F1586" s="7">
        <f t="shared" si="101"/>
        <v>1</v>
      </c>
      <c r="G1586" s="7" t="s">
        <v>12558</v>
      </c>
      <c r="H1586" s="7">
        <f t="shared" si="102"/>
        <v>0</v>
      </c>
      <c r="I1586" s="7" t="str" cm="1">
        <f t="array" ref="I1586">IFERROR(_xlfn.IFS(M1586="נח",1,M1586="נע ונח",1,M1586="שני שווא נח",2,M1586="שני שוואים בסוף מילה",2,M1586="שני שוואים ברצף",1),"0")</f>
        <v>0</v>
      </c>
      <c r="J1586" s="9">
        <f t="shared" si="103"/>
        <v>3</v>
      </c>
      <c r="K1586" t="s">
        <v>6698</v>
      </c>
      <c r="L1586" t="s">
        <v>6695</v>
      </c>
      <c r="P1586" t="s">
        <v>6694</v>
      </c>
      <c r="Q1586" t="s">
        <v>6694</v>
      </c>
      <c r="S1586" t="s">
        <v>6694</v>
      </c>
      <c r="W1586" t="s">
        <v>6720</v>
      </c>
    </row>
    <row r="1587" spans="1:23" ht="15.6" x14ac:dyDescent="0.4">
      <c r="A1587" s="2" t="s">
        <v>1356</v>
      </c>
      <c r="B1587" s="5" t="s">
        <v>8061</v>
      </c>
      <c r="C1587" s="7" t="s">
        <v>12556</v>
      </c>
      <c r="D1587" s="8">
        <f t="shared" si="100"/>
        <v>0</v>
      </c>
      <c r="E1587" s="7" t="s">
        <v>12557</v>
      </c>
      <c r="F1587" s="7">
        <f t="shared" si="101"/>
        <v>1</v>
      </c>
      <c r="G1587" s="7" t="s">
        <v>12558</v>
      </c>
      <c r="H1587" s="7">
        <f t="shared" si="102"/>
        <v>0</v>
      </c>
      <c r="I1587" s="7" t="str" cm="1">
        <f t="array" ref="I1587">IFERROR(_xlfn.IFS(M1587="נח",1,M1587="נע ונח",1,M1587="שני שווא נח",2,M1587="שני שוואים בסוף מילה",2,M1587="שני שוואים ברצף",1),"0")</f>
        <v>0</v>
      </c>
      <c r="J1587" s="9">
        <f t="shared" si="103"/>
        <v>3</v>
      </c>
      <c r="K1587" t="s">
        <v>6698</v>
      </c>
      <c r="L1587" t="s">
        <v>6695</v>
      </c>
      <c r="P1587" t="s">
        <v>6694</v>
      </c>
      <c r="Q1587" t="s">
        <v>6694</v>
      </c>
      <c r="S1587" t="s">
        <v>6694</v>
      </c>
      <c r="W1587" t="s">
        <v>6720</v>
      </c>
    </row>
    <row r="1588" spans="1:23" ht="15.6" x14ac:dyDescent="0.4">
      <c r="A1588" s="2" t="s">
        <v>1704</v>
      </c>
      <c r="B1588" s="5" t="s">
        <v>8062</v>
      </c>
      <c r="C1588" s="7" t="s">
        <v>12556</v>
      </c>
      <c r="D1588" s="8">
        <f t="shared" si="100"/>
        <v>0</v>
      </c>
      <c r="E1588" s="7" t="s">
        <v>12557</v>
      </c>
      <c r="F1588" s="7">
        <f t="shared" si="101"/>
        <v>1</v>
      </c>
      <c r="G1588" s="7" t="s">
        <v>12558</v>
      </c>
      <c r="H1588" s="7">
        <f t="shared" si="102"/>
        <v>0</v>
      </c>
      <c r="I1588" s="7" t="str" cm="1">
        <f t="array" ref="I1588">IFERROR(_xlfn.IFS(M1588="נח",1,M1588="נע ונח",1,M1588="שני שווא נח",2,M1588="שני שוואים בסוף מילה",2,M1588="שני שוואים ברצף",1),"0")</f>
        <v>0</v>
      </c>
      <c r="J1588" s="9">
        <f t="shared" si="103"/>
        <v>3</v>
      </c>
      <c r="K1588" t="s">
        <v>6698</v>
      </c>
      <c r="L1588" t="s">
        <v>6695</v>
      </c>
      <c r="P1588" t="s">
        <v>6694</v>
      </c>
      <c r="Q1588" t="s">
        <v>6694</v>
      </c>
      <c r="W1588" t="s">
        <v>6720</v>
      </c>
    </row>
    <row r="1589" spans="1:23" ht="15.6" x14ac:dyDescent="0.4">
      <c r="A1589" s="2" t="s">
        <v>5196</v>
      </c>
      <c r="B1589" s="5" t="s">
        <v>8063</v>
      </c>
      <c r="C1589" s="7" t="s">
        <v>12556</v>
      </c>
      <c r="D1589" s="8">
        <f t="shared" si="100"/>
        <v>0</v>
      </c>
      <c r="E1589" s="7" t="s">
        <v>12557</v>
      </c>
      <c r="F1589" s="7">
        <f t="shared" si="101"/>
        <v>1</v>
      </c>
      <c r="G1589" s="7" t="s">
        <v>12558</v>
      </c>
      <c r="H1589" s="7">
        <f t="shared" si="102"/>
        <v>0</v>
      </c>
      <c r="I1589" s="7" t="str" cm="1">
        <f t="array" ref="I1589">IFERROR(_xlfn.IFS(M1589="נח",1,M1589="נע ונח",1,M1589="שני שווא נח",2,M1589="שני שוואים בסוף מילה",2,M1589="שני שוואים ברצף",1),"0")</f>
        <v>0</v>
      </c>
      <c r="J1589" s="9">
        <f t="shared" si="103"/>
        <v>3</v>
      </c>
      <c r="K1589" t="s">
        <v>6698</v>
      </c>
      <c r="L1589" t="s">
        <v>6695</v>
      </c>
      <c r="P1589" t="s">
        <v>6694</v>
      </c>
      <c r="Q1589" t="s">
        <v>6694</v>
      </c>
      <c r="S1589" t="s">
        <v>6694</v>
      </c>
      <c r="W1589" t="s">
        <v>6720</v>
      </c>
    </row>
    <row r="1590" spans="1:23" ht="15.6" x14ac:dyDescent="0.4">
      <c r="A1590" s="2" t="s">
        <v>444</v>
      </c>
      <c r="B1590" s="5" t="s">
        <v>8064</v>
      </c>
      <c r="C1590" s="7" t="s">
        <v>12556</v>
      </c>
      <c r="D1590" s="8">
        <f t="shared" si="100"/>
        <v>0</v>
      </c>
      <c r="E1590" s="7" t="s">
        <v>12557</v>
      </c>
      <c r="F1590" s="7">
        <f t="shared" si="101"/>
        <v>1</v>
      </c>
      <c r="G1590" s="7" t="s">
        <v>12558</v>
      </c>
      <c r="H1590" s="7">
        <f t="shared" si="102"/>
        <v>0</v>
      </c>
      <c r="I1590" s="7" cm="1">
        <f t="array" ref="I1590">IFERROR(_xlfn.IFS(M1590="נח",1,M1590="נע ונח",1,M1590="שני שווא נח",2,M1590="שני שוואים בסוף מילה",2,M1590="שני שוואים ברצף",1),"0")</f>
        <v>1</v>
      </c>
      <c r="J1590" s="9">
        <f t="shared" si="103"/>
        <v>3</v>
      </c>
      <c r="K1590" t="s">
        <v>6698</v>
      </c>
      <c r="L1590" t="s">
        <v>6694</v>
      </c>
      <c r="M1590" t="s">
        <v>6705</v>
      </c>
      <c r="P1590" t="s">
        <v>6694</v>
      </c>
      <c r="R1590" t="s">
        <v>6694</v>
      </c>
      <c r="W1590" t="s">
        <v>6720</v>
      </c>
    </row>
    <row r="1591" spans="1:23" ht="15.6" x14ac:dyDescent="0.4">
      <c r="A1591" s="2" t="s">
        <v>1223</v>
      </c>
      <c r="B1591" s="5" t="s">
        <v>8065</v>
      </c>
      <c r="C1591" s="7" t="s">
        <v>12556</v>
      </c>
      <c r="D1591" s="8">
        <f t="shared" si="100"/>
        <v>0</v>
      </c>
      <c r="E1591" s="7" t="s">
        <v>12557</v>
      </c>
      <c r="F1591" s="7">
        <f t="shared" si="101"/>
        <v>2</v>
      </c>
      <c r="G1591" s="7" t="s">
        <v>12558</v>
      </c>
      <c r="H1591" s="7">
        <f t="shared" si="102"/>
        <v>0</v>
      </c>
      <c r="I1591" s="7" cm="1">
        <f t="array" ref="I1591">IFERROR(_xlfn.IFS(M1591="נח",1,M1591="נע ונח",1,M1591="שני שווא נח",2,M1591="שני שוואים בסוף מילה",2,M1591="שני שוואים ברצף",1),"0")</f>
        <v>1</v>
      </c>
      <c r="J1591" s="9">
        <f t="shared" si="103"/>
        <v>4</v>
      </c>
      <c r="K1591" t="s">
        <v>6697</v>
      </c>
      <c r="L1591" t="s">
        <v>6694</v>
      </c>
      <c r="M1591" t="s">
        <v>6705</v>
      </c>
      <c r="P1591" t="s">
        <v>6694</v>
      </c>
      <c r="S1591" t="s">
        <v>6694</v>
      </c>
      <c r="W1591" t="s">
        <v>6720</v>
      </c>
    </row>
    <row r="1592" spans="1:23" ht="15.6" x14ac:dyDescent="0.4">
      <c r="A1592" s="2" t="s">
        <v>2111</v>
      </c>
      <c r="B1592" s="5" t="s">
        <v>8066</v>
      </c>
      <c r="C1592" s="7" t="s">
        <v>12556</v>
      </c>
      <c r="D1592" s="8">
        <f t="shared" si="100"/>
        <v>0</v>
      </c>
      <c r="E1592" s="7" t="s">
        <v>12557</v>
      </c>
      <c r="F1592" s="7">
        <f t="shared" si="101"/>
        <v>2</v>
      </c>
      <c r="G1592" s="7" t="s">
        <v>12558</v>
      </c>
      <c r="H1592" s="7">
        <f t="shared" si="102"/>
        <v>0</v>
      </c>
      <c r="I1592" s="7" cm="1">
        <f t="array" ref="I1592">IFERROR(_xlfn.IFS(M1592="נח",1,M1592="נע ונח",1,M1592="שני שווא נח",2,M1592="שני שוואים בסוף מילה",2,M1592="שני שוואים ברצף",1),"0")</f>
        <v>1</v>
      </c>
      <c r="J1592" s="9">
        <f t="shared" si="103"/>
        <v>4</v>
      </c>
      <c r="K1592" t="s">
        <v>6698</v>
      </c>
      <c r="L1592" t="s">
        <v>6694</v>
      </c>
      <c r="M1592" t="s">
        <v>6705</v>
      </c>
      <c r="P1592" t="s">
        <v>6694</v>
      </c>
      <c r="S1592" t="s">
        <v>6694</v>
      </c>
      <c r="W1592" t="s">
        <v>6720</v>
      </c>
    </row>
    <row r="1593" spans="1:23" ht="15.6" x14ac:dyDescent="0.4">
      <c r="A1593" s="2" t="s">
        <v>6081</v>
      </c>
      <c r="B1593" s="5" t="s">
        <v>8067</v>
      </c>
      <c r="C1593" s="7" t="s">
        <v>12556</v>
      </c>
      <c r="D1593" s="8">
        <f t="shared" si="100"/>
        <v>0</v>
      </c>
      <c r="E1593" s="7" t="s">
        <v>12557</v>
      </c>
      <c r="F1593" s="7">
        <f t="shared" si="101"/>
        <v>2</v>
      </c>
      <c r="G1593" s="7" t="s">
        <v>12558</v>
      </c>
      <c r="H1593" s="7">
        <f t="shared" si="102"/>
        <v>0</v>
      </c>
      <c r="I1593" s="7" t="str" cm="1">
        <f t="array" ref="I1593">IFERROR(_xlfn.IFS(M1593="נח",1,M1593="נע ונח",1,M1593="שני שווא נח",2,M1593="שני שוואים בסוף מילה",2,M1593="שני שוואים ברצף",1),"0")</f>
        <v>0</v>
      </c>
      <c r="J1593" s="9">
        <f t="shared" si="103"/>
        <v>4</v>
      </c>
      <c r="K1593" t="s">
        <v>6697</v>
      </c>
      <c r="L1593" t="s">
        <v>6695</v>
      </c>
      <c r="O1593" t="s">
        <v>6694</v>
      </c>
      <c r="P1593" t="s">
        <v>6694</v>
      </c>
      <c r="Q1593" t="s">
        <v>6694</v>
      </c>
      <c r="W1593" t="s">
        <v>6720</v>
      </c>
    </row>
    <row r="1594" spans="1:23" ht="15.6" x14ac:dyDescent="0.4">
      <c r="A1594" s="2" t="s">
        <v>4861</v>
      </c>
      <c r="B1594" s="5" t="s">
        <v>8068</v>
      </c>
      <c r="C1594" s="7" t="s">
        <v>12556</v>
      </c>
      <c r="D1594" s="8">
        <f t="shared" si="100"/>
        <v>0</v>
      </c>
      <c r="E1594" s="7" t="s">
        <v>12557</v>
      </c>
      <c r="F1594" s="7">
        <f t="shared" si="101"/>
        <v>1</v>
      </c>
      <c r="G1594" s="7" t="s">
        <v>12558</v>
      </c>
      <c r="H1594" s="7">
        <f t="shared" si="102"/>
        <v>0</v>
      </c>
      <c r="I1594" s="7" cm="1">
        <f t="array" ref="I1594">IFERROR(_xlfn.IFS(M1594="נח",1,M1594="נע ונח",1,M1594="שני שווא נח",2,M1594="שני שוואים בסוף מילה",2,M1594="שני שוואים ברצף",1),"0")</f>
        <v>1</v>
      </c>
      <c r="J1594" s="9">
        <f t="shared" si="103"/>
        <v>4</v>
      </c>
      <c r="K1594" t="s">
        <v>6697</v>
      </c>
      <c r="L1594" t="s">
        <v>6694</v>
      </c>
      <c r="M1594" t="s">
        <v>6705</v>
      </c>
      <c r="O1594" t="s">
        <v>6694</v>
      </c>
      <c r="P1594" t="s">
        <v>6694</v>
      </c>
      <c r="W1594" t="s">
        <v>6720</v>
      </c>
    </row>
    <row r="1595" spans="1:23" ht="15.6" x14ac:dyDescent="0.4">
      <c r="A1595" s="2" t="s">
        <v>1359</v>
      </c>
      <c r="B1595" s="5" t="s">
        <v>8069</v>
      </c>
      <c r="C1595" s="7" t="s">
        <v>12556</v>
      </c>
      <c r="D1595" s="8">
        <f t="shared" si="100"/>
        <v>0</v>
      </c>
      <c r="E1595" s="7" t="s">
        <v>12557</v>
      </c>
      <c r="F1595" s="7">
        <f t="shared" si="101"/>
        <v>1</v>
      </c>
      <c r="G1595" s="7" t="s">
        <v>12558</v>
      </c>
      <c r="H1595" s="7">
        <f t="shared" si="102"/>
        <v>0</v>
      </c>
      <c r="I1595" s="7" cm="1">
        <f t="array" ref="I1595">IFERROR(_xlfn.IFS(M1595="נח",1,M1595="נע ונח",1,M1595="שני שווא נח",2,M1595="שני שוואים בסוף מילה",2,M1595="שני שוואים ברצף",1),"0")</f>
        <v>1</v>
      </c>
      <c r="J1595" s="9">
        <f t="shared" si="103"/>
        <v>4</v>
      </c>
      <c r="K1595" t="s">
        <v>6697</v>
      </c>
      <c r="L1595" t="s">
        <v>6694</v>
      </c>
      <c r="M1595" t="s">
        <v>6705</v>
      </c>
      <c r="N1595" t="s">
        <v>6707</v>
      </c>
      <c r="P1595" t="s">
        <v>6694</v>
      </c>
      <c r="S1595" t="s">
        <v>6694</v>
      </c>
      <c r="W1595" t="s">
        <v>6720</v>
      </c>
    </row>
    <row r="1596" spans="1:23" ht="15.6" x14ac:dyDescent="0.4">
      <c r="A1596" s="2" t="s">
        <v>1224</v>
      </c>
      <c r="B1596" s="5" t="s">
        <v>8070</v>
      </c>
      <c r="C1596" s="7" t="s">
        <v>12556</v>
      </c>
      <c r="D1596" s="8">
        <f t="shared" si="100"/>
        <v>1</v>
      </c>
      <c r="E1596" s="7" t="s">
        <v>12557</v>
      </c>
      <c r="F1596" s="7">
        <f t="shared" si="101"/>
        <v>2</v>
      </c>
      <c r="G1596" s="7" t="s">
        <v>12558</v>
      </c>
      <c r="H1596" s="7">
        <f t="shared" si="102"/>
        <v>0</v>
      </c>
      <c r="I1596" s="7" cm="1">
        <f t="array" ref="I1596">IFERROR(_xlfn.IFS(M1596="נח",1,M1596="נע ונח",1,M1596="שני שווא נח",2,M1596="שני שוואים בסוף מילה",2,M1596="שני שוואים ברצף",1),"0")</f>
        <v>1</v>
      </c>
      <c r="J1596" s="9">
        <f t="shared" si="103"/>
        <v>4</v>
      </c>
      <c r="K1596" t="s">
        <v>6697</v>
      </c>
      <c r="L1596" t="s">
        <v>6694</v>
      </c>
      <c r="M1596" t="s">
        <v>6705</v>
      </c>
      <c r="P1596" t="s">
        <v>6694</v>
      </c>
      <c r="S1596" t="s">
        <v>6694</v>
      </c>
      <c r="W1596" t="s">
        <v>6720</v>
      </c>
    </row>
    <row r="1597" spans="1:23" ht="15.6" x14ac:dyDescent="0.4">
      <c r="A1597" s="2" t="s">
        <v>2819</v>
      </c>
      <c r="B1597" s="5" t="s">
        <v>8071</v>
      </c>
      <c r="C1597" s="7" t="s">
        <v>12556</v>
      </c>
      <c r="D1597" s="8">
        <f t="shared" si="100"/>
        <v>1</v>
      </c>
      <c r="E1597" s="7" t="s">
        <v>12557</v>
      </c>
      <c r="F1597" s="7">
        <f t="shared" si="101"/>
        <v>2</v>
      </c>
      <c r="G1597" s="7" t="s">
        <v>12558</v>
      </c>
      <c r="H1597" s="7">
        <f t="shared" si="102"/>
        <v>0</v>
      </c>
      <c r="I1597" s="7" cm="1">
        <f t="array" ref="I1597">IFERROR(_xlfn.IFS(M1597="נח",1,M1597="נע ונח",1,M1597="שני שווא נח",2,M1597="שני שוואים בסוף מילה",2,M1597="שני שוואים ברצף",1),"0")</f>
        <v>1</v>
      </c>
      <c r="J1597" s="9">
        <f t="shared" si="103"/>
        <v>4</v>
      </c>
      <c r="K1597" t="s">
        <v>6697</v>
      </c>
      <c r="L1597" t="s">
        <v>6694</v>
      </c>
      <c r="M1597" t="s">
        <v>6705</v>
      </c>
      <c r="P1597" t="s">
        <v>6694</v>
      </c>
      <c r="S1597" t="s">
        <v>6694</v>
      </c>
      <c r="W1597" t="s">
        <v>6720</v>
      </c>
    </row>
    <row r="1598" spans="1:23" ht="15.6" x14ac:dyDescent="0.4">
      <c r="A1598" s="2" t="s">
        <v>375</v>
      </c>
      <c r="B1598" s="5" t="s">
        <v>8072</v>
      </c>
      <c r="C1598" s="7" t="s">
        <v>12556</v>
      </c>
      <c r="D1598" s="8">
        <f t="shared" si="100"/>
        <v>0</v>
      </c>
      <c r="E1598" s="7" t="s">
        <v>12557</v>
      </c>
      <c r="F1598" s="7">
        <f t="shared" si="101"/>
        <v>1</v>
      </c>
      <c r="G1598" s="7" t="s">
        <v>12558</v>
      </c>
      <c r="H1598" s="7">
        <f t="shared" si="102"/>
        <v>0</v>
      </c>
      <c r="I1598" s="7" cm="1">
        <f t="array" ref="I1598">IFERROR(_xlfn.IFS(M1598="נח",1,M1598="נע ונח",1,M1598="שני שווא נח",2,M1598="שני שוואים בסוף מילה",2,M1598="שני שוואים ברצף",1),"0")</f>
        <v>1</v>
      </c>
      <c r="J1598" s="9">
        <f t="shared" si="103"/>
        <v>3</v>
      </c>
      <c r="K1598" t="s">
        <v>6697</v>
      </c>
      <c r="L1598" t="s">
        <v>6694</v>
      </c>
      <c r="M1598" t="s">
        <v>6705</v>
      </c>
      <c r="N1598" t="s">
        <v>6706</v>
      </c>
      <c r="O1598" t="s">
        <v>6694</v>
      </c>
      <c r="P1598" t="s">
        <v>6694</v>
      </c>
      <c r="W1598" t="s">
        <v>6720</v>
      </c>
    </row>
    <row r="1599" spans="1:23" ht="15.6" x14ac:dyDescent="0.4">
      <c r="A1599" s="2" t="s">
        <v>6324</v>
      </c>
      <c r="B1599" s="5" t="s">
        <v>8073</v>
      </c>
      <c r="C1599" s="7" t="s">
        <v>12556</v>
      </c>
      <c r="D1599" s="8">
        <f t="shared" si="100"/>
        <v>0</v>
      </c>
      <c r="E1599" s="7" t="s">
        <v>12557</v>
      </c>
      <c r="F1599" s="7">
        <f t="shared" si="101"/>
        <v>1</v>
      </c>
      <c r="G1599" s="7" t="s">
        <v>12558</v>
      </c>
      <c r="H1599" s="7">
        <f t="shared" si="102"/>
        <v>0</v>
      </c>
      <c r="I1599" s="7" t="str" cm="1">
        <f t="array" ref="I1599">IFERROR(_xlfn.IFS(M1599="נח",1,M1599="נע ונח",1,M1599="שני שווא נח",2,M1599="שני שוואים בסוף מילה",2,M1599="שני שוואים ברצף",1),"0")</f>
        <v>0</v>
      </c>
      <c r="J1599" s="9">
        <f t="shared" si="103"/>
        <v>3</v>
      </c>
      <c r="K1599" t="s">
        <v>6698</v>
      </c>
      <c r="L1599" t="s">
        <v>6695</v>
      </c>
      <c r="O1599" t="s">
        <v>6694</v>
      </c>
      <c r="P1599" t="s">
        <v>6694</v>
      </c>
      <c r="R1599" t="s">
        <v>6694</v>
      </c>
      <c r="W1599" t="s">
        <v>6720</v>
      </c>
    </row>
    <row r="1600" spans="1:23" ht="15.6" x14ac:dyDescent="0.4">
      <c r="A1600" s="2" t="s">
        <v>1772</v>
      </c>
      <c r="B1600" s="5" t="s">
        <v>8074</v>
      </c>
      <c r="C1600" s="7" t="s">
        <v>12556</v>
      </c>
      <c r="D1600" s="8">
        <f t="shared" si="100"/>
        <v>0</v>
      </c>
      <c r="E1600" s="7" t="s">
        <v>12557</v>
      </c>
      <c r="F1600" s="7">
        <f t="shared" si="101"/>
        <v>1</v>
      </c>
      <c r="G1600" s="7" t="s">
        <v>12558</v>
      </c>
      <c r="H1600" s="7">
        <f t="shared" si="102"/>
        <v>0</v>
      </c>
      <c r="I1600" s="7" t="str" cm="1">
        <f t="array" ref="I1600">IFERROR(_xlfn.IFS(M1600="נח",1,M1600="נע ונח",1,M1600="שני שווא נח",2,M1600="שני שוואים בסוף מילה",2,M1600="שני שוואים ברצף",1),"0")</f>
        <v>0</v>
      </c>
      <c r="J1600" s="9">
        <f t="shared" si="103"/>
        <v>3</v>
      </c>
      <c r="K1600" t="s">
        <v>6698</v>
      </c>
      <c r="L1600" t="s">
        <v>6695</v>
      </c>
      <c r="N1600" t="s">
        <v>6706</v>
      </c>
      <c r="O1600" t="s">
        <v>6694</v>
      </c>
      <c r="P1600" t="s">
        <v>6694</v>
      </c>
      <c r="S1600" t="s">
        <v>6694</v>
      </c>
      <c r="W1600" t="s">
        <v>6720</v>
      </c>
    </row>
    <row r="1601" spans="1:23" ht="15.6" x14ac:dyDescent="0.4">
      <c r="A1601" s="2" t="s">
        <v>3150</v>
      </c>
      <c r="B1601" s="5" t="s">
        <v>8075</v>
      </c>
      <c r="C1601" s="7" t="s">
        <v>12556</v>
      </c>
      <c r="D1601" s="8">
        <f t="shared" si="100"/>
        <v>0</v>
      </c>
      <c r="E1601" s="7" t="s">
        <v>12557</v>
      </c>
      <c r="F1601" s="7">
        <f t="shared" si="101"/>
        <v>1</v>
      </c>
      <c r="G1601" s="7" t="s">
        <v>12558</v>
      </c>
      <c r="H1601" s="7">
        <f t="shared" si="102"/>
        <v>0</v>
      </c>
      <c r="I1601" s="7" cm="1">
        <f t="array" ref="I1601">IFERROR(_xlfn.IFS(M1601="נח",1,M1601="נע ונח",1,M1601="שני שווא נח",2,M1601="שני שוואים בסוף מילה",2,M1601="שני שוואים ברצף",1),"0")</f>
        <v>1</v>
      </c>
      <c r="J1601" s="9">
        <f t="shared" si="103"/>
        <v>3</v>
      </c>
      <c r="K1601" t="s">
        <v>6698</v>
      </c>
      <c r="L1601" t="s">
        <v>6694</v>
      </c>
      <c r="M1601" t="s">
        <v>6705</v>
      </c>
      <c r="P1601" t="s">
        <v>6694</v>
      </c>
      <c r="S1601" t="s">
        <v>6694</v>
      </c>
      <c r="V1601" t="s">
        <v>6694</v>
      </c>
      <c r="W1601" t="s">
        <v>6720</v>
      </c>
    </row>
    <row r="1602" spans="1:23" ht="15.6" x14ac:dyDescent="0.4">
      <c r="A1602" s="2" t="s">
        <v>1486</v>
      </c>
      <c r="B1602" s="5" t="s">
        <v>8076</v>
      </c>
      <c r="C1602" s="7" t="s">
        <v>12556</v>
      </c>
      <c r="D1602" s="8">
        <f t="shared" si="100"/>
        <v>1</v>
      </c>
      <c r="E1602" s="7" t="s">
        <v>12557</v>
      </c>
      <c r="F1602" s="7">
        <f t="shared" si="101"/>
        <v>1</v>
      </c>
      <c r="G1602" s="7" t="s">
        <v>12558</v>
      </c>
      <c r="H1602" s="7">
        <f t="shared" si="102"/>
        <v>0</v>
      </c>
      <c r="I1602" s="7" cm="1">
        <f t="array" ref="I1602">IFERROR(_xlfn.IFS(M1602="נח",1,M1602="נע ונח",1,M1602="שני שווא נח",2,M1602="שני שוואים בסוף מילה",2,M1602="שני שוואים ברצף",1),"0")</f>
        <v>1</v>
      </c>
      <c r="J1602" s="9">
        <f t="shared" si="103"/>
        <v>3</v>
      </c>
      <c r="K1602" t="s">
        <v>6697</v>
      </c>
      <c r="L1602" t="s">
        <v>6694</v>
      </c>
      <c r="M1602" t="s">
        <v>6705</v>
      </c>
      <c r="O1602" t="s">
        <v>6694</v>
      </c>
      <c r="P1602" t="s">
        <v>6694</v>
      </c>
      <c r="W1602" t="s">
        <v>6720</v>
      </c>
    </row>
    <row r="1603" spans="1:23" ht="15.6" x14ac:dyDescent="0.4">
      <c r="A1603" s="2" t="s">
        <v>5378</v>
      </c>
      <c r="B1603" s="5" t="s">
        <v>8077</v>
      </c>
      <c r="C1603" s="7" t="s">
        <v>12556</v>
      </c>
      <c r="D1603" s="8">
        <f t="shared" ref="D1603:D1666" si="104">(LEN(B1603)-LEN(SUBSTITUTE(B1603,C1603,"")))</f>
        <v>1</v>
      </c>
      <c r="E1603" s="7" t="s">
        <v>12557</v>
      </c>
      <c r="F1603" s="7">
        <f t="shared" ref="F1603:F1666" si="105">(LEN(A1603)-LEN(SUBSTITUTE(A1603,E1603,"")))</f>
        <v>2</v>
      </c>
      <c r="G1603" s="7" t="s">
        <v>12558</v>
      </c>
      <c r="H1603" s="7">
        <f t="shared" ref="H1603:H1666" si="106">(LEN(A1603)-LEN(SUBSTITUTE(A1603,G1603,"")))/2</f>
        <v>0</v>
      </c>
      <c r="I1603" s="7" cm="1">
        <f t="array" ref="I1603">IFERROR(_xlfn.IFS(M1603="נח",1,M1603="נע ונח",1,M1603="שני שווא נח",2,M1603="שני שוואים בסוף מילה",2,M1603="שני שוואים ברצף",1),"0")</f>
        <v>1</v>
      </c>
      <c r="J1603" s="9">
        <f t="shared" ref="J1603:J1666" si="107">LEN(A1603)-(LEN(B1603))-D1603-F1603+H1603-I1603</f>
        <v>3</v>
      </c>
      <c r="K1603" t="s">
        <v>6697</v>
      </c>
      <c r="L1603" t="s">
        <v>6694</v>
      </c>
      <c r="M1603" t="s">
        <v>6705</v>
      </c>
      <c r="O1603" t="s">
        <v>6694</v>
      </c>
      <c r="P1603" t="s">
        <v>6694</v>
      </c>
      <c r="S1603" t="s">
        <v>6694</v>
      </c>
      <c r="W1603" t="s">
        <v>6720</v>
      </c>
    </row>
    <row r="1604" spans="1:23" ht="15.6" x14ac:dyDescent="0.4">
      <c r="A1604" s="2" t="s">
        <v>4122</v>
      </c>
      <c r="B1604" s="5" t="s">
        <v>8078</v>
      </c>
      <c r="C1604" s="7" t="s">
        <v>12556</v>
      </c>
      <c r="D1604" s="8">
        <f t="shared" si="104"/>
        <v>0</v>
      </c>
      <c r="E1604" s="7" t="s">
        <v>12557</v>
      </c>
      <c r="F1604" s="7">
        <f t="shared" si="105"/>
        <v>1</v>
      </c>
      <c r="G1604" s="7" t="s">
        <v>12558</v>
      </c>
      <c r="H1604" s="7">
        <f t="shared" si="106"/>
        <v>0</v>
      </c>
      <c r="I1604" s="7" t="str" cm="1">
        <f t="array" ref="I1604">IFERROR(_xlfn.IFS(M1604="נח",1,M1604="נע ונח",1,M1604="שני שווא נח",2,M1604="שני שוואים בסוף מילה",2,M1604="שני שוואים ברצף",1),"0")</f>
        <v>0</v>
      </c>
      <c r="J1604" s="9">
        <f t="shared" si="107"/>
        <v>3</v>
      </c>
      <c r="K1604" t="s">
        <v>6698</v>
      </c>
      <c r="L1604" t="s">
        <v>6695</v>
      </c>
      <c r="P1604" t="s">
        <v>6694</v>
      </c>
      <c r="Q1604" t="s">
        <v>6694</v>
      </c>
      <c r="R1604" t="s">
        <v>6694</v>
      </c>
      <c r="W1604" t="s">
        <v>6720</v>
      </c>
    </row>
    <row r="1605" spans="1:23" ht="15.6" x14ac:dyDescent="0.4">
      <c r="A1605" s="2" t="s">
        <v>1488</v>
      </c>
      <c r="B1605" s="5" t="s">
        <v>8079</v>
      </c>
      <c r="C1605" s="7" t="s">
        <v>12556</v>
      </c>
      <c r="D1605" s="8">
        <f t="shared" si="104"/>
        <v>0</v>
      </c>
      <c r="E1605" s="7" t="s">
        <v>12557</v>
      </c>
      <c r="F1605" s="7">
        <f t="shared" si="105"/>
        <v>1</v>
      </c>
      <c r="G1605" s="7" t="s">
        <v>12558</v>
      </c>
      <c r="H1605" s="7">
        <f t="shared" si="106"/>
        <v>0</v>
      </c>
      <c r="I1605" s="7" t="str" cm="1">
        <f t="array" ref="I1605">IFERROR(_xlfn.IFS(M1605="נח",1,M1605="נע ונח",1,M1605="שני שווא נח",2,M1605="שני שוואים בסוף מילה",2,M1605="שני שוואים ברצף",1),"0")</f>
        <v>0</v>
      </c>
      <c r="J1605" s="9">
        <f t="shared" si="107"/>
        <v>5</v>
      </c>
      <c r="K1605" t="s">
        <v>6698</v>
      </c>
      <c r="L1605" t="s">
        <v>6695</v>
      </c>
      <c r="O1605" t="s">
        <v>6694</v>
      </c>
      <c r="P1605" t="s">
        <v>6694</v>
      </c>
      <c r="R1605" t="s">
        <v>6694</v>
      </c>
      <c r="S1605" t="s">
        <v>6694</v>
      </c>
      <c r="W1605" t="s">
        <v>6720</v>
      </c>
    </row>
    <row r="1606" spans="1:23" ht="15.6" x14ac:dyDescent="0.4">
      <c r="A1606" s="2" t="s">
        <v>3873</v>
      </c>
      <c r="B1606" s="5" t="s">
        <v>8080</v>
      </c>
      <c r="C1606" s="7" t="s">
        <v>12556</v>
      </c>
      <c r="D1606" s="8">
        <f t="shared" si="104"/>
        <v>0</v>
      </c>
      <c r="E1606" s="7" t="s">
        <v>12557</v>
      </c>
      <c r="F1606" s="7">
        <f t="shared" si="105"/>
        <v>1</v>
      </c>
      <c r="G1606" s="7" t="s">
        <v>12558</v>
      </c>
      <c r="H1606" s="7">
        <f t="shared" si="106"/>
        <v>0</v>
      </c>
      <c r="I1606" s="7" t="str" cm="1">
        <f t="array" ref="I1606">IFERROR(_xlfn.IFS(M1606="נח",1,M1606="נע ונח",1,M1606="שני שווא נח",2,M1606="שני שוואים בסוף מילה",2,M1606="שני שוואים ברצף",1),"0")</f>
        <v>0</v>
      </c>
      <c r="J1606" s="9">
        <f t="shared" si="107"/>
        <v>3</v>
      </c>
      <c r="K1606" t="s">
        <v>6697</v>
      </c>
      <c r="L1606" t="s">
        <v>6695</v>
      </c>
      <c r="O1606" t="s">
        <v>6694</v>
      </c>
      <c r="P1606" t="s">
        <v>6694</v>
      </c>
      <c r="S1606" t="s">
        <v>6694</v>
      </c>
      <c r="W1606" t="s">
        <v>6720</v>
      </c>
    </row>
    <row r="1607" spans="1:23" ht="15.6" x14ac:dyDescent="0.4">
      <c r="A1607" s="2" t="s">
        <v>1386</v>
      </c>
      <c r="B1607" s="5" t="s">
        <v>8081</v>
      </c>
      <c r="C1607" s="7" t="s">
        <v>12556</v>
      </c>
      <c r="D1607" s="8">
        <f t="shared" si="104"/>
        <v>0</v>
      </c>
      <c r="E1607" s="7" t="s">
        <v>12557</v>
      </c>
      <c r="F1607" s="7">
        <f t="shared" si="105"/>
        <v>1</v>
      </c>
      <c r="G1607" s="7" t="s">
        <v>12558</v>
      </c>
      <c r="H1607" s="7">
        <f t="shared" si="106"/>
        <v>0</v>
      </c>
      <c r="I1607" s="7" t="str" cm="1">
        <f t="array" ref="I1607">IFERROR(_xlfn.IFS(M1607="נח",1,M1607="נע ונח",1,M1607="שני שווא נח",2,M1607="שני שוואים בסוף מילה",2,M1607="שני שוואים ברצף",1),"0")</f>
        <v>0</v>
      </c>
      <c r="J1607" s="9">
        <f t="shared" si="107"/>
        <v>3</v>
      </c>
      <c r="K1607" t="s">
        <v>6698</v>
      </c>
      <c r="L1607" t="s">
        <v>6695</v>
      </c>
      <c r="P1607" t="s">
        <v>6694</v>
      </c>
      <c r="Q1607" t="s">
        <v>6694</v>
      </c>
      <c r="V1607" t="s">
        <v>6694</v>
      </c>
      <c r="W1607" t="s">
        <v>6720</v>
      </c>
    </row>
    <row r="1608" spans="1:23" ht="15.6" x14ac:dyDescent="0.4">
      <c r="A1608" s="2" t="s">
        <v>1868</v>
      </c>
      <c r="B1608" s="5" t="s">
        <v>8082</v>
      </c>
      <c r="C1608" s="7" t="s">
        <v>12556</v>
      </c>
      <c r="D1608" s="8">
        <f t="shared" si="104"/>
        <v>0</v>
      </c>
      <c r="E1608" s="7" t="s">
        <v>12557</v>
      </c>
      <c r="F1608" s="7">
        <f t="shared" si="105"/>
        <v>1</v>
      </c>
      <c r="G1608" s="7" t="s">
        <v>12558</v>
      </c>
      <c r="H1608" s="7">
        <f t="shared" si="106"/>
        <v>0</v>
      </c>
      <c r="I1608" s="7" t="str" cm="1">
        <f t="array" ref="I1608">IFERROR(_xlfn.IFS(M1608="נח",1,M1608="נע ונח",1,M1608="שני שווא נח",2,M1608="שני שוואים בסוף מילה",2,M1608="שני שוואים ברצף",1),"0")</f>
        <v>0</v>
      </c>
      <c r="J1608" s="9">
        <f t="shared" si="107"/>
        <v>3</v>
      </c>
      <c r="K1608" t="s">
        <v>6698</v>
      </c>
      <c r="L1608" t="s">
        <v>6695</v>
      </c>
      <c r="P1608" t="s">
        <v>6694</v>
      </c>
      <c r="Q1608" t="s">
        <v>6694</v>
      </c>
      <c r="V1608" t="s">
        <v>6694</v>
      </c>
      <c r="W1608" t="s">
        <v>6720</v>
      </c>
    </row>
    <row r="1609" spans="1:23" ht="15.6" x14ac:dyDescent="0.4">
      <c r="A1609" s="2" t="s">
        <v>3906</v>
      </c>
      <c r="B1609" s="5" t="s">
        <v>8083</v>
      </c>
      <c r="C1609" s="7" t="s">
        <v>12556</v>
      </c>
      <c r="D1609" s="8">
        <f t="shared" si="104"/>
        <v>0</v>
      </c>
      <c r="E1609" s="7" t="s">
        <v>12557</v>
      </c>
      <c r="F1609" s="7">
        <f t="shared" si="105"/>
        <v>1</v>
      </c>
      <c r="G1609" s="7" t="s">
        <v>12558</v>
      </c>
      <c r="H1609" s="7">
        <f t="shared" si="106"/>
        <v>0</v>
      </c>
      <c r="I1609" s="7" cm="1">
        <f t="array" ref="I1609">IFERROR(_xlfn.IFS(M1609="נח",1,M1609="נע ונח",1,M1609="שני שווא נח",2,M1609="שני שוואים בסוף מילה",2,M1609="שני שוואים ברצף",1),"0")</f>
        <v>1</v>
      </c>
      <c r="J1609" s="9">
        <f t="shared" si="107"/>
        <v>2</v>
      </c>
      <c r="K1609" t="s">
        <v>6698</v>
      </c>
      <c r="L1609" t="s">
        <v>6694</v>
      </c>
      <c r="M1609" t="s">
        <v>6705</v>
      </c>
      <c r="P1609" t="s">
        <v>6694</v>
      </c>
      <c r="Q1609" t="s">
        <v>6694</v>
      </c>
      <c r="W1609" t="s">
        <v>6720</v>
      </c>
    </row>
    <row r="1610" spans="1:23" ht="15.6" x14ac:dyDescent="0.4">
      <c r="A1610" s="2" t="s">
        <v>6690</v>
      </c>
      <c r="B1610" s="5" t="s">
        <v>8084</v>
      </c>
      <c r="C1610" s="7" t="s">
        <v>12556</v>
      </c>
      <c r="D1610" s="8">
        <f t="shared" si="104"/>
        <v>0</v>
      </c>
      <c r="E1610" s="7" t="s">
        <v>12557</v>
      </c>
      <c r="F1610" s="7">
        <f t="shared" si="105"/>
        <v>1</v>
      </c>
      <c r="G1610" s="7" t="s">
        <v>12558</v>
      </c>
      <c r="H1610" s="7">
        <f t="shared" si="106"/>
        <v>0</v>
      </c>
      <c r="I1610" s="7" t="str" cm="1">
        <f t="array" ref="I1610">IFERROR(_xlfn.IFS(M1610="נח",1,M1610="נע ונח",1,M1610="שני שווא נח",2,M1610="שני שוואים בסוף מילה",2,M1610="שני שוואים ברצף",1),"0")</f>
        <v>0</v>
      </c>
      <c r="J1610" s="9">
        <f t="shared" si="107"/>
        <v>3</v>
      </c>
      <c r="K1610" t="s">
        <v>6697</v>
      </c>
      <c r="L1610" t="s">
        <v>6695</v>
      </c>
      <c r="O1610" t="s">
        <v>6694</v>
      </c>
      <c r="P1610" t="s">
        <v>6694</v>
      </c>
      <c r="W1610" t="s">
        <v>6720</v>
      </c>
    </row>
    <row r="1611" spans="1:23" ht="15.6" x14ac:dyDescent="0.4">
      <c r="A1611" s="2" t="s">
        <v>2813</v>
      </c>
      <c r="B1611" s="5" t="s">
        <v>8085</v>
      </c>
      <c r="C1611" s="7" t="s">
        <v>12556</v>
      </c>
      <c r="D1611" s="8">
        <f t="shared" si="104"/>
        <v>0</v>
      </c>
      <c r="E1611" s="7" t="s">
        <v>12557</v>
      </c>
      <c r="F1611" s="7">
        <f t="shared" si="105"/>
        <v>1</v>
      </c>
      <c r="G1611" s="7" t="s">
        <v>12558</v>
      </c>
      <c r="H1611" s="7">
        <f t="shared" si="106"/>
        <v>0</v>
      </c>
      <c r="I1611" s="7" t="str" cm="1">
        <f t="array" ref="I1611">IFERROR(_xlfn.IFS(M1611="נח",1,M1611="נע ונח",1,M1611="שני שווא נח",2,M1611="שני שוואים בסוף מילה",2,M1611="שני שוואים ברצף",1),"0")</f>
        <v>0</v>
      </c>
      <c r="J1611" s="9">
        <f t="shared" si="107"/>
        <v>4</v>
      </c>
      <c r="K1611" t="s">
        <v>6697</v>
      </c>
      <c r="L1611" t="s">
        <v>6695</v>
      </c>
      <c r="N1611" t="s">
        <v>6707</v>
      </c>
      <c r="P1611" t="s">
        <v>6694</v>
      </c>
      <c r="Q1611" t="s">
        <v>6694</v>
      </c>
      <c r="V1611" t="s">
        <v>6694</v>
      </c>
      <c r="W1611" t="s">
        <v>6720</v>
      </c>
    </row>
    <row r="1612" spans="1:23" ht="15.6" x14ac:dyDescent="0.4">
      <c r="A1612" s="2" t="s">
        <v>4429</v>
      </c>
      <c r="B1612" s="5" t="s">
        <v>8086</v>
      </c>
      <c r="C1612" s="7" t="s">
        <v>12556</v>
      </c>
      <c r="D1612" s="8">
        <f t="shared" si="104"/>
        <v>0</v>
      </c>
      <c r="E1612" s="7" t="s">
        <v>12557</v>
      </c>
      <c r="F1612" s="7">
        <f t="shared" si="105"/>
        <v>1</v>
      </c>
      <c r="G1612" s="7" t="s">
        <v>12558</v>
      </c>
      <c r="H1612" s="7">
        <f t="shared" si="106"/>
        <v>0</v>
      </c>
      <c r="I1612" s="7" t="str" cm="1">
        <f t="array" ref="I1612">IFERROR(_xlfn.IFS(M1612="נח",1,M1612="נע ונח",1,M1612="שני שווא נח",2,M1612="שני שוואים בסוף מילה",2,M1612="שני שוואים ברצף",1),"0")</f>
        <v>0</v>
      </c>
      <c r="J1612" s="9">
        <f t="shared" si="107"/>
        <v>4</v>
      </c>
      <c r="K1612" t="s">
        <v>6698</v>
      </c>
      <c r="L1612" t="s">
        <v>6694</v>
      </c>
      <c r="M1612" t="s">
        <v>6703</v>
      </c>
      <c r="P1612" t="s">
        <v>6694</v>
      </c>
      <c r="S1612" t="s">
        <v>6694</v>
      </c>
      <c r="V1612" t="s">
        <v>6694</v>
      </c>
      <c r="W1612" t="s">
        <v>6720</v>
      </c>
    </row>
    <row r="1613" spans="1:23" ht="15.6" x14ac:dyDescent="0.4">
      <c r="A1613" s="2" t="s">
        <v>1366</v>
      </c>
      <c r="B1613" s="5" t="s">
        <v>8087</v>
      </c>
      <c r="C1613" s="7" t="s">
        <v>12556</v>
      </c>
      <c r="D1613" s="8">
        <f t="shared" si="104"/>
        <v>0</v>
      </c>
      <c r="E1613" s="7" t="s">
        <v>12557</v>
      </c>
      <c r="F1613" s="7">
        <f t="shared" si="105"/>
        <v>2</v>
      </c>
      <c r="G1613" s="7" t="s">
        <v>12558</v>
      </c>
      <c r="H1613" s="7">
        <f t="shared" si="106"/>
        <v>1</v>
      </c>
      <c r="I1613" s="7" t="str" cm="1">
        <f t="array" ref="I1613">IFERROR(_xlfn.IFS(M1613="נח",1,M1613="נע ונח",1,M1613="שני שווא נח",2,M1613="שני שוואים בסוף מילה",2,M1613="שני שוואים ברצף",1),"0")</f>
        <v>0</v>
      </c>
      <c r="J1613" s="9">
        <f t="shared" si="107"/>
        <v>2</v>
      </c>
      <c r="K1613" t="s">
        <v>6698</v>
      </c>
      <c r="L1613" t="s">
        <v>6695</v>
      </c>
      <c r="P1613" t="s">
        <v>6694</v>
      </c>
      <c r="U1613" t="s">
        <v>6694</v>
      </c>
      <c r="W1613" t="s">
        <v>6720</v>
      </c>
    </row>
    <row r="1614" spans="1:23" ht="15.6" x14ac:dyDescent="0.4">
      <c r="A1614" s="2" t="s">
        <v>318</v>
      </c>
      <c r="B1614" s="5" t="s">
        <v>8088</v>
      </c>
      <c r="C1614" s="7" t="s">
        <v>12556</v>
      </c>
      <c r="D1614" s="8">
        <f t="shared" si="104"/>
        <v>0</v>
      </c>
      <c r="E1614" s="7" t="s">
        <v>12557</v>
      </c>
      <c r="F1614" s="7">
        <f t="shared" si="105"/>
        <v>0</v>
      </c>
      <c r="G1614" s="7" t="s">
        <v>12558</v>
      </c>
      <c r="H1614" s="7">
        <f t="shared" si="106"/>
        <v>0</v>
      </c>
      <c r="I1614" s="7" t="str" cm="1">
        <f t="array" ref="I1614">IFERROR(_xlfn.IFS(M1614="נח",1,M1614="נע ונח",1,M1614="שני שווא נח",2,M1614="שני שוואים בסוף מילה",2,M1614="שני שוואים ברצף",1),"0")</f>
        <v>0</v>
      </c>
      <c r="J1614" s="9">
        <f t="shared" si="107"/>
        <v>3</v>
      </c>
      <c r="K1614" t="s">
        <v>6698</v>
      </c>
      <c r="L1614" t="s">
        <v>6695</v>
      </c>
      <c r="P1614" t="s">
        <v>6694</v>
      </c>
      <c r="Q1614" t="s">
        <v>6694</v>
      </c>
      <c r="W1614" t="s">
        <v>6720</v>
      </c>
    </row>
    <row r="1615" spans="1:23" ht="15.6" x14ac:dyDescent="0.4">
      <c r="A1615" s="2" t="s">
        <v>4959</v>
      </c>
      <c r="B1615" s="5" t="s">
        <v>8089</v>
      </c>
      <c r="C1615" s="7" t="s">
        <v>12556</v>
      </c>
      <c r="D1615" s="8">
        <f t="shared" si="104"/>
        <v>0</v>
      </c>
      <c r="E1615" s="7" t="s">
        <v>12557</v>
      </c>
      <c r="F1615" s="7">
        <f t="shared" si="105"/>
        <v>0</v>
      </c>
      <c r="G1615" s="7" t="s">
        <v>12558</v>
      </c>
      <c r="H1615" s="7">
        <f t="shared" si="106"/>
        <v>0</v>
      </c>
      <c r="I1615" s="7" cm="1">
        <f t="array" ref="I1615">IFERROR(_xlfn.IFS(M1615="נח",1,M1615="נע ונח",1,M1615="שני שווא נח",2,M1615="שני שוואים בסוף מילה",2,M1615="שני שוואים ברצף",1),"0")</f>
        <v>1</v>
      </c>
      <c r="J1615" s="9">
        <f t="shared" si="107"/>
        <v>2</v>
      </c>
      <c r="K1615" t="s">
        <v>6698</v>
      </c>
      <c r="L1615" t="s">
        <v>6694</v>
      </c>
      <c r="M1615" t="s">
        <v>6705</v>
      </c>
      <c r="P1615" t="s">
        <v>6694</v>
      </c>
      <c r="Q1615" t="s">
        <v>6694</v>
      </c>
      <c r="W1615" t="s">
        <v>6720</v>
      </c>
    </row>
    <row r="1616" spans="1:23" ht="15.6" x14ac:dyDescent="0.4">
      <c r="A1616" s="2" t="s">
        <v>2937</v>
      </c>
      <c r="B1616" s="5" t="s">
        <v>8090</v>
      </c>
      <c r="C1616" s="7" t="s">
        <v>12556</v>
      </c>
      <c r="D1616" s="8">
        <f t="shared" si="104"/>
        <v>0</v>
      </c>
      <c r="E1616" s="7" t="s">
        <v>12557</v>
      </c>
      <c r="F1616" s="7">
        <f t="shared" si="105"/>
        <v>1</v>
      </c>
      <c r="G1616" s="7" t="s">
        <v>12558</v>
      </c>
      <c r="H1616" s="7">
        <f t="shared" si="106"/>
        <v>0</v>
      </c>
      <c r="I1616" s="7" t="str" cm="1">
        <f t="array" ref="I1616">IFERROR(_xlfn.IFS(M1616="נח",1,M1616="נע ונח",1,M1616="שני שווא נח",2,M1616="שני שוואים בסוף מילה",2,M1616="שני שוואים ברצף",1),"0")</f>
        <v>0</v>
      </c>
      <c r="J1616" s="9">
        <f t="shared" si="107"/>
        <v>3</v>
      </c>
      <c r="K1616" t="s">
        <v>6697</v>
      </c>
      <c r="L1616" t="s">
        <v>6695</v>
      </c>
      <c r="P1616" t="s">
        <v>6694</v>
      </c>
      <c r="R1616" t="s">
        <v>6694</v>
      </c>
      <c r="V1616" t="s">
        <v>6694</v>
      </c>
      <c r="W1616" t="s">
        <v>6720</v>
      </c>
    </row>
    <row r="1617" spans="1:23" ht="15.6" x14ac:dyDescent="0.4">
      <c r="A1617" s="2" t="s">
        <v>6628</v>
      </c>
      <c r="B1617" s="5" t="s">
        <v>8091</v>
      </c>
      <c r="C1617" s="7" t="s">
        <v>12556</v>
      </c>
      <c r="D1617" s="8">
        <f t="shared" si="104"/>
        <v>0</v>
      </c>
      <c r="E1617" s="7" t="s">
        <v>12557</v>
      </c>
      <c r="F1617" s="7">
        <f t="shared" si="105"/>
        <v>2</v>
      </c>
      <c r="G1617" s="7" t="s">
        <v>12558</v>
      </c>
      <c r="H1617" s="7">
        <f t="shared" si="106"/>
        <v>1</v>
      </c>
      <c r="I1617" s="7" cm="1">
        <f t="array" ref="I1617">IFERROR(_xlfn.IFS(M1617="נח",1,M1617="נע ונח",1,M1617="שני שווא נח",2,M1617="שני שוואים בסוף מילה",2,M1617="שני שוואים ברצף",1),"0")</f>
        <v>1</v>
      </c>
      <c r="J1617" s="9">
        <f t="shared" si="107"/>
        <v>3</v>
      </c>
      <c r="K1617" t="s">
        <v>6697</v>
      </c>
      <c r="L1617" t="s">
        <v>6694</v>
      </c>
      <c r="M1617" t="s">
        <v>6705</v>
      </c>
      <c r="P1617" t="s">
        <v>6694</v>
      </c>
      <c r="S1617" t="s">
        <v>6694</v>
      </c>
      <c r="U1617" t="s">
        <v>6694</v>
      </c>
      <c r="W1617" t="s">
        <v>6720</v>
      </c>
    </row>
    <row r="1618" spans="1:23" ht="15.6" x14ac:dyDescent="0.4">
      <c r="A1618" s="2" t="s">
        <v>1752</v>
      </c>
      <c r="B1618" s="5" t="s">
        <v>8092</v>
      </c>
      <c r="C1618" s="7" t="s">
        <v>12556</v>
      </c>
      <c r="D1618" s="8">
        <f t="shared" si="104"/>
        <v>0</v>
      </c>
      <c r="E1618" s="7" t="s">
        <v>12557</v>
      </c>
      <c r="F1618" s="7">
        <f t="shared" si="105"/>
        <v>0</v>
      </c>
      <c r="G1618" s="7" t="s">
        <v>12558</v>
      </c>
      <c r="H1618" s="7">
        <f t="shared" si="106"/>
        <v>0</v>
      </c>
      <c r="I1618" s="7" cm="1">
        <f t="array" ref="I1618">IFERROR(_xlfn.IFS(M1618="נח",1,M1618="נע ונח",1,M1618="שני שווא נח",2,M1618="שני שוואים בסוף מילה",2,M1618="שני שוואים ברצף",1),"0")</f>
        <v>1</v>
      </c>
      <c r="J1618" s="9">
        <f t="shared" si="107"/>
        <v>3</v>
      </c>
      <c r="K1618" t="s">
        <v>6697</v>
      </c>
      <c r="L1618" t="s">
        <v>6694</v>
      </c>
      <c r="M1618" t="s">
        <v>6705</v>
      </c>
      <c r="O1618" t="s">
        <v>6694</v>
      </c>
      <c r="P1618" t="s">
        <v>6694</v>
      </c>
      <c r="S1618" t="s">
        <v>6694</v>
      </c>
      <c r="W1618" t="s">
        <v>6720</v>
      </c>
    </row>
    <row r="1619" spans="1:23" ht="15.6" x14ac:dyDescent="0.4">
      <c r="A1619" s="2" t="s">
        <v>6425</v>
      </c>
      <c r="B1619" s="5" t="s">
        <v>8093</v>
      </c>
      <c r="C1619" s="7" t="s">
        <v>12556</v>
      </c>
      <c r="D1619" s="8">
        <f t="shared" si="104"/>
        <v>0</v>
      </c>
      <c r="E1619" s="7" t="s">
        <v>12557</v>
      </c>
      <c r="F1619" s="7">
        <f t="shared" si="105"/>
        <v>0</v>
      </c>
      <c r="G1619" s="7" t="s">
        <v>12558</v>
      </c>
      <c r="H1619" s="7">
        <f t="shared" si="106"/>
        <v>0</v>
      </c>
      <c r="I1619" s="7" cm="1">
        <f t="array" ref="I1619">IFERROR(_xlfn.IFS(M1619="נח",1,M1619="נע ונח",1,M1619="שני שווא נח",2,M1619="שני שוואים בסוף מילה",2,M1619="שני שוואים ברצף",1),"0")</f>
        <v>1</v>
      </c>
      <c r="J1619" s="9">
        <f t="shared" si="107"/>
        <v>3</v>
      </c>
      <c r="K1619" t="s">
        <v>6698</v>
      </c>
      <c r="L1619" t="s">
        <v>6694</v>
      </c>
      <c r="M1619" t="s">
        <v>6705</v>
      </c>
      <c r="P1619" t="s">
        <v>6694</v>
      </c>
      <c r="Q1619" t="s">
        <v>6694</v>
      </c>
      <c r="S1619" t="s">
        <v>6694</v>
      </c>
      <c r="W1619" t="s">
        <v>6720</v>
      </c>
    </row>
    <row r="1620" spans="1:23" ht="15.6" x14ac:dyDescent="0.4">
      <c r="A1620" s="2" t="s">
        <v>3358</v>
      </c>
      <c r="B1620" s="5" t="s">
        <v>7919</v>
      </c>
      <c r="C1620" s="7" t="s">
        <v>12556</v>
      </c>
      <c r="D1620" s="8">
        <f t="shared" si="104"/>
        <v>0</v>
      </c>
      <c r="E1620" s="7" t="s">
        <v>12557</v>
      </c>
      <c r="F1620" s="7">
        <f t="shared" si="105"/>
        <v>1</v>
      </c>
      <c r="G1620" s="7" t="s">
        <v>12558</v>
      </c>
      <c r="H1620" s="7">
        <f t="shared" si="106"/>
        <v>0</v>
      </c>
      <c r="I1620" s="7" t="str" cm="1">
        <f t="array" ref="I1620">IFERROR(_xlfn.IFS(M1620="נח",1,M1620="נע ונח",1,M1620="שני שווא נח",2,M1620="שני שוואים בסוף מילה",2,M1620="שני שוואים ברצף",1),"0")</f>
        <v>0</v>
      </c>
      <c r="J1620" s="9">
        <f t="shared" si="107"/>
        <v>4</v>
      </c>
      <c r="K1620" t="s">
        <v>6697</v>
      </c>
      <c r="L1620" t="s">
        <v>6695</v>
      </c>
      <c r="P1620" t="s">
        <v>6694</v>
      </c>
      <c r="Q1620" t="s">
        <v>6694</v>
      </c>
      <c r="S1620" t="s">
        <v>6694</v>
      </c>
      <c r="W1620" t="s">
        <v>6720</v>
      </c>
    </row>
    <row r="1621" spans="1:23" ht="15.6" x14ac:dyDescent="0.4">
      <c r="A1621" s="2" t="s">
        <v>5898</v>
      </c>
      <c r="B1621" s="5" t="s">
        <v>8094</v>
      </c>
      <c r="C1621" s="7" t="s">
        <v>12556</v>
      </c>
      <c r="D1621" s="8">
        <f t="shared" si="104"/>
        <v>0</v>
      </c>
      <c r="E1621" s="7" t="s">
        <v>12557</v>
      </c>
      <c r="F1621" s="7">
        <f t="shared" si="105"/>
        <v>1</v>
      </c>
      <c r="G1621" s="7" t="s">
        <v>12558</v>
      </c>
      <c r="H1621" s="7">
        <f t="shared" si="106"/>
        <v>0</v>
      </c>
      <c r="I1621" s="7" t="str" cm="1">
        <f t="array" ref="I1621">IFERROR(_xlfn.IFS(M1621="נח",1,M1621="נע ונח",1,M1621="שני שווא נח",2,M1621="שני שוואים בסוף מילה",2,M1621="שני שוואים ברצף",1),"0")</f>
        <v>0</v>
      </c>
      <c r="J1621" s="9">
        <f t="shared" si="107"/>
        <v>3</v>
      </c>
      <c r="K1621" t="s">
        <v>6697</v>
      </c>
      <c r="L1621" t="s">
        <v>6695</v>
      </c>
      <c r="O1621" t="s">
        <v>6694</v>
      </c>
      <c r="P1621" t="s">
        <v>6694</v>
      </c>
      <c r="S1621" t="s">
        <v>6694</v>
      </c>
      <c r="W1621" t="s">
        <v>6720</v>
      </c>
    </row>
    <row r="1622" spans="1:23" ht="15.6" x14ac:dyDescent="0.4">
      <c r="A1622" s="2" t="s">
        <v>6629</v>
      </c>
      <c r="B1622" s="5" t="s">
        <v>8095</v>
      </c>
      <c r="C1622" s="7" t="s">
        <v>12556</v>
      </c>
      <c r="D1622" s="8">
        <f t="shared" si="104"/>
        <v>0</v>
      </c>
      <c r="E1622" s="7" t="s">
        <v>12557</v>
      </c>
      <c r="F1622" s="7">
        <f t="shared" si="105"/>
        <v>2</v>
      </c>
      <c r="G1622" s="7" t="s">
        <v>12558</v>
      </c>
      <c r="H1622" s="7">
        <f t="shared" si="106"/>
        <v>1</v>
      </c>
      <c r="I1622" s="7" t="str" cm="1">
        <f t="array" ref="I1622">IFERROR(_xlfn.IFS(M1622="נח",1,M1622="נע ונח",1,M1622="שני שווא נח",2,M1622="שני שוואים בסוף מילה",2,M1622="שני שוואים ברצף",1),"0")</f>
        <v>0</v>
      </c>
      <c r="J1622" s="9">
        <f t="shared" si="107"/>
        <v>3</v>
      </c>
      <c r="K1622" t="s">
        <v>6697</v>
      </c>
      <c r="L1622" t="s">
        <v>6695</v>
      </c>
      <c r="P1622" t="s">
        <v>6694</v>
      </c>
      <c r="S1622" t="s">
        <v>6694</v>
      </c>
      <c r="U1622" t="s">
        <v>6694</v>
      </c>
      <c r="W1622" t="s">
        <v>6720</v>
      </c>
    </row>
    <row r="1623" spans="1:23" ht="15.6" x14ac:dyDescent="0.4">
      <c r="A1623" s="2" t="s">
        <v>4411</v>
      </c>
      <c r="B1623" s="5" t="s">
        <v>8096</v>
      </c>
      <c r="C1623" s="7" t="s">
        <v>12556</v>
      </c>
      <c r="D1623" s="8">
        <f t="shared" si="104"/>
        <v>0</v>
      </c>
      <c r="E1623" s="7" t="s">
        <v>12557</v>
      </c>
      <c r="F1623" s="7">
        <f t="shared" si="105"/>
        <v>1</v>
      </c>
      <c r="G1623" s="7" t="s">
        <v>12558</v>
      </c>
      <c r="H1623" s="7">
        <f t="shared" si="106"/>
        <v>0</v>
      </c>
      <c r="I1623" s="7" t="str" cm="1">
        <f t="array" ref="I1623">IFERROR(_xlfn.IFS(M1623="נח",1,M1623="נע ונח",1,M1623="שני שווא נח",2,M1623="שני שוואים בסוף מילה",2,M1623="שני שוואים ברצף",1),"0")</f>
        <v>0</v>
      </c>
      <c r="J1623" s="9">
        <f t="shared" si="107"/>
        <v>2</v>
      </c>
      <c r="K1623" t="s">
        <v>6698</v>
      </c>
      <c r="L1623" t="s">
        <v>6695</v>
      </c>
      <c r="P1623" t="s">
        <v>6694</v>
      </c>
      <c r="V1623" t="s">
        <v>6694</v>
      </c>
      <c r="W1623" t="s">
        <v>6720</v>
      </c>
    </row>
    <row r="1624" spans="1:23" ht="15.6" x14ac:dyDescent="0.4">
      <c r="A1624" s="2" t="s">
        <v>584</v>
      </c>
      <c r="B1624" s="5" t="s">
        <v>8097</v>
      </c>
      <c r="C1624" s="7" t="s">
        <v>12556</v>
      </c>
      <c r="D1624" s="8">
        <f t="shared" si="104"/>
        <v>0</v>
      </c>
      <c r="E1624" s="7" t="s">
        <v>12557</v>
      </c>
      <c r="F1624" s="7">
        <f t="shared" si="105"/>
        <v>2</v>
      </c>
      <c r="G1624" s="7" t="s">
        <v>12558</v>
      </c>
      <c r="H1624" s="7">
        <f t="shared" si="106"/>
        <v>1</v>
      </c>
      <c r="I1624" s="7" t="str" cm="1">
        <f t="array" ref="I1624">IFERROR(_xlfn.IFS(M1624="נח",1,M1624="נע ונח",1,M1624="שני שווא נח",2,M1624="שני שוואים בסוף מילה",2,M1624="שני שוואים ברצף",1),"0")</f>
        <v>0</v>
      </c>
      <c r="J1624" s="9">
        <f t="shared" si="107"/>
        <v>2</v>
      </c>
      <c r="K1624" t="s">
        <v>6698</v>
      </c>
      <c r="L1624" t="s">
        <v>6695</v>
      </c>
      <c r="P1624" t="s">
        <v>6694</v>
      </c>
      <c r="U1624" t="s">
        <v>6694</v>
      </c>
      <c r="W1624" t="s">
        <v>6720</v>
      </c>
    </row>
    <row r="1625" spans="1:23" ht="15.6" x14ac:dyDescent="0.4">
      <c r="A1625" s="2" t="s">
        <v>3154</v>
      </c>
      <c r="B1625" s="5" t="s">
        <v>8098</v>
      </c>
      <c r="C1625" s="7" t="s">
        <v>12556</v>
      </c>
      <c r="D1625" s="8">
        <f t="shared" si="104"/>
        <v>1</v>
      </c>
      <c r="E1625" s="7" t="s">
        <v>12557</v>
      </c>
      <c r="F1625" s="7">
        <f t="shared" si="105"/>
        <v>0</v>
      </c>
      <c r="G1625" s="7" t="s">
        <v>12558</v>
      </c>
      <c r="H1625" s="7">
        <f t="shared" si="106"/>
        <v>0</v>
      </c>
      <c r="I1625" s="7" cm="1">
        <f t="array" ref="I1625">IFERROR(_xlfn.IFS(M1625="נח",1,M1625="נע ונח",1,M1625="שני שווא נח",2,M1625="שני שוואים בסוף מילה",2,M1625="שני שוואים ברצף",1),"0")</f>
        <v>1</v>
      </c>
      <c r="J1625" s="9">
        <f t="shared" si="107"/>
        <v>3</v>
      </c>
      <c r="K1625" t="s">
        <v>6697</v>
      </c>
      <c r="L1625" t="s">
        <v>6694</v>
      </c>
      <c r="M1625" t="s">
        <v>6705</v>
      </c>
      <c r="O1625" t="s">
        <v>6694</v>
      </c>
      <c r="P1625" t="s">
        <v>6694</v>
      </c>
      <c r="S1625" t="s">
        <v>6694</v>
      </c>
      <c r="W1625" t="s">
        <v>6720</v>
      </c>
    </row>
    <row r="1626" spans="1:23" ht="15.6" x14ac:dyDescent="0.4">
      <c r="A1626" s="2" t="s">
        <v>5190</v>
      </c>
      <c r="B1626" s="5" t="s">
        <v>8099</v>
      </c>
      <c r="C1626" s="7" t="s">
        <v>12556</v>
      </c>
      <c r="D1626" s="8">
        <f t="shared" si="104"/>
        <v>0</v>
      </c>
      <c r="E1626" s="7" t="s">
        <v>12557</v>
      </c>
      <c r="F1626" s="7">
        <f t="shared" si="105"/>
        <v>2</v>
      </c>
      <c r="G1626" s="7" t="s">
        <v>12558</v>
      </c>
      <c r="H1626" s="7">
        <f t="shared" si="106"/>
        <v>0</v>
      </c>
      <c r="I1626" s="7" cm="1">
        <f t="array" ref="I1626">IFERROR(_xlfn.IFS(M1626="נח",1,M1626="נע ונח",1,M1626="שני שווא נח",2,M1626="שני שוואים בסוף מילה",2,M1626="שני שוואים ברצף",1),"0")</f>
        <v>1</v>
      </c>
      <c r="J1626" s="9">
        <f t="shared" si="107"/>
        <v>3</v>
      </c>
      <c r="K1626" t="s">
        <v>6698</v>
      </c>
      <c r="L1626" t="s">
        <v>6694</v>
      </c>
      <c r="M1626" t="s">
        <v>6705</v>
      </c>
      <c r="P1626" t="s">
        <v>6694</v>
      </c>
      <c r="S1626" t="s">
        <v>6694</v>
      </c>
      <c r="W1626" t="s">
        <v>6720</v>
      </c>
    </row>
    <row r="1627" spans="1:23" ht="15.6" x14ac:dyDescent="0.4">
      <c r="A1627" s="2" t="s">
        <v>2271</v>
      </c>
      <c r="B1627" s="5" t="s">
        <v>8100</v>
      </c>
      <c r="C1627" s="7" t="s">
        <v>12556</v>
      </c>
      <c r="D1627" s="8">
        <f t="shared" si="104"/>
        <v>0</v>
      </c>
      <c r="E1627" s="7" t="s">
        <v>12557</v>
      </c>
      <c r="F1627" s="7">
        <f t="shared" si="105"/>
        <v>0</v>
      </c>
      <c r="G1627" s="7" t="s">
        <v>12558</v>
      </c>
      <c r="H1627" s="7">
        <f t="shared" si="106"/>
        <v>0</v>
      </c>
      <c r="I1627" s="7" t="str" cm="1">
        <f t="array" ref="I1627">IFERROR(_xlfn.IFS(M1627="נח",1,M1627="נע ונח",1,M1627="שני שווא נח",2,M1627="שני שוואים בסוף מילה",2,M1627="שני שוואים ברצף",1),"0")</f>
        <v>0</v>
      </c>
      <c r="J1627" s="9">
        <f t="shared" si="107"/>
        <v>1</v>
      </c>
      <c r="K1627" t="s">
        <v>6698</v>
      </c>
      <c r="L1627" t="s">
        <v>6695</v>
      </c>
      <c r="P1627" t="s">
        <v>6694</v>
      </c>
      <c r="W1627" t="s">
        <v>6720</v>
      </c>
    </row>
    <row r="1628" spans="1:23" ht="15.6" x14ac:dyDescent="0.4">
      <c r="A1628" s="2" t="s">
        <v>4935</v>
      </c>
      <c r="B1628" s="5" t="s">
        <v>8101</v>
      </c>
      <c r="C1628" s="7" t="s">
        <v>12556</v>
      </c>
      <c r="D1628" s="8">
        <f t="shared" si="104"/>
        <v>0</v>
      </c>
      <c r="E1628" s="7" t="s">
        <v>12557</v>
      </c>
      <c r="F1628" s="7">
        <f t="shared" si="105"/>
        <v>1</v>
      </c>
      <c r="G1628" s="7" t="s">
        <v>12558</v>
      </c>
      <c r="H1628" s="7">
        <f t="shared" si="106"/>
        <v>1</v>
      </c>
      <c r="I1628" s="7" cm="1">
        <f t="array" ref="I1628">IFERROR(_xlfn.IFS(M1628="נח",1,M1628="נע ונח",1,M1628="שני שווא נח",2,M1628="שני שוואים בסוף מילה",2,M1628="שני שוואים ברצף",1),"0")</f>
        <v>1</v>
      </c>
      <c r="J1628" s="9">
        <f t="shared" si="107"/>
        <v>3</v>
      </c>
      <c r="K1628" t="s">
        <v>6697</v>
      </c>
      <c r="L1628" t="s">
        <v>6694</v>
      </c>
      <c r="M1628" t="s">
        <v>6705</v>
      </c>
      <c r="P1628" t="s">
        <v>6694</v>
      </c>
      <c r="Q1628" t="s">
        <v>6694</v>
      </c>
      <c r="U1628" t="s">
        <v>6694</v>
      </c>
      <c r="W1628" t="s">
        <v>6720</v>
      </c>
    </row>
    <row r="1629" spans="1:23" ht="15.6" x14ac:dyDescent="0.4">
      <c r="A1629" s="2" t="s">
        <v>4862</v>
      </c>
      <c r="B1629" s="5" t="s">
        <v>8102</v>
      </c>
      <c r="C1629" s="7" t="s">
        <v>12556</v>
      </c>
      <c r="D1629" s="8">
        <f t="shared" si="104"/>
        <v>0</v>
      </c>
      <c r="E1629" s="7" t="s">
        <v>12557</v>
      </c>
      <c r="F1629" s="7">
        <f t="shared" si="105"/>
        <v>0</v>
      </c>
      <c r="G1629" s="7" t="s">
        <v>12558</v>
      </c>
      <c r="H1629" s="7">
        <f t="shared" si="106"/>
        <v>0</v>
      </c>
      <c r="I1629" s="7" cm="1">
        <f t="array" ref="I1629">IFERROR(_xlfn.IFS(M1629="נח",1,M1629="נע ונח",1,M1629="שני שווא נח",2,M1629="שני שוואים בסוף מילה",2,M1629="שני שוואים ברצף",1),"0")</f>
        <v>1</v>
      </c>
      <c r="J1629" s="9">
        <f t="shared" si="107"/>
        <v>2</v>
      </c>
      <c r="K1629" t="s">
        <v>6698</v>
      </c>
      <c r="L1629" t="s">
        <v>6694</v>
      </c>
      <c r="M1629" t="s">
        <v>6705</v>
      </c>
      <c r="P1629" t="s">
        <v>6694</v>
      </c>
      <c r="R1629" t="s">
        <v>6694</v>
      </c>
      <c r="W1629" t="s">
        <v>6720</v>
      </c>
    </row>
    <row r="1630" spans="1:23" ht="15.6" x14ac:dyDescent="0.4">
      <c r="A1630" s="2" t="s">
        <v>3202</v>
      </c>
      <c r="B1630" s="5" t="s">
        <v>8103</v>
      </c>
      <c r="C1630" s="7" t="s">
        <v>12556</v>
      </c>
      <c r="D1630" s="8">
        <f t="shared" si="104"/>
        <v>0</v>
      </c>
      <c r="E1630" s="7" t="s">
        <v>12557</v>
      </c>
      <c r="F1630" s="7">
        <f t="shared" si="105"/>
        <v>0</v>
      </c>
      <c r="G1630" s="7" t="s">
        <v>12558</v>
      </c>
      <c r="H1630" s="7">
        <f t="shared" si="106"/>
        <v>0</v>
      </c>
      <c r="I1630" s="7" cm="1">
        <f t="array" ref="I1630">IFERROR(_xlfn.IFS(M1630="נח",1,M1630="נע ונח",1,M1630="שני שווא נח",2,M1630="שני שוואים בסוף מילה",2,M1630="שני שוואים ברצף",1),"0")</f>
        <v>1</v>
      </c>
      <c r="J1630" s="9">
        <f t="shared" si="107"/>
        <v>2</v>
      </c>
      <c r="K1630" t="s">
        <v>6698</v>
      </c>
      <c r="L1630" t="s">
        <v>6694</v>
      </c>
      <c r="M1630" t="s">
        <v>6705</v>
      </c>
      <c r="P1630" t="s">
        <v>6694</v>
      </c>
      <c r="R1630" t="s">
        <v>6694</v>
      </c>
      <c r="W1630" t="s">
        <v>6720</v>
      </c>
    </row>
    <row r="1631" spans="1:23" ht="15.6" x14ac:dyDescent="0.4">
      <c r="A1631" s="2" t="s">
        <v>4838</v>
      </c>
      <c r="B1631" s="5" t="s">
        <v>8104</v>
      </c>
      <c r="C1631" s="7" t="s">
        <v>12556</v>
      </c>
      <c r="D1631" s="8">
        <f t="shared" si="104"/>
        <v>0</v>
      </c>
      <c r="E1631" s="7" t="s">
        <v>12557</v>
      </c>
      <c r="F1631" s="7">
        <f t="shared" si="105"/>
        <v>1</v>
      </c>
      <c r="G1631" s="7" t="s">
        <v>12558</v>
      </c>
      <c r="H1631" s="7">
        <f t="shared" si="106"/>
        <v>1</v>
      </c>
      <c r="I1631" s="7" cm="1">
        <f t="array" ref="I1631">IFERROR(_xlfn.IFS(M1631="נח",1,M1631="נע ונח",1,M1631="שני שווא נח",2,M1631="שני שוואים בסוף מילה",2,M1631="שני שוואים ברצף",1),"0")</f>
        <v>1</v>
      </c>
      <c r="J1631" s="9">
        <f t="shared" si="107"/>
        <v>3</v>
      </c>
      <c r="K1631" t="s">
        <v>6697</v>
      </c>
      <c r="L1631" t="s">
        <v>6694</v>
      </c>
      <c r="M1631" t="s">
        <v>6705</v>
      </c>
      <c r="P1631" t="s">
        <v>6694</v>
      </c>
      <c r="S1631" t="s">
        <v>6694</v>
      </c>
      <c r="U1631" t="s">
        <v>6694</v>
      </c>
      <c r="W1631" t="s">
        <v>6720</v>
      </c>
    </row>
    <row r="1632" spans="1:23" ht="15.6" x14ac:dyDescent="0.4">
      <c r="A1632" s="2" t="s">
        <v>3795</v>
      </c>
      <c r="B1632" s="5" t="s">
        <v>8105</v>
      </c>
      <c r="C1632" s="7" t="s">
        <v>12556</v>
      </c>
      <c r="D1632" s="8">
        <f t="shared" si="104"/>
        <v>0</v>
      </c>
      <c r="E1632" s="7" t="s">
        <v>12557</v>
      </c>
      <c r="F1632" s="7">
        <f t="shared" si="105"/>
        <v>2</v>
      </c>
      <c r="G1632" s="7" t="s">
        <v>12558</v>
      </c>
      <c r="H1632" s="7">
        <f t="shared" si="106"/>
        <v>1</v>
      </c>
      <c r="I1632" s="7" cm="1">
        <f t="array" ref="I1632">IFERROR(_xlfn.IFS(M1632="נח",1,M1632="נע ונח",1,M1632="שני שווא נח",2,M1632="שני שוואים בסוף מילה",2,M1632="שני שוואים ברצף",1),"0")</f>
        <v>1</v>
      </c>
      <c r="J1632" s="9">
        <f t="shared" si="107"/>
        <v>2</v>
      </c>
      <c r="K1632" t="s">
        <v>6697</v>
      </c>
      <c r="L1632" t="s">
        <v>6694</v>
      </c>
      <c r="M1632" t="s">
        <v>6705</v>
      </c>
      <c r="P1632" t="s">
        <v>6694</v>
      </c>
      <c r="U1632" t="s">
        <v>6694</v>
      </c>
      <c r="W1632" t="s">
        <v>6720</v>
      </c>
    </row>
    <row r="1633" spans="1:23" ht="15.6" x14ac:dyDescent="0.4">
      <c r="A1633" s="2" t="s">
        <v>4057</v>
      </c>
      <c r="B1633" s="5" t="s">
        <v>8106</v>
      </c>
      <c r="C1633" s="7" t="s">
        <v>12556</v>
      </c>
      <c r="D1633" s="8">
        <f t="shared" si="104"/>
        <v>1</v>
      </c>
      <c r="E1633" s="7" t="s">
        <v>12557</v>
      </c>
      <c r="F1633" s="7">
        <f t="shared" si="105"/>
        <v>0</v>
      </c>
      <c r="G1633" s="7" t="s">
        <v>12558</v>
      </c>
      <c r="H1633" s="7">
        <f t="shared" si="106"/>
        <v>0</v>
      </c>
      <c r="I1633" s="7" cm="1">
        <f t="array" ref="I1633">IFERROR(_xlfn.IFS(M1633="נח",1,M1633="נע ונח",1,M1633="שני שווא נח",2,M1633="שני שוואים בסוף מילה",2,M1633="שני שוואים ברצף",1),"0")</f>
        <v>2</v>
      </c>
      <c r="J1633" s="9">
        <f t="shared" si="107"/>
        <v>2</v>
      </c>
      <c r="K1633" t="s">
        <v>6698</v>
      </c>
      <c r="L1633" t="s">
        <v>6694</v>
      </c>
      <c r="M1633" t="s">
        <v>6704</v>
      </c>
      <c r="P1633" t="s">
        <v>6694</v>
      </c>
      <c r="Q1633" t="s">
        <v>6694</v>
      </c>
      <c r="W1633" t="s">
        <v>6720</v>
      </c>
    </row>
    <row r="1634" spans="1:23" ht="15.6" x14ac:dyDescent="0.4">
      <c r="A1634" s="2" t="s">
        <v>5616</v>
      </c>
      <c r="B1634" s="5" t="s">
        <v>8107</v>
      </c>
      <c r="C1634" s="7" t="s">
        <v>12556</v>
      </c>
      <c r="D1634" s="8">
        <f t="shared" si="104"/>
        <v>1</v>
      </c>
      <c r="E1634" s="7" t="s">
        <v>12557</v>
      </c>
      <c r="F1634" s="7">
        <f t="shared" si="105"/>
        <v>0</v>
      </c>
      <c r="G1634" s="7" t="s">
        <v>12558</v>
      </c>
      <c r="H1634" s="7">
        <f t="shared" si="106"/>
        <v>0</v>
      </c>
      <c r="I1634" s="7" cm="1">
        <f t="array" ref="I1634">IFERROR(_xlfn.IFS(M1634="נח",1,M1634="נע ונח",1,M1634="שני שווא נח",2,M1634="שני שוואים בסוף מילה",2,M1634="שני שוואים ברצף",1),"0")</f>
        <v>1</v>
      </c>
      <c r="J1634" s="9">
        <f t="shared" si="107"/>
        <v>4</v>
      </c>
      <c r="K1634" t="s">
        <v>6697</v>
      </c>
      <c r="L1634" t="s">
        <v>6694</v>
      </c>
      <c r="M1634" t="s">
        <v>6705</v>
      </c>
      <c r="P1634" t="s">
        <v>6694</v>
      </c>
      <c r="Q1634" t="s">
        <v>6694</v>
      </c>
      <c r="S1634" t="s">
        <v>6694</v>
      </c>
      <c r="W1634" t="s">
        <v>6720</v>
      </c>
    </row>
    <row r="1635" spans="1:23" ht="15.6" x14ac:dyDescent="0.4">
      <c r="A1635" s="2" t="s">
        <v>5945</v>
      </c>
      <c r="B1635" s="5" t="s">
        <v>8108</v>
      </c>
      <c r="C1635" s="7" t="s">
        <v>12556</v>
      </c>
      <c r="D1635" s="8">
        <f t="shared" si="104"/>
        <v>1</v>
      </c>
      <c r="E1635" s="7" t="s">
        <v>12557</v>
      </c>
      <c r="F1635" s="7">
        <f t="shared" si="105"/>
        <v>2</v>
      </c>
      <c r="G1635" s="7" t="s">
        <v>12558</v>
      </c>
      <c r="H1635" s="7">
        <f t="shared" si="106"/>
        <v>1</v>
      </c>
      <c r="I1635" s="7" cm="1">
        <f t="array" ref="I1635">IFERROR(_xlfn.IFS(M1635="נח",1,M1635="נע ונח",1,M1635="שני שווא נח",2,M1635="שני שוואים בסוף מילה",2,M1635="שני שוואים ברצף",1),"0")</f>
        <v>1</v>
      </c>
      <c r="J1635" s="9">
        <f t="shared" si="107"/>
        <v>3</v>
      </c>
      <c r="K1635" t="s">
        <v>6697</v>
      </c>
      <c r="L1635" t="s">
        <v>6694</v>
      </c>
      <c r="M1635" t="s">
        <v>6705</v>
      </c>
      <c r="O1635" t="s">
        <v>6694</v>
      </c>
      <c r="P1635" t="s">
        <v>6694</v>
      </c>
      <c r="U1635" t="s">
        <v>6694</v>
      </c>
      <c r="W1635" t="s">
        <v>6720</v>
      </c>
    </row>
    <row r="1636" spans="1:23" ht="15.6" x14ac:dyDescent="0.4">
      <c r="A1636" s="2" t="s">
        <v>3179</v>
      </c>
      <c r="B1636" s="5" t="s">
        <v>8109</v>
      </c>
      <c r="C1636" s="7" t="s">
        <v>12556</v>
      </c>
      <c r="D1636" s="8">
        <f t="shared" si="104"/>
        <v>1</v>
      </c>
      <c r="E1636" s="7" t="s">
        <v>12557</v>
      </c>
      <c r="F1636" s="7">
        <f t="shared" si="105"/>
        <v>1</v>
      </c>
      <c r="G1636" s="7" t="s">
        <v>12558</v>
      </c>
      <c r="H1636" s="7">
        <f t="shared" si="106"/>
        <v>0</v>
      </c>
      <c r="I1636" s="7" cm="1">
        <f t="array" ref="I1636">IFERROR(_xlfn.IFS(M1636="נח",1,M1636="נע ונח",1,M1636="שני שווא נח",2,M1636="שני שוואים בסוף מילה",2,M1636="שני שוואים ברצף",1),"0")</f>
        <v>1</v>
      </c>
      <c r="J1636" s="9">
        <f t="shared" si="107"/>
        <v>3</v>
      </c>
      <c r="K1636" t="s">
        <v>6698</v>
      </c>
      <c r="L1636" t="s">
        <v>6694</v>
      </c>
      <c r="M1636" t="s">
        <v>6705</v>
      </c>
      <c r="P1636" t="s">
        <v>6694</v>
      </c>
      <c r="S1636" t="s">
        <v>6694</v>
      </c>
      <c r="W1636" t="s">
        <v>6720</v>
      </c>
    </row>
    <row r="1637" spans="1:23" ht="15.6" x14ac:dyDescent="0.4">
      <c r="A1637" s="2" t="s">
        <v>3231</v>
      </c>
      <c r="B1637" s="5" t="s">
        <v>8110</v>
      </c>
      <c r="C1637" s="7" t="s">
        <v>12556</v>
      </c>
      <c r="D1637" s="8">
        <f t="shared" si="104"/>
        <v>1</v>
      </c>
      <c r="E1637" s="7" t="s">
        <v>12557</v>
      </c>
      <c r="F1637" s="7">
        <f t="shared" si="105"/>
        <v>1</v>
      </c>
      <c r="G1637" s="7" t="s">
        <v>12558</v>
      </c>
      <c r="H1637" s="7">
        <f t="shared" si="106"/>
        <v>0</v>
      </c>
      <c r="I1637" s="7" t="str" cm="1">
        <f t="array" ref="I1637">IFERROR(_xlfn.IFS(M1637="נח",1,M1637="נע ונח",1,M1637="שני שווא נח",2,M1637="שני שוואים בסוף מילה",2,M1637="שני שוואים ברצף",1),"0")</f>
        <v>0</v>
      </c>
      <c r="J1637" s="9">
        <f t="shared" si="107"/>
        <v>3</v>
      </c>
      <c r="K1637" t="s">
        <v>6697</v>
      </c>
      <c r="L1637" t="s">
        <v>6695</v>
      </c>
      <c r="O1637" t="s">
        <v>6694</v>
      </c>
      <c r="P1637" t="s">
        <v>6694</v>
      </c>
      <c r="S1637" t="s">
        <v>6694</v>
      </c>
      <c r="W1637" t="s">
        <v>6720</v>
      </c>
    </row>
    <row r="1638" spans="1:23" ht="15.6" x14ac:dyDescent="0.4">
      <c r="A1638" s="2" t="s">
        <v>724</v>
      </c>
      <c r="B1638" s="5" t="s">
        <v>8111</v>
      </c>
      <c r="C1638" s="7" t="s">
        <v>12556</v>
      </c>
      <c r="D1638" s="8">
        <f t="shared" si="104"/>
        <v>2</v>
      </c>
      <c r="E1638" s="7" t="s">
        <v>12557</v>
      </c>
      <c r="F1638" s="7">
        <f t="shared" si="105"/>
        <v>1</v>
      </c>
      <c r="G1638" s="7" t="s">
        <v>12558</v>
      </c>
      <c r="H1638" s="7">
        <f t="shared" si="106"/>
        <v>0</v>
      </c>
      <c r="I1638" s="7" t="str" cm="1">
        <f t="array" ref="I1638">IFERROR(_xlfn.IFS(M1638="נח",1,M1638="נע ונח",1,M1638="שני שווא נח",2,M1638="שני שוואים בסוף מילה",2,M1638="שני שוואים ברצף",1),"0")</f>
        <v>0</v>
      </c>
      <c r="J1638" s="9">
        <f t="shared" si="107"/>
        <v>3</v>
      </c>
      <c r="K1638" t="s">
        <v>6698</v>
      </c>
      <c r="L1638" t="s">
        <v>6695</v>
      </c>
      <c r="P1638" t="s">
        <v>6694</v>
      </c>
      <c r="R1638" t="s">
        <v>6694</v>
      </c>
      <c r="W1638" t="s">
        <v>6720</v>
      </c>
    </row>
    <row r="1639" spans="1:23" ht="15.6" x14ac:dyDescent="0.4">
      <c r="A1639" s="2" t="s">
        <v>6632</v>
      </c>
      <c r="B1639" s="5" t="s">
        <v>8112</v>
      </c>
      <c r="C1639" s="7" t="s">
        <v>12556</v>
      </c>
      <c r="D1639" s="8">
        <f t="shared" si="104"/>
        <v>1</v>
      </c>
      <c r="E1639" s="7" t="s">
        <v>12557</v>
      </c>
      <c r="F1639" s="7">
        <f t="shared" si="105"/>
        <v>2</v>
      </c>
      <c r="G1639" s="7" t="s">
        <v>12558</v>
      </c>
      <c r="H1639" s="7">
        <f t="shared" si="106"/>
        <v>0</v>
      </c>
      <c r="I1639" s="7" t="str" cm="1">
        <f t="array" ref="I1639">IFERROR(_xlfn.IFS(M1639="נח",1,M1639="נע ונח",1,M1639="שני שווא נח",2,M1639="שני שוואים בסוף מילה",2,M1639="שני שוואים ברצף",1),"0")</f>
        <v>0</v>
      </c>
      <c r="J1639" s="9">
        <f t="shared" si="107"/>
        <v>3</v>
      </c>
      <c r="K1639" t="s">
        <v>6698</v>
      </c>
      <c r="L1639" t="s">
        <v>6695</v>
      </c>
      <c r="N1639" t="s">
        <v>6706</v>
      </c>
      <c r="O1639" t="s">
        <v>6694</v>
      </c>
      <c r="P1639" t="s">
        <v>6694</v>
      </c>
      <c r="W1639" t="s">
        <v>6720</v>
      </c>
    </row>
    <row r="1640" spans="1:23" ht="15.6" x14ac:dyDescent="0.4">
      <c r="A1640" s="2" t="s">
        <v>3353</v>
      </c>
      <c r="B1640" s="5" t="s">
        <v>8113</v>
      </c>
      <c r="C1640" s="7" t="s">
        <v>12556</v>
      </c>
      <c r="D1640" s="8">
        <f t="shared" si="104"/>
        <v>1</v>
      </c>
      <c r="E1640" s="7" t="s">
        <v>12557</v>
      </c>
      <c r="F1640" s="7">
        <f t="shared" si="105"/>
        <v>1</v>
      </c>
      <c r="G1640" s="7" t="s">
        <v>12558</v>
      </c>
      <c r="H1640" s="7">
        <f t="shared" si="106"/>
        <v>0</v>
      </c>
      <c r="I1640" s="7" t="str" cm="1">
        <f t="array" ref="I1640">IFERROR(_xlfn.IFS(M1640="נח",1,M1640="נע ונח",1,M1640="שני שווא נח",2,M1640="שני שוואים בסוף מילה",2,M1640="שני שוואים ברצף",1),"0")</f>
        <v>0</v>
      </c>
      <c r="J1640" s="9">
        <f t="shared" si="107"/>
        <v>3</v>
      </c>
      <c r="K1640" t="s">
        <v>6698</v>
      </c>
      <c r="L1640" t="s">
        <v>6695</v>
      </c>
      <c r="P1640" t="s">
        <v>6694</v>
      </c>
      <c r="W1640" t="s">
        <v>6720</v>
      </c>
    </row>
    <row r="1641" spans="1:23" ht="15.6" x14ac:dyDescent="0.4">
      <c r="A1641" s="2" t="s">
        <v>1737</v>
      </c>
      <c r="B1641" s="5" t="s">
        <v>8114</v>
      </c>
      <c r="C1641" s="7" t="s">
        <v>12556</v>
      </c>
      <c r="D1641" s="8">
        <f t="shared" si="104"/>
        <v>1</v>
      </c>
      <c r="E1641" s="7" t="s">
        <v>12557</v>
      </c>
      <c r="F1641" s="7">
        <f t="shared" si="105"/>
        <v>1</v>
      </c>
      <c r="G1641" s="7" t="s">
        <v>12558</v>
      </c>
      <c r="H1641" s="7">
        <f t="shared" si="106"/>
        <v>0</v>
      </c>
      <c r="I1641" s="7" t="str" cm="1">
        <f t="array" ref="I1641">IFERROR(_xlfn.IFS(M1641="נח",1,M1641="נע ונח",1,M1641="שני שווא נח",2,M1641="שני שוואים בסוף מילה",2,M1641="שני שוואים ברצף",1),"0")</f>
        <v>0</v>
      </c>
      <c r="J1641" s="9">
        <f t="shared" si="107"/>
        <v>3</v>
      </c>
      <c r="K1641" t="s">
        <v>6698</v>
      </c>
      <c r="L1641" t="s">
        <v>6695</v>
      </c>
      <c r="P1641" t="s">
        <v>6694</v>
      </c>
      <c r="W1641" t="s">
        <v>6720</v>
      </c>
    </row>
    <row r="1642" spans="1:23" ht="15.6" x14ac:dyDescent="0.4">
      <c r="A1642" s="2" t="s">
        <v>6405</v>
      </c>
      <c r="B1642" s="5" t="s">
        <v>8115</v>
      </c>
      <c r="C1642" s="7" t="s">
        <v>12556</v>
      </c>
      <c r="D1642" s="8">
        <f t="shared" si="104"/>
        <v>1</v>
      </c>
      <c r="E1642" s="7" t="s">
        <v>12557</v>
      </c>
      <c r="F1642" s="7">
        <f t="shared" si="105"/>
        <v>1</v>
      </c>
      <c r="G1642" s="7" t="s">
        <v>12558</v>
      </c>
      <c r="H1642" s="7">
        <f t="shared" si="106"/>
        <v>0</v>
      </c>
      <c r="I1642" s="7" t="str" cm="1">
        <f t="array" ref="I1642">IFERROR(_xlfn.IFS(M1642="נח",1,M1642="נע ונח",1,M1642="שני שווא נח",2,M1642="שני שוואים בסוף מילה",2,M1642="שני שוואים ברצף",1),"0")</f>
        <v>0</v>
      </c>
      <c r="J1642" s="9">
        <f t="shared" si="107"/>
        <v>3</v>
      </c>
      <c r="K1642" t="s">
        <v>6698</v>
      </c>
      <c r="L1642" t="s">
        <v>6695</v>
      </c>
      <c r="O1642" t="s">
        <v>6694</v>
      </c>
      <c r="P1642" t="s">
        <v>6694</v>
      </c>
      <c r="W1642" t="s">
        <v>6720</v>
      </c>
    </row>
    <row r="1643" spans="1:23" ht="15.6" x14ac:dyDescent="0.4">
      <c r="A1643" s="2" t="s">
        <v>669</v>
      </c>
      <c r="B1643" s="5" t="s">
        <v>8116</v>
      </c>
      <c r="C1643" s="7" t="s">
        <v>12556</v>
      </c>
      <c r="D1643" s="8">
        <f t="shared" si="104"/>
        <v>1</v>
      </c>
      <c r="E1643" s="7" t="s">
        <v>12557</v>
      </c>
      <c r="F1643" s="7">
        <f t="shared" si="105"/>
        <v>1</v>
      </c>
      <c r="G1643" s="7" t="s">
        <v>12558</v>
      </c>
      <c r="H1643" s="7">
        <f t="shared" si="106"/>
        <v>0</v>
      </c>
      <c r="I1643" s="7" t="str" cm="1">
        <f t="array" ref="I1643">IFERROR(_xlfn.IFS(M1643="נח",1,M1643="נע ונח",1,M1643="שני שווא נח",2,M1643="שני שוואים בסוף מילה",2,M1643="שני שוואים ברצף",1),"0")</f>
        <v>0</v>
      </c>
      <c r="J1643" s="9">
        <f t="shared" si="107"/>
        <v>4</v>
      </c>
      <c r="K1643" t="s">
        <v>6698</v>
      </c>
      <c r="L1643" t="s">
        <v>6695</v>
      </c>
      <c r="O1643" t="s">
        <v>6694</v>
      </c>
      <c r="P1643" t="s">
        <v>6694</v>
      </c>
      <c r="S1643" t="s">
        <v>6694</v>
      </c>
      <c r="W1643" t="s">
        <v>6720</v>
      </c>
    </row>
    <row r="1644" spans="1:23" ht="15.6" x14ac:dyDescent="0.4">
      <c r="A1644" s="2" t="s">
        <v>1411</v>
      </c>
      <c r="B1644" s="5" t="s">
        <v>8116</v>
      </c>
      <c r="C1644" s="7" t="s">
        <v>12556</v>
      </c>
      <c r="D1644" s="8">
        <f t="shared" si="104"/>
        <v>1</v>
      </c>
      <c r="E1644" s="7" t="s">
        <v>12557</v>
      </c>
      <c r="F1644" s="7">
        <f t="shared" si="105"/>
        <v>1</v>
      </c>
      <c r="G1644" s="7" t="s">
        <v>12558</v>
      </c>
      <c r="H1644" s="7">
        <f t="shared" si="106"/>
        <v>0</v>
      </c>
      <c r="I1644" s="7" t="str" cm="1">
        <f t="array" ref="I1644">IFERROR(_xlfn.IFS(M1644="נח",1,M1644="נע ונח",1,M1644="שני שווא נח",2,M1644="שני שוואים בסוף מילה",2,M1644="שני שוואים ברצף",1),"0")</f>
        <v>0</v>
      </c>
      <c r="J1644" s="9">
        <f t="shared" si="107"/>
        <v>4</v>
      </c>
      <c r="K1644" t="s">
        <v>6698</v>
      </c>
      <c r="L1644" t="s">
        <v>6695</v>
      </c>
      <c r="N1644" t="s">
        <v>6706</v>
      </c>
      <c r="O1644" t="s">
        <v>6694</v>
      </c>
      <c r="P1644" t="s">
        <v>6694</v>
      </c>
      <c r="S1644" t="s">
        <v>6694</v>
      </c>
      <c r="W1644" t="s">
        <v>6720</v>
      </c>
    </row>
    <row r="1645" spans="1:23" ht="15.6" x14ac:dyDescent="0.4">
      <c r="A1645" s="2" t="s">
        <v>6626</v>
      </c>
      <c r="B1645" s="5" t="s">
        <v>8117</v>
      </c>
      <c r="C1645" s="7" t="s">
        <v>12556</v>
      </c>
      <c r="D1645" s="8">
        <f t="shared" si="104"/>
        <v>1</v>
      </c>
      <c r="E1645" s="7" t="s">
        <v>12557</v>
      </c>
      <c r="F1645" s="7">
        <f t="shared" si="105"/>
        <v>2</v>
      </c>
      <c r="G1645" s="7" t="s">
        <v>12558</v>
      </c>
      <c r="H1645" s="7">
        <f t="shared" si="106"/>
        <v>1</v>
      </c>
      <c r="I1645" s="7" cm="1">
        <f t="array" ref="I1645">IFERROR(_xlfn.IFS(M1645="נח",1,M1645="נע ונח",1,M1645="שני שווא נח",2,M1645="שני שוואים בסוף מילה",2,M1645="שני שוואים ברצף",1),"0")</f>
        <v>1</v>
      </c>
      <c r="J1645" s="9">
        <f t="shared" si="107"/>
        <v>3</v>
      </c>
      <c r="K1645" t="s">
        <v>6698</v>
      </c>
      <c r="L1645" t="s">
        <v>6694</v>
      </c>
      <c r="M1645" t="s">
        <v>6705</v>
      </c>
      <c r="O1645" t="s">
        <v>6694</v>
      </c>
      <c r="P1645" t="s">
        <v>6694</v>
      </c>
      <c r="U1645" t="s">
        <v>6694</v>
      </c>
      <c r="W1645" t="s">
        <v>6720</v>
      </c>
    </row>
    <row r="1646" spans="1:23" ht="15.6" x14ac:dyDescent="0.4">
      <c r="A1646" s="2" t="s">
        <v>2449</v>
      </c>
      <c r="B1646" s="5" t="s">
        <v>8118</v>
      </c>
      <c r="C1646" s="7" t="s">
        <v>12556</v>
      </c>
      <c r="D1646" s="8">
        <f t="shared" si="104"/>
        <v>1</v>
      </c>
      <c r="E1646" s="7" t="s">
        <v>12557</v>
      </c>
      <c r="F1646" s="7">
        <f t="shared" si="105"/>
        <v>1</v>
      </c>
      <c r="G1646" s="7" t="s">
        <v>12558</v>
      </c>
      <c r="H1646" s="7">
        <f t="shared" si="106"/>
        <v>0</v>
      </c>
      <c r="I1646" s="7" t="str" cm="1">
        <f t="array" ref="I1646">IFERROR(_xlfn.IFS(M1646="נח",1,M1646="נע ונח",1,M1646="שני שווא נח",2,M1646="שני שוואים בסוף מילה",2,M1646="שני שוואים ברצף",1),"0")</f>
        <v>0</v>
      </c>
      <c r="J1646" s="9">
        <f t="shared" si="107"/>
        <v>3</v>
      </c>
      <c r="K1646" t="s">
        <v>6698</v>
      </c>
      <c r="L1646" t="s">
        <v>6695</v>
      </c>
      <c r="O1646" t="s">
        <v>6694</v>
      </c>
      <c r="P1646" t="s">
        <v>6694</v>
      </c>
      <c r="V1646" t="s">
        <v>6694</v>
      </c>
      <c r="W1646" t="s">
        <v>6720</v>
      </c>
    </row>
    <row r="1647" spans="1:23" ht="15.6" x14ac:dyDescent="0.4">
      <c r="A1647" s="2" t="s">
        <v>274</v>
      </c>
      <c r="B1647" s="5" t="s">
        <v>8119</v>
      </c>
      <c r="C1647" s="7" t="s">
        <v>12556</v>
      </c>
      <c r="D1647" s="8">
        <f t="shared" si="104"/>
        <v>1</v>
      </c>
      <c r="E1647" s="7" t="s">
        <v>12557</v>
      </c>
      <c r="F1647" s="7">
        <f t="shared" si="105"/>
        <v>1</v>
      </c>
      <c r="G1647" s="7" t="s">
        <v>12558</v>
      </c>
      <c r="H1647" s="7">
        <f t="shared" si="106"/>
        <v>0</v>
      </c>
      <c r="I1647" s="7" t="str" cm="1">
        <f t="array" ref="I1647">IFERROR(_xlfn.IFS(M1647="נח",1,M1647="נע ונח",1,M1647="שני שווא נח",2,M1647="שני שוואים בסוף מילה",2,M1647="שני שוואים ברצף",1),"0")</f>
        <v>0</v>
      </c>
      <c r="J1647" s="9">
        <f t="shared" si="107"/>
        <v>3</v>
      </c>
      <c r="K1647" t="s">
        <v>6698</v>
      </c>
      <c r="L1647" t="s">
        <v>6695</v>
      </c>
      <c r="P1647" t="s">
        <v>6694</v>
      </c>
      <c r="S1647" t="s">
        <v>6694</v>
      </c>
      <c r="V1647" t="s">
        <v>6694</v>
      </c>
      <c r="W1647" t="s">
        <v>6720</v>
      </c>
    </row>
    <row r="1648" spans="1:23" ht="15.6" x14ac:dyDescent="0.4">
      <c r="A1648" s="2" t="s">
        <v>1382</v>
      </c>
      <c r="B1648" s="5" t="s">
        <v>8120</v>
      </c>
      <c r="C1648" s="7" t="s">
        <v>12556</v>
      </c>
      <c r="D1648" s="8">
        <f t="shared" si="104"/>
        <v>1</v>
      </c>
      <c r="E1648" s="7" t="s">
        <v>12557</v>
      </c>
      <c r="F1648" s="7">
        <f t="shared" si="105"/>
        <v>1</v>
      </c>
      <c r="G1648" s="7" t="s">
        <v>12558</v>
      </c>
      <c r="H1648" s="7">
        <f t="shared" si="106"/>
        <v>0</v>
      </c>
      <c r="I1648" s="7" t="str" cm="1">
        <f t="array" ref="I1648">IFERROR(_xlfn.IFS(M1648="נח",1,M1648="נע ונח",1,M1648="שני שווא נח",2,M1648="שני שוואים בסוף מילה",2,M1648="שני שוואים ברצף",1),"0")</f>
        <v>0</v>
      </c>
      <c r="J1648" s="9">
        <f t="shared" si="107"/>
        <v>4</v>
      </c>
      <c r="K1648" t="s">
        <v>6697</v>
      </c>
      <c r="L1648" t="s">
        <v>6695</v>
      </c>
      <c r="N1648" t="s">
        <v>6707</v>
      </c>
      <c r="P1648" t="s">
        <v>6694</v>
      </c>
      <c r="Q1648" t="s">
        <v>6694</v>
      </c>
      <c r="V1648" t="s">
        <v>6694</v>
      </c>
      <c r="W1648" t="s">
        <v>6720</v>
      </c>
    </row>
    <row r="1649" spans="1:23" ht="15.6" x14ac:dyDescent="0.4">
      <c r="A1649" s="2" t="s">
        <v>3369</v>
      </c>
      <c r="B1649" s="5" t="s">
        <v>8121</v>
      </c>
      <c r="C1649" s="7" t="s">
        <v>12556</v>
      </c>
      <c r="D1649" s="8">
        <f t="shared" si="104"/>
        <v>1</v>
      </c>
      <c r="E1649" s="7" t="s">
        <v>12557</v>
      </c>
      <c r="F1649" s="7">
        <f t="shared" si="105"/>
        <v>1</v>
      </c>
      <c r="G1649" s="7" t="s">
        <v>12558</v>
      </c>
      <c r="H1649" s="7">
        <f t="shared" si="106"/>
        <v>0</v>
      </c>
      <c r="I1649" s="7" cm="1">
        <f t="array" ref="I1649">IFERROR(_xlfn.IFS(M1649="נח",1,M1649="נע ונח",1,M1649="שני שווא נח",2,M1649="שני שוואים בסוף מילה",2,M1649="שני שוואים ברצף",1),"0")</f>
        <v>1</v>
      </c>
      <c r="J1649" s="9">
        <f t="shared" si="107"/>
        <v>3</v>
      </c>
      <c r="K1649" t="s">
        <v>6698</v>
      </c>
      <c r="L1649" t="s">
        <v>6694</v>
      </c>
      <c r="M1649" t="s">
        <v>6705</v>
      </c>
      <c r="P1649" t="s">
        <v>6694</v>
      </c>
      <c r="S1649" t="s">
        <v>6694</v>
      </c>
      <c r="V1649" t="s">
        <v>6694</v>
      </c>
      <c r="W1649" t="s">
        <v>6720</v>
      </c>
    </row>
    <row r="1650" spans="1:23" ht="15.6" x14ac:dyDescent="0.4">
      <c r="A1650" s="2" t="s">
        <v>1319</v>
      </c>
      <c r="B1650" s="5" t="s">
        <v>8122</v>
      </c>
      <c r="C1650" s="7" t="s">
        <v>12556</v>
      </c>
      <c r="D1650" s="8">
        <f t="shared" si="104"/>
        <v>1</v>
      </c>
      <c r="E1650" s="7" t="s">
        <v>12557</v>
      </c>
      <c r="F1650" s="7">
        <f t="shared" si="105"/>
        <v>1</v>
      </c>
      <c r="G1650" s="7" t="s">
        <v>12558</v>
      </c>
      <c r="H1650" s="7">
        <f t="shared" si="106"/>
        <v>0</v>
      </c>
      <c r="I1650" s="7" t="str" cm="1">
        <f t="array" ref="I1650">IFERROR(_xlfn.IFS(M1650="נח",1,M1650="נע ונח",1,M1650="שני שווא נח",2,M1650="שני שוואים בסוף מילה",2,M1650="שני שוואים ברצף",1),"0")</f>
        <v>0</v>
      </c>
      <c r="J1650" s="9">
        <f t="shared" si="107"/>
        <v>3</v>
      </c>
      <c r="K1650" t="s">
        <v>6698</v>
      </c>
      <c r="L1650" t="s">
        <v>6695</v>
      </c>
      <c r="P1650" t="s">
        <v>6694</v>
      </c>
      <c r="Q1650" t="s">
        <v>6694</v>
      </c>
      <c r="V1650" t="s">
        <v>6694</v>
      </c>
      <c r="W1650" t="s">
        <v>6720</v>
      </c>
    </row>
    <row r="1651" spans="1:23" ht="15.6" x14ac:dyDescent="0.4">
      <c r="A1651" s="2" t="s">
        <v>2285</v>
      </c>
      <c r="B1651" s="5" t="s">
        <v>7942</v>
      </c>
      <c r="C1651" s="7" t="s">
        <v>12556</v>
      </c>
      <c r="D1651" s="8">
        <f t="shared" si="104"/>
        <v>1</v>
      </c>
      <c r="E1651" s="7" t="s">
        <v>12557</v>
      </c>
      <c r="F1651" s="7">
        <f t="shared" si="105"/>
        <v>2</v>
      </c>
      <c r="G1651" s="7" t="s">
        <v>12558</v>
      </c>
      <c r="H1651" s="7">
        <f t="shared" si="106"/>
        <v>1</v>
      </c>
      <c r="I1651" s="7" cm="1">
        <f t="array" ref="I1651">IFERROR(_xlfn.IFS(M1651="נח",1,M1651="נע ונח",1,M1651="שני שווא נח",2,M1651="שני שוואים בסוף מילה",2,M1651="שני שוואים ברצף",1),"0")</f>
        <v>1</v>
      </c>
      <c r="J1651" s="9">
        <f t="shared" si="107"/>
        <v>3</v>
      </c>
      <c r="K1651" t="s">
        <v>6697</v>
      </c>
      <c r="L1651" t="s">
        <v>6694</v>
      </c>
      <c r="M1651" t="s">
        <v>6705</v>
      </c>
      <c r="P1651" t="s">
        <v>6694</v>
      </c>
      <c r="S1651" t="s">
        <v>6694</v>
      </c>
      <c r="U1651" t="s">
        <v>6694</v>
      </c>
      <c r="W1651" t="s">
        <v>6720</v>
      </c>
    </row>
    <row r="1652" spans="1:23" ht="15.6" x14ac:dyDescent="0.4">
      <c r="A1652" s="2" t="s">
        <v>2848</v>
      </c>
      <c r="B1652" s="5" t="s">
        <v>8123</v>
      </c>
      <c r="C1652" s="7" t="s">
        <v>12556</v>
      </c>
      <c r="D1652" s="8">
        <f t="shared" si="104"/>
        <v>1</v>
      </c>
      <c r="E1652" s="7" t="s">
        <v>12557</v>
      </c>
      <c r="F1652" s="7">
        <f t="shared" si="105"/>
        <v>1</v>
      </c>
      <c r="G1652" s="7" t="s">
        <v>12558</v>
      </c>
      <c r="H1652" s="7">
        <f t="shared" si="106"/>
        <v>0</v>
      </c>
      <c r="I1652" s="7" t="str" cm="1">
        <f t="array" ref="I1652">IFERROR(_xlfn.IFS(M1652="נח",1,M1652="נע ונח",1,M1652="שני שווא נח",2,M1652="שני שוואים בסוף מילה",2,M1652="שני שוואים ברצף",1),"0")</f>
        <v>0</v>
      </c>
      <c r="J1652" s="9">
        <f t="shared" si="107"/>
        <v>3</v>
      </c>
      <c r="K1652" t="s">
        <v>6697</v>
      </c>
      <c r="L1652" t="s">
        <v>6695</v>
      </c>
      <c r="O1652" t="s">
        <v>6694</v>
      </c>
      <c r="P1652" t="s">
        <v>6694</v>
      </c>
      <c r="R1652" t="s">
        <v>6694</v>
      </c>
      <c r="W1652" t="s">
        <v>6720</v>
      </c>
    </row>
    <row r="1653" spans="1:23" ht="15.6" x14ac:dyDescent="0.4">
      <c r="A1653" s="2" t="s">
        <v>624</v>
      </c>
      <c r="B1653" s="5" t="s">
        <v>8124</v>
      </c>
      <c r="C1653" s="7" t="s">
        <v>12556</v>
      </c>
      <c r="D1653" s="8">
        <f t="shared" si="104"/>
        <v>1</v>
      </c>
      <c r="E1653" s="7" t="s">
        <v>12557</v>
      </c>
      <c r="F1653" s="7">
        <f t="shared" si="105"/>
        <v>1</v>
      </c>
      <c r="G1653" s="7" t="s">
        <v>12558</v>
      </c>
      <c r="H1653" s="7">
        <f t="shared" si="106"/>
        <v>0</v>
      </c>
      <c r="I1653" s="7" t="str" cm="1">
        <f t="array" ref="I1653">IFERROR(_xlfn.IFS(M1653="נח",1,M1653="נע ונח",1,M1653="שני שווא נח",2,M1653="שני שוואים בסוף מילה",2,M1653="שני שוואים ברצף",1),"0")</f>
        <v>0</v>
      </c>
      <c r="J1653" s="9">
        <f t="shared" si="107"/>
        <v>2</v>
      </c>
      <c r="K1653" t="s">
        <v>6698</v>
      </c>
      <c r="L1653" t="s">
        <v>6695</v>
      </c>
      <c r="N1653" t="s">
        <v>6706</v>
      </c>
      <c r="O1653" t="s">
        <v>6694</v>
      </c>
      <c r="P1653" t="s">
        <v>6694</v>
      </c>
      <c r="W1653" t="s">
        <v>6720</v>
      </c>
    </row>
    <row r="1654" spans="1:23" ht="15.6" x14ac:dyDescent="0.4">
      <c r="A1654" s="2" t="s">
        <v>5505</v>
      </c>
      <c r="B1654" s="5" t="s">
        <v>8125</v>
      </c>
      <c r="C1654" s="7" t="s">
        <v>12556</v>
      </c>
      <c r="D1654" s="8">
        <f t="shared" si="104"/>
        <v>1</v>
      </c>
      <c r="E1654" s="7" t="s">
        <v>12557</v>
      </c>
      <c r="F1654" s="7">
        <f t="shared" si="105"/>
        <v>1</v>
      </c>
      <c r="G1654" s="7" t="s">
        <v>12558</v>
      </c>
      <c r="H1654" s="7">
        <f t="shared" si="106"/>
        <v>0</v>
      </c>
      <c r="I1654" s="7" t="str" cm="1">
        <f t="array" ref="I1654">IFERROR(_xlfn.IFS(M1654="נח",1,M1654="נע ונח",1,M1654="שני שווא נח",2,M1654="שני שוואים בסוף מילה",2,M1654="שני שוואים ברצף",1),"0")</f>
        <v>0</v>
      </c>
      <c r="J1654" s="9">
        <f t="shared" si="107"/>
        <v>3</v>
      </c>
      <c r="K1654" t="s">
        <v>6698</v>
      </c>
      <c r="L1654" t="s">
        <v>6695</v>
      </c>
      <c r="O1654" t="s">
        <v>6694</v>
      </c>
      <c r="P1654" t="s">
        <v>6694</v>
      </c>
      <c r="S1654" t="s">
        <v>6694</v>
      </c>
      <c r="W1654" t="s">
        <v>6720</v>
      </c>
    </row>
    <row r="1655" spans="1:23" ht="15.6" x14ac:dyDescent="0.4">
      <c r="A1655" s="2" t="s">
        <v>1765</v>
      </c>
      <c r="B1655" s="5" t="s">
        <v>8126</v>
      </c>
      <c r="C1655" s="7" t="s">
        <v>12556</v>
      </c>
      <c r="D1655" s="8">
        <f t="shared" si="104"/>
        <v>0</v>
      </c>
      <c r="E1655" s="7" t="s">
        <v>12557</v>
      </c>
      <c r="F1655" s="7">
        <f t="shared" si="105"/>
        <v>0</v>
      </c>
      <c r="G1655" s="7" t="s">
        <v>12558</v>
      </c>
      <c r="H1655" s="7">
        <f t="shared" si="106"/>
        <v>0</v>
      </c>
      <c r="I1655" s="7" t="str" cm="1">
        <f t="array" ref="I1655">IFERROR(_xlfn.IFS(M1655="נח",1,M1655="נע ונח",1,M1655="שני שווא נח",2,M1655="שני שוואים בסוף מילה",2,M1655="שני שוואים ברצף",1),"0")</f>
        <v>0</v>
      </c>
      <c r="J1655" s="9">
        <f t="shared" si="107"/>
        <v>4</v>
      </c>
      <c r="K1655" t="s">
        <v>6698</v>
      </c>
      <c r="L1655" t="s">
        <v>6695</v>
      </c>
      <c r="O1655" t="s">
        <v>6694</v>
      </c>
      <c r="R1655" t="s">
        <v>6694</v>
      </c>
      <c r="S1655" t="s">
        <v>6694</v>
      </c>
      <c r="V1655" t="s">
        <v>6694</v>
      </c>
      <c r="W1655" t="s">
        <v>6720</v>
      </c>
    </row>
    <row r="1656" spans="1:23" ht="15.6" x14ac:dyDescent="0.4">
      <c r="A1656" s="2" t="s">
        <v>1268</v>
      </c>
      <c r="B1656" s="5" t="s">
        <v>8127</v>
      </c>
      <c r="C1656" s="7" t="s">
        <v>12556</v>
      </c>
      <c r="D1656" s="8">
        <f t="shared" si="104"/>
        <v>0</v>
      </c>
      <c r="E1656" s="7" t="s">
        <v>12557</v>
      </c>
      <c r="F1656" s="7">
        <f t="shared" si="105"/>
        <v>0</v>
      </c>
      <c r="G1656" s="7" t="s">
        <v>12558</v>
      </c>
      <c r="H1656" s="7">
        <f t="shared" si="106"/>
        <v>0</v>
      </c>
      <c r="I1656" s="7" t="str" cm="1">
        <f t="array" ref="I1656">IFERROR(_xlfn.IFS(M1656="נח",1,M1656="נע ונח",1,M1656="שני שווא נח",2,M1656="שני שוואים בסוף מילה",2,M1656="שני שוואים ברצף",1),"0")</f>
        <v>0</v>
      </c>
      <c r="J1656" s="9">
        <f t="shared" si="107"/>
        <v>4</v>
      </c>
      <c r="K1656" t="s">
        <v>6697</v>
      </c>
      <c r="L1656" t="s">
        <v>6695</v>
      </c>
      <c r="O1656" t="s">
        <v>6694</v>
      </c>
      <c r="R1656" t="s">
        <v>6694</v>
      </c>
      <c r="S1656" t="s">
        <v>6694</v>
      </c>
      <c r="V1656" t="s">
        <v>6694</v>
      </c>
      <c r="W1656" t="s">
        <v>6720</v>
      </c>
    </row>
    <row r="1657" spans="1:23" ht="15.6" x14ac:dyDescent="0.4">
      <c r="A1657" s="2" t="s">
        <v>3936</v>
      </c>
      <c r="B1657" s="5" t="s">
        <v>8128</v>
      </c>
      <c r="C1657" s="7" t="s">
        <v>12556</v>
      </c>
      <c r="D1657" s="8">
        <f t="shared" si="104"/>
        <v>0</v>
      </c>
      <c r="E1657" s="7" t="s">
        <v>12557</v>
      </c>
      <c r="F1657" s="7">
        <f t="shared" si="105"/>
        <v>0</v>
      </c>
      <c r="G1657" s="7" t="s">
        <v>12558</v>
      </c>
      <c r="H1657" s="7">
        <f t="shared" si="106"/>
        <v>0</v>
      </c>
      <c r="I1657" s="7" t="str" cm="1">
        <f t="array" ref="I1657">IFERROR(_xlfn.IFS(M1657="נח",1,M1657="נע ונח",1,M1657="שני שווא נח",2,M1657="שני שוואים בסוף מילה",2,M1657="שני שוואים ברצף",1),"0")</f>
        <v>0</v>
      </c>
      <c r="J1657" s="9">
        <f t="shared" si="107"/>
        <v>4</v>
      </c>
      <c r="K1657" t="s">
        <v>6697</v>
      </c>
      <c r="L1657" t="s">
        <v>6695</v>
      </c>
      <c r="O1657" t="s">
        <v>6694</v>
      </c>
      <c r="P1657" t="s">
        <v>6694</v>
      </c>
      <c r="S1657" t="s">
        <v>6694</v>
      </c>
      <c r="V1657" t="s">
        <v>6694</v>
      </c>
      <c r="W1657" t="s">
        <v>6720</v>
      </c>
    </row>
    <row r="1658" spans="1:23" ht="15.6" x14ac:dyDescent="0.4">
      <c r="A1658" s="2" t="s">
        <v>1767</v>
      </c>
      <c r="B1658" s="5" t="s">
        <v>8129</v>
      </c>
      <c r="C1658" s="7" t="s">
        <v>12556</v>
      </c>
      <c r="D1658" s="8">
        <f t="shared" si="104"/>
        <v>0</v>
      </c>
      <c r="E1658" s="7" t="s">
        <v>12557</v>
      </c>
      <c r="F1658" s="7">
        <f t="shared" si="105"/>
        <v>0</v>
      </c>
      <c r="G1658" s="7" t="s">
        <v>12558</v>
      </c>
      <c r="H1658" s="7">
        <f t="shared" si="106"/>
        <v>0</v>
      </c>
      <c r="I1658" s="7" t="str" cm="1">
        <f t="array" ref="I1658">IFERROR(_xlfn.IFS(M1658="נח",1,M1658="נע ונח",1,M1658="שני שווא נח",2,M1658="שני שוואים בסוף מילה",2,M1658="שני שוואים ברצף",1),"0")</f>
        <v>0</v>
      </c>
      <c r="J1658" s="9">
        <f t="shared" si="107"/>
        <v>4</v>
      </c>
      <c r="K1658" t="s">
        <v>6698</v>
      </c>
      <c r="L1658" t="s">
        <v>6695</v>
      </c>
      <c r="O1658" t="s">
        <v>6694</v>
      </c>
      <c r="P1658" t="s">
        <v>6694</v>
      </c>
      <c r="S1658" t="s">
        <v>6694</v>
      </c>
      <c r="V1658" t="s">
        <v>6694</v>
      </c>
      <c r="W1658" t="s">
        <v>6720</v>
      </c>
    </row>
    <row r="1659" spans="1:23" ht="15.6" x14ac:dyDescent="0.4">
      <c r="A1659" s="2" t="s">
        <v>3211</v>
      </c>
      <c r="B1659" s="5" t="s">
        <v>8130</v>
      </c>
      <c r="C1659" s="7" t="s">
        <v>12556</v>
      </c>
      <c r="D1659" s="8">
        <f t="shared" si="104"/>
        <v>0</v>
      </c>
      <c r="E1659" s="7" t="s">
        <v>12557</v>
      </c>
      <c r="F1659" s="7">
        <f t="shared" si="105"/>
        <v>0</v>
      </c>
      <c r="G1659" s="7" t="s">
        <v>12558</v>
      </c>
      <c r="H1659" s="7">
        <f t="shared" si="106"/>
        <v>0</v>
      </c>
      <c r="I1659" s="7" t="str" cm="1">
        <f t="array" ref="I1659">IFERROR(_xlfn.IFS(M1659="נח",1,M1659="נע ונח",1,M1659="שני שווא נח",2,M1659="שני שוואים בסוף מילה",2,M1659="שני שוואים ברצף",1),"0")</f>
        <v>0</v>
      </c>
      <c r="J1659" s="9">
        <f t="shared" si="107"/>
        <v>3</v>
      </c>
      <c r="K1659" t="s">
        <v>6697</v>
      </c>
      <c r="L1659" t="s">
        <v>6695</v>
      </c>
      <c r="O1659" t="s">
        <v>6694</v>
      </c>
      <c r="S1659" t="s">
        <v>6694</v>
      </c>
      <c r="W1659" t="s">
        <v>6720</v>
      </c>
    </row>
    <row r="1660" spans="1:23" ht="15.6" x14ac:dyDescent="0.4">
      <c r="A1660" s="2" t="s">
        <v>163</v>
      </c>
      <c r="B1660" s="5" t="s">
        <v>8131</v>
      </c>
      <c r="C1660" s="7" t="s">
        <v>12556</v>
      </c>
      <c r="D1660" s="8">
        <f t="shared" si="104"/>
        <v>1</v>
      </c>
      <c r="E1660" s="7" t="s">
        <v>12557</v>
      </c>
      <c r="F1660" s="7">
        <f t="shared" si="105"/>
        <v>0</v>
      </c>
      <c r="G1660" s="7" t="s">
        <v>12558</v>
      </c>
      <c r="H1660" s="7">
        <f t="shared" si="106"/>
        <v>0</v>
      </c>
      <c r="I1660" s="7" t="str" cm="1">
        <f t="array" ref="I1660">IFERROR(_xlfn.IFS(M1660="נח",1,M1660="נע ונח",1,M1660="שני שווא נח",2,M1660="שני שוואים בסוף מילה",2,M1660="שני שוואים ברצף",1),"0")</f>
        <v>0</v>
      </c>
      <c r="J1660" s="9">
        <f t="shared" si="107"/>
        <v>2</v>
      </c>
      <c r="K1660" t="s">
        <v>6698</v>
      </c>
      <c r="L1660" t="s">
        <v>6695</v>
      </c>
      <c r="O1660" t="s">
        <v>6694</v>
      </c>
      <c r="S1660" t="s">
        <v>6694</v>
      </c>
      <c r="W1660" t="s">
        <v>6720</v>
      </c>
    </row>
    <row r="1661" spans="1:23" ht="15.6" x14ac:dyDescent="0.4">
      <c r="A1661" s="2" t="s">
        <v>1867</v>
      </c>
      <c r="B1661" s="5" t="s">
        <v>8132</v>
      </c>
      <c r="C1661" s="7" t="s">
        <v>12556</v>
      </c>
      <c r="D1661" s="8">
        <f t="shared" si="104"/>
        <v>0</v>
      </c>
      <c r="E1661" s="7" t="s">
        <v>12557</v>
      </c>
      <c r="F1661" s="7">
        <f t="shared" si="105"/>
        <v>0</v>
      </c>
      <c r="G1661" s="7" t="s">
        <v>12558</v>
      </c>
      <c r="H1661" s="7">
        <f t="shared" si="106"/>
        <v>0</v>
      </c>
      <c r="I1661" s="7" t="str" cm="1">
        <f t="array" ref="I1661">IFERROR(_xlfn.IFS(M1661="נח",1,M1661="נע ונח",1,M1661="שני שווא נח",2,M1661="שני שוואים בסוף מילה",2,M1661="שני שוואים ברצף",1),"0")</f>
        <v>0</v>
      </c>
      <c r="J1661" s="9">
        <f t="shared" si="107"/>
        <v>2</v>
      </c>
      <c r="K1661" t="s">
        <v>6698</v>
      </c>
      <c r="L1661" t="s">
        <v>6695</v>
      </c>
      <c r="O1661" t="s">
        <v>6694</v>
      </c>
      <c r="Q1661" t="s">
        <v>6694</v>
      </c>
      <c r="W1661" t="s">
        <v>6720</v>
      </c>
    </row>
    <row r="1662" spans="1:23" ht="15.6" x14ac:dyDescent="0.4">
      <c r="A1662" s="2" t="s">
        <v>4837</v>
      </c>
      <c r="B1662" s="5" t="s">
        <v>8133</v>
      </c>
      <c r="C1662" s="7" t="s">
        <v>12556</v>
      </c>
      <c r="D1662" s="8">
        <f t="shared" si="104"/>
        <v>0</v>
      </c>
      <c r="E1662" s="7" t="s">
        <v>12557</v>
      </c>
      <c r="F1662" s="7">
        <f t="shared" si="105"/>
        <v>0</v>
      </c>
      <c r="G1662" s="7" t="s">
        <v>12558</v>
      </c>
      <c r="H1662" s="7">
        <f t="shared" si="106"/>
        <v>0</v>
      </c>
      <c r="I1662" s="7" t="str" cm="1">
        <f t="array" ref="I1662">IFERROR(_xlfn.IFS(M1662="נח",1,M1662="נע ונח",1,M1662="שני שווא נח",2,M1662="שני שוואים בסוף מילה",2,M1662="שני שוואים ברצף",1),"0")</f>
        <v>0</v>
      </c>
      <c r="J1662" s="9">
        <f t="shared" si="107"/>
        <v>2</v>
      </c>
      <c r="K1662" t="s">
        <v>6698</v>
      </c>
      <c r="L1662" t="s">
        <v>6695</v>
      </c>
      <c r="O1662" t="s">
        <v>6694</v>
      </c>
      <c r="Q1662" t="s">
        <v>6694</v>
      </c>
      <c r="W1662" t="s">
        <v>6720</v>
      </c>
    </row>
    <row r="1663" spans="1:23" ht="15.6" x14ac:dyDescent="0.4">
      <c r="A1663" s="2" t="s">
        <v>6667</v>
      </c>
      <c r="B1663" s="5" t="s">
        <v>8134</v>
      </c>
      <c r="C1663" s="7" t="s">
        <v>12556</v>
      </c>
      <c r="D1663" s="8">
        <f t="shared" si="104"/>
        <v>0</v>
      </c>
      <c r="E1663" s="7" t="s">
        <v>12557</v>
      </c>
      <c r="F1663" s="7">
        <f t="shared" si="105"/>
        <v>0</v>
      </c>
      <c r="G1663" s="7" t="s">
        <v>12558</v>
      </c>
      <c r="H1663" s="7">
        <f t="shared" si="106"/>
        <v>0</v>
      </c>
      <c r="I1663" s="7" cm="1">
        <f t="array" ref="I1663">IFERROR(_xlfn.IFS(M1663="נח",1,M1663="נע ונח",1,M1663="שני שווא נח",2,M1663="שני שוואים בסוף מילה",2,M1663="שני שוואים ברצף",1),"0")</f>
        <v>1</v>
      </c>
      <c r="J1663" s="9">
        <f t="shared" si="107"/>
        <v>4</v>
      </c>
      <c r="K1663" t="s">
        <v>6697</v>
      </c>
      <c r="L1663" t="s">
        <v>6694</v>
      </c>
      <c r="M1663" t="s">
        <v>6705</v>
      </c>
      <c r="O1663" t="s">
        <v>6694</v>
      </c>
      <c r="R1663" t="s">
        <v>6694</v>
      </c>
      <c r="S1663" t="s">
        <v>6694</v>
      </c>
      <c r="W1663" t="s">
        <v>6720</v>
      </c>
    </row>
    <row r="1664" spans="1:23" ht="15.6" x14ac:dyDescent="0.4">
      <c r="A1664" s="2" t="s">
        <v>361</v>
      </c>
      <c r="B1664" s="5" t="s">
        <v>8135</v>
      </c>
      <c r="C1664" s="7" t="s">
        <v>12556</v>
      </c>
      <c r="D1664" s="8">
        <f t="shared" si="104"/>
        <v>0</v>
      </c>
      <c r="E1664" s="7" t="s">
        <v>12557</v>
      </c>
      <c r="F1664" s="7">
        <f t="shared" si="105"/>
        <v>0</v>
      </c>
      <c r="G1664" s="7" t="s">
        <v>12558</v>
      </c>
      <c r="H1664" s="7">
        <f t="shared" si="106"/>
        <v>0</v>
      </c>
      <c r="I1664" s="7" t="str" cm="1">
        <f t="array" ref="I1664">IFERROR(_xlfn.IFS(M1664="נח",1,M1664="נע ונח",1,M1664="שני שווא נח",2,M1664="שני שוואים בסוף מילה",2,M1664="שני שוואים ברצף",1),"0")</f>
        <v>0</v>
      </c>
      <c r="J1664" s="9">
        <f t="shared" si="107"/>
        <v>3</v>
      </c>
      <c r="K1664" t="s">
        <v>6698</v>
      </c>
      <c r="L1664" t="s">
        <v>6695</v>
      </c>
      <c r="N1664" t="s">
        <v>6706</v>
      </c>
      <c r="O1664" t="s">
        <v>6694</v>
      </c>
      <c r="W1664" t="s">
        <v>6720</v>
      </c>
    </row>
    <row r="1665" spans="1:23" ht="15.6" x14ac:dyDescent="0.4">
      <c r="A1665" s="2" t="s">
        <v>60</v>
      </c>
      <c r="B1665" s="5" t="s">
        <v>8136</v>
      </c>
      <c r="C1665" s="7" t="s">
        <v>12556</v>
      </c>
      <c r="D1665" s="8">
        <f t="shared" si="104"/>
        <v>0</v>
      </c>
      <c r="E1665" s="7" t="s">
        <v>12557</v>
      </c>
      <c r="F1665" s="7">
        <f t="shared" si="105"/>
        <v>0</v>
      </c>
      <c r="G1665" s="7" t="s">
        <v>12558</v>
      </c>
      <c r="H1665" s="7">
        <f t="shared" si="106"/>
        <v>0</v>
      </c>
      <c r="I1665" s="7" t="str" cm="1">
        <f t="array" ref="I1665">IFERROR(_xlfn.IFS(M1665="נח",1,M1665="נע ונח",1,M1665="שני שווא נח",2,M1665="שני שוואים בסוף מילה",2,M1665="שני שוואים ברצף",1),"0")</f>
        <v>0</v>
      </c>
      <c r="J1665" s="9">
        <f t="shared" si="107"/>
        <v>3</v>
      </c>
      <c r="K1665" t="s">
        <v>6698</v>
      </c>
      <c r="L1665" t="s">
        <v>6695</v>
      </c>
      <c r="O1665" t="s">
        <v>6694</v>
      </c>
      <c r="R1665" t="s">
        <v>6694</v>
      </c>
      <c r="W1665" t="s">
        <v>6720</v>
      </c>
    </row>
    <row r="1666" spans="1:23" ht="15.6" x14ac:dyDescent="0.4">
      <c r="A1666" s="2" t="s">
        <v>3539</v>
      </c>
      <c r="B1666" s="5" t="s">
        <v>8137</v>
      </c>
      <c r="C1666" s="7" t="s">
        <v>12556</v>
      </c>
      <c r="D1666" s="8">
        <f t="shared" si="104"/>
        <v>0</v>
      </c>
      <c r="E1666" s="7" t="s">
        <v>12557</v>
      </c>
      <c r="F1666" s="7">
        <f t="shared" si="105"/>
        <v>0</v>
      </c>
      <c r="G1666" s="7" t="s">
        <v>12558</v>
      </c>
      <c r="H1666" s="7">
        <f t="shared" si="106"/>
        <v>0</v>
      </c>
      <c r="I1666" s="7" cm="1">
        <f t="array" ref="I1666">IFERROR(_xlfn.IFS(M1666="נח",1,M1666="נע ונח",1,M1666="שני שווא נח",2,M1666="שני שוואים בסוף מילה",2,M1666="שני שוואים ברצף",1),"0")</f>
        <v>1</v>
      </c>
      <c r="J1666" s="9">
        <f t="shared" si="107"/>
        <v>3</v>
      </c>
      <c r="K1666" t="s">
        <v>6698</v>
      </c>
      <c r="L1666" t="s">
        <v>6694</v>
      </c>
      <c r="M1666" t="s">
        <v>6705</v>
      </c>
      <c r="O1666" t="s">
        <v>6694</v>
      </c>
      <c r="S1666" t="s">
        <v>6694</v>
      </c>
      <c r="V1666" t="s">
        <v>6694</v>
      </c>
      <c r="W1666" t="s">
        <v>6720</v>
      </c>
    </row>
    <row r="1667" spans="1:23" ht="15.6" x14ac:dyDescent="0.4">
      <c r="A1667" s="2" t="s">
        <v>6066</v>
      </c>
      <c r="B1667" s="5" t="s">
        <v>8138</v>
      </c>
      <c r="C1667" s="7" t="s">
        <v>12556</v>
      </c>
      <c r="D1667" s="8">
        <f t="shared" ref="D1667:D1730" si="108">(LEN(B1667)-LEN(SUBSTITUTE(B1667,C1667,"")))</f>
        <v>0</v>
      </c>
      <c r="E1667" s="7" t="s">
        <v>12557</v>
      </c>
      <c r="F1667" s="7">
        <f t="shared" ref="F1667:F1730" si="109">(LEN(A1667)-LEN(SUBSTITUTE(A1667,E1667,"")))</f>
        <v>1</v>
      </c>
      <c r="G1667" s="7" t="s">
        <v>12558</v>
      </c>
      <c r="H1667" s="7">
        <f t="shared" ref="H1667:H1730" si="110">(LEN(A1667)-LEN(SUBSTITUTE(A1667,G1667,"")))/2</f>
        <v>0</v>
      </c>
      <c r="I1667" s="7" t="str" cm="1">
        <f t="array" ref="I1667">IFERROR(_xlfn.IFS(M1667="נח",1,M1667="נע ונח",1,M1667="שני שווא נח",2,M1667="שני שוואים בסוף מילה",2,M1667="שני שוואים ברצף",1),"0")</f>
        <v>0</v>
      </c>
      <c r="J1667" s="9">
        <f t="shared" ref="J1667:J1730" si="111">LEN(A1667)-(LEN(B1667))-D1667-F1667+H1667-I1667</f>
        <v>3</v>
      </c>
      <c r="K1667" t="s">
        <v>6698</v>
      </c>
      <c r="L1667" t="s">
        <v>6695</v>
      </c>
      <c r="O1667" t="s">
        <v>6694</v>
      </c>
      <c r="S1667" t="s">
        <v>6694</v>
      </c>
      <c r="T1667" t="s">
        <v>6694</v>
      </c>
      <c r="W1667" t="s">
        <v>6720</v>
      </c>
    </row>
    <row r="1668" spans="1:23" ht="15.6" x14ac:dyDescent="0.4">
      <c r="A1668" s="2" t="s">
        <v>2384</v>
      </c>
      <c r="B1668" s="5" t="s">
        <v>8139</v>
      </c>
      <c r="C1668" s="7" t="s">
        <v>12556</v>
      </c>
      <c r="D1668" s="8">
        <f t="shared" si="108"/>
        <v>0</v>
      </c>
      <c r="E1668" s="7" t="s">
        <v>12557</v>
      </c>
      <c r="F1668" s="7">
        <f t="shared" si="109"/>
        <v>0</v>
      </c>
      <c r="G1668" s="7" t="s">
        <v>12558</v>
      </c>
      <c r="H1668" s="7">
        <f t="shared" si="110"/>
        <v>0</v>
      </c>
      <c r="I1668" s="7" t="str" cm="1">
        <f t="array" ref="I1668">IFERROR(_xlfn.IFS(M1668="נח",1,M1668="נע ונח",1,M1668="שני שווא נח",2,M1668="שני שוואים בסוף מילה",2,M1668="שני שוואים ברצף",1),"0")</f>
        <v>0</v>
      </c>
      <c r="J1668" s="9">
        <f t="shared" si="111"/>
        <v>3</v>
      </c>
      <c r="K1668" t="s">
        <v>6698</v>
      </c>
      <c r="L1668" t="s">
        <v>6695</v>
      </c>
      <c r="O1668" t="s">
        <v>6694</v>
      </c>
      <c r="Q1668" t="s">
        <v>6694</v>
      </c>
      <c r="V1668" t="s">
        <v>6694</v>
      </c>
      <c r="W1668" t="s">
        <v>6720</v>
      </c>
    </row>
    <row r="1669" spans="1:23" ht="15.6" x14ac:dyDescent="0.4">
      <c r="A1669" s="2" t="s">
        <v>2724</v>
      </c>
      <c r="B1669" s="5" t="s">
        <v>8140</v>
      </c>
      <c r="C1669" s="7" t="s">
        <v>12556</v>
      </c>
      <c r="D1669" s="8">
        <f t="shared" si="108"/>
        <v>0</v>
      </c>
      <c r="E1669" s="7" t="s">
        <v>12557</v>
      </c>
      <c r="F1669" s="7">
        <f t="shared" si="109"/>
        <v>0</v>
      </c>
      <c r="G1669" s="7" t="s">
        <v>12558</v>
      </c>
      <c r="H1669" s="7">
        <f t="shared" si="110"/>
        <v>0</v>
      </c>
      <c r="I1669" s="7" t="str" cm="1">
        <f t="array" ref="I1669">IFERROR(_xlfn.IFS(M1669="נח",1,M1669="נע ונח",1,M1669="שני שווא נח",2,M1669="שני שוואים בסוף מילה",2,M1669="שני שוואים ברצף",1),"0")</f>
        <v>0</v>
      </c>
      <c r="J1669" s="9">
        <f t="shared" si="111"/>
        <v>2</v>
      </c>
      <c r="K1669" t="s">
        <v>6698</v>
      </c>
      <c r="L1669" t="s">
        <v>6695</v>
      </c>
      <c r="O1669" t="s">
        <v>6694</v>
      </c>
      <c r="S1669" t="s">
        <v>6694</v>
      </c>
      <c r="W1669" t="s">
        <v>6720</v>
      </c>
    </row>
    <row r="1670" spans="1:23" ht="15.6" x14ac:dyDescent="0.4">
      <c r="A1670" s="2" t="s">
        <v>5979</v>
      </c>
      <c r="B1670" s="5" t="s">
        <v>7969</v>
      </c>
      <c r="C1670" s="7" t="s">
        <v>12556</v>
      </c>
      <c r="D1670" s="8">
        <f t="shared" si="108"/>
        <v>0</v>
      </c>
      <c r="E1670" s="7" t="s">
        <v>12557</v>
      </c>
      <c r="F1670" s="7">
        <f t="shared" si="109"/>
        <v>0</v>
      </c>
      <c r="G1670" s="7" t="s">
        <v>12558</v>
      </c>
      <c r="H1670" s="7">
        <f t="shared" si="110"/>
        <v>0</v>
      </c>
      <c r="I1670" s="7" t="str" cm="1">
        <f t="array" ref="I1670">IFERROR(_xlfn.IFS(M1670="נח",1,M1670="נע ונח",1,M1670="שני שווא נח",2,M1670="שני שוואים בסוף מילה",2,M1670="שני שוואים ברצף",1),"0")</f>
        <v>0</v>
      </c>
      <c r="J1670" s="9">
        <f t="shared" si="111"/>
        <v>2</v>
      </c>
      <c r="K1670" t="s">
        <v>6698</v>
      </c>
      <c r="L1670" t="s">
        <v>6695</v>
      </c>
      <c r="O1670" t="s">
        <v>6694</v>
      </c>
      <c r="R1670" t="s">
        <v>6694</v>
      </c>
      <c r="W1670" t="s">
        <v>6720</v>
      </c>
    </row>
    <row r="1671" spans="1:23" ht="15.6" x14ac:dyDescent="0.4">
      <c r="A1671" s="2" t="s">
        <v>4267</v>
      </c>
      <c r="B1671" s="5" t="s">
        <v>8141</v>
      </c>
      <c r="C1671" s="7" t="s">
        <v>12556</v>
      </c>
      <c r="D1671" s="8">
        <f t="shared" si="108"/>
        <v>0</v>
      </c>
      <c r="E1671" s="7" t="s">
        <v>12557</v>
      </c>
      <c r="F1671" s="7">
        <f t="shared" si="109"/>
        <v>0</v>
      </c>
      <c r="G1671" s="7" t="s">
        <v>12558</v>
      </c>
      <c r="H1671" s="7">
        <f t="shared" si="110"/>
        <v>0</v>
      </c>
      <c r="I1671" s="7" t="str" cm="1">
        <f t="array" ref="I1671">IFERROR(_xlfn.IFS(M1671="נח",1,M1671="נע ונח",1,M1671="שני שווא נח",2,M1671="שני שוואים בסוף מילה",2,M1671="שני שוואים ברצף",1),"0")</f>
        <v>0</v>
      </c>
      <c r="J1671" s="9">
        <f t="shared" si="111"/>
        <v>2</v>
      </c>
      <c r="K1671" t="s">
        <v>6697</v>
      </c>
      <c r="L1671" t="s">
        <v>6695</v>
      </c>
      <c r="O1671" t="s">
        <v>6694</v>
      </c>
      <c r="W1671" t="s">
        <v>6720</v>
      </c>
    </row>
    <row r="1672" spans="1:23" ht="15.6" x14ac:dyDescent="0.4">
      <c r="A1672" s="2" t="s">
        <v>5233</v>
      </c>
      <c r="B1672" s="5" t="s">
        <v>8142</v>
      </c>
      <c r="C1672" s="7" t="s">
        <v>12556</v>
      </c>
      <c r="D1672" s="8">
        <f t="shared" si="108"/>
        <v>0</v>
      </c>
      <c r="E1672" s="7" t="s">
        <v>12557</v>
      </c>
      <c r="F1672" s="7">
        <f t="shared" si="109"/>
        <v>1</v>
      </c>
      <c r="G1672" s="7" t="s">
        <v>12558</v>
      </c>
      <c r="H1672" s="7">
        <f t="shared" si="110"/>
        <v>1</v>
      </c>
      <c r="I1672" s="7" t="str" cm="1">
        <f t="array" ref="I1672">IFERROR(_xlfn.IFS(M1672="נח",1,M1672="נע ונח",1,M1672="שני שווא נח",2,M1672="שני שוואים בסוף מילה",2,M1672="שני שוואים ברצף",1),"0")</f>
        <v>0</v>
      </c>
      <c r="J1672" s="9">
        <f t="shared" si="111"/>
        <v>2</v>
      </c>
      <c r="K1672" t="s">
        <v>6697</v>
      </c>
      <c r="L1672" t="s">
        <v>6695</v>
      </c>
      <c r="O1672" t="s">
        <v>6694</v>
      </c>
      <c r="U1672" t="s">
        <v>6694</v>
      </c>
      <c r="W1672" t="s">
        <v>6720</v>
      </c>
    </row>
    <row r="1673" spans="1:23" ht="15.6" x14ac:dyDescent="0.4">
      <c r="A1673" s="2" t="s">
        <v>5611</v>
      </c>
      <c r="B1673" s="5" t="s">
        <v>8143</v>
      </c>
      <c r="C1673" s="7" t="s">
        <v>12556</v>
      </c>
      <c r="D1673" s="8">
        <f t="shared" si="108"/>
        <v>0</v>
      </c>
      <c r="E1673" s="7" t="s">
        <v>12557</v>
      </c>
      <c r="F1673" s="7">
        <f t="shared" si="109"/>
        <v>0</v>
      </c>
      <c r="G1673" s="7" t="s">
        <v>12558</v>
      </c>
      <c r="H1673" s="7">
        <f t="shared" si="110"/>
        <v>0</v>
      </c>
      <c r="I1673" s="7" t="str" cm="1">
        <f t="array" ref="I1673">IFERROR(_xlfn.IFS(M1673="נח",1,M1673="נע ונח",1,M1673="שני שווא נח",2,M1673="שני שוואים בסוף מילה",2,M1673="שני שוואים ברצף",1),"0")</f>
        <v>0</v>
      </c>
      <c r="J1673" s="9">
        <f t="shared" si="111"/>
        <v>3</v>
      </c>
      <c r="K1673" t="s">
        <v>6697</v>
      </c>
      <c r="L1673" t="s">
        <v>6695</v>
      </c>
      <c r="O1673" t="s">
        <v>6694</v>
      </c>
      <c r="S1673" t="s">
        <v>6694</v>
      </c>
      <c r="W1673" t="s">
        <v>6720</v>
      </c>
    </row>
    <row r="1674" spans="1:23" ht="15.6" x14ac:dyDescent="0.4">
      <c r="A1674" s="2" t="s">
        <v>1473</v>
      </c>
      <c r="B1674" s="5" t="s">
        <v>8144</v>
      </c>
      <c r="C1674" s="7" t="s">
        <v>12556</v>
      </c>
      <c r="D1674" s="8">
        <f t="shared" si="108"/>
        <v>0</v>
      </c>
      <c r="E1674" s="7" t="s">
        <v>12557</v>
      </c>
      <c r="F1674" s="7">
        <f t="shared" si="109"/>
        <v>0</v>
      </c>
      <c r="G1674" s="7" t="s">
        <v>12558</v>
      </c>
      <c r="H1674" s="7">
        <f t="shared" si="110"/>
        <v>0</v>
      </c>
      <c r="I1674" s="7" t="str" cm="1">
        <f t="array" ref="I1674">IFERROR(_xlfn.IFS(M1674="נח",1,M1674="נע ונח",1,M1674="שני שווא נח",2,M1674="שני שוואים בסוף מילה",2,M1674="שני שוואים ברצף",1),"0")</f>
        <v>0</v>
      </c>
      <c r="J1674" s="9">
        <f t="shared" si="111"/>
        <v>2</v>
      </c>
      <c r="K1674" t="s">
        <v>6698</v>
      </c>
      <c r="L1674" t="s">
        <v>6695</v>
      </c>
      <c r="N1674" t="s">
        <v>6706</v>
      </c>
      <c r="O1674" t="s">
        <v>6694</v>
      </c>
      <c r="W1674" t="s">
        <v>6720</v>
      </c>
    </row>
    <row r="1675" spans="1:23" ht="15.6" x14ac:dyDescent="0.4">
      <c r="A1675" s="2" t="s">
        <v>4527</v>
      </c>
      <c r="B1675" s="5" t="s">
        <v>8145</v>
      </c>
      <c r="C1675" s="7" t="s">
        <v>12556</v>
      </c>
      <c r="D1675" s="8">
        <f t="shared" si="108"/>
        <v>0</v>
      </c>
      <c r="E1675" s="7" t="s">
        <v>12557</v>
      </c>
      <c r="F1675" s="7">
        <f t="shared" si="109"/>
        <v>0</v>
      </c>
      <c r="G1675" s="7" t="s">
        <v>12558</v>
      </c>
      <c r="H1675" s="7">
        <f t="shared" si="110"/>
        <v>0</v>
      </c>
      <c r="I1675" s="7" t="str" cm="1">
        <f t="array" ref="I1675">IFERROR(_xlfn.IFS(M1675="נח",1,M1675="נע ונח",1,M1675="שני שווא נח",2,M1675="שני שוואים בסוף מילה",2,M1675="שני שוואים ברצף",1),"0")</f>
        <v>0</v>
      </c>
      <c r="J1675" s="9">
        <f t="shared" si="111"/>
        <v>2</v>
      </c>
      <c r="K1675" t="s">
        <v>6698</v>
      </c>
      <c r="L1675" t="s">
        <v>6695</v>
      </c>
      <c r="N1675" t="s">
        <v>6706</v>
      </c>
      <c r="O1675" t="s">
        <v>6694</v>
      </c>
      <c r="W1675" t="s">
        <v>6720</v>
      </c>
    </row>
    <row r="1676" spans="1:23" ht="15.6" x14ac:dyDescent="0.4">
      <c r="A1676" s="2" t="s">
        <v>563</v>
      </c>
      <c r="B1676" s="5" t="s">
        <v>8146</v>
      </c>
      <c r="C1676" s="7" t="s">
        <v>12556</v>
      </c>
      <c r="D1676" s="8">
        <f t="shared" si="108"/>
        <v>0</v>
      </c>
      <c r="E1676" s="7" t="s">
        <v>12557</v>
      </c>
      <c r="F1676" s="7">
        <f t="shared" si="109"/>
        <v>0</v>
      </c>
      <c r="G1676" s="7" t="s">
        <v>12558</v>
      </c>
      <c r="H1676" s="7">
        <f t="shared" si="110"/>
        <v>0</v>
      </c>
      <c r="I1676" s="7" cm="1">
        <f t="array" ref="I1676">IFERROR(_xlfn.IFS(M1676="נח",1,M1676="נע ונח",1,M1676="שני שווא נח",2,M1676="שני שוואים בסוף מילה",2,M1676="שני שוואים ברצף",1),"0")</f>
        <v>1</v>
      </c>
      <c r="J1676" s="9">
        <f t="shared" si="111"/>
        <v>2</v>
      </c>
      <c r="K1676" t="s">
        <v>6697</v>
      </c>
      <c r="L1676" t="s">
        <v>6694</v>
      </c>
      <c r="M1676" t="s">
        <v>6705</v>
      </c>
      <c r="N1676" t="s">
        <v>6706</v>
      </c>
      <c r="O1676" t="s">
        <v>6694</v>
      </c>
      <c r="W1676" t="s">
        <v>6720</v>
      </c>
    </row>
    <row r="1677" spans="1:23" ht="15.6" x14ac:dyDescent="0.4">
      <c r="A1677" s="2" t="s">
        <v>5463</v>
      </c>
      <c r="B1677" s="5" t="s">
        <v>8147</v>
      </c>
      <c r="C1677" s="7" t="s">
        <v>12556</v>
      </c>
      <c r="D1677" s="8">
        <f t="shared" si="108"/>
        <v>0</v>
      </c>
      <c r="E1677" s="7" t="s">
        <v>12557</v>
      </c>
      <c r="F1677" s="7">
        <f t="shared" si="109"/>
        <v>1</v>
      </c>
      <c r="G1677" s="7" t="s">
        <v>12558</v>
      </c>
      <c r="H1677" s="7">
        <f t="shared" si="110"/>
        <v>1</v>
      </c>
      <c r="I1677" s="7" t="str" cm="1">
        <f t="array" ref="I1677">IFERROR(_xlfn.IFS(M1677="נח",1,M1677="נע ונח",1,M1677="שני שווא נח",2,M1677="שני שוואים בסוף מילה",2,M1677="שני שוואים ברצף",1),"0")</f>
        <v>0</v>
      </c>
      <c r="J1677" s="9">
        <f t="shared" si="111"/>
        <v>3</v>
      </c>
      <c r="K1677" t="s">
        <v>6697</v>
      </c>
      <c r="L1677" t="s">
        <v>6695</v>
      </c>
      <c r="N1677" t="s">
        <v>6706</v>
      </c>
      <c r="O1677" t="s">
        <v>6694</v>
      </c>
      <c r="S1677" t="s">
        <v>6694</v>
      </c>
      <c r="U1677" t="s">
        <v>6694</v>
      </c>
      <c r="W1677" t="s">
        <v>6720</v>
      </c>
    </row>
    <row r="1678" spans="1:23" ht="15.6" x14ac:dyDescent="0.4">
      <c r="A1678" s="2" t="s">
        <v>481</v>
      </c>
      <c r="B1678" s="5" t="s">
        <v>8148</v>
      </c>
      <c r="C1678" s="7" t="s">
        <v>12556</v>
      </c>
      <c r="D1678" s="8">
        <f t="shared" si="108"/>
        <v>0</v>
      </c>
      <c r="E1678" s="7" t="s">
        <v>12557</v>
      </c>
      <c r="F1678" s="7">
        <f t="shared" si="109"/>
        <v>0</v>
      </c>
      <c r="G1678" s="7" t="s">
        <v>12558</v>
      </c>
      <c r="H1678" s="7">
        <f t="shared" si="110"/>
        <v>0</v>
      </c>
      <c r="I1678" s="7" t="str" cm="1">
        <f t="array" ref="I1678">IFERROR(_xlfn.IFS(M1678="נח",1,M1678="נע ונח",1,M1678="שני שווא נח",2,M1678="שני שוואים בסוף מילה",2,M1678="שני שוואים ברצף",1),"0")</f>
        <v>0</v>
      </c>
      <c r="J1678" s="9">
        <f t="shared" si="111"/>
        <v>3</v>
      </c>
      <c r="K1678" t="s">
        <v>6697</v>
      </c>
      <c r="L1678" t="s">
        <v>6695</v>
      </c>
      <c r="N1678" t="s">
        <v>6706</v>
      </c>
      <c r="O1678" t="s">
        <v>6694</v>
      </c>
      <c r="S1678" t="s">
        <v>6694</v>
      </c>
      <c r="W1678" t="s">
        <v>6720</v>
      </c>
    </row>
    <row r="1679" spans="1:23" ht="15.6" x14ac:dyDescent="0.4">
      <c r="A1679" s="2" t="s">
        <v>2254</v>
      </c>
      <c r="B1679" s="5" t="s">
        <v>8149</v>
      </c>
      <c r="C1679" s="7" t="s">
        <v>12556</v>
      </c>
      <c r="D1679" s="8">
        <f t="shared" si="108"/>
        <v>0</v>
      </c>
      <c r="E1679" s="7" t="s">
        <v>12557</v>
      </c>
      <c r="F1679" s="7">
        <f t="shared" si="109"/>
        <v>0</v>
      </c>
      <c r="G1679" s="7" t="s">
        <v>12558</v>
      </c>
      <c r="H1679" s="7">
        <f t="shared" si="110"/>
        <v>0</v>
      </c>
      <c r="I1679" s="7" t="str" cm="1">
        <f t="array" ref="I1679">IFERROR(_xlfn.IFS(M1679="נח",1,M1679="נע ונח",1,M1679="שני שווא נח",2,M1679="שני שוואים בסוף מילה",2,M1679="שני שוואים ברצף",1),"0")</f>
        <v>0</v>
      </c>
      <c r="J1679" s="9">
        <f t="shared" si="111"/>
        <v>3</v>
      </c>
      <c r="K1679" t="s">
        <v>6698</v>
      </c>
      <c r="L1679" t="s">
        <v>6695</v>
      </c>
      <c r="N1679" t="s">
        <v>6706</v>
      </c>
      <c r="O1679" t="s">
        <v>6694</v>
      </c>
      <c r="S1679" t="s">
        <v>6694</v>
      </c>
      <c r="W1679" t="s">
        <v>6720</v>
      </c>
    </row>
    <row r="1680" spans="1:23" ht="15.6" x14ac:dyDescent="0.4">
      <c r="A1680" s="2" t="s">
        <v>3969</v>
      </c>
      <c r="B1680" s="5" t="s">
        <v>7858</v>
      </c>
      <c r="C1680" s="7" t="s">
        <v>12556</v>
      </c>
      <c r="D1680" s="8">
        <f t="shared" si="108"/>
        <v>0</v>
      </c>
      <c r="E1680" s="7" t="s">
        <v>12557</v>
      </c>
      <c r="F1680" s="7">
        <f t="shared" si="109"/>
        <v>0</v>
      </c>
      <c r="G1680" s="7" t="s">
        <v>12558</v>
      </c>
      <c r="H1680" s="7">
        <f t="shared" si="110"/>
        <v>0</v>
      </c>
      <c r="I1680" s="7" t="str" cm="1">
        <f t="array" ref="I1680">IFERROR(_xlfn.IFS(M1680="נח",1,M1680="נע ונח",1,M1680="שני שווא נח",2,M1680="שני שוואים בסוף מילה",2,M1680="שני שוואים ברצף",1),"0")</f>
        <v>0</v>
      </c>
      <c r="J1680" s="9">
        <f t="shared" si="111"/>
        <v>2</v>
      </c>
      <c r="K1680" t="s">
        <v>6697</v>
      </c>
      <c r="L1680" t="s">
        <v>6695</v>
      </c>
      <c r="N1680" t="s">
        <v>6706</v>
      </c>
      <c r="O1680" t="s">
        <v>6694</v>
      </c>
      <c r="W1680" t="s">
        <v>6720</v>
      </c>
    </row>
    <row r="1681" spans="1:23" ht="15.6" x14ac:dyDescent="0.4">
      <c r="A1681" s="2" t="s">
        <v>4041</v>
      </c>
      <c r="B1681" s="5" t="s">
        <v>8150</v>
      </c>
      <c r="C1681" s="7" t="s">
        <v>12556</v>
      </c>
      <c r="D1681" s="8">
        <f t="shared" si="108"/>
        <v>0</v>
      </c>
      <c r="E1681" s="7" t="s">
        <v>12557</v>
      </c>
      <c r="F1681" s="7">
        <f t="shared" si="109"/>
        <v>1</v>
      </c>
      <c r="G1681" s="7" t="s">
        <v>12558</v>
      </c>
      <c r="H1681" s="7">
        <f t="shared" si="110"/>
        <v>1</v>
      </c>
      <c r="I1681" s="7" t="str" cm="1">
        <f t="array" ref="I1681">IFERROR(_xlfn.IFS(M1681="נח",1,M1681="נע ונח",1,M1681="שני שווא נח",2,M1681="שני שוואים בסוף מילה",2,M1681="שני שוואים ברצף",1),"0")</f>
        <v>0</v>
      </c>
      <c r="J1681" s="9">
        <f t="shared" si="111"/>
        <v>2</v>
      </c>
      <c r="K1681" t="s">
        <v>6697</v>
      </c>
      <c r="L1681" t="s">
        <v>6695</v>
      </c>
      <c r="N1681" t="s">
        <v>6706</v>
      </c>
      <c r="O1681" t="s">
        <v>6694</v>
      </c>
      <c r="U1681" t="s">
        <v>6694</v>
      </c>
      <c r="W1681" t="s">
        <v>6720</v>
      </c>
    </row>
    <row r="1682" spans="1:23" ht="15.6" x14ac:dyDescent="0.4">
      <c r="A1682" s="2" t="s">
        <v>164</v>
      </c>
      <c r="B1682" s="5" t="s">
        <v>8151</v>
      </c>
      <c r="C1682" s="7" t="s">
        <v>12556</v>
      </c>
      <c r="D1682" s="8">
        <f t="shared" si="108"/>
        <v>0</v>
      </c>
      <c r="E1682" s="7" t="s">
        <v>12557</v>
      </c>
      <c r="F1682" s="7">
        <f t="shared" si="109"/>
        <v>0</v>
      </c>
      <c r="G1682" s="7" t="s">
        <v>12558</v>
      </c>
      <c r="H1682" s="7">
        <f t="shared" si="110"/>
        <v>0</v>
      </c>
      <c r="I1682" s="7" cm="1">
        <f t="array" ref="I1682">IFERROR(_xlfn.IFS(M1682="נח",1,M1682="נע ונח",1,M1682="שני שווא נח",2,M1682="שני שוואים בסוף מילה",2,M1682="שני שוואים ברצף",1),"0")</f>
        <v>1</v>
      </c>
      <c r="J1682" s="9">
        <f t="shared" si="111"/>
        <v>2</v>
      </c>
      <c r="K1682" t="s">
        <v>6698</v>
      </c>
      <c r="L1682" t="s">
        <v>6694</v>
      </c>
      <c r="M1682" t="s">
        <v>6705</v>
      </c>
      <c r="O1682" t="s">
        <v>6694</v>
      </c>
      <c r="P1682" t="s">
        <v>6694</v>
      </c>
      <c r="W1682" t="s">
        <v>6720</v>
      </c>
    </row>
    <row r="1683" spans="1:23" ht="15.6" x14ac:dyDescent="0.4">
      <c r="A1683" s="2" t="s">
        <v>2595</v>
      </c>
      <c r="B1683" s="5" t="s">
        <v>7902</v>
      </c>
      <c r="C1683" s="7" t="s">
        <v>12556</v>
      </c>
      <c r="D1683" s="8">
        <f t="shared" si="108"/>
        <v>0</v>
      </c>
      <c r="E1683" s="7" t="s">
        <v>12557</v>
      </c>
      <c r="F1683" s="7">
        <f t="shared" si="109"/>
        <v>1</v>
      </c>
      <c r="G1683" s="7" t="s">
        <v>12558</v>
      </c>
      <c r="H1683" s="7">
        <f t="shared" si="110"/>
        <v>0</v>
      </c>
      <c r="I1683" s="7" cm="1">
        <f t="array" ref="I1683">IFERROR(_xlfn.IFS(M1683="נח",1,M1683="נע ונח",1,M1683="שני שווא נח",2,M1683="שני שוואים בסוף מילה",2,M1683="שני שוואים ברצף",1),"0")</f>
        <v>1</v>
      </c>
      <c r="J1683" s="9">
        <f t="shared" si="111"/>
        <v>3</v>
      </c>
      <c r="K1683" t="s">
        <v>6697</v>
      </c>
      <c r="L1683" t="s">
        <v>6694</v>
      </c>
      <c r="M1683" t="s">
        <v>6705</v>
      </c>
      <c r="O1683" t="s">
        <v>6694</v>
      </c>
      <c r="P1683" t="s">
        <v>6694</v>
      </c>
      <c r="S1683" t="s">
        <v>6694</v>
      </c>
      <c r="W1683" t="s">
        <v>6720</v>
      </c>
    </row>
    <row r="1684" spans="1:23" ht="15.6" x14ac:dyDescent="0.4">
      <c r="A1684" s="2" t="s">
        <v>5987</v>
      </c>
      <c r="B1684" s="5" t="s">
        <v>8152</v>
      </c>
      <c r="C1684" s="7" t="s">
        <v>12556</v>
      </c>
      <c r="D1684" s="8">
        <f t="shared" si="108"/>
        <v>0</v>
      </c>
      <c r="E1684" s="7" t="s">
        <v>12557</v>
      </c>
      <c r="F1684" s="7">
        <f t="shared" si="109"/>
        <v>1</v>
      </c>
      <c r="G1684" s="7" t="s">
        <v>12558</v>
      </c>
      <c r="H1684" s="7">
        <f t="shared" si="110"/>
        <v>1</v>
      </c>
      <c r="I1684" s="7" t="str" cm="1">
        <f t="array" ref="I1684">IFERROR(_xlfn.IFS(M1684="נח",1,M1684="נע ונח",1,M1684="שני שווא נח",2,M1684="שני שוואים בסוף מילה",2,M1684="שני שוואים ברצף",1),"0")</f>
        <v>0</v>
      </c>
      <c r="J1684" s="9">
        <f t="shared" si="111"/>
        <v>3</v>
      </c>
      <c r="K1684" t="s">
        <v>6697</v>
      </c>
      <c r="L1684" t="s">
        <v>6695</v>
      </c>
      <c r="O1684" t="s">
        <v>6694</v>
      </c>
      <c r="U1684" t="s">
        <v>6694</v>
      </c>
      <c r="W1684" t="s">
        <v>6720</v>
      </c>
    </row>
    <row r="1685" spans="1:23" ht="15.6" x14ac:dyDescent="0.4">
      <c r="A1685" s="2" t="s">
        <v>3565</v>
      </c>
      <c r="B1685" s="5" t="s">
        <v>8153</v>
      </c>
      <c r="C1685" s="7" t="s">
        <v>12556</v>
      </c>
      <c r="D1685" s="8">
        <f t="shared" si="108"/>
        <v>0</v>
      </c>
      <c r="E1685" s="7" t="s">
        <v>12557</v>
      </c>
      <c r="F1685" s="7">
        <f t="shared" si="109"/>
        <v>0</v>
      </c>
      <c r="G1685" s="7" t="s">
        <v>12558</v>
      </c>
      <c r="H1685" s="7">
        <f t="shared" si="110"/>
        <v>0</v>
      </c>
      <c r="I1685" s="7" t="str" cm="1">
        <f t="array" ref="I1685">IFERROR(_xlfn.IFS(M1685="נח",1,M1685="נע ונח",1,M1685="שני שווא נח",2,M1685="שני שוואים בסוף מילה",2,M1685="שני שוואים ברצף",1),"0")</f>
        <v>0</v>
      </c>
      <c r="J1685" s="9">
        <f t="shared" si="111"/>
        <v>2</v>
      </c>
      <c r="K1685" t="s">
        <v>6698</v>
      </c>
      <c r="L1685" t="s">
        <v>6695</v>
      </c>
      <c r="O1685" t="s">
        <v>6694</v>
      </c>
      <c r="V1685" t="s">
        <v>6694</v>
      </c>
      <c r="W1685" t="s">
        <v>6720</v>
      </c>
    </row>
    <row r="1686" spans="1:23" ht="15.6" x14ac:dyDescent="0.4">
      <c r="A1686" s="2" t="s">
        <v>3779</v>
      </c>
      <c r="B1686" s="5" t="s">
        <v>8154</v>
      </c>
      <c r="C1686" s="7" t="s">
        <v>12556</v>
      </c>
      <c r="D1686" s="8">
        <f t="shared" si="108"/>
        <v>0</v>
      </c>
      <c r="E1686" s="7" t="s">
        <v>12557</v>
      </c>
      <c r="F1686" s="7">
        <f t="shared" si="109"/>
        <v>1</v>
      </c>
      <c r="G1686" s="7" t="s">
        <v>12558</v>
      </c>
      <c r="H1686" s="7">
        <f t="shared" si="110"/>
        <v>1</v>
      </c>
      <c r="I1686" s="7" t="str" cm="1">
        <f t="array" ref="I1686">IFERROR(_xlfn.IFS(M1686="נח",1,M1686="נע ונח",1,M1686="שני שווא נח",2,M1686="שני שוואים בסוף מילה",2,M1686="שני שוואים ברצף",1),"0")</f>
        <v>0</v>
      </c>
      <c r="J1686" s="9">
        <f t="shared" si="111"/>
        <v>2</v>
      </c>
      <c r="K1686" t="s">
        <v>6697</v>
      </c>
      <c r="L1686" t="s">
        <v>6695</v>
      </c>
      <c r="O1686" t="s">
        <v>6694</v>
      </c>
      <c r="U1686" t="s">
        <v>6694</v>
      </c>
      <c r="W1686" t="s">
        <v>6720</v>
      </c>
    </row>
    <row r="1687" spans="1:23" ht="15.6" x14ac:dyDescent="0.4">
      <c r="A1687" s="2" t="s">
        <v>299</v>
      </c>
      <c r="B1687" s="5" t="s">
        <v>8155</v>
      </c>
      <c r="C1687" s="7" t="s">
        <v>12556</v>
      </c>
      <c r="D1687" s="8">
        <f t="shared" si="108"/>
        <v>0</v>
      </c>
      <c r="E1687" s="7" t="s">
        <v>12557</v>
      </c>
      <c r="F1687" s="7">
        <f t="shared" si="109"/>
        <v>0</v>
      </c>
      <c r="G1687" s="7" t="s">
        <v>12558</v>
      </c>
      <c r="H1687" s="7">
        <f t="shared" si="110"/>
        <v>0</v>
      </c>
      <c r="I1687" s="7" t="str" cm="1">
        <f t="array" ref="I1687">IFERROR(_xlfn.IFS(M1687="נח",1,M1687="נע ונח",1,M1687="שני שווא נח",2,M1687="שני שוואים בסוף מילה",2,M1687="שני שוואים ברצף",1),"0")</f>
        <v>0</v>
      </c>
      <c r="J1687" s="9">
        <f t="shared" si="111"/>
        <v>2</v>
      </c>
      <c r="K1687" t="s">
        <v>6698</v>
      </c>
      <c r="L1687" t="s">
        <v>6695</v>
      </c>
      <c r="O1687" t="s">
        <v>6694</v>
      </c>
      <c r="Q1687" t="s">
        <v>6694</v>
      </c>
      <c r="W1687" t="s">
        <v>6720</v>
      </c>
    </row>
    <row r="1688" spans="1:23" ht="15.6" x14ac:dyDescent="0.4">
      <c r="A1688" s="2" t="s">
        <v>2100</v>
      </c>
      <c r="B1688" s="5" t="s">
        <v>8156</v>
      </c>
      <c r="C1688" s="7" t="s">
        <v>12556</v>
      </c>
      <c r="D1688" s="8">
        <f t="shared" si="108"/>
        <v>0</v>
      </c>
      <c r="E1688" s="7" t="s">
        <v>12557</v>
      </c>
      <c r="F1688" s="7">
        <f t="shared" si="109"/>
        <v>0</v>
      </c>
      <c r="G1688" s="7" t="s">
        <v>12558</v>
      </c>
      <c r="H1688" s="7">
        <f t="shared" si="110"/>
        <v>0</v>
      </c>
      <c r="I1688" s="7" t="str" cm="1">
        <f t="array" ref="I1688">IFERROR(_xlfn.IFS(M1688="נח",1,M1688="נע ונח",1,M1688="שני שווא נח",2,M1688="שני שוואים בסוף מילה",2,M1688="שני שוואים ברצף",1),"0")</f>
        <v>0</v>
      </c>
      <c r="J1688" s="9">
        <f t="shared" si="111"/>
        <v>3</v>
      </c>
      <c r="K1688" t="s">
        <v>6697</v>
      </c>
      <c r="L1688" t="s">
        <v>6695</v>
      </c>
      <c r="O1688" t="s">
        <v>6694</v>
      </c>
      <c r="S1688" t="s">
        <v>6694</v>
      </c>
      <c r="W1688" t="s">
        <v>6720</v>
      </c>
    </row>
    <row r="1689" spans="1:23" ht="15.6" x14ac:dyDescent="0.4">
      <c r="A1689" s="2" t="s">
        <v>2209</v>
      </c>
      <c r="B1689" s="5" t="s">
        <v>8157</v>
      </c>
      <c r="C1689" s="7" t="s">
        <v>12556</v>
      </c>
      <c r="D1689" s="8">
        <f t="shared" si="108"/>
        <v>0</v>
      </c>
      <c r="E1689" s="7" t="s">
        <v>12557</v>
      </c>
      <c r="F1689" s="7">
        <f t="shared" si="109"/>
        <v>1</v>
      </c>
      <c r="G1689" s="7" t="s">
        <v>12558</v>
      </c>
      <c r="H1689" s="7">
        <f t="shared" si="110"/>
        <v>0</v>
      </c>
      <c r="I1689" s="7" t="str" cm="1">
        <f t="array" ref="I1689">IFERROR(_xlfn.IFS(M1689="נח",1,M1689="נע ונח",1,M1689="שני שווא נח",2,M1689="שני שוואים בסוף מילה",2,M1689="שני שוואים ברצף",1),"0")</f>
        <v>0</v>
      </c>
      <c r="J1689" s="9">
        <f t="shared" si="111"/>
        <v>3</v>
      </c>
      <c r="K1689" t="s">
        <v>6698</v>
      </c>
      <c r="L1689" t="s">
        <v>6695</v>
      </c>
      <c r="O1689" t="s">
        <v>6694</v>
      </c>
      <c r="P1689" t="s">
        <v>6694</v>
      </c>
      <c r="S1689" t="s">
        <v>6694</v>
      </c>
      <c r="W1689" t="s">
        <v>6720</v>
      </c>
    </row>
    <row r="1690" spans="1:23" ht="15.6" x14ac:dyDescent="0.4">
      <c r="A1690" s="2" t="s">
        <v>430</v>
      </c>
      <c r="B1690" s="5" t="s">
        <v>8158</v>
      </c>
      <c r="C1690" s="7" t="s">
        <v>12556</v>
      </c>
      <c r="D1690" s="8">
        <f t="shared" si="108"/>
        <v>0</v>
      </c>
      <c r="E1690" s="7" t="s">
        <v>12557</v>
      </c>
      <c r="F1690" s="7">
        <f t="shared" si="109"/>
        <v>0</v>
      </c>
      <c r="G1690" s="7" t="s">
        <v>12558</v>
      </c>
      <c r="H1690" s="7">
        <f t="shared" si="110"/>
        <v>0</v>
      </c>
      <c r="I1690" s="7" t="str" cm="1">
        <f t="array" ref="I1690">IFERROR(_xlfn.IFS(M1690="נח",1,M1690="נע ונח",1,M1690="שני שווא נח",2,M1690="שני שוואים בסוף מילה",2,M1690="שני שוואים ברצף",1),"0")</f>
        <v>0</v>
      </c>
      <c r="J1690" s="9">
        <f t="shared" si="111"/>
        <v>2</v>
      </c>
      <c r="K1690" t="s">
        <v>6698</v>
      </c>
      <c r="L1690" t="s">
        <v>6695</v>
      </c>
      <c r="N1690" t="s">
        <v>6706</v>
      </c>
      <c r="O1690" t="s">
        <v>6694</v>
      </c>
      <c r="W1690" t="s">
        <v>6720</v>
      </c>
    </row>
    <row r="1691" spans="1:23" ht="15.6" x14ac:dyDescent="0.4">
      <c r="A1691" s="2" t="s">
        <v>821</v>
      </c>
      <c r="B1691" s="5" t="s">
        <v>8159</v>
      </c>
      <c r="C1691" s="7" t="s">
        <v>12556</v>
      </c>
      <c r="D1691" s="8">
        <f t="shared" si="108"/>
        <v>0</v>
      </c>
      <c r="E1691" s="7" t="s">
        <v>12557</v>
      </c>
      <c r="F1691" s="7">
        <f t="shared" si="109"/>
        <v>0</v>
      </c>
      <c r="G1691" s="7" t="s">
        <v>12558</v>
      </c>
      <c r="H1691" s="7">
        <f t="shared" si="110"/>
        <v>0</v>
      </c>
      <c r="I1691" s="7" t="str" cm="1">
        <f t="array" ref="I1691">IFERROR(_xlfn.IFS(M1691="נח",1,M1691="נע ונח",1,M1691="שני שווא נח",2,M1691="שני שוואים בסוף מילה",2,M1691="שני שוואים ברצף",1),"0")</f>
        <v>0</v>
      </c>
      <c r="J1691" s="9">
        <f t="shared" si="111"/>
        <v>3</v>
      </c>
      <c r="K1691" t="s">
        <v>6698</v>
      </c>
      <c r="L1691" t="s">
        <v>6695</v>
      </c>
      <c r="N1691" t="s">
        <v>6706</v>
      </c>
      <c r="O1691" t="s">
        <v>6694</v>
      </c>
      <c r="V1691" t="s">
        <v>6694</v>
      </c>
      <c r="W1691" t="s">
        <v>6720</v>
      </c>
    </row>
    <row r="1692" spans="1:23" ht="15.6" x14ac:dyDescent="0.4">
      <c r="A1692" s="2" t="s">
        <v>5724</v>
      </c>
      <c r="B1692" s="5" t="s">
        <v>8160</v>
      </c>
      <c r="C1692" s="7" t="s">
        <v>12556</v>
      </c>
      <c r="D1692" s="8">
        <f t="shared" si="108"/>
        <v>0</v>
      </c>
      <c r="E1692" s="7" t="s">
        <v>12557</v>
      </c>
      <c r="F1692" s="7">
        <f t="shared" si="109"/>
        <v>1</v>
      </c>
      <c r="G1692" s="7" t="s">
        <v>12558</v>
      </c>
      <c r="H1692" s="7">
        <f t="shared" si="110"/>
        <v>1</v>
      </c>
      <c r="I1692" s="7" cm="1">
        <f t="array" ref="I1692">IFERROR(_xlfn.IFS(M1692="נח",1,M1692="נע ונח",1,M1692="שני שווא נח",2,M1692="שני שוואים בסוף מילה",2,M1692="שני שוואים ברצף",1),"0")</f>
        <v>1</v>
      </c>
      <c r="J1692" s="9">
        <f t="shared" si="111"/>
        <v>2</v>
      </c>
      <c r="K1692" t="s">
        <v>6697</v>
      </c>
      <c r="L1692" t="s">
        <v>6694</v>
      </c>
      <c r="M1692" t="s">
        <v>6705</v>
      </c>
      <c r="N1692" t="s">
        <v>6706</v>
      </c>
      <c r="O1692" t="s">
        <v>6694</v>
      </c>
      <c r="U1692" t="s">
        <v>6694</v>
      </c>
      <c r="W1692" t="s">
        <v>6720</v>
      </c>
    </row>
    <row r="1693" spans="1:23" ht="15.6" x14ac:dyDescent="0.4">
      <c r="A1693" s="2" t="s">
        <v>1677</v>
      </c>
      <c r="B1693" s="5" t="s">
        <v>8161</v>
      </c>
      <c r="C1693" s="7" t="s">
        <v>12556</v>
      </c>
      <c r="D1693" s="8">
        <f t="shared" si="108"/>
        <v>0</v>
      </c>
      <c r="E1693" s="7" t="s">
        <v>12557</v>
      </c>
      <c r="F1693" s="7">
        <f t="shared" si="109"/>
        <v>0</v>
      </c>
      <c r="G1693" s="7" t="s">
        <v>12558</v>
      </c>
      <c r="H1693" s="7">
        <f t="shared" si="110"/>
        <v>0</v>
      </c>
      <c r="I1693" s="7" cm="1">
        <f t="array" ref="I1693">IFERROR(_xlfn.IFS(M1693="נח",1,M1693="נע ונח",1,M1693="שני שווא נח",2,M1693="שני שוואים בסוף מילה",2,M1693="שני שוואים ברצף",1),"0")</f>
        <v>1</v>
      </c>
      <c r="J1693" s="9">
        <f t="shared" si="111"/>
        <v>2</v>
      </c>
      <c r="K1693" t="s">
        <v>6698</v>
      </c>
      <c r="L1693" t="s">
        <v>6694</v>
      </c>
      <c r="M1693" t="s">
        <v>6705</v>
      </c>
      <c r="O1693" t="s">
        <v>6694</v>
      </c>
      <c r="P1693" t="s">
        <v>6694</v>
      </c>
      <c r="W1693" t="s">
        <v>6720</v>
      </c>
    </row>
    <row r="1694" spans="1:23" ht="15.6" x14ac:dyDescent="0.4">
      <c r="A1694" s="2" t="s">
        <v>1926</v>
      </c>
      <c r="B1694" s="5" t="s">
        <v>8162</v>
      </c>
      <c r="C1694" s="7" t="s">
        <v>12556</v>
      </c>
      <c r="D1694" s="8">
        <f t="shared" si="108"/>
        <v>0</v>
      </c>
      <c r="E1694" s="7" t="s">
        <v>12557</v>
      </c>
      <c r="F1694" s="7">
        <f t="shared" si="109"/>
        <v>1</v>
      </c>
      <c r="G1694" s="7" t="s">
        <v>12558</v>
      </c>
      <c r="H1694" s="7">
        <f t="shared" si="110"/>
        <v>0</v>
      </c>
      <c r="I1694" s="7" cm="1">
        <f t="array" ref="I1694">IFERROR(_xlfn.IFS(M1694="נח",1,M1694="נע ונח",1,M1694="שני שווא נח",2,M1694="שני שוואים בסוף מילה",2,M1694="שני שוואים ברצף",1),"0")</f>
        <v>1</v>
      </c>
      <c r="J1694" s="9">
        <f t="shared" si="111"/>
        <v>3</v>
      </c>
      <c r="K1694" t="s">
        <v>6698</v>
      </c>
      <c r="L1694" t="s">
        <v>6694</v>
      </c>
      <c r="M1694" t="s">
        <v>6705</v>
      </c>
      <c r="O1694" t="s">
        <v>6694</v>
      </c>
      <c r="P1694" t="s">
        <v>6694</v>
      </c>
      <c r="W1694" t="s">
        <v>6720</v>
      </c>
    </row>
    <row r="1695" spans="1:23" ht="15.6" x14ac:dyDescent="0.4">
      <c r="A1695" s="2" t="s">
        <v>3669</v>
      </c>
      <c r="B1695" s="5" t="s">
        <v>8163</v>
      </c>
      <c r="C1695" s="7" t="s">
        <v>12556</v>
      </c>
      <c r="D1695" s="8">
        <f t="shared" si="108"/>
        <v>0</v>
      </c>
      <c r="E1695" s="7" t="s">
        <v>12557</v>
      </c>
      <c r="F1695" s="7">
        <f t="shared" si="109"/>
        <v>0</v>
      </c>
      <c r="G1695" s="7" t="s">
        <v>12558</v>
      </c>
      <c r="H1695" s="7">
        <f t="shared" si="110"/>
        <v>0</v>
      </c>
      <c r="I1695" s="7" t="str" cm="1">
        <f t="array" ref="I1695">IFERROR(_xlfn.IFS(M1695="נח",1,M1695="נע ונח",1,M1695="שני שווא נח",2,M1695="שני שוואים בסוף מילה",2,M1695="שני שוואים ברצף",1),"0")</f>
        <v>0</v>
      </c>
      <c r="J1695" s="9">
        <f t="shared" si="111"/>
        <v>3</v>
      </c>
      <c r="K1695" t="s">
        <v>6697</v>
      </c>
      <c r="L1695" t="s">
        <v>6695</v>
      </c>
      <c r="O1695" t="s">
        <v>6694</v>
      </c>
      <c r="S1695" t="s">
        <v>6694</v>
      </c>
      <c r="W1695" t="s">
        <v>6720</v>
      </c>
    </row>
    <row r="1696" spans="1:23" ht="15.6" x14ac:dyDescent="0.4">
      <c r="A1696" s="2" t="s">
        <v>188</v>
      </c>
      <c r="B1696" s="5" t="s">
        <v>8164</v>
      </c>
      <c r="C1696" s="7" t="s">
        <v>12556</v>
      </c>
      <c r="D1696" s="8">
        <f t="shared" si="108"/>
        <v>1</v>
      </c>
      <c r="E1696" s="7" t="s">
        <v>12557</v>
      </c>
      <c r="F1696" s="7">
        <f t="shared" si="109"/>
        <v>0</v>
      </c>
      <c r="G1696" s="7" t="s">
        <v>12558</v>
      </c>
      <c r="H1696" s="7">
        <f t="shared" si="110"/>
        <v>0</v>
      </c>
      <c r="I1696" s="7" cm="1">
        <f t="array" ref="I1696">IFERROR(_xlfn.IFS(M1696="נח",1,M1696="נע ונח",1,M1696="שני שווא נח",2,M1696="שני שוואים בסוף מילה",2,M1696="שני שוואים ברצף",1),"0")</f>
        <v>1</v>
      </c>
      <c r="J1696" s="9">
        <f t="shared" si="111"/>
        <v>3</v>
      </c>
      <c r="K1696" t="s">
        <v>6698</v>
      </c>
      <c r="L1696" t="s">
        <v>6694</v>
      </c>
      <c r="M1696" t="s">
        <v>6705</v>
      </c>
      <c r="N1696" t="s">
        <v>6706</v>
      </c>
      <c r="O1696" t="s">
        <v>6694</v>
      </c>
      <c r="S1696" t="s">
        <v>6694</v>
      </c>
      <c r="W1696" t="s">
        <v>6720</v>
      </c>
    </row>
    <row r="1697" spans="1:23" ht="15.6" x14ac:dyDescent="0.4">
      <c r="A1697" s="2" t="s">
        <v>642</v>
      </c>
      <c r="B1697" s="5" t="s">
        <v>8165</v>
      </c>
      <c r="C1697" s="7" t="s">
        <v>12556</v>
      </c>
      <c r="D1697" s="8">
        <f t="shared" si="108"/>
        <v>0</v>
      </c>
      <c r="E1697" s="7" t="s">
        <v>12557</v>
      </c>
      <c r="F1697" s="7">
        <f t="shared" si="109"/>
        <v>0</v>
      </c>
      <c r="G1697" s="7" t="s">
        <v>12558</v>
      </c>
      <c r="H1697" s="7">
        <f t="shared" si="110"/>
        <v>0</v>
      </c>
      <c r="I1697" s="7" t="str" cm="1">
        <f t="array" ref="I1697">IFERROR(_xlfn.IFS(M1697="נח",1,M1697="נע ונח",1,M1697="שני שווא נח",2,M1697="שני שוואים בסוף מילה",2,M1697="שני שוואים ברצף",1),"0")</f>
        <v>0</v>
      </c>
      <c r="J1697" s="9">
        <f t="shared" si="111"/>
        <v>2</v>
      </c>
      <c r="K1697" t="s">
        <v>6698</v>
      </c>
      <c r="L1697" t="s">
        <v>6695</v>
      </c>
      <c r="O1697" t="s">
        <v>6694</v>
      </c>
      <c r="S1697" t="s">
        <v>6694</v>
      </c>
      <c r="W1697" t="s">
        <v>6720</v>
      </c>
    </row>
    <row r="1698" spans="1:23" ht="15.6" x14ac:dyDescent="0.4">
      <c r="A1698" s="2" t="s">
        <v>5634</v>
      </c>
      <c r="B1698" s="5" t="s">
        <v>8166</v>
      </c>
      <c r="C1698" s="7" t="s">
        <v>12556</v>
      </c>
      <c r="D1698" s="8">
        <f t="shared" si="108"/>
        <v>0</v>
      </c>
      <c r="E1698" s="7" t="s">
        <v>12557</v>
      </c>
      <c r="F1698" s="7">
        <f t="shared" si="109"/>
        <v>0</v>
      </c>
      <c r="G1698" s="7" t="s">
        <v>12558</v>
      </c>
      <c r="H1698" s="7">
        <f t="shared" si="110"/>
        <v>0</v>
      </c>
      <c r="I1698" s="7" t="str" cm="1">
        <f t="array" ref="I1698">IFERROR(_xlfn.IFS(M1698="נח",1,M1698="נע ונח",1,M1698="שני שווא נח",2,M1698="שני שוואים בסוף מילה",2,M1698="שני שוואים ברצף",1),"0")</f>
        <v>0</v>
      </c>
      <c r="J1698" s="9">
        <f t="shared" si="111"/>
        <v>3</v>
      </c>
      <c r="K1698" t="s">
        <v>6697</v>
      </c>
      <c r="L1698" t="s">
        <v>6695</v>
      </c>
      <c r="O1698" t="s">
        <v>6694</v>
      </c>
      <c r="S1698" t="s">
        <v>6694</v>
      </c>
      <c r="W1698" t="s">
        <v>6720</v>
      </c>
    </row>
    <row r="1699" spans="1:23" ht="15.6" x14ac:dyDescent="0.4">
      <c r="A1699" s="2" t="s">
        <v>3799</v>
      </c>
      <c r="B1699" s="5" t="s">
        <v>8167</v>
      </c>
      <c r="C1699" s="7" t="s">
        <v>12556</v>
      </c>
      <c r="D1699" s="8">
        <f t="shared" si="108"/>
        <v>0</v>
      </c>
      <c r="E1699" s="7" t="s">
        <v>12557</v>
      </c>
      <c r="F1699" s="7">
        <f t="shared" si="109"/>
        <v>1</v>
      </c>
      <c r="G1699" s="7" t="s">
        <v>12558</v>
      </c>
      <c r="H1699" s="7">
        <f t="shared" si="110"/>
        <v>1</v>
      </c>
      <c r="I1699" s="7" t="str" cm="1">
        <f t="array" ref="I1699">IFERROR(_xlfn.IFS(M1699="נח",1,M1699="נע ונח",1,M1699="שני שווא נח",2,M1699="שני שוואים בסוף מילה",2,M1699="שני שוואים ברצף",1),"0")</f>
        <v>0</v>
      </c>
      <c r="J1699" s="9">
        <f t="shared" si="111"/>
        <v>3</v>
      </c>
      <c r="K1699" t="s">
        <v>6697</v>
      </c>
      <c r="L1699" t="s">
        <v>6695</v>
      </c>
      <c r="O1699" t="s">
        <v>6694</v>
      </c>
      <c r="S1699" t="s">
        <v>6694</v>
      </c>
      <c r="U1699" t="s">
        <v>6694</v>
      </c>
      <c r="W1699" t="s">
        <v>6720</v>
      </c>
    </row>
    <row r="1700" spans="1:23" ht="15.6" x14ac:dyDescent="0.4">
      <c r="A1700" s="2" t="s">
        <v>3983</v>
      </c>
      <c r="B1700" s="5" t="s">
        <v>7962</v>
      </c>
      <c r="C1700" s="7" t="s">
        <v>12556</v>
      </c>
      <c r="D1700" s="8">
        <f t="shared" si="108"/>
        <v>0</v>
      </c>
      <c r="E1700" s="7" t="s">
        <v>12557</v>
      </c>
      <c r="F1700" s="7">
        <f t="shared" si="109"/>
        <v>0</v>
      </c>
      <c r="G1700" s="7" t="s">
        <v>12558</v>
      </c>
      <c r="H1700" s="7">
        <f t="shared" si="110"/>
        <v>0</v>
      </c>
      <c r="I1700" s="7" t="str" cm="1">
        <f t="array" ref="I1700">IFERROR(_xlfn.IFS(M1700="נח",1,M1700="נע ונח",1,M1700="שני שווא נח",2,M1700="שני שוואים בסוף מילה",2,M1700="שני שוואים ברצף",1),"0")</f>
        <v>0</v>
      </c>
      <c r="J1700" s="9">
        <f t="shared" si="111"/>
        <v>2</v>
      </c>
      <c r="K1700" t="s">
        <v>6697</v>
      </c>
      <c r="L1700" t="s">
        <v>6695</v>
      </c>
      <c r="O1700" t="s">
        <v>6694</v>
      </c>
      <c r="P1700" t="s">
        <v>6694</v>
      </c>
      <c r="W1700" t="s">
        <v>6720</v>
      </c>
    </row>
    <row r="1701" spans="1:23" ht="15.6" x14ac:dyDescent="0.4">
      <c r="A1701" s="2" t="s">
        <v>6331</v>
      </c>
      <c r="B1701" s="5" t="s">
        <v>8168</v>
      </c>
      <c r="C1701" s="7" t="s">
        <v>12556</v>
      </c>
      <c r="D1701" s="8">
        <f t="shared" si="108"/>
        <v>0</v>
      </c>
      <c r="E1701" s="7" t="s">
        <v>12557</v>
      </c>
      <c r="F1701" s="7">
        <f t="shared" si="109"/>
        <v>0</v>
      </c>
      <c r="G1701" s="7" t="s">
        <v>12558</v>
      </c>
      <c r="H1701" s="7">
        <f t="shared" si="110"/>
        <v>0</v>
      </c>
      <c r="I1701" s="7" t="str" cm="1">
        <f t="array" ref="I1701">IFERROR(_xlfn.IFS(M1701="נח",1,M1701="נע ונח",1,M1701="שני שווא נח",2,M1701="שני שוואים בסוף מילה",2,M1701="שני שוואים ברצף",1),"0")</f>
        <v>0</v>
      </c>
      <c r="J1701" s="9">
        <f t="shared" si="111"/>
        <v>4</v>
      </c>
      <c r="K1701" t="s">
        <v>6697</v>
      </c>
      <c r="L1701" t="s">
        <v>6695</v>
      </c>
      <c r="O1701" t="s">
        <v>6694</v>
      </c>
      <c r="P1701" t="s">
        <v>6694</v>
      </c>
      <c r="S1701" t="s">
        <v>6694</v>
      </c>
      <c r="W1701" t="s">
        <v>6720</v>
      </c>
    </row>
    <row r="1702" spans="1:23" ht="15.6" x14ac:dyDescent="0.4">
      <c r="A1702" s="2" t="s">
        <v>6451</v>
      </c>
      <c r="B1702" s="5" t="s">
        <v>8169</v>
      </c>
      <c r="C1702" s="7" t="s">
        <v>12556</v>
      </c>
      <c r="D1702" s="8">
        <f t="shared" si="108"/>
        <v>1</v>
      </c>
      <c r="E1702" s="7" t="s">
        <v>12557</v>
      </c>
      <c r="F1702" s="7">
        <f t="shared" si="109"/>
        <v>0</v>
      </c>
      <c r="G1702" s="7" t="s">
        <v>12558</v>
      </c>
      <c r="H1702" s="7">
        <f t="shared" si="110"/>
        <v>0</v>
      </c>
      <c r="I1702" s="7" t="str" cm="1">
        <f t="array" ref="I1702">IFERROR(_xlfn.IFS(M1702="נח",1,M1702="נע ונח",1,M1702="שני שווא נח",2,M1702="שני שוואים בסוף מילה",2,M1702="שני שוואים ברצף",1),"0")</f>
        <v>0</v>
      </c>
      <c r="J1702" s="9">
        <f t="shared" si="111"/>
        <v>3</v>
      </c>
      <c r="K1702" t="s">
        <v>6697</v>
      </c>
      <c r="L1702" t="s">
        <v>6695</v>
      </c>
      <c r="O1702" t="s">
        <v>6694</v>
      </c>
      <c r="W1702" t="s">
        <v>6720</v>
      </c>
    </row>
    <row r="1703" spans="1:23" ht="15.6" x14ac:dyDescent="0.4">
      <c r="A1703" s="2" t="s">
        <v>1339</v>
      </c>
      <c r="B1703" s="5" t="s">
        <v>8170</v>
      </c>
      <c r="C1703" s="7" t="s">
        <v>12556</v>
      </c>
      <c r="D1703" s="8">
        <f t="shared" si="108"/>
        <v>0</v>
      </c>
      <c r="E1703" s="7" t="s">
        <v>12557</v>
      </c>
      <c r="F1703" s="7">
        <f t="shared" si="109"/>
        <v>0</v>
      </c>
      <c r="G1703" s="7" t="s">
        <v>12558</v>
      </c>
      <c r="H1703" s="7">
        <f t="shared" si="110"/>
        <v>0</v>
      </c>
      <c r="I1703" s="7" t="str" cm="1">
        <f t="array" ref="I1703">IFERROR(_xlfn.IFS(M1703="נח",1,M1703="נע ונח",1,M1703="שני שווא נח",2,M1703="שני שוואים בסוף מילה",2,M1703="שני שוואים ברצף",1),"0")</f>
        <v>0</v>
      </c>
      <c r="J1703" s="9">
        <f t="shared" si="111"/>
        <v>3</v>
      </c>
      <c r="K1703" t="s">
        <v>6697</v>
      </c>
      <c r="L1703" t="s">
        <v>6695</v>
      </c>
      <c r="O1703" t="s">
        <v>6694</v>
      </c>
      <c r="Q1703" t="s">
        <v>6694</v>
      </c>
      <c r="V1703" t="s">
        <v>6694</v>
      </c>
      <c r="W1703" t="s">
        <v>6720</v>
      </c>
    </row>
    <row r="1704" spans="1:23" ht="15.6" x14ac:dyDescent="0.4">
      <c r="A1704" s="2" t="s">
        <v>2918</v>
      </c>
      <c r="B1704" s="5" t="s">
        <v>8171</v>
      </c>
      <c r="C1704" s="7" t="s">
        <v>12556</v>
      </c>
      <c r="D1704" s="8">
        <f t="shared" si="108"/>
        <v>0</v>
      </c>
      <c r="E1704" s="7" t="s">
        <v>12557</v>
      </c>
      <c r="F1704" s="7">
        <f t="shared" si="109"/>
        <v>0</v>
      </c>
      <c r="G1704" s="7" t="s">
        <v>12558</v>
      </c>
      <c r="H1704" s="7">
        <f t="shared" si="110"/>
        <v>0</v>
      </c>
      <c r="I1704" s="7" t="str" cm="1">
        <f t="array" ref="I1704">IFERROR(_xlfn.IFS(M1704="נח",1,M1704="נע ונח",1,M1704="שני שווא נח",2,M1704="שני שוואים בסוף מילה",2,M1704="שני שוואים ברצף",1),"0")</f>
        <v>0</v>
      </c>
      <c r="J1704" s="9">
        <f t="shared" si="111"/>
        <v>3</v>
      </c>
      <c r="K1704" t="s">
        <v>6698</v>
      </c>
      <c r="L1704" t="s">
        <v>6695</v>
      </c>
      <c r="O1704" t="s">
        <v>6694</v>
      </c>
      <c r="Q1704" t="s">
        <v>6694</v>
      </c>
      <c r="V1704" t="s">
        <v>6694</v>
      </c>
      <c r="W1704" t="s">
        <v>6720</v>
      </c>
    </row>
    <row r="1705" spans="1:23" ht="15.6" x14ac:dyDescent="0.4">
      <c r="A1705" s="2" t="s">
        <v>5952</v>
      </c>
      <c r="B1705" s="5" t="s">
        <v>8172</v>
      </c>
      <c r="C1705" s="7" t="s">
        <v>12556</v>
      </c>
      <c r="D1705" s="8">
        <f t="shared" si="108"/>
        <v>1</v>
      </c>
      <c r="E1705" s="7" t="s">
        <v>12557</v>
      </c>
      <c r="F1705" s="7">
        <f t="shared" si="109"/>
        <v>1</v>
      </c>
      <c r="G1705" s="7" t="s">
        <v>12558</v>
      </c>
      <c r="H1705" s="7">
        <f t="shared" si="110"/>
        <v>0</v>
      </c>
      <c r="I1705" s="7" cm="1">
        <f t="array" ref="I1705">IFERROR(_xlfn.IFS(M1705="נח",1,M1705="נע ונח",1,M1705="שני שווא נח",2,M1705="שני שוואים בסוף מילה",2,M1705="שני שוואים ברצף",1),"0")</f>
        <v>2</v>
      </c>
      <c r="J1705" s="9">
        <f t="shared" si="111"/>
        <v>3</v>
      </c>
      <c r="K1705" t="s">
        <v>6697</v>
      </c>
      <c r="L1705" t="s">
        <v>6694</v>
      </c>
      <c r="M1705" t="s">
        <v>6704</v>
      </c>
      <c r="O1705" t="s">
        <v>6694</v>
      </c>
      <c r="P1705" t="s">
        <v>6694</v>
      </c>
      <c r="S1705" t="s">
        <v>6694</v>
      </c>
      <c r="W1705" t="s">
        <v>6720</v>
      </c>
    </row>
    <row r="1706" spans="1:23" ht="15.6" x14ac:dyDescent="0.4">
      <c r="A1706" s="2" t="s">
        <v>2084</v>
      </c>
      <c r="B1706" s="5" t="s">
        <v>8173</v>
      </c>
      <c r="C1706" s="7" t="s">
        <v>12556</v>
      </c>
      <c r="D1706" s="8">
        <f t="shared" si="108"/>
        <v>1</v>
      </c>
      <c r="E1706" s="7" t="s">
        <v>12557</v>
      </c>
      <c r="F1706" s="7">
        <f t="shared" si="109"/>
        <v>0</v>
      </c>
      <c r="G1706" s="7" t="s">
        <v>12558</v>
      </c>
      <c r="H1706" s="7">
        <f t="shared" si="110"/>
        <v>0</v>
      </c>
      <c r="I1706" s="7" t="str" cm="1">
        <f t="array" ref="I1706">IFERROR(_xlfn.IFS(M1706="נח",1,M1706="נע ונח",1,M1706="שני שווא נח",2,M1706="שני שוואים בסוף מילה",2,M1706="שני שוואים ברצף",1),"0")</f>
        <v>0</v>
      </c>
      <c r="J1706" s="9">
        <f t="shared" si="111"/>
        <v>3</v>
      </c>
      <c r="K1706" t="s">
        <v>6697</v>
      </c>
      <c r="L1706" t="s">
        <v>6695</v>
      </c>
      <c r="O1706" t="s">
        <v>6694</v>
      </c>
      <c r="S1706" t="s">
        <v>6694</v>
      </c>
      <c r="W1706" t="s">
        <v>6720</v>
      </c>
    </row>
    <row r="1707" spans="1:23" ht="15.6" x14ac:dyDescent="0.4">
      <c r="A1707" s="2" t="s">
        <v>61</v>
      </c>
      <c r="B1707" s="5" t="s">
        <v>8174</v>
      </c>
      <c r="C1707" s="7" t="s">
        <v>12556</v>
      </c>
      <c r="D1707" s="8">
        <f t="shared" si="108"/>
        <v>1</v>
      </c>
      <c r="E1707" s="7" t="s">
        <v>12557</v>
      </c>
      <c r="F1707" s="7">
        <f t="shared" si="109"/>
        <v>0</v>
      </c>
      <c r="G1707" s="7" t="s">
        <v>12558</v>
      </c>
      <c r="H1707" s="7">
        <f t="shared" si="110"/>
        <v>0</v>
      </c>
      <c r="I1707" s="7" t="str" cm="1">
        <f t="array" ref="I1707">IFERROR(_xlfn.IFS(M1707="נח",1,M1707="נע ונח",1,M1707="שני שווא נח",2,M1707="שני שוואים בסוף מילה",2,M1707="שני שוואים ברצף",1),"0")</f>
        <v>0</v>
      </c>
      <c r="J1707" s="9">
        <f t="shared" si="111"/>
        <v>2</v>
      </c>
      <c r="K1707" t="s">
        <v>6698</v>
      </c>
      <c r="L1707" t="s">
        <v>6695</v>
      </c>
      <c r="O1707" t="s">
        <v>6694</v>
      </c>
      <c r="Q1707" t="s">
        <v>6694</v>
      </c>
      <c r="W1707" t="s">
        <v>6720</v>
      </c>
    </row>
    <row r="1708" spans="1:23" ht="15.6" x14ac:dyDescent="0.4">
      <c r="A1708" s="2" t="s">
        <v>3483</v>
      </c>
      <c r="B1708" s="5" t="s">
        <v>8175</v>
      </c>
      <c r="C1708" s="7" t="s">
        <v>12556</v>
      </c>
      <c r="D1708" s="8">
        <f t="shared" si="108"/>
        <v>1</v>
      </c>
      <c r="E1708" s="7" t="s">
        <v>12557</v>
      </c>
      <c r="F1708" s="7">
        <f t="shared" si="109"/>
        <v>0</v>
      </c>
      <c r="G1708" s="7" t="s">
        <v>12558</v>
      </c>
      <c r="H1708" s="7">
        <f t="shared" si="110"/>
        <v>0</v>
      </c>
      <c r="I1708" s="7" t="str" cm="1">
        <f t="array" ref="I1708">IFERROR(_xlfn.IFS(M1708="נח",1,M1708="נע ונח",1,M1708="שני שווא נח",2,M1708="שני שוואים בסוף מילה",2,M1708="שני שוואים ברצף",1),"0")</f>
        <v>0</v>
      </c>
      <c r="J1708" s="9">
        <f t="shared" si="111"/>
        <v>2</v>
      </c>
      <c r="K1708" t="s">
        <v>6697</v>
      </c>
      <c r="L1708" t="s">
        <v>6695</v>
      </c>
      <c r="O1708" t="s">
        <v>6694</v>
      </c>
      <c r="P1708" t="s">
        <v>6694</v>
      </c>
      <c r="W1708" t="s">
        <v>6720</v>
      </c>
    </row>
    <row r="1709" spans="1:23" ht="15.6" x14ac:dyDescent="0.4">
      <c r="A1709" s="2" t="s">
        <v>1511</v>
      </c>
      <c r="B1709" s="5" t="s">
        <v>8176</v>
      </c>
      <c r="C1709" s="7" t="s">
        <v>12556</v>
      </c>
      <c r="D1709" s="8">
        <f t="shared" si="108"/>
        <v>0</v>
      </c>
      <c r="E1709" s="7" t="s">
        <v>12557</v>
      </c>
      <c r="F1709" s="7">
        <f t="shared" si="109"/>
        <v>1</v>
      </c>
      <c r="G1709" s="7" t="s">
        <v>12558</v>
      </c>
      <c r="H1709" s="7">
        <f t="shared" si="110"/>
        <v>1</v>
      </c>
      <c r="I1709" s="7" t="str" cm="1">
        <f t="array" ref="I1709">IFERROR(_xlfn.IFS(M1709="נח",1,M1709="נע ונח",1,M1709="שני שווא נח",2,M1709="שני שוואים בסוף מילה",2,M1709="שני שוואים ברצף",1),"0")</f>
        <v>0</v>
      </c>
      <c r="J1709" s="9">
        <f t="shared" si="111"/>
        <v>2</v>
      </c>
      <c r="K1709" t="s">
        <v>6697</v>
      </c>
      <c r="L1709" t="s">
        <v>6695</v>
      </c>
      <c r="U1709" t="s">
        <v>6694</v>
      </c>
      <c r="V1709" t="s">
        <v>6694</v>
      </c>
      <c r="W1709" t="s">
        <v>6720</v>
      </c>
    </row>
    <row r="1710" spans="1:23" ht="15.6" x14ac:dyDescent="0.4">
      <c r="A1710" s="2" t="s">
        <v>2802</v>
      </c>
      <c r="B1710" s="5" t="s">
        <v>8151</v>
      </c>
      <c r="C1710" s="7" t="s">
        <v>12556</v>
      </c>
      <c r="D1710" s="8">
        <f t="shared" si="108"/>
        <v>0</v>
      </c>
      <c r="E1710" s="7" t="s">
        <v>12557</v>
      </c>
      <c r="F1710" s="7">
        <f t="shared" si="109"/>
        <v>0</v>
      </c>
      <c r="G1710" s="7" t="s">
        <v>12558</v>
      </c>
      <c r="H1710" s="7">
        <f t="shared" si="110"/>
        <v>0</v>
      </c>
      <c r="I1710" s="7" cm="1">
        <f t="array" ref="I1710">IFERROR(_xlfn.IFS(M1710="נח",1,M1710="נע ונח",1,M1710="שני שווא נח",2,M1710="שני שוואים בסוף מילה",2,M1710="שני שוואים ברצף",1),"0")</f>
        <v>1</v>
      </c>
      <c r="J1710" s="9">
        <f t="shared" si="111"/>
        <v>2</v>
      </c>
      <c r="K1710" t="s">
        <v>6698</v>
      </c>
      <c r="L1710" t="s">
        <v>6694</v>
      </c>
      <c r="M1710" t="s">
        <v>6705</v>
      </c>
      <c r="Q1710" t="s">
        <v>6694</v>
      </c>
      <c r="V1710" t="s">
        <v>6694</v>
      </c>
      <c r="W1710" t="s">
        <v>6720</v>
      </c>
    </row>
    <row r="1711" spans="1:23" ht="15.6" x14ac:dyDescent="0.4">
      <c r="A1711" s="2" t="s">
        <v>3665</v>
      </c>
      <c r="B1711" s="5" t="s">
        <v>8177</v>
      </c>
      <c r="C1711" s="7" t="s">
        <v>12556</v>
      </c>
      <c r="D1711" s="8">
        <f t="shared" si="108"/>
        <v>0</v>
      </c>
      <c r="E1711" s="7" t="s">
        <v>12557</v>
      </c>
      <c r="F1711" s="7">
        <f t="shared" si="109"/>
        <v>1</v>
      </c>
      <c r="G1711" s="7" t="s">
        <v>12558</v>
      </c>
      <c r="H1711" s="7">
        <f t="shared" si="110"/>
        <v>1</v>
      </c>
      <c r="I1711" s="7" cm="1">
        <f t="array" ref="I1711">IFERROR(_xlfn.IFS(M1711="נח",1,M1711="נע ונח",1,M1711="שני שווא נח",2,M1711="שני שוואים בסוף מילה",2,M1711="שני שוואים ברצף",1),"0")</f>
        <v>1</v>
      </c>
      <c r="J1711" s="9">
        <f t="shared" si="111"/>
        <v>3</v>
      </c>
      <c r="K1711" t="s">
        <v>6697</v>
      </c>
      <c r="L1711" t="s">
        <v>6694</v>
      </c>
      <c r="M1711" t="s">
        <v>6705</v>
      </c>
      <c r="P1711" t="s">
        <v>6694</v>
      </c>
      <c r="U1711" t="s">
        <v>6694</v>
      </c>
      <c r="V1711" t="s">
        <v>6694</v>
      </c>
      <c r="W1711" t="s">
        <v>6720</v>
      </c>
    </row>
    <row r="1712" spans="1:23" ht="15.6" x14ac:dyDescent="0.4">
      <c r="A1712" s="2" t="s">
        <v>5677</v>
      </c>
      <c r="B1712" s="5" t="s">
        <v>8178</v>
      </c>
      <c r="C1712" s="7" t="s">
        <v>12556</v>
      </c>
      <c r="D1712" s="8">
        <f t="shared" si="108"/>
        <v>1</v>
      </c>
      <c r="E1712" s="7" t="s">
        <v>12557</v>
      </c>
      <c r="F1712" s="7">
        <f t="shared" si="109"/>
        <v>1</v>
      </c>
      <c r="G1712" s="7" t="s">
        <v>12558</v>
      </c>
      <c r="H1712" s="7">
        <f t="shared" si="110"/>
        <v>0</v>
      </c>
      <c r="I1712" s="7" cm="1">
        <f t="array" ref="I1712">IFERROR(_xlfn.IFS(M1712="נח",1,M1712="נע ונח",1,M1712="שני שווא נח",2,M1712="שני שוואים בסוף מילה",2,M1712="שני שוואים ברצף",1),"0")</f>
        <v>1</v>
      </c>
      <c r="J1712" s="9">
        <f t="shared" si="111"/>
        <v>3</v>
      </c>
      <c r="K1712" t="s">
        <v>6698</v>
      </c>
      <c r="L1712" t="s">
        <v>6694</v>
      </c>
      <c r="M1712" t="s">
        <v>6705</v>
      </c>
      <c r="O1712" t="s">
        <v>6694</v>
      </c>
      <c r="P1712" t="s">
        <v>6694</v>
      </c>
      <c r="V1712" t="s">
        <v>6694</v>
      </c>
      <c r="W1712" t="s">
        <v>6720</v>
      </c>
    </row>
    <row r="1713" spans="1:23" ht="15.6" x14ac:dyDescent="0.4">
      <c r="A1713" s="2" t="s">
        <v>615</v>
      </c>
      <c r="B1713" s="5" t="s">
        <v>8179</v>
      </c>
      <c r="C1713" s="7" t="s">
        <v>12556</v>
      </c>
      <c r="D1713" s="8">
        <f t="shared" si="108"/>
        <v>0</v>
      </c>
      <c r="E1713" s="7" t="s">
        <v>12557</v>
      </c>
      <c r="F1713" s="7">
        <f t="shared" si="109"/>
        <v>0</v>
      </c>
      <c r="G1713" s="7" t="s">
        <v>12558</v>
      </c>
      <c r="H1713" s="7">
        <f t="shared" si="110"/>
        <v>0</v>
      </c>
      <c r="I1713" s="7" t="str" cm="1">
        <f t="array" ref="I1713">IFERROR(_xlfn.IFS(M1713="נח",1,M1713="נע ונח",1,M1713="שני שווא נח",2,M1713="שני שוואים בסוף מילה",2,M1713="שני שוואים ברצף",1),"0")</f>
        <v>0</v>
      </c>
      <c r="J1713" s="9">
        <f t="shared" si="111"/>
        <v>1</v>
      </c>
      <c r="K1713" t="s">
        <v>6698</v>
      </c>
      <c r="L1713" t="s">
        <v>6695</v>
      </c>
      <c r="V1713" t="s">
        <v>6694</v>
      </c>
      <c r="W1713" t="s">
        <v>6720</v>
      </c>
    </row>
    <row r="1714" spans="1:23" ht="15.6" x14ac:dyDescent="0.4">
      <c r="A1714" s="2" t="s">
        <v>2138</v>
      </c>
      <c r="B1714" s="5" t="s">
        <v>8180</v>
      </c>
      <c r="C1714" s="7" t="s">
        <v>12556</v>
      </c>
      <c r="D1714" s="8">
        <f t="shared" si="108"/>
        <v>0</v>
      </c>
      <c r="E1714" s="7" t="s">
        <v>12557</v>
      </c>
      <c r="F1714" s="7">
        <f t="shared" si="109"/>
        <v>0</v>
      </c>
      <c r="G1714" s="7" t="s">
        <v>12558</v>
      </c>
      <c r="H1714" s="7">
        <f t="shared" si="110"/>
        <v>0</v>
      </c>
      <c r="I1714" s="7" cm="1">
        <f t="array" ref="I1714">IFERROR(_xlfn.IFS(M1714="נח",1,M1714="נע ונח",1,M1714="שני שווא נח",2,M1714="שני שוואים בסוף מילה",2,M1714="שני שוואים ברצף",1),"0")</f>
        <v>1</v>
      </c>
      <c r="J1714" s="9">
        <f t="shared" si="111"/>
        <v>2</v>
      </c>
      <c r="K1714" t="s">
        <v>6697</v>
      </c>
      <c r="L1714" t="s">
        <v>6694</v>
      </c>
      <c r="M1714" t="s">
        <v>6705</v>
      </c>
      <c r="O1714" t="s">
        <v>6694</v>
      </c>
      <c r="V1714" t="s">
        <v>6694</v>
      </c>
      <c r="W1714" t="s">
        <v>6720</v>
      </c>
    </row>
    <row r="1715" spans="1:23" ht="15.6" x14ac:dyDescent="0.4">
      <c r="A1715" s="2" t="s">
        <v>4655</v>
      </c>
      <c r="B1715" s="5" t="s">
        <v>8181</v>
      </c>
      <c r="C1715" s="7" t="s">
        <v>12556</v>
      </c>
      <c r="D1715" s="8">
        <f t="shared" si="108"/>
        <v>0</v>
      </c>
      <c r="E1715" s="7" t="s">
        <v>12557</v>
      </c>
      <c r="F1715" s="7">
        <f t="shared" si="109"/>
        <v>1</v>
      </c>
      <c r="G1715" s="7" t="s">
        <v>12558</v>
      </c>
      <c r="H1715" s="7">
        <f t="shared" si="110"/>
        <v>1</v>
      </c>
      <c r="I1715" s="7" t="str" cm="1">
        <f t="array" ref="I1715">IFERROR(_xlfn.IFS(M1715="נח",1,M1715="נע ונח",1,M1715="שני שווא נח",2,M1715="שני שוואים בסוף מילה",2,M1715="שני שוואים ברצף",1),"0")</f>
        <v>0</v>
      </c>
      <c r="J1715" s="9">
        <f t="shared" si="111"/>
        <v>3</v>
      </c>
      <c r="K1715" t="s">
        <v>6697</v>
      </c>
      <c r="L1715" t="s">
        <v>6695</v>
      </c>
      <c r="S1715" t="s">
        <v>6694</v>
      </c>
      <c r="U1715" t="s">
        <v>6694</v>
      </c>
      <c r="V1715" t="s">
        <v>6694</v>
      </c>
      <c r="W1715" t="s">
        <v>6720</v>
      </c>
    </row>
    <row r="1716" spans="1:23" ht="15.6" x14ac:dyDescent="0.4">
      <c r="A1716" s="2" t="s">
        <v>2593</v>
      </c>
      <c r="B1716" s="5" t="s">
        <v>8182</v>
      </c>
      <c r="C1716" s="7" t="s">
        <v>12556</v>
      </c>
      <c r="D1716" s="8">
        <f t="shared" si="108"/>
        <v>0</v>
      </c>
      <c r="E1716" s="7" t="s">
        <v>12557</v>
      </c>
      <c r="F1716" s="7">
        <f t="shared" si="109"/>
        <v>0</v>
      </c>
      <c r="G1716" s="7" t="s">
        <v>12558</v>
      </c>
      <c r="H1716" s="7">
        <f t="shared" si="110"/>
        <v>0</v>
      </c>
      <c r="I1716" s="7" t="str" cm="1">
        <f t="array" ref="I1716">IFERROR(_xlfn.IFS(M1716="נח",1,M1716="נע ונח",1,M1716="שני שווא נח",2,M1716="שני שוואים בסוף מילה",2,M1716="שני שוואים ברצף",1),"0")</f>
        <v>0</v>
      </c>
      <c r="J1716" s="9">
        <f t="shared" si="111"/>
        <v>4</v>
      </c>
      <c r="K1716" t="s">
        <v>6697</v>
      </c>
      <c r="L1716" t="s">
        <v>6695</v>
      </c>
      <c r="Q1716" t="s">
        <v>6694</v>
      </c>
      <c r="S1716" t="s">
        <v>6694</v>
      </c>
      <c r="V1716" t="s">
        <v>6694</v>
      </c>
      <c r="W1716" t="s">
        <v>6720</v>
      </c>
    </row>
    <row r="1717" spans="1:23" ht="15.6" x14ac:dyDescent="0.4">
      <c r="A1717" s="2" t="s">
        <v>5548</v>
      </c>
      <c r="B1717" s="5" t="s">
        <v>8183</v>
      </c>
      <c r="C1717" s="7" t="s">
        <v>12556</v>
      </c>
      <c r="D1717" s="8">
        <f t="shared" si="108"/>
        <v>0</v>
      </c>
      <c r="E1717" s="7" t="s">
        <v>12557</v>
      </c>
      <c r="F1717" s="7">
        <f t="shared" si="109"/>
        <v>0</v>
      </c>
      <c r="G1717" s="7" t="s">
        <v>12558</v>
      </c>
      <c r="H1717" s="7">
        <f t="shared" si="110"/>
        <v>0</v>
      </c>
      <c r="I1717" s="7" t="str" cm="1">
        <f t="array" ref="I1717">IFERROR(_xlfn.IFS(M1717="נח",1,M1717="נע ונח",1,M1717="שני שווא נח",2,M1717="שני שוואים בסוף מילה",2,M1717="שני שוואים ברצף",1),"0")</f>
        <v>0</v>
      </c>
      <c r="J1717" s="9">
        <f t="shared" si="111"/>
        <v>3</v>
      </c>
      <c r="K1717" t="s">
        <v>6697</v>
      </c>
      <c r="L1717" t="s">
        <v>6695</v>
      </c>
      <c r="P1717" t="s">
        <v>6694</v>
      </c>
      <c r="S1717" t="s">
        <v>6694</v>
      </c>
      <c r="V1717" t="s">
        <v>6694</v>
      </c>
      <c r="W1717" t="s">
        <v>6720</v>
      </c>
    </row>
    <row r="1718" spans="1:23" ht="15.6" x14ac:dyDescent="0.4">
      <c r="A1718" s="2" t="s">
        <v>1607</v>
      </c>
      <c r="B1718" s="5" t="s">
        <v>8184</v>
      </c>
      <c r="C1718" s="7" t="s">
        <v>12556</v>
      </c>
      <c r="D1718" s="8">
        <f t="shared" si="108"/>
        <v>0</v>
      </c>
      <c r="E1718" s="7" t="s">
        <v>12557</v>
      </c>
      <c r="F1718" s="7">
        <f t="shared" si="109"/>
        <v>1</v>
      </c>
      <c r="G1718" s="7" t="s">
        <v>12558</v>
      </c>
      <c r="H1718" s="7">
        <f t="shared" si="110"/>
        <v>1</v>
      </c>
      <c r="I1718" s="7" t="str" cm="1">
        <f t="array" ref="I1718">IFERROR(_xlfn.IFS(M1718="נח",1,M1718="נע ונח",1,M1718="שני שווא נח",2,M1718="שני שוואים בסוף מילה",2,M1718="שני שוואים ברצף",1),"0")</f>
        <v>0</v>
      </c>
      <c r="J1718" s="9">
        <f t="shared" si="111"/>
        <v>3</v>
      </c>
      <c r="K1718" t="s">
        <v>6697</v>
      </c>
      <c r="L1718" t="s">
        <v>6695</v>
      </c>
      <c r="S1718" t="s">
        <v>6694</v>
      </c>
      <c r="U1718" t="s">
        <v>6694</v>
      </c>
      <c r="V1718" t="s">
        <v>6694</v>
      </c>
      <c r="W1718" t="s">
        <v>6720</v>
      </c>
    </row>
    <row r="1719" spans="1:23" ht="15.6" x14ac:dyDescent="0.4">
      <c r="A1719" s="2" t="s">
        <v>4758</v>
      </c>
      <c r="B1719" s="5" t="s">
        <v>8185</v>
      </c>
      <c r="C1719" s="7" t="s">
        <v>12556</v>
      </c>
      <c r="D1719" s="8">
        <f t="shared" si="108"/>
        <v>0</v>
      </c>
      <c r="E1719" s="7" t="s">
        <v>12557</v>
      </c>
      <c r="F1719" s="7">
        <f t="shared" si="109"/>
        <v>1</v>
      </c>
      <c r="G1719" s="7" t="s">
        <v>12558</v>
      </c>
      <c r="H1719" s="7">
        <f t="shared" si="110"/>
        <v>0</v>
      </c>
      <c r="I1719" s="7" cm="1">
        <f t="array" ref="I1719">IFERROR(_xlfn.IFS(M1719="נח",1,M1719="נע ונח",1,M1719="שני שווא נח",2,M1719="שני שוואים בסוף מילה",2,M1719="שני שוואים ברצף",1),"0")</f>
        <v>1</v>
      </c>
      <c r="J1719" s="9">
        <f t="shared" si="111"/>
        <v>3</v>
      </c>
      <c r="K1719" t="s">
        <v>6698</v>
      </c>
      <c r="L1719" t="s">
        <v>6694</v>
      </c>
      <c r="M1719" t="s">
        <v>6705</v>
      </c>
      <c r="O1719" t="s">
        <v>6694</v>
      </c>
      <c r="P1719" t="s">
        <v>6694</v>
      </c>
      <c r="V1719" t="s">
        <v>6694</v>
      </c>
      <c r="W1719" t="s">
        <v>6720</v>
      </c>
    </row>
    <row r="1720" spans="1:23" ht="15.6" x14ac:dyDescent="0.4">
      <c r="A1720" s="2" t="s">
        <v>1435</v>
      </c>
      <c r="B1720" s="5" t="s">
        <v>8186</v>
      </c>
      <c r="C1720" s="7" t="s">
        <v>12556</v>
      </c>
      <c r="D1720" s="8">
        <f t="shared" si="108"/>
        <v>0</v>
      </c>
      <c r="E1720" s="7" t="s">
        <v>12557</v>
      </c>
      <c r="F1720" s="7">
        <f t="shared" si="109"/>
        <v>0</v>
      </c>
      <c r="G1720" s="7" t="s">
        <v>12558</v>
      </c>
      <c r="H1720" s="7">
        <f t="shared" si="110"/>
        <v>0</v>
      </c>
      <c r="I1720" s="7" t="str" cm="1">
        <f t="array" ref="I1720">IFERROR(_xlfn.IFS(M1720="נח",1,M1720="נע ונח",1,M1720="שני שווא נח",2,M1720="שני שוואים בסוף מילה",2,M1720="שני שוואים ברצף",1),"0")</f>
        <v>0</v>
      </c>
      <c r="J1720" s="9">
        <f t="shared" si="111"/>
        <v>2</v>
      </c>
      <c r="K1720" t="s">
        <v>6697</v>
      </c>
      <c r="L1720" t="s">
        <v>6695</v>
      </c>
      <c r="V1720" t="s">
        <v>6694</v>
      </c>
      <c r="W1720" t="s">
        <v>6720</v>
      </c>
    </row>
    <row r="1721" spans="1:23" ht="15.6" x14ac:dyDescent="0.4">
      <c r="A1721" s="2" t="s">
        <v>1015</v>
      </c>
      <c r="B1721" s="5" t="s">
        <v>8186</v>
      </c>
      <c r="C1721" s="7" t="s">
        <v>12556</v>
      </c>
      <c r="D1721" s="8">
        <f t="shared" si="108"/>
        <v>0</v>
      </c>
      <c r="E1721" s="7" t="s">
        <v>12557</v>
      </c>
      <c r="F1721" s="7">
        <f t="shared" si="109"/>
        <v>1</v>
      </c>
      <c r="G1721" s="7" t="s">
        <v>12558</v>
      </c>
      <c r="H1721" s="7">
        <f t="shared" si="110"/>
        <v>1</v>
      </c>
      <c r="I1721" s="7" t="str" cm="1">
        <f t="array" ref="I1721">IFERROR(_xlfn.IFS(M1721="נח",1,M1721="נע ונח",1,M1721="שני שווא נח",2,M1721="שני שוואים בסוף מילה",2,M1721="שני שוואים ברצף",1),"0")</f>
        <v>0</v>
      </c>
      <c r="J1721" s="9">
        <f t="shared" si="111"/>
        <v>2</v>
      </c>
      <c r="K1721" t="s">
        <v>6697</v>
      </c>
      <c r="L1721" t="s">
        <v>6695</v>
      </c>
      <c r="U1721" t="s">
        <v>6694</v>
      </c>
      <c r="V1721" t="s">
        <v>6694</v>
      </c>
      <c r="W1721" t="s">
        <v>6720</v>
      </c>
    </row>
    <row r="1722" spans="1:23" ht="15.6" x14ac:dyDescent="0.4">
      <c r="A1722" s="2" t="s">
        <v>3569</v>
      </c>
      <c r="B1722" s="5" t="s">
        <v>8187</v>
      </c>
      <c r="C1722" s="7" t="s">
        <v>12556</v>
      </c>
      <c r="D1722" s="8">
        <f t="shared" si="108"/>
        <v>0</v>
      </c>
      <c r="E1722" s="7" t="s">
        <v>12557</v>
      </c>
      <c r="F1722" s="7">
        <f t="shared" si="109"/>
        <v>0</v>
      </c>
      <c r="G1722" s="7" t="s">
        <v>12558</v>
      </c>
      <c r="H1722" s="7">
        <f t="shared" si="110"/>
        <v>0</v>
      </c>
      <c r="I1722" s="7" t="str" cm="1">
        <f t="array" ref="I1722">IFERROR(_xlfn.IFS(M1722="נח",1,M1722="נע ונח",1,M1722="שני שווא נח",2,M1722="שני שוואים בסוף מילה",2,M1722="שני שוואים ברצף",1),"0")</f>
        <v>0</v>
      </c>
      <c r="J1722" s="9">
        <f t="shared" si="111"/>
        <v>3</v>
      </c>
      <c r="K1722" t="s">
        <v>6697</v>
      </c>
      <c r="L1722" t="s">
        <v>6695</v>
      </c>
      <c r="S1722" t="s">
        <v>6694</v>
      </c>
      <c r="V1722" t="s">
        <v>6694</v>
      </c>
      <c r="W1722" t="s">
        <v>6720</v>
      </c>
    </row>
    <row r="1723" spans="1:23" ht="15.6" x14ac:dyDescent="0.4">
      <c r="A1723" s="2" t="s">
        <v>1947</v>
      </c>
      <c r="B1723" s="5" t="s">
        <v>8188</v>
      </c>
      <c r="C1723" s="7" t="s">
        <v>12556</v>
      </c>
      <c r="D1723" s="8">
        <f t="shared" si="108"/>
        <v>0</v>
      </c>
      <c r="E1723" s="7" t="s">
        <v>12557</v>
      </c>
      <c r="F1723" s="7">
        <f t="shared" si="109"/>
        <v>1</v>
      </c>
      <c r="G1723" s="7" t="s">
        <v>12558</v>
      </c>
      <c r="H1723" s="7">
        <f t="shared" si="110"/>
        <v>0</v>
      </c>
      <c r="I1723" s="7" cm="1">
        <f t="array" ref="I1723">IFERROR(_xlfn.IFS(M1723="נח",1,M1723="נע ונח",1,M1723="שני שווא נח",2,M1723="שני שוואים בסוף מילה",2,M1723="שני שוואים ברצף",1),"0")</f>
        <v>1</v>
      </c>
      <c r="J1723" s="9">
        <f t="shared" si="111"/>
        <v>3</v>
      </c>
      <c r="K1723" t="s">
        <v>6697</v>
      </c>
      <c r="L1723" t="s">
        <v>6694</v>
      </c>
      <c r="M1723" t="s">
        <v>6705</v>
      </c>
      <c r="N1723" t="s">
        <v>6706</v>
      </c>
      <c r="O1723" t="s">
        <v>6694</v>
      </c>
      <c r="S1723" t="s">
        <v>6694</v>
      </c>
      <c r="V1723" t="s">
        <v>6694</v>
      </c>
      <c r="W1723" t="s">
        <v>6720</v>
      </c>
    </row>
    <row r="1724" spans="1:23" ht="15.6" x14ac:dyDescent="0.4">
      <c r="A1724" s="2" t="s">
        <v>3162</v>
      </c>
      <c r="B1724" s="5" t="s">
        <v>8189</v>
      </c>
      <c r="C1724" s="7" t="s">
        <v>12556</v>
      </c>
      <c r="D1724" s="8">
        <f t="shared" si="108"/>
        <v>0</v>
      </c>
      <c r="E1724" s="7" t="s">
        <v>12557</v>
      </c>
      <c r="F1724" s="7">
        <f t="shared" si="109"/>
        <v>0</v>
      </c>
      <c r="G1724" s="7" t="s">
        <v>12558</v>
      </c>
      <c r="H1724" s="7">
        <f t="shared" si="110"/>
        <v>0</v>
      </c>
      <c r="I1724" s="7" t="str" cm="1">
        <f t="array" ref="I1724">IFERROR(_xlfn.IFS(M1724="נח",1,M1724="נע ונח",1,M1724="שני שווא נח",2,M1724="שני שוואים בסוף מילה",2,M1724="שני שוואים ברצף",1),"0")</f>
        <v>0</v>
      </c>
      <c r="J1724" s="9">
        <f t="shared" si="111"/>
        <v>3</v>
      </c>
      <c r="K1724" t="s">
        <v>6698</v>
      </c>
      <c r="L1724" t="s">
        <v>6694</v>
      </c>
      <c r="M1724" t="s">
        <v>6703</v>
      </c>
      <c r="S1724" t="s">
        <v>6694</v>
      </c>
      <c r="V1724" t="s">
        <v>6694</v>
      </c>
      <c r="W1724" t="s">
        <v>6720</v>
      </c>
    </row>
    <row r="1725" spans="1:23" ht="15.6" x14ac:dyDescent="0.4">
      <c r="A1725" s="2" t="s">
        <v>5217</v>
      </c>
      <c r="B1725" s="5" t="s">
        <v>8190</v>
      </c>
      <c r="C1725" s="7" t="s">
        <v>12556</v>
      </c>
      <c r="D1725" s="8">
        <f t="shared" si="108"/>
        <v>0</v>
      </c>
      <c r="E1725" s="7" t="s">
        <v>12557</v>
      </c>
      <c r="F1725" s="7">
        <f t="shared" si="109"/>
        <v>0</v>
      </c>
      <c r="G1725" s="7" t="s">
        <v>12558</v>
      </c>
      <c r="H1725" s="7">
        <f t="shared" si="110"/>
        <v>0</v>
      </c>
      <c r="I1725" s="7" cm="1">
        <f t="array" ref="I1725">IFERROR(_xlfn.IFS(M1725="נח",1,M1725="נע ונח",1,M1725="שני שווא נח",2,M1725="שני שוואים בסוף מילה",2,M1725="שני שוואים ברצף",1),"0")</f>
        <v>1</v>
      </c>
      <c r="J1725" s="9">
        <f t="shared" si="111"/>
        <v>2</v>
      </c>
      <c r="K1725" t="s">
        <v>6698</v>
      </c>
      <c r="L1725" t="s">
        <v>6694</v>
      </c>
      <c r="M1725" t="s">
        <v>6705</v>
      </c>
      <c r="Q1725" t="s">
        <v>6694</v>
      </c>
      <c r="V1725" t="s">
        <v>6694</v>
      </c>
      <c r="W1725" t="s">
        <v>6720</v>
      </c>
    </row>
    <row r="1726" spans="1:23" ht="15.6" x14ac:dyDescent="0.4">
      <c r="A1726" s="2" t="s">
        <v>1188</v>
      </c>
      <c r="B1726" s="5" t="s">
        <v>8191</v>
      </c>
      <c r="C1726" s="7" t="s">
        <v>12556</v>
      </c>
      <c r="D1726" s="8">
        <f t="shared" si="108"/>
        <v>0</v>
      </c>
      <c r="E1726" s="7" t="s">
        <v>12557</v>
      </c>
      <c r="F1726" s="7">
        <f t="shared" si="109"/>
        <v>0</v>
      </c>
      <c r="G1726" s="7" t="s">
        <v>12558</v>
      </c>
      <c r="H1726" s="7">
        <f t="shared" si="110"/>
        <v>0</v>
      </c>
      <c r="I1726" s="7" t="str" cm="1">
        <f t="array" ref="I1726">IFERROR(_xlfn.IFS(M1726="נח",1,M1726="נע ונח",1,M1726="שני שווא נח",2,M1726="שני שוואים בסוף מילה",2,M1726="שני שוואים ברצף",1),"0")</f>
        <v>0</v>
      </c>
      <c r="J1726" s="9">
        <f t="shared" si="111"/>
        <v>1</v>
      </c>
      <c r="K1726" t="s">
        <v>6698</v>
      </c>
      <c r="L1726" t="s">
        <v>6695</v>
      </c>
      <c r="V1726" t="s">
        <v>6694</v>
      </c>
      <c r="W1726" t="s">
        <v>6720</v>
      </c>
    </row>
    <row r="1727" spans="1:23" ht="15.6" x14ac:dyDescent="0.4">
      <c r="A1727" s="2" t="s">
        <v>5971</v>
      </c>
      <c r="B1727" s="5" t="s">
        <v>8192</v>
      </c>
      <c r="C1727" s="7" t="s">
        <v>12556</v>
      </c>
      <c r="D1727" s="8">
        <f t="shared" si="108"/>
        <v>0</v>
      </c>
      <c r="E1727" s="7" t="s">
        <v>12557</v>
      </c>
      <c r="F1727" s="7">
        <f t="shared" si="109"/>
        <v>0</v>
      </c>
      <c r="G1727" s="7" t="s">
        <v>12558</v>
      </c>
      <c r="H1727" s="7">
        <f t="shared" si="110"/>
        <v>0</v>
      </c>
      <c r="I1727" s="7" t="str" cm="1">
        <f t="array" ref="I1727">IFERROR(_xlfn.IFS(M1727="נח",1,M1727="נע ונח",1,M1727="שני שווא נח",2,M1727="שני שוואים בסוף מילה",2,M1727="שני שוואים ברצף",1),"0")</f>
        <v>0</v>
      </c>
      <c r="J1727" s="9">
        <f t="shared" si="111"/>
        <v>3</v>
      </c>
      <c r="K1727" t="s">
        <v>6697</v>
      </c>
      <c r="L1727" t="s">
        <v>6695</v>
      </c>
      <c r="P1727" t="s">
        <v>6694</v>
      </c>
      <c r="S1727" t="s">
        <v>6694</v>
      </c>
      <c r="V1727" t="s">
        <v>6694</v>
      </c>
      <c r="W1727" t="s">
        <v>6720</v>
      </c>
    </row>
    <row r="1728" spans="1:23" ht="15.6" x14ac:dyDescent="0.4">
      <c r="A1728" s="2" t="s">
        <v>6597</v>
      </c>
      <c r="B1728" s="5" t="s">
        <v>8192</v>
      </c>
      <c r="C1728" s="7" t="s">
        <v>12556</v>
      </c>
      <c r="D1728" s="8">
        <f t="shared" si="108"/>
        <v>0</v>
      </c>
      <c r="E1728" s="7" t="s">
        <v>12557</v>
      </c>
      <c r="F1728" s="7">
        <f t="shared" si="109"/>
        <v>0</v>
      </c>
      <c r="G1728" s="7" t="s">
        <v>12558</v>
      </c>
      <c r="H1728" s="7">
        <f t="shared" si="110"/>
        <v>0</v>
      </c>
      <c r="I1728" s="7" t="str" cm="1">
        <f t="array" ref="I1728">IFERROR(_xlfn.IFS(M1728="נח",1,M1728="נע ונח",1,M1728="שני שווא נח",2,M1728="שני שוואים בסוף מילה",2,M1728="שני שוואים ברצף",1),"0")</f>
        <v>0</v>
      </c>
      <c r="J1728" s="9">
        <f t="shared" si="111"/>
        <v>3</v>
      </c>
      <c r="K1728" t="s">
        <v>6697</v>
      </c>
      <c r="L1728" t="s">
        <v>6695</v>
      </c>
      <c r="P1728" t="s">
        <v>6694</v>
      </c>
      <c r="S1728" t="s">
        <v>6694</v>
      </c>
      <c r="V1728" t="s">
        <v>6694</v>
      </c>
      <c r="W1728" t="s">
        <v>6720</v>
      </c>
    </row>
    <row r="1729" spans="1:23" ht="15.6" x14ac:dyDescent="0.4">
      <c r="A1729" s="2" t="s">
        <v>6517</v>
      </c>
      <c r="B1729" s="5" t="s">
        <v>8193</v>
      </c>
      <c r="C1729" s="7" t="s">
        <v>12556</v>
      </c>
      <c r="D1729" s="8">
        <f t="shared" si="108"/>
        <v>0</v>
      </c>
      <c r="E1729" s="7" t="s">
        <v>12557</v>
      </c>
      <c r="F1729" s="7">
        <f t="shared" si="109"/>
        <v>0</v>
      </c>
      <c r="G1729" s="7" t="s">
        <v>12558</v>
      </c>
      <c r="H1729" s="7">
        <f t="shared" si="110"/>
        <v>0</v>
      </c>
      <c r="I1729" s="7" t="str" cm="1">
        <f t="array" ref="I1729">IFERROR(_xlfn.IFS(M1729="נח",1,M1729="נע ונח",1,M1729="שני שווא נח",2,M1729="שני שוואים בסוף מילה",2,M1729="שני שוואים ברצף",1),"0")</f>
        <v>0</v>
      </c>
      <c r="J1729" s="9">
        <f t="shared" si="111"/>
        <v>3</v>
      </c>
      <c r="K1729" t="s">
        <v>6697</v>
      </c>
      <c r="L1729" t="s">
        <v>6695</v>
      </c>
      <c r="O1729" t="s">
        <v>6694</v>
      </c>
      <c r="S1729" t="s">
        <v>6694</v>
      </c>
      <c r="V1729" t="s">
        <v>6694</v>
      </c>
      <c r="W1729" t="s">
        <v>6720</v>
      </c>
    </row>
    <row r="1730" spans="1:23" ht="15.6" x14ac:dyDescent="0.4">
      <c r="A1730" s="2" t="s">
        <v>6054</v>
      </c>
      <c r="B1730" s="5" t="s">
        <v>8194</v>
      </c>
      <c r="C1730" s="7" t="s">
        <v>12556</v>
      </c>
      <c r="D1730" s="8">
        <f t="shared" si="108"/>
        <v>0</v>
      </c>
      <c r="E1730" s="7" t="s">
        <v>12557</v>
      </c>
      <c r="F1730" s="7">
        <f t="shared" si="109"/>
        <v>0</v>
      </c>
      <c r="G1730" s="7" t="s">
        <v>12558</v>
      </c>
      <c r="H1730" s="7">
        <f t="shared" si="110"/>
        <v>0</v>
      </c>
      <c r="I1730" s="7" t="str" cm="1">
        <f t="array" ref="I1730">IFERROR(_xlfn.IFS(M1730="נח",1,M1730="נע ונח",1,M1730="שני שווא נח",2,M1730="שני שוואים בסוף מילה",2,M1730="שני שוואים ברצף",1),"0")</f>
        <v>0</v>
      </c>
      <c r="J1730" s="9">
        <f t="shared" si="111"/>
        <v>4</v>
      </c>
      <c r="K1730" t="s">
        <v>6697</v>
      </c>
      <c r="L1730" t="s">
        <v>6695</v>
      </c>
      <c r="Q1730" t="s">
        <v>6694</v>
      </c>
      <c r="S1730" t="s">
        <v>6694</v>
      </c>
      <c r="V1730" t="s">
        <v>6694</v>
      </c>
      <c r="W1730" t="s">
        <v>6720</v>
      </c>
    </row>
    <row r="1731" spans="1:23" ht="15.6" x14ac:dyDescent="0.4">
      <c r="A1731" s="2" t="s">
        <v>5869</v>
      </c>
      <c r="B1731" s="5" t="s">
        <v>8195</v>
      </c>
      <c r="C1731" s="7" t="s">
        <v>12556</v>
      </c>
      <c r="D1731" s="8">
        <f t="shared" ref="D1731:D1794" si="112">(LEN(B1731)-LEN(SUBSTITUTE(B1731,C1731,"")))</f>
        <v>0</v>
      </c>
      <c r="E1731" s="7" t="s">
        <v>12557</v>
      </c>
      <c r="F1731" s="7">
        <f t="shared" ref="F1731:F1794" si="113">(LEN(A1731)-LEN(SUBSTITUTE(A1731,E1731,"")))</f>
        <v>0</v>
      </c>
      <c r="G1731" s="7" t="s">
        <v>12558</v>
      </c>
      <c r="H1731" s="7">
        <f t="shared" ref="H1731:H1794" si="114">(LEN(A1731)-LEN(SUBSTITUTE(A1731,G1731,"")))/2</f>
        <v>0</v>
      </c>
      <c r="I1731" s="7" t="str" cm="1">
        <f t="array" ref="I1731">IFERROR(_xlfn.IFS(M1731="נח",1,M1731="נע ונח",1,M1731="שני שווא נח",2,M1731="שני שוואים בסוף מילה",2,M1731="שני שוואים ברצף",1),"0")</f>
        <v>0</v>
      </c>
      <c r="J1731" s="9">
        <f t="shared" ref="J1731:J1794" si="115">LEN(A1731)-(LEN(B1731))-D1731-F1731+H1731-I1731</f>
        <v>3</v>
      </c>
      <c r="K1731" t="s">
        <v>6697</v>
      </c>
      <c r="L1731" t="s">
        <v>6695</v>
      </c>
      <c r="O1731" t="s">
        <v>6694</v>
      </c>
      <c r="S1731" t="s">
        <v>6694</v>
      </c>
      <c r="V1731" t="s">
        <v>6694</v>
      </c>
      <c r="W1731" t="s">
        <v>6720</v>
      </c>
    </row>
    <row r="1732" spans="1:23" ht="15.6" x14ac:dyDescent="0.4">
      <c r="A1732" s="2" t="s">
        <v>4086</v>
      </c>
      <c r="B1732" s="5" t="s">
        <v>8196</v>
      </c>
      <c r="C1732" s="7" t="s">
        <v>12556</v>
      </c>
      <c r="D1732" s="8">
        <f t="shared" si="112"/>
        <v>0</v>
      </c>
      <c r="E1732" s="7" t="s">
        <v>12557</v>
      </c>
      <c r="F1732" s="7">
        <f t="shared" si="113"/>
        <v>0</v>
      </c>
      <c r="G1732" s="7" t="s">
        <v>12558</v>
      </c>
      <c r="H1732" s="7">
        <f t="shared" si="114"/>
        <v>0</v>
      </c>
      <c r="I1732" s="7" t="str" cm="1">
        <f t="array" ref="I1732">IFERROR(_xlfn.IFS(M1732="נח",1,M1732="נע ונח",1,M1732="שני שווא נח",2,M1732="שני שוואים בסוף מילה",2,M1732="שני שוואים ברצף",1),"0")</f>
        <v>0</v>
      </c>
      <c r="J1732" s="9">
        <f t="shared" si="115"/>
        <v>2</v>
      </c>
      <c r="K1732" t="s">
        <v>6698</v>
      </c>
      <c r="L1732" t="s">
        <v>6695</v>
      </c>
      <c r="Q1732" t="s">
        <v>6694</v>
      </c>
      <c r="V1732" t="s">
        <v>6694</v>
      </c>
      <c r="W1732" t="s">
        <v>6720</v>
      </c>
    </row>
    <row r="1733" spans="1:23" ht="15.6" x14ac:dyDescent="0.4">
      <c r="A1733" s="2" t="s">
        <v>308</v>
      </c>
      <c r="B1733" s="5" t="s">
        <v>8197</v>
      </c>
      <c r="C1733" s="7" t="s">
        <v>12556</v>
      </c>
      <c r="D1733" s="8">
        <f t="shared" si="112"/>
        <v>0</v>
      </c>
      <c r="E1733" s="7" t="s">
        <v>12557</v>
      </c>
      <c r="F1733" s="7">
        <f t="shared" si="113"/>
        <v>0</v>
      </c>
      <c r="G1733" s="7" t="s">
        <v>12558</v>
      </c>
      <c r="H1733" s="7">
        <f t="shared" si="114"/>
        <v>0</v>
      </c>
      <c r="I1733" s="7" t="str" cm="1">
        <f t="array" ref="I1733">IFERROR(_xlfn.IFS(M1733="נח",1,M1733="נע ונח",1,M1733="שני שווא נח",2,M1733="שני שוואים בסוף מילה",2,M1733="שני שוואים ברצף",1),"0")</f>
        <v>0</v>
      </c>
      <c r="J1733" s="9">
        <f t="shared" si="115"/>
        <v>3</v>
      </c>
      <c r="K1733" t="s">
        <v>6697</v>
      </c>
      <c r="L1733" t="s">
        <v>6695</v>
      </c>
      <c r="Q1733" t="s">
        <v>6694</v>
      </c>
      <c r="S1733" t="s">
        <v>6694</v>
      </c>
      <c r="V1733" t="s">
        <v>6694</v>
      </c>
      <c r="W1733" t="s">
        <v>6720</v>
      </c>
    </row>
    <row r="1734" spans="1:23" ht="15.6" x14ac:dyDescent="0.4">
      <c r="A1734" s="2" t="s">
        <v>3603</v>
      </c>
      <c r="B1734" s="5" t="s">
        <v>8198</v>
      </c>
      <c r="C1734" s="7" t="s">
        <v>12556</v>
      </c>
      <c r="D1734" s="8">
        <f t="shared" si="112"/>
        <v>1</v>
      </c>
      <c r="E1734" s="7" t="s">
        <v>12557</v>
      </c>
      <c r="F1734" s="7">
        <f t="shared" si="113"/>
        <v>1</v>
      </c>
      <c r="G1734" s="7" t="s">
        <v>12558</v>
      </c>
      <c r="H1734" s="7">
        <f t="shared" si="114"/>
        <v>0</v>
      </c>
      <c r="I1734" s="7" cm="1">
        <f t="array" ref="I1734">IFERROR(_xlfn.IFS(M1734="נח",1,M1734="נע ונח",1,M1734="שני שווא נח",2,M1734="שני שוואים בסוף מילה",2,M1734="שני שוואים ברצף",1),"0")</f>
        <v>1</v>
      </c>
      <c r="J1734" s="9">
        <f t="shared" si="115"/>
        <v>3</v>
      </c>
      <c r="K1734" t="s">
        <v>6698</v>
      </c>
      <c r="L1734" t="s">
        <v>6694</v>
      </c>
      <c r="M1734" t="s">
        <v>6705</v>
      </c>
      <c r="O1734" t="s">
        <v>6694</v>
      </c>
      <c r="P1734" t="s">
        <v>6694</v>
      </c>
      <c r="V1734" t="s">
        <v>6694</v>
      </c>
      <c r="W1734" t="s">
        <v>6720</v>
      </c>
    </row>
    <row r="1735" spans="1:23" ht="15.6" x14ac:dyDescent="0.4">
      <c r="A1735" s="2" t="s">
        <v>5604</v>
      </c>
      <c r="B1735" s="5" t="s">
        <v>8199</v>
      </c>
      <c r="C1735" s="7" t="s">
        <v>12556</v>
      </c>
      <c r="D1735" s="8">
        <f t="shared" si="112"/>
        <v>1</v>
      </c>
      <c r="E1735" s="7" t="s">
        <v>12557</v>
      </c>
      <c r="F1735" s="7">
        <f t="shared" si="113"/>
        <v>0</v>
      </c>
      <c r="G1735" s="7" t="s">
        <v>12558</v>
      </c>
      <c r="H1735" s="7">
        <f t="shared" si="114"/>
        <v>0</v>
      </c>
      <c r="I1735" s="7" t="str" cm="1">
        <f t="array" ref="I1735">IFERROR(_xlfn.IFS(M1735="נח",1,M1735="נע ונח",1,M1735="שני שווא נח",2,M1735="שני שוואים בסוף מילה",2,M1735="שני שוואים ברצף",1),"0")</f>
        <v>0</v>
      </c>
      <c r="J1735" s="9">
        <f t="shared" si="115"/>
        <v>4</v>
      </c>
      <c r="K1735" t="s">
        <v>6697</v>
      </c>
      <c r="L1735" t="s">
        <v>6695</v>
      </c>
      <c r="P1735" t="s">
        <v>6694</v>
      </c>
      <c r="S1735" t="s">
        <v>6694</v>
      </c>
      <c r="V1735" t="s">
        <v>6694</v>
      </c>
      <c r="W1735" t="s">
        <v>6720</v>
      </c>
    </row>
    <row r="1736" spans="1:23" ht="15.6" x14ac:dyDescent="0.4">
      <c r="A1736" s="2" t="s">
        <v>3190</v>
      </c>
      <c r="B1736" s="5" t="s">
        <v>8200</v>
      </c>
      <c r="C1736" s="7" t="s">
        <v>12556</v>
      </c>
      <c r="D1736" s="8">
        <f t="shared" si="112"/>
        <v>1</v>
      </c>
      <c r="E1736" s="7" t="s">
        <v>12557</v>
      </c>
      <c r="F1736" s="7">
        <f t="shared" si="113"/>
        <v>0</v>
      </c>
      <c r="G1736" s="7" t="s">
        <v>12558</v>
      </c>
      <c r="H1736" s="7">
        <f t="shared" si="114"/>
        <v>0</v>
      </c>
      <c r="I1736" s="7" t="str" cm="1">
        <f t="array" ref="I1736">IFERROR(_xlfn.IFS(M1736="נח",1,M1736="נע ונח",1,M1736="שני שווא נח",2,M1736="שני שוואים בסוף מילה",2,M1736="שני שוואים ברצף",1),"0")</f>
        <v>0</v>
      </c>
      <c r="J1736" s="9">
        <f t="shared" si="115"/>
        <v>4</v>
      </c>
      <c r="K1736" t="s">
        <v>6697</v>
      </c>
      <c r="L1736" t="s">
        <v>6695</v>
      </c>
      <c r="Q1736" t="s">
        <v>6694</v>
      </c>
      <c r="S1736" t="s">
        <v>6694</v>
      </c>
      <c r="V1736" t="s">
        <v>6694</v>
      </c>
      <c r="W1736" t="s">
        <v>6720</v>
      </c>
    </row>
    <row r="1737" spans="1:23" ht="15.6" x14ac:dyDescent="0.4">
      <c r="A1737" s="2" t="s">
        <v>3304</v>
      </c>
      <c r="B1737" s="5" t="s">
        <v>8201</v>
      </c>
      <c r="C1737" s="7" t="s">
        <v>12556</v>
      </c>
      <c r="D1737" s="8">
        <f t="shared" si="112"/>
        <v>1</v>
      </c>
      <c r="E1737" s="7" t="s">
        <v>12557</v>
      </c>
      <c r="F1737" s="7">
        <f t="shared" si="113"/>
        <v>0</v>
      </c>
      <c r="G1737" s="7" t="s">
        <v>12558</v>
      </c>
      <c r="H1737" s="7">
        <f t="shared" si="114"/>
        <v>0</v>
      </c>
      <c r="I1737" s="7" t="str" cm="1">
        <f t="array" ref="I1737">IFERROR(_xlfn.IFS(M1737="נח",1,M1737="נע ונח",1,M1737="שני שווא נח",2,M1737="שני שוואים בסוף מילה",2,M1737="שני שוואים ברצף",1),"0")</f>
        <v>0</v>
      </c>
      <c r="J1737" s="9">
        <f t="shared" si="115"/>
        <v>3</v>
      </c>
      <c r="K1737" t="s">
        <v>6697</v>
      </c>
      <c r="L1737" t="s">
        <v>6695</v>
      </c>
      <c r="P1737" t="s">
        <v>6694</v>
      </c>
      <c r="S1737" t="s">
        <v>6694</v>
      </c>
      <c r="V1737" t="s">
        <v>6694</v>
      </c>
      <c r="W1737" t="s">
        <v>6720</v>
      </c>
    </row>
    <row r="1738" spans="1:23" ht="15.6" x14ac:dyDescent="0.4">
      <c r="A1738" s="2" t="s">
        <v>775</v>
      </c>
      <c r="B1738" s="5" t="s">
        <v>8202</v>
      </c>
      <c r="C1738" s="7" t="s">
        <v>12556</v>
      </c>
      <c r="D1738" s="8">
        <f t="shared" si="112"/>
        <v>1</v>
      </c>
      <c r="E1738" s="7" t="s">
        <v>12557</v>
      </c>
      <c r="F1738" s="7">
        <f t="shared" si="113"/>
        <v>0</v>
      </c>
      <c r="G1738" s="7" t="s">
        <v>12558</v>
      </c>
      <c r="H1738" s="7">
        <f t="shared" si="114"/>
        <v>0</v>
      </c>
      <c r="I1738" s="7" t="str" cm="1">
        <f t="array" ref="I1738">IFERROR(_xlfn.IFS(M1738="נח",1,M1738="נע ונח",1,M1738="שני שווא נח",2,M1738="שני שוואים בסוף מילה",2,M1738="שני שוואים ברצף",1),"0")</f>
        <v>0</v>
      </c>
      <c r="J1738" s="9">
        <f t="shared" si="115"/>
        <v>3</v>
      </c>
      <c r="K1738" t="s">
        <v>6697</v>
      </c>
      <c r="L1738" t="s">
        <v>6695</v>
      </c>
      <c r="O1738" t="s">
        <v>6694</v>
      </c>
      <c r="S1738" t="s">
        <v>6694</v>
      </c>
      <c r="V1738" t="s">
        <v>6694</v>
      </c>
      <c r="W1738" t="s">
        <v>6720</v>
      </c>
    </row>
    <row r="1739" spans="1:23" ht="15.6" x14ac:dyDescent="0.4">
      <c r="A1739" s="2" t="s">
        <v>6267</v>
      </c>
      <c r="B1739" s="5" t="s">
        <v>8203</v>
      </c>
      <c r="C1739" s="7" t="s">
        <v>12556</v>
      </c>
      <c r="D1739" s="8">
        <f t="shared" si="112"/>
        <v>1</v>
      </c>
      <c r="E1739" s="7" t="s">
        <v>12557</v>
      </c>
      <c r="F1739" s="7">
        <f t="shared" si="113"/>
        <v>0</v>
      </c>
      <c r="G1739" s="7" t="s">
        <v>12558</v>
      </c>
      <c r="H1739" s="7">
        <f t="shared" si="114"/>
        <v>0</v>
      </c>
      <c r="I1739" s="7" t="str" cm="1">
        <f t="array" ref="I1739">IFERROR(_xlfn.IFS(M1739="נח",1,M1739="נע ונח",1,M1739="שני שווא נח",2,M1739="שני שוואים בסוף מילה",2,M1739="שני שוואים ברצף",1),"0")</f>
        <v>0</v>
      </c>
      <c r="J1739" s="9">
        <f t="shared" si="115"/>
        <v>3</v>
      </c>
      <c r="K1739" t="s">
        <v>6697</v>
      </c>
      <c r="L1739" t="s">
        <v>6695</v>
      </c>
      <c r="S1739" t="s">
        <v>6694</v>
      </c>
      <c r="V1739" t="s">
        <v>6694</v>
      </c>
      <c r="W1739" t="s">
        <v>6720</v>
      </c>
    </row>
    <row r="1740" spans="1:23" ht="15.6" x14ac:dyDescent="0.4">
      <c r="A1740" s="2" t="s">
        <v>3619</v>
      </c>
      <c r="B1740" s="5" t="s">
        <v>8204</v>
      </c>
      <c r="C1740" s="7" t="s">
        <v>12556</v>
      </c>
      <c r="D1740" s="8">
        <f t="shared" si="112"/>
        <v>1</v>
      </c>
      <c r="E1740" s="7" t="s">
        <v>12557</v>
      </c>
      <c r="F1740" s="7">
        <f t="shared" si="113"/>
        <v>2</v>
      </c>
      <c r="G1740" s="7" t="s">
        <v>12558</v>
      </c>
      <c r="H1740" s="7">
        <f t="shared" si="114"/>
        <v>1</v>
      </c>
      <c r="I1740" s="7" cm="1">
        <f t="array" ref="I1740">IFERROR(_xlfn.IFS(M1740="נח",1,M1740="נע ונח",1,M1740="שני שווא נח",2,M1740="שני שוואים בסוף מילה",2,M1740="שני שוואים ברצף",1),"0")</f>
        <v>1</v>
      </c>
      <c r="J1740" s="9">
        <f t="shared" si="115"/>
        <v>4</v>
      </c>
      <c r="K1740" t="s">
        <v>6697</v>
      </c>
      <c r="L1740" t="s">
        <v>6694</v>
      </c>
      <c r="M1740" t="s">
        <v>6705</v>
      </c>
      <c r="O1740" t="s">
        <v>6694</v>
      </c>
      <c r="P1740" t="s">
        <v>6694</v>
      </c>
      <c r="U1740" t="s">
        <v>6694</v>
      </c>
      <c r="V1740" t="s">
        <v>6694</v>
      </c>
      <c r="W1740" t="s">
        <v>6720</v>
      </c>
    </row>
    <row r="1741" spans="1:23" ht="15.6" x14ac:dyDescent="0.4">
      <c r="A1741" s="2" t="s">
        <v>5484</v>
      </c>
      <c r="B1741" s="5" t="s">
        <v>8205</v>
      </c>
      <c r="C1741" s="7" t="s">
        <v>12556</v>
      </c>
      <c r="D1741" s="8">
        <f t="shared" si="112"/>
        <v>0</v>
      </c>
      <c r="E1741" s="7" t="s">
        <v>12557</v>
      </c>
      <c r="F1741" s="7">
        <f t="shared" si="113"/>
        <v>0</v>
      </c>
      <c r="G1741" s="7" t="s">
        <v>12558</v>
      </c>
      <c r="H1741" s="7">
        <f t="shared" si="114"/>
        <v>0</v>
      </c>
      <c r="I1741" s="7" t="str" cm="1">
        <f t="array" ref="I1741">IFERROR(_xlfn.IFS(M1741="נח",1,M1741="נע ונח",1,M1741="שני שווא נח",2,M1741="שני שוואים בסוף מילה",2,M1741="שני שוואים ברצף",1),"0")</f>
        <v>0</v>
      </c>
      <c r="J1741" s="9">
        <f t="shared" si="115"/>
        <v>2</v>
      </c>
      <c r="K1741" t="s">
        <v>6698</v>
      </c>
      <c r="L1741" t="s">
        <v>6695</v>
      </c>
      <c r="Q1741" t="s">
        <v>6694</v>
      </c>
      <c r="V1741" t="s">
        <v>6694</v>
      </c>
      <c r="W1741" t="s">
        <v>6720</v>
      </c>
    </row>
    <row r="1742" spans="1:23" ht="15.6" x14ac:dyDescent="0.4">
      <c r="A1742" s="2" t="s">
        <v>418</v>
      </c>
      <c r="B1742" s="5" t="s">
        <v>8206</v>
      </c>
      <c r="C1742" s="7" t="s">
        <v>12556</v>
      </c>
      <c r="D1742" s="8">
        <f t="shared" si="112"/>
        <v>0</v>
      </c>
      <c r="E1742" s="7" t="s">
        <v>12557</v>
      </c>
      <c r="F1742" s="7">
        <f t="shared" si="113"/>
        <v>1</v>
      </c>
      <c r="G1742" s="7" t="s">
        <v>12558</v>
      </c>
      <c r="H1742" s="7">
        <f t="shared" si="114"/>
        <v>1</v>
      </c>
      <c r="I1742" s="7" t="str" cm="1">
        <f t="array" ref="I1742">IFERROR(_xlfn.IFS(M1742="נח",1,M1742="נע ונח",1,M1742="שני שווא נח",2,M1742="שני שוואים בסוף מילה",2,M1742="שני שוואים ברצף",1),"0")</f>
        <v>0</v>
      </c>
      <c r="J1742" s="9">
        <f t="shared" si="115"/>
        <v>1</v>
      </c>
      <c r="K1742" t="s">
        <v>6697</v>
      </c>
      <c r="L1742" t="s">
        <v>6695</v>
      </c>
      <c r="U1742" t="s">
        <v>6694</v>
      </c>
      <c r="W1742" t="s">
        <v>6720</v>
      </c>
    </row>
    <row r="1743" spans="1:23" ht="15.6" x14ac:dyDescent="0.4">
      <c r="A1743" s="2" t="s">
        <v>3684</v>
      </c>
      <c r="B1743" s="5" t="s">
        <v>8207</v>
      </c>
      <c r="C1743" s="7" t="s">
        <v>12556</v>
      </c>
      <c r="D1743" s="8">
        <f t="shared" si="112"/>
        <v>0</v>
      </c>
      <c r="E1743" s="7" t="s">
        <v>12557</v>
      </c>
      <c r="F1743" s="7">
        <f t="shared" si="113"/>
        <v>1</v>
      </c>
      <c r="G1743" s="7" t="s">
        <v>12558</v>
      </c>
      <c r="H1743" s="7">
        <f t="shared" si="114"/>
        <v>1</v>
      </c>
      <c r="I1743" s="7" t="str" cm="1">
        <f t="array" ref="I1743">IFERROR(_xlfn.IFS(M1743="נח",1,M1743="נע ונח",1,M1743="שני שווא נח",2,M1743="שני שוואים בסוף מילה",2,M1743="שני שוואים ברצף",1),"0")</f>
        <v>0</v>
      </c>
      <c r="J1743" s="9">
        <f t="shared" si="115"/>
        <v>2</v>
      </c>
      <c r="K1743" t="s">
        <v>6698</v>
      </c>
      <c r="L1743" t="s">
        <v>6695</v>
      </c>
      <c r="P1743" t="s">
        <v>6694</v>
      </c>
      <c r="U1743" t="s">
        <v>6694</v>
      </c>
      <c r="W1743" t="s">
        <v>6720</v>
      </c>
    </row>
    <row r="1744" spans="1:23" ht="15.6" x14ac:dyDescent="0.4">
      <c r="A1744" s="2" t="s">
        <v>3098</v>
      </c>
      <c r="B1744" s="5" t="s">
        <v>8208</v>
      </c>
      <c r="C1744" s="7" t="s">
        <v>12556</v>
      </c>
      <c r="D1744" s="8">
        <f t="shared" si="112"/>
        <v>0</v>
      </c>
      <c r="E1744" s="7" t="s">
        <v>12557</v>
      </c>
      <c r="F1744" s="7">
        <f t="shared" si="113"/>
        <v>1</v>
      </c>
      <c r="G1744" s="7" t="s">
        <v>12558</v>
      </c>
      <c r="H1744" s="7">
        <f t="shared" si="114"/>
        <v>0</v>
      </c>
      <c r="I1744" s="7" t="str" cm="1">
        <f t="array" ref="I1744">IFERROR(_xlfn.IFS(M1744="נח",1,M1744="נע ונח",1,M1744="שני שווא נח",2,M1744="שני שוואים בסוף מילה",2,M1744="שני שוואים ברצף",1),"0")</f>
        <v>0</v>
      </c>
      <c r="J1744" s="9">
        <f t="shared" si="115"/>
        <v>3</v>
      </c>
      <c r="K1744" t="s">
        <v>6698</v>
      </c>
      <c r="L1744" t="s">
        <v>6694</v>
      </c>
      <c r="M1744" t="s">
        <v>6700</v>
      </c>
      <c r="S1744" t="s">
        <v>6694</v>
      </c>
      <c r="W1744" t="s">
        <v>6720</v>
      </c>
    </row>
    <row r="1745" spans="1:23" ht="15.6" x14ac:dyDescent="0.4">
      <c r="A1745" s="2" t="s">
        <v>3018</v>
      </c>
      <c r="B1745" s="5" t="s">
        <v>8209</v>
      </c>
      <c r="C1745" s="7" t="s">
        <v>12556</v>
      </c>
      <c r="D1745" s="8">
        <f t="shared" si="112"/>
        <v>1</v>
      </c>
      <c r="E1745" s="7" t="s">
        <v>12557</v>
      </c>
      <c r="F1745" s="7">
        <f t="shared" si="113"/>
        <v>0</v>
      </c>
      <c r="G1745" s="7" t="s">
        <v>12558</v>
      </c>
      <c r="H1745" s="7">
        <f t="shared" si="114"/>
        <v>0</v>
      </c>
      <c r="I1745" s="7" t="str" cm="1">
        <f t="array" ref="I1745">IFERROR(_xlfn.IFS(M1745="נח",1,M1745="נע ונח",1,M1745="שני שווא נח",2,M1745="שני שוואים בסוף מילה",2,M1745="שני שוואים ברצף",1),"0")</f>
        <v>0</v>
      </c>
      <c r="J1745" s="9">
        <f t="shared" si="115"/>
        <v>2</v>
      </c>
      <c r="K1745" t="s">
        <v>6698</v>
      </c>
      <c r="L1745" t="s">
        <v>6694</v>
      </c>
      <c r="M1745" t="s">
        <v>6700</v>
      </c>
      <c r="S1745" t="s">
        <v>6694</v>
      </c>
      <c r="W1745" t="s">
        <v>6720</v>
      </c>
    </row>
    <row r="1746" spans="1:23" ht="15.6" x14ac:dyDescent="0.4">
      <c r="A1746" s="2" t="s">
        <v>2162</v>
      </c>
      <c r="B1746" s="5" t="s">
        <v>8210</v>
      </c>
      <c r="C1746" s="7" t="s">
        <v>12556</v>
      </c>
      <c r="D1746" s="8">
        <f t="shared" si="112"/>
        <v>0</v>
      </c>
      <c r="E1746" s="7" t="s">
        <v>12557</v>
      </c>
      <c r="F1746" s="7">
        <f t="shared" si="113"/>
        <v>0</v>
      </c>
      <c r="G1746" s="7" t="s">
        <v>12558</v>
      </c>
      <c r="H1746" s="7">
        <f t="shared" si="114"/>
        <v>0</v>
      </c>
      <c r="I1746" s="7" t="str" cm="1">
        <f t="array" ref="I1746">IFERROR(_xlfn.IFS(M1746="נח",1,M1746="נע ונח",1,M1746="שני שווא נח",2,M1746="שני שוואים בסוף מילה",2,M1746="שני שוואים ברצף",1),"0")</f>
        <v>0</v>
      </c>
      <c r="J1746" s="9">
        <f t="shared" si="115"/>
        <v>2</v>
      </c>
      <c r="K1746" t="s">
        <v>6698</v>
      </c>
      <c r="L1746" t="s">
        <v>6694</v>
      </c>
      <c r="M1746" t="s">
        <v>6700</v>
      </c>
      <c r="S1746" t="s">
        <v>6694</v>
      </c>
      <c r="W1746" t="s">
        <v>6720</v>
      </c>
    </row>
    <row r="1747" spans="1:23" ht="15.6" x14ac:dyDescent="0.4">
      <c r="A1747" s="2" t="s">
        <v>2644</v>
      </c>
      <c r="B1747" s="5" t="s">
        <v>8211</v>
      </c>
      <c r="C1747" s="7" t="s">
        <v>12556</v>
      </c>
      <c r="D1747" s="8">
        <f t="shared" si="112"/>
        <v>0</v>
      </c>
      <c r="E1747" s="7" t="s">
        <v>12557</v>
      </c>
      <c r="F1747" s="7">
        <f t="shared" si="113"/>
        <v>1</v>
      </c>
      <c r="G1747" s="7" t="s">
        <v>12558</v>
      </c>
      <c r="H1747" s="7">
        <f t="shared" si="114"/>
        <v>0</v>
      </c>
      <c r="I1747" s="7" t="str" cm="1">
        <f t="array" ref="I1747">IFERROR(_xlfn.IFS(M1747="נח",1,M1747="נע ונח",1,M1747="שני שווא נח",2,M1747="שני שוואים בסוף מילה",2,M1747="שני שוואים ברצף",1),"0")</f>
        <v>0</v>
      </c>
      <c r="J1747" s="9">
        <f t="shared" si="115"/>
        <v>3</v>
      </c>
      <c r="K1747" t="s">
        <v>6697</v>
      </c>
      <c r="L1747" t="s">
        <v>6694</v>
      </c>
      <c r="M1747" t="s">
        <v>6700</v>
      </c>
      <c r="S1747" t="s">
        <v>6694</v>
      </c>
      <c r="W1747" t="s">
        <v>6720</v>
      </c>
    </row>
    <row r="1748" spans="1:23" ht="15.6" x14ac:dyDescent="0.4">
      <c r="A1748" s="2" t="s">
        <v>4967</v>
      </c>
      <c r="B1748" s="5" t="s">
        <v>8212</v>
      </c>
      <c r="C1748" s="7" t="s">
        <v>12556</v>
      </c>
      <c r="D1748" s="8">
        <f t="shared" si="112"/>
        <v>1</v>
      </c>
      <c r="E1748" s="7" t="s">
        <v>12557</v>
      </c>
      <c r="F1748" s="7">
        <f t="shared" si="113"/>
        <v>1</v>
      </c>
      <c r="G1748" s="7" t="s">
        <v>12558</v>
      </c>
      <c r="H1748" s="7">
        <f t="shared" si="114"/>
        <v>0</v>
      </c>
      <c r="I1748" s="7" cm="1">
        <f t="array" ref="I1748">IFERROR(_xlfn.IFS(M1748="נח",1,M1748="נע ונח",1,M1748="שני שווא נח",2,M1748="שני שוואים בסוף מילה",2,M1748="שני שוואים ברצף",1),"0")</f>
        <v>1</v>
      </c>
      <c r="J1748" s="9">
        <f t="shared" si="115"/>
        <v>3</v>
      </c>
      <c r="K1748" t="s">
        <v>6697</v>
      </c>
      <c r="L1748" t="s">
        <v>6694</v>
      </c>
      <c r="M1748" t="s">
        <v>6701</v>
      </c>
      <c r="S1748" t="s">
        <v>6694</v>
      </c>
      <c r="V1748" t="s">
        <v>6694</v>
      </c>
      <c r="W1748" t="s">
        <v>6720</v>
      </c>
    </row>
    <row r="1749" spans="1:23" ht="15.6" x14ac:dyDescent="0.4">
      <c r="A1749" s="2" t="s">
        <v>3999</v>
      </c>
      <c r="B1749" s="5" t="s">
        <v>8213</v>
      </c>
      <c r="C1749" s="7" t="s">
        <v>12556</v>
      </c>
      <c r="D1749" s="8">
        <f t="shared" si="112"/>
        <v>0</v>
      </c>
      <c r="E1749" s="7" t="s">
        <v>12557</v>
      </c>
      <c r="F1749" s="7">
        <f t="shared" si="113"/>
        <v>0</v>
      </c>
      <c r="G1749" s="7" t="s">
        <v>12558</v>
      </c>
      <c r="H1749" s="7">
        <f t="shared" si="114"/>
        <v>0</v>
      </c>
      <c r="I1749" s="7" t="str" cm="1">
        <f t="array" ref="I1749">IFERROR(_xlfn.IFS(M1749="נח",1,M1749="נע ונח",1,M1749="שני שווא נח",2,M1749="שני שוואים בסוף מילה",2,M1749="שני שוואים ברצף",1),"0")</f>
        <v>0</v>
      </c>
      <c r="J1749" s="9">
        <f t="shared" si="115"/>
        <v>3</v>
      </c>
      <c r="K1749" t="s">
        <v>6698</v>
      </c>
      <c r="L1749" t="s">
        <v>6694</v>
      </c>
      <c r="M1749" t="s">
        <v>6700</v>
      </c>
      <c r="Q1749" t="s">
        <v>6694</v>
      </c>
      <c r="V1749" t="s">
        <v>6694</v>
      </c>
      <c r="W1749" t="s">
        <v>6720</v>
      </c>
    </row>
    <row r="1750" spans="1:23" ht="15.6" x14ac:dyDescent="0.4">
      <c r="A1750" s="2" t="s">
        <v>739</v>
      </c>
      <c r="B1750" s="5" t="s">
        <v>8214</v>
      </c>
      <c r="C1750" s="7" t="s">
        <v>12556</v>
      </c>
      <c r="D1750" s="8">
        <f t="shared" si="112"/>
        <v>0</v>
      </c>
      <c r="E1750" s="7" t="s">
        <v>12557</v>
      </c>
      <c r="F1750" s="7">
        <f t="shared" si="113"/>
        <v>0</v>
      </c>
      <c r="G1750" s="7" t="s">
        <v>12558</v>
      </c>
      <c r="H1750" s="7">
        <f t="shared" si="114"/>
        <v>0</v>
      </c>
      <c r="I1750" s="7" t="str" cm="1">
        <f t="array" ref="I1750">IFERROR(_xlfn.IFS(M1750="נח",1,M1750="נע ונח",1,M1750="שני שווא נח",2,M1750="שני שוואים בסוף מילה",2,M1750="שני שוואים ברצף",1),"0")</f>
        <v>0</v>
      </c>
      <c r="J1750" s="9">
        <f t="shared" si="115"/>
        <v>2</v>
      </c>
      <c r="K1750" t="s">
        <v>6698</v>
      </c>
      <c r="L1750" t="s">
        <v>6694</v>
      </c>
      <c r="M1750" t="s">
        <v>6700</v>
      </c>
      <c r="Q1750" t="s">
        <v>6694</v>
      </c>
      <c r="W1750" t="s">
        <v>6720</v>
      </c>
    </row>
    <row r="1751" spans="1:23" ht="15.6" x14ac:dyDescent="0.4">
      <c r="A1751" s="2" t="s">
        <v>4212</v>
      </c>
      <c r="B1751" s="5" t="s">
        <v>8215</v>
      </c>
      <c r="C1751" s="7" t="s">
        <v>12556</v>
      </c>
      <c r="D1751" s="8">
        <f t="shared" si="112"/>
        <v>0</v>
      </c>
      <c r="E1751" s="7" t="s">
        <v>12557</v>
      </c>
      <c r="F1751" s="7">
        <f t="shared" si="113"/>
        <v>0</v>
      </c>
      <c r="G1751" s="7" t="s">
        <v>12558</v>
      </c>
      <c r="H1751" s="7">
        <f t="shared" si="114"/>
        <v>0</v>
      </c>
      <c r="I1751" s="7" t="str" cm="1">
        <f t="array" ref="I1751">IFERROR(_xlfn.IFS(M1751="נח",1,M1751="נע ונח",1,M1751="שני שווא נח",2,M1751="שני שוואים בסוף מילה",2,M1751="שני שוואים ברצף",1),"0")</f>
        <v>0</v>
      </c>
      <c r="J1751" s="9">
        <f t="shared" si="115"/>
        <v>4</v>
      </c>
      <c r="K1751" t="s">
        <v>6697</v>
      </c>
      <c r="L1751" t="s">
        <v>6694</v>
      </c>
      <c r="M1751" t="s">
        <v>6700</v>
      </c>
      <c r="Q1751" t="s">
        <v>6694</v>
      </c>
      <c r="V1751" t="s">
        <v>6694</v>
      </c>
      <c r="W1751" t="s">
        <v>6720</v>
      </c>
    </row>
    <row r="1752" spans="1:23" ht="15.6" x14ac:dyDescent="0.4">
      <c r="A1752" s="2" t="s">
        <v>6360</v>
      </c>
      <c r="B1752" s="5" t="s">
        <v>8216</v>
      </c>
      <c r="C1752" s="7" t="s">
        <v>12556</v>
      </c>
      <c r="D1752" s="8">
        <f t="shared" si="112"/>
        <v>0</v>
      </c>
      <c r="E1752" s="7" t="s">
        <v>12557</v>
      </c>
      <c r="F1752" s="7">
        <f t="shared" si="113"/>
        <v>1</v>
      </c>
      <c r="G1752" s="7" t="s">
        <v>12558</v>
      </c>
      <c r="H1752" s="7">
        <f t="shared" si="114"/>
        <v>0</v>
      </c>
      <c r="I1752" s="7" t="str" cm="1">
        <f t="array" ref="I1752">IFERROR(_xlfn.IFS(M1752="נח",1,M1752="נע ונח",1,M1752="שני שווא נח",2,M1752="שני שוואים בסוף מילה",2,M1752="שני שוואים ברצף",1),"0")</f>
        <v>0</v>
      </c>
      <c r="J1752" s="9">
        <f t="shared" si="115"/>
        <v>4</v>
      </c>
      <c r="K1752" t="s">
        <v>6697</v>
      </c>
      <c r="L1752" t="s">
        <v>6694</v>
      </c>
      <c r="M1752" t="s">
        <v>6700</v>
      </c>
      <c r="Q1752" t="s">
        <v>6694</v>
      </c>
      <c r="R1752" t="s">
        <v>6694</v>
      </c>
      <c r="S1752" t="s">
        <v>6694</v>
      </c>
      <c r="W1752" t="s">
        <v>6720</v>
      </c>
    </row>
    <row r="1753" spans="1:23" ht="15.6" x14ac:dyDescent="0.4">
      <c r="A1753" s="2" t="s">
        <v>2850</v>
      </c>
      <c r="B1753" s="5" t="s">
        <v>8217</v>
      </c>
      <c r="C1753" s="7" t="s">
        <v>12556</v>
      </c>
      <c r="D1753" s="8">
        <f t="shared" si="112"/>
        <v>0</v>
      </c>
      <c r="E1753" s="7" t="s">
        <v>12557</v>
      </c>
      <c r="F1753" s="7">
        <f t="shared" si="113"/>
        <v>2</v>
      </c>
      <c r="G1753" s="7" t="s">
        <v>12558</v>
      </c>
      <c r="H1753" s="7">
        <f t="shared" si="114"/>
        <v>1</v>
      </c>
      <c r="I1753" s="7" t="str" cm="1">
        <f t="array" ref="I1753">IFERROR(_xlfn.IFS(M1753="נח",1,M1753="נע ונח",1,M1753="שני שווא נח",2,M1753="שני שוואים בסוף מילה",2,M1753="שני שוואים ברצף",1),"0")</f>
        <v>0</v>
      </c>
      <c r="J1753" s="9">
        <f t="shared" si="115"/>
        <v>4</v>
      </c>
      <c r="K1753" t="s">
        <v>6697</v>
      </c>
      <c r="L1753" t="s">
        <v>6694</v>
      </c>
      <c r="M1753" t="s">
        <v>6700</v>
      </c>
      <c r="Q1753" t="s">
        <v>6694</v>
      </c>
      <c r="R1753" t="s">
        <v>6694</v>
      </c>
      <c r="U1753" t="s">
        <v>6694</v>
      </c>
      <c r="W1753" t="s">
        <v>6720</v>
      </c>
    </row>
    <row r="1754" spans="1:23" ht="15.6" x14ac:dyDescent="0.4">
      <c r="A1754" s="2" t="s">
        <v>3310</v>
      </c>
      <c r="B1754" s="5" t="s">
        <v>8218</v>
      </c>
      <c r="C1754" s="7" t="s">
        <v>12556</v>
      </c>
      <c r="D1754" s="8">
        <f t="shared" si="112"/>
        <v>0</v>
      </c>
      <c r="E1754" s="7" t="s">
        <v>12557</v>
      </c>
      <c r="F1754" s="7">
        <f t="shared" si="113"/>
        <v>1</v>
      </c>
      <c r="G1754" s="7" t="s">
        <v>12558</v>
      </c>
      <c r="H1754" s="7">
        <f t="shared" si="114"/>
        <v>0</v>
      </c>
      <c r="I1754" s="7" t="str" cm="1">
        <f t="array" ref="I1754">IFERROR(_xlfn.IFS(M1754="נח",1,M1754="נע ונח",1,M1754="שני שווא נח",2,M1754="שני שוואים בסוף מילה",2,M1754="שני שוואים ברצף",1),"0")</f>
        <v>0</v>
      </c>
      <c r="J1754" s="9">
        <f t="shared" si="115"/>
        <v>3</v>
      </c>
      <c r="K1754" t="s">
        <v>6697</v>
      </c>
      <c r="L1754" t="s">
        <v>6694</v>
      </c>
      <c r="M1754" t="s">
        <v>6700</v>
      </c>
      <c r="Q1754" t="s">
        <v>6694</v>
      </c>
      <c r="R1754" t="s">
        <v>6694</v>
      </c>
      <c r="W1754" t="s">
        <v>6720</v>
      </c>
    </row>
    <row r="1755" spans="1:23" ht="15.6" x14ac:dyDescent="0.4">
      <c r="A1755" s="2" t="s">
        <v>3554</v>
      </c>
      <c r="B1755" s="5" t="s">
        <v>8219</v>
      </c>
      <c r="C1755" s="7" t="s">
        <v>12556</v>
      </c>
      <c r="D1755" s="8">
        <f t="shared" si="112"/>
        <v>0</v>
      </c>
      <c r="E1755" s="7" t="s">
        <v>12557</v>
      </c>
      <c r="F1755" s="7">
        <f t="shared" si="113"/>
        <v>0</v>
      </c>
      <c r="G1755" s="7" t="s">
        <v>12558</v>
      </c>
      <c r="H1755" s="7">
        <f t="shared" si="114"/>
        <v>0</v>
      </c>
      <c r="I1755" s="7" t="str" cm="1">
        <f t="array" ref="I1755">IFERROR(_xlfn.IFS(M1755="נח",1,M1755="נע ונח",1,M1755="שני שווא נח",2,M1755="שני שוואים בסוף מילה",2,M1755="שני שוואים ברצף",1),"0")</f>
        <v>0</v>
      </c>
      <c r="J1755" s="9">
        <f t="shared" si="115"/>
        <v>4</v>
      </c>
      <c r="K1755" t="s">
        <v>6697</v>
      </c>
      <c r="L1755" t="s">
        <v>6694</v>
      </c>
      <c r="M1755" t="s">
        <v>6700</v>
      </c>
      <c r="O1755" t="s">
        <v>6694</v>
      </c>
      <c r="Q1755" t="s">
        <v>6694</v>
      </c>
      <c r="R1755" t="s">
        <v>6694</v>
      </c>
      <c r="W1755" t="s">
        <v>6720</v>
      </c>
    </row>
    <row r="1756" spans="1:23" ht="15.6" x14ac:dyDescent="0.4">
      <c r="A1756" s="2" t="s">
        <v>2067</v>
      </c>
      <c r="B1756" s="5" t="s">
        <v>8220</v>
      </c>
      <c r="C1756" s="7" t="s">
        <v>12556</v>
      </c>
      <c r="D1756" s="8">
        <f t="shared" si="112"/>
        <v>1</v>
      </c>
      <c r="E1756" s="7" t="s">
        <v>12557</v>
      </c>
      <c r="F1756" s="7">
        <f t="shared" si="113"/>
        <v>0</v>
      </c>
      <c r="G1756" s="7" t="s">
        <v>12558</v>
      </c>
      <c r="H1756" s="7">
        <f t="shared" si="114"/>
        <v>0</v>
      </c>
      <c r="I1756" s="7" t="str" cm="1">
        <f t="array" ref="I1756">IFERROR(_xlfn.IFS(M1756="נח",1,M1756="נע ונח",1,M1756="שני שווא נח",2,M1756="שני שוואים בסוף מילה",2,M1756="שני שוואים ברצף",1),"0")</f>
        <v>0</v>
      </c>
      <c r="J1756" s="9">
        <f t="shared" si="115"/>
        <v>2</v>
      </c>
      <c r="K1756" t="s">
        <v>6698</v>
      </c>
      <c r="L1756" t="s">
        <v>6694</v>
      </c>
      <c r="M1756" t="s">
        <v>6700</v>
      </c>
      <c r="Q1756" t="s">
        <v>6694</v>
      </c>
      <c r="W1756" t="s">
        <v>6720</v>
      </c>
    </row>
    <row r="1757" spans="1:23" ht="15.6" x14ac:dyDescent="0.4">
      <c r="A1757" s="2" t="s">
        <v>988</v>
      </c>
      <c r="B1757" s="5" t="s">
        <v>8221</v>
      </c>
      <c r="C1757" s="7" t="s">
        <v>12556</v>
      </c>
      <c r="D1757" s="8">
        <f t="shared" si="112"/>
        <v>0</v>
      </c>
      <c r="E1757" s="7" t="s">
        <v>12557</v>
      </c>
      <c r="F1757" s="7">
        <f t="shared" si="113"/>
        <v>0</v>
      </c>
      <c r="G1757" s="7" t="s">
        <v>12558</v>
      </c>
      <c r="H1757" s="7">
        <f t="shared" si="114"/>
        <v>0</v>
      </c>
      <c r="I1757" s="7" cm="1">
        <f t="array" ref="I1757">IFERROR(_xlfn.IFS(M1757="נח",1,M1757="נע ונח",1,M1757="שני שווא נח",2,M1757="שני שוואים בסוף מילה",2,M1757="שני שוואים ברצף",1),"0")</f>
        <v>1</v>
      </c>
      <c r="J1757" s="9">
        <f t="shared" si="115"/>
        <v>3</v>
      </c>
      <c r="K1757" t="s">
        <v>6698</v>
      </c>
      <c r="L1757" t="s">
        <v>6694</v>
      </c>
      <c r="M1757" t="s">
        <v>6701</v>
      </c>
      <c r="R1757" t="s">
        <v>6694</v>
      </c>
      <c r="V1757" t="s">
        <v>6694</v>
      </c>
      <c r="W1757" t="s">
        <v>6720</v>
      </c>
    </row>
    <row r="1758" spans="1:23" ht="15.6" x14ac:dyDescent="0.4">
      <c r="A1758" s="2" t="s">
        <v>4520</v>
      </c>
      <c r="B1758" s="5" t="s">
        <v>8222</v>
      </c>
      <c r="C1758" s="7" t="s">
        <v>12556</v>
      </c>
      <c r="D1758" s="8">
        <f t="shared" si="112"/>
        <v>0</v>
      </c>
      <c r="E1758" s="7" t="s">
        <v>12557</v>
      </c>
      <c r="F1758" s="7">
        <f t="shared" si="113"/>
        <v>0</v>
      </c>
      <c r="G1758" s="7" t="s">
        <v>12558</v>
      </c>
      <c r="H1758" s="7">
        <f t="shared" si="114"/>
        <v>0</v>
      </c>
      <c r="I1758" s="7" cm="1">
        <f t="array" ref="I1758">IFERROR(_xlfn.IFS(M1758="נח",1,M1758="נע ונח",1,M1758="שני שווא נח",2,M1758="שני שוואים בסוף מילה",2,M1758="שני שוואים ברצף",1),"0")</f>
        <v>1</v>
      </c>
      <c r="J1758" s="9">
        <f t="shared" si="115"/>
        <v>5</v>
      </c>
      <c r="K1758" t="s">
        <v>6698</v>
      </c>
      <c r="L1758" t="s">
        <v>6694</v>
      </c>
      <c r="M1758" t="s">
        <v>6701</v>
      </c>
      <c r="O1758" t="s">
        <v>6694</v>
      </c>
      <c r="R1758" t="s">
        <v>6694</v>
      </c>
      <c r="V1758" t="s">
        <v>6694</v>
      </c>
      <c r="W1758" t="s">
        <v>6720</v>
      </c>
    </row>
    <row r="1759" spans="1:23" ht="15.6" x14ac:dyDescent="0.4">
      <c r="A1759" s="2" t="s">
        <v>4036</v>
      </c>
      <c r="B1759" s="5" t="s">
        <v>8223</v>
      </c>
      <c r="C1759" s="7" t="s">
        <v>12556</v>
      </c>
      <c r="D1759" s="8">
        <f t="shared" si="112"/>
        <v>0</v>
      </c>
      <c r="E1759" s="7" t="s">
        <v>12557</v>
      </c>
      <c r="F1759" s="7">
        <f t="shared" si="113"/>
        <v>0</v>
      </c>
      <c r="G1759" s="7" t="s">
        <v>12558</v>
      </c>
      <c r="H1759" s="7">
        <f t="shared" si="114"/>
        <v>0</v>
      </c>
      <c r="I1759" s="7" t="str" cm="1">
        <f t="array" ref="I1759">IFERROR(_xlfn.IFS(M1759="נח",1,M1759="נע ונח",1,M1759="שני שווא נח",2,M1759="שני שוואים בסוף מילה",2,M1759="שני שוואים ברצף",1),"0")</f>
        <v>0</v>
      </c>
      <c r="J1759" s="9">
        <f t="shared" si="115"/>
        <v>4</v>
      </c>
      <c r="K1759" t="s">
        <v>6697</v>
      </c>
      <c r="L1759" t="s">
        <v>6694</v>
      </c>
      <c r="M1759" t="s">
        <v>6700</v>
      </c>
      <c r="R1759" t="s">
        <v>6694</v>
      </c>
      <c r="W1759" t="s">
        <v>6720</v>
      </c>
    </row>
    <row r="1760" spans="1:23" ht="15.6" x14ac:dyDescent="0.4">
      <c r="A1760" s="2" t="s">
        <v>4730</v>
      </c>
      <c r="B1760" s="5" t="s">
        <v>8224</v>
      </c>
      <c r="C1760" s="7" t="s">
        <v>12556</v>
      </c>
      <c r="D1760" s="8">
        <f t="shared" si="112"/>
        <v>0</v>
      </c>
      <c r="E1760" s="7" t="s">
        <v>12557</v>
      </c>
      <c r="F1760" s="7">
        <f t="shared" si="113"/>
        <v>0</v>
      </c>
      <c r="G1760" s="7" t="s">
        <v>12558</v>
      </c>
      <c r="H1760" s="7">
        <f t="shared" si="114"/>
        <v>0</v>
      </c>
      <c r="I1760" s="7" t="str" cm="1">
        <f t="array" ref="I1760">IFERROR(_xlfn.IFS(M1760="נח",1,M1760="נע ונח",1,M1760="שני שווא נח",2,M1760="שני שוואים בסוף מילה",2,M1760="שני שוואים ברצף",1),"0")</f>
        <v>0</v>
      </c>
      <c r="J1760" s="9">
        <f t="shared" si="115"/>
        <v>5</v>
      </c>
      <c r="K1760" t="s">
        <v>6697</v>
      </c>
      <c r="L1760" t="s">
        <v>6694</v>
      </c>
      <c r="M1760" t="s">
        <v>6700</v>
      </c>
      <c r="N1760" t="s">
        <v>6706</v>
      </c>
      <c r="O1760" t="s">
        <v>6694</v>
      </c>
      <c r="R1760" t="s">
        <v>6694</v>
      </c>
      <c r="W1760" t="s">
        <v>6720</v>
      </c>
    </row>
    <row r="1761" spans="1:23" ht="15.6" x14ac:dyDescent="0.4">
      <c r="A1761" s="2" t="s">
        <v>2634</v>
      </c>
      <c r="B1761" s="5" t="s">
        <v>8225</v>
      </c>
      <c r="C1761" s="7" t="s">
        <v>12556</v>
      </c>
      <c r="D1761" s="8">
        <f t="shared" si="112"/>
        <v>0</v>
      </c>
      <c r="E1761" s="7" t="s">
        <v>12557</v>
      </c>
      <c r="F1761" s="7">
        <f t="shared" si="113"/>
        <v>1</v>
      </c>
      <c r="G1761" s="7" t="s">
        <v>12558</v>
      </c>
      <c r="H1761" s="7">
        <f t="shared" si="114"/>
        <v>0</v>
      </c>
      <c r="I1761" s="7" cm="1">
        <f t="array" ref="I1761">IFERROR(_xlfn.IFS(M1761="נח",1,M1761="נע ונח",1,M1761="שני שווא נח",2,M1761="שני שוואים בסוף מילה",2,M1761="שני שוואים ברצף",1),"0")</f>
        <v>1</v>
      </c>
      <c r="J1761" s="9">
        <f t="shared" si="115"/>
        <v>4</v>
      </c>
      <c r="K1761" t="s">
        <v>6697</v>
      </c>
      <c r="L1761" t="s">
        <v>6694</v>
      </c>
      <c r="M1761" t="s">
        <v>6701</v>
      </c>
      <c r="O1761" t="s">
        <v>6694</v>
      </c>
      <c r="R1761" t="s">
        <v>6694</v>
      </c>
      <c r="W1761" t="s">
        <v>6720</v>
      </c>
    </row>
    <row r="1762" spans="1:23" ht="15.6" x14ac:dyDescent="0.4">
      <c r="A1762" s="2" t="s">
        <v>3899</v>
      </c>
      <c r="B1762" s="5" t="s">
        <v>8226</v>
      </c>
      <c r="C1762" s="7" t="s">
        <v>12556</v>
      </c>
      <c r="D1762" s="8">
        <f t="shared" si="112"/>
        <v>0</v>
      </c>
      <c r="E1762" s="7" t="s">
        <v>12557</v>
      </c>
      <c r="F1762" s="7">
        <f t="shared" si="113"/>
        <v>0</v>
      </c>
      <c r="G1762" s="7" t="s">
        <v>12558</v>
      </c>
      <c r="H1762" s="7">
        <f t="shared" si="114"/>
        <v>0</v>
      </c>
      <c r="I1762" s="7" cm="1">
        <f t="array" ref="I1762">IFERROR(_xlfn.IFS(M1762="נח",1,M1762="נע ונח",1,M1762="שני שווא נח",2,M1762="שני שוואים בסוף מילה",2,M1762="שני שוואים ברצף",1),"0")</f>
        <v>1</v>
      </c>
      <c r="J1762" s="9">
        <f t="shared" si="115"/>
        <v>3</v>
      </c>
      <c r="K1762" t="s">
        <v>6698</v>
      </c>
      <c r="L1762" t="s">
        <v>6694</v>
      </c>
      <c r="M1762" t="s">
        <v>6701</v>
      </c>
      <c r="N1762" t="s">
        <v>6706</v>
      </c>
      <c r="O1762" t="s">
        <v>6694</v>
      </c>
      <c r="R1762" t="s">
        <v>6694</v>
      </c>
      <c r="W1762" t="s">
        <v>6720</v>
      </c>
    </row>
    <row r="1763" spans="1:23" ht="15.6" x14ac:dyDescent="0.4">
      <c r="A1763" s="2" t="s">
        <v>726</v>
      </c>
      <c r="B1763" s="5" t="s">
        <v>8227</v>
      </c>
      <c r="C1763" s="7" t="s">
        <v>12556</v>
      </c>
      <c r="D1763" s="8">
        <f t="shared" si="112"/>
        <v>0</v>
      </c>
      <c r="E1763" s="7" t="s">
        <v>12557</v>
      </c>
      <c r="F1763" s="7">
        <f t="shared" si="113"/>
        <v>0</v>
      </c>
      <c r="G1763" s="7" t="s">
        <v>12558</v>
      </c>
      <c r="H1763" s="7">
        <f t="shared" si="114"/>
        <v>0</v>
      </c>
      <c r="I1763" s="7" t="str" cm="1">
        <f t="array" ref="I1763">IFERROR(_xlfn.IFS(M1763="נח",1,M1763="נע ונח",1,M1763="שני שווא נח",2,M1763="שני שוואים בסוף מילה",2,M1763="שני שוואים ברצף",1),"0")</f>
        <v>0</v>
      </c>
      <c r="J1763" s="9">
        <f t="shared" si="115"/>
        <v>2</v>
      </c>
      <c r="K1763" t="s">
        <v>6698</v>
      </c>
      <c r="L1763" t="s">
        <v>6694</v>
      </c>
      <c r="M1763" t="s">
        <v>6700</v>
      </c>
      <c r="R1763" t="s">
        <v>6694</v>
      </c>
      <c r="W1763" t="s">
        <v>6720</v>
      </c>
    </row>
    <row r="1764" spans="1:23" ht="15.6" x14ac:dyDescent="0.4">
      <c r="A1764" s="2" t="s">
        <v>4026</v>
      </c>
      <c r="B1764" s="5" t="s">
        <v>8228</v>
      </c>
      <c r="C1764" s="7" t="s">
        <v>12556</v>
      </c>
      <c r="D1764" s="8">
        <f t="shared" si="112"/>
        <v>0</v>
      </c>
      <c r="E1764" s="7" t="s">
        <v>12557</v>
      </c>
      <c r="F1764" s="7">
        <f t="shared" si="113"/>
        <v>1</v>
      </c>
      <c r="G1764" s="7" t="s">
        <v>12558</v>
      </c>
      <c r="H1764" s="7">
        <f t="shared" si="114"/>
        <v>0</v>
      </c>
      <c r="I1764" s="7" t="str" cm="1">
        <f t="array" ref="I1764">IFERROR(_xlfn.IFS(M1764="נח",1,M1764="נע ונח",1,M1764="שני שווא נח",2,M1764="שני שוואים בסוף מילה",2,M1764="שני שוואים ברצף",1),"0")</f>
        <v>0</v>
      </c>
      <c r="J1764" s="9">
        <f t="shared" si="115"/>
        <v>4</v>
      </c>
      <c r="K1764" t="s">
        <v>6698</v>
      </c>
      <c r="L1764" t="s">
        <v>6694</v>
      </c>
      <c r="M1764" t="s">
        <v>6700</v>
      </c>
      <c r="O1764" t="s">
        <v>6694</v>
      </c>
      <c r="Q1764" t="s">
        <v>6694</v>
      </c>
      <c r="R1764" t="s">
        <v>6694</v>
      </c>
      <c r="W1764" t="s">
        <v>6720</v>
      </c>
    </row>
    <row r="1765" spans="1:23" ht="15.6" x14ac:dyDescent="0.4">
      <c r="A1765" s="2" t="s">
        <v>2349</v>
      </c>
      <c r="B1765" s="5" t="s">
        <v>8229</v>
      </c>
      <c r="C1765" s="7" t="s">
        <v>12556</v>
      </c>
      <c r="D1765" s="8">
        <f t="shared" si="112"/>
        <v>0</v>
      </c>
      <c r="E1765" s="7" t="s">
        <v>12557</v>
      </c>
      <c r="F1765" s="7">
        <f t="shared" si="113"/>
        <v>1</v>
      </c>
      <c r="G1765" s="7" t="s">
        <v>12558</v>
      </c>
      <c r="H1765" s="7">
        <f t="shared" si="114"/>
        <v>1</v>
      </c>
      <c r="I1765" s="7" t="str" cm="1">
        <f t="array" ref="I1765">IFERROR(_xlfn.IFS(M1765="נח",1,M1765="נע ונח",1,M1765="שני שווא נח",2,M1765="שני שוואים בסוף מילה",2,M1765="שני שוואים ברצף",1),"0")</f>
        <v>0</v>
      </c>
      <c r="J1765" s="9">
        <f t="shared" si="115"/>
        <v>5</v>
      </c>
      <c r="K1765" t="s">
        <v>6697</v>
      </c>
      <c r="L1765" t="s">
        <v>6694</v>
      </c>
      <c r="M1765" t="s">
        <v>6700</v>
      </c>
      <c r="Q1765" t="s">
        <v>6694</v>
      </c>
      <c r="R1765" t="s">
        <v>6694</v>
      </c>
      <c r="U1765" t="s">
        <v>6694</v>
      </c>
      <c r="W1765" t="s">
        <v>6720</v>
      </c>
    </row>
    <row r="1766" spans="1:23" ht="15.6" x14ac:dyDescent="0.4">
      <c r="A1766" s="2" t="s">
        <v>3195</v>
      </c>
      <c r="B1766" s="5" t="s">
        <v>8230</v>
      </c>
      <c r="C1766" s="7" t="s">
        <v>12556</v>
      </c>
      <c r="D1766" s="8">
        <f t="shared" si="112"/>
        <v>0</v>
      </c>
      <c r="E1766" s="7" t="s">
        <v>12557</v>
      </c>
      <c r="F1766" s="7">
        <f t="shared" si="113"/>
        <v>0</v>
      </c>
      <c r="G1766" s="7" t="s">
        <v>12558</v>
      </c>
      <c r="H1766" s="7">
        <f t="shared" si="114"/>
        <v>0</v>
      </c>
      <c r="I1766" s="7" cm="1">
        <f t="array" ref="I1766">IFERROR(_xlfn.IFS(M1766="נח",1,M1766="נע ונח",1,M1766="שני שווא נח",2,M1766="שני שוואים בסוף מילה",2,M1766="שני שוואים ברצף",1),"0")</f>
        <v>1</v>
      </c>
      <c r="J1766" s="9">
        <f t="shared" si="115"/>
        <v>4</v>
      </c>
      <c r="K1766" t="s">
        <v>6697</v>
      </c>
      <c r="L1766" t="s">
        <v>6694</v>
      </c>
      <c r="M1766" t="s">
        <v>6701</v>
      </c>
      <c r="O1766" t="s">
        <v>6694</v>
      </c>
      <c r="R1766" t="s">
        <v>6694</v>
      </c>
      <c r="W1766" t="s">
        <v>6720</v>
      </c>
    </row>
    <row r="1767" spans="1:23" ht="15.6" x14ac:dyDescent="0.4">
      <c r="A1767" s="2" t="s">
        <v>5343</v>
      </c>
      <c r="B1767" s="5" t="s">
        <v>8231</v>
      </c>
      <c r="C1767" s="7" t="s">
        <v>12556</v>
      </c>
      <c r="D1767" s="8">
        <f t="shared" si="112"/>
        <v>0</v>
      </c>
      <c r="E1767" s="7" t="s">
        <v>12557</v>
      </c>
      <c r="F1767" s="7">
        <f t="shared" si="113"/>
        <v>0</v>
      </c>
      <c r="G1767" s="7" t="s">
        <v>12558</v>
      </c>
      <c r="H1767" s="7">
        <f t="shared" si="114"/>
        <v>0</v>
      </c>
      <c r="I1767" s="7" cm="1">
        <f t="array" ref="I1767">IFERROR(_xlfn.IFS(M1767="נח",1,M1767="נע ונח",1,M1767="שני שווא נח",2,M1767="שני שוואים בסוף מילה",2,M1767="שני שוואים ברצף",1),"0")</f>
        <v>1</v>
      </c>
      <c r="J1767" s="9">
        <f t="shared" si="115"/>
        <v>4</v>
      </c>
      <c r="K1767" t="s">
        <v>6697</v>
      </c>
      <c r="L1767" t="s">
        <v>6694</v>
      </c>
      <c r="M1767" t="s">
        <v>6701</v>
      </c>
      <c r="O1767" t="s">
        <v>6694</v>
      </c>
      <c r="R1767" t="s">
        <v>6694</v>
      </c>
      <c r="W1767" t="s">
        <v>6720</v>
      </c>
    </row>
    <row r="1768" spans="1:23" ht="15.6" x14ac:dyDescent="0.4">
      <c r="A1768" s="2" t="s">
        <v>4257</v>
      </c>
      <c r="B1768" s="5" t="s">
        <v>8232</v>
      </c>
      <c r="C1768" s="7" t="s">
        <v>12556</v>
      </c>
      <c r="D1768" s="8">
        <f t="shared" si="112"/>
        <v>0</v>
      </c>
      <c r="E1768" s="7" t="s">
        <v>12557</v>
      </c>
      <c r="F1768" s="7">
        <f t="shared" si="113"/>
        <v>0</v>
      </c>
      <c r="G1768" s="7" t="s">
        <v>12558</v>
      </c>
      <c r="H1768" s="7">
        <f t="shared" si="114"/>
        <v>0</v>
      </c>
      <c r="I1768" s="7" cm="1">
        <f t="array" ref="I1768">IFERROR(_xlfn.IFS(M1768="נח",1,M1768="נע ונח",1,M1768="שני שווא נח",2,M1768="שני שוואים בסוף מילה",2,M1768="שני שוואים ברצף",1),"0")</f>
        <v>1</v>
      </c>
      <c r="J1768" s="9">
        <f t="shared" si="115"/>
        <v>4</v>
      </c>
      <c r="K1768" t="s">
        <v>6698</v>
      </c>
      <c r="L1768" t="s">
        <v>6694</v>
      </c>
      <c r="M1768" t="s">
        <v>6701</v>
      </c>
      <c r="P1768" t="s">
        <v>6694</v>
      </c>
      <c r="R1768" t="s">
        <v>6694</v>
      </c>
      <c r="S1768" t="s">
        <v>6694</v>
      </c>
      <c r="W1768" t="s">
        <v>6720</v>
      </c>
    </row>
    <row r="1769" spans="1:23" ht="15.6" x14ac:dyDescent="0.4">
      <c r="A1769" s="2" t="s">
        <v>4721</v>
      </c>
      <c r="B1769" s="5" t="s">
        <v>8233</v>
      </c>
      <c r="C1769" s="7" t="s">
        <v>12556</v>
      </c>
      <c r="D1769" s="8">
        <f t="shared" si="112"/>
        <v>0</v>
      </c>
      <c r="E1769" s="7" t="s">
        <v>12557</v>
      </c>
      <c r="F1769" s="7">
        <f t="shared" si="113"/>
        <v>0</v>
      </c>
      <c r="G1769" s="7" t="s">
        <v>12558</v>
      </c>
      <c r="H1769" s="7">
        <f t="shared" si="114"/>
        <v>0</v>
      </c>
      <c r="I1769" s="7" cm="1">
        <f t="array" ref="I1769">IFERROR(_xlfn.IFS(M1769="נח",1,M1769="נע ונח",1,M1769="שני שווא נח",2,M1769="שני שוואים בסוף מילה",2,M1769="שני שוואים ברצף",1),"0")</f>
        <v>1</v>
      </c>
      <c r="J1769" s="9">
        <f t="shared" si="115"/>
        <v>4</v>
      </c>
      <c r="K1769" t="s">
        <v>6697</v>
      </c>
      <c r="L1769" t="s">
        <v>6694</v>
      </c>
      <c r="M1769" t="s">
        <v>6701</v>
      </c>
      <c r="O1769" t="s">
        <v>6694</v>
      </c>
      <c r="R1769" t="s">
        <v>6694</v>
      </c>
      <c r="W1769" t="s">
        <v>6720</v>
      </c>
    </row>
    <row r="1770" spans="1:23" ht="15.6" x14ac:dyDescent="0.4">
      <c r="A1770" s="2" t="s">
        <v>309</v>
      </c>
      <c r="B1770" s="5" t="s">
        <v>8234</v>
      </c>
      <c r="C1770" s="7" t="s">
        <v>12556</v>
      </c>
      <c r="D1770" s="8">
        <f t="shared" si="112"/>
        <v>0</v>
      </c>
      <c r="E1770" s="7" t="s">
        <v>12557</v>
      </c>
      <c r="F1770" s="7">
        <f t="shared" si="113"/>
        <v>2</v>
      </c>
      <c r="G1770" s="7" t="s">
        <v>12558</v>
      </c>
      <c r="H1770" s="7">
        <f t="shared" si="114"/>
        <v>0</v>
      </c>
      <c r="I1770" s="7" cm="1">
        <f t="array" ref="I1770">IFERROR(_xlfn.IFS(M1770="נח",1,M1770="נע ונח",1,M1770="שני שווא נח",2,M1770="שני שוואים בסוף מילה",2,M1770="שני שוואים ברצף",1),"0")</f>
        <v>1</v>
      </c>
      <c r="J1770" s="9">
        <f t="shared" si="115"/>
        <v>4</v>
      </c>
      <c r="K1770" t="s">
        <v>6697</v>
      </c>
      <c r="L1770" t="s">
        <v>6694</v>
      </c>
      <c r="M1770" t="s">
        <v>6701</v>
      </c>
      <c r="O1770" t="s">
        <v>6694</v>
      </c>
      <c r="R1770" t="s">
        <v>6694</v>
      </c>
      <c r="W1770" t="s">
        <v>6720</v>
      </c>
    </row>
    <row r="1771" spans="1:23" ht="15.6" x14ac:dyDescent="0.4">
      <c r="A1771" s="2" t="s">
        <v>310</v>
      </c>
      <c r="B1771" s="5" t="s">
        <v>8235</v>
      </c>
      <c r="C1771" s="7" t="s">
        <v>12556</v>
      </c>
      <c r="D1771" s="8">
        <f t="shared" si="112"/>
        <v>0</v>
      </c>
      <c r="E1771" s="7" t="s">
        <v>12557</v>
      </c>
      <c r="F1771" s="7">
        <f t="shared" si="113"/>
        <v>1</v>
      </c>
      <c r="G1771" s="7" t="s">
        <v>12558</v>
      </c>
      <c r="H1771" s="7">
        <f t="shared" si="114"/>
        <v>0</v>
      </c>
      <c r="I1771" s="7" cm="1">
        <f t="array" ref="I1771">IFERROR(_xlfn.IFS(M1771="נח",1,M1771="נע ונח",1,M1771="שני שווא נח",2,M1771="שני שוואים בסוף מילה",2,M1771="שני שוואים ברצף",1),"0")</f>
        <v>1</v>
      </c>
      <c r="J1771" s="9">
        <f t="shared" si="115"/>
        <v>3</v>
      </c>
      <c r="K1771" t="s">
        <v>6697</v>
      </c>
      <c r="L1771" t="s">
        <v>6694</v>
      </c>
      <c r="M1771" t="s">
        <v>6701</v>
      </c>
      <c r="O1771" t="s">
        <v>6694</v>
      </c>
      <c r="R1771" t="s">
        <v>6694</v>
      </c>
      <c r="W1771" t="s">
        <v>6720</v>
      </c>
    </row>
    <row r="1772" spans="1:23" ht="15.6" x14ac:dyDescent="0.4">
      <c r="A1772" s="2" t="s">
        <v>1850</v>
      </c>
      <c r="B1772" s="5" t="s">
        <v>8236</v>
      </c>
      <c r="C1772" s="7" t="s">
        <v>12556</v>
      </c>
      <c r="D1772" s="8">
        <f t="shared" si="112"/>
        <v>1</v>
      </c>
      <c r="E1772" s="7" t="s">
        <v>12557</v>
      </c>
      <c r="F1772" s="7">
        <f t="shared" si="113"/>
        <v>0</v>
      </c>
      <c r="G1772" s="7" t="s">
        <v>12558</v>
      </c>
      <c r="H1772" s="7">
        <f t="shared" si="114"/>
        <v>0</v>
      </c>
      <c r="I1772" s="7" cm="1">
        <f t="array" ref="I1772">IFERROR(_xlfn.IFS(M1772="נח",1,M1772="נע ונח",1,M1772="שני שווא נח",2,M1772="שני שוואים בסוף מילה",2,M1772="שני שוואים ברצף",1),"0")</f>
        <v>1</v>
      </c>
      <c r="J1772" s="9">
        <f t="shared" si="115"/>
        <v>4</v>
      </c>
      <c r="K1772" t="s">
        <v>6698</v>
      </c>
      <c r="L1772" t="s">
        <v>6694</v>
      </c>
      <c r="M1772" t="s">
        <v>6701</v>
      </c>
      <c r="O1772" t="s">
        <v>6694</v>
      </c>
      <c r="Q1772" t="s">
        <v>6694</v>
      </c>
      <c r="R1772" t="s">
        <v>6694</v>
      </c>
      <c r="W1772" t="s">
        <v>6720</v>
      </c>
    </row>
    <row r="1773" spans="1:23" ht="15.6" x14ac:dyDescent="0.4">
      <c r="A1773" s="2" t="s">
        <v>6430</v>
      </c>
      <c r="B1773" s="5" t="s">
        <v>8237</v>
      </c>
      <c r="C1773" s="7" t="s">
        <v>12556</v>
      </c>
      <c r="D1773" s="8">
        <f t="shared" si="112"/>
        <v>1</v>
      </c>
      <c r="E1773" s="7" t="s">
        <v>12557</v>
      </c>
      <c r="F1773" s="7">
        <f t="shared" si="113"/>
        <v>1</v>
      </c>
      <c r="G1773" s="7" t="s">
        <v>12558</v>
      </c>
      <c r="H1773" s="7">
        <f t="shared" si="114"/>
        <v>0</v>
      </c>
      <c r="I1773" s="7" cm="1">
        <f t="array" ref="I1773">IFERROR(_xlfn.IFS(M1773="נח",1,M1773="נע ונח",1,M1773="שני שווא נח",2,M1773="שני שוואים בסוף מילה",2,M1773="שני שוואים ברצף",1),"0")</f>
        <v>1</v>
      </c>
      <c r="J1773" s="9">
        <f t="shared" si="115"/>
        <v>4</v>
      </c>
      <c r="K1773" t="s">
        <v>6697</v>
      </c>
      <c r="L1773" t="s">
        <v>6694</v>
      </c>
      <c r="M1773" t="s">
        <v>6701</v>
      </c>
      <c r="O1773" t="s">
        <v>6694</v>
      </c>
      <c r="R1773" t="s">
        <v>6694</v>
      </c>
      <c r="V1773" t="s">
        <v>6694</v>
      </c>
      <c r="W1773" t="s">
        <v>6720</v>
      </c>
    </row>
    <row r="1774" spans="1:23" ht="15.6" x14ac:dyDescent="0.4">
      <c r="A1774" s="2" t="s">
        <v>312</v>
      </c>
      <c r="B1774" s="5" t="s">
        <v>8238</v>
      </c>
      <c r="C1774" s="7" t="s">
        <v>12556</v>
      </c>
      <c r="D1774" s="8">
        <f t="shared" si="112"/>
        <v>1</v>
      </c>
      <c r="E1774" s="7" t="s">
        <v>12557</v>
      </c>
      <c r="F1774" s="7">
        <f t="shared" si="113"/>
        <v>1</v>
      </c>
      <c r="G1774" s="7" t="s">
        <v>12558</v>
      </c>
      <c r="H1774" s="7">
        <f t="shared" si="114"/>
        <v>0</v>
      </c>
      <c r="I1774" s="7" cm="1">
        <f t="array" ref="I1774">IFERROR(_xlfn.IFS(M1774="נח",1,M1774="נע ונח",1,M1774="שני שווא נח",2,M1774="שני שוואים בסוף מילה",2,M1774="שני שוואים ברצף",1),"0")</f>
        <v>1</v>
      </c>
      <c r="J1774" s="9">
        <f t="shared" si="115"/>
        <v>5</v>
      </c>
      <c r="K1774" t="s">
        <v>6697</v>
      </c>
      <c r="L1774" t="s">
        <v>6694</v>
      </c>
      <c r="M1774" t="s">
        <v>6702</v>
      </c>
      <c r="O1774" t="s">
        <v>6694</v>
      </c>
      <c r="R1774" t="s">
        <v>6694</v>
      </c>
      <c r="W1774" t="s">
        <v>6720</v>
      </c>
    </row>
    <row r="1775" spans="1:23" ht="15.6" x14ac:dyDescent="0.4">
      <c r="A1775" s="2" t="s">
        <v>258</v>
      </c>
      <c r="B1775" s="5" t="s">
        <v>8239</v>
      </c>
      <c r="C1775" s="7" t="s">
        <v>12556</v>
      </c>
      <c r="D1775" s="8">
        <f t="shared" si="112"/>
        <v>1</v>
      </c>
      <c r="E1775" s="7" t="s">
        <v>12557</v>
      </c>
      <c r="F1775" s="7">
        <f t="shared" si="113"/>
        <v>0</v>
      </c>
      <c r="G1775" s="7" t="s">
        <v>12558</v>
      </c>
      <c r="H1775" s="7">
        <f t="shared" si="114"/>
        <v>0</v>
      </c>
      <c r="I1775" s="7" cm="1">
        <f t="array" ref="I1775">IFERROR(_xlfn.IFS(M1775="נח",1,M1775="נע ונח",1,M1775="שני שווא נח",2,M1775="שני שוואים בסוף מילה",2,M1775="שני שוואים ברצף",1),"0")</f>
        <v>1</v>
      </c>
      <c r="J1775" s="9">
        <f t="shared" si="115"/>
        <v>4</v>
      </c>
      <c r="K1775" t="s">
        <v>6697</v>
      </c>
      <c r="L1775" t="s">
        <v>6694</v>
      </c>
      <c r="M1775" t="s">
        <v>6702</v>
      </c>
      <c r="O1775" t="s">
        <v>6694</v>
      </c>
      <c r="R1775" t="s">
        <v>6694</v>
      </c>
      <c r="W1775" t="s">
        <v>6720</v>
      </c>
    </row>
    <row r="1776" spans="1:23" ht="15.6" x14ac:dyDescent="0.4">
      <c r="A1776" s="2" t="s">
        <v>3560</v>
      </c>
      <c r="B1776" s="5" t="s">
        <v>8240</v>
      </c>
      <c r="C1776" s="7" t="s">
        <v>12556</v>
      </c>
      <c r="D1776" s="8">
        <f t="shared" si="112"/>
        <v>1</v>
      </c>
      <c r="E1776" s="7" t="s">
        <v>12557</v>
      </c>
      <c r="F1776" s="7">
        <f t="shared" si="113"/>
        <v>1</v>
      </c>
      <c r="G1776" s="7" t="s">
        <v>12558</v>
      </c>
      <c r="H1776" s="7">
        <f t="shared" si="114"/>
        <v>0</v>
      </c>
      <c r="I1776" s="7" cm="1">
        <f t="array" ref="I1776">IFERROR(_xlfn.IFS(M1776="נח",1,M1776="נע ונח",1,M1776="שני שווא נח",2,M1776="שני שוואים בסוף מילה",2,M1776="שני שוואים ברצף",1),"0")</f>
        <v>1</v>
      </c>
      <c r="J1776" s="9">
        <f t="shared" si="115"/>
        <v>4</v>
      </c>
      <c r="K1776" t="s">
        <v>6697</v>
      </c>
      <c r="L1776" t="s">
        <v>6694</v>
      </c>
      <c r="M1776" t="s">
        <v>6701</v>
      </c>
      <c r="O1776" t="s">
        <v>6694</v>
      </c>
      <c r="R1776" t="s">
        <v>6694</v>
      </c>
      <c r="W1776" t="s">
        <v>6720</v>
      </c>
    </row>
    <row r="1777" spans="1:23" ht="15.6" x14ac:dyDescent="0.4">
      <c r="A1777" s="2" t="s">
        <v>3371</v>
      </c>
      <c r="B1777" s="5" t="s">
        <v>8241</v>
      </c>
      <c r="C1777" s="7" t="s">
        <v>12556</v>
      </c>
      <c r="D1777" s="8">
        <f t="shared" si="112"/>
        <v>1</v>
      </c>
      <c r="E1777" s="7" t="s">
        <v>12557</v>
      </c>
      <c r="F1777" s="7">
        <f t="shared" si="113"/>
        <v>0</v>
      </c>
      <c r="G1777" s="7" t="s">
        <v>12558</v>
      </c>
      <c r="H1777" s="7">
        <f t="shared" si="114"/>
        <v>0</v>
      </c>
      <c r="I1777" s="7" cm="1">
        <f t="array" ref="I1777">IFERROR(_xlfn.IFS(M1777="נח",1,M1777="נע ונח",1,M1777="שני שווא נח",2,M1777="שני שוואים בסוף מילה",2,M1777="שני שוואים ברצף",1),"0")</f>
        <v>1</v>
      </c>
      <c r="J1777" s="9">
        <f t="shared" si="115"/>
        <v>4</v>
      </c>
      <c r="K1777" t="s">
        <v>6697</v>
      </c>
      <c r="L1777" t="s">
        <v>6694</v>
      </c>
      <c r="M1777" t="s">
        <v>6702</v>
      </c>
      <c r="O1777" t="s">
        <v>6694</v>
      </c>
      <c r="R1777" t="s">
        <v>6694</v>
      </c>
      <c r="W1777" t="s">
        <v>6720</v>
      </c>
    </row>
    <row r="1778" spans="1:23" ht="15.6" x14ac:dyDescent="0.4">
      <c r="A1778" s="2" t="s">
        <v>4024</v>
      </c>
      <c r="B1778" s="5" t="s">
        <v>8242</v>
      </c>
      <c r="C1778" s="7" t="s">
        <v>12556</v>
      </c>
      <c r="D1778" s="8">
        <f t="shared" si="112"/>
        <v>1</v>
      </c>
      <c r="E1778" s="7" t="s">
        <v>12557</v>
      </c>
      <c r="F1778" s="7">
        <f t="shared" si="113"/>
        <v>1</v>
      </c>
      <c r="G1778" s="7" t="s">
        <v>12558</v>
      </c>
      <c r="H1778" s="7">
        <f t="shared" si="114"/>
        <v>0</v>
      </c>
      <c r="I1778" s="7" t="str" cm="1">
        <f t="array" ref="I1778">IFERROR(_xlfn.IFS(M1778="נח",1,M1778="נע ונח",1,M1778="שני שווא נח",2,M1778="שני שוואים בסוף מילה",2,M1778="שני שוואים ברצף",1),"0")</f>
        <v>0</v>
      </c>
      <c r="J1778" s="9">
        <f t="shared" si="115"/>
        <v>3</v>
      </c>
      <c r="K1778" t="s">
        <v>6697</v>
      </c>
      <c r="L1778" t="s">
        <v>6694</v>
      </c>
      <c r="M1778" t="s">
        <v>6700</v>
      </c>
      <c r="O1778" t="s">
        <v>6694</v>
      </c>
      <c r="R1778" t="s">
        <v>6694</v>
      </c>
      <c r="W1778" t="s">
        <v>6720</v>
      </c>
    </row>
    <row r="1779" spans="1:23" ht="15.6" x14ac:dyDescent="0.4">
      <c r="A1779" s="2" t="s">
        <v>1318</v>
      </c>
      <c r="B1779" s="5" t="s">
        <v>8243</v>
      </c>
      <c r="C1779" s="7" t="s">
        <v>12556</v>
      </c>
      <c r="D1779" s="8">
        <f t="shared" si="112"/>
        <v>0</v>
      </c>
      <c r="E1779" s="7" t="s">
        <v>12557</v>
      </c>
      <c r="F1779" s="7">
        <f t="shared" si="113"/>
        <v>0</v>
      </c>
      <c r="G1779" s="7" t="s">
        <v>12558</v>
      </c>
      <c r="H1779" s="7">
        <f t="shared" si="114"/>
        <v>0</v>
      </c>
      <c r="I1779" s="7" t="str" cm="1">
        <f t="array" ref="I1779">IFERROR(_xlfn.IFS(M1779="נח",1,M1779="נע ונח",1,M1779="שני שווא נח",2,M1779="שני שוואים בסוף מילה",2,M1779="שני שוואים ברצף",1),"0")</f>
        <v>0</v>
      </c>
      <c r="J1779" s="9">
        <f t="shared" si="115"/>
        <v>2</v>
      </c>
      <c r="K1779" t="s">
        <v>6698</v>
      </c>
      <c r="L1779" t="s">
        <v>6694</v>
      </c>
      <c r="M1779" t="s">
        <v>6700</v>
      </c>
      <c r="R1779" t="s">
        <v>6694</v>
      </c>
      <c r="W1779" t="s">
        <v>6720</v>
      </c>
    </row>
    <row r="1780" spans="1:23" ht="15.6" x14ac:dyDescent="0.4">
      <c r="A1780" s="2" t="s">
        <v>2276</v>
      </c>
      <c r="B1780" s="5" t="s">
        <v>8244</v>
      </c>
      <c r="C1780" s="7" t="s">
        <v>12556</v>
      </c>
      <c r="D1780" s="8">
        <f t="shared" si="112"/>
        <v>0</v>
      </c>
      <c r="E1780" s="7" t="s">
        <v>12557</v>
      </c>
      <c r="F1780" s="7">
        <f t="shared" si="113"/>
        <v>1</v>
      </c>
      <c r="G1780" s="7" t="s">
        <v>12558</v>
      </c>
      <c r="H1780" s="7">
        <f t="shared" si="114"/>
        <v>0</v>
      </c>
      <c r="I1780" s="7" cm="1">
        <f t="array" ref="I1780">IFERROR(_xlfn.IFS(M1780="נח",1,M1780="נע ונח",1,M1780="שני שווא נח",2,M1780="שני שוואים בסוף מילה",2,M1780="שני שוואים ברצף",1),"0")</f>
        <v>1</v>
      </c>
      <c r="J1780" s="9">
        <f t="shared" si="115"/>
        <v>3</v>
      </c>
      <c r="K1780" t="s">
        <v>6697</v>
      </c>
      <c r="L1780" t="s">
        <v>6694</v>
      </c>
      <c r="M1780" t="s">
        <v>6701</v>
      </c>
      <c r="O1780" t="s">
        <v>6694</v>
      </c>
      <c r="R1780" t="s">
        <v>6694</v>
      </c>
      <c r="W1780" t="s">
        <v>6720</v>
      </c>
    </row>
    <row r="1781" spans="1:23" ht="15.6" x14ac:dyDescent="0.4">
      <c r="A1781" s="2" t="s">
        <v>3924</v>
      </c>
      <c r="B1781" s="5" t="s">
        <v>8244</v>
      </c>
      <c r="C1781" s="7" t="s">
        <v>12556</v>
      </c>
      <c r="D1781" s="8">
        <f t="shared" si="112"/>
        <v>0</v>
      </c>
      <c r="E1781" s="7" t="s">
        <v>12557</v>
      </c>
      <c r="F1781" s="7">
        <f t="shared" si="113"/>
        <v>1</v>
      </c>
      <c r="G1781" s="7" t="s">
        <v>12558</v>
      </c>
      <c r="H1781" s="7">
        <f t="shared" si="114"/>
        <v>0</v>
      </c>
      <c r="I1781" s="7" t="str" cm="1">
        <f t="array" ref="I1781">IFERROR(_xlfn.IFS(M1781="נח",1,M1781="נע ונח",1,M1781="שני שווא נח",2,M1781="שני שוואים בסוף מילה",2,M1781="שני שוואים ברצף",1),"0")</f>
        <v>0</v>
      </c>
      <c r="J1781" s="9">
        <f t="shared" si="115"/>
        <v>4</v>
      </c>
      <c r="K1781" t="s">
        <v>6697</v>
      </c>
      <c r="L1781" t="s">
        <v>6694</v>
      </c>
      <c r="M1781" t="s">
        <v>6700</v>
      </c>
      <c r="O1781" t="s">
        <v>6694</v>
      </c>
      <c r="Q1781" t="s">
        <v>6694</v>
      </c>
      <c r="R1781" t="s">
        <v>6694</v>
      </c>
      <c r="W1781" t="s">
        <v>6720</v>
      </c>
    </row>
    <row r="1782" spans="1:23" ht="15.6" x14ac:dyDescent="0.4">
      <c r="A1782" s="2" t="s">
        <v>3484</v>
      </c>
      <c r="B1782" s="5" t="s">
        <v>8245</v>
      </c>
      <c r="C1782" s="7" t="s">
        <v>12556</v>
      </c>
      <c r="D1782" s="8">
        <f t="shared" si="112"/>
        <v>0</v>
      </c>
      <c r="E1782" s="7" t="s">
        <v>12557</v>
      </c>
      <c r="F1782" s="7">
        <f t="shared" si="113"/>
        <v>0</v>
      </c>
      <c r="G1782" s="7" t="s">
        <v>12558</v>
      </c>
      <c r="H1782" s="7">
        <f t="shared" si="114"/>
        <v>0</v>
      </c>
      <c r="I1782" s="7" cm="1">
        <f t="array" ref="I1782">IFERROR(_xlfn.IFS(M1782="נח",1,M1782="נע ונח",1,M1782="שני שווא נח",2,M1782="שני שוואים בסוף מילה",2,M1782="שני שוואים ברצף",1),"0")</f>
        <v>1</v>
      </c>
      <c r="J1782" s="9">
        <f t="shared" si="115"/>
        <v>4</v>
      </c>
      <c r="K1782" t="s">
        <v>6697</v>
      </c>
      <c r="L1782" t="s">
        <v>6694</v>
      </c>
      <c r="M1782" t="s">
        <v>6701</v>
      </c>
      <c r="O1782" t="s">
        <v>6694</v>
      </c>
      <c r="P1782" t="s">
        <v>6694</v>
      </c>
      <c r="S1782" t="s">
        <v>6694</v>
      </c>
      <c r="W1782" t="s">
        <v>6720</v>
      </c>
    </row>
    <row r="1783" spans="1:23" ht="15.6" x14ac:dyDescent="0.4">
      <c r="A1783" s="2" t="s">
        <v>251</v>
      </c>
      <c r="B1783" s="5" t="s">
        <v>8246</v>
      </c>
      <c r="C1783" s="7" t="s">
        <v>12556</v>
      </c>
      <c r="D1783" s="8">
        <f t="shared" si="112"/>
        <v>0</v>
      </c>
      <c r="E1783" s="7" t="s">
        <v>12557</v>
      </c>
      <c r="F1783" s="7">
        <f t="shared" si="113"/>
        <v>1</v>
      </c>
      <c r="G1783" s="7" t="s">
        <v>12558</v>
      </c>
      <c r="H1783" s="7">
        <f t="shared" si="114"/>
        <v>0</v>
      </c>
      <c r="I1783" s="7" t="str" cm="1">
        <f t="array" ref="I1783">IFERROR(_xlfn.IFS(M1783="נח",1,M1783="נע ונח",1,M1783="שני שווא נח",2,M1783="שני שוואים בסוף מילה",2,M1783="שני שוואים ברצף",1),"0")</f>
        <v>0</v>
      </c>
      <c r="J1783" s="9">
        <f t="shared" si="115"/>
        <v>4</v>
      </c>
      <c r="K1783" t="s">
        <v>6697</v>
      </c>
      <c r="L1783" t="s">
        <v>6694</v>
      </c>
      <c r="M1783" t="s">
        <v>6700</v>
      </c>
      <c r="O1783" t="s">
        <v>6694</v>
      </c>
      <c r="P1783" t="s">
        <v>6694</v>
      </c>
      <c r="S1783" t="s">
        <v>6694</v>
      </c>
      <c r="W1783" t="s">
        <v>6720</v>
      </c>
    </row>
    <row r="1784" spans="1:23" ht="15.6" x14ac:dyDescent="0.4">
      <c r="A1784" s="2" t="s">
        <v>3031</v>
      </c>
      <c r="B1784" s="5" t="s">
        <v>8247</v>
      </c>
      <c r="C1784" s="7" t="s">
        <v>12556</v>
      </c>
      <c r="D1784" s="8">
        <f t="shared" si="112"/>
        <v>0</v>
      </c>
      <c r="E1784" s="7" t="s">
        <v>12557</v>
      </c>
      <c r="F1784" s="7">
        <f t="shared" si="113"/>
        <v>1</v>
      </c>
      <c r="G1784" s="7" t="s">
        <v>12558</v>
      </c>
      <c r="H1784" s="7">
        <f t="shared" si="114"/>
        <v>0</v>
      </c>
      <c r="I1784" s="7" t="str" cm="1">
        <f t="array" ref="I1784">IFERROR(_xlfn.IFS(M1784="נח",1,M1784="נע ונח",1,M1784="שני שווא נח",2,M1784="שני שוואים בסוף מילה",2,M1784="שני שוואים ברצף",1),"0")</f>
        <v>0</v>
      </c>
      <c r="J1784" s="9">
        <f t="shared" si="115"/>
        <v>4</v>
      </c>
      <c r="K1784" t="s">
        <v>6697</v>
      </c>
      <c r="L1784" t="s">
        <v>6694</v>
      </c>
      <c r="M1784" t="s">
        <v>6700</v>
      </c>
      <c r="P1784" t="s">
        <v>6694</v>
      </c>
      <c r="Q1784" t="s">
        <v>6694</v>
      </c>
      <c r="S1784" t="s">
        <v>6694</v>
      </c>
      <c r="W1784" t="s">
        <v>6720</v>
      </c>
    </row>
    <row r="1785" spans="1:23" ht="15.6" x14ac:dyDescent="0.4">
      <c r="A1785" s="2" t="s">
        <v>2242</v>
      </c>
      <c r="B1785" s="5" t="s">
        <v>8248</v>
      </c>
      <c r="C1785" s="7" t="s">
        <v>12556</v>
      </c>
      <c r="D1785" s="8">
        <f t="shared" si="112"/>
        <v>0</v>
      </c>
      <c r="E1785" s="7" t="s">
        <v>12557</v>
      </c>
      <c r="F1785" s="7">
        <f t="shared" si="113"/>
        <v>0</v>
      </c>
      <c r="G1785" s="7" t="s">
        <v>12558</v>
      </c>
      <c r="H1785" s="7">
        <f t="shared" si="114"/>
        <v>0</v>
      </c>
      <c r="I1785" s="7" t="str" cm="1">
        <f t="array" ref="I1785">IFERROR(_xlfn.IFS(M1785="נח",1,M1785="נע ונח",1,M1785="שני שווא נח",2,M1785="שני שוואים בסוף מילה",2,M1785="שני שוואים ברצף",1),"0")</f>
        <v>0</v>
      </c>
      <c r="J1785" s="9">
        <f t="shared" si="115"/>
        <v>4</v>
      </c>
      <c r="K1785" t="s">
        <v>6698</v>
      </c>
      <c r="L1785" t="s">
        <v>6694</v>
      </c>
      <c r="M1785" t="s">
        <v>6700</v>
      </c>
      <c r="P1785" t="s">
        <v>6694</v>
      </c>
      <c r="V1785" t="s">
        <v>6694</v>
      </c>
      <c r="W1785" t="s">
        <v>6720</v>
      </c>
    </row>
    <row r="1786" spans="1:23" ht="15.6" x14ac:dyDescent="0.4">
      <c r="A1786" s="2" t="s">
        <v>3848</v>
      </c>
      <c r="B1786" s="5" t="s">
        <v>8249</v>
      </c>
      <c r="C1786" s="7" t="s">
        <v>12556</v>
      </c>
      <c r="D1786" s="8">
        <f t="shared" si="112"/>
        <v>0</v>
      </c>
      <c r="E1786" s="7" t="s">
        <v>12557</v>
      </c>
      <c r="F1786" s="7">
        <f t="shared" si="113"/>
        <v>0</v>
      </c>
      <c r="G1786" s="7" t="s">
        <v>12558</v>
      </c>
      <c r="H1786" s="7">
        <f t="shared" si="114"/>
        <v>0</v>
      </c>
      <c r="I1786" s="7" t="str" cm="1">
        <f t="array" ref="I1786">IFERROR(_xlfn.IFS(M1786="נח",1,M1786="נע ונח",1,M1786="שני שווא נח",2,M1786="שני שוואים בסוף מילה",2,M1786="שני שוואים ברצף",1),"0")</f>
        <v>0</v>
      </c>
      <c r="J1786" s="9">
        <f t="shared" si="115"/>
        <v>5</v>
      </c>
      <c r="K1786" t="s">
        <v>6698</v>
      </c>
      <c r="L1786" t="s">
        <v>6694</v>
      </c>
      <c r="M1786" t="s">
        <v>6700</v>
      </c>
      <c r="P1786" t="s">
        <v>6694</v>
      </c>
      <c r="Q1786" t="s">
        <v>6694</v>
      </c>
      <c r="R1786" t="s">
        <v>6694</v>
      </c>
      <c r="W1786" t="s">
        <v>6720</v>
      </c>
    </row>
    <row r="1787" spans="1:23" ht="15.6" x14ac:dyDescent="0.4">
      <c r="A1787" s="2" t="s">
        <v>117</v>
      </c>
      <c r="B1787" s="5" t="s">
        <v>8250</v>
      </c>
      <c r="C1787" s="7" t="s">
        <v>12556</v>
      </c>
      <c r="D1787" s="8">
        <f t="shared" si="112"/>
        <v>0</v>
      </c>
      <c r="E1787" s="7" t="s">
        <v>12557</v>
      </c>
      <c r="F1787" s="7">
        <f t="shared" si="113"/>
        <v>0</v>
      </c>
      <c r="G1787" s="7" t="s">
        <v>12558</v>
      </c>
      <c r="H1787" s="7">
        <f t="shared" si="114"/>
        <v>0</v>
      </c>
      <c r="I1787" s="7" t="str" cm="1">
        <f t="array" ref="I1787">IFERROR(_xlfn.IFS(M1787="נח",1,M1787="נע ונח",1,M1787="שני שווא נח",2,M1787="שני שוואים בסוף מילה",2,M1787="שני שוואים ברצף",1),"0")</f>
        <v>0</v>
      </c>
      <c r="J1787" s="9">
        <f t="shared" si="115"/>
        <v>4</v>
      </c>
      <c r="K1787" t="s">
        <v>6698</v>
      </c>
      <c r="L1787" t="s">
        <v>6694</v>
      </c>
      <c r="M1787" t="s">
        <v>6700</v>
      </c>
      <c r="N1787" t="s">
        <v>6706</v>
      </c>
      <c r="O1787" t="s">
        <v>6694</v>
      </c>
      <c r="P1787" t="s">
        <v>6694</v>
      </c>
      <c r="W1787" t="s">
        <v>6720</v>
      </c>
    </row>
    <row r="1788" spans="1:23" ht="15.6" x14ac:dyDescent="0.4">
      <c r="A1788" s="2" t="s">
        <v>5438</v>
      </c>
      <c r="B1788" s="5" t="s">
        <v>8251</v>
      </c>
      <c r="C1788" s="7" t="s">
        <v>12556</v>
      </c>
      <c r="D1788" s="8">
        <f t="shared" si="112"/>
        <v>0</v>
      </c>
      <c r="E1788" s="7" t="s">
        <v>12557</v>
      </c>
      <c r="F1788" s="7">
        <f t="shared" si="113"/>
        <v>0</v>
      </c>
      <c r="G1788" s="7" t="s">
        <v>12558</v>
      </c>
      <c r="H1788" s="7">
        <f t="shared" si="114"/>
        <v>0</v>
      </c>
      <c r="I1788" s="7" t="str" cm="1">
        <f t="array" ref="I1788">IFERROR(_xlfn.IFS(M1788="נח",1,M1788="נע ונח",1,M1788="שני שווא נח",2,M1788="שני שוואים בסוף מילה",2,M1788="שני שוואים ברצף",1),"0")</f>
        <v>0</v>
      </c>
      <c r="J1788" s="9">
        <f t="shared" si="115"/>
        <v>3</v>
      </c>
      <c r="K1788" t="s">
        <v>6698</v>
      </c>
      <c r="L1788" t="s">
        <v>6694</v>
      </c>
      <c r="M1788" t="s">
        <v>6700</v>
      </c>
      <c r="P1788" t="s">
        <v>6694</v>
      </c>
      <c r="W1788" t="s">
        <v>6720</v>
      </c>
    </row>
    <row r="1789" spans="1:23" ht="15.6" x14ac:dyDescent="0.4">
      <c r="A1789" s="2" t="s">
        <v>317</v>
      </c>
      <c r="B1789" s="5" t="s">
        <v>8227</v>
      </c>
      <c r="C1789" s="7" t="s">
        <v>12556</v>
      </c>
      <c r="D1789" s="8">
        <f t="shared" si="112"/>
        <v>0</v>
      </c>
      <c r="E1789" s="7" t="s">
        <v>12557</v>
      </c>
      <c r="F1789" s="7">
        <f t="shared" si="113"/>
        <v>0</v>
      </c>
      <c r="G1789" s="7" t="s">
        <v>12558</v>
      </c>
      <c r="H1789" s="7">
        <f t="shared" si="114"/>
        <v>0</v>
      </c>
      <c r="I1789" s="7" t="str" cm="1">
        <f t="array" ref="I1789">IFERROR(_xlfn.IFS(M1789="נח",1,M1789="נע ונח",1,M1789="שני שווא נח",2,M1789="שני שוואים בסוף מילה",2,M1789="שני שוואים ברצף",1),"0")</f>
        <v>0</v>
      </c>
      <c r="J1789" s="9">
        <f t="shared" si="115"/>
        <v>2</v>
      </c>
      <c r="K1789" t="s">
        <v>6698</v>
      </c>
      <c r="L1789" t="s">
        <v>6694</v>
      </c>
      <c r="M1789" t="s">
        <v>6700</v>
      </c>
      <c r="P1789" t="s">
        <v>6694</v>
      </c>
      <c r="W1789" t="s">
        <v>6720</v>
      </c>
    </row>
    <row r="1790" spans="1:23" ht="15.6" x14ac:dyDescent="0.4">
      <c r="A1790" s="2" t="s">
        <v>1329</v>
      </c>
      <c r="B1790" s="5" t="s">
        <v>8252</v>
      </c>
      <c r="C1790" s="7" t="s">
        <v>12556</v>
      </c>
      <c r="D1790" s="8">
        <f t="shared" si="112"/>
        <v>0</v>
      </c>
      <c r="E1790" s="7" t="s">
        <v>12557</v>
      </c>
      <c r="F1790" s="7">
        <f t="shared" si="113"/>
        <v>0</v>
      </c>
      <c r="G1790" s="7" t="s">
        <v>12558</v>
      </c>
      <c r="H1790" s="7">
        <f t="shared" si="114"/>
        <v>0</v>
      </c>
      <c r="I1790" s="7" cm="1">
        <f t="array" ref="I1790">IFERROR(_xlfn.IFS(M1790="נח",1,M1790="נע ונח",1,M1790="שני שווא נח",2,M1790="שני שוואים בסוף מילה",2,M1790="שני שוואים ברצף",1),"0")</f>
        <v>1</v>
      </c>
      <c r="J1790" s="9">
        <f t="shared" si="115"/>
        <v>4</v>
      </c>
      <c r="K1790" t="s">
        <v>6697</v>
      </c>
      <c r="L1790" t="s">
        <v>6694</v>
      </c>
      <c r="M1790" t="s">
        <v>6701</v>
      </c>
      <c r="O1790" t="s">
        <v>6694</v>
      </c>
      <c r="P1790" t="s">
        <v>6694</v>
      </c>
      <c r="W1790" t="s">
        <v>6720</v>
      </c>
    </row>
    <row r="1791" spans="1:23" ht="15.6" x14ac:dyDescent="0.4">
      <c r="A1791" s="2" t="s">
        <v>5290</v>
      </c>
      <c r="B1791" s="5" t="s">
        <v>8253</v>
      </c>
      <c r="C1791" s="7" t="s">
        <v>12556</v>
      </c>
      <c r="D1791" s="8">
        <f t="shared" si="112"/>
        <v>0</v>
      </c>
      <c r="E1791" s="7" t="s">
        <v>12557</v>
      </c>
      <c r="F1791" s="7">
        <f t="shared" si="113"/>
        <v>0</v>
      </c>
      <c r="G1791" s="7" t="s">
        <v>12558</v>
      </c>
      <c r="H1791" s="7">
        <f t="shared" si="114"/>
        <v>0</v>
      </c>
      <c r="I1791" s="7" cm="1">
        <f t="array" ref="I1791">IFERROR(_xlfn.IFS(M1791="נח",1,M1791="נע ונח",1,M1791="שני שווא נח",2,M1791="שני שוואים בסוף מילה",2,M1791="שני שוואים ברצף",1),"0")</f>
        <v>1</v>
      </c>
      <c r="J1791" s="9">
        <f t="shared" si="115"/>
        <v>4</v>
      </c>
      <c r="K1791" t="s">
        <v>6697</v>
      </c>
      <c r="L1791" t="s">
        <v>6694</v>
      </c>
      <c r="M1791" t="s">
        <v>6701</v>
      </c>
      <c r="O1791" t="s">
        <v>6694</v>
      </c>
      <c r="P1791" t="s">
        <v>6694</v>
      </c>
      <c r="S1791" t="s">
        <v>6694</v>
      </c>
      <c r="W1791" t="s">
        <v>6720</v>
      </c>
    </row>
    <row r="1792" spans="1:23" ht="15.6" x14ac:dyDescent="0.4">
      <c r="A1792" s="2" t="s">
        <v>5081</v>
      </c>
      <c r="B1792" s="5" t="s">
        <v>8254</v>
      </c>
      <c r="C1792" s="7" t="s">
        <v>12556</v>
      </c>
      <c r="D1792" s="8">
        <f t="shared" si="112"/>
        <v>1</v>
      </c>
      <c r="E1792" s="7" t="s">
        <v>12557</v>
      </c>
      <c r="F1792" s="7">
        <f t="shared" si="113"/>
        <v>0</v>
      </c>
      <c r="G1792" s="7" t="s">
        <v>12558</v>
      </c>
      <c r="H1792" s="7">
        <f t="shared" si="114"/>
        <v>0</v>
      </c>
      <c r="I1792" s="7" cm="1">
        <f t="array" ref="I1792">IFERROR(_xlfn.IFS(M1792="נח",1,M1792="נע ונח",1,M1792="שני שווא נח",2,M1792="שני שוואים בסוף מילה",2,M1792="שני שוואים ברצף",1),"0")</f>
        <v>1</v>
      </c>
      <c r="J1792" s="9">
        <f t="shared" si="115"/>
        <v>3</v>
      </c>
      <c r="K1792" t="s">
        <v>6698</v>
      </c>
      <c r="L1792" t="s">
        <v>6694</v>
      </c>
      <c r="M1792" t="s">
        <v>6701</v>
      </c>
      <c r="P1792" t="s">
        <v>6694</v>
      </c>
      <c r="Q1792" t="s">
        <v>6694</v>
      </c>
      <c r="W1792" t="s">
        <v>6720</v>
      </c>
    </row>
    <row r="1793" spans="1:23" ht="15.6" x14ac:dyDescent="0.4">
      <c r="A1793" s="2" t="s">
        <v>4541</v>
      </c>
      <c r="B1793" s="5" t="s">
        <v>8255</v>
      </c>
      <c r="C1793" s="7" t="s">
        <v>12556</v>
      </c>
      <c r="D1793" s="8">
        <f t="shared" si="112"/>
        <v>0</v>
      </c>
      <c r="E1793" s="7" t="s">
        <v>12557</v>
      </c>
      <c r="F1793" s="7">
        <f t="shared" si="113"/>
        <v>0</v>
      </c>
      <c r="G1793" s="7" t="s">
        <v>12558</v>
      </c>
      <c r="H1793" s="7">
        <f t="shared" si="114"/>
        <v>0</v>
      </c>
      <c r="I1793" s="7" t="str" cm="1">
        <f t="array" ref="I1793">IFERROR(_xlfn.IFS(M1793="נח",1,M1793="נע ונח",1,M1793="שני שווא נח",2,M1793="שני שוואים בסוף מילה",2,M1793="שני שוואים ברצף",1),"0")</f>
        <v>0</v>
      </c>
      <c r="J1793" s="9">
        <f t="shared" si="115"/>
        <v>2</v>
      </c>
      <c r="K1793" t="s">
        <v>6698</v>
      </c>
      <c r="L1793" t="s">
        <v>6694</v>
      </c>
      <c r="M1793" t="s">
        <v>6700</v>
      </c>
      <c r="P1793" t="s">
        <v>6694</v>
      </c>
      <c r="W1793" t="s">
        <v>6720</v>
      </c>
    </row>
    <row r="1794" spans="1:23" ht="15.6" x14ac:dyDescent="0.4">
      <c r="A1794" s="2" t="s">
        <v>5043</v>
      </c>
      <c r="B1794" s="5" t="s">
        <v>8256</v>
      </c>
      <c r="C1794" s="7" t="s">
        <v>12556</v>
      </c>
      <c r="D1794" s="8">
        <f t="shared" si="112"/>
        <v>0</v>
      </c>
      <c r="E1794" s="7" t="s">
        <v>12557</v>
      </c>
      <c r="F1794" s="7">
        <f t="shared" si="113"/>
        <v>1</v>
      </c>
      <c r="G1794" s="7" t="s">
        <v>12558</v>
      </c>
      <c r="H1794" s="7">
        <f t="shared" si="114"/>
        <v>0</v>
      </c>
      <c r="I1794" s="7" t="str" cm="1">
        <f t="array" ref="I1794">IFERROR(_xlfn.IFS(M1794="נח",1,M1794="נע ונח",1,M1794="שני שווא נח",2,M1794="שני שוואים בסוף מילה",2,M1794="שני שוואים ברצף",1),"0")</f>
        <v>0</v>
      </c>
      <c r="J1794" s="9">
        <f t="shared" si="115"/>
        <v>4</v>
      </c>
      <c r="K1794" t="s">
        <v>6697</v>
      </c>
      <c r="L1794" t="s">
        <v>6694</v>
      </c>
      <c r="M1794" t="s">
        <v>6700</v>
      </c>
      <c r="O1794" t="s">
        <v>6694</v>
      </c>
      <c r="P1794" t="s">
        <v>6694</v>
      </c>
      <c r="S1794" t="s">
        <v>6694</v>
      </c>
      <c r="W1794" t="s">
        <v>6720</v>
      </c>
    </row>
    <row r="1795" spans="1:23" ht="15.6" x14ac:dyDescent="0.4">
      <c r="A1795" s="2" t="s">
        <v>2355</v>
      </c>
      <c r="B1795" s="5" t="s">
        <v>8257</v>
      </c>
      <c r="C1795" s="7" t="s">
        <v>12556</v>
      </c>
      <c r="D1795" s="8">
        <f t="shared" ref="D1795:D1858" si="116">(LEN(B1795)-LEN(SUBSTITUTE(B1795,C1795,"")))</f>
        <v>0</v>
      </c>
      <c r="E1795" s="7" t="s">
        <v>12557</v>
      </c>
      <c r="F1795" s="7">
        <f t="shared" ref="F1795:F1858" si="117">(LEN(A1795)-LEN(SUBSTITUTE(A1795,E1795,"")))</f>
        <v>1</v>
      </c>
      <c r="G1795" s="7" t="s">
        <v>12558</v>
      </c>
      <c r="H1795" s="7">
        <f t="shared" ref="H1795:H1858" si="118">(LEN(A1795)-LEN(SUBSTITUTE(A1795,G1795,"")))/2</f>
        <v>1</v>
      </c>
      <c r="I1795" s="7" cm="1">
        <f t="array" ref="I1795">IFERROR(_xlfn.IFS(M1795="נח",1,M1795="נע ונח",1,M1795="שני שווא נח",2,M1795="שני שוואים בסוף מילה",2,M1795="שני שוואים ברצף",1),"0")</f>
        <v>1</v>
      </c>
      <c r="J1795" s="9">
        <f t="shared" ref="J1795:J1858" si="119">LEN(A1795)-(LEN(B1795))-D1795-F1795+H1795-I1795</f>
        <v>4</v>
      </c>
      <c r="K1795" t="s">
        <v>6697</v>
      </c>
      <c r="L1795" t="s">
        <v>6694</v>
      </c>
      <c r="M1795" t="s">
        <v>6701</v>
      </c>
      <c r="P1795" t="s">
        <v>6694</v>
      </c>
      <c r="Q1795" t="s">
        <v>6694</v>
      </c>
      <c r="U1795" t="s">
        <v>6694</v>
      </c>
      <c r="W1795" t="s">
        <v>6720</v>
      </c>
    </row>
    <row r="1796" spans="1:23" ht="15.6" x14ac:dyDescent="0.4">
      <c r="A1796" s="2" t="s">
        <v>4947</v>
      </c>
      <c r="B1796" s="5" t="s">
        <v>8258</v>
      </c>
      <c r="C1796" s="7" t="s">
        <v>12556</v>
      </c>
      <c r="D1796" s="8">
        <f t="shared" si="116"/>
        <v>0</v>
      </c>
      <c r="E1796" s="7" t="s">
        <v>12557</v>
      </c>
      <c r="F1796" s="7">
        <f t="shared" si="117"/>
        <v>1</v>
      </c>
      <c r="G1796" s="7" t="s">
        <v>12558</v>
      </c>
      <c r="H1796" s="7">
        <f t="shared" si="118"/>
        <v>1</v>
      </c>
      <c r="I1796" s="7" cm="1">
        <f t="array" ref="I1796">IFERROR(_xlfn.IFS(M1796="נח",1,M1796="נע ונח",1,M1796="שני שווא נח",2,M1796="שני שוואים בסוף מילה",2,M1796="שני שוואים ברצף",1),"0")</f>
        <v>1</v>
      </c>
      <c r="J1796" s="9">
        <f t="shared" si="119"/>
        <v>4</v>
      </c>
      <c r="K1796" t="s">
        <v>6697</v>
      </c>
      <c r="L1796" t="s">
        <v>6694</v>
      </c>
      <c r="M1796" t="s">
        <v>6701</v>
      </c>
      <c r="P1796" t="s">
        <v>6694</v>
      </c>
      <c r="Q1796" t="s">
        <v>6694</v>
      </c>
      <c r="U1796" t="s">
        <v>6694</v>
      </c>
      <c r="W1796" t="s">
        <v>6720</v>
      </c>
    </row>
    <row r="1797" spans="1:23" ht="15.6" x14ac:dyDescent="0.4">
      <c r="A1797" s="2" t="s">
        <v>4586</v>
      </c>
      <c r="B1797" s="5" t="s">
        <v>8259</v>
      </c>
      <c r="C1797" s="7" t="s">
        <v>12556</v>
      </c>
      <c r="D1797" s="8">
        <f t="shared" si="116"/>
        <v>1</v>
      </c>
      <c r="E1797" s="7" t="s">
        <v>12557</v>
      </c>
      <c r="F1797" s="7">
        <f t="shared" si="117"/>
        <v>0</v>
      </c>
      <c r="G1797" s="7" t="s">
        <v>12558</v>
      </c>
      <c r="H1797" s="7">
        <f t="shared" si="118"/>
        <v>0</v>
      </c>
      <c r="I1797" s="7" cm="1">
        <f t="array" ref="I1797">IFERROR(_xlfn.IFS(M1797="נח",1,M1797="נע ונח",1,M1797="שני שווא נח",2,M1797="שני שוואים בסוף מילה",2,M1797="שני שוואים ברצף",1),"0")</f>
        <v>1</v>
      </c>
      <c r="J1797" s="9">
        <f t="shared" si="119"/>
        <v>4</v>
      </c>
      <c r="K1797" t="s">
        <v>6698</v>
      </c>
      <c r="L1797" t="s">
        <v>6694</v>
      </c>
      <c r="M1797" t="s">
        <v>6701</v>
      </c>
      <c r="P1797" t="s">
        <v>6694</v>
      </c>
      <c r="V1797" t="s">
        <v>6694</v>
      </c>
      <c r="W1797" t="s">
        <v>6720</v>
      </c>
    </row>
    <row r="1798" spans="1:23" ht="15.6" x14ac:dyDescent="0.4">
      <c r="A1798" s="2" t="s">
        <v>6</v>
      </c>
      <c r="B1798" s="5" t="s">
        <v>8260</v>
      </c>
      <c r="C1798" s="7" t="s">
        <v>12556</v>
      </c>
      <c r="D1798" s="8">
        <f t="shared" si="116"/>
        <v>0</v>
      </c>
      <c r="E1798" s="7" t="s">
        <v>12557</v>
      </c>
      <c r="F1798" s="7">
        <f t="shared" si="117"/>
        <v>1</v>
      </c>
      <c r="G1798" s="7" t="s">
        <v>12558</v>
      </c>
      <c r="H1798" s="7">
        <f t="shared" si="118"/>
        <v>0</v>
      </c>
      <c r="I1798" s="7" t="str" cm="1">
        <f t="array" ref="I1798">IFERROR(_xlfn.IFS(M1798="נח",1,M1798="נע ונח",1,M1798="שני שווא נח",2,M1798="שני שוואים בסוף מילה",2,M1798="שני שוואים ברצף",1),"0")</f>
        <v>0</v>
      </c>
      <c r="J1798" s="9">
        <f t="shared" si="119"/>
        <v>3</v>
      </c>
      <c r="K1798" t="s">
        <v>6697</v>
      </c>
      <c r="L1798" t="s">
        <v>6694</v>
      </c>
      <c r="M1798" t="s">
        <v>6700</v>
      </c>
      <c r="O1798" t="s">
        <v>6694</v>
      </c>
      <c r="P1798" t="s">
        <v>6694</v>
      </c>
      <c r="W1798" t="s">
        <v>6720</v>
      </c>
    </row>
    <row r="1799" spans="1:23" ht="15.6" x14ac:dyDescent="0.4">
      <c r="A1799" s="2" t="s">
        <v>2161</v>
      </c>
      <c r="B1799" s="5" t="s">
        <v>8261</v>
      </c>
      <c r="C1799" s="7" t="s">
        <v>12556</v>
      </c>
      <c r="D1799" s="8">
        <f t="shared" si="116"/>
        <v>0</v>
      </c>
      <c r="E1799" s="7" t="s">
        <v>12557</v>
      </c>
      <c r="F1799" s="7">
        <f t="shared" si="117"/>
        <v>0</v>
      </c>
      <c r="G1799" s="7" t="s">
        <v>12558</v>
      </c>
      <c r="H1799" s="7">
        <f t="shared" si="118"/>
        <v>0</v>
      </c>
      <c r="I1799" s="7" t="str" cm="1">
        <f t="array" ref="I1799">IFERROR(_xlfn.IFS(M1799="נח",1,M1799="נע ונח",1,M1799="שני שווא נח",2,M1799="שני שוואים בסוף מילה",2,M1799="שני שוואים ברצף",1),"0")</f>
        <v>0</v>
      </c>
      <c r="J1799" s="9">
        <f t="shared" si="119"/>
        <v>3</v>
      </c>
      <c r="K1799" t="s">
        <v>6698</v>
      </c>
      <c r="L1799" t="s">
        <v>6694</v>
      </c>
      <c r="M1799" t="s">
        <v>6700</v>
      </c>
      <c r="O1799" t="s">
        <v>6694</v>
      </c>
      <c r="P1799" t="s">
        <v>6694</v>
      </c>
      <c r="W1799" t="s">
        <v>6720</v>
      </c>
    </row>
    <row r="1800" spans="1:23" ht="15.6" x14ac:dyDescent="0.4">
      <c r="A1800" s="2" t="s">
        <v>3842</v>
      </c>
      <c r="B1800" s="5" t="s">
        <v>8262</v>
      </c>
      <c r="C1800" s="7" t="s">
        <v>12556</v>
      </c>
      <c r="D1800" s="8">
        <f t="shared" si="116"/>
        <v>0</v>
      </c>
      <c r="E1800" s="7" t="s">
        <v>12557</v>
      </c>
      <c r="F1800" s="7">
        <f t="shared" si="117"/>
        <v>0</v>
      </c>
      <c r="G1800" s="7" t="s">
        <v>12558</v>
      </c>
      <c r="H1800" s="7">
        <f t="shared" si="118"/>
        <v>0</v>
      </c>
      <c r="I1800" s="7" t="str" cm="1">
        <f t="array" ref="I1800">IFERROR(_xlfn.IFS(M1800="נח",1,M1800="נע ונח",1,M1800="שני שווא נח",2,M1800="שני שוואים בסוף מילה",2,M1800="שני שוואים ברצף",1),"0")</f>
        <v>0</v>
      </c>
      <c r="J1800" s="9">
        <f t="shared" si="119"/>
        <v>3</v>
      </c>
      <c r="K1800" t="s">
        <v>6698</v>
      </c>
      <c r="L1800" t="s">
        <v>6694</v>
      </c>
      <c r="M1800" t="s">
        <v>6700</v>
      </c>
      <c r="N1800" t="s">
        <v>6706</v>
      </c>
      <c r="O1800" t="s">
        <v>6694</v>
      </c>
      <c r="W1800" t="s">
        <v>6720</v>
      </c>
    </row>
    <row r="1801" spans="1:23" ht="15.6" x14ac:dyDescent="0.4">
      <c r="A1801" s="2" t="s">
        <v>6427</v>
      </c>
      <c r="B1801" s="5" t="s">
        <v>8263</v>
      </c>
      <c r="C1801" s="7" t="s">
        <v>12556</v>
      </c>
      <c r="D1801" s="8">
        <f t="shared" si="116"/>
        <v>0</v>
      </c>
      <c r="E1801" s="7" t="s">
        <v>12557</v>
      </c>
      <c r="F1801" s="7">
        <f t="shared" si="117"/>
        <v>0</v>
      </c>
      <c r="G1801" s="7" t="s">
        <v>12558</v>
      </c>
      <c r="H1801" s="7">
        <f t="shared" si="118"/>
        <v>0</v>
      </c>
      <c r="I1801" s="7" t="str" cm="1">
        <f t="array" ref="I1801">IFERROR(_xlfn.IFS(M1801="נח",1,M1801="נע ונח",1,M1801="שני שווא נח",2,M1801="שני שוואים בסוף מילה",2,M1801="שני שוואים ברצף",1),"0")</f>
        <v>0</v>
      </c>
      <c r="J1801" s="9">
        <f t="shared" si="119"/>
        <v>4</v>
      </c>
      <c r="K1801" t="s">
        <v>6697</v>
      </c>
      <c r="L1801" t="s">
        <v>6694</v>
      </c>
      <c r="M1801" t="s">
        <v>6700</v>
      </c>
      <c r="O1801" t="s">
        <v>6694</v>
      </c>
      <c r="S1801" t="s">
        <v>6694</v>
      </c>
      <c r="W1801" t="s">
        <v>6720</v>
      </c>
    </row>
    <row r="1802" spans="1:23" ht="15.6" x14ac:dyDescent="0.4">
      <c r="A1802" s="2" t="s">
        <v>4018</v>
      </c>
      <c r="B1802" s="5" t="s">
        <v>8264</v>
      </c>
      <c r="C1802" s="7" t="s">
        <v>12556</v>
      </c>
      <c r="D1802" s="8">
        <f t="shared" si="116"/>
        <v>0</v>
      </c>
      <c r="E1802" s="7" t="s">
        <v>12557</v>
      </c>
      <c r="F1802" s="7">
        <f t="shared" si="117"/>
        <v>0</v>
      </c>
      <c r="G1802" s="7" t="s">
        <v>12558</v>
      </c>
      <c r="H1802" s="7">
        <f t="shared" si="118"/>
        <v>0</v>
      </c>
      <c r="I1802" s="7" t="str" cm="1">
        <f t="array" ref="I1802">IFERROR(_xlfn.IFS(M1802="נח",1,M1802="נע ונח",1,M1802="שני שווא נח",2,M1802="שני שוואים בסוף מילה",2,M1802="שני שוואים ברצף",1),"0")</f>
        <v>0</v>
      </c>
      <c r="J1802" s="9">
        <f t="shared" si="119"/>
        <v>3</v>
      </c>
      <c r="K1802" t="s">
        <v>6698</v>
      </c>
      <c r="L1802" t="s">
        <v>6694</v>
      </c>
      <c r="M1802" t="s">
        <v>6700</v>
      </c>
      <c r="O1802" t="s">
        <v>6694</v>
      </c>
      <c r="R1802" t="s">
        <v>6694</v>
      </c>
      <c r="W1802" t="s">
        <v>6720</v>
      </c>
    </row>
    <row r="1803" spans="1:23" ht="15.6" x14ac:dyDescent="0.4">
      <c r="A1803" s="2" t="s">
        <v>2775</v>
      </c>
      <c r="B1803" s="5" t="s">
        <v>8265</v>
      </c>
      <c r="C1803" s="7" t="s">
        <v>12556</v>
      </c>
      <c r="D1803" s="8">
        <f t="shared" si="116"/>
        <v>0</v>
      </c>
      <c r="E1803" s="7" t="s">
        <v>12557</v>
      </c>
      <c r="F1803" s="7">
        <f t="shared" si="117"/>
        <v>0</v>
      </c>
      <c r="G1803" s="7" t="s">
        <v>12558</v>
      </c>
      <c r="H1803" s="7">
        <f t="shared" si="118"/>
        <v>0</v>
      </c>
      <c r="I1803" s="7" cm="1">
        <f t="array" ref="I1803">IFERROR(_xlfn.IFS(M1803="נח",1,M1803="נע ונח",1,M1803="שני שווא נח",2,M1803="שני שוואים בסוף מילה",2,M1803="שני שוואים ברצף",1),"0")</f>
        <v>1</v>
      </c>
      <c r="J1803" s="9">
        <f t="shared" si="119"/>
        <v>3</v>
      </c>
      <c r="K1803" t="s">
        <v>6698</v>
      </c>
      <c r="L1803" t="s">
        <v>6694</v>
      </c>
      <c r="M1803" t="s">
        <v>6701</v>
      </c>
      <c r="N1803" t="s">
        <v>6706</v>
      </c>
      <c r="O1803" t="s">
        <v>6694</v>
      </c>
      <c r="W1803" t="s">
        <v>6720</v>
      </c>
    </row>
    <row r="1804" spans="1:23" ht="15.6" x14ac:dyDescent="0.4">
      <c r="A1804" s="2" t="s">
        <v>5408</v>
      </c>
      <c r="B1804" s="5" t="s">
        <v>8266</v>
      </c>
      <c r="C1804" s="7" t="s">
        <v>12556</v>
      </c>
      <c r="D1804" s="8">
        <f t="shared" si="116"/>
        <v>0</v>
      </c>
      <c r="E1804" s="7" t="s">
        <v>12557</v>
      </c>
      <c r="F1804" s="7">
        <f t="shared" si="117"/>
        <v>1</v>
      </c>
      <c r="G1804" s="7" t="s">
        <v>12558</v>
      </c>
      <c r="H1804" s="7">
        <f t="shared" si="118"/>
        <v>1</v>
      </c>
      <c r="I1804" s="7" cm="1">
        <f t="array" ref="I1804">IFERROR(_xlfn.IFS(M1804="נח",1,M1804="נע ונח",1,M1804="שני שווא נח",2,M1804="שני שוואים בסוף מילה",2,M1804="שני שוואים ברצף",1),"0")</f>
        <v>1</v>
      </c>
      <c r="J1804" s="9">
        <f t="shared" si="119"/>
        <v>3</v>
      </c>
      <c r="K1804" t="s">
        <v>6697</v>
      </c>
      <c r="L1804" t="s">
        <v>6694</v>
      </c>
      <c r="M1804" t="s">
        <v>6701</v>
      </c>
      <c r="N1804" t="s">
        <v>6706</v>
      </c>
      <c r="O1804" t="s">
        <v>6694</v>
      </c>
      <c r="U1804" t="s">
        <v>6694</v>
      </c>
      <c r="W1804" t="s">
        <v>6720</v>
      </c>
    </row>
    <row r="1805" spans="1:23" ht="15.6" x14ac:dyDescent="0.4">
      <c r="A1805" s="2" t="s">
        <v>6043</v>
      </c>
      <c r="B1805" s="5" t="s">
        <v>8267</v>
      </c>
      <c r="C1805" s="7" t="s">
        <v>12556</v>
      </c>
      <c r="D1805" s="8">
        <f t="shared" si="116"/>
        <v>0</v>
      </c>
      <c r="E1805" s="7" t="s">
        <v>12557</v>
      </c>
      <c r="F1805" s="7">
        <f t="shared" si="117"/>
        <v>0</v>
      </c>
      <c r="G1805" s="7" t="s">
        <v>12558</v>
      </c>
      <c r="H1805" s="7">
        <f t="shared" si="118"/>
        <v>0</v>
      </c>
      <c r="I1805" s="7" t="str" cm="1">
        <f t="array" ref="I1805">IFERROR(_xlfn.IFS(M1805="נח",1,M1805="נע ונח",1,M1805="שני שווא נח",2,M1805="שני שוואים בסוף מילה",2,M1805="שני שוואים ברצף",1),"0")</f>
        <v>0</v>
      </c>
      <c r="J1805" s="9">
        <f t="shared" si="119"/>
        <v>3</v>
      </c>
      <c r="K1805" t="s">
        <v>6698</v>
      </c>
      <c r="L1805" t="s">
        <v>6694</v>
      </c>
      <c r="M1805" t="s">
        <v>6700</v>
      </c>
      <c r="O1805" t="s">
        <v>6694</v>
      </c>
      <c r="Q1805" t="s">
        <v>6694</v>
      </c>
      <c r="W1805" t="s">
        <v>6720</v>
      </c>
    </row>
    <row r="1806" spans="1:23" ht="15.6" x14ac:dyDescent="0.4">
      <c r="A1806" s="2" t="s">
        <v>5040</v>
      </c>
      <c r="B1806" s="5" t="s">
        <v>8268</v>
      </c>
      <c r="C1806" s="7" t="s">
        <v>12556</v>
      </c>
      <c r="D1806" s="8">
        <f t="shared" si="116"/>
        <v>0</v>
      </c>
      <c r="E1806" s="7" t="s">
        <v>12557</v>
      </c>
      <c r="F1806" s="7">
        <f t="shared" si="117"/>
        <v>0</v>
      </c>
      <c r="G1806" s="7" t="s">
        <v>12558</v>
      </c>
      <c r="H1806" s="7">
        <f t="shared" si="118"/>
        <v>0</v>
      </c>
      <c r="I1806" s="7" t="str" cm="1">
        <f t="array" ref="I1806">IFERROR(_xlfn.IFS(M1806="נח",1,M1806="נע ונח",1,M1806="שני שווא נח",2,M1806="שני שוואים בסוף מילה",2,M1806="שני שוואים ברצף",1),"0")</f>
        <v>0</v>
      </c>
      <c r="J1806" s="9">
        <f t="shared" si="119"/>
        <v>3</v>
      </c>
      <c r="K1806" t="s">
        <v>6697</v>
      </c>
      <c r="L1806" t="s">
        <v>6694</v>
      </c>
      <c r="M1806" t="s">
        <v>6700</v>
      </c>
      <c r="O1806" t="s">
        <v>6694</v>
      </c>
      <c r="W1806" t="s">
        <v>6720</v>
      </c>
    </row>
    <row r="1807" spans="1:23" ht="15.6" x14ac:dyDescent="0.4">
      <c r="A1807" s="2" t="s">
        <v>17</v>
      </c>
      <c r="B1807" s="5" t="s">
        <v>8269</v>
      </c>
      <c r="C1807" s="7" t="s">
        <v>12556</v>
      </c>
      <c r="D1807" s="8">
        <f t="shared" si="116"/>
        <v>0</v>
      </c>
      <c r="E1807" s="7" t="s">
        <v>12557</v>
      </c>
      <c r="F1807" s="7">
        <f t="shared" si="117"/>
        <v>0</v>
      </c>
      <c r="G1807" s="7" t="s">
        <v>12558</v>
      </c>
      <c r="H1807" s="7">
        <f t="shared" si="118"/>
        <v>0</v>
      </c>
      <c r="I1807" s="7" t="str" cm="1">
        <f t="array" ref="I1807">IFERROR(_xlfn.IFS(M1807="נח",1,M1807="נע ונח",1,M1807="שני שווא נח",2,M1807="שני שוואים בסוף מילה",2,M1807="שני שוואים ברצף",1),"0")</f>
        <v>0</v>
      </c>
      <c r="J1807" s="9">
        <f t="shared" si="119"/>
        <v>4</v>
      </c>
      <c r="K1807" t="s">
        <v>6697</v>
      </c>
      <c r="L1807" t="s">
        <v>6694</v>
      </c>
      <c r="M1807" t="s">
        <v>6700</v>
      </c>
      <c r="O1807" t="s">
        <v>6694</v>
      </c>
      <c r="S1807" t="s">
        <v>6694</v>
      </c>
      <c r="V1807" t="s">
        <v>6694</v>
      </c>
      <c r="W1807" t="s">
        <v>6720</v>
      </c>
    </row>
    <row r="1808" spans="1:23" ht="15.6" x14ac:dyDescent="0.4">
      <c r="A1808" s="2" t="s">
        <v>4858</v>
      </c>
      <c r="B1808" s="5" t="s">
        <v>8270</v>
      </c>
      <c r="C1808" s="7" t="s">
        <v>12556</v>
      </c>
      <c r="D1808" s="8">
        <f t="shared" si="116"/>
        <v>0</v>
      </c>
      <c r="E1808" s="7" t="s">
        <v>12557</v>
      </c>
      <c r="F1808" s="7">
        <f t="shared" si="117"/>
        <v>0</v>
      </c>
      <c r="G1808" s="7" t="s">
        <v>12558</v>
      </c>
      <c r="H1808" s="7">
        <f t="shared" si="118"/>
        <v>0</v>
      </c>
      <c r="I1808" s="7" t="str" cm="1">
        <f t="array" ref="I1808">IFERROR(_xlfn.IFS(M1808="נח",1,M1808="נע ונח",1,M1808="שני שווא נח",2,M1808="שני שוואים בסוף מילה",2,M1808="שני שוואים ברצף",1),"0")</f>
        <v>0</v>
      </c>
      <c r="J1808" s="9">
        <f t="shared" si="119"/>
        <v>4</v>
      </c>
      <c r="K1808" t="s">
        <v>6697</v>
      </c>
      <c r="L1808" t="s">
        <v>6694</v>
      </c>
      <c r="M1808" t="s">
        <v>6700</v>
      </c>
      <c r="O1808" t="s">
        <v>6694</v>
      </c>
      <c r="S1808" t="s">
        <v>6694</v>
      </c>
      <c r="W1808" t="s">
        <v>6720</v>
      </c>
    </row>
    <row r="1809" spans="1:23" ht="15.6" x14ac:dyDescent="0.4">
      <c r="A1809" s="2" t="s">
        <v>4814</v>
      </c>
      <c r="B1809" s="5" t="s">
        <v>8271</v>
      </c>
      <c r="C1809" s="7" t="s">
        <v>12556</v>
      </c>
      <c r="D1809" s="8">
        <f t="shared" si="116"/>
        <v>0</v>
      </c>
      <c r="E1809" s="7" t="s">
        <v>12557</v>
      </c>
      <c r="F1809" s="7">
        <f t="shared" si="117"/>
        <v>1</v>
      </c>
      <c r="G1809" s="7" t="s">
        <v>12558</v>
      </c>
      <c r="H1809" s="7">
        <f t="shared" si="118"/>
        <v>1</v>
      </c>
      <c r="I1809" s="7" t="str" cm="1">
        <f t="array" ref="I1809">IFERROR(_xlfn.IFS(M1809="נח",1,M1809="נע ונח",1,M1809="שני שווא נח",2,M1809="שני שוואים בסוף מילה",2,M1809="שני שוואים ברצף",1),"0")</f>
        <v>0</v>
      </c>
      <c r="J1809" s="9">
        <f t="shared" si="119"/>
        <v>4</v>
      </c>
      <c r="K1809" t="s">
        <v>6698</v>
      </c>
      <c r="L1809" t="s">
        <v>6694</v>
      </c>
      <c r="M1809" t="s">
        <v>6700</v>
      </c>
      <c r="O1809" t="s">
        <v>6694</v>
      </c>
      <c r="U1809" t="s">
        <v>6694</v>
      </c>
      <c r="W1809" t="s">
        <v>6720</v>
      </c>
    </row>
    <row r="1810" spans="1:23" ht="15.6" x14ac:dyDescent="0.4">
      <c r="A1810" s="2" t="s">
        <v>294</v>
      </c>
      <c r="B1810" s="5" t="s">
        <v>8272</v>
      </c>
      <c r="C1810" s="7" t="s">
        <v>12556</v>
      </c>
      <c r="D1810" s="8">
        <f t="shared" si="116"/>
        <v>1</v>
      </c>
      <c r="E1810" s="7" t="s">
        <v>12557</v>
      </c>
      <c r="F1810" s="7">
        <f t="shared" si="117"/>
        <v>0</v>
      </c>
      <c r="G1810" s="7" t="s">
        <v>12558</v>
      </c>
      <c r="H1810" s="7">
        <f t="shared" si="118"/>
        <v>0</v>
      </c>
      <c r="I1810" s="7" t="str" cm="1">
        <f t="array" ref="I1810">IFERROR(_xlfn.IFS(M1810="נח",1,M1810="נע ונח",1,M1810="שני שווא נח",2,M1810="שני שוואים בסוף מילה",2,M1810="שני שוואים ברצף",1),"0")</f>
        <v>0</v>
      </c>
      <c r="J1810" s="9">
        <f t="shared" si="119"/>
        <v>4</v>
      </c>
      <c r="K1810" t="s">
        <v>6697</v>
      </c>
      <c r="L1810" t="s">
        <v>6694</v>
      </c>
      <c r="M1810" t="s">
        <v>6700</v>
      </c>
      <c r="O1810" t="s">
        <v>6694</v>
      </c>
      <c r="S1810" t="s">
        <v>6694</v>
      </c>
      <c r="W1810" t="s">
        <v>6720</v>
      </c>
    </row>
    <row r="1811" spans="1:23" ht="15.6" x14ac:dyDescent="0.4">
      <c r="A1811" s="2" t="s">
        <v>2459</v>
      </c>
      <c r="B1811" s="5" t="s">
        <v>8273</v>
      </c>
      <c r="C1811" s="7" t="s">
        <v>12556</v>
      </c>
      <c r="D1811" s="8">
        <f t="shared" si="116"/>
        <v>0</v>
      </c>
      <c r="E1811" s="7" t="s">
        <v>12557</v>
      </c>
      <c r="F1811" s="7">
        <f t="shared" si="117"/>
        <v>0</v>
      </c>
      <c r="G1811" s="7" t="s">
        <v>12558</v>
      </c>
      <c r="H1811" s="7">
        <f t="shared" si="118"/>
        <v>0</v>
      </c>
      <c r="I1811" s="7" t="str" cm="1">
        <f t="array" ref="I1811">IFERROR(_xlfn.IFS(M1811="נח",1,M1811="נע ונח",1,M1811="שני שווא נח",2,M1811="שני שוואים בסוף מילה",2,M1811="שני שוואים ברצף",1),"0")</f>
        <v>0</v>
      </c>
      <c r="J1811" s="9">
        <f t="shared" si="119"/>
        <v>3</v>
      </c>
      <c r="K1811" t="s">
        <v>6698</v>
      </c>
      <c r="L1811" t="s">
        <v>6694</v>
      </c>
      <c r="M1811" t="s">
        <v>6700</v>
      </c>
      <c r="Q1811" t="s">
        <v>6694</v>
      </c>
      <c r="V1811" t="s">
        <v>6694</v>
      </c>
      <c r="W1811" t="s">
        <v>6720</v>
      </c>
    </row>
    <row r="1812" spans="1:23" ht="15.6" x14ac:dyDescent="0.4">
      <c r="A1812" s="2" t="s">
        <v>2526</v>
      </c>
      <c r="B1812" s="5" t="s">
        <v>8274</v>
      </c>
      <c r="C1812" s="7" t="s">
        <v>12556</v>
      </c>
      <c r="D1812" s="8">
        <f t="shared" si="116"/>
        <v>0</v>
      </c>
      <c r="E1812" s="7" t="s">
        <v>12557</v>
      </c>
      <c r="F1812" s="7">
        <f t="shared" si="117"/>
        <v>0</v>
      </c>
      <c r="G1812" s="7" t="s">
        <v>12558</v>
      </c>
      <c r="H1812" s="7">
        <f t="shared" si="118"/>
        <v>0</v>
      </c>
      <c r="I1812" s="7" cm="1">
        <f t="array" ref="I1812">IFERROR(_xlfn.IFS(M1812="נח",1,M1812="נע ונח",1,M1812="שני שווא נח",2,M1812="שני שוואים בסוף מילה",2,M1812="שני שוואים ברצף",1),"0")</f>
        <v>1</v>
      </c>
      <c r="J1812" s="9">
        <f t="shared" si="119"/>
        <v>3</v>
      </c>
      <c r="K1812" t="s">
        <v>6698</v>
      </c>
      <c r="L1812" t="s">
        <v>6694</v>
      </c>
      <c r="M1812" t="s">
        <v>6701</v>
      </c>
      <c r="Q1812" t="s">
        <v>6694</v>
      </c>
      <c r="V1812" t="s">
        <v>6694</v>
      </c>
      <c r="W1812" t="s">
        <v>6720</v>
      </c>
    </row>
    <row r="1813" spans="1:23" ht="15.6" x14ac:dyDescent="0.4">
      <c r="A1813" s="2" t="s">
        <v>4796</v>
      </c>
      <c r="B1813" s="5" t="s">
        <v>8275</v>
      </c>
      <c r="C1813" s="7" t="s">
        <v>12556</v>
      </c>
      <c r="D1813" s="8">
        <f t="shared" si="116"/>
        <v>0</v>
      </c>
      <c r="E1813" s="7" t="s">
        <v>12557</v>
      </c>
      <c r="F1813" s="7">
        <f t="shared" si="117"/>
        <v>1</v>
      </c>
      <c r="G1813" s="7" t="s">
        <v>12558</v>
      </c>
      <c r="H1813" s="7">
        <f t="shared" si="118"/>
        <v>1</v>
      </c>
      <c r="I1813" s="7" cm="1">
        <f t="array" ref="I1813">IFERROR(_xlfn.IFS(M1813="נח",1,M1813="נע ונח",1,M1813="שני שווא נח",2,M1813="שני שוואים בסוף מילה",2,M1813="שני שוואים ברצף",1),"0")</f>
        <v>1</v>
      </c>
      <c r="J1813" s="9">
        <f t="shared" si="119"/>
        <v>4</v>
      </c>
      <c r="K1813" t="s">
        <v>6697</v>
      </c>
      <c r="L1813" t="s">
        <v>6694</v>
      </c>
      <c r="M1813" t="s">
        <v>6701</v>
      </c>
      <c r="Q1813" t="s">
        <v>6694</v>
      </c>
      <c r="U1813" t="s">
        <v>6694</v>
      </c>
      <c r="V1813" t="s">
        <v>6694</v>
      </c>
      <c r="W1813" t="s">
        <v>6720</v>
      </c>
    </row>
    <row r="1814" spans="1:23" ht="15.6" x14ac:dyDescent="0.4">
      <c r="A1814" s="2" t="s">
        <v>1844</v>
      </c>
      <c r="B1814" s="5" t="s">
        <v>8274</v>
      </c>
      <c r="C1814" s="7" t="s">
        <v>12556</v>
      </c>
      <c r="D1814" s="8">
        <f t="shared" si="116"/>
        <v>0</v>
      </c>
      <c r="E1814" s="7" t="s">
        <v>12557</v>
      </c>
      <c r="F1814" s="7">
        <f t="shared" si="117"/>
        <v>0</v>
      </c>
      <c r="G1814" s="7" t="s">
        <v>12558</v>
      </c>
      <c r="H1814" s="7">
        <f t="shared" si="118"/>
        <v>0</v>
      </c>
      <c r="I1814" s="7" cm="1">
        <f t="array" ref="I1814">IFERROR(_xlfn.IFS(M1814="נח",1,M1814="נע ונח",1,M1814="שני שווא נח",2,M1814="שני שוואים בסוף מילה",2,M1814="שני שוואים ברצף",1),"0")</f>
        <v>1</v>
      </c>
      <c r="J1814" s="9">
        <f t="shared" si="119"/>
        <v>3</v>
      </c>
      <c r="K1814" t="s">
        <v>6698</v>
      </c>
      <c r="L1814" t="s">
        <v>6694</v>
      </c>
      <c r="M1814" t="s">
        <v>6701</v>
      </c>
      <c r="P1814" t="s">
        <v>6694</v>
      </c>
      <c r="V1814" t="s">
        <v>6694</v>
      </c>
      <c r="W1814" t="s">
        <v>6720</v>
      </c>
    </row>
    <row r="1815" spans="1:23" ht="15.6" x14ac:dyDescent="0.4">
      <c r="A1815" s="2" t="s">
        <v>3096</v>
      </c>
      <c r="B1815" s="5" t="s">
        <v>8276</v>
      </c>
      <c r="C1815" s="7" t="s">
        <v>12556</v>
      </c>
      <c r="D1815" s="8">
        <f t="shared" si="116"/>
        <v>0</v>
      </c>
      <c r="E1815" s="7" t="s">
        <v>12557</v>
      </c>
      <c r="F1815" s="7">
        <f t="shared" si="117"/>
        <v>0</v>
      </c>
      <c r="G1815" s="7" t="s">
        <v>12558</v>
      </c>
      <c r="H1815" s="7">
        <f t="shared" si="118"/>
        <v>0</v>
      </c>
      <c r="I1815" s="7" cm="1">
        <f t="array" ref="I1815">IFERROR(_xlfn.IFS(M1815="נח",1,M1815="נע ונח",1,M1815="שני שווא נח",2,M1815="שני שוואים בסוף מילה",2,M1815="שני שוואים ברצף",1),"0")</f>
        <v>1</v>
      </c>
      <c r="J1815" s="9">
        <f t="shared" si="119"/>
        <v>3</v>
      </c>
      <c r="K1815" t="s">
        <v>6698</v>
      </c>
      <c r="L1815" t="s">
        <v>6694</v>
      </c>
      <c r="M1815" t="s">
        <v>6701</v>
      </c>
      <c r="N1815" t="s">
        <v>6706</v>
      </c>
      <c r="O1815" t="s">
        <v>6694</v>
      </c>
      <c r="V1815" t="s">
        <v>6694</v>
      </c>
      <c r="W1815" t="s">
        <v>6720</v>
      </c>
    </row>
    <row r="1816" spans="1:23" ht="15.6" x14ac:dyDescent="0.4">
      <c r="A1816" s="2" t="s">
        <v>3546</v>
      </c>
      <c r="B1816" s="5" t="s">
        <v>8277</v>
      </c>
      <c r="C1816" s="7" t="s">
        <v>12556</v>
      </c>
      <c r="D1816" s="8">
        <f t="shared" si="116"/>
        <v>1</v>
      </c>
      <c r="E1816" s="7" t="s">
        <v>12557</v>
      </c>
      <c r="F1816" s="7">
        <f t="shared" si="117"/>
        <v>1</v>
      </c>
      <c r="G1816" s="7" t="s">
        <v>12558</v>
      </c>
      <c r="H1816" s="7">
        <f t="shared" si="118"/>
        <v>0</v>
      </c>
      <c r="I1816" s="7" t="str" cm="1">
        <f t="array" ref="I1816">IFERROR(_xlfn.IFS(M1816="נח",1,M1816="נע ונח",1,M1816="שני שווא נח",2,M1816="שני שוואים בסוף מילה",2,M1816="שני שוואים ברצף",1),"0")</f>
        <v>0</v>
      </c>
      <c r="J1816" s="9">
        <f t="shared" si="119"/>
        <v>3</v>
      </c>
      <c r="K1816" t="s">
        <v>6698</v>
      </c>
      <c r="L1816" t="s">
        <v>6694</v>
      </c>
      <c r="M1816" t="s">
        <v>6700</v>
      </c>
      <c r="P1816" t="s">
        <v>6694</v>
      </c>
      <c r="T1816" t="s">
        <v>6694</v>
      </c>
      <c r="W1816" t="s">
        <v>6720</v>
      </c>
    </row>
    <row r="1817" spans="1:23" ht="15.6" x14ac:dyDescent="0.4">
      <c r="A1817" s="2" t="s">
        <v>2893</v>
      </c>
      <c r="B1817" s="5" t="s">
        <v>8278</v>
      </c>
      <c r="C1817" s="7" t="s">
        <v>12556</v>
      </c>
      <c r="D1817" s="8">
        <f t="shared" si="116"/>
        <v>0</v>
      </c>
      <c r="E1817" s="7" t="s">
        <v>12557</v>
      </c>
      <c r="F1817" s="7">
        <f t="shared" si="117"/>
        <v>0</v>
      </c>
      <c r="G1817" s="7" t="s">
        <v>12558</v>
      </c>
      <c r="H1817" s="7">
        <f t="shared" si="118"/>
        <v>0</v>
      </c>
      <c r="I1817" s="7" t="str" cm="1">
        <f t="array" ref="I1817">IFERROR(_xlfn.IFS(M1817="נח",1,M1817="נע ונח",1,M1817="שני שווא נח",2,M1817="שני שוואים בסוף מילה",2,M1817="שני שוואים ברצף",1),"0")</f>
        <v>0</v>
      </c>
      <c r="J1817" s="9">
        <f t="shared" si="119"/>
        <v>3</v>
      </c>
      <c r="K1817" t="s">
        <v>6697</v>
      </c>
      <c r="L1817" t="s">
        <v>6694</v>
      </c>
      <c r="M1817" t="s">
        <v>6700</v>
      </c>
      <c r="R1817" t="s">
        <v>6694</v>
      </c>
      <c r="V1817" t="s">
        <v>6694</v>
      </c>
      <c r="W1817" t="s">
        <v>6720</v>
      </c>
    </row>
    <row r="1818" spans="1:23" ht="15.6" x14ac:dyDescent="0.4">
      <c r="A1818" s="2" t="s">
        <v>1763</v>
      </c>
      <c r="B1818" s="5" t="s">
        <v>8279</v>
      </c>
      <c r="C1818" s="7" t="s">
        <v>12556</v>
      </c>
      <c r="D1818" s="8">
        <f t="shared" si="116"/>
        <v>0</v>
      </c>
      <c r="E1818" s="7" t="s">
        <v>12557</v>
      </c>
      <c r="F1818" s="7">
        <f t="shared" si="117"/>
        <v>1</v>
      </c>
      <c r="G1818" s="7" t="s">
        <v>12558</v>
      </c>
      <c r="H1818" s="7">
        <f t="shared" si="118"/>
        <v>0</v>
      </c>
      <c r="I1818" s="7" t="str" cm="1">
        <f t="array" ref="I1818">IFERROR(_xlfn.IFS(M1818="נח",1,M1818="נע ונח",1,M1818="שני שווא נח",2,M1818="שני שוואים בסוף מילה",2,M1818="שני שוואים ברצף",1),"0")</f>
        <v>0</v>
      </c>
      <c r="J1818" s="9">
        <f t="shared" si="119"/>
        <v>4</v>
      </c>
      <c r="K1818" t="s">
        <v>6697</v>
      </c>
      <c r="L1818" t="s">
        <v>6694</v>
      </c>
      <c r="M1818" t="s">
        <v>6700</v>
      </c>
      <c r="O1818" t="s">
        <v>6694</v>
      </c>
      <c r="R1818" t="s">
        <v>6694</v>
      </c>
      <c r="V1818" t="s">
        <v>6694</v>
      </c>
      <c r="W1818" t="s">
        <v>6720</v>
      </c>
    </row>
    <row r="1819" spans="1:23" ht="15.6" x14ac:dyDescent="0.4">
      <c r="A1819" s="2" t="s">
        <v>3029</v>
      </c>
      <c r="B1819" s="5" t="s">
        <v>8280</v>
      </c>
      <c r="C1819" s="7" t="s">
        <v>12556</v>
      </c>
      <c r="D1819" s="8">
        <f t="shared" si="116"/>
        <v>0</v>
      </c>
      <c r="E1819" s="7" t="s">
        <v>12557</v>
      </c>
      <c r="F1819" s="7">
        <f t="shared" si="117"/>
        <v>0</v>
      </c>
      <c r="G1819" s="7" t="s">
        <v>12558</v>
      </c>
      <c r="H1819" s="7">
        <f t="shared" si="118"/>
        <v>0</v>
      </c>
      <c r="I1819" s="7" t="str" cm="1">
        <f t="array" ref="I1819">IFERROR(_xlfn.IFS(M1819="נח",1,M1819="נע ונח",1,M1819="שני שווא נח",2,M1819="שני שוואים בסוף מילה",2,M1819="שני שוואים ברצף",1),"0")</f>
        <v>0</v>
      </c>
      <c r="J1819" s="9">
        <f t="shared" si="119"/>
        <v>2</v>
      </c>
      <c r="K1819" t="s">
        <v>6698</v>
      </c>
      <c r="L1819" t="s">
        <v>6694</v>
      </c>
      <c r="M1819" t="s">
        <v>6700</v>
      </c>
      <c r="V1819" t="s">
        <v>6694</v>
      </c>
      <c r="W1819" t="s">
        <v>6720</v>
      </c>
    </row>
    <row r="1820" spans="1:23" ht="15.6" x14ac:dyDescent="0.4">
      <c r="A1820" s="2" t="s">
        <v>2718</v>
      </c>
      <c r="B1820" s="5" t="s">
        <v>8281</v>
      </c>
      <c r="C1820" s="7" t="s">
        <v>12556</v>
      </c>
      <c r="D1820" s="8">
        <f t="shared" si="116"/>
        <v>0</v>
      </c>
      <c r="E1820" s="7" t="s">
        <v>12557</v>
      </c>
      <c r="F1820" s="7">
        <f t="shared" si="117"/>
        <v>0</v>
      </c>
      <c r="G1820" s="7" t="s">
        <v>12558</v>
      </c>
      <c r="H1820" s="7">
        <f t="shared" si="118"/>
        <v>0</v>
      </c>
      <c r="I1820" s="7" cm="1">
        <f t="array" ref="I1820">IFERROR(_xlfn.IFS(M1820="נח",1,M1820="נע ונח",1,M1820="שני שווא נח",2,M1820="שני שוואים בסוף מילה",2,M1820="שני שוואים ברצף",1),"0")</f>
        <v>1</v>
      </c>
      <c r="J1820" s="9">
        <f t="shared" si="119"/>
        <v>3</v>
      </c>
      <c r="K1820" t="s">
        <v>6697</v>
      </c>
      <c r="L1820" t="s">
        <v>6694</v>
      </c>
      <c r="M1820" t="s">
        <v>6701</v>
      </c>
      <c r="O1820" t="s">
        <v>6694</v>
      </c>
      <c r="V1820" t="s">
        <v>6694</v>
      </c>
      <c r="W1820" t="s">
        <v>6720</v>
      </c>
    </row>
    <row r="1821" spans="1:23" ht="15.6" x14ac:dyDescent="0.4">
      <c r="A1821" s="2" t="s">
        <v>2584</v>
      </c>
      <c r="B1821" s="5" t="s">
        <v>8282</v>
      </c>
      <c r="C1821" s="7" t="s">
        <v>12556</v>
      </c>
      <c r="D1821" s="8">
        <f t="shared" si="116"/>
        <v>0</v>
      </c>
      <c r="E1821" s="7" t="s">
        <v>12557</v>
      </c>
      <c r="F1821" s="7">
        <f t="shared" si="117"/>
        <v>1</v>
      </c>
      <c r="G1821" s="7" t="s">
        <v>12558</v>
      </c>
      <c r="H1821" s="7">
        <f t="shared" si="118"/>
        <v>0</v>
      </c>
      <c r="I1821" s="7" t="str" cm="1">
        <f t="array" ref="I1821">IFERROR(_xlfn.IFS(M1821="נח",1,M1821="נע ונח",1,M1821="שני שווא נח",2,M1821="שני שוואים בסוף מילה",2,M1821="שני שוואים ברצף",1),"0")</f>
        <v>0</v>
      </c>
      <c r="J1821" s="9">
        <f t="shared" si="119"/>
        <v>3</v>
      </c>
      <c r="K1821" t="s">
        <v>6698</v>
      </c>
      <c r="L1821" t="s">
        <v>6694</v>
      </c>
      <c r="M1821" t="s">
        <v>6700</v>
      </c>
      <c r="S1821" t="s">
        <v>6694</v>
      </c>
      <c r="V1821" t="s">
        <v>6694</v>
      </c>
      <c r="W1821" t="s">
        <v>6720</v>
      </c>
    </row>
    <row r="1822" spans="1:23" ht="15.6" x14ac:dyDescent="0.4">
      <c r="A1822" s="2" t="s">
        <v>4408</v>
      </c>
      <c r="B1822" s="5" t="s">
        <v>8283</v>
      </c>
      <c r="C1822" s="7" t="s">
        <v>12556</v>
      </c>
      <c r="D1822" s="8">
        <f t="shared" si="116"/>
        <v>0</v>
      </c>
      <c r="E1822" s="7" t="s">
        <v>12557</v>
      </c>
      <c r="F1822" s="7">
        <f t="shared" si="117"/>
        <v>0</v>
      </c>
      <c r="G1822" s="7" t="s">
        <v>12558</v>
      </c>
      <c r="H1822" s="7">
        <f t="shared" si="118"/>
        <v>0</v>
      </c>
      <c r="I1822" s="7" t="str" cm="1">
        <f t="array" ref="I1822">IFERROR(_xlfn.IFS(M1822="נח",1,M1822="נע ונח",1,M1822="שני שווא נח",2,M1822="שני שוואים בסוף מילה",2,M1822="שני שוואים ברצף",1),"0")</f>
        <v>0</v>
      </c>
      <c r="J1822" s="9">
        <f t="shared" si="119"/>
        <v>2</v>
      </c>
      <c r="K1822" t="s">
        <v>6698</v>
      </c>
      <c r="L1822" t="s">
        <v>6694</v>
      </c>
      <c r="M1822" t="s">
        <v>6700</v>
      </c>
      <c r="S1822" t="s">
        <v>6694</v>
      </c>
      <c r="W1822" t="s">
        <v>6720</v>
      </c>
    </row>
    <row r="1823" spans="1:23" ht="15.6" x14ac:dyDescent="0.4">
      <c r="A1823" s="2" t="s">
        <v>2289</v>
      </c>
      <c r="B1823" s="5" t="s">
        <v>8284</v>
      </c>
      <c r="C1823" s="7" t="s">
        <v>12556</v>
      </c>
      <c r="D1823" s="8">
        <f t="shared" si="116"/>
        <v>0</v>
      </c>
      <c r="E1823" s="7" t="s">
        <v>12557</v>
      </c>
      <c r="F1823" s="7">
        <f t="shared" si="117"/>
        <v>1</v>
      </c>
      <c r="G1823" s="7" t="s">
        <v>12558</v>
      </c>
      <c r="H1823" s="7">
        <f t="shared" si="118"/>
        <v>1</v>
      </c>
      <c r="I1823" s="7" t="str" cm="1">
        <f t="array" ref="I1823">IFERROR(_xlfn.IFS(M1823="נח",1,M1823="נע ונח",1,M1823="שני שווא נח",2,M1823="שני שוואים בסוף מילה",2,M1823="שני שוואים ברצף",1),"0")</f>
        <v>0</v>
      </c>
      <c r="J1823" s="9">
        <f t="shared" si="119"/>
        <v>3</v>
      </c>
      <c r="K1823" t="s">
        <v>6697</v>
      </c>
      <c r="L1823" t="s">
        <v>6694</v>
      </c>
      <c r="M1823" t="s">
        <v>6700</v>
      </c>
      <c r="S1823" t="s">
        <v>6694</v>
      </c>
      <c r="U1823" t="s">
        <v>6694</v>
      </c>
      <c r="W1823" t="s">
        <v>6720</v>
      </c>
    </row>
    <row r="1824" spans="1:23" ht="15.6" x14ac:dyDescent="0.4">
      <c r="A1824" s="2" t="s">
        <v>75</v>
      </c>
      <c r="B1824" s="5" t="s">
        <v>8285</v>
      </c>
      <c r="C1824" s="7" t="s">
        <v>12556</v>
      </c>
      <c r="D1824" s="8">
        <f t="shared" si="116"/>
        <v>0</v>
      </c>
      <c r="E1824" s="7" t="s">
        <v>12557</v>
      </c>
      <c r="F1824" s="7">
        <f t="shared" si="117"/>
        <v>0</v>
      </c>
      <c r="G1824" s="7" t="s">
        <v>12558</v>
      </c>
      <c r="H1824" s="7">
        <f t="shared" si="118"/>
        <v>0</v>
      </c>
      <c r="I1824" s="7" t="str" cm="1">
        <f t="array" ref="I1824">IFERROR(_xlfn.IFS(M1824="נח",1,M1824="נע ונח",1,M1824="שני שווא נח",2,M1824="שני שוואים בסוף מילה",2,M1824="שני שוואים ברצף",1),"0")</f>
        <v>0</v>
      </c>
      <c r="J1824" s="9">
        <f t="shared" si="119"/>
        <v>2</v>
      </c>
      <c r="K1824" t="s">
        <v>6698</v>
      </c>
      <c r="L1824" t="s">
        <v>6694</v>
      </c>
      <c r="M1824" t="s">
        <v>6700</v>
      </c>
      <c r="Q1824" t="s">
        <v>6694</v>
      </c>
      <c r="W1824" t="s">
        <v>6720</v>
      </c>
    </row>
    <row r="1825" spans="1:23" ht="15.6" x14ac:dyDescent="0.4">
      <c r="A1825" s="2" t="s">
        <v>1996</v>
      </c>
      <c r="B1825" s="5" t="s">
        <v>8286</v>
      </c>
      <c r="C1825" s="7" t="s">
        <v>12556</v>
      </c>
      <c r="D1825" s="8">
        <f t="shared" si="116"/>
        <v>0</v>
      </c>
      <c r="E1825" s="7" t="s">
        <v>12557</v>
      </c>
      <c r="F1825" s="7">
        <f t="shared" si="117"/>
        <v>0</v>
      </c>
      <c r="G1825" s="7" t="s">
        <v>12558</v>
      </c>
      <c r="H1825" s="7">
        <f t="shared" si="118"/>
        <v>0</v>
      </c>
      <c r="I1825" s="7" t="str" cm="1">
        <f t="array" ref="I1825">IFERROR(_xlfn.IFS(M1825="נח",1,M1825="נע ונח",1,M1825="שני שווא נח",2,M1825="שני שוואים בסוף מילה",2,M1825="שני שוואים ברצף",1),"0")</f>
        <v>0</v>
      </c>
      <c r="J1825" s="9">
        <f t="shared" si="119"/>
        <v>4</v>
      </c>
      <c r="K1825" t="s">
        <v>6698</v>
      </c>
      <c r="L1825" t="s">
        <v>6694</v>
      </c>
      <c r="M1825" t="s">
        <v>6700</v>
      </c>
      <c r="P1825" t="s">
        <v>6694</v>
      </c>
      <c r="Q1825" t="s">
        <v>6694</v>
      </c>
      <c r="W1825" t="s">
        <v>6720</v>
      </c>
    </row>
    <row r="1826" spans="1:23" ht="15.6" x14ac:dyDescent="0.4">
      <c r="A1826" s="2" t="s">
        <v>3579</v>
      </c>
      <c r="B1826" s="5" t="s">
        <v>8287</v>
      </c>
      <c r="C1826" s="7" t="s">
        <v>12556</v>
      </c>
      <c r="D1826" s="8">
        <f t="shared" si="116"/>
        <v>0</v>
      </c>
      <c r="E1826" s="7" t="s">
        <v>12557</v>
      </c>
      <c r="F1826" s="7">
        <f t="shared" si="117"/>
        <v>1</v>
      </c>
      <c r="G1826" s="7" t="s">
        <v>12558</v>
      </c>
      <c r="H1826" s="7">
        <f t="shared" si="118"/>
        <v>0</v>
      </c>
      <c r="I1826" s="7" t="str" cm="1">
        <f t="array" ref="I1826">IFERROR(_xlfn.IFS(M1826="נח",1,M1826="נע ונח",1,M1826="שני שווא נח",2,M1826="שני שוואים בסוף מילה",2,M1826="שני שוואים ברצף",1),"0")</f>
        <v>0</v>
      </c>
      <c r="J1826" s="9">
        <f t="shared" si="119"/>
        <v>4</v>
      </c>
      <c r="K1826" t="s">
        <v>6697</v>
      </c>
      <c r="L1826" t="s">
        <v>6694</v>
      </c>
      <c r="M1826" t="s">
        <v>6700</v>
      </c>
      <c r="O1826" t="s">
        <v>6694</v>
      </c>
      <c r="P1826" t="s">
        <v>6694</v>
      </c>
      <c r="R1826" t="s">
        <v>6694</v>
      </c>
      <c r="W1826" t="s">
        <v>6720</v>
      </c>
    </row>
    <row r="1827" spans="1:23" ht="15.6" x14ac:dyDescent="0.4">
      <c r="A1827" s="2" t="s">
        <v>524</v>
      </c>
      <c r="B1827" s="5" t="s">
        <v>8288</v>
      </c>
      <c r="C1827" s="7" t="s">
        <v>12556</v>
      </c>
      <c r="D1827" s="8">
        <f t="shared" si="116"/>
        <v>0</v>
      </c>
      <c r="E1827" s="7" t="s">
        <v>12557</v>
      </c>
      <c r="F1827" s="7">
        <f t="shared" si="117"/>
        <v>0</v>
      </c>
      <c r="G1827" s="7" t="s">
        <v>12558</v>
      </c>
      <c r="H1827" s="7">
        <f t="shared" si="118"/>
        <v>0</v>
      </c>
      <c r="I1827" s="7" t="str" cm="1">
        <f t="array" ref="I1827">IFERROR(_xlfn.IFS(M1827="נח",1,M1827="נע ונח",1,M1827="שני שווא נח",2,M1827="שני שוואים בסוף מילה",2,M1827="שני שוואים ברצף",1),"0")</f>
        <v>0</v>
      </c>
      <c r="J1827" s="9">
        <f t="shared" si="119"/>
        <v>2</v>
      </c>
      <c r="K1827" t="s">
        <v>6698</v>
      </c>
      <c r="L1827" t="s">
        <v>6694</v>
      </c>
      <c r="M1827" t="s">
        <v>6700</v>
      </c>
      <c r="P1827" t="s">
        <v>6694</v>
      </c>
      <c r="W1827" t="s">
        <v>6720</v>
      </c>
    </row>
    <row r="1828" spans="1:23" ht="15.6" x14ac:dyDescent="0.4">
      <c r="A1828" s="2" t="s">
        <v>2903</v>
      </c>
      <c r="B1828" s="5" t="s">
        <v>8289</v>
      </c>
      <c r="C1828" s="7" t="s">
        <v>12556</v>
      </c>
      <c r="D1828" s="8">
        <f t="shared" si="116"/>
        <v>0</v>
      </c>
      <c r="E1828" s="7" t="s">
        <v>12557</v>
      </c>
      <c r="F1828" s="7">
        <f t="shared" si="117"/>
        <v>1</v>
      </c>
      <c r="G1828" s="7" t="s">
        <v>12558</v>
      </c>
      <c r="H1828" s="7">
        <f t="shared" si="118"/>
        <v>0</v>
      </c>
      <c r="I1828" s="7" t="str" cm="1">
        <f t="array" ref="I1828">IFERROR(_xlfn.IFS(M1828="נח",1,M1828="נע ונח",1,M1828="שני שווא נח",2,M1828="שני שוואים בסוף מילה",2,M1828="שני שוואים ברצף",1),"0")</f>
        <v>0</v>
      </c>
      <c r="J1828" s="9">
        <f t="shared" si="119"/>
        <v>4</v>
      </c>
      <c r="K1828" t="s">
        <v>6697</v>
      </c>
      <c r="L1828" t="s">
        <v>6694</v>
      </c>
      <c r="M1828" t="s">
        <v>6700</v>
      </c>
      <c r="O1828" t="s">
        <v>6694</v>
      </c>
      <c r="P1828" t="s">
        <v>6694</v>
      </c>
      <c r="V1828" t="s">
        <v>6694</v>
      </c>
      <c r="W1828" t="s">
        <v>6720</v>
      </c>
    </row>
    <row r="1829" spans="1:23" ht="15.6" x14ac:dyDescent="0.4">
      <c r="A1829" s="2" t="s">
        <v>2463</v>
      </c>
      <c r="B1829" s="5" t="s">
        <v>8290</v>
      </c>
      <c r="C1829" s="7" t="s">
        <v>12556</v>
      </c>
      <c r="D1829" s="8">
        <f t="shared" si="116"/>
        <v>0</v>
      </c>
      <c r="E1829" s="7" t="s">
        <v>12557</v>
      </c>
      <c r="F1829" s="7">
        <f t="shared" si="117"/>
        <v>0</v>
      </c>
      <c r="G1829" s="7" t="s">
        <v>12558</v>
      </c>
      <c r="H1829" s="7">
        <f t="shared" si="118"/>
        <v>0</v>
      </c>
      <c r="I1829" s="7" cm="1">
        <f t="array" ref="I1829">IFERROR(_xlfn.IFS(M1829="נח",1,M1829="נע ונח",1,M1829="שני שווא נח",2,M1829="שני שוואים בסוף מילה",2,M1829="שני שוואים ברצף",1),"0")</f>
        <v>1</v>
      </c>
      <c r="J1829" s="9">
        <f t="shared" si="119"/>
        <v>3</v>
      </c>
      <c r="K1829" t="s">
        <v>6698</v>
      </c>
      <c r="L1829" t="s">
        <v>6694</v>
      </c>
      <c r="M1829" t="s">
        <v>6701</v>
      </c>
      <c r="N1829" t="s">
        <v>6706</v>
      </c>
      <c r="O1829" t="s">
        <v>6694</v>
      </c>
      <c r="S1829" t="s">
        <v>6694</v>
      </c>
      <c r="W1829" t="s">
        <v>6720</v>
      </c>
    </row>
    <row r="1830" spans="1:23" ht="15.6" x14ac:dyDescent="0.4">
      <c r="A1830" s="2" t="s">
        <v>1637</v>
      </c>
      <c r="B1830" s="5" t="s">
        <v>8291</v>
      </c>
      <c r="C1830" s="7" t="s">
        <v>12556</v>
      </c>
      <c r="D1830" s="8">
        <f t="shared" si="116"/>
        <v>0</v>
      </c>
      <c r="E1830" s="7" t="s">
        <v>12557</v>
      </c>
      <c r="F1830" s="7">
        <f t="shared" si="117"/>
        <v>0</v>
      </c>
      <c r="G1830" s="7" t="s">
        <v>12558</v>
      </c>
      <c r="H1830" s="7">
        <f t="shared" si="118"/>
        <v>0</v>
      </c>
      <c r="I1830" s="7" t="str" cm="1">
        <f t="array" ref="I1830">IFERROR(_xlfn.IFS(M1830="נח",1,M1830="נע ונח",1,M1830="שני שווא נח",2,M1830="שני שוואים בסוף מילה",2,M1830="שני שוואים ברצף",1),"0")</f>
        <v>0</v>
      </c>
      <c r="J1830" s="9">
        <f t="shared" si="119"/>
        <v>3</v>
      </c>
      <c r="K1830" t="s">
        <v>6698</v>
      </c>
      <c r="L1830" t="s">
        <v>6694</v>
      </c>
      <c r="M1830" t="s">
        <v>6700</v>
      </c>
      <c r="O1830" t="s">
        <v>6694</v>
      </c>
      <c r="S1830" t="s">
        <v>6694</v>
      </c>
      <c r="W1830" t="s">
        <v>6720</v>
      </c>
    </row>
    <row r="1831" spans="1:23" ht="15.6" x14ac:dyDescent="0.4">
      <c r="A1831" s="2" t="s">
        <v>6124</v>
      </c>
      <c r="B1831" s="5" t="s">
        <v>8292</v>
      </c>
      <c r="C1831" s="7" t="s">
        <v>12556</v>
      </c>
      <c r="D1831" s="8">
        <f t="shared" si="116"/>
        <v>0</v>
      </c>
      <c r="E1831" s="7" t="s">
        <v>12557</v>
      </c>
      <c r="F1831" s="7">
        <f t="shared" si="117"/>
        <v>0</v>
      </c>
      <c r="G1831" s="7" t="s">
        <v>12558</v>
      </c>
      <c r="H1831" s="7">
        <f t="shared" si="118"/>
        <v>0</v>
      </c>
      <c r="I1831" s="7" t="str" cm="1">
        <f t="array" ref="I1831">IFERROR(_xlfn.IFS(M1831="נח",1,M1831="נע ונח",1,M1831="שני שווא נח",2,M1831="שני שוואים בסוף מילה",2,M1831="שני שוואים ברצף",1),"0")</f>
        <v>0</v>
      </c>
      <c r="J1831" s="9">
        <f t="shared" si="119"/>
        <v>4</v>
      </c>
      <c r="K1831" t="s">
        <v>6697</v>
      </c>
      <c r="L1831" t="s">
        <v>6694</v>
      </c>
      <c r="M1831" t="s">
        <v>6700</v>
      </c>
      <c r="P1831" t="s">
        <v>6694</v>
      </c>
      <c r="S1831" t="s">
        <v>6694</v>
      </c>
      <c r="V1831" t="s">
        <v>6694</v>
      </c>
      <c r="W1831" t="s">
        <v>6720</v>
      </c>
    </row>
    <row r="1832" spans="1:23" ht="15.6" x14ac:dyDescent="0.4">
      <c r="A1832" s="2" t="s">
        <v>5904</v>
      </c>
      <c r="B1832" s="5" t="s">
        <v>8293</v>
      </c>
      <c r="C1832" s="7" t="s">
        <v>12556</v>
      </c>
      <c r="D1832" s="8">
        <f t="shared" si="116"/>
        <v>0</v>
      </c>
      <c r="E1832" s="7" t="s">
        <v>12557</v>
      </c>
      <c r="F1832" s="7">
        <f t="shared" si="117"/>
        <v>2</v>
      </c>
      <c r="G1832" s="7" t="s">
        <v>12558</v>
      </c>
      <c r="H1832" s="7">
        <f t="shared" si="118"/>
        <v>2</v>
      </c>
      <c r="I1832" s="7" t="str" cm="1">
        <f t="array" ref="I1832">IFERROR(_xlfn.IFS(M1832="נח",1,M1832="נע ונח",1,M1832="שני שווא נח",2,M1832="שני שוואים בסוף מילה",2,M1832="שני שוואים ברצף",1),"0")</f>
        <v>0</v>
      </c>
      <c r="J1832" s="9">
        <f t="shared" si="119"/>
        <v>3</v>
      </c>
      <c r="K1832" t="s">
        <v>6697</v>
      </c>
      <c r="L1832" t="s">
        <v>6694</v>
      </c>
      <c r="M1832" t="s">
        <v>6700</v>
      </c>
      <c r="U1832" t="s">
        <v>6694</v>
      </c>
      <c r="W1832" t="s">
        <v>6720</v>
      </c>
    </row>
    <row r="1833" spans="1:23" ht="15.6" x14ac:dyDescent="0.4">
      <c r="A1833" s="2" t="s">
        <v>4953</v>
      </c>
      <c r="B1833" s="5" t="s">
        <v>8294</v>
      </c>
      <c r="C1833" s="7" t="s">
        <v>12556</v>
      </c>
      <c r="D1833" s="8">
        <f t="shared" si="116"/>
        <v>0</v>
      </c>
      <c r="E1833" s="7" t="s">
        <v>12557</v>
      </c>
      <c r="F1833" s="7">
        <f t="shared" si="117"/>
        <v>0</v>
      </c>
      <c r="G1833" s="7" t="s">
        <v>12558</v>
      </c>
      <c r="H1833" s="7">
        <f t="shared" si="118"/>
        <v>0</v>
      </c>
      <c r="I1833" s="7" cm="1">
        <f t="array" ref="I1833">IFERROR(_xlfn.IFS(M1833="נח",1,M1833="נע ונח",1,M1833="שני שווא נח",2,M1833="שני שוואים בסוף מילה",2,M1833="שני שוואים ברצף",1),"0")</f>
        <v>1</v>
      </c>
      <c r="J1833" s="9">
        <f t="shared" si="119"/>
        <v>3</v>
      </c>
      <c r="K1833" t="s">
        <v>6698</v>
      </c>
      <c r="L1833" t="s">
        <v>6694</v>
      </c>
      <c r="M1833" t="s">
        <v>6701</v>
      </c>
      <c r="Q1833" t="s">
        <v>6694</v>
      </c>
      <c r="S1833" t="s">
        <v>6694</v>
      </c>
      <c r="W1833" t="s">
        <v>6720</v>
      </c>
    </row>
    <row r="1834" spans="1:23" ht="15.6" x14ac:dyDescent="0.4">
      <c r="A1834" s="2" t="s">
        <v>4450</v>
      </c>
      <c r="B1834" s="5" t="s">
        <v>8295</v>
      </c>
      <c r="C1834" s="7" t="s">
        <v>12556</v>
      </c>
      <c r="D1834" s="8">
        <f t="shared" si="116"/>
        <v>0</v>
      </c>
      <c r="E1834" s="7" t="s">
        <v>12557</v>
      </c>
      <c r="F1834" s="7">
        <f t="shared" si="117"/>
        <v>1</v>
      </c>
      <c r="G1834" s="7" t="s">
        <v>12558</v>
      </c>
      <c r="H1834" s="7">
        <f t="shared" si="118"/>
        <v>0</v>
      </c>
      <c r="I1834" s="7" t="str" cm="1">
        <f t="array" ref="I1834">IFERROR(_xlfn.IFS(M1834="נח",1,M1834="נע ונח",1,M1834="שני שווא נח",2,M1834="שני שוואים בסוף מילה",2,M1834="שני שוואים ברצף",1),"0")</f>
        <v>0</v>
      </c>
      <c r="J1834" s="9">
        <f t="shared" si="119"/>
        <v>3</v>
      </c>
      <c r="K1834" t="s">
        <v>6698</v>
      </c>
      <c r="L1834" t="s">
        <v>6694</v>
      </c>
      <c r="M1834" t="s">
        <v>6700</v>
      </c>
      <c r="R1834" t="s">
        <v>6694</v>
      </c>
      <c r="S1834" t="s">
        <v>6694</v>
      </c>
      <c r="W1834" t="s">
        <v>6720</v>
      </c>
    </row>
    <row r="1835" spans="1:23" ht="15.6" x14ac:dyDescent="0.4">
      <c r="A1835" s="2" t="s">
        <v>2377</v>
      </c>
      <c r="B1835" s="5" t="s">
        <v>8296</v>
      </c>
      <c r="C1835" s="7" t="s">
        <v>12556</v>
      </c>
      <c r="D1835" s="8">
        <f t="shared" si="116"/>
        <v>0</v>
      </c>
      <c r="E1835" s="7" t="s">
        <v>12557</v>
      </c>
      <c r="F1835" s="7">
        <f t="shared" si="117"/>
        <v>0</v>
      </c>
      <c r="G1835" s="7" t="s">
        <v>12558</v>
      </c>
      <c r="H1835" s="7">
        <f t="shared" si="118"/>
        <v>0</v>
      </c>
      <c r="I1835" s="7" t="str" cm="1">
        <f t="array" ref="I1835">IFERROR(_xlfn.IFS(M1835="נח",1,M1835="נע ונח",1,M1835="שני שווא נח",2,M1835="שני שוואים בסוף מילה",2,M1835="שני שוואים ברצף",1),"0")</f>
        <v>0</v>
      </c>
      <c r="J1835" s="9">
        <f t="shared" si="119"/>
        <v>3</v>
      </c>
      <c r="K1835" t="s">
        <v>6697</v>
      </c>
      <c r="L1835" t="s">
        <v>6694</v>
      </c>
      <c r="M1835" t="s">
        <v>6700</v>
      </c>
      <c r="S1835" t="s">
        <v>6694</v>
      </c>
      <c r="W1835" t="s">
        <v>6720</v>
      </c>
    </row>
    <row r="1836" spans="1:23" ht="15.6" x14ac:dyDescent="0.4">
      <c r="A1836" s="2" t="s">
        <v>199</v>
      </c>
      <c r="B1836" s="5" t="s">
        <v>8297</v>
      </c>
      <c r="C1836" s="7" t="s">
        <v>12556</v>
      </c>
      <c r="D1836" s="8">
        <f t="shared" si="116"/>
        <v>0</v>
      </c>
      <c r="E1836" s="7" t="s">
        <v>12557</v>
      </c>
      <c r="F1836" s="7">
        <f t="shared" si="117"/>
        <v>0</v>
      </c>
      <c r="G1836" s="7" t="s">
        <v>12558</v>
      </c>
      <c r="H1836" s="7">
        <f t="shared" si="118"/>
        <v>0</v>
      </c>
      <c r="I1836" s="7" cm="1">
        <f t="array" ref="I1836">IFERROR(_xlfn.IFS(M1836="נח",1,M1836="נע ונח",1,M1836="שני שווא נח",2,M1836="שני שוואים בסוף מילה",2,M1836="שני שוואים ברצף",1),"0")</f>
        <v>1</v>
      </c>
      <c r="J1836" s="9">
        <f t="shared" si="119"/>
        <v>3</v>
      </c>
      <c r="K1836" t="s">
        <v>6698</v>
      </c>
      <c r="L1836" t="s">
        <v>6694</v>
      </c>
      <c r="M1836" t="s">
        <v>6701</v>
      </c>
      <c r="R1836" t="s">
        <v>6694</v>
      </c>
      <c r="W1836" t="s">
        <v>6720</v>
      </c>
    </row>
    <row r="1837" spans="1:23" ht="15.6" x14ac:dyDescent="0.4">
      <c r="A1837" s="2" t="s">
        <v>4483</v>
      </c>
      <c r="B1837" s="5" t="s">
        <v>8298</v>
      </c>
      <c r="C1837" s="7" t="s">
        <v>12556</v>
      </c>
      <c r="D1837" s="8">
        <f t="shared" si="116"/>
        <v>0</v>
      </c>
      <c r="E1837" s="7" t="s">
        <v>12557</v>
      </c>
      <c r="F1837" s="7">
        <f t="shared" si="117"/>
        <v>1</v>
      </c>
      <c r="G1837" s="7" t="s">
        <v>12558</v>
      </c>
      <c r="H1837" s="7">
        <f t="shared" si="118"/>
        <v>0</v>
      </c>
      <c r="I1837" s="7" t="str" cm="1">
        <f t="array" ref="I1837">IFERROR(_xlfn.IFS(M1837="נח",1,M1837="נע ונח",1,M1837="שני שווא נח",2,M1837="שני שוואים בסוף מילה",2,M1837="שני שוואים ברצף",1),"0")</f>
        <v>0</v>
      </c>
      <c r="J1837" s="9">
        <f t="shared" si="119"/>
        <v>3</v>
      </c>
      <c r="K1837" t="s">
        <v>6698</v>
      </c>
      <c r="L1837" t="s">
        <v>6694</v>
      </c>
      <c r="M1837" t="s">
        <v>6700</v>
      </c>
      <c r="P1837" t="s">
        <v>6694</v>
      </c>
      <c r="W1837" t="s">
        <v>6720</v>
      </c>
    </row>
    <row r="1838" spans="1:23" ht="15.6" x14ac:dyDescent="0.4">
      <c r="A1838" s="2" t="s">
        <v>5766</v>
      </c>
      <c r="B1838" s="5" t="s">
        <v>8299</v>
      </c>
      <c r="C1838" s="7" t="s">
        <v>12556</v>
      </c>
      <c r="D1838" s="8">
        <f t="shared" si="116"/>
        <v>0</v>
      </c>
      <c r="E1838" s="7" t="s">
        <v>12557</v>
      </c>
      <c r="F1838" s="7">
        <f t="shared" si="117"/>
        <v>0</v>
      </c>
      <c r="G1838" s="7" t="s">
        <v>12558</v>
      </c>
      <c r="H1838" s="7">
        <f t="shared" si="118"/>
        <v>0</v>
      </c>
      <c r="I1838" s="7" cm="1">
        <f t="array" ref="I1838">IFERROR(_xlfn.IFS(M1838="נח",1,M1838="נע ונח",1,M1838="שני שווא נח",2,M1838="שני שוואים בסוף מילה",2,M1838="שני שוואים ברצף",1),"0")</f>
        <v>1</v>
      </c>
      <c r="J1838" s="9">
        <f t="shared" si="119"/>
        <v>3</v>
      </c>
      <c r="K1838" t="s">
        <v>6698</v>
      </c>
      <c r="L1838" t="s">
        <v>6694</v>
      </c>
      <c r="M1838" t="s">
        <v>6701</v>
      </c>
      <c r="P1838" t="s">
        <v>6694</v>
      </c>
      <c r="Q1838" t="s">
        <v>6694</v>
      </c>
      <c r="W1838" t="s">
        <v>6720</v>
      </c>
    </row>
    <row r="1839" spans="1:23" ht="15.6" x14ac:dyDescent="0.4">
      <c r="A1839" s="2" t="s">
        <v>5315</v>
      </c>
      <c r="B1839" s="5" t="s">
        <v>8300</v>
      </c>
      <c r="C1839" s="7" t="s">
        <v>12556</v>
      </c>
      <c r="D1839" s="8">
        <f t="shared" si="116"/>
        <v>0</v>
      </c>
      <c r="E1839" s="7" t="s">
        <v>12557</v>
      </c>
      <c r="F1839" s="7">
        <f t="shared" si="117"/>
        <v>0</v>
      </c>
      <c r="G1839" s="7" t="s">
        <v>12558</v>
      </c>
      <c r="H1839" s="7">
        <f t="shared" si="118"/>
        <v>0</v>
      </c>
      <c r="I1839" s="7" t="str" cm="1">
        <f t="array" ref="I1839">IFERROR(_xlfn.IFS(M1839="נח",1,M1839="נע ונח",1,M1839="שני שווא נח",2,M1839="שני שוואים בסוף מילה",2,M1839="שני שוואים ברצף",1),"0")</f>
        <v>0</v>
      </c>
      <c r="J1839" s="9">
        <f t="shared" si="119"/>
        <v>2</v>
      </c>
      <c r="K1839" t="s">
        <v>6698</v>
      </c>
      <c r="L1839" t="s">
        <v>6694</v>
      </c>
      <c r="M1839" t="s">
        <v>6700</v>
      </c>
      <c r="P1839" t="s">
        <v>6694</v>
      </c>
      <c r="W1839" t="s">
        <v>6720</v>
      </c>
    </row>
    <row r="1840" spans="1:23" ht="15.6" x14ac:dyDescent="0.4">
      <c r="A1840" s="2" t="s">
        <v>5093</v>
      </c>
      <c r="B1840" s="5" t="s">
        <v>8301</v>
      </c>
      <c r="C1840" s="7" t="s">
        <v>12556</v>
      </c>
      <c r="D1840" s="8">
        <f t="shared" si="116"/>
        <v>0</v>
      </c>
      <c r="E1840" s="7" t="s">
        <v>12557</v>
      </c>
      <c r="F1840" s="7">
        <f t="shared" si="117"/>
        <v>0</v>
      </c>
      <c r="G1840" s="7" t="s">
        <v>12558</v>
      </c>
      <c r="H1840" s="7">
        <f t="shared" si="118"/>
        <v>0</v>
      </c>
      <c r="I1840" s="7" t="str" cm="1">
        <f t="array" ref="I1840">IFERROR(_xlfn.IFS(M1840="נח",1,M1840="נע ונח",1,M1840="שני שווא נח",2,M1840="שני שוואים בסוף מילה",2,M1840="שני שוואים ברצף",1),"0")</f>
        <v>0</v>
      </c>
      <c r="J1840" s="9">
        <f t="shared" si="119"/>
        <v>2</v>
      </c>
      <c r="K1840" t="s">
        <v>6697</v>
      </c>
      <c r="L1840" t="s">
        <v>6694</v>
      </c>
      <c r="M1840" t="s">
        <v>6700</v>
      </c>
      <c r="P1840" t="s">
        <v>6694</v>
      </c>
      <c r="W1840" t="s">
        <v>6720</v>
      </c>
    </row>
    <row r="1841" spans="1:23" ht="15.6" x14ac:dyDescent="0.4">
      <c r="A1841" s="2" t="s">
        <v>2538</v>
      </c>
      <c r="B1841" s="5" t="s">
        <v>8302</v>
      </c>
      <c r="C1841" s="7" t="s">
        <v>12556</v>
      </c>
      <c r="D1841" s="8">
        <f t="shared" si="116"/>
        <v>0</v>
      </c>
      <c r="E1841" s="7" t="s">
        <v>12557</v>
      </c>
      <c r="F1841" s="7">
        <f t="shared" si="117"/>
        <v>1</v>
      </c>
      <c r="G1841" s="7" t="s">
        <v>12558</v>
      </c>
      <c r="H1841" s="7">
        <f t="shared" si="118"/>
        <v>0</v>
      </c>
      <c r="I1841" s="7" cm="1">
        <f t="array" ref="I1841">IFERROR(_xlfn.IFS(M1841="נח",1,M1841="נע ונח",1,M1841="שני שווא נח",2,M1841="שני שוואים בסוף מילה",2,M1841="שני שוואים ברצף",1),"0")</f>
        <v>1</v>
      </c>
      <c r="J1841" s="9">
        <f t="shared" si="119"/>
        <v>3</v>
      </c>
      <c r="K1841" t="s">
        <v>6697</v>
      </c>
      <c r="L1841" t="s">
        <v>6694</v>
      </c>
      <c r="M1841" t="s">
        <v>6701</v>
      </c>
      <c r="P1841" t="s">
        <v>6694</v>
      </c>
      <c r="V1841" t="s">
        <v>6694</v>
      </c>
      <c r="W1841" t="s">
        <v>6720</v>
      </c>
    </row>
    <row r="1842" spans="1:23" ht="15.6" x14ac:dyDescent="0.4">
      <c r="A1842" s="2" t="s">
        <v>146</v>
      </c>
      <c r="B1842" s="5" t="s">
        <v>8300</v>
      </c>
      <c r="C1842" s="7" t="s">
        <v>12556</v>
      </c>
      <c r="D1842" s="8">
        <f t="shared" si="116"/>
        <v>0</v>
      </c>
      <c r="E1842" s="7" t="s">
        <v>12557</v>
      </c>
      <c r="F1842" s="7">
        <f t="shared" si="117"/>
        <v>0</v>
      </c>
      <c r="G1842" s="7" t="s">
        <v>12558</v>
      </c>
      <c r="H1842" s="7">
        <f t="shared" si="118"/>
        <v>0</v>
      </c>
      <c r="I1842" s="7" t="str" cm="1">
        <f t="array" ref="I1842">IFERROR(_xlfn.IFS(M1842="נח",1,M1842="נע ונח",1,M1842="שני שווא נח",2,M1842="שני שוואים בסוף מילה",2,M1842="שני שוואים ברצף",1),"0")</f>
        <v>0</v>
      </c>
      <c r="J1842" s="9">
        <f t="shared" si="119"/>
        <v>2</v>
      </c>
      <c r="K1842" t="s">
        <v>6698</v>
      </c>
      <c r="L1842" t="s">
        <v>6694</v>
      </c>
      <c r="M1842" t="s">
        <v>6700</v>
      </c>
      <c r="N1842" t="s">
        <v>6706</v>
      </c>
      <c r="O1842" t="s">
        <v>6694</v>
      </c>
      <c r="W1842" t="s">
        <v>6720</v>
      </c>
    </row>
    <row r="1843" spans="1:23" ht="15.6" x14ac:dyDescent="0.4">
      <c r="A1843" s="2" t="s">
        <v>2510</v>
      </c>
      <c r="B1843" s="5" t="s">
        <v>8302</v>
      </c>
      <c r="C1843" s="7" t="s">
        <v>12556</v>
      </c>
      <c r="D1843" s="8">
        <f t="shared" si="116"/>
        <v>0</v>
      </c>
      <c r="E1843" s="7" t="s">
        <v>12557</v>
      </c>
      <c r="F1843" s="7">
        <f t="shared" si="117"/>
        <v>1</v>
      </c>
      <c r="G1843" s="7" t="s">
        <v>12558</v>
      </c>
      <c r="H1843" s="7">
        <f t="shared" si="118"/>
        <v>1</v>
      </c>
      <c r="I1843" s="7" cm="1">
        <f t="array" ref="I1843">IFERROR(_xlfn.IFS(M1843="נח",1,M1843="נע ונח",1,M1843="שני שווא נח",2,M1843="שני שוואים בסוף מילה",2,M1843="שני שוואים ברצף",1),"0")</f>
        <v>1</v>
      </c>
      <c r="J1843" s="9">
        <f t="shared" si="119"/>
        <v>3</v>
      </c>
      <c r="K1843" t="s">
        <v>6697</v>
      </c>
      <c r="L1843" t="s">
        <v>6694</v>
      </c>
      <c r="M1843" t="s">
        <v>6701</v>
      </c>
      <c r="N1843" t="s">
        <v>6706</v>
      </c>
      <c r="O1843" t="s">
        <v>6694</v>
      </c>
      <c r="U1843" t="s">
        <v>6694</v>
      </c>
      <c r="W1843" t="s">
        <v>6720</v>
      </c>
    </row>
    <row r="1844" spans="1:23" ht="15.6" x14ac:dyDescent="0.4">
      <c r="A1844" s="2" t="s">
        <v>4971</v>
      </c>
      <c r="B1844" s="5" t="s">
        <v>8303</v>
      </c>
      <c r="C1844" s="7" t="s">
        <v>12556</v>
      </c>
      <c r="D1844" s="8">
        <f t="shared" si="116"/>
        <v>1</v>
      </c>
      <c r="E1844" s="7" t="s">
        <v>12557</v>
      </c>
      <c r="F1844" s="7">
        <f t="shared" si="117"/>
        <v>1</v>
      </c>
      <c r="G1844" s="7" t="s">
        <v>12558</v>
      </c>
      <c r="H1844" s="7">
        <f t="shared" si="118"/>
        <v>1</v>
      </c>
      <c r="I1844" s="7" cm="1">
        <f t="array" ref="I1844">IFERROR(_xlfn.IFS(M1844="נח",1,M1844="נע ונח",1,M1844="שני שווא נח",2,M1844="שני שוואים בסוף מילה",2,M1844="שני שוואים ברצף",1),"0")</f>
        <v>1</v>
      </c>
      <c r="J1844" s="9">
        <f t="shared" si="119"/>
        <v>3</v>
      </c>
      <c r="K1844" t="s">
        <v>6697</v>
      </c>
      <c r="L1844" t="s">
        <v>6694</v>
      </c>
      <c r="M1844" t="s">
        <v>6701</v>
      </c>
      <c r="N1844" t="s">
        <v>6706</v>
      </c>
      <c r="O1844" t="s">
        <v>6694</v>
      </c>
      <c r="U1844" t="s">
        <v>6694</v>
      </c>
      <c r="W1844" t="s">
        <v>6720</v>
      </c>
    </row>
    <row r="1845" spans="1:23" ht="15.6" x14ac:dyDescent="0.4">
      <c r="A1845" s="2" t="s">
        <v>5219</v>
      </c>
      <c r="B1845" s="5" t="s">
        <v>8295</v>
      </c>
      <c r="C1845" s="7" t="s">
        <v>12556</v>
      </c>
      <c r="D1845" s="8">
        <f t="shared" si="116"/>
        <v>0</v>
      </c>
      <c r="E1845" s="7" t="s">
        <v>12557</v>
      </c>
      <c r="F1845" s="7">
        <f t="shared" si="117"/>
        <v>0</v>
      </c>
      <c r="G1845" s="7" t="s">
        <v>12558</v>
      </c>
      <c r="H1845" s="7">
        <f t="shared" si="118"/>
        <v>0</v>
      </c>
      <c r="I1845" s="7" t="str" cm="1">
        <f t="array" ref="I1845">IFERROR(_xlfn.IFS(M1845="נח",1,M1845="נע ונח",1,M1845="שני שווא נח",2,M1845="שני שוואים בסוף מילה",2,M1845="שני שוואים ברצף",1),"0")</f>
        <v>0</v>
      </c>
      <c r="J1845" s="9">
        <f t="shared" si="119"/>
        <v>3</v>
      </c>
      <c r="K1845" t="s">
        <v>6698</v>
      </c>
      <c r="L1845" t="s">
        <v>6694</v>
      </c>
      <c r="M1845" t="s">
        <v>6700</v>
      </c>
      <c r="Q1845" t="s">
        <v>6694</v>
      </c>
      <c r="V1845" t="s">
        <v>6694</v>
      </c>
      <c r="W1845" t="s">
        <v>6720</v>
      </c>
    </row>
    <row r="1846" spans="1:23" ht="15.6" x14ac:dyDescent="0.4">
      <c r="A1846" s="2" t="s">
        <v>1935</v>
      </c>
      <c r="B1846" s="5" t="s">
        <v>8304</v>
      </c>
      <c r="C1846" s="7" t="s">
        <v>12556</v>
      </c>
      <c r="D1846" s="8">
        <f t="shared" si="116"/>
        <v>1</v>
      </c>
      <c r="E1846" s="7" t="s">
        <v>12557</v>
      </c>
      <c r="F1846" s="7">
        <f t="shared" si="117"/>
        <v>0</v>
      </c>
      <c r="G1846" s="7" t="s">
        <v>12558</v>
      </c>
      <c r="H1846" s="7">
        <f t="shared" si="118"/>
        <v>0</v>
      </c>
      <c r="I1846" s="7" cm="1">
        <f t="array" ref="I1846">IFERROR(_xlfn.IFS(M1846="נח",1,M1846="נע ונח",1,M1846="שני שווא נח",2,M1846="שני שוואים בסוף מילה",2,M1846="שני שוואים ברצף",1),"0")</f>
        <v>1</v>
      </c>
      <c r="J1846" s="9">
        <f t="shared" si="119"/>
        <v>3</v>
      </c>
      <c r="K1846" t="s">
        <v>6698</v>
      </c>
      <c r="L1846" t="s">
        <v>6694</v>
      </c>
      <c r="M1846" t="s">
        <v>6701</v>
      </c>
      <c r="Q1846" t="s">
        <v>6694</v>
      </c>
      <c r="V1846" t="s">
        <v>6694</v>
      </c>
      <c r="W1846" t="s">
        <v>6720</v>
      </c>
    </row>
    <row r="1847" spans="1:23" ht="15.6" x14ac:dyDescent="0.4">
      <c r="A1847" s="2" t="s">
        <v>2579</v>
      </c>
      <c r="B1847" s="5" t="s">
        <v>8305</v>
      </c>
      <c r="C1847" s="7" t="s">
        <v>12556</v>
      </c>
      <c r="D1847" s="8">
        <f t="shared" si="116"/>
        <v>1</v>
      </c>
      <c r="E1847" s="7" t="s">
        <v>12557</v>
      </c>
      <c r="F1847" s="7">
        <f t="shared" si="117"/>
        <v>2</v>
      </c>
      <c r="G1847" s="7" t="s">
        <v>12558</v>
      </c>
      <c r="H1847" s="7">
        <f t="shared" si="118"/>
        <v>1</v>
      </c>
      <c r="I1847" s="7" cm="1">
        <f t="array" ref="I1847">IFERROR(_xlfn.IFS(M1847="נח",1,M1847="נע ונח",1,M1847="שני שווא נח",2,M1847="שני שוואים בסוף מילה",2,M1847="שני שוואים ברצף",1),"0")</f>
        <v>1</v>
      </c>
      <c r="J1847" s="9">
        <f t="shared" si="119"/>
        <v>4</v>
      </c>
      <c r="K1847" t="s">
        <v>6697</v>
      </c>
      <c r="L1847" t="s">
        <v>6694</v>
      </c>
      <c r="M1847" t="s">
        <v>6701</v>
      </c>
      <c r="O1847" t="s">
        <v>6694</v>
      </c>
      <c r="S1847" t="s">
        <v>6694</v>
      </c>
      <c r="U1847" t="s">
        <v>6694</v>
      </c>
      <c r="W1847" t="s">
        <v>6720</v>
      </c>
    </row>
    <row r="1848" spans="1:23" ht="15.6" x14ac:dyDescent="0.4">
      <c r="A1848" s="2" t="s">
        <v>3729</v>
      </c>
      <c r="B1848" s="5" t="s">
        <v>8306</v>
      </c>
      <c r="C1848" s="7" t="s">
        <v>12556</v>
      </c>
      <c r="D1848" s="8">
        <f t="shared" si="116"/>
        <v>1</v>
      </c>
      <c r="E1848" s="7" t="s">
        <v>12557</v>
      </c>
      <c r="F1848" s="7">
        <f t="shared" si="117"/>
        <v>1</v>
      </c>
      <c r="G1848" s="7" t="s">
        <v>12558</v>
      </c>
      <c r="H1848" s="7">
        <f t="shared" si="118"/>
        <v>0</v>
      </c>
      <c r="I1848" s="7" cm="1">
        <f t="array" ref="I1848">IFERROR(_xlfn.IFS(M1848="נח",1,M1848="נע ונח",1,M1848="שני שווא נח",2,M1848="שני שוואים בסוף מילה",2,M1848="שני שוואים ברצף",1),"0")</f>
        <v>1</v>
      </c>
      <c r="J1848" s="9">
        <f t="shared" si="119"/>
        <v>5</v>
      </c>
      <c r="K1848" t="s">
        <v>6697</v>
      </c>
      <c r="L1848" t="s">
        <v>6694</v>
      </c>
      <c r="M1848" t="s">
        <v>6701</v>
      </c>
      <c r="P1848" t="s">
        <v>6694</v>
      </c>
      <c r="S1848" t="s">
        <v>6694</v>
      </c>
      <c r="W1848" t="s">
        <v>6720</v>
      </c>
    </row>
    <row r="1849" spans="1:23" ht="15.6" x14ac:dyDescent="0.4">
      <c r="A1849" s="2" t="s">
        <v>2239</v>
      </c>
      <c r="B1849" s="5" t="s">
        <v>8307</v>
      </c>
      <c r="C1849" s="7" t="s">
        <v>12556</v>
      </c>
      <c r="D1849" s="8">
        <f t="shared" si="116"/>
        <v>1</v>
      </c>
      <c r="E1849" s="7" t="s">
        <v>12557</v>
      </c>
      <c r="F1849" s="7">
        <f t="shared" si="117"/>
        <v>2</v>
      </c>
      <c r="G1849" s="7" t="s">
        <v>12558</v>
      </c>
      <c r="H1849" s="7">
        <f t="shared" si="118"/>
        <v>1</v>
      </c>
      <c r="I1849" s="7" cm="1">
        <f t="array" ref="I1849">IFERROR(_xlfn.IFS(M1849="נח",1,M1849="נע ונח",1,M1849="שני שווא נח",2,M1849="שני שוואים בסוף מילה",2,M1849="שני שוואים ברצף",1),"0")</f>
        <v>1</v>
      </c>
      <c r="J1849" s="9">
        <f t="shared" si="119"/>
        <v>5</v>
      </c>
      <c r="K1849" t="s">
        <v>6697</v>
      </c>
      <c r="L1849" t="s">
        <v>6694</v>
      </c>
      <c r="M1849" t="s">
        <v>6701</v>
      </c>
      <c r="P1849" t="s">
        <v>6694</v>
      </c>
      <c r="S1849" t="s">
        <v>6694</v>
      </c>
      <c r="U1849" t="s">
        <v>6694</v>
      </c>
      <c r="W1849" t="s">
        <v>6720</v>
      </c>
    </row>
    <row r="1850" spans="1:23" ht="15.6" x14ac:dyDescent="0.4">
      <c r="A1850" s="2" t="s">
        <v>2500</v>
      </c>
      <c r="B1850" s="5" t="s">
        <v>8308</v>
      </c>
      <c r="C1850" s="7" t="s">
        <v>12556</v>
      </c>
      <c r="D1850" s="8">
        <f t="shared" si="116"/>
        <v>0</v>
      </c>
      <c r="E1850" s="7" t="s">
        <v>12557</v>
      </c>
      <c r="F1850" s="7">
        <f t="shared" si="117"/>
        <v>2</v>
      </c>
      <c r="G1850" s="7" t="s">
        <v>12558</v>
      </c>
      <c r="H1850" s="7">
        <f t="shared" si="118"/>
        <v>0</v>
      </c>
      <c r="I1850" s="7" cm="1">
        <f t="array" ref="I1850">IFERROR(_xlfn.IFS(M1850="נח",1,M1850="נע ונח",1,M1850="שני שווא נח",2,M1850="שני שוואים בסוף מילה",2,M1850="שני שוואים ברצף",1),"0")</f>
        <v>1</v>
      </c>
      <c r="J1850" s="9">
        <f t="shared" si="119"/>
        <v>6</v>
      </c>
      <c r="K1850" t="s">
        <v>6698</v>
      </c>
      <c r="L1850" t="s">
        <v>6694</v>
      </c>
      <c r="M1850" t="s">
        <v>6701</v>
      </c>
      <c r="O1850" t="s">
        <v>6694</v>
      </c>
      <c r="P1850" t="s">
        <v>6694</v>
      </c>
      <c r="S1850" t="s">
        <v>6694</v>
      </c>
      <c r="V1850" t="s">
        <v>6694</v>
      </c>
      <c r="W1850" t="s">
        <v>6720</v>
      </c>
    </row>
    <row r="1851" spans="1:23" ht="15.6" x14ac:dyDescent="0.4">
      <c r="A1851" s="2" t="s">
        <v>2601</v>
      </c>
      <c r="B1851" s="5" t="s">
        <v>8309</v>
      </c>
      <c r="C1851" s="7" t="s">
        <v>12556</v>
      </c>
      <c r="D1851" s="8">
        <f t="shared" si="116"/>
        <v>0</v>
      </c>
      <c r="E1851" s="7" t="s">
        <v>12557</v>
      </c>
      <c r="F1851" s="7">
        <f t="shared" si="117"/>
        <v>2</v>
      </c>
      <c r="G1851" s="7" t="s">
        <v>12558</v>
      </c>
      <c r="H1851" s="7">
        <f t="shared" si="118"/>
        <v>0</v>
      </c>
      <c r="I1851" s="7" cm="1">
        <f t="array" ref="I1851">IFERROR(_xlfn.IFS(M1851="נח",1,M1851="נע ונח",1,M1851="שני שווא נח",2,M1851="שני שוואים בסוף מילה",2,M1851="שני שוואים ברצף",1),"0")</f>
        <v>1</v>
      </c>
      <c r="J1851" s="9">
        <f t="shared" si="119"/>
        <v>6</v>
      </c>
      <c r="K1851" t="s">
        <v>6697</v>
      </c>
      <c r="L1851" t="s">
        <v>6694</v>
      </c>
      <c r="M1851" t="s">
        <v>6701</v>
      </c>
      <c r="P1851" t="s">
        <v>6694</v>
      </c>
      <c r="S1851" t="s">
        <v>6694</v>
      </c>
      <c r="W1851" t="s">
        <v>6720</v>
      </c>
    </row>
    <row r="1852" spans="1:23" ht="15.6" x14ac:dyDescent="0.4">
      <c r="A1852" s="2" t="s">
        <v>2487</v>
      </c>
      <c r="B1852" s="5" t="s">
        <v>8310</v>
      </c>
      <c r="C1852" s="7" t="s">
        <v>12556</v>
      </c>
      <c r="D1852" s="8">
        <f t="shared" si="116"/>
        <v>0</v>
      </c>
      <c r="E1852" s="7" t="s">
        <v>12557</v>
      </c>
      <c r="F1852" s="7">
        <f t="shared" si="117"/>
        <v>0</v>
      </c>
      <c r="G1852" s="7" t="s">
        <v>12558</v>
      </c>
      <c r="H1852" s="7">
        <f t="shared" si="118"/>
        <v>0</v>
      </c>
      <c r="I1852" s="7" cm="1">
        <f t="array" ref="I1852">IFERROR(_xlfn.IFS(M1852="נח",1,M1852="נע ונח",1,M1852="שני שווא נח",2,M1852="שני שוואים בסוף מילה",2,M1852="שני שוואים ברצף",1),"0")</f>
        <v>1</v>
      </c>
      <c r="J1852" s="9">
        <f t="shared" si="119"/>
        <v>4</v>
      </c>
      <c r="K1852" t="s">
        <v>6698</v>
      </c>
      <c r="L1852" t="s">
        <v>6694</v>
      </c>
      <c r="M1852" t="s">
        <v>6701</v>
      </c>
      <c r="Q1852" t="s">
        <v>6694</v>
      </c>
      <c r="S1852" t="s">
        <v>6694</v>
      </c>
      <c r="V1852" t="s">
        <v>6694</v>
      </c>
      <c r="W1852" t="s">
        <v>6720</v>
      </c>
    </row>
    <row r="1853" spans="1:23" ht="15.6" x14ac:dyDescent="0.4">
      <c r="A1853" s="2" t="s">
        <v>3964</v>
      </c>
      <c r="B1853" s="5" t="s">
        <v>8311</v>
      </c>
      <c r="C1853" s="7" t="s">
        <v>12556</v>
      </c>
      <c r="D1853" s="8">
        <f t="shared" si="116"/>
        <v>0</v>
      </c>
      <c r="E1853" s="7" t="s">
        <v>12557</v>
      </c>
      <c r="F1853" s="7">
        <f t="shared" si="117"/>
        <v>1</v>
      </c>
      <c r="G1853" s="7" t="s">
        <v>12558</v>
      </c>
      <c r="H1853" s="7">
        <f t="shared" si="118"/>
        <v>1</v>
      </c>
      <c r="I1853" s="7" cm="1">
        <f t="array" ref="I1853">IFERROR(_xlfn.IFS(M1853="נח",1,M1853="נע ונח",1,M1853="שני שווא נח",2,M1853="שני שוואים בסוף מילה",2,M1853="שני שוואים ברצף",1),"0")</f>
        <v>1</v>
      </c>
      <c r="J1853" s="9">
        <f t="shared" si="119"/>
        <v>4</v>
      </c>
      <c r="K1853" t="s">
        <v>6697</v>
      </c>
      <c r="L1853" t="s">
        <v>6694</v>
      </c>
      <c r="M1853" t="s">
        <v>6701</v>
      </c>
      <c r="S1853" t="s">
        <v>6694</v>
      </c>
      <c r="U1853" t="s">
        <v>6694</v>
      </c>
      <c r="W1853" t="s">
        <v>6720</v>
      </c>
    </row>
    <row r="1854" spans="1:23" ht="15.6" x14ac:dyDescent="0.4">
      <c r="A1854" s="2" t="s">
        <v>2503</v>
      </c>
      <c r="B1854" s="5" t="s">
        <v>8312</v>
      </c>
      <c r="C1854" s="7" t="s">
        <v>12556</v>
      </c>
      <c r="D1854" s="8">
        <f t="shared" si="116"/>
        <v>0</v>
      </c>
      <c r="E1854" s="7" t="s">
        <v>12557</v>
      </c>
      <c r="F1854" s="7">
        <f t="shared" si="117"/>
        <v>2</v>
      </c>
      <c r="G1854" s="7" t="s">
        <v>12558</v>
      </c>
      <c r="H1854" s="7">
        <f t="shared" si="118"/>
        <v>1</v>
      </c>
      <c r="I1854" s="7" cm="1">
        <f t="array" ref="I1854">IFERROR(_xlfn.IFS(M1854="נח",1,M1854="נע ונח",1,M1854="שני שווא נח",2,M1854="שני שוואים בסוף מילה",2,M1854="שני שוואים ברצף",1),"0")</f>
        <v>1</v>
      </c>
      <c r="J1854" s="9">
        <f t="shared" si="119"/>
        <v>5</v>
      </c>
      <c r="K1854" t="s">
        <v>6697</v>
      </c>
      <c r="L1854" t="s">
        <v>6694</v>
      </c>
      <c r="M1854" t="s">
        <v>6701</v>
      </c>
      <c r="P1854" t="s">
        <v>6694</v>
      </c>
      <c r="S1854" t="s">
        <v>6694</v>
      </c>
      <c r="U1854" t="s">
        <v>6694</v>
      </c>
      <c r="W1854" t="s">
        <v>6720</v>
      </c>
    </row>
    <row r="1855" spans="1:23" ht="15.6" x14ac:dyDescent="0.4">
      <c r="A1855" s="2" t="s">
        <v>2476</v>
      </c>
      <c r="B1855" s="5" t="s">
        <v>8313</v>
      </c>
      <c r="C1855" s="7" t="s">
        <v>12556</v>
      </c>
      <c r="D1855" s="8">
        <f t="shared" si="116"/>
        <v>0</v>
      </c>
      <c r="E1855" s="7" t="s">
        <v>12557</v>
      </c>
      <c r="F1855" s="7">
        <f t="shared" si="117"/>
        <v>1</v>
      </c>
      <c r="G1855" s="7" t="s">
        <v>12558</v>
      </c>
      <c r="H1855" s="7">
        <f t="shared" si="118"/>
        <v>0</v>
      </c>
      <c r="I1855" s="7" cm="1">
        <f t="array" ref="I1855">IFERROR(_xlfn.IFS(M1855="נח",1,M1855="נע ונח",1,M1855="שני שווא נח",2,M1855="שני שוואים בסוף מילה",2,M1855="שני שוואים ברצף",1),"0")</f>
        <v>1</v>
      </c>
      <c r="J1855" s="9">
        <f t="shared" si="119"/>
        <v>4</v>
      </c>
      <c r="K1855" t="s">
        <v>6698</v>
      </c>
      <c r="L1855" t="s">
        <v>6694</v>
      </c>
      <c r="M1855" t="s">
        <v>6701</v>
      </c>
      <c r="P1855" t="s">
        <v>6694</v>
      </c>
      <c r="S1855" t="s">
        <v>6694</v>
      </c>
      <c r="W1855" t="s">
        <v>6720</v>
      </c>
    </row>
    <row r="1856" spans="1:23" ht="15.6" x14ac:dyDescent="0.4">
      <c r="A1856" s="2" t="s">
        <v>5879</v>
      </c>
      <c r="B1856" s="5" t="s">
        <v>8314</v>
      </c>
      <c r="C1856" s="7" t="s">
        <v>12556</v>
      </c>
      <c r="D1856" s="8">
        <f t="shared" si="116"/>
        <v>0</v>
      </c>
      <c r="E1856" s="7" t="s">
        <v>12557</v>
      </c>
      <c r="F1856" s="7">
        <f t="shared" si="117"/>
        <v>2</v>
      </c>
      <c r="G1856" s="7" t="s">
        <v>12558</v>
      </c>
      <c r="H1856" s="7">
        <f t="shared" si="118"/>
        <v>1</v>
      </c>
      <c r="I1856" s="7" cm="1">
        <f t="array" ref="I1856">IFERROR(_xlfn.IFS(M1856="נח",1,M1856="נע ונח",1,M1856="שני שווא נח",2,M1856="שני שוואים בסוף מילה",2,M1856="שני שוואים ברצף",1),"0")</f>
        <v>1</v>
      </c>
      <c r="J1856" s="9">
        <f t="shared" si="119"/>
        <v>5</v>
      </c>
      <c r="K1856" t="s">
        <v>6697</v>
      </c>
      <c r="L1856" t="s">
        <v>6694</v>
      </c>
      <c r="M1856" t="s">
        <v>6701</v>
      </c>
      <c r="N1856" t="s">
        <v>6706</v>
      </c>
      <c r="O1856" t="s">
        <v>6694</v>
      </c>
      <c r="S1856" t="s">
        <v>6694</v>
      </c>
      <c r="U1856" t="s">
        <v>6694</v>
      </c>
      <c r="W1856" t="s">
        <v>6720</v>
      </c>
    </row>
    <row r="1857" spans="1:23" ht="15.6" x14ac:dyDescent="0.4">
      <c r="A1857" s="2" t="s">
        <v>2997</v>
      </c>
      <c r="B1857" s="5" t="s">
        <v>8315</v>
      </c>
      <c r="C1857" s="7" t="s">
        <v>12556</v>
      </c>
      <c r="D1857" s="8">
        <f t="shared" si="116"/>
        <v>0</v>
      </c>
      <c r="E1857" s="7" t="s">
        <v>12557</v>
      </c>
      <c r="F1857" s="7">
        <f t="shared" si="117"/>
        <v>0</v>
      </c>
      <c r="G1857" s="7" t="s">
        <v>12558</v>
      </c>
      <c r="H1857" s="7">
        <f t="shared" si="118"/>
        <v>0</v>
      </c>
      <c r="I1857" s="7" t="str" cm="1">
        <f t="array" ref="I1857">IFERROR(_xlfn.IFS(M1857="נח",1,M1857="נע ונח",1,M1857="שני שווא נח",2,M1857="שני שוואים בסוף מילה",2,M1857="שני שוואים ברצף",1),"0")</f>
        <v>0</v>
      </c>
      <c r="J1857" s="9">
        <f t="shared" si="119"/>
        <v>2</v>
      </c>
      <c r="K1857" t="s">
        <v>6698</v>
      </c>
      <c r="L1857" t="s">
        <v>6694</v>
      </c>
      <c r="M1857" t="s">
        <v>6700</v>
      </c>
      <c r="Q1857" t="s">
        <v>6694</v>
      </c>
      <c r="W1857" t="s">
        <v>6720</v>
      </c>
    </row>
    <row r="1858" spans="1:23" ht="15.6" x14ac:dyDescent="0.4">
      <c r="A1858" s="2" t="s">
        <v>4056</v>
      </c>
      <c r="B1858" s="5" t="s">
        <v>8316</v>
      </c>
      <c r="C1858" s="7" t="s">
        <v>12556</v>
      </c>
      <c r="D1858" s="8">
        <f t="shared" si="116"/>
        <v>0</v>
      </c>
      <c r="E1858" s="7" t="s">
        <v>12557</v>
      </c>
      <c r="F1858" s="7">
        <f t="shared" si="117"/>
        <v>1</v>
      </c>
      <c r="G1858" s="7" t="s">
        <v>12558</v>
      </c>
      <c r="H1858" s="7">
        <f t="shared" si="118"/>
        <v>0</v>
      </c>
      <c r="I1858" s="7" t="str" cm="1">
        <f t="array" ref="I1858">IFERROR(_xlfn.IFS(M1858="נח",1,M1858="נע ונח",1,M1858="שני שווא נח",2,M1858="שני שוואים בסוף מילה",2,M1858="שני שוואים ברצף",1),"0")</f>
        <v>0</v>
      </c>
      <c r="J1858" s="9">
        <f t="shared" si="119"/>
        <v>3</v>
      </c>
      <c r="K1858" t="s">
        <v>6697</v>
      </c>
      <c r="L1858" t="s">
        <v>6694</v>
      </c>
      <c r="M1858" t="s">
        <v>6700</v>
      </c>
      <c r="O1858" t="s">
        <v>6694</v>
      </c>
      <c r="Q1858" t="s">
        <v>6694</v>
      </c>
      <c r="W1858" t="s">
        <v>6720</v>
      </c>
    </row>
    <row r="1859" spans="1:23" ht="15.6" x14ac:dyDescent="0.4">
      <c r="A1859" s="2" t="s">
        <v>1509</v>
      </c>
      <c r="B1859" s="5" t="s">
        <v>8317</v>
      </c>
      <c r="C1859" s="7" t="s">
        <v>12556</v>
      </c>
      <c r="D1859" s="8">
        <f t="shared" ref="D1859:D1922" si="120">(LEN(B1859)-LEN(SUBSTITUTE(B1859,C1859,"")))</f>
        <v>0</v>
      </c>
      <c r="E1859" s="7" t="s">
        <v>12557</v>
      </c>
      <c r="F1859" s="7">
        <f t="shared" ref="F1859:F1922" si="121">(LEN(A1859)-LEN(SUBSTITUTE(A1859,E1859,"")))</f>
        <v>0</v>
      </c>
      <c r="G1859" s="7" t="s">
        <v>12558</v>
      </c>
      <c r="H1859" s="7">
        <f t="shared" ref="H1859:H1922" si="122">(LEN(A1859)-LEN(SUBSTITUTE(A1859,G1859,"")))/2</f>
        <v>0</v>
      </c>
      <c r="I1859" s="7" cm="1">
        <f t="array" ref="I1859">IFERROR(_xlfn.IFS(M1859="נח",1,M1859="נע ונח",1,M1859="שני שווא נח",2,M1859="שני שוואים בסוף מילה",2,M1859="שני שוואים ברצף",1),"0")</f>
        <v>1</v>
      </c>
      <c r="J1859" s="9">
        <f t="shared" ref="J1859:J1922" si="123">LEN(A1859)-(LEN(B1859))-D1859-F1859+H1859-I1859</f>
        <v>3</v>
      </c>
      <c r="K1859" t="s">
        <v>6698</v>
      </c>
      <c r="L1859" t="s">
        <v>6694</v>
      </c>
      <c r="M1859" t="s">
        <v>6701</v>
      </c>
      <c r="R1859" t="s">
        <v>6694</v>
      </c>
      <c r="V1859" t="s">
        <v>6694</v>
      </c>
      <c r="W1859" t="s">
        <v>6720</v>
      </c>
    </row>
    <row r="1860" spans="1:23" ht="15.6" x14ac:dyDescent="0.4">
      <c r="A1860" s="2" t="s">
        <v>5338</v>
      </c>
      <c r="B1860" s="5" t="s">
        <v>8318</v>
      </c>
      <c r="C1860" s="7" t="s">
        <v>12556</v>
      </c>
      <c r="D1860" s="8">
        <f t="shared" si="120"/>
        <v>1</v>
      </c>
      <c r="E1860" s="7" t="s">
        <v>12557</v>
      </c>
      <c r="F1860" s="7">
        <f t="shared" si="121"/>
        <v>1</v>
      </c>
      <c r="G1860" s="7" t="s">
        <v>12558</v>
      </c>
      <c r="H1860" s="7">
        <f t="shared" si="122"/>
        <v>0</v>
      </c>
      <c r="I1860" s="7" cm="1">
        <f t="array" ref="I1860">IFERROR(_xlfn.IFS(M1860="נח",1,M1860="נע ונח",1,M1860="שני שווא נח",2,M1860="שני שוואים בסוף מילה",2,M1860="שני שוואים ברצף",1),"0")</f>
        <v>1</v>
      </c>
      <c r="J1860" s="9">
        <f t="shared" si="123"/>
        <v>5</v>
      </c>
      <c r="K1860" t="s">
        <v>6697</v>
      </c>
      <c r="L1860" t="s">
        <v>6694</v>
      </c>
      <c r="M1860" t="s">
        <v>6701</v>
      </c>
      <c r="P1860" t="s">
        <v>6694</v>
      </c>
      <c r="R1860" t="s">
        <v>6694</v>
      </c>
      <c r="S1860" t="s">
        <v>6694</v>
      </c>
      <c r="W1860" t="s">
        <v>6720</v>
      </c>
    </row>
    <row r="1861" spans="1:23" ht="15.6" x14ac:dyDescent="0.4">
      <c r="A1861" s="2" t="s">
        <v>1790</v>
      </c>
      <c r="B1861" s="5" t="s">
        <v>8319</v>
      </c>
      <c r="C1861" s="7" t="s">
        <v>12556</v>
      </c>
      <c r="D1861" s="8">
        <f t="shared" si="120"/>
        <v>0</v>
      </c>
      <c r="E1861" s="7" t="s">
        <v>12557</v>
      </c>
      <c r="F1861" s="7">
        <f t="shared" si="121"/>
        <v>0</v>
      </c>
      <c r="G1861" s="7" t="s">
        <v>12558</v>
      </c>
      <c r="H1861" s="7">
        <f t="shared" si="122"/>
        <v>0</v>
      </c>
      <c r="I1861" s="7" t="str" cm="1">
        <f t="array" ref="I1861">IFERROR(_xlfn.IFS(M1861="נח",1,M1861="נע ונח",1,M1861="שני שווא נח",2,M1861="שני שוואים בסוף מילה",2,M1861="שני שוואים ברצף",1),"0")</f>
        <v>0</v>
      </c>
      <c r="J1861" s="9">
        <f t="shared" si="123"/>
        <v>4</v>
      </c>
      <c r="K1861" t="s">
        <v>6698</v>
      </c>
      <c r="L1861" t="s">
        <v>6694</v>
      </c>
      <c r="M1861" t="s">
        <v>6700</v>
      </c>
      <c r="R1861" t="s">
        <v>6694</v>
      </c>
      <c r="S1861" t="s">
        <v>6694</v>
      </c>
      <c r="W1861" t="s">
        <v>6720</v>
      </c>
    </row>
    <row r="1862" spans="1:23" ht="15.6" x14ac:dyDescent="0.4">
      <c r="A1862" s="2" t="s">
        <v>5625</v>
      </c>
      <c r="B1862" s="5" t="s">
        <v>8320</v>
      </c>
      <c r="C1862" s="7" t="s">
        <v>12556</v>
      </c>
      <c r="D1862" s="8">
        <f t="shared" si="120"/>
        <v>0</v>
      </c>
      <c r="E1862" s="7" t="s">
        <v>12557</v>
      </c>
      <c r="F1862" s="7">
        <f t="shared" si="121"/>
        <v>1</v>
      </c>
      <c r="G1862" s="7" t="s">
        <v>12558</v>
      </c>
      <c r="H1862" s="7">
        <f t="shared" si="122"/>
        <v>0</v>
      </c>
      <c r="I1862" s="7" cm="1">
        <f t="array" ref="I1862">IFERROR(_xlfn.IFS(M1862="נח",1,M1862="נע ונח",1,M1862="שני שווא נח",2,M1862="שני שוואים בסוף מילה",2,M1862="שני שוואים ברצף",1),"0")</f>
        <v>1</v>
      </c>
      <c r="J1862" s="9">
        <f t="shared" si="123"/>
        <v>5</v>
      </c>
      <c r="K1862" t="s">
        <v>6698</v>
      </c>
      <c r="L1862" t="s">
        <v>6694</v>
      </c>
      <c r="M1862" t="s">
        <v>6701</v>
      </c>
      <c r="O1862" t="s">
        <v>6694</v>
      </c>
      <c r="P1862" t="s">
        <v>6694</v>
      </c>
      <c r="W1862" t="s">
        <v>6720</v>
      </c>
    </row>
    <row r="1863" spans="1:23" ht="15.6" x14ac:dyDescent="0.4">
      <c r="A1863" s="2" t="s">
        <v>4722</v>
      </c>
      <c r="B1863" s="5" t="s">
        <v>8321</v>
      </c>
      <c r="C1863" s="7" t="s">
        <v>12556</v>
      </c>
      <c r="D1863" s="8">
        <f t="shared" si="120"/>
        <v>0</v>
      </c>
      <c r="E1863" s="7" t="s">
        <v>12557</v>
      </c>
      <c r="F1863" s="7">
        <f t="shared" si="121"/>
        <v>0</v>
      </c>
      <c r="G1863" s="7" t="s">
        <v>12558</v>
      </c>
      <c r="H1863" s="7">
        <f t="shared" si="122"/>
        <v>0</v>
      </c>
      <c r="I1863" s="7" t="str" cm="1">
        <f t="array" ref="I1863">IFERROR(_xlfn.IFS(M1863="נח",1,M1863="נע ונח",1,M1863="שני שווא נח",2,M1863="שני שוואים בסוף מילה",2,M1863="שני שוואים ברצף",1),"0")</f>
        <v>0</v>
      </c>
      <c r="J1863" s="9">
        <f t="shared" si="123"/>
        <v>4</v>
      </c>
      <c r="K1863" t="s">
        <v>6698</v>
      </c>
      <c r="L1863" t="s">
        <v>6694</v>
      </c>
      <c r="M1863" t="s">
        <v>6700</v>
      </c>
      <c r="P1863" t="s">
        <v>6694</v>
      </c>
      <c r="S1863" t="s">
        <v>6694</v>
      </c>
      <c r="W1863" t="s">
        <v>6720</v>
      </c>
    </row>
    <row r="1864" spans="1:23" ht="15.6" x14ac:dyDescent="0.4">
      <c r="A1864" s="2" t="s">
        <v>4908</v>
      </c>
      <c r="B1864" s="5" t="s">
        <v>8322</v>
      </c>
      <c r="C1864" s="7" t="s">
        <v>12556</v>
      </c>
      <c r="D1864" s="8">
        <f t="shared" si="120"/>
        <v>0</v>
      </c>
      <c r="E1864" s="7" t="s">
        <v>12557</v>
      </c>
      <c r="F1864" s="7">
        <f t="shared" si="121"/>
        <v>1</v>
      </c>
      <c r="G1864" s="7" t="s">
        <v>12558</v>
      </c>
      <c r="H1864" s="7">
        <f t="shared" si="122"/>
        <v>0</v>
      </c>
      <c r="I1864" s="7" t="str" cm="1">
        <f t="array" ref="I1864">IFERROR(_xlfn.IFS(M1864="נח",1,M1864="נע ונח",1,M1864="שני שווא נח",2,M1864="שני שוואים בסוף מילה",2,M1864="שני שוואים ברצף",1),"0")</f>
        <v>0</v>
      </c>
      <c r="J1864" s="9">
        <f t="shared" si="123"/>
        <v>3</v>
      </c>
      <c r="K1864" t="s">
        <v>6698</v>
      </c>
      <c r="L1864" t="s">
        <v>6694</v>
      </c>
      <c r="M1864" t="s">
        <v>6700</v>
      </c>
      <c r="P1864" t="s">
        <v>6694</v>
      </c>
      <c r="Q1864" t="s">
        <v>6694</v>
      </c>
      <c r="W1864" t="s">
        <v>6720</v>
      </c>
    </row>
    <row r="1865" spans="1:23" ht="15.6" x14ac:dyDescent="0.4">
      <c r="A1865" s="2" t="s">
        <v>2731</v>
      </c>
      <c r="B1865" s="5" t="s">
        <v>8323</v>
      </c>
      <c r="C1865" s="7" t="s">
        <v>12556</v>
      </c>
      <c r="D1865" s="8">
        <f t="shared" si="120"/>
        <v>0</v>
      </c>
      <c r="E1865" s="7" t="s">
        <v>12557</v>
      </c>
      <c r="F1865" s="7">
        <f t="shared" si="121"/>
        <v>1</v>
      </c>
      <c r="G1865" s="7" t="s">
        <v>12558</v>
      </c>
      <c r="H1865" s="7">
        <f t="shared" si="122"/>
        <v>0</v>
      </c>
      <c r="I1865" s="7" t="str" cm="1">
        <f t="array" ref="I1865">IFERROR(_xlfn.IFS(M1865="נח",1,M1865="נע ונח",1,M1865="שני שווא נח",2,M1865="שני שוואים בסוף מילה",2,M1865="שני שוואים ברצף",1),"0")</f>
        <v>0</v>
      </c>
      <c r="J1865" s="9">
        <f t="shared" si="123"/>
        <v>5</v>
      </c>
      <c r="K1865" t="s">
        <v>6697</v>
      </c>
      <c r="L1865" t="s">
        <v>6694</v>
      </c>
      <c r="M1865" t="s">
        <v>6700</v>
      </c>
      <c r="N1865" t="s">
        <v>6707</v>
      </c>
      <c r="P1865" t="s">
        <v>6694</v>
      </c>
      <c r="Q1865" t="s">
        <v>6694</v>
      </c>
      <c r="V1865" t="s">
        <v>6694</v>
      </c>
      <c r="W1865" t="s">
        <v>6720</v>
      </c>
    </row>
    <row r="1866" spans="1:23" ht="15.6" x14ac:dyDescent="0.4">
      <c r="A1866" s="2" t="s">
        <v>5002</v>
      </c>
      <c r="B1866" s="5" t="s">
        <v>8324</v>
      </c>
      <c r="C1866" s="7" t="s">
        <v>12556</v>
      </c>
      <c r="D1866" s="8">
        <f t="shared" si="120"/>
        <v>0</v>
      </c>
      <c r="E1866" s="7" t="s">
        <v>12557</v>
      </c>
      <c r="F1866" s="7">
        <f t="shared" si="121"/>
        <v>1</v>
      </c>
      <c r="G1866" s="7" t="s">
        <v>12558</v>
      </c>
      <c r="H1866" s="7">
        <f t="shared" si="122"/>
        <v>0</v>
      </c>
      <c r="I1866" s="7" cm="1">
        <f t="array" ref="I1866">IFERROR(_xlfn.IFS(M1866="נח",1,M1866="נע ונח",1,M1866="שני שווא נח",2,M1866="שני שוואים בסוף מילה",2,M1866="שני שוואים ברצף",1),"0")</f>
        <v>1</v>
      </c>
      <c r="J1866" s="9">
        <f t="shared" si="123"/>
        <v>4</v>
      </c>
      <c r="K1866" t="s">
        <v>6698</v>
      </c>
      <c r="L1866" t="s">
        <v>6694</v>
      </c>
      <c r="M1866" t="s">
        <v>6701</v>
      </c>
      <c r="P1866" t="s">
        <v>6694</v>
      </c>
      <c r="S1866" t="s">
        <v>6694</v>
      </c>
      <c r="V1866" t="s">
        <v>6694</v>
      </c>
      <c r="W1866" t="s">
        <v>6720</v>
      </c>
    </row>
    <row r="1867" spans="1:23" ht="15.6" x14ac:dyDescent="0.4">
      <c r="A1867" s="2" t="s">
        <v>3721</v>
      </c>
      <c r="B1867" s="5" t="s">
        <v>8325</v>
      </c>
      <c r="C1867" s="7" t="s">
        <v>12556</v>
      </c>
      <c r="D1867" s="8">
        <f t="shared" si="120"/>
        <v>0</v>
      </c>
      <c r="E1867" s="7" t="s">
        <v>12557</v>
      </c>
      <c r="F1867" s="7">
        <f t="shared" si="121"/>
        <v>1</v>
      </c>
      <c r="G1867" s="7" t="s">
        <v>12558</v>
      </c>
      <c r="H1867" s="7">
        <f t="shared" si="122"/>
        <v>0</v>
      </c>
      <c r="I1867" s="7" t="str" cm="1">
        <f t="array" ref="I1867">IFERROR(_xlfn.IFS(M1867="נח",1,M1867="נע ונח",1,M1867="שני שווא נח",2,M1867="שני שוואים בסוף מילה",2,M1867="שני שוואים ברצף",1),"0")</f>
        <v>0</v>
      </c>
      <c r="J1867" s="9">
        <f t="shared" si="123"/>
        <v>3</v>
      </c>
      <c r="K1867" t="s">
        <v>6697</v>
      </c>
      <c r="L1867" t="s">
        <v>6694</v>
      </c>
      <c r="M1867" t="s">
        <v>6700</v>
      </c>
      <c r="P1867" t="s">
        <v>6694</v>
      </c>
      <c r="S1867" t="s">
        <v>6694</v>
      </c>
      <c r="W1867" t="s">
        <v>6720</v>
      </c>
    </row>
    <row r="1868" spans="1:23" ht="15.6" x14ac:dyDescent="0.4">
      <c r="A1868" s="2" t="s">
        <v>5376</v>
      </c>
      <c r="B1868" s="5" t="s">
        <v>8326</v>
      </c>
      <c r="C1868" s="7" t="s">
        <v>12556</v>
      </c>
      <c r="D1868" s="8">
        <f t="shared" si="120"/>
        <v>0</v>
      </c>
      <c r="E1868" s="7" t="s">
        <v>12557</v>
      </c>
      <c r="F1868" s="7">
        <f t="shared" si="121"/>
        <v>1</v>
      </c>
      <c r="G1868" s="7" t="s">
        <v>12558</v>
      </c>
      <c r="H1868" s="7">
        <f t="shared" si="122"/>
        <v>0</v>
      </c>
      <c r="I1868" s="7" cm="1">
        <f t="array" ref="I1868">IFERROR(_xlfn.IFS(M1868="נח",1,M1868="נע ונח",1,M1868="שני שווא נח",2,M1868="שני שוואים בסוף מילה",2,M1868="שני שוואים ברצף",1),"0")</f>
        <v>1</v>
      </c>
      <c r="J1868" s="9">
        <f t="shared" si="123"/>
        <v>4</v>
      </c>
      <c r="K1868" t="s">
        <v>6698</v>
      </c>
      <c r="L1868" t="s">
        <v>6694</v>
      </c>
      <c r="M1868" t="s">
        <v>6701</v>
      </c>
      <c r="P1868" t="s">
        <v>6694</v>
      </c>
      <c r="R1868" t="s">
        <v>6694</v>
      </c>
      <c r="W1868" t="s">
        <v>6720</v>
      </c>
    </row>
    <row r="1869" spans="1:23" ht="15.6" x14ac:dyDescent="0.4">
      <c r="A1869" s="2" t="s">
        <v>1412</v>
      </c>
      <c r="B1869" s="5" t="s">
        <v>8327</v>
      </c>
      <c r="C1869" s="7" t="s">
        <v>12556</v>
      </c>
      <c r="D1869" s="8">
        <f t="shared" si="120"/>
        <v>0</v>
      </c>
      <c r="E1869" s="7" t="s">
        <v>12557</v>
      </c>
      <c r="F1869" s="7">
        <f t="shared" si="121"/>
        <v>1</v>
      </c>
      <c r="G1869" s="7" t="s">
        <v>12558</v>
      </c>
      <c r="H1869" s="7">
        <f t="shared" si="122"/>
        <v>0</v>
      </c>
      <c r="I1869" s="7" t="str" cm="1">
        <f t="array" ref="I1869">IFERROR(_xlfn.IFS(M1869="נח",1,M1869="נע ונח",1,M1869="שני שווא נח",2,M1869="שני שוואים בסוף מילה",2,M1869="שני שוואים ברצף",1),"0")</f>
        <v>0</v>
      </c>
      <c r="J1869" s="9">
        <f t="shared" si="123"/>
        <v>4</v>
      </c>
      <c r="K1869" t="s">
        <v>6698</v>
      </c>
      <c r="L1869" t="s">
        <v>6694</v>
      </c>
      <c r="M1869" t="s">
        <v>6700</v>
      </c>
      <c r="P1869" t="s">
        <v>6694</v>
      </c>
      <c r="S1869" t="s">
        <v>6694</v>
      </c>
      <c r="W1869" t="s">
        <v>6720</v>
      </c>
    </row>
    <row r="1870" spans="1:23" ht="15.6" x14ac:dyDescent="0.4">
      <c r="A1870" s="2" t="s">
        <v>938</v>
      </c>
      <c r="B1870" s="5" t="s">
        <v>8328</v>
      </c>
      <c r="C1870" s="7" t="s">
        <v>12556</v>
      </c>
      <c r="D1870" s="8">
        <f t="shared" si="120"/>
        <v>0</v>
      </c>
      <c r="E1870" s="7" t="s">
        <v>12557</v>
      </c>
      <c r="F1870" s="7">
        <f t="shared" si="121"/>
        <v>1</v>
      </c>
      <c r="G1870" s="7" t="s">
        <v>12558</v>
      </c>
      <c r="H1870" s="7">
        <f t="shared" si="122"/>
        <v>0</v>
      </c>
      <c r="I1870" s="7" t="str" cm="1">
        <f t="array" ref="I1870">IFERROR(_xlfn.IFS(M1870="נח",1,M1870="נע ונח",1,M1870="שני שווא נח",2,M1870="שני שוואים בסוף מילה",2,M1870="שני שוואים ברצף",1),"0")</f>
        <v>0</v>
      </c>
      <c r="J1870" s="9">
        <f t="shared" si="123"/>
        <v>5</v>
      </c>
      <c r="K1870" t="s">
        <v>6697</v>
      </c>
      <c r="L1870" t="s">
        <v>6694</v>
      </c>
      <c r="M1870" t="s">
        <v>6700</v>
      </c>
      <c r="P1870" t="s">
        <v>6694</v>
      </c>
      <c r="Q1870" t="s">
        <v>6694</v>
      </c>
      <c r="S1870" t="s">
        <v>6694</v>
      </c>
      <c r="W1870" t="s">
        <v>6720</v>
      </c>
    </row>
    <row r="1871" spans="1:23" ht="15.6" x14ac:dyDescent="0.4">
      <c r="A1871" s="2" t="s">
        <v>5475</v>
      </c>
      <c r="B1871" s="5" t="s">
        <v>8329</v>
      </c>
      <c r="C1871" s="7" t="s">
        <v>12556</v>
      </c>
      <c r="D1871" s="8">
        <f t="shared" si="120"/>
        <v>0</v>
      </c>
      <c r="E1871" s="7" t="s">
        <v>12557</v>
      </c>
      <c r="F1871" s="7">
        <f t="shared" si="121"/>
        <v>2</v>
      </c>
      <c r="G1871" s="7" t="s">
        <v>12558</v>
      </c>
      <c r="H1871" s="7">
        <f t="shared" si="122"/>
        <v>1</v>
      </c>
      <c r="I1871" s="7" t="str" cm="1">
        <f t="array" ref="I1871">IFERROR(_xlfn.IFS(M1871="נח",1,M1871="נע ונח",1,M1871="שני שווא נח",2,M1871="שני שוואים בסוף מילה",2,M1871="שני שוואים ברצף",1),"0")</f>
        <v>0</v>
      </c>
      <c r="J1871" s="9">
        <f t="shared" si="123"/>
        <v>5</v>
      </c>
      <c r="K1871" t="s">
        <v>6697</v>
      </c>
      <c r="L1871" t="s">
        <v>6694</v>
      </c>
      <c r="M1871" t="s">
        <v>6700</v>
      </c>
      <c r="P1871" t="s">
        <v>6694</v>
      </c>
      <c r="Q1871" t="s">
        <v>6694</v>
      </c>
      <c r="S1871" t="s">
        <v>6694</v>
      </c>
      <c r="U1871" t="s">
        <v>6694</v>
      </c>
      <c r="W1871" t="s">
        <v>6720</v>
      </c>
    </row>
    <row r="1872" spans="1:23" ht="15.6" x14ac:dyDescent="0.4">
      <c r="A1872" s="2" t="s">
        <v>2733</v>
      </c>
      <c r="B1872" s="5" t="s">
        <v>8330</v>
      </c>
      <c r="C1872" s="7" t="s">
        <v>12556</v>
      </c>
      <c r="D1872" s="8">
        <f t="shared" si="120"/>
        <v>0</v>
      </c>
      <c r="E1872" s="7" t="s">
        <v>12557</v>
      </c>
      <c r="F1872" s="7">
        <f t="shared" si="121"/>
        <v>1</v>
      </c>
      <c r="G1872" s="7" t="s">
        <v>12558</v>
      </c>
      <c r="H1872" s="7">
        <f t="shared" si="122"/>
        <v>1</v>
      </c>
      <c r="I1872" s="7" cm="1">
        <f t="array" ref="I1872">IFERROR(_xlfn.IFS(M1872="נח",1,M1872="נע ונח",1,M1872="שני שווא נח",2,M1872="שני שוואים בסוף מילה",2,M1872="שני שוואים ברצף",1),"0")</f>
        <v>1</v>
      </c>
      <c r="J1872" s="9">
        <f t="shared" si="123"/>
        <v>4</v>
      </c>
      <c r="K1872" t="s">
        <v>6697</v>
      </c>
      <c r="L1872" t="s">
        <v>6694</v>
      </c>
      <c r="M1872" t="s">
        <v>6701</v>
      </c>
      <c r="P1872" t="s">
        <v>6694</v>
      </c>
      <c r="S1872" t="s">
        <v>6694</v>
      </c>
      <c r="U1872" t="s">
        <v>6694</v>
      </c>
      <c r="W1872" t="s">
        <v>6720</v>
      </c>
    </row>
    <row r="1873" spans="1:23" ht="15.6" x14ac:dyDescent="0.4">
      <c r="A1873" s="2" t="s">
        <v>4431</v>
      </c>
      <c r="B1873" s="5" t="s">
        <v>8331</v>
      </c>
      <c r="C1873" s="7" t="s">
        <v>12556</v>
      </c>
      <c r="D1873" s="8">
        <f t="shared" si="120"/>
        <v>1</v>
      </c>
      <c r="E1873" s="7" t="s">
        <v>12557</v>
      </c>
      <c r="F1873" s="7">
        <f t="shared" si="121"/>
        <v>1</v>
      </c>
      <c r="G1873" s="7" t="s">
        <v>12558</v>
      </c>
      <c r="H1873" s="7">
        <f t="shared" si="122"/>
        <v>1</v>
      </c>
      <c r="I1873" s="7" cm="1">
        <f t="array" ref="I1873">IFERROR(_xlfn.IFS(M1873="נח",1,M1873="נע ונח",1,M1873="שני שווא נח",2,M1873="שני שוואים בסוף מילה",2,M1873="שני שוואים ברצף",1),"0")</f>
        <v>1</v>
      </c>
      <c r="J1873" s="9">
        <f t="shared" si="123"/>
        <v>4</v>
      </c>
      <c r="K1873" t="s">
        <v>6697</v>
      </c>
      <c r="L1873" t="s">
        <v>6694</v>
      </c>
      <c r="M1873" t="s">
        <v>6701</v>
      </c>
      <c r="P1873" t="s">
        <v>6694</v>
      </c>
      <c r="S1873" t="s">
        <v>6694</v>
      </c>
      <c r="U1873" t="s">
        <v>6694</v>
      </c>
      <c r="W1873" t="s">
        <v>6720</v>
      </c>
    </row>
    <row r="1874" spans="1:23" ht="15.6" x14ac:dyDescent="0.4">
      <c r="A1874" s="2" t="s">
        <v>4789</v>
      </c>
      <c r="B1874" s="5" t="s">
        <v>8332</v>
      </c>
      <c r="C1874" s="7" t="s">
        <v>12556</v>
      </c>
      <c r="D1874" s="8">
        <f t="shared" si="120"/>
        <v>0</v>
      </c>
      <c r="E1874" s="7" t="s">
        <v>12557</v>
      </c>
      <c r="F1874" s="7">
        <f t="shared" si="121"/>
        <v>0</v>
      </c>
      <c r="G1874" s="7" t="s">
        <v>12558</v>
      </c>
      <c r="H1874" s="7">
        <f t="shared" si="122"/>
        <v>0</v>
      </c>
      <c r="I1874" s="7" t="str" cm="1">
        <f t="array" ref="I1874">IFERROR(_xlfn.IFS(M1874="נח",1,M1874="נע ונח",1,M1874="שני שווא נח",2,M1874="שני שוואים בסוף מילה",2,M1874="שני שוואים ברצף",1),"0")</f>
        <v>0</v>
      </c>
      <c r="J1874" s="9">
        <f t="shared" si="123"/>
        <v>3</v>
      </c>
      <c r="K1874" t="s">
        <v>6698</v>
      </c>
      <c r="L1874" t="s">
        <v>6694</v>
      </c>
      <c r="M1874" t="s">
        <v>6700</v>
      </c>
      <c r="O1874" t="s">
        <v>6694</v>
      </c>
      <c r="Q1874" t="s">
        <v>6694</v>
      </c>
      <c r="W1874" t="s">
        <v>6720</v>
      </c>
    </row>
    <row r="1875" spans="1:23" ht="15.6" x14ac:dyDescent="0.4">
      <c r="A1875" s="2" t="s">
        <v>5195</v>
      </c>
      <c r="B1875" s="5" t="s">
        <v>8333</v>
      </c>
      <c r="C1875" s="7" t="s">
        <v>12556</v>
      </c>
      <c r="D1875" s="8">
        <f t="shared" si="120"/>
        <v>0</v>
      </c>
      <c r="E1875" s="7" t="s">
        <v>12557</v>
      </c>
      <c r="F1875" s="7">
        <f t="shared" si="121"/>
        <v>0</v>
      </c>
      <c r="G1875" s="7" t="s">
        <v>12558</v>
      </c>
      <c r="H1875" s="7">
        <f t="shared" si="122"/>
        <v>0</v>
      </c>
      <c r="I1875" s="7" t="str" cm="1">
        <f t="array" ref="I1875">IFERROR(_xlfn.IFS(M1875="נח",1,M1875="נע ונח",1,M1875="שני שווא נח",2,M1875="שני שוואים בסוף מילה",2,M1875="שני שוואים ברצף",1),"0")</f>
        <v>0</v>
      </c>
      <c r="J1875" s="9">
        <f t="shared" si="123"/>
        <v>4</v>
      </c>
      <c r="K1875" t="s">
        <v>6698</v>
      </c>
      <c r="L1875" t="s">
        <v>6694</v>
      </c>
      <c r="M1875" t="s">
        <v>6700</v>
      </c>
      <c r="O1875" t="s">
        <v>6694</v>
      </c>
      <c r="R1875" t="s">
        <v>6694</v>
      </c>
      <c r="W1875" t="s">
        <v>6720</v>
      </c>
    </row>
    <row r="1876" spans="1:23" ht="15.6" x14ac:dyDescent="0.4">
      <c r="A1876" s="2" t="s">
        <v>4753</v>
      </c>
      <c r="B1876" s="5" t="s">
        <v>8334</v>
      </c>
      <c r="C1876" s="7" t="s">
        <v>12556</v>
      </c>
      <c r="D1876" s="8">
        <f t="shared" si="120"/>
        <v>0</v>
      </c>
      <c r="E1876" s="7" t="s">
        <v>12557</v>
      </c>
      <c r="F1876" s="7">
        <f t="shared" si="121"/>
        <v>0</v>
      </c>
      <c r="G1876" s="7" t="s">
        <v>12558</v>
      </c>
      <c r="H1876" s="7">
        <f t="shared" si="122"/>
        <v>0</v>
      </c>
      <c r="I1876" s="7" t="str" cm="1">
        <f t="array" ref="I1876">IFERROR(_xlfn.IFS(M1876="נח",1,M1876="נע ונח",1,M1876="שני שווא נח",2,M1876="שני שוואים בסוף מילה",2,M1876="שני שוואים ברצף",1),"0")</f>
        <v>0</v>
      </c>
      <c r="J1876" s="9">
        <f t="shared" si="123"/>
        <v>4</v>
      </c>
      <c r="K1876" t="s">
        <v>6697</v>
      </c>
      <c r="L1876" t="s">
        <v>6694</v>
      </c>
      <c r="M1876" t="s">
        <v>6700</v>
      </c>
      <c r="O1876" t="s">
        <v>6694</v>
      </c>
      <c r="S1876" t="s">
        <v>6694</v>
      </c>
      <c r="W1876" t="s">
        <v>6720</v>
      </c>
    </row>
    <row r="1877" spans="1:23" ht="15.6" x14ac:dyDescent="0.4">
      <c r="A1877" s="2" t="s">
        <v>3816</v>
      </c>
      <c r="B1877" s="5" t="s">
        <v>8335</v>
      </c>
      <c r="C1877" s="7" t="s">
        <v>12556</v>
      </c>
      <c r="D1877" s="8">
        <f t="shared" si="120"/>
        <v>0</v>
      </c>
      <c r="E1877" s="7" t="s">
        <v>12557</v>
      </c>
      <c r="F1877" s="7">
        <f t="shared" si="121"/>
        <v>1</v>
      </c>
      <c r="G1877" s="7" t="s">
        <v>12558</v>
      </c>
      <c r="H1877" s="7">
        <f t="shared" si="122"/>
        <v>1</v>
      </c>
      <c r="I1877" s="7" t="str" cm="1">
        <f t="array" ref="I1877">IFERROR(_xlfn.IFS(M1877="נח",1,M1877="נע ונח",1,M1877="שני שווא נח",2,M1877="שני שוואים בסוף מילה",2,M1877="שני שוואים ברצף",1),"0")</f>
        <v>0</v>
      </c>
      <c r="J1877" s="9">
        <f t="shared" si="123"/>
        <v>3</v>
      </c>
      <c r="K1877" t="s">
        <v>6698</v>
      </c>
      <c r="L1877" t="s">
        <v>6694</v>
      </c>
      <c r="M1877" t="s">
        <v>6700</v>
      </c>
      <c r="O1877" t="s">
        <v>6694</v>
      </c>
      <c r="U1877" t="s">
        <v>6694</v>
      </c>
      <c r="W1877" t="s">
        <v>6720</v>
      </c>
    </row>
    <row r="1878" spans="1:23" ht="15.6" x14ac:dyDescent="0.4">
      <c r="A1878" s="2" t="s">
        <v>616</v>
      </c>
      <c r="B1878" s="5" t="s">
        <v>8336</v>
      </c>
      <c r="C1878" s="7" t="s">
        <v>12556</v>
      </c>
      <c r="D1878" s="8">
        <f t="shared" si="120"/>
        <v>0</v>
      </c>
      <c r="E1878" s="7" t="s">
        <v>12557</v>
      </c>
      <c r="F1878" s="7">
        <f t="shared" si="121"/>
        <v>0</v>
      </c>
      <c r="G1878" s="7" t="s">
        <v>12558</v>
      </c>
      <c r="H1878" s="7">
        <f t="shared" si="122"/>
        <v>0</v>
      </c>
      <c r="I1878" s="7" t="str" cm="1">
        <f t="array" ref="I1878">IFERROR(_xlfn.IFS(M1878="נח",1,M1878="נע ונח",1,M1878="שני שווא נח",2,M1878="שני שוואים בסוף מילה",2,M1878="שני שוואים ברצף",1),"0")</f>
        <v>0</v>
      </c>
      <c r="J1878" s="9">
        <f t="shared" si="123"/>
        <v>3</v>
      </c>
      <c r="K1878" t="s">
        <v>6698</v>
      </c>
      <c r="L1878" t="s">
        <v>6694</v>
      </c>
      <c r="M1878" t="s">
        <v>6700</v>
      </c>
      <c r="N1878" t="s">
        <v>6706</v>
      </c>
      <c r="O1878" t="s">
        <v>6694</v>
      </c>
      <c r="W1878" t="s">
        <v>6720</v>
      </c>
    </row>
    <row r="1879" spans="1:23" ht="15.6" x14ac:dyDescent="0.4">
      <c r="A1879" s="2" t="s">
        <v>175</v>
      </c>
      <c r="B1879" s="5" t="s">
        <v>8337</v>
      </c>
      <c r="C1879" s="7" t="s">
        <v>12556</v>
      </c>
      <c r="D1879" s="8">
        <f t="shared" si="120"/>
        <v>0</v>
      </c>
      <c r="E1879" s="7" t="s">
        <v>12557</v>
      </c>
      <c r="F1879" s="7">
        <f t="shared" si="121"/>
        <v>0</v>
      </c>
      <c r="G1879" s="7" t="s">
        <v>12558</v>
      </c>
      <c r="H1879" s="7">
        <f t="shared" si="122"/>
        <v>0</v>
      </c>
      <c r="I1879" s="7" t="str" cm="1">
        <f t="array" ref="I1879">IFERROR(_xlfn.IFS(M1879="נח",1,M1879="נע ונח",1,M1879="שני שווא נח",2,M1879="שני שוואים בסוף מילה",2,M1879="שני שוואים ברצף",1),"0")</f>
        <v>0</v>
      </c>
      <c r="J1879" s="9">
        <f t="shared" si="123"/>
        <v>3</v>
      </c>
      <c r="K1879" t="s">
        <v>6697</v>
      </c>
      <c r="L1879" t="s">
        <v>6694</v>
      </c>
      <c r="M1879" t="s">
        <v>6700</v>
      </c>
      <c r="N1879" t="s">
        <v>6706</v>
      </c>
      <c r="O1879" t="s">
        <v>6694</v>
      </c>
      <c r="W1879" t="s">
        <v>6720</v>
      </c>
    </row>
    <row r="1880" spans="1:23" ht="15.6" x14ac:dyDescent="0.4">
      <c r="A1880" s="2" t="s">
        <v>4928</v>
      </c>
      <c r="B1880" s="5" t="s">
        <v>8338</v>
      </c>
      <c r="C1880" s="7" t="s">
        <v>12556</v>
      </c>
      <c r="D1880" s="8">
        <f t="shared" si="120"/>
        <v>0</v>
      </c>
      <c r="E1880" s="7" t="s">
        <v>12557</v>
      </c>
      <c r="F1880" s="7">
        <f t="shared" si="121"/>
        <v>0</v>
      </c>
      <c r="G1880" s="7" t="s">
        <v>12558</v>
      </c>
      <c r="H1880" s="7">
        <f t="shared" si="122"/>
        <v>0</v>
      </c>
      <c r="I1880" s="7" t="str" cm="1">
        <f t="array" ref="I1880">IFERROR(_xlfn.IFS(M1880="נח",1,M1880="נע ונח",1,M1880="שני שווא נח",2,M1880="שני שוואים בסוף מילה",2,M1880="שני שוואים ברצף",1),"0")</f>
        <v>0</v>
      </c>
      <c r="J1880" s="9">
        <f t="shared" si="123"/>
        <v>3</v>
      </c>
      <c r="K1880" t="s">
        <v>6698</v>
      </c>
      <c r="L1880" t="s">
        <v>6694</v>
      </c>
      <c r="M1880" t="s">
        <v>6700</v>
      </c>
      <c r="O1880" t="s">
        <v>6694</v>
      </c>
      <c r="Q1880" t="s">
        <v>6694</v>
      </c>
      <c r="W1880" t="s">
        <v>6720</v>
      </c>
    </row>
    <row r="1881" spans="1:23" ht="15.6" x14ac:dyDescent="0.4">
      <c r="A1881" s="2" t="s">
        <v>2101</v>
      </c>
      <c r="B1881" s="5" t="s">
        <v>8339</v>
      </c>
      <c r="C1881" s="7" t="s">
        <v>12556</v>
      </c>
      <c r="D1881" s="8">
        <f t="shared" si="120"/>
        <v>0</v>
      </c>
      <c r="E1881" s="7" t="s">
        <v>12557</v>
      </c>
      <c r="F1881" s="7">
        <f t="shared" si="121"/>
        <v>0</v>
      </c>
      <c r="G1881" s="7" t="s">
        <v>12558</v>
      </c>
      <c r="H1881" s="7">
        <f t="shared" si="122"/>
        <v>0</v>
      </c>
      <c r="I1881" s="7" t="str" cm="1">
        <f t="array" ref="I1881">IFERROR(_xlfn.IFS(M1881="נח",1,M1881="נע ונח",1,M1881="שני שווא נח",2,M1881="שני שוואים בסוף מילה",2,M1881="שני שוואים ברצף",1),"0")</f>
        <v>0</v>
      </c>
      <c r="J1881" s="9">
        <f t="shared" si="123"/>
        <v>4</v>
      </c>
      <c r="K1881" t="s">
        <v>6697</v>
      </c>
      <c r="L1881" t="s">
        <v>6694</v>
      </c>
      <c r="M1881" t="s">
        <v>6700</v>
      </c>
      <c r="O1881" t="s">
        <v>6694</v>
      </c>
      <c r="S1881" t="s">
        <v>6694</v>
      </c>
      <c r="W1881" t="s">
        <v>6720</v>
      </c>
    </row>
    <row r="1882" spans="1:23" ht="15.6" x14ac:dyDescent="0.4">
      <c r="A1882" s="2" t="s">
        <v>948</v>
      </c>
      <c r="B1882" s="5" t="s">
        <v>8340</v>
      </c>
      <c r="C1882" s="7" t="s">
        <v>12556</v>
      </c>
      <c r="D1882" s="8">
        <f t="shared" si="120"/>
        <v>0</v>
      </c>
      <c r="E1882" s="7" t="s">
        <v>12557</v>
      </c>
      <c r="F1882" s="7">
        <f t="shared" si="121"/>
        <v>0</v>
      </c>
      <c r="G1882" s="7" t="s">
        <v>12558</v>
      </c>
      <c r="H1882" s="7">
        <f t="shared" si="122"/>
        <v>0</v>
      </c>
      <c r="I1882" s="7" t="str" cm="1">
        <f t="array" ref="I1882">IFERROR(_xlfn.IFS(M1882="נח",1,M1882="נע ונח",1,M1882="שני שווא נח",2,M1882="שני שוואים בסוף מילה",2,M1882="שני שוואים ברצף",1),"0")</f>
        <v>0</v>
      </c>
      <c r="J1882" s="9">
        <f t="shared" si="123"/>
        <v>3</v>
      </c>
      <c r="K1882" t="s">
        <v>6698</v>
      </c>
      <c r="L1882" t="s">
        <v>6694</v>
      </c>
      <c r="M1882" t="s">
        <v>6700</v>
      </c>
      <c r="O1882" t="s">
        <v>6694</v>
      </c>
      <c r="Q1882" t="s">
        <v>6694</v>
      </c>
      <c r="W1882" t="s">
        <v>6720</v>
      </c>
    </row>
    <row r="1883" spans="1:23" ht="15.6" x14ac:dyDescent="0.4">
      <c r="A1883" s="2" t="s">
        <v>1264</v>
      </c>
      <c r="B1883" s="5" t="s">
        <v>8341</v>
      </c>
      <c r="C1883" s="7" t="s">
        <v>12556</v>
      </c>
      <c r="D1883" s="8">
        <f t="shared" si="120"/>
        <v>0</v>
      </c>
      <c r="E1883" s="7" t="s">
        <v>12557</v>
      </c>
      <c r="F1883" s="7">
        <f t="shared" si="121"/>
        <v>0</v>
      </c>
      <c r="G1883" s="7" t="s">
        <v>12558</v>
      </c>
      <c r="H1883" s="7">
        <f t="shared" si="122"/>
        <v>0</v>
      </c>
      <c r="I1883" s="7" t="str" cm="1">
        <f t="array" ref="I1883">IFERROR(_xlfn.IFS(M1883="נח",1,M1883="נע ונח",1,M1883="שני שווא נח",2,M1883="שני שוואים בסוף מילה",2,M1883="שני שוואים ברצף",1),"0")</f>
        <v>0</v>
      </c>
      <c r="J1883" s="9">
        <f t="shared" si="123"/>
        <v>3</v>
      </c>
      <c r="K1883" t="s">
        <v>6698</v>
      </c>
      <c r="L1883" t="s">
        <v>6694</v>
      </c>
      <c r="M1883" t="s">
        <v>6700</v>
      </c>
      <c r="O1883" t="s">
        <v>6694</v>
      </c>
      <c r="P1883" t="s">
        <v>6694</v>
      </c>
      <c r="W1883" t="s">
        <v>6720</v>
      </c>
    </row>
    <row r="1884" spans="1:23" ht="15.6" x14ac:dyDescent="0.4">
      <c r="A1884" s="2" t="s">
        <v>3885</v>
      </c>
      <c r="B1884" s="5" t="s">
        <v>8342</v>
      </c>
      <c r="C1884" s="7" t="s">
        <v>12556</v>
      </c>
      <c r="D1884" s="8">
        <f t="shared" si="120"/>
        <v>0</v>
      </c>
      <c r="E1884" s="7" t="s">
        <v>12557</v>
      </c>
      <c r="F1884" s="7">
        <f t="shared" si="121"/>
        <v>0</v>
      </c>
      <c r="G1884" s="7" t="s">
        <v>12558</v>
      </c>
      <c r="H1884" s="7">
        <f t="shared" si="122"/>
        <v>0</v>
      </c>
      <c r="I1884" s="7" t="str" cm="1">
        <f t="array" ref="I1884">IFERROR(_xlfn.IFS(M1884="נח",1,M1884="נע ונח",1,M1884="שני שווא נח",2,M1884="שני שוואים בסוף מילה",2,M1884="שני שוואים ברצף",1),"0")</f>
        <v>0</v>
      </c>
      <c r="J1884" s="9">
        <f t="shared" si="123"/>
        <v>3</v>
      </c>
      <c r="K1884" t="s">
        <v>6697</v>
      </c>
      <c r="L1884" t="s">
        <v>6694</v>
      </c>
      <c r="M1884" t="s">
        <v>6700</v>
      </c>
      <c r="O1884" t="s">
        <v>6694</v>
      </c>
      <c r="P1884" t="s">
        <v>6694</v>
      </c>
      <c r="W1884" t="s">
        <v>6720</v>
      </c>
    </row>
    <row r="1885" spans="1:23" ht="15.6" x14ac:dyDescent="0.4">
      <c r="A1885" s="2" t="s">
        <v>1897</v>
      </c>
      <c r="B1885" s="5" t="s">
        <v>8343</v>
      </c>
      <c r="C1885" s="7" t="s">
        <v>12556</v>
      </c>
      <c r="D1885" s="8">
        <f t="shared" si="120"/>
        <v>0</v>
      </c>
      <c r="E1885" s="7" t="s">
        <v>12557</v>
      </c>
      <c r="F1885" s="7">
        <f t="shared" si="121"/>
        <v>0</v>
      </c>
      <c r="G1885" s="7" t="s">
        <v>12558</v>
      </c>
      <c r="H1885" s="7">
        <f t="shared" si="122"/>
        <v>0</v>
      </c>
      <c r="I1885" s="7" t="str" cm="1">
        <f t="array" ref="I1885">IFERROR(_xlfn.IFS(M1885="נח",1,M1885="נע ונח",1,M1885="שני שווא נח",2,M1885="שני שוואים בסוף מילה",2,M1885="שני שוואים ברצף",1),"0")</f>
        <v>0</v>
      </c>
      <c r="J1885" s="9">
        <f t="shared" si="123"/>
        <v>3</v>
      </c>
      <c r="K1885" t="s">
        <v>6697</v>
      </c>
      <c r="L1885" t="s">
        <v>6694</v>
      </c>
      <c r="M1885" t="s">
        <v>6700</v>
      </c>
      <c r="O1885" t="s">
        <v>6694</v>
      </c>
      <c r="W1885" t="s">
        <v>6720</v>
      </c>
    </row>
    <row r="1886" spans="1:23" ht="15.6" x14ac:dyDescent="0.4">
      <c r="A1886" s="2" t="s">
        <v>5485</v>
      </c>
      <c r="B1886" s="5" t="s">
        <v>8344</v>
      </c>
      <c r="C1886" s="7" t="s">
        <v>12556</v>
      </c>
      <c r="D1886" s="8">
        <f t="shared" si="120"/>
        <v>1</v>
      </c>
      <c r="E1886" s="7" t="s">
        <v>12557</v>
      </c>
      <c r="F1886" s="7">
        <f t="shared" si="121"/>
        <v>0</v>
      </c>
      <c r="G1886" s="7" t="s">
        <v>12558</v>
      </c>
      <c r="H1886" s="7">
        <f t="shared" si="122"/>
        <v>0</v>
      </c>
      <c r="I1886" s="7" t="str" cm="1">
        <f t="array" ref="I1886">IFERROR(_xlfn.IFS(M1886="נח",1,M1886="נע ונח",1,M1886="שני שווא נח",2,M1886="שני שוואים בסוף מילה",2,M1886="שני שוואים ברצף",1),"0")</f>
        <v>0</v>
      </c>
      <c r="J1886" s="9">
        <f t="shared" si="123"/>
        <v>3</v>
      </c>
      <c r="K1886" t="s">
        <v>6698</v>
      </c>
      <c r="L1886" t="s">
        <v>6694</v>
      </c>
      <c r="M1886" t="s">
        <v>6700</v>
      </c>
      <c r="O1886" t="s">
        <v>6694</v>
      </c>
      <c r="Q1886" t="s">
        <v>6694</v>
      </c>
      <c r="W1886" t="s">
        <v>6720</v>
      </c>
    </row>
    <row r="1887" spans="1:23" ht="15.6" x14ac:dyDescent="0.4">
      <c r="A1887" s="2" t="s">
        <v>2226</v>
      </c>
      <c r="B1887" s="5" t="s">
        <v>8345</v>
      </c>
      <c r="C1887" s="7" t="s">
        <v>12556</v>
      </c>
      <c r="D1887" s="8">
        <f t="shared" si="120"/>
        <v>0</v>
      </c>
      <c r="E1887" s="7" t="s">
        <v>12557</v>
      </c>
      <c r="F1887" s="7">
        <f t="shared" si="121"/>
        <v>1</v>
      </c>
      <c r="G1887" s="7" t="s">
        <v>12558</v>
      </c>
      <c r="H1887" s="7">
        <f t="shared" si="122"/>
        <v>1</v>
      </c>
      <c r="I1887" s="7" t="str" cm="1">
        <f t="array" ref="I1887">IFERROR(_xlfn.IFS(M1887="נח",1,M1887="נע ונח",1,M1887="שני שווא נח",2,M1887="שני שוואים בסוף מילה",2,M1887="שני שוואים ברצף",1),"0")</f>
        <v>0</v>
      </c>
      <c r="J1887" s="9">
        <f t="shared" si="123"/>
        <v>3</v>
      </c>
      <c r="K1887" t="s">
        <v>6697</v>
      </c>
      <c r="L1887" t="s">
        <v>6694</v>
      </c>
      <c r="M1887" t="s">
        <v>6700</v>
      </c>
      <c r="U1887" t="s">
        <v>6694</v>
      </c>
      <c r="V1887" t="s">
        <v>6694</v>
      </c>
      <c r="W1887" t="s">
        <v>6720</v>
      </c>
    </row>
    <row r="1888" spans="1:23" ht="15.6" x14ac:dyDescent="0.4">
      <c r="A1888" s="2" t="s">
        <v>509</v>
      </c>
      <c r="B1888" s="5" t="s">
        <v>8346</v>
      </c>
      <c r="C1888" s="7" t="s">
        <v>12556</v>
      </c>
      <c r="D1888" s="8">
        <f t="shared" si="120"/>
        <v>0</v>
      </c>
      <c r="E1888" s="7" t="s">
        <v>12557</v>
      </c>
      <c r="F1888" s="7">
        <f t="shared" si="121"/>
        <v>1</v>
      </c>
      <c r="G1888" s="7" t="s">
        <v>12558</v>
      </c>
      <c r="H1888" s="7">
        <f t="shared" si="122"/>
        <v>0</v>
      </c>
      <c r="I1888" s="7" cm="1">
        <f t="array" ref="I1888">IFERROR(_xlfn.IFS(M1888="נח",1,M1888="נע ונח",1,M1888="שני שווא נח",2,M1888="שני שוואים בסוף מילה",2,M1888="שני שוואים ברצף",1),"0")</f>
        <v>1</v>
      </c>
      <c r="J1888" s="9">
        <f t="shared" si="123"/>
        <v>4</v>
      </c>
      <c r="K1888" t="s">
        <v>6697</v>
      </c>
      <c r="L1888" t="s">
        <v>6694</v>
      </c>
      <c r="M1888" t="s">
        <v>6701</v>
      </c>
      <c r="P1888" t="s">
        <v>6694</v>
      </c>
      <c r="S1888" t="s">
        <v>6694</v>
      </c>
      <c r="V1888" t="s">
        <v>6694</v>
      </c>
      <c r="W1888" t="s">
        <v>6720</v>
      </c>
    </row>
    <row r="1889" spans="1:23" ht="15.6" x14ac:dyDescent="0.4">
      <c r="A1889" s="2" t="s">
        <v>2483</v>
      </c>
      <c r="B1889" s="5" t="s">
        <v>8347</v>
      </c>
      <c r="C1889" s="7" t="s">
        <v>12556</v>
      </c>
      <c r="D1889" s="8">
        <f t="shared" si="120"/>
        <v>0</v>
      </c>
      <c r="E1889" s="7" t="s">
        <v>12557</v>
      </c>
      <c r="F1889" s="7">
        <f t="shared" si="121"/>
        <v>0</v>
      </c>
      <c r="G1889" s="7" t="s">
        <v>12558</v>
      </c>
      <c r="H1889" s="7">
        <f t="shared" si="122"/>
        <v>0</v>
      </c>
      <c r="I1889" s="7" t="str" cm="1">
        <f t="array" ref="I1889">IFERROR(_xlfn.IFS(M1889="נח",1,M1889="נע ונח",1,M1889="שני שווא נח",2,M1889="שני שוואים בסוף מילה",2,M1889="שני שוואים ברצף",1),"0")</f>
        <v>0</v>
      </c>
      <c r="J1889" s="9">
        <f t="shared" si="123"/>
        <v>3</v>
      </c>
      <c r="K1889" t="s">
        <v>6697</v>
      </c>
      <c r="L1889" t="s">
        <v>6694</v>
      </c>
      <c r="M1889" t="s">
        <v>6700</v>
      </c>
      <c r="S1889" t="s">
        <v>6694</v>
      </c>
      <c r="V1889" t="s">
        <v>6694</v>
      </c>
      <c r="W1889" t="s">
        <v>6720</v>
      </c>
    </row>
    <row r="1890" spans="1:23" ht="15.6" x14ac:dyDescent="0.4">
      <c r="A1890" s="2" t="s">
        <v>4202</v>
      </c>
      <c r="B1890" s="5" t="s">
        <v>8348</v>
      </c>
      <c r="C1890" s="7" t="s">
        <v>12556</v>
      </c>
      <c r="D1890" s="8">
        <f t="shared" si="120"/>
        <v>0</v>
      </c>
      <c r="E1890" s="7" t="s">
        <v>12557</v>
      </c>
      <c r="F1890" s="7">
        <f t="shared" si="121"/>
        <v>0</v>
      </c>
      <c r="G1890" s="7" t="s">
        <v>12558</v>
      </c>
      <c r="H1890" s="7">
        <f t="shared" si="122"/>
        <v>0</v>
      </c>
      <c r="I1890" s="7" t="str" cm="1">
        <f t="array" ref="I1890">IFERROR(_xlfn.IFS(M1890="נח",1,M1890="נע ונח",1,M1890="שני שווא נח",2,M1890="שני שוואים בסוף מילה",2,M1890="שני שוואים ברצף",1),"0")</f>
        <v>0</v>
      </c>
      <c r="J1890" s="9">
        <f t="shared" si="123"/>
        <v>5</v>
      </c>
      <c r="K1890" t="s">
        <v>6697</v>
      </c>
      <c r="L1890" t="s">
        <v>6694</v>
      </c>
      <c r="M1890" t="s">
        <v>6700</v>
      </c>
      <c r="Q1890" t="s">
        <v>6694</v>
      </c>
      <c r="S1890" t="s">
        <v>6694</v>
      </c>
      <c r="V1890" t="s">
        <v>6694</v>
      </c>
      <c r="W1890" t="s">
        <v>6720</v>
      </c>
    </row>
    <row r="1891" spans="1:23" ht="15.6" x14ac:dyDescent="0.4">
      <c r="A1891" s="2" t="s">
        <v>6014</v>
      </c>
      <c r="B1891" s="5" t="s">
        <v>8349</v>
      </c>
      <c r="C1891" s="7" t="s">
        <v>12556</v>
      </c>
      <c r="D1891" s="8">
        <f t="shared" si="120"/>
        <v>1</v>
      </c>
      <c r="E1891" s="7" t="s">
        <v>12557</v>
      </c>
      <c r="F1891" s="7">
        <f t="shared" si="121"/>
        <v>0</v>
      </c>
      <c r="G1891" s="7" t="s">
        <v>12558</v>
      </c>
      <c r="H1891" s="7">
        <f t="shared" si="122"/>
        <v>0</v>
      </c>
      <c r="I1891" s="7" t="str" cm="1">
        <f t="array" ref="I1891">IFERROR(_xlfn.IFS(M1891="נח",1,M1891="נע ונח",1,M1891="שני שווא נח",2,M1891="שני שוואים בסוף מילה",2,M1891="שני שוואים ברצף",1),"0")</f>
        <v>0</v>
      </c>
      <c r="J1891" s="9">
        <f t="shared" si="123"/>
        <v>5</v>
      </c>
      <c r="K1891" t="s">
        <v>6697</v>
      </c>
      <c r="L1891" t="s">
        <v>6694</v>
      </c>
      <c r="M1891" t="s">
        <v>6700</v>
      </c>
      <c r="Q1891" t="s">
        <v>6694</v>
      </c>
      <c r="S1891" t="s">
        <v>6694</v>
      </c>
      <c r="V1891" t="s">
        <v>6694</v>
      </c>
      <c r="W1891" t="s">
        <v>6720</v>
      </c>
    </row>
    <row r="1892" spans="1:23" ht="15.6" x14ac:dyDescent="0.4">
      <c r="A1892" s="2" t="s">
        <v>2247</v>
      </c>
      <c r="B1892" s="5" t="s">
        <v>8350</v>
      </c>
      <c r="C1892" s="7" t="s">
        <v>12556</v>
      </c>
      <c r="D1892" s="8">
        <f t="shared" si="120"/>
        <v>0</v>
      </c>
      <c r="E1892" s="7" t="s">
        <v>12557</v>
      </c>
      <c r="F1892" s="7">
        <f t="shared" si="121"/>
        <v>1</v>
      </c>
      <c r="G1892" s="7" t="s">
        <v>12558</v>
      </c>
      <c r="H1892" s="7">
        <f t="shared" si="122"/>
        <v>1</v>
      </c>
      <c r="I1892" s="7" t="str" cm="1">
        <f t="array" ref="I1892">IFERROR(_xlfn.IFS(M1892="נח",1,M1892="נע ונח",1,M1892="שני שווא נח",2,M1892="שני שוואים בסוף מילה",2,M1892="שני שוואים ברצף",1),"0")</f>
        <v>0</v>
      </c>
      <c r="J1892" s="9">
        <f t="shared" si="123"/>
        <v>2</v>
      </c>
      <c r="K1892" t="s">
        <v>6697</v>
      </c>
      <c r="L1892" t="s">
        <v>6694</v>
      </c>
      <c r="M1892" t="s">
        <v>6700</v>
      </c>
      <c r="U1892" t="s">
        <v>6694</v>
      </c>
      <c r="W1892" t="s">
        <v>6720</v>
      </c>
    </row>
    <row r="1893" spans="1:23" ht="15.6" x14ac:dyDescent="0.4">
      <c r="A1893" s="2" t="s">
        <v>4819</v>
      </c>
      <c r="B1893" s="5" t="s">
        <v>8351</v>
      </c>
      <c r="C1893" s="7" t="s">
        <v>12556</v>
      </c>
      <c r="D1893" s="8">
        <f t="shared" si="120"/>
        <v>0</v>
      </c>
      <c r="E1893" s="7" t="s">
        <v>12557</v>
      </c>
      <c r="F1893" s="7">
        <f t="shared" si="121"/>
        <v>0</v>
      </c>
      <c r="G1893" s="7" t="s">
        <v>12558</v>
      </c>
      <c r="H1893" s="7">
        <f t="shared" si="122"/>
        <v>0</v>
      </c>
      <c r="I1893" s="7" t="str" cm="1">
        <f t="array" ref="I1893">IFERROR(_xlfn.IFS(M1893="נח",1,M1893="נע ונח",1,M1893="שני שווא נח",2,M1893="שני שוואים בסוף מילה",2,M1893="שני שוואים ברצף",1),"0")</f>
        <v>0</v>
      </c>
      <c r="J1893" s="9">
        <f t="shared" si="123"/>
        <v>2</v>
      </c>
      <c r="K1893" t="s">
        <v>6698</v>
      </c>
      <c r="L1893" t="s">
        <v>6694</v>
      </c>
      <c r="M1893" t="s">
        <v>6700</v>
      </c>
      <c r="S1893" t="s">
        <v>6694</v>
      </c>
      <c r="W1893" t="s">
        <v>6720</v>
      </c>
    </row>
    <row r="1894" spans="1:23" ht="15.6" x14ac:dyDescent="0.4">
      <c r="A1894" s="2" t="s">
        <v>1724</v>
      </c>
      <c r="B1894" s="5" t="s">
        <v>8352</v>
      </c>
      <c r="C1894" s="7" t="s">
        <v>12556</v>
      </c>
      <c r="D1894" s="8">
        <f t="shared" si="120"/>
        <v>0</v>
      </c>
      <c r="E1894" s="7" t="s">
        <v>12557</v>
      </c>
      <c r="F1894" s="7">
        <f t="shared" si="121"/>
        <v>0</v>
      </c>
      <c r="G1894" s="7" t="s">
        <v>12558</v>
      </c>
      <c r="H1894" s="7">
        <f t="shared" si="122"/>
        <v>0</v>
      </c>
      <c r="I1894" s="7" cm="1">
        <f t="array" ref="I1894">IFERROR(_xlfn.IFS(M1894="נח",1,M1894="נע ונח",1,M1894="שני שווא נח",2,M1894="שני שוואים בסוף מילה",2,M1894="שני שוואים ברצף",1),"0")</f>
        <v>1</v>
      </c>
      <c r="J1894" s="9">
        <f t="shared" si="123"/>
        <v>3</v>
      </c>
      <c r="K1894" t="s">
        <v>6698</v>
      </c>
      <c r="L1894" t="s">
        <v>6694</v>
      </c>
      <c r="M1894" t="s">
        <v>6701</v>
      </c>
      <c r="N1894" t="s">
        <v>6706</v>
      </c>
      <c r="O1894" t="s">
        <v>6694</v>
      </c>
      <c r="S1894" t="s">
        <v>6694</v>
      </c>
      <c r="W1894" t="s">
        <v>6720</v>
      </c>
    </row>
    <row r="1895" spans="1:23" ht="15.6" x14ac:dyDescent="0.4">
      <c r="A1895" s="2" t="s">
        <v>4673</v>
      </c>
      <c r="B1895" s="5" t="s">
        <v>8353</v>
      </c>
      <c r="C1895" s="7" t="s">
        <v>12556</v>
      </c>
      <c r="D1895" s="8">
        <f t="shared" si="120"/>
        <v>0</v>
      </c>
      <c r="E1895" s="7" t="s">
        <v>12557</v>
      </c>
      <c r="F1895" s="7">
        <f t="shared" si="121"/>
        <v>0</v>
      </c>
      <c r="G1895" s="7" t="s">
        <v>12558</v>
      </c>
      <c r="H1895" s="7">
        <f t="shared" si="122"/>
        <v>0</v>
      </c>
      <c r="I1895" s="7" t="str" cm="1">
        <f t="array" ref="I1895">IFERROR(_xlfn.IFS(M1895="נח",1,M1895="נע ונח",1,M1895="שני שווא נח",2,M1895="שני שוואים בסוף מילה",2,M1895="שני שוואים ברצף",1),"0")</f>
        <v>0</v>
      </c>
      <c r="J1895" s="9">
        <f t="shared" si="123"/>
        <v>2</v>
      </c>
      <c r="K1895" t="s">
        <v>6697</v>
      </c>
      <c r="L1895" t="s">
        <v>6694</v>
      </c>
      <c r="M1895" t="s">
        <v>6700</v>
      </c>
      <c r="R1895" t="s">
        <v>6694</v>
      </c>
      <c r="W1895" t="s">
        <v>6720</v>
      </c>
    </row>
    <row r="1896" spans="1:23" ht="15.6" x14ac:dyDescent="0.4">
      <c r="A1896" s="2" t="s">
        <v>2551</v>
      </c>
      <c r="B1896" s="5" t="s">
        <v>8354</v>
      </c>
      <c r="C1896" s="7" t="s">
        <v>12556</v>
      </c>
      <c r="D1896" s="8">
        <f t="shared" si="120"/>
        <v>0</v>
      </c>
      <c r="E1896" s="7" t="s">
        <v>12557</v>
      </c>
      <c r="F1896" s="7">
        <f t="shared" si="121"/>
        <v>0</v>
      </c>
      <c r="G1896" s="7" t="s">
        <v>12558</v>
      </c>
      <c r="H1896" s="7">
        <f t="shared" si="122"/>
        <v>0</v>
      </c>
      <c r="I1896" s="7" t="str" cm="1">
        <f t="array" ref="I1896">IFERROR(_xlfn.IFS(M1896="נח",1,M1896="נע ונח",1,M1896="שני שווא נח",2,M1896="שני שוואים בסוף מילה",2,M1896="שני שוואים ברצף",1),"0")</f>
        <v>0</v>
      </c>
      <c r="J1896" s="9">
        <f t="shared" si="123"/>
        <v>3</v>
      </c>
      <c r="K1896" t="s">
        <v>6697</v>
      </c>
      <c r="L1896" t="s">
        <v>6694</v>
      </c>
      <c r="M1896" t="s">
        <v>6700</v>
      </c>
      <c r="P1896" t="s">
        <v>6694</v>
      </c>
      <c r="R1896" t="s">
        <v>6694</v>
      </c>
      <c r="W1896" t="s">
        <v>6720</v>
      </c>
    </row>
    <row r="1897" spans="1:23" ht="15.6" x14ac:dyDescent="0.4">
      <c r="A1897" s="2" t="s">
        <v>6638</v>
      </c>
      <c r="B1897" s="5" t="s">
        <v>8355</v>
      </c>
      <c r="C1897" s="7" t="s">
        <v>12556</v>
      </c>
      <c r="D1897" s="8">
        <f t="shared" si="120"/>
        <v>0</v>
      </c>
      <c r="E1897" s="7" t="s">
        <v>12557</v>
      </c>
      <c r="F1897" s="7">
        <f t="shared" si="121"/>
        <v>2</v>
      </c>
      <c r="G1897" s="7" t="s">
        <v>12558</v>
      </c>
      <c r="H1897" s="7">
        <f t="shared" si="122"/>
        <v>1</v>
      </c>
      <c r="I1897" s="7" t="str" cm="1">
        <f t="array" ref="I1897">IFERROR(_xlfn.IFS(M1897="נח",1,M1897="נע ונח",1,M1897="שני שווא נח",2,M1897="שני שוואים בסוף מילה",2,M1897="שני שוואים ברצף",1),"0")</f>
        <v>0</v>
      </c>
      <c r="J1897" s="9">
        <f t="shared" si="123"/>
        <v>4</v>
      </c>
      <c r="K1897" t="s">
        <v>6697</v>
      </c>
      <c r="L1897" t="s">
        <v>6694</v>
      </c>
      <c r="M1897" t="s">
        <v>6700</v>
      </c>
      <c r="P1897" t="s">
        <v>6694</v>
      </c>
      <c r="Q1897" t="s">
        <v>6694</v>
      </c>
      <c r="U1897" t="s">
        <v>6694</v>
      </c>
      <c r="W1897" t="s">
        <v>6720</v>
      </c>
    </row>
    <row r="1898" spans="1:23" ht="15.6" x14ac:dyDescent="0.4">
      <c r="A1898" s="2" t="s">
        <v>3341</v>
      </c>
      <c r="B1898" s="5" t="s">
        <v>8356</v>
      </c>
      <c r="C1898" s="7" t="s">
        <v>12556</v>
      </c>
      <c r="D1898" s="8">
        <f t="shared" si="120"/>
        <v>0</v>
      </c>
      <c r="E1898" s="7" t="s">
        <v>12557</v>
      </c>
      <c r="F1898" s="7">
        <f t="shared" si="121"/>
        <v>0</v>
      </c>
      <c r="G1898" s="7" t="s">
        <v>12558</v>
      </c>
      <c r="H1898" s="7">
        <f t="shared" si="122"/>
        <v>0</v>
      </c>
      <c r="I1898" s="7" cm="1">
        <f t="array" ref="I1898">IFERROR(_xlfn.IFS(M1898="נח",1,M1898="נע ונח",1,M1898="שני שווא נח",2,M1898="שני שוואים בסוף מילה",2,M1898="שני שוואים ברצף",1),"0")</f>
        <v>1</v>
      </c>
      <c r="J1898" s="9">
        <f t="shared" si="123"/>
        <v>3</v>
      </c>
      <c r="K1898" t="s">
        <v>6698</v>
      </c>
      <c r="L1898" t="s">
        <v>6694</v>
      </c>
      <c r="M1898" t="s">
        <v>6701</v>
      </c>
      <c r="N1898" t="s">
        <v>6706</v>
      </c>
      <c r="O1898" t="s">
        <v>6694</v>
      </c>
      <c r="P1898" t="s">
        <v>6694</v>
      </c>
      <c r="W1898" t="s">
        <v>6720</v>
      </c>
    </row>
    <row r="1899" spans="1:23" ht="15.6" x14ac:dyDescent="0.4">
      <c r="A1899" s="2" t="s">
        <v>916</v>
      </c>
      <c r="B1899" s="5" t="s">
        <v>8357</v>
      </c>
      <c r="C1899" s="7" t="s">
        <v>12556</v>
      </c>
      <c r="D1899" s="8">
        <f t="shared" si="120"/>
        <v>0</v>
      </c>
      <c r="E1899" s="7" t="s">
        <v>12557</v>
      </c>
      <c r="F1899" s="7">
        <f t="shared" si="121"/>
        <v>0</v>
      </c>
      <c r="G1899" s="7" t="s">
        <v>12558</v>
      </c>
      <c r="H1899" s="7">
        <f t="shared" si="122"/>
        <v>0</v>
      </c>
      <c r="I1899" s="7" cm="1">
        <f t="array" ref="I1899">IFERROR(_xlfn.IFS(M1899="נח",1,M1899="נע ונח",1,M1899="שני שווא נח",2,M1899="שני שוואים בסוף מילה",2,M1899="שני שוואים ברצף",1),"0")</f>
        <v>1</v>
      </c>
      <c r="J1899" s="9">
        <f t="shared" si="123"/>
        <v>3</v>
      </c>
      <c r="K1899" t="s">
        <v>6697</v>
      </c>
      <c r="L1899" t="s">
        <v>6694</v>
      </c>
      <c r="M1899" t="s">
        <v>6701</v>
      </c>
      <c r="P1899" t="s">
        <v>6694</v>
      </c>
      <c r="V1899" t="s">
        <v>6694</v>
      </c>
      <c r="W1899" t="s">
        <v>6720</v>
      </c>
    </row>
    <row r="1900" spans="1:23" ht="15.6" x14ac:dyDescent="0.4">
      <c r="A1900" s="2" t="s">
        <v>1284</v>
      </c>
      <c r="B1900" s="5" t="s">
        <v>8358</v>
      </c>
      <c r="C1900" s="7" t="s">
        <v>12556</v>
      </c>
      <c r="D1900" s="8">
        <f t="shared" si="120"/>
        <v>0</v>
      </c>
      <c r="E1900" s="7" t="s">
        <v>12557</v>
      </c>
      <c r="F1900" s="7">
        <f t="shared" si="121"/>
        <v>0</v>
      </c>
      <c r="G1900" s="7" t="s">
        <v>12558</v>
      </c>
      <c r="H1900" s="7">
        <f t="shared" si="122"/>
        <v>0</v>
      </c>
      <c r="I1900" s="7" t="str" cm="1">
        <f t="array" ref="I1900">IFERROR(_xlfn.IFS(M1900="נח",1,M1900="נע ונח",1,M1900="שני שווא נח",2,M1900="שני שוואים בסוף מילה",2,M1900="שני שוואים ברצף",1),"0")</f>
        <v>0</v>
      </c>
      <c r="J1900" s="9">
        <f t="shared" si="123"/>
        <v>3</v>
      </c>
      <c r="K1900" t="s">
        <v>6698</v>
      </c>
      <c r="L1900" t="s">
        <v>6694</v>
      </c>
      <c r="M1900" t="s">
        <v>6700</v>
      </c>
      <c r="N1900" t="s">
        <v>6706</v>
      </c>
      <c r="O1900" t="s">
        <v>6694</v>
      </c>
      <c r="W1900" t="s">
        <v>6720</v>
      </c>
    </row>
    <row r="1901" spans="1:23" ht="15.6" x14ac:dyDescent="0.4">
      <c r="A1901" s="2" t="s">
        <v>4113</v>
      </c>
      <c r="B1901" s="5" t="s">
        <v>8359</v>
      </c>
      <c r="C1901" s="7" t="s">
        <v>12556</v>
      </c>
      <c r="D1901" s="8">
        <f t="shared" si="120"/>
        <v>0</v>
      </c>
      <c r="E1901" s="7" t="s">
        <v>12557</v>
      </c>
      <c r="F1901" s="7">
        <f t="shared" si="121"/>
        <v>1</v>
      </c>
      <c r="G1901" s="7" t="s">
        <v>12558</v>
      </c>
      <c r="H1901" s="7">
        <f t="shared" si="122"/>
        <v>0</v>
      </c>
      <c r="I1901" s="7" t="str" cm="1">
        <f t="array" ref="I1901">IFERROR(_xlfn.IFS(M1901="נח",1,M1901="נע ונח",1,M1901="שני שווא נח",2,M1901="שני שוואים בסוף מילה",2,M1901="שני שוואים ברצף",1),"0")</f>
        <v>0</v>
      </c>
      <c r="J1901" s="9">
        <f t="shared" si="123"/>
        <v>3</v>
      </c>
      <c r="K1901" t="s">
        <v>6698</v>
      </c>
      <c r="L1901" t="s">
        <v>6694</v>
      </c>
      <c r="M1901" t="s">
        <v>6700</v>
      </c>
      <c r="S1901" t="s">
        <v>6694</v>
      </c>
      <c r="W1901" t="s">
        <v>6720</v>
      </c>
    </row>
    <row r="1902" spans="1:23" ht="15.6" x14ac:dyDescent="0.4">
      <c r="A1902" s="2" t="s">
        <v>1794</v>
      </c>
      <c r="B1902" s="5" t="s">
        <v>8360</v>
      </c>
      <c r="C1902" s="7" t="s">
        <v>12556</v>
      </c>
      <c r="D1902" s="8">
        <f t="shared" si="120"/>
        <v>0</v>
      </c>
      <c r="E1902" s="7" t="s">
        <v>12557</v>
      </c>
      <c r="F1902" s="7">
        <f t="shared" si="121"/>
        <v>0</v>
      </c>
      <c r="G1902" s="7" t="s">
        <v>12558</v>
      </c>
      <c r="H1902" s="7">
        <f t="shared" si="122"/>
        <v>0</v>
      </c>
      <c r="I1902" s="7" t="str" cm="1">
        <f t="array" ref="I1902">IFERROR(_xlfn.IFS(M1902="נח",1,M1902="נע ונח",1,M1902="שני שווא נח",2,M1902="שני שוואים בסוף מילה",2,M1902="שני שוואים ברצף",1),"0")</f>
        <v>0</v>
      </c>
      <c r="J1902" s="9">
        <f t="shared" si="123"/>
        <v>3</v>
      </c>
      <c r="K1902" t="s">
        <v>6697</v>
      </c>
      <c r="L1902" t="s">
        <v>6694</v>
      </c>
      <c r="M1902" t="s">
        <v>6700</v>
      </c>
      <c r="Q1902" t="s">
        <v>6694</v>
      </c>
      <c r="V1902" t="s">
        <v>6694</v>
      </c>
      <c r="W1902" t="s">
        <v>6720</v>
      </c>
    </row>
    <row r="1903" spans="1:23" ht="15.6" x14ac:dyDescent="0.4">
      <c r="A1903" s="2" t="s">
        <v>3455</v>
      </c>
      <c r="B1903" s="5" t="s">
        <v>8361</v>
      </c>
      <c r="C1903" s="7" t="s">
        <v>12556</v>
      </c>
      <c r="D1903" s="8">
        <f t="shared" si="120"/>
        <v>0</v>
      </c>
      <c r="E1903" s="7" t="s">
        <v>12557</v>
      </c>
      <c r="F1903" s="7">
        <f t="shared" si="121"/>
        <v>1</v>
      </c>
      <c r="G1903" s="7" t="s">
        <v>12558</v>
      </c>
      <c r="H1903" s="7">
        <f t="shared" si="122"/>
        <v>0</v>
      </c>
      <c r="I1903" s="7" cm="1">
        <f t="array" ref="I1903">IFERROR(_xlfn.IFS(M1903="נח",1,M1903="נע ונח",1,M1903="שני שווא נח",2,M1903="שני שוואים בסוף מילה",2,M1903="שני שוואים ברצף",1),"0")</f>
        <v>1</v>
      </c>
      <c r="J1903" s="9">
        <f t="shared" si="123"/>
        <v>3</v>
      </c>
      <c r="K1903" t="s">
        <v>6697</v>
      </c>
      <c r="L1903" t="s">
        <v>6694</v>
      </c>
      <c r="M1903" t="s">
        <v>6701</v>
      </c>
      <c r="R1903" t="s">
        <v>6694</v>
      </c>
      <c r="S1903" t="s">
        <v>6694</v>
      </c>
      <c r="W1903" t="s">
        <v>6720</v>
      </c>
    </row>
    <row r="1904" spans="1:23" ht="15.6" x14ac:dyDescent="0.4">
      <c r="A1904" s="2" t="s">
        <v>5444</v>
      </c>
      <c r="B1904" s="5" t="s">
        <v>8362</v>
      </c>
      <c r="C1904" s="7" t="s">
        <v>12556</v>
      </c>
      <c r="D1904" s="8">
        <f t="shared" si="120"/>
        <v>0</v>
      </c>
      <c r="E1904" s="7" t="s">
        <v>12557</v>
      </c>
      <c r="F1904" s="7">
        <f t="shared" si="121"/>
        <v>0</v>
      </c>
      <c r="G1904" s="7" t="s">
        <v>12558</v>
      </c>
      <c r="H1904" s="7">
        <f t="shared" si="122"/>
        <v>0</v>
      </c>
      <c r="I1904" s="7" cm="1">
        <f t="array" ref="I1904">IFERROR(_xlfn.IFS(M1904="נח",1,M1904="נע ונח",1,M1904="שני שווא נח",2,M1904="שני שוואים בסוף מילה",2,M1904="שני שוואים ברצף",1),"0")</f>
        <v>1</v>
      </c>
      <c r="J1904" s="9">
        <f t="shared" si="123"/>
        <v>3</v>
      </c>
      <c r="K1904" t="s">
        <v>6697</v>
      </c>
      <c r="L1904" t="s">
        <v>6694</v>
      </c>
      <c r="M1904" t="s">
        <v>6701</v>
      </c>
      <c r="R1904" t="s">
        <v>6694</v>
      </c>
      <c r="S1904" t="s">
        <v>6694</v>
      </c>
      <c r="W1904" t="s">
        <v>6720</v>
      </c>
    </row>
    <row r="1905" spans="1:23" ht="15.6" x14ac:dyDescent="0.4">
      <c r="A1905" s="2" t="s">
        <v>2853</v>
      </c>
      <c r="B1905" s="5" t="s">
        <v>8363</v>
      </c>
      <c r="C1905" s="7" t="s">
        <v>12556</v>
      </c>
      <c r="D1905" s="8">
        <f t="shared" si="120"/>
        <v>0</v>
      </c>
      <c r="E1905" s="7" t="s">
        <v>12557</v>
      </c>
      <c r="F1905" s="7">
        <f t="shared" si="121"/>
        <v>0</v>
      </c>
      <c r="G1905" s="7" t="s">
        <v>12558</v>
      </c>
      <c r="H1905" s="7">
        <f t="shared" si="122"/>
        <v>0</v>
      </c>
      <c r="I1905" s="7" t="str" cm="1">
        <f t="array" ref="I1905">IFERROR(_xlfn.IFS(M1905="נח",1,M1905="נע ונח",1,M1905="שני שווא נח",2,M1905="שני שוואים בסוף מילה",2,M1905="שני שוואים ברצף",1),"0")</f>
        <v>0</v>
      </c>
      <c r="J1905" s="9">
        <f t="shared" si="123"/>
        <v>3</v>
      </c>
      <c r="K1905" t="s">
        <v>6698</v>
      </c>
      <c r="L1905" t="s">
        <v>6694</v>
      </c>
      <c r="M1905" t="s">
        <v>6700</v>
      </c>
      <c r="R1905" t="s">
        <v>6694</v>
      </c>
      <c r="W1905" t="s">
        <v>6720</v>
      </c>
    </row>
    <row r="1906" spans="1:23" ht="15.6" x14ac:dyDescent="0.4">
      <c r="A1906" s="2" t="s">
        <v>5814</v>
      </c>
      <c r="B1906" s="5" t="s">
        <v>8364</v>
      </c>
      <c r="C1906" s="7" t="s">
        <v>12556</v>
      </c>
      <c r="D1906" s="8">
        <f t="shared" si="120"/>
        <v>0</v>
      </c>
      <c r="E1906" s="7" t="s">
        <v>12557</v>
      </c>
      <c r="F1906" s="7">
        <f t="shared" si="121"/>
        <v>0</v>
      </c>
      <c r="G1906" s="7" t="s">
        <v>12558</v>
      </c>
      <c r="H1906" s="7">
        <f t="shared" si="122"/>
        <v>0</v>
      </c>
      <c r="I1906" s="7" cm="1">
        <f t="array" ref="I1906">IFERROR(_xlfn.IFS(M1906="נח",1,M1906="נע ונח",1,M1906="שני שווא נח",2,M1906="שני שוואים בסוף מילה",2,M1906="שני שוואים ברצף",1),"0")</f>
        <v>1</v>
      </c>
      <c r="J1906" s="9">
        <f t="shared" si="123"/>
        <v>3</v>
      </c>
      <c r="K1906" t="s">
        <v>6698</v>
      </c>
      <c r="L1906" t="s">
        <v>6694</v>
      </c>
      <c r="M1906" t="s">
        <v>6701</v>
      </c>
      <c r="R1906" t="s">
        <v>6694</v>
      </c>
      <c r="V1906" t="s">
        <v>6694</v>
      </c>
      <c r="W1906" t="s">
        <v>6720</v>
      </c>
    </row>
    <row r="1907" spans="1:23" ht="15.6" x14ac:dyDescent="0.4">
      <c r="A1907" s="2" t="s">
        <v>3574</v>
      </c>
      <c r="B1907" s="5" t="s">
        <v>8365</v>
      </c>
      <c r="C1907" s="7" t="s">
        <v>12556</v>
      </c>
      <c r="D1907" s="8">
        <f t="shared" si="120"/>
        <v>0</v>
      </c>
      <c r="E1907" s="7" t="s">
        <v>12557</v>
      </c>
      <c r="F1907" s="7">
        <f t="shared" si="121"/>
        <v>0</v>
      </c>
      <c r="G1907" s="7" t="s">
        <v>12558</v>
      </c>
      <c r="H1907" s="7">
        <f t="shared" si="122"/>
        <v>0</v>
      </c>
      <c r="I1907" s="7" cm="1">
        <f t="array" ref="I1907">IFERROR(_xlfn.IFS(M1907="נח",1,M1907="נע ונח",1,M1907="שני שווא נח",2,M1907="שני שוואים בסוף מילה",2,M1907="שני שוואים ברצף",1),"0")</f>
        <v>1</v>
      </c>
      <c r="J1907" s="9">
        <f t="shared" si="123"/>
        <v>4</v>
      </c>
      <c r="K1907" t="s">
        <v>6698</v>
      </c>
      <c r="L1907" t="s">
        <v>6694</v>
      </c>
      <c r="M1907" t="s">
        <v>6701</v>
      </c>
      <c r="R1907" t="s">
        <v>6694</v>
      </c>
      <c r="S1907" t="s">
        <v>6694</v>
      </c>
      <c r="V1907" t="s">
        <v>6694</v>
      </c>
      <c r="W1907" t="s">
        <v>6720</v>
      </c>
    </row>
    <row r="1908" spans="1:23" ht="15.6" x14ac:dyDescent="0.4">
      <c r="A1908" s="2" t="s">
        <v>5223</v>
      </c>
      <c r="B1908" s="5" t="s">
        <v>8366</v>
      </c>
      <c r="C1908" s="7" t="s">
        <v>12556</v>
      </c>
      <c r="D1908" s="8">
        <f t="shared" si="120"/>
        <v>0</v>
      </c>
      <c r="E1908" s="7" t="s">
        <v>12557</v>
      </c>
      <c r="F1908" s="7">
        <f t="shared" si="121"/>
        <v>1</v>
      </c>
      <c r="G1908" s="7" t="s">
        <v>12558</v>
      </c>
      <c r="H1908" s="7">
        <f t="shared" si="122"/>
        <v>0</v>
      </c>
      <c r="I1908" s="7" cm="1">
        <f t="array" ref="I1908">IFERROR(_xlfn.IFS(M1908="נח",1,M1908="נע ונח",1,M1908="שני שווא נח",2,M1908="שני שוואים בסוף מילה",2,M1908="שני שוואים ברצף",1),"0")</f>
        <v>1</v>
      </c>
      <c r="J1908" s="9">
        <f t="shared" si="123"/>
        <v>3</v>
      </c>
      <c r="K1908" t="s">
        <v>6697</v>
      </c>
      <c r="L1908" t="s">
        <v>6694</v>
      </c>
      <c r="M1908" t="s">
        <v>6701</v>
      </c>
      <c r="O1908" t="s">
        <v>6694</v>
      </c>
      <c r="R1908" t="s">
        <v>6694</v>
      </c>
      <c r="W1908" t="s">
        <v>6720</v>
      </c>
    </row>
    <row r="1909" spans="1:23" ht="15.6" x14ac:dyDescent="0.4">
      <c r="A1909" s="2" t="s">
        <v>4597</v>
      </c>
      <c r="B1909" s="5" t="s">
        <v>8367</v>
      </c>
      <c r="C1909" s="7" t="s">
        <v>12556</v>
      </c>
      <c r="D1909" s="8">
        <f t="shared" si="120"/>
        <v>0</v>
      </c>
      <c r="E1909" s="7" t="s">
        <v>12557</v>
      </c>
      <c r="F1909" s="7">
        <f t="shared" si="121"/>
        <v>1</v>
      </c>
      <c r="G1909" s="7" t="s">
        <v>12558</v>
      </c>
      <c r="H1909" s="7">
        <f t="shared" si="122"/>
        <v>0</v>
      </c>
      <c r="I1909" s="7" cm="1">
        <f t="array" ref="I1909">IFERROR(_xlfn.IFS(M1909="נח",1,M1909="נע ונח",1,M1909="שני שווא נח",2,M1909="שני שוואים בסוף מילה",2,M1909="שני שוואים ברצף",1),"0")</f>
        <v>1</v>
      </c>
      <c r="J1909" s="9">
        <f t="shared" si="123"/>
        <v>3</v>
      </c>
      <c r="K1909" t="s">
        <v>6698</v>
      </c>
      <c r="L1909" t="s">
        <v>6694</v>
      </c>
      <c r="M1909" t="s">
        <v>6701</v>
      </c>
      <c r="R1909" t="s">
        <v>6694</v>
      </c>
      <c r="V1909" t="s">
        <v>6694</v>
      </c>
      <c r="W1909" t="s">
        <v>6720</v>
      </c>
    </row>
    <row r="1910" spans="1:23" ht="15.6" x14ac:dyDescent="0.4">
      <c r="A1910" s="2" t="s">
        <v>1461</v>
      </c>
      <c r="B1910" s="5" t="s">
        <v>8368</v>
      </c>
      <c r="C1910" s="7" t="s">
        <v>12556</v>
      </c>
      <c r="D1910" s="8">
        <f t="shared" si="120"/>
        <v>0</v>
      </c>
      <c r="E1910" s="7" t="s">
        <v>12557</v>
      </c>
      <c r="F1910" s="7">
        <f t="shared" si="121"/>
        <v>0</v>
      </c>
      <c r="G1910" s="7" t="s">
        <v>12558</v>
      </c>
      <c r="H1910" s="7">
        <f t="shared" si="122"/>
        <v>0</v>
      </c>
      <c r="I1910" s="7" t="str" cm="1">
        <f t="array" ref="I1910">IFERROR(_xlfn.IFS(M1910="נח",1,M1910="נע ונח",1,M1910="שני שווא נח",2,M1910="שני שוואים בסוף מילה",2,M1910="שני שוואים ברצף",1),"0")</f>
        <v>0</v>
      </c>
      <c r="J1910" s="9">
        <f t="shared" si="123"/>
        <v>3</v>
      </c>
      <c r="K1910" t="s">
        <v>6698</v>
      </c>
      <c r="L1910" t="s">
        <v>6694</v>
      </c>
      <c r="M1910" t="s">
        <v>6700</v>
      </c>
      <c r="R1910" t="s">
        <v>6694</v>
      </c>
      <c r="W1910" t="s">
        <v>6720</v>
      </c>
    </row>
    <row r="1911" spans="1:23" ht="15.6" x14ac:dyDescent="0.4">
      <c r="A1911" s="2" t="s">
        <v>4980</v>
      </c>
      <c r="B1911" s="5" t="s">
        <v>8369</v>
      </c>
      <c r="C1911" s="7" t="s">
        <v>12556</v>
      </c>
      <c r="D1911" s="8">
        <f t="shared" si="120"/>
        <v>0</v>
      </c>
      <c r="E1911" s="7" t="s">
        <v>12557</v>
      </c>
      <c r="F1911" s="7">
        <f t="shared" si="121"/>
        <v>1</v>
      </c>
      <c r="G1911" s="7" t="s">
        <v>12558</v>
      </c>
      <c r="H1911" s="7">
        <f t="shared" si="122"/>
        <v>0</v>
      </c>
      <c r="I1911" s="7" t="str" cm="1">
        <f t="array" ref="I1911">IFERROR(_xlfn.IFS(M1911="נח",1,M1911="נע ונח",1,M1911="שני שווא נח",2,M1911="שני שוואים בסוף מילה",2,M1911="שני שוואים ברצף",1),"0")</f>
        <v>0</v>
      </c>
      <c r="J1911" s="9">
        <f t="shared" si="123"/>
        <v>3</v>
      </c>
      <c r="K1911" t="s">
        <v>6698</v>
      </c>
      <c r="L1911" t="s">
        <v>6694</v>
      </c>
      <c r="M1911" t="s">
        <v>6700</v>
      </c>
      <c r="P1911" t="s">
        <v>6694</v>
      </c>
      <c r="W1911" t="s">
        <v>6720</v>
      </c>
    </row>
    <row r="1912" spans="1:23" ht="15.6" x14ac:dyDescent="0.4">
      <c r="A1912" s="2" t="s">
        <v>194</v>
      </c>
      <c r="B1912" s="5" t="s">
        <v>8370</v>
      </c>
      <c r="C1912" s="7" t="s">
        <v>12556</v>
      </c>
      <c r="D1912" s="8">
        <f t="shared" si="120"/>
        <v>0</v>
      </c>
      <c r="E1912" s="7" t="s">
        <v>12557</v>
      </c>
      <c r="F1912" s="7">
        <f t="shared" si="121"/>
        <v>1</v>
      </c>
      <c r="G1912" s="7" t="s">
        <v>12558</v>
      </c>
      <c r="H1912" s="7">
        <f t="shared" si="122"/>
        <v>0</v>
      </c>
      <c r="I1912" s="7" t="str" cm="1">
        <f t="array" ref="I1912">IFERROR(_xlfn.IFS(M1912="נח",1,M1912="נע ונח",1,M1912="שני שווא נח",2,M1912="שני שוואים בסוף מילה",2,M1912="שני שוואים ברצף",1),"0")</f>
        <v>0</v>
      </c>
      <c r="J1912" s="9">
        <f t="shared" si="123"/>
        <v>4</v>
      </c>
      <c r="K1912" t="s">
        <v>6698</v>
      </c>
      <c r="L1912" t="s">
        <v>6694</v>
      </c>
      <c r="M1912" t="s">
        <v>6700</v>
      </c>
      <c r="O1912" t="s">
        <v>6694</v>
      </c>
      <c r="P1912" t="s">
        <v>6694</v>
      </c>
      <c r="S1912" t="s">
        <v>6694</v>
      </c>
      <c r="W1912" t="s">
        <v>6720</v>
      </c>
    </row>
    <row r="1913" spans="1:23" ht="15.6" x14ac:dyDescent="0.4">
      <c r="A1913" s="2" t="s">
        <v>3883</v>
      </c>
      <c r="B1913" s="5" t="s">
        <v>8371</v>
      </c>
      <c r="C1913" s="7" t="s">
        <v>12556</v>
      </c>
      <c r="D1913" s="8">
        <f t="shared" si="120"/>
        <v>0</v>
      </c>
      <c r="E1913" s="7" t="s">
        <v>12557</v>
      </c>
      <c r="F1913" s="7">
        <f t="shared" si="121"/>
        <v>1</v>
      </c>
      <c r="G1913" s="7" t="s">
        <v>12558</v>
      </c>
      <c r="H1913" s="7">
        <f t="shared" si="122"/>
        <v>0</v>
      </c>
      <c r="I1913" s="7" t="str" cm="1">
        <f t="array" ref="I1913">IFERROR(_xlfn.IFS(M1913="נח",1,M1913="נע ונח",1,M1913="שני שווא נח",2,M1913="שני שוואים בסוף מילה",2,M1913="שני שוואים ברצף",1),"0")</f>
        <v>0</v>
      </c>
      <c r="J1913" s="9">
        <f t="shared" si="123"/>
        <v>4</v>
      </c>
      <c r="K1913" t="s">
        <v>6697</v>
      </c>
      <c r="L1913" t="s">
        <v>6694</v>
      </c>
      <c r="M1913" t="s">
        <v>6700</v>
      </c>
      <c r="O1913" t="s">
        <v>6694</v>
      </c>
      <c r="P1913" t="s">
        <v>6694</v>
      </c>
      <c r="S1913" t="s">
        <v>6694</v>
      </c>
      <c r="W1913" t="s">
        <v>6720</v>
      </c>
    </row>
    <row r="1914" spans="1:23" ht="15.6" x14ac:dyDescent="0.4">
      <c r="A1914" s="2" t="s">
        <v>2827</v>
      </c>
      <c r="B1914" s="5" t="s">
        <v>8372</v>
      </c>
      <c r="C1914" s="7" t="s">
        <v>12556</v>
      </c>
      <c r="D1914" s="8">
        <f t="shared" si="120"/>
        <v>0</v>
      </c>
      <c r="E1914" s="7" t="s">
        <v>12557</v>
      </c>
      <c r="F1914" s="7">
        <f t="shared" si="121"/>
        <v>2</v>
      </c>
      <c r="G1914" s="7" t="s">
        <v>12558</v>
      </c>
      <c r="H1914" s="7">
        <f t="shared" si="122"/>
        <v>1</v>
      </c>
      <c r="I1914" s="7" t="str" cm="1">
        <f t="array" ref="I1914">IFERROR(_xlfn.IFS(M1914="נח",1,M1914="נע ונח",1,M1914="שני שווא נח",2,M1914="שני שוואים בסוף מילה",2,M1914="שני שוואים ברצף",1),"0")</f>
        <v>0</v>
      </c>
      <c r="J1914" s="9">
        <f t="shared" si="123"/>
        <v>3</v>
      </c>
      <c r="K1914" t="s">
        <v>6698</v>
      </c>
      <c r="L1914" t="s">
        <v>6694</v>
      </c>
      <c r="M1914" t="s">
        <v>6700</v>
      </c>
      <c r="P1914" t="s">
        <v>6694</v>
      </c>
      <c r="U1914" t="s">
        <v>6694</v>
      </c>
      <c r="W1914" t="s">
        <v>6720</v>
      </c>
    </row>
    <row r="1915" spans="1:23" ht="15.6" x14ac:dyDescent="0.4">
      <c r="A1915" s="2" t="s">
        <v>5841</v>
      </c>
      <c r="B1915" s="5" t="s">
        <v>8373</v>
      </c>
      <c r="C1915" s="7" t="s">
        <v>12556</v>
      </c>
      <c r="D1915" s="8">
        <f t="shared" si="120"/>
        <v>0</v>
      </c>
      <c r="E1915" s="7" t="s">
        <v>12557</v>
      </c>
      <c r="F1915" s="7">
        <f t="shared" si="121"/>
        <v>1</v>
      </c>
      <c r="G1915" s="7" t="s">
        <v>12558</v>
      </c>
      <c r="H1915" s="7">
        <f t="shared" si="122"/>
        <v>0</v>
      </c>
      <c r="I1915" s="7" cm="1">
        <f t="array" ref="I1915">IFERROR(_xlfn.IFS(M1915="נח",1,M1915="נע ונח",1,M1915="שני שווא נח",2,M1915="שני שוואים בסוף מילה",2,M1915="שני שוואים ברצף",1),"0")</f>
        <v>1</v>
      </c>
      <c r="J1915" s="9">
        <f t="shared" si="123"/>
        <v>3</v>
      </c>
      <c r="K1915" t="s">
        <v>6697</v>
      </c>
      <c r="L1915" t="s">
        <v>6694</v>
      </c>
      <c r="M1915" t="s">
        <v>6701</v>
      </c>
      <c r="P1915" t="s">
        <v>6694</v>
      </c>
      <c r="S1915" t="s">
        <v>6694</v>
      </c>
      <c r="W1915" t="s">
        <v>6720</v>
      </c>
    </row>
    <row r="1916" spans="1:23" ht="15.6" x14ac:dyDescent="0.4">
      <c r="A1916" s="2" t="s">
        <v>4464</v>
      </c>
      <c r="B1916" s="5" t="s">
        <v>8374</v>
      </c>
      <c r="C1916" s="7" t="s">
        <v>12556</v>
      </c>
      <c r="D1916" s="8">
        <f t="shared" si="120"/>
        <v>0</v>
      </c>
      <c r="E1916" s="7" t="s">
        <v>12557</v>
      </c>
      <c r="F1916" s="7">
        <f t="shared" si="121"/>
        <v>1</v>
      </c>
      <c r="G1916" s="7" t="s">
        <v>12558</v>
      </c>
      <c r="H1916" s="7">
        <f t="shared" si="122"/>
        <v>0</v>
      </c>
      <c r="I1916" s="7" cm="1">
        <f t="array" ref="I1916">IFERROR(_xlfn.IFS(M1916="נח",1,M1916="נע ונח",1,M1916="שני שווא נח",2,M1916="שני שוואים בסוף מילה",2,M1916="שני שוואים ברצף",1),"0")</f>
        <v>1</v>
      </c>
      <c r="J1916" s="9">
        <f t="shared" si="123"/>
        <v>3</v>
      </c>
      <c r="K1916" t="s">
        <v>6697</v>
      </c>
      <c r="L1916" t="s">
        <v>6694</v>
      </c>
      <c r="M1916" t="s">
        <v>6701</v>
      </c>
      <c r="P1916" t="s">
        <v>6694</v>
      </c>
      <c r="V1916" t="s">
        <v>6694</v>
      </c>
      <c r="W1916" t="s">
        <v>6720</v>
      </c>
    </row>
    <row r="1917" spans="1:23" ht="15.6" x14ac:dyDescent="0.4">
      <c r="A1917" s="2" t="s">
        <v>3618</v>
      </c>
      <c r="B1917" s="5" t="s">
        <v>8375</v>
      </c>
      <c r="C1917" s="7" t="s">
        <v>12556</v>
      </c>
      <c r="D1917" s="8">
        <f t="shared" si="120"/>
        <v>0</v>
      </c>
      <c r="E1917" s="7" t="s">
        <v>12557</v>
      </c>
      <c r="F1917" s="7">
        <f t="shared" si="121"/>
        <v>1</v>
      </c>
      <c r="G1917" s="7" t="s">
        <v>12558</v>
      </c>
      <c r="H1917" s="7">
        <f t="shared" si="122"/>
        <v>0</v>
      </c>
      <c r="I1917" s="7" cm="1">
        <f t="array" ref="I1917">IFERROR(_xlfn.IFS(M1917="נח",1,M1917="נע ונח",1,M1917="שני שווא נח",2,M1917="שני שוואים בסוף מילה",2,M1917="שני שוואים ברצף",1),"0")</f>
        <v>1</v>
      </c>
      <c r="J1917" s="9">
        <f t="shared" si="123"/>
        <v>3</v>
      </c>
      <c r="K1917" t="s">
        <v>6697</v>
      </c>
      <c r="L1917" t="s">
        <v>6694</v>
      </c>
      <c r="M1917" t="s">
        <v>6701</v>
      </c>
      <c r="P1917" t="s">
        <v>6694</v>
      </c>
      <c r="S1917" t="s">
        <v>6694</v>
      </c>
      <c r="W1917" t="s">
        <v>6720</v>
      </c>
    </row>
    <row r="1918" spans="1:23" ht="15.6" x14ac:dyDescent="0.4">
      <c r="A1918" s="2" t="s">
        <v>3831</v>
      </c>
      <c r="B1918" s="5" t="s">
        <v>8376</v>
      </c>
      <c r="C1918" s="7" t="s">
        <v>12556</v>
      </c>
      <c r="D1918" s="8">
        <f t="shared" si="120"/>
        <v>0</v>
      </c>
      <c r="E1918" s="7" t="s">
        <v>12557</v>
      </c>
      <c r="F1918" s="7">
        <f t="shared" si="121"/>
        <v>0</v>
      </c>
      <c r="G1918" s="7" t="s">
        <v>12558</v>
      </c>
      <c r="H1918" s="7">
        <f t="shared" si="122"/>
        <v>0</v>
      </c>
      <c r="I1918" s="7" t="str" cm="1">
        <f t="array" ref="I1918">IFERROR(_xlfn.IFS(M1918="נח",1,M1918="נע ונח",1,M1918="שני שווא נח",2,M1918="שני שוואים בסוף מילה",2,M1918="שני שוואים ברצף",1),"0")</f>
        <v>0</v>
      </c>
      <c r="J1918" s="9">
        <f t="shared" si="123"/>
        <v>3</v>
      </c>
      <c r="K1918" t="s">
        <v>6698</v>
      </c>
      <c r="L1918" t="s">
        <v>6694</v>
      </c>
      <c r="M1918" t="s">
        <v>6700</v>
      </c>
      <c r="O1918" t="s">
        <v>6694</v>
      </c>
      <c r="P1918" t="s">
        <v>6694</v>
      </c>
      <c r="W1918" t="s">
        <v>6720</v>
      </c>
    </row>
    <row r="1919" spans="1:23" ht="15.6" x14ac:dyDescent="0.4">
      <c r="A1919" s="2" t="s">
        <v>924</v>
      </c>
      <c r="B1919" s="5" t="s">
        <v>8377</v>
      </c>
      <c r="C1919" s="7" t="s">
        <v>12556</v>
      </c>
      <c r="D1919" s="8">
        <f t="shared" si="120"/>
        <v>0</v>
      </c>
      <c r="E1919" s="7" t="s">
        <v>12557</v>
      </c>
      <c r="F1919" s="7">
        <f t="shared" si="121"/>
        <v>1</v>
      </c>
      <c r="G1919" s="7" t="s">
        <v>12558</v>
      </c>
      <c r="H1919" s="7">
        <f t="shared" si="122"/>
        <v>0</v>
      </c>
      <c r="I1919" s="7" t="str" cm="1">
        <f t="array" ref="I1919">IFERROR(_xlfn.IFS(M1919="נח",1,M1919="נע ונח",1,M1919="שני שווא נח",2,M1919="שני שוואים בסוף מילה",2,M1919="שני שוואים ברצף",1),"0")</f>
        <v>0</v>
      </c>
      <c r="J1919" s="9">
        <f t="shared" si="123"/>
        <v>4</v>
      </c>
      <c r="K1919" t="s">
        <v>6697</v>
      </c>
      <c r="L1919" t="s">
        <v>6694</v>
      </c>
      <c r="M1919" t="s">
        <v>6700</v>
      </c>
      <c r="O1919" t="s">
        <v>6694</v>
      </c>
      <c r="Q1919" t="s">
        <v>6694</v>
      </c>
      <c r="S1919" t="s">
        <v>6694</v>
      </c>
      <c r="W1919" t="s">
        <v>6720</v>
      </c>
    </row>
    <row r="1920" spans="1:23" ht="15.6" x14ac:dyDescent="0.4">
      <c r="A1920" s="2" t="s">
        <v>4356</v>
      </c>
      <c r="B1920" s="5" t="s">
        <v>8378</v>
      </c>
      <c r="C1920" s="7" t="s">
        <v>12556</v>
      </c>
      <c r="D1920" s="8">
        <f t="shared" si="120"/>
        <v>0</v>
      </c>
      <c r="E1920" s="7" t="s">
        <v>12557</v>
      </c>
      <c r="F1920" s="7">
        <f t="shared" si="121"/>
        <v>0</v>
      </c>
      <c r="G1920" s="7" t="s">
        <v>12558</v>
      </c>
      <c r="H1920" s="7">
        <f t="shared" si="122"/>
        <v>0</v>
      </c>
      <c r="I1920" s="7" t="str" cm="1">
        <f t="array" ref="I1920">IFERROR(_xlfn.IFS(M1920="נח",1,M1920="נע ונח",1,M1920="שני שווא נח",2,M1920="שני שוואים בסוף מילה",2,M1920="שני שוואים ברצף",1),"0")</f>
        <v>0</v>
      </c>
      <c r="J1920" s="9">
        <f t="shared" si="123"/>
        <v>3</v>
      </c>
      <c r="K1920" t="s">
        <v>6697</v>
      </c>
      <c r="L1920" t="s">
        <v>6694</v>
      </c>
      <c r="M1920" t="s">
        <v>6700</v>
      </c>
      <c r="O1920" t="s">
        <v>6694</v>
      </c>
      <c r="W1920" t="s">
        <v>6720</v>
      </c>
    </row>
    <row r="1921" spans="1:23" ht="15.6" x14ac:dyDescent="0.4">
      <c r="A1921" s="2" t="s">
        <v>2251</v>
      </c>
      <c r="B1921" s="5" t="s">
        <v>8379</v>
      </c>
      <c r="C1921" s="7" t="s">
        <v>12556</v>
      </c>
      <c r="D1921" s="8">
        <f t="shared" si="120"/>
        <v>0</v>
      </c>
      <c r="E1921" s="7" t="s">
        <v>12557</v>
      </c>
      <c r="F1921" s="7">
        <f t="shared" si="121"/>
        <v>0</v>
      </c>
      <c r="G1921" s="7" t="s">
        <v>12558</v>
      </c>
      <c r="H1921" s="7">
        <f t="shared" si="122"/>
        <v>0</v>
      </c>
      <c r="I1921" s="7" t="str" cm="1">
        <f t="array" ref="I1921">IFERROR(_xlfn.IFS(M1921="נח",1,M1921="נע ונח",1,M1921="שני שווא נח",2,M1921="שני שוואים בסוף מילה",2,M1921="שני שוואים ברצף",1),"0")</f>
        <v>0</v>
      </c>
      <c r="J1921" s="9">
        <f t="shared" si="123"/>
        <v>2</v>
      </c>
      <c r="K1921" t="s">
        <v>6698</v>
      </c>
      <c r="L1921" t="s">
        <v>6694</v>
      </c>
      <c r="M1921" t="s">
        <v>6700</v>
      </c>
      <c r="V1921" t="s">
        <v>6694</v>
      </c>
      <c r="W1921" t="s">
        <v>6720</v>
      </c>
    </row>
    <row r="1922" spans="1:23" ht="15.6" x14ac:dyDescent="0.4">
      <c r="A1922" s="2" t="s">
        <v>2505</v>
      </c>
      <c r="B1922" s="5" t="s">
        <v>8380</v>
      </c>
      <c r="C1922" s="7" t="s">
        <v>12556</v>
      </c>
      <c r="D1922" s="8">
        <f t="shared" si="120"/>
        <v>0</v>
      </c>
      <c r="E1922" s="7" t="s">
        <v>12557</v>
      </c>
      <c r="F1922" s="7">
        <f t="shared" si="121"/>
        <v>0</v>
      </c>
      <c r="G1922" s="7" t="s">
        <v>12558</v>
      </c>
      <c r="H1922" s="7">
        <f t="shared" si="122"/>
        <v>0</v>
      </c>
      <c r="I1922" s="7" t="str" cm="1">
        <f t="array" ref="I1922">IFERROR(_xlfn.IFS(M1922="נח",1,M1922="נע ונח",1,M1922="שני שווא נח",2,M1922="שני שוואים בסוף מילה",2,M1922="שני שוואים ברצף",1),"0")</f>
        <v>0</v>
      </c>
      <c r="J1922" s="9">
        <f t="shared" si="123"/>
        <v>3</v>
      </c>
      <c r="K1922" t="s">
        <v>6698</v>
      </c>
      <c r="L1922" t="s">
        <v>6694</v>
      </c>
      <c r="M1922" t="s">
        <v>6700</v>
      </c>
      <c r="Q1922" t="s">
        <v>6694</v>
      </c>
      <c r="V1922" t="s">
        <v>6694</v>
      </c>
      <c r="W1922" t="s">
        <v>6720</v>
      </c>
    </row>
    <row r="1923" spans="1:23" ht="15.6" x14ac:dyDescent="0.4">
      <c r="A1923" s="2" t="s">
        <v>2013</v>
      </c>
      <c r="B1923" s="5" t="s">
        <v>8381</v>
      </c>
      <c r="C1923" s="7" t="s">
        <v>12556</v>
      </c>
      <c r="D1923" s="8">
        <f t="shared" ref="D1923:D1986" si="124">(LEN(B1923)-LEN(SUBSTITUTE(B1923,C1923,"")))</f>
        <v>0</v>
      </c>
      <c r="E1923" s="7" t="s">
        <v>12557</v>
      </c>
      <c r="F1923" s="7">
        <f t="shared" ref="F1923:F1986" si="125">(LEN(A1923)-LEN(SUBSTITUTE(A1923,E1923,"")))</f>
        <v>1</v>
      </c>
      <c r="G1923" s="7" t="s">
        <v>12558</v>
      </c>
      <c r="H1923" s="7">
        <f t="shared" ref="H1923:H1986" si="126">(LEN(A1923)-LEN(SUBSTITUTE(A1923,G1923,"")))/2</f>
        <v>0</v>
      </c>
      <c r="I1923" s="7" t="str" cm="1">
        <f t="array" ref="I1923">IFERROR(_xlfn.IFS(M1923="נח",1,M1923="נע ונח",1,M1923="שני שווא נח",2,M1923="שני שוואים בסוף מילה",2,M1923="שני שוואים ברצף",1),"0")</f>
        <v>0</v>
      </c>
      <c r="J1923" s="9">
        <f t="shared" ref="J1923:J1986" si="127">LEN(A1923)-(LEN(B1923))-D1923-F1923+H1923-I1923</f>
        <v>4</v>
      </c>
      <c r="K1923" t="s">
        <v>6698</v>
      </c>
      <c r="L1923" t="s">
        <v>6694</v>
      </c>
      <c r="M1923" t="s">
        <v>6700</v>
      </c>
      <c r="N1923" t="s">
        <v>6706</v>
      </c>
      <c r="O1923" t="s">
        <v>6694</v>
      </c>
      <c r="T1923" t="s">
        <v>6694</v>
      </c>
      <c r="V1923" t="s">
        <v>6694</v>
      </c>
      <c r="W1923" t="s">
        <v>6720</v>
      </c>
    </row>
    <row r="1924" spans="1:23" ht="15.6" x14ac:dyDescent="0.4">
      <c r="A1924" s="2" t="s">
        <v>6015</v>
      </c>
      <c r="B1924" s="5" t="s">
        <v>8382</v>
      </c>
      <c r="C1924" s="7" t="s">
        <v>12556</v>
      </c>
      <c r="D1924" s="8">
        <f t="shared" si="124"/>
        <v>0</v>
      </c>
      <c r="E1924" s="7" t="s">
        <v>12557</v>
      </c>
      <c r="F1924" s="7">
        <f t="shared" si="125"/>
        <v>0</v>
      </c>
      <c r="G1924" s="7" t="s">
        <v>12558</v>
      </c>
      <c r="H1924" s="7">
        <f t="shared" si="126"/>
        <v>0</v>
      </c>
      <c r="I1924" s="7" t="str" cm="1">
        <f t="array" ref="I1924">IFERROR(_xlfn.IFS(M1924="נח",1,M1924="נע ונח",1,M1924="שני שווא נח",2,M1924="שני שוואים בסוף מילה",2,M1924="שני שוואים ברצף",1),"0")</f>
        <v>0</v>
      </c>
      <c r="J1924" s="9">
        <f t="shared" si="127"/>
        <v>3</v>
      </c>
      <c r="K1924" t="s">
        <v>6698</v>
      </c>
      <c r="L1924" t="s">
        <v>6694</v>
      </c>
      <c r="M1924" t="s">
        <v>6700</v>
      </c>
      <c r="Q1924" t="s">
        <v>6694</v>
      </c>
      <c r="V1924" t="s">
        <v>6694</v>
      </c>
      <c r="W1924" t="s">
        <v>6720</v>
      </c>
    </row>
    <row r="1925" spans="1:23" ht="15.6" x14ac:dyDescent="0.4">
      <c r="A1925" s="2" t="s">
        <v>2400</v>
      </c>
      <c r="B1925" s="5" t="s">
        <v>8383</v>
      </c>
      <c r="C1925" s="7" t="s">
        <v>12556</v>
      </c>
      <c r="D1925" s="8">
        <f t="shared" si="124"/>
        <v>0</v>
      </c>
      <c r="E1925" s="7" t="s">
        <v>12557</v>
      </c>
      <c r="F1925" s="7">
        <f t="shared" si="125"/>
        <v>1</v>
      </c>
      <c r="G1925" s="7" t="s">
        <v>12558</v>
      </c>
      <c r="H1925" s="7">
        <f t="shared" si="126"/>
        <v>1</v>
      </c>
      <c r="I1925" s="7" cm="1">
        <f t="array" ref="I1925">IFERROR(_xlfn.IFS(M1925="נח",1,M1925="נע ונח",1,M1925="שני שווא נח",2,M1925="שני שוואים בסוף מילה",2,M1925="שני שוואים ברצף",1),"0")</f>
        <v>1</v>
      </c>
      <c r="J1925" s="9">
        <f t="shared" si="127"/>
        <v>4</v>
      </c>
      <c r="K1925" t="s">
        <v>6697</v>
      </c>
      <c r="L1925" t="s">
        <v>6694</v>
      </c>
      <c r="M1925" t="s">
        <v>6702</v>
      </c>
      <c r="S1925" t="s">
        <v>6694</v>
      </c>
      <c r="U1925" t="s">
        <v>6694</v>
      </c>
      <c r="W1925" t="s">
        <v>6720</v>
      </c>
    </row>
    <row r="1926" spans="1:23" ht="15.6" x14ac:dyDescent="0.4">
      <c r="A1926" s="2" t="s">
        <v>2373</v>
      </c>
      <c r="B1926" s="5" t="s">
        <v>8384</v>
      </c>
      <c r="C1926" s="7" t="s">
        <v>12556</v>
      </c>
      <c r="D1926" s="8">
        <f t="shared" si="124"/>
        <v>0</v>
      </c>
      <c r="E1926" s="7" t="s">
        <v>12557</v>
      </c>
      <c r="F1926" s="7">
        <f t="shared" si="125"/>
        <v>2</v>
      </c>
      <c r="G1926" s="7" t="s">
        <v>12558</v>
      </c>
      <c r="H1926" s="7">
        <f t="shared" si="126"/>
        <v>1</v>
      </c>
      <c r="I1926" s="7" t="str" cm="1">
        <f t="array" ref="I1926">IFERROR(_xlfn.IFS(M1926="נח",1,M1926="נע ונח",1,M1926="שני שווא נח",2,M1926="שני שוואים בסוף מילה",2,M1926="שני שוואים ברצף",1),"0")</f>
        <v>0</v>
      </c>
      <c r="J1926" s="9">
        <f t="shared" si="127"/>
        <v>5</v>
      </c>
      <c r="K1926" t="s">
        <v>6697</v>
      </c>
      <c r="L1926" t="s">
        <v>6694</v>
      </c>
      <c r="M1926" t="s">
        <v>6700</v>
      </c>
      <c r="O1926" t="s">
        <v>6694</v>
      </c>
      <c r="P1926" t="s">
        <v>6694</v>
      </c>
      <c r="S1926" t="s">
        <v>6694</v>
      </c>
      <c r="U1926" t="s">
        <v>6694</v>
      </c>
      <c r="W1926" t="s">
        <v>6720</v>
      </c>
    </row>
    <row r="1927" spans="1:23" ht="15.6" x14ac:dyDescent="0.4">
      <c r="A1927" s="2" t="s">
        <v>1570</v>
      </c>
      <c r="B1927" s="5" t="s">
        <v>8385</v>
      </c>
      <c r="C1927" s="7" t="s">
        <v>12556</v>
      </c>
      <c r="D1927" s="8">
        <f t="shared" si="124"/>
        <v>0</v>
      </c>
      <c r="E1927" s="7" t="s">
        <v>12557</v>
      </c>
      <c r="F1927" s="7">
        <f t="shared" si="125"/>
        <v>2</v>
      </c>
      <c r="G1927" s="7" t="s">
        <v>12558</v>
      </c>
      <c r="H1927" s="7">
        <f t="shared" si="126"/>
        <v>1</v>
      </c>
      <c r="I1927" s="7" cm="1">
        <f t="array" ref="I1927">IFERROR(_xlfn.IFS(M1927="נח",1,M1927="נע ונח",1,M1927="שני שווא נח",2,M1927="שני שוואים בסוף מילה",2,M1927="שני שוואים ברצף",1),"0")</f>
        <v>1</v>
      </c>
      <c r="J1927" s="9">
        <f t="shared" si="127"/>
        <v>4</v>
      </c>
      <c r="K1927" t="s">
        <v>6697</v>
      </c>
      <c r="L1927" t="s">
        <v>6694</v>
      </c>
      <c r="M1927" t="s">
        <v>6701</v>
      </c>
      <c r="S1927" t="s">
        <v>6694</v>
      </c>
      <c r="U1927" t="s">
        <v>6694</v>
      </c>
      <c r="W1927" t="s">
        <v>6720</v>
      </c>
    </row>
    <row r="1928" spans="1:23" ht="15.6" x14ac:dyDescent="0.4">
      <c r="A1928" s="2" t="s">
        <v>3147</v>
      </c>
      <c r="B1928" s="5" t="s">
        <v>8386</v>
      </c>
      <c r="C1928" s="7" t="s">
        <v>12556</v>
      </c>
      <c r="D1928" s="8">
        <f t="shared" si="124"/>
        <v>0</v>
      </c>
      <c r="E1928" s="7" t="s">
        <v>12557</v>
      </c>
      <c r="F1928" s="7">
        <f t="shared" si="125"/>
        <v>1</v>
      </c>
      <c r="G1928" s="7" t="s">
        <v>12558</v>
      </c>
      <c r="H1928" s="7">
        <f t="shared" si="126"/>
        <v>1</v>
      </c>
      <c r="I1928" s="7" cm="1">
        <f t="array" ref="I1928">IFERROR(_xlfn.IFS(M1928="נח",1,M1928="נע ונח",1,M1928="שני שווא נח",2,M1928="שני שוואים בסוף מילה",2,M1928="שני שוואים ברצף",1),"0")</f>
        <v>1</v>
      </c>
      <c r="J1928" s="9">
        <f t="shared" si="127"/>
        <v>3</v>
      </c>
      <c r="K1928" t="s">
        <v>6697</v>
      </c>
      <c r="L1928" t="s">
        <v>6694</v>
      </c>
      <c r="M1928" t="s">
        <v>6701</v>
      </c>
      <c r="S1928" t="s">
        <v>6694</v>
      </c>
      <c r="U1928" t="s">
        <v>6694</v>
      </c>
      <c r="W1928" t="s">
        <v>6720</v>
      </c>
    </row>
    <row r="1929" spans="1:23" ht="15.6" x14ac:dyDescent="0.4">
      <c r="A1929" s="2" t="s">
        <v>3497</v>
      </c>
      <c r="B1929" s="5" t="s">
        <v>8386</v>
      </c>
      <c r="C1929" s="7" t="s">
        <v>12556</v>
      </c>
      <c r="D1929" s="8">
        <f t="shared" si="124"/>
        <v>0</v>
      </c>
      <c r="E1929" s="7" t="s">
        <v>12557</v>
      </c>
      <c r="F1929" s="7">
        <f t="shared" si="125"/>
        <v>1</v>
      </c>
      <c r="G1929" s="7" t="s">
        <v>12558</v>
      </c>
      <c r="H1929" s="7">
        <f t="shared" si="126"/>
        <v>1</v>
      </c>
      <c r="I1929" s="7" t="str" cm="1">
        <f t="array" ref="I1929">IFERROR(_xlfn.IFS(M1929="נח",1,M1929="נע ונח",1,M1929="שני שווא נח",2,M1929="שני שוואים בסוף מילה",2,M1929="שני שוואים ברצף",1),"0")</f>
        <v>0</v>
      </c>
      <c r="J1929" s="9">
        <f t="shared" si="127"/>
        <v>4</v>
      </c>
      <c r="K1929" t="s">
        <v>6697</v>
      </c>
      <c r="L1929" t="s">
        <v>6694</v>
      </c>
      <c r="M1929" t="s">
        <v>6700</v>
      </c>
      <c r="O1929" t="s">
        <v>6694</v>
      </c>
      <c r="S1929" t="s">
        <v>6694</v>
      </c>
      <c r="U1929" t="s">
        <v>6694</v>
      </c>
      <c r="W1929" t="s">
        <v>6720</v>
      </c>
    </row>
    <row r="1930" spans="1:23" ht="15.6" x14ac:dyDescent="0.4">
      <c r="A1930" s="2" t="s">
        <v>956</v>
      </c>
      <c r="B1930" s="5" t="s">
        <v>8387</v>
      </c>
      <c r="C1930" s="7" t="s">
        <v>12556</v>
      </c>
      <c r="D1930" s="8">
        <f t="shared" si="124"/>
        <v>0</v>
      </c>
      <c r="E1930" s="7" t="s">
        <v>12557</v>
      </c>
      <c r="F1930" s="7">
        <f t="shared" si="125"/>
        <v>2</v>
      </c>
      <c r="G1930" s="7" t="s">
        <v>12558</v>
      </c>
      <c r="H1930" s="7">
        <f t="shared" si="126"/>
        <v>1</v>
      </c>
      <c r="I1930" s="7" cm="1">
        <f t="array" ref="I1930">IFERROR(_xlfn.IFS(M1930="נח",1,M1930="נע ונח",1,M1930="שני שווא נח",2,M1930="שני שוואים בסוף מילה",2,M1930="שני שוואים ברצף",1),"0")</f>
        <v>1</v>
      </c>
      <c r="J1930" s="9">
        <f t="shared" si="127"/>
        <v>4</v>
      </c>
      <c r="K1930" t="s">
        <v>6697</v>
      </c>
      <c r="L1930" t="s">
        <v>6694</v>
      </c>
      <c r="M1930" t="s">
        <v>6701</v>
      </c>
      <c r="N1930" t="s">
        <v>6706</v>
      </c>
      <c r="O1930" t="s">
        <v>6694</v>
      </c>
      <c r="S1930" t="s">
        <v>6694</v>
      </c>
      <c r="U1930" t="s">
        <v>6694</v>
      </c>
      <c r="W1930" t="s">
        <v>6720</v>
      </c>
    </row>
    <row r="1931" spans="1:23" ht="15.6" x14ac:dyDescent="0.4">
      <c r="A1931" s="2" t="s">
        <v>4181</v>
      </c>
      <c r="B1931" s="5" t="s">
        <v>8388</v>
      </c>
      <c r="C1931" s="7" t="s">
        <v>12556</v>
      </c>
      <c r="D1931" s="8">
        <f t="shared" si="124"/>
        <v>0</v>
      </c>
      <c r="E1931" s="7" t="s">
        <v>12557</v>
      </c>
      <c r="F1931" s="7">
        <f t="shared" si="125"/>
        <v>2</v>
      </c>
      <c r="G1931" s="7" t="s">
        <v>12558</v>
      </c>
      <c r="H1931" s="7">
        <f t="shared" si="126"/>
        <v>1</v>
      </c>
      <c r="I1931" s="7" t="str" cm="1">
        <f t="array" ref="I1931">IFERROR(_xlfn.IFS(M1931="נח",1,M1931="נע ונח",1,M1931="שני שווא נח",2,M1931="שני שוואים בסוף מילה",2,M1931="שני שוואים ברצף",1),"0")</f>
        <v>0</v>
      </c>
      <c r="J1931" s="9">
        <f t="shared" si="127"/>
        <v>5</v>
      </c>
      <c r="K1931" t="s">
        <v>6697</v>
      </c>
      <c r="L1931" t="s">
        <v>6694</v>
      </c>
      <c r="M1931" t="s">
        <v>6700</v>
      </c>
      <c r="O1931" t="s">
        <v>6694</v>
      </c>
      <c r="S1931" t="s">
        <v>6694</v>
      </c>
      <c r="U1931" t="s">
        <v>6694</v>
      </c>
      <c r="V1931" t="s">
        <v>6694</v>
      </c>
      <c r="W1931" t="s">
        <v>6720</v>
      </c>
    </row>
    <row r="1932" spans="1:23" ht="15.6" x14ac:dyDescent="0.4">
      <c r="A1932" s="2" t="s">
        <v>4206</v>
      </c>
      <c r="B1932" s="5" t="s">
        <v>8389</v>
      </c>
      <c r="C1932" s="7" t="s">
        <v>12556</v>
      </c>
      <c r="D1932" s="8">
        <f t="shared" si="124"/>
        <v>0</v>
      </c>
      <c r="E1932" s="7" t="s">
        <v>12557</v>
      </c>
      <c r="F1932" s="7">
        <f t="shared" si="125"/>
        <v>2</v>
      </c>
      <c r="G1932" s="7" t="s">
        <v>12558</v>
      </c>
      <c r="H1932" s="7">
        <f t="shared" si="126"/>
        <v>1</v>
      </c>
      <c r="I1932" s="7" cm="1">
        <f t="array" ref="I1932">IFERROR(_xlfn.IFS(M1932="נח",1,M1932="נע ונח",1,M1932="שני שווא נח",2,M1932="שני שוואים בסוף מילה",2,M1932="שני שוואים ברצף",1),"0")</f>
        <v>1</v>
      </c>
      <c r="J1932" s="9">
        <f t="shared" si="127"/>
        <v>4</v>
      </c>
      <c r="K1932" t="s">
        <v>6697</v>
      </c>
      <c r="L1932" t="s">
        <v>6694</v>
      </c>
      <c r="M1932" t="s">
        <v>6701</v>
      </c>
      <c r="N1932" t="s">
        <v>6706</v>
      </c>
      <c r="O1932" t="s">
        <v>6694</v>
      </c>
      <c r="S1932" t="s">
        <v>6694</v>
      </c>
      <c r="U1932" t="s">
        <v>6694</v>
      </c>
      <c r="W1932" t="s">
        <v>6720</v>
      </c>
    </row>
    <row r="1933" spans="1:23" ht="15.6" x14ac:dyDescent="0.4">
      <c r="A1933" s="2" t="s">
        <v>3129</v>
      </c>
      <c r="B1933" s="5" t="s">
        <v>8390</v>
      </c>
      <c r="C1933" s="7" t="s">
        <v>12556</v>
      </c>
      <c r="D1933" s="8">
        <f t="shared" si="124"/>
        <v>0</v>
      </c>
      <c r="E1933" s="7" t="s">
        <v>12557</v>
      </c>
      <c r="F1933" s="7">
        <f t="shared" si="125"/>
        <v>1</v>
      </c>
      <c r="G1933" s="7" t="s">
        <v>12558</v>
      </c>
      <c r="H1933" s="7">
        <f t="shared" si="126"/>
        <v>0</v>
      </c>
      <c r="I1933" s="7" t="str" cm="1">
        <f t="array" ref="I1933">IFERROR(_xlfn.IFS(M1933="נח",1,M1933="נע ונח",1,M1933="שני שווא נח",2,M1933="שני שוואים בסוף מילה",2,M1933="שני שוואים ברצף",1),"0")</f>
        <v>0</v>
      </c>
      <c r="J1933" s="9">
        <f t="shared" si="127"/>
        <v>4</v>
      </c>
      <c r="K1933" t="s">
        <v>6697</v>
      </c>
      <c r="L1933" t="s">
        <v>6694</v>
      </c>
      <c r="M1933" t="s">
        <v>6700</v>
      </c>
      <c r="O1933" t="s">
        <v>6694</v>
      </c>
      <c r="Q1933" t="s">
        <v>6694</v>
      </c>
      <c r="S1933" t="s">
        <v>6694</v>
      </c>
      <c r="W1933" t="s">
        <v>6720</v>
      </c>
    </row>
    <row r="1934" spans="1:23" ht="15.6" x14ac:dyDescent="0.4">
      <c r="A1934" s="2" t="s">
        <v>3950</v>
      </c>
      <c r="B1934" s="5" t="s">
        <v>8391</v>
      </c>
      <c r="C1934" s="7" t="s">
        <v>12556</v>
      </c>
      <c r="D1934" s="8">
        <f t="shared" si="124"/>
        <v>0</v>
      </c>
      <c r="E1934" s="7" t="s">
        <v>12557</v>
      </c>
      <c r="F1934" s="7">
        <f t="shared" si="125"/>
        <v>1</v>
      </c>
      <c r="G1934" s="7" t="s">
        <v>12558</v>
      </c>
      <c r="H1934" s="7">
        <f t="shared" si="126"/>
        <v>0</v>
      </c>
      <c r="I1934" s="7" t="str" cm="1">
        <f t="array" ref="I1934">IFERROR(_xlfn.IFS(M1934="נח",1,M1934="נע ונח",1,M1934="שני שווא נח",2,M1934="שני שוואים בסוף מילה",2,M1934="שני שוואים ברצף",1),"0")</f>
        <v>0</v>
      </c>
      <c r="J1934" s="9">
        <f t="shared" si="127"/>
        <v>5</v>
      </c>
      <c r="K1934" t="s">
        <v>6697</v>
      </c>
      <c r="L1934" t="s">
        <v>6694</v>
      </c>
      <c r="M1934" t="s">
        <v>6700</v>
      </c>
      <c r="O1934" t="s">
        <v>6694</v>
      </c>
      <c r="P1934" t="s">
        <v>6694</v>
      </c>
      <c r="S1934" t="s">
        <v>6694</v>
      </c>
      <c r="W1934" t="s">
        <v>6720</v>
      </c>
    </row>
    <row r="1935" spans="1:23" ht="15.6" x14ac:dyDescent="0.4">
      <c r="A1935" s="2" t="s">
        <v>3953</v>
      </c>
      <c r="B1935" s="5" t="s">
        <v>8392</v>
      </c>
      <c r="C1935" s="7" t="s">
        <v>12556</v>
      </c>
      <c r="D1935" s="8">
        <f t="shared" si="124"/>
        <v>0</v>
      </c>
      <c r="E1935" s="7" t="s">
        <v>12557</v>
      </c>
      <c r="F1935" s="7">
        <f t="shared" si="125"/>
        <v>1</v>
      </c>
      <c r="G1935" s="7" t="s">
        <v>12558</v>
      </c>
      <c r="H1935" s="7">
        <f t="shared" si="126"/>
        <v>1</v>
      </c>
      <c r="I1935" s="7" cm="1">
        <f t="array" ref="I1935">IFERROR(_xlfn.IFS(M1935="נח",1,M1935="נע ונח",1,M1935="שני שווא נח",2,M1935="שני שוואים בסוף מילה",2,M1935="שני שוואים ברצף",1),"0")</f>
        <v>1</v>
      </c>
      <c r="J1935" s="9">
        <f t="shared" si="127"/>
        <v>3</v>
      </c>
      <c r="K1935" t="s">
        <v>6697</v>
      </c>
      <c r="L1935" t="s">
        <v>6694</v>
      </c>
      <c r="M1935" t="s">
        <v>6701</v>
      </c>
      <c r="S1935" t="s">
        <v>6694</v>
      </c>
      <c r="U1935" t="s">
        <v>6694</v>
      </c>
      <c r="W1935" t="s">
        <v>6720</v>
      </c>
    </row>
    <row r="1936" spans="1:23" ht="15.6" x14ac:dyDescent="0.4">
      <c r="A1936" s="2" t="s">
        <v>5961</v>
      </c>
      <c r="B1936" s="5" t="s">
        <v>8393</v>
      </c>
      <c r="C1936" s="7" t="s">
        <v>12556</v>
      </c>
      <c r="D1936" s="8">
        <f t="shared" si="124"/>
        <v>0</v>
      </c>
      <c r="E1936" s="7" t="s">
        <v>12557</v>
      </c>
      <c r="F1936" s="7">
        <f t="shared" si="125"/>
        <v>0</v>
      </c>
      <c r="G1936" s="7" t="s">
        <v>12558</v>
      </c>
      <c r="H1936" s="7">
        <f t="shared" si="126"/>
        <v>0</v>
      </c>
      <c r="I1936" s="7" cm="1">
        <f t="array" ref="I1936">IFERROR(_xlfn.IFS(M1936="נח",1,M1936="נע ונח",1,M1936="שני שווא נח",2,M1936="שני שוואים בסוף מילה",2,M1936="שני שוואים ברצף",1),"0")</f>
        <v>1</v>
      </c>
      <c r="J1936" s="9">
        <f t="shared" si="127"/>
        <v>3</v>
      </c>
      <c r="K1936" t="s">
        <v>6698</v>
      </c>
      <c r="L1936" t="s">
        <v>6694</v>
      </c>
      <c r="M1936" t="s">
        <v>6701</v>
      </c>
      <c r="S1936" t="s">
        <v>6694</v>
      </c>
      <c r="V1936" t="s">
        <v>6694</v>
      </c>
      <c r="W1936" t="s">
        <v>6720</v>
      </c>
    </row>
    <row r="1937" spans="1:23" ht="15.6" x14ac:dyDescent="0.4">
      <c r="A1937" s="2" t="s">
        <v>1568</v>
      </c>
      <c r="B1937" s="5" t="s">
        <v>8394</v>
      </c>
      <c r="C1937" s="7" t="s">
        <v>12556</v>
      </c>
      <c r="D1937" s="8">
        <f t="shared" si="124"/>
        <v>0</v>
      </c>
      <c r="E1937" s="7" t="s">
        <v>12557</v>
      </c>
      <c r="F1937" s="7">
        <f t="shared" si="125"/>
        <v>1</v>
      </c>
      <c r="G1937" s="7" t="s">
        <v>12558</v>
      </c>
      <c r="H1937" s="7">
        <f t="shared" si="126"/>
        <v>0</v>
      </c>
      <c r="I1937" s="7" cm="1">
        <f t="array" ref="I1937">IFERROR(_xlfn.IFS(M1937="נח",1,M1937="נע ונח",1,M1937="שני שווא נח",2,M1937="שני שוואים בסוף מילה",2,M1937="שני שוואים ברצף",1),"0")</f>
        <v>1</v>
      </c>
      <c r="J1937" s="9">
        <f t="shared" si="127"/>
        <v>4</v>
      </c>
      <c r="K1937" t="s">
        <v>6698</v>
      </c>
      <c r="L1937" t="s">
        <v>6694</v>
      </c>
      <c r="M1937" t="s">
        <v>6701</v>
      </c>
      <c r="O1937" t="s">
        <v>6694</v>
      </c>
      <c r="Q1937" t="s">
        <v>6694</v>
      </c>
      <c r="S1937" t="s">
        <v>6694</v>
      </c>
      <c r="W1937" t="s">
        <v>6720</v>
      </c>
    </row>
    <row r="1938" spans="1:23" ht="15.6" x14ac:dyDescent="0.4">
      <c r="A1938" s="2" t="s">
        <v>2552</v>
      </c>
      <c r="B1938" s="5" t="s">
        <v>8395</v>
      </c>
      <c r="C1938" s="7" t="s">
        <v>12556</v>
      </c>
      <c r="D1938" s="8">
        <f t="shared" si="124"/>
        <v>1</v>
      </c>
      <c r="E1938" s="7" t="s">
        <v>12557</v>
      </c>
      <c r="F1938" s="7">
        <f t="shared" si="125"/>
        <v>2</v>
      </c>
      <c r="G1938" s="7" t="s">
        <v>12558</v>
      </c>
      <c r="H1938" s="7">
        <f t="shared" si="126"/>
        <v>1</v>
      </c>
      <c r="I1938" s="7" cm="1">
        <f t="array" ref="I1938">IFERROR(_xlfn.IFS(M1938="נח",1,M1938="נע ונח",1,M1938="שני שווא נח",2,M1938="שני שוואים בסוף מילה",2,M1938="שני שוואים ברצף",1),"0")</f>
        <v>1</v>
      </c>
      <c r="J1938" s="9">
        <f t="shared" si="127"/>
        <v>4</v>
      </c>
      <c r="K1938" t="s">
        <v>6697</v>
      </c>
      <c r="L1938" t="s">
        <v>6694</v>
      </c>
      <c r="M1938" t="s">
        <v>6701</v>
      </c>
      <c r="S1938" t="s">
        <v>6694</v>
      </c>
      <c r="U1938" t="s">
        <v>6694</v>
      </c>
      <c r="W1938" t="s">
        <v>6720</v>
      </c>
    </row>
    <row r="1939" spans="1:23" ht="15.6" x14ac:dyDescent="0.4">
      <c r="A1939" s="2" t="s">
        <v>2605</v>
      </c>
      <c r="B1939" s="5" t="s">
        <v>8396</v>
      </c>
      <c r="C1939" s="7" t="s">
        <v>12556</v>
      </c>
      <c r="D1939" s="8">
        <f t="shared" si="124"/>
        <v>1</v>
      </c>
      <c r="E1939" s="7" t="s">
        <v>12557</v>
      </c>
      <c r="F1939" s="7">
        <f t="shared" si="125"/>
        <v>0</v>
      </c>
      <c r="G1939" s="7" t="s">
        <v>12558</v>
      </c>
      <c r="H1939" s="7">
        <f t="shared" si="126"/>
        <v>0</v>
      </c>
      <c r="I1939" s="7" cm="1">
        <f t="array" ref="I1939">IFERROR(_xlfn.IFS(M1939="נח",1,M1939="נע ונח",1,M1939="שני שווא נח",2,M1939="שני שוואים בסוף מילה",2,M1939="שני שוואים ברצף",1),"0")</f>
        <v>1</v>
      </c>
      <c r="J1939" s="9">
        <f t="shared" si="127"/>
        <v>3</v>
      </c>
      <c r="K1939" t="s">
        <v>6697</v>
      </c>
      <c r="L1939" t="s">
        <v>6694</v>
      </c>
      <c r="M1939" t="s">
        <v>6701</v>
      </c>
      <c r="S1939" t="s">
        <v>6694</v>
      </c>
      <c r="W1939" t="s">
        <v>6720</v>
      </c>
    </row>
    <row r="1940" spans="1:23" ht="15.6" x14ac:dyDescent="0.4">
      <c r="A1940" s="2" t="s">
        <v>3104</v>
      </c>
      <c r="B1940" s="5" t="s">
        <v>8397</v>
      </c>
      <c r="C1940" s="7" t="s">
        <v>12556</v>
      </c>
      <c r="D1940" s="8">
        <f t="shared" si="124"/>
        <v>1</v>
      </c>
      <c r="E1940" s="7" t="s">
        <v>12557</v>
      </c>
      <c r="F1940" s="7">
        <f t="shared" si="125"/>
        <v>2</v>
      </c>
      <c r="G1940" s="7" t="s">
        <v>12558</v>
      </c>
      <c r="H1940" s="7">
        <f t="shared" si="126"/>
        <v>1</v>
      </c>
      <c r="I1940" s="7" cm="1">
        <f t="array" ref="I1940">IFERROR(_xlfn.IFS(M1940="נח",1,M1940="נע ונח",1,M1940="שני שווא נח",2,M1940="שני שוואים בסוף מילה",2,M1940="שני שוואים ברצף",1),"0")</f>
        <v>1</v>
      </c>
      <c r="J1940" s="9">
        <f t="shared" si="127"/>
        <v>5</v>
      </c>
      <c r="K1940" t="s">
        <v>6697</v>
      </c>
      <c r="L1940" t="s">
        <v>6694</v>
      </c>
      <c r="M1940" t="s">
        <v>6701</v>
      </c>
      <c r="P1940" t="s">
        <v>6694</v>
      </c>
      <c r="S1940" t="s">
        <v>6694</v>
      </c>
      <c r="U1940" t="s">
        <v>6694</v>
      </c>
      <c r="W1940" t="s">
        <v>6720</v>
      </c>
    </row>
    <row r="1941" spans="1:23" ht="15.6" x14ac:dyDescent="0.4">
      <c r="A1941" s="2" t="s">
        <v>5911</v>
      </c>
      <c r="B1941" s="5" t="s">
        <v>8398</v>
      </c>
      <c r="C1941" s="7" t="s">
        <v>12556</v>
      </c>
      <c r="D1941" s="8">
        <f t="shared" si="124"/>
        <v>1</v>
      </c>
      <c r="E1941" s="7" t="s">
        <v>12557</v>
      </c>
      <c r="F1941" s="7">
        <f t="shared" si="125"/>
        <v>2</v>
      </c>
      <c r="G1941" s="7" t="s">
        <v>12558</v>
      </c>
      <c r="H1941" s="7">
        <f t="shared" si="126"/>
        <v>1</v>
      </c>
      <c r="I1941" s="7" cm="1">
        <f t="array" ref="I1941">IFERROR(_xlfn.IFS(M1941="נח",1,M1941="נע ונח",1,M1941="שני שווא נח",2,M1941="שני שוואים בסוף מילה",2,M1941="שני שוואים ברצף",1),"0")</f>
        <v>1</v>
      </c>
      <c r="J1941" s="9">
        <f t="shared" si="127"/>
        <v>4</v>
      </c>
      <c r="K1941" t="s">
        <v>6697</v>
      </c>
      <c r="L1941" t="s">
        <v>6694</v>
      </c>
      <c r="M1941" t="s">
        <v>6701</v>
      </c>
      <c r="O1941" t="s">
        <v>6694</v>
      </c>
      <c r="S1941" t="s">
        <v>6694</v>
      </c>
      <c r="U1941" t="s">
        <v>6694</v>
      </c>
      <c r="W1941" t="s">
        <v>6720</v>
      </c>
    </row>
    <row r="1942" spans="1:23" ht="15.6" x14ac:dyDescent="0.4">
      <c r="A1942" s="2" t="s">
        <v>869</v>
      </c>
      <c r="B1942" s="5" t="s">
        <v>8399</v>
      </c>
      <c r="C1942" s="7" t="s">
        <v>12556</v>
      </c>
      <c r="D1942" s="8">
        <f t="shared" si="124"/>
        <v>1</v>
      </c>
      <c r="E1942" s="7" t="s">
        <v>12557</v>
      </c>
      <c r="F1942" s="7">
        <f t="shared" si="125"/>
        <v>1</v>
      </c>
      <c r="G1942" s="7" t="s">
        <v>12558</v>
      </c>
      <c r="H1942" s="7">
        <f t="shared" si="126"/>
        <v>1</v>
      </c>
      <c r="I1942" s="7" cm="1">
        <f t="array" ref="I1942">IFERROR(_xlfn.IFS(M1942="נח",1,M1942="נע ונח",1,M1942="שני שווא נח",2,M1942="שני שוואים בסוף מילה",2,M1942="שני שוואים ברצף",1),"0")</f>
        <v>1</v>
      </c>
      <c r="J1942" s="9">
        <f t="shared" si="127"/>
        <v>4</v>
      </c>
      <c r="K1942" t="s">
        <v>6697</v>
      </c>
      <c r="L1942" t="s">
        <v>6694</v>
      </c>
      <c r="M1942" t="s">
        <v>6702</v>
      </c>
      <c r="S1942" t="s">
        <v>6694</v>
      </c>
      <c r="U1942" t="s">
        <v>6694</v>
      </c>
      <c r="W1942" t="s">
        <v>6720</v>
      </c>
    </row>
    <row r="1943" spans="1:23" ht="15.6" x14ac:dyDescent="0.4">
      <c r="A1943" s="2" t="s">
        <v>6265</v>
      </c>
      <c r="B1943" s="5" t="s">
        <v>8399</v>
      </c>
      <c r="C1943" s="7" t="s">
        <v>12556</v>
      </c>
      <c r="D1943" s="8">
        <f t="shared" si="124"/>
        <v>1</v>
      </c>
      <c r="E1943" s="7" t="s">
        <v>12557</v>
      </c>
      <c r="F1943" s="7">
        <f t="shared" si="125"/>
        <v>1</v>
      </c>
      <c r="G1943" s="7" t="s">
        <v>12558</v>
      </c>
      <c r="H1943" s="7">
        <f t="shared" si="126"/>
        <v>1</v>
      </c>
      <c r="I1943" s="7" cm="1">
        <f t="array" ref="I1943">IFERROR(_xlfn.IFS(M1943="נח",1,M1943="נע ונח",1,M1943="שני שווא נח",2,M1943="שני שוואים בסוף מילה",2,M1943="שני שוואים ברצף",1),"0")</f>
        <v>1</v>
      </c>
      <c r="J1943" s="9">
        <f t="shared" si="127"/>
        <v>4</v>
      </c>
      <c r="K1943" t="s">
        <v>6697</v>
      </c>
      <c r="L1943" t="s">
        <v>6694</v>
      </c>
      <c r="M1943" t="s">
        <v>6701</v>
      </c>
      <c r="O1943" t="s">
        <v>6694</v>
      </c>
      <c r="S1943" t="s">
        <v>6694</v>
      </c>
      <c r="U1943" t="s">
        <v>6694</v>
      </c>
      <c r="W1943" t="s">
        <v>6720</v>
      </c>
    </row>
    <row r="1944" spans="1:23" ht="15.6" x14ac:dyDescent="0.4">
      <c r="A1944" s="2" t="s">
        <v>4865</v>
      </c>
      <c r="B1944" s="5" t="s">
        <v>8400</v>
      </c>
      <c r="C1944" s="7" t="s">
        <v>12556</v>
      </c>
      <c r="D1944" s="8">
        <f t="shared" si="124"/>
        <v>1</v>
      </c>
      <c r="E1944" s="7" t="s">
        <v>12557</v>
      </c>
      <c r="F1944" s="7">
        <f t="shared" si="125"/>
        <v>0</v>
      </c>
      <c r="G1944" s="7" t="s">
        <v>12558</v>
      </c>
      <c r="H1944" s="7">
        <f t="shared" si="126"/>
        <v>0</v>
      </c>
      <c r="I1944" s="7" cm="1">
        <f t="array" ref="I1944">IFERROR(_xlfn.IFS(M1944="נח",1,M1944="נע ונח",1,M1944="שני שווא נח",2,M1944="שני שוואים בסוף מילה",2,M1944="שני שוואים ברצף",1),"0")</f>
        <v>1</v>
      </c>
      <c r="J1944" s="9">
        <f t="shared" si="127"/>
        <v>4</v>
      </c>
      <c r="K1944" t="s">
        <v>6698</v>
      </c>
      <c r="L1944" t="s">
        <v>6694</v>
      </c>
      <c r="M1944" t="s">
        <v>6701</v>
      </c>
      <c r="O1944" t="s">
        <v>6694</v>
      </c>
      <c r="Q1944" t="s">
        <v>6694</v>
      </c>
      <c r="S1944" t="s">
        <v>6694</v>
      </c>
      <c r="W1944" t="s">
        <v>6720</v>
      </c>
    </row>
    <row r="1945" spans="1:23" ht="15.6" x14ac:dyDescent="0.4">
      <c r="A1945" s="2" t="s">
        <v>3726</v>
      </c>
      <c r="B1945" s="5" t="s">
        <v>8401</v>
      </c>
      <c r="C1945" s="7" t="s">
        <v>12556</v>
      </c>
      <c r="D1945" s="8">
        <f t="shared" si="124"/>
        <v>0</v>
      </c>
      <c r="E1945" s="7" t="s">
        <v>12557</v>
      </c>
      <c r="F1945" s="7">
        <f t="shared" si="125"/>
        <v>0</v>
      </c>
      <c r="G1945" s="7" t="s">
        <v>12558</v>
      </c>
      <c r="H1945" s="7">
        <f t="shared" si="126"/>
        <v>0</v>
      </c>
      <c r="I1945" s="7" cm="1">
        <f t="array" ref="I1945">IFERROR(_xlfn.IFS(M1945="נח",1,M1945="נע ונח",1,M1945="שני שווא נח",2,M1945="שני שוואים בסוף מילה",2,M1945="שני שוואים ברצף",1),"0")</f>
        <v>1</v>
      </c>
      <c r="J1945" s="9">
        <f t="shared" si="127"/>
        <v>3</v>
      </c>
      <c r="K1945" t="s">
        <v>6698</v>
      </c>
      <c r="L1945" t="s">
        <v>6694</v>
      </c>
      <c r="M1945" t="s">
        <v>6701</v>
      </c>
      <c r="N1945" t="s">
        <v>6706</v>
      </c>
      <c r="O1945" t="s">
        <v>6694</v>
      </c>
      <c r="S1945" t="s">
        <v>6694</v>
      </c>
      <c r="W1945" t="s">
        <v>6720</v>
      </c>
    </row>
    <row r="1946" spans="1:23" ht="15.6" x14ac:dyDescent="0.4">
      <c r="A1946" s="2" t="s">
        <v>3127</v>
      </c>
      <c r="B1946" s="5" t="s">
        <v>8402</v>
      </c>
      <c r="C1946" s="7" t="s">
        <v>12556</v>
      </c>
      <c r="D1946" s="8">
        <f t="shared" si="124"/>
        <v>0</v>
      </c>
      <c r="E1946" s="7" t="s">
        <v>12557</v>
      </c>
      <c r="F1946" s="7">
        <f t="shared" si="125"/>
        <v>2</v>
      </c>
      <c r="G1946" s="7" t="s">
        <v>12558</v>
      </c>
      <c r="H1946" s="7">
        <f t="shared" si="126"/>
        <v>1</v>
      </c>
      <c r="I1946" s="7" cm="1">
        <f t="array" ref="I1946">IFERROR(_xlfn.IFS(M1946="נח",1,M1946="נע ונח",1,M1946="שני שווא נח",2,M1946="שני שוואים בסוף מילה",2,M1946="שני שוואים ברצף",1),"0")</f>
        <v>1</v>
      </c>
      <c r="J1946" s="9">
        <f t="shared" si="127"/>
        <v>5</v>
      </c>
      <c r="K1946" t="s">
        <v>6697</v>
      </c>
      <c r="L1946" t="s">
        <v>6694</v>
      </c>
      <c r="M1946" t="s">
        <v>6701</v>
      </c>
      <c r="N1946" t="s">
        <v>6706</v>
      </c>
      <c r="O1946" t="s">
        <v>6694</v>
      </c>
      <c r="S1946" t="s">
        <v>6694</v>
      </c>
      <c r="U1946" t="s">
        <v>6694</v>
      </c>
      <c r="W1946" t="s">
        <v>6720</v>
      </c>
    </row>
    <row r="1947" spans="1:23" ht="15.6" x14ac:dyDescent="0.4">
      <c r="A1947" s="2" t="s">
        <v>4357</v>
      </c>
      <c r="B1947" s="5" t="s">
        <v>8403</v>
      </c>
      <c r="C1947" s="7" t="s">
        <v>12556</v>
      </c>
      <c r="D1947" s="8">
        <f t="shared" si="124"/>
        <v>0</v>
      </c>
      <c r="E1947" s="7" t="s">
        <v>12557</v>
      </c>
      <c r="F1947" s="7">
        <f t="shared" si="125"/>
        <v>1</v>
      </c>
      <c r="G1947" s="7" t="s">
        <v>12558</v>
      </c>
      <c r="H1947" s="7">
        <f t="shared" si="126"/>
        <v>1</v>
      </c>
      <c r="I1947" s="7" t="str" cm="1">
        <f t="array" ref="I1947">IFERROR(_xlfn.IFS(M1947="נח",1,M1947="נע ונח",1,M1947="שני שווא נח",2,M1947="שני שוואים בסוף מילה",2,M1947="שני שוואים ברצף",1),"0")</f>
        <v>0</v>
      </c>
      <c r="J1947" s="9">
        <f t="shared" si="127"/>
        <v>6</v>
      </c>
      <c r="K1947" t="s">
        <v>6697</v>
      </c>
      <c r="L1947" t="s">
        <v>6694</v>
      </c>
      <c r="M1947" t="s">
        <v>6703</v>
      </c>
      <c r="P1947" t="s">
        <v>6694</v>
      </c>
      <c r="S1947" t="s">
        <v>6694</v>
      </c>
      <c r="U1947" t="s">
        <v>6694</v>
      </c>
      <c r="W1947" t="s">
        <v>6720</v>
      </c>
    </row>
    <row r="1948" spans="1:23" ht="15.6" x14ac:dyDescent="0.4">
      <c r="A1948" s="2" t="s">
        <v>3117</v>
      </c>
      <c r="B1948" s="5" t="s">
        <v>8404</v>
      </c>
      <c r="C1948" s="7" t="s">
        <v>12556</v>
      </c>
      <c r="D1948" s="8">
        <f t="shared" si="124"/>
        <v>0</v>
      </c>
      <c r="E1948" s="7" t="s">
        <v>12557</v>
      </c>
      <c r="F1948" s="7">
        <f t="shared" si="125"/>
        <v>2</v>
      </c>
      <c r="G1948" s="7" t="s">
        <v>12558</v>
      </c>
      <c r="H1948" s="7">
        <f t="shared" si="126"/>
        <v>0</v>
      </c>
      <c r="I1948" s="7" cm="1">
        <f t="array" ref="I1948">IFERROR(_xlfn.IFS(M1948="נח",1,M1948="נע ונח",1,M1948="שני שווא נח",2,M1948="שני שוואים בסוף מילה",2,M1948="שני שוואים ברצף",1),"0")</f>
        <v>1</v>
      </c>
      <c r="J1948" s="9">
        <f t="shared" si="127"/>
        <v>4</v>
      </c>
      <c r="K1948" t="s">
        <v>6698</v>
      </c>
      <c r="L1948" t="s">
        <v>6694</v>
      </c>
      <c r="M1948" t="s">
        <v>6701</v>
      </c>
      <c r="P1948" t="s">
        <v>6694</v>
      </c>
      <c r="Q1948" t="s">
        <v>6694</v>
      </c>
      <c r="S1948" t="s">
        <v>6694</v>
      </c>
      <c r="W1948" t="s">
        <v>6720</v>
      </c>
    </row>
    <row r="1949" spans="1:23" ht="15.6" x14ac:dyDescent="0.4">
      <c r="A1949" s="2" t="s">
        <v>2477</v>
      </c>
      <c r="B1949" s="5" t="s">
        <v>8405</v>
      </c>
      <c r="C1949" s="7" t="s">
        <v>12556</v>
      </c>
      <c r="D1949" s="8">
        <f t="shared" si="124"/>
        <v>0</v>
      </c>
      <c r="E1949" s="7" t="s">
        <v>12557</v>
      </c>
      <c r="F1949" s="7">
        <f t="shared" si="125"/>
        <v>1</v>
      </c>
      <c r="G1949" s="7" t="s">
        <v>12558</v>
      </c>
      <c r="H1949" s="7">
        <f t="shared" si="126"/>
        <v>0</v>
      </c>
      <c r="I1949" s="7" t="str" cm="1">
        <f t="array" ref="I1949">IFERROR(_xlfn.IFS(M1949="נח",1,M1949="נע ונח",1,M1949="שני שווא נח",2,M1949="שני שוואים בסוף מילה",2,M1949="שני שוואים ברצף",1),"0")</f>
        <v>0</v>
      </c>
      <c r="J1949" s="9">
        <f t="shared" si="127"/>
        <v>3</v>
      </c>
      <c r="K1949" t="s">
        <v>6698</v>
      </c>
      <c r="L1949" t="s">
        <v>6694</v>
      </c>
      <c r="M1949" t="s">
        <v>6700</v>
      </c>
      <c r="R1949" t="s">
        <v>6694</v>
      </c>
      <c r="S1949" t="s">
        <v>6694</v>
      </c>
      <c r="W1949" t="s">
        <v>6720</v>
      </c>
    </row>
    <row r="1950" spans="1:23" ht="15.6" x14ac:dyDescent="0.4">
      <c r="A1950" s="2" t="s">
        <v>4213</v>
      </c>
      <c r="B1950" s="5" t="s">
        <v>8406</v>
      </c>
      <c r="C1950" s="7" t="s">
        <v>12556</v>
      </c>
      <c r="D1950" s="8">
        <f t="shared" si="124"/>
        <v>0</v>
      </c>
      <c r="E1950" s="7" t="s">
        <v>12557</v>
      </c>
      <c r="F1950" s="7">
        <f t="shared" si="125"/>
        <v>1</v>
      </c>
      <c r="G1950" s="7" t="s">
        <v>12558</v>
      </c>
      <c r="H1950" s="7">
        <f t="shared" si="126"/>
        <v>1</v>
      </c>
      <c r="I1950" s="7" cm="1">
        <f t="array" ref="I1950">IFERROR(_xlfn.IFS(M1950="נח",1,M1950="נע ונח",1,M1950="שני שווא נח",2,M1950="שני שוואים בסוף מילה",2,M1950="שני שוואים ברצף",1),"0")</f>
        <v>1</v>
      </c>
      <c r="J1950" s="9">
        <f t="shared" si="127"/>
        <v>3</v>
      </c>
      <c r="K1950" t="s">
        <v>6697</v>
      </c>
      <c r="L1950" t="s">
        <v>6694</v>
      </c>
      <c r="M1950" t="s">
        <v>6701</v>
      </c>
      <c r="Q1950" t="s">
        <v>6694</v>
      </c>
      <c r="U1950" t="s">
        <v>6694</v>
      </c>
      <c r="W1950" t="s">
        <v>6720</v>
      </c>
    </row>
    <row r="1951" spans="1:23" ht="15.6" x14ac:dyDescent="0.4">
      <c r="A1951" s="2" t="s">
        <v>3113</v>
      </c>
      <c r="B1951" s="5" t="s">
        <v>8407</v>
      </c>
      <c r="C1951" s="7" t="s">
        <v>12556</v>
      </c>
      <c r="D1951" s="8">
        <f t="shared" si="124"/>
        <v>0</v>
      </c>
      <c r="E1951" s="7" t="s">
        <v>12557</v>
      </c>
      <c r="F1951" s="7">
        <f t="shared" si="125"/>
        <v>0</v>
      </c>
      <c r="G1951" s="7" t="s">
        <v>12558</v>
      </c>
      <c r="H1951" s="7">
        <f t="shared" si="126"/>
        <v>0</v>
      </c>
      <c r="I1951" s="7" t="str" cm="1">
        <f t="array" ref="I1951">IFERROR(_xlfn.IFS(M1951="נח",1,M1951="נע ונח",1,M1951="שני שווא נח",2,M1951="שני שוואים בסוף מילה",2,M1951="שני שוואים ברצף",1),"0")</f>
        <v>0</v>
      </c>
      <c r="J1951" s="9">
        <f t="shared" si="127"/>
        <v>3</v>
      </c>
      <c r="K1951" t="s">
        <v>6698</v>
      </c>
      <c r="L1951" t="s">
        <v>6694</v>
      </c>
      <c r="M1951" t="s">
        <v>6700</v>
      </c>
      <c r="P1951" t="s">
        <v>6694</v>
      </c>
      <c r="Q1951" t="s">
        <v>6694</v>
      </c>
      <c r="W1951" t="s">
        <v>6720</v>
      </c>
    </row>
    <row r="1952" spans="1:23" ht="15.6" x14ac:dyDescent="0.4">
      <c r="A1952" s="2" t="s">
        <v>3829</v>
      </c>
      <c r="B1952" s="5" t="s">
        <v>8408</v>
      </c>
      <c r="C1952" s="7" t="s">
        <v>12556</v>
      </c>
      <c r="D1952" s="8">
        <f t="shared" si="124"/>
        <v>0</v>
      </c>
      <c r="E1952" s="7" t="s">
        <v>12557</v>
      </c>
      <c r="F1952" s="7">
        <f t="shared" si="125"/>
        <v>0</v>
      </c>
      <c r="G1952" s="7" t="s">
        <v>12558</v>
      </c>
      <c r="H1952" s="7">
        <f t="shared" si="126"/>
        <v>0</v>
      </c>
      <c r="I1952" s="7" t="str" cm="1">
        <f t="array" ref="I1952">IFERROR(_xlfn.IFS(M1952="נח",1,M1952="נע ונח",1,M1952="שני שווא נח",2,M1952="שני שוואים בסוף מילה",2,M1952="שני שוואים ברצף",1),"0")</f>
        <v>0</v>
      </c>
      <c r="J1952" s="9">
        <f t="shared" si="127"/>
        <v>3</v>
      </c>
      <c r="K1952" t="s">
        <v>6698</v>
      </c>
      <c r="L1952" t="s">
        <v>6694</v>
      </c>
      <c r="M1952" t="s">
        <v>6700</v>
      </c>
      <c r="P1952" t="s">
        <v>6694</v>
      </c>
      <c r="Q1952" t="s">
        <v>6694</v>
      </c>
      <c r="W1952" t="s">
        <v>6720</v>
      </c>
    </row>
    <row r="1953" spans="1:23" ht="15.6" x14ac:dyDescent="0.4">
      <c r="A1953" s="2" t="s">
        <v>3091</v>
      </c>
      <c r="B1953" s="5" t="s">
        <v>8409</v>
      </c>
      <c r="C1953" s="7" t="s">
        <v>12556</v>
      </c>
      <c r="D1953" s="8">
        <f t="shared" si="124"/>
        <v>0</v>
      </c>
      <c r="E1953" s="7" t="s">
        <v>12557</v>
      </c>
      <c r="F1953" s="7">
        <f t="shared" si="125"/>
        <v>1</v>
      </c>
      <c r="G1953" s="7" t="s">
        <v>12558</v>
      </c>
      <c r="H1953" s="7">
        <f t="shared" si="126"/>
        <v>0</v>
      </c>
      <c r="I1953" s="7" cm="1">
        <f t="array" ref="I1953">IFERROR(_xlfn.IFS(M1953="נח",1,M1953="נע ונח",1,M1953="שני שווא נח",2,M1953="שני שוואים בסוף מילה",2,M1953="שני שוואים ברצף",1),"0")</f>
        <v>1</v>
      </c>
      <c r="J1953" s="9">
        <f t="shared" si="127"/>
        <v>3</v>
      </c>
      <c r="K1953" t="s">
        <v>6698</v>
      </c>
      <c r="L1953" t="s">
        <v>6694</v>
      </c>
      <c r="M1953" t="s">
        <v>6701</v>
      </c>
      <c r="Q1953" t="s">
        <v>6694</v>
      </c>
      <c r="W1953" t="s">
        <v>6720</v>
      </c>
    </row>
    <row r="1954" spans="1:23" ht="15.6" x14ac:dyDescent="0.4">
      <c r="A1954" s="2" t="s">
        <v>5410</v>
      </c>
      <c r="B1954" s="5" t="s">
        <v>8410</v>
      </c>
      <c r="C1954" s="7" t="s">
        <v>12556</v>
      </c>
      <c r="D1954" s="8">
        <f t="shared" si="124"/>
        <v>1</v>
      </c>
      <c r="E1954" s="7" t="s">
        <v>12557</v>
      </c>
      <c r="F1954" s="7">
        <f t="shared" si="125"/>
        <v>0</v>
      </c>
      <c r="G1954" s="7" t="s">
        <v>12558</v>
      </c>
      <c r="H1954" s="7">
        <f t="shared" si="126"/>
        <v>0</v>
      </c>
      <c r="I1954" s="7" t="str" cm="1">
        <f t="array" ref="I1954">IFERROR(_xlfn.IFS(M1954="נח",1,M1954="נע ונח",1,M1954="שני שווא נח",2,M1954="שני שוואים בסוף מילה",2,M1954="שני שוואים ברצף",1),"0")</f>
        <v>0</v>
      </c>
      <c r="J1954" s="9">
        <f t="shared" si="127"/>
        <v>2</v>
      </c>
      <c r="K1954" t="s">
        <v>6698</v>
      </c>
      <c r="L1954" t="s">
        <v>6694</v>
      </c>
      <c r="M1954" t="s">
        <v>6700</v>
      </c>
      <c r="Q1954" t="s">
        <v>6694</v>
      </c>
      <c r="W1954" t="s">
        <v>6720</v>
      </c>
    </row>
    <row r="1955" spans="1:23" ht="15.6" x14ac:dyDescent="0.4">
      <c r="A1955" s="2" t="s">
        <v>1700</v>
      </c>
      <c r="B1955" s="5" t="s">
        <v>8411</v>
      </c>
      <c r="C1955" s="7" t="s">
        <v>12556</v>
      </c>
      <c r="D1955" s="8">
        <f t="shared" si="124"/>
        <v>0</v>
      </c>
      <c r="E1955" s="7" t="s">
        <v>12557</v>
      </c>
      <c r="F1955" s="7">
        <f t="shared" si="125"/>
        <v>0</v>
      </c>
      <c r="G1955" s="7" t="s">
        <v>12558</v>
      </c>
      <c r="H1955" s="7">
        <f t="shared" si="126"/>
        <v>0</v>
      </c>
      <c r="I1955" s="7" t="str" cm="1">
        <f t="array" ref="I1955">IFERROR(_xlfn.IFS(M1955="נח",1,M1955="נע ונח",1,M1955="שני שווא נח",2,M1955="שני שוואים בסוף מילה",2,M1955="שני שוואים ברצף",1),"0")</f>
        <v>0</v>
      </c>
      <c r="J1955" s="9">
        <f t="shared" si="127"/>
        <v>3</v>
      </c>
      <c r="K1955" t="s">
        <v>6698</v>
      </c>
      <c r="L1955" t="s">
        <v>6694</v>
      </c>
      <c r="M1955" t="s">
        <v>6700</v>
      </c>
      <c r="R1955" t="s">
        <v>6694</v>
      </c>
      <c r="W1955" t="s">
        <v>6720</v>
      </c>
    </row>
    <row r="1956" spans="1:23" ht="15.6" x14ac:dyDescent="0.4">
      <c r="A1956" s="2" t="s">
        <v>6294</v>
      </c>
      <c r="B1956" s="5" t="s">
        <v>8412</v>
      </c>
      <c r="C1956" s="7" t="s">
        <v>12556</v>
      </c>
      <c r="D1956" s="8">
        <f t="shared" si="124"/>
        <v>1</v>
      </c>
      <c r="E1956" s="7" t="s">
        <v>12557</v>
      </c>
      <c r="F1956" s="7">
        <f t="shared" si="125"/>
        <v>1</v>
      </c>
      <c r="G1956" s="7" t="s">
        <v>12558</v>
      </c>
      <c r="H1956" s="7">
        <f t="shared" si="126"/>
        <v>1</v>
      </c>
      <c r="I1956" s="7" t="str" cm="1">
        <f t="array" ref="I1956">IFERROR(_xlfn.IFS(M1956="נח",1,M1956="נע ונח",1,M1956="שני שווא נח",2,M1956="שני שוואים בסוף מילה",2,M1956="שני שוואים ברצף",1),"0")</f>
        <v>0</v>
      </c>
      <c r="J1956" s="9">
        <f t="shared" si="127"/>
        <v>5</v>
      </c>
      <c r="K1956" t="s">
        <v>6697</v>
      </c>
      <c r="L1956" t="s">
        <v>6694</v>
      </c>
      <c r="M1956" t="s">
        <v>6700</v>
      </c>
      <c r="O1956" t="s">
        <v>6694</v>
      </c>
      <c r="R1956" t="s">
        <v>6694</v>
      </c>
      <c r="U1956" t="s">
        <v>6694</v>
      </c>
      <c r="W1956" t="s">
        <v>6720</v>
      </c>
    </row>
    <row r="1957" spans="1:23" ht="15.6" x14ac:dyDescent="0.4">
      <c r="A1957" s="2" t="s">
        <v>4936</v>
      </c>
      <c r="B1957" s="5" t="s">
        <v>8413</v>
      </c>
      <c r="C1957" s="7" t="s">
        <v>12556</v>
      </c>
      <c r="D1957" s="8">
        <f t="shared" si="124"/>
        <v>1</v>
      </c>
      <c r="E1957" s="7" t="s">
        <v>12557</v>
      </c>
      <c r="F1957" s="7">
        <f t="shared" si="125"/>
        <v>0</v>
      </c>
      <c r="G1957" s="7" t="s">
        <v>12558</v>
      </c>
      <c r="H1957" s="7">
        <f t="shared" si="126"/>
        <v>0</v>
      </c>
      <c r="I1957" s="7" cm="1">
        <f t="array" ref="I1957">IFERROR(_xlfn.IFS(M1957="נח",1,M1957="נע ונח",1,M1957="שני שווא נח",2,M1957="שני שוואים בסוף מילה",2,M1957="שני שוואים ברצף",1),"0")</f>
        <v>1</v>
      </c>
      <c r="J1957" s="9">
        <f t="shared" si="127"/>
        <v>4</v>
      </c>
      <c r="K1957" t="s">
        <v>6697</v>
      </c>
      <c r="L1957" t="s">
        <v>6694</v>
      </c>
      <c r="M1957" t="s">
        <v>6701</v>
      </c>
      <c r="O1957" t="s">
        <v>6694</v>
      </c>
      <c r="P1957" t="s">
        <v>6694</v>
      </c>
      <c r="R1957" t="s">
        <v>6694</v>
      </c>
      <c r="W1957" t="s">
        <v>6720</v>
      </c>
    </row>
    <row r="1958" spans="1:23" ht="15.6" x14ac:dyDescent="0.4">
      <c r="A1958" s="2" t="s">
        <v>2658</v>
      </c>
      <c r="B1958" s="5" t="s">
        <v>8414</v>
      </c>
      <c r="C1958" s="7" t="s">
        <v>12556</v>
      </c>
      <c r="D1958" s="8">
        <f t="shared" si="124"/>
        <v>0</v>
      </c>
      <c r="E1958" s="7" t="s">
        <v>12557</v>
      </c>
      <c r="F1958" s="7">
        <f t="shared" si="125"/>
        <v>0</v>
      </c>
      <c r="G1958" s="7" t="s">
        <v>12558</v>
      </c>
      <c r="H1958" s="7">
        <f t="shared" si="126"/>
        <v>0</v>
      </c>
      <c r="I1958" s="7" t="str" cm="1">
        <f t="array" ref="I1958">IFERROR(_xlfn.IFS(M1958="נח",1,M1958="נע ונח",1,M1958="שני שווא נח",2,M1958="שני שוואים בסוף מילה",2,M1958="שני שוואים ברצף",1),"0")</f>
        <v>0</v>
      </c>
      <c r="J1958" s="9">
        <f t="shared" si="127"/>
        <v>4</v>
      </c>
      <c r="K1958" t="s">
        <v>6698</v>
      </c>
      <c r="L1958" t="s">
        <v>6694</v>
      </c>
      <c r="M1958" t="s">
        <v>6700</v>
      </c>
      <c r="P1958" t="s">
        <v>6694</v>
      </c>
      <c r="Q1958" t="s">
        <v>6694</v>
      </c>
      <c r="W1958" t="s">
        <v>6720</v>
      </c>
    </row>
    <row r="1959" spans="1:23" ht="15.6" x14ac:dyDescent="0.4">
      <c r="A1959" s="2" t="s">
        <v>2973</v>
      </c>
      <c r="B1959" s="5" t="s">
        <v>8415</v>
      </c>
      <c r="C1959" s="7" t="s">
        <v>12556</v>
      </c>
      <c r="D1959" s="8">
        <f t="shared" si="124"/>
        <v>1</v>
      </c>
      <c r="E1959" s="7" t="s">
        <v>12557</v>
      </c>
      <c r="F1959" s="7">
        <f t="shared" si="125"/>
        <v>1</v>
      </c>
      <c r="G1959" s="7" t="s">
        <v>12558</v>
      </c>
      <c r="H1959" s="7">
        <f t="shared" si="126"/>
        <v>0</v>
      </c>
      <c r="I1959" s="7" t="str" cm="1">
        <f t="array" ref="I1959">IFERROR(_xlfn.IFS(M1959="נח",1,M1959="נע ונח",1,M1959="שני שווא נח",2,M1959="שני שוואים בסוף מילה",2,M1959="שני שוואים ברצף",1),"0")</f>
        <v>0</v>
      </c>
      <c r="J1959" s="9">
        <f t="shared" si="127"/>
        <v>4</v>
      </c>
      <c r="K1959" t="s">
        <v>6698</v>
      </c>
      <c r="L1959" t="s">
        <v>6694</v>
      </c>
      <c r="M1959" t="s">
        <v>6700</v>
      </c>
      <c r="P1959" t="s">
        <v>6694</v>
      </c>
      <c r="R1959" t="s">
        <v>6694</v>
      </c>
      <c r="W1959" t="s">
        <v>6720</v>
      </c>
    </row>
    <row r="1960" spans="1:23" ht="15.6" x14ac:dyDescent="0.4">
      <c r="A1960" s="2" t="s">
        <v>5922</v>
      </c>
      <c r="B1960" s="5" t="s">
        <v>8416</v>
      </c>
      <c r="C1960" s="7" t="s">
        <v>12556</v>
      </c>
      <c r="D1960" s="8">
        <f t="shared" si="124"/>
        <v>0</v>
      </c>
      <c r="E1960" s="7" t="s">
        <v>12557</v>
      </c>
      <c r="F1960" s="7">
        <f t="shared" si="125"/>
        <v>2</v>
      </c>
      <c r="G1960" s="7" t="s">
        <v>12558</v>
      </c>
      <c r="H1960" s="7">
        <f t="shared" si="126"/>
        <v>1</v>
      </c>
      <c r="I1960" s="7" t="str" cm="1">
        <f t="array" ref="I1960">IFERROR(_xlfn.IFS(M1960="נח",1,M1960="נע ונח",1,M1960="שני שווא נח",2,M1960="שני שוואים בסוף מילה",2,M1960="שני שוואים ברצף",1),"0")</f>
        <v>0</v>
      </c>
      <c r="J1960" s="9">
        <f t="shared" si="127"/>
        <v>4</v>
      </c>
      <c r="K1960" t="s">
        <v>6697</v>
      </c>
      <c r="L1960" t="s">
        <v>6694</v>
      </c>
      <c r="M1960" t="s">
        <v>6700</v>
      </c>
      <c r="P1960" t="s">
        <v>6694</v>
      </c>
      <c r="S1960" t="s">
        <v>6694</v>
      </c>
      <c r="U1960" t="s">
        <v>6694</v>
      </c>
      <c r="W1960" t="s">
        <v>6720</v>
      </c>
    </row>
    <row r="1961" spans="1:23" ht="15.6" x14ac:dyDescent="0.4">
      <c r="A1961" s="2" t="s">
        <v>859</v>
      </c>
      <c r="B1961" s="5" t="s">
        <v>8417</v>
      </c>
      <c r="C1961" s="7" t="s">
        <v>12556</v>
      </c>
      <c r="D1961" s="8">
        <f t="shared" si="124"/>
        <v>0</v>
      </c>
      <c r="E1961" s="7" t="s">
        <v>12557</v>
      </c>
      <c r="F1961" s="7">
        <f t="shared" si="125"/>
        <v>0</v>
      </c>
      <c r="G1961" s="7" t="s">
        <v>12558</v>
      </c>
      <c r="H1961" s="7">
        <f t="shared" si="126"/>
        <v>0</v>
      </c>
      <c r="I1961" s="7" t="str" cm="1">
        <f t="array" ref="I1961">IFERROR(_xlfn.IFS(M1961="נח",1,M1961="נע ונח",1,M1961="שני שווא נח",2,M1961="שני שוואים בסוף מילה",2,M1961="שני שוואים ברצף",1),"0")</f>
        <v>0</v>
      </c>
      <c r="J1961" s="9">
        <f t="shared" si="127"/>
        <v>2</v>
      </c>
      <c r="K1961" t="s">
        <v>6698</v>
      </c>
      <c r="L1961" t="s">
        <v>6694</v>
      </c>
      <c r="M1961" t="s">
        <v>6700</v>
      </c>
      <c r="P1961" t="s">
        <v>6694</v>
      </c>
      <c r="W1961" t="s">
        <v>6720</v>
      </c>
    </row>
    <row r="1962" spans="1:23" ht="15.6" x14ac:dyDescent="0.4">
      <c r="A1962" s="2" t="s">
        <v>959</v>
      </c>
      <c r="B1962" s="5" t="s">
        <v>8418</v>
      </c>
      <c r="C1962" s="7" t="s">
        <v>12556</v>
      </c>
      <c r="D1962" s="8">
        <f t="shared" si="124"/>
        <v>0</v>
      </c>
      <c r="E1962" s="7" t="s">
        <v>12557</v>
      </c>
      <c r="F1962" s="7">
        <f t="shared" si="125"/>
        <v>2</v>
      </c>
      <c r="G1962" s="7" t="s">
        <v>12558</v>
      </c>
      <c r="H1962" s="7">
        <f t="shared" si="126"/>
        <v>1</v>
      </c>
      <c r="I1962" s="7" cm="1">
        <f t="array" ref="I1962">IFERROR(_xlfn.IFS(M1962="נח",1,M1962="נע ונח",1,M1962="שני שווא נח",2,M1962="שני שוואים בסוף מילה",2,M1962="שני שוואים ברצף",1),"0")</f>
        <v>1</v>
      </c>
      <c r="J1962" s="9">
        <f t="shared" si="127"/>
        <v>4</v>
      </c>
      <c r="K1962" t="s">
        <v>6697</v>
      </c>
      <c r="L1962" t="s">
        <v>6694</v>
      </c>
      <c r="M1962" t="s">
        <v>6701</v>
      </c>
      <c r="P1962" t="s">
        <v>6694</v>
      </c>
      <c r="U1962" t="s">
        <v>6694</v>
      </c>
      <c r="W1962" t="s">
        <v>6720</v>
      </c>
    </row>
    <row r="1963" spans="1:23" ht="15.6" x14ac:dyDescent="0.4">
      <c r="A1963" s="2" t="s">
        <v>1863</v>
      </c>
      <c r="B1963" s="5" t="s">
        <v>8419</v>
      </c>
      <c r="C1963" s="7" t="s">
        <v>12556</v>
      </c>
      <c r="D1963" s="8">
        <f t="shared" si="124"/>
        <v>0</v>
      </c>
      <c r="E1963" s="7" t="s">
        <v>12557</v>
      </c>
      <c r="F1963" s="7">
        <f t="shared" si="125"/>
        <v>1</v>
      </c>
      <c r="G1963" s="7" t="s">
        <v>12558</v>
      </c>
      <c r="H1963" s="7">
        <f t="shared" si="126"/>
        <v>1</v>
      </c>
      <c r="I1963" s="7" cm="1">
        <f t="array" ref="I1963">IFERROR(_xlfn.IFS(M1963="נח",1,M1963="נע ונח",1,M1963="שני שווא נח",2,M1963="שני שוואים בסוף מילה",2,M1963="שני שוואים ברצף",1),"0")</f>
        <v>1</v>
      </c>
      <c r="J1963" s="9">
        <f t="shared" si="127"/>
        <v>4</v>
      </c>
      <c r="K1963" t="s">
        <v>6697</v>
      </c>
      <c r="L1963" t="s">
        <v>6694</v>
      </c>
      <c r="M1963" t="s">
        <v>6702</v>
      </c>
      <c r="P1963" t="s">
        <v>6694</v>
      </c>
      <c r="U1963" t="s">
        <v>6694</v>
      </c>
      <c r="W1963" t="s">
        <v>6720</v>
      </c>
    </row>
    <row r="1964" spans="1:23" ht="15.6" x14ac:dyDescent="0.4">
      <c r="A1964" s="2" t="s">
        <v>686</v>
      </c>
      <c r="B1964" s="5" t="s">
        <v>8420</v>
      </c>
      <c r="C1964" s="7" t="s">
        <v>12556</v>
      </c>
      <c r="D1964" s="8">
        <f t="shared" si="124"/>
        <v>0</v>
      </c>
      <c r="E1964" s="7" t="s">
        <v>12557</v>
      </c>
      <c r="F1964" s="7">
        <f t="shared" si="125"/>
        <v>0</v>
      </c>
      <c r="G1964" s="7" t="s">
        <v>12558</v>
      </c>
      <c r="H1964" s="7">
        <f t="shared" si="126"/>
        <v>0</v>
      </c>
      <c r="I1964" s="7" t="str" cm="1">
        <f t="array" ref="I1964">IFERROR(_xlfn.IFS(M1964="נח",1,M1964="נע ונח",1,M1964="שני שווא נח",2,M1964="שני שוואים בסוף מילה",2,M1964="שני שוואים ברצף",1),"0")</f>
        <v>0</v>
      </c>
      <c r="J1964" s="9">
        <f t="shared" si="127"/>
        <v>3</v>
      </c>
      <c r="K1964" t="s">
        <v>6698</v>
      </c>
      <c r="L1964" t="s">
        <v>6694</v>
      </c>
      <c r="M1964" t="s">
        <v>6700</v>
      </c>
      <c r="P1964" t="s">
        <v>6694</v>
      </c>
      <c r="S1964" t="s">
        <v>6694</v>
      </c>
      <c r="W1964" t="s">
        <v>6720</v>
      </c>
    </row>
    <row r="1965" spans="1:23" ht="15.6" x14ac:dyDescent="0.4">
      <c r="A1965" s="2" t="s">
        <v>4982</v>
      </c>
      <c r="B1965" s="5" t="s">
        <v>8421</v>
      </c>
      <c r="C1965" s="7" t="s">
        <v>12556</v>
      </c>
      <c r="D1965" s="8">
        <f t="shared" si="124"/>
        <v>0</v>
      </c>
      <c r="E1965" s="7" t="s">
        <v>12557</v>
      </c>
      <c r="F1965" s="7">
        <f t="shared" si="125"/>
        <v>0</v>
      </c>
      <c r="G1965" s="7" t="s">
        <v>12558</v>
      </c>
      <c r="H1965" s="7">
        <f t="shared" si="126"/>
        <v>0</v>
      </c>
      <c r="I1965" s="7" cm="1">
        <f t="array" ref="I1965">IFERROR(_xlfn.IFS(M1965="נח",1,M1965="נע ונח",1,M1965="שני שווא נח",2,M1965="שני שוואים בסוף מילה",2,M1965="שני שוואים ברצף",1),"0")</f>
        <v>1</v>
      </c>
      <c r="J1965" s="9">
        <f t="shared" si="127"/>
        <v>3</v>
      </c>
      <c r="K1965" t="s">
        <v>6698</v>
      </c>
      <c r="L1965" t="s">
        <v>6694</v>
      </c>
      <c r="M1965" t="s">
        <v>6701</v>
      </c>
      <c r="P1965" t="s">
        <v>6694</v>
      </c>
      <c r="Q1965" t="s">
        <v>6694</v>
      </c>
      <c r="W1965" t="s">
        <v>6720</v>
      </c>
    </row>
    <row r="1966" spans="1:23" ht="15.6" x14ac:dyDescent="0.4">
      <c r="A1966" s="2" t="s">
        <v>1397</v>
      </c>
      <c r="B1966" s="5" t="s">
        <v>8422</v>
      </c>
      <c r="C1966" s="7" t="s">
        <v>12556</v>
      </c>
      <c r="D1966" s="8">
        <f t="shared" si="124"/>
        <v>0</v>
      </c>
      <c r="E1966" s="7" t="s">
        <v>12557</v>
      </c>
      <c r="F1966" s="7">
        <f t="shared" si="125"/>
        <v>0</v>
      </c>
      <c r="G1966" s="7" t="s">
        <v>12558</v>
      </c>
      <c r="H1966" s="7">
        <f t="shared" si="126"/>
        <v>0</v>
      </c>
      <c r="I1966" s="7" cm="1">
        <f t="array" ref="I1966">IFERROR(_xlfn.IFS(M1966="נח",1,M1966="נע ונח",1,M1966="שני שווא נח",2,M1966="שני שוואים בסוף מילה",2,M1966="שני שוואים ברצף",1),"0")</f>
        <v>1</v>
      </c>
      <c r="J1966" s="9">
        <f t="shared" si="127"/>
        <v>3</v>
      </c>
      <c r="K1966" t="s">
        <v>6698</v>
      </c>
      <c r="L1966" t="s">
        <v>6694</v>
      </c>
      <c r="M1966" t="s">
        <v>6701</v>
      </c>
      <c r="P1966" t="s">
        <v>6694</v>
      </c>
      <c r="Q1966" t="s">
        <v>6694</v>
      </c>
      <c r="W1966" t="s">
        <v>6720</v>
      </c>
    </row>
    <row r="1967" spans="1:23" ht="15.6" x14ac:dyDescent="0.4">
      <c r="A1967" s="2" t="s">
        <v>876</v>
      </c>
      <c r="B1967" s="5" t="s">
        <v>8423</v>
      </c>
      <c r="C1967" s="7" t="s">
        <v>12556</v>
      </c>
      <c r="D1967" s="8">
        <f t="shared" si="124"/>
        <v>0</v>
      </c>
      <c r="E1967" s="7" t="s">
        <v>12557</v>
      </c>
      <c r="F1967" s="7">
        <f t="shared" si="125"/>
        <v>1</v>
      </c>
      <c r="G1967" s="7" t="s">
        <v>12558</v>
      </c>
      <c r="H1967" s="7">
        <f t="shared" si="126"/>
        <v>1</v>
      </c>
      <c r="I1967" s="7" cm="1">
        <f t="array" ref="I1967">IFERROR(_xlfn.IFS(M1967="נח",1,M1967="נע ונח",1,M1967="שני שווא נח",2,M1967="שני שוואים בסוף מילה",2,M1967="שני שוואים ברצף",1),"0")</f>
        <v>1</v>
      </c>
      <c r="J1967" s="9">
        <f t="shared" si="127"/>
        <v>4</v>
      </c>
      <c r="K1967" t="s">
        <v>6697</v>
      </c>
      <c r="L1967" t="s">
        <v>6694</v>
      </c>
      <c r="M1967" t="s">
        <v>6702</v>
      </c>
      <c r="P1967" t="s">
        <v>6694</v>
      </c>
      <c r="U1967" t="s">
        <v>6694</v>
      </c>
      <c r="W1967" t="s">
        <v>6720</v>
      </c>
    </row>
    <row r="1968" spans="1:23" ht="15.6" x14ac:dyDescent="0.4">
      <c r="A1968" s="2" t="s">
        <v>5018</v>
      </c>
      <c r="B1968" s="5" t="s">
        <v>8424</v>
      </c>
      <c r="C1968" s="7" t="s">
        <v>12556</v>
      </c>
      <c r="D1968" s="8">
        <f t="shared" si="124"/>
        <v>0</v>
      </c>
      <c r="E1968" s="7" t="s">
        <v>12557</v>
      </c>
      <c r="F1968" s="7">
        <f t="shared" si="125"/>
        <v>1</v>
      </c>
      <c r="G1968" s="7" t="s">
        <v>12558</v>
      </c>
      <c r="H1968" s="7">
        <f t="shared" si="126"/>
        <v>1</v>
      </c>
      <c r="I1968" s="7" t="str" cm="1">
        <f t="array" ref="I1968">IFERROR(_xlfn.IFS(M1968="נח",1,M1968="נע ונח",1,M1968="שני שווא נח",2,M1968="שני שוואים בסוף מילה",2,M1968="שני שוואים ברצף",1),"0")</f>
        <v>0</v>
      </c>
      <c r="J1968" s="9">
        <f t="shared" si="127"/>
        <v>4</v>
      </c>
      <c r="K1968" t="s">
        <v>6697</v>
      </c>
      <c r="L1968" t="s">
        <v>6694</v>
      </c>
      <c r="M1968" t="s">
        <v>6700</v>
      </c>
      <c r="P1968" t="s">
        <v>6694</v>
      </c>
      <c r="U1968" t="s">
        <v>6694</v>
      </c>
      <c r="W1968" t="s">
        <v>6720</v>
      </c>
    </row>
    <row r="1969" spans="1:23" ht="15.6" x14ac:dyDescent="0.4">
      <c r="A1969" s="2" t="s">
        <v>4042</v>
      </c>
      <c r="B1969" s="5" t="s">
        <v>8425</v>
      </c>
      <c r="C1969" s="7" t="s">
        <v>12556</v>
      </c>
      <c r="D1969" s="8">
        <f t="shared" si="124"/>
        <v>0</v>
      </c>
      <c r="E1969" s="7" t="s">
        <v>12557</v>
      </c>
      <c r="F1969" s="7">
        <f t="shared" si="125"/>
        <v>0</v>
      </c>
      <c r="G1969" s="7" t="s">
        <v>12558</v>
      </c>
      <c r="H1969" s="7">
        <f t="shared" si="126"/>
        <v>0</v>
      </c>
      <c r="I1969" s="7" t="str" cm="1">
        <f t="array" ref="I1969">IFERROR(_xlfn.IFS(M1969="נח",1,M1969="נע ונח",1,M1969="שני שווא נח",2,M1969="שני שוואים בסוף מילה",2,M1969="שני שוואים ברצף",1),"0")</f>
        <v>0</v>
      </c>
      <c r="J1969" s="9">
        <f t="shared" si="127"/>
        <v>4</v>
      </c>
      <c r="K1969" t="s">
        <v>6698</v>
      </c>
      <c r="L1969" t="s">
        <v>6694</v>
      </c>
      <c r="M1969" t="s">
        <v>6700</v>
      </c>
      <c r="P1969" t="s">
        <v>6694</v>
      </c>
      <c r="Q1969" t="s">
        <v>6694</v>
      </c>
      <c r="W1969" t="s">
        <v>6720</v>
      </c>
    </row>
    <row r="1970" spans="1:23" ht="15.6" x14ac:dyDescent="0.4">
      <c r="A1970" s="2" t="s">
        <v>1672</v>
      </c>
      <c r="B1970" s="5" t="s">
        <v>8426</v>
      </c>
      <c r="C1970" s="7" t="s">
        <v>12556</v>
      </c>
      <c r="D1970" s="8">
        <f t="shared" si="124"/>
        <v>0</v>
      </c>
      <c r="E1970" s="7" t="s">
        <v>12557</v>
      </c>
      <c r="F1970" s="7">
        <f t="shared" si="125"/>
        <v>0</v>
      </c>
      <c r="G1970" s="7" t="s">
        <v>12558</v>
      </c>
      <c r="H1970" s="7">
        <f t="shared" si="126"/>
        <v>0</v>
      </c>
      <c r="I1970" s="7" t="str" cm="1">
        <f t="array" ref="I1970">IFERROR(_xlfn.IFS(M1970="נח",1,M1970="נע ונח",1,M1970="שני שווא נח",2,M1970="שני שוואים בסוף מילה",2,M1970="שני שוואים ברצף",1),"0")</f>
        <v>0</v>
      </c>
      <c r="J1970" s="9">
        <f t="shared" si="127"/>
        <v>4</v>
      </c>
      <c r="K1970" t="s">
        <v>6698</v>
      </c>
      <c r="L1970" t="s">
        <v>6694</v>
      </c>
      <c r="M1970" t="s">
        <v>6700</v>
      </c>
      <c r="P1970" t="s">
        <v>6694</v>
      </c>
      <c r="V1970" t="s">
        <v>6694</v>
      </c>
      <c r="W1970" t="s">
        <v>6720</v>
      </c>
    </row>
    <row r="1971" spans="1:23" ht="15.6" x14ac:dyDescent="0.4">
      <c r="A1971" s="2" t="s">
        <v>5960</v>
      </c>
      <c r="B1971" s="5" t="s">
        <v>8427</v>
      </c>
      <c r="C1971" s="7" t="s">
        <v>12556</v>
      </c>
      <c r="D1971" s="8">
        <f t="shared" si="124"/>
        <v>1</v>
      </c>
      <c r="E1971" s="7" t="s">
        <v>12557</v>
      </c>
      <c r="F1971" s="7">
        <f t="shared" si="125"/>
        <v>1</v>
      </c>
      <c r="G1971" s="7" t="s">
        <v>12558</v>
      </c>
      <c r="H1971" s="7">
        <f t="shared" si="126"/>
        <v>0</v>
      </c>
      <c r="I1971" s="7" t="str" cm="1">
        <f t="array" ref="I1971">IFERROR(_xlfn.IFS(M1971="נח",1,M1971="נע ונח",1,M1971="שני שווא נח",2,M1971="שני שוואים בסוף מילה",2,M1971="שני שוואים ברצף",1),"0")</f>
        <v>0</v>
      </c>
      <c r="J1971" s="9">
        <f t="shared" si="127"/>
        <v>3</v>
      </c>
      <c r="K1971" t="s">
        <v>6698</v>
      </c>
      <c r="L1971" t="s">
        <v>6694</v>
      </c>
      <c r="M1971" t="s">
        <v>6700</v>
      </c>
      <c r="P1971" t="s">
        <v>6694</v>
      </c>
      <c r="Q1971" t="s">
        <v>6694</v>
      </c>
      <c r="W1971" t="s">
        <v>6720</v>
      </c>
    </row>
    <row r="1972" spans="1:23" ht="15.6" x14ac:dyDescent="0.4">
      <c r="A1972" s="2" t="s">
        <v>2586</v>
      </c>
      <c r="B1972" s="5" t="s">
        <v>8428</v>
      </c>
      <c r="C1972" s="7" t="s">
        <v>12556</v>
      </c>
      <c r="D1972" s="8">
        <f t="shared" si="124"/>
        <v>0</v>
      </c>
      <c r="E1972" s="7" t="s">
        <v>12557</v>
      </c>
      <c r="F1972" s="7">
        <f t="shared" si="125"/>
        <v>0</v>
      </c>
      <c r="G1972" s="7" t="s">
        <v>12558</v>
      </c>
      <c r="H1972" s="7">
        <f t="shared" si="126"/>
        <v>0</v>
      </c>
      <c r="I1972" s="7" t="str" cm="1">
        <f t="array" ref="I1972">IFERROR(_xlfn.IFS(M1972="נח",1,M1972="נע ונח",1,M1972="שני שווא נח",2,M1972="שני שוואים בסוף מילה",2,M1972="שני שוואים ברצף",1),"0")</f>
        <v>0</v>
      </c>
      <c r="J1972" s="9">
        <f t="shared" si="127"/>
        <v>3</v>
      </c>
      <c r="K1972" t="s">
        <v>6697</v>
      </c>
      <c r="L1972" t="s">
        <v>6694</v>
      </c>
      <c r="M1972" t="s">
        <v>6700</v>
      </c>
      <c r="O1972" t="s">
        <v>6694</v>
      </c>
      <c r="V1972" t="s">
        <v>6694</v>
      </c>
      <c r="W1972" t="s">
        <v>6720</v>
      </c>
    </row>
    <row r="1973" spans="1:23" ht="15.6" x14ac:dyDescent="0.4">
      <c r="A1973" s="2" t="s">
        <v>4974</v>
      </c>
      <c r="B1973" s="5" t="s">
        <v>8429</v>
      </c>
      <c r="C1973" s="7" t="s">
        <v>12556</v>
      </c>
      <c r="D1973" s="8">
        <f t="shared" si="124"/>
        <v>0</v>
      </c>
      <c r="E1973" s="7" t="s">
        <v>12557</v>
      </c>
      <c r="F1973" s="7">
        <f t="shared" si="125"/>
        <v>2</v>
      </c>
      <c r="G1973" s="7" t="s">
        <v>12558</v>
      </c>
      <c r="H1973" s="7">
        <f t="shared" si="126"/>
        <v>1</v>
      </c>
      <c r="I1973" s="7" t="str" cm="1">
        <f t="array" ref="I1973">IFERROR(_xlfn.IFS(M1973="נח",1,M1973="נע ונח",1,M1973="שני שווא נח",2,M1973="שני שוואים בסוף מילה",2,M1973="שני שוואים ברצף",1),"0")</f>
        <v>0</v>
      </c>
      <c r="J1973" s="9">
        <f t="shared" si="127"/>
        <v>4</v>
      </c>
      <c r="K1973" t="s">
        <v>6697</v>
      </c>
      <c r="L1973" t="s">
        <v>6694</v>
      </c>
      <c r="M1973" t="s">
        <v>6700</v>
      </c>
      <c r="O1973" t="s">
        <v>6694</v>
      </c>
      <c r="U1973" t="s">
        <v>6694</v>
      </c>
      <c r="V1973" t="s">
        <v>6694</v>
      </c>
      <c r="W1973" t="s">
        <v>6720</v>
      </c>
    </row>
    <row r="1974" spans="1:23" ht="15.6" x14ac:dyDescent="0.4">
      <c r="A1974" s="2" t="s">
        <v>2581</v>
      </c>
      <c r="B1974" s="5" t="s">
        <v>8430</v>
      </c>
      <c r="C1974" s="7" t="s">
        <v>12556</v>
      </c>
      <c r="D1974" s="8">
        <f t="shared" si="124"/>
        <v>0</v>
      </c>
      <c r="E1974" s="7" t="s">
        <v>12557</v>
      </c>
      <c r="F1974" s="7">
        <f t="shared" si="125"/>
        <v>0</v>
      </c>
      <c r="G1974" s="7" t="s">
        <v>12558</v>
      </c>
      <c r="H1974" s="7">
        <f t="shared" si="126"/>
        <v>0</v>
      </c>
      <c r="I1974" s="7" t="str" cm="1">
        <f t="array" ref="I1974">IFERROR(_xlfn.IFS(M1974="נח",1,M1974="נע ונח",1,M1974="שני שווא נח",2,M1974="שני שוואים בסוף מילה",2,M1974="שני שוואים ברצף",1),"0")</f>
        <v>0</v>
      </c>
      <c r="J1974" s="9">
        <f t="shared" si="127"/>
        <v>3</v>
      </c>
      <c r="K1974" t="s">
        <v>6697</v>
      </c>
      <c r="L1974" t="s">
        <v>6694</v>
      </c>
      <c r="M1974" t="s">
        <v>6700</v>
      </c>
      <c r="O1974" t="s">
        <v>6694</v>
      </c>
      <c r="V1974" t="s">
        <v>6694</v>
      </c>
      <c r="W1974" t="s">
        <v>6720</v>
      </c>
    </row>
    <row r="1975" spans="1:23" ht="15.6" x14ac:dyDescent="0.4">
      <c r="A1975" s="2" t="s">
        <v>334</v>
      </c>
      <c r="B1975" s="5" t="s">
        <v>8431</v>
      </c>
      <c r="C1975" s="7" t="s">
        <v>12556</v>
      </c>
      <c r="D1975" s="8">
        <f t="shared" si="124"/>
        <v>0</v>
      </c>
      <c r="E1975" s="7" t="s">
        <v>12557</v>
      </c>
      <c r="F1975" s="7">
        <f t="shared" si="125"/>
        <v>0</v>
      </c>
      <c r="G1975" s="7" t="s">
        <v>12558</v>
      </c>
      <c r="H1975" s="7">
        <f t="shared" si="126"/>
        <v>0</v>
      </c>
      <c r="I1975" s="7" t="str" cm="1">
        <f t="array" ref="I1975">IFERROR(_xlfn.IFS(M1975="נח",1,M1975="נע ונח",1,M1975="שני שווא נח",2,M1975="שני שוואים בסוף מילה",2,M1975="שני שוואים ברצף",1),"0")</f>
        <v>0</v>
      </c>
      <c r="J1975" s="9">
        <f t="shared" si="127"/>
        <v>3</v>
      </c>
      <c r="K1975" t="s">
        <v>6698</v>
      </c>
      <c r="L1975" t="s">
        <v>6694</v>
      </c>
      <c r="M1975" t="s">
        <v>6700</v>
      </c>
      <c r="O1975" t="s">
        <v>6694</v>
      </c>
      <c r="V1975" t="s">
        <v>6694</v>
      </c>
      <c r="W1975" t="s">
        <v>6720</v>
      </c>
    </row>
    <row r="1976" spans="1:23" ht="15.6" x14ac:dyDescent="0.4">
      <c r="A1976" s="2" t="s">
        <v>1898</v>
      </c>
      <c r="B1976" s="5" t="s">
        <v>8432</v>
      </c>
      <c r="C1976" s="7" t="s">
        <v>12556</v>
      </c>
      <c r="D1976" s="8">
        <f t="shared" si="124"/>
        <v>0</v>
      </c>
      <c r="E1976" s="7" t="s">
        <v>12557</v>
      </c>
      <c r="F1976" s="7">
        <f t="shared" si="125"/>
        <v>0</v>
      </c>
      <c r="G1976" s="7" t="s">
        <v>12558</v>
      </c>
      <c r="H1976" s="7">
        <f t="shared" si="126"/>
        <v>0</v>
      </c>
      <c r="I1976" s="7" t="str" cm="1">
        <f t="array" ref="I1976">IFERROR(_xlfn.IFS(M1976="נח",1,M1976="נע ונח",1,M1976="שני שווא נח",2,M1976="שני שוואים בסוף מילה",2,M1976="שני שוואים ברצף",1),"0")</f>
        <v>0</v>
      </c>
      <c r="J1976" s="9">
        <f t="shared" si="127"/>
        <v>3</v>
      </c>
      <c r="K1976" t="s">
        <v>6698</v>
      </c>
      <c r="L1976" t="s">
        <v>6694</v>
      </c>
      <c r="M1976" t="s">
        <v>6700</v>
      </c>
      <c r="O1976" t="s">
        <v>6694</v>
      </c>
      <c r="P1976" t="s">
        <v>6694</v>
      </c>
      <c r="W1976" t="s">
        <v>6720</v>
      </c>
    </row>
    <row r="1977" spans="1:23" ht="15.6" x14ac:dyDescent="0.4">
      <c r="A1977" s="2" t="s">
        <v>4374</v>
      </c>
      <c r="B1977" s="5" t="s">
        <v>8433</v>
      </c>
      <c r="C1977" s="7" t="s">
        <v>12556</v>
      </c>
      <c r="D1977" s="8">
        <f t="shared" si="124"/>
        <v>0</v>
      </c>
      <c r="E1977" s="7" t="s">
        <v>12557</v>
      </c>
      <c r="F1977" s="7">
        <f t="shared" si="125"/>
        <v>0</v>
      </c>
      <c r="G1977" s="7" t="s">
        <v>12558</v>
      </c>
      <c r="H1977" s="7">
        <f t="shared" si="126"/>
        <v>0</v>
      </c>
      <c r="I1977" s="7" t="str" cm="1">
        <f t="array" ref="I1977">IFERROR(_xlfn.IFS(M1977="נח",1,M1977="נע ונח",1,M1977="שני שווא נח",2,M1977="שני שוואים בסוף מילה",2,M1977="שני שוואים ברצף",1),"0")</f>
        <v>0</v>
      </c>
      <c r="J1977" s="9">
        <f t="shared" si="127"/>
        <v>2</v>
      </c>
      <c r="K1977" t="s">
        <v>6698</v>
      </c>
      <c r="L1977" t="s">
        <v>6694</v>
      </c>
      <c r="M1977" t="s">
        <v>6700</v>
      </c>
      <c r="N1977" t="s">
        <v>6706</v>
      </c>
      <c r="O1977" t="s">
        <v>6694</v>
      </c>
      <c r="W1977" t="s">
        <v>6720</v>
      </c>
    </row>
    <row r="1978" spans="1:23" ht="15.6" x14ac:dyDescent="0.4">
      <c r="A1978" s="2" t="s">
        <v>5811</v>
      </c>
      <c r="B1978" s="5" t="s">
        <v>8434</v>
      </c>
      <c r="C1978" s="7" t="s">
        <v>12556</v>
      </c>
      <c r="D1978" s="8">
        <f t="shared" si="124"/>
        <v>0</v>
      </c>
      <c r="E1978" s="7" t="s">
        <v>12557</v>
      </c>
      <c r="F1978" s="7">
        <f t="shared" si="125"/>
        <v>0</v>
      </c>
      <c r="G1978" s="7" t="s">
        <v>12558</v>
      </c>
      <c r="H1978" s="7">
        <f t="shared" si="126"/>
        <v>0</v>
      </c>
      <c r="I1978" s="7" t="str" cm="1">
        <f t="array" ref="I1978">IFERROR(_xlfn.IFS(M1978="נח",1,M1978="נע ונח",1,M1978="שני שווא נח",2,M1978="שני שוואים בסוף מילה",2,M1978="שני שוואים ברצף",1),"0")</f>
        <v>0</v>
      </c>
      <c r="J1978" s="9">
        <f t="shared" si="127"/>
        <v>3</v>
      </c>
      <c r="K1978" t="s">
        <v>6698</v>
      </c>
      <c r="L1978" t="s">
        <v>6694</v>
      </c>
      <c r="M1978" t="s">
        <v>6700</v>
      </c>
      <c r="O1978" t="s">
        <v>6694</v>
      </c>
      <c r="S1978" t="s">
        <v>6694</v>
      </c>
      <c r="W1978" t="s">
        <v>6720</v>
      </c>
    </row>
    <row r="1979" spans="1:23" ht="15.6" x14ac:dyDescent="0.4">
      <c r="A1979" s="2" t="s">
        <v>4467</v>
      </c>
      <c r="B1979" s="5" t="s">
        <v>8435</v>
      </c>
      <c r="C1979" s="7" t="s">
        <v>12556</v>
      </c>
      <c r="D1979" s="8">
        <f t="shared" si="124"/>
        <v>0</v>
      </c>
      <c r="E1979" s="7" t="s">
        <v>12557</v>
      </c>
      <c r="F1979" s="7">
        <f t="shared" si="125"/>
        <v>2</v>
      </c>
      <c r="G1979" s="7" t="s">
        <v>12558</v>
      </c>
      <c r="H1979" s="7">
        <f t="shared" si="126"/>
        <v>2</v>
      </c>
      <c r="I1979" s="7" t="str" cm="1">
        <f t="array" ref="I1979">IFERROR(_xlfn.IFS(M1979="נח",1,M1979="נע ונח",1,M1979="שני שווא נח",2,M1979="שני שוואים בסוף מילה",2,M1979="שני שוואים ברצף",1),"0")</f>
        <v>0</v>
      </c>
      <c r="J1979" s="9">
        <f t="shared" si="127"/>
        <v>4</v>
      </c>
      <c r="K1979" t="s">
        <v>6697</v>
      </c>
      <c r="L1979" t="s">
        <v>6694</v>
      </c>
      <c r="M1979" t="s">
        <v>6700</v>
      </c>
      <c r="O1979" t="s">
        <v>6694</v>
      </c>
      <c r="U1979" t="s">
        <v>6694</v>
      </c>
      <c r="W1979" t="s">
        <v>6720</v>
      </c>
    </row>
    <row r="1980" spans="1:23" ht="15.6" x14ac:dyDescent="0.4">
      <c r="A1980" s="2" t="s">
        <v>1584</v>
      </c>
      <c r="B1980" s="5" t="s">
        <v>8436</v>
      </c>
      <c r="C1980" s="7" t="s">
        <v>12556</v>
      </c>
      <c r="D1980" s="8">
        <f t="shared" si="124"/>
        <v>0</v>
      </c>
      <c r="E1980" s="7" t="s">
        <v>12557</v>
      </c>
      <c r="F1980" s="7">
        <f t="shared" si="125"/>
        <v>2</v>
      </c>
      <c r="G1980" s="7" t="s">
        <v>12558</v>
      </c>
      <c r="H1980" s="7">
        <f t="shared" si="126"/>
        <v>2</v>
      </c>
      <c r="I1980" s="7" t="str" cm="1">
        <f t="array" ref="I1980">IFERROR(_xlfn.IFS(M1980="נח",1,M1980="נע ונח",1,M1980="שני שווא נח",2,M1980="שני שוואים בסוף מילה",2,M1980="שני שוואים ברצף",1),"0")</f>
        <v>0</v>
      </c>
      <c r="J1980" s="9">
        <f t="shared" si="127"/>
        <v>4</v>
      </c>
      <c r="K1980" t="s">
        <v>6697</v>
      </c>
      <c r="L1980" t="s">
        <v>6694</v>
      </c>
      <c r="M1980" t="s">
        <v>6700</v>
      </c>
      <c r="O1980" t="s">
        <v>6694</v>
      </c>
      <c r="U1980" t="s">
        <v>6694</v>
      </c>
      <c r="W1980" t="s">
        <v>6720</v>
      </c>
    </row>
    <row r="1981" spans="1:23" ht="15.6" x14ac:dyDescent="0.4">
      <c r="A1981" s="2" t="s">
        <v>3124</v>
      </c>
      <c r="B1981" s="5" t="s">
        <v>8437</v>
      </c>
      <c r="C1981" s="7" t="s">
        <v>12556</v>
      </c>
      <c r="D1981" s="8">
        <f t="shared" si="124"/>
        <v>0</v>
      </c>
      <c r="E1981" s="7" t="s">
        <v>12557</v>
      </c>
      <c r="F1981" s="7">
        <f t="shared" si="125"/>
        <v>1</v>
      </c>
      <c r="G1981" s="7" t="s">
        <v>12558</v>
      </c>
      <c r="H1981" s="7">
        <f t="shared" si="126"/>
        <v>1</v>
      </c>
      <c r="I1981" s="7" t="str" cm="1">
        <f t="array" ref="I1981">IFERROR(_xlfn.IFS(M1981="נח",1,M1981="נע ונח",1,M1981="שני שווא נח",2,M1981="שני שוואים בסוף מילה",2,M1981="שני שוואים ברצף",1),"0")</f>
        <v>0</v>
      </c>
      <c r="J1981" s="9">
        <f t="shared" si="127"/>
        <v>4</v>
      </c>
      <c r="K1981" t="s">
        <v>6697</v>
      </c>
      <c r="L1981" t="s">
        <v>6694</v>
      </c>
      <c r="M1981" t="s">
        <v>6700</v>
      </c>
      <c r="O1981" t="s">
        <v>6694</v>
      </c>
      <c r="S1981" t="s">
        <v>6694</v>
      </c>
      <c r="U1981" t="s">
        <v>6694</v>
      </c>
      <c r="W1981" t="s">
        <v>6720</v>
      </c>
    </row>
    <row r="1982" spans="1:23" ht="15.6" x14ac:dyDescent="0.4">
      <c r="A1982" s="2" t="s">
        <v>1408</v>
      </c>
      <c r="B1982" s="5" t="s">
        <v>8438</v>
      </c>
      <c r="C1982" s="7" t="s">
        <v>12556</v>
      </c>
      <c r="D1982" s="8">
        <f t="shared" si="124"/>
        <v>0</v>
      </c>
      <c r="E1982" s="7" t="s">
        <v>12557</v>
      </c>
      <c r="F1982" s="7">
        <f t="shared" si="125"/>
        <v>0</v>
      </c>
      <c r="G1982" s="7" t="s">
        <v>12558</v>
      </c>
      <c r="H1982" s="7">
        <f t="shared" si="126"/>
        <v>0</v>
      </c>
      <c r="I1982" s="7" t="str" cm="1">
        <f t="array" ref="I1982">IFERROR(_xlfn.IFS(M1982="נח",1,M1982="נע ונח",1,M1982="שני שווא נח",2,M1982="שני שוואים בסוף מילה",2,M1982="שני שוואים ברצף",1),"0")</f>
        <v>0</v>
      </c>
      <c r="J1982" s="9">
        <f t="shared" si="127"/>
        <v>4</v>
      </c>
      <c r="K1982" t="s">
        <v>6697</v>
      </c>
      <c r="L1982" t="s">
        <v>6694</v>
      </c>
      <c r="M1982" t="s">
        <v>6700</v>
      </c>
      <c r="N1982" t="s">
        <v>6707</v>
      </c>
      <c r="O1982" t="s">
        <v>6694</v>
      </c>
      <c r="P1982" t="s">
        <v>6694</v>
      </c>
      <c r="Q1982" t="s">
        <v>6694</v>
      </c>
      <c r="W1982" t="s">
        <v>6720</v>
      </c>
    </row>
    <row r="1983" spans="1:23" ht="15.6" x14ac:dyDescent="0.4">
      <c r="A1983" s="2" t="s">
        <v>1866</v>
      </c>
      <c r="B1983" s="5" t="s">
        <v>8439</v>
      </c>
      <c r="C1983" s="7" t="s">
        <v>12556</v>
      </c>
      <c r="D1983" s="8">
        <f t="shared" si="124"/>
        <v>0</v>
      </c>
      <c r="E1983" s="7" t="s">
        <v>12557</v>
      </c>
      <c r="F1983" s="7">
        <f t="shared" si="125"/>
        <v>1</v>
      </c>
      <c r="G1983" s="7" t="s">
        <v>12558</v>
      </c>
      <c r="H1983" s="7">
        <f t="shared" si="126"/>
        <v>1</v>
      </c>
      <c r="I1983" s="7" t="str" cm="1">
        <f t="array" ref="I1983">IFERROR(_xlfn.IFS(M1983="נח",1,M1983="נע ונח",1,M1983="שני שווא נח",2,M1983="שני שוואים בסוף מילה",2,M1983="שני שוואים ברצף",1),"0")</f>
        <v>0</v>
      </c>
      <c r="J1983" s="9">
        <f t="shared" si="127"/>
        <v>3</v>
      </c>
      <c r="K1983" t="s">
        <v>6698</v>
      </c>
      <c r="L1983" t="s">
        <v>6694</v>
      </c>
      <c r="M1983" t="s">
        <v>6700</v>
      </c>
      <c r="O1983" t="s">
        <v>6694</v>
      </c>
      <c r="U1983" t="s">
        <v>6694</v>
      </c>
      <c r="W1983" t="s">
        <v>6720</v>
      </c>
    </row>
    <row r="1984" spans="1:23" ht="15.6" x14ac:dyDescent="0.4">
      <c r="A1984" s="2" t="s">
        <v>2899</v>
      </c>
      <c r="B1984" s="5" t="s">
        <v>8440</v>
      </c>
      <c r="C1984" s="7" t="s">
        <v>12556</v>
      </c>
      <c r="D1984" s="8">
        <f t="shared" si="124"/>
        <v>1</v>
      </c>
      <c r="E1984" s="7" t="s">
        <v>12557</v>
      </c>
      <c r="F1984" s="7">
        <f t="shared" si="125"/>
        <v>1</v>
      </c>
      <c r="G1984" s="7" t="s">
        <v>12558</v>
      </c>
      <c r="H1984" s="7">
        <f t="shared" si="126"/>
        <v>1</v>
      </c>
      <c r="I1984" s="7" t="str" cm="1">
        <f t="array" ref="I1984">IFERROR(_xlfn.IFS(M1984="נח",1,M1984="נע ונח",1,M1984="שני שווא נח",2,M1984="שני שוואים בסוף מילה",2,M1984="שני שוואים ברצף",1),"0")</f>
        <v>0</v>
      </c>
      <c r="J1984" s="9">
        <f t="shared" si="127"/>
        <v>4</v>
      </c>
      <c r="K1984" t="s">
        <v>6697</v>
      </c>
      <c r="L1984" t="s">
        <v>6694</v>
      </c>
      <c r="M1984" t="s">
        <v>6700</v>
      </c>
      <c r="O1984" t="s">
        <v>6694</v>
      </c>
      <c r="S1984" t="s">
        <v>6694</v>
      </c>
      <c r="U1984" t="s">
        <v>6694</v>
      </c>
      <c r="W1984" t="s">
        <v>6720</v>
      </c>
    </row>
    <row r="1985" spans="1:23" ht="15.6" x14ac:dyDescent="0.4">
      <c r="A1985" s="2" t="s">
        <v>898</v>
      </c>
      <c r="B1985" s="5" t="s">
        <v>8441</v>
      </c>
      <c r="C1985" s="7" t="s">
        <v>12556</v>
      </c>
      <c r="D1985" s="8">
        <f t="shared" si="124"/>
        <v>1</v>
      </c>
      <c r="E1985" s="7" t="s">
        <v>12557</v>
      </c>
      <c r="F1985" s="7">
        <f t="shared" si="125"/>
        <v>0</v>
      </c>
      <c r="G1985" s="7" t="s">
        <v>12558</v>
      </c>
      <c r="H1985" s="7">
        <f t="shared" si="126"/>
        <v>0</v>
      </c>
      <c r="I1985" s="7" t="str" cm="1">
        <f t="array" ref="I1985">IFERROR(_xlfn.IFS(M1985="נח",1,M1985="נע ונח",1,M1985="שני שווא נח",2,M1985="שני שוואים בסוף מילה",2,M1985="שני שוואים ברצף",1),"0")</f>
        <v>0</v>
      </c>
      <c r="J1985" s="9">
        <f t="shared" si="127"/>
        <v>3</v>
      </c>
      <c r="K1985" t="s">
        <v>6698</v>
      </c>
      <c r="L1985" t="s">
        <v>6694</v>
      </c>
      <c r="M1985" t="s">
        <v>6700</v>
      </c>
      <c r="N1985" t="s">
        <v>6706</v>
      </c>
      <c r="O1985" t="s">
        <v>6694</v>
      </c>
      <c r="W1985" t="s">
        <v>6720</v>
      </c>
    </row>
    <row r="1986" spans="1:23" ht="15.6" x14ac:dyDescent="0.4">
      <c r="A1986" s="2" t="s">
        <v>5914</v>
      </c>
      <c r="B1986" s="5" t="s">
        <v>8442</v>
      </c>
      <c r="C1986" s="7" t="s">
        <v>12556</v>
      </c>
      <c r="D1986" s="8">
        <f t="shared" si="124"/>
        <v>1</v>
      </c>
      <c r="E1986" s="7" t="s">
        <v>12557</v>
      </c>
      <c r="F1986" s="7">
        <f t="shared" si="125"/>
        <v>1</v>
      </c>
      <c r="G1986" s="7" t="s">
        <v>12558</v>
      </c>
      <c r="H1986" s="7">
        <f t="shared" si="126"/>
        <v>1</v>
      </c>
      <c r="I1986" s="7" t="str" cm="1">
        <f t="array" ref="I1986">IFERROR(_xlfn.IFS(M1986="נח",1,M1986="נע ונח",1,M1986="שני שווא נח",2,M1986="שני שוואים בסוף מילה",2,M1986="שני שוואים ברצף",1),"0")</f>
        <v>0</v>
      </c>
      <c r="J1986" s="9">
        <f t="shared" si="127"/>
        <v>4</v>
      </c>
      <c r="K1986" t="s">
        <v>6697</v>
      </c>
      <c r="L1986" t="s">
        <v>6694</v>
      </c>
      <c r="M1986" t="s">
        <v>6700</v>
      </c>
      <c r="O1986" t="s">
        <v>6694</v>
      </c>
      <c r="T1986" t="s">
        <v>6694</v>
      </c>
      <c r="U1986" t="s">
        <v>6694</v>
      </c>
      <c r="W1986" t="s">
        <v>6720</v>
      </c>
    </row>
    <row r="1987" spans="1:23" ht="15.6" x14ac:dyDescent="0.4">
      <c r="A1987" s="2" t="s">
        <v>4215</v>
      </c>
      <c r="B1987" s="5" t="s">
        <v>8443</v>
      </c>
      <c r="C1987" s="7" t="s">
        <v>12556</v>
      </c>
      <c r="D1987" s="8">
        <f t="shared" ref="D1987:D2050" si="128">(LEN(B1987)-LEN(SUBSTITUTE(B1987,C1987,"")))</f>
        <v>1</v>
      </c>
      <c r="E1987" s="7" t="s">
        <v>12557</v>
      </c>
      <c r="F1987" s="7">
        <f t="shared" ref="F1987:F2050" si="129">(LEN(A1987)-LEN(SUBSTITUTE(A1987,E1987,"")))</f>
        <v>2</v>
      </c>
      <c r="G1987" s="7" t="s">
        <v>12558</v>
      </c>
      <c r="H1987" s="7">
        <f t="shared" ref="H1987:H2050" si="130">(LEN(A1987)-LEN(SUBSTITUTE(A1987,G1987,"")))/2</f>
        <v>2</v>
      </c>
      <c r="I1987" s="7" t="str" cm="1">
        <f t="array" ref="I1987">IFERROR(_xlfn.IFS(M1987="נח",1,M1987="נע ונח",1,M1987="שני שווא נח",2,M1987="שני שוואים בסוף מילה",2,M1987="שני שוואים ברצף",1),"0")</f>
        <v>0</v>
      </c>
      <c r="J1987" s="9">
        <f t="shared" ref="J1987:J2050" si="131">LEN(A1987)-(LEN(B1987))-D1987-F1987+H1987-I1987</f>
        <v>4</v>
      </c>
      <c r="K1987" t="s">
        <v>6697</v>
      </c>
      <c r="L1987" t="s">
        <v>6694</v>
      </c>
      <c r="M1987" t="s">
        <v>6700</v>
      </c>
      <c r="O1987" t="s">
        <v>6694</v>
      </c>
      <c r="U1987" t="s">
        <v>6694</v>
      </c>
      <c r="W1987" t="s">
        <v>6720</v>
      </c>
    </row>
    <row r="1988" spans="1:23" ht="15.6" x14ac:dyDescent="0.4">
      <c r="A1988" s="2" t="s">
        <v>5715</v>
      </c>
      <c r="B1988" s="5" t="s">
        <v>8444</v>
      </c>
      <c r="C1988" s="7" t="s">
        <v>12556</v>
      </c>
      <c r="D1988" s="8">
        <f t="shared" si="128"/>
        <v>1</v>
      </c>
      <c r="E1988" s="7" t="s">
        <v>12557</v>
      </c>
      <c r="F1988" s="7">
        <f t="shared" si="129"/>
        <v>1</v>
      </c>
      <c r="G1988" s="7" t="s">
        <v>12558</v>
      </c>
      <c r="H1988" s="7">
        <f t="shared" si="130"/>
        <v>1</v>
      </c>
      <c r="I1988" s="7" t="str" cm="1">
        <f t="array" ref="I1988">IFERROR(_xlfn.IFS(M1988="נח",1,M1988="נע ונח",1,M1988="שני שווא נח",2,M1988="שני שוואים בסוף מילה",2,M1988="שני שוואים ברצף",1),"0")</f>
        <v>0</v>
      </c>
      <c r="J1988" s="9">
        <f t="shared" si="131"/>
        <v>4</v>
      </c>
      <c r="K1988" t="s">
        <v>6697</v>
      </c>
      <c r="L1988" t="s">
        <v>6694</v>
      </c>
      <c r="M1988" t="s">
        <v>6700</v>
      </c>
      <c r="O1988" t="s">
        <v>6694</v>
      </c>
      <c r="S1988" t="s">
        <v>6694</v>
      </c>
      <c r="U1988" t="s">
        <v>6694</v>
      </c>
      <c r="W1988" t="s">
        <v>6720</v>
      </c>
    </row>
    <row r="1989" spans="1:23" ht="15.6" x14ac:dyDescent="0.4">
      <c r="A1989" s="2" t="s">
        <v>4475</v>
      </c>
      <c r="B1989" s="5" t="s">
        <v>8445</v>
      </c>
      <c r="C1989" s="7" t="s">
        <v>12556</v>
      </c>
      <c r="D1989" s="8">
        <f t="shared" si="128"/>
        <v>2</v>
      </c>
      <c r="E1989" s="7" t="s">
        <v>12557</v>
      </c>
      <c r="F1989" s="7">
        <f t="shared" si="129"/>
        <v>1</v>
      </c>
      <c r="G1989" s="7" t="s">
        <v>12558</v>
      </c>
      <c r="H1989" s="7">
        <f t="shared" si="130"/>
        <v>1</v>
      </c>
      <c r="I1989" s="7" t="str" cm="1">
        <f t="array" ref="I1989">IFERROR(_xlfn.IFS(M1989="נח",1,M1989="נע ונח",1,M1989="שני שווא נח",2,M1989="שני שוואים בסוף מילה",2,M1989="שני שוואים ברצף",1),"0")</f>
        <v>0</v>
      </c>
      <c r="J1989" s="9">
        <f t="shared" si="131"/>
        <v>4</v>
      </c>
      <c r="K1989" t="s">
        <v>6697</v>
      </c>
      <c r="L1989" t="s">
        <v>6694</v>
      </c>
      <c r="M1989" t="s">
        <v>6700</v>
      </c>
      <c r="O1989" t="s">
        <v>6694</v>
      </c>
      <c r="S1989" t="s">
        <v>6694</v>
      </c>
      <c r="U1989" t="s">
        <v>6694</v>
      </c>
      <c r="W1989" t="s">
        <v>6720</v>
      </c>
    </row>
    <row r="1990" spans="1:23" ht="15.6" x14ac:dyDescent="0.4">
      <c r="A1990" s="2" t="s">
        <v>4949</v>
      </c>
      <c r="B1990" s="5" t="s">
        <v>8446</v>
      </c>
      <c r="C1990" s="7" t="s">
        <v>12556</v>
      </c>
      <c r="D1990" s="8">
        <f t="shared" si="128"/>
        <v>1</v>
      </c>
      <c r="E1990" s="7" t="s">
        <v>12557</v>
      </c>
      <c r="F1990" s="7">
        <f t="shared" si="129"/>
        <v>0</v>
      </c>
      <c r="G1990" s="7" t="s">
        <v>12558</v>
      </c>
      <c r="H1990" s="7">
        <f t="shared" si="130"/>
        <v>0</v>
      </c>
      <c r="I1990" s="7" t="str" cm="1">
        <f t="array" ref="I1990">IFERROR(_xlfn.IFS(M1990="נח",1,M1990="נע ונח",1,M1990="שני שווא נח",2,M1990="שני שוואים בסוף מילה",2,M1990="שני שוואים ברצף",1),"0")</f>
        <v>0</v>
      </c>
      <c r="J1990" s="9">
        <f t="shared" si="131"/>
        <v>3</v>
      </c>
      <c r="K1990" t="s">
        <v>6698</v>
      </c>
      <c r="L1990" t="s">
        <v>6694</v>
      </c>
      <c r="M1990" t="s">
        <v>6700</v>
      </c>
      <c r="O1990" t="s">
        <v>6694</v>
      </c>
      <c r="Q1990" t="s">
        <v>6694</v>
      </c>
      <c r="W1990" t="s">
        <v>6720</v>
      </c>
    </row>
    <row r="1991" spans="1:23" ht="15.6" x14ac:dyDescent="0.4">
      <c r="A1991" s="2" t="s">
        <v>5496</v>
      </c>
      <c r="B1991" s="5" t="s">
        <v>8447</v>
      </c>
      <c r="C1991" s="7" t="s">
        <v>12556</v>
      </c>
      <c r="D1991" s="8">
        <f t="shared" si="128"/>
        <v>0</v>
      </c>
      <c r="E1991" s="7" t="s">
        <v>12557</v>
      </c>
      <c r="F1991" s="7">
        <f t="shared" si="129"/>
        <v>0</v>
      </c>
      <c r="G1991" s="7" t="s">
        <v>12558</v>
      </c>
      <c r="H1991" s="7">
        <f t="shared" si="130"/>
        <v>0</v>
      </c>
      <c r="I1991" s="7" t="str" cm="1">
        <f t="array" ref="I1991">IFERROR(_xlfn.IFS(M1991="נח",1,M1991="נע ונח",1,M1991="שני שווא נח",2,M1991="שני שוואים בסוף מילה",2,M1991="שני שוואים ברצף",1),"0")</f>
        <v>0</v>
      </c>
      <c r="J1991" s="9">
        <f t="shared" si="131"/>
        <v>3</v>
      </c>
      <c r="K1991" t="s">
        <v>6698</v>
      </c>
      <c r="L1991" t="s">
        <v>6694</v>
      </c>
      <c r="M1991" t="s">
        <v>6700</v>
      </c>
      <c r="O1991" t="s">
        <v>6694</v>
      </c>
      <c r="V1991" t="s">
        <v>6694</v>
      </c>
      <c r="W1991" t="s">
        <v>6720</v>
      </c>
    </row>
    <row r="1992" spans="1:23" ht="15.6" x14ac:dyDescent="0.4">
      <c r="A1992" s="2" t="s">
        <v>3198</v>
      </c>
      <c r="B1992" s="5" t="s">
        <v>8448</v>
      </c>
      <c r="C1992" s="7" t="s">
        <v>12556</v>
      </c>
      <c r="D1992" s="8">
        <f t="shared" si="128"/>
        <v>0</v>
      </c>
      <c r="E1992" s="7" t="s">
        <v>12557</v>
      </c>
      <c r="F1992" s="7">
        <f t="shared" si="129"/>
        <v>1</v>
      </c>
      <c r="G1992" s="7" t="s">
        <v>12558</v>
      </c>
      <c r="H1992" s="7">
        <f t="shared" si="130"/>
        <v>1</v>
      </c>
      <c r="I1992" s="7" cm="1">
        <f t="array" ref="I1992">IFERROR(_xlfn.IFS(M1992="נח",1,M1992="נע ונח",1,M1992="שני שווא נח",2,M1992="שני שוואים בסוף מילה",2,M1992="שני שוואים ברצף",1),"0")</f>
        <v>1</v>
      </c>
      <c r="J1992" s="9">
        <f t="shared" si="131"/>
        <v>3</v>
      </c>
      <c r="K1992" t="s">
        <v>6697</v>
      </c>
      <c r="L1992" t="s">
        <v>6694</v>
      </c>
      <c r="M1992" t="s">
        <v>6701</v>
      </c>
      <c r="U1992" t="s">
        <v>6694</v>
      </c>
      <c r="V1992" t="s">
        <v>6694</v>
      </c>
      <c r="W1992" t="s">
        <v>6720</v>
      </c>
    </row>
    <row r="1993" spans="1:23" ht="15.6" x14ac:dyDescent="0.4">
      <c r="A1993" s="2" t="s">
        <v>2114</v>
      </c>
      <c r="B1993" s="5" t="s">
        <v>8449</v>
      </c>
      <c r="C1993" s="7" t="s">
        <v>12556</v>
      </c>
      <c r="D1993" s="8">
        <f t="shared" si="128"/>
        <v>0</v>
      </c>
      <c r="E1993" s="7" t="s">
        <v>12557</v>
      </c>
      <c r="F1993" s="7">
        <f t="shared" si="129"/>
        <v>1</v>
      </c>
      <c r="G1993" s="7" t="s">
        <v>12558</v>
      </c>
      <c r="H1993" s="7">
        <f t="shared" si="130"/>
        <v>1</v>
      </c>
      <c r="I1993" s="7" cm="1">
        <f t="array" ref="I1993">IFERROR(_xlfn.IFS(M1993="נח",1,M1993="נע ונח",1,M1993="שני שווא נח",2,M1993="שני שוואים בסוף מילה",2,M1993="שני שוואים ברצף",1),"0")</f>
        <v>1</v>
      </c>
      <c r="J1993" s="9">
        <f t="shared" si="131"/>
        <v>3</v>
      </c>
      <c r="K1993" t="s">
        <v>6697</v>
      </c>
      <c r="L1993" t="s">
        <v>6694</v>
      </c>
      <c r="M1993" t="s">
        <v>6701</v>
      </c>
      <c r="U1993" t="s">
        <v>6694</v>
      </c>
      <c r="V1993" t="s">
        <v>6694</v>
      </c>
      <c r="W1993" t="s">
        <v>6720</v>
      </c>
    </row>
    <row r="1994" spans="1:23" ht="15.6" x14ac:dyDescent="0.4">
      <c r="A1994" s="2" t="s">
        <v>4168</v>
      </c>
      <c r="B1994" s="5" t="s">
        <v>8450</v>
      </c>
      <c r="C1994" s="7" t="s">
        <v>12556</v>
      </c>
      <c r="D1994" s="8">
        <f t="shared" si="128"/>
        <v>0</v>
      </c>
      <c r="E1994" s="7" t="s">
        <v>12557</v>
      </c>
      <c r="F1994" s="7">
        <f t="shared" si="129"/>
        <v>0</v>
      </c>
      <c r="G1994" s="7" t="s">
        <v>12558</v>
      </c>
      <c r="H1994" s="7">
        <f t="shared" si="130"/>
        <v>0</v>
      </c>
      <c r="I1994" s="7" t="str" cm="1">
        <f t="array" ref="I1994">IFERROR(_xlfn.IFS(M1994="נח",1,M1994="נע ונח",1,M1994="שני שווא נח",2,M1994="שני שוואים בסוף מילה",2,M1994="שני שוואים ברצף",1),"0")</f>
        <v>0</v>
      </c>
      <c r="J1994" s="9">
        <f t="shared" si="131"/>
        <v>3</v>
      </c>
      <c r="K1994" t="s">
        <v>6698</v>
      </c>
      <c r="L1994" t="s">
        <v>6694</v>
      </c>
      <c r="M1994" t="s">
        <v>6700</v>
      </c>
      <c r="P1994" t="s">
        <v>6694</v>
      </c>
      <c r="V1994" t="s">
        <v>6694</v>
      </c>
      <c r="W1994" t="s">
        <v>6720</v>
      </c>
    </row>
    <row r="1995" spans="1:23" ht="15.6" x14ac:dyDescent="0.4">
      <c r="A1995" s="2" t="s">
        <v>2141</v>
      </c>
      <c r="B1995" s="5" t="s">
        <v>8451</v>
      </c>
      <c r="C1995" s="7" t="s">
        <v>12556</v>
      </c>
      <c r="D1995" s="8">
        <f t="shared" si="128"/>
        <v>0</v>
      </c>
      <c r="E1995" s="7" t="s">
        <v>12557</v>
      </c>
      <c r="F1995" s="7">
        <f t="shared" si="129"/>
        <v>0</v>
      </c>
      <c r="G1995" s="7" t="s">
        <v>12558</v>
      </c>
      <c r="H1995" s="7">
        <f t="shared" si="130"/>
        <v>0</v>
      </c>
      <c r="I1995" s="7" cm="1">
        <f t="array" ref="I1995">IFERROR(_xlfn.IFS(M1995="נח",1,M1995="נע ונח",1,M1995="שני שווא נח",2,M1995="שני שוואים בסוף מילה",2,M1995="שני שוואים ברצף",1),"0")</f>
        <v>1</v>
      </c>
      <c r="J1995" s="9">
        <f t="shared" si="131"/>
        <v>3</v>
      </c>
      <c r="K1995" t="s">
        <v>6698</v>
      </c>
      <c r="L1995" t="s">
        <v>6694</v>
      </c>
      <c r="M1995" t="s">
        <v>6701</v>
      </c>
      <c r="S1995" t="s">
        <v>6694</v>
      </c>
      <c r="V1995" t="s">
        <v>6694</v>
      </c>
      <c r="W1995" t="s">
        <v>6720</v>
      </c>
    </row>
    <row r="1996" spans="1:23" ht="15.6" x14ac:dyDescent="0.4">
      <c r="A1996" s="2" t="s">
        <v>2560</v>
      </c>
      <c r="B1996" s="5" t="s">
        <v>8452</v>
      </c>
      <c r="C1996" s="7" t="s">
        <v>12556</v>
      </c>
      <c r="D1996" s="8">
        <f t="shared" si="128"/>
        <v>1</v>
      </c>
      <c r="E1996" s="7" t="s">
        <v>12557</v>
      </c>
      <c r="F1996" s="7">
        <f t="shared" si="129"/>
        <v>0</v>
      </c>
      <c r="G1996" s="7" t="s">
        <v>12558</v>
      </c>
      <c r="H1996" s="7">
        <f t="shared" si="130"/>
        <v>0</v>
      </c>
      <c r="I1996" s="7" cm="1">
        <f t="array" ref="I1996">IFERROR(_xlfn.IFS(M1996="נח",1,M1996="נע ונח",1,M1996="שני שווא נח",2,M1996="שני שוואים בסוף מילה",2,M1996="שני שוואים ברצף",1),"0")</f>
        <v>1</v>
      </c>
      <c r="J1996" s="9">
        <f t="shared" si="131"/>
        <v>3</v>
      </c>
      <c r="K1996" t="s">
        <v>6698</v>
      </c>
      <c r="L1996" t="s">
        <v>6694</v>
      </c>
      <c r="M1996" t="s">
        <v>6701</v>
      </c>
      <c r="Q1996" t="s">
        <v>6694</v>
      </c>
      <c r="V1996" t="s">
        <v>6694</v>
      </c>
      <c r="W1996" t="s">
        <v>6720</v>
      </c>
    </row>
    <row r="1997" spans="1:23" ht="15.6" x14ac:dyDescent="0.4">
      <c r="A1997" s="2" t="s">
        <v>4043</v>
      </c>
      <c r="B1997" s="5" t="s">
        <v>8453</v>
      </c>
      <c r="C1997" s="7" t="s">
        <v>12556</v>
      </c>
      <c r="D1997" s="8">
        <f t="shared" si="128"/>
        <v>1</v>
      </c>
      <c r="E1997" s="7" t="s">
        <v>12557</v>
      </c>
      <c r="F1997" s="7">
        <f t="shared" si="129"/>
        <v>0</v>
      </c>
      <c r="G1997" s="7" t="s">
        <v>12558</v>
      </c>
      <c r="H1997" s="7">
        <f t="shared" si="130"/>
        <v>0</v>
      </c>
      <c r="I1997" s="7" t="str" cm="1">
        <f t="array" ref="I1997">IFERROR(_xlfn.IFS(M1997="נח",1,M1997="נע ונח",1,M1997="שני שווא נח",2,M1997="שני שוואים בסוף מילה",2,M1997="שני שוואים ברצף",1),"0")</f>
        <v>0</v>
      </c>
      <c r="J1997" s="9">
        <f t="shared" si="131"/>
        <v>3</v>
      </c>
      <c r="K1997" t="s">
        <v>6698</v>
      </c>
      <c r="L1997" t="s">
        <v>6694</v>
      </c>
      <c r="M1997" t="s">
        <v>6700</v>
      </c>
      <c r="Q1997" t="s">
        <v>6694</v>
      </c>
      <c r="V1997" t="s">
        <v>6694</v>
      </c>
      <c r="W1997" t="s">
        <v>6720</v>
      </c>
    </row>
    <row r="1998" spans="1:23" ht="15.6" x14ac:dyDescent="0.4">
      <c r="A1998" s="2" t="s">
        <v>3867</v>
      </c>
      <c r="B1998" s="5" t="s">
        <v>8454</v>
      </c>
      <c r="C1998" s="7" t="s">
        <v>12556</v>
      </c>
      <c r="D1998" s="8">
        <f t="shared" si="128"/>
        <v>0</v>
      </c>
      <c r="E1998" s="7" t="s">
        <v>12557</v>
      </c>
      <c r="F1998" s="7">
        <f t="shared" si="129"/>
        <v>0</v>
      </c>
      <c r="G1998" s="7" t="s">
        <v>12558</v>
      </c>
      <c r="H1998" s="7">
        <f t="shared" si="130"/>
        <v>0</v>
      </c>
      <c r="I1998" s="7" t="str" cm="1">
        <f t="array" ref="I1998">IFERROR(_xlfn.IFS(M1998="נח",1,M1998="נע ונח",1,M1998="שני שווא נח",2,M1998="שני שוואים בסוף מילה",2,M1998="שני שוואים ברצף",1),"0")</f>
        <v>0</v>
      </c>
      <c r="J1998" s="9">
        <f t="shared" si="131"/>
        <v>4</v>
      </c>
      <c r="K1998" t="s">
        <v>6697</v>
      </c>
      <c r="L1998" t="s">
        <v>6694</v>
      </c>
      <c r="M1998" t="s">
        <v>6700</v>
      </c>
      <c r="O1998" t="s">
        <v>6694</v>
      </c>
      <c r="T1998" t="s">
        <v>6694</v>
      </c>
      <c r="V1998" t="s">
        <v>6694</v>
      </c>
      <c r="W1998" t="s">
        <v>6720</v>
      </c>
    </row>
    <row r="1999" spans="1:23" ht="15.6" x14ac:dyDescent="0.4">
      <c r="A1999" s="2" t="s">
        <v>5792</v>
      </c>
      <c r="B1999" s="5" t="s">
        <v>8455</v>
      </c>
      <c r="C1999" s="7" t="s">
        <v>12556</v>
      </c>
      <c r="D1999" s="8">
        <f t="shared" si="128"/>
        <v>0</v>
      </c>
      <c r="E1999" s="7" t="s">
        <v>12557</v>
      </c>
      <c r="F1999" s="7">
        <f t="shared" si="129"/>
        <v>1</v>
      </c>
      <c r="G1999" s="7" t="s">
        <v>12558</v>
      </c>
      <c r="H1999" s="7">
        <f t="shared" si="130"/>
        <v>1</v>
      </c>
      <c r="I1999" s="7" t="str" cm="1">
        <f t="array" ref="I1999">IFERROR(_xlfn.IFS(M1999="נח",1,M1999="נע ונח",1,M1999="שני שווא נח",2,M1999="שני שוואים בסוף מילה",2,M1999="שני שוואים ברצף",1),"0")</f>
        <v>0</v>
      </c>
      <c r="J1999" s="9">
        <f t="shared" si="131"/>
        <v>3</v>
      </c>
      <c r="K1999" t="s">
        <v>6697</v>
      </c>
      <c r="L1999" t="s">
        <v>6694</v>
      </c>
      <c r="M1999" t="s">
        <v>6700</v>
      </c>
      <c r="U1999" t="s">
        <v>6694</v>
      </c>
      <c r="V1999" t="s">
        <v>6694</v>
      </c>
      <c r="W1999" t="s">
        <v>6720</v>
      </c>
    </row>
    <row r="2000" spans="1:23" ht="15.6" x14ac:dyDescent="0.4">
      <c r="A2000" s="2" t="s">
        <v>5582</v>
      </c>
      <c r="B2000" s="5" t="s">
        <v>8456</v>
      </c>
      <c r="C2000" s="7" t="s">
        <v>12556</v>
      </c>
      <c r="D2000" s="8">
        <f t="shared" si="128"/>
        <v>0</v>
      </c>
      <c r="E2000" s="7" t="s">
        <v>12557</v>
      </c>
      <c r="F2000" s="7">
        <f t="shared" si="129"/>
        <v>0</v>
      </c>
      <c r="G2000" s="7" t="s">
        <v>12558</v>
      </c>
      <c r="H2000" s="7">
        <f t="shared" si="130"/>
        <v>0</v>
      </c>
      <c r="I2000" s="7" t="str" cm="1">
        <f t="array" ref="I2000">IFERROR(_xlfn.IFS(M2000="נח",1,M2000="נע ונח",1,M2000="שני שווא נח",2,M2000="שני שוואים בסוף מילה",2,M2000="שני שוואים ברצף",1),"0")</f>
        <v>0</v>
      </c>
      <c r="J2000" s="9">
        <f t="shared" si="131"/>
        <v>5</v>
      </c>
      <c r="K2000" t="s">
        <v>6697</v>
      </c>
      <c r="L2000" t="s">
        <v>6694</v>
      </c>
      <c r="M2000" t="s">
        <v>6700</v>
      </c>
      <c r="Q2000" t="s">
        <v>6694</v>
      </c>
      <c r="S2000" t="s">
        <v>6694</v>
      </c>
      <c r="V2000" t="s">
        <v>6694</v>
      </c>
      <c r="W2000" t="s">
        <v>6720</v>
      </c>
    </row>
    <row r="2001" spans="1:23" ht="15.6" x14ac:dyDescent="0.4">
      <c r="A2001" s="2" t="s">
        <v>4761</v>
      </c>
      <c r="B2001" s="5" t="s">
        <v>8457</v>
      </c>
      <c r="C2001" s="7" t="s">
        <v>12556</v>
      </c>
      <c r="D2001" s="8">
        <f t="shared" si="128"/>
        <v>0</v>
      </c>
      <c r="E2001" s="7" t="s">
        <v>12557</v>
      </c>
      <c r="F2001" s="7">
        <f t="shared" si="129"/>
        <v>0</v>
      </c>
      <c r="G2001" s="7" t="s">
        <v>12558</v>
      </c>
      <c r="H2001" s="7">
        <f t="shared" si="130"/>
        <v>0</v>
      </c>
      <c r="I2001" s="7" t="str" cm="1">
        <f t="array" ref="I2001">IFERROR(_xlfn.IFS(M2001="נח",1,M2001="נע ונח",1,M2001="שני שווא נח",2,M2001="שני שוואים בסוף מילה",2,M2001="שני שוואים ברצף",1),"0")</f>
        <v>0</v>
      </c>
      <c r="J2001" s="9">
        <f t="shared" si="131"/>
        <v>3</v>
      </c>
      <c r="K2001" t="s">
        <v>6698</v>
      </c>
      <c r="L2001" t="s">
        <v>6694</v>
      </c>
      <c r="M2001" t="s">
        <v>6700</v>
      </c>
      <c r="Q2001" t="s">
        <v>6694</v>
      </c>
      <c r="V2001" t="s">
        <v>6694</v>
      </c>
      <c r="W2001" t="s">
        <v>6720</v>
      </c>
    </row>
    <row r="2002" spans="1:23" ht="15.6" x14ac:dyDescent="0.4">
      <c r="A2002" s="2" t="s">
        <v>4106</v>
      </c>
      <c r="B2002" s="5" t="s">
        <v>8458</v>
      </c>
      <c r="C2002" s="7" t="s">
        <v>12556</v>
      </c>
      <c r="D2002" s="8">
        <f t="shared" si="128"/>
        <v>1</v>
      </c>
      <c r="E2002" s="7" t="s">
        <v>12557</v>
      </c>
      <c r="F2002" s="7">
        <f t="shared" si="129"/>
        <v>0</v>
      </c>
      <c r="G2002" s="7" t="s">
        <v>12558</v>
      </c>
      <c r="H2002" s="7">
        <f t="shared" si="130"/>
        <v>0</v>
      </c>
      <c r="I2002" s="7" t="str" cm="1">
        <f t="array" ref="I2002">IFERROR(_xlfn.IFS(M2002="נח",1,M2002="נע ונח",1,M2002="שני שווא נח",2,M2002="שני שוואים בסוף מילה",2,M2002="שני שוואים ברצף",1),"0")</f>
        <v>0</v>
      </c>
      <c r="J2002" s="9">
        <f t="shared" si="131"/>
        <v>5</v>
      </c>
      <c r="K2002" t="s">
        <v>6697</v>
      </c>
      <c r="L2002" t="s">
        <v>6694</v>
      </c>
      <c r="M2002" t="s">
        <v>6700</v>
      </c>
      <c r="Q2002" t="s">
        <v>6694</v>
      </c>
      <c r="S2002" t="s">
        <v>6694</v>
      </c>
      <c r="V2002" t="s">
        <v>6694</v>
      </c>
      <c r="W2002" t="s">
        <v>6720</v>
      </c>
    </row>
    <row r="2003" spans="1:23" ht="15.6" x14ac:dyDescent="0.4">
      <c r="A2003" s="2" t="s">
        <v>2133</v>
      </c>
      <c r="B2003" s="5" t="s">
        <v>8459</v>
      </c>
      <c r="C2003" s="7" t="s">
        <v>12556</v>
      </c>
      <c r="D2003" s="8">
        <f t="shared" si="128"/>
        <v>0</v>
      </c>
      <c r="E2003" s="7" t="s">
        <v>12557</v>
      </c>
      <c r="F2003" s="7">
        <f t="shared" si="129"/>
        <v>0</v>
      </c>
      <c r="G2003" s="7" t="s">
        <v>12558</v>
      </c>
      <c r="H2003" s="7">
        <f t="shared" si="130"/>
        <v>0</v>
      </c>
      <c r="I2003" s="7" cm="1">
        <f t="array" ref="I2003">IFERROR(_xlfn.IFS(M2003="נח",1,M2003="נע ונח",1,M2003="שני שווא נח",2,M2003="שני שוואים בסוף מילה",2,M2003="שני שוואים ברצף",1),"0")</f>
        <v>1</v>
      </c>
      <c r="J2003" s="9">
        <f t="shared" si="131"/>
        <v>3</v>
      </c>
      <c r="K2003" t="s">
        <v>6698</v>
      </c>
      <c r="L2003" t="s">
        <v>6694</v>
      </c>
      <c r="M2003" t="s">
        <v>6701</v>
      </c>
      <c r="S2003" t="s">
        <v>6694</v>
      </c>
      <c r="W2003" t="s">
        <v>6720</v>
      </c>
    </row>
    <row r="2004" spans="1:23" ht="15.6" x14ac:dyDescent="0.4">
      <c r="A2004" s="2" t="s">
        <v>5435</v>
      </c>
      <c r="B2004" s="5" t="s">
        <v>8460</v>
      </c>
      <c r="C2004" s="7" t="s">
        <v>12556</v>
      </c>
      <c r="D2004" s="8">
        <f t="shared" si="128"/>
        <v>0</v>
      </c>
      <c r="E2004" s="7" t="s">
        <v>12557</v>
      </c>
      <c r="F2004" s="7">
        <f t="shared" si="129"/>
        <v>0</v>
      </c>
      <c r="G2004" s="7" t="s">
        <v>12558</v>
      </c>
      <c r="H2004" s="7">
        <f t="shared" si="130"/>
        <v>0</v>
      </c>
      <c r="I2004" s="7" cm="1">
        <f t="array" ref="I2004">IFERROR(_xlfn.IFS(M2004="נח",1,M2004="נע ונח",1,M2004="שני שווא נח",2,M2004="שני שוואים בסוף מילה",2,M2004="שני שוואים ברצף",1),"0")</f>
        <v>1</v>
      </c>
      <c r="J2004" s="9">
        <f t="shared" si="131"/>
        <v>4</v>
      </c>
      <c r="K2004" t="s">
        <v>6698</v>
      </c>
      <c r="L2004" t="s">
        <v>6694</v>
      </c>
      <c r="M2004" t="s">
        <v>6701</v>
      </c>
      <c r="P2004" t="s">
        <v>6694</v>
      </c>
      <c r="S2004" t="s">
        <v>6694</v>
      </c>
      <c r="V2004" t="s">
        <v>6694</v>
      </c>
      <c r="W2004" t="s">
        <v>6720</v>
      </c>
    </row>
    <row r="2005" spans="1:23" ht="15.6" x14ac:dyDescent="0.4">
      <c r="A2005" s="2" t="s">
        <v>1451</v>
      </c>
      <c r="B2005" s="5" t="s">
        <v>8461</v>
      </c>
      <c r="C2005" s="7" t="s">
        <v>12556</v>
      </c>
      <c r="D2005" s="8">
        <f t="shared" si="128"/>
        <v>0</v>
      </c>
      <c r="E2005" s="7" t="s">
        <v>12557</v>
      </c>
      <c r="F2005" s="7">
        <f t="shared" si="129"/>
        <v>1</v>
      </c>
      <c r="G2005" s="7" t="s">
        <v>12558</v>
      </c>
      <c r="H2005" s="7">
        <f t="shared" si="130"/>
        <v>0</v>
      </c>
      <c r="I2005" s="7" t="str" cm="1">
        <f t="array" ref="I2005">IFERROR(_xlfn.IFS(M2005="נח",1,M2005="נע ונח",1,M2005="שני שווא נח",2,M2005="שני שוואים בסוף מילה",2,M2005="שני שוואים ברצף",1),"0")</f>
        <v>0</v>
      </c>
      <c r="J2005" s="9">
        <f t="shared" si="131"/>
        <v>3</v>
      </c>
      <c r="K2005" t="s">
        <v>6698</v>
      </c>
      <c r="L2005" t="s">
        <v>6694</v>
      </c>
      <c r="M2005" t="s">
        <v>6700</v>
      </c>
      <c r="S2005" t="s">
        <v>6694</v>
      </c>
      <c r="V2005" t="s">
        <v>6694</v>
      </c>
      <c r="W2005" t="s">
        <v>6720</v>
      </c>
    </row>
    <row r="2006" spans="1:23" ht="15.6" x14ac:dyDescent="0.4">
      <c r="A2006" s="2" t="s">
        <v>5852</v>
      </c>
      <c r="B2006" s="5" t="s">
        <v>8462</v>
      </c>
      <c r="C2006" s="7" t="s">
        <v>12556</v>
      </c>
      <c r="D2006" s="8">
        <f t="shared" si="128"/>
        <v>0</v>
      </c>
      <c r="E2006" s="7" t="s">
        <v>12557</v>
      </c>
      <c r="F2006" s="7">
        <f t="shared" si="129"/>
        <v>0</v>
      </c>
      <c r="G2006" s="7" t="s">
        <v>12558</v>
      </c>
      <c r="H2006" s="7">
        <f t="shared" si="130"/>
        <v>0</v>
      </c>
      <c r="I2006" s="7" cm="1">
        <f t="array" ref="I2006">IFERROR(_xlfn.IFS(M2006="נח",1,M2006="נע ונח",1,M2006="שני שווא נח",2,M2006="שני שוואים בסוף מילה",2,M2006="שני שוואים ברצף",1),"0")</f>
        <v>1</v>
      </c>
      <c r="J2006" s="9">
        <f t="shared" si="131"/>
        <v>3</v>
      </c>
      <c r="K2006" t="s">
        <v>6697</v>
      </c>
      <c r="L2006" t="s">
        <v>6694</v>
      </c>
      <c r="M2006" t="s">
        <v>6701</v>
      </c>
      <c r="S2006" t="s">
        <v>6694</v>
      </c>
      <c r="V2006" t="s">
        <v>6694</v>
      </c>
      <c r="W2006" t="s">
        <v>6720</v>
      </c>
    </row>
    <row r="2007" spans="1:23" ht="15.6" x14ac:dyDescent="0.4">
      <c r="A2007" s="2" t="s">
        <v>5648</v>
      </c>
      <c r="B2007" s="5" t="s">
        <v>8463</v>
      </c>
      <c r="C2007" s="7" t="s">
        <v>12556</v>
      </c>
      <c r="D2007" s="8">
        <f t="shared" si="128"/>
        <v>0</v>
      </c>
      <c r="E2007" s="7" t="s">
        <v>12557</v>
      </c>
      <c r="F2007" s="7">
        <f t="shared" si="129"/>
        <v>1</v>
      </c>
      <c r="G2007" s="7" t="s">
        <v>12558</v>
      </c>
      <c r="H2007" s="7">
        <f t="shared" si="130"/>
        <v>0</v>
      </c>
      <c r="I2007" s="7" t="str" cm="1">
        <f t="array" ref="I2007">IFERROR(_xlfn.IFS(M2007="נח",1,M2007="נע ונח",1,M2007="שני שווא נח",2,M2007="שני שוואים בסוף מילה",2,M2007="שני שוואים ברצף",1),"0")</f>
        <v>0</v>
      </c>
      <c r="J2007" s="9">
        <f t="shared" si="131"/>
        <v>4</v>
      </c>
      <c r="K2007" t="s">
        <v>6698</v>
      </c>
      <c r="L2007" t="s">
        <v>6694</v>
      </c>
      <c r="M2007" t="s">
        <v>6700</v>
      </c>
      <c r="P2007" t="s">
        <v>6694</v>
      </c>
      <c r="Q2007" t="s">
        <v>6694</v>
      </c>
      <c r="V2007" t="s">
        <v>6694</v>
      </c>
      <c r="W2007" t="s">
        <v>6720</v>
      </c>
    </row>
    <row r="2008" spans="1:23" ht="15.6" x14ac:dyDescent="0.4">
      <c r="A2008" s="2" t="s">
        <v>4825</v>
      </c>
      <c r="B2008" s="5" t="s">
        <v>8464</v>
      </c>
      <c r="C2008" s="7" t="s">
        <v>12556</v>
      </c>
      <c r="D2008" s="8">
        <f t="shared" si="128"/>
        <v>0</v>
      </c>
      <c r="E2008" s="7" t="s">
        <v>12557</v>
      </c>
      <c r="F2008" s="7">
        <f t="shared" si="129"/>
        <v>1</v>
      </c>
      <c r="G2008" s="7" t="s">
        <v>12558</v>
      </c>
      <c r="H2008" s="7">
        <f t="shared" si="130"/>
        <v>0</v>
      </c>
      <c r="I2008" s="7" t="str" cm="1">
        <f t="array" ref="I2008">IFERROR(_xlfn.IFS(M2008="נח",1,M2008="נע ונח",1,M2008="שני שווא נח",2,M2008="שני שוואים בסוף מילה",2,M2008="שני שוואים ברצף",1),"0")</f>
        <v>0</v>
      </c>
      <c r="J2008" s="9">
        <f t="shared" si="131"/>
        <v>3</v>
      </c>
      <c r="K2008" t="s">
        <v>6697</v>
      </c>
      <c r="L2008" t="s">
        <v>6694</v>
      </c>
      <c r="M2008" t="s">
        <v>6700</v>
      </c>
      <c r="O2008" t="s">
        <v>6694</v>
      </c>
      <c r="P2008" t="s">
        <v>6694</v>
      </c>
      <c r="W2008" t="s">
        <v>6720</v>
      </c>
    </row>
    <row r="2009" spans="1:23" ht="15.6" x14ac:dyDescent="0.4">
      <c r="A2009" s="2" t="s">
        <v>5476</v>
      </c>
      <c r="B2009" s="5" t="s">
        <v>8465</v>
      </c>
      <c r="C2009" s="7" t="s">
        <v>12556</v>
      </c>
      <c r="D2009" s="8">
        <f t="shared" si="128"/>
        <v>0</v>
      </c>
      <c r="E2009" s="7" t="s">
        <v>12557</v>
      </c>
      <c r="F2009" s="7">
        <f t="shared" si="129"/>
        <v>1</v>
      </c>
      <c r="G2009" s="7" t="s">
        <v>12558</v>
      </c>
      <c r="H2009" s="7">
        <f t="shared" si="130"/>
        <v>0</v>
      </c>
      <c r="I2009" s="7" t="str" cm="1">
        <f t="array" ref="I2009">IFERROR(_xlfn.IFS(M2009="נח",1,M2009="נע ונח",1,M2009="שני שווא נח",2,M2009="שני שוואים בסוף מילה",2,M2009="שני שוואים ברצף",1),"0")</f>
        <v>0</v>
      </c>
      <c r="J2009" s="9">
        <f t="shared" si="131"/>
        <v>3</v>
      </c>
      <c r="K2009" t="s">
        <v>6698</v>
      </c>
      <c r="L2009" t="s">
        <v>6694</v>
      </c>
      <c r="M2009" t="s">
        <v>6700</v>
      </c>
      <c r="P2009" t="s">
        <v>6694</v>
      </c>
      <c r="Q2009" t="s">
        <v>6694</v>
      </c>
      <c r="W2009" t="s">
        <v>6720</v>
      </c>
    </row>
    <row r="2010" spans="1:23" ht="15.6" x14ac:dyDescent="0.4">
      <c r="A2010" s="2" t="s">
        <v>4997</v>
      </c>
      <c r="B2010" s="5" t="s">
        <v>8466</v>
      </c>
      <c r="C2010" s="7" t="s">
        <v>12556</v>
      </c>
      <c r="D2010" s="8">
        <f t="shared" si="128"/>
        <v>1</v>
      </c>
      <c r="E2010" s="7" t="s">
        <v>12557</v>
      </c>
      <c r="F2010" s="7">
        <f t="shared" si="129"/>
        <v>1</v>
      </c>
      <c r="G2010" s="7" t="s">
        <v>12558</v>
      </c>
      <c r="H2010" s="7">
        <f t="shared" si="130"/>
        <v>0</v>
      </c>
      <c r="I2010" s="7" t="str" cm="1">
        <f t="array" ref="I2010">IFERROR(_xlfn.IFS(M2010="נח",1,M2010="נע ונח",1,M2010="שני שווא נח",2,M2010="שני שוואים בסוף מילה",2,M2010="שני שוואים ברצף",1),"0")</f>
        <v>0</v>
      </c>
      <c r="J2010" s="9">
        <f t="shared" si="131"/>
        <v>4</v>
      </c>
      <c r="K2010" t="s">
        <v>6698</v>
      </c>
      <c r="L2010" t="s">
        <v>6694</v>
      </c>
      <c r="M2010" t="s">
        <v>6700</v>
      </c>
      <c r="P2010" t="s">
        <v>6694</v>
      </c>
      <c r="R2010" t="s">
        <v>6694</v>
      </c>
      <c r="W2010" t="s">
        <v>6720</v>
      </c>
    </row>
    <row r="2011" spans="1:23" ht="15.6" x14ac:dyDescent="0.4">
      <c r="A2011" s="2" t="s">
        <v>5836</v>
      </c>
      <c r="B2011" s="5" t="s">
        <v>8467</v>
      </c>
      <c r="C2011" s="7" t="s">
        <v>12556</v>
      </c>
      <c r="D2011" s="8">
        <f t="shared" si="128"/>
        <v>0</v>
      </c>
      <c r="E2011" s="7" t="s">
        <v>12557</v>
      </c>
      <c r="F2011" s="7">
        <f t="shared" si="129"/>
        <v>1</v>
      </c>
      <c r="G2011" s="7" t="s">
        <v>12558</v>
      </c>
      <c r="H2011" s="7">
        <f t="shared" si="130"/>
        <v>0</v>
      </c>
      <c r="I2011" s="7" t="str" cm="1">
        <f t="array" ref="I2011">IFERROR(_xlfn.IFS(M2011="נח",1,M2011="נע ונח",1,M2011="שני שווא נח",2,M2011="שני שוואים בסוף מילה",2,M2011="שני שוואים ברצף",1),"0")</f>
        <v>0</v>
      </c>
      <c r="J2011" s="9">
        <f t="shared" si="131"/>
        <v>4</v>
      </c>
      <c r="K2011" t="s">
        <v>6697</v>
      </c>
      <c r="L2011" t="s">
        <v>6694</v>
      </c>
      <c r="M2011" t="s">
        <v>6700</v>
      </c>
      <c r="P2011" t="s">
        <v>6694</v>
      </c>
      <c r="S2011" t="s">
        <v>6694</v>
      </c>
      <c r="V2011" t="s">
        <v>6694</v>
      </c>
      <c r="W2011" t="s">
        <v>6720</v>
      </c>
    </row>
    <row r="2012" spans="1:23" ht="15.6" x14ac:dyDescent="0.4">
      <c r="A2012" s="2" t="s">
        <v>2153</v>
      </c>
      <c r="B2012" s="5" t="s">
        <v>8468</v>
      </c>
      <c r="C2012" s="7" t="s">
        <v>12556</v>
      </c>
      <c r="D2012" s="8">
        <f t="shared" si="128"/>
        <v>0</v>
      </c>
      <c r="E2012" s="7" t="s">
        <v>12557</v>
      </c>
      <c r="F2012" s="7">
        <f t="shared" si="129"/>
        <v>0</v>
      </c>
      <c r="G2012" s="7" t="s">
        <v>12558</v>
      </c>
      <c r="H2012" s="7">
        <f t="shared" si="130"/>
        <v>0</v>
      </c>
      <c r="I2012" s="7" t="str" cm="1">
        <f t="array" ref="I2012">IFERROR(_xlfn.IFS(M2012="נח",1,M2012="נע ונח",1,M2012="שני שווא נח",2,M2012="שני שוואים בסוף מילה",2,M2012="שני שוואים ברצף",1),"0")</f>
        <v>0</v>
      </c>
      <c r="J2012" s="9">
        <f t="shared" si="131"/>
        <v>3</v>
      </c>
      <c r="K2012" t="s">
        <v>6698</v>
      </c>
      <c r="L2012" t="s">
        <v>6694</v>
      </c>
      <c r="M2012" t="s">
        <v>6700</v>
      </c>
      <c r="O2012" t="s">
        <v>6694</v>
      </c>
      <c r="V2012" t="s">
        <v>6694</v>
      </c>
      <c r="W2012" t="s">
        <v>6720</v>
      </c>
    </row>
    <row r="2013" spans="1:23" ht="15.6" x14ac:dyDescent="0.4">
      <c r="A2013" s="2" t="s">
        <v>1248</v>
      </c>
      <c r="B2013" s="5" t="s">
        <v>8469</v>
      </c>
      <c r="C2013" s="7" t="s">
        <v>12556</v>
      </c>
      <c r="D2013" s="8">
        <f t="shared" si="128"/>
        <v>0</v>
      </c>
      <c r="E2013" s="7" t="s">
        <v>12557</v>
      </c>
      <c r="F2013" s="7">
        <f t="shared" si="129"/>
        <v>0</v>
      </c>
      <c r="G2013" s="7" t="s">
        <v>12558</v>
      </c>
      <c r="H2013" s="7">
        <f t="shared" si="130"/>
        <v>0</v>
      </c>
      <c r="I2013" s="7" t="str" cm="1">
        <f t="array" ref="I2013">IFERROR(_xlfn.IFS(M2013="נח",1,M2013="נע ונח",1,M2013="שני שווא נח",2,M2013="שני שוואים בסוף מילה",2,M2013="שני שוואים ברצף",1),"0")</f>
        <v>0</v>
      </c>
      <c r="J2013" s="9">
        <f t="shared" si="131"/>
        <v>2</v>
      </c>
      <c r="K2013" t="s">
        <v>6698</v>
      </c>
      <c r="L2013" t="s">
        <v>6694</v>
      </c>
      <c r="M2013" t="s">
        <v>6700</v>
      </c>
      <c r="N2013" t="s">
        <v>6706</v>
      </c>
      <c r="O2013" t="s">
        <v>6694</v>
      </c>
      <c r="W2013" t="s">
        <v>6720</v>
      </c>
    </row>
    <row r="2014" spans="1:23" ht="15.6" x14ac:dyDescent="0.4">
      <c r="A2014" s="2" t="s">
        <v>3933</v>
      </c>
      <c r="B2014" s="5" t="s">
        <v>8470</v>
      </c>
      <c r="C2014" s="7" t="s">
        <v>12556</v>
      </c>
      <c r="D2014" s="8">
        <f t="shared" si="128"/>
        <v>0</v>
      </c>
      <c r="E2014" s="7" t="s">
        <v>12557</v>
      </c>
      <c r="F2014" s="7">
        <f t="shared" si="129"/>
        <v>0</v>
      </c>
      <c r="G2014" s="7" t="s">
        <v>12558</v>
      </c>
      <c r="H2014" s="7">
        <f t="shared" si="130"/>
        <v>0</v>
      </c>
      <c r="I2014" s="7" t="str" cm="1">
        <f t="array" ref="I2014">IFERROR(_xlfn.IFS(M2014="נח",1,M2014="נע ונח",1,M2014="שני שווא נח",2,M2014="שני שוואים בסוף מילה",2,M2014="שני שוואים ברצף",1),"0")</f>
        <v>0</v>
      </c>
      <c r="J2014" s="9">
        <f t="shared" si="131"/>
        <v>3</v>
      </c>
      <c r="K2014" t="s">
        <v>6698</v>
      </c>
      <c r="L2014" t="s">
        <v>6694</v>
      </c>
      <c r="M2014" t="s">
        <v>6700</v>
      </c>
      <c r="O2014" t="s">
        <v>6694</v>
      </c>
      <c r="S2014" t="s">
        <v>6694</v>
      </c>
      <c r="W2014" t="s">
        <v>6720</v>
      </c>
    </row>
    <row r="2015" spans="1:23" ht="15.6" x14ac:dyDescent="0.4">
      <c r="A2015" s="2" t="s">
        <v>1210</v>
      </c>
      <c r="B2015" s="5" t="s">
        <v>8471</v>
      </c>
      <c r="C2015" s="7" t="s">
        <v>12556</v>
      </c>
      <c r="D2015" s="8">
        <f t="shared" si="128"/>
        <v>0</v>
      </c>
      <c r="E2015" s="7" t="s">
        <v>12557</v>
      </c>
      <c r="F2015" s="7">
        <f t="shared" si="129"/>
        <v>0</v>
      </c>
      <c r="G2015" s="7" t="s">
        <v>12558</v>
      </c>
      <c r="H2015" s="7">
        <f t="shared" si="130"/>
        <v>0</v>
      </c>
      <c r="I2015" s="7" t="str" cm="1">
        <f t="array" ref="I2015">IFERROR(_xlfn.IFS(M2015="נח",1,M2015="נע ונח",1,M2015="שני שווא נח",2,M2015="שני שוואים בסוף מילה",2,M2015="שני שוואים ברצף",1),"0")</f>
        <v>0</v>
      </c>
      <c r="J2015" s="9">
        <f t="shared" si="131"/>
        <v>3</v>
      </c>
      <c r="K2015" t="s">
        <v>6698</v>
      </c>
      <c r="L2015" t="s">
        <v>6694</v>
      </c>
      <c r="M2015" t="s">
        <v>6700</v>
      </c>
      <c r="N2015" t="s">
        <v>6706</v>
      </c>
      <c r="O2015" t="s">
        <v>6694</v>
      </c>
      <c r="W2015" t="s">
        <v>6720</v>
      </c>
    </row>
    <row r="2016" spans="1:23" ht="15.6" x14ac:dyDescent="0.4">
      <c r="A2016" s="2" t="s">
        <v>185</v>
      </c>
      <c r="B2016" s="5" t="s">
        <v>8469</v>
      </c>
      <c r="C2016" s="7" t="s">
        <v>12556</v>
      </c>
      <c r="D2016" s="8">
        <f t="shared" si="128"/>
        <v>0</v>
      </c>
      <c r="E2016" s="7" t="s">
        <v>12557</v>
      </c>
      <c r="F2016" s="7">
        <f t="shared" si="129"/>
        <v>0</v>
      </c>
      <c r="G2016" s="7" t="s">
        <v>12558</v>
      </c>
      <c r="H2016" s="7">
        <f t="shared" si="130"/>
        <v>0</v>
      </c>
      <c r="I2016" s="7" t="str" cm="1">
        <f t="array" ref="I2016">IFERROR(_xlfn.IFS(M2016="נח",1,M2016="נע ונח",1,M2016="שני שווא נח",2,M2016="שני שוואים בסוף מילה",2,M2016="שני שוואים ברצף",1),"0")</f>
        <v>0</v>
      </c>
      <c r="J2016" s="9">
        <f t="shared" si="131"/>
        <v>2</v>
      </c>
      <c r="K2016" t="s">
        <v>6698</v>
      </c>
      <c r="L2016" t="s">
        <v>6694</v>
      </c>
      <c r="M2016" t="s">
        <v>6700</v>
      </c>
      <c r="V2016" t="s">
        <v>6694</v>
      </c>
      <c r="W2016" t="s">
        <v>6720</v>
      </c>
    </row>
    <row r="2017" spans="1:23" ht="15.6" x14ac:dyDescent="0.4">
      <c r="A2017" s="2" t="s">
        <v>1776</v>
      </c>
      <c r="B2017" s="5" t="s">
        <v>8472</v>
      </c>
      <c r="C2017" s="7" t="s">
        <v>12556</v>
      </c>
      <c r="D2017" s="8">
        <f t="shared" si="128"/>
        <v>0</v>
      </c>
      <c r="E2017" s="7" t="s">
        <v>12557</v>
      </c>
      <c r="F2017" s="7">
        <f t="shared" si="129"/>
        <v>0</v>
      </c>
      <c r="G2017" s="7" t="s">
        <v>12558</v>
      </c>
      <c r="H2017" s="7">
        <f t="shared" si="130"/>
        <v>0</v>
      </c>
      <c r="I2017" s="7" t="str" cm="1">
        <f t="array" ref="I2017">IFERROR(_xlfn.IFS(M2017="נח",1,M2017="נע ונח",1,M2017="שני שווא נח",2,M2017="שני שוואים בסוף מילה",2,M2017="שני שוואים ברצף",1),"0")</f>
        <v>0</v>
      </c>
      <c r="J2017" s="9">
        <f t="shared" si="131"/>
        <v>4</v>
      </c>
      <c r="K2017" t="s">
        <v>6698</v>
      </c>
      <c r="L2017" t="s">
        <v>6694</v>
      </c>
      <c r="M2017" t="s">
        <v>6700</v>
      </c>
      <c r="O2017" t="s">
        <v>6694</v>
      </c>
      <c r="S2017" t="s">
        <v>6694</v>
      </c>
      <c r="V2017" t="s">
        <v>6694</v>
      </c>
      <c r="W2017" t="s">
        <v>6720</v>
      </c>
    </row>
    <row r="2018" spans="1:23" ht="15.6" x14ac:dyDescent="0.4">
      <c r="A2018" s="2" t="s">
        <v>3043</v>
      </c>
      <c r="B2018" s="5" t="s">
        <v>8473</v>
      </c>
      <c r="C2018" s="7" t="s">
        <v>12556</v>
      </c>
      <c r="D2018" s="8">
        <f t="shared" si="128"/>
        <v>0</v>
      </c>
      <c r="E2018" s="7" t="s">
        <v>12557</v>
      </c>
      <c r="F2018" s="7">
        <f t="shared" si="129"/>
        <v>0</v>
      </c>
      <c r="G2018" s="7" t="s">
        <v>12558</v>
      </c>
      <c r="H2018" s="7">
        <f t="shared" si="130"/>
        <v>0</v>
      </c>
      <c r="I2018" s="7" t="str" cm="1">
        <f t="array" ref="I2018">IFERROR(_xlfn.IFS(M2018="נח",1,M2018="נע ונח",1,M2018="שני שווא נח",2,M2018="שני שוואים בסוף מילה",2,M2018="שני שוואים ברצף",1),"0")</f>
        <v>0</v>
      </c>
      <c r="J2018" s="9">
        <f t="shared" si="131"/>
        <v>3</v>
      </c>
      <c r="K2018" t="s">
        <v>6697</v>
      </c>
      <c r="L2018" t="s">
        <v>6694</v>
      </c>
      <c r="M2018" t="s">
        <v>6700</v>
      </c>
      <c r="S2018" t="s">
        <v>6694</v>
      </c>
      <c r="V2018" t="s">
        <v>6694</v>
      </c>
      <c r="W2018" t="s">
        <v>6720</v>
      </c>
    </row>
    <row r="2019" spans="1:23" ht="15.6" x14ac:dyDescent="0.4">
      <c r="A2019" s="2" t="s">
        <v>3533</v>
      </c>
      <c r="B2019" s="5" t="s">
        <v>8474</v>
      </c>
      <c r="C2019" s="7" t="s">
        <v>12556</v>
      </c>
      <c r="D2019" s="8">
        <f t="shared" si="128"/>
        <v>0</v>
      </c>
      <c r="E2019" s="7" t="s">
        <v>12557</v>
      </c>
      <c r="F2019" s="7">
        <f t="shared" si="129"/>
        <v>1</v>
      </c>
      <c r="G2019" s="7" t="s">
        <v>12558</v>
      </c>
      <c r="H2019" s="7">
        <f t="shared" si="130"/>
        <v>0</v>
      </c>
      <c r="I2019" s="7" t="str" cm="1">
        <f t="array" ref="I2019">IFERROR(_xlfn.IFS(M2019="נח",1,M2019="נע ונח",1,M2019="שני שווא נח",2,M2019="שני שוואים בסוף מילה",2,M2019="שני שוואים ברצף",1),"0")</f>
        <v>0</v>
      </c>
      <c r="J2019" s="9">
        <f t="shared" si="131"/>
        <v>3</v>
      </c>
      <c r="K2019" t="s">
        <v>6697</v>
      </c>
      <c r="L2019" t="s">
        <v>6694</v>
      </c>
      <c r="M2019" t="s">
        <v>6700</v>
      </c>
      <c r="S2019" t="s">
        <v>6694</v>
      </c>
      <c r="W2019" t="s">
        <v>6720</v>
      </c>
    </row>
    <row r="2020" spans="1:23" ht="15.6" x14ac:dyDescent="0.4">
      <c r="A2020" s="2" t="s">
        <v>344</v>
      </c>
      <c r="B2020" s="5" t="s">
        <v>8475</v>
      </c>
      <c r="C2020" s="7" t="s">
        <v>12556</v>
      </c>
      <c r="D2020" s="8">
        <f t="shared" si="128"/>
        <v>0</v>
      </c>
      <c r="E2020" s="7" t="s">
        <v>12557</v>
      </c>
      <c r="F2020" s="7">
        <f t="shared" si="129"/>
        <v>0</v>
      </c>
      <c r="G2020" s="7" t="s">
        <v>12558</v>
      </c>
      <c r="H2020" s="7">
        <f t="shared" si="130"/>
        <v>0</v>
      </c>
      <c r="I2020" s="7" t="str" cm="1">
        <f t="array" ref="I2020">IFERROR(_xlfn.IFS(M2020="נח",1,M2020="נע ונח",1,M2020="שני שווא נח",2,M2020="שני שוואים בסוף מילה",2,M2020="שני שוואים ברצף",1),"0")</f>
        <v>0</v>
      </c>
      <c r="J2020" s="9">
        <f t="shared" si="131"/>
        <v>2</v>
      </c>
      <c r="K2020" t="s">
        <v>6697</v>
      </c>
      <c r="L2020" t="s">
        <v>6694</v>
      </c>
      <c r="M2020" t="s">
        <v>6700</v>
      </c>
      <c r="S2020" t="s">
        <v>6694</v>
      </c>
      <c r="W2020" t="s">
        <v>6720</v>
      </c>
    </row>
    <row r="2021" spans="1:23" ht="15.6" x14ac:dyDescent="0.4">
      <c r="A2021" s="2" t="s">
        <v>1646</v>
      </c>
      <c r="B2021" s="5" t="s">
        <v>8476</v>
      </c>
      <c r="C2021" s="7" t="s">
        <v>12556</v>
      </c>
      <c r="D2021" s="8">
        <f t="shared" si="128"/>
        <v>0</v>
      </c>
      <c r="E2021" s="7" t="s">
        <v>12557</v>
      </c>
      <c r="F2021" s="7">
        <f t="shared" si="129"/>
        <v>0</v>
      </c>
      <c r="G2021" s="7" t="s">
        <v>12558</v>
      </c>
      <c r="H2021" s="7">
        <f t="shared" si="130"/>
        <v>0</v>
      </c>
      <c r="I2021" s="7" cm="1">
        <f t="array" ref="I2021">IFERROR(_xlfn.IFS(M2021="נח",1,M2021="נע ונח",1,M2021="שני שווא נח",2,M2021="שני שוואים בסוף מילה",2,M2021="שני שוואים ברצף",1),"0")</f>
        <v>1</v>
      </c>
      <c r="J2021" s="9">
        <f t="shared" si="131"/>
        <v>4</v>
      </c>
      <c r="K2021" t="s">
        <v>6698</v>
      </c>
      <c r="L2021" t="s">
        <v>6694</v>
      </c>
      <c r="M2021" t="s">
        <v>6701</v>
      </c>
      <c r="P2021" t="s">
        <v>6694</v>
      </c>
      <c r="S2021" t="s">
        <v>6694</v>
      </c>
      <c r="W2021" t="s">
        <v>6720</v>
      </c>
    </row>
    <row r="2022" spans="1:23" ht="15.6" x14ac:dyDescent="0.4">
      <c r="A2022" s="2" t="s">
        <v>3081</v>
      </c>
      <c r="B2022" s="5" t="s">
        <v>8477</v>
      </c>
      <c r="C2022" s="7" t="s">
        <v>12556</v>
      </c>
      <c r="D2022" s="8">
        <f t="shared" si="128"/>
        <v>0</v>
      </c>
      <c r="E2022" s="7" t="s">
        <v>12557</v>
      </c>
      <c r="F2022" s="7">
        <f t="shared" si="129"/>
        <v>0</v>
      </c>
      <c r="G2022" s="7" t="s">
        <v>12558</v>
      </c>
      <c r="H2022" s="7">
        <f t="shared" si="130"/>
        <v>0</v>
      </c>
      <c r="I2022" s="7" cm="1">
        <f t="array" ref="I2022">IFERROR(_xlfn.IFS(M2022="נח",1,M2022="נע ונח",1,M2022="שני שווא נח",2,M2022="שני שוואים בסוף מילה",2,M2022="שני שוואים ברצף",1),"0")</f>
        <v>1</v>
      </c>
      <c r="J2022" s="9">
        <f t="shared" si="131"/>
        <v>3</v>
      </c>
      <c r="K2022" t="s">
        <v>6698</v>
      </c>
      <c r="L2022" t="s">
        <v>6694</v>
      </c>
      <c r="M2022" t="s">
        <v>6701</v>
      </c>
      <c r="Q2022" t="s">
        <v>6694</v>
      </c>
      <c r="S2022" t="s">
        <v>6694</v>
      </c>
      <c r="W2022" t="s">
        <v>6720</v>
      </c>
    </row>
    <row r="2023" spans="1:23" ht="15.6" x14ac:dyDescent="0.4">
      <c r="A2023" s="2" t="s">
        <v>4631</v>
      </c>
      <c r="B2023" s="5" t="s">
        <v>8478</v>
      </c>
      <c r="C2023" s="7" t="s">
        <v>12556</v>
      </c>
      <c r="D2023" s="8">
        <f t="shared" si="128"/>
        <v>0</v>
      </c>
      <c r="E2023" s="7" t="s">
        <v>12557</v>
      </c>
      <c r="F2023" s="7">
        <f t="shared" si="129"/>
        <v>0</v>
      </c>
      <c r="G2023" s="7" t="s">
        <v>12558</v>
      </c>
      <c r="H2023" s="7">
        <f t="shared" si="130"/>
        <v>0</v>
      </c>
      <c r="I2023" s="7" cm="1">
        <f t="array" ref="I2023">IFERROR(_xlfn.IFS(M2023="נח",1,M2023="נע ונח",1,M2023="שני שווא נח",2,M2023="שני שוואים בסוף מילה",2,M2023="שני שוואים ברצף",1),"0")</f>
        <v>1</v>
      </c>
      <c r="J2023" s="9">
        <f t="shared" si="131"/>
        <v>4</v>
      </c>
      <c r="K2023" t="s">
        <v>6697</v>
      </c>
      <c r="L2023" t="s">
        <v>6694</v>
      </c>
      <c r="M2023" t="s">
        <v>6701</v>
      </c>
      <c r="O2023" t="s">
        <v>6694</v>
      </c>
      <c r="S2023" t="s">
        <v>6694</v>
      </c>
      <c r="W2023" t="s">
        <v>6720</v>
      </c>
    </row>
    <row r="2024" spans="1:23" ht="15.6" x14ac:dyDescent="0.4">
      <c r="A2024" s="2" t="s">
        <v>5824</v>
      </c>
      <c r="B2024" s="5" t="s">
        <v>8479</v>
      </c>
      <c r="C2024" s="7" t="s">
        <v>12556</v>
      </c>
      <c r="D2024" s="8">
        <f t="shared" si="128"/>
        <v>1</v>
      </c>
      <c r="E2024" s="7" t="s">
        <v>12557</v>
      </c>
      <c r="F2024" s="7">
        <f t="shared" si="129"/>
        <v>0</v>
      </c>
      <c r="G2024" s="7" t="s">
        <v>12558</v>
      </c>
      <c r="H2024" s="7">
        <f t="shared" si="130"/>
        <v>0</v>
      </c>
      <c r="I2024" s="7" cm="1">
        <f t="array" ref="I2024">IFERROR(_xlfn.IFS(M2024="נח",1,M2024="נע ונח",1,M2024="שני שווא נח",2,M2024="שני שוואים בסוף מילה",2,M2024="שני שוואים ברצף",1),"0")</f>
        <v>1</v>
      </c>
      <c r="J2024" s="9">
        <f t="shared" si="131"/>
        <v>3</v>
      </c>
      <c r="K2024" t="s">
        <v>6698</v>
      </c>
      <c r="L2024" t="s">
        <v>6694</v>
      </c>
      <c r="M2024" t="s">
        <v>6701</v>
      </c>
      <c r="S2024" t="s">
        <v>6694</v>
      </c>
      <c r="V2024" t="s">
        <v>6694</v>
      </c>
      <c r="W2024" t="s">
        <v>6720</v>
      </c>
    </row>
    <row r="2025" spans="1:23" ht="15.6" x14ac:dyDescent="0.4">
      <c r="A2025" s="2" t="s">
        <v>4635</v>
      </c>
      <c r="B2025" s="5" t="s">
        <v>8480</v>
      </c>
      <c r="C2025" s="7" t="s">
        <v>12556</v>
      </c>
      <c r="D2025" s="8">
        <f t="shared" si="128"/>
        <v>1</v>
      </c>
      <c r="E2025" s="7" t="s">
        <v>12557</v>
      </c>
      <c r="F2025" s="7">
        <f t="shared" si="129"/>
        <v>0</v>
      </c>
      <c r="G2025" s="7" t="s">
        <v>12558</v>
      </c>
      <c r="H2025" s="7">
        <f t="shared" si="130"/>
        <v>0</v>
      </c>
      <c r="I2025" s="7" cm="1">
        <f t="array" ref="I2025">IFERROR(_xlfn.IFS(M2025="נח",1,M2025="נע ונח",1,M2025="שני שווא נח",2,M2025="שני שוואים בסוף מילה",2,M2025="שני שוואים ברצף",1),"0")</f>
        <v>1</v>
      </c>
      <c r="J2025" s="9">
        <f t="shared" si="131"/>
        <v>4</v>
      </c>
      <c r="K2025" t="s">
        <v>6698</v>
      </c>
      <c r="L2025" t="s">
        <v>6694</v>
      </c>
      <c r="M2025" t="s">
        <v>6701</v>
      </c>
      <c r="S2025" t="s">
        <v>6694</v>
      </c>
      <c r="V2025" t="s">
        <v>6694</v>
      </c>
      <c r="W2025" t="s">
        <v>6720</v>
      </c>
    </row>
    <row r="2026" spans="1:23" ht="15.6" x14ac:dyDescent="0.4">
      <c r="A2026" s="2" t="s">
        <v>3389</v>
      </c>
      <c r="B2026" s="5" t="s">
        <v>8481</v>
      </c>
      <c r="C2026" s="7" t="s">
        <v>12556</v>
      </c>
      <c r="D2026" s="8">
        <f t="shared" si="128"/>
        <v>1</v>
      </c>
      <c r="E2026" s="7" t="s">
        <v>12557</v>
      </c>
      <c r="F2026" s="7">
        <f t="shared" si="129"/>
        <v>0</v>
      </c>
      <c r="G2026" s="7" t="s">
        <v>12558</v>
      </c>
      <c r="H2026" s="7">
        <f t="shared" si="130"/>
        <v>0</v>
      </c>
      <c r="I2026" s="7" t="str" cm="1">
        <f t="array" ref="I2026">IFERROR(_xlfn.IFS(M2026="נח",1,M2026="נע ונח",1,M2026="שני שווא נח",2,M2026="שני שוואים בסוף מילה",2,M2026="שני שוואים ברצף",1),"0")</f>
        <v>0</v>
      </c>
      <c r="J2026" s="9">
        <f t="shared" si="131"/>
        <v>5</v>
      </c>
      <c r="K2026" t="s">
        <v>6698</v>
      </c>
      <c r="L2026" t="s">
        <v>6694</v>
      </c>
      <c r="M2026" t="s">
        <v>6700</v>
      </c>
      <c r="P2026" t="s">
        <v>6694</v>
      </c>
      <c r="Q2026" t="s">
        <v>6694</v>
      </c>
      <c r="S2026" t="s">
        <v>6694</v>
      </c>
      <c r="W2026" t="s">
        <v>6720</v>
      </c>
    </row>
    <row r="2027" spans="1:23" ht="15.6" x14ac:dyDescent="0.4">
      <c r="A2027" s="2" t="s">
        <v>4346</v>
      </c>
      <c r="B2027" s="5" t="s">
        <v>8482</v>
      </c>
      <c r="C2027" s="7" t="s">
        <v>12556</v>
      </c>
      <c r="D2027" s="8">
        <f t="shared" si="128"/>
        <v>0</v>
      </c>
      <c r="E2027" s="7" t="s">
        <v>12557</v>
      </c>
      <c r="F2027" s="7">
        <f t="shared" si="129"/>
        <v>0</v>
      </c>
      <c r="G2027" s="7" t="s">
        <v>12558</v>
      </c>
      <c r="H2027" s="7">
        <f t="shared" si="130"/>
        <v>0</v>
      </c>
      <c r="I2027" s="7" t="str" cm="1">
        <f t="array" ref="I2027">IFERROR(_xlfn.IFS(M2027="נח",1,M2027="נע ונח",1,M2027="שני שווא נח",2,M2027="שני שוואים בסוף מילה",2,M2027="שני שוואים ברצף",1),"0")</f>
        <v>0</v>
      </c>
      <c r="J2027" s="9">
        <f t="shared" si="131"/>
        <v>2</v>
      </c>
      <c r="K2027" t="s">
        <v>6698</v>
      </c>
      <c r="L2027" t="s">
        <v>6694</v>
      </c>
      <c r="M2027" t="s">
        <v>6700</v>
      </c>
      <c r="Q2027" t="s">
        <v>6694</v>
      </c>
      <c r="W2027" t="s">
        <v>6720</v>
      </c>
    </row>
    <row r="2028" spans="1:23" ht="15.6" x14ac:dyDescent="0.4">
      <c r="A2028" s="2" t="s">
        <v>4547</v>
      </c>
      <c r="B2028" s="5" t="s">
        <v>8483</v>
      </c>
      <c r="C2028" s="7" t="s">
        <v>12556</v>
      </c>
      <c r="D2028" s="8">
        <f t="shared" si="128"/>
        <v>0</v>
      </c>
      <c r="E2028" s="7" t="s">
        <v>12557</v>
      </c>
      <c r="F2028" s="7">
        <f t="shared" si="129"/>
        <v>0</v>
      </c>
      <c r="G2028" s="7" t="s">
        <v>12558</v>
      </c>
      <c r="H2028" s="7">
        <f t="shared" si="130"/>
        <v>0</v>
      </c>
      <c r="I2028" s="7" t="str" cm="1">
        <f t="array" ref="I2028">IFERROR(_xlfn.IFS(M2028="נח",1,M2028="נע ונח",1,M2028="שני שווא נח",2,M2028="שני שוואים בסוף מילה",2,M2028="שני שוואים ברצף",1),"0")</f>
        <v>0</v>
      </c>
      <c r="J2028" s="9">
        <f t="shared" si="131"/>
        <v>3</v>
      </c>
      <c r="K2028" t="s">
        <v>6698</v>
      </c>
      <c r="L2028" t="s">
        <v>6694</v>
      </c>
      <c r="M2028" t="s">
        <v>6700</v>
      </c>
      <c r="Q2028" t="s">
        <v>6694</v>
      </c>
      <c r="S2028" t="s">
        <v>6694</v>
      </c>
      <c r="W2028" t="s">
        <v>6720</v>
      </c>
    </row>
    <row r="2029" spans="1:23" ht="15.6" x14ac:dyDescent="0.4">
      <c r="A2029" s="2" t="s">
        <v>693</v>
      </c>
      <c r="B2029" s="5" t="s">
        <v>8484</v>
      </c>
      <c r="C2029" s="7" t="s">
        <v>12556</v>
      </c>
      <c r="D2029" s="8">
        <f t="shared" si="128"/>
        <v>0</v>
      </c>
      <c r="E2029" s="7" t="s">
        <v>12557</v>
      </c>
      <c r="F2029" s="7">
        <f t="shared" si="129"/>
        <v>0</v>
      </c>
      <c r="G2029" s="7" t="s">
        <v>12558</v>
      </c>
      <c r="H2029" s="7">
        <f t="shared" si="130"/>
        <v>0</v>
      </c>
      <c r="I2029" s="7" t="str" cm="1">
        <f t="array" ref="I2029">IFERROR(_xlfn.IFS(M2029="נח",1,M2029="נע ונח",1,M2029="שני שווא נח",2,M2029="שני שוואים בסוף מילה",2,M2029="שני שוואים ברצף",1),"0")</f>
        <v>0</v>
      </c>
      <c r="J2029" s="9">
        <f t="shared" si="131"/>
        <v>3</v>
      </c>
      <c r="K2029" t="s">
        <v>6698</v>
      </c>
      <c r="L2029" t="s">
        <v>6694</v>
      </c>
      <c r="M2029" t="s">
        <v>6700</v>
      </c>
      <c r="R2029" t="s">
        <v>6694</v>
      </c>
      <c r="W2029" t="s">
        <v>6720</v>
      </c>
    </row>
    <row r="2030" spans="1:23" ht="15.6" x14ac:dyDescent="0.4">
      <c r="A2030" s="2" t="s">
        <v>5266</v>
      </c>
      <c r="B2030" s="5" t="s">
        <v>8485</v>
      </c>
      <c r="C2030" s="7" t="s">
        <v>12556</v>
      </c>
      <c r="D2030" s="8">
        <f t="shared" si="128"/>
        <v>0</v>
      </c>
      <c r="E2030" s="7" t="s">
        <v>12557</v>
      </c>
      <c r="F2030" s="7">
        <f t="shared" si="129"/>
        <v>1</v>
      </c>
      <c r="G2030" s="7" t="s">
        <v>12558</v>
      </c>
      <c r="H2030" s="7">
        <f t="shared" si="130"/>
        <v>0</v>
      </c>
      <c r="I2030" s="7" t="str" cm="1">
        <f t="array" ref="I2030">IFERROR(_xlfn.IFS(M2030="נח",1,M2030="נע ונח",1,M2030="שני שווא נח",2,M2030="שני שוואים בסוף מילה",2,M2030="שני שוואים ברצף",1),"0")</f>
        <v>0</v>
      </c>
      <c r="J2030" s="9">
        <f t="shared" si="131"/>
        <v>4</v>
      </c>
      <c r="K2030" t="s">
        <v>6698</v>
      </c>
      <c r="L2030" t="s">
        <v>6694</v>
      </c>
      <c r="M2030" t="s">
        <v>6700</v>
      </c>
      <c r="P2030" t="s">
        <v>6694</v>
      </c>
      <c r="R2030" t="s">
        <v>6694</v>
      </c>
      <c r="V2030" t="s">
        <v>6694</v>
      </c>
      <c r="W2030" t="s">
        <v>6720</v>
      </c>
    </row>
    <row r="2031" spans="1:23" ht="15.6" x14ac:dyDescent="0.4">
      <c r="A2031" s="2" t="s">
        <v>6386</v>
      </c>
      <c r="B2031" s="5" t="s">
        <v>8486</v>
      </c>
      <c r="C2031" s="7" t="s">
        <v>12556</v>
      </c>
      <c r="D2031" s="8">
        <f t="shared" si="128"/>
        <v>0</v>
      </c>
      <c r="E2031" s="7" t="s">
        <v>12557</v>
      </c>
      <c r="F2031" s="7">
        <f t="shared" si="129"/>
        <v>1</v>
      </c>
      <c r="G2031" s="7" t="s">
        <v>12558</v>
      </c>
      <c r="H2031" s="7">
        <f t="shared" si="130"/>
        <v>1</v>
      </c>
      <c r="I2031" s="7" t="str" cm="1">
        <f t="array" ref="I2031">IFERROR(_xlfn.IFS(M2031="נח",1,M2031="נע ונח",1,M2031="שני שווא נח",2,M2031="שני שוואים בסוף מילה",2,M2031="שני שוואים ברצף",1),"0")</f>
        <v>0</v>
      </c>
      <c r="J2031" s="9">
        <f t="shared" si="131"/>
        <v>5</v>
      </c>
      <c r="K2031" t="s">
        <v>6697</v>
      </c>
      <c r="L2031" t="s">
        <v>6694</v>
      </c>
      <c r="M2031" t="s">
        <v>6700</v>
      </c>
      <c r="P2031" t="s">
        <v>6694</v>
      </c>
      <c r="Q2031" t="s">
        <v>6694</v>
      </c>
      <c r="U2031" t="s">
        <v>6694</v>
      </c>
      <c r="W2031" t="s">
        <v>6720</v>
      </c>
    </row>
    <row r="2032" spans="1:23" ht="15.6" x14ac:dyDescent="0.4">
      <c r="A2032" s="2" t="s">
        <v>4</v>
      </c>
      <c r="B2032" s="5" t="s">
        <v>8487</v>
      </c>
      <c r="C2032" s="7" t="s">
        <v>12556</v>
      </c>
      <c r="D2032" s="8">
        <f t="shared" si="128"/>
        <v>0</v>
      </c>
      <c r="E2032" s="7" t="s">
        <v>12557</v>
      </c>
      <c r="F2032" s="7">
        <f t="shared" si="129"/>
        <v>0</v>
      </c>
      <c r="G2032" s="7" t="s">
        <v>12558</v>
      </c>
      <c r="H2032" s="7">
        <f t="shared" si="130"/>
        <v>0</v>
      </c>
      <c r="I2032" s="7" cm="1">
        <f t="array" ref="I2032">IFERROR(_xlfn.IFS(M2032="נח",1,M2032="נע ונח",1,M2032="שני שווא נח",2,M2032="שני שוואים בסוף מילה",2,M2032="שני שוואים ברצף",1),"0")</f>
        <v>1</v>
      </c>
      <c r="J2032" s="9">
        <f t="shared" si="131"/>
        <v>3</v>
      </c>
      <c r="K2032" t="s">
        <v>6697</v>
      </c>
      <c r="L2032" t="s">
        <v>6694</v>
      </c>
      <c r="M2032" t="s">
        <v>6701</v>
      </c>
      <c r="O2032" t="s">
        <v>6694</v>
      </c>
      <c r="P2032" t="s">
        <v>6694</v>
      </c>
      <c r="W2032" t="s">
        <v>6720</v>
      </c>
    </row>
    <row r="2033" spans="1:23" ht="15.6" x14ac:dyDescent="0.4">
      <c r="A2033" s="2" t="s">
        <v>4628</v>
      </c>
      <c r="B2033" s="5" t="s">
        <v>8488</v>
      </c>
      <c r="C2033" s="7" t="s">
        <v>12556</v>
      </c>
      <c r="D2033" s="8">
        <f t="shared" si="128"/>
        <v>0</v>
      </c>
      <c r="E2033" s="7" t="s">
        <v>12557</v>
      </c>
      <c r="F2033" s="7">
        <f t="shared" si="129"/>
        <v>0</v>
      </c>
      <c r="G2033" s="7" t="s">
        <v>12558</v>
      </c>
      <c r="H2033" s="7">
        <f t="shared" si="130"/>
        <v>0</v>
      </c>
      <c r="I2033" s="7" cm="1">
        <f t="array" ref="I2033">IFERROR(_xlfn.IFS(M2033="נח",1,M2033="נע ונח",1,M2033="שני שווא נח",2,M2033="שני שוואים בסוף מילה",2,M2033="שני שוואים ברצף",1),"0")</f>
        <v>1</v>
      </c>
      <c r="J2033" s="9">
        <f t="shared" si="131"/>
        <v>5</v>
      </c>
      <c r="K2033" t="s">
        <v>6698</v>
      </c>
      <c r="L2033" t="s">
        <v>6694</v>
      </c>
      <c r="M2033" t="s">
        <v>6701</v>
      </c>
      <c r="P2033" t="s">
        <v>6694</v>
      </c>
      <c r="S2033" t="s">
        <v>6694</v>
      </c>
      <c r="W2033" t="s">
        <v>6720</v>
      </c>
    </row>
    <row r="2034" spans="1:23" ht="15.6" x14ac:dyDescent="0.4">
      <c r="A2034" s="2" t="s">
        <v>883</v>
      </c>
      <c r="B2034" s="5" t="s">
        <v>8489</v>
      </c>
      <c r="C2034" s="7" t="s">
        <v>12556</v>
      </c>
      <c r="D2034" s="8">
        <f t="shared" si="128"/>
        <v>0</v>
      </c>
      <c r="E2034" s="7" t="s">
        <v>12557</v>
      </c>
      <c r="F2034" s="7">
        <f t="shared" si="129"/>
        <v>1</v>
      </c>
      <c r="G2034" s="7" t="s">
        <v>12558</v>
      </c>
      <c r="H2034" s="7">
        <f t="shared" si="130"/>
        <v>0</v>
      </c>
      <c r="I2034" s="7" cm="1">
        <f t="array" ref="I2034">IFERROR(_xlfn.IFS(M2034="נח",1,M2034="נע ונח",1,M2034="שני שווא נח",2,M2034="שני שוואים בסוף מילה",2,M2034="שני שוואים ברצף",1),"0")</f>
        <v>1</v>
      </c>
      <c r="J2034" s="9">
        <f t="shared" si="131"/>
        <v>4</v>
      </c>
      <c r="K2034" t="s">
        <v>6697</v>
      </c>
      <c r="L2034" t="s">
        <v>6694</v>
      </c>
      <c r="M2034" t="s">
        <v>6701</v>
      </c>
      <c r="P2034" t="s">
        <v>6694</v>
      </c>
      <c r="Q2034" t="s">
        <v>6694</v>
      </c>
      <c r="S2034" t="s">
        <v>6694</v>
      </c>
      <c r="W2034" t="s">
        <v>6720</v>
      </c>
    </row>
    <row r="2035" spans="1:23" ht="15.6" x14ac:dyDescent="0.4">
      <c r="A2035" s="2" t="s">
        <v>1734</v>
      </c>
      <c r="B2035" s="5" t="s">
        <v>8490</v>
      </c>
      <c r="C2035" s="7" t="s">
        <v>12556</v>
      </c>
      <c r="D2035" s="8">
        <f t="shared" si="128"/>
        <v>0</v>
      </c>
      <c r="E2035" s="7" t="s">
        <v>12557</v>
      </c>
      <c r="F2035" s="7">
        <f t="shared" si="129"/>
        <v>1</v>
      </c>
      <c r="G2035" s="7" t="s">
        <v>12558</v>
      </c>
      <c r="H2035" s="7">
        <f t="shared" si="130"/>
        <v>0</v>
      </c>
      <c r="I2035" s="7" t="str" cm="1">
        <f t="array" ref="I2035">IFERROR(_xlfn.IFS(M2035="נח",1,M2035="נע ונח",1,M2035="שני שווא נח",2,M2035="שני שוואים בסוף מילה",2,M2035="שני שוואים ברצף",1),"0")</f>
        <v>0</v>
      </c>
      <c r="J2035" s="9">
        <f t="shared" si="131"/>
        <v>4</v>
      </c>
      <c r="K2035" t="s">
        <v>6698</v>
      </c>
      <c r="L2035" t="s">
        <v>6694</v>
      </c>
      <c r="M2035" t="s">
        <v>6700</v>
      </c>
      <c r="O2035" t="s">
        <v>6694</v>
      </c>
      <c r="P2035" t="s">
        <v>6694</v>
      </c>
      <c r="R2035" t="s">
        <v>6694</v>
      </c>
      <c r="W2035" t="s">
        <v>6720</v>
      </c>
    </row>
    <row r="2036" spans="1:23" ht="15.6" x14ac:dyDescent="0.4">
      <c r="A2036" s="2" t="s">
        <v>730</v>
      </c>
      <c r="B2036" s="5" t="s">
        <v>8491</v>
      </c>
      <c r="C2036" s="7" t="s">
        <v>12556</v>
      </c>
      <c r="D2036" s="8">
        <f t="shared" si="128"/>
        <v>0</v>
      </c>
      <c r="E2036" s="7" t="s">
        <v>12557</v>
      </c>
      <c r="F2036" s="7">
        <f t="shared" si="129"/>
        <v>0</v>
      </c>
      <c r="G2036" s="7" t="s">
        <v>12558</v>
      </c>
      <c r="H2036" s="7">
        <f t="shared" si="130"/>
        <v>0</v>
      </c>
      <c r="I2036" s="7" t="str" cm="1">
        <f t="array" ref="I2036">IFERROR(_xlfn.IFS(M2036="נח",1,M2036="נע ונח",1,M2036="שני שווא נח",2,M2036="שני שוואים בסוף מילה",2,M2036="שני שוואים ברצף",1),"0")</f>
        <v>0</v>
      </c>
      <c r="J2036" s="9">
        <f t="shared" si="131"/>
        <v>6</v>
      </c>
      <c r="K2036" t="s">
        <v>6697</v>
      </c>
      <c r="L2036" t="s">
        <v>6694</v>
      </c>
      <c r="M2036" t="s">
        <v>6700</v>
      </c>
      <c r="O2036" t="s">
        <v>6694</v>
      </c>
      <c r="P2036" t="s">
        <v>6694</v>
      </c>
      <c r="V2036" t="s">
        <v>6694</v>
      </c>
      <c r="W2036" t="s">
        <v>6720</v>
      </c>
    </row>
    <row r="2037" spans="1:23" ht="15.6" x14ac:dyDescent="0.4">
      <c r="A2037" s="2" t="s">
        <v>5887</v>
      </c>
      <c r="B2037" s="5" t="s">
        <v>8492</v>
      </c>
      <c r="C2037" s="7" t="s">
        <v>12556</v>
      </c>
      <c r="D2037" s="8">
        <f t="shared" si="128"/>
        <v>0</v>
      </c>
      <c r="E2037" s="7" t="s">
        <v>12557</v>
      </c>
      <c r="F2037" s="7">
        <f t="shared" si="129"/>
        <v>0</v>
      </c>
      <c r="G2037" s="7" t="s">
        <v>12558</v>
      </c>
      <c r="H2037" s="7">
        <f t="shared" si="130"/>
        <v>0</v>
      </c>
      <c r="I2037" s="7" t="str" cm="1">
        <f t="array" ref="I2037">IFERROR(_xlfn.IFS(M2037="נח",1,M2037="נע ונח",1,M2037="שני שווא נח",2,M2037="שני שוואים בסוף מילה",2,M2037="שני שוואים ברצף",1),"0")</f>
        <v>0</v>
      </c>
      <c r="J2037" s="9">
        <f t="shared" si="131"/>
        <v>4</v>
      </c>
      <c r="K2037" t="s">
        <v>6698</v>
      </c>
      <c r="L2037" t="s">
        <v>6694</v>
      </c>
      <c r="M2037" t="s">
        <v>6700</v>
      </c>
      <c r="P2037" t="s">
        <v>6694</v>
      </c>
      <c r="W2037" t="s">
        <v>6720</v>
      </c>
    </row>
    <row r="2038" spans="1:23" ht="15.6" x14ac:dyDescent="0.4">
      <c r="A2038" s="2" t="s">
        <v>4665</v>
      </c>
      <c r="B2038" s="5" t="s">
        <v>8493</v>
      </c>
      <c r="C2038" s="7" t="s">
        <v>12556</v>
      </c>
      <c r="D2038" s="8">
        <f t="shared" si="128"/>
        <v>1</v>
      </c>
      <c r="E2038" s="7" t="s">
        <v>12557</v>
      </c>
      <c r="F2038" s="7">
        <f t="shared" si="129"/>
        <v>0</v>
      </c>
      <c r="G2038" s="7" t="s">
        <v>12558</v>
      </c>
      <c r="H2038" s="7">
        <f t="shared" si="130"/>
        <v>0</v>
      </c>
      <c r="I2038" s="7" cm="1">
        <f t="array" ref="I2038">IFERROR(_xlfn.IFS(M2038="נח",1,M2038="נע ונח",1,M2038="שני שווא נח",2,M2038="שני שוואים בסוף מילה",2,M2038="שני שוואים ברצף",1),"0")</f>
        <v>1</v>
      </c>
      <c r="J2038" s="9">
        <f t="shared" si="131"/>
        <v>4</v>
      </c>
      <c r="K2038" t="s">
        <v>6698</v>
      </c>
      <c r="L2038" t="s">
        <v>6694</v>
      </c>
      <c r="M2038" t="s">
        <v>6701</v>
      </c>
      <c r="N2038" t="s">
        <v>6706</v>
      </c>
      <c r="O2038" t="s">
        <v>6694</v>
      </c>
      <c r="S2038" t="s">
        <v>6694</v>
      </c>
      <c r="W2038" t="s">
        <v>6720</v>
      </c>
    </row>
    <row r="2039" spans="1:23" ht="15.6" x14ac:dyDescent="0.4">
      <c r="A2039" s="2" t="s">
        <v>5321</v>
      </c>
      <c r="B2039" s="5" t="s">
        <v>8494</v>
      </c>
      <c r="C2039" s="7" t="s">
        <v>12556</v>
      </c>
      <c r="D2039" s="8">
        <f t="shared" si="128"/>
        <v>1</v>
      </c>
      <c r="E2039" s="7" t="s">
        <v>12557</v>
      </c>
      <c r="F2039" s="7">
        <f t="shared" si="129"/>
        <v>0</v>
      </c>
      <c r="G2039" s="7" t="s">
        <v>12558</v>
      </c>
      <c r="H2039" s="7">
        <f t="shared" si="130"/>
        <v>0</v>
      </c>
      <c r="I2039" s="7" t="str" cm="1">
        <f t="array" ref="I2039">IFERROR(_xlfn.IFS(M2039="נח",1,M2039="נע ונח",1,M2039="שני שווא נח",2,M2039="שני שוואים בסוף מילה",2,M2039="שני שוואים ברצף",1),"0")</f>
        <v>0</v>
      </c>
      <c r="J2039" s="9">
        <f t="shared" si="131"/>
        <v>4</v>
      </c>
      <c r="K2039" t="s">
        <v>6697</v>
      </c>
      <c r="L2039" t="s">
        <v>6694</v>
      </c>
      <c r="M2039" t="s">
        <v>6700</v>
      </c>
      <c r="O2039" t="s">
        <v>6694</v>
      </c>
      <c r="W2039" t="s">
        <v>6720</v>
      </c>
    </row>
    <row r="2040" spans="1:23" ht="15.6" x14ac:dyDescent="0.4">
      <c r="A2040" s="2" t="s">
        <v>2</v>
      </c>
      <c r="B2040" s="5" t="s">
        <v>8495</v>
      </c>
      <c r="C2040" s="7" t="s">
        <v>12556</v>
      </c>
      <c r="D2040" s="8">
        <f t="shared" si="128"/>
        <v>0</v>
      </c>
      <c r="E2040" s="7" t="s">
        <v>12557</v>
      </c>
      <c r="F2040" s="7">
        <f t="shared" si="129"/>
        <v>0</v>
      </c>
      <c r="G2040" s="7" t="s">
        <v>12558</v>
      </c>
      <c r="H2040" s="7">
        <f t="shared" si="130"/>
        <v>0</v>
      </c>
      <c r="I2040" s="7" t="str" cm="1">
        <f t="array" ref="I2040">IFERROR(_xlfn.IFS(M2040="נח",1,M2040="נע ונח",1,M2040="שני שווא נח",2,M2040="שני שוואים בסוף מילה",2,M2040="שני שוואים ברצף",1),"0")</f>
        <v>0</v>
      </c>
      <c r="J2040" s="9">
        <f t="shared" si="131"/>
        <v>2</v>
      </c>
      <c r="K2040" t="s">
        <v>6697</v>
      </c>
      <c r="L2040" t="s">
        <v>6694</v>
      </c>
      <c r="M2040" t="s">
        <v>6700</v>
      </c>
      <c r="V2040" t="s">
        <v>6694</v>
      </c>
      <c r="W2040" t="s">
        <v>6720</v>
      </c>
    </row>
    <row r="2041" spans="1:23" ht="15.6" x14ac:dyDescent="0.4">
      <c r="A2041" s="2" t="s">
        <v>1890</v>
      </c>
      <c r="B2041" s="5" t="s">
        <v>8496</v>
      </c>
      <c r="C2041" s="7" t="s">
        <v>12556</v>
      </c>
      <c r="D2041" s="8">
        <f t="shared" si="128"/>
        <v>0</v>
      </c>
      <c r="E2041" s="7" t="s">
        <v>12557</v>
      </c>
      <c r="F2041" s="7">
        <f t="shared" si="129"/>
        <v>0</v>
      </c>
      <c r="G2041" s="7" t="s">
        <v>12558</v>
      </c>
      <c r="H2041" s="7">
        <f t="shared" si="130"/>
        <v>0</v>
      </c>
      <c r="I2041" s="7" t="str" cm="1">
        <f t="array" ref="I2041">IFERROR(_xlfn.IFS(M2041="נח",1,M2041="נע ונח",1,M2041="שני שווא נח",2,M2041="שני שוואים בסוף מילה",2,M2041="שני שוואים ברצף",1),"0")</f>
        <v>0</v>
      </c>
      <c r="J2041" s="9">
        <f t="shared" si="131"/>
        <v>2</v>
      </c>
      <c r="K2041" t="s">
        <v>6697</v>
      </c>
      <c r="L2041" t="s">
        <v>6694</v>
      </c>
      <c r="M2041" t="s">
        <v>6700</v>
      </c>
      <c r="V2041" t="s">
        <v>6694</v>
      </c>
      <c r="W2041" t="s">
        <v>6720</v>
      </c>
    </row>
    <row r="2042" spans="1:23" ht="15.6" x14ac:dyDescent="0.4">
      <c r="A2042" s="2" t="s">
        <v>6109</v>
      </c>
      <c r="B2042" s="5" t="s">
        <v>8497</v>
      </c>
      <c r="C2042" s="7" t="s">
        <v>12556</v>
      </c>
      <c r="D2042" s="8">
        <f t="shared" si="128"/>
        <v>0</v>
      </c>
      <c r="E2042" s="7" t="s">
        <v>12557</v>
      </c>
      <c r="F2042" s="7">
        <f t="shared" si="129"/>
        <v>1</v>
      </c>
      <c r="G2042" s="7" t="s">
        <v>12558</v>
      </c>
      <c r="H2042" s="7">
        <f t="shared" si="130"/>
        <v>1</v>
      </c>
      <c r="I2042" s="7" cm="1">
        <f t="array" ref="I2042">IFERROR(_xlfn.IFS(M2042="נח",1,M2042="נע ונח",1,M2042="שני שווא נח",2,M2042="שני שוואים בסוף מילה",2,M2042="שני שוואים ברצף",1),"0")</f>
        <v>1</v>
      </c>
      <c r="J2042" s="9">
        <f t="shared" si="131"/>
        <v>4</v>
      </c>
      <c r="K2042" t="s">
        <v>6697</v>
      </c>
      <c r="L2042" t="s">
        <v>6694</v>
      </c>
      <c r="M2042" t="s">
        <v>6701</v>
      </c>
      <c r="O2042" t="s">
        <v>6694</v>
      </c>
      <c r="S2042" t="s">
        <v>6694</v>
      </c>
      <c r="U2042" t="s">
        <v>6694</v>
      </c>
      <c r="W2042" t="s">
        <v>6720</v>
      </c>
    </row>
    <row r="2043" spans="1:23" ht="15.6" x14ac:dyDescent="0.4">
      <c r="A2043" s="2" t="s">
        <v>5286</v>
      </c>
      <c r="B2043" s="5" t="s">
        <v>8498</v>
      </c>
      <c r="C2043" s="7" t="s">
        <v>12556</v>
      </c>
      <c r="D2043" s="8">
        <f t="shared" si="128"/>
        <v>0</v>
      </c>
      <c r="E2043" s="7" t="s">
        <v>12557</v>
      </c>
      <c r="F2043" s="7">
        <f t="shared" si="129"/>
        <v>1</v>
      </c>
      <c r="G2043" s="7" t="s">
        <v>12558</v>
      </c>
      <c r="H2043" s="7">
        <f t="shared" si="130"/>
        <v>0</v>
      </c>
      <c r="I2043" s="7" cm="1">
        <f t="array" ref="I2043">IFERROR(_xlfn.IFS(M2043="נח",1,M2043="נע ונח",1,M2043="שני שווא נח",2,M2043="שני שוואים בסוף מילה",2,M2043="שני שוואים ברצף",1),"0")</f>
        <v>1</v>
      </c>
      <c r="J2043" s="9">
        <f t="shared" si="131"/>
        <v>4</v>
      </c>
      <c r="K2043" t="s">
        <v>6697</v>
      </c>
      <c r="L2043" t="s">
        <v>6694</v>
      </c>
      <c r="M2043" t="s">
        <v>6701</v>
      </c>
      <c r="Q2043" t="s">
        <v>6694</v>
      </c>
      <c r="S2043" t="s">
        <v>6694</v>
      </c>
      <c r="W2043" t="s">
        <v>6720</v>
      </c>
    </row>
    <row r="2044" spans="1:23" ht="15.6" x14ac:dyDescent="0.4">
      <c r="A2044" s="2" t="s">
        <v>3927</v>
      </c>
      <c r="B2044" s="5" t="s">
        <v>8499</v>
      </c>
      <c r="C2044" s="7" t="s">
        <v>12556</v>
      </c>
      <c r="D2044" s="8">
        <f t="shared" si="128"/>
        <v>0</v>
      </c>
      <c r="E2044" s="7" t="s">
        <v>12557</v>
      </c>
      <c r="F2044" s="7">
        <f t="shared" si="129"/>
        <v>1</v>
      </c>
      <c r="G2044" s="7" t="s">
        <v>12558</v>
      </c>
      <c r="H2044" s="7">
        <f t="shared" si="130"/>
        <v>0</v>
      </c>
      <c r="I2044" s="7" cm="1">
        <f t="array" ref="I2044">IFERROR(_xlfn.IFS(M2044="נח",1,M2044="נע ונח",1,M2044="שני שווא נח",2,M2044="שני שוואים בסוף מילה",2,M2044="שני שוואים ברצף",1),"0")</f>
        <v>1</v>
      </c>
      <c r="J2044" s="9">
        <f t="shared" si="131"/>
        <v>3</v>
      </c>
      <c r="K2044" t="s">
        <v>6697</v>
      </c>
      <c r="L2044" t="s">
        <v>6694</v>
      </c>
      <c r="M2044" t="s">
        <v>6701</v>
      </c>
      <c r="R2044" t="s">
        <v>6694</v>
      </c>
      <c r="S2044" t="s">
        <v>6694</v>
      </c>
      <c r="W2044" t="s">
        <v>6720</v>
      </c>
    </row>
    <row r="2045" spans="1:23" ht="15.6" x14ac:dyDescent="0.4">
      <c r="A2045" s="2" t="s">
        <v>6518</v>
      </c>
      <c r="B2045" s="5" t="s">
        <v>8500</v>
      </c>
      <c r="C2045" s="7" t="s">
        <v>12556</v>
      </c>
      <c r="D2045" s="8">
        <f t="shared" si="128"/>
        <v>1</v>
      </c>
      <c r="E2045" s="7" t="s">
        <v>12557</v>
      </c>
      <c r="F2045" s="7">
        <f t="shared" si="129"/>
        <v>1</v>
      </c>
      <c r="G2045" s="7" t="s">
        <v>12558</v>
      </c>
      <c r="H2045" s="7">
        <f t="shared" si="130"/>
        <v>1</v>
      </c>
      <c r="I2045" s="7" t="str" cm="1">
        <f t="array" ref="I2045">IFERROR(_xlfn.IFS(M2045="נח",1,M2045="נע ונח",1,M2045="שני שווא נח",2,M2045="שני שוואים בסוף מילה",2,M2045="שני שוואים ברצף",1),"0")</f>
        <v>0</v>
      </c>
      <c r="J2045" s="9">
        <f t="shared" si="131"/>
        <v>6</v>
      </c>
      <c r="K2045" t="s">
        <v>6697</v>
      </c>
      <c r="L2045" t="s">
        <v>6694</v>
      </c>
      <c r="M2045" t="s">
        <v>6700</v>
      </c>
      <c r="O2045" t="s">
        <v>6694</v>
      </c>
      <c r="Q2045" t="s">
        <v>6694</v>
      </c>
      <c r="S2045" t="s">
        <v>6694</v>
      </c>
      <c r="U2045" t="s">
        <v>6694</v>
      </c>
      <c r="W2045" t="s">
        <v>6720</v>
      </c>
    </row>
    <row r="2046" spans="1:23" ht="15.6" x14ac:dyDescent="0.4">
      <c r="A2046" s="2" t="s">
        <v>2050</v>
      </c>
      <c r="B2046" s="5" t="s">
        <v>8501</v>
      </c>
      <c r="C2046" s="7" t="s">
        <v>12556</v>
      </c>
      <c r="D2046" s="8">
        <f t="shared" si="128"/>
        <v>0</v>
      </c>
      <c r="E2046" s="7" t="s">
        <v>12557</v>
      </c>
      <c r="F2046" s="7">
        <f t="shared" si="129"/>
        <v>0</v>
      </c>
      <c r="G2046" s="7" t="s">
        <v>12558</v>
      </c>
      <c r="H2046" s="7">
        <f t="shared" si="130"/>
        <v>0</v>
      </c>
      <c r="I2046" s="7" t="str" cm="1">
        <f t="array" ref="I2046">IFERROR(_xlfn.IFS(M2046="נח",1,M2046="נע ונח",1,M2046="שני שווא נח",2,M2046="שני שוואים בסוף מילה",2,M2046="שני שוואים ברצף",1),"0")</f>
        <v>0</v>
      </c>
      <c r="J2046" s="9">
        <f t="shared" si="131"/>
        <v>4</v>
      </c>
      <c r="K2046" t="s">
        <v>6697</v>
      </c>
      <c r="L2046" t="s">
        <v>6694</v>
      </c>
      <c r="M2046" t="s">
        <v>6700</v>
      </c>
      <c r="O2046" t="s">
        <v>6694</v>
      </c>
      <c r="P2046" t="s">
        <v>6694</v>
      </c>
      <c r="S2046" t="s">
        <v>6694</v>
      </c>
      <c r="W2046" t="s">
        <v>6720</v>
      </c>
    </row>
    <row r="2047" spans="1:23" ht="15.6" x14ac:dyDescent="0.4">
      <c r="A2047" s="2" t="s">
        <v>4986</v>
      </c>
      <c r="B2047" s="5" t="s">
        <v>8502</v>
      </c>
      <c r="C2047" s="7" t="s">
        <v>12556</v>
      </c>
      <c r="D2047" s="8">
        <f t="shared" si="128"/>
        <v>0</v>
      </c>
      <c r="E2047" s="7" t="s">
        <v>12557</v>
      </c>
      <c r="F2047" s="7">
        <f t="shared" si="129"/>
        <v>0</v>
      </c>
      <c r="G2047" s="7" t="s">
        <v>12558</v>
      </c>
      <c r="H2047" s="7">
        <f t="shared" si="130"/>
        <v>0</v>
      </c>
      <c r="I2047" s="7" cm="1">
        <f t="array" ref="I2047">IFERROR(_xlfn.IFS(M2047="נח",1,M2047="נע ונח",1,M2047="שני שווא נח",2,M2047="שני שוואים בסוף מילה",2,M2047="שני שוואים ברצף",1),"0")</f>
        <v>1</v>
      </c>
      <c r="J2047" s="9">
        <f t="shared" si="131"/>
        <v>3</v>
      </c>
      <c r="K2047" t="s">
        <v>6697</v>
      </c>
      <c r="L2047" t="s">
        <v>6694</v>
      </c>
      <c r="M2047" t="s">
        <v>6701</v>
      </c>
      <c r="Q2047" t="s">
        <v>6694</v>
      </c>
      <c r="S2047" t="s">
        <v>6694</v>
      </c>
      <c r="W2047" t="s">
        <v>6720</v>
      </c>
    </row>
    <row r="2048" spans="1:23" ht="15.6" x14ac:dyDescent="0.4">
      <c r="A2048" s="2" t="s">
        <v>1469</v>
      </c>
      <c r="B2048" s="5" t="s">
        <v>8503</v>
      </c>
      <c r="C2048" s="7" t="s">
        <v>12556</v>
      </c>
      <c r="D2048" s="8">
        <f t="shared" si="128"/>
        <v>0</v>
      </c>
      <c r="E2048" s="7" t="s">
        <v>12557</v>
      </c>
      <c r="F2048" s="7">
        <f t="shared" si="129"/>
        <v>1</v>
      </c>
      <c r="G2048" s="7" t="s">
        <v>12558</v>
      </c>
      <c r="H2048" s="7">
        <f t="shared" si="130"/>
        <v>0</v>
      </c>
      <c r="I2048" s="7" cm="1">
        <f t="array" ref="I2048">IFERROR(_xlfn.IFS(M2048="נח",1,M2048="נע ונח",1,M2048="שני שווא נח",2,M2048="שני שוואים בסוף מילה",2,M2048="שני שוואים ברצף",1),"0")</f>
        <v>1</v>
      </c>
      <c r="J2048" s="9">
        <f t="shared" si="131"/>
        <v>5</v>
      </c>
      <c r="K2048" t="s">
        <v>6698</v>
      </c>
      <c r="L2048" t="s">
        <v>6694</v>
      </c>
      <c r="M2048" t="s">
        <v>6701</v>
      </c>
      <c r="Q2048" t="s">
        <v>6694</v>
      </c>
      <c r="R2048" t="s">
        <v>6694</v>
      </c>
      <c r="S2048" t="s">
        <v>6694</v>
      </c>
      <c r="W2048" t="s">
        <v>6720</v>
      </c>
    </row>
    <row r="2049" spans="1:23" ht="15.6" x14ac:dyDescent="0.4">
      <c r="A2049" s="2" t="s">
        <v>2976</v>
      </c>
      <c r="B2049" s="5" t="s">
        <v>8504</v>
      </c>
      <c r="C2049" s="7" t="s">
        <v>12556</v>
      </c>
      <c r="D2049" s="8">
        <f t="shared" si="128"/>
        <v>0</v>
      </c>
      <c r="E2049" s="7" t="s">
        <v>12557</v>
      </c>
      <c r="F2049" s="7">
        <f t="shared" si="129"/>
        <v>0</v>
      </c>
      <c r="G2049" s="7" t="s">
        <v>12558</v>
      </c>
      <c r="H2049" s="7">
        <f t="shared" si="130"/>
        <v>0</v>
      </c>
      <c r="I2049" s="7" cm="1">
        <f t="array" ref="I2049">IFERROR(_xlfn.IFS(M2049="נח",1,M2049="נע ונח",1,M2049="שני שווא נח",2,M2049="שני שוואים בסוף מילה",2,M2049="שני שוואים ברצף",1),"0")</f>
        <v>1</v>
      </c>
      <c r="J2049" s="9">
        <f t="shared" si="131"/>
        <v>4</v>
      </c>
      <c r="K2049" t="s">
        <v>6697</v>
      </c>
      <c r="L2049" t="s">
        <v>6694</v>
      </c>
      <c r="M2049" t="s">
        <v>6701</v>
      </c>
      <c r="O2049" t="s">
        <v>6694</v>
      </c>
      <c r="S2049" t="s">
        <v>6694</v>
      </c>
      <c r="W2049" t="s">
        <v>6720</v>
      </c>
    </row>
    <row r="2050" spans="1:23" ht="15.6" x14ac:dyDescent="0.4">
      <c r="A2050" s="2" t="s">
        <v>4504</v>
      </c>
      <c r="B2050" s="5" t="s">
        <v>8505</v>
      </c>
      <c r="C2050" s="7" t="s">
        <v>12556</v>
      </c>
      <c r="D2050" s="8">
        <f t="shared" si="128"/>
        <v>0</v>
      </c>
      <c r="E2050" s="7" t="s">
        <v>12557</v>
      </c>
      <c r="F2050" s="7">
        <f t="shared" si="129"/>
        <v>0</v>
      </c>
      <c r="G2050" s="7" t="s">
        <v>12558</v>
      </c>
      <c r="H2050" s="7">
        <f t="shared" si="130"/>
        <v>0</v>
      </c>
      <c r="I2050" s="7" cm="1">
        <f t="array" ref="I2050">IFERROR(_xlfn.IFS(M2050="נח",1,M2050="נע ונח",1,M2050="שני שווא נח",2,M2050="שני שוואים בסוף מילה",2,M2050="שני שוואים ברצף",1),"0")</f>
        <v>1</v>
      </c>
      <c r="J2050" s="9">
        <f t="shared" si="131"/>
        <v>3</v>
      </c>
      <c r="K2050" t="s">
        <v>6697</v>
      </c>
      <c r="L2050" t="s">
        <v>6694</v>
      </c>
      <c r="M2050" t="s">
        <v>6701</v>
      </c>
      <c r="O2050" t="s">
        <v>6694</v>
      </c>
      <c r="S2050" t="s">
        <v>6694</v>
      </c>
      <c r="W2050" t="s">
        <v>6720</v>
      </c>
    </row>
    <row r="2051" spans="1:23" ht="15.6" x14ac:dyDescent="0.4">
      <c r="A2051" s="2" t="s">
        <v>15</v>
      </c>
      <c r="B2051" s="5" t="s">
        <v>8506</v>
      </c>
      <c r="C2051" s="7" t="s">
        <v>12556</v>
      </c>
      <c r="D2051" s="8">
        <f t="shared" ref="D2051:D2114" si="132">(LEN(B2051)-LEN(SUBSTITUTE(B2051,C2051,"")))</f>
        <v>0</v>
      </c>
      <c r="E2051" s="7" t="s">
        <v>12557</v>
      </c>
      <c r="F2051" s="7">
        <f t="shared" ref="F2051:F2114" si="133">(LEN(A2051)-LEN(SUBSTITUTE(A2051,E2051,"")))</f>
        <v>1</v>
      </c>
      <c r="G2051" s="7" t="s">
        <v>12558</v>
      </c>
      <c r="H2051" s="7">
        <f t="shared" ref="H2051:H2114" si="134">(LEN(A2051)-LEN(SUBSTITUTE(A2051,G2051,"")))/2</f>
        <v>1</v>
      </c>
      <c r="I2051" s="7" cm="1">
        <f t="array" ref="I2051">IFERROR(_xlfn.IFS(M2051="נח",1,M2051="נע ונח",1,M2051="שני שווא נח",2,M2051="שני שוואים בסוף מילה",2,M2051="שני שוואים ברצף",1),"0")</f>
        <v>1</v>
      </c>
      <c r="J2051" s="9">
        <f t="shared" ref="J2051:J2114" si="135">LEN(A2051)-(LEN(B2051))-D2051-F2051+H2051-I2051</f>
        <v>4</v>
      </c>
      <c r="K2051" t="s">
        <v>6697</v>
      </c>
      <c r="L2051" t="s">
        <v>6694</v>
      </c>
      <c r="M2051" t="s">
        <v>6701</v>
      </c>
      <c r="O2051" t="s">
        <v>6694</v>
      </c>
      <c r="S2051" t="s">
        <v>6694</v>
      </c>
      <c r="U2051" t="s">
        <v>6694</v>
      </c>
      <c r="W2051" t="s">
        <v>6720</v>
      </c>
    </row>
    <row r="2052" spans="1:23" ht="15.6" x14ac:dyDescent="0.4">
      <c r="A2052" s="2" t="s">
        <v>2662</v>
      </c>
      <c r="B2052" s="5" t="s">
        <v>8507</v>
      </c>
      <c r="C2052" s="7" t="s">
        <v>12556</v>
      </c>
      <c r="D2052" s="8">
        <f t="shared" si="132"/>
        <v>1</v>
      </c>
      <c r="E2052" s="7" t="s">
        <v>12557</v>
      </c>
      <c r="F2052" s="7">
        <f t="shared" si="133"/>
        <v>1</v>
      </c>
      <c r="G2052" s="7" t="s">
        <v>12558</v>
      </c>
      <c r="H2052" s="7">
        <f t="shared" si="134"/>
        <v>0</v>
      </c>
      <c r="I2052" s="7" cm="1">
        <f t="array" ref="I2052">IFERROR(_xlfn.IFS(M2052="נח",1,M2052="נע ונח",1,M2052="שני שווא נח",2,M2052="שני שוואים בסוף מילה",2,M2052="שני שוואים ברצף",1),"0")</f>
        <v>1</v>
      </c>
      <c r="J2052" s="9">
        <f t="shared" si="135"/>
        <v>5</v>
      </c>
      <c r="K2052" t="s">
        <v>6697</v>
      </c>
      <c r="L2052" t="s">
        <v>6694</v>
      </c>
      <c r="M2052" t="s">
        <v>6701</v>
      </c>
      <c r="P2052" t="s">
        <v>6694</v>
      </c>
      <c r="S2052" t="s">
        <v>6694</v>
      </c>
      <c r="W2052" t="s">
        <v>6720</v>
      </c>
    </row>
    <row r="2053" spans="1:23" ht="15.6" x14ac:dyDescent="0.4">
      <c r="A2053" s="2" t="s">
        <v>1792</v>
      </c>
      <c r="B2053" s="5" t="s">
        <v>8508</v>
      </c>
      <c r="C2053" s="7" t="s">
        <v>12556</v>
      </c>
      <c r="D2053" s="8">
        <f t="shared" si="132"/>
        <v>0</v>
      </c>
      <c r="E2053" s="7" t="s">
        <v>12557</v>
      </c>
      <c r="F2053" s="7">
        <f t="shared" si="133"/>
        <v>0</v>
      </c>
      <c r="G2053" s="7" t="s">
        <v>12558</v>
      </c>
      <c r="H2053" s="7">
        <f t="shared" si="134"/>
        <v>0</v>
      </c>
      <c r="I2053" s="7" t="str" cm="1">
        <f t="array" ref="I2053">IFERROR(_xlfn.IFS(M2053="נח",1,M2053="נע ונח",1,M2053="שני שווא נח",2,M2053="שני שוואים בסוף מילה",2,M2053="שני שוואים ברצף",1),"0")</f>
        <v>0</v>
      </c>
      <c r="J2053" s="9">
        <f t="shared" si="135"/>
        <v>3</v>
      </c>
      <c r="K2053" t="s">
        <v>6698</v>
      </c>
      <c r="L2053" t="s">
        <v>6694</v>
      </c>
      <c r="M2053" t="s">
        <v>6700</v>
      </c>
      <c r="Q2053" t="s">
        <v>6694</v>
      </c>
      <c r="S2053" t="s">
        <v>6694</v>
      </c>
      <c r="W2053" t="s">
        <v>6720</v>
      </c>
    </row>
    <row r="2054" spans="1:23" ht="15.6" x14ac:dyDescent="0.4">
      <c r="A2054" s="2" t="s">
        <v>1536</v>
      </c>
      <c r="B2054" s="5" t="s">
        <v>8509</v>
      </c>
      <c r="C2054" s="7" t="s">
        <v>12556</v>
      </c>
      <c r="D2054" s="8">
        <f t="shared" si="132"/>
        <v>0</v>
      </c>
      <c r="E2054" s="7" t="s">
        <v>12557</v>
      </c>
      <c r="F2054" s="7">
        <f t="shared" si="133"/>
        <v>0</v>
      </c>
      <c r="G2054" s="7" t="s">
        <v>12558</v>
      </c>
      <c r="H2054" s="7">
        <f t="shared" si="134"/>
        <v>0</v>
      </c>
      <c r="I2054" s="7" cm="1">
        <f t="array" ref="I2054">IFERROR(_xlfn.IFS(M2054="נח",1,M2054="נע ונח",1,M2054="שני שווא נח",2,M2054="שני שוואים בסוף מילה",2,M2054="שני שוואים ברצף",1),"0")</f>
        <v>1</v>
      </c>
      <c r="J2054" s="9">
        <f t="shared" si="135"/>
        <v>5</v>
      </c>
      <c r="K2054" t="s">
        <v>6698</v>
      </c>
      <c r="L2054" t="s">
        <v>6694</v>
      </c>
      <c r="M2054" t="s">
        <v>6702</v>
      </c>
      <c r="N2054" t="s">
        <v>6706</v>
      </c>
      <c r="O2054" t="s">
        <v>6694</v>
      </c>
      <c r="S2054" t="s">
        <v>6694</v>
      </c>
      <c r="V2054" t="s">
        <v>6694</v>
      </c>
      <c r="W2054" t="s">
        <v>6720</v>
      </c>
    </row>
    <row r="2055" spans="1:23" ht="15.6" x14ac:dyDescent="0.4">
      <c r="A2055" s="2" t="s">
        <v>5950</v>
      </c>
      <c r="B2055" s="5" t="s">
        <v>8510</v>
      </c>
      <c r="C2055" s="7" t="s">
        <v>12556</v>
      </c>
      <c r="D2055" s="8">
        <f t="shared" si="132"/>
        <v>0</v>
      </c>
      <c r="E2055" s="7" t="s">
        <v>12557</v>
      </c>
      <c r="F2055" s="7">
        <f t="shared" si="133"/>
        <v>1</v>
      </c>
      <c r="G2055" s="7" t="s">
        <v>12558</v>
      </c>
      <c r="H2055" s="7">
        <f t="shared" si="134"/>
        <v>0</v>
      </c>
      <c r="I2055" s="7" t="str" cm="1">
        <f t="array" ref="I2055">IFERROR(_xlfn.IFS(M2055="נח",1,M2055="נע ונח",1,M2055="שני שווא נח",2,M2055="שני שוואים בסוף מילה",2,M2055="שני שוואים ברצף",1),"0")</f>
        <v>0</v>
      </c>
      <c r="J2055" s="9">
        <f t="shared" si="135"/>
        <v>3</v>
      </c>
      <c r="K2055" t="s">
        <v>6698</v>
      </c>
      <c r="L2055" t="s">
        <v>6694</v>
      </c>
      <c r="M2055" t="s">
        <v>6700</v>
      </c>
      <c r="Q2055" t="s">
        <v>6694</v>
      </c>
      <c r="S2055" t="s">
        <v>6694</v>
      </c>
      <c r="W2055" t="s">
        <v>6720</v>
      </c>
    </row>
    <row r="2056" spans="1:23" ht="15.6" x14ac:dyDescent="0.4">
      <c r="A2056" s="2" t="s">
        <v>1505</v>
      </c>
      <c r="B2056" s="5" t="s">
        <v>8511</v>
      </c>
      <c r="C2056" s="7" t="s">
        <v>12556</v>
      </c>
      <c r="D2056" s="8">
        <f t="shared" si="132"/>
        <v>0</v>
      </c>
      <c r="E2056" s="7" t="s">
        <v>12557</v>
      </c>
      <c r="F2056" s="7">
        <f t="shared" si="133"/>
        <v>1</v>
      </c>
      <c r="G2056" s="7" t="s">
        <v>12558</v>
      </c>
      <c r="H2056" s="7">
        <f t="shared" si="134"/>
        <v>0</v>
      </c>
      <c r="I2056" s="7" t="str" cm="1">
        <f t="array" ref="I2056">IFERROR(_xlfn.IFS(M2056="נח",1,M2056="נע ונח",1,M2056="שני שווא נח",2,M2056="שני שוואים בסוף מילה",2,M2056="שני שוואים ברצף",1),"0")</f>
        <v>0</v>
      </c>
      <c r="J2056" s="9">
        <f t="shared" si="135"/>
        <v>4</v>
      </c>
      <c r="K2056" t="s">
        <v>6697</v>
      </c>
      <c r="L2056" t="s">
        <v>6694</v>
      </c>
      <c r="M2056" t="s">
        <v>6700</v>
      </c>
      <c r="Q2056" t="s">
        <v>6694</v>
      </c>
      <c r="S2056" t="s">
        <v>6694</v>
      </c>
      <c r="W2056" t="s">
        <v>6720</v>
      </c>
    </row>
    <row r="2057" spans="1:23" ht="15.6" x14ac:dyDescent="0.4">
      <c r="A2057" s="2" t="s">
        <v>1750</v>
      </c>
      <c r="B2057" s="5" t="s">
        <v>8512</v>
      </c>
      <c r="C2057" s="7" t="s">
        <v>12556</v>
      </c>
      <c r="D2057" s="8">
        <f t="shared" si="132"/>
        <v>1</v>
      </c>
      <c r="E2057" s="7" t="s">
        <v>12557</v>
      </c>
      <c r="F2057" s="7">
        <f t="shared" si="133"/>
        <v>0</v>
      </c>
      <c r="G2057" s="7" t="s">
        <v>12558</v>
      </c>
      <c r="H2057" s="7">
        <f t="shared" si="134"/>
        <v>0</v>
      </c>
      <c r="I2057" s="7" cm="1">
        <f t="array" ref="I2057">IFERROR(_xlfn.IFS(M2057="נח",1,M2057="נע ונח",1,M2057="שני שווא נח",2,M2057="שני שוואים בסוף מילה",2,M2057="שני שוואים ברצף",1),"0")</f>
        <v>1</v>
      </c>
      <c r="J2057" s="9">
        <f t="shared" si="135"/>
        <v>4</v>
      </c>
      <c r="K2057" t="s">
        <v>6697</v>
      </c>
      <c r="L2057" t="s">
        <v>6694</v>
      </c>
      <c r="M2057" t="s">
        <v>6702</v>
      </c>
      <c r="O2057" t="s">
        <v>6694</v>
      </c>
      <c r="S2057" t="s">
        <v>6694</v>
      </c>
      <c r="W2057" t="s">
        <v>6720</v>
      </c>
    </row>
    <row r="2058" spans="1:23" ht="15.6" x14ac:dyDescent="0.4">
      <c r="A2058" s="2" t="s">
        <v>2074</v>
      </c>
      <c r="B2058" s="5" t="s">
        <v>8513</v>
      </c>
      <c r="C2058" s="7" t="s">
        <v>12556</v>
      </c>
      <c r="D2058" s="8">
        <f t="shared" si="132"/>
        <v>0</v>
      </c>
      <c r="E2058" s="7" t="s">
        <v>12557</v>
      </c>
      <c r="F2058" s="7">
        <f t="shared" si="133"/>
        <v>1</v>
      </c>
      <c r="G2058" s="7" t="s">
        <v>12558</v>
      </c>
      <c r="H2058" s="7">
        <f t="shared" si="134"/>
        <v>1</v>
      </c>
      <c r="I2058" s="7" t="str" cm="1">
        <f t="array" ref="I2058">IFERROR(_xlfn.IFS(M2058="נח",1,M2058="נע ונח",1,M2058="שני שווא נח",2,M2058="שני שוואים בסוף מילה",2,M2058="שני שוואים ברצף",1),"0")</f>
        <v>0</v>
      </c>
      <c r="J2058" s="9">
        <f t="shared" si="135"/>
        <v>5</v>
      </c>
      <c r="K2058" t="s">
        <v>6697</v>
      </c>
      <c r="L2058" t="s">
        <v>6694</v>
      </c>
      <c r="M2058" t="s">
        <v>6700</v>
      </c>
      <c r="O2058" t="s">
        <v>6694</v>
      </c>
      <c r="R2058" t="s">
        <v>6694</v>
      </c>
      <c r="U2058" t="s">
        <v>6694</v>
      </c>
      <c r="W2058" t="s">
        <v>6720</v>
      </c>
    </row>
    <row r="2059" spans="1:23" ht="15.6" x14ac:dyDescent="0.4">
      <c r="A2059" s="2" t="s">
        <v>2332</v>
      </c>
      <c r="B2059" s="5" t="s">
        <v>8514</v>
      </c>
      <c r="C2059" s="7" t="s">
        <v>12556</v>
      </c>
      <c r="D2059" s="8">
        <f t="shared" si="132"/>
        <v>0</v>
      </c>
      <c r="E2059" s="7" t="s">
        <v>12557</v>
      </c>
      <c r="F2059" s="7">
        <f t="shared" si="133"/>
        <v>0</v>
      </c>
      <c r="G2059" s="7" t="s">
        <v>12558</v>
      </c>
      <c r="H2059" s="7">
        <f t="shared" si="134"/>
        <v>0</v>
      </c>
      <c r="I2059" s="7" t="str" cm="1">
        <f t="array" ref="I2059">IFERROR(_xlfn.IFS(M2059="נח",1,M2059="נע ונח",1,M2059="שני שווא נח",2,M2059="שני שוואים בסוף מילה",2,M2059="שני שוואים ברצף",1),"0")</f>
        <v>0</v>
      </c>
      <c r="J2059" s="9">
        <f t="shared" si="135"/>
        <v>3</v>
      </c>
      <c r="K2059" t="s">
        <v>6697</v>
      </c>
      <c r="L2059" t="s">
        <v>6694</v>
      </c>
      <c r="M2059" t="s">
        <v>6700</v>
      </c>
      <c r="P2059" t="s">
        <v>6694</v>
      </c>
      <c r="R2059" t="s">
        <v>6694</v>
      </c>
      <c r="W2059" t="s">
        <v>6720</v>
      </c>
    </row>
    <row r="2060" spans="1:23" ht="15.6" x14ac:dyDescent="0.4">
      <c r="A2060" s="2" t="s">
        <v>768</v>
      </c>
      <c r="B2060" s="5" t="s">
        <v>8515</v>
      </c>
      <c r="C2060" s="7" t="s">
        <v>12556</v>
      </c>
      <c r="D2060" s="8">
        <f t="shared" si="132"/>
        <v>0</v>
      </c>
      <c r="E2060" s="7" t="s">
        <v>12557</v>
      </c>
      <c r="F2060" s="7">
        <f t="shared" si="133"/>
        <v>1</v>
      </c>
      <c r="G2060" s="7" t="s">
        <v>12558</v>
      </c>
      <c r="H2060" s="7">
        <f t="shared" si="134"/>
        <v>0</v>
      </c>
      <c r="I2060" s="7" cm="1">
        <f t="array" ref="I2060">IFERROR(_xlfn.IFS(M2060="נח",1,M2060="נע ונח",1,M2060="שני שווא נח",2,M2060="שני שוואים בסוף מילה",2,M2060="שני שוואים ברצף",1),"0")</f>
        <v>1</v>
      </c>
      <c r="J2060" s="9">
        <f t="shared" si="135"/>
        <v>5</v>
      </c>
      <c r="K2060" t="s">
        <v>6697</v>
      </c>
      <c r="L2060" t="s">
        <v>6694</v>
      </c>
      <c r="M2060" t="s">
        <v>6701</v>
      </c>
      <c r="N2060" t="s">
        <v>6706</v>
      </c>
      <c r="O2060" t="s">
        <v>6694</v>
      </c>
      <c r="R2060" t="s">
        <v>6694</v>
      </c>
      <c r="S2060" t="s">
        <v>6694</v>
      </c>
      <c r="W2060" t="s">
        <v>6720</v>
      </c>
    </row>
    <row r="2061" spans="1:23" ht="15.6" x14ac:dyDescent="0.4">
      <c r="A2061" s="2" t="s">
        <v>1539</v>
      </c>
      <c r="B2061" s="5" t="s">
        <v>8516</v>
      </c>
      <c r="C2061" s="7" t="s">
        <v>12556</v>
      </c>
      <c r="D2061" s="8">
        <f t="shared" si="132"/>
        <v>1</v>
      </c>
      <c r="E2061" s="7" t="s">
        <v>12557</v>
      </c>
      <c r="F2061" s="7">
        <f t="shared" si="133"/>
        <v>0</v>
      </c>
      <c r="G2061" s="7" t="s">
        <v>12558</v>
      </c>
      <c r="H2061" s="7">
        <f t="shared" si="134"/>
        <v>0</v>
      </c>
      <c r="I2061" s="7" t="str" cm="1">
        <f t="array" ref="I2061">IFERROR(_xlfn.IFS(M2061="נח",1,M2061="נע ונח",1,M2061="שני שווא נח",2,M2061="שני שוואים בסוף מילה",2,M2061="שני שוואים ברצף",1),"0")</f>
        <v>0</v>
      </c>
      <c r="J2061" s="9">
        <f t="shared" si="135"/>
        <v>3</v>
      </c>
      <c r="K2061" t="s">
        <v>6698</v>
      </c>
      <c r="L2061" t="s">
        <v>6694</v>
      </c>
      <c r="M2061" t="s">
        <v>6700</v>
      </c>
      <c r="R2061" t="s">
        <v>6694</v>
      </c>
      <c r="W2061" t="s">
        <v>6720</v>
      </c>
    </row>
    <row r="2062" spans="1:23" ht="15.6" x14ac:dyDescent="0.4">
      <c r="A2062" s="2" t="s">
        <v>3241</v>
      </c>
      <c r="B2062" s="5" t="s">
        <v>8517</v>
      </c>
      <c r="C2062" s="7" t="s">
        <v>12556</v>
      </c>
      <c r="D2062" s="8">
        <f t="shared" si="132"/>
        <v>0</v>
      </c>
      <c r="E2062" s="7" t="s">
        <v>12557</v>
      </c>
      <c r="F2062" s="7">
        <f t="shared" si="133"/>
        <v>0</v>
      </c>
      <c r="G2062" s="7" t="s">
        <v>12558</v>
      </c>
      <c r="H2062" s="7">
        <f t="shared" si="134"/>
        <v>0</v>
      </c>
      <c r="I2062" s="7" t="str" cm="1">
        <f t="array" ref="I2062">IFERROR(_xlfn.IFS(M2062="נח",1,M2062="נע ונח",1,M2062="שני שווא נח",2,M2062="שני שוואים בסוף מילה",2,M2062="שני שוואים ברצף",1),"0")</f>
        <v>0</v>
      </c>
      <c r="J2062" s="9">
        <f t="shared" si="135"/>
        <v>4</v>
      </c>
      <c r="K2062" t="s">
        <v>6698</v>
      </c>
      <c r="L2062" t="s">
        <v>6694</v>
      </c>
      <c r="M2062" t="s">
        <v>6700</v>
      </c>
      <c r="P2062" t="s">
        <v>6694</v>
      </c>
      <c r="Q2062" t="s">
        <v>6694</v>
      </c>
      <c r="W2062" t="s">
        <v>6720</v>
      </c>
    </row>
    <row r="2063" spans="1:23" ht="15.6" x14ac:dyDescent="0.4">
      <c r="A2063" s="2" t="s">
        <v>73</v>
      </c>
      <c r="B2063" s="5" t="s">
        <v>8518</v>
      </c>
      <c r="C2063" s="7" t="s">
        <v>12556</v>
      </c>
      <c r="D2063" s="8">
        <f t="shared" si="132"/>
        <v>0</v>
      </c>
      <c r="E2063" s="7" t="s">
        <v>12557</v>
      </c>
      <c r="F2063" s="7">
        <f t="shared" si="133"/>
        <v>0</v>
      </c>
      <c r="G2063" s="7" t="s">
        <v>12558</v>
      </c>
      <c r="H2063" s="7">
        <f t="shared" si="134"/>
        <v>0</v>
      </c>
      <c r="I2063" s="7" cm="1">
        <f t="array" ref="I2063">IFERROR(_xlfn.IFS(M2063="נח",1,M2063="נע ונח",1,M2063="שני שווא נח",2,M2063="שני שוואים בסוף מילה",2,M2063="שני שוואים ברצף",1),"0")</f>
        <v>1</v>
      </c>
      <c r="J2063" s="9">
        <f t="shared" si="135"/>
        <v>5</v>
      </c>
      <c r="K2063" t="s">
        <v>6697</v>
      </c>
      <c r="L2063" t="s">
        <v>6694</v>
      </c>
      <c r="M2063" t="s">
        <v>6701</v>
      </c>
      <c r="N2063" t="s">
        <v>6706</v>
      </c>
      <c r="O2063" t="s">
        <v>6694</v>
      </c>
      <c r="P2063" t="s">
        <v>6694</v>
      </c>
      <c r="W2063" t="s">
        <v>6720</v>
      </c>
    </row>
    <row r="2064" spans="1:23" ht="15.6" x14ac:dyDescent="0.4">
      <c r="A2064" s="2" t="s">
        <v>2521</v>
      </c>
      <c r="B2064" s="5" t="s">
        <v>8519</v>
      </c>
      <c r="C2064" s="7" t="s">
        <v>12556</v>
      </c>
      <c r="D2064" s="8">
        <f t="shared" si="132"/>
        <v>0</v>
      </c>
      <c r="E2064" s="7" t="s">
        <v>12557</v>
      </c>
      <c r="F2064" s="7">
        <f t="shared" si="133"/>
        <v>0</v>
      </c>
      <c r="G2064" s="7" t="s">
        <v>12558</v>
      </c>
      <c r="H2064" s="7">
        <f t="shared" si="134"/>
        <v>0</v>
      </c>
      <c r="I2064" s="7" t="str" cm="1">
        <f t="array" ref="I2064">IFERROR(_xlfn.IFS(M2064="נח",1,M2064="נע ונח",1,M2064="שני שווא נח",2,M2064="שני שוואים בסוף מילה",2,M2064="שני שוואים ברצף",1),"0")</f>
        <v>0</v>
      </c>
      <c r="J2064" s="9">
        <f t="shared" si="135"/>
        <v>5</v>
      </c>
      <c r="K2064" t="s">
        <v>6698</v>
      </c>
      <c r="L2064" t="s">
        <v>6694</v>
      </c>
      <c r="M2064" t="s">
        <v>6700</v>
      </c>
      <c r="N2064" t="s">
        <v>6706</v>
      </c>
      <c r="O2064" t="s">
        <v>6694</v>
      </c>
      <c r="P2064" t="s">
        <v>6694</v>
      </c>
      <c r="W2064" t="s">
        <v>6720</v>
      </c>
    </row>
    <row r="2065" spans="1:23" ht="15.6" x14ac:dyDescent="0.4">
      <c r="A2065" s="2" t="s">
        <v>113</v>
      </c>
      <c r="B2065" s="5" t="s">
        <v>8520</v>
      </c>
      <c r="C2065" s="7" t="s">
        <v>12556</v>
      </c>
      <c r="D2065" s="8">
        <f t="shared" si="132"/>
        <v>0</v>
      </c>
      <c r="E2065" s="7" t="s">
        <v>12557</v>
      </c>
      <c r="F2065" s="7">
        <f t="shared" si="133"/>
        <v>0</v>
      </c>
      <c r="G2065" s="7" t="s">
        <v>12558</v>
      </c>
      <c r="H2065" s="7">
        <f t="shared" si="134"/>
        <v>0</v>
      </c>
      <c r="I2065" s="7" t="str" cm="1">
        <f t="array" ref="I2065">IFERROR(_xlfn.IFS(M2065="נח",1,M2065="נע ונח",1,M2065="שני שווא נח",2,M2065="שני שוואים בסוף מילה",2,M2065="שני שוואים ברצף",1),"0")</f>
        <v>0</v>
      </c>
      <c r="J2065" s="9">
        <f t="shared" si="135"/>
        <v>5</v>
      </c>
      <c r="K2065" t="s">
        <v>6697</v>
      </c>
      <c r="L2065" t="s">
        <v>6694</v>
      </c>
      <c r="M2065" t="s">
        <v>6700</v>
      </c>
      <c r="O2065" t="s">
        <v>6694</v>
      </c>
      <c r="P2065" t="s">
        <v>6694</v>
      </c>
      <c r="V2065" t="s">
        <v>6694</v>
      </c>
      <c r="W2065" t="s">
        <v>6720</v>
      </c>
    </row>
    <row r="2066" spans="1:23" ht="15.6" x14ac:dyDescent="0.4">
      <c r="A2066" s="2" t="s">
        <v>846</v>
      </c>
      <c r="B2066" s="5" t="s">
        <v>8521</v>
      </c>
      <c r="C2066" s="7" t="s">
        <v>12556</v>
      </c>
      <c r="D2066" s="8">
        <f t="shared" si="132"/>
        <v>0</v>
      </c>
      <c r="E2066" s="7" t="s">
        <v>12557</v>
      </c>
      <c r="F2066" s="7">
        <f t="shared" si="133"/>
        <v>0</v>
      </c>
      <c r="G2066" s="7" t="s">
        <v>12558</v>
      </c>
      <c r="H2066" s="7">
        <f t="shared" si="134"/>
        <v>0</v>
      </c>
      <c r="I2066" s="7" t="str" cm="1">
        <f t="array" ref="I2066">IFERROR(_xlfn.IFS(M2066="נח",1,M2066="נע ונח",1,M2066="שני שווא נח",2,M2066="שני שוואים בסוף מילה",2,M2066="שני שוואים ברצף",1),"0")</f>
        <v>0</v>
      </c>
      <c r="J2066" s="9">
        <f t="shared" si="135"/>
        <v>3</v>
      </c>
      <c r="K2066" t="s">
        <v>6698</v>
      </c>
      <c r="L2066" t="s">
        <v>6694</v>
      </c>
      <c r="M2066" t="s">
        <v>6700</v>
      </c>
      <c r="P2066" t="s">
        <v>6694</v>
      </c>
      <c r="W2066" t="s">
        <v>6720</v>
      </c>
    </row>
    <row r="2067" spans="1:23" ht="15.6" x14ac:dyDescent="0.4">
      <c r="A2067" s="2" t="s">
        <v>2597</v>
      </c>
      <c r="B2067" s="5" t="s">
        <v>8522</v>
      </c>
      <c r="C2067" s="7" t="s">
        <v>12556</v>
      </c>
      <c r="D2067" s="8">
        <f t="shared" si="132"/>
        <v>0</v>
      </c>
      <c r="E2067" s="7" t="s">
        <v>12557</v>
      </c>
      <c r="F2067" s="7">
        <f t="shared" si="133"/>
        <v>1</v>
      </c>
      <c r="G2067" s="7" t="s">
        <v>12558</v>
      </c>
      <c r="H2067" s="7">
        <f t="shared" si="134"/>
        <v>0</v>
      </c>
      <c r="I2067" s="7" t="str" cm="1">
        <f t="array" ref="I2067">IFERROR(_xlfn.IFS(M2067="נח",1,M2067="נע ונח",1,M2067="שני שווא נח",2,M2067="שני שוואים בסוף מילה",2,M2067="שני שוואים ברצף",1),"0")</f>
        <v>0</v>
      </c>
      <c r="J2067" s="9">
        <f t="shared" si="135"/>
        <v>4</v>
      </c>
      <c r="K2067" t="s">
        <v>6697</v>
      </c>
      <c r="L2067" t="s">
        <v>6694</v>
      </c>
      <c r="M2067" t="s">
        <v>6700</v>
      </c>
      <c r="P2067" t="s">
        <v>6694</v>
      </c>
      <c r="Q2067" t="s">
        <v>6694</v>
      </c>
      <c r="S2067" t="s">
        <v>6694</v>
      </c>
      <c r="W2067" t="s">
        <v>6720</v>
      </c>
    </row>
    <row r="2068" spans="1:23" ht="15.6" x14ac:dyDescent="0.4">
      <c r="A2068" s="2" t="s">
        <v>552</v>
      </c>
      <c r="B2068" s="5" t="s">
        <v>8523</v>
      </c>
      <c r="C2068" s="7" t="s">
        <v>12556</v>
      </c>
      <c r="D2068" s="8">
        <f t="shared" si="132"/>
        <v>1</v>
      </c>
      <c r="E2068" s="7" t="s">
        <v>12557</v>
      </c>
      <c r="F2068" s="7">
        <f t="shared" si="133"/>
        <v>0</v>
      </c>
      <c r="G2068" s="7" t="s">
        <v>12558</v>
      </c>
      <c r="H2068" s="7">
        <f t="shared" si="134"/>
        <v>0</v>
      </c>
      <c r="I2068" s="7" cm="1">
        <f t="array" ref="I2068">IFERROR(_xlfn.IFS(M2068="נח",1,M2068="נע ונח",1,M2068="שני שווא נח",2,M2068="שני שוואים בסוף מילה",2,M2068="שני שוואים ברצף",1),"0")</f>
        <v>1</v>
      </c>
      <c r="J2068" s="9">
        <f t="shared" si="135"/>
        <v>3</v>
      </c>
      <c r="K2068" t="s">
        <v>6697</v>
      </c>
      <c r="L2068" t="s">
        <v>6694</v>
      </c>
      <c r="M2068" t="s">
        <v>6701</v>
      </c>
      <c r="P2068" t="s">
        <v>6694</v>
      </c>
      <c r="S2068" t="s">
        <v>6694</v>
      </c>
      <c r="W2068" t="s">
        <v>6720</v>
      </c>
    </row>
    <row r="2069" spans="1:23" ht="15.6" x14ac:dyDescent="0.4">
      <c r="A2069" s="2" t="s">
        <v>5919</v>
      </c>
      <c r="B2069" s="5" t="s">
        <v>8524</v>
      </c>
      <c r="C2069" s="7" t="s">
        <v>12556</v>
      </c>
      <c r="D2069" s="8">
        <f t="shared" si="132"/>
        <v>1</v>
      </c>
      <c r="E2069" s="7" t="s">
        <v>12557</v>
      </c>
      <c r="F2069" s="7">
        <f t="shared" si="133"/>
        <v>0</v>
      </c>
      <c r="G2069" s="7" t="s">
        <v>12558</v>
      </c>
      <c r="H2069" s="7">
        <f t="shared" si="134"/>
        <v>0</v>
      </c>
      <c r="I2069" s="7" cm="1">
        <f t="array" ref="I2069">IFERROR(_xlfn.IFS(M2069="נח",1,M2069="נע ונח",1,M2069="שני שווא נח",2,M2069="שני שוואים בסוף מילה",2,M2069="שני שוואים ברצף",1),"0")</f>
        <v>1</v>
      </c>
      <c r="J2069" s="9">
        <f t="shared" si="135"/>
        <v>3</v>
      </c>
      <c r="K2069" t="s">
        <v>6697</v>
      </c>
      <c r="L2069" t="s">
        <v>6694</v>
      </c>
      <c r="M2069" t="s">
        <v>6701</v>
      </c>
      <c r="P2069" t="s">
        <v>6694</v>
      </c>
      <c r="V2069" t="s">
        <v>6694</v>
      </c>
      <c r="W2069" t="s">
        <v>6720</v>
      </c>
    </row>
    <row r="2070" spans="1:23" ht="15.6" x14ac:dyDescent="0.4">
      <c r="A2070" s="2" t="s">
        <v>3109</v>
      </c>
      <c r="B2070" s="5" t="s">
        <v>8525</v>
      </c>
      <c r="C2070" s="7" t="s">
        <v>12556</v>
      </c>
      <c r="D2070" s="8">
        <f t="shared" si="132"/>
        <v>1</v>
      </c>
      <c r="E2070" s="7" t="s">
        <v>12557</v>
      </c>
      <c r="F2070" s="7">
        <f t="shared" si="133"/>
        <v>0</v>
      </c>
      <c r="G2070" s="7" t="s">
        <v>12558</v>
      </c>
      <c r="H2070" s="7">
        <f t="shared" si="134"/>
        <v>0</v>
      </c>
      <c r="I2070" s="7" cm="1">
        <f t="array" ref="I2070">IFERROR(_xlfn.IFS(M2070="נח",1,M2070="נע ונח",1,M2070="שני שווא נח",2,M2070="שני שוואים בסוף מילה",2,M2070="שני שוואים ברצף",1),"0")</f>
        <v>1</v>
      </c>
      <c r="J2070" s="9">
        <f t="shared" si="135"/>
        <v>3</v>
      </c>
      <c r="K2070" t="s">
        <v>6698</v>
      </c>
      <c r="L2070" t="s">
        <v>6694</v>
      </c>
      <c r="M2070" t="s">
        <v>6701</v>
      </c>
      <c r="P2070" t="s">
        <v>6694</v>
      </c>
      <c r="V2070" t="s">
        <v>6694</v>
      </c>
      <c r="W2070" t="s">
        <v>6720</v>
      </c>
    </row>
    <row r="2071" spans="1:23" ht="15.6" x14ac:dyDescent="0.4">
      <c r="A2071" s="2" t="s">
        <v>2263</v>
      </c>
      <c r="B2071" s="5" t="s">
        <v>8526</v>
      </c>
      <c r="C2071" s="7" t="s">
        <v>12556</v>
      </c>
      <c r="D2071" s="8">
        <f t="shared" si="132"/>
        <v>1</v>
      </c>
      <c r="E2071" s="7" t="s">
        <v>12557</v>
      </c>
      <c r="F2071" s="7">
        <f t="shared" si="133"/>
        <v>0</v>
      </c>
      <c r="G2071" s="7" t="s">
        <v>12558</v>
      </c>
      <c r="H2071" s="7">
        <f t="shared" si="134"/>
        <v>0</v>
      </c>
      <c r="I2071" s="7" cm="1">
        <f t="array" ref="I2071">IFERROR(_xlfn.IFS(M2071="נח",1,M2071="נע ונח",1,M2071="שני שווא נח",2,M2071="שני שוואים בסוף מילה",2,M2071="שני שוואים ברצף",1),"0")</f>
        <v>1</v>
      </c>
      <c r="J2071" s="9">
        <f t="shared" si="135"/>
        <v>4</v>
      </c>
      <c r="K2071" t="s">
        <v>6697</v>
      </c>
      <c r="L2071" t="s">
        <v>6694</v>
      </c>
      <c r="M2071" t="s">
        <v>6701</v>
      </c>
      <c r="O2071" t="s">
        <v>6694</v>
      </c>
      <c r="P2071" t="s">
        <v>6694</v>
      </c>
      <c r="S2071" t="s">
        <v>6694</v>
      </c>
      <c r="W2071" t="s">
        <v>6720</v>
      </c>
    </row>
    <row r="2072" spans="1:23" ht="15.6" x14ac:dyDescent="0.4">
      <c r="A2072" s="2" t="s">
        <v>780</v>
      </c>
      <c r="B2072" s="5" t="s">
        <v>8527</v>
      </c>
      <c r="C2072" s="7" t="s">
        <v>12556</v>
      </c>
      <c r="D2072" s="8">
        <f t="shared" si="132"/>
        <v>1</v>
      </c>
      <c r="E2072" s="7" t="s">
        <v>12557</v>
      </c>
      <c r="F2072" s="7">
        <f t="shared" si="133"/>
        <v>1</v>
      </c>
      <c r="G2072" s="7" t="s">
        <v>12558</v>
      </c>
      <c r="H2072" s="7">
        <f t="shared" si="134"/>
        <v>0</v>
      </c>
      <c r="I2072" s="7" cm="1">
        <f t="array" ref="I2072">IFERROR(_xlfn.IFS(M2072="נח",1,M2072="נע ונח",1,M2072="שני שווא נח",2,M2072="שני שוואים בסוף מילה",2,M2072="שני שוואים ברצף",1),"0")</f>
        <v>1</v>
      </c>
      <c r="J2072" s="9">
        <f t="shared" si="135"/>
        <v>3</v>
      </c>
      <c r="K2072" t="s">
        <v>6698</v>
      </c>
      <c r="L2072" t="s">
        <v>6694</v>
      </c>
      <c r="M2072" t="s">
        <v>6701</v>
      </c>
      <c r="P2072" t="s">
        <v>6694</v>
      </c>
      <c r="Q2072" t="s">
        <v>6694</v>
      </c>
      <c r="W2072" t="s">
        <v>6720</v>
      </c>
    </row>
    <row r="2073" spans="1:23" ht="15.6" x14ac:dyDescent="0.4">
      <c r="A2073" s="2" t="s">
        <v>2749</v>
      </c>
      <c r="B2073" s="5" t="s">
        <v>8528</v>
      </c>
      <c r="C2073" s="7" t="s">
        <v>12556</v>
      </c>
      <c r="D2073" s="8">
        <f t="shared" si="132"/>
        <v>0</v>
      </c>
      <c r="E2073" s="7" t="s">
        <v>12557</v>
      </c>
      <c r="F2073" s="7">
        <f t="shared" si="133"/>
        <v>1</v>
      </c>
      <c r="G2073" s="7" t="s">
        <v>12558</v>
      </c>
      <c r="H2073" s="7">
        <f t="shared" si="134"/>
        <v>1</v>
      </c>
      <c r="I2073" s="7" t="str" cm="1">
        <f t="array" ref="I2073">IFERROR(_xlfn.IFS(M2073="נח",1,M2073="נע ונח",1,M2073="שני שווא נח",2,M2073="שני שוואים בסוף מילה",2,M2073="שני שוואים ברצף",1),"0")</f>
        <v>0</v>
      </c>
      <c r="J2073" s="9">
        <f t="shared" si="135"/>
        <v>4</v>
      </c>
      <c r="K2073" t="s">
        <v>6697</v>
      </c>
      <c r="L2073" t="s">
        <v>6694</v>
      </c>
      <c r="M2073" t="s">
        <v>6700</v>
      </c>
      <c r="O2073" t="s">
        <v>6694</v>
      </c>
      <c r="U2073" t="s">
        <v>6694</v>
      </c>
      <c r="W2073" t="s">
        <v>6720</v>
      </c>
    </row>
    <row r="2074" spans="1:23" ht="15.6" x14ac:dyDescent="0.4">
      <c r="A2074" s="2" t="s">
        <v>4593</v>
      </c>
      <c r="B2074" s="5" t="s">
        <v>8529</v>
      </c>
      <c r="C2074" s="7" t="s">
        <v>12556</v>
      </c>
      <c r="D2074" s="8">
        <f t="shared" si="132"/>
        <v>0</v>
      </c>
      <c r="E2074" s="7" t="s">
        <v>12557</v>
      </c>
      <c r="F2074" s="7">
        <f t="shared" si="133"/>
        <v>0</v>
      </c>
      <c r="G2074" s="7" t="s">
        <v>12558</v>
      </c>
      <c r="H2074" s="7">
        <f t="shared" si="134"/>
        <v>0</v>
      </c>
      <c r="I2074" s="7" cm="1">
        <f t="array" ref="I2074">IFERROR(_xlfn.IFS(M2074="נח",1,M2074="נע ונח",1,M2074="שני שווא נח",2,M2074="שני שוואים בסוף מילה",2,M2074="שני שוואים ברצף",1),"0")</f>
        <v>1</v>
      </c>
      <c r="J2074" s="9">
        <f t="shared" si="135"/>
        <v>3</v>
      </c>
      <c r="K2074" t="s">
        <v>6697</v>
      </c>
      <c r="L2074" t="s">
        <v>6694</v>
      </c>
      <c r="M2074" t="s">
        <v>6701</v>
      </c>
      <c r="N2074" t="s">
        <v>6706</v>
      </c>
      <c r="O2074" t="s">
        <v>6694</v>
      </c>
      <c r="S2074" t="s">
        <v>6694</v>
      </c>
      <c r="W2074" t="s">
        <v>6720</v>
      </c>
    </row>
    <row r="2075" spans="1:23" ht="15.6" x14ac:dyDescent="0.4">
      <c r="A2075" s="2" t="s">
        <v>1213</v>
      </c>
      <c r="B2075" s="5" t="s">
        <v>8530</v>
      </c>
      <c r="C2075" s="7" t="s">
        <v>12556</v>
      </c>
      <c r="D2075" s="8">
        <f t="shared" si="132"/>
        <v>0</v>
      </c>
      <c r="E2075" s="7" t="s">
        <v>12557</v>
      </c>
      <c r="F2075" s="7">
        <f t="shared" si="133"/>
        <v>0</v>
      </c>
      <c r="G2075" s="7" t="s">
        <v>12558</v>
      </c>
      <c r="H2075" s="7">
        <f t="shared" si="134"/>
        <v>0</v>
      </c>
      <c r="I2075" s="7" t="str" cm="1">
        <f t="array" ref="I2075">IFERROR(_xlfn.IFS(M2075="נח",1,M2075="נע ונח",1,M2075="שני שווא נח",2,M2075="שני שוואים בסוף מילה",2,M2075="שני שוואים ברצף",1),"0")</f>
        <v>0</v>
      </c>
      <c r="J2075" s="9">
        <f t="shared" si="135"/>
        <v>3</v>
      </c>
      <c r="K2075" t="s">
        <v>6698</v>
      </c>
      <c r="L2075" t="s">
        <v>6694</v>
      </c>
      <c r="M2075" t="s">
        <v>6700</v>
      </c>
      <c r="N2075" t="s">
        <v>6706</v>
      </c>
      <c r="O2075" t="s">
        <v>6694</v>
      </c>
      <c r="W2075" t="s">
        <v>6720</v>
      </c>
    </row>
    <row r="2076" spans="1:23" ht="15.6" x14ac:dyDescent="0.4">
      <c r="A2076" s="2" t="s">
        <v>5158</v>
      </c>
      <c r="B2076" s="5" t="s">
        <v>8531</v>
      </c>
      <c r="C2076" s="7" t="s">
        <v>12556</v>
      </c>
      <c r="D2076" s="8">
        <f t="shared" si="132"/>
        <v>0</v>
      </c>
      <c r="E2076" s="7" t="s">
        <v>12557</v>
      </c>
      <c r="F2076" s="7">
        <f t="shared" si="133"/>
        <v>0</v>
      </c>
      <c r="G2076" s="7" t="s">
        <v>12558</v>
      </c>
      <c r="H2076" s="7">
        <f t="shared" si="134"/>
        <v>0</v>
      </c>
      <c r="I2076" s="7" t="str" cm="1">
        <f t="array" ref="I2076">IFERROR(_xlfn.IFS(M2076="נח",1,M2076="נע ונח",1,M2076="שני שווא נח",2,M2076="שני שוואים בסוף מילה",2,M2076="שני שוואים ברצף",1),"0")</f>
        <v>0</v>
      </c>
      <c r="J2076" s="9">
        <f t="shared" si="135"/>
        <v>3</v>
      </c>
      <c r="K2076" t="s">
        <v>6698</v>
      </c>
      <c r="L2076" t="s">
        <v>6694</v>
      </c>
      <c r="M2076" t="s">
        <v>6700</v>
      </c>
      <c r="O2076" t="s">
        <v>6694</v>
      </c>
      <c r="P2076" t="s">
        <v>6694</v>
      </c>
      <c r="W2076" t="s">
        <v>6720</v>
      </c>
    </row>
    <row r="2077" spans="1:23" ht="15.6" x14ac:dyDescent="0.4">
      <c r="A2077" s="2" t="s">
        <v>3313</v>
      </c>
      <c r="B2077" s="5" t="s">
        <v>8532</v>
      </c>
      <c r="C2077" s="7" t="s">
        <v>12556</v>
      </c>
      <c r="D2077" s="8">
        <f t="shared" si="132"/>
        <v>0</v>
      </c>
      <c r="E2077" s="7" t="s">
        <v>12557</v>
      </c>
      <c r="F2077" s="7">
        <f t="shared" si="133"/>
        <v>1</v>
      </c>
      <c r="G2077" s="7" t="s">
        <v>12558</v>
      </c>
      <c r="H2077" s="7">
        <f t="shared" si="134"/>
        <v>1</v>
      </c>
      <c r="I2077" s="7" t="str" cm="1">
        <f t="array" ref="I2077">IFERROR(_xlfn.IFS(M2077="נח",1,M2077="נע ונח",1,M2077="שני שווא נח",2,M2077="שני שוואים בסוף מילה",2,M2077="שני שוואים ברצף",1),"0")</f>
        <v>0</v>
      </c>
      <c r="J2077" s="9">
        <f t="shared" si="135"/>
        <v>4</v>
      </c>
      <c r="K2077" t="s">
        <v>6697</v>
      </c>
      <c r="L2077" t="s">
        <v>6694</v>
      </c>
      <c r="M2077" t="s">
        <v>6700</v>
      </c>
      <c r="O2077" t="s">
        <v>6694</v>
      </c>
      <c r="U2077" t="s">
        <v>6694</v>
      </c>
      <c r="W2077" t="s">
        <v>6720</v>
      </c>
    </row>
    <row r="2078" spans="1:23" ht="15.6" x14ac:dyDescent="0.4">
      <c r="A2078" s="2" t="s">
        <v>1273</v>
      </c>
      <c r="B2078" s="5" t="s">
        <v>8533</v>
      </c>
      <c r="C2078" s="7" t="s">
        <v>12556</v>
      </c>
      <c r="D2078" s="8">
        <f t="shared" si="132"/>
        <v>0</v>
      </c>
      <c r="E2078" s="7" t="s">
        <v>12557</v>
      </c>
      <c r="F2078" s="7">
        <f t="shared" si="133"/>
        <v>0</v>
      </c>
      <c r="G2078" s="7" t="s">
        <v>12558</v>
      </c>
      <c r="H2078" s="7">
        <f t="shared" si="134"/>
        <v>0</v>
      </c>
      <c r="I2078" s="7" t="str" cm="1">
        <f t="array" ref="I2078">IFERROR(_xlfn.IFS(M2078="נח",1,M2078="נע ונח",1,M2078="שני שווא נח",2,M2078="שני שוואים בסוף מילה",2,M2078="שני שוואים ברצף",1),"0")</f>
        <v>0</v>
      </c>
      <c r="J2078" s="9">
        <f t="shared" si="135"/>
        <v>3</v>
      </c>
      <c r="K2078" t="s">
        <v>6698</v>
      </c>
      <c r="L2078" t="s">
        <v>6694</v>
      </c>
      <c r="M2078" t="s">
        <v>6700</v>
      </c>
      <c r="O2078" t="s">
        <v>6694</v>
      </c>
      <c r="P2078" t="s">
        <v>6694</v>
      </c>
      <c r="W2078" t="s">
        <v>6720</v>
      </c>
    </row>
    <row r="2079" spans="1:23" ht="15.6" x14ac:dyDescent="0.4">
      <c r="A2079" s="2" t="s">
        <v>1494</v>
      </c>
      <c r="B2079" s="5" t="s">
        <v>8534</v>
      </c>
      <c r="C2079" s="7" t="s">
        <v>12556</v>
      </c>
      <c r="D2079" s="8">
        <f t="shared" si="132"/>
        <v>0</v>
      </c>
      <c r="E2079" s="7" t="s">
        <v>12557</v>
      </c>
      <c r="F2079" s="7">
        <f t="shared" si="133"/>
        <v>0</v>
      </c>
      <c r="G2079" s="7" t="s">
        <v>12558</v>
      </c>
      <c r="H2079" s="7">
        <f t="shared" si="134"/>
        <v>0</v>
      </c>
      <c r="I2079" s="7" t="str" cm="1">
        <f t="array" ref="I2079">IFERROR(_xlfn.IFS(M2079="נח",1,M2079="נע ונח",1,M2079="שני שווא נח",2,M2079="שני שוואים בסוף מילה",2,M2079="שני שוואים ברצף",1),"0")</f>
        <v>0</v>
      </c>
      <c r="J2079" s="9">
        <f t="shared" si="135"/>
        <v>3</v>
      </c>
      <c r="K2079" t="s">
        <v>6698</v>
      </c>
      <c r="L2079" t="s">
        <v>6694</v>
      </c>
      <c r="M2079" t="s">
        <v>6700</v>
      </c>
      <c r="R2079" t="s">
        <v>6694</v>
      </c>
      <c r="V2079" t="s">
        <v>6694</v>
      </c>
      <c r="W2079" t="s">
        <v>6720</v>
      </c>
    </row>
    <row r="2080" spans="1:23" ht="15.6" x14ac:dyDescent="0.4">
      <c r="A2080" s="2" t="s">
        <v>2255</v>
      </c>
      <c r="B2080" s="5" t="s">
        <v>8535</v>
      </c>
      <c r="C2080" s="7" t="s">
        <v>12556</v>
      </c>
      <c r="D2080" s="8">
        <f t="shared" si="132"/>
        <v>0</v>
      </c>
      <c r="E2080" s="7" t="s">
        <v>12557</v>
      </c>
      <c r="F2080" s="7">
        <f t="shared" si="133"/>
        <v>0</v>
      </c>
      <c r="G2080" s="7" t="s">
        <v>12558</v>
      </c>
      <c r="H2080" s="7">
        <f t="shared" si="134"/>
        <v>0</v>
      </c>
      <c r="I2080" s="7" t="str" cm="1">
        <f t="array" ref="I2080">IFERROR(_xlfn.IFS(M2080="נח",1,M2080="נע ונח",1,M2080="שני שווא נח",2,M2080="שני שוואים בסוף מילה",2,M2080="שני שוואים ברצף",1),"0")</f>
        <v>0</v>
      </c>
      <c r="J2080" s="9">
        <f t="shared" si="135"/>
        <v>3</v>
      </c>
      <c r="K2080" t="s">
        <v>6698</v>
      </c>
      <c r="L2080" t="s">
        <v>6694</v>
      </c>
      <c r="M2080" t="s">
        <v>6700</v>
      </c>
      <c r="Q2080" t="s">
        <v>6694</v>
      </c>
      <c r="V2080" t="s">
        <v>6694</v>
      </c>
      <c r="W2080" t="s">
        <v>6720</v>
      </c>
    </row>
    <row r="2081" spans="1:23" ht="15.6" x14ac:dyDescent="0.4">
      <c r="A2081" s="2" t="s">
        <v>4968</v>
      </c>
      <c r="B2081" s="5" t="s">
        <v>8536</v>
      </c>
      <c r="C2081" s="7" t="s">
        <v>12556</v>
      </c>
      <c r="D2081" s="8">
        <f t="shared" si="132"/>
        <v>0</v>
      </c>
      <c r="E2081" s="7" t="s">
        <v>12557</v>
      </c>
      <c r="F2081" s="7">
        <f t="shared" si="133"/>
        <v>0</v>
      </c>
      <c r="G2081" s="7" t="s">
        <v>12558</v>
      </c>
      <c r="H2081" s="7">
        <f t="shared" si="134"/>
        <v>0</v>
      </c>
      <c r="I2081" s="7" t="str" cm="1">
        <f t="array" ref="I2081">IFERROR(_xlfn.IFS(M2081="נח",1,M2081="נע ונח",1,M2081="שני שווא נח",2,M2081="שני שוואים בסוף מילה",2,M2081="שני שוואים ברצף",1),"0")</f>
        <v>0</v>
      </c>
      <c r="J2081" s="9">
        <f t="shared" si="135"/>
        <v>3</v>
      </c>
      <c r="K2081" t="s">
        <v>6697</v>
      </c>
      <c r="L2081" t="s">
        <v>6694</v>
      </c>
      <c r="M2081" t="s">
        <v>6700</v>
      </c>
      <c r="P2081" t="s">
        <v>6694</v>
      </c>
      <c r="V2081" t="s">
        <v>6694</v>
      </c>
      <c r="W2081" t="s">
        <v>6720</v>
      </c>
    </row>
    <row r="2082" spans="1:23" ht="15.6" x14ac:dyDescent="0.4">
      <c r="A2082" s="2" t="s">
        <v>1175</v>
      </c>
      <c r="B2082" s="5" t="s">
        <v>8537</v>
      </c>
      <c r="C2082" s="7" t="s">
        <v>12556</v>
      </c>
      <c r="D2082" s="8">
        <f t="shared" si="132"/>
        <v>0</v>
      </c>
      <c r="E2082" s="7" t="s">
        <v>12557</v>
      </c>
      <c r="F2082" s="7">
        <f t="shared" si="133"/>
        <v>0</v>
      </c>
      <c r="G2082" s="7" t="s">
        <v>12558</v>
      </c>
      <c r="H2082" s="7">
        <f t="shared" si="134"/>
        <v>0</v>
      </c>
      <c r="I2082" s="7" t="str" cm="1">
        <f t="array" ref="I2082">IFERROR(_xlfn.IFS(M2082="נח",1,M2082="נע ונח",1,M2082="שני שווא נח",2,M2082="שני שוואים בסוף מילה",2,M2082="שני שוואים ברצף",1),"0")</f>
        <v>0</v>
      </c>
      <c r="J2082" s="9">
        <f t="shared" si="135"/>
        <v>3</v>
      </c>
      <c r="K2082" t="s">
        <v>6697</v>
      </c>
      <c r="L2082" t="s">
        <v>6694</v>
      </c>
      <c r="M2082" t="s">
        <v>6700</v>
      </c>
      <c r="O2082" t="s">
        <v>6694</v>
      </c>
      <c r="V2082" t="s">
        <v>6694</v>
      </c>
      <c r="W2082" t="s">
        <v>6720</v>
      </c>
    </row>
    <row r="2083" spans="1:23" ht="15.6" x14ac:dyDescent="0.4">
      <c r="A2083" s="2" t="s">
        <v>6243</v>
      </c>
      <c r="B2083" s="5" t="s">
        <v>8538</v>
      </c>
      <c r="C2083" s="7" t="s">
        <v>12556</v>
      </c>
      <c r="D2083" s="8">
        <f t="shared" si="132"/>
        <v>0</v>
      </c>
      <c r="E2083" s="7" t="s">
        <v>12557</v>
      </c>
      <c r="F2083" s="7">
        <f t="shared" si="133"/>
        <v>0</v>
      </c>
      <c r="G2083" s="7" t="s">
        <v>12558</v>
      </c>
      <c r="H2083" s="7">
        <f t="shared" si="134"/>
        <v>0</v>
      </c>
      <c r="I2083" s="7" t="str" cm="1">
        <f t="array" ref="I2083">IFERROR(_xlfn.IFS(M2083="נח",1,M2083="נע ונח",1,M2083="שני שווא נח",2,M2083="שני שוואים בסוף מילה",2,M2083="שני שוואים ברצף",1),"0")</f>
        <v>0</v>
      </c>
      <c r="J2083" s="9">
        <f t="shared" si="135"/>
        <v>3</v>
      </c>
      <c r="K2083" t="s">
        <v>6698</v>
      </c>
      <c r="L2083" t="s">
        <v>6694</v>
      </c>
      <c r="M2083" t="s">
        <v>6700</v>
      </c>
      <c r="Q2083" t="s">
        <v>6694</v>
      </c>
      <c r="V2083" t="s">
        <v>6694</v>
      </c>
      <c r="W2083" t="s">
        <v>6720</v>
      </c>
    </row>
    <row r="2084" spans="1:23" ht="15.6" x14ac:dyDescent="0.4">
      <c r="A2084" s="2" t="s">
        <v>908</v>
      </c>
      <c r="B2084" s="5" t="s">
        <v>8539</v>
      </c>
      <c r="C2084" s="7" t="s">
        <v>12556</v>
      </c>
      <c r="D2084" s="8">
        <f t="shared" si="132"/>
        <v>0</v>
      </c>
      <c r="E2084" s="7" t="s">
        <v>12557</v>
      </c>
      <c r="F2084" s="7">
        <f t="shared" si="133"/>
        <v>1</v>
      </c>
      <c r="G2084" s="7" t="s">
        <v>12558</v>
      </c>
      <c r="H2084" s="7">
        <f t="shared" si="134"/>
        <v>0</v>
      </c>
      <c r="I2084" s="7" cm="1">
        <f t="array" ref="I2084">IFERROR(_xlfn.IFS(M2084="נח",1,M2084="נע ונח",1,M2084="שני שווא נח",2,M2084="שני שוואים בסוף מילה",2,M2084="שני שוואים ברצף",1),"0")</f>
        <v>1</v>
      </c>
      <c r="J2084" s="9">
        <f t="shared" si="135"/>
        <v>4</v>
      </c>
      <c r="K2084" t="s">
        <v>6698</v>
      </c>
      <c r="L2084" t="s">
        <v>6694</v>
      </c>
      <c r="M2084" t="s">
        <v>6701</v>
      </c>
      <c r="O2084" t="s">
        <v>6694</v>
      </c>
      <c r="P2084" t="s">
        <v>6694</v>
      </c>
      <c r="W2084" t="s">
        <v>6720</v>
      </c>
    </row>
    <row r="2085" spans="1:23" ht="15.6" x14ac:dyDescent="0.4">
      <c r="A2085" s="2" t="s">
        <v>2313</v>
      </c>
      <c r="B2085" s="5" t="s">
        <v>8540</v>
      </c>
      <c r="C2085" s="7" t="s">
        <v>12556</v>
      </c>
      <c r="D2085" s="8">
        <f t="shared" si="132"/>
        <v>0</v>
      </c>
      <c r="E2085" s="7" t="s">
        <v>12557</v>
      </c>
      <c r="F2085" s="7">
        <f t="shared" si="133"/>
        <v>0</v>
      </c>
      <c r="G2085" s="7" t="s">
        <v>12558</v>
      </c>
      <c r="H2085" s="7">
        <f t="shared" si="134"/>
        <v>0</v>
      </c>
      <c r="I2085" s="7" t="str" cm="1">
        <f t="array" ref="I2085">IFERROR(_xlfn.IFS(M2085="נח",1,M2085="נע ונח",1,M2085="שני שווא נח",2,M2085="שני שוואים בסוף מילה",2,M2085="שני שוואים ברצף",1),"0")</f>
        <v>0</v>
      </c>
      <c r="J2085" s="9">
        <f t="shared" si="135"/>
        <v>4</v>
      </c>
      <c r="K2085" t="s">
        <v>6697</v>
      </c>
      <c r="L2085" t="s">
        <v>6694</v>
      </c>
      <c r="M2085" t="s">
        <v>6700</v>
      </c>
      <c r="O2085" t="s">
        <v>6694</v>
      </c>
      <c r="Q2085" t="s">
        <v>6694</v>
      </c>
      <c r="V2085" t="s">
        <v>6694</v>
      </c>
      <c r="W2085" t="s">
        <v>6720</v>
      </c>
    </row>
    <row r="2086" spans="1:23" ht="15.6" x14ac:dyDescent="0.4">
      <c r="A2086" s="2" t="s">
        <v>2519</v>
      </c>
      <c r="B2086" s="5" t="s">
        <v>8541</v>
      </c>
      <c r="C2086" s="7" t="s">
        <v>12556</v>
      </c>
      <c r="D2086" s="8">
        <f t="shared" si="132"/>
        <v>0</v>
      </c>
      <c r="E2086" s="7" t="s">
        <v>12557</v>
      </c>
      <c r="F2086" s="7">
        <f t="shared" si="133"/>
        <v>0</v>
      </c>
      <c r="G2086" s="7" t="s">
        <v>12558</v>
      </c>
      <c r="H2086" s="7">
        <f t="shared" si="134"/>
        <v>0</v>
      </c>
      <c r="I2086" s="7" cm="1">
        <f t="array" ref="I2086">IFERROR(_xlfn.IFS(M2086="נח",1,M2086="נע ונח",1,M2086="שני שווא נח",2,M2086="שני שוואים בסוף מילה",2,M2086="שני שוואים ברצף",1),"0")</f>
        <v>1</v>
      </c>
      <c r="J2086" s="9">
        <f t="shared" si="135"/>
        <v>3</v>
      </c>
      <c r="K2086" t="s">
        <v>6698</v>
      </c>
      <c r="L2086" t="s">
        <v>6694</v>
      </c>
      <c r="M2086" t="s">
        <v>6701</v>
      </c>
      <c r="Q2086" t="s">
        <v>6694</v>
      </c>
      <c r="V2086" t="s">
        <v>6694</v>
      </c>
      <c r="W2086" t="s">
        <v>6720</v>
      </c>
    </row>
    <row r="2087" spans="1:23" ht="15.6" x14ac:dyDescent="0.4">
      <c r="A2087" s="2" t="s">
        <v>4480</v>
      </c>
      <c r="B2087" s="5" t="s">
        <v>8542</v>
      </c>
      <c r="C2087" s="7" t="s">
        <v>12556</v>
      </c>
      <c r="D2087" s="8">
        <f t="shared" si="132"/>
        <v>0</v>
      </c>
      <c r="E2087" s="7" t="s">
        <v>12557</v>
      </c>
      <c r="F2087" s="7">
        <f t="shared" si="133"/>
        <v>1</v>
      </c>
      <c r="G2087" s="7" t="s">
        <v>12558</v>
      </c>
      <c r="H2087" s="7">
        <f t="shared" si="134"/>
        <v>1</v>
      </c>
      <c r="I2087" s="7" cm="1">
        <f t="array" ref="I2087">IFERROR(_xlfn.IFS(M2087="נח",1,M2087="נע ונח",1,M2087="שני שווא נח",2,M2087="שני שוואים בסוף מילה",2,M2087="שני שוואים ברצף",1),"0")</f>
        <v>1</v>
      </c>
      <c r="J2087" s="9">
        <f t="shared" si="135"/>
        <v>3</v>
      </c>
      <c r="K2087" t="s">
        <v>6697</v>
      </c>
      <c r="L2087" t="s">
        <v>6694</v>
      </c>
      <c r="M2087" t="s">
        <v>6701</v>
      </c>
      <c r="S2087" t="s">
        <v>6694</v>
      </c>
      <c r="U2087" t="s">
        <v>6694</v>
      </c>
      <c r="W2087" t="s">
        <v>6720</v>
      </c>
    </row>
    <row r="2088" spans="1:23" ht="15.6" x14ac:dyDescent="0.4">
      <c r="A2088" s="2" t="s">
        <v>2025</v>
      </c>
      <c r="B2088" s="5" t="s">
        <v>8543</v>
      </c>
      <c r="C2088" s="7" t="s">
        <v>12556</v>
      </c>
      <c r="D2088" s="8">
        <f t="shared" si="132"/>
        <v>0</v>
      </c>
      <c r="E2088" s="7" t="s">
        <v>12557</v>
      </c>
      <c r="F2088" s="7">
        <f t="shared" si="133"/>
        <v>0</v>
      </c>
      <c r="G2088" s="7" t="s">
        <v>12558</v>
      </c>
      <c r="H2088" s="7">
        <f t="shared" si="134"/>
        <v>0</v>
      </c>
      <c r="I2088" s="7" t="str" cm="1">
        <f t="array" ref="I2088">IFERROR(_xlfn.IFS(M2088="נח",1,M2088="נע ונח",1,M2088="שני שווא נח",2,M2088="שני שוואים בסוף מילה",2,M2088="שני שוואים ברצף",1),"0")</f>
        <v>0</v>
      </c>
      <c r="J2088" s="9">
        <f t="shared" si="135"/>
        <v>2</v>
      </c>
      <c r="K2088" t="s">
        <v>6698</v>
      </c>
      <c r="L2088" t="s">
        <v>6694</v>
      </c>
      <c r="M2088" t="s">
        <v>6700</v>
      </c>
      <c r="S2088" t="s">
        <v>6694</v>
      </c>
      <c r="W2088" t="s">
        <v>6720</v>
      </c>
    </row>
    <row r="2089" spans="1:23" ht="15.6" x14ac:dyDescent="0.4">
      <c r="A2089" s="2" t="s">
        <v>5439</v>
      </c>
      <c r="B2089" s="5" t="s">
        <v>8544</v>
      </c>
      <c r="C2089" s="7" t="s">
        <v>12556</v>
      </c>
      <c r="D2089" s="8">
        <f t="shared" si="132"/>
        <v>0</v>
      </c>
      <c r="E2089" s="7" t="s">
        <v>12557</v>
      </c>
      <c r="F2089" s="7">
        <f t="shared" si="133"/>
        <v>1</v>
      </c>
      <c r="G2089" s="7" t="s">
        <v>12558</v>
      </c>
      <c r="H2089" s="7">
        <f t="shared" si="134"/>
        <v>0</v>
      </c>
      <c r="I2089" s="7" cm="1">
        <f t="array" ref="I2089">IFERROR(_xlfn.IFS(M2089="נח",1,M2089="נע ונח",1,M2089="שני שווא נח",2,M2089="שני שוואים בסוף מילה",2,M2089="שני שוואים ברצף",1),"0")</f>
        <v>1</v>
      </c>
      <c r="J2089" s="9">
        <f t="shared" si="135"/>
        <v>3</v>
      </c>
      <c r="K2089" t="s">
        <v>6697</v>
      </c>
      <c r="L2089" t="s">
        <v>6694</v>
      </c>
      <c r="M2089" t="s">
        <v>6701</v>
      </c>
      <c r="O2089" t="s">
        <v>6694</v>
      </c>
      <c r="S2089" t="s">
        <v>6694</v>
      </c>
      <c r="W2089" t="s">
        <v>6720</v>
      </c>
    </row>
    <row r="2090" spans="1:23" ht="15.6" x14ac:dyDescent="0.4">
      <c r="A2090" s="2" t="s">
        <v>4774</v>
      </c>
      <c r="B2090" s="5" t="s">
        <v>8545</v>
      </c>
      <c r="C2090" s="7" t="s">
        <v>12556</v>
      </c>
      <c r="D2090" s="8">
        <f t="shared" si="132"/>
        <v>0</v>
      </c>
      <c r="E2090" s="7" t="s">
        <v>12557</v>
      </c>
      <c r="F2090" s="7">
        <f t="shared" si="133"/>
        <v>1</v>
      </c>
      <c r="G2090" s="7" t="s">
        <v>12558</v>
      </c>
      <c r="H2090" s="7">
        <f t="shared" si="134"/>
        <v>0</v>
      </c>
      <c r="I2090" s="7" cm="1">
        <f t="array" ref="I2090">IFERROR(_xlfn.IFS(M2090="נח",1,M2090="נע ונח",1,M2090="שני שווא נח",2,M2090="שני שוואים בסוף מילה",2,M2090="שני שוואים ברצף",1),"0")</f>
        <v>1</v>
      </c>
      <c r="J2090" s="9">
        <f t="shared" si="135"/>
        <v>5</v>
      </c>
      <c r="K2090" t="s">
        <v>6697</v>
      </c>
      <c r="L2090" t="s">
        <v>6694</v>
      </c>
      <c r="M2090" t="s">
        <v>6701</v>
      </c>
      <c r="O2090" t="s">
        <v>6694</v>
      </c>
      <c r="R2090" t="s">
        <v>6694</v>
      </c>
      <c r="S2090" t="s">
        <v>6694</v>
      </c>
      <c r="V2090" t="s">
        <v>6694</v>
      </c>
      <c r="W2090" t="s">
        <v>6720</v>
      </c>
    </row>
    <row r="2091" spans="1:23" ht="15.6" x14ac:dyDescent="0.4">
      <c r="A2091" s="2" t="s">
        <v>6084</v>
      </c>
      <c r="B2091" s="5" t="s">
        <v>8546</v>
      </c>
      <c r="C2091" s="7" t="s">
        <v>12556</v>
      </c>
      <c r="D2091" s="8">
        <f t="shared" si="132"/>
        <v>0</v>
      </c>
      <c r="E2091" s="7" t="s">
        <v>12557</v>
      </c>
      <c r="F2091" s="7">
        <f t="shared" si="133"/>
        <v>0</v>
      </c>
      <c r="G2091" s="7" t="s">
        <v>12558</v>
      </c>
      <c r="H2091" s="7">
        <f t="shared" si="134"/>
        <v>0</v>
      </c>
      <c r="I2091" s="7" t="str" cm="1">
        <f t="array" ref="I2091">IFERROR(_xlfn.IFS(M2091="נח",1,M2091="נע ונח",1,M2091="שני שווא נח",2,M2091="שני שוואים בסוף מילה",2,M2091="שני שוואים ברצף",1),"0")</f>
        <v>0</v>
      </c>
      <c r="J2091" s="9">
        <f t="shared" si="135"/>
        <v>3</v>
      </c>
      <c r="K2091" t="s">
        <v>6697</v>
      </c>
      <c r="L2091" t="s">
        <v>6694</v>
      </c>
      <c r="M2091" t="s">
        <v>6700</v>
      </c>
      <c r="O2091" t="s">
        <v>6694</v>
      </c>
      <c r="Q2091" t="s">
        <v>6694</v>
      </c>
      <c r="W2091" t="s">
        <v>6720</v>
      </c>
    </row>
    <row r="2092" spans="1:23" ht="15.6" x14ac:dyDescent="0.4">
      <c r="A2092" s="2" t="s">
        <v>6052</v>
      </c>
      <c r="B2092" s="5" t="s">
        <v>8547</v>
      </c>
      <c r="C2092" s="7" t="s">
        <v>12556</v>
      </c>
      <c r="D2092" s="8">
        <f t="shared" si="132"/>
        <v>0</v>
      </c>
      <c r="E2092" s="7" t="s">
        <v>12557</v>
      </c>
      <c r="F2092" s="7">
        <f t="shared" si="133"/>
        <v>0</v>
      </c>
      <c r="G2092" s="7" t="s">
        <v>12558</v>
      </c>
      <c r="H2092" s="7">
        <f t="shared" si="134"/>
        <v>0</v>
      </c>
      <c r="I2092" s="7" t="str" cm="1">
        <f t="array" ref="I2092">IFERROR(_xlfn.IFS(M2092="נח",1,M2092="נע ונח",1,M2092="שני שווא נח",2,M2092="שני שוואים בסוף מילה",2,M2092="שני שוואים ברצף",1),"0")</f>
        <v>0</v>
      </c>
      <c r="J2092" s="9">
        <f t="shared" si="135"/>
        <v>4</v>
      </c>
      <c r="K2092" t="s">
        <v>6698</v>
      </c>
      <c r="L2092" t="s">
        <v>6694</v>
      </c>
      <c r="M2092" t="s">
        <v>6700</v>
      </c>
      <c r="N2092" t="s">
        <v>6706</v>
      </c>
      <c r="O2092" t="s">
        <v>6694</v>
      </c>
      <c r="Q2092" t="s">
        <v>6694</v>
      </c>
      <c r="V2092" t="s">
        <v>6694</v>
      </c>
      <c r="W2092" t="s">
        <v>6720</v>
      </c>
    </row>
    <row r="2093" spans="1:23" ht="15.6" x14ac:dyDescent="0.4">
      <c r="A2093" s="2" t="s">
        <v>2027</v>
      </c>
      <c r="B2093" s="5" t="s">
        <v>8548</v>
      </c>
      <c r="C2093" s="7" t="s">
        <v>12556</v>
      </c>
      <c r="D2093" s="8">
        <f t="shared" si="132"/>
        <v>0</v>
      </c>
      <c r="E2093" s="7" t="s">
        <v>12557</v>
      </c>
      <c r="F2093" s="7">
        <f t="shared" si="133"/>
        <v>0</v>
      </c>
      <c r="G2093" s="7" t="s">
        <v>12558</v>
      </c>
      <c r="H2093" s="7">
        <f t="shared" si="134"/>
        <v>0</v>
      </c>
      <c r="I2093" s="7" t="str" cm="1">
        <f t="array" ref="I2093">IFERROR(_xlfn.IFS(M2093="נח",1,M2093="נע ונח",1,M2093="שני שווא נח",2,M2093="שני שוואים בסוף מילה",2,M2093="שני שוואים ברצף",1),"0")</f>
        <v>0</v>
      </c>
      <c r="J2093" s="9">
        <f t="shared" si="135"/>
        <v>4</v>
      </c>
      <c r="K2093" t="s">
        <v>6698</v>
      </c>
      <c r="L2093" t="s">
        <v>6694</v>
      </c>
      <c r="M2093" t="s">
        <v>6700</v>
      </c>
      <c r="P2093" t="s">
        <v>6694</v>
      </c>
      <c r="Q2093" t="s">
        <v>6694</v>
      </c>
      <c r="S2093" t="s">
        <v>6694</v>
      </c>
      <c r="W2093" t="s">
        <v>6720</v>
      </c>
    </row>
    <row r="2094" spans="1:23" ht="15.6" x14ac:dyDescent="0.4">
      <c r="A2094" s="2" t="s">
        <v>4253</v>
      </c>
      <c r="B2094" s="5" t="s">
        <v>8549</v>
      </c>
      <c r="C2094" s="7" t="s">
        <v>12556</v>
      </c>
      <c r="D2094" s="8">
        <f t="shared" si="132"/>
        <v>0</v>
      </c>
      <c r="E2094" s="7" t="s">
        <v>12557</v>
      </c>
      <c r="F2094" s="7">
        <f t="shared" si="133"/>
        <v>0</v>
      </c>
      <c r="G2094" s="7" t="s">
        <v>12558</v>
      </c>
      <c r="H2094" s="7">
        <f t="shared" si="134"/>
        <v>0</v>
      </c>
      <c r="I2094" s="7" t="str" cm="1">
        <f t="array" ref="I2094">IFERROR(_xlfn.IFS(M2094="נח",1,M2094="נע ונח",1,M2094="שני שווא נח",2,M2094="שני שוואים בסוף מילה",2,M2094="שני שוואים ברצף",1),"0")</f>
        <v>0</v>
      </c>
      <c r="J2094" s="9">
        <f t="shared" si="135"/>
        <v>3</v>
      </c>
      <c r="K2094" t="s">
        <v>6698</v>
      </c>
      <c r="L2094" t="s">
        <v>6694</v>
      </c>
      <c r="M2094" t="s">
        <v>6700</v>
      </c>
      <c r="Q2094" t="s">
        <v>6694</v>
      </c>
      <c r="R2094" t="s">
        <v>6694</v>
      </c>
      <c r="W2094" t="s">
        <v>6720</v>
      </c>
    </row>
    <row r="2095" spans="1:23" ht="15.6" x14ac:dyDescent="0.4">
      <c r="A2095" s="2" t="s">
        <v>682</v>
      </c>
      <c r="B2095" s="5" t="s">
        <v>8550</v>
      </c>
      <c r="C2095" s="7" t="s">
        <v>12556</v>
      </c>
      <c r="D2095" s="8">
        <f t="shared" si="132"/>
        <v>1</v>
      </c>
      <c r="E2095" s="7" t="s">
        <v>12557</v>
      </c>
      <c r="F2095" s="7">
        <f t="shared" si="133"/>
        <v>0</v>
      </c>
      <c r="G2095" s="7" t="s">
        <v>12558</v>
      </c>
      <c r="H2095" s="7">
        <f t="shared" si="134"/>
        <v>0</v>
      </c>
      <c r="I2095" s="7" t="str" cm="1">
        <f t="array" ref="I2095">IFERROR(_xlfn.IFS(M2095="נח",1,M2095="נע ונח",1,M2095="שני שווא נח",2,M2095="שני שוואים בסוף מילה",2,M2095="שני שוואים ברצף",1),"0")</f>
        <v>0</v>
      </c>
      <c r="J2095" s="9">
        <f t="shared" si="135"/>
        <v>3</v>
      </c>
      <c r="K2095" t="s">
        <v>6698</v>
      </c>
      <c r="L2095" t="s">
        <v>6694</v>
      </c>
      <c r="M2095" t="s">
        <v>6700</v>
      </c>
      <c r="Q2095" t="s">
        <v>6694</v>
      </c>
      <c r="R2095" t="s">
        <v>6694</v>
      </c>
      <c r="W2095" t="s">
        <v>6720</v>
      </c>
    </row>
    <row r="2096" spans="1:23" ht="15.6" x14ac:dyDescent="0.4">
      <c r="A2096" s="2" t="s">
        <v>1998</v>
      </c>
      <c r="B2096" s="5" t="s">
        <v>8551</v>
      </c>
      <c r="C2096" s="7" t="s">
        <v>12556</v>
      </c>
      <c r="D2096" s="8">
        <f t="shared" si="132"/>
        <v>0</v>
      </c>
      <c r="E2096" s="7" t="s">
        <v>12557</v>
      </c>
      <c r="F2096" s="7">
        <f t="shared" si="133"/>
        <v>0</v>
      </c>
      <c r="G2096" s="7" t="s">
        <v>12558</v>
      </c>
      <c r="H2096" s="7">
        <f t="shared" si="134"/>
        <v>0</v>
      </c>
      <c r="I2096" s="7" cm="1">
        <f t="array" ref="I2096">IFERROR(_xlfn.IFS(M2096="נח",1,M2096="נע ונח",1,M2096="שני שווא נח",2,M2096="שני שוואים בסוף מילה",2,M2096="שני שוואים ברצף",1),"0")</f>
        <v>1</v>
      </c>
      <c r="J2096" s="9">
        <f t="shared" si="135"/>
        <v>3</v>
      </c>
      <c r="K2096" t="s">
        <v>6698</v>
      </c>
      <c r="L2096" t="s">
        <v>6694</v>
      </c>
      <c r="M2096" t="s">
        <v>6701</v>
      </c>
      <c r="R2096" t="s">
        <v>6694</v>
      </c>
      <c r="V2096" t="s">
        <v>6694</v>
      </c>
      <c r="W2096" t="s">
        <v>6720</v>
      </c>
    </row>
    <row r="2097" spans="1:23" ht="15.6" x14ac:dyDescent="0.4">
      <c r="A2097" s="2" t="s">
        <v>5015</v>
      </c>
      <c r="B2097" s="5" t="s">
        <v>8552</v>
      </c>
      <c r="C2097" s="7" t="s">
        <v>12556</v>
      </c>
      <c r="D2097" s="8">
        <f t="shared" si="132"/>
        <v>0</v>
      </c>
      <c r="E2097" s="7" t="s">
        <v>12557</v>
      </c>
      <c r="F2097" s="7">
        <f t="shared" si="133"/>
        <v>1</v>
      </c>
      <c r="G2097" s="7" t="s">
        <v>12558</v>
      </c>
      <c r="H2097" s="7">
        <f t="shared" si="134"/>
        <v>0</v>
      </c>
      <c r="I2097" s="7" cm="1">
        <f t="array" ref="I2097">IFERROR(_xlfn.IFS(M2097="נח",1,M2097="נע ונח",1,M2097="שני שווא נח",2,M2097="שני שוואים בסוף מילה",2,M2097="שני שוואים ברצף",1),"0")</f>
        <v>1</v>
      </c>
      <c r="J2097" s="9">
        <f t="shared" si="135"/>
        <v>4</v>
      </c>
      <c r="K2097" t="s">
        <v>6697</v>
      </c>
      <c r="L2097" t="s">
        <v>6694</v>
      </c>
      <c r="M2097" t="s">
        <v>6701</v>
      </c>
      <c r="O2097" t="s">
        <v>6694</v>
      </c>
      <c r="P2097" t="s">
        <v>6694</v>
      </c>
      <c r="W2097" t="s">
        <v>6720</v>
      </c>
    </row>
    <row r="2098" spans="1:23" ht="15.6" x14ac:dyDescent="0.4">
      <c r="A2098" s="2" t="s">
        <v>521</v>
      </c>
      <c r="B2098" s="5" t="s">
        <v>8553</v>
      </c>
      <c r="C2098" s="7" t="s">
        <v>12556</v>
      </c>
      <c r="D2098" s="8">
        <f t="shared" si="132"/>
        <v>0</v>
      </c>
      <c r="E2098" s="7" t="s">
        <v>12557</v>
      </c>
      <c r="F2098" s="7">
        <f t="shared" si="133"/>
        <v>0</v>
      </c>
      <c r="G2098" s="7" t="s">
        <v>12558</v>
      </c>
      <c r="H2098" s="7">
        <f t="shared" si="134"/>
        <v>0</v>
      </c>
      <c r="I2098" s="7" t="str" cm="1">
        <f t="array" ref="I2098">IFERROR(_xlfn.IFS(M2098="נח",1,M2098="נע ונח",1,M2098="שני שווא נח",2,M2098="שני שוואים בסוף מילה",2,M2098="שני שוואים ברצף",1),"0")</f>
        <v>0</v>
      </c>
      <c r="J2098" s="9">
        <f t="shared" si="135"/>
        <v>2</v>
      </c>
      <c r="K2098" t="s">
        <v>6698</v>
      </c>
      <c r="L2098" t="s">
        <v>6694</v>
      </c>
      <c r="M2098" t="s">
        <v>6700</v>
      </c>
      <c r="P2098" t="s">
        <v>6694</v>
      </c>
      <c r="W2098" t="s">
        <v>6720</v>
      </c>
    </row>
    <row r="2099" spans="1:23" ht="15.6" x14ac:dyDescent="0.4">
      <c r="A2099" s="2" t="s">
        <v>1279</v>
      </c>
      <c r="B2099" s="5" t="s">
        <v>8554</v>
      </c>
      <c r="C2099" s="7" t="s">
        <v>12556</v>
      </c>
      <c r="D2099" s="8">
        <f t="shared" si="132"/>
        <v>0</v>
      </c>
      <c r="E2099" s="7" t="s">
        <v>12557</v>
      </c>
      <c r="F2099" s="7">
        <f t="shared" si="133"/>
        <v>0</v>
      </c>
      <c r="G2099" s="7" t="s">
        <v>12558</v>
      </c>
      <c r="H2099" s="7">
        <f t="shared" si="134"/>
        <v>0</v>
      </c>
      <c r="I2099" s="7" t="str" cm="1">
        <f t="array" ref="I2099">IFERROR(_xlfn.IFS(M2099="נח",1,M2099="נע ונח",1,M2099="שני שווא נח",2,M2099="שני שוואים בסוף מילה",2,M2099="שני שוואים ברצף",1),"0")</f>
        <v>0</v>
      </c>
      <c r="J2099" s="9">
        <f t="shared" si="135"/>
        <v>2</v>
      </c>
      <c r="K2099" t="s">
        <v>6698</v>
      </c>
      <c r="L2099" t="s">
        <v>6694</v>
      </c>
      <c r="M2099" t="s">
        <v>6700</v>
      </c>
      <c r="P2099" t="s">
        <v>6694</v>
      </c>
      <c r="W2099" t="s">
        <v>6720</v>
      </c>
    </row>
    <row r="2100" spans="1:23" ht="15.6" x14ac:dyDescent="0.4">
      <c r="A2100" s="2" t="s">
        <v>5684</v>
      </c>
      <c r="B2100" s="5" t="s">
        <v>8543</v>
      </c>
      <c r="C2100" s="7" t="s">
        <v>12556</v>
      </c>
      <c r="D2100" s="8">
        <f t="shared" si="132"/>
        <v>0</v>
      </c>
      <c r="E2100" s="7" t="s">
        <v>12557</v>
      </c>
      <c r="F2100" s="7">
        <f t="shared" si="133"/>
        <v>0</v>
      </c>
      <c r="G2100" s="7" t="s">
        <v>12558</v>
      </c>
      <c r="H2100" s="7">
        <f t="shared" si="134"/>
        <v>0</v>
      </c>
      <c r="I2100" s="7" t="str" cm="1">
        <f t="array" ref="I2100">IFERROR(_xlfn.IFS(M2100="נח",1,M2100="נע ונח",1,M2100="שני שווא נח",2,M2100="שני שוואים בסוף מילה",2,M2100="שני שוואים ברצף",1),"0")</f>
        <v>0</v>
      </c>
      <c r="J2100" s="9">
        <f t="shared" si="135"/>
        <v>2</v>
      </c>
      <c r="K2100" t="s">
        <v>6698</v>
      </c>
      <c r="L2100" t="s">
        <v>6694</v>
      </c>
      <c r="M2100" t="s">
        <v>6700</v>
      </c>
      <c r="P2100" t="s">
        <v>6694</v>
      </c>
      <c r="W2100" t="s">
        <v>6720</v>
      </c>
    </row>
    <row r="2101" spans="1:23" ht="15.6" x14ac:dyDescent="0.4">
      <c r="A2101" s="2" t="s">
        <v>4934</v>
      </c>
      <c r="B2101" s="5" t="s">
        <v>8544</v>
      </c>
      <c r="C2101" s="7" t="s">
        <v>12556</v>
      </c>
      <c r="D2101" s="8">
        <f t="shared" si="132"/>
        <v>0</v>
      </c>
      <c r="E2101" s="7" t="s">
        <v>12557</v>
      </c>
      <c r="F2101" s="7">
        <f t="shared" si="133"/>
        <v>1</v>
      </c>
      <c r="G2101" s="7" t="s">
        <v>12558</v>
      </c>
      <c r="H2101" s="7">
        <f t="shared" si="134"/>
        <v>0</v>
      </c>
      <c r="I2101" s="7" cm="1">
        <f t="array" ref="I2101">IFERROR(_xlfn.IFS(M2101="נח",1,M2101="נע ונח",1,M2101="שני שווא נח",2,M2101="שני שוואים בסוף מילה",2,M2101="שני שוואים ברצף",1),"0")</f>
        <v>1</v>
      </c>
      <c r="J2101" s="9">
        <f t="shared" si="135"/>
        <v>3</v>
      </c>
      <c r="K2101" t="s">
        <v>6697</v>
      </c>
      <c r="L2101" t="s">
        <v>6694</v>
      </c>
      <c r="M2101" t="s">
        <v>6701</v>
      </c>
      <c r="O2101" t="s">
        <v>6694</v>
      </c>
      <c r="P2101" t="s">
        <v>6694</v>
      </c>
      <c r="W2101" t="s">
        <v>6720</v>
      </c>
    </row>
    <row r="2102" spans="1:23" ht="15.6" x14ac:dyDescent="0.4">
      <c r="A2102" s="2" t="s">
        <v>5562</v>
      </c>
      <c r="B2102" s="5" t="s">
        <v>8555</v>
      </c>
      <c r="C2102" s="7" t="s">
        <v>12556</v>
      </c>
      <c r="D2102" s="8">
        <f t="shared" si="132"/>
        <v>0</v>
      </c>
      <c r="E2102" s="7" t="s">
        <v>12557</v>
      </c>
      <c r="F2102" s="7">
        <f t="shared" si="133"/>
        <v>1</v>
      </c>
      <c r="G2102" s="7" t="s">
        <v>12558</v>
      </c>
      <c r="H2102" s="7">
        <f t="shared" si="134"/>
        <v>0</v>
      </c>
      <c r="I2102" s="7" t="str" cm="1">
        <f t="array" ref="I2102">IFERROR(_xlfn.IFS(M2102="נח",1,M2102="נע ונח",1,M2102="שני שווא נח",2,M2102="שני שוואים בסוף מילה",2,M2102="שני שוואים ברצף",1),"0")</f>
        <v>0</v>
      </c>
      <c r="J2102" s="9">
        <f t="shared" si="135"/>
        <v>3</v>
      </c>
      <c r="K2102" t="s">
        <v>6698</v>
      </c>
      <c r="L2102" t="s">
        <v>6694</v>
      </c>
      <c r="M2102" t="s">
        <v>6700</v>
      </c>
      <c r="P2102" t="s">
        <v>6694</v>
      </c>
      <c r="S2102" t="s">
        <v>6694</v>
      </c>
      <c r="W2102" t="s">
        <v>6720</v>
      </c>
    </row>
    <row r="2103" spans="1:23" ht="15.6" x14ac:dyDescent="0.4">
      <c r="A2103" s="2" t="s">
        <v>2057</v>
      </c>
      <c r="B2103" s="5" t="s">
        <v>8556</v>
      </c>
      <c r="C2103" s="7" t="s">
        <v>12556</v>
      </c>
      <c r="D2103" s="8">
        <f t="shared" si="132"/>
        <v>0</v>
      </c>
      <c r="E2103" s="7" t="s">
        <v>12557</v>
      </c>
      <c r="F2103" s="7">
        <f t="shared" si="133"/>
        <v>0</v>
      </c>
      <c r="G2103" s="7" t="s">
        <v>12558</v>
      </c>
      <c r="H2103" s="7">
        <f t="shared" si="134"/>
        <v>0</v>
      </c>
      <c r="I2103" s="7" cm="1">
        <f t="array" ref="I2103">IFERROR(_xlfn.IFS(M2103="נח",1,M2103="נע ונח",1,M2103="שני שווא נח",2,M2103="שני שוואים בסוף מילה",2,M2103="שני שוואים ברצף",1),"0")</f>
        <v>1</v>
      </c>
      <c r="J2103" s="9">
        <f t="shared" si="135"/>
        <v>5</v>
      </c>
      <c r="K2103" t="s">
        <v>6697</v>
      </c>
      <c r="L2103" t="s">
        <v>6694</v>
      </c>
      <c r="M2103" t="s">
        <v>6701</v>
      </c>
      <c r="O2103" t="s">
        <v>6694</v>
      </c>
      <c r="P2103" t="s">
        <v>6694</v>
      </c>
      <c r="W2103" t="s">
        <v>6720</v>
      </c>
    </row>
    <row r="2104" spans="1:23" ht="15.6" x14ac:dyDescent="0.4">
      <c r="A2104" s="2" t="s">
        <v>3694</v>
      </c>
      <c r="B2104" s="5" t="s">
        <v>8557</v>
      </c>
      <c r="C2104" s="7" t="s">
        <v>12556</v>
      </c>
      <c r="D2104" s="8">
        <f t="shared" si="132"/>
        <v>0</v>
      </c>
      <c r="E2104" s="7" t="s">
        <v>12557</v>
      </c>
      <c r="F2104" s="7">
        <f t="shared" si="133"/>
        <v>0</v>
      </c>
      <c r="G2104" s="7" t="s">
        <v>12558</v>
      </c>
      <c r="H2104" s="7">
        <f t="shared" si="134"/>
        <v>0</v>
      </c>
      <c r="I2104" s="7" cm="1">
        <f t="array" ref="I2104">IFERROR(_xlfn.IFS(M2104="נח",1,M2104="נע ונח",1,M2104="שני שווא נח",2,M2104="שני שוואים בסוף מילה",2,M2104="שני שוואים ברצף",1),"0")</f>
        <v>1</v>
      </c>
      <c r="J2104" s="9">
        <f t="shared" si="135"/>
        <v>3</v>
      </c>
      <c r="K2104" t="s">
        <v>6697</v>
      </c>
      <c r="L2104" t="s">
        <v>6694</v>
      </c>
      <c r="M2104" t="s">
        <v>6701</v>
      </c>
      <c r="O2104" t="s">
        <v>6694</v>
      </c>
      <c r="P2104" t="s">
        <v>6694</v>
      </c>
      <c r="W2104" t="s">
        <v>6720</v>
      </c>
    </row>
    <row r="2105" spans="1:23" ht="15.6" x14ac:dyDescent="0.4">
      <c r="A2105" s="2" t="s">
        <v>2284</v>
      </c>
      <c r="B2105" s="5" t="s">
        <v>8558</v>
      </c>
      <c r="C2105" s="7" t="s">
        <v>12556</v>
      </c>
      <c r="D2105" s="8">
        <f t="shared" si="132"/>
        <v>0</v>
      </c>
      <c r="E2105" s="7" t="s">
        <v>12557</v>
      </c>
      <c r="F2105" s="7">
        <f t="shared" si="133"/>
        <v>1</v>
      </c>
      <c r="G2105" s="7" t="s">
        <v>12558</v>
      </c>
      <c r="H2105" s="7">
        <f t="shared" si="134"/>
        <v>0</v>
      </c>
      <c r="I2105" s="7" t="str" cm="1">
        <f t="array" ref="I2105">IFERROR(_xlfn.IFS(M2105="נח",1,M2105="נע ונח",1,M2105="שני שווא נח",2,M2105="שני שוואים בסוף מילה",2,M2105="שני שוואים ברצף",1),"0")</f>
        <v>0</v>
      </c>
      <c r="J2105" s="9">
        <f t="shared" si="135"/>
        <v>3</v>
      </c>
      <c r="K2105" t="s">
        <v>6697</v>
      </c>
      <c r="L2105" t="s">
        <v>6694</v>
      </c>
      <c r="M2105" t="s">
        <v>6700</v>
      </c>
      <c r="O2105" t="s">
        <v>6694</v>
      </c>
      <c r="P2105" t="s">
        <v>6694</v>
      </c>
      <c r="W2105" t="s">
        <v>6720</v>
      </c>
    </row>
    <row r="2106" spans="1:23" ht="15.6" x14ac:dyDescent="0.4">
      <c r="A2106" s="2" t="s">
        <v>3836</v>
      </c>
      <c r="B2106" s="5" t="s">
        <v>8559</v>
      </c>
      <c r="C2106" s="7" t="s">
        <v>12556</v>
      </c>
      <c r="D2106" s="8">
        <f t="shared" si="132"/>
        <v>0</v>
      </c>
      <c r="E2106" s="7" t="s">
        <v>12557</v>
      </c>
      <c r="F2106" s="7">
        <f t="shared" si="133"/>
        <v>1</v>
      </c>
      <c r="G2106" s="7" t="s">
        <v>12558</v>
      </c>
      <c r="H2106" s="7">
        <f t="shared" si="134"/>
        <v>1</v>
      </c>
      <c r="I2106" s="7" cm="1">
        <f t="array" ref="I2106">IFERROR(_xlfn.IFS(M2106="נח",1,M2106="נע ונח",1,M2106="שני שווא נח",2,M2106="שני שוואים בסוף מילה",2,M2106="שני שוואים ברצף",1),"0")</f>
        <v>1</v>
      </c>
      <c r="J2106" s="9">
        <f t="shared" si="135"/>
        <v>3</v>
      </c>
      <c r="K2106" t="s">
        <v>6697</v>
      </c>
      <c r="L2106" t="s">
        <v>6694</v>
      </c>
      <c r="M2106" t="s">
        <v>6701</v>
      </c>
      <c r="N2106" t="s">
        <v>6706</v>
      </c>
      <c r="O2106" t="s">
        <v>6694</v>
      </c>
      <c r="U2106" t="s">
        <v>6694</v>
      </c>
      <c r="W2106" t="s">
        <v>6720</v>
      </c>
    </row>
    <row r="2107" spans="1:23" ht="15.6" x14ac:dyDescent="0.4">
      <c r="A2107" s="2" t="s">
        <v>5356</v>
      </c>
      <c r="B2107" s="5" t="s">
        <v>8560</v>
      </c>
      <c r="C2107" s="7" t="s">
        <v>12556</v>
      </c>
      <c r="D2107" s="8">
        <f t="shared" si="132"/>
        <v>0</v>
      </c>
      <c r="E2107" s="7" t="s">
        <v>12557</v>
      </c>
      <c r="F2107" s="7">
        <f t="shared" si="133"/>
        <v>0</v>
      </c>
      <c r="G2107" s="7" t="s">
        <v>12558</v>
      </c>
      <c r="H2107" s="7">
        <f t="shared" si="134"/>
        <v>0</v>
      </c>
      <c r="I2107" s="7" t="str" cm="1">
        <f t="array" ref="I2107">IFERROR(_xlfn.IFS(M2107="נח",1,M2107="נע ונח",1,M2107="שני שווא נח",2,M2107="שני שוואים בסוף מילה",2,M2107="שני שוואים ברצף",1),"0")</f>
        <v>0</v>
      </c>
      <c r="J2107" s="9">
        <f t="shared" si="135"/>
        <v>3</v>
      </c>
      <c r="K2107" t="s">
        <v>6698</v>
      </c>
      <c r="L2107" t="s">
        <v>6694</v>
      </c>
      <c r="M2107" t="s">
        <v>6700</v>
      </c>
      <c r="N2107" t="s">
        <v>6706</v>
      </c>
      <c r="O2107" t="s">
        <v>6694</v>
      </c>
      <c r="Q2107" t="s">
        <v>6694</v>
      </c>
      <c r="W2107" t="s">
        <v>6720</v>
      </c>
    </row>
    <row r="2108" spans="1:23" ht="15.6" x14ac:dyDescent="0.4">
      <c r="A2108" s="2" t="s">
        <v>183</v>
      </c>
      <c r="B2108" s="5" t="s">
        <v>8561</v>
      </c>
      <c r="C2108" s="7" t="s">
        <v>12556</v>
      </c>
      <c r="D2108" s="8">
        <f t="shared" si="132"/>
        <v>0</v>
      </c>
      <c r="E2108" s="7" t="s">
        <v>12557</v>
      </c>
      <c r="F2108" s="7">
        <f t="shared" si="133"/>
        <v>1</v>
      </c>
      <c r="G2108" s="7" t="s">
        <v>12558</v>
      </c>
      <c r="H2108" s="7">
        <f t="shared" si="134"/>
        <v>1</v>
      </c>
      <c r="I2108" s="7" t="str" cm="1">
        <f t="array" ref="I2108">IFERROR(_xlfn.IFS(M2108="נח",1,M2108="נע ונח",1,M2108="שני שווא נח",2,M2108="שני שוואים בסוף מילה",2,M2108="שני שוואים ברצף",1),"0")</f>
        <v>0</v>
      </c>
      <c r="J2108" s="9">
        <f t="shared" si="135"/>
        <v>4</v>
      </c>
      <c r="K2108" t="s">
        <v>6697</v>
      </c>
      <c r="L2108" t="s">
        <v>6694</v>
      </c>
      <c r="M2108" t="s">
        <v>6700</v>
      </c>
      <c r="O2108" t="s">
        <v>6694</v>
      </c>
      <c r="Q2108" t="s">
        <v>6694</v>
      </c>
      <c r="U2108" t="s">
        <v>6694</v>
      </c>
      <c r="W2108" t="s">
        <v>6720</v>
      </c>
    </row>
    <row r="2109" spans="1:23" ht="15.6" x14ac:dyDescent="0.4">
      <c r="A2109" s="2" t="s">
        <v>3954</v>
      </c>
      <c r="B2109" s="5" t="s">
        <v>8562</v>
      </c>
      <c r="C2109" s="7" t="s">
        <v>12556</v>
      </c>
      <c r="D2109" s="8">
        <f t="shared" si="132"/>
        <v>0</v>
      </c>
      <c r="E2109" s="7" t="s">
        <v>12557</v>
      </c>
      <c r="F2109" s="7">
        <f t="shared" si="133"/>
        <v>0</v>
      </c>
      <c r="G2109" s="7" t="s">
        <v>12558</v>
      </c>
      <c r="H2109" s="7">
        <f t="shared" si="134"/>
        <v>0</v>
      </c>
      <c r="I2109" s="7" t="str" cm="1">
        <f t="array" ref="I2109">IFERROR(_xlfn.IFS(M2109="נח",1,M2109="נע ונח",1,M2109="שני שווא נח",2,M2109="שני שוואים בסוף מילה",2,M2109="שני שוואים ברצף",1),"0")</f>
        <v>0</v>
      </c>
      <c r="J2109" s="9">
        <f t="shared" si="135"/>
        <v>3</v>
      </c>
      <c r="K2109" t="s">
        <v>6698</v>
      </c>
      <c r="L2109" t="s">
        <v>6694</v>
      </c>
      <c r="M2109" t="s">
        <v>6700</v>
      </c>
      <c r="N2109" t="s">
        <v>6706</v>
      </c>
      <c r="O2109" t="s">
        <v>6694</v>
      </c>
      <c r="W2109" t="s">
        <v>6720</v>
      </c>
    </row>
    <row r="2110" spans="1:23" ht="15.6" x14ac:dyDescent="0.4">
      <c r="A2110" s="2" t="s">
        <v>4019</v>
      </c>
      <c r="B2110" s="5" t="s">
        <v>8563</v>
      </c>
      <c r="C2110" s="7" t="s">
        <v>12556</v>
      </c>
      <c r="D2110" s="8">
        <f t="shared" si="132"/>
        <v>0</v>
      </c>
      <c r="E2110" s="7" t="s">
        <v>12557</v>
      </c>
      <c r="F2110" s="7">
        <f t="shared" si="133"/>
        <v>0</v>
      </c>
      <c r="G2110" s="7" t="s">
        <v>12558</v>
      </c>
      <c r="H2110" s="7">
        <f t="shared" si="134"/>
        <v>0</v>
      </c>
      <c r="I2110" s="7" t="str" cm="1">
        <f t="array" ref="I2110">IFERROR(_xlfn.IFS(M2110="נח",1,M2110="נע ונח",1,M2110="שני שווא נח",2,M2110="שני שוואים בסוף מילה",2,M2110="שני שוואים ברצף",1),"0")</f>
        <v>0</v>
      </c>
      <c r="J2110" s="9">
        <f t="shared" si="135"/>
        <v>3</v>
      </c>
      <c r="K2110" t="s">
        <v>6698</v>
      </c>
      <c r="L2110" t="s">
        <v>6694</v>
      </c>
      <c r="M2110" t="s">
        <v>6700</v>
      </c>
      <c r="N2110" t="s">
        <v>6706</v>
      </c>
      <c r="O2110" t="s">
        <v>6694</v>
      </c>
      <c r="W2110" t="s">
        <v>6720</v>
      </c>
    </row>
    <row r="2111" spans="1:23" ht="15.6" x14ac:dyDescent="0.4">
      <c r="A2111" s="2" t="s">
        <v>926</v>
      </c>
      <c r="B2111" s="5" t="s">
        <v>8564</v>
      </c>
      <c r="C2111" s="7" t="s">
        <v>12556</v>
      </c>
      <c r="D2111" s="8">
        <f t="shared" si="132"/>
        <v>0</v>
      </c>
      <c r="E2111" s="7" t="s">
        <v>12557</v>
      </c>
      <c r="F2111" s="7">
        <f t="shared" si="133"/>
        <v>0</v>
      </c>
      <c r="G2111" s="7" t="s">
        <v>12558</v>
      </c>
      <c r="H2111" s="7">
        <f t="shared" si="134"/>
        <v>0</v>
      </c>
      <c r="I2111" s="7" t="str" cm="1">
        <f t="array" ref="I2111">IFERROR(_xlfn.IFS(M2111="נח",1,M2111="נע ונח",1,M2111="שני שווא נח",2,M2111="שני שוואים בסוף מילה",2,M2111="שני שוואים ברצף",1),"0")</f>
        <v>0</v>
      </c>
      <c r="J2111" s="9">
        <f t="shared" si="135"/>
        <v>3</v>
      </c>
      <c r="K2111" t="s">
        <v>6697</v>
      </c>
      <c r="L2111" t="s">
        <v>6694</v>
      </c>
      <c r="M2111" t="s">
        <v>6700</v>
      </c>
      <c r="O2111" t="s">
        <v>6694</v>
      </c>
      <c r="S2111" t="s">
        <v>6694</v>
      </c>
      <c r="W2111" t="s">
        <v>6720</v>
      </c>
    </row>
    <row r="2112" spans="1:23" ht="15.6" x14ac:dyDescent="0.4">
      <c r="A2112" s="2" t="s">
        <v>2745</v>
      </c>
      <c r="B2112" s="5" t="s">
        <v>8565</v>
      </c>
      <c r="C2112" s="7" t="s">
        <v>12556</v>
      </c>
      <c r="D2112" s="8">
        <f t="shared" si="132"/>
        <v>0</v>
      </c>
      <c r="E2112" s="7" t="s">
        <v>12557</v>
      </c>
      <c r="F2112" s="7">
        <f t="shared" si="133"/>
        <v>0</v>
      </c>
      <c r="G2112" s="7" t="s">
        <v>12558</v>
      </c>
      <c r="H2112" s="7">
        <f t="shared" si="134"/>
        <v>0</v>
      </c>
      <c r="I2112" s="7" t="str" cm="1">
        <f t="array" ref="I2112">IFERROR(_xlfn.IFS(M2112="נח",1,M2112="נע ונח",1,M2112="שני שווא נח",2,M2112="שני שוואים בסוף מילה",2,M2112="שני שוואים ברצף",1),"0")</f>
        <v>0</v>
      </c>
      <c r="J2112" s="9">
        <f t="shared" si="135"/>
        <v>4</v>
      </c>
      <c r="K2112" t="s">
        <v>6697</v>
      </c>
      <c r="L2112" t="s">
        <v>6694</v>
      </c>
      <c r="M2112" t="s">
        <v>6700</v>
      </c>
      <c r="O2112" t="s">
        <v>6694</v>
      </c>
      <c r="S2112" t="s">
        <v>6694</v>
      </c>
      <c r="W2112" t="s">
        <v>6720</v>
      </c>
    </row>
    <row r="2113" spans="1:23" ht="15.6" x14ac:dyDescent="0.4">
      <c r="A2113" s="2" t="s">
        <v>2388</v>
      </c>
      <c r="B2113" s="5" t="s">
        <v>8566</v>
      </c>
      <c r="C2113" s="7" t="s">
        <v>12556</v>
      </c>
      <c r="D2113" s="8">
        <f t="shared" si="132"/>
        <v>0</v>
      </c>
      <c r="E2113" s="7" t="s">
        <v>12557</v>
      </c>
      <c r="F2113" s="7">
        <f t="shared" si="133"/>
        <v>0</v>
      </c>
      <c r="G2113" s="7" t="s">
        <v>12558</v>
      </c>
      <c r="H2113" s="7">
        <f t="shared" si="134"/>
        <v>0</v>
      </c>
      <c r="I2113" s="7" t="str" cm="1">
        <f t="array" ref="I2113">IFERROR(_xlfn.IFS(M2113="נח",1,M2113="נע ונח",1,M2113="שני שווא נח",2,M2113="שני שוואים בסוף מילה",2,M2113="שני שוואים ברצף",1),"0")</f>
        <v>0</v>
      </c>
      <c r="J2113" s="9">
        <f t="shared" si="135"/>
        <v>3</v>
      </c>
      <c r="K2113" t="s">
        <v>6698</v>
      </c>
      <c r="L2113" t="s">
        <v>6694</v>
      </c>
      <c r="M2113" t="s">
        <v>6700</v>
      </c>
      <c r="O2113" t="s">
        <v>6694</v>
      </c>
      <c r="S2113" t="s">
        <v>6694</v>
      </c>
      <c r="W2113" t="s">
        <v>6720</v>
      </c>
    </row>
    <row r="2114" spans="1:23" ht="15.6" x14ac:dyDescent="0.4">
      <c r="A2114" s="2" t="s">
        <v>3979</v>
      </c>
      <c r="B2114" s="5" t="s">
        <v>8567</v>
      </c>
      <c r="C2114" s="7" t="s">
        <v>12556</v>
      </c>
      <c r="D2114" s="8">
        <f t="shared" si="132"/>
        <v>0</v>
      </c>
      <c r="E2114" s="7" t="s">
        <v>12557</v>
      </c>
      <c r="F2114" s="7">
        <f t="shared" si="133"/>
        <v>0</v>
      </c>
      <c r="G2114" s="7" t="s">
        <v>12558</v>
      </c>
      <c r="H2114" s="7">
        <f t="shared" si="134"/>
        <v>0</v>
      </c>
      <c r="I2114" s="7" t="str" cm="1">
        <f t="array" ref="I2114">IFERROR(_xlfn.IFS(M2114="נח",1,M2114="נע ונח",1,M2114="שני שווא נח",2,M2114="שני שוואים בסוף מילה",2,M2114="שני שוואים ברצף",1),"0")</f>
        <v>0</v>
      </c>
      <c r="J2114" s="9">
        <f t="shared" si="135"/>
        <v>4</v>
      </c>
      <c r="K2114" t="s">
        <v>6698</v>
      </c>
      <c r="L2114" t="s">
        <v>6694</v>
      </c>
      <c r="M2114" t="s">
        <v>6700</v>
      </c>
      <c r="O2114" t="s">
        <v>6694</v>
      </c>
      <c r="S2114" t="s">
        <v>6694</v>
      </c>
      <c r="W2114" t="s">
        <v>6720</v>
      </c>
    </row>
    <row r="2115" spans="1:23" ht="15.6" x14ac:dyDescent="0.4">
      <c r="A2115" s="2" t="s">
        <v>2232</v>
      </c>
      <c r="B2115" s="5" t="s">
        <v>8568</v>
      </c>
      <c r="C2115" s="7" t="s">
        <v>12556</v>
      </c>
      <c r="D2115" s="8">
        <f t="shared" ref="D2115:D2178" si="136">(LEN(B2115)-LEN(SUBSTITUTE(B2115,C2115,"")))</f>
        <v>0</v>
      </c>
      <c r="E2115" s="7" t="s">
        <v>12557</v>
      </c>
      <c r="F2115" s="7">
        <f t="shared" ref="F2115:F2178" si="137">(LEN(A2115)-LEN(SUBSTITUTE(A2115,E2115,"")))</f>
        <v>0</v>
      </c>
      <c r="G2115" s="7" t="s">
        <v>12558</v>
      </c>
      <c r="H2115" s="7">
        <f t="shared" ref="H2115:H2178" si="138">(LEN(A2115)-LEN(SUBSTITUTE(A2115,G2115,"")))/2</f>
        <v>0</v>
      </c>
      <c r="I2115" s="7" t="str" cm="1">
        <f t="array" ref="I2115">IFERROR(_xlfn.IFS(M2115="נח",1,M2115="נע ונח",1,M2115="שני שווא נח",2,M2115="שני שוואים בסוף מילה",2,M2115="שני שוואים ברצף",1),"0")</f>
        <v>0</v>
      </c>
      <c r="J2115" s="9">
        <f t="shared" ref="J2115:J2178" si="139">LEN(A2115)-(LEN(B2115))-D2115-F2115+H2115-I2115</f>
        <v>2</v>
      </c>
      <c r="K2115" t="s">
        <v>6698</v>
      </c>
      <c r="L2115" t="s">
        <v>6694</v>
      </c>
      <c r="M2115" t="s">
        <v>6700</v>
      </c>
      <c r="V2115" t="s">
        <v>6694</v>
      </c>
      <c r="W2115" t="s">
        <v>6720</v>
      </c>
    </row>
    <row r="2116" spans="1:23" ht="15.6" x14ac:dyDescent="0.4">
      <c r="A2116" s="2" t="s">
        <v>1879</v>
      </c>
      <c r="B2116" s="5" t="s">
        <v>8569</v>
      </c>
      <c r="C2116" s="7" t="s">
        <v>12556</v>
      </c>
      <c r="D2116" s="8">
        <f t="shared" si="136"/>
        <v>1</v>
      </c>
      <c r="E2116" s="7" t="s">
        <v>12557</v>
      </c>
      <c r="F2116" s="7">
        <f t="shared" si="137"/>
        <v>0</v>
      </c>
      <c r="G2116" s="7" t="s">
        <v>12558</v>
      </c>
      <c r="H2116" s="7">
        <f t="shared" si="138"/>
        <v>0</v>
      </c>
      <c r="I2116" s="7" t="str" cm="1">
        <f t="array" ref="I2116">IFERROR(_xlfn.IFS(M2116="נח",1,M2116="נע ונח",1,M2116="שני שווא נח",2,M2116="שני שוואים בסוף מילה",2,M2116="שני שוואים ברצף",1),"0")</f>
        <v>0</v>
      </c>
      <c r="J2116" s="9">
        <f t="shared" si="139"/>
        <v>3</v>
      </c>
      <c r="K2116" t="s">
        <v>6697</v>
      </c>
      <c r="L2116" t="s">
        <v>6694</v>
      </c>
      <c r="M2116" t="s">
        <v>6700</v>
      </c>
      <c r="R2116" t="s">
        <v>6694</v>
      </c>
      <c r="V2116" t="s">
        <v>6694</v>
      </c>
      <c r="W2116" t="s">
        <v>6720</v>
      </c>
    </row>
    <row r="2117" spans="1:23" ht="15.6" x14ac:dyDescent="0.4">
      <c r="A2117" s="2" t="s">
        <v>1614</v>
      </c>
      <c r="B2117" s="5" t="s">
        <v>8570</v>
      </c>
      <c r="C2117" s="7" t="s">
        <v>12556</v>
      </c>
      <c r="D2117" s="8">
        <f t="shared" si="136"/>
        <v>0</v>
      </c>
      <c r="E2117" s="7" t="s">
        <v>12557</v>
      </c>
      <c r="F2117" s="7">
        <f t="shared" si="137"/>
        <v>1</v>
      </c>
      <c r="G2117" s="7" t="s">
        <v>12558</v>
      </c>
      <c r="H2117" s="7">
        <f t="shared" si="138"/>
        <v>0</v>
      </c>
      <c r="I2117" s="7" t="str" cm="1">
        <f t="array" ref="I2117">IFERROR(_xlfn.IFS(M2117="נח",1,M2117="נע ונח",1,M2117="שני שווא נח",2,M2117="שני שוואים בסוף מילה",2,M2117="שני שוואים ברצף",1),"0")</f>
        <v>0</v>
      </c>
      <c r="J2117" s="9">
        <f t="shared" si="139"/>
        <v>3</v>
      </c>
      <c r="K2117" t="s">
        <v>6697</v>
      </c>
      <c r="L2117" t="s">
        <v>6694</v>
      </c>
      <c r="M2117" t="s">
        <v>6700</v>
      </c>
      <c r="T2117" t="s">
        <v>6694</v>
      </c>
      <c r="V2117" t="s">
        <v>6694</v>
      </c>
      <c r="W2117" t="s">
        <v>6720</v>
      </c>
    </row>
    <row r="2118" spans="1:23" ht="15.6" x14ac:dyDescent="0.4">
      <c r="A2118" s="2" t="s">
        <v>2498</v>
      </c>
      <c r="B2118" s="5" t="s">
        <v>8571</v>
      </c>
      <c r="C2118" s="7" t="s">
        <v>12556</v>
      </c>
      <c r="D2118" s="8">
        <f t="shared" si="136"/>
        <v>0</v>
      </c>
      <c r="E2118" s="7" t="s">
        <v>12557</v>
      </c>
      <c r="F2118" s="7">
        <f t="shared" si="137"/>
        <v>0</v>
      </c>
      <c r="G2118" s="7" t="s">
        <v>12558</v>
      </c>
      <c r="H2118" s="7">
        <f t="shared" si="138"/>
        <v>0</v>
      </c>
      <c r="I2118" s="7" t="str" cm="1">
        <f t="array" ref="I2118">IFERROR(_xlfn.IFS(M2118="נח",1,M2118="נע ונח",1,M2118="שני שווא נח",2,M2118="שני שוואים בסוף מילה",2,M2118="שני שוואים ברצף",1),"0")</f>
        <v>0</v>
      </c>
      <c r="J2118" s="9">
        <f t="shared" si="139"/>
        <v>2</v>
      </c>
      <c r="K2118" t="s">
        <v>6698</v>
      </c>
      <c r="L2118" t="s">
        <v>6694</v>
      </c>
      <c r="M2118" t="s">
        <v>6700</v>
      </c>
      <c r="V2118" t="s">
        <v>6694</v>
      </c>
      <c r="W2118" t="s">
        <v>6720</v>
      </c>
    </row>
    <row r="2119" spans="1:23" ht="15.6" x14ac:dyDescent="0.4">
      <c r="A2119" s="2" t="s">
        <v>5079</v>
      </c>
      <c r="B2119" s="5" t="s">
        <v>8572</v>
      </c>
      <c r="C2119" s="7" t="s">
        <v>12556</v>
      </c>
      <c r="D2119" s="8">
        <f t="shared" si="136"/>
        <v>0</v>
      </c>
      <c r="E2119" s="7" t="s">
        <v>12557</v>
      </c>
      <c r="F2119" s="7">
        <f t="shared" si="137"/>
        <v>0</v>
      </c>
      <c r="G2119" s="7" t="s">
        <v>12558</v>
      </c>
      <c r="H2119" s="7">
        <f t="shared" si="138"/>
        <v>0</v>
      </c>
      <c r="I2119" s="7" t="str" cm="1">
        <f t="array" ref="I2119">IFERROR(_xlfn.IFS(M2119="נח",1,M2119="נע ונח",1,M2119="שני שווא נח",2,M2119="שני שוואים בסוף מילה",2,M2119="שני שוואים ברצף",1),"0")</f>
        <v>0</v>
      </c>
      <c r="J2119" s="9">
        <f t="shared" si="139"/>
        <v>3</v>
      </c>
      <c r="K2119" t="s">
        <v>6697</v>
      </c>
      <c r="L2119" t="s">
        <v>6694</v>
      </c>
      <c r="M2119" t="s">
        <v>6700</v>
      </c>
      <c r="S2119" t="s">
        <v>6694</v>
      </c>
      <c r="V2119" t="s">
        <v>6694</v>
      </c>
      <c r="W2119" t="s">
        <v>6720</v>
      </c>
    </row>
    <row r="2120" spans="1:23" ht="15.6" x14ac:dyDescent="0.4">
      <c r="A2120" s="2" t="s">
        <v>3296</v>
      </c>
      <c r="B2120" s="5" t="s">
        <v>8573</v>
      </c>
      <c r="C2120" s="7" t="s">
        <v>12556</v>
      </c>
      <c r="D2120" s="8">
        <f t="shared" si="136"/>
        <v>0</v>
      </c>
      <c r="E2120" s="7" t="s">
        <v>12557</v>
      </c>
      <c r="F2120" s="7">
        <f t="shared" si="137"/>
        <v>0</v>
      </c>
      <c r="G2120" s="7" t="s">
        <v>12558</v>
      </c>
      <c r="H2120" s="7">
        <f t="shared" si="138"/>
        <v>0</v>
      </c>
      <c r="I2120" s="7" cm="1">
        <f t="array" ref="I2120">IFERROR(_xlfn.IFS(M2120="נח",1,M2120="נע ונח",1,M2120="שני שווא נח",2,M2120="שני שוואים בסוף מילה",2,M2120="שני שוואים ברצף",1),"0")</f>
        <v>1</v>
      </c>
      <c r="J2120" s="9">
        <f t="shared" si="139"/>
        <v>4</v>
      </c>
      <c r="K2120" t="s">
        <v>6697</v>
      </c>
      <c r="L2120" t="s">
        <v>6694</v>
      </c>
      <c r="M2120" t="s">
        <v>6701</v>
      </c>
      <c r="N2120" t="s">
        <v>6706</v>
      </c>
      <c r="O2120" t="s">
        <v>6694</v>
      </c>
      <c r="V2120" t="s">
        <v>6694</v>
      </c>
      <c r="W2120" t="s">
        <v>6720</v>
      </c>
    </row>
    <row r="2121" spans="1:23" ht="15.6" x14ac:dyDescent="0.4">
      <c r="A2121" s="2" t="s">
        <v>5305</v>
      </c>
      <c r="B2121" s="5" t="s">
        <v>8574</v>
      </c>
      <c r="C2121" s="7" t="s">
        <v>12556</v>
      </c>
      <c r="D2121" s="8">
        <f t="shared" si="136"/>
        <v>0</v>
      </c>
      <c r="E2121" s="7" t="s">
        <v>12557</v>
      </c>
      <c r="F2121" s="7">
        <f t="shared" si="137"/>
        <v>0</v>
      </c>
      <c r="G2121" s="7" t="s">
        <v>12558</v>
      </c>
      <c r="H2121" s="7">
        <f t="shared" si="138"/>
        <v>0</v>
      </c>
      <c r="I2121" s="7" t="str" cm="1">
        <f t="array" ref="I2121">IFERROR(_xlfn.IFS(M2121="נח",1,M2121="נע ונח",1,M2121="שני שווא נח",2,M2121="שני שוואים בסוף מילה",2,M2121="שני שוואים ברצף",1),"0")</f>
        <v>0</v>
      </c>
      <c r="J2121" s="9">
        <f t="shared" si="139"/>
        <v>5</v>
      </c>
      <c r="K2121" t="s">
        <v>6697</v>
      </c>
      <c r="L2121" t="s">
        <v>6694</v>
      </c>
      <c r="M2121" t="s">
        <v>6700</v>
      </c>
      <c r="O2121" t="s">
        <v>6694</v>
      </c>
      <c r="R2121" t="s">
        <v>6694</v>
      </c>
      <c r="V2121" t="s">
        <v>6694</v>
      </c>
      <c r="W2121" t="s">
        <v>6720</v>
      </c>
    </row>
    <row r="2122" spans="1:23" ht="15.6" x14ac:dyDescent="0.4">
      <c r="A2122" s="2" t="s">
        <v>6121</v>
      </c>
      <c r="B2122" s="5" t="s">
        <v>8575</v>
      </c>
      <c r="C2122" s="7" t="s">
        <v>12556</v>
      </c>
      <c r="D2122" s="8">
        <f t="shared" si="136"/>
        <v>0</v>
      </c>
      <c r="E2122" s="7" t="s">
        <v>12557</v>
      </c>
      <c r="F2122" s="7">
        <f t="shared" si="137"/>
        <v>1</v>
      </c>
      <c r="G2122" s="7" t="s">
        <v>12558</v>
      </c>
      <c r="H2122" s="7">
        <f t="shared" si="138"/>
        <v>1</v>
      </c>
      <c r="I2122" s="7" t="str" cm="1">
        <f t="array" ref="I2122">IFERROR(_xlfn.IFS(M2122="נח",1,M2122="נע ונח",1,M2122="שני שווא נח",2,M2122="שני שוואים בסוף מילה",2,M2122="שני שוואים ברצף",1),"0")</f>
        <v>0</v>
      </c>
      <c r="J2122" s="9">
        <f t="shared" si="139"/>
        <v>3</v>
      </c>
      <c r="K2122" t="s">
        <v>6698</v>
      </c>
      <c r="L2122" t="s">
        <v>6694</v>
      </c>
      <c r="M2122" t="s">
        <v>6700</v>
      </c>
      <c r="N2122" t="s">
        <v>6706</v>
      </c>
      <c r="O2122" t="s">
        <v>6694</v>
      </c>
      <c r="U2122" t="s">
        <v>6694</v>
      </c>
      <c r="W2122" t="s">
        <v>6720</v>
      </c>
    </row>
    <row r="2123" spans="1:23" ht="15.6" x14ac:dyDescent="0.4">
      <c r="A2123" s="2" t="s">
        <v>529</v>
      </c>
      <c r="B2123" s="5" t="s">
        <v>8576</v>
      </c>
      <c r="C2123" s="7" t="s">
        <v>12556</v>
      </c>
      <c r="D2123" s="8">
        <f t="shared" si="136"/>
        <v>0</v>
      </c>
      <c r="E2123" s="7" t="s">
        <v>12557</v>
      </c>
      <c r="F2123" s="7">
        <f t="shared" si="137"/>
        <v>0</v>
      </c>
      <c r="G2123" s="7" t="s">
        <v>12558</v>
      </c>
      <c r="H2123" s="7">
        <f t="shared" si="138"/>
        <v>0</v>
      </c>
      <c r="I2123" s="7" cm="1">
        <f t="array" ref="I2123">IFERROR(_xlfn.IFS(M2123="נח",1,M2123="נע ונח",1,M2123="שני שווא נח",2,M2123="שני שוואים בסוף מילה",2,M2123="שני שוואים ברצף",1),"0")</f>
        <v>1</v>
      </c>
      <c r="J2123" s="9">
        <f t="shared" si="139"/>
        <v>5</v>
      </c>
      <c r="K2123" t="s">
        <v>6697</v>
      </c>
      <c r="L2123" t="s">
        <v>6694</v>
      </c>
      <c r="M2123" t="s">
        <v>6701</v>
      </c>
      <c r="N2123" t="s">
        <v>6706</v>
      </c>
      <c r="O2123" t="s">
        <v>6694</v>
      </c>
      <c r="S2123" t="s">
        <v>6694</v>
      </c>
      <c r="W2123" t="s">
        <v>6720</v>
      </c>
    </row>
    <row r="2124" spans="1:23" ht="15.6" x14ac:dyDescent="0.4">
      <c r="A2124" s="2" t="s">
        <v>1153</v>
      </c>
      <c r="B2124" s="5" t="s">
        <v>8577</v>
      </c>
      <c r="C2124" s="7" t="s">
        <v>12556</v>
      </c>
      <c r="D2124" s="8">
        <f t="shared" si="136"/>
        <v>0</v>
      </c>
      <c r="E2124" s="7" t="s">
        <v>12557</v>
      </c>
      <c r="F2124" s="7">
        <f t="shared" si="137"/>
        <v>0</v>
      </c>
      <c r="G2124" s="7" t="s">
        <v>12558</v>
      </c>
      <c r="H2124" s="7">
        <f t="shared" si="138"/>
        <v>0</v>
      </c>
      <c r="I2124" s="7" cm="1">
        <f t="array" ref="I2124">IFERROR(_xlfn.IFS(M2124="נח",1,M2124="נע ונח",1,M2124="שני שווא נח",2,M2124="שני שוואים בסוף מילה",2,M2124="שני שוואים ברצף",1),"0")</f>
        <v>1</v>
      </c>
      <c r="J2124" s="9">
        <f t="shared" si="139"/>
        <v>4</v>
      </c>
      <c r="K2124" t="s">
        <v>6697</v>
      </c>
      <c r="L2124" t="s">
        <v>6694</v>
      </c>
      <c r="M2124" t="s">
        <v>6701</v>
      </c>
      <c r="O2124" t="s">
        <v>6694</v>
      </c>
      <c r="S2124" t="s">
        <v>6694</v>
      </c>
      <c r="V2124" t="s">
        <v>6694</v>
      </c>
      <c r="W2124" t="s">
        <v>6720</v>
      </c>
    </row>
    <row r="2125" spans="1:23" ht="15.6" x14ac:dyDescent="0.4">
      <c r="A2125" s="2" t="s">
        <v>946</v>
      </c>
      <c r="B2125" s="5" t="s">
        <v>8578</v>
      </c>
      <c r="C2125" s="7" t="s">
        <v>12556</v>
      </c>
      <c r="D2125" s="8">
        <f t="shared" si="136"/>
        <v>0</v>
      </c>
      <c r="E2125" s="7" t="s">
        <v>12557</v>
      </c>
      <c r="F2125" s="7">
        <f t="shared" si="137"/>
        <v>1</v>
      </c>
      <c r="G2125" s="7" t="s">
        <v>12558</v>
      </c>
      <c r="H2125" s="7">
        <f t="shared" si="138"/>
        <v>0</v>
      </c>
      <c r="I2125" s="7" t="str" cm="1">
        <f t="array" ref="I2125">IFERROR(_xlfn.IFS(M2125="נח",1,M2125="נע ונח",1,M2125="שני שווא נח",2,M2125="שני שוואים בסוף מילה",2,M2125="שני שוואים ברצף",1),"0")</f>
        <v>0</v>
      </c>
      <c r="J2125" s="9">
        <f t="shared" si="139"/>
        <v>3</v>
      </c>
      <c r="K2125" t="s">
        <v>6697</v>
      </c>
      <c r="L2125" t="s">
        <v>6694</v>
      </c>
      <c r="M2125" t="s">
        <v>6700</v>
      </c>
      <c r="O2125" t="s">
        <v>6694</v>
      </c>
      <c r="S2125" t="s">
        <v>6694</v>
      </c>
      <c r="W2125" t="s">
        <v>6720</v>
      </c>
    </row>
    <row r="2126" spans="1:23" ht="15.6" x14ac:dyDescent="0.4">
      <c r="A2126" s="2" t="s">
        <v>1426</v>
      </c>
      <c r="B2126" s="5" t="s">
        <v>8579</v>
      </c>
      <c r="C2126" s="7" t="s">
        <v>12556</v>
      </c>
      <c r="D2126" s="8">
        <f t="shared" si="136"/>
        <v>0</v>
      </c>
      <c r="E2126" s="7" t="s">
        <v>12557</v>
      </c>
      <c r="F2126" s="7">
        <f t="shared" si="137"/>
        <v>1</v>
      </c>
      <c r="G2126" s="7" t="s">
        <v>12558</v>
      </c>
      <c r="H2126" s="7">
        <f t="shared" si="138"/>
        <v>0</v>
      </c>
      <c r="I2126" s="7" t="str" cm="1">
        <f t="array" ref="I2126">IFERROR(_xlfn.IFS(M2126="נח",1,M2126="נע ונח",1,M2126="שני שווא נח",2,M2126="שני שוואים בסוף מילה",2,M2126="שני שוואים ברצף",1),"0")</f>
        <v>0</v>
      </c>
      <c r="J2126" s="9">
        <f t="shared" si="139"/>
        <v>3</v>
      </c>
      <c r="K2126" t="s">
        <v>6698</v>
      </c>
      <c r="L2126" t="s">
        <v>6694</v>
      </c>
      <c r="M2126" t="s">
        <v>6700</v>
      </c>
      <c r="S2126" t="s">
        <v>6694</v>
      </c>
      <c r="V2126" t="s">
        <v>6694</v>
      </c>
      <c r="W2126" t="s">
        <v>6720</v>
      </c>
    </row>
    <row r="2127" spans="1:23" ht="15.6" x14ac:dyDescent="0.4">
      <c r="A2127" s="2" t="s">
        <v>4945</v>
      </c>
      <c r="B2127" s="5" t="s">
        <v>8580</v>
      </c>
      <c r="C2127" s="7" t="s">
        <v>12556</v>
      </c>
      <c r="D2127" s="8">
        <f t="shared" si="136"/>
        <v>0</v>
      </c>
      <c r="E2127" s="7" t="s">
        <v>12557</v>
      </c>
      <c r="F2127" s="7">
        <f t="shared" si="137"/>
        <v>0</v>
      </c>
      <c r="G2127" s="7" t="s">
        <v>12558</v>
      </c>
      <c r="H2127" s="7">
        <f t="shared" si="138"/>
        <v>0</v>
      </c>
      <c r="I2127" s="7" t="str" cm="1">
        <f t="array" ref="I2127">IFERROR(_xlfn.IFS(M2127="נח",1,M2127="נע ונח",1,M2127="שני שווא נח",2,M2127="שני שוואים בסוף מילה",2,M2127="שני שוואים ברצף",1),"0")</f>
        <v>0</v>
      </c>
      <c r="J2127" s="9">
        <f t="shared" si="139"/>
        <v>3</v>
      </c>
      <c r="K2127" t="s">
        <v>6698</v>
      </c>
      <c r="L2127" t="s">
        <v>6694</v>
      </c>
      <c r="M2127" t="s">
        <v>6700</v>
      </c>
      <c r="R2127" t="s">
        <v>6694</v>
      </c>
      <c r="W2127" t="s">
        <v>6720</v>
      </c>
    </row>
    <row r="2128" spans="1:23" ht="15.6" x14ac:dyDescent="0.4">
      <c r="A2128" s="2" t="s">
        <v>339</v>
      </c>
      <c r="B2128" s="5" t="s">
        <v>8581</v>
      </c>
      <c r="C2128" s="7" t="s">
        <v>12556</v>
      </c>
      <c r="D2128" s="8">
        <f t="shared" si="136"/>
        <v>0</v>
      </c>
      <c r="E2128" s="7" t="s">
        <v>12557</v>
      </c>
      <c r="F2128" s="7">
        <f t="shared" si="137"/>
        <v>1</v>
      </c>
      <c r="G2128" s="7" t="s">
        <v>12558</v>
      </c>
      <c r="H2128" s="7">
        <f t="shared" si="138"/>
        <v>0</v>
      </c>
      <c r="I2128" s="7" t="str" cm="1">
        <f t="array" ref="I2128">IFERROR(_xlfn.IFS(M2128="נח",1,M2128="נע ונח",1,M2128="שני שווא נח",2,M2128="שני שוואים בסוף מילה",2,M2128="שני שוואים ברצף",1),"0")</f>
        <v>0</v>
      </c>
      <c r="J2128" s="9">
        <f t="shared" si="139"/>
        <v>3</v>
      </c>
      <c r="K2128" t="s">
        <v>6698</v>
      </c>
      <c r="L2128" t="s">
        <v>6694</v>
      </c>
      <c r="M2128" t="s">
        <v>6700</v>
      </c>
      <c r="P2128" t="s">
        <v>6694</v>
      </c>
      <c r="S2128" t="s">
        <v>6694</v>
      </c>
      <c r="W2128" t="s">
        <v>6720</v>
      </c>
    </row>
    <row r="2129" spans="1:23" ht="15.6" x14ac:dyDescent="0.4">
      <c r="A2129" s="2" t="s">
        <v>4474</v>
      </c>
      <c r="B2129" s="5" t="s">
        <v>8582</v>
      </c>
      <c r="C2129" s="7" t="s">
        <v>12556</v>
      </c>
      <c r="D2129" s="8">
        <f t="shared" si="136"/>
        <v>0</v>
      </c>
      <c r="E2129" s="7" t="s">
        <v>12557</v>
      </c>
      <c r="F2129" s="7">
        <f t="shared" si="137"/>
        <v>1</v>
      </c>
      <c r="G2129" s="7" t="s">
        <v>12558</v>
      </c>
      <c r="H2129" s="7">
        <f t="shared" si="138"/>
        <v>0</v>
      </c>
      <c r="I2129" s="7" t="str" cm="1">
        <f t="array" ref="I2129">IFERROR(_xlfn.IFS(M2129="נח",1,M2129="נע ונח",1,M2129="שני שווא נח",2,M2129="שני שוואים בסוף מילה",2,M2129="שני שוואים ברצף",1),"0")</f>
        <v>0</v>
      </c>
      <c r="J2129" s="9">
        <f t="shared" si="139"/>
        <v>4</v>
      </c>
      <c r="K2129" t="s">
        <v>6698</v>
      </c>
      <c r="L2129" t="s">
        <v>6694</v>
      </c>
      <c r="M2129" t="s">
        <v>6700</v>
      </c>
      <c r="P2129" t="s">
        <v>6694</v>
      </c>
      <c r="S2129" t="s">
        <v>6694</v>
      </c>
      <c r="W2129" t="s">
        <v>6720</v>
      </c>
    </row>
    <row r="2130" spans="1:23" ht="15.6" x14ac:dyDescent="0.4">
      <c r="A2130" s="2" t="s">
        <v>1542</v>
      </c>
      <c r="B2130" s="5" t="s">
        <v>8583</v>
      </c>
      <c r="C2130" s="7" t="s">
        <v>12556</v>
      </c>
      <c r="D2130" s="8">
        <f t="shared" si="136"/>
        <v>0</v>
      </c>
      <c r="E2130" s="7" t="s">
        <v>12557</v>
      </c>
      <c r="F2130" s="7">
        <f t="shared" si="137"/>
        <v>0</v>
      </c>
      <c r="G2130" s="7" t="s">
        <v>12558</v>
      </c>
      <c r="H2130" s="7">
        <f t="shared" si="138"/>
        <v>0</v>
      </c>
      <c r="I2130" s="7" cm="1">
        <f t="array" ref="I2130">IFERROR(_xlfn.IFS(M2130="נח",1,M2130="נע ונח",1,M2130="שני שווא נח",2,M2130="שני שוואים בסוף מילה",2,M2130="שני שוואים ברצף",1),"0")</f>
        <v>1</v>
      </c>
      <c r="J2130" s="9">
        <f t="shared" si="139"/>
        <v>4</v>
      </c>
      <c r="K2130" t="s">
        <v>6698</v>
      </c>
      <c r="L2130" t="s">
        <v>6694</v>
      </c>
      <c r="M2130" t="s">
        <v>6701</v>
      </c>
      <c r="O2130" t="s">
        <v>6694</v>
      </c>
      <c r="P2130" t="s">
        <v>6694</v>
      </c>
      <c r="R2130" t="s">
        <v>6694</v>
      </c>
      <c r="W2130" t="s">
        <v>6720</v>
      </c>
    </row>
    <row r="2131" spans="1:23" ht="15.6" x14ac:dyDescent="0.4">
      <c r="A2131" s="2" t="s">
        <v>4035</v>
      </c>
      <c r="B2131" s="5" t="s">
        <v>8584</v>
      </c>
      <c r="C2131" s="7" t="s">
        <v>12556</v>
      </c>
      <c r="D2131" s="8">
        <f t="shared" si="136"/>
        <v>0</v>
      </c>
      <c r="E2131" s="7" t="s">
        <v>12557</v>
      </c>
      <c r="F2131" s="7">
        <f t="shared" si="137"/>
        <v>0</v>
      </c>
      <c r="G2131" s="7" t="s">
        <v>12558</v>
      </c>
      <c r="H2131" s="7">
        <f t="shared" si="138"/>
        <v>0</v>
      </c>
      <c r="I2131" s="7" t="str" cm="1">
        <f t="array" ref="I2131">IFERROR(_xlfn.IFS(M2131="נח",1,M2131="נע ונח",1,M2131="שני שווא נח",2,M2131="שני שוואים בסוף מילה",2,M2131="שני שוואים ברצף",1),"0")</f>
        <v>0</v>
      </c>
      <c r="J2131" s="9">
        <f t="shared" si="139"/>
        <v>5</v>
      </c>
      <c r="K2131" t="s">
        <v>6698</v>
      </c>
      <c r="L2131" t="s">
        <v>6694</v>
      </c>
      <c r="M2131" t="s">
        <v>6700</v>
      </c>
      <c r="O2131" t="s">
        <v>6694</v>
      </c>
      <c r="P2131" t="s">
        <v>6694</v>
      </c>
      <c r="S2131" t="s">
        <v>6694</v>
      </c>
      <c r="W2131" t="s">
        <v>6720</v>
      </c>
    </row>
    <row r="2132" spans="1:23" ht="15.6" x14ac:dyDescent="0.4">
      <c r="A2132" s="2" t="s">
        <v>2980</v>
      </c>
      <c r="B2132" s="5" t="s">
        <v>8585</v>
      </c>
      <c r="C2132" s="7" t="s">
        <v>12556</v>
      </c>
      <c r="D2132" s="8">
        <f t="shared" si="136"/>
        <v>0</v>
      </c>
      <c r="E2132" s="7" t="s">
        <v>12557</v>
      </c>
      <c r="F2132" s="7">
        <f t="shared" si="137"/>
        <v>0</v>
      </c>
      <c r="G2132" s="7" t="s">
        <v>12558</v>
      </c>
      <c r="H2132" s="7">
        <f t="shared" si="138"/>
        <v>0</v>
      </c>
      <c r="I2132" s="7" t="str" cm="1">
        <f t="array" ref="I2132">IFERROR(_xlfn.IFS(M2132="נח",1,M2132="נע ונח",1,M2132="שני שווא נח",2,M2132="שני שוואים בסוף מילה",2,M2132="שני שוואים ברצף",1),"0")</f>
        <v>0</v>
      </c>
      <c r="J2132" s="9">
        <f t="shared" si="139"/>
        <v>2</v>
      </c>
      <c r="K2132" t="s">
        <v>6698</v>
      </c>
      <c r="L2132" t="s">
        <v>6694</v>
      </c>
      <c r="M2132" t="s">
        <v>6700</v>
      </c>
      <c r="V2132" t="s">
        <v>6694</v>
      </c>
      <c r="W2132" t="s">
        <v>6720</v>
      </c>
    </row>
    <row r="2133" spans="1:23" ht="15.6" x14ac:dyDescent="0.4">
      <c r="A2133" s="2" t="s">
        <v>3013</v>
      </c>
      <c r="B2133" s="5" t="s">
        <v>8586</v>
      </c>
      <c r="C2133" s="7" t="s">
        <v>12556</v>
      </c>
      <c r="D2133" s="8">
        <f t="shared" si="136"/>
        <v>0</v>
      </c>
      <c r="E2133" s="7" t="s">
        <v>12557</v>
      </c>
      <c r="F2133" s="7">
        <f t="shared" si="137"/>
        <v>0</v>
      </c>
      <c r="G2133" s="7" t="s">
        <v>12558</v>
      </c>
      <c r="H2133" s="7">
        <f t="shared" si="138"/>
        <v>0</v>
      </c>
      <c r="I2133" s="7" t="str" cm="1">
        <f t="array" ref="I2133">IFERROR(_xlfn.IFS(M2133="נח",1,M2133="נע ונח",1,M2133="שני שווא נח",2,M2133="שני שוואים בסוף מילה",2,M2133="שני שוואים ברצף",1),"0")</f>
        <v>0</v>
      </c>
      <c r="J2133" s="9">
        <f t="shared" si="139"/>
        <v>2</v>
      </c>
      <c r="K2133" t="s">
        <v>6698</v>
      </c>
      <c r="L2133" t="s">
        <v>6694</v>
      </c>
      <c r="M2133" t="s">
        <v>6700</v>
      </c>
      <c r="V2133" t="s">
        <v>6694</v>
      </c>
      <c r="W2133" t="s">
        <v>6720</v>
      </c>
    </row>
    <row r="2134" spans="1:23" ht="15.6" x14ac:dyDescent="0.4">
      <c r="A2134" s="2" t="s">
        <v>5846</v>
      </c>
      <c r="B2134" s="5" t="s">
        <v>8586</v>
      </c>
      <c r="C2134" s="7" t="s">
        <v>12556</v>
      </c>
      <c r="D2134" s="8">
        <f t="shared" si="136"/>
        <v>0</v>
      </c>
      <c r="E2134" s="7" t="s">
        <v>12557</v>
      </c>
      <c r="F2134" s="7">
        <f t="shared" si="137"/>
        <v>1</v>
      </c>
      <c r="G2134" s="7" t="s">
        <v>12558</v>
      </c>
      <c r="H2134" s="7">
        <f t="shared" si="138"/>
        <v>1</v>
      </c>
      <c r="I2134" s="7" t="str" cm="1">
        <f t="array" ref="I2134">IFERROR(_xlfn.IFS(M2134="נח",1,M2134="נע ונח",1,M2134="שני שווא נח",2,M2134="שני שוואים בסוף מילה",2,M2134="שני שוואים ברצף",1),"0")</f>
        <v>0</v>
      </c>
      <c r="J2134" s="9">
        <f t="shared" si="139"/>
        <v>2</v>
      </c>
      <c r="K2134" t="s">
        <v>6698</v>
      </c>
      <c r="L2134" t="s">
        <v>6694</v>
      </c>
      <c r="M2134" t="s">
        <v>6700</v>
      </c>
      <c r="U2134" t="s">
        <v>6694</v>
      </c>
      <c r="W2134" t="s">
        <v>6720</v>
      </c>
    </row>
    <row r="2135" spans="1:23" ht="15.6" x14ac:dyDescent="0.4">
      <c r="A2135" s="2" t="s">
        <v>3856</v>
      </c>
      <c r="B2135" s="5" t="s">
        <v>8587</v>
      </c>
      <c r="C2135" s="7" t="s">
        <v>12556</v>
      </c>
      <c r="D2135" s="8">
        <f t="shared" si="136"/>
        <v>0</v>
      </c>
      <c r="E2135" s="7" t="s">
        <v>12557</v>
      </c>
      <c r="F2135" s="7">
        <f t="shared" si="137"/>
        <v>1</v>
      </c>
      <c r="G2135" s="7" t="s">
        <v>12558</v>
      </c>
      <c r="H2135" s="7">
        <f t="shared" si="138"/>
        <v>1</v>
      </c>
      <c r="I2135" s="7" t="str" cm="1">
        <f t="array" ref="I2135">IFERROR(_xlfn.IFS(M2135="נח",1,M2135="נע ונח",1,M2135="שני שווא נח",2,M2135="שני שוואים בסוף מילה",2,M2135="שני שוואים ברצף",1),"0")</f>
        <v>0</v>
      </c>
      <c r="J2135" s="9">
        <f t="shared" si="139"/>
        <v>3</v>
      </c>
      <c r="K2135" t="s">
        <v>6698</v>
      </c>
      <c r="L2135" t="s">
        <v>6694</v>
      </c>
      <c r="M2135" t="s">
        <v>6700</v>
      </c>
      <c r="N2135" t="s">
        <v>6706</v>
      </c>
      <c r="O2135" t="s">
        <v>6694</v>
      </c>
      <c r="U2135" t="s">
        <v>6694</v>
      </c>
      <c r="W2135" t="s">
        <v>6720</v>
      </c>
    </row>
    <row r="2136" spans="1:23" ht="15.6" x14ac:dyDescent="0.4">
      <c r="A2136" s="2" t="s">
        <v>1419</v>
      </c>
      <c r="B2136" s="5" t="s">
        <v>8588</v>
      </c>
      <c r="C2136" s="7" t="s">
        <v>12556</v>
      </c>
      <c r="D2136" s="8">
        <f t="shared" si="136"/>
        <v>0</v>
      </c>
      <c r="E2136" s="7" t="s">
        <v>12557</v>
      </c>
      <c r="F2136" s="7">
        <f t="shared" si="137"/>
        <v>0</v>
      </c>
      <c r="G2136" s="7" t="s">
        <v>12558</v>
      </c>
      <c r="H2136" s="7">
        <f t="shared" si="138"/>
        <v>0</v>
      </c>
      <c r="I2136" s="7" t="str" cm="1">
        <f t="array" ref="I2136">IFERROR(_xlfn.IFS(M2136="נח",1,M2136="נע ונח",1,M2136="שני שווא נח",2,M2136="שני שוואים בסוף מילה",2,M2136="שני שוואים ברצף",1),"0")</f>
        <v>0</v>
      </c>
      <c r="J2136" s="9">
        <f t="shared" si="139"/>
        <v>3</v>
      </c>
      <c r="K2136" t="s">
        <v>6698</v>
      </c>
      <c r="L2136" t="s">
        <v>6694</v>
      </c>
      <c r="M2136" t="s">
        <v>6700</v>
      </c>
      <c r="S2136" t="s">
        <v>6694</v>
      </c>
      <c r="V2136" t="s">
        <v>6694</v>
      </c>
      <c r="W2136" t="s">
        <v>6720</v>
      </c>
    </row>
    <row r="2137" spans="1:23" ht="15.6" x14ac:dyDescent="0.4">
      <c r="A2137" s="2" t="s">
        <v>3792</v>
      </c>
      <c r="B2137" s="5" t="s">
        <v>8589</v>
      </c>
      <c r="C2137" s="7" t="s">
        <v>12556</v>
      </c>
      <c r="D2137" s="8">
        <f t="shared" si="136"/>
        <v>0</v>
      </c>
      <c r="E2137" s="7" t="s">
        <v>12557</v>
      </c>
      <c r="F2137" s="7">
        <f t="shared" si="137"/>
        <v>1</v>
      </c>
      <c r="G2137" s="7" t="s">
        <v>12558</v>
      </c>
      <c r="H2137" s="7">
        <f t="shared" si="138"/>
        <v>0</v>
      </c>
      <c r="I2137" s="7" t="str" cm="1">
        <f t="array" ref="I2137">IFERROR(_xlfn.IFS(M2137="נח",1,M2137="נע ונח",1,M2137="שני שווא נח",2,M2137="שני שוואים בסוף מילה",2,M2137="שני שוואים ברצף",1),"0")</f>
        <v>0</v>
      </c>
      <c r="J2137" s="9">
        <f t="shared" si="139"/>
        <v>3</v>
      </c>
      <c r="K2137" t="s">
        <v>6698</v>
      </c>
      <c r="L2137" t="s">
        <v>6694</v>
      </c>
      <c r="M2137" t="s">
        <v>6700</v>
      </c>
      <c r="Q2137" t="s">
        <v>6694</v>
      </c>
      <c r="S2137" t="s">
        <v>6694</v>
      </c>
      <c r="W2137" t="s">
        <v>6720</v>
      </c>
    </row>
    <row r="2138" spans="1:23" ht="15.6" x14ac:dyDescent="0.4">
      <c r="A2138" s="2" t="s">
        <v>4345</v>
      </c>
      <c r="B2138" s="5" t="s">
        <v>8590</v>
      </c>
      <c r="C2138" s="7" t="s">
        <v>12556</v>
      </c>
      <c r="D2138" s="8">
        <f t="shared" si="136"/>
        <v>0</v>
      </c>
      <c r="E2138" s="7" t="s">
        <v>12557</v>
      </c>
      <c r="F2138" s="7">
        <f t="shared" si="137"/>
        <v>0</v>
      </c>
      <c r="G2138" s="7" t="s">
        <v>12558</v>
      </c>
      <c r="H2138" s="7">
        <f t="shared" si="138"/>
        <v>0</v>
      </c>
      <c r="I2138" s="7" t="str" cm="1">
        <f t="array" ref="I2138">IFERROR(_xlfn.IFS(M2138="נח",1,M2138="נע ונח",1,M2138="שני שווא נח",2,M2138="שני שוואים בסוף מילה",2,M2138="שני שוואים ברצף",1),"0")</f>
        <v>0</v>
      </c>
      <c r="J2138" s="9">
        <f t="shared" si="139"/>
        <v>3</v>
      </c>
      <c r="K2138" t="s">
        <v>6698</v>
      </c>
      <c r="L2138" t="s">
        <v>6694</v>
      </c>
      <c r="M2138" t="s">
        <v>6700</v>
      </c>
      <c r="R2138" t="s">
        <v>6694</v>
      </c>
      <c r="W2138" t="s">
        <v>6720</v>
      </c>
    </row>
    <row r="2139" spans="1:23" ht="15.6" x14ac:dyDescent="0.4">
      <c r="A2139" s="2" t="s">
        <v>3239</v>
      </c>
      <c r="B2139" s="5" t="s">
        <v>8591</v>
      </c>
      <c r="C2139" s="7" t="s">
        <v>12556</v>
      </c>
      <c r="D2139" s="8">
        <f t="shared" si="136"/>
        <v>0</v>
      </c>
      <c r="E2139" s="7" t="s">
        <v>12557</v>
      </c>
      <c r="F2139" s="7">
        <f t="shared" si="137"/>
        <v>0</v>
      </c>
      <c r="G2139" s="7" t="s">
        <v>12558</v>
      </c>
      <c r="H2139" s="7">
        <f t="shared" si="138"/>
        <v>0</v>
      </c>
      <c r="I2139" s="7" t="str" cm="1">
        <f t="array" ref="I2139">IFERROR(_xlfn.IFS(M2139="נח",1,M2139="נע ונח",1,M2139="שני שווא נח",2,M2139="שני שוואים בסוף מילה",2,M2139="שני שוואים ברצף",1),"0")</f>
        <v>0</v>
      </c>
      <c r="J2139" s="9">
        <f t="shared" si="139"/>
        <v>3</v>
      </c>
      <c r="K2139" t="s">
        <v>6698</v>
      </c>
      <c r="L2139" t="s">
        <v>6694</v>
      </c>
      <c r="M2139" t="s">
        <v>6700</v>
      </c>
      <c r="R2139" t="s">
        <v>6694</v>
      </c>
      <c r="W2139" t="s">
        <v>6720</v>
      </c>
    </row>
    <row r="2140" spans="1:23" ht="15.6" x14ac:dyDescent="0.4">
      <c r="A2140" s="2" t="s">
        <v>2660</v>
      </c>
      <c r="B2140" s="5" t="s">
        <v>8592</v>
      </c>
      <c r="C2140" s="7" t="s">
        <v>12556</v>
      </c>
      <c r="D2140" s="8">
        <f t="shared" si="136"/>
        <v>0</v>
      </c>
      <c r="E2140" s="7" t="s">
        <v>12557</v>
      </c>
      <c r="F2140" s="7">
        <f t="shared" si="137"/>
        <v>1</v>
      </c>
      <c r="G2140" s="7" t="s">
        <v>12558</v>
      </c>
      <c r="H2140" s="7">
        <f t="shared" si="138"/>
        <v>1</v>
      </c>
      <c r="I2140" s="7" t="str" cm="1">
        <f t="array" ref="I2140">IFERROR(_xlfn.IFS(M2140="נח",1,M2140="נע ונח",1,M2140="שני שווא נח",2,M2140="שני שוואים בסוף מילה",2,M2140="שני שוואים ברצף",1),"0")</f>
        <v>0</v>
      </c>
      <c r="J2140" s="9">
        <f t="shared" si="139"/>
        <v>4</v>
      </c>
      <c r="K2140" t="s">
        <v>6697</v>
      </c>
      <c r="L2140" t="s">
        <v>6694</v>
      </c>
      <c r="M2140" t="s">
        <v>6700</v>
      </c>
      <c r="P2140" t="s">
        <v>6694</v>
      </c>
      <c r="Q2140" t="s">
        <v>6694</v>
      </c>
      <c r="U2140" t="s">
        <v>6694</v>
      </c>
      <c r="W2140" t="s">
        <v>6720</v>
      </c>
    </row>
    <row r="2141" spans="1:23" ht="15.6" x14ac:dyDescent="0.4">
      <c r="A2141" s="2" t="s">
        <v>2515</v>
      </c>
      <c r="B2141" s="5" t="s">
        <v>8593</v>
      </c>
      <c r="C2141" s="7" t="s">
        <v>12556</v>
      </c>
      <c r="D2141" s="8">
        <f t="shared" si="136"/>
        <v>1</v>
      </c>
      <c r="E2141" s="7" t="s">
        <v>12557</v>
      </c>
      <c r="F2141" s="7">
        <f t="shared" si="137"/>
        <v>1</v>
      </c>
      <c r="G2141" s="7" t="s">
        <v>12558</v>
      </c>
      <c r="H2141" s="7">
        <f t="shared" si="138"/>
        <v>0</v>
      </c>
      <c r="I2141" s="7" cm="1">
        <f t="array" ref="I2141">IFERROR(_xlfn.IFS(M2141="נח",1,M2141="נע ונח",1,M2141="שני שווא נח",2,M2141="שני שוואים בסוף מילה",2,M2141="שני שוואים ברצף",1),"0")</f>
        <v>1</v>
      </c>
      <c r="J2141" s="9">
        <f t="shared" si="139"/>
        <v>4</v>
      </c>
      <c r="K2141" t="s">
        <v>6698</v>
      </c>
      <c r="L2141" t="s">
        <v>6694</v>
      </c>
      <c r="M2141" t="s">
        <v>6701</v>
      </c>
      <c r="N2141" t="s">
        <v>6706</v>
      </c>
      <c r="O2141" t="s">
        <v>6694</v>
      </c>
      <c r="P2141" t="s">
        <v>6694</v>
      </c>
      <c r="V2141" t="s">
        <v>6694</v>
      </c>
      <c r="W2141" t="s">
        <v>6720</v>
      </c>
    </row>
    <row r="2142" spans="1:23" ht="15.6" x14ac:dyDescent="0.4">
      <c r="A2142" s="2" t="s">
        <v>4656</v>
      </c>
      <c r="B2142" s="5" t="s">
        <v>8594</v>
      </c>
      <c r="C2142" s="7" t="s">
        <v>12556</v>
      </c>
      <c r="D2142" s="8">
        <f t="shared" si="136"/>
        <v>0</v>
      </c>
      <c r="E2142" s="7" t="s">
        <v>12557</v>
      </c>
      <c r="F2142" s="7">
        <f t="shared" si="137"/>
        <v>0</v>
      </c>
      <c r="G2142" s="7" t="s">
        <v>12558</v>
      </c>
      <c r="H2142" s="7">
        <f t="shared" si="138"/>
        <v>0</v>
      </c>
      <c r="I2142" s="7" t="str" cm="1">
        <f t="array" ref="I2142">IFERROR(_xlfn.IFS(M2142="נח",1,M2142="נע ונח",1,M2142="שני שווא נח",2,M2142="שני שוואים בסוף מילה",2,M2142="שני שוואים ברצף",1),"0")</f>
        <v>0</v>
      </c>
      <c r="J2142" s="9">
        <f t="shared" si="139"/>
        <v>3</v>
      </c>
      <c r="K2142" t="s">
        <v>6698</v>
      </c>
      <c r="L2142" t="s">
        <v>6694</v>
      </c>
      <c r="M2142" t="s">
        <v>6700</v>
      </c>
      <c r="O2142" t="s">
        <v>6694</v>
      </c>
      <c r="V2142" t="s">
        <v>6694</v>
      </c>
      <c r="W2142" t="s">
        <v>6720</v>
      </c>
    </row>
    <row r="2143" spans="1:23" ht="15.6" x14ac:dyDescent="0.4">
      <c r="A2143" s="2" t="s">
        <v>2496</v>
      </c>
      <c r="B2143" s="5" t="s">
        <v>8595</v>
      </c>
      <c r="C2143" s="7" t="s">
        <v>12556</v>
      </c>
      <c r="D2143" s="8">
        <f t="shared" si="136"/>
        <v>0</v>
      </c>
      <c r="E2143" s="7" t="s">
        <v>12557</v>
      </c>
      <c r="F2143" s="7">
        <f t="shared" si="137"/>
        <v>0</v>
      </c>
      <c r="G2143" s="7" t="s">
        <v>12558</v>
      </c>
      <c r="H2143" s="7">
        <f t="shared" si="138"/>
        <v>0</v>
      </c>
      <c r="I2143" s="7" t="str" cm="1">
        <f t="array" ref="I2143">IFERROR(_xlfn.IFS(M2143="נח",1,M2143="נע ונח",1,M2143="שני שווא נח",2,M2143="שני שוואים בסוף מילה",2,M2143="שני שוואים ברצף",1),"0")</f>
        <v>0</v>
      </c>
      <c r="J2143" s="9">
        <f t="shared" si="139"/>
        <v>3</v>
      </c>
      <c r="K2143" t="s">
        <v>6698</v>
      </c>
      <c r="L2143" t="s">
        <v>6694</v>
      </c>
      <c r="M2143" t="s">
        <v>6700</v>
      </c>
      <c r="Q2143" t="s">
        <v>6694</v>
      </c>
      <c r="V2143" t="s">
        <v>6694</v>
      </c>
      <c r="W2143" t="s">
        <v>6720</v>
      </c>
    </row>
    <row r="2144" spans="1:23" ht="15.6" x14ac:dyDescent="0.4">
      <c r="A2144" s="2" t="s">
        <v>5556</v>
      </c>
      <c r="B2144" s="5" t="s">
        <v>8596</v>
      </c>
      <c r="C2144" s="7" t="s">
        <v>12556</v>
      </c>
      <c r="D2144" s="8">
        <f t="shared" si="136"/>
        <v>0</v>
      </c>
      <c r="E2144" s="7" t="s">
        <v>12557</v>
      </c>
      <c r="F2144" s="7">
        <f t="shared" si="137"/>
        <v>0</v>
      </c>
      <c r="G2144" s="7" t="s">
        <v>12558</v>
      </c>
      <c r="H2144" s="7">
        <f t="shared" si="138"/>
        <v>0</v>
      </c>
      <c r="I2144" s="7" t="str" cm="1">
        <f t="array" ref="I2144">IFERROR(_xlfn.IFS(M2144="נח",1,M2144="נע ונח",1,M2144="שני שווא נח",2,M2144="שני שוואים בסוף מילה",2,M2144="שני שוואים ברצף",1),"0")</f>
        <v>0</v>
      </c>
      <c r="J2144" s="9">
        <f t="shared" si="139"/>
        <v>2</v>
      </c>
      <c r="K2144" t="s">
        <v>6698</v>
      </c>
      <c r="L2144" t="s">
        <v>6694</v>
      </c>
      <c r="M2144" t="s">
        <v>6700</v>
      </c>
      <c r="V2144" t="s">
        <v>6694</v>
      </c>
      <c r="W2144" t="s">
        <v>6720</v>
      </c>
    </row>
    <row r="2145" spans="1:23" ht="15.6" x14ac:dyDescent="0.4">
      <c r="A2145" s="2" t="s">
        <v>5024</v>
      </c>
      <c r="B2145" s="5" t="s">
        <v>8597</v>
      </c>
      <c r="C2145" s="7" t="s">
        <v>12556</v>
      </c>
      <c r="D2145" s="8">
        <f t="shared" si="136"/>
        <v>0</v>
      </c>
      <c r="E2145" s="7" t="s">
        <v>12557</v>
      </c>
      <c r="F2145" s="7">
        <f t="shared" si="137"/>
        <v>1</v>
      </c>
      <c r="G2145" s="7" t="s">
        <v>12558</v>
      </c>
      <c r="H2145" s="7">
        <f t="shared" si="138"/>
        <v>1</v>
      </c>
      <c r="I2145" s="7" t="str" cm="1">
        <f t="array" ref="I2145">IFERROR(_xlfn.IFS(M2145="נח",1,M2145="נע ונח",1,M2145="שני שווא נח",2,M2145="שני שוואים בסוף מילה",2,M2145="שני שוואים ברצף",1),"0")</f>
        <v>0</v>
      </c>
      <c r="J2145" s="9">
        <f t="shared" si="139"/>
        <v>3</v>
      </c>
      <c r="K2145" t="s">
        <v>6697</v>
      </c>
      <c r="L2145" t="s">
        <v>6694</v>
      </c>
      <c r="M2145" t="s">
        <v>6700</v>
      </c>
      <c r="S2145" t="s">
        <v>6694</v>
      </c>
      <c r="U2145" t="s">
        <v>6694</v>
      </c>
      <c r="W2145" t="s">
        <v>6720</v>
      </c>
    </row>
    <row r="2146" spans="1:23" ht="15.6" x14ac:dyDescent="0.4">
      <c r="A2146" s="2" t="s">
        <v>947</v>
      </c>
      <c r="B2146" s="5" t="s">
        <v>8598</v>
      </c>
      <c r="C2146" s="7" t="s">
        <v>12556</v>
      </c>
      <c r="D2146" s="8">
        <f t="shared" si="136"/>
        <v>0</v>
      </c>
      <c r="E2146" s="7" t="s">
        <v>12557</v>
      </c>
      <c r="F2146" s="7">
        <f t="shared" si="137"/>
        <v>1</v>
      </c>
      <c r="G2146" s="7" t="s">
        <v>12558</v>
      </c>
      <c r="H2146" s="7">
        <f t="shared" si="138"/>
        <v>1</v>
      </c>
      <c r="I2146" s="7" t="str" cm="1">
        <f t="array" ref="I2146">IFERROR(_xlfn.IFS(M2146="נח",1,M2146="נע ונח",1,M2146="שני שווא נח",2,M2146="שני שוואים בסוף מילה",2,M2146="שני שוואים ברצף",1),"0")</f>
        <v>0</v>
      </c>
      <c r="J2146" s="9">
        <f t="shared" si="139"/>
        <v>3</v>
      </c>
      <c r="K2146" t="s">
        <v>6697</v>
      </c>
      <c r="L2146" t="s">
        <v>6694</v>
      </c>
      <c r="M2146" t="s">
        <v>6700</v>
      </c>
      <c r="O2146" t="s">
        <v>6694</v>
      </c>
      <c r="U2146" t="s">
        <v>6694</v>
      </c>
      <c r="W2146" t="s">
        <v>6720</v>
      </c>
    </row>
    <row r="2147" spans="1:23" ht="15.6" x14ac:dyDescent="0.4">
      <c r="A2147" s="2" t="s">
        <v>5028</v>
      </c>
      <c r="B2147" s="5" t="s">
        <v>8599</v>
      </c>
      <c r="C2147" s="7" t="s">
        <v>12556</v>
      </c>
      <c r="D2147" s="8">
        <f t="shared" si="136"/>
        <v>0</v>
      </c>
      <c r="E2147" s="7" t="s">
        <v>12557</v>
      </c>
      <c r="F2147" s="7">
        <f t="shared" si="137"/>
        <v>0</v>
      </c>
      <c r="G2147" s="7" t="s">
        <v>12558</v>
      </c>
      <c r="H2147" s="7">
        <f t="shared" si="138"/>
        <v>0</v>
      </c>
      <c r="I2147" s="7" cm="1">
        <f t="array" ref="I2147">IFERROR(_xlfn.IFS(M2147="נח",1,M2147="נע ונח",1,M2147="שני שווא נח",2,M2147="שני שוואים בסוף מילה",2,M2147="שני שוואים ברצף",1),"0")</f>
        <v>1</v>
      </c>
      <c r="J2147" s="9">
        <f t="shared" si="139"/>
        <v>3</v>
      </c>
      <c r="K2147" t="s">
        <v>6697</v>
      </c>
      <c r="L2147" t="s">
        <v>6694</v>
      </c>
      <c r="M2147" t="s">
        <v>6701</v>
      </c>
      <c r="S2147" t="s">
        <v>6694</v>
      </c>
      <c r="W2147" t="s">
        <v>6720</v>
      </c>
    </row>
    <row r="2148" spans="1:23" ht="15.6" x14ac:dyDescent="0.4">
      <c r="A2148" s="2" t="s">
        <v>4015</v>
      </c>
      <c r="B2148" s="5" t="s">
        <v>8600</v>
      </c>
      <c r="C2148" s="7" t="s">
        <v>12556</v>
      </c>
      <c r="D2148" s="8">
        <f t="shared" si="136"/>
        <v>0</v>
      </c>
      <c r="E2148" s="7" t="s">
        <v>12557</v>
      </c>
      <c r="F2148" s="7">
        <f t="shared" si="137"/>
        <v>0</v>
      </c>
      <c r="G2148" s="7" t="s">
        <v>12558</v>
      </c>
      <c r="H2148" s="7">
        <f t="shared" si="138"/>
        <v>0</v>
      </c>
      <c r="I2148" s="7" t="str" cm="1">
        <f t="array" ref="I2148">IFERROR(_xlfn.IFS(M2148="נח",1,M2148="נע ונח",1,M2148="שני שווא נח",2,M2148="שני שוואים בסוף מילה",2,M2148="שני שוואים ברצף",1),"0")</f>
        <v>0</v>
      </c>
      <c r="J2148" s="9">
        <f t="shared" si="139"/>
        <v>2</v>
      </c>
      <c r="K2148" t="s">
        <v>6698</v>
      </c>
      <c r="L2148" t="s">
        <v>6694</v>
      </c>
      <c r="M2148" t="s">
        <v>6700</v>
      </c>
      <c r="S2148" t="s">
        <v>6694</v>
      </c>
      <c r="W2148" t="s">
        <v>6720</v>
      </c>
    </row>
    <row r="2149" spans="1:23" ht="15.6" x14ac:dyDescent="0.4">
      <c r="A2149" s="2" t="s">
        <v>975</v>
      </c>
      <c r="B2149" s="5" t="s">
        <v>8601</v>
      </c>
      <c r="C2149" s="7" t="s">
        <v>12556</v>
      </c>
      <c r="D2149" s="8">
        <f t="shared" si="136"/>
        <v>1</v>
      </c>
      <c r="E2149" s="7" t="s">
        <v>12557</v>
      </c>
      <c r="F2149" s="7">
        <f t="shared" si="137"/>
        <v>1</v>
      </c>
      <c r="G2149" s="7" t="s">
        <v>12558</v>
      </c>
      <c r="H2149" s="7">
        <f t="shared" si="138"/>
        <v>0</v>
      </c>
      <c r="I2149" s="7" cm="1">
        <f t="array" ref="I2149">IFERROR(_xlfn.IFS(M2149="נח",1,M2149="נע ונח",1,M2149="שני שווא נח",2,M2149="שני שוואים בסוף מילה",2,M2149="שני שוואים ברצף",1),"0")</f>
        <v>1</v>
      </c>
      <c r="J2149" s="9">
        <f t="shared" si="139"/>
        <v>3</v>
      </c>
      <c r="K2149" t="s">
        <v>6697</v>
      </c>
      <c r="L2149" t="s">
        <v>6694</v>
      </c>
      <c r="M2149" t="s">
        <v>6701</v>
      </c>
      <c r="S2149" t="s">
        <v>6694</v>
      </c>
      <c r="V2149" t="s">
        <v>6694</v>
      </c>
      <c r="W2149" t="s">
        <v>6720</v>
      </c>
    </row>
    <row r="2150" spans="1:23" ht="15.6" x14ac:dyDescent="0.4">
      <c r="A2150" s="2" t="s">
        <v>393</v>
      </c>
      <c r="B2150" s="5" t="s">
        <v>8602</v>
      </c>
      <c r="C2150" s="7" t="s">
        <v>12556</v>
      </c>
      <c r="D2150" s="8">
        <f t="shared" si="136"/>
        <v>0</v>
      </c>
      <c r="E2150" s="7" t="s">
        <v>12557</v>
      </c>
      <c r="F2150" s="7">
        <f t="shared" si="137"/>
        <v>0</v>
      </c>
      <c r="G2150" s="7" t="s">
        <v>12558</v>
      </c>
      <c r="H2150" s="7">
        <f t="shared" si="138"/>
        <v>0</v>
      </c>
      <c r="I2150" s="7" t="str" cm="1">
        <f t="array" ref="I2150">IFERROR(_xlfn.IFS(M2150="נח",1,M2150="נע ונח",1,M2150="שני שווא נח",2,M2150="שני שוואים בסוף מילה",2,M2150="שני שוואים ברצף",1),"0")</f>
        <v>0</v>
      </c>
      <c r="J2150" s="9">
        <f t="shared" si="139"/>
        <v>3</v>
      </c>
      <c r="K2150" t="s">
        <v>6698</v>
      </c>
      <c r="L2150" t="s">
        <v>6694</v>
      </c>
      <c r="M2150" t="s">
        <v>6700</v>
      </c>
      <c r="P2150" t="s">
        <v>6694</v>
      </c>
      <c r="Q2150" t="s">
        <v>6694</v>
      </c>
      <c r="W2150" t="s">
        <v>6720</v>
      </c>
    </row>
    <row r="2151" spans="1:23" ht="15.6" x14ac:dyDescent="0.4">
      <c r="A2151" s="2" t="s">
        <v>4703</v>
      </c>
      <c r="B2151" s="5" t="s">
        <v>8603</v>
      </c>
      <c r="C2151" s="7" t="s">
        <v>12556</v>
      </c>
      <c r="D2151" s="8">
        <f t="shared" si="136"/>
        <v>0</v>
      </c>
      <c r="E2151" s="7" t="s">
        <v>12557</v>
      </c>
      <c r="F2151" s="7">
        <f t="shared" si="137"/>
        <v>0</v>
      </c>
      <c r="G2151" s="7" t="s">
        <v>12558</v>
      </c>
      <c r="H2151" s="7">
        <f t="shared" si="138"/>
        <v>0</v>
      </c>
      <c r="I2151" s="7" t="str" cm="1">
        <f t="array" ref="I2151">IFERROR(_xlfn.IFS(M2151="נח",1,M2151="נע ונח",1,M2151="שני שווא נח",2,M2151="שני שוואים בסוף מילה",2,M2151="שני שוואים ברצף",1),"0")</f>
        <v>0</v>
      </c>
      <c r="J2151" s="9">
        <f t="shared" si="139"/>
        <v>3</v>
      </c>
      <c r="K2151" t="s">
        <v>6698</v>
      </c>
      <c r="L2151" t="s">
        <v>6694</v>
      </c>
      <c r="M2151" t="s">
        <v>6700</v>
      </c>
      <c r="R2151" t="s">
        <v>6694</v>
      </c>
      <c r="W2151" t="s">
        <v>6720</v>
      </c>
    </row>
    <row r="2152" spans="1:23" ht="15.6" x14ac:dyDescent="0.4">
      <c r="A2152" s="2" t="s">
        <v>1347</v>
      </c>
      <c r="B2152" s="5" t="s">
        <v>8604</v>
      </c>
      <c r="C2152" s="7" t="s">
        <v>12556</v>
      </c>
      <c r="D2152" s="8">
        <f t="shared" si="136"/>
        <v>0</v>
      </c>
      <c r="E2152" s="7" t="s">
        <v>12557</v>
      </c>
      <c r="F2152" s="7">
        <f t="shared" si="137"/>
        <v>0</v>
      </c>
      <c r="G2152" s="7" t="s">
        <v>12558</v>
      </c>
      <c r="H2152" s="7">
        <f t="shared" si="138"/>
        <v>0</v>
      </c>
      <c r="I2152" s="7" t="str" cm="1">
        <f t="array" ref="I2152">IFERROR(_xlfn.IFS(M2152="נח",1,M2152="נע ונח",1,M2152="שני שווא נח",2,M2152="שני שוואים בסוף מילה",2,M2152="שני שוואים ברצף",1),"0")</f>
        <v>0</v>
      </c>
      <c r="J2152" s="9">
        <f t="shared" si="139"/>
        <v>2</v>
      </c>
      <c r="K2152" t="s">
        <v>6698</v>
      </c>
      <c r="L2152" t="s">
        <v>6694</v>
      </c>
      <c r="M2152" t="s">
        <v>6700</v>
      </c>
      <c r="P2152" t="s">
        <v>6694</v>
      </c>
      <c r="W2152" t="s">
        <v>6720</v>
      </c>
    </row>
    <row r="2153" spans="1:23" ht="15.6" x14ac:dyDescent="0.4">
      <c r="A2153" s="2" t="s">
        <v>1884</v>
      </c>
      <c r="B2153" s="5" t="s">
        <v>8605</v>
      </c>
      <c r="C2153" s="7" t="s">
        <v>12556</v>
      </c>
      <c r="D2153" s="8">
        <f t="shared" si="136"/>
        <v>0</v>
      </c>
      <c r="E2153" s="7" t="s">
        <v>12557</v>
      </c>
      <c r="F2153" s="7">
        <f t="shared" si="137"/>
        <v>2</v>
      </c>
      <c r="G2153" s="7" t="s">
        <v>12558</v>
      </c>
      <c r="H2153" s="7">
        <f t="shared" si="138"/>
        <v>1</v>
      </c>
      <c r="I2153" s="7" t="str" cm="1">
        <f t="array" ref="I2153">IFERROR(_xlfn.IFS(M2153="נח",1,M2153="נע ונח",1,M2153="שני שווא נח",2,M2153="שני שוואים בסוף מילה",2,M2153="שני שוואים ברצף",1),"0")</f>
        <v>0</v>
      </c>
      <c r="J2153" s="9">
        <f t="shared" si="139"/>
        <v>3</v>
      </c>
      <c r="K2153" t="s">
        <v>6697</v>
      </c>
      <c r="L2153" t="s">
        <v>6694</v>
      </c>
      <c r="M2153" t="s">
        <v>6700</v>
      </c>
      <c r="P2153" t="s">
        <v>6694</v>
      </c>
      <c r="U2153" t="s">
        <v>6694</v>
      </c>
      <c r="W2153" t="s">
        <v>6720</v>
      </c>
    </row>
    <row r="2154" spans="1:23" ht="15.6" x14ac:dyDescent="0.4">
      <c r="A2154" s="2" t="s">
        <v>6684</v>
      </c>
      <c r="B2154" s="5" t="s">
        <v>8606</v>
      </c>
      <c r="C2154" s="7" t="s">
        <v>12556</v>
      </c>
      <c r="D2154" s="8">
        <f t="shared" si="136"/>
        <v>0</v>
      </c>
      <c r="E2154" s="7" t="s">
        <v>12557</v>
      </c>
      <c r="F2154" s="7">
        <f t="shared" si="137"/>
        <v>0</v>
      </c>
      <c r="G2154" s="7" t="s">
        <v>12558</v>
      </c>
      <c r="H2154" s="7">
        <f t="shared" si="138"/>
        <v>0</v>
      </c>
      <c r="I2154" s="7" cm="1">
        <f t="array" ref="I2154">IFERROR(_xlfn.IFS(M2154="נח",1,M2154="נע ונח",1,M2154="שני שווא נח",2,M2154="שני שוואים בסוף מילה",2,M2154="שני שוואים ברצף",1),"0")</f>
        <v>1</v>
      </c>
      <c r="J2154" s="9">
        <f t="shared" si="139"/>
        <v>3</v>
      </c>
      <c r="K2154" t="s">
        <v>6698</v>
      </c>
      <c r="L2154" t="s">
        <v>6694</v>
      </c>
      <c r="M2154" t="s">
        <v>6701</v>
      </c>
      <c r="N2154" t="s">
        <v>6706</v>
      </c>
      <c r="O2154" t="s">
        <v>6694</v>
      </c>
      <c r="P2154" t="s">
        <v>6694</v>
      </c>
      <c r="W2154" t="s">
        <v>6720</v>
      </c>
    </row>
    <row r="2155" spans="1:23" ht="15.6" x14ac:dyDescent="0.4">
      <c r="A2155" s="2" t="s">
        <v>6277</v>
      </c>
      <c r="B2155" s="5" t="s">
        <v>8607</v>
      </c>
      <c r="C2155" s="7" t="s">
        <v>12556</v>
      </c>
      <c r="D2155" s="8">
        <f t="shared" si="136"/>
        <v>0</v>
      </c>
      <c r="E2155" s="7" t="s">
        <v>12557</v>
      </c>
      <c r="F2155" s="7">
        <f t="shared" si="137"/>
        <v>0</v>
      </c>
      <c r="G2155" s="7" t="s">
        <v>12558</v>
      </c>
      <c r="H2155" s="7">
        <f t="shared" si="138"/>
        <v>0</v>
      </c>
      <c r="I2155" s="7" t="str" cm="1">
        <f t="array" ref="I2155">IFERROR(_xlfn.IFS(M2155="נח",1,M2155="נע ונח",1,M2155="שני שווא נח",2,M2155="שני שוואים בסוף מילה",2,M2155="שני שוואים ברצף",1),"0")</f>
        <v>0</v>
      </c>
      <c r="J2155" s="9">
        <f t="shared" si="139"/>
        <v>4</v>
      </c>
      <c r="K2155" t="s">
        <v>6698</v>
      </c>
      <c r="L2155" t="s">
        <v>6694</v>
      </c>
      <c r="M2155" t="s">
        <v>6700</v>
      </c>
      <c r="P2155" t="s">
        <v>6694</v>
      </c>
      <c r="S2155" t="s">
        <v>6694</v>
      </c>
      <c r="W2155" t="s">
        <v>6720</v>
      </c>
    </row>
    <row r="2156" spans="1:23" ht="15.6" x14ac:dyDescent="0.4">
      <c r="A2156" s="2" t="s">
        <v>1157</v>
      </c>
      <c r="B2156" s="5" t="s">
        <v>8608</v>
      </c>
      <c r="C2156" s="7" t="s">
        <v>12556</v>
      </c>
      <c r="D2156" s="8">
        <f t="shared" si="136"/>
        <v>0</v>
      </c>
      <c r="E2156" s="7" t="s">
        <v>12557</v>
      </c>
      <c r="F2156" s="7">
        <f t="shared" si="137"/>
        <v>1</v>
      </c>
      <c r="G2156" s="7" t="s">
        <v>12558</v>
      </c>
      <c r="H2156" s="7">
        <f t="shared" si="138"/>
        <v>1</v>
      </c>
      <c r="I2156" s="7" t="str" cm="1">
        <f t="array" ref="I2156">IFERROR(_xlfn.IFS(M2156="נח",1,M2156="נע ונח",1,M2156="שני שווא נח",2,M2156="שני שוואים בסוף מילה",2,M2156="שני שוואים ברצף",1),"0")</f>
        <v>0</v>
      </c>
      <c r="J2156" s="9">
        <f t="shared" si="139"/>
        <v>3</v>
      </c>
      <c r="K2156" t="s">
        <v>6698</v>
      </c>
      <c r="L2156" t="s">
        <v>6694</v>
      </c>
      <c r="M2156" t="s">
        <v>6700</v>
      </c>
      <c r="P2156" t="s">
        <v>6694</v>
      </c>
      <c r="U2156" t="s">
        <v>6694</v>
      </c>
      <c r="W2156" t="s">
        <v>6720</v>
      </c>
    </row>
    <row r="2157" spans="1:23" ht="15.6" x14ac:dyDescent="0.4">
      <c r="A2157" s="2" t="s">
        <v>5555</v>
      </c>
      <c r="B2157" s="5" t="s">
        <v>8609</v>
      </c>
      <c r="C2157" s="7" t="s">
        <v>12556</v>
      </c>
      <c r="D2157" s="8">
        <f t="shared" si="136"/>
        <v>0</v>
      </c>
      <c r="E2157" s="7" t="s">
        <v>12557</v>
      </c>
      <c r="F2157" s="7">
        <f t="shared" si="137"/>
        <v>2</v>
      </c>
      <c r="G2157" s="7" t="s">
        <v>12558</v>
      </c>
      <c r="H2157" s="7">
        <f t="shared" si="138"/>
        <v>1</v>
      </c>
      <c r="I2157" s="7" cm="1">
        <f t="array" ref="I2157">IFERROR(_xlfn.IFS(M2157="נח",1,M2157="נע ונח",1,M2157="שני שווא נח",2,M2157="שני שוואים בסוף מילה",2,M2157="שני שוואים ברצף",1),"0")</f>
        <v>1</v>
      </c>
      <c r="J2157" s="9">
        <f t="shared" si="139"/>
        <v>3</v>
      </c>
      <c r="K2157" t="s">
        <v>6697</v>
      </c>
      <c r="L2157" t="s">
        <v>6694</v>
      </c>
      <c r="M2157" t="s">
        <v>6701</v>
      </c>
      <c r="P2157" t="s">
        <v>6694</v>
      </c>
      <c r="U2157" t="s">
        <v>6694</v>
      </c>
      <c r="W2157" t="s">
        <v>6720</v>
      </c>
    </row>
    <row r="2158" spans="1:23" ht="15.6" x14ac:dyDescent="0.4">
      <c r="A2158" s="2" t="s">
        <v>5544</v>
      </c>
      <c r="B2158" s="5" t="s">
        <v>8610</v>
      </c>
      <c r="C2158" s="7" t="s">
        <v>12556</v>
      </c>
      <c r="D2158" s="8">
        <f t="shared" si="136"/>
        <v>0</v>
      </c>
      <c r="E2158" s="7" t="s">
        <v>12557</v>
      </c>
      <c r="F2158" s="7">
        <f t="shared" si="137"/>
        <v>1</v>
      </c>
      <c r="G2158" s="7" t="s">
        <v>12558</v>
      </c>
      <c r="H2158" s="7">
        <f t="shared" si="138"/>
        <v>0</v>
      </c>
      <c r="I2158" s="7" t="str" cm="1">
        <f t="array" ref="I2158">IFERROR(_xlfn.IFS(M2158="נח",1,M2158="נע ונח",1,M2158="שני שווא נח",2,M2158="שני שוואים בסוף מילה",2,M2158="שני שוואים ברצף",1),"0")</f>
        <v>0</v>
      </c>
      <c r="J2158" s="9">
        <f t="shared" si="139"/>
        <v>5</v>
      </c>
      <c r="K2158" t="s">
        <v>6698</v>
      </c>
      <c r="L2158" t="s">
        <v>6694</v>
      </c>
      <c r="M2158" t="s">
        <v>6700</v>
      </c>
      <c r="P2158" t="s">
        <v>6694</v>
      </c>
      <c r="S2158" t="s">
        <v>6694</v>
      </c>
      <c r="W2158" t="s">
        <v>6720</v>
      </c>
    </row>
    <row r="2159" spans="1:23" ht="15.6" x14ac:dyDescent="0.4">
      <c r="A2159" s="2" t="s">
        <v>2208</v>
      </c>
      <c r="B2159" s="5" t="s">
        <v>8611</v>
      </c>
      <c r="C2159" s="7" t="s">
        <v>12556</v>
      </c>
      <c r="D2159" s="8">
        <f t="shared" si="136"/>
        <v>0</v>
      </c>
      <c r="E2159" s="7" t="s">
        <v>12557</v>
      </c>
      <c r="F2159" s="7">
        <f t="shared" si="137"/>
        <v>1</v>
      </c>
      <c r="G2159" s="7" t="s">
        <v>12558</v>
      </c>
      <c r="H2159" s="7">
        <f t="shared" si="138"/>
        <v>1</v>
      </c>
      <c r="I2159" s="7" t="str" cm="1">
        <f t="array" ref="I2159">IFERROR(_xlfn.IFS(M2159="נח",1,M2159="נע ונח",1,M2159="שני שווא נח",2,M2159="שני שוואים בסוף מילה",2,M2159="שני שוואים ברצף",1),"0")</f>
        <v>0</v>
      </c>
      <c r="J2159" s="9">
        <f t="shared" si="139"/>
        <v>3</v>
      </c>
      <c r="K2159" t="s">
        <v>6697</v>
      </c>
      <c r="L2159" t="s">
        <v>6694</v>
      </c>
      <c r="M2159" t="s">
        <v>6700</v>
      </c>
      <c r="O2159" t="s">
        <v>6694</v>
      </c>
      <c r="U2159" t="s">
        <v>6694</v>
      </c>
      <c r="W2159" t="s">
        <v>6720</v>
      </c>
    </row>
    <row r="2160" spans="1:23" ht="15.6" x14ac:dyDescent="0.4">
      <c r="A2160" s="2" t="s">
        <v>6270</v>
      </c>
      <c r="B2160" s="5" t="s">
        <v>8612</v>
      </c>
      <c r="C2160" s="7" t="s">
        <v>12556</v>
      </c>
      <c r="D2160" s="8">
        <f t="shared" si="136"/>
        <v>0</v>
      </c>
      <c r="E2160" s="7" t="s">
        <v>12557</v>
      </c>
      <c r="F2160" s="7">
        <f t="shared" si="137"/>
        <v>1</v>
      </c>
      <c r="G2160" s="7" t="s">
        <v>12558</v>
      </c>
      <c r="H2160" s="7">
        <f t="shared" si="138"/>
        <v>1</v>
      </c>
      <c r="I2160" s="7" cm="1">
        <f t="array" ref="I2160">IFERROR(_xlfn.IFS(M2160="נח",1,M2160="נע ונח",1,M2160="שני שווא נח",2,M2160="שני שוואים בסוף מילה",2,M2160="שני שוואים ברצף",1),"0")</f>
        <v>1</v>
      </c>
      <c r="J2160" s="9">
        <f t="shared" si="139"/>
        <v>4</v>
      </c>
      <c r="K2160" t="s">
        <v>6697</v>
      </c>
      <c r="L2160" t="s">
        <v>6694</v>
      </c>
      <c r="M2160" t="s">
        <v>6701</v>
      </c>
      <c r="N2160" t="s">
        <v>6706</v>
      </c>
      <c r="O2160" t="s">
        <v>6694</v>
      </c>
      <c r="Q2160" t="s">
        <v>6694</v>
      </c>
      <c r="U2160" t="s">
        <v>6694</v>
      </c>
      <c r="W2160" t="s">
        <v>6720</v>
      </c>
    </row>
    <row r="2161" spans="1:23" ht="15.6" x14ac:dyDescent="0.4">
      <c r="A2161" s="2" t="s">
        <v>2231</v>
      </c>
      <c r="B2161" s="5" t="s">
        <v>8613</v>
      </c>
      <c r="C2161" s="7" t="s">
        <v>12556</v>
      </c>
      <c r="D2161" s="8">
        <f t="shared" si="136"/>
        <v>0</v>
      </c>
      <c r="E2161" s="7" t="s">
        <v>12557</v>
      </c>
      <c r="F2161" s="7">
        <f t="shared" si="137"/>
        <v>0</v>
      </c>
      <c r="G2161" s="7" t="s">
        <v>12558</v>
      </c>
      <c r="H2161" s="7">
        <f t="shared" si="138"/>
        <v>0</v>
      </c>
      <c r="I2161" s="7" t="str" cm="1">
        <f t="array" ref="I2161">IFERROR(_xlfn.IFS(M2161="נח",1,M2161="נע ונח",1,M2161="שני שווא נח",2,M2161="שני שוואים בסוף מילה",2,M2161="שני שוואים ברצף",1),"0")</f>
        <v>0</v>
      </c>
      <c r="J2161" s="9">
        <f t="shared" si="139"/>
        <v>2</v>
      </c>
      <c r="K2161" t="s">
        <v>6698</v>
      </c>
      <c r="L2161" t="s">
        <v>6694</v>
      </c>
      <c r="M2161" t="s">
        <v>6700</v>
      </c>
      <c r="N2161" t="s">
        <v>6706</v>
      </c>
      <c r="O2161" t="s">
        <v>6694</v>
      </c>
      <c r="W2161" t="s">
        <v>6720</v>
      </c>
    </row>
    <row r="2162" spans="1:23" ht="15.6" x14ac:dyDescent="0.4">
      <c r="A2162" s="2" t="s">
        <v>2764</v>
      </c>
      <c r="B2162" s="5" t="s">
        <v>8614</v>
      </c>
      <c r="C2162" s="7" t="s">
        <v>12556</v>
      </c>
      <c r="D2162" s="8">
        <f t="shared" si="136"/>
        <v>0</v>
      </c>
      <c r="E2162" s="7" t="s">
        <v>12557</v>
      </c>
      <c r="F2162" s="7">
        <f t="shared" si="137"/>
        <v>1</v>
      </c>
      <c r="G2162" s="7" t="s">
        <v>12558</v>
      </c>
      <c r="H2162" s="7">
        <f t="shared" si="138"/>
        <v>1</v>
      </c>
      <c r="I2162" s="7" t="str" cm="1">
        <f t="array" ref="I2162">IFERROR(_xlfn.IFS(M2162="נח",1,M2162="נע ונח",1,M2162="שני שווא נח",2,M2162="שני שוואים בסוף מילה",2,M2162="שני שוואים ברצף",1),"0")</f>
        <v>0</v>
      </c>
      <c r="J2162" s="9">
        <f t="shared" si="139"/>
        <v>4</v>
      </c>
      <c r="K2162" t="s">
        <v>6697</v>
      </c>
      <c r="L2162" t="s">
        <v>6694</v>
      </c>
      <c r="M2162" t="s">
        <v>6700</v>
      </c>
      <c r="O2162" t="s">
        <v>6694</v>
      </c>
      <c r="Q2162" t="s">
        <v>6694</v>
      </c>
      <c r="U2162" t="s">
        <v>6694</v>
      </c>
      <c r="W2162" t="s">
        <v>6720</v>
      </c>
    </row>
    <row r="2163" spans="1:23" ht="15.6" x14ac:dyDescent="0.4">
      <c r="A2163" s="2" t="s">
        <v>2670</v>
      </c>
      <c r="B2163" s="5" t="s">
        <v>8615</v>
      </c>
      <c r="C2163" s="7" t="s">
        <v>12556</v>
      </c>
      <c r="D2163" s="8">
        <f t="shared" si="136"/>
        <v>0</v>
      </c>
      <c r="E2163" s="7" t="s">
        <v>12557</v>
      </c>
      <c r="F2163" s="7">
        <f t="shared" si="137"/>
        <v>0</v>
      </c>
      <c r="G2163" s="7" t="s">
        <v>12558</v>
      </c>
      <c r="H2163" s="7">
        <f t="shared" si="138"/>
        <v>0</v>
      </c>
      <c r="I2163" s="7" t="str" cm="1">
        <f t="array" ref="I2163">IFERROR(_xlfn.IFS(M2163="נח",1,M2163="נע ונח",1,M2163="שני שווא נח",2,M2163="שני שוואים בסוף מילה",2,M2163="שני שוואים ברצף",1),"0")</f>
        <v>0</v>
      </c>
      <c r="J2163" s="9">
        <f t="shared" si="139"/>
        <v>3</v>
      </c>
      <c r="K2163" t="s">
        <v>6697</v>
      </c>
      <c r="L2163" t="s">
        <v>6694</v>
      </c>
      <c r="M2163" t="s">
        <v>6700</v>
      </c>
      <c r="O2163" t="s">
        <v>6694</v>
      </c>
      <c r="W2163" t="s">
        <v>6720</v>
      </c>
    </row>
    <row r="2164" spans="1:23" ht="15.6" x14ac:dyDescent="0.4">
      <c r="A2164" s="2" t="s">
        <v>536</v>
      </c>
      <c r="B2164" s="5" t="s">
        <v>8616</v>
      </c>
      <c r="C2164" s="7" t="s">
        <v>12556</v>
      </c>
      <c r="D2164" s="8">
        <f t="shared" si="136"/>
        <v>0</v>
      </c>
      <c r="E2164" s="7" t="s">
        <v>12557</v>
      </c>
      <c r="F2164" s="7">
        <f t="shared" si="137"/>
        <v>0</v>
      </c>
      <c r="G2164" s="7" t="s">
        <v>12558</v>
      </c>
      <c r="H2164" s="7">
        <f t="shared" si="138"/>
        <v>0</v>
      </c>
      <c r="I2164" s="7" t="str" cm="1">
        <f t="array" ref="I2164">IFERROR(_xlfn.IFS(M2164="נח",1,M2164="נע ונח",1,M2164="שני שווא נח",2,M2164="שני שוואים בסוף מילה",2,M2164="שני שוואים ברצף",1),"0")</f>
        <v>0</v>
      </c>
      <c r="J2164" s="9">
        <f t="shared" si="139"/>
        <v>3</v>
      </c>
      <c r="K2164" t="s">
        <v>6698</v>
      </c>
      <c r="L2164" t="s">
        <v>6694</v>
      </c>
      <c r="M2164" t="s">
        <v>6700</v>
      </c>
      <c r="O2164" t="s">
        <v>6694</v>
      </c>
      <c r="V2164" t="s">
        <v>6694</v>
      </c>
      <c r="W2164" t="s">
        <v>6720</v>
      </c>
    </row>
    <row r="2165" spans="1:23" ht="15.6" x14ac:dyDescent="0.4">
      <c r="A2165" s="2" t="s">
        <v>2458</v>
      </c>
      <c r="B2165" s="5" t="s">
        <v>8617</v>
      </c>
      <c r="C2165" s="7" t="s">
        <v>12556</v>
      </c>
      <c r="D2165" s="8">
        <f t="shared" si="136"/>
        <v>1</v>
      </c>
      <c r="E2165" s="7" t="s">
        <v>12557</v>
      </c>
      <c r="F2165" s="7">
        <f t="shared" si="137"/>
        <v>0</v>
      </c>
      <c r="G2165" s="7" t="s">
        <v>12558</v>
      </c>
      <c r="H2165" s="7">
        <f t="shared" si="138"/>
        <v>0</v>
      </c>
      <c r="I2165" s="7" t="str" cm="1">
        <f t="array" ref="I2165">IFERROR(_xlfn.IFS(M2165="נח",1,M2165="נע ונח",1,M2165="שני שווא נח",2,M2165="שני שוואים בסוף מילה",2,M2165="שני שוואים ברצף",1),"0")</f>
        <v>0</v>
      </c>
      <c r="J2165" s="9">
        <f t="shared" si="139"/>
        <v>3</v>
      </c>
      <c r="K2165" t="s">
        <v>6697</v>
      </c>
      <c r="L2165" t="s">
        <v>6694</v>
      </c>
      <c r="M2165" t="s">
        <v>6700</v>
      </c>
      <c r="O2165" t="s">
        <v>6694</v>
      </c>
      <c r="W2165" t="s">
        <v>6720</v>
      </c>
    </row>
    <row r="2166" spans="1:23" ht="15.6" x14ac:dyDescent="0.4">
      <c r="A2166" s="2" t="s">
        <v>3089</v>
      </c>
      <c r="B2166" s="5" t="s">
        <v>8604</v>
      </c>
      <c r="C2166" s="7" t="s">
        <v>12556</v>
      </c>
      <c r="D2166" s="8">
        <f t="shared" si="136"/>
        <v>0</v>
      </c>
      <c r="E2166" s="7" t="s">
        <v>12557</v>
      </c>
      <c r="F2166" s="7">
        <f t="shared" si="137"/>
        <v>0</v>
      </c>
      <c r="G2166" s="7" t="s">
        <v>12558</v>
      </c>
      <c r="H2166" s="7">
        <f t="shared" si="138"/>
        <v>0</v>
      </c>
      <c r="I2166" s="7" t="str" cm="1">
        <f t="array" ref="I2166">IFERROR(_xlfn.IFS(M2166="נח",1,M2166="נע ונח",1,M2166="שני שווא נח",2,M2166="שני שוואים בסוף מילה",2,M2166="שני שוואים ברצף",1),"0")</f>
        <v>0</v>
      </c>
      <c r="J2166" s="9">
        <f t="shared" si="139"/>
        <v>2</v>
      </c>
      <c r="K2166" t="s">
        <v>6698</v>
      </c>
      <c r="L2166" t="s">
        <v>6694</v>
      </c>
      <c r="M2166" t="s">
        <v>6700</v>
      </c>
      <c r="V2166" t="s">
        <v>6694</v>
      </c>
      <c r="W2166" t="s">
        <v>6720</v>
      </c>
    </row>
    <row r="2167" spans="1:23" ht="15.6" x14ac:dyDescent="0.4">
      <c r="A2167" s="2" t="s">
        <v>2258</v>
      </c>
      <c r="B2167" s="5" t="s">
        <v>8618</v>
      </c>
      <c r="C2167" s="7" t="s">
        <v>12556</v>
      </c>
      <c r="D2167" s="8">
        <f t="shared" si="136"/>
        <v>0</v>
      </c>
      <c r="E2167" s="7" t="s">
        <v>12557</v>
      </c>
      <c r="F2167" s="7">
        <f t="shared" si="137"/>
        <v>0</v>
      </c>
      <c r="G2167" s="7" t="s">
        <v>12558</v>
      </c>
      <c r="H2167" s="7">
        <f t="shared" si="138"/>
        <v>0</v>
      </c>
      <c r="I2167" s="7" cm="1">
        <f t="array" ref="I2167">IFERROR(_xlfn.IFS(M2167="נח",1,M2167="נע ונח",1,M2167="שני שווא נח",2,M2167="שני שוואים בסוף מילה",2,M2167="שני שוואים ברצף",1),"0")</f>
        <v>1</v>
      </c>
      <c r="J2167" s="9">
        <f t="shared" si="139"/>
        <v>3</v>
      </c>
      <c r="K2167" t="s">
        <v>6698</v>
      </c>
      <c r="L2167" t="s">
        <v>6694</v>
      </c>
      <c r="M2167" t="s">
        <v>6701</v>
      </c>
      <c r="S2167" t="s">
        <v>6694</v>
      </c>
      <c r="V2167" t="s">
        <v>6694</v>
      </c>
      <c r="W2167" t="s">
        <v>6720</v>
      </c>
    </row>
    <row r="2168" spans="1:23" ht="15.6" x14ac:dyDescent="0.4">
      <c r="A2168" s="2" t="s">
        <v>4460</v>
      </c>
      <c r="B2168" s="5" t="s">
        <v>8619</v>
      </c>
      <c r="C2168" s="7" t="s">
        <v>12556</v>
      </c>
      <c r="D2168" s="8">
        <f t="shared" si="136"/>
        <v>0</v>
      </c>
      <c r="E2168" s="7" t="s">
        <v>12557</v>
      </c>
      <c r="F2168" s="7">
        <f t="shared" si="137"/>
        <v>0</v>
      </c>
      <c r="G2168" s="7" t="s">
        <v>12558</v>
      </c>
      <c r="H2168" s="7">
        <f t="shared" si="138"/>
        <v>0</v>
      </c>
      <c r="I2168" s="7" t="str" cm="1">
        <f t="array" ref="I2168">IFERROR(_xlfn.IFS(M2168="נח",1,M2168="נע ונח",1,M2168="שני שווא נח",2,M2168="שני שוואים בסוף מילה",2,M2168="שני שוואים ברצף",1),"0")</f>
        <v>0</v>
      </c>
      <c r="J2168" s="9">
        <f t="shared" si="139"/>
        <v>3</v>
      </c>
      <c r="K2168" t="s">
        <v>6698</v>
      </c>
      <c r="L2168" t="s">
        <v>6694</v>
      </c>
      <c r="M2168" t="s">
        <v>6700</v>
      </c>
      <c r="P2168" t="s">
        <v>6694</v>
      </c>
      <c r="V2168" t="s">
        <v>6694</v>
      </c>
      <c r="W2168" t="s">
        <v>6720</v>
      </c>
    </row>
    <row r="2169" spans="1:23" ht="15.6" x14ac:dyDescent="0.4">
      <c r="A2169" s="2" t="s">
        <v>2464</v>
      </c>
      <c r="B2169" s="5" t="s">
        <v>8620</v>
      </c>
      <c r="C2169" s="7" t="s">
        <v>12556</v>
      </c>
      <c r="D2169" s="8">
        <f t="shared" si="136"/>
        <v>0</v>
      </c>
      <c r="E2169" s="7" t="s">
        <v>12557</v>
      </c>
      <c r="F2169" s="7">
        <f t="shared" si="137"/>
        <v>1</v>
      </c>
      <c r="G2169" s="7" t="s">
        <v>12558</v>
      </c>
      <c r="H2169" s="7">
        <f t="shared" si="138"/>
        <v>1</v>
      </c>
      <c r="I2169" s="7" t="str" cm="1">
        <f t="array" ref="I2169">IFERROR(_xlfn.IFS(M2169="נח",1,M2169="נע ונח",1,M2169="שני שווא נח",2,M2169="שני שוואים בסוף מילה",2,M2169="שני שוואים ברצף",1),"0")</f>
        <v>0</v>
      </c>
      <c r="J2169" s="9">
        <f t="shared" si="139"/>
        <v>3</v>
      </c>
      <c r="K2169" t="s">
        <v>6697</v>
      </c>
      <c r="L2169" t="s">
        <v>6694</v>
      </c>
      <c r="M2169" t="s">
        <v>6700</v>
      </c>
      <c r="N2169" t="s">
        <v>6707</v>
      </c>
      <c r="P2169" t="s">
        <v>6694</v>
      </c>
      <c r="U2169" t="s">
        <v>6694</v>
      </c>
      <c r="W2169" t="s">
        <v>6720</v>
      </c>
    </row>
    <row r="2170" spans="1:23" ht="15.6" x14ac:dyDescent="0.4">
      <c r="A2170" s="2" t="s">
        <v>4970</v>
      </c>
      <c r="B2170" s="5" t="s">
        <v>8621</v>
      </c>
      <c r="C2170" s="7" t="s">
        <v>12556</v>
      </c>
      <c r="D2170" s="8">
        <f t="shared" si="136"/>
        <v>1</v>
      </c>
      <c r="E2170" s="7" t="s">
        <v>12557</v>
      </c>
      <c r="F2170" s="7">
        <f t="shared" si="137"/>
        <v>1</v>
      </c>
      <c r="G2170" s="7" t="s">
        <v>12558</v>
      </c>
      <c r="H2170" s="7">
        <f t="shared" si="138"/>
        <v>1</v>
      </c>
      <c r="I2170" s="7" t="str" cm="1">
        <f t="array" ref="I2170">IFERROR(_xlfn.IFS(M2170="נח",1,M2170="נע ונח",1,M2170="שני שווא נח",2,M2170="שני שוואים בסוף מילה",2,M2170="שני שוואים ברצף",1),"0")</f>
        <v>0</v>
      </c>
      <c r="J2170" s="9">
        <f t="shared" si="139"/>
        <v>4</v>
      </c>
      <c r="K2170" t="s">
        <v>6697</v>
      </c>
      <c r="L2170" t="s">
        <v>6694</v>
      </c>
      <c r="M2170" t="s">
        <v>6700</v>
      </c>
      <c r="Q2170" t="s">
        <v>6694</v>
      </c>
      <c r="S2170" t="s">
        <v>6694</v>
      </c>
      <c r="U2170" t="s">
        <v>6694</v>
      </c>
      <c r="W2170" t="s">
        <v>6720</v>
      </c>
    </row>
    <row r="2171" spans="1:23" ht="15.6" x14ac:dyDescent="0.4">
      <c r="A2171" s="2" t="s">
        <v>4578</v>
      </c>
      <c r="B2171" s="5" t="s">
        <v>8622</v>
      </c>
      <c r="C2171" s="7" t="s">
        <v>12556</v>
      </c>
      <c r="D2171" s="8">
        <f t="shared" si="136"/>
        <v>1</v>
      </c>
      <c r="E2171" s="7" t="s">
        <v>12557</v>
      </c>
      <c r="F2171" s="7">
        <f t="shared" si="137"/>
        <v>1</v>
      </c>
      <c r="G2171" s="7" t="s">
        <v>12558</v>
      </c>
      <c r="H2171" s="7">
        <f t="shared" si="138"/>
        <v>0</v>
      </c>
      <c r="I2171" s="7" t="str" cm="1">
        <f t="array" ref="I2171">IFERROR(_xlfn.IFS(M2171="נח",1,M2171="נע ונח",1,M2171="שני שווא נח",2,M2171="שני שוואים בסוף מילה",2,M2171="שני שוואים ברצף",1),"0")</f>
        <v>0</v>
      </c>
      <c r="J2171" s="9">
        <f t="shared" si="139"/>
        <v>4</v>
      </c>
      <c r="K2171" t="s">
        <v>6698</v>
      </c>
      <c r="L2171" t="s">
        <v>6694</v>
      </c>
      <c r="M2171" t="s">
        <v>6700</v>
      </c>
      <c r="R2171" t="s">
        <v>6694</v>
      </c>
      <c r="S2171" t="s">
        <v>6694</v>
      </c>
      <c r="V2171" t="s">
        <v>6694</v>
      </c>
      <c r="W2171" t="s">
        <v>6720</v>
      </c>
    </row>
    <row r="2172" spans="1:23" ht="15.6" x14ac:dyDescent="0.4">
      <c r="A2172" s="2" t="s">
        <v>3723</v>
      </c>
      <c r="B2172" s="5" t="s">
        <v>8623</v>
      </c>
      <c r="C2172" s="7" t="s">
        <v>12556</v>
      </c>
      <c r="D2172" s="8">
        <f t="shared" si="136"/>
        <v>1</v>
      </c>
      <c r="E2172" s="7" t="s">
        <v>12557</v>
      </c>
      <c r="F2172" s="7">
        <f t="shared" si="137"/>
        <v>0</v>
      </c>
      <c r="G2172" s="7" t="s">
        <v>12558</v>
      </c>
      <c r="H2172" s="7">
        <f t="shared" si="138"/>
        <v>0</v>
      </c>
      <c r="I2172" s="7" cm="1">
        <f t="array" ref="I2172">IFERROR(_xlfn.IFS(M2172="נח",1,M2172="נע ונח",1,M2172="שני שווא נח",2,M2172="שני שוואים בסוף מילה",2,M2172="שני שוואים ברצף",1),"0")</f>
        <v>1</v>
      </c>
      <c r="J2172" s="9">
        <f t="shared" si="139"/>
        <v>3</v>
      </c>
      <c r="K2172" t="s">
        <v>6697</v>
      </c>
      <c r="L2172" t="s">
        <v>6694</v>
      </c>
      <c r="M2172" t="s">
        <v>6701</v>
      </c>
      <c r="S2172" t="s">
        <v>6694</v>
      </c>
      <c r="W2172" t="s">
        <v>6720</v>
      </c>
    </row>
    <row r="2173" spans="1:23" ht="15.6" x14ac:dyDescent="0.4">
      <c r="A2173" s="2" t="s">
        <v>2330</v>
      </c>
      <c r="B2173" s="5" t="s">
        <v>8624</v>
      </c>
      <c r="C2173" s="7" t="s">
        <v>12556</v>
      </c>
      <c r="D2173" s="8">
        <f t="shared" si="136"/>
        <v>1</v>
      </c>
      <c r="E2173" s="7" t="s">
        <v>12557</v>
      </c>
      <c r="F2173" s="7">
        <f t="shared" si="137"/>
        <v>1</v>
      </c>
      <c r="G2173" s="7" t="s">
        <v>12558</v>
      </c>
      <c r="H2173" s="7">
        <f t="shared" si="138"/>
        <v>0</v>
      </c>
      <c r="I2173" s="7" t="str" cm="1">
        <f t="array" ref="I2173">IFERROR(_xlfn.IFS(M2173="נח",1,M2173="נע ונח",1,M2173="שני שווא נח",2,M2173="שני שוואים בסוף מילה",2,M2173="שני שוואים ברצף",1),"0")</f>
        <v>0</v>
      </c>
      <c r="J2173" s="9">
        <f t="shared" si="139"/>
        <v>4</v>
      </c>
      <c r="K2173" t="s">
        <v>6698</v>
      </c>
      <c r="L2173" t="s">
        <v>6694</v>
      </c>
      <c r="M2173" t="s">
        <v>6700</v>
      </c>
      <c r="P2173" t="s">
        <v>6694</v>
      </c>
      <c r="S2173" t="s">
        <v>6694</v>
      </c>
      <c r="T2173" t="s">
        <v>6694</v>
      </c>
      <c r="W2173" t="s">
        <v>6720</v>
      </c>
    </row>
    <row r="2174" spans="1:23" ht="15.6" x14ac:dyDescent="0.4">
      <c r="A2174" s="2" t="s">
        <v>3623</v>
      </c>
      <c r="B2174" s="5" t="s">
        <v>8625</v>
      </c>
      <c r="C2174" s="7" t="s">
        <v>12556</v>
      </c>
      <c r="D2174" s="8">
        <f t="shared" si="136"/>
        <v>1</v>
      </c>
      <c r="E2174" s="7" t="s">
        <v>12557</v>
      </c>
      <c r="F2174" s="7">
        <f t="shared" si="137"/>
        <v>0</v>
      </c>
      <c r="G2174" s="7" t="s">
        <v>12558</v>
      </c>
      <c r="H2174" s="7">
        <f t="shared" si="138"/>
        <v>0</v>
      </c>
      <c r="I2174" s="7" cm="1">
        <f t="array" ref="I2174">IFERROR(_xlfn.IFS(M2174="נח",1,M2174="נע ונח",1,M2174="שני שווא נח",2,M2174="שני שוואים בסוף מילה",2,M2174="שני שוואים ברצף",1),"0")</f>
        <v>1</v>
      </c>
      <c r="J2174" s="9">
        <f t="shared" si="139"/>
        <v>3</v>
      </c>
      <c r="K2174" t="s">
        <v>6697</v>
      </c>
      <c r="L2174" t="s">
        <v>6694</v>
      </c>
      <c r="M2174" t="s">
        <v>6701</v>
      </c>
      <c r="O2174" t="s">
        <v>6694</v>
      </c>
      <c r="S2174" t="s">
        <v>6694</v>
      </c>
      <c r="W2174" t="s">
        <v>6720</v>
      </c>
    </row>
    <row r="2175" spans="1:23" ht="15.6" x14ac:dyDescent="0.4">
      <c r="A2175" s="2" t="s">
        <v>3952</v>
      </c>
      <c r="B2175" s="5" t="s">
        <v>8626</v>
      </c>
      <c r="C2175" s="7" t="s">
        <v>12556</v>
      </c>
      <c r="D2175" s="8">
        <f t="shared" si="136"/>
        <v>2</v>
      </c>
      <c r="E2175" s="7" t="s">
        <v>12557</v>
      </c>
      <c r="F2175" s="7">
        <f t="shared" si="137"/>
        <v>0</v>
      </c>
      <c r="G2175" s="7" t="s">
        <v>12558</v>
      </c>
      <c r="H2175" s="7">
        <f t="shared" si="138"/>
        <v>0</v>
      </c>
      <c r="I2175" s="7" cm="1">
        <f t="array" ref="I2175">IFERROR(_xlfn.IFS(M2175="נח",1,M2175="נע ונח",1,M2175="שני שווא נח",2,M2175="שני שוואים בסוף מילה",2,M2175="שני שוואים ברצף",1),"0")</f>
        <v>1</v>
      </c>
      <c r="J2175" s="9">
        <f t="shared" si="139"/>
        <v>4</v>
      </c>
      <c r="K2175" t="s">
        <v>6697</v>
      </c>
      <c r="L2175" t="s">
        <v>6694</v>
      </c>
      <c r="M2175" t="s">
        <v>6701</v>
      </c>
      <c r="O2175" t="s">
        <v>6694</v>
      </c>
      <c r="Q2175" t="s">
        <v>6694</v>
      </c>
      <c r="R2175" t="s">
        <v>6694</v>
      </c>
      <c r="W2175" t="s">
        <v>6720</v>
      </c>
    </row>
    <row r="2176" spans="1:23" ht="15.6" x14ac:dyDescent="0.4">
      <c r="A2176" s="2" t="s">
        <v>802</v>
      </c>
      <c r="B2176" s="5" t="s">
        <v>8627</v>
      </c>
      <c r="C2176" s="7" t="s">
        <v>12556</v>
      </c>
      <c r="D2176" s="8">
        <f t="shared" si="136"/>
        <v>1</v>
      </c>
      <c r="E2176" s="7" t="s">
        <v>12557</v>
      </c>
      <c r="F2176" s="7">
        <f t="shared" si="137"/>
        <v>1</v>
      </c>
      <c r="G2176" s="7" t="s">
        <v>12558</v>
      </c>
      <c r="H2176" s="7">
        <f t="shared" si="138"/>
        <v>0</v>
      </c>
      <c r="I2176" s="7" cm="1">
        <f t="array" ref="I2176">IFERROR(_xlfn.IFS(M2176="נח",1,M2176="נע ונח",1,M2176="שני שווא נח",2,M2176="שני שוואים בסוף מילה",2,M2176="שני שוואים ברצף",1),"0")</f>
        <v>1</v>
      </c>
      <c r="J2176" s="9">
        <f t="shared" si="139"/>
        <v>3</v>
      </c>
      <c r="K2176" t="s">
        <v>6697</v>
      </c>
      <c r="L2176" t="s">
        <v>6694</v>
      </c>
      <c r="M2176" t="s">
        <v>6701</v>
      </c>
      <c r="P2176" t="s">
        <v>6694</v>
      </c>
      <c r="S2176" t="s">
        <v>6694</v>
      </c>
      <c r="W2176" t="s">
        <v>6720</v>
      </c>
    </row>
    <row r="2177" spans="1:23" ht="15.6" x14ac:dyDescent="0.4">
      <c r="A2177" s="2" t="s">
        <v>3247</v>
      </c>
      <c r="B2177" s="5" t="s">
        <v>8628</v>
      </c>
      <c r="C2177" s="7" t="s">
        <v>12556</v>
      </c>
      <c r="D2177" s="8">
        <f t="shared" si="136"/>
        <v>1</v>
      </c>
      <c r="E2177" s="7" t="s">
        <v>12557</v>
      </c>
      <c r="F2177" s="7">
        <f t="shared" si="137"/>
        <v>0</v>
      </c>
      <c r="G2177" s="7" t="s">
        <v>12558</v>
      </c>
      <c r="H2177" s="7">
        <f t="shared" si="138"/>
        <v>0</v>
      </c>
      <c r="I2177" s="7" cm="1">
        <f t="array" ref="I2177">IFERROR(_xlfn.IFS(M2177="נח",1,M2177="נע ונח",1,M2177="שני שווא נח",2,M2177="שני שוואים בסוף מילה",2,M2177="שני שוואים ברצף",1),"0")</f>
        <v>1</v>
      </c>
      <c r="J2177" s="9">
        <f t="shared" si="139"/>
        <v>4</v>
      </c>
      <c r="K2177" t="s">
        <v>6697</v>
      </c>
      <c r="L2177" t="s">
        <v>6694</v>
      </c>
      <c r="M2177" t="s">
        <v>6701</v>
      </c>
      <c r="O2177" t="s">
        <v>6694</v>
      </c>
      <c r="P2177" t="s">
        <v>6694</v>
      </c>
      <c r="S2177" t="s">
        <v>6694</v>
      </c>
      <c r="W2177" t="s">
        <v>6720</v>
      </c>
    </row>
    <row r="2178" spans="1:23" ht="15.6" x14ac:dyDescent="0.4">
      <c r="A2178" s="2" t="s">
        <v>5412</v>
      </c>
      <c r="B2178" s="5" t="s">
        <v>8629</v>
      </c>
      <c r="C2178" s="7" t="s">
        <v>12556</v>
      </c>
      <c r="D2178" s="8">
        <f t="shared" si="136"/>
        <v>1</v>
      </c>
      <c r="E2178" s="7" t="s">
        <v>12557</v>
      </c>
      <c r="F2178" s="7">
        <f t="shared" si="137"/>
        <v>0</v>
      </c>
      <c r="G2178" s="7" t="s">
        <v>12558</v>
      </c>
      <c r="H2178" s="7">
        <f t="shared" si="138"/>
        <v>0</v>
      </c>
      <c r="I2178" s="7" cm="1">
        <f t="array" ref="I2178">IFERROR(_xlfn.IFS(M2178="נח",1,M2178="נע ונח",1,M2178="שני שווא נח",2,M2178="שני שוואים בסוף מילה",2,M2178="שני שוואים ברצף",1),"0")</f>
        <v>1</v>
      </c>
      <c r="J2178" s="9">
        <f t="shared" si="139"/>
        <v>3</v>
      </c>
      <c r="K2178" t="s">
        <v>6698</v>
      </c>
      <c r="L2178" t="s">
        <v>6694</v>
      </c>
      <c r="M2178" t="s">
        <v>6701</v>
      </c>
      <c r="P2178" t="s">
        <v>6694</v>
      </c>
      <c r="Q2178" t="s">
        <v>6694</v>
      </c>
      <c r="W2178" t="s">
        <v>6720</v>
      </c>
    </row>
    <row r="2179" spans="1:23" ht="15.6" x14ac:dyDescent="0.4">
      <c r="A2179" s="2" t="s">
        <v>4715</v>
      </c>
      <c r="B2179" s="5" t="s">
        <v>8630</v>
      </c>
      <c r="C2179" s="7" t="s">
        <v>12556</v>
      </c>
      <c r="D2179" s="8">
        <f t="shared" ref="D2179:D2242" si="140">(LEN(B2179)-LEN(SUBSTITUTE(B2179,C2179,"")))</f>
        <v>1</v>
      </c>
      <c r="E2179" s="7" t="s">
        <v>12557</v>
      </c>
      <c r="F2179" s="7">
        <f t="shared" ref="F2179:F2242" si="141">(LEN(A2179)-LEN(SUBSTITUTE(A2179,E2179,"")))</f>
        <v>2</v>
      </c>
      <c r="G2179" s="7" t="s">
        <v>12558</v>
      </c>
      <c r="H2179" s="7">
        <f t="shared" ref="H2179:H2242" si="142">(LEN(A2179)-LEN(SUBSTITUTE(A2179,G2179,"")))/2</f>
        <v>1</v>
      </c>
      <c r="I2179" s="7" cm="1">
        <f t="array" ref="I2179">IFERROR(_xlfn.IFS(M2179="נח",1,M2179="נע ונח",1,M2179="שני שווא נח",2,M2179="שני שוואים בסוף מילה",2,M2179="שני שוואים ברצף",1),"0")</f>
        <v>1</v>
      </c>
      <c r="J2179" s="9">
        <f t="shared" ref="J2179:J2242" si="143">LEN(A2179)-(LEN(B2179))-D2179-F2179+H2179-I2179</f>
        <v>3</v>
      </c>
      <c r="K2179" t="s">
        <v>6697</v>
      </c>
      <c r="L2179" t="s">
        <v>6694</v>
      </c>
      <c r="M2179" t="s">
        <v>6701</v>
      </c>
      <c r="P2179" t="s">
        <v>6694</v>
      </c>
      <c r="U2179" t="s">
        <v>6694</v>
      </c>
      <c r="W2179" t="s">
        <v>6720</v>
      </c>
    </row>
    <row r="2180" spans="1:23" ht="15.6" x14ac:dyDescent="0.4">
      <c r="A2180" s="2" t="s">
        <v>5317</v>
      </c>
      <c r="B2180" s="5" t="s">
        <v>8631</v>
      </c>
      <c r="C2180" s="7" t="s">
        <v>12556</v>
      </c>
      <c r="D2180" s="8">
        <f t="shared" si="140"/>
        <v>1</v>
      </c>
      <c r="E2180" s="7" t="s">
        <v>12557</v>
      </c>
      <c r="F2180" s="7">
        <f t="shared" si="141"/>
        <v>1</v>
      </c>
      <c r="G2180" s="7" t="s">
        <v>12558</v>
      </c>
      <c r="H2180" s="7">
        <f t="shared" si="142"/>
        <v>0</v>
      </c>
      <c r="I2180" s="7" t="str" cm="1">
        <f t="array" ref="I2180">IFERROR(_xlfn.IFS(M2180="נח",1,M2180="נע ונח",1,M2180="שני שווא נח",2,M2180="שני שוואים בסוף מילה",2,M2180="שני שוואים ברצף",1),"0")</f>
        <v>0</v>
      </c>
      <c r="J2180" s="9">
        <f t="shared" si="143"/>
        <v>3</v>
      </c>
      <c r="K2180" t="s">
        <v>6698</v>
      </c>
      <c r="L2180" t="s">
        <v>6694</v>
      </c>
      <c r="M2180" t="s">
        <v>6700</v>
      </c>
      <c r="P2180" t="s">
        <v>6694</v>
      </c>
      <c r="Q2180" t="s">
        <v>6694</v>
      </c>
      <c r="W2180" t="s">
        <v>6720</v>
      </c>
    </row>
    <row r="2181" spans="1:23" ht="15.6" x14ac:dyDescent="0.4">
      <c r="A2181" s="2" t="s">
        <v>4270</v>
      </c>
      <c r="B2181" s="5" t="s">
        <v>8632</v>
      </c>
      <c r="C2181" s="7" t="s">
        <v>12556</v>
      </c>
      <c r="D2181" s="8">
        <f t="shared" si="140"/>
        <v>1</v>
      </c>
      <c r="E2181" s="7" t="s">
        <v>12557</v>
      </c>
      <c r="F2181" s="7">
        <f t="shared" si="141"/>
        <v>0</v>
      </c>
      <c r="G2181" s="7" t="s">
        <v>12558</v>
      </c>
      <c r="H2181" s="7">
        <f t="shared" si="142"/>
        <v>0</v>
      </c>
      <c r="I2181" s="7" cm="1">
        <f t="array" ref="I2181">IFERROR(_xlfn.IFS(M2181="נח",1,M2181="נע ונח",1,M2181="שני שווא נח",2,M2181="שני שוואים בסוף מילה",2,M2181="שני שוואים ברצף",1),"0")</f>
        <v>1</v>
      </c>
      <c r="J2181" s="9">
        <f t="shared" si="143"/>
        <v>2</v>
      </c>
      <c r="K2181" t="s">
        <v>6697</v>
      </c>
      <c r="L2181" t="s">
        <v>6694</v>
      </c>
      <c r="M2181" t="s">
        <v>6701</v>
      </c>
      <c r="N2181" t="s">
        <v>6706</v>
      </c>
      <c r="O2181" t="s">
        <v>6694</v>
      </c>
      <c r="W2181" t="s">
        <v>6720</v>
      </c>
    </row>
    <row r="2182" spans="1:23" ht="15.6" x14ac:dyDescent="0.4">
      <c r="A2182" s="2" t="s">
        <v>4943</v>
      </c>
      <c r="B2182" s="5" t="s">
        <v>8633</v>
      </c>
      <c r="C2182" s="7" t="s">
        <v>12556</v>
      </c>
      <c r="D2182" s="8">
        <f t="shared" si="140"/>
        <v>1</v>
      </c>
      <c r="E2182" s="7" t="s">
        <v>12557</v>
      </c>
      <c r="F2182" s="7">
        <f t="shared" si="141"/>
        <v>0</v>
      </c>
      <c r="G2182" s="7" t="s">
        <v>12558</v>
      </c>
      <c r="H2182" s="7">
        <f t="shared" si="142"/>
        <v>0</v>
      </c>
      <c r="I2182" s="7" t="str" cm="1">
        <f t="array" ref="I2182">IFERROR(_xlfn.IFS(M2182="נח",1,M2182="נע ונח",1,M2182="שני שווא נח",2,M2182="שני שוואים בסוף מילה",2,M2182="שני שוואים ברצף",1),"0")</f>
        <v>0</v>
      </c>
      <c r="J2182" s="9">
        <f t="shared" si="143"/>
        <v>3</v>
      </c>
      <c r="K2182" t="s">
        <v>6698</v>
      </c>
      <c r="L2182" t="s">
        <v>6694</v>
      </c>
      <c r="M2182" t="s">
        <v>6700</v>
      </c>
      <c r="O2182" t="s">
        <v>6694</v>
      </c>
      <c r="V2182" t="s">
        <v>6694</v>
      </c>
      <c r="W2182" t="s">
        <v>6720</v>
      </c>
    </row>
    <row r="2183" spans="1:23" ht="15.6" x14ac:dyDescent="0.4">
      <c r="A2183" s="2" t="s">
        <v>5587</v>
      </c>
      <c r="B2183" s="5" t="s">
        <v>8634</v>
      </c>
      <c r="C2183" s="7" t="s">
        <v>12556</v>
      </c>
      <c r="D2183" s="8">
        <f t="shared" si="140"/>
        <v>1</v>
      </c>
      <c r="E2183" s="7" t="s">
        <v>12557</v>
      </c>
      <c r="F2183" s="7">
        <f t="shared" si="141"/>
        <v>1</v>
      </c>
      <c r="G2183" s="7" t="s">
        <v>12558</v>
      </c>
      <c r="H2183" s="7">
        <f t="shared" si="142"/>
        <v>1</v>
      </c>
      <c r="I2183" s="7" cm="1">
        <f t="array" ref="I2183">IFERROR(_xlfn.IFS(M2183="נח",1,M2183="נע ונח",1,M2183="שני שווא נח",2,M2183="שני שוואים בסוף מילה",2,M2183="שני שוואים ברצף",1),"0")</f>
        <v>1</v>
      </c>
      <c r="J2183" s="9">
        <f t="shared" si="143"/>
        <v>3</v>
      </c>
      <c r="K2183" t="s">
        <v>6697</v>
      </c>
      <c r="L2183" t="s">
        <v>6694</v>
      </c>
      <c r="M2183" t="s">
        <v>6701</v>
      </c>
      <c r="N2183" t="s">
        <v>6706</v>
      </c>
      <c r="O2183" t="s">
        <v>6694</v>
      </c>
      <c r="U2183" t="s">
        <v>6694</v>
      </c>
      <c r="W2183" t="s">
        <v>6720</v>
      </c>
    </row>
    <row r="2184" spans="1:23" ht="15.6" x14ac:dyDescent="0.4">
      <c r="A2184" s="2" t="s">
        <v>6114</v>
      </c>
      <c r="B2184" s="5" t="s">
        <v>8635</v>
      </c>
      <c r="C2184" s="7" t="s">
        <v>12556</v>
      </c>
      <c r="D2184" s="8">
        <f t="shared" si="140"/>
        <v>1</v>
      </c>
      <c r="E2184" s="7" t="s">
        <v>12557</v>
      </c>
      <c r="F2184" s="7">
        <f t="shared" si="141"/>
        <v>0</v>
      </c>
      <c r="G2184" s="7" t="s">
        <v>12558</v>
      </c>
      <c r="H2184" s="7">
        <f t="shared" si="142"/>
        <v>0</v>
      </c>
      <c r="I2184" s="7" t="str" cm="1">
        <f t="array" ref="I2184">IFERROR(_xlfn.IFS(M2184="נח",1,M2184="נע ונח",1,M2184="שני שווא נח",2,M2184="שני שוואים בסוף מילה",2,M2184="שני שוואים ברצף",1),"0")</f>
        <v>0</v>
      </c>
      <c r="J2184" s="9">
        <f t="shared" si="143"/>
        <v>4</v>
      </c>
      <c r="K2184" t="s">
        <v>6698</v>
      </c>
      <c r="L2184" t="s">
        <v>6694</v>
      </c>
      <c r="M2184" t="s">
        <v>6700</v>
      </c>
      <c r="N2184" t="s">
        <v>6706</v>
      </c>
      <c r="O2184" t="s">
        <v>6694</v>
      </c>
      <c r="S2184" t="s">
        <v>6694</v>
      </c>
      <c r="W2184" t="s">
        <v>6720</v>
      </c>
    </row>
    <row r="2185" spans="1:23" ht="15.6" x14ac:dyDescent="0.4">
      <c r="A2185" s="2" t="s">
        <v>2902</v>
      </c>
      <c r="B2185" s="5" t="s">
        <v>8636</v>
      </c>
      <c r="C2185" s="7" t="s">
        <v>12556</v>
      </c>
      <c r="D2185" s="8">
        <f t="shared" si="140"/>
        <v>1</v>
      </c>
      <c r="E2185" s="7" t="s">
        <v>12557</v>
      </c>
      <c r="F2185" s="7">
        <f t="shared" si="141"/>
        <v>0</v>
      </c>
      <c r="G2185" s="7" t="s">
        <v>12558</v>
      </c>
      <c r="H2185" s="7">
        <f t="shared" si="142"/>
        <v>0</v>
      </c>
      <c r="I2185" s="7" t="str" cm="1">
        <f t="array" ref="I2185">IFERROR(_xlfn.IFS(M2185="נח",1,M2185="נע ונח",1,M2185="שני שווא נח",2,M2185="שני שוואים בסוף מילה",2,M2185="שני שוואים ברצף",1),"0")</f>
        <v>0</v>
      </c>
      <c r="J2185" s="9">
        <f t="shared" si="143"/>
        <v>3</v>
      </c>
      <c r="K2185" t="s">
        <v>6698</v>
      </c>
      <c r="L2185" t="s">
        <v>6694</v>
      </c>
      <c r="M2185" t="s">
        <v>6700</v>
      </c>
      <c r="N2185" t="s">
        <v>6706</v>
      </c>
      <c r="O2185" t="s">
        <v>6694</v>
      </c>
      <c r="W2185" t="s">
        <v>6720</v>
      </c>
    </row>
    <row r="2186" spans="1:23" ht="15.6" x14ac:dyDescent="0.4">
      <c r="A2186" s="2" t="s">
        <v>6510</v>
      </c>
      <c r="B2186" s="5" t="s">
        <v>8637</v>
      </c>
      <c r="C2186" s="7" t="s">
        <v>12556</v>
      </c>
      <c r="D2186" s="8">
        <f t="shared" si="140"/>
        <v>1</v>
      </c>
      <c r="E2186" s="7" t="s">
        <v>12557</v>
      </c>
      <c r="F2186" s="7">
        <f t="shared" si="141"/>
        <v>0</v>
      </c>
      <c r="G2186" s="7" t="s">
        <v>12558</v>
      </c>
      <c r="H2186" s="7">
        <f t="shared" si="142"/>
        <v>0</v>
      </c>
      <c r="I2186" s="7" t="str" cm="1">
        <f t="array" ref="I2186">IFERROR(_xlfn.IFS(M2186="נח",1,M2186="נע ונח",1,M2186="שני שווא נח",2,M2186="שני שוואים בסוף מילה",2,M2186="שני שוואים ברצף",1),"0")</f>
        <v>0</v>
      </c>
      <c r="J2186" s="9">
        <f t="shared" si="143"/>
        <v>4</v>
      </c>
      <c r="K2186" t="s">
        <v>6697</v>
      </c>
      <c r="L2186" t="s">
        <v>6694</v>
      </c>
      <c r="M2186" t="s">
        <v>6700</v>
      </c>
      <c r="O2186" t="s">
        <v>6694</v>
      </c>
      <c r="W2186" t="s">
        <v>6720</v>
      </c>
    </row>
    <row r="2187" spans="1:23" ht="15.6" x14ac:dyDescent="0.4">
      <c r="A2187" s="2" t="s">
        <v>3023</v>
      </c>
      <c r="B2187" s="5" t="s">
        <v>8638</v>
      </c>
      <c r="C2187" s="7" t="s">
        <v>12556</v>
      </c>
      <c r="D2187" s="8">
        <f t="shared" si="140"/>
        <v>1</v>
      </c>
      <c r="E2187" s="7" t="s">
        <v>12557</v>
      </c>
      <c r="F2187" s="7">
        <f t="shared" si="141"/>
        <v>0</v>
      </c>
      <c r="G2187" s="7" t="s">
        <v>12558</v>
      </c>
      <c r="H2187" s="7">
        <f t="shared" si="142"/>
        <v>0</v>
      </c>
      <c r="I2187" s="7" t="str" cm="1">
        <f t="array" ref="I2187">IFERROR(_xlfn.IFS(M2187="נח",1,M2187="נע ונח",1,M2187="שני שווא נח",2,M2187="שני שוואים בסוף מילה",2,M2187="שני שוואים ברצף",1),"0")</f>
        <v>0</v>
      </c>
      <c r="J2187" s="9">
        <f t="shared" si="143"/>
        <v>3</v>
      </c>
      <c r="K2187" t="s">
        <v>6698</v>
      </c>
      <c r="L2187" t="s">
        <v>6694</v>
      </c>
      <c r="M2187" t="s">
        <v>6700</v>
      </c>
      <c r="O2187" t="s">
        <v>6694</v>
      </c>
      <c r="S2187" t="s">
        <v>6694</v>
      </c>
      <c r="W2187" t="s">
        <v>6720</v>
      </c>
    </row>
    <row r="2188" spans="1:23" ht="15.6" x14ac:dyDescent="0.4">
      <c r="A2188" s="2" t="s">
        <v>6682</v>
      </c>
      <c r="B2188" s="5" t="s">
        <v>8639</v>
      </c>
      <c r="C2188" s="7" t="s">
        <v>12556</v>
      </c>
      <c r="D2188" s="8">
        <f t="shared" si="140"/>
        <v>1</v>
      </c>
      <c r="E2188" s="7" t="s">
        <v>12557</v>
      </c>
      <c r="F2188" s="7">
        <f t="shared" si="141"/>
        <v>0</v>
      </c>
      <c r="G2188" s="7" t="s">
        <v>12558</v>
      </c>
      <c r="H2188" s="7">
        <f t="shared" si="142"/>
        <v>0</v>
      </c>
      <c r="I2188" s="7" t="str" cm="1">
        <f t="array" ref="I2188">IFERROR(_xlfn.IFS(M2188="נח",1,M2188="נע ונח",1,M2188="שני שווא נח",2,M2188="שני שוואים בסוף מילה",2,M2188="שני שוואים ברצף",1),"0")</f>
        <v>0</v>
      </c>
      <c r="J2188" s="9">
        <f t="shared" si="143"/>
        <v>3</v>
      </c>
      <c r="K2188" t="s">
        <v>6698</v>
      </c>
      <c r="L2188" t="s">
        <v>6694</v>
      </c>
      <c r="M2188" t="s">
        <v>6700</v>
      </c>
      <c r="Q2188" t="s">
        <v>6694</v>
      </c>
      <c r="V2188" t="s">
        <v>6694</v>
      </c>
      <c r="W2188" t="s">
        <v>6720</v>
      </c>
    </row>
    <row r="2189" spans="1:23" ht="15.6" x14ac:dyDescent="0.4">
      <c r="A2189" s="2" t="s">
        <v>5230</v>
      </c>
      <c r="B2189" s="5" t="s">
        <v>8640</v>
      </c>
      <c r="C2189" s="7" t="s">
        <v>12556</v>
      </c>
      <c r="D2189" s="8">
        <f t="shared" si="140"/>
        <v>1</v>
      </c>
      <c r="E2189" s="7" t="s">
        <v>12557</v>
      </c>
      <c r="F2189" s="7">
        <f t="shared" si="141"/>
        <v>0</v>
      </c>
      <c r="G2189" s="7" t="s">
        <v>12558</v>
      </c>
      <c r="H2189" s="7">
        <f t="shared" si="142"/>
        <v>0</v>
      </c>
      <c r="I2189" s="7" t="str" cm="1">
        <f t="array" ref="I2189">IFERROR(_xlfn.IFS(M2189="נח",1,M2189="נע ונח",1,M2189="שני שווא נח",2,M2189="שני שוואים בסוף מילה",2,M2189="שני שוואים ברצף",1),"0")</f>
        <v>0</v>
      </c>
      <c r="J2189" s="9">
        <f t="shared" si="143"/>
        <v>3</v>
      </c>
      <c r="K2189" t="s">
        <v>6698</v>
      </c>
      <c r="L2189" t="s">
        <v>6694</v>
      </c>
      <c r="M2189" t="s">
        <v>6700</v>
      </c>
      <c r="P2189" t="s">
        <v>6694</v>
      </c>
      <c r="V2189" t="s">
        <v>6694</v>
      </c>
      <c r="W2189" t="s">
        <v>6720</v>
      </c>
    </row>
    <row r="2190" spans="1:23" ht="15.6" x14ac:dyDescent="0.4">
      <c r="A2190" s="2" t="s">
        <v>495</v>
      </c>
      <c r="B2190" s="5" t="s">
        <v>8641</v>
      </c>
      <c r="C2190" s="7" t="s">
        <v>12556</v>
      </c>
      <c r="D2190" s="8">
        <f t="shared" si="140"/>
        <v>1</v>
      </c>
      <c r="E2190" s="7" t="s">
        <v>12557</v>
      </c>
      <c r="F2190" s="7">
        <f t="shared" si="141"/>
        <v>0</v>
      </c>
      <c r="G2190" s="7" t="s">
        <v>12558</v>
      </c>
      <c r="H2190" s="7">
        <f t="shared" si="142"/>
        <v>0</v>
      </c>
      <c r="I2190" s="7" cm="1">
        <f t="array" ref="I2190">IFERROR(_xlfn.IFS(M2190="נח",1,M2190="נע ונח",1,M2190="שני שווא נח",2,M2190="שני שוואים בסוף מילה",2,M2190="שני שוואים ברצף",1),"0")</f>
        <v>1</v>
      </c>
      <c r="J2190" s="9">
        <f t="shared" si="143"/>
        <v>3</v>
      </c>
      <c r="K2190" t="s">
        <v>6698</v>
      </c>
      <c r="L2190" t="s">
        <v>6694</v>
      </c>
      <c r="M2190" t="s">
        <v>6701</v>
      </c>
      <c r="Q2190" t="s">
        <v>6694</v>
      </c>
      <c r="V2190" t="s">
        <v>6694</v>
      </c>
      <c r="W2190" t="s">
        <v>6720</v>
      </c>
    </row>
    <row r="2191" spans="1:23" ht="15.6" x14ac:dyDescent="0.4">
      <c r="A2191" s="2" t="s">
        <v>3903</v>
      </c>
      <c r="B2191" s="5" t="s">
        <v>8642</v>
      </c>
      <c r="C2191" s="7" t="s">
        <v>12556</v>
      </c>
      <c r="D2191" s="8">
        <f t="shared" si="140"/>
        <v>1</v>
      </c>
      <c r="E2191" s="7" t="s">
        <v>12557</v>
      </c>
      <c r="F2191" s="7">
        <f t="shared" si="141"/>
        <v>0</v>
      </c>
      <c r="G2191" s="7" t="s">
        <v>12558</v>
      </c>
      <c r="H2191" s="7">
        <f t="shared" si="142"/>
        <v>0</v>
      </c>
      <c r="I2191" s="7" cm="1">
        <f t="array" ref="I2191">IFERROR(_xlfn.IFS(M2191="נח",1,M2191="נע ונח",1,M2191="שני שווא נח",2,M2191="שני שוואים בסוף מילה",2,M2191="שני שוואים ברצף",1),"0")</f>
        <v>1</v>
      </c>
      <c r="J2191" s="9">
        <f t="shared" si="143"/>
        <v>3</v>
      </c>
      <c r="K2191" t="s">
        <v>6697</v>
      </c>
      <c r="L2191" t="s">
        <v>6694</v>
      </c>
      <c r="M2191" t="s">
        <v>6701</v>
      </c>
      <c r="O2191" t="s">
        <v>6694</v>
      </c>
      <c r="S2191" t="s">
        <v>6694</v>
      </c>
      <c r="W2191" t="s">
        <v>6720</v>
      </c>
    </row>
    <row r="2192" spans="1:23" ht="15.6" x14ac:dyDescent="0.4">
      <c r="A2192" s="2" t="s">
        <v>935</v>
      </c>
      <c r="B2192" s="5" t="s">
        <v>8643</v>
      </c>
      <c r="C2192" s="7" t="s">
        <v>12556</v>
      </c>
      <c r="D2192" s="8">
        <f t="shared" si="140"/>
        <v>1</v>
      </c>
      <c r="E2192" s="7" t="s">
        <v>12557</v>
      </c>
      <c r="F2192" s="7">
        <f t="shared" si="141"/>
        <v>0</v>
      </c>
      <c r="G2192" s="7" t="s">
        <v>12558</v>
      </c>
      <c r="H2192" s="7">
        <f t="shared" si="142"/>
        <v>0</v>
      </c>
      <c r="I2192" s="7" cm="1">
        <f t="array" ref="I2192">IFERROR(_xlfn.IFS(M2192="נח",1,M2192="נע ונח",1,M2192="שני שווא נח",2,M2192="שני שוואים בסוף מילה",2,M2192="שני שוואים ברצף",1),"0")</f>
        <v>1</v>
      </c>
      <c r="J2192" s="9">
        <f t="shared" si="143"/>
        <v>3</v>
      </c>
      <c r="K2192" t="s">
        <v>6698</v>
      </c>
      <c r="L2192" t="s">
        <v>6694</v>
      </c>
      <c r="M2192" t="s">
        <v>6701</v>
      </c>
      <c r="P2192" t="s">
        <v>6694</v>
      </c>
      <c r="S2192" t="s">
        <v>6694</v>
      </c>
      <c r="W2192" t="s">
        <v>6720</v>
      </c>
    </row>
    <row r="2193" spans="1:23" ht="15.6" x14ac:dyDescent="0.4">
      <c r="A2193" s="2" t="s">
        <v>4958</v>
      </c>
      <c r="B2193" s="5" t="s">
        <v>8644</v>
      </c>
      <c r="C2193" s="7" t="s">
        <v>12556</v>
      </c>
      <c r="D2193" s="8">
        <f t="shared" si="140"/>
        <v>1</v>
      </c>
      <c r="E2193" s="7" t="s">
        <v>12557</v>
      </c>
      <c r="F2193" s="7">
        <f t="shared" si="141"/>
        <v>0</v>
      </c>
      <c r="G2193" s="7" t="s">
        <v>12558</v>
      </c>
      <c r="H2193" s="7">
        <f t="shared" si="142"/>
        <v>0</v>
      </c>
      <c r="I2193" s="7" cm="1">
        <f t="array" ref="I2193">IFERROR(_xlfn.IFS(M2193="נח",1,M2193="נע ונח",1,M2193="שני שווא נח",2,M2193="שני שוואים בסוף מילה",2,M2193="שני שוואים ברצף",1),"0")</f>
        <v>1</v>
      </c>
      <c r="J2193" s="9">
        <f t="shared" si="143"/>
        <v>3</v>
      </c>
      <c r="K2193" t="s">
        <v>6697</v>
      </c>
      <c r="L2193" t="s">
        <v>6694</v>
      </c>
      <c r="M2193" t="s">
        <v>6701</v>
      </c>
      <c r="O2193" t="s">
        <v>6694</v>
      </c>
      <c r="S2193" t="s">
        <v>6694</v>
      </c>
      <c r="W2193" t="s">
        <v>6720</v>
      </c>
    </row>
    <row r="2194" spans="1:23" ht="15.6" x14ac:dyDescent="0.4">
      <c r="A2194" s="2" t="s">
        <v>5362</v>
      </c>
      <c r="B2194" s="5" t="s">
        <v>8645</v>
      </c>
      <c r="C2194" s="7" t="s">
        <v>12556</v>
      </c>
      <c r="D2194" s="8">
        <f t="shared" si="140"/>
        <v>1</v>
      </c>
      <c r="E2194" s="7" t="s">
        <v>12557</v>
      </c>
      <c r="F2194" s="7">
        <f t="shared" si="141"/>
        <v>0</v>
      </c>
      <c r="G2194" s="7" t="s">
        <v>12558</v>
      </c>
      <c r="H2194" s="7">
        <f t="shared" si="142"/>
        <v>0</v>
      </c>
      <c r="I2194" s="7" cm="1">
        <f t="array" ref="I2194">IFERROR(_xlfn.IFS(M2194="נח",1,M2194="נע ונח",1,M2194="שני שווא נח",2,M2194="שני שוואים בסוף מילה",2,M2194="שני שוואים ברצף",1),"0")</f>
        <v>1</v>
      </c>
      <c r="J2194" s="9">
        <f t="shared" si="143"/>
        <v>3</v>
      </c>
      <c r="K2194" t="s">
        <v>6698</v>
      </c>
      <c r="L2194" t="s">
        <v>6694</v>
      </c>
      <c r="M2194" t="s">
        <v>6701</v>
      </c>
      <c r="Q2194" t="s">
        <v>6694</v>
      </c>
      <c r="S2194" t="s">
        <v>6694</v>
      </c>
      <c r="W2194" t="s">
        <v>6720</v>
      </c>
    </row>
    <row r="2195" spans="1:23" ht="15.6" x14ac:dyDescent="0.4">
      <c r="A2195" s="2" t="s">
        <v>5241</v>
      </c>
      <c r="B2195" s="5" t="s">
        <v>8646</v>
      </c>
      <c r="C2195" s="7" t="s">
        <v>12556</v>
      </c>
      <c r="D2195" s="8">
        <f t="shared" si="140"/>
        <v>1</v>
      </c>
      <c r="E2195" s="7" t="s">
        <v>12557</v>
      </c>
      <c r="F2195" s="7">
        <f t="shared" si="141"/>
        <v>0</v>
      </c>
      <c r="G2195" s="7" t="s">
        <v>12558</v>
      </c>
      <c r="H2195" s="7">
        <f t="shared" si="142"/>
        <v>0</v>
      </c>
      <c r="I2195" s="7" cm="1">
        <f t="array" ref="I2195">IFERROR(_xlfn.IFS(M2195="נח",1,M2195="נע ונח",1,M2195="שני שווא נח",2,M2195="שני שוואים בסוף מילה",2,M2195="שני שוואים ברצף",1),"0")</f>
        <v>1</v>
      </c>
      <c r="J2195" s="9">
        <f t="shared" si="143"/>
        <v>3</v>
      </c>
      <c r="K2195" t="s">
        <v>6698</v>
      </c>
      <c r="L2195" t="s">
        <v>6694</v>
      </c>
      <c r="M2195" t="s">
        <v>6701</v>
      </c>
      <c r="S2195" t="s">
        <v>6694</v>
      </c>
      <c r="V2195" t="s">
        <v>6694</v>
      </c>
      <c r="W2195" t="s">
        <v>6720</v>
      </c>
    </row>
    <row r="2196" spans="1:23" ht="15.6" x14ac:dyDescent="0.4">
      <c r="A2196" s="2" t="s">
        <v>525</v>
      </c>
      <c r="B2196" s="5" t="s">
        <v>8647</v>
      </c>
      <c r="C2196" s="7" t="s">
        <v>12556</v>
      </c>
      <c r="D2196" s="8">
        <f t="shared" si="140"/>
        <v>1</v>
      </c>
      <c r="E2196" s="7" t="s">
        <v>12557</v>
      </c>
      <c r="F2196" s="7">
        <f t="shared" si="141"/>
        <v>0</v>
      </c>
      <c r="G2196" s="7" t="s">
        <v>12558</v>
      </c>
      <c r="H2196" s="7">
        <f t="shared" si="142"/>
        <v>0</v>
      </c>
      <c r="I2196" s="7" t="str" cm="1">
        <f t="array" ref="I2196">IFERROR(_xlfn.IFS(M2196="נח",1,M2196="נע ונח",1,M2196="שני שווא נח",2,M2196="שני שוואים בסוף מילה",2,M2196="שני שוואים ברצף",1),"0")</f>
        <v>0</v>
      </c>
      <c r="J2196" s="9">
        <f t="shared" si="143"/>
        <v>3</v>
      </c>
      <c r="K2196" t="s">
        <v>6697</v>
      </c>
      <c r="L2196" t="s">
        <v>6694</v>
      </c>
      <c r="M2196" t="s">
        <v>6700</v>
      </c>
      <c r="O2196" t="s">
        <v>6694</v>
      </c>
      <c r="Q2196" t="s">
        <v>6694</v>
      </c>
      <c r="W2196" t="s">
        <v>6720</v>
      </c>
    </row>
    <row r="2197" spans="1:23" ht="15.6" x14ac:dyDescent="0.4">
      <c r="A2197" s="2" t="s">
        <v>5843</v>
      </c>
      <c r="B2197" s="5" t="s">
        <v>8648</v>
      </c>
      <c r="C2197" s="7" t="s">
        <v>12556</v>
      </c>
      <c r="D2197" s="8">
        <f t="shared" si="140"/>
        <v>1</v>
      </c>
      <c r="E2197" s="7" t="s">
        <v>12557</v>
      </c>
      <c r="F2197" s="7">
        <f t="shared" si="141"/>
        <v>1</v>
      </c>
      <c r="G2197" s="7" t="s">
        <v>12558</v>
      </c>
      <c r="H2197" s="7">
        <f t="shared" si="142"/>
        <v>0</v>
      </c>
      <c r="I2197" s="7" cm="1">
        <f t="array" ref="I2197">IFERROR(_xlfn.IFS(M2197="נח",1,M2197="נע ונח",1,M2197="שני שווא נח",2,M2197="שני שוואים בסוף מילה",2,M2197="שני שוואים ברצף",1),"0")</f>
        <v>1</v>
      </c>
      <c r="J2197" s="9">
        <f t="shared" si="143"/>
        <v>3</v>
      </c>
      <c r="K2197" t="s">
        <v>6697</v>
      </c>
      <c r="L2197" t="s">
        <v>6694</v>
      </c>
      <c r="M2197" t="s">
        <v>6701</v>
      </c>
      <c r="P2197" t="s">
        <v>6694</v>
      </c>
      <c r="S2197" t="s">
        <v>6694</v>
      </c>
      <c r="W2197" t="s">
        <v>6720</v>
      </c>
    </row>
    <row r="2198" spans="1:23" ht="15.6" x14ac:dyDescent="0.4">
      <c r="A2198" s="2" t="s">
        <v>933</v>
      </c>
      <c r="B2198" s="5" t="s">
        <v>8649</v>
      </c>
      <c r="C2198" s="7" t="s">
        <v>12556</v>
      </c>
      <c r="D2198" s="8">
        <f t="shared" si="140"/>
        <v>1</v>
      </c>
      <c r="E2198" s="7" t="s">
        <v>12557</v>
      </c>
      <c r="F2198" s="7">
        <f t="shared" si="141"/>
        <v>0</v>
      </c>
      <c r="G2198" s="7" t="s">
        <v>12558</v>
      </c>
      <c r="H2198" s="7">
        <f t="shared" si="142"/>
        <v>0</v>
      </c>
      <c r="I2198" s="7" t="str" cm="1">
        <f t="array" ref="I2198">IFERROR(_xlfn.IFS(M2198="נח",1,M2198="נע ונח",1,M2198="שני שווא נח",2,M2198="שני שוואים בסוף מילה",2,M2198="שני שוואים ברצף",1),"0")</f>
        <v>0</v>
      </c>
      <c r="J2198" s="9">
        <f t="shared" si="143"/>
        <v>2</v>
      </c>
      <c r="K2198" t="s">
        <v>6697</v>
      </c>
      <c r="L2198" t="s">
        <v>6694</v>
      </c>
      <c r="M2198" t="s">
        <v>6700</v>
      </c>
      <c r="O2198" t="s">
        <v>6694</v>
      </c>
      <c r="W2198" t="s">
        <v>6720</v>
      </c>
    </row>
    <row r="2199" spans="1:23" ht="15.6" x14ac:dyDescent="0.4">
      <c r="A2199" s="2" t="s">
        <v>3501</v>
      </c>
      <c r="B2199" s="5" t="s">
        <v>8650</v>
      </c>
      <c r="C2199" s="7" t="s">
        <v>12556</v>
      </c>
      <c r="D2199" s="8">
        <f t="shared" si="140"/>
        <v>1</v>
      </c>
      <c r="E2199" s="7" t="s">
        <v>12557</v>
      </c>
      <c r="F2199" s="7">
        <f t="shared" si="141"/>
        <v>0</v>
      </c>
      <c r="G2199" s="7" t="s">
        <v>12558</v>
      </c>
      <c r="H2199" s="7">
        <f t="shared" si="142"/>
        <v>0</v>
      </c>
      <c r="I2199" s="7" t="str" cm="1">
        <f t="array" ref="I2199">IFERROR(_xlfn.IFS(M2199="נח",1,M2199="נע ונח",1,M2199="שני שווא נח",2,M2199="שני שוואים בסוף מילה",2,M2199="שני שוואים ברצף",1),"0")</f>
        <v>0</v>
      </c>
      <c r="J2199" s="9">
        <f t="shared" si="143"/>
        <v>3</v>
      </c>
      <c r="K2199" t="s">
        <v>6698</v>
      </c>
      <c r="L2199" t="s">
        <v>6694</v>
      </c>
      <c r="M2199" t="s">
        <v>6700</v>
      </c>
      <c r="O2199" t="s">
        <v>6694</v>
      </c>
      <c r="Q2199" t="s">
        <v>6694</v>
      </c>
      <c r="W2199" t="s">
        <v>6720</v>
      </c>
    </row>
    <row r="2200" spans="1:23" ht="15.6" x14ac:dyDescent="0.4">
      <c r="A2200" s="2" t="s">
        <v>4960</v>
      </c>
      <c r="B2200" s="5" t="s">
        <v>8651</v>
      </c>
      <c r="C2200" s="7" t="s">
        <v>12556</v>
      </c>
      <c r="D2200" s="8">
        <f t="shared" si="140"/>
        <v>1</v>
      </c>
      <c r="E2200" s="7" t="s">
        <v>12557</v>
      </c>
      <c r="F2200" s="7">
        <f t="shared" si="141"/>
        <v>0</v>
      </c>
      <c r="G2200" s="7" t="s">
        <v>12558</v>
      </c>
      <c r="H2200" s="7">
        <f t="shared" si="142"/>
        <v>0</v>
      </c>
      <c r="I2200" s="7" t="str" cm="1">
        <f t="array" ref="I2200">IFERROR(_xlfn.IFS(M2200="נח",1,M2200="נע ונח",1,M2200="שני שווא נח",2,M2200="שני שוואים בסוף מילה",2,M2200="שני שוואים ברצף",1),"0")</f>
        <v>0</v>
      </c>
      <c r="J2200" s="9">
        <f t="shared" si="143"/>
        <v>3</v>
      </c>
      <c r="K2200" t="s">
        <v>6698</v>
      </c>
      <c r="L2200" t="s">
        <v>6694</v>
      </c>
      <c r="M2200" t="s">
        <v>6700</v>
      </c>
      <c r="N2200" t="s">
        <v>6706</v>
      </c>
      <c r="O2200" t="s">
        <v>6694</v>
      </c>
      <c r="W2200" t="s">
        <v>6720</v>
      </c>
    </row>
    <row r="2201" spans="1:23" ht="15.6" x14ac:dyDescent="0.4">
      <c r="A2201" s="2" t="s">
        <v>5348</v>
      </c>
      <c r="B2201" s="5" t="s">
        <v>8652</v>
      </c>
      <c r="C2201" s="7" t="s">
        <v>12556</v>
      </c>
      <c r="D2201" s="8">
        <f t="shared" si="140"/>
        <v>1</v>
      </c>
      <c r="E2201" s="7" t="s">
        <v>12557</v>
      </c>
      <c r="F2201" s="7">
        <f t="shared" si="141"/>
        <v>0</v>
      </c>
      <c r="G2201" s="7" t="s">
        <v>12558</v>
      </c>
      <c r="H2201" s="7">
        <f t="shared" si="142"/>
        <v>0</v>
      </c>
      <c r="I2201" s="7" t="str" cm="1">
        <f t="array" ref="I2201">IFERROR(_xlfn.IFS(M2201="נח",1,M2201="נע ונח",1,M2201="שני שווא נח",2,M2201="שני שוואים בסוף מילה",2,M2201="שני שוואים ברצף",1),"0")</f>
        <v>0</v>
      </c>
      <c r="J2201" s="9">
        <f t="shared" si="143"/>
        <v>2</v>
      </c>
      <c r="K2201" t="s">
        <v>6698</v>
      </c>
      <c r="L2201" t="s">
        <v>6694</v>
      </c>
      <c r="M2201" t="s">
        <v>6700</v>
      </c>
      <c r="N2201" t="s">
        <v>6706</v>
      </c>
      <c r="O2201" t="s">
        <v>6694</v>
      </c>
      <c r="W2201" t="s">
        <v>6720</v>
      </c>
    </row>
    <row r="2202" spans="1:23" ht="15.6" x14ac:dyDescent="0.4">
      <c r="A2202" s="2" t="s">
        <v>542</v>
      </c>
      <c r="B2202" s="5" t="s">
        <v>8653</v>
      </c>
      <c r="C2202" s="7" t="s">
        <v>12556</v>
      </c>
      <c r="D2202" s="8">
        <f t="shared" si="140"/>
        <v>0</v>
      </c>
      <c r="E2202" s="7" t="s">
        <v>12557</v>
      </c>
      <c r="F2202" s="7">
        <f t="shared" si="141"/>
        <v>1</v>
      </c>
      <c r="G2202" s="7" t="s">
        <v>12558</v>
      </c>
      <c r="H2202" s="7">
        <f t="shared" si="142"/>
        <v>0</v>
      </c>
      <c r="I2202" s="7" t="str" cm="1">
        <f t="array" ref="I2202">IFERROR(_xlfn.IFS(M2202="נח",1,M2202="נע ונח",1,M2202="שני שווא נח",2,M2202="שני שוואים בסוף מילה",2,M2202="שני שוואים ברצף",1),"0")</f>
        <v>0</v>
      </c>
      <c r="J2202" s="9">
        <f t="shared" si="143"/>
        <v>3</v>
      </c>
      <c r="K2202" t="s">
        <v>6698</v>
      </c>
      <c r="L2202" t="s">
        <v>6694</v>
      </c>
      <c r="M2202" t="s">
        <v>6700</v>
      </c>
      <c r="S2202" t="s">
        <v>6694</v>
      </c>
      <c r="V2202" t="s">
        <v>6694</v>
      </c>
      <c r="W2202" t="s">
        <v>6720</v>
      </c>
    </row>
    <row r="2203" spans="1:23" ht="15.6" x14ac:dyDescent="0.4">
      <c r="A2203" s="2" t="s">
        <v>500</v>
      </c>
      <c r="B2203" s="5" t="s">
        <v>8654</v>
      </c>
      <c r="C2203" s="7" t="s">
        <v>12556</v>
      </c>
      <c r="D2203" s="8">
        <f t="shared" si="140"/>
        <v>1</v>
      </c>
      <c r="E2203" s="7" t="s">
        <v>12557</v>
      </c>
      <c r="F2203" s="7">
        <f t="shared" si="141"/>
        <v>2</v>
      </c>
      <c r="G2203" s="7" t="s">
        <v>12558</v>
      </c>
      <c r="H2203" s="7">
        <f t="shared" si="142"/>
        <v>2</v>
      </c>
      <c r="I2203" s="7" cm="1">
        <f t="array" ref="I2203">IFERROR(_xlfn.IFS(M2203="נח",1,M2203="נע ונח",1,M2203="שני שווא נח",2,M2203="שני שוואים בסוף מילה",2,M2203="שני שוואים ברצף",1),"0")</f>
        <v>1</v>
      </c>
      <c r="J2203" s="9">
        <f t="shared" si="143"/>
        <v>4</v>
      </c>
      <c r="K2203" t="s">
        <v>6697</v>
      </c>
      <c r="L2203" t="s">
        <v>6694</v>
      </c>
      <c r="M2203" t="s">
        <v>6701</v>
      </c>
      <c r="S2203" t="s">
        <v>6694</v>
      </c>
      <c r="U2203" t="s">
        <v>6694</v>
      </c>
      <c r="W2203" t="s">
        <v>6720</v>
      </c>
    </row>
    <row r="2204" spans="1:23" ht="15.6" x14ac:dyDescent="0.4">
      <c r="A2204" s="2" t="s">
        <v>4731</v>
      </c>
      <c r="B2204" s="5" t="s">
        <v>8655</v>
      </c>
      <c r="C2204" s="7" t="s">
        <v>12556</v>
      </c>
      <c r="D2204" s="8">
        <f t="shared" si="140"/>
        <v>0</v>
      </c>
      <c r="E2204" s="7" t="s">
        <v>12557</v>
      </c>
      <c r="F2204" s="7">
        <f t="shared" si="141"/>
        <v>1</v>
      </c>
      <c r="G2204" s="7" t="s">
        <v>12558</v>
      </c>
      <c r="H2204" s="7">
        <f t="shared" si="142"/>
        <v>0</v>
      </c>
      <c r="I2204" s="7" cm="1">
        <f t="array" ref="I2204">IFERROR(_xlfn.IFS(M2204="נח",1,M2204="נע ונח",1,M2204="שני שווא נח",2,M2204="שני שוואים בסוף מילה",2,M2204="שני שוואים ברצף",1),"0")</f>
        <v>1</v>
      </c>
      <c r="J2204" s="9">
        <f t="shared" si="143"/>
        <v>4</v>
      </c>
      <c r="K2204" t="s">
        <v>6698</v>
      </c>
      <c r="L2204" t="s">
        <v>6694</v>
      </c>
      <c r="M2204" t="s">
        <v>6701</v>
      </c>
      <c r="P2204" t="s">
        <v>6694</v>
      </c>
      <c r="Q2204" t="s">
        <v>6694</v>
      </c>
      <c r="S2204" t="s">
        <v>6694</v>
      </c>
      <c r="W2204" t="s">
        <v>6720</v>
      </c>
    </row>
    <row r="2205" spans="1:23" ht="15.6" x14ac:dyDescent="0.4">
      <c r="A2205" s="2" t="s">
        <v>2924</v>
      </c>
      <c r="B2205" s="5" t="s">
        <v>8656</v>
      </c>
      <c r="C2205" s="7" t="s">
        <v>12556</v>
      </c>
      <c r="D2205" s="8">
        <f t="shared" si="140"/>
        <v>0</v>
      </c>
      <c r="E2205" s="7" t="s">
        <v>12557</v>
      </c>
      <c r="F2205" s="7">
        <f t="shared" si="141"/>
        <v>0</v>
      </c>
      <c r="G2205" s="7" t="s">
        <v>12558</v>
      </c>
      <c r="H2205" s="7">
        <f t="shared" si="142"/>
        <v>0</v>
      </c>
      <c r="I2205" s="7" t="str" cm="1">
        <f t="array" ref="I2205">IFERROR(_xlfn.IFS(M2205="נח",1,M2205="נע ונח",1,M2205="שני שווא נח",2,M2205="שני שוואים בסוף מילה",2,M2205="שני שוואים ברצף",1),"0")</f>
        <v>0</v>
      </c>
      <c r="J2205" s="9">
        <f t="shared" si="143"/>
        <v>3</v>
      </c>
      <c r="K2205" t="s">
        <v>6698</v>
      </c>
      <c r="L2205" t="s">
        <v>6694</v>
      </c>
      <c r="M2205" t="s">
        <v>6700</v>
      </c>
      <c r="Q2205" t="s">
        <v>6694</v>
      </c>
      <c r="W2205" t="s">
        <v>6720</v>
      </c>
    </row>
    <row r="2206" spans="1:23" ht="15.6" x14ac:dyDescent="0.4">
      <c r="A2206" s="2" t="s">
        <v>2309</v>
      </c>
      <c r="B2206" s="5" t="s">
        <v>8657</v>
      </c>
      <c r="C2206" s="7" t="s">
        <v>12556</v>
      </c>
      <c r="D2206" s="8">
        <f t="shared" si="140"/>
        <v>0</v>
      </c>
      <c r="E2206" s="7" t="s">
        <v>12557</v>
      </c>
      <c r="F2206" s="7">
        <f t="shared" si="141"/>
        <v>0</v>
      </c>
      <c r="G2206" s="7" t="s">
        <v>12558</v>
      </c>
      <c r="H2206" s="7">
        <f t="shared" si="142"/>
        <v>0</v>
      </c>
      <c r="I2206" s="7" t="str" cm="1">
        <f t="array" ref="I2206">IFERROR(_xlfn.IFS(M2206="נח",1,M2206="נע ונח",1,M2206="שני שווא נח",2,M2206="שני שוואים בסוף מילה",2,M2206="שני שוואים ברצף",1),"0")</f>
        <v>0</v>
      </c>
      <c r="J2206" s="9">
        <f t="shared" si="143"/>
        <v>3</v>
      </c>
      <c r="K2206" t="s">
        <v>6698</v>
      </c>
      <c r="L2206" t="s">
        <v>6694</v>
      </c>
      <c r="M2206" t="s">
        <v>6700</v>
      </c>
      <c r="P2206" t="s">
        <v>6694</v>
      </c>
      <c r="W2206" t="s">
        <v>6720</v>
      </c>
    </row>
    <row r="2207" spans="1:23" ht="15.6" x14ac:dyDescent="0.4">
      <c r="A2207" s="2" t="s">
        <v>6223</v>
      </c>
      <c r="B2207" s="5" t="s">
        <v>8658</v>
      </c>
      <c r="C2207" s="7" t="s">
        <v>12556</v>
      </c>
      <c r="D2207" s="8">
        <f t="shared" si="140"/>
        <v>0</v>
      </c>
      <c r="E2207" s="7" t="s">
        <v>12557</v>
      </c>
      <c r="F2207" s="7">
        <f t="shared" si="141"/>
        <v>1</v>
      </c>
      <c r="G2207" s="7" t="s">
        <v>12558</v>
      </c>
      <c r="H2207" s="7">
        <f t="shared" si="142"/>
        <v>0</v>
      </c>
      <c r="I2207" s="7" t="str" cm="1">
        <f t="array" ref="I2207">IFERROR(_xlfn.IFS(M2207="נח",1,M2207="נע ונח",1,M2207="שני שווא נח",2,M2207="שני שוואים בסוף מילה",2,M2207="שני שוואים ברצף",1),"0")</f>
        <v>0</v>
      </c>
      <c r="J2207" s="9">
        <f t="shared" si="143"/>
        <v>3</v>
      </c>
      <c r="K2207" t="s">
        <v>6698</v>
      </c>
      <c r="L2207" t="s">
        <v>6694</v>
      </c>
      <c r="M2207" t="s">
        <v>6700</v>
      </c>
      <c r="P2207" t="s">
        <v>6694</v>
      </c>
      <c r="S2207" t="s">
        <v>6694</v>
      </c>
      <c r="W2207" t="s">
        <v>6720</v>
      </c>
    </row>
    <row r="2208" spans="1:23" ht="15.6" x14ac:dyDescent="0.4">
      <c r="A2208" s="2" t="s">
        <v>874</v>
      </c>
      <c r="B2208" s="5" t="s">
        <v>8659</v>
      </c>
      <c r="C2208" s="7" t="s">
        <v>12556</v>
      </c>
      <c r="D2208" s="8">
        <f t="shared" si="140"/>
        <v>0</v>
      </c>
      <c r="E2208" s="7" t="s">
        <v>12557</v>
      </c>
      <c r="F2208" s="7">
        <f t="shared" si="141"/>
        <v>0</v>
      </c>
      <c r="G2208" s="7" t="s">
        <v>12558</v>
      </c>
      <c r="H2208" s="7">
        <f t="shared" si="142"/>
        <v>0</v>
      </c>
      <c r="I2208" s="7" cm="1">
        <f t="array" ref="I2208">IFERROR(_xlfn.IFS(M2208="נח",1,M2208="נע ונח",1,M2208="שני שווא נח",2,M2208="שני שוואים בסוף מילה",2,M2208="שני שוואים ברצף",1),"0")</f>
        <v>1</v>
      </c>
      <c r="J2208" s="9">
        <f t="shared" si="143"/>
        <v>3</v>
      </c>
      <c r="K2208" t="s">
        <v>6698</v>
      </c>
      <c r="L2208" t="s">
        <v>6694</v>
      </c>
      <c r="M2208" t="s">
        <v>6701</v>
      </c>
      <c r="O2208" t="s">
        <v>6694</v>
      </c>
      <c r="Q2208" t="s">
        <v>6694</v>
      </c>
      <c r="W2208" t="s">
        <v>6720</v>
      </c>
    </row>
    <row r="2209" spans="1:23" ht="15.6" x14ac:dyDescent="0.4">
      <c r="A2209" s="2" t="s">
        <v>2293</v>
      </c>
      <c r="B2209" s="5" t="s">
        <v>8660</v>
      </c>
      <c r="C2209" s="7" t="s">
        <v>12556</v>
      </c>
      <c r="D2209" s="8">
        <f t="shared" si="140"/>
        <v>0</v>
      </c>
      <c r="E2209" s="7" t="s">
        <v>12557</v>
      </c>
      <c r="F2209" s="7">
        <f t="shared" si="141"/>
        <v>1</v>
      </c>
      <c r="G2209" s="7" t="s">
        <v>12558</v>
      </c>
      <c r="H2209" s="7">
        <f t="shared" si="142"/>
        <v>1</v>
      </c>
      <c r="I2209" s="7" cm="1">
        <f t="array" ref="I2209">IFERROR(_xlfn.IFS(M2209="נח",1,M2209="נע ונח",1,M2209="שני שווא נח",2,M2209="שני שוואים בסוף מילה",2,M2209="שני שוואים ברצף",1),"0")</f>
        <v>1</v>
      </c>
      <c r="J2209" s="9">
        <f t="shared" si="143"/>
        <v>3</v>
      </c>
      <c r="K2209" t="s">
        <v>6697</v>
      </c>
      <c r="L2209" t="s">
        <v>6694</v>
      </c>
      <c r="M2209" t="s">
        <v>6701</v>
      </c>
      <c r="U2209" t="s">
        <v>6694</v>
      </c>
      <c r="V2209" t="s">
        <v>6694</v>
      </c>
      <c r="W2209" t="s">
        <v>6720</v>
      </c>
    </row>
    <row r="2210" spans="1:23" ht="15.6" x14ac:dyDescent="0.4">
      <c r="A2210" s="2" t="s">
        <v>5050</v>
      </c>
      <c r="B2210" s="5" t="s">
        <v>8661</v>
      </c>
      <c r="C2210" s="7" t="s">
        <v>12556</v>
      </c>
      <c r="D2210" s="8">
        <f t="shared" si="140"/>
        <v>0</v>
      </c>
      <c r="E2210" s="7" t="s">
        <v>12557</v>
      </c>
      <c r="F2210" s="7">
        <f t="shared" si="141"/>
        <v>0</v>
      </c>
      <c r="G2210" s="7" t="s">
        <v>12558</v>
      </c>
      <c r="H2210" s="7">
        <f t="shared" si="142"/>
        <v>0</v>
      </c>
      <c r="I2210" s="7" t="str" cm="1">
        <f t="array" ref="I2210">IFERROR(_xlfn.IFS(M2210="נח",1,M2210="נע ונח",1,M2210="שני שווא נח",2,M2210="שני שוואים בסוף מילה",2,M2210="שני שוואים ברצף",1),"0")</f>
        <v>0</v>
      </c>
      <c r="J2210" s="9">
        <f t="shared" si="143"/>
        <v>5</v>
      </c>
      <c r="K2210" t="s">
        <v>6697</v>
      </c>
      <c r="L2210" t="s">
        <v>6694</v>
      </c>
      <c r="M2210" t="s">
        <v>6700</v>
      </c>
      <c r="P2210" t="s">
        <v>6694</v>
      </c>
      <c r="Q2210" t="s">
        <v>6694</v>
      </c>
      <c r="S2210" t="s">
        <v>6694</v>
      </c>
      <c r="V2210" t="s">
        <v>6694</v>
      </c>
      <c r="W2210" t="s">
        <v>6720</v>
      </c>
    </row>
    <row r="2211" spans="1:23" ht="15.6" x14ac:dyDescent="0.4">
      <c r="A2211" s="2" t="s">
        <v>3339</v>
      </c>
      <c r="B2211" s="5" t="s">
        <v>8662</v>
      </c>
      <c r="C2211" s="7" t="s">
        <v>12556</v>
      </c>
      <c r="D2211" s="8">
        <f t="shared" si="140"/>
        <v>0</v>
      </c>
      <c r="E2211" s="7" t="s">
        <v>12557</v>
      </c>
      <c r="F2211" s="7">
        <f t="shared" si="141"/>
        <v>0</v>
      </c>
      <c r="G2211" s="7" t="s">
        <v>12558</v>
      </c>
      <c r="H2211" s="7">
        <f t="shared" si="142"/>
        <v>0</v>
      </c>
      <c r="I2211" s="7" cm="1">
        <f t="array" ref="I2211">IFERROR(_xlfn.IFS(M2211="נח",1,M2211="נע ונח",1,M2211="שני שווא נח",2,M2211="שני שוואים בסוף מילה",2,M2211="שני שוואים ברצף",1),"0")</f>
        <v>1</v>
      </c>
      <c r="J2211" s="9">
        <f t="shared" si="143"/>
        <v>3</v>
      </c>
      <c r="K2211" t="s">
        <v>6698</v>
      </c>
      <c r="L2211" t="s">
        <v>6694</v>
      </c>
      <c r="M2211" t="s">
        <v>6701</v>
      </c>
      <c r="Q2211" t="s">
        <v>6694</v>
      </c>
      <c r="V2211" t="s">
        <v>6694</v>
      </c>
      <c r="W2211" t="s">
        <v>6720</v>
      </c>
    </row>
    <row r="2212" spans="1:23" ht="15.6" x14ac:dyDescent="0.4">
      <c r="A2212" s="2" t="s">
        <v>3564</v>
      </c>
      <c r="B2212" s="5" t="s">
        <v>8663</v>
      </c>
      <c r="C2212" s="7" t="s">
        <v>12556</v>
      </c>
      <c r="D2212" s="8">
        <f t="shared" si="140"/>
        <v>0</v>
      </c>
      <c r="E2212" s="7" t="s">
        <v>12557</v>
      </c>
      <c r="F2212" s="7">
        <f t="shared" si="141"/>
        <v>0</v>
      </c>
      <c r="G2212" s="7" t="s">
        <v>12558</v>
      </c>
      <c r="H2212" s="7">
        <f t="shared" si="142"/>
        <v>0</v>
      </c>
      <c r="I2212" s="7" t="str" cm="1">
        <f t="array" ref="I2212">IFERROR(_xlfn.IFS(M2212="נח",1,M2212="נע ונח",1,M2212="שני שווא נח",2,M2212="שני שוואים בסוף מילה",2,M2212="שני שוואים ברצף",1),"0")</f>
        <v>0</v>
      </c>
      <c r="J2212" s="9">
        <f t="shared" si="143"/>
        <v>3</v>
      </c>
      <c r="K2212" t="s">
        <v>6697</v>
      </c>
      <c r="L2212" t="s">
        <v>6694</v>
      </c>
      <c r="M2212" t="s">
        <v>6700</v>
      </c>
      <c r="O2212" t="s">
        <v>6694</v>
      </c>
      <c r="V2212" t="s">
        <v>6694</v>
      </c>
      <c r="W2212" t="s">
        <v>6720</v>
      </c>
    </row>
    <row r="2213" spans="1:23" ht="15.6" x14ac:dyDescent="0.4">
      <c r="A2213" s="2" t="s">
        <v>5418</v>
      </c>
      <c r="B2213" s="5" t="s">
        <v>8664</v>
      </c>
      <c r="C2213" s="7" t="s">
        <v>12556</v>
      </c>
      <c r="D2213" s="8">
        <f t="shared" si="140"/>
        <v>0</v>
      </c>
      <c r="E2213" s="7" t="s">
        <v>12557</v>
      </c>
      <c r="F2213" s="7">
        <f t="shared" si="141"/>
        <v>1</v>
      </c>
      <c r="G2213" s="7" t="s">
        <v>12558</v>
      </c>
      <c r="H2213" s="7">
        <f t="shared" si="142"/>
        <v>0</v>
      </c>
      <c r="I2213" s="7" cm="1">
        <f t="array" ref="I2213">IFERROR(_xlfn.IFS(M2213="נח",1,M2213="נע ונח",1,M2213="שני שווא נח",2,M2213="שני שוואים בסוף מילה",2,M2213="שני שוואים ברצף",1),"0")</f>
        <v>1</v>
      </c>
      <c r="J2213" s="9">
        <f t="shared" si="143"/>
        <v>4</v>
      </c>
      <c r="K2213" t="s">
        <v>6697</v>
      </c>
      <c r="L2213" t="s">
        <v>6694</v>
      </c>
      <c r="M2213" t="s">
        <v>6701</v>
      </c>
      <c r="P2213" t="s">
        <v>6694</v>
      </c>
      <c r="S2213" t="s">
        <v>6694</v>
      </c>
      <c r="V2213" t="s">
        <v>6694</v>
      </c>
      <c r="W2213" t="s">
        <v>6720</v>
      </c>
    </row>
    <row r="2214" spans="1:23" ht="15.6" x14ac:dyDescent="0.4">
      <c r="A2214" s="2" t="s">
        <v>5934</v>
      </c>
      <c r="B2214" s="5" t="s">
        <v>8665</v>
      </c>
      <c r="C2214" s="7" t="s">
        <v>12556</v>
      </c>
      <c r="D2214" s="8">
        <f t="shared" si="140"/>
        <v>0</v>
      </c>
      <c r="E2214" s="7" t="s">
        <v>12557</v>
      </c>
      <c r="F2214" s="7">
        <f t="shared" si="141"/>
        <v>1</v>
      </c>
      <c r="G2214" s="7" t="s">
        <v>12558</v>
      </c>
      <c r="H2214" s="7">
        <f t="shared" si="142"/>
        <v>1</v>
      </c>
      <c r="I2214" s="7" t="str" cm="1">
        <f t="array" ref="I2214">IFERROR(_xlfn.IFS(M2214="נח",1,M2214="נע ונח",1,M2214="שני שווא נח",2,M2214="שני שוואים בסוף מילה",2,M2214="שני שוואים ברצף",1),"0")</f>
        <v>0</v>
      </c>
      <c r="J2214" s="9">
        <f t="shared" si="143"/>
        <v>5</v>
      </c>
      <c r="K2214" t="s">
        <v>6697</v>
      </c>
      <c r="L2214" t="s">
        <v>6694</v>
      </c>
      <c r="M2214" t="s">
        <v>6700</v>
      </c>
      <c r="O2214" t="s">
        <v>6694</v>
      </c>
      <c r="Q2214" t="s">
        <v>6694</v>
      </c>
      <c r="U2214" t="s">
        <v>6694</v>
      </c>
      <c r="V2214" t="s">
        <v>6694</v>
      </c>
      <c r="W2214" t="s">
        <v>6720</v>
      </c>
    </row>
    <row r="2215" spans="1:23" ht="15.6" x14ac:dyDescent="0.4">
      <c r="A2215" s="2" t="s">
        <v>2971</v>
      </c>
      <c r="B2215" s="5" t="s">
        <v>8666</v>
      </c>
      <c r="C2215" s="7" t="s">
        <v>12556</v>
      </c>
      <c r="D2215" s="8">
        <f t="shared" si="140"/>
        <v>0</v>
      </c>
      <c r="E2215" s="7" t="s">
        <v>12557</v>
      </c>
      <c r="F2215" s="7">
        <f t="shared" si="141"/>
        <v>0</v>
      </c>
      <c r="G2215" s="7" t="s">
        <v>12558</v>
      </c>
      <c r="H2215" s="7">
        <f t="shared" si="142"/>
        <v>0</v>
      </c>
      <c r="I2215" s="7" t="str" cm="1">
        <f t="array" ref="I2215">IFERROR(_xlfn.IFS(M2215="נח",1,M2215="נע ונח",1,M2215="שני שווא נח",2,M2215="שני שוואים בסוף מילה",2,M2215="שני שוואים ברצף",1),"0")</f>
        <v>0</v>
      </c>
      <c r="J2215" s="9">
        <f t="shared" si="143"/>
        <v>4</v>
      </c>
      <c r="K2215" t="s">
        <v>6698</v>
      </c>
      <c r="L2215" t="s">
        <v>6694</v>
      </c>
      <c r="M2215" t="s">
        <v>6700</v>
      </c>
      <c r="P2215" t="s">
        <v>6694</v>
      </c>
      <c r="V2215" t="s">
        <v>6694</v>
      </c>
      <c r="W2215" t="s">
        <v>6720</v>
      </c>
    </row>
    <row r="2216" spans="1:23" ht="15.6" x14ac:dyDescent="0.4">
      <c r="A2216" s="2" t="s">
        <v>3695</v>
      </c>
      <c r="B2216" s="5" t="s">
        <v>8667</v>
      </c>
      <c r="C2216" s="7" t="s">
        <v>12556</v>
      </c>
      <c r="D2216" s="8">
        <f t="shared" si="140"/>
        <v>0</v>
      </c>
      <c r="E2216" s="7" t="s">
        <v>12557</v>
      </c>
      <c r="F2216" s="7">
        <f t="shared" si="141"/>
        <v>0</v>
      </c>
      <c r="G2216" s="7" t="s">
        <v>12558</v>
      </c>
      <c r="H2216" s="7">
        <f t="shared" si="142"/>
        <v>0</v>
      </c>
      <c r="I2216" s="7" cm="1">
        <f t="array" ref="I2216">IFERROR(_xlfn.IFS(M2216="נח",1,M2216="נע ונח",1,M2216="שני שווא נח",2,M2216="שני שוואים בסוף מילה",2,M2216="שני שוואים ברצף",1),"0")</f>
        <v>1</v>
      </c>
      <c r="J2216" s="9">
        <f t="shared" si="143"/>
        <v>3</v>
      </c>
      <c r="K2216" t="s">
        <v>6697</v>
      </c>
      <c r="L2216" t="s">
        <v>6694</v>
      </c>
      <c r="M2216" t="s">
        <v>6701</v>
      </c>
      <c r="O2216" t="s">
        <v>6694</v>
      </c>
      <c r="V2216" t="s">
        <v>6694</v>
      </c>
      <c r="W2216" t="s">
        <v>6720</v>
      </c>
    </row>
    <row r="2217" spans="1:23" ht="15.6" x14ac:dyDescent="0.4">
      <c r="A2217" s="2" t="s">
        <v>5712</v>
      </c>
      <c r="B2217" s="5" t="s">
        <v>8668</v>
      </c>
      <c r="C2217" s="7" t="s">
        <v>12556</v>
      </c>
      <c r="D2217" s="8">
        <f t="shared" si="140"/>
        <v>0</v>
      </c>
      <c r="E2217" s="7" t="s">
        <v>12557</v>
      </c>
      <c r="F2217" s="7">
        <f t="shared" si="141"/>
        <v>0</v>
      </c>
      <c r="G2217" s="7" t="s">
        <v>12558</v>
      </c>
      <c r="H2217" s="7">
        <f t="shared" si="142"/>
        <v>0</v>
      </c>
      <c r="I2217" s="7" t="str" cm="1">
        <f t="array" ref="I2217">IFERROR(_xlfn.IFS(M2217="נח",1,M2217="נע ונח",1,M2217="שני שווא נח",2,M2217="שני שוואים בסוף מילה",2,M2217="שני שוואים ברצף",1),"0")</f>
        <v>0</v>
      </c>
      <c r="J2217" s="9">
        <f t="shared" si="143"/>
        <v>3</v>
      </c>
      <c r="K2217" t="s">
        <v>6697</v>
      </c>
      <c r="L2217" t="s">
        <v>6694</v>
      </c>
      <c r="M2217" t="s">
        <v>6700</v>
      </c>
      <c r="O2217" t="s">
        <v>6694</v>
      </c>
      <c r="V2217" t="s">
        <v>6694</v>
      </c>
      <c r="W2217" t="s">
        <v>6720</v>
      </c>
    </row>
    <row r="2218" spans="1:23" ht="15.6" x14ac:dyDescent="0.4">
      <c r="A2218" s="2" t="s">
        <v>300</v>
      </c>
      <c r="B2218" s="5" t="s">
        <v>8669</v>
      </c>
      <c r="C2218" s="7" t="s">
        <v>12556</v>
      </c>
      <c r="D2218" s="8">
        <f t="shared" si="140"/>
        <v>0</v>
      </c>
      <c r="E2218" s="7" t="s">
        <v>12557</v>
      </c>
      <c r="F2218" s="7">
        <f t="shared" si="141"/>
        <v>0</v>
      </c>
      <c r="G2218" s="7" t="s">
        <v>12558</v>
      </c>
      <c r="H2218" s="7">
        <f t="shared" si="142"/>
        <v>0</v>
      </c>
      <c r="I2218" s="7" cm="1">
        <f t="array" ref="I2218">IFERROR(_xlfn.IFS(M2218="נח",1,M2218="נע ונח",1,M2218="שני שווא נח",2,M2218="שני שוואים בסוף מילה",2,M2218="שני שוואים ברצף",1),"0")</f>
        <v>1</v>
      </c>
      <c r="J2218" s="9">
        <f t="shared" si="143"/>
        <v>4</v>
      </c>
      <c r="K2218" t="s">
        <v>6697</v>
      </c>
      <c r="L2218" t="s">
        <v>6694</v>
      </c>
      <c r="M2218" t="s">
        <v>6701</v>
      </c>
      <c r="N2218" t="s">
        <v>6706</v>
      </c>
      <c r="O2218" t="s">
        <v>6694</v>
      </c>
      <c r="V2218" t="s">
        <v>6694</v>
      </c>
      <c r="W2218" t="s">
        <v>6720</v>
      </c>
    </row>
    <row r="2219" spans="1:23" ht="15.6" x14ac:dyDescent="0.4">
      <c r="A2219" s="2" t="s">
        <v>2907</v>
      </c>
      <c r="B2219" s="5" t="s">
        <v>8670</v>
      </c>
      <c r="C2219" s="7" t="s">
        <v>12556</v>
      </c>
      <c r="D2219" s="8">
        <f t="shared" si="140"/>
        <v>1</v>
      </c>
      <c r="E2219" s="7" t="s">
        <v>12557</v>
      </c>
      <c r="F2219" s="7">
        <f t="shared" si="141"/>
        <v>0</v>
      </c>
      <c r="G2219" s="7" t="s">
        <v>12558</v>
      </c>
      <c r="H2219" s="7">
        <f t="shared" si="142"/>
        <v>0</v>
      </c>
      <c r="I2219" s="7" t="str" cm="1">
        <f t="array" ref="I2219">IFERROR(_xlfn.IFS(M2219="נח",1,M2219="נע ונח",1,M2219="שני שווא נח",2,M2219="שני שוואים בסוף מילה",2,M2219="שני שוואים ברצף",1),"0")</f>
        <v>0</v>
      </c>
      <c r="J2219" s="9">
        <f t="shared" si="143"/>
        <v>5</v>
      </c>
      <c r="K2219" t="s">
        <v>6697</v>
      </c>
      <c r="L2219" t="s">
        <v>6694</v>
      </c>
      <c r="M2219" t="s">
        <v>6700</v>
      </c>
      <c r="Q2219" t="s">
        <v>6694</v>
      </c>
      <c r="S2219" t="s">
        <v>6694</v>
      </c>
      <c r="V2219" t="s">
        <v>6694</v>
      </c>
      <c r="W2219" t="s">
        <v>6720</v>
      </c>
    </row>
    <row r="2220" spans="1:23" ht="15.6" x14ac:dyDescent="0.4">
      <c r="A2220" s="2" t="s">
        <v>3136</v>
      </c>
      <c r="B2220" s="5" t="s">
        <v>8671</v>
      </c>
      <c r="C2220" s="7" t="s">
        <v>12556</v>
      </c>
      <c r="D2220" s="8">
        <f t="shared" si="140"/>
        <v>0</v>
      </c>
      <c r="E2220" s="7" t="s">
        <v>12557</v>
      </c>
      <c r="F2220" s="7">
        <f t="shared" si="141"/>
        <v>1</v>
      </c>
      <c r="G2220" s="7" t="s">
        <v>12558</v>
      </c>
      <c r="H2220" s="7">
        <f t="shared" si="142"/>
        <v>1</v>
      </c>
      <c r="I2220" s="7" cm="1">
        <f t="array" ref="I2220">IFERROR(_xlfn.IFS(M2220="נח",1,M2220="נע ונח",1,M2220="שני שווא נח",2,M2220="שני שוואים בסוף מילה",2,M2220="שני שוואים ברצף",1),"0")</f>
        <v>1</v>
      </c>
      <c r="J2220" s="9">
        <f t="shared" si="143"/>
        <v>4</v>
      </c>
      <c r="K2220" t="s">
        <v>6697</v>
      </c>
      <c r="L2220" t="s">
        <v>6694</v>
      </c>
      <c r="M2220" t="s">
        <v>6705</v>
      </c>
      <c r="N2220" t="s">
        <v>6706</v>
      </c>
      <c r="O2220" t="s">
        <v>6694</v>
      </c>
      <c r="Q2220" t="s">
        <v>6694</v>
      </c>
      <c r="S2220" t="s">
        <v>6694</v>
      </c>
      <c r="U2220" t="s">
        <v>6694</v>
      </c>
      <c r="W2220" t="s">
        <v>6720</v>
      </c>
    </row>
    <row r="2221" spans="1:23" ht="15.6" x14ac:dyDescent="0.4">
      <c r="A2221" s="2" t="s">
        <v>5400</v>
      </c>
      <c r="B2221" s="5" t="s">
        <v>8672</v>
      </c>
      <c r="C2221" s="7" t="s">
        <v>12556</v>
      </c>
      <c r="D2221" s="8">
        <f t="shared" si="140"/>
        <v>0</v>
      </c>
      <c r="E2221" s="7" t="s">
        <v>12557</v>
      </c>
      <c r="F2221" s="7">
        <f t="shared" si="141"/>
        <v>2</v>
      </c>
      <c r="G2221" s="7" t="s">
        <v>12558</v>
      </c>
      <c r="H2221" s="7">
        <f t="shared" si="142"/>
        <v>1</v>
      </c>
      <c r="I2221" s="7" cm="1">
        <f t="array" ref="I2221">IFERROR(_xlfn.IFS(M2221="נח",1,M2221="נע ונח",1,M2221="שני שווא נח",2,M2221="שני שוואים בסוף מילה",2,M2221="שני שוואים ברצף",1),"0")</f>
        <v>1</v>
      </c>
      <c r="J2221" s="9">
        <f t="shared" si="143"/>
        <v>3</v>
      </c>
      <c r="K2221" t="s">
        <v>6697</v>
      </c>
      <c r="L2221" t="s">
        <v>6694</v>
      </c>
      <c r="M2221" t="s">
        <v>6705</v>
      </c>
      <c r="P2221" t="s">
        <v>6694</v>
      </c>
      <c r="S2221" t="s">
        <v>6694</v>
      </c>
      <c r="U2221" t="s">
        <v>6694</v>
      </c>
      <c r="W2221" t="s">
        <v>6720</v>
      </c>
    </row>
    <row r="2222" spans="1:23" ht="15.6" x14ac:dyDescent="0.4">
      <c r="A2222" s="2" t="s">
        <v>3078</v>
      </c>
      <c r="B2222" s="5" t="s">
        <v>8673</v>
      </c>
      <c r="C2222" s="7" t="s">
        <v>12556</v>
      </c>
      <c r="D2222" s="8">
        <f t="shared" si="140"/>
        <v>0</v>
      </c>
      <c r="E2222" s="7" t="s">
        <v>12557</v>
      </c>
      <c r="F2222" s="7">
        <f t="shared" si="141"/>
        <v>1</v>
      </c>
      <c r="G2222" s="7" t="s">
        <v>12558</v>
      </c>
      <c r="H2222" s="7">
        <f t="shared" si="142"/>
        <v>0</v>
      </c>
      <c r="I2222" s="7" t="str" cm="1">
        <f t="array" ref="I2222">IFERROR(_xlfn.IFS(M2222="נח",1,M2222="נע ונח",1,M2222="שני שווא נח",2,M2222="שני שוואים בסוף מילה",2,M2222="שני שוואים ברצף",1),"0")</f>
        <v>0</v>
      </c>
      <c r="J2222" s="9">
        <f t="shared" si="143"/>
        <v>3</v>
      </c>
      <c r="K2222" t="s">
        <v>6697</v>
      </c>
      <c r="L2222" t="s">
        <v>6695</v>
      </c>
      <c r="P2222" t="s">
        <v>6694</v>
      </c>
      <c r="Q2222" t="s">
        <v>6694</v>
      </c>
      <c r="S2222" t="s">
        <v>6694</v>
      </c>
      <c r="W2222" t="s">
        <v>6720</v>
      </c>
    </row>
    <row r="2223" spans="1:23" ht="15.6" x14ac:dyDescent="0.4">
      <c r="A2223" s="2" t="s">
        <v>714</v>
      </c>
      <c r="B2223" s="5" t="s">
        <v>8674</v>
      </c>
      <c r="C2223" s="7" t="s">
        <v>12556</v>
      </c>
      <c r="D2223" s="8">
        <f t="shared" si="140"/>
        <v>0</v>
      </c>
      <c r="E2223" s="7" t="s">
        <v>12557</v>
      </c>
      <c r="F2223" s="7">
        <f t="shared" si="141"/>
        <v>0</v>
      </c>
      <c r="G2223" s="7" t="s">
        <v>12558</v>
      </c>
      <c r="H2223" s="7">
        <f t="shared" si="142"/>
        <v>0</v>
      </c>
      <c r="I2223" s="7" t="str" cm="1">
        <f t="array" ref="I2223">IFERROR(_xlfn.IFS(M2223="נח",1,M2223="נע ונח",1,M2223="שני שווא נח",2,M2223="שני שוואים בסוף מילה",2,M2223="שני שוואים ברצף",1),"0")</f>
        <v>0</v>
      </c>
      <c r="J2223" s="9">
        <f t="shared" si="143"/>
        <v>2</v>
      </c>
      <c r="K2223" t="s">
        <v>6697</v>
      </c>
      <c r="L2223" t="s">
        <v>6695</v>
      </c>
      <c r="S2223" t="s">
        <v>6694</v>
      </c>
      <c r="W2223" t="s">
        <v>6720</v>
      </c>
    </row>
    <row r="2224" spans="1:23" ht="15.6" x14ac:dyDescent="0.4">
      <c r="A2224" s="2" t="s">
        <v>4421</v>
      </c>
      <c r="B2224" s="5" t="s">
        <v>8675</v>
      </c>
      <c r="C2224" s="7" t="s">
        <v>12556</v>
      </c>
      <c r="D2224" s="8">
        <f t="shared" si="140"/>
        <v>0</v>
      </c>
      <c r="E2224" s="7" t="s">
        <v>12557</v>
      </c>
      <c r="F2224" s="7">
        <f t="shared" si="141"/>
        <v>2</v>
      </c>
      <c r="G2224" s="7" t="s">
        <v>12558</v>
      </c>
      <c r="H2224" s="7">
        <f t="shared" si="142"/>
        <v>1</v>
      </c>
      <c r="I2224" s="7" cm="1">
        <f t="array" ref="I2224">IFERROR(_xlfn.IFS(M2224="נח",1,M2224="נע ונח",1,M2224="שני שווא נח",2,M2224="שני שוואים בסוף מילה",2,M2224="שני שוואים ברצף",1),"0")</f>
        <v>1</v>
      </c>
      <c r="J2224" s="9">
        <f t="shared" si="143"/>
        <v>3</v>
      </c>
      <c r="K2224" t="s">
        <v>6697</v>
      </c>
      <c r="L2224" t="s">
        <v>6694</v>
      </c>
      <c r="M2224" t="s">
        <v>6705</v>
      </c>
      <c r="P2224" t="s">
        <v>6694</v>
      </c>
      <c r="S2224" t="s">
        <v>6694</v>
      </c>
      <c r="U2224" t="s">
        <v>6694</v>
      </c>
      <c r="W2224" t="s">
        <v>6720</v>
      </c>
    </row>
    <row r="2225" spans="1:23" ht="15.6" x14ac:dyDescent="0.4">
      <c r="A2225" s="2" t="s">
        <v>3115</v>
      </c>
      <c r="B2225" s="5" t="s">
        <v>8676</v>
      </c>
      <c r="C2225" s="7" t="s">
        <v>12556</v>
      </c>
      <c r="D2225" s="8">
        <f t="shared" si="140"/>
        <v>0</v>
      </c>
      <c r="E2225" s="7" t="s">
        <v>12557</v>
      </c>
      <c r="F2225" s="7">
        <f t="shared" si="141"/>
        <v>0</v>
      </c>
      <c r="G2225" s="7" t="s">
        <v>12558</v>
      </c>
      <c r="H2225" s="7">
        <f t="shared" si="142"/>
        <v>0</v>
      </c>
      <c r="I2225" s="7" t="str" cm="1">
        <f t="array" ref="I2225">IFERROR(_xlfn.IFS(M2225="נח",1,M2225="נע ונח",1,M2225="שני שווא נח",2,M2225="שני שוואים בסוף מילה",2,M2225="שני שוואים ברצף",1),"0")</f>
        <v>0</v>
      </c>
      <c r="J2225" s="9">
        <f t="shared" si="143"/>
        <v>2</v>
      </c>
      <c r="K2225" t="s">
        <v>6697</v>
      </c>
      <c r="L2225" t="s">
        <v>6695</v>
      </c>
      <c r="S2225" t="s">
        <v>6694</v>
      </c>
      <c r="W2225" t="s">
        <v>6720</v>
      </c>
    </row>
    <row r="2226" spans="1:23" ht="15.6" x14ac:dyDescent="0.4">
      <c r="A2226" s="2" t="s">
        <v>3545</v>
      </c>
      <c r="B2226" s="5" t="s">
        <v>8677</v>
      </c>
      <c r="C2226" s="7" t="s">
        <v>12556</v>
      </c>
      <c r="D2226" s="8">
        <f t="shared" si="140"/>
        <v>0</v>
      </c>
      <c r="E2226" s="7" t="s">
        <v>12557</v>
      </c>
      <c r="F2226" s="7">
        <f t="shared" si="141"/>
        <v>2</v>
      </c>
      <c r="G2226" s="7" t="s">
        <v>12558</v>
      </c>
      <c r="H2226" s="7">
        <f t="shared" si="142"/>
        <v>1</v>
      </c>
      <c r="I2226" s="7" t="str" cm="1">
        <f t="array" ref="I2226">IFERROR(_xlfn.IFS(M2226="נח",1,M2226="נע ונח",1,M2226="שני שווא נח",2,M2226="שני שוואים בסוף מילה",2,M2226="שני שוואים ברצף",1),"0")</f>
        <v>0</v>
      </c>
      <c r="J2226" s="9">
        <f t="shared" si="143"/>
        <v>4</v>
      </c>
      <c r="K2226" t="s">
        <v>6697</v>
      </c>
      <c r="L2226" t="s">
        <v>6695</v>
      </c>
      <c r="P2226" t="s">
        <v>6694</v>
      </c>
      <c r="Q2226" t="s">
        <v>6694</v>
      </c>
      <c r="S2226" t="s">
        <v>6694</v>
      </c>
      <c r="U2226" t="s">
        <v>6694</v>
      </c>
      <c r="W2226" t="s">
        <v>6720</v>
      </c>
    </row>
    <row r="2227" spans="1:23" ht="15.6" x14ac:dyDescent="0.4">
      <c r="A2227" s="2" t="s">
        <v>902</v>
      </c>
      <c r="B2227" s="5" t="s">
        <v>8678</v>
      </c>
      <c r="C2227" s="7" t="s">
        <v>12556</v>
      </c>
      <c r="D2227" s="8">
        <f t="shared" si="140"/>
        <v>0</v>
      </c>
      <c r="E2227" s="7" t="s">
        <v>12557</v>
      </c>
      <c r="F2227" s="7">
        <f t="shared" si="141"/>
        <v>1</v>
      </c>
      <c r="G2227" s="7" t="s">
        <v>12558</v>
      </c>
      <c r="H2227" s="7">
        <f t="shared" si="142"/>
        <v>0</v>
      </c>
      <c r="I2227" s="7" t="str" cm="1">
        <f t="array" ref="I2227">IFERROR(_xlfn.IFS(M2227="נח",1,M2227="נע ונח",1,M2227="שני שווא נח",2,M2227="שני שוואים בסוף מילה",2,M2227="שני שוואים ברצף",1),"0")</f>
        <v>0</v>
      </c>
      <c r="J2227" s="9">
        <f t="shared" si="143"/>
        <v>3</v>
      </c>
      <c r="K2227" t="s">
        <v>6698</v>
      </c>
      <c r="L2227" t="s">
        <v>6695</v>
      </c>
      <c r="P2227" t="s">
        <v>6694</v>
      </c>
      <c r="Q2227" t="s">
        <v>6694</v>
      </c>
      <c r="S2227" t="s">
        <v>6694</v>
      </c>
      <c r="W2227" t="s">
        <v>6720</v>
      </c>
    </row>
    <row r="2228" spans="1:23" ht="15.6" x14ac:dyDescent="0.4">
      <c r="A2228" s="2" t="s">
        <v>2055</v>
      </c>
      <c r="B2228" s="5" t="s">
        <v>8679</v>
      </c>
      <c r="C2228" s="7" t="s">
        <v>12556</v>
      </c>
      <c r="D2228" s="8">
        <f t="shared" si="140"/>
        <v>0</v>
      </c>
      <c r="E2228" s="7" t="s">
        <v>12557</v>
      </c>
      <c r="F2228" s="7">
        <f t="shared" si="141"/>
        <v>0</v>
      </c>
      <c r="G2228" s="7" t="s">
        <v>12558</v>
      </c>
      <c r="H2228" s="7">
        <f t="shared" si="142"/>
        <v>0</v>
      </c>
      <c r="I2228" s="7" cm="1">
        <f t="array" ref="I2228">IFERROR(_xlfn.IFS(M2228="נח",1,M2228="נע ונח",1,M2228="שני שווא נח",2,M2228="שני שוואים בסוף מילה",2,M2228="שני שוואים ברצף",1),"0")</f>
        <v>1</v>
      </c>
      <c r="J2228" s="9">
        <f t="shared" si="143"/>
        <v>3</v>
      </c>
      <c r="K2228" t="s">
        <v>6697</v>
      </c>
      <c r="L2228" t="s">
        <v>6694</v>
      </c>
      <c r="M2228" t="s">
        <v>6705</v>
      </c>
      <c r="O2228" t="s">
        <v>6694</v>
      </c>
      <c r="S2228" t="s">
        <v>6694</v>
      </c>
      <c r="W2228" t="s">
        <v>6720</v>
      </c>
    </row>
    <row r="2229" spans="1:23" ht="15.6" x14ac:dyDescent="0.4">
      <c r="A2229" s="2" t="s">
        <v>5662</v>
      </c>
      <c r="B2229" s="5" t="s">
        <v>8679</v>
      </c>
      <c r="C2229" s="7" t="s">
        <v>12556</v>
      </c>
      <c r="D2229" s="8">
        <f t="shared" si="140"/>
        <v>0</v>
      </c>
      <c r="E2229" s="7" t="s">
        <v>12557</v>
      </c>
      <c r="F2229" s="7">
        <f t="shared" si="141"/>
        <v>0</v>
      </c>
      <c r="G2229" s="7" t="s">
        <v>12558</v>
      </c>
      <c r="H2229" s="7">
        <f t="shared" si="142"/>
        <v>0</v>
      </c>
      <c r="I2229" s="7" t="str" cm="1">
        <f t="array" ref="I2229">IFERROR(_xlfn.IFS(M2229="נח",1,M2229="נע ונח",1,M2229="שני שווא נח",2,M2229="שני שוואים בסוף מילה",2,M2229="שני שוואים ברצף",1),"0")</f>
        <v>0</v>
      </c>
      <c r="J2229" s="9">
        <f t="shared" si="143"/>
        <v>4</v>
      </c>
      <c r="K2229" t="s">
        <v>6697</v>
      </c>
      <c r="L2229" t="s">
        <v>6695</v>
      </c>
      <c r="O2229" t="s">
        <v>6694</v>
      </c>
      <c r="R2229" t="s">
        <v>6694</v>
      </c>
      <c r="S2229" t="s">
        <v>6694</v>
      </c>
      <c r="W2229" t="s">
        <v>6720</v>
      </c>
    </row>
    <row r="2230" spans="1:23" ht="15.6" x14ac:dyDescent="0.4">
      <c r="A2230" s="2" t="s">
        <v>45</v>
      </c>
      <c r="B2230" s="5" t="s">
        <v>8680</v>
      </c>
      <c r="C2230" s="7" t="s">
        <v>12556</v>
      </c>
      <c r="D2230" s="8">
        <f t="shared" si="140"/>
        <v>0</v>
      </c>
      <c r="E2230" s="7" t="s">
        <v>12557</v>
      </c>
      <c r="F2230" s="7">
        <f t="shared" si="141"/>
        <v>0</v>
      </c>
      <c r="G2230" s="7" t="s">
        <v>12558</v>
      </c>
      <c r="H2230" s="7">
        <f t="shared" si="142"/>
        <v>0</v>
      </c>
      <c r="I2230" s="7" t="str" cm="1">
        <f t="array" ref="I2230">IFERROR(_xlfn.IFS(M2230="נח",1,M2230="נע ונח",1,M2230="שני שווא נח",2,M2230="שני שוואים בסוף מילה",2,M2230="שני שוואים ברצף",1),"0")</f>
        <v>0</v>
      </c>
      <c r="J2230" s="9">
        <f t="shared" si="143"/>
        <v>3</v>
      </c>
      <c r="K2230" t="s">
        <v>6698</v>
      </c>
      <c r="L2230" t="s">
        <v>6695</v>
      </c>
      <c r="N2230" t="s">
        <v>6706</v>
      </c>
      <c r="O2230" t="s">
        <v>6694</v>
      </c>
      <c r="S2230" t="s">
        <v>6694</v>
      </c>
      <c r="W2230" t="s">
        <v>6720</v>
      </c>
    </row>
    <row r="2231" spans="1:23" ht="15.6" x14ac:dyDescent="0.4">
      <c r="A2231" s="2" t="s">
        <v>1569</v>
      </c>
      <c r="B2231" s="5" t="s">
        <v>8681</v>
      </c>
      <c r="C2231" s="7" t="s">
        <v>12556</v>
      </c>
      <c r="D2231" s="8">
        <f t="shared" si="140"/>
        <v>0</v>
      </c>
      <c r="E2231" s="7" t="s">
        <v>12557</v>
      </c>
      <c r="F2231" s="7">
        <f t="shared" si="141"/>
        <v>1</v>
      </c>
      <c r="G2231" s="7" t="s">
        <v>12558</v>
      </c>
      <c r="H2231" s="7">
        <f t="shared" si="142"/>
        <v>0</v>
      </c>
      <c r="I2231" s="7" t="str" cm="1">
        <f t="array" ref="I2231">IFERROR(_xlfn.IFS(M2231="נח",1,M2231="נע ונח",1,M2231="שני שווא נח",2,M2231="שני שוואים בסוף מילה",2,M2231="שני שוואים ברצף",1),"0")</f>
        <v>0</v>
      </c>
      <c r="J2231" s="9">
        <f t="shared" si="143"/>
        <v>3</v>
      </c>
      <c r="K2231" t="s">
        <v>6698</v>
      </c>
      <c r="L2231" t="s">
        <v>6695</v>
      </c>
      <c r="P2231" t="s">
        <v>6694</v>
      </c>
      <c r="Q2231" t="s">
        <v>6694</v>
      </c>
      <c r="S2231" t="s">
        <v>6694</v>
      </c>
      <c r="W2231" t="s">
        <v>6720</v>
      </c>
    </row>
    <row r="2232" spans="1:23" ht="15.6" x14ac:dyDescent="0.4">
      <c r="A2232" s="2" t="s">
        <v>1572</v>
      </c>
      <c r="B2232" s="5" t="s">
        <v>8682</v>
      </c>
      <c r="C2232" s="7" t="s">
        <v>12556</v>
      </c>
      <c r="D2232" s="8">
        <f t="shared" si="140"/>
        <v>0</v>
      </c>
      <c r="E2232" s="7" t="s">
        <v>12557</v>
      </c>
      <c r="F2232" s="7">
        <f t="shared" si="141"/>
        <v>2</v>
      </c>
      <c r="G2232" s="7" t="s">
        <v>12558</v>
      </c>
      <c r="H2232" s="7">
        <f t="shared" si="142"/>
        <v>1</v>
      </c>
      <c r="I2232" s="7" cm="1">
        <f t="array" ref="I2232">IFERROR(_xlfn.IFS(M2232="נח",1,M2232="נע ונח",1,M2232="שני שווא נח",2,M2232="שני שוואים בסוף מילה",2,M2232="שני שוואים ברצף",1),"0")</f>
        <v>1</v>
      </c>
      <c r="J2232" s="9">
        <f t="shared" si="143"/>
        <v>3</v>
      </c>
      <c r="K2232" t="s">
        <v>6697</v>
      </c>
      <c r="L2232" t="s">
        <v>6694</v>
      </c>
      <c r="M2232" t="s">
        <v>6705</v>
      </c>
      <c r="P2232" t="s">
        <v>6694</v>
      </c>
      <c r="S2232" t="s">
        <v>6694</v>
      </c>
      <c r="U2232" t="s">
        <v>6694</v>
      </c>
      <c r="W2232" t="s">
        <v>6720</v>
      </c>
    </row>
    <row r="2233" spans="1:23" ht="15.6" x14ac:dyDescent="0.4">
      <c r="A2233" s="2" t="s">
        <v>4188</v>
      </c>
      <c r="B2233" s="5" t="s">
        <v>8683</v>
      </c>
      <c r="C2233" s="7" t="s">
        <v>12556</v>
      </c>
      <c r="D2233" s="8">
        <f t="shared" si="140"/>
        <v>0</v>
      </c>
      <c r="E2233" s="7" t="s">
        <v>12557</v>
      </c>
      <c r="F2233" s="7">
        <f t="shared" si="141"/>
        <v>1</v>
      </c>
      <c r="G2233" s="7" t="s">
        <v>12558</v>
      </c>
      <c r="H2233" s="7">
        <f t="shared" si="142"/>
        <v>1</v>
      </c>
      <c r="I2233" s="7" t="str" cm="1">
        <f t="array" ref="I2233">IFERROR(_xlfn.IFS(M2233="נח",1,M2233="נע ונח",1,M2233="שני שווא נח",2,M2233="שני שוואים בסוף מילה",2,M2233="שני שוואים ברצף",1),"0")</f>
        <v>0</v>
      </c>
      <c r="J2233" s="9">
        <f t="shared" si="143"/>
        <v>4</v>
      </c>
      <c r="K2233" t="s">
        <v>6697</v>
      </c>
      <c r="L2233" t="s">
        <v>6694</v>
      </c>
      <c r="M2233" t="s">
        <v>6703</v>
      </c>
      <c r="S2233" t="s">
        <v>6694</v>
      </c>
      <c r="U2233" t="s">
        <v>6694</v>
      </c>
      <c r="V2233" t="s">
        <v>6694</v>
      </c>
      <c r="W2233" t="s">
        <v>6720</v>
      </c>
    </row>
    <row r="2234" spans="1:23" ht="15.6" x14ac:dyDescent="0.4">
      <c r="A2234" s="2" t="s">
        <v>2653</v>
      </c>
      <c r="B2234" s="5" t="s">
        <v>8684</v>
      </c>
      <c r="C2234" s="7" t="s">
        <v>12556</v>
      </c>
      <c r="D2234" s="8">
        <f t="shared" si="140"/>
        <v>0</v>
      </c>
      <c r="E2234" s="7" t="s">
        <v>12557</v>
      </c>
      <c r="F2234" s="7">
        <f t="shared" si="141"/>
        <v>0</v>
      </c>
      <c r="G2234" s="7" t="s">
        <v>12558</v>
      </c>
      <c r="H2234" s="7">
        <f t="shared" si="142"/>
        <v>0</v>
      </c>
      <c r="I2234" s="7" t="str" cm="1">
        <f t="array" ref="I2234">IFERROR(_xlfn.IFS(M2234="נח",1,M2234="נע ונח",1,M2234="שני שווא נח",2,M2234="שני שוואים בסוף מילה",2,M2234="שני שוואים ברצף",1),"0")</f>
        <v>0</v>
      </c>
      <c r="J2234" s="9">
        <f t="shared" si="143"/>
        <v>3</v>
      </c>
      <c r="K2234" t="s">
        <v>6697</v>
      </c>
      <c r="L2234" t="s">
        <v>6695</v>
      </c>
      <c r="N2234" t="s">
        <v>6707</v>
      </c>
      <c r="P2234" t="s">
        <v>6694</v>
      </c>
      <c r="Q2234" t="s">
        <v>6694</v>
      </c>
      <c r="S2234" t="s">
        <v>6694</v>
      </c>
      <c r="W2234" t="s">
        <v>6720</v>
      </c>
    </row>
    <row r="2235" spans="1:23" ht="15.6" x14ac:dyDescent="0.4">
      <c r="A2235" s="2" t="s">
        <v>3140</v>
      </c>
      <c r="B2235" s="5" t="s">
        <v>8685</v>
      </c>
      <c r="C2235" s="7" t="s">
        <v>12556</v>
      </c>
      <c r="D2235" s="8">
        <f t="shared" si="140"/>
        <v>0</v>
      </c>
      <c r="E2235" s="7" t="s">
        <v>12557</v>
      </c>
      <c r="F2235" s="7">
        <f t="shared" si="141"/>
        <v>2</v>
      </c>
      <c r="G2235" s="7" t="s">
        <v>12558</v>
      </c>
      <c r="H2235" s="7">
        <f t="shared" si="142"/>
        <v>1</v>
      </c>
      <c r="I2235" s="7" cm="1">
        <f t="array" ref="I2235">IFERROR(_xlfn.IFS(M2235="נח",1,M2235="נע ונח",1,M2235="שני שווא נח",2,M2235="שני שוואים בסוף מילה",2,M2235="שני שוואים ברצף",1),"0")</f>
        <v>1</v>
      </c>
      <c r="J2235" s="9">
        <f t="shared" si="143"/>
        <v>3</v>
      </c>
      <c r="K2235" t="s">
        <v>6697</v>
      </c>
      <c r="L2235" t="s">
        <v>6694</v>
      </c>
      <c r="M2235" t="s">
        <v>6705</v>
      </c>
      <c r="P2235" t="s">
        <v>6694</v>
      </c>
      <c r="S2235" t="s">
        <v>6694</v>
      </c>
      <c r="U2235" t="s">
        <v>6694</v>
      </c>
      <c r="W2235" t="s">
        <v>6720</v>
      </c>
    </row>
    <row r="2236" spans="1:23" ht="15.6" x14ac:dyDescent="0.4">
      <c r="A2236" s="2" t="s">
        <v>1595</v>
      </c>
      <c r="B2236" s="5" t="s">
        <v>8686</v>
      </c>
      <c r="C2236" s="7" t="s">
        <v>12556</v>
      </c>
      <c r="D2236" s="8">
        <f t="shared" si="140"/>
        <v>0</v>
      </c>
      <c r="E2236" s="7" t="s">
        <v>12557</v>
      </c>
      <c r="F2236" s="7">
        <f t="shared" si="141"/>
        <v>2</v>
      </c>
      <c r="G2236" s="7" t="s">
        <v>12558</v>
      </c>
      <c r="H2236" s="7">
        <f t="shared" si="142"/>
        <v>2</v>
      </c>
      <c r="I2236" s="7" t="str" cm="1">
        <f t="array" ref="I2236">IFERROR(_xlfn.IFS(M2236="נח",1,M2236="נע ונח",1,M2236="שני שווא נח",2,M2236="שני שוואים בסוף מילה",2,M2236="שני שוואים ברצף",1),"0")</f>
        <v>0</v>
      </c>
      <c r="J2236" s="9">
        <f t="shared" si="143"/>
        <v>5</v>
      </c>
      <c r="K2236" t="s">
        <v>6697</v>
      </c>
      <c r="L2236" t="s">
        <v>6694</v>
      </c>
      <c r="M2236" t="s">
        <v>6703</v>
      </c>
      <c r="S2236" t="s">
        <v>6694</v>
      </c>
      <c r="U2236" t="s">
        <v>6694</v>
      </c>
      <c r="V2236" t="s">
        <v>6694</v>
      </c>
      <c r="W2236" t="s">
        <v>6720</v>
      </c>
    </row>
    <row r="2237" spans="1:23" ht="15.6" x14ac:dyDescent="0.4">
      <c r="A2237" s="2" t="s">
        <v>1726</v>
      </c>
      <c r="B2237" s="5" t="s">
        <v>8687</v>
      </c>
      <c r="C2237" s="7" t="s">
        <v>12556</v>
      </c>
      <c r="D2237" s="8">
        <f t="shared" si="140"/>
        <v>1</v>
      </c>
      <c r="E2237" s="7" t="s">
        <v>12557</v>
      </c>
      <c r="F2237" s="7">
        <f t="shared" si="141"/>
        <v>1</v>
      </c>
      <c r="G2237" s="7" t="s">
        <v>12558</v>
      </c>
      <c r="H2237" s="7">
        <f t="shared" si="142"/>
        <v>1</v>
      </c>
      <c r="I2237" s="7" t="str" cm="1">
        <f t="array" ref="I2237">IFERROR(_xlfn.IFS(M2237="נח",1,M2237="נע ונח",1,M2237="שני שווא נח",2,M2237="שני שוואים בסוף מילה",2,M2237="שני שוואים ברצף",1),"0")</f>
        <v>0</v>
      </c>
      <c r="J2237" s="9">
        <f t="shared" si="143"/>
        <v>3</v>
      </c>
      <c r="K2237" t="s">
        <v>6697</v>
      </c>
      <c r="L2237" t="s">
        <v>6695</v>
      </c>
      <c r="O2237" t="s">
        <v>6694</v>
      </c>
      <c r="S2237" t="s">
        <v>6694</v>
      </c>
      <c r="U2237" t="s">
        <v>6694</v>
      </c>
      <c r="W2237" t="s">
        <v>6720</v>
      </c>
    </row>
    <row r="2238" spans="1:23" ht="15.6" x14ac:dyDescent="0.4">
      <c r="A2238" s="2" t="s">
        <v>4292</v>
      </c>
      <c r="B2238" s="5" t="s">
        <v>8688</v>
      </c>
      <c r="C2238" s="7" t="s">
        <v>12556</v>
      </c>
      <c r="D2238" s="8">
        <f t="shared" si="140"/>
        <v>1</v>
      </c>
      <c r="E2238" s="7" t="s">
        <v>12557</v>
      </c>
      <c r="F2238" s="7">
        <f t="shared" si="141"/>
        <v>1</v>
      </c>
      <c r="G2238" s="7" t="s">
        <v>12558</v>
      </c>
      <c r="H2238" s="7">
        <f t="shared" si="142"/>
        <v>1</v>
      </c>
      <c r="I2238" s="7" t="str" cm="1">
        <f t="array" ref="I2238">IFERROR(_xlfn.IFS(M2238="נח",1,M2238="נע ונח",1,M2238="שני שווא נח",2,M2238="שני שוואים בסוף מילה",2,M2238="שני שוואים ברצף",1),"0")</f>
        <v>0</v>
      </c>
      <c r="J2238" s="9">
        <f t="shared" si="143"/>
        <v>4</v>
      </c>
      <c r="K2238" t="s">
        <v>6697</v>
      </c>
      <c r="L2238" t="s">
        <v>6695</v>
      </c>
      <c r="O2238" t="s">
        <v>6694</v>
      </c>
      <c r="S2238" t="s">
        <v>6694</v>
      </c>
      <c r="U2238" t="s">
        <v>6694</v>
      </c>
      <c r="W2238" t="s">
        <v>6720</v>
      </c>
    </row>
    <row r="2239" spans="1:23" ht="15.6" x14ac:dyDescent="0.4">
      <c r="A2239" s="2" t="s">
        <v>77</v>
      </c>
      <c r="B2239" s="5" t="s">
        <v>8689</v>
      </c>
      <c r="C2239" s="7" t="s">
        <v>12556</v>
      </c>
      <c r="D2239" s="8">
        <f t="shared" si="140"/>
        <v>0</v>
      </c>
      <c r="E2239" s="7" t="s">
        <v>12557</v>
      </c>
      <c r="F2239" s="7">
        <f t="shared" si="141"/>
        <v>0</v>
      </c>
      <c r="G2239" s="7" t="s">
        <v>12558</v>
      </c>
      <c r="H2239" s="7">
        <f t="shared" si="142"/>
        <v>0</v>
      </c>
      <c r="I2239" s="7" t="str" cm="1">
        <f t="array" ref="I2239">IFERROR(_xlfn.IFS(M2239="נח",1,M2239="נע ונח",1,M2239="שני שווא נח",2,M2239="שני שוואים בסוף מילה",2,M2239="שני שוואים ברצף",1),"0")</f>
        <v>0</v>
      </c>
      <c r="J2239" s="9">
        <f t="shared" si="143"/>
        <v>3</v>
      </c>
      <c r="K2239" t="s">
        <v>6698</v>
      </c>
      <c r="L2239" t="s">
        <v>6695</v>
      </c>
      <c r="S2239" t="s">
        <v>6694</v>
      </c>
      <c r="V2239" t="s">
        <v>6694</v>
      </c>
      <c r="W2239" t="s">
        <v>6720</v>
      </c>
    </row>
    <row r="2240" spans="1:23" ht="15.6" x14ac:dyDescent="0.4">
      <c r="A2240" s="2" t="s">
        <v>5665</v>
      </c>
      <c r="B2240" s="5" t="s">
        <v>8690</v>
      </c>
      <c r="C2240" s="7" t="s">
        <v>12556</v>
      </c>
      <c r="D2240" s="8">
        <f t="shared" si="140"/>
        <v>0</v>
      </c>
      <c r="E2240" s="7" t="s">
        <v>12557</v>
      </c>
      <c r="F2240" s="7">
        <f t="shared" si="141"/>
        <v>0</v>
      </c>
      <c r="G2240" s="7" t="s">
        <v>12558</v>
      </c>
      <c r="H2240" s="7">
        <f t="shared" si="142"/>
        <v>0</v>
      </c>
      <c r="I2240" s="7" t="str" cm="1">
        <f t="array" ref="I2240">IFERROR(_xlfn.IFS(M2240="נח",1,M2240="נע ונח",1,M2240="שני שווא נח",2,M2240="שני שוואים בסוף מילה",2,M2240="שני שוואים ברצף",1),"0")</f>
        <v>0</v>
      </c>
      <c r="J2240" s="9">
        <f t="shared" si="143"/>
        <v>3</v>
      </c>
      <c r="K2240" t="s">
        <v>6698</v>
      </c>
      <c r="L2240" t="s">
        <v>6695</v>
      </c>
      <c r="Q2240" t="s">
        <v>6694</v>
      </c>
      <c r="S2240" t="s">
        <v>6694</v>
      </c>
      <c r="V2240" t="s">
        <v>6694</v>
      </c>
      <c r="W2240" t="s">
        <v>6720</v>
      </c>
    </row>
    <row r="2241" spans="1:23" ht="15.6" x14ac:dyDescent="0.4">
      <c r="A2241" s="2" t="s">
        <v>340</v>
      </c>
      <c r="B2241" s="5" t="s">
        <v>8691</v>
      </c>
      <c r="C2241" s="7" t="s">
        <v>12556</v>
      </c>
      <c r="D2241" s="8">
        <f t="shared" si="140"/>
        <v>0</v>
      </c>
      <c r="E2241" s="7" t="s">
        <v>12557</v>
      </c>
      <c r="F2241" s="7">
        <f t="shared" si="141"/>
        <v>1</v>
      </c>
      <c r="G2241" s="7" t="s">
        <v>12558</v>
      </c>
      <c r="H2241" s="7">
        <f t="shared" si="142"/>
        <v>1</v>
      </c>
      <c r="I2241" s="7" t="str" cm="1">
        <f t="array" ref="I2241">IFERROR(_xlfn.IFS(M2241="נח",1,M2241="נע ונח",1,M2241="שני שווא נח",2,M2241="שני שוואים בסוף מילה",2,M2241="שני שוואים ברצף",1),"0")</f>
        <v>0</v>
      </c>
      <c r="J2241" s="9">
        <f t="shared" si="143"/>
        <v>4</v>
      </c>
      <c r="K2241" t="s">
        <v>6697</v>
      </c>
      <c r="L2241" t="s">
        <v>6695</v>
      </c>
      <c r="Q2241" t="s">
        <v>6694</v>
      </c>
      <c r="U2241" t="s">
        <v>6694</v>
      </c>
      <c r="V2241" t="s">
        <v>6694</v>
      </c>
      <c r="W2241" t="s">
        <v>6720</v>
      </c>
    </row>
    <row r="2242" spans="1:23" ht="15.6" x14ac:dyDescent="0.4">
      <c r="A2242" s="2" t="s">
        <v>904</v>
      </c>
      <c r="B2242" s="5" t="s">
        <v>8692</v>
      </c>
      <c r="C2242" s="7" t="s">
        <v>12556</v>
      </c>
      <c r="D2242" s="8">
        <f t="shared" si="140"/>
        <v>0</v>
      </c>
      <c r="E2242" s="7" t="s">
        <v>12557</v>
      </c>
      <c r="F2242" s="7">
        <f t="shared" si="141"/>
        <v>0</v>
      </c>
      <c r="G2242" s="7" t="s">
        <v>12558</v>
      </c>
      <c r="H2242" s="7">
        <f t="shared" si="142"/>
        <v>0</v>
      </c>
      <c r="I2242" s="7" t="str" cm="1">
        <f t="array" ref="I2242">IFERROR(_xlfn.IFS(M2242="נח",1,M2242="נע ונח",1,M2242="שני שווא נח",2,M2242="שני שוואים בסוף מילה",2,M2242="שני שוואים ברצף",1),"0")</f>
        <v>0</v>
      </c>
      <c r="J2242" s="9">
        <f t="shared" si="143"/>
        <v>3</v>
      </c>
      <c r="K2242" t="s">
        <v>6698</v>
      </c>
      <c r="L2242" t="s">
        <v>6695</v>
      </c>
      <c r="R2242" t="s">
        <v>6694</v>
      </c>
      <c r="W2242" t="s">
        <v>6720</v>
      </c>
    </row>
    <row r="2243" spans="1:23" ht="15.6" x14ac:dyDescent="0.4">
      <c r="A2243" s="2" t="s">
        <v>5512</v>
      </c>
      <c r="B2243" s="5" t="s">
        <v>8693</v>
      </c>
      <c r="C2243" s="7" t="s">
        <v>12556</v>
      </c>
      <c r="D2243" s="8">
        <f t="shared" ref="D2243:D2306" si="144">(LEN(B2243)-LEN(SUBSTITUTE(B2243,C2243,"")))</f>
        <v>0</v>
      </c>
      <c r="E2243" s="7" t="s">
        <v>12557</v>
      </c>
      <c r="F2243" s="7">
        <f t="shared" ref="F2243:F2306" si="145">(LEN(A2243)-LEN(SUBSTITUTE(A2243,E2243,"")))</f>
        <v>1</v>
      </c>
      <c r="G2243" s="7" t="s">
        <v>12558</v>
      </c>
      <c r="H2243" s="7">
        <f t="shared" ref="H2243:H2306" si="146">(LEN(A2243)-LEN(SUBSTITUTE(A2243,G2243,"")))/2</f>
        <v>1</v>
      </c>
      <c r="I2243" s="7" cm="1">
        <f t="array" ref="I2243">IFERROR(_xlfn.IFS(M2243="נח",1,M2243="נע ונח",1,M2243="שני שווא נח",2,M2243="שני שוואים בסוף מילה",2,M2243="שני שוואים ברצף",1),"0")</f>
        <v>1</v>
      </c>
      <c r="J2243" s="9">
        <f t="shared" ref="J2243:J2306" si="147">LEN(A2243)-(LEN(B2243))-D2243-F2243+H2243-I2243</f>
        <v>5</v>
      </c>
      <c r="K2243" t="s">
        <v>6697</v>
      </c>
      <c r="L2243" t="s">
        <v>6694</v>
      </c>
      <c r="M2243" t="s">
        <v>6705</v>
      </c>
      <c r="N2243" t="s">
        <v>6706</v>
      </c>
      <c r="O2243" t="s">
        <v>6694</v>
      </c>
      <c r="R2243" t="s">
        <v>6694</v>
      </c>
      <c r="U2243" t="s">
        <v>6694</v>
      </c>
      <c r="W2243" t="s">
        <v>6720</v>
      </c>
    </row>
    <row r="2244" spans="1:23" ht="15.6" x14ac:dyDescent="0.4">
      <c r="A2244" s="2" t="s">
        <v>5552</v>
      </c>
      <c r="B2244" s="5" t="s">
        <v>8694</v>
      </c>
      <c r="C2244" s="7" t="s">
        <v>12556</v>
      </c>
      <c r="D2244" s="8">
        <f t="shared" si="144"/>
        <v>0</v>
      </c>
      <c r="E2244" s="7" t="s">
        <v>12557</v>
      </c>
      <c r="F2244" s="7">
        <f t="shared" si="145"/>
        <v>1</v>
      </c>
      <c r="G2244" s="7" t="s">
        <v>12558</v>
      </c>
      <c r="H2244" s="7">
        <f t="shared" si="146"/>
        <v>1</v>
      </c>
      <c r="I2244" s="7" t="str" cm="1">
        <f t="array" ref="I2244">IFERROR(_xlfn.IFS(M2244="נח",1,M2244="נע ונח",1,M2244="שני שווא נח",2,M2244="שני שוואים בסוף מילה",2,M2244="שני שוואים ברצף",1),"0")</f>
        <v>0</v>
      </c>
      <c r="J2244" s="9">
        <f t="shared" si="147"/>
        <v>5</v>
      </c>
      <c r="K2244" t="s">
        <v>6697</v>
      </c>
      <c r="L2244" t="s">
        <v>6695</v>
      </c>
      <c r="O2244" t="s">
        <v>6694</v>
      </c>
      <c r="R2244" t="s">
        <v>6694</v>
      </c>
      <c r="U2244" t="s">
        <v>6694</v>
      </c>
      <c r="V2244" t="s">
        <v>6694</v>
      </c>
      <c r="W2244" t="s">
        <v>6720</v>
      </c>
    </row>
    <row r="2245" spans="1:23" ht="15.6" x14ac:dyDescent="0.4">
      <c r="A2245" s="2" t="s">
        <v>5840</v>
      </c>
      <c r="B2245" s="5" t="s">
        <v>8695</v>
      </c>
      <c r="C2245" s="7" t="s">
        <v>12556</v>
      </c>
      <c r="D2245" s="8">
        <f t="shared" si="144"/>
        <v>0</v>
      </c>
      <c r="E2245" s="7" t="s">
        <v>12557</v>
      </c>
      <c r="F2245" s="7">
        <f t="shared" si="145"/>
        <v>1</v>
      </c>
      <c r="G2245" s="7" t="s">
        <v>12558</v>
      </c>
      <c r="H2245" s="7">
        <f t="shared" si="146"/>
        <v>1</v>
      </c>
      <c r="I2245" s="7" t="str" cm="1">
        <f t="array" ref="I2245">IFERROR(_xlfn.IFS(M2245="נח",1,M2245="נע ונח",1,M2245="שני שווא נח",2,M2245="שני שוואים בסוף מילה",2,M2245="שני שוואים ברצף",1),"0")</f>
        <v>0</v>
      </c>
      <c r="J2245" s="9">
        <f t="shared" si="147"/>
        <v>5</v>
      </c>
      <c r="K2245" t="s">
        <v>6697</v>
      </c>
      <c r="L2245" t="s">
        <v>6695</v>
      </c>
      <c r="O2245" t="s">
        <v>6694</v>
      </c>
      <c r="R2245" t="s">
        <v>6694</v>
      </c>
      <c r="S2245" t="s">
        <v>6694</v>
      </c>
      <c r="U2245" t="s">
        <v>6694</v>
      </c>
      <c r="W2245" t="s">
        <v>6720</v>
      </c>
    </row>
    <row r="2246" spans="1:23" ht="15.6" x14ac:dyDescent="0.4">
      <c r="A2246" s="2" t="s">
        <v>5711</v>
      </c>
      <c r="B2246" s="5" t="s">
        <v>8696</v>
      </c>
      <c r="C2246" s="7" t="s">
        <v>12556</v>
      </c>
      <c r="D2246" s="8">
        <f t="shared" si="144"/>
        <v>0</v>
      </c>
      <c r="E2246" s="7" t="s">
        <v>12557</v>
      </c>
      <c r="F2246" s="7">
        <f t="shared" si="145"/>
        <v>1</v>
      </c>
      <c r="G2246" s="7" t="s">
        <v>12558</v>
      </c>
      <c r="H2246" s="7">
        <f t="shared" si="146"/>
        <v>1</v>
      </c>
      <c r="I2246" s="7" t="str" cm="1">
        <f t="array" ref="I2246">IFERROR(_xlfn.IFS(M2246="נח",1,M2246="נע ונח",1,M2246="שני שווא נח",2,M2246="שני שוואים בסוף מילה",2,M2246="שני שוואים ברצף",1),"0")</f>
        <v>0</v>
      </c>
      <c r="J2246" s="9">
        <f t="shared" si="147"/>
        <v>4</v>
      </c>
      <c r="K2246" t="s">
        <v>6697</v>
      </c>
      <c r="L2246" t="s">
        <v>6695</v>
      </c>
      <c r="R2246" t="s">
        <v>6694</v>
      </c>
      <c r="U2246" t="s">
        <v>6694</v>
      </c>
      <c r="V2246" t="s">
        <v>6694</v>
      </c>
      <c r="W2246" t="s">
        <v>6720</v>
      </c>
    </row>
    <row r="2247" spans="1:23" ht="15.6" x14ac:dyDescent="0.4">
      <c r="A2247" s="2" t="s">
        <v>5707</v>
      </c>
      <c r="B2247" s="5" t="s">
        <v>8697</v>
      </c>
      <c r="C2247" s="7" t="s">
        <v>12556</v>
      </c>
      <c r="D2247" s="8">
        <f t="shared" si="144"/>
        <v>0</v>
      </c>
      <c r="E2247" s="7" t="s">
        <v>12557</v>
      </c>
      <c r="F2247" s="7">
        <f t="shared" si="145"/>
        <v>1</v>
      </c>
      <c r="G2247" s="7" t="s">
        <v>12558</v>
      </c>
      <c r="H2247" s="7">
        <f t="shared" si="146"/>
        <v>1</v>
      </c>
      <c r="I2247" s="7" t="str" cm="1">
        <f t="array" ref="I2247">IFERROR(_xlfn.IFS(M2247="נח",1,M2247="נע ונח",1,M2247="שני שווא נח",2,M2247="שני שוואים בסוף מילה",2,M2247="שני שוואים ברצף",1),"0")</f>
        <v>0</v>
      </c>
      <c r="J2247" s="9">
        <f t="shared" si="147"/>
        <v>5</v>
      </c>
      <c r="K2247" t="s">
        <v>6697</v>
      </c>
      <c r="L2247" t="s">
        <v>6695</v>
      </c>
      <c r="P2247" t="s">
        <v>6694</v>
      </c>
      <c r="Q2247" t="s">
        <v>6694</v>
      </c>
      <c r="U2247" t="s">
        <v>6694</v>
      </c>
      <c r="V2247" t="s">
        <v>6694</v>
      </c>
      <c r="W2247" t="s">
        <v>6720</v>
      </c>
    </row>
    <row r="2248" spans="1:23" ht="15.6" x14ac:dyDescent="0.4">
      <c r="A2248" s="2" t="s">
        <v>3507</v>
      </c>
      <c r="B2248" s="5" t="s">
        <v>8698</v>
      </c>
      <c r="C2248" s="7" t="s">
        <v>12556</v>
      </c>
      <c r="D2248" s="8">
        <f t="shared" si="144"/>
        <v>0</v>
      </c>
      <c r="E2248" s="7" t="s">
        <v>12557</v>
      </c>
      <c r="F2248" s="7">
        <f t="shared" si="145"/>
        <v>1</v>
      </c>
      <c r="G2248" s="7" t="s">
        <v>12558</v>
      </c>
      <c r="H2248" s="7">
        <f t="shared" si="146"/>
        <v>0</v>
      </c>
      <c r="I2248" s="7" t="str" cm="1">
        <f t="array" ref="I2248">IFERROR(_xlfn.IFS(M2248="נח",1,M2248="נע ונח",1,M2248="שני שווא נח",2,M2248="שני שוואים בסוף מילה",2,M2248="שני שוואים ברצף",1),"0")</f>
        <v>0</v>
      </c>
      <c r="J2248" s="9">
        <f t="shared" si="147"/>
        <v>5</v>
      </c>
      <c r="K2248" t="s">
        <v>6697</v>
      </c>
      <c r="L2248" t="s">
        <v>6695</v>
      </c>
      <c r="O2248" t="s">
        <v>6694</v>
      </c>
      <c r="P2248" t="s">
        <v>6694</v>
      </c>
      <c r="Q2248" t="s">
        <v>6694</v>
      </c>
      <c r="W2248" t="s">
        <v>6720</v>
      </c>
    </row>
    <row r="2249" spans="1:23" ht="15.6" x14ac:dyDescent="0.4">
      <c r="A2249" s="2" t="s">
        <v>1244</v>
      </c>
      <c r="B2249" s="5" t="s">
        <v>8699</v>
      </c>
      <c r="C2249" s="7" t="s">
        <v>12556</v>
      </c>
      <c r="D2249" s="8">
        <f t="shared" si="144"/>
        <v>0</v>
      </c>
      <c r="E2249" s="7" t="s">
        <v>12557</v>
      </c>
      <c r="F2249" s="7">
        <f t="shared" si="145"/>
        <v>1</v>
      </c>
      <c r="G2249" s="7" t="s">
        <v>12558</v>
      </c>
      <c r="H2249" s="7">
        <f t="shared" si="146"/>
        <v>1</v>
      </c>
      <c r="I2249" s="7" t="str" cm="1">
        <f t="array" ref="I2249">IFERROR(_xlfn.IFS(M2249="נח",1,M2249="נע ונח",1,M2249="שני שווא נח",2,M2249="שני שוואים בסוף מילה",2,M2249="שני שוואים ברצף",1),"0")</f>
        <v>0</v>
      </c>
      <c r="J2249" s="9">
        <f t="shared" si="147"/>
        <v>5</v>
      </c>
      <c r="K2249" t="s">
        <v>6697</v>
      </c>
      <c r="L2249" t="s">
        <v>6695</v>
      </c>
      <c r="P2249" t="s">
        <v>6694</v>
      </c>
      <c r="Q2249" t="s">
        <v>6694</v>
      </c>
      <c r="U2249" t="s">
        <v>6694</v>
      </c>
      <c r="V2249" t="s">
        <v>6694</v>
      </c>
      <c r="W2249" t="s">
        <v>6720</v>
      </c>
    </row>
    <row r="2250" spans="1:23" ht="15.6" x14ac:dyDescent="0.4">
      <c r="A2250" s="2" t="s">
        <v>3709</v>
      </c>
      <c r="B2250" s="5" t="s">
        <v>8700</v>
      </c>
      <c r="C2250" s="7" t="s">
        <v>12556</v>
      </c>
      <c r="D2250" s="8">
        <f t="shared" si="144"/>
        <v>0</v>
      </c>
      <c r="E2250" s="7" t="s">
        <v>12557</v>
      </c>
      <c r="F2250" s="7">
        <f t="shared" si="145"/>
        <v>0</v>
      </c>
      <c r="G2250" s="7" t="s">
        <v>12558</v>
      </c>
      <c r="H2250" s="7">
        <f t="shared" si="146"/>
        <v>0</v>
      </c>
      <c r="I2250" s="7" t="str" cm="1">
        <f t="array" ref="I2250">IFERROR(_xlfn.IFS(M2250="נח",1,M2250="נע ונח",1,M2250="שני שווא נח",2,M2250="שני שוואים בסוף מילה",2,M2250="שני שוואים ברצף",1),"0")</f>
        <v>0</v>
      </c>
      <c r="J2250" s="9">
        <f t="shared" si="147"/>
        <v>4</v>
      </c>
      <c r="K2250" t="s">
        <v>6698</v>
      </c>
      <c r="L2250" t="s">
        <v>6695</v>
      </c>
      <c r="O2250" t="s">
        <v>6694</v>
      </c>
      <c r="P2250" t="s">
        <v>6694</v>
      </c>
      <c r="V2250" t="s">
        <v>6694</v>
      </c>
      <c r="W2250" t="s">
        <v>6720</v>
      </c>
    </row>
    <row r="2251" spans="1:23" ht="15.6" x14ac:dyDescent="0.4">
      <c r="A2251" s="2" t="s">
        <v>1909</v>
      </c>
      <c r="B2251" s="5" t="s">
        <v>8701</v>
      </c>
      <c r="C2251" s="7" t="s">
        <v>12556</v>
      </c>
      <c r="D2251" s="8">
        <f t="shared" si="144"/>
        <v>0</v>
      </c>
      <c r="E2251" s="7" t="s">
        <v>12557</v>
      </c>
      <c r="F2251" s="7">
        <f t="shared" si="145"/>
        <v>1</v>
      </c>
      <c r="G2251" s="7" t="s">
        <v>12558</v>
      </c>
      <c r="H2251" s="7">
        <f t="shared" si="146"/>
        <v>0</v>
      </c>
      <c r="I2251" s="7" cm="1">
        <f t="array" ref="I2251">IFERROR(_xlfn.IFS(M2251="נח",1,M2251="נע ונח",1,M2251="שני שווא נח",2,M2251="שני שוואים בסוף מילה",2,M2251="שני שוואים ברצף",1),"0")</f>
        <v>1</v>
      </c>
      <c r="J2251" s="9">
        <f t="shared" si="147"/>
        <v>4</v>
      </c>
      <c r="K2251" t="s">
        <v>6697</v>
      </c>
      <c r="L2251" t="s">
        <v>6694</v>
      </c>
      <c r="M2251" t="s">
        <v>6705</v>
      </c>
      <c r="O2251" t="s">
        <v>6694</v>
      </c>
      <c r="P2251" t="s">
        <v>6694</v>
      </c>
      <c r="W2251" t="s">
        <v>6720</v>
      </c>
    </row>
    <row r="2252" spans="1:23" ht="15.6" x14ac:dyDescent="0.4">
      <c r="A2252" s="2" t="s">
        <v>6445</v>
      </c>
      <c r="B2252" s="5" t="s">
        <v>8701</v>
      </c>
      <c r="C2252" s="7" t="s">
        <v>12556</v>
      </c>
      <c r="D2252" s="8">
        <f t="shared" si="144"/>
        <v>0</v>
      </c>
      <c r="E2252" s="7" t="s">
        <v>12557</v>
      </c>
      <c r="F2252" s="7">
        <f t="shared" si="145"/>
        <v>1</v>
      </c>
      <c r="G2252" s="7" t="s">
        <v>12558</v>
      </c>
      <c r="H2252" s="7">
        <f t="shared" si="146"/>
        <v>0</v>
      </c>
      <c r="I2252" s="7" t="str" cm="1">
        <f t="array" ref="I2252">IFERROR(_xlfn.IFS(M2252="נח",1,M2252="נע ונח",1,M2252="שני שווא נח",2,M2252="שני שוואים בסוף מילה",2,M2252="שני שוואים ברצף",1),"0")</f>
        <v>0</v>
      </c>
      <c r="J2252" s="9">
        <f t="shared" si="147"/>
        <v>5</v>
      </c>
      <c r="K2252" t="s">
        <v>6697</v>
      </c>
      <c r="L2252" t="s">
        <v>6695</v>
      </c>
      <c r="O2252" t="s">
        <v>6694</v>
      </c>
      <c r="P2252" t="s">
        <v>6694</v>
      </c>
      <c r="Q2252" t="s">
        <v>6694</v>
      </c>
      <c r="W2252" t="s">
        <v>6720</v>
      </c>
    </row>
    <row r="2253" spans="1:23" ht="15.6" x14ac:dyDescent="0.4">
      <c r="A2253" s="2" t="s">
        <v>2278</v>
      </c>
      <c r="B2253" s="5" t="s">
        <v>8702</v>
      </c>
      <c r="C2253" s="7" t="s">
        <v>12556</v>
      </c>
      <c r="D2253" s="8">
        <f t="shared" si="144"/>
        <v>0</v>
      </c>
      <c r="E2253" s="7" t="s">
        <v>12557</v>
      </c>
      <c r="F2253" s="7">
        <f t="shared" si="145"/>
        <v>1</v>
      </c>
      <c r="G2253" s="7" t="s">
        <v>12558</v>
      </c>
      <c r="H2253" s="7">
        <f t="shared" si="146"/>
        <v>0</v>
      </c>
      <c r="I2253" s="7" cm="1">
        <f t="array" ref="I2253">IFERROR(_xlfn.IFS(M2253="נח",1,M2253="נע ונח",1,M2253="שני שווא נח",2,M2253="שני שוואים בסוף מילה",2,M2253="שני שוואים ברצף",1),"0")</f>
        <v>1</v>
      </c>
      <c r="J2253" s="9">
        <f t="shared" si="147"/>
        <v>5</v>
      </c>
      <c r="K2253" t="s">
        <v>6697</v>
      </c>
      <c r="L2253" t="s">
        <v>6694</v>
      </c>
      <c r="M2253" t="s">
        <v>6705</v>
      </c>
      <c r="N2253" t="s">
        <v>6706</v>
      </c>
      <c r="O2253" t="s">
        <v>6694</v>
      </c>
      <c r="P2253" t="s">
        <v>6694</v>
      </c>
      <c r="T2253" t="s">
        <v>6694</v>
      </c>
      <c r="W2253" t="s">
        <v>6720</v>
      </c>
    </row>
    <row r="2254" spans="1:23" ht="15.6" x14ac:dyDescent="0.4">
      <c r="A2254" s="2" t="s">
        <v>6225</v>
      </c>
      <c r="B2254" s="5" t="s">
        <v>8703</v>
      </c>
      <c r="C2254" s="7" t="s">
        <v>12556</v>
      </c>
      <c r="D2254" s="8">
        <f t="shared" si="144"/>
        <v>0</v>
      </c>
      <c r="E2254" s="7" t="s">
        <v>12557</v>
      </c>
      <c r="F2254" s="7">
        <f t="shared" si="145"/>
        <v>2</v>
      </c>
      <c r="G2254" s="7" t="s">
        <v>12558</v>
      </c>
      <c r="H2254" s="7">
        <f t="shared" si="146"/>
        <v>1</v>
      </c>
      <c r="I2254" s="7" cm="1">
        <f t="array" ref="I2254">IFERROR(_xlfn.IFS(M2254="נח",1,M2254="נע ונח",1,M2254="שני שווא נח",2,M2254="שני שוואים בסוף מילה",2,M2254="שני שוואים ברצף",1),"0")</f>
        <v>1</v>
      </c>
      <c r="J2254" s="9">
        <f t="shared" si="147"/>
        <v>5</v>
      </c>
      <c r="K2254" t="s">
        <v>6697</v>
      </c>
      <c r="L2254" t="s">
        <v>6694</v>
      </c>
      <c r="M2254" t="s">
        <v>6705</v>
      </c>
      <c r="P2254" t="s">
        <v>6694</v>
      </c>
      <c r="Q2254" t="s">
        <v>6694</v>
      </c>
      <c r="U2254" t="s">
        <v>6694</v>
      </c>
      <c r="W2254" t="s">
        <v>6720</v>
      </c>
    </row>
    <row r="2255" spans="1:23" ht="15.6" x14ac:dyDescent="0.4">
      <c r="A2255" s="2" t="s">
        <v>3524</v>
      </c>
      <c r="B2255" s="5" t="s">
        <v>8704</v>
      </c>
      <c r="C2255" s="7" t="s">
        <v>12556</v>
      </c>
      <c r="D2255" s="8">
        <f t="shared" si="144"/>
        <v>0</v>
      </c>
      <c r="E2255" s="7" t="s">
        <v>12557</v>
      </c>
      <c r="F2255" s="7">
        <f t="shared" si="145"/>
        <v>1</v>
      </c>
      <c r="G2255" s="7" t="s">
        <v>12558</v>
      </c>
      <c r="H2255" s="7">
        <f t="shared" si="146"/>
        <v>0</v>
      </c>
      <c r="I2255" s="7" cm="1">
        <f t="array" ref="I2255">IFERROR(_xlfn.IFS(M2255="נח",1,M2255="נע ונח",1,M2255="שני שווא נח",2,M2255="שני שוואים בסוף מילה",2,M2255="שני שוואים ברצף",1),"0")</f>
        <v>1</v>
      </c>
      <c r="J2255" s="9">
        <f t="shared" si="147"/>
        <v>4</v>
      </c>
      <c r="K2255" t="s">
        <v>6697</v>
      </c>
      <c r="L2255" t="s">
        <v>6694</v>
      </c>
      <c r="M2255" t="s">
        <v>6705</v>
      </c>
      <c r="O2255" t="s">
        <v>6694</v>
      </c>
      <c r="P2255" t="s">
        <v>6694</v>
      </c>
      <c r="S2255" t="s">
        <v>6694</v>
      </c>
      <c r="W2255" t="s">
        <v>6720</v>
      </c>
    </row>
    <row r="2256" spans="1:23" ht="15.6" x14ac:dyDescent="0.4">
      <c r="A2256" s="2" t="s">
        <v>6442</v>
      </c>
      <c r="B2256" s="5" t="s">
        <v>8705</v>
      </c>
      <c r="C2256" s="7" t="s">
        <v>12556</v>
      </c>
      <c r="D2256" s="8">
        <f t="shared" si="144"/>
        <v>0</v>
      </c>
      <c r="E2256" s="7" t="s">
        <v>12557</v>
      </c>
      <c r="F2256" s="7">
        <f t="shared" si="145"/>
        <v>1</v>
      </c>
      <c r="G2256" s="7" t="s">
        <v>12558</v>
      </c>
      <c r="H2256" s="7">
        <f t="shared" si="146"/>
        <v>0</v>
      </c>
      <c r="I2256" s="7" t="str" cm="1">
        <f t="array" ref="I2256">IFERROR(_xlfn.IFS(M2256="נח",1,M2256="נע ונח",1,M2256="שני שווא נח",2,M2256="שני שוואים בסוף מילה",2,M2256="שני שוואים ברצף",1),"0")</f>
        <v>0</v>
      </c>
      <c r="J2256" s="9">
        <f t="shared" si="147"/>
        <v>4</v>
      </c>
      <c r="K2256" t="s">
        <v>6697</v>
      </c>
      <c r="L2256" t="s">
        <v>6695</v>
      </c>
      <c r="P2256" t="s">
        <v>6694</v>
      </c>
      <c r="S2256" t="s">
        <v>6694</v>
      </c>
      <c r="V2256" t="s">
        <v>6694</v>
      </c>
      <c r="W2256" t="s">
        <v>6720</v>
      </c>
    </row>
    <row r="2257" spans="1:23" ht="15.6" x14ac:dyDescent="0.4">
      <c r="A2257" s="2" t="s">
        <v>6526</v>
      </c>
      <c r="B2257" s="5" t="s">
        <v>8706</v>
      </c>
      <c r="C2257" s="7" t="s">
        <v>12556</v>
      </c>
      <c r="D2257" s="8">
        <f t="shared" si="144"/>
        <v>0</v>
      </c>
      <c r="E2257" s="7" t="s">
        <v>12557</v>
      </c>
      <c r="F2257" s="7">
        <f t="shared" si="145"/>
        <v>1</v>
      </c>
      <c r="G2257" s="7" t="s">
        <v>12558</v>
      </c>
      <c r="H2257" s="7">
        <f t="shared" si="146"/>
        <v>1</v>
      </c>
      <c r="I2257" s="7" cm="1">
        <f t="array" ref="I2257">IFERROR(_xlfn.IFS(M2257="נח",1,M2257="נע ונח",1,M2257="שני שווא נח",2,M2257="שני שוואים בסוף מילה",2,M2257="שני שוואים ברצף",1),"0")</f>
        <v>1</v>
      </c>
      <c r="J2257" s="9">
        <f t="shared" si="147"/>
        <v>5</v>
      </c>
      <c r="K2257" t="s">
        <v>6697</v>
      </c>
      <c r="L2257" t="s">
        <v>6694</v>
      </c>
      <c r="M2257" t="s">
        <v>6705</v>
      </c>
      <c r="P2257" t="s">
        <v>6694</v>
      </c>
      <c r="Q2257" t="s">
        <v>6694</v>
      </c>
      <c r="U2257" t="s">
        <v>6694</v>
      </c>
      <c r="W2257" t="s">
        <v>6720</v>
      </c>
    </row>
    <row r="2258" spans="1:23" ht="15.6" x14ac:dyDescent="0.4">
      <c r="A2258" s="2" t="s">
        <v>47</v>
      </c>
      <c r="B2258" s="5" t="s">
        <v>8707</v>
      </c>
      <c r="C2258" s="7" t="s">
        <v>12556</v>
      </c>
      <c r="D2258" s="8">
        <f t="shared" si="144"/>
        <v>0</v>
      </c>
      <c r="E2258" s="7" t="s">
        <v>12557</v>
      </c>
      <c r="F2258" s="7">
        <f t="shared" si="145"/>
        <v>0</v>
      </c>
      <c r="G2258" s="7" t="s">
        <v>12558</v>
      </c>
      <c r="H2258" s="7">
        <f t="shared" si="146"/>
        <v>0</v>
      </c>
      <c r="I2258" s="7" t="str" cm="1">
        <f t="array" ref="I2258">IFERROR(_xlfn.IFS(M2258="נח",1,M2258="נע ונח",1,M2258="שני שווא נח",2,M2258="שני שוואים בסוף מילה",2,M2258="שני שוואים ברצף",1),"0")</f>
        <v>0</v>
      </c>
      <c r="J2258" s="9">
        <f t="shared" si="147"/>
        <v>3</v>
      </c>
      <c r="K2258" t="s">
        <v>6697</v>
      </c>
      <c r="L2258" t="s">
        <v>6695</v>
      </c>
      <c r="P2258" t="s">
        <v>6694</v>
      </c>
      <c r="S2258" t="s">
        <v>6694</v>
      </c>
      <c r="W2258" t="s">
        <v>6720</v>
      </c>
    </row>
    <row r="2259" spans="1:23" ht="15.6" x14ac:dyDescent="0.4">
      <c r="A2259" s="2" t="s">
        <v>2978</v>
      </c>
      <c r="B2259" s="5" t="s">
        <v>8708</v>
      </c>
      <c r="C2259" s="7" t="s">
        <v>12556</v>
      </c>
      <c r="D2259" s="8">
        <f t="shared" si="144"/>
        <v>0</v>
      </c>
      <c r="E2259" s="7" t="s">
        <v>12557</v>
      </c>
      <c r="F2259" s="7">
        <f t="shared" si="145"/>
        <v>1</v>
      </c>
      <c r="G2259" s="7" t="s">
        <v>12558</v>
      </c>
      <c r="H2259" s="7">
        <f t="shared" si="146"/>
        <v>1</v>
      </c>
      <c r="I2259" s="7" cm="1">
        <f t="array" ref="I2259">IFERROR(_xlfn.IFS(M2259="נח",1,M2259="נע ונח",1,M2259="שני שווא נח",2,M2259="שני שוואים בסוף מילה",2,M2259="שני שוואים ברצף",1),"0")</f>
        <v>1</v>
      </c>
      <c r="J2259" s="9">
        <f t="shared" si="147"/>
        <v>4</v>
      </c>
      <c r="K2259" t="s">
        <v>6697</v>
      </c>
      <c r="L2259" t="s">
        <v>6694</v>
      </c>
      <c r="M2259" t="s">
        <v>6705</v>
      </c>
      <c r="P2259" t="s">
        <v>6694</v>
      </c>
      <c r="U2259" t="s">
        <v>6694</v>
      </c>
      <c r="W2259" t="s">
        <v>6720</v>
      </c>
    </row>
    <row r="2260" spans="1:23" ht="15.6" x14ac:dyDescent="0.4">
      <c r="A2260" s="2" t="s">
        <v>4459</v>
      </c>
      <c r="B2260" s="5" t="s">
        <v>8709</v>
      </c>
      <c r="C2260" s="7" t="s">
        <v>12556</v>
      </c>
      <c r="D2260" s="8">
        <f t="shared" si="144"/>
        <v>0</v>
      </c>
      <c r="E2260" s="7" t="s">
        <v>12557</v>
      </c>
      <c r="F2260" s="7">
        <f t="shared" si="145"/>
        <v>1</v>
      </c>
      <c r="G2260" s="7" t="s">
        <v>12558</v>
      </c>
      <c r="H2260" s="7">
        <f t="shared" si="146"/>
        <v>0</v>
      </c>
      <c r="I2260" s="7" cm="1">
        <f t="array" ref="I2260">IFERROR(_xlfn.IFS(M2260="נח",1,M2260="נע ונח",1,M2260="שני שווא נח",2,M2260="שני שוואים בסוף מילה",2,M2260="שני שוואים ברצף",1),"0")</f>
        <v>1</v>
      </c>
      <c r="J2260" s="9">
        <f t="shared" si="147"/>
        <v>4</v>
      </c>
      <c r="K2260" t="s">
        <v>6697</v>
      </c>
      <c r="L2260" t="s">
        <v>6694</v>
      </c>
      <c r="M2260" t="s">
        <v>6705</v>
      </c>
      <c r="O2260" t="s">
        <v>6694</v>
      </c>
      <c r="P2260" t="s">
        <v>6694</v>
      </c>
      <c r="W2260" t="s">
        <v>6720</v>
      </c>
    </row>
    <row r="2261" spans="1:23" ht="15.6" x14ac:dyDescent="0.4">
      <c r="A2261" s="2" t="s">
        <v>1731</v>
      </c>
      <c r="B2261" s="5" t="s">
        <v>8710</v>
      </c>
      <c r="C2261" s="7" t="s">
        <v>12556</v>
      </c>
      <c r="D2261" s="8">
        <f t="shared" si="144"/>
        <v>0</v>
      </c>
      <c r="E2261" s="7" t="s">
        <v>12557</v>
      </c>
      <c r="F2261" s="7">
        <f t="shared" si="145"/>
        <v>1</v>
      </c>
      <c r="G2261" s="7" t="s">
        <v>12558</v>
      </c>
      <c r="H2261" s="7">
        <f t="shared" si="146"/>
        <v>0</v>
      </c>
      <c r="I2261" s="7" t="str" cm="1">
        <f t="array" ref="I2261">IFERROR(_xlfn.IFS(M2261="נח",1,M2261="נע ונח",1,M2261="שני שווא נח",2,M2261="שני שוואים בסוף מילה",2,M2261="שני שוואים ברצף",1),"0")</f>
        <v>0</v>
      </c>
      <c r="J2261" s="9">
        <f t="shared" si="147"/>
        <v>4</v>
      </c>
      <c r="K2261" t="s">
        <v>6698</v>
      </c>
      <c r="L2261" t="s">
        <v>6695</v>
      </c>
      <c r="P2261" t="s">
        <v>6694</v>
      </c>
      <c r="Q2261" t="s">
        <v>6694</v>
      </c>
      <c r="W2261" t="s">
        <v>6720</v>
      </c>
    </row>
    <row r="2262" spans="1:23" ht="15.6" x14ac:dyDescent="0.4">
      <c r="A2262" s="2" t="s">
        <v>2346</v>
      </c>
      <c r="B2262" s="5" t="s">
        <v>8711</v>
      </c>
      <c r="C2262" s="7" t="s">
        <v>12556</v>
      </c>
      <c r="D2262" s="8">
        <f t="shared" si="144"/>
        <v>0</v>
      </c>
      <c r="E2262" s="7" t="s">
        <v>12557</v>
      </c>
      <c r="F2262" s="7">
        <f t="shared" si="145"/>
        <v>2</v>
      </c>
      <c r="G2262" s="7" t="s">
        <v>12558</v>
      </c>
      <c r="H2262" s="7">
        <f t="shared" si="146"/>
        <v>1</v>
      </c>
      <c r="I2262" s="7" cm="1">
        <f t="array" ref="I2262">IFERROR(_xlfn.IFS(M2262="נח",1,M2262="נע ונח",1,M2262="שני שווא נח",2,M2262="שני שוואים בסוף מילה",2,M2262="שני שוואים ברצף",1),"0")</f>
        <v>1</v>
      </c>
      <c r="J2262" s="9">
        <f t="shared" si="147"/>
        <v>5</v>
      </c>
      <c r="K2262" t="s">
        <v>6697</v>
      </c>
      <c r="L2262" t="s">
        <v>6694</v>
      </c>
      <c r="M2262" t="s">
        <v>6705</v>
      </c>
      <c r="P2262" t="s">
        <v>6694</v>
      </c>
      <c r="Q2262" t="s">
        <v>6694</v>
      </c>
      <c r="U2262" t="s">
        <v>6694</v>
      </c>
      <c r="W2262" t="s">
        <v>6720</v>
      </c>
    </row>
    <row r="2263" spans="1:23" ht="15.6" x14ac:dyDescent="0.4">
      <c r="A2263" s="2" t="s">
        <v>6319</v>
      </c>
      <c r="B2263" s="5" t="s">
        <v>8712</v>
      </c>
      <c r="C2263" s="7" t="s">
        <v>12556</v>
      </c>
      <c r="D2263" s="8">
        <f t="shared" si="144"/>
        <v>0</v>
      </c>
      <c r="E2263" s="7" t="s">
        <v>12557</v>
      </c>
      <c r="F2263" s="7">
        <f t="shared" si="145"/>
        <v>1</v>
      </c>
      <c r="G2263" s="7" t="s">
        <v>12558</v>
      </c>
      <c r="H2263" s="7">
        <f t="shared" si="146"/>
        <v>0</v>
      </c>
      <c r="I2263" s="7" t="str" cm="1">
        <f t="array" ref="I2263">IFERROR(_xlfn.IFS(M2263="נח",1,M2263="נע ונח",1,M2263="שני שווא נח",2,M2263="שני שוואים בסוף מילה",2,M2263="שני שוואים ברצף",1),"0")</f>
        <v>0</v>
      </c>
      <c r="J2263" s="9">
        <f t="shared" si="147"/>
        <v>4</v>
      </c>
      <c r="K2263" t="s">
        <v>6697</v>
      </c>
      <c r="L2263" t="s">
        <v>6695</v>
      </c>
      <c r="P2263" t="s">
        <v>6694</v>
      </c>
      <c r="R2263" t="s">
        <v>6694</v>
      </c>
      <c r="W2263" t="s">
        <v>6720</v>
      </c>
    </row>
    <row r="2264" spans="1:23" ht="15.6" x14ac:dyDescent="0.4">
      <c r="A2264" s="2" t="s">
        <v>3962</v>
      </c>
      <c r="B2264" s="5" t="s">
        <v>8713</v>
      </c>
      <c r="C2264" s="7" t="s">
        <v>12556</v>
      </c>
      <c r="D2264" s="8">
        <f t="shared" si="144"/>
        <v>0</v>
      </c>
      <c r="E2264" s="7" t="s">
        <v>12557</v>
      </c>
      <c r="F2264" s="7">
        <f t="shared" si="145"/>
        <v>1</v>
      </c>
      <c r="G2264" s="7" t="s">
        <v>12558</v>
      </c>
      <c r="H2264" s="7">
        <f t="shared" si="146"/>
        <v>1</v>
      </c>
      <c r="I2264" s="7" t="str" cm="1">
        <f t="array" ref="I2264">IFERROR(_xlfn.IFS(M2264="נח",1,M2264="נע ונח",1,M2264="שני שווא נח",2,M2264="שני שוואים בסוף מילה",2,M2264="שני שוואים ברצף",1),"0")</f>
        <v>0</v>
      </c>
      <c r="J2264" s="9">
        <f t="shared" si="147"/>
        <v>5</v>
      </c>
      <c r="K2264" t="s">
        <v>6697</v>
      </c>
      <c r="L2264" t="s">
        <v>6695</v>
      </c>
      <c r="P2264" t="s">
        <v>6694</v>
      </c>
      <c r="R2264" t="s">
        <v>6694</v>
      </c>
      <c r="U2264" t="s">
        <v>6694</v>
      </c>
      <c r="W2264" t="s">
        <v>6720</v>
      </c>
    </row>
    <row r="2265" spans="1:23" ht="15.6" x14ac:dyDescent="0.4">
      <c r="A2265" s="2" t="s">
        <v>3319</v>
      </c>
      <c r="B2265" s="5" t="s">
        <v>8714</v>
      </c>
      <c r="C2265" s="7" t="s">
        <v>12556</v>
      </c>
      <c r="D2265" s="8">
        <f t="shared" si="144"/>
        <v>1</v>
      </c>
      <c r="E2265" s="7" t="s">
        <v>12557</v>
      </c>
      <c r="F2265" s="7">
        <f t="shared" si="145"/>
        <v>0</v>
      </c>
      <c r="G2265" s="7" t="s">
        <v>12558</v>
      </c>
      <c r="H2265" s="7">
        <f t="shared" si="146"/>
        <v>0</v>
      </c>
      <c r="I2265" s="7" t="str" cm="1">
        <f t="array" ref="I2265">IFERROR(_xlfn.IFS(M2265="נח",1,M2265="נע ונח",1,M2265="שני שווא נח",2,M2265="שני שוואים בסוף מילה",2,M2265="שני שוואים ברצף",1),"0")</f>
        <v>0</v>
      </c>
      <c r="J2265" s="9">
        <f t="shared" si="147"/>
        <v>4</v>
      </c>
      <c r="K2265" t="s">
        <v>6698</v>
      </c>
      <c r="L2265" t="s">
        <v>6695</v>
      </c>
      <c r="P2265" t="s">
        <v>6694</v>
      </c>
      <c r="R2265" t="s">
        <v>6694</v>
      </c>
      <c r="W2265" t="s">
        <v>6720</v>
      </c>
    </row>
    <row r="2266" spans="1:23" ht="15.6" x14ac:dyDescent="0.4">
      <c r="A2266" s="2" t="s">
        <v>4219</v>
      </c>
      <c r="B2266" s="5" t="s">
        <v>8715</v>
      </c>
      <c r="C2266" s="7" t="s">
        <v>12556</v>
      </c>
      <c r="D2266" s="8">
        <f t="shared" si="144"/>
        <v>0</v>
      </c>
      <c r="E2266" s="7" t="s">
        <v>12557</v>
      </c>
      <c r="F2266" s="7">
        <f t="shared" si="145"/>
        <v>1</v>
      </c>
      <c r="G2266" s="7" t="s">
        <v>12558</v>
      </c>
      <c r="H2266" s="7">
        <f t="shared" si="146"/>
        <v>0</v>
      </c>
      <c r="I2266" s="7" t="str" cm="1">
        <f t="array" ref="I2266">IFERROR(_xlfn.IFS(M2266="נח",1,M2266="נע ונח",1,M2266="שני שווא נח",2,M2266="שני שוואים בסוף מילה",2,M2266="שני שוואים ברצף",1),"0")</f>
        <v>0</v>
      </c>
      <c r="J2266" s="9">
        <f t="shared" si="147"/>
        <v>4</v>
      </c>
      <c r="K2266" t="s">
        <v>6698</v>
      </c>
      <c r="L2266" t="s">
        <v>6695</v>
      </c>
      <c r="P2266" t="s">
        <v>6694</v>
      </c>
      <c r="Q2266" t="s">
        <v>6694</v>
      </c>
      <c r="W2266" t="s">
        <v>6720</v>
      </c>
    </row>
    <row r="2267" spans="1:23" ht="15.6" x14ac:dyDescent="0.4">
      <c r="A2267" s="2" t="s">
        <v>2173</v>
      </c>
      <c r="B2267" s="5" t="s">
        <v>8277</v>
      </c>
      <c r="C2267" s="7" t="s">
        <v>12556</v>
      </c>
      <c r="D2267" s="8">
        <f t="shared" si="144"/>
        <v>1</v>
      </c>
      <c r="E2267" s="7" t="s">
        <v>12557</v>
      </c>
      <c r="F2267" s="7">
        <f t="shared" si="145"/>
        <v>0</v>
      </c>
      <c r="G2267" s="7" t="s">
        <v>12558</v>
      </c>
      <c r="H2267" s="7">
        <f t="shared" si="146"/>
        <v>0</v>
      </c>
      <c r="I2267" s="7" t="str" cm="1">
        <f t="array" ref="I2267">IFERROR(_xlfn.IFS(M2267="נח",1,M2267="נע ונח",1,M2267="שני שווא נח",2,M2267="שני שוואים בסוף מילה",2,M2267="שני שוואים ברצף",1),"0")</f>
        <v>0</v>
      </c>
      <c r="J2267" s="9">
        <f t="shared" si="147"/>
        <v>3</v>
      </c>
      <c r="K2267" t="s">
        <v>6698</v>
      </c>
      <c r="L2267" t="s">
        <v>6695</v>
      </c>
      <c r="P2267" t="s">
        <v>6694</v>
      </c>
      <c r="R2267" t="s">
        <v>6694</v>
      </c>
      <c r="W2267" t="s">
        <v>6720</v>
      </c>
    </row>
    <row r="2268" spans="1:23" ht="15.6" x14ac:dyDescent="0.4">
      <c r="A2268" s="2" t="s">
        <v>812</v>
      </c>
      <c r="B2268" s="5" t="s">
        <v>8716</v>
      </c>
      <c r="C2268" s="7" t="s">
        <v>12556</v>
      </c>
      <c r="D2268" s="8">
        <f t="shared" si="144"/>
        <v>1</v>
      </c>
      <c r="E2268" s="7" t="s">
        <v>12557</v>
      </c>
      <c r="F2268" s="7">
        <f t="shared" si="145"/>
        <v>1</v>
      </c>
      <c r="G2268" s="7" t="s">
        <v>12558</v>
      </c>
      <c r="H2268" s="7">
        <f t="shared" si="146"/>
        <v>0</v>
      </c>
      <c r="I2268" s="7" cm="1">
        <f t="array" ref="I2268">IFERROR(_xlfn.IFS(M2268="נח",1,M2268="נע ונח",1,M2268="שני שווא נח",2,M2268="שני שוואים בסוף מילה",2,M2268="שני שוואים ברצף",1),"0")</f>
        <v>1</v>
      </c>
      <c r="J2268" s="9">
        <f t="shared" si="147"/>
        <v>4</v>
      </c>
      <c r="K2268" t="s">
        <v>6697</v>
      </c>
      <c r="L2268" t="s">
        <v>6694</v>
      </c>
      <c r="M2268" t="s">
        <v>6705</v>
      </c>
      <c r="O2268" t="s">
        <v>6694</v>
      </c>
      <c r="P2268" t="s">
        <v>6694</v>
      </c>
      <c r="W2268" t="s">
        <v>6720</v>
      </c>
    </row>
    <row r="2269" spans="1:23" ht="15.6" x14ac:dyDescent="0.4">
      <c r="A2269" s="2" t="s">
        <v>3691</v>
      </c>
      <c r="B2269" s="5" t="s">
        <v>8717</v>
      </c>
      <c r="C2269" s="7" t="s">
        <v>12556</v>
      </c>
      <c r="D2269" s="8">
        <f t="shared" si="144"/>
        <v>0</v>
      </c>
      <c r="E2269" s="7" t="s">
        <v>12557</v>
      </c>
      <c r="F2269" s="7">
        <f t="shared" si="145"/>
        <v>0</v>
      </c>
      <c r="G2269" s="7" t="s">
        <v>12558</v>
      </c>
      <c r="H2269" s="7">
        <f t="shared" si="146"/>
        <v>0</v>
      </c>
      <c r="I2269" s="7" cm="1">
        <f t="array" ref="I2269">IFERROR(_xlfn.IFS(M2269="נח",1,M2269="נע ונח",1,M2269="שני שווא נח",2,M2269="שני שוואים בסוף מילה",2,M2269="שני שוואים ברצף",1),"0")</f>
        <v>1</v>
      </c>
      <c r="J2269" s="9">
        <f t="shared" si="147"/>
        <v>4</v>
      </c>
      <c r="K2269" t="s">
        <v>6697</v>
      </c>
      <c r="L2269" t="s">
        <v>6694</v>
      </c>
      <c r="M2269" t="s">
        <v>6705</v>
      </c>
      <c r="N2269" t="s">
        <v>6706</v>
      </c>
      <c r="O2269" t="s">
        <v>6694</v>
      </c>
      <c r="P2269" t="s">
        <v>6694</v>
      </c>
      <c r="W2269" t="s">
        <v>6720</v>
      </c>
    </row>
    <row r="2270" spans="1:23" ht="15.6" x14ac:dyDescent="0.4">
      <c r="A2270" s="2" t="s">
        <v>6390</v>
      </c>
      <c r="B2270" s="5" t="s">
        <v>8717</v>
      </c>
      <c r="C2270" s="7" t="s">
        <v>12556</v>
      </c>
      <c r="D2270" s="8">
        <f t="shared" si="144"/>
        <v>0</v>
      </c>
      <c r="E2270" s="7" t="s">
        <v>12557</v>
      </c>
      <c r="F2270" s="7">
        <f t="shared" si="145"/>
        <v>0</v>
      </c>
      <c r="G2270" s="7" t="s">
        <v>12558</v>
      </c>
      <c r="H2270" s="7">
        <f t="shared" si="146"/>
        <v>0</v>
      </c>
      <c r="I2270" s="7" t="str" cm="1">
        <f t="array" ref="I2270">IFERROR(_xlfn.IFS(M2270="נח",1,M2270="נע ונח",1,M2270="שני שווא נח",2,M2270="שני שוואים בסוף מילה",2,M2270="שני שוואים ברצף",1),"0")</f>
        <v>0</v>
      </c>
      <c r="J2270" s="9">
        <f t="shared" si="147"/>
        <v>5</v>
      </c>
      <c r="K2270" t="s">
        <v>6697</v>
      </c>
      <c r="L2270" t="s">
        <v>6695</v>
      </c>
      <c r="O2270" t="s">
        <v>6694</v>
      </c>
      <c r="P2270" t="s">
        <v>6694</v>
      </c>
      <c r="R2270" t="s">
        <v>6694</v>
      </c>
      <c r="W2270" t="s">
        <v>6720</v>
      </c>
    </row>
    <row r="2271" spans="1:23" ht="15.6" x14ac:dyDescent="0.4">
      <c r="A2271" s="2" t="s">
        <v>4381</v>
      </c>
      <c r="B2271" s="5" t="s">
        <v>8718</v>
      </c>
      <c r="C2271" s="7" t="s">
        <v>12556</v>
      </c>
      <c r="D2271" s="8">
        <f t="shared" si="144"/>
        <v>0</v>
      </c>
      <c r="E2271" s="7" t="s">
        <v>12557</v>
      </c>
      <c r="F2271" s="7">
        <f t="shared" si="145"/>
        <v>0</v>
      </c>
      <c r="G2271" s="7" t="s">
        <v>12558</v>
      </c>
      <c r="H2271" s="7">
        <f t="shared" si="146"/>
        <v>0</v>
      </c>
      <c r="I2271" s="7" t="str" cm="1">
        <f t="array" ref="I2271">IFERROR(_xlfn.IFS(M2271="נח",1,M2271="נע ונח",1,M2271="שני שווא נח",2,M2271="שני שוואים בסוף מילה",2,M2271="שני שוואים ברצף",1),"0")</f>
        <v>0</v>
      </c>
      <c r="J2271" s="9">
        <f t="shared" si="147"/>
        <v>3</v>
      </c>
      <c r="K2271" t="s">
        <v>6698</v>
      </c>
      <c r="L2271" t="s">
        <v>6695</v>
      </c>
      <c r="P2271" t="s">
        <v>6694</v>
      </c>
      <c r="V2271" t="s">
        <v>6694</v>
      </c>
      <c r="W2271" t="s">
        <v>6720</v>
      </c>
    </row>
    <row r="2272" spans="1:23" ht="15.6" x14ac:dyDescent="0.4">
      <c r="A2272" s="2" t="s">
        <v>811</v>
      </c>
      <c r="B2272" s="5" t="s">
        <v>8719</v>
      </c>
      <c r="C2272" s="7" t="s">
        <v>12556</v>
      </c>
      <c r="D2272" s="8">
        <f t="shared" si="144"/>
        <v>0</v>
      </c>
      <c r="E2272" s="7" t="s">
        <v>12557</v>
      </c>
      <c r="F2272" s="7">
        <f t="shared" si="145"/>
        <v>0</v>
      </c>
      <c r="G2272" s="7" t="s">
        <v>12558</v>
      </c>
      <c r="H2272" s="7">
        <f t="shared" si="146"/>
        <v>0</v>
      </c>
      <c r="I2272" s="7" t="str" cm="1">
        <f t="array" ref="I2272">IFERROR(_xlfn.IFS(M2272="נח",1,M2272="נע ונח",1,M2272="שני שווא נח",2,M2272="שני שוואים בסוף מילה",2,M2272="שני שוואים ברצף",1),"0")</f>
        <v>0</v>
      </c>
      <c r="J2272" s="9">
        <f t="shared" si="147"/>
        <v>5</v>
      </c>
      <c r="K2272" t="s">
        <v>6697</v>
      </c>
      <c r="L2272" t="s">
        <v>6695</v>
      </c>
      <c r="P2272" t="s">
        <v>6694</v>
      </c>
      <c r="Q2272" t="s">
        <v>6694</v>
      </c>
      <c r="S2272" t="s">
        <v>6694</v>
      </c>
      <c r="W2272" t="s">
        <v>6720</v>
      </c>
    </row>
    <row r="2273" spans="1:23" ht="15.6" x14ac:dyDescent="0.4">
      <c r="A2273" s="2" t="s">
        <v>5105</v>
      </c>
      <c r="B2273" s="5" t="s">
        <v>8720</v>
      </c>
      <c r="C2273" s="7" t="s">
        <v>12556</v>
      </c>
      <c r="D2273" s="8">
        <f t="shared" si="144"/>
        <v>0</v>
      </c>
      <c r="E2273" s="7" t="s">
        <v>12557</v>
      </c>
      <c r="F2273" s="7">
        <f t="shared" si="145"/>
        <v>0</v>
      </c>
      <c r="G2273" s="7" t="s">
        <v>12558</v>
      </c>
      <c r="H2273" s="7">
        <f t="shared" si="146"/>
        <v>0</v>
      </c>
      <c r="I2273" s="7" t="str" cm="1">
        <f t="array" ref="I2273">IFERROR(_xlfn.IFS(M2273="נח",1,M2273="נע ונח",1,M2273="שני שווא נח",2,M2273="שני שוואים בסוף מילה",2,M2273="שני שוואים ברצף",1),"0")</f>
        <v>0</v>
      </c>
      <c r="J2273" s="9">
        <f t="shared" si="147"/>
        <v>4</v>
      </c>
      <c r="K2273" t="s">
        <v>6698</v>
      </c>
      <c r="L2273" t="s">
        <v>6695</v>
      </c>
      <c r="O2273" t="s">
        <v>6694</v>
      </c>
      <c r="P2273" t="s">
        <v>6694</v>
      </c>
      <c r="S2273" t="s">
        <v>6694</v>
      </c>
      <c r="W2273" t="s">
        <v>6720</v>
      </c>
    </row>
    <row r="2274" spans="1:23" ht="15.6" x14ac:dyDescent="0.4">
      <c r="A2274" s="2" t="s">
        <v>3512</v>
      </c>
      <c r="B2274" s="5" t="s">
        <v>8721</v>
      </c>
      <c r="C2274" s="7" t="s">
        <v>12556</v>
      </c>
      <c r="D2274" s="8">
        <f t="shared" si="144"/>
        <v>0</v>
      </c>
      <c r="E2274" s="7" t="s">
        <v>12557</v>
      </c>
      <c r="F2274" s="7">
        <f t="shared" si="145"/>
        <v>0</v>
      </c>
      <c r="G2274" s="7" t="s">
        <v>12558</v>
      </c>
      <c r="H2274" s="7">
        <f t="shared" si="146"/>
        <v>0</v>
      </c>
      <c r="I2274" s="7" t="str" cm="1">
        <f t="array" ref="I2274">IFERROR(_xlfn.IFS(M2274="נח",1,M2274="נע ונח",1,M2274="שני שווא נח",2,M2274="שני שוואים בסוף מילה",2,M2274="שני שוואים ברצף",1),"0")</f>
        <v>0</v>
      </c>
      <c r="J2274" s="9">
        <f t="shared" si="147"/>
        <v>4</v>
      </c>
      <c r="K2274" t="s">
        <v>6697</v>
      </c>
      <c r="L2274" t="s">
        <v>6695</v>
      </c>
      <c r="O2274" t="s">
        <v>6694</v>
      </c>
      <c r="P2274" t="s">
        <v>6694</v>
      </c>
      <c r="W2274" t="s">
        <v>6720</v>
      </c>
    </row>
    <row r="2275" spans="1:23" ht="15.6" x14ac:dyDescent="0.4">
      <c r="A2275" s="2" t="s">
        <v>967</v>
      </c>
      <c r="B2275" s="5" t="s">
        <v>8722</v>
      </c>
      <c r="C2275" s="7" t="s">
        <v>12556</v>
      </c>
      <c r="D2275" s="8">
        <f t="shared" si="144"/>
        <v>0</v>
      </c>
      <c r="E2275" s="7" t="s">
        <v>12557</v>
      </c>
      <c r="F2275" s="7">
        <f t="shared" si="145"/>
        <v>1</v>
      </c>
      <c r="G2275" s="7" t="s">
        <v>12558</v>
      </c>
      <c r="H2275" s="7">
        <f t="shared" si="146"/>
        <v>0</v>
      </c>
      <c r="I2275" s="7" cm="1">
        <f t="array" ref="I2275">IFERROR(_xlfn.IFS(M2275="נח",1,M2275="נע ונח",1,M2275="שני שווא נח",2,M2275="שני שוואים בסוף מילה",2,M2275="שני שוואים ברצף",1),"0")</f>
        <v>1</v>
      </c>
      <c r="J2275" s="9">
        <f t="shared" si="147"/>
        <v>5</v>
      </c>
      <c r="K2275" t="s">
        <v>6698</v>
      </c>
      <c r="L2275" t="s">
        <v>6694</v>
      </c>
      <c r="M2275" t="s">
        <v>6705</v>
      </c>
      <c r="P2275" t="s">
        <v>6694</v>
      </c>
      <c r="V2275" t="s">
        <v>6694</v>
      </c>
      <c r="W2275" t="s">
        <v>6720</v>
      </c>
    </row>
    <row r="2276" spans="1:23" ht="15.6" x14ac:dyDescent="0.4">
      <c r="A2276" s="2" t="s">
        <v>889</v>
      </c>
      <c r="B2276" s="5" t="s">
        <v>8723</v>
      </c>
      <c r="C2276" s="7" t="s">
        <v>12556</v>
      </c>
      <c r="D2276" s="8">
        <f t="shared" si="144"/>
        <v>0</v>
      </c>
      <c r="E2276" s="7" t="s">
        <v>12557</v>
      </c>
      <c r="F2276" s="7">
        <f t="shared" si="145"/>
        <v>0</v>
      </c>
      <c r="G2276" s="7" t="s">
        <v>12558</v>
      </c>
      <c r="H2276" s="7">
        <f t="shared" si="146"/>
        <v>0</v>
      </c>
      <c r="I2276" s="7" t="str" cm="1">
        <f t="array" ref="I2276">IFERROR(_xlfn.IFS(M2276="נח",1,M2276="נע ונח",1,M2276="שני שווא נח",2,M2276="שני שוואים בסוף מילה",2,M2276="שני שוואים ברצף",1),"0")</f>
        <v>0</v>
      </c>
      <c r="J2276" s="9">
        <f t="shared" si="147"/>
        <v>5</v>
      </c>
      <c r="K2276" t="s">
        <v>6697</v>
      </c>
      <c r="L2276" t="s">
        <v>6695</v>
      </c>
      <c r="O2276" t="s">
        <v>6694</v>
      </c>
      <c r="P2276" t="s">
        <v>6694</v>
      </c>
      <c r="R2276" t="s">
        <v>6694</v>
      </c>
      <c r="W2276" t="s">
        <v>6720</v>
      </c>
    </row>
    <row r="2277" spans="1:23" ht="15.6" x14ac:dyDescent="0.4">
      <c r="A2277" s="2" t="s">
        <v>4640</v>
      </c>
      <c r="B2277" s="5" t="s">
        <v>8724</v>
      </c>
      <c r="C2277" s="7" t="s">
        <v>12556</v>
      </c>
      <c r="D2277" s="8">
        <f t="shared" si="144"/>
        <v>0</v>
      </c>
      <c r="E2277" s="7" t="s">
        <v>12557</v>
      </c>
      <c r="F2277" s="7">
        <f t="shared" si="145"/>
        <v>0</v>
      </c>
      <c r="G2277" s="7" t="s">
        <v>12558</v>
      </c>
      <c r="H2277" s="7">
        <f t="shared" si="146"/>
        <v>0</v>
      </c>
      <c r="I2277" s="7" t="str" cm="1">
        <f t="array" ref="I2277">IFERROR(_xlfn.IFS(M2277="נח",1,M2277="נע ונח",1,M2277="שני שווא נח",2,M2277="שני שוואים בסוף מילה",2,M2277="שני שוואים ברצף",1),"0")</f>
        <v>0</v>
      </c>
      <c r="J2277" s="9">
        <f t="shared" si="147"/>
        <v>3</v>
      </c>
      <c r="K2277" t="s">
        <v>6698</v>
      </c>
      <c r="L2277" t="s">
        <v>6695</v>
      </c>
      <c r="P2277" t="s">
        <v>6694</v>
      </c>
      <c r="V2277" t="s">
        <v>6694</v>
      </c>
      <c r="W2277" t="s">
        <v>6720</v>
      </c>
    </row>
    <row r="2278" spans="1:23" ht="15.6" x14ac:dyDescent="0.4">
      <c r="A2278" s="2" t="s">
        <v>1144</v>
      </c>
      <c r="B2278" s="5" t="s">
        <v>8725</v>
      </c>
      <c r="C2278" s="7" t="s">
        <v>12556</v>
      </c>
      <c r="D2278" s="8">
        <f t="shared" si="144"/>
        <v>0</v>
      </c>
      <c r="E2278" s="7" t="s">
        <v>12557</v>
      </c>
      <c r="F2278" s="7">
        <f t="shared" si="145"/>
        <v>1</v>
      </c>
      <c r="G2278" s="7" t="s">
        <v>12558</v>
      </c>
      <c r="H2278" s="7">
        <f t="shared" si="146"/>
        <v>0</v>
      </c>
      <c r="I2278" s="7" cm="1">
        <f t="array" ref="I2278">IFERROR(_xlfn.IFS(M2278="נח",1,M2278="נע ונח",1,M2278="שני שווא נח",2,M2278="שני שוואים בסוף מילה",2,M2278="שני שוואים ברצף",1),"0")</f>
        <v>1</v>
      </c>
      <c r="J2278" s="9">
        <f t="shared" si="147"/>
        <v>3</v>
      </c>
      <c r="K2278" t="s">
        <v>6697</v>
      </c>
      <c r="L2278" t="s">
        <v>6694</v>
      </c>
      <c r="M2278" t="s">
        <v>6705</v>
      </c>
      <c r="P2278" t="s">
        <v>6694</v>
      </c>
      <c r="Q2278" t="s">
        <v>6694</v>
      </c>
      <c r="W2278" t="s">
        <v>6720</v>
      </c>
    </row>
    <row r="2279" spans="1:23" ht="15.6" x14ac:dyDescent="0.4">
      <c r="A2279" s="2" t="s">
        <v>2737</v>
      </c>
      <c r="B2279" s="5" t="s">
        <v>8726</v>
      </c>
      <c r="C2279" s="7" t="s">
        <v>12556</v>
      </c>
      <c r="D2279" s="8">
        <f t="shared" si="144"/>
        <v>1</v>
      </c>
      <c r="E2279" s="7" t="s">
        <v>12557</v>
      </c>
      <c r="F2279" s="7">
        <f t="shared" si="145"/>
        <v>1</v>
      </c>
      <c r="G2279" s="7" t="s">
        <v>12558</v>
      </c>
      <c r="H2279" s="7">
        <f t="shared" si="146"/>
        <v>1</v>
      </c>
      <c r="I2279" s="7" cm="1">
        <f t="array" ref="I2279">IFERROR(_xlfn.IFS(M2279="נח",1,M2279="נע ונח",1,M2279="שני שווא נח",2,M2279="שני שוואים בסוף מילה",2,M2279="שני שוואים ברצף",1),"0")</f>
        <v>1</v>
      </c>
      <c r="J2279" s="9">
        <f t="shared" si="147"/>
        <v>5</v>
      </c>
      <c r="K2279" t="s">
        <v>6697</v>
      </c>
      <c r="L2279" t="s">
        <v>6694</v>
      </c>
      <c r="M2279" t="s">
        <v>6705</v>
      </c>
      <c r="O2279" t="s">
        <v>6694</v>
      </c>
      <c r="P2279" t="s">
        <v>6694</v>
      </c>
      <c r="Q2279" t="s">
        <v>6694</v>
      </c>
      <c r="U2279" t="s">
        <v>6694</v>
      </c>
      <c r="W2279" t="s">
        <v>6720</v>
      </c>
    </row>
    <row r="2280" spans="1:23" ht="15.6" x14ac:dyDescent="0.4">
      <c r="A2280" s="2" t="s">
        <v>5749</v>
      </c>
      <c r="B2280" s="5" t="s">
        <v>8672</v>
      </c>
      <c r="C2280" s="7" t="s">
        <v>12556</v>
      </c>
      <c r="D2280" s="8">
        <f t="shared" si="144"/>
        <v>0</v>
      </c>
      <c r="E2280" s="7" t="s">
        <v>12557</v>
      </c>
      <c r="F2280" s="7">
        <f t="shared" si="145"/>
        <v>2</v>
      </c>
      <c r="G2280" s="7" t="s">
        <v>12558</v>
      </c>
      <c r="H2280" s="7">
        <f t="shared" si="146"/>
        <v>1</v>
      </c>
      <c r="I2280" s="7" cm="1">
        <f t="array" ref="I2280">IFERROR(_xlfn.IFS(M2280="נח",1,M2280="נע ונח",1,M2280="שני שווא נח",2,M2280="שני שוואים בסוף מילה",2,M2280="שני שוואים ברצף",1),"0")</f>
        <v>2</v>
      </c>
      <c r="J2280" s="9">
        <f t="shared" si="147"/>
        <v>3</v>
      </c>
      <c r="K2280" t="s">
        <v>6697</v>
      </c>
      <c r="L2280" t="s">
        <v>6694</v>
      </c>
      <c r="M2280" t="s">
        <v>6704</v>
      </c>
      <c r="P2280" t="s">
        <v>6694</v>
      </c>
      <c r="U2280" t="s">
        <v>6694</v>
      </c>
      <c r="W2280" t="s">
        <v>6720</v>
      </c>
    </row>
    <row r="2281" spans="1:23" ht="15.6" x14ac:dyDescent="0.4">
      <c r="A2281" s="2" t="s">
        <v>148</v>
      </c>
      <c r="B2281" s="5" t="s">
        <v>8674</v>
      </c>
      <c r="C2281" s="7" t="s">
        <v>12556</v>
      </c>
      <c r="D2281" s="8">
        <f t="shared" si="144"/>
        <v>0</v>
      </c>
      <c r="E2281" s="7" t="s">
        <v>12557</v>
      </c>
      <c r="F2281" s="7">
        <f t="shared" si="145"/>
        <v>0</v>
      </c>
      <c r="G2281" s="7" t="s">
        <v>12558</v>
      </c>
      <c r="H2281" s="7">
        <f t="shared" si="146"/>
        <v>0</v>
      </c>
      <c r="I2281" s="7" cm="1">
        <f t="array" ref="I2281">IFERROR(_xlfn.IFS(M2281="נח",1,M2281="נע ונח",1,M2281="שני שווא נח",2,M2281="שני שוואים בסוף מילה",2,M2281="שני שוואים ברצף",1),"0")</f>
        <v>1</v>
      </c>
      <c r="J2281" s="9">
        <f t="shared" si="147"/>
        <v>2</v>
      </c>
      <c r="K2281" t="s">
        <v>6697</v>
      </c>
      <c r="L2281" t="s">
        <v>6694</v>
      </c>
      <c r="M2281" t="s">
        <v>6705</v>
      </c>
      <c r="P2281" t="s">
        <v>6694</v>
      </c>
      <c r="S2281" t="s">
        <v>6694</v>
      </c>
      <c r="W2281" t="s">
        <v>6720</v>
      </c>
    </row>
    <row r="2282" spans="1:23" ht="15.6" x14ac:dyDescent="0.4">
      <c r="A2282" s="2" t="s">
        <v>6182</v>
      </c>
      <c r="B2282" s="5" t="s">
        <v>8727</v>
      </c>
      <c r="C2282" s="7" t="s">
        <v>12556</v>
      </c>
      <c r="D2282" s="8">
        <f t="shared" si="144"/>
        <v>0</v>
      </c>
      <c r="E2282" s="7" t="s">
        <v>12557</v>
      </c>
      <c r="F2282" s="7">
        <f t="shared" si="145"/>
        <v>1</v>
      </c>
      <c r="G2282" s="7" t="s">
        <v>12558</v>
      </c>
      <c r="H2282" s="7">
        <f t="shared" si="146"/>
        <v>0</v>
      </c>
      <c r="I2282" s="7" cm="1">
        <f t="array" ref="I2282">IFERROR(_xlfn.IFS(M2282="נח",1,M2282="נע ונח",1,M2282="שני שווא נח",2,M2282="שני שוואים בסוף מילה",2,M2282="שני שוואים ברצף",1),"0")</f>
        <v>1</v>
      </c>
      <c r="J2282" s="9">
        <f t="shared" si="147"/>
        <v>3</v>
      </c>
      <c r="K2282" t="s">
        <v>6698</v>
      </c>
      <c r="L2282" t="s">
        <v>6694</v>
      </c>
      <c r="M2282" t="s">
        <v>6705</v>
      </c>
      <c r="P2282" t="s">
        <v>6694</v>
      </c>
      <c r="Q2282" t="s">
        <v>6694</v>
      </c>
      <c r="T2282" t="s">
        <v>6694</v>
      </c>
      <c r="W2282" t="s">
        <v>6720</v>
      </c>
    </row>
    <row r="2283" spans="1:23" ht="15.6" x14ac:dyDescent="0.4">
      <c r="A2283" s="2" t="s">
        <v>6268</v>
      </c>
      <c r="B2283" s="5" t="s">
        <v>8728</v>
      </c>
      <c r="C2283" s="7" t="s">
        <v>12556</v>
      </c>
      <c r="D2283" s="8">
        <f t="shared" si="144"/>
        <v>0</v>
      </c>
      <c r="E2283" s="7" t="s">
        <v>12557</v>
      </c>
      <c r="F2283" s="7">
        <f t="shared" si="145"/>
        <v>1</v>
      </c>
      <c r="G2283" s="7" t="s">
        <v>12558</v>
      </c>
      <c r="H2283" s="7">
        <f t="shared" si="146"/>
        <v>0</v>
      </c>
      <c r="I2283" s="7" cm="1">
        <f t="array" ref="I2283">IFERROR(_xlfn.IFS(M2283="נח",1,M2283="נע ונח",1,M2283="שני שווא נח",2,M2283="שני שוואים בסוף מילה",2,M2283="שני שוואים ברצף",1),"0")</f>
        <v>2</v>
      </c>
      <c r="J2283" s="9">
        <f t="shared" si="147"/>
        <v>3</v>
      </c>
      <c r="K2283" t="s">
        <v>6698</v>
      </c>
      <c r="L2283" t="s">
        <v>6694</v>
      </c>
      <c r="M2283" t="s">
        <v>6704</v>
      </c>
      <c r="P2283" t="s">
        <v>6694</v>
      </c>
      <c r="Q2283" t="s">
        <v>6694</v>
      </c>
      <c r="W2283" t="s">
        <v>6720</v>
      </c>
    </row>
    <row r="2284" spans="1:23" ht="15.6" x14ac:dyDescent="0.4">
      <c r="A2284" s="2" t="s">
        <v>4739</v>
      </c>
      <c r="B2284" s="5" t="s">
        <v>8729</v>
      </c>
      <c r="C2284" s="7" t="s">
        <v>12556</v>
      </c>
      <c r="D2284" s="8">
        <f t="shared" si="144"/>
        <v>1</v>
      </c>
      <c r="E2284" s="7" t="s">
        <v>12557</v>
      </c>
      <c r="F2284" s="7">
        <f t="shared" si="145"/>
        <v>1</v>
      </c>
      <c r="G2284" s="7" t="s">
        <v>12558</v>
      </c>
      <c r="H2284" s="7">
        <f t="shared" si="146"/>
        <v>0</v>
      </c>
      <c r="I2284" s="7" cm="1">
        <f t="array" ref="I2284">IFERROR(_xlfn.IFS(M2284="נח",1,M2284="נע ונח",1,M2284="שני שווא נח",2,M2284="שני שוואים בסוף מילה",2,M2284="שני שוואים ברצף",1),"0")</f>
        <v>1</v>
      </c>
      <c r="J2284" s="9">
        <f t="shared" si="147"/>
        <v>3</v>
      </c>
      <c r="K2284" t="s">
        <v>6698</v>
      </c>
      <c r="L2284" t="s">
        <v>6694</v>
      </c>
      <c r="M2284" t="s">
        <v>6705</v>
      </c>
      <c r="P2284" t="s">
        <v>6694</v>
      </c>
      <c r="Q2284" t="s">
        <v>6694</v>
      </c>
      <c r="W2284" t="s">
        <v>6720</v>
      </c>
    </row>
    <row r="2285" spans="1:23" ht="15.6" x14ac:dyDescent="0.4">
      <c r="A2285" s="2" t="s">
        <v>1053</v>
      </c>
      <c r="B2285" s="5" t="s">
        <v>8730</v>
      </c>
      <c r="C2285" s="7" t="s">
        <v>12556</v>
      </c>
      <c r="D2285" s="8">
        <f t="shared" si="144"/>
        <v>0</v>
      </c>
      <c r="E2285" s="7" t="s">
        <v>12557</v>
      </c>
      <c r="F2285" s="7">
        <f t="shared" si="145"/>
        <v>2</v>
      </c>
      <c r="G2285" s="7" t="s">
        <v>12558</v>
      </c>
      <c r="H2285" s="7">
        <f t="shared" si="146"/>
        <v>1</v>
      </c>
      <c r="I2285" s="7" cm="1">
        <f t="array" ref="I2285">IFERROR(_xlfn.IFS(M2285="נח",1,M2285="נע ונח",1,M2285="שני שווא נח",2,M2285="שני שוואים בסוף מילה",2,M2285="שני שוואים ברצף",1),"0")</f>
        <v>1</v>
      </c>
      <c r="J2285" s="9">
        <f t="shared" si="147"/>
        <v>3</v>
      </c>
      <c r="K2285" t="s">
        <v>6697</v>
      </c>
      <c r="L2285" t="s">
        <v>6694</v>
      </c>
      <c r="M2285" t="s">
        <v>6705</v>
      </c>
      <c r="P2285" t="s">
        <v>6694</v>
      </c>
      <c r="U2285" t="s">
        <v>6694</v>
      </c>
      <c r="W2285" t="s">
        <v>6720</v>
      </c>
    </row>
    <row r="2286" spans="1:23" ht="15.6" x14ac:dyDescent="0.4">
      <c r="A2286" s="2" t="s">
        <v>5774</v>
      </c>
      <c r="B2286" s="5" t="s">
        <v>8731</v>
      </c>
      <c r="C2286" s="7" t="s">
        <v>12556</v>
      </c>
      <c r="D2286" s="8">
        <f t="shared" si="144"/>
        <v>0</v>
      </c>
      <c r="E2286" s="7" t="s">
        <v>12557</v>
      </c>
      <c r="F2286" s="7">
        <f t="shared" si="145"/>
        <v>0</v>
      </c>
      <c r="G2286" s="7" t="s">
        <v>12558</v>
      </c>
      <c r="H2286" s="7">
        <f t="shared" si="146"/>
        <v>0</v>
      </c>
      <c r="I2286" s="7" cm="1">
        <f t="array" ref="I2286">IFERROR(_xlfn.IFS(M2286="נח",1,M2286="נע ונח",1,M2286="שני שווא נח",2,M2286="שני שוואים בסוף מילה",2,M2286="שני שוואים ברצף",1),"0")</f>
        <v>1</v>
      </c>
      <c r="J2286" s="9">
        <f t="shared" si="147"/>
        <v>3</v>
      </c>
      <c r="K2286" t="s">
        <v>6698</v>
      </c>
      <c r="L2286" t="s">
        <v>6694</v>
      </c>
      <c r="M2286" t="s">
        <v>6705</v>
      </c>
      <c r="P2286" t="s">
        <v>6694</v>
      </c>
      <c r="Q2286" t="s">
        <v>6694</v>
      </c>
      <c r="W2286" t="s">
        <v>6720</v>
      </c>
    </row>
    <row r="2287" spans="1:23" ht="15.6" x14ac:dyDescent="0.4">
      <c r="A2287" s="2" t="s">
        <v>1068</v>
      </c>
      <c r="B2287" s="5" t="s">
        <v>8732</v>
      </c>
      <c r="C2287" s="7" t="s">
        <v>12556</v>
      </c>
      <c r="D2287" s="8">
        <f t="shared" si="144"/>
        <v>0</v>
      </c>
      <c r="E2287" s="7" t="s">
        <v>12557</v>
      </c>
      <c r="F2287" s="7">
        <f t="shared" si="145"/>
        <v>2</v>
      </c>
      <c r="G2287" s="7" t="s">
        <v>12558</v>
      </c>
      <c r="H2287" s="7">
        <f t="shared" si="146"/>
        <v>1</v>
      </c>
      <c r="I2287" s="7" cm="1">
        <f t="array" ref="I2287">IFERROR(_xlfn.IFS(M2287="נח",1,M2287="נע ונח",1,M2287="שני שווא נח",2,M2287="שני שוואים בסוף מילה",2,M2287="שני שוואים ברצף",1),"0")</f>
        <v>1</v>
      </c>
      <c r="J2287" s="9">
        <f t="shared" si="147"/>
        <v>3</v>
      </c>
      <c r="K2287" t="s">
        <v>6697</v>
      </c>
      <c r="L2287" t="s">
        <v>6694</v>
      </c>
      <c r="M2287" t="s">
        <v>6705</v>
      </c>
      <c r="P2287" t="s">
        <v>6694</v>
      </c>
      <c r="U2287" t="s">
        <v>6694</v>
      </c>
      <c r="W2287" t="s">
        <v>6720</v>
      </c>
    </row>
    <row r="2288" spans="1:23" ht="15.6" x14ac:dyDescent="0.4">
      <c r="A2288" s="2" t="s">
        <v>1934</v>
      </c>
      <c r="B2288" s="5" t="s">
        <v>8733</v>
      </c>
      <c r="C2288" s="7" t="s">
        <v>12556</v>
      </c>
      <c r="D2288" s="8">
        <f t="shared" si="144"/>
        <v>1</v>
      </c>
      <c r="E2288" s="7" t="s">
        <v>12557</v>
      </c>
      <c r="F2288" s="7">
        <f t="shared" si="145"/>
        <v>1</v>
      </c>
      <c r="G2288" s="7" t="s">
        <v>12558</v>
      </c>
      <c r="H2288" s="7">
        <f t="shared" si="146"/>
        <v>1</v>
      </c>
      <c r="I2288" s="7" cm="1">
        <f t="array" ref="I2288">IFERROR(_xlfn.IFS(M2288="נח",1,M2288="נע ונח",1,M2288="שני שווא נח",2,M2288="שני שוואים בסוף מילה",2,M2288="שני שוואים ברצף",1),"0")</f>
        <v>2</v>
      </c>
      <c r="J2288" s="9">
        <f t="shared" si="147"/>
        <v>3</v>
      </c>
      <c r="K2288" t="s">
        <v>6697</v>
      </c>
      <c r="L2288" t="s">
        <v>6694</v>
      </c>
      <c r="M2288" t="s">
        <v>6704</v>
      </c>
      <c r="P2288" t="s">
        <v>6694</v>
      </c>
      <c r="U2288" t="s">
        <v>6694</v>
      </c>
      <c r="W2288" t="s">
        <v>6720</v>
      </c>
    </row>
    <row r="2289" spans="1:23" ht="15.6" x14ac:dyDescent="0.4">
      <c r="A2289" s="2" t="s">
        <v>1957</v>
      </c>
      <c r="B2289" s="5" t="s">
        <v>8734</v>
      </c>
      <c r="C2289" s="7" t="s">
        <v>12556</v>
      </c>
      <c r="D2289" s="8">
        <f t="shared" si="144"/>
        <v>0</v>
      </c>
      <c r="E2289" s="7" t="s">
        <v>12557</v>
      </c>
      <c r="F2289" s="7">
        <f t="shared" si="145"/>
        <v>0</v>
      </c>
      <c r="G2289" s="7" t="s">
        <v>12558</v>
      </c>
      <c r="H2289" s="7">
        <f t="shared" si="146"/>
        <v>0</v>
      </c>
      <c r="I2289" s="7" cm="1">
        <f t="array" ref="I2289">IFERROR(_xlfn.IFS(M2289="נח",1,M2289="נע ונח",1,M2289="שני שווא נח",2,M2289="שני שוואים בסוף מילה",2,M2289="שני שוואים ברצף",1),"0")</f>
        <v>1</v>
      </c>
      <c r="J2289" s="9">
        <f t="shared" si="147"/>
        <v>3</v>
      </c>
      <c r="K2289" t="s">
        <v>6698</v>
      </c>
      <c r="L2289" t="s">
        <v>6694</v>
      </c>
      <c r="M2289" t="s">
        <v>6705</v>
      </c>
      <c r="P2289" t="s">
        <v>6694</v>
      </c>
      <c r="Q2289" t="s">
        <v>6694</v>
      </c>
      <c r="S2289" t="s">
        <v>6694</v>
      </c>
      <c r="W2289" t="s">
        <v>6720</v>
      </c>
    </row>
    <row r="2290" spans="1:23" ht="15.6" x14ac:dyDescent="0.4">
      <c r="A2290" s="2" t="s">
        <v>1134</v>
      </c>
      <c r="B2290" s="5" t="s">
        <v>8735</v>
      </c>
      <c r="C2290" s="7" t="s">
        <v>12556</v>
      </c>
      <c r="D2290" s="8">
        <f t="shared" si="144"/>
        <v>0</v>
      </c>
      <c r="E2290" s="7" t="s">
        <v>12557</v>
      </c>
      <c r="F2290" s="7">
        <f t="shared" si="145"/>
        <v>1</v>
      </c>
      <c r="G2290" s="7" t="s">
        <v>12558</v>
      </c>
      <c r="H2290" s="7">
        <f t="shared" si="146"/>
        <v>0</v>
      </c>
      <c r="I2290" s="7" cm="1">
        <f t="array" ref="I2290">IFERROR(_xlfn.IFS(M2290="נח",1,M2290="נע ונח",1,M2290="שני שווא נח",2,M2290="שני שוואים בסוף מילה",2,M2290="שני שוואים ברצף",1),"0")</f>
        <v>1</v>
      </c>
      <c r="J2290" s="9">
        <f t="shared" si="147"/>
        <v>3</v>
      </c>
      <c r="K2290" t="s">
        <v>6698</v>
      </c>
      <c r="L2290" t="s">
        <v>6694</v>
      </c>
      <c r="M2290" t="s">
        <v>6705</v>
      </c>
      <c r="P2290" t="s">
        <v>6694</v>
      </c>
      <c r="Q2290" t="s">
        <v>6694</v>
      </c>
      <c r="W2290" t="s">
        <v>6720</v>
      </c>
    </row>
    <row r="2291" spans="1:23" ht="15.6" x14ac:dyDescent="0.4">
      <c r="A2291" s="2" t="s">
        <v>6150</v>
      </c>
      <c r="B2291" s="5" t="s">
        <v>8736</v>
      </c>
      <c r="C2291" s="7" t="s">
        <v>12556</v>
      </c>
      <c r="D2291" s="8">
        <f t="shared" si="144"/>
        <v>0</v>
      </c>
      <c r="E2291" s="7" t="s">
        <v>12557</v>
      </c>
      <c r="F2291" s="7">
        <f t="shared" si="145"/>
        <v>2</v>
      </c>
      <c r="G2291" s="7" t="s">
        <v>12558</v>
      </c>
      <c r="H2291" s="7">
        <f t="shared" si="146"/>
        <v>1</v>
      </c>
      <c r="I2291" s="7" cm="1">
        <f t="array" ref="I2291">IFERROR(_xlfn.IFS(M2291="נח",1,M2291="נע ונח",1,M2291="שני שווא נח",2,M2291="שני שוואים בסוף מילה",2,M2291="שני שוואים ברצף",1),"0")</f>
        <v>2</v>
      </c>
      <c r="J2291" s="9">
        <f t="shared" si="147"/>
        <v>4</v>
      </c>
      <c r="K2291" t="s">
        <v>6697</v>
      </c>
      <c r="L2291" t="s">
        <v>6694</v>
      </c>
      <c r="M2291" t="s">
        <v>6704</v>
      </c>
      <c r="P2291" t="s">
        <v>6694</v>
      </c>
      <c r="Q2291" t="s">
        <v>6694</v>
      </c>
      <c r="U2291" t="s">
        <v>6694</v>
      </c>
      <c r="W2291" t="s">
        <v>6720</v>
      </c>
    </row>
    <row r="2292" spans="1:23" ht="15.6" x14ac:dyDescent="0.4">
      <c r="A2292" s="2" t="s">
        <v>5764</v>
      </c>
      <c r="B2292" s="5" t="s">
        <v>8737</v>
      </c>
      <c r="C2292" s="7" t="s">
        <v>12556</v>
      </c>
      <c r="D2292" s="8">
        <f t="shared" si="144"/>
        <v>0</v>
      </c>
      <c r="E2292" s="7" t="s">
        <v>12557</v>
      </c>
      <c r="F2292" s="7">
        <f t="shared" si="145"/>
        <v>0</v>
      </c>
      <c r="G2292" s="7" t="s">
        <v>12558</v>
      </c>
      <c r="H2292" s="7">
        <f t="shared" si="146"/>
        <v>0</v>
      </c>
      <c r="I2292" s="7" cm="1">
        <f t="array" ref="I2292">IFERROR(_xlfn.IFS(M2292="נח",1,M2292="נע ונח",1,M2292="שני שווא נח",2,M2292="שני שוואים בסוף מילה",2,M2292="שני שוואים ברצף",1),"0")</f>
        <v>1</v>
      </c>
      <c r="J2292" s="9">
        <f t="shared" si="147"/>
        <v>2</v>
      </c>
      <c r="K2292" t="s">
        <v>6698</v>
      </c>
      <c r="L2292" t="s">
        <v>6694</v>
      </c>
      <c r="M2292" t="s">
        <v>6705</v>
      </c>
      <c r="P2292" t="s">
        <v>6694</v>
      </c>
      <c r="W2292" t="s">
        <v>6720</v>
      </c>
    </row>
    <row r="2293" spans="1:23" ht="15.6" x14ac:dyDescent="0.4">
      <c r="A2293" s="2" t="s">
        <v>1073</v>
      </c>
      <c r="B2293" s="5" t="s">
        <v>8738</v>
      </c>
      <c r="C2293" s="7" t="s">
        <v>12556</v>
      </c>
      <c r="D2293" s="8">
        <f t="shared" si="144"/>
        <v>0</v>
      </c>
      <c r="E2293" s="7" t="s">
        <v>12557</v>
      </c>
      <c r="F2293" s="7">
        <f t="shared" si="145"/>
        <v>1</v>
      </c>
      <c r="G2293" s="7" t="s">
        <v>12558</v>
      </c>
      <c r="H2293" s="7">
        <f t="shared" si="146"/>
        <v>1</v>
      </c>
      <c r="I2293" s="7" cm="1">
        <f t="array" ref="I2293">IFERROR(_xlfn.IFS(M2293="נח",1,M2293="נע ונח",1,M2293="שני שווא נח",2,M2293="שני שוואים בסוף מילה",2,M2293="שני שוואים ברצף",1),"0")</f>
        <v>2</v>
      </c>
      <c r="J2293" s="9">
        <f t="shared" si="147"/>
        <v>3</v>
      </c>
      <c r="K2293" t="s">
        <v>6697</v>
      </c>
      <c r="L2293" t="s">
        <v>6694</v>
      </c>
      <c r="M2293" t="s">
        <v>6704</v>
      </c>
      <c r="P2293" t="s">
        <v>6694</v>
      </c>
      <c r="U2293" t="s">
        <v>6694</v>
      </c>
      <c r="W2293" t="s">
        <v>6720</v>
      </c>
    </row>
    <row r="2294" spans="1:23" ht="15.6" x14ac:dyDescent="0.4">
      <c r="A2294" s="2" t="s">
        <v>1698</v>
      </c>
      <c r="B2294" s="5" t="s">
        <v>8739</v>
      </c>
      <c r="C2294" s="7" t="s">
        <v>12556</v>
      </c>
      <c r="D2294" s="8">
        <f t="shared" si="144"/>
        <v>1</v>
      </c>
      <c r="E2294" s="7" t="s">
        <v>12557</v>
      </c>
      <c r="F2294" s="7">
        <f t="shared" si="145"/>
        <v>1</v>
      </c>
      <c r="G2294" s="7" t="s">
        <v>12558</v>
      </c>
      <c r="H2294" s="7">
        <f t="shared" si="146"/>
        <v>0</v>
      </c>
      <c r="I2294" s="7" cm="1">
        <f t="array" ref="I2294">IFERROR(_xlfn.IFS(M2294="נח",1,M2294="נע ונח",1,M2294="שני שווא נח",2,M2294="שני שוואים בסוף מילה",2,M2294="שני שוואים ברצף",1),"0")</f>
        <v>1</v>
      </c>
      <c r="J2294" s="9">
        <f t="shared" si="147"/>
        <v>3</v>
      </c>
      <c r="K2294" t="s">
        <v>6698</v>
      </c>
      <c r="L2294" t="s">
        <v>6694</v>
      </c>
      <c r="M2294" t="s">
        <v>6705</v>
      </c>
      <c r="P2294" t="s">
        <v>6694</v>
      </c>
      <c r="Q2294" t="s">
        <v>6694</v>
      </c>
      <c r="W2294" t="s">
        <v>6720</v>
      </c>
    </row>
    <row r="2295" spans="1:23" ht="15.6" x14ac:dyDescent="0.4">
      <c r="A2295" s="2" t="s">
        <v>1071</v>
      </c>
      <c r="B2295" s="5" t="s">
        <v>8740</v>
      </c>
      <c r="C2295" s="7" t="s">
        <v>12556</v>
      </c>
      <c r="D2295" s="8">
        <f t="shared" si="144"/>
        <v>1</v>
      </c>
      <c r="E2295" s="7" t="s">
        <v>12557</v>
      </c>
      <c r="F2295" s="7">
        <f t="shared" si="145"/>
        <v>1</v>
      </c>
      <c r="G2295" s="7" t="s">
        <v>12558</v>
      </c>
      <c r="H2295" s="7">
        <f t="shared" si="146"/>
        <v>0</v>
      </c>
      <c r="I2295" s="7" cm="1">
        <f t="array" ref="I2295">IFERROR(_xlfn.IFS(M2295="נח",1,M2295="נע ונח",1,M2295="שני שווא נח",2,M2295="שני שוואים בסוף מילה",2,M2295="שני שוואים ברצף",1),"0")</f>
        <v>1</v>
      </c>
      <c r="J2295" s="9">
        <f t="shared" si="147"/>
        <v>3</v>
      </c>
      <c r="K2295" t="s">
        <v>6698</v>
      </c>
      <c r="L2295" t="s">
        <v>6694</v>
      </c>
      <c r="M2295" t="s">
        <v>6705</v>
      </c>
      <c r="P2295" t="s">
        <v>6694</v>
      </c>
      <c r="W2295" t="s">
        <v>6720</v>
      </c>
    </row>
    <row r="2296" spans="1:23" ht="15.6" x14ac:dyDescent="0.4">
      <c r="A2296" s="2" t="s">
        <v>3957</v>
      </c>
      <c r="B2296" s="5" t="s">
        <v>8741</v>
      </c>
      <c r="C2296" s="7" t="s">
        <v>12556</v>
      </c>
      <c r="D2296" s="8">
        <f t="shared" si="144"/>
        <v>0</v>
      </c>
      <c r="E2296" s="7" t="s">
        <v>12557</v>
      </c>
      <c r="F2296" s="7">
        <f t="shared" si="145"/>
        <v>1</v>
      </c>
      <c r="G2296" s="7" t="s">
        <v>12558</v>
      </c>
      <c r="H2296" s="7">
        <f t="shared" si="146"/>
        <v>0</v>
      </c>
      <c r="I2296" s="7" cm="1">
        <f t="array" ref="I2296">IFERROR(_xlfn.IFS(M2296="נח",1,M2296="נע ונח",1,M2296="שני שווא נח",2,M2296="שני שוואים בסוף מילה",2,M2296="שני שוואים ברצף",1),"0")</f>
        <v>1</v>
      </c>
      <c r="J2296" s="9">
        <f t="shared" si="147"/>
        <v>3</v>
      </c>
      <c r="K2296" t="s">
        <v>6698</v>
      </c>
      <c r="L2296" t="s">
        <v>6694</v>
      </c>
      <c r="M2296" t="s">
        <v>6705</v>
      </c>
      <c r="P2296" t="s">
        <v>6694</v>
      </c>
      <c r="S2296" t="s">
        <v>6694</v>
      </c>
      <c r="W2296" t="s">
        <v>6720</v>
      </c>
    </row>
    <row r="2297" spans="1:23" ht="15.6" x14ac:dyDescent="0.4">
      <c r="A2297" s="2" t="s">
        <v>1052</v>
      </c>
      <c r="B2297" s="5" t="s">
        <v>8742</v>
      </c>
      <c r="C2297" s="7" t="s">
        <v>12556</v>
      </c>
      <c r="D2297" s="8">
        <f t="shared" si="144"/>
        <v>0</v>
      </c>
      <c r="E2297" s="7" t="s">
        <v>12557</v>
      </c>
      <c r="F2297" s="7">
        <f t="shared" si="145"/>
        <v>1</v>
      </c>
      <c r="G2297" s="7" t="s">
        <v>12558</v>
      </c>
      <c r="H2297" s="7">
        <f t="shared" si="146"/>
        <v>0</v>
      </c>
      <c r="I2297" s="7" cm="1">
        <f t="array" ref="I2297">IFERROR(_xlfn.IFS(M2297="נח",1,M2297="נע ונח",1,M2297="שני שווא נח",2,M2297="שני שוואים בסוף מילה",2,M2297="שני שוואים ברצף",1),"0")</f>
        <v>1</v>
      </c>
      <c r="J2297" s="9">
        <f t="shared" si="147"/>
        <v>4</v>
      </c>
      <c r="K2297" t="s">
        <v>6698</v>
      </c>
      <c r="L2297" t="s">
        <v>6694</v>
      </c>
      <c r="M2297" t="s">
        <v>6705</v>
      </c>
      <c r="O2297" t="s">
        <v>6694</v>
      </c>
      <c r="P2297" t="s">
        <v>6694</v>
      </c>
      <c r="Q2297" t="s">
        <v>6694</v>
      </c>
      <c r="S2297" t="s">
        <v>6694</v>
      </c>
      <c r="W2297" t="s">
        <v>6720</v>
      </c>
    </row>
    <row r="2298" spans="1:23" ht="15.6" x14ac:dyDescent="0.4">
      <c r="A2298" s="2" t="s">
        <v>1046</v>
      </c>
      <c r="B2298" s="5" t="s">
        <v>8743</v>
      </c>
      <c r="C2298" s="7" t="s">
        <v>12556</v>
      </c>
      <c r="D2298" s="8">
        <f t="shared" si="144"/>
        <v>0</v>
      </c>
      <c r="E2298" s="7" t="s">
        <v>12557</v>
      </c>
      <c r="F2298" s="7">
        <f t="shared" si="145"/>
        <v>1</v>
      </c>
      <c r="G2298" s="7" t="s">
        <v>12558</v>
      </c>
      <c r="H2298" s="7">
        <f t="shared" si="146"/>
        <v>0</v>
      </c>
      <c r="I2298" s="7" cm="1">
        <f t="array" ref="I2298">IFERROR(_xlfn.IFS(M2298="נח",1,M2298="נע ונח",1,M2298="שני שווא נח",2,M2298="שני שוואים בסוף מילה",2,M2298="שני שוואים ברצף",1),"0")</f>
        <v>1</v>
      </c>
      <c r="J2298" s="9">
        <f t="shared" si="147"/>
        <v>3</v>
      </c>
      <c r="K2298" t="s">
        <v>6698</v>
      </c>
      <c r="L2298" t="s">
        <v>6694</v>
      </c>
      <c r="M2298" t="s">
        <v>6705</v>
      </c>
      <c r="P2298" t="s">
        <v>6694</v>
      </c>
      <c r="S2298" t="s">
        <v>6694</v>
      </c>
      <c r="W2298" t="s">
        <v>6720</v>
      </c>
    </row>
    <row r="2299" spans="1:23" ht="15.6" x14ac:dyDescent="0.4">
      <c r="A2299" s="2" t="s">
        <v>1961</v>
      </c>
      <c r="B2299" s="5" t="s">
        <v>8744</v>
      </c>
      <c r="C2299" s="7" t="s">
        <v>12556</v>
      </c>
      <c r="D2299" s="8">
        <f t="shared" si="144"/>
        <v>0</v>
      </c>
      <c r="E2299" s="7" t="s">
        <v>12557</v>
      </c>
      <c r="F2299" s="7">
        <f t="shared" si="145"/>
        <v>3</v>
      </c>
      <c r="G2299" s="7" t="s">
        <v>12558</v>
      </c>
      <c r="H2299" s="7">
        <f t="shared" si="146"/>
        <v>1</v>
      </c>
      <c r="I2299" s="7" t="str" cm="1">
        <f t="array" ref="I2299">IFERROR(_xlfn.IFS(M2299="נח",1,M2299="נע ונח",1,M2299="שני שווא נח",2,M2299="שני שוואים בסוף מילה",2,M2299="שני שוואים ברצף",1),"0")</f>
        <v>0</v>
      </c>
      <c r="J2299" s="9">
        <f t="shared" si="147"/>
        <v>4</v>
      </c>
      <c r="K2299" t="s">
        <v>6697</v>
      </c>
      <c r="L2299" t="s">
        <v>6695</v>
      </c>
      <c r="O2299" t="s">
        <v>6694</v>
      </c>
      <c r="P2299" t="s">
        <v>6694</v>
      </c>
      <c r="S2299" t="s">
        <v>6694</v>
      </c>
      <c r="U2299" t="s">
        <v>6694</v>
      </c>
      <c r="W2299" t="s">
        <v>6720</v>
      </c>
    </row>
    <row r="2300" spans="1:23" ht="15.6" x14ac:dyDescent="0.4">
      <c r="A2300" s="2" t="s">
        <v>1550</v>
      </c>
      <c r="B2300" s="5" t="s">
        <v>8745</v>
      </c>
      <c r="C2300" s="7" t="s">
        <v>12556</v>
      </c>
      <c r="D2300" s="8">
        <f t="shared" si="144"/>
        <v>0</v>
      </c>
      <c r="E2300" s="7" t="s">
        <v>12557</v>
      </c>
      <c r="F2300" s="7">
        <f t="shared" si="145"/>
        <v>2</v>
      </c>
      <c r="G2300" s="7" t="s">
        <v>12558</v>
      </c>
      <c r="H2300" s="7">
        <f t="shared" si="146"/>
        <v>1</v>
      </c>
      <c r="I2300" s="7" cm="1">
        <f t="array" ref="I2300">IFERROR(_xlfn.IFS(M2300="נח",1,M2300="נע ונח",1,M2300="שני שווא נח",2,M2300="שני שוואים בסוף מילה",2,M2300="שני שוואים ברצף",1),"0")</f>
        <v>1</v>
      </c>
      <c r="J2300" s="9">
        <f t="shared" si="147"/>
        <v>4</v>
      </c>
      <c r="K2300" t="s">
        <v>6697</v>
      </c>
      <c r="L2300" t="s">
        <v>6694</v>
      </c>
      <c r="M2300" t="s">
        <v>6705</v>
      </c>
      <c r="P2300" t="s">
        <v>6694</v>
      </c>
      <c r="S2300" t="s">
        <v>6694</v>
      </c>
      <c r="U2300" t="s">
        <v>6694</v>
      </c>
      <c r="W2300" t="s">
        <v>6720</v>
      </c>
    </row>
    <row r="2301" spans="1:23" ht="15.6" x14ac:dyDescent="0.4">
      <c r="A2301" s="2" t="s">
        <v>4353</v>
      </c>
      <c r="B2301" s="5" t="s">
        <v>8386</v>
      </c>
      <c r="C2301" s="7" t="s">
        <v>12556</v>
      </c>
      <c r="D2301" s="8">
        <f t="shared" si="144"/>
        <v>0</v>
      </c>
      <c r="E2301" s="7" t="s">
        <v>12557</v>
      </c>
      <c r="F2301" s="7">
        <f t="shared" si="145"/>
        <v>2</v>
      </c>
      <c r="G2301" s="7" t="s">
        <v>12558</v>
      </c>
      <c r="H2301" s="7">
        <f t="shared" si="146"/>
        <v>1</v>
      </c>
      <c r="I2301" s="7" cm="1">
        <f t="array" ref="I2301">IFERROR(_xlfn.IFS(M2301="נח",1,M2301="נע ונח",1,M2301="שני שווא נח",2,M2301="שני שוואים בסוף מילה",2,M2301="שני שוואים ברצף",1),"0")</f>
        <v>1</v>
      </c>
      <c r="J2301" s="9">
        <f t="shared" si="147"/>
        <v>3</v>
      </c>
      <c r="K2301" t="s">
        <v>6697</v>
      </c>
      <c r="L2301" t="s">
        <v>6694</v>
      </c>
      <c r="M2301" t="s">
        <v>6705</v>
      </c>
      <c r="P2301" t="s">
        <v>6694</v>
      </c>
      <c r="S2301" t="s">
        <v>6694</v>
      </c>
      <c r="U2301" t="s">
        <v>6694</v>
      </c>
      <c r="W2301" t="s">
        <v>6720</v>
      </c>
    </row>
    <row r="2302" spans="1:23" ht="15.6" x14ac:dyDescent="0.4">
      <c r="A2302" s="2" t="s">
        <v>4992</v>
      </c>
      <c r="B2302" s="5" t="s">
        <v>8746</v>
      </c>
      <c r="C2302" s="7" t="s">
        <v>12556</v>
      </c>
      <c r="D2302" s="8">
        <f t="shared" si="144"/>
        <v>1</v>
      </c>
      <c r="E2302" s="7" t="s">
        <v>12557</v>
      </c>
      <c r="F2302" s="7">
        <f t="shared" si="145"/>
        <v>2</v>
      </c>
      <c r="G2302" s="7" t="s">
        <v>12558</v>
      </c>
      <c r="H2302" s="7">
        <f t="shared" si="146"/>
        <v>0</v>
      </c>
      <c r="I2302" s="7" cm="1">
        <f t="array" ref="I2302">IFERROR(_xlfn.IFS(M2302="נח",1,M2302="נע ונח",1,M2302="שני שווא נח",2,M2302="שני שוואים בסוף מילה",2,M2302="שני שוואים ברצף",1),"0")</f>
        <v>1</v>
      </c>
      <c r="J2302" s="9">
        <f t="shared" si="147"/>
        <v>3</v>
      </c>
      <c r="K2302" t="s">
        <v>6698</v>
      </c>
      <c r="L2302" t="s">
        <v>6694</v>
      </c>
      <c r="M2302" t="s">
        <v>6705</v>
      </c>
      <c r="P2302" t="s">
        <v>6694</v>
      </c>
      <c r="S2302" t="s">
        <v>6694</v>
      </c>
      <c r="W2302" t="s">
        <v>6720</v>
      </c>
    </row>
    <row r="2303" spans="1:23" ht="15.6" x14ac:dyDescent="0.4">
      <c r="A2303" s="2" t="s">
        <v>4955</v>
      </c>
      <c r="B2303" s="5" t="s">
        <v>8747</v>
      </c>
      <c r="C2303" s="7" t="s">
        <v>12556</v>
      </c>
      <c r="D2303" s="8">
        <f t="shared" si="144"/>
        <v>0</v>
      </c>
      <c r="E2303" s="7" t="s">
        <v>12557</v>
      </c>
      <c r="F2303" s="7">
        <f t="shared" si="145"/>
        <v>3</v>
      </c>
      <c r="G2303" s="7" t="s">
        <v>12558</v>
      </c>
      <c r="H2303" s="7">
        <f t="shared" si="146"/>
        <v>1</v>
      </c>
      <c r="I2303" s="7" t="str" cm="1">
        <f t="array" ref="I2303">IFERROR(_xlfn.IFS(M2303="נח",1,M2303="נע ונח",1,M2303="שני שווא נח",2,M2303="שני שוואים בסוף מילה",2,M2303="שני שוואים ברצף",1),"0")</f>
        <v>0</v>
      </c>
      <c r="J2303" s="9">
        <f t="shared" si="147"/>
        <v>6</v>
      </c>
      <c r="K2303" t="s">
        <v>6697</v>
      </c>
      <c r="L2303" t="s">
        <v>6695</v>
      </c>
      <c r="O2303" t="s">
        <v>6694</v>
      </c>
      <c r="P2303" t="s">
        <v>6694</v>
      </c>
      <c r="S2303" t="s">
        <v>6694</v>
      </c>
      <c r="U2303" t="s">
        <v>6694</v>
      </c>
      <c r="W2303" t="s">
        <v>6720</v>
      </c>
    </row>
    <row r="2304" spans="1:23" ht="15.6" x14ac:dyDescent="0.4">
      <c r="A2304" s="2" t="s">
        <v>1108</v>
      </c>
      <c r="B2304" s="5" t="s">
        <v>8748</v>
      </c>
      <c r="C2304" s="7" t="s">
        <v>12556</v>
      </c>
      <c r="D2304" s="8">
        <f t="shared" si="144"/>
        <v>0</v>
      </c>
      <c r="E2304" s="7" t="s">
        <v>12557</v>
      </c>
      <c r="F2304" s="7">
        <f t="shared" si="145"/>
        <v>2</v>
      </c>
      <c r="G2304" s="7" t="s">
        <v>12558</v>
      </c>
      <c r="H2304" s="7">
        <f t="shared" si="146"/>
        <v>1</v>
      </c>
      <c r="I2304" s="7" cm="1">
        <f t="array" ref="I2304">IFERROR(_xlfn.IFS(M2304="נח",1,M2304="נע ונח",1,M2304="שני שווא נח",2,M2304="שני שוואים בסוף מילה",2,M2304="שני שוואים ברצף",1),"0")</f>
        <v>1</v>
      </c>
      <c r="J2304" s="9">
        <f t="shared" si="147"/>
        <v>4</v>
      </c>
      <c r="K2304" t="s">
        <v>6697</v>
      </c>
      <c r="L2304" t="s">
        <v>6694</v>
      </c>
      <c r="M2304" t="s">
        <v>6705</v>
      </c>
      <c r="P2304" t="s">
        <v>6694</v>
      </c>
      <c r="S2304" t="s">
        <v>6694</v>
      </c>
      <c r="U2304" t="s">
        <v>6694</v>
      </c>
      <c r="W2304" t="s">
        <v>6720</v>
      </c>
    </row>
    <row r="2305" spans="1:23" ht="15.6" x14ac:dyDescent="0.4">
      <c r="A2305" s="2" t="s">
        <v>1800</v>
      </c>
      <c r="B2305" s="5" t="s">
        <v>8749</v>
      </c>
      <c r="C2305" s="7" t="s">
        <v>12556</v>
      </c>
      <c r="D2305" s="8">
        <f t="shared" si="144"/>
        <v>0</v>
      </c>
      <c r="E2305" s="7" t="s">
        <v>12557</v>
      </c>
      <c r="F2305" s="7">
        <f t="shared" si="145"/>
        <v>2</v>
      </c>
      <c r="G2305" s="7" t="s">
        <v>12558</v>
      </c>
      <c r="H2305" s="7">
        <f t="shared" si="146"/>
        <v>1</v>
      </c>
      <c r="I2305" s="7" cm="1">
        <f t="array" ref="I2305">IFERROR(_xlfn.IFS(M2305="נח",1,M2305="נע ונח",1,M2305="שני שווא נח",2,M2305="שני שוואים בסוף מילה",2,M2305="שני שוואים ברצף",1),"0")</f>
        <v>1</v>
      </c>
      <c r="J2305" s="9">
        <f t="shared" si="147"/>
        <v>5</v>
      </c>
      <c r="K2305" t="s">
        <v>6697</v>
      </c>
      <c r="L2305" t="s">
        <v>6694</v>
      </c>
      <c r="M2305" t="s">
        <v>6702</v>
      </c>
      <c r="P2305" t="s">
        <v>6694</v>
      </c>
      <c r="Q2305" t="s">
        <v>6694</v>
      </c>
      <c r="S2305" t="s">
        <v>6694</v>
      </c>
      <c r="U2305" t="s">
        <v>6694</v>
      </c>
      <c r="W2305" t="s">
        <v>6720</v>
      </c>
    </row>
    <row r="2306" spans="1:23" ht="15.6" x14ac:dyDescent="0.4">
      <c r="A2306" s="2" t="s">
        <v>1902</v>
      </c>
      <c r="B2306" s="5" t="s">
        <v>8750</v>
      </c>
      <c r="C2306" s="7" t="s">
        <v>12556</v>
      </c>
      <c r="D2306" s="8">
        <f t="shared" si="144"/>
        <v>0</v>
      </c>
      <c r="E2306" s="7" t="s">
        <v>12557</v>
      </c>
      <c r="F2306" s="7">
        <f t="shared" si="145"/>
        <v>2</v>
      </c>
      <c r="G2306" s="7" t="s">
        <v>12558</v>
      </c>
      <c r="H2306" s="7">
        <f t="shared" si="146"/>
        <v>0</v>
      </c>
      <c r="I2306" s="7" t="str" cm="1">
        <f t="array" ref="I2306">IFERROR(_xlfn.IFS(M2306="נח",1,M2306="נע ונח",1,M2306="שני שווא נח",2,M2306="שני שוואים בסוף מילה",2,M2306="שני שוואים ברצף",1),"0")</f>
        <v>0</v>
      </c>
      <c r="J2306" s="9">
        <f t="shared" si="147"/>
        <v>3</v>
      </c>
      <c r="K2306" t="s">
        <v>6698</v>
      </c>
      <c r="L2306" t="s">
        <v>6695</v>
      </c>
      <c r="P2306" t="s">
        <v>6694</v>
      </c>
      <c r="S2306" t="s">
        <v>6694</v>
      </c>
      <c r="V2306" t="s">
        <v>6694</v>
      </c>
      <c r="W2306" t="s">
        <v>6720</v>
      </c>
    </row>
    <row r="2307" spans="1:23" ht="15.6" x14ac:dyDescent="0.4">
      <c r="A2307" s="2" t="s">
        <v>1529</v>
      </c>
      <c r="B2307" s="5" t="s">
        <v>8751</v>
      </c>
      <c r="C2307" s="7" t="s">
        <v>12556</v>
      </c>
      <c r="D2307" s="8">
        <f t="shared" ref="D2307:D2370" si="148">(LEN(B2307)-LEN(SUBSTITUTE(B2307,C2307,"")))</f>
        <v>0</v>
      </c>
      <c r="E2307" s="7" t="s">
        <v>12557</v>
      </c>
      <c r="F2307" s="7">
        <f t="shared" ref="F2307:F2370" si="149">(LEN(A2307)-LEN(SUBSTITUTE(A2307,E2307,"")))</f>
        <v>2</v>
      </c>
      <c r="G2307" s="7" t="s">
        <v>12558</v>
      </c>
      <c r="H2307" s="7">
        <f t="shared" ref="H2307:H2370" si="150">(LEN(A2307)-LEN(SUBSTITUTE(A2307,G2307,"")))/2</f>
        <v>1</v>
      </c>
      <c r="I2307" s="7" cm="1">
        <f t="array" ref="I2307">IFERROR(_xlfn.IFS(M2307="נח",1,M2307="נע ונח",1,M2307="שני שווא נח",2,M2307="שני שוואים בסוף מילה",2,M2307="שני שוואים ברצף",1),"0")</f>
        <v>1</v>
      </c>
      <c r="J2307" s="9">
        <f t="shared" ref="J2307:J2370" si="151">LEN(A2307)-(LEN(B2307))-D2307-F2307+H2307-I2307</f>
        <v>4</v>
      </c>
      <c r="K2307" t="s">
        <v>6697</v>
      </c>
      <c r="L2307" t="s">
        <v>6694</v>
      </c>
      <c r="M2307" t="s">
        <v>6705</v>
      </c>
      <c r="P2307" t="s">
        <v>6694</v>
      </c>
      <c r="S2307" t="s">
        <v>6694</v>
      </c>
      <c r="U2307" t="s">
        <v>6694</v>
      </c>
      <c r="W2307" t="s">
        <v>6720</v>
      </c>
    </row>
    <row r="2308" spans="1:23" ht="15.6" x14ac:dyDescent="0.4">
      <c r="A2308" s="2" t="s">
        <v>1123</v>
      </c>
      <c r="B2308" s="5" t="s">
        <v>8752</v>
      </c>
      <c r="C2308" s="7" t="s">
        <v>12556</v>
      </c>
      <c r="D2308" s="8">
        <f t="shared" si="148"/>
        <v>0</v>
      </c>
      <c r="E2308" s="7" t="s">
        <v>12557</v>
      </c>
      <c r="F2308" s="7">
        <f t="shared" si="149"/>
        <v>3</v>
      </c>
      <c r="G2308" s="7" t="s">
        <v>12558</v>
      </c>
      <c r="H2308" s="7">
        <f t="shared" si="150"/>
        <v>1</v>
      </c>
      <c r="I2308" s="7" cm="1">
        <f t="array" ref="I2308">IFERROR(_xlfn.IFS(M2308="נח",1,M2308="נע ונח",1,M2308="שני שווא נח",2,M2308="שני שוואים בסוף מילה",2,M2308="שני שוואים ברצף",1),"0")</f>
        <v>1</v>
      </c>
      <c r="J2308" s="9">
        <f t="shared" si="151"/>
        <v>4</v>
      </c>
      <c r="K2308" t="s">
        <v>6697</v>
      </c>
      <c r="L2308" t="s">
        <v>6694</v>
      </c>
      <c r="M2308" t="s">
        <v>6705</v>
      </c>
      <c r="N2308" t="s">
        <v>6706</v>
      </c>
      <c r="O2308" t="s">
        <v>6694</v>
      </c>
      <c r="P2308" t="s">
        <v>6694</v>
      </c>
      <c r="S2308" t="s">
        <v>6694</v>
      </c>
      <c r="U2308" t="s">
        <v>6694</v>
      </c>
      <c r="W2308" t="s">
        <v>6720</v>
      </c>
    </row>
    <row r="2309" spans="1:23" ht="15.6" x14ac:dyDescent="0.4">
      <c r="A2309" s="2" t="s">
        <v>1647</v>
      </c>
      <c r="B2309" s="5" t="s">
        <v>8753</v>
      </c>
      <c r="C2309" s="7" t="s">
        <v>12556</v>
      </c>
      <c r="D2309" s="8">
        <f t="shared" si="148"/>
        <v>0</v>
      </c>
      <c r="E2309" s="7" t="s">
        <v>12557</v>
      </c>
      <c r="F2309" s="7">
        <f t="shared" si="149"/>
        <v>1</v>
      </c>
      <c r="G2309" s="7" t="s">
        <v>12558</v>
      </c>
      <c r="H2309" s="7">
        <f t="shared" si="150"/>
        <v>0</v>
      </c>
      <c r="I2309" s="7" cm="1">
        <f t="array" ref="I2309">IFERROR(_xlfn.IFS(M2309="נח",1,M2309="נע ונח",1,M2309="שני שווא נח",2,M2309="שני שוואים בסוף מילה",2,M2309="שני שוואים ברצף",1),"0")</f>
        <v>1</v>
      </c>
      <c r="J2309" s="9">
        <f t="shared" si="151"/>
        <v>3</v>
      </c>
      <c r="K2309" t="s">
        <v>6697</v>
      </c>
      <c r="L2309" t="s">
        <v>6694</v>
      </c>
      <c r="M2309" t="s">
        <v>6705</v>
      </c>
      <c r="O2309" t="s">
        <v>6694</v>
      </c>
      <c r="P2309" t="s">
        <v>6694</v>
      </c>
      <c r="S2309" t="s">
        <v>6694</v>
      </c>
      <c r="W2309" t="s">
        <v>6720</v>
      </c>
    </row>
    <row r="2310" spans="1:23" ht="15.6" x14ac:dyDescent="0.4">
      <c r="A2310" s="2" t="s">
        <v>4985</v>
      </c>
      <c r="B2310" s="5" t="s">
        <v>8754</v>
      </c>
      <c r="C2310" s="7" t="s">
        <v>12556</v>
      </c>
      <c r="D2310" s="8">
        <f t="shared" si="148"/>
        <v>0</v>
      </c>
      <c r="E2310" s="7" t="s">
        <v>12557</v>
      </c>
      <c r="F2310" s="7">
        <f t="shared" si="149"/>
        <v>2</v>
      </c>
      <c r="G2310" s="7" t="s">
        <v>12558</v>
      </c>
      <c r="H2310" s="7">
        <f t="shared" si="150"/>
        <v>0</v>
      </c>
      <c r="I2310" s="7" cm="1">
        <f t="array" ref="I2310">IFERROR(_xlfn.IFS(M2310="נח",1,M2310="נע ונח",1,M2310="שני שווא נח",2,M2310="שני שוואים בסוף מילה",2,M2310="שני שוואים ברצף",1),"0")</f>
        <v>1</v>
      </c>
      <c r="J2310" s="9">
        <f t="shared" si="151"/>
        <v>3</v>
      </c>
      <c r="K2310" t="s">
        <v>6698</v>
      </c>
      <c r="L2310" t="s">
        <v>6694</v>
      </c>
      <c r="M2310" t="s">
        <v>6705</v>
      </c>
      <c r="P2310" t="s">
        <v>6694</v>
      </c>
      <c r="S2310" t="s">
        <v>6694</v>
      </c>
      <c r="V2310" t="s">
        <v>6694</v>
      </c>
      <c r="W2310" t="s">
        <v>6720</v>
      </c>
    </row>
    <row r="2311" spans="1:23" ht="15.6" x14ac:dyDescent="0.4">
      <c r="A2311" s="2" t="s">
        <v>3854</v>
      </c>
      <c r="B2311" s="5" t="s">
        <v>8755</v>
      </c>
      <c r="C2311" s="7" t="s">
        <v>12556</v>
      </c>
      <c r="D2311" s="8">
        <f t="shared" si="148"/>
        <v>0</v>
      </c>
      <c r="E2311" s="7" t="s">
        <v>12557</v>
      </c>
      <c r="F2311" s="7">
        <f t="shared" si="149"/>
        <v>3</v>
      </c>
      <c r="G2311" s="7" t="s">
        <v>12558</v>
      </c>
      <c r="H2311" s="7">
        <f t="shared" si="150"/>
        <v>1</v>
      </c>
      <c r="I2311" s="7" cm="1">
        <f t="array" ref="I2311">IFERROR(_xlfn.IFS(M2311="נח",1,M2311="נע ונח",1,M2311="שני שווא נח",2,M2311="שני שוואים בסוף מילה",2,M2311="שני שוואים ברצף",1),"0")</f>
        <v>1</v>
      </c>
      <c r="J2311" s="9">
        <f t="shared" si="151"/>
        <v>3</v>
      </c>
      <c r="K2311" t="s">
        <v>6697</v>
      </c>
      <c r="L2311" t="s">
        <v>6694</v>
      </c>
      <c r="M2311" t="s">
        <v>6705</v>
      </c>
      <c r="P2311" t="s">
        <v>6694</v>
      </c>
      <c r="S2311" t="s">
        <v>6694</v>
      </c>
      <c r="U2311" t="s">
        <v>6694</v>
      </c>
      <c r="W2311" t="s">
        <v>6720</v>
      </c>
    </row>
    <row r="2312" spans="1:23" ht="15.6" x14ac:dyDescent="0.4">
      <c r="A2312" s="2" t="s">
        <v>1982</v>
      </c>
      <c r="B2312" s="5" t="s">
        <v>8756</v>
      </c>
      <c r="C2312" s="7" t="s">
        <v>12556</v>
      </c>
      <c r="D2312" s="8">
        <f t="shared" si="148"/>
        <v>0</v>
      </c>
      <c r="E2312" s="7" t="s">
        <v>12557</v>
      </c>
      <c r="F2312" s="7">
        <f t="shared" si="149"/>
        <v>2</v>
      </c>
      <c r="G2312" s="7" t="s">
        <v>12558</v>
      </c>
      <c r="H2312" s="7">
        <f t="shared" si="150"/>
        <v>0</v>
      </c>
      <c r="I2312" s="7" cm="1">
        <f t="array" ref="I2312">IFERROR(_xlfn.IFS(M2312="נח",1,M2312="נע ונח",1,M2312="שני שווא נח",2,M2312="שני שוואים בסוף מילה",2,M2312="שני שוואים ברצף",1),"0")</f>
        <v>1</v>
      </c>
      <c r="J2312" s="9">
        <f t="shared" si="151"/>
        <v>3</v>
      </c>
      <c r="K2312" t="s">
        <v>6698</v>
      </c>
      <c r="L2312" t="s">
        <v>6694</v>
      </c>
      <c r="M2312" t="s">
        <v>6705</v>
      </c>
      <c r="P2312" t="s">
        <v>6694</v>
      </c>
      <c r="S2312" t="s">
        <v>6694</v>
      </c>
      <c r="W2312" t="s">
        <v>6720</v>
      </c>
    </row>
    <row r="2313" spans="1:23" ht="15.6" x14ac:dyDescent="0.4">
      <c r="A2313" s="2" t="s">
        <v>5726</v>
      </c>
      <c r="B2313" s="5" t="s">
        <v>8757</v>
      </c>
      <c r="C2313" s="7" t="s">
        <v>12556</v>
      </c>
      <c r="D2313" s="8">
        <f t="shared" si="148"/>
        <v>1</v>
      </c>
      <c r="E2313" s="7" t="s">
        <v>12557</v>
      </c>
      <c r="F2313" s="7">
        <f t="shared" si="149"/>
        <v>3</v>
      </c>
      <c r="G2313" s="7" t="s">
        <v>12558</v>
      </c>
      <c r="H2313" s="7">
        <f t="shared" si="150"/>
        <v>1</v>
      </c>
      <c r="I2313" s="7" cm="1">
        <f t="array" ref="I2313">IFERROR(_xlfn.IFS(M2313="נח",1,M2313="נע ונח",1,M2313="שני שווא נח",2,M2313="שני שוואים בסוף מילה",2,M2313="שני שוואים ברצף",1),"0")</f>
        <v>1</v>
      </c>
      <c r="J2313" s="9">
        <f t="shared" si="151"/>
        <v>4</v>
      </c>
      <c r="K2313" t="s">
        <v>6697</v>
      </c>
      <c r="L2313" t="s">
        <v>6694</v>
      </c>
      <c r="M2313" t="s">
        <v>6702</v>
      </c>
      <c r="P2313" t="s">
        <v>6694</v>
      </c>
      <c r="S2313" t="s">
        <v>6694</v>
      </c>
      <c r="U2313" t="s">
        <v>6694</v>
      </c>
      <c r="W2313" t="s">
        <v>6720</v>
      </c>
    </row>
    <row r="2314" spans="1:23" ht="15.6" x14ac:dyDescent="0.4">
      <c r="A2314" s="2" t="s">
        <v>1956</v>
      </c>
      <c r="B2314" s="5" t="s">
        <v>8740</v>
      </c>
      <c r="C2314" s="7" t="s">
        <v>12556</v>
      </c>
      <c r="D2314" s="8">
        <f t="shared" si="148"/>
        <v>1</v>
      </c>
      <c r="E2314" s="7" t="s">
        <v>12557</v>
      </c>
      <c r="F2314" s="7">
        <f t="shared" si="149"/>
        <v>1</v>
      </c>
      <c r="G2314" s="7" t="s">
        <v>12558</v>
      </c>
      <c r="H2314" s="7">
        <f t="shared" si="150"/>
        <v>0</v>
      </c>
      <c r="I2314" s="7" cm="1">
        <f t="array" ref="I2314">IFERROR(_xlfn.IFS(M2314="נח",1,M2314="נע ונח",1,M2314="שני שווא נח",2,M2314="שני שוואים בסוף מילה",2,M2314="שני שוואים ברצף",1),"0")</f>
        <v>1</v>
      </c>
      <c r="J2314" s="9">
        <f t="shared" si="151"/>
        <v>3</v>
      </c>
      <c r="K2314" t="s">
        <v>6698</v>
      </c>
      <c r="L2314" t="s">
        <v>6694</v>
      </c>
      <c r="M2314" t="s">
        <v>6705</v>
      </c>
      <c r="P2314" t="s">
        <v>6694</v>
      </c>
      <c r="S2314" t="s">
        <v>6694</v>
      </c>
      <c r="W2314" t="s">
        <v>6720</v>
      </c>
    </row>
    <row r="2315" spans="1:23" ht="15.6" x14ac:dyDescent="0.4">
      <c r="A2315" s="2" t="s">
        <v>4172</v>
      </c>
      <c r="B2315" s="5" t="s">
        <v>8758</v>
      </c>
      <c r="C2315" s="7" t="s">
        <v>12556</v>
      </c>
      <c r="D2315" s="8">
        <f t="shared" si="148"/>
        <v>1</v>
      </c>
      <c r="E2315" s="7" t="s">
        <v>12557</v>
      </c>
      <c r="F2315" s="7">
        <f t="shared" si="149"/>
        <v>2</v>
      </c>
      <c r="G2315" s="7" t="s">
        <v>12558</v>
      </c>
      <c r="H2315" s="7">
        <f t="shared" si="150"/>
        <v>1</v>
      </c>
      <c r="I2315" s="7" cm="1">
        <f t="array" ref="I2315">IFERROR(_xlfn.IFS(M2315="נח",1,M2315="נע ונח",1,M2315="שני שווא נח",2,M2315="שני שוואים בסוף מילה",2,M2315="שני שוואים ברצף",1),"0")</f>
        <v>1</v>
      </c>
      <c r="J2315" s="9">
        <f t="shared" si="151"/>
        <v>4</v>
      </c>
      <c r="K2315" t="s">
        <v>6697</v>
      </c>
      <c r="L2315" t="s">
        <v>6694</v>
      </c>
      <c r="M2315" t="s">
        <v>6702</v>
      </c>
      <c r="P2315" t="s">
        <v>6694</v>
      </c>
      <c r="S2315" t="s">
        <v>6694</v>
      </c>
      <c r="U2315" t="s">
        <v>6694</v>
      </c>
      <c r="W2315" t="s">
        <v>6720</v>
      </c>
    </row>
    <row r="2316" spans="1:23" ht="15.6" x14ac:dyDescent="0.4">
      <c r="A2316" s="2" t="s">
        <v>3487</v>
      </c>
      <c r="B2316" s="5" t="s">
        <v>8759</v>
      </c>
      <c r="C2316" s="7" t="s">
        <v>12556</v>
      </c>
      <c r="D2316" s="8">
        <f t="shared" si="148"/>
        <v>1</v>
      </c>
      <c r="E2316" s="7" t="s">
        <v>12557</v>
      </c>
      <c r="F2316" s="7">
        <f t="shared" si="149"/>
        <v>1</v>
      </c>
      <c r="G2316" s="7" t="s">
        <v>12558</v>
      </c>
      <c r="H2316" s="7">
        <f t="shared" si="150"/>
        <v>0</v>
      </c>
      <c r="I2316" s="7" cm="1">
        <f t="array" ref="I2316">IFERROR(_xlfn.IFS(M2316="נח",1,M2316="נע ונח",1,M2316="שני שווא נח",2,M2316="שני שוואים בסוף מילה",2,M2316="שני שוואים ברצף",1),"0")</f>
        <v>1</v>
      </c>
      <c r="J2316" s="9">
        <f t="shared" si="151"/>
        <v>3</v>
      </c>
      <c r="K2316" t="s">
        <v>6697</v>
      </c>
      <c r="L2316" t="s">
        <v>6694</v>
      </c>
      <c r="M2316" t="s">
        <v>6705</v>
      </c>
      <c r="P2316" t="s">
        <v>6694</v>
      </c>
      <c r="S2316" t="s">
        <v>6694</v>
      </c>
      <c r="W2316" t="s">
        <v>6720</v>
      </c>
    </row>
    <row r="2317" spans="1:23" ht="15.6" x14ac:dyDescent="0.4">
      <c r="A2317" s="2" t="s">
        <v>5917</v>
      </c>
      <c r="B2317" s="5" t="s">
        <v>8397</v>
      </c>
      <c r="C2317" s="7" t="s">
        <v>12556</v>
      </c>
      <c r="D2317" s="8">
        <f t="shared" si="148"/>
        <v>1</v>
      </c>
      <c r="E2317" s="7" t="s">
        <v>12557</v>
      </c>
      <c r="F2317" s="7">
        <f t="shared" si="149"/>
        <v>4</v>
      </c>
      <c r="G2317" s="7" t="s">
        <v>12558</v>
      </c>
      <c r="H2317" s="7">
        <f t="shared" si="150"/>
        <v>2</v>
      </c>
      <c r="I2317" s="7" cm="1">
        <f t="array" ref="I2317">IFERROR(_xlfn.IFS(M2317="נח",1,M2317="נע ונח",1,M2317="שני שווא נח",2,M2317="שני שוואים בסוף מילה",2,M2317="שני שוואים ברצף",1),"0")</f>
        <v>1</v>
      </c>
      <c r="J2317" s="9">
        <f t="shared" si="151"/>
        <v>6</v>
      </c>
      <c r="K2317" t="s">
        <v>6697</v>
      </c>
      <c r="L2317" t="s">
        <v>6694</v>
      </c>
      <c r="M2317" t="s">
        <v>6705</v>
      </c>
      <c r="P2317" t="s">
        <v>6694</v>
      </c>
      <c r="S2317" t="s">
        <v>6694</v>
      </c>
      <c r="U2317" t="s">
        <v>6694</v>
      </c>
      <c r="W2317" t="s">
        <v>6720</v>
      </c>
    </row>
    <row r="2318" spans="1:23" ht="15.6" x14ac:dyDescent="0.4">
      <c r="A2318" s="2" t="s">
        <v>1088</v>
      </c>
      <c r="B2318" s="5" t="s">
        <v>8397</v>
      </c>
      <c r="C2318" s="7" t="s">
        <v>12556</v>
      </c>
      <c r="D2318" s="8">
        <f t="shared" si="148"/>
        <v>1</v>
      </c>
      <c r="E2318" s="7" t="s">
        <v>12557</v>
      </c>
      <c r="F2318" s="7">
        <f t="shared" si="149"/>
        <v>3</v>
      </c>
      <c r="G2318" s="7" t="s">
        <v>12558</v>
      </c>
      <c r="H2318" s="7">
        <f t="shared" si="150"/>
        <v>1</v>
      </c>
      <c r="I2318" s="7" cm="1">
        <f t="array" ref="I2318">IFERROR(_xlfn.IFS(M2318="נח",1,M2318="נע ונח",1,M2318="שני שווא נח",2,M2318="שני שוואים בסוף מילה",2,M2318="שני שוואים ברצף",1),"0")</f>
        <v>1</v>
      </c>
      <c r="J2318" s="9">
        <f t="shared" si="151"/>
        <v>5</v>
      </c>
      <c r="K2318" t="s">
        <v>6697</v>
      </c>
      <c r="L2318" t="s">
        <v>6694</v>
      </c>
      <c r="M2318" t="s">
        <v>6705</v>
      </c>
      <c r="P2318" t="s">
        <v>6694</v>
      </c>
      <c r="S2318" t="s">
        <v>6694</v>
      </c>
      <c r="U2318" t="s">
        <v>6694</v>
      </c>
      <c r="W2318" t="s">
        <v>6720</v>
      </c>
    </row>
    <row r="2319" spans="1:23" ht="15.6" x14ac:dyDescent="0.4">
      <c r="A2319" s="2" t="s">
        <v>1591</v>
      </c>
      <c r="B2319" s="5" t="s">
        <v>8399</v>
      </c>
      <c r="C2319" s="7" t="s">
        <v>12556</v>
      </c>
      <c r="D2319" s="8">
        <f t="shared" si="148"/>
        <v>1</v>
      </c>
      <c r="E2319" s="7" t="s">
        <v>12557</v>
      </c>
      <c r="F2319" s="7">
        <f t="shared" si="149"/>
        <v>2</v>
      </c>
      <c r="G2319" s="7" t="s">
        <v>12558</v>
      </c>
      <c r="H2319" s="7">
        <f t="shared" si="150"/>
        <v>1</v>
      </c>
      <c r="I2319" s="7" cm="1">
        <f t="array" ref="I2319">IFERROR(_xlfn.IFS(M2319="נח",1,M2319="נע ונח",1,M2319="שני שווא נח",2,M2319="שני שוואים בסוף מילה",2,M2319="שני שוואים ברצף",1),"0")</f>
        <v>1</v>
      </c>
      <c r="J2319" s="9">
        <f t="shared" si="151"/>
        <v>4</v>
      </c>
      <c r="K2319" t="s">
        <v>6697</v>
      </c>
      <c r="L2319" t="s">
        <v>6694</v>
      </c>
      <c r="M2319" t="s">
        <v>6702</v>
      </c>
      <c r="P2319" t="s">
        <v>6694</v>
      </c>
      <c r="S2319" t="s">
        <v>6694</v>
      </c>
      <c r="U2319" t="s">
        <v>6694</v>
      </c>
      <c r="W2319" t="s">
        <v>6720</v>
      </c>
    </row>
    <row r="2320" spans="1:23" ht="15.6" x14ac:dyDescent="0.4">
      <c r="A2320" s="2" t="s">
        <v>1115</v>
      </c>
      <c r="B2320" s="5" t="s">
        <v>8760</v>
      </c>
      <c r="C2320" s="7" t="s">
        <v>12556</v>
      </c>
      <c r="D2320" s="8">
        <f t="shared" si="148"/>
        <v>1</v>
      </c>
      <c r="E2320" s="7" t="s">
        <v>12557</v>
      </c>
      <c r="F2320" s="7">
        <f t="shared" si="149"/>
        <v>2</v>
      </c>
      <c r="G2320" s="7" t="s">
        <v>12558</v>
      </c>
      <c r="H2320" s="7">
        <f t="shared" si="150"/>
        <v>0</v>
      </c>
      <c r="I2320" s="7" t="str" cm="1">
        <f t="array" ref="I2320">IFERROR(_xlfn.IFS(M2320="נח",1,M2320="נע ונח",1,M2320="שני שווא נח",2,M2320="שני שוואים בסוף מילה",2,M2320="שני שוואים ברצף",1),"0")</f>
        <v>0</v>
      </c>
      <c r="J2320" s="9">
        <f t="shared" si="151"/>
        <v>3</v>
      </c>
      <c r="K2320" t="s">
        <v>6697</v>
      </c>
      <c r="L2320" t="s">
        <v>6695</v>
      </c>
      <c r="O2320" t="s">
        <v>6694</v>
      </c>
      <c r="P2320" t="s">
        <v>6694</v>
      </c>
      <c r="S2320" t="s">
        <v>6694</v>
      </c>
      <c r="W2320" t="s">
        <v>6720</v>
      </c>
    </row>
    <row r="2321" spans="1:23" ht="15.6" x14ac:dyDescent="0.4">
      <c r="A2321" s="2" t="s">
        <v>1065</v>
      </c>
      <c r="B2321" s="5" t="s">
        <v>8761</v>
      </c>
      <c r="C2321" s="7" t="s">
        <v>12556</v>
      </c>
      <c r="D2321" s="8">
        <f t="shared" si="148"/>
        <v>0</v>
      </c>
      <c r="E2321" s="7" t="s">
        <v>12557</v>
      </c>
      <c r="F2321" s="7">
        <f t="shared" si="149"/>
        <v>3</v>
      </c>
      <c r="G2321" s="7" t="s">
        <v>12558</v>
      </c>
      <c r="H2321" s="7">
        <f t="shared" si="150"/>
        <v>2</v>
      </c>
      <c r="I2321" s="7" cm="1">
        <f t="array" ref="I2321">IFERROR(_xlfn.IFS(M2321="נח",1,M2321="נע ונח",1,M2321="שני שווא נח",2,M2321="שני שוואים בסוף מילה",2,M2321="שני שוואים ברצף",1),"0")</f>
        <v>1</v>
      </c>
      <c r="J2321" s="9">
        <f t="shared" si="151"/>
        <v>5</v>
      </c>
      <c r="K2321" t="s">
        <v>6697</v>
      </c>
      <c r="L2321" t="s">
        <v>6694</v>
      </c>
      <c r="M2321" t="s">
        <v>6705</v>
      </c>
      <c r="P2321" t="s">
        <v>6694</v>
      </c>
      <c r="S2321" t="s">
        <v>6694</v>
      </c>
      <c r="U2321" t="s">
        <v>6694</v>
      </c>
      <c r="W2321" t="s">
        <v>6720</v>
      </c>
    </row>
    <row r="2322" spans="1:23" ht="15.6" x14ac:dyDescent="0.4">
      <c r="A2322" s="2" t="s">
        <v>2062</v>
      </c>
      <c r="B2322" s="5" t="s">
        <v>8762</v>
      </c>
      <c r="C2322" s="7" t="s">
        <v>12556</v>
      </c>
      <c r="D2322" s="8">
        <f t="shared" si="148"/>
        <v>1</v>
      </c>
      <c r="E2322" s="7" t="s">
        <v>12557</v>
      </c>
      <c r="F2322" s="7">
        <f t="shared" si="149"/>
        <v>3</v>
      </c>
      <c r="G2322" s="7" t="s">
        <v>12558</v>
      </c>
      <c r="H2322" s="7">
        <f t="shared" si="150"/>
        <v>1</v>
      </c>
      <c r="I2322" s="7" cm="1">
        <f t="array" ref="I2322">IFERROR(_xlfn.IFS(M2322="נח",1,M2322="נע ונח",1,M2322="שני שווא נח",2,M2322="שני שוואים בסוף מילה",2,M2322="שני שוואים ברצף",1),"0")</f>
        <v>1</v>
      </c>
      <c r="J2322" s="9">
        <f t="shared" si="151"/>
        <v>5</v>
      </c>
      <c r="K2322" t="s">
        <v>6697</v>
      </c>
      <c r="L2322" t="s">
        <v>6694</v>
      </c>
      <c r="M2322" t="s">
        <v>6705</v>
      </c>
      <c r="O2322" t="s">
        <v>6694</v>
      </c>
      <c r="P2322" t="s">
        <v>6694</v>
      </c>
      <c r="S2322" t="s">
        <v>6694</v>
      </c>
      <c r="U2322" t="s">
        <v>6694</v>
      </c>
      <c r="W2322" t="s">
        <v>6720</v>
      </c>
    </row>
    <row r="2323" spans="1:23" ht="15.6" x14ac:dyDescent="0.4">
      <c r="A2323" s="2" t="s">
        <v>1638</v>
      </c>
      <c r="B2323" s="5" t="s">
        <v>8763</v>
      </c>
      <c r="C2323" s="7" t="s">
        <v>12556</v>
      </c>
      <c r="D2323" s="8">
        <f t="shared" si="148"/>
        <v>0</v>
      </c>
      <c r="E2323" s="7" t="s">
        <v>12557</v>
      </c>
      <c r="F2323" s="7">
        <f t="shared" si="149"/>
        <v>3</v>
      </c>
      <c r="G2323" s="7" t="s">
        <v>12558</v>
      </c>
      <c r="H2323" s="7">
        <f t="shared" si="150"/>
        <v>1</v>
      </c>
      <c r="I2323" s="7" cm="1">
        <f t="array" ref="I2323">IFERROR(_xlfn.IFS(M2323="נח",1,M2323="נע ונח",1,M2323="שני שווא נח",2,M2323="שני שוואים בסוף מילה",2,M2323="שני שוואים ברצף",1),"0")</f>
        <v>2</v>
      </c>
      <c r="J2323" s="9">
        <f t="shared" si="151"/>
        <v>4</v>
      </c>
      <c r="K2323" t="s">
        <v>6697</v>
      </c>
      <c r="L2323" t="s">
        <v>6694</v>
      </c>
      <c r="M2323" t="s">
        <v>6704</v>
      </c>
      <c r="P2323" t="s">
        <v>6694</v>
      </c>
      <c r="S2323" t="s">
        <v>6694</v>
      </c>
      <c r="U2323" t="s">
        <v>6694</v>
      </c>
      <c r="W2323" t="s">
        <v>6720</v>
      </c>
    </row>
    <row r="2324" spans="1:23" ht="15.6" x14ac:dyDescent="0.4">
      <c r="A2324" s="2" t="s">
        <v>5761</v>
      </c>
      <c r="B2324" s="5" t="s">
        <v>8764</v>
      </c>
      <c r="C2324" s="7" t="s">
        <v>12556</v>
      </c>
      <c r="D2324" s="8">
        <f t="shared" si="148"/>
        <v>0</v>
      </c>
      <c r="E2324" s="7" t="s">
        <v>12557</v>
      </c>
      <c r="F2324" s="7">
        <f t="shared" si="149"/>
        <v>2</v>
      </c>
      <c r="G2324" s="7" t="s">
        <v>12558</v>
      </c>
      <c r="H2324" s="7">
        <f t="shared" si="150"/>
        <v>0</v>
      </c>
      <c r="I2324" s="7" cm="1">
        <f t="array" ref="I2324">IFERROR(_xlfn.IFS(M2324="נח",1,M2324="נע ונח",1,M2324="שני שווא נח",2,M2324="שני שוואים בסוף מילה",2,M2324="שני שוואים ברצף",1),"0")</f>
        <v>1</v>
      </c>
      <c r="J2324" s="9">
        <f t="shared" si="151"/>
        <v>4</v>
      </c>
      <c r="K2324" t="s">
        <v>6698</v>
      </c>
      <c r="L2324" t="s">
        <v>6694</v>
      </c>
      <c r="M2324" t="s">
        <v>6705</v>
      </c>
      <c r="N2324" t="s">
        <v>6706</v>
      </c>
      <c r="O2324" t="s">
        <v>6694</v>
      </c>
      <c r="P2324" t="s">
        <v>6694</v>
      </c>
      <c r="S2324" t="s">
        <v>6694</v>
      </c>
      <c r="W2324" t="s">
        <v>6720</v>
      </c>
    </row>
    <row r="2325" spans="1:23" ht="15.6" x14ac:dyDescent="0.4">
      <c r="A2325" s="2" t="s">
        <v>4629</v>
      </c>
      <c r="B2325" s="5" t="s">
        <v>8765</v>
      </c>
      <c r="C2325" s="7" t="s">
        <v>12556</v>
      </c>
      <c r="D2325" s="8">
        <f t="shared" si="148"/>
        <v>0</v>
      </c>
      <c r="E2325" s="7" t="s">
        <v>12557</v>
      </c>
      <c r="F2325" s="7">
        <f t="shared" si="149"/>
        <v>3</v>
      </c>
      <c r="G2325" s="7" t="s">
        <v>12558</v>
      </c>
      <c r="H2325" s="7">
        <f t="shared" si="150"/>
        <v>1</v>
      </c>
      <c r="I2325" s="7" cm="1">
        <f t="array" ref="I2325">IFERROR(_xlfn.IFS(M2325="נח",1,M2325="נע ונח",1,M2325="שני שווא נח",2,M2325="שני שוואים בסוף מילה",2,M2325="שני שוואים ברצף",1),"0")</f>
        <v>1</v>
      </c>
      <c r="J2325" s="9">
        <f t="shared" si="151"/>
        <v>3</v>
      </c>
      <c r="K2325" t="s">
        <v>6697</v>
      </c>
      <c r="L2325" t="s">
        <v>6694</v>
      </c>
      <c r="M2325" t="s">
        <v>6705</v>
      </c>
      <c r="P2325" t="s">
        <v>6694</v>
      </c>
      <c r="S2325" t="s">
        <v>6694</v>
      </c>
      <c r="U2325" t="s">
        <v>6694</v>
      </c>
      <c r="W2325" t="s">
        <v>6720</v>
      </c>
    </row>
    <row r="2326" spans="1:23" ht="15.6" x14ac:dyDescent="0.4">
      <c r="A2326" s="2" t="s">
        <v>1069</v>
      </c>
      <c r="B2326" s="5" t="s">
        <v>8405</v>
      </c>
      <c r="C2326" s="7" t="s">
        <v>12556</v>
      </c>
      <c r="D2326" s="8">
        <f t="shared" si="148"/>
        <v>0</v>
      </c>
      <c r="E2326" s="7" t="s">
        <v>12557</v>
      </c>
      <c r="F2326" s="7">
        <f t="shared" si="149"/>
        <v>2</v>
      </c>
      <c r="G2326" s="7" t="s">
        <v>12558</v>
      </c>
      <c r="H2326" s="7">
        <f t="shared" si="150"/>
        <v>0</v>
      </c>
      <c r="I2326" s="7" t="str" cm="1">
        <f t="array" ref="I2326">IFERROR(_xlfn.IFS(M2326="נח",1,M2326="נע ונח",1,M2326="שני שווא נח",2,M2326="שני שוואים בסוף מילה",2,M2326="שני שוואים ברצף",1),"0")</f>
        <v>0</v>
      </c>
      <c r="J2326" s="9">
        <f t="shared" si="151"/>
        <v>3</v>
      </c>
      <c r="K2326" t="s">
        <v>6698</v>
      </c>
      <c r="L2326" t="s">
        <v>6695</v>
      </c>
      <c r="P2326" t="s">
        <v>6694</v>
      </c>
      <c r="Q2326" t="s">
        <v>6694</v>
      </c>
      <c r="S2326" t="s">
        <v>6694</v>
      </c>
      <c r="W2326" t="s">
        <v>6720</v>
      </c>
    </row>
    <row r="2327" spans="1:23" ht="15.6" x14ac:dyDescent="0.4">
      <c r="A2327" s="2" t="s">
        <v>5014</v>
      </c>
      <c r="B2327" s="5" t="s">
        <v>8766</v>
      </c>
      <c r="C2327" s="7" t="s">
        <v>12556</v>
      </c>
      <c r="D2327" s="8">
        <f t="shared" si="148"/>
        <v>1</v>
      </c>
      <c r="E2327" s="7" t="s">
        <v>12557</v>
      </c>
      <c r="F2327" s="7">
        <f t="shared" si="149"/>
        <v>2</v>
      </c>
      <c r="G2327" s="7" t="s">
        <v>12558</v>
      </c>
      <c r="H2327" s="7">
        <f t="shared" si="150"/>
        <v>1</v>
      </c>
      <c r="I2327" s="7" t="str" cm="1">
        <f t="array" ref="I2327">IFERROR(_xlfn.IFS(M2327="נח",1,M2327="נע ונח",1,M2327="שני שווא נח",2,M2327="שני שוואים בסוף מילה",2,M2327="שני שוואים ברצף",1),"0")</f>
        <v>0</v>
      </c>
      <c r="J2327" s="9">
        <f t="shared" si="151"/>
        <v>4</v>
      </c>
      <c r="K2327" t="s">
        <v>6697</v>
      </c>
      <c r="L2327" t="s">
        <v>6695</v>
      </c>
      <c r="P2327" t="s">
        <v>6694</v>
      </c>
      <c r="Q2327" t="s">
        <v>6694</v>
      </c>
      <c r="U2327" t="s">
        <v>6694</v>
      </c>
      <c r="V2327" t="s">
        <v>6694</v>
      </c>
      <c r="W2327" t="s">
        <v>6720</v>
      </c>
    </row>
    <row r="2328" spans="1:23" ht="15.6" x14ac:dyDescent="0.4">
      <c r="A2328" s="2" t="s">
        <v>1985</v>
      </c>
      <c r="B2328" s="5" t="s">
        <v>8767</v>
      </c>
      <c r="C2328" s="7" t="s">
        <v>12556</v>
      </c>
      <c r="D2328" s="8">
        <f t="shared" si="148"/>
        <v>0</v>
      </c>
      <c r="E2328" s="7" t="s">
        <v>12557</v>
      </c>
      <c r="F2328" s="7">
        <f t="shared" si="149"/>
        <v>1</v>
      </c>
      <c r="G2328" s="7" t="s">
        <v>12558</v>
      </c>
      <c r="H2328" s="7">
        <f t="shared" si="150"/>
        <v>0</v>
      </c>
      <c r="I2328" s="7" t="str" cm="1">
        <f t="array" ref="I2328">IFERROR(_xlfn.IFS(M2328="נח",1,M2328="נע ונח",1,M2328="שני שווא נח",2,M2328="שני שוואים בסוף מילה",2,M2328="שני שוואים ברצף",1),"0")</f>
        <v>0</v>
      </c>
      <c r="J2328" s="9">
        <f t="shared" si="151"/>
        <v>3</v>
      </c>
      <c r="K2328" t="s">
        <v>6697</v>
      </c>
      <c r="L2328" t="s">
        <v>6695</v>
      </c>
      <c r="P2328" t="s">
        <v>6694</v>
      </c>
      <c r="Q2328" t="s">
        <v>6694</v>
      </c>
      <c r="R2328" t="s">
        <v>6694</v>
      </c>
      <c r="W2328" t="s">
        <v>6720</v>
      </c>
    </row>
    <row r="2329" spans="1:23" ht="15.6" x14ac:dyDescent="0.4">
      <c r="A2329" s="2" t="s">
        <v>1979</v>
      </c>
      <c r="B2329" s="5" t="s">
        <v>8768</v>
      </c>
      <c r="C2329" s="7" t="s">
        <v>12556</v>
      </c>
      <c r="D2329" s="8">
        <f t="shared" si="148"/>
        <v>0</v>
      </c>
      <c r="E2329" s="7" t="s">
        <v>12557</v>
      </c>
      <c r="F2329" s="7">
        <f t="shared" si="149"/>
        <v>1</v>
      </c>
      <c r="G2329" s="7" t="s">
        <v>12558</v>
      </c>
      <c r="H2329" s="7">
        <f t="shared" si="150"/>
        <v>0</v>
      </c>
      <c r="I2329" s="7" t="str" cm="1">
        <f t="array" ref="I2329">IFERROR(_xlfn.IFS(M2329="נח",1,M2329="נע ונח",1,M2329="שני שווא נח",2,M2329="שני שוואים בסוף מילה",2,M2329="שני שוואים ברצף",1),"0")</f>
        <v>0</v>
      </c>
      <c r="J2329" s="9">
        <f t="shared" si="151"/>
        <v>2</v>
      </c>
      <c r="K2329" t="s">
        <v>6698</v>
      </c>
      <c r="L2329" t="s">
        <v>6695</v>
      </c>
      <c r="P2329" t="s">
        <v>6694</v>
      </c>
      <c r="Q2329" t="s">
        <v>6694</v>
      </c>
      <c r="W2329" t="s">
        <v>6720</v>
      </c>
    </row>
    <row r="2330" spans="1:23" ht="15.6" x14ac:dyDescent="0.4">
      <c r="A2330" s="2" t="s">
        <v>6264</v>
      </c>
      <c r="B2330" s="5" t="s">
        <v>8769</v>
      </c>
      <c r="C2330" s="7" t="s">
        <v>12556</v>
      </c>
      <c r="D2330" s="8">
        <f t="shared" si="148"/>
        <v>0</v>
      </c>
      <c r="E2330" s="7" t="s">
        <v>12557</v>
      </c>
      <c r="F2330" s="7">
        <f t="shared" si="149"/>
        <v>1</v>
      </c>
      <c r="G2330" s="7" t="s">
        <v>12558</v>
      </c>
      <c r="H2330" s="7">
        <f t="shared" si="150"/>
        <v>0</v>
      </c>
      <c r="I2330" s="7" cm="1">
        <f t="array" ref="I2330">IFERROR(_xlfn.IFS(M2330="נח",1,M2330="נע ונח",1,M2330="שני שווא נח",2,M2330="שני שוואים בסוף מילה",2,M2330="שני שוואים ברצף",1),"0")</f>
        <v>1</v>
      </c>
      <c r="J2330" s="9">
        <f t="shared" si="151"/>
        <v>3</v>
      </c>
      <c r="K2330" t="s">
        <v>6698</v>
      </c>
      <c r="L2330" t="s">
        <v>6694</v>
      </c>
      <c r="M2330" t="s">
        <v>6705</v>
      </c>
      <c r="P2330" t="s">
        <v>6694</v>
      </c>
      <c r="Q2330" t="s">
        <v>6694</v>
      </c>
      <c r="W2330" t="s">
        <v>6720</v>
      </c>
    </row>
    <row r="2331" spans="1:23" ht="15.6" x14ac:dyDescent="0.4">
      <c r="A2331" s="2" t="s">
        <v>1980</v>
      </c>
      <c r="B2331" s="5" t="s">
        <v>8409</v>
      </c>
      <c r="C2331" s="7" t="s">
        <v>12556</v>
      </c>
      <c r="D2331" s="8">
        <f t="shared" si="148"/>
        <v>0</v>
      </c>
      <c r="E2331" s="7" t="s">
        <v>12557</v>
      </c>
      <c r="F2331" s="7">
        <f t="shared" si="149"/>
        <v>1</v>
      </c>
      <c r="G2331" s="7" t="s">
        <v>12558</v>
      </c>
      <c r="H2331" s="7">
        <f t="shared" si="150"/>
        <v>0</v>
      </c>
      <c r="I2331" s="7" t="str" cm="1">
        <f t="array" ref="I2331">IFERROR(_xlfn.IFS(M2331="נח",1,M2331="נע ונח",1,M2331="שני שווא נח",2,M2331="שני שוואים בסוף מילה",2,M2331="שני שוואים ברצף",1),"0")</f>
        <v>0</v>
      </c>
      <c r="J2331" s="9">
        <f t="shared" si="151"/>
        <v>3</v>
      </c>
      <c r="K2331" t="s">
        <v>6698</v>
      </c>
      <c r="L2331" t="s">
        <v>6695</v>
      </c>
      <c r="P2331" t="s">
        <v>6694</v>
      </c>
      <c r="Q2331" t="s">
        <v>6694</v>
      </c>
      <c r="W2331" t="s">
        <v>6720</v>
      </c>
    </row>
    <row r="2332" spans="1:23" ht="15.6" x14ac:dyDescent="0.4">
      <c r="A2332" s="2" t="s">
        <v>1141</v>
      </c>
      <c r="B2332" s="5" t="s">
        <v>8770</v>
      </c>
      <c r="C2332" s="7" t="s">
        <v>12556</v>
      </c>
      <c r="D2332" s="8">
        <f t="shared" si="148"/>
        <v>0</v>
      </c>
      <c r="E2332" s="7" t="s">
        <v>12557</v>
      </c>
      <c r="F2332" s="7">
        <f t="shared" si="149"/>
        <v>1</v>
      </c>
      <c r="G2332" s="7" t="s">
        <v>12558</v>
      </c>
      <c r="H2332" s="7">
        <f t="shared" si="150"/>
        <v>0</v>
      </c>
      <c r="I2332" s="7" t="str" cm="1">
        <f t="array" ref="I2332">IFERROR(_xlfn.IFS(M2332="נח",1,M2332="נע ונח",1,M2332="שני שווא נח",2,M2332="שני שוואים בסוף מילה",2,M2332="שני שוואים ברצף",1),"0")</f>
        <v>0</v>
      </c>
      <c r="J2332" s="9">
        <f t="shared" si="151"/>
        <v>3</v>
      </c>
      <c r="K2332" t="s">
        <v>6697</v>
      </c>
      <c r="L2332" t="s">
        <v>6695</v>
      </c>
      <c r="P2332" t="s">
        <v>6694</v>
      </c>
      <c r="Q2332" t="s">
        <v>6694</v>
      </c>
      <c r="W2332" t="s">
        <v>6720</v>
      </c>
    </row>
    <row r="2333" spans="1:23" ht="15.6" x14ac:dyDescent="0.4">
      <c r="A2333" s="2" t="s">
        <v>1959</v>
      </c>
      <c r="B2333" s="5" t="s">
        <v>8392</v>
      </c>
      <c r="C2333" s="7" t="s">
        <v>12556</v>
      </c>
      <c r="D2333" s="8">
        <f t="shared" si="148"/>
        <v>0</v>
      </c>
      <c r="E2333" s="7" t="s">
        <v>12557</v>
      </c>
      <c r="F2333" s="7">
        <f t="shared" si="149"/>
        <v>2</v>
      </c>
      <c r="G2333" s="7" t="s">
        <v>12558</v>
      </c>
      <c r="H2333" s="7">
        <f t="shared" si="150"/>
        <v>1</v>
      </c>
      <c r="I2333" s="7" t="str" cm="1">
        <f t="array" ref="I2333">IFERROR(_xlfn.IFS(M2333="נח",1,M2333="נע ונח",1,M2333="שני שווא נח",2,M2333="שני שוואים בסוף מילה",2,M2333="שני שוואים ברצף",1),"0")</f>
        <v>0</v>
      </c>
      <c r="J2333" s="9">
        <f t="shared" si="151"/>
        <v>4</v>
      </c>
      <c r="K2333" t="s">
        <v>6697</v>
      </c>
      <c r="L2333" t="s">
        <v>6695</v>
      </c>
      <c r="O2333" t="s">
        <v>6694</v>
      </c>
      <c r="P2333" t="s">
        <v>6694</v>
      </c>
      <c r="Q2333" t="s">
        <v>6694</v>
      </c>
      <c r="U2333" t="s">
        <v>6694</v>
      </c>
      <c r="W2333" t="s">
        <v>6720</v>
      </c>
    </row>
    <row r="2334" spans="1:23" ht="15.6" x14ac:dyDescent="0.4">
      <c r="A2334" s="2" t="s">
        <v>1111</v>
      </c>
      <c r="B2334" s="5" t="s">
        <v>8771</v>
      </c>
      <c r="C2334" s="7" t="s">
        <v>12556</v>
      </c>
      <c r="D2334" s="8">
        <f t="shared" si="148"/>
        <v>0</v>
      </c>
      <c r="E2334" s="7" t="s">
        <v>12557</v>
      </c>
      <c r="F2334" s="7">
        <f t="shared" si="149"/>
        <v>2</v>
      </c>
      <c r="G2334" s="7" t="s">
        <v>12558</v>
      </c>
      <c r="H2334" s="7">
        <f t="shared" si="150"/>
        <v>1</v>
      </c>
      <c r="I2334" s="7" cm="1">
        <f t="array" ref="I2334">IFERROR(_xlfn.IFS(M2334="נח",1,M2334="נע ונח",1,M2334="שני שווא נח",2,M2334="שני שוואים בסוף מילה",2,M2334="שני שוואים ברצף",1),"0")</f>
        <v>1</v>
      </c>
      <c r="J2334" s="9">
        <f t="shared" si="151"/>
        <v>4</v>
      </c>
      <c r="K2334" t="s">
        <v>6697</v>
      </c>
      <c r="L2334" t="s">
        <v>6694</v>
      </c>
      <c r="M2334" t="s">
        <v>6705</v>
      </c>
      <c r="N2334" t="s">
        <v>6706</v>
      </c>
      <c r="O2334" t="s">
        <v>6694</v>
      </c>
      <c r="P2334" t="s">
        <v>6694</v>
      </c>
      <c r="Q2334" t="s">
        <v>6694</v>
      </c>
      <c r="U2334" t="s">
        <v>6694</v>
      </c>
      <c r="W2334" t="s">
        <v>6720</v>
      </c>
    </row>
    <row r="2335" spans="1:23" ht="15.6" x14ac:dyDescent="0.4">
      <c r="A2335" s="2" t="s">
        <v>5253</v>
      </c>
      <c r="B2335" s="5" t="s">
        <v>8453</v>
      </c>
      <c r="C2335" s="7" t="s">
        <v>12556</v>
      </c>
      <c r="D2335" s="8">
        <f t="shared" si="148"/>
        <v>1</v>
      </c>
      <c r="E2335" s="7" t="s">
        <v>12557</v>
      </c>
      <c r="F2335" s="7">
        <f t="shared" si="149"/>
        <v>1</v>
      </c>
      <c r="G2335" s="7" t="s">
        <v>12558</v>
      </c>
      <c r="H2335" s="7">
        <f t="shared" si="150"/>
        <v>0</v>
      </c>
      <c r="I2335" s="7" t="str" cm="1">
        <f t="array" ref="I2335">IFERROR(_xlfn.IFS(M2335="נח",1,M2335="נע ונח",1,M2335="שני שווא נח",2,M2335="שני שוואים בסוף מילה",2,M2335="שני שוואים ברצף",1),"0")</f>
        <v>0</v>
      </c>
      <c r="J2335" s="9">
        <f t="shared" si="151"/>
        <v>3</v>
      </c>
      <c r="K2335" t="s">
        <v>6698</v>
      </c>
      <c r="L2335" t="s">
        <v>6695</v>
      </c>
      <c r="P2335" t="s">
        <v>6694</v>
      </c>
      <c r="Q2335" t="s">
        <v>6694</v>
      </c>
      <c r="R2335" t="s">
        <v>6694</v>
      </c>
      <c r="W2335" t="s">
        <v>6720</v>
      </c>
    </row>
    <row r="2336" spans="1:23" ht="15.6" x14ac:dyDescent="0.4">
      <c r="A2336" s="2" t="s">
        <v>4987</v>
      </c>
      <c r="B2336" s="5" t="s">
        <v>8772</v>
      </c>
      <c r="C2336" s="7" t="s">
        <v>12556</v>
      </c>
      <c r="D2336" s="8">
        <f t="shared" si="148"/>
        <v>0</v>
      </c>
      <c r="E2336" s="7" t="s">
        <v>12557</v>
      </c>
      <c r="F2336" s="7">
        <f t="shared" si="149"/>
        <v>1</v>
      </c>
      <c r="G2336" s="7" t="s">
        <v>12558</v>
      </c>
      <c r="H2336" s="7">
        <f t="shared" si="150"/>
        <v>0</v>
      </c>
      <c r="I2336" s="7" t="str" cm="1">
        <f t="array" ref="I2336">IFERROR(_xlfn.IFS(M2336="נח",1,M2336="נע ונח",1,M2336="שני שווא נח",2,M2336="שני שוואים בסוף מילה",2,M2336="שני שוואים ברצף",1),"0")</f>
        <v>0</v>
      </c>
      <c r="J2336" s="9">
        <f t="shared" si="151"/>
        <v>4</v>
      </c>
      <c r="K2336" t="s">
        <v>6698</v>
      </c>
      <c r="L2336" t="s">
        <v>6695</v>
      </c>
      <c r="P2336" t="s">
        <v>6694</v>
      </c>
      <c r="R2336" t="s">
        <v>6694</v>
      </c>
      <c r="W2336" t="s">
        <v>6720</v>
      </c>
    </row>
    <row r="2337" spans="1:23" ht="15.6" x14ac:dyDescent="0.4">
      <c r="A2337" s="2" t="s">
        <v>420</v>
      </c>
      <c r="B2337" s="5" t="s">
        <v>8674</v>
      </c>
      <c r="C2337" s="7" t="s">
        <v>12556</v>
      </c>
      <c r="D2337" s="8">
        <f t="shared" si="148"/>
        <v>0</v>
      </c>
      <c r="E2337" s="7" t="s">
        <v>12557</v>
      </c>
      <c r="F2337" s="7">
        <f t="shared" si="149"/>
        <v>1</v>
      </c>
      <c r="G2337" s="7" t="s">
        <v>12558</v>
      </c>
      <c r="H2337" s="7">
        <f t="shared" si="150"/>
        <v>0</v>
      </c>
      <c r="I2337" s="7" t="str" cm="1">
        <f t="array" ref="I2337">IFERROR(_xlfn.IFS(M2337="נח",1,M2337="נע ונח",1,M2337="שני שווא נח",2,M2337="שני שוואים בסוף מילה",2,M2337="שני שוואים ברצף",1),"0")</f>
        <v>0</v>
      </c>
      <c r="J2337" s="9">
        <f t="shared" si="151"/>
        <v>3</v>
      </c>
      <c r="K2337" t="s">
        <v>6697</v>
      </c>
      <c r="L2337" t="s">
        <v>6695</v>
      </c>
      <c r="P2337" t="s">
        <v>6694</v>
      </c>
      <c r="R2337" t="s">
        <v>6694</v>
      </c>
      <c r="S2337" t="s">
        <v>6694</v>
      </c>
      <c r="W2337" t="s">
        <v>6720</v>
      </c>
    </row>
    <row r="2338" spans="1:23" ht="15.6" x14ac:dyDescent="0.4">
      <c r="A2338" s="2" t="s">
        <v>1048</v>
      </c>
      <c r="B2338" s="5" t="s">
        <v>8773</v>
      </c>
      <c r="C2338" s="7" t="s">
        <v>12556</v>
      </c>
      <c r="D2338" s="8">
        <f t="shared" si="148"/>
        <v>0</v>
      </c>
      <c r="E2338" s="7" t="s">
        <v>12557</v>
      </c>
      <c r="F2338" s="7">
        <f t="shared" si="149"/>
        <v>1</v>
      </c>
      <c r="G2338" s="7" t="s">
        <v>12558</v>
      </c>
      <c r="H2338" s="7">
        <f t="shared" si="150"/>
        <v>0</v>
      </c>
      <c r="I2338" s="7" t="str" cm="1">
        <f t="array" ref="I2338">IFERROR(_xlfn.IFS(M2338="נח",1,M2338="נע ונח",1,M2338="שני שווא נח",2,M2338="שני שוואים בסוף מילה",2,M2338="שני שוואים ברצף",1),"0")</f>
        <v>0</v>
      </c>
      <c r="J2338" s="9">
        <f t="shared" si="151"/>
        <v>4</v>
      </c>
      <c r="K2338" t="s">
        <v>6698</v>
      </c>
      <c r="L2338" t="s">
        <v>6695</v>
      </c>
      <c r="N2338" t="s">
        <v>6706</v>
      </c>
      <c r="O2338" t="s">
        <v>6694</v>
      </c>
      <c r="P2338" t="s">
        <v>6694</v>
      </c>
      <c r="R2338" t="s">
        <v>6694</v>
      </c>
      <c r="W2338" t="s">
        <v>6720</v>
      </c>
    </row>
    <row r="2339" spans="1:23" ht="15.6" x14ac:dyDescent="0.4">
      <c r="A2339" s="2" t="s">
        <v>1590</v>
      </c>
      <c r="B2339" s="5" t="s">
        <v>8774</v>
      </c>
      <c r="C2339" s="7" t="s">
        <v>12556</v>
      </c>
      <c r="D2339" s="8">
        <f t="shared" si="148"/>
        <v>1</v>
      </c>
      <c r="E2339" s="7" t="s">
        <v>12557</v>
      </c>
      <c r="F2339" s="7">
        <f t="shared" si="149"/>
        <v>2</v>
      </c>
      <c r="G2339" s="7" t="s">
        <v>12558</v>
      </c>
      <c r="H2339" s="7">
        <f t="shared" si="150"/>
        <v>1</v>
      </c>
      <c r="I2339" s="7" t="str" cm="1">
        <f t="array" ref="I2339">IFERROR(_xlfn.IFS(M2339="נח",1,M2339="נע ונח",1,M2339="שני שווא נח",2,M2339="שני שוואים בסוף מילה",2,M2339="שני שוואים ברצף",1),"0")</f>
        <v>0</v>
      </c>
      <c r="J2339" s="9">
        <f t="shared" si="151"/>
        <v>4</v>
      </c>
      <c r="K2339" t="s">
        <v>6697</v>
      </c>
      <c r="L2339" t="s">
        <v>6695</v>
      </c>
      <c r="P2339" t="s">
        <v>6694</v>
      </c>
      <c r="R2339" t="s">
        <v>6694</v>
      </c>
      <c r="U2339" t="s">
        <v>6694</v>
      </c>
      <c r="W2339" t="s">
        <v>6720</v>
      </c>
    </row>
    <row r="2340" spans="1:23" ht="15.6" x14ac:dyDescent="0.4">
      <c r="A2340" s="2" t="s">
        <v>5248</v>
      </c>
      <c r="B2340" s="5" t="s">
        <v>8775</v>
      </c>
      <c r="C2340" s="7" t="s">
        <v>12556</v>
      </c>
      <c r="D2340" s="8">
        <f t="shared" si="148"/>
        <v>1</v>
      </c>
      <c r="E2340" s="7" t="s">
        <v>12557</v>
      </c>
      <c r="F2340" s="7">
        <f t="shared" si="149"/>
        <v>1</v>
      </c>
      <c r="G2340" s="7" t="s">
        <v>12558</v>
      </c>
      <c r="H2340" s="7">
        <f t="shared" si="150"/>
        <v>0</v>
      </c>
      <c r="I2340" s="7" t="str" cm="1">
        <f t="array" ref="I2340">IFERROR(_xlfn.IFS(M2340="נח",1,M2340="נע ונח",1,M2340="שני שווא נח",2,M2340="שני שוואים בסוף מילה",2,M2340="שני שוואים ברצף",1),"0")</f>
        <v>0</v>
      </c>
      <c r="J2340" s="9">
        <f t="shared" si="151"/>
        <v>4</v>
      </c>
      <c r="K2340" t="s">
        <v>6698</v>
      </c>
      <c r="L2340" t="s">
        <v>6695</v>
      </c>
      <c r="P2340" t="s">
        <v>6694</v>
      </c>
      <c r="R2340" t="s">
        <v>6694</v>
      </c>
      <c r="V2340" t="s">
        <v>6694</v>
      </c>
      <c r="W2340" t="s">
        <v>6720</v>
      </c>
    </row>
    <row r="2341" spans="1:23" ht="15.6" x14ac:dyDescent="0.4">
      <c r="A2341" s="2" t="s">
        <v>1674</v>
      </c>
      <c r="B2341" s="5" t="s">
        <v>8776</v>
      </c>
      <c r="C2341" s="7" t="s">
        <v>12556</v>
      </c>
      <c r="D2341" s="8">
        <f t="shared" si="148"/>
        <v>0</v>
      </c>
      <c r="E2341" s="7" t="s">
        <v>12557</v>
      </c>
      <c r="F2341" s="7">
        <f t="shared" si="149"/>
        <v>1</v>
      </c>
      <c r="G2341" s="7" t="s">
        <v>12558</v>
      </c>
      <c r="H2341" s="7">
        <f t="shared" si="150"/>
        <v>0</v>
      </c>
      <c r="I2341" s="7" t="str" cm="1">
        <f t="array" ref="I2341">IFERROR(_xlfn.IFS(M2341="נח",1,M2341="נע ונח",1,M2341="שני שווא נח",2,M2341="שני שוואים בסוף מילה",2,M2341="שני שוואים ברצף",1),"0")</f>
        <v>0</v>
      </c>
      <c r="J2341" s="9">
        <f t="shared" si="151"/>
        <v>3</v>
      </c>
      <c r="K2341" t="s">
        <v>6698</v>
      </c>
      <c r="L2341" t="s">
        <v>6695</v>
      </c>
      <c r="P2341" t="s">
        <v>6694</v>
      </c>
      <c r="R2341" t="s">
        <v>6694</v>
      </c>
      <c r="W2341" t="s">
        <v>6720</v>
      </c>
    </row>
    <row r="2342" spans="1:23" ht="15.6" x14ac:dyDescent="0.4">
      <c r="A2342" s="2" t="s">
        <v>4876</v>
      </c>
      <c r="B2342" s="5" t="s">
        <v>8777</v>
      </c>
      <c r="C2342" s="7" t="s">
        <v>12556</v>
      </c>
      <c r="D2342" s="8">
        <f t="shared" si="148"/>
        <v>0</v>
      </c>
      <c r="E2342" s="7" t="s">
        <v>12557</v>
      </c>
      <c r="F2342" s="7">
        <f t="shared" si="149"/>
        <v>2</v>
      </c>
      <c r="G2342" s="7" t="s">
        <v>12558</v>
      </c>
      <c r="H2342" s="7">
        <f t="shared" si="150"/>
        <v>1</v>
      </c>
      <c r="I2342" s="7" t="str" cm="1">
        <f t="array" ref="I2342">IFERROR(_xlfn.IFS(M2342="נח",1,M2342="נע ונח",1,M2342="שני שווא נח",2,M2342="שני שוואים בסוף מילה",2,M2342="שני שוואים ברצף",1),"0")</f>
        <v>0</v>
      </c>
      <c r="J2342" s="9">
        <f t="shared" si="151"/>
        <v>6</v>
      </c>
      <c r="K2342" t="s">
        <v>6697</v>
      </c>
      <c r="L2342" t="s">
        <v>6695</v>
      </c>
      <c r="P2342" t="s">
        <v>6694</v>
      </c>
      <c r="Q2342" t="s">
        <v>6694</v>
      </c>
      <c r="S2342" t="s">
        <v>6694</v>
      </c>
      <c r="U2342" t="s">
        <v>6694</v>
      </c>
      <c r="W2342" t="s">
        <v>6720</v>
      </c>
    </row>
    <row r="2343" spans="1:23" ht="15.6" x14ac:dyDescent="0.4">
      <c r="A2343" s="2" t="s">
        <v>1058</v>
      </c>
      <c r="B2343" s="5" t="s">
        <v>8778</v>
      </c>
      <c r="C2343" s="7" t="s">
        <v>12556</v>
      </c>
      <c r="D2343" s="8">
        <f t="shared" si="148"/>
        <v>0</v>
      </c>
      <c r="E2343" s="7" t="s">
        <v>12557</v>
      </c>
      <c r="F2343" s="7">
        <f t="shared" si="149"/>
        <v>2</v>
      </c>
      <c r="G2343" s="7" t="s">
        <v>12558</v>
      </c>
      <c r="H2343" s="7">
        <f t="shared" si="150"/>
        <v>1</v>
      </c>
      <c r="I2343" s="7" t="str" cm="1">
        <f t="array" ref="I2343">IFERROR(_xlfn.IFS(M2343="נח",1,M2343="נע ונח",1,M2343="שני שווא נח",2,M2343="שני שוואים בסוף מילה",2,M2343="שני שוואים ברצף",1),"0")</f>
        <v>0</v>
      </c>
      <c r="J2343" s="9">
        <f t="shared" si="151"/>
        <v>5</v>
      </c>
      <c r="K2343" t="s">
        <v>6697</v>
      </c>
      <c r="L2343" t="s">
        <v>6695</v>
      </c>
      <c r="P2343" t="s">
        <v>6694</v>
      </c>
      <c r="S2343" t="s">
        <v>6694</v>
      </c>
      <c r="U2343" t="s">
        <v>6694</v>
      </c>
      <c r="W2343" t="s">
        <v>6720</v>
      </c>
    </row>
    <row r="2344" spans="1:23" ht="15.6" x14ac:dyDescent="0.4">
      <c r="A2344" s="2" t="s">
        <v>4354</v>
      </c>
      <c r="B2344" s="5" t="s">
        <v>8416</v>
      </c>
      <c r="C2344" s="7" t="s">
        <v>12556</v>
      </c>
      <c r="D2344" s="8">
        <f t="shared" si="148"/>
        <v>0</v>
      </c>
      <c r="E2344" s="7" t="s">
        <v>12557</v>
      </c>
      <c r="F2344" s="7">
        <f t="shared" si="149"/>
        <v>3</v>
      </c>
      <c r="G2344" s="7" t="s">
        <v>12558</v>
      </c>
      <c r="H2344" s="7">
        <f t="shared" si="150"/>
        <v>1</v>
      </c>
      <c r="I2344" s="7" t="str" cm="1">
        <f t="array" ref="I2344">IFERROR(_xlfn.IFS(M2344="נח",1,M2344="נע ונח",1,M2344="שני שווא נח",2,M2344="שני שוואים בסוף מילה",2,M2344="שני שוואים ברצף",1),"0")</f>
        <v>0</v>
      </c>
      <c r="J2344" s="9">
        <f t="shared" si="151"/>
        <v>4</v>
      </c>
      <c r="K2344" t="s">
        <v>6697</v>
      </c>
      <c r="L2344" t="s">
        <v>6695</v>
      </c>
      <c r="P2344" t="s">
        <v>6694</v>
      </c>
      <c r="S2344" t="s">
        <v>6694</v>
      </c>
      <c r="U2344" t="s">
        <v>6694</v>
      </c>
      <c r="W2344" t="s">
        <v>6720</v>
      </c>
    </row>
    <row r="2345" spans="1:23" ht="15.6" x14ac:dyDescent="0.4">
      <c r="A2345" s="2" t="s">
        <v>1566</v>
      </c>
      <c r="B2345" s="5" t="s">
        <v>8779</v>
      </c>
      <c r="C2345" s="7" t="s">
        <v>12556</v>
      </c>
      <c r="D2345" s="8">
        <f t="shared" si="148"/>
        <v>0</v>
      </c>
      <c r="E2345" s="7" t="s">
        <v>12557</v>
      </c>
      <c r="F2345" s="7">
        <f t="shared" si="149"/>
        <v>3</v>
      </c>
      <c r="G2345" s="7" t="s">
        <v>12558</v>
      </c>
      <c r="H2345" s="7">
        <f t="shared" si="150"/>
        <v>1</v>
      </c>
      <c r="I2345" s="7" t="str" cm="1">
        <f t="array" ref="I2345">IFERROR(_xlfn.IFS(M2345="נח",1,M2345="נע ונח",1,M2345="שני שווא נח",2,M2345="שני שוואים בסוף מילה",2,M2345="שני שוואים ברצף",1),"0")</f>
        <v>0</v>
      </c>
      <c r="J2345" s="9">
        <f t="shared" si="151"/>
        <v>4</v>
      </c>
      <c r="K2345" t="s">
        <v>6697</v>
      </c>
      <c r="L2345" t="s">
        <v>6695</v>
      </c>
      <c r="P2345" t="s">
        <v>6694</v>
      </c>
      <c r="S2345" t="s">
        <v>6694</v>
      </c>
      <c r="U2345" t="s">
        <v>6694</v>
      </c>
      <c r="W2345" t="s">
        <v>6720</v>
      </c>
    </row>
    <row r="2346" spans="1:23" ht="15.6" x14ac:dyDescent="0.4">
      <c r="A2346" s="2" t="s">
        <v>3937</v>
      </c>
      <c r="B2346" s="5" t="s">
        <v>8780</v>
      </c>
      <c r="C2346" s="7" t="s">
        <v>12556</v>
      </c>
      <c r="D2346" s="8">
        <f t="shared" si="148"/>
        <v>0</v>
      </c>
      <c r="E2346" s="7" t="s">
        <v>12557</v>
      </c>
      <c r="F2346" s="7">
        <f t="shared" si="149"/>
        <v>2</v>
      </c>
      <c r="G2346" s="7" t="s">
        <v>12558</v>
      </c>
      <c r="H2346" s="7">
        <f t="shared" si="150"/>
        <v>0</v>
      </c>
      <c r="I2346" s="7" t="str" cm="1">
        <f t="array" ref="I2346">IFERROR(_xlfn.IFS(M2346="נח",1,M2346="נע ונח",1,M2346="שני שווא נח",2,M2346="שני שוואים בסוף מילה",2,M2346="שני שוואים ברצף",1),"0")</f>
        <v>0</v>
      </c>
      <c r="J2346" s="9">
        <f t="shared" si="151"/>
        <v>3</v>
      </c>
      <c r="K2346" t="s">
        <v>6698</v>
      </c>
      <c r="L2346" t="s">
        <v>6695</v>
      </c>
      <c r="P2346" t="s">
        <v>6694</v>
      </c>
      <c r="Q2346" t="s">
        <v>6694</v>
      </c>
      <c r="W2346" t="s">
        <v>6720</v>
      </c>
    </row>
    <row r="2347" spans="1:23" ht="15.6" x14ac:dyDescent="0.4">
      <c r="A2347" s="2" t="s">
        <v>4677</v>
      </c>
      <c r="B2347" s="5" t="s">
        <v>8781</v>
      </c>
      <c r="C2347" s="7" t="s">
        <v>12556</v>
      </c>
      <c r="D2347" s="8">
        <f t="shared" si="148"/>
        <v>0</v>
      </c>
      <c r="E2347" s="7" t="s">
        <v>12557</v>
      </c>
      <c r="F2347" s="7">
        <f t="shared" si="149"/>
        <v>2</v>
      </c>
      <c r="G2347" s="7" t="s">
        <v>12558</v>
      </c>
      <c r="H2347" s="7">
        <f t="shared" si="150"/>
        <v>0</v>
      </c>
      <c r="I2347" s="7" t="str" cm="1">
        <f t="array" ref="I2347">IFERROR(_xlfn.IFS(M2347="נח",1,M2347="נע ונח",1,M2347="שני שווא נח",2,M2347="שני שוואים בסוף מילה",2,M2347="שני שוואים ברצף",1),"0")</f>
        <v>0</v>
      </c>
      <c r="J2347" s="9">
        <f t="shared" si="151"/>
        <v>3</v>
      </c>
      <c r="K2347" t="s">
        <v>6698</v>
      </c>
      <c r="L2347" t="s">
        <v>6695</v>
      </c>
      <c r="P2347" t="s">
        <v>6694</v>
      </c>
      <c r="Q2347" t="s">
        <v>6694</v>
      </c>
      <c r="W2347" t="s">
        <v>6720</v>
      </c>
    </row>
    <row r="2348" spans="1:23" ht="15.6" x14ac:dyDescent="0.4">
      <c r="A2348" s="2" t="s">
        <v>1869</v>
      </c>
      <c r="B2348" s="5" t="s">
        <v>8782</v>
      </c>
      <c r="C2348" s="7" t="s">
        <v>12556</v>
      </c>
      <c r="D2348" s="8">
        <f t="shared" si="148"/>
        <v>0</v>
      </c>
      <c r="E2348" s="7" t="s">
        <v>12557</v>
      </c>
      <c r="F2348" s="7">
        <f t="shared" si="149"/>
        <v>2</v>
      </c>
      <c r="G2348" s="7" t="s">
        <v>12558</v>
      </c>
      <c r="H2348" s="7">
        <f t="shared" si="150"/>
        <v>0</v>
      </c>
      <c r="I2348" s="7" cm="1">
        <f t="array" ref="I2348">IFERROR(_xlfn.IFS(M2348="נח",1,M2348="נע ונח",1,M2348="שני שווא נח",2,M2348="שני שוואים בסוף מילה",2,M2348="שני שוואים ברצף",1),"0")</f>
        <v>1</v>
      </c>
      <c r="J2348" s="9">
        <f t="shared" si="151"/>
        <v>3</v>
      </c>
      <c r="K2348" t="s">
        <v>6698</v>
      </c>
      <c r="L2348" t="s">
        <v>6694</v>
      </c>
      <c r="M2348" t="s">
        <v>6705</v>
      </c>
      <c r="P2348" t="s">
        <v>6694</v>
      </c>
      <c r="Q2348" t="s">
        <v>6694</v>
      </c>
      <c r="W2348" t="s">
        <v>6720</v>
      </c>
    </row>
    <row r="2349" spans="1:23" ht="15.6" x14ac:dyDescent="0.4">
      <c r="A2349" s="2" t="s">
        <v>1532</v>
      </c>
      <c r="B2349" s="5" t="s">
        <v>8783</v>
      </c>
      <c r="C2349" s="7" t="s">
        <v>12556</v>
      </c>
      <c r="D2349" s="8">
        <f t="shared" si="148"/>
        <v>0</v>
      </c>
      <c r="E2349" s="7" t="s">
        <v>12557</v>
      </c>
      <c r="F2349" s="7">
        <f t="shared" si="149"/>
        <v>1</v>
      </c>
      <c r="G2349" s="7" t="s">
        <v>12558</v>
      </c>
      <c r="H2349" s="7">
        <f t="shared" si="150"/>
        <v>0</v>
      </c>
      <c r="I2349" s="7" cm="1">
        <f t="array" ref="I2349">IFERROR(_xlfn.IFS(M2349="נח",1,M2349="נע ונח",1,M2349="שני שווא נח",2,M2349="שני שוואים בסוף מילה",2,M2349="שני שוואים ברצף",1),"0")</f>
        <v>1</v>
      </c>
      <c r="J2349" s="9">
        <f t="shared" si="151"/>
        <v>4</v>
      </c>
      <c r="K2349" t="s">
        <v>6698</v>
      </c>
      <c r="L2349" t="s">
        <v>6694</v>
      </c>
      <c r="M2349" t="s">
        <v>6705</v>
      </c>
      <c r="P2349" t="s">
        <v>6694</v>
      </c>
      <c r="Q2349" t="s">
        <v>6694</v>
      </c>
      <c r="S2349" t="s">
        <v>6694</v>
      </c>
      <c r="W2349" t="s">
        <v>6720</v>
      </c>
    </row>
    <row r="2350" spans="1:23" ht="15.6" x14ac:dyDescent="0.4">
      <c r="A2350" s="2" t="s">
        <v>1797</v>
      </c>
      <c r="B2350" s="5" t="s">
        <v>8784</v>
      </c>
      <c r="C2350" s="7" t="s">
        <v>12556</v>
      </c>
      <c r="D2350" s="8">
        <f t="shared" si="148"/>
        <v>0</v>
      </c>
      <c r="E2350" s="7" t="s">
        <v>12557</v>
      </c>
      <c r="F2350" s="7">
        <f t="shared" si="149"/>
        <v>1</v>
      </c>
      <c r="G2350" s="7" t="s">
        <v>12558</v>
      </c>
      <c r="H2350" s="7">
        <f t="shared" si="150"/>
        <v>0</v>
      </c>
      <c r="I2350" s="7" t="str" cm="1">
        <f t="array" ref="I2350">IFERROR(_xlfn.IFS(M2350="נח",1,M2350="נע ונח",1,M2350="שני שווא נח",2,M2350="שני שוואים בסוף מילה",2,M2350="שני שוואים ברצף",1),"0")</f>
        <v>0</v>
      </c>
      <c r="J2350" s="9">
        <f t="shared" si="151"/>
        <v>4</v>
      </c>
      <c r="K2350" t="s">
        <v>6698</v>
      </c>
      <c r="L2350" t="s">
        <v>6695</v>
      </c>
      <c r="P2350" t="s">
        <v>6694</v>
      </c>
      <c r="V2350" t="s">
        <v>6694</v>
      </c>
      <c r="W2350" t="s">
        <v>6720</v>
      </c>
    </row>
    <row r="2351" spans="1:23" ht="15.6" x14ac:dyDescent="0.4">
      <c r="A2351" s="2" t="s">
        <v>1901</v>
      </c>
      <c r="B2351" s="5" t="s">
        <v>8785</v>
      </c>
      <c r="C2351" s="7" t="s">
        <v>12556</v>
      </c>
      <c r="D2351" s="8">
        <f t="shared" si="148"/>
        <v>0</v>
      </c>
      <c r="E2351" s="7" t="s">
        <v>12557</v>
      </c>
      <c r="F2351" s="7">
        <f t="shared" si="149"/>
        <v>3</v>
      </c>
      <c r="G2351" s="7" t="s">
        <v>12558</v>
      </c>
      <c r="H2351" s="7">
        <f t="shared" si="150"/>
        <v>1</v>
      </c>
      <c r="I2351" s="7" cm="1">
        <f t="array" ref="I2351">IFERROR(_xlfn.IFS(M2351="נח",1,M2351="נע ונח",1,M2351="שני שווא נח",2,M2351="שני שוואים בסוף מילה",2,M2351="שני שוואים ברצף",1),"0")</f>
        <v>1</v>
      </c>
      <c r="J2351" s="9">
        <f t="shared" si="151"/>
        <v>5</v>
      </c>
      <c r="K2351" t="s">
        <v>6697</v>
      </c>
      <c r="L2351" t="s">
        <v>6694</v>
      </c>
      <c r="M2351" t="s">
        <v>6702</v>
      </c>
      <c r="P2351" t="s">
        <v>6694</v>
      </c>
      <c r="Q2351" t="s">
        <v>6694</v>
      </c>
      <c r="U2351" t="s">
        <v>6694</v>
      </c>
      <c r="W2351" t="s">
        <v>6720</v>
      </c>
    </row>
    <row r="2352" spans="1:23" ht="15.6" x14ac:dyDescent="0.4">
      <c r="A2352" s="2" t="s">
        <v>1683</v>
      </c>
      <c r="B2352" s="5" t="s">
        <v>8786</v>
      </c>
      <c r="C2352" s="7" t="s">
        <v>12556</v>
      </c>
      <c r="D2352" s="8">
        <f t="shared" si="148"/>
        <v>1</v>
      </c>
      <c r="E2352" s="7" t="s">
        <v>12557</v>
      </c>
      <c r="F2352" s="7">
        <f t="shared" si="149"/>
        <v>1</v>
      </c>
      <c r="G2352" s="7" t="s">
        <v>12558</v>
      </c>
      <c r="H2352" s="7">
        <f t="shared" si="150"/>
        <v>0</v>
      </c>
      <c r="I2352" s="7" cm="1">
        <f t="array" ref="I2352">IFERROR(_xlfn.IFS(M2352="נח",1,M2352="נע ונח",1,M2352="שני שווא נח",2,M2352="שני שוואים בסוף מילה",2,M2352="שני שוואים ברצף",1),"0")</f>
        <v>2</v>
      </c>
      <c r="J2352" s="9">
        <f t="shared" si="151"/>
        <v>3</v>
      </c>
      <c r="K2352" t="s">
        <v>6698</v>
      </c>
      <c r="L2352" t="s">
        <v>6694</v>
      </c>
      <c r="M2352" t="s">
        <v>6704</v>
      </c>
      <c r="P2352" t="s">
        <v>6694</v>
      </c>
      <c r="S2352" t="s">
        <v>6694</v>
      </c>
      <c r="W2352" t="s">
        <v>6720</v>
      </c>
    </row>
    <row r="2353" spans="1:23" ht="15.6" x14ac:dyDescent="0.4">
      <c r="A2353" s="2" t="s">
        <v>1695</v>
      </c>
      <c r="B2353" s="5" t="s">
        <v>8787</v>
      </c>
      <c r="C2353" s="7" t="s">
        <v>12556</v>
      </c>
      <c r="D2353" s="8">
        <f t="shared" si="148"/>
        <v>0</v>
      </c>
      <c r="E2353" s="7" t="s">
        <v>12557</v>
      </c>
      <c r="F2353" s="7">
        <f t="shared" si="149"/>
        <v>1</v>
      </c>
      <c r="G2353" s="7" t="s">
        <v>12558</v>
      </c>
      <c r="H2353" s="7">
        <f t="shared" si="150"/>
        <v>0</v>
      </c>
      <c r="I2353" s="7" cm="1">
        <f t="array" ref="I2353">IFERROR(_xlfn.IFS(M2353="נח",1,M2353="נע ונח",1,M2353="שני שווא נח",2,M2353="שני שוואים בסוף מילה",2,M2353="שני שוואים ברצף",1),"0")</f>
        <v>1</v>
      </c>
      <c r="J2353" s="9">
        <f t="shared" si="151"/>
        <v>2</v>
      </c>
      <c r="K2353" t="s">
        <v>6698</v>
      </c>
      <c r="L2353" t="s">
        <v>6694</v>
      </c>
      <c r="M2353" t="s">
        <v>6705</v>
      </c>
      <c r="P2353" t="s">
        <v>6694</v>
      </c>
      <c r="W2353" t="s">
        <v>6720</v>
      </c>
    </row>
    <row r="2354" spans="1:23" ht="15.6" x14ac:dyDescent="0.4">
      <c r="A2354" s="2" t="s">
        <v>1547</v>
      </c>
      <c r="B2354" s="5" t="s">
        <v>8788</v>
      </c>
      <c r="C2354" s="7" t="s">
        <v>12556</v>
      </c>
      <c r="D2354" s="8">
        <f t="shared" si="148"/>
        <v>0</v>
      </c>
      <c r="E2354" s="7" t="s">
        <v>12557</v>
      </c>
      <c r="F2354" s="7">
        <f t="shared" si="149"/>
        <v>1</v>
      </c>
      <c r="G2354" s="7" t="s">
        <v>12558</v>
      </c>
      <c r="H2354" s="7">
        <f t="shared" si="150"/>
        <v>0</v>
      </c>
      <c r="I2354" s="7" cm="1">
        <f t="array" ref="I2354">IFERROR(_xlfn.IFS(M2354="נח",1,M2354="נע ונח",1,M2354="שני שווא נח",2,M2354="שני שוואים בסוף מילה",2,M2354="שני שוואים ברצף",1),"0")</f>
        <v>1</v>
      </c>
      <c r="J2354" s="9">
        <f t="shared" si="151"/>
        <v>3</v>
      </c>
      <c r="K2354" t="s">
        <v>6697</v>
      </c>
      <c r="L2354" t="s">
        <v>6694</v>
      </c>
      <c r="M2354" t="s">
        <v>6705</v>
      </c>
      <c r="P2354" t="s">
        <v>6694</v>
      </c>
      <c r="W2354" t="s">
        <v>6720</v>
      </c>
    </row>
    <row r="2355" spans="1:23" ht="15.6" x14ac:dyDescent="0.4">
      <c r="A2355" s="2" t="s">
        <v>1128</v>
      </c>
      <c r="B2355" s="5" t="s">
        <v>8789</v>
      </c>
      <c r="C2355" s="7" t="s">
        <v>12556</v>
      </c>
      <c r="D2355" s="8">
        <f t="shared" si="148"/>
        <v>0</v>
      </c>
      <c r="E2355" s="7" t="s">
        <v>12557</v>
      </c>
      <c r="F2355" s="7">
        <f t="shared" si="149"/>
        <v>2</v>
      </c>
      <c r="G2355" s="7" t="s">
        <v>12558</v>
      </c>
      <c r="H2355" s="7">
        <f t="shared" si="150"/>
        <v>1</v>
      </c>
      <c r="I2355" s="7" cm="1">
        <f t="array" ref="I2355">IFERROR(_xlfn.IFS(M2355="נח",1,M2355="נע ונח",1,M2355="שני שווא נח",2,M2355="שני שוואים בסוף מילה",2,M2355="שני שוואים ברצף",1),"0")</f>
        <v>1</v>
      </c>
      <c r="J2355" s="9">
        <f t="shared" si="151"/>
        <v>4</v>
      </c>
      <c r="K2355" t="s">
        <v>6697</v>
      </c>
      <c r="L2355" t="s">
        <v>6694</v>
      </c>
      <c r="M2355" t="s">
        <v>6705</v>
      </c>
      <c r="P2355" t="s">
        <v>6694</v>
      </c>
      <c r="S2355" t="s">
        <v>6694</v>
      </c>
      <c r="U2355" t="s">
        <v>6694</v>
      </c>
      <c r="W2355" t="s">
        <v>6720</v>
      </c>
    </row>
    <row r="2356" spans="1:23" ht="15.6" x14ac:dyDescent="0.4">
      <c r="A2356" s="2" t="s">
        <v>4350</v>
      </c>
      <c r="B2356" s="5" t="s">
        <v>8790</v>
      </c>
      <c r="C2356" s="7" t="s">
        <v>12556</v>
      </c>
      <c r="D2356" s="8">
        <f t="shared" si="148"/>
        <v>1</v>
      </c>
      <c r="E2356" s="7" t="s">
        <v>12557</v>
      </c>
      <c r="F2356" s="7">
        <f t="shared" si="149"/>
        <v>3</v>
      </c>
      <c r="G2356" s="7" t="s">
        <v>12558</v>
      </c>
      <c r="H2356" s="7">
        <f t="shared" si="150"/>
        <v>2</v>
      </c>
      <c r="I2356" s="7" cm="1">
        <f t="array" ref="I2356">IFERROR(_xlfn.IFS(M2356="נח",1,M2356="נע ונח",1,M2356="שני שווא נח",2,M2356="שני שוואים בסוף מילה",2,M2356="שני שוואים ברצף",1),"0")</f>
        <v>1</v>
      </c>
      <c r="J2356" s="9">
        <f t="shared" si="151"/>
        <v>5</v>
      </c>
      <c r="K2356" t="s">
        <v>6697</v>
      </c>
      <c r="L2356" t="s">
        <v>6694</v>
      </c>
      <c r="M2356" t="s">
        <v>6705</v>
      </c>
      <c r="P2356" t="s">
        <v>6694</v>
      </c>
      <c r="S2356" t="s">
        <v>6694</v>
      </c>
      <c r="U2356" t="s">
        <v>6694</v>
      </c>
      <c r="W2356" t="s">
        <v>6720</v>
      </c>
    </row>
    <row r="2357" spans="1:23" ht="15.6" x14ac:dyDescent="0.4">
      <c r="A2357" s="2" t="s">
        <v>5767</v>
      </c>
      <c r="B2357" s="5" t="s">
        <v>8791</v>
      </c>
      <c r="C2357" s="7" t="s">
        <v>12556</v>
      </c>
      <c r="D2357" s="8">
        <f t="shared" si="148"/>
        <v>0</v>
      </c>
      <c r="E2357" s="7" t="s">
        <v>12557</v>
      </c>
      <c r="F2357" s="7">
        <f t="shared" si="149"/>
        <v>1</v>
      </c>
      <c r="G2357" s="7" t="s">
        <v>12558</v>
      </c>
      <c r="H2357" s="7">
        <f t="shared" si="150"/>
        <v>0</v>
      </c>
      <c r="I2357" s="7" cm="1">
        <f t="array" ref="I2357">IFERROR(_xlfn.IFS(M2357="נח",1,M2357="נע ונח",1,M2357="שני שווא נח",2,M2357="שני שוואים בסוף מילה",2,M2357="שני שוואים ברצף",1),"0")</f>
        <v>1</v>
      </c>
      <c r="J2357" s="9">
        <f t="shared" si="151"/>
        <v>3</v>
      </c>
      <c r="K2357" t="s">
        <v>6698</v>
      </c>
      <c r="L2357" t="s">
        <v>6694</v>
      </c>
      <c r="M2357" t="s">
        <v>6705</v>
      </c>
      <c r="P2357" t="s">
        <v>6694</v>
      </c>
      <c r="Q2357" t="s">
        <v>6694</v>
      </c>
      <c r="W2357" t="s">
        <v>6720</v>
      </c>
    </row>
    <row r="2358" spans="1:23" ht="15.6" x14ac:dyDescent="0.4">
      <c r="A2358" s="2" t="s">
        <v>1040</v>
      </c>
      <c r="B2358" s="5" t="s">
        <v>8792</v>
      </c>
      <c r="C2358" s="7" t="s">
        <v>12556</v>
      </c>
      <c r="D2358" s="8">
        <f t="shared" si="148"/>
        <v>0</v>
      </c>
      <c r="E2358" s="7" t="s">
        <v>12557</v>
      </c>
      <c r="F2358" s="7">
        <f t="shared" si="149"/>
        <v>2</v>
      </c>
      <c r="G2358" s="7" t="s">
        <v>12558</v>
      </c>
      <c r="H2358" s="7">
        <f t="shared" si="150"/>
        <v>1</v>
      </c>
      <c r="I2358" s="7" cm="1">
        <f t="array" ref="I2358">IFERROR(_xlfn.IFS(M2358="נח",1,M2358="נע ונח",1,M2358="שני שווא נח",2,M2358="שני שוואים בסוף מילה",2,M2358="שני שוואים ברצף",1),"0")</f>
        <v>1</v>
      </c>
      <c r="J2358" s="9">
        <f t="shared" si="151"/>
        <v>3</v>
      </c>
      <c r="K2358" t="s">
        <v>6697</v>
      </c>
      <c r="L2358" t="s">
        <v>6694</v>
      </c>
      <c r="M2358" t="s">
        <v>6705</v>
      </c>
      <c r="P2358" t="s">
        <v>6694</v>
      </c>
      <c r="U2358" t="s">
        <v>6694</v>
      </c>
      <c r="W2358" t="s">
        <v>6720</v>
      </c>
    </row>
    <row r="2359" spans="1:23" ht="15.6" x14ac:dyDescent="0.4">
      <c r="A2359" s="2" t="s">
        <v>1593</v>
      </c>
      <c r="B2359" s="5" t="s">
        <v>8793</v>
      </c>
      <c r="C2359" s="7" t="s">
        <v>12556</v>
      </c>
      <c r="D2359" s="8">
        <f t="shared" si="148"/>
        <v>0</v>
      </c>
      <c r="E2359" s="7" t="s">
        <v>12557</v>
      </c>
      <c r="F2359" s="7">
        <f t="shared" si="149"/>
        <v>1</v>
      </c>
      <c r="G2359" s="7" t="s">
        <v>12558</v>
      </c>
      <c r="H2359" s="7">
        <f t="shared" si="150"/>
        <v>0</v>
      </c>
      <c r="I2359" s="7" cm="1">
        <f t="array" ref="I2359">IFERROR(_xlfn.IFS(M2359="נח",1,M2359="נע ונח",1,M2359="שני שווא נח",2,M2359="שני שוואים בסוף מילה",2,M2359="שני שוואים ברצף",1),"0")</f>
        <v>1</v>
      </c>
      <c r="J2359" s="9">
        <f t="shared" si="151"/>
        <v>3</v>
      </c>
      <c r="K2359" t="s">
        <v>6698</v>
      </c>
      <c r="L2359" t="s">
        <v>6694</v>
      </c>
      <c r="M2359" t="s">
        <v>6705</v>
      </c>
      <c r="P2359" t="s">
        <v>6694</v>
      </c>
      <c r="Q2359" t="s">
        <v>6694</v>
      </c>
      <c r="W2359" t="s">
        <v>6720</v>
      </c>
    </row>
    <row r="2360" spans="1:23" ht="15.6" x14ac:dyDescent="0.4">
      <c r="A2360" s="2" t="s">
        <v>5731</v>
      </c>
      <c r="B2360" s="5" t="s">
        <v>8794</v>
      </c>
      <c r="C2360" s="7" t="s">
        <v>12556</v>
      </c>
      <c r="D2360" s="8">
        <f t="shared" si="148"/>
        <v>0</v>
      </c>
      <c r="E2360" s="7" t="s">
        <v>12557</v>
      </c>
      <c r="F2360" s="7">
        <f t="shared" si="149"/>
        <v>1</v>
      </c>
      <c r="G2360" s="7" t="s">
        <v>12558</v>
      </c>
      <c r="H2360" s="7">
        <f t="shared" si="150"/>
        <v>0</v>
      </c>
      <c r="I2360" s="7" t="str" cm="1">
        <f t="array" ref="I2360">IFERROR(_xlfn.IFS(M2360="נח",1,M2360="נע ונח",1,M2360="שני שווא נח",2,M2360="שני שוואים בסוף מילה",2,M2360="שני שוואים ברצף",1),"0")</f>
        <v>0</v>
      </c>
      <c r="J2360" s="9">
        <f t="shared" si="151"/>
        <v>5</v>
      </c>
      <c r="K2360" t="s">
        <v>6698</v>
      </c>
      <c r="L2360" t="s">
        <v>6695</v>
      </c>
      <c r="P2360" t="s">
        <v>6694</v>
      </c>
      <c r="Q2360" t="s">
        <v>6694</v>
      </c>
      <c r="S2360" t="s">
        <v>6694</v>
      </c>
      <c r="W2360" t="s">
        <v>6720</v>
      </c>
    </row>
    <row r="2361" spans="1:23" ht="15.6" x14ac:dyDescent="0.4">
      <c r="A2361" s="2" t="s">
        <v>3488</v>
      </c>
      <c r="B2361" s="5" t="s">
        <v>8795</v>
      </c>
      <c r="C2361" s="7" t="s">
        <v>12556</v>
      </c>
      <c r="D2361" s="8">
        <f t="shared" si="148"/>
        <v>0</v>
      </c>
      <c r="E2361" s="7" t="s">
        <v>12557</v>
      </c>
      <c r="F2361" s="7">
        <f t="shared" si="149"/>
        <v>1</v>
      </c>
      <c r="G2361" s="7" t="s">
        <v>12558</v>
      </c>
      <c r="H2361" s="7">
        <f t="shared" si="150"/>
        <v>0</v>
      </c>
      <c r="I2361" s="7" t="str" cm="1">
        <f t="array" ref="I2361">IFERROR(_xlfn.IFS(M2361="נח",1,M2361="נע ונח",1,M2361="שני שווא נח",2,M2361="שני שוואים בסוף מילה",2,M2361="שני שוואים ברצף",1),"0")</f>
        <v>0</v>
      </c>
      <c r="J2361" s="9">
        <f t="shared" si="151"/>
        <v>5</v>
      </c>
      <c r="K2361" t="s">
        <v>6698</v>
      </c>
      <c r="L2361" t="s">
        <v>6695</v>
      </c>
      <c r="P2361" t="s">
        <v>6694</v>
      </c>
      <c r="Q2361" t="s">
        <v>6694</v>
      </c>
      <c r="S2361" t="s">
        <v>6694</v>
      </c>
      <c r="W2361" t="s">
        <v>6720</v>
      </c>
    </row>
    <row r="2362" spans="1:23" ht="15.6" x14ac:dyDescent="0.4">
      <c r="A2362" s="2" t="s">
        <v>769</v>
      </c>
      <c r="B2362" s="5" t="s">
        <v>8796</v>
      </c>
      <c r="C2362" s="7" t="s">
        <v>12556</v>
      </c>
      <c r="D2362" s="8">
        <f t="shared" si="148"/>
        <v>0</v>
      </c>
      <c r="E2362" s="7" t="s">
        <v>12557</v>
      </c>
      <c r="F2362" s="7">
        <f t="shared" si="149"/>
        <v>1</v>
      </c>
      <c r="G2362" s="7" t="s">
        <v>12558</v>
      </c>
      <c r="H2362" s="7">
        <f t="shared" si="150"/>
        <v>0</v>
      </c>
      <c r="I2362" s="7" t="str" cm="1">
        <f t="array" ref="I2362">IFERROR(_xlfn.IFS(M2362="נח",1,M2362="נע ונח",1,M2362="שני שווא נח",2,M2362="שני שוואים בסוף מילה",2,M2362="שני שוואים ברצף",1),"0")</f>
        <v>0</v>
      </c>
      <c r="J2362" s="9">
        <f t="shared" si="151"/>
        <v>4</v>
      </c>
      <c r="K2362" t="s">
        <v>6698</v>
      </c>
      <c r="L2362" t="s">
        <v>6695</v>
      </c>
      <c r="P2362" t="s">
        <v>6694</v>
      </c>
      <c r="V2362" t="s">
        <v>6694</v>
      </c>
      <c r="W2362" t="s">
        <v>6720</v>
      </c>
    </row>
    <row r="2363" spans="1:23" ht="15.6" x14ac:dyDescent="0.4">
      <c r="A2363" s="2" t="s">
        <v>1415</v>
      </c>
      <c r="B2363" s="5" t="s">
        <v>8797</v>
      </c>
      <c r="C2363" s="7" t="s">
        <v>12556</v>
      </c>
      <c r="D2363" s="8">
        <f t="shared" si="148"/>
        <v>0</v>
      </c>
      <c r="E2363" s="7" t="s">
        <v>12557</v>
      </c>
      <c r="F2363" s="7">
        <f t="shared" si="149"/>
        <v>1</v>
      </c>
      <c r="G2363" s="7" t="s">
        <v>12558</v>
      </c>
      <c r="H2363" s="7">
        <f t="shared" si="150"/>
        <v>0</v>
      </c>
      <c r="I2363" s="7" t="str" cm="1">
        <f t="array" ref="I2363">IFERROR(_xlfn.IFS(M2363="נח",1,M2363="נע ונח",1,M2363="שני שווא נח",2,M2363="שני שוואים בסוף מילה",2,M2363="שני שוואים ברצף",1),"0")</f>
        <v>0</v>
      </c>
      <c r="J2363" s="9">
        <f t="shared" si="151"/>
        <v>5</v>
      </c>
      <c r="K2363" t="s">
        <v>6698</v>
      </c>
      <c r="L2363" t="s">
        <v>6695</v>
      </c>
      <c r="P2363" t="s">
        <v>6694</v>
      </c>
      <c r="Q2363" t="s">
        <v>6694</v>
      </c>
      <c r="S2363" t="s">
        <v>6694</v>
      </c>
      <c r="W2363" t="s">
        <v>6720</v>
      </c>
    </row>
    <row r="2364" spans="1:23" ht="15.6" x14ac:dyDescent="0.4">
      <c r="A2364" s="2" t="s">
        <v>1629</v>
      </c>
      <c r="B2364" s="5" t="s">
        <v>8798</v>
      </c>
      <c r="C2364" s="7" t="s">
        <v>12556</v>
      </c>
      <c r="D2364" s="8">
        <f t="shared" si="148"/>
        <v>0</v>
      </c>
      <c r="E2364" s="7" t="s">
        <v>12557</v>
      </c>
      <c r="F2364" s="7">
        <f t="shared" si="149"/>
        <v>1</v>
      </c>
      <c r="G2364" s="7" t="s">
        <v>12558</v>
      </c>
      <c r="H2364" s="7">
        <f t="shared" si="150"/>
        <v>0</v>
      </c>
      <c r="I2364" s="7" t="str" cm="1">
        <f t="array" ref="I2364">IFERROR(_xlfn.IFS(M2364="נח",1,M2364="נע ונח",1,M2364="שני שווא נח",2,M2364="שני שוואים בסוף מילה",2,M2364="שני שוואים ברצף",1),"0")</f>
        <v>0</v>
      </c>
      <c r="J2364" s="9">
        <f t="shared" si="151"/>
        <v>6</v>
      </c>
      <c r="K2364" t="s">
        <v>6698</v>
      </c>
      <c r="L2364" t="s">
        <v>6695</v>
      </c>
      <c r="O2364" t="s">
        <v>6694</v>
      </c>
      <c r="P2364" t="s">
        <v>6694</v>
      </c>
      <c r="R2364" t="s">
        <v>6694</v>
      </c>
      <c r="S2364" t="s">
        <v>6694</v>
      </c>
      <c r="W2364" t="s">
        <v>6720</v>
      </c>
    </row>
    <row r="2365" spans="1:23" ht="15.6" x14ac:dyDescent="0.4">
      <c r="A2365" s="2" t="s">
        <v>1579</v>
      </c>
      <c r="B2365" s="5" t="s">
        <v>8799</v>
      </c>
      <c r="C2365" s="7" t="s">
        <v>12556</v>
      </c>
      <c r="D2365" s="8">
        <f t="shared" si="148"/>
        <v>0</v>
      </c>
      <c r="E2365" s="7" t="s">
        <v>12557</v>
      </c>
      <c r="F2365" s="7">
        <f t="shared" si="149"/>
        <v>1</v>
      </c>
      <c r="G2365" s="7" t="s">
        <v>12558</v>
      </c>
      <c r="H2365" s="7">
        <f t="shared" si="150"/>
        <v>0</v>
      </c>
      <c r="I2365" s="7" t="str" cm="1">
        <f t="array" ref="I2365">IFERROR(_xlfn.IFS(M2365="נח",1,M2365="נע ונח",1,M2365="שני שווא נח",2,M2365="שני שוואים בסוף מילה",2,M2365="שני שוואים ברצף",1),"0")</f>
        <v>0</v>
      </c>
      <c r="J2365" s="9">
        <f t="shared" si="151"/>
        <v>4</v>
      </c>
      <c r="K2365" t="s">
        <v>6698</v>
      </c>
      <c r="L2365" t="s">
        <v>6695</v>
      </c>
      <c r="P2365" t="s">
        <v>6694</v>
      </c>
      <c r="Q2365" t="s">
        <v>6694</v>
      </c>
      <c r="W2365" t="s">
        <v>6720</v>
      </c>
    </row>
    <row r="2366" spans="1:23" ht="15.6" x14ac:dyDescent="0.4">
      <c r="A2366" s="2" t="s">
        <v>1132</v>
      </c>
      <c r="B2366" s="5" t="s">
        <v>8799</v>
      </c>
      <c r="C2366" s="7" t="s">
        <v>12556</v>
      </c>
      <c r="D2366" s="8">
        <f t="shared" si="148"/>
        <v>0</v>
      </c>
      <c r="E2366" s="7" t="s">
        <v>12557</v>
      </c>
      <c r="F2366" s="7">
        <f t="shared" si="149"/>
        <v>1</v>
      </c>
      <c r="G2366" s="7" t="s">
        <v>12558</v>
      </c>
      <c r="H2366" s="7">
        <f t="shared" si="150"/>
        <v>0</v>
      </c>
      <c r="I2366" s="7" t="str" cm="1">
        <f t="array" ref="I2366">IFERROR(_xlfn.IFS(M2366="נח",1,M2366="נע ונח",1,M2366="שני שווא נח",2,M2366="שני שוואים בסוף מילה",2,M2366="שני שוואים ברצף",1),"0")</f>
        <v>0</v>
      </c>
      <c r="J2366" s="9">
        <f t="shared" si="151"/>
        <v>4</v>
      </c>
      <c r="K2366" t="s">
        <v>6698</v>
      </c>
      <c r="L2366" t="s">
        <v>6695</v>
      </c>
      <c r="P2366" t="s">
        <v>6694</v>
      </c>
      <c r="V2366" t="s">
        <v>6694</v>
      </c>
      <c r="W2366" t="s">
        <v>6720</v>
      </c>
    </row>
    <row r="2367" spans="1:23" ht="15.6" x14ac:dyDescent="0.4">
      <c r="A2367" s="2" t="s">
        <v>5205</v>
      </c>
      <c r="B2367" s="5" t="s">
        <v>8800</v>
      </c>
      <c r="C2367" s="7" t="s">
        <v>12556</v>
      </c>
      <c r="D2367" s="8">
        <f t="shared" si="148"/>
        <v>0</v>
      </c>
      <c r="E2367" s="7" t="s">
        <v>12557</v>
      </c>
      <c r="F2367" s="7">
        <f t="shared" si="149"/>
        <v>1</v>
      </c>
      <c r="G2367" s="7" t="s">
        <v>12558</v>
      </c>
      <c r="H2367" s="7">
        <f t="shared" si="150"/>
        <v>0</v>
      </c>
      <c r="I2367" s="7" t="str" cm="1">
        <f t="array" ref="I2367">IFERROR(_xlfn.IFS(M2367="נח",1,M2367="נע ונח",1,M2367="שני שווא נח",2,M2367="שני שוואים בסוף מילה",2,M2367="שני שוואים ברצף",1),"0")</f>
        <v>0</v>
      </c>
      <c r="J2367" s="9">
        <f t="shared" si="151"/>
        <v>5</v>
      </c>
      <c r="K2367" t="s">
        <v>6697</v>
      </c>
      <c r="L2367" t="s">
        <v>6695</v>
      </c>
      <c r="P2367" t="s">
        <v>6694</v>
      </c>
      <c r="Q2367" t="s">
        <v>6694</v>
      </c>
      <c r="S2367" t="s">
        <v>6694</v>
      </c>
      <c r="W2367" t="s">
        <v>6720</v>
      </c>
    </row>
    <row r="2368" spans="1:23" ht="15.6" x14ac:dyDescent="0.4">
      <c r="A2368" s="2" t="s">
        <v>1676</v>
      </c>
      <c r="B2368" s="5" t="s">
        <v>8801</v>
      </c>
      <c r="C2368" s="7" t="s">
        <v>12556</v>
      </c>
      <c r="D2368" s="8">
        <f t="shared" si="148"/>
        <v>0</v>
      </c>
      <c r="E2368" s="7" t="s">
        <v>12557</v>
      </c>
      <c r="F2368" s="7">
        <f t="shared" si="149"/>
        <v>2</v>
      </c>
      <c r="G2368" s="7" t="s">
        <v>12558</v>
      </c>
      <c r="H2368" s="7">
        <f t="shared" si="150"/>
        <v>1</v>
      </c>
      <c r="I2368" s="7" t="str" cm="1">
        <f t="array" ref="I2368">IFERROR(_xlfn.IFS(M2368="נח",1,M2368="נע ונח",1,M2368="שני שווא נח",2,M2368="שני שוואים בסוף מילה",2,M2368="שני שוואים ברצף",1),"0")</f>
        <v>0</v>
      </c>
      <c r="J2368" s="9">
        <f t="shared" si="151"/>
        <v>6</v>
      </c>
      <c r="K2368" t="s">
        <v>6697</v>
      </c>
      <c r="L2368" t="s">
        <v>6695</v>
      </c>
      <c r="P2368" t="s">
        <v>6694</v>
      </c>
      <c r="Q2368" t="s">
        <v>6694</v>
      </c>
      <c r="S2368" t="s">
        <v>6694</v>
      </c>
      <c r="U2368" t="s">
        <v>6694</v>
      </c>
      <c r="W2368" t="s">
        <v>6720</v>
      </c>
    </row>
    <row r="2369" spans="1:23" ht="15.6" x14ac:dyDescent="0.4">
      <c r="A2369" s="2" t="s">
        <v>5778</v>
      </c>
      <c r="B2369" s="5" t="s">
        <v>8750</v>
      </c>
      <c r="C2369" s="7" t="s">
        <v>12556</v>
      </c>
      <c r="D2369" s="8">
        <f t="shared" si="148"/>
        <v>0</v>
      </c>
      <c r="E2369" s="7" t="s">
        <v>12557</v>
      </c>
      <c r="F2369" s="7">
        <f t="shared" si="149"/>
        <v>2</v>
      </c>
      <c r="G2369" s="7" t="s">
        <v>12558</v>
      </c>
      <c r="H2369" s="7">
        <f t="shared" si="150"/>
        <v>0</v>
      </c>
      <c r="I2369" s="7" t="str" cm="1">
        <f t="array" ref="I2369">IFERROR(_xlfn.IFS(M2369="נח",1,M2369="נע ונח",1,M2369="שני שווא נח",2,M2369="שני שוואים בסוף מילה",2,M2369="שני שוואים ברצף",1),"0")</f>
        <v>0</v>
      </c>
      <c r="J2369" s="9">
        <f t="shared" si="151"/>
        <v>3</v>
      </c>
      <c r="K2369" t="s">
        <v>6698</v>
      </c>
      <c r="L2369" t="s">
        <v>6695</v>
      </c>
      <c r="P2369" t="s">
        <v>6694</v>
      </c>
      <c r="Q2369" t="s">
        <v>6694</v>
      </c>
      <c r="W2369" t="s">
        <v>6720</v>
      </c>
    </row>
    <row r="2370" spans="1:23" ht="15.6" x14ac:dyDescent="0.4">
      <c r="A2370" s="2" t="s">
        <v>5732</v>
      </c>
      <c r="B2370" s="5" t="s">
        <v>8802</v>
      </c>
      <c r="C2370" s="7" t="s">
        <v>12556</v>
      </c>
      <c r="D2370" s="8">
        <f t="shared" si="148"/>
        <v>0</v>
      </c>
      <c r="E2370" s="7" t="s">
        <v>12557</v>
      </c>
      <c r="F2370" s="7">
        <f t="shared" si="149"/>
        <v>2</v>
      </c>
      <c r="G2370" s="7" t="s">
        <v>12558</v>
      </c>
      <c r="H2370" s="7">
        <f t="shared" si="150"/>
        <v>0</v>
      </c>
      <c r="I2370" s="7" t="str" cm="1">
        <f t="array" ref="I2370">IFERROR(_xlfn.IFS(M2370="נח",1,M2370="נע ונח",1,M2370="שני שווא נח",2,M2370="שני שוואים בסוף מילה",2,M2370="שני שוואים ברצף",1),"0")</f>
        <v>0</v>
      </c>
      <c r="J2370" s="9">
        <f t="shared" si="151"/>
        <v>3</v>
      </c>
      <c r="K2370" t="s">
        <v>6698</v>
      </c>
      <c r="L2370" t="s">
        <v>6695</v>
      </c>
      <c r="P2370" t="s">
        <v>6694</v>
      </c>
      <c r="R2370" t="s">
        <v>6694</v>
      </c>
      <c r="W2370" t="s">
        <v>6720</v>
      </c>
    </row>
    <row r="2371" spans="1:23" ht="15.6" x14ac:dyDescent="0.4">
      <c r="A2371" s="2" t="s">
        <v>1139</v>
      </c>
      <c r="B2371" s="5" t="s">
        <v>8803</v>
      </c>
      <c r="C2371" s="7" t="s">
        <v>12556</v>
      </c>
      <c r="D2371" s="8">
        <f t="shared" ref="D2371:D2434" si="152">(LEN(B2371)-LEN(SUBSTITUTE(B2371,C2371,"")))</f>
        <v>0</v>
      </c>
      <c r="E2371" s="7" t="s">
        <v>12557</v>
      </c>
      <c r="F2371" s="7">
        <f t="shared" ref="F2371:F2434" si="153">(LEN(A2371)-LEN(SUBSTITUTE(A2371,E2371,"")))</f>
        <v>2</v>
      </c>
      <c r="G2371" s="7" t="s">
        <v>12558</v>
      </c>
      <c r="H2371" s="7">
        <f t="shared" ref="H2371:H2434" si="154">(LEN(A2371)-LEN(SUBSTITUTE(A2371,G2371,"")))/2</f>
        <v>1</v>
      </c>
      <c r="I2371" s="7" cm="1">
        <f t="array" ref="I2371">IFERROR(_xlfn.IFS(M2371="נח",1,M2371="נע ונח",1,M2371="שני שווא נח",2,M2371="שני שוואים בסוף מילה",2,M2371="שני שוואים ברצף",1),"0")</f>
        <v>1</v>
      </c>
      <c r="J2371" s="9">
        <f t="shared" ref="J2371:J2434" si="155">LEN(A2371)-(LEN(B2371))-D2371-F2371+H2371-I2371</f>
        <v>4</v>
      </c>
      <c r="K2371" t="s">
        <v>6697</v>
      </c>
      <c r="L2371" t="s">
        <v>6694</v>
      </c>
      <c r="M2371" t="s">
        <v>6705</v>
      </c>
      <c r="P2371" t="s">
        <v>6694</v>
      </c>
      <c r="S2371" t="s">
        <v>6694</v>
      </c>
      <c r="U2371" t="s">
        <v>6694</v>
      </c>
      <c r="W2371" t="s">
        <v>6720</v>
      </c>
    </row>
    <row r="2372" spans="1:23" ht="15.6" x14ac:dyDescent="0.4">
      <c r="A2372" s="2" t="s">
        <v>2094</v>
      </c>
      <c r="B2372" s="5" t="s">
        <v>8804</v>
      </c>
      <c r="C2372" s="7" t="s">
        <v>12556</v>
      </c>
      <c r="D2372" s="8">
        <f t="shared" si="152"/>
        <v>0</v>
      </c>
      <c r="E2372" s="7" t="s">
        <v>12557</v>
      </c>
      <c r="F2372" s="7">
        <f t="shared" si="153"/>
        <v>2</v>
      </c>
      <c r="G2372" s="7" t="s">
        <v>12558</v>
      </c>
      <c r="H2372" s="7">
        <f t="shared" si="154"/>
        <v>1</v>
      </c>
      <c r="I2372" s="7" cm="1">
        <f t="array" ref="I2372">IFERROR(_xlfn.IFS(M2372="נח",1,M2372="נע ונח",1,M2372="שני שווא נח",2,M2372="שני שוואים בסוף מילה",2,M2372="שני שוואים ברצף",1),"0")</f>
        <v>1</v>
      </c>
      <c r="J2372" s="9">
        <f t="shared" si="155"/>
        <v>4</v>
      </c>
      <c r="K2372" t="s">
        <v>6697</v>
      </c>
      <c r="L2372" t="s">
        <v>6694</v>
      </c>
      <c r="M2372" t="s">
        <v>6705</v>
      </c>
      <c r="P2372" t="s">
        <v>6694</v>
      </c>
      <c r="S2372" t="s">
        <v>6694</v>
      </c>
      <c r="U2372" t="s">
        <v>6694</v>
      </c>
      <c r="W2372" t="s">
        <v>6720</v>
      </c>
    </row>
    <row r="2373" spans="1:23" ht="15.6" x14ac:dyDescent="0.4">
      <c r="A2373" s="2" t="s">
        <v>1997</v>
      </c>
      <c r="B2373" s="5" t="s">
        <v>8805</v>
      </c>
      <c r="C2373" s="7" t="s">
        <v>12556</v>
      </c>
      <c r="D2373" s="8">
        <f t="shared" si="152"/>
        <v>0</v>
      </c>
      <c r="E2373" s="7" t="s">
        <v>12557</v>
      </c>
      <c r="F2373" s="7">
        <f t="shared" si="153"/>
        <v>1</v>
      </c>
      <c r="G2373" s="7" t="s">
        <v>12558</v>
      </c>
      <c r="H2373" s="7">
        <f t="shared" si="154"/>
        <v>0</v>
      </c>
      <c r="I2373" s="7" cm="1">
        <f t="array" ref="I2373">IFERROR(_xlfn.IFS(M2373="נח",1,M2373="נע ונח",1,M2373="שני שווא נח",2,M2373="שני שוואים בסוף מילה",2,M2373="שני שוואים ברצף",1),"0")</f>
        <v>1</v>
      </c>
      <c r="J2373" s="9">
        <f t="shared" si="155"/>
        <v>3</v>
      </c>
      <c r="K2373" t="s">
        <v>6698</v>
      </c>
      <c r="L2373" t="s">
        <v>6694</v>
      </c>
      <c r="M2373" t="s">
        <v>6705</v>
      </c>
      <c r="P2373" t="s">
        <v>6694</v>
      </c>
      <c r="Q2373" t="s">
        <v>6694</v>
      </c>
      <c r="W2373" t="s">
        <v>6720</v>
      </c>
    </row>
    <row r="2374" spans="1:23" ht="15.6" x14ac:dyDescent="0.4">
      <c r="A2374" s="2" t="s">
        <v>5240</v>
      </c>
      <c r="B2374" s="5" t="s">
        <v>8806</v>
      </c>
      <c r="C2374" s="7" t="s">
        <v>12556</v>
      </c>
      <c r="D2374" s="8">
        <f t="shared" si="152"/>
        <v>0</v>
      </c>
      <c r="E2374" s="7" t="s">
        <v>12557</v>
      </c>
      <c r="F2374" s="7">
        <f t="shared" si="153"/>
        <v>1</v>
      </c>
      <c r="G2374" s="7" t="s">
        <v>12558</v>
      </c>
      <c r="H2374" s="7">
        <f t="shared" si="154"/>
        <v>0</v>
      </c>
      <c r="I2374" s="7" cm="1">
        <f t="array" ref="I2374">IFERROR(_xlfn.IFS(M2374="נח",1,M2374="נע ונח",1,M2374="שני שווא נח",2,M2374="שני שוואים בסוף מילה",2,M2374="שני שוואים ברצף",1),"0")</f>
        <v>1</v>
      </c>
      <c r="J2374" s="9">
        <f t="shared" si="155"/>
        <v>4</v>
      </c>
      <c r="K2374" t="s">
        <v>6698</v>
      </c>
      <c r="L2374" t="s">
        <v>6694</v>
      </c>
      <c r="M2374" t="s">
        <v>6705</v>
      </c>
      <c r="P2374" t="s">
        <v>6694</v>
      </c>
      <c r="Q2374" t="s">
        <v>6694</v>
      </c>
      <c r="S2374" t="s">
        <v>6694</v>
      </c>
      <c r="W2374" t="s">
        <v>6720</v>
      </c>
    </row>
    <row r="2375" spans="1:23" ht="15.6" x14ac:dyDescent="0.4">
      <c r="A2375" s="2" t="s">
        <v>5737</v>
      </c>
      <c r="B2375" s="5" t="s">
        <v>8807</v>
      </c>
      <c r="C2375" s="7" t="s">
        <v>12556</v>
      </c>
      <c r="D2375" s="8">
        <f t="shared" si="152"/>
        <v>1</v>
      </c>
      <c r="E2375" s="7" t="s">
        <v>12557</v>
      </c>
      <c r="F2375" s="7">
        <f t="shared" si="153"/>
        <v>1</v>
      </c>
      <c r="G2375" s="7" t="s">
        <v>12558</v>
      </c>
      <c r="H2375" s="7">
        <f t="shared" si="154"/>
        <v>0</v>
      </c>
      <c r="I2375" s="7" cm="1">
        <f t="array" ref="I2375">IFERROR(_xlfn.IFS(M2375="נח",1,M2375="נע ונח",1,M2375="שני שווא נח",2,M2375="שני שוואים בסוף מילה",2,M2375="שני שוואים ברצף",1),"0")</f>
        <v>2</v>
      </c>
      <c r="J2375" s="9">
        <f t="shared" si="155"/>
        <v>2</v>
      </c>
      <c r="K2375" t="s">
        <v>6698</v>
      </c>
      <c r="L2375" t="s">
        <v>6694</v>
      </c>
      <c r="M2375" t="s">
        <v>6717</v>
      </c>
      <c r="P2375" t="s">
        <v>6694</v>
      </c>
      <c r="W2375" t="s">
        <v>6720</v>
      </c>
    </row>
    <row r="2376" spans="1:23" ht="15.6" x14ac:dyDescent="0.4">
      <c r="A2376" s="2" t="s">
        <v>1662</v>
      </c>
      <c r="B2376" s="5" t="s">
        <v>8808</v>
      </c>
      <c r="C2376" s="7" t="s">
        <v>12556</v>
      </c>
      <c r="D2376" s="8">
        <f t="shared" si="152"/>
        <v>0</v>
      </c>
      <c r="E2376" s="7" t="s">
        <v>12557</v>
      </c>
      <c r="F2376" s="7">
        <f t="shared" si="153"/>
        <v>3</v>
      </c>
      <c r="G2376" s="7" t="s">
        <v>12558</v>
      </c>
      <c r="H2376" s="7">
        <f t="shared" si="154"/>
        <v>1</v>
      </c>
      <c r="I2376" s="7" t="str" cm="1">
        <f t="array" ref="I2376">IFERROR(_xlfn.IFS(M2376="נח",1,M2376="נע ונח",1,M2376="שני שווא נח",2,M2376="שני שוואים בסוף מילה",2,M2376="שני שוואים ברצף",1),"0")</f>
        <v>0</v>
      </c>
      <c r="J2376" s="9">
        <f t="shared" si="155"/>
        <v>5</v>
      </c>
      <c r="K2376" t="s">
        <v>6697</v>
      </c>
      <c r="L2376" t="s">
        <v>6695</v>
      </c>
      <c r="P2376" t="s">
        <v>6694</v>
      </c>
      <c r="Q2376" t="s">
        <v>6694</v>
      </c>
      <c r="S2376" t="s">
        <v>6694</v>
      </c>
      <c r="U2376" t="s">
        <v>6694</v>
      </c>
      <c r="W2376" t="s">
        <v>6720</v>
      </c>
    </row>
    <row r="2377" spans="1:23" ht="15.6" x14ac:dyDescent="0.4">
      <c r="A2377" s="2" t="s">
        <v>1756</v>
      </c>
      <c r="B2377" s="5" t="s">
        <v>8809</v>
      </c>
      <c r="C2377" s="7" t="s">
        <v>12556</v>
      </c>
      <c r="D2377" s="8">
        <f t="shared" si="152"/>
        <v>0</v>
      </c>
      <c r="E2377" s="7" t="s">
        <v>12557</v>
      </c>
      <c r="F2377" s="7">
        <f t="shared" si="153"/>
        <v>1</v>
      </c>
      <c r="G2377" s="7" t="s">
        <v>12558</v>
      </c>
      <c r="H2377" s="7">
        <f t="shared" si="154"/>
        <v>0</v>
      </c>
      <c r="I2377" s="7" t="str" cm="1">
        <f t="array" ref="I2377">IFERROR(_xlfn.IFS(M2377="נח",1,M2377="נע ונח",1,M2377="שני שווא נח",2,M2377="שני שוואים בסוף מילה",2,M2377="שני שוואים ברצף",1),"0")</f>
        <v>0</v>
      </c>
      <c r="J2377" s="9">
        <f t="shared" si="155"/>
        <v>3</v>
      </c>
      <c r="K2377" t="s">
        <v>6698</v>
      </c>
      <c r="L2377" t="s">
        <v>6695</v>
      </c>
      <c r="O2377" t="s">
        <v>6694</v>
      </c>
      <c r="P2377" t="s">
        <v>6694</v>
      </c>
      <c r="R2377" t="s">
        <v>6694</v>
      </c>
      <c r="W2377" t="s">
        <v>6720</v>
      </c>
    </row>
    <row r="2378" spans="1:23" ht="15.6" x14ac:dyDescent="0.4">
      <c r="A2378" s="2" t="s">
        <v>1671</v>
      </c>
      <c r="B2378" s="5" t="s">
        <v>8428</v>
      </c>
      <c r="C2378" s="7" t="s">
        <v>12556</v>
      </c>
      <c r="D2378" s="8">
        <f t="shared" si="152"/>
        <v>0</v>
      </c>
      <c r="E2378" s="7" t="s">
        <v>12557</v>
      </c>
      <c r="F2378" s="7">
        <f t="shared" si="153"/>
        <v>1</v>
      </c>
      <c r="G2378" s="7" t="s">
        <v>12558</v>
      </c>
      <c r="H2378" s="7">
        <f t="shared" si="154"/>
        <v>0</v>
      </c>
      <c r="I2378" s="7" t="str" cm="1">
        <f t="array" ref="I2378">IFERROR(_xlfn.IFS(M2378="נח",1,M2378="נע ונח",1,M2378="שני שווא נח",2,M2378="שני שוואים בסוף מילה",2,M2378="שני שוואים ברצף",1),"0")</f>
        <v>0</v>
      </c>
      <c r="J2378" s="9">
        <f t="shared" si="155"/>
        <v>3</v>
      </c>
      <c r="K2378" t="s">
        <v>6697</v>
      </c>
      <c r="L2378" t="s">
        <v>6695</v>
      </c>
      <c r="O2378" t="s">
        <v>6694</v>
      </c>
      <c r="P2378" t="s">
        <v>6694</v>
      </c>
      <c r="V2378" t="s">
        <v>6694</v>
      </c>
      <c r="W2378" t="s">
        <v>6720</v>
      </c>
    </row>
    <row r="2379" spans="1:23" ht="15.6" x14ac:dyDescent="0.4">
      <c r="A2379" s="2" t="s">
        <v>3056</v>
      </c>
      <c r="B2379" s="5" t="s">
        <v>8810</v>
      </c>
      <c r="C2379" s="7" t="s">
        <v>12556</v>
      </c>
      <c r="D2379" s="8">
        <f t="shared" si="152"/>
        <v>0</v>
      </c>
      <c r="E2379" s="7" t="s">
        <v>12557</v>
      </c>
      <c r="F2379" s="7">
        <f t="shared" si="153"/>
        <v>1</v>
      </c>
      <c r="G2379" s="7" t="s">
        <v>12558</v>
      </c>
      <c r="H2379" s="7">
        <f t="shared" si="154"/>
        <v>0</v>
      </c>
      <c r="I2379" s="7" t="str" cm="1">
        <f t="array" ref="I2379">IFERROR(_xlfn.IFS(M2379="נח",1,M2379="נע ונח",1,M2379="שני שווא נח",2,M2379="שני שוואים בסוף מילה",2,M2379="שני שוואים ברצף",1),"0")</f>
        <v>0</v>
      </c>
      <c r="J2379" s="9">
        <f t="shared" si="155"/>
        <v>3</v>
      </c>
      <c r="K2379" t="s">
        <v>6698</v>
      </c>
      <c r="L2379" t="s">
        <v>6695</v>
      </c>
      <c r="O2379" t="s">
        <v>6694</v>
      </c>
      <c r="P2379" t="s">
        <v>6694</v>
      </c>
      <c r="R2379" t="s">
        <v>6694</v>
      </c>
      <c r="W2379" t="s">
        <v>6720</v>
      </c>
    </row>
    <row r="2380" spans="1:23" ht="15.6" x14ac:dyDescent="0.4">
      <c r="A2380" s="2" t="s">
        <v>5753</v>
      </c>
      <c r="B2380" s="5" t="s">
        <v>8811</v>
      </c>
      <c r="C2380" s="7" t="s">
        <v>12556</v>
      </c>
      <c r="D2380" s="8">
        <f t="shared" si="152"/>
        <v>0</v>
      </c>
      <c r="E2380" s="7" t="s">
        <v>12557</v>
      </c>
      <c r="F2380" s="7">
        <f t="shared" si="153"/>
        <v>3</v>
      </c>
      <c r="G2380" s="7" t="s">
        <v>12558</v>
      </c>
      <c r="H2380" s="7">
        <f t="shared" si="154"/>
        <v>2</v>
      </c>
      <c r="I2380" s="7" t="str" cm="1">
        <f t="array" ref="I2380">IFERROR(_xlfn.IFS(M2380="נח",1,M2380="נע ונח",1,M2380="שני שווא נח",2,M2380="שני שוואים בסוף מילה",2,M2380="שני שוואים ברצף",1),"0")</f>
        <v>0</v>
      </c>
      <c r="J2380" s="9">
        <f t="shared" si="155"/>
        <v>4</v>
      </c>
      <c r="K2380" t="s">
        <v>6697</v>
      </c>
      <c r="L2380" t="s">
        <v>6695</v>
      </c>
      <c r="O2380" t="s">
        <v>6694</v>
      </c>
      <c r="P2380" t="s">
        <v>6694</v>
      </c>
      <c r="U2380" t="s">
        <v>6694</v>
      </c>
      <c r="W2380" t="s">
        <v>6720</v>
      </c>
    </row>
    <row r="2381" spans="1:23" ht="15.6" x14ac:dyDescent="0.4">
      <c r="A2381" s="2" t="s">
        <v>6456</v>
      </c>
      <c r="B2381" s="5" t="s">
        <v>8812</v>
      </c>
      <c r="C2381" s="7" t="s">
        <v>12556</v>
      </c>
      <c r="D2381" s="8">
        <f t="shared" si="152"/>
        <v>0</v>
      </c>
      <c r="E2381" s="7" t="s">
        <v>12557</v>
      </c>
      <c r="F2381" s="7">
        <f t="shared" si="153"/>
        <v>2</v>
      </c>
      <c r="G2381" s="7" t="s">
        <v>12558</v>
      </c>
      <c r="H2381" s="7">
        <f t="shared" si="154"/>
        <v>1</v>
      </c>
      <c r="I2381" s="7" t="str" cm="1">
        <f t="array" ref="I2381">IFERROR(_xlfn.IFS(M2381="נח",1,M2381="נע ונח",1,M2381="שני שווא נח",2,M2381="שני שוואים בסוף מילה",2,M2381="שני שוואים ברצף",1),"0")</f>
        <v>0</v>
      </c>
      <c r="J2381" s="9">
        <f t="shared" si="155"/>
        <v>4</v>
      </c>
      <c r="K2381" t="s">
        <v>6697</v>
      </c>
      <c r="L2381" t="s">
        <v>6695</v>
      </c>
      <c r="O2381" t="s">
        <v>6694</v>
      </c>
      <c r="P2381" t="s">
        <v>6694</v>
      </c>
      <c r="S2381" t="s">
        <v>6694</v>
      </c>
      <c r="U2381" t="s">
        <v>6694</v>
      </c>
      <c r="W2381" t="s">
        <v>6720</v>
      </c>
    </row>
    <row r="2382" spans="1:23" ht="15.6" x14ac:dyDescent="0.4">
      <c r="A2382" s="2" t="s">
        <v>1089</v>
      </c>
      <c r="B2382" s="5" t="s">
        <v>8813</v>
      </c>
      <c r="C2382" s="7" t="s">
        <v>12556</v>
      </c>
      <c r="D2382" s="8">
        <f t="shared" si="152"/>
        <v>0</v>
      </c>
      <c r="E2382" s="7" t="s">
        <v>12557</v>
      </c>
      <c r="F2382" s="7">
        <f t="shared" si="153"/>
        <v>2</v>
      </c>
      <c r="G2382" s="7" t="s">
        <v>12558</v>
      </c>
      <c r="H2382" s="7">
        <f t="shared" si="154"/>
        <v>1</v>
      </c>
      <c r="I2382" s="7" t="str" cm="1">
        <f t="array" ref="I2382">IFERROR(_xlfn.IFS(M2382="נח",1,M2382="נע ונח",1,M2382="שני שווא נח",2,M2382="שני שוואים בסוף מילה",2,M2382="שני שוואים ברצף",1),"0")</f>
        <v>0</v>
      </c>
      <c r="J2382" s="9">
        <f t="shared" si="155"/>
        <v>4</v>
      </c>
      <c r="K2382" t="s">
        <v>6697</v>
      </c>
      <c r="L2382" t="s">
        <v>6695</v>
      </c>
      <c r="O2382" t="s">
        <v>6694</v>
      </c>
      <c r="P2382" t="s">
        <v>6694</v>
      </c>
      <c r="S2382" t="s">
        <v>6694</v>
      </c>
      <c r="U2382" t="s">
        <v>6694</v>
      </c>
      <c r="W2382" t="s">
        <v>6720</v>
      </c>
    </row>
    <row r="2383" spans="1:23" ht="15.6" x14ac:dyDescent="0.4">
      <c r="A2383" s="2" t="s">
        <v>1686</v>
      </c>
      <c r="B2383" s="5" t="s">
        <v>8814</v>
      </c>
      <c r="C2383" s="7" t="s">
        <v>12556</v>
      </c>
      <c r="D2383" s="8">
        <f t="shared" si="152"/>
        <v>0</v>
      </c>
      <c r="E2383" s="7" t="s">
        <v>12557</v>
      </c>
      <c r="F2383" s="7">
        <f t="shared" si="153"/>
        <v>1</v>
      </c>
      <c r="G2383" s="7" t="s">
        <v>12558</v>
      </c>
      <c r="H2383" s="7">
        <f t="shared" si="154"/>
        <v>0</v>
      </c>
      <c r="I2383" s="7" t="str" cm="1">
        <f t="array" ref="I2383">IFERROR(_xlfn.IFS(M2383="נח",1,M2383="נע ונח",1,M2383="שני שווא נח",2,M2383="שני שוואים בסוף מילה",2,M2383="שני שוואים ברצף",1),"0")</f>
        <v>0</v>
      </c>
      <c r="J2383" s="9">
        <f t="shared" si="155"/>
        <v>3</v>
      </c>
      <c r="K2383" t="s">
        <v>6698</v>
      </c>
      <c r="L2383" t="s">
        <v>6695</v>
      </c>
      <c r="O2383" t="s">
        <v>6694</v>
      </c>
      <c r="P2383" t="s">
        <v>6694</v>
      </c>
      <c r="R2383" t="s">
        <v>6694</v>
      </c>
      <c r="W2383" t="s">
        <v>6720</v>
      </c>
    </row>
    <row r="2384" spans="1:23" ht="15.6" x14ac:dyDescent="0.4">
      <c r="A2384" s="2" t="s">
        <v>566</v>
      </c>
      <c r="B2384" s="5" t="s">
        <v>8815</v>
      </c>
      <c r="C2384" s="7" t="s">
        <v>12556</v>
      </c>
      <c r="D2384" s="8">
        <f t="shared" si="152"/>
        <v>0</v>
      </c>
      <c r="E2384" s="7" t="s">
        <v>12557</v>
      </c>
      <c r="F2384" s="7">
        <f t="shared" si="153"/>
        <v>1</v>
      </c>
      <c r="G2384" s="7" t="s">
        <v>12558</v>
      </c>
      <c r="H2384" s="7">
        <f t="shared" si="154"/>
        <v>0</v>
      </c>
      <c r="I2384" s="7" t="str" cm="1">
        <f t="array" ref="I2384">IFERROR(_xlfn.IFS(M2384="נח",1,M2384="נע ונח",1,M2384="שני שווא נח",2,M2384="שני שוואים בסוף מילה",2,M2384="שני שוואים ברצף",1),"0")</f>
        <v>0</v>
      </c>
      <c r="J2384" s="9">
        <f t="shared" si="155"/>
        <v>3</v>
      </c>
      <c r="K2384" t="s">
        <v>6698</v>
      </c>
      <c r="L2384" t="s">
        <v>6695</v>
      </c>
      <c r="O2384" t="s">
        <v>6694</v>
      </c>
      <c r="P2384" t="s">
        <v>6694</v>
      </c>
      <c r="V2384" t="s">
        <v>6694</v>
      </c>
      <c r="W2384" t="s">
        <v>6720</v>
      </c>
    </row>
    <row r="2385" spans="1:23" ht="15.6" x14ac:dyDescent="0.4">
      <c r="A2385" s="2" t="s">
        <v>1984</v>
      </c>
      <c r="B2385" s="5" t="s">
        <v>8816</v>
      </c>
      <c r="C2385" s="7" t="s">
        <v>12556</v>
      </c>
      <c r="D2385" s="8">
        <f t="shared" si="152"/>
        <v>0</v>
      </c>
      <c r="E2385" s="7" t="s">
        <v>12557</v>
      </c>
      <c r="F2385" s="7">
        <f t="shared" si="153"/>
        <v>1</v>
      </c>
      <c r="G2385" s="7" t="s">
        <v>12558</v>
      </c>
      <c r="H2385" s="7">
        <f t="shared" si="154"/>
        <v>0</v>
      </c>
      <c r="I2385" s="7" t="str" cm="1">
        <f t="array" ref="I2385">IFERROR(_xlfn.IFS(M2385="נח",1,M2385="נע ונח",1,M2385="שני שווא נח",2,M2385="שני שוואים בסוף מילה",2,M2385="שני שוואים ברצף",1),"0")</f>
        <v>0</v>
      </c>
      <c r="J2385" s="9">
        <f t="shared" si="155"/>
        <v>3</v>
      </c>
      <c r="K2385" t="s">
        <v>6698</v>
      </c>
      <c r="L2385" t="s">
        <v>6695</v>
      </c>
      <c r="O2385" t="s">
        <v>6694</v>
      </c>
      <c r="P2385" t="s">
        <v>6694</v>
      </c>
      <c r="V2385" t="s">
        <v>6694</v>
      </c>
      <c r="W2385" t="s">
        <v>6720</v>
      </c>
    </row>
    <row r="2386" spans="1:23" ht="15.6" x14ac:dyDescent="0.4">
      <c r="A2386" s="2" t="s">
        <v>5524</v>
      </c>
      <c r="B2386" s="5" t="s">
        <v>8437</v>
      </c>
      <c r="C2386" s="7" t="s">
        <v>12556</v>
      </c>
      <c r="D2386" s="8">
        <f t="shared" si="152"/>
        <v>0</v>
      </c>
      <c r="E2386" s="7" t="s">
        <v>12557</v>
      </c>
      <c r="F2386" s="7">
        <f t="shared" si="153"/>
        <v>2</v>
      </c>
      <c r="G2386" s="7" t="s">
        <v>12558</v>
      </c>
      <c r="H2386" s="7">
        <f t="shared" si="154"/>
        <v>1</v>
      </c>
      <c r="I2386" s="7" t="str" cm="1">
        <f t="array" ref="I2386">IFERROR(_xlfn.IFS(M2386="נח",1,M2386="נע ונח",1,M2386="שני שווא נח",2,M2386="שני שוואים בסוף מילה",2,M2386="שני שוואים ברצף",1),"0")</f>
        <v>0</v>
      </c>
      <c r="J2386" s="9">
        <f t="shared" si="155"/>
        <v>4</v>
      </c>
      <c r="K2386" t="s">
        <v>6697</v>
      </c>
      <c r="L2386" t="s">
        <v>6695</v>
      </c>
      <c r="O2386" t="s">
        <v>6694</v>
      </c>
      <c r="P2386" t="s">
        <v>6694</v>
      </c>
      <c r="S2386" t="s">
        <v>6694</v>
      </c>
      <c r="U2386" t="s">
        <v>6694</v>
      </c>
      <c r="W2386" t="s">
        <v>6720</v>
      </c>
    </row>
    <row r="2387" spans="1:23" ht="15.6" x14ac:dyDescent="0.4">
      <c r="A2387" s="2" t="s">
        <v>3493</v>
      </c>
      <c r="B2387" s="5" t="s">
        <v>8817</v>
      </c>
      <c r="C2387" s="7" t="s">
        <v>12556</v>
      </c>
      <c r="D2387" s="8">
        <f t="shared" si="152"/>
        <v>0</v>
      </c>
      <c r="E2387" s="7" t="s">
        <v>12557</v>
      </c>
      <c r="F2387" s="7">
        <f t="shared" si="153"/>
        <v>1</v>
      </c>
      <c r="G2387" s="7" t="s">
        <v>12558</v>
      </c>
      <c r="H2387" s="7">
        <f t="shared" si="154"/>
        <v>0</v>
      </c>
      <c r="I2387" s="7" t="str" cm="1">
        <f t="array" ref="I2387">IFERROR(_xlfn.IFS(M2387="נח",1,M2387="נע ונח",1,M2387="שני שווא נח",2,M2387="שני שוואים בסוף מילה",2,M2387="שני שוואים ברצף",1),"0")</f>
        <v>0</v>
      </c>
      <c r="J2387" s="9">
        <f t="shared" si="155"/>
        <v>3</v>
      </c>
      <c r="K2387" t="s">
        <v>6698</v>
      </c>
      <c r="L2387" t="s">
        <v>6695</v>
      </c>
      <c r="O2387" t="s">
        <v>6694</v>
      </c>
      <c r="P2387" t="s">
        <v>6694</v>
      </c>
      <c r="R2387" t="s">
        <v>6694</v>
      </c>
      <c r="W2387" t="s">
        <v>6720</v>
      </c>
    </row>
    <row r="2388" spans="1:23" ht="15.6" x14ac:dyDescent="0.4">
      <c r="A2388" s="2" t="s">
        <v>1436</v>
      </c>
      <c r="B2388" s="5" t="s">
        <v>8818</v>
      </c>
      <c r="C2388" s="7" t="s">
        <v>12556</v>
      </c>
      <c r="D2388" s="8">
        <f t="shared" si="152"/>
        <v>0</v>
      </c>
      <c r="E2388" s="7" t="s">
        <v>12557</v>
      </c>
      <c r="F2388" s="7">
        <f t="shared" si="153"/>
        <v>1</v>
      </c>
      <c r="G2388" s="7" t="s">
        <v>12558</v>
      </c>
      <c r="H2388" s="7">
        <f t="shared" si="154"/>
        <v>0</v>
      </c>
      <c r="I2388" s="7" t="str" cm="1">
        <f t="array" ref="I2388">IFERROR(_xlfn.IFS(M2388="נח",1,M2388="נע ונח",1,M2388="שני שווא נח",2,M2388="שני שוואים בסוף מילה",2,M2388="שני שוואים ברצף",1),"0")</f>
        <v>0</v>
      </c>
      <c r="J2388" s="9">
        <f t="shared" si="155"/>
        <v>3</v>
      </c>
      <c r="K2388" t="s">
        <v>6698</v>
      </c>
      <c r="L2388" t="s">
        <v>6695</v>
      </c>
      <c r="O2388" t="s">
        <v>6694</v>
      </c>
      <c r="P2388" t="s">
        <v>6694</v>
      </c>
      <c r="R2388" t="s">
        <v>6694</v>
      </c>
      <c r="W2388" t="s">
        <v>6720</v>
      </c>
    </row>
    <row r="2389" spans="1:23" ht="15.6" x14ac:dyDescent="0.4">
      <c r="A2389" s="2" t="s">
        <v>151</v>
      </c>
      <c r="B2389" s="5" t="s">
        <v>8453</v>
      </c>
      <c r="C2389" s="7" t="s">
        <v>12556</v>
      </c>
      <c r="D2389" s="8">
        <f t="shared" si="152"/>
        <v>1</v>
      </c>
      <c r="E2389" s="7" t="s">
        <v>12557</v>
      </c>
      <c r="F2389" s="7">
        <f t="shared" si="153"/>
        <v>1</v>
      </c>
      <c r="G2389" s="7" t="s">
        <v>12558</v>
      </c>
      <c r="H2389" s="7">
        <f t="shared" si="154"/>
        <v>0</v>
      </c>
      <c r="I2389" s="7" t="str" cm="1">
        <f t="array" ref="I2389">IFERROR(_xlfn.IFS(M2389="נח",1,M2389="נע ונח",1,M2389="שני שווא נח",2,M2389="שני שוואים בסוף מילה",2,M2389="שני שוואים ברצף",1),"0")</f>
        <v>0</v>
      </c>
      <c r="J2389" s="9">
        <f t="shared" si="155"/>
        <v>3</v>
      </c>
      <c r="K2389" t="s">
        <v>6698</v>
      </c>
      <c r="L2389" t="s">
        <v>6695</v>
      </c>
      <c r="O2389" t="s">
        <v>6694</v>
      </c>
      <c r="P2389" t="s">
        <v>6694</v>
      </c>
      <c r="R2389" t="s">
        <v>6694</v>
      </c>
      <c r="W2389" t="s">
        <v>6720</v>
      </c>
    </row>
    <row r="2390" spans="1:23" ht="15.6" x14ac:dyDescent="0.4">
      <c r="A2390" s="2" t="s">
        <v>4227</v>
      </c>
      <c r="B2390" s="5" t="s">
        <v>8453</v>
      </c>
      <c r="C2390" s="7" t="s">
        <v>12556</v>
      </c>
      <c r="D2390" s="8">
        <f t="shared" si="152"/>
        <v>1</v>
      </c>
      <c r="E2390" s="7" t="s">
        <v>12557</v>
      </c>
      <c r="F2390" s="7">
        <f t="shared" si="153"/>
        <v>1</v>
      </c>
      <c r="G2390" s="7" t="s">
        <v>12558</v>
      </c>
      <c r="H2390" s="7">
        <f t="shared" si="154"/>
        <v>0</v>
      </c>
      <c r="I2390" s="7" t="str" cm="1">
        <f t="array" ref="I2390">IFERROR(_xlfn.IFS(M2390="נח",1,M2390="נע ונח",1,M2390="שני שווא נח",2,M2390="שני שוואים בסוף מילה",2,M2390="שני שוואים ברצף",1),"0")</f>
        <v>0</v>
      </c>
      <c r="J2390" s="9">
        <f t="shared" si="155"/>
        <v>3</v>
      </c>
      <c r="K2390" t="s">
        <v>6698</v>
      </c>
      <c r="L2390" t="s">
        <v>6695</v>
      </c>
      <c r="N2390" t="s">
        <v>6706</v>
      </c>
      <c r="O2390" t="s">
        <v>6694</v>
      </c>
      <c r="P2390" t="s">
        <v>6694</v>
      </c>
      <c r="W2390" t="s">
        <v>6720</v>
      </c>
    </row>
    <row r="2391" spans="1:23" ht="15.6" x14ac:dyDescent="0.4">
      <c r="A2391" s="2" t="s">
        <v>4957</v>
      </c>
      <c r="B2391" s="5" t="s">
        <v>8444</v>
      </c>
      <c r="C2391" s="7" t="s">
        <v>12556</v>
      </c>
      <c r="D2391" s="8">
        <f t="shared" si="152"/>
        <v>1</v>
      </c>
      <c r="E2391" s="7" t="s">
        <v>12557</v>
      </c>
      <c r="F2391" s="7">
        <f t="shared" si="153"/>
        <v>2</v>
      </c>
      <c r="G2391" s="7" t="s">
        <v>12558</v>
      </c>
      <c r="H2391" s="7">
        <f t="shared" si="154"/>
        <v>1</v>
      </c>
      <c r="I2391" s="7" t="str" cm="1">
        <f t="array" ref="I2391">IFERROR(_xlfn.IFS(M2391="נח",1,M2391="נע ונח",1,M2391="שני שווא נח",2,M2391="שני שוואים בסוף מילה",2,M2391="שני שוואים ברצף",1),"0")</f>
        <v>0</v>
      </c>
      <c r="J2391" s="9">
        <f t="shared" si="155"/>
        <v>4</v>
      </c>
      <c r="K2391" t="s">
        <v>6697</v>
      </c>
      <c r="L2391" t="s">
        <v>6695</v>
      </c>
      <c r="O2391" t="s">
        <v>6694</v>
      </c>
      <c r="P2391" t="s">
        <v>6694</v>
      </c>
      <c r="S2391" t="s">
        <v>6694</v>
      </c>
      <c r="U2391" t="s">
        <v>6694</v>
      </c>
      <c r="W2391" t="s">
        <v>6720</v>
      </c>
    </row>
    <row r="2392" spans="1:23" ht="15.6" x14ac:dyDescent="0.4">
      <c r="A2392" s="2" t="s">
        <v>1126</v>
      </c>
      <c r="B2392" s="5" t="s">
        <v>8819</v>
      </c>
      <c r="C2392" s="7" t="s">
        <v>12556</v>
      </c>
      <c r="D2392" s="8">
        <f t="shared" si="152"/>
        <v>0</v>
      </c>
      <c r="E2392" s="7" t="s">
        <v>12557</v>
      </c>
      <c r="F2392" s="7">
        <f t="shared" si="153"/>
        <v>2</v>
      </c>
      <c r="G2392" s="7" t="s">
        <v>12558</v>
      </c>
      <c r="H2392" s="7">
        <f t="shared" si="154"/>
        <v>1</v>
      </c>
      <c r="I2392" s="7" cm="1">
        <f t="array" ref="I2392">IFERROR(_xlfn.IFS(M2392="נח",1,M2392="נע ונח",1,M2392="שני שווא נח",2,M2392="שני שוואים בסוף מילה",2,M2392="שני שוואים ברצף",1),"0")</f>
        <v>1</v>
      </c>
      <c r="J2392" s="9">
        <f t="shared" si="155"/>
        <v>3</v>
      </c>
      <c r="K2392" t="s">
        <v>6697</v>
      </c>
      <c r="L2392" t="s">
        <v>6694</v>
      </c>
      <c r="M2392" t="s">
        <v>6705</v>
      </c>
      <c r="P2392" t="s">
        <v>6694</v>
      </c>
      <c r="U2392" t="s">
        <v>6694</v>
      </c>
      <c r="V2392" t="s">
        <v>6694</v>
      </c>
      <c r="W2392" t="s">
        <v>6720</v>
      </c>
    </row>
    <row r="2393" spans="1:23" ht="15.6" x14ac:dyDescent="0.4">
      <c r="A2393" s="2" t="s">
        <v>78</v>
      </c>
      <c r="B2393" s="5" t="s">
        <v>8449</v>
      </c>
      <c r="C2393" s="7" t="s">
        <v>12556</v>
      </c>
      <c r="D2393" s="8">
        <f t="shared" si="152"/>
        <v>0</v>
      </c>
      <c r="E2393" s="7" t="s">
        <v>12557</v>
      </c>
      <c r="F2393" s="7">
        <f t="shared" si="153"/>
        <v>2</v>
      </c>
      <c r="G2393" s="7" t="s">
        <v>12558</v>
      </c>
      <c r="H2393" s="7">
        <f t="shared" si="154"/>
        <v>1</v>
      </c>
      <c r="I2393" s="7" cm="1">
        <f t="array" ref="I2393">IFERROR(_xlfn.IFS(M2393="נח",1,M2393="נע ונח",1,M2393="שני שווא נח",2,M2393="שני שוואים בסוף מילה",2,M2393="שני שוואים ברצף",1),"0")</f>
        <v>1</v>
      </c>
      <c r="J2393" s="9">
        <f t="shared" si="155"/>
        <v>3</v>
      </c>
      <c r="K2393" t="s">
        <v>6697</v>
      </c>
      <c r="L2393" t="s">
        <v>6694</v>
      </c>
      <c r="M2393" t="s">
        <v>6705</v>
      </c>
      <c r="P2393" t="s">
        <v>6694</v>
      </c>
      <c r="U2393" t="s">
        <v>6694</v>
      </c>
      <c r="V2393" t="s">
        <v>6694</v>
      </c>
      <c r="W2393" t="s">
        <v>6720</v>
      </c>
    </row>
    <row r="2394" spans="1:23" ht="15.6" x14ac:dyDescent="0.4">
      <c r="A2394" s="2" t="s">
        <v>1099</v>
      </c>
      <c r="B2394" s="5" t="s">
        <v>8450</v>
      </c>
      <c r="C2394" s="7" t="s">
        <v>12556</v>
      </c>
      <c r="D2394" s="8">
        <f t="shared" si="152"/>
        <v>0</v>
      </c>
      <c r="E2394" s="7" t="s">
        <v>12557</v>
      </c>
      <c r="F2394" s="7">
        <f t="shared" si="153"/>
        <v>1</v>
      </c>
      <c r="G2394" s="7" t="s">
        <v>12558</v>
      </c>
      <c r="H2394" s="7">
        <f t="shared" si="154"/>
        <v>0</v>
      </c>
      <c r="I2394" s="7" t="str" cm="1">
        <f t="array" ref="I2394">IFERROR(_xlfn.IFS(M2394="נח",1,M2394="נע ונח",1,M2394="שני שווא נח",2,M2394="שני שוואים בסוף מילה",2,M2394="שני שוואים ברצף",1),"0")</f>
        <v>0</v>
      </c>
      <c r="J2394" s="9">
        <f t="shared" si="155"/>
        <v>3</v>
      </c>
      <c r="K2394" t="s">
        <v>6698</v>
      </c>
      <c r="L2394" t="s">
        <v>6695</v>
      </c>
      <c r="P2394" t="s">
        <v>6694</v>
      </c>
      <c r="R2394" t="s">
        <v>6694</v>
      </c>
      <c r="V2394" t="s">
        <v>6694</v>
      </c>
      <c r="W2394" t="s">
        <v>6720</v>
      </c>
    </row>
    <row r="2395" spans="1:23" ht="15.6" x14ac:dyDescent="0.4">
      <c r="A2395" s="2" t="s">
        <v>3236</v>
      </c>
      <c r="B2395" s="5" t="s">
        <v>8450</v>
      </c>
      <c r="C2395" s="7" t="s">
        <v>12556</v>
      </c>
      <c r="D2395" s="8">
        <f t="shared" si="152"/>
        <v>0</v>
      </c>
      <c r="E2395" s="7" t="s">
        <v>12557</v>
      </c>
      <c r="F2395" s="7">
        <f t="shared" si="153"/>
        <v>1</v>
      </c>
      <c r="G2395" s="7" t="s">
        <v>12558</v>
      </c>
      <c r="H2395" s="7">
        <f t="shared" si="154"/>
        <v>0</v>
      </c>
      <c r="I2395" s="7" t="str" cm="1">
        <f t="array" ref="I2395">IFERROR(_xlfn.IFS(M2395="נח",1,M2395="נע ונח",1,M2395="שני שווא נח",2,M2395="שני שוואים בסוף מילה",2,M2395="שני שוואים ברצף",1),"0")</f>
        <v>0</v>
      </c>
      <c r="J2395" s="9">
        <f t="shared" si="155"/>
        <v>3</v>
      </c>
      <c r="K2395" t="s">
        <v>6698</v>
      </c>
      <c r="L2395" t="s">
        <v>6695</v>
      </c>
      <c r="P2395" t="s">
        <v>6694</v>
      </c>
      <c r="V2395" t="s">
        <v>6694</v>
      </c>
      <c r="W2395" t="s">
        <v>6720</v>
      </c>
    </row>
    <row r="2396" spans="1:23" ht="15.6" x14ac:dyDescent="0.4">
      <c r="A2396" s="2" t="s">
        <v>4347</v>
      </c>
      <c r="B2396" s="5" t="s">
        <v>8818</v>
      </c>
      <c r="C2396" s="7" t="s">
        <v>12556</v>
      </c>
      <c r="D2396" s="8">
        <f t="shared" si="152"/>
        <v>0</v>
      </c>
      <c r="E2396" s="7" t="s">
        <v>12557</v>
      </c>
      <c r="F2396" s="7">
        <f t="shared" si="153"/>
        <v>1</v>
      </c>
      <c r="G2396" s="7" t="s">
        <v>12558</v>
      </c>
      <c r="H2396" s="7">
        <f t="shared" si="154"/>
        <v>0</v>
      </c>
      <c r="I2396" s="7" t="str" cm="1">
        <f t="array" ref="I2396">IFERROR(_xlfn.IFS(M2396="נח",1,M2396="נע ונח",1,M2396="שני שווא נח",2,M2396="שני שוואים בסוף מילה",2,M2396="שני שוואים ברצף",1),"0")</f>
        <v>0</v>
      </c>
      <c r="J2396" s="9">
        <f t="shared" si="155"/>
        <v>3</v>
      </c>
      <c r="K2396" t="s">
        <v>6698</v>
      </c>
      <c r="L2396" t="s">
        <v>6695</v>
      </c>
      <c r="P2396" t="s">
        <v>6694</v>
      </c>
      <c r="Q2396" t="s">
        <v>6694</v>
      </c>
      <c r="V2396" t="s">
        <v>6694</v>
      </c>
      <c r="W2396" t="s">
        <v>6720</v>
      </c>
    </row>
    <row r="2397" spans="1:23" ht="15.6" x14ac:dyDescent="0.4">
      <c r="A2397" s="2" t="s">
        <v>1643</v>
      </c>
      <c r="B2397" s="5" t="s">
        <v>8820</v>
      </c>
      <c r="C2397" s="7" t="s">
        <v>12556</v>
      </c>
      <c r="D2397" s="8">
        <f t="shared" si="152"/>
        <v>0</v>
      </c>
      <c r="E2397" s="7" t="s">
        <v>12557</v>
      </c>
      <c r="F2397" s="7">
        <f t="shared" si="153"/>
        <v>1</v>
      </c>
      <c r="G2397" s="7" t="s">
        <v>12558</v>
      </c>
      <c r="H2397" s="7">
        <f t="shared" si="154"/>
        <v>0</v>
      </c>
      <c r="I2397" s="7" t="str" cm="1">
        <f t="array" ref="I2397">IFERROR(_xlfn.IFS(M2397="נח",1,M2397="נע ונח",1,M2397="שני שווא נח",2,M2397="שני שוואים בסוף מילה",2,M2397="שני שוואים ברצף",1),"0")</f>
        <v>0</v>
      </c>
      <c r="J2397" s="9">
        <f t="shared" si="155"/>
        <v>3</v>
      </c>
      <c r="K2397" t="s">
        <v>6698</v>
      </c>
      <c r="L2397" t="s">
        <v>6695</v>
      </c>
      <c r="P2397" t="s">
        <v>6694</v>
      </c>
      <c r="V2397" t="s">
        <v>6694</v>
      </c>
      <c r="W2397" t="s">
        <v>6720</v>
      </c>
    </row>
    <row r="2398" spans="1:23" ht="15.6" x14ac:dyDescent="0.4">
      <c r="A2398" s="2" t="s">
        <v>1049</v>
      </c>
      <c r="B2398" s="5" t="s">
        <v>8821</v>
      </c>
      <c r="C2398" s="7" t="s">
        <v>12556</v>
      </c>
      <c r="D2398" s="8">
        <f t="shared" si="152"/>
        <v>0</v>
      </c>
      <c r="E2398" s="7" t="s">
        <v>12557</v>
      </c>
      <c r="F2398" s="7">
        <f t="shared" si="153"/>
        <v>1</v>
      </c>
      <c r="G2398" s="7" t="s">
        <v>12558</v>
      </c>
      <c r="H2398" s="7">
        <f t="shared" si="154"/>
        <v>0</v>
      </c>
      <c r="I2398" s="7" t="str" cm="1">
        <f t="array" ref="I2398">IFERROR(_xlfn.IFS(M2398="נח",1,M2398="נע ונח",1,M2398="שני שווא נח",2,M2398="שני שוואים בסוף מילה",2,M2398="שני שוואים ברצף",1),"0")</f>
        <v>0</v>
      </c>
      <c r="J2398" s="9">
        <f t="shared" si="155"/>
        <v>4</v>
      </c>
      <c r="K2398" t="s">
        <v>6698</v>
      </c>
      <c r="L2398" t="s">
        <v>6695</v>
      </c>
      <c r="P2398" t="s">
        <v>6694</v>
      </c>
      <c r="Q2398" t="s">
        <v>6694</v>
      </c>
      <c r="S2398" t="s">
        <v>6694</v>
      </c>
      <c r="V2398" t="s">
        <v>6694</v>
      </c>
      <c r="W2398" t="s">
        <v>6720</v>
      </c>
    </row>
    <row r="2399" spans="1:23" ht="15.6" x14ac:dyDescent="0.4">
      <c r="A2399" s="2" t="s">
        <v>5744</v>
      </c>
      <c r="B2399" s="5" t="s">
        <v>8822</v>
      </c>
      <c r="C2399" s="7" t="s">
        <v>12556</v>
      </c>
      <c r="D2399" s="8">
        <f t="shared" si="152"/>
        <v>0</v>
      </c>
      <c r="E2399" s="7" t="s">
        <v>12557</v>
      </c>
      <c r="F2399" s="7">
        <f t="shared" si="153"/>
        <v>2</v>
      </c>
      <c r="G2399" s="7" t="s">
        <v>12558</v>
      </c>
      <c r="H2399" s="7">
        <f t="shared" si="154"/>
        <v>1</v>
      </c>
      <c r="I2399" s="7" t="str" cm="1">
        <f t="array" ref="I2399">IFERROR(_xlfn.IFS(M2399="נח",1,M2399="נע ונח",1,M2399="שני שווא נח",2,M2399="שני שוואים בסוף מילה",2,M2399="שני שוואים ברצף",1),"0")</f>
        <v>0</v>
      </c>
      <c r="J2399" s="9">
        <f t="shared" si="155"/>
        <v>4</v>
      </c>
      <c r="K2399" t="s">
        <v>6697</v>
      </c>
      <c r="L2399" t="s">
        <v>6695</v>
      </c>
      <c r="P2399" t="s">
        <v>6694</v>
      </c>
      <c r="S2399" t="s">
        <v>6694</v>
      </c>
      <c r="U2399" t="s">
        <v>6694</v>
      </c>
      <c r="V2399" t="s">
        <v>6694</v>
      </c>
      <c r="W2399" t="s">
        <v>6720</v>
      </c>
    </row>
    <row r="2400" spans="1:23" ht="15.6" x14ac:dyDescent="0.4">
      <c r="A2400" s="2" t="s">
        <v>5739</v>
      </c>
      <c r="B2400" s="5" t="s">
        <v>8823</v>
      </c>
      <c r="C2400" s="7" t="s">
        <v>12556</v>
      </c>
      <c r="D2400" s="8">
        <f t="shared" si="152"/>
        <v>0</v>
      </c>
      <c r="E2400" s="7" t="s">
        <v>12557</v>
      </c>
      <c r="F2400" s="7">
        <f t="shared" si="153"/>
        <v>1</v>
      </c>
      <c r="G2400" s="7" t="s">
        <v>12558</v>
      </c>
      <c r="H2400" s="7">
        <f t="shared" si="154"/>
        <v>0</v>
      </c>
      <c r="I2400" s="7" t="str" cm="1">
        <f t="array" ref="I2400">IFERROR(_xlfn.IFS(M2400="נח",1,M2400="נע ונח",1,M2400="שני שווא נח",2,M2400="שני שוואים בסוף מילה",2,M2400="שני שוואים ברצף",1),"0")</f>
        <v>0</v>
      </c>
      <c r="J2400" s="9">
        <f t="shared" si="155"/>
        <v>3</v>
      </c>
      <c r="K2400" t="s">
        <v>6697</v>
      </c>
      <c r="L2400" t="s">
        <v>6695</v>
      </c>
      <c r="P2400" t="s">
        <v>6694</v>
      </c>
      <c r="S2400" t="s">
        <v>6694</v>
      </c>
      <c r="V2400" t="s">
        <v>6694</v>
      </c>
      <c r="W2400" t="s">
        <v>6720</v>
      </c>
    </row>
    <row r="2401" spans="1:23" ht="15.6" x14ac:dyDescent="0.4">
      <c r="A2401" s="2" t="s">
        <v>2000</v>
      </c>
      <c r="B2401" s="5" t="s">
        <v>8824</v>
      </c>
      <c r="C2401" s="7" t="s">
        <v>12556</v>
      </c>
      <c r="D2401" s="8">
        <f t="shared" si="152"/>
        <v>0</v>
      </c>
      <c r="E2401" s="7" t="s">
        <v>12557</v>
      </c>
      <c r="F2401" s="7">
        <f t="shared" si="153"/>
        <v>1</v>
      </c>
      <c r="G2401" s="7" t="s">
        <v>12558</v>
      </c>
      <c r="H2401" s="7">
        <f t="shared" si="154"/>
        <v>0</v>
      </c>
      <c r="I2401" s="7" t="str" cm="1">
        <f t="array" ref="I2401">IFERROR(_xlfn.IFS(M2401="נח",1,M2401="נע ונח",1,M2401="שני שווא נח",2,M2401="שני שוואים בסוף מילה",2,M2401="שני שוואים ברצף",1),"0")</f>
        <v>0</v>
      </c>
      <c r="J2401" s="9">
        <f t="shared" si="155"/>
        <v>5</v>
      </c>
      <c r="K2401" t="s">
        <v>6697</v>
      </c>
      <c r="L2401" t="s">
        <v>6695</v>
      </c>
      <c r="P2401" t="s">
        <v>6694</v>
      </c>
      <c r="Q2401" t="s">
        <v>6694</v>
      </c>
      <c r="S2401" t="s">
        <v>6694</v>
      </c>
      <c r="V2401" t="s">
        <v>6694</v>
      </c>
      <c r="W2401" t="s">
        <v>6720</v>
      </c>
    </row>
    <row r="2402" spans="1:23" ht="15.6" x14ac:dyDescent="0.4">
      <c r="A2402" s="2" t="s">
        <v>1782</v>
      </c>
      <c r="B2402" s="5" t="s">
        <v>8823</v>
      </c>
      <c r="C2402" s="7" t="s">
        <v>12556</v>
      </c>
      <c r="D2402" s="8">
        <f t="shared" si="152"/>
        <v>0</v>
      </c>
      <c r="E2402" s="7" t="s">
        <v>12557</v>
      </c>
      <c r="F2402" s="7">
        <f t="shared" si="153"/>
        <v>1</v>
      </c>
      <c r="G2402" s="7" t="s">
        <v>12558</v>
      </c>
      <c r="H2402" s="7">
        <f t="shared" si="154"/>
        <v>0</v>
      </c>
      <c r="I2402" s="7" t="str" cm="1">
        <f t="array" ref="I2402">IFERROR(_xlfn.IFS(M2402="נח",1,M2402="נע ונח",1,M2402="שני שווא נח",2,M2402="שני שוואים בסוף מילה",2,M2402="שני שוואים ברצף",1),"0")</f>
        <v>0</v>
      </c>
      <c r="J2402" s="9">
        <f t="shared" si="155"/>
        <v>3</v>
      </c>
      <c r="K2402" t="s">
        <v>6697</v>
      </c>
      <c r="L2402" t="s">
        <v>6695</v>
      </c>
      <c r="P2402" t="s">
        <v>6694</v>
      </c>
      <c r="Q2402" t="s">
        <v>6694</v>
      </c>
      <c r="V2402" t="s">
        <v>6694</v>
      </c>
      <c r="W2402" t="s">
        <v>6720</v>
      </c>
    </row>
    <row r="2403" spans="1:23" ht="15.6" x14ac:dyDescent="0.4">
      <c r="A2403" s="2" t="s">
        <v>5742</v>
      </c>
      <c r="B2403" s="5" t="s">
        <v>8825</v>
      </c>
      <c r="C2403" s="7" t="s">
        <v>12556</v>
      </c>
      <c r="D2403" s="8">
        <f t="shared" si="152"/>
        <v>0</v>
      </c>
      <c r="E2403" s="7" t="s">
        <v>12557</v>
      </c>
      <c r="F2403" s="7">
        <f t="shared" si="153"/>
        <v>1</v>
      </c>
      <c r="G2403" s="7" t="s">
        <v>12558</v>
      </c>
      <c r="H2403" s="7">
        <f t="shared" si="154"/>
        <v>0</v>
      </c>
      <c r="I2403" s="7" t="str" cm="1">
        <f t="array" ref="I2403">IFERROR(_xlfn.IFS(M2403="נח",1,M2403="נע ונח",1,M2403="שני שווא נח",2,M2403="שני שוואים בסוף מילה",2,M2403="שני שוואים ברצף",1),"0")</f>
        <v>0</v>
      </c>
      <c r="J2403" s="9">
        <f t="shared" si="155"/>
        <v>3</v>
      </c>
      <c r="K2403" t="s">
        <v>6698</v>
      </c>
      <c r="L2403" t="s">
        <v>6695</v>
      </c>
      <c r="P2403" t="s">
        <v>6694</v>
      </c>
      <c r="R2403" t="s">
        <v>6694</v>
      </c>
      <c r="V2403" t="s">
        <v>6694</v>
      </c>
      <c r="W2403" t="s">
        <v>6720</v>
      </c>
    </row>
    <row r="2404" spans="1:23" ht="15.6" x14ac:dyDescent="0.4">
      <c r="A2404" s="2" t="s">
        <v>1043</v>
      </c>
      <c r="B2404" s="5" t="s">
        <v>8826</v>
      </c>
      <c r="C2404" s="7" t="s">
        <v>12556</v>
      </c>
      <c r="D2404" s="8">
        <f t="shared" si="152"/>
        <v>1</v>
      </c>
      <c r="E2404" s="7" t="s">
        <v>12557</v>
      </c>
      <c r="F2404" s="7">
        <f t="shared" si="153"/>
        <v>1</v>
      </c>
      <c r="G2404" s="7" t="s">
        <v>12558</v>
      </c>
      <c r="H2404" s="7">
        <f t="shared" si="154"/>
        <v>0</v>
      </c>
      <c r="I2404" s="7" t="str" cm="1">
        <f t="array" ref="I2404">IFERROR(_xlfn.IFS(M2404="נח",1,M2404="נע ונח",1,M2404="שני שווא נח",2,M2404="שני שוואים בסוף מילה",2,M2404="שני שוואים ברצף",1),"0")</f>
        <v>0</v>
      </c>
      <c r="J2404" s="9">
        <f t="shared" si="155"/>
        <v>4</v>
      </c>
      <c r="K2404" t="s">
        <v>6698</v>
      </c>
      <c r="L2404" t="s">
        <v>6695</v>
      </c>
      <c r="P2404" t="s">
        <v>6694</v>
      </c>
      <c r="Q2404" t="s">
        <v>6694</v>
      </c>
      <c r="S2404" t="s">
        <v>6694</v>
      </c>
      <c r="V2404" t="s">
        <v>6694</v>
      </c>
      <c r="W2404" t="s">
        <v>6720</v>
      </c>
    </row>
    <row r="2405" spans="1:23" ht="15.6" x14ac:dyDescent="0.4">
      <c r="A2405" s="2" t="s">
        <v>3661</v>
      </c>
      <c r="B2405" s="5" t="s">
        <v>8827</v>
      </c>
      <c r="C2405" s="7" t="s">
        <v>12556</v>
      </c>
      <c r="D2405" s="8">
        <f t="shared" si="152"/>
        <v>1</v>
      </c>
      <c r="E2405" s="7" t="s">
        <v>12557</v>
      </c>
      <c r="F2405" s="7">
        <f t="shared" si="153"/>
        <v>1</v>
      </c>
      <c r="G2405" s="7" t="s">
        <v>12558</v>
      </c>
      <c r="H2405" s="7">
        <f t="shared" si="154"/>
        <v>0</v>
      </c>
      <c r="I2405" s="7" cm="1">
        <f t="array" ref="I2405">IFERROR(_xlfn.IFS(M2405="נח",1,M2405="נע ונח",1,M2405="שני שווא נח",2,M2405="שני שוואים בסוף מילה",2,M2405="שני שוואים ברצף",1),"0")</f>
        <v>1</v>
      </c>
      <c r="J2405" s="9">
        <f t="shared" si="155"/>
        <v>3</v>
      </c>
      <c r="K2405" t="s">
        <v>6698</v>
      </c>
      <c r="L2405" t="s">
        <v>6694</v>
      </c>
      <c r="M2405" t="s">
        <v>6705</v>
      </c>
      <c r="P2405" t="s">
        <v>6694</v>
      </c>
      <c r="S2405" t="s">
        <v>6694</v>
      </c>
      <c r="V2405" t="s">
        <v>6694</v>
      </c>
      <c r="W2405" t="s">
        <v>6720</v>
      </c>
    </row>
    <row r="2406" spans="1:23" ht="15.6" x14ac:dyDescent="0.4">
      <c r="A2406" s="2" t="s">
        <v>6338</v>
      </c>
      <c r="B2406" s="5" t="s">
        <v>8828</v>
      </c>
      <c r="C2406" s="7" t="s">
        <v>12556</v>
      </c>
      <c r="D2406" s="8">
        <f t="shared" si="152"/>
        <v>0</v>
      </c>
      <c r="E2406" s="7" t="s">
        <v>12557</v>
      </c>
      <c r="F2406" s="7">
        <f t="shared" si="153"/>
        <v>1</v>
      </c>
      <c r="G2406" s="7" t="s">
        <v>12558</v>
      </c>
      <c r="H2406" s="7">
        <f t="shared" si="154"/>
        <v>0</v>
      </c>
      <c r="I2406" s="7" cm="1">
        <f t="array" ref="I2406">IFERROR(_xlfn.IFS(M2406="נח",1,M2406="נע ונח",1,M2406="שני שווא נח",2,M2406="שני שוואים בסוף מילה",2,M2406="שני שוואים ברצף",1),"0")</f>
        <v>1</v>
      </c>
      <c r="J2406" s="9">
        <f t="shared" si="155"/>
        <v>4</v>
      </c>
      <c r="K2406" t="s">
        <v>6698</v>
      </c>
      <c r="L2406" t="s">
        <v>6694</v>
      </c>
      <c r="M2406" t="s">
        <v>6705</v>
      </c>
      <c r="N2406" t="s">
        <v>6706</v>
      </c>
      <c r="O2406" t="s">
        <v>6694</v>
      </c>
      <c r="P2406" t="s">
        <v>6694</v>
      </c>
      <c r="S2406" t="s">
        <v>6694</v>
      </c>
      <c r="V2406" t="s">
        <v>6694</v>
      </c>
      <c r="W2406" t="s">
        <v>6720</v>
      </c>
    </row>
    <row r="2407" spans="1:23" ht="15.6" x14ac:dyDescent="0.4">
      <c r="A2407" s="2" t="s">
        <v>5706</v>
      </c>
      <c r="B2407" s="5" t="s">
        <v>8829</v>
      </c>
      <c r="C2407" s="7" t="s">
        <v>12556</v>
      </c>
      <c r="D2407" s="8">
        <f t="shared" si="152"/>
        <v>0</v>
      </c>
      <c r="E2407" s="7" t="s">
        <v>12557</v>
      </c>
      <c r="F2407" s="7">
        <f t="shared" si="153"/>
        <v>1</v>
      </c>
      <c r="G2407" s="7" t="s">
        <v>12558</v>
      </c>
      <c r="H2407" s="7">
        <f t="shared" si="154"/>
        <v>0</v>
      </c>
      <c r="I2407" s="7" t="str" cm="1">
        <f t="array" ref="I2407">IFERROR(_xlfn.IFS(M2407="נח",1,M2407="נע ונח",1,M2407="שני שווא נח",2,M2407="שני שוואים בסוף מילה",2,M2407="שני שוואים ברצף",1),"0")</f>
        <v>0</v>
      </c>
      <c r="J2407" s="9">
        <f t="shared" si="155"/>
        <v>4</v>
      </c>
      <c r="K2407" t="s">
        <v>6698</v>
      </c>
      <c r="L2407" t="s">
        <v>6695</v>
      </c>
      <c r="O2407" t="s">
        <v>6694</v>
      </c>
      <c r="P2407" t="s">
        <v>6694</v>
      </c>
      <c r="Q2407" t="s">
        <v>6694</v>
      </c>
      <c r="W2407" t="s">
        <v>6720</v>
      </c>
    </row>
    <row r="2408" spans="1:23" ht="15.6" x14ac:dyDescent="0.4">
      <c r="A2408" s="2" t="s">
        <v>2701</v>
      </c>
      <c r="B2408" s="5" t="s">
        <v>8830</v>
      </c>
      <c r="C2408" s="7" t="s">
        <v>12556</v>
      </c>
      <c r="D2408" s="8">
        <f t="shared" si="152"/>
        <v>0</v>
      </c>
      <c r="E2408" s="7" t="s">
        <v>12557</v>
      </c>
      <c r="F2408" s="7">
        <f t="shared" si="153"/>
        <v>0</v>
      </c>
      <c r="G2408" s="7" t="s">
        <v>12558</v>
      </c>
      <c r="H2408" s="7">
        <f t="shared" si="154"/>
        <v>0</v>
      </c>
      <c r="I2408" s="7" t="str" cm="1">
        <f t="array" ref="I2408">IFERROR(_xlfn.IFS(M2408="נח",1,M2408="נע ונח",1,M2408="שני שווא נח",2,M2408="שני שוואים בסוף מילה",2,M2408="שני שוואים ברצף",1),"0")</f>
        <v>0</v>
      </c>
      <c r="J2408" s="9">
        <f t="shared" si="155"/>
        <v>4</v>
      </c>
      <c r="K2408" t="s">
        <v>6697</v>
      </c>
      <c r="L2408" t="s">
        <v>6695</v>
      </c>
      <c r="P2408" t="s">
        <v>6694</v>
      </c>
      <c r="S2408" t="s">
        <v>6694</v>
      </c>
      <c r="V2408" t="s">
        <v>6694</v>
      </c>
      <c r="W2408" t="s">
        <v>6720</v>
      </c>
    </row>
    <row r="2409" spans="1:23" ht="15.6" x14ac:dyDescent="0.4">
      <c r="A2409" s="2" t="s">
        <v>2493</v>
      </c>
      <c r="B2409" s="5" t="s">
        <v>8831</v>
      </c>
      <c r="C2409" s="7" t="s">
        <v>12556</v>
      </c>
      <c r="D2409" s="8">
        <f t="shared" si="152"/>
        <v>0</v>
      </c>
      <c r="E2409" s="7" t="s">
        <v>12557</v>
      </c>
      <c r="F2409" s="7">
        <f t="shared" si="153"/>
        <v>0</v>
      </c>
      <c r="G2409" s="7" t="s">
        <v>12558</v>
      </c>
      <c r="H2409" s="7">
        <f t="shared" si="154"/>
        <v>0</v>
      </c>
      <c r="I2409" s="7" t="str" cm="1">
        <f t="array" ref="I2409">IFERROR(_xlfn.IFS(M2409="נח",1,M2409="נע ונח",1,M2409="שני שווא נח",2,M2409="שני שוואים בסוף מילה",2,M2409="שני שוואים ברצף",1),"0")</f>
        <v>0</v>
      </c>
      <c r="J2409" s="9">
        <f t="shared" si="155"/>
        <v>3</v>
      </c>
      <c r="K2409" t="s">
        <v>6698</v>
      </c>
      <c r="L2409" t="s">
        <v>6695</v>
      </c>
      <c r="P2409" t="s">
        <v>6694</v>
      </c>
      <c r="V2409" t="s">
        <v>6694</v>
      </c>
      <c r="W2409" t="s">
        <v>6720</v>
      </c>
    </row>
    <row r="2410" spans="1:23" ht="15.6" x14ac:dyDescent="0.4">
      <c r="A2410" s="2" t="s">
        <v>5513</v>
      </c>
      <c r="B2410" s="5" t="s">
        <v>8832</v>
      </c>
      <c r="C2410" s="7" t="s">
        <v>12556</v>
      </c>
      <c r="D2410" s="8">
        <f t="shared" si="152"/>
        <v>0</v>
      </c>
      <c r="E2410" s="7" t="s">
        <v>12557</v>
      </c>
      <c r="F2410" s="7">
        <f t="shared" si="153"/>
        <v>0</v>
      </c>
      <c r="G2410" s="7" t="s">
        <v>12558</v>
      </c>
      <c r="H2410" s="7">
        <f t="shared" si="154"/>
        <v>0</v>
      </c>
      <c r="I2410" s="7" t="str" cm="1">
        <f t="array" ref="I2410">IFERROR(_xlfn.IFS(M2410="נח",1,M2410="נע ונח",1,M2410="שני שווא נח",2,M2410="שני שוואים בסוף מילה",2,M2410="שני שוואים ברצף",1),"0")</f>
        <v>0</v>
      </c>
      <c r="J2410" s="9">
        <f t="shared" si="155"/>
        <v>3</v>
      </c>
      <c r="K2410" t="s">
        <v>6698</v>
      </c>
      <c r="L2410" t="s">
        <v>6695</v>
      </c>
      <c r="P2410" t="s">
        <v>6694</v>
      </c>
      <c r="Q2410" t="s">
        <v>6694</v>
      </c>
      <c r="W2410" t="s">
        <v>6720</v>
      </c>
    </row>
    <row r="2411" spans="1:23" ht="15.6" x14ac:dyDescent="0.4">
      <c r="A2411" s="2" t="s">
        <v>932</v>
      </c>
      <c r="B2411" s="5" t="s">
        <v>8833</v>
      </c>
      <c r="C2411" s="7" t="s">
        <v>12556</v>
      </c>
      <c r="D2411" s="8">
        <f t="shared" si="152"/>
        <v>0</v>
      </c>
      <c r="E2411" s="7" t="s">
        <v>12557</v>
      </c>
      <c r="F2411" s="7">
        <f t="shared" si="153"/>
        <v>0</v>
      </c>
      <c r="G2411" s="7" t="s">
        <v>12558</v>
      </c>
      <c r="H2411" s="7">
        <f t="shared" si="154"/>
        <v>0</v>
      </c>
      <c r="I2411" s="7" t="str" cm="1">
        <f t="array" ref="I2411">IFERROR(_xlfn.IFS(M2411="נח",1,M2411="נע ונח",1,M2411="שני שווא נח",2,M2411="שני שוואים בסוף מילה",2,M2411="שני שוואים ברצף",1),"0")</f>
        <v>0</v>
      </c>
      <c r="J2411" s="9">
        <f t="shared" si="155"/>
        <v>4</v>
      </c>
      <c r="K2411" t="s">
        <v>6697</v>
      </c>
      <c r="L2411" t="s">
        <v>6695</v>
      </c>
      <c r="O2411" t="s">
        <v>6694</v>
      </c>
      <c r="P2411" t="s">
        <v>6694</v>
      </c>
      <c r="S2411" t="s">
        <v>6694</v>
      </c>
      <c r="W2411" t="s">
        <v>6720</v>
      </c>
    </row>
    <row r="2412" spans="1:23" ht="15.6" x14ac:dyDescent="0.4">
      <c r="A2412" s="2" t="s">
        <v>4412</v>
      </c>
      <c r="B2412" s="5" t="s">
        <v>8834</v>
      </c>
      <c r="C2412" s="7" t="s">
        <v>12556</v>
      </c>
      <c r="D2412" s="8">
        <f t="shared" si="152"/>
        <v>0</v>
      </c>
      <c r="E2412" s="7" t="s">
        <v>12557</v>
      </c>
      <c r="F2412" s="7">
        <f t="shared" si="153"/>
        <v>0</v>
      </c>
      <c r="G2412" s="7" t="s">
        <v>12558</v>
      </c>
      <c r="H2412" s="7">
        <f t="shared" si="154"/>
        <v>0</v>
      </c>
      <c r="I2412" s="7" t="str" cm="1">
        <f t="array" ref="I2412">IFERROR(_xlfn.IFS(M2412="נח",1,M2412="נע ונח",1,M2412="שני שווא נח",2,M2412="שני שוואים בסוף מילה",2,M2412="שני שוואים ברצף",1),"0")</f>
        <v>0</v>
      </c>
      <c r="J2412" s="9">
        <f t="shared" si="155"/>
        <v>4</v>
      </c>
      <c r="K2412" t="s">
        <v>6698</v>
      </c>
      <c r="L2412" t="s">
        <v>6695</v>
      </c>
      <c r="O2412" t="s">
        <v>6694</v>
      </c>
      <c r="P2412" t="s">
        <v>6694</v>
      </c>
      <c r="S2412" t="s">
        <v>6694</v>
      </c>
      <c r="W2412" t="s">
        <v>6720</v>
      </c>
    </row>
    <row r="2413" spans="1:23" ht="15.6" x14ac:dyDescent="0.4">
      <c r="A2413" s="2" t="s">
        <v>3073</v>
      </c>
      <c r="B2413" s="5" t="s">
        <v>8835</v>
      </c>
      <c r="C2413" s="7" t="s">
        <v>12556</v>
      </c>
      <c r="D2413" s="8">
        <f t="shared" si="152"/>
        <v>0</v>
      </c>
      <c r="E2413" s="7" t="s">
        <v>12557</v>
      </c>
      <c r="F2413" s="7">
        <f t="shared" si="153"/>
        <v>1</v>
      </c>
      <c r="G2413" s="7" t="s">
        <v>12558</v>
      </c>
      <c r="H2413" s="7">
        <f t="shared" si="154"/>
        <v>0</v>
      </c>
      <c r="I2413" s="7" t="str" cm="1">
        <f t="array" ref="I2413">IFERROR(_xlfn.IFS(M2413="נח",1,M2413="נע ונח",1,M2413="שני שווא נח",2,M2413="שני שוואים בסוף מילה",2,M2413="שני שוואים ברצף",1),"0")</f>
        <v>0</v>
      </c>
      <c r="J2413" s="9">
        <f t="shared" si="155"/>
        <v>5</v>
      </c>
      <c r="K2413" t="s">
        <v>6697</v>
      </c>
      <c r="L2413" t="s">
        <v>6695</v>
      </c>
      <c r="O2413" t="s">
        <v>6694</v>
      </c>
      <c r="P2413" t="s">
        <v>6694</v>
      </c>
      <c r="R2413" t="s">
        <v>6694</v>
      </c>
      <c r="S2413" t="s">
        <v>6694</v>
      </c>
      <c r="W2413" t="s">
        <v>6720</v>
      </c>
    </row>
    <row r="2414" spans="1:23" ht="15.6" x14ac:dyDescent="0.4">
      <c r="A2414" s="2" t="s">
        <v>3992</v>
      </c>
      <c r="B2414" s="5" t="s">
        <v>8565</v>
      </c>
      <c r="C2414" s="7" t="s">
        <v>12556</v>
      </c>
      <c r="D2414" s="8">
        <f t="shared" si="152"/>
        <v>0</v>
      </c>
      <c r="E2414" s="7" t="s">
        <v>12557</v>
      </c>
      <c r="F2414" s="7">
        <f t="shared" si="153"/>
        <v>0</v>
      </c>
      <c r="G2414" s="7" t="s">
        <v>12558</v>
      </c>
      <c r="H2414" s="7">
        <f t="shared" si="154"/>
        <v>0</v>
      </c>
      <c r="I2414" s="7" t="str" cm="1">
        <f t="array" ref="I2414">IFERROR(_xlfn.IFS(M2414="נח",1,M2414="נע ונח",1,M2414="שני שווא נח",2,M2414="שני שוואים בסוף מילה",2,M2414="שני שוואים ברצף",1),"0")</f>
        <v>0</v>
      </c>
      <c r="J2414" s="9">
        <f t="shared" si="155"/>
        <v>4</v>
      </c>
      <c r="K2414" t="s">
        <v>6697</v>
      </c>
      <c r="L2414" t="s">
        <v>6695</v>
      </c>
      <c r="P2414" t="s">
        <v>6694</v>
      </c>
      <c r="Q2414" t="s">
        <v>6694</v>
      </c>
      <c r="S2414" t="s">
        <v>6694</v>
      </c>
      <c r="W2414" t="s">
        <v>6720</v>
      </c>
    </row>
    <row r="2415" spans="1:23" ht="15.6" x14ac:dyDescent="0.4">
      <c r="A2415" s="2" t="s">
        <v>2502</v>
      </c>
      <c r="B2415" s="5" t="s">
        <v>8836</v>
      </c>
      <c r="C2415" s="7" t="s">
        <v>12556</v>
      </c>
      <c r="D2415" s="8">
        <f t="shared" si="152"/>
        <v>0</v>
      </c>
      <c r="E2415" s="7" t="s">
        <v>12557</v>
      </c>
      <c r="F2415" s="7">
        <f t="shared" si="153"/>
        <v>0</v>
      </c>
      <c r="G2415" s="7" t="s">
        <v>12558</v>
      </c>
      <c r="H2415" s="7">
        <f t="shared" si="154"/>
        <v>0</v>
      </c>
      <c r="I2415" s="7" t="str" cm="1">
        <f t="array" ref="I2415">IFERROR(_xlfn.IFS(M2415="נח",1,M2415="נע ונח",1,M2415="שני שווא נח",2,M2415="שני שוואים בסוף מילה",2,M2415="שני שוואים ברצף",1),"0")</f>
        <v>0</v>
      </c>
      <c r="J2415" s="9">
        <f t="shared" si="155"/>
        <v>4</v>
      </c>
      <c r="K2415" t="s">
        <v>6698</v>
      </c>
      <c r="L2415" t="s">
        <v>6695</v>
      </c>
      <c r="O2415" t="s">
        <v>6694</v>
      </c>
      <c r="P2415" t="s">
        <v>6694</v>
      </c>
      <c r="S2415" t="s">
        <v>6694</v>
      </c>
      <c r="W2415" t="s">
        <v>6720</v>
      </c>
    </row>
    <row r="2416" spans="1:23" ht="15.6" x14ac:dyDescent="0.4">
      <c r="A2416" s="2" t="s">
        <v>4809</v>
      </c>
      <c r="B2416" s="5" t="s">
        <v>8837</v>
      </c>
      <c r="C2416" s="7" t="s">
        <v>12556</v>
      </c>
      <c r="D2416" s="8">
        <f t="shared" si="152"/>
        <v>0</v>
      </c>
      <c r="E2416" s="7" t="s">
        <v>12557</v>
      </c>
      <c r="F2416" s="7">
        <f t="shared" si="153"/>
        <v>0</v>
      </c>
      <c r="G2416" s="7" t="s">
        <v>12558</v>
      </c>
      <c r="H2416" s="7">
        <f t="shared" si="154"/>
        <v>0</v>
      </c>
      <c r="I2416" s="7" t="str" cm="1">
        <f t="array" ref="I2416">IFERROR(_xlfn.IFS(M2416="נח",1,M2416="נע ונח",1,M2416="שני שווא נח",2,M2416="שני שוואים בסוף מילה",2,M2416="שני שוואים ברצף",1),"0")</f>
        <v>0</v>
      </c>
      <c r="J2416" s="9">
        <f t="shared" si="155"/>
        <v>5</v>
      </c>
      <c r="K2416" t="s">
        <v>6698</v>
      </c>
      <c r="L2416" t="s">
        <v>6695</v>
      </c>
      <c r="O2416" t="s">
        <v>6694</v>
      </c>
      <c r="P2416" t="s">
        <v>6694</v>
      </c>
      <c r="R2416" t="s">
        <v>6694</v>
      </c>
      <c r="W2416" t="s">
        <v>6720</v>
      </c>
    </row>
    <row r="2417" spans="1:23" ht="15.6" x14ac:dyDescent="0.4">
      <c r="A2417" s="2" t="s">
        <v>1545</v>
      </c>
      <c r="B2417" s="5" t="s">
        <v>8838</v>
      </c>
      <c r="C2417" s="7" t="s">
        <v>12556</v>
      </c>
      <c r="D2417" s="8">
        <f t="shared" si="152"/>
        <v>0</v>
      </c>
      <c r="E2417" s="7" t="s">
        <v>12557</v>
      </c>
      <c r="F2417" s="7">
        <f t="shared" si="153"/>
        <v>0</v>
      </c>
      <c r="G2417" s="7" t="s">
        <v>12558</v>
      </c>
      <c r="H2417" s="7">
        <f t="shared" si="154"/>
        <v>0</v>
      </c>
      <c r="I2417" s="7" t="str" cm="1">
        <f t="array" ref="I2417">IFERROR(_xlfn.IFS(M2417="נח",1,M2417="נע ונח",1,M2417="שני שווא נח",2,M2417="שני שוואים בסוף מילה",2,M2417="שני שוואים ברצף",1),"0")</f>
        <v>0</v>
      </c>
      <c r="J2417" s="9">
        <f t="shared" si="155"/>
        <v>3</v>
      </c>
      <c r="K2417" t="s">
        <v>6698</v>
      </c>
      <c r="L2417" t="s">
        <v>6695</v>
      </c>
      <c r="P2417" t="s">
        <v>6694</v>
      </c>
      <c r="W2417" t="s">
        <v>6720</v>
      </c>
    </row>
    <row r="2418" spans="1:23" ht="15.6" x14ac:dyDescent="0.4">
      <c r="A2418" s="2" t="s">
        <v>3387</v>
      </c>
      <c r="B2418" s="5" t="s">
        <v>8839</v>
      </c>
      <c r="C2418" s="7" t="s">
        <v>12556</v>
      </c>
      <c r="D2418" s="8">
        <f t="shared" si="152"/>
        <v>0</v>
      </c>
      <c r="E2418" s="7" t="s">
        <v>12557</v>
      </c>
      <c r="F2418" s="7">
        <f t="shared" si="153"/>
        <v>0</v>
      </c>
      <c r="G2418" s="7" t="s">
        <v>12558</v>
      </c>
      <c r="H2418" s="7">
        <f t="shared" si="154"/>
        <v>0</v>
      </c>
      <c r="I2418" s="7" t="str" cm="1">
        <f t="array" ref="I2418">IFERROR(_xlfn.IFS(M2418="נח",1,M2418="נע ונח",1,M2418="שני שווא נח",2,M2418="שני שוואים בסוף מילה",2,M2418="שני שוואים ברצף",1),"0")</f>
        <v>0</v>
      </c>
      <c r="J2418" s="9">
        <f t="shared" si="155"/>
        <v>4</v>
      </c>
      <c r="K2418" t="s">
        <v>6698</v>
      </c>
      <c r="L2418" t="s">
        <v>6695</v>
      </c>
      <c r="O2418" t="s">
        <v>6694</v>
      </c>
      <c r="P2418" t="s">
        <v>6694</v>
      </c>
      <c r="W2418" t="s">
        <v>6720</v>
      </c>
    </row>
    <row r="2419" spans="1:23" ht="15.6" x14ac:dyDescent="0.4">
      <c r="A2419" s="2" t="s">
        <v>1981</v>
      </c>
      <c r="B2419" s="5" t="s">
        <v>8840</v>
      </c>
      <c r="C2419" s="7" t="s">
        <v>12556</v>
      </c>
      <c r="D2419" s="8">
        <f t="shared" si="152"/>
        <v>0</v>
      </c>
      <c r="E2419" s="7" t="s">
        <v>12557</v>
      </c>
      <c r="F2419" s="7">
        <f t="shared" si="153"/>
        <v>0</v>
      </c>
      <c r="G2419" s="7" t="s">
        <v>12558</v>
      </c>
      <c r="H2419" s="7">
        <f t="shared" si="154"/>
        <v>0</v>
      </c>
      <c r="I2419" s="7" t="str" cm="1">
        <f t="array" ref="I2419">IFERROR(_xlfn.IFS(M2419="נח",1,M2419="נע ונח",1,M2419="שני שווא נח",2,M2419="שני שוואים בסוף מילה",2,M2419="שני שוואים ברצף",1),"0")</f>
        <v>0</v>
      </c>
      <c r="J2419" s="9">
        <f t="shared" si="155"/>
        <v>4</v>
      </c>
      <c r="K2419" t="s">
        <v>6698</v>
      </c>
      <c r="L2419" t="s">
        <v>6695</v>
      </c>
      <c r="O2419" t="s">
        <v>6694</v>
      </c>
      <c r="P2419" t="s">
        <v>6694</v>
      </c>
      <c r="R2419" t="s">
        <v>6694</v>
      </c>
      <c r="W2419" t="s">
        <v>6720</v>
      </c>
    </row>
    <row r="2420" spans="1:23" ht="15.6" x14ac:dyDescent="0.4">
      <c r="A2420" s="2" t="s">
        <v>2473</v>
      </c>
      <c r="B2420" s="5" t="s">
        <v>8569</v>
      </c>
      <c r="C2420" s="7" t="s">
        <v>12556</v>
      </c>
      <c r="D2420" s="8">
        <f t="shared" si="152"/>
        <v>1</v>
      </c>
      <c r="E2420" s="7" t="s">
        <v>12557</v>
      </c>
      <c r="F2420" s="7">
        <f t="shared" si="153"/>
        <v>0</v>
      </c>
      <c r="G2420" s="7" t="s">
        <v>12558</v>
      </c>
      <c r="H2420" s="7">
        <f t="shared" si="154"/>
        <v>0</v>
      </c>
      <c r="I2420" s="7" t="str" cm="1">
        <f t="array" ref="I2420">IFERROR(_xlfn.IFS(M2420="נח",1,M2420="נע ונח",1,M2420="שני שווא נח",2,M2420="שני שוואים בסוף מילה",2,M2420="שני שוואים ברצף",1),"0")</f>
        <v>0</v>
      </c>
      <c r="J2420" s="9">
        <f t="shared" si="155"/>
        <v>3</v>
      </c>
      <c r="K2420" t="s">
        <v>6697</v>
      </c>
      <c r="L2420" t="s">
        <v>6695</v>
      </c>
      <c r="P2420" t="s">
        <v>6694</v>
      </c>
      <c r="Q2420" t="s">
        <v>6694</v>
      </c>
      <c r="W2420" t="s">
        <v>6720</v>
      </c>
    </row>
    <row r="2421" spans="1:23" ht="15.6" x14ac:dyDescent="0.4">
      <c r="A2421" s="2" t="s">
        <v>1930</v>
      </c>
      <c r="B2421" s="5" t="s">
        <v>8841</v>
      </c>
      <c r="C2421" s="7" t="s">
        <v>12556</v>
      </c>
      <c r="D2421" s="8">
        <f t="shared" si="152"/>
        <v>0</v>
      </c>
      <c r="E2421" s="7" t="s">
        <v>12557</v>
      </c>
      <c r="F2421" s="7">
        <f t="shared" si="153"/>
        <v>2</v>
      </c>
      <c r="G2421" s="7" t="s">
        <v>12558</v>
      </c>
      <c r="H2421" s="7">
        <f t="shared" si="154"/>
        <v>0</v>
      </c>
      <c r="I2421" s="7" cm="1">
        <f t="array" ref="I2421">IFERROR(_xlfn.IFS(M2421="נח",1,M2421="נע ונח",1,M2421="שני שווא נח",2,M2421="שני שוואים בסוף מילה",2,M2421="שני שוואים ברצף",1),"0")</f>
        <v>2</v>
      </c>
      <c r="J2421" s="9">
        <f t="shared" si="155"/>
        <v>4</v>
      </c>
      <c r="K2421" t="s">
        <v>6697</v>
      </c>
      <c r="L2421" t="s">
        <v>6694</v>
      </c>
      <c r="M2421" t="s">
        <v>6704</v>
      </c>
      <c r="P2421" t="s">
        <v>6694</v>
      </c>
      <c r="Q2421" t="s">
        <v>6694</v>
      </c>
      <c r="S2421" t="s">
        <v>6694</v>
      </c>
      <c r="W2421" t="s">
        <v>6720</v>
      </c>
    </row>
    <row r="2422" spans="1:23" ht="15.6" x14ac:dyDescent="0.4">
      <c r="A2422" s="2" t="s">
        <v>4989</v>
      </c>
      <c r="B2422" s="5" t="s">
        <v>8842</v>
      </c>
      <c r="C2422" s="7" t="s">
        <v>12556</v>
      </c>
      <c r="D2422" s="8">
        <f t="shared" si="152"/>
        <v>0</v>
      </c>
      <c r="E2422" s="7" t="s">
        <v>12557</v>
      </c>
      <c r="F2422" s="7">
        <f t="shared" si="153"/>
        <v>2</v>
      </c>
      <c r="G2422" s="7" t="s">
        <v>12558</v>
      </c>
      <c r="H2422" s="7">
        <f t="shared" si="154"/>
        <v>1</v>
      </c>
      <c r="I2422" s="7" cm="1">
        <f t="array" ref="I2422">IFERROR(_xlfn.IFS(M2422="נח",1,M2422="נע ונח",1,M2422="שני שווא נח",2,M2422="שני שוואים בסוף מילה",2,M2422="שני שוואים ברצף",1),"0")</f>
        <v>1</v>
      </c>
      <c r="J2422" s="9">
        <f t="shared" si="155"/>
        <v>4</v>
      </c>
      <c r="K2422" t="s">
        <v>6697</v>
      </c>
      <c r="L2422" t="s">
        <v>6694</v>
      </c>
      <c r="M2422" t="s">
        <v>6705</v>
      </c>
      <c r="P2422" t="s">
        <v>6694</v>
      </c>
      <c r="Q2422" t="s">
        <v>6694</v>
      </c>
      <c r="U2422" t="s">
        <v>6694</v>
      </c>
      <c r="V2422" t="s">
        <v>6694</v>
      </c>
      <c r="W2422" t="s">
        <v>6720</v>
      </c>
    </row>
    <row r="2423" spans="1:23" ht="15.6" x14ac:dyDescent="0.4">
      <c r="A2423" s="2" t="s">
        <v>1740</v>
      </c>
      <c r="B2423" s="5" t="s">
        <v>8843</v>
      </c>
      <c r="C2423" s="7" t="s">
        <v>12556</v>
      </c>
      <c r="D2423" s="8">
        <f t="shared" si="152"/>
        <v>0</v>
      </c>
      <c r="E2423" s="7" t="s">
        <v>12557</v>
      </c>
      <c r="F2423" s="7">
        <f t="shared" si="153"/>
        <v>1</v>
      </c>
      <c r="G2423" s="7" t="s">
        <v>12558</v>
      </c>
      <c r="H2423" s="7">
        <f t="shared" si="154"/>
        <v>0</v>
      </c>
      <c r="I2423" s="7" cm="1">
        <f t="array" ref="I2423">IFERROR(_xlfn.IFS(M2423="נח",1,M2423="נע ונח",1,M2423="שני שווא נח",2,M2423="שני שוואים בסוף מילה",2,M2423="שני שוואים ברצף",1),"0")</f>
        <v>1</v>
      </c>
      <c r="J2423" s="9">
        <f t="shared" si="155"/>
        <v>2</v>
      </c>
      <c r="K2423" t="s">
        <v>6697</v>
      </c>
      <c r="L2423" t="s">
        <v>6694</v>
      </c>
      <c r="M2423" t="s">
        <v>6705</v>
      </c>
      <c r="P2423" t="s">
        <v>6694</v>
      </c>
      <c r="S2423" t="s">
        <v>6694</v>
      </c>
      <c r="W2423" t="s">
        <v>6720</v>
      </c>
    </row>
    <row r="2424" spans="1:23" ht="15.6" x14ac:dyDescent="0.4">
      <c r="A2424" s="2" t="s">
        <v>2150</v>
      </c>
      <c r="B2424" s="5" t="s">
        <v>8844</v>
      </c>
      <c r="C2424" s="7" t="s">
        <v>12556</v>
      </c>
      <c r="D2424" s="8">
        <f t="shared" si="152"/>
        <v>0</v>
      </c>
      <c r="E2424" s="7" t="s">
        <v>12557</v>
      </c>
      <c r="F2424" s="7">
        <f t="shared" si="153"/>
        <v>3</v>
      </c>
      <c r="G2424" s="7" t="s">
        <v>12558</v>
      </c>
      <c r="H2424" s="7">
        <f t="shared" si="154"/>
        <v>1</v>
      </c>
      <c r="I2424" s="7" cm="1">
        <f t="array" ref="I2424">IFERROR(_xlfn.IFS(M2424="נח",1,M2424="נע ונח",1,M2424="שני שווא נח",2,M2424="שני שוואים בסוף מילה",2,M2424="שני שוואים ברצף",1),"0")</f>
        <v>2</v>
      </c>
      <c r="J2424" s="9">
        <f t="shared" si="155"/>
        <v>4</v>
      </c>
      <c r="K2424" t="s">
        <v>6697</v>
      </c>
      <c r="L2424" t="s">
        <v>6694</v>
      </c>
      <c r="M2424" t="s">
        <v>6704</v>
      </c>
      <c r="P2424" t="s">
        <v>6694</v>
      </c>
      <c r="Q2424" t="s">
        <v>6694</v>
      </c>
      <c r="U2424" t="s">
        <v>6694</v>
      </c>
      <c r="W2424" t="s">
        <v>6720</v>
      </c>
    </row>
    <row r="2425" spans="1:23" ht="15.6" x14ac:dyDescent="0.4">
      <c r="A2425" s="2" t="s">
        <v>6292</v>
      </c>
      <c r="B2425" s="5" t="s">
        <v>8845</v>
      </c>
      <c r="C2425" s="7" t="s">
        <v>12556</v>
      </c>
      <c r="D2425" s="8">
        <f t="shared" si="152"/>
        <v>1</v>
      </c>
      <c r="E2425" s="7" t="s">
        <v>12557</v>
      </c>
      <c r="F2425" s="7">
        <f t="shared" si="153"/>
        <v>3</v>
      </c>
      <c r="G2425" s="7" t="s">
        <v>12558</v>
      </c>
      <c r="H2425" s="7">
        <f t="shared" si="154"/>
        <v>1</v>
      </c>
      <c r="I2425" s="7" cm="1">
        <f t="array" ref="I2425">IFERROR(_xlfn.IFS(M2425="נח",1,M2425="נע ונח",1,M2425="שני שווא נח",2,M2425="שני שוואים בסוף מילה",2,M2425="שני שוואים ברצף",1),"0")</f>
        <v>2</v>
      </c>
      <c r="J2425" s="9">
        <f t="shared" si="155"/>
        <v>4</v>
      </c>
      <c r="K2425" t="s">
        <v>6697</v>
      </c>
      <c r="L2425" t="s">
        <v>6694</v>
      </c>
      <c r="M2425" t="s">
        <v>6704</v>
      </c>
      <c r="P2425" t="s">
        <v>6694</v>
      </c>
      <c r="Q2425" t="s">
        <v>6694</v>
      </c>
      <c r="U2425" t="s">
        <v>6694</v>
      </c>
      <c r="W2425" t="s">
        <v>6720</v>
      </c>
    </row>
    <row r="2426" spans="1:23" ht="15.6" x14ac:dyDescent="0.4">
      <c r="A2426" s="2" t="s">
        <v>1079</v>
      </c>
      <c r="B2426" s="5" t="s">
        <v>8846</v>
      </c>
      <c r="C2426" s="7" t="s">
        <v>12556</v>
      </c>
      <c r="D2426" s="8">
        <f t="shared" si="152"/>
        <v>0</v>
      </c>
      <c r="E2426" s="7" t="s">
        <v>12557</v>
      </c>
      <c r="F2426" s="7">
        <f t="shared" si="153"/>
        <v>1</v>
      </c>
      <c r="G2426" s="7" t="s">
        <v>12558</v>
      </c>
      <c r="H2426" s="7">
        <f t="shared" si="154"/>
        <v>0</v>
      </c>
      <c r="I2426" s="7" cm="1">
        <f t="array" ref="I2426">IFERROR(_xlfn.IFS(M2426="נח",1,M2426="נע ונח",1,M2426="שני שווא נח",2,M2426="שני שוואים בסוף מילה",2,M2426="שני שוואים ברצף",1),"0")</f>
        <v>1</v>
      </c>
      <c r="J2426" s="9">
        <f t="shared" si="155"/>
        <v>2</v>
      </c>
      <c r="K2426" t="s">
        <v>6698</v>
      </c>
      <c r="L2426" t="s">
        <v>6694</v>
      </c>
      <c r="M2426" t="s">
        <v>6705</v>
      </c>
      <c r="P2426" t="s">
        <v>6694</v>
      </c>
      <c r="W2426" t="s">
        <v>6720</v>
      </c>
    </row>
    <row r="2427" spans="1:23" ht="15.6" x14ac:dyDescent="0.4">
      <c r="A2427" s="2" t="s">
        <v>4002</v>
      </c>
      <c r="B2427" s="5" t="s">
        <v>8847</v>
      </c>
      <c r="C2427" s="7" t="s">
        <v>12556</v>
      </c>
      <c r="D2427" s="8">
        <f t="shared" si="152"/>
        <v>0</v>
      </c>
      <c r="E2427" s="7" t="s">
        <v>12557</v>
      </c>
      <c r="F2427" s="7">
        <f t="shared" si="153"/>
        <v>2</v>
      </c>
      <c r="G2427" s="7" t="s">
        <v>12558</v>
      </c>
      <c r="H2427" s="7">
        <f t="shared" si="154"/>
        <v>0</v>
      </c>
      <c r="I2427" s="7" cm="1">
        <f t="array" ref="I2427">IFERROR(_xlfn.IFS(M2427="נח",1,M2427="נע ונח",1,M2427="שני שווא נח",2,M2427="שני שוואים בסוף מילה",2,M2427="שני שוואים ברצף",1),"0")</f>
        <v>1</v>
      </c>
      <c r="J2427" s="9">
        <f t="shared" si="155"/>
        <v>4</v>
      </c>
      <c r="K2427" t="s">
        <v>6697</v>
      </c>
      <c r="L2427" t="s">
        <v>6694</v>
      </c>
      <c r="M2427" t="s">
        <v>6705</v>
      </c>
      <c r="P2427" t="s">
        <v>6694</v>
      </c>
      <c r="Q2427" t="s">
        <v>6694</v>
      </c>
      <c r="S2427" t="s">
        <v>6694</v>
      </c>
      <c r="W2427" t="s">
        <v>6720</v>
      </c>
    </row>
    <row r="2428" spans="1:23" ht="15.6" x14ac:dyDescent="0.4">
      <c r="A2428" s="2" t="s">
        <v>4806</v>
      </c>
      <c r="B2428" s="5" t="s">
        <v>8848</v>
      </c>
      <c r="C2428" s="7" t="s">
        <v>12556</v>
      </c>
      <c r="D2428" s="8">
        <f t="shared" si="152"/>
        <v>0</v>
      </c>
      <c r="E2428" s="7" t="s">
        <v>12557</v>
      </c>
      <c r="F2428" s="7">
        <f t="shared" si="153"/>
        <v>2</v>
      </c>
      <c r="G2428" s="7" t="s">
        <v>12558</v>
      </c>
      <c r="H2428" s="7">
        <f t="shared" si="154"/>
        <v>0</v>
      </c>
      <c r="I2428" s="7" cm="1">
        <f t="array" ref="I2428">IFERROR(_xlfn.IFS(M2428="נח",1,M2428="נע ונח",1,M2428="שני שווא נח",2,M2428="שני שוואים בסוף מילה",2,M2428="שני שוואים ברצף",1),"0")</f>
        <v>1</v>
      </c>
      <c r="J2428" s="9">
        <f t="shared" si="155"/>
        <v>3</v>
      </c>
      <c r="K2428" t="s">
        <v>6697</v>
      </c>
      <c r="L2428" t="s">
        <v>6694</v>
      </c>
      <c r="M2428" t="s">
        <v>6705</v>
      </c>
      <c r="P2428" t="s">
        <v>6694</v>
      </c>
      <c r="Q2428" t="s">
        <v>6694</v>
      </c>
      <c r="W2428" t="s">
        <v>6720</v>
      </c>
    </row>
    <row r="2429" spans="1:23" ht="15.6" x14ac:dyDescent="0.4">
      <c r="A2429" s="2" t="s">
        <v>5968</v>
      </c>
      <c r="B2429" s="5" t="s">
        <v>8849</v>
      </c>
      <c r="C2429" s="7" t="s">
        <v>12556</v>
      </c>
      <c r="D2429" s="8">
        <f t="shared" si="152"/>
        <v>0</v>
      </c>
      <c r="E2429" s="7" t="s">
        <v>12557</v>
      </c>
      <c r="F2429" s="7">
        <f t="shared" si="153"/>
        <v>2</v>
      </c>
      <c r="G2429" s="7" t="s">
        <v>12558</v>
      </c>
      <c r="H2429" s="7">
        <f t="shared" si="154"/>
        <v>0</v>
      </c>
      <c r="I2429" s="7" cm="1">
        <f t="array" ref="I2429">IFERROR(_xlfn.IFS(M2429="נח",1,M2429="נע ונח",1,M2429="שני שווא נח",2,M2429="שני שוואים בסוף מילה",2,M2429="שני שוואים ברצף",1),"0")</f>
        <v>2</v>
      </c>
      <c r="J2429" s="9">
        <f t="shared" si="155"/>
        <v>4</v>
      </c>
      <c r="K2429" t="s">
        <v>6697</v>
      </c>
      <c r="L2429" t="s">
        <v>6694</v>
      </c>
      <c r="M2429" t="s">
        <v>6704</v>
      </c>
      <c r="P2429" t="s">
        <v>6694</v>
      </c>
      <c r="Q2429" t="s">
        <v>6694</v>
      </c>
      <c r="V2429" t="s">
        <v>6694</v>
      </c>
      <c r="W2429" t="s">
        <v>6720</v>
      </c>
    </row>
    <row r="2430" spans="1:23" ht="15.6" x14ac:dyDescent="0.4">
      <c r="A2430" s="2" t="s">
        <v>1580</v>
      </c>
      <c r="B2430" s="5" t="s">
        <v>8850</v>
      </c>
      <c r="C2430" s="7" t="s">
        <v>12556</v>
      </c>
      <c r="D2430" s="8">
        <f t="shared" si="152"/>
        <v>0</v>
      </c>
      <c r="E2430" s="7" t="s">
        <v>12557</v>
      </c>
      <c r="F2430" s="7">
        <f t="shared" si="153"/>
        <v>1</v>
      </c>
      <c r="G2430" s="7" t="s">
        <v>12558</v>
      </c>
      <c r="H2430" s="7">
        <f t="shared" si="154"/>
        <v>0</v>
      </c>
      <c r="I2430" s="7" cm="1">
        <f t="array" ref="I2430">IFERROR(_xlfn.IFS(M2430="נח",1,M2430="נע ונח",1,M2430="שני שווא נח",2,M2430="שני שוואים בסוף מילה",2,M2430="שני שוואים ברצף",1),"0")</f>
        <v>1</v>
      </c>
      <c r="J2430" s="9">
        <f t="shared" si="155"/>
        <v>3</v>
      </c>
      <c r="K2430" t="s">
        <v>6698</v>
      </c>
      <c r="L2430" t="s">
        <v>6694</v>
      </c>
      <c r="M2430" t="s">
        <v>6705</v>
      </c>
      <c r="P2430" t="s">
        <v>6694</v>
      </c>
      <c r="Q2430" t="s">
        <v>6694</v>
      </c>
      <c r="V2430" t="s">
        <v>6694</v>
      </c>
      <c r="W2430" t="s">
        <v>6720</v>
      </c>
    </row>
    <row r="2431" spans="1:23" ht="15.6" x14ac:dyDescent="0.4">
      <c r="A2431" s="2" t="s">
        <v>6372</v>
      </c>
      <c r="B2431" s="5" t="s">
        <v>8851</v>
      </c>
      <c r="C2431" s="7" t="s">
        <v>12556</v>
      </c>
      <c r="D2431" s="8">
        <f t="shared" si="152"/>
        <v>1</v>
      </c>
      <c r="E2431" s="7" t="s">
        <v>12557</v>
      </c>
      <c r="F2431" s="7">
        <f t="shared" si="153"/>
        <v>2</v>
      </c>
      <c r="G2431" s="7" t="s">
        <v>12558</v>
      </c>
      <c r="H2431" s="7">
        <f t="shared" si="154"/>
        <v>0</v>
      </c>
      <c r="I2431" s="7" cm="1">
        <f t="array" ref="I2431">IFERROR(_xlfn.IFS(M2431="נח",1,M2431="נע ונח",1,M2431="שני שווא נח",2,M2431="שני שוואים בסוף מילה",2,M2431="שני שוואים ברצף",1),"0")</f>
        <v>2</v>
      </c>
      <c r="J2431" s="9">
        <f t="shared" si="155"/>
        <v>3</v>
      </c>
      <c r="K2431" t="s">
        <v>6698</v>
      </c>
      <c r="L2431" t="s">
        <v>6694</v>
      </c>
      <c r="M2431" t="s">
        <v>6704</v>
      </c>
      <c r="P2431" t="s">
        <v>6694</v>
      </c>
      <c r="Q2431" t="s">
        <v>6694</v>
      </c>
      <c r="W2431" t="s">
        <v>6720</v>
      </c>
    </row>
    <row r="2432" spans="1:23" ht="15.6" x14ac:dyDescent="0.4">
      <c r="A2432" s="2" t="s">
        <v>4388</v>
      </c>
      <c r="B2432" s="5" t="s">
        <v>8852</v>
      </c>
      <c r="C2432" s="7" t="s">
        <v>12556</v>
      </c>
      <c r="D2432" s="8">
        <f t="shared" si="152"/>
        <v>1</v>
      </c>
      <c r="E2432" s="7" t="s">
        <v>12557</v>
      </c>
      <c r="F2432" s="7">
        <f t="shared" si="153"/>
        <v>1</v>
      </c>
      <c r="G2432" s="7" t="s">
        <v>12558</v>
      </c>
      <c r="H2432" s="7">
        <f t="shared" si="154"/>
        <v>0</v>
      </c>
      <c r="I2432" s="7" t="str" cm="1">
        <f t="array" ref="I2432">IFERROR(_xlfn.IFS(M2432="נח",1,M2432="נע ונח",1,M2432="שני שווא נח",2,M2432="שני שוואים בסוף מילה",2,M2432="שני שוואים ברצף",1),"0")</f>
        <v>0</v>
      </c>
      <c r="J2432" s="9">
        <f t="shared" si="155"/>
        <v>6</v>
      </c>
      <c r="K2432" t="s">
        <v>6698</v>
      </c>
      <c r="L2432" t="s">
        <v>6694</v>
      </c>
      <c r="M2432" t="s">
        <v>6703</v>
      </c>
      <c r="O2432" t="s">
        <v>6694</v>
      </c>
      <c r="P2432" t="s">
        <v>6694</v>
      </c>
      <c r="R2432" t="s">
        <v>6694</v>
      </c>
      <c r="V2432" t="s">
        <v>6694</v>
      </c>
      <c r="W2432" t="s">
        <v>6720</v>
      </c>
    </row>
    <row r="2433" spans="1:23" ht="15.6" x14ac:dyDescent="0.4">
      <c r="A2433" s="2" t="s">
        <v>1077</v>
      </c>
      <c r="B2433" s="5" t="s">
        <v>8853</v>
      </c>
      <c r="C2433" s="7" t="s">
        <v>12556</v>
      </c>
      <c r="D2433" s="8">
        <f t="shared" si="152"/>
        <v>0</v>
      </c>
      <c r="E2433" s="7" t="s">
        <v>12557</v>
      </c>
      <c r="F2433" s="7">
        <f t="shared" si="153"/>
        <v>1</v>
      </c>
      <c r="G2433" s="7" t="s">
        <v>12558</v>
      </c>
      <c r="H2433" s="7">
        <f t="shared" si="154"/>
        <v>0</v>
      </c>
      <c r="I2433" s="7" cm="1">
        <f t="array" ref="I2433">IFERROR(_xlfn.IFS(M2433="נח",1,M2433="נע ונח",1,M2433="שני שווא נח",2,M2433="שני שוואים בסוף מילה",2,M2433="שני שוואים ברצף",1),"0")</f>
        <v>1</v>
      </c>
      <c r="J2433" s="9">
        <f t="shared" si="155"/>
        <v>3</v>
      </c>
      <c r="K2433" t="s">
        <v>6697</v>
      </c>
      <c r="L2433" t="s">
        <v>6694</v>
      </c>
      <c r="M2433" t="s">
        <v>6705</v>
      </c>
      <c r="P2433" t="s">
        <v>6694</v>
      </c>
      <c r="S2433" t="s">
        <v>6694</v>
      </c>
      <c r="W2433" t="s">
        <v>6720</v>
      </c>
    </row>
    <row r="2434" spans="1:23" ht="15.6" x14ac:dyDescent="0.4">
      <c r="A2434" s="2" t="s">
        <v>1081</v>
      </c>
      <c r="B2434" s="5" t="s">
        <v>8854</v>
      </c>
      <c r="C2434" s="7" t="s">
        <v>12556</v>
      </c>
      <c r="D2434" s="8">
        <f t="shared" si="152"/>
        <v>0</v>
      </c>
      <c r="E2434" s="7" t="s">
        <v>12557</v>
      </c>
      <c r="F2434" s="7">
        <f t="shared" si="153"/>
        <v>1</v>
      </c>
      <c r="G2434" s="7" t="s">
        <v>12558</v>
      </c>
      <c r="H2434" s="7">
        <f t="shared" si="154"/>
        <v>0</v>
      </c>
      <c r="I2434" s="7" cm="1">
        <f t="array" ref="I2434">IFERROR(_xlfn.IFS(M2434="נח",1,M2434="נע ונח",1,M2434="שני שווא נח",2,M2434="שני שוואים בסוף מילה",2,M2434="שני שוואים ברצף",1),"0")</f>
        <v>1</v>
      </c>
      <c r="J2434" s="9">
        <f t="shared" si="155"/>
        <v>3</v>
      </c>
      <c r="K2434" t="s">
        <v>6698</v>
      </c>
      <c r="L2434" t="s">
        <v>6694</v>
      </c>
      <c r="M2434" t="s">
        <v>6705</v>
      </c>
      <c r="P2434" t="s">
        <v>6694</v>
      </c>
      <c r="S2434" t="s">
        <v>6694</v>
      </c>
      <c r="W2434" t="s">
        <v>6720</v>
      </c>
    </row>
    <row r="2435" spans="1:23" ht="15.6" x14ac:dyDescent="0.4">
      <c r="A2435" s="2" t="s">
        <v>2058</v>
      </c>
      <c r="B2435" s="5" t="s">
        <v>8855</v>
      </c>
      <c r="C2435" s="7" t="s">
        <v>12556</v>
      </c>
      <c r="D2435" s="8">
        <f t="shared" ref="D2435:D2498" si="156">(LEN(B2435)-LEN(SUBSTITUTE(B2435,C2435,"")))</f>
        <v>1</v>
      </c>
      <c r="E2435" s="7" t="s">
        <v>12557</v>
      </c>
      <c r="F2435" s="7">
        <f t="shared" ref="F2435:F2498" si="157">(LEN(A2435)-LEN(SUBSTITUTE(A2435,E2435,"")))</f>
        <v>1</v>
      </c>
      <c r="G2435" s="7" t="s">
        <v>12558</v>
      </c>
      <c r="H2435" s="7">
        <f t="shared" ref="H2435:H2498" si="158">(LEN(A2435)-LEN(SUBSTITUTE(A2435,G2435,"")))/2</f>
        <v>0</v>
      </c>
      <c r="I2435" s="7" cm="1">
        <f t="array" ref="I2435">IFERROR(_xlfn.IFS(M2435="נח",1,M2435="נע ונח",1,M2435="שני שווא נח",2,M2435="שני שוואים בסוף מילה",2,M2435="שני שוואים ברצף",1),"0")</f>
        <v>1</v>
      </c>
      <c r="J2435" s="9">
        <f t="shared" ref="J2435:J2498" si="159">LEN(A2435)-(LEN(B2435))-D2435-F2435+H2435-I2435</f>
        <v>3</v>
      </c>
      <c r="K2435" t="s">
        <v>6698</v>
      </c>
      <c r="L2435" t="s">
        <v>6694</v>
      </c>
      <c r="M2435" t="s">
        <v>6705</v>
      </c>
      <c r="P2435" t="s">
        <v>6694</v>
      </c>
      <c r="S2435" t="s">
        <v>6694</v>
      </c>
      <c r="W2435" t="s">
        <v>6720</v>
      </c>
    </row>
    <row r="2436" spans="1:23" ht="15.6" x14ac:dyDescent="0.4">
      <c r="A2436" s="2" t="s">
        <v>3604</v>
      </c>
      <c r="B2436" s="5" t="s">
        <v>8856</v>
      </c>
      <c r="C2436" s="7" t="s">
        <v>12556</v>
      </c>
      <c r="D2436" s="8">
        <f t="shared" si="156"/>
        <v>0</v>
      </c>
      <c r="E2436" s="7" t="s">
        <v>12557</v>
      </c>
      <c r="F2436" s="7">
        <f t="shared" si="157"/>
        <v>2</v>
      </c>
      <c r="G2436" s="7" t="s">
        <v>12558</v>
      </c>
      <c r="H2436" s="7">
        <f t="shared" si="158"/>
        <v>0</v>
      </c>
      <c r="I2436" s="7" t="str" cm="1">
        <f t="array" ref="I2436">IFERROR(_xlfn.IFS(M2436="נח",1,M2436="נע ונח",1,M2436="שני שווא נח",2,M2436="שני שוואים בסוף מילה",2,M2436="שני שוואים ברצף",1),"0")</f>
        <v>0</v>
      </c>
      <c r="J2436" s="9">
        <f t="shared" si="159"/>
        <v>4</v>
      </c>
      <c r="K2436" t="s">
        <v>6698</v>
      </c>
      <c r="L2436" t="s">
        <v>6695</v>
      </c>
      <c r="O2436" t="s">
        <v>6694</v>
      </c>
      <c r="P2436" t="s">
        <v>6694</v>
      </c>
      <c r="Q2436" t="s">
        <v>6694</v>
      </c>
      <c r="S2436" t="s">
        <v>6694</v>
      </c>
      <c r="W2436" t="s">
        <v>6720</v>
      </c>
    </row>
    <row r="2437" spans="1:23" ht="15.6" x14ac:dyDescent="0.4">
      <c r="A2437" s="2" t="s">
        <v>6520</v>
      </c>
      <c r="B2437" s="5" t="s">
        <v>8857</v>
      </c>
      <c r="C2437" s="7" t="s">
        <v>12556</v>
      </c>
      <c r="D2437" s="8">
        <f t="shared" si="156"/>
        <v>0</v>
      </c>
      <c r="E2437" s="7" t="s">
        <v>12557</v>
      </c>
      <c r="F2437" s="7">
        <f t="shared" si="157"/>
        <v>2</v>
      </c>
      <c r="G2437" s="7" t="s">
        <v>12558</v>
      </c>
      <c r="H2437" s="7">
        <f t="shared" si="158"/>
        <v>0</v>
      </c>
      <c r="I2437" s="7" t="str" cm="1">
        <f t="array" ref="I2437">IFERROR(_xlfn.IFS(M2437="נח",1,M2437="נע ונח",1,M2437="שני שווא נח",2,M2437="שני שוואים בסוף מילה",2,M2437="שני שוואים ברצף",1),"0")</f>
        <v>0</v>
      </c>
      <c r="J2437" s="9">
        <f t="shared" si="159"/>
        <v>5</v>
      </c>
      <c r="K2437" t="s">
        <v>6698</v>
      </c>
      <c r="L2437" t="s">
        <v>6695</v>
      </c>
      <c r="O2437" t="s">
        <v>6694</v>
      </c>
      <c r="P2437" t="s">
        <v>6694</v>
      </c>
      <c r="R2437" t="s">
        <v>6694</v>
      </c>
      <c r="S2437" t="s">
        <v>6694</v>
      </c>
      <c r="W2437" t="s">
        <v>6720</v>
      </c>
    </row>
    <row r="2438" spans="1:23" ht="15.6" x14ac:dyDescent="0.4">
      <c r="A2438" s="2" t="s">
        <v>5270</v>
      </c>
      <c r="B2438" s="5" t="s">
        <v>8858</v>
      </c>
      <c r="C2438" s="7" t="s">
        <v>12556</v>
      </c>
      <c r="D2438" s="8">
        <f t="shared" si="156"/>
        <v>0</v>
      </c>
      <c r="E2438" s="7" t="s">
        <v>12557</v>
      </c>
      <c r="F2438" s="7">
        <f t="shared" si="157"/>
        <v>1</v>
      </c>
      <c r="G2438" s="7" t="s">
        <v>12558</v>
      </c>
      <c r="H2438" s="7">
        <f t="shared" si="158"/>
        <v>0</v>
      </c>
      <c r="I2438" s="7" cm="1">
        <f t="array" ref="I2438">IFERROR(_xlfn.IFS(M2438="נח",1,M2438="נע ונח",1,M2438="שני שווא נח",2,M2438="שני שוואים בסוף מילה",2,M2438="שני שוואים ברצף",1),"0")</f>
        <v>1</v>
      </c>
      <c r="J2438" s="9">
        <f t="shared" si="159"/>
        <v>3</v>
      </c>
      <c r="K2438" t="s">
        <v>6698</v>
      </c>
      <c r="L2438" t="s">
        <v>6694</v>
      </c>
      <c r="M2438" t="s">
        <v>6705</v>
      </c>
      <c r="P2438" t="s">
        <v>6694</v>
      </c>
      <c r="S2438" t="s">
        <v>6694</v>
      </c>
      <c r="W2438" t="s">
        <v>6720</v>
      </c>
    </row>
    <row r="2439" spans="1:23" ht="15.6" x14ac:dyDescent="0.4">
      <c r="A2439" s="2" t="s">
        <v>1130</v>
      </c>
      <c r="B2439" s="5" t="s">
        <v>8859</v>
      </c>
      <c r="C2439" s="7" t="s">
        <v>12556</v>
      </c>
      <c r="D2439" s="8">
        <f t="shared" si="156"/>
        <v>0</v>
      </c>
      <c r="E2439" s="7" t="s">
        <v>12557</v>
      </c>
      <c r="F2439" s="7">
        <f t="shared" si="157"/>
        <v>1</v>
      </c>
      <c r="G2439" s="7" t="s">
        <v>12558</v>
      </c>
      <c r="H2439" s="7">
        <f t="shared" si="158"/>
        <v>0</v>
      </c>
      <c r="I2439" s="7" cm="1">
        <f t="array" ref="I2439">IFERROR(_xlfn.IFS(M2439="נח",1,M2439="נע ונח",1,M2439="שני שווא נח",2,M2439="שני שוואים בסוף מילה",2,M2439="שני שוואים ברצף",1),"0")</f>
        <v>1</v>
      </c>
      <c r="J2439" s="9">
        <f t="shared" si="159"/>
        <v>3</v>
      </c>
      <c r="K2439" t="s">
        <v>6698</v>
      </c>
      <c r="L2439" t="s">
        <v>6694</v>
      </c>
      <c r="M2439" t="s">
        <v>6705</v>
      </c>
      <c r="N2439" t="s">
        <v>6706</v>
      </c>
      <c r="O2439" t="s">
        <v>6694</v>
      </c>
      <c r="P2439" t="s">
        <v>6694</v>
      </c>
      <c r="S2439" t="s">
        <v>6694</v>
      </c>
      <c r="W2439" t="s">
        <v>6720</v>
      </c>
    </row>
    <row r="2440" spans="1:23" ht="15.6" x14ac:dyDescent="0.4">
      <c r="A2440" s="2" t="s">
        <v>4991</v>
      </c>
      <c r="B2440" s="5" t="s">
        <v>8860</v>
      </c>
      <c r="C2440" s="7" t="s">
        <v>12556</v>
      </c>
      <c r="D2440" s="8">
        <f t="shared" si="156"/>
        <v>0</v>
      </c>
      <c r="E2440" s="7" t="s">
        <v>12557</v>
      </c>
      <c r="F2440" s="7">
        <f t="shared" si="157"/>
        <v>1</v>
      </c>
      <c r="G2440" s="7" t="s">
        <v>12558</v>
      </c>
      <c r="H2440" s="7">
        <f t="shared" si="158"/>
        <v>0</v>
      </c>
      <c r="I2440" s="7" cm="1">
        <f t="array" ref="I2440">IFERROR(_xlfn.IFS(M2440="נח",1,M2440="נע ונח",1,M2440="שני שווא נח",2,M2440="שני שוואים בסוף מילה",2,M2440="שני שוואים ברצף",1),"0")</f>
        <v>1</v>
      </c>
      <c r="J2440" s="9">
        <f t="shared" si="159"/>
        <v>3</v>
      </c>
      <c r="K2440" t="s">
        <v>6698</v>
      </c>
      <c r="L2440" t="s">
        <v>6694</v>
      </c>
      <c r="M2440" t="s">
        <v>6705</v>
      </c>
      <c r="P2440" t="s">
        <v>6694</v>
      </c>
      <c r="S2440" t="s">
        <v>6694</v>
      </c>
      <c r="W2440" t="s">
        <v>6720</v>
      </c>
    </row>
    <row r="2441" spans="1:23" ht="15.6" x14ac:dyDescent="0.4">
      <c r="A2441" s="2" t="s">
        <v>2059</v>
      </c>
      <c r="B2441" s="5" t="s">
        <v>8861</v>
      </c>
      <c r="C2441" s="7" t="s">
        <v>12556</v>
      </c>
      <c r="D2441" s="8">
        <f t="shared" si="156"/>
        <v>1</v>
      </c>
      <c r="E2441" s="7" t="s">
        <v>12557</v>
      </c>
      <c r="F2441" s="7">
        <f t="shared" si="157"/>
        <v>1</v>
      </c>
      <c r="G2441" s="7" t="s">
        <v>12558</v>
      </c>
      <c r="H2441" s="7">
        <f t="shared" si="158"/>
        <v>0</v>
      </c>
      <c r="I2441" s="7" cm="1">
        <f t="array" ref="I2441">IFERROR(_xlfn.IFS(M2441="נח",1,M2441="נע ונח",1,M2441="שני שווא נח",2,M2441="שני שוואים בסוף מילה",2,M2441="שני שוואים ברצף",1),"0")</f>
        <v>1</v>
      </c>
      <c r="J2441" s="9">
        <f t="shared" si="159"/>
        <v>3</v>
      </c>
      <c r="K2441" t="s">
        <v>6698</v>
      </c>
      <c r="L2441" t="s">
        <v>6694</v>
      </c>
      <c r="M2441" t="s">
        <v>6705</v>
      </c>
      <c r="P2441" t="s">
        <v>6694</v>
      </c>
      <c r="S2441" t="s">
        <v>6694</v>
      </c>
      <c r="W2441" t="s">
        <v>6720</v>
      </c>
    </row>
    <row r="2442" spans="1:23" ht="15.6" x14ac:dyDescent="0.4">
      <c r="A2442" s="2" t="s">
        <v>6592</v>
      </c>
      <c r="B2442" s="5" t="s">
        <v>8862</v>
      </c>
      <c r="C2442" s="7" t="s">
        <v>12556</v>
      </c>
      <c r="D2442" s="8">
        <f t="shared" si="156"/>
        <v>0</v>
      </c>
      <c r="E2442" s="7" t="s">
        <v>12557</v>
      </c>
      <c r="F2442" s="7">
        <f t="shared" si="157"/>
        <v>2</v>
      </c>
      <c r="G2442" s="7" t="s">
        <v>12558</v>
      </c>
      <c r="H2442" s="7">
        <f t="shared" si="158"/>
        <v>0</v>
      </c>
      <c r="I2442" s="7" cm="1">
        <f t="array" ref="I2442">IFERROR(_xlfn.IFS(M2442="נח",1,M2442="נע ונח",1,M2442="שני שווא נח",2,M2442="שני שוואים בסוף מילה",2,M2442="שני שוואים ברצף",1),"0")</f>
        <v>1</v>
      </c>
      <c r="J2442" s="9">
        <f t="shared" si="159"/>
        <v>5</v>
      </c>
      <c r="K2442" t="s">
        <v>6697</v>
      </c>
      <c r="L2442" t="s">
        <v>6694</v>
      </c>
      <c r="M2442" t="s">
        <v>6705</v>
      </c>
      <c r="O2442" t="s">
        <v>6694</v>
      </c>
      <c r="P2442" t="s">
        <v>6694</v>
      </c>
      <c r="Q2442" t="s">
        <v>6694</v>
      </c>
      <c r="S2442" t="s">
        <v>6694</v>
      </c>
      <c r="W2442" t="s">
        <v>6720</v>
      </c>
    </row>
    <row r="2443" spans="1:23" ht="15.6" x14ac:dyDescent="0.4">
      <c r="A2443" s="2" t="s">
        <v>5328</v>
      </c>
      <c r="B2443" s="5" t="s">
        <v>8863</v>
      </c>
      <c r="C2443" s="7" t="s">
        <v>12556</v>
      </c>
      <c r="D2443" s="8">
        <f t="shared" si="156"/>
        <v>0</v>
      </c>
      <c r="E2443" s="7" t="s">
        <v>12557</v>
      </c>
      <c r="F2443" s="7">
        <f t="shared" si="157"/>
        <v>1</v>
      </c>
      <c r="G2443" s="7" t="s">
        <v>12558</v>
      </c>
      <c r="H2443" s="7">
        <f t="shared" si="158"/>
        <v>0</v>
      </c>
      <c r="I2443" s="7" t="str" cm="1">
        <f t="array" ref="I2443">IFERROR(_xlfn.IFS(M2443="נח",1,M2443="נע ונח",1,M2443="שני שווא נח",2,M2443="שני שוואים בסוף מילה",2,M2443="שני שוואים ברצף",1),"0")</f>
        <v>0</v>
      </c>
      <c r="J2443" s="9">
        <f t="shared" si="159"/>
        <v>3</v>
      </c>
      <c r="K2443" t="s">
        <v>6698</v>
      </c>
      <c r="L2443" t="s">
        <v>6695</v>
      </c>
      <c r="P2443" t="s">
        <v>6694</v>
      </c>
      <c r="R2443" t="s">
        <v>6694</v>
      </c>
      <c r="S2443" t="s">
        <v>6694</v>
      </c>
      <c r="W2443" t="s">
        <v>6720</v>
      </c>
    </row>
    <row r="2444" spans="1:23" ht="15.6" x14ac:dyDescent="0.4">
      <c r="A2444" s="2" t="s">
        <v>2216</v>
      </c>
      <c r="B2444" s="5" t="s">
        <v>8864</v>
      </c>
      <c r="C2444" s="7" t="s">
        <v>12556</v>
      </c>
      <c r="D2444" s="8">
        <f t="shared" si="156"/>
        <v>1</v>
      </c>
      <c r="E2444" s="7" t="s">
        <v>12557</v>
      </c>
      <c r="F2444" s="7">
        <f t="shared" si="157"/>
        <v>1</v>
      </c>
      <c r="G2444" s="7" t="s">
        <v>12558</v>
      </c>
      <c r="H2444" s="7">
        <f t="shared" si="158"/>
        <v>0</v>
      </c>
      <c r="I2444" s="7" cm="1">
        <f t="array" ref="I2444">IFERROR(_xlfn.IFS(M2444="נח",1,M2444="נע ונח",1,M2444="שני שווא נח",2,M2444="שני שוואים בסוף מילה",2,M2444="שני שוואים ברצף",1),"0")</f>
        <v>1</v>
      </c>
      <c r="J2444" s="9">
        <f t="shared" si="159"/>
        <v>3</v>
      </c>
      <c r="K2444" t="s">
        <v>6698</v>
      </c>
      <c r="L2444" t="s">
        <v>6694</v>
      </c>
      <c r="M2444" t="s">
        <v>6705</v>
      </c>
      <c r="P2444" t="s">
        <v>6694</v>
      </c>
      <c r="S2444" t="s">
        <v>6694</v>
      </c>
      <c r="W2444" t="s">
        <v>6720</v>
      </c>
    </row>
    <row r="2445" spans="1:23" ht="15.6" x14ac:dyDescent="0.4">
      <c r="A2445" s="2" t="s">
        <v>3704</v>
      </c>
      <c r="B2445" s="5" t="s">
        <v>8865</v>
      </c>
      <c r="C2445" s="7" t="s">
        <v>12556</v>
      </c>
      <c r="D2445" s="8">
        <f t="shared" si="156"/>
        <v>1</v>
      </c>
      <c r="E2445" s="7" t="s">
        <v>12557</v>
      </c>
      <c r="F2445" s="7">
        <f t="shared" si="157"/>
        <v>1</v>
      </c>
      <c r="G2445" s="7" t="s">
        <v>12558</v>
      </c>
      <c r="H2445" s="7">
        <f t="shared" si="158"/>
        <v>0</v>
      </c>
      <c r="I2445" s="7" cm="1">
        <f t="array" ref="I2445">IFERROR(_xlfn.IFS(M2445="נח",1,M2445="נע ונח",1,M2445="שני שווא נח",2,M2445="שני שוואים בסוף מילה",2,M2445="שני שוואים ברצף",1),"0")</f>
        <v>1</v>
      </c>
      <c r="J2445" s="9">
        <f t="shared" si="159"/>
        <v>3</v>
      </c>
      <c r="K2445" t="s">
        <v>6697</v>
      </c>
      <c r="L2445" t="s">
        <v>6694</v>
      </c>
      <c r="M2445" t="s">
        <v>6705</v>
      </c>
      <c r="O2445" t="s">
        <v>6694</v>
      </c>
      <c r="P2445" t="s">
        <v>6694</v>
      </c>
      <c r="S2445" t="s">
        <v>6694</v>
      </c>
      <c r="W2445" t="s">
        <v>6720</v>
      </c>
    </row>
    <row r="2446" spans="1:23" ht="15.6" x14ac:dyDescent="0.4">
      <c r="A2446" s="2" t="s">
        <v>5324</v>
      </c>
      <c r="B2446" s="5" t="s">
        <v>8866</v>
      </c>
      <c r="C2446" s="7" t="s">
        <v>12556</v>
      </c>
      <c r="D2446" s="8">
        <f t="shared" si="156"/>
        <v>1</v>
      </c>
      <c r="E2446" s="7" t="s">
        <v>12557</v>
      </c>
      <c r="F2446" s="7">
        <f t="shared" si="157"/>
        <v>2</v>
      </c>
      <c r="G2446" s="7" t="s">
        <v>12558</v>
      </c>
      <c r="H2446" s="7">
        <f t="shared" si="158"/>
        <v>0</v>
      </c>
      <c r="I2446" s="7" t="str" cm="1">
        <f t="array" ref="I2446">IFERROR(_xlfn.IFS(M2446="נח",1,M2446="נע ונח",1,M2446="שני שווא נח",2,M2446="שני שוואים בסוף מילה",2,M2446="שני שוואים ברצף",1),"0")</f>
        <v>0</v>
      </c>
      <c r="J2446" s="9">
        <f t="shared" si="159"/>
        <v>3</v>
      </c>
      <c r="K2446" t="s">
        <v>6697</v>
      </c>
      <c r="L2446" t="s">
        <v>6695</v>
      </c>
      <c r="O2446" t="s">
        <v>6694</v>
      </c>
      <c r="P2446" t="s">
        <v>6694</v>
      </c>
      <c r="S2446" t="s">
        <v>6694</v>
      </c>
      <c r="W2446" t="s">
        <v>6720</v>
      </c>
    </row>
    <row r="2447" spans="1:23" ht="15.6" x14ac:dyDescent="0.4">
      <c r="A2447" s="2" t="s">
        <v>5607</v>
      </c>
      <c r="B2447" s="5" t="s">
        <v>8655</v>
      </c>
      <c r="C2447" s="7" t="s">
        <v>12556</v>
      </c>
      <c r="D2447" s="8">
        <f t="shared" si="156"/>
        <v>0</v>
      </c>
      <c r="E2447" s="7" t="s">
        <v>12557</v>
      </c>
      <c r="F2447" s="7">
        <f t="shared" si="157"/>
        <v>2</v>
      </c>
      <c r="G2447" s="7" t="s">
        <v>12558</v>
      </c>
      <c r="H2447" s="7">
        <f t="shared" si="158"/>
        <v>0</v>
      </c>
      <c r="I2447" s="7" cm="1">
        <f t="array" ref="I2447">IFERROR(_xlfn.IFS(M2447="נח",1,M2447="נע ונח",1,M2447="שני שווא נח",2,M2447="שני שוואים בסוף מילה",2,M2447="שני שוואים ברצף",1),"0")</f>
        <v>1</v>
      </c>
      <c r="J2447" s="9">
        <f t="shared" si="159"/>
        <v>4</v>
      </c>
      <c r="K2447" t="s">
        <v>6698</v>
      </c>
      <c r="L2447" t="s">
        <v>6694</v>
      </c>
      <c r="M2447" t="s">
        <v>6705</v>
      </c>
      <c r="P2447" t="s">
        <v>6694</v>
      </c>
      <c r="Q2447" t="s">
        <v>6694</v>
      </c>
      <c r="S2447" t="s">
        <v>6694</v>
      </c>
      <c r="W2447" t="s">
        <v>6720</v>
      </c>
    </row>
    <row r="2448" spans="1:23" ht="15.6" x14ac:dyDescent="0.4">
      <c r="A2448" s="2" t="s">
        <v>2053</v>
      </c>
      <c r="B2448" s="5" t="s">
        <v>8867</v>
      </c>
      <c r="C2448" s="7" t="s">
        <v>12556</v>
      </c>
      <c r="D2448" s="8">
        <f t="shared" si="156"/>
        <v>0</v>
      </c>
      <c r="E2448" s="7" t="s">
        <v>12557</v>
      </c>
      <c r="F2448" s="7">
        <f t="shared" si="157"/>
        <v>2</v>
      </c>
      <c r="G2448" s="7" t="s">
        <v>12558</v>
      </c>
      <c r="H2448" s="7">
        <f t="shared" si="158"/>
        <v>0</v>
      </c>
      <c r="I2448" s="7" t="str" cm="1">
        <f t="array" ref="I2448">IFERROR(_xlfn.IFS(M2448="נח",1,M2448="נע ונח",1,M2448="שני שווא נח",2,M2448="שני שוואים בסוף מילה",2,M2448="שני שוואים ברצף",1),"0")</f>
        <v>0</v>
      </c>
      <c r="J2448" s="9">
        <f t="shared" si="159"/>
        <v>3</v>
      </c>
      <c r="K2448" t="s">
        <v>6698</v>
      </c>
      <c r="L2448" t="s">
        <v>6695</v>
      </c>
      <c r="P2448" t="s">
        <v>6694</v>
      </c>
      <c r="R2448" t="s">
        <v>6694</v>
      </c>
      <c r="S2448" t="s">
        <v>6694</v>
      </c>
      <c r="W2448" t="s">
        <v>6720</v>
      </c>
    </row>
    <row r="2449" spans="1:23" ht="15.6" x14ac:dyDescent="0.4">
      <c r="A2449" s="2" t="s">
        <v>6551</v>
      </c>
      <c r="B2449" s="5" t="s">
        <v>8868</v>
      </c>
      <c r="C2449" s="7" t="s">
        <v>12556</v>
      </c>
      <c r="D2449" s="8">
        <f t="shared" si="156"/>
        <v>0</v>
      </c>
      <c r="E2449" s="7" t="s">
        <v>12557</v>
      </c>
      <c r="F2449" s="7">
        <f t="shared" si="157"/>
        <v>1</v>
      </c>
      <c r="G2449" s="7" t="s">
        <v>12558</v>
      </c>
      <c r="H2449" s="7">
        <f t="shared" si="158"/>
        <v>0</v>
      </c>
      <c r="I2449" s="7" t="str" cm="1">
        <f t="array" ref="I2449">IFERROR(_xlfn.IFS(M2449="נח",1,M2449="נע ונח",1,M2449="שני שווא נח",2,M2449="שני שוואים בסוף מילה",2,M2449="שני שוואים ברצף",1),"0")</f>
        <v>0</v>
      </c>
      <c r="J2449" s="9">
        <f t="shared" si="159"/>
        <v>3</v>
      </c>
      <c r="K2449" t="s">
        <v>6697</v>
      </c>
      <c r="L2449" t="s">
        <v>6695</v>
      </c>
      <c r="O2449" t="s">
        <v>6694</v>
      </c>
      <c r="P2449" t="s">
        <v>6694</v>
      </c>
      <c r="Q2449" t="s">
        <v>6694</v>
      </c>
      <c r="W2449" t="s">
        <v>6720</v>
      </c>
    </row>
    <row r="2450" spans="1:23" ht="15.6" x14ac:dyDescent="0.4">
      <c r="A2450" s="2" t="s">
        <v>2920</v>
      </c>
      <c r="B2450" s="5" t="s">
        <v>8869</v>
      </c>
      <c r="C2450" s="7" t="s">
        <v>12556</v>
      </c>
      <c r="D2450" s="8">
        <f t="shared" si="156"/>
        <v>0</v>
      </c>
      <c r="E2450" s="7" t="s">
        <v>12557</v>
      </c>
      <c r="F2450" s="7">
        <f t="shared" si="157"/>
        <v>2</v>
      </c>
      <c r="G2450" s="7" t="s">
        <v>12558</v>
      </c>
      <c r="H2450" s="7">
        <f t="shared" si="158"/>
        <v>1</v>
      </c>
      <c r="I2450" s="7" t="str" cm="1">
        <f t="array" ref="I2450">IFERROR(_xlfn.IFS(M2450="נח",1,M2450="נע ונח",1,M2450="שני שווא נח",2,M2450="שני שוואים בסוף מילה",2,M2450="שני שוואים ברצף",1),"0")</f>
        <v>0</v>
      </c>
      <c r="J2450" s="9">
        <f t="shared" si="159"/>
        <v>5</v>
      </c>
      <c r="K2450" t="s">
        <v>6697</v>
      </c>
      <c r="L2450" t="s">
        <v>6695</v>
      </c>
      <c r="O2450" t="s">
        <v>6694</v>
      </c>
      <c r="P2450" t="s">
        <v>6694</v>
      </c>
      <c r="Q2450" t="s">
        <v>6694</v>
      </c>
      <c r="U2450" t="s">
        <v>6694</v>
      </c>
      <c r="W2450" t="s">
        <v>6720</v>
      </c>
    </row>
    <row r="2451" spans="1:23" ht="15.6" x14ac:dyDescent="0.4">
      <c r="A2451" s="2" t="s">
        <v>1136</v>
      </c>
      <c r="B2451" s="5" t="s">
        <v>8870</v>
      </c>
      <c r="C2451" s="7" t="s">
        <v>12556</v>
      </c>
      <c r="D2451" s="8">
        <f t="shared" si="156"/>
        <v>1</v>
      </c>
      <c r="E2451" s="7" t="s">
        <v>12557</v>
      </c>
      <c r="F2451" s="7">
        <f t="shared" si="157"/>
        <v>1</v>
      </c>
      <c r="G2451" s="7" t="s">
        <v>12558</v>
      </c>
      <c r="H2451" s="7">
        <f t="shared" si="158"/>
        <v>0</v>
      </c>
      <c r="I2451" s="7" t="str" cm="1">
        <f t="array" ref="I2451">IFERROR(_xlfn.IFS(M2451="נח",1,M2451="נע ונח",1,M2451="שני שווא נח",2,M2451="שני שוואים בסוף מילה",2,M2451="שני שוואים ברצף",1),"0")</f>
        <v>0</v>
      </c>
      <c r="J2451" s="9">
        <f t="shared" si="159"/>
        <v>4</v>
      </c>
      <c r="K2451" t="s">
        <v>6698</v>
      </c>
      <c r="L2451" t="s">
        <v>6695</v>
      </c>
      <c r="O2451" t="s">
        <v>6694</v>
      </c>
      <c r="P2451" t="s">
        <v>6694</v>
      </c>
      <c r="Q2451" t="s">
        <v>6694</v>
      </c>
      <c r="R2451" t="s">
        <v>6694</v>
      </c>
      <c r="W2451" t="s">
        <v>6720</v>
      </c>
    </row>
    <row r="2452" spans="1:23" ht="15.6" x14ac:dyDescent="0.4">
      <c r="A2452" s="2" t="s">
        <v>3656</v>
      </c>
      <c r="B2452" s="5" t="s">
        <v>8871</v>
      </c>
      <c r="C2452" s="7" t="s">
        <v>12556</v>
      </c>
      <c r="D2452" s="8">
        <f t="shared" si="156"/>
        <v>0</v>
      </c>
      <c r="E2452" s="7" t="s">
        <v>12557</v>
      </c>
      <c r="F2452" s="7">
        <f t="shared" si="157"/>
        <v>1</v>
      </c>
      <c r="G2452" s="7" t="s">
        <v>12558</v>
      </c>
      <c r="H2452" s="7">
        <f t="shared" si="158"/>
        <v>0</v>
      </c>
      <c r="I2452" s="7" t="str" cm="1">
        <f t="array" ref="I2452">IFERROR(_xlfn.IFS(M2452="נח",1,M2452="נע ונח",1,M2452="שני שווא נח",2,M2452="שני שוואים בסוף מילה",2,M2452="שני שוואים ברצף",1),"0")</f>
        <v>0</v>
      </c>
      <c r="J2452" s="9">
        <f t="shared" si="159"/>
        <v>2</v>
      </c>
      <c r="K2452" t="s">
        <v>6698</v>
      </c>
      <c r="L2452" t="s">
        <v>6695</v>
      </c>
      <c r="P2452" t="s">
        <v>6694</v>
      </c>
      <c r="Q2452" t="s">
        <v>6694</v>
      </c>
      <c r="W2452" t="s">
        <v>6720</v>
      </c>
    </row>
    <row r="2453" spans="1:23" ht="15.6" x14ac:dyDescent="0.4">
      <c r="A2453" s="2" t="s">
        <v>1135</v>
      </c>
      <c r="B2453" s="5" t="s">
        <v>8872</v>
      </c>
      <c r="C2453" s="7" t="s">
        <v>12556</v>
      </c>
      <c r="D2453" s="8">
        <f t="shared" si="156"/>
        <v>0</v>
      </c>
      <c r="E2453" s="7" t="s">
        <v>12557</v>
      </c>
      <c r="F2453" s="7">
        <f t="shared" si="157"/>
        <v>1</v>
      </c>
      <c r="G2453" s="7" t="s">
        <v>12558</v>
      </c>
      <c r="H2453" s="7">
        <f t="shared" si="158"/>
        <v>0</v>
      </c>
      <c r="I2453" s="7" t="str" cm="1">
        <f t="array" ref="I2453">IFERROR(_xlfn.IFS(M2453="נח",1,M2453="נע ונח",1,M2453="שני שווא נח",2,M2453="שני שוואים בסוף מילה",2,M2453="שני שוואים ברצף",1),"0")</f>
        <v>0</v>
      </c>
      <c r="J2453" s="9">
        <f t="shared" si="159"/>
        <v>4</v>
      </c>
      <c r="K2453" t="s">
        <v>6698</v>
      </c>
      <c r="L2453" t="s">
        <v>6695</v>
      </c>
      <c r="O2453" t="s">
        <v>6694</v>
      </c>
      <c r="P2453" t="s">
        <v>6694</v>
      </c>
      <c r="Q2453" t="s">
        <v>6694</v>
      </c>
      <c r="W2453" t="s">
        <v>6720</v>
      </c>
    </row>
    <row r="2454" spans="1:23" ht="15.6" x14ac:dyDescent="0.4">
      <c r="A2454" s="2" t="s">
        <v>3567</v>
      </c>
      <c r="B2454" s="5" t="s">
        <v>8873</v>
      </c>
      <c r="C2454" s="7" t="s">
        <v>12556</v>
      </c>
      <c r="D2454" s="8">
        <f t="shared" si="156"/>
        <v>0</v>
      </c>
      <c r="E2454" s="7" t="s">
        <v>12557</v>
      </c>
      <c r="F2454" s="7">
        <f t="shared" si="157"/>
        <v>1</v>
      </c>
      <c r="G2454" s="7" t="s">
        <v>12558</v>
      </c>
      <c r="H2454" s="7">
        <f t="shared" si="158"/>
        <v>0</v>
      </c>
      <c r="I2454" s="7" t="str" cm="1">
        <f t="array" ref="I2454">IFERROR(_xlfn.IFS(M2454="נח",1,M2454="נע ונח",1,M2454="שני שווא נח",2,M2454="שני שוואים בסוף מילה",2,M2454="שני שוואים ברצף",1),"0")</f>
        <v>0</v>
      </c>
      <c r="J2454" s="9">
        <f t="shared" si="159"/>
        <v>4</v>
      </c>
      <c r="K2454" t="s">
        <v>6697</v>
      </c>
      <c r="L2454" t="s">
        <v>6695</v>
      </c>
      <c r="P2454" t="s">
        <v>6694</v>
      </c>
      <c r="R2454" t="s">
        <v>6694</v>
      </c>
      <c r="S2454" t="s">
        <v>6694</v>
      </c>
      <c r="W2454" t="s">
        <v>6720</v>
      </c>
    </row>
    <row r="2455" spans="1:23" ht="15.6" x14ac:dyDescent="0.4">
      <c r="A2455" s="2" t="s">
        <v>3473</v>
      </c>
      <c r="B2455" s="5" t="s">
        <v>8874</v>
      </c>
      <c r="C2455" s="7" t="s">
        <v>12556</v>
      </c>
      <c r="D2455" s="8">
        <f t="shared" si="156"/>
        <v>0</v>
      </c>
      <c r="E2455" s="7" t="s">
        <v>12557</v>
      </c>
      <c r="F2455" s="7">
        <f t="shared" si="157"/>
        <v>1</v>
      </c>
      <c r="G2455" s="7" t="s">
        <v>12558</v>
      </c>
      <c r="H2455" s="7">
        <f t="shared" si="158"/>
        <v>0</v>
      </c>
      <c r="I2455" s="7" t="str" cm="1">
        <f t="array" ref="I2455">IFERROR(_xlfn.IFS(M2455="נח",1,M2455="נע ונח",1,M2455="שני שווא נח",2,M2455="שני שוואים בסוף מילה",2,M2455="שני שוואים ברצף",1),"0")</f>
        <v>0</v>
      </c>
      <c r="J2455" s="9">
        <f t="shared" si="159"/>
        <v>3</v>
      </c>
      <c r="K2455" t="s">
        <v>6698</v>
      </c>
      <c r="L2455" t="s">
        <v>6695</v>
      </c>
      <c r="P2455" t="s">
        <v>6694</v>
      </c>
      <c r="R2455" t="s">
        <v>6694</v>
      </c>
      <c r="W2455" t="s">
        <v>6720</v>
      </c>
    </row>
    <row r="2456" spans="1:23" ht="15.6" x14ac:dyDescent="0.4">
      <c r="A2456" s="2" t="s">
        <v>5532</v>
      </c>
      <c r="B2456" s="5" t="s">
        <v>8875</v>
      </c>
      <c r="C2456" s="7" t="s">
        <v>12556</v>
      </c>
      <c r="D2456" s="8">
        <f t="shared" si="156"/>
        <v>0</v>
      </c>
      <c r="E2456" s="7" t="s">
        <v>12557</v>
      </c>
      <c r="F2456" s="7">
        <f t="shared" si="157"/>
        <v>2</v>
      </c>
      <c r="G2456" s="7" t="s">
        <v>12558</v>
      </c>
      <c r="H2456" s="7">
        <f t="shared" si="158"/>
        <v>0</v>
      </c>
      <c r="I2456" s="7" t="str" cm="1">
        <f t="array" ref="I2456">IFERROR(_xlfn.IFS(M2456="נח",1,M2456="נע ונח",1,M2456="שני שווא נח",2,M2456="שני שוואים בסוף מילה",2,M2456="שני שוואים ברצף",1),"0")</f>
        <v>0</v>
      </c>
      <c r="J2456" s="9">
        <f t="shared" si="159"/>
        <v>3</v>
      </c>
      <c r="K2456" t="s">
        <v>6698</v>
      </c>
      <c r="L2456" t="s">
        <v>6695</v>
      </c>
      <c r="P2456" t="s">
        <v>6694</v>
      </c>
      <c r="Q2456" t="s">
        <v>6694</v>
      </c>
      <c r="W2456" t="s">
        <v>6720</v>
      </c>
    </row>
    <row r="2457" spans="1:23" ht="15.6" x14ac:dyDescent="0.4">
      <c r="A2457" s="2" t="s">
        <v>3626</v>
      </c>
      <c r="B2457" s="5" t="s">
        <v>8876</v>
      </c>
      <c r="C2457" s="7" t="s">
        <v>12556</v>
      </c>
      <c r="D2457" s="8">
        <f t="shared" si="156"/>
        <v>0</v>
      </c>
      <c r="E2457" s="7" t="s">
        <v>12557</v>
      </c>
      <c r="F2457" s="7">
        <f t="shared" si="157"/>
        <v>2</v>
      </c>
      <c r="G2457" s="7" t="s">
        <v>12558</v>
      </c>
      <c r="H2457" s="7">
        <f t="shared" si="158"/>
        <v>1</v>
      </c>
      <c r="I2457" s="7" cm="1">
        <f t="array" ref="I2457">IFERROR(_xlfn.IFS(M2457="נח",1,M2457="נע ונח",1,M2457="שני שווא נח",2,M2457="שני שוואים בסוף מילה",2,M2457="שני שוואים ברצף",1),"0")</f>
        <v>1</v>
      </c>
      <c r="J2457" s="9">
        <f t="shared" si="159"/>
        <v>5</v>
      </c>
      <c r="K2457" t="s">
        <v>6697</v>
      </c>
      <c r="L2457" t="s">
        <v>6694</v>
      </c>
      <c r="M2457" t="s">
        <v>6705</v>
      </c>
      <c r="P2457" t="s">
        <v>6694</v>
      </c>
      <c r="Q2457" t="s">
        <v>6694</v>
      </c>
      <c r="S2457" t="s">
        <v>6694</v>
      </c>
      <c r="U2457" t="s">
        <v>6694</v>
      </c>
      <c r="W2457" t="s">
        <v>6720</v>
      </c>
    </row>
    <row r="2458" spans="1:23" ht="15.6" x14ac:dyDescent="0.4">
      <c r="A2458" s="2" t="s">
        <v>291</v>
      </c>
      <c r="B2458" s="5" t="s">
        <v>8877</v>
      </c>
      <c r="C2458" s="7" t="s">
        <v>12556</v>
      </c>
      <c r="D2458" s="8">
        <f t="shared" si="156"/>
        <v>0</v>
      </c>
      <c r="E2458" s="7" t="s">
        <v>12557</v>
      </c>
      <c r="F2458" s="7">
        <f t="shared" si="157"/>
        <v>1</v>
      </c>
      <c r="G2458" s="7" t="s">
        <v>12558</v>
      </c>
      <c r="H2458" s="7">
        <f t="shared" si="158"/>
        <v>0</v>
      </c>
      <c r="I2458" s="7" t="str" cm="1">
        <f t="array" ref="I2458">IFERROR(_xlfn.IFS(M2458="נח",1,M2458="נע ונח",1,M2458="שני שווא נח",2,M2458="שני שוואים בסוף מילה",2,M2458="שני שוואים ברצף",1),"0")</f>
        <v>0</v>
      </c>
      <c r="J2458" s="9">
        <f t="shared" si="159"/>
        <v>5</v>
      </c>
      <c r="K2458" t="s">
        <v>6697</v>
      </c>
      <c r="L2458" t="s">
        <v>6695</v>
      </c>
      <c r="P2458" t="s">
        <v>6694</v>
      </c>
      <c r="Q2458" t="s">
        <v>6694</v>
      </c>
      <c r="S2458" t="s">
        <v>6694</v>
      </c>
      <c r="W2458" t="s">
        <v>6720</v>
      </c>
    </row>
    <row r="2459" spans="1:23" ht="15.6" x14ac:dyDescent="0.4">
      <c r="A2459" s="2" t="s">
        <v>818</v>
      </c>
      <c r="B2459" s="5" t="s">
        <v>8878</v>
      </c>
      <c r="C2459" s="7" t="s">
        <v>12556</v>
      </c>
      <c r="D2459" s="8">
        <f t="shared" si="156"/>
        <v>0</v>
      </c>
      <c r="E2459" s="7" t="s">
        <v>12557</v>
      </c>
      <c r="F2459" s="7">
        <f t="shared" si="157"/>
        <v>2</v>
      </c>
      <c r="G2459" s="7" t="s">
        <v>12558</v>
      </c>
      <c r="H2459" s="7">
        <f t="shared" si="158"/>
        <v>0</v>
      </c>
      <c r="I2459" s="7" t="str" cm="1">
        <f t="array" ref="I2459">IFERROR(_xlfn.IFS(M2459="נח",1,M2459="נע ונח",1,M2459="שני שווא נח",2,M2459="שני שוואים בסוף מילה",2,M2459="שני שוואים ברצף",1),"0")</f>
        <v>0</v>
      </c>
      <c r="J2459" s="9">
        <f t="shared" si="159"/>
        <v>5</v>
      </c>
      <c r="K2459" t="s">
        <v>6697</v>
      </c>
      <c r="L2459" t="s">
        <v>6695</v>
      </c>
      <c r="P2459" t="s">
        <v>6694</v>
      </c>
      <c r="Q2459" t="s">
        <v>6694</v>
      </c>
      <c r="S2459" t="s">
        <v>6694</v>
      </c>
      <c r="W2459" t="s">
        <v>6720</v>
      </c>
    </row>
    <row r="2460" spans="1:23" ht="15.6" x14ac:dyDescent="0.4">
      <c r="A2460" s="2" t="s">
        <v>5326</v>
      </c>
      <c r="B2460" s="5" t="s">
        <v>8879</v>
      </c>
      <c r="C2460" s="7" t="s">
        <v>12556</v>
      </c>
      <c r="D2460" s="8">
        <f t="shared" si="156"/>
        <v>1</v>
      </c>
      <c r="E2460" s="7" t="s">
        <v>12557</v>
      </c>
      <c r="F2460" s="7">
        <f t="shared" si="157"/>
        <v>1</v>
      </c>
      <c r="G2460" s="7" t="s">
        <v>12558</v>
      </c>
      <c r="H2460" s="7">
        <f t="shared" si="158"/>
        <v>0</v>
      </c>
      <c r="I2460" s="7" cm="1">
        <f t="array" ref="I2460">IFERROR(_xlfn.IFS(M2460="נח",1,M2460="נע ונח",1,M2460="שני שווא נח",2,M2460="שני שוואים בסוף מילה",2,M2460="שני שוואים ברצף",1),"0")</f>
        <v>2</v>
      </c>
      <c r="J2460" s="9">
        <f t="shared" si="159"/>
        <v>3</v>
      </c>
      <c r="K2460" t="s">
        <v>6698</v>
      </c>
      <c r="L2460" t="s">
        <v>6694</v>
      </c>
      <c r="M2460" t="s">
        <v>6704</v>
      </c>
      <c r="P2460" t="s">
        <v>6694</v>
      </c>
      <c r="Q2460" t="s">
        <v>6694</v>
      </c>
      <c r="W2460" t="s">
        <v>6720</v>
      </c>
    </row>
    <row r="2461" spans="1:23" ht="15.6" x14ac:dyDescent="0.4">
      <c r="A2461" s="2" t="s">
        <v>4793</v>
      </c>
      <c r="B2461" s="5" t="s">
        <v>8880</v>
      </c>
      <c r="C2461" s="7" t="s">
        <v>12556</v>
      </c>
      <c r="D2461" s="8">
        <f t="shared" si="156"/>
        <v>1</v>
      </c>
      <c r="E2461" s="7" t="s">
        <v>12557</v>
      </c>
      <c r="F2461" s="7">
        <f t="shared" si="157"/>
        <v>1</v>
      </c>
      <c r="G2461" s="7" t="s">
        <v>12558</v>
      </c>
      <c r="H2461" s="7">
        <f t="shared" si="158"/>
        <v>0</v>
      </c>
      <c r="I2461" s="7" cm="1">
        <f t="array" ref="I2461">IFERROR(_xlfn.IFS(M2461="נח",1,M2461="נע ונח",1,M2461="שני שווא נח",2,M2461="שני שוואים בסוף מילה",2,M2461="שני שוואים ברצף",1),"0")</f>
        <v>1</v>
      </c>
      <c r="J2461" s="9">
        <f t="shared" si="159"/>
        <v>4</v>
      </c>
      <c r="K2461" t="s">
        <v>6697</v>
      </c>
      <c r="L2461" t="s">
        <v>6694</v>
      </c>
      <c r="M2461" t="s">
        <v>6705</v>
      </c>
      <c r="P2461" t="s">
        <v>6694</v>
      </c>
      <c r="Q2461" t="s">
        <v>6694</v>
      </c>
      <c r="V2461" t="s">
        <v>6694</v>
      </c>
      <c r="W2461" t="s">
        <v>6720</v>
      </c>
    </row>
    <row r="2462" spans="1:23" ht="15.6" x14ac:dyDescent="0.4">
      <c r="A2462" s="2" t="s">
        <v>4804</v>
      </c>
      <c r="B2462" s="5" t="s">
        <v>8881</v>
      </c>
      <c r="C2462" s="7" t="s">
        <v>12556</v>
      </c>
      <c r="D2462" s="8">
        <f t="shared" si="156"/>
        <v>2</v>
      </c>
      <c r="E2462" s="7" t="s">
        <v>12557</v>
      </c>
      <c r="F2462" s="7">
        <f t="shared" si="157"/>
        <v>1</v>
      </c>
      <c r="G2462" s="7" t="s">
        <v>12558</v>
      </c>
      <c r="H2462" s="7">
        <f t="shared" si="158"/>
        <v>0</v>
      </c>
      <c r="I2462" s="7" cm="1">
        <f t="array" ref="I2462">IFERROR(_xlfn.IFS(M2462="נח",1,M2462="נע ונח",1,M2462="שני שווא נח",2,M2462="שני שוואים בסוף מילה",2,M2462="שני שוואים ברצף",1),"0")</f>
        <v>1</v>
      </c>
      <c r="J2462" s="9">
        <f t="shared" si="159"/>
        <v>3</v>
      </c>
      <c r="K2462" t="s">
        <v>6698</v>
      </c>
      <c r="L2462" t="s">
        <v>6694</v>
      </c>
      <c r="M2462" t="s">
        <v>6705</v>
      </c>
      <c r="P2462" t="s">
        <v>6694</v>
      </c>
      <c r="Q2462" t="s">
        <v>6694</v>
      </c>
      <c r="W2462" t="s">
        <v>6720</v>
      </c>
    </row>
    <row r="2463" spans="1:23" ht="15.6" x14ac:dyDescent="0.4">
      <c r="A2463" s="2" t="s">
        <v>4994</v>
      </c>
      <c r="B2463" s="5" t="s">
        <v>8882</v>
      </c>
      <c r="C2463" s="7" t="s">
        <v>12556</v>
      </c>
      <c r="D2463" s="8">
        <f t="shared" si="156"/>
        <v>0</v>
      </c>
      <c r="E2463" s="7" t="s">
        <v>12557</v>
      </c>
      <c r="F2463" s="7">
        <f t="shared" si="157"/>
        <v>1</v>
      </c>
      <c r="G2463" s="7" t="s">
        <v>12558</v>
      </c>
      <c r="H2463" s="7">
        <f t="shared" si="158"/>
        <v>0</v>
      </c>
      <c r="I2463" s="7" t="str" cm="1">
        <f t="array" ref="I2463">IFERROR(_xlfn.IFS(M2463="נח",1,M2463="נע ונח",1,M2463="שני שווא נח",2,M2463="שני שוואים בסוף מילה",2,M2463="שני שוואים ברצף",1),"0")</f>
        <v>0</v>
      </c>
      <c r="J2463" s="9">
        <f t="shared" si="159"/>
        <v>3</v>
      </c>
      <c r="K2463" t="s">
        <v>6697</v>
      </c>
      <c r="L2463" t="s">
        <v>6695</v>
      </c>
      <c r="O2463" t="s">
        <v>6694</v>
      </c>
      <c r="P2463" t="s">
        <v>6694</v>
      </c>
      <c r="V2463" t="s">
        <v>6694</v>
      </c>
      <c r="W2463" t="s">
        <v>6720</v>
      </c>
    </row>
    <row r="2464" spans="1:23" ht="15.6" x14ac:dyDescent="0.4">
      <c r="A2464" s="2" t="s">
        <v>2217</v>
      </c>
      <c r="B2464" s="5" t="s">
        <v>8883</v>
      </c>
      <c r="C2464" s="7" t="s">
        <v>12556</v>
      </c>
      <c r="D2464" s="8">
        <f t="shared" si="156"/>
        <v>0</v>
      </c>
      <c r="E2464" s="7" t="s">
        <v>12557</v>
      </c>
      <c r="F2464" s="7">
        <f t="shared" si="157"/>
        <v>1</v>
      </c>
      <c r="G2464" s="7" t="s">
        <v>12558</v>
      </c>
      <c r="H2464" s="7">
        <f t="shared" si="158"/>
        <v>0</v>
      </c>
      <c r="I2464" s="7" cm="1">
        <f t="array" ref="I2464">IFERROR(_xlfn.IFS(M2464="נח",1,M2464="נע ונח",1,M2464="שני שווא נח",2,M2464="שני שוואים בסוף מילה",2,M2464="שני שוואים ברצף",1),"0")</f>
        <v>1</v>
      </c>
      <c r="J2464" s="9">
        <f t="shared" si="159"/>
        <v>4</v>
      </c>
      <c r="K2464" t="s">
        <v>6697</v>
      </c>
      <c r="L2464" t="s">
        <v>6694</v>
      </c>
      <c r="M2464" t="s">
        <v>6705</v>
      </c>
      <c r="O2464" t="s">
        <v>6694</v>
      </c>
      <c r="P2464" t="s">
        <v>6694</v>
      </c>
      <c r="Q2464" t="s">
        <v>6694</v>
      </c>
      <c r="W2464" t="s">
        <v>6720</v>
      </c>
    </row>
    <row r="2465" spans="1:23" ht="15.6" x14ac:dyDescent="0.4">
      <c r="A2465" s="2" t="s">
        <v>2202</v>
      </c>
      <c r="B2465" s="5" t="s">
        <v>8884</v>
      </c>
      <c r="C2465" s="7" t="s">
        <v>12556</v>
      </c>
      <c r="D2465" s="8">
        <f t="shared" si="156"/>
        <v>0</v>
      </c>
      <c r="E2465" s="7" t="s">
        <v>12557</v>
      </c>
      <c r="F2465" s="7">
        <f t="shared" si="157"/>
        <v>1</v>
      </c>
      <c r="G2465" s="7" t="s">
        <v>12558</v>
      </c>
      <c r="H2465" s="7">
        <f t="shared" si="158"/>
        <v>0</v>
      </c>
      <c r="I2465" s="7" t="str" cm="1">
        <f t="array" ref="I2465">IFERROR(_xlfn.IFS(M2465="נח",1,M2465="נע ונח",1,M2465="שני שווא נח",2,M2465="שני שוואים בסוף מילה",2,M2465="שני שוואים ברצף",1),"0")</f>
        <v>0</v>
      </c>
      <c r="J2465" s="9">
        <f t="shared" si="159"/>
        <v>3</v>
      </c>
      <c r="K2465" t="s">
        <v>6698</v>
      </c>
      <c r="L2465" t="s">
        <v>6695</v>
      </c>
      <c r="O2465" t="s">
        <v>6694</v>
      </c>
      <c r="P2465" t="s">
        <v>6694</v>
      </c>
      <c r="Q2465" t="s">
        <v>6694</v>
      </c>
      <c r="W2465" t="s">
        <v>6720</v>
      </c>
    </row>
    <row r="2466" spans="1:23" ht="15.6" x14ac:dyDescent="0.4">
      <c r="A2466" s="2" t="s">
        <v>5527</v>
      </c>
      <c r="B2466" s="5" t="s">
        <v>8885</v>
      </c>
      <c r="C2466" s="7" t="s">
        <v>12556</v>
      </c>
      <c r="D2466" s="8">
        <f t="shared" si="156"/>
        <v>0</v>
      </c>
      <c r="E2466" s="7" t="s">
        <v>12557</v>
      </c>
      <c r="F2466" s="7">
        <f t="shared" si="157"/>
        <v>1</v>
      </c>
      <c r="G2466" s="7" t="s">
        <v>12558</v>
      </c>
      <c r="H2466" s="7">
        <f t="shared" si="158"/>
        <v>0</v>
      </c>
      <c r="I2466" s="7" t="str" cm="1">
        <f t="array" ref="I2466">IFERROR(_xlfn.IFS(M2466="נח",1,M2466="נע ונח",1,M2466="שני שווא נח",2,M2466="שני שוואים בסוף מילה",2,M2466="שני שוואים ברצף",1),"0")</f>
        <v>0</v>
      </c>
      <c r="J2466" s="9">
        <f t="shared" si="159"/>
        <v>3</v>
      </c>
      <c r="K2466" t="s">
        <v>6698</v>
      </c>
      <c r="L2466" t="s">
        <v>6695</v>
      </c>
      <c r="O2466" t="s">
        <v>6694</v>
      </c>
      <c r="P2466" t="s">
        <v>6694</v>
      </c>
      <c r="R2466" t="s">
        <v>6694</v>
      </c>
      <c r="W2466" t="s">
        <v>6720</v>
      </c>
    </row>
    <row r="2467" spans="1:23" ht="15.6" x14ac:dyDescent="0.4">
      <c r="A2467" s="2" t="s">
        <v>5034</v>
      </c>
      <c r="B2467" s="5" t="s">
        <v>8886</v>
      </c>
      <c r="C2467" s="7" t="s">
        <v>12556</v>
      </c>
      <c r="D2467" s="8">
        <f t="shared" si="156"/>
        <v>1</v>
      </c>
      <c r="E2467" s="7" t="s">
        <v>12557</v>
      </c>
      <c r="F2467" s="7">
        <f t="shared" si="157"/>
        <v>1</v>
      </c>
      <c r="G2467" s="7" t="s">
        <v>12558</v>
      </c>
      <c r="H2467" s="7">
        <f t="shared" si="158"/>
        <v>0</v>
      </c>
      <c r="I2467" s="7" t="str" cm="1">
        <f t="array" ref="I2467">IFERROR(_xlfn.IFS(M2467="נח",1,M2467="נע ונח",1,M2467="שני שווא נח",2,M2467="שני שוואים בסוף מילה",2,M2467="שני שוואים ברצף",1),"0")</f>
        <v>0</v>
      </c>
      <c r="J2467" s="9">
        <f t="shared" si="159"/>
        <v>3</v>
      </c>
      <c r="K2467" t="s">
        <v>6698</v>
      </c>
      <c r="L2467" t="s">
        <v>6695</v>
      </c>
      <c r="O2467" t="s">
        <v>6694</v>
      </c>
      <c r="P2467" t="s">
        <v>6694</v>
      </c>
      <c r="R2467" t="s">
        <v>6694</v>
      </c>
      <c r="W2467" t="s">
        <v>6720</v>
      </c>
    </row>
    <row r="2468" spans="1:23" ht="15.6" x14ac:dyDescent="0.4">
      <c r="A2468" s="2" t="s">
        <v>5828</v>
      </c>
      <c r="B2468" s="5" t="s">
        <v>8887</v>
      </c>
      <c r="C2468" s="7" t="s">
        <v>12556</v>
      </c>
      <c r="D2468" s="8">
        <f t="shared" si="156"/>
        <v>0</v>
      </c>
      <c r="E2468" s="7" t="s">
        <v>12557</v>
      </c>
      <c r="F2468" s="7">
        <f t="shared" si="157"/>
        <v>1</v>
      </c>
      <c r="G2468" s="7" t="s">
        <v>12558</v>
      </c>
      <c r="H2468" s="7">
        <f t="shared" si="158"/>
        <v>0</v>
      </c>
      <c r="I2468" s="7" t="str" cm="1">
        <f t="array" ref="I2468">IFERROR(_xlfn.IFS(M2468="נח",1,M2468="נע ונח",1,M2468="שני שווא נח",2,M2468="שני שוואים בסוף מילה",2,M2468="שני שוואים ברצף",1),"0")</f>
        <v>0</v>
      </c>
      <c r="J2468" s="9">
        <f t="shared" si="159"/>
        <v>3</v>
      </c>
      <c r="K2468" t="s">
        <v>6698</v>
      </c>
      <c r="L2468" t="s">
        <v>6695</v>
      </c>
      <c r="P2468" t="s">
        <v>6694</v>
      </c>
      <c r="R2468" t="s">
        <v>6694</v>
      </c>
      <c r="V2468" t="s">
        <v>6694</v>
      </c>
      <c r="W2468" t="s">
        <v>6720</v>
      </c>
    </row>
    <row r="2469" spans="1:23" ht="15.6" x14ac:dyDescent="0.4">
      <c r="A2469" s="2" t="s">
        <v>4445</v>
      </c>
      <c r="B2469" s="5" t="s">
        <v>8888</v>
      </c>
      <c r="C2469" s="7" t="s">
        <v>12556</v>
      </c>
      <c r="D2469" s="8">
        <f t="shared" si="156"/>
        <v>0</v>
      </c>
      <c r="E2469" s="7" t="s">
        <v>12557</v>
      </c>
      <c r="F2469" s="7">
        <f t="shared" si="157"/>
        <v>2</v>
      </c>
      <c r="G2469" s="7" t="s">
        <v>12558</v>
      </c>
      <c r="H2469" s="7">
        <f t="shared" si="158"/>
        <v>1</v>
      </c>
      <c r="I2469" s="7" t="str" cm="1">
        <f t="array" ref="I2469">IFERROR(_xlfn.IFS(M2469="נח",1,M2469="נע ונח",1,M2469="שני שווא נח",2,M2469="שני שוואים בסוף מילה",2,M2469="שני שוואים ברצף",1),"0")</f>
        <v>0</v>
      </c>
      <c r="J2469" s="9">
        <f t="shared" si="159"/>
        <v>5</v>
      </c>
      <c r="K2469" t="s">
        <v>6697</v>
      </c>
      <c r="L2469" t="s">
        <v>6695</v>
      </c>
      <c r="P2469" t="s">
        <v>6694</v>
      </c>
      <c r="Q2469" t="s">
        <v>6694</v>
      </c>
      <c r="S2469" t="s">
        <v>6694</v>
      </c>
      <c r="U2469" t="s">
        <v>6694</v>
      </c>
      <c r="V2469" t="s">
        <v>6694</v>
      </c>
      <c r="W2469" t="s">
        <v>6720</v>
      </c>
    </row>
    <row r="2470" spans="1:23" ht="15.6" x14ac:dyDescent="0.4">
      <c r="A2470" s="2" t="s">
        <v>1943</v>
      </c>
      <c r="B2470" s="5" t="s">
        <v>8889</v>
      </c>
      <c r="C2470" s="7" t="s">
        <v>12556</v>
      </c>
      <c r="D2470" s="8">
        <f t="shared" si="156"/>
        <v>0</v>
      </c>
      <c r="E2470" s="7" t="s">
        <v>12557</v>
      </c>
      <c r="F2470" s="7">
        <f t="shared" si="157"/>
        <v>0</v>
      </c>
      <c r="G2470" s="7" t="s">
        <v>12558</v>
      </c>
      <c r="H2470" s="7">
        <f t="shared" si="158"/>
        <v>0</v>
      </c>
      <c r="I2470" s="7" t="str" cm="1">
        <f t="array" ref="I2470">IFERROR(_xlfn.IFS(M2470="נח",1,M2470="נע ונח",1,M2470="שני שווא נח",2,M2470="שני שוואים בסוף מילה",2,M2470="שני שוואים ברצף",1),"0")</f>
        <v>0</v>
      </c>
      <c r="J2470" s="9">
        <f t="shared" si="159"/>
        <v>3</v>
      </c>
      <c r="K2470" t="s">
        <v>6697</v>
      </c>
      <c r="L2470" t="s">
        <v>6695</v>
      </c>
      <c r="O2470" t="s">
        <v>6694</v>
      </c>
      <c r="R2470" t="s">
        <v>6694</v>
      </c>
      <c r="S2470" t="s">
        <v>6694</v>
      </c>
      <c r="W2470" t="s">
        <v>6720</v>
      </c>
    </row>
    <row r="2471" spans="1:23" ht="15.6" x14ac:dyDescent="0.4">
      <c r="A2471" s="2" t="s">
        <v>4854</v>
      </c>
      <c r="B2471" s="5" t="s">
        <v>8890</v>
      </c>
      <c r="C2471" s="7" t="s">
        <v>12556</v>
      </c>
      <c r="D2471" s="8">
        <f t="shared" si="156"/>
        <v>0</v>
      </c>
      <c r="E2471" s="7" t="s">
        <v>12557</v>
      </c>
      <c r="F2471" s="7">
        <f t="shared" si="157"/>
        <v>2</v>
      </c>
      <c r="G2471" s="7" t="s">
        <v>12558</v>
      </c>
      <c r="H2471" s="7">
        <f t="shared" si="158"/>
        <v>0</v>
      </c>
      <c r="I2471" s="7" cm="1">
        <f t="array" ref="I2471">IFERROR(_xlfn.IFS(M2471="נח",1,M2471="נע ונח",1,M2471="שני שווא נח",2,M2471="שני שוואים בסוף מילה",2,M2471="שני שוואים ברצף",1),"0")</f>
        <v>1</v>
      </c>
      <c r="J2471" s="9">
        <f t="shared" si="159"/>
        <v>5</v>
      </c>
      <c r="K2471" t="s">
        <v>6697</v>
      </c>
      <c r="L2471" t="s">
        <v>6694</v>
      </c>
      <c r="M2471" t="s">
        <v>6705</v>
      </c>
      <c r="O2471" t="s">
        <v>6694</v>
      </c>
      <c r="P2471" t="s">
        <v>6694</v>
      </c>
      <c r="R2471" t="s">
        <v>6694</v>
      </c>
      <c r="W2471" t="s">
        <v>6720</v>
      </c>
    </row>
    <row r="2472" spans="1:23" ht="15.6" x14ac:dyDescent="0.4">
      <c r="A2472" s="2" t="s">
        <v>5957</v>
      </c>
      <c r="B2472" s="5" t="s">
        <v>8891</v>
      </c>
      <c r="C2472" s="7" t="s">
        <v>12556</v>
      </c>
      <c r="D2472" s="8">
        <f t="shared" si="156"/>
        <v>0</v>
      </c>
      <c r="E2472" s="7" t="s">
        <v>12557</v>
      </c>
      <c r="F2472" s="7">
        <f t="shared" si="157"/>
        <v>1</v>
      </c>
      <c r="G2472" s="7" t="s">
        <v>12558</v>
      </c>
      <c r="H2472" s="7">
        <f t="shared" si="158"/>
        <v>0</v>
      </c>
      <c r="I2472" s="7" cm="1">
        <f t="array" ref="I2472">IFERROR(_xlfn.IFS(M2472="נח",1,M2472="נע ונח",1,M2472="שני שווא נח",2,M2472="שני שוואים בסוף מילה",2,M2472="שני שוואים ברצף",1),"0")</f>
        <v>1</v>
      </c>
      <c r="J2472" s="9">
        <f t="shared" si="159"/>
        <v>4</v>
      </c>
      <c r="K2472" t="s">
        <v>6697</v>
      </c>
      <c r="L2472" t="s">
        <v>6694</v>
      </c>
      <c r="M2472" t="s">
        <v>6705</v>
      </c>
      <c r="O2472" t="s">
        <v>6694</v>
      </c>
      <c r="P2472" t="s">
        <v>6694</v>
      </c>
      <c r="W2472" t="s">
        <v>6720</v>
      </c>
    </row>
    <row r="2473" spans="1:23" ht="15.6" x14ac:dyDescent="0.4">
      <c r="A2473" s="2" t="s">
        <v>5421</v>
      </c>
      <c r="B2473" s="5" t="s">
        <v>8892</v>
      </c>
      <c r="C2473" s="7" t="s">
        <v>12556</v>
      </c>
      <c r="D2473" s="8">
        <f t="shared" si="156"/>
        <v>1</v>
      </c>
      <c r="E2473" s="7" t="s">
        <v>12557</v>
      </c>
      <c r="F2473" s="7">
        <f t="shared" si="157"/>
        <v>1</v>
      </c>
      <c r="G2473" s="7" t="s">
        <v>12558</v>
      </c>
      <c r="H2473" s="7">
        <f t="shared" si="158"/>
        <v>0</v>
      </c>
      <c r="I2473" s="7" cm="1">
        <f t="array" ref="I2473">IFERROR(_xlfn.IFS(M2473="נח",1,M2473="נע ונח",1,M2473="שני שווא נח",2,M2473="שני שוואים בסוף מילה",2,M2473="שני שוואים ברצף",1),"0")</f>
        <v>1</v>
      </c>
      <c r="J2473" s="9">
        <f t="shared" si="159"/>
        <v>4</v>
      </c>
      <c r="K2473" t="s">
        <v>6697</v>
      </c>
      <c r="L2473" t="s">
        <v>6694</v>
      </c>
      <c r="M2473" t="s">
        <v>6705</v>
      </c>
      <c r="O2473" t="s">
        <v>6694</v>
      </c>
      <c r="P2473" t="s">
        <v>6694</v>
      </c>
      <c r="W2473" t="s">
        <v>6720</v>
      </c>
    </row>
    <row r="2474" spans="1:23" ht="15.6" x14ac:dyDescent="0.4">
      <c r="A2474" s="2" t="s">
        <v>4625</v>
      </c>
      <c r="B2474" s="5" t="s">
        <v>8713</v>
      </c>
      <c r="C2474" s="7" t="s">
        <v>12556</v>
      </c>
      <c r="D2474" s="8">
        <f t="shared" si="156"/>
        <v>0</v>
      </c>
      <c r="E2474" s="7" t="s">
        <v>12557</v>
      </c>
      <c r="F2474" s="7">
        <f t="shared" si="157"/>
        <v>1</v>
      </c>
      <c r="G2474" s="7" t="s">
        <v>12558</v>
      </c>
      <c r="H2474" s="7">
        <f t="shared" si="158"/>
        <v>1</v>
      </c>
      <c r="I2474" s="7" t="str" cm="1">
        <f t="array" ref="I2474">IFERROR(_xlfn.IFS(M2474="נח",1,M2474="נע ונח",1,M2474="שני שווא נח",2,M2474="שני שוואים בסוף מילה",2,M2474="שני שוואים ברצף",1),"0")</f>
        <v>0</v>
      </c>
      <c r="J2474" s="9">
        <f t="shared" si="159"/>
        <v>5</v>
      </c>
      <c r="K2474" t="s">
        <v>6697</v>
      </c>
      <c r="L2474" t="s">
        <v>6695</v>
      </c>
      <c r="O2474" t="s">
        <v>6694</v>
      </c>
      <c r="P2474" t="s">
        <v>6694</v>
      </c>
      <c r="R2474" t="s">
        <v>6694</v>
      </c>
      <c r="U2474" t="s">
        <v>6694</v>
      </c>
      <c r="W2474" t="s">
        <v>6720</v>
      </c>
    </row>
    <row r="2475" spans="1:23" ht="15.6" x14ac:dyDescent="0.4">
      <c r="A2475" s="2" t="s">
        <v>4867</v>
      </c>
      <c r="B2475" s="5" t="s">
        <v>8893</v>
      </c>
      <c r="C2475" s="7" t="s">
        <v>12556</v>
      </c>
      <c r="D2475" s="8">
        <f t="shared" si="156"/>
        <v>1</v>
      </c>
      <c r="E2475" s="7" t="s">
        <v>12557</v>
      </c>
      <c r="F2475" s="7">
        <f t="shared" si="157"/>
        <v>2</v>
      </c>
      <c r="G2475" s="7" t="s">
        <v>12558</v>
      </c>
      <c r="H2475" s="7">
        <f t="shared" si="158"/>
        <v>1</v>
      </c>
      <c r="I2475" s="7" cm="1">
        <f t="array" ref="I2475">IFERROR(_xlfn.IFS(M2475="נח",1,M2475="נע ונח",1,M2475="שני שווא נח",2,M2475="שני שוואים בסוף מילה",2,M2475="שני שוואים ברצף",1),"0")</f>
        <v>1</v>
      </c>
      <c r="J2475" s="9">
        <f t="shared" si="159"/>
        <v>5</v>
      </c>
      <c r="K2475" t="s">
        <v>6697</v>
      </c>
      <c r="L2475" t="s">
        <v>6694</v>
      </c>
      <c r="M2475" t="s">
        <v>6705</v>
      </c>
      <c r="O2475" t="s">
        <v>6694</v>
      </c>
      <c r="P2475" t="s">
        <v>6694</v>
      </c>
      <c r="Q2475" t="s">
        <v>6694</v>
      </c>
      <c r="U2475" t="s">
        <v>6694</v>
      </c>
      <c r="W2475" t="s">
        <v>6720</v>
      </c>
    </row>
    <row r="2476" spans="1:23" ht="15.6" x14ac:dyDescent="0.4">
      <c r="A2476" s="2" t="s">
        <v>5207</v>
      </c>
      <c r="B2476" s="5" t="s">
        <v>8894</v>
      </c>
      <c r="C2476" s="7" t="s">
        <v>12556</v>
      </c>
      <c r="D2476" s="8">
        <f t="shared" si="156"/>
        <v>1</v>
      </c>
      <c r="E2476" s="7" t="s">
        <v>12557</v>
      </c>
      <c r="F2476" s="7">
        <f t="shared" si="157"/>
        <v>0</v>
      </c>
      <c r="G2476" s="7" t="s">
        <v>12558</v>
      </c>
      <c r="H2476" s="7">
        <f t="shared" si="158"/>
        <v>0</v>
      </c>
      <c r="I2476" s="7" t="str" cm="1">
        <f t="array" ref="I2476">IFERROR(_xlfn.IFS(M2476="נח",1,M2476="נע ונח",1,M2476="שני שווא נח",2,M2476="שני שוואים בסוף מילה",2,M2476="שני שוואים ברצף",1),"0")</f>
        <v>0</v>
      </c>
      <c r="J2476" s="9">
        <f t="shared" si="159"/>
        <v>4</v>
      </c>
      <c r="K2476" t="s">
        <v>6697</v>
      </c>
      <c r="L2476" t="s">
        <v>6695</v>
      </c>
      <c r="O2476" t="s">
        <v>6694</v>
      </c>
      <c r="S2476" t="s">
        <v>6694</v>
      </c>
      <c r="W2476" t="s">
        <v>6720</v>
      </c>
    </row>
    <row r="2477" spans="1:23" ht="15.6" x14ac:dyDescent="0.4">
      <c r="A2477" s="2" t="s">
        <v>4599</v>
      </c>
      <c r="B2477" s="5" t="s">
        <v>8895</v>
      </c>
      <c r="C2477" s="7" t="s">
        <v>12556</v>
      </c>
      <c r="D2477" s="8">
        <f t="shared" si="156"/>
        <v>0</v>
      </c>
      <c r="E2477" s="7" t="s">
        <v>12557</v>
      </c>
      <c r="F2477" s="7">
        <f t="shared" si="157"/>
        <v>1</v>
      </c>
      <c r="G2477" s="7" t="s">
        <v>12558</v>
      </c>
      <c r="H2477" s="7">
        <f t="shared" si="158"/>
        <v>0</v>
      </c>
      <c r="I2477" s="7" cm="1">
        <f t="array" ref="I2477">IFERROR(_xlfn.IFS(M2477="נח",1,M2477="נע ונח",1,M2477="שני שווא נח",2,M2477="שני שוואים בסוף מילה",2,M2477="שני שוואים ברצף",1),"0")</f>
        <v>1</v>
      </c>
      <c r="J2477" s="9">
        <f t="shared" si="159"/>
        <v>3</v>
      </c>
      <c r="K2477" t="s">
        <v>6697</v>
      </c>
      <c r="L2477" t="s">
        <v>6694</v>
      </c>
      <c r="M2477" t="s">
        <v>6705</v>
      </c>
      <c r="O2477" t="s">
        <v>6694</v>
      </c>
      <c r="R2477" t="s">
        <v>6694</v>
      </c>
      <c r="W2477" t="s">
        <v>6720</v>
      </c>
    </row>
    <row r="2478" spans="1:23" ht="15.6" x14ac:dyDescent="0.4">
      <c r="A2478" s="2" t="s">
        <v>5415</v>
      </c>
      <c r="B2478" s="5" t="s">
        <v>8896</v>
      </c>
      <c r="C2478" s="7" t="s">
        <v>12556</v>
      </c>
      <c r="D2478" s="8">
        <f t="shared" si="156"/>
        <v>0</v>
      </c>
      <c r="E2478" s="7" t="s">
        <v>12557</v>
      </c>
      <c r="F2478" s="7">
        <f t="shared" si="157"/>
        <v>0</v>
      </c>
      <c r="G2478" s="7" t="s">
        <v>12558</v>
      </c>
      <c r="H2478" s="7">
        <f t="shared" si="158"/>
        <v>0</v>
      </c>
      <c r="I2478" s="7" cm="1">
        <f t="array" ref="I2478">IFERROR(_xlfn.IFS(M2478="נח",1,M2478="נע ונח",1,M2478="שני שווא נח",2,M2478="שני שוואים בסוף מילה",2,M2478="שני שוואים ברצף",1),"0")</f>
        <v>1</v>
      </c>
      <c r="J2478" s="9">
        <f t="shared" si="159"/>
        <v>3</v>
      </c>
      <c r="K2478" t="s">
        <v>6698</v>
      </c>
      <c r="L2478" t="s">
        <v>6694</v>
      </c>
      <c r="M2478" t="s">
        <v>6705</v>
      </c>
      <c r="O2478" t="s">
        <v>6694</v>
      </c>
      <c r="P2478" t="s">
        <v>6694</v>
      </c>
      <c r="R2478" t="s">
        <v>6694</v>
      </c>
      <c r="W2478" t="s">
        <v>6720</v>
      </c>
    </row>
    <row r="2479" spans="1:23" ht="15.6" x14ac:dyDescent="0.4">
      <c r="A2479" s="2" t="s">
        <v>2017</v>
      </c>
      <c r="B2479" s="5" t="s">
        <v>8897</v>
      </c>
      <c r="C2479" s="7" t="s">
        <v>12556</v>
      </c>
      <c r="D2479" s="8">
        <f t="shared" si="156"/>
        <v>1</v>
      </c>
      <c r="E2479" s="7" t="s">
        <v>12557</v>
      </c>
      <c r="F2479" s="7">
        <f t="shared" si="157"/>
        <v>2</v>
      </c>
      <c r="G2479" s="7" t="s">
        <v>12558</v>
      </c>
      <c r="H2479" s="7">
        <f t="shared" si="158"/>
        <v>0</v>
      </c>
      <c r="I2479" s="7" cm="1">
        <f t="array" ref="I2479">IFERROR(_xlfn.IFS(M2479="נח",1,M2479="נע ונח",1,M2479="שני שווא נח",2,M2479="שני שוואים בסוף מילה",2,M2479="שני שוואים ברצף",1),"0")</f>
        <v>1</v>
      </c>
      <c r="J2479" s="9">
        <f t="shared" si="159"/>
        <v>4</v>
      </c>
      <c r="K2479" t="s">
        <v>6698</v>
      </c>
      <c r="L2479" t="s">
        <v>6694</v>
      </c>
      <c r="M2479" t="s">
        <v>6705</v>
      </c>
      <c r="O2479" t="s">
        <v>6694</v>
      </c>
      <c r="P2479" t="s">
        <v>6694</v>
      </c>
      <c r="Q2479" t="s">
        <v>6694</v>
      </c>
      <c r="R2479" t="s">
        <v>6694</v>
      </c>
      <c r="W2479" t="s">
        <v>6720</v>
      </c>
    </row>
    <row r="2480" spans="1:23" ht="15.6" x14ac:dyDescent="0.4">
      <c r="A2480" s="2" t="s">
        <v>4601</v>
      </c>
      <c r="B2480" s="5" t="s">
        <v>8244</v>
      </c>
      <c r="C2480" s="7" t="s">
        <v>12556</v>
      </c>
      <c r="D2480" s="8">
        <f t="shared" si="156"/>
        <v>0</v>
      </c>
      <c r="E2480" s="7" t="s">
        <v>12557</v>
      </c>
      <c r="F2480" s="7">
        <f t="shared" si="157"/>
        <v>1</v>
      </c>
      <c r="G2480" s="7" t="s">
        <v>12558</v>
      </c>
      <c r="H2480" s="7">
        <f t="shared" si="158"/>
        <v>0</v>
      </c>
      <c r="I2480" s="7" cm="1">
        <f t="array" ref="I2480">IFERROR(_xlfn.IFS(M2480="נח",1,M2480="נע ונח",1,M2480="שני שווא נח",2,M2480="שני שוואים בסוף מילה",2,M2480="שני שוואים ברצף",1),"0")</f>
        <v>1</v>
      </c>
      <c r="J2480" s="9">
        <f t="shared" si="159"/>
        <v>3</v>
      </c>
      <c r="K2480" t="s">
        <v>6697</v>
      </c>
      <c r="L2480" t="s">
        <v>6694</v>
      </c>
      <c r="M2480" t="s">
        <v>6705</v>
      </c>
      <c r="O2480" t="s">
        <v>6694</v>
      </c>
      <c r="R2480" t="s">
        <v>6694</v>
      </c>
      <c r="W2480" t="s">
        <v>6720</v>
      </c>
    </row>
    <row r="2481" spans="1:23" ht="15.6" x14ac:dyDescent="0.4">
      <c r="A2481" s="2" t="s">
        <v>4627</v>
      </c>
      <c r="B2481" s="5" t="s">
        <v>8214</v>
      </c>
      <c r="C2481" s="7" t="s">
        <v>12556</v>
      </c>
      <c r="D2481" s="8">
        <f t="shared" si="156"/>
        <v>0</v>
      </c>
      <c r="E2481" s="7" t="s">
        <v>12557</v>
      </c>
      <c r="F2481" s="7">
        <f t="shared" si="157"/>
        <v>0</v>
      </c>
      <c r="G2481" s="7" t="s">
        <v>12558</v>
      </c>
      <c r="H2481" s="7">
        <f t="shared" si="158"/>
        <v>0</v>
      </c>
      <c r="I2481" s="7" t="str" cm="1">
        <f t="array" ref="I2481">IFERROR(_xlfn.IFS(M2481="נח",1,M2481="נע ונח",1,M2481="שני שווא נח",2,M2481="שני שוואים בסוף מילה",2,M2481="שני שוואים ברצף",1),"0")</f>
        <v>0</v>
      </c>
      <c r="J2481" s="9">
        <f t="shared" si="159"/>
        <v>3</v>
      </c>
      <c r="K2481" t="s">
        <v>6698</v>
      </c>
      <c r="L2481" t="s">
        <v>6695</v>
      </c>
      <c r="O2481" t="s">
        <v>6694</v>
      </c>
      <c r="P2481" t="s">
        <v>6694</v>
      </c>
      <c r="S2481" t="s">
        <v>6694</v>
      </c>
      <c r="W2481" t="s">
        <v>6720</v>
      </c>
    </row>
    <row r="2482" spans="1:23" ht="15.6" x14ac:dyDescent="0.4">
      <c r="A2482" s="2" t="s">
        <v>6572</v>
      </c>
      <c r="B2482" s="5" t="s">
        <v>8264</v>
      </c>
      <c r="C2482" s="7" t="s">
        <v>12556</v>
      </c>
      <c r="D2482" s="8">
        <f t="shared" si="156"/>
        <v>0</v>
      </c>
      <c r="E2482" s="7" t="s">
        <v>12557</v>
      </c>
      <c r="F2482" s="7">
        <f t="shared" si="157"/>
        <v>0</v>
      </c>
      <c r="G2482" s="7" t="s">
        <v>12558</v>
      </c>
      <c r="H2482" s="7">
        <f t="shared" si="158"/>
        <v>0</v>
      </c>
      <c r="I2482" s="7" t="str" cm="1">
        <f t="array" ref="I2482">IFERROR(_xlfn.IFS(M2482="נח",1,M2482="נע ונח",1,M2482="שני שווא נח",2,M2482="שני שוואים בסוף מילה",2,M2482="שני שוואים ברצף",1),"0")</f>
        <v>0</v>
      </c>
      <c r="J2482" s="9">
        <f t="shared" si="159"/>
        <v>3</v>
      </c>
      <c r="K2482" t="s">
        <v>6698</v>
      </c>
      <c r="L2482" t="s">
        <v>6695</v>
      </c>
      <c r="O2482" t="s">
        <v>6694</v>
      </c>
      <c r="R2482" t="s">
        <v>6694</v>
      </c>
      <c r="W2482" t="s">
        <v>6720</v>
      </c>
    </row>
    <row r="2483" spans="1:23" ht="15.6" x14ac:dyDescent="0.4">
      <c r="A2483" s="2" t="s">
        <v>4624</v>
      </c>
      <c r="B2483" s="5" t="s">
        <v>8898</v>
      </c>
      <c r="C2483" s="7" t="s">
        <v>12556</v>
      </c>
      <c r="D2483" s="8">
        <f t="shared" si="156"/>
        <v>1</v>
      </c>
      <c r="E2483" s="7" t="s">
        <v>12557</v>
      </c>
      <c r="F2483" s="7">
        <f t="shared" si="157"/>
        <v>1</v>
      </c>
      <c r="G2483" s="7" t="s">
        <v>12558</v>
      </c>
      <c r="H2483" s="7">
        <f t="shared" si="158"/>
        <v>1</v>
      </c>
      <c r="I2483" s="7" t="str" cm="1">
        <f t="array" ref="I2483">IFERROR(_xlfn.IFS(M2483="נח",1,M2483="נע ונח",1,M2483="שני שווא נח",2,M2483="שני שוואים בסוף מילה",2,M2483="שני שוואים ברצף",1),"0")</f>
        <v>0</v>
      </c>
      <c r="J2483" s="9">
        <f t="shared" si="159"/>
        <v>4</v>
      </c>
      <c r="K2483" t="s">
        <v>6697</v>
      </c>
      <c r="L2483" t="s">
        <v>6695</v>
      </c>
      <c r="O2483" t="s">
        <v>6694</v>
      </c>
      <c r="U2483" t="s">
        <v>6694</v>
      </c>
      <c r="W2483" t="s">
        <v>6720</v>
      </c>
    </row>
    <row r="2484" spans="1:23" ht="15.6" x14ac:dyDescent="0.4">
      <c r="A2484" s="2" t="s">
        <v>1317</v>
      </c>
      <c r="B2484" s="5" t="s">
        <v>8899</v>
      </c>
      <c r="C2484" s="7" t="s">
        <v>12556</v>
      </c>
      <c r="D2484" s="8">
        <f t="shared" si="156"/>
        <v>0</v>
      </c>
      <c r="E2484" s="7" t="s">
        <v>12557</v>
      </c>
      <c r="F2484" s="7">
        <f t="shared" si="157"/>
        <v>0</v>
      </c>
      <c r="G2484" s="7" t="s">
        <v>12558</v>
      </c>
      <c r="H2484" s="7">
        <f t="shared" si="158"/>
        <v>0</v>
      </c>
      <c r="I2484" s="7" t="str" cm="1">
        <f t="array" ref="I2484">IFERROR(_xlfn.IFS(M2484="נח",1,M2484="נע ונח",1,M2484="שני שווא נח",2,M2484="שני שוואים בסוף מילה",2,M2484="שני שוואים ברצף",1),"0")</f>
        <v>0</v>
      </c>
      <c r="J2484" s="9">
        <f t="shared" si="159"/>
        <v>3</v>
      </c>
      <c r="K2484" t="s">
        <v>6698</v>
      </c>
      <c r="L2484" t="s">
        <v>6695</v>
      </c>
      <c r="O2484" t="s">
        <v>6694</v>
      </c>
      <c r="R2484" t="s">
        <v>6694</v>
      </c>
      <c r="W2484" t="s">
        <v>6720</v>
      </c>
    </row>
    <row r="2485" spans="1:23" ht="15.6" x14ac:dyDescent="0.4">
      <c r="A2485" s="2" t="s">
        <v>2994</v>
      </c>
      <c r="B2485" s="5" t="s">
        <v>8900</v>
      </c>
      <c r="C2485" s="7" t="s">
        <v>12556</v>
      </c>
      <c r="D2485" s="8">
        <f t="shared" si="156"/>
        <v>0</v>
      </c>
      <c r="E2485" s="7" t="s">
        <v>12557</v>
      </c>
      <c r="F2485" s="7">
        <f t="shared" si="157"/>
        <v>0</v>
      </c>
      <c r="G2485" s="7" t="s">
        <v>12558</v>
      </c>
      <c r="H2485" s="7">
        <f t="shared" si="158"/>
        <v>0</v>
      </c>
      <c r="I2485" s="7" t="str" cm="1">
        <f t="array" ref="I2485">IFERROR(_xlfn.IFS(M2485="נח",1,M2485="נע ונח",1,M2485="שני שווא נח",2,M2485="שני שוואים בסוף מילה",2,M2485="שני שוואים ברצף",1),"0")</f>
        <v>0</v>
      </c>
      <c r="J2485" s="9">
        <f t="shared" si="159"/>
        <v>3</v>
      </c>
      <c r="K2485" t="s">
        <v>6698</v>
      </c>
      <c r="L2485" t="s">
        <v>6695</v>
      </c>
      <c r="O2485" t="s">
        <v>6694</v>
      </c>
      <c r="P2485" t="s">
        <v>6694</v>
      </c>
      <c r="V2485" t="s">
        <v>6694</v>
      </c>
      <c r="W2485" t="s">
        <v>6720</v>
      </c>
    </row>
    <row r="2486" spans="1:23" ht="15.6" x14ac:dyDescent="0.4">
      <c r="A2486" s="2" t="s">
        <v>3835</v>
      </c>
      <c r="B2486" s="5" t="s">
        <v>8901</v>
      </c>
      <c r="C2486" s="7" t="s">
        <v>12556</v>
      </c>
      <c r="D2486" s="8">
        <f t="shared" si="156"/>
        <v>0</v>
      </c>
      <c r="E2486" s="7" t="s">
        <v>12557</v>
      </c>
      <c r="F2486" s="7">
        <f t="shared" si="157"/>
        <v>0</v>
      </c>
      <c r="G2486" s="7" t="s">
        <v>12558</v>
      </c>
      <c r="H2486" s="7">
        <f t="shared" si="158"/>
        <v>0</v>
      </c>
      <c r="I2486" s="7" t="str" cm="1">
        <f t="array" ref="I2486">IFERROR(_xlfn.IFS(M2486="נח",1,M2486="נע ונח",1,M2486="שני שווא נח",2,M2486="שני שוואים בסוף מילה",2,M2486="שני שוואים ברצף",1),"0")</f>
        <v>0</v>
      </c>
      <c r="J2486" s="9">
        <f t="shared" si="159"/>
        <v>3</v>
      </c>
      <c r="K2486" t="s">
        <v>6698</v>
      </c>
      <c r="L2486" t="s">
        <v>6695</v>
      </c>
      <c r="O2486" t="s">
        <v>6694</v>
      </c>
      <c r="P2486" t="s">
        <v>6694</v>
      </c>
      <c r="W2486" t="s">
        <v>6720</v>
      </c>
    </row>
    <row r="2487" spans="1:23" ht="15.6" x14ac:dyDescent="0.4">
      <c r="A2487" s="2" t="s">
        <v>4034</v>
      </c>
      <c r="B2487" s="5" t="s">
        <v>8902</v>
      </c>
      <c r="C2487" s="7" t="s">
        <v>12556</v>
      </c>
      <c r="D2487" s="8">
        <f t="shared" si="156"/>
        <v>0</v>
      </c>
      <c r="E2487" s="7" t="s">
        <v>12557</v>
      </c>
      <c r="F2487" s="7">
        <f t="shared" si="157"/>
        <v>0</v>
      </c>
      <c r="G2487" s="7" t="s">
        <v>12558</v>
      </c>
      <c r="H2487" s="7">
        <f t="shared" si="158"/>
        <v>0</v>
      </c>
      <c r="I2487" s="7" t="str" cm="1">
        <f t="array" ref="I2487">IFERROR(_xlfn.IFS(M2487="נח",1,M2487="נע ונח",1,M2487="שני שווא נח",2,M2487="שני שוואים בסוף מילה",2,M2487="שני שוואים ברצף",1),"0")</f>
        <v>0</v>
      </c>
      <c r="J2487" s="9">
        <f t="shared" si="159"/>
        <v>3</v>
      </c>
      <c r="K2487" t="s">
        <v>6698</v>
      </c>
      <c r="L2487" t="s">
        <v>6695</v>
      </c>
      <c r="O2487" t="s">
        <v>6694</v>
      </c>
      <c r="R2487" t="s">
        <v>6694</v>
      </c>
      <c r="V2487" t="s">
        <v>6694</v>
      </c>
      <c r="W2487" t="s">
        <v>6720</v>
      </c>
    </row>
    <row r="2488" spans="1:23" ht="15.6" x14ac:dyDescent="0.4">
      <c r="A2488" s="2" t="s">
        <v>277</v>
      </c>
      <c r="B2488" s="5" t="s">
        <v>8903</v>
      </c>
      <c r="C2488" s="7" t="s">
        <v>12556</v>
      </c>
      <c r="D2488" s="8">
        <f t="shared" si="156"/>
        <v>0</v>
      </c>
      <c r="E2488" s="7" t="s">
        <v>12557</v>
      </c>
      <c r="F2488" s="7">
        <f t="shared" si="157"/>
        <v>1</v>
      </c>
      <c r="G2488" s="7" t="s">
        <v>12558</v>
      </c>
      <c r="H2488" s="7">
        <f t="shared" si="158"/>
        <v>1</v>
      </c>
      <c r="I2488" s="7" t="str" cm="1">
        <f t="array" ref="I2488">IFERROR(_xlfn.IFS(M2488="נח",1,M2488="נע ונח",1,M2488="שני שווא נח",2,M2488="שני שוואים בסוף מילה",2,M2488="שני שוואים ברצף",1),"0")</f>
        <v>0</v>
      </c>
      <c r="J2488" s="9">
        <f t="shared" si="159"/>
        <v>2</v>
      </c>
      <c r="K2488" t="s">
        <v>6698</v>
      </c>
      <c r="L2488" t="s">
        <v>6695</v>
      </c>
      <c r="O2488" t="s">
        <v>6694</v>
      </c>
      <c r="U2488" t="s">
        <v>6694</v>
      </c>
      <c r="W2488" t="s">
        <v>6720</v>
      </c>
    </row>
    <row r="2489" spans="1:23" ht="15.6" x14ac:dyDescent="0.4">
      <c r="A2489" s="2" t="s">
        <v>3748</v>
      </c>
      <c r="B2489" s="5" t="s">
        <v>8283</v>
      </c>
      <c r="C2489" s="7" t="s">
        <v>12556</v>
      </c>
      <c r="D2489" s="8">
        <f t="shared" si="156"/>
        <v>0</v>
      </c>
      <c r="E2489" s="7" t="s">
        <v>12557</v>
      </c>
      <c r="F2489" s="7">
        <f t="shared" si="157"/>
        <v>0</v>
      </c>
      <c r="G2489" s="7" t="s">
        <v>12558</v>
      </c>
      <c r="H2489" s="7">
        <f t="shared" si="158"/>
        <v>0</v>
      </c>
      <c r="I2489" s="7" t="str" cm="1">
        <f t="array" ref="I2489">IFERROR(_xlfn.IFS(M2489="נח",1,M2489="נע ונח",1,M2489="שני שווא נח",2,M2489="שני שוואים בסוף מילה",2,M2489="שני שוואים ברצף",1),"0")</f>
        <v>0</v>
      </c>
      <c r="J2489" s="9">
        <f t="shared" si="159"/>
        <v>2</v>
      </c>
      <c r="K2489" t="s">
        <v>6698</v>
      </c>
      <c r="L2489" t="s">
        <v>6695</v>
      </c>
      <c r="O2489" t="s">
        <v>6694</v>
      </c>
      <c r="S2489" t="s">
        <v>6694</v>
      </c>
      <c r="W2489" t="s">
        <v>6720</v>
      </c>
    </row>
    <row r="2490" spans="1:23" ht="15.6" x14ac:dyDescent="0.4">
      <c r="A2490" s="2" t="s">
        <v>5361</v>
      </c>
      <c r="B2490" s="5" t="s">
        <v>8904</v>
      </c>
      <c r="C2490" s="7" t="s">
        <v>12556</v>
      </c>
      <c r="D2490" s="8">
        <f t="shared" si="156"/>
        <v>1</v>
      </c>
      <c r="E2490" s="7" t="s">
        <v>12557</v>
      </c>
      <c r="F2490" s="7">
        <f t="shared" si="157"/>
        <v>0</v>
      </c>
      <c r="G2490" s="7" t="s">
        <v>12558</v>
      </c>
      <c r="H2490" s="7">
        <f t="shared" si="158"/>
        <v>0</v>
      </c>
      <c r="I2490" s="7" t="str" cm="1">
        <f t="array" ref="I2490">IFERROR(_xlfn.IFS(M2490="נח",1,M2490="נע ונח",1,M2490="שני שווא נח",2,M2490="שני שוואים בסוף מילה",2,M2490="שני שוואים ברצף",1),"0")</f>
        <v>0</v>
      </c>
      <c r="J2490" s="9">
        <f t="shared" si="159"/>
        <v>3</v>
      </c>
      <c r="K2490" t="s">
        <v>6698</v>
      </c>
      <c r="L2490" t="s">
        <v>6695</v>
      </c>
      <c r="O2490" t="s">
        <v>6694</v>
      </c>
      <c r="R2490" t="s">
        <v>6694</v>
      </c>
      <c r="W2490" t="s">
        <v>6720</v>
      </c>
    </row>
    <row r="2491" spans="1:23" ht="15.6" x14ac:dyDescent="0.4">
      <c r="A2491" s="2" t="s">
        <v>5176</v>
      </c>
      <c r="B2491" s="5" t="s">
        <v>8905</v>
      </c>
      <c r="C2491" s="7" t="s">
        <v>12556</v>
      </c>
      <c r="D2491" s="8">
        <f t="shared" si="156"/>
        <v>0</v>
      </c>
      <c r="E2491" s="7" t="s">
        <v>12557</v>
      </c>
      <c r="F2491" s="7">
        <f t="shared" si="157"/>
        <v>0</v>
      </c>
      <c r="G2491" s="7" t="s">
        <v>12558</v>
      </c>
      <c r="H2491" s="7">
        <f t="shared" si="158"/>
        <v>0</v>
      </c>
      <c r="I2491" s="7" cm="1">
        <f t="array" ref="I2491">IFERROR(_xlfn.IFS(M2491="נח",1,M2491="נע ונח",1,M2491="שני שווא נח",2,M2491="שני שוואים בסוף מילה",2,M2491="שני שוואים ברצף",1),"0")</f>
        <v>1</v>
      </c>
      <c r="J2491" s="9">
        <f t="shared" si="159"/>
        <v>2</v>
      </c>
      <c r="K2491" t="s">
        <v>6698</v>
      </c>
      <c r="L2491" t="s">
        <v>6694</v>
      </c>
      <c r="M2491" t="s">
        <v>6705</v>
      </c>
      <c r="N2491" t="s">
        <v>6706</v>
      </c>
      <c r="O2491" t="s">
        <v>6694</v>
      </c>
      <c r="W2491" t="s">
        <v>6720</v>
      </c>
    </row>
    <row r="2492" spans="1:23" ht="15.6" x14ac:dyDescent="0.4">
      <c r="A2492" s="2" t="s">
        <v>1138</v>
      </c>
      <c r="B2492" s="5" t="s">
        <v>8906</v>
      </c>
      <c r="C2492" s="7" t="s">
        <v>12556</v>
      </c>
      <c r="D2492" s="8">
        <f t="shared" si="156"/>
        <v>0</v>
      </c>
      <c r="E2492" s="7" t="s">
        <v>12557</v>
      </c>
      <c r="F2492" s="7">
        <f t="shared" si="157"/>
        <v>0</v>
      </c>
      <c r="G2492" s="7" t="s">
        <v>12558</v>
      </c>
      <c r="H2492" s="7">
        <f t="shared" si="158"/>
        <v>0</v>
      </c>
      <c r="I2492" s="7" t="str" cm="1">
        <f t="array" ref="I2492">IFERROR(_xlfn.IFS(M2492="נח",1,M2492="נע ונח",1,M2492="שני שווא נח",2,M2492="שני שוואים בסוף מילה",2,M2492="שני שוואים ברצף",1),"0")</f>
        <v>0</v>
      </c>
      <c r="J2492" s="9">
        <f t="shared" si="159"/>
        <v>2</v>
      </c>
      <c r="K2492" t="s">
        <v>6698</v>
      </c>
      <c r="L2492" t="s">
        <v>6695</v>
      </c>
      <c r="O2492" t="s">
        <v>6694</v>
      </c>
      <c r="V2492" t="s">
        <v>6694</v>
      </c>
      <c r="W2492" t="s">
        <v>6720</v>
      </c>
    </row>
    <row r="2493" spans="1:23" ht="15.6" x14ac:dyDescent="0.4">
      <c r="A2493" s="2" t="s">
        <v>5791</v>
      </c>
      <c r="B2493" s="5" t="s">
        <v>8907</v>
      </c>
      <c r="C2493" s="7" t="s">
        <v>12556</v>
      </c>
      <c r="D2493" s="8">
        <f t="shared" si="156"/>
        <v>0</v>
      </c>
      <c r="E2493" s="7" t="s">
        <v>12557</v>
      </c>
      <c r="F2493" s="7">
        <f t="shared" si="157"/>
        <v>0</v>
      </c>
      <c r="G2493" s="7" t="s">
        <v>12558</v>
      </c>
      <c r="H2493" s="7">
        <f t="shared" si="158"/>
        <v>0</v>
      </c>
      <c r="I2493" s="7" t="str" cm="1">
        <f t="array" ref="I2493">IFERROR(_xlfn.IFS(M2493="נח",1,M2493="נע ונח",1,M2493="שני שווא נח",2,M2493="שני שוואים בסוף מילה",2,M2493="שני שוואים ברצף",1),"0")</f>
        <v>0</v>
      </c>
      <c r="J2493" s="9">
        <f t="shared" si="159"/>
        <v>2</v>
      </c>
      <c r="K2493" t="s">
        <v>6698</v>
      </c>
      <c r="L2493" t="s">
        <v>6695</v>
      </c>
      <c r="O2493" t="s">
        <v>6694</v>
      </c>
      <c r="V2493" t="s">
        <v>6694</v>
      </c>
      <c r="W2493" t="s">
        <v>6720</v>
      </c>
    </row>
    <row r="2494" spans="1:23" ht="15.6" x14ac:dyDescent="0.4">
      <c r="A2494" s="2" t="s">
        <v>798</v>
      </c>
      <c r="B2494" s="5" t="s">
        <v>8363</v>
      </c>
      <c r="C2494" s="7" t="s">
        <v>12556</v>
      </c>
      <c r="D2494" s="8">
        <f t="shared" si="156"/>
        <v>0</v>
      </c>
      <c r="E2494" s="7" t="s">
        <v>12557</v>
      </c>
      <c r="F2494" s="7">
        <f t="shared" si="157"/>
        <v>0</v>
      </c>
      <c r="G2494" s="7" t="s">
        <v>12558</v>
      </c>
      <c r="H2494" s="7">
        <f t="shared" si="158"/>
        <v>0</v>
      </c>
      <c r="I2494" s="7" t="str" cm="1">
        <f t="array" ref="I2494">IFERROR(_xlfn.IFS(M2494="נח",1,M2494="נע ונח",1,M2494="שני שווא נח",2,M2494="שני שוואים בסוף מילה",2,M2494="שני שוואים ברצף",1),"0")</f>
        <v>0</v>
      </c>
      <c r="J2494" s="9">
        <f t="shared" si="159"/>
        <v>3</v>
      </c>
      <c r="K2494" t="s">
        <v>6698</v>
      </c>
      <c r="L2494" t="s">
        <v>6695</v>
      </c>
      <c r="O2494" t="s">
        <v>6694</v>
      </c>
      <c r="R2494" t="s">
        <v>6694</v>
      </c>
      <c r="W2494" t="s">
        <v>6720</v>
      </c>
    </row>
    <row r="2495" spans="1:23" ht="15.6" x14ac:dyDescent="0.4">
      <c r="A2495" s="2" t="s">
        <v>5683</v>
      </c>
      <c r="B2495" s="5" t="s">
        <v>8908</v>
      </c>
      <c r="C2495" s="7" t="s">
        <v>12556</v>
      </c>
      <c r="D2495" s="8">
        <f t="shared" si="156"/>
        <v>0</v>
      </c>
      <c r="E2495" s="7" t="s">
        <v>12557</v>
      </c>
      <c r="F2495" s="7">
        <f t="shared" si="157"/>
        <v>0</v>
      </c>
      <c r="G2495" s="7" t="s">
        <v>12558</v>
      </c>
      <c r="H2495" s="7">
        <f t="shared" si="158"/>
        <v>0</v>
      </c>
      <c r="I2495" s="7" t="str" cm="1">
        <f t="array" ref="I2495">IFERROR(_xlfn.IFS(M2495="נח",1,M2495="נע ונח",1,M2495="שני שווא נח",2,M2495="שני שוואים בסוף מילה",2,M2495="שני שוואים ברצף",1),"0")</f>
        <v>0</v>
      </c>
      <c r="J2495" s="9">
        <f t="shared" si="159"/>
        <v>3</v>
      </c>
      <c r="K2495" t="s">
        <v>6698</v>
      </c>
      <c r="L2495" t="s">
        <v>6695</v>
      </c>
      <c r="O2495" t="s">
        <v>6694</v>
      </c>
      <c r="R2495" t="s">
        <v>6694</v>
      </c>
      <c r="V2495" t="s">
        <v>6694</v>
      </c>
      <c r="W2495" t="s">
        <v>6720</v>
      </c>
    </row>
    <row r="2496" spans="1:23" ht="15.6" x14ac:dyDescent="0.4">
      <c r="A2496" s="2" t="s">
        <v>940</v>
      </c>
      <c r="B2496" s="5" t="s">
        <v>8441</v>
      </c>
      <c r="C2496" s="7" t="s">
        <v>12556</v>
      </c>
      <c r="D2496" s="8">
        <f t="shared" si="156"/>
        <v>1</v>
      </c>
      <c r="E2496" s="7" t="s">
        <v>12557</v>
      </c>
      <c r="F2496" s="7">
        <f t="shared" si="157"/>
        <v>0</v>
      </c>
      <c r="G2496" s="7" t="s">
        <v>12558</v>
      </c>
      <c r="H2496" s="7">
        <f t="shared" si="158"/>
        <v>0</v>
      </c>
      <c r="I2496" s="7" t="str" cm="1">
        <f t="array" ref="I2496">IFERROR(_xlfn.IFS(M2496="נח",1,M2496="נע ונח",1,M2496="שני שווא נח",2,M2496="שני שוואים בסוף מילה",2,M2496="שני שוואים ברצף",1),"0")</f>
        <v>0</v>
      </c>
      <c r="J2496" s="9">
        <f t="shared" si="159"/>
        <v>3</v>
      </c>
      <c r="K2496" t="s">
        <v>6698</v>
      </c>
      <c r="L2496" t="s">
        <v>6695</v>
      </c>
      <c r="N2496" t="s">
        <v>6706</v>
      </c>
      <c r="O2496" t="s">
        <v>6694</v>
      </c>
      <c r="R2496" t="s">
        <v>6694</v>
      </c>
      <c r="V2496" t="s">
        <v>6694</v>
      </c>
      <c r="W2496" t="s">
        <v>6720</v>
      </c>
    </row>
    <row r="2497" spans="1:23" ht="15.6" x14ac:dyDescent="0.4">
      <c r="A2497" s="2" t="s">
        <v>5164</v>
      </c>
      <c r="B2497" s="5" t="s">
        <v>8471</v>
      </c>
      <c r="C2497" s="7" t="s">
        <v>12556</v>
      </c>
      <c r="D2497" s="8">
        <f t="shared" si="156"/>
        <v>0</v>
      </c>
      <c r="E2497" s="7" t="s">
        <v>12557</v>
      </c>
      <c r="F2497" s="7">
        <f t="shared" si="157"/>
        <v>0</v>
      </c>
      <c r="G2497" s="7" t="s">
        <v>12558</v>
      </c>
      <c r="H2497" s="7">
        <f t="shared" si="158"/>
        <v>0</v>
      </c>
      <c r="I2497" s="7" t="str" cm="1">
        <f t="array" ref="I2497">IFERROR(_xlfn.IFS(M2497="נח",1,M2497="נע ונח",1,M2497="שני שווא נח",2,M2497="שני שוואים בסוף מילה",2,M2497="שני שוואים ברצף",1),"0")</f>
        <v>0</v>
      </c>
      <c r="J2497" s="9">
        <f t="shared" si="159"/>
        <v>3</v>
      </c>
      <c r="K2497" t="s">
        <v>6698</v>
      </c>
      <c r="L2497" t="s">
        <v>6695</v>
      </c>
      <c r="O2497" t="s">
        <v>6694</v>
      </c>
      <c r="P2497" t="s">
        <v>6694</v>
      </c>
      <c r="W2497" t="s">
        <v>6720</v>
      </c>
    </row>
    <row r="2498" spans="1:23" ht="15.6" x14ac:dyDescent="0.4">
      <c r="A2498" s="2" t="s">
        <v>1812</v>
      </c>
      <c r="B2498" s="5" t="s">
        <v>8482</v>
      </c>
      <c r="C2498" s="7" t="s">
        <v>12556</v>
      </c>
      <c r="D2498" s="8">
        <f t="shared" si="156"/>
        <v>0</v>
      </c>
      <c r="E2498" s="7" t="s">
        <v>12557</v>
      </c>
      <c r="F2498" s="7">
        <f t="shared" si="157"/>
        <v>0</v>
      </c>
      <c r="G2498" s="7" t="s">
        <v>12558</v>
      </c>
      <c r="H2498" s="7">
        <f t="shared" si="158"/>
        <v>0</v>
      </c>
      <c r="I2498" s="7" t="str" cm="1">
        <f t="array" ref="I2498">IFERROR(_xlfn.IFS(M2498="נח",1,M2498="נע ונח",1,M2498="שני שווא נח",2,M2498="שני שוואים בסוף מילה",2,M2498="שני שוואים ברצף",1),"0")</f>
        <v>0</v>
      </c>
      <c r="J2498" s="9">
        <f t="shared" si="159"/>
        <v>2</v>
      </c>
      <c r="K2498" t="s">
        <v>6698</v>
      </c>
      <c r="L2498" t="s">
        <v>6695</v>
      </c>
      <c r="O2498" t="s">
        <v>6694</v>
      </c>
      <c r="Q2498" t="s">
        <v>6694</v>
      </c>
      <c r="W2498" t="s">
        <v>6720</v>
      </c>
    </row>
    <row r="2499" spans="1:23" ht="15.6" x14ac:dyDescent="0.4">
      <c r="A2499" s="2" t="s">
        <v>2692</v>
      </c>
      <c r="B2499" s="5" t="s">
        <v>8487</v>
      </c>
      <c r="C2499" s="7" t="s">
        <v>12556</v>
      </c>
      <c r="D2499" s="8">
        <f t="shared" ref="D2499:D2562" si="160">(LEN(B2499)-LEN(SUBSTITUTE(B2499,C2499,"")))</f>
        <v>0</v>
      </c>
      <c r="E2499" s="7" t="s">
        <v>12557</v>
      </c>
      <c r="F2499" s="7">
        <f t="shared" ref="F2499:F2562" si="161">(LEN(A2499)-LEN(SUBSTITUTE(A2499,E2499,"")))</f>
        <v>0</v>
      </c>
      <c r="G2499" s="7" t="s">
        <v>12558</v>
      </c>
      <c r="H2499" s="7">
        <f t="shared" ref="H2499:H2562" si="162">(LEN(A2499)-LEN(SUBSTITUTE(A2499,G2499,"")))/2</f>
        <v>0</v>
      </c>
      <c r="I2499" s="7" cm="1">
        <f t="array" ref="I2499">IFERROR(_xlfn.IFS(M2499="נח",1,M2499="נע ונח",1,M2499="שני שווא נח",2,M2499="שני שוואים בסוף מילה",2,M2499="שני שוואים ברצף",1),"0")</f>
        <v>1</v>
      </c>
      <c r="J2499" s="9">
        <f t="shared" ref="J2499:J2562" si="163">LEN(A2499)-(LEN(B2499))-D2499-F2499+H2499-I2499</f>
        <v>3</v>
      </c>
      <c r="K2499" t="s">
        <v>6697</v>
      </c>
      <c r="L2499" t="s">
        <v>6694</v>
      </c>
      <c r="M2499" t="s">
        <v>6705</v>
      </c>
      <c r="O2499" t="s">
        <v>6694</v>
      </c>
      <c r="P2499" t="s">
        <v>6694</v>
      </c>
      <c r="W2499" t="s">
        <v>6720</v>
      </c>
    </row>
    <row r="2500" spans="1:23" ht="15.6" x14ac:dyDescent="0.4">
      <c r="A2500" s="2" t="s">
        <v>3556</v>
      </c>
      <c r="B2500" s="5" t="s">
        <v>8487</v>
      </c>
      <c r="C2500" s="7" t="s">
        <v>12556</v>
      </c>
      <c r="D2500" s="8">
        <f t="shared" si="160"/>
        <v>0</v>
      </c>
      <c r="E2500" s="7" t="s">
        <v>12557</v>
      </c>
      <c r="F2500" s="7">
        <f t="shared" si="161"/>
        <v>0</v>
      </c>
      <c r="G2500" s="7" t="s">
        <v>12558</v>
      </c>
      <c r="H2500" s="7">
        <f t="shared" si="162"/>
        <v>0</v>
      </c>
      <c r="I2500" s="7" cm="1">
        <f t="array" ref="I2500">IFERROR(_xlfn.IFS(M2500="נח",1,M2500="נע ונח",1,M2500="שני שווא נח",2,M2500="שני שוואים בסוף מילה",2,M2500="שני שוואים ברצף",1),"0")</f>
        <v>1</v>
      </c>
      <c r="J2500" s="9">
        <f t="shared" si="163"/>
        <v>3</v>
      </c>
      <c r="K2500" t="s">
        <v>6697</v>
      </c>
      <c r="L2500" t="s">
        <v>6694</v>
      </c>
      <c r="M2500" t="s">
        <v>6705</v>
      </c>
      <c r="N2500" t="s">
        <v>6706</v>
      </c>
      <c r="O2500" t="s">
        <v>6694</v>
      </c>
      <c r="W2500" t="s">
        <v>6720</v>
      </c>
    </row>
    <row r="2501" spans="1:23" ht="15.6" x14ac:dyDescent="0.4">
      <c r="A2501" s="2" t="s">
        <v>5676</v>
      </c>
      <c r="B2501" s="5" t="s">
        <v>8521</v>
      </c>
      <c r="C2501" s="7" t="s">
        <v>12556</v>
      </c>
      <c r="D2501" s="8">
        <f t="shared" si="160"/>
        <v>0</v>
      </c>
      <c r="E2501" s="7" t="s">
        <v>12557</v>
      </c>
      <c r="F2501" s="7">
        <f t="shared" si="161"/>
        <v>0</v>
      </c>
      <c r="G2501" s="7" t="s">
        <v>12558</v>
      </c>
      <c r="H2501" s="7">
        <f t="shared" si="162"/>
        <v>0</v>
      </c>
      <c r="I2501" s="7" t="str" cm="1">
        <f t="array" ref="I2501">IFERROR(_xlfn.IFS(M2501="נח",1,M2501="נע ונח",1,M2501="שני שווא נח",2,M2501="שני שוואים בסוף מילה",2,M2501="שני שוואים ברצף",1),"0")</f>
        <v>0</v>
      </c>
      <c r="J2501" s="9">
        <f t="shared" si="163"/>
        <v>3</v>
      </c>
      <c r="K2501" t="s">
        <v>6698</v>
      </c>
      <c r="L2501" t="s">
        <v>6695</v>
      </c>
      <c r="O2501" t="s">
        <v>6694</v>
      </c>
      <c r="P2501" t="s">
        <v>6694</v>
      </c>
      <c r="W2501" t="s">
        <v>6720</v>
      </c>
    </row>
    <row r="2502" spans="1:23" ht="15.6" x14ac:dyDescent="0.4">
      <c r="A2502" s="2" t="s">
        <v>6509</v>
      </c>
      <c r="B2502" s="5" t="s">
        <v>8909</v>
      </c>
      <c r="C2502" s="7" t="s">
        <v>12556</v>
      </c>
      <c r="D2502" s="8">
        <f t="shared" si="160"/>
        <v>0</v>
      </c>
      <c r="E2502" s="7" t="s">
        <v>12557</v>
      </c>
      <c r="F2502" s="7">
        <f t="shared" si="161"/>
        <v>1</v>
      </c>
      <c r="G2502" s="7" t="s">
        <v>12558</v>
      </c>
      <c r="H2502" s="7">
        <f t="shared" si="162"/>
        <v>1</v>
      </c>
      <c r="I2502" s="7" t="str" cm="1">
        <f t="array" ref="I2502">IFERROR(_xlfn.IFS(M2502="נח",1,M2502="נע ונח",1,M2502="שני שווא נח",2,M2502="שני שוואים בסוף מילה",2,M2502="שני שוואים ברצף",1),"0")</f>
        <v>0</v>
      </c>
      <c r="J2502" s="9">
        <f t="shared" si="163"/>
        <v>2</v>
      </c>
      <c r="K2502" t="s">
        <v>6698</v>
      </c>
      <c r="L2502" t="s">
        <v>6695</v>
      </c>
      <c r="O2502" t="s">
        <v>6694</v>
      </c>
      <c r="U2502" t="s">
        <v>6694</v>
      </c>
      <c r="W2502" t="s">
        <v>6720</v>
      </c>
    </row>
    <row r="2503" spans="1:23" ht="15.6" x14ac:dyDescent="0.4">
      <c r="A2503" s="2" t="s">
        <v>3699</v>
      </c>
      <c r="B2503" s="5" t="s">
        <v>8553</v>
      </c>
      <c r="C2503" s="7" t="s">
        <v>12556</v>
      </c>
      <c r="D2503" s="8">
        <f t="shared" si="160"/>
        <v>0</v>
      </c>
      <c r="E2503" s="7" t="s">
        <v>12557</v>
      </c>
      <c r="F2503" s="7">
        <f t="shared" si="161"/>
        <v>0</v>
      </c>
      <c r="G2503" s="7" t="s">
        <v>12558</v>
      </c>
      <c r="H2503" s="7">
        <f t="shared" si="162"/>
        <v>0</v>
      </c>
      <c r="I2503" s="7" t="str" cm="1">
        <f t="array" ref="I2503">IFERROR(_xlfn.IFS(M2503="נח",1,M2503="נע ונח",1,M2503="שני שווא נח",2,M2503="שני שוואים בסוף מילה",2,M2503="שני שוואים ברצף",1),"0")</f>
        <v>0</v>
      </c>
      <c r="J2503" s="9">
        <f t="shared" si="163"/>
        <v>2</v>
      </c>
      <c r="K2503" t="s">
        <v>6698</v>
      </c>
      <c r="L2503" t="s">
        <v>6695</v>
      </c>
      <c r="O2503" t="s">
        <v>6694</v>
      </c>
      <c r="R2503" t="s">
        <v>6694</v>
      </c>
      <c r="W2503" t="s">
        <v>6720</v>
      </c>
    </row>
    <row r="2504" spans="1:23" ht="15.6" x14ac:dyDescent="0.4">
      <c r="A2504" s="2" t="s">
        <v>4386</v>
      </c>
      <c r="B2504" s="5" t="s">
        <v>8910</v>
      </c>
      <c r="C2504" s="7" t="s">
        <v>12556</v>
      </c>
      <c r="D2504" s="8">
        <f t="shared" si="160"/>
        <v>0</v>
      </c>
      <c r="E2504" s="7" t="s">
        <v>12557</v>
      </c>
      <c r="F2504" s="7">
        <f t="shared" si="161"/>
        <v>0</v>
      </c>
      <c r="G2504" s="7" t="s">
        <v>12558</v>
      </c>
      <c r="H2504" s="7">
        <f t="shared" si="162"/>
        <v>0</v>
      </c>
      <c r="I2504" s="7" t="str" cm="1">
        <f t="array" ref="I2504">IFERROR(_xlfn.IFS(M2504="נח",1,M2504="נע ונח",1,M2504="שני שווא נח",2,M2504="שני שוואים בסוף מילה",2,M2504="שני שוואים ברצף",1),"0")</f>
        <v>0</v>
      </c>
      <c r="J2504" s="9">
        <f t="shared" si="163"/>
        <v>3</v>
      </c>
      <c r="K2504" t="s">
        <v>6698</v>
      </c>
      <c r="L2504" t="s">
        <v>6695</v>
      </c>
      <c r="O2504" t="s">
        <v>6694</v>
      </c>
      <c r="R2504" t="s">
        <v>6694</v>
      </c>
      <c r="W2504" t="s">
        <v>6720</v>
      </c>
    </row>
    <row r="2505" spans="1:23" ht="15.6" x14ac:dyDescent="0.4">
      <c r="A2505" s="2" t="s">
        <v>3759</v>
      </c>
      <c r="B2505" s="5" t="s">
        <v>8568</v>
      </c>
      <c r="C2505" s="7" t="s">
        <v>12556</v>
      </c>
      <c r="D2505" s="8">
        <f t="shared" si="160"/>
        <v>0</v>
      </c>
      <c r="E2505" s="7" t="s">
        <v>12557</v>
      </c>
      <c r="F2505" s="7">
        <f t="shared" si="161"/>
        <v>0</v>
      </c>
      <c r="G2505" s="7" t="s">
        <v>12558</v>
      </c>
      <c r="H2505" s="7">
        <f t="shared" si="162"/>
        <v>0</v>
      </c>
      <c r="I2505" s="7" t="str" cm="1">
        <f t="array" ref="I2505">IFERROR(_xlfn.IFS(M2505="נח",1,M2505="נע ונח",1,M2505="שני שווא נח",2,M2505="שני שוואים בסוף מילה",2,M2505="שני שוואים ברצף",1),"0")</f>
        <v>0</v>
      </c>
      <c r="J2505" s="9">
        <f t="shared" si="163"/>
        <v>2</v>
      </c>
      <c r="K2505" t="s">
        <v>6698</v>
      </c>
      <c r="L2505" t="s">
        <v>6695</v>
      </c>
      <c r="O2505" t="s">
        <v>6694</v>
      </c>
      <c r="V2505" t="s">
        <v>6694</v>
      </c>
      <c r="W2505" t="s">
        <v>6720</v>
      </c>
    </row>
    <row r="2506" spans="1:23" ht="15.6" x14ac:dyDescent="0.4">
      <c r="A2506" s="2" t="s">
        <v>1189</v>
      </c>
      <c r="B2506" s="5" t="s">
        <v>8911</v>
      </c>
      <c r="C2506" s="7" t="s">
        <v>12556</v>
      </c>
      <c r="D2506" s="8">
        <f t="shared" si="160"/>
        <v>1</v>
      </c>
      <c r="E2506" s="7" t="s">
        <v>12557</v>
      </c>
      <c r="F2506" s="7">
        <f t="shared" si="161"/>
        <v>0</v>
      </c>
      <c r="G2506" s="7" t="s">
        <v>12558</v>
      </c>
      <c r="H2506" s="7">
        <f t="shared" si="162"/>
        <v>0</v>
      </c>
      <c r="I2506" s="7" t="str" cm="1">
        <f t="array" ref="I2506">IFERROR(_xlfn.IFS(M2506="נח",1,M2506="נע ונח",1,M2506="שני שווא נח",2,M2506="שני שוואים בסוף מילה",2,M2506="שני שוואים ברצף",1),"0")</f>
        <v>0</v>
      </c>
      <c r="J2506" s="9">
        <f t="shared" si="163"/>
        <v>3</v>
      </c>
      <c r="K2506" t="s">
        <v>6698</v>
      </c>
      <c r="L2506" t="s">
        <v>6695</v>
      </c>
      <c r="O2506" t="s">
        <v>6694</v>
      </c>
      <c r="R2506" t="s">
        <v>6694</v>
      </c>
      <c r="V2506" t="s">
        <v>6694</v>
      </c>
      <c r="W2506" t="s">
        <v>6720</v>
      </c>
    </row>
    <row r="2507" spans="1:23" ht="15.6" x14ac:dyDescent="0.4">
      <c r="A2507" s="2" t="s">
        <v>2341</v>
      </c>
      <c r="B2507" s="5" t="s">
        <v>8912</v>
      </c>
      <c r="C2507" s="7" t="s">
        <v>12556</v>
      </c>
      <c r="D2507" s="8">
        <f t="shared" si="160"/>
        <v>0</v>
      </c>
      <c r="E2507" s="7" t="s">
        <v>12557</v>
      </c>
      <c r="F2507" s="7">
        <f t="shared" si="161"/>
        <v>0</v>
      </c>
      <c r="G2507" s="7" t="s">
        <v>12558</v>
      </c>
      <c r="H2507" s="7">
        <f t="shared" si="162"/>
        <v>0</v>
      </c>
      <c r="I2507" s="7" t="str" cm="1">
        <f t="array" ref="I2507">IFERROR(_xlfn.IFS(M2507="נח",1,M2507="נע ונח",1,M2507="שני שווא נח",2,M2507="שני שוואים בסוף מילה",2,M2507="שני שוואים ברצף",1),"0")</f>
        <v>0</v>
      </c>
      <c r="J2507" s="9">
        <f t="shared" si="163"/>
        <v>3</v>
      </c>
      <c r="K2507" t="s">
        <v>6698</v>
      </c>
      <c r="L2507" t="s">
        <v>6695</v>
      </c>
      <c r="O2507" t="s">
        <v>6694</v>
      </c>
      <c r="R2507" t="s">
        <v>6694</v>
      </c>
      <c r="W2507" t="s">
        <v>6720</v>
      </c>
    </row>
    <row r="2508" spans="1:23" ht="15.6" x14ac:dyDescent="0.4">
      <c r="A2508" s="2" t="s">
        <v>5032</v>
      </c>
      <c r="B2508" s="5" t="s">
        <v>8913</v>
      </c>
      <c r="C2508" s="7" t="s">
        <v>12556</v>
      </c>
      <c r="D2508" s="8">
        <f t="shared" si="160"/>
        <v>0</v>
      </c>
      <c r="E2508" s="7" t="s">
        <v>12557</v>
      </c>
      <c r="F2508" s="7">
        <f t="shared" si="161"/>
        <v>0</v>
      </c>
      <c r="G2508" s="7" t="s">
        <v>12558</v>
      </c>
      <c r="H2508" s="7">
        <f t="shared" si="162"/>
        <v>0</v>
      </c>
      <c r="I2508" s="7" t="str" cm="1">
        <f t="array" ref="I2508">IFERROR(_xlfn.IFS(M2508="נח",1,M2508="נע ונח",1,M2508="שני שווא נח",2,M2508="שני שוואים בסוף מילה",2,M2508="שני שוואים ברצף",1),"0")</f>
        <v>0</v>
      </c>
      <c r="J2508" s="9">
        <f t="shared" si="163"/>
        <v>3</v>
      </c>
      <c r="K2508" t="s">
        <v>6698</v>
      </c>
      <c r="L2508" t="s">
        <v>6695</v>
      </c>
      <c r="O2508" t="s">
        <v>6694</v>
      </c>
      <c r="R2508" t="s">
        <v>6694</v>
      </c>
      <c r="W2508" t="s">
        <v>6720</v>
      </c>
    </row>
    <row r="2509" spans="1:23" ht="15.6" x14ac:dyDescent="0.4">
      <c r="A2509" s="2" t="s">
        <v>3642</v>
      </c>
      <c r="B2509" s="5" t="s">
        <v>8914</v>
      </c>
      <c r="C2509" s="7" t="s">
        <v>12556</v>
      </c>
      <c r="D2509" s="8">
        <f t="shared" si="160"/>
        <v>0</v>
      </c>
      <c r="E2509" s="7" t="s">
        <v>12557</v>
      </c>
      <c r="F2509" s="7">
        <f t="shared" si="161"/>
        <v>0</v>
      </c>
      <c r="G2509" s="7" t="s">
        <v>12558</v>
      </c>
      <c r="H2509" s="7">
        <f t="shared" si="162"/>
        <v>0</v>
      </c>
      <c r="I2509" s="7" t="str" cm="1">
        <f t="array" ref="I2509">IFERROR(_xlfn.IFS(M2509="נח",1,M2509="נע ונח",1,M2509="שני שווא נח",2,M2509="שני שוואים בסוף מילה",2,M2509="שני שוואים ברצף",1),"0")</f>
        <v>0</v>
      </c>
      <c r="J2509" s="9">
        <f t="shared" si="163"/>
        <v>3</v>
      </c>
      <c r="K2509" t="s">
        <v>6698</v>
      </c>
      <c r="L2509" t="s">
        <v>6695</v>
      </c>
      <c r="O2509" t="s">
        <v>6694</v>
      </c>
      <c r="R2509" t="s">
        <v>6694</v>
      </c>
      <c r="W2509" t="s">
        <v>6720</v>
      </c>
    </row>
    <row r="2510" spans="1:23" ht="15.6" x14ac:dyDescent="0.4">
      <c r="A2510" s="2" t="s">
        <v>2726</v>
      </c>
      <c r="B2510" s="5" t="s">
        <v>8915</v>
      </c>
      <c r="C2510" s="7" t="s">
        <v>12556</v>
      </c>
      <c r="D2510" s="8">
        <f t="shared" si="160"/>
        <v>0</v>
      </c>
      <c r="E2510" s="7" t="s">
        <v>12557</v>
      </c>
      <c r="F2510" s="7">
        <f t="shared" si="161"/>
        <v>0</v>
      </c>
      <c r="G2510" s="7" t="s">
        <v>12558</v>
      </c>
      <c r="H2510" s="7">
        <f t="shared" si="162"/>
        <v>0</v>
      </c>
      <c r="I2510" s="7" t="str" cm="1">
        <f t="array" ref="I2510">IFERROR(_xlfn.IFS(M2510="נח",1,M2510="נע ונח",1,M2510="שני שווא נח",2,M2510="שני שוואים בסוף מילה",2,M2510="שני שוואים ברצף",1),"0")</f>
        <v>0</v>
      </c>
      <c r="J2510" s="9">
        <f t="shared" si="163"/>
        <v>3</v>
      </c>
      <c r="K2510" t="s">
        <v>6698</v>
      </c>
      <c r="L2510" t="s">
        <v>6695</v>
      </c>
      <c r="O2510" t="s">
        <v>6694</v>
      </c>
      <c r="R2510" t="s">
        <v>6694</v>
      </c>
      <c r="W2510" t="s">
        <v>6720</v>
      </c>
    </row>
    <row r="2511" spans="1:23" ht="15.6" x14ac:dyDescent="0.4">
      <c r="A2511" s="2" t="s">
        <v>4001</v>
      </c>
      <c r="B2511" s="5" t="s">
        <v>8916</v>
      </c>
      <c r="C2511" s="7" t="s">
        <v>12556</v>
      </c>
      <c r="D2511" s="8">
        <f t="shared" si="160"/>
        <v>0</v>
      </c>
      <c r="E2511" s="7" t="s">
        <v>12557</v>
      </c>
      <c r="F2511" s="7">
        <f t="shared" si="161"/>
        <v>0</v>
      </c>
      <c r="G2511" s="7" t="s">
        <v>12558</v>
      </c>
      <c r="H2511" s="7">
        <f t="shared" si="162"/>
        <v>0</v>
      </c>
      <c r="I2511" s="7" t="str" cm="1">
        <f t="array" ref="I2511">IFERROR(_xlfn.IFS(M2511="נח",1,M2511="נע ונח",1,M2511="שני שווא נח",2,M2511="שני שוואים בסוף מילה",2,M2511="שני שוואים ברצף",1),"0")</f>
        <v>0</v>
      </c>
      <c r="J2511" s="9">
        <f t="shared" si="163"/>
        <v>3</v>
      </c>
      <c r="K2511" t="s">
        <v>6698</v>
      </c>
      <c r="L2511" t="s">
        <v>6695</v>
      </c>
      <c r="O2511" t="s">
        <v>6694</v>
      </c>
      <c r="P2511" t="s">
        <v>6694</v>
      </c>
      <c r="W2511" t="s">
        <v>6720</v>
      </c>
    </row>
    <row r="2512" spans="1:23" ht="15.6" x14ac:dyDescent="0.4">
      <c r="A2512" s="2" t="s">
        <v>5170</v>
      </c>
      <c r="B2512" s="5" t="s">
        <v>8917</v>
      </c>
      <c r="C2512" s="7" t="s">
        <v>12556</v>
      </c>
      <c r="D2512" s="8">
        <f t="shared" si="160"/>
        <v>0</v>
      </c>
      <c r="E2512" s="7" t="s">
        <v>12557</v>
      </c>
      <c r="F2512" s="7">
        <f t="shared" si="161"/>
        <v>0</v>
      </c>
      <c r="G2512" s="7" t="s">
        <v>12558</v>
      </c>
      <c r="H2512" s="7">
        <f t="shared" si="162"/>
        <v>0</v>
      </c>
      <c r="I2512" s="7" t="str" cm="1">
        <f t="array" ref="I2512">IFERROR(_xlfn.IFS(M2512="נח",1,M2512="נע ונח",1,M2512="שני שווא נח",2,M2512="שני שוואים בסוף מילה",2,M2512="שני שוואים ברצף",1),"0")</f>
        <v>0</v>
      </c>
      <c r="J2512" s="9">
        <f t="shared" si="163"/>
        <v>2</v>
      </c>
      <c r="K2512" t="s">
        <v>6697</v>
      </c>
      <c r="L2512" t="s">
        <v>6695</v>
      </c>
      <c r="O2512" t="s">
        <v>6694</v>
      </c>
      <c r="W2512" t="s">
        <v>6720</v>
      </c>
    </row>
    <row r="2513" spans="1:23" ht="15.6" x14ac:dyDescent="0.4">
      <c r="A2513" s="2" t="s">
        <v>5497</v>
      </c>
      <c r="B2513" s="5" t="s">
        <v>8918</v>
      </c>
      <c r="C2513" s="7" t="s">
        <v>12556</v>
      </c>
      <c r="D2513" s="8">
        <f t="shared" si="160"/>
        <v>1</v>
      </c>
      <c r="E2513" s="7" t="s">
        <v>12557</v>
      </c>
      <c r="F2513" s="7">
        <f t="shared" si="161"/>
        <v>0</v>
      </c>
      <c r="G2513" s="7" t="s">
        <v>12558</v>
      </c>
      <c r="H2513" s="7">
        <f t="shared" si="162"/>
        <v>0</v>
      </c>
      <c r="I2513" s="7" t="str" cm="1">
        <f t="array" ref="I2513">IFERROR(_xlfn.IFS(M2513="נח",1,M2513="נע ונח",1,M2513="שני שווא נח",2,M2513="שני שוואים בסוף מילה",2,M2513="שני שוואים ברצף",1),"0")</f>
        <v>0</v>
      </c>
      <c r="J2513" s="9">
        <f t="shared" si="163"/>
        <v>2</v>
      </c>
      <c r="K2513" t="s">
        <v>6698</v>
      </c>
      <c r="L2513" t="s">
        <v>6695</v>
      </c>
      <c r="O2513" t="s">
        <v>6694</v>
      </c>
      <c r="W2513" t="s">
        <v>6720</v>
      </c>
    </row>
    <row r="2514" spans="1:23" ht="15.6" x14ac:dyDescent="0.4">
      <c r="A2514" s="2" t="s">
        <v>6652</v>
      </c>
      <c r="B2514" s="5" t="s">
        <v>8919</v>
      </c>
      <c r="C2514" s="7" t="s">
        <v>12556</v>
      </c>
      <c r="D2514" s="8">
        <f t="shared" si="160"/>
        <v>2</v>
      </c>
      <c r="E2514" s="7" t="s">
        <v>12557</v>
      </c>
      <c r="F2514" s="7">
        <f t="shared" si="161"/>
        <v>0</v>
      </c>
      <c r="G2514" s="7" t="s">
        <v>12558</v>
      </c>
      <c r="H2514" s="7">
        <f t="shared" si="162"/>
        <v>0</v>
      </c>
      <c r="I2514" s="7" t="str" cm="1">
        <f t="array" ref="I2514">IFERROR(_xlfn.IFS(M2514="נח",1,M2514="נע ונח",1,M2514="שני שווא נח",2,M2514="שני שוואים בסוף מילה",2,M2514="שני שוואים ברצף",1),"0")</f>
        <v>0</v>
      </c>
      <c r="J2514" s="9">
        <f t="shared" si="163"/>
        <v>3</v>
      </c>
      <c r="K2514" t="s">
        <v>6698</v>
      </c>
      <c r="L2514" t="s">
        <v>6695</v>
      </c>
      <c r="O2514" t="s">
        <v>6694</v>
      </c>
      <c r="R2514" t="s">
        <v>6694</v>
      </c>
      <c r="W2514" t="s">
        <v>6720</v>
      </c>
    </row>
    <row r="2515" spans="1:23" ht="15.6" x14ac:dyDescent="0.4">
      <c r="A2515" s="2" t="s">
        <v>5144</v>
      </c>
      <c r="B2515" s="5" t="s">
        <v>8920</v>
      </c>
      <c r="C2515" s="7" t="s">
        <v>12556</v>
      </c>
      <c r="D2515" s="8">
        <f t="shared" si="160"/>
        <v>0</v>
      </c>
      <c r="E2515" s="7" t="s">
        <v>12557</v>
      </c>
      <c r="F2515" s="7">
        <f t="shared" si="161"/>
        <v>0</v>
      </c>
      <c r="G2515" s="7" t="s">
        <v>12558</v>
      </c>
      <c r="H2515" s="7">
        <f t="shared" si="162"/>
        <v>0</v>
      </c>
      <c r="I2515" s="7" cm="1">
        <f t="array" ref="I2515">IFERROR(_xlfn.IFS(M2515="נח",1,M2515="נע ונח",1,M2515="שני שווא נח",2,M2515="שני שוואים בסוף מילה",2,M2515="שני שוואים ברצף",1),"0")</f>
        <v>1</v>
      </c>
      <c r="J2515" s="9">
        <f t="shared" si="163"/>
        <v>2</v>
      </c>
      <c r="K2515" t="s">
        <v>6698</v>
      </c>
      <c r="L2515" t="s">
        <v>6694</v>
      </c>
      <c r="M2515" t="s">
        <v>6705</v>
      </c>
      <c r="O2515" t="s">
        <v>6694</v>
      </c>
      <c r="V2515" t="s">
        <v>6694</v>
      </c>
      <c r="W2515" t="s">
        <v>6720</v>
      </c>
    </row>
    <row r="2516" spans="1:23" ht="15.6" x14ac:dyDescent="0.4">
      <c r="A2516" s="2" t="s">
        <v>3997</v>
      </c>
      <c r="B2516" s="5" t="s">
        <v>8921</v>
      </c>
      <c r="C2516" s="7" t="s">
        <v>12556</v>
      </c>
      <c r="D2516" s="8">
        <f t="shared" si="160"/>
        <v>0</v>
      </c>
      <c r="E2516" s="7" t="s">
        <v>12557</v>
      </c>
      <c r="F2516" s="7">
        <f t="shared" si="161"/>
        <v>1</v>
      </c>
      <c r="G2516" s="7" t="s">
        <v>12558</v>
      </c>
      <c r="H2516" s="7">
        <f t="shared" si="162"/>
        <v>1</v>
      </c>
      <c r="I2516" s="7" cm="1">
        <f t="array" ref="I2516">IFERROR(_xlfn.IFS(M2516="נח",1,M2516="נע ונח",1,M2516="שני שווא נח",2,M2516="שני שוואים בסוף מילה",2,M2516="שני שוואים ברצף",1),"0")</f>
        <v>1</v>
      </c>
      <c r="J2516" s="9">
        <f t="shared" si="163"/>
        <v>2</v>
      </c>
      <c r="K2516" t="s">
        <v>6698</v>
      </c>
      <c r="L2516" t="s">
        <v>6694</v>
      </c>
      <c r="M2516" t="s">
        <v>6705</v>
      </c>
      <c r="P2516" t="s">
        <v>6694</v>
      </c>
      <c r="U2516" t="s">
        <v>6694</v>
      </c>
      <c r="W2516" t="s">
        <v>6720</v>
      </c>
    </row>
    <row r="2517" spans="1:23" ht="15.6" x14ac:dyDescent="0.4">
      <c r="A2517" s="2" t="s">
        <v>3990</v>
      </c>
      <c r="B2517" s="5" t="s">
        <v>8922</v>
      </c>
      <c r="C2517" s="7" t="s">
        <v>12556</v>
      </c>
      <c r="D2517" s="8">
        <f t="shared" si="160"/>
        <v>0</v>
      </c>
      <c r="E2517" s="7" t="s">
        <v>12557</v>
      </c>
      <c r="F2517" s="7">
        <f t="shared" si="161"/>
        <v>1</v>
      </c>
      <c r="G2517" s="7" t="s">
        <v>12558</v>
      </c>
      <c r="H2517" s="7">
        <f t="shared" si="162"/>
        <v>1</v>
      </c>
      <c r="I2517" s="7" cm="1">
        <f t="array" ref="I2517">IFERROR(_xlfn.IFS(M2517="נח",1,M2517="נע ונח",1,M2517="שני שווא נח",2,M2517="שני שוואים בסוף מילה",2,M2517="שני שוואים ברצף",1),"0")</f>
        <v>2</v>
      </c>
      <c r="J2517" s="9">
        <f t="shared" si="163"/>
        <v>3</v>
      </c>
      <c r="K2517" t="s">
        <v>6698</v>
      </c>
      <c r="L2517" t="s">
        <v>6694</v>
      </c>
      <c r="M2517" t="s">
        <v>6704</v>
      </c>
      <c r="P2517" t="s">
        <v>6694</v>
      </c>
      <c r="U2517" t="s">
        <v>6694</v>
      </c>
      <c r="V2517" t="s">
        <v>6694</v>
      </c>
      <c r="W2517" t="s">
        <v>6720</v>
      </c>
    </row>
    <row r="2518" spans="1:23" ht="15.6" x14ac:dyDescent="0.4">
      <c r="A2518" s="2" t="s">
        <v>4314</v>
      </c>
      <c r="B2518" s="5" t="s">
        <v>8923</v>
      </c>
      <c r="C2518" s="7" t="s">
        <v>12556</v>
      </c>
      <c r="D2518" s="8">
        <f t="shared" si="160"/>
        <v>0</v>
      </c>
      <c r="E2518" s="7" t="s">
        <v>12557</v>
      </c>
      <c r="F2518" s="7">
        <f t="shared" si="161"/>
        <v>1</v>
      </c>
      <c r="G2518" s="7" t="s">
        <v>12558</v>
      </c>
      <c r="H2518" s="7">
        <f t="shared" si="162"/>
        <v>1</v>
      </c>
      <c r="I2518" s="7" cm="1">
        <f t="array" ref="I2518">IFERROR(_xlfn.IFS(M2518="נח",1,M2518="נע ונח",1,M2518="שני שווא נח",2,M2518="שני שוואים בסוף מילה",2,M2518="שני שוואים ברצף",1),"0")</f>
        <v>1</v>
      </c>
      <c r="J2518" s="9">
        <f t="shared" si="163"/>
        <v>3</v>
      </c>
      <c r="K2518" t="s">
        <v>6698</v>
      </c>
      <c r="L2518" t="s">
        <v>6694</v>
      </c>
      <c r="M2518" t="s">
        <v>6705</v>
      </c>
      <c r="O2518" t="s">
        <v>6694</v>
      </c>
      <c r="Q2518" t="s">
        <v>6694</v>
      </c>
      <c r="U2518" t="s">
        <v>6694</v>
      </c>
      <c r="W2518" t="s">
        <v>6720</v>
      </c>
    </row>
    <row r="2519" spans="1:23" ht="15.6" x14ac:dyDescent="0.4">
      <c r="A2519" s="2" t="s">
        <v>166</v>
      </c>
      <c r="B2519" s="5" t="s">
        <v>8924</v>
      </c>
      <c r="C2519" s="7" t="s">
        <v>12556</v>
      </c>
      <c r="D2519" s="8">
        <f t="shared" si="160"/>
        <v>0</v>
      </c>
      <c r="E2519" s="7" t="s">
        <v>12557</v>
      </c>
      <c r="F2519" s="7">
        <f t="shared" si="161"/>
        <v>1</v>
      </c>
      <c r="G2519" s="7" t="s">
        <v>12558</v>
      </c>
      <c r="H2519" s="7">
        <f t="shared" si="162"/>
        <v>1</v>
      </c>
      <c r="I2519" s="7" cm="1">
        <f t="array" ref="I2519">IFERROR(_xlfn.IFS(M2519="נח",1,M2519="נע ונח",1,M2519="שני שווא נח",2,M2519="שני שוואים בסוף מילה",2,M2519="שני שוואים ברצף",1),"0")</f>
        <v>2</v>
      </c>
      <c r="J2519" s="9">
        <f t="shared" si="163"/>
        <v>3</v>
      </c>
      <c r="K2519" t="s">
        <v>6698</v>
      </c>
      <c r="L2519" t="s">
        <v>6694</v>
      </c>
      <c r="M2519" t="s">
        <v>6704</v>
      </c>
      <c r="R2519" t="s">
        <v>6694</v>
      </c>
      <c r="U2519" t="s">
        <v>6694</v>
      </c>
      <c r="W2519" t="s">
        <v>6720</v>
      </c>
    </row>
    <row r="2520" spans="1:23" ht="15.6" x14ac:dyDescent="0.4">
      <c r="A2520" s="2" t="s">
        <v>5250</v>
      </c>
      <c r="B2520" s="5" t="s">
        <v>8925</v>
      </c>
      <c r="C2520" s="7" t="s">
        <v>12556</v>
      </c>
      <c r="D2520" s="8">
        <f t="shared" si="160"/>
        <v>0</v>
      </c>
      <c r="E2520" s="7" t="s">
        <v>12557</v>
      </c>
      <c r="F2520" s="7">
        <f t="shared" si="161"/>
        <v>1</v>
      </c>
      <c r="G2520" s="7" t="s">
        <v>12558</v>
      </c>
      <c r="H2520" s="7">
        <f t="shared" si="162"/>
        <v>1</v>
      </c>
      <c r="I2520" s="7" cm="1">
        <f t="array" ref="I2520">IFERROR(_xlfn.IFS(M2520="נח",1,M2520="נע ונח",1,M2520="שני שווא נח",2,M2520="שני שוואים בסוף מילה",2,M2520="שני שוואים ברצף",1),"0")</f>
        <v>1</v>
      </c>
      <c r="J2520" s="9">
        <f t="shared" si="163"/>
        <v>4</v>
      </c>
      <c r="K2520" t="s">
        <v>6697</v>
      </c>
      <c r="L2520" t="s">
        <v>6694</v>
      </c>
      <c r="M2520" t="s">
        <v>6705</v>
      </c>
      <c r="O2520" t="s">
        <v>6694</v>
      </c>
      <c r="Q2520" t="s">
        <v>6694</v>
      </c>
      <c r="U2520" t="s">
        <v>6694</v>
      </c>
      <c r="V2520" t="s">
        <v>6694</v>
      </c>
      <c r="W2520" t="s">
        <v>6720</v>
      </c>
    </row>
    <row r="2521" spans="1:23" ht="15.6" x14ac:dyDescent="0.4">
      <c r="A2521" s="2" t="s">
        <v>837</v>
      </c>
      <c r="B2521" s="5" t="s">
        <v>8926</v>
      </c>
      <c r="C2521" s="7" t="s">
        <v>12556</v>
      </c>
      <c r="D2521" s="8">
        <f t="shared" si="160"/>
        <v>0</v>
      </c>
      <c r="E2521" s="7" t="s">
        <v>12557</v>
      </c>
      <c r="F2521" s="7">
        <f t="shared" si="161"/>
        <v>1</v>
      </c>
      <c r="G2521" s="7" t="s">
        <v>12558</v>
      </c>
      <c r="H2521" s="7">
        <f t="shared" si="162"/>
        <v>1</v>
      </c>
      <c r="I2521" s="7" cm="1">
        <f t="array" ref="I2521">IFERROR(_xlfn.IFS(M2521="נח",1,M2521="נע ונח",1,M2521="שני שווא נח",2,M2521="שני שוואים בסוף מילה",2,M2521="שני שוואים ברצף",1),"0")</f>
        <v>1</v>
      </c>
      <c r="J2521" s="9">
        <f t="shared" si="163"/>
        <v>3</v>
      </c>
      <c r="K2521" t="s">
        <v>6697</v>
      </c>
      <c r="L2521" t="s">
        <v>6694</v>
      </c>
      <c r="M2521" t="s">
        <v>6705</v>
      </c>
      <c r="O2521" t="s">
        <v>6694</v>
      </c>
      <c r="Q2521" t="s">
        <v>6694</v>
      </c>
      <c r="U2521" t="s">
        <v>6694</v>
      </c>
      <c r="W2521" t="s">
        <v>6720</v>
      </c>
    </row>
    <row r="2522" spans="1:23" ht="15.6" x14ac:dyDescent="0.4">
      <c r="A2522" s="2" t="s">
        <v>22</v>
      </c>
      <c r="B2522" s="5" t="s">
        <v>8927</v>
      </c>
      <c r="C2522" s="7" t="s">
        <v>12556</v>
      </c>
      <c r="D2522" s="8">
        <f t="shared" si="160"/>
        <v>0</v>
      </c>
      <c r="E2522" s="7" t="s">
        <v>12557</v>
      </c>
      <c r="F2522" s="7">
        <f t="shared" si="161"/>
        <v>2</v>
      </c>
      <c r="G2522" s="7" t="s">
        <v>12558</v>
      </c>
      <c r="H2522" s="7">
        <f t="shared" si="162"/>
        <v>2</v>
      </c>
      <c r="I2522" s="7" cm="1">
        <f t="array" ref="I2522">IFERROR(_xlfn.IFS(M2522="נח",1,M2522="נע ונח",1,M2522="שני שווא נח",2,M2522="שני שוואים בסוף מילה",2,M2522="שני שוואים ברצף",1),"0")</f>
        <v>1</v>
      </c>
      <c r="J2522" s="9">
        <f t="shared" si="163"/>
        <v>2</v>
      </c>
      <c r="K2522" t="s">
        <v>6698</v>
      </c>
      <c r="L2522" t="s">
        <v>6694</v>
      </c>
      <c r="M2522" t="s">
        <v>6705</v>
      </c>
      <c r="U2522" t="s">
        <v>6694</v>
      </c>
      <c r="W2522" t="s">
        <v>6720</v>
      </c>
    </row>
    <row r="2523" spans="1:23" ht="15.6" x14ac:dyDescent="0.4">
      <c r="A2523" s="2" t="s">
        <v>3893</v>
      </c>
      <c r="B2523" s="5" t="s">
        <v>8928</v>
      </c>
      <c r="C2523" s="7" t="s">
        <v>12556</v>
      </c>
      <c r="D2523" s="8">
        <f t="shared" si="160"/>
        <v>0</v>
      </c>
      <c r="E2523" s="7" t="s">
        <v>12557</v>
      </c>
      <c r="F2523" s="7">
        <f t="shared" si="161"/>
        <v>1</v>
      </c>
      <c r="G2523" s="7" t="s">
        <v>12558</v>
      </c>
      <c r="H2523" s="7">
        <f t="shared" si="162"/>
        <v>1</v>
      </c>
      <c r="I2523" s="7" cm="1">
        <f t="array" ref="I2523">IFERROR(_xlfn.IFS(M2523="נח",1,M2523="נע ונח",1,M2523="שני שווא נח",2,M2523="שני שוואים בסוף מילה",2,M2523="שני שוואים ברצף",1),"0")</f>
        <v>2</v>
      </c>
      <c r="J2523" s="9">
        <f t="shared" si="163"/>
        <v>2</v>
      </c>
      <c r="K2523" t="s">
        <v>6697</v>
      </c>
      <c r="L2523" t="s">
        <v>6694</v>
      </c>
      <c r="M2523" t="s">
        <v>6704</v>
      </c>
      <c r="Q2523" t="s">
        <v>6694</v>
      </c>
      <c r="U2523" t="s">
        <v>6694</v>
      </c>
      <c r="W2523" t="s">
        <v>6720</v>
      </c>
    </row>
    <row r="2524" spans="1:23" ht="15.6" x14ac:dyDescent="0.4">
      <c r="A2524" s="2" t="s">
        <v>3334</v>
      </c>
      <c r="B2524" s="5" t="s">
        <v>8929</v>
      </c>
      <c r="C2524" s="7" t="s">
        <v>12556</v>
      </c>
      <c r="D2524" s="8">
        <f t="shared" si="160"/>
        <v>0</v>
      </c>
      <c r="E2524" s="7" t="s">
        <v>12557</v>
      </c>
      <c r="F2524" s="7">
        <f t="shared" si="161"/>
        <v>1</v>
      </c>
      <c r="G2524" s="7" t="s">
        <v>12558</v>
      </c>
      <c r="H2524" s="7">
        <f t="shared" si="162"/>
        <v>1</v>
      </c>
      <c r="I2524" s="7" cm="1">
        <f t="array" ref="I2524">IFERROR(_xlfn.IFS(M2524="נח",1,M2524="נע ונח",1,M2524="שני שווא נח",2,M2524="שני שוואים בסוף מילה",2,M2524="שני שוואים ברצף",1),"0")</f>
        <v>1</v>
      </c>
      <c r="J2524" s="9">
        <f t="shared" si="163"/>
        <v>3</v>
      </c>
      <c r="K2524" t="s">
        <v>6698</v>
      </c>
      <c r="L2524" t="s">
        <v>6694</v>
      </c>
      <c r="M2524" t="s">
        <v>6705</v>
      </c>
      <c r="R2524" t="s">
        <v>6694</v>
      </c>
      <c r="U2524" t="s">
        <v>6694</v>
      </c>
      <c r="W2524" t="s">
        <v>6720</v>
      </c>
    </row>
    <row r="2525" spans="1:23" ht="15.6" x14ac:dyDescent="0.4">
      <c r="A2525" s="2" t="s">
        <v>5623</v>
      </c>
      <c r="B2525" s="5" t="s">
        <v>8930</v>
      </c>
      <c r="C2525" s="7" t="s">
        <v>12556</v>
      </c>
      <c r="D2525" s="8">
        <f t="shared" si="160"/>
        <v>0</v>
      </c>
      <c r="E2525" s="7" t="s">
        <v>12557</v>
      </c>
      <c r="F2525" s="7">
        <f t="shared" si="161"/>
        <v>2</v>
      </c>
      <c r="G2525" s="7" t="s">
        <v>12558</v>
      </c>
      <c r="H2525" s="7">
        <f t="shared" si="162"/>
        <v>1</v>
      </c>
      <c r="I2525" s="7" cm="1">
        <f t="array" ref="I2525">IFERROR(_xlfn.IFS(M2525="נח",1,M2525="נע ונח",1,M2525="שני שווא נח",2,M2525="שני שוואים בסוף מילה",2,M2525="שני שוואים ברצף",1),"0")</f>
        <v>1</v>
      </c>
      <c r="J2525" s="9">
        <f t="shared" si="163"/>
        <v>5</v>
      </c>
      <c r="K2525" t="s">
        <v>6697</v>
      </c>
      <c r="L2525" t="s">
        <v>6694</v>
      </c>
      <c r="M2525" t="s">
        <v>6702</v>
      </c>
      <c r="O2525" t="s">
        <v>6694</v>
      </c>
      <c r="P2525" t="s">
        <v>6694</v>
      </c>
      <c r="U2525" t="s">
        <v>6694</v>
      </c>
      <c r="W2525" t="s">
        <v>6720</v>
      </c>
    </row>
    <row r="2526" spans="1:23" ht="15.6" x14ac:dyDescent="0.4">
      <c r="A2526" s="2" t="s">
        <v>2481</v>
      </c>
      <c r="B2526" s="5" t="s">
        <v>8931</v>
      </c>
      <c r="C2526" s="7" t="s">
        <v>12556</v>
      </c>
      <c r="D2526" s="8">
        <f t="shared" si="160"/>
        <v>0</v>
      </c>
      <c r="E2526" s="7" t="s">
        <v>12557</v>
      </c>
      <c r="F2526" s="7">
        <f t="shared" si="161"/>
        <v>1</v>
      </c>
      <c r="G2526" s="7" t="s">
        <v>12558</v>
      </c>
      <c r="H2526" s="7">
        <f t="shared" si="162"/>
        <v>1</v>
      </c>
      <c r="I2526" s="7" cm="1">
        <f t="array" ref="I2526">IFERROR(_xlfn.IFS(M2526="נח",1,M2526="נע ונח",1,M2526="שני שווא נח",2,M2526="שני שוואים בסוף מילה",2,M2526="שני שוואים ברצף",1),"0")</f>
        <v>1</v>
      </c>
      <c r="J2526" s="9">
        <f t="shared" si="163"/>
        <v>2</v>
      </c>
      <c r="K2526" t="s">
        <v>6698</v>
      </c>
      <c r="L2526" t="s">
        <v>6694</v>
      </c>
      <c r="M2526" t="s">
        <v>6705</v>
      </c>
      <c r="P2526" t="s">
        <v>6694</v>
      </c>
      <c r="U2526" t="s">
        <v>6694</v>
      </c>
      <c r="W2526" t="s">
        <v>6720</v>
      </c>
    </row>
    <row r="2527" spans="1:23" ht="15.6" x14ac:dyDescent="0.4">
      <c r="A2527" s="2" t="s">
        <v>327</v>
      </c>
      <c r="B2527" s="5" t="s">
        <v>8932</v>
      </c>
      <c r="C2527" s="7" t="s">
        <v>12556</v>
      </c>
      <c r="D2527" s="8">
        <f t="shared" si="160"/>
        <v>0</v>
      </c>
      <c r="E2527" s="7" t="s">
        <v>12557</v>
      </c>
      <c r="F2527" s="7">
        <f t="shared" si="161"/>
        <v>1</v>
      </c>
      <c r="G2527" s="7" t="s">
        <v>12558</v>
      </c>
      <c r="H2527" s="7">
        <f t="shared" si="162"/>
        <v>1</v>
      </c>
      <c r="I2527" s="7" cm="1">
        <f t="array" ref="I2527">IFERROR(_xlfn.IFS(M2527="נח",1,M2527="נע ונח",1,M2527="שני שווא נח",2,M2527="שני שוואים בסוף מילה",2,M2527="שני שוואים ברצף",1),"0")</f>
        <v>1</v>
      </c>
      <c r="J2527" s="9">
        <f t="shared" si="163"/>
        <v>3</v>
      </c>
      <c r="K2527" t="s">
        <v>6698</v>
      </c>
      <c r="L2527" t="s">
        <v>6694</v>
      </c>
      <c r="M2527" t="s">
        <v>6705</v>
      </c>
      <c r="O2527" t="s">
        <v>6694</v>
      </c>
      <c r="P2527" t="s">
        <v>6694</v>
      </c>
      <c r="U2527" t="s">
        <v>6694</v>
      </c>
      <c r="W2527" t="s">
        <v>6720</v>
      </c>
    </row>
    <row r="2528" spans="1:23" ht="15.6" x14ac:dyDescent="0.4">
      <c r="A2528" s="2" t="s">
        <v>1262</v>
      </c>
      <c r="B2528" s="5" t="s">
        <v>8933</v>
      </c>
      <c r="C2528" s="7" t="s">
        <v>12556</v>
      </c>
      <c r="D2528" s="8">
        <f t="shared" si="160"/>
        <v>0</v>
      </c>
      <c r="E2528" s="7" t="s">
        <v>12557</v>
      </c>
      <c r="F2528" s="7">
        <f t="shared" si="161"/>
        <v>1</v>
      </c>
      <c r="G2528" s="7" t="s">
        <v>12558</v>
      </c>
      <c r="H2528" s="7">
        <f t="shared" si="162"/>
        <v>1</v>
      </c>
      <c r="I2528" s="7" cm="1">
        <f t="array" ref="I2528">IFERROR(_xlfn.IFS(M2528="נח",1,M2528="נע ונח",1,M2528="שני שווא נח",2,M2528="שני שוואים בסוף מילה",2,M2528="שני שוואים ברצף",1),"0")</f>
        <v>1</v>
      </c>
      <c r="J2528" s="9">
        <f t="shared" si="163"/>
        <v>2</v>
      </c>
      <c r="K2528" t="s">
        <v>6698</v>
      </c>
      <c r="L2528" t="s">
        <v>6694</v>
      </c>
      <c r="M2528" t="s">
        <v>6705</v>
      </c>
      <c r="N2528" t="s">
        <v>6706</v>
      </c>
      <c r="O2528" t="s">
        <v>6694</v>
      </c>
      <c r="U2528" t="s">
        <v>6694</v>
      </c>
      <c r="W2528" t="s">
        <v>6720</v>
      </c>
    </row>
    <row r="2529" spans="1:23" ht="15.6" x14ac:dyDescent="0.4">
      <c r="A2529" s="2" t="s">
        <v>3765</v>
      </c>
      <c r="B2529" s="5" t="s">
        <v>8934</v>
      </c>
      <c r="C2529" s="7" t="s">
        <v>12556</v>
      </c>
      <c r="D2529" s="8">
        <f t="shared" si="160"/>
        <v>0</v>
      </c>
      <c r="E2529" s="7" t="s">
        <v>12557</v>
      </c>
      <c r="F2529" s="7">
        <f t="shared" si="161"/>
        <v>1</v>
      </c>
      <c r="G2529" s="7" t="s">
        <v>12558</v>
      </c>
      <c r="H2529" s="7">
        <f t="shared" si="162"/>
        <v>1</v>
      </c>
      <c r="I2529" s="7" cm="1">
        <f t="array" ref="I2529">IFERROR(_xlfn.IFS(M2529="נח",1,M2529="נע ונח",1,M2529="שני שווא נח",2,M2529="שני שוואים בסוף מילה",2,M2529="שני שוואים ברצף",1),"0")</f>
        <v>1</v>
      </c>
      <c r="J2529" s="9">
        <f t="shared" si="163"/>
        <v>2</v>
      </c>
      <c r="K2529" t="s">
        <v>6698</v>
      </c>
      <c r="L2529" t="s">
        <v>6694</v>
      </c>
      <c r="M2529" t="s">
        <v>6705</v>
      </c>
      <c r="U2529" t="s">
        <v>6694</v>
      </c>
      <c r="V2529" t="s">
        <v>6694</v>
      </c>
      <c r="W2529" t="s">
        <v>6720</v>
      </c>
    </row>
    <row r="2530" spans="1:23" ht="15.6" x14ac:dyDescent="0.4">
      <c r="A2530" s="2" t="s">
        <v>169</v>
      </c>
      <c r="B2530" s="5" t="s">
        <v>8935</v>
      </c>
      <c r="C2530" s="7" t="s">
        <v>12556</v>
      </c>
      <c r="D2530" s="8">
        <f t="shared" si="160"/>
        <v>1</v>
      </c>
      <c r="E2530" s="7" t="s">
        <v>12557</v>
      </c>
      <c r="F2530" s="7">
        <f t="shared" si="161"/>
        <v>1</v>
      </c>
      <c r="G2530" s="7" t="s">
        <v>12558</v>
      </c>
      <c r="H2530" s="7">
        <f t="shared" si="162"/>
        <v>1</v>
      </c>
      <c r="I2530" s="7" cm="1">
        <f t="array" ref="I2530">IFERROR(_xlfn.IFS(M2530="נח",1,M2530="נע ונח",1,M2530="שני שווא נח",2,M2530="שני שוואים בסוף מילה",2,M2530="שני שוואים ברצף",1),"0")</f>
        <v>1</v>
      </c>
      <c r="J2530" s="9">
        <f t="shared" si="163"/>
        <v>3</v>
      </c>
      <c r="K2530" t="s">
        <v>6698</v>
      </c>
      <c r="L2530" t="s">
        <v>6694</v>
      </c>
      <c r="M2530" t="s">
        <v>6705</v>
      </c>
      <c r="P2530" t="s">
        <v>6694</v>
      </c>
      <c r="U2530" t="s">
        <v>6694</v>
      </c>
      <c r="V2530" t="s">
        <v>6694</v>
      </c>
      <c r="W2530" t="s">
        <v>6720</v>
      </c>
    </row>
    <row r="2531" spans="1:23" ht="15.6" x14ac:dyDescent="0.4">
      <c r="A2531" s="2" t="s">
        <v>840</v>
      </c>
      <c r="B2531" s="5" t="s">
        <v>8936</v>
      </c>
      <c r="C2531" s="7" t="s">
        <v>12556</v>
      </c>
      <c r="D2531" s="8">
        <f t="shared" si="160"/>
        <v>0</v>
      </c>
      <c r="E2531" s="7" t="s">
        <v>12557</v>
      </c>
      <c r="F2531" s="7">
        <f t="shared" si="161"/>
        <v>1</v>
      </c>
      <c r="G2531" s="7" t="s">
        <v>12558</v>
      </c>
      <c r="H2531" s="7">
        <f t="shared" si="162"/>
        <v>1</v>
      </c>
      <c r="I2531" s="7" cm="1">
        <f t="array" ref="I2531">IFERROR(_xlfn.IFS(M2531="נח",1,M2531="נע ונח",1,M2531="שני שווא נח",2,M2531="שני שוואים בסוף מילה",2,M2531="שני שוואים ברצף",1),"0")</f>
        <v>1</v>
      </c>
      <c r="J2531" s="9">
        <f t="shared" si="163"/>
        <v>2</v>
      </c>
      <c r="K2531" t="s">
        <v>6698</v>
      </c>
      <c r="L2531" t="s">
        <v>6694</v>
      </c>
      <c r="M2531" t="s">
        <v>6705</v>
      </c>
      <c r="Q2531" t="s">
        <v>6694</v>
      </c>
      <c r="U2531" t="s">
        <v>6694</v>
      </c>
      <c r="W2531" t="s">
        <v>6720</v>
      </c>
    </row>
    <row r="2532" spans="1:23" ht="15.6" x14ac:dyDescent="0.4">
      <c r="A2532" s="2" t="s">
        <v>3896</v>
      </c>
      <c r="B2532" s="5" t="s">
        <v>8937</v>
      </c>
      <c r="C2532" s="7" t="s">
        <v>12556</v>
      </c>
      <c r="D2532" s="8">
        <f t="shared" si="160"/>
        <v>0</v>
      </c>
      <c r="E2532" s="7" t="s">
        <v>12557</v>
      </c>
      <c r="F2532" s="7">
        <f t="shared" si="161"/>
        <v>1</v>
      </c>
      <c r="G2532" s="7" t="s">
        <v>12558</v>
      </c>
      <c r="H2532" s="7">
        <f t="shared" si="162"/>
        <v>1</v>
      </c>
      <c r="I2532" s="7" cm="1">
        <f t="array" ref="I2532">IFERROR(_xlfn.IFS(M2532="נח",1,M2532="נע ונח",1,M2532="שני שווא נח",2,M2532="שני שוואים בסוף מילה",2,M2532="שני שוואים ברצף",1),"0")</f>
        <v>1</v>
      </c>
      <c r="J2532" s="9">
        <f t="shared" si="163"/>
        <v>3</v>
      </c>
      <c r="K2532" t="s">
        <v>6698</v>
      </c>
      <c r="L2532" t="s">
        <v>6694</v>
      </c>
      <c r="M2532" t="s">
        <v>6705</v>
      </c>
      <c r="O2532" t="s">
        <v>6694</v>
      </c>
      <c r="T2532" t="s">
        <v>6694</v>
      </c>
      <c r="U2532" t="s">
        <v>6694</v>
      </c>
      <c r="W2532" t="s">
        <v>6720</v>
      </c>
    </row>
    <row r="2533" spans="1:23" ht="15.6" x14ac:dyDescent="0.4">
      <c r="A2533" s="2" t="s">
        <v>5820</v>
      </c>
      <c r="B2533" s="5" t="s">
        <v>8938</v>
      </c>
      <c r="C2533" s="7" t="s">
        <v>12556</v>
      </c>
      <c r="D2533" s="8">
        <f t="shared" si="160"/>
        <v>0</v>
      </c>
      <c r="E2533" s="7" t="s">
        <v>12557</v>
      </c>
      <c r="F2533" s="7">
        <f t="shared" si="161"/>
        <v>1</v>
      </c>
      <c r="G2533" s="7" t="s">
        <v>12558</v>
      </c>
      <c r="H2533" s="7">
        <f t="shared" si="162"/>
        <v>1</v>
      </c>
      <c r="I2533" s="7" cm="1">
        <f t="array" ref="I2533">IFERROR(_xlfn.IFS(M2533="נח",1,M2533="נע ונח",1,M2533="שני שווא נח",2,M2533="שני שוואים בסוף מילה",2,M2533="שני שוואים ברצף",1),"0")</f>
        <v>2</v>
      </c>
      <c r="J2533" s="9">
        <f t="shared" si="163"/>
        <v>5</v>
      </c>
      <c r="K2533" t="s">
        <v>6697</v>
      </c>
      <c r="L2533" t="s">
        <v>6694</v>
      </c>
      <c r="M2533" t="s">
        <v>6704</v>
      </c>
      <c r="N2533" t="s">
        <v>6706</v>
      </c>
      <c r="O2533" t="s">
        <v>6694</v>
      </c>
      <c r="S2533" t="s">
        <v>6694</v>
      </c>
      <c r="U2533" t="s">
        <v>6694</v>
      </c>
      <c r="W2533" t="s">
        <v>6720</v>
      </c>
    </row>
    <row r="2534" spans="1:23" ht="15.6" x14ac:dyDescent="0.4">
      <c r="A2534" s="2" t="s">
        <v>4101</v>
      </c>
      <c r="B2534" s="5" t="s">
        <v>8939</v>
      </c>
      <c r="C2534" s="7" t="s">
        <v>12556</v>
      </c>
      <c r="D2534" s="8">
        <f t="shared" si="160"/>
        <v>0</v>
      </c>
      <c r="E2534" s="7" t="s">
        <v>12557</v>
      </c>
      <c r="F2534" s="7">
        <f t="shared" si="161"/>
        <v>1</v>
      </c>
      <c r="G2534" s="7" t="s">
        <v>12558</v>
      </c>
      <c r="H2534" s="7">
        <f t="shared" si="162"/>
        <v>1</v>
      </c>
      <c r="I2534" s="7" cm="1">
        <f t="array" ref="I2534">IFERROR(_xlfn.IFS(M2534="נח",1,M2534="נע ונח",1,M2534="שני שווא נח",2,M2534="שני שוואים בסוף מילה",2,M2534="שני שוואים ברצף",1),"0")</f>
        <v>1</v>
      </c>
      <c r="J2534" s="9">
        <f t="shared" si="163"/>
        <v>2</v>
      </c>
      <c r="K2534" t="s">
        <v>6698</v>
      </c>
      <c r="L2534" t="s">
        <v>6694</v>
      </c>
      <c r="M2534" t="s">
        <v>6705</v>
      </c>
      <c r="Q2534" t="s">
        <v>6694</v>
      </c>
      <c r="U2534" t="s">
        <v>6694</v>
      </c>
      <c r="W2534" t="s">
        <v>6720</v>
      </c>
    </row>
    <row r="2535" spans="1:23" ht="15.6" x14ac:dyDescent="0.4">
      <c r="A2535" s="2" t="s">
        <v>2072</v>
      </c>
      <c r="B2535" s="5" t="s">
        <v>8940</v>
      </c>
      <c r="C2535" s="7" t="s">
        <v>12556</v>
      </c>
      <c r="D2535" s="8">
        <f t="shared" si="160"/>
        <v>0</v>
      </c>
      <c r="E2535" s="7" t="s">
        <v>12557</v>
      </c>
      <c r="F2535" s="7">
        <f t="shared" si="161"/>
        <v>1</v>
      </c>
      <c r="G2535" s="7" t="s">
        <v>12558</v>
      </c>
      <c r="H2535" s="7">
        <f t="shared" si="162"/>
        <v>1</v>
      </c>
      <c r="I2535" s="7" cm="1">
        <f t="array" ref="I2535">IFERROR(_xlfn.IFS(M2535="נח",1,M2535="נע ונח",1,M2535="שני שווא נח",2,M2535="שני שוואים בסוף מילה",2,M2535="שני שוואים ברצף",1),"0")</f>
        <v>2</v>
      </c>
      <c r="J2535" s="9">
        <f t="shared" si="163"/>
        <v>3</v>
      </c>
      <c r="K2535" t="s">
        <v>6697</v>
      </c>
      <c r="L2535" t="s">
        <v>6694</v>
      </c>
      <c r="M2535" t="s">
        <v>6704</v>
      </c>
      <c r="P2535" t="s">
        <v>6694</v>
      </c>
      <c r="S2535" t="s">
        <v>6694</v>
      </c>
      <c r="U2535" t="s">
        <v>6694</v>
      </c>
      <c r="W2535" t="s">
        <v>6720</v>
      </c>
    </row>
    <row r="2536" spans="1:23" ht="15.6" x14ac:dyDescent="0.4">
      <c r="A2536" s="2" t="s">
        <v>4303</v>
      </c>
      <c r="B2536" s="5" t="s">
        <v>8941</v>
      </c>
      <c r="C2536" s="7" t="s">
        <v>12556</v>
      </c>
      <c r="D2536" s="8">
        <f t="shared" si="160"/>
        <v>0</v>
      </c>
      <c r="E2536" s="7" t="s">
        <v>12557</v>
      </c>
      <c r="F2536" s="7">
        <f t="shared" si="161"/>
        <v>2</v>
      </c>
      <c r="G2536" s="7" t="s">
        <v>12558</v>
      </c>
      <c r="H2536" s="7">
        <f t="shared" si="162"/>
        <v>1</v>
      </c>
      <c r="I2536" s="7" cm="1">
        <f t="array" ref="I2536">IFERROR(_xlfn.IFS(M2536="נח",1,M2536="נע ונח",1,M2536="שני שווא נח",2,M2536="שני שוואים בסוף מילה",2,M2536="שני שוואים ברצף",1),"0")</f>
        <v>2</v>
      </c>
      <c r="J2536" s="9">
        <f t="shared" si="163"/>
        <v>3</v>
      </c>
      <c r="K2536" t="s">
        <v>6698</v>
      </c>
      <c r="L2536" t="s">
        <v>6694</v>
      </c>
      <c r="M2536" t="s">
        <v>6704</v>
      </c>
      <c r="N2536" t="s">
        <v>6706</v>
      </c>
      <c r="O2536" t="s">
        <v>6694</v>
      </c>
      <c r="S2536" t="s">
        <v>6694</v>
      </c>
      <c r="U2536" t="s">
        <v>6694</v>
      </c>
      <c r="W2536" t="s">
        <v>6720</v>
      </c>
    </row>
    <row r="2537" spans="1:23" ht="15.6" x14ac:dyDescent="0.4">
      <c r="A2537" s="2" t="s">
        <v>1558</v>
      </c>
      <c r="B2537" s="5" t="s">
        <v>8942</v>
      </c>
      <c r="C2537" s="7" t="s">
        <v>12556</v>
      </c>
      <c r="D2537" s="8">
        <f t="shared" si="160"/>
        <v>0</v>
      </c>
      <c r="E2537" s="7" t="s">
        <v>12557</v>
      </c>
      <c r="F2537" s="7">
        <f t="shared" si="161"/>
        <v>1</v>
      </c>
      <c r="G2537" s="7" t="s">
        <v>12558</v>
      </c>
      <c r="H2537" s="7">
        <f t="shared" si="162"/>
        <v>1</v>
      </c>
      <c r="I2537" s="7" cm="1">
        <f t="array" ref="I2537">IFERROR(_xlfn.IFS(M2537="נח",1,M2537="נע ונח",1,M2537="שני שווא נח",2,M2537="שני שוואים בסוף מילה",2,M2537="שני שוואים ברצף",1),"0")</f>
        <v>1</v>
      </c>
      <c r="J2537" s="9">
        <f t="shared" si="163"/>
        <v>3</v>
      </c>
      <c r="K2537" t="s">
        <v>6697</v>
      </c>
      <c r="L2537" t="s">
        <v>6694</v>
      </c>
      <c r="M2537" t="s">
        <v>6705</v>
      </c>
      <c r="Q2537" t="s">
        <v>6694</v>
      </c>
      <c r="S2537" t="s">
        <v>6694</v>
      </c>
      <c r="U2537" t="s">
        <v>6694</v>
      </c>
      <c r="W2537" t="s">
        <v>6720</v>
      </c>
    </row>
    <row r="2538" spans="1:23" ht="15.6" x14ac:dyDescent="0.4">
      <c r="A2538" s="2" t="s">
        <v>5850</v>
      </c>
      <c r="B2538" s="5" t="s">
        <v>8943</v>
      </c>
      <c r="C2538" s="7" t="s">
        <v>12556</v>
      </c>
      <c r="D2538" s="8">
        <f t="shared" si="160"/>
        <v>0</v>
      </c>
      <c r="E2538" s="7" t="s">
        <v>12557</v>
      </c>
      <c r="F2538" s="7">
        <f t="shared" si="161"/>
        <v>1</v>
      </c>
      <c r="G2538" s="7" t="s">
        <v>12558</v>
      </c>
      <c r="H2538" s="7">
        <f t="shared" si="162"/>
        <v>1</v>
      </c>
      <c r="I2538" s="7" cm="1">
        <f t="array" ref="I2538">IFERROR(_xlfn.IFS(M2538="נח",1,M2538="נע ונח",1,M2538="שני שווא נח",2,M2538="שני שוואים בסוף מילה",2,M2538="שני שוואים ברצף",1),"0")</f>
        <v>1</v>
      </c>
      <c r="J2538" s="9">
        <f t="shared" si="163"/>
        <v>3</v>
      </c>
      <c r="K2538" t="s">
        <v>6697</v>
      </c>
      <c r="L2538" t="s">
        <v>6694</v>
      </c>
      <c r="M2538" t="s">
        <v>6705</v>
      </c>
      <c r="S2538" t="s">
        <v>6694</v>
      </c>
      <c r="U2538" t="s">
        <v>6694</v>
      </c>
      <c r="W2538" t="s">
        <v>6720</v>
      </c>
    </row>
    <row r="2539" spans="1:23" ht="15.6" x14ac:dyDescent="0.4">
      <c r="A2539" s="2" t="s">
        <v>920</v>
      </c>
      <c r="B2539" s="5" t="s">
        <v>8944</v>
      </c>
      <c r="C2539" s="7" t="s">
        <v>12556</v>
      </c>
      <c r="D2539" s="8">
        <f t="shared" si="160"/>
        <v>0</v>
      </c>
      <c r="E2539" s="7" t="s">
        <v>12557</v>
      </c>
      <c r="F2539" s="7">
        <f t="shared" si="161"/>
        <v>1</v>
      </c>
      <c r="G2539" s="7" t="s">
        <v>12558</v>
      </c>
      <c r="H2539" s="7">
        <f t="shared" si="162"/>
        <v>1</v>
      </c>
      <c r="I2539" s="7" cm="1">
        <f t="array" ref="I2539">IFERROR(_xlfn.IFS(M2539="נח",1,M2539="נע ונח",1,M2539="שני שווא נח",2,M2539="שני שוואים בסוף מילה",2,M2539="שני שוואים ברצף",1),"0")</f>
        <v>1</v>
      </c>
      <c r="J2539" s="9">
        <f t="shared" si="163"/>
        <v>3</v>
      </c>
      <c r="K2539" t="s">
        <v>6697</v>
      </c>
      <c r="L2539" t="s">
        <v>6694</v>
      </c>
      <c r="M2539" t="s">
        <v>6705</v>
      </c>
      <c r="S2539" t="s">
        <v>6694</v>
      </c>
      <c r="U2539" t="s">
        <v>6694</v>
      </c>
      <c r="V2539" t="s">
        <v>6694</v>
      </c>
      <c r="W2539" t="s">
        <v>6720</v>
      </c>
    </row>
    <row r="2540" spans="1:23" ht="15.6" x14ac:dyDescent="0.4">
      <c r="A2540" s="2" t="s">
        <v>155</v>
      </c>
      <c r="B2540" s="5" t="s">
        <v>8945</v>
      </c>
      <c r="C2540" s="7" t="s">
        <v>12556</v>
      </c>
      <c r="D2540" s="8">
        <f t="shared" si="160"/>
        <v>0</v>
      </c>
      <c r="E2540" s="7" t="s">
        <v>12557</v>
      </c>
      <c r="F2540" s="7">
        <f t="shared" si="161"/>
        <v>1</v>
      </c>
      <c r="G2540" s="7" t="s">
        <v>12558</v>
      </c>
      <c r="H2540" s="7">
        <f t="shared" si="162"/>
        <v>1</v>
      </c>
      <c r="I2540" s="7" cm="1">
        <f t="array" ref="I2540">IFERROR(_xlfn.IFS(M2540="נח",1,M2540="נע ונח",1,M2540="שני שווא נח",2,M2540="שני שוואים בסוף מילה",2,M2540="שני שוואים ברצף",1),"0")</f>
        <v>1</v>
      </c>
      <c r="J2540" s="9">
        <f t="shared" si="163"/>
        <v>4</v>
      </c>
      <c r="K2540" t="s">
        <v>6698</v>
      </c>
      <c r="L2540" t="s">
        <v>6694</v>
      </c>
      <c r="M2540" t="s">
        <v>6705</v>
      </c>
      <c r="N2540" t="s">
        <v>6706</v>
      </c>
      <c r="O2540" t="s">
        <v>6694</v>
      </c>
      <c r="U2540" t="s">
        <v>6694</v>
      </c>
      <c r="W2540" t="s">
        <v>6720</v>
      </c>
    </row>
    <row r="2541" spans="1:23" ht="15.6" x14ac:dyDescent="0.4">
      <c r="A2541" s="2" t="s">
        <v>1958</v>
      </c>
      <c r="B2541" s="5" t="s">
        <v>8946</v>
      </c>
      <c r="C2541" s="7" t="s">
        <v>12556</v>
      </c>
      <c r="D2541" s="8">
        <f t="shared" si="160"/>
        <v>0</v>
      </c>
      <c r="E2541" s="7" t="s">
        <v>12557</v>
      </c>
      <c r="F2541" s="7">
        <f t="shared" si="161"/>
        <v>1</v>
      </c>
      <c r="G2541" s="7" t="s">
        <v>12558</v>
      </c>
      <c r="H2541" s="7">
        <f t="shared" si="162"/>
        <v>1</v>
      </c>
      <c r="I2541" s="7" cm="1">
        <f t="array" ref="I2541">IFERROR(_xlfn.IFS(M2541="נח",1,M2541="נע ונח",1,M2541="שני שווא נח",2,M2541="שני שוואים בסוף מילה",2,M2541="שני שוואים ברצף",1),"0")</f>
        <v>1</v>
      </c>
      <c r="J2541" s="9">
        <f t="shared" si="163"/>
        <v>3</v>
      </c>
      <c r="K2541" t="s">
        <v>6698</v>
      </c>
      <c r="L2541" t="s">
        <v>6694</v>
      </c>
      <c r="M2541" t="s">
        <v>6705</v>
      </c>
      <c r="O2541" t="s">
        <v>6694</v>
      </c>
      <c r="S2541" t="s">
        <v>6694</v>
      </c>
      <c r="U2541" t="s">
        <v>6694</v>
      </c>
      <c r="W2541" t="s">
        <v>6720</v>
      </c>
    </row>
    <row r="2542" spans="1:23" ht="15.6" x14ac:dyDescent="0.4">
      <c r="A2542" s="2" t="s">
        <v>3824</v>
      </c>
      <c r="B2542" s="5" t="s">
        <v>8947</v>
      </c>
      <c r="C2542" s="7" t="s">
        <v>12556</v>
      </c>
      <c r="D2542" s="8">
        <f t="shared" si="160"/>
        <v>0</v>
      </c>
      <c r="E2542" s="7" t="s">
        <v>12557</v>
      </c>
      <c r="F2542" s="7">
        <f t="shared" si="161"/>
        <v>1</v>
      </c>
      <c r="G2542" s="7" t="s">
        <v>12558</v>
      </c>
      <c r="H2542" s="7">
        <f t="shared" si="162"/>
        <v>1</v>
      </c>
      <c r="I2542" s="7" cm="1">
        <f t="array" ref="I2542">IFERROR(_xlfn.IFS(M2542="נח",1,M2542="נע ונח",1,M2542="שני שווא נח",2,M2542="שני שוואים בסוף מילה",2,M2542="שני שוואים ברצף",1),"0")</f>
        <v>1</v>
      </c>
      <c r="J2542" s="9">
        <f t="shared" si="163"/>
        <v>2</v>
      </c>
      <c r="K2542" t="s">
        <v>6698</v>
      </c>
      <c r="L2542" t="s">
        <v>6694</v>
      </c>
      <c r="M2542" t="s">
        <v>6705</v>
      </c>
      <c r="U2542" t="s">
        <v>6694</v>
      </c>
      <c r="V2542" t="s">
        <v>6694</v>
      </c>
      <c r="W2542" t="s">
        <v>6720</v>
      </c>
    </row>
    <row r="2543" spans="1:23" ht="15.6" x14ac:dyDescent="0.4">
      <c r="A2543" s="2" t="s">
        <v>406</v>
      </c>
      <c r="B2543" s="5" t="s">
        <v>8948</v>
      </c>
      <c r="C2543" s="7" t="s">
        <v>12556</v>
      </c>
      <c r="D2543" s="8">
        <f t="shared" si="160"/>
        <v>0</v>
      </c>
      <c r="E2543" s="7" t="s">
        <v>12557</v>
      </c>
      <c r="F2543" s="7">
        <f t="shared" si="161"/>
        <v>2</v>
      </c>
      <c r="G2543" s="7" t="s">
        <v>12558</v>
      </c>
      <c r="H2543" s="7">
        <f t="shared" si="162"/>
        <v>2</v>
      </c>
      <c r="I2543" s="7" cm="1">
        <f t="array" ref="I2543">IFERROR(_xlfn.IFS(M2543="נח",1,M2543="נע ונח",1,M2543="שני שווא נח",2,M2543="שני שוואים בסוף מילה",2,M2543="שני שוואים ברצף",1),"0")</f>
        <v>1</v>
      </c>
      <c r="J2543" s="9">
        <f t="shared" si="163"/>
        <v>3</v>
      </c>
      <c r="K2543" t="s">
        <v>6697</v>
      </c>
      <c r="L2543" t="s">
        <v>6694</v>
      </c>
      <c r="M2543" t="s">
        <v>6705</v>
      </c>
      <c r="N2543" t="s">
        <v>6707</v>
      </c>
      <c r="P2543" t="s">
        <v>6694</v>
      </c>
      <c r="U2543" t="s">
        <v>6694</v>
      </c>
      <c r="W2543" t="s">
        <v>6720</v>
      </c>
    </row>
    <row r="2544" spans="1:23" ht="15.6" x14ac:dyDescent="0.4">
      <c r="A2544" s="2" t="s">
        <v>4836</v>
      </c>
      <c r="B2544" s="5" t="s">
        <v>8949</v>
      </c>
      <c r="C2544" s="7" t="s">
        <v>12556</v>
      </c>
      <c r="D2544" s="8">
        <f t="shared" si="160"/>
        <v>1</v>
      </c>
      <c r="E2544" s="7" t="s">
        <v>12557</v>
      </c>
      <c r="F2544" s="7">
        <f t="shared" si="161"/>
        <v>1</v>
      </c>
      <c r="G2544" s="7" t="s">
        <v>12558</v>
      </c>
      <c r="H2544" s="7">
        <f t="shared" si="162"/>
        <v>1</v>
      </c>
      <c r="I2544" s="7" cm="1">
        <f t="array" ref="I2544">IFERROR(_xlfn.IFS(M2544="נח",1,M2544="נע ונח",1,M2544="שני שווא נח",2,M2544="שני שוואים בסוף מילה",2,M2544="שני שוואים ברצף",1),"0")</f>
        <v>2</v>
      </c>
      <c r="J2544" s="9">
        <f t="shared" si="163"/>
        <v>3</v>
      </c>
      <c r="K2544" t="s">
        <v>6697</v>
      </c>
      <c r="L2544" t="s">
        <v>6694</v>
      </c>
      <c r="M2544" t="s">
        <v>6704</v>
      </c>
      <c r="O2544" t="s">
        <v>6694</v>
      </c>
      <c r="S2544" t="s">
        <v>6694</v>
      </c>
      <c r="U2544" t="s">
        <v>6694</v>
      </c>
      <c r="W2544" t="s">
        <v>6720</v>
      </c>
    </row>
    <row r="2545" spans="1:23" ht="15.6" x14ac:dyDescent="0.4">
      <c r="A2545" s="2" t="s">
        <v>335</v>
      </c>
      <c r="B2545" s="5" t="s">
        <v>8950</v>
      </c>
      <c r="C2545" s="7" t="s">
        <v>12556</v>
      </c>
      <c r="D2545" s="8">
        <f t="shared" si="160"/>
        <v>1</v>
      </c>
      <c r="E2545" s="7" t="s">
        <v>12557</v>
      </c>
      <c r="F2545" s="7">
        <f t="shared" si="161"/>
        <v>1</v>
      </c>
      <c r="G2545" s="7" t="s">
        <v>12558</v>
      </c>
      <c r="H2545" s="7">
        <f t="shared" si="162"/>
        <v>1</v>
      </c>
      <c r="I2545" s="7" cm="1">
        <f t="array" ref="I2545">IFERROR(_xlfn.IFS(M2545="נח",1,M2545="נע ונח",1,M2545="שני שווא נח",2,M2545="שני שוואים בסוף מילה",2,M2545="שני שוואים ברצף",1),"0")</f>
        <v>1</v>
      </c>
      <c r="J2545" s="9">
        <f t="shared" si="163"/>
        <v>2</v>
      </c>
      <c r="K2545" t="s">
        <v>6698</v>
      </c>
      <c r="L2545" t="s">
        <v>6694</v>
      </c>
      <c r="M2545" t="s">
        <v>6705</v>
      </c>
      <c r="Q2545" t="s">
        <v>6694</v>
      </c>
      <c r="U2545" t="s">
        <v>6694</v>
      </c>
      <c r="W2545" t="s">
        <v>6720</v>
      </c>
    </row>
    <row r="2546" spans="1:23" ht="15.6" x14ac:dyDescent="0.4">
      <c r="A2546" s="2" t="s">
        <v>5908</v>
      </c>
      <c r="B2546" s="5" t="s">
        <v>8951</v>
      </c>
      <c r="C2546" s="7" t="s">
        <v>12556</v>
      </c>
      <c r="D2546" s="8">
        <f t="shared" si="160"/>
        <v>1</v>
      </c>
      <c r="E2546" s="7" t="s">
        <v>12557</v>
      </c>
      <c r="F2546" s="7">
        <f t="shared" si="161"/>
        <v>2</v>
      </c>
      <c r="G2546" s="7" t="s">
        <v>12558</v>
      </c>
      <c r="H2546" s="7">
        <f t="shared" si="162"/>
        <v>2</v>
      </c>
      <c r="I2546" s="7" cm="1">
        <f t="array" ref="I2546">IFERROR(_xlfn.IFS(M2546="נח",1,M2546="נע ונח",1,M2546="שני שווא נח",2,M2546="שני שוואים בסוף מילה",2,M2546="שני שוואים ברצף",1),"0")</f>
        <v>2</v>
      </c>
      <c r="J2546" s="9">
        <f t="shared" si="163"/>
        <v>4</v>
      </c>
      <c r="K2546" t="s">
        <v>6697</v>
      </c>
      <c r="L2546" t="s">
        <v>6694</v>
      </c>
      <c r="M2546" t="s">
        <v>6704</v>
      </c>
      <c r="P2546" t="s">
        <v>6694</v>
      </c>
      <c r="U2546" t="s">
        <v>6694</v>
      </c>
      <c r="V2546" t="s">
        <v>6694</v>
      </c>
      <c r="W2546" t="s">
        <v>6720</v>
      </c>
    </row>
    <row r="2547" spans="1:23" ht="15.6" x14ac:dyDescent="0.4">
      <c r="A2547" s="2" t="s">
        <v>4886</v>
      </c>
      <c r="B2547" s="5" t="s">
        <v>8952</v>
      </c>
      <c r="C2547" s="7" t="s">
        <v>12556</v>
      </c>
      <c r="D2547" s="8">
        <f t="shared" si="160"/>
        <v>1</v>
      </c>
      <c r="E2547" s="7" t="s">
        <v>12557</v>
      </c>
      <c r="F2547" s="7">
        <f t="shared" si="161"/>
        <v>1</v>
      </c>
      <c r="G2547" s="7" t="s">
        <v>12558</v>
      </c>
      <c r="H2547" s="7">
        <f t="shared" si="162"/>
        <v>1</v>
      </c>
      <c r="I2547" s="7" cm="1">
        <f t="array" ref="I2547">IFERROR(_xlfn.IFS(M2547="נח",1,M2547="נע ונח",1,M2547="שני שווא נח",2,M2547="שני שוואים בסוף מילה",2,M2547="שני שוואים ברצף",1),"0")</f>
        <v>1</v>
      </c>
      <c r="J2547" s="9">
        <f t="shared" si="163"/>
        <v>3</v>
      </c>
      <c r="K2547" t="s">
        <v>6697</v>
      </c>
      <c r="L2547" t="s">
        <v>6694</v>
      </c>
      <c r="M2547" t="s">
        <v>6705</v>
      </c>
      <c r="O2547" t="s">
        <v>6694</v>
      </c>
      <c r="S2547" t="s">
        <v>6694</v>
      </c>
      <c r="U2547" t="s">
        <v>6694</v>
      </c>
      <c r="W2547" t="s">
        <v>6720</v>
      </c>
    </row>
    <row r="2548" spans="1:23" ht="15.6" x14ac:dyDescent="0.4">
      <c r="A2548" s="2" t="s">
        <v>5020</v>
      </c>
      <c r="B2548" s="5" t="s">
        <v>8953</v>
      </c>
      <c r="C2548" s="7" t="s">
        <v>12556</v>
      </c>
      <c r="D2548" s="8">
        <f t="shared" si="160"/>
        <v>0</v>
      </c>
      <c r="E2548" s="7" t="s">
        <v>12557</v>
      </c>
      <c r="F2548" s="7">
        <f t="shared" si="161"/>
        <v>1</v>
      </c>
      <c r="G2548" s="7" t="s">
        <v>12558</v>
      </c>
      <c r="H2548" s="7">
        <f t="shared" si="162"/>
        <v>1</v>
      </c>
      <c r="I2548" s="7" cm="1">
        <f t="array" ref="I2548">IFERROR(_xlfn.IFS(M2548="נח",1,M2548="נע ונח",1,M2548="שני שווא נח",2,M2548="שני שוואים בסוף מילה",2,M2548="שני שוואים ברצף",1),"0")</f>
        <v>2</v>
      </c>
      <c r="J2548" s="9">
        <f t="shared" si="163"/>
        <v>2</v>
      </c>
      <c r="K2548" t="s">
        <v>6698</v>
      </c>
      <c r="L2548" t="s">
        <v>6694</v>
      </c>
      <c r="M2548" t="s">
        <v>6704</v>
      </c>
      <c r="U2548" t="s">
        <v>6694</v>
      </c>
      <c r="V2548" t="s">
        <v>6694</v>
      </c>
      <c r="W2548" t="s">
        <v>6720</v>
      </c>
    </row>
    <row r="2549" spans="1:23" ht="15.6" x14ac:dyDescent="0.4">
      <c r="A2549" s="2" t="s">
        <v>173</v>
      </c>
      <c r="B2549" s="5" t="s">
        <v>8954</v>
      </c>
      <c r="C2549" s="7" t="s">
        <v>12556</v>
      </c>
      <c r="D2549" s="8">
        <f t="shared" si="160"/>
        <v>0</v>
      </c>
      <c r="E2549" s="7" t="s">
        <v>12557</v>
      </c>
      <c r="F2549" s="7">
        <f t="shared" si="161"/>
        <v>1</v>
      </c>
      <c r="G2549" s="7" t="s">
        <v>12558</v>
      </c>
      <c r="H2549" s="7">
        <f t="shared" si="162"/>
        <v>1</v>
      </c>
      <c r="I2549" s="7" cm="1">
        <f t="array" ref="I2549">IFERROR(_xlfn.IFS(M2549="נח",1,M2549="נע ונח",1,M2549="שני שווא נח",2,M2549="שני שוואים בסוף מילה",2,M2549="שני שוואים ברצף",1),"0")</f>
        <v>1</v>
      </c>
      <c r="J2549" s="9">
        <f t="shared" si="163"/>
        <v>4</v>
      </c>
      <c r="K2549" t="s">
        <v>6697</v>
      </c>
      <c r="L2549" t="s">
        <v>6694</v>
      </c>
      <c r="M2549" t="s">
        <v>6705</v>
      </c>
      <c r="O2549" t="s">
        <v>6694</v>
      </c>
      <c r="U2549" t="s">
        <v>6694</v>
      </c>
      <c r="V2549" t="s">
        <v>6694</v>
      </c>
      <c r="W2549" t="s">
        <v>6720</v>
      </c>
    </row>
    <row r="2550" spans="1:23" ht="15.6" x14ac:dyDescent="0.4">
      <c r="A2550" s="2" t="s">
        <v>3976</v>
      </c>
      <c r="B2550" s="5" t="s">
        <v>8955</v>
      </c>
      <c r="C2550" s="7" t="s">
        <v>12556</v>
      </c>
      <c r="D2550" s="8">
        <f t="shared" si="160"/>
        <v>0</v>
      </c>
      <c r="E2550" s="7" t="s">
        <v>12557</v>
      </c>
      <c r="F2550" s="7">
        <f t="shared" si="161"/>
        <v>2</v>
      </c>
      <c r="G2550" s="7" t="s">
        <v>12558</v>
      </c>
      <c r="H2550" s="7">
        <f t="shared" si="162"/>
        <v>2</v>
      </c>
      <c r="I2550" s="7" cm="1">
        <f t="array" ref="I2550">IFERROR(_xlfn.IFS(M2550="נח",1,M2550="נע ונח",1,M2550="שני שווא נח",2,M2550="שני שוואים בסוף מילה",2,M2550="שני שוואים ברצף",1),"0")</f>
        <v>2</v>
      </c>
      <c r="J2550" s="9">
        <f t="shared" si="163"/>
        <v>5</v>
      </c>
      <c r="K2550" t="s">
        <v>6697</v>
      </c>
      <c r="L2550" t="s">
        <v>6694</v>
      </c>
      <c r="M2550" t="s">
        <v>6704</v>
      </c>
      <c r="N2550" t="s">
        <v>6706</v>
      </c>
      <c r="O2550" t="s">
        <v>6694</v>
      </c>
      <c r="S2550" t="s">
        <v>6694</v>
      </c>
      <c r="U2550" t="s">
        <v>6694</v>
      </c>
      <c r="W2550" t="s">
        <v>6720</v>
      </c>
    </row>
    <row r="2551" spans="1:23" ht="15.6" x14ac:dyDescent="0.4">
      <c r="A2551" s="2" t="s">
        <v>1786</v>
      </c>
      <c r="B2551" s="5" t="s">
        <v>8956</v>
      </c>
      <c r="C2551" s="7" t="s">
        <v>12556</v>
      </c>
      <c r="D2551" s="8">
        <f t="shared" si="160"/>
        <v>0</v>
      </c>
      <c r="E2551" s="7" t="s">
        <v>12557</v>
      </c>
      <c r="F2551" s="7">
        <f t="shared" si="161"/>
        <v>1</v>
      </c>
      <c r="G2551" s="7" t="s">
        <v>12558</v>
      </c>
      <c r="H2551" s="7">
        <f t="shared" si="162"/>
        <v>1</v>
      </c>
      <c r="I2551" s="7" cm="1">
        <f t="array" ref="I2551">IFERROR(_xlfn.IFS(M2551="נח",1,M2551="נע ונח",1,M2551="שני שווא נח",2,M2551="שני שוואים בסוף מילה",2,M2551="שני שוואים ברצף",1),"0")</f>
        <v>1</v>
      </c>
      <c r="J2551" s="9">
        <f t="shared" si="163"/>
        <v>4</v>
      </c>
      <c r="K2551" t="s">
        <v>6697</v>
      </c>
      <c r="L2551" t="s">
        <v>6694</v>
      </c>
      <c r="M2551" t="s">
        <v>6705</v>
      </c>
      <c r="P2551" t="s">
        <v>6694</v>
      </c>
      <c r="S2551" t="s">
        <v>6694</v>
      </c>
      <c r="U2551" t="s">
        <v>6694</v>
      </c>
      <c r="V2551" t="s">
        <v>6694</v>
      </c>
      <c r="W2551" t="s">
        <v>6720</v>
      </c>
    </row>
    <row r="2552" spans="1:23" ht="15.6" x14ac:dyDescent="0.4">
      <c r="A2552" s="2" t="s">
        <v>6349</v>
      </c>
      <c r="B2552" s="5" t="s">
        <v>8957</v>
      </c>
      <c r="C2552" s="7" t="s">
        <v>12556</v>
      </c>
      <c r="D2552" s="8">
        <f t="shared" si="160"/>
        <v>0</v>
      </c>
      <c r="E2552" s="7" t="s">
        <v>12557</v>
      </c>
      <c r="F2552" s="7">
        <f t="shared" si="161"/>
        <v>1</v>
      </c>
      <c r="G2552" s="7" t="s">
        <v>12558</v>
      </c>
      <c r="H2552" s="7">
        <f t="shared" si="162"/>
        <v>1</v>
      </c>
      <c r="I2552" s="7" cm="1">
        <f t="array" ref="I2552">IFERROR(_xlfn.IFS(M2552="נח",1,M2552="נע ונח",1,M2552="שני שווא נח",2,M2552="שני שוואים בסוף מילה",2,M2552="שני שוואים ברצף",1),"0")</f>
        <v>1</v>
      </c>
      <c r="J2552" s="9">
        <f t="shared" si="163"/>
        <v>3</v>
      </c>
      <c r="K2552" t="s">
        <v>6697</v>
      </c>
      <c r="L2552" t="s">
        <v>6694</v>
      </c>
      <c r="M2552" t="s">
        <v>6705</v>
      </c>
      <c r="S2552" t="s">
        <v>6694</v>
      </c>
      <c r="U2552" t="s">
        <v>6694</v>
      </c>
      <c r="W2552" t="s">
        <v>6720</v>
      </c>
    </row>
    <row r="2553" spans="1:23" ht="15.6" x14ac:dyDescent="0.4">
      <c r="A2553" s="2" t="s">
        <v>2523</v>
      </c>
      <c r="B2553" s="5" t="s">
        <v>8932</v>
      </c>
      <c r="C2553" s="7" t="s">
        <v>12556</v>
      </c>
      <c r="D2553" s="8">
        <f t="shared" si="160"/>
        <v>0</v>
      </c>
      <c r="E2553" s="7" t="s">
        <v>12557</v>
      </c>
      <c r="F2553" s="7">
        <f t="shared" si="161"/>
        <v>1</v>
      </c>
      <c r="G2553" s="7" t="s">
        <v>12558</v>
      </c>
      <c r="H2553" s="7">
        <f t="shared" si="162"/>
        <v>1</v>
      </c>
      <c r="I2553" s="7" t="str" cm="1">
        <f t="array" ref="I2553">IFERROR(_xlfn.IFS(M2553="נח",1,M2553="נע ונח",1,M2553="שני שווא נח",2,M2553="שני שוואים בסוף מילה",2,M2553="שני שוואים ברצף",1),"0")</f>
        <v>0</v>
      </c>
      <c r="J2553" s="9">
        <f t="shared" si="163"/>
        <v>3</v>
      </c>
      <c r="K2553" t="s">
        <v>6697</v>
      </c>
      <c r="L2553" t="s">
        <v>6695</v>
      </c>
      <c r="Q2553" t="s">
        <v>6694</v>
      </c>
      <c r="S2553" t="s">
        <v>6694</v>
      </c>
      <c r="U2553" t="s">
        <v>6694</v>
      </c>
      <c r="W2553" t="s">
        <v>6720</v>
      </c>
    </row>
    <row r="2554" spans="1:23" ht="15.6" x14ac:dyDescent="0.4">
      <c r="A2554" s="2" t="s">
        <v>3317</v>
      </c>
      <c r="B2554" s="5" t="s">
        <v>8958</v>
      </c>
      <c r="C2554" s="7" t="s">
        <v>12556</v>
      </c>
      <c r="D2554" s="8">
        <f t="shared" si="160"/>
        <v>1</v>
      </c>
      <c r="E2554" s="7" t="s">
        <v>12557</v>
      </c>
      <c r="F2554" s="7">
        <f t="shared" si="161"/>
        <v>2</v>
      </c>
      <c r="G2554" s="7" t="s">
        <v>12558</v>
      </c>
      <c r="H2554" s="7">
        <f t="shared" si="162"/>
        <v>2</v>
      </c>
      <c r="I2554" s="7" cm="1">
        <f t="array" ref="I2554">IFERROR(_xlfn.IFS(M2554="נח",1,M2554="נע ונח",1,M2554="שני שווא נח",2,M2554="שני שוואים בסוף מילה",2,M2554="שני שוואים ברצף",1),"0")</f>
        <v>1</v>
      </c>
      <c r="J2554" s="9">
        <f t="shared" si="163"/>
        <v>5</v>
      </c>
      <c r="K2554" t="s">
        <v>6697</v>
      </c>
      <c r="L2554" t="s">
        <v>6694</v>
      </c>
      <c r="M2554" t="s">
        <v>6705</v>
      </c>
      <c r="N2554" t="s">
        <v>6706</v>
      </c>
      <c r="O2554" t="s">
        <v>6694</v>
      </c>
      <c r="S2554" t="s">
        <v>6694</v>
      </c>
      <c r="U2554" t="s">
        <v>6694</v>
      </c>
      <c r="W2554" t="s">
        <v>6720</v>
      </c>
    </row>
    <row r="2555" spans="1:23" ht="15.6" x14ac:dyDescent="0.4">
      <c r="A2555" s="2" t="s">
        <v>4782</v>
      </c>
      <c r="B2555" s="5" t="s">
        <v>8959</v>
      </c>
      <c r="C2555" s="7" t="s">
        <v>12556</v>
      </c>
      <c r="D2555" s="8">
        <f t="shared" si="160"/>
        <v>0</v>
      </c>
      <c r="E2555" s="7" t="s">
        <v>12557</v>
      </c>
      <c r="F2555" s="7">
        <f t="shared" si="161"/>
        <v>1</v>
      </c>
      <c r="G2555" s="7" t="s">
        <v>12558</v>
      </c>
      <c r="H2555" s="7">
        <f t="shared" si="162"/>
        <v>1</v>
      </c>
      <c r="I2555" s="7" cm="1">
        <f t="array" ref="I2555">IFERROR(_xlfn.IFS(M2555="נח",1,M2555="נע ונח",1,M2555="שני שווא נח",2,M2555="שני שוואים בסוף מילה",2,M2555="שני שוואים ברצף",1),"0")</f>
        <v>1</v>
      </c>
      <c r="J2555" s="9">
        <f t="shared" si="163"/>
        <v>4</v>
      </c>
      <c r="K2555" t="s">
        <v>6698</v>
      </c>
      <c r="L2555" t="s">
        <v>6694</v>
      </c>
      <c r="M2555" t="s">
        <v>6705</v>
      </c>
      <c r="O2555" t="s">
        <v>6694</v>
      </c>
      <c r="S2555" t="s">
        <v>6694</v>
      </c>
      <c r="U2555" t="s">
        <v>6694</v>
      </c>
      <c r="W2555" t="s">
        <v>6720</v>
      </c>
    </row>
    <row r="2556" spans="1:23" ht="15.6" x14ac:dyDescent="0.4">
      <c r="A2556" s="2" t="s">
        <v>3260</v>
      </c>
      <c r="B2556" s="5" t="s">
        <v>8960</v>
      </c>
      <c r="C2556" s="7" t="s">
        <v>12556</v>
      </c>
      <c r="D2556" s="8">
        <f t="shared" si="160"/>
        <v>0</v>
      </c>
      <c r="E2556" s="7" t="s">
        <v>12557</v>
      </c>
      <c r="F2556" s="7">
        <f t="shared" si="161"/>
        <v>1</v>
      </c>
      <c r="G2556" s="7" t="s">
        <v>12558</v>
      </c>
      <c r="H2556" s="7">
        <f t="shared" si="162"/>
        <v>1</v>
      </c>
      <c r="I2556" s="7" cm="1">
        <f t="array" ref="I2556">IFERROR(_xlfn.IFS(M2556="נח",1,M2556="נע ונח",1,M2556="שני שווא נח",2,M2556="שני שוואים בסוף מילה",2,M2556="שני שוואים ברצף",1),"0")</f>
        <v>1</v>
      </c>
      <c r="J2556" s="9">
        <f t="shared" si="163"/>
        <v>3</v>
      </c>
      <c r="K2556" t="s">
        <v>6697</v>
      </c>
      <c r="L2556" t="s">
        <v>6694</v>
      </c>
      <c r="M2556" t="s">
        <v>6705</v>
      </c>
      <c r="Q2556" t="s">
        <v>6694</v>
      </c>
      <c r="S2556" t="s">
        <v>6694</v>
      </c>
      <c r="U2556" t="s">
        <v>6694</v>
      </c>
      <c r="W2556" t="s">
        <v>6720</v>
      </c>
    </row>
    <row r="2557" spans="1:23" ht="15.6" x14ac:dyDescent="0.4">
      <c r="A2557" s="2" t="s">
        <v>5823</v>
      </c>
      <c r="B2557" s="5" t="s">
        <v>8961</v>
      </c>
      <c r="C2557" s="7" t="s">
        <v>12556</v>
      </c>
      <c r="D2557" s="8">
        <f t="shared" si="160"/>
        <v>0</v>
      </c>
      <c r="E2557" s="7" t="s">
        <v>12557</v>
      </c>
      <c r="F2557" s="7">
        <f t="shared" si="161"/>
        <v>1</v>
      </c>
      <c r="G2557" s="7" t="s">
        <v>12558</v>
      </c>
      <c r="H2557" s="7">
        <f t="shared" si="162"/>
        <v>1</v>
      </c>
      <c r="I2557" s="7" cm="1">
        <f t="array" ref="I2557">IFERROR(_xlfn.IFS(M2557="נח",1,M2557="נע ונח",1,M2557="שני שווא נח",2,M2557="שני שוואים בסוף מילה",2,M2557="שני שוואים ברצף",1),"0")</f>
        <v>2</v>
      </c>
      <c r="J2557" s="9">
        <f t="shared" si="163"/>
        <v>4</v>
      </c>
      <c r="K2557" t="s">
        <v>6697</v>
      </c>
      <c r="L2557" t="s">
        <v>6694</v>
      </c>
      <c r="M2557" t="s">
        <v>6704</v>
      </c>
      <c r="O2557" t="s">
        <v>6694</v>
      </c>
      <c r="S2557" t="s">
        <v>6694</v>
      </c>
      <c r="U2557" t="s">
        <v>6694</v>
      </c>
      <c r="V2557" t="s">
        <v>6694</v>
      </c>
      <c r="W2557" t="s">
        <v>6720</v>
      </c>
    </row>
    <row r="2558" spans="1:23" ht="15.6" x14ac:dyDescent="0.4">
      <c r="A2558" s="2" t="s">
        <v>5842</v>
      </c>
      <c r="B2558" s="5" t="s">
        <v>8962</v>
      </c>
      <c r="C2558" s="7" t="s">
        <v>12556</v>
      </c>
      <c r="D2558" s="8">
        <f t="shared" si="160"/>
        <v>1</v>
      </c>
      <c r="E2558" s="7" t="s">
        <v>12557</v>
      </c>
      <c r="F2558" s="7">
        <f t="shared" si="161"/>
        <v>1</v>
      </c>
      <c r="G2558" s="7" t="s">
        <v>12558</v>
      </c>
      <c r="H2558" s="7">
        <f t="shared" si="162"/>
        <v>1</v>
      </c>
      <c r="I2558" s="7" cm="1">
        <f t="array" ref="I2558">IFERROR(_xlfn.IFS(M2558="נח",1,M2558="נע ונח",1,M2558="שני שווא נח",2,M2558="שני שוואים בסוף מילה",2,M2558="שני שוואים ברצף",1),"0")</f>
        <v>1</v>
      </c>
      <c r="J2558" s="9">
        <f t="shared" si="163"/>
        <v>3</v>
      </c>
      <c r="K2558" t="s">
        <v>6697</v>
      </c>
      <c r="L2558" t="s">
        <v>6694</v>
      </c>
      <c r="M2558" t="s">
        <v>6705</v>
      </c>
      <c r="S2558" t="s">
        <v>6694</v>
      </c>
      <c r="U2558" t="s">
        <v>6694</v>
      </c>
      <c r="W2558" t="s">
        <v>6720</v>
      </c>
    </row>
    <row r="2559" spans="1:23" ht="15.6" x14ac:dyDescent="0.4">
      <c r="A2559" s="2" t="s">
        <v>5088</v>
      </c>
      <c r="B2559" s="5" t="s">
        <v>8963</v>
      </c>
      <c r="C2559" s="7" t="s">
        <v>12556</v>
      </c>
      <c r="D2559" s="8">
        <f t="shared" si="160"/>
        <v>0</v>
      </c>
      <c r="E2559" s="7" t="s">
        <v>12557</v>
      </c>
      <c r="F2559" s="7">
        <f t="shared" si="161"/>
        <v>1</v>
      </c>
      <c r="G2559" s="7" t="s">
        <v>12558</v>
      </c>
      <c r="H2559" s="7">
        <f t="shared" si="162"/>
        <v>1</v>
      </c>
      <c r="I2559" s="7" t="str" cm="1">
        <f t="array" ref="I2559">IFERROR(_xlfn.IFS(M2559="נח",1,M2559="נע ונח",1,M2559="שני שווא נח",2,M2559="שני שוואים בסוף מילה",2,M2559="שני שוואים ברצף",1),"0")</f>
        <v>0</v>
      </c>
      <c r="J2559" s="9">
        <f t="shared" si="163"/>
        <v>7</v>
      </c>
      <c r="K2559" t="s">
        <v>6697</v>
      </c>
      <c r="L2559" t="s">
        <v>6694</v>
      </c>
      <c r="M2559" t="s">
        <v>6703</v>
      </c>
      <c r="O2559" t="s">
        <v>6694</v>
      </c>
      <c r="R2559" t="s">
        <v>6694</v>
      </c>
      <c r="S2559" t="s">
        <v>6694</v>
      </c>
      <c r="U2559" t="s">
        <v>6694</v>
      </c>
      <c r="V2559" t="s">
        <v>6694</v>
      </c>
      <c r="W2559" t="s">
        <v>6720</v>
      </c>
    </row>
    <row r="2560" spans="1:23" ht="15.6" x14ac:dyDescent="0.4">
      <c r="A2560" s="2" t="s">
        <v>3725</v>
      </c>
      <c r="B2560" s="5" t="s">
        <v>8964</v>
      </c>
      <c r="C2560" s="7" t="s">
        <v>12556</v>
      </c>
      <c r="D2560" s="8">
        <f t="shared" si="160"/>
        <v>0</v>
      </c>
      <c r="E2560" s="7" t="s">
        <v>12557</v>
      </c>
      <c r="F2560" s="7">
        <f t="shared" si="161"/>
        <v>1</v>
      </c>
      <c r="G2560" s="7" t="s">
        <v>12558</v>
      </c>
      <c r="H2560" s="7">
        <f t="shared" si="162"/>
        <v>1</v>
      </c>
      <c r="I2560" s="7" t="str" cm="1">
        <f t="array" ref="I2560">IFERROR(_xlfn.IFS(M2560="נח",1,M2560="נע ונח",1,M2560="שני שווא נח",2,M2560="שני שוואים בסוף מילה",2,M2560="שני שוואים ברצף",1),"0")</f>
        <v>0</v>
      </c>
      <c r="J2560" s="9">
        <f t="shared" si="163"/>
        <v>2</v>
      </c>
      <c r="K2560" t="s">
        <v>6698</v>
      </c>
      <c r="L2560" t="s">
        <v>6695</v>
      </c>
      <c r="Q2560" t="s">
        <v>6694</v>
      </c>
      <c r="U2560" t="s">
        <v>6694</v>
      </c>
      <c r="W2560" t="s">
        <v>6720</v>
      </c>
    </row>
    <row r="2561" spans="1:23" ht="15.6" x14ac:dyDescent="0.4">
      <c r="A2561" s="2" t="s">
        <v>2149</v>
      </c>
      <c r="B2561" s="5" t="s">
        <v>8965</v>
      </c>
      <c r="C2561" s="7" t="s">
        <v>12556</v>
      </c>
      <c r="D2561" s="8">
        <f t="shared" si="160"/>
        <v>0</v>
      </c>
      <c r="E2561" s="7" t="s">
        <v>12557</v>
      </c>
      <c r="F2561" s="7">
        <f t="shared" si="161"/>
        <v>1</v>
      </c>
      <c r="G2561" s="7" t="s">
        <v>12558</v>
      </c>
      <c r="H2561" s="7">
        <f t="shared" si="162"/>
        <v>1</v>
      </c>
      <c r="I2561" s="7" t="str" cm="1">
        <f t="array" ref="I2561">IFERROR(_xlfn.IFS(M2561="נח",1,M2561="נע ונח",1,M2561="שני שווא נח",2,M2561="שני שוואים בסוף מילה",2,M2561="שני שוואים ברצף",1),"0")</f>
        <v>0</v>
      </c>
      <c r="J2561" s="9">
        <f t="shared" si="163"/>
        <v>2</v>
      </c>
      <c r="K2561" t="s">
        <v>6698</v>
      </c>
      <c r="L2561" t="s">
        <v>6695</v>
      </c>
      <c r="R2561" t="s">
        <v>6694</v>
      </c>
      <c r="U2561" t="s">
        <v>6694</v>
      </c>
      <c r="W2561" t="s">
        <v>6720</v>
      </c>
    </row>
    <row r="2562" spans="1:23" ht="15.6" x14ac:dyDescent="0.4">
      <c r="A2562" s="2" t="s">
        <v>3635</v>
      </c>
      <c r="B2562" s="5" t="s">
        <v>8966</v>
      </c>
      <c r="C2562" s="7" t="s">
        <v>12556</v>
      </c>
      <c r="D2562" s="8">
        <f t="shared" si="160"/>
        <v>0</v>
      </c>
      <c r="E2562" s="7" t="s">
        <v>12557</v>
      </c>
      <c r="F2562" s="7">
        <f t="shared" si="161"/>
        <v>2</v>
      </c>
      <c r="G2562" s="7" t="s">
        <v>12558</v>
      </c>
      <c r="H2562" s="7">
        <f t="shared" si="162"/>
        <v>1</v>
      </c>
      <c r="I2562" s="7" t="str" cm="1">
        <f t="array" ref="I2562">IFERROR(_xlfn.IFS(M2562="נח",1,M2562="נע ונח",1,M2562="שני שווא נח",2,M2562="שני שוואים בסוף מילה",2,M2562="שני שוואים ברצף",1),"0")</f>
        <v>0</v>
      </c>
      <c r="J2562" s="9">
        <f t="shared" si="163"/>
        <v>4</v>
      </c>
      <c r="K2562" t="s">
        <v>6698</v>
      </c>
      <c r="L2562" t="s">
        <v>6695</v>
      </c>
      <c r="P2562" t="s">
        <v>6694</v>
      </c>
      <c r="S2562" t="s">
        <v>6694</v>
      </c>
      <c r="U2562" t="s">
        <v>6694</v>
      </c>
      <c r="V2562" t="s">
        <v>6694</v>
      </c>
      <c r="W2562" t="s">
        <v>6720</v>
      </c>
    </row>
    <row r="2563" spans="1:23" ht="15.6" x14ac:dyDescent="0.4">
      <c r="A2563" s="2" t="s">
        <v>5268</v>
      </c>
      <c r="B2563" s="5" t="s">
        <v>8967</v>
      </c>
      <c r="C2563" s="7" t="s">
        <v>12556</v>
      </c>
      <c r="D2563" s="8">
        <f t="shared" ref="D2563:D2626" si="164">(LEN(B2563)-LEN(SUBSTITUTE(B2563,C2563,"")))</f>
        <v>0</v>
      </c>
      <c r="E2563" s="7" t="s">
        <v>12557</v>
      </c>
      <c r="F2563" s="7">
        <f t="shared" ref="F2563:F2626" si="165">(LEN(A2563)-LEN(SUBSTITUTE(A2563,E2563,"")))</f>
        <v>1</v>
      </c>
      <c r="G2563" s="7" t="s">
        <v>12558</v>
      </c>
      <c r="H2563" s="7">
        <f t="shared" ref="H2563:H2626" si="166">(LEN(A2563)-LEN(SUBSTITUTE(A2563,G2563,"")))/2</f>
        <v>1</v>
      </c>
      <c r="I2563" s="7" cm="1">
        <f t="array" ref="I2563">IFERROR(_xlfn.IFS(M2563="נח",1,M2563="נע ונח",1,M2563="שני שווא נח",2,M2563="שני שוואים בסוף מילה",2,M2563="שני שוואים ברצף",1),"0")</f>
        <v>1</v>
      </c>
      <c r="J2563" s="9">
        <f t="shared" ref="J2563:J2626" si="167">LEN(A2563)-(LEN(B2563))-D2563-F2563+H2563-I2563</f>
        <v>5</v>
      </c>
      <c r="K2563" t="s">
        <v>6697</v>
      </c>
      <c r="L2563" t="s">
        <v>6694</v>
      </c>
      <c r="M2563" t="s">
        <v>6705</v>
      </c>
      <c r="N2563" t="s">
        <v>6706</v>
      </c>
      <c r="O2563" t="s">
        <v>6694</v>
      </c>
      <c r="P2563" t="s">
        <v>6694</v>
      </c>
      <c r="U2563" t="s">
        <v>6694</v>
      </c>
      <c r="W2563" t="s">
        <v>6720</v>
      </c>
    </row>
    <row r="2564" spans="1:23" ht="15.6" x14ac:dyDescent="0.4">
      <c r="A2564" s="2" t="s">
        <v>2268</v>
      </c>
      <c r="B2564" s="5" t="s">
        <v>8968</v>
      </c>
      <c r="C2564" s="7" t="s">
        <v>12556</v>
      </c>
      <c r="D2564" s="8">
        <f t="shared" si="164"/>
        <v>0</v>
      </c>
      <c r="E2564" s="7" t="s">
        <v>12557</v>
      </c>
      <c r="F2564" s="7">
        <f t="shared" si="165"/>
        <v>1</v>
      </c>
      <c r="G2564" s="7" t="s">
        <v>12558</v>
      </c>
      <c r="H2564" s="7">
        <f t="shared" si="166"/>
        <v>1</v>
      </c>
      <c r="I2564" s="7" t="str" cm="1">
        <f t="array" ref="I2564">IFERROR(_xlfn.IFS(M2564="נח",1,M2564="נע ונח",1,M2564="שני שווא נח",2,M2564="שני שוואים בסוף מילה",2,M2564="שני שוואים ברצף",1),"0")</f>
        <v>0</v>
      </c>
      <c r="J2564" s="9">
        <f t="shared" si="167"/>
        <v>5</v>
      </c>
      <c r="K2564" t="s">
        <v>6697</v>
      </c>
      <c r="L2564" t="s">
        <v>6695</v>
      </c>
      <c r="P2564" t="s">
        <v>6694</v>
      </c>
      <c r="U2564" t="s">
        <v>6694</v>
      </c>
      <c r="V2564" t="s">
        <v>6694</v>
      </c>
      <c r="W2564" t="s">
        <v>6720</v>
      </c>
    </row>
    <row r="2565" spans="1:23" ht="15.6" x14ac:dyDescent="0.4">
      <c r="A2565" s="2" t="s">
        <v>3040</v>
      </c>
      <c r="B2565" s="5" t="s">
        <v>8969</v>
      </c>
      <c r="C2565" s="7" t="s">
        <v>12556</v>
      </c>
      <c r="D2565" s="8">
        <f t="shared" si="164"/>
        <v>0</v>
      </c>
      <c r="E2565" s="7" t="s">
        <v>12557</v>
      </c>
      <c r="F2565" s="7">
        <f t="shared" si="165"/>
        <v>1</v>
      </c>
      <c r="G2565" s="7" t="s">
        <v>12558</v>
      </c>
      <c r="H2565" s="7">
        <f t="shared" si="166"/>
        <v>1</v>
      </c>
      <c r="I2565" s="7" t="str" cm="1">
        <f t="array" ref="I2565">IFERROR(_xlfn.IFS(M2565="נח",1,M2565="נע ונח",1,M2565="שני שווא נח",2,M2565="שני שוואים בסוף מילה",2,M2565="שני שוואים ברצף",1),"0")</f>
        <v>0</v>
      </c>
      <c r="J2565" s="9">
        <f t="shared" si="167"/>
        <v>2</v>
      </c>
      <c r="K2565" t="s">
        <v>6698</v>
      </c>
      <c r="L2565" t="s">
        <v>6695</v>
      </c>
      <c r="P2565" t="s">
        <v>6694</v>
      </c>
      <c r="U2565" t="s">
        <v>6694</v>
      </c>
      <c r="W2565" t="s">
        <v>6720</v>
      </c>
    </row>
    <row r="2566" spans="1:23" ht="15.6" x14ac:dyDescent="0.4">
      <c r="A2566" s="2" t="s">
        <v>3580</v>
      </c>
      <c r="B2566" s="5" t="s">
        <v>8970</v>
      </c>
      <c r="C2566" s="7" t="s">
        <v>12556</v>
      </c>
      <c r="D2566" s="8">
        <f t="shared" si="164"/>
        <v>0</v>
      </c>
      <c r="E2566" s="7" t="s">
        <v>12557</v>
      </c>
      <c r="F2566" s="7">
        <f t="shared" si="165"/>
        <v>2</v>
      </c>
      <c r="G2566" s="7" t="s">
        <v>12558</v>
      </c>
      <c r="H2566" s="7">
        <f t="shared" si="166"/>
        <v>1</v>
      </c>
      <c r="I2566" s="7" cm="1">
        <f t="array" ref="I2566">IFERROR(_xlfn.IFS(M2566="נח",1,M2566="נע ונח",1,M2566="שני שווא נח",2,M2566="שני שוואים בסוף מילה",2,M2566="שני שוואים ברצף",1),"0")</f>
        <v>1</v>
      </c>
      <c r="J2566" s="9">
        <f t="shared" si="167"/>
        <v>4</v>
      </c>
      <c r="K2566" t="s">
        <v>6697</v>
      </c>
      <c r="L2566" t="s">
        <v>6694</v>
      </c>
      <c r="M2566" t="s">
        <v>6705</v>
      </c>
      <c r="O2566" t="s">
        <v>6694</v>
      </c>
      <c r="P2566" t="s">
        <v>6694</v>
      </c>
      <c r="U2566" t="s">
        <v>6694</v>
      </c>
      <c r="W2566" t="s">
        <v>6720</v>
      </c>
    </row>
    <row r="2567" spans="1:23" ht="15.6" x14ac:dyDescent="0.4">
      <c r="A2567" s="2" t="s">
        <v>4444</v>
      </c>
      <c r="B2567" s="5" t="s">
        <v>8971</v>
      </c>
      <c r="C2567" s="7" t="s">
        <v>12556</v>
      </c>
      <c r="D2567" s="8">
        <f t="shared" si="164"/>
        <v>0</v>
      </c>
      <c r="E2567" s="7" t="s">
        <v>12557</v>
      </c>
      <c r="F2567" s="7">
        <f t="shared" si="165"/>
        <v>2</v>
      </c>
      <c r="G2567" s="7" t="s">
        <v>12558</v>
      </c>
      <c r="H2567" s="7">
        <f t="shared" si="166"/>
        <v>1</v>
      </c>
      <c r="I2567" s="7" t="str" cm="1">
        <f t="array" ref="I2567">IFERROR(_xlfn.IFS(M2567="נח",1,M2567="נע ונח",1,M2567="שני שווא נח",2,M2567="שני שוואים בסוף מילה",2,M2567="שני שוואים ברצף",1),"0")</f>
        <v>0</v>
      </c>
      <c r="J2567" s="9">
        <f t="shared" si="167"/>
        <v>4</v>
      </c>
      <c r="K2567" t="s">
        <v>6698</v>
      </c>
      <c r="L2567" t="s">
        <v>6695</v>
      </c>
      <c r="P2567" t="s">
        <v>6694</v>
      </c>
      <c r="S2567" t="s">
        <v>6694</v>
      </c>
      <c r="U2567" t="s">
        <v>6694</v>
      </c>
      <c r="W2567" t="s">
        <v>6720</v>
      </c>
    </row>
    <row r="2568" spans="1:23" ht="15.6" x14ac:dyDescent="0.4">
      <c r="A2568" s="2" t="s">
        <v>5845</v>
      </c>
      <c r="B2568" s="5" t="s">
        <v>8972</v>
      </c>
      <c r="C2568" s="7" t="s">
        <v>12556</v>
      </c>
      <c r="D2568" s="8">
        <f t="shared" si="164"/>
        <v>0</v>
      </c>
      <c r="E2568" s="7" t="s">
        <v>12557</v>
      </c>
      <c r="F2568" s="7">
        <f t="shared" si="165"/>
        <v>2</v>
      </c>
      <c r="G2568" s="7" t="s">
        <v>12558</v>
      </c>
      <c r="H2568" s="7">
        <f t="shared" si="166"/>
        <v>1</v>
      </c>
      <c r="I2568" s="7" cm="1">
        <f t="array" ref="I2568">IFERROR(_xlfn.IFS(M2568="נח",1,M2568="נע ונח",1,M2568="שני שווא נח",2,M2568="שני שוואים בסוף מילה",2,M2568="שני שוואים ברצף",1),"0")</f>
        <v>1</v>
      </c>
      <c r="J2568" s="9">
        <f t="shared" si="167"/>
        <v>4</v>
      </c>
      <c r="K2568" t="s">
        <v>6698</v>
      </c>
      <c r="L2568" t="s">
        <v>6694</v>
      </c>
      <c r="M2568" t="s">
        <v>6705</v>
      </c>
      <c r="O2568" t="s">
        <v>6694</v>
      </c>
      <c r="P2568" t="s">
        <v>6694</v>
      </c>
      <c r="U2568" t="s">
        <v>6694</v>
      </c>
      <c r="V2568" t="s">
        <v>6694</v>
      </c>
      <c r="W2568" t="s">
        <v>6720</v>
      </c>
    </row>
    <row r="2569" spans="1:23" ht="15.6" x14ac:dyDescent="0.4">
      <c r="A2569" s="2" t="s">
        <v>4755</v>
      </c>
      <c r="B2569" s="5" t="s">
        <v>8973</v>
      </c>
      <c r="C2569" s="7" t="s">
        <v>12556</v>
      </c>
      <c r="D2569" s="8">
        <f t="shared" si="164"/>
        <v>0</v>
      </c>
      <c r="E2569" s="7" t="s">
        <v>12557</v>
      </c>
      <c r="F2569" s="7">
        <f t="shared" si="165"/>
        <v>1</v>
      </c>
      <c r="G2569" s="7" t="s">
        <v>12558</v>
      </c>
      <c r="H2569" s="7">
        <f t="shared" si="166"/>
        <v>1</v>
      </c>
      <c r="I2569" s="7" t="str" cm="1">
        <f t="array" ref="I2569">IFERROR(_xlfn.IFS(M2569="נח",1,M2569="נע ונח",1,M2569="שני שווא נח",2,M2569="שני שוואים בסוף מילה",2,M2569="שני שוואים ברצף",1),"0")</f>
        <v>0</v>
      </c>
      <c r="J2569" s="9">
        <f t="shared" si="167"/>
        <v>7</v>
      </c>
      <c r="K2569" t="s">
        <v>6697</v>
      </c>
      <c r="L2569" t="s">
        <v>6695</v>
      </c>
      <c r="O2569" t="s">
        <v>6694</v>
      </c>
      <c r="P2569" t="s">
        <v>6694</v>
      </c>
      <c r="R2569" t="s">
        <v>6694</v>
      </c>
      <c r="S2569" t="s">
        <v>6694</v>
      </c>
      <c r="U2569" t="s">
        <v>6694</v>
      </c>
      <c r="V2569" t="s">
        <v>6694</v>
      </c>
      <c r="W2569" t="s">
        <v>6720</v>
      </c>
    </row>
    <row r="2570" spans="1:23" ht="15.6" x14ac:dyDescent="0.4">
      <c r="A2570" s="2" t="s">
        <v>2568</v>
      </c>
      <c r="B2570" s="5" t="s">
        <v>8974</v>
      </c>
      <c r="C2570" s="7" t="s">
        <v>12556</v>
      </c>
      <c r="D2570" s="8">
        <f t="shared" si="164"/>
        <v>0</v>
      </c>
      <c r="E2570" s="7" t="s">
        <v>12557</v>
      </c>
      <c r="F2570" s="7">
        <f t="shared" si="165"/>
        <v>1</v>
      </c>
      <c r="G2570" s="7" t="s">
        <v>12558</v>
      </c>
      <c r="H2570" s="7">
        <f t="shared" si="166"/>
        <v>1</v>
      </c>
      <c r="I2570" s="7" t="str" cm="1">
        <f t="array" ref="I2570">IFERROR(_xlfn.IFS(M2570="נח",1,M2570="נע ונח",1,M2570="שני שווא נח",2,M2570="שני שוואים בסוף מילה",2,M2570="שני שוואים ברצף",1),"0")</f>
        <v>0</v>
      </c>
      <c r="J2570" s="9">
        <f t="shared" si="167"/>
        <v>2</v>
      </c>
      <c r="K2570" t="s">
        <v>6698</v>
      </c>
      <c r="L2570" t="s">
        <v>6695</v>
      </c>
      <c r="P2570" t="s">
        <v>6694</v>
      </c>
      <c r="U2570" t="s">
        <v>6694</v>
      </c>
      <c r="W2570" t="s">
        <v>6720</v>
      </c>
    </row>
    <row r="2571" spans="1:23" ht="15.6" x14ac:dyDescent="0.4">
      <c r="A2571" s="2" t="s">
        <v>6129</v>
      </c>
      <c r="B2571" s="5" t="s">
        <v>8975</v>
      </c>
      <c r="C2571" s="7" t="s">
        <v>12556</v>
      </c>
      <c r="D2571" s="8">
        <f t="shared" si="164"/>
        <v>0</v>
      </c>
      <c r="E2571" s="7" t="s">
        <v>12557</v>
      </c>
      <c r="F2571" s="7">
        <f t="shared" si="165"/>
        <v>1</v>
      </c>
      <c r="G2571" s="7" t="s">
        <v>12558</v>
      </c>
      <c r="H2571" s="7">
        <f t="shared" si="166"/>
        <v>1</v>
      </c>
      <c r="I2571" s="7" cm="1">
        <f t="array" ref="I2571">IFERROR(_xlfn.IFS(M2571="נח",1,M2571="נע ונח",1,M2571="שני שווא נח",2,M2571="שני שוואים בסוף מילה",2,M2571="שני שוואים ברצף",1),"0")</f>
        <v>1</v>
      </c>
      <c r="J2571" s="9">
        <f t="shared" si="167"/>
        <v>3</v>
      </c>
      <c r="K2571" t="s">
        <v>6698</v>
      </c>
      <c r="L2571" t="s">
        <v>6694</v>
      </c>
      <c r="M2571" t="s">
        <v>6705</v>
      </c>
      <c r="P2571" t="s">
        <v>6694</v>
      </c>
      <c r="R2571" t="s">
        <v>6694</v>
      </c>
      <c r="U2571" t="s">
        <v>6694</v>
      </c>
      <c r="W2571" t="s">
        <v>6720</v>
      </c>
    </row>
    <row r="2572" spans="1:23" ht="15.6" x14ac:dyDescent="0.4">
      <c r="A2572" s="2" t="s">
        <v>3730</v>
      </c>
      <c r="B2572" s="5" t="s">
        <v>8976</v>
      </c>
      <c r="C2572" s="7" t="s">
        <v>12556</v>
      </c>
      <c r="D2572" s="8">
        <f t="shared" si="164"/>
        <v>0</v>
      </c>
      <c r="E2572" s="7" t="s">
        <v>12557</v>
      </c>
      <c r="F2572" s="7">
        <f t="shared" si="165"/>
        <v>1</v>
      </c>
      <c r="G2572" s="7" t="s">
        <v>12558</v>
      </c>
      <c r="H2572" s="7">
        <f t="shared" si="166"/>
        <v>1</v>
      </c>
      <c r="I2572" s="7" t="str" cm="1">
        <f t="array" ref="I2572">IFERROR(_xlfn.IFS(M2572="נח",1,M2572="נע ונח",1,M2572="שני שווא נח",2,M2572="שני שוואים בסוף מילה",2,M2572="שני שוואים ברצף",1),"0")</f>
        <v>0</v>
      </c>
      <c r="J2572" s="9">
        <f t="shared" si="167"/>
        <v>2</v>
      </c>
      <c r="K2572" t="s">
        <v>6698</v>
      </c>
      <c r="L2572" t="s">
        <v>6695</v>
      </c>
      <c r="P2572" t="s">
        <v>6694</v>
      </c>
      <c r="U2572" t="s">
        <v>6694</v>
      </c>
      <c r="W2572" t="s">
        <v>6720</v>
      </c>
    </row>
    <row r="2573" spans="1:23" ht="15.6" x14ac:dyDescent="0.4">
      <c r="A2573" s="2" t="s">
        <v>1246</v>
      </c>
      <c r="B2573" s="5" t="s">
        <v>8977</v>
      </c>
      <c r="C2573" s="7" t="s">
        <v>12556</v>
      </c>
      <c r="D2573" s="8">
        <f t="shared" si="164"/>
        <v>0</v>
      </c>
      <c r="E2573" s="7" t="s">
        <v>12557</v>
      </c>
      <c r="F2573" s="7">
        <f t="shared" si="165"/>
        <v>1</v>
      </c>
      <c r="G2573" s="7" t="s">
        <v>12558</v>
      </c>
      <c r="H2573" s="7">
        <f t="shared" si="166"/>
        <v>1</v>
      </c>
      <c r="I2573" s="7" t="str" cm="1">
        <f t="array" ref="I2573">IFERROR(_xlfn.IFS(M2573="נח",1,M2573="נע ונח",1,M2573="שני שווא נח",2,M2573="שני שוואים בסוף מילה",2,M2573="שני שוואים ברצף",1),"0")</f>
        <v>0</v>
      </c>
      <c r="J2573" s="9">
        <f t="shared" si="167"/>
        <v>4</v>
      </c>
      <c r="K2573" t="s">
        <v>6698</v>
      </c>
      <c r="L2573" t="s">
        <v>6695</v>
      </c>
      <c r="O2573" t="s">
        <v>6694</v>
      </c>
      <c r="R2573" t="s">
        <v>6694</v>
      </c>
      <c r="U2573" t="s">
        <v>6694</v>
      </c>
      <c r="W2573" t="s">
        <v>6720</v>
      </c>
    </row>
    <row r="2574" spans="1:23" ht="15.6" x14ac:dyDescent="0.4">
      <c r="A2574" s="2" t="s">
        <v>3010</v>
      </c>
      <c r="B2574" s="5" t="s">
        <v>8978</v>
      </c>
      <c r="C2574" s="7" t="s">
        <v>12556</v>
      </c>
      <c r="D2574" s="8">
        <f t="shared" si="164"/>
        <v>0</v>
      </c>
      <c r="E2574" s="7" t="s">
        <v>12557</v>
      </c>
      <c r="F2574" s="7">
        <f t="shared" si="165"/>
        <v>1</v>
      </c>
      <c r="G2574" s="7" t="s">
        <v>12558</v>
      </c>
      <c r="H2574" s="7">
        <f t="shared" si="166"/>
        <v>1</v>
      </c>
      <c r="I2574" s="7" t="str" cm="1">
        <f t="array" ref="I2574">IFERROR(_xlfn.IFS(M2574="נח",1,M2574="נע ונח",1,M2574="שני שווא נח",2,M2574="שני שוואים בסוף מילה",2,M2574="שני שוואים ברצף",1),"0")</f>
        <v>0</v>
      </c>
      <c r="J2574" s="9">
        <f t="shared" si="167"/>
        <v>3</v>
      </c>
      <c r="K2574" t="s">
        <v>6698</v>
      </c>
      <c r="L2574" t="s">
        <v>6695</v>
      </c>
      <c r="O2574" t="s">
        <v>6694</v>
      </c>
      <c r="R2574" t="s">
        <v>6694</v>
      </c>
      <c r="U2574" t="s">
        <v>6694</v>
      </c>
      <c r="W2574" t="s">
        <v>6720</v>
      </c>
    </row>
    <row r="2575" spans="1:23" ht="15.6" x14ac:dyDescent="0.4">
      <c r="A2575" s="2" t="s">
        <v>5790</v>
      </c>
      <c r="B2575" s="5" t="s">
        <v>8979</v>
      </c>
      <c r="C2575" s="7" t="s">
        <v>12556</v>
      </c>
      <c r="D2575" s="8">
        <f t="shared" si="164"/>
        <v>0</v>
      </c>
      <c r="E2575" s="7" t="s">
        <v>12557</v>
      </c>
      <c r="F2575" s="7">
        <f t="shared" si="165"/>
        <v>1</v>
      </c>
      <c r="G2575" s="7" t="s">
        <v>12558</v>
      </c>
      <c r="H2575" s="7">
        <f t="shared" si="166"/>
        <v>1</v>
      </c>
      <c r="I2575" s="7" t="str" cm="1">
        <f t="array" ref="I2575">IFERROR(_xlfn.IFS(M2575="נח",1,M2575="נע ונח",1,M2575="שני שווא נח",2,M2575="שני שוואים בסוף מילה",2,M2575="שני שוואים ברצף",1),"0")</f>
        <v>0</v>
      </c>
      <c r="J2575" s="9">
        <f t="shared" si="167"/>
        <v>4</v>
      </c>
      <c r="K2575" t="s">
        <v>6697</v>
      </c>
      <c r="L2575" t="s">
        <v>6695</v>
      </c>
      <c r="O2575" t="s">
        <v>6694</v>
      </c>
      <c r="S2575" t="s">
        <v>6694</v>
      </c>
      <c r="U2575" t="s">
        <v>6694</v>
      </c>
      <c r="W2575" t="s">
        <v>6720</v>
      </c>
    </row>
    <row r="2576" spans="1:23" ht="15.6" x14ac:dyDescent="0.4">
      <c r="A2576" s="2" t="s">
        <v>5390</v>
      </c>
      <c r="B2576" s="5" t="s">
        <v>8980</v>
      </c>
      <c r="C2576" s="7" t="s">
        <v>12556</v>
      </c>
      <c r="D2576" s="8">
        <f t="shared" si="164"/>
        <v>0</v>
      </c>
      <c r="E2576" s="7" t="s">
        <v>12557</v>
      </c>
      <c r="F2576" s="7">
        <f t="shared" si="165"/>
        <v>1</v>
      </c>
      <c r="G2576" s="7" t="s">
        <v>12558</v>
      </c>
      <c r="H2576" s="7">
        <f t="shared" si="166"/>
        <v>1</v>
      </c>
      <c r="I2576" s="7" t="str" cm="1">
        <f t="array" ref="I2576">IFERROR(_xlfn.IFS(M2576="נח",1,M2576="נע ונח",1,M2576="שני שווא נח",2,M2576="שני שוואים בסוף מילה",2,M2576="שני שוואים ברצף",1),"0")</f>
        <v>0</v>
      </c>
      <c r="J2576" s="9">
        <f t="shared" si="167"/>
        <v>3</v>
      </c>
      <c r="K2576" t="s">
        <v>6697</v>
      </c>
      <c r="L2576" t="s">
        <v>6695</v>
      </c>
      <c r="O2576" t="s">
        <v>6694</v>
      </c>
      <c r="S2576" t="s">
        <v>6694</v>
      </c>
      <c r="U2576" t="s">
        <v>6694</v>
      </c>
      <c r="W2576" t="s">
        <v>6720</v>
      </c>
    </row>
    <row r="2577" spans="1:23" ht="15.6" x14ac:dyDescent="0.4">
      <c r="A2577" s="2" t="s">
        <v>777</v>
      </c>
      <c r="B2577" s="5" t="s">
        <v>8981</v>
      </c>
      <c r="C2577" s="7" t="s">
        <v>12556</v>
      </c>
      <c r="D2577" s="8">
        <f t="shared" si="164"/>
        <v>0</v>
      </c>
      <c r="E2577" s="7" t="s">
        <v>12557</v>
      </c>
      <c r="F2577" s="7">
        <f t="shared" si="165"/>
        <v>1</v>
      </c>
      <c r="G2577" s="7" t="s">
        <v>12558</v>
      </c>
      <c r="H2577" s="7">
        <f t="shared" si="166"/>
        <v>1</v>
      </c>
      <c r="I2577" s="7" cm="1">
        <f t="array" ref="I2577">IFERROR(_xlfn.IFS(M2577="נח",1,M2577="נע ונח",1,M2577="שני שווא נח",2,M2577="שני שוואים בסוף מילה",2,M2577="שני שוואים ברצף",1),"0")</f>
        <v>1</v>
      </c>
      <c r="J2577" s="9">
        <f t="shared" si="167"/>
        <v>3</v>
      </c>
      <c r="K2577" t="s">
        <v>6698</v>
      </c>
      <c r="L2577" t="s">
        <v>6694</v>
      </c>
      <c r="M2577" t="s">
        <v>6705</v>
      </c>
      <c r="O2577" t="s">
        <v>6694</v>
      </c>
      <c r="Q2577" t="s">
        <v>6694</v>
      </c>
      <c r="U2577" t="s">
        <v>6694</v>
      </c>
      <c r="W2577" t="s">
        <v>6720</v>
      </c>
    </row>
    <row r="2578" spans="1:23" ht="15.6" x14ac:dyDescent="0.4">
      <c r="A2578" s="2" t="s">
        <v>1418</v>
      </c>
      <c r="B2578" s="5" t="s">
        <v>8982</v>
      </c>
      <c r="C2578" s="7" t="s">
        <v>12556</v>
      </c>
      <c r="D2578" s="8">
        <f t="shared" si="164"/>
        <v>0</v>
      </c>
      <c r="E2578" s="7" t="s">
        <v>12557</v>
      </c>
      <c r="F2578" s="7">
        <f t="shared" si="165"/>
        <v>1</v>
      </c>
      <c r="G2578" s="7" t="s">
        <v>12558</v>
      </c>
      <c r="H2578" s="7">
        <f t="shared" si="166"/>
        <v>1</v>
      </c>
      <c r="I2578" s="7" t="str" cm="1">
        <f t="array" ref="I2578">IFERROR(_xlfn.IFS(M2578="נח",1,M2578="נע ונח",1,M2578="שני שווא נח",2,M2578="שני שוואים בסוף מילה",2,M2578="שני שוואים ברצף",1),"0")</f>
        <v>0</v>
      </c>
      <c r="J2578" s="9">
        <f t="shared" si="167"/>
        <v>3</v>
      </c>
      <c r="K2578" t="s">
        <v>6698</v>
      </c>
      <c r="L2578" t="s">
        <v>6695</v>
      </c>
      <c r="N2578" t="s">
        <v>6706</v>
      </c>
      <c r="O2578" t="s">
        <v>6694</v>
      </c>
      <c r="U2578" t="s">
        <v>6694</v>
      </c>
      <c r="W2578" t="s">
        <v>6720</v>
      </c>
    </row>
    <row r="2579" spans="1:23" ht="15.6" x14ac:dyDescent="0.4">
      <c r="A2579" s="2" t="s">
        <v>1865</v>
      </c>
      <c r="B2579" s="5" t="s">
        <v>8983</v>
      </c>
      <c r="C2579" s="7" t="s">
        <v>12556</v>
      </c>
      <c r="D2579" s="8">
        <f t="shared" si="164"/>
        <v>0</v>
      </c>
      <c r="E2579" s="7" t="s">
        <v>12557</v>
      </c>
      <c r="F2579" s="7">
        <f t="shared" si="165"/>
        <v>2</v>
      </c>
      <c r="G2579" s="7" t="s">
        <v>12558</v>
      </c>
      <c r="H2579" s="7">
        <f t="shared" si="166"/>
        <v>2</v>
      </c>
      <c r="I2579" s="7" cm="1">
        <f t="array" ref="I2579">IFERROR(_xlfn.IFS(M2579="נח",1,M2579="נע ונח",1,M2579="שני שווא נח",2,M2579="שני שוואים בסוף מילה",2,M2579="שני שוואים ברצף",1),"0")</f>
        <v>1</v>
      </c>
      <c r="J2579" s="9">
        <f t="shared" si="167"/>
        <v>3</v>
      </c>
      <c r="K2579" t="s">
        <v>6698</v>
      </c>
      <c r="L2579" t="s">
        <v>6694</v>
      </c>
      <c r="M2579" t="s">
        <v>6705</v>
      </c>
      <c r="O2579" t="s">
        <v>6694</v>
      </c>
      <c r="U2579" t="s">
        <v>6694</v>
      </c>
      <c r="W2579" t="s">
        <v>6720</v>
      </c>
    </row>
    <row r="2580" spans="1:23" ht="15.6" x14ac:dyDescent="0.4">
      <c r="A2580" s="2" t="s">
        <v>4620</v>
      </c>
      <c r="B2580" s="5" t="s">
        <v>8984</v>
      </c>
      <c r="C2580" s="7" t="s">
        <v>12556</v>
      </c>
      <c r="D2580" s="8">
        <f t="shared" si="164"/>
        <v>1</v>
      </c>
      <c r="E2580" s="7" t="s">
        <v>12557</v>
      </c>
      <c r="F2580" s="7">
        <f t="shared" si="165"/>
        <v>2</v>
      </c>
      <c r="G2580" s="7" t="s">
        <v>12558</v>
      </c>
      <c r="H2580" s="7">
        <f t="shared" si="166"/>
        <v>1</v>
      </c>
      <c r="I2580" s="7" cm="1">
        <f t="array" ref="I2580">IFERROR(_xlfn.IFS(M2580="נח",1,M2580="נע ונח",1,M2580="שני שווא נח",2,M2580="שני שוואים בסוף מילה",2,M2580="שני שוואים ברצף",1),"0")</f>
        <v>1</v>
      </c>
      <c r="J2580" s="9">
        <f t="shared" si="167"/>
        <v>3</v>
      </c>
      <c r="K2580" t="s">
        <v>6697</v>
      </c>
      <c r="L2580" t="s">
        <v>6694</v>
      </c>
      <c r="M2580" t="s">
        <v>6705</v>
      </c>
      <c r="O2580" t="s">
        <v>6694</v>
      </c>
      <c r="S2580" t="s">
        <v>6694</v>
      </c>
      <c r="U2580" t="s">
        <v>6694</v>
      </c>
      <c r="W2580" t="s">
        <v>6720</v>
      </c>
    </row>
    <row r="2581" spans="1:23" ht="15.6" x14ac:dyDescent="0.4">
      <c r="A2581" s="2" t="s">
        <v>5134</v>
      </c>
      <c r="B2581" s="5" t="s">
        <v>8985</v>
      </c>
      <c r="C2581" s="7" t="s">
        <v>12556</v>
      </c>
      <c r="D2581" s="8">
        <f t="shared" si="164"/>
        <v>0</v>
      </c>
      <c r="E2581" s="7" t="s">
        <v>12557</v>
      </c>
      <c r="F2581" s="7">
        <f t="shared" si="165"/>
        <v>1</v>
      </c>
      <c r="G2581" s="7" t="s">
        <v>12558</v>
      </c>
      <c r="H2581" s="7">
        <f t="shared" si="166"/>
        <v>1</v>
      </c>
      <c r="I2581" s="7" t="str" cm="1">
        <f t="array" ref="I2581">IFERROR(_xlfn.IFS(M2581="נח",1,M2581="נע ונח",1,M2581="שני שווא נח",2,M2581="שני שוואים בסוף מילה",2,M2581="שני שוואים ברצף",1),"0")</f>
        <v>0</v>
      </c>
      <c r="J2581" s="9">
        <f t="shared" si="167"/>
        <v>4</v>
      </c>
      <c r="K2581" t="s">
        <v>6697</v>
      </c>
      <c r="L2581" t="s">
        <v>6695</v>
      </c>
      <c r="P2581" t="s">
        <v>6694</v>
      </c>
      <c r="Q2581" t="s">
        <v>6694</v>
      </c>
      <c r="U2581" t="s">
        <v>6694</v>
      </c>
      <c r="V2581" t="s">
        <v>6694</v>
      </c>
      <c r="W2581" t="s">
        <v>6720</v>
      </c>
    </row>
    <row r="2582" spans="1:23" ht="15.6" x14ac:dyDescent="0.4">
      <c r="A2582" s="2" t="s">
        <v>5589</v>
      </c>
      <c r="B2582" s="5" t="s">
        <v>8986</v>
      </c>
      <c r="C2582" s="7" t="s">
        <v>12556</v>
      </c>
      <c r="D2582" s="8">
        <f t="shared" si="164"/>
        <v>0</v>
      </c>
      <c r="E2582" s="7" t="s">
        <v>12557</v>
      </c>
      <c r="F2582" s="7">
        <f t="shared" si="165"/>
        <v>1</v>
      </c>
      <c r="G2582" s="7" t="s">
        <v>12558</v>
      </c>
      <c r="H2582" s="7">
        <f t="shared" si="166"/>
        <v>1</v>
      </c>
      <c r="I2582" s="7" t="str" cm="1">
        <f t="array" ref="I2582">IFERROR(_xlfn.IFS(M2582="נח",1,M2582="נע ונח",1,M2582="שני שווא נח",2,M2582="שני שוואים בסוף מילה",2,M2582="שני שוואים ברצף",1),"0")</f>
        <v>0</v>
      </c>
      <c r="J2582" s="9">
        <f t="shared" si="167"/>
        <v>4</v>
      </c>
      <c r="K2582" t="s">
        <v>6697</v>
      </c>
      <c r="L2582" t="s">
        <v>6695</v>
      </c>
      <c r="P2582" t="s">
        <v>6694</v>
      </c>
      <c r="Q2582" t="s">
        <v>6694</v>
      </c>
      <c r="U2582" t="s">
        <v>6694</v>
      </c>
      <c r="V2582" t="s">
        <v>6694</v>
      </c>
      <c r="W2582" t="s">
        <v>6720</v>
      </c>
    </row>
    <row r="2583" spans="1:23" ht="15.6" x14ac:dyDescent="0.4">
      <c r="A2583" s="2" t="s">
        <v>3646</v>
      </c>
      <c r="B2583" s="5" t="s">
        <v>8987</v>
      </c>
      <c r="C2583" s="7" t="s">
        <v>12556</v>
      </c>
      <c r="D2583" s="8">
        <f t="shared" si="164"/>
        <v>1</v>
      </c>
      <c r="E2583" s="7" t="s">
        <v>12557</v>
      </c>
      <c r="F2583" s="7">
        <f t="shared" si="165"/>
        <v>1</v>
      </c>
      <c r="G2583" s="7" t="s">
        <v>12558</v>
      </c>
      <c r="H2583" s="7">
        <f t="shared" si="166"/>
        <v>1</v>
      </c>
      <c r="I2583" s="7" t="str" cm="1">
        <f t="array" ref="I2583">IFERROR(_xlfn.IFS(M2583="נח",1,M2583="נע ונח",1,M2583="שני שווא נח",2,M2583="שני שוואים בסוף מילה",2,M2583="שני שוואים ברצף",1),"0")</f>
        <v>0</v>
      </c>
      <c r="J2583" s="9">
        <f t="shared" si="167"/>
        <v>3</v>
      </c>
      <c r="K2583" t="s">
        <v>6698</v>
      </c>
      <c r="L2583" t="s">
        <v>6695</v>
      </c>
      <c r="R2583" t="s">
        <v>6694</v>
      </c>
      <c r="U2583" t="s">
        <v>6694</v>
      </c>
      <c r="V2583" t="s">
        <v>6694</v>
      </c>
      <c r="W2583" t="s">
        <v>6720</v>
      </c>
    </row>
    <row r="2584" spans="1:23" ht="15.6" x14ac:dyDescent="0.4">
      <c r="A2584" s="2" t="s">
        <v>2917</v>
      </c>
      <c r="B2584" s="5" t="s">
        <v>8988</v>
      </c>
      <c r="C2584" s="7" t="s">
        <v>12556</v>
      </c>
      <c r="D2584" s="8">
        <f t="shared" si="164"/>
        <v>0</v>
      </c>
      <c r="E2584" s="7" t="s">
        <v>12557</v>
      </c>
      <c r="F2584" s="7">
        <f t="shared" si="165"/>
        <v>1</v>
      </c>
      <c r="G2584" s="7" t="s">
        <v>12558</v>
      </c>
      <c r="H2584" s="7">
        <f t="shared" si="166"/>
        <v>1</v>
      </c>
      <c r="I2584" s="7" t="str" cm="1">
        <f t="array" ref="I2584">IFERROR(_xlfn.IFS(M2584="נח",1,M2584="נע ונח",1,M2584="שני שווא נח",2,M2584="שני שוואים בסוף מילה",2,M2584="שני שוואים ברצף",1),"0")</f>
        <v>0</v>
      </c>
      <c r="J2584" s="9">
        <f t="shared" si="167"/>
        <v>2</v>
      </c>
      <c r="K2584" t="s">
        <v>6697</v>
      </c>
      <c r="L2584" t="s">
        <v>6695</v>
      </c>
      <c r="U2584" t="s">
        <v>6694</v>
      </c>
      <c r="V2584" t="s">
        <v>6694</v>
      </c>
      <c r="W2584" t="s">
        <v>6720</v>
      </c>
    </row>
    <row r="2585" spans="1:23" ht="15.6" x14ac:dyDescent="0.4">
      <c r="A2585" s="2" t="s">
        <v>3075</v>
      </c>
      <c r="B2585" s="5" t="s">
        <v>8989</v>
      </c>
      <c r="C2585" s="7" t="s">
        <v>12556</v>
      </c>
      <c r="D2585" s="8">
        <f t="shared" si="164"/>
        <v>0</v>
      </c>
      <c r="E2585" s="7" t="s">
        <v>12557</v>
      </c>
      <c r="F2585" s="7">
        <f t="shared" si="165"/>
        <v>1</v>
      </c>
      <c r="G2585" s="7" t="s">
        <v>12558</v>
      </c>
      <c r="H2585" s="7">
        <f t="shared" si="166"/>
        <v>1</v>
      </c>
      <c r="I2585" s="7" cm="1">
        <f t="array" ref="I2585">IFERROR(_xlfn.IFS(M2585="נח",1,M2585="נע ונח",1,M2585="שני שווא נח",2,M2585="שני שוואים בסוף מילה",2,M2585="שני שוואים ברצף",1),"0")</f>
        <v>1</v>
      </c>
      <c r="J2585" s="9">
        <f t="shared" si="167"/>
        <v>3</v>
      </c>
      <c r="K2585" t="s">
        <v>6698</v>
      </c>
      <c r="L2585" t="s">
        <v>6694</v>
      </c>
      <c r="M2585" t="s">
        <v>6705</v>
      </c>
      <c r="O2585" t="s">
        <v>6694</v>
      </c>
      <c r="U2585" t="s">
        <v>6694</v>
      </c>
      <c r="V2585" t="s">
        <v>6694</v>
      </c>
      <c r="W2585" t="s">
        <v>6720</v>
      </c>
    </row>
    <row r="2586" spans="1:23" ht="15.6" x14ac:dyDescent="0.4">
      <c r="A2586" s="2" t="s">
        <v>5769</v>
      </c>
      <c r="B2586" s="5" t="s">
        <v>8990</v>
      </c>
      <c r="C2586" s="7" t="s">
        <v>12556</v>
      </c>
      <c r="D2586" s="8">
        <f t="shared" si="164"/>
        <v>0</v>
      </c>
      <c r="E2586" s="7" t="s">
        <v>12557</v>
      </c>
      <c r="F2586" s="7">
        <f t="shared" si="165"/>
        <v>1</v>
      </c>
      <c r="G2586" s="7" t="s">
        <v>12558</v>
      </c>
      <c r="H2586" s="7">
        <f t="shared" si="166"/>
        <v>1</v>
      </c>
      <c r="I2586" s="7" cm="1">
        <f t="array" ref="I2586">IFERROR(_xlfn.IFS(M2586="נח",1,M2586="נע ונח",1,M2586="שני שווא נח",2,M2586="שני שוואים בסוף מילה",2,M2586="שני שוואים ברצף",1),"0")</f>
        <v>1</v>
      </c>
      <c r="J2586" s="9">
        <f t="shared" si="167"/>
        <v>2</v>
      </c>
      <c r="K2586" t="s">
        <v>6698</v>
      </c>
      <c r="L2586" t="s">
        <v>6694</v>
      </c>
      <c r="M2586" t="s">
        <v>6705</v>
      </c>
      <c r="P2586" t="s">
        <v>6694</v>
      </c>
      <c r="U2586" t="s">
        <v>6694</v>
      </c>
      <c r="W2586" t="s">
        <v>6720</v>
      </c>
    </row>
    <row r="2587" spans="1:23" ht="15.6" x14ac:dyDescent="0.4">
      <c r="A2587" s="2" t="s">
        <v>602</v>
      </c>
      <c r="B2587" s="5" t="s">
        <v>8991</v>
      </c>
      <c r="C2587" s="7" t="s">
        <v>12556</v>
      </c>
      <c r="D2587" s="8">
        <f t="shared" si="164"/>
        <v>0</v>
      </c>
      <c r="E2587" s="7" t="s">
        <v>12557</v>
      </c>
      <c r="F2587" s="7">
        <f t="shared" si="165"/>
        <v>2</v>
      </c>
      <c r="G2587" s="7" t="s">
        <v>12558</v>
      </c>
      <c r="H2587" s="7">
        <f t="shared" si="166"/>
        <v>2</v>
      </c>
      <c r="I2587" s="7" cm="1">
        <f t="array" ref="I2587">IFERROR(_xlfn.IFS(M2587="נח",1,M2587="נע ונח",1,M2587="שני שווא נח",2,M2587="שני שוואים בסוף מילה",2,M2587="שני שוואים ברצף",1),"0")</f>
        <v>1</v>
      </c>
      <c r="J2587" s="9">
        <f t="shared" si="167"/>
        <v>2</v>
      </c>
      <c r="K2587" t="s">
        <v>6697</v>
      </c>
      <c r="L2587" t="s">
        <v>6694</v>
      </c>
      <c r="M2587" t="s">
        <v>6705</v>
      </c>
      <c r="U2587" t="s">
        <v>6694</v>
      </c>
      <c r="W2587" t="s">
        <v>6720</v>
      </c>
    </row>
    <row r="2588" spans="1:23" ht="15.6" x14ac:dyDescent="0.4">
      <c r="A2588" s="2" t="s">
        <v>4890</v>
      </c>
      <c r="B2588" s="5" t="s">
        <v>8992</v>
      </c>
      <c r="C2588" s="7" t="s">
        <v>12556</v>
      </c>
      <c r="D2588" s="8">
        <f t="shared" si="164"/>
        <v>0</v>
      </c>
      <c r="E2588" s="7" t="s">
        <v>12557</v>
      </c>
      <c r="F2588" s="7">
        <f t="shared" si="165"/>
        <v>1</v>
      </c>
      <c r="G2588" s="7" t="s">
        <v>12558</v>
      </c>
      <c r="H2588" s="7">
        <f t="shared" si="166"/>
        <v>1</v>
      </c>
      <c r="I2588" s="7" cm="1">
        <f t="array" ref="I2588">IFERROR(_xlfn.IFS(M2588="נח",1,M2588="נע ונח",1,M2588="שני שווא נח",2,M2588="שני שוואים בסוף מילה",2,M2588="שני שוואים ברצף",1),"0")</f>
        <v>1</v>
      </c>
      <c r="J2588" s="9">
        <f t="shared" si="167"/>
        <v>2</v>
      </c>
      <c r="K2588" t="s">
        <v>6698</v>
      </c>
      <c r="L2588" t="s">
        <v>6694</v>
      </c>
      <c r="M2588" t="s">
        <v>6705</v>
      </c>
      <c r="U2588" t="s">
        <v>6694</v>
      </c>
      <c r="V2588" t="s">
        <v>6694</v>
      </c>
      <c r="W2588" t="s">
        <v>6720</v>
      </c>
    </row>
    <row r="2589" spans="1:23" ht="15.6" x14ac:dyDescent="0.4">
      <c r="A2589" s="2" t="s">
        <v>1670</v>
      </c>
      <c r="B2589" s="5" t="s">
        <v>8993</v>
      </c>
      <c r="C2589" s="7" t="s">
        <v>12556</v>
      </c>
      <c r="D2589" s="8">
        <f t="shared" si="164"/>
        <v>0</v>
      </c>
      <c r="E2589" s="7" t="s">
        <v>12557</v>
      </c>
      <c r="F2589" s="7">
        <f t="shared" si="165"/>
        <v>1</v>
      </c>
      <c r="G2589" s="7" t="s">
        <v>12558</v>
      </c>
      <c r="H2589" s="7">
        <f t="shared" si="166"/>
        <v>1</v>
      </c>
      <c r="I2589" s="7" cm="1">
        <f t="array" ref="I2589">IFERROR(_xlfn.IFS(M2589="נח",1,M2589="נע ונח",1,M2589="שני שווא נח",2,M2589="שני שוואים בסוף מילה",2,M2589="שני שוואים ברצף",1),"0")</f>
        <v>1</v>
      </c>
      <c r="J2589" s="9">
        <f t="shared" si="167"/>
        <v>3</v>
      </c>
      <c r="K2589" t="s">
        <v>6698</v>
      </c>
      <c r="L2589" t="s">
        <v>6694</v>
      </c>
      <c r="M2589" t="s">
        <v>6705</v>
      </c>
      <c r="N2589" t="s">
        <v>6706</v>
      </c>
      <c r="O2589" t="s">
        <v>6694</v>
      </c>
      <c r="Q2589" t="s">
        <v>6694</v>
      </c>
      <c r="U2589" t="s">
        <v>6694</v>
      </c>
      <c r="W2589" t="s">
        <v>6720</v>
      </c>
    </row>
    <row r="2590" spans="1:23" ht="15.6" x14ac:dyDescent="0.4">
      <c r="A2590" s="2" t="s">
        <v>3610</v>
      </c>
      <c r="B2590" s="5" t="s">
        <v>8994</v>
      </c>
      <c r="C2590" s="7" t="s">
        <v>12556</v>
      </c>
      <c r="D2590" s="8">
        <f t="shared" si="164"/>
        <v>0</v>
      </c>
      <c r="E2590" s="7" t="s">
        <v>12557</v>
      </c>
      <c r="F2590" s="7">
        <f t="shared" si="165"/>
        <v>1</v>
      </c>
      <c r="G2590" s="7" t="s">
        <v>12558</v>
      </c>
      <c r="H2590" s="7">
        <f t="shared" si="166"/>
        <v>1</v>
      </c>
      <c r="I2590" s="7" cm="1">
        <f t="array" ref="I2590">IFERROR(_xlfn.IFS(M2590="נח",1,M2590="נע ונח",1,M2590="שני שווא נח",2,M2590="שני שוואים בסוף מילה",2,M2590="שני שוואים ברצף",1),"0")</f>
        <v>1</v>
      </c>
      <c r="J2590" s="9">
        <f t="shared" si="167"/>
        <v>4</v>
      </c>
      <c r="K2590" t="s">
        <v>6697</v>
      </c>
      <c r="L2590" t="s">
        <v>6694</v>
      </c>
      <c r="M2590" t="s">
        <v>6705</v>
      </c>
      <c r="O2590" t="s">
        <v>6694</v>
      </c>
      <c r="P2590" t="s">
        <v>6694</v>
      </c>
      <c r="U2590" t="s">
        <v>6694</v>
      </c>
      <c r="V2590" t="s">
        <v>6694</v>
      </c>
      <c r="W2590" t="s">
        <v>6720</v>
      </c>
    </row>
    <row r="2591" spans="1:23" ht="15.6" x14ac:dyDescent="0.4">
      <c r="A2591" s="2" t="s">
        <v>5547</v>
      </c>
      <c r="B2591" s="5" t="s">
        <v>8995</v>
      </c>
      <c r="C2591" s="7" t="s">
        <v>12556</v>
      </c>
      <c r="D2591" s="8">
        <f t="shared" si="164"/>
        <v>0</v>
      </c>
      <c r="E2591" s="7" t="s">
        <v>12557</v>
      </c>
      <c r="F2591" s="7">
        <f t="shared" si="165"/>
        <v>1</v>
      </c>
      <c r="G2591" s="7" t="s">
        <v>12558</v>
      </c>
      <c r="H2591" s="7">
        <f t="shared" si="166"/>
        <v>1</v>
      </c>
      <c r="I2591" s="7" cm="1">
        <f t="array" ref="I2591">IFERROR(_xlfn.IFS(M2591="נח",1,M2591="נע ונח",1,M2591="שני שווא נח",2,M2591="שני שוואים בסוף מילה",2,M2591="שני שוואים ברצף",1),"0")</f>
        <v>1</v>
      </c>
      <c r="J2591" s="9">
        <f t="shared" si="167"/>
        <v>3</v>
      </c>
      <c r="K2591" t="s">
        <v>6697</v>
      </c>
      <c r="L2591" t="s">
        <v>6694</v>
      </c>
      <c r="M2591" t="s">
        <v>6705</v>
      </c>
      <c r="P2591" t="s">
        <v>6694</v>
      </c>
      <c r="U2591" t="s">
        <v>6694</v>
      </c>
      <c r="V2591" t="s">
        <v>6694</v>
      </c>
      <c r="W2591" t="s">
        <v>6720</v>
      </c>
    </row>
    <row r="2592" spans="1:23" ht="15.6" x14ac:dyDescent="0.4">
      <c r="A2592" s="2" t="s">
        <v>3608</v>
      </c>
      <c r="B2592" s="5" t="s">
        <v>8996</v>
      </c>
      <c r="C2592" s="7" t="s">
        <v>12556</v>
      </c>
      <c r="D2592" s="8">
        <f t="shared" si="164"/>
        <v>0</v>
      </c>
      <c r="E2592" s="7" t="s">
        <v>12557</v>
      </c>
      <c r="F2592" s="7">
        <f t="shared" si="165"/>
        <v>1</v>
      </c>
      <c r="G2592" s="7" t="s">
        <v>12558</v>
      </c>
      <c r="H2592" s="7">
        <f t="shared" si="166"/>
        <v>1</v>
      </c>
      <c r="I2592" s="7" cm="1">
        <f t="array" ref="I2592">IFERROR(_xlfn.IFS(M2592="נח",1,M2592="נע ונח",1,M2592="שני שווא נח",2,M2592="שני שוואים בסוף מילה",2,M2592="שני שוואים ברצף",1),"0")</f>
        <v>1</v>
      </c>
      <c r="J2592" s="9">
        <f t="shared" si="167"/>
        <v>3</v>
      </c>
      <c r="K2592" t="s">
        <v>6698</v>
      </c>
      <c r="L2592" t="s">
        <v>6694</v>
      </c>
      <c r="M2592" t="s">
        <v>6705</v>
      </c>
      <c r="N2592" t="s">
        <v>6706</v>
      </c>
      <c r="O2592" t="s">
        <v>6694</v>
      </c>
      <c r="U2592" t="s">
        <v>6694</v>
      </c>
      <c r="V2592" t="s">
        <v>6694</v>
      </c>
      <c r="W2592" t="s">
        <v>6720</v>
      </c>
    </row>
    <row r="2593" spans="1:23" ht="15.6" x14ac:dyDescent="0.4">
      <c r="A2593" s="2" t="s">
        <v>1941</v>
      </c>
      <c r="B2593" s="5" t="s">
        <v>8997</v>
      </c>
      <c r="C2593" s="7" t="s">
        <v>12556</v>
      </c>
      <c r="D2593" s="8">
        <f t="shared" si="164"/>
        <v>0</v>
      </c>
      <c r="E2593" s="7" t="s">
        <v>12557</v>
      </c>
      <c r="F2593" s="7">
        <f t="shared" si="165"/>
        <v>2</v>
      </c>
      <c r="G2593" s="7" t="s">
        <v>12558</v>
      </c>
      <c r="H2593" s="7">
        <f t="shared" si="166"/>
        <v>1</v>
      </c>
      <c r="I2593" s="7" cm="1">
        <f t="array" ref="I2593">IFERROR(_xlfn.IFS(M2593="נח",1,M2593="נע ונח",1,M2593="שני שווא נח",2,M2593="שני שוואים בסוף מילה",2,M2593="שני שוואים ברצף",1),"0")</f>
        <v>1</v>
      </c>
      <c r="J2593" s="9">
        <f t="shared" si="167"/>
        <v>3</v>
      </c>
      <c r="K2593" t="s">
        <v>6698</v>
      </c>
      <c r="L2593" t="s">
        <v>6694</v>
      </c>
      <c r="M2593" t="s">
        <v>6705</v>
      </c>
      <c r="Q2593" t="s">
        <v>6694</v>
      </c>
      <c r="S2593" t="s">
        <v>6694</v>
      </c>
      <c r="U2593" t="s">
        <v>6694</v>
      </c>
      <c r="W2593" t="s">
        <v>6720</v>
      </c>
    </row>
    <row r="2594" spans="1:23" ht="15.6" x14ac:dyDescent="0.4">
      <c r="A2594" s="2" t="s">
        <v>3444</v>
      </c>
      <c r="B2594" s="5" t="s">
        <v>8998</v>
      </c>
      <c r="C2594" s="7" t="s">
        <v>12556</v>
      </c>
      <c r="D2594" s="8">
        <f t="shared" si="164"/>
        <v>0</v>
      </c>
      <c r="E2594" s="7" t="s">
        <v>12557</v>
      </c>
      <c r="F2594" s="7">
        <f t="shared" si="165"/>
        <v>1</v>
      </c>
      <c r="G2594" s="7" t="s">
        <v>12558</v>
      </c>
      <c r="H2594" s="7">
        <f t="shared" si="166"/>
        <v>1</v>
      </c>
      <c r="I2594" s="7" cm="1">
        <f t="array" ref="I2594">IFERROR(_xlfn.IFS(M2594="נח",1,M2594="נע ונח",1,M2594="שני שווא נח",2,M2594="שני שוואים בסוף מילה",2,M2594="שני שוואים ברצף",1),"0")</f>
        <v>1</v>
      </c>
      <c r="J2594" s="9">
        <f t="shared" si="167"/>
        <v>3</v>
      </c>
      <c r="K2594" t="s">
        <v>6697</v>
      </c>
      <c r="L2594" t="s">
        <v>6694</v>
      </c>
      <c r="M2594" t="s">
        <v>6705</v>
      </c>
      <c r="Q2594" t="s">
        <v>6694</v>
      </c>
      <c r="S2594" t="s">
        <v>6694</v>
      </c>
      <c r="U2594" t="s">
        <v>6694</v>
      </c>
      <c r="W2594" t="s">
        <v>6720</v>
      </c>
    </row>
    <row r="2595" spans="1:23" ht="15.6" x14ac:dyDescent="0.4">
      <c r="A2595" s="2" t="s">
        <v>5504</v>
      </c>
      <c r="B2595" s="5" t="s">
        <v>8999</v>
      </c>
      <c r="C2595" s="7" t="s">
        <v>12556</v>
      </c>
      <c r="D2595" s="8">
        <f t="shared" si="164"/>
        <v>0</v>
      </c>
      <c r="E2595" s="7" t="s">
        <v>12557</v>
      </c>
      <c r="F2595" s="7">
        <f t="shared" si="165"/>
        <v>1</v>
      </c>
      <c r="G2595" s="7" t="s">
        <v>12558</v>
      </c>
      <c r="H2595" s="7">
        <f t="shared" si="166"/>
        <v>1</v>
      </c>
      <c r="I2595" s="7" cm="1">
        <f t="array" ref="I2595">IFERROR(_xlfn.IFS(M2595="נח",1,M2595="נע ונח",1,M2595="שני שווא נח",2,M2595="שני שוואים בסוף מילה",2,M2595="שני שוואים ברצף",1),"0")</f>
        <v>1</v>
      </c>
      <c r="J2595" s="9">
        <f t="shared" si="167"/>
        <v>3</v>
      </c>
      <c r="K2595" t="s">
        <v>6698</v>
      </c>
      <c r="L2595" t="s">
        <v>6694</v>
      </c>
      <c r="M2595" t="s">
        <v>6705</v>
      </c>
      <c r="P2595" t="s">
        <v>6694</v>
      </c>
      <c r="U2595" t="s">
        <v>6694</v>
      </c>
      <c r="W2595" t="s">
        <v>6720</v>
      </c>
    </row>
    <row r="2596" spans="1:23" ht="15.6" x14ac:dyDescent="0.4">
      <c r="A2596" s="2" t="s">
        <v>4306</v>
      </c>
      <c r="B2596" s="5" t="s">
        <v>9000</v>
      </c>
      <c r="C2596" s="7" t="s">
        <v>12556</v>
      </c>
      <c r="D2596" s="8">
        <f t="shared" si="164"/>
        <v>0</v>
      </c>
      <c r="E2596" s="7" t="s">
        <v>12557</v>
      </c>
      <c r="F2596" s="7">
        <f t="shared" si="165"/>
        <v>1</v>
      </c>
      <c r="G2596" s="7" t="s">
        <v>12558</v>
      </c>
      <c r="H2596" s="7">
        <f t="shared" si="166"/>
        <v>1</v>
      </c>
      <c r="I2596" s="7" cm="1">
        <f t="array" ref="I2596">IFERROR(_xlfn.IFS(M2596="נח",1,M2596="נע ונח",1,M2596="שני שווא נח",2,M2596="שני שוואים בסוף מילה",2,M2596="שני שוואים ברצף",1),"0")</f>
        <v>1</v>
      </c>
      <c r="J2596" s="9">
        <f t="shared" si="167"/>
        <v>3</v>
      </c>
      <c r="K2596" t="s">
        <v>6697</v>
      </c>
      <c r="L2596" t="s">
        <v>6694</v>
      </c>
      <c r="M2596" t="s">
        <v>6705</v>
      </c>
      <c r="S2596" t="s">
        <v>6694</v>
      </c>
      <c r="U2596" t="s">
        <v>6694</v>
      </c>
      <c r="V2596" t="s">
        <v>6694</v>
      </c>
      <c r="W2596" t="s">
        <v>6720</v>
      </c>
    </row>
    <row r="2597" spans="1:23" ht="15.6" x14ac:dyDescent="0.4">
      <c r="A2597" s="2" t="s">
        <v>6604</v>
      </c>
      <c r="B2597" s="5" t="s">
        <v>9001</v>
      </c>
      <c r="C2597" s="7" t="s">
        <v>12556</v>
      </c>
      <c r="D2597" s="8">
        <f t="shared" si="164"/>
        <v>0</v>
      </c>
      <c r="E2597" s="7" t="s">
        <v>12557</v>
      </c>
      <c r="F2597" s="7">
        <f t="shared" si="165"/>
        <v>1</v>
      </c>
      <c r="G2597" s="7" t="s">
        <v>12558</v>
      </c>
      <c r="H2597" s="7">
        <f t="shared" si="166"/>
        <v>1</v>
      </c>
      <c r="I2597" s="7" cm="1">
        <f t="array" ref="I2597">IFERROR(_xlfn.IFS(M2597="נח",1,M2597="נע ונח",1,M2597="שני שווא נח",2,M2597="שני שוואים בסוף מילה",2,M2597="שני שוואים ברצף",1),"0")</f>
        <v>1</v>
      </c>
      <c r="J2597" s="9">
        <f t="shared" si="167"/>
        <v>4</v>
      </c>
      <c r="K2597" t="s">
        <v>6697</v>
      </c>
      <c r="L2597" t="s">
        <v>6694</v>
      </c>
      <c r="M2597" t="s">
        <v>6705</v>
      </c>
      <c r="O2597" t="s">
        <v>6694</v>
      </c>
      <c r="R2597" t="s">
        <v>6694</v>
      </c>
      <c r="U2597" t="s">
        <v>6694</v>
      </c>
      <c r="V2597" t="s">
        <v>6694</v>
      </c>
      <c r="W2597" t="s">
        <v>6720</v>
      </c>
    </row>
    <row r="2598" spans="1:23" ht="15.6" x14ac:dyDescent="0.4">
      <c r="A2598" s="2" t="s">
        <v>5777</v>
      </c>
      <c r="B2598" s="5" t="s">
        <v>9002</v>
      </c>
      <c r="C2598" s="7" t="s">
        <v>12556</v>
      </c>
      <c r="D2598" s="8">
        <f t="shared" si="164"/>
        <v>0</v>
      </c>
      <c r="E2598" s="7" t="s">
        <v>12557</v>
      </c>
      <c r="F2598" s="7">
        <f t="shared" si="165"/>
        <v>1</v>
      </c>
      <c r="G2598" s="7" t="s">
        <v>12558</v>
      </c>
      <c r="H2598" s="7">
        <f t="shared" si="166"/>
        <v>1</v>
      </c>
      <c r="I2598" s="7" cm="1">
        <f t="array" ref="I2598">IFERROR(_xlfn.IFS(M2598="נח",1,M2598="נע ונח",1,M2598="שני שווא נח",2,M2598="שני שוואים בסוף מילה",2,M2598="שני שוואים ברצף",1),"0")</f>
        <v>1</v>
      </c>
      <c r="J2598" s="9">
        <f t="shared" si="167"/>
        <v>2</v>
      </c>
      <c r="K2598" t="s">
        <v>6698</v>
      </c>
      <c r="L2598" t="s">
        <v>6694</v>
      </c>
      <c r="M2598" t="s">
        <v>6705</v>
      </c>
      <c r="U2598" t="s">
        <v>6694</v>
      </c>
      <c r="V2598" t="s">
        <v>6694</v>
      </c>
      <c r="W2598" t="s">
        <v>6720</v>
      </c>
    </row>
    <row r="2599" spans="1:23" ht="15.6" x14ac:dyDescent="0.4">
      <c r="A2599" s="2" t="s">
        <v>2471</v>
      </c>
      <c r="B2599" s="5" t="s">
        <v>9003</v>
      </c>
      <c r="C2599" s="7" t="s">
        <v>12556</v>
      </c>
      <c r="D2599" s="8">
        <f t="shared" si="164"/>
        <v>0</v>
      </c>
      <c r="E2599" s="7" t="s">
        <v>12557</v>
      </c>
      <c r="F2599" s="7">
        <f t="shared" si="165"/>
        <v>1</v>
      </c>
      <c r="G2599" s="7" t="s">
        <v>12558</v>
      </c>
      <c r="H2599" s="7">
        <f t="shared" si="166"/>
        <v>1</v>
      </c>
      <c r="I2599" s="7" cm="1">
        <f t="array" ref="I2599">IFERROR(_xlfn.IFS(M2599="נח",1,M2599="נע ונח",1,M2599="שני שווא נח",2,M2599="שני שוואים בסוף מילה",2,M2599="שני שוואים ברצף",1),"0")</f>
        <v>1</v>
      </c>
      <c r="J2599" s="9">
        <f t="shared" si="167"/>
        <v>3</v>
      </c>
      <c r="K2599" t="s">
        <v>6698</v>
      </c>
      <c r="L2599" t="s">
        <v>6694</v>
      </c>
      <c r="M2599" t="s">
        <v>6705</v>
      </c>
      <c r="R2599" t="s">
        <v>6694</v>
      </c>
      <c r="U2599" t="s">
        <v>6694</v>
      </c>
      <c r="W2599" t="s">
        <v>6720</v>
      </c>
    </row>
    <row r="2600" spans="1:23" ht="15.6" x14ac:dyDescent="0.4">
      <c r="A2600" s="2" t="s">
        <v>506</v>
      </c>
      <c r="B2600" s="5" t="s">
        <v>9004</v>
      </c>
      <c r="C2600" s="7" t="s">
        <v>12556</v>
      </c>
      <c r="D2600" s="8">
        <f t="shared" si="164"/>
        <v>0</v>
      </c>
      <c r="E2600" s="7" t="s">
        <v>12557</v>
      </c>
      <c r="F2600" s="7">
        <f t="shared" si="165"/>
        <v>2</v>
      </c>
      <c r="G2600" s="7" t="s">
        <v>12558</v>
      </c>
      <c r="H2600" s="7">
        <f t="shared" si="166"/>
        <v>1</v>
      </c>
      <c r="I2600" s="7" cm="1">
        <f t="array" ref="I2600">IFERROR(_xlfn.IFS(M2600="נח",1,M2600="נע ונח",1,M2600="שני שווא נח",2,M2600="שני שוואים בסוף מילה",2,M2600="שני שוואים ברצף",1),"0")</f>
        <v>1</v>
      </c>
      <c r="J2600" s="9">
        <f t="shared" si="167"/>
        <v>3</v>
      </c>
      <c r="K2600" t="s">
        <v>6697</v>
      </c>
      <c r="L2600" t="s">
        <v>6694</v>
      </c>
      <c r="M2600" t="s">
        <v>6705</v>
      </c>
      <c r="O2600" t="s">
        <v>6694</v>
      </c>
      <c r="S2600" t="s">
        <v>6694</v>
      </c>
      <c r="U2600" t="s">
        <v>6694</v>
      </c>
      <c r="W2600" t="s">
        <v>6720</v>
      </c>
    </row>
    <row r="2601" spans="1:23" ht="15.6" x14ac:dyDescent="0.4">
      <c r="A2601" s="2" t="s">
        <v>4621</v>
      </c>
      <c r="B2601" s="5" t="s">
        <v>9005</v>
      </c>
      <c r="C2601" s="7" t="s">
        <v>12556</v>
      </c>
      <c r="D2601" s="8">
        <f t="shared" si="164"/>
        <v>0</v>
      </c>
      <c r="E2601" s="7" t="s">
        <v>12557</v>
      </c>
      <c r="F2601" s="7">
        <f t="shared" si="165"/>
        <v>2</v>
      </c>
      <c r="G2601" s="7" t="s">
        <v>12558</v>
      </c>
      <c r="H2601" s="7">
        <f t="shared" si="166"/>
        <v>1</v>
      </c>
      <c r="I2601" s="7" cm="1">
        <f t="array" ref="I2601">IFERROR(_xlfn.IFS(M2601="נח",1,M2601="נע ונח",1,M2601="שני שווא נח",2,M2601="שני שוואים בסוף מילה",2,M2601="שני שוואים ברצף",1),"0")</f>
        <v>1</v>
      </c>
      <c r="J2601" s="9">
        <f t="shared" si="167"/>
        <v>4</v>
      </c>
      <c r="K2601" t="s">
        <v>6697</v>
      </c>
      <c r="L2601" t="s">
        <v>6694</v>
      </c>
      <c r="M2601" t="s">
        <v>6705</v>
      </c>
      <c r="O2601" t="s">
        <v>6694</v>
      </c>
      <c r="S2601" t="s">
        <v>6694</v>
      </c>
      <c r="U2601" t="s">
        <v>6694</v>
      </c>
      <c r="W2601" t="s">
        <v>6720</v>
      </c>
    </row>
    <row r="2602" spans="1:23" ht="15.6" x14ac:dyDescent="0.4">
      <c r="A2602" s="2" t="s">
        <v>5521</v>
      </c>
      <c r="B2602" s="5" t="s">
        <v>9006</v>
      </c>
      <c r="C2602" s="7" t="s">
        <v>12556</v>
      </c>
      <c r="D2602" s="8">
        <f t="shared" si="164"/>
        <v>0</v>
      </c>
      <c r="E2602" s="7" t="s">
        <v>12557</v>
      </c>
      <c r="F2602" s="7">
        <f t="shared" si="165"/>
        <v>1</v>
      </c>
      <c r="G2602" s="7" t="s">
        <v>12558</v>
      </c>
      <c r="H2602" s="7">
        <f t="shared" si="166"/>
        <v>1</v>
      </c>
      <c r="I2602" s="7" cm="1">
        <f t="array" ref="I2602">IFERROR(_xlfn.IFS(M2602="נח",1,M2602="נע ונח",1,M2602="שני שווא נח",2,M2602="שני שוואים בסוף מילה",2,M2602="שני שוואים ברצף",1),"0")</f>
        <v>1</v>
      </c>
      <c r="J2602" s="9">
        <f t="shared" si="167"/>
        <v>2</v>
      </c>
      <c r="K2602" t="s">
        <v>6698</v>
      </c>
      <c r="L2602" t="s">
        <v>6694</v>
      </c>
      <c r="M2602" t="s">
        <v>6705</v>
      </c>
      <c r="S2602" t="s">
        <v>6694</v>
      </c>
      <c r="U2602" t="s">
        <v>6694</v>
      </c>
      <c r="W2602" t="s">
        <v>6720</v>
      </c>
    </row>
    <row r="2603" spans="1:23" ht="15.6" x14ac:dyDescent="0.4">
      <c r="A2603" s="2" t="s">
        <v>86</v>
      </c>
      <c r="B2603" s="5" t="s">
        <v>9007</v>
      </c>
      <c r="C2603" s="7" t="s">
        <v>12556</v>
      </c>
      <c r="D2603" s="8">
        <f t="shared" si="164"/>
        <v>0</v>
      </c>
      <c r="E2603" s="7" t="s">
        <v>12557</v>
      </c>
      <c r="F2603" s="7">
        <f t="shared" si="165"/>
        <v>1</v>
      </c>
      <c r="G2603" s="7" t="s">
        <v>12558</v>
      </c>
      <c r="H2603" s="7">
        <f t="shared" si="166"/>
        <v>1</v>
      </c>
      <c r="I2603" s="7" cm="1">
        <f t="array" ref="I2603">IFERROR(_xlfn.IFS(M2603="נח",1,M2603="נע ונח",1,M2603="שני שווא נח",2,M2603="שני שוואים בסוף מילה",2,M2603="שני שוואים ברצף",1),"0")</f>
        <v>1</v>
      </c>
      <c r="J2603" s="9">
        <f t="shared" si="167"/>
        <v>3</v>
      </c>
      <c r="K2603" t="s">
        <v>6698</v>
      </c>
      <c r="L2603" t="s">
        <v>6694</v>
      </c>
      <c r="M2603" t="s">
        <v>6705</v>
      </c>
      <c r="S2603" t="s">
        <v>6694</v>
      </c>
      <c r="U2603" t="s">
        <v>6694</v>
      </c>
      <c r="W2603" t="s">
        <v>6720</v>
      </c>
    </row>
    <row r="2604" spans="1:23" ht="15.6" x14ac:dyDescent="0.4">
      <c r="A2604" s="2" t="s">
        <v>2673</v>
      </c>
      <c r="B2604" s="5" t="s">
        <v>9008</v>
      </c>
      <c r="C2604" s="7" t="s">
        <v>12556</v>
      </c>
      <c r="D2604" s="8">
        <f t="shared" si="164"/>
        <v>0</v>
      </c>
      <c r="E2604" s="7" t="s">
        <v>12557</v>
      </c>
      <c r="F2604" s="7">
        <f t="shared" si="165"/>
        <v>1</v>
      </c>
      <c r="G2604" s="7" t="s">
        <v>12558</v>
      </c>
      <c r="H2604" s="7">
        <f t="shared" si="166"/>
        <v>1</v>
      </c>
      <c r="I2604" s="7" cm="1">
        <f t="array" ref="I2604">IFERROR(_xlfn.IFS(M2604="נח",1,M2604="נע ונח",1,M2604="שני שווא נח",2,M2604="שני שוואים בסוף מילה",2,M2604="שני שוואים ברצף",1),"0")</f>
        <v>1</v>
      </c>
      <c r="J2604" s="9">
        <f t="shared" si="167"/>
        <v>3</v>
      </c>
      <c r="K2604" t="s">
        <v>6697</v>
      </c>
      <c r="L2604" t="s">
        <v>6694</v>
      </c>
      <c r="M2604" t="s">
        <v>6705</v>
      </c>
      <c r="P2604" t="s">
        <v>6694</v>
      </c>
      <c r="U2604" t="s">
        <v>6694</v>
      </c>
      <c r="V2604" t="s">
        <v>6694</v>
      </c>
      <c r="W2604" t="s">
        <v>6720</v>
      </c>
    </row>
    <row r="2605" spans="1:23" ht="15.6" x14ac:dyDescent="0.4">
      <c r="A2605" s="2" t="s">
        <v>3142</v>
      </c>
      <c r="B2605" s="5" t="s">
        <v>9009</v>
      </c>
      <c r="C2605" s="7" t="s">
        <v>12556</v>
      </c>
      <c r="D2605" s="8">
        <f t="shared" si="164"/>
        <v>0</v>
      </c>
      <c r="E2605" s="7" t="s">
        <v>12557</v>
      </c>
      <c r="F2605" s="7">
        <f t="shared" si="165"/>
        <v>2</v>
      </c>
      <c r="G2605" s="7" t="s">
        <v>12558</v>
      </c>
      <c r="H2605" s="7">
        <f t="shared" si="166"/>
        <v>1</v>
      </c>
      <c r="I2605" s="7" cm="1">
        <f t="array" ref="I2605">IFERROR(_xlfn.IFS(M2605="נח",1,M2605="נע ונח",1,M2605="שני שווא נח",2,M2605="שני שוואים בסוף מילה",2,M2605="שני שוואים ברצף",1),"0")</f>
        <v>1</v>
      </c>
      <c r="J2605" s="9">
        <f t="shared" si="167"/>
        <v>3</v>
      </c>
      <c r="K2605" t="s">
        <v>6698</v>
      </c>
      <c r="L2605" t="s">
        <v>6694</v>
      </c>
      <c r="M2605" t="s">
        <v>6705</v>
      </c>
      <c r="S2605" t="s">
        <v>6694</v>
      </c>
      <c r="T2605" t="s">
        <v>6694</v>
      </c>
      <c r="U2605" t="s">
        <v>6694</v>
      </c>
      <c r="W2605" t="s">
        <v>6720</v>
      </c>
    </row>
    <row r="2606" spans="1:23" ht="15.6" x14ac:dyDescent="0.4">
      <c r="A2606" s="2" t="s">
        <v>2625</v>
      </c>
      <c r="B2606" s="5" t="s">
        <v>8485</v>
      </c>
      <c r="C2606" s="7" t="s">
        <v>12556</v>
      </c>
      <c r="D2606" s="8">
        <f t="shared" si="164"/>
        <v>0</v>
      </c>
      <c r="E2606" s="7" t="s">
        <v>12557</v>
      </c>
      <c r="F2606" s="7">
        <f t="shared" si="165"/>
        <v>2</v>
      </c>
      <c r="G2606" s="7" t="s">
        <v>12558</v>
      </c>
      <c r="H2606" s="7">
        <f t="shared" si="166"/>
        <v>1</v>
      </c>
      <c r="I2606" s="7" cm="1">
        <f t="array" ref="I2606">IFERROR(_xlfn.IFS(M2606="נח",1,M2606="נע ונח",1,M2606="שני שווא נח",2,M2606="שני שוואים בסוף מילה",2,M2606="שני שוואים ברצף",1),"0")</f>
        <v>1</v>
      </c>
      <c r="J2606" s="9">
        <f t="shared" si="167"/>
        <v>3</v>
      </c>
      <c r="K2606" t="s">
        <v>6698</v>
      </c>
      <c r="L2606" t="s">
        <v>6694</v>
      </c>
      <c r="M2606" t="s">
        <v>6705</v>
      </c>
      <c r="P2606" t="s">
        <v>6694</v>
      </c>
      <c r="Q2606" t="s">
        <v>6694</v>
      </c>
      <c r="U2606" t="s">
        <v>6694</v>
      </c>
      <c r="W2606" t="s">
        <v>6720</v>
      </c>
    </row>
    <row r="2607" spans="1:23" ht="15.6" x14ac:dyDescent="0.4">
      <c r="A2607" s="2" t="s">
        <v>721</v>
      </c>
      <c r="B2607" s="5" t="s">
        <v>9010</v>
      </c>
      <c r="C2607" s="7" t="s">
        <v>12556</v>
      </c>
      <c r="D2607" s="8">
        <f t="shared" si="164"/>
        <v>1</v>
      </c>
      <c r="E2607" s="7" t="s">
        <v>12557</v>
      </c>
      <c r="F2607" s="7">
        <f t="shared" si="165"/>
        <v>2</v>
      </c>
      <c r="G2607" s="7" t="s">
        <v>12558</v>
      </c>
      <c r="H2607" s="7">
        <f t="shared" si="166"/>
        <v>1</v>
      </c>
      <c r="I2607" s="7" cm="1">
        <f t="array" ref="I2607">IFERROR(_xlfn.IFS(M2607="נח",1,M2607="נע ונח",1,M2607="שני שווא נח",2,M2607="שני שוואים בסוף מילה",2,M2607="שני שוואים ברצף",1),"0")</f>
        <v>1</v>
      </c>
      <c r="J2607" s="9">
        <f t="shared" si="167"/>
        <v>3</v>
      </c>
      <c r="K2607" t="s">
        <v>6698</v>
      </c>
      <c r="L2607" t="s">
        <v>6694</v>
      </c>
      <c r="M2607" t="s">
        <v>6705</v>
      </c>
      <c r="P2607" t="s">
        <v>6694</v>
      </c>
      <c r="Q2607" t="s">
        <v>6694</v>
      </c>
      <c r="U2607" t="s">
        <v>6694</v>
      </c>
      <c r="W2607" t="s">
        <v>6720</v>
      </c>
    </row>
    <row r="2608" spans="1:23" ht="15.6" x14ac:dyDescent="0.4">
      <c r="A2608" s="2" t="s">
        <v>5443</v>
      </c>
      <c r="B2608" s="5" t="s">
        <v>9011</v>
      </c>
      <c r="C2608" s="7" t="s">
        <v>12556</v>
      </c>
      <c r="D2608" s="8">
        <f t="shared" si="164"/>
        <v>0</v>
      </c>
      <c r="E2608" s="7" t="s">
        <v>12557</v>
      </c>
      <c r="F2608" s="7">
        <f t="shared" si="165"/>
        <v>1</v>
      </c>
      <c r="G2608" s="7" t="s">
        <v>12558</v>
      </c>
      <c r="H2608" s="7">
        <f t="shared" si="166"/>
        <v>1</v>
      </c>
      <c r="I2608" s="7" cm="1">
        <f t="array" ref="I2608">IFERROR(_xlfn.IFS(M2608="נח",1,M2608="נע ונח",1,M2608="שני שווא נח",2,M2608="שני שוואים בסוף מילה",2,M2608="שני שוואים ברצף",1),"0")</f>
        <v>1</v>
      </c>
      <c r="J2608" s="9">
        <f t="shared" si="167"/>
        <v>3</v>
      </c>
      <c r="K2608" t="s">
        <v>6697</v>
      </c>
      <c r="L2608" t="s">
        <v>6694</v>
      </c>
      <c r="M2608" t="s">
        <v>6705</v>
      </c>
      <c r="O2608" t="s">
        <v>6694</v>
      </c>
      <c r="S2608" t="s">
        <v>6694</v>
      </c>
      <c r="U2608" t="s">
        <v>6694</v>
      </c>
      <c r="W2608" t="s">
        <v>6720</v>
      </c>
    </row>
    <row r="2609" spans="1:23" ht="15.6" x14ac:dyDescent="0.4">
      <c r="A2609" s="2" t="s">
        <v>1119</v>
      </c>
      <c r="B2609" s="5" t="s">
        <v>9012</v>
      </c>
      <c r="C2609" s="7" t="s">
        <v>12556</v>
      </c>
      <c r="D2609" s="8">
        <f t="shared" si="164"/>
        <v>0</v>
      </c>
      <c r="E2609" s="7" t="s">
        <v>12557</v>
      </c>
      <c r="F2609" s="7">
        <f t="shared" si="165"/>
        <v>2</v>
      </c>
      <c r="G2609" s="7" t="s">
        <v>12558</v>
      </c>
      <c r="H2609" s="7">
        <f t="shared" si="166"/>
        <v>1</v>
      </c>
      <c r="I2609" s="7" cm="1">
        <f t="array" ref="I2609">IFERROR(_xlfn.IFS(M2609="נח",1,M2609="נע ונח",1,M2609="שני שווא נח",2,M2609="שני שוואים בסוף מילה",2,M2609="שני שוואים ברצף",1),"0")</f>
        <v>1</v>
      </c>
      <c r="J2609" s="9">
        <f t="shared" si="167"/>
        <v>3</v>
      </c>
      <c r="K2609" t="s">
        <v>6698</v>
      </c>
      <c r="L2609" t="s">
        <v>6694</v>
      </c>
      <c r="M2609" t="s">
        <v>6705</v>
      </c>
      <c r="P2609" t="s">
        <v>6694</v>
      </c>
      <c r="S2609" t="s">
        <v>6694</v>
      </c>
      <c r="U2609" t="s">
        <v>6694</v>
      </c>
      <c r="W2609" t="s">
        <v>6720</v>
      </c>
    </row>
    <row r="2610" spans="1:23" ht="15.6" x14ac:dyDescent="0.4">
      <c r="A2610" s="2" t="s">
        <v>5509</v>
      </c>
      <c r="B2610" s="5" t="s">
        <v>9013</v>
      </c>
      <c r="C2610" s="7" t="s">
        <v>12556</v>
      </c>
      <c r="D2610" s="8">
        <f t="shared" si="164"/>
        <v>0</v>
      </c>
      <c r="E2610" s="7" t="s">
        <v>12557</v>
      </c>
      <c r="F2610" s="7">
        <f t="shared" si="165"/>
        <v>2</v>
      </c>
      <c r="G2610" s="7" t="s">
        <v>12558</v>
      </c>
      <c r="H2610" s="7">
        <f t="shared" si="166"/>
        <v>1</v>
      </c>
      <c r="I2610" s="7" cm="1">
        <f t="array" ref="I2610">IFERROR(_xlfn.IFS(M2610="נח",1,M2610="נע ונח",1,M2610="שני שווא נח",2,M2610="שני שוואים בסוף מילה",2,M2610="שני שוואים ברצף",1),"0")</f>
        <v>1</v>
      </c>
      <c r="J2610" s="9">
        <f t="shared" si="167"/>
        <v>3</v>
      </c>
      <c r="K2610" t="s">
        <v>6698</v>
      </c>
      <c r="L2610" t="s">
        <v>6694</v>
      </c>
      <c r="M2610" t="s">
        <v>6705</v>
      </c>
      <c r="P2610" t="s">
        <v>6694</v>
      </c>
      <c r="Q2610" t="s">
        <v>6694</v>
      </c>
      <c r="U2610" t="s">
        <v>6694</v>
      </c>
      <c r="W2610" t="s">
        <v>6720</v>
      </c>
    </row>
    <row r="2611" spans="1:23" ht="15.6" x14ac:dyDescent="0.4">
      <c r="A2611" s="2" t="s">
        <v>1882</v>
      </c>
      <c r="B2611" s="5" t="s">
        <v>9014</v>
      </c>
      <c r="C2611" s="7" t="s">
        <v>12556</v>
      </c>
      <c r="D2611" s="8">
        <f t="shared" si="164"/>
        <v>0</v>
      </c>
      <c r="E2611" s="7" t="s">
        <v>12557</v>
      </c>
      <c r="F2611" s="7">
        <f t="shared" si="165"/>
        <v>1</v>
      </c>
      <c r="G2611" s="7" t="s">
        <v>12558</v>
      </c>
      <c r="H2611" s="7">
        <f t="shared" si="166"/>
        <v>1</v>
      </c>
      <c r="I2611" s="7" cm="1">
        <f t="array" ref="I2611">IFERROR(_xlfn.IFS(M2611="נח",1,M2611="נע ונח",1,M2611="שני שווא נח",2,M2611="שני שוואים בסוף מילה",2,M2611="שני שוואים ברצף",1),"0")</f>
        <v>2</v>
      </c>
      <c r="J2611" s="9">
        <f t="shared" si="167"/>
        <v>3</v>
      </c>
      <c r="K2611" t="s">
        <v>6697</v>
      </c>
      <c r="L2611" t="s">
        <v>6694</v>
      </c>
      <c r="M2611" t="s">
        <v>6704</v>
      </c>
      <c r="P2611" t="s">
        <v>6694</v>
      </c>
      <c r="U2611" t="s">
        <v>6694</v>
      </c>
      <c r="V2611" t="s">
        <v>6694</v>
      </c>
      <c r="W2611" t="s">
        <v>6720</v>
      </c>
    </row>
    <row r="2612" spans="1:23" ht="15.6" x14ac:dyDescent="0.4">
      <c r="A2612" s="2" t="s">
        <v>1122</v>
      </c>
      <c r="B2612" s="5" t="s">
        <v>9015</v>
      </c>
      <c r="C2612" s="7" t="s">
        <v>12556</v>
      </c>
      <c r="D2612" s="8">
        <f t="shared" si="164"/>
        <v>0</v>
      </c>
      <c r="E2612" s="7" t="s">
        <v>12557</v>
      </c>
      <c r="F2612" s="7">
        <f t="shared" si="165"/>
        <v>1</v>
      </c>
      <c r="G2612" s="7" t="s">
        <v>12558</v>
      </c>
      <c r="H2612" s="7">
        <f t="shared" si="166"/>
        <v>1</v>
      </c>
      <c r="I2612" s="7" cm="1">
        <f t="array" ref="I2612">IFERROR(_xlfn.IFS(M2612="נח",1,M2612="נע ונח",1,M2612="שני שווא נח",2,M2612="שני שוואים בסוף מילה",2,M2612="שני שוואים ברצף",1),"0")</f>
        <v>1</v>
      </c>
      <c r="J2612" s="9">
        <f t="shared" si="167"/>
        <v>4</v>
      </c>
      <c r="K2612" t="s">
        <v>6698</v>
      </c>
      <c r="L2612" t="s">
        <v>6694</v>
      </c>
      <c r="M2612" t="s">
        <v>6705</v>
      </c>
      <c r="N2612" t="s">
        <v>6706</v>
      </c>
      <c r="O2612" t="s">
        <v>6694</v>
      </c>
      <c r="U2612" t="s">
        <v>6694</v>
      </c>
      <c r="V2612" t="s">
        <v>6694</v>
      </c>
      <c r="W2612" t="s">
        <v>6720</v>
      </c>
    </row>
    <row r="2613" spans="1:23" ht="15.6" x14ac:dyDescent="0.4">
      <c r="A2613" s="2" t="s">
        <v>2855</v>
      </c>
      <c r="B2613" s="5" t="s">
        <v>9016</v>
      </c>
      <c r="C2613" s="7" t="s">
        <v>12556</v>
      </c>
      <c r="D2613" s="8">
        <f t="shared" si="164"/>
        <v>0</v>
      </c>
      <c r="E2613" s="7" t="s">
        <v>12557</v>
      </c>
      <c r="F2613" s="7">
        <f t="shared" si="165"/>
        <v>1</v>
      </c>
      <c r="G2613" s="7" t="s">
        <v>12558</v>
      </c>
      <c r="H2613" s="7">
        <f t="shared" si="166"/>
        <v>1</v>
      </c>
      <c r="I2613" s="7" cm="1">
        <f t="array" ref="I2613">IFERROR(_xlfn.IFS(M2613="נח",1,M2613="נע ונח",1,M2613="שני שווא נח",2,M2613="שני שוואים בסוף מילה",2,M2613="שני שוואים ברצף",1),"0")</f>
        <v>2</v>
      </c>
      <c r="J2613" s="9">
        <f t="shared" si="167"/>
        <v>3</v>
      </c>
      <c r="K2613" t="s">
        <v>6698</v>
      </c>
      <c r="L2613" t="s">
        <v>6694</v>
      </c>
      <c r="M2613" t="s">
        <v>6704</v>
      </c>
      <c r="Q2613" t="s">
        <v>6694</v>
      </c>
      <c r="U2613" t="s">
        <v>6694</v>
      </c>
      <c r="V2613" t="s">
        <v>6694</v>
      </c>
      <c r="W2613" t="s">
        <v>6720</v>
      </c>
    </row>
    <row r="2614" spans="1:23" ht="15.6" x14ac:dyDescent="0.4">
      <c r="A2614" s="2" t="s">
        <v>2224</v>
      </c>
      <c r="B2614" s="5" t="s">
        <v>9017</v>
      </c>
      <c r="C2614" s="7" t="s">
        <v>12556</v>
      </c>
      <c r="D2614" s="8">
        <f t="shared" si="164"/>
        <v>1</v>
      </c>
      <c r="E2614" s="7" t="s">
        <v>12557</v>
      </c>
      <c r="F2614" s="7">
        <f t="shared" si="165"/>
        <v>1</v>
      </c>
      <c r="G2614" s="7" t="s">
        <v>12558</v>
      </c>
      <c r="H2614" s="7">
        <f t="shared" si="166"/>
        <v>1</v>
      </c>
      <c r="I2614" s="7" cm="1">
        <f t="array" ref="I2614">IFERROR(_xlfn.IFS(M2614="נח",1,M2614="נע ונח",1,M2614="שני שווא נח",2,M2614="שני שוואים בסוף מילה",2,M2614="שני שוואים ברצף",1),"0")</f>
        <v>2</v>
      </c>
      <c r="J2614" s="9">
        <f t="shared" si="167"/>
        <v>3</v>
      </c>
      <c r="K2614" t="s">
        <v>6698</v>
      </c>
      <c r="L2614" t="s">
        <v>6694</v>
      </c>
      <c r="M2614" t="s">
        <v>6704</v>
      </c>
      <c r="Q2614" t="s">
        <v>6694</v>
      </c>
      <c r="S2614" t="s">
        <v>6694</v>
      </c>
      <c r="U2614" t="s">
        <v>6694</v>
      </c>
      <c r="W2614" t="s">
        <v>6720</v>
      </c>
    </row>
    <row r="2615" spans="1:23" ht="15.6" x14ac:dyDescent="0.4">
      <c r="A2615" s="2" t="s">
        <v>4321</v>
      </c>
      <c r="B2615" s="5" t="s">
        <v>9018</v>
      </c>
      <c r="C2615" s="7" t="s">
        <v>12556</v>
      </c>
      <c r="D2615" s="8">
        <f t="shared" si="164"/>
        <v>0</v>
      </c>
      <c r="E2615" s="7" t="s">
        <v>12557</v>
      </c>
      <c r="F2615" s="7">
        <f t="shared" si="165"/>
        <v>1</v>
      </c>
      <c r="G2615" s="7" t="s">
        <v>12558</v>
      </c>
      <c r="H2615" s="7">
        <f t="shared" si="166"/>
        <v>1</v>
      </c>
      <c r="I2615" s="7" cm="1">
        <f t="array" ref="I2615">IFERROR(_xlfn.IFS(M2615="נח",1,M2615="נע ונח",1,M2615="שני שווא נח",2,M2615="שני שוואים בסוף מילה",2,M2615="שני שוואים ברצף",1),"0")</f>
        <v>1</v>
      </c>
      <c r="J2615" s="9">
        <f t="shared" si="167"/>
        <v>2</v>
      </c>
      <c r="K2615" t="s">
        <v>6697</v>
      </c>
      <c r="L2615" t="s">
        <v>6694</v>
      </c>
      <c r="M2615" t="s">
        <v>6705</v>
      </c>
      <c r="O2615" t="s">
        <v>6694</v>
      </c>
      <c r="U2615" t="s">
        <v>6694</v>
      </c>
      <c r="W2615" t="s">
        <v>6720</v>
      </c>
    </row>
    <row r="2616" spans="1:23" ht="15.6" x14ac:dyDescent="0.4">
      <c r="A2616" s="2" t="s">
        <v>4786</v>
      </c>
      <c r="B2616" s="5" t="s">
        <v>9019</v>
      </c>
      <c r="C2616" s="7" t="s">
        <v>12556</v>
      </c>
      <c r="D2616" s="8">
        <f t="shared" si="164"/>
        <v>0</v>
      </c>
      <c r="E2616" s="7" t="s">
        <v>12557</v>
      </c>
      <c r="F2616" s="7">
        <f t="shared" si="165"/>
        <v>1</v>
      </c>
      <c r="G2616" s="7" t="s">
        <v>12558</v>
      </c>
      <c r="H2616" s="7">
        <f t="shared" si="166"/>
        <v>1</v>
      </c>
      <c r="I2616" s="7" cm="1">
        <f t="array" ref="I2616">IFERROR(_xlfn.IFS(M2616="נח",1,M2616="נע ונח",1,M2616="שני שווא נח",2,M2616="שני שוואים בסוף מילה",2,M2616="שני שוואים ברצף",1),"0")</f>
        <v>1</v>
      </c>
      <c r="J2616" s="9">
        <f t="shared" si="167"/>
        <v>2</v>
      </c>
      <c r="K2616" t="s">
        <v>6697</v>
      </c>
      <c r="L2616" t="s">
        <v>6694</v>
      </c>
      <c r="M2616" t="s">
        <v>6705</v>
      </c>
      <c r="O2616" t="s">
        <v>6694</v>
      </c>
      <c r="U2616" t="s">
        <v>6694</v>
      </c>
      <c r="W2616" t="s">
        <v>6720</v>
      </c>
    </row>
    <row r="2617" spans="1:23" ht="15.6" x14ac:dyDescent="0.4">
      <c r="A2617" s="2" t="s">
        <v>1271</v>
      </c>
      <c r="B2617" s="5" t="s">
        <v>9020</v>
      </c>
      <c r="C2617" s="7" t="s">
        <v>12556</v>
      </c>
      <c r="D2617" s="8">
        <f t="shared" si="164"/>
        <v>0</v>
      </c>
      <c r="E2617" s="7" t="s">
        <v>12557</v>
      </c>
      <c r="F2617" s="7">
        <f t="shared" si="165"/>
        <v>1</v>
      </c>
      <c r="G2617" s="7" t="s">
        <v>12558</v>
      </c>
      <c r="H2617" s="7">
        <f t="shared" si="166"/>
        <v>1</v>
      </c>
      <c r="I2617" s="7" cm="1">
        <f t="array" ref="I2617">IFERROR(_xlfn.IFS(M2617="נח",1,M2617="נע ונח",1,M2617="שני שווא נח",2,M2617="שני שוואים בסוף מילה",2,M2617="שני שוואים ברצף",1),"0")</f>
        <v>1</v>
      </c>
      <c r="J2617" s="9">
        <f t="shared" si="167"/>
        <v>2</v>
      </c>
      <c r="K2617" t="s">
        <v>6698</v>
      </c>
      <c r="L2617" t="s">
        <v>6694</v>
      </c>
      <c r="M2617" t="s">
        <v>6705</v>
      </c>
      <c r="U2617" t="s">
        <v>6694</v>
      </c>
      <c r="V2617" t="s">
        <v>6694</v>
      </c>
      <c r="W2617" t="s">
        <v>6720</v>
      </c>
    </row>
    <row r="2618" spans="1:23" ht="15.6" x14ac:dyDescent="0.4">
      <c r="A2618" s="2" t="s">
        <v>4999</v>
      </c>
      <c r="B2618" s="5" t="s">
        <v>9021</v>
      </c>
      <c r="C2618" s="7" t="s">
        <v>12556</v>
      </c>
      <c r="D2618" s="8">
        <f t="shared" si="164"/>
        <v>0</v>
      </c>
      <c r="E2618" s="7" t="s">
        <v>12557</v>
      </c>
      <c r="F2618" s="7">
        <f t="shared" si="165"/>
        <v>1</v>
      </c>
      <c r="G2618" s="7" t="s">
        <v>12558</v>
      </c>
      <c r="H2618" s="7">
        <f t="shared" si="166"/>
        <v>1</v>
      </c>
      <c r="I2618" s="7" cm="1">
        <f t="array" ref="I2618">IFERROR(_xlfn.IFS(M2618="נח",1,M2618="נע ונח",1,M2618="שני שווא נח",2,M2618="שני שוואים בסוף מילה",2,M2618="שני שוואים ברצף",1),"0")</f>
        <v>1</v>
      </c>
      <c r="J2618" s="9">
        <f t="shared" si="167"/>
        <v>3</v>
      </c>
      <c r="K2618" t="s">
        <v>6698</v>
      </c>
      <c r="L2618" t="s">
        <v>6694</v>
      </c>
      <c r="M2618" t="s">
        <v>6705</v>
      </c>
      <c r="P2618" t="s">
        <v>6694</v>
      </c>
      <c r="Q2618" t="s">
        <v>6694</v>
      </c>
      <c r="U2618" t="s">
        <v>6694</v>
      </c>
      <c r="W2618" t="s">
        <v>6720</v>
      </c>
    </row>
    <row r="2619" spans="1:23" ht="15.6" x14ac:dyDescent="0.4">
      <c r="A2619" s="2" t="s">
        <v>3361</v>
      </c>
      <c r="B2619" s="5" t="s">
        <v>9022</v>
      </c>
      <c r="C2619" s="7" t="s">
        <v>12556</v>
      </c>
      <c r="D2619" s="8">
        <f t="shared" si="164"/>
        <v>0</v>
      </c>
      <c r="E2619" s="7" t="s">
        <v>12557</v>
      </c>
      <c r="F2619" s="7">
        <f t="shared" si="165"/>
        <v>1</v>
      </c>
      <c r="G2619" s="7" t="s">
        <v>12558</v>
      </c>
      <c r="H2619" s="7">
        <f t="shared" si="166"/>
        <v>1</v>
      </c>
      <c r="I2619" s="7" cm="1">
        <f t="array" ref="I2619">IFERROR(_xlfn.IFS(M2619="נח",1,M2619="נע ונח",1,M2619="שני שווא נח",2,M2619="שני שוואים בסוף מילה",2,M2619="שני שוואים ברצף",1),"0")</f>
        <v>1</v>
      </c>
      <c r="J2619" s="9">
        <f t="shared" si="167"/>
        <v>3</v>
      </c>
      <c r="K2619" t="s">
        <v>6698</v>
      </c>
      <c r="L2619" t="s">
        <v>6694</v>
      </c>
      <c r="M2619" t="s">
        <v>6705</v>
      </c>
      <c r="P2619" t="s">
        <v>6694</v>
      </c>
      <c r="U2619" t="s">
        <v>6694</v>
      </c>
      <c r="W2619" t="s">
        <v>6720</v>
      </c>
    </row>
    <row r="2620" spans="1:23" ht="15.6" x14ac:dyDescent="0.4">
      <c r="A2620" s="2" t="s">
        <v>1269</v>
      </c>
      <c r="B2620" s="5" t="s">
        <v>9023</v>
      </c>
      <c r="C2620" s="7" t="s">
        <v>12556</v>
      </c>
      <c r="D2620" s="8">
        <f t="shared" si="164"/>
        <v>0</v>
      </c>
      <c r="E2620" s="7" t="s">
        <v>12557</v>
      </c>
      <c r="F2620" s="7">
        <f t="shared" si="165"/>
        <v>1</v>
      </c>
      <c r="G2620" s="7" t="s">
        <v>12558</v>
      </c>
      <c r="H2620" s="7">
        <f t="shared" si="166"/>
        <v>1</v>
      </c>
      <c r="I2620" s="7" cm="1">
        <f t="array" ref="I2620">IFERROR(_xlfn.IFS(M2620="נח",1,M2620="נע ונח",1,M2620="שני שווא נח",2,M2620="שני שוואים בסוף מילה",2,M2620="שני שוואים ברצף",1),"0")</f>
        <v>1</v>
      </c>
      <c r="J2620" s="9">
        <f t="shared" si="167"/>
        <v>2</v>
      </c>
      <c r="K2620" t="s">
        <v>6698</v>
      </c>
      <c r="L2620" t="s">
        <v>6694</v>
      </c>
      <c r="M2620" t="s">
        <v>6705</v>
      </c>
      <c r="U2620" t="s">
        <v>6694</v>
      </c>
      <c r="V2620" t="s">
        <v>6694</v>
      </c>
      <c r="W2620" t="s">
        <v>6720</v>
      </c>
    </row>
    <row r="2621" spans="1:23" ht="15.6" x14ac:dyDescent="0.4">
      <c r="A2621" s="2" t="s">
        <v>1876</v>
      </c>
      <c r="B2621" s="5" t="s">
        <v>9024</v>
      </c>
      <c r="C2621" s="7" t="s">
        <v>12556</v>
      </c>
      <c r="D2621" s="8">
        <f t="shared" si="164"/>
        <v>1</v>
      </c>
      <c r="E2621" s="7" t="s">
        <v>12557</v>
      </c>
      <c r="F2621" s="7">
        <f t="shared" si="165"/>
        <v>1</v>
      </c>
      <c r="G2621" s="7" t="s">
        <v>12558</v>
      </c>
      <c r="H2621" s="7">
        <f t="shared" si="166"/>
        <v>1</v>
      </c>
      <c r="I2621" s="7" cm="1">
        <f t="array" ref="I2621">IFERROR(_xlfn.IFS(M2621="נח",1,M2621="נע ונח",1,M2621="שני שווא נח",2,M2621="שני שוואים בסוף מילה",2,M2621="שני שוואים ברצף",1),"0")</f>
        <v>2</v>
      </c>
      <c r="J2621" s="9">
        <f t="shared" si="167"/>
        <v>3</v>
      </c>
      <c r="K2621" t="s">
        <v>6697</v>
      </c>
      <c r="L2621" t="s">
        <v>6694</v>
      </c>
      <c r="M2621" t="s">
        <v>6704</v>
      </c>
      <c r="O2621" t="s">
        <v>6694</v>
      </c>
      <c r="S2621" t="s">
        <v>6694</v>
      </c>
      <c r="U2621" t="s">
        <v>6694</v>
      </c>
      <c r="W2621" t="s">
        <v>6720</v>
      </c>
    </row>
    <row r="2622" spans="1:23" ht="15.6" x14ac:dyDescent="0.4">
      <c r="A2622" s="2" t="s">
        <v>5332</v>
      </c>
      <c r="B2622" s="5" t="s">
        <v>9025</v>
      </c>
      <c r="C2622" s="7" t="s">
        <v>12556</v>
      </c>
      <c r="D2622" s="8">
        <f t="shared" si="164"/>
        <v>1</v>
      </c>
      <c r="E2622" s="7" t="s">
        <v>12557</v>
      </c>
      <c r="F2622" s="7">
        <f t="shared" si="165"/>
        <v>1</v>
      </c>
      <c r="G2622" s="7" t="s">
        <v>12558</v>
      </c>
      <c r="H2622" s="7">
        <f t="shared" si="166"/>
        <v>1</v>
      </c>
      <c r="I2622" s="7" cm="1">
        <f t="array" ref="I2622">IFERROR(_xlfn.IFS(M2622="נח",1,M2622="נע ונח",1,M2622="שני שווא נח",2,M2622="שני שוואים בסוף מילה",2,M2622="שני שוואים ברצף",1),"0")</f>
        <v>2</v>
      </c>
      <c r="J2622" s="9">
        <f t="shared" si="167"/>
        <v>3</v>
      </c>
      <c r="K2622" t="s">
        <v>6697</v>
      </c>
      <c r="L2622" t="s">
        <v>6694</v>
      </c>
      <c r="M2622" t="s">
        <v>6704</v>
      </c>
      <c r="O2622" t="s">
        <v>6694</v>
      </c>
      <c r="U2622" t="s">
        <v>6694</v>
      </c>
      <c r="V2622" t="s">
        <v>6694</v>
      </c>
      <c r="W2622" t="s">
        <v>6720</v>
      </c>
    </row>
    <row r="2623" spans="1:23" ht="15.6" x14ac:dyDescent="0.4">
      <c r="A2623" s="2" t="s">
        <v>2119</v>
      </c>
      <c r="B2623" s="5" t="s">
        <v>9026</v>
      </c>
      <c r="C2623" s="7" t="s">
        <v>12556</v>
      </c>
      <c r="D2623" s="8">
        <f t="shared" si="164"/>
        <v>1</v>
      </c>
      <c r="E2623" s="7" t="s">
        <v>12557</v>
      </c>
      <c r="F2623" s="7">
        <f t="shared" si="165"/>
        <v>1</v>
      </c>
      <c r="G2623" s="7" t="s">
        <v>12558</v>
      </c>
      <c r="H2623" s="7">
        <f t="shared" si="166"/>
        <v>1</v>
      </c>
      <c r="I2623" s="7" cm="1">
        <f t="array" ref="I2623">IFERROR(_xlfn.IFS(M2623="נח",1,M2623="נע ונח",1,M2623="שני שווא נח",2,M2623="שני שוואים בסוף מילה",2,M2623="שני שוואים ברצף",1),"0")</f>
        <v>1</v>
      </c>
      <c r="J2623" s="9">
        <f t="shared" si="167"/>
        <v>3</v>
      </c>
      <c r="K2623" t="s">
        <v>6697</v>
      </c>
      <c r="L2623" t="s">
        <v>6694</v>
      </c>
      <c r="M2623" t="s">
        <v>6705</v>
      </c>
      <c r="S2623" t="s">
        <v>6694</v>
      </c>
      <c r="U2623" t="s">
        <v>6694</v>
      </c>
      <c r="V2623" t="s">
        <v>6694</v>
      </c>
      <c r="W2623" t="s">
        <v>6720</v>
      </c>
    </row>
    <row r="2624" spans="1:23" ht="15.6" x14ac:dyDescent="0.4">
      <c r="A2624" s="2" t="s">
        <v>4114</v>
      </c>
      <c r="B2624" s="5" t="s">
        <v>9027</v>
      </c>
      <c r="C2624" s="7" t="s">
        <v>12556</v>
      </c>
      <c r="D2624" s="8">
        <f t="shared" si="164"/>
        <v>1</v>
      </c>
      <c r="E2624" s="7" t="s">
        <v>12557</v>
      </c>
      <c r="F2624" s="7">
        <f t="shared" si="165"/>
        <v>1</v>
      </c>
      <c r="G2624" s="7" t="s">
        <v>12558</v>
      </c>
      <c r="H2624" s="7">
        <f t="shared" si="166"/>
        <v>1</v>
      </c>
      <c r="I2624" s="7" cm="1">
        <f t="array" ref="I2624">IFERROR(_xlfn.IFS(M2624="נח",1,M2624="נע ונח",1,M2624="שני שווא נח",2,M2624="שני שוואים בסוף מילה",2,M2624="שני שוואים ברצף",1),"0")</f>
        <v>1</v>
      </c>
      <c r="J2624" s="9">
        <f t="shared" si="167"/>
        <v>3</v>
      </c>
      <c r="K2624" t="s">
        <v>6698</v>
      </c>
      <c r="L2624" t="s">
        <v>6694</v>
      </c>
      <c r="M2624" t="s">
        <v>6705</v>
      </c>
      <c r="N2624" t="s">
        <v>6706</v>
      </c>
      <c r="O2624" t="s">
        <v>6694</v>
      </c>
      <c r="U2624" t="s">
        <v>6694</v>
      </c>
      <c r="V2624" t="s">
        <v>6694</v>
      </c>
      <c r="W2624" t="s">
        <v>6720</v>
      </c>
    </row>
    <row r="2625" spans="1:23" ht="15.6" x14ac:dyDescent="0.4">
      <c r="A2625" s="2" t="s">
        <v>2553</v>
      </c>
      <c r="B2625" s="5" t="s">
        <v>9028</v>
      </c>
      <c r="C2625" s="7" t="s">
        <v>12556</v>
      </c>
      <c r="D2625" s="8">
        <f t="shared" si="164"/>
        <v>1</v>
      </c>
      <c r="E2625" s="7" t="s">
        <v>12557</v>
      </c>
      <c r="F2625" s="7">
        <f t="shared" si="165"/>
        <v>1</v>
      </c>
      <c r="G2625" s="7" t="s">
        <v>12558</v>
      </c>
      <c r="H2625" s="7">
        <f t="shared" si="166"/>
        <v>1</v>
      </c>
      <c r="I2625" s="7" cm="1">
        <f t="array" ref="I2625">IFERROR(_xlfn.IFS(M2625="נח",1,M2625="נע ונח",1,M2625="שני שווא נח",2,M2625="שני שוואים בסוף מילה",2,M2625="שני שוואים ברצף",1),"0")</f>
        <v>1</v>
      </c>
      <c r="J2625" s="9">
        <f t="shared" si="167"/>
        <v>3</v>
      </c>
      <c r="K2625" t="s">
        <v>6697</v>
      </c>
      <c r="L2625" t="s">
        <v>6694</v>
      </c>
      <c r="M2625" t="s">
        <v>6705</v>
      </c>
      <c r="U2625" t="s">
        <v>6694</v>
      </c>
      <c r="V2625" t="s">
        <v>6694</v>
      </c>
      <c r="W2625" t="s">
        <v>6720</v>
      </c>
    </row>
    <row r="2626" spans="1:23" ht="15.6" x14ac:dyDescent="0.4">
      <c r="A2626" s="2" t="s">
        <v>3016</v>
      </c>
      <c r="B2626" s="5" t="s">
        <v>9029</v>
      </c>
      <c r="C2626" s="7" t="s">
        <v>12556</v>
      </c>
      <c r="D2626" s="8">
        <f t="shared" si="164"/>
        <v>0</v>
      </c>
      <c r="E2626" s="7" t="s">
        <v>12557</v>
      </c>
      <c r="F2626" s="7">
        <f t="shared" si="165"/>
        <v>2</v>
      </c>
      <c r="G2626" s="7" t="s">
        <v>12558</v>
      </c>
      <c r="H2626" s="7">
        <f t="shared" si="166"/>
        <v>1</v>
      </c>
      <c r="I2626" s="7" t="str" cm="1">
        <f t="array" ref="I2626">IFERROR(_xlfn.IFS(M2626="נח",1,M2626="נע ונח",1,M2626="שני שווא נח",2,M2626="שני שוואים בסוף מילה",2,M2626="שני שוואים ברצף",1),"0")</f>
        <v>0</v>
      </c>
      <c r="J2626" s="9">
        <f t="shared" si="167"/>
        <v>4</v>
      </c>
      <c r="K2626" t="s">
        <v>6698</v>
      </c>
      <c r="L2626" t="s">
        <v>6695</v>
      </c>
      <c r="P2626" t="s">
        <v>6694</v>
      </c>
      <c r="S2626" t="s">
        <v>6694</v>
      </c>
      <c r="U2626" t="s">
        <v>6694</v>
      </c>
      <c r="V2626" t="s">
        <v>6694</v>
      </c>
      <c r="W2626" t="s">
        <v>6720</v>
      </c>
    </row>
    <row r="2627" spans="1:23" ht="15.6" x14ac:dyDescent="0.4">
      <c r="A2627" s="2" t="s">
        <v>3649</v>
      </c>
      <c r="B2627" s="5" t="s">
        <v>9030</v>
      </c>
      <c r="C2627" s="7" t="s">
        <v>12556</v>
      </c>
      <c r="D2627" s="8">
        <f t="shared" ref="D2627:D2690" si="168">(LEN(B2627)-LEN(SUBSTITUTE(B2627,C2627,"")))</f>
        <v>0</v>
      </c>
      <c r="E2627" s="7" t="s">
        <v>12557</v>
      </c>
      <c r="F2627" s="7">
        <f t="shared" ref="F2627:F2690" si="169">(LEN(A2627)-LEN(SUBSTITUTE(A2627,E2627,"")))</f>
        <v>2</v>
      </c>
      <c r="G2627" s="7" t="s">
        <v>12558</v>
      </c>
      <c r="H2627" s="7">
        <f t="shared" ref="H2627:H2690" si="170">(LEN(A2627)-LEN(SUBSTITUTE(A2627,G2627,"")))/2</f>
        <v>1</v>
      </c>
      <c r="I2627" s="7" cm="1">
        <f t="array" ref="I2627">IFERROR(_xlfn.IFS(M2627="נח",1,M2627="נע ונח",1,M2627="שני שווא נח",2,M2627="שני שוואים בסוף מילה",2,M2627="שני שוואים ברצף",1),"0")</f>
        <v>1</v>
      </c>
      <c r="J2627" s="9">
        <f t="shared" ref="J2627:J2690" si="171">LEN(A2627)-(LEN(B2627))-D2627-F2627+H2627-I2627</f>
        <v>3</v>
      </c>
      <c r="K2627" t="s">
        <v>6698</v>
      </c>
      <c r="L2627" t="s">
        <v>6694</v>
      </c>
      <c r="M2627" t="s">
        <v>6705</v>
      </c>
      <c r="P2627" t="s">
        <v>6694</v>
      </c>
      <c r="Q2627" t="s">
        <v>6694</v>
      </c>
      <c r="U2627" t="s">
        <v>6694</v>
      </c>
      <c r="W2627" t="s">
        <v>6720</v>
      </c>
    </row>
    <row r="2628" spans="1:23" ht="15.6" x14ac:dyDescent="0.4">
      <c r="A2628" s="2" t="s">
        <v>1341</v>
      </c>
      <c r="B2628" s="5" t="s">
        <v>9031</v>
      </c>
      <c r="C2628" s="7" t="s">
        <v>12556</v>
      </c>
      <c r="D2628" s="8">
        <f t="shared" si="168"/>
        <v>1</v>
      </c>
      <c r="E2628" s="7" t="s">
        <v>12557</v>
      </c>
      <c r="F2628" s="7">
        <f t="shared" si="169"/>
        <v>2</v>
      </c>
      <c r="G2628" s="7" t="s">
        <v>12558</v>
      </c>
      <c r="H2628" s="7">
        <f t="shared" si="170"/>
        <v>1</v>
      </c>
      <c r="I2628" s="7" cm="1">
        <f t="array" ref="I2628">IFERROR(_xlfn.IFS(M2628="נח",1,M2628="נע ונח",1,M2628="שני שווא נח",2,M2628="שני שוואים בסוף מילה",2,M2628="שני שוואים ברצף",1),"0")</f>
        <v>1</v>
      </c>
      <c r="J2628" s="9">
        <f t="shared" si="171"/>
        <v>3</v>
      </c>
      <c r="K2628" t="s">
        <v>6698</v>
      </c>
      <c r="L2628" t="s">
        <v>6694</v>
      </c>
      <c r="M2628" t="s">
        <v>6705</v>
      </c>
      <c r="P2628" t="s">
        <v>6694</v>
      </c>
      <c r="Q2628" t="s">
        <v>6694</v>
      </c>
      <c r="U2628" t="s">
        <v>6694</v>
      </c>
      <c r="W2628" t="s">
        <v>6720</v>
      </c>
    </row>
    <row r="2629" spans="1:23" ht="15.6" x14ac:dyDescent="0.4">
      <c r="A2629" s="2" t="s">
        <v>6432</v>
      </c>
      <c r="B2629" s="5" t="s">
        <v>9032</v>
      </c>
      <c r="C2629" s="7" t="s">
        <v>12556</v>
      </c>
      <c r="D2629" s="8">
        <f t="shared" si="168"/>
        <v>0</v>
      </c>
      <c r="E2629" s="7" t="s">
        <v>12557</v>
      </c>
      <c r="F2629" s="7">
        <f t="shared" si="169"/>
        <v>2</v>
      </c>
      <c r="G2629" s="7" t="s">
        <v>12558</v>
      </c>
      <c r="H2629" s="7">
        <f t="shared" si="170"/>
        <v>1</v>
      </c>
      <c r="I2629" s="7" cm="1">
        <f t="array" ref="I2629">IFERROR(_xlfn.IFS(M2629="נח",1,M2629="נע ונח",1,M2629="שני שווא נח",2,M2629="שני שוואים בסוף מילה",2,M2629="שני שוואים ברצף",1),"0")</f>
        <v>1</v>
      </c>
      <c r="J2629" s="9">
        <f t="shared" si="171"/>
        <v>4</v>
      </c>
      <c r="K2629" t="s">
        <v>6697</v>
      </c>
      <c r="L2629" t="s">
        <v>6694</v>
      </c>
      <c r="M2629" t="s">
        <v>6705</v>
      </c>
      <c r="O2629" t="s">
        <v>6694</v>
      </c>
      <c r="S2629" t="s">
        <v>6694</v>
      </c>
      <c r="T2629" t="s">
        <v>6694</v>
      </c>
      <c r="U2629" t="s">
        <v>6694</v>
      </c>
      <c r="W2629" t="s">
        <v>6720</v>
      </c>
    </row>
    <row r="2630" spans="1:23" ht="15.6" x14ac:dyDescent="0.4">
      <c r="A2630" s="2" t="s">
        <v>5809</v>
      </c>
      <c r="B2630" s="5" t="s">
        <v>9033</v>
      </c>
      <c r="C2630" s="7" t="s">
        <v>12556</v>
      </c>
      <c r="D2630" s="8">
        <f t="shared" si="168"/>
        <v>0</v>
      </c>
      <c r="E2630" s="7" t="s">
        <v>12557</v>
      </c>
      <c r="F2630" s="7">
        <f t="shared" si="169"/>
        <v>2</v>
      </c>
      <c r="G2630" s="7" t="s">
        <v>12558</v>
      </c>
      <c r="H2630" s="7">
        <f t="shared" si="170"/>
        <v>1</v>
      </c>
      <c r="I2630" s="7" cm="1">
        <f t="array" ref="I2630">IFERROR(_xlfn.IFS(M2630="נח",1,M2630="נע ונח",1,M2630="שני שווא נח",2,M2630="שני שוואים בסוף מילה",2,M2630="שני שוואים ברצף",1),"0")</f>
        <v>1</v>
      </c>
      <c r="J2630" s="9">
        <f t="shared" si="171"/>
        <v>3</v>
      </c>
      <c r="K2630" t="s">
        <v>6697</v>
      </c>
      <c r="L2630" t="s">
        <v>6694</v>
      </c>
      <c r="M2630" t="s">
        <v>6705</v>
      </c>
      <c r="N2630" t="s">
        <v>6706</v>
      </c>
      <c r="O2630" t="s">
        <v>6694</v>
      </c>
      <c r="U2630" t="s">
        <v>6694</v>
      </c>
      <c r="V2630" t="s">
        <v>6694</v>
      </c>
      <c r="W2630" t="s">
        <v>6720</v>
      </c>
    </row>
    <row r="2631" spans="1:23" ht="15.6" x14ac:dyDescent="0.4">
      <c r="A2631" s="2" t="s">
        <v>5559</v>
      </c>
      <c r="B2631" s="5" t="s">
        <v>9034</v>
      </c>
      <c r="C2631" s="7" t="s">
        <v>12556</v>
      </c>
      <c r="D2631" s="8">
        <f t="shared" si="168"/>
        <v>0</v>
      </c>
      <c r="E2631" s="7" t="s">
        <v>12557</v>
      </c>
      <c r="F2631" s="7">
        <f t="shared" si="169"/>
        <v>1</v>
      </c>
      <c r="G2631" s="7" t="s">
        <v>12558</v>
      </c>
      <c r="H2631" s="7">
        <f t="shared" si="170"/>
        <v>1</v>
      </c>
      <c r="I2631" s="7" cm="1">
        <f t="array" ref="I2631">IFERROR(_xlfn.IFS(M2631="נח",1,M2631="נע ונח",1,M2631="שני שווא נח",2,M2631="שני שוואים בסוף מילה",2,M2631="שני שוואים ברצף",1),"0")</f>
        <v>1</v>
      </c>
      <c r="J2631" s="9">
        <f t="shared" si="171"/>
        <v>3</v>
      </c>
      <c r="K2631" t="s">
        <v>6697</v>
      </c>
      <c r="L2631" t="s">
        <v>6694</v>
      </c>
      <c r="M2631" t="s">
        <v>6705</v>
      </c>
      <c r="U2631" t="s">
        <v>6694</v>
      </c>
      <c r="V2631" t="s">
        <v>6694</v>
      </c>
      <c r="W2631" t="s">
        <v>6720</v>
      </c>
    </row>
    <row r="2632" spans="1:23" ht="15.6" x14ac:dyDescent="0.4">
      <c r="A2632" s="2" t="s">
        <v>2559</v>
      </c>
      <c r="B2632" s="5" t="s">
        <v>9035</v>
      </c>
      <c r="C2632" s="7" t="s">
        <v>12556</v>
      </c>
      <c r="D2632" s="8">
        <f t="shared" si="168"/>
        <v>0</v>
      </c>
      <c r="E2632" s="7" t="s">
        <v>12557</v>
      </c>
      <c r="F2632" s="7">
        <f t="shared" si="169"/>
        <v>2</v>
      </c>
      <c r="G2632" s="7" t="s">
        <v>12558</v>
      </c>
      <c r="H2632" s="7">
        <f t="shared" si="170"/>
        <v>1</v>
      </c>
      <c r="I2632" s="7" cm="1">
        <f t="array" ref="I2632">IFERROR(_xlfn.IFS(M2632="נח",1,M2632="נע ונח",1,M2632="שני שווא נח",2,M2632="שני שוואים בסוף מילה",2,M2632="שני שוואים ברצף",1),"0")</f>
        <v>1</v>
      </c>
      <c r="J2632" s="9">
        <f t="shared" si="171"/>
        <v>3</v>
      </c>
      <c r="K2632" t="s">
        <v>6697</v>
      </c>
      <c r="L2632" t="s">
        <v>6694</v>
      </c>
      <c r="M2632" t="s">
        <v>6705</v>
      </c>
      <c r="N2632" t="s">
        <v>6706</v>
      </c>
      <c r="O2632" t="s">
        <v>6694</v>
      </c>
      <c r="U2632" t="s">
        <v>6694</v>
      </c>
      <c r="V2632" t="s">
        <v>6694</v>
      </c>
      <c r="W2632" t="s">
        <v>6720</v>
      </c>
    </row>
    <row r="2633" spans="1:23" ht="15.6" x14ac:dyDescent="0.4">
      <c r="A2633" s="2" t="s">
        <v>4783</v>
      </c>
      <c r="B2633" s="5" t="s">
        <v>9036</v>
      </c>
      <c r="C2633" s="7" t="s">
        <v>12556</v>
      </c>
      <c r="D2633" s="8">
        <f t="shared" si="168"/>
        <v>1</v>
      </c>
      <c r="E2633" s="7" t="s">
        <v>12557</v>
      </c>
      <c r="F2633" s="7">
        <f t="shared" si="169"/>
        <v>2</v>
      </c>
      <c r="G2633" s="7" t="s">
        <v>12558</v>
      </c>
      <c r="H2633" s="7">
        <f t="shared" si="170"/>
        <v>1</v>
      </c>
      <c r="I2633" s="7" cm="1">
        <f t="array" ref="I2633">IFERROR(_xlfn.IFS(M2633="נח",1,M2633="נע ונח",1,M2633="שני שווא נח",2,M2633="שני שוואים בסוף מילה",2,M2633="שני שוואים ברצף",1),"0")</f>
        <v>1</v>
      </c>
      <c r="J2633" s="9">
        <f t="shared" si="171"/>
        <v>3</v>
      </c>
      <c r="K2633" t="s">
        <v>6697</v>
      </c>
      <c r="L2633" t="s">
        <v>6694</v>
      </c>
      <c r="M2633" t="s">
        <v>6705</v>
      </c>
      <c r="P2633" t="s">
        <v>6694</v>
      </c>
      <c r="R2633" t="s">
        <v>6694</v>
      </c>
      <c r="U2633" t="s">
        <v>6694</v>
      </c>
      <c r="W2633" t="s">
        <v>6720</v>
      </c>
    </row>
    <row r="2634" spans="1:23" ht="15.6" x14ac:dyDescent="0.4">
      <c r="A2634" s="2" t="s">
        <v>4690</v>
      </c>
      <c r="B2634" s="5" t="s">
        <v>9037</v>
      </c>
      <c r="C2634" s="7" t="s">
        <v>12556</v>
      </c>
      <c r="D2634" s="8">
        <f t="shared" si="168"/>
        <v>0</v>
      </c>
      <c r="E2634" s="7" t="s">
        <v>12557</v>
      </c>
      <c r="F2634" s="7">
        <f t="shared" si="169"/>
        <v>1</v>
      </c>
      <c r="G2634" s="7" t="s">
        <v>12558</v>
      </c>
      <c r="H2634" s="7">
        <f t="shared" si="170"/>
        <v>1</v>
      </c>
      <c r="I2634" s="7" cm="1">
        <f t="array" ref="I2634">IFERROR(_xlfn.IFS(M2634="נח",1,M2634="נע ונח",1,M2634="שני שווא נח",2,M2634="שני שוואים בסוף מילה",2,M2634="שני שוואים ברצף",1),"0")</f>
        <v>1</v>
      </c>
      <c r="J2634" s="9">
        <f t="shared" si="171"/>
        <v>4</v>
      </c>
      <c r="K2634" t="s">
        <v>6697</v>
      </c>
      <c r="L2634" t="s">
        <v>6694</v>
      </c>
      <c r="M2634" t="s">
        <v>6705</v>
      </c>
      <c r="O2634" t="s">
        <v>6694</v>
      </c>
      <c r="U2634" t="s">
        <v>6694</v>
      </c>
      <c r="V2634" t="s">
        <v>6694</v>
      </c>
      <c r="W2634" t="s">
        <v>6720</v>
      </c>
    </row>
    <row r="2635" spans="1:23" ht="15.6" x14ac:dyDescent="0.4">
      <c r="A2635" s="2" t="s">
        <v>2915</v>
      </c>
      <c r="B2635" s="5" t="s">
        <v>9038</v>
      </c>
      <c r="C2635" s="7" t="s">
        <v>12556</v>
      </c>
      <c r="D2635" s="8">
        <f t="shared" si="168"/>
        <v>0</v>
      </c>
      <c r="E2635" s="7" t="s">
        <v>12557</v>
      </c>
      <c r="F2635" s="7">
        <f t="shared" si="169"/>
        <v>1</v>
      </c>
      <c r="G2635" s="7" t="s">
        <v>12558</v>
      </c>
      <c r="H2635" s="7">
        <f t="shared" si="170"/>
        <v>1</v>
      </c>
      <c r="I2635" s="7" cm="1">
        <f t="array" ref="I2635">IFERROR(_xlfn.IFS(M2635="נח",1,M2635="נע ונח",1,M2635="שני שווא נח",2,M2635="שני שוואים בסוף מילה",2,M2635="שני שוואים ברצף",1),"0")</f>
        <v>2</v>
      </c>
      <c r="J2635" s="9">
        <f t="shared" si="171"/>
        <v>3</v>
      </c>
      <c r="K2635" t="s">
        <v>6697</v>
      </c>
      <c r="L2635" t="s">
        <v>6694</v>
      </c>
      <c r="M2635" t="s">
        <v>6704</v>
      </c>
      <c r="P2635" t="s">
        <v>6694</v>
      </c>
      <c r="S2635" t="s">
        <v>6694</v>
      </c>
      <c r="U2635" t="s">
        <v>6694</v>
      </c>
      <c r="W2635" t="s">
        <v>6720</v>
      </c>
    </row>
    <row r="2636" spans="1:23" ht="15.6" x14ac:dyDescent="0.4">
      <c r="A2636" s="2" t="s">
        <v>331</v>
      </c>
      <c r="B2636" s="5" t="s">
        <v>9039</v>
      </c>
      <c r="C2636" s="7" t="s">
        <v>12556</v>
      </c>
      <c r="D2636" s="8">
        <f t="shared" si="168"/>
        <v>0</v>
      </c>
      <c r="E2636" s="7" t="s">
        <v>12557</v>
      </c>
      <c r="F2636" s="7">
        <f t="shared" si="169"/>
        <v>1</v>
      </c>
      <c r="G2636" s="7" t="s">
        <v>12558</v>
      </c>
      <c r="H2636" s="7">
        <f t="shared" si="170"/>
        <v>1</v>
      </c>
      <c r="I2636" s="7" cm="1">
        <f t="array" ref="I2636">IFERROR(_xlfn.IFS(M2636="נח",1,M2636="נע ונח",1,M2636="שני שווא נח",2,M2636="שני שוואים בסוף מילה",2,M2636="שני שוואים ברצף",1),"0")</f>
        <v>1</v>
      </c>
      <c r="J2636" s="9">
        <f t="shared" si="171"/>
        <v>3</v>
      </c>
      <c r="K2636" t="s">
        <v>6698</v>
      </c>
      <c r="L2636" t="s">
        <v>6694</v>
      </c>
      <c r="M2636" t="s">
        <v>6705</v>
      </c>
      <c r="O2636" t="s">
        <v>6694</v>
      </c>
      <c r="Q2636" t="s">
        <v>6694</v>
      </c>
      <c r="U2636" t="s">
        <v>6694</v>
      </c>
      <c r="W2636" t="s">
        <v>6720</v>
      </c>
    </row>
    <row r="2637" spans="1:23" ht="15.6" x14ac:dyDescent="0.4">
      <c r="A2637" s="2" t="s">
        <v>465</v>
      </c>
      <c r="B2637" s="5" t="s">
        <v>9040</v>
      </c>
      <c r="C2637" s="7" t="s">
        <v>12556</v>
      </c>
      <c r="D2637" s="8">
        <f t="shared" si="168"/>
        <v>0</v>
      </c>
      <c r="E2637" s="7" t="s">
        <v>12557</v>
      </c>
      <c r="F2637" s="7">
        <f t="shared" si="169"/>
        <v>2</v>
      </c>
      <c r="G2637" s="7" t="s">
        <v>12558</v>
      </c>
      <c r="H2637" s="7">
        <f t="shared" si="170"/>
        <v>2</v>
      </c>
      <c r="I2637" s="7" cm="1">
        <f t="array" ref="I2637">IFERROR(_xlfn.IFS(M2637="נח",1,M2637="נע ונח",1,M2637="שני שווא נח",2,M2637="שני שוואים בסוף מילה",2,M2637="שני שוואים ברצף",1),"0")</f>
        <v>1</v>
      </c>
      <c r="J2637" s="9">
        <f t="shared" si="171"/>
        <v>4</v>
      </c>
      <c r="K2637" t="s">
        <v>6697</v>
      </c>
      <c r="L2637" t="s">
        <v>6694</v>
      </c>
      <c r="M2637" t="s">
        <v>6705</v>
      </c>
      <c r="O2637" t="s">
        <v>6694</v>
      </c>
      <c r="S2637" t="s">
        <v>6694</v>
      </c>
      <c r="U2637" t="s">
        <v>6694</v>
      </c>
      <c r="W2637" t="s">
        <v>6720</v>
      </c>
    </row>
    <row r="2638" spans="1:23" ht="15.6" x14ac:dyDescent="0.4">
      <c r="A2638" s="2" t="s">
        <v>2534</v>
      </c>
      <c r="B2638" s="5" t="s">
        <v>9041</v>
      </c>
      <c r="C2638" s="7" t="s">
        <v>12556</v>
      </c>
      <c r="D2638" s="8">
        <f t="shared" si="168"/>
        <v>0</v>
      </c>
      <c r="E2638" s="7" t="s">
        <v>12557</v>
      </c>
      <c r="F2638" s="7">
        <f t="shared" si="169"/>
        <v>2</v>
      </c>
      <c r="G2638" s="7" t="s">
        <v>12558</v>
      </c>
      <c r="H2638" s="7">
        <f t="shared" si="170"/>
        <v>1</v>
      </c>
      <c r="I2638" s="7" cm="1">
        <f t="array" ref="I2638">IFERROR(_xlfn.IFS(M2638="נח",1,M2638="נע ונח",1,M2638="שני שווא נח",2,M2638="שני שוואים בסוף מילה",2,M2638="שני שוואים ברצף",1),"0")</f>
        <v>1</v>
      </c>
      <c r="J2638" s="9">
        <f t="shared" si="171"/>
        <v>4</v>
      </c>
      <c r="K2638" t="s">
        <v>6698</v>
      </c>
      <c r="L2638" t="s">
        <v>6694</v>
      </c>
      <c r="M2638" t="s">
        <v>6705</v>
      </c>
      <c r="N2638" t="s">
        <v>6706</v>
      </c>
      <c r="O2638" t="s">
        <v>6694</v>
      </c>
      <c r="T2638" t="s">
        <v>6694</v>
      </c>
      <c r="U2638" t="s">
        <v>6694</v>
      </c>
      <c r="W2638" t="s">
        <v>6720</v>
      </c>
    </row>
    <row r="2639" spans="1:23" ht="15.6" x14ac:dyDescent="0.4">
      <c r="A2639" s="2" t="s">
        <v>1886</v>
      </c>
      <c r="B2639" s="5" t="s">
        <v>9042</v>
      </c>
      <c r="C2639" s="7" t="s">
        <v>12556</v>
      </c>
      <c r="D2639" s="8">
        <f t="shared" si="168"/>
        <v>1</v>
      </c>
      <c r="E2639" s="7" t="s">
        <v>12557</v>
      </c>
      <c r="F2639" s="7">
        <f t="shared" si="169"/>
        <v>2</v>
      </c>
      <c r="G2639" s="7" t="s">
        <v>12558</v>
      </c>
      <c r="H2639" s="7">
        <f t="shared" si="170"/>
        <v>1</v>
      </c>
      <c r="I2639" s="7" cm="1">
        <f t="array" ref="I2639">IFERROR(_xlfn.IFS(M2639="נח",1,M2639="נע ונח",1,M2639="שני שווא נח",2,M2639="שני שוואים בסוף מילה",2,M2639="שני שוואים ברצף",1),"0")</f>
        <v>2</v>
      </c>
      <c r="J2639" s="9">
        <f t="shared" si="171"/>
        <v>3</v>
      </c>
      <c r="K2639" t="s">
        <v>6698</v>
      </c>
      <c r="L2639" t="s">
        <v>6694</v>
      </c>
      <c r="M2639" t="s">
        <v>6704</v>
      </c>
      <c r="P2639" t="s">
        <v>6694</v>
      </c>
      <c r="Q2639" t="s">
        <v>6694</v>
      </c>
      <c r="U2639" t="s">
        <v>6694</v>
      </c>
      <c r="W2639" t="s">
        <v>6720</v>
      </c>
    </row>
    <row r="2640" spans="1:23" ht="15.6" x14ac:dyDescent="0.4">
      <c r="A2640" s="2" t="s">
        <v>3426</v>
      </c>
      <c r="B2640" s="5" t="s">
        <v>9043</v>
      </c>
      <c r="C2640" s="7" t="s">
        <v>12556</v>
      </c>
      <c r="D2640" s="8">
        <f t="shared" si="168"/>
        <v>1</v>
      </c>
      <c r="E2640" s="7" t="s">
        <v>12557</v>
      </c>
      <c r="F2640" s="7">
        <f t="shared" si="169"/>
        <v>2</v>
      </c>
      <c r="G2640" s="7" t="s">
        <v>12558</v>
      </c>
      <c r="H2640" s="7">
        <f t="shared" si="170"/>
        <v>1</v>
      </c>
      <c r="I2640" s="7" cm="1">
        <f t="array" ref="I2640">IFERROR(_xlfn.IFS(M2640="נח",1,M2640="נע ונח",1,M2640="שני שווא נח",2,M2640="שני שוואים בסוף מילה",2,M2640="שני שוואים ברצף",1),"0")</f>
        <v>1</v>
      </c>
      <c r="J2640" s="9">
        <f t="shared" si="171"/>
        <v>3</v>
      </c>
      <c r="K2640" t="s">
        <v>6698</v>
      </c>
      <c r="L2640" t="s">
        <v>6694</v>
      </c>
      <c r="M2640" t="s">
        <v>6705</v>
      </c>
      <c r="P2640" t="s">
        <v>6694</v>
      </c>
      <c r="Q2640" t="s">
        <v>6694</v>
      </c>
      <c r="U2640" t="s">
        <v>6694</v>
      </c>
      <c r="W2640" t="s">
        <v>6720</v>
      </c>
    </row>
    <row r="2641" spans="1:23" ht="15.6" x14ac:dyDescent="0.4">
      <c r="A2641" s="2" t="s">
        <v>3620</v>
      </c>
      <c r="B2641" s="5" t="s">
        <v>9044</v>
      </c>
      <c r="C2641" s="7" t="s">
        <v>12556</v>
      </c>
      <c r="D2641" s="8">
        <f t="shared" si="168"/>
        <v>1</v>
      </c>
      <c r="E2641" s="7" t="s">
        <v>12557</v>
      </c>
      <c r="F2641" s="7">
        <f t="shared" si="169"/>
        <v>2</v>
      </c>
      <c r="G2641" s="7" t="s">
        <v>12558</v>
      </c>
      <c r="H2641" s="7">
        <f t="shared" si="170"/>
        <v>2</v>
      </c>
      <c r="I2641" s="7" cm="1">
        <f t="array" ref="I2641">IFERROR(_xlfn.IFS(M2641="נח",1,M2641="נע ונח",1,M2641="שני שווא נח",2,M2641="שני שוואים בסוף מילה",2,M2641="שני שוואים ברצף",1),"0")</f>
        <v>2</v>
      </c>
      <c r="J2641" s="9">
        <f t="shared" si="171"/>
        <v>4</v>
      </c>
      <c r="K2641" t="s">
        <v>6697</v>
      </c>
      <c r="L2641" t="s">
        <v>6694</v>
      </c>
      <c r="M2641" t="s">
        <v>6704</v>
      </c>
      <c r="P2641" t="s">
        <v>6694</v>
      </c>
      <c r="Q2641" t="s">
        <v>6694</v>
      </c>
      <c r="U2641" t="s">
        <v>6694</v>
      </c>
      <c r="W2641" t="s">
        <v>6720</v>
      </c>
    </row>
    <row r="2642" spans="1:23" ht="15.6" x14ac:dyDescent="0.4">
      <c r="A2642" s="2" t="s">
        <v>1847</v>
      </c>
      <c r="B2642" s="5" t="s">
        <v>9045</v>
      </c>
      <c r="C2642" s="7" t="s">
        <v>12556</v>
      </c>
      <c r="D2642" s="8">
        <f t="shared" si="168"/>
        <v>1</v>
      </c>
      <c r="E2642" s="7" t="s">
        <v>12557</v>
      </c>
      <c r="F2642" s="7">
        <f t="shared" si="169"/>
        <v>1</v>
      </c>
      <c r="G2642" s="7" t="s">
        <v>12558</v>
      </c>
      <c r="H2642" s="7">
        <f t="shared" si="170"/>
        <v>1</v>
      </c>
      <c r="I2642" s="7" cm="1">
        <f t="array" ref="I2642">IFERROR(_xlfn.IFS(M2642="נח",1,M2642="נע ונח",1,M2642="שני שווא נח",2,M2642="שני שוואים בסוף מילה",2,M2642="שני שוואים ברצף",1),"0")</f>
        <v>2</v>
      </c>
      <c r="J2642" s="9">
        <f t="shared" si="171"/>
        <v>3</v>
      </c>
      <c r="K2642" t="s">
        <v>6698</v>
      </c>
      <c r="L2642" t="s">
        <v>6694</v>
      </c>
      <c r="M2642" t="s">
        <v>6704</v>
      </c>
      <c r="P2642" t="s">
        <v>6694</v>
      </c>
      <c r="U2642" t="s">
        <v>6694</v>
      </c>
      <c r="W2642" t="s">
        <v>6720</v>
      </c>
    </row>
    <row r="2643" spans="1:23" ht="15.6" x14ac:dyDescent="0.4">
      <c r="A2643" s="2" t="s">
        <v>5839</v>
      </c>
      <c r="B2643" s="5" t="s">
        <v>9046</v>
      </c>
      <c r="C2643" s="7" t="s">
        <v>12556</v>
      </c>
      <c r="D2643" s="8">
        <f t="shared" si="168"/>
        <v>1</v>
      </c>
      <c r="E2643" s="7" t="s">
        <v>12557</v>
      </c>
      <c r="F2643" s="7">
        <f t="shared" si="169"/>
        <v>1</v>
      </c>
      <c r="G2643" s="7" t="s">
        <v>12558</v>
      </c>
      <c r="H2643" s="7">
        <f t="shared" si="170"/>
        <v>1</v>
      </c>
      <c r="I2643" s="7" cm="1">
        <f t="array" ref="I2643">IFERROR(_xlfn.IFS(M2643="נח",1,M2643="נע ונח",1,M2643="שני שווא נח",2,M2643="שני שוואים בסוף מילה",2,M2643="שני שוואים ברצף",1),"0")</f>
        <v>2</v>
      </c>
      <c r="J2643" s="9">
        <f t="shared" si="171"/>
        <v>3</v>
      </c>
      <c r="K2643" t="s">
        <v>6698</v>
      </c>
      <c r="L2643" t="s">
        <v>6694</v>
      </c>
      <c r="M2643" t="s">
        <v>6704</v>
      </c>
      <c r="N2643" t="s">
        <v>6706</v>
      </c>
      <c r="O2643" t="s">
        <v>6694</v>
      </c>
      <c r="P2643" t="s">
        <v>6694</v>
      </c>
      <c r="U2643" t="s">
        <v>6694</v>
      </c>
      <c r="W2643" t="s">
        <v>6720</v>
      </c>
    </row>
    <row r="2644" spans="1:23" ht="15.6" x14ac:dyDescent="0.4">
      <c r="A2644" s="2" t="s">
        <v>1492</v>
      </c>
      <c r="B2644" s="5" t="s">
        <v>9047</v>
      </c>
      <c r="C2644" s="7" t="s">
        <v>12556</v>
      </c>
      <c r="D2644" s="8">
        <f t="shared" si="168"/>
        <v>0</v>
      </c>
      <c r="E2644" s="7" t="s">
        <v>12557</v>
      </c>
      <c r="F2644" s="7">
        <f t="shared" si="169"/>
        <v>2</v>
      </c>
      <c r="G2644" s="7" t="s">
        <v>12558</v>
      </c>
      <c r="H2644" s="7">
        <f t="shared" si="170"/>
        <v>2</v>
      </c>
      <c r="I2644" s="7" cm="1">
        <f t="array" ref="I2644">IFERROR(_xlfn.IFS(M2644="נח",1,M2644="נע ונח",1,M2644="שני שווא נח",2,M2644="שני שוואים בסוף מילה",2,M2644="שני שוואים ברצף",1),"0")</f>
        <v>1</v>
      </c>
      <c r="J2644" s="9">
        <f t="shared" si="171"/>
        <v>3</v>
      </c>
      <c r="K2644" t="s">
        <v>6698</v>
      </c>
      <c r="L2644" t="s">
        <v>6694</v>
      </c>
      <c r="M2644" t="s">
        <v>6705</v>
      </c>
      <c r="S2644" t="s">
        <v>6694</v>
      </c>
      <c r="U2644" t="s">
        <v>6694</v>
      </c>
      <c r="W2644" t="s">
        <v>6720</v>
      </c>
    </row>
    <row r="2645" spans="1:23" ht="15.6" x14ac:dyDescent="0.4">
      <c r="A2645" s="2" t="s">
        <v>3450</v>
      </c>
      <c r="B2645" s="5" t="s">
        <v>9048</v>
      </c>
      <c r="C2645" s="7" t="s">
        <v>12556</v>
      </c>
      <c r="D2645" s="8">
        <f t="shared" si="168"/>
        <v>0</v>
      </c>
      <c r="E2645" s="7" t="s">
        <v>12557</v>
      </c>
      <c r="F2645" s="7">
        <f t="shared" si="169"/>
        <v>2</v>
      </c>
      <c r="G2645" s="7" t="s">
        <v>12558</v>
      </c>
      <c r="H2645" s="7">
        <f t="shared" si="170"/>
        <v>1</v>
      </c>
      <c r="I2645" s="7" t="str" cm="1">
        <f t="array" ref="I2645">IFERROR(_xlfn.IFS(M2645="נח",1,M2645="נע ונח",1,M2645="שני שווא נח",2,M2645="שני שוואים בסוף מילה",2,M2645="שני שוואים ברצף",1),"0")</f>
        <v>0</v>
      </c>
      <c r="J2645" s="9">
        <f t="shared" si="171"/>
        <v>3</v>
      </c>
      <c r="K2645" t="s">
        <v>6698</v>
      </c>
      <c r="L2645" t="s">
        <v>6695</v>
      </c>
      <c r="P2645" t="s">
        <v>6694</v>
      </c>
      <c r="S2645" t="s">
        <v>6694</v>
      </c>
      <c r="U2645" t="s">
        <v>6694</v>
      </c>
      <c r="W2645" t="s">
        <v>6720</v>
      </c>
    </row>
    <row r="2646" spans="1:23" ht="15.6" x14ac:dyDescent="0.4">
      <c r="A2646" s="2" t="s">
        <v>2040</v>
      </c>
      <c r="B2646" s="5" t="s">
        <v>9049</v>
      </c>
      <c r="C2646" s="7" t="s">
        <v>12556</v>
      </c>
      <c r="D2646" s="8">
        <f t="shared" si="168"/>
        <v>0</v>
      </c>
      <c r="E2646" s="7" t="s">
        <v>12557</v>
      </c>
      <c r="F2646" s="7">
        <f t="shared" si="169"/>
        <v>1</v>
      </c>
      <c r="G2646" s="7" t="s">
        <v>12558</v>
      </c>
      <c r="H2646" s="7">
        <f t="shared" si="170"/>
        <v>1</v>
      </c>
      <c r="I2646" s="7" t="str" cm="1">
        <f t="array" ref="I2646">IFERROR(_xlfn.IFS(M2646="נח",1,M2646="נע ונח",1,M2646="שני שווא נח",2,M2646="שני שוואים בסוף מילה",2,M2646="שני שוואים ברצף",1),"0")</f>
        <v>0</v>
      </c>
      <c r="J2646" s="9">
        <f t="shared" si="171"/>
        <v>2</v>
      </c>
      <c r="K2646" t="s">
        <v>6697</v>
      </c>
      <c r="L2646" t="s">
        <v>6695</v>
      </c>
      <c r="S2646" t="s">
        <v>6694</v>
      </c>
      <c r="U2646" t="s">
        <v>6694</v>
      </c>
      <c r="W2646" t="s">
        <v>6720</v>
      </c>
    </row>
    <row r="2647" spans="1:23" ht="15.6" x14ac:dyDescent="0.4">
      <c r="A2647" s="2" t="s">
        <v>3235</v>
      </c>
      <c r="B2647" s="5" t="s">
        <v>9050</v>
      </c>
      <c r="C2647" s="7" t="s">
        <v>12556</v>
      </c>
      <c r="D2647" s="8">
        <f t="shared" si="168"/>
        <v>0</v>
      </c>
      <c r="E2647" s="7" t="s">
        <v>12557</v>
      </c>
      <c r="F2647" s="7">
        <f t="shared" si="169"/>
        <v>2</v>
      </c>
      <c r="G2647" s="7" t="s">
        <v>12558</v>
      </c>
      <c r="H2647" s="7">
        <f t="shared" si="170"/>
        <v>1</v>
      </c>
      <c r="I2647" s="7" t="str" cm="1">
        <f t="array" ref="I2647">IFERROR(_xlfn.IFS(M2647="נח",1,M2647="נע ונח",1,M2647="שני שווא נח",2,M2647="שני שוואים בסוף מילה",2,M2647="שני שוואים ברצף",1),"0")</f>
        <v>0</v>
      </c>
      <c r="J2647" s="9">
        <f t="shared" si="171"/>
        <v>3</v>
      </c>
      <c r="K2647" t="s">
        <v>6698</v>
      </c>
      <c r="L2647" t="s">
        <v>6695</v>
      </c>
      <c r="P2647" t="s">
        <v>6694</v>
      </c>
      <c r="S2647" t="s">
        <v>6694</v>
      </c>
      <c r="U2647" t="s">
        <v>6694</v>
      </c>
      <c r="W2647" t="s">
        <v>6720</v>
      </c>
    </row>
    <row r="2648" spans="1:23" ht="15.6" x14ac:dyDescent="0.4">
      <c r="A2648" s="2" t="s">
        <v>6125</v>
      </c>
      <c r="B2648" s="5" t="s">
        <v>9051</v>
      </c>
      <c r="C2648" s="7" t="s">
        <v>12556</v>
      </c>
      <c r="D2648" s="8">
        <f t="shared" si="168"/>
        <v>0</v>
      </c>
      <c r="E2648" s="7" t="s">
        <v>12557</v>
      </c>
      <c r="F2648" s="7">
        <f t="shared" si="169"/>
        <v>2</v>
      </c>
      <c r="G2648" s="7" t="s">
        <v>12558</v>
      </c>
      <c r="H2648" s="7">
        <f t="shared" si="170"/>
        <v>1</v>
      </c>
      <c r="I2648" s="7" t="str" cm="1">
        <f t="array" ref="I2648">IFERROR(_xlfn.IFS(M2648="נח",1,M2648="נע ונח",1,M2648="שני שווא נח",2,M2648="שני שוואים בסוף מילה",2,M2648="שני שוואים ברצף",1),"0")</f>
        <v>0</v>
      </c>
      <c r="J2648" s="9">
        <f t="shared" si="171"/>
        <v>3</v>
      </c>
      <c r="K2648" t="s">
        <v>6698</v>
      </c>
      <c r="L2648" t="s">
        <v>6695</v>
      </c>
      <c r="N2648" t="s">
        <v>6706</v>
      </c>
      <c r="O2648" t="s">
        <v>6694</v>
      </c>
      <c r="S2648" t="s">
        <v>6694</v>
      </c>
      <c r="U2648" t="s">
        <v>6694</v>
      </c>
      <c r="W2648" t="s">
        <v>6720</v>
      </c>
    </row>
    <row r="2649" spans="1:23" ht="15.6" x14ac:dyDescent="0.4">
      <c r="A2649" s="2" t="s">
        <v>4209</v>
      </c>
      <c r="B2649" s="5" t="s">
        <v>9052</v>
      </c>
      <c r="C2649" s="7" t="s">
        <v>12556</v>
      </c>
      <c r="D2649" s="8">
        <f t="shared" si="168"/>
        <v>1</v>
      </c>
      <c r="E2649" s="7" t="s">
        <v>12557</v>
      </c>
      <c r="F2649" s="7">
        <f t="shared" si="169"/>
        <v>2</v>
      </c>
      <c r="G2649" s="7" t="s">
        <v>12558</v>
      </c>
      <c r="H2649" s="7">
        <f t="shared" si="170"/>
        <v>1</v>
      </c>
      <c r="I2649" s="7" t="str" cm="1">
        <f t="array" ref="I2649">IFERROR(_xlfn.IFS(M2649="נח",1,M2649="נע ונח",1,M2649="שני שווא נח",2,M2649="שני שוואים בסוף מילה",2,M2649="שני שוואים ברצף",1),"0")</f>
        <v>0</v>
      </c>
      <c r="J2649" s="9">
        <f t="shared" si="171"/>
        <v>4</v>
      </c>
      <c r="K2649" t="s">
        <v>6698</v>
      </c>
      <c r="L2649" t="s">
        <v>6695</v>
      </c>
      <c r="P2649" t="s">
        <v>6694</v>
      </c>
      <c r="S2649" t="s">
        <v>6694</v>
      </c>
      <c r="U2649" t="s">
        <v>6694</v>
      </c>
      <c r="W2649" t="s">
        <v>6720</v>
      </c>
    </row>
    <row r="2650" spans="1:23" ht="15.6" x14ac:dyDescent="0.4">
      <c r="A2650" s="2" t="s">
        <v>2746</v>
      </c>
      <c r="B2650" s="5" t="s">
        <v>9053</v>
      </c>
      <c r="C2650" s="7" t="s">
        <v>12556</v>
      </c>
      <c r="D2650" s="8">
        <f t="shared" si="168"/>
        <v>0</v>
      </c>
      <c r="E2650" s="7" t="s">
        <v>12557</v>
      </c>
      <c r="F2650" s="7">
        <f t="shared" si="169"/>
        <v>2</v>
      </c>
      <c r="G2650" s="7" t="s">
        <v>12558</v>
      </c>
      <c r="H2650" s="7">
        <f t="shared" si="170"/>
        <v>1</v>
      </c>
      <c r="I2650" s="7" t="str" cm="1">
        <f t="array" ref="I2650">IFERROR(_xlfn.IFS(M2650="נח",1,M2650="נע ונח",1,M2650="שני שווא נח",2,M2650="שני שוואים בסוף מילה",2,M2650="שני שוואים ברצף",1),"0")</f>
        <v>0</v>
      </c>
      <c r="J2650" s="9">
        <f t="shared" si="171"/>
        <v>3</v>
      </c>
      <c r="K2650" t="s">
        <v>6698</v>
      </c>
      <c r="L2650" t="s">
        <v>6695</v>
      </c>
      <c r="N2650" t="s">
        <v>6706</v>
      </c>
      <c r="O2650" t="s">
        <v>6694</v>
      </c>
      <c r="S2650" t="s">
        <v>6694</v>
      </c>
      <c r="U2650" t="s">
        <v>6694</v>
      </c>
      <c r="W2650" t="s">
        <v>6720</v>
      </c>
    </row>
    <row r="2651" spans="1:23" ht="15.6" x14ac:dyDescent="0.4">
      <c r="A2651" s="2" t="s">
        <v>4694</v>
      </c>
      <c r="B2651" s="5" t="s">
        <v>9054</v>
      </c>
      <c r="C2651" s="7" t="s">
        <v>12556</v>
      </c>
      <c r="D2651" s="8">
        <f t="shared" si="168"/>
        <v>0</v>
      </c>
      <c r="E2651" s="7" t="s">
        <v>12557</v>
      </c>
      <c r="F2651" s="7">
        <f t="shared" si="169"/>
        <v>1</v>
      </c>
      <c r="G2651" s="7" t="s">
        <v>12558</v>
      </c>
      <c r="H2651" s="7">
        <f t="shared" si="170"/>
        <v>1</v>
      </c>
      <c r="I2651" s="7" cm="1">
        <f t="array" ref="I2651">IFERROR(_xlfn.IFS(M2651="נח",1,M2651="נע ונח",1,M2651="שני שווא נח",2,M2651="שני שוואים בסוף מילה",2,M2651="שני שוואים ברצף",1),"0")</f>
        <v>1</v>
      </c>
      <c r="J2651" s="9">
        <f t="shared" si="171"/>
        <v>4</v>
      </c>
      <c r="K2651" t="s">
        <v>6697</v>
      </c>
      <c r="L2651" t="s">
        <v>6694</v>
      </c>
      <c r="M2651" t="s">
        <v>6705</v>
      </c>
      <c r="O2651" t="s">
        <v>6694</v>
      </c>
      <c r="S2651" t="s">
        <v>6694</v>
      </c>
      <c r="U2651" t="s">
        <v>6694</v>
      </c>
      <c r="W2651" t="s">
        <v>6720</v>
      </c>
    </row>
    <row r="2652" spans="1:23" ht="15.6" x14ac:dyDescent="0.4">
      <c r="A2652" s="2" t="s">
        <v>1587</v>
      </c>
      <c r="B2652" s="5" t="s">
        <v>9055</v>
      </c>
      <c r="C2652" s="7" t="s">
        <v>12556</v>
      </c>
      <c r="D2652" s="8">
        <f t="shared" si="168"/>
        <v>0</v>
      </c>
      <c r="E2652" s="7" t="s">
        <v>12557</v>
      </c>
      <c r="F2652" s="7">
        <f t="shared" si="169"/>
        <v>3</v>
      </c>
      <c r="G2652" s="7" t="s">
        <v>12558</v>
      </c>
      <c r="H2652" s="7">
        <f t="shared" si="170"/>
        <v>2</v>
      </c>
      <c r="I2652" s="7" cm="1">
        <f t="array" ref="I2652">IFERROR(_xlfn.IFS(M2652="נח",1,M2652="נע ונח",1,M2652="שני שווא נח",2,M2652="שני שוואים בסוף מילה",2,M2652="שני שוואים ברצף",1),"0")</f>
        <v>1</v>
      </c>
      <c r="J2652" s="9">
        <f t="shared" si="171"/>
        <v>6</v>
      </c>
      <c r="K2652" t="s">
        <v>6698</v>
      </c>
      <c r="L2652" t="s">
        <v>6694</v>
      </c>
      <c r="M2652" t="s">
        <v>6705</v>
      </c>
      <c r="Q2652" t="s">
        <v>6694</v>
      </c>
      <c r="R2652" t="s">
        <v>6694</v>
      </c>
      <c r="S2652" t="s">
        <v>6694</v>
      </c>
      <c r="U2652" t="s">
        <v>6694</v>
      </c>
      <c r="V2652" t="s">
        <v>6694</v>
      </c>
      <c r="W2652" t="s">
        <v>6720</v>
      </c>
    </row>
    <row r="2653" spans="1:23" ht="15.6" x14ac:dyDescent="0.4">
      <c r="A2653" s="2" t="s">
        <v>4609</v>
      </c>
      <c r="B2653" s="5" t="s">
        <v>9056</v>
      </c>
      <c r="C2653" s="7" t="s">
        <v>12556</v>
      </c>
      <c r="D2653" s="8">
        <f t="shared" si="168"/>
        <v>0</v>
      </c>
      <c r="E2653" s="7" t="s">
        <v>12557</v>
      </c>
      <c r="F2653" s="7">
        <f t="shared" si="169"/>
        <v>3</v>
      </c>
      <c r="G2653" s="7" t="s">
        <v>12558</v>
      </c>
      <c r="H2653" s="7">
        <f t="shared" si="170"/>
        <v>1</v>
      </c>
      <c r="I2653" s="7" t="str" cm="1">
        <f t="array" ref="I2653">IFERROR(_xlfn.IFS(M2653="נח",1,M2653="נע ונח",1,M2653="שני שווא נח",2,M2653="שני שוואים בסוף מילה",2,M2653="שני שוואים ברצף",1),"0")</f>
        <v>0</v>
      </c>
      <c r="J2653" s="9">
        <f t="shared" si="171"/>
        <v>6</v>
      </c>
      <c r="K2653" t="s">
        <v>6698</v>
      </c>
      <c r="L2653" t="s">
        <v>6695</v>
      </c>
      <c r="P2653" t="s">
        <v>6694</v>
      </c>
      <c r="Q2653" t="s">
        <v>6694</v>
      </c>
      <c r="S2653" t="s">
        <v>6694</v>
      </c>
      <c r="U2653" t="s">
        <v>6694</v>
      </c>
      <c r="W2653" t="s">
        <v>6720</v>
      </c>
    </row>
    <row r="2654" spans="1:23" ht="15.6" x14ac:dyDescent="0.4">
      <c r="A2654" s="2" t="s">
        <v>1518</v>
      </c>
      <c r="B2654" s="5" t="s">
        <v>9057</v>
      </c>
      <c r="C2654" s="7" t="s">
        <v>12556</v>
      </c>
      <c r="D2654" s="8">
        <f t="shared" si="168"/>
        <v>0</v>
      </c>
      <c r="E2654" s="7" t="s">
        <v>12557</v>
      </c>
      <c r="F2654" s="7">
        <f t="shared" si="169"/>
        <v>2</v>
      </c>
      <c r="G2654" s="7" t="s">
        <v>12558</v>
      </c>
      <c r="H2654" s="7">
        <f t="shared" si="170"/>
        <v>1</v>
      </c>
      <c r="I2654" s="7" t="str" cm="1">
        <f t="array" ref="I2654">IFERROR(_xlfn.IFS(M2654="נח",1,M2654="נע ונח",1,M2654="שני שווא נח",2,M2654="שני שוואים בסוף מילה",2,M2654="שני שוואים ברצף",1),"0")</f>
        <v>0</v>
      </c>
      <c r="J2654" s="9">
        <f t="shared" si="171"/>
        <v>5</v>
      </c>
      <c r="K2654" t="s">
        <v>6698</v>
      </c>
      <c r="L2654" t="s">
        <v>6695</v>
      </c>
      <c r="N2654" t="s">
        <v>6706</v>
      </c>
      <c r="O2654" t="s">
        <v>6694</v>
      </c>
      <c r="P2654" t="s">
        <v>6694</v>
      </c>
      <c r="S2654" t="s">
        <v>6694</v>
      </c>
      <c r="U2654" t="s">
        <v>6694</v>
      </c>
      <c r="W2654" t="s">
        <v>6720</v>
      </c>
    </row>
    <row r="2655" spans="1:23" ht="15.6" x14ac:dyDescent="0.4">
      <c r="A2655" s="2" t="s">
        <v>3240</v>
      </c>
      <c r="B2655" s="5" t="s">
        <v>9058</v>
      </c>
      <c r="C2655" s="7" t="s">
        <v>12556</v>
      </c>
      <c r="D2655" s="8">
        <f t="shared" si="168"/>
        <v>0</v>
      </c>
      <c r="E2655" s="7" t="s">
        <v>12557</v>
      </c>
      <c r="F2655" s="7">
        <f t="shared" si="169"/>
        <v>1</v>
      </c>
      <c r="G2655" s="7" t="s">
        <v>12558</v>
      </c>
      <c r="H2655" s="7">
        <f t="shared" si="170"/>
        <v>1</v>
      </c>
      <c r="I2655" s="7" t="str" cm="1">
        <f t="array" ref="I2655">IFERROR(_xlfn.IFS(M2655="נח",1,M2655="נע ונח",1,M2655="שני שווא נח",2,M2655="שני שוואים בסוף מילה",2,M2655="שני שוואים ברצף",1),"0")</f>
        <v>0</v>
      </c>
      <c r="J2655" s="9">
        <f t="shared" si="171"/>
        <v>2</v>
      </c>
      <c r="K2655" t="s">
        <v>6698</v>
      </c>
      <c r="L2655" t="s">
        <v>6695</v>
      </c>
      <c r="S2655" t="s">
        <v>6694</v>
      </c>
      <c r="U2655" t="s">
        <v>6694</v>
      </c>
      <c r="W2655" t="s">
        <v>6720</v>
      </c>
    </row>
    <row r="2656" spans="1:23" ht="15.6" x14ac:dyDescent="0.4">
      <c r="A2656" s="2" t="s">
        <v>3509</v>
      </c>
      <c r="B2656" s="5" t="s">
        <v>9059</v>
      </c>
      <c r="C2656" s="7" t="s">
        <v>12556</v>
      </c>
      <c r="D2656" s="8">
        <f t="shared" si="168"/>
        <v>0</v>
      </c>
      <c r="E2656" s="7" t="s">
        <v>12557</v>
      </c>
      <c r="F2656" s="7">
        <f t="shared" si="169"/>
        <v>1</v>
      </c>
      <c r="G2656" s="7" t="s">
        <v>12558</v>
      </c>
      <c r="H2656" s="7">
        <f t="shared" si="170"/>
        <v>1</v>
      </c>
      <c r="I2656" s="7" cm="1">
        <f t="array" ref="I2656">IFERROR(_xlfn.IFS(M2656="נח",1,M2656="נע ונח",1,M2656="שני שווא נח",2,M2656="שני שוואים בסוף מילה",2,M2656="שני שוואים ברצף",1),"0")</f>
        <v>1</v>
      </c>
      <c r="J2656" s="9">
        <f t="shared" si="171"/>
        <v>3</v>
      </c>
      <c r="K2656" t="s">
        <v>6697</v>
      </c>
      <c r="L2656" t="s">
        <v>6694</v>
      </c>
      <c r="M2656" t="s">
        <v>6705</v>
      </c>
      <c r="O2656" t="s">
        <v>6694</v>
      </c>
      <c r="S2656" t="s">
        <v>6694</v>
      </c>
      <c r="U2656" t="s">
        <v>6694</v>
      </c>
      <c r="W2656" t="s">
        <v>6720</v>
      </c>
    </row>
    <row r="2657" spans="1:23" ht="15.6" x14ac:dyDescent="0.4">
      <c r="A2657" s="2" t="s">
        <v>3093</v>
      </c>
      <c r="B2657" s="5" t="s">
        <v>9060</v>
      </c>
      <c r="C2657" s="7" t="s">
        <v>12556</v>
      </c>
      <c r="D2657" s="8">
        <f t="shared" si="168"/>
        <v>0</v>
      </c>
      <c r="E2657" s="7" t="s">
        <v>12557</v>
      </c>
      <c r="F2657" s="7">
        <f t="shared" si="169"/>
        <v>2</v>
      </c>
      <c r="G2657" s="7" t="s">
        <v>12558</v>
      </c>
      <c r="H2657" s="7">
        <f t="shared" si="170"/>
        <v>1</v>
      </c>
      <c r="I2657" s="7" t="str" cm="1">
        <f t="array" ref="I2657">IFERROR(_xlfn.IFS(M2657="נח",1,M2657="נע ונח",1,M2657="שני שווא נח",2,M2657="שני שוואים בסוף מילה",2,M2657="שני שוואים ברצף",1),"0")</f>
        <v>0</v>
      </c>
      <c r="J2657" s="9">
        <f t="shared" si="171"/>
        <v>4</v>
      </c>
      <c r="K2657" t="s">
        <v>6698</v>
      </c>
      <c r="L2657" t="s">
        <v>6695</v>
      </c>
      <c r="N2657" t="s">
        <v>6706</v>
      </c>
      <c r="O2657" t="s">
        <v>6694</v>
      </c>
      <c r="S2657" t="s">
        <v>6694</v>
      </c>
      <c r="U2657" t="s">
        <v>6694</v>
      </c>
      <c r="W2657" t="s">
        <v>6720</v>
      </c>
    </row>
    <row r="2658" spans="1:23" ht="15.6" x14ac:dyDescent="0.4">
      <c r="A2658" s="2" t="s">
        <v>1490</v>
      </c>
      <c r="B2658" s="5" t="s">
        <v>9061</v>
      </c>
      <c r="C2658" s="7" t="s">
        <v>12556</v>
      </c>
      <c r="D2658" s="8">
        <f t="shared" si="168"/>
        <v>0</v>
      </c>
      <c r="E2658" s="7" t="s">
        <v>12557</v>
      </c>
      <c r="F2658" s="7">
        <f t="shared" si="169"/>
        <v>2</v>
      </c>
      <c r="G2658" s="7" t="s">
        <v>12558</v>
      </c>
      <c r="H2658" s="7">
        <f t="shared" si="170"/>
        <v>1</v>
      </c>
      <c r="I2658" s="7" t="str" cm="1">
        <f t="array" ref="I2658">IFERROR(_xlfn.IFS(M2658="נח",1,M2658="נע ונח",1,M2658="שני שווא נח",2,M2658="שני שוואים בסוף מילה",2,M2658="שני שוואים ברצף",1),"0")</f>
        <v>0</v>
      </c>
      <c r="J2658" s="9">
        <f t="shared" si="171"/>
        <v>3</v>
      </c>
      <c r="K2658" t="s">
        <v>6698</v>
      </c>
      <c r="L2658" t="s">
        <v>6695</v>
      </c>
      <c r="P2658" t="s">
        <v>6694</v>
      </c>
      <c r="S2658" t="s">
        <v>6694</v>
      </c>
      <c r="U2658" t="s">
        <v>6694</v>
      </c>
      <c r="W2658" t="s">
        <v>6720</v>
      </c>
    </row>
    <row r="2659" spans="1:23" ht="15.6" x14ac:dyDescent="0.4">
      <c r="A2659" s="2" t="s">
        <v>5717</v>
      </c>
      <c r="B2659" s="5" t="s">
        <v>9062</v>
      </c>
      <c r="C2659" s="7" t="s">
        <v>12556</v>
      </c>
      <c r="D2659" s="8">
        <f t="shared" si="168"/>
        <v>0</v>
      </c>
      <c r="E2659" s="7" t="s">
        <v>12557</v>
      </c>
      <c r="F2659" s="7">
        <f t="shared" si="169"/>
        <v>1</v>
      </c>
      <c r="G2659" s="7" t="s">
        <v>12558</v>
      </c>
      <c r="H2659" s="7">
        <f t="shared" si="170"/>
        <v>1</v>
      </c>
      <c r="I2659" s="7" cm="1">
        <f t="array" ref="I2659">IFERROR(_xlfn.IFS(M2659="נח",1,M2659="נע ונח",1,M2659="שני שווא נח",2,M2659="שני שוואים בסוף מילה",2,M2659="שני שוואים ברצף",1),"0")</f>
        <v>1</v>
      </c>
      <c r="J2659" s="9">
        <f t="shared" si="171"/>
        <v>4</v>
      </c>
      <c r="K2659" t="s">
        <v>6698</v>
      </c>
      <c r="L2659" t="s">
        <v>6694</v>
      </c>
      <c r="M2659" t="s">
        <v>6705</v>
      </c>
      <c r="N2659" t="s">
        <v>6706</v>
      </c>
      <c r="O2659" t="s">
        <v>6694</v>
      </c>
      <c r="S2659" t="s">
        <v>6694</v>
      </c>
      <c r="U2659" t="s">
        <v>6694</v>
      </c>
      <c r="V2659" t="s">
        <v>6694</v>
      </c>
      <c r="W2659" t="s">
        <v>6720</v>
      </c>
    </row>
    <row r="2660" spans="1:23" ht="15.6" x14ac:dyDescent="0.4">
      <c r="A2660" s="2" t="s">
        <v>3294</v>
      </c>
      <c r="B2660" s="5" t="s">
        <v>9063</v>
      </c>
      <c r="C2660" s="7" t="s">
        <v>12556</v>
      </c>
      <c r="D2660" s="8">
        <f t="shared" si="168"/>
        <v>0</v>
      </c>
      <c r="E2660" s="7" t="s">
        <v>12557</v>
      </c>
      <c r="F2660" s="7">
        <f t="shared" si="169"/>
        <v>3</v>
      </c>
      <c r="G2660" s="7" t="s">
        <v>12558</v>
      </c>
      <c r="H2660" s="7">
        <f t="shared" si="170"/>
        <v>1</v>
      </c>
      <c r="I2660" s="7" t="str" cm="1">
        <f t="array" ref="I2660">IFERROR(_xlfn.IFS(M2660="נח",1,M2660="נע ונח",1,M2660="שני שווא נח",2,M2660="שני שוואים בסוף מילה",2,M2660="שני שוואים ברצף",1),"0")</f>
        <v>0</v>
      </c>
      <c r="J2660" s="9">
        <f t="shared" si="171"/>
        <v>4</v>
      </c>
      <c r="K2660" t="s">
        <v>6698</v>
      </c>
      <c r="L2660" t="s">
        <v>6695</v>
      </c>
      <c r="S2660" t="s">
        <v>6694</v>
      </c>
      <c r="U2660" t="s">
        <v>6694</v>
      </c>
      <c r="V2660" t="s">
        <v>6694</v>
      </c>
      <c r="W2660" t="s">
        <v>6720</v>
      </c>
    </row>
    <row r="2661" spans="1:23" ht="15.6" x14ac:dyDescent="0.4">
      <c r="A2661" s="2" t="s">
        <v>4879</v>
      </c>
      <c r="B2661" s="5" t="s">
        <v>9064</v>
      </c>
      <c r="C2661" s="7" t="s">
        <v>12556</v>
      </c>
      <c r="D2661" s="8">
        <f t="shared" si="168"/>
        <v>0</v>
      </c>
      <c r="E2661" s="7" t="s">
        <v>12557</v>
      </c>
      <c r="F2661" s="7">
        <f t="shared" si="169"/>
        <v>3</v>
      </c>
      <c r="G2661" s="7" t="s">
        <v>12558</v>
      </c>
      <c r="H2661" s="7">
        <f t="shared" si="170"/>
        <v>2</v>
      </c>
      <c r="I2661" s="7" t="str" cm="1">
        <f t="array" ref="I2661">IFERROR(_xlfn.IFS(M2661="נח",1,M2661="נע ונח",1,M2661="שני שווא נח",2,M2661="שני שוואים בסוף מילה",2,M2661="שני שוואים ברצף",1),"0")</f>
        <v>0</v>
      </c>
      <c r="J2661" s="9">
        <f t="shared" si="171"/>
        <v>3</v>
      </c>
      <c r="K2661" t="s">
        <v>6698</v>
      </c>
      <c r="L2661" t="s">
        <v>6695</v>
      </c>
      <c r="S2661" t="s">
        <v>6694</v>
      </c>
      <c r="U2661" t="s">
        <v>6694</v>
      </c>
      <c r="W2661" t="s">
        <v>6720</v>
      </c>
    </row>
    <row r="2662" spans="1:23" ht="15.6" x14ac:dyDescent="0.4">
      <c r="A2662" s="2" t="s">
        <v>5900</v>
      </c>
      <c r="B2662" s="5" t="s">
        <v>9065</v>
      </c>
      <c r="C2662" s="7" t="s">
        <v>12556</v>
      </c>
      <c r="D2662" s="8">
        <f t="shared" si="168"/>
        <v>0</v>
      </c>
      <c r="E2662" s="7" t="s">
        <v>12557</v>
      </c>
      <c r="F2662" s="7">
        <f t="shared" si="169"/>
        <v>2</v>
      </c>
      <c r="G2662" s="7" t="s">
        <v>12558</v>
      </c>
      <c r="H2662" s="7">
        <f t="shared" si="170"/>
        <v>1</v>
      </c>
      <c r="I2662" s="7" cm="1">
        <f t="array" ref="I2662">IFERROR(_xlfn.IFS(M2662="נח",1,M2662="נע ונח",1,M2662="שני שווא נח",2,M2662="שני שוואים בסוף מילה",2,M2662="שני שוואים ברצף",1),"0")</f>
        <v>1</v>
      </c>
      <c r="J2662" s="9">
        <f t="shared" si="171"/>
        <v>4</v>
      </c>
      <c r="K2662" t="s">
        <v>6698</v>
      </c>
      <c r="L2662" t="s">
        <v>6694</v>
      </c>
      <c r="M2662" t="s">
        <v>6705</v>
      </c>
      <c r="P2662" t="s">
        <v>6694</v>
      </c>
      <c r="Q2662" t="s">
        <v>6694</v>
      </c>
      <c r="S2662" t="s">
        <v>6694</v>
      </c>
      <c r="U2662" t="s">
        <v>6694</v>
      </c>
      <c r="W2662" t="s">
        <v>6720</v>
      </c>
    </row>
    <row r="2663" spans="1:23" ht="15.6" x14ac:dyDescent="0.4">
      <c r="A2663" s="2" t="s">
        <v>826</v>
      </c>
      <c r="B2663" s="5" t="s">
        <v>9066</v>
      </c>
      <c r="C2663" s="7" t="s">
        <v>12556</v>
      </c>
      <c r="D2663" s="8">
        <f t="shared" si="168"/>
        <v>0</v>
      </c>
      <c r="E2663" s="7" t="s">
        <v>12557</v>
      </c>
      <c r="F2663" s="7">
        <f t="shared" si="169"/>
        <v>1</v>
      </c>
      <c r="G2663" s="7" t="s">
        <v>12558</v>
      </c>
      <c r="H2663" s="7">
        <f t="shared" si="170"/>
        <v>1</v>
      </c>
      <c r="I2663" s="7" cm="1">
        <f t="array" ref="I2663">IFERROR(_xlfn.IFS(M2663="נח",1,M2663="נע ונח",1,M2663="שני שווא נח",2,M2663="שני שוואים בסוף מילה",2,M2663="שני שוואים ברצף",1),"0")</f>
        <v>1</v>
      </c>
      <c r="J2663" s="9">
        <f t="shared" si="171"/>
        <v>3</v>
      </c>
      <c r="K2663" t="s">
        <v>6697</v>
      </c>
      <c r="L2663" t="s">
        <v>6694</v>
      </c>
      <c r="M2663" t="s">
        <v>6705</v>
      </c>
      <c r="O2663" t="s">
        <v>6694</v>
      </c>
      <c r="S2663" t="s">
        <v>6694</v>
      </c>
      <c r="U2663" t="s">
        <v>6694</v>
      </c>
      <c r="W2663" t="s">
        <v>6720</v>
      </c>
    </row>
    <row r="2664" spans="1:23" ht="15.6" x14ac:dyDescent="0.4">
      <c r="A2664" s="2" t="s">
        <v>1938</v>
      </c>
      <c r="B2664" s="5" t="s">
        <v>9067</v>
      </c>
      <c r="C2664" s="7" t="s">
        <v>12556</v>
      </c>
      <c r="D2664" s="8">
        <f t="shared" si="168"/>
        <v>0</v>
      </c>
      <c r="E2664" s="7" t="s">
        <v>12557</v>
      </c>
      <c r="F2664" s="7">
        <f t="shared" si="169"/>
        <v>1</v>
      </c>
      <c r="G2664" s="7" t="s">
        <v>12558</v>
      </c>
      <c r="H2664" s="7">
        <f t="shared" si="170"/>
        <v>1</v>
      </c>
      <c r="I2664" s="7" cm="1">
        <f t="array" ref="I2664">IFERROR(_xlfn.IFS(M2664="נח",1,M2664="נע ונח",1,M2664="שני שווא נח",2,M2664="שני שוואים בסוף מילה",2,M2664="שני שוואים ברצף",1),"0")</f>
        <v>1</v>
      </c>
      <c r="J2664" s="9">
        <f t="shared" si="171"/>
        <v>3</v>
      </c>
      <c r="K2664" t="s">
        <v>6698</v>
      </c>
      <c r="L2664" t="s">
        <v>6694</v>
      </c>
      <c r="M2664" t="s">
        <v>6705</v>
      </c>
      <c r="S2664" t="s">
        <v>6694</v>
      </c>
      <c r="U2664" t="s">
        <v>6694</v>
      </c>
      <c r="V2664" t="s">
        <v>6694</v>
      </c>
      <c r="W2664" t="s">
        <v>6720</v>
      </c>
    </row>
    <row r="2665" spans="1:23" ht="15.6" x14ac:dyDescent="0.4">
      <c r="A2665" s="2" t="s">
        <v>786</v>
      </c>
      <c r="B2665" s="5" t="s">
        <v>9068</v>
      </c>
      <c r="C2665" s="7" t="s">
        <v>12556</v>
      </c>
      <c r="D2665" s="8">
        <f t="shared" si="168"/>
        <v>1</v>
      </c>
      <c r="E2665" s="7" t="s">
        <v>12557</v>
      </c>
      <c r="F2665" s="7">
        <f t="shared" si="169"/>
        <v>2</v>
      </c>
      <c r="G2665" s="7" t="s">
        <v>12558</v>
      </c>
      <c r="H2665" s="7">
        <f t="shared" si="170"/>
        <v>1</v>
      </c>
      <c r="I2665" s="7" cm="1">
        <f t="array" ref="I2665">IFERROR(_xlfn.IFS(M2665="נח",1,M2665="נע ונח",1,M2665="שני שווא נח",2,M2665="שני שוואים בסוף מילה",2,M2665="שני שוואים ברצף",1),"0")</f>
        <v>2</v>
      </c>
      <c r="J2665" s="9">
        <f t="shared" si="171"/>
        <v>5</v>
      </c>
      <c r="K2665" t="s">
        <v>6697</v>
      </c>
      <c r="L2665" t="s">
        <v>6694</v>
      </c>
      <c r="M2665" t="s">
        <v>6704</v>
      </c>
      <c r="O2665" t="s">
        <v>6694</v>
      </c>
      <c r="P2665" t="s">
        <v>6694</v>
      </c>
      <c r="R2665" t="s">
        <v>6694</v>
      </c>
      <c r="S2665" t="s">
        <v>6694</v>
      </c>
      <c r="U2665" t="s">
        <v>6694</v>
      </c>
      <c r="W2665" t="s">
        <v>6720</v>
      </c>
    </row>
    <row r="2666" spans="1:23" ht="15.6" x14ac:dyDescent="0.4">
      <c r="A2666" s="2" t="s">
        <v>1620</v>
      </c>
      <c r="B2666" s="5" t="s">
        <v>9069</v>
      </c>
      <c r="C2666" s="7" t="s">
        <v>12556</v>
      </c>
      <c r="D2666" s="8">
        <f t="shared" si="168"/>
        <v>1</v>
      </c>
      <c r="E2666" s="7" t="s">
        <v>12557</v>
      </c>
      <c r="F2666" s="7">
        <f t="shared" si="169"/>
        <v>2</v>
      </c>
      <c r="G2666" s="7" t="s">
        <v>12558</v>
      </c>
      <c r="H2666" s="7">
        <f t="shared" si="170"/>
        <v>1</v>
      </c>
      <c r="I2666" s="7" cm="1">
        <f t="array" ref="I2666">IFERROR(_xlfn.IFS(M2666="נח",1,M2666="נע ונח",1,M2666="שני שווא נח",2,M2666="שני שוואים בסוף מילה",2,M2666="שני שוואים ברצף",1),"0")</f>
        <v>1</v>
      </c>
      <c r="J2666" s="9">
        <f t="shared" si="171"/>
        <v>4</v>
      </c>
      <c r="K2666" t="s">
        <v>6698</v>
      </c>
      <c r="L2666" t="s">
        <v>6694</v>
      </c>
      <c r="M2666" t="s">
        <v>6702</v>
      </c>
      <c r="Q2666" t="s">
        <v>6694</v>
      </c>
      <c r="S2666" t="s">
        <v>6694</v>
      </c>
      <c r="U2666" t="s">
        <v>6694</v>
      </c>
      <c r="W2666" t="s">
        <v>6720</v>
      </c>
    </row>
    <row r="2667" spans="1:23" ht="15.6" x14ac:dyDescent="0.4">
      <c r="A2667" s="2" t="s">
        <v>401</v>
      </c>
      <c r="B2667" s="5" t="s">
        <v>9070</v>
      </c>
      <c r="C2667" s="7" t="s">
        <v>12556</v>
      </c>
      <c r="D2667" s="8">
        <f t="shared" si="168"/>
        <v>1</v>
      </c>
      <c r="E2667" s="7" t="s">
        <v>12557</v>
      </c>
      <c r="F2667" s="7">
        <f t="shared" si="169"/>
        <v>2</v>
      </c>
      <c r="G2667" s="7" t="s">
        <v>12558</v>
      </c>
      <c r="H2667" s="7">
        <f t="shared" si="170"/>
        <v>1</v>
      </c>
      <c r="I2667" s="7" cm="1">
        <f t="array" ref="I2667">IFERROR(_xlfn.IFS(M2667="נח",1,M2667="נע ונח",1,M2667="שני שווא נח",2,M2667="שני שוואים בסוף מילה",2,M2667="שני שוואים ברצף",1),"0")</f>
        <v>1</v>
      </c>
      <c r="J2667" s="9">
        <f t="shared" si="171"/>
        <v>3</v>
      </c>
      <c r="K2667" t="s">
        <v>6698</v>
      </c>
      <c r="L2667" t="s">
        <v>6694</v>
      </c>
      <c r="M2667" t="s">
        <v>6705</v>
      </c>
      <c r="N2667" t="s">
        <v>6706</v>
      </c>
      <c r="O2667" t="s">
        <v>6694</v>
      </c>
      <c r="S2667" t="s">
        <v>6694</v>
      </c>
      <c r="U2667" t="s">
        <v>6694</v>
      </c>
      <c r="W2667" t="s">
        <v>6720</v>
      </c>
    </row>
    <row r="2668" spans="1:23" ht="15.6" x14ac:dyDescent="0.4">
      <c r="A2668" s="2" t="s">
        <v>1405</v>
      </c>
      <c r="B2668" s="5" t="s">
        <v>9071</v>
      </c>
      <c r="C2668" s="7" t="s">
        <v>12556</v>
      </c>
      <c r="D2668" s="8">
        <f t="shared" si="168"/>
        <v>1</v>
      </c>
      <c r="E2668" s="7" t="s">
        <v>12557</v>
      </c>
      <c r="F2668" s="7">
        <f t="shared" si="169"/>
        <v>2</v>
      </c>
      <c r="G2668" s="7" t="s">
        <v>12558</v>
      </c>
      <c r="H2668" s="7">
        <f t="shared" si="170"/>
        <v>1</v>
      </c>
      <c r="I2668" s="7" cm="1">
        <f t="array" ref="I2668">IFERROR(_xlfn.IFS(M2668="נח",1,M2668="נע ונח",1,M2668="שני שווא נח",2,M2668="שני שוואים בסוף מילה",2,M2668="שני שוואים ברצף",1),"0")</f>
        <v>1</v>
      </c>
      <c r="J2668" s="9">
        <f t="shared" si="171"/>
        <v>4</v>
      </c>
      <c r="K2668" t="s">
        <v>6698</v>
      </c>
      <c r="L2668" t="s">
        <v>6694</v>
      </c>
      <c r="M2668" t="s">
        <v>6705</v>
      </c>
      <c r="O2668" t="s">
        <v>6694</v>
      </c>
      <c r="S2668" t="s">
        <v>6694</v>
      </c>
      <c r="U2668" t="s">
        <v>6694</v>
      </c>
      <c r="W2668" t="s">
        <v>6720</v>
      </c>
    </row>
    <row r="2669" spans="1:23" ht="15.6" x14ac:dyDescent="0.4">
      <c r="A2669" s="2" t="s">
        <v>2485</v>
      </c>
      <c r="B2669" s="5" t="s">
        <v>9072</v>
      </c>
      <c r="C2669" s="7" t="s">
        <v>12556</v>
      </c>
      <c r="D2669" s="8">
        <f t="shared" si="168"/>
        <v>1</v>
      </c>
      <c r="E2669" s="7" t="s">
        <v>12557</v>
      </c>
      <c r="F2669" s="7">
        <f t="shared" si="169"/>
        <v>2</v>
      </c>
      <c r="G2669" s="7" t="s">
        <v>12558</v>
      </c>
      <c r="H2669" s="7">
        <f t="shared" si="170"/>
        <v>1</v>
      </c>
      <c r="I2669" s="7" cm="1">
        <f t="array" ref="I2669">IFERROR(_xlfn.IFS(M2669="נח",1,M2669="נע ונח",1,M2669="שני שווא נח",2,M2669="שני שוואים בסוף מילה",2,M2669="שני שוואים ברצף",1),"0")</f>
        <v>1</v>
      </c>
      <c r="J2669" s="9">
        <f t="shared" si="171"/>
        <v>5</v>
      </c>
      <c r="K2669" t="s">
        <v>6697</v>
      </c>
      <c r="L2669" t="s">
        <v>6694</v>
      </c>
      <c r="M2669" t="s">
        <v>6705</v>
      </c>
      <c r="O2669" t="s">
        <v>6694</v>
      </c>
      <c r="R2669" t="s">
        <v>6694</v>
      </c>
      <c r="S2669" t="s">
        <v>6694</v>
      </c>
      <c r="U2669" t="s">
        <v>6694</v>
      </c>
      <c r="W2669" t="s">
        <v>6720</v>
      </c>
    </row>
    <row r="2670" spans="1:23" ht="15.6" x14ac:dyDescent="0.4">
      <c r="A2670" s="2" t="s">
        <v>1403</v>
      </c>
      <c r="B2670" s="5" t="s">
        <v>9073</v>
      </c>
      <c r="C2670" s="7" t="s">
        <v>12556</v>
      </c>
      <c r="D2670" s="8">
        <f t="shared" si="168"/>
        <v>1</v>
      </c>
      <c r="E2670" s="7" t="s">
        <v>12557</v>
      </c>
      <c r="F2670" s="7">
        <f t="shared" si="169"/>
        <v>2</v>
      </c>
      <c r="G2670" s="7" t="s">
        <v>12558</v>
      </c>
      <c r="H2670" s="7">
        <f t="shared" si="170"/>
        <v>1</v>
      </c>
      <c r="I2670" s="7" cm="1">
        <f t="array" ref="I2670">IFERROR(_xlfn.IFS(M2670="נח",1,M2670="נע ונח",1,M2670="שני שווא נח",2,M2670="שני שוואים בסוף מילה",2,M2670="שני שוואים ברצף",1),"0")</f>
        <v>1</v>
      </c>
      <c r="J2670" s="9">
        <f t="shared" si="171"/>
        <v>4</v>
      </c>
      <c r="K2670" t="s">
        <v>6698</v>
      </c>
      <c r="L2670" t="s">
        <v>6694</v>
      </c>
      <c r="M2670" t="s">
        <v>6705</v>
      </c>
      <c r="N2670" t="s">
        <v>6706</v>
      </c>
      <c r="O2670" t="s">
        <v>6694</v>
      </c>
      <c r="S2670" t="s">
        <v>6694</v>
      </c>
      <c r="U2670" t="s">
        <v>6694</v>
      </c>
      <c r="W2670" t="s">
        <v>6720</v>
      </c>
    </row>
    <row r="2671" spans="1:23" ht="15.6" x14ac:dyDescent="0.4">
      <c r="A2671" s="2" t="s">
        <v>770</v>
      </c>
      <c r="B2671" s="5" t="s">
        <v>9074</v>
      </c>
      <c r="C2671" s="7" t="s">
        <v>12556</v>
      </c>
      <c r="D2671" s="8">
        <f t="shared" si="168"/>
        <v>1</v>
      </c>
      <c r="E2671" s="7" t="s">
        <v>12557</v>
      </c>
      <c r="F2671" s="7">
        <f t="shared" si="169"/>
        <v>2</v>
      </c>
      <c r="G2671" s="7" t="s">
        <v>12558</v>
      </c>
      <c r="H2671" s="7">
        <f t="shared" si="170"/>
        <v>1</v>
      </c>
      <c r="I2671" s="7" t="str" cm="1">
        <f t="array" ref="I2671">IFERROR(_xlfn.IFS(M2671="נח",1,M2671="נע ונח",1,M2671="שני שווא נח",2,M2671="שני שוואים בסוף מילה",2,M2671="שני שוואים ברצף",1),"0")</f>
        <v>0</v>
      </c>
      <c r="J2671" s="9">
        <f t="shared" si="171"/>
        <v>4</v>
      </c>
      <c r="K2671" t="s">
        <v>6697</v>
      </c>
      <c r="L2671" t="s">
        <v>6695</v>
      </c>
      <c r="S2671" t="s">
        <v>6694</v>
      </c>
      <c r="U2671" t="s">
        <v>6694</v>
      </c>
      <c r="W2671" t="s">
        <v>6720</v>
      </c>
    </row>
    <row r="2672" spans="1:23" ht="15.6" x14ac:dyDescent="0.4">
      <c r="A2672" s="2" t="s">
        <v>3901</v>
      </c>
      <c r="B2672" s="5" t="s">
        <v>9075</v>
      </c>
      <c r="C2672" s="7" t="s">
        <v>12556</v>
      </c>
      <c r="D2672" s="8">
        <f t="shared" si="168"/>
        <v>1</v>
      </c>
      <c r="E2672" s="7" t="s">
        <v>12557</v>
      </c>
      <c r="F2672" s="7">
        <f t="shared" si="169"/>
        <v>2</v>
      </c>
      <c r="G2672" s="7" t="s">
        <v>12558</v>
      </c>
      <c r="H2672" s="7">
        <f t="shared" si="170"/>
        <v>1</v>
      </c>
      <c r="I2672" s="7" t="str" cm="1">
        <f t="array" ref="I2672">IFERROR(_xlfn.IFS(M2672="נח",1,M2672="נע ונח",1,M2672="שני שווא נח",2,M2672="שני שוואים בסוף מילה",2,M2672="שני שוואים ברצף",1),"0")</f>
        <v>0</v>
      </c>
      <c r="J2672" s="9">
        <f t="shared" si="171"/>
        <v>4</v>
      </c>
      <c r="K2672" t="s">
        <v>6698</v>
      </c>
      <c r="L2672" t="s">
        <v>6695</v>
      </c>
      <c r="R2672" t="s">
        <v>6694</v>
      </c>
      <c r="S2672" t="s">
        <v>6694</v>
      </c>
      <c r="U2672" t="s">
        <v>6694</v>
      </c>
      <c r="W2672" t="s">
        <v>6720</v>
      </c>
    </row>
    <row r="2673" spans="1:23" ht="15.6" x14ac:dyDescent="0.4">
      <c r="A2673" s="2" t="s">
        <v>1973</v>
      </c>
      <c r="B2673" s="5" t="s">
        <v>9045</v>
      </c>
      <c r="C2673" s="7" t="s">
        <v>12556</v>
      </c>
      <c r="D2673" s="8">
        <f t="shared" si="168"/>
        <v>1</v>
      </c>
      <c r="E2673" s="7" t="s">
        <v>12557</v>
      </c>
      <c r="F2673" s="7">
        <f t="shared" si="169"/>
        <v>2</v>
      </c>
      <c r="G2673" s="7" t="s">
        <v>12558</v>
      </c>
      <c r="H2673" s="7">
        <f t="shared" si="170"/>
        <v>1</v>
      </c>
      <c r="I2673" s="7" cm="1">
        <f t="array" ref="I2673">IFERROR(_xlfn.IFS(M2673="נח",1,M2673="נע ונח",1,M2673="שני שווא נח",2,M2673="שני שוואים בסוף מילה",2,M2673="שני שוואים ברצף",1),"0")</f>
        <v>1</v>
      </c>
      <c r="J2673" s="9">
        <f t="shared" si="171"/>
        <v>4</v>
      </c>
      <c r="K2673" t="s">
        <v>6698</v>
      </c>
      <c r="L2673" t="s">
        <v>6694</v>
      </c>
      <c r="M2673" t="s">
        <v>6705</v>
      </c>
      <c r="P2673" t="s">
        <v>6694</v>
      </c>
      <c r="S2673" t="s">
        <v>6694</v>
      </c>
      <c r="U2673" t="s">
        <v>6694</v>
      </c>
      <c r="V2673" t="s">
        <v>6694</v>
      </c>
      <c r="W2673" t="s">
        <v>6720</v>
      </c>
    </row>
    <row r="2674" spans="1:23" ht="15.6" x14ac:dyDescent="0.4">
      <c r="A2674" s="2" t="s">
        <v>6203</v>
      </c>
      <c r="B2674" s="5" t="s">
        <v>9076</v>
      </c>
      <c r="C2674" s="7" t="s">
        <v>12556</v>
      </c>
      <c r="D2674" s="8">
        <f t="shared" si="168"/>
        <v>0</v>
      </c>
      <c r="E2674" s="7" t="s">
        <v>12557</v>
      </c>
      <c r="F2674" s="7">
        <f t="shared" si="169"/>
        <v>2</v>
      </c>
      <c r="G2674" s="7" t="s">
        <v>12558</v>
      </c>
      <c r="H2674" s="7">
        <f t="shared" si="170"/>
        <v>1</v>
      </c>
      <c r="I2674" s="7" cm="1">
        <f t="array" ref="I2674">IFERROR(_xlfn.IFS(M2674="נח",1,M2674="נע ונח",1,M2674="שני שווא נח",2,M2674="שני שוואים בסוף מילה",2,M2674="שני שוואים ברצף",1),"0")</f>
        <v>1</v>
      </c>
      <c r="J2674" s="9">
        <f t="shared" si="171"/>
        <v>4</v>
      </c>
      <c r="K2674" t="s">
        <v>6698</v>
      </c>
      <c r="L2674" t="s">
        <v>6694</v>
      </c>
      <c r="M2674" t="s">
        <v>6705</v>
      </c>
      <c r="P2674" t="s">
        <v>6694</v>
      </c>
      <c r="Q2674" t="s">
        <v>6694</v>
      </c>
      <c r="S2674" t="s">
        <v>6694</v>
      </c>
      <c r="U2674" t="s">
        <v>6694</v>
      </c>
      <c r="W2674" t="s">
        <v>6720</v>
      </c>
    </row>
    <row r="2675" spans="1:23" ht="15.6" x14ac:dyDescent="0.4">
      <c r="A2675" s="2" t="s">
        <v>539</v>
      </c>
      <c r="B2675" s="5" t="s">
        <v>9077</v>
      </c>
      <c r="C2675" s="7" t="s">
        <v>12556</v>
      </c>
      <c r="D2675" s="8">
        <f t="shared" si="168"/>
        <v>0</v>
      </c>
      <c r="E2675" s="7" t="s">
        <v>12557</v>
      </c>
      <c r="F2675" s="7">
        <f t="shared" si="169"/>
        <v>2</v>
      </c>
      <c r="G2675" s="7" t="s">
        <v>12558</v>
      </c>
      <c r="H2675" s="7">
        <f t="shared" si="170"/>
        <v>1</v>
      </c>
      <c r="I2675" s="7" cm="1">
        <f t="array" ref="I2675">IFERROR(_xlfn.IFS(M2675="נח",1,M2675="נע ונח",1,M2675="שני שווא נח",2,M2675="שני שוואים בסוף מילה",2,M2675="שני שוואים ברצף",1),"0")</f>
        <v>1</v>
      </c>
      <c r="J2675" s="9">
        <f t="shared" si="171"/>
        <v>4</v>
      </c>
      <c r="K2675" t="s">
        <v>6698</v>
      </c>
      <c r="L2675" t="s">
        <v>6694</v>
      </c>
      <c r="M2675" t="s">
        <v>6705</v>
      </c>
      <c r="S2675" t="s">
        <v>6694</v>
      </c>
      <c r="U2675" t="s">
        <v>6694</v>
      </c>
      <c r="V2675" t="s">
        <v>6694</v>
      </c>
      <c r="W2675" t="s">
        <v>6720</v>
      </c>
    </row>
    <row r="2676" spans="1:23" ht="15.6" x14ac:dyDescent="0.4">
      <c r="A2676" s="2" t="s">
        <v>104</v>
      </c>
      <c r="B2676" s="5" t="s">
        <v>9078</v>
      </c>
      <c r="C2676" s="7" t="s">
        <v>12556</v>
      </c>
      <c r="D2676" s="8">
        <f t="shared" si="168"/>
        <v>0</v>
      </c>
      <c r="E2676" s="7" t="s">
        <v>12557</v>
      </c>
      <c r="F2676" s="7">
        <f t="shared" si="169"/>
        <v>2</v>
      </c>
      <c r="G2676" s="7" t="s">
        <v>12558</v>
      </c>
      <c r="H2676" s="7">
        <f t="shared" si="170"/>
        <v>1</v>
      </c>
      <c r="I2676" s="7" cm="1">
        <f t="array" ref="I2676">IFERROR(_xlfn.IFS(M2676="נח",1,M2676="נע ונח",1,M2676="שני שווא נח",2,M2676="שני שוואים בסוף מילה",2,M2676="שני שוואים ברצף",1),"0")</f>
        <v>1</v>
      </c>
      <c r="J2676" s="9">
        <f t="shared" si="171"/>
        <v>5</v>
      </c>
      <c r="K2676" t="s">
        <v>6697</v>
      </c>
      <c r="L2676" t="s">
        <v>6694</v>
      </c>
      <c r="M2676" t="s">
        <v>6705</v>
      </c>
      <c r="N2676" t="s">
        <v>6706</v>
      </c>
      <c r="O2676" t="s">
        <v>6694</v>
      </c>
      <c r="S2676" t="s">
        <v>6694</v>
      </c>
      <c r="U2676" t="s">
        <v>6694</v>
      </c>
      <c r="V2676" t="s">
        <v>6694</v>
      </c>
      <c r="W2676" t="s">
        <v>6720</v>
      </c>
    </row>
    <row r="2677" spans="1:23" ht="15.6" x14ac:dyDescent="0.4">
      <c r="A2677" s="2" t="s">
        <v>1515</v>
      </c>
      <c r="B2677" s="5" t="s">
        <v>9079</v>
      </c>
      <c r="C2677" s="7" t="s">
        <v>12556</v>
      </c>
      <c r="D2677" s="8">
        <f t="shared" si="168"/>
        <v>0</v>
      </c>
      <c r="E2677" s="7" t="s">
        <v>12557</v>
      </c>
      <c r="F2677" s="7">
        <f t="shared" si="169"/>
        <v>1</v>
      </c>
      <c r="G2677" s="7" t="s">
        <v>12558</v>
      </c>
      <c r="H2677" s="7">
        <f t="shared" si="170"/>
        <v>1</v>
      </c>
      <c r="I2677" s="7" t="str" cm="1">
        <f t="array" ref="I2677">IFERROR(_xlfn.IFS(M2677="נח",1,M2677="נע ונח",1,M2677="שני שווא נח",2,M2677="שני שוואים בסוף מילה",2,M2677="שני שוואים ברצף",1),"0")</f>
        <v>0</v>
      </c>
      <c r="J2677" s="9">
        <f t="shared" si="171"/>
        <v>5</v>
      </c>
      <c r="K2677" t="s">
        <v>6698</v>
      </c>
      <c r="L2677" t="s">
        <v>6695</v>
      </c>
      <c r="O2677" t="s">
        <v>6694</v>
      </c>
      <c r="P2677" t="s">
        <v>6694</v>
      </c>
      <c r="Q2677" t="s">
        <v>6694</v>
      </c>
      <c r="U2677" t="s">
        <v>6694</v>
      </c>
      <c r="V2677" t="s">
        <v>6694</v>
      </c>
      <c r="W2677" t="s">
        <v>6720</v>
      </c>
    </row>
    <row r="2678" spans="1:23" ht="15.6" x14ac:dyDescent="0.4">
      <c r="A2678" s="2" t="s">
        <v>4176</v>
      </c>
      <c r="B2678" s="5" t="s">
        <v>9080</v>
      </c>
      <c r="C2678" s="7" t="s">
        <v>12556</v>
      </c>
      <c r="D2678" s="8">
        <f t="shared" si="168"/>
        <v>1</v>
      </c>
      <c r="E2678" s="7" t="s">
        <v>12557</v>
      </c>
      <c r="F2678" s="7">
        <f t="shared" si="169"/>
        <v>1</v>
      </c>
      <c r="G2678" s="7" t="s">
        <v>12558</v>
      </c>
      <c r="H2678" s="7">
        <f t="shared" si="170"/>
        <v>1</v>
      </c>
      <c r="I2678" s="7" cm="1">
        <f t="array" ref="I2678">IFERROR(_xlfn.IFS(M2678="נח",1,M2678="נע ונח",1,M2678="שני שווא נח",2,M2678="שני שוואים בסוף מילה",2,M2678="שני שוואים ברצף",1),"0")</f>
        <v>1</v>
      </c>
      <c r="J2678" s="9">
        <f t="shared" si="171"/>
        <v>4</v>
      </c>
      <c r="K2678" t="s">
        <v>6698</v>
      </c>
      <c r="L2678" t="s">
        <v>6694</v>
      </c>
      <c r="M2678" t="s">
        <v>6705</v>
      </c>
      <c r="P2678" t="s">
        <v>6694</v>
      </c>
      <c r="Q2678" t="s">
        <v>6694</v>
      </c>
      <c r="U2678" t="s">
        <v>6694</v>
      </c>
      <c r="W2678" t="s">
        <v>6720</v>
      </c>
    </row>
    <row r="2679" spans="1:23" ht="15.6" x14ac:dyDescent="0.4">
      <c r="A2679" s="2" t="s">
        <v>4208</v>
      </c>
      <c r="B2679" s="5" t="s">
        <v>9081</v>
      </c>
      <c r="C2679" s="7" t="s">
        <v>12556</v>
      </c>
      <c r="D2679" s="8">
        <f t="shared" si="168"/>
        <v>0</v>
      </c>
      <c r="E2679" s="7" t="s">
        <v>12557</v>
      </c>
      <c r="F2679" s="7">
        <f t="shared" si="169"/>
        <v>1</v>
      </c>
      <c r="G2679" s="7" t="s">
        <v>12558</v>
      </c>
      <c r="H2679" s="7">
        <f t="shared" si="170"/>
        <v>1</v>
      </c>
      <c r="I2679" s="7" t="str" cm="1">
        <f t="array" ref="I2679">IFERROR(_xlfn.IFS(M2679="נח",1,M2679="נע ונח",1,M2679="שני שווא נח",2,M2679="שני שוואים בסוף מילה",2,M2679="שני שוואים ברצף",1),"0")</f>
        <v>0</v>
      </c>
      <c r="J2679" s="9">
        <f t="shared" si="171"/>
        <v>4</v>
      </c>
      <c r="K2679" t="s">
        <v>6697</v>
      </c>
      <c r="L2679" t="s">
        <v>6695</v>
      </c>
      <c r="O2679" t="s">
        <v>6694</v>
      </c>
      <c r="Q2679" t="s">
        <v>6694</v>
      </c>
      <c r="U2679" t="s">
        <v>6694</v>
      </c>
      <c r="W2679" t="s">
        <v>6720</v>
      </c>
    </row>
    <row r="2680" spans="1:23" ht="15.6" x14ac:dyDescent="0.4">
      <c r="A2680" s="2" t="s">
        <v>3881</v>
      </c>
      <c r="B2680" s="5" t="s">
        <v>9082</v>
      </c>
      <c r="C2680" s="7" t="s">
        <v>12556</v>
      </c>
      <c r="D2680" s="8">
        <f t="shared" si="168"/>
        <v>0</v>
      </c>
      <c r="E2680" s="7" t="s">
        <v>12557</v>
      </c>
      <c r="F2680" s="7">
        <f t="shared" si="169"/>
        <v>2</v>
      </c>
      <c r="G2680" s="7" t="s">
        <v>12558</v>
      </c>
      <c r="H2680" s="7">
        <f t="shared" si="170"/>
        <v>1</v>
      </c>
      <c r="I2680" s="7" t="str" cm="1">
        <f t="array" ref="I2680">IFERROR(_xlfn.IFS(M2680="נח",1,M2680="נע ונח",1,M2680="שני שווא נח",2,M2680="שני שוואים בסוף מילה",2,M2680="שני שוואים ברצף",1),"0")</f>
        <v>0</v>
      </c>
      <c r="J2680" s="9">
        <f t="shared" si="171"/>
        <v>5</v>
      </c>
      <c r="K2680" t="s">
        <v>6697</v>
      </c>
      <c r="L2680" t="s">
        <v>6695</v>
      </c>
      <c r="O2680" t="s">
        <v>6694</v>
      </c>
      <c r="P2680" t="s">
        <v>6694</v>
      </c>
      <c r="Q2680" t="s">
        <v>6694</v>
      </c>
      <c r="S2680" t="s">
        <v>6694</v>
      </c>
      <c r="U2680" t="s">
        <v>6694</v>
      </c>
      <c r="W2680" t="s">
        <v>6720</v>
      </c>
    </row>
    <row r="2681" spans="1:23" ht="15.6" x14ac:dyDescent="0.4">
      <c r="A2681" s="2" t="s">
        <v>3111</v>
      </c>
      <c r="B2681" s="5" t="s">
        <v>9083</v>
      </c>
      <c r="C2681" s="7" t="s">
        <v>12556</v>
      </c>
      <c r="D2681" s="8">
        <f t="shared" si="168"/>
        <v>0</v>
      </c>
      <c r="E2681" s="7" t="s">
        <v>12557</v>
      </c>
      <c r="F2681" s="7">
        <f t="shared" si="169"/>
        <v>1</v>
      </c>
      <c r="G2681" s="7" t="s">
        <v>12558</v>
      </c>
      <c r="H2681" s="7">
        <f t="shared" si="170"/>
        <v>1</v>
      </c>
      <c r="I2681" s="7" t="str" cm="1">
        <f t="array" ref="I2681">IFERROR(_xlfn.IFS(M2681="נח",1,M2681="נע ונח",1,M2681="שני שווא נח",2,M2681="שני שוואים בסוף מילה",2,M2681="שני שוואים ברצף",1),"0")</f>
        <v>0</v>
      </c>
      <c r="J2681" s="9">
        <f t="shared" si="171"/>
        <v>4</v>
      </c>
      <c r="K2681" t="s">
        <v>6698</v>
      </c>
      <c r="L2681" t="s">
        <v>6695</v>
      </c>
      <c r="N2681" t="s">
        <v>6706</v>
      </c>
      <c r="O2681" t="s">
        <v>6694</v>
      </c>
      <c r="Q2681" t="s">
        <v>6694</v>
      </c>
      <c r="U2681" t="s">
        <v>6694</v>
      </c>
      <c r="W2681" t="s">
        <v>6720</v>
      </c>
    </row>
    <row r="2682" spans="1:23" ht="15.6" x14ac:dyDescent="0.4">
      <c r="A2682" s="2" t="s">
        <v>5406</v>
      </c>
      <c r="B2682" s="5" t="s">
        <v>9049</v>
      </c>
      <c r="C2682" s="7" t="s">
        <v>12556</v>
      </c>
      <c r="D2682" s="8">
        <f t="shared" si="168"/>
        <v>0</v>
      </c>
      <c r="E2682" s="7" t="s">
        <v>12557</v>
      </c>
      <c r="F2682" s="7">
        <f t="shared" si="169"/>
        <v>1</v>
      </c>
      <c r="G2682" s="7" t="s">
        <v>12558</v>
      </c>
      <c r="H2682" s="7">
        <f t="shared" si="170"/>
        <v>1</v>
      </c>
      <c r="I2682" s="7" t="str" cm="1">
        <f t="array" ref="I2682">IFERROR(_xlfn.IFS(M2682="נח",1,M2682="נע ונח",1,M2682="שני שווא נח",2,M2682="שני שוואים בסוף מילה",2,M2682="שני שוואים ברצף",1),"0")</f>
        <v>0</v>
      </c>
      <c r="J2682" s="9">
        <f t="shared" si="171"/>
        <v>2</v>
      </c>
      <c r="K2682" t="s">
        <v>6698</v>
      </c>
      <c r="L2682" t="s">
        <v>6695</v>
      </c>
      <c r="Q2682" t="s">
        <v>6694</v>
      </c>
      <c r="U2682" t="s">
        <v>6694</v>
      </c>
      <c r="W2682" t="s">
        <v>6720</v>
      </c>
    </row>
    <row r="2683" spans="1:23" ht="15.6" x14ac:dyDescent="0.4">
      <c r="A2683" s="2" t="s">
        <v>1563</v>
      </c>
      <c r="B2683" s="5" t="s">
        <v>9084</v>
      </c>
      <c r="C2683" s="7" t="s">
        <v>12556</v>
      </c>
      <c r="D2683" s="8">
        <f t="shared" si="168"/>
        <v>0</v>
      </c>
      <c r="E2683" s="7" t="s">
        <v>12557</v>
      </c>
      <c r="F2683" s="7">
        <f t="shared" si="169"/>
        <v>1</v>
      </c>
      <c r="G2683" s="7" t="s">
        <v>12558</v>
      </c>
      <c r="H2683" s="7">
        <f t="shared" si="170"/>
        <v>1</v>
      </c>
      <c r="I2683" s="7" t="str" cm="1">
        <f t="array" ref="I2683">IFERROR(_xlfn.IFS(M2683="נח",1,M2683="נע ונח",1,M2683="שני שווא נח",2,M2683="שני שוואים בסוף מילה",2,M2683="שני שוואים ברצף",1),"0")</f>
        <v>0</v>
      </c>
      <c r="J2683" s="9">
        <f t="shared" si="171"/>
        <v>7</v>
      </c>
      <c r="K2683" t="s">
        <v>6698</v>
      </c>
      <c r="L2683" t="s">
        <v>6695</v>
      </c>
      <c r="P2683" t="s">
        <v>6694</v>
      </c>
      <c r="Q2683" t="s">
        <v>6694</v>
      </c>
      <c r="R2683" t="s">
        <v>6694</v>
      </c>
      <c r="U2683" t="s">
        <v>6694</v>
      </c>
      <c r="V2683" t="s">
        <v>6694</v>
      </c>
      <c r="W2683" t="s">
        <v>6720</v>
      </c>
    </row>
    <row r="2684" spans="1:23" ht="15.6" x14ac:dyDescent="0.4">
      <c r="A2684" s="2" t="s">
        <v>5204</v>
      </c>
      <c r="B2684" s="5" t="s">
        <v>9085</v>
      </c>
      <c r="C2684" s="7" t="s">
        <v>12556</v>
      </c>
      <c r="D2684" s="8">
        <f t="shared" si="168"/>
        <v>0</v>
      </c>
      <c r="E2684" s="7" t="s">
        <v>12557</v>
      </c>
      <c r="F2684" s="7">
        <f t="shared" si="169"/>
        <v>1</v>
      </c>
      <c r="G2684" s="7" t="s">
        <v>12558</v>
      </c>
      <c r="H2684" s="7">
        <f t="shared" si="170"/>
        <v>1</v>
      </c>
      <c r="I2684" s="7" t="str" cm="1">
        <f t="array" ref="I2684">IFERROR(_xlfn.IFS(M2684="נח",1,M2684="נע ונח",1,M2684="שני שווא נח",2,M2684="שני שוואים בסוף מילה",2,M2684="שני שוואים ברצף",1),"0")</f>
        <v>0</v>
      </c>
      <c r="J2684" s="9">
        <f t="shared" si="171"/>
        <v>3</v>
      </c>
      <c r="K2684" t="s">
        <v>6698</v>
      </c>
      <c r="L2684" t="s">
        <v>6695</v>
      </c>
      <c r="Q2684" t="s">
        <v>6694</v>
      </c>
      <c r="S2684" t="s">
        <v>6694</v>
      </c>
      <c r="U2684" t="s">
        <v>6694</v>
      </c>
      <c r="W2684" t="s">
        <v>6720</v>
      </c>
    </row>
    <row r="2685" spans="1:23" ht="15.6" x14ac:dyDescent="0.4">
      <c r="A2685" s="2" t="s">
        <v>6353</v>
      </c>
      <c r="B2685" s="5" t="s">
        <v>9086</v>
      </c>
      <c r="C2685" s="7" t="s">
        <v>12556</v>
      </c>
      <c r="D2685" s="8">
        <f t="shared" si="168"/>
        <v>0</v>
      </c>
      <c r="E2685" s="7" t="s">
        <v>12557</v>
      </c>
      <c r="F2685" s="7">
        <f t="shared" si="169"/>
        <v>1</v>
      </c>
      <c r="G2685" s="7" t="s">
        <v>12558</v>
      </c>
      <c r="H2685" s="7">
        <f t="shared" si="170"/>
        <v>1</v>
      </c>
      <c r="I2685" s="7" cm="1">
        <f t="array" ref="I2685">IFERROR(_xlfn.IFS(M2685="נח",1,M2685="נע ונח",1,M2685="שני שווא נח",2,M2685="שני שוואים בסוף מילה",2,M2685="שני שוואים ברצף",1),"0")</f>
        <v>1</v>
      </c>
      <c r="J2685" s="9">
        <f t="shared" si="171"/>
        <v>4</v>
      </c>
      <c r="K2685" t="s">
        <v>6698</v>
      </c>
      <c r="L2685" t="s">
        <v>6694</v>
      </c>
      <c r="M2685" t="s">
        <v>6705</v>
      </c>
      <c r="N2685" t="s">
        <v>6706</v>
      </c>
      <c r="O2685" t="s">
        <v>6694</v>
      </c>
      <c r="Q2685" t="s">
        <v>6694</v>
      </c>
      <c r="U2685" t="s">
        <v>6694</v>
      </c>
      <c r="V2685" t="s">
        <v>6694</v>
      </c>
      <c r="W2685" t="s">
        <v>6720</v>
      </c>
    </row>
    <row r="2686" spans="1:23" ht="15.6" x14ac:dyDescent="0.4">
      <c r="A2686" s="2" t="s">
        <v>2968</v>
      </c>
      <c r="B2686" s="5" t="s">
        <v>9087</v>
      </c>
      <c r="C2686" s="7" t="s">
        <v>12556</v>
      </c>
      <c r="D2686" s="8">
        <f t="shared" si="168"/>
        <v>0</v>
      </c>
      <c r="E2686" s="7" t="s">
        <v>12557</v>
      </c>
      <c r="F2686" s="7">
        <f t="shared" si="169"/>
        <v>1</v>
      </c>
      <c r="G2686" s="7" t="s">
        <v>12558</v>
      </c>
      <c r="H2686" s="7">
        <f t="shared" si="170"/>
        <v>1</v>
      </c>
      <c r="I2686" s="7" cm="1">
        <f t="array" ref="I2686">IFERROR(_xlfn.IFS(M2686="נח",1,M2686="נע ונח",1,M2686="שני שווא נח",2,M2686="שני שוואים בסוף מילה",2,M2686="שני שוואים ברצף",1),"0")</f>
        <v>1</v>
      </c>
      <c r="J2686" s="9">
        <f t="shared" si="171"/>
        <v>3</v>
      </c>
      <c r="K2686" t="s">
        <v>6698</v>
      </c>
      <c r="L2686" t="s">
        <v>6694</v>
      </c>
      <c r="M2686" t="s">
        <v>6705</v>
      </c>
      <c r="R2686" t="s">
        <v>6694</v>
      </c>
      <c r="U2686" t="s">
        <v>6694</v>
      </c>
      <c r="W2686" t="s">
        <v>6720</v>
      </c>
    </row>
    <row r="2687" spans="1:23" ht="15.6" x14ac:dyDescent="0.4">
      <c r="A2687" s="2" t="s">
        <v>3593</v>
      </c>
      <c r="B2687" s="5" t="s">
        <v>9088</v>
      </c>
      <c r="C2687" s="7" t="s">
        <v>12556</v>
      </c>
      <c r="D2687" s="8">
        <f t="shared" si="168"/>
        <v>0</v>
      </c>
      <c r="E2687" s="7" t="s">
        <v>12557</v>
      </c>
      <c r="F2687" s="7">
        <f t="shared" si="169"/>
        <v>1</v>
      </c>
      <c r="G2687" s="7" t="s">
        <v>12558</v>
      </c>
      <c r="H2687" s="7">
        <f t="shared" si="170"/>
        <v>1</v>
      </c>
      <c r="I2687" s="7" t="str" cm="1">
        <f t="array" ref="I2687">IFERROR(_xlfn.IFS(M2687="נח",1,M2687="נע ונח",1,M2687="שני שווא נח",2,M2687="שני שוואים בסוף מילה",2,M2687="שני שוואים ברצף",1),"0")</f>
        <v>0</v>
      </c>
      <c r="J2687" s="9">
        <f t="shared" si="171"/>
        <v>2</v>
      </c>
      <c r="K2687" t="s">
        <v>6697</v>
      </c>
      <c r="L2687" t="s">
        <v>6695</v>
      </c>
      <c r="P2687" t="s">
        <v>6694</v>
      </c>
      <c r="U2687" t="s">
        <v>6694</v>
      </c>
      <c r="W2687" t="s">
        <v>6720</v>
      </c>
    </row>
    <row r="2688" spans="1:23" ht="15.6" x14ac:dyDescent="0.4">
      <c r="A2688" s="2" t="s">
        <v>3503</v>
      </c>
      <c r="B2688" s="5" t="s">
        <v>9089</v>
      </c>
      <c r="C2688" s="7" t="s">
        <v>12556</v>
      </c>
      <c r="D2688" s="8">
        <f t="shared" si="168"/>
        <v>1</v>
      </c>
      <c r="E2688" s="7" t="s">
        <v>12557</v>
      </c>
      <c r="F2688" s="7">
        <f t="shared" si="169"/>
        <v>1</v>
      </c>
      <c r="G2688" s="7" t="s">
        <v>12558</v>
      </c>
      <c r="H2688" s="7">
        <f t="shared" si="170"/>
        <v>1</v>
      </c>
      <c r="I2688" s="7" cm="1">
        <f t="array" ref="I2688">IFERROR(_xlfn.IFS(M2688="נח",1,M2688="נע ונח",1,M2688="שני שווא נח",2,M2688="שני שוואים בסוף מילה",2,M2688="שני שוואים ברצף",1),"0")</f>
        <v>1</v>
      </c>
      <c r="J2688" s="9">
        <f t="shared" si="171"/>
        <v>6</v>
      </c>
      <c r="K2688" t="s">
        <v>6697</v>
      </c>
      <c r="L2688" t="s">
        <v>6694</v>
      </c>
      <c r="M2688" t="s">
        <v>6702</v>
      </c>
      <c r="O2688" t="s">
        <v>6694</v>
      </c>
      <c r="P2688" t="s">
        <v>6694</v>
      </c>
      <c r="R2688" t="s">
        <v>6694</v>
      </c>
      <c r="U2688" t="s">
        <v>6694</v>
      </c>
      <c r="V2688" t="s">
        <v>6694</v>
      </c>
      <c r="W2688" t="s">
        <v>6720</v>
      </c>
    </row>
    <row r="2689" spans="1:23" ht="15.6" x14ac:dyDescent="0.4">
      <c r="A2689" s="2" t="s">
        <v>1952</v>
      </c>
      <c r="B2689" s="5" t="s">
        <v>9090</v>
      </c>
      <c r="C2689" s="7" t="s">
        <v>12556</v>
      </c>
      <c r="D2689" s="8">
        <f t="shared" si="168"/>
        <v>0</v>
      </c>
      <c r="E2689" s="7" t="s">
        <v>12557</v>
      </c>
      <c r="F2689" s="7">
        <f t="shared" si="169"/>
        <v>1</v>
      </c>
      <c r="G2689" s="7" t="s">
        <v>12558</v>
      </c>
      <c r="H2689" s="7">
        <f t="shared" si="170"/>
        <v>1</v>
      </c>
      <c r="I2689" s="7" cm="1">
        <f t="array" ref="I2689">IFERROR(_xlfn.IFS(M2689="נח",1,M2689="נע ונח",1,M2689="שני שווא נח",2,M2689="שני שוואים בסוף מילה",2,M2689="שני שוואים ברצף",1),"0")</f>
        <v>1</v>
      </c>
      <c r="J2689" s="9">
        <f t="shared" si="171"/>
        <v>4</v>
      </c>
      <c r="K2689" t="s">
        <v>6697</v>
      </c>
      <c r="L2689" t="s">
        <v>6694</v>
      </c>
      <c r="M2689" t="s">
        <v>6705</v>
      </c>
      <c r="P2689" t="s">
        <v>6694</v>
      </c>
      <c r="S2689" t="s">
        <v>6694</v>
      </c>
      <c r="U2689" t="s">
        <v>6694</v>
      </c>
      <c r="V2689" t="s">
        <v>6694</v>
      </c>
      <c r="W2689" t="s">
        <v>6720</v>
      </c>
    </row>
    <row r="2690" spans="1:23" ht="15.6" x14ac:dyDescent="0.4">
      <c r="A2690" s="2" t="s">
        <v>964</v>
      </c>
      <c r="B2690" s="5" t="s">
        <v>9091</v>
      </c>
      <c r="C2690" s="7" t="s">
        <v>12556</v>
      </c>
      <c r="D2690" s="8">
        <f t="shared" si="168"/>
        <v>0</v>
      </c>
      <c r="E2690" s="7" t="s">
        <v>12557</v>
      </c>
      <c r="F2690" s="7">
        <f t="shared" si="169"/>
        <v>1</v>
      </c>
      <c r="G2690" s="7" t="s">
        <v>12558</v>
      </c>
      <c r="H2690" s="7">
        <f t="shared" si="170"/>
        <v>1</v>
      </c>
      <c r="I2690" s="7" cm="1">
        <f t="array" ref="I2690">IFERROR(_xlfn.IFS(M2690="נח",1,M2690="נע ונח",1,M2690="שני שווא נח",2,M2690="שני שוואים בסוף מילה",2,M2690="שני שוואים ברצף",1),"0")</f>
        <v>2</v>
      </c>
      <c r="J2690" s="9">
        <f t="shared" si="171"/>
        <v>3</v>
      </c>
      <c r="K2690" t="s">
        <v>6698</v>
      </c>
      <c r="L2690" t="s">
        <v>6694</v>
      </c>
      <c r="M2690" t="s">
        <v>6704</v>
      </c>
      <c r="P2690" t="s">
        <v>6694</v>
      </c>
      <c r="U2690" t="s">
        <v>6694</v>
      </c>
      <c r="W2690" t="s">
        <v>6720</v>
      </c>
    </row>
    <row r="2691" spans="1:23" ht="15.6" x14ac:dyDescent="0.4">
      <c r="A2691" s="2" t="s">
        <v>1195</v>
      </c>
      <c r="B2691" s="5" t="s">
        <v>9092</v>
      </c>
      <c r="C2691" s="7" t="s">
        <v>12556</v>
      </c>
      <c r="D2691" s="8">
        <f t="shared" ref="D2691:D2754" si="172">(LEN(B2691)-LEN(SUBSTITUTE(B2691,C2691,"")))</f>
        <v>0</v>
      </c>
      <c r="E2691" s="7" t="s">
        <v>12557</v>
      </c>
      <c r="F2691" s="7">
        <f t="shared" ref="F2691:F2754" si="173">(LEN(A2691)-LEN(SUBSTITUTE(A2691,E2691,"")))</f>
        <v>1</v>
      </c>
      <c r="G2691" s="7" t="s">
        <v>12558</v>
      </c>
      <c r="H2691" s="7">
        <f t="shared" ref="H2691:H2754" si="174">(LEN(A2691)-LEN(SUBSTITUTE(A2691,G2691,"")))/2</f>
        <v>1</v>
      </c>
      <c r="I2691" s="7" cm="1">
        <f t="array" ref="I2691">IFERROR(_xlfn.IFS(M2691="נח",1,M2691="נע ונח",1,M2691="שני שווא נח",2,M2691="שני שוואים בסוף מילה",2,M2691="שני שוואים ברצף",1),"0")</f>
        <v>1</v>
      </c>
      <c r="J2691" s="9">
        <f t="shared" ref="J2691:J2754" si="175">LEN(A2691)-(LEN(B2691))-D2691-F2691+H2691-I2691</f>
        <v>3</v>
      </c>
      <c r="K2691" t="s">
        <v>6697</v>
      </c>
      <c r="L2691" t="s">
        <v>6694</v>
      </c>
      <c r="M2691" t="s">
        <v>6705</v>
      </c>
      <c r="P2691" t="s">
        <v>6694</v>
      </c>
      <c r="R2691" t="s">
        <v>6694</v>
      </c>
      <c r="U2691" t="s">
        <v>6694</v>
      </c>
      <c r="W2691" t="s">
        <v>6720</v>
      </c>
    </row>
    <row r="2692" spans="1:23" ht="15.6" x14ac:dyDescent="0.4">
      <c r="A2692" s="2" t="s">
        <v>2857</v>
      </c>
      <c r="B2692" s="5" t="s">
        <v>9093</v>
      </c>
      <c r="C2692" s="7" t="s">
        <v>12556</v>
      </c>
      <c r="D2692" s="8">
        <f t="shared" si="172"/>
        <v>0</v>
      </c>
      <c r="E2692" s="7" t="s">
        <v>12557</v>
      </c>
      <c r="F2692" s="7">
        <f t="shared" si="173"/>
        <v>2</v>
      </c>
      <c r="G2692" s="7" t="s">
        <v>12558</v>
      </c>
      <c r="H2692" s="7">
        <f t="shared" si="174"/>
        <v>2</v>
      </c>
      <c r="I2692" s="7" cm="1">
        <f t="array" ref="I2692">IFERROR(_xlfn.IFS(M2692="נח",1,M2692="נע ונח",1,M2692="שני שווא נח",2,M2692="שני שוואים בסוף מילה",2,M2692="שני שוואים ברצף",1),"0")</f>
        <v>1</v>
      </c>
      <c r="J2692" s="9">
        <f t="shared" si="175"/>
        <v>4</v>
      </c>
      <c r="K2692" t="s">
        <v>6697</v>
      </c>
      <c r="L2692" t="s">
        <v>6694</v>
      </c>
      <c r="M2692" t="s">
        <v>6705</v>
      </c>
      <c r="P2692" t="s">
        <v>6694</v>
      </c>
      <c r="U2692" t="s">
        <v>6694</v>
      </c>
      <c r="V2692" t="s">
        <v>6694</v>
      </c>
      <c r="W2692" t="s">
        <v>6720</v>
      </c>
    </row>
    <row r="2693" spans="1:23" ht="15.6" x14ac:dyDescent="0.4">
      <c r="A2693" s="2" t="s">
        <v>4404</v>
      </c>
      <c r="B2693" s="5" t="s">
        <v>9094</v>
      </c>
      <c r="C2693" s="7" t="s">
        <v>12556</v>
      </c>
      <c r="D2693" s="8">
        <f t="shared" si="172"/>
        <v>0</v>
      </c>
      <c r="E2693" s="7" t="s">
        <v>12557</v>
      </c>
      <c r="F2693" s="7">
        <f t="shared" si="173"/>
        <v>2</v>
      </c>
      <c r="G2693" s="7" t="s">
        <v>12558</v>
      </c>
      <c r="H2693" s="7">
        <f t="shared" si="174"/>
        <v>1</v>
      </c>
      <c r="I2693" s="7" cm="1">
        <f t="array" ref="I2693">IFERROR(_xlfn.IFS(M2693="נח",1,M2693="נע ונח",1,M2693="שני שווא נח",2,M2693="שני שוואים בסוף מילה",2,M2693="שני שוואים ברצף",1),"0")</f>
        <v>1</v>
      </c>
      <c r="J2693" s="9">
        <f t="shared" si="175"/>
        <v>5</v>
      </c>
      <c r="K2693" t="s">
        <v>6697</v>
      </c>
      <c r="L2693" t="s">
        <v>6694</v>
      </c>
      <c r="M2693" t="s">
        <v>6705</v>
      </c>
      <c r="O2693" t="s">
        <v>6694</v>
      </c>
      <c r="P2693" t="s">
        <v>6694</v>
      </c>
      <c r="R2693" t="s">
        <v>6694</v>
      </c>
      <c r="U2693" t="s">
        <v>6694</v>
      </c>
      <c r="W2693" t="s">
        <v>6720</v>
      </c>
    </row>
    <row r="2694" spans="1:23" ht="15.6" x14ac:dyDescent="0.4">
      <c r="A2694" s="2" t="s">
        <v>3249</v>
      </c>
      <c r="B2694" s="5" t="s">
        <v>9095</v>
      </c>
      <c r="C2694" s="7" t="s">
        <v>12556</v>
      </c>
      <c r="D2694" s="8">
        <f t="shared" si="172"/>
        <v>1</v>
      </c>
      <c r="E2694" s="7" t="s">
        <v>12557</v>
      </c>
      <c r="F2694" s="7">
        <f t="shared" si="173"/>
        <v>1</v>
      </c>
      <c r="G2694" s="7" t="s">
        <v>12558</v>
      </c>
      <c r="H2694" s="7">
        <f t="shared" si="174"/>
        <v>1</v>
      </c>
      <c r="I2694" s="7" t="str" cm="1">
        <f t="array" ref="I2694">IFERROR(_xlfn.IFS(M2694="נח",1,M2694="נע ונח",1,M2694="שני שווא נח",2,M2694="שני שוואים בסוף מילה",2,M2694="שני שוואים ברצף",1),"0")</f>
        <v>0</v>
      </c>
      <c r="J2694" s="9">
        <f t="shared" si="175"/>
        <v>4</v>
      </c>
      <c r="K2694" t="s">
        <v>6697</v>
      </c>
      <c r="L2694" t="s">
        <v>6695</v>
      </c>
      <c r="P2694" t="s">
        <v>6694</v>
      </c>
      <c r="Q2694" t="s">
        <v>6694</v>
      </c>
      <c r="U2694" t="s">
        <v>6694</v>
      </c>
      <c r="W2694" t="s">
        <v>6720</v>
      </c>
    </row>
    <row r="2695" spans="1:23" ht="15.6" x14ac:dyDescent="0.4">
      <c r="A2695" s="2" t="s">
        <v>4355</v>
      </c>
      <c r="B2695" s="5" t="s">
        <v>9096</v>
      </c>
      <c r="C2695" s="7" t="s">
        <v>12556</v>
      </c>
      <c r="D2695" s="8">
        <f t="shared" si="172"/>
        <v>1</v>
      </c>
      <c r="E2695" s="7" t="s">
        <v>12557</v>
      </c>
      <c r="F2695" s="7">
        <f t="shared" si="173"/>
        <v>2</v>
      </c>
      <c r="G2695" s="7" t="s">
        <v>12558</v>
      </c>
      <c r="H2695" s="7">
        <f t="shared" si="174"/>
        <v>2</v>
      </c>
      <c r="I2695" s="7" t="str" cm="1">
        <f t="array" ref="I2695">IFERROR(_xlfn.IFS(M2695="נח",1,M2695="נע ונח",1,M2695="שני שווא נח",2,M2695="שני שוואים בסוף מילה",2,M2695="שני שוואים ברצף",1),"0")</f>
        <v>0</v>
      </c>
      <c r="J2695" s="9">
        <f t="shared" si="175"/>
        <v>5</v>
      </c>
      <c r="K2695" t="s">
        <v>6697</v>
      </c>
      <c r="L2695" t="s">
        <v>6695</v>
      </c>
      <c r="P2695" t="s">
        <v>6694</v>
      </c>
      <c r="Q2695" t="s">
        <v>6694</v>
      </c>
      <c r="U2695" t="s">
        <v>6694</v>
      </c>
      <c r="W2695" t="s">
        <v>6720</v>
      </c>
    </row>
    <row r="2696" spans="1:23" ht="15.6" x14ac:dyDescent="0.4">
      <c r="A2696" s="2" t="s">
        <v>766</v>
      </c>
      <c r="B2696" s="5" t="s">
        <v>9097</v>
      </c>
      <c r="C2696" s="7" t="s">
        <v>12556</v>
      </c>
      <c r="D2696" s="8">
        <f t="shared" si="172"/>
        <v>0</v>
      </c>
      <c r="E2696" s="7" t="s">
        <v>12557</v>
      </c>
      <c r="F2696" s="7">
        <f t="shared" si="173"/>
        <v>2</v>
      </c>
      <c r="G2696" s="7" t="s">
        <v>12558</v>
      </c>
      <c r="H2696" s="7">
        <f t="shared" si="174"/>
        <v>1</v>
      </c>
      <c r="I2696" s="7" t="str" cm="1">
        <f t="array" ref="I2696">IFERROR(_xlfn.IFS(M2696="נח",1,M2696="נע ונח",1,M2696="שני שווא נח",2,M2696="שני שוואים בסוף מילה",2,M2696="שני שוואים ברצף",1),"0")</f>
        <v>0</v>
      </c>
      <c r="J2696" s="9">
        <f t="shared" si="175"/>
        <v>4</v>
      </c>
      <c r="K2696" t="s">
        <v>6697</v>
      </c>
      <c r="L2696" t="s">
        <v>6695</v>
      </c>
      <c r="O2696" t="s">
        <v>6694</v>
      </c>
      <c r="S2696" t="s">
        <v>6694</v>
      </c>
      <c r="U2696" t="s">
        <v>6694</v>
      </c>
      <c r="W2696" t="s">
        <v>6720</v>
      </c>
    </row>
    <row r="2697" spans="1:23" ht="15.6" x14ac:dyDescent="0.4">
      <c r="A2697" s="2" t="s">
        <v>5188</v>
      </c>
      <c r="B2697" s="5" t="s">
        <v>9098</v>
      </c>
      <c r="C2697" s="7" t="s">
        <v>12556</v>
      </c>
      <c r="D2697" s="8">
        <f t="shared" si="172"/>
        <v>0</v>
      </c>
      <c r="E2697" s="7" t="s">
        <v>12557</v>
      </c>
      <c r="F2697" s="7">
        <f t="shared" si="173"/>
        <v>2</v>
      </c>
      <c r="G2697" s="7" t="s">
        <v>12558</v>
      </c>
      <c r="H2697" s="7">
        <f t="shared" si="174"/>
        <v>1</v>
      </c>
      <c r="I2697" s="7" t="str" cm="1">
        <f t="array" ref="I2697">IFERROR(_xlfn.IFS(M2697="נח",1,M2697="נע ונח",1,M2697="שני שווא נח",2,M2697="שני שוואים בסוף מילה",2,M2697="שני שוואים ברצף",1),"0")</f>
        <v>0</v>
      </c>
      <c r="J2697" s="9">
        <f t="shared" si="175"/>
        <v>4</v>
      </c>
      <c r="K2697" t="s">
        <v>6698</v>
      </c>
      <c r="L2697" t="s">
        <v>6695</v>
      </c>
      <c r="N2697" t="s">
        <v>6706</v>
      </c>
      <c r="O2697" t="s">
        <v>6694</v>
      </c>
      <c r="S2697" t="s">
        <v>6694</v>
      </c>
      <c r="U2697" t="s">
        <v>6694</v>
      </c>
      <c r="W2697" t="s">
        <v>6720</v>
      </c>
    </row>
    <row r="2698" spans="1:23" ht="15.6" x14ac:dyDescent="0.4">
      <c r="A2698" s="2" t="s">
        <v>4914</v>
      </c>
      <c r="B2698" s="5" t="s">
        <v>9099</v>
      </c>
      <c r="C2698" s="7" t="s">
        <v>12556</v>
      </c>
      <c r="D2698" s="8">
        <f t="shared" si="172"/>
        <v>0</v>
      </c>
      <c r="E2698" s="7" t="s">
        <v>12557</v>
      </c>
      <c r="F2698" s="7">
        <f t="shared" si="173"/>
        <v>1</v>
      </c>
      <c r="G2698" s="7" t="s">
        <v>12558</v>
      </c>
      <c r="H2698" s="7">
        <f t="shared" si="174"/>
        <v>1</v>
      </c>
      <c r="I2698" s="7" t="str" cm="1">
        <f t="array" ref="I2698">IFERROR(_xlfn.IFS(M2698="נח",1,M2698="נע ונח",1,M2698="שני שווא נח",2,M2698="שני שוואים בסוף מילה",2,M2698="שני שוואים ברצף",1),"0")</f>
        <v>0</v>
      </c>
      <c r="J2698" s="9">
        <f t="shared" si="175"/>
        <v>3</v>
      </c>
      <c r="K2698" t="s">
        <v>6698</v>
      </c>
      <c r="L2698" t="s">
        <v>6695</v>
      </c>
      <c r="O2698" t="s">
        <v>6694</v>
      </c>
      <c r="Q2698" t="s">
        <v>6694</v>
      </c>
      <c r="U2698" t="s">
        <v>6694</v>
      </c>
      <c r="W2698" t="s">
        <v>6720</v>
      </c>
    </row>
    <row r="2699" spans="1:23" ht="15.6" x14ac:dyDescent="0.4">
      <c r="A2699" s="2" t="s">
        <v>1482</v>
      </c>
      <c r="B2699" s="5" t="s">
        <v>9100</v>
      </c>
      <c r="C2699" s="7" t="s">
        <v>12556</v>
      </c>
      <c r="D2699" s="8">
        <f t="shared" si="172"/>
        <v>0</v>
      </c>
      <c r="E2699" s="7" t="s">
        <v>12557</v>
      </c>
      <c r="F2699" s="7">
        <f t="shared" si="173"/>
        <v>1</v>
      </c>
      <c r="G2699" s="7" t="s">
        <v>12558</v>
      </c>
      <c r="H2699" s="7">
        <f t="shared" si="174"/>
        <v>1</v>
      </c>
      <c r="I2699" s="7" t="str" cm="1">
        <f t="array" ref="I2699">IFERROR(_xlfn.IFS(M2699="נח",1,M2699="נע ונח",1,M2699="שני שווא נח",2,M2699="שני שוואים בסוף מילה",2,M2699="שני שוואים ברצף",1),"0")</f>
        <v>0</v>
      </c>
      <c r="J2699" s="9">
        <f t="shared" si="175"/>
        <v>3</v>
      </c>
      <c r="K2699" t="s">
        <v>6698</v>
      </c>
      <c r="L2699" t="s">
        <v>6695</v>
      </c>
      <c r="O2699" t="s">
        <v>6694</v>
      </c>
      <c r="U2699" t="s">
        <v>6694</v>
      </c>
      <c r="V2699" t="s">
        <v>6694</v>
      </c>
      <c r="W2699" t="s">
        <v>6720</v>
      </c>
    </row>
    <row r="2700" spans="1:23" ht="15.6" x14ac:dyDescent="0.4">
      <c r="A2700" s="2" t="s">
        <v>4220</v>
      </c>
      <c r="B2700" s="5" t="s">
        <v>9101</v>
      </c>
      <c r="C2700" s="7" t="s">
        <v>12556</v>
      </c>
      <c r="D2700" s="8">
        <f t="shared" si="172"/>
        <v>0</v>
      </c>
      <c r="E2700" s="7" t="s">
        <v>12557</v>
      </c>
      <c r="F2700" s="7">
        <f t="shared" si="173"/>
        <v>1</v>
      </c>
      <c r="G2700" s="7" t="s">
        <v>12558</v>
      </c>
      <c r="H2700" s="7">
        <f t="shared" si="174"/>
        <v>1</v>
      </c>
      <c r="I2700" s="7" t="str" cm="1">
        <f t="array" ref="I2700">IFERROR(_xlfn.IFS(M2700="נח",1,M2700="נע ונח",1,M2700="שני שווא נח",2,M2700="שני שוואים בסוף מילה",2,M2700="שני שוואים ברצף",1),"0")</f>
        <v>0</v>
      </c>
      <c r="J2700" s="9">
        <f t="shared" si="175"/>
        <v>3</v>
      </c>
      <c r="K2700" t="s">
        <v>6698</v>
      </c>
      <c r="L2700" t="s">
        <v>6695</v>
      </c>
      <c r="O2700" t="s">
        <v>6694</v>
      </c>
      <c r="U2700" t="s">
        <v>6694</v>
      </c>
      <c r="V2700" t="s">
        <v>6694</v>
      </c>
      <c r="W2700" t="s">
        <v>6720</v>
      </c>
    </row>
    <row r="2701" spans="1:23" ht="15.6" x14ac:dyDescent="0.4">
      <c r="A2701" s="2" t="s">
        <v>773</v>
      </c>
      <c r="B2701" s="5" t="s">
        <v>9102</v>
      </c>
      <c r="C2701" s="7" t="s">
        <v>12556</v>
      </c>
      <c r="D2701" s="8">
        <f t="shared" si="172"/>
        <v>0</v>
      </c>
      <c r="E2701" s="7" t="s">
        <v>12557</v>
      </c>
      <c r="F2701" s="7">
        <f t="shared" si="173"/>
        <v>1</v>
      </c>
      <c r="G2701" s="7" t="s">
        <v>12558</v>
      </c>
      <c r="H2701" s="7">
        <f t="shared" si="174"/>
        <v>1</v>
      </c>
      <c r="I2701" s="7" t="str" cm="1">
        <f t="array" ref="I2701">IFERROR(_xlfn.IFS(M2701="נח",1,M2701="נע ונח",1,M2701="שני שווא נח",2,M2701="שני שוואים בסוף מילה",2,M2701="שני שוואים ברצף",1),"0")</f>
        <v>0</v>
      </c>
      <c r="J2701" s="9">
        <f t="shared" si="175"/>
        <v>3</v>
      </c>
      <c r="K2701" t="s">
        <v>6698</v>
      </c>
      <c r="L2701" t="s">
        <v>6695</v>
      </c>
      <c r="O2701" t="s">
        <v>6694</v>
      </c>
      <c r="U2701" t="s">
        <v>6694</v>
      </c>
      <c r="V2701" t="s">
        <v>6694</v>
      </c>
      <c r="W2701" t="s">
        <v>6720</v>
      </c>
    </row>
    <row r="2702" spans="1:23" ht="15.6" x14ac:dyDescent="0.4">
      <c r="A2702" s="2" t="s">
        <v>4637</v>
      </c>
      <c r="B2702" s="5" t="s">
        <v>9103</v>
      </c>
      <c r="C2702" s="7" t="s">
        <v>12556</v>
      </c>
      <c r="D2702" s="8">
        <f t="shared" si="172"/>
        <v>0</v>
      </c>
      <c r="E2702" s="7" t="s">
        <v>12557</v>
      </c>
      <c r="F2702" s="7">
        <f t="shared" si="173"/>
        <v>1</v>
      </c>
      <c r="G2702" s="7" t="s">
        <v>12558</v>
      </c>
      <c r="H2702" s="7">
        <f t="shared" si="174"/>
        <v>1</v>
      </c>
      <c r="I2702" s="7" cm="1">
        <f t="array" ref="I2702">IFERROR(_xlfn.IFS(M2702="נח",1,M2702="נע ונח",1,M2702="שני שווא נח",2,M2702="שני שוואים בסוף מילה",2,M2702="שני שוואים ברצף",1),"0")</f>
        <v>1</v>
      </c>
      <c r="J2702" s="9">
        <f t="shared" si="175"/>
        <v>4</v>
      </c>
      <c r="K2702" t="s">
        <v>6698</v>
      </c>
      <c r="L2702" t="s">
        <v>6694</v>
      </c>
      <c r="M2702" t="s">
        <v>6705</v>
      </c>
      <c r="N2702" t="s">
        <v>6706</v>
      </c>
      <c r="O2702" t="s">
        <v>6694</v>
      </c>
      <c r="Q2702" t="s">
        <v>6694</v>
      </c>
      <c r="R2702" t="s">
        <v>6694</v>
      </c>
      <c r="U2702" t="s">
        <v>6694</v>
      </c>
      <c r="W2702" t="s">
        <v>6720</v>
      </c>
    </row>
    <row r="2703" spans="1:23" ht="15.6" x14ac:dyDescent="0.4">
      <c r="A2703" s="2" t="s">
        <v>1260</v>
      </c>
      <c r="B2703" s="5" t="s">
        <v>9104</v>
      </c>
      <c r="C2703" s="7" t="s">
        <v>12556</v>
      </c>
      <c r="D2703" s="8">
        <f t="shared" si="172"/>
        <v>0</v>
      </c>
      <c r="E2703" s="7" t="s">
        <v>12557</v>
      </c>
      <c r="F2703" s="7">
        <f t="shared" si="173"/>
        <v>1</v>
      </c>
      <c r="G2703" s="7" t="s">
        <v>12558</v>
      </c>
      <c r="H2703" s="7">
        <f t="shared" si="174"/>
        <v>1</v>
      </c>
      <c r="I2703" s="7" cm="1">
        <f t="array" ref="I2703">IFERROR(_xlfn.IFS(M2703="נח",1,M2703="נע ונח",1,M2703="שני שווא נח",2,M2703="שני שוואים בסוף מילה",2,M2703="שני שוואים ברצף",1),"0")</f>
        <v>1</v>
      </c>
      <c r="J2703" s="9">
        <f t="shared" si="175"/>
        <v>3</v>
      </c>
      <c r="K2703" t="s">
        <v>6698</v>
      </c>
      <c r="L2703" t="s">
        <v>6694</v>
      </c>
      <c r="M2703" t="s">
        <v>6705</v>
      </c>
      <c r="S2703" t="s">
        <v>6694</v>
      </c>
      <c r="U2703" t="s">
        <v>6694</v>
      </c>
      <c r="V2703" t="s">
        <v>6694</v>
      </c>
      <c r="W2703" t="s">
        <v>6720</v>
      </c>
    </row>
    <row r="2704" spans="1:23" ht="15.6" x14ac:dyDescent="0.4">
      <c r="A2704" s="2" t="s">
        <v>1600</v>
      </c>
      <c r="B2704" s="5" t="s">
        <v>9105</v>
      </c>
      <c r="C2704" s="7" t="s">
        <v>12556</v>
      </c>
      <c r="D2704" s="8">
        <f t="shared" si="172"/>
        <v>0</v>
      </c>
      <c r="E2704" s="7" t="s">
        <v>12557</v>
      </c>
      <c r="F2704" s="7">
        <f t="shared" si="173"/>
        <v>1</v>
      </c>
      <c r="G2704" s="7" t="s">
        <v>12558</v>
      </c>
      <c r="H2704" s="7">
        <f t="shared" si="174"/>
        <v>1</v>
      </c>
      <c r="I2704" s="7" t="str" cm="1">
        <f t="array" ref="I2704">IFERROR(_xlfn.IFS(M2704="נח",1,M2704="נע ונח",1,M2704="שני שווא נח",2,M2704="שני שוואים בסוף מילה",2,M2704="שני שוואים ברצף",1),"0")</f>
        <v>0</v>
      </c>
      <c r="J2704" s="9">
        <f t="shared" si="175"/>
        <v>4</v>
      </c>
      <c r="K2704" t="s">
        <v>6698</v>
      </c>
      <c r="L2704" t="s">
        <v>6695</v>
      </c>
      <c r="O2704" t="s">
        <v>6694</v>
      </c>
      <c r="Q2704" t="s">
        <v>6694</v>
      </c>
      <c r="U2704" t="s">
        <v>6694</v>
      </c>
      <c r="V2704" t="s">
        <v>6694</v>
      </c>
      <c r="W2704" t="s">
        <v>6720</v>
      </c>
    </row>
    <row r="2705" spans="1:23" ht="15.6" x14ac:dyDescent="0.4">
      <c r="A2705" s="2" t="s">
        <v>5596</v>
      </c>
      <c r="B2705" s="5" t="s">
        <v>9106</v>
      </c>
      <c r="C2705" s="7" t="s">
        <v>12556</v>
      </c>
      <c r="D2705" s="8">
        <f t="shared" si="172"/>
        <v>1</v>
      </c>
      <c r="E2705" s="7" t="s">
        <v>12557</v>
      </c>
      <c r="F2705" s="7">
        <f t="shared" si="173"/>
        <v>1</v>
      </c>
      <c r="G2705" s="7" t="s">
        <v>12558</v>
      </c>
      <c r="H2705" s="7">
        <f t="shared" si="174"/>
        <v>1</v>
      </c>
      <c r="I2705" s="7" cm="1">
        <f t="array" ref="I2705">IFERROR(_xlfn.IFS(M2705="נח",1,M2705="נע ונח",1,M2705="שני שווא נח",2,M2705="שני שוואים בסוף מילה",2,M2705="שני שוואים ברצף",1),"0")</f>
        <v>1</v>
      </c>
      <c r="J2705" s="9">
        <f t="shared" si="175"/>
        <v>3</v>
      </c>
      <c r="K2705" t="s">
        <v>6698</v>
      </c>
      <c r="L2705" t="s">
        <v>6694</v>
      </c>
      <c r="M2705" t="s">
        <v>6705</v>
      </c>
      <c r="U2705" t="s">
        <v>6694</v>
      </c>
      <c r="V2705" t="s">
        <v>6694</v>
      </c>
      <c r="W2705" t="s">
        <v>6720</v>
      </c>
    </row>
    <row r="2706" spans="1:23" ht="15.6" x14ac:dyDescent="0.4">
      <c r="A2706" s="2" t="s">
        <v>5720</v>
      </c>
      <c r="B2706" s="5" t="s">
        <v>9107</v>
      </c>
      <c r="C2706" s="7" t="s">
        <v>12556</v>
      </c>
      <c r="D2706" s="8">
        <f t="shared" si="172"/>
        <v>0</v>
      </c>
      <c r="E2706" s="7" t="s">
        <v>12557</v>
      </c>
      <c r="F2706" s="7">
        <f t="shared" si="173"/>
        <v>1</v>
      </c>
      <c r="G2706" s="7" t="s">
        <v>12558</v>
      </c>
      <c r="H2706" s="7">
        <f t="shared" si="174"/>
        <v>1</v>
      </c>
      <c r="I2706" s="7" t="str" cm="1">
        <f t="array" ref="I2706">IFERROR(_xlfn.IFS(M2706="נח",1,M2706="נע ונח",1,M2706="שני שווא נח",2,M2706="שני שוואים בסוף מילה",2,M2706="שני שוואים ברצף",1),"0")</f>
        <v>0</v>
      </c>
      <c r="J2706" s="9">
        <f t="shared" si="175"/>
        <v>3</v>
      </c>
      <c r="K2706" t="s">
        <v>6697</v>
      </c>
      <c r="L2706" t="s">
        <v>6695</v>
      </c>
      <c r="R2706" t="s">
        <v>6694</v>
      </c>
      <c r="U2706" t="s">
        <v>6694</v>
      </c>
      <c r="V2706" t="s">
        <v>6694</v>
      </c>
      <c r="W2706" t="s">
        <v>6720</v>
      </c>
    </row>
    <row r="2707" spans="1:23" ht="15.6" x14ac:dyDescent="0.4">
      <c r="A2707" s="2" t="s">
        <v>1667</v>
      </c>
      <c r="B2707" s="5" t="s">
        <v>9108</v>
      </c>
      <c r="C2707" s="7" t="s">
        <v>12556</v>
      </c>
      <c r="D2707" s="8">
        <f t="shared" si="172"/>
        <v>1</v>
      </c>
      <c r="E2707" s="7" t="s">
        <v>12557</v>
      </c>
      <c r="F2707" s="7">
        <f t="shared" si="173"/>
        <v>1</v>
      </c>
      <c r="G2707" s="7" t="s">
        <v>12558</v>
      </c>
      <c r="H2707" s="7">
        <f t="shared" si="174"/>
        <v>1</v>
      </c>
      <c r="I2707" s="7" t="str" cm="1">
        <f t="array" ref="I2707">IFERROR(_xlfn.IFS(M2707="נח",1,M2707="נע ונח",1,M2707="שני שווא נח",2,M2707="שני שוואים בסוף מילה",2,M2707="שני שוואים ברצף",1),"0")</f>
        <v>0</v>
      </c>
      <c r="J2707" s="9">
        <f t="shared" si="175"/>
        <v>3</v>
      </c>
      <c r="K2707" t="s">
        <v>6698</v>
      </c>
      <c r="L2707" t="s">
        <v>6695</v>
      </c>
      <c r="Q2707" t="s">
        <v>6694</v>
      </c>
      <c r="U2707" t="s">
        <v>6694</v>
      </c>
      <c r="V2707" t="s">
        <v>6694</v>
      </c>
      <c r="W2707" t="s">
        <v>6720</v>
      </c>
    </row>
    <row r="2708" spans="1:23" ht="15.6" x14ac:dyDescent="0.4">
      <c r="A2708" s="2" t="s">
        <v>2060</v>
      </c>
      <c r="B2708" s="5" t="s">
        <v>9109</v>
      </c>
      <c r="C2708" s="7" t="s">
        <v>12556</v>
      </c>
      <c r="D2708" s="8">
        <f t="shared" si="172"/>
        <v>0</v>
      </c>
      <c r="E2708" s="7" t="s">
        <v>12557</v>
      </c>
      <c r="F2708" s="7">
        <f t="shared" si="173"/>
        <v>1</v>
      </c>
      <c r="G2708" s="7" t="s">
        <v>12558</v>
      </c>
      <c r="H2708" s="7">
        <f t="shared" si="174"/>
        <v>1</v>
      </c>
      <c r="I2708" s="7" cm="1">
        <f t="array" ref="I2708">IFERROR(_xlfn.IFS(M2708="נח",1,M2708="נע ונח",1,M2708="שני שווא נח",2,M2708="שני שוואים בסוף מילה",2,M2708="שני שוואים ברצף",1),"0")</f>
        <v>1</v>
      </c>
      <c r="J2708" s="9">
        <f t="shared" si="175"/>
        <v>3</v>
      </c>
      <c r="K2708" t="s">
        <v>6698</v>
      </c>
      <c r="L2708" t="s">
        <v>6694</v>
      </c>
      <c r="M2708" t="s">
        <v>6705</v>
      </c>
      <c r="Q2708" t="s">
        <v>6694</v>
      </c>
      <c r="U2708" t="s">
        <v>6694</v>
      </c>
      <c r="V2708" t="s">
        <v>6694</v>
      </c>
      <c r="W2708" t="s">
        <v>6720</v>
      </c>
    </row>
    <row r="2709" spans="1:23" ht="15.6" x14ac:dyDescent="0.4">
      <c r="A2709" s="2" t="s">
        <v>1554</v>
      </c>
      <c r="B2709" s="5" t="s">
        <v>9110</v>
      </c>
      <c r="C2709" s="7" t="s">
        <v>12556</v>
      </c>
      <c r="D2709" s="8">
        <f t="shared" si="172"/>
        <v>0</v>
      </c>
      <c r="E2709" s="7" t="s">
        <v>12557</v>
      </c>
      <c r="F2709" s="7">
        <f t="shared" si="173"/>
        <v>1</v>
      </c>
      <c r="G2709" s="7" t="s">
        <v>12558</v>
      </c>
      <c r="H2709" s="7">
        <f t="shared" si="174"/>
        <v>1</v>
      </c>
      <c r="I2709" s="7" cm="1">
        <f t="array" ref="I2709">IFERROR(_xlfn.IFS(M2709="נח",1,M2709="נע ונח",1,M2709="שני שווא נח",2,M2709="שני שוואים בסוף מילה",2,M2709="שני שוואים ברצף",1),"0")</f>
        <v>1</v>
      </c>
      <c r="J2709" s="9">
        <f t="shared" si="175"/>
        <v>5</v>
      </c>
      <c r="K2709" t="s">
        <v>6698</v>
      </c>
      <c r="L2709" t="s">
        <v>6694</v>
      </c>
      <c r="M2709" t="s">
        <v>6705</v>
      </c>
      <c r="Q2709" t="s">
        <v>6694</v>
      </c>
      <c r="R2709" t="s">
        <v>6694</v>
      </c>
      <c r="U2709" t="s">
        <v>6694</v>
      </c>
      <c r="V2709" t="s">
        <v>6694</v>
      </c>
      <c r="W2709" t="s">
        <v>6720</v>
      </c>
    </row>
    <row r="2710" spans="1:23" ht="15.6" x14ac:dyDescent="0.4">
      <c r="A2710" s="2" t="s">
        <v>4604</v>
      </c>
      <c r="B2710" s="5" t="s">
        <v>9111</v>
      </c>
      <c r="C2710" s="7" t="s">
        <v>12556</v>
      </c>
      <c r="D2710" s="8">
        <f t="shared" si="172"/>
        <v>0</v>
      </c>
      <c r="E2710" s="7" t="s">
        <v>12557</v>
      </c>
      <c r="F2710" s="7">
        <f t="shared" si="173"/>
        <v>1</v>
      </c>
      <c r="G2710" s="7" t="s">
        <v>12558</v>
      </c>
      <c r="H2710" s="7">
        <f t="shared" si="174"/>
        <v>1</v>
      </c>
      <c r="I2710" s="7" cm="1">
        <f t="array" ref="I2710">IFERROR(_xlfn.IFS(M2710="נח",1,M2710="נע ונח",1,M2710="שני שווא נח",2,M2710="שני שוואים בסוף מילה",2,M2710="שני שוואים ברצף",1),"0")</f>
        <v>1</v>
      </c>
      <c r="J2710" s="9">
        <f t="shared" si="175"/>
        <v>3</v>
      </c>
      <c r="K2710" t="s">
        <v>6698</v>
      </c>
      <c r="L2710" t="s">
        <v>6694</v>
      </c>
      <c r="M2710" t="s">
        <v>6705</v>
      </c>
      <c r="S2710" t="s">
        <v>6694</v>
      </c>
      <c r="U2710" t="s">
        <v>6694</v>
      </c>
      <c r="V2710" t="s">
        <v>6694</v>
      </c>
      <c r="W2710" t="s">
        <v>6720</v>
      </c>
    </row>
    <row r="2711" spans="1:23" ht="15.6" x14ac:dyDescent="0.4">
      <c r="A2711" s="2" t="s">
        <v>4512</v>
      </c>
      <c r="B2711" s="5" t="s">
        <v>9112</v>
      </c>
      <c r="C2711" s="7" t="s">
        <v>12556</v>
      </c>
      <c r="D2711" s="8">
        <f t="shared" si="172"/>
        <v>0</v>
      </c>
      <c r="E2711" s="7" t="s">
        <v>12557</v>
      </c>
      <c r="F2711" s="7">
        <f t="shared" si="173"/>
        <v>1</v>
      </c>
      <c r="G2711" s="7" t="s">
        <v>12558</v>
      </c>
      <c r="H2711" s="7">
        <f t="shared" si="174"/>
        <v>1</v>
      </c>
      <c r="I2711" s="7" cm="1">
        <f t="array" ref="I2711">IFERROR(_xlfn.IFS(M2711="נח",1,M2711="נע ונח",1,M2711="שני שווא נח",2,M2711="שני שוואים בסוף מילה",2,M2711="שני שוואים ברצף",1),"0")</f>
        <v>1</v>
      </c>
      <c r="J2711" s="9">
        <f t="shared" si="175"/>
        <v>2</v>
      </c>
      <c r="K2711" t="s">
        <v>6698</v>
      </c>
      <c r="L2711" t="s">
        <v>6694</v>
      </c>
      <c r="M2711" t="s">
        <v>6705</v>
      </c>
      <c r="P2711" t="s">
        <v>6694</v>
      </c>
      <c r="U2711" t="s">
        <v>6694</v>
      </c>
      <c r="W2711" t="s">
        <v>6720</v>
      </c>
    </row>
    <row r="2712" spans="1:23" ht="15.6" x14ac:dyDescent="0.4">
      <c r="A2712" s="2" t="s">
        <v>3351</v>
      </c>
      <c r="B2712" s="5" t="s">
        <v>9113</v>
      </c>
      <c r="C2712" s="7" t="s">
        <v>12556</v>
      </c>
      <c r="D2712" s="8">
        <f t="shared" si="172"/>
        <v>0</v>
      </c>
      <c r="E2712" s="7" t="s">
        <v>12557</v>
      </c>
      <c r="F2712" s="7">
        <f t="shared" si="173"/>
        <v>2</v>
      </c>
      <c r="G2712" s="7" t="s">
        <v>12558</v>
      </c>
      <c r="H2712" s="7">
        <f t="shared" si="174"/>
        <v>1</v>
      </c>
      <c r="I2712" s="7" cm="1">
        <f t="array" ref="I2712">IFERROR(_xlfn.IFS(M2712="נח",1,M2712="נע ונח",1,M2712="שני שווא נח",2,M2712="שני שוואים בסוף מילה",2,M2712="שני שוואים ברצף",1),"0")</f>
        <v>2</v>
      </c>
      <c r="J2712" s="9">
        <f t="shared" si="175"/>
        <v>3</v>
      </c>
      <c r="K2712" t="s">
        <v>6697</v>
      </c>
      <c r="L2712" t="s">
        <v>6694</v>
      </c>
      <c r="M2712" t="s">
        <v>6704</v>
      </c>
      <c r="O2712" t="s">
        <v>6694</v>
      </c>
      <c r="P2712" t="s">
        <v>6694</v>
      </c>
      <c r="U2712" t="s">
        <v>6694</v>
      </c>
      <c r="W2712" t="s">
        <v>6720</v>
      </c>
    </row>
    <row r="2713" spans="1:23" ht="15.6" x14ac:dyDescent="0.4">
      <c r="A2713" s="2" t="s">
        <v>2646</v>
      </c>
      <c r="B2713" s="5" t="s">
        <v>9114</v>
      </c>
      <c r="C2713" s="7" t="s">
        <v>12556</v>
      </c>
      <c r="D2713" s="8">
        <f t="shared" si="172"/>
        <v>0</v>
      </c>
      <c r="E2713" s="7" t="s">
        <v>12557</v>
      </c>
      <c r="F2713" s="7">
        <f t="shared" si="173"/>
        <v>1</v>
      </c>
      <c r="G2713" s="7" t="s">
        <v>12558</v>
      </c>
      <c r="H2713" s="7">
        <f t="shared" si="174"/>
        <v>1</v>
      </c>
      <c r="I2713" s="7" cm="1">
        <f t="array" ref="I2713">IFERROR(_xlfn.IFS(M2713="נח",1,M2713="נע ונח",1,M2713="שני שווא נח",2,M2713="שני שוואים בסוף מילה",2,M2713="שני שוואים ברצף",1),"0")</f>
        <v>1</v>
      </c>
      <c r="J2713" s="9">
        <f t="shared" si="175"/>
        <v>3</v>
      </c>
      <c r="K2713" t="s">
        <v>6697</v>
      </c>
      <c r="L2713" t="s">
        <v>6694</v>
      </c>
      <c r="M2713" t="s">
        <v>6705</v>
      </c>
      <c r="Q2713" t="s">
        <v>6694</v>
      </c>
      <c r="S2713" t="s">
        <v>6694</v>
      </c>
      <c r="U2713" t="s">
        <v>6694</v>
      </c>
      <c r="W2713" t="s">
        <v>6720</v>
      </c>
    </row>
    <row r="2714" spans="1:23" ht="15.6" x14ac:dyDescent="0.4">
      <c r="A2714" s="2" t="s">
        <v>5754</v>
      </c>
      <c r="B2714" s="5" t="s">
        <v>9115</v>
      </c>
      <c r="C2714" s="7" t="s">
        <v>12556</v>
      </c>
      <c r="D2714" s="8">
        <f t="shared" si="172"/>
        <v>0</v>
      </c>
      <c r="E2714" s="7" t="s">
        <v>12557</v>
      </c>
      <c r="F2714" s="7">
        <f t="shared" si="173"/>
        <v>1</v>
      </c>
      <c r="G2714" s="7" t="s">
        <v>12558</v>
      </c>
      <c r="H2714" s="7">
        <f t="shared" si="174"/>
        <v>1</v>
      </c>
      <c r="I2714" s="7" cm="1">
        <f t="array" ref="I2714">IFERROR(_xlfn.IFS(M2714="נח",1,M2714="נע ונח",1,M2714="שני שווא נח",2,M2714="שני שוואים בסוף מילה",2,M2714="שני שוואים ברצף",1),"0")</f>
        <v>1</v>
      </c>
      <c r="J2714" s="9">
        <f t="shared" si="175"/>
        <v>3</v>
      </c>
      <c r="K2714" t="s">
        <v>6698</v>
      </c>
      <c r="L2714" t="s">
        <v>6694</v>
      </c>
      <c r="M2714" t="s">
        <v>6705</v>
      </c>
      <c r="O2714" t="s">
        <v>6694</v>
      </c>
      <c r="S2714" t="s">
        <v>6694</v>
      </c>
      <c r="U2714" t="s">
        <v>6694</v>
      </c>
      <c r="W2714" t="s">
        <v>6720</v>
      </c>
    </row>
    <row r="2715" spans="1:23" ht="15.6" x14ac:dyDescent="0.4">
      <c r="A2715" s="2" t="s">
        <v>2743</v>
      </c>
      <c r="B2715" s="5" t="s">
        <v>9116</v>
      </c>
      <c r="C2715" s="7" t="s">
        <v>12556</v>
      </c>
      <c r="D2715" s="8">
        <f t="shared" si="172"/>
        <v>0</v>
      </c>
      <c r="E2715" s="7" t="s">
        <v>12557</v>
      </c>
      <c r="F2715" s="7">
        <f t="shared" si="173"/>
        <v>1</v>
      </c>
      <c r="G2715" s="7" t="s">
        <v>12558</v>
      </c>
      <c r="H2715" s="7">
        <f t="shared" si="174"/>
        <v>1</v>
      </c>
      <c r="I2715" s="7" t="str" cm="1">
        <f t="array" ref="I2715">IFERROR(_xlfn.IFS(M2715="נח",1,M2715="נע ונח",1,M2715="שני שווא נח",2,M2715="שני שוואים בסוף מילה",2,M2715="שני שוואים ברצף",1),"0")</f>
        <v>0</v>
      </c>
      <c r="J2715" s="9">
        <f t="shared" si="175"/>
        <v>5</v>
      </c>
      <c r="K2715" t="s">
        <v>6697</v>
      </c>
      <c r="L2715" t="s">
        <v>6694</v>
      </c>
      <c r="M2715" t="s">
        <v>6703</v>
      </c>
      <c r="O2715" t="s">
        <v>6694</v>
      </c>
      <c r="U2715" t="s">
        <v>6694</v>
      </c>
      <c r="V2715" t="s">
        <v>6694</v>
      </c>
      <c r="W2715" t="s">
        <v>6720</v>
      </c>
    </row>
    <row r="2716" spans="1:23" ht="15.6" x14ac:dyDescent="0.4">
      <c r="A2716" s="2" t="s">
        <v>5294</v>
      </c>
      <c r="B2716" s="5" t="s">
        <v>9117</v>
      </c>
      <c r="C2716" s="7" t="s">
        <v>12556</v>
      </c>
      <c r="D2716" s="8">
        <f t="shared" si="172"/>
        <v>0</v>
      </c>
      <c r="E2716" s="7" t="s">
        <v>12557</v>
      </c>
      <c r="F2716" s="7">
        <f t="shared" si="173"/>
        <v>1</v>
      </c>
      <c r="G2716" s="7" t="s">
        <v>12558</v>
      </c>
      <c r="H2716" s="7">
        <f t="shared" si="174"/>
        <v>1</v>
      </c>
      <c r="I2716" s="7" cm="1">
        <f t="array" ref="I2716">IFERROR(_xlfn.IFS(M2716="נח",1,M2716="נע ונח",1,M2716="שני שווא נח",2,M2716="שני שוואים בסוף מילה",2,M2716="שני שוואים ברצף",1),"0")</f>
        <v>1</v>
      </c>
      <c r="J2716" s="9">
        <f t="shared" si="175"/>
        <v>3</v>
      </c>
      <c r="K2716" t="s">
        <v>6698</v>
      </c>
      <c r="L2716" t="s">
        <v>6694</v>
      </c>
      <c r="M2716" t="s">
        <v>6705</v>
      </c>
      <c r="N2716" t="s">
        <v>6706</v>
      </c>
      <c r="O2716" t="s">
        <v>6694</v>
      </c>
      <c r="S2716" t="s">
        <v>6694</v>
      </c>
      <c r="U2716" t="s">
        <v>6694</v>
      </c>
      <c r="W2716" t="s">
        <v>6720</v>
      </c>
    </row>
    <row r="2717" spans="1:23" ht="15.6" x14ac:dyDescent="0.4">
      <c r="A2717" s="2" t="s">
        <v>3102</v>
      </c>
      <c r="B2717" s="5" t="s">
        <v>9118</v>
      </c>
      <c r="C2717" s="7" t="s">
        <v>12556</v>
      </c>
      <c r="D2717" s="8">
        <f t="shared" si="172"/>
        <v>0</v>
      </c>
      <c r="E2717" s="7" t="s">
        <v>12557</v>
      </c>
      <c r="F2717" s="7">
        <f t="shared" si="173"/>
        <v>1</v>
      </c>
      <c r="G2717" s="7" t="s">
        <v>12558</v>
      </c>
      <c r="H2717" s="7">
        <f t="shared" si="174"/>
        <v>1</v>
      </c>
      <c r="I2717" s="7" cm="1">
        <f t="array" ref="I2717">IFERROR(_xlfn.IFS(M2717="נח",1,M2717="נע ונח",1,M2717="שני שווא נח",2,M2717="שני שוואים בסוף מילה",2,M2717="שני שוואים ברצף",1),"0")</f>
        <v>1</v>
      </c>
      <c r="J2717" s="9">
        <f t="shared" si="175"/>
        <v>2</v>
      </c>
      <c r="K2717" t="s">
        <v>6697</v>
      </c>
      <c r="L2717" t="s">
        <v>6694</v>
      </c>
      <c r="M2717" t="s">
        <v>6705</v>
      </c>
      <c r="O2717" t="s">
        <v>6694</v>
      </c>
      <c r="U2717" t="s">
        <v>6694</v>
      </c>
      <c r="W2717" t="s">
        <v>6720</v>
      </c>
    </row>
    <row r="2718" spans="1:23" ht="15.6" x14ac:dyDescent="0.4">
      <c r="A2718" s="2" t="s">
        <v>950</v>
      </c>
      <c r="B2718" s="5" t="s">
        <v>9119</v>
      </c>
      <c r="C2718" s="7" t="s">
        <v>12556</v>
      </c>
      <c r="D2718" s="8">
        <f t="shared" si="172"/>
        <v>0</v>
      </c>
      <c r="E2718" s="7" t="s">
        <v>12557</v>
      </c>
      <c r="F2718" s="7">
        <f t="shared" si="173"/>
        <v>1</v>
      </c>
      <c r="G2718" s="7" t="s">
        <v>12558</v>
      </c>
      <c r="H2718" s="7">
        <f t="shared" si="174"/>
        <v>1</v>
      </c>
      <c r="I2718" s="7" cm="1">
        <f t="array" ref="I2718">IFERROR(_xlfn.IFS(M2718="נח",1,M2718="נע ונח",1,M2718="שני שווא נח",2,M2718="שני שוואים בסוף מילה",2,M2718="שני שוואים ברצף",1),"0")</f>
        <v>1</v>
      </c>
      <c r="J2718" s="9">
        <f t="shared" si="175"/>
        <v>2</v>
      </c>
      <c r="K2718" t="s">
        <v>6698</v>
      </c>
      <c r="L2718" t="s">
        <v>6694</v>
      </c>
      <c r="M2718" t="s">
        <v>6705</v>
      </c>
      <c r="U2718" t="s">
        <v>6694</v>
      </c>
      <c r="V2718" t="s">
        <v>6694</v>
      </c>
      <c r="W2718" t="s">
        <v>6720</v>
      </c>
    </row>
    <row r="2719" spans="1:23" ht="15.6" x14ac:dyDescent="0.4">
      <c r="A2719" s="2" t="s">
        <v>3676</v>
      </c>
      <c r="B2719" s="5" t="s">
        <v>9120</v>
      </c>
      <c r="C2719" s="7" t="s">
        <v>12556</v>
      </c>
      <c r="D2719" s="8">
        <f t="shared" si="172"/>
        <v>0</v>
      </c>
      <c r="E2719" s="7" t="s">
        <v>12557</v>
      </c>
      <c r="F2719" s="7">
        <f t="shared" si="173"/>
        <v>2</v>
      </c>
      <c r="G2719" s="7" t="s">
        <v>12558</v>
      </c>
      <c r="H2719" s="7">
        <f t="shared" si="174"/>
        <v>2</v>
      </c>
      <c r="I2719" s="7" cm="1">
        <f t="array" ref="I2719">IFERROR(_xlfn.IFS(M2719="נח",1,M2719="נע ונח",1,M2719="שני שווא נח",2,M2719="שני שוואים בסוף מילה",2,M2719="שני שוואים ברצף",1),"0")</f>
        <v>1</v>
      </c>
      <c r="J2719" s="9">
        <f t="shared" si="175"/>
        <v>3</v>
      </c>
      <c r="K2719" t="s">
        <v>6697</v>
      </c>
      <c r="L2719" t="s">
        <v>6694</v>
      </c>
      <c r="M2719" t="s">
        <v>6705</v>
      </c>
      <c r="Q2719" t="s">
        <v>6694</v>
      </c>
      <c r="U2719" t="s">
        <v>6694</v>
      </c>
      <c r="W2719" t="s">
        <v>6720</v>
      </c>
    </row>
    <row r="2720" spans="1:23" ht="15.6" x14ac:dyDescent="0.4">
      <c r="A2720" s="2" t="s">
        <v>5492</v>
      </c>
      <c r="B2720" s="5" t="s">
        <v>9121</v>
      </c>
      <c r="C2720" s="7" t="s">
        <v>12556</v>
      </c>
      <c r="D2720" s="8">
        <f t="shared" si="172"/>
        <v>0</v>
      </c>
      <c r="E2720" s="7" t="s">
        <v>12557</v>
      </c>
      <c r="F2720" s="7">
        <f t="shared" si="173"/>
        <v>1</v>
      </c>
      <c r="G2720" s="7" t="s">
        <v>12558</v>
      </c>
      <c r="H2720" s="7">
        <f t="shared" si="174"/>
        <v>1</v>
      </c>
      <c r="I2720" s="7" cm="1">
        <f t="array" ref="I2720">IFERROR(_xlfn.IFS(M2720="נח",1,M2720="נע ונח",1,M2720="שני שווא נח",2,M2720="שני שוואים בסוף מילה",2,M2720="שני שוואים ברצף",1),"0")</f>
        <v>1</v>
      </c>
      <c r="J2720" s="9">
        <f t="shared" si="175"/>
        <v>2</v>
      </c>
      <c r="K2720" t="s">
        <v>6698</v>
      </c>
      <c r="L2720" t="s">
        <v>6694</v>
      </c>
      <c r="M2720" t="s">
        <v>6705</v>
      </c>
      <c r="Q2720" t="s">
        <v>6694</v>
      </c>
      <c r="U2720" t="s">
        <v>6694</v>
      </c>
      <c r="W2720" t="s">
        <v>6720</v>
      </c>
    </row>
    <row r="2721" spans="1:23" ht="15.6" x14ac:dyDescent="0.4">
      <c r="A2721" s="2" t="s">
        <v>2750</v>
      </c>
      <c r="B2721" s="5" t="s">
        <v>9122</v>
      </c>
      <c r="C2721" s="7" t="s">
        <v>12556</v>
      </c>
      <c r="D2721" s="8">
        <f t="shared" si="172"/>
        <v>0</v>
      </c>
      <c r="E2721" s="7" t="s">
        <v>12557</v>
      </c>
      <c r="F2721" s="7">
        <f t="shared" si="173"/>
        <v>1</v>
      </c>
      <c r="G2721" s="7" t="s">
        <v>12558</v>
      </c>
      <c r="H2721" s="7">
        <f t="shared" si="174"/>
        <v>1</v>
      </c>
      <c r="I2721" s="7" cm="1">
        <f t="array" ref="I2721">IFERROR(_xlfn.IFS(M2721="נח",1,M2721="נע ונח",1,M2721="שני שווא נח",2,M2721="שני שוואים בסוף מילה",2,M2721="שני שוואים ברצף",1),"0")</f>
        <v>1</v>
      </c>
      <c r="J2721" s="9">
        <f t="shared" si="175"/>
        <v>3</v>
      </c>
      <c r="K2721" t="s">
        <v>6698</v>
      </c>
      <c r="L2721" t="s">
        <v>6694</v>
      </c>
      <c r="M2721" t="s">
        <v>6705</v>
      </c>
      <c r="Q2721" t="s">
        <v>6694</v>
      </c>
      <c r="R2721" t="s">
        <v>6694</v>
      </c>
      <c r="U2721" t="s">
        <v>6694</v>
      </c>
      <c r="W2721" t="s">
        <v>6720</v>
      </c>
    </row>
    <row r="2722" spans="1:23" ht="15.6" x14ac:dyDescent="0.4">
      <c r="A2722" s="2" t="s">
        <v>4824</v>
      </c>
      <c r="B2722" s="5" t="s">
        <v>9123</v>
      </c>
      <c r="C2722" s="7" t="s">
        <v>12556</v>
      </c>
      <c r="D2722" s="8">
        <f t="shared" si="172"/>
        <v>0</v>
      </c>
      <c r="E2722" s="7" t="s">
        <v>12557</v>
      </c>
      <c r="F2722" s="7">
        <f t="shared" si="173"/>
        <v>1</v>
      </c>
      <c r="G2722" s="7" t="s">
        <v>12558</v>
      </c>
      <c r="H2722" s="7">
        <f t="shared" si="174"/>
        <v>1</v>
      </c>
      <c r="I2722" s="7" cm="1">
        <f t="array" ref="I2722">IFERROR(_xlfn.IFS(M2722="נח",1,M2722="נע ונח",1,M2722="שני שווא נח",2,M2722="שני שוואים בסוף מילה",2,M2722="שני שוואים ברצף",1),"0")</f>
        <v>1</v>
      </c>
      <c r="J2722" s="9">
        <f t="shared" si="175"/>
        <v>2</v>
      </c>
      <c r="K2722" t="s">
        <v>6698</v>
      </c>
      <c r="L2722" t="s">
        <v>6694</v>
      </c>
      <c r="M2722" t="s">
        <v>6705</v>
      </c>
      <c r="U2722" t="s">
        <v>6694</v>
      </c>
      <c r="V2722" t="s">
        <v>6694</v>
      </c>
      <c r="W2722" t="s">
        <v>6720</v>
      </c>
    </row>
    <row r="2723" spans="1:23" ht="15.6" x14ac:dyDescent="0.4">
      <c r="A2723" s="2" t="s">
        <v>893</v>
      </c>
      <c r="B2723" s="5" t="s">
        <v>9124</v>
      </c>
      <c r="C2723" s="7" t="s">
        <v>12556</v>
      </c>
      <c r="D2723" s="8">
        <f t="shared" si="172"/>
        <v>1</v>
      </c>
      <c r="E2723" s="7" t="s">
        <v>12557</v>
      </c>
      <c r="F2723" s="7">
        <f t="shared" si="173"/>
        <v>1</v>
      </c>
      <c r="G2723" s="7" t="s">
        <v>12558</v>
      </c>
      <c r="H2723" s="7">
        <f t="shared" si="174"/>
        <v>1</v>
      </c>
      <c r="I2723" s="7" cm="1">
        <f t="array" ref="I2723">IFERROR(_xlfn.IFS(M2723="נח",1,M2723="נע ונח",1,M2723="שני שווא נח",2,M2723="שני שוואים בסוף מילה",2,M2723="שני שוואים ברצף",1),"0")</f>
        <v>1</v>
      </c>
      <c r="J2723" s="9">
        <f t="shared" si="175"/>
        <v>3</v>
      </c>
      <c r="K2723" t="s">
        <v>6698</v>
      </c>
      <c r="L2723" t="s">
        <v>6694</v>
      </c>
      <c r="M2723" t="s">
        <v>6705</v>
      </c>
      <c r="O2723" t="s">
        <v>6694</v>
      </c>
      <c r="P2723" t="s">
        <v>6694</v>
      </c>
      <c r="U2723" t="s">
        <v>6694</v>
      </c>
      <c r="W2723" t="s">
        <v>6720</v>
      </c>
    </row>
    <row r="2724" spans="1:23" ht="15.6" x14ac:dyDescent="0.4">
      <c r="A2724" s="2" t="s">
        <v>3921</v>
      </c>
      <c r="B2724" s="5" t="s">
        <v>9125</v>
      </c>
      <c r="C2724" s="7" t="s">
        <v>12556</v>
      </c>
      <c r="D2724" s="8">
        <f t="shared" si="172"/>
        <v>0</v>
      </c>
      <c r="E2724" s="7" t="s">
        <v>12557</v>
      </c>
      <c r="F2724" s="7">
        <f t="shared" si="173"/>
        <v>1</v>
      </c>
      <c r="G2724" s="7" t="s">
        <v>12558</v>
      </c>
      <c r="H2724" s="7">
        <f t="shared" si="174"/>
        <v>1</v>
      </c>
      <c r="I2724" s="7" t="str" cm="1">
        <f t="array" ref="I2724">IFERROR(_xlfn.IFS(M2724="נח",1,M2724="נע ונח",1,M2724="שני שווא נח",2,M2724="שני שוואים בסוף מילה",2,M2724="שני שוואים ברצף",1),"0")</f>
        <v>0</v>
      </c>
      <c r="J2724" s="9">
        <f t="shared" si="175"/>
        <v>2</v>
      </c>
      <c r="K2724" t="s">
        <v>6697</v>
      </c>
      <c r="L2724" t="s">
        <v>6695</v>
      </c>
      <c r="S2724" t="s">
        <v>6694</v>
      </c>
      <c r="U2724" t="s">
        <v>6694</v>
      </c>
      <c r="W2724" t="s">
        <v>6720</v>
      </c>
    </row>
    <row r="2725" spans="1:23" ht="15.6" x14ac:dyDescent="0.4">
      <c r="A2725" s="2" t="s">
        <v>3390</v>
      </c>
      <c r="B2725" s="5" t="s">
        <v>9126</v>
      </c>
      <c r="C2725" s="7" t="s">
        <v>12556</v>
      </c>
      <c r="D2725" s="8">
        <f t="shared" si="172"/>
        <v>0</v>
      </c>
      <c r="E2725" s="7" t="s">
        <v>12557</v>
      </c>
      <c r="F2725" s="7">
        <f t="shared" si="173"/>
        <v>1</v>
      </c>
      <c r="G2725" s="7" t="s">
        <v>12558</v>
      </c>
      <c r="H2725" s="7">
        <f t="shared" si="174"/>
        <v>1</v>
      </c>
      <c r="I2725" s="7" t="str" cm="1">
        <f t="array" ref="I2725">IFERROR(_xlfn.IFS(M2725="נח",1,M2725="נע ונח",1,M2725="שני שווא נח",2,M2725="שני שוואים בסוף מילה",2,M2725="שני שוואים ברצף",1),"0")</f>
        <v>0</v>
      </c>
      <c r="J2725" s="9">
        <f t="shared" si="175"/>
        <v>3</v>
      </c>
      <c r="K2725" t="s">
        <v>6698</v>
      </c>
      <c r="L2725" t="s">
        <v>6695</v>
      </c>
      <c r="P2725" t="s">
        <v>6694</v>
      </c>
      <c r="U2725" t="s">
        <v>6694</v>
      </c>
      <c r="W2725" t="s">
        <v>6720</v>
      </c>
    </row>
    <row r="2726" spans="1:23" ht="15.6" x14ac:dyDescent="0.4">
      <c r="A2726" s="2" t="s">
        <v>5218</v>
      </c>
      <c r="B2726" s="5" t="s">
        <v>9127</v>
      </c>
      <c r="C2726" s="7" t="s">
        <v>12556</v>
      </c>
      <c r="D2726" s="8">
        <f t="shared" si="172"/>
        <v>0</v>
      </c>
      <c r="E2726" s="7" t="s">
        <v>12557</v>
      </c>
      <c r="F2726" s="7">
        <f t="shared" si="173"/>
        <v>1</v>
      </c>
      <c r="G2726" s="7" t="s">
        <v>12558</v>
      </c>
      <c r="H2726" s="7">
        <f t="shared" si="174"/>
        <v>1</v>
      </c>
      <c r="I2726" s="7" t="str" cm="1">
        <f t="array" ref="I2726">IFERROR(_xlfn.IFS(M2726="נח",1,M2726="נע ונח",1,M2726="שני שווא נח",2,M2726="שני שוואים בסוף מילה",2,M2726="שני שוואים ברצף",1),"0")</f>
        <v>0</v>
      </c>
      <c r="J2726" s="9">
        <f t="shared" si="175"/>
        <v>3</v>
      </c>
      <c r="K2726" t="s">
        <v>6698</v>
      </c>
      <c r="L2726" t="s">
        <v>6695</v>
      </c>
      <c r="Q2726" t="s">
        <v>6694</v>
      </c>
      <c r="U2726" t="s">
        <v>6694</v>
      </c>
      <c r="V2726" t="s">
        <v>6694</v>
      </c>
      <c r="W2726" t="s">
        <v>6720</v>
      </c>
    </row>
    <row r="2727" spans="1:23" ht="15.6" x14ac:dyDescent="0.4">
      <c r="A2727" s="2" t="s">
        <v>2236</v>
      </c>
      <c r="B2727" s="5" t="s">
        <v>9128</v>
      </c>
      <c r="C2727" s="7" t="s">
        <v>12556</v>
      </c>
      <c r="D2727" s="8">
        <f t="shared" si="172"/>
        <v>0</v>
      </c>
      <c r="E2727" s="7" t="s">
        <v>12557</v>
      </c>
      <c r="F2727" s="7">
        <f t="shared" si="173"/>
        <v>1</v>
      </c>
      <c r="G2727" s="7" t="s">
        <v>12558</v>
      </c>
      <c r="H2727" s="7">
        <f t="shared" si="174"/>
        <v>1</v>
      </c>
      <c r="I2727" s="7" cm="1">
        <f t="array" ref="I2727">IFERROR(_xlfn.IFS(M2727="נח",1,M2727="נע ונח",1,M2727="שני שווא נח",2,M2727="שני שוואים בסוף מילה",2,M2727="שני שוואים ברצף",1),"0")</f>
        <v>1</v>
      </c>
      <c r="J2727" s="9">
        <f t="shared" si="175"/>
        <v>3</v>
      </c>
      <c r="K2727" t="s">
        <v>6697</v>
      </c>
      <c r="L2727" t="s">
        <v>6694</v>
      </c>
      <c r="M2727" t="s">
        <v>6705</v>
      </c>
      <c r="O2727" t="s">
        <v>6694</v>
      </c>
      <c r="U2727" t="s">
        <v>6694</v>
      </c>
      <c r="W2727" t="s">
        <v>6720</v>
      </c>
    </row>
    <row r="2728" spans="1:23" ht="15.6" x14ac:dyDescent="0.4">
      <c r="A2728" s="2" t="s">
        <v>5319</v>
      </c>
      <c r="B2728" s="5" t="s">
        <v>9129</v>
      </c>
      <c r="C2728" s="7" t="s">
        <v>12556</v>
      </c>
      <c r="D2728" s="8">
        <f t="shared" si="172"/>
        <v>0</v>
      </c>
      <c r="E2728" s="7" t="s">
        <v>12557</v>
      </c>
      <c r="F2728" s="7">
        <f t="shared" si="173"/>
        <v>1</v>
      </c>
      <c r="G2728" s="7" t="s">
        <v>12558</v>
      </c>
      <c r="H2728" s="7">
        <f t="shared" si="174"/>
        <v>1</v>
      </c>
      <c r="I2728" s="7" cm="1">
        <f t="array" ref="I2728">IFERROR(_xlfn.IFS(M2728="נח",1,M2728="נע ונח",1,M2728="שני שווא נח",2,M2728="שני שוואים בסוף מילה",2,M2728="שני שוואים ברצף",1),"0")</f>
        <v>1</v>
      </c>
      <c r="J2728" s="9">
        <f t="shared" si="175"/>
        <v>4</v>
      </c>
      <c r="K2728" t="s">
        <v>6697</v>
      </c>
      <c r="L2728" t="s">
        <v>6694</v>
      </c>
      <c r="M2728" t="s">
        <v>6705</v>
      </c>
      <c r="O2728" t="s">
        <v>6694</v>
      </c>
      <c r="Q2728" t="s">
        <v>6694</v>
      </c>
      <c r="S2728" t="s">
        <v>6694</v>
      </c>
      <c r="U2728" t="s">
        <v>6694</v>
      </c>
      <c r="W2728" t="s">
        <v>6720</v>
      </c>
    </row>
    <row r="2729" spans="1:23" ht="15.6" x14ac:dyDescent="0.4">
      <c r="A2729" s="2" t="s">
        <v>397</v>
      </c>
      <c r="B2729" s="5" t="s">
        <v>9130</v>
      </c>
      <c r="C2729" s="7" t="s">
        <v>12556</v>
      </c>
      <c r="D2729" s="8">
        <f t="shared" si="172"/>
        <v>0</v>
      </c>
      <c r="E2729" s="7" t="s">
        <v>12557</v>
      </c>
      <c r="F2729" s="7">
        <f t="shared" si="173"/>
        <v>1</v>
      </c>
      <c r="G2729" s="7" t="s">
        <v>12558</v>
      </c>
      <c r="H2729" s="7">
        <f t="shared" si="174"/>
        <v>1</v>
      </c>
      <c r="I2729" s="7" cm="1">
        <f t="array" ref="I2729">IFERROR(_xlfn.IFS(M2729="נח",1,M2729="נע ונח",1,M2729="שני שווא נח",2,M2729="שני שוואים בסוף מילה",2,M2729="שני שוואים ברצף",1),"0")</f>
        <v>1</v>
      </c>
      <c r="J2729" s="9">
        <f t="shared" si="175"/>
        <v>3</v>
      </c>
      <c r="K2729" t="s">
        <v>6698</v>
      </c>
      <c r="L2729" t="s">
        <v>6694</v>
      </c>
      <c r="M2729" t="s">
        <v>6705</v>
      </c>
      <c r="P2729" t="s">
        <v>6694</v>
      </c>
      <c r="U2729" t="s">
        <v>6694</v>
      </c>
      <c r="V2729" t="s">
        <v>6694</v>
      </c>
      <c r="W2729" t="s">
        <v>6720</v>
      </c>
    </row>
    <row r="2730" spans="1:23" ht="15.6" x14ac:dyDescent="0.4">
      <c r="A2730" s="2" t="s">
        <v>4052</v>
      </c>
      <c r="B2730" s="5" t="s">
        <v>8590</v>
      </c>
      <c r="C2730" s="7" t="s">
        <v>12556</v>
      </c>
      <c r="D2730" s="8">
        <f t="shared" si="172"/>
        <v>0</v>
      </c>
      <c r="E2730" s="7" t="s">
        <v>12557</v>
      </c>
      <c r="F2730" s="7">
        <f t="shared" si="173"/>
        <v>1</v>
      </c>
      <c r="G2730" s="7" t="s">
        <v>12558</v>
      </c>
      <c r="H2730" s="7">
        <f t="shared" si="174"/>
        <v>1</v>
      </c>
      <c r="I2730" s="7" t="str" cm="1">
        <f t="array" ref="I2730">IFERROR(_xlfn.IFS(M2730="נח",1,M2730="נע ונח",1,M2730="שני שווא נח",2,M2730="שני שוואים בסוף מילה",2,M2730="שני שוואים ברצף",1),"0")</f>
        <v>0</v>
      </c>
      <c r="J2730" s="9">
        <f t="shared" si="175"/>
        <v>3</v>
      </c>
      <c r="K2730" t="s">
        <v>6698</v>
      </c>
      <c r="L2730" t="s">
        <v>6695</v>
      </c>
      <c r="N2730" t="s">
        <v>6706</v>
      </c>
      <c r="O2730" t="s">
        <v>6694</v>
      </c>
      <c r="P2730" t="s">
        <v>6694</v>
      </c>
      <c r="U2730" t="s">
        <v>6694</v>
      </c>
      <c r="W2730" t="s">
        <v>6720</v>
      </c>
    </row>
    <row r="2731" spans="1:23" ht="15.6" x14ac:dyDescent="0.4">
      <c r="A2731" s="2" t="s">
        <v>3720</v>
      </c>
      <c r="B2731" s="5" t="s">
        <v>9131</v>
      </c>
      <c r="C2731" s="7" t="s">
        <v>12556</v>
      </c>
      <c r="D2731" s="8">
        <f t="shared" si="172"/>
        <v>0</v>
      </c>
      <c r="E2731" s="7" t="s">
        <v>12557</v>
      </c>
      <c r="F2731" s="7">
        <f t="shared" si="173"/>
        <v>1</v>
      </c>
      <c r="G2731" s="7" t="s">
        <v>12558</v>
      </c>
      <c r="H2731" s="7">
        <f t="shared" si="174"/>
        <v>1</v>
      </c>
      <c r="I2731" s="7" cm="1">
        <f t="array" ref="I2731">IFERROR(_xlfn.IFS(M2731="נח",1,M2731="נע ונח",1,M2731="שני שווא נח",2,M2731="שני שוואים בסוף מילה",2,M2731="שני שוואים ברצף",1),"0")</f>
        <v>1</v>
      </c>
      <c r="J2731" s="9">
        <f t="shared" si="175"/>
        <v>2</v>
      </c>
      <c r="K2731" t="s">
        <v>6697</v>
      </c>
      <c r="L2731" t="s">
        <v>6694</v>
      </c>
      <c r="M2731" t="s">
        <v>6705</v>
      </c>
      <c r="S2731" t="s">
        <v>6694</v>
      </c>
      <c r="U2731" t="s">
        <v>6694</v>
      </c>
      <c r="W2731" t="s">
        <v>6720</v>
      </c>
    </row>
    <row r="2732" spans="1:23" ht="15.6" x14ac:dyDescent="0.4">
      <c r="A2732" s="2" t="s">
        <v>4823</v>
      </c>
      <c r="B2732" s="5" t="s">
        <v>9132</v>
      </c>
      <c r="C2732" s="7" t="s">
        <v>12556</v>
      </c>
      <c r="D2732" s="8">
        <f t="shared" si="172"/>
        <v>0</v>
      </c>
      <c r="E2732" s="7" t="s">
        <v>12557</v>
      </c>
      <c r="F2732" s="7">
        <f t="shared" si="173"/>
        <v>1</v>
      </c>
      <c r="G2732" s="7" t="s">
        <v>12558</v>
      </c>
      <c r="H2732" s="7">
        <f t="shared" si="174"/>
        <v>1</v>
      </c>
      <c r="I2732" s="7" cm="1">
        <f t="array" ref="I2732">IFERROR(_xlfn.IFS(M2732="נח",1,M2732="נע ונח",1,M2732="שני שווא נח",2,M2732="שני שוואים בסוף מילה",2,M2732="שני שוואים ברצף",1),"0")</f>
        <v>1</v>
      </c>
      <c r="J2732" s="9">
        <f t="shared" si="175"/>
        <v>2</v>
      </c>
      <c r="K2732" t="s">
        <v>6697</v>
      </c>
      <c r="L2732" t="s">
        <v>6694</v>
      </c>
      <c r="M2732" t="s">
        <v>6705</v>
      </c>
      <c r="Q2732" t="s">
        <v>6694</v>
      </c>
      <c r="U2732" t="s">
        <v>6694</v>
      </c>
      <c r="W2732" t="s">
        <v>6720</v>
      </c>
    </row>
    <row r="2733" spans="1:23" ht="15.6" x14ac:dyDescent="0.4">
      <c r="A2733" s="2" t="s">
        <v>2757</v>
      </c>
      <c r="B2733" s="5" t="s">
        <v>8611</v>
      </c>
      <c r="C2733" s="7" t="s">
        <v>12556</v>
      </c>
      <c r="D2733" s="8">
        <f t="shared" si="172"/>
        <v>0</v>
      </c>
      <c r="E2733" s="7" t="s">
        <v>12557</v>
      </c>
      <c r="F2733" s="7">
        <f t="shared" si="173"/>
        <v>2</v>
      </c>
      <c r="G2733" s="7" t="s">
        <v>12558</v>
      </c>
      <c r="H2733" s="7">
        <f t="shared" si="174"/>
        <v>2</v>
      </c>
      <c r="I2733" s="7" cm="1">
        <f t="array" ref="I2733">IFERROR(_xlfn.IFS(M2733="נח",1,M2733="נע ונח",1,M2733="שני שווא נח",2,M2733="שני שוואים בסוף מילה",2,M2733="שני שוואים ברצף",1),"0")</f>
        <v>1</v>
      </c>
      <c r="J2733" s="9">
        <f t="shared" si="175"/>
        <v>2</v>
      </c>
      <c r="K2733" t="s">
        <v>6697</v>
      </c>
      <c r="L2733" t="s">
        <v>6694</v>
      </c>
      <c r="M2733" t="s">
        <v>6705</v>
      </c>
      <c r="U2733" t="s">
        <v>6694</v>
      </c>
      <c r="W2733" t="s">
        <v>6720</v>
      </c>
    </row>
    <row r="2734" spans="1:23" ht="15.6" x14ac:dyDescent="0.4">
      <c r="A2734" s="2" t="s">
        <v>2325</v>
      </c>
      <c r="B2734" s="5" t="s">
        <v>9133</v>
      </c>
      <c r="C2734" s="7" t="s">
        <v>12556</v>
      </c>
      <c r="D2734" s="8">
        <f t="shared" si="172"/>
        <v>0</v>
      </c>
      <c r="E2734" s="7" t="s">
        <v>12557</v>
      </c>
      <c r="F2734" s="7">
        <f t="shared" si="173"/>
        <v>1</v>
      </c>
      <c r="G2734" s="7" t="s">
        <v>12558</v>
      </c>
      <c r="H2734" s="7">
        <f t="shared" si="174"/>
        <v>1</v>
      </c>
      <c r="I2734" s="7" cm="1">
        <f t="array" ref="I2734">IFERROR(_xlfn.IFS(M2734="נח",1,M2734="נע ונח",1,M2734="שני שווא נח",2,M2734="שני שוואים בסוף מילה",2,M2734="שני שוואים ברצף",1),"0")</f>
        <v>1</v>
      </c>
      <c r="J2734" s="9">
        <f t="shared" si="175"/>
        <v>3</v>
      </c>
      <c r="K2734" t="s">
        <v>6697</v>
      </c>
      <c r="L2734" t="s">
        <v>6694</v>
      </c>
      <c r="M2734" t="s">
        <v>6705</v>
      </c>
      <c r="O2734" t="s">
        <v>6694</v>
      </c>
      <c r="U2734" t="s">
        <v>6694</v>
      </c>
      <c r="W2734" t="s">
        <v>6720</v>
      </c>
    </row>
    <row r="2735" spans="1:23" ht="15.6" x14ac:dyDescent="0.4">
      <c r="A2735" s="2" t="s">
        <v>736</v>
      </c>
      <c r="B2735" s="5" t="s">
        <v>9134</v>
      </c>
      <c r="C2735" s="7" t="s">
        <v>12556</v>
      </c>
      <c r="D2735" s="8">
        <f t="shared" si="172"/>
        <v>0</v>
      </c>
      <c r="E2735" s="7" t="s">
        <v>12557</v>
      </c>
      <c r="F2735" s="7">
        <f t="shared" si="173"/>
        <v>1</v>
      </c>
      <c r="G2735" s="7" t="s">
        <v>12558</v>
      </c>
      <c r="H2735" s="7">
        <f t="shared" si="174"/>
        <v>1</v>
      </c>
      <c r="I2735" s="7" cm="1">
        <f t="array" ref="I2735">IFERROR(_xlfn.IFS(M2735="נח",1,M2735="נע ונח",1,M2735="שני שווא נח",2,M2735="שני שוואים בסוף מילה",2,M2735="שני שוואים ברצף",1),"0")</f>
        <v>1</v>
      </c>
      <c r="J2735" s="9">
        <f t="shared" si="175"/>
        <v>2</v>
      </c>
      <c r="K2735" t="s">
        <v>6698</v>
      </c>
      <c r="L2735" t="s">
        <v>6694</v>
      </c>
      <c r="M2735" t="s">
        <v>6705</v>
      </c>
      <c r="P2735" t="s">
        <v>6694</v>
      </c>
      <c r="U2735" t="s">
        <v>6694</v>
      </c>
      <c r="W2735" t="s">
        <v>6720</v>
      </c>
    </row>
    <row r="2736" spans="1:23" ht="15.6" x14ac:dyDescent="0.4">
      <c r="A2736" s="2" t="s">
        <v>2475</v>
      </c>
      <c r="B2736" s="5" t="s">
        <v>8615</v>
      </c>
      <c r="C2736" s="7" t="s">
        <v>12556</v>
      </c>
      <c r="D2736" s="8">
        <f t="shared" si="172"/>
        <v>0</v>
      </c>
      <c r="E2736" s="7" t="s">
        <v>12557</v>
      </c>
      <c r="F2736" s="7">
        <f t="shared" si="173"/>
        <v>1</v>
      </c>
      <c r="G2736" s="7" t="s">
        <v>12558</v>
      </c>
      <c r="H2736" s="7">
        <f t="shared" si="174"/>
        <v>1</v>
      </c>
      <c r="I2736" s="7" cm="1">
        <f t="array" ref="I2736">IFERROR(_xlfn.IFS(M2736="נח",1,M2736="נע ונח",1,M2736="שני שווא נח",2,M2736="שני שוואים בסוף מילה",2,M2736="שני שוואים ברצף",1),"0")</f>
        <v>1</v>
      </c>
      <c r="J2736" s="9">
        <f t="shared" si="175"/>
        <v>2</v>
      </c>
      <c r="K2736" t="s">
        <v>6697</v>
      </c>
      <c r="L2736" t="s">
        <v>6694</v>
      </c>
      <c r="M2736" t="s">
        <v>6705</v>
      </c>
      <c r="Q2736" t="s">
        <v>6694</v>
      </c>
      <c r="U2736" t="s">
        <v>6694</v>
      </c>
      <c r="W2736" t="s">
        <v>6720</v>
      </c>
    </row>
    <row r="2737" spans="1:23" ht="15.6" x14ac:dyDescent="0.4">
      <c r="A2737" s="2" t="s">
        <v>779</v>
      </c>
      <c r="B2737" s="5" t="s">
        <v>9135</v>
      </c>
      <c r="C2737" s="7" t="s">
        <v>12556</v>
      </c>
      <c r="D2737" s="8">
        <f t="shared" si="172"/>
        <v>0</v>
      </c>
      <c r="E2737" s="7" t="s">
        <v>12557</v>
      </c>
      <c r="F2737" s="7">
        <f t="shared" si="173"/>
        <v>1</v>
      </c>
      <c r="G2737" s="7" t="s">
        <v>12558</v>
      </c>
      <c r="H2737" s="7">
        <f t="shared" si="174"/>
        <v>1</v>
      </c>
      <c r="I2737" s="7" cm="1">
        <f t="array" ref="I2737">IFERROR(_xlfn.IFS(M2737="נח",1,M2737="נע ונח",1,M2737="שני שווא נח",2,M2737="שני שוואים בסוף מילה",2,M2737="שני שוואים ברצף",1),"0")</f>
        <v>1</v>
      </c>
      <c r="J2737" s="9">
        <f t="shared" si="175"/>
        <v>2</v>
      </c>
      <c r="K2737" t="s">
        <v>6698</v>
      </c>
      <c r="L2737" t="s">
        <v>6694</v>
      </c>
      <c r="M2737" t="s">
        <v>6705</v>
      </c>
      <c r="Q2737" t="s">
        <v>6694</v>
      </c>
      <c r="U2737" t="s">
        <v>6694</v>
      </c>
      <c r="W2737" t="s">
        <v>6720</v>
      </c>
    </row>
    <row r="2738" spans="1:23" ht="15.6" x14ac:dyDescent="0.4">
      <c r="A2738" s="2" t="s">
        <v>4773</v>
      </c>
      <c r="B2738" s="5" t="s">
        <v>9136</v>
      </c>
      <c r="C2738" s="7" t="s">
        <v>12556</v>
      </c>
      <c r="D2738" s="8">
        <f t="shared" si="172"/>
        <v>1</v>
      </c>
      <c r="E2738" s="7" t="s">
        <v>12557</v>
      </c>
      <c r="F2738" s="7">
        <f t="shared" si="173"/>
        <v>1</v>
      </c>
      <c r="G2738" s="7" t="s">
        <v>12558</v>
      </c>
      <c r="H2738" s="7">
        <f t="shared" si="174"/>
        <v>1</v>
      </c>
      <c r="I2738" s="7" cm="1">
        <f t="array" ref="I2738">IFERROR(_xlfn.IFS(M2738="נח",1,M2738="נע ונח",1,M2738="שני שווא נח",2,M2738="שני שוואים בסוף מילה",2,M2738="שני שוואים ברצף",1),"0")</f>
        <v>2</v>
      </c>
      <c r="J2738" s="9">
        <f t="shared" si="175"/>
        <v>3</v>
      </c>
      <c r="K2738" t="s">
        <v>6697</v>
      </c>
      <c r="L2738" t="s">
        <v>6694</v>
      </c>
      <c r="M2738" t="s">
        <v>6704</v>
      </c>
      <c r="O2738" t="s">
        <v>6694</v>
      </c>
      <c r="S2738" t="s">
        <v>6694</v>
      </c>
      <c r="U2738" t="s">
        <v>6694</v>
      </c>
      <c r="W2738" t="s">
        <v>6720</v>
      </c>
    </row>
    <row r="2739" spans="1:23" ht="15.6" x14ac:dyDescent="0.4">
      <c r="A2739" s="2" t="s">
        <v>1628</v>
      </c>
      <c r="B2739" s="5" t="s">
        <v>9137</v>
      </c>
      <c r="C2739" s="7" t="s">
        <v>12556</v>
      </c>
      <c r="D2739" s="8">
        <f t="shared" si="172"/>
        <v>1</v>
      </c>
      <c r="E2739" s="7" t="s">
        <v>12557</v>
      </c>
      <c r="F2739" s="7">
        <f t="shared" si="173"/>
        <v>2</v>
      </c>
      <c r="G2739" s="7" t="s">
        <v>12558</v>
      </c>
      <c r="H2739" s="7">
        <f t="shared" si="174"/>
        <v>2</v>
      </c>
      <c r="I2739" s="7" cm="1">
        <f t="array" ref="I2739">IFERROR(_xlfn.IFS(M2739="נח",1,M2739="נע ונח",1,M2739="שני שווא נח",2,M2739="שני שוואים בסוף מילה",2,M2739="שני שוואים ברצף",1),"0")</f>
        <v>1</v>
      </c>
      <c r="J2739" s="9">
        <f t="shared" si="175"/>
        <v>4</v>
      </c>
      <c r="K2739" t="s">
        <v>6697</v>
      </c>
      <c r="L2739" t="s">
        <v>6694</v>
      </c>
      <c r="M2739" t="s">
        <v>6705</v>
      </c>
      <c r="O2739" t="s">
        <v>6694</v>
      </c>
      <c r="U2739" t="s">
        <v>6694</v>
      </c>
      <c r="V2739" t="s">
        <v>6694</v>
      </c>
      <c r="W2739" t="s">
        <v>6720</v>
      </c>
    </row>
    <row r="2740" spans="1:23" ht="15.6" x14ac:dyDescent="0.4">
      <c r="A2740" s="2" t="s">
        <v>2548</v>
      </c>
      <c r="B2740" s="5" t="s">
        <v>9138</v>
      </c>
      <c r="C2740" s="7" t="s">
        <v>12556</v>
      </c>
      <c r="D2740" s="8">
        <f t="shared" si="172"/>
        <v>1</v>
      </c>
      <c r="E2740" s="7" t="s">
        <v>12557</v>
      </c>
      <c r="F2740" s="7">
        <f t="shared" si="173"/>
        <v>1</v>
      </c>
      <c r="G2740" s="7" t="s">
        <v>12558</v>
      </c>
      <c r="H2740" s="7">
        <f t="shared" si="174"/>
        <v>1</v>
      </c>
      <c r="I2740" s="7" cm="1">
        <f t="array" ref="I2740">IFERROR(_xlfn.IFS(M2740="נח",1,M2740="נע ונח",1,M2740="שני שווא נח",2,M2740="שני שוואים בסוף מילה",2,M2740="שני שוואים ברצף",1),"0")</f>
        <v>1</v>
      </c>
      <c r="J2740" s="9">
        <f t="shared" si="175"/>
        <v>2</v>
      </c>
      <c r="K2740" t="s">
        <v>6698</v>
      </c>
      <c r="L2740" t="s">
        <v>6694</v>
      </c>
      <c r="M2740" t="s">
        <v>6705</v>
      </c>
      <c r="U2740" t="s">
        <v>6694</v>
      </c>
      <c r="V2740" t="s">
        <v>6694</v>
      </c>
      <c r="W2740" t="s">
        <v>6720</v>
      </c>
    </row>
    <row r="2741" spans="1:23" ht="15.6" x14ac:dyDescent="0.4">
      <c r="A2741" s="2" t="s">
        <v>594</v>
      </c>
      <c r="B2741" s="5" t="s">
        <v>9139</v>
      </c>
      <c r="C2741" s="7" t="s">
        <v>12556</v>
      </c>
      <c r="D2741" s="8">
        <f t="shared" si="172"/>
        <v>1</v>
      </c>
      <c r="E2741" s="7" t="s">
        <v>12557</v>
      </c>
      <c r="F2741" s="7">
        <f t="shared" si="173"/>
        <v>1</v>
      </c>
      <c r="G2741" s="7" t="s">
        <v>12558</v>
      </c>
      <c r="H2741" s="7">
        <f t="shared" si="174"/>
        <v>1</v>
      </c>
      <c r="I2741" s="7" cm="1">
        <f t="array" ref="I2741">IFERROR(_xlfn.IFS(M2741="נח",1,M2741="נע ונח",1,M2741="שני שווא נח",2,M2741="שני שוואים בסוף מילה",2,M2741="שני שוואים ברצף",1),"0")</f>
        <v>1</v>
      </c>
      <c r="J2741" s="9">
        <f t="shared" si="175"/>
        <v>2</v>
      </c>
      <c r="K2741" t="s">
        <v>6697</v>
      </c>
      <c r="L2741" t="s">
        <v>6694</v>
      </c>
      <c r="M2741" t="s">
        <v>6705</v>
      </c>
      <c r="P2741" t="s">
        <v>6694</v>
      </c>
      <c r="U2741" t="s">
        <v>6694</v>
      </c>
      <c r="W2741" t="s">
        <v>6720</v>
      </c>
    </row>
    <row r="2742" spans="1:23" ht="15.6" x14ac:dyDescent="0.4">
      <c r="A2742" s="2" t="s">
        <v>2244</v>
      </c>
      <c r="B2742" s="5" t="s">
        <v>9140</v>
      </c>
      <c r="C2742" s="7" t="s">
        <v>12556</v>
      </c>
      <c r="D2742" s="8">
        <f t="shared" si="172"/>
        <v>1</v>
      </c>
      <c r="E2742" s="7" t="s">
        <v>12557</v>
      </c>
      <c r="F2742" s="7">
        <f t="shared" si="173"/>
        <v>2</v>
      </c>
      <c r="G2742" s="7" t="s">
        <v>12558</v>
      </c>
      <c r="H2742" s="7">
        <f t="shared" si="174"/>
        <v>2</v>
      </c>
      <c r="I2742" s="7" cm="1">
        <f t="array" ref="I2742">IFERROR(_xlfn.IFS(M2742="נח",1,M2742="נע ונח",1,M2742="שני שווא נח",2,M2742="שני שוואים בסוף מילה",2,M2742="שני שוואים ברצף",1),"0")</f>
        <v>1</v>
      </c>
      <c r="J2742" s="9">
        <f t="shared" si="175"/>
        <v>3</v>
      </c>
      <c r="K2742" t="s">
        <v>6698</v>
      </c>
      <c r="L2742" t="s">
        <v>6694</v>
      </c>
      <c r="M2742" t="s">
        <v>6705</v>
      </c>
      <c r="Q2742" t="s">
        <v>6694</v>
      </c>
      <c r="U2742" t="s">
        <v>6694</v>
      </c>
      <c r="W2742" t="s">
        <v>6720</v>
      </c>
    </row>
    <row r="2743" spans="1:23" ht="15.6" x14ac:dyDescent="0.4">
      <c r="A2743" s="2" t="s">
        <v>3383</v>
      </c>
      <c r="B2743" s="5" t="s">
        <v>9141</v>
      </c>
      <c r="C2743" s="7" t="s">
        <v>12556</v>
      </c>
      <c r="D2743" s="8">
        <f t="shared" si="172"/>
        <v>1</v>
      </c>
      <c r="E2743" s="7" t="s">
        <v>12557</v>
      </c>
      <c r="F2743" s="7">
        <f t="shared" si="173"/>
        <v>1</v>
      </c>
      <c r="G2743" s="7" t="s">
        <v>12558</v>
      </c>
      <c r="H2743" s="7">
        <f t="shared" si="174"/>
        <v>1</v>
      </c>
      <c r="I2743" s="7" cm="1">
        <f t="array" ref="I2743">IFERROR(_xlfn.IFS(M2743="נח",1,M2743="נע ונח",1,M2743="שני שווא נח",2,M2743="שני שוואים בסוף מילה",2,M2743="שני שוואים ברצף",1),"0")</f>
        <v>1</v>
      </c>
      <c r="J2743" s="9">
        <f t="shared" si="175"/>
        <v>3</v>
      </c>
      <c r="K2743" t="s">
        <v>6698</v>
      </c>
      <c r="L2743" t="s">
        <v>6694</v>
      </c>
      <c r="M2743" t="s">
        <v>6705</v>
      </c>
      <c r="P2743" t="s">
        <v>6694</v>
      </c>
      <c r="U2743" t="s">
        <v>6694</v>
      </c>
      <c r="V2743" t="s">
        <v>6694</v>
      </c>
      <c r="W2743" t="s">
        <v>6720</v>
      </c>
    </row>
    <row r="2744" spans="1:23" ht="15.6" x14ac:dyDescent="0.4">
      <c r="A2744" s="2" t="s">
        <v>2585</v>
      </c>
      <c r="B2744" s="5" t="s">
        <v>9142</v>
      </c>
      <c r="C2744" s="7" t="s">
        <v>12556</v>
      </c>
      <c r="D2744" s="8">
        <f t="shared" si="172"/>
        <v>1</v>
      </c>
      <c r="E2744" s="7" t="s">
        <v>12557</v>
      </c>
      <c r="F2744" s="7">
        <f t="shared" si="173"/>
        <v>2</v>
      </c>
      <c r="G2744" s="7" t="s">
        <v>12558</v>
      </c>
      <c r="H2744" s="7">
        <f t="shared" si="174"/>
        <v>2</v>
      </c>
      <c r="I2744" s="7" cm="1">
        <f t="array" ref="I2744">IFERROR(_xlfn.IFS(M2744="נח",1,M2744="נע ונח",1,M2744="שני שווא נח",2,M2744="שני שוואים בסוף מילה",2,M2744="שני שוואים ברצף",1),"0")</f>
        <v>1</v>
      </c>
      <c r="J2744" s="9">
        <f t="shared" si="175"/>
        <v>2</v>
      </c>
      <c r="K2744" t="s">
        <v>6697</v>
      </c>
      <c r="L2744" t="s">
        <v>6694</v>
      </c>
      <c r="M2744" t="s">
        <v>6705</v>
      </c>
      <c r="U2744" t="s">
        <v>6694</v>
      </c>
      <c r="W2744" t="s">
        <v>6720</v>
      </c>
    </row>
    <row r="2745" spans="1:23" ht="15.6" x14ac:dyDescent="0.4">
      <c r="A2745" s="2" t="s">
        <v>2771</v>
      </c>
      <c r="B2745" s="5" t="s">
        <v>9143</v>
      </c>
      <c r="C2745" s="7" t="s">
        <v>12556</v>
      </c>
      <c r="D2745" s="8">
        <f t="shared" si="172"/>
        <v>1</v>
      </c>
      <c r="E2745" s="7" t="s">
        <v>12557</v>
      </c>
      <c r="F2745" s="7">
        <f t="shared" si="173"/>
        <v>1</v>
      </c>
      <c r="G2745" s="7" t="s">
        <v>12558</v>
      </c>
      <c r="H2745" s="7">
        <f t="shared" si="174"/>
        <v>1</v>
      </c>
      <c r="I2745" s="7" cm="1">
        <f t="array" ref="I2745">IFERROR(_xlfn.IFS(M2745="נח",1,M2745="נע ונח",1,M2745="שני שווא נח",2,M2745="שני שוואים בסוף מילה",2,M2745="שני שוואים ברצף",1),"0")</f>
        <v>1</v>
      </c>
      <c r="J2745" s="9">
        <f t="shared" si="175"/>
        <v>4</v>
      </c>
      <c r="K2745" t="s">
        <v>6697</v>
      </c>
      <c r="L2745" t="s">
        <v>6694</v>
      </c>
      <c r="M2745" t="s">
        <v>6705</v>
      </c>
      <c r="O2745" t="s">
        <v>6694</v>
      </c>
      <c r="R2745" t="s">
        <v>6694</v>
      </c>
      <c r="U2745" t="s">
        <v>6694</v>
      </c>
      <c r="W2745" t="s">
        <v>6720</v>
      </c>
    </row>
    <row r="2746" spans="1:23" ht="15.6" x14ac:dyDescent="0.4">
      <c r="A2746" s="2" t="s">
        <v>1697</v>
      </c>
      <c r="B2746" s="5" t="s">
        <v>9144</v>
      </c>
      <c r="C2746" s="7" t="s">
        <v>12556</v>
      </c>
      <c r="D2746" s="8">
        <f t="shared" si="172"/>
        <v>0</v>
      </c>
      <c r="E2746" s="7" t="s">
        <v>12557</v>
      </c>
      <c r="F2746" s="7">
        <f t="shared" si="173"/>
        <v>1</v>
      </c>
      <c r="G2746" s="7" t="s">
        <v>12558</v>
      </c>
      <c r="H2746" s="7">
        <f t="shared" si="174"/>
        <v>1</v>
      </c>
      <c r="I2746" s="7" cm="1">
        <f t="array" ref="I2746">IFERROR(_xlfn.IFS(M2746="נח",1,M2746="נע ונח",1,M2746="שני שווא נח",2,M2746="שני שוואים בסוף מילה",2,M2746="שני שוואים ברצף",1),"0")</f>
        <v>1</v>
      </c>
      <c r="J2746" s="9">
        <f t="shared" si="175"/>
        <v>4</v>
      </c>
      <c r="K2746" t="s">
        <v>6698</v>
      </c>
      <c r="L2746" t="s">
        <v>6694</v>
      </c>
      <c r="M2746" t="s">
        <v>6705</v>
      </c>
      <c r="N2746" t="s">
        <v>6706</v>
      </c>
      <c r="O2746" t="s">
        <v>6694</v>
      </c>
      <c r="Q2746" t="s">
        <v>6694</v>
      </c>
      <c r="U2746" t="s">
        <v>6694</v>
      </c>
      <c r="W2746" t="s">
        <v>6720</v>
      </c>
    </row>
    <row r="2747" spans="1:23" ht="15.6" x14ac:dyDescent="0.4">
      <c r="A2747" s="2" t="s">
        <v>6295</v>
      </c>
      <c r="B2747" s="5" t="s">
        <v>9145</v>
      </c>
      <c r="C2747" s="7" t="s">
        <v>12556</v>
      </c>
      <c r="D2747" s="8">
        <f t="shared" si="172"/>
        <v>0</v>
      </c>
      <c r="E2747" s="7" t="s">
        <v>12557</v>
      </c>
      <c r="F2747" s="7">
        <f t="shared" si="173"/>
        <v>2</v>
      </c>
      <c r="G2747" s="7" t="s">
        <v>12558</v>
      </c>
      <c r="H2747" s="7">
        <f t="shared" si="174"/>
        <v>1</v>
      </c>
      <c r="I2747" s="7" cm="1">
        <f t="array" ref="I2747">IFERROR(_xlfn.IFS(M2747="נח",1,M2747="נע ונח",1,M2747="שני שווא נח",2,M2747="שני שוואים בסוף מילה",2,M2747="שני שוואים ברצף",1),"0")</f>
        <v>1</v>
      </c>
      <c r="J2747" s="9">
        <f t="shared" si="175"/>
        <v>3</v>
      </c>
      <c r="K2747" t="s">
        <v>6698</v>
      </c>
      <c r="L2747" t="s">
        <v>6694</v>
      </c>
      <c r="M2747" t="s">
        <v>6705</v>
      </c>
      <c r="Q2747" t="s">
        <v>6694</v>
      </c>
      <c r="T2747" t="s">
        <v>6694</v>
      </c>
      <c r="U2747" t="s">
        <v>6694</v>
      </c>
      <c r="W2747" t="s">
        <v>6720</v>
      </c>
    </row>
    <row r="2748" spans="1:23" ht="15.6" x14ac:dyDescent="0.4">
      <c r="A2748" s="2" t="s">
        <v>6600</v>
      </c>
      <c r="B2748" s="5" t="s">
        <v>9146</v>
      </c>
      <c r="C2748" s="7" t="s">
        <v>12556</v>
      </c>
      <c r="D2748" s="8">
        <f t="shared" si="172"/>
        <v>0</v>
      </c>
      <c r="E2748" s="7" t="s">
        <v>12557</v>
      </c>
      <c r="F2748" s="7">
        <f t="shared" si="173"/>
        <v>2</v>
      </c>
      <c r="G2748" s="7" t="s">
        <v>12558</v>
      </c>
      <c r="H2748" s="7">
        <f t="shared" si="174"/>
        <v>1</v>
      </c>
      <c r="I2748" s="7" cm="1">
        <f t="array" ref="I2748">IFERROR(_xlfn.IFS(M2748="נח",1,M2748="נע ונח",1,M2748="שני שווא נח",2,M2748="שני שוואים בסוף מילה",2,M2748="שני שוואים ברצף",1),"0")</f>
        <v>2</v>
      </c>
      <c r="J2748" s="9">
        <f t="shared" si="175"/>
        <v>4</v>
      </c>
      <c r="K2748" t="s">
        <v>6697</v>
      </c>
      <c r="L2748" t="s">
        <v>6694</v>
      </c>
      <c r="M2748" t="s">
        <v>6704</v>
      </c>
      <c r="P2748" t="s">
        <v>6694</v>
      </c>
      <c r="Q2748" t="s">
        <v>6694</v>
      </c>
      <c r="S2748" t="s">
        <v>6694</v>
      </c>
      <c r="U2748" t="s">
        <v>6694</v>
      </c>
      <c r="W2748" t="s">
        <v>6720</v>
      </c>
    </row>
    <row r="2749" spans="1:23" ht="15.6" x14ac:dyDescent="0.4">
      <c r="A2749" s="2" t="s">
        <v>2199</v>
      </c>
      <c r="B2749" s="5" t="s">
        <v>9147</v>
      </c>
      <c r="C2749" s="7" t="s">
        <v>12556</v>
      </c>
      <c r="D2749" s="8">
        <f t="shared" si="172"/>
        <v>0</v>
      </c>
      <c r="E2749" s="7" t="s">
        <v>12557</v>
      </c>
      <c r="F2749" s="7">
        <f t="shared" si="173"/>
        <v>1</v>
      </c>
      <c r="G2749" s="7" t="s">
        <v>12558</v>
      </c>
      <c r="H2749" s="7">
        <f t="shared" si="174"/>
        <v>1</v>
      </c>
      <c r="I2749" s="7" cm="1">
        <f t="array" ref="I2749">IFERROR(_xlfn.IFS(M2749="נח",1,M2749="נע ונח",1,M2749="שני שווא נח",2,M2749="שני שוואים בסוף מילה",2,M2749="שני שוואים ברצף",1),"0")</f>
        <v>1</v>
      </c>
      <c r="J2749" s="9">
        <f t="shared" si="175"/>
        <v>3</v>
      </c>
      <c r="K2749" t="s">
        <v>6698</v>
      </c>
      <c r="L2749" t="s">
        <v>6694</v>
      </c>
      <c r="M2749" t="s">
        <v>6705</v>
      </c>
      <c r="P2749" t="s">
        <v>6694</v>
      </c>
      <c r="Q2749" t="s">
        <v>6694</v>
      </c>
      <c r="U2749" t="s">
        <v>6694</v>
      </c>
      <c r="W2749" t="s">
        <v>6720</v>
      </c>
    </row>
    <row r="2750" spans="1:23" ht="15.6" x14ac:dyDescent="0.4">
      <c r="A2750" s="2" t="s">
        <v>6346</v>
      </c>
      <c r="B2750" s="5" t="s">
        <v>9148</v>
      </c>
      <c r="C2750" s="7" t="s">
        <v>12556</v>
      </c>
      <c r="D2750" s="8">
        <f t="shared" si="172"/>
        <v>0</v>
      </c>
      <c r="E2750" s="7" t="s">
        <v>12557</v>
      </c>
      <c r="F2750" s="7">
        <f t="shared" si="173"/>
        <v>1</v>
      </c>
      <c r="G2750" s="7" t="s">
        <v>12558</v>
      </c>
      <c r="H2750" s="7">
        <f t="shared" si="174"/>
        <v>1</v>
      </c>
      <c r="I2750" s="7" cm="1">
        <f t="array" ref="I2750">IFERROR(_xlfn.IFS(M2750="נח",1,M2750="נע ונח",1,M2750="שני שווא נח",2,M2750="שני שוואים בסוף מילה",2,M2750="שני שוואים ברצף",1),"0")</f>
        <v>1</v>
      </c>
      <c r="J2750" s="9">
        <f t="shared" si="175"/>
        <v>5</v>
      </c>
      <c r="K2750" t="s">
        <v>6697</v>
      </c>
      <c r="L2750" t="s">
        <v>6694</v>
      </c>
      <c r="M2750" t="s">
        <v>6705</v>
      </c>
      <c r="P2750" t="s">
        <v>6694</v>
      </c>
      <c r="Q2750" t="s">
        <v>6694</v>
      </c>
      <c r="S2750" t="s">
        <v>6694</v>
      </c>
      <c r="U2750" t="s">
        <v>6694</v>
      </c>
      <c r="W2750" t="s">
        <v>6720</v>
      </c>
    </row>
    <row r="2751" spans="1:23" ht="15.6" x14ac:dyDescent="0.4">
      <c r="A2751" s="2" t="s">
        <v>4841</v>
      </c>
      <c r="B2751" s="5" t="s">
        <v>9149</v>
      </c>
      <c r="C2751" s="7" t="s">
        <v>12556</v>
      </c>
      <c r="D2751" s="8">
        <f t="shared" si="172"/>
        <v>0</v>
      </c>
      <c r="E2751" s="7" t="s">
        <v>12557</v>
      </c>
      <c r="F2751" s="7">
        <f t="shared" si="173"/>
        <v>2</v>
      </c>
      <c r="G2751" s="7" t="s">
        <v>12558</v>
      </c>
      <c r="H2751" s="7">
        <f t="shared" si="174"/>
        <v>2</v>
      </c>
      <c r="I2751" s="7" cm="1">
        <f t="array" ref="I2751">IFERROR(_xlfn.IFS(M2751="נח",1,M2751="נע ונח",1,M2751="שני שווא נח",2,M2751="שני שוואים בסוף מילה",2,M2751="שני שוואים ברצף",1),"0")</f>
        <v>1</v>
      </c>
      <c r="J2751" s="9">
        <f t="shared" si="175"/>
        <v>2</v>
      </c>
      <c r="K2751" t="s">
        <v>6697</v>
      </c>
      <c r="L2751" t="s">
        <v>6694</v>
      </c>
      <c r="M2751" t="s">
        <v>6705</v>
      </c>
      <c r="U2751" t="s">
        <v>6694</v>
      </c>
      <c r="W2751" t="s">
        <v>6720</v>
      </c>
    </row>
    <row r="2752" spans="1:23" ht="15.6" x14ac:dyDescent="0.4">
      <c r="A2752" s="2" t="s">
        <v>2929</v>
      </c>
      <c r="B2752" s="5" t="s">
        <v>9150</v>
      </c>
      <c r="C2752" s="7" t="s">
        <v>12556</v>
      </c>
      <c r="D2752" s="8">
        <f t="shared" si="172"/>
        <v>0</v>
      </c>
      <c r="E2752" s="7" t="s">
        <v>12557</v>
      </c>
      <c r="F2752" s="7">
        <f t="shared" si="173"/>
        <v>1</v>
      </c>
      <c r="G2752" s="7" t="s">
        <v>12558</v>
      </c>
      <c r="H2752" s="7">
        <f t="shared" si="174"/>
        <v>1</v>
      </c>
      <c r="I2752" s="7" cm="1">
        <f t="array" ref="I2752">IFERROR(_xlfn.IFS(M2752="נח",1,M2752="נע ונח",1,M2752="שני שווא נח",2,M2752="שני שוואים בסוף מילה",2,M2752="שני שוואים ברצף",1),"0")</f>
        <v>1</v>
      </c>
      <c r="J2752" s="9">
        <f t="shared" si="175"/>
        <v>3</v>
      </c>
      <c r="K2752" t="s">
        <v>6698</v>
      </c>
      <c r="L2752" t="s">
        <v>6694</v>
      </c>
      <c r="M2752" t="s">
        <v>6705</v>
      </c>
      <c r="Q2752" t="s">
        <v>6694</v>
      </c>
      <c r="S2752" t="s">
        <v>6694</v>
      </c>
      <c r="U2752" t="s">
        <v>6694</v>
      </c>
      <c r="W2752" t="s">
        <v>6720</v>
      </c>
    </row>
    <row r="2753" spans="1:23" ht="15.6" x14ac:dyDescent="0.4">
      <c r="A2753" s="2" t="s">
        <v>1001</v>
      </c>
      <c r="B2753" s="5" t="s">
        <v>9151</v>
      </c>
      <c r="C2753" s="7" t="s">
        <v>12556</v>
      </c>
      <c r="D2753" s="8">
        <f t="shared" si="172"/>
        <v>0</v>
      </c>
      <c r="E2753" s="7" t="s">
        <v>12557</v>
      </c>
      <c r="F2753" s="7">
        <f t="shared" si="173"/>
        <v>2</v>
      </c>
      <c r="G2753" s="7" t="s">
        <v>12558</v>
      </c>
      <c r="H2753" s="7">
        <f t="shared" si="174"/>
        <v>1</v>
      </c>
      <c r="I2753" s="7" cm="1">
        <f t="array" ref="I2753">IFERROR(_xlfn.IFS(M2753="נח",1,M2753="נע ונח",1,M2753="שני שווא נח",2,M2753="שני שוואים בסוף מילה",2,M2753="שני שוואים ברצף",1),"0")</f>
        <v>1</v>
      </c>
      <c r="J2753" s="9">
        <f t="shared" si="175"/>
        <v>4</v>
      </c>
      <c r="K2753" t="s">
        <v>6697</v>
      </c>
      <c r="L2753" t="s">
        <v>6694</v>
      </c>
      <c r="M2753" t="s">
        <v>6705</v>
      </c>
      <c r="O2753" t="s">
        <v>6694</v>
      </c>
      <c r="S2753" t="s">
        <v>6694</v>
      </c>
      <c r="U2753" t="s">
        <v>6694</v>
      </c>
      <c r="W2753" t="s">
        <v>6720</v>
      </c>
    </row>
    <row r="2754" spans="1:23" ht="15.6" x14ac:dyDescent="0.4">
      <c r="A2754" s="2" t="s">
        <v>4962</v>
      </c>
      <c r="B2754" s="5" t="s">
        <v>9152</v>
      </c>
      <c r="C2754" s="7" t="s">
        <v>12556</v>
      </c>
      <c r="D2754" s="8">
        <f t="shared" si="172"/>
        <v>0</v>
      </c>
      <c r="E2754" s="7" t="s">
        <v>12557</v>
      </c>
      <c r="F2754" s="7">
        <f t="shared" si="173"/>
        <v>2</v>
      </c>
      <c r="G2754" s="7" t="s">
        <v>12558</v>
      </c>
      <c r="H2754" s="7">
        <f t="shared" si="174"/>
        <v>1</v>
      </c>
      <c r="I2754" s="7" cm="1">
        <f t="array" ref="I2754">IFERROR(_xlfn.IFS(M2754="נח",1,M2754="נע ונח",1,M2754="שני שווא נח",2,M2754="שני שוואים בסוף מילה",2,M2754="שני שוואים ברצף",1),"0")</f>
        <v>1</v>
      </c>
      <c r="J2754" s="9">
        <f t="shared" si="175"/>
        <v>4</v>
      </c>
      <c r="K2754" t="s">
        <v>6697</v>
      </c>
      <c r="L2754" t="s">
        <v>6694</v>
      </c>
      <c r="M2754" t="s">
        <v>6705</v>
      </c>
      <c r="O2754" t="s">
        <v>6694</v>
      </c>
      <c r="S2754" t="s">
        <v>6694</v>
      </c>
      <c r="U2754" t="s">
        <v>6694</v>
      </c>
      <c r="V2754" t="s">
        <v>6694</v>
      </c>
      <c r="W2754" t="s">
        <v>6720</v>
      </c>
    </row>
    <row r="2755" spans="1:23" ht="15.6" x14ac:dyDescent="0.4">
      <c r="A2755" s="2" t="s">
        <v>454</v>
      </c>
      <c r="B2755" s="5" t="s">
        <v>9153</v>
      </c>
      <c r="C2755" s="7" t="s">
        <v>12556</v>
      </c>
      <c r="D2755" s="8">
        <f t="shared" ref="D2755:D2818" si="176">(LEN(B2755)-LEN(SUBSTITUTE(B2755,C2755,"")))</f>
        <v>0</v>
      </c>
      <c r="E2755" s="7" t="s">
        <v>12557</v>
      </c>
      <c r="F2755" s="7">
        <f t="shared" ref="F2755:F2818" si="177">(LEN(A2755)-LEN(SUBSTITUTE(A2755,E2755,"")))</f>
        <v>2</v>
      </c>
      <c r="G2755" s="7" t="s">
        <v>12558</v>
      </c>
      <c r="H2755" s="7">
        <f t="shared" ref="H2755:H2818" si="178">(LEN(A2755)-LEN(SUBSTITUTE(A2755,G2755,"")))/2</f>
        <v>1</v>
      </c>
      <c r="I2755" s="7" cm="1">
        <f t="array" ref="I2755">IFERROR(_xlfn.IFS(M2755="נח",1,M2755="נע ונח",1,M2755="שני שווא נח",2,M2755="שני שוואים בסוף מילה",2,M2755="שני שוואים ברצף",1),"0")</f>
        <v>2</v>
      </c>
      <c r="J2755" s="9">
        <f t="shared" ref="J2755:J2818" si="179">LEN(A2755)-(LEN(B2755))-D2755-F2755+H2755-I2755</f>
        <v>4</v>
      </c>
      <c r="K2755" t="s">
        <v>6697</v>
      </c>
      <c r="L2755" t="s">
        <v>6694</v>
      </c>
      <c r="M2755" t="s">
        <v>6704</v>
      </c>
      <c r="P2755" t="s">
        <v>6694</v>
      </c>
      <c r="Q2755" t="s">
        <v>6694</v>
      </c>
      <c r="S2755" t="s">
        <v>6694</v>
      </c>
      <c r="U2755" t="s">
        <v>6694</v>
      </c>
      <c r="W2755" t="s">
        <v>6720</v>
      </c>
    </row>
    <row r="2756" spans="1:23" ht="15.6" x14ac:dyDescent="0.4">
      <c r="A2756" s="2" t="s">
        <v>4367</v>
      </c>
      <c r="B2756" s="5" t="s">
        <v>9154</v>
      </c>
      <c r="C2756" s="7" t="s">
        <v>12556</v>
      </c>
      <c r="D2756" s="8">
        <f t="shared" si="176"/>
        <v>0</v>
      </c>
      <c r="E2756" s="7" t="s">
        <v>12557</v>
      </c>
      <c r="F2756" s="7">
        <f t="shared" si="177"/>
        <v>1</v>
      </c>
      <c r="G2756" s="7" t="s">
        <v>12558</v>
      </c>
      <c r="H2756" s="7">
        <f t="shared" si="178"/>
        <v>1</v>
      </c>
      <c r="I2756" s="7" cm="1">
        <f t="array" ref="I2756">IFERROR(_xlfn.IFS(M2756="נח",1,M2756="נע ונח",1,M2756="שני שווא נח",2,M2756="שני שוואים בסוף מילה",2,M2756="שני שוואים ברצף",1),"0")</f>
        <v>1</v>
      </c>
      <c r="J2756" s="9">
        <f t="shared" si="179"/>
        <v>3</v>
      </c>
      <c r="K2756" t="s">
        <v>6698</v>
      </c>
      <c r="L2756" t="s">
        <v>6694</v>
      </c>
      <c r="M2756" t="s">
        <v>6705</v>
      </c>
      <c r="O2756" t="s">
        <v>6694</v>
      </c>
      <c r="Q2756" t="s">
        <v>6694</v>
      </c>
      <c r="U2756" t="s">
        <v>6694</v>
      </c>
      <c r="W2756" t="s">
        <v>6720</v>
      </c>
    </row>
    <row r="2757" spans="1:23" ht="15.6" x14ac:dyDescent="0.4">
      <c r="A2757" s="2" t="s">
        <v>3273</v>
      </c>
      <c r="B2757" s="5" t="s">
        <v>9155</v>
      </c>
      <c r="C2757" s="7" t="s">
        <v>12556</v>
      </c>
      <c r="D2757" s="8">
        <f t="shared" si="176"/>
        <v>0</v>
      </c>
      <c r="E2757" s="7" t="s">
        <v>12557</v>
      </c>
      <c r="F2757" s="7">
        <f t="shared" si="177"/>
        <v>2</v>
      </c>
      <c r="G2757" s="7" t="s">
        <v>12558</v>
      </c>
      <c r="H2757" s="7">
        <f t="shared" si="178"/>
        <v>2</v>
      </c>
      <c r="I2757" s="7" cm="1">
        <f t="array" ref="I2757">IFERROR(_xlfn.IFS(M2757="נח",1,M2757="נע ונח",1,M2757="שני שווא נח",2,M2757="שני שוואים בסוף מילה",2,M2757="שני שוואים ברצף",1),"0")</f>
        <v>1</v>
      </c>
      <c r="J2757" s="9">
        <f t="shared" si="179"/>
        <v>4</v>
      </c>
      <c r="K2757" t="s">
        <v>6697</v>
      </c>
      <c r="L2757" t="s">
        <v>6694</v>
      </c>
      <c r="M2757" t="s">
        <v>6705</v>
      </c>
      <c r="O2757" t="s">
        <v>6694</v>
      </c>
      <c r="U2757" t="s">
        <v>6694</v>
      </c>
      <c r="V2757" t="s">
        <v>6694</v>
      </c>
      <c r="W2757" t="s">
        <v>6720</v>
      </c>
    </row>
    <row r="2758" spans="1:23" ht="15.6" x14ac:dyDescent="0.4">
      <c r="A2758" s="2" t="s">
        <v>3521</v>
      </c>
      <c r="B2758" s="5" t="s">
        <v>9156</v>
      </c>
      <c r="C2758" s="7" t="s">
        <v>12556</v>
      </c>
      <c r="D2758" s="8">
        <f t="shared" si="176"/>
        <v>1</v>
      </c>
      <c r="E2758" s="7" t="s">
        <v>12557</v>
      </c>
      <c r="F2758" s="7">
        <f t="shared" si="177"/>
        <v>2</v>
      </c>
      <c r="G2758" s="7" t="s">
        <v>12558</v>
      </c>
      <c r="H2758" s="7">
        <f t="shared" si="178"/>
        <v>2</v>
      </c>
      <c r="I2758" s="7" cm="1">
        <f t="array" ref="I2758">IFERROR(_xlfn.IFS(M2758="נח",1,M2758="נע ונח",1,M2758="שני שווא נח",2,M2758="שני שוואים בסוף מילה",2,M2758="שני שוואים ברצף",1),"0")</f>
        <v>2</v>
      </c>
      <c r="J2758" s="9">
        <f t="shared" si="179"/>
        <v>4</v>
      </c>
      <c r="K2758" t="s">
        <v>6697</v>
      </c>
      <c r="L2758" t="s">
        <v>6694</v>
      </c>
      <c r="M2758" t="s">
        <v>6704</v>
      </c>
      <c r="N2758" t="s">
        <v>6706</v>
      </c>
      <c r="O2758" t="s">
        <v>6694</v>
      </c>
      <c r="U2758" t="s">
        <v>6694</v>
      </c>
      <c r="W2758" t="s">
        <v>6720</v>
      </c>
    </row>
    <row r="2759" spans="1:23" ht="15.6" x14ac:dyDescent="0.4">
      <c r="A2759" s="2" t="s">
        <v>5316</v>
      </c>
      <c r="B2759" s="5" t="s">
        <v>9157</v>
      </c>
      <c r="C2759" s="7" t="s">
        <v>12556</v>
      </c>
      <c r="D2759" s="8">
        <f t="shared" si="176"/>
        <v>0</v>
      </c>
      <c r="E2759" s="7" t="s">
        <v>12557</v>
      </c>
      <c r="F2759" s="7">
        <f t="shared" si="177"/>
        <v>0</v>
      </c>
      <c r="G2759" s="7" t="s">
        <v>12558</v>
      </c>
      <c r="H2759" s="7">
        <f t="shared" si="178"/>
        <v>0</v>
      </c>
      <c r="I2759" s="7" t="str" cm="1">
        <f t="array" ref="I2759">IFERROR(_xlfn.IFS(M2759="נח",1,M2759="נע ונח",1,M2759="שני שווא נח",2,M2759="שני שוואים בסוף מילה",2,M2759="שני שוואים ברצף",1),"0")</f>
        <v>0</v>
      </c>
      <c r="J2759" s="9">
        <f t="shared" si="179"/>
        <v>2</v>
      </c>
      <c r="K2759" t="s">
        <v>6698</v>
      </c>
      <c r="L2759" t="s">
        <v>6694</v>
      </c>
      <c r="M2759" t="s">
        <v>6700</v>
      </c>
      <c r="P2759" t="s">
        <v>6694</v>
      </c>
      <c r="W2759" t="s">
        <v>6720</v>
      </c>
    </row>
    <row r="2760" spans="1:23" ht="15.6" x14ac:dyDescent="0.4">
      <c r="A2760" s="2" t="s">
        <v>5303</v>
      </c>
      <c r="B2760" s="5" t="s">
        <v>9158</v>
      </c>
      <c r="C2760" s="7" t="s">
        <v>12556</v>
      </c>
      <c r="D2760" s="8">
        <f t="shared" si="176"/>
        <v>0</v>
      </c>
      <c r="E2760" s="7" t="s">
        <v>12557</v>
      </c>
      <c r="F2760" s="7">
        <f t="shared" si="177"/>
        <v>0</v>
      </c>
      <c r="G2760" s="7" t="s">
        <v>12558</v>
      </c>
      <c r="H2760" s="7">
        <f t="shared" si="178"/>
        <v>0</v>
      </c>
      <c r="I2760" s="7" t="str" cm="1">
        <f t="array" ref="I2760">IFERROR(_xlfn.IFS(M2760="נח",1,M2760="נע ונח",1,M2760="שני שווא נח",2,M2760="שני שוואים בסוף מילה",2,M2760="שני שוואים ברצף",1),"0")</f>
        <v>0</v>
      </c>
      <c r="J2760" s="9">
        <f t="shared" si="179"/>
        <v>4</v>
      </c>
      <c r="K2760" t="s">
        <v>6697</v>
      </c>
      <c r="L2760" t="s">
        <v>6694</v>
      </c>
      <c r="M2760" t="s">
        <v>6700</v>
      </c>
      <c r="O2760" t="s">
        <v>6694</v>
      </c>
      <c r="R2760" t="s">
        <v>6694</v>
      </c>
      <c r="W2760" t="s">
        <v>6720</v>
      </c>
    </row>
    <row r="2761" spans="1:23" ht="15.6" x14ac:dyDescent="0.4">
      <c r="A2761" s="2" t="s">
        <v>5365</v>
      </c>
      <c r="B2761" s="5" t="s">
        <v>9159</v>
      </c>
      <c r="C2761" s="7" t="s">
        <v>12556</v>
      </c>
      <c r="D2761" s="8">
        <f t="shared" si="176"/>
        <v>0</v>
      </c>
      <c r="E2761" s="7" t="s">
        <v>12557</v>
      </c>
      <c r="F2761" s="7">
        <f t="shared" si="177"/>
        <v>1</v>
      </c>
      <c r="G2761" s="7" t="s">
        <v>12558</v>
      </c>
      <c r="H2761" s="7">
        <f t="shared" si="178"/>
        <v>0</v>
      </c>
      <c r="I2761" s="7" cm="1">
        <f t="array" ref="I2761">IFERROR(_xlfn.IFS(M2761="נח",1,M2761="נע ונח",1,M2761="שני שווא נח",2,M2761="שני שוואים בסוף מילה",2,M2761="שני שוואים ברצף",1),"0")</f>
        <v>1</v>
      </c>
      <c r="J2761" s="9">
        <f t="shared" si="179"/>
        <v>4</v>
      </c>
      <c r="K2761" t="s">
        <v>6697</v>
      </c>
      <c r="L2761" t="s">
        <v>6694</v>
      </c>
      <c r="M2761" t="s">
        <v>6701</v>
      </c>
      <c r="O2761" t="s">
        <v>6694</v>
      </c>
      <c r="P2761" t="s">
        <v>6694</v>
      </c>
      <c r="S2761" t="s">
        <v>6694</v>
      </c>
      <c r="W2761" t="s">
        <v>6720</v>
      </c>
    </row>
    <row r="2762" spans="1:23" ht="15.6" x14ac:dyDescent="0.4">
      <c r="A2762" s="2" t="s">
        <v>896</v>
      </c>
      <c r="B2762" s="5" t="s">
        <v>9160</v>
      </c>
      <c r="C2762" s="7" t="s">
        <v>12556</v>
      </c>
      <c r="D2762" s="8">
        <f t="shared" si="176"/>
        <v>0</v>
      </c>
      <c r="E2762" s="7" t="s">
        <v>12557</v>
      </c>
      <c r="F2762" s="7">
        <f t="shared" si="177"/>
        <v>0</v>
      </c>
      <c r="G2762" s="7" t="s">
        <v>12558</v>
      </c>
      <c r="H2762" s="7">
        <f t="shared" si="178"/>
        <v>0</v>
      </c>
      <c r="I2762" s="7" t="str" cm="1">
        <f t="array" ref="I2762">IFERROR(_xlfn.IFS(M2762="נח",1,M2762="נע ונח",1,M2762="שני שווא נח",2,M2762="שני שוואים בסוף מילה",2,M2762="שני שוואים ברצף",1),"0")</f>
        <v>0</v>
      </c>
      <c r="J2762" s="9">
        <f t="shared" si="179"/>
        <v>2</v>
      </c>
      <c r="K2762" t="s">
        <v>6698</v>
      </c>
      <c r="L2762" t="s">
        <v>6694</v>
      </c>
      <c r="M2762" t="s">
        <v>6700</v>
      </c>
      <c r="N2762" t="s">
        <v>6706</v>
      </c>
      <c r="O2762" t="s">
        <v>6694</v>
      </c>
      <c r="W2762" t="s">
        <v>6720</v>
      </c>
    </row>
    <row r="2763" spans="1:23" ht="15.6" x14ac:dyDescent="0.4">
      <c r="A2763" s="2" t="s">
        <v>5189</v>
      </c>
      <c r="B2763" s="5" t="s">
        <v>9161</v>
      </c>
      <c r="C2763" s="7" t="s">
        <v>12556</v>
      </c>
      <c r="D2763" s="8">
        <f t="shared" si="176"/>
        <v>0</v>
      </c>
      <c r="E2763" s="7" t="s">
        <v>12557</v>
      </c>
      <c r="F2763" s="7">
        <f t="shared" si="177"/>
        <v>1</v>
      </c>
      <c r="G2763" s="7" t="s">
        <v>12558</v>
      </c>
      <c r="H2763" s="7">
        <f t="shared" si="178"/>
        <v>1</v>
      </c>
      <c r="I2763" s="7" t="str" cm="1">
        <f t="array" ref="I2763">IFERROR(_xlfn.IFS(M2763="נח",1,M2763="נע ונח",1,M2763="שני שווא נח",2,M2763="שני שוואים בסוף מילה",2,M2763="שני שוואים ברצף",1),"0")</f>
        <v>0</v>
      </c>
      <c r="J2763" s="9">
        <f t="shared" si="179"/>
        <v>4</v>
      </c>
      <c r="K2763" t="s">
        <v>6697</v>
      </c>
      <c r="L2763" t="s">
        <v>6694</v>
      </c>
      <c r="M2763" t="s">
        <v>6700</v>
      </c>
      <c r="O2763" t="s">
        <v>6694</v>
      </c>
      <c r="U2763" t="s">
        <v>6694</v>
      </c>
      <c r="W2763" t="s">
        <v>6720</v>
      </c>
    </row>
    <row r="2764" spans="1:23" ht="15.6" x14ac:dyDescent="0.4">
      <c r="A2764" s="2" t="s">
        <v>887</v>
      </c>
      <c r="B2764" s="5" t="s">
        <v>9160</v>
      </c>
      <c r="C2764" s="7" t="s">
        <v>12556</v>
      </c>
      <c r="D2764" s="8">
        <f t="shared" si="176"/>
        <v>0</v>
      </c>
      <c r="E2764" s="7" t="s">
        <v>12557</v>
      </c>
      <c r="F2764" s="7">
        <f t="shared" si="177"/>
        <v>0</v>
      </c>
      <c r="G2764" s="7" t="s">
        <v>12558</v>
      </c>
      <c r="H2764" s="7">
        <f t="shared" si="178"/>
        <v>0</v>
      </c>
      <c r="I2764" s="7" t="str" cm="1">
        <f t="array" ref="I2764">IFERROR(_xlfn.IFS(M2764="נח",1,M2764="נע ונח",1,M2764="שני שווא נח",2,M2764="שני שוואים בסוף מילה",2,M2764="שני שוואים ברצף",1),"0")</f>
        <v>0</v>
      </c>
      <c r="J2764" s="9">
        <f t="shared" si="179"/>
        <v>2</v>
      </c>
      <c r="K2764" t="s">
        <v>6698</v>
      </c>
      <c r="L2764" t="s">
        <v>6694</v>
      </c>
      <c r="M2764" t="s">
        <v>6700</v>
      </c>
      <c r="V2764" t="s">
        <v>6694</v>
      </c>
      <c r="W2764" t="s">
        <v>6720</v>
      </c>
    </row>
    <row r="2765" spans="1:23" ht="15.6" x14ac:dyDescent="0.4">
      <c r="A2765" s="2" t="s">
        <v>5115</v>
      </c>
      <c r="B2765" s="5" t="s">
        <v>9162</v>
      </c>
      <c r="C2765" s="7" t="s">
        <v>12556</v>
      </c>
      <c r="D2765" s="8">
        <f t="shared" si="176"/>
        <v>0</v>
      </c>
      <c r="E2765" s="7" t="s">
        <v>12557</v>
      </c>
      <c r="F2765" s="7">
        <f t="shared" si="177"/>
        <v>0</v>
      </c>
      <c r="G2765" s="7" t="s">
        <v>12558</v>
      </c>
      <c r="H2765" s="7">
        <f t="shared" si="178"/>
        <v>0</v>
      </c>
      <c r="I2765" s="7" t="str" cm="1">
        <f t="array" ref="I2765">IFERROR(_xlfn.IFS(M2765="נח",1,M2765="נע ונח",1,M2765="שני שווא נח",2,M2765="שני שוואים בסוף מילה",2,M2765="שני שוואים ברצף",1),"0")</f>
        <v>0</v>
      </c>
      <c r="J2765" s="9">
        <f t="shared" si="179"/>
        <v>3</v>
      </c>
      <c r="K2765" t="s">
        <v>6697</v>
      </c>
      <c r="L2765" t="s">
        <v>6694</v>
      </c>
      <c r="M2765" t="s">
        <v>6700</v>
      </c>
      <c r="O2765" t="s">
        <v>6694</v>
      </c>
      <c r="V2765" t="s">
        <v>6694</v>
      </c>
      <c r="W2765" t="s">
        <v>6720</v>
      </c>
    </row>
    <row r="2766" spans="1:23" ht="15.6" x14ac:dyDescent="0.4">
      <c r="A2766" s="2" t="s">
        <v>4233</v>
      </c>
      <c r="B2766" s="5" t="s">
        <v>9163</v>
      </c>
      <c r="C2766" s="7" t="s">
        <v>12556</v>
      </c>
      <c r="D2766" s="8">
        <f t="shared" si="176"/>
        <v>0</v>
      </c>
      <c r="E2766" s="7" t="s">
        <v>12557</v>
      </c>
      <c r="F2766" s="7">
        <f t="shared" si="177"/>
        <v>2</v>
      </c>
      <c r="G2766" s="7" t="s">
        <v>12558</v>
      </c>
      <c r="H2766" s="7">
        <f t="shared" si="178"/>
        <v>1</v>
      </c>
      <c r="I2766" s="7" cm="1">
        <f t="array" ref="I2766">IFERROR(_xlfn.IFS(M2766="נח",1,M2766="נע ונח",1,M2766="שני שווא נח",2,M2766="שני שוואים בסוף מילה",2,M2766="שני שוואים ברצף",1),"0")</f>
        <v>1</v>
      </c>
      <c r="J2766" s="9">
        <f t="shared" si="179"/>
        <v>4</v>
      </c>
      <c r="K2766" t="s">
        <v>6697</v>
      </c>
      <c r="L2766" t="s">
        <v>6694</v>
      </c>
      <c r="M2766" t="s">
        <v>6701</v>
      </c>
      <c r="O2766" t="s">
        <v>6694</v>
      </c>
      <c r="P2766" t="s">
        <v>6694</v>
      </c>
      <c r="U2766" t="s">
        <v>6694</v>
      </c>
      <c r="W2766" t="s">
        <v>6720</v>
      </c>
    </row>
    <row r="2767" spans="1:23" ht="15.6" x14ac:dyDescent="0.4">
      <c r="A2767" s="2" t="s">
        <v>1432</v>
      </c>
      <c r="B2767" s="5" t="s">
        <v>9164</v>
      </c>
      <c r="C2767" s="7" t="s">
        <v>12556</v>
      </c>
      <c r="D2767" s="8">
        <f t="shared" si="176"/>
        <v>0</v>
      </c>
      <c r="E2767" s="7" t="s">
        <v>12557</v>
      </c>
      <c r="F2767" s="7">
        <f t="shared" si="177"/>
        <v>0</v>
      </c>
      <c r="G2767" s="7" t="s">
        <v>12558</v>
      </c>
      <c r="H2767" s="7">
        <f t="shared" si="178"/>
        <v>0</v>
      </c>
      <c r="I2767" s="7" t="str" cm="1">
        <f t="array" ref="I2767">IFERROR(_xlfn.IFS(M2767="נח",1,M2767="נע ונח",1,M2767="שני שווא נח",2,M2767="שני שוואים בסוף מילה",2,M2767="שני שוואים ברצף",1),"0")</f>
        <v>0</v>
      </c>
      <c r="J2767" s="9">
        <f t="shared" si="179"/>
        <v>3</v>
      </c>
      <c r="K2767" t="s">
        <v>6698</v>
      </c>
      <c r="L2767" t="s">
        <v>6694</v>
      </c>
      <c r="M2767" t="s">
        <v>6700</v>
      </c>
      <c r="Q2767" t="s">
        <v>6694</v>
      </c>
      <c r="S2767" t="s">
        <v>6694</v>
      </c>
      <c r="W2767" t="s">
        <v>6720</v>
      </c>
    </row>
    <row r="2768" spans="1:23" ht="15.6" x14ac:dyDescent="0.4">
      <c r="A2768" s="2" t="s">
        <v>526</v>
      </c>
      <c r="B2768" s="5" t="s">
        <v>9165</v>
      </c>
      <c r="C2768" s="7" t="s">
        <v>12556</v>
      </c>
      <c r="D2768" s="8">
        <f t="shared" si="176"/>
        <v>0</v>
      </c>
      <c r="E2768" s="7" t="s">
        <v>12557</v>
      </c>
      <c r="F2768" s="7">
        <f t="shared" si="177"/>
        <v>0</v>
      </c>
      <c r="G2768" s="7" t="s">
        <v>12558</v>
      </c>
      <c r="H2768" s="7">
        <f t="shared" si="178"/>
        <v>0</v>
      </c>
      <c r="I2768" s="7" t="str" cm="1">
        <f t="array" ref="I2768">IFERROR(_xlfn.IFS(M2768="נח",1,M2768="נע ונח",1,M2768="שני שווא נח",2,M2768="שני שוואים בסוף מילה",2,M2768="שני שוואים ברצף",1),"0")</f>
        <v>0</v>
      </c>
      <c r="J2768" s="9">
        <f t="shared" si="179"/>
        <v>4</v>
      </c>
      <c r="K2768" t="s">
        <v>6697</v>
      </c>
      <c r="L2768" t="s">
        <v>6694</v>
      </c>
      <c r="M2768" t="s">
        <v>6700</v>
      </c>
      <c r="O2768" t="s">
        <v>6694</v>
      </c>
      <c r="P2768" t="s">
        <v>6694</v>
      </c>
      <c r="V2768" t="s">
        <v>6694</v>
      </c>
      <c r="W2768" t="s">
        <v>6720</v>
      </c>
    </row>
    <row r="2769" spans="1:23" ht="15.6" x14ac:dyDescent="0.4">
      <c r="A2769" s="2" t="s">
        <v>6716</v>
      </c>
      <c r="B2769" s="5" t="s">
        <v>9166</v>
      </c>
      <c r="C2769" s="7" t="s">
        <v>12556</v>
      </c>
      <c r="D2769" s="8">
        <f t="shared" si="176"/>
        <v>0</v>
      </c>
      <c r="E2769" s="7" t="s">
        <v>12557</v>
      </c>
      <c r="F2769" s="7">
        <f t="shared" si="177"/>
        <v>0</v>
      </c>
      <c r="G2769" s="7" t="s">
        <v>12558</v>
      </c>
      <c r="H2769" s="7">
        <f t="shared" si="178"/>
        <v>0</v>
      </c>
      <c r="I2769" s="7" t="str" cm="1">
        <f t="array" ref="I2769">IFERROR(_xlfn.IFS(M2769="נח",1,M2769="נע ונח",1,M2769="שני שווא נח",2,M2769="שני שוואים בסוף מילה",2,M2769="שני שוואים ברצף",1),"0")</f>
        <v>0</v>
      </c>
      <c r="J2769" s="9">
        <f t="shared" si="179"/>
        <v>4</v>
      </c>
      <c r="K2769" t="s">
        <v>6697</v>
      </c>
      <c r="L2769" t="s">
        <v>6694</v>
      </c>
      <c r="M2769" t="s">
        <v>6700</v>
      </c>
      <c r="S2769" t="s">
        <v>6694</v>
      </c>
      <c r="V2769" t="s">
        <v>6694</v>
      </c>
      <c r="W2769" t="s">
        <v>6720</v>
      </c>
    </row>
    <row r="2770" spans="1:23" ht="15.6" x14ac:dyDescent="0.4">
      <c r="A2770" s="2" t="s">
        <v>5169</v>
      </c>
      <c r="B2770" s="5" t="s">
        <v>9167</v>
      </c>
      <c r="C2770" s="7" t="s">
        <v>12556</v>
      </c>
      <c r="D2770" s="8">
        <f t="shared" si="176"/>
        <v>0</v>
      </c>
      <c r="E2770" s="7" t="s">
        <v>12557</v>
      </c>
      <c r="F2770" s="7">
        <f t="shared" si="177"/>
        <v>0</v>
      </c>
      <c r="G2770" s="7" t="s">
        <v>12558</v>
      </c>
      <c r="H2770" s="7">
        <f t="shared" si="178"/>
        <v>0</v>
      </c>
      <c r="I2770" s="7" t="str" cm="1">
        <f t="array" ref="I2770">IFERROR(_xlfn.IFS(M2770="נח",1,M2770="נע ונח",1,M2770="שני שווא נח",2,M2770="שני שוואים בסוף מילה",2,M2770="שני שוואים ברצף",1),"0")</f>
        <v>0</v>
      </c>
      <c r="J2770" s="9">
        <f t="shared" si="179"/>
        <v>3</v>
      </c>
      <c r="K2770" t="s">
        <v>6697</v>
      </c>
      <c r="L2770" t="s">
        <v>6694</v>
      </c>
      <c r="M2770" t="s">
        <v>6700</v>
      </c>
      <c r="P2770" t="s">
        <v>6694</v>
      </c>
      <c r="V2770" t="s">
        <v>6694</v>
      </c>
      <c r="W2770" t="s">
        <v>6720</v>
      </c>
    </row>
    <row r="2771" spans="1:23" ht="15.6" x14ac:dyDescent="0.4">
      <c r="A2771" s="2" t="s">
        <v>6191</v>
      </c>
      <c r="B2771" s="5" t="s">
        <v>9168</v>
      </c>
      <c r="C2771" s="7" t="s">
        <v>12556</v>
      </c>
      <c r="D2771" s="8">
        <f t="shared" si="176"/>
        <v>0</v>
      </c>
      <c r="E2771" s="7" t="s">
        <v>12557</v>
      </c>
      <c r="F2771" s="7">
        <f t="shared" si="177"/>
        <v>0</v>
      </c>
      <c r="G2771" s="7" t="s">
        <v>12558</v>
      </c>
      <c r="H2771" s="7">
        <f t="shared" si="178"/>
        <v>0</v>
      </c>
      <c r="I2771" s="7" t="str" cm="1">
        <f t="array" ref="I2771">IFERROR(_xlfn.IFS(M2771="נח",1,M2771="נע ונח",1,M2771="שני שווא נח",2,M2771="שני שוואים בסוף מילה",2,M2771="שני שוואים ברצף",1),"0")</f>
        <v>0</v>
      </c>
      <c r="J2771" s="9">
        <f t="shared" si="179"/>
        <v>4</v>
      </c>
      <c r="K2771" t="s">
        <v>6698</v>
      </c>
      <c r="L2771" t="s">
        <v>6694</v>
      </c>
      <c r="M2771" t="s">
        <v>6700</v>
      </c>
      <c r="N2771" t="s">
        <v>6706</v>
      </c>
      <c r="O2771" t="s">
        <v>6694</v>
      </c>
      <c r="V2771" t="s">
        <v>6694</v>
      </c>
      <c r="W2771" t="s">
        <v>6720</v>
      </c>
    </row>
    <row r="2772" spans="1:23" ht="15.6" x14ac:dyDescent="0.4">
      <c r="A2772" s="2" t="s">
        <v>2517</v>
      </c>
      <c r="B2772" s="5" t="s">
        <v>9169</v>
      </c>
      <c r="C2772" s="7" t="s">
        <v>12556</v>
      </c>
      <c r="D2772" s="8">
        <f t="shared" si="176"/>
        <v>0</v>
      </c>
      <c r="E2772" s="7" t="s">
        <v>12557</v>
      </c>
      <c r="F2772" s="7">
        <f t="shared" si="177"/>
        <v>0</v>
      </c>
      <c r="G2772" s="7" t="s">
        <v>12558</v>
      </c>
      <c r="H2772" s="7">
        <f t="shared" si="178"/>
        <v>0</v>
      </c>
      <c r="I2772" s="7" t="str" cm="1">
        <f t="array" ref="I2772">IFERROR(_xlfn.IFS(M2772="נח",1,M2772="נע ונח",1,M2772="שני שווא נח",2,M2772="שני שוואים בסוף מילה",2,M2772="שני שוואים ברצף",1),"0")</f>
        <v>0</v>
      </c>
      <c r="J2772" s="9">
        <f t="shared" si="179"/>
        <v>3</v>
      </c>
      <c r="K2772" t="s">
        <v>6698</v>
      </c>
      <c r="L2772" t="s">
        <v>6694</v>
      </c>
      <c r="M2772" t="s">
        <v>6700</v>
      </c>
      <c r="V2772" t="s">
        <v>6694</v>
      </c>
      <c r="W2772" t="s">
        <v>6720</v>
      </c>
    </row>
    <row r="2773" spans="1:23" ht="15.6" x14ac:dyDescent="0.4">
      <c r="A2773" s="2" t="s">
        <v>1127</v>
      </c>
      <c r="B2773" s="5" t="s">
        <v>9170</v>
      </c>
      <c r="C2773" s="7" t="s">
        <v>12556</v>
      </c>
      <c r="D2773" s="8">
        <f t="shared" si="176"/>
        <v>0</v>
      </c>
      <c r="E2773" s="7" t="s">
        <v>12557</v>
      </c>
      <c r="F2773" s="7">
        <f t="shared" si="177"/>
        <v>0</v>
      </c>
      <c r="G2773" s="7" t="s">
        <v>12558</v>
      </c>
      <c r="H2773" s="7">
        <f t="shared" si="178"/>
        <v>0</v>
      </c>
      <c r="I2773" s="7" cm="1">
        <f t="array" ref="I2773">IFERROR(_xlfn.IFS(M2773="נח",1,M2773="נע ונח",1,M2773="שני שווא נח",2,M2773="שני שוואים בסוף מילה",2,M2773="שני שוואים ברצף",1),"0")</f>
        <v>1</v>
      </c>
      <c r="J2773" s="9">
        <f t="shared" si="179"/>
        <v>2</v>
      </c>
      <c r="K2773" t="s">
        <v>6698</v>
      </c>
      <c r="L2773" t="s">
        <v>6694</v>
      </c>
      <c r="M2773" t="s">
        <v>6705</v>
      </c>
      <c r="Q2773" t="s">
        <v>6694</v>
      </c>
      <c r="S2773" t="s">
        <v>6694</v>
      </c>
      <c r="W2773" t="s">
        <v>6720</v>
      </c>
    </row>
    <row r="2774" spans="1:23" ht="15.6" x14ac:dyDescent="0.4">
      <c r="A2774" s="2" t="s">
        <v>1277</v>
      </c>
      <c r="B2774" s="5" t="s">
        <v>9171</v>
      </c>
      <c r="C2774" s="7" t="s">
        <v>12556</v>
      </c>
      <c r="D2774" s="8">
        <f t="shared" si="176"/>
        <v>0</v>
      </c>
      <c r="E2774" s="7" t="s">
        <v>12557</v>
      </c>
      <c r="F2774" s="7">
        <f t="shared" si="177"/>
        <v>0</v>
      </c>
      <c r="G2774" s="7" t="s">
        <v>12558</v>
      </c>
      <c r="H2774" s="7">
        <f t="shared" si="178"/>
        <v>0</v>
      </c>
      <c r="I2774" s="7" cm="1">
        <f t="array" ref="I2774">IFERROR(_xlfn.IFS(M2774="נח",1,M2774="נע ונח",1,M2774="שני שווא נח",2,M2774="שני שוואים בסוף מילה",2,M2774="שני שוואים ברצף",1),"0")</f>
        <v>1</v>
      </c>
      <c r="J2774" s="9">
        <f t="shared" si="179"/>
        <v>3</v>
      </c>
      <c r="K2774" t="s">
        <v>6697</v>
      </c>
      <c r="L2774" t="s">
        <v>6694</v>
      </c>
      <c r="M2774" t="s">
        <v>6702</v>
      </c>
      <c r="O2774" t="s">
        <v>6694</v>
      </c>
      <c r="S2774" t="s">
        <v>6694</v>
      </c>
      <c r="W2774" t="s">
        <v>6720</v>
      </c>
    </row>
    <row r="2775" spans="1:23" ht="15.6" x14ac:dyDescent="0.4">
      <c r="A2775" s="2" t="s">
        <v>2357</v>
      </c>
      <c r="B2775" s="5" t="s">
        <v>9171</v>
      </c>
      <c r="C2775" s="7" t="s">
        <v>12556</v>
      </c>
      <c r="D2775" s="8">
        <f t="shared" si="176"/>
        <v>0</v>
      </c>
      <c r="E2775" s="7" t="s">
        <v>12557</v>
      </c>
      <c r="F2775" s="7">
        <f t="shared" si="177"/>
        <v>0</v>
      </c>
      <c r="G2775" s="7" t="s">
        <v>12558</v>
      </c>
      <c r="H2775" s="7">
        <f t="shared" si="178"/>
        <v>0</v>
      </c>
      <c r="I2775" s="7" cm="1">
        <f t="array" ref="I2775">IFERROR(_xlfn.IFS(M2775="נח",1,M2775="נע ונח",1,M2775="שני שווא נח",2,M2775="שני שוואים בסוף מילה",2,M2775="שני שוואים ברצף",1),"0")</f>
        <v>1</v>
      </c>
      <c r="J2775" s="9">
        <f t="shared" si="179"/>
        <v>3</v>
      </c>
      <c r="K2775" t="s">
        <v>6697</v>
      </c>
      <c r="L2775" t="s">
        <v>6694</v>
      </c>
      <c r="M2775" t="s">
        <v>6705</v>
      </c>
      <c r="O2775" t="s">
        <v>6694</v>
      </c>
      <c r="R2775" t="s">
        <v>6694</v>
      </c>
      <c r="S2775" t="s">
        <v>6694</v>
      </c>
      <c r="W2775" t="s">
        <v>6720</v>
      </c>
    </row>
    <row r="2776" spans="1:23" ht="15.6" x14ac:dyDescent="0.4">
      <c r="A2776" s="2" t="s">
        <v>2391</v>
      </c>
      <c r="B2776" s="5" t="s">
        <v>9172</v>
      </c>
      <c r="C2776" s="7" t="s">
        <v>12556</v>
      </c>
      <c r="D2776" s="8">
        <f t="shared" si="176"/>
        <v>0</v>
      </c>
      <c r="E2776" s="7" t="s">
        <v>12557</v>
      </c>
      <c r="F2776" s="7">
        <f t="shared" si="177"/>
        <v>0</v>
      </c>
      <c r="G2776" s="7" t="s">
        <v>12558</v>
      </c>
      <c r="H2776" s="7">
        <f t="shared" si="178"/>
        <v>0</v>
      </c>
      <c r="I2776" s="7" cm="1">
        <f t="array" ref="I2776">IFERROR(_xlfn.IFS(M2776="נח",1,M2776="נע ונח",1,M2776="שני שווא נח",2,M2776="שני שוואים בסוף מילה",2,M2776="שני שוואים ברצף",1),"0")</f>
        <v>1</v>
      </c>
      <c r="J2776" s="9">
        <f t="shared" si="179"/>
        <v>2</v>
      </c>
      <c r="K2776" t="s">
        <v>6698</v>
      </c>
      <c r="L2776" t="s">
        <v>6694</v>
      </c>
      <c r="M2776" t="s">
        <v>6705</v>
      </c>
      <c r="N2776" t="s">
        <v>6706</v>
      </c>
      <c r="O2776" t="s">
        <v>6694</v>
      </c>
      <c r="S2776" t="s">
        <v>6694</v>
      </c>
      <c r="W2776" t="s">
        <v>6720</v>
      </c>
    </row>
    <row r="2777" spans="1:23" ht="15.6" x14ac:dyDescent="0.4">
      <c r="A2777" s="2" t="s">
        <v>1617</v>
      </c>
      <c r="B2777" s="5" t="s">
        <v>9173</v>
      </c>
      <c r="C2777" s="7" t="s">
        <v>12556</v>
      </c>
      <c r="D2777" s="8">
        <f t="shared" si="176"/>
        <v>0</v>
      </c>
      <c r="E2777" s="7" t="s">
        <v>12557</v>
      </c>
      <c r="F2777" s="7">
        <f t="shared" si="177"/>
        <v>1</v>
      </c>
      <c r="G2777" s="7" t="s">
        <v>12558</v>
      </c>
      <c r="H2777" s="7">
        <f t="shared" si="178"/>
        <v>1</v>
      </c>
      <c r="I2777" s="7" cm="1">
        <f t="array" ref="I2777">IFERROR(_xlfn.IFS(M2777="נח",1,M2777="נע ונח",1,M2777="שני שווא נח",2,M2777="שני שוואים בסוף מילה",2,M2777="שני שוואים ברצף",1),"0")</f>
        <v>1</v>
      </c>
      <c r="J2777" s="9">
        <f t="shared" si="179"/>
        <v>2</v>
      </c>
      <c r="K2777" t="s">
        <v>6697</v>
      </c>
      <c r="L2777" t="s">
        <v>6694</v>
      </c>
      <c r="M2777" t="s">
        <v>6705</v>
      </c>
      <c r="S2777" t="s">
        <v>6694</v>
      </c>
      <c r="U2777" t="s">
        <v>6694</v>
      </c>
      <c r="W2777" t="s">
        <v>6720</v>
      </c>
    </row>
    <row r="2778" spans="1:23" ht="15.6" x14ac:dyDescent="0.4">
      <c r="A2778" s="2" t="s">
        <v>5414</v>
      </c>
      <c r="B2778" s="5" t="s">
        <v>9174</v>
      </c>
      <c r="C2778" s="7" t="s">
        <v>12556</v>
      </c>
      <c r="D2778" s="8">
        <f t="shared" si="176"/>
        <v>0</v>
      </c>
      <c r="E2778" s="7" t="s">
        <v>12557</v>
      </c>
      <c r="F2778" s="7">
        <f t="shared" si="177"/>
        <v>1</v>
      </c>
      <c r="G2778" s="7" t="s">
        <v>12558</v>
      </c>
      <c r="H2778" s="7">
        <f t="shared" si="178"/>
        <v>0</v>
      </c>
      <c r="I2778" s="7" t="str" cm="1">
        <f t="array" ref="I2778">IFERROR(_xlfn.IFS(M2778="נח",1,M2778="נע ונח",1,M2778="שני שווא נח",2,M2778="שני שוואים בסוף מילה",2,M2778="שני שוואים ברצף",1),"0")</f>
        <v>0</v>
      </c>
      <c r="J2778" s="9">
        <f t="shared" si="179"/>
        <v>3</v>
      </c>
      <c r="K2778" t="s">
        <v>6697</v>
      </c>
      <c r="L2778" t="s">
        <v>6695</v>
      </c>
      <c r="S2778" t="s">
        <v>6694</v>
      </c>
      <c r="W2778" t="s">
        <v>6720</v>
      </c>
    </row>
    <row r="2779" spans="1:23" ht="15.6" x14ac:dyDescent="0.4">
      <c r="A2779" s="2" t="s">
        <v>2465</v>
      </c>
      <c r="B2779" s="5" t="s">
        <v>9175</v>
      </c>
      <c r="C2779" s="7" t="s">
        <v>12556</v>
      </c>
      <c r="D2779" s="8">
        <f t="shared" si="176"/>
        <v>0</v>
      </c>
      <c r="E2779" s="7" t="s">
        <v>12557</v>
      </c>
      <c r="F2779" s="7">
        <f t="shared" si="177"/>
        <v>0</v>
      </c>
      <c r="G2779" s="7" t="s">
        <v>12558</v>
      </c>
      <c r="H2779" s="7">
        <f t="shared" si="178"/>
        <v>0</v>
      </c>
      <c r="I2779" s="7" cm="1">
        <f t="array" ref="I2779">IFERROR(_xlfn.IFS(M2779="נח",1,M2779="נע ונח",1,M2779="שני שווא נח",2,M2779="שני שוואים בסוף מילה",2,M2779="שני שוואים ברצף",1),"0")</f>
        <v>1</v>
      </c>
      <c r="J2779" s="9">
        <f t="shared" si="179"/>
        <v>3</v>
      </c>
      <c r="K2779" t="s">
        <v>6698</v>
      </c>
      <c r="L2779" t="s">
        <v>6694</v>
      </c>
      <c r="M2779" t="s">
        <v>6705</v>
      </c>
      <c r="O2779" t="s">
        <v>6694</v>
      </c>
      <c r="S2779" t="s">
        <v>6694</v>
      </c>
      <c r="V2779" t="s">
        <v>6694</v>
      </c>
      <c r="W2779" t="s">
        <v>6720</v>
      </c>
    </row>
    <row r="2780" spans="1:23" ht="15.6" x14ac:dyDescent="0.4">
      <c r="A2780" s="2" t="s">
        <v>4840</v>
      </c>
      <c r="B2780" s="5" t="s">
        <v>9176</v>
      </c>
      <c r="C2780" s="7" t="s">
        <v>12556</v>
      </c>
      <c r="D2780" s="8">
        <f t="shared" si="176"/>
        <v>0</v>
      </c>
      <c r="E2780" s="7" t="s">
        <v>12557</v>
      </c>
      <c r="F2780" s="7">
        <f t="shared" si="177"/>
        <v>0</v>
      </c>
      <c r="G2780" s="7" t="s">
        <v>12558</v>
      </c>
      <c r="H2780" s="7">
        <f t="shared" si="178"/>
        <v>0</v>
      </c>
      <c r="I2780" s="7" cm="1">
        <f t="array" ref="I2780">IFERROR(_xlfn.IFS(M2780="נח",1,M2780="נע ונח",1,M2780="שני שווא נח",2,M2780="שני שוואים בסוף מילה",2,M2780="שני שוואים ברצף",1),"0")</f>
        <v>1</v>
      </c>
      <c r="J2780" s="9">
        <f t="shared" si="179"/>
        <v>2</v>
      </c>
      <c r="K2780" t="s">
        <v>6697</v>
      </c>
      <c r="L2780" t="s">
        <v>6694</v>
      </c>
      <c r="M2780" t="s">
        <v>6705</v>
      </c>
      <c r="O2780" t="s">
        <v>6694</v>
      </c>
      <c r="S2780" t="s">
        <v>6694</v>
      </c>
      <c r="W2780" t="s">
        <v>6720</v>
      </c>
    </row>
    <row r="2781" spans="1:23" ht="15.6" x14ac:dyDescent="0.4">
      <c r="A2781" s="2" t="s">
        <v>44</v>
      </c>
      <c r="B2781" s="5" t="s">
        <v>9177</v>
      </c>
      <c r="C2781" s="7" t="s">
        <v>12556</v>
      </c>
      <c r="D2781" s="8">
        <f t="shared" si="176"/>
        <v>0</v>
      </c>
      <c r="E2781" s="7" t="s">
        <v>12557</v>
      </c>
      <c r="F2781" s="7">
        <f t="shared" si="177"/>
        <v>1</v>
      </c>
      <c r="G2781" s="7" t="s">
        <v>12558</v>
      </c>
      <c r="H2781" s="7">
        <f t="shared" si="178"/>
        <v>0</v>
      </c>
      <c r="I2781" s="7" t="str" cm="1">
        <f t="array" ref="I2781">IFERROR(_xlfn.IFS(M2781="נח",1,M2781="נע ונח",1,M2781="שני שווא נח",2,M2781="שני שוואים בסוף מילה",2,M2781="שני שוואים ברצף",1),"0")</f>
        <v>0</v>
      </c>
      <c r="J2781" s="9">
        <f t="shared" si="179"/>
        <v>2</v>
      </c>
      <c r="K2781" t="s">
        <v>6697</v>
      </c>
      <c r="L2781" t="s">
        <v>6695</v>
      </c>
      <c r="O2781" t="s">
        <v>6694</v>
      </c>
      <c r="S2781" t="s">
        <v>6694</v>
      </c>
      <c r="W2781" t="s">
        <v>6720</v>
      </c>
    </row>
    <row r="2782" spans="1:23" ht="15.6" x14ac:dyDescent="0.4">
      <c r="A2782" s="2" t="s">
        <v>490</v>
      </c>
      <c r="B2782" s="5" t="s">
        <v>9178</v>
      </c>
      <c r="C2782" s="7" t="s">
        <v>12556</v>
      </c>
      <c r="D2782" s="8">
        <f t="shared" si="176"/>
        <v>0</v>
      </c>
      <c r="E2782" s="7" t="s">
        <v>12557</v>
      </c>
      <c r="F2782" s="7">
        <f t="shared" si="177"/>
        <v>0</v>
      </c>
      <c r="G2782" s="7" t="s">
        <v>12558</v>
      </c>
      <c r="H2782" s="7">
        <f t="shared" si="178"/>
        <v>0</v>
      </c>
      <c r="I2782" s="7" cm="1">
        <f t="array" ref="I2782">IFERROR(_xlfn.IFS(M2782="נח",1,M2782="נע ונח",1,M2782="שני שווא נח",2,M2782="שני שוואים בסוף מילה",2,M2782="שני שוואים ברצף",1),"0")</f>
        <v>1</v>
      </c>
      <c r="J2782" s="9">
        <f t="shared" si="179"/>
        <v>2</v>
      </c>
      <c r="K2782" t="s">
        <v>6697</v>
      </c>
      <c r="L2782" t="s">
        <v>6694</v>
      </c>
      <c r="M2782" t="s">
        <v>6705</v>
      </c>
      <c r="O2782" t="s">
        <v>6694</v>
      </c>
      <c r="S2782" t="s">
        <v>6694</v>
      </c>
      <c r="W2782" t="s">
        <v>6720</v>
      </c>
    </row>
    <row r="2783" spans="1:23" ht="15.6" x14ac:dyDescent="0.4">
      <c r="A2783" s="2" t="s">
        <v>272</v>
      </c>
      <c r="B2783" s="5" t="s">
        <v>9179</v>
      </c>
      <c r="C2783" s="7" t="s">
        <v>12556</v>
      </c>
      <c r="D2783" s="8">
        <f t="shared" si="176"/>
        <v>0</v>
      </c>
      <c r="E2783" s="7" t="s">
        <v>12557</v>
      </c>
      <c r="F2783" s="7">
        <f t="shared" si="177"/>
        <v>0</v>
      </c>
      <c r="G2783" s="7" t="s">
        <v>12558</v>
      </c>
      <c r="H2783" s="7">
        <f t="shared" si="178"/>
        <v>0</v>
      </c>
      <c r="I2783" s="7" t="str" cm="1">
        <f t="array" ref="I2783">IFERROR(_xlfn.IFS(M2783="נח",1,M2783="נע ונח",1,M2783="שני שווא נח",2,M2783="שני שוואים בסוף מילה",2,M2783="שני שוואים ברצף",1),"0")</f>
        <v>0</v>
      </c>
      <c r="J2783" s="9">
        <f t="shared" si="179"/>
        <v>2</v>
      </c>
      <c r="K2783" t="s">
        <v>6698</v>
      </c>
      <c r="L2783" t="s">
        <v>6695</v>
      </c>
      <c r="Q2783" t="s">
        <v>6694</v>
      </c>
      <c r="S2783" t="s">
        <v>6694</v>
      </c>
      <c r="W2783" t="s">
        <v>6720</v>
      </c>
    </row>
    <row r="2784" spans="1:23" ht="15.6" x14ac:dyDescent="0.4">
      <c r="A2784" s="2" t="s">
        <v>1155</v>
      </c>
      <c r="B2784" s="5" t="s">
        <v>9160</v>
      </c>
      <c r="C2784" s="7" t="s">
        <v>12556</v>
      </c>
      <c r="D2784" s="8">
        <f t="shared" si="176"/>
        <v>0</v>
      </c>
      <c r="E2784" s="7" t="s">
        <v>12557</v>
      </c>
      <c r="F2784" s="7">
        <f t="shared" si="177"/>
        <v>0</v>
      </c>
      <c r="G2784" s="7" t="s">
        <v>12558</v>
      </c>
      <c r="H2784" s="7">
        <f t="shared" si="178"/>
        <v>0</v>
      </c>
      <c r="I2784" s="7" t="str" cm="1">
        <f t="array" ref="I2784">IFERROR(_xlfn.IFS(M2784="נח",1,M2784="נע ונח",1,M2784="שני שווא נח",2,M2784="שני שוואים בסוף מילה",2,M2784="שני שוואים ברצף",1),"0")</f>
        <v>0</v>
      </c>
      <c r="J2784" s="9">
        <f t="shared" si="179"/>
        <v>2</v>
      </c>
      <c r="K2784" t="s">
        <v>6698</v>
      </c>
      <c r="L2784" t="s">
        <v>6695</v>
      </c>
      <c r="Q2784" t="s">
        <v>6694</v>
      </c>
      <c r="R2784" t="s">
        <v>6694</v>
      </c>
      <c r="W2784" t="s">
        <v>6720</v>
      </c>
    </row>
    <row r="2785" spans="1:23" ht="15.6" x14ac:dyDescent="0.4">
      <c r="A2785" s="2" t="s">
        <v>5029</v>
      </c>
      <c r="B2785" s="5" t="s">
        <v>9180</v>
      </c>
      <c r="C2785" s="7" t="s">
        <v>12556</v>
      </c>
      <c r="D2785" s="8">
        <f t="shared" si="176"/>
        <v>0</v>
      </c>
      <c r="E2785" s="7" t="s">
        <v>12557</v>
      </c>
      <c r="F2785" s="7">
        <f t="shared" si="177"/>
        <v>0</v>
      </c>
      <c r="G2785" s="7" t="s">
        <v>12558</v>
      </c>
      <c r="H2785" s="7">
        <f t="shared" si="178"/>
        <v>0</v>
      </c>
      <c r="I2785" s="7" t="str" cm="1">
        <f t="array" ref="I2785">IFERROR(_xlfn.IFS(M2785="נח",1,M2785="נע ונח",1,M2785="שני שווא נח",2,M2785="שני שוואים בסוף מילה",2,M2785="שני שוואים ברצף",1),"0")</f>
        <v>0</v>
      </c>
      <c r="J2785" s="9">
        <f t="shared" si="179"/>
        <v>3</v>
      </c>
      <c r="K2785" t="s">
        <v>6698</v>
      </c>
      <c r="L2785" t="s">
        <v>6695</v>
      </c>
      <c r="O2785" t="s">
        <v>6694</v>
      </c>
      <c r="Q2785" t="s">
        <v>6694</v>
      </c>
      <c r="S2785" t="s">
        <v>6694</v>
      </c>
      <c r="W2785" t="s">
        <v>6720</v>
      </c>
    </row>
    <row r="2786" spans="1:23" ht="15.6" x14ac:dyDescent="0.4">
      <c r="A2786" s="2" t="s">
        <v>6378</v>
      </c>
      <c r="B2786" s="5" t="s">
        <v>9181</v>
      </c>
      <c r="C2786" s="7" t="s">
        <v>12556</v>
      </c>
      <c r="D2786" s="8">
        <f t="shared" si="176"/>
        <v>0</v>
      </c>
      <c r="E2786" s="7" t="s">
        <v>12557</v>
      </c>
      <c r="F2786" s="7">
        <f t="shared" si="177"/>
        <v>1</v>
      </c>
      <c r="G2786" s="7" t="s">
        <v>12558</v>
      </c>
      <c r="H2786" s="7">
        <f t="shared" si="178"/>
        <v>1</v>
      </c>
      <c r="I2786" s="7" t="str" cm="1">
        <f t="array" ref="I2786">IFERROR(_xlfn.IFS(M2786="נח",1,M2786="נע ונח",1,M2786="שני שווא נח",2,M2786="שני שוואים בסוף מילה",2,M2786="שני שוואים ברצף",1),"0")</f>
        <v>0</v>
      </c>
      <c r="J2786" s="9">
        <f t="shared" si="179"/>
        <v>4</v>
      </c>
      <c r="K2786" t="s">
        <v>6697</v>
      </c>
      <c r="L2786" t="s">
        <v>6695</v>
      </c>
      <c r="O2786" t="s">
        <v>6694</v>
      </c>
      <c r="Q2786" t="s">
        <v>6694</v>
      </c>
      <c r="S2786" t="s">
        <v>6694</v>
      </c>
      <c r="U2786" t="s">
        <v>6694</v>
      </c>
      <c r="W2786" t="s">
        <v>6720</v>
      </c>
    </row>
    <row r="2787" spans="1:23" ht="15.6" x14ac:dyDescent="0.4">
      <c r="A2787" s="2" t="s">
        <v>382</v>
      </c>
      <c r="B2787" s="5" t="s">
        <v>9157</v>
      </c>
      <c r="C2787" s="7" t="s">
        <v>12556</v>
      </c>
      <c r="D2787" s="8">
        <f t="shared" si="176"/>
        <v>0</v>
      </c>
      <c r="E2787" s="7" t="s">
        <v>12557</v>
      </c>
      <c r="F2787" s="7">
        <f t="shared" si="177"/>
        <v>0</v>
      </c>
      <c r="G2787" s="7" t="s">
        <v>12558</v>
      </c>
      <c r="H2787" s="7">
        <f t="shared" si="178"/>
        <v>0</v>
      </c>
      <c r="I2787" s="7" t="str" cm="1">
        <f t="array" ref="I2787">IFERROR(_xlfn.IFS(M2787="נח",1,M2787="נע ונח",1,M2787="שני שווא נח",2,M2787="שני שוואים בסוף מילה",2,M2787="שני שוואים ברצף",1),"0")</f>
        <v>0</v>
      </c>
      <c r="J2787" s="9">
        <f t="shared" si="179"/>
        <v>2</v>
      </c>
      <c r="K2787" t="s">
        <v>6698</v>
      </c>
      <c r="L2787" t="s">
        <v>6695</v>
      </c>
      <c r="P2787" t="s">
        <v>6694</v>
      </c>
      <c r="R2787" t="s">
        <v>6694</v>
      </c>
      <c r="W2787" t="s">
        <v>6720</v>
      </c>
    </row>
    <row r="2788" spans="1:23" ht="15.6" x14ac:dyDescent="0.4">
      <c r="A2788" s="2" t="s">
        <v>652</v>
      </c>
      <c r="B2788" s="5" t="s">
        <v>9182</v>
      </c>
      <c r="C2788" s="7" t="s">
        <v>12556</v>
      </c>
      <c r="D2788" s="8">
        <f t="shared" si="176"/>
        <v>0</v>
      </c>
      <c r="E2788" s="7" t="s">
        <v>12557</v>
      </c>
      <c r="F2788" s="7">
        <f t="shared" si="177"/>
        <v>0</v>
      </c>
      <c r="G2788" s="7" t="s">
        <v>12558</v>
      </c>
      <c r="H2788" s="7">
        <f t="shared" si="178"/>
        <v>0</v>
      </c>
      <c r="I2788" s="7" t="str" cm="1">
        <f t="array" ref="I2788">IFERROR(_xlfn.IFS(M2788="נח",1,M2788="נע ונח",1,M2788="שני שווא נח",2,M2788="שני שוואים בסוף מילה",2,M2788="שני שוואים ברצף",1),"0")</f>
        <v>0</v>
      </c>
      <c r="J2788" s="9">
        <f t="shared" si="179"/>
        <v>1</v>
      </c>
      <c r="K2788" t="s">
        <v>6697</v>
      </c>
      <c r="L2788" t="s">
        <v>6695</v>
      </c>
      <c r="R2788" t="s">
        <v>6694</v>
      </c>
      <c r="W2788" t="s">
        <v>6720</v>
      </c>
    </row>
    <row r="2789" spans="1:23" ht="15.6" x14ac:dyDescent="0.4">
      <c r="A2789" s="2" t="s">
        <v>1621</v>
      </c>
      <c r="B2789" s="5" t="s">
        <v>9183</v>
      </c>
      <c r="C2789" s="7" t="s">
        <v>12556</v>
      </c>
      <c r="D2789" s="8">
        <f t="shared" si="176"/>
        <v>0</v>
      </c>
      <c r="E2789" s="7" t="s">
        <v>12557</v>
      </c>
      <c r="F2789" s="7">
        <f t="shared" si="177"/>
        <v>0</v>
      </c>
      <c r="G2789" s="7" t="s">
        <v>12558</v>
      </c>
      <c r="H2789" s="7">
        <f t="shared" si="178"/>
        <v>0</v>
      </c>
      <c r="I2789" s="7" t="str" cm="1">
        <f t="array" ref="I2789">IFERROR(_xlfn.IFS(M2789="נח",1,M2789="נע ונח",1,M2789="שני שווא נח",2,M2789="שני שוואים בסוף מילה",2,M2789="שני שוואים ברצף",1),"0")</f>
        <v>0</v>
      </c>
      <c r="J2789" s="9">
        <f t="shared" si="179"/>
        <v>2</v>
      </c>
      <c r="K2789" t="s">
        <v>6697</v>
      </c>
      <c r="L2789" t="s">
        <v>6695</v>
      </c>
      <c r="P2789" t="s">
        <v>6694</v>
      </c>
      <c r="R2789" t="s">
        <v>6694</v>
      </c>
      <c r="W2789" t="s">
        <v>6720</v>
      </c>
    </row>
    <row r="2790" spans="1:23" ht="15.6" x14ac:dyDescent="0.4">
      <c r="A2790" s="2" t="s">
        <v>1333</v>
      </c>
      <c r="B2790" s="5" t="s">
        <v>9176</v>
      </c>
      <c r="C2790" s="7" t="s">
        <v>12556</v>
      </c>
      <c r="D2790" s="8">
        <f t="shared" si="176"/>
        <v>0</v>
      </c>
      <c r="E2790" s="7" t="s">
        <v>12557</v>
      </c>
      <c r="F2790" s="7">
        <f t="shared" si="177"/>
        <v>1</v>
      </c>
      <c r="G2790" s="7" t="s">
        <v>12558</v>
      </c>
      <c r="H2790" s="7">
        <f t="shared" si="178"/>
        <v>0</v>
      </c>
      <c r="I2790" s="7" cm="1">
        <f t="array" ref="I2790">IFERROR(_xlfn.IFS(M2790="נח",1,M2790="נע ונח",1,M2790="שני שווא נח",2,M2790="שני שוואים בסוף מילה",2,M2790="שני שוואים ברצף",1),"0")</f>
        <v>1</v>
      </c>
      <c r="J2790" s="9">
        <f t="shared" si="179"/>
        <v>2</v>
      </c>
      <c r="K2790" t="s">
        <v>6697</v>
      </c>
      <c r="L2790" t="s">
        <v>6694</v>
      </c>
      <c r="M2790" t="s">
        <v>6705</v>
      </c>
      <c r="O2790" t="s">
        <v>6694</v>
      </c>
      <c r="P2790" t="s">
        <v>6694</v>
      </c>
      <c r="W2790" t="s">
        <v>6720</v>
      </c>
    </row>
    <row r="2791" spans="1:23" ht="15.6" x14ac:dyDescent="0.4">
      <c r="A2791" s="2" t="s">
        <v>1240</v>
      </c>
      <c r="B2791" s="5" t="s">
        <v>9184</v>
      </c>
      <c r="C2791" s="7" t="s">
        <v>12556</v>
      </c>
      <c r="D2791" s="8">
        <f t="shared" si="176"/>
        <v>0</v>
      </c>
      <c r="E2791" s="7" t="s">
        <v>12557</v>
      </c>
      <c r="F2791" s="7">
        <f t="shared" si="177"/>
        <v>2</v>
      </c>
      <c r="G2791" s="7" t="s">
        <v>12558</v>
      </c>
      <c r="H2791" s="7">
        <f t="shared" si="178"/>
        <v>1</v>
      </c>
      <c r="I2791" s="7" cm="1">
        <f t="array" ref="I2791">IFERROR(_xlfn.IFS(M2791="נח",1,M2791="נע ונח",1,M2791="שני שווא נח",2,M2791="שני שוואים בסוף מילה",2,M2791="שני שוואים ברצף",1),"0")</f>
        <v>1</v>
      </c>
      <c r="J2791" s="9">
        <f t="shared" si="179"/>
        <v>2</v>
      </c>
      <c r="K2791" t="s">
        <v>6697</v>
      </c>
      <c r="L2791" t="s">
        <v>6694</v>
      </c>
      <c r="M2791" t="s">
        <v>6705</v>
      </c>
      <c r="P2791" t="s">
        <v>6694</v>
      </c>
      <c r="U2791" t="s">
        <v>6694</v>
      </c>
      <c r="W2791" t="s">
        <v>6720</v>
      </c>
    </row>
    <row r="2792" spans="1:23" ht="15.6" x14ac:dyDescent="0.4">
      <c r="A2792" s="2" t="s">
        <v>3807</v>
      </c>
      <c r="B2792" s="5" t="s">
        <v>9184</v>
      </c>
      <c r="C2792" s="7" t="s">
        <v>12556</v>
      </c>
      <c r="D2792" s="8">
        <f t="shared" si="176"/>
        <v>0</v>
      </c>
      <c r="E2792" s="7" t="s">
        <v>12557</v>
      </c>
      <c r="F2792" s="7">
        <f t="shared" si="177"/>
        <v>2</v>
      </c>
      <c r="G2792" s="7" t="s">
        <v>12558</v>
      </c>
      <c r="H2792" s="7">
        <f t="shared" si="178"/>
        <v>1</v>
      </c>
      <c r="I2792" s="7" t="str" cm="1">
        <f t="array" ref="I2792">IFERROR(_xlfn.IFS(M2792="נח",1,M2792="נע ונח",1,M2792="שני שווא נח",2,M2792="שני שוואים בסוף מילה",2,M2792="שני שוואים ברצף",1),"0")</f>
        <v>0</v>
      </c>
      <c r="J2792" s="9">
        <f t="shared" si="179"/>
        <v>3</v>
      </c>
      <c r="K2792" t="s">
        <v>6697</v>
      </c>
      <c r="L2792" t="s">
        <v>6695</v>
      </c>
      <c r="P2792" t="s">
        <v>6694</v>
      </c>
      <c r="Q2792" t="s">
        <v>6694</v>
      </c>
      <c r="U2792" t="s">
        <v>6694</v>
      </c>
      <c r="W2792" t="s">
        <v>6720</v>
      </c>
    </row>
    <row r="2793" spans="1:23" ht="15.6" x14ac:dyDescent="0.4">
      <c r="A2793" s="2" t="s">
        <v>2952</v>
      </c>
      <c r="B2793" s="5" t="s">
        <v>9185</v>
      </c>
      <c r="C2793" s="7" t="s">
        <v>12556</v>
      </c>
      <c r="D2793" s="8">
        <f t="shared" si="176"/>
        <v>0</v>
      </c>
      <c r="E2793" s="7" t="s">
        <v>12557</v>
      </c>
      <c r="F2793" s="7">
        <f t="shared" si="177"/>
        <v>0</v>
      </c>
      <c r="G2793" s="7" t="s">
        <v>12558</v>
      </c>
      <c r="H2793" s="7">
        <f t="shared" si="178"/>
        <v>0</v>
      </c>
      <c r="I2793" s="7" t="str" cm="1">
        <f t="array" ref="I2793">IFERROR(_xlfn.IFS(M2793="נח",1,M2793="נע ונח",1,M2793="שני שווא נח",2,M2793="שני שוואים בסוף מילה",2,M2793="שני שוואים ברצף",1),"0")</f>
        <v>0</v>
      </c>
      <c r="J2793" s="9">
        <f t="shared" si="179"/>
        <v>1</v>
      </c>
      <c r="K2793" t="s">
        <v>6698</v>
      </c>
      <c r="L2793" t="s">
        <v>6695</v>
      </c>
      <c r="P2793" t="s">
        <v>6694</v>
      </c>
      <c r="W2793" t="s">
        <v>6720</v>
      </c>
    </row>
    <row r="2794" spans="1:23" ht="15.6" x14ac:dyDescent="0.4">
      <c r="A2794" s="2" t="s">
        <v>4639</v>
      </c>
      <c r="B2794" s="5" t="s">
        <v>9186</v>
      </c>
      <c r="C2794" s="7" t="s">
        <v>12556</v>
      </c>
      <c r="D2794" s="8">
        <f t="shared" si="176"/>
        <v>0</v>
      </c>
      <c r="E2794" s="7" t="s">
        <v>12557</v>
      </c>
      <c r="F2794" s="7">
        <f t="shared" si="177"/>
        <v>0</v>
      </c>
      <c r="G2794" s="7" t="s">
        <v>12558</v>
      </c>
      <c r="H2794" s="7">
        <f t="shared" si="178"/>
        <v>0</v>
      </c>
      <c r="I2794" s="7" cm="1">
        <f t="array" ref="I2794">IFERROR(_xlfn.IFS(M2794="נח",1,M2794="נע ונח",1,M2794="שני שווא נח",2,M2794="שני שוואים בסוף מילה",2,M2794="שני שוואים ברצף",1),"0")</f>
        <v>1</v>
      </c>
      <c r="J2794" s="9">
        <f t="shared" si="179"/>
        <v>3</v>
      </c>
      <c r="K2794" t="s">
        <v>6697</v>
      </c>
      <c r="L2794" t="s">
        <v>6694</v>
      </c>
      <c r="M2794" t="s">
        <v>6705</v>
      </c>
      <c r="O2794" t="s">
        <v>6694</v>
      </c>
      <c r="P2794" t="s">
        <v>6694</v>
      </c>
      <c r="R2794" t="s">
        <v>6694</v>
      </c>
      <c r="W2794" t="s">
        <v>6720</v>
      </c>
    </row>
    <row r="2795" spans="1:23" ht="15.6" x14ac:dyDescent="0.4">
      <c r="A2795" s="2" t="s">
        <v>3086</v>
      </c>
      <c r="B2795" s="5" t="s">
        <v>9187</v>
      </c>
      <c r="C2795" s="7" t="s">
        <v>12556</v>
      </c>
      <c r="D2795" s="8">
        <f t="shared" si="176"/>
        <v>0</v>
      </c>
      <c r="E2795" s="7" t="s">
        <v>12557</v>
      </c>
      <c r="F2795" s="7">
        <f t="shared" si="177"/>
        <v>0</v>
      </c>
      <c r="G2795" s="7" t="s">
        <v>12558</v>
      </c>
      <c r="H2795" s="7">
        <f t="shared" si="178"/>
        <v>0</v>
      </c>
      <c r="I2795" s="7" cm="1">
        <f t="array" ref="I2795">IFERROR(_xlfn.IFS(M2795="נח",1,M2795="נע ונח",1,M2795="שני שווא נח",2,M2795="שני שוואים בסוף מילה",2,M2795="שני שוואים ברצף",1),"0")</f>
        <v>1</v>
      </c>
      <c r="J2795" s="9">
        <f t="shared" si="179"/>
        <v>2</v>
      </c>
      <c r="K2795" t="s">
        <v>6698</v>
      </c>
      <c r="L2795" t="s">
        <v>6694</v>
      </c>
      <c r="M2795" t="s">
        <v>6705</v>
      </c>
      <c r="P2795" t="s">
        <v>6694</v>
      </c>
      <c r="S2795" t="s">
        <v>6694</v>
      </c>
      <c r="W2795" t="s">
        <v>6720</v>
      </c>
    </row>
    <row r="2796" spans="1:23" ht="15.6" x14ac:dyDescent="0.4">
      <c r="A2796" s="2" t="s">
        <v>5789</v>
      </c>
      <c r="B2796" s="5" t="s">
        <v>9188</v>
      </c>
      <c r="C2796" s="7" t="s">
        <v>12556</v>
      </c>
      <c r="D2796" s="8">
        <f t="shared" si="176"/>
        <v>0</v>
      </c>
      <c r="E2796" s="7" t="s">
        <v>12557</v>
      </c>
      <c r="F2796" s="7">
        <f t="shared" si="177"/>
        <v>0</v>
      </c>
      <c r="G2796" s="7" t="s">
        <v>12558</v>
      </c>
      <c r="H2796" s="7">
        <f t="shared" si="178"/>
        <v>0</v>
      </c>
      <c r="I2796" s="7" cm="1">
        <f t="array" ref="I2796">IFERROR(_xlfn.IFS(M2796="נח",1,M2796="נע ונח",1,M2796="שני שווא נח",2,M2796="שני שוואים בסוף מילה",2,M2796="שני שוואים ברצף",1),"0")</f>
        <v>1</v>
      </c>
      <c r="J2796" s="9">
        <f t="shared" si="179"/>
        <v>3</v>
      </c>
      <c r="K2796" t="s">
        <v>6697</v>
      </c>
      <c r="L2796" t="s">
        <v>6694</v>
      </c>
      <c r="M2796" t="s">
        <v>6705</v>
      </c>
      <c r="O2796" t="s">
        <v>6694</v>
      </c>
      <c r="P2796" t="s">
        <v>6694</v>
      </c>
      <c r="R2796" t="s">
        <v>6694</v>
      </c>
      <c r="W2796" t="s">
        <v>6720</v>
      </c>
    </row>
    <row r="2797" spans="1:23" ht="15.6" x14ac:dyDescent="0.4">
      <c r="A2797" s="2" t="s">
        <v>1120</v>
      </c>
      <c r="B2797" s="5" t="s">
        <v>9189</v>
      </c>
      <c r="C2797" s="7" t="s">
        <v>12556</v>
      </c>
      <c r="D2797" s="8">
        <f t="shared" si="176"/>
        <v>0</v>
      </c>
      <c r="E2797" s="7" t="s">
        <v>12557</v>
      </c>
      <c r="F2797" s="7">
        <f t="shared" si="177"/>
        <v>0</v>
      </c>
      <c r="G2797" s="7" t="s">
        <v>12558</v>
      </c>
      <c r="H2797" s="7">
        <f t="shared" si="178"/>
        <v>0</v>
      </c>
      <c r="I2797" s="7" cm="1">
        <f t="array" ref="I2797">IFERROR(_xlfn.IFS(M2797="נח",1,M2797="נע ונח",1,M2797="שני שווא נח",2,M2797="שני שוואים בסוף מילה",2,M2797="שני שוואים ברצף",1),"0")</f>
        <v>1</v>
      </c>
      <c r="J2797" s="9">
        <f t="shared" si="179"/>
        <v>2</v>
      </c>
      <c r="K2797" t="s">
        <v>6698</v>
      </c>
      <c r="L2797" t="s">
        <v>6694</v>
      </c>
      <c r="M2797" t="s">
        <v>6705</v>
      </c>
      <c r="N2797" t="s">
        <v>6706</v>
      </c>
      <c r="O2797" t="s">
        <v>6694</v>
      </c>
      <c r="P2797" t="s">
        <v>6694</v>
      </c>
      <c r="W2797" t="s">
        <v>6720</v>
      </c>
    </row>
    <row r="2798" spans="1:23" ht="15.6" x14ac:dyDescent="0.4">
      <c r="A2798" s="2" t="s">
        <v>1186</v>
      </c>
      <c r="B2798" s="5" t="s">
        <v>9190</v>
      </c>
      <c r="C2798" s="7" t="s">
        <v>12556</v>
      </c>
      <c r="D2798" s="8">
        <f t="shared" si="176"/>
        <v>0</v>
      </c>
      <c r="E2798" s="7" t="s">
        <v>12557</v>
      </c>
      <c r="F2798" s="7">
        <f t="shared" si="177"/>
        <v>0</v>
      </c>
      <c r="G2798" s="7" t="s">
        <v>12558</v>
      </c>
      <c r="H2798" s="7">
        <f t="shared" si="178"/>
        <v>0</v>
      </c>
      <c r="I2798" s="7" cm="1">
        <f t="array" ref="I2798">IFERROR(_xlfn.IFS(M2798="נח",1,M2798="נע ונח",1,M2798="שני שווא נח",2,M2798="שני שוואים בסוף מילה",2,M2798="שני שוואים ברצף",1),"0")</f>
        <v>1</v>
      </c>
      <c r="J2798" s="9">
        <f t="shared" si="179"/>
        <v>2</v>
      </c>
      <c r="K2798" t="s">
        <v>6697</v>
      </c>
      <c r="L2798" t="s">
        <v>6694</v>
      </c>
      <c r="M2798" t="s">
        <v>6705</v>
      </c>
      <c r="P2798" t="s">
        <v>6694</v>
      </c>
      <c r="V2798" t="s">
        <v>6694</v>
      </c>
      <c r="W2798" t="s">
        <v>6720</v>
      </c>
    </row>
    <row r="2799" spans="1:23" ht="15.6" x14ac:dyDescent="0.4">
      <c r="A2799" s="2" t="s">
        <v>6598</v>
      </c>
      <c r="B2799" s="5" t="s">
        <v>9157</v>
      </c>
      <c r="C2799" s="7" t="s">
        <v>12556</v>
      </c>
      <c r="D2799" s="8">
        <f t="shared" si="176"/>
        <v>0</v>
      </c>
      <c r="E2799" s="7" t="s">
        <v>12557</v>
      </c>
      <c r="F2799" s="7">
        <f t="shared" si="177"/>
        <v>0</v>
      </c>
      <c r="G2799" s="7" t="s">
        <v>12558</v>
      </c>
      <c r="H2799" s="7">
        <f t="shared" si="178"/>
        <v>0</v>
      </c>
      <c r="I2799" s="7" t="str" cm="1">
        <f t="array" ref="I2799">IFERROR(_xlfn.IFS(M2799="נח",1,M2799="נע ונח",1,M2799="שני שווא נח",2,M2799="שני שוואים בסוף מילה",2,M2799="שני שוואים ברצף",1),"0")</f>
        <v>0</v>
      </c>
      <c r="J2799" s="9">
        <f t="shared" si="179"/>
        <v>2</v>
      </c>
      <c r="K2799" t="s">
        <v>6698</v>
      </c>
      <c r="L2799" t="s">
        <v>6695</v>
      </c>
      <c r="O2799" t="s">
        <v>6694</v>
      </c>
      <c r="P2799" t="s">
        <v>6694</v>
      </c>
      <c r="W2799" t="s">
        <v>6720</v>
      </c>
    </row>
    <row r="2800" spans="1:23" ht="15.6" x14ac:dyDescent="0.4">
      <c r="A2800" s="2" t="s">
        <v>3739</v>
      </c>
      <c r="B2800" s="5" t="s">
        <v>9191</v>
      </c>
      <c r="C2800" s="7" t="s">
        <v>12556</v>
      </c>
      <c r="D2800" s="8">
        <f t="shared" si="176"/>
        <v>0</v>
      </c>
      <c r="E2800" s="7" t="s">
        <v>12557</v>
      </c>
      <c r="F2800" s="7">
        <f t="shared" si="177"/>
        <v>0</v>
      </c>
      <c r="G2800" s="7" t="s">
        <v>12558</v>
      </c>
      <c r="H2800" s="7">
        <f t="shared" si="178"/>
        <v>0</v>
      </c>
      <c r="I2800" s="7" t="str" cm="1">
        <f t="array" ref="I2800">IFERROR(_xlfn.IFS(M2800="נח",1,M2800="נע ונח",1,M2800="שני שווא נח",2,M2800="שני שוואים בסוף מילה",2,M2800="שני שוואים ברצף",1),"0")</f>
        <v>0</v>
      </c>
      <c r="J2800" s="9">
        <f t="shared" si="179"/>
        <v>2</v>
      </c>
      <c r="K2800" t="s">
        <v>6698</v>
      </c>
      <c r="L2800" t="s">
        <v>6695</v>
      </c>
      <c r="N2800" t="s">
        <v>6706</v>
      </c>
      <c r="O2800" t="s">
        <v>6694</v>
      </c>
      <c r="W2800" t="s">
        <v>6720</v>
      </c>
    </row>
    <row r="2801" spans="1:23" ht="15.6" x14ac:dyDescent="0.4">
      <c r="A2801" s="2" t="s">
        <v>1021</v>
      </c>
      <c r="B2801" s="5" t="s">
        <v>9192</v>
      </c>
      <c r="C2801" s="7" t="s">
        <v>12556</v>
      </c>
      <c r="D2801" s="8">
        <f t="shared" si="176"/>
        <v>0</v>
      </c>
      <c r="E2801" s="7" t="s">
        <v>12557</v>
      </c>
      <c r="F2801" s="7">
        <f t="shared" si="177"/>
        <v>0</v>
      </c>
      <c r="G2801" s="7" t="s">
        <v>12558</v>
      </c>
      <c r="H2801" s="7">
        <f t="shared" si="178"/>
        <v>0</v>
      </c>
      <c r="I2801" s="7" cm="1">
        <f t="array" ref="I2801">IFERROR(_xlfn.IFS(M2801="נח",1,M2801="נע ונח",1,M2801="שני שווא נח",2,M2801="שני שוואים בסוף מילה",2,M2801="שני שוואים ברצף",1),"0")</f>
        <v>1</v>
      </c>
      <c r="J2801" s="9">
        <f t="shared" si="179"/>
        <v>3</v>
      </c>
      <c r="K2801" t="s">
        <v>6697</v>
      </c>
      <c r="L2801" t="s">
        <v>6694</v>
      </c>
      <c r="M2801" t="s">
        <v>6705</v>
      </c>
      <c r="N2801" t="s">
        <v>6706</v>
      </c>
      <c r="O2801" t="s">
        <v>6694</v>
      </c>
      <c r="Q2801" t="s">
        <v>6694</v>
      </c>
      <c r="S2801" t="s">
        <v>6694</v>
      </c>
      <c r="W2801" t="s">
        <v>6720</v>
      </c>
    </row>
    <row r="2802" spans="1:23" ht="15.6" x14ac:dyDescent="0.4">
      <c r="A2802" s="2" t="s">
        <v>1037</v>
      </c>
      <c r="B2802" s="5" t="s">
        <v>9173</v>
      </c>
      <c r="C2802" s="7" t="s">
        <v>12556</v>
      </c>
      <c r="D2802" s="8">
        <f t="shared" si="176"/>
        <v>0</v>
      </c>
      <c r="E2802" s="7" t="s">
        <v>12557</v>
      </c>
      <c r="F2802" s="7">
        <f t="shared" si="177"/>
        <v>1</v>
      </c>
      <c r="G2802" s="7" t="s">
        <v>12558</v>
      </c>
      <c r="H2802" s="7">
        <f t="shared" si="178"/>
        <v>1</v>
      </c>
      <c r="I2802" s="7" cm="1">
        <f t="array" ref="I2802">IFERROR(_xlfn.IFS(M2802="נח",1,M2802="נע ונח",1,M2802="שני שווא נח",2,M2802="שני שוואים בסוף מילה",2,M2802="שני שוואים ברצף",1),"0")</f>
        <v>1</v>
      </c>
      <c r="J2802" s="9">
        <f t="shared" si="179"/>
        <v>2</v>
      </c>
      <c r="K2802" t="s">
        <v>6697</v>
      </c>
      <c r="L2802" t="s">
        <v>6694</v>
      </c>
      <c r="M2802" t="s">
        <v>6705</v>
      </c>
      <c r="N2802" t="s">
        <v>6706</v>
      </c>
      <c r="O2802" t="s">
        <v>6694</v>
      </c>
      <c r="U2802" t="s">
        <v>6694</v>
      </c>
      <c r="W2802" t="s">
        <v>6720</v>
      </c>
    </row>
    <row r="2803" spans="1:23" ht="15.6" x14ac:dyDescent="0.4">
      <c r="A2803" s="2" t="s">
        <v>1624</v>
      </c>
      <c r="B2803" s="5" t="s">
        <v>9160</v>
      </c>
      <c r="C2803" s="7" t="s">
        <v>12556</v>
      </c>
      <c r="D2803" s="8">
        <f t="shared" si="176"/>
        <v>0</v>
      </c>
      <c r="E2803" s="7" t="s">
        <v>12557</v>
      </c>
      <c r="F2803" s="7">
        <f t="shared" si="177"/>
        <v>0</v>
      </c>
      <c r="G2803" s="7" t="s">
        <v>12558</v>
      </c>
      <c r="H2803" s="7">
        <f t="shared" si="178"/>
        <v>0</v>
      </c>
      <c r="I2803" s="7" t="str" cm="1">
        <f t="array" ref="I2803">IFERROR(_xlfn.IFS(M2803="נח",1,M2803="נע ונח",1,M2803="שני שווא נח",2,M2803="שני שוואים בסוף מילה",2,M2803="שני שוואים ברצף",1),"0")</f>
        <v>0</v>
      </c>
      <c r="J2803" s="9">
        <f t="shared" si="179"/>
        <v>2</v>
      </c>
      <c r="K2803" t="s">
        <v>6698</v>
      </c>
      <c r="L2803" t="s">
        <v>6695</v>
      </c>
      <c r="O2803" t="s">
        <v>6694</v>
      </c>
      <c r="P2803" t="s">
        <v>6694</v>
      </c>
      <c r="W2803" t="s">
        <v>6720</v>
      </c>
    </row>
    <row r="2804" spans="1:23" ht="15.6" x14ac:dyDescent="0.4">
      <c r="A2804" s="2" t="s">
        <v>5610</v>
      </c>
      <c r="B2804" s="5" t="s">
        <v>9193</v>
      </c>
      <c r="C2804" s="7" t="s">
        <v>12556</v>
      </c>
      <c r="D2804" s="8">
        <f t="shared" si="176"/>
        <v>0</v>
      </c>
      <c r="E2804" s="7" t="s">
        <v>12557</v>
      </c>
      <c r="F2804" s="7">
        <f t="shared" si="177"/>
        <v>1</v>
      </c>
      <c r="G2804" s="7" t="s">
        <v>12558</v>
      </c>
      <c r="H2804" s="7">
        <f t="shared" si="178"/>
        <v>0</v>
      </c>
      <c r="I2804" s="7" cm="1">
        <f t="array" ref="I2804">IFERROR(_xlfn.IFS(M2804="נח",1,M2804="נע ונח",1,M2804="שני שווא נח",2,M2804="שני שוואים בסוף מילה",2,M2804="שני שוואים ברצף",1),"0")</f>
        <v>1</v>
      </c>
      <c r="J2804" s="9">
        <f t="shared" si="179"/>
        <v>3</v>
      </c>
      <c r="K2804" t="s">
        <v>6697</v>
      </c>
      <c r="L2804" t="s">
        <v>6694</v>
      </c>
      <c r="M2804" t="s">
        <v>6705</v>
      </c>
      <c r="O2804" t="s">
        <v>6694</v>
      </c>
      <c r="P2804" t="s">
        <v>6694</v>
      </c>
      <c r="S2804" t="s">
        <v>6694</v>
      </c>
      <c r="W2804" t="s">
        <v>6720</v>
      </c>
    </row>
    <row r="2805" spans="1:23" ht="15.6" x14ac:dyDescent="0.4">
      <c r="A2805" s="2" t="s">
        <v>2408</v>
      </c>
      <c r="B2805" s="5" t="s">
        <v>9160</v>
      </c>
      <c r="C2805" s="7" t="s">
        <v>12556</v>
      </c>
      <c r="D2805" s="8">
        <f t="shared" si="176"/>
        <v>0</v>
      </c>
      <c r="E2805" s="7" t="s">
        <v>12557</v>
      </c>
      <c r="F2805" s="7">
        <f t="shared" si="177"/>
        <v>0</v>
      </c>
      <c r="G2805" s="7" t="s">
        <v>12558</v>
      </c>
      <c r="H2805" s="7">
        <f t="shared" si="178"/>
        <v>0</v>
      </c>
      <c r="I2805" s="7" t="str" cm="1">
        <f t="array" ref="I2805">IFERROR(_xlfn.IFS(M2805="נח",1,M2805="נע ונח",1,M2805="שני שווא נח",2,M2805="שני שוואים בסוף מילה",2,M2805="שני שוואים ברצף",1),"0")</f>
        <v>0</v>
      </c>
      <c r="J2805" s="9">
        <f t="shared" si="179"/>
        <v>2</v>
      </c>
      <c r="K2805" t="s">
        <v>6698</v>
      </c>
      <c r="L2805" t="s">
        <v>6695</v>
      </c>
      <c r="N2805" t="s">
        <v>6706</v>
      </c>
      <c r="O2805" t="s">
        <v>6694</v>
      </c>
      <c r="W2805" t="s">
        <v>6720</v>
      </c>
    </row>
    <row r="2806" spans="1:23" ht="15.6" x14ac:dyDescent="0.4">
      <c r="A2806" s="2" t="s">
        <v>2844</v>
      </c>
      <c r="B2806" s="5" t="s">
        <v>9194</v>
      </c>
      <c r="C2806" s="7" t="s">
        <v>12556</v>
      </c>
      <c r="D2806" s="8">
        <f t="shared" si="176"/>
        <v>0</v>
      </c>
      <c r="E2806" s="7" t="s">
        <v>12557</v>
      </c>
      <c r="F2806" s="7">
        <f t="shared" si="177"/>
        <v>1</v>
      </c>
      <c r="G2806" s="7" t="s">
        <v>12558</v>
      </c>
      <c r="H2806" s="7">
        <f t="shared" si="178"/>
        <v>1</v>
      </c>
      <c r="I2806" s="7" t="str" cm="1">
        <f t="array" ref="I2806">IFERROR(_xlfn.IFS(M2806="נח",1,M2806="נע ונח",1,M2806="שני שווא נח",2,M2806="שני שוואים בסוף מילה",2,M2806="שני שוואים ברצף",1),"0")</f>
        <v>0</v>
      </c>
      <c r="J2806" s="9">
        <f t="shared" si="179"/>
        <v>2</v>
      </c>
      <c r="K2806" t="s">
        <v>6698</v>
      </c>
      <c r="L2806" t="s">
        <v>6695</v>
      </c>
      <c r="O2806" t="s">
        <v>6694</v>
      </c>
      <c r="U2806" t="s">
        <v>6694</v>
      </c>
      <c r="W2806" t="s">
        <v>6720</v>
      </c>
    </row>
    <row r="2807" spans="1:23" ht="15.6" x14ac:dyDescent="0.4">
      <c r="A2807" s="2" t="s">
        <v>6352</v>
      </c>
      <c r="B2807" s="5" t="s">
        <v>9162</v>
      </c>
      <c r="C2807" s="7" t="s">
        <v>12556</v>
      </c>
      <c r="D2807" s="8">
        <f t="shared" si="176"/>
        <v>0</v>
      </c>
      <c r="E2807" s="7" t="s">
        <v>12557</v>
      </c>
      <c r="F2807" s="7">
        <f t="shared" si="177"/>
        <v>1</v>
      </c>
      <c r="G2807" s="7" t="s">
        <v>12558</v>
      </c>
      <c r="H2807" s="7">
        <f t="shared" si="178"/>
        <v>1</v>
      </c>
      <c r="I2807" s="7" t="str" cm="1">
        <f t="array" ref="I2807">IFERROR(_xlfn.IFS(M2807="נח",1,M2807="נע ונח",1,M2807="שני שווא נח",2,M2807="שני שוואים בסוף מילה",2,M2807="שני שוואים ברצף",1),"0")</f>
        <v>0</v>
      </c>
      <c r="J2807" s="9">
        <f t="shared" si="179"/>
        <v>3</v>
      </c>
      <c r="K2807" t="s">
        <v>6697</v>
      </c>
      <c r="L2807" t="s">
        <v>6695</v>
      </c>
      <c r="O2807" t="s">
        <v>6694</v>
      </c>
      <c r="U2807" t="s">
        <v>6694</v>
      </c>
      <c r="W2807" t="s">
        <v>6720</v>
      </c>
    </row>
    <row r="2808" spans="1:23" ht="15.6" x14ac:dyDescent="0.4">
      <c r="A2808" s="2" t="s">
        <v>3625</v>
      </c>
      <c r="B2808" s="5" t="s">
        <v>9195</v>
      </c>
      <c r="C2808" s="7" t="s">
        <v>12556</v>
      </c>
      <c r="D2808" s="8">
        <f t="shared" si="176"/>
        <v>0</v>
      </c>
      <c r="E2808" s="7" t="s">
        <v>12557</v>
      </c>
      <c r="F2808" s="7">
        <f t="shared" si="177"/>
        <v>1</v>
      </c>
      <c r="G2808" s="7" t="s">
        <v>12558</v>
      </c>
      <c r="H2808" s="7">
        <f t="shared" si="178"/>
        <v>0</v>
      </c>
      <c r="I2808" s="7" cm="1">
        <f t="array" ref="I2808">IFERROR(_xlfn.IFS(M2808="נח",1,M2808="נע ונח",1,M2808="שני שווא נח",2,M2808="שני שוואים בסוף מילה",2,M2808="שני שוואים ברצף",1),"0")</f>
        <v>1</v>
      </c>
      <c r="J2808" s="9">
        <f t="shared" si="179"/>
        <v>3</v>
      </c>
      <c r="K2808" t="s">
        <v>6698</v>
      </c>
      <c r="L2808" t="s">
        <v>6694</v>
      </c>
      <c r="M2808" t="s">
        <v>6705</v>
      </c>
      <c r="O2808" t="s">
        <v>6694</v>
      </c>
      <c r="P2808" t="s">
        <v>6694</v>
      </c>
      <c r="W2808" t="s">
        <v>6720</v>
      </c>
    </row>
    <row r="2809" spans="1:23" ht="15.6" x14ac:dyDescent="0.4">
      <c r="A2809" s="2" t="s">
        <v>14</v>
      </c>
      <c r="B2809" s="5" t="s">
        <v>9196</v>
      </c>
      <c r="C2809" s="7" t="s">
        <v>12556</v>
      </c>
      <c r="D2809" s="8">
        <f t="shared" si="176"/>
        <v>0</v>
      </c>
      <c r="E2809" s="7" t="s">
        <v>12557</v>
      </c>
      <c r="F2809" s="7">
        <f t="shared" si="177"/>
        <v>1</v>
      </c>
      <c r="G2809" s="7" t="s">
        <v>12558</v>
      </c>
      <c r="H2809" s="7">
        <f t="shared" si="178"/>
        <v>1</v>
      </c>
      <c r="I2809" s="7" t="str" cm="1">
        <f t="array" ref="I2809">IFERROR(_xlfn.IFS(M2809="נח",1,M2809="נע ונח",1,M2809="שני שווא נח",2,M2809="שני שוואים בסוף מילה",2,M2809="שני שוואים ברצף",1),"0")</f>
        <v>0</v>
      </c>
      <c r="J2809" s="9">
        <f t="shared" si="179"/>
        <v>3</v>
      </c>
      <c r="K2809" t="s">
        <v>6697</v>
      </c>
      <c r="L2809" t="s">
        <v>6695</v>
      </c>
      <c r="O2809" t="s">
        <v>6694</v>
      </c>
      <c r="P2809" t="s">
        <v>6694</v>
      </c>
      <c r="U2809" t="s">
        <v>6694</v>
      </c>
      <c r="W2809" t="s">
        <v>6720</v>
      </c>
    </row>
    <row r="2810" spans="1:23" ht="15.6" x14ac:dyDescent="0.4">
      <c r="A2810" s="2" t="s">
        <v>5866</v>
      </c>
      <c r="B2810" s="5" t="s">
        <v>9197</v>
      </c>
      <c r="C2810" s="7" t="s">
        <v>12556</v>
      </c>
      <c r="D2810" s="8">
        <f t="shared" si="176"/>
        <v>0</v>
      </c>
      <c r="E2810" s="7" t="s">
        <v>12557</v>
      </c>
      <c r="F2810" s="7">
        <f t="shared" si="177"/>
        <v>1</v>
      </c>
      <c r="G2810" s="7" t="s">
        <v>12558</v>
      </c>
      <c r="H2810" s="7">
        <f t="shared" si="178"/>
        <v>0</v>
      </c>
      <c r="I2810" s="7" cm="1">
        <f t="array" ref="I2810">IFERROR(_xlfn.IFS(M2810="נח",1,M2810="נע ונח",1,M2810="שני שווא נח",2,M2810="שני שוואים בסוף מילה",2,M2810="שני שוואים ברצף",1),"0")</f>
        <v>1</v>
      </c>
      <c r="J2810" s="9">
        <f t="shared" si="179"/>
        <v>3</v>
      </c>
      <c r="K2810" t="s">
        <v>6697</v>
      </c>
      <c r="L2810" t="s">
        <v>6694</v>
      </c>
      <c r="M2810" t="s">
        <v>6705</v>
      </c>
      <c r="O2810" t="s">
        <v>6694</v>
      </c>
      <c r="P2810" t="s">
        <v>6694</v>
      </c>
      <c r="S2810" t="s">
        <v>6694</v>
      </c>
      <c r="W2810" t="s">
        <v>6720</v>
      </c>
    </row>
    <row r="2811" spans="1:23" ht="15.6" x14ac:dyDescent="0.4">
      <c r="A2811" s="2" t="s">
        <v>2542</v>
      </c>
      <c r="B2811" s="5" t="s">
        <v>9198</v>
      </c>
      <c r="C2811" s="7" t="s">
        <v>12556</v>
      </c>
      <c r="D2811" s="8">
        <f t="shared" si="176"/>
        <v>0</v>
      </c>
      <c r="E2811" s="7" t="s">
        <v>12557</v>
      </c>
      <c r="F2811" s="7">
        <f t="shared" si="177"/>
        <v>1</v>
      </c>
      <c r="G2811" s="7" t="s">
        <v>12558</v>
      </c>
      <c r="H2811" s="7">
        <f t="shared" si="178"/>
        <v>0</v>
      </c>
      <c r="I2811" s="7" cm="1">
        <f t="array" ref="I2811">IFERROR(_xlfn.IFS(M2811="נח",1,M2811="נע ונח",1,M2811="שני שווא נח",2,M2811="שני שוואים בסוף מילה",2,M2811="שני שוואים ברצף",1),"0")</f>
        <v>1</v>
      </c>
      <c r="J2811" s="9">
        <f t="shared" si="179"/>
        <v>3</v>
      </c>
      <c r="K2811" t="s">
        <v>6697</v>
      </c>
      <c r="L2811" t="s">
        <v>6694</v>
      </c>
      <c r="M2811" t="s">
        <v>6705</v>
      </c>
      <c r="O2811" t="s">
        <v>6694</v>
      </c>
      <c r="P2811" t="s">
        <v>6694</v>
      </c>
      <c r="S2811" t="s">
        <v>6694</v>
      </c>
      <c r="W2811" t="s">
        <v>6720</v>
      </c>
    </row>
    <row r="2812" spans="1:23" ht="15.6" x14ac:dyDescent="0.4">
      <c r="A2812" s="2" t="s">
        <v>4859</v>
      </c>
      <c r="B2812" s="5" t="s">
        <v>9199</v>
      </c>
      <c r="C2812" s="7" t="s">
        <v>12556</v>
      </c>
      <c r="D2812" s="8">
        <f t="shared" si="176"/>
        <v>0</v>
      </c>
      <c r="E2812" s="7" t="s">
        <v>12557</v>
      </c>
      <c r="F2812" s="7">
        <f t="shared" si="177"/>
        <v>0</v>
      </c>
      <c r="G2812" s="7" t="s">
        <v>12558</v>
      </c>
      <c r="H2812" s="7">
        <f t="shared" si="178"/>
        <v>0</v>
      </c>
      <c r="I2812" s="7" t="str" cm="1">
        <f t="array" ref="I2812">IFERROR(_xlfn.IFS(M2812="נח",1,M2812="נע ונח",1,M2812="שני שווא נח",2,M2812="שני שוואים בסוף מילה",2,M2812="שני שוואים ברצף",1),"0")</f>
        <v>0</v>
      </c>
      <c r="J2812" s="9">
        <f t="shared" si="179"/>
        <v>1</v>
      </c>
      <c r="K2812" t="s">
        <v>6698</v>
      </c>
      <c r="L2812" t="s">
        <v>6695</v>
      </c>
      <c r="N2812" t="s">
        <v>6706</v>
      </c>
      <c r="O2812" t="s">
        <v>6694</v>
      </c>
      <c r="W2812" t="s">
        <v>6720</v>
      </c>
    </row>
    <row r="2813" spans="1:23" ht="15.6" x14ac:dyDescent="0.4">
      <c r="A2813" s="2" t="s">
        <v>3978</v>
      </c>
      <c r="B2813" s="5" t="s">
        <v>9200</v>
      </c>
      <c r="C2813" s="7" t="s">
        <v>12556</v>
      </c>
      <c r="D2813" s="8">
        <f t="shared" si="176"/>
        <v>0</v>
      </c>
      <c r="E2813" s="7" t="s">
        <v>12557</v>
      </c>
      <c r="F2813" s="7">
        <f t="shared" si="177"/>
        <v>0</v>
      </c>
      <c r="G2813" s="7" t="s">
        <v>12558</v>
      </c>
      <c r="H2813" s="7">
        <f t="shared" si="178"/>
        <v>0</v>
      </c>
      <c r="I2813" s="7" t="str" cm="1">
        <f t="array" ref="I2813">IFERROR(_xlfn.IFS(M2813="נח",1,M2813="נע ונח",1,M2813="שני שווא נח",2,M2813="שני שוואים בסוף מילה",2,M2813="שני שוואים ברצף",1),"0")</f>
        <v>0</v>
      </c>
      <c r="J2813" s="9">
        <f t="shared" si="179"/>
        <v>2</v>
      </c>
      <c r="K2813" t="s">
        <v>6698</v>
      </c>
      <c r="L2813" t="s">
        <v>6695</v>
      </c>
      <c r="O2813" t="s">
        <v>6694</v>
      </c>
      <c r="S2813" t="s">
        <v>6694</v>
      </c>
      <c r="W2813" t="s">
        <v>6720</v>
      </c>
    </row>
    <row r="2814" spans="1:23" ht="15.6" x14ac:dyDescent="0.4">
      <c r="A2814" s="2" t="s">
        <v>1191</v>
      </c>
      <c r="B2814" s="5" t="s">
        <v>9201</v>
      </c>
      <c r="C2814" s="7" t="s">
        <v>12556</v>
      </c>
      <c r="D2814" s="8">
        <f t="shared" si="176"/>
        <v>0</v>
      </c>
      <c r="E2814" s="7" t="s">
        <v>12557</v>
      </c>
      <c r="F2814" s="7">
        <f t="shared" si="177"/>
        <v>0</v>
      </c>
      <c r="G2814" s="7" t="s">
        <v>12558</v>
      </c>
      <c r="H2814" s="7">
        <f t="shared" si="178"/>
        <v>0</v>
      </c>
      <c r="I2814" s="7" t="str" cm="1">
        <f t="array" ref="I2814">IFERROR(_xlfn.IFS(M2814="נח",1,M2814="נע ונח",1,M2814="שני שווא נח",2,M2814="שני שוואים בסוף מילה",2,M2814="שני שוואים ברצף",1),"0")</f>
        <v>0</v>
      </c>
      <c r="J2814" s="9">
        <f t="shared" si="179"/>
        <v>2</v>
      </c>
      <c r="K2814" t="s">
        <v>6698</v>
      </c>
      <c r="L2814" t="s">
        <v>6695</v>
      </c>
      <c r="O2814" t="s">
        <v>6694</v>
      </c>
      <c r="P2814" t="s">
        <v>6694</v>
      </c>
      <c r="W2814" t="s">
        <v>6720</v>
      </c>
    </row>
    <row r="2815" spans="1:23" ht="15.6" x14ac:dyDescent="0.4">
      <c r="A2815" s="2" t="s">
        <v>2222</v>
      </c>
      <c r="B2815" s="5" t="s">
        <v>9183</v>
      </c>
      <c r="C2815" s="7" t="s">
        <v>12556</v>
      </c>
      <c r="D2815" s="8">
        <f t="shared" si="176"/>
        <v>0</v>
      </c>
      <c r="E2815" s="7" t="s">
        <v>12557</v>
      </c>
      <c r="F2815" s="7">
        <f t="shared" si="177"/>
        <v>0</v>
      </c>
      <c r="G2815" s="7" t="s">
        <v>12558</v>
      </c>
      <c r="H2815" s="7">
        <f t="shared" si="178"/>
        <v>0</v>
      </c>
      <c r="I2815" s="7" t="str" cm="1">
        <f t="array" ref="I2815">IFERROR(_xlfn.IFS(M2815="נח",1,M2815="נע ונח",1,M2815="שני שווא נח",2,M2815="שני שוואים בסוף מילה",2,M2815="שני שוואים ברצף",1),"0")</f>
        <v>0</v>
      </c>
      <c r="J2815" s="9">
        <f t="shared" si="179"/>
        <v>3</v>
      </c>
      <c r="K2815" t="s">
        <v>6697</v>
      </c>
      <c r="L2815" t="s">
        <v>6695</v>
      </c>
      <c r="O2815" t="s">
        <v>6694</v>
      </c>
      <c r="P2815" t="s">
        <v>6694</v>
      </c>
      <c r="T2815" t="s">
        <v>6694</v>
      </c>
      <c r="W2815" t="s">
        <v>6720</v>
      </c>
    </row>
    <row r="2816" spans="1:23" ht="15.6" x14ac:dyDescent="0.4">
      <c r="A2816" s="2" t="s">
        <v>2706</v>
      </c>
      <c r="B2816" s="5" t="s">
        <v>9202</v>
      </c>
      <c r="C2816" s="7" t="s">
        <v>12556</v>
      </c>
      <c r="D2816" s="8">
        <f t="shared" si="176"/>
        <v>0</v>
      </c>
      <c r="E2816" s="7" t="s">
        <v>12557</v>
      </c>
      <c r="F2816" s="7">
        <f t="shared" si="177"/>
        <v>0</v>
      </c>
      <c r="G2816" s="7" t="s">
        <v>12558</v>
      </c>
      <c r="H2816" s="7">
        <f t="shared" si="178"/>
        <v>0</v>
      </c>
      <c r="I2816" s="7" t="str" cm="1">
        <f t="array" ref="I2816">IFERROR(_xlfn.IFS(M2816="נח",1,M2816="נע ונח",1,M2816="שני שווא נח",2,M2816="שני שוואים בסוף מילה",2,M2816="שני שוואים ברצף",1),"0")</f>
        <v>0</v>
      </c>
      <c r="J2816" s="9">
        <f t="shared" si="179"/>
        <v>1</v>
      </c>
      <c r="K2816" t="s">
        <v>6698</v>
      </c>
      <c r="L2816" t="s">
        <v>6695</v>
      </c>
      <c r="V2816" t="s">
        <v>6694</v>
      </c>
      <c r="W2816" t="s">
        <v>6720</v>
      </c>
    </row>
    <row r="2817" spans="1:23" ht="15.6" x14ac:dyDescent="0.4">
      <c r="A2817" s="2" t="s">
        <v>5346</v>
      </c>
      <c r="B2817" s="5" t="s">
        <v>9157</v>
      </c>
      <c r="C2817" s="7" t="s">
        <v>12556</v>
      </c>
      <c r="D2817" s="8">
        <f t="shared" si="176"/>
        <v>0</v>
      </c>
      <c r="E2817" s="7" t="s">
        <v>12557</v>
      </c>
      <c r="F2817" s="7">
        <f t="shared" si="177"/>
        <v>0</v>
      </c>
      <c r="G2817" s="7" t="s">
        <v>12558</v>
      </c>
      <c r="H2817" s="7">
        <f t="shared" si="178"/>
        <v>0</v>
      </c>
      <c r="I2817" s="7" t="str" cm="1">
        <f t="array" ref="I2817">IFERROR(_xlfn.IFS(M2817="נח",1,M2817="נע ונח",1,M2817="שני שווא נח",2,M2817="שני שוואים בסוף מילה",2,M2817="שני שוואים ברצף",1),"0")</f>
        <v>0</v>
      </c>
      <c r="J2817" s="9">
        <f t="shared" si="179"/>
        <v>3</v>
      </c>
      <c r="K2817" t="s">
        <v>6697</v>
      </c>
      <c r="L2817" t="s">
        <v>6695</v>
      </c>
      <c r="N2817" t="s">
        <v>6707</v>
      </c>
      <c r="P2817" t="s">
        <v>6694</v>
      </c>
      <c r="Q2817" t="s">
        <v>6694</v>
      </c>
      <c r="V2817" t="s">
        <v>6694</v>
      </c>
      <c r="W2817" t="s">
        <v>6720</v>
      </c>
    </row>
    <row r="2818" spans="1:23" ht="15.6" x14ac:dyDescent="0.4">
      <c r="A2818" s="2" t="s">
        <v>2504</v>
      </c>
      <c r="B2818" s="5" t="s">
        <v>9203</v>
      </c>
      <c r="C2818" s="7" t="s">
        <v>12556</v>
      </c>
      <c r="D2818" s="8">
        <f t="shared" si="176"/>
        <v>0</v>
      </c>
      <c r="E2818" s="7" t="s">
        <v>12557</v>
      </c>
      <c r="F2818" s="7">
        <f t="shared" si="177"/>
        <v>0</v>
      </c>
      <c r="G2818" s="7" t="s">
        <v>12558</v>
      </c>
      <c r="H2818" s="7">
        <f t="shared" si="178"/>
        <v>0</v>
      </c>
      <c r="I2818" s="7" t="str" cm="1">
        <f t="array" ref="I2818">IFERROR(_xlfn.IFS(M2818="נח",1,M2818="נע ונח",1,M2818="שני שווא נח",2,M2818="שני שוואים בסוף מילה",2,M2818="שני שוואים ברצף",1),"0")</f>
        <v>0</v>
      </c>
      <c r="J2818" s="9">
        <f t="shared" si="179"/>
        <v>2</v>
      </c>
      <c r="K2818" t="s">
        <v>6698</v>
      </c>
      <c r="L2818" t="s">
        <v>6695</v>
      </c>
      <c r="Q2818" t="s">
        <v>6694</v>
      </c>
      <c r="V2818" t="s">
        <v>6694</v>
      </c>
      <c r="W2818" t="s">
        <v>6720</v>
      </c>
    </row>
    <row r="2819" spans="1:23" ht="15.6" x14ac:dyDescent="0.4">
      <c r="A2819" s="2" t="s">
        <v>1325</v>
      </c>
      <c r="B2819" s="5" t="s">
        <v>9204</v>
      </c>
      <c r="C2819" s="7" t="s">
        <v>12556</v>
      </c>
      <c r="D2819" s="8">
        <f t="shared" ref="D2819:D2882" si="180">(LEN(B2819)-LEN(SUBSTITUTE(B2819,C2819,"")))</f>
        <v>0</v>
      </c>
      <c r="E2819" s="7" t="s">
        <v>12557</v>
      </c>
      <c r="F2819" s="7">
        <f t="shared" ref="F2819:F2882" si="181">(LEN(A2819)-LEN(SUBSTITUTE(A2819,E2819,"")))</f>
        <v>0</v>
      </c>
      <c r="G2819" s="7" t="s">
        <v>12558</v>
      </c>
      <c r="H2819" s="7">
        <f t="shared" ref="H2819:H2882" si="182">(LEN(A2819)-LEN(SUBSTITUTE(A2819,G2819,"")))/2</f>
        <v>0</v>
      </c>
      <c r="I2819" s="7" t="str" cm="1">
        <f t="array" ref="I2819">IFERROR(_xlfn.IFS(M2819="נח",1,M2819="נע ונח",1,M2819="שני שווא נח",2,M2819="שני שוואים בסוף מילה",2,M2819="שני שוואים ברצף",1),"0")</f>
        <v>0</v>
      </c>
      <c r="J2819" s="9">
        <f t="shared" ref="J2819:J2882" si="183">LEN(A2819)-(LEN(B2819))-D2819-F2819+H2819-I2819</f>
        <v>2</v>
      </c>
      <c r="K2819" t="s">
        <v>6698</v>
      </c>
      <c r="L2819" t="s">
        <v>6695</v>
      </c>
      <c r="Q2819" t="s">
        <v>6694</v>
      </c>
      <c r="V2819" t="s">
        <v>6694</v>
      </c>
      <c r="W2819" t="s">
        <v>6720</v>
      </c>
    </row>
    <row r="2820" spans="1:23" ht="15.6" x14ac:dyDescent="0.4">
      <c r="A2820" s="2" t="s">
        <v>4765</v>
      </c>
      <c r="B2820" s="5" t="s">
        <v>9205</v>
      </c>
      <c r="C2820" s="7" t="s">
        <v>12556</v>
      </c>
      <c r="D2820" s="8">
        <f t="shared" si="180"/>
        <v>0</v>
      </c>
      <c r="E2820" s="7" t="s">
        <v>12557</v>
      </c>
      <c r="F2820" s="7">
        <f t="shared" si="181"/>
        <v>1</v>
      </c>
      <c r="G2820" s="7" t="s">
        <v>12558</v>
      </c>
      <c r="H2820" s="7">
        <f t="shared" si="182"/>
        <v>1</v>
      </c>
      <c r="I2820" s="7" cm="1">
        <f t="array" ref="I2820">IFERROR(_xlfn.IFS(M2820="נח",1,M2820="נע ונח",1,M2820="שני שווא נח",2,M2820="שני שוואים בסוף מילה",2,M2820="שני שוואים ברצף",1),"0")</f>
        <v>1</v>
      </c>
      <c r="J2820" s="9">
        <f t="shared" si="183"/>
        <v>2</v>
      </c>
      <c r="K2820" t="s">
        <v>6697</v>
      </c>
      <c r="L2820" t="s">
        <v>6694</v>
      </c>
      <c r="M2820" t="s">
        <v>6705</v>
      </c>
      <c r="U2820" t="s">
        <v>6694</v>
      </c>
      <c r="V2820" t="s">
        <v>6694</v>
      </c>
      <c r="W2820" t="s">
        <v>6720</v>
      </c>
    </row>
    <row r="2821" spans="1:23" ht="15.6" x14ac:dyDescent="0.4">
      <c r="A2821" s="2" t="s">
        <v>4134</v>
      </c>
      <c r="B2821" s="5" t="s">
        <v>9206</v>
      </c>
      <c r="C2821" s="7" t="s">
        <v>12556</v>
      </c>
      <c r="D2821" s="8">
        <f t="shared" si="180"/>
        <v>0</v>
      </c>
      <c r="E2821" s="7" t="s">
        <v>12557</v>
      </c>
      <c r="F2821" s="7">
        <f t="shared" si="181"/>
        <v>1</v>
      </c>
      <c r="G2821" s="7" t="s">
        <v>12558</v>
      </c>
      <c r="H2821" s="7">
        <f t="shared" si="182"/>
        <v>1</v>
      </c>
      <c r="I2821" s="7" t="str" cm="1">
        <f t="array" ref="I2821">IFERROR(_xlfn.IFS(M2821="נח",1,M2821="נע ונח",1,M2821="שני שווא נח",2,M2821="שני שוואים בסוף מילה",2,M2821="שני שוואים ברצף",1),"0")</f>
        <v>0</v>
      </c>
      <c r="J2821" s="9">
        <f t="shared" si="183"/>
        <v>2</v>
      </c>
      <c r="K2821" t="s">
        <v>6697</v>
      </c>
      <c r="L2821" t="s">
        <v>6695</v>
      </c>
      <c r="U2821" t="s">
        <v>6694</v>
      </c>
      <c r="V2821" t="s">
        <v>6694</v>
      </c>
      <c r="W2821" t="s">
        <v>6720</v>
      </c>
    </row>
    <row r="2822" spans="1:23" ht="15.6" x14ac:dyDescent="0.4">
      <c r="A2822" s="2" t="s">
        <v>1843</v>
      </c>
      <c r="B2822" s="5" t="s">
        <v>9207</v>
      </c>
      <c r="C2822" s="7" t="s">
        <v>12556</v>
      </c>
      <c r="D2822" s="8">
        <f t="shared" si="180"/>
        <v>0</v>
      </c>
      <c r="E2822" s="7" t="s">
        <v>12557</v>
      </c>
      <c r="F2822" s="7">
        <f t="shared" si="181"/>
        <v>2</v>
      </c>
      <c r="G2822" s="7" t="s">
        <v>12558</v>
      </c>
      <c r="H2822" s="7">
        <f t="shared" si="182"/>
        <v>1</v>
      </c>
      <c r="I2822" s="7" t="str" cm="1">
        <f t="array" ref="I2822">IFERROR(_xlfn.IFS(M2822="נח",1,M2822="נע ונח",1,M2822="שני שווא נח",2,M2822="שני שוואים בסוף מילה",2,M2822="שני שוואים ברצף",1),"0")</f>
        <v>0</v>
      </c>
      <c r="J2822" s="9">
        <f t="shared" si="183"/>
        <v>2</v>
      </c>
      <c r="K2822" t="s">
        <v>6698</v>
      </c>
      <c r="L2822" t="s">
        <v>6695</v>
      </c>
      <c r="T2822" t="s">
        <v>6694</v>
      </c>
      <c r="U2822" t="s">
        <v>6694</v>
      </c>
      <c r="W2822" t="s">
        <v>6720</v>
      </c>
    </row>
    <row r="2823" spans="1:23" ht="15.6" x14ac:dyDescent="0.4">
      <c r="A2823" s="2" t="s">
        <v>1746</v>
      </c>
      <c r="B2823" s="5" t="s">
        <v>9202</v>
      </c>
      <c r="C2823" s="7" t="s">
        <v>12556</v>
      </c>
      <c r="D2823" s="8">
        <f t="shared" si="180"/>
        <v>0</v>
      </c>
      <c r="E2823" s="7" t="s">
        <v>12557</v>
      </c>
      <c r="F2823" s="7">
        <f t="shared" si="181"/>
        <v>1</v>
      </c>
      <c r="G2823" s="7" t="s">
        <v>12558</v>
      </c>
      <c r="H2823" s="7">
        <f t="shared" si="182"/>
        <v>0</v>
      </c>
      <c r="I2823" s="7" t="str" cm="1">
        <f t="array" ref="I2823">IFERROR(_xlfn.IFS(M2823="נח",1,M2823="נע ונח",1,M2823="שני שווא נח",2,M2823="שני שוואים בסוף מילה",2,M2823="שני שוואים ברצף",1),"0")</f>
        <v>0</v>
      </c>
      <c r="J2823" s="9">
        <f t="shared" si="183"/>
        <v>1</v>
      </c>
      <c r="K2823" t="s">
        <v>6698</v>
      </c>
      <c r="L2823" t="s">
        <v>6695</v>
      </c>
      <c r="V2823" t="s">
        <v>6694</v>
      </c>
      <c r="W2823" t="s">
        <v>6720</v>
      </c>
    </row>
    <row r="2824" spans="1:23" ht="15.6" x14ac:dyDescent="0.4">
      <c r="A2824" s="2" t="s">
        <v>5447</v>
      </c>
      <c r="B2824" s="5" t="s">
        <v>9208</v>
      </c>
      <c r="C2824" s="7" t="s">
        <v>12556</v>
      </c>
      <c r="D2824" s="8">
        <f t="shared" si="180"/>
        <v>0</v>
      </c>
      <c r="E2824" s="7" t="s">
        <v>12557</v>
      </c>
      <c r="F2824" s="7">
        <f t="shared" si="181"/>
        <v>0</v>
      </c>
      <c r="G2824" s="7" t="s">
        <v>12558</v>
      </c>
      <c r="H2824" s="7">
        <f t="shared" si="182"/>
        <v>0</v>
      </c>
      <c r="I2824" s="7" t="str" cm="1">
        <f t="array" ref="I2824">IFERROR(_xlfn.IFS(M2824="נח",1,M2824="נע ונח",1,M2824="שני שווא נח",2,M2824="שני שוואים בסוף מילה",2,M2824="שני שוואים ברצף",1),"0")</f>
        <v>0</v>
      </c>
      <c r="J2824" s="9">
        <f t="shared" si="183"/>
        <v>2</v>
      </c>
      <c r="K2824" t="s">
        <v>6697</v>
      </c>
      <c r="L2824" t="s">
        <v>6695</v>
      </c>
      <c r="R2824" t="s">
        <v>6694</v>
      </c>
      <c r="V2824" t="s">
        <v>6694</v>
      </c>
      <c r="W2824" t="s">
        <v>6720</v>
      </c>
    </row>
    <row r="2825" spans="1:23" ht="15.6" x14ac:dyDescent="0.4">
      <c r="A2825" s="2" t="s">
        <v>1839</v>
      </c>
      <c r="B2825" s="5" t="s">
        <v>9209</v>
      </c>
      <c r="C2825" s="7" t="s">
        <v>12556</v>
      </c>
      <c r="D2825" s="8">
        <f t="shared" si="180"/>
        <v>0</v>
      </c>
      <c r="E2825" s="7" t="s">
        <v>12557</v>
      </c>
      <c r="F2825" s="7">
        <f t="shared" si="181"/>
        <v>1</v>
      </c>
      <c r="G2825" s="7" t="s">
        <v>12558</v>
      </c>
      <c r="H2825" s="7">
        <f t="shared" si="182"/>
        <v>1</v>
      </c>
      <c r="I2825" s="7" t="str" cm="1">
        <f t="array" ref="I2825">IFERROR(_xlfn.IFS(M2825="נח",1,M2825="נע ונח",1,M2825="שני שווא נח",2,M2825="שני שוואים בסוף מילה",2,M2825="שני שוואים ברצף",1),"0")</f>
        <v>0</v>
      </c>
      <c r="J2825" s="9">
        <f t="shared" si="183"/>
        <v>1</v>
      </c>
      <c r="K2825" t="s">
        <v>6697</v>
      </c>
      <c r="L2825" t="s">
        <v>6695</v>
      </c>
      <c r="U2825" t="s">
        <v>6694</v>
      </c>
      <c r="W2825" t="s">
        <v>6720</v>
      </c>
    </row>
    <row r="2826" spans="1:23" ht="15.6" x14ac:dyDescent="0.4">
      <c r="A2826" s="2" t="s">
        <v>2042</v>
      </c>
      <c r="B2826" s="5" t="s">
        <v>9210</v>
      </c>
      <c r="C2826" s="7" t="s">
        <v>12556</v>
      </c>
      <c r="D2826" s="8">
        <f t="shared" si="180"/>
        <v>0</v>
      </c>
      <c r="E2826" s="7" t="s">
        <v>12557</v>
      </c>
      <c r="F2826" s="7">
        <f t="shared" si="181"/>
        <v>1</v>
      </c>
      <c r="G2826" s="7" t="s">
        <v>12558</v>
      </c>
      <c r="H2826" s="7">
        <f t="shared" si="182"/>
        <v>1</v>
      </c>
      <c r="I2826" s="7" t="str" cm="1">
        <f t="array" ref="I2826">IFERROR(_xlfn.IFS(M2826="נח",1,M2826="נע ונח",1,M2826="שני שווא נח",2,M2826="שני שוואים בסוף מילה",2,M2826="שני שוואים ברצף",1),"0")</f>
        <v>0</v>
      </c>
      <c r="J2826" s="9">
        <f t="shared" si="183"/>
        <v>3</v>
      </c>
      <c r="K2826" t="s">
        <v>6697</v>
      </c>
      <c r="L2826" t="s">
        <v>6695</v>
      </c>
      <c r="O2826" t="s">
        <v>6694</v>
      </c>
      <c r="S2826" t="s">
        <v>6694</v>
      </c>
      <c r="U2826" t="s">
        <v>6694</v>
      </c>
      <c r="W2826" t="s">
        <v>6720</v>
      </c>
    </row>
    <row r="2827" spans="1:23" ht="15.6" x14ac:dyDescent="0.4">
      <c r="A2827" s="2" t="s">
        <v>3045</v>
      </c>
      <c r="B2827" s="5" t="s">
        <v>9211</v>
      </c>
      <c r="C2827" s="7" t="s">
        <v>12556</v>
      </c>
      <c r="D2827" s="8">
        <f t="shared" si="180"/>
        <v>0</v>
      </c>
      <c r="E2827" s="7" t="s">
        <v>12557</v>
      </c>
      <c r="F2827" s="7">
        <f t="shared" si="181"/>
        <v>0</v>
      </c>
      <c r="G2827" s="7" t="s">
        <v>12558</v>
      </c>
      <c r="H2827" s="7">
        <f t="shared" si="182"/>
        <v>0</v>
      </c>
      <c r="I2827" s="7" t="str" cm="1">
        <f t="array" ref="I2827">IFERROR(_xlfn.IFS(M2827="נח",1,M2827="נע ונח",1,M2827="שני שווא נח",2,M2827="שני שוואים בסוף מילה",2,M2827="שני שוואים ברצף",1),"0")</f>
        <v>0</v>
      </c>
      <c r="J2827" s="9">
        <f t="shared" si="183"/>
        <v>3</v>
      </c>
      <c r="K2827" t="s">
        <v>6698</v>
      </c>
      <c r="L2827" t="s">
        <v>6695</v>
      </c>
      <c r="O2827" t="s">
        <v>6694</v>
      </c>
      <c r="P2827" t="s">
        <v>6694</v>
      </c>
      <c r="S2827" t="s">
        <v>6694</v>
      </c>
      <c r="W2827" t="s">
        <v>6720</v>
      </c>
    </row>
    <row r="2828" spans="1:23" ht="15.6" x14ac:dyDescent="0.4">
      <c r="A2828" s="2" t="s">
        <v>4145</v>
      </c>
      <c r="B2828" s="5" t="s">
        <v>9212</v>
      </c>
      <c r="C2828" s="7" t="s">
        <v>12556</v>
      </c>
      <c r="D2828" s="8">
        <f t="shared" si="180"/>
        <v>0</v>
      </c>
      <c r="E2828" s="7" t="s">
        <v>12557</v>
      </c>
      <c r="F2828" s="7">
        <f t="shared" si="181"/>
        <v>0</v>
      </c>
      <c r="G2828" s="7" t="s">
        <v>12558</v>
      </c>
      <c r="H2828" s="7">
        <f t="shared" si="182"/>
        <v>0</v>
      </c>
      <c r="I2828" s="7" t="str" cm="1">
        <f t="array" ref="I2828">IFERROR(_xlfn.IFS(M2828="נח",1,M2828="נע ונח",1,M2828="שני שווא נח",2,M2828="שני שוואים בסוף מילה",2,M2828="שני שוואים ברצף",1),"0")</f>
        <v>0</v>
      </c>
      <c r="J2828" s="9">
        <f t="shared" si="183"/>
        <v>3</v>
      </c>
      <c r="K2828" t="s">
        <v>6698</v>
      </c>
      <c r="L2828" t="s">
        <v>6695</v>
      </c>
      <c r="O2828" t="s">
        <v>6694</v>
      </c>
      <c r="P2828" t="s">
        <v>6694</v>
      </c>
      <c r="S2828" t="s">
        <v>6694</v>
      </c>
      <c r="W2828" t="s">
        <v>6720</v>
      </c>
    </row>
    <row r="2829" spans="1:23" ht="15.6" x14ac:dyDescent="0.4">
      <c r="A2829" s="2" t="s">
        <v>3688</v>
      </c>
      <c r="B2829" s="5" t="s">
        <v>9213</v>
      </c>
      <c r="C2829" s="7" t="s">
        <v>12556</v>
      </c>
      <c r="D2829" s="8">
        <f t="shared" si="180"/>
        <v>0</v>
      </c>
      <c r="E2829" s="7" t="s">
        <v>12557</v>
      </c>
      <c r="F2829" s="7">
        <f t="shared" si="181"/>
        <v>0</v>
      </c>
      <c r="G2829" s="7" t="s">
        <v>12558</v>
      </c>
      <c r="H2829" s="7">
        <f t="shared" si="182"/>
        <v>0</v>
      </c>
      <c r="I2829" s="7" t="str" cm="1">
        <f t="array" ref="I2829">IFERROR(_xlfn.IFS(M2829="נח",1,M2829="נע ונח",1,M2829="שני שווא נח",2,M2829="שני שוואים בסוף מילה",2,M2829="שני שוואים ברצף",1),"0")</f>
        <v>0</v>
      </c>
      <c r="J2829" s="9">
        <f t="shared" si="183"/>
        <v>2</v>
      </c>
      <c r="K2829" t="s">
        <v>6698</v>
      </c>
      <c r="L2829" t="s">
        <v>6695</v>
      </c>
      <c r="P2829" t="s">
        <v>6694</v>
      </c>
      <c r="V2829" t="s">
        <v>6694</v>
      </c>
      <c r="W2829" t="s">
        <v>6720</v>
      </c>
    </row>
    <row r="2830" spans="1:23" ht="15.6" x14ac:dyDescent="0.4">
      <c r="A2830" s="2" t="s">
        <v>4817</v>
      </c>
      <c r="B2830" s="5" t="s">
        <v>9214</v>
      </c>
      <c r="C2830" s="7" t="s">
        <v>12556</v>
      </c>
      <c r="D2830" s="8">
        <f t="shared" si="180"/>
        <v>0</v>
      </c>
      <c r="E2830" s="7" t="s">
        <v>12557</v>
      </c>
      <c r="F2830" s="7">
        <f t="shared" si="181"/>
        <v>0</v>
      </c>
      <c r="G2830" s="7" t="s">
        <v>12558</v>
      </c>
      <c r="H2830" s="7">
        <f t="shared" si="182"/>
        <v>0</v>
      </c>
      <c r="I2830" s="7" t="str" cm="1">
        <f t="array" ref="I2830">IFERROR(_xlfn.IFS(M2830="נח",1,M2830="נע ונח",1,M2830="שני שווא נח",2,M2830="שני שוואים בסוף מילה",2,M2830="שני שוואים ברצף",1),"0")</f>
        <v>0</v>
      </c>
      <c r="J2830" s="9">
        <f t="shared" si="183"/>
        <v>2</v>
      </c>
      <c r="K2830" t="s">
        <v>6698</v>
      </c>
      <c r="L2830" t="s">
        <v>6695</v>
      </c>
      <c r="P2830" t="s">
        <v>6694</v>
      </c>
      <c r="S2830" t="s">
        <v>6694</v>
      </c>
      <c r="W2830" t="s">
        <v>6720</v>
      </c>
    </row>
    <row r="2831" spans="1:23" ht="15.6" x14ac:dyDescent="0.4">
      <c r="A2831" s="2" t="s">
        <v>5357</v>
      </c>
      <c r="B2831" s="5" t="s">
        <v>9215</v>
      </c>
      <c r="C2831" s="7" t="s">
        <v>12556</v>
      </c>
      <c r="D2831" s="8">
        <f t="shared" si="180"/>
        <v>0</v>
      </c>
      <c r="E2831" s="7" t="s">
        <v>12557</v>
      </c>
      <c r="F2831" s="7">
        <f t="shared" si="181"/>
        <v>0</v>
      </c>
      <c r="G2831" s="7" t="s">
        <v>12558</v>
      </c>
      <c r="H2831" s="7">
        <f t="shared" si="182"/>
        <v>0</v>
      </c>
      <c r="I2831" s="7" t="str" cm="1">
        <f t="array" ref="I2831">IFERROR(_xlfn.IFS(M2831="נח",1,M2831="נע ונח",1,M2831="שני שווא נח",2,M2831="שני שוואים בסוף מילה",2,M2831="שני שוואים ברצף",1),"0")</f>
        <v>0</v>
      </c>
      <c r="J2831" s="9">
        <f t="shared" si="183"/>
        <v>4</v>
      </c>
      <c r="K2831" t="s">
        <v>6697</v>
      </c>
      <c r="L2831" t="s">
        <v>6695</v>
      </c>
      <c r="O2831" t="s">
        <v>6694</v>
      </c>
      <c r="P2831" t="s">
        <v>6694</v>
      </c>
      <c r="S2831" t="s">
        <v>6694</v>
      </c>
      <c r="W2831" t="s">
        <v>6720</v>
      </c>
    </row>
    <row r="2832" spans="1:23" ht="15.6" x14ac:dyDescent="0.4">
      <c r="A2832" s="2" t="s">
        <v>2657</v>
      </c>
      <c r="B2832" s="5" t="s">
        <v>9216</v>
      </c>
      <c r="C2832" s="7" t="s">
        <v>12556</v>
      </c>
      <c r="D2832" s="8">
        <f t="shared" si="180"/>
        <v>0</v>
      </c>
      <c r="E2832" s="7" t="s">
        <v>12557</v>
      </c>
      <c r="F2832" s="7">
        <f t="shared" si="181"/>
        <v>0</v>
      </c>
      <c r="G2832" s="7" t="s">
        <v>12558</v>
      </c>
      <c r="H2832" s="7">
        <f t="shared" si="182"/>
        <v>0</v>
      </c>
      <c r="I2832" s="7" t="str" cm="1">
        <f t="array" ref="I2832">IFERROR(_xlfn.IFS(M2832="נח",1,M2832="נע ונח",1,M2832="שני שווא נח",2,M2832="שני שוואים בסוף מילה",2,M2832="שני שוואים ברצף",1),"0")</f>
        <v>0</v>
      </c>
      <c r="J2832" s="9">
        <f t="shared" si="183"/>
        <v>2</v>
      </c>
      <c r="K2832" t="s">
        <v>6698</v>
      </c>
      <c r="L2832" t="s">
        <v>6695</v>
      </c>
      <c r="P2832" t="s">
        <v>6694</v>
      </c>
      <c r="W2832" t="s">
        <v>6720</v>
      </c>
    </row>
    <row r="2833" spans="1:23" ht="15.6" x14ac:dyDescent="0.4">
      <c r="A2833" s="2" t="s">
        <v>1785</v>
      </c>
      <c r="B2833" s="5" t="s">
        <v>9217</v>
      </c>
      <c r="C2833" s="7" t="s">
        <v>12556</v>
      </c>
      <c r="D2833" s="8">
        <f t="shared" si="180"/>
        <v>0</v>
      </c>
      <c r="E2833" s="7" t="s">
        <v>12557</v>
      </c>
      <c r="F2833" s="7">
        <f t="shared" si="181"/>
        <v>0</v>
      </c>
      <c r="G2833" s="7" t="s">
        <v>12558</v>
      </c>
      <c r="H2833" s="7">
        <f t="shared" si="182"/>
        <v>0</v>
      </c>
      <c r="I2833" s="7" t="str" cm="1">
        <f t="array" ref="I2833">IFERROR(_xlfn.IFS(M2833="נח",1,M2833="נע ונח",1,M2833="שני שווא נח",2,M2833="שני שוואים בסוף מילה",2,M2833="שני שוואים ברצף",1),"0")</f>
        <v>0</v>
      </c>
      <c r="J2833" s="9">
        <f t="shared" si="183"/>
        <v>3</v>
      </c>
      <c r="K2833" t="s">
        <v>6697</v>
      </c>
      <c r="L2833" t="s">
        <v>6695</v>
      </c>
      <c r="O2833" t="s">
        <v>6694</v>
      </c>
      <c r="P2833" t="s">
        <v>6694</v>
      </c>
      <c r="W2833" t="s">
        <v>6720</v>
      </c>
    </row>
    <row r="2834" spans="1:23" ht="15.6" x14ac:dyDescent="0.4">
      <c r="A2834" s="2" t="s">
        <v>3785</v>
      </c>
      <c r="B2834" s="5" t="s">
        <v>9218</v>
      </c>
      <c r="C2834" s="7" t="s">
        <v>12556</v>
      </c>
      <c r="D2834" s="8">
        <f t="shared" si="180"/>
        <v>0</v>
      </c>
      <c r="E2834" s="7" t="s">
        <v>12557</v>
      </c>
      <c r="F2834" s="7">
        <f t="shared" si="181"/>
        <v>1</v>
      </c>
      <c r="G2834" s="7" t="s">
        <v>12558</v>
      </c>
      <c r="H2834" s="7">
        <f t="shared" si="182"/>
        <v>1</v>
      </c>
      <c r="I2834" s="7" t="str" cm="1">
        <f t="array" ref="I2834">IFERROR(_xlfn.IFS(M2834="נח",1,M2834="נע ונח",1,M2834="שני שווא נח",2,M2834="שני שוואים בסוף מילה",2,M2834="שני שוואים ברצף",1),"0")</f>
        <v>0</v>
      </c>
      <c r="J2834" s="9">
        <f t="shared" si="183"/>
        <v>2</v>
      </c>
      <c r="K2834" t="s">
        <v>6697</v>
      </c>
      <c r="L2834" t="s">
        <v>6695</v>
      </c>
      <c r="P2834" t="s">
        <v>6694</v>
      </c>
      <c r="U2834" t="s">
        <v>6694</v>
      </c>
      <c r="W2834" t="s">
        <v>6720</v>
      </c>
    </row>
    <row r="2835" spans="1:23" ht="15.6" x14ac:dyDescent="0.4">
      <c r="A2835" s="2" t="s">
        <v>6261</v>
      </c>
      <c r="B2835" s="5" t="s">
        <v>9219</v>
      </c>
      <c r="C2835" s="7" t="s">
        <v>12556</v>
      </c>
      <c r="D2835" s="8">
        <f t="shared" si="180"/>
        <v>0</v>
      </c>
      <c r="E2835" s="7" t="s">
        <v>12557</v>
      </c>
      <c r="F2835" s="7">
        <f t="shared" si="181"/>
        <v>0</v>
      </c>
      <c r="G2835" s="7" t="s">
        <v>12558</v>
      </c>
      <c r="H2835" s="7">
        <f t="shared" si="182"/>
        <v>0</v>
      </c>
      <c r="I2835" s="7" t="str" cm="1">
        <f t="array" ref="I2835">IFERROR(_xlfn.IFS(M2835="נח",1,M2835="נע ונח",1,M2835="שני שווא נח",2,M2835="שני שוואים בסוף מילה",2,M2835="שני שוואים ברצף",1),"0")</f>
        <v>0</v>
      </c>
      <c r="J2835" s="9">
        <f t="shared" si="183"/>
        <v>3</v>
      </c>
      <c r="K2835" t="s">
        <v>6697</v>
      </c>
      <c r="L2835" t="s">
        <v>6695</v>
      </c>
      <c r="O2835" t="s">
        <v>6694</v>
      </c>
      <c r="P2835" t="s">
        <v>6694</v>
      </c>
      <c r="W2835" t="s">
        <v>6720</v>
      </c>
    </row>
    <row r="2836" spans="1:23" ht="15.6" x14ac:dyDescent="0.4">
      <c r="A2836" s="2" t="s">
        <v>3832</v>
      </c>
      <c r="B2836" s="5" t="s">
        <v>9220</v>
      </c>
      <c r="C2836" s="7" t="s">
        <v>12556</v>
      </c>
      <c r="D2836" s="8">
        <f t="shared" si="180"/>
        <v>0</v>
      </c>
      <c r="E2836" s="7" t="s">
        <v>12557</v>
      </c>
      <c r="F2836" s="7">
        <f t="shared" si="181"/>
        <v>0</v>
      </c>
      <c r="G2836" s="7" t="s">
        <v>12558</v>
      </c>
      <c r="H2836" s="7">
        <f t="shared" si="182"/>
        <v>0</v>
      </c>
      <c r="I2836" s="7" t="str" cm="1">
        <f t="array" ref="I2836">IFERROR(_xlfn.IFS(M2836="נח",1,M2836="נע ונח",1,M2836="שני שווא נח",2,M2836="שני שוואים בסוף מילה",2,M2836="שני שוואים ברצף",1),"0")</f>
        <v>0</v>
      </c>
      <c r="J2836" s="9">
        <f t="shared" si="183"/>
        <v>3</v>
      </c>
      <c r="K2836" t="s">
        <v>6698</v>
      </c>
      <c r="L2836" t="s">
        <v>6695</v>
      </c>
      <c r="O2836" t="s">
        <v>6694</v>
      </c>
      <c r="P2836" t="s">
        <v>6694</v>
      </c>
      <c r="S2836" t="s">
        <v>6694</v>
      </c>
      <c r="W2836" t="s">
        <v>6720</v>
      </c>
    </row>
    <row r="2837" spans="1:23" ht="15.6" x14ac:dyDescent="0.4">
      <c r="A2837" s="2" t="s">
        <v>4046</v>
      </c>
      <c r="B2837" s="5" t="s">
        <v>9221</v>
      </c>
      <c r="C2837" s="7" t="s">
        <v>12556</v>
      </c>
      <c r="D2837" s="8">
        <f t="shared" si="180"/>
        <v>0</v>
      </c>
      <c r="E2837" s="7" t="s">
        <v>12557</v>
      </c>
      <c r="F2837" s="7">
        <f t="shared" si="181"/>
        <v>0</v>
      </c>
      <c r="G2837" s="7" t="s">
        <v>12558</v>
      </c>
      <c r="H2837" s="7">
        <f t="shared" si="182"/>
        <v>0</v>
      </c>
      <c r="I2837" s="7" t="str" cm="1">
        <f t="array" ref="I2837">IFERROR(_xlfn.IFS(M2837="נח",1,M2837="נע ונח",1,M2837="שני שווא נח",2,M2837="שני שוואים בסוף מילה",2,M2837="שני שוואים ברצף",1),"0")</f>
        <v>0</v>
      </c>
      <c r="J2837" s="9">
        <f t="shared" si="183"/>
        <v>3</v>
      </c>
      <c r="K2837" t="s">
        <v>6698</v>
      </c>
      <c r="L2837" t="s">
        <v>6695</v>
      </c>
      <c r="P2837" t="s">
        <v>6694</v>
      </c>
      <c r="S2837" t="s">
        <v>6694</v>
      </c>
      <c r="V2837" t="s">
        <v>6694</v>
      </c>
      <c r="W2837" t="s">
        <v>6720</v>
      </c>
    </row>
    <row r="2838" spans="1:23" ht="15.6" x14ac:dyDescent="0.4">
      <c r="A2838" s="2" t="s">
        <v>4649</v>
      </c>
      <c r="B2838" s="5" t="s">
        <v>9222</v>
      </c>
      <c r="C2838" s="7" t="s">
        <v>12556</v>
      </c>
      <c r="D2838" s="8">
        <f t="shared" si="180"/>
        <v>0</v>
      </c>
      <c r="E2838" s="7" t="s">
        <v>12557</v>
      </c>
      <c r="F2838" s="7">
        <f t="shared" si="181"/>
        <v>0</v>
      </c>
      <c r="G2838" s="7" t="s">
        <v>12558</v>
      </c>
      <c r="H2838" s="7">
        <f t="shared" si="182"/>
        <v>0</v>
      </c>
      <c r="I2838" s="7" t="str" cm="1">
        <f t="array" ref="I2838">IFERROR(_xlfn.IFS(M2838="נח",1,M2838="נע ונח",1,M2838="שני שווא נח",2,M2838="שני שוואים בסוף מילה",2,M2838="שני שוואים ברצף",1),"0")</f>
        <v>0</v>
      </c>
      <c r="J2838" s="9">
        <f t="shared" si="183"/>
        <v>4</v>
      </c>
      <c r="K2838" t="s">
        <v>6697</v>
      </c>
      <c r="L2838" t="s">
        <v>6695</v>
      </c>
      <c r="O2838" t="s">
        <v>6694</v>
      </c>
      <c r="P2838" t="s">
        <v>6694</v>
      </c>
      <c r="R2838" t="s">
        <v>6694</v>
      </c>
      <c r="W2838" t="s">
        <v>6720</v>
      </c>
    </row>
    <row r="2839" spans="1:23" ht="15.6" x14ac:dyDescent="0.4">
      <c r="A2839" s="2" t="s">
        <v>1810</v>
      </c>
      <c r="B2839" s="5" t="s">
        <v>9223</v>
      </c>
      <c r="C2839" s="7" t="s">
        <v>12556</v>
      </c>
      <c r="D2839" s="8">
        <f t="shared" si="180"/>
        <v>0</v>
      </c>
      <c r="E2839" s="7" t="s">
        <v>12557</v>
      </c>
      <c r="F2839" s="7">
        <f t="shared" si="181"/>
        <v>0</v>
      </c>
      <c r="G2839" s="7" t="s">
        <v>12558</v>
      </c>
      <c r="H2839" s="7">
        <f t="shared" si="182"/>
        <v>0</v>
      </c>
      <c r="I2839" s="7" t="str" cm="1">
        <f t="array" ref="I2839">IFERROR(_xlfn.IFS(M2839="נח",1,M2839="נע ונח",1,M2839="שני שווא נח",2,M2839="שני שוואים בסוף מילה",2,M2839="שני שוואים ברצף",1),"0")</f>
        <v>0</v>
      </c>
      <c r="J2839" s="9">
        <f t="shared" si="183"/>
        <v>3</v>
      </c>
      <c r="K2839" t="s">
        <v>6698</v>
      </c>
      <c r="L2839" t="s">
        <v>6695</v>
      </c>
      <c r="O2839" t="s">
        <v>6694</v>
      </c>
      <c r="P2839" t="s">
        <v>6694</v>
      </c>
      <c r="V2839" t="s">
        <v>6694</v>
      </c>
      <c r="W2839" t="s">
        <v>6720</v>
      </c>
    </row>
    <row r="2840" spans="1:23" ht="15.6" x14ac:dyDescent="0.4">
      <c r="A2840" s="2" t="s">
        <v>4132</v>
      </c>
      <c r="B2840" s="5" t="s">
        <v>9224</v>
      </c>
      <c r="C2840" s="7" t="s">
        <v>12556</v>
      </c>
      <c r="D2840" s="8">
        <f t="shared" si="180"/>
        <v>0</v>
      </c>
      <c r="E2840" s="7" t="s">
        <v>12557</v>
      </c>
      <c r="F2840" s="7">
        <f t="shared" si="181"/>
        <v>0</v>
      </c>
      <c r="G2840" s="7" t="s">
        <v>12558</v>
      </c>
      <c r="H2840" s="7">
        <f t="shared" si="182"/>
        <v>0</v>
      </c>
      <c r="I2840" s="7" t="str" cm="1">
        <f t="array" ref="I2840">IFERROR(_xlfn.IFS(M2840="נח",1,M2840="נע ונח",1,M2840="שני שווא נח",2,M2840="שני שוואים בסוף מילה",2,M2840="שני שוואים ברצף",1),"0")</f>
        <v>0</v>
      </c>
      <c r="J2840" s="9">
        <f t="shared" si="183"/>
        <v>2</v>
      </c>
      <c r="K2840" t="s">
        <v>6698</v>
      </c>
      <c r="L2840" t="s">
        <v>6695</v>
      </c>
      <c r="P2840" t="s">
        <v>6694</v>
      </c>
      <c r="W2840" t="s">
        <v>6720</v>
      </c>
    </row>
    <row r="2841" spans="1:23" ht="15.6" x14ac:dyDescent="0.4">
      <c r="A2841" s="2" t="s">
        <v>4136</v>
      </c>
      <c r="B2841" s="5" t="s">
        <v>9225</v>
      </c>
      <c r="C2841" s="7" t="s">
        <v>12556</v>
      </c>
      <c r="D2841" s="8">
        <f t="shared" si="180"/>
        <v>0</v>
      </c>
      <c r="E2841" s="7" t="s">
        <v>12557</v>
      </c>
      <c r="F2841" s="7">
        <f t="shared" si="181"/>
        <v>0</v>
      </c>
      <c r="G2841" s="7" t="s">
        <v>12558</v>
      </c>
      <c r="H2841" s="7">
        <f t="shared" si="182"/>
        <v>0</v>
      </c>
      <c r="I2841" s="7" t="str" cm="1">
        <f t="array" ref="I2841">IFERROR(_xlfn.IFS(M2841="נח",1,M2841="נע ונח",1,M2841="שני שווא נח",2,M2841="שני שוואים בסוף מילה",2,M2841="שני שוואים ברצף",1),"0")</f>
        <v>0</v>
      </c>
      <c r="J2841" s="9">
        <f t="shared" si="183"/>
        <v>2</v>
      </c>
      <c r="K2841" t="s">
        <v>6698</v>
      </c>
      <c r="L2841" t="s">
        <v>6695</v>
      </c>
      <c r="P2841" t="s">
        <v>6694</v>
      </c>
      <c r="W2841" t="s">
        <v>6720</v>
      </c>
    </row>
    <row r="2842" spans="1:23" ht="15.6" x14ac:dyDescent="0.4">
      <c r="A2842" s="2" t="s">
        <v>5096</v>
      </c>
      <c r="B2842" s="5" t="s">
        <v>9226</v>
      </c>
      <c r="C2842" s="7" t="s">
        <v>12556</v>
      </c>
      <c r="D2842" s="8">
        <f t="shared" si="180"/>
        <v>0</v>
      </c>
      <c r="E2842" s="7" t="s">
        <v>12557</v>
      </c>
      <c r="F2842" s="7">
        <f t="shared" si="181"/>
        <v>0</v>
      </c>
      <c r="G2842" s="7" t="s">
        <v>12558</v>
      </c>
      <c r="H2842" s="7">
        <f t="shared" si="182"/>
        <v>0</v>
      </c>
      <c r="I2842" s="7" t="str" cm="1">
        <f t="array" ref="I2842">IFERROR(_xlfn.IFS(M2842="נח",1,M2842="נע ונח",1,M2842="שני שווא נח",2,M2842="שני שוואים בסוף מילה",2,M2842="שני שוואים ברצף",1),"0")</f>
        <v>0</v>
      </c>
      <c r="J2842" s="9">
        <f t="shared" si="183"/>
        <v>3</v>
      </c>
      <c r="K2842" t="s">
        <v>6698</v>
      </c>
      <c r="L2842" t="s">
        <v>6695</v>
      </c>
      <c r="O2842" t="s">
        <v>6694</v>
      </c>
      <c r="P2842" t="s">
        <v>6694</v>
      </c>
      <c r="S2842" t="s">
        <v>6694</v>
      </c>
      <c r="W2842" t="s">
        <v>6720</v>
      </c>
    </row>
    <row r="2843" spans="1:23" ht="15.6" x14ac:dyDescent="0.4">
      <c r="A2843" s="2" t="s">
        <v>1907</v>
      </c>
      <c r="B2843" s="5" t="s">
        <v>9227</v>
      </c>
      <c r="C2843" s="7" t="s">
        <v>12556</v>
      </c>
      <c r="D2843" s="8">
        <f t="shared" si="180"/>
        <v>0</v>
      </c>
      <c r="E2843" s="7" t="s">
        <v>12557</v>
      </c>
      <c r="F2843" s="7">
        <f t="shared" si="181"/>
        <v>0</v>
      </c>
      <c r="G2843" s="7" t="s">
        <v>12558</v>
      </c>
      <c r="H2843" s="7">
        <f t="shared" si="182"/>
        <v>0</v>
      </c>
      <c r="I2843" s="7" t="str" cm="1">
        <f t="array" ref="I2843">IFERROR(_xlfn.IFS(M2843="נח",1,M2843="נע ונח",1,M2843="שני שווא נח",2,M2843="שני שוואים בסוף מילה",2,M2843="שני שוואים ברצף",1),"0")</f>
        <v>0</v>
      </c>
      <c r="J2843" s="9">
        <f t="shared" si="183"/>
        <v>3</v>
      </c>
      <c r="K2843" t="s">
        <v>6697</v>
      </c>
      <c r="L2843" t="s">
        <v>6695</v>
      </c>
      <c r="O2843" t="s">
        <v>6694</v>
      </c>
      <c r="P2843" t="s">
        <v>6694</v>
      </c>
      <c r="V2843" t="s">
        <v>6694</v>
      </c>
      <c r="W2843" t="s">
        <v>6720</v>
      </c>
    </row>
    <row r="2844" spans="1:23" ht="15.6" x14ac:dyDescent="0.4">
      <c r="A2844" s="2" t="s">
        <v>5466</v>
      </c>
      <c r="B2844" s="5" t="s">
        <v>9228</v>
      </c>
      <c r="C2844" s="7" t="s">
        <v>12556</v>
      </c>
      <c r="D2844" s="8">
        <f t="shared" si="180"/>
        <v>0</v>
      </c>
      <c r="E2844" s="7" t="s">
        <v>12557</v>
      </c>
      <c r="F2844" s="7">
        <f t="shared" si="181"/>
        <v>0</v>
      </c>
      <c r="G2844" s="7" t="s">
        <v>12558</v>
      </c>
      <c r="H2844" s="7">
        <f t="shared" si="182"/>
        <v>0</v>
      </c>
      <c r="I2844" s="7" cm="1">
        <f t="array" ref="I2844">IFERROR(_xlfn.IFS(M2844="נח",1,M2844="נע ונח",1,M2844="שני שווא נח",2,M2844="שני שוואים בסוף מילה",2,M2844="שני שוואים ברצף",1),"0")</f>
        <v>1</v>
      </c>
      <c r="J2844" s="9">
        <f t="shared" si="183"/>
        <v>3</v>
      </c>
      <c r="K2844" t="s">
        <v>6697</v>
      </c>
      <c r="L2844" t="s">
        <v>6694</v>
      </c>
      <c r="M2844" t="s">
        <v>6705</v>
      </c>
      <c r="N2844" t="s">
        <v>6706</v>
      </c>
      <c r="O2844" t="s">
        <v>6694</v>
      </c>
      <c r="P2844" t="s">
        <v>6694</v>
      </c>
      <c r="W2844" t="s">
        <v>6720</v>
      </c>
    </row>
    <row r="2845" spans="1:23" ht="15.6" x14ac:dyDescent="0.4">
      <c r="A2845" s="2" t="s">
        <v>1107</v>
      </c>
      <c r="B2845" s="5" t="s">
        <v>9229</v>
      </c>
      <c r="C2845" s="7" t="s">
        <v>12556</v>
      </c>
      <c r="D2845" s="8">
        <f t="shared" si="180"/>
        <v>0</v>
      </c>
      <c r="E2845" s="7" t="s">
        <v>12557</v>
      </c>
      <c r="F2845" s="7">
        <f t="shared" si="181"/>
        <v>0</v>
      </c>
      <c r="G2845" s="7" t="s">
        <v>12558</v>
      </c>
      <c r="H2845" s="7">
        <f t="shared" si="182"/>
        <v>0</v>
      </c>
      <c r="I2845" s="7" t="str" cm="1">
        <f t="array" ref="I2845">IFERROR(_xlfn.IFS(M2845="נח",1,M2845="נע ונח",1,M2845="שני שווא נח",2,M2845="שני שוואים בסוף מילה",2,M2845="שני שוואים ברצף",1),"0")</f>
        <v>0</v>
      </c>
      <c r="J2845" s="9">
        <f t="shared" si="183"/>
        <v>3</v>
      </c>
      <c r="K2845" t="s">
        <v>6697</v>
      </c>
      <c r="L2845" t="s">
        <v>6695</v>
      </c>
      <c r="O2845" t="s">
        <v>6694</v>
      </c>
      <c r="P2845" t="s">
        <v>6694</v>
      </c>
      <c r="V2845" t="s">
        <v>6694</v>
      </c>
      <c r="W2845" t="s">
        <v>6720</v>
      </c>
    </row>
    <row r="2846" spans="1:23" ht="15.6" x14ac:dyDescent="0.4">
      <c r="A2846" s="2" t="s">
        <v>3475</v>
      </c>
      <c r="B2846" s="5" t="s">
        <v>9230</v>
      </c>
      <c r="C2846" s="7" t="s">
        <v>12556</v>
      </c>
      <c r="D2846" s="8">
        <f t="shared" si="180"/>
        <v>0</v>
      </c>
      <c r="E2846" s="7" t="s">
        <v>12557</v>
      </c>
      <c r="F2846" s="7">
        <f t="shared" si="181"/>
        <v>1</v>
      </c>
      <c r="G2846" s="7" t="s">
        <v>12558</v>
      </c>
      <c r="H2846" s="7">
        <f t="shared" si="182"/>
        <v>1</v>
      </c>
      <c r="I2846" s="7" t="str" cm="1">
        <f t="array" ref="I2846">IFERROR(_xlfn.IFS(M2846="נח",1,M2846="נע ונח",1,M2846="שני שווא נח",2,M2846="שני שוואים בסוף מילה",2,M2846="שני שוואים ברצף",1),"0")</f>
        <v>0</v>
      </c>
      <c r="J2846" s="9">
        <f t="shared" si="183"/>
        <v>3</v>
      </c>
      <c r="K2846" t="s">
        <v>6697</v>
      </c>
      <c r="L2846" t="s">
        <v>6695</v>
      </c>
      <c r="P2846" t="s">
        <v>6694</v>
      </c>
      <c r="U2846" t="s">
        <v>6694</v>
      </c>
      <c r="V2846" t="s">
        <v>6694</v>
      </c>
      <c r="W2846" t="s">
        <v>6720</v>
      </c>
    </row>
    <row r="2847" spans="1:23" ht="15.6" x14ac:dyDescent="0.4">
      <c r="A2847" s="2" t="s">
        <v>949</v>
      </c>
      <c r="B2847" s="5" t="s">
        <v>9231</v>
      </c>
      <c r="C2847" s="7" t="s">
        <v>12556</v>
      </c>
      <c r="D2847" s="8">
        <f t="shared" si="180"/>
        <v>0</v>
      </c>
      <c r="E2847" s="7" t="s">
        <v>12557</v>
      </c>
      <c r="F2847" s="7">
        <f t="shared" si="181"/>
        <v>0</v>
      </c>
      <c r="G2847" s="7" t="s">
        <v>12558</v>
      </c>
      <c r="H2847" s="7">
        <f t="shared" si="182"/>
        <v>0</v>
      </c>
      <c r="I2847" s="7" t="str" cm="1">
        <f t="array" ref="I2847">IFERROR(_xlfn.IFS(M2847="נח",1,M2847="נע ונח",1,M2847="שני שווא נח",2,M2847="שני שוואים בסוף מילה",2,M2847="שני שוואים ברצף",1),"0")</f>
        <v>0</v>
      </c>
      <c r="J2847" s="9">
        <f t="shared" si="183"/>
        <v>2</v>
      </c>
      <c r="K2847" t="s">
        <v>6698</v>
      </c>
      <c r="L2847" t="s">
        <v>6695</v>
      </c>
      <c r="P2847" t="s">
        <v>6694</v>
      </c>
      <c r="S2847" t="s">
        <v>6694</v>
      </c>
      <c r="W2847" t="s">
        <v>6720</v>
      </c>
    </row>
    <row r="2848" spans="1:23" ht="15.6" x14ac:dyDescent="0.4">
      <c r="A2848" s="2" t="s">
        <v>5254</v>
      </c>
      <c r="B2848" s="5" t="s">
        <v>9232</v>
      </c>
      <c r="C2848" s="7" t="s">
        <v>12556</v>
      </c>
      <c r="D2848" s="8">
        <f t="shared" si="180"/>
        <v>0</v>
      </c>
      <c r="E2848" s="7" t="s">
        <v>12557</v>
      </c>
      <c r="F2848" s="7">
        <f t="shared" si="181"/>
        <v>1</v>
      </c>
      <c r="G2848" s="7" t="s">
        <v>12558</v>
      </c>
      <c r="H2848" s="7">
        <f t="shared" si="182"/>
        <v>0</v>
      </c>
      <c r="I2848" s="7" t="str" cm="1">
        <f t="array" ref="I2848">IFERROR(_xlfn.IFS(M2848="נח",1,M2848="נע ונח",1,M2848="שני שווא נח",2,M2848="שני שוואים בסוף מילה",2,M2848="שני שוואים ברצף",1),"0")</f>
        <v>0</v>
      </c>
      <c r="J2848" s="9">
        <f t="shared" si="183"/>
        <v>3</v>
      </c>
      <c r="K2848" t="s">
        <v>6698</v>
      </c>
      <c r="L2848" t="s">
        <v>6695</v>
      </c>
      <c r="P2848" t="s">
        <v>6694</v>
      </c>
      <c r="T2848" t="s">
        <v>6694</v>
      </c>
      <c r="W2848" t="s">
        <v>6720</v>
      </c>
    </row>
    <row r="2849" spans="1:23" ht="15.6" x14ac:dyDescent="0.4">
      <c r="A2849" s="2" t="s">
        <v>3062</v>
      </c>
      <c r="B2849" s="5" t="s">
        <v>9233</v>
      </c>
      <c r="C2849" s="7" t="s">
        <v>12556</v>
      </c>
      <c r="D2849" s="8">
        <f t="shared" si="180"/>
        <v>0</v>
      </c>
      <c r="E2849" s="7" t="s">
        <v>12557</v>
      </c>
      <c r="F2849" s="7">
        <f t="shared" si="181"/>
        <v>0</v>
      </c>
      <c r="G2849" s="7" t="s">
        <v>12558</v>
      </c>
      <c r="H2849" s="7">
        <f t="shared" si="182"/>
        <v>0</v>
      </c>
      <c r="I2849" s="7" cm="1">
        <f t="array" ref="I2849">IFERROR(_xlfn.IFS(M2849="נח",1,M2849="נע ונח",1,M2849="שני שווא נח",2,M2849="שני שוואים בסוף מילה",2,M2849="שני שוואים ברצף",1),"0")</f>
        <v>1</v>
      </c>
      <c r="J2849" s="9">
        <f t="shared" si="183"/>
        <v>3</v>
      </c>
      <c r="K2849" t="s">
        <v>6697</v>
      </c>
      <c r="L2849" t="s">
        <v>6694</v>
      </c>
      <c r="M2849" t="s">
        <v>6705</v>
      </c>
      <c r="O2849" t="s">
        <v>6694</v>
      </c>
      <c r="P2849" t="s">
        <v>6694</v>
      </c>
      <c r="S2849" t="s">
        <v>6694</v>
      </c>
      <c r="W2849" t="s">
        <v>6720</v>
      </c>
    </row>
    <row r="2850" spans="1:23" ht="15.6" x14ac:dyDescent="0.4">
      <c r="A2850" s="2" t="s">
        <v>1456</v>
      </c>
      <c r="B2850" s="5" t="s">
        <v>9234</v>
      </c>
      <c r="C2850" s="7" t="s">
        <v>12556</v>
      </c>
      <c r="D2850" s="8">
        <f t="shared" si="180"/>
        <v>0</v>
      </c>
      <c r="E2850" s="7" t="s">
        <v>12557</v>
      </c>
      <c r="F2850" s="7">
        <f t="shared" si="181"/>
        <v>0</v>
      </c>
      <c r="G2850" s="7" t="s">
        <v>12558</v>
      </c>
      <c r="H2850" s="7">
        <f t="shared" si="182"/>
        <v>0</v>
      </c>
      <c r="I2850" s="7" t="str" cm="1">
        <f t="array" ref="I2850">IFERROR(_xlfn.IFS(M2850="נח",1,M2850="נע ונח",1,M2850="שני שווא נח",2,M2850="שני שוואים בסוף מילה",2,M2850="שני שוואים ברצף",1),"0")</f>
        <v>0</v>
      </c>
      <c r="J2850" s="9">
        <f t="shared" si="183"/>
        <v>3</v>
      </c>
      <c r="K2850" t="s">
        <v>6698</v>
      </c>
      <c r="L2850" t="s">
        <v>6695</v>
      </c>
      <c r="P2850" t="s">
        <v>6694</v>
      </c>
      <c r="S2850" t="s">
        <v>6694</v>
      </c>
      <c r="W2850" t="s">
        <v>6720</v>
      </c>
    </row>
    <row r="2851" spans="1:23" ht="15.6" x14ac:dyDescent="0.4">
      <c r="A2851" s="2" t="s">
        <v>5457</v>
      </c>
      <c r="B2851" s="5" t="s">
        <v>9235</v>
      </c>
      <c r="C2851" s="7" t="s">
        <v>12556</v>
      </c>
      <c r="D2851" s="8">
        <f t="shared" si="180"/>
        <v>0</v>
      </c>
      <c r="E2851" s="7" t="s">
        <v>12557</v>
      </c>
      <c r="F2851" s="7">
        <f t="shared" si="181"/>
        <v>0</v>
      </c>
      <c r="G2851" s="7" t="s">
        <v>12558</v>
      </c>
      <c r="H2851" s="7">
        <f t="shared" si="182"/>
        <v>0</v>
      </c>
      <c r="I2851" s="7" t="str" cm="1">
        <f t="array" ref="I2851">IFERROR(_xlfn.IFS(M2851="נח",1,M2851="נע ונח",1,M2851="שני שווא נח",2,M2851="שני שוואים בסוף מילה",2,M2851="שני שוואים ברצף",1),"0")</f>
        <v>0</v>
      </c>
      <c r="J2851" s="9">
        <f t="shared" si="183"/>
        <v>4</v>
      </c>
      <c r="K2851" t="s">
        <v>6697</v>
      </c>
      <c r="L2851" t="s">
        <v>6695</v>
      </c>
      <c r="O2851" t="s">
        <v>6694</v>
      </c>
      <c r="P2851" t="s">
        <v>6694</v>
      </c>
      <c r="R2851" t="s">
        <v>6694</v>
      </c>
      <c r="S2851" t="s">
        <v>6694</v>
      </c>
      <c r="W2851" t="s">
        <v>6720</v>
      </c>
    </row>
    <row r="2852" spans="1:23" ht="15.6" x14ac:dyDescent="0.4">
      <c r="A2852" s="2" t="s">
        <v>701</v>
      </c>
      <c r="B2852" s="5" t="s">
        <v>9236</v>
      </c>
      <c r="C2852" s="7" t="s">
        <v>12556</v>
      </c>
      <c r="D2852" s="8">
        <f t="shared" si="180"/>
        <v>0</v>
      </c>
      <c r="E2852" s="7" t="s">
        <v>12557</v>
      </c>
      <c r="F2852" s="7">
        <f t="shared" si="181"/>
        <v>0</v>
      </c>
      <c r="G2852" s="7" t="s">
        <v>12558</v>
      </c>
      <c r="H2852" s="7">
        <f t="shared" si="182"/>
        <v>0</v>
      </c>
      <c r="I2852" s="7" t="str" cm="1">
        <f t="array" ref="I2852">IFERROR(_xlfn.IFS(M2852="נח",1,M2852="נע ונח",1,M2852="שני שווא נח",2,M2852="שני שוואים בסוף מילה",2,M2852="שני שוואים ברצף",1),"0")</f>
        <v>0</v>
      </c>
      <c r="J2852" s="9">
        <f t="shared" si="183"/>
        <v>3</v>
      </c>
      <c r="K2852" t="s">
        <v>6697</v>
      </c>
      <c r="L2852" t="s">
        <v>6695</v>
      </c>
      <c r="O2852" t="s">
        <v>6694</v>
      </c>
      <c r="P2852" t="s">
        <v>6694</v>
      </c>
      <c r="S2852" t="s">
        <v>6694</v>
      </c>
      <c r="W2852" t="s">
        <v>6720</v>
      </c>
    </row>
    <row r="2853" spans="1:23" ht="15.6" x14ac:dyDescent="0.4">
      <c r="A2853" s="2" t="s">
        <v>5300</v>
      </c>
      <c r="B2853" s="5" t="s">
        <v>9237</v>
      </c>
      <c r="C2853" s="7" t="s">
        <v>12556</v>
      </c>
      <c r="D2853" s="8">
        <f t="shared" si="180"/>
        <v>0</v>
      </c>
      <c r="E2853" s="7" t="s">
        <v>12557</v>
      </c>
      <c r="F2853" s="7">
        <f t="shared" si="181"/>
        <v>0</v>
      </c>
      <c r="G2853" s="7" t="s">
        <v>12558</v>
      </c>
      <c r="H2853" s="7">
        <f t="shared" si="182"/>
        <v>0</v>
      </c>
      <c r="I2853" s="7" t="str" cm="1">
        <f t="array" ref="I2853">IFERROR(_xlfn.IFS(M2853="נח",1,M2853="נע ונח",1,M2853="שני שווא נח",2,M2853="שני שוואים בסוף מילה",2,M2853="שני שוואים ברצף",1),"0")</f>
        <v>0</v>
      </c>
      <c r="J2853" s="9">
        <f t="shared" si="183"/>
        <v>3</v>
      </c>
      <c r="K2853" t="s">
        <v>6698</v>
      </c>
      <c r="L2853" t="s">
        <v>6695</v>
      </c>
      <c r="N2853" t="s">
        <v>6706</v>
      </c>
      <c r="O2853" t="s">
        <v>6694</v>
      </c>
      <c r="P2853" t="s">
        <v>6694</v>
      </c>
      <c r="S2853" t="s">
        <v>6694</v>
      </c>
      <c r="W2853" t="s">
        <v>6720</v>
      </c>
    </row>
    <row r="2854" spans="1:23" ht="15.6" x14ac:dyDescent="0.4">
      <c r="A2854" s="2" t="s">
        <v>1439</v>
      </c>
      <c r="B2854" s="5" t="s">
        <v>9238</v>
      </c>
      <c r="C2854" s="7" t="s">
        <v>12556</v>
      </c>
      <c r="D2854" s="8">
        <f t="shared" si="180"/>
        <v>0</v>
      </c>
      <c r="E2854" s="7" t="s">
        <v>12557</v>
      </c>
      <c r="F2854" s="7">
        <f t="shared" si="181"/>
        <v>0</v>
      </c>
      <c r="G2854" s="7" t="s">
        <v>12558</v>
      </c>
      <c r="H2854" s="7">
        <f t="shared" si="182"/>
        <v>0</v>
      </c>
      <c r="I2854" s="7" t="str" cm="1">
        <f t="array" ref="I2854">IFERROR(_xlfn.IFS(M2854="נח",1,M2854="נע ונח",1,M2854="שני שווא נח",2,M2854="שני שוואים בסוף מילה",2,M2854="שני שוואים ברצף",1),"0")</f>
        <v>0</v>
      </c>
      <c r="J2854" s="9">
        <f t="shared" si="183"/>
        <v>3</v>
      </c>
      <c r="K2854" t="s">
        <v>6698</v>
      </c>
      <c r="L2854" t="s">
        <v>6695</v>
      </c>
      <c r="N2854" t="s">
        <v>6706</v>
      </c>
      <c r="O2854" t="s">
        <v>6694</v>
      </c>
      <c r="P2854" t="s">
        <v>6694</v>
      </c>
      <c r="S2854" t="s">
        <v>6694</v>
      </c>
      <c r="W2854" t="s">
        <v>6720</v>
      </c>
    </row>
    <row r="2855" spans="1:23" ht="15.6" x14ac:dyDescent="0.4">
      <c r="A2855" s="2" t="s">
        <v>5800</v>
      </c>
      <c r="B2855" s="5" t="s">
        <v>9239</v>
      </c>
      <c r="C2855" s="7" t="s">
        <v>12556</v>
      </c>
      <c r="D2855" s="8">
        <f t="shared" si="180"/>
        <v>0</v>
      </c>
      <c r="E2855" s="7" t="s">
        <v>12557</v>
      </c>
      <c r="F2855" s="7">
        <f t="shared" si="181"/>
        <v>0</v>
      </c>
      <c r="G2855" s="7" t="s">
        <v>12558</v>
      </c>
      <c r="H2855" s="7">
        <f t="shared" si="182"/>
        <v>0</v>
      </c>
      <c r="I2855" s="7" t="str" cm="1">
        <f t="array" ref="I2855">IFERROR(_xlfn.IFS(M2855="נח",1,M2855="נע ונח",1,M2855="שני שווא נח",2,M2855="שני שוואים בסוף מילה",2,M2855="שני שוואים ברצף",1),"0")</f>
        <v>0</v>
      </c>
      <c r="J2855" s="9">
        <f t="shared" si="183"/>
        <v>2</v>
      </c>
      <c r="K2855" t="s">
        <v>6698</v>
      </c>
      <c r="L2855" t="s">
        <v>6695</v>
      </c>
      <c r="P2855" t="s">
        <v>6694</v>
      </c>
      <c r="S2855" t="s">
        <v>6694</v>
      </c>
      <c r="W2855" t="s">
        <v>6720</v>
      </c>
    </row>
    <row r="2856" spans="1:23" ht="15.6" x14ac:dyDescent="0.4">
      <c r="A2856" s="2" t="s">
        <v>1039</v>
      </c>
      <c r="B2856" s="5" t="s">
        <v>9240</v>
      </c>
      <c r="C2856" s="7" t="s">
        <v>12556</v>
      </c>
      <c r="D2856" s="8">
        <f t="shared" si="180"/>
        <v>0</v>
      </c>
      <c r="E2856" s="7" t="s">
        <v>12557</v>
      </c>
      <c r="F2856" s="7">
        <f t="shared" si="181"/>
        <v>0</v>
      </c>
      <c r="G2856" s="7" t="s">
        <v>12558</v>
      </c>
      <c r="H2856" s="7">
        <f t="shared" si="182"/>
        <v>0</v>
      </c>
      <c r="I2856" s="7" t="str" cm="1">
        <f t="array" ref="I2856">IFERROR(_xlfn.IFS(M2856="נח",1,M2856="נע ונח",1,M2856="שני שווא נח",2,M2856="שני שוואים בסוף מילה",2,M2856="שני שוואים ברצף",1),"0")</f>
        <v>0</v>
      </c>
      <c r="J2856" s="9">
        <f t="shared" si="183"/>
        <v>4</v>
      </c>
      <c r="K2856" t="s">
        <v>6697</v>
      </c>
      <c r="L2856" t="s">
        <v>6695</v>
      </c>
      <c r="O2856" t="s">
        <v>6694</v>
      </c>
      <c r="P2856" t="s">
        <v>6694</v>
      </c>
      <c r="R2856" t="s">
        <v>6694</v>
      </c>
      <c r="W2856" t="s">
        <v>6720</v>
      </c>
    </row>
    <row r="2857" spans="1:23" ht="15.6" x14ac:dyDescent="0.4">
      <c r="A2857" s="2" t="s">
        <v>2113</v>
      </c>
      <c r="B2857" s="5" t="s">
        <v>9241</v>
      </c>
      <c r="C2857" s="7" t="s">
        <v>12556</v>
      </c>
      <c r="D2857" s="8">
        <f t="shared" si="180"/>
        <v>0</v>
      </c>
      <c r="E2857" s="7" t="s">
        <v>12557</v>
      </c>
      <c r="F2857" s="7">
        <f t="shared" si="181"/>
        <v>0</v>
      </c>
      <c r="G2857" s="7" t="s">
        <v>12558</v>
      </c>
      <c r="H2857" s="7">
        <f t="shared" si="182"/>
        <v>0</v>
      </c>
      <c r="I2857" s="7" t="str" cm="1">
        <f t="array" ref="I2857">IFERROR(_xlfn.IFS(M2857="נח",1,M2857="נע ונח",1,M2857="שני שווא נח",2,M2857="שני שוואים בסוף מילה",2,M2857="שני שוואים ברצף",1),"0")</f>
        <v>0</v>
      </c>
      <c r="J2857" s="9">
        <f t="shared" si="183"/>
        <v>3</v>
      </c>
      <c r="K2857" t="s">
        <v>6698</v>
      </c>
      <c r="L2857" t="s">
        <v>6695</v>
      </c>
      <c r="P2857" t="s">
        <v>6694</v>
      </c>
      <c r="Q2857" t="s">
        <v>6694</v>
      </c>
      <c r="W2857" t="s">
        <v>6720</v>
      </c>
    </row>
    <row r="2858" spans="1:23" ht="15.6" x14ac:dyDescent="0.4">
      <c r="A2858" s="2" t="s">
        <v>5147</v>
      </c>
      <c r="B2858" s="5" t="s">
        <v>9242</v>
      </c>
      <c r="C2858" s="7" t="s">
        <v>12556</v>
      </c>
      <c r="D2858" s="8">
        <f t="shared" si="180"/>
        <v>0</v>
      </c>
      <c r="E2858" s="7" t="s">
        <v>12557</v>
      </c>
      <c r="F2858" s="7">
        <f t="shared" si="181"/>
        <v>0</v>
      </c>
      <c r="G2858" s="7" t="s">
        <v>12558</v>
      </c>
      <c r="H2858" s="7">
        <f t="shared" si="182"/>
        <v>0</v>
      </c>
      <c r="I2858" s="7" t="str" cm="1">
        <f t="array" ref="I2858">IFERROR(_xlfn.IFS(M2858="נח",1,M2858="נע ונח",1,M2858="שני שווא נח",2,M2858="שני שוואים בסוף מילה",2,M2858="שני שוואים ברצף",1),"0")</f>
        <v>0</v>
      </c>
      <c r="J2858" s="9">
        <f t="shared" si="183"/>
        <v>3</v>
      </c>
      <c r="K2858" t="s">
        <v>6698</v>
      </c>
      <c r="L2858" t="s">
        <v>6695</v>
      </c>
      <c r="P2858" t="s">
        <v>6694</v>
      </c>
      <c r="Q2858" t="s">
        <v>6694</v>
      </c>
      <c r="S2858" t="s">
        <v>6694</v>
      </c>
      <c r="W2858" t="s">
        <v>6720</v>
      </c>
    </row>
    <row r="2859" spans="1:23" ht="15.6" x14ac:dyDescent="0.4">
      <c r="A2859" s="2" t="s">
        <v>4368</v>
      </c>
      <c r="B2859" s="5" t="s">
        <v>9243</v>
      </c>
      <c r="C2859" s="7" t="s">
        <v>12556</v>
      </c>
      <c r="D2859" s="8">
        <f t="shared" si="180"/>
        <v>0</v>
      </c>
      <c r="E2859" s="7" t="s">
        <v>12557</v>
      </c>
      <c r="F2859" s="7">
        <f t="shared" si="181"/>
        <v>0</v>
      </c>
      <c r="G2859" s="7" t="s">
        <v>12558</v>
      </c>
      <c r="H2859" s="7">
        <f t="shared" si="182"/>
        <v>0</v>
      </c>
      <c r="I2859" s="7" t="str" cm="1">
        <f t="array" ref="I2859">IFERROR(_xlfn.IFS(M2859="נח",1,M2859="נע ונח",1,M2859="שני שווא נח",2,M2859="שני שוואים בסוף מילה",2,M2859="שני שוואים ברצף",1),"0")</f>
        <v>0</v>
      </c>
      <c r="J2859" s="9">
        <f t="shared" si="183"/>
        <v>4</v>
      </c>
      <c r="K2859" t="s">
        <v>6697</v>
      </c>
      <c r="L2859" t="s">
        <v>6695</v>
      </c>
      <c r="O2859" t="s">
        <v>6694</v>
      </c>
      <c r="P2859" t="s">
        <v>6694</v>
      </c>
      <c r="Q2859" t="s">
        <v>6694</v>
      </c>
      <c r="R2859" t="s">
        <v>6694</v>
      </c>
      <c r="W2859" t="s">
        <v>6720</v>
      </c>
    </row>
    <row r="2860" spans="1:23" ht="15.6" x14ac:dyDescent="0.4">
      <c r="A2860" s="2" t="s">
        <v>5569</v>
      </c>
      <c r="B2860" s="5" t="s">
        <v>9244</v>
      </c>
      <c r="C2860" s="7" t="s">
        <v>12556</v>
      </c>
      <c r="D2860" s="8">
        <f t="shared" si="180"/>
        <v>0</v>
      </c>
      <c r="E2860" s="7" t="s">
        <v>12557</v>
      </c>
      <c r="F2860" s="7">
        <f t="shared" si="181"/>
        <v>0</v>
      </c>
      <c r="G2860" s="7" t="s">
        <v>12558</v>
      </c>
      <c r="H2860" s="7">
        <f t="shared" si="182"/>
        <v>0</v>
      </c>
      <c r="I2860" s="7" t="str" cm="1">
        <f t="array" ref="I2860">IFERROR(_xlfn.IFS(M2860="נח",1,M2860="נע ונח",1,M2860="שני שווא נח",2,M2860="שני שוואים בסוף מילה",2,M2860="שני שוואים ברצף",1),"0")</f>
        <v>0</v>
      </c>
      <c r="J2860" s="9">
        <f t="shared" si="183"/>
        <v>4</v>
      </c>
      <c r="K2860" t="s">
        <v>6698</v>
      </c>
      <c r="L2860" t="s">
        <v>6695</v>
      </c>
      <c r="N2860" t="s">
        <v>6706</v>
      </c>
      <c r="O2860" t="s">
        <v>6694</v>
      </c>
      <c r="P2860" t="s">
        <v>6694</v>
      </c>
      <c r="Q2860" t="s">
        <v>6694</v>
      </c>
      <c r="V2860" t="s">
        <v>6694</v>
      </c>
      <c r="W2860" t="s">
        <v>6720</v>
      </c>
    </row>
    <row r="2861" spans="1:23" ht="15.6" x14ac:dyDescent="0.4">
      <c r="A2861" s="2" t="s">
        <v>4768</v>
      </c>
      <c r="B2861" s="5" t="s">
        <v>9245</v>
      </c>
      <c r="C2861" s="7" t="s">
        <v>12556</v>
      </c>
      <c r="D2861" s="8">
        <f t="shared" si="180"/>
        <v>0</v>
      </c>
      <c r="E2861" s="7" t="s">
        <v>12557</v>
      </c>
      <c r="F2861" s="7">
        <f t="shared" si="181"/>
        <v>0</v>
      </c>
      <c r="G2861" s="7" t="s">
        <v>12558</v>
      </c>
      <c r="H2861" s="7">
        <f t="shared" si="182"/>
        <v>0</v>
      </c>
      <c r="I2861" s="7" t="str" cm="1">
        <f t="array" ref="I2861">IFERROR(_xlfn.IFS(M2861="נח",1,M2861="נע ונח",1,M2861="שני שווא נח",2,M2861="שני שוואים בסוף מילה",2,M2861="שני שוואים ברצף",1),"0")</f>
        <v>0</v>
      </c>
      <c r="J2861" s="9">
        <f t="shared" si="183"/>
        <v>4</v>
      </c>
      <c r="K2861" t="s">
        <v>6697</v>
      </c>
      <c r="L2861" t="s">
        <v>6695</v>
      </c>
      <c r="O2861" t="s">
        <v>6694</v>
      </c>
      <c r="P2861" t="s">
        <v>6694</v>
      </c>
      <c r="R2861" t="s">
        <v>6694</v>
      </c>
      <c r="W2861" t="s">
        <v>6720</v>
      </c>
    </row>
    <row r="2862" spans="1:23" ht="15.6" x14ac:dyDescent="0.4">
      <c r="A2862" s="2" t="s">
        <v>5023</v>
      </c>
      <c r="B2862" s="5" t="s">
        <v>9246</v>
      </c>
      <c r="C2862" s="7" t="s">
        <v>12556</v>
      </c>
      <c r="D2862" s="8">
        <f t="shared" si="180"/>
        <v>0</v>
      </c>
      <c r="E2862" s="7" t="s">
        <v>12557</v>
      </c>
      <c r="F2862" s="7">
        <f t="shared" si="181"/>
        <v>1</v>
      </c>
      <c r="G2862" s="7" t="s">
        <v>12558</v>
      </c>
      <c r="H2862" s="7">
        <f t="shared" si="182"/>
        <v>0</v>
      </c>
      <c r="I2862" s="7" cm="1">
        <f t="array" ref="I2862">IFERROR(_xlfn.IFS(M2862="נח",1,M2862="נע ונח",1,M2862="שני שווא נח",2,M2862="שני שוואים בסוף מילה",2,M2862="שני שוואים ברצף",1),"0")</f>
        <v>1</v>
      </c>
      <c r="J2862" s="9">
        <f t="shared" si="183"/>
        <v>4</v>
      </c>
      <c r="K2862" t="s">
        <v>6697</v>
      </c>
      <c r="L2862" t="s">
        <v>6694</v>
      </c>
      <c r="M2862" t="s">
        <v>6705</v>
      </c>
      <c r="P2862" t="s">
        <v>6694</v>
      </c>
      <c r="S2862" t="s">
        <v>6694</v>
      </c>
      <c r="W2862" t="s">
        <v>6720</v>
      </c>
    </row>
    <row r="2863" spans="1:23" ht="15.6" x14ac:dyDescent="0.4">
      <c r="A2863" s="2" t="s">
        <v>4190</v>
      </c>
      <c r="B2863" s="5" t="s">
        <v>9247</v>
      </c>
      <c r="C2863" s="7" t="s">
        <v>12556</v>
      </c>
      <c r="D2863" s="8">
        <f t="shared" si="180"/>
        <v>0</v>
      </c>
      <c r="E2863" s="7" t="s">
        <v>12557</v>
      </c>
      <c r="F2863" s="7">
        <f t="shared" si="181"/>
        <v>0</v>
      </c>
      <c r="G2863" s="7" t="s">
        <v>12558</v>
      </c>
      <c r="H2863" s="7">
        <f t="shared" si="182"/>
        <v>0</v>
      </c>
      <c r="I2863" s="7" t="str" cm="1">
        <f t="array" ref="I2863">IFERROR(_xlfn.IFS(M2863="נח",1,M2863="נע ונח",1,M2863="שני שווא נח",2,M2863="שני שוואים בסוף מילה",2,M2863="שני שוואים ברצף",1),"0")</f>
        <v>0</v>
      </c>
      <c r="J2863" s="9">
        <f t="shared" si="183"/>
        <v>3</v>
      </c>
      <c r="K2863" t="s">
        <v>6698</v>
      </c>
      <c r="L2863" t="s">
        <v>6695</v>
      </c>
      <c r="O2863" t="s">
        <v>6694</v>
      </c>
      <c r="P2863" t="s">
        <v>6694</v>
      </c>
      <c r="V2863" t="s">
        <v>6694</v>
      </c>
      <c r="W2863" t="s">
        <v>6720</v>
      </c>
    </row>
    <row r="2864" spans="1:23" ht="15.6" x14ac:dyDescent="0.4">
      <c r="A2864" s="2" t="s">
        <v>1501</v>
      </c>
      <c r="B2864" s="5" t="s">
        <v>9248</v>
      </c>
      <c r="C2864" s="7" t="s">
        <v>12556</v>
      </c>
      <c r="D2864" s="8">
        <f t="shared" si="180"/>
        <v>1</v>
      </c>
      <c r="E2864" s="7" t="s">
        <v>12557</v>
      </c>
      <c r="F2864" s="7">
        <f t="shared" si="181"/>
        <v>0</v>
      </c>
      <c r="G2864" s="7" t="s">
        <v>12558</v>
      </c>
      <c r="H2864" s="7">
        <f t="shared" si="182"/>
        <v>0</v>
      </c>
      <c r="I2864" s="7" cm="1">
        <f t="array" ref="I2864">IFERROR(_xlfn.IFS(M2864="נח",1,M2864="נע ונח",1,M2864="שני שווא נח",2,M2864="שני שוואים בסוף מילה",2,M2864="שני שוואים ברצף",1),"0")</f>
        <v>1</v>
      </c>
      <c r="J2864" s="9">
        <f t="shared" si="183"/>
        <v>2</v>
      </c>
      <c r="K2864" t="s">
        <v>6698</v>
      </c>
      <c r="L2864" t="s">
        <v>6694</v>
      </c>
      <c r="M2864" t="s">
        <v>6705</v>
      </c>
      <c r="P2864" t="s">
        <v>6694</v>
      </c>
      <c r="V2864" t="s">
        <v>6694</v>
      </c>
      <c r="W2864" t="s">
        <v>6720</v>
      </c>
    </row>
    <row r="2865" spans="1:23" ht="15.6" x14ac:dyDescent="0.4">
      <c r="A2865" s="2" t="s">
        <v>2386</v>
      </c>
      <c r="B2865" s="5" t="s">
        <v>9247</v>
      </c>
      <c r="C2865" s="7" t="s">
        <v>12556</v>
      </c>
      <c r="D2865" s="8">
        <f t="shared" si="180"/>
        <v>0</v>
      </c>
      <c r="E2865" s="7" t="s">
        <v>12557</v>
      </c>
      <c r="F2865" s="7">
        <f t="shared" si="181"/>
        <v>0</v>
      </c>
      <c r="G2865" s="7" t="s">
        <v>12558</v>
      </c>
      <c r="H2865" s="7">
        <f t="shared" si="182"/>
        <v>0</v>
      </c>
      <c r="I2865" s="7" t="str" cm="1">
        <f t="array" ref="I2865">IFERROR(_xlfn.IFS(M2865="נח",1,M2865="נע ונח",1,M2865="שני שווא נח",2,M2865="שני שוואים בסוף מילה",2,M2865="שני שוואים ברצף",1),"0")</f>
        <v>0</v>
      </c>
      <c r="J2865" s="9">
        <f t="shared" si="183"/>
        <v>3</v>
      </c>
      <c r="K2865" t="s">
        <v>6698</v>
      </c>
      <c r="L2865" t="s">
        <v>6695</v>
      </c>
      <c r="O2865" t="s">
        <v>6694</v>
      </c>
      <c r="V2865" t="s">
        <v>6694</v>
      </c>
      <c r="W2865" t="s">
        <v>6720</v>
      </c>
    </row>
    <row r="2866" spans="1:23" ht="15.6" x14ac:dyDescent="0.4">
      <c r="A2866" s="2" t="s">
        <v>6327</v>
      </c>
      <c r="B2866" s="5" t="s">
        <v>9249</v>
      </c>
      <c r="C2866" s="7" t="s">
        <v>12556</v>
      </c>
      <c r="D2866" s="8">
        <f t="shared" si="180"/>
        <v>0</v>
      </c>
      <c r="E2866" s="7" t="s">
        <v>12557</v>
      </c>
      <c r="F2866" s="7">
        <f t="shared" si="181"/>
        <v>0</v>
      </c>
      <c r="G2866" s="7" t="s">
        <v>12558</v>
      </c>
      <c r="H2866" s="7">
        <f t="shared" si="182"/>
        <v>0</v>
      </c>
      <c r="I2866" s="7" cm="1">
        <f t="array" ref="I2866">IFERROR(_xlfn.IFS(M2866="נח",1,M2866="נע ונח",1,M2866="שני שווא נח",2,M2866="שני שוואים בסוף מילה",2,M2866="שני שוואים ברצף",1),"0")</f>
        <v>1</v>
      </c>
      <c r="J2866" s="9">
        <f t="shared" si="183"/>
        <v>2</v>
      </c>
      <c r="K2866" t="s">
        <v>6697</v>
      </c>
      <c r="L2866" t="s">
        <v>6694</v>
      </c>
      <c r="M2866" t="s">
        <v>6705</v>
      </c>
      <c r="S2866" t="s">
        <v>6694</v>
      </c>
      <c r="W2866" t="s">
        <v>6720</v>
      </c>
    </row>
    <row r="2867" spans="1:23" ht="15.6" x14ac:dyDescent="0.4">
      <c r="A2867" s="2" t="s">
        <v>3427</v>
      </c>
      <c r="B2867" s="5" t="s">
        <v>9250</v>
      </c>
      <c r="C2867" s="7" t="s">
        <v>12556</v>
      </c>
      <c r="D2867" s="8">
        <f t="shared" si="180"/>
        <v>0</v>
      </c>
      <c r="E2867" s="7" t="s">
        <v>12557</v>
      </c>
      <c r="F2867" s="7">
        <f t="shared" si="181"/>
        <v>1</v>
      </c>
      <c r="G2867" s="7" t="s">
        <v>12558</v>
      </c>
      <c r="H2867" s="7">
        <f t="shared" si="182"/>
        <v>1</v>
      </c>
      <c r="I2867" s="7" cm="1">
        <f t="array" ref="I2867">IFERROR(_xlfn.IFS(M2867="נח",1,M2867="נע ונח",1,M2867="שני שווא נח",2,M2867="שני שוואים בסוף מילה",2,M2867="שני שוואים ברצף",1),"0")</f>
        <v>1</v>
      </c>
      <c r="J2867" s="9">
        <f t="shared" si="183"/>
        <v>2</v>
      </c>
      <c r="K2867" t="s">
        <v>6697</v>
      </c>
      <c r="L2867" t="s">
        <v>6694</v>
      </c>
      <c r="M2867" t="s">
        <v>6705</v>
      </c>
      <c r="S2867" t="s">
        <v>6694</v>
      </c>
      <c r="U2867" t="s">
        <v>6694</v>
      </c>
      <c r="W2867" t="s">
        <v>6720</v>
      </c>
    </row>
    <row r="2868" spans="1:23" ht="15.6" x14ac:dyDescent="0.4">
      <c r="A2868" s="2" t="s">
        <v>1373</v>
      </c>
      <c r="B2868" s="5" t="s">
        <v>9216</v>
      </c>
      <c r="C2868" s="7" t="s">
        <v>12556</v>
      </c>
      <c r="D2868" s="8">
        <f t="shared" si="180"/>
        <v>0</v>
      </c>
      <c r="E2868" s="7" t="s">
        <v>12557</v>
      </c>
      <c r="F2868" s="7">
        <f t="shared" si="181"/>
        <v>1</v>
      </c>
      <c r="G2868" s="7" t="s">
        <v>12558</v>
      </c>
      <c r="H2868" s="7">
        <f t="shared" si="182"/>
        <v>0</v>
      </c>
      <c r="I2868" s="7" t="str" cm="1">
        <f t="array" ref="I2868">IFERROR(_xlfn.IFS(M2868="נח",1,M2868="נע ונח",1,M2868="שני שווא נח",2,M2868="שני שוואים בסוף מילה",2,M2868="שני שוואים ברצף",1),"0")</f>
        <v>0</v>
      </c>
      <c r="J2868" s="9">
        <f t="shared" si="183"/>
        <v>2</v>
      </c>
      <c r="K2868" t="s">
        <v>6698</v>
      </c>
      <c r="L2868" t="s">
        <v>6695</v>
      </c>
      <c r="P2868" t="s">
        <v>6694</v>
      </c>
      <c r="S2868" t="s">
        <v>6694</v>
      </c>
      <c r="W2868" t="s">
        <v>6720</v>
      </c>
    </row>
    <row r="2869" spans="1:23" ht="15.6" x14ac:dyDescent="0.4">
      <c r="A2869" s="2" t="s">
        <v>1381</v>
      </c>
      <c r="B2869" s="5" t="s">
        <v>9251</v>
      </c>
      <c r="C2869" s="7" t="s">
        <v>12556</v>
      </c>
      <c r="D2869" s="8">
        <f t="shared" si="180"/>
        <v>0</v>
      </c>
      <c r="E2869" s="7" t="s">
        <v>12557</v>
      </c>
      <c r="F2869" s="7">
        <f t="shared" si="181"/>
        <v>1</v>
      </c>
      <c r="G2869" s="7" t="s">
        <v>12558</v>
      </c>
      <c r="H2869" s="7">
        <f t="shared" si="182"/>
        <v>0</v>
      </c>
      <c r="I2869" s="7" t="str" cm="1">
        <f t="array" ref="I2869">IFERROR(_xlfn.IFS(M2869="נח",1,M2869="נע ונח",1,M2869="שני שווא נח",2,M2869="שני שוואים בסוף מילה",2,M2869="שני שוואים ברצף",1),"0")</f>
        <v>0</v>
      </c>
      <c r="J2869" s="9">
        <f t="shared" si="183"/>
        <v>2</v>
      </c>
      <c r="K2869" t="s">
        <v>6698</v>
      </c>
      <c r="L2869" t="s">
        <v>6695</v>
      </c>
      <c r="S2869" t="s">
        <v>6694</v>
      </c>
      <c r="W2869" t="s">
        <v>6720</v>
      </c>
    </row>
    <row r="2870" spans="1:23" ht="15.6" x14ac:dyDescent="0.4">
      <c r="A2870" s="2" t="s">
        <v>4878</v>
      </c>
      <c r="B2870" s="5" t="s">
        <v>9252</v>
      </c>
      <c r="C2870" s="7" t="s">
        <v>12556</v>
      </c>
      <c r="D2870" s="8">
        <f t="shared" si="180"/>
        <v>0</v>
      </c>
      <c r="E2870" s="7" t="s">
        <v>12557</v>
      </c>
      <c r="F2870" s="7">
        <f t="shared" si="181"/>
        <v>1</v>
      </c>
      <c r="G2870" s="7" t="s">
        <v>12558</v>
      </c>
      <c r="H2870" s="7">
        <f t="shared" si="182"/>
        <v>0</v>
      </c>
      <c r="I2870" s="7" t="str" cm="1">
        <f t="array" ref="I2870">IFERROR(_xlfn.IFS(M2870="נח",1,M2870="נע ונח",1,M2870="שני שווא נח",2,M2870="שני שוואים בסוף מילה",2,M2870="שני שוואים ברצף",1),"0")</f>
        <v>0</v>
      </c>
      <c r="J2870" s="9">
        <f t="shared" si="183"/>
        <v>2</v>
      </c>
      <c r="K2870" t="s">
        <v>6697</v>
      </c>
      <c r="L2870" t="s">
        <v>6695</v>
      </c>
      <c r="O2870" t="s">
        <v>6694</v>
      </c>
      <c r="S2870" t="s">
        <v>6694</v>
      </c>
      <c r="W2870" t="s">
        <v>6720</v>
      </c>
    </row>
    <row r="2871" spans="1:23" ht="15.6" x14ac:dyDescent="0.4">
      <c r="A2871" s="2" t="s">
        <v>5260</v>
      </c>
      <c r="B2871" s="5" t="s">
        <v>9253</v>
      </c>
      <c r="C2871" s="7" t="s">
        <v>12556</v>
      </c>
      <c r="D2871" s="8">
        <f t="shared" si="180"/>
        <v>0</v>
      </c>
      <c r="E2871" s="7" t="s">
        <v>12557</v>
      </c>
      <c r="F2871" s="7">
        <f t="shared" si="181"/>
        <v>1</v>
      </c>
      <c r="G2871" s="7" t="s">
        <v>12558</v>
      </c>
      <c r="H2871" s="7">
        <f t="shared" si="182"/>
        <v>0</v>
      </c>
      <c r="I2871" s="7" t="str" cm="1">
        <f t="array" ref="I2871">IFERROR(_xlfn.IFS(M2871="נח",1,M2871="נע ונח",1,M2871="שני שווא נח",2,M2871="שני שוואים בסוף מילה",2,M2871="שני שוואים ברצף",1),"0")</f>
        <v>0</v>
      </c>
      <c r="J2871" s="9">
        <f t="shared" si="183"/>
        <v>4</v>
      </c>
      <c r="K2871" t="s">
        <v>6697</v>
      </c>
      <c r="L2871" t="s">
        <v>6695</v>
      </c>
      <c r="P2871" t="s">
        <v>6694</v>
      </c>
      <c r="S2871" t="s">
        <v>6694</v>
      </c>
      <c r="W2871" t="s">
        <v>6720</v>
      </c>
    </row>
    <row r="2872" spans="1:23" ht="15.6" x14ac:dyDescent="0.4">
      <c r="A2872" s="2" t="s">
        <v>6686</v>
      </c>
      <c r="B2872" s="5" t="s">
        <v>9254</v>
      </c>
      <c r="C2872" s="7" t="s">
        <v>12556</v>
      </c>
      <c r="D2872" s="8">
        <f t="shared" si="180"/>
        <v>0</v>
      </c>
      <c r="E2872" s="7" t="s">
        <v>12557</v>
      </c>
      <c r="F2872" s="7">
        <f t="shared" si="181"/>
        <v>1</v>
      </c>
      <c r="G2872" s="7" t="s">
        <v>12558</v>
      </c>
      <c r="H2872" s="7">
        <f t="shared" si="182"/>
        <v>0</v>
      </c>
      <c r="I2872" s="7" t="str" cm="1">
        <f t="array" ref="I2872">IFERROR(_xlfn.IFS(M2872="נח",1,M2872="נע ונח",1,M2872="שני שווא נח",2,M2872="שני שוואים בסוף מילה",2,M2872="שני שוואים ברצף",1),"0")</f>
        <v>0</v>
      </c>
      <c r="J2872" s="9">
        <f t="shared" si="183"/>
        <v>2</v>
      </c>
      <c r="K2872" t="s">
        <v>6697</v>
      </c>
      <c r="L2872" t="s">
        <v>6695</v>
      </c>
      <c r="O2872" t="s">
        <v>6694</v>
      </c>
      <c r="S2872" t="s">
        <v>6694</v>
      </c>
      <c r="W2872" t="s">
        <v>6720</v>
      </c>
    </row>
    <row r="2873" spans="1:23" ht="15.6" x14ac:dyDescent="0.4">
      <c r="A2873" s="2" t="s">
        <v>6401</v>
      </c>
      <c r="B2873" s="5" t="s">
        <v>9255</v>
      </c>
      <c r="C2873" s="7" t="s">
        <v>12556</v>
      </c>
      <c r="D2873" s="8">
        <f t="shared" si="180"/>
        <v>0</v>
      </c>
      <c r="E2873" s="7" t="s">
        <v>12557</v>
      </c>
      <c r="F2873" s="7">
        <f t="shared" si="181"/>
        <v>0</v>
      </c>
      <c r="G2873" s="7" t="s">
        <v>12558</v>
      </c>
      <c r="H2873" s="7">
        <f t="shared" si="182"/>
        <v>0</v>
      </c>
      <c r="I2873" s="7" t="str" cm="1">
        <f t="array" ref="I2873">IFERROR(_xlfn.IFS(M2873="נח",1,M2873="נע ונח",1,M2873="שני שווא נח",2,M2873="שני שוואים בסוף מילה",2,M2873="שני שוואים ברצף",1),"0")</f>
        <v>0</v>
      </c>
      <c r="J2873" s="9">
        <f t="shared" si="183"/>
        <v>3</v>
      </c>
      <c r="K2873" t="s">
        <v>6697</v>
      </c>
      <c r="L2873" t="s">
        <v>6695</v>
      </c>
      <c r="O2873" t="s">
        <v>6694</v>
      </c>
      <c r="S2873" t="s">
        <v>6694</v>
      </c>
      <c r="W2873" t="s">
        <v>6720</v>
      </c>
    </row>
    <row r="2874" spans="1:23" ht="15.6" x14ac:dyDescent="0.4">
      <c r="A2874" s="2" t="s">
        <v>5705</v>
      </c>
      <c r="B2874" s="5" t="s">
        <v>9256</v>
      </c>
      <c r="C2874" s="7" t="s">
        <v>12556</v>
      </c>
      <c r="D2874" s="8">
        <f t="shared" si="180"/>
        <v>0</v>
      </c>
      <c r="E2874" s="7" t="s">
        <v>12557</v>
      </c>
      <c r="F2874" s="7">
        <f t="shared" si="181"/>
        <v>0</v>
      </c>
      <c r="G2874" s="7" t="s">
        <v>12558</v>
      </c>
      <c r="H2874" s="7">
        <f t="shared" si="182"/>
        <v>0</v>
      </c>
      <c r="I2874" s="7" t="str" cm="1">
        <f t="array" ref="I2874">IFERROR(_xlfn.IFS(M2874="נח",1,M2874="נע ונח",1,M2874="שני שווא נח",2,M2874="שני שוואים בסוף מילה",2,M2874="שני שוואים ברצף",1),"0")</f>
        <v>0</v>
      </c>
      <c r="J2874" s="9">
        <f t="shared" si="183"/>
        <v>2</v>
      </c>
      <c r="K2874" t="s">
        <v>6698</v>
      </c>
      <c r="L2874" t="s">
        <v>6695</v>
      </c>
      <c r="S2874" t="s">
        <v>6694</v>
      </c>
      <c r="V2874" t="s">
        <v>6694</v>
      </c>
      <c r="W2874" t="s">
        <v>6720</v>
      </c>
    </row>
    <row r="2875" spans="1:23" ht="15.6" x14ac:dyDescent="0.4">
      <c r="A2875" s="2" t="s">
        <v>1064</v>
      </c>
      <c r="B2875" s="5" t="s">
        <v>9257</v>
      </c>
      <c r="C2875" s="7" t="s">
        <v>12556</v>
      </c>
      <c r="D2875" s="8">
        <f t="shared" si="180"/>
        <v>0</v>
      </c>
      <c r="E2875" s="7" t="s">
        <v>12557</v>
      </c>
      <c r="F2875" s="7">
        <f t="shared" si="181"/>
        <v>2</v>
      </c>
      <c r="G2875" s="7" t="s">
        <v>12558</v>
      </c>
      <c r="H2875" s="7">
        <f t="shared" si="182"/>
        <v>1</v>
      </c>
      <c r="I2875" s="7" t="str" cm="1">
        <f t="array" ref="I2875">IFERROR(_xlfn.IFS(M2875="נח",1,M2875="נע ונח",1,M2875="שני שווא נח",2,M2875="שני שוואים בסוף מילה",2,M2875="שני שוואים ברצף",1),"0")</f>
        <v>0</v>
      </c>
      <c r="J2875" s="9">
        <f t="shared" si="183"/>
        <v>2</v>
      </c>
      <c r="K2875" t="s">
        <v>6697</v>
      </c>
      <c r="L2875" t="s">
        <v>6695</v>
      </c>
      <c r="S2875" t="s">
        <v>6694</v>
      </c>
      <c r="U2875" t="s">
        <v>6694</v>
      </c>
      <c r="W2875" t="s">
        <v>6720</v>
      </c>
    </row>
    <row r="2876" spans="1:23" ht="15.6" x14ac:dyDescent="0.4">
      <c r="A2876" s="2" t="s">
        <v>5651</v>
      </c>
      <c r="B2876" s="5" t="s">
        <v>9258</v>
      </c>
      <c r="C2876" s="7" t="s">
        <v>12556</v>
      </c>
      <c r="D2876" s="8">
        <f t="shared" si="180"/>
        <v>0</v>
      </c>
      <c r="E2876" s="7" t="s">
        <v>12557</v>
      </c>
      <c r="F2876" s="7">
        <f t="shared" si="181"/>
        <v>2</v>
      </c>
      <c r="G2876" s="7" t="s">
        <v>12558</v>
      </c>
      <c r="H2876" s="7">
        <f t="shared" si="182"/>
        <v>1</v>
      </c>
      <c r="I2876" s="7" cm="1">
        <f t="array" ref="I2876">IFERROR(_xlfn.IFS(M2876="נח",1,M2876="נע ונח",1,M2876="שני שווא נח",2,M2876="שני שוואים בסוף מילה",2,M2876="שני שוואים ברצף",1),"0")</f>
        <v>1</v>
      </c>
      <c r="J2876" s="9">
        <f t="shared" si="183"/>
        <v>2</v>
      </c>
      <c r="K2876" t="s">
        <v>6697</v>
      </c>
      <c r="L2876" t="s">
        <v>6694</v>
      </c>
      <c r="M2876" t="s">
        <v>6705</v>
      </c>
      <c r="S2876" t="s">
        <v>6694</v>
      </c>
      <c r="U2876" t="s">
        <v>6694</v>
      </c>
      <c r="W2876" t="s">
        <v>6720</v>
      </c>
    </row>
    <row r="2877" spans="1:23" ht="15.6" x14ac:dyDescent="0.4">
      <c r="A2877" s="2" t="s">
        <v>4049</v>
      </c>
      <c r="B2877" s="5" t="s">
        <v>9259</v>
      </c>
      <c r="C2877" s="7" t="s">
        <v>12556</v>
      </c>
      <c r="D2877" s="8">
        <f t="shared" si="180"/>
        <v>0</v>
      </c>
      <c r="E2877" s="7" t="s">
        <v>12557</v>
      </c>
      <c r="F2877" s="7">
        <f t="shared" si="181"/>
        <v>1</v>
      </c>
      <c r="G2877" s="7" t="s">
        <v>12558</v>
      </c>
      <c r="H2877" s="7">
        <f t="shared" si="182"/>
        <v>0</v>
      </c>
      <c r="I2877" s="7" t="str" cm="1">
        <f t="array" ref="I2877">IFERROR(_xlfn.IFS(M2877="נח",1,M2877="נע ונח",1,M2877="שני שווא נח",2,M2877="שני שוואים בסוף מילה",2,M2877="שני שוואים ברצף",1),"0")</f>
        <v>0</v>
      </c>
      <c r="J2877" s="9">
        <f t="shared" si="183"/>
        <v>2</v>
      </c>
      <c r="K2877" t="s">
        <v>6698</v>
      </c>
      <c r="L2877" t="s">
        <v>6695</v>
      </c>
      <c r="Q2877" t="s">
        <v>6694</v>
      </c>
      <c r="S2877" t="s">
        <v>6694</v>
      </c>
      <c r="W2877" t="s">
        <v>6720</v>
      </c>
    </row>
    <row r="2878" spans="1:23" ht="15.6" x14ac:dyDescent="0.4">
      <c r="A2878" s="2" t="s">
        <v>348</v>
      </c>
      <c r="B2878" s="5" t="s">
        <v>9260</v>
      </c>
      <c r="C2878" s="7" t="s">
        <v>12556</v>
      </c>
      <c r="D2878" s="8">
        <f t="shared" si="180"/>
        <v>0</v>
      </c>
      <c r="E2878" s="7" t="s">
        <v>12557</v>
      </c>
      <c r="F2878" s="7">
        <f t="shared" si="181"/>
        <v>2</v>
      </c>
      <c r="G2878" s="7" t="s">
        <v>12558</v>
      </c>
      <c r="H2878" s="7">
        <f t="shared" si="182"/>
        <v>0</v>
      </c>
      <c r="I2878" s="7" cm="1">
        <f t="array" ref="I2878">IFERROR(_xlfn.IFS(M2878="נח",1,M2878="נע ונח",1,M2878="שני שווא נח",2,M2878="שני שוואים בסוף מילה",2,M2878="שני שוואים ברצף",1),"0")</f>
        <v>1</v>
      </c>
      <c r="J2878" s="9">
        <f t="shared" si="183"/>
        <v>3</v>
      </c>
      <c r="K2878" t="s">
        <v>6698</v>
      </c>
      <c r="L2878" t="s">
        <v>6694</v>
      </c>
      <c r="M2878" t="s">
        <v>6705</v>
      </c>
      <c r="O2878" t="s">
        <v>6694</v>
      </c>
      <c r="P2878" t="s">
        <v>6694</v>
      </c>
      <c r="S2878" t="s">
        <v>6694</v>
      </c>
      <c r="W2878" t="s">
        <v>6720</v>
      </c>
    </row>
    <row r="2879" spans="1:23" ht="15.6" x14ac:dyDescent="0.4">
      <c r="A2879" s="2" t="s">
        <v>968</v>
      </c>
      <c r="B2879" s="5" t="s">
        <v>9261</v>
      </c>
      <c r="C2879" s="7" t="s">
        <v>12556</v>
      </c>
      <c r="D2879" s="8">
        <f t="shared" si="180"/>
        <v>0</v>
      </c>
      <c r="E2879" s="7" t="s">
        <v>12557</v>
      </c>
      <c r="F2879" s="7">
        <f t="shared" si="181"/>
        <v>1</v>
      </c>
      <c r="G2879" s="7" t="s">
        <v>12558</v>
      </c>
      <c r="H2879" s="7">
        <f t="shared" si="182"/>
        <v>0</v>
      </c>
      <c r="I2879" s="7" t="str" cm="1">
        <f t="array" ref="I2879">IFERROR(_xlfn.IFS(M2879="נח",1,M2879="נע ונח",1,M2879="שני שווא נח",2,M2879="שני שוואים בסוף מילה",2,M2879="שני שוואים ברצף",1),"0")</f>
        <v>0</v>
      </c>
      <c r="J2879" s="9">
        <f t="shared" si="183"/>
        <v>2</v>
      </c>
      <c r="K2879" t="s">
        <v>6698</v>
      </c>
      <c r="L2879" t="s">
        <v>6695</v>
      </c>
      <c r="N2879" t="s">
        <v>6706</v>
      </c>
      <c r="O2879" t="s">
        <v>6694</v>
      </c>
      <c r="S2879" t="s">
        <v>6694</v>
      </c>
      <c r="W2879" t="s">
        <v>6720</v>
      </c>
    </row>
    <row r="2880" spans="1:23" ht="15.6" x14ac:dyDescent="0.4">
      <c r="A2880" s="2" t="s">
        <v>2931</v>
      </c>
      <c r="B2880" s="5" t="s">
        <v>9262</v>
      </c>
      <c r="C2880" s="7" t="s">
        <v>12556</v>
      </c>
      <c r="D2880" s="8">
        <f t="shared" si="180"/>
        <v>0</v>
      </c>
      <c r="E2880" s="7" t="s">
        <v>12557</v>
      </c>
      <c r="F2880" s="7">
        <f t="shared" si="181"/>
        <v>1</v>
      </c>
      <c r="G2880" s="7" t="s">
        <v>12558</v>
      </c>
      <c r="H2880" s="7">
        <f t="shared" si="182"/>
        <v>0</v>
      </c>
      <c r="I2880" s="7" t="str" cm="1">
        <f t="array" ref="I2880">IFERROR(_xlfn.IFS(M2880="נח",1,M2880="נע ונח",1,M2880="שני שווא נח",2,M2880="שני שוואים בסוף מילה",2,M2880="שני שוואים ברצף",1),"0")</f>
        <v>0</v>
      </c>
      <c r="J2880" s="9">
        <f t="shared" si="183"/>
        <v>3</v>
      </c>
      <c r="K2880" t="s">
        <v>6697</v>
      </c>
      <c r="L2880" t="s">
        <v>6695</v>
      </c>
      <c r="O2880" t="s">
        <v>6694</v>
      </c>
      <c r="R2880" t="s">
        <v>6694</v>
      </c>
      <c r="S2880" t="s">
        <v>6694</v>
      </c>
      <c r="W2880" t="s">
        <v>6720</v>
      </c>
    </row>
    <row r="2881" spans="1:23" ht="15.6" x14ac:dyDescent="0.4">
      <c r="A2881" s="2" t="s">
        <v>1893</v>
      </c>
      <c r="B2881" s="5" t="s">
        <v>9263</v>
      </c>
      <c r="C2881" s="7" t="s">
        <v>12556</v>
      </c>
      <c r="D2881" s="8">
        <f t="shared" si="180"/>
        <v>0</v>
      </c>
      <c r="E2881" s="7" t="s">
        <v>12557</v>
      </c>
      <c r="F2881" s="7">
        <f t="shared" si="181"/>
        <v>1</v>
      </c>
      <c r="G2881" s="7" t="s">
        <v>12558</v>
      </c>
      <c r="H2881" s="7">
        <f t="shared" si="182"/>
        <v>0</v>
      </c>
      <c r="I2881" s="7" t="str" cm="1">
        <f t="array" ref="I2881">IFERROR(_xlfn.IFS(M2881="נח",1,M2881="נע ונח",1,M2881="שני שווא נח",2,M2881="שני שוואים בסוף מילה",2,M2881="שני שוואים ברצף",1),"0")</f>
        <v>0</v>
      </c>
      <c r="J2881" s="9">
        <f t="shared" si="183"/>
        <v>2</v>
      </c>
      <c r="K2881" t="s">
        <v>6698</v>
      </c>
      <c r="L2881" t="s">
        <v>6695</v>
      </c>
      <c r="N2881" t="s">
        <v>6706</v>
      </c>
      <c r="O2881" t="s">
        <v>6694</v>
      </c>
      <c r="S2881" t="s">
        <v>6694</v>
      </c>
      <c r="W2881" t="s">
        <v>6720</v>
      </c>
    </row>
    <row r="2882" spans="1:23" ht="15.6" x14ac:dyDescent="0.4">
      <c r="A2882" s="2" t="s">
        <v>2444</v>
      </c>
      <c r="B2882" s="5" t="s">
        <v>9264</v>
      </c>
      <c r="C2882" s="7" t="s">
        <v>12556</v>
      </c>
      <c r="D2882" s="8">
        <f t="shared" si="180"/>
        <v>0</v>
      </c>
      <c r="E2882" s="7" t="s">
        <v>12557</v>
      </c>
      <c r="F2882" s="7">
        <f t="shared" si="181"/>
        <v>1</v>
      </c>
      <c r="G2882" s="7" t="s">
        <v>12558</v>
      </c>
      <c r="H2882" s="7">
        <f t="shared" si="182"/>
        <v>0</v>
      </c>
      <c r="I2882" s="7" t="str" cm="1">
        <f t="array" ref="I2882">IFERROR(_xlfn.IFS(M2882="נח",1,M2882="נע ונח",1,M2882="שני שווא נח",2,M2882="שני שוואים בסוף מילה",2,M2882="שני שוואים ברצף",1),"0")</f>
        <v>0</v>
      </c>
      <c r="J2882" s="9">
        <f t="shared" si="183"/>
        <v>2</v>
      </c>
      <c r="K2882" t="s">
        <v>6698</v>
      </c>
      <c r="L2882" t="s">
        <v>6695</v>
      </c>
      <c r="N2882" t="s">
        <v>6706</v>
      </c>
      <c r="O2882" t="s">
        <v>6694</v>
      </c>
      <c r="S2882" t="s">
        <v>6694</v>
      </c>
      <c r="W2882" t="s">
        <v>6720</v>
      </c>
    </row>
    <row r="2883" spans="1:23" ht="15.6" x14ac:dyDescent="0.4">
      <c r="A2883" s="2" t="s">
        <v>4735</v>
      </c>
      <c r="B2883" s="5" t="s">
        <v>9265</v>
      </c>
      <c r="C2883" s="7" t="s">
        <v>12556</v>
      </c>
      <c r="D2883" s="8">
        <f t="shared" ref="D2883:D2946" si="184">(LEN(B2883)-LEN(SUBSTITUTE(B2883,C2883,"")))</f>
        <v>1</v>
      </c>
      <c r="E2883" s="7" t="s">
        <v>12557</v>
      </c>
      <c r="F2883" s="7">
        <f t="shared" ref="F2883:F2946" si="185">(LEN(A2883)-LEN(SUBSTITUTE(A2883,E2883,"")))</f>
        <v>2</v>
      </c>
      <c r="G2883" s="7" t="s">
        <v>12558</v>
      </c>
      <c r="H2883" s="7">
        <f t="shared" ref="H2883:H2946" si="186">(LEN(A2883)-LEN(SUBSTITUTE(A2883,G2883,"")))/2</f>
        <v>0</v>
      </c>
      <c r="I2883" s="7" cm="1">
        <f t="array" ref="I2883">IFERROR(_xlfn.IFS(M2883="נח",1,M2883="נע ונח",1,M2883="שני שווא נח",2,M2883="שני שוואים בסוף מילה",2,M2883="שני שוואים ברצף",1),"0")</f>
        <v>1</v>
      </c>
      <c r="J2883" s="9">
        <f t="shared" ref="J2883:J2946" si="187">LEN(A2883)-(LEN(B2883))-D2883-F2883+H2883-I2883</f>
        <v>3</v>
      </c>
      <c r="K2883" t="s">
        <v>6697</v>
      </c>
      <c r="L2883" t="s">
        <v>6694</v>
      </c>
      <c r="M2883" t="s">
        <v>6705</v>
      </c>
      <c r="P2883" t="s">
        <v>6694</v>
      </c>
      <c r="S2883" t="s">
        <v>6694</v>
      </c>
      <c r="W2883" t="s">
        <v>6720</v>
      </c>
    </row>
    <row r="2884" spans="1:23" ht="15.6" x14ac:dyDescent="0.4">
      <c r="A2884" s="2" t="s">
        <v>5160</v>
      </c>
      <c r="B2884" s="5" t="s">
        <v>9266</v>
      </c>
      <c r="C2884" s="7" t="s">
        <v>12556</v>
      </c>
      <c r="D2884" s="8">
        <f t="shared" si="184"/>
        <v>0</v>
      </c>
      <c r="E2884" s="7" t="s">
        <v>12557</v>
      </c>
      <c r="F2884" s="7">
        <f t="shared" si="185"/>
        <v>0</v>
      </c>
      <c r="G2884" s="7" t="s">
        <v>12558</v>
      </c>
      <c r="H2884" s="7">
        <f t="shared" si="186"/>
        <v>0</v>
      </c>
      <c r="I2884" s="7" t="str" cm="1">
        <f t="array" ref="I2884">IFERROR(_xlfn.IFS(M2884="נח",1,M2884="נע ונח",1,M2884="שני שווא נח",2,M2884="שני שוואים בסוף מילה",2,M2884="שני שוואים ברצף",1),"0")</f>
        <v>0</v>
      </c>
      <c r="J2884" s="9">
        <f t="shared" si="187"/>
        <v>1</v>
      </c>
      <c r="K2884" t="s">
        <v>6698</v>
      </c>
      <c r="L2884" t="s">
        <v>6695</v>
      </c>
      <c r="Q2884" t="s">
        <v>6694</v>
      </c>
      <c r="W2884" t="s">
        <v>6720</v>
      </c>
    </row>
    <row r="2885" spans="1:23" ht="15.6" x14ac:dyDescent="0.4">
      <c r="A2885" s="2" t="s">
        <v>2874</v>
      </c>
      <c r="B2885" s="5" t="s">
        <v>9267</v>
      </c>
      <c r="C2885" s="7" t="s">
        <v>12556</v>
      </c>
      <c r="D2885" s="8">
        <f t="shared" si="184"/>
        <v>0</v>
      </c>
      <c r="E2885" s="7" t="s">
        <v>12557</v>
      </c>
      <c r="F2885" s="7">
        <f t="shared" si="185"/>
        <v>0</v>
      </c>
      <c r="G2885" s="7" t="s">
        <v>12558</v>
      </c>
      <c r="H2885" s="7">
        <f t="shared" si="186"/>
        <v>0</v>
      </c>
      <c r="I2885" s="7" t="str" cm="1">
        <f t="array" ref="I2885">IFERROR(_xlfn.IFS(M2885="נח",1,M2885="נע ונח",1,M2885="שני שווא נח",2,M2885="שני שוואים בסוף מילה",2,M2885="שני שוואים ברצף",1),"0")</f>
        <v>0</v>
      </c>
      <c r="J2885" s="9">
        <f t="shared" si="187"/>
        <v>3</v>
      </c>
      <c r="K2885" t="s">
        <v>6697</v>
      </c>
      <c r="L2885" t="s">
        <v>6695</v>
      </c>
      <c r="O2885" t="s">
        <v>6694</v>
      </c>
      <c r="Q2885" t="s">
        <v>6694</v>
      </c>
      <c r="R2885" t="s">
        <v>6694</v>
      </c>
      <c r="W2885" t="s">
        <v>6720</v>
      </c>
    </row>
    <row r="2886" spans="1:23" ht="15.6" x14ac:dyDescent="0.4">
      <c r="A2886" s="2" t="s">
        <v>3823</v>
      </c>
      <c r="B2886" s="5" t="s">
        <v>9268</v>
      </c>
      <c r="C2886" s="7" t="s">
        <v>12556</v>
      </c>
      <c r="D2886" s="8">
        <f t="shared" si="184"/>
        <v>0</v>
      </c>
      <c r="E2886" s="7" t="s">
        <v>12557</v>
      </c>
      <c r="F2886" s="7">
        <f t="shared" si="185"/>
        <v>0</v>
      </c>
      <c r="G2886" s="7" t="s">
        <v>12558</v>
      </c>
      <c r="H2886" s="7">
        <f t="shared" si="186"/>
        <v>0</v>
      </c>
      <c r="I2886" s="7" t="str" cm="1">
        <f t="array" ref="I2886">IFERROR(_xlfn.IFS(M2886="נח",1,M2886="נע ונח",1,M2886="שני שווא נח",2,M2886="שני שוואים בסוף מילה",2,M2886="שני שוואים ברצף",1),"0")</f>
        <v>0</v>
      </c>
      <c r="J2886" s="9">
        <f t="shared" si="187"/>
        <v>2</v>
      </c>
      <c r="K2886" t="s">
        <v>6698</v>
      </c>
      <c r="L2886" t="s">
        <v>6695</v>
      </c>
      <c r="N2886" t="s">
        <v>6706</v>
      </c>
      <c r="O2886" t="s">
        <v>6694</v>
      </c>
      <c r="Q2886" t="s">
        <v>6694</v>
      </c>
      <c r="W2886" t="s">
        <v>6720</v>
      </c>
    </row>
    <row r="2887" spans="1:23" ht="15.6" x14ac:dyDescent="0.4">
      <c r="A2887" s="2" t="s">
        <v>5664</v>
      </c>
      <c r="B2887" s="5" t="s">
        <v>9269</v>
      </c>
      <c r="C2887" s="7" t="s">
        <v>12556</v>
      </c>
      <c r="D2887" s="8">
        <f t="shared" si="184"/>
        <v>0</v>
      </c>
      <c r="E2887" s="7" t="s">
        <v>12557</v>
      </c>
      <c r="F2887" s="7">
        <f t="shared" si="185"/>
        <v>0</v>
      </c>
      <c r="G2887" s="7" t="s">
        <v>12558</v>
      </c>
      <c r="H2887" s="7">
        <f t="shared" si="186"/>
        <v>0</v>
      </c>
      <c r="I2887" s="7" cm="1">
        <f t="array" ref="I2887">IFERROR(_xlfn.IFS(M2887="נח",1,M2887="נע ונח",1,M2887="שני שווא נח",2,M2887="שני שוואים בסוף מילה",2,M2887="שני שוואים ברצף",1),"0")</f>
        <v>1</v>
      </c>
      <c r="J2887" s="9">
        <f t="shared" si="187"/>
        <v>2</v>
      </c>
      <c r="K2887" t="s">
        <v>6697</v>
      </c>
      <c r="L2887" t="s">
        <v>6694</v>
      </c>
      <c r="M2887" t="s">
        <v>6705</v>
      </c>
      <c r="O2887" t="s">
        <v>6694</v>
      </c>
      <c r="Q2887" t="s">
        <v>6694</v>
      </c>
      <c r="W2887" t="s">
        <v>6720</v>
      </c>
    </row>
    <row r="2888" spans="1:23" ht="15.6" x14ac:dyDescent="0.4">
      <c r="A2888" s="2" t="s">
        <v>1002</v>
      </c>
      <c r="B2888" s="5" t="s">
        <v>9270</v>
      </c>
      <c r="C2888" s="7" t="s">
        <v>12556</v>
      </c>
      <c r="D2888" s="8">
        <f t="shared" si="184"/>
        <v>0</v>
      </c>
      <c r="E2888" s="7" t="s">
        <v>12557</v>
      </c>
      <c r="F2888" s="7">
        <f t="shared" si="185"/>
        <v>0</v>
      </c>
      <c r="G2888" s="7" t="s">
        <v>12558</v>
      </c>
      <c r="H2888" s="7">
        <f t="shared" si="186"/>
        <v>0</v>
      </c>
      <c r="I2888" s="7" t="str" cm="1">
        <f t="array" ref="I2888">IFERROR(_xlfn.IFS(M2888="נח",1,M2888="נע ונח",1,M2888="שני שווא נח",2,M2888="שני שוואים בסוף מילה",2,M2888="שני שוואים ברצף",1),"0")</f>
        <v>0</v>
      </c>
      <c r="J2888" s="9">
        <f t="shared" si="187"/>
        <v>2</v>
      </c>
      <c r="K2888" t="s">
        <v>6697</v>
      </c>
      <c r="L2888" t="s">
        <v>6695</v>
      </c>
      <c r="Q2888" t="s">
        <v>6694</v>
      </c>
      <c r="S2888" t="s">
        <v>6694</v>
      </c>
      <c r="W2888" t="s">
        <v>6720</v>
      </c>
    </row>
    <row r="2889" spans="1:23" ht="15.6" x14ac:dyDescent="0.4">
      <c r="A2889" s="2" t="s">
        <v>5487</v>
      </c>
      <c r="B2889" s="5" t="s">
        <v>9271</v>
      </c>
      <c r="C2889" s="7" t="s">
        <v>12556</v>
      </c>
      <c r="D2889" s="8">
        <f t="shared" si="184"/>
        <v>0</v>
      </c>
      <c r="E2889" s="7" t="s">
        <v>12557</v>
      </c>
      <c r="F2889" s="7">
        <f t="shared" si="185"/>
        <v>0</v>
      </c>
      <c r="G2889" s="7" t="s">
        <v>12558</v>
      </c>
      <c r="H2889" s="7">
        <f t="shared" si="186"/>
        <v>0</v>
      </c>
      <c r="I2889" s="7" t="str" cm="1">
        <f t="array" ref="I2889">IFERROR(_xlfn.IFS(M2889="נח",1,M2889="נע ונח",1,M2889="שני שווא נח",2,M2889="שני שוואים בסוף מילה",2,M2889="שני שוואים ברצף",1),"0")</f>
        <v>0</v>
      </c>
      <c r="J2889" s="9">
        <f t="shared" si="187"/>
        <v>2</v>
      </c>
      <c r="K2889" t="s">
        <v>6698</v>
      </c>
      <c r="L2889" t="s">
        <v>6695</v>
      </c>
      <c r="N2889" t="s">
        <v>6706</v>
      </c>
      <c r="O2889" t="s">
        <v>6694</v>
      </c>
      <c r="Q2889" t="s">
        <v>6694</v>
      </c>
      <c r="W2889" t="s">
        <v>6720</v>
      </c>
    </row>
    <row r="2890" spans="1:23" ht="15.6" x14ac:dyDescent="0.4">
      <c r="A2890" s="2" t="s">
        <v>1380</v>
      </c>
      <c r="B2890" s="5" t="s">
        <v>9272</v>
      </c>
      <c r="C2890" s="7" t="s">
        <v>12556</v>
      </c>
      <c r="D2890" s="8">
        <f t="shared" si="184"/>
        <v>0</v>
      </c>
      <c r="E2890" s="7" t="s">
        <v>12557</v>
      </c>
      <c r="F2890" s="7">
        <f t="shared" si="185"/>
        <v>0</v>
      </c>
      <c r="G2890" s="7" t="s">
        <v>12558</v>
      </c>
      <c r="H2890" s="7">
        <f t="shared" si="186"/>
        <v>0</v>
      </c>
      <c r="I2890" s="7" t="str" cm="1">
        <f t="array" ref="I2890">IFERROR(_xlfn.IFS(M2890="נח",1,M2890="נע ונח",1,M2890="שני שווא נח",2,M2890="שני שוואים בסוף מילה",2,M2890="שני שוואים ברצף",1),"0")</f>
        <v>0</v>
      </c>
      <c r="J2890" s="9">
        <f t="shared" si="187"/>
        <v>2</v>
      </c>
      <c r="K2890" t="s">
        <v>6698</v>
      </c>
      <c r="L2890" t="s">
        <v>6695</v>
      </c>
      <c r="Q2890" t="s">
        <v>6694</v>
      </c>
      <c r="R2890" t="s">
        <v>6694</v>
      </c>
      <c r="W2890" t="s">
        <v>6720</v>
      </c>
    </row>
    <row r="2891" spans="1:23" ht="15.6" x14ac:dyDescent="0.4">
      <c r="A2891" s="2" t="s">
        <v>5167</v>
      </c>
      <c r="B2891" s="5" t="s">
        <v>9273</v>
      </c>
      <c r="C2891" s="7" t="s">
        <v>12556</v>
      </c>
      <c r="D2891" s="8">
        <f t="shared" si="184"/>
        <v>0</v>
      </c>
      <c r="E2891" s="7" t="s">
        <v>12557</v>
      </c>
      <c r="F2891" s="7">
        <f t="shared" si="185"/>
        <v>0</v>
      </c>
      <c r="G2891" s="7" t="s">
        <v>12558</v>
      </c>
      <c r="H2891" s="7">
        <f t="shared" si="186"/>
        <v>0</v>
      </c>
      <c r="I2891" s="7" t="str" cm="1">
        <f t="array" ref="I2891">IFERROR(_xlfn.IFS(M2891="נח",1,M2891="נע ונח",1,M2891="שני שווא נח",2,M2891="שני שוואים בסוף מילה",2,M2891="שני שוואים ברצף",1),"0")</f>
        <v>0</v>
      </c>
      <c r="J2891" s="9">
        <f t="shared" si="187"/>
        <v>3</v>
      </c>
      <c r="K2891" t="s">
        <v>6697</v>
      </c>
      <c r="L2891" t="s">
        <v>6695</v>
      </c>
      <c r="O2891" t="s">
        <v>6694</v>
      </c>
      <c r="Q2891" t="s">
        <v>6694</v>
      </c>
      <c r="R2891" t="s">
        <v>6694</v>
      </c>
      <c r="W2891" t="s">
        <v>6720</v>
      </c>
    </row>
    <row r="2892" spans="1:23" ht="15.6" x14ac:dyDescent="0.4">
      <c r="A2892" s="2" t="s">
        <v>2494</v>
      </c>
      <c r="B2892" s="5" t="s">
        <v>9274</v>
      </c>
      <c r="C2892" s="7" t="s">
        <v>12556</v>
      </c>
      <c r="D2892" s="8">
        <f t="shared" si="184"/>
        <v>0</v>
      </c>
      <c r="E2892" s="7" t="s">
        <v>12557</v>
      </c>
      <c r="F2892" s="7">
        <f t="shared" si="185"/>
        <v>0</v>
      </c>
      <c r="G2892" s="7" t="s">
        <v>12558</v>
      </c>
      <c r="H2892" s="7">
        <f t="shared" si="186"/>
        <v>0</v>
      </c>
      <c r="I2892" s="7" t="str" cm="1">
        <f t="array" ref="I2892">IFERROR(_xlfn.IFS(M2892="נח",1,M2892="נע ונח",1,M2892="שני שווא נח",2,M2892="שני שוואים בסוף מילה",2,M2892="שני שוואים ברצף",1),"0")</f>
        <v>0</v>
      </c>
      <c r="J2892" s="9">
        <f t="shared" si="187"/>
        <v>2</v>
      </c>
      <c r="K2892" t="s">
        <v>6697</v>
      </c>
      <c r="L2892" t="s">
        <v>6695</v>
      </c>
      <c r="O2892" t="s">
        <v>6694</v>
      </c>
      <c r="Q2892" t="s">
        <v>6694</v>
      </c>
      <c r="W2892" t="s">
        <v>6720</v>
      </c>
    </row>
    <row r="2893" spans="1:23" ht="15.6" x14ac:dyDescent="0.4">
      <c r="A2893" s="2" t="s">
        <v>4713</v>
      </c>
      <c r="B2893" s="5" t="s">
        <v>9225</v>
      </c>
      <c r="C2893" s="7" t="s">
        <v>12556</v>
      </c>
      <c r="D2893" s="8">
        <f t="shared" si="184"/>
        <v>0</v>
      </c>
      <c r="E2893" s="7" t="s">
        <v>12557</v>
      </c>
      <c r="F2893" s="7">
        <f t="shared" si="185"/>
        <v>0</v>
      </c>
      <c r="G2893" s="7" t="s">
        <v>12558</v>
      </c>
      <c r="H2893" s="7">
        <f t="shared" si="186"/>
        <v>0</v>
      </c>
      <c r="I2893" s="7" t="str" cm="1">
        <f t="array" ref="I2893">IFERROR(_xlfn.IFS(M2893="נח",1,M2893="נע ונח",1,M2893="שני שווא נח",2,M2893="שני שוואים בסוף מילה",2,M2893="שני שוואים ברצף",1),"0")</f>
        <v>0</v>
      </c>
      <c r="J2893" s="9">
        <f t="shared" si="187"/>
        <v>2</v>
      </c>
      <c r="K2893" t="s">
        <v>6698</v>
      </c>
      <c r="L2893" t="s">
        <v>6695</v>
      </c>
      <c r="Q2893" t="s">
        <v>6694</v>
      </c>
      <c r="V2893" t="s">
        <v>6694</v>
      </c>
      <c r="W2893" t="s">
        <v>6720</v>
      </c>
    </row>
    <row r="2894" spans="1:23" ht="15.6" x14ac:dyDescent="0.4">
      <c r="A2894" s="2" t="s">
        <v>3685</v>
      </c>
      <c r="B2894" s="5" t="s">
        <v>9275</v>
      </c>
      <c r="C2894" s="7" t="s">
        <v>12556</v>
      </c>
      <c r="D2894" s="8">
        <f t="shared" si="184"/>
        <v>0</v>
      </c>
      <c r="E2894" s="7" t="s">
        <v>12557</v>
      </c>
      <c r="F2894" s="7">
        <f t="shared" si="185"/>
        <v>0</v>
      </c>
      <c r="G2894" s="7" t="s">
        <v>12558</v>
      </c>
      <c r="H2894" s="7">
        <f t="shared" si="186"/>
        <v>0</v>
      </c>
      <c r="I2894" s="7" t="str" cm="1">
        <f t="array" ref="I2894">IFERROR(_xlfn.IFS(M2894="נח",1,M2894="נע ונח",1,M2894="שני שווא נח",2,M2894="שני שוואים בסוף מילה",2,M2894="שני שוואים ברצף",1),"0")</f>
        <v>0</v>
      </c>
      <c r="J2894" s="9">
        <f t="shared" si="187"/>
        <v>1</v>
      </c>
      <c r="K2894" t="s">
        <v>6698</v>
      </c>
      <c r="L2894" t="s">
        <v>6695</v>
      </c>
      <c r="Q2894" t="s">
        <v>6694</v>
      </c>
      <c r="W2894" t="s">
        <v>6720</v>
      </c>
    </row>
    <row r="2895" spans="1:23" ht="15.6" x14ac:dyDescent="0.4">
      <c r="A2895" s="2" t="s">
        <v>4343</v>
      </c>
      <c r="B2895" s="5" t="s">
        <v>9276</v>
      </c>
      <c r="C2895" s="7" t="s">
        <v>12556</v>
      </c>
      <c r="D2895" s="8">
        <f t="shared" si="184"/>
        <v>1</v>
      </c>
      <c r="E2895" s="7" t="s">
        <v>12557</v>
      </c>
      <c r="F2895" s="7">
        <f t="shared" si="185"/>
        <v>0</v>
      </c>
      <c r="G2895" s="7" t="s">
        <v>12558</v>
      </c>
      <c r="H2895" s="7">
        <f t="shared" si="186"/>
        <v>0</v>
      </c>
      <c r="I2895" s="7" t="str" cm="1">
        <f t="array" ref="I2895">IFERROR(_xlfn.IFS(M2895="נח",1,M2895="נע ונח",1,M2895="שני שווא נח",2,M2895="שני שוואים בסוף מילה",2,M2895="שני שוואים ברצף",1),"0")</f>
        <v>0</v>
      </c>
      <c r="J2895" s="9">
        <f t="shared" si="187"/>
        <v>2</v>
      </c>
      <c r="K2895" t="s">
        <v>6698</v>
      </c>
      <c r="L2895" t="s">
        <v>6695</v>
      </c>
      <c r="Q2895" t="s">
        <v>6694</v>
      </c>
      <c r="R2895" t="s">
        <v>6694</v>
      </c>
      <c r="W2895" t="s">
        <v>6720</v>
      </c>
    </row>
    <row r="2896" spans="1:23" ht="15.6" x14ac:dyDescent="0.4">
      <c r="A2896" s="2" t="s">
        <v>4348</v>
      </c>
      <c r="B2896" s="5" t="s">
        <v>9277</v>
      </c>
      <c r="C2896" s="7" t="s">
        <v>12556</v>
      </c>
      <c r="D2896" s="8">
        <f t="shared" si="184"/>
        <v>0</v>
      </c>
      <c r="E2896" s="7" t="s">
        <v>12557</v>
      </c>
      <c r="F2896" s="7">
        <f t="shared" si="185"/>
        <v>0</v>
      </c>
      <c r="G2896" s="7" t="s">
        <v>12558</v>
      </c>
      <c r="H2896" s="7">
        <f t="shared" si="186"/>
        <v>0</v>
      </c>
      <c r="I2896" s="7" t="str" cm="1">
        <f t="array" ref="I2896">IFERROR(_xlfn.IFS(M2896="נח",1,M2896="נע ונח",1,M2896="שני שווא נח",2,M2896="שני שוואים בסוף מילה",2,M2896="שני שוואים ברצף",1),"0")</f>
        <v>0</v>
      </c>
      <c r="J2896" s="9">
        <f t="shared" si="187"/>
        <v>1</v>
      </c>
      <c r="K2896" t="s">
        <v>6698</v>
      </c>
      <c r="L2896" t="s">
        <v>6695</v>
      </c>
      <c r="Q2896" t="s">
        <v>6694</v>
      </c>
      <c r="W2896" t="s">
        <v>6720</v>
      </c>
    </row>
    <row r="2897" spans="1:23" ht="15.6" x14ac:dyDescent="0.4">
      <c r="A2897" s="2" t="s">
        <v>5489</v>
      </c>
      <c r="B2897" s="5" t="s">
        <v>9278</v>
      </c>
      <c r="C2897" s="7" t="s">
        <v>12556</v>
      </c>
      <c r="D2897" s="8">
        <f t="shared" si="184"/>
        <v>0</v>
      </c>
      <c r="E2897" s="7" t="s">
        <v>12557</v>
      </c>
      <c r="F2897" s="7">
        <f t="shared" si="185"/>
        <v>1</v>
      </c>
      <c r="G2897" s="7" t="s">
        <v>12558</v>
      </c>
      <c r="H2897" s="7">
        <f t="shared" si="186"/>
        <v>1</v>
      </c>
      <c r="I2897" s="7" cm="1">
        <f t="array" ref="I2897">IFERROR(_xlfn.IFS(M2897="נח",1,M2897="נע ונח",1,M2897="שני שווא נח",2,M2897="שני שוואים בסוף מילה",2,M2897="שני שוואים ברצף",1),"0")</f>
        <v>1</v>
      </c>
      <c r="J2897" s="9">
        <f t="shared" si="187"/>
        <v>3</v>
      </c>
      <c r="K2897" t="s">
        <v>6697</v>
      </c>
      <c r="L2897" t="s">
        <v>6694</v>
      </c>
      <c r="M2897" t="s">
        <v>6705</v>
      </c>
      <c r="O2897" t="s">
        <v>6694</v>
      </c>
      <c r="Q2897" t="s">
        <v>6694</v>
      </c>
      <c r="U2897" t="s">
        <v>6694</v>
      </c>
      <c r="W2897" t="s">
        <v>6720</v>
      </c>
    </row>
    <row r="2898" spans="1:23" ht="15.6" x14ac:dyDescent="0.4">
      <c r="A2898" s="2" t="s">
        <v>3590</v>
      </c>
      <c r="B2898" s="5" t="s">
        <v>9279</v>
      </c>
      <c r="C2898" s="7" t="s">
        <v>12556</v>
      </c>
      <c r="D2898" s="8">
        <f t="shared" si="184"/>
        <v>0</v>
      </c>
      <c r="E2898" s="7" t="s">
        <v>12557</v>
      </c>
      <c r="F2898" s="7">
        <f t="shared" si="185"/>
        <v>1</v>
      </c>
      <c r="G2898" s="7" t="s">
        <v>12558</v>
      </c>
      <c r="H2898" s="7">
        <f t="shared" si="186"/>
        <v>1</v>
      </c>
      <c r="I2898" s="7" cm="1">
        <f t="array" ref="I2898">IFERROR(_xlfn.IFS(M2898="נח",1,M2898="נע ונח",1,M2898="שני שווא נח",2,M2898="שני שוואים בסוף מילה",2,M2898="שני שוואים ברצף",1),"0")</f>
        <v>1</v>
      </c>
      <c r="J2898" s="9">
        <f t="shared" si="187"/>
        <v>3</v>
      </c>
      <c r="K2898" t="s">
        <v>6697</v>
      </c>
      <c r="L2898" t="s">
        <v>6694</v>
      </c>
      <c r="M2898" t="s">
        <v>6705</v>
      </c>
      <c r="Q2898" t="s">
        <v>6694</v>
      </c>
      <c r="S2898" t="s">
        <v>6694</v>
      </c>
      <c r="U2898" t="s">
        <v>6694</v>
      </c>
      <c r="W2898" t="s">
        <v>6720</v>
      </c>
    </row>
    <row r="2899" spans="1:23" ht="15.6" x14ac:dyDescent="0.4">
      <c r="A2899" s="2" t="s">
        <v>4107</v>
      </c>
      <c r="B2899" s="5" t="s">
        <v>9280</v>
      </c>
      <c r="C2899" s="7" t="s">
        <v>12556</v>
      </c>
      <c r="D2899" s="8">
        <f t="shared" si="184"/>
        <v>0</v>
      </c>
      <c r="E2899" s="7" t="s">
        <v>12557</v>
      </c>
      <c r="F2899" s="7">
        <f t="shared" si="185"/>
        <v>0</v>
      </c>
      <c r="G2899" s="7" t="s">
        <v>12558</v>
      </c>
      <c r="H2899" s="7">
        <f t="shared" si="186"/>
        <v>0</v>
      </c>
      <c r="I2899" s="7" t="str" cm="1">
        <f t="array" ref="I2899">IFERROR(_xlfn.IFS(M2899="נח",1,M2899="נע ונח",1,M2899="שני שווא נח",2,M2899="שני שוואים בסוף מילה",2,M2899="שני שוואים ברצף",1),"0")</f>
        <v>0</v>
      </c>
      <c r="J2899" s="9">
        <f t="shared" si="187"/>
        <v>2</v>
      </c>
      <c r="K2899" t="s">
        <v>6698</v>
      </c>
      <c r="L2899" t="s">
        <v>6695</v>
      </c>
      <c r="Q2899" t="s">
        <v>6694</v>
      </c>
      <c r="W2899" t="s">
        <v>6720</v>
      </c>
    </row>
    <row r="2900" spans="1:23" ht="15.6" x14ac:dyDescent="0.4">
      <c r="A2900" s="2" t="s">
        <v>4141</v>
      </c>
      <c r="B2900" s="5" t="s">
        <v>9281</v>
      </c>
      <c r="C2900" s="7" t="s">
        <v>12556</v>
      </c>
      <c r="D2900" s="8">
        <f t="shared" si="184"/>
        <v>1</v>
      </c>
      <c r="E2900" s="7" t="s">
        <v>12557</v>
      </c>
      <c r="F2900" s="7">
        <f t="shared" si="185"/>
        <v>0</v>
      </c>
      <c r="G2900" s="7" t="s">
        <v>12558</v>
      </c>
      <c r="H2900" s="7">
        <f t="shared" si="186"/>
        <v>0</v>
      </c>
      <c r="I2900" s="7" t="str" cm="1">
        <f t="array" ref="I2900">IFERROR(_xlfn.IFS(M2900="נח",1,M2900="נע ונח",1,M2900="שני שווא נח",2,M2900="שני שוואים בסוף מילה",2,M2900="שני שוואים ברצף",1),"0")</f>
        <v>0</v>
      </c>
      <c r="J2900" s="9">
        <f t="shared" si="187"/>
        <v>2</v>
      </c>
      <c r="K2900" t="s">
        <v>6698</v>
      </c>
      <c r="L2900" t="s">
        <v>6695</v>
      </c>
      <c r="Q2900" t="s">
        <v>6694</v>
      </c>
      <c r="W2900" t="s">
        <v>6720</v>
      </c>
    </row>
    <row r="2901" spans="1:23" ht="15.6" x14ac:dyDescent="0.4">
      <c r="A2901" s="2" t="s">
        <v>329</v>
      </c>
      <c r="B2901" s="5" t="s">
        <v>9282</v>
      </c>
      <c r="C2901" s="7" t="s">
        <v>12556</v>
      </c>
      <c r="D2901" s="8">
        <f t="shared" si="184"/>
        <v>0</v>
      </c>
      <c r="E2901" s="7" t="s">
        <v>12557</v>
      </c>
      <c r="F2901" s="7">
        <f t="shared" si="185"/>
        <v>0</v>
      </c>
      <c r="G2901" s="7" t="s">
        <v>12558</v>
      </c>
      <c r="H2901" s="7">
        <f t="shared" si="186"/>
        <v>0</v>
      </c>
      <c r="I2901" s="7" cm="1">
        <f t="array" ref="I2901">IFERROR(_xlfn.IFS(M2901="נח",1,M2901="נע ונח",1,M2901="שני שווא נח",2,M2901="שני שוואים בסוף מילה",2,M2901="שני שוואים ברצף",1),"0")</f>
        <v>1</v>
      </c>
      <c r="J2901" s="9">
        <f t="shared" si="187"/>
        <v>2</v>
      </c>
      <c r="K2901" t="s">
        <v>6698</v>
      </c>
      <c r="L2901" t="s">
        <v>6694</v>
      </c>
      <c r="M2901" t="s">
        <v>6705</v>
      </c>
      <c r="Q2901" t="s">
        <v>6694</v>
      </c>
      <c r="R2901" t="s">
        <v>6694</v>
      </c>
      <c r="W2901" t="s">
        <v>6720</v>
      </c>
    </row>
    <row r="2902" spans="1:23" ht="15.6" x14ac:dyDescent="0.4">
      <c r="A2902" s="2" t="s">
        <v>1634</v>
      </c>
      <c r="B2902" s="5" t="s">
        <v>9283</v>
      </c>
      <c r="C2902" s="7" t="s">
        <v>12556</v>
      </c>
      <c r="D2902" s="8">
        <f t="shared" si="184"/>
        <v>0</v>
      </c>
      <c r="E2902" s="7" t="s">
        <v>12557</v>
      </c>
      <c r="F2902" s="7">
        <f t="shared" si="185"/>
        <v>0</v>
      </c>
      <c r="G2902" s="7" t="s">
        <v>12558</v>
      </c>
      <c r="H2902" s="7">
        <f t="shared" si="186"/>
        <v>0</v>
      </c>
      <c r="I2902" s="7" t="str" cm="1">
        <f t="array" ref="I2902">IFERROR(_xlfn.IFS(M2902="נח",1,M2902="נע ונח",1,M2902="שני שווא נח",2,M2902="שני שוואים בסוף מילה",2,M2902="שני שוואים ברצף",1),"0")</f>
        <v>0</v>
      </c>
      <c r="J2902" s="9">
        <f t="shared" si="187"/>
        <v>2</v>
      </c>
      <c r="K2902" t="s">
        <v>6698</v>
      </c>
      <c r="L2902" t="s">
        <v>6695</v>
      </c>
      <c r="R2902" t="s">
        <v>6694</v>
      </c>
      <c r="W2902" t="s">
        <v>6720</v>
      </c>
    </row>
    <row r="2903" spans="1:23" ht="15.6" x14ac:dyDescent="0.4">
      <c r="A2903" s="2" t="s">
        <v>2121</v>
      </c>
      <c r="B2903" s="5" t="s">
        <v>9284</v>
      </c>
      <c r="C2903" s="7" t="s">
        <v>12556</v>
      </c>
      <c r="D2903" s="8">
        <f t="shared" si="184"/>
        <v>0</v>
      </c>
      <c r="E2903" s="7" t="s">
        <v>12557</v>
      </c>
      <c r="F2903" s="7">
        <f t="shared" si="185"/>
        <v>1</v>
      </c>
      <c r="G2903" s="7" t="s">
        <v>12558</v>
      </c>
      <c r="H2903" s="7">
        <f t="shared" si="186"/>
        <v>0</v>
      </c>
      <c r="I2903" s="7" cm="1">
        <f t="array" ref="I2903">IFERROR(_xlfn.IFS(M2903="נח",1,M2903="נע ונח",1,M2903="שני שווא נח",2,M2903="שני שוואים בסוף מילה",2,M2903="שני שוואים ברצף",1),"0")</f>
        <v>1</v>
      </c>
      <c r="J2903" s="9">
        <f t="shared" si="187"/>
        <v>3</v>
      </c>
      <c r="K2903" t="s">
        <v>6697</v>
      </c>
      <c r="L2903" t="s">
        <v>6694</v>
      </c>
      <c r="M2903" t="s">
        <v>6705</v>
      </c>
      <c r="O2903" t="s">
        <v>6694</v>
      </c>
      <c r="R2903" t="s">
        <v>6694</v>
      </c>
      <c r="V2903" t="s">
        <v>6694</v>
      </c>
      <c r="W2903" t="s">
        <v>6720</v>
      </c>
    </row>
    <row r="2904" spans="1:23" ht="15.6" x14ac:dyDescent="0.4">
      <c r="A2904" s="2" t="s">
        <v>3042</v>
      </c>
      <c r="B2904" s="5" t="s">
        <v>9285</v>
      </c>
      <c r="C2904" s="7" t="s">
        <v>12556</v>
      </c>
      <c r="D2904" s="8">
        <f t="shared" si="184"/>
        <v>0</v>
      </c>
      <c r="E2904" s="7" t="s">
        <v>12557</v>
      </c>
      <c r="F2904" s="7">
        <f t="shared" si="185"/>
        <v>0</v>
      </c>
      <c r="G2904" s="7" t="s">
        <v>12558</v>
      </c>
      <c r="H2904" s="7">
        <f t="shared" si="186"/>
        <v>0</v>
      </c>
      <c r="I2904" s="7" cm="1">
        <f t="array" ref="I2904">IFERROR(_xlfn.IFS(M2904="נח",1,M2904="נע ונח",1,M2904="שני שווא נח",2,M2904="שני שוואים בסוף מילה",2,M2904="שני שוואים ברצף",1),"0")</f>
        <v>1</v>
      </c>
      <c r="J2904" s="9">
        <f t="shared" si="187"/>
        <v>2</v>
      </c>
      <c r="K2904" t="s">
        <v>6697</v>
      </c>
      <c r="L2904" t="s">
        <v>6694</v>
      </c>
      <c r="M2904" t="s">
        <v>6705</v>
      </c>
      <c r="R2904" t="s">
        <v>6694</v>
      </c>
      <c r="S2904" t="s">
        <v>6694</v>
      </c>
      <c r="W2904" t="s">
        <v>6720</v>
      </c>
    </row>
    <row r="2905" spans="1:23" ht="15.6" x14ac:dyDescent="0.4">
      <c r="A2905" s="2" t="s">
        <v>6601</v>
      </c>
      <c r="B2905" s="5" t="s">
        <v>9286</v>
      </c>
      <c r="C2905" s="7" t="s">
        <v>12556</v>
      </c>
      <c r="D2905" s="8">
        <f t="shared" si="184"/>
        <v>0</v>
      </c>
      <c r="E2905" s="7" t="s">
        <v>12557</v>
      </c>
      <c r="F2905" s="7">
        <f t="shared" si="185"/>
        <v>0</v>
      </c>
      <c r="G2905" s="7" t="s">
        <v>12558</v>
      </c>
      <c r="H2905" s="7">
        <f t="shared" si="186"/>
        <v>0</v>
      </c>
      <c r="I2905" s="7" cm="1">
        <f t="array" ref="I2905">IFERROR(_xlfn.IFS(M2905="נח",1,M2905="נע ונח",1,M2905="שני שווא נח",2,M2905="שני שוואים בסוף מילה",2,M2905="שני שוואים ברצף",1),"0")</f>
        <v>1</v>
      </c>
      <c r="J2905" s="9">
        <f t="shared" si="187"/>
        <v>3</v>
      </c>
      <c r="K2905" t="s">
        <v>6697</v>
      </c>
      <c r="L2905" t="s">
        <v>6694</v>
      </c>
      <c r="M2905" t="s">
        <v>6705</v>
      </c>
      <c r="O2905" t="s">
        <v>6694</v>
      </c>
      <c r="R2905" t="s">
        <v>6694</v>
      </c>
      <c r="W2905" t="s">
        <v>6720</v>
      </c>
    </row>
    <row r="2906" spans="1:23" ht="15.6" x14ac:dyDescent="0.4">
      <c r="A2906" s="2" t="s">
        <v>1109</v>
      </c>
      <c r="B2906" s="5" t="s">
        <v>9287</v>
      </c>
      <c r="C2906" s="7" t="s">
        <v>12556</v>
      </c>
      <c r="D2906" s="8">
        <f t="shared" si="184"/>
        <v>0</v>
      </c>
      <c r="E2906" s="7" t="s">
        <v>12557</v>
      </c>
      <c r="F2906" s="7">
        <f t="shared" si="185"/>
        <v>1</v>
      </c>
      <c r="G2906" s="7" t="s">
        <v>12558</v>
      </c>
      <c r="H2906" s="7">
        <f t="shared" si="186"/>
        <v>0</v>
      </c>
      <c r="I2906" s="7" cm="1">
        <f t="array" ref="I2906">IFERROR(_xlfn.IFS(M2906="נח",1,M2906="נע ונח",1,M2906="שני שווא נח",2,M2906="שני שוואים בסוף מילה",2,M2906="שני שוואים ברצף",1),"0")</f>
        <v>1</v>
      </c>
      <c r="J2906" s="9">
        <f t="shared" si="187"/>
        <v>2</v>
      </c>
      <c r="K2906" t="s">
        <v>6697</v>
      </c>
      <c r="L2906" t="s">
        <v>6694</v>
      </c>
      <c r="M2906" t="s">
        <v>6705</v>
      </c>
      <c r="O2906" t="s">
        <v>6694</v>
      </c>
      <c r="R2906" t="s">
        <v>6694</v>
      </c>
      <c r="W2906" t="s">
        <v>6720</v>
      </c>
    </row>
    <row r="2907" spans="1:23" ht="15.6" x14ac:dyDescent="0.4">
      <c r="A2907" s="2" t="s">
        <v>402</v>
      </c>
      <c r="B2907" s="5" t="s">
        <v>9288</v>
      </c>
      <c r="C2907" s="7" t="s">
        <v>12556</v>
      </c>
      <c r="D2907" s="8">
        <f t="shared" si="184"/>
        <v>0</v>
      </c>
      <c r="E2907" s="7" t="s">
        <v>12557</v>
      </c>
      <c r="F2907" s="7">
        <f t="shared" si="185"/>
        <v>0</v>
      </c>
      <c r="G2907" s="7" t="s">
        <v>12558</v>
      </c>
      <c r="H2907" s="7">
        <f t="shared" si="186"/>
        <v>0</v>
      </c>
      <c r="I2907" s="7" t="str" cm="1">
        <f t="array" ref="I2907">IFERROR(_xlfn.IFS(M2907="נח",1,M2907="נע ונח",1,M2907="שני שווא נח",2,M2907="שני שוואים בסוף מילה",2,M2907="שני שוואים ברצף",1),"0")</f>
        <v>0</v>
      </c>
      <c r="J2907" s="9">
        <f t="shared" si="187"/>
        <v>2</v>
      </c>
      <c r="K2907" t="s">
        <v>6698</v>
      </c>
      <c r="L2907" t="s">
        <v>6695</v>
      </c>
      <c r="R2907" t="s">
        <v>6694</v>
      </c>
      <c r="W2907" t="s">
        <v>6720</v>
      </c>
    </row>
    <row r="2908" spans="1:23" ht="15.6" x14ac:dyDescent="0.4">
      <c r="A2908" s="2" t="s">
        <v>3032</v>
      </c>
      <c r="B2908" s="5" t="s">
        <v>9241</v>
      </c>
      <c r="C2908" s="7" t="s">
        <v>12556</v>
      </c>
      <c r="D2908" s="8">
        <f t="shared" si="184"/>
        <v>0</v>
      </c>
      <c r="E2908" s="7" t="s">
        <v>12557</v>
      </c>
      <c r="F2908" s="7">
        <f t="shared" si="185"/>
        <v>0</v>
      </c>
      <c r="G2908" s="7" t="s">
        <v>12558</v>
      </c>
      <c r="H2908" s="7">
        <f t="shared" si="186"/>
        <v>0</v>
      </c>
      <c r="I2908" s="7" cm="1">
        <f t="array" ref="I2908">IFERROR(_xlfn.IFS(M2908="נח",1,M2908="נע ונח",1,M2908="שני שווא נח",2,M2908="שני שוואים בסוף מילה",2,M2908="שני שוואים ברצף",1),"0")</f>
        <v>1</v>
      </c>
      <c r="J2908" s="9">
        <f t="shared" si="187"/>
        <v>2</v>
      </c>
      <c r="K2908" t="s">
        <v>6697</v>
      </c>
      <c r="L2908" t="s">
        <v>6694</v>
      </c>
      <c r="M2908" t="s">
        <v>6705</v>
      </c>
      <c r="R2908" t="s">
        <v>6694</v>
      </c>
      <c r="S2908" t="s">
        <v>6694</v>
      </c>
      <c r="W2908" t="s">
        <v>6720</v>
      </c>
    </row>
    <row r="2909" spans="1:23" ht="15.6" x14ac:dyDescent="0.4">
      <c r="A2909" s="2" t="s">
        <v>6085</v>
      </c>
      <c r="B2909" s="5" t="s">
        <v>9289</v>
      </c>
      <c r="C2909" s="7" t="s">
        <v>12556</v>
      </c>
      <c r="D2909" s="8">
        <f t="shared" si="184"/>
        <v>0</v>
      </c>
      <c r="E2909" s="7" t="s">
        <v>12557</v>
      </c>
      <c r="F2909" s="7">
        <f t="shared" si="185"/>
        <v>0</v>
      </c>
      <c r="G2909" s="7" t="s">
        <v>12558</v>
      </c>
      <c r="H2909" s="7">
        <f t="shared" si="186"/>
        <v>0</v>
      </c>
      <c r="I2909" s="7" cm="1">
        <f t="array" ref="I2909">IFERROR(_xlfn.IFS(M2909="נח",1,M2909="נע ונח",1,M2909="שני שווא נח",2,M2909="שני שוואים בסוף מילה",2,M2909="שני שוואים ברצף",1),"0")</f>
        <v>1</v>
      </c>
      <c r="J2909" s="9">
        <f t="shared" si="187"/>
        <v>3</v>
      </c>
      <c r="K2909" t="s">
        <v>6698</v>
      </c>
      <c r="L2909" t="s">
        <v>6694</v>
      </c>
      <c r="M2909" t="s">
        <v>6705</v>
      </c>
      <c r="Q2909" t="s">
        <v>6694</v>
      </c>
      <c r="R2909" t="s">
        <v>6694</v>
      </c>
      <c r="W2909" t="s">
        <v>6720</v>
      </c>
    </row>
    <row r="2910" spans="1:23" ht="15.6" x14ac:dyDescent="0.4">
      <c r="A2910" s="2" t="s">
        <v>6141</v>
      </c>
      <c r="B2910" s="5" t="s">
        <v>9290</v>
      </c>
      <c r="C2910" s="7" t="s">
        <v>12556</v>
      </c>
      <c r="D2910" s="8">
        <f t="shared" si="184"/>
        <v>0</v>
      </c>
      <c r="E2910" s="7" t="s">
        <v>12557</v>
      </c>
      <c r="F2910" s="7">
        <f t="shared" si="185"/>
        <v>0</v>
      </c>
      <c r="G2910" s="7" t="s">
        <v>12558</v>
      </c>
      <c r="H2910" s="7">
        <f t="shared" si="186"/>
        <v>0</v>
      </c>
      <c r="I2910" s="7" cm="1">
        <f t="array" ref="I2910">IFERROR(_xlfn.IFS(M2910="נח",1,M2910="נע ונח",1,M2910="שני שווא נח",2,M2910="שני שוואים בסוף מילה",2,M2910="שני שוואים ברצף",1),"0")</f>
        <v>1</v>
      </c>
      <c r="J2910" s="9">
        <f t="shared" si="187"/>
        <v>2</v>
      </c>
      <c r="K2910" t="s">
        <v>6698</v>
      </c>
      <c r="L2910" t="s">
        <v>6694</v>
      </c>
      <c r="M2910" t="s">
        <v>6705</v>
      </c>
      <c r="N2910" t="s">
        <v>6706</v>
      </c>
      <c r="O2910" t="s">
        <v>6694</v>
      </c>
      <c r="R2910" t="s">
        <v>6694</v>
      </c>
      <c r="W2910" t="s">
        <v>6720</v>
      </c>
    </row>
    <row r="2911" spans="1:23" ht="15.6" x14ac:dyDescent="0.4">
      <c r="A2911" s="2" t="s">
        <v>172</v>
      </c>
      <c r="B2911" s="5" t="s">
        <v>9291</v>
      </c>
      <c r="C2911" s="7" t="s">
        <v>12556</v>
      </c>
      <c r="D2911" s="8">
        <f t="shared" si="184"/>
        <v>0</v>
      </c>
      <c r="E2911" s="7" t="s">
        <v>12557</v>
      </c>
      <c r="F2911" s="7">
        <f t="shared" si="185"/>
        <v>0</v>
      </c>
      <c r="G2911" s="7" t="s">
        <v>12558</v>
      </c>
      <c r="H2911" s="7">
        <f t="shared" si="186"/>
        <v>0</v>
      </c>
      <c r="I2911" s="7" cm="1">
        <f t="array" ref="I2911">IFERROR(_xlfn.IFS(M2911="נח",1,M2911="נע ונח",1,M2911="שני שווא נח",2,M2911="שני שוואים בסוף מילה",2,M2911="שני שוואים ברצף",1),"0")</f>
        <v>1</v>
      </c>
      <c r="J2911" s="9">
        <f t="shared" si="187"/>
        <v>2</v>
      </c>
      <c r="K2911" t="s">
        <v>6697</v>
      </c>
      <c r="L2911" t="s">
        <v>6694</v>
      </c>
      <c r="M2911" t="s">
        <v>6705</v>
      </c>
      <c r="R2911" t="s">
        <v>6694</v>
      </c>
      <c r="V2911" t="s">
        <v>6694</v>
      </c>
      <c r="W2911" t="s">
        <v>6720</v>
      </c>
    </row>
    <row r="2912" spans="1:23" ht="15.6" x14ac:dyDescent="0.4">
      <c r="A2912" s="2" t="s">
        <v>20</v>
      </c>
      <c r="B2912" s="5" t="s">
        <v>9292</v>
      </c>
      <c r="C2912" s="7" t="s">
        <v>12556</v>
      </c>
      <c r="D2912" s="8">
        <f t="shared" si="184"/>
        <v>0</v>
      </c>
      <c r="E2912" s="7" t="s">
        <v>12557</v>
      </c>
      <c r="F2912" s="7">
        <f t="shared" si="185"/>
        <v>1</v>
      </c>
      <c r="G2912" s="7" t="s">
        <v>12558</v>
      </c>
      <c r="H2912" s="7">
        <f t="shared" si="186"/>
        <v>0</v>
      </c>
      <c r="I2912" s="7" cm="1">
        <f t="array" ref="I2912">IFERROR(_xlfn.IFS(M2912="נח",1,M2912="נע ונח",1,M2912="שני שווא נח",2,M2912="שני שוואים בסוף מילה",2,M2912="שני שוואים ברצף",1),"0")</f>
        <v>1</v>
      </c>
      <c r="J2912" s="9">
        <f t="shared" si="187"/>
        <v>2</v>
      </c>
      <c r="K2912" t="s">
        <v>6698</v>
      </c>
      <c r="L2912" t="s">
        <v>6694</v>
      </c>
      <c r="M2912" t="s">
        <v>6705</v>
      </c>
      <c r="P2912" t="s">
        <v>6694</v>
      </c>
      <c r="R2912" t="s">
        <v>6694</v>
      </c>
      <c r="W2912" t="s">
        <v>6720</v>
      </c>
    </row>
    <row r="2913" spans="1:23" ht="15.6" x14ac:dyDescent="0.4">
      <c r="A2913" s="2" t="s">
        <v>276</v>
      </c>
      <c r="B2913" s="5" t="s">
        <v>9293</v>
      </c>
      <c r="C2913" s="7" t="s">
        <v>12556</v>
      </c>
      <c r="D2913" s="8">
        <f t="shared" si="184"/>
        <v>0</v>
      </c>
      <c r="E2913" s="7" t="s">
        <v>12557</v>
      </c>
      <c r="F2913" s="7">
        <f t="shared" si="185"/>
        <v>1</v>
      </c>
      <c r="G2913" s="7" t="s">
        <v>12558</v>
      </c>
      <c r="H2913" s="7">
        <f t="shared" si="186"/>
        <v>0</v>
      </c>
      <c r="I2913" s="7" cm="1">
        <f t="array" ref="I2913">IFERROR(_xlfn.IFS(M2913="נח",1,M2913="נע ונח",1,M2913="שני שווא נח",2,M2913="שני שוואים בסוף מילה",2,M2913="שני שוואים ברצף",1),"0")</f>
        <v>1</v>
      </c>
      <c r="J2913" s="9">
        <f t="shared" si="187"/>
        <v>2</v>
      </c>
      <c r="K2913" t="s">
        <v>6697</v>
      </c>
      <c r="L2913" t="s">
        <v>6694</v>
      </c>
      <c r="M2913" t="s">
        <v>6705</v>
      </c>
      <c r="O2913" t="s">
        <v>6694</v>
      </c>
      <c r="R2913" t="s">
        <v>6694</v>
      </c>
      <c r="W2913" t="s">
        <v>6720</v>
      </c>
    </row>
    <row r="2914" spans="1:23" ht="15.6" x14ac:dyDescent="0.4">
      <c r="A2914" s="2" t="s">
        <v>5696</v>
      </c>
      <c r="B2914" s="5" t="s">
        <v>9294</v>
      </c>
      <c r="C2914" s="7" t="s">
        <v>12556</v>
      </c>
      <c r="D2914" s="8">
        <f t="shared" si="184"/>
        <v>0</v>
      </c>
      <c r="E2914" s="7" t="s">
        <v>12557</v>
      </c>
      <c r="F2914" s="7">
        <f t="shared" si="185"/>
        <v>1</v>
      </c>
      <c r="G2914" s="7" t="s">
        <v>12558</v>
      </c>
      <c r="H2914" s="7">
        <f t="shared" si="186"/>
        <v>0</v>
      </c>
      <c r="I2914" s="7" cm="1">
        <f t="array" ref="I2914">IFERROR(_xlfn.IFS(M2914="נח",1,M2914="נע ונח",1,M2914="שני שווא נח",2,M2914="שני שוואים בסוף מילה",2,M2914="שני שוואים ברצף",1),"0")</f>
        <v>2</v>
      </c>
      <c r="J2914" s="9">
        <f t="shared" si="187"/>
        <v>3</v>
      </c>
      <c r="K2914" t="s">
        <v>6697</v>
      </c>
      <c r="L2914" t="s">
        <v>6694</v>
      </c>
      <c r="M2914" t="s">
        <v>6704</v>
      </c>
      <c r="N2914" t="s">
        <v>6706</v>
      </c>
      <c r="O2914" t="s">
        <v>6694</v>
      </c>
      <c r="R2914" t="s">
        <v>6694</v>
      </c>
      <c r="W2914" t="s">
        <v>6720</v>
      </c>
    </row>
    <row r="2915" spans="1:23" ht="15.6" x14ac:dyDescent="0.4">
      <c r="A2915" s="2" t="s">
        <v>4619</v>
      </c>
      <c r="B2915" s="5" t="s">
        <v>9295</v>
      </c>
      <c r="C2915" s="7" t="s">
        <v>12556</v>
      </c>
      <c r="D2915" s="8">
        <f t="shared" si="184"/>
        <v>0</v>
      </c>
      <c r="E2915" s="7" t="s">
        <v>12557</v>
      </c>
      <c r="F2915" s="7">
        <f t="shared" si="185"/>
        <v>1</v>
      </c>
      <c r="G2915" s="7" t="s">
        <v>12558</v>
      </c>
      <c r="H2915" s="7">
        <f t="shared" si="186"/>
        <v>0</v>
      </c>
      <c r="I2915" s="7" cm="1">
        <f t="array" ref="I2915">IFERROR(_xlfn.IFS(M2915="נח",1,M2915="נע ונח",1,M2915="שני שווא נח",2,M2915="שני שוואים בסוף מילה",2,M2915="שני שוואים ברצף",1),"0")</f>
        <v>1</v>
      </c>
      <c r="J2915" s="9">
        <f t="shared" si="187"/>
        <v>3</v>
      </c>
      <c r="K2915" t="s">
        <v>6697</v>
      </c>
      <c r="L2915" t="s">
        <v>6694</v>
      </c>
      <c r="M2915" t="s">
        <v>6705</v>
      </c>
      <c r="O2915" t="s">
        <v>6694</v>
      </c>
      <c r="R2915" t="s">
        <v>6694</v>
      </c>
      <c r="S2915" t="s">
        <v>6694</v>
      </c>
      <c r="W2915" t="s">
        <v>6720</v>
      </c>
    </row>
    <row r="2916" spans="1:23" ht="15.6" x14ac:dyDescent="0.4">
      <c r="A2916" s="2" t="s">
        <v>5488</v>
      </c>
      <c r="B2916" s="5" t="s">
        <v>9296</v>
      </c>
      <c r="C2916" s="7" t="s">
        <v>12556</v>
      </c>
      <c r="D2916" s="8">
        <f t="shared" si="184"/>
        <v>0</v>
      </c>
      <c r="E2916" s="7" t="s">
        <v>12557</v>
      </c>
      <c r="F2916" s="7">
        <f t="shared" si="185"/>
        <v>1</v>
      </c>
      <c r="G2916" s="7" t="s">
        <v>12558</v>
      </c>
      <c r="H2916" s="7">
        <f t="shared" si="186"/>
        <v>0</v>
      </c>
      <c r="I2916" s="7" cm="1">
        <f t="array" ref="I2916">IFERROR(_xlfn.IFS(M2916="נח",1,M2916="נע ונח",1,M2916="שני שווא נח",2,M2916="שני שוואים בסוף מילה",2,M2916="שני שוואים ברצף",1),"0")</f>
        <v>1</v>
      </c>
      <c r="J2916" s="9">
        <f t="shared" si="187"/>
        <v>3</v>
      </c>
      <c r="K2916" t="s">
        <v>6698</v>
      </c>
      <c r="L2916" t="s">
        <v>6694</v>
      </c>
      <c r="M2916" t="s">
        <v>6705</v>
      </c>
      <c r="N2916" t="s">
        <v>6706</v>
      </c>
      <c r="O2916" t="s">
        <v>6694</v>
      </c>
      <c r="R2916" t="s">
        <v>6694</v>
      </c>
      <c r="W2916" t="s">
        <v>6720</v>
      </c>
    </row>
    <row r="2917" spans="1:23" ht="15.6" x14ac:dyDescent="0.4">
      <c r="A2917" s="2" t="s">
        <v>2508</v>
      </c>
      <c r="B2917" s="5" t="s">
        <v>9297</v>
      </c>
      <c r="C2917" s="7" t="s">
        <v>12556</v>
      </c>
      <c r="D2917" s="8">
        <f t="shared" si="184"/>
        <v>0</v>
      </c>
      <c r="E2917" s="7" t="s">
        <v>12557</v>
      </c>
      <c r="F2917" s="7">
        <f t="shared" si="185"/>
        <v>0</v>
      </c>
      <c r="G2917" s="7" t="s">
        <v>12558</v>
      </c>
      <c r="H2917" s="7">
        <f t="shared" si="186"/>
        <v>0</v>
      </c>
      <c r="I2917" s="7" t="str" cm="1">
        <f t="array" ref="I2917">IFERROR(_xlfn.IFS(M2917="נח",1,M2917="נע ונח",1,M2917="שני שווא נח",2,M2917="שני שוואים בסוף מילה",2,M2917="שני שוואים ברצף",1),"0")</f>
        <v>0</v>
      </c>
      <c r="J2917" s="9">
        <f t="shared" si="187"/>
        <v>2</v>
      </c>
      <c r="K2917" t="s">
        <v>6698</v>
      </c>
      <c r="L2917" t="s">
        <v>6695</v>
      </c>
      <c r="R2917" t="s">
        <v>6694</v>
      </c>
      <c r="W2917" t="s">
        <v>6720</v>
      </c>
    </row>
    <row r="2918" spans="1:23" ht="15.6" x14ac:dyDescent="0.4">
      <c r="A2918" s="2" t="s">
        <v>1990</v>
      </c>
      <c r="B2918" s="5" t="s">
        <v>9298</v>
      </c>
      <c r="C2918" s="7" t="s">
        <v>12556</v>
      </c>
      <c r="D2918" s="8">
        <f t="shared" si="184"/>
        <v>1</v>
      </c>
      <c r="E2918" s="7" t="s">
        <v>12557</v>
      </c>
      <c r="F2918" s="7">
        <f t="shared" si="185"/>
        <v>0</v>
      </c>
      <c r="G2918" s="7" t="s">
        <v>12558</v>
      </c>
      <c r="H2918" s="7">
        <f t="shared" si="186"/>
        <v>0</v>
      </c>
      <c r="I2918" s="7" cm="1">
        <f t="array" ref="I2918">IFERROR(_xlfn.IFS(M2918="נח",1,M2918="נע ונח",1,M2918="שני שווא נח",2,M2918="שני שוואים בסוף מילה",2,M2918="שני שוואים ברצף",1),"0")</f>
        <v>1</v>
      </c>
      <c r="J2918" s="9">
        <f t="shared" si="187"/>
        <v>2</v>
      </c>
      <c r="K2918" t="s">
        <v>6698</v>
      </c>
      <c r="L2918" t="s">
        <v>6694</v>
      </c>
      <c r="M2918" t="s">
        <v>6705</v>
      </c>
      <c r="P2918" t="s">
        <v>6694</v>
      </c>
      <c r="R2918" t="s">
        <v>6694</v>
      </c>
      <c r="W2918" t="s">
        <v>6720</v>
      </c>
    </row>
    <row r="2919" spans="1:23" ht="15.6" x14ac:dyDescent="0.4">
      <c r="A2919" s="2" t="s">
        <v>5279</v>
      </c>
      <c r="B2919" s="5" t="s">
        <v>9299</v>
      </c>
      <c r="C2919" s="7" t="s">
        <v>12556</v>
      </c>
      <c r="D2919" s="8">
        <f t="shared" si="184"/>
        <v>0</v>
      </c>
      <c r="E2919" s="7" t="s">
        <v>12557</v>
      </c>
      <c r="F2919" s="7">
        <f t="shared" si="185"/>
        <v>2</v>
      </c>
      <c r="G2919" s="7" t="s">
        <v>12558</v>
      </c>
      <c r="H2919" s="7">
        <f t="shared" si="186"/>
        <v>1</v>
      </c>
      <c r="I2919" s="7" t="str" cm="1">
        <f t="array" ref="I2919">IFERROR(_xlfn.IFS(M2919="נח",1,M2919="נע ונח",1,M2919="שני שווא נח",2,M2919="שני שוואים בסוף מילה",2,M2919="שני שוואים ברצף",1),"0")</f>
        <v>0</v>
      </c>
      <c r="J2919" s="9">
        <f t="shared" si="187"/>
        <v>4</v>
      </c>
      <c r="K2919" t="s">
        <v>6698</v>
      </c>
      <c r="L2919" t="s">
        <v>6695</v>
      </c>
      <c r="N2919" t="s">
        <v>6706</v>
      </c>
      <c r="O2919" t="s">
        <v>6694</v>
      </c>
      <c r="P2919" t="s">
        <v>6694</v>
      </c>
      <c r="U2919" t="s">
        <v>6694</v>
      </c>
      <c r="V2919" t="s">
        <v>6694</v>
      </c>
      <c r="W2919" t="s">
        <v>6720</v>
      </c>
    </row>
    <row r="2920" spans="1:23" ht="15.6" x14ac:dyDescent="0.4">
      <c r="A2920" s="2" t="s">
        <v>1759</v>
      </c>
      <c r="B2920" s="5" t="s">
        <v>9300</v>
      </c>
      <c r="C2920" s="7" t="s">
        <v>12556</v>
      </c>
      <c r="D2920" s="8">
        <f t="shared" si="184"/>
        <v>0</v>
      </c>
      <c r="E2920" s="7" t="s">
        <v>12557</v>
      </c>
      <c r="F2920" s="7">
        <f t="shared" si="185"/>
        <v>0</v>
      </c>
      <c r="G2920" s="7" t="s">
        <v>12558</v>
      </c>
      <c r="H2920" s="7">
        <f t="shared" si="186"/>
        <v>0</v>
      </c>
      <c r="I2920" s="7" t="str" cm="1">
        <f t="array" ref="I2920">IFERROR(_xlfn.IFS(M2920="נח",1,M2920="נע ונח",1,M2920="שני שווא נח",2,M2920="שני שוואים בסוף מילה",2,M2920="שני שוואים ברצף",1),"0")</f>
        <v>0</v>
      </c>
      <c r="J2920" s="9">
        <f t="shared" si="187"/>
        <v>1</v>
      </c>
      <c r="K2920" t="s">
        <v>6698</v>
      </c>
      <c r="L2920" t="s">
        <v>6695</v>
      </c>
      <c r="P2920" t="s">
        <v>6694</v>
      </c>
      <c r="W2920" t="s">
        <v>6720</v>
      </c>
    </row>
    <row r="2921" spans="1:23" ht="15.6" x14ac:dyDescent="0.4">
      <c r="A2921" s="2" t="s">
        <v>6524</v>
      </c>
      <c r="B2921" s="5" t="s">
        <v>9301</v>
      </c>
      <c r="C2921" s="7" t="s">
        <v>12556</v>
      </c>
      <c r="D2921" s="8">
        <f t="shared" si="184"/>
        <v>0</v>
      </c>
      <c r="E2921" s="7" t="s">
        <v>12557</v>
      </c>
      <c r="F2921" s="7">
        <f t="shared" si="185"/>
        <v>2</v>
      </c>
      <c r="G2921" s="7" t="s">
        <v>12558</v>
      </c>
      <c r="H2921" s="7">
        <f t="shared" si="186"/>
        <v>1</v>
      </c>
      <c r="I2921" s="7" t="str" cm="1">
        <f t="array" ref="I2921">IFERROR(_xlfn.IFS(M2921="נח",1,M2921="נע ונח",1,M2921="שני שווא נח",2,M2921="שני שוואים בסוף מילה",2,M2921="שני שוואים ברצף",1),"0")</f>
        <v>0</v>
      </c>
      <c r="J2921" s="9">
        <f t="shared" si="187"/>
        <v>3</v>
      </c>
      <c r="K2921" t="s">
        <v>6697</v>
      </c>
      <c r="L2921" t="s">
        <v>6695</v>
      </c>
      <c r="P2921" t="s">
        <v>6694</v>
      </c>
      <c r="Q2921" t="s">
        <v>6694</v>
      </c>
      <c r="U2921" t="s">
        <v>6694</v>
      </c>
      <c r="W2921" t="s">
        <v>6720</v>
      </c>
    </row>
    <row r="2922" spans="1:23" ht="15.6" x14ac:dyDescent="0.4">
      <c r="A2922" s="2" t="s">
        <v>3910</v>
      </c>
      <c r="B2922" s="5" t="s">
        <v>9302</v>
      </c>
      <c r="C2922" s="7" t="s">
        <v>12556</v>
      </c>
      <c r="D2922" s="8">
        <f t="shared" si="184"/>
        <v>1</v>
      </c>
      <c r="E2922" s="7" t="s">
        <v>12557</v>
      </c>
      <c r="F2922" s="7">
        <f t="shared" si="185"/>
        <v>1</v>
      </c>
      <c r="G2922" s="7" t="s">
        <v>12558</v>
      </c>
      <c r="H2922" s="7">
        <f t="shared" si="186"/>
        <v>0</v>
      </c>
      <c r="I2922" s="7" t="str" cm="1">
        <f t="array" ref="I2922">IFERROR(_xlfn.IFS(M2922="נח",1,M2922="נע ונח",1,M2922="שני שווא נח",2,M2922="שני שוואים בסוף מילה",2,M2922="שני שוואים ברצף",1),"0")</f>
        <v>0</v>
      </c>
      <c r="J2922" s="9">
        <f t="shared" si="187"/>
        <v>2</v>
      </c>
      <c r="K2922" t="s">
        <v>6698</v>
      </c>
      <c r="L2922" t="s">
        <v>6695</v>
      </c>
      <c r="P2922" t="s">
        <v>6694</v>
      </c>
      <c r="Q2922" t="s">
        <v>6694</v>
      </c>
      <c r="W2922" t="s">
        <v>6720</v>
      </c>
    </row>
    <row r="2923" spans="1:23" ht="15.6" x14ac:dyDescent="0.4">
      <c r="A2923" s="2" t="s">
        <v>6443</v>
      </c>
      <c r="B2923" s="5" t="s">
        <v>9303</v>
      </c>
      <c r="C2923" s="7" t="s">
        <v>12556</v>
      </c>
      <c r="D2923" s="8">
        <f t="shared" si="184"/>
        <v>0</v>
      </c>
      <c r="E2923" s="7" t="s">
        <v>12557</v>
      </c>
      <c r="F2923" s="7">
        <f t="shared" si="185"/>
        <v>1</v>
      </c>
      <c r="G2923" s="7" t="s">
        <v>12558</v>
      </c>
      <c r="H2923" s="7">
        <f t="shared" si="186"/>
        <v>0</v>
      </c>
      <c r="I2923" s="7" t="str" cm="1">
        <f t="array" ref="I2923">IFERROR(_xlfn.IFS(M2923="נח",1,M2923="נע ונח",1,M2923="שני שווא נח",2,M2923="שני שוואים בסוף מילה",2,M2923="שני שוואים ברצף",1),"0")</f>
        <v>0</v>
      </c>
      <c r="J2923" s="9">
        <f t="shared" si="187"/>
        <v>2</v>
      </c>
      <c r="K2923" t="s">
        <v>6697</v>
      </c>
      <c r="L2923" t="s">
        <v>6695</v>
      </c>
      <c r="O2923" t="s">
        <v>6694</v>
      </c>
      <c r="P2923" t="s">
        <v>6694</v>
      </c>
      <c r="W2923" t="s">
        <v>6720</v>
      </c>
    </row>
    <row r="2924" spans="1:23" ht="15.6" x14ac:dyDescent="0.4">
      <c r="A2924" s="2" t="s">
        <v>4204</v>
      </c>
      <c r="B2924" s="5" t="s">
        <v>9304</v>
      </c>
      <c r="C2924" s="7" t="s">
        <v>12556</v>
      </c>
      <c r="D2924" s="8">
        <f t="shared" si="184"/>
        <v>0</v>
      </c>
      <c r="E2924" s="7" t="s">
        <v>12557</v>
      </c>
      <c r="F2924" s="7">
        <f t="shared" si="185"/>
        <v>1</v>
      </c>
      <c r="G2924" s="7" t="s">
        <v>12558</v>
      </c>
      <c r="H2924" s="7">
        <f t="shared" si="186"/>
        <v>0</v>
      </c>
      <c r="I2924" s="7" t="str" cm="1">
        <f t="array" ref="I2924">IFERROR(_xlfn.IFS(M2924="נח",1,M2924="נע ונח",1,M2924="שני שווא נח",2,M2924="שני שוואים בסוף מילה",2,M2924="שני שוואים ברצף",1),"0")</f>
        <v>0</v>
      </c>
      <c r="J2924" s="9">
        <f t="shared" si="187"/>
        <v>2</v>
      </c>
      <c r="K2924" t="s">
        <v>6698</v>
      </c>
      <c r="L2924" t="s">
        <v>6695</v>
      </c>
      <c r="P2924" t="s">
        <v>6694</v>
      </c>
      <c r="W2924" t="s">
        <v>6720</v>
      </c>
    </row>
    <row r="2925" spans="1:23" ht="15.6" x14ac:dyDescent="0.4">
      <c r="A2925" s="2" t="s">
        <v>167</v>
      </c>
      <c r="B2925" s="5" t="s">
        <v>9305</v>
      </c>
      <c r="C2925" s="7" t="s">
        <v>12556</v>
      </c>
      <c r="D2925" s="8">
        <f t="shared" si="184"/>
        <v>0</v>
      </c>
      <c r="E2925" s="7" t="s">
        <v>12557</v>
      </c>
      <c r="F2925" s="7">
        <f t="shared" si="185"/>
        <v>1</v>
      </c>
      <c r="G2925" s="7" t="s">
        <v>12558</v>
      </c>
      <c r="H2925" s="7">
        <f t="shared" si="186"/>
        <v>0</v>
      </c>
      <c r="I2925" s="7" t="str" cm="1">
        <f t="array" ref="I2925">IFERROR(_xlfn.IFS(M2925="נח",1,M2925="נע ונח",1,M2925="שני שווא נח",2,M2925="שני שוואים בסוף מילה",2,M2925="שני שוואים ברצף",1),"0")</f>
        <v>0</v>
      </c>
      <c r="J2925" s="9">
        <f t="shared" si="187"/>
        <v>3</v>
      </c>
      <c r="K2925" t="s">
        <v>6698</v>
      </c>
      <c r="L2925" t="s">
        <v>6695</v>
      </c>
      <c r="O2925" t="s">
        <v>6694</v>
      </c>
      <c r="P2925" t="s">
        <v>6694</v>
      </c>
      <c r="S2925" t="s">
        <v>6694</v>
      </c>
      <c r="W2925" t="s">
        <v>6720</v>
      </c>
    </row>
    <row r="2926" spans="1:23" ht="15.6" x14ac:dyDescent="0.4">
      <c r="A2926" s="2" t="s">
        <v>2699</v>
      </c>
      <c r="B2926" s="5" t="s">
        <v>9306</v>
      </c>
      <c r="C2926" s="7" t="s">
        <v>12556</v>
      </c>
      <c r="D2926" s="8">
        <f t="shared" si="184"/>
        <v>0</v>
      </c>
      <c r="E2926" s="7" t="s">
        <v>12557</v>
      </c>
      <c r="F2926" s="7">
        <f t="shared" si="185"/>
        <v>1</v>
      </c>
      <c r="G2926" s="7" t="s">
        <v>12558</v>
      </c>
      <c r="H2926" s="7">
        <f t="shared" si="186"/>
        <v>0</v>
      </c>
      <c r="I2926" s="7" t="str" cm="1">
        <f t="array" ref="I2926">IFERROR(_xlfn.IFS(M2926="נח",1,M2926="נע ונח",1,M2926="שני שווא נח",2,M2926="שני שוואים בסוף מילה",2,M2926="שני שוואים ברצף",1),"0")</f>
        <v>0</v>
      </c>
      <c r="J2926" s="9">
        <f t="shared" si="187"/>
        <v>3</v>
      </c>
      <c r="K2926" t="s">
        <v>6697</v>
      </c>
      <c r="L2926" t="s">
        <v>6695</v>
      </c>
      <c r="O2926" t="s">
        <v>6694</v>
      </c>
      <c r="P2926" t="s">
        <v>6694</v>
      </c>
      <c r="S2926" t="s">
        <v>6694</v>
      </c>
      <c r="W2926" t="s">
        <v>6720</v>
      </c>
    </row>
    <row r="2927" spans="1:23" ht="15.6" x14ac:dyDescent="0.4">
      <c r="A2927" s="2" t="s">
        <v>4922</v>
      </c>
      <c r="B2927" s="5" t="s">
        <v>9307</v>
      </c>
      <c r="C2927" s="7" t="s">
        <v>12556</v>
      </c>
      <c r="D2927" s="8">
        <f t="shared" si="184"/>
        <v>0</v>
      </c>
      <c r="E2927" s="7" t="s">
        <v>12557</v>
      </c>
      <c r="F2927" s="7">
        <f t="shared" si="185"/>
        <v>1</v>
      </c>
      <c r="G2927" s="7" t="s">
        <v>12558</v>
      </c>
      <c r="H2927" s="7">
        <f t="shared" si="186"/>
        <v>0</v>
      </c>
      <c r="I2927" s="7" t="str" cm="1">
        <f t="array" ref="I2927">IFERROR(_xlfn.IFS(M2927="נח",1,M2927="נע ונח",1,M2927="שני שווא נח",2,M2927="שני שוואים בסוף מילה",2,M2927="שני שוואים ברצף",1),"0")</f>
        <v>0</v>
      </c>
      <c r="J2927" s="9">
        <f t="shared" si="187"/>
        <v>3</v>
      </c>
      <c r="K2927" t="s">
        <v>6698</v>
      </c>
      <c r="L2927" t="s">
        <v>6695</v>
      </c>
      <c r="N2927" t="s">
        <v>6706</v>
      </c>
      <c r="O2927" t="s">
        <v>6694</v>
      </c>
      <c r="P2927" t="s">
        <v>6694</v>
      </c>
      <c r="W2927" t="s">
        <v>6720</v>
      </c>
    </row>
    <row r="2928" spans="1:23" ht="15.6" x14ac:dyDescent="0.4">
      <c r="A2928" s="2" t="s">
        <v>891</v>
      </c>
      <c r="B2928" s="5" t="s">
        <v>9308</v>
      </c>
      <c r="C2928" s="7" t="s">
        <v>12556</v>
      </c>
      <c r="D2928" s="8">
        <f t="shared" si="184"/>
        <v>0</v>
      </c>
      <c r="E2928" s="7" t="s">
        <v>12557</v>
      </c>
      <c r="F2928" s="7">
        <f t="shared" si="185"/>
        <v>1</v>
      </c>
      <c r="G2928" s="7" t="s">
        <v>12558</v>
      </c>
      <c r="H2928" s="7">
        <f t="shared" si="186"/>
        <v>0</v>
      </c>
      <c r="I2928" s="7" t="str" cm="1">
        <f t="array" ref="I2928">IFERROR(_xlfn.IFS(M2928="נח",1,M2928="נע ונח",1,M2928="שני שווא נח",2,M2928="שני שוואים בסוף מילה",2,M2928="שני שוואים ברצף",1),"0")</f>
        <v>0</v>
      </c>
      <c r="J2928" s="9">
        <f t="shared" si="187"/>
        <v>2</v>
      </c>
      <c r="K2928" t="s">
        <v>6698</v>
      </c>
      <c r="L2928" t="s">
        <v>6695</v>
      </c>
      <c r="P2928" t="s">
        <v>6694</v>
      </c>
      <c r="V2928" t="s">
        <v>6694</v>
      </c>
      <c r="W2928" t="s">
        <v>6720</v>
      </c>
    </row>
    <row r="2929" spans="1:23" ht="15.6" x14ac:dyDescent="0.4">
      <c r="A2929" s="2" t="s">
        <v>6055</v>
      </c>
      <c r="B2929" s="5" t="s">
        <v>9309</v>
      </c>
      <c r="C2929" s="7" t="s">
        <v>12556</v>
      </c>
      <c r="D2929" s="8">
        <f t="shared" si="184"/>
        <v>0</v>
      </c>
      <c r="E2929" s="7" t="s">
        <v>12557</v>
      </c>
      <c r="F2929" s="7">
        <f t="shared" si="185"/>
        <v>1</v>
      </c>
      <c r="G2929" s="7" t="s">
        <v>12558</v>
      </c>
      <c r="H2929" s="7">
        <f t="shared" si="186"/>
        <v>0</v>
      </c>
      <c r="I2929" s="7" t="str" cm="1">
        <f t="array" ref="I2929">IFERROR(_xlfn.IFS(M2929="נח",1,M2929="נע ונח",1,M2929="שני שווא נח",2,M2929="שני שוואים בסוף מילה",2,M2929="שני שוואים ברצף",1),"0")</f>
        <v>0</v>
      </c>
      <c r="J2929" s="9">
        <f t="shared" si="187"/>
        <v>3</v>
      </c>
      <c r="K2929" t="s">
        <v>6698</v>
      </c>
      <c r="L2929" t="s">
        <v>6695</v>
      </c>
      <c r="N2929" t="s">
        <v>6706</v>
      </c>
      <c r="O2929" t="s">
        <v>6694</v>
      </c>
      <c r="P2929" t="s">
        <v>6694</v>
      </c>
      <c r="V2929" t="s">
        <v>6694</v>
      </c>
      <c r="W2929" t="s">
        <v>6720</v>
      </c>
    </row>
    <row r="2930" spans="1:23" ht="15.6" x14ac:dyDescent="0.4">
      <c r="A2930" s="2" t="s">
        <v>5477</v>
      </c>
      <c r="B2930" s="5" t="s">
        <v>9310</v>
      </c>
      <c r="C2930" s="7" t="s">
        <v>12556</v>
      </c>
      <c r="D2930" s="8">
        <f t="shared" si="184"/>
        <v>0</v>
      </c>
      <c r="E2930" s="7" t="s">
        <v>12557</v>
      </c>
      <c r="F2930" s="7">
        <f t="shared" si="185"/>
        <v>2</v>
      </c>
      <c r="G2930" s="7" t="s">
        <v>12558</v>
      </c>
      <c r="H2930" s="7">
        <f t="shared" si="186"/>
        <v>1</v>
      </c>
      <c r="I2930" s="7" t="str" cm="1">
        <f t="array" ref="I2930">IFERROR(_xlfn.IFS(M2930="נח",1,M2930="נע ונח",1,M2930="שני שווא נח",2,M2930="שני שוואים בסוף מילה",2,M2930="שני שוואים ברצף",1),"0")</f>
        <v>0</v>
      </c>
      <c r="J2930" s="9">
        <f t="shared" si="187"/>
        <v>4</v>
      </c>
      <c r="K2930" t="s">
        <v>6697</v>
      </c>
      <c r="L2930" t="s">
        <v>6695</v>
      </c>
      <c r="P2930" t="s">
        <v>6694</v>
      </c>
      <c r="Q2930" t="s">
        <v>6694</v>
      </c>
      <c r="U2930" t="s">
        <v>6694</v>
      </c>
      <c r="V2930" t="s">
        <v>6694</v>
      </c>
      <c r="W2930" t="s">
        <v>6720</v>
      </c>
    </row>
    <row r="2931" spans="1:23" ht="15.6" x14ac:dyDescent="0.4">
      <c r="A2931" s="2" t="s">
        <v>1864</v>
      </c>
      <c r="B2931" s="5" t="s">
        <v>9311</v>
      </c>
      <c r="C2931" s="7" t="s">
        <v>12556</v>
      </c>
      <c r="D2931" s="8">
        <f t="shared" si="184"/>
        <v>0</v>
      </c>
      <c r="E2931" s="7" t="s">
        <v>12557</v>
      </c>
      <c r="F2931" s="7">
        <f t="shared" si="185"/>
        <v>0</v>
      </c>
      <c r="G2931" s="7" t="s">
        <v>12558</v>
      </c>
      <c r="H2931" s="7">
        <f t="shared" si="186"/>
        <v>0</v>
      </c>
      <c r="I2931" s="7" t="str" cm="1">
        <f t="array" ref="I2931">IFERROR(_xlfn.IFS(M2931="נח",1,M2931="נע ונח",1,M2931="שני שווא נח",2,M2931="שני שוואים בסוף מילה",2,M2931="שני שוואים ברצף",1),"0")</f>
        <v>0</v>
      </c>
      <c r="J2931" s="9">
        <f t="shared" si="187"/>
        <v>1</v>
      </c>
      <c r="K2931" t="s">
        <v>6698</v>
      </c>
      <c r="L2931" t="s">
        <v>6695</v>
      </c>
      <c r="P2931" t="s">
        <v>6694</v>
      </c>
      <c r="W2931" t="s">
        <v>6720</v>
      </c>
    </row>
    <row r="2932" spans="1:23" ht="15.6" x14ac:dyDescent="0.4">
      <c r="A2932" s="2" t="s">
        <v>664</v>
      </c>
      <c r="B2932" s="5" t="s">
        <v>9312</v>
      </c>
      <c r="C2932" s="7" t="s">
        <v>12556</v>
      </c>
      <c r="D2932" s="8">
        <f t="shared" si="184"/>
        <v>0</v>
      </c>
      <c r="E2932" s="7" t="s">
        <v>12557</v>
      </c>
      <c r="F2932" s="7">
        <f t="shared" si="185"/>
        <v>0</v>
      </c>
      <c r="G2932" s="7" t="s">
        <v>12558</v>
      </c>
      <c r="H2932" s="7">
        <f t="shared" si="186"/>
        <v>0</v>
      </c>
      <c r="I2932" s="7" cm="1">
        <f t="array" ref="I2932">IFERROR(_xlfn.IFS(M2932="נח",1,M2932="נע ונח",1,M2932="שני שווא נח",2,M2932="שני שוואים בסוף מילה",2,M2932="שני שוואים ברצף",1),"0")</f>
        <v>1</v>
      </c>
      <c r="J2932" s="9">
        <f t="shared" si="187"/>
        <v>2</v>
      </c>
      <c r="K2932" t="s">
        <v>6697</v>
      </c>
      <c r="L2932" t="s">
        <v>6694</v>
      </c>
      <c r="M2932" t="s">
        <v>6705</v>
      </c>
      <c r="P2932" t="s">
        <v>6694</v>
      </c>
      <c r="V2932" t="s">
        <v>6694</v>
      </c>
      <c r="W2932" t="s">
        <v>6720</v>
      </c>
    </row>
    <row r="2933" spans="1:23" ht="15.6" x14ac:dyDescent="0.4">
      <c r="A2933" s="2" t="s">
        <v>4316</v>
      </c>
      <c r="B2933" s="5" t="s">
        <v>9266</v>
      </c>
      <c r="C2933" s="7" t="s">
        <v>12556</v>
      </c>
      <c r="D2933" s="8">
        <f t="shared" si="184"/>
        <v>0</v>
      </c>
      <c r="E2933" s="7" t="s">
        <v>12557</v>
      </c>
      <c r="F2933" s="7">
        <f t="shared" si="185"/>
        <v>0</v>
      </c>
      <c r="G2933" s="7" t="s">
        <v>12558</v>
      </c>
      <c r="H2933" s="7">
        <f t="shared" si="186"/>
        <v>0</v>
      </c>
      <c r="I2933" s="7" t="str" cm="1">
        <f t="array" ref="I2933">IFERROR(_xlfn.IFS(M2933="נח",1,M2933="נע ונח",1,M2933="שני שווא נח",2,M2933="שני שוואים בסוף מילה",2,M2933="שני שוואים ברצף",1),"0")</f>
        <v>0</v>
      </c>
      <c r="J2933" s="9">
        <f t="shared" si="187"/>
        <v>2</v>
      </c>
      <c r="K2933" t="s">
        <v>6698</v>
      </c>
      <c r="L2933" t="s">
        <v>6695</v>
      </c>
      <c r="P2933" t="s">
        <v>6694</v>
      </c>
      <c r="S2933" t="s">
        <v>6694</v>
      </c>
      <c r="W2933" t="s">
        <v>6720</v>
      </c>
    </row>
    <row r="2934" spans="1:23" ht="15.6" x14ac:dyDescent="0.4">
      <c r="A2934" s="2" t="s">
        <v>850</v>
      </c>
      <c r="B2934" s="5" t="s">
        <v>9313</v>
      </c>
      <c r="C2934" s="7" t="s">
        <v>12556</v>
      </c>
      <c r="D2934" s="8">
        <f t="shared" si="184"/>
        <v>0</v>
      </c>
      <c r="E2934" s="7" t="s">
        <v>12557</v>
      </c>
      <c r="F2934" s="7">
        <f t="shared" si="185"/>
        <v>1</v>
      </c>
      <c r="G2934" s="7" t="s">
        <v>12558</v>
      </c>
      <c r="H2934" s="7">
        <f t="shared" si="186"/>
        <v>0</v>
      </c>
      <c r="I2934" s="7" t="str" cm="1">
        <f t="array" ref="I2934">IFERROR(_xlfn.IFS(M2934="נח",1,M2934="נע ונח",1,M2934="שני שווא נח",2,M2934="שני שוואים בסוף מילה",2,M2934="שני שוואים ברצף",1),"0")</f>
        <v>0</v>
      </c>
      <c r="J2934" s="9">
        <f t="shared" si="187"/>
        <v>2</v>
      </c>
      <c r="K2934" t="s">
        <v>6698</v>
      </c>
      <c r="L2934" t="s">
        <v>6695</v>
      </c>
      <c r="P2934" t="s">
        <v>6694</v>
      </c>
      <c r="S2934" t="s">
        <v>6694</v>
      </c>
      <c r="W2934" t="s">
        <v>6720</v>
      </c>
    </row>
    <row r="2935" spans="1:23" ht="15.6" x14ac:dyDescent="0.4">
      <c r="A2935" s="2" t="s">
        <v>289</v>
      </c>
      <c r="B2935" s="5" t="s">
        <v>9314</v>
      </c>
      <c r="C2935" s="7" t="s">
        <v>12556</v>
      </c>
      <c r="D2935" s="8">
        <f t="shared" si="184"/>
        <v>0</v>
      </c>
      <c r="E2935" s="7" t="s">
        <v>12557</v>
      </c>
      <c r="F2935" s="7">
        <f t="shared" si="185"/>
        <v>1</v>
      </c>
      <c r="G2935" s="7" t="s">
        <v>12558</v>
      </c>
      <c r="H2935" s="7">
        <f t="shared" si="186"/>
        <v>0</v>
      </c>
      <c r="I2935" s="7" t="str" cm="1">
        <f t="array" ref="I2935">IFERROR(_xlfn.IFS(M2935="נח",1,M2935="נע ונח",1,M2935="שני שווא נח",2,M2935="שני שוואים בסוף מילה",2,M2935="שני שוואים ברצף",1),"0")</f>
        <v>0</v>
      </c>
      <c r="J2935" s="9">
        <f t="shared" si="187"/>
        <v>3</v>
      </c>
      <c r="K2935" t="s">
        <v>6697</v>
      </c>
      <c r="L2935" t="s">
        <v>6695</v>
      </c>
      <c r="P2935" t="s">
        <v>6694</v>
      </c>
      <c r="Q2935" t="s">
        <v>6694</v>
      </c>
      <c r="S2935" t="s">
        <v>6694</v>
      </c>
      <c r="W2935" t="s">
        <v>6720</v>
      </c>
    </row>
    <row r="2936" spans="1:23" ht="15.6" x14ac:dyDescent="0.4">
      <c r="A2936" s="2" t="s">
        <v>2608</v>
      </c>
      <c r="B2936" s="5" t="s">
        <v>9315</v>
      </c>
      <c r="C2936" s="7" t="s">
        <v>12556</v>
      </c>
      <c r="D2936" s="8">
        <f t="shared" si="184"/>
        <v>0</v>
      </c>
      <c r="E2936" s="7" t="s">
        <v>12557</v>
      </c>
      <c r="F2936" s="7">
        <f t="shared" si="185"/>
        <v>1</v>
      </c>
      <c r="G2936" s="7" t="s">
        <v>12558</v>
      </c>
      <c r="H2936" s="7">
        <f t="shared" si="186"/>
        <v>0</v>
      </c>
      <c r="I2936" s="7" t="str" cm="1">
        <f t="array" ref="I2936">IFERROR(_xlfn.IFS(M2936="נח",1,M2936="נע ונח",1,M2936="שני שווא נח",2,M2936="שני שוואים בסוף מילה",2,M2936="שני שוואים ברצף",1),"0")</f>
        <v>0</v>
      </c>
      <c r="J2936" s="9">
        <f t="shared" si="187"/>
        <v>2</v>
      </c>
      <c r="K2936" t="s">
        <v>6698</v>
      </c>
      <c r="L2936" t="s">
        <v>6695</v>
      </c>
      <c r="P2936" t="s">
        <v>6694</v>
      </c>
      <c r="W2936" t="s">
        <v>6720</v>
      </c>
    </row>
    <row r="2937" spans="1:23" ht="15.6" x14ac:dyDescent="0.4">
      <c r="A2937" s="2" t="s">
        <v>5688</v>
      </c>
      <c r="B2937" s="5" t="s">
        <v>9316</v>
      </c>
      <c r="C2937" s="7" t="s">
        <v>12556</v>
      </c>
      <c r="D2937" s="8">
        <f t="shared" si="184"/>
        <v>0</v>
      </c>
      <c r="E2937" s="7" t="s">
        <v>12557</v>
      </c>
      <c r="F2937" s="7">
        <f t="shared" si="185"/>
        <v>1</v>
      </c>
      <c r="G2937" s="7" t="s">
        <v>12558</v>
      </c>
      <c r="H2937" s="7">
        <f t="shared" si="186"/>
        <v>0</v>
      </c>
      <c r="I2937" s="7" t="str" cm="1">
        <f t="array" ref="I2937">IFERROR(_xlfn.IFS(M2937="נח",1,M2937="נע ונח",1,M2937="שני שווא נח",2,M2937="שני שוואים בסוף מילה",2,M2937="שני שוואים ברצף",1),"0")</f>
        <v>0</v>
      </c>
      <c r="J2937" s="9">
        <f t="shared" si="187"/>
        <v>2</v>
      </c>
      <c r="K2937" t="s">
        <v>6698</v>
      </c>
      <c r="L2937" t="s">
        <v>6695</v>
      </c>
      <c r="P2937" t="s">
        <v>6694</v>
      </c>
      <c r="W2937" t="s">
        <v>6720</v>
      </c>
    </row>
    <row r="2938" spans="1:23" ht="15.6" x14ac:dyDescent="0.4">
      <c r="A2938" s="2" t="s">
        <v>801</v>
      </c>
      <c r="B2938" s="5" t="s">
        <v>9315</v>
      </c>
      <c r="C2938" s="7" t="s">
        <v>12556</v>
      </c>
      <c r="D2938" s="8">
        <f t="shared" si="184"/>
        <v>0</v>
      </c>
      <c r="E2938" s="7" t="s">
        <v>12557</v>
      </c>
      <c r="F2938" s="7">
        <f t="shared" si="185"/>
        <v>1</v>
      </c>
      <c r="G2938" s="7" t="s">
        <v>12558</v>
      </c>
      <c r="H2938" s="7">
        <f t="shared" si="186"/>
        <v>0</v>
      </c>
      <c r="I2938" s="7" t="str" cm="1">
        <f t="array" ref="I2938">IFERROR(_xlfn.IFS(M2938="נח",1,M2938="נע ונח",1,M2938="שני שווא נח",2,M2938="שני שוואים בסוף מילה",2,M2938="שני שוואים ברצף",1),"0")</f>
        <v>0</v>
      </c>
      <c r="J2938" s="9">
        <f t="shared" si="187"/>
        <v>2</v>
      </c>
      <c r="K2938" t="s">
        <v>6698</v>
      </c>
      <c r="L2938" t="s">
        <v>6695</v>
      </c>
      <c r="N2938" t="s">
        <v>6706</v>
      </c>
      <c r="O2938" t="s">
        <v>6694</v>
      </c>
      <c r="P2938" t="s">
        <v>6694</v>
      </c>
      <c r="W2938" t="s">
        <v>6720</v>
      </c>
    </row>
    <row r="2939" spans="1:23" ht="15.6" x14ac:dyDescent="0.4">
      <c r="A2939" s="2" t="s">
        <v>2817</v>
      </c>
      <c r="B2939" s="5" t="s">
        <v>9317</v>
      </c>
      <c r="C2939" s="7" t="s">
        <v>12556</v>
      </c>
      <c r="D2939" s="8">
        <f t="shared" si="184"/>
        <v>0</v>
      </c>
      <c r="E2939" s="7" t="s">
        <v>12557</v>
      </c>
      <c r="F2939" s="7">
        <f t="shared" si="185"/>
        <v>1</v>
      </c>
      <c r="G2939" s="7" t="s">
        <v>12558</v>
      </c>
      <c r="H2939" s="7">
        <f t="shared" si="186"/>
        <v>0</v>
      </c>
      <c r="I2939" s="7" cm="1">
        <f t="array" ref="I2939">IFERROR(_xlfn.IFS(M2939="נח",1,M2939="נע ונח",1,M2939="שני שווא נח",2,M2939="שני שוואים בסוף מילה",2,M2939="שני שוואים ברצף",1),"0")</f>
        <v>1</v>
      </c>
      <c r="J2939" s="9">
        <f t="shared" si="187"/>
        <v>3</v>
      </c>
      <c r="K2939" t="s">
        <v>6697</v>
      </c>
      <c r="L2939" t="s">
        <v>6694</v>
      </c>
      <c r="M2939" t="s">
        <v>6705</v>
      </c>
      <c r="N2939" t="s">
        <v>6706</v>
      </c>
      <c r="O2939" t="s">
        <v>6694</v>
      </c>
      <c r="P2939" t="s">
        <v>6694</v>
      </c>
      <c r="S2939" t="s">
        <v>6694</v>
      </c>
      <c r="W2939" t="s">
        <v>6720</v>
      </c>
    </row>
    <row r="2940" spans="1:23" ht="15.6" x14ac:dyDescent="0.4">
      <c r="A2940" s="2" t="s">
        <v>4505</v>
      </c>
      <c r="B2940" s="5" t="s">
        <v>9318</v>
      </c>
      <c r="C2940" s="7" t="s">
        <v>12556</v>
      </c>
      <c r="D2940" s="8">
        <f t="shared" si="184"/>
        <v>0</v>
      </c>
      <c r="E2940" s="7" t="s">
        <v>12557</v>
      </c>
      <c r="F2940" s="7">
        <f t="shared" si="185"/>
        <v>1</v>
      </c>
      <c r="G2940" s="7" t="s">
        <v>12558</v>
      </c>
      <c r="H2940" s="7">
        <f t="shared" si="186"/>
        <v>0</v>
      </c>
      <c r="I2940" s="7" cm="1">
        <f t="array" ref="I2940">IFERROR(_xlfn.IFS(M2940="נח",1,M2940="נע ונח",1,M2940="שני שווא נח",2,M2940="שני שוואים בסוף מילה",2,M2940="שני שוואים ברצף",1),"0")</f>
        <v>1</v>
      </c>
      <c r="J2940" s="9">
        <f t="shared" si="187"/>
        <v>3</v>
      </c>
      <c r="K2940" t="s">
        <v>6697</v>
      </c>
      <c r="L2940" t="s">
        <v>6694</v>
      </c>
      <c r="M2940" t="s">
        <v>6705</v>
      </c>
      <c r="N2940" t="s">
        <v>6706</v>
      </c>
      <c r="O2940" t="s">
        <v>6694</v>
      </c>
      <c r="P2940" t="s">
        <v>6694</v>
      </c>
      <c r="W2940" t="s">
        <v>6720</v>
      </c>
    </row>
    <row r="2941" spans="1:23" ht="15.6" x14ac:dyDescent="0.4">
      <c r="A2941" s="2" t="s">
        <v>5603</v>
      </c>
      <c r="B2941" s="5" t="s">
        <v>9319</v>
      </c>
      <c r="C2941" s="7" t="s">
        <v>12556</v>
      </c>
      <c r="D2941" s="8">
        <f t="shared" si="184"/>
        <v>0</v>
      </c>
      <c r="E2941" s="7" t="s">
        <v>12557</v>
      </c>
      <c r="F2941" s="7">
        <f t="shared" si="185"/>
        <v>1</v>
      </c>
      <c r="G2941" s="7" t="s">
        <v>12558</v>
      </c>
      <c r="H2941" s="7">
        <f t="shared" si="186"/>
        <v>0</v>
      </c>
      <c r="I2941" s="7" t="str" cm="1">
        <f t="array" ref="I2941">IFERROR(_xlfn.IFS(M2941="נח",1,M2941="נע ונח",1,M2941="שני שווא נח",2,M2941="שני שוואים בסוף מילה",2,M2941="שני שוואים ברצף",1),"0")</f>
        <v>0</v>
      </c>
      <c r="J2941" s="9">
        <f t="shared" si="187"/>
        <v>3</v>
      </c>
      <c r="K2941" t="s">
        <v>6697</v>
      </c>
      <c r="L2941" t="s">
        <v>6695</v>
      </c>
      <c r="O2941" t="s">
        <v>6694</v>
      </c>
      <c r="P2941" t="s">
        <v>6694</v>
      </c>
      <c r="S2941" t="s">
        <v>6694</v>
      </c>
      <c r="W2941" t="s">
        <v>6720</v>
      </c>
    </row>
    <row r="2942" spans="1:23" ht="15.6" x14ac:dyDescent="0.4">
      <c r="A2942" s="2" t="s">
        <v>741</v>
      </c>
      <c r="B2942" s="5" t="s">
        <v>9320</v>
      </c>
      <c r="C2942" s="7" t="s">
        <v>12556</v>
      </c>
      <c r="D2942" s="8">
        <f t="shared" si="184"/>
        <v>0</v>
      </c>
      <c r="E2942" s="7" t="s">
        <v>12557</v>
      </c>
      <c r="F2942" s="7">
        <f t="shared" si="185"/>
        <v>1</v>
      </c>
      <c r="G2942" s="7" t="s">
        <v>12558</v>
      </c>
      <c r="H2942" s="7">
        <f t="shared" si="186"/>
        <v>0</v>
      </c>
      <c r="I2942" s="7" t="str" cm="1">
        <f t="array" ref="I2942">IFERROR(_xlfn.IFS(M2942="נח",1,M2942="נע ונח",1,M2942="שני שווא נח",2,M2942="שני שוואים בסוף מילה",2,M2942="שני שוואים ברצף",1),"0")</f>
        <v>0</v>
      </c>
      <c r="J2942" s="9">
        <f t="shared" si="187"/>
        <v>2</v>
      </c>
      <c r="K2942" t="s">
        <v>6698</v>
      </c>
      <c r="L2942" t="s">
        <v>6695</v>
      </c>
      <c r="P2942" t="s">
        <v>6694</v>
      </c>
      <c r="V2942" t="s">
        <v>6694</v>
      </c>
      <c r="W2942" t="s">
        <v>6720</v>
      </c>
    </row>
    <row r="2943" spans="1:23" ht="15.6" x14ac:dyDescent="0.4">
      <c r="A2943" s="2" t="s">
        <v>5095</v>
      </c>
      <c r="B2943" s="5" t="s">
        <v>9321</v>
      </c>
      <c r="C2943" s="7" t="s">
        <v>12556</v>
      </c>
      <c r="D2943" s="8">
        <f t="shared" si="184"/>
        <v>0</v>
      </c>
      <c r="E2943" s="7" t="s">
        <v>12557</v>
      </c>
      <c r="F2943" s="7">
        <f t="shared" si="185"/>
        <v>1</v>
      </c>
      <c r="G2943" s="7" t="s">
        <v>12558</v>
      </c>
      <c r="H2943" s="7">
        <f t="shared" si="186"/>
        <v>0</v>
      </c>
      <c r="I2943" s="7" cm="1">
        <f t="array" ref="I2943">IFERROR(_xlfn.IFS(M2943="נח",1,M2943="נע ונח",1,M2943="שני שווא נח",2,M2943="שני שוואים בסוף מילה",2,M2943="שני שוואים ברצף",1),"0")</f>
        <v>1</v>
      </c>
      <c r="J2943" s="9">
        <f t="shared" si="187"/>
        <v>3</v>
      </c>
      <c r="K2943" t="s">
        <v>6697</v>
      </c>
      <c r="L2943" t="s">
        <v>6694</v>
      </c>
      <c r="M2943" t="s">
        <v>6705</v>
      </c>
      <c r="P2943" t="s">
        <v>6694</v>
      </c>
      <c r="Q2943" t="s">
        <v>6694</v>
      </c>
      <c r="S2943" t="s">
        <v>6694</v>
      </c>
      <c r="W2943" t="s">
        <v>6720</v>
      </c>
    </row>
    <row r="2944" spans="1:23" ht="15.6" x14ac:dyDescent="0.4">
      <c r="A2944" s="2" t="s">
        <v>3189</v>
      </c>
      <c r="B2944" s="5" t="s">
        <v>9322</v>
      </c>
      <c r="C2944" s="7" t="s">
        <v>12556</v>
      </c>
      <c r="D2944" s="8">
        <f t="shared" si="184"/>
        <v>0</v>
      </c>
      <c r="E2944" s="7" t="s">
        <v>12557</v>
      </c>
      <c r="F2944" s="7">
        <f t="shared" si="185"/>
        <v>1</v>
      </c>
      <c r="G2944" s="7" t="s">
        <v>12558</v>
      </c>
      <c r="H2944" s="7">
        <f t="shared" si="186"/>
        <v>0</v>
      </c>
      <c r="I2944" s="7" cm="1">
        <f t="array" ref="I2944">IFERROR(_xlfn.IFS(M2944="נח",1,M2944="נע ונח",1,M2944="שני שווא נח",2,M2944="שני שוואים בסוף מילה",2,M2944="שני שוואים ברצף",1),"0")</f>
        <v>1</v>
      </c>
      <c r="J2944" s="9">
        <f t="shared" si="187"/>
        <v>2</v>
      </c>
      <c r="K2944" t="s">
        <v>6697</v>
      </c>
      <c r="L2944" t="s">
        <v>6694</v>
      </c>
      <c r="M2944" t="s">
        <v>6705</v>
      </c>
      <c r="O2944" t="s">
        <v>6694</v>
      </c>
      <c r="P2944" t="s">
        <v>6694</v>
      </c>
      <c r="W2944" t="s">
        <v>6720</v>
      </c>
    </row>
    <row r="2945" spans="1:23" ht="15.6" x14ac:dyDescent="0.4">
      <c r="A2945" s="2" t="s">
        <v>586</v>
      </c>
      <c r="B2945" s="5" t="s">
        <v>9323</v>
      </c>
      <c r="C2945" s="7" t="s">
        <v>12556</v>
      </c>
      <c r="D2945" s="8">
        <f t="shared" si="184"/>
        <v>1</v>
      </c>
      <c r="E2945" s="7" t="s">
        <v>12557</v>
      </c>
      <c r="F2945" s="7">
        <f t="shared" si="185"/>
        <v>1</v>
      </c>
      <c r="G2945" s="7" t="s">
        <v>12558</v>
      </c>
      <c r="H2945" s="7">
        <f t="shared" si="186"/>
        <v>0</v>
      </c>
      <c r="I2945" s="7" t="str" cm="1">
        <f t="array" ref="I2945">IFERROR(_xlfn.IFS(M2945="נח",1,M2945="נע ונח",1,M2945="שני שווא נח",2,M2945="שני שוואים בסוף מילה",2,M2945="שני שוואים ברצף",1),"0")</f>
        <v>0</v>
      </c>
      <c r="J2945" s="9">
        <f t="shared" si="187"/>
        <v>3</v>
      </c>
      <c r="K2945" t="s">
        <v>6698</v>
      </c>
      <c r="L2945" t="s">
        <v>6695</v>
      </c>
      <c r="O2945" t="s">
        <v>6694</v>
      </c>
      <c r="P2945" t="s">
        <v>6694</v>
      </c>
      <c r="S2945" t="s">
        <v>6694</v>
      </c>
      <c r="W2945" t="s">
        <v>6720</v>
      </c>
    </row>
    <row r="2946" spans="1:23" ht="15.6" x14ac:dyDescent="0.4">
      <c r="A2946" s="2" t="s">
        <v>4750</v>
      </c>
      <c r="B2946" s="5" t="s">
        <v>9324</v>
      </c>
      <c r="C2946" s="7" t="s">
        <v>12556</v>
      </c>
      <c r="D2946" s="8">
        <f t="shared" si="184"/>
        <v>0</v>
      </c>
      <c r="E2946" s="7" t="s">
        <v>12557</v>
      </c>
      <c r="F2946" s="7">
        <f t="shared" si="185"/>
        <v>1</v>
      </c>
      <c r="G2946" s="7" t="s">
        <v>12558</v>
      </c>
      <c r="H2946" s="7">
        <f t="shared" si="186"/>
        <v>0</v>
      </c>
      <c r="I2946" s="7" t="str" cm="1">
        <f t="array" ref="I2946">IFERROR(_xlfn.IFS(M2946="נח",1,M2946="נע ונח",1,M2946="שני שווא נח",2,M2946="שני שוואים בסוף מילה",2,M2946="שני שוואים ברצף",1),"0")</f>
        <v>0</v>
      </c>
      <c r="J2946" s="9">
        <f t="shared" si="187"/>
        <v>3</v>
      </c>
      <c r="K2946" t="s">
        <v>6697</v>
      </c>
      <c r="L2946" t="s">
        <v>6695</v>
      </c>
      <c r="P2946" t="s">
        <v>6694</v>
      </c>
      <c r="S2946" t="s">
        <v>6694</v>
      </c>
      <c r="V2946" t="s">
        <v>6694</v>
      </c>
      <c r="W2946" t="s">
        <v>6720</v>
      </c>
    </row>
    <row r="2947" spans="1:23" ht="15.6" x14ac:dyDescent="0.4">
      <c r="A2947" s="2" t="s">
        <v>3445</v>
      </c>
      <c r="B2947" s="5" t="s">
        <v>9325</v>
      </c>
      <c r="C2947" s="7" t="s">
        <v>12556</v>
      </c>
      <c r="D2947" s="8">
        <f t="shared" ref="D2947:D3010" si="188">(LEN(B2947)-LEN(SUBSTITUTE(B2947,C2947,"")))</f>
        <v>0</v>
      </c>
      <c r="E2947" s="7" t="s">
        <v>12557</v>
      </c>
      <c r="F2947" s="7">
        <f t="shared" ref="F2947:F3010" si="189">(LEN(A2947)-LEN(SUBSTITUTE(A2947,E2947,"")))</f>
        <v>0</v>
      </c>
      <c r="G2947" s="7" t="s">
        <v>12558</v>
      </c>
      <c r="H2947" s="7">
        <f t="shared" ref="H2947:H3010" si="190">(LEN(A2947)-LEN(SUBSTITUTE(A2947,G2947,"")))/2</f>
        <v>0</v>
      </c>
      <c r="I2947" s="7" t="str" cm="1">
        <f t="array" ref="I2947">IFERROR(_xlfn.IFS(M2947="נח",1,M2947="נע ונח",1,M2947="שני שווא נח",2,M2947="שני שוואים בסוף מילה",2,M2947="שני שוואים ברצף",1),"0")</f>
        <v>0</v>
      </c>
      <c r="J2947" s="9">
        <f t="shared" ref="J2947:J3010" si="191">LEN(A2947)-(LEN(B2947))-D2947-F2947+H2947-I2947</f>
        <v>1</v>
      </c>
      <c r="K2947" t="s">
        <v>6698</v>
      </c>
      <c r="L2947" t="s">
        <v>6695</v>
      </c>
      <c r="P2947" t="s">
        <v>6694</v>
      </c>
      <c r="W2947" t="s">
        <v>6720</v>
      </c>
    </row>
    <row r="2948" spans="1:23" ht="15.6" x14ac:dyDescent="0.4">
      <c r="A2948" s="2" t="s">
        <v>4747</v>
      </c>
      <c r="B2948" s="5" t="s">
        <v>9326</v>
      </c>
      <c r="C2948" s="7" t="s">
        <v>12556</v>
      </c>
      <c r="D2948" s="8">
        <f t="shared" si="188"/>
        <v>0</v>
      </c>
      <c r="E2948" s="7" t="s">
        <v>12557</v>
      </c>
      <c r="F2948" s="7">
        <f t="shared" si="189"/>
        <v>1</v>
      </c>
      <c r="G2948" s="7" t="s">
        <v>12558</v>
      </c>
      <c r="H2948" s="7">
        <f t="shared" si="190"/>
        <v>0</v>
      </c>
      <c r="I2948" s="7" t="str" cm="1">
        <f t="array" ref="I2948">IFERROR(_xlfn.IFS(M2948="נח",1,M2948="נע ונח",1,M2948="שני שווא נח",2,M2948="שני שוואים בסוף מילה",2,M2948="שני שוואים ברצף",1),"0")</f>
        <v>0</v>
      </c>
      <c r="J2948" s="9">
        <f t="shared" si="191"/>
        <v>2</v>
      </c>
      <c r="K2948" t="s">
        <v>6698</v>
      </c>
      <c r="L2948" t="s">
        <v>6695</v>
      </c>
      <c r="P2948" t="s">
        <v>6694</v>
      </c>
      <c r="V2948" t="s">
        <v>6694</v>
      </c>
      <c r="W2948" t="s">
        <v>6720</v>
      </c>
    </row>
    <row r="2949" spans="1:23" ht="15.6" x14ac:dyDescent="0.4">
      <c r="A2949" s="2" t="s">
        <v>338</v>
      </c>
      <c r="B2949" s="5" t="s">
        <v>9327</v>
      </c>
      <c r="C2949" s="7" t="s">
        <v>12556</v>
      </c>
      <c r="D2949" s="8">
        <f t="shared" si="188"/>
        <v>0</v>
      </c>
      <c r="E2949" s="7" t="s">
        <v>12557</v>
      </c>
      <c r="F2949" s="7">
        <f t="shared" si="189"/>
        <v>2</v>
      </c>
      <c r="G2949" s="7" t="s">
        <v>12558</v>
      </c>
      <c r="H2949" s="7">
        <f t="shared" si="190"/>
        <v>1</v>
      </c>
      <c r="I2949" s="7" t="str" cm="1">
        <f t="array" ref="I2949">IFERROR(_xlfn.IFS(M2949="נח",1,M2949="נע ונח",1,M2949="שני שווא נח",2,M2949="שני שוואים בסוף מילה",2,M2949="שני שוואים ברצף",1),"0")</f>
        <v>0</v>
      </c>
      <c r="J2949" s="9">
        <f t="shared" si="191"/>
        <v>2</v>
      </c>
      <c r="K2949" t="s">
        <v>6698</v>
      </c>
      <c r="L2949" t="s">
        <v>6695</v>
      </c>
      <c r="P2949" t="s">
        <v>6694</v>
      </c>
      <c r="U2949" t="s">
        <v>6694</v>
      </c>
      <c r="W2949" t="s">
        <v>6720</v>
      </c>
    </row>
    <row r="2950" spans="1:23" ht="15.6" x14ac:dyDescent="0.4">
      <c r="A2950" s="2" t="s">
        <v>5781</v>
      </c>
      <c r="B2950" s="5" t="s">
        <v>9328</v>
      </c>
      <c r="C2950" s="7" t="s">
        <v>12556</v>
      </c>
      <c r="D2950" s="8">
        <f t="shared" si="188"/>
        <v>0</v>
      </c>
      <c r="E2950" s="7" t="s">
        <v>12557</v>
      </c>
      <c r="F2950" s="7">
        <f t="shared" si="189"/>
        <v>0</v>
      </c>
      <c r="G2950" s="7" t="s">
        <v>12558</v>
      </c>
      <c r="H2950" s="7">
        <f t="shared" si="190"/>
        <v>0</v>
      </c>
      <c r="I2950" s="7" cm="1">
        <f t="array" ref="I2950">IFERROR(_xlfn.IFS(M2950="נח",1,M2950="נע ונח",1,M2950="שני שווא נח",2,M2950="שני שוואים בסוף מילה",2,M2950="שני שוואים ברצף",1),"0")</f>
        <v>1</v>
      </c>
      <c r="J2950" s="9">
        <f t="shared" si="191"/>
        <v>2</v>
      </c>
      <c r="K2950" t="s">
        <v>6698</v>
      </c>
      <c r="L2950" t="s">
        <v>6694</v>
      </c>
      <c r="M2950" t="s">
        <v>6705</v>
      </c>
      <c r="P2950" t="s">
        <v>6694</v>
      </c>
      <c r="Q2950" t="s">
        <v>6694</v>
      </c>
      <c r="W2950" t="s">
        <v>6720</v>
      </c>
    </row>
    <row r="2951" spans="1:23" ht="15.6" x14ac:dyDescent="0.4">
      <c r="A2951" s="2" t="s">
        <v>132</v>
      </c>
      <c r="B2951" s="5" t="s">
        <v>9329</v>
      </c>
      <c r="C2951" s="7" t="s">
        <v>12556</v>
      </c>
      <c r="D2951" s="8">
        <f t="shared" si="188"/>
        <v>0</v>
      </c>
      <c r="E2951" s="7" t="s">
        <v>12557</v>
      </c>
      <c r="F2951" s="7">
        <f t="shared" si="189"/>
        <v>1</v>
      </c>
      <c r="G2951" s="7" t="s">
        <v>12558</v>
      </c>
      <c r="H2951" s="7">
        <f t="shared" si="190"/>
        <v>0</v>
      </c>
      <c r="I2951" s="7" cm="1">
        <f t="array" ref="I2951">IFERROR(_xlfn.IFS(M2951="נח",1,M2951="נע ונח",1,M2951="שני שווא נח",2,M2951="שני שוואים בסוף מילה",2,M2951="שני שוואים ברצף",1),"0")</f>
        <v>1</v>
      </c>
      <c r="J2951" s="9">
        <f t="shared" si="191"/>
        <v>3</v>
      </c>
      <c r="K2951" t="s">
        <v>6697</v>
      </c>
      <c r="L2951" t="s">
        <v>6694</v>
      </c>
      <c r="M2951" t="s">
        <v>6702</v>
      </c>
      <c r="O2951" t="s">
        <v>6694</v>
      </c>
      <c r="P2951" t="s">
        <v>6694</v>
      </c>
      <c r="W2951" t="s">
        <v>6720</v>
      </c>
    </row>
    <row r="2952" spans="1:23" ht="15.6" x14ac:dyDescent="0.4">
      <c r="A2952" s="2" t="s">
        <v>2913</v>
      </c>
      <c r="B2952" s="5" t="s">
        <v>9328</v>
      </c>
      <c r="C2952" s="7" t="s">
        <v>12556</v>
      </c>
      <c r="D2952" s="8">
        <f t="shared" si="188"/>
        <v>0</v>
      </c>
      <c r="E2952" s="7" t="s">
        <v>12557</v>
      </c>
      <c r="F2952" s="7">
        <f t="shared" si="189"/>
        <v>1</v>
      </c>
      <c r="G2952" s="7" t="s">
        <v>12558</v>
      </c>
      <c r="H2952" s="7">
        <f t="shared" si="190"/>
        <v>0</v>
      </c>
      <c r="I2952" s="7" cm="1">
        <f t="array" ref="I2952">IFERROR(_xlfn.IFS(M2952="נח",1,M2952="נע ונח",1,M2952="שני שווא נח",2,M2952="שני שוואים בסוף מילה",2,M2952="שני שוואים ברצף",1),"0")</f>
        <v>1</v>
      </c>
      <c r="J2952" s="9">
        <f t="shared" si="191"/>
        <v>2</v>
      </c>
      <c r="K2952" t="s">
        <v>6697</v>
      </c>
      <c r="L2952" t="s">
        <v>6694</v>
      </c>
      <c r="M2952" t="s">
        <v>6705</v>
      </c>
      <c r="P2952" t="s">
        <v>6694</v>
      </c>
      <c r="S2952" t="s">
        <v>6694</v>
      </c>
      <c r="W2952" t="s">
        <v>6720</v>
      </c>
    </row>
    <row r="2953" spans="1:23" ht="15.6" x14ac:dyDescent="0.4">
      <c r="A2953" s="2" t="s">
        <v>832</v>
      </c>
      <c r="B2953" s="5" t="s">
        <v>9329</v>
      </c>
      <c r="C2953" s="7" t="s">
        <v>12556</v>
      </c>
      <c r="D2953" s="8">
        <f t="shared" si="188"/>
        <v>0</v>
      </c>
      <c r="E2953" s="7" t="s">
        <v>12557</v>
      </c>
      <c r="F2953" s="7">
        <f t="shared" si="189"/>
        <v>1</v>
      </c>
      <c r="G2953" s="7" t="s">
        <v>12558</v>
      </c>
      <c r="H2953" s="7">
        <f t="shared" si="190"/>
        <v>0</v>
      </c>
      <c r="I2953" s="7" cm="1">
        <f t="array" ref="I2953">IFERROR(_xlfn.IFS(M2953="נח",1,M2953="נע ונח",1,M2953="שני שווא נח",2,M2953="שני שוואים בסוף מילה",2,M2953="שני שוואים ברצף",1),"0")</f>
        <v>1</v>
      </c>
      <c r="J2953" s="9">
        <f t="shared" si="191"/>
        <v>3</v>
      </c>
      <c r="K2953" t="s">
        <v>6697</v>
      </c>
      <c r="L2953" t="s">
        <v>6694</v>
      </c>
      <c r="M2953" t="s">
        <v>6705</v>
      </c>
      <c r="O2953" t="s">
        <v>6694</v>
      </c>
      <c r="P2953" t="s">
        <v>6694</v>
      </c>
      <c r="R2953" t="s">
        <v>6694</v>
      </c>
      <c r="W2953" t="s">
        <v>6720</v>
      </c>
    </row>
    <row r="2954" spans="1:23" ht="15.6" x14ac:dyDescent="0.4">
      <c r="A2954" s="2" t="s">
        <v>1013</v>
      </c>
      <c r="B2954" s="5" t="s">
        <v>9330</v>
      </c>
      <c r="C2954" s="7" t="s">
        <v>12556</v>
      </c>
      <c r="D2954" s="8">
        <f t="shared" si="188"/>
        <v>0</v>
      </c>
      <c r="E2954" s="7" t="s">
        <v>12557</v>
      </c>
      <c r="F2954" s="7">
        <f t="shared" si="189"/>
        <v>1</v>
      </c>
      <c r="G2954" s="7" t="s">
        <v>12558</v>
      </c>
      <c r="H2954" s="7">
        <f t="shared" si="190"/>
        <v>0</v>
      </c>
      <c r="I2954" s="7" cm="1">
        <f t="array" ref="I2954">IFERROR(_xlfn.IFS(M2954="נח",1,M2954="נע ונח",1,M2954="שני שווא נח",2,M2954="שני שוואים בסוף מילה",2,M2954="שני שוואים ברצף",1),"0")</f>
        <v>1</v>
      </c>
      <c r="J2954" s="9">
        <f t="shared" si="191"/>
        <v>2</v>
      </c>
      <c r="K2954" t="s">
        <v>6697</v>
      </c>
      <c r="L2954" t="s">
        <v>6694</v>
      </c>
      <c r="M2954" t="s">
        <v>6705</v>
      </c>
      <c r="P2954" t="s">
        <v>6694</v>
      </c>
      <c r="V2954" t="s">
        <v>6694</v>
      </c>
      <c r="W2954" t="s">
        <v>6720</v>
      </c>
    </row>
    <row r="2955" spans="1:23" ht="15.6" x14ac:dyDescent="0.4">
      <c r="A2955" s="2" t="s">
        <v>3689</v>
      </c>
      <c r="B2955" s="5" t="s">
        <v>9331</v>
      </c>
      <c r="C2955" s="7" t="s">
        <v>12556</v>
      </c>
      <c r="D2955" s="8">
        <f t="shared" si="188"/>
        <v>0</v>
      </c>
      <c r="E2955" s="7" t="s">
        <v>12557</v>
      </c>
      <c r="F2955" s="7">
        <f t="shared" si="189"/>
        <v>1</v>
      </c>
      <c r="G2955" s="7" t="s">
        <v>12558</v>
      </c>
      <c r="H2955" s="7">
        <f t="shared" si="190"/>
        <v>0</v>
      </c>
      <c r="I2955" s="7" cm="1">
        <f t="array" ref="I2955">IFERROR(_xlfn.IFS(M2955="נח",1,M2955="נע ונח",1,M2955="שני שווא נח",2,M2955="שני שוואים בסוף מילה",2,M2955="שני שוואים ברצף",1),"0")</f>
        <v>1</v>
      </c>
      <c r="J2955" s="9">
        <f t="shared" si="191"/>
        <v>3</v>
      </c>
      <c r="K2955" t="s">
        <v>6697</v>
      </c>
      <c r="L2955" t="s">
        <v>6694</v>
      </c>
      <c r="M2955" t="s">
        <v>6702</v>
      </c>
      <c r="O2955" t="s">
        <v>6694</v>
      </c>
      <c r="P2955" t="s">
        <v>6694</v>
      </c>
      <c r="W2955" t="s">
        <v>6720</v>
      </c>
    </row>
    <row r="2956" spans="1:23" ht="15.6" x14ac:dyDescent="0.4">
      <c r="A2956" s="2" t="s">
        <v>2513</v>
      </c>
      <c r="B2956" s="5" t="s">
        <v>9332</v>
      </c>
      <c r="C2956" s="7" t="s">
        <v>12556</v>
      </c>
      <c r="D2956" s="8">
        <f t="shared" si="188"/>
        <v>0</v>
      </c>
      <c r="E2956" s="7" t="s">
        <v>12557</v>
      </c>
      <c r="F2956" s="7">
        <f t="shared" si="189"/>
        <v>1</v>
      </c>
      <c r="G2956" s="7" t="s">
        <v>12558</v>
      </c>
      <c r="H2956" s="7">
        <f t="shared" si="190"/>
        <v>0</v>
      </c>
      <c r="I2956" s="7" cm="1">
        <f t="array" ref="I2956">IFERROR(_xlfn.IFS(M2956="נח",1,M2956="נע ונח",1,M2956="שני שווא נח",2,M2956="שני שוואים בסוף מילה",2,M2956="שני שוואים ברצף",1),"0")</f>
        <v>1</v>
      </c>
      <c r="J2956" s="9">
        <f t="shared" si="191"/>
        <v>2</v>
      </c>
      <c r="K2956" t="s">
        <v>6698</v>
      </c>
      <c r="L2956" t="s">
        <v>6694</v>
      </c>
      <c r="M2956" t="s">
        <v>6705</v>
      </c>
      <c r="N2956" t="s">
        <v>6706</v>
      </c>
      <c r="O2956" t="s">
        <v>6694</v>
      </c>
      <c r="P2956" t="s">
        <v>6694</v>
      </c>
      <c r="W2956" t="s">
        <v>6720</v>
      </c>
    </row>
    <row r="2957" spans="1:23" ht="15.6" x14ac:dyDescent="0.4">
      <c r="A2957" s="2" t="s">
        <v>5388</v>
      </c>
      <c r="B2957" s="5" t="s">
        <v>9333</v>
      </c>
      <c r="C2957" s="7" t="s">
        <v>12556</v>
      </c>
      <c r="D2957" s="8">
        <f t="shared" si="188"/>
        <v>0</v>
      </c>
      <c r="E2957" s="7" t="s">
        <v>12557</v>
      </c>
      <c r="F2957" s="7">
        <f t="shared" si="189"/>
        <v>1</v>
      </c>
      <c r="G2957" s="7" t="s">
        <v>12558</v>
      </c>
      <c r="H2957" s="7">
        <f t="shared" si="190"/>
        <v>0</v>
      </c>
      <c r="I2957" s="7" cm="1">
        <f t="array" ref="I2957">IFERROR(_xlfn.IFS(M2957="נח",1,M2957="נע ונח",1,M2957="שני שווא נח",2,M2957="שני שוואים בסוף מילה",2,M2957="שני שוואים ברצף",1),"0")</f>
        <v>1</v>
      </c>
      <c r="J2957" s="9">
        <f t="shared" si="191"/>
        <v>3</v>
      </c>
      <c r="K2957" t="s">
        <v>6698</v>
      </c>
      <c r="L2957" t="s">
        <v>6694</v>
      </c>
      <c r="M2957" t="s">
        <v>6705</v>
      </c>
      <c r="P2957" t="s">
        <v>6694</v>
      </c>
      <c r="T2957" t="s">
        <v>6694</v>
      </c>
      <c r="V2957" t="s">
        <v>6694</v>
      </c>
      <c r="W2957" t="s">
        <v>6720</v>
      </c>
    </row>
    <row r="2958" spans="1:23" ht="15.6" x14ac:dyDescent="0.4">
      <c r="A2958" s="2" t="s">
        <v>3453</v>
      </c>
      <c r="B2958" s="5" t="s">
        <v>9334</v>
      </c>
      <c r="C2958" s="7" t="s">
        <v>12556</v>
      </c>
      <c r="D2958" s="8">
        <f t="shared" si="188"/>
        <v>0</v>
      </c>
      <c r="E2958" s="7" t="s">
        <v>12557</v>
      </c>
      <c r="F2958" s="7">
        <f t="shared" si="189"/>
        <v>0</v>
      </c>
      <c r="G2958" s="7" t="s">
        <v>12558</v>
      </c>
      <c r="H2958" s="7">
        <f t="shared" si="190"/>
        <v>0</v>
      </c>
      <c r="I2958" s="7" t="str" cm="1">
        <f t="array" ref="I2958">IFERROR(_xlfn.IFS(M2958="נח",1,M2958="נע ונח",1,M2958="שני שווא נח",2,M2958="שני שוואים בסוף מילה",2,M2958="שני שוואים ברצף",1),"0")</f>
        <v>0</v>
      </c>
      <c r="J2958" s="9">
        <f t="shared" si="191"/>
        <v>2</v>
      </c>
      <c r="K2958" t="s">
        <v>6698</v>
      </c>
      <c r="L2958" t="s">
        <v>6695</v>
      </c>
      <c r="O2958" t="s">
        <v>6694</v>
      </c>
      <c r="Q2958" t="s">
        <v>6694</v>
      </c>
      <c r="W2958" t="s">
        <v>6720</v>
      </c>
    </row>
    <row r="2959" spans="1:23" ht="15.6" x14ac:dyDescent="0.4">
      <c r="A2959" s="2" t="s">
        <v>827</v>
      </c>
      <c r="B2959" s="5" t="s">
        <v>9334</v>
      </c>
      <c r="C2959" s="7" t="s">
        <v>12556</v>
      </c>
      <c r="D2959" s="8">
        <f t="shared" si="188"/>
        <v>0</v>
      </c>
      <c r="E2959" s="7" t="s">
        <v>12557</v>
      </c>
      <c r="F2959" s="7">
        <f t="shared" si="189"/>
        <v>0</v>
      </c>
      <c r="G2959" s="7" t="s">
        <v>12558</v>
      </c>
      <c r="H2959" s="7">
        <f t="shared" si="190"/>
        <v>0</v>
      </c>
      <c r="I2959" s="7" t="str" cm="1">
        <f t="array" ref="I2959">IFERROR(_xlfn.IFS(M2959="נח",1,M2959="נע ונח",1,M2959="שני שווא נח",2,M2959="שני שוואים בסוף מילה",2,M2959="שני שוואים ברצף",1),"0")</f>
        <v>0</v>
      </c>
      <c r="J2959" s="9">
        <f t="shared" si="191"/>
        <v>2</v>
      </c>
      <c r="K2959" t="s">
        <v>6698</v>
      </c>
      <c r="L2959" t="s">
        <v>6695</v>
      </c>
      <c r="O2959" t="s">
        <v>6694</v>
      </c>
      <c r="P2959" t="s">
        <v>6694</v>
      </c>
      <c r="W2959" t="s">
        <v>6720</v>
      </c>
    </row>
    <row r="2960" spans="1:23" ht="15.6" x14ac:dyDescent="0.4">
      <c r="A2960" s="2" t="s">
        <v>1444</v>
      </c>
      <c r="B2960" s="5" t="s">
        <v>9302</v>
      </c>
      <c r="C2960" s="7" t="s">
        <v>12556</v>
      </c>
      <c r="D2960" s="8">
        <f t="shared" si="188"/>
        <v>1</v>
      </c>
      <c r="E2960" s="7" t="s">
        <v>12557</v>
      </c>
      <c r="F2960" s="7">
        <f t="shared" si="189"/>
        <v>0</v>
      </c>
      <c r="G2960" s="7" t="s">
        <v>12558</v>
      </c>
      <c r="H2960" s="7">
        <f t="shared" si="190"/>
        <v>0</v>
      </c>
      <c r="I2960" s="7" t="str" cm="1">
        <f t="array" ref="I2960">IFERROR(_xlfn.IFS(M2960="נח",1,M2960="נע ונח",1,M2960="שני שווא נח",2,M2960="שני שוואים בסוף מילה",2,M2960="שני שוואים ברצף",1),"0")</f>
        <v>0</v>
      </c>
      <c r="J2960" s="9">
        <f t="shared" si="191"/>
        <v>2</v>
      </c>
      <c r="K2960" t="s">
        <v>6698</v>
      </c>
      <c r="L2960" t="s">
        <v>6695</v>
      </c>
      <c r="O2960" t="s">
        <v>6694</v>
      </c>
      <c r="W2960" t="s">
        <v>6720</v>
      </c>
    </row>
    <row r="2961" spans="1:23" ht="15.6" x14ac:dyDescent="0.4">
      <c r="A2961" s="2" t="s">
        <v>4163</v>
      </c>
      <c r="B2961" s="5" t="s">
        <v>9335</v>
      </c>
      <c r="C2961" s="7" t="s">
        <v>12556</v>
      </c>
      <c r="D2961" s="8">
        <f t="shared" si="188"/>
        <v>0</v>
      </c>
      <c r="E2961" s="7" t="s">
        <v>12557</v>
      </c>
      <c r="F2961" s="7">
        <f t="shared" si="189"/>
        <v>0</v>
      </c>
      <c r="G2961" s="7" t="s">
        <v>12558</v>
      </c>
      <c r="H2961" s="7">
        <f t="shared" si="190"/>
        <v>0</v>
      </c>
      <c r="I2961" s="7" t="str" cm="1">
        <f t="array" ref="I2961">IFERROR(_xlfn.IFS(M2961="נח",1,M2961="נע ונח",1,M2961="שני שווא נח",2,M2961="שני שוואים בסוף מילה",2,M2961="שני שוואים ברצף",1),"0")</f>
        <v>0</v>
      </c>
      <c r="J2961" s="9">
        <f t="shared" si="191"/>
        <v>2</v>
      </c>
      <c r="K2961" t="s">
        <v>6697</v>
      </c>
      <c r="L2961" t="s">
        <v>6695</v>
      </c>
      <c r="O2961" t="s">
        <v>6694</v>
      </c>
      <c r="W2961" t="s">
        <v>6720</v>
      </c>
    </row>
    <row r="2962" spans="1:23" ht="15.6" x14ac:dyDescent="0.4">
      <c r="A2962" s="2" t="s">
        <v>4159</v>
      </c>
      <c r="B2962" s="5" t="s">
        <v>9218</v>
      </c>
      <c r="C2962" s="7" t="s">
        <v>12556</v>
      </c>
      <c r="D2962" s="8">
        <f t="shared" si="188"/>
        <v>0</v>
      </c>
      <c r="E2962" s="7" t="s">
        <v>12557</v>
      </c>
      <c r="F2962" s="7">
        <f t="shared" si="189"/>
        <v>1</v>
      </c>
      <c r="G2962" s="7" t="s">
        <v>12558</v>
      </c>
      <c r="H2962" s="7">
        <f t="shared" si="190"/>
        <v>1</v>
      </c>
      <c r="I2962" s="7" t="str" cm="1">
        <f t="array" ref="I2962">IFERROR(_xlfn.IFS(M2962="נח",1,M2962="נע ונח",1,M2962="שני שווא נח",2,M2962="שני שוואים בסוף מילה",2,M2962="שני שוואים ברצף",1),"0")</f>
        <v>0</v>
      </c>
      <c r="J2962" s="9">
        <f t="shared" si="191"/>
        <v>2</v>
      </c>
      <c r="K2962" t="s">
        <v>6697</v>
      </c>
      <c r="L2962" t="s">
        <v>6695</v>
      </c>
      <c r="O2962" t="s">
        <v>6694</v>
      </c>
      <c r="U2962" t="s">
        <v>6694</v>
      </c>
      <c r="W2962" t="s">
        <v>6720</v>
      </c>
    </row>
    <row r="2963" spans="1:23" ht="15.6" x14ac:dyDescent="0.4">
      <c r="A2963" s="2" t="s">
        <v>1031</v>
      </c>
      <c r="B2963" s="5" t="s">
        <v>9336</v>
      </c>
      <c r="C2963" s="7" t="s">
        <v>12556</v>
      </c>
      <c r="D2963" s="8">
        <f t="shared" si="188"/>
        <v>0</v>
      </c>
      <c r="E2963" s="7" t="s">
        <v>12557</v>
      </c>
      <c r="F2963" s="7">
        <f t="shared" si="189"/>
        <v>1</v>
      </c>
      <c r="G2963" s="7" t="s">
        <v>12558</v>
      </c>
      <c r="H2963" s="7">
        <f t="shared" si="190"/>
        <v>1</v>
      </c>
      <c r="I2963" s="7" t="str" cm="1">
        <f t="array" ref="I2963">IFERROR(_xlfn.IFS(M2963="נח",1,M2963="נע ונח",1,M2963="שני שווא נח",2,M2963="שני שוואים בסוף מילה",2,M2963="שני שוואים ברצף",1),"0")</f>
        <v>0</v>
      </c>
      <c r="J2963" s="9">
        <f t="shared" si="191"/>
        <v>3</v>
      </c>
      <c r="K2963" t="s">
        <v>6697</v>
      </c>
      <c r="L2963" t="s">
        <v>6695</v>
      </c>
      <c r="O2963" t="s">
        <v>6694</v>
      </c>
      <c r="U2963" t="s">
        <v>6694</v>
      </c>
      <c r="W2963" t="s">
        <v>6720</v>
      </c>
    </row>
    <row r="2964" spans="1:23" ht="15.6" x14ac:dyDescent="0.4">
      <c r="A2964" s="2" t="s">
        <v>2158</v>
      </c>
      <c r="B2964" s="5" t="s">
        <v>9306</v>
      </c>
      <c r="C2964" s="7" t="s">
        <v>12556</v>
      </c>
      <c r="D2964" s="8">
        <f t="shared" si="188"/>
        <v>0</v>
      </c>
      <c r="E2964" s="7" t="s">
        <v>12557</v>
      </c>
      <c r="F2964" s="7">
        <f t="shared" si="189"/>
        <v>0</v>
      </c>
      <c r="G2964" s="7" t="s">
        <v>12558</v>
      </c>
      <c r="H2964" s="7">
        <f t="shared" si="190"/>
        <v>0</v>
      </c>
      <c r="I2964" s="7" t="str" cm="1">
        <f t="array" ref="I2964">IFERROR(_xlfn.IFS(M2964="נח",1,M2964="נע ונח",1,M2964="שני שווא נח",2,M2964="שני שוואים בסוף מילה",2,M2964="שני שוואים ברצף",1),"0")</f>
        <v>0</v>
      </c>
      <c r="J2964" s="9">
        <f t="shared" si="191"/>
        <v>3</v>
      </c>
      <c r="K2964" t="s">
        <v>6697</v>
      </c>
      <c r="L2964" t="s">
        <v>6695</v>
      </c>
      <c r="O2964" t="s">
        <v>6694</v>
      </c>
      <c r="S2964" t="s">
        <v>6694</v>
      </c>
      <c r="W2964" t="s">
        <v>6720</v>
      </c>
    </row>
    <row r="2965" spans="1:23" ht="15.6" x14ac:dyDescent="0.4">
      <c r="A2965" s="2" t="s">
        <v>3553</v>
      </c>
      <c r="B2965" s="5" t="s">
        <v>9311</v>
      </c>
      <c r="C2965" s="7" t="s">
        <v>12556</v>
      </c>
      <c r="D2965" s="8">
        <f t="shared" si="188"/>
        <v>0</v>
      </c>
      <c r="E2965" s="7" t="s">
        <v>12557</v>
      </c>
      <c r="F2965" s="7">
        <f t="shared" si="189"/>
        <v>0</v>
      </c>
      <c r="G2965" s="7" t="s">
        <v>12558</v>
      </c>
      <c r="H2965" s="7">
        <f t="shared" si="190"/>
        <v>0</v>
      </c>
      <c r="I2965" s="7" t="str" cm="1">
        <f t="array" ref="I2965">IFERROR(_xlfn.IFS(M2965="נח",1,M2965="נע ונח",1,M2965="שני שווא נח",2,M2965="שני שוואים בסוף מילה",2,M2965="שני שוואים ברצף",1),"0")</f>
        <v>0</v>
      </c>
      <c r="J2965" s="9">
        <f t="shared" si="191"/>
        <v>1</v>
      </c>
      <c r="K2965" t="s">
        <v>6698</v>
      </c>
      <c r="L2965" t="s">
        <v>6695</v>
      </c>
      <c r="N2965" t="s">
        <v>6706</v>
      </c>
      <c r="O2965" t="s">
        <v>6694</v>
      </c>
      <c r="W2965" t="s">
        <v>6720</v>
      </c>
    </row>
    <row r="2966" spans="1:23" ht="15.6" x14ac:dyDescent="0.4">
      <c r="A2966" s="2" t="s">
        <v>447</v>
      </c>
      <c r="B2966" s="5" t="s">
        <v>9266</v>
      </c>
      <c r="C2966" s="7" t="s">
        <v>12556</v>
      </c>
      <c r="D2966" s="8">
        <f t="shared" si="188"/>
        <v>0</v>
      </c>
      <c r="E2966" s="7" t="s">
        <v>12557</v>
      </c>
      <c r="F2966" s="7">
        <f t="shared" si="189"/>
        <v>0</v>
      </c>
      <c r="G2966" s="7" t="s">
        <v>12558</v>
      </c>
      <c r="H2966" s="7">
        <f t="shared" si="190"/>
        <v>0</v>
      </c>
      <c r="I2966" s="7" t="str" cm="1">
        <f t="array" ref="I2966">IFERROR(_xlfn.IFS(M2966="נח",1,M2966="נע ונח",1,M2966="שני שווא נח",2,M2966="שני שוואים בסוף מילה",2,M2966="שני שוואים ברצף",1),"0")</f>
        <v>0</v>
      </c>
      <c r="J2966" s="9">
        <f t="shared" si="191"/>
        <v>2</v>
      </c>
      <c r="K2966" t="s">
        <v>6698</v>
      </c>
      <c r="L2966" t="s">
        <v>6695</v>
      </c>
      <c r="N2966" t="s">
        <v>6706</v>
      </c>
      <c r="O2966" t="s">
        <v>6694</v>
      </c>
      <c r="S2966" t="s">
        <v>6694</v>
      </c>
      <c r="W2966" t="s">
        <v>6720</v>
      </c>
    </row>
    <row r="2967" spans="1:23" ht="15.6" x14ac:dyDescent="0.4">
      <c r="A2967" s="2" t="s">
        <v>1177</v>
      </c>
      <c r="B2967" s="5" t="s">
        <v>9337</v>
      </c>
      <c r="C2967" s="7" t="s">
        <v>12556</v>
      </c>
      <c r="D2967" s="8">
        <f t="shared" si="188"/>
        <v>0</v>
      </c>
      <c r="E2967" s="7" t="s">
        <v>12557</v>
      </c>
      <c r="F2967" s="7">
        <f t="shared" si="189"/>
        <v>0</v>
      </c>
      <c r="G2967" s="7" t="s">
        <v>12558</v>
      </c>
      <c r="H2967" s="7">
        <f t="shared" si="190"/>
        <v>0</v>
      </c>
      <c r="I2967" s="7" cm="1">
        <f t="array" ref="I2967">IFERROR(_xlfn.IFS(M2967="נח",1,M2967="נע ונח",1,M2967="שני שווא נח",2,M2967="שני שוואים בסוף מילה",2,M2967="שני שוואים ברצף",1),"0")</f>
        <v>1</v>
      </c>
      <c r="J2967" s="9">
        <f t="shared" si="191"/>
        <v>2</v>
      </c>
      <c r="K2967" t="s">
        <v>6697</v>
      </c>
      <c r="L2967" t="s">
        <v>6694</v>
      </c>
      <c r="M2967" t="s">
        <v>6705</v>
      </c>
      <c r="N2967" t="s">
        <v>6706</v>
      </c>
      <c r="O2967" t="s">
        <v>6694</v>
      </c>
      <c r="W2967" t="s">
        <v>6720</v>
      </c>
    </row>
    <row r="2968" spans="1:23" ht="15.6" x14ac:dyDescent="0.4">
      <c r="A2968" s="2" t="s">
        <v>1586</v>
      </c>
      <c r="B2968" s="5" t="s">
        <v>9338</v>
      </c>
      <c r="C2968" s="7" t="s">
        <v>12556</v>
      </c>
      <c r="D2968" s="8">
        <f t="shared" si="188"/>
        <v>0</v>
      </c>
      <c r="E2968" s="7" t="s">
        <v>12557</v>
      </c>
      <c r="F2968" s="7">
        <f t="shared" si="189"/>
        <v>0</v>
      </c>
      <c r="G2968" s="7" t="s">
        <v>12558</v>
      </c>
      <c r="H2968" s="7">
        <f t="shared" si="190"/>
        <v>0</v>
      </c>
      <c r="I2968" s="7" cm="1">
        <f t="array" ref="I2968">IFERROR(_xlfn.IFS(M2968="נח",1,M2968="נע ונח",1,M2968="שני שווא נח",2,M2968="שני שוואים בסוף מילה",2,M2968="שני שוואים ברצף",1),"0")</f>
        <v>1</v>
      </c>
      <c r="J2968" s="9">
        <f t="shared" si="191"/>
        <v>3</v>
      </c>
      <c r="K2968" t="s">
        <v>6698</v>
      </c>
      <c r="L2968" t="s">
        <v>6694</v>
      </c>
      <c r="M2968" t="s">
        <v>6705</v>
      </c>
      <c r="N2968" t="s">
        <v>6706</v>
      </c>
      <c r="O2968" t="s">
        <v>6694</v>
      </c>
      <c r="W2968" t="s">
        <v>6720</v>
      </c>
    </row>
    <row r="2969" spans="1:23" ht="15.6" x14ac:dyDescent="0.4">
      <c r="A2969" s="2" t="s">
        <v>3815</v>
      </c>
      <c r="B2969" s="5" t="s">
        <v>9339</v>
      </c>
      <c r="C2969" s="7" t="s">
        <v>12556</v>
      </c>
      <c r="D2969" s="8">
        <f t="shared" si="188"/>
        <v>0</v>
      </c>
      <c r="E2969" s="7" t="s">
        <v>12557</v>
      </c>
      <c r="F2969" s="7">
        <f t="shared" si="189"/>
        <v>0</v>
      </c>
      <c r="G2969" s="7" t="s">
        <v>12558</v>
      </c>
      <c r="H2969" s="7">
        <f t="shared" si="190"/>
        <v>0</v>
      </c>
      <c r="I2969" s="7" cm="1">
        <f t="array" ref="I2969">IFERROR(_xlfn.IFS(M2969="נח",1,M2969="נע ונח",1,M2969="שני שווא נח",2,M2969="שני שוואים בסוף מילה",2,M2969="שני שוואים ברצף",1),"0")</f>
        <v>1</v>
      </c>
      <c r="J2969" s="9">
        <f t="shared" si="191"/>
        <v>2</v>
      </c>
      <c r="K2969" t="s">
        <v>6698</v>
      </c>
      <c r="L2969" t="s">
        <v>6694</v>
      </c>
      <c r="M2969" t="s">
        <v>6705</v>
      </c>
      <c r="N2969" t="s">
        <v>6706</v>
      </c>
      <c r="O2969" t="s">
        <v>6694</v>
      </c>
      <c r="V2969" t="s">
        <v>6694</v>
      </c>
      <c r="W2969" t="s">
        <v>6720</v>
      </c>
    </row>
    <row r="2970" spans="1:23" ht="15.6" x14ac:dyDescent="0.4">
      <c r="A2970" s="2" t="s">
        <v>4050</v>
      </c>
      <c r="B2970" s="5" t="s">
        <v>9340</v>
      </c>
      <c r="C2970" s="7" t="s">
        <v>12556</v>
      </c>
      <c r="D2970" s="8">
        <f t="shared" si="188"/>
        <v>0</v>
      </c>
      <c r="E2970" s="7" t="s">
        <v>12557</v>
      </c>
      <c r="F2970" s="7">
        <f t="shared" si="189"/>
        <v>1</v>
      </c>
      <c r="G2970" s="7" t="s">
        <v>12558</v>
      </c>
      <c r="H2970" s="7">
        <f t="shared" si="190"/>
        <v>1</v>
      </c>
      <c r="I2970" s="7" cm="1">
        <f t="array" ref="I2970">IFERROR(_xlfn.IFS(M2970="נח",1,M2970="נע ונח",1,M2970="שני שווא נח",2,M2970="שני שוואים בסוף מילה",2,M2970="שני שוואים ברצף",1),"0")</f>
        <v>1</v>
      </c>
      <c r="J2970" s="9">
        <f t="shared" si="191"/>
        <v>2</v>
      </c>
      <c r="K2970" t="s">
        <v>6697</v>
      </c>
      <c r="L2970" t="s">
        <v>6694</v>
      </c>
      <c r="M2970" t="s">
        <v>6705</v>
      </c>
      <c r="N2970" t="s">
        <v>6706</v>
      </c>
      <c r="O2970" t="s">
        <v>6694</v>
      </c>
      <c r="U2970" t="s">
        <v>6694</v>
      </c>
      <c r="W2970" t="s">
        <v>6720</v>
      </c>
    </row>
    <row r="2971" spans="1:23" ht="15.6" x14ac:dyDescent="0.4">
      <c r="A2971" s="2" t="s">
        <v>6399</v>
      </c>
      <c r="B2971" s="5" t="s">
        <v>9341</v>
      </c>
      <c r="C2971" s="7" t="s">
        <v>12556</v>
      </c>
      <c r="D2971" s="8">
        <f t="shared" si="188"/>
        <v>0</v>
      </c>
      <c r="E2971" s="7" t="s">
        <v>12557</v>
      </c>
      <c r="F2971" s="7">
        <f t="shared" si="189"/>
        <v>0</v>
      </c>
      <c r="G2971" s="7" t="s">
        <v>12558</v>
      </c>
      <c r="H2971" s="7">
        <f t="shared" si="190"/>
        <v>0</v>
      </c>
      <c r="I2971" s="7" t="str" cm="1">
        <f t="array" ref="I2971">IFERROR(_xlfn.IFS(M2971="נח",1,M2971="נע ונח",1,M2971="שני שווא נח",2,M2971="שני שוואים בסוף מילה",2,M2971="שני שוואים ברצף",1),"0")</f>
        <v>0</v>
      </c>
      <c r="J2971" s="9">
        <f t="shared" si="191"/>
        <v>2</v>
      </c>
      <c r="K2971" t="s">
        <v>6698</v>
      </c>
      <c r="L2971" t="s">
        <v>6695</v>
      </c>
      <c r="O2971" t="s">
        <v>6694</v>
      </c>
      <c r="R2971" t="s">
        <v>6694</v>
      </c>
      <c r="W2971" t="s">
        <v>6720</v>
      </c>
    </row>
    <row r="2972" spans="1:23" ht="15.6" x14ac:dyDescent="0.4">
      <c r="A2972" s="2" t="s">
        <v>5004</v>
      </c>
      <c r="B2972" s="5" t="s">
        <v>9259</v>
      </c>
      <c r="C2972" s="7" t="s">
        <v>12556</v>
      </c>
      <c r="D2972" s="8">
        <f t="shared" si="188"/>
        <v>0</v>
      </c>
      <c r="E2972" s="7" t="s">
        <v>12557</v>
      </c>
      <c r="F2972" s="7">
        <f t="shared" si="189"/>
        <v>0</v>
      </c>
      <c r="G2972" s="7" t="s">
        <v>12558</v>
      </c>
      <c r="H2972" s="7">
        <f t="shared" si="190"/>
        <v>0</v>
      </c>
      <c r="I2972" s="7" t="str" cm="1">
        <f t="array" ref="I2972">IFERROR(_xlfn.IFS(M2972="נח",1,M2972="נע ונח",1,M2972="שני שווא נח",2,M2972="שני שוואים בסוף מילה",2,M2972="שני שוואים ברצף",1),"0")</f>
        <v>0</v>
      </c>
      <c r="J2972" s="9">
        <f t="shared" si="191"/>
        <v>2</v>
      </c>
      <c r="K2972" t="s">
        <v>6698</v>
      </c>
      <c r="L2972" t="s">
        <v>6695</v>
      </c>
      <c r="O2972" t="s">
        <v>6694</v>
      </c>
      <c r="P2972" t="s">
        <v>6694</v>
      </c>
      <c r="W2972" t="s">
        <v>6720</v>
      </c>
    </row>
    <row r="2973" spans="1:23" ht="15.6" x14ac:dyDescent="0.4">
      <c r="A2973" s="2" t="s">
        <v>1096</v>
      </c>
      <c r="B2973" s="5" t="s">
        <v>9325</v>
      </c>
      <c r="C2973" s="7" t="s">
        <v>12556</v>
      </c>
      <c r="D2973" s="8">
        <f t="shared" si="188"/>
        <v>0</v>
      </c>
      <c r="E2973" s="7" t="s">
        <v>12557</v>
      </c>
      <c r="F2973" s="7">
        <f t="shared" si="189"/>
        <v>0</v>
      </c>
      <c r="G2973" s="7" t="s">
        <v>12558</v>
      </c>
      <c r="H2973" s="7">
        <f t="shared" si="190"/>
        <v>0</v>
      </c>
      <c r="I2973" s="7" t="str" cm="1">
        <f t="array" ref="I2973">IFERROR(_xlfn.IFS(M2973="נח",1,M2973="נע ונח",1,M2973="שני שווא נח",2,M2973="שני שוואים בסוף מילה",2,M2973="שני שוואים ברצף",1),"0")</f>
        <v>0</v>
      </c>
      <c r="J2973" s="9">
        <f t="shared" si="191"/>
        <v>1</v>
      </c>
      <c r="K2973" t="s">
        <v>6698</v>
      </c>
      <c r="L2973" t="s">
        <v>6695</v>
      </c>
      <c r="N2973" t="s">
        <v>6706</v>
      </c>
      <c r="O2973" t="s">
        <v>6694</v>
      </c>
      <c r="W2973" t="s">
        <v>6720</v>
      </c>
    </row>
    <row r="2974" spans="1:23" ht="15.6" x14ac:dyDescent="0.4">
      <c r="A2974" s="2" t="s">
        <v>4528</v>
      </c>
      <c r="B2974" s="5" t="s">
        <v>9342</v>
      </c>
      <c r="C2974" s="7" t="s">
        <v>12556</v>
      </c>
      <c r="D2974" s="8">
        <f t="shared" si="188"/>
        <v>0</v>
      </c>
      <c r="E2974" s="7" t="s">
        <v>12557</v>
      </c>
      <c r="F2974" s="7">
        <f t="shared" si="189"/>
        <v>0</v>
      </c>
      <c r="G2974" s="7" t="s">
        <v>12558</v>
      </c>
      <c r="H2974" s="7">
        <f t="shared" si="190"/>
        <v>0</v>
      </c>
      <c r="I2974" s="7" t="str" cm="1">
        <f t="array" ref="I2974">IFERROR(_xlfn.IFS(M2974="נח",1,M2974="נע ונח",1,M2974="שני שווא נח",2,M2974="שני שוואים בסוף מילה",2,M2974="שני שוואים ברצף",1),"0")</f>
        <v>0</v>
      </c>
      <c r="J2974" s="9">
        <f t="shared" si="191"/>
        <v>2</v>
      </c>
      <c r="K2974" t="s">
        <v>6698</v>
      </c>
      <c r="L2974" t="s">
        <v>6695</v>
      </c>
      <c r="O2974" t="s">
        <v>6694</v>
      </c>
      <c r="P2974" t="s">
        <v>6694</v>
      </c>
      <c r="W2974" t="s">
        <v>6720</v>
      </c>
    </row>
    <row r="2975" spans="1:23" ht="15.6" x14ac:dyDescent="0.4">
      <c r="A2975" s="2" t="s">
        <v>4675</v>
      </c>
      <c r="B2975" s="5" t="s">
        <v>9343</v>
      </c>
      <c r="C2975" s="7" t="s">
        <v>12556</v>
      </c>
      <c r="D2975" s="8">
        <f t="shared" si="188"/>
        <v>0</v>
      </c>
      <c r="E2975" s="7" t="s">
        <v>12557</v>
      </c>
      <c r="F2975" s="7">
        <f t="shared" si="189"/>
        <v>0</v>
      </c>
      <c r="G2975" s="7" t="s">
        <v>12558</v>
      </c>
      <c r="H2975" s="7">
        <f t="shared" si="190"/>
        <v>0</v>
      </c>
      <c r="I2975" s="7" t="str" cm="1">
        <f t="array" ref="I2975">IFERROR(_xlfn.IFS(M2975="נח",1,M2975="נע ונח",1,M2975="שני שווא נח",2,M2975="שני שוואים בסוף מילה",2,M2975="שני שוואים ברצף",1),"0")</f>
        <v>0</v>
      </c>
      <c r="J2975" s="9">
        <f t="shared" si="191"/>
        <v>2</v>
      </c>
      <c r="K2975" t="s">
        <v>6698</v>
      </c>
      <c r="L2975" t="s">
        <v>6695</v>
      </c>
      <c r="O2975" t="s">
        <v>6694</v>
      </c>
      <c r="P2975" t="s">
        <v>6694</v>
      </c>
      <c r="W2975" t="s">
        <v>6720</v>
      </c>
    </row>
    <row r="2976" spans="1:23" ht="15.6" x14ac:dyDescent="0.4">
      <c r="A2976" s="2" t="s">
        <v>936</v>
      </c>
      <c r="B2976" s="5" t="s">
        <v>9224</v>
      </c>
      <c r="C2976" s="7" t="s">
        <v>12556</v>
      </c>
      <c r="D2976" s="8">
        <f t="shared" si="188"/>
        <v>0</v>
      </c>
      <c r="E2976" s="7" t="s">
        <v>12557</v>
      </c>
      <c r="F2976" s="7">
        <f t="shared" si="189"/>
        <v>0</v>
      </c>
      <c r="G2976" s="7" t="s">
        <v>12558</v>
      </c>
      <c r="H2976" s="7">
        <f t="shared" si="190"/>
        <v>0</v>
      </c>
      <c r="I2976" s="7" t="str" cm="1">
        <f t="array" ref="I2976">IFERROR(_xlfn.IFS(M2976="נח",1,M2976="נע ונח",1,M2976="שני שווא נח",2,M2976="שני שוואים בסוף מילה",2,M2976="שני שוואים ברצף",1),"0")</f>
        <v>0</v>
      </c>
      <c r="J2976" s="9">
        <f t="shared" si="191"/>
        <v>2</v>
      </c>
      <c r="K2976" t="s">
        <v>6698</v>
      </c>
      <c r="L2976" t="s">
        <v>6695</v>
      </c>
      <c r="N2976" t="s">
        <v>6706</v>
      </c>
      <c r="O2976" t="s">
        <v>6694</v>
      </c>
      <c r="W2976" t="s">
        <v>6720</v>
      </c>
    </row>
    <row r="2977" spans="1:23" ht="15.6" x14ac:dyDescent="0.4">
      <c r="A2977" s="2" t="s">
        <v>2411</v>
      </c>
      <c r="B2977" s="5" t="s">
        <v>9344</v>
      </c>
      <c r="C2977" s="7" t="s">
        <v>12556</v>
      </c>
      <c r="D2977" s="8">
        <f t="shared" si="188"/>
        <v>0</v>
      </c>
      <c r="E2977" s="7" t="s">
        <v>12557</v>
      </c>
      <c r="F2977" s="7">
        <f t="shared" si="189"/>
        <v>0</v>
      </c>
      <c r="G2977" s="7" t="s">
        <v>12558</v>
      </c>
      <c r="H2977" s="7">
        <f t="shared" si="190"/>
        <v>0</v>
      </c>
      <c r="I2977" s="7" t="str" cm="1">
        <f t="array" ref="I2977">IFERROR(_xlfn.IFS(M2977="נח",1,M2977="נע ונח",1,M2977="שני שווא נח",2,M2977="שני שוואים בסוף מילה",2,M2977="שני שוואים ברצף",1),"0")</f>
        <v>0</v>
      </c>
      <c r="J2977" s="9">
        <f t="shared" si="191"/>
        <v>4</v>
      </c>
      <c r="K2977" t="s">
        <v>6697</v>
      </c>
      <c r="L2977" t="s">
        <v>6694</v>
      </c>
      <c r="M2977" t="s">
        <v>6703</v>
      </c>
      <c r="N2977" t="s">
        <v>6706</v>
      </c>
      <c r="O2977" t="s">
        <v>6694</v>
      </c>
      <c r="Q2977" t="s">
        <v>6694</v>
      </c>
      <c r="S2977" t="s">
        <v>6694</v>
      </c>
      <c r="W2977" t="s">
        <v>6720</v>
      </c>
    </row>
    <row r="2978" spans="1:23" ht="15.6" x14ac:dyDescent="0.4">
      <c r="A2978" s="2" t="s">
        <v>593</v>
      </c>
      <c r="B2978" s="5" t="s">
        <v>9345</v>
      </c>
      <c r="C2978" s="7" t="s">
        <v>12556</v>
      </c>
      <c r="D2978" s="8">
        <f t="shared" si="188"/>
        <v>0</v>
      </c>
      <c r="E2978" s="7" t="s">
        <v>12557</v>
      </c>
      <c r="F2978" s="7">
        <f t="shared" si="189"/>
        <v>1</v>
      </c>
      <c r="G2978" s="7" t="s">
        <v>12558</v>
      </c>
      <c r="H2978" s="7">
        <f t="shared" si="190"/>
        <v>0</v>
      </c>
      <c r="I2978" s="7" t="str" cm="1">
        <f t="array" ref="I2978">IFERROR(_xlfn.IFS(M2978="נח",1,M2978="נע ונח",1,M2978="שני שווא נח",2,M2978="שני שוואים בסוף מילה",2,M2978="שני שוואים ברצף",1),"0")</f>
        <v>0</v>
      </c>
      <c r="J2978" s="9">
        <f t="shared" si="191"/>
        <v>3</v>
      </c>
      <c r="K2978" t="s">
        <v>6697</v>
      </c>
      <c r="L2978" t="s">
        <v>6695</v>
      </c>
      <c r="O2978" t="s">
        <v>6694</v>
      </c>
      <c r="Q2978" t="s">
        <v>6694</v>
      </c>
      <c r="S2978" t="s">
        <v>6694</v>
      </c>
      <c r="W2978" t="s">
        <v>6720</v>
      </c>
    </row>
    <row r="2979" spans="1:23" ht="15.6" x14ac:dyDescent="0.4">
      <c r="A2979" s="2" t="s">
        <v>604</v>
      </c>
      <c r="B2979" s="5" t="s">
        <v>9346</v>
      </c>
      <c r="C2979" s="7" t="s">
        <v>12556</v>
      </c>
      <c r="D2979" s="8">
        <f t="shared" si="188"/>
        <v>0</v>
      </c>
      <c r="E2979" s="7" t="s">
        <v>12557</v>
      </c>
      <c r="F2979" s="7">
        <f t="shared" si="189"/>
        <v>0</v>
      </c>
      <c r="G2979" s="7" t="s">
        <v>12558</v>
      </c>
      <c r="H2979" s="7">
        <f t="shared" si="190"/>
        <v>0</v>
      </c>
      <c r="I2979" s="7" t="str" cm="1">
        <f t="array" ref="I2979">IFERROR(_xlfn.IFS(M2979="נח",1,M2979="נע ונח",1,M2979="שני שווא נח",2,M2979="שני שוואים בסוף מילה",2,M2979="שני שוואים ברצף",1),"0")</f>
        <v>0</v>
      </c>
      <c r="J2979" s="9">
        <f t="shared" si="191"/>
        <v>2</v>
      </c>
      <c r="K2979" t="s">
        <v>6698</v>
      </c>
      <c r="L2979" t="s">
        <v>6695</v>
      </c>
      <c r="O2979" t="s">
        <v>6694</v>
      </c>
      <c r="S2979" t="s">
        <v>6694</v>
      </c>
      <c r="W2979" t="s">
        <v>6720</v>
      </c>
    </row>
    <row r="2980" spans="1:23" ht="15.6" x14ac:dyDescent="0.4">
      <c r="A2980" s="2" t="s">
        <v>450</v>
      </c>
      <c r="B2980" s="5" t="s">
        <v>9347</v>
      </c>
      <c r="C2980" s="7" t="s">
        <v>12556</v>
      </c>
      <c r="D2980" s="8">
        <f t="shared" si="188"/>
        <v>0</v>
      </c>
      <c r="E2980" s="7" t="s">
        <v>12557</v>
      </c>
      <c r="F2980" s="7">
        <f t="shared" si="189"/>
        <v>0</v>
      </c>
      <c r="G2980" s="7" t="s">
        <v>12558</v>
      </c>
      <c r="H2980" s="7">
        <f t="shared" si="190"/>
        <v>0</v>
      </c>
      <c r="I2980" s="7" t="str" cm="1">
        <f t="array" ref="I2980">IFERROR(_xlfn.IFS(M2980="נח",1,M2980="נע ונח",1,M2980="שני שווא נח",2,M2980="שני שוואים בסוף מילה",2,M2980="שני שוואים ברצף",1),"0")</f>
        <v>0</v>
      </c>
      <c r="J2980" s="9">
        <f t="shared" si="191"/>
        <v>3</v>
      </c>
      <c r="K2980" t="s">
        <v>6697</v>
      </c>
      <c r="L2980" t="s">
        <v>6695</v>
      </c>
      <c r="O2980" t="s">
        <v>6694</v>
      </c>
      <c r="S2980" t="s">
        <v>6694</v>
      </c>
      <c r="W2980" t="s">
        <v>6720</v>
      </c>
    </row>
    <row r="2981" spans="1:23" ht="15.6" x14ac:dyDescent="0.4">
      <c r="A2981" s="2" t="s">
        <v>4322</v>
      </c>
      <c r="B2981" s="5" t="s">
        <v>9288</v>
      </c>
      <c r="C2981" s="7" t="s">
        <v>12556</v>
      </c>
      <c r="D2981" s="8">
        <f t="shared" si="188"/>
        <v>0</v>
      </c>
      <c r="E2981" s="7" t="s">
        <v>12557</v>
      </c>
      <c r="F2981" s="7">
        <f t="shared" si="189"/>
        <v>0</v>
      </c>
      <c r="G2981" s="7" t="s">
        <v>12558</v>
      </c>
      <c r="H2981" s="7">
        <f t="shared" si="190"/>
        <v>0</v>
      </c>
      <c r="I2981" s="7" t="str" cm="1">
        <f t="array" ref="I2981">IFERROR(_xlfn.IFS(M2981="נח",1,M2981="נע ונח",1,M2981="שני שווא נח",2,M2981="שני שוואים בסוף מילה",2,M2981="שני שוואים ברצף",1),"0")</f>
        <v>0</v>
      </c>
      <c r="J2981" s="9">
        <f t="shared" si="191"/>
        <v>2</v>
      </c>
      <c r="K2981" t="s">
        <v>6698</v>
      </c>
      <c r="L2981" t="s">
        <v>6695</v>
      </c>
      <c r="O2981" t="s">
        <v>6694</v>
      </c>
      <c r="R2981" t="s">
        <v>6694</v>
      </c>
      <c r="W2981" t="s">
        <v>6720</v>
      </c>
    </row>
    <row r="2982" spans="1:23" ht="15.6" x14ac:dyDescent="0.4">
      <c r="A2982" s="2" t="s">
        <v>4100</v>
      </c>
      <c r="B2982" s="5" t="s">
        <v>9348</v>
      </c>
      <c r="C2982" s="7" t="s">
        <v>12556</v>
      </c>
      <c r="D2982" s="8">
        <f t="shared" si="188"/>
        <v>0</v>
      </c>
      <c r="E2982" s="7" t="s">
        <v>12557</v>
      </c>
      <c r="F2982" s="7">
        <f t="shared" si="189"/>
        <v>0</v>
      </c>
      <c r="G2982" s="7" t="s">
        <v>12558</v>
      </c>
      <c r="H2982" s="7">
        <f t="shared" si="190"/>
        <v>0</v>
      </c>
      <c r="I2982" s="7" t="str" cm="1">
        <f t="array" ref="I2982">IFERROR(_xlfn.IFS(M2982="נח",1,M2982="נע ונח",1,M2982="שני שווא נח",2,M2982="שני שוואים בסוף מילה",2,M2982="שני שוואים ברצף",1),"0")</f>
        <v>0</v>
      </c>
      <c r="J2982" s="9">
        <f t="shared" si="191"/>
        <v>3</v>
      </c>
      <c r="K2982" t="s">
        <v>6697</v>
      </c>
      <c r="L2982" t="s">
        <v>6695</v>
      </c>
      <c r="N2982" t="s">
        <v>6706</v>
      </c>
      <c r="O2982" t="s">
        <v>6694</v>
      </c>
      <c r="W2982" t="s">
        <v>6720</v>
      </c>
    </row>
    <row r="2983" spans="1:23" ht="15.6" x14ac:dyDescent="0.4">
      <c r="A2983" s="2" t="s">
        <v>557</v>
      </c>
      <c r="B2983" s="5" t="s">
        <v>9349</v>
      </c>
      <c r="C2983" s="7" t="s">
        <v>12556</v>
      </c>
      <c r="D2983" s="8">
        <f t="shared" si="188"/>
        <v>0</v>
      </c>
      <c r="E2983" s="7" t="s">
        <v>12557</v>
      </c>
      <c r="F2983" s="7">
        <f t="shared" si="189"/>
        <v>1</v>
      </c>
      <c r="G2983" s="7" t="s">
        <v>12558</v>
      </c>
      <c r="H2983" s="7">
        <f t="shared" si="190"/>
        <v>1</v>
      </c>
      <c r="I2983" s="7" cm="1">
        <f t="array" ref="I2983">IFERROR(_xlfn.IFS(M2983="נח",1,M2983="נע ונח",1,M2983="שני שווא נח",2,M2983="שני שוואים בסוף מילה",2,M2983="שני שוואים ברצף",1),"0")</f>
        <v>1</v>
      </c>
      <c r="J2983" s="9">
        <f t="shared" si="191"/>
        <v>2</v>
      </c>
      <c r="K2983" t="s">
        <v>6697</v>
      </c>
      <c r="L2983" t="s">
        <v>6694</v>
      </c>
      <c r="M2983" t="s">
        <v>6705</v>
      </c>
      <c r="N2983" t="s">
        <v>6706</v>
      </c>
      <c r="O2983" t="s">
        <v>6694</v>
      </c>
      <c r="U2983" t="s">
        <v>6694</v>
      </c>
      <c r="W2983" t="s">
        <v>6720</v>
      </c>
    </row>
    <row r="2984" spans="1:23" ht="15.6" x14ac:dyDescent="0.4">
      <c r="A2984" s="2" t="s">
        <v>35</v>
      </c>
      <c r="B2984" s="5" t="s">
        <v>9350</v>
      </c>
      <c r="C2984" s="7" t="s">
        <v>12556</v>
      </c>
      <c r="D2984" s="8">
        <f t="shared" si="188"/>
        <v>0</v>
      </c>
      <c r="E2984" s="7" t="s">
        <v>12557</v>
      </c>
      <c r="F2984" s="7">
        <f t="shared" si="189"/>
        <v>0</v>
      </c>
      <c r="G2984" s="7" t="s">
        <v>12558</v>
      </c>
      <c r="H2984" s="7">
        <f t="shared" si="190"/>
        <v>0</v>
      </c>
      <c r="I2984" s="7" t="str" cm="1">
        <f t="array" ref="I2984">IFERROR(_xlfn.IFS(M2984="נח",1,M2984="נע ונח",1,M2984="שני שווא נח",2,M2984="שני שוואים בסוף מילה",2,M2984="שני שוואים ברצף",1),"0")</f>
        <v>0</v>
      </c>
      <c r="J2984" s="9">
        <f t="shared" si="191"/>
        <v>2</v>
      </c>
      <c r="K2984" t="s">
        <v>6698</v>
      </c>
      <c r="L2984" t="s">
        <v>6695</v>
      </c>
      <c r="O2984" t="s">
        <v>6694</v>
      </c>
      <c r="Q2984" t="s">
        <v>6694</v>
      </c>
      <c r="W2984" t="s">
        <v>6720</v>
      </c>
    </row>
    <row r="2985" spans="1:23" ht="15.6" x14ac:dyDescent="0.4">
      <c r="A2985" s="2" t="s">
        <v>5440</v>
      </c>
      <c r="B2985" s="5" t="s">
        <v>9351</v>
      </c>
      <c r="C2985" s="7" t="s">
        <v>12556</v>
      </c>
      <c r="D2985" s="8">
        <f t="shared" si="188"/>
        <v>0</v>
      </c>
      <c r="E2985" s="7" t="s">
        <v>12557</v>
      </c>
      <c r="F2985" s="7">
        <f t="shared" si="189"/>
        <v>1</v>
      </c>
      <c r="G2985" s="7" t="s">
        <v>12558</v>
      </c>
      <c r="H2985" s="7">
        <f t="shared" si="190"/>
        <v>0</v>
      </c>
      <c r="I2985" s="7" cm="1">
        <f t="array" ref="I2985">IFERROR(_xlfn.IFS(M2985="נח",1,M2985="נע ונח",1,M2985="שני שווא נח",2,M2985="שני שוואים בסוף מילה",2,M2985="שני שוואים ברצף",1),"0")</f>
        <v>1</v>
      </c>
      <c r="J2985" s="9">
        <f t="shared" si="191"/>
        <v>3</v>
      </c>
      <c r="K2985" t="s">
        <v>6697</v>
      </c>
      <c r="L2985" t="s">
        <v>6694</v>
      </c>
      <c r="M2985" t="s">
        <v>6705</v>
      </c>
      <c r="O2985" t="s">
        <v>6694</v>
      </c>
      <c r="P2985" t="s">
        <v>6694</v>
      </c>
      <c r="S2985" t="s">
        <v>6694</v>
      </c>
      <c r="W2985" t="s">
        <v>6720</v>
      </c>
    </row>
    <row r="2986" spans="1:23" ht="15.6" x14ac:dyDescent="0.4">
      <c r="A2986" s="2" t="s">
        <v>814</v>
      </c>
      <c r="B2986" s="5" t="s">
        <v>9352</v>
      </c>
      <c r="C2986" s="7" t="s">
        <v>12556</v>
      </c>
      <c r="D2986" s="8">
        <f t="shared" si="188"/>
        <v>0</v>
      </c>
      <c r="E2986" s="7" t="s">
        <v>12557</v>
      </c>
      <c r="F2986" s="7">
        <f t="shared" si="189"/>
        <v>1</v>
      </c>
      <c r="G2986" s="7" t="s">
        <v>12558</v>
      </c>
      <c r="H2986" s="7">
        <f t="shared" si="190"/>
        <v>0</v>
      </c>
      <c r="I2986" s="7" cm="1">
        <f t="array" ref="I2986">IFERROR(_xlfn.IFS(M2986="נח",1,M2986="נע ונח",1,M2986="שני שווא נח",2,M2986="שני שוואים בסוף מילה",2,M2986="שני שוואים ברצף",1),"0")</f>
        <v>1</v>
      </c>
      <c r="J2986" s="9">
        <f t="shared" si="191"/>
        <v>3</v>
      </c>
      <c r="K2986" t="s">
        <v>6698</v>
      </c>
      <c r="L2986" t="s">
        <v>6694</v>
      </c>
      <c r="M2986" t="s">
        <v>6705</v>
      </c>
      <c r="O2986" t="s">
        <v>6694</v>
      </c>
      <c r="P2986" t="s">
        <v>6694</v>
      </c>
      <c r="W2986" t="s">
        <v>6720</v>
      </c>
    </row>
    <row r="2987" spans="1:23" ht="15.6" x14ac:dyDescent="0.4">
      <c r="A2987" s="2" t="s">
        <v>3517</v>
      </c>
      <c r="B2987" s="5" t="s">
        <v>9351</v>
      </c>
      <c r="C2987" s="7" t="s">
        <v>12556</v>
      </c>
      <c r="D2987" s="8">
        <f t="shared" si="188"/>
        <v>0</v>
      </c>
      <c r="E2987" s="7" t="s">
        <v>12557</v>
      </c>
      <c r="F2987" s="7">
        <f t="shared" si="189"/>
        <v>1</v>
      </c>
      <c r="G2987" s="7" t="s">
        <v>12558</v>
      </c>
      <c r="H2987" s="7">
        <f t="shared" si="190"/>
        <v>0</v>
      </c>
      <c r="I2987" s="7" cm="1">
        <f t="array" ref="I2987">IFERROR(_xlfn.IFS(M2987="נח",1,M2987="נע ונח",1,M2987="שני שווא נח",2,M2987="שני שוואים בסוף מילה",2,M2987="שני שוואים ברצף",1),"0")</f>
        <v>1</v>
      </c>
      <c r="J2987" s="9">
        <f t="shared" si="191"/>
        <v>3</v>
      </c>
      <c r="K2987" t="s">
        <v>6697</v>
      </c>
      <c r="L2987" t="s">
        <v>6694</v>
      </c>
      <c r="M2987" t="s">
        <v>6705</v>
      </c>
      <c r="N2987" t="s">
        <v>6706</v>
      </c>
      <c r="O2987" t="s">
        <v>6694</v>
      </c>
      <c r="S2987" t="s">
        <v>6694</v>
      </c>
      <c r="W2987" t="s">
        <v>6720</v>
      </c>
    </row>
    <row r="2988" spans="1:23" ht="15.6" x14ac:dyDescent="0.4">
      <c r="A2988" s="2" t="s">
        <v>680</v>
      </c>
      <c r="B2988" s="5" t="s">
        <v>9353</v>
      </c>
      <c r="C2988" s="7" t="s">
        <v>12556</v>
      </c>
      <c r="D2988" s="8">
        <f t="shared" si="188"/>
        <v>0</v>
      </c>
      <c r="E2988" s="7" t="s">
        <v>12557</v>
      </c>
      <c r="F2988" s="7">
        <f t="shared" si="189"/>
        <v>0</v>
      </c>
      <c r="G2988" s="7" t="s">
        <v>12558</v>
      </c>
      <c r="H2988" s="7">
        <f t="shared" si="190"/>
        <v>0</v>
      </c>
      <c r="I2988" s="7" t="str" cm="1">
        <f t="array" ref="I2988">IFERROR(_xlfn.IFS(M2988="נח",1,M2988="נע ונח",1,M2988="שני שווא נח",2,M2988="שני שוואים בסוף מילה",2,M2988="שני שוואים ברצף",1),"0")</f>
        <v>0</v>
      </c>
      <c r="J2988" s="9">
        <f t="shared" si="191"/>
        <v>2</v>
      </c>
      <c r="K2988" t="s">
        <v>6698</v>
      </c>
      <c r="L2988" t="s">
        <v>6695</v>
      </c>
      <c r="O2988" t="s">
        <v>6694</v>
      </c>
      <c r="S2988" t="s">
        <v>6694</v>
      </c>
      <c r="W2988" t="s">
        <v>6720</v>
      </c>
    </row>
    <row r="2989" spans="1:23" ht="15.6" x14ac:dyDescent="0.4">
      <c r="A2989" s="2" t="s">
        <v>1416</v>
      </c>
      <c r="B2989" s="5" t="s">
        <v>9354</v>
      </c>
      <c r="C2989" s="7" t="s">
        <v>12556</v>
      </c>
      <c r="D2989" s="8">
        <f t="shared" si="188"/>
        <v>0</v>
      </c>
      <c r="E2989" s="7" t="s">
        <v>12557</v>
      </c>
      <c r="F2989" s="7">
        <f t="shared" si="189"/>
        <v>0</v>
      </c>
      <c r="G2989" s="7" t="s">
        <v>12558</v>
      </c>
      <c r="H2989" s="7">
        <f t="shared" si="190"/>
        <v>0</v>
      </c>
      <c r="I2989" s="7" t="str" cm="1">
        <f t="array" ref="I2989">IFERROR(_xlfn.IFS(M2989="נח",1,M2989="נע ונח",1,M2989="שני שווא נח",2,M2989="שני שוואים בסוף מילה",2,M2989="שני שוואים ברצף",1),"0")</f>
        <v>0</v>
      </c>
      <c r="J2989" s="9">
        <f t="shared" si="191"/>
        <v>1</v>
      </c>
      <c r="K2989" t="s">
        <v>6698</v>
      </c>
      <c r="L2989" t="s">
        <v>6695</v>
      </c>
      <c r="N2989" t="s">
        <v>6706</v>
      </c>
      <c r="O2989" t="s">
        <v>6694</v>
      </c>
      <c r="W2989" t="s">
        <v>6720</v>
      </c>
    </row>
    <row r="2990" spans="1:23" ht="15.6" x14ac:dyDescent="0.4">
      <c r="A2990" s="2" t="s">
        <v>5092</v>
      </c>
      <c r="B2990" s="5" t="s">
        <v>9355</v>
      </c>
      <c r="C2990" s="7" t="s">
        <v>12556</v>
      </c>
      <c r="D2990" s="8">
        <f t="shared" si="188"/>
        <v>0</v>
      </c>
      <c r="E2990" s="7" t="s">
        <v>12557</v>
      </c>
      <c r="F2990" s="7">
        <f t="shared" si="189"/>
        <v>0</v>
      </c>
      <c r="G2990" s="7" t="s">
        <v>12558</v>
      </c>
      <c r="H2990" s="7">
        <f t="shared" si="190"/>
        <v>0</v>
      </c>
      <c r="I2990" s="7" cm="1">
        <f t="array" ref="I2990">IFERROR(_xlfn.IFS(M2990="נח",1,M2990="נע ונח",1,M2990="שני שווא נח",2,M2990="שני שוואים בסוף מילה",2,M2990="שני שוואים ברצף",1),"0")</f>
        <v>1</v>
      </c>
      <c r="J2990" s="9">
        <f t="shared" si="191"/>
        <v>3</v>
      </c>
      <c r="K2990" t="s">
        <v>6697</v>
      </c>
      <c r="L2990" t="s">
        <v>6694</v>
      </c>
      <c r="M2990" t="s">
        <v>6705</v>
      </c>
      <c r="N2990" t="s">
        <v>6706</v>
      </c>
      <c r="O2990" t="s">
        <v>6694</v>
      </c>
      <c r="Q2990" t="s">
        <v>6694</v>
      </c>
      <c r="S2990" t="s">
        <v>6694</v>
      </c>
      <c r="W2990" t="s">
        <v>6720</v>
      </c>
    </row>
    <row r="2991" spans="1:23" ht="15.6" x14ac:dyDescent="0.4">
      <c r="A2991" s="2" t="s">
        <v>5374</v>
      </c>
      <c r="B2991" s="5" t="s">
        <v>9297</v>
      </c>
      <c r="C2991" s="7" t="s">
        <v>12556</v>
      </c>
      <c r="D2991" s="8">
        <f t="shared" si="188"/>
        <v>0</v>
      </c>
      <c r="E2991" s="7" t="s">
        <v>12557</v>
      </c>
      <c r="F2991" s="7">
        <f t="shared" si="189"/>
        <v>0</v>
      </c>
      <c r="G2991" s="7" t="s">
        <v>12558</v>
      </c>
      <c r="H2991" s="7">
        <f t="shared" si="190"/>
        <v>0</v>
      </c>
      <c r="I2991" s="7" t="str" cm="1">
        <f t="array" ref="I2991">IFERROR(_xlfn.IFS(M2991="נח",1,M2991="נע ונח",1,M2991="שני שווא נח",2,M2991="שני שוואים בסוף מילה",2,M2991="שני שוואים ברצף",1),"0")</f>
        <v>0</v>
      </c>
      <c r="J2991" s="9">
        <f t="shared" si="191"/>
        <v>2</v>
      </c>
      <c r="K2991" t="s">
        <v>6698</v>
      </c>
      <c r="L2991" t="s">
        <v>6695</v>
      </c>
      <c r="O2991" t="s">
        <v>6694</v>
      </c>
      <c r="R2991" t="s">
        <v>6694</v>
      </c>
      <c r="W2991" t="s">
        <v>6720</v>
      </c>
    </row>
    <row r="2992" spans="1:23" ht="15.6" x14ac:dyDescent="0.4">
      <c r="A2992" s="2" t="s">
        <v>2063</v>
      </c>
      <c r="B2992" s="5" t="s">
        <v>9356</v>
      </c>
      <c r="C2992" s="7" t="s">
        <v>12556</v>
      </c>
      <c r="D2992" s="8">
        <f t="shared" si="188"/>
        <v>0</v>
      </c>
      <c r="E2992" s="7" t="s">
        <v>12557</v>
      </c>
      <c r="F2992" s="7">
        <f t="shared" si="189"/>
        <v>0</v>
      </c>
      <c r="G2992" s="7" t="s">
        <v>12558</v>
      </c>
      <c r="H2992" s="7">
        <f t="shared" si="190"/>
        <v>0</v>
      </c>
      <c r="I2992" s="7" t="str" cm="1">
        <f t="array" ref="I2992">IFERROR(_xlfn.IFS(M2992="נח",1,M2992="נע ונח",1,M2992="שני שווא נח",2,M2992="שני שוואים בסוף מילה",2,M2992="שני שוואים ברצף",1),"0")</f>
        <v>0</v>
      </c>
      <c r="J2992" s="9">
        <f t="shared" si="191"/>
        <v>2</v>
      </c>
      <c r="K2992" t="s">
        <v>6697</v>
      </c>
      <c r="L2992" t="s">
        <v>6695</v>
      </c>
      <c r="O2992" t="s">
        <v>6694</v>
      </c>
      <c r="W2992" t="s">
        <v>6720</v>
      </c>
    </row>
    <row r="2993" spans="1:23" ht="15.6" x14ac:dyDescent="0.4">
      <c r="A2993" s="2" t="s">
        <v>2081</v>
      </c>
      <c r="B2993" s="5" t="s">
        <v>9357</v>
      </c>
      <c r="C2993" s="7" t="s">
        <v>12556</v>
      </c>
      <c r="D2993" s="8">
        <f t="shared" si="188"/>
        <v>0</v>
      </c>
      <c r="E2993" s="7" t="s">
        <v>12557</v>
      </c>
      <c r="F2993" s="7">
        <f t="shared" si="189"/>
        <v>0</v>
      </c>
      <c r="G2993" s="7" t="s">
        <v>12558</v>
      </c>
      <c r="H2993" s="7">
        <f t="shared" si="190"/>
        <v>0</v>
      </c>
      <c r="I2993" s="7" t="str" cm="1">
        <f t="array" ref="I2993">IFERROR(_xlfn.IFS(M2993="נח",1,M2993="נע ונח",1,M2993="שני שווא נח",2,M2993="שני שוואים בסוף מילה",2,M2993="שני שוואים ברצף",1),"0")</f>
        <v>0</v>
      </c>
      <c r="J2993" s="9">
        <f t="shared" si="191"/>
        <v>2</v>
      </c>
      <c r="K2993" t="s">
        <v>6698</v>
      </c>
      <c r="L2993" t="s">
        <v>6695</v>
      </c>
      <c r="O2993" t="s">
        <v>6694</v>
      </c>
      <c r="V2993" t="s">
        <v>6694</v>
      </c>
      <c r="W2993" t="s">
        <v>6720</v>
      </c>
    </row>
    <row r="2994" spans="1:23" ht="15.6" x14ac:dyDescent="0.4">
      <c r="A2994" s="2" t="s">
        <v>4162</v>
      </c>
      <c r="B2994" s="5" t="s">
        <v>9358</v>
      </c>
      <c r="C2994" s="7" t="s">
        <v>12556</v>
      </c>
      <c r="D2994" s="8">
        <f t="shared" si="188"/>
        <v>0</v>
      </c>
      <c r="E2994" s="7" t="s">
        <v>12557</v>
      </c>
      <c r="F2994" s="7">
        <f t="shared" si="189"/>
        <v>0</v>
      </c>
      <c r="G2994" s="7" t="s">
        <v>12558</v>
      </c>
      <c r="H2994" s="7">
        <f t="shared" si="190"/>
        <v>0</v>
      </c>
      <c r="I2994" s="7" t="str" cm="1">
        <f t="array" ref="I2994">IFERROR(_xlfn.IFS(M2994="נח",1,M2994="נע ונח",1,M2994="שני שווא נח",2,M2994="שני שוואים בסוף מילה",2,M2994="שני שוואים ברצף",1),"0")</f>
        <v>0</v>
      </c>
      <c r="J2994" s="9">
        <f t="shared" si="191"/>
        <v>2</v>
      </c>
      <c r="K2994" t="s">
        <v>6698</v>
      </c>
      <c r="L2994" t="s">
        <v>6695</v>
      </c>
      <c r="O2994" t="s">
        <v>6694</v>
      </c>
      <c r="V2994" t="s">
        <v>6694</v>
      </c>
      <c r="W2994" t="s">
        <v>6720</v>
      </c>
    </row>
    <row r="2995" spans="1:23" ht="15.6" x14ac:dyDescent="0.4">
      <c r="A2995" s="2" t="s">
        <v>6488</v>
      </c>
      <c r="B2995" s="5" t="s">
        <v>9359</v>
      </c>
      <c r="C2995" s="7" t="s">
        <v>12556</v>
      </c>
      <c r="D2995" s="8">
        <f t="shared" si="188"/>
        <v>0</v>
      </c>
      <c r="E2995" s="7" t="s">
        <v>12557</v>
      </c>
      <c r="F2995" s="7">
        <f t="shared" si="189"/>
        <v>1</v>
      </c>
      <c r="G2995" s="7" t="s">
        <v>12558</v>
      </c>
      <c r="H2995" s="7">
        <f t="shared" si="190"/>
        <v>1</v>
      </c>
      <c r="I2995" s="7" t="str" cm="1">
        <f t="array" ref="I2995">IFERROR(_xlfn.IFS(M2995="נח",1,M2995="נע ונח",1,M2995="שני שווא נח",2,M2995="שני שוואים בסוף מילה",2,M2995="שני שוואים ברצף",1),"0")</f>
        <v>0</v>
      </c>
      <c r="J2995" s="9">
        <f t="shared" si="191"/>
        <v>2</v>
      </c>
      <c r="K2995" t="s">
        <v>6698</v>
      </c>
      <c r="L2995" t="s">
        <v>6695</v>
      </c>
      <c r="O2995" t="s">
        <v>6694</v>
      </c>
      <c r="U2995" t="s">
        <v>6694</v>
      </c>
      <c r="W2995" t="s">
        <v>6720</v>
      </c>
    </row>
    <row r="2996" spans="1:23" ht="15.6" x14ac:dyDescent="0.4">
      <c r="A2996" s="2" t="s">
        <v>3343</v>
      </c>
      <c r="B2996" s="5" t="s">
        <v>9360</v>
      </c>
      <c r="C2996" s="7" t="s">
        <v>12556</v>
      </c>
      <c r="D2996" s="8">
        <f t="shared" si="188"/>
        <v>1</v>
      </c>
      <c r="E2996" s="7" t="s">
        <v>12557</v>
      </c>
      <c r="F2996" s="7">
        <f t="shared" si="189"/>
        <v>1</v>
      </c>
      <c r="G2996" s="7" t="s">
        <v>12558</v>
      </c>
      <c r="H2996" s="7">
        <f t="shared" si="190"/>
        <v>1</v>
      </c>
      <c r="I2996" s="7" cm="1">
        <f t="array" ref="I2996">IFERROR(_xlfn.IFS(M2996="נח",1,M2996="נע ונח",1,M2996="שני שווא נח",2,M2996="שני שוואים בסוף מילה",2,M2996="שני שוואים ברצף",1),"0")</f>
        <v>1</v>
      </c>
      <c r="J2996" s="9">
        <f t="shared" si="191"/>
        <v>2</v>
      </c>
      <c r="K2996" t="s">
        <v>6697</v>
      </c>
      <c r="L2996" t="s">
        <v>6694</v>
      </c>
      <c r="M2996" t="s">
        <v>6705</v>
      </c>
      <c r="O2996" t="s">
        <v>6694</v>
      </c>
      <c r="U2996" t="s">
        <v>6694</v>
      </c>
      <c r="W2996" t="s">
        <v>6720</v>
      </c>
    </row>
    <row r="2997" spans="1:23" ht="15.6" x14ac:dyDescent="0.4">
      <c r="A2997" s="2" t="s">
        <v>6187</v>
      </c>
      <c r="B2997" s="5" t="s">
        <v>9361</v>
      </c>
      <c r="C2997" s="7" t="s">
        <v>12556</v>
      </c>
      <c r="D2997" s="8">
        <f t="shared" si="188"/>
        <v>1</v>
      </c>
      <c r="E2997" s="7" t="s">
        <v>12557</v>
      </c>
      <c r="F2997" s="7">
        <f t="shared" si="189"/>
        <v>1</v>
      </c>
      <c r="G2997" s="7" t="s">
        <v>12558</v>
      </c>
      <c r="H2997" s="7">
        <f t="shared" si="190"/>
        <v>0</v>
      </c>
      <c r="I2997" s="7" cm="1">
        <f t="array" ref="I2997">IFERROR(_xlfn.IFS(M2997="נח",1,M2997="נע ונח",1,M2997="שני שווא נח",2,M2997="שני שוואים בסוף מילה",2,M2997="שני שוואים ברצף",1),"0")</f>
        <v>1</v>
      </c>
      <c r="J2997" s="9">
        <f t="shared" si="191"/>
        <v>2</v>
      </c>
      <c r="K2997" t="s">
        <v>6697</v>
      </c>
      <c r="L2997" t="s">
        <v>6694</v>
      </c>
      <c r="M2997" t="s">
        <v>6705</v>
      </c>
      <c r="O2997" t="s">
        <v>6694</v>
      </c>
      <c r="S2997" t="s">
        <v>6694</v>
      </c>
      <c r="W2997" t="s">
        <v>6720</v>
      </c>
    </row>
    <row r="2998" spans="1:23" ht="15.6" x14ac:dyDescent="0.4">
      <c r="A2998" s="2" t="s">
        <v>2345</v>
      </c>
      <c r="B2998" s="5" t="s">
        <v>9362</v>
      </c>
      <c r="C2998" s="7" t="s">
        <v>12556</v>
      </c>
      <c r="D2998" s="8">
        <f t="shared" si="188"/>
        <v>1</v>
      </c>
      <c r="E2998" s="7" t="s">
        <v>12557</v>
      </c>
      <c r="F2998" s="7">
        <f t="shared" si="189"/>
        <v>0</v>
      </c>
      <c r="G2998" s="7" t="s">
        <v>12558</v>
      </c>
      <c r="H2998" s="7">
        <f t="shared" si="190"/>
        <v>0</v>
      </c>
      <c r="I2998" s="7" t="str" cm="1">
        <f t="array" ref="I2998">IFERROR(_xlfn.IFS(M2998="נח",1,M2998="נע ונח",1,M2998="שני שווא נח",2,M2998="שני שוואים בסוף מילה",2,M2998="שני שוואים ברצף",1),"0")</f>
        <v>0</v>
      </c>
      <c r="J2998" s="9">
        <f t="shared" si="191"/>
        <v>2</v>
      </c>
      <c r="K2998" t="s">
        <v>6698</v>
      </c>
      <c r="L2998" t="s">
        <v>6695</v>
      </c>
      <c r="O2998" t="s">
        <v>6694</v>
      </c>
      <c r="P2998" t="s">
        <v>6694</v>
      </c>
      <c r="W2998" t="s">
        <v>6720</v>
      </c>
    </row>
    <row r="2999" spans="1:23" ht="15.6" x14ac:dyDescent="0.4">
      <c r="A2999" s="2" t="s">
        <v>6570</v>
      </c>
      <c r="B2999" s="5" t="s">
        <v>9360</v>
      </c>
      <c r="C2999" s="7" t="s">
        <v>12556</v>
      </c>
      <c r="D2999" s="8">
        <f t="shared" si="188"/>
        <v>1</v>
      </c>
      <c r="E2999" s="7" t="s">
        <v>12557</v>
      </c>
      <c r="F2999" s="7">
        <f t="shared" si="189"/>
        <v>1</v>
      </c>
      <c r="G2999" s="7" t="s">
        <v>12558</v>
      </c>
      <c r="H2999" s="7">
        <f t="shared" si="190"/>
        <v>1</v>
      </c>
      <c r="I2999" s="7" t="str" cm="1">
        <f t="array" ref="I2999">IFERROR(_xlfn.IFS(M2999="נח",1,M2999="נע ונח",1,M2999="שני שווא נח",2,M2999="שני שוואים בסוף מילה",2,M2999="שני שוואים ברצף",1),"0")</f>
        <v>0</v>
      </c>
      <c r="J2999" s="9">
        <f t="shared" si="191"/>
        <v>3</v>
      </c>
      <c r="K2999" t="s">
        <v>6697</v>
      </c>
      <c r="L2999" t="s">
        <v>6695</v>
      </c>
      <c r="O2999" t="s">
        <v>6694</v>
      </c>
      <c r="U2999" t="s">
        <v>6694</v>
      </c>
      <c r="W2999" t="s">
        <v>6720</v>
      </c>
    </row>
    <row r="3000" spans="1:23" ht="15.6" x14ac:dyDescent="0.4">
      <c r="A3000" s="2" t="s">
        <v>6499</v>
      </c>
      <c r="B3000" s="5" t="s">
        <v>9363</v>
      </c>
      <c r="C3000" s="7" t="s">
        <v>12556</v>
      </c>
      <c r="D3000" s="8">
        <f t="shared" si="188"/>
        <v>0</v>
      </c>
      <c r="E3000" s="7" t="s">
        <v>12557</v>
      </c>
      <c r="F3000" s="7">
        <f t="shared" si="189"/>
        <v>0</v>
      </c>
      <c r="G3000" s="7" t="s">
        <v>12558</v>
      </c>
      <c r="H3000" s="7">
        <f t="shared" si="190"/>
        <v>0</v>
      </c>
      <c r="I3000" s="7" t="str" cm="1">
        <f t="array" ref="I3000">IFERROR(_xlfn.IFS(M3000="נח",1,M3000="נע ונח",1,M3000="שני שווא נח",2,M3000="שני שוואים בסוף מילה",2,M3000="שני שוואים ברצף",1),"0")</f>
        <v>0</v>
      </c>
      <c r="J3000" s="9">
        <f t="shared" si="191"/>
        <v>2</v>
      </c>
      <c r="K3000" t="s">
        <v>6698</v>
      </c>
      <c r="L3000" t="s">
        <v>6695</v>
      </c>
      <c r="R3000" t="s">
        <v>6694</v>
      </c>
      <c r="V3000" t="s">
        <v>6694</v>
      </c>
      <c r="W3000" t="s">
        <v>6720</v>
      </c>
    </row>
    <row r="3001" spans="1:23" ht="15.6" x14ac:dyDescent="0.4">
      <c r="A3001" s="2" t="s">
        <v>2754</v>
      </c>
      <c r="B3001" s="5" t="s">
        <v>9364</v>
      </c>
      <c r="C3001" s="7" t="s">
        <v>12556</v>
      </c>
      <c r="D3001" s="8">
        <f t="shared" si="188"/>
        <v>0</v>
      </c>
      <c r="E3001" s="7" t="s">
        <v>12557</v>
      </c>
      <c r="F3001" s="7">
        <f t="shared" si="189"/>
        <v>0</v>
      </c>
      <c r="G3001" s="7" t="s">
        <v>12558</v>
      </c>
      <c r="H3001" s="7">
        <f t="shared" si="190"/>
        <v>0</v>
      </c>
      <c r="I3001" s="7" t="str" cm="1">
        <f t="array" ref="I3001">IFERROR(_xlfn.IFS(M3001="נח",1,M3001="נע ונח",1,M3001="שני שווא נח",2,M3001="שני שוואים בסוף מילה",2,M3001="שני שוואים ברצף",1),"0")</f>
        <v>0</v>
      </c>
      <c r="J3001" s="9">
        <f t="shared" si="191"/>
        <v>2</v>
      </c>
      <c r="K3001" t="s">
        <v>6697</v>
      </c>
      <c r="L3001" t="s">
        <v>6695</v>
      </c>
      <c r="R3001" t="s">
        <v>6694</v>
      </c>
      <c r="V3001" t="s">
        <v>6694</v>
      </c>
      <c r="W3001" t="s">
        <v>6720</v>
      </c>
    </row>
    <row r="3002" spans="1:23" ht="15.6" x14ac:dyDescent="0.4">
      <c r="A3002" s="2" t="s">
        <v>3971</v>
      </c>
      <c r="B3002" s="5" t="s">
        <v>9365</v>
      </c>
      <c r="C3002" s="7" t="s">
        <v>12556</v>
      </c>
      <c r="D3002" s="8">
        <f t="shared" si="188"/>
        <v>0</v>
      </c>
      <c r="E3002" s="7" t="s">
        <v>12557</v>
      </c>
      <c r="F3002" s="7">
        <f t="shared" si="189"/>
        <v>0</v>
      </c>
      <c r="G3002" s="7" t="s">
        <v>12558</v>
      </c>
      <c r="H3002" s="7">
        <f t="shared" si="190"/>
        <v>0</v>
      </c>
      <c r="I3002" s="7" cm="1">
        <f t="array" ref="I3002">IFERROR(_xlfn.IFS(M3002="נח",1,M3002="נע ונח",1,M3002="שני שווא נח",2,M3002="שני שוואים בסוף מילה",2,M3002="שני שוואים ברצף",1),"0")</f>
        <v>1</v>
      </c>
      <c r="J3002" s="9">
        <f t="shared" si="191"/>
        <v>2</v>
      </c>
      <c r="K3002" t="s">
        <v>6698</v>
      </c>
      <c r="L3002" t="s">
        <v>6694</v>
      </c>
      <c r="M3002" t="s">
        <v>6705</v>
      </c>
      <c r="N3002" t="s">
        <v>6706</v>
      </c>
      <c r="O3002" t="s">
        <v>6694</v>
      </c>
      <c r="V3002" t="s">
        <v>6694</v>
      </c>
      <c r="W3002" t="s">
        <v>6720</v>
      </c>
    </row>
    <row r="3003" spans="1:23" ht="15.6" x14ac:dyDescent="0.4">
      <c r="A3003" s="2" t="s">
        <v>5243</v>
      </c>
      <c r="B3003" s="5" t="s">
        <v>9366</v>
      </c>
      <c r="C3003" s="7" t="s">
        <v>12556</v>
      </c>
      <c r="D3003" s="8">
        <f t="shared" si="188"/>
        <v>0</v>
      </c>
      <c r="E3003" s="7" t="s">
        <v>12557</v>
      </c>
      <c r="F3003" s="7">
        <f t="shared" si="189"/>
        <v>0</v>
      </c>
      <c r="G3003" s="7" t="s">
        <v>12558</v>
      </c>
      <c r="H3003" s="7">
        <f t="shared" si="190"/>
        <v>0</v>
      </c>
      <c r="I3003" s="7" t="str" cm="1">
        <f t="array" ref="I3003">IFERROR(_xlfn.IFS(M3003="נח",1,M3003="נע ונח",1,M3003="שני שווא נח",2,M3003="שני שוואים בסוף מילה",2,M3003="שני שוואים ברצף",1),"0")</f>
        <v>0</v>
      </c>
      <c r="J3003" s="9">
        <f t="shared" si="191"/>
        <v>2</v>
      </c>
      <c r="K3003" t="s">
        <v>6698</v>
      </c>
      <c r="L3003" t="s">
        <v>6695</v>
      </c>
      <c r="Q3003" t="s">
        <v>6694</v>
      </c>
      <c r="V3003" t="s">
        <v>6694</v>
      </c>
      <c r="W3003" t="s">
        <v>6720</v>
      </c>
    </row>
    <row r="3004" spans="1:23" ht="15.6" x14ac:dyDescent="0.4">
      <c r="A3004" s="2" t="s">
        <v>2273</v>
      </c>
      <c r="B3004" s="5" t="s">
        <v>9354</v>
      </c>
      <c r="C3004" s="7" t="s">
        <v>12556</v>
      </c>
      <c r="D3004" s="8">
        <f t="shared" si="188"/>
        <v>0</v>
      </c>
      <c r="E3004" s="7" t="s">
        <v>12557</v>
      </c>
      <c r="F3004" s="7">
        <f t="shared" si="189"/>
        <v>0</v>
      </c>
      <c r="G3004" s="7" t="s">
        <v>12558</v>
      </c>
      <c r="H3004" s="7">
        <f t="shared" si="190"/>
        <v>0</v>
      </c>
      <c r="I3004" s="7" t="str" cm="1">
        <f t="array" ref="I3004">IFERROR(_xlfn.IFS(M3004="נח",1,M3004="נע ונח",1,M3004="שני שווא נח",2,M3004="שני שוואים בסוף מילה",2,M3004="שני שוואים ברצף",1),"0")</f>
        <v>0</v>
      </c>
      <c r="J3004" s="9">
        <f t="shared" si="191"/>
        <v>1</v>
      </c>
      <c r="K3004" t="s">
        <v>6698</v>
      </c>
      <c r="L3004" t="s">
        <v>6695</v>
      </c>
      <c r="V3004" t="s">
        <v>6694</v>
      </c>
      <c r="W3004" t="s">
        <v>6720</v>
      </c>
    </row>
    <row r="3005" spans="1:23" ht="15.6" x14ac:dyDescent="0.4">
      <c r="A3005" s="2" t="s">
        <v>960</v>
      </c>
      <c r="B3005" s="5" t="s">
        <v>9367</v>
      </c>
      <c r="C3005" s="7" t="s">
        <v>12556</v>
      </c>
      <c r="D3005" s="8">
        <f t="shared" si="188"/>
        <v>1</v>
      </c>
      <c r="E3005" s="7" t="s">
        <v>12557</v>
      </c>
      <c r="F3005" s="7">
        <f t="shared" si="189"/>
        <v>0</v>
      </c>
      <c r="G3005" s="7" t="s">
        <v>12558</v>
      </c>
      <c r="H3005" s="7">
        <f t="shared" si="190"/>
        <v>0</v>
      </c>
      <c r="I3005" s="7" cm="1">
        <f t="array" ref="I3005">IFERROR(_xlfn.IFS(M3005="נח",1,M3005="נע ונח",1,M3005="שני שווא נח",2,M3005="שני שוואים בסוף מילה",2,M3005="שני שוואים ברצף",1),"0")</f>
        <v>1</v>
      </c>
      <c r="J3005" s="9">
        <f t="shared" si="191"/>
        <v>2</v>
      </c>
      <c r="K3005" t="s">
        <v>6698</v>
      </c>
      <c r="L3005" t="s">
        <v>6694</v>
      </c>
      <c r="M3005" t="s">
        <v>6705</v>
      </c>
      <c r="Q3005" t="s">
        <v>6694</v>
      </c>
      <c r="V3005" t="s">
        <v>6694</v>
      </c>
      <c r="W3005" t="s">
        <v>6720</v>
      </c>
    </row>
    <row r="3006" spans="1:23" ht="15.6" x14ac:dyDescent="0.4">
      <c r="A3006" s="2" t="s">
        <v>713</v>
      </c>
      <c r="B3006" s="5" t="s">
        <v>9248</v>
      </c>
      <c r="C3006" s="7" t="s">
        <v>12556</v>
      </c>
      <c r="D3006" s="8">
        <f t="shared" si="188"/>
        <v>1</v>
      </c>
      <c r="E3006" s="7" t="s">
        <v>12557</v>
      </c>
      <c r="F3006" s="7">
        <f t="shared" si="189"/>
        <v>0</v>
      </c>
      <c r="G3006" s="7" t="s">
        <v>12558</v>
      </c>
      <c r="H3006" s="7">
        <f t="shared" si="190"/>
        <v>0</v>
      </c>
      <c r="I3006" s="7" cm="1">
        <f t="array" ref="I3006">IFERROR(_xlfn.IFS(M3006="נח",1,M3006="נע ונח",1,M3006="שני שווא נח",2,M3006="שני שוואים בסוף מילה",2,M3006="שני שוואים ברצף",1),"0")</f>
        <v>1</v>
      </c>
      <c r="J3006" s="9">
        <f t="shared" si="191"/>
        <v>2</v>
      </c>
      <c r="K3006" t="s">
        <v>6698</v>
      </c>
      <c r="L3006" t="s">
        <v>6694</v>
      </c>
      <c r="M3006" t="s">
        <v>6705</v>
      </c>
      <c r="R3006" t="s">
        <v>6694</v>
      </c>
      <c r="V3006" t="s">
        <v>6694</v>
      </c>
      <c r="W3006" t="s">
        <v>6720</v>
      </c>
    </row>
    <row r="3007" spans="1:23" ht="15.6" x14ac:dyDescent="0.4">
      <c r="A3007" s="2" t="s">
        <v>225</v>
      </c>
      <c r="B3007" s="5" t="s">
        <v>9368</v>
      </c>
      <c r="C3007" s="7" t="s">
        <v>12556</v>
      </c>
      <c r="D3007" s="8">
        <f t="shared" si="188"/>
        <v>0</v>
      </c>
      <c r="E3007" s="7" t="s">
        <v>12557</v>
      </c>
      <c r="F3007" s="7">
        <f t="shared" si="189"/>
        <v>1</v>
      </c>
      <c r="G3007" s="7" t="s">
        <v>12558</v>
      </c>
      <c r="H3007" s="7">
        <f t="shared" si="190"/>
        <v>0</v>
      </c>
      <c r="I3007" s="7" t="str" cm="1">
        <f t="array" ref="I3007">IFERROR(_xlfn.IFS(M3007="נח",1,M3007="נע ונח",1,M3007="שני שווא נח",2,M3007="שני שוואים בסוף מילה",2,M3007="שני שוואים ברצף",1),"0")</f>
        <v>0</v>
      </c>
      <c r="J3007" s="9">
        <f t="shared" si="191"/>
        <v>3</v>
      </c>
      <c r="K3007" t="s">
        <v>6697</v>
      </c>
      <c r="L3007" t="s">
        <v>6695</v>
      </c>
      <c r="O3007" t="s">
        <v>6694</v>
      </c>
      <c r="R3007" t="s">
        <v>6694</v>
      </c>
      <c r="T3007" t="s">
        <v>6694</v>
      </c>
      <c r="W3007" t="s">
        <v>6720</v>
      </c>
    </row>
    <row r="3008" spans="1:23" ht="15.6" x14ac:dyDescent="0.4">
      <c r="A3008" s="2" t="s">
        <v>5323</v>
      </c>
      <c r="B3008" s="5" t="s">
        <v>9369</v>
      </c>
      <c r="C3008" s="7" t="s">
        <v>12556</v>
      </c>
      <c r="D3008" s="8">
        <f t="shared" si="188"/>
        <v>0</v>
      </c>
      <c r="E3008" s="7" t="s">
        <v>12557</v>
      </c>
      <c r="F3008" s="7">
        <f t="shared" si="189"/>
        <v>1</v>
      </c>
      <c r="G3008" s="7" t="s">
        <v>12558</v>
      </c>
      <c r="H3008" s="7">
        <f t="shared" si="190"/>
        <v>0</v>
      </c>
      <c r="I3008" s="7" t="str" cm="1">
        <f t="array" ref="I3008">IFERROR(_xlfn.IFS(M3008="נח",1,M3008="נע ונח",1,M3008="שני שווא נח",2,M3008="שני שוואים בסוף מילה",2,M3008="שני שוואים ברצף",1),"0")</f>
        <v>0</v>
      </c>
      <c r="J3008" s="9">
        <f t="shared" si="191"/>
        <v>2</v>
      </c>
      <c r="K3008" t="s">
        <v>6698</v>
      </c>
      <c r="L3008" t="s">
        <v>6695</v>
      </c>
      <c r="N3008" t="s">
        <v>6706</v>
      </c>
      <c r="O3008" t="s">
        <v>6694</v>
      </c>
      <c r="T3008" t="s">
        <v>6694</v>
      </c>
      <c r="W3008" t="s">
        <v>6720</v>
      </c>
    </row>
    <row r="3009" spans="1:23" ht="15.6" x14ac:dyDescent="0.4">
      <c r="A3009" s="2" t="s">
        <v>1402</v>
      </c>
      <c r="B3009" s="5" t="s">
        <v>9370</v>
      </c>
      <c r="C3009" s="7" t="s">
        <v>12556</v>
      </c>
      <c r="D3009" s="8">
        <f t="shared" si="188"/>
        <v>0</v>
      </c>
      <c r="E3009" s="7" t="s">
        <v>12557</v>
      </c>
      <c r="F3009" s="7">
        <f t="shared" si="189"/>
        <v>1</v>
      </c>
      <c r="G3009" s="7" t="s">
        <v>12558</v>
      </c>
      <c r="H3009" s="7">
        <f t="shared" si="190"/>
        <v>0</v>
      </c>
      <c r="I3009" s="7" t="str" cm="1">
        <f t="array" ref="I3009">IFERROR(_xlfn.IFS(M3009="נח",1,M3009="נע ונח",1,M3009="שני שווא נח",2,M3009="שני שוואים בסוף מילה",2,M3009="שני שוואים ברצף",1),"0")</f>
        <v>0</v>
      </c>
      <c r="J3009" s="9">
        <f t="shared" si="191"/>
        <v>2</v>
      </c>
      <c r="K3009" t="s">
        <v>6698</v>
      </c>
      <c r="L3009" t="s">
        <v>6695</v>
      </c>
      <c r="N3009" t="s">
        <v>6706</v>
      </c>
      <c r="O3009" t="s">
        <v>6694</v>
      </c>
      <c r="T3009" t="s">
        <v>6694</v>
      </c>
      <c r="W3009" t="s">
        <v>6720</v>
      </c>
    </row>
    <row r="3010" spans="1:23" ht="15.6" x14ac:dyDescent="0.4">
      <c r="A3010" s="2" t="s">
        <v>4144</v>
      </c>
      <c r="B3010" s="5" t="s">
        <v>9371</v>
      </c>
      <c r="C3010" s="7" t="s">
        <v>12556</v>
      </c>
      <c r="D3010" s="8">
        <f t="shared" si="188"/>
        <v>0</v>
      </c>
      <c r="E3010" s="7" t="s">
        <v>12557</v>
      </c>
      <c r="F3010" s="7">
        <f t="shared" si="189"/>
        <v>0</v>
      </c>
      <c r="G3010" s="7" t="s">
        <v>12558</v>
      </c>
      <c r="H3010" s="7">
        <f t="shared" si="190"/>
        <v>0</v>
      </c>
      <c r="I3010" s="7" t="str" cm="1">
        <f t="array" ref="I3010">IFERROR(_xlfn.IFS(M3010="נח",1,M3010="נע ונח",1,M3010="שני שווא נח",2,M3010="שני שוואים בסוף מילה",2,M3010="שני שוואים ברצף",1),"0")</f>
        <v>0</v>
      </c>
      <c r="J3010" s="9">
        <f t="shared" si="191"/>
        <v>2</v>
      </c>
      <c r="K3010" t="s">
        <v>6698</v>
      </c>
      <c r="L3010" t="s">
        <v>6695</v>
      </c>
      <c r="Q3010" t="s">
        <v>6694</v>
      </c>
      <c r="V3010" t="s">
        <v>6694</v>
      </c>
      <c r="W3010" t="s">
        <v>6720</v>
      </c>
    </row>
    <row r="3011" spans="1:23" ht="15.6" x14ac:dyDescent="0.4">
      <c r="A3011" s="2" t="s">
        <v>6369</v>
      </c>
      <c r="B3011" s="5" t="s">
        <v>9372</v>
      </c>
      <c r="C3011" s="7" t="s">
        <v>12556</v>
      </c>
      <c r="D3011" s="8">
        <f t="shared" ref="D3011:D3074" si="192">(LEN(B3011)-LEN(SUBSTITUTE(B3011,C3011,"")))</f>
        <v>0</v>
      </c>
      <c r="E3011" s="7" t="s">
        <v>12557</v>
      </c>
      <c r="F3011" s="7">
        <f t="shared" ref="F3011:F3074" si="193">(LEN(A3011)-LEN(SUBSTITUTE(A3011,E3011,"")))</f>
        <v>0</v>
      </c>
      <c r="G3011" s="7" t="s">
        <v>12558</v>
      </c>
      <c r="H3011" s="7">
        <f t="shared" ref="H3011:H3074" si="194">(LEN(A3011)-LEN(SUBSTITUTE(A3011,G3011,"")))/2</f>
        <v>0</v>
      </c>
      <c r="I3011" s="7" t="str" cm="1">
        <f t="array" ref="I3011">IFERROR(_xlfn.IFS(M3011="נח",1,M3011="נע ונח",1,M3011="שני שווא נח",2,M3011="שני שוואים בסוף מילה",2,M3011="שני שוואים ברצף",1),"0")</f>
        <v>0</v>
      </c>
      <c r="J3011" s="9">
        <f t="shared" ref="J3011:J3074" si="195">LEN(A3011)-(LEN(B3011))-D3011-F3011+H3011-I3011</f>
        <v>2</v>
      </c>
      <c r="K3011" t="s">
        <v>6698</v>
      </c>
      <c r="L3011" t="s">
        <v>6695</v>
      </c>
      <c r="Q3011" t="s">
        <v>6694</v>
      </c>
      <c r="V3011" t="s">
        <v>6694</v>
      </c>
      <c r="W3011" t="s">
        <v>6720</v>
      </c>
    </row>
    <row r="3012" spans="1:23" ht="15.6" x14ac:dyDescent="0.4">
      <c r="A3012" s="2" t="s">
        <v>3892</v>
      </c>
      <c r="B3012" s="5" t="s">
        <v>9373</v>
      </c>
      <c r="C3012" s="7" t="s">
        <v>12556</v>
      </c>
      <c r="D3012" s="8">
        <f t="shared" si="192"/>
        <v>0</v>
      </c>
      <c r="E3012" s="7" t="s">
        <v>12557</v>
      </c>
      <c r="F3012" s="7">
        <f t="shared" si="193"/>
        <v>1</v>
      </c>
      <c r="G3012" s="7" t="s">
        <v>12558</v>
      </c>
      <c r="H3012" s="7">
        <f t="shared" si="194"/>
        <v>0</v>
      </c>
      <c r="I3012" s="7" cm="1">
        <f t="array" ref="I3012">IFERROR(_xlfn.IFS(M3012="נח",1,M3012="נע ונח",1,M3012="שני שווא נח",2,M3012="שני שוואים בסוף מילה",2,M3012="שני שוואים ברצף",1),"0")</f>
        <v>1</v>
      </c>
      <c r="J3012" s="9">
        <f t="shared" si="195"/>
        <v>3</v>
      </c>
      <c r="K3012" t="s">
        <v>6697</v>
      </c>
      <c r="L3012" t="s">
        <v>6694</v>
      </c>
      <c r="M3012" t="s">
        <v>6705</v>
      </c>
      <c r="N3012" t="s">
        <v>6706</v>
      </c>
      <c r="O3012" t="s">
        <v>6694</v>
      </c>
      <c r="S3012" t="s">
        <v>6694</v>
      </c>
      <c r="V3012" t="s">
        <v>6694</v>
      </c>
      <c r="W3012" t="s">
        <v>6720</v>
      </c>
    </row>
    <row r="3013" spans="1:23" ht="15.6" x14ac:dyDescent="0.4">
      <c r="A3013" s="2" t="s">
        <v>4017</v>
      </c>
      <c r="B3013" s="5" t="s">
        <v>9374</v>
      </c>
      <c r="C3013" s="7" t="s">
        <v>12556</v>
      </c>
      <c r="D3013" s="8">
        <f t="shared" si="192"/>
        <v>0</v>
      </c>
      <c r="E3013" s="7" t="s">
        <v>12557</v>
      </c>
      <c r="F3013" s="7">
        <f t="shared" si="193"/>
        <v>0</v>
      </c>
      <c r="G3013" s="7" t="s">
        <v>12558</v>
      </c>
      <c r="H3013" s="7">
        <f t="shared" si="194"/>
        <v>0</v>
      </c>
      <c r="I3013" s="7" t="str" cm="1">
        <f t="array" ref="I3013">IFERROR(_xlfn.IFS(M3013="נח",1,M3013="נע ונח",1,M3013="שני שווא נח",2,M3013="שני שוואים בסוף מילה",2,M3013="שני שוואים ברצף",1),"0")</f>
        <v>0</v>
      </c>
      <c r="J3013" s="9">
        <f t="shared" si="195"/>
        <v>4</v>
      </c>
      <c r="K3013" t="s">
        <v>6697</v>
      </c>
      <c r="L3013" t="s">
        <v>6695</v>
      </c>
      <c r="O3013" t="s">
        <v>6694</v>
      </c>
      <c r="R3013" t="s">
        <v>6694</v>
      </c>
      <c r="V3013" t="s">
        <v>6694</v>
      </c>
      <c r="W3013" t="s">
        <v>6720</v>
      </c>
    </row>
    <row r="3014" spans="1:23" ht="15.6" x14ac:dyDescent="0.4">
      <c r="A3014" s="2" t="s">
        <v>3931</v>
      </c>
      <c r="B3014" s="5" t="s">
        <v>9375</v>
      </c>
      <c r="C3014" s="7" t="s">
        <v>12556</v>
      </c>
      <c r="D3014" s="8">
        <f t="shared" si="192"/>
        <v>0</v>
      </c>
      <c r="E3014" s="7" t="s">
        <v>12557</v>
      </c>
      <c r="F3014" s="7">
        <f t="shared" si="193"/>
        <v>0</v>
      </c>
      <c r="G3014" s="7" t="s">
        <v>12558</v>
      </c>
      <c r="H3014" s="7">
        <f t="shared" si="194"/>
        <v>0</v>
      </c>
      <c r="I3014" s="7" t="str" cm="1">
        <f t="array" ref="I3014">IFERROR(_xlfn.IFS(M3014="נח",1,M3014="נע ונח",1,M3014="שני שווא נח",2,M3014="שני שוואים בסוף מילה",2,M3014="שני שוואים ברצף",1),"0")</f>
        <v>0</v>
      </c>
      <c r="J3014" s="9">
        <f t="shared" si="195"/>
        <v>2</v>
      </c>
      <c r="K3014" t="s">
        <v>6698</v>
      </c>
      <c r="L3014" t="s">
        <v>6695</v>
      </c>
      <c r="V3014" t="s">
        <v>6694</v>
      </c>
      <c r="W3014" t="s">
        <v>6720</v>
      </c>
    </row>
    <row r="3015" spans="1:23" ht="15.6" x14ac:dyDescent="0.4">
      <c r="A3015" s="2" t="s">
        <v>1194</v>
      </c>
      <c r="B3015" s="5" t="s">
        <v>9376</v>
      </c>
      <c r="C3015" s="7" t="s">
        <v>12556</v>
      </c>
      <c r="D3015" s="8">
        <f t="shared" si="192"/>
        <v>0</v>
      </c>
      <c r="E3015" s="7" t="s">
        <v>12557</v>
      </c>
      <c r="F3015" s="7">
        <f t="shared" si="193"/>
        <v>0</v>
      </c>
      <c r="G3015" s="7" t="s">
        <v>12558</v>
      </c>
      <c r="H3015" s="7">
        <f t="shared" si="194"/>
        <v>0</v>
      </c>
      <c r="I3015" s="7" t="str" cm="1">
        <f t="array" ref="I3015">IFERROR(_xlfn.IFS(M3015="נח",1,M3015="נע ונח",1,M3015="שני שווא נח",2,M3015="שני שוואים בסוף מילה",2,M3015="שני שוואים ברצף",1),"0")</f>
        <v>0</v>
      </c>
      <c r="J3015" s="9">
        <f t="shared" si="195"/>
        <v>2</v>
      </c>
      <c r="K3015" t="s">
        <v>6698</v>
      </c>
      <c r="L3015" t="s">
        <v>6695</v>
      </c>
      <c r="Q3015" t="s">
        <v>6694</v>
      </c>
      <c r="V3015" t="s">
        <v>6694</v>
      </c>
      <c r="W3015" t="s">
        <v>6720</v>
      </c>
    </row>
    <row r="3016" spans="1:23" ht="15.6" x14ac:dyDescent="0.4">
      <c r="A3016" s="2" t="s">
        <v>871</v>
      </c>
      <c r="B3016" s="5" t="s">
        <v>9377</v>
      </c>
      <c r="C3016" s="7" t="s">
        <v>12556</v>
      </c>
      <c r="D3016" s="8">
        <f t="shared" si="192"/>
        <v>0</v>
      </c>
      <c r="E3016" s="7" t="s">
        <v>12557</v>
      </c>
      <c r="F3016" s="7">
        <f t="shared" si="193"/>
        <v>0</v>
      </c>
      <c r="G3016" s="7" t="s">
        <v>12558</v>
      </c>
      <c r="H3016" s="7">
        <f t="shared" si="194"/>
        <v>0</v>
      </c>
      <c r="I3016" s="7" t="str" cm="1">
        <f t="array" ref="I3016">IFERROR(_xlfn.IFS(M3016="נח",1,M3016="נע ונח",1,M3016="שני שווא נח",2,M3016="שני שוואים בסוף מילה",2,M3016="שני שוואים ברצף",1),"0")</f>
        <v>0</v>
      </c>
      <c r="J3016" s="9">
        <f t="shared" si="195"/>
        <v>2</v>
      </c>
      <c r="K3016" t="s">
        <v>6698</v>
      </c>
      <c r="L3016" t="s">
        <v>6695</v>
      </c>
      <c r="Q3016" t="s">
        <v>6694</v>
      </c>
      <c r="V3016" t="s">
        <v>6694</v>
      </c>
      <c r="W3016" t="s">
        <v>6720</v>
      </c>
    </row>
    <row r="3017" spans="1:23" ht="15.6" x14ac:dyDescent="0.4">
      <c r="A3017" s="2" t="s">
        <v>4598</v>
      </c>
      <c r="B3017" s="5" t="s">
        <v>9378</v>
      </c>
      <c r="C3017" s="7" t="s">
        <v>12556</v>
      </c>
      <c r="D3017" s="8">
        <f t="shared" si="192"/>
        <v>0</v>
      </c>
      <c r="E3017" s="7" t="s">
        <v>12557</v>
      </c>
      <c r="F3017" s="7">
        <f t="shared" si="193"/>
        <v>0</v>
      </c>
      <c r="G3017" s="7" t="s">
        <v>12558</v>
      </c>
      <c r="H3017" s="7">
        <f t="shared" si="194"/>
        <v>0</v>
      </c>
      <c r="I3017" s="7" cm="1">
        <f t="array" ref="I3017">IFERROR(_xlfn.IFS(M3017="נח",1,M3017="נע ונח",1,M3017="שני שווא נח",2,M3017="שני שוואים בסוף מילה",2,M3017="שני שוואים ברצף",1),"0")</f>
        <v>1</v>
      </c>
      <c r="J3017" s="9">
        <f t="shared" si="195"/>
        <v>3</v>
      </c>
      <c r="K3017" t="s">
        <v>6697</v>
      </c>
      <c r="L3017" t="s">
        <v>6694</v>
      </c>
      <c r="M3017" t="s">
        <v>6705</v>
      </c>
      <c r="O3017" t="s">
        <v>6694</v>
      </c>
      <c r="R3017" t="s">
        <v>6694</v>
      </c>
      <c r="V3017" t="s">
        <v>6694</v>
      </c>
      <c r="W3017" t="s">
        <v>6720</v>
      </c>
    </row>
    <row r="3018" spans="1:23" ht="15.6" x14ac:dyDescent="0.4">
      <c r="A3018" s="2" t="s">
        <v>581</v>
      </c>
      <c r="B3018" s="5" t="s">
        <v>9379</v>
      </c>
      <c r="C3018" s="7" t="s">
        <v>12556</v>
      </c>
      <c r="D3018" s="8">
        <f t="shared" si="192"/>
        <v>0</v>
      </c>
      <c r="E3018" s="7" t="s">
        <v>12557</v>
      </c>
      <c r="F3018" s="7">
        <f t="shared" si="193"/>
        <v>1</v>
      </c>
      <c r="G3018" s="7" t="s">
        <v>12558</v>
      </c>
      <c r="H3018" s="7">
        <f t="shared" si="194"/>
        <v>1</v>
      </c>
      <c r="I3018" s="7" t="str" cm="1">
        <f t="array" ref="I3018">IFERROR(_xlfn.IFS(M3018="נח",1,M3018="נע ונח",1,M3018="שני שווא נח",2,M3018="שני שוואים בסוף מילה",2,M3018="שני שוואים ברצף",1),"0")</f>
        <v>0</v>
      </c>
      <c r="J3018" s="9">
        <f t="shared" si="195"/>
        <v>2</v>
      </c>
      <c r="K3018" t="s">
        <v>6697</v>
      </c>
      <c r="L3018" t="s">
        <v>6695</v>
      </c>
      <c r="S3018" t="s">
        <v>6694</v>
      </c>
      <c r="U3018" t="s">
        <v>6694</v>
      </c>
      <c r="W3018" t="s">
        <v>6720</v>
      </c>
    </row>
    <row r="3019" spans="1:23" ht="15.6" x14ac:dyDescent="0.4">
      <c r="A3019" s="2" t="s">
        <v>1854</v>
      </c>
      <c r="B3019" s="5" t="s">
        <v>9380</v>
      </c>
      <c r="C3019" s="7" t="s">
        <v>12556</v>
      </c>
      <c r="D3019" s="8">
        <f t="shared" si="192"/>
        <v>0</v>
      </c>
      <c r="E3019" s="7" t="s">
        <v>12557</v>
      </c>
      <c r="F3019" s="7">
        <f t="shared" si="193"/>
        <v>1</v>
      </c>
      <c r="G3019" s="7" t="s">
        <v>12558</v>
      </c>
      <c r="H3019" s="7">
        <f t="shared" si="194"/>
        <v>1</v>
      </c>
      <c r="I3019" s="7" t="str" cm="1">
        <f t="array" ref="I3019">IFERROR(_xlfn.IFS(M3019="נח",1,M3019="נע ונח",1,M3019="שני שווא נח",2,M3019="שני שוואים בסוף מילה",2,M3019="שני שוואים ברצף",1),"0")</f>
        <v>0</v>
      </c>
      <c r="J3019" s="9">
        <f t="shared" si="195"/>
        <v>2</v>
      </c>
      <c r="K3019" t="s">
        <v>6698</v>
      </c>
      <c r="L3019" t="s">
        <v>6695</v>
      </c>
      <c r="U3019" t="s">
        <v>6694</v>
      </c>
      <c r="V3019" t="s">
        <v>6694</v>
      </c>
      <c r="W3019" t="s">
        <v>6720</v>
      </c>
    </row>
    <row r="3020" spans="1:23" ht="15.6" x14ac:dyDescent="0.4">
      <c r="A3020" s="2" t="s">
        <v>1889</v>
      </c>
      <c r="B3020" s="5" t="s">
        <v>9381</v>
      </c>
      <c r="C3020" s="7" t="s">
        <v>12556</v>
      </c>
      <c r="D3020" s="8">
        <f t="shared" si="192"/>
        <v>1</v>
      </c>
      <c r="E3020" s="7" t="s">
        <v>12557</v>
      </c>
      <c r="F3020" s="7">
        <f t="shared" si="193"/>
        <v>1</v>
      </c>
      <c r="G3020" s="7" t="s">
        <v>12558</v>
      </c>
      <c r="H3020" s="7">
        <f t="shared" si="194"/>
        <v>1</v>
      </c>
      <c r="I3020" s="7" t="str" cm="1">
        <f t="array" ref="I3020">IFERROR(_xlfn.IFS(M3020="נח",1,M3020="נע ונח",1,M3020="שני שווא נח",2,M3020="שני שוואים בסוף מילה",2,M3020="שני שוואים ברצף",1),"0")</f>
        <v>0</v>
      </c>
      <c r="J3020" s="9">
        <f t="shared" si="195"/>
        <v>2</v>
      </c>
      <c r="K3020" t="s">
        <v>6697</v>
      </c>
      <c r="L3020" t="s">
        <v>6695</v>
      </c>
      <c r="O3020" t="s">
        <v>6694</v>
      </c>
      <c r="U3020" t="s">
        <v>6694</v>
      </c>
      <c r="W3020" t="s">
        <v>6720</v>
      </c>
    </row>
    <row r="3021" spans="1:23" ht="15.6" x14ac:dyDescent="0.4">
      <c r="A3021" s="2" t="s">
        <v>1832</v>
      </c>
      <c r="B3021" s="5" t="s">
        <v>9382</v>
      </c>
      <c r="C3021" s="7" t="s">
        <v>12556</v>
      </c>
      <c r="D3021" s="8">
        <f t="shared" si="192"/>
        <v>0</v>
      </c>
      <c r="E3021" s="7" t="s">
        <v>12557</v>
      </c>
      <c r="F3021" s="7">
        <f t="shared" si="193"/>
        <v>0</v>
      </c>
      <c r="G3021" s="7" t="s">
        <v>12558</v>
      </c>
      <c r="H3021" s="7">
        <f t="shared" si="194"/>
        <v>0</v>
      </c>
      <c r="I3021" s="7" t="str" cm="1">
        <f t="array" ref="I3021">IFERROR(_xlfn.IFS(M3021="נח",1,M3021="נע ונח",1,M3021="שני שווא נח",2,M3021="שני שוואים בסוף מילה",2,M3021="שני שוואים ברצף",1),"0")</f>
        <v>0</v>
      </c>
      <c r="J3021" s="9">
        <f t="shared" si="195"/>
        <v>3</v>
      </c>
      <c r="K3021" t="s">
        <v>6698</v>
      </c>
      <c r="L3021" t="s">
        <v>6694</v>
      </c>
      <c r="M3021" t="s">
        <v>6700</v>
      </c>
      <c r="V3021" t="s">
        <v>6694</v>
      </c>
      <c r="W3021" t="s">
        <v>6720</v>
      </c>
    </row>
    <row r="3022" spans="1:23" ht="15.6" x14ac:dyDescent="0.4">
      <c r="A3022" s="2" t="s">
        <v>3287</v>
      </c>
      <c r="B3022" s="5" t="s">
        <v>9383</v>
      </c>
      <c r="C3022" s="7" t="s">
        <v>12556</v>
      </c>
      <c r="D3022" s="8">
        <f t="shared" si="192"/>
        <v>0</v>
      </c>
      <c r="E3022" s="7" t="s">
        <v>12557</v>
      </c>
      <c r="F3022" s="7">
        <f t="shared" si="193"/>
        <v>0</v>
      </c>
      <c r="G3022" s="7" t="s">
        <v>12558</v>
      </c>
      <c r="H3022" s="7">
        <f t="shared" si="194"/>
        <v>0</v>
      </c>
      <c r="I3022" s="7" t="str" cm="1">
        <f t="array" ref="I3022">IFERROR(_xlfn.IFS(M3022="נח",1,M3022="נע ונח",1,M3022="שני שווא נח",2,M3022="שני שוואים בסוף מילה",2,M3022="שני שוואים ברצף",1),"0")</f>
        <v>0</v>
      </c>
      <c r="J3022" s="9">
        <f t="shared" si="195"/>
        <v>3</v>
      </c>
      <c r="K3022" t="s">
        <v>6697</v>
      </c>
      <c r="L3022" t="s">
        <v>6694</v>
      </c>
      <c r="M3022" t="s">
        <v>6700</v>
      </c>
      <c r="O3022" t="s">
        <v>6694</v>
      </c>
      <c r="V3022" t="s">
        <v>6694</v>
      </c>
      <c r="W3022" t="s">
        <v>6720</v>
      </c>
    </row>
    <row r="3023" spans="1:23" ht="15.6" x14ac:dyDescent="0.4">
      <c r="A3023" s="2" t="s">
        <v>3454</v>
      </c>
      <c r="B3023" s="5" t="s">
        <v>9384</v>
      </c>
      <c r="C3023" s="7" t="s">
        <v>12556</v>
      </c>
      <c r="D3023" s="8">
        <f t="shared" si="192"/>
        <v>0</v>
      </c>
      <c r="E3023" s="7" t="s">
        <v>12557</v>
      </c>
      <c r="F3023" s="7">
        <f t="shared" si="193"/>
        <v>0</v>
      </c>
      <c r="G3023" s="7" t="s">
        <v>12558</v>
      </c>
      <c r="H3023" s="7">
        <f t="shared" si="194"/>
        <v>0</v>
      </c>
      <c r="I3023" s="7" t="str" cm="1">
        <f t="array" ref="I3023">IFERROR(_xlfn.IFS(M3023="נח",1,M3023="נע ונח",1,M3023="שני שווא נח",2,M3023="שני שוואים בסוף מילה",2,M3023="שני שוואים ברצף",1),"0")</f>
        <v>0</v>
      </c>
      <c r="J3023" s="9">
        <f t="shared" si="195"/>
        <v>3</v>
      </c>
      <c r="K3023" t="s">
        <v>6698</v>
      </c>
      <c r="L3023" t="s">
        <v>6694</v>
      </c>
      <c r="M3023" t="s">
        <v>6700</v>
      </c>
      <c r="O3023" t="s">
        <v>6694</v>
      </c>
      <c r="V3023" t="s">
        <v>6694</v>
      </c>
      <c r="W3023" t="s">
        <v>6720</v>
      </c>
    </row>
    <row r="3024" spans="1:23" ht="15.6" x14ac:dyDescent="0.4">
      <c r="A3024" s="2" t="s">
        <v>6385</v>
      </c>
      <c r="B3024" s="5" t="s">
        <v>9385</v>
      </c>
      <c r="C3024" s="7" t="s">
        <v>12556</v>
      </c>
      <c r="D3024" s="8">
        <f t="shared" si="192"/>
        <v>0</v>
      </c>
      <c r="E3024" s="7" t="s">
        <v>12557</v>
      </c>
      <c r="F3024" s="7">
        <f t="shared" si="193"/>
        <v>0</v>
      </c>
      <c r="G3024" s="7" t="s">
        <v>12558</v>
      </c>
      <c r="H3024" s="7">
        <f t="shared" si="194"/>
        <v>0</v>
      </c>
      <c r="I3024" s="7" cm="1">
        <f t="array" ref="I3024">IFERROR(_xlfn.IFS(M3024="נח",1,M3024="נע ונח",1,M3024="שני שווא נח",2,M3024="שני שוואים בסוף מילה",2,M3024="שני שוואים ברצף",1),"0")</f>
        <v>1</v>
      </c>
      <c r="J3024" s="9">
        <f t="shared" si="195"/>
        <v>2</v>
      </c>
      <c r="K3024" t="s">
        <v>6697</v>
      </c>
      <c r="L3024" t="s">
        <v>6694</v>
      </c>
      <c r="M3024" t="s">
        <v>6705</v>
      </c>
      <c r="O3024" t="s">
        <v>6694</v>
      </c>
      <c r="S3024" t="s">
        <v>6694</v>
      </c>
      <c r="W3024" t="s">
        <v>6720</v>
      </c>
    </row>
    <row r="3025" spans="1:23" ht="15.6" x14ac:dyDescent="0.4">
      <c r="A3025" s="2" t="s">
        <v>4643</v>
      </c>
      <c r="B3025" s="5" t="s">
        <v>9386</v>
      </c>
      <c r="C3025" s="7" t="s">
        <v>12556</v>
      </c>
      <c r="D3025" s="8">
        <f t="shared" si="192"/>
        <v>0</v>
      </c>
      <c r="E3025" s="7" t="s">
        <v>12557</v>
      </c>
      <c r="F3025" s="7">
        <f t="shared" si="193"/>
        <v>0</v>
      </c>
      <c r="G3025" s="7" t="s">
        <v>12558</v>
      </c>
      <c r="H3025" s="7">
        <f t="shared" si="194"/>
        <v>0</v>
      </c>
      <c r="I3025" s="7" t="str" cm="1">
        <f t="array" ref="I3025">IFERROR(_xlfn.IFS(M3025="נח",1,M3025="נע ונח",1,M3025="שני שווא נח",2,M3025="שני שוואים בסוף מילה",2,M3025="שני שוואים ברצף",1),"0")</f>
        <v>0</v>
      </c>
      <c r="J3025" s="9">
        <f t="shared" si="195"/>
        <v>3</v>
      </c>
      <c r="K3025" t="s">
        <v>6698</v>
      </c>
      <c r="L3025" t="s">
        <v>6695</v>
      </c>
      <c r="N3025" t="s">
        <v>6706</v>
      </c>
      <c r="O3025" t="s">
        <v>6694</v>
      </c>
      <c r="S3025" t="s">
        <v>6694</v>
      </c>
      <c r="W3025" t="s">
        <v>6720</v>
      </c>
    </row>
    <row r="3026" spans="1:23" ht="15.6" x14ac:dyDescent="0.4">
      <c r="A3026" s="2" t="s">
        <v>5452</v>
      </c>
      <c r="B3026" s="5" t="s">
        <v>9387</v>
      </c>
      <c r="C3026" s="7" t="s">
        <v>12556</v>
      </c>
      <c r="D3026" s="8">
        <f t="shared" si="192"/>
        <v>0</v>
      </c>
      <c r="E3026" s="7" t="s">
        <v>12557</v>
      </c>
      <c r="F3026" s="7">
        <f t="shared" si="193"/>
        <v>2</v>
      </c>
      <c r="G3026" s="7" t="s">
        <v>12558</v>
      </c>
      <c r="H3026" s="7">
        <f t="shared" si="194"/>
        <v>1</v>
      </c>
      <c r="I3026" s="7" cm="1">
        <f t="array" ref="I3026">IFERROR(_xlfn.IFS(M3026="נח",1,M3026="נע ונח",1,M3026="שני שווא נח",2,M3026="שני שוואים בסוף מילה",2,M3026="שני שוואים ברצף",1),"0")</f>
        <v>1</v>
      </c>
      <c r="J3026" s="9">
        <f t="shared" si="195"/>
        <v>2</v>
      </c>
      <c r="K3026" t="s">
        <v>6697</v>
      </c>
      <c r="L3026" t="s">
        <v>6694</v>
      </c>
      <c r="M3026" t="s">
        <v>6705</v>
      </c>
      <c r="S3026" t="s">
        <v>6694</v>
      </c>
      <c r="U3026" t="s">
        <v>6694</v>
      </c>
      <c r="W3026" t="s">
        <v>6720</v>
      </c>
    </row>
    <row r="3027" spans="1:23" ht="15.6" x14ac:dyDescent="0.4">
      <c r="A3027" s="2" t="s">
        <v>1158</v>
      </c>
      <c r="B3027" s="5" t="s">
        <v>9388</v>
      </c>
      <c r="C3027" s="7" t="s">
        <v>12556</v>
      </c>
      <c r="D3027" s="8">
        <f t="shared" si="192"/>
        <v>0</v>
      </c>
      <c r="E3027" s="7" t="s">
        <v>12557</v>
      </c>
      <c r="F3027" s="7">
        <f t="shared" si="193"/>
        <v>0</v>
      </c>
      <c r="G3027" s="7" t="s">
        <v>12558</v>
      </c>
      <c r="H3027" s="7">
        <f t="shared" si="194"/>
        <v>0</v>
      </c>
      <c r="I3027" s="7" t="str" cm="1">
        <f t="array" ref="I3027">IFERROR(_xlfn.IFS(M3027="נח",1,M3027="נע ונח",1,M3027="שני שווא נח",2,M3027="שני שוואים בסוף מילה",2,M3027="שני שוואים ברצף",1),"0")</f>
        <v>0</v>
      </c>
      <c r="J3027" s="9">
        <f t="shared" si="195"/>
        <v>2</v>
      </c>
      <c r="K3027" t="s">
        <v>6698</v>
      </c>
      <c r="L3027" t="s">
        <v>6695</v>
      </c>
      <c r="R3027" t="s">
        <v>6694</v>
      </c>
      <c r="W3027" t="s">
        <v>6720</v>
      </c>
    </row>
    <row r="3028" spans="1:23" ht="15.6" x14ac:dyDescent="0.4">
      <c r="A3028" s="2" t="s">
        <v>6411</v>
      </c>
      <c r="B3028" s="5" t="s">
        <v>9389</v>
      </c>
      <c r="C3028" s="7" t="s">
        <v>12556</v>
      </c>
      <c r="D3028" s="8">
        <f t="shared" si="192"/>
        <v>0</v>
      </c>
      <c r="E3028" s="7" t="s">
        <v>12557</v>
      </c>
      <c r="F3028" s="7">
        <f t="shared" si="193"/>
        <v>0</v>
      </c>
      <c r="G3028" s="7" t="s">
        <v>12558</v>
      </c>
      <c r="H3028" s="7">
        <f t="shared" si="194"/>
        <v>0</v>
      </c>
      <c r="I3028" s="7" t="str" cm="1">
        <f t="array" ref="I3028">IFERROR(_xlfn.IFS(M3028="נח",1,M3028="נע ונח",1,M3028="שני שווא נח",2,M3028="שני שוואים בסוף מילה",2,M3028="שני שוואים ברצף",1),"0")</f>
        <v>0</v>
      </c>
      <c r="J3028" s="9">
        <f t="shared" si="195"/>
        <v>4</v>
      </c>
      <c r="K3028" t="s">
        <v>6697</v>
      </c>
      <c r="L3028" t="s">
        <v>6695</v>
      </c>
      <c r="P3028" t="s">
        <v>6694</v>
      </c>
      <c r="Q3028" t="s">
        <v>6694</v>
      </c>
      <c r="S3028" t="s">
        <v>6694</v>
      </c>
      <c r="W3028" t="s">
        <v>6720</v>
      </c>
    </row>
    <row r="3029" spans="1:23" ht="15.6" x14ac:dyDescent="0.4">
      <c r="A3029" s="2" t="s">
        <v>2878</v>
      </c>
      <c r="B3029" s="5" t="s">
        <v>9390</v>
      </c>
      <c r="C3029" s="7" t="s">
        <v>12556</v>
      </c>
      <c r="D3029" s="8">
        <f t="shared" si="192"/>
        <v>0</v>
      </c>
      <c r="E3029" s="7" t="s">
        <v>12557</v>
      </c>
      <c r="F3029" s="7">
        <f t="shared" si="193"/>
        <v>0</v>
      </c>
      <c r="G3029" s="7" t="s">
        <v>12558</v>
      </c>
      <c r="H3029" s="7">
        <f t="shared" si="194"/>
        <v>0</v>
      </c>
      <c r="I3029" s="7" t="str" cm="1">
        <f t="array" ref="I3029">IFERROR(_xlfn.IFS(M3029="נח",1,M3029="נע ונח",1,M3029="שני שווא נח",2,M3029="שני שוואים בסוף מילה",2,M3029="שני שוואים ברצף",1),"0")</f>
        <v>0</v>
      </c>
      <c r="J3029" s="9">
        <f t="shared" si="195"/>
        <v>1</v>
      </c>
      <c r="K3029" t="s">
        <v>6698</v>
      </c>
      <c r="L3029" t="s">
        <v>6695</v>
      </c>
      <c r="P3029" t="s">
        <v>6694</v>
      </c>
      <c r="W3029" t="s">
        <v>6720</v>
      </c>
    </row>
    <row r="3030" spans="1:23" ht="15.6" x14ac:dyDescent="0.4">
      <c r="A3030" s="2" t="s">
        <v>2735</v>
      </c>
      <c r="B3030" s="5" t="s">
        <v>9391</v>
      </c>
      <c r="C3030" s="7" t="s">
        <v>12556</v>
      </c>
      <c r="D3030" s="8">
        <f t="shared" si="192"/>
        <v>0</v>
      </c>
      <c r="E3030" s="7" t="s">
        <v>12557</v>
      </c>
      <c r="F3030" s="7">
        <f t="shared" si="193"/>
        <v>0</v>
      </c>
      <c r="G3030" s="7" t="s">
        <v>12558</v>
      </c>
      <c r="H3030" s="7">
        <f t="shared" si="194"/>
        <v>0</v>
      </c>
      <c r="I3030" s="7" cm="1">
        <f t="array" ref="I3030">IFERROR(_xlfn.IFS(M3030="נח",1,M3030="נע ונח",1,M3030="שני שווא נח",2,M3030="שני שוואים בסוף מילה",2,M3030="שני שוואים ברצף",1),"0")</f>
        <v>1</v>
      </c>
      <c r="J3030" s="9">
        <f t="shared" si="195"/>
        <v>2</v>
      </c>
      <c r="K3030" t="s">
        <v>6697</v>
      </c>
      <c r="L3030" t="s">
        <v>6694</v>
      </c>
      <c r="M3030" t="s">
        <v>6705</v>
      </c>
      <c r="P3030" t="s">
        <v>6694</v>
      </c>
      <c r="V3030" t="s">
        <v>6694</v>
      </c>
      <c r="W3030" t="s">
        <v>6720</v>
      </c>
    </row>
    <row r="3031" spans="1:23" ht="15.6" x14ac:dyDescent="0.4">
      <c r="A3031" s="2" t="s">
        <v>2756</v>
      </c>
      <c r="B3031" s="5" t="s">
        <v>9391</v>
      </c>
      <c r="C3031" s="7" t="s">
        <v>12556</v>
      </c>
      <c r="D3031" s="8">
        <f t="shared" si="192"/>
        <v>0</v>
      </c>
      <c r="E3031" s="7" t="s">
        <v>12557</v>
      </c>
      <c r="F3031" s="7">
        <f t="shared" si="193"/>
        <v>1</v>
      </c>
      <c r="G3031" s="7" t="s">
        <v>12558</v>
      </c>
      <c r="H3031" s="7">
        <f t="shared" si="194"/>
        <v>1</v>
      </c>
      <c r="I3031" s="7" t="str" cm="1">
        <f t="array" ref="I3031">IFERROR(_xlfn.IFS(M3031="נח",1,M3031="נע ונח",1,M3031="שני שווא נח",2,M3031="שני שוואים בסוף מילה",2,M3031="שני שוואים ברצף",1),"0")</f>
        <v>0</v>
      </c>
      <c r="J3031" s="9">
        <f t="shared" si="195"/>
        <v>3</v>
      </c>
      <c r="K3031" t="s">
        <v>6697</v>
      </c>
      <c r="L3031" t="s">
        <v>6695</v>
      </c>
      <c r="P3031" t="s">
        <v>6694</v>
      </c>
      <c r="U3031" t="s">
        <v>6694</v>
      </c>
      <c r="W3031" t="s">
        <v>6720</v>
      </c>
    </row>
    <row r="3032" spans="1:23" ht="15.6" x14ac:dyDescent="0.4">
      <c r="A3032" s="2" t="s">
        <v>2419</v>
      </c>
      <c r="B3032" s="5" t="s">
        <v>9392</v>
      </c>
      <c r="C3032" s="7" t="s">
        <v>12556</v>
      </c>
      <c r="D3032" s="8">
        <f t="shared" si="192"/>
        <v>0</v>
      </c>
      <c r="E3032" s="7" t="s">
        <v>12557</v>
      </c>
      <c r="F3032" s="7">
        <f t="shared" si="193"/>
        <v>1</v>
      </c>
      <c r="G3032" s="7" t="s">
        <v>12558</v>
      </c>
      <c r="H3032" s="7">
        <f t="shared" si="194"/>
        <v>1</v>
      </c>
      <c r="I3032" s="7" cm="1">
        <f t="array" ref="I3032">IFERROR(_xlfn.IFS(M3032="נח",1,M3032="נע ונח",1,M3032="שני שווא נח",2,M3032="שני שוואים בסוף מילה",2,M3032="שני שוואים ברצף",1),"0")</f>
        <v>1</v>
      </c>
      <c r="J3032" s="9">
        <f t="shared" si="195"/>
        <v>2</v>
      </c>
      <c r="K3032" t="s">
        <v>6697</v>
      </c>
      <c r="L3032" t="s">
        <v>6694</v>
      </c>
      <c r="M3032" t="s">
        <v>6705</v>
      </c>
      <c r="N3032" t="s">
        <v>6706</v>
      </c>
      <c r="O3032" t="s">
        <v>6694</v>
      </c>
      <c r="U3032" t="s">
        <v>6694</v>
      </c>
      <c r="W3032" t="s">
        <v>6720</v>
      </c>
    </row>
    <row r="3033" spans="1:23" ht="15.6" x14ac:dyDescent="0.4">
      <c r="A3033" s="2" t="s">
        <v>4572</v>
      </c>
      <c r="B3033" s="5" t="s">
        <v>9393</v>
      </c>
      <c r="C3033" s="7" t="s">
        <v>12556</v>
      </c>
      <c r="D3033" s="8">
        <f t="shared" si="192"/>
        <v>0</v>
      </c>
      <c r="E3033" s="7" t="s">
        <v>12557</v>
      </c>
      <c r="F3033" s="7">
        <f t="shared" si="193"/>
        <v>1</v>
      </c>
      <c r="G3033" s="7" t="s">
        <v>12558</v>
      </c>
      <c r="H3033" s="7">
        <f t="shared" si="194"/>
        <v>0</v>
      </c>
      <c r="I3033" s="7" cm="1">
        <f t="array" ref="I3033">IFERROR(_xlfn.IFS(M3033="נח",1,M3033="נע ונח",1,M3033="שני שווא נח",2,M3033="שני שוואים בסוף מילה",2,M3033="שני שוואים ברצף",1),"0")</f>
        <v>1</v>
      </c>
      <c r="J3033" s="9">
        <f t="shared" si="195"/>
        <v>3</v>
      </c>
      <c r="K3033" t="s">
        <v>6697</v>
      </c>
      <c r="L3033" t="s">
        <v>6694</v>
      </c>
      <c r="M3033" t="s">
        <v>6705</v>
      </c>
      <c r="O3033" t="s">
        <v>6694</v>
      </c>
      <c r="P3033" t="s">
        <v>6694</v>
      </c>
      <c r="S3033" t="s">
        <v>6694</v>
      </c>
      <c r="W3033" t="s">
        <v>6720</v>
      </c>
    </row>
    <row r="3034" spans="1:23" ht="15.6" x14ac:dyDescent="0.4">
      <c r="A3034" s="2" t="s">
        <v>3908</v>
      </c>
      <c r="B3034" s="5" t="s">
        <v>9394</v>
      </c>
      <c r="C3034" s="7" t="s">
        <v>12556</v>
      </c>
      <c r="D3034" s="8">
        <f t="shared" si="192"/>
        <v>0</v>
      </c>
      <c r="E3034" s="7" t="s">
        <v>12557</v>
      </c>
      <c r="F3034" s="7">
        <f t="shared" si="193"/>
        <v>0</v>
      </c>
      <c r="G3034" s="7" t="s">
        <v>12558</v>
      </c>
      <c r="H3034" s="7">
        <f t="shared" si="194"/>
        <v>0</v>
      </c>
      <c r="I3034" s="7" t="str" cm="1">
        <f t="array" ref="I3034">IFERROR(_xlfn.IFS(M3034="נח",1,M3034="נע ונח",1,M3034="שני שווא נח",2,M3034="שני שוואים בסוף מילה",2,M3034="שני שוואים ברצף",1),"0")</f>
        <v>0</v>
      </c>
      <c r="J3034" s="9">
        <f t="shared" si="195"/>
        <v>2</v>
      </c>
      <c r="K3034" t="s">
        <v>6698</v>
      </c>
      <c r="L3034" t="s">
        <v>6695</v>
      </c>
      <c r="O3034" t="s">
        <v>6694</v>
      </c>
      <c r="V3034" t="s">
        <v>6694</v>
      </c>
      <c r="W3034" t="s">
        <v>6720</v>
      </c>
    </row>
    <row r="3035" spans="1:23" ht="15.6" x14ac:dyDescent="0.4">
      <c r="A3035" s="2" t="s">
        <v>969</v>
      </c>
      <c r="B3035" s="5" t="s">
        <v>9395</v>
      </c>
      <c r="C3035" s="7" t="s">
        <v>12556</v>
      </c>
      <c r="D3035" s="8">
        <f t="shared" si="192"/>
        <v>0</v>
      </c>
      <c r="E3035" s="7" t="s">
        <v>12557</v>
      </c>
      <c r="F3035" s="7">
        <f t="shared" si="193"/>
        <v>1</v>
      </c>
      <c r="G3035" s="7" t="s">
        <v>12558</v>
      </c>
      <c r="H3035" s="7">
        <f t="shared" si="194"/>
        <v>1</v>
      </c>
      <c r="I3035" s="7" cm="1">
        <f t="array" ref="I3035">IFERROR(_xlfn.IFS(M3035="נח",1,M3035="נע ונח",1,M3035="שני שווא נח",2,M3035="שני שוואים בסוף מילה",2,M3035="שני שוואים ברצף",1),"0")</f>
        <v>1</v>
      </c>
      <c r="J3035" s="9">
        <f t="shared" si="195"/>
        <v>2</v>
      </c>
      <c r="K3035" t="s">
        <v>6697</v>
      </c>
      <c r="L3035" t="s">
        <v>6694</v>
      </c>
      <c r="M3035" t="s">
        <v>6705</v>
      </c>
      <c r="N3035" t="s">
        <v>6706</v>
      </c>
      <c r="O3035" t="s">
        <v>6694</v>
      </c>
      <c r="U3035" t="s">
        <v>6694</v>
      </c>
      <c r="W3035" t="s">
        <v>6720</v>
      </c>
    </row>
    <row r="3036" spans="1:23" ht="15.6" x14ac:dyDescent="0.4">
      <c r="A3036" s="2" t="s">
        <v>976</v>
      </c>
      <c r="B3036" s="5" t="s">
        <v>9396</v>
      </c>
      <c r="C3036" s="7" t="s">
        <v>12556</v>
      </c>
      <c r="D3036" s="8">
        <f t="shared" si="192"/>
        <v>0</v>
      </c>
      <c r="E3036" s="7" t="s">
        <v>12557</v>
      </c>
      <c r="F3036" s="7">
        <f t="shared" si="193"/>
        <v>0</v>
      </c>
      <c r="G3036" s="7" t="s">
        <v>12558</v>
      </c>
      <c r="H3036" s="7">
        <f t="shared" si="194"/>
        <v>0</v>
      </c>
      <c r="I3036" s="7" t="str" cm="1">
        <f t="array" ref="I3036">IFERROR(_xlfn.IFS(M3036="נח",1,M3036="נע ונח",1,M3036="שני שווא נח",2,M3036="שני שוואים בסוף מילה",2,M3036="שני שוואים ברצף",1),"0")</f>
        <v>0</v>
      </c>
      <c r="J3036" s="9">
        <f t="shared" si="195"/>
        <v>2</v>
      </c>
      <c r="K3036" t="s">
        <v>6698</v>
      </c>
      <c r="L3036" t="s">
        <v>6695</v>
      </c>
      <c r="O3036" t="s">
        <v>6694</v>
      </c>
      <c r="P3036" t="s">
        <v>6694</v>
      </c>
      <c r="W3036" t="s">
        <v>6720</v>
      </c>
    </row>
    <row r="3037" spans="1:23" ht="15.6" x14ac:dyDescent="0.4">
      <c r="A3037" s="2" t="s">
        <v>2422</v>
      </c>
      <c r="B3037" s="5" t="s">
        <v>9395</v>
      </c>
      <c r="C3037" s="7" t="s">
        <v>12556</v>
      </c>
      <c r="D3037" s="8">
        <f t="shared" si="192"/>
        <v>0</v>
      </c>
      <c r="E3037" s="7" t="s">
        <v>12557</v>
      </c>
      <c r="F3037" s="7">
        <f t="shared" si="193"/>
        <v>1</v>
      </c>
      <c r="G3037" s="7" t="s">
        <v>12558</v>
      </c>
      <c r="H3037" s="7">
        <f t="shared" si="194"/>
        <v>1</v>
      </c>
      <c r="I3037" s="7" t="str" cm="1">
        <f t="array" ref="I3037">IFERROR(_xlfn.IFS(M3037="נח",1,M3037="נע ונח",1,M3037="שני שווא נח",2,M3037="שני שוואים בסוף מילה",2,M3037="שני שוואים ברצף",1),"0")</f>
        <v>0</v>
      </c>
      <c r="J3037" s="9">
        <f t="shared" si="195"/>
        <v>3</v>
      </c>
      <c r="K3037" t="s">
        <v>6697</v>
      </c>
      <c r="L3037" t="s">
        <v>6695</v>
      </c>
      <c r="O3037" t="s">
        <v>6694</v>
      </c>
      <c r="U3037" t="s">
        <v>6694</v>
      </c>
      <c r="W3037" t="s">
        <v>6720</v>
      </c>
    </row>
    <row r="3038" spans="1:23" ht="15.6" x14ac:dyDescent="0.4">
      <c r="A3038" s="2" t="s">
        <v>6508</v>
      </c>
      <c r="B3038" s="5" t="s">
        <v>9388</v>
      </c>
      <c r="C3038" s="7" t="s">
        <v>12556</v>
      </c>
      <c r="D3038" s="8">
        <f t="shared" si="192"/>
        <v>0</v>
      </c>
      <c r="E3038" s="7" t="s">
        <v>12557</v>
      </c>
      <c r="F3038" s="7">
        <f t="shared" si="193"/>
        <v>0</v>
      </c>
      <c r="G3038" s="7" t="s">
        <v>12558</v>
      </c>
      <c r="H3038" s="7">
        <f t="shared" si="194"/>
        <v>0</v>
      </c>
      <c r="I3038" s="7" t="str" cm="1">
        <f t="array" ref="I3038">IFERROR(_xlfn.IFS(M3038="נח",1,M3038="נע ונח",1,M3038="שני שווא נח",2,M3038="שני שוואים בסוף מילה",2,M3038="שני שוואים ברצף",1),"0")</f>
        <v>0</v>
      </c>
      <c r="J3038" s="9">
        <f t="shared" si="195"/>
        <v>2</v>
      </c>
      <c r="K3038" t="s">
        <v>6698</v>
      </c>
      <c r="L3038" t="s">
        <v>6695</v>
      </c>
      <c r="O3038" t="s">
        <v>6694</v>
      </c>
      <c r="R3038" t="s">
        <v>6694</v>
      </c>
      <c r="W3038" t="s">
        <v>6720</v>
      </c>
    </row>
    <row r="3039" spans="1:23" ht="15.6" x14ac:dyDescent="0.4">
      <c r="A3039" s="2" t="s">
        <v>5877</v>
      </c>
      <c r="B3039" s="5" t="s">
        <v>9388</v>
      </c>
      <c r="C3039" s="7" t="s">
        <v>12556</v>
      </c>
      <c r="D3039" s="8">
        <f t="shared" si="192"/>
        <v>0</v>
      </c>
      <c r="E3039" s="7" t="s">
        <v>12557</v>
      </c>
      <c r="F3039" s="7">
        <f t="shared" si="193"/>
        <v>0</v>
      </c>
      <c r="G3039" s="7" t="s">
        <v>12558</v>
      </c>
      <c r="H3039" s="7">
        <f t="shared" si="194"/>
        <v>0</v>
      </c>
      <c r="I3039" s="7" t="str" cm="1">
        <f t="array" ref="I3039">IFERROR(_xlfn.IFS(M3039="נח",1,M3039="נע ונח",1,M3039="שני שווא נח",2,M3039="שני שוואים בסוף מילה",2,M3039="שני שוואים ברצף",1),"0")</f>
        <v>0</v>
      </c>
      <c r="J3039" s="9">
        <f t="shared" si="195"/>
        <v>2</v>
      </c>
      <c r="K3039" t="s">
        <v>6698</v>
      </c>
      <c r="L3039" t="s">
        <v>6695</v>
      </c>
      <c r="Q3039" t="s">
        <v>6694</v>
      </c>
      <c r="V3039" t="s">
        <v>6694</v>
      </c>
      <c r="W3039" t="s">
        <v>6720</v>
      </c>
    </row>
    <row r="3040" spans="1:23" ht="15.6" x14ac:dyDescent="0.4">
      <c r="A3040" s="2" t="s">
        <v>797</v>
      </c>
      <c r="B3040" s="5" t="s">
        <v>9397</v>
      </c>
      <c r="C3040" s="7" t="s">
        <v>12556</v>
      </c>
      <c r="D3040" s="8">
        <f t="shared" si="192"/>
        <v>0</v>
      </c>
      <c r="E3040" s="7" t="s">
        <v>12557</v>
      </c>
      <c r="F3040" s="7">
        <f t="shared" si="193"/>
        <v>0</v>
      </c>
      <c r="G3040" s="7" t="s">
        <v>12558</v>
      </c>
      <c r="H3040" s="7">
        <f t="shared" si="194"/>
        <v>0</v>
      </c>
      <c r="I3040" s="7" t="str" cm="1">
        <f t="array" ref="I3040">IFERROR(_xlfn.IFS(M3040="נח",1,M3040="נע ונח",1,M3040="שני שווא נח",2,M3040="שני שוואים בסוף מילה",2,M3040="שני שוואים ברצף",1),"0")</f>
        <v>0</v>
      </c>
      <c r="J3040" s="9">
        <f t="shared" si="195"/>
        <v>1</v>
      </c>
      <c r="K3040" t="s">
        <v>6698</v>
      </c>
      <c r="L3040" t="s">
        <v>6695</v>
      </c>
      <c r="V3040" t="s">
        <v>6694</v>
      </c>
      <c r="W3040" t="s">
        <v>6720</v>
      </c>
    </row>
    <row r="3041" spans="1:23" ht="15.6" x14ac:dyDescent="0.4">
      <c r="A3041" s="2" t="s">
        <v>994</v>
      </c>
      <c r="B3041" s="5" t="s">
        <v>9398</v>
      </c>
      <c r="C3041" s="7" t="s">
        <v>12556</v>
      </c>
      <c r="D3041" s="8">
        <f t="shared" si="192"/>
        <v>0</v>
      </c>
      <c r="E3041" s="7" t="s">
        <v>12557</v>
      </c>
      <c r="F3041" s="7">
        <f t="shared" si="193"/>
        <v>0</v>
      </c>
      <c r="G3041" s="7" t="s">
        <v>12558</v>
      </c>
      <c r="H3041" s="7">
        <f t="shared" si="194"/>
        <v>0</v>
      </c>
      <c r="I3041" s="7" t="str" cm="1">
        <f t="array" ref="I3041">IFERROR(_xlfn.IFS(M3041="נח",1,M3041="נע ונח",1,M3041="שני שווא נח",2,M3041="שני שוואים בסוף מילה",2,M3041="שני שוואים ברצף",1),"0")</f>
        <v>0</v>
      </c>
      <c r="J3041" s="9">
        <f t="shared" si="195"/>
        <v>2</v>
      </c>
      <c r="K3041" t="s">
        <v>6697</v>
      </c>
      <c r="L3041" t="s">
        <v>6695</v>
      </c>
      <c r="O3041" t="s">
        <v>6694</v>
      </c>
      <c r="V3041" t="s">
        <v>6694</v>
      </c>
      <c r="W3041" t="s">
        <v>6720</v>
      </c>
    </row>
    <row r="3042" spans="1:23" ht="15.6" x14ac:dyDescent="0.4">
      <c r="A3042" s="2" t="s">
        <v>390</v>
      </c>
      <c r="B3042" s="5" t="s">
        <v>9399</v>
      </c>
      <c r="C3042" s="7" t="s">
        <v>12556</v>
      </c>
      <c r="D3042" s="8">
        <f t="shared" si="192"/>
        <v>0</v>
      </c>
      <c r="E3042" s="7" t="s">
        <v>12557</v>
      </c>
      <c r="F3042" s="7">
        <f t="shared" si="193"/>
        <v>0</v>
      </c>
      <c r="G3042" s="7" t="s">
        <v>12558</v>
      </c>
      <c r="H3042" s="7">
        <f t="shared" si="194"/>
        <v>0</v>
      </c>
      <c r="I3042" s="7" t="str" cm="1">
        <f t="array" ref="I3042">IFERROR(_xlfn.IFS(M3042="נח",1,M3042="נע ונח",1,M3042="שני שווא נח",2,M3042="שני שוואים בסוף מילה",2,M3042="שני שוואים ברצף",1),"0")</f>
        <v>0</v>
      </c>
      <c r="J3042" s="9">
        <f t="shared" si="195"/>
        <v>3</v>
      </c>
      <c r="K3042" t="s">
        <v>6697</v>
      </c>
      <c r="L3042" t="s">
        <v>6695</v>
      </c>
      <c r="O3042" t="s">
        <v>6694</v>
      </c>
      <c r="S3042" t="s">
        <v>6694</v>
      </c>
      <c r="V3042" t="s">
        <v>6694</v>
      </c>
      <c r="W3042" t="s">
        <v>6720</v>
      </c>
    </row>
    <row r="3043" spans="1:23" ht="15.6" x14ac:dyDescent="0.4">
      <c r="A3043" s="2" t="s">
        <v>4403</v>
      </c>
      <c r="B3043" s="5" t="s">
        <v>9400</v>
      </c>
      <c r="C3043" s="7" t="s">
        <v>12556</v>
      </c>
      <c r="D3043" s="8">
        <f t="shared" si="192"/>
        <v>0</v>
      </c>
      <c r="E3043" s="7" t="s">
        <v>12557</v>
      </c>
      <c r="F3043" s="7">
        <f t="shared" si="193"/>
        <v>0</v>
      </c>
      <c r="G3043" s="7" t="s">
        <v>12558</v>
      </c>
      <c r="H3043" s="7">
        <f t="shared" si="194"/>
        <v>0</v>
      </c>
      <c r="I3043" s="7" t="str" cm="1">
        <f t="array" ref="I3043">IFERROR(_xlfn.IFS(M3043="נח",1,M3043="נע ונח",1,M3043="שני שווא נח",2,M3043="שני שוואים בסוף מילה",2,M3043="שני שוואים ברצף",1),"0")</f>
        <v>0</v>
      </c>
      <c r="J3043" s="9">
        <f t="shared" si="195"/>
        <v>4</v>
      </c>
      <c r="K3043" t="s">
        <v>6697</v>
      </c>
      <c r="L3043" t="s">
        <v>6695</v>
      </c>
      <c r="O3043" t="s">
        <v>6694</v>
      </c>
      <c r="R3043" t="s">
        <v>6694</v>
      </c>
      <c r="V3043" t="s">
        <v>6694</v>
      </c>
      <c r="W3043" t="s">
        <v>6720</v>
      </c>
    </row>
    <row r="3044" spans="1:23" ht="15.6" x14ac:dyDescent="0.4">
      <c r="A3044" s="2" t="s">
        <v>897</v>
      </c>
      <c r="B3044" s="5" t="s">
        <v>9401</v>
      </c>
      <c r="C3044" s="7" t="s">
        <v>12556</v>
      </c>
      <c r="D3044" s="8">
        <f t="shared" si="192"/>
        <v>0</v>
      </c>
      <c r="E3044" s="7" t="s">
        <v>12557</v>
      </c>
      <c r="F3044" s="7">
        <f t="shared" si="193"/>
        <v>1</v>
      </c>
      <c r="G3044" s="7" t="s">
        <v>12558</v>
      </c>
      <c r="H3044" s="7">
        <f t="shared" si="194"/>
        <v>1</v>
      </c>
      <c r="I3044" s="7" cm="1">
        <f t="array" ref="I3044">IFERROR(_xlfn.IFS(M3044="נח",1,M3044="נע ונח",1,M3044="שני שווא נח",2,M3044="שני שוואים בסוף מילה",2,M3044="שני שוואים ברצף",1),"0")</f>
        <v>1</v>
      </c>
      <c r="J3044" s="9">
        <f t="shared" si="195"/>
        <v>2</v>
      </c>
      <c r="K3044" t="s">
        <v>6697</v>
      </c>
      <c r="L3044" t="s">
        <v>6694</v>
      </c>
      <c r="M3044" t="s">
        <v>6705</v>
      </c>
      <c r="O3044" t="s">
        <v>6694</v>
      </c>
      <c r="U3044" t="s">
        <v>6694</v>
      </c>
      <c r="W3044" t="s">
        <v>6720</v>
      </c>
    </row>
    <row r="3045" spans="1:23" ht="15.6" x14ac:dyDescent="0.4">
      <c r="A3045" s="2" t="s">
        <v>6314</v>
      </c>
      <c r="B3045" s="5" t="s">
        <v>9402</v>
      </c>
      <c r="C3045" s="7" t="s">
        <v>12556</v>
      </c>
      <c r="D3045" s="8">
        <f t="shared" si="192"/>
        <v>1</v>
      </c>
      <c r="E3045" s="7" t="s">
        <v>12557</v>
      </c>
      <c r="F3045" s="7">
        <f t="shared" si="193"/>
        <v>3</v>
      </c>
      <c r="G3045" s="7" t="s">
        <v>12558</v>
      </c>
      <c r="H3045" s="7">
        <f t="shared" si="194"/>
        <v>2</v>
      </c>
      <c r="I3045" s="7" cm="1">
        <f t="array" ref="I3045">IFERROR(_xlfn.IFS(M3045="נח",1,M3045="נע ונח",1,M3045="שני שווא נח",2,M3045="שני שוואים בסוף מילה",2,M3045="שני שוואים ברצף",1),"0")</f>
        <v>1</v>
      </c>
      <c r="J3045" s="9">
        <f t="shared" si="195"/>
        <v>4</v>
      </c>
      <c r="K3045" t="s">
        <v>6697</v>
      </c>
      <c r="L3045" t="s">
        <v>6694</v>
      </c>
      <c r="M3045" t="s">
        <v>6701</v>
      </c>
      <c r="P3045" t="s">
        <v>6694</v>
      </c>
      <c r="U3045" t="s">
        <v>6694</v>
      </c>
      <c r="W3045" t="s">
        <v>6720</v>
      </c>
    </row>
    <row r="3046" spans="1:23" ht="15.6" x14ac:dyDescent="0.4">
      <c r="A3046" s="2" t="s">
        <v>6213</v>
      </c>
      <c r="B3046" s="5" t="s">
        <v>9403</v>
      </c>
      <c r="C3046" s="7" t="s">
        <v>12556</v>
      </c>
      <c r="D3046" s="8">
        <f t="shared" si="192"/>
        <v>0</v>
      </c>
      <c r="E3046" s="7" t="s">
        <v>12557</v>
      </c>
      <c r="F3046" s="7">
        <f t="shared" si="193"/>
        <v>0</v>
      </c>
      <c r="G3046" s="7" t="s">
        <v>12558</v>
      </c>
      <c r="H3046" s="7">
        <f t="shared" si="194"/>
        <v>0</v>
      </c>
      <c r="I3046" s="7" t="str" cm="1">
        <f t="array" ref="I3046">IFERROR(_xlfn.IFS(M3046="נח",1,M3046="נע ונח",1,M3046="שני שווא נח",2,M3046="שני שוואים בסוף מילה",2,M3046="שני שוואים ברצף",1),"0")</f>
        <v>0</v>
      </c>
      <c r="J3046" s="9">
        <f t="shared" si="195"/>
        <v>5</v>
      </c>
      <c r="K3046" t="s">
        <v>6697</v>
      </c>
      <c r="L3046" t="s">
        <v>6694</v>
      </c>
      <c r="M3046" t="s">
        <v>6700</v>
      </c>
      <c r="P3046" t="s">
        <v>6694</v>
      </c>
      <c r="Q3046" t="s">
        <v>6694</v>
      </c>
      <c r="V3046" t="s">
        <v>6694</v>
      </c>
      <c r="W3046" t="s">
        <v>6720</v>
      </c>
    </row>
    <row r="3047" spans="1:23" ht="15.6" x14ac:dyDescent="0.4">
      <c r="A3047" s="2" t="s">
        <v>3338</v>
      </c>
      <c r="B3047" s="5" t="s">
        <v>9404</v>
      </c>
      <c r="C3047" s="7" t="s">
        <v>12556</v>
      </c>
      <c r="D3047" s="8">
        <f t="shared" si="192"/>
        <v>0</v>
      </c>
      <c r="E3047" s="7" t="s">
        <v>12557</v>
      </c>
      <c r="F3047" s="7">
        <f t="shared" si="193"/>
        <v>1</v>
      </c>
      <c r="G3047" s="7" t="s">
        <v>12558</v>
      </c>
      <c r="H3047" s="7">
        <f t="shared" si="194"/>
        <v>0</v>
      </c>
      <c r="I3047" s="7" cm="1">
        <f t="array" ref="I3047">IFERROR(_xlfn.IFS(M3047="נח",1,M3047="נע ונח",1,M3047="שני שווא נח",2,M3047="שני שוואים בסוף מילה",2,M3047="שני שוואים ברצף",1),"0")</f>
        <v>1</v>
      </c>
      <c r="J3047" s="9">
        <f t="shared" si="195"/>
        <v>3</v>
      </c>
      <c r="K3047" t="s">
        <v>6698</v>
      </c>
      <c r="L3047" t="s">
        <v>6694</v>
      </c>
      <c r="M3047" t="s">
        <v>6701</v>
      </c>
      <c r="P3047" t="s">
        <v>6694</v>
      </c>
      <c r="Q3047" t="s">
        <v>6694</v>
      </c>
      <c r="W3047" t="s">
        <v>6720</v>
      </c>
    </row>
    <row r="3048" spans="1:23" ht="15.6" x14ac:dyDescent="0.4">
      <c r="A3048" s="2" t="s">
        <v>6329</v>
      </c>
      <c r="B3048" s="5" t="s">
        <v>9405</v>
      </c>
      <c r="C3048" s="7" t="s">
        <v>12556</v>
      </c>
      <c r="D3048" s="8">
        <f t="shared" si="192"/>
        <v>0</v>
      </c>
      <c r="E3048" s="7" t="s">
        <v>12557</v>
      </c>
      <c r="F3048" s="7">
        <f t="shared" si="193"/>
        <v>1</v>
      </c>
      <c r="G3048" s="7" t="s">
        <v>12558</v>
      </c>
      <c r="H3048" s="7">
        <f t="shared" si="194"/>
        <v>1</v>
      </c>
      <c r="I3048" s="7" t="str" cm="1">
        <f t="array" ref="I3048">IFERROR(_xlfn.IFS(M3048="נח",1,M3048="נע ונח",1,M3048="שני שווא נח",2,M3048="שני שוואים בסוף מילה",2,M3048="שני שוואים ברצף",1),"0")</f>
        <v>0</v>
      </c>
      <c r="J3048" s="9">
        <f t="shared" si="195"/>
        <v>5</v>
      </c>
      <c r="K3048" t="s">
        <v>6697</v>
      </c>
      <c r="L3048" t="s">
        <v>6694</v>
      </c>
      <c r="M3048" t="s">
        <v>6700</v>
      </c>
      <c r="P3048" t="s">
        <v>6694</v>
      </c>
      <c r="S3048" t="s">
        <v>6694</v>
      </c>
      <c r="U3048" t="s">
        <v>6694</v>
      </c>
      <c r="W3048" t="s">
        <v>6720</v>
      </c>
    </row>
    <row r="3049" spans="1:23" ht="15.6" x14ac:dyDescent="0.4">
      <c r="A3049" s="2" t="s">
        <v>5372</v>
      </c>
      <c r="B3049" s="5" t="s">
        <v>9406</v>
      </c>
      <c r="C3049" s="7" t="s">
        <v>12556</v>
      </c>
      <c r="D3049" s="8">
        <f t="shared" si="192"/>
        <v>1</v>
      </c>
      <c r="E3049" s="7" t="s">
        <v>12557</v>
      </c>
      <c r="F3049" s="7">
        <f t="shared" si="193"/>
        <v>1</v>
      </c>
      <c r="G3049" s="7" t="s">
        <v>12558</v>
      </c>
      <c r="H3049" s="7">
        <f t="shared" si="194"/>
        <v>1</v>
      </c>
      <c r="I3049" s="7" cm="1">
        <f t="array" ref="I3049">IFERROR(_xlfn.IFS(M3049="נח",1,M3049="נע ונח",1,M3049="שני שווא נח",2,M3049="שני שוואים בסוף מילה",2,M3049="שני שוואים ברצף",1),"0")</f>
        <v>1</v>
      </c>
      <c r="J3049" s="9">
        <f t="shared" si="195"/>
        <v>3</v>
      </c>
      <c r="K3049" t="s">
        <v>6697</v>
      </c>
      <c r="L3049" t="s">
        <v>6694</v>
      </c>
      <c r="M3049" t="s">
        <v>6701</v>
      </c>
      <c r="P3049" t="s">
        <v>6694</v>
      </c>
      <c r="U3049" t="s">
        <v>6694</v>
      </c>
      <c r="W3049" t="s">
        <v>6720</v>
      </c>
    </row>
    <row r="3050" spans="1:23" ht="15.6" x14ac:dyDescent="0.4">
      <c r="A3050" s="2" t="s">
        <v>5735</v>
      </c>
      <c r="B3050" s="5" t="s">
        <v>9407</v>
      </c>
      <c r="C3050" s="7" t="s">
        <v>12556</v>
      </c>
      <c r="D3050" s="8">
        <f t="shared" si="192"/>
        <v>0</v>
      </c>
      <c r="E3050" s="7" t="s">
        <v>12557</v>
      </c>
      <c r="F3050" s="7">
        <f t="shared" si="193"/>
        <v>1</v>
      </c>
      <c r="G3050" s="7" t="s">
        <v>12558</v>
      </c>
      <c r="H3050" s="7">
        <f t="shared" si="194"/>
        <v>0</v>
      </c>
      <c r="I3050" s="7" t="str" cm="1">
        <f t="array" ref="I3050">IFERROR(_xlfn.IFS(M3050="נח",1,M3050="נע ונח",1,M3050="שני שווא נח",2,M3050="שני שוואים בסוף מילה",2,M3050="שני שוואים ברצף",1),"0")</f>
        <v>0</v>
      </c>
      <c r="J3050" s="9">
        <f t="shared" si="195"/>
        <v>3</v>
      </c>
      <c r="K3050" t="s">
        <v>6697</v>
      </c>
      <c r="L3050" t="s">
        <v>6694</v>
      </c>
      <c r="M3050" t="s">
        <v>6700</v>
      </c>
      <c r="P3050" t="s">
        <v>6694</v>
      </c>
      <c r="W3050" t="s">
        <v>6720</v>
      </c>
    </row>
    <row r="3051" spans="1:23" ht="15.6" x14ac:dyDescent="0.4">
      <c r="A3051" s="2" t="s">
        <v>3146</v>
      </c>
      <c r="B3051" s="5" t="s">
        <v>9408</v>
      </c>
      <c r="C3051" s="7" t="s">
        <v>12556</v>
      </c>
      <c r="D3051" s="8">
        <f t="shared" si="192"/>
        <v>0</v>
      </c>
      <c r="E3051" s="7" t="s">
        <v>12557</v>
      </c>
      <c r="F3051" s="7">
        <f t="shared" si="193"/>
        <v>1</v>
      </c>
      <c r="G3051" s="7" t="s">
        <v>12558</v>
      </c>
      <c r="H3051" s="7">
        <f t="shared" si="194"/>
        <v>1</v>
      </c>
      <c r="I3051" s="7" cm="1">
        <f t="array" ref="I3051">IFERROR(_xlfn.IFS(M3051="נח",1,M3051="נע ונח",1,M3051="שני שווא נח",2,M3051="שני שוואים בסוף מילה",2,M3051="שני שוואים ברצף",1),"0")</f>
        <v>1</v>
      </c>
      <c r="J3051" s="9">
        <f t="shared" si="195"/>
        <v>4</v>
      </c>
      <c r="K3051" t="s">
        <v>6697</v>
      </c>
      <c r="L3051" t="s">
        <v>6694</v>
      </c>
      <c r="M3051" t="s">
        <v>6701</v>
      </c>
      <c r="N3051" t="s">
        <v>6706</v>
      </c>
      <c r="O3051" t="s">
        <v>6694</v>
      </c>
      <c r="Q3051" t="s">
        <v>6694</v>
      </c>
      <c r="U3051" t="s">
        <v>6694</v>
      </c>
      <c r="W3051" t="s">
        <v>6720</v>
      </c>
    </row>
    <row r="3052" spans="1:23" ht="15.6" x14ac:dyDescent="0.4">
      <c r="A3052" s="2" t="s">
        <v>6313</v>
      </c>
      <c r="B3052" s="5" t="s">
        <v>9409</v>
      </c>
      <c r="C3052" s="7" t="s">
        <v>12556</v>
      </c>
      <c r="D3052" s="8">
        <f t="shared" si="192"/>
        <v>0</v>
      </c>
      <c r="E3052" s="7" t="s">
        <v>12557</v>
      </c>
      <c r="F3052" s="7">
        <f t="shared" si="193"/>
        <v>1</v>
      </c>
      <c r="G3052" s="7" t="s">
        <v>12558</v>
      </c>
      <c r="H3052" s="7">
        <f t="shared" si="194"/>
        <v>1</v>
      </c>
      <c r="I3052" s="7" cm="1">
        <f t="array" ref="I3052">IFERROR(_xlfn.IFS(M3052="נח",1,M3052="נע ונח",1,M3052="שני שווא נח",2,M3052="שני שוואים בסוף מילה",2,M3052="שני שוואים ברצף",1),"0")</f>
        <v>1</v>
      </c>
      <c r="J3052" s="9">
        <f t="shared" si="195"/>
        <v>5</v>
      </c>
      <c r="K3052" t="s">
        <v>6697</v>
      </c>
      <c r="L3052" t="s">
        <v>6694</v>
      </c>
      <c r="M3052" t="s">
        <v>6701</v>
      </c>
      <c r="O3052" t="s">
        <v>6694</v>
      </c>
      <c r="P3052" t="s">
        <v>6694</v>
      </c>
      <c r="R3052" t="s">
        <v>6694</v>
      </c>
      <c r="U3052" t="s">
        <v>6694</v>
      </c>
      <c r="W3052" t="s">
        <v>6720</v>
      </c>
    </row>
    <row r="3053" spans="1:23" ht="15.6" x14ac:dyDescent="0.4">
      <c r="A3053" s="2" t="s">
        <v>3866</v>
      </c>
      <c r="B3053" s="5" t="s">
        <v>9410</v>
      </c>
      <c r="C3053" s="7" t="s">
        <v>12556</v>
      </c>
      <c r="D3053" s="8">
        <f t="shared" si="192"/>
        <v>0</v>
      </c>
      <c r="E3053" s="7" t="s">
        <v>12557</v>
      </c>
      <c r="F3053" s="7">
        <f t="shared" si="193"/>
        <v>0</v>
      </c>
      <c r="G3053" s="7" t="s">
        <v>12558</v>
      </c>
      <c r="H3053" s="7">
        <f t="shared" si="194"/>
        <v>0</v>
      </c>
      <c r="I3053" s="7" cm="1">
        <f t="array" ref="I3053">IFERROR(_xlfn.IFS(M3053="נח",1,M3053="נע ונח",1,M3053="שני שווא נח",2,M3053="שני שוואים בסוף מילה",2,M3053="שני שוואים ברצף",1),"0")</f>
        <v>1</v>
      </c>
      <c r="J3053" s="9">
        <f t="shared" si="195"/>
        <v>3</v>
      </c>
      <c r="K3053" t="s">
        <v>6698</v>
      </c>
      <c r="L3053" t="s">
        <v>6694</v>
      </c>
      <c r="M3053" t="s">
        <v>6701</v>
      </c>
      <c r="O3053" t="s">
        <v>6694</v>
      </c>
      <c r="Q3053" t="s">
        <v>6694</v>
      </c>
      <c r="W3053" t="s">
        <v>6720</v>
      </c>
    </row>
    <row r="3054" spans="1:23" ht="15.6" x14ac:dyDescent="0.4">
      <c r="A3054" s="2" t="s">
        <v>4302</v>
      </c>
      <c r="B3054" s="5" t="s">
        <v>9411</v>
      </c>
      <c r="C3054" s="7" t="s">
        <v>12556</v>
      </c>
      <c r="D3054" s="8">
        <f t="shared" si="192"/>
        <v>0</v>
      </c>
      <c r="E3054" s="7" t="s">
        <v>12557</v>
      </c>
      <c r="F3054" s="7">
        <f t="shared" si="193"/>
        <v>1</v>
      </c>
      <c r="G3054" s="7" t="s">
        <v>12558</v>
      </c>
      <c r="H3054" s="7">
        <f t="shared" si="194"/>
        <v>1</v>
      </c>
      <c r="I3054" s="7" t="str" cm="1">
        <f t="array" ref="I3054">IFERROR(_xlfn.IFS(M3054="נח",1,M3054="נע ונח",1,M3054="שני שווא נח",2,M3054="שני שוואים בסוף מילה",2,M3054="שני שוואים ברצף",1),"0")</f>
        <v>0</v>
      </c>
      <c r="J3054" s="9">
        <f t="shared" si="195"/>
        <v>4</v>
      </c>
      <c r="K3054" t="s">
        <v>6697</v>
      </c>
      <c r="L3054" t="s">
        <v>6694</v>
      </c>
      <c r="M3054" t="s">
        <v>6700</v>
      </c>
      <c r="O3054" t="s">
        <v>6694</v>
      </c>
      <c r="Q3054" t="s">
        <v>6694</v>
      </c>
      <c r="U3054" t="s">
        <v>6694</v>
      </c>
      <c r="W3054" t="s">
        <v>6720</v>
      </c>
    </row>
    <row r="3055" spans="1:23" ht="15.6" x14ac:dyDescent="0.4">
      <c r="A3055" s="2" t="s">
        <v>3001</v>
      </c>
      <c r="B3055" s="5" t="s">
        <v>9412</v>
      </c>
      <c r="C3055" s="7" t="s">
        <v>12556</v>
      </c>
      <c r="D3055" s="8">
        <f t="shared" si="192"/>
        <v>0</v>
      </c>
      <c r="E3055" s="7" t="s">
        <v>12557</v>
      </c>
      <c r="F3055" s="7">
        <f t="shared" si="193"/>
        <v>1</v>
      </c>
      <c r="G3055" s="7" t="s">
        <v>12558</v>
      </c>
      <c r="H3055" s="7">
        <f t="shared" si="194"/>
        <v>1</v>
      </c>
      <c r="I3055" s="7" t="str" cm="1">
        <f t="array" ref="I3055">IFERROR(_xlfn.IFS(M3055="נח",1,M3055="נע ונח",1,M3055="שני שווא נח",2,M3055="שני שוואים בסוף מילה",2,M3055="שני שוואים ברצף",1),"0")</f>
        <v>0</v>
      </c>
      <c r="J3055" s="9">
        <f t="shared" si="195"/>
        <v>3</v>
      </c>
      <c r="K3055" t="s">
        <v>6698</v>
      </c>
      <c r="L3055" t="s">
        <v>6694</v>
      </c>
      <c r="M3055" t="s">
        <v>6700</v>
      </c>
      <c r="U3055" t="s">
        <v>6694</v>
      </c>
      <c r="V3055" t="s">
        <v>6694</v>
      </c>
      <c r="W3055" t="s">
        <v>6720</v>
      </c>
    </row>
    <row r="3056" spans="1:23" ht="15.6" x14ac:dyDescent="0.4">
      <c r="A3056" s="2" t="s">
        <v>6087</v>
      </c>
      <c r="B3056" s="5" t="s">
        <v>9410</v>
      </c>
      <c r="C3056" s="7" t="s">
        <v>12556</v>
      </c>
      <c r="D3056" s="8">
        <f t="shared" si="192"/>
        <v>0</v>
      </c>
      <c r="E3056" s="7" t="s">
        <v>12557</v>
      </c>
      <c r="F3056" s="7">
        <f t="shared" si="193"/>
        <v>0</v>
      </c>
      <c r="G3056" s="7" t="s">
        <v>12558</v>
      </c>
      <c r="H3056" s="7">
        <f t="shared" si="194"/>
        <v>0</v>
      </c>
      <c r="I3056" s="7" cm="1">
        <f t="array" ref="I3056">IFERROR(_xlfn.IFS(M3056="נח",1,M3056="נע ונח",1,M3056="שני שווא נח",2,M3056="שני שוואים בסוף מילה",2,M3056="שני שוואים ברצף",1),"0")</f>
        <v>1</v>
      </c>
      <c r="J3056" s="9">
        <f t="shared" si="195"/>
        <v>3</v>
      </c>
      <c r="K3056" t="s">
        <v>6698</v>
      </c>
      <c r="L3056" t="s">
        <v>6694</v>
      </c>
      <c r="M3056" t="s">
        <v>6701</v>
      </c>
      <c r="N3056" t="s">
        <v>6706</v>
      </c>
      <c r="O3056" t="s">
        <v>6694</v>
      </c>
      <c r="V3056" t="s">
        <v>6694</v>
      </c>
      <c r="W3056" t="s">
        <v>6720</v>
      </c>
    </row>
    <row r="3057" spans="1:23" ht="15.6" x14ac:dyDescent="0.4">
      <c r="A3057" s="2" t="s">
        <v>3145</v>
      </c>
      <c r="B3057" s="5" t="s">
        <v>9413</v>
      </c>
      <c r="C3057" s="7" t="s">
        <v>12556</v>
      </c>
      <c r="D3057" s="8">
        <f t="shared" si="192"/>
        <v>0</v>
      </c>
      <c r="E3057" s="7" t="s">
        <v>12557</v>
      </c>
      <c r="F3057" s="7">
        <f t="shared" si="193"/>
        <v>2</v>
      </c>
      <c r="G3057" s="7" t="s">
        <v>12558</v>
      </c>
      <c r="H3057" s="7">
        <f t="shared" si="194"/>
        <v>1</v>
      </c>
      <c r="I3057" s="7" t="str" cm="1">
        <f t="array" ref="I3057">IFERROR(_xlfn.IFS(M3057="נח",1,M3057="נע ונח",1,M3057="שני שווא נח",2,M3057="שני שוואים בסוף מילה",2,M3057="שני שוואים ברצף",1),"0")</f>
        <v>0</v>
      </c>
      <c r="J3057" s="9">
        <f t="shared" si="195"/>
        <v>3</v>
      </c>
      <c r="K3057" t="s">
        <v>6697</v>
      </c>
      <c r="L3057" t="s">
        <v>6694</v>
      </c>
      <c r="M3057" t="s">
        <v>6700</v>
      </c>
      <c r="N3057" t="s">
        <v>6706</v>
      </c>
      <c r="O3057" t="s">
        <v>6694</v>
      </c>
      <c r="U3057" t="s">
        <v>6694</v>
      </c>
      <c r="W3057" t="s">
        <v>6720</v>
      </c>
    </row>
    <row r="3058" spans="1:23" ht="15.6" x14ac:dyDescent="0.4">
      <c r="A3058" s="2" t="s">
        <v>5819</v>
      </c>
      <c r="B3058" s="5" t="s">
        <v>9414</v>
      </c>
      <c r="C3058" s="7" t="s">
        <v>12556</v>
      </c>
      <c r="D3058" s="8">
        <f t="shared" si="192"/>
        <v>0</v>
      </c>
      <c r="E3058" s="7" t="s">
        <v>12557</v>
      </c>
      <c r="F3058" s="7">
        <f t="shared" si="193"/>
        <v>1</v>
      </c>
      <c r="G3058" s="7" t="s">
        <v>12558</v>
      </c>
      <c r="H3058" s="7">
        <f t="shared" si="194"/>
        <v>1</v>
      </c>
      <c r="I3058" s="7" t="str" cm="1">
        <f t="array" ref="I3058">IFERROR(_xlfn.IFS(M3058="נח",1,M3058="נע ונח",1,M3058="שני שווא נח",2,M3058="שני שוואים בסוף מילה",2,M3058="שני שוואים ברצף",1),"0")</f>
        <v>0</v>
      </c>
      <c r="J3058" s="9">
        <f t="shared" si="195"/>
        <v>3</v>
      </c>
      <c r="K3058" t="s">
        <v>6698</v>
      </c>
      <c r="L3058" t="s">
        <v>6694</v>
      </c>
      <c r="M3058" t="s">
        <v>6700</v>
      </c>
      <c r="S3058" t="s">
        <v>6694</v>
      </c>
      <c r="U3058" t="s">
        <v>6694</v>
      </c>
      <c r="W3058" t="s">
        <v>6720</v>
      </c>
    </row>
    <row r="3059" spans="1:23" ht="15.6" x14ac:dyDescent="0.4">
      <c r="A3059" s="2" t="s">
        <v>6539</v>
      </c>
      <c r="B3059" s="5" t="s">
        <v>9415</v>
      </c>
      <c r="C3059" s="7" t="s">
        <v>12556</v>
      </c>
      <c r="D3059" s="8">
        <f t="shared" si="192"/>
        <v>0</v>
      </c>
      <c r="E3059" s="7" t="s">
        <v>12557</v>
      </c>
      <c r="F3059" s="7">
        <f t="shared" si="193"/>
        <v>0</v>
      </c>
      <c r="G3059" s="7" t="s">
        <v>12558</v>
      </c>
      <c r="H3059" s="7">
        <f t="shared" si="194"/>
        <v>0</v>
      </c>
      <c r="I3059" s="7" t="str" cm="1">
        <f t="array" ref="I3059">IFERROR(_xlfn.IFS(M3059="נח",1,M3059="נע ונח",1,M3059="שני שווא נח",2,M3059="שני שוואים בסוף מילה",2,M3059="שני שוואים ברצף",1),"0")</f>
        <v>0</v>
      </c>
      <c r="J3059" s="9">
        <f t="shared" si="195"/>
        <v>3</v>
      </c>
      <c r="K3059" t="s">
        <v>6697</v>
      </c>
      <c r="L3059" t="s">
        <v>6694</v>
      </c>
      <c r="M3059" t="s">
        <v>6700</v>
      </c>
      <c r="S3059" t="s">
        <v>6694</v>
      </c>
      <c r="V3059" t="s">
        <v>6694</v>
      </c>
      <c r="W3059" t="s">
        <v>6720</v>
      </c>
    </row>
    <row r="3060" spans="1:23" ht="15.6" x14ac:dyDescent="0.4">
      <c r="A3060" s="2" t="s">
        <v>3161</v>
      </c>
      <c r="B3060" s="5" t="s">
        <v>9416</v>
      </c>
      <c r="C3060" s="7" t="s">
        <v>12556</v>
      </c>
      <c r="D3060" s="8">
        <f t="shared" si="192"/>
        <v>0</v>
      </c>
      <c r="E3060" s="7" t="s">
        <v>12557</v>
      </c>
      <c r="F3060" s="7">
        <f t="shared" si="193"/>
        <v>0</v>
      </c>
      <c r="G3060" s="7" t="s">
        <v>12558</v>
      </c>
      <c r="H3060" s="7">
        <f t="shared" si="194"/>
        <v>0</v>
      </c>
      <c r="I3060" s="7" cm="1">
        <f t="array" ref="I3060">IFERROR(_xlfn.IFS(M3060="נח",1,M3060="נע ונח",1,M3060="שני שווא נח",2,M3060="שני שוואים בסוף מילה",2,M3060="שני שוואים ברצף",1),"0")</f>
        <v>1</v>
      </c>
      <c r="J3060" s="9">
        <f t="shared" si="195"/>
        <v>3</v>
      </c>
      <c r="K3060" t="s">
        <v>6697</v>
      </c>
      <c r="L3060" t="s">
        <v>6694</v>
      </c>
      <c r="M3060" t="s">
        <v>6701</v>
      </c>
      <c r="O3060" t="s">
        <v>6694</v>
      </c>
      <c r="T3060" t="s">
        <v>6694</v>
      </c>
      <c r="W3060" t="s">
        <v>6720</v>
      </c>
    </row>
    <row r="3061" spans="1:23" ht="15.6" x14ac:dyDescent="0.4">
      <c r="A3061" s="2" t="s">
        <v>4249</v>
      </c>
      <c r="B3061" s="5" t="s">
        <v>9417</v>
      </c>
      <c r="C3061" s="7" t="s">
        <v>12556</v>
      </c>
      <c r="D3061" s="8">
        <f t="shared" si="192"/>
        <v>0</v>
      </c>
      <c r="E3061" s="7" t="s">
        <v>12557</v>
      </c>
      <c r="F3061" s="7">
        <f t="shared" si="193"/>
        <v>0</v>
      </c>
      <c r="G3061" s="7" t="s">
        <v>12558</v>
      </c>
      <c r="H3061" s="7">
        <f t="shared" si="194"/>
        <v>0</v>
      </c>
      <c r="I3061" s="7" t="str" cm="1">
        <f t="array" ref="I3061">IFERROR(_xlfn.IFS(M3061="נח",1,M3061="נע ונח",1,M3061="שני שווא נח",2,M3061="שני שוואים בסוף מילה",2,M3061="שני שוואים ברצף",1),"0")</f>
        <v>0</v>
      </c>
      <c r="J3061" s="9">
        <f t="shared" si="195"/>
        <v>4</v>
      </c>
      <c r="K3061" t="s">
        <v>6697</v>
      </c>
      <c r="L3061" t="s">
        <v>6694</v>
      </c>
      <c r="M3061" t="s">
        <v>6700</v>
      </c>
      <c r="O3061" t="s">
        <v>6694</v>
      </c>
      <c r="R3061" t="s">
        <v>6694</v>
      </c>
      <c r="S3061" t="s">
        <v>6694</v>
      </c>
      <c r="W3061" t="s">
        <v>6720</v>
      </c>
    </row>
    <row r="3062" spans="1:23" ht="15.6" x14ac:dyDescent="0.4">
      <c r="A3062" s="2" t="s">
        <v>6388</v>
      </c>
      <c r="B3062" s="5" t="s">
        <v>9418</v>
      </c>
      <c r="C3062" s="7" t="s">
        <v>12556</v>
      </c>
      <c r="D3062" s="8">
        <f t="shared" si="192"/>
        <v>0</v>
      </c>
      <c r="E3062" s="7" t="s">
        <v>12557</v>
      </c>
      <c r="F3062" s="7">
        <f t="shared" si="193"/>
        <v>0</v>
      </c>
      <c r="G3062" s="7" t="s">
        <v>12558</v>
      </c>
      <c r="H3062" s="7">
        <f t="shared" si="194"/>
        <v>0</v>
      </c>
      <c r="I3062" s="7" t="str" cm="1">
        <f t="array" ref="I3062">IFERROR(_xlfn.IFS(M3062="נח",1,M3062="נע ונח",1,M3062="שני שווא נח",2,M3062="שני שוואים בסוף מילה",2,M3062="שני שוואים ברצף",1),"0")</f>
        <v>0</v>
      </c>
      <c r="J3062" s="9">
        <f t="shared" si="195"/>
        <v>3</v>
      </c>
      <c r="K3062" t="s">
        <v>6698</v>
      </c>
      <c r="L3062" t="s">
        <v>6694</v>
      </c>
      <c r="M3062" t="s">
        <v>6700</v>
      </c>
      <c r="S3062" t="s">
        <v>6694</v>
      </c>
      <c r="V3062" t="s">
        <v>6694</v>
      </c>
      <c r="W3062" t="s">
        <v>6720</v>
      </c>
    </row>
    <row r="3063" spans="1:23" ht="15.6" x14ac:dyDescent="0.4">
      <c r="A3063" s="2" t="s">
        <v>1286</v>
      </c>
      <c r="B3063" s="5" t="s">
        <v>9419</v>
      </c>
      <c r="C3063" s="7" t="s">
        <v>12556</v>
      </c>
      <c r="D3063" s="8">
        <f t="shared" si="192"/>
        <v>0</v>
      </c>
      <c r="E3063" s="7" t="s">
        <v>12557</v>
      </c>
      <c r="F3063" s="7">
        <f t="shared" si="193"/>
        <v>0</v>
      </c>
      <c r="G3063" s="7" t="s">
        <v>12558</v>
      </c>
      <c r="H3063" s="7">
        <f t="shared" si="194"/>
        <v>0</v>
      </c>
      <c r="I3063" s="7" t="str" cm="1">
        <f t="array" ref="I3063">IFERROR(_xlfn.IFS(M3063="נח",1,M3063="נע ונח",1,M3063="שני שווא נח",2,M3063="שני שוואים בסוף מילה",2,M3063="שני שוואים ברצף",1),"0")</f>
        <v>0</v>
      </c>
      <c r="J3063" s="9">
        <f t="shared" si="195"/>
        <v>2</v>
      </c>
      <c r="K3063" t="s">
        <v>6698</v>
      </c>
      <c r="L3063" t="s">
        <v>6694</v>
      </c>
      <c r="M3063" t="s">
        <v>6700</v>
      </c>
      <c r="Q3063" t="s">
        <v>6694</v>
      </c>
      <c r="W3063" t="s">
        <v>6720</v>
      </c>
    </row>
    <row r="3064" spans="1:23" ht="15.6" x14ac:dyDescent="0.4">
      <c r="A3064" s="2" t="s">
        <v>2676</v>
      </c>
      <c r="B3064" s="5" t="s">
        <v>9420</v>
      </c>
      <c r="C3064" s="7" t="s">
        <v>12556</v>
      </c>
      <c r="D3064" s="8">
        <f t="shared" si="192"/>
        <v>0</v>
      </c>
      <c r="E3064" s="7" t="s">
        <v>12557</v>
      </c>
      <c r="F3064" s="7">
        <f t="shared" si="193"/>
        <v>0</v>
      </c>
      <c r="G3064" s="7" t="s">
        <v>12558</v>
      </c>
      <c r="H3064" s="7">
        <f t="shared" si="194"/>
        <v>0</v>
      </c>
      <c r="I3064" s="7" t="str" cm="1">
        <f t="array" ref="I3064">IFERROR(_xlfn.IFS(M3064="נח",1,M3064="נע ונח",1,M3064="שני שווא נח",2,M3064="שני שוואים בסוף מילה",2,M3064="שני שוואים ברצף",1),"0")</f>
        <v>0</v>
      </c>
      <c r="J3064" s="9">
        <f t="shared" si="195"/>
        <v>3</v>
      </c>
      <c r="K3064" t="s">
        <v>6698</v>
      </c>
      <c r="L3064" t="s">
        <v>6694</v>
      </c>
      <c r="M3064" t="s">
        <v>6700</v>
      </c>
      <c r="Q3064" t="s">
        <v>6694</v>
      </c>
      <c r="R3064" t="s">
        <v>6694</v>
      </c>
      <c r="W3064" t="s">
        <v>6720</v>
      </c>
    </row>
    <row r="3065" spans="1:23" ht="15.6" x14ac:dyDescent="0.4">
      <c r="A3065" s="2" t="s">
        <v>4133</v>
      </c>
      <c r="B3065" s="5" t="s">
        <v>9421</v>
      </c>
      <c r="C3065" s="7" t="s">
        <v>12556</v>
      </c>
      <c r="D3065" s="8">
        <f t="shared" si="192"/>
        <v>0</v>
      </c>
      <c r="E3065" s="7" t="s">
        <v>12557</v>
      </c>
      <c r="F3065" s="7">
        <f t="shared" si="193"/>
        <v>0</v>
      </c>
      <c r="G3065" s="7" t="s">
        <v>12558</v>
      </c>
      <c r="H3065" s="7">
        <f t="shared" si="194"/>
        <v>0</v>
      </c>
      <c r="I3065" s="7" t="str" cm="1">
        <f t="array" ref="I3065">IFERROR(_xlfn.IFS(M3065="נח",1,M3065="נע ונח",1,M3065="שני שווא נח",2,M3065="שני שוואים בסוף מילה",2,M3065="שני שוואים ברצף",1),"0")</f>
        <v>0</v>
      </c>
      <c r="J3065" s="9">
        <f t="shared" si="195"/>
        <v>3</v>
      </c>
      <c r="K3065" t="s">
        <v>6698</v>
      </c>
      <c r="L3065" t="s">
        <v>6694</v>
      </c>
      <c r="M3065" t="s">
        <v>6700</v>
      </c>
      <c r="Q3065" t="s">
        <v>6694</v>
      </c>
      <c r="R3065" t="s">
        <v>6694</v>
      </c>
      <c r="W3065" t="s">
        <v>6720</v>
      </c>
    </row>
    <row r="3066" spans="1:23" ht="15.6" x14ac:dyDescent="0.4">
      <c r="A3066" s="2" t="s">
        <v>67</v>
      </c>
      <c r="B3066" s="5" t="s">
        <v>9422</v>
      </c>
      <c r="C3066" s="7" t="s">
        <v>12556</v>
      </c>
      <c r="D3066" s="8">
        <f t="shared" si="192"/>
        <v>0</v>
      </c>
      <c r="E3066" s="7" t="s">
        <v>12557</v>
      </c>
      <c r="F3066" s="7">
        <f t="shared" si="193"/>
        <v>2</v>
      </c>
      <c r="G3066" s="7" t="s">
        <v>12558</v>
      </c>
      <c r="H3066" s="7">
        <f t="shared" si="194"/>
        <v>1</v>
      </c>
      <c r="I3066" s="7" cm="1">
        <f t="array" ref="I3066">IFERROR(_xlfn.IFS(M3066="נח",1,M3066="נע ונח",1,M3066="שני שווא נח",2,M3066="שני שוואים בסוף מילה",2,M3066="שני שוואים ברצף",1),"0")</f>
        <v>1</v>
      </c>
      <c r="J3066" s="9">
        <f t="shared" si="195"/>
        <v>3</v>
      </c>
      <c r="K3066" t="s">
        <v>6697</v>
      </c>
      <c r="L3066" t="s">
        <v>6694</v>
      </c>
      <c r="M3066" t="s">
        <v>6701</v>
      </c>
      <c r="P3066" t="s">
        <v>6694</v>
      </c>
      <c r="U3066" t="s">
        <v>6694</v>
      </c>
      <c r="W3066" t="s">
        <v>6720</v>
      </c>
    </row>
    <row r="3067" spans="1:23" ht="15.6" x14ac:dyDescent="0.4">
      <c r="A3067" s="2" t="s">
        <v>2164</v>
      </c>
      <c r="B3067" s="5" t="s">
        <v>9423</v>
      </c>
      <c r="C3067" s="7" t="s">
        <v>12556</v>
      </c>
      <c r="D3067" s="8">
        <f t="shared" si="192"/>
        <v>0</v>
      </c>
      <c r="E3067" s="7" t="s">
        <v>12557</v>
      </c>
      <c r="F3067" s="7">
        <f t="shared" si="193"/>
        <v>1</v>
      </c>
      <c r="G3067" s="7" t="s">
        <v>12558</v>
      </c>
      <c r="H3067" s="7">
        <f t="shared" si="194"/>
        <v>0</v>
      </c>
      <c r="I3067" s="7" t="str" cm="1">
        <f t="array" ref="I3067">IFERROR(_xlfn.IFS(M3067="נח",1,M3067="נע ונח",1,M3067="שני שווא נח",2,M3067="שני שוואים בסוף מילה",2,M3067="שני שוואים ברצף",1),"0")</f>
        <v>0</v>
      </c>
      <c r="J3067" s="9">
        <f t="shared" si="195"/>
        <v>3</v>
      </c>
      <c r="K3067" t="s">
        <v>6698</v>
      </c>
      <c r="L3067" t="s">
        <v>6694</v>
      </c>
      <c r="M3067" t="s">
        <v>6700</v>
      </c>
      <c r="P3067" t="s">
        <v>6694</v>
      </c>
      <c r="Q3067" t="s">
        <v>6694</v>
      </c>
      <c r="W3067" t="s">
        <v>6720</v>
      </c>
    </row>
    <row r="3068" spans="1:23" ht="15.6" x14ac:dyDescent="0.4">
      <c r="A3068" s="2" t="s">
        <v>1288</v>
      </c>
      <c r="B3068" s="5" t="s">
        <v>9422</v>
      </c>
      <c r="C3068" s="7" t="s">
        <v>12556</v>
      </c>
      <c r="D3068" s="8">
        <f t="shared" si="192"/>
        <v>0</v>
      </c>
      <c r="E3068" s="7" t="s">
        <v>12557</v>
      </c>
      <c r="F3068" s="7">
        <f t="shared" si="193"/>
        <v>2</v>
      </c>
      <c r="G3068" s="7" t="s">
        <v>12558</v>
      </c>
      <c r="H3068" s="7">
        <f t="shared" si="194"/>
        <v>1</v>
      </c>
      <c r="I3068" s="7" t="str" cm="1">
        <f t="array" ref="I3068">IFERROR(_xlfn.IFS(M3068="נח",1,M3068="נע ונח",1,M3068="שני שווא נח",2,M3068="שני שוואים בסוף מילה",2,M3068="שני שוואים ברצף",1),"0")</f>
        <v>0</v>
      </c>
      <c r="J3068" s="9">
        <f t="shared" si="195"/>
        <v>4</v>
      </c>
      <c r="K3068" t="s">
        <v>6697</v>
      </c>
      <c r="L3068" t="s">
        <v>6694</v>
      </c>
      <c r="M3068" t="s">
        <v>6700</v>
      </c>
      <c r="P3068" t="s">
        <v>6694</v>
      </c>
      <c r="Q3068" t="s">
        <v>6694</v>
      </c>
      <c r="U3068" t="s">
        <v>6694</v>
      </c>
      <c r="W3068" t="s">
        <v>6720</v>
      </c>
    </row>
    <row r="3069" spans="1:23" ht="15.6" x14ac:dyDescent="0.4">
      <c r="A3069" s="2" t="s">
        <v>72</v>
      </c>
      <c r="B3069" s="5" t="s">
        <v>9424</v>
      </c>
      <c r="C3069" s="7" t="s">
        <v>12556</v>
      </c>
      <c r="D3069" s="8">
        <f t="shared" si="192"/>
        <v>0</v>
      </c>
      <c r="E3069" s="7" t="s">
        <v>12557</v>
      </c>
      <c r="F3069" s="7">
        <f t="shared" si="193"/>
        <v>2</v>
      </c>
      <c r="G3069" s="7" t="s">
        <v>12558</v>
      </c>
      <c r="H3069" s="7">
        <f t="shared" si="194"/>
        <v>1</v>
      </c>
      <c r="I3069" s="7" cm="1">
        <f t="array" ref="I3069">IFERROR(_xlfn.IFS(M3069="נח",1,M3069="נע ונח",1,M3069="שני שווא נח",2,M3069="שני שוואים בסוף מילה",2,M3069="שני שוואים ברצף",1),"0")</f>
        <v>1</v>
      </c>
      <c r="J3069" s="9">
        <f t="shared" si="195"/>
        <v>3</v>
      </c>
      <c r="K3069" t="s">
        <v>6697</v>
      </c>
      <c r="L3069" t="s">
        <v>6694</v>
      </c>
      <c r="M3069" t="s">
        <v>6701</v>
      </c>
      <c r="P3069" t="s">
        <v>6694</v>
      </c>
      <c r="U3069" t="s">
        <v>6694</v>
      </c>
      <c r="W3069" t="s">
        <v>6720</v>
      </c>
    </row>
    <row r="3070" spans="1:23" ht="15.6" x14ac:dyDescent="0.4">
      <c r="A3070" s="2" t="s">
        <v>3297</v>
      </c>
      <c r="B3070" s="5" t="s">
        <v>9425</v>
      </c>
      <c r="C3070" s="7" t="s">
        <v>12556</v>
      </c>
      <c r="D3070" s="8">
        <f t="shared" si="192"/>
        <v>1</v>
      </c>
      <c r="E3070" s="7" t="s">
        <v>12557</v>
      </c>
      <c r="F3070" s="7">
        <f t="shared" si="193"/>
        <v>1</v>
      </c>
      <c r="G3070" s="7" t="s">
        <v>12558</v>
      </c>
      <c r="H3070" s="7">
        <f t="shared" si="194"/>
        <v>0</v>
      </c>
      <c r="I3070" s="7" cm="1">
        <f t="array" ref="I3070">IFERROR(_xlfn.IFS(M3070="נח",1,M3070="נע ונח",1,M3070="שני שווא נח",2,M3070="שני שוואים בסוף מילה",2,M3070="שני שוואים ברצף",1),"0")</f>
        <v>1</v>
      </c>
      <c r="J3070" s="9">
        <f t="shared" si="195"/>
        <v>3</v>
      </c>
      <c r="K3070" t="s">
        <v>6697</v>
      </c>
      <c r="L3070" t="s">
        <v>6694</v>
      </c>
      <c r="M3070" t="s">
        <v>6701</v>
      </c>
      <c r="P3070" t="s">
        <v>6694</v>
      </c>
      <c r="R3070" t="s">
        <v>6694</v>
      </c>
      <c r="W3070" t="s">
        <v>6720</v>
      </c>
    </row>
    <row r="3071" spans="1:23" ht="15.6" x14ac:dyDescent="0.4">
      <c r="A3071" s="2" t="s">
        <v>5467</v>
      </c>
      <c r="B3071" s="5" t="s">
        <v>9426</v>
      </c>
      <c r="C3071" s="7" t="s">
        <v>12556</v>
      </c>
      <c r="D3071" s="8">
        <f t="shared" si="192"/>
        <v>0</v>
      </c>
      <c r="E3071" s="7" t="s">
        <v>12557</v>
      </c>
      <c r="F3071" s="7">
        <f t="shared" si="193"/>
        <v>1</v>
      </c>
      <c r="G3071" s="7" t="s">
        <v>12558</v>
      </c>
      <c r="H3071" s="7">
        <f t="shared" si="194"/>
        <v>1</v>
      </c>
      <c r="I3071" s="7" t="str" cm="1">
        <f t="array" ref="I3071">IFERROR(_xlfn.IFS(M3071="נח",1,M3071="נע ונח",1,M3071="שני שווא נח",2,M3071="שני שוואים בסוף מילה",2,M3071="שני שוואים ברצף",1),"0")</f>
        <v>0</v>
      </c>
      <c r="J3071" s="9">
        <f t="shared" si="195"/>
        <v>4</v>
      </c>
      <c r="K3071" t="s">
        <v>6697</v>
      </c>
      <c r="L3071" t="s">
        <v>6694</v>
      </c>
      <c r="M3071" t="s">
        <v>6700</v>
      </c>
      <c r="O3071" t="s">
        <v>6694</v>
      </c>
      <c r="U3071" t="s">
        <v>6694</v>
      </c>
      <c r="W3071" t="s">
        <v>6720</v>
      </c>
    </row>
    <row r="3072" spans="1:23" ht="15.6" x14ac:dyDescent="0.4">
      <c r="A3072" s="2" t="s">
        <v>1406</v>
      </c>
      <c r="B3072" s="5" t="s">
        <v>9427</v>
      </c>
      <c r="C3072" s="7" t="s">
        <v>12556</v>
      </c>
      <c r="D3072" s="8">
        <f t="shared" si="192"/>
        <v>0</v>
      </c>
      <c r="E3072" s="7" t="s">
        <v>12557</v>
      </c>
      <c r="F3072" s="7">
        <f t="shared" si="193"/>
        <v>1</v>
      </c>
      <c r="G3072" s="7" t="s">
        <v>12558</v>
      </c>
      <c r="H3072" s="7">
        <f t="shared" si="194"/>
        <v>1</v>
      </c>
      <c r="I3072" s="7" t="str" cm="1">
        <f t="array" ref="I3072">IFERROR(_xlfn.IFS(M3072="נח",1,M3072="נע ונח",1,M3072="שני שווא נח",2,M3072="שני שוואים בסוף מילה",2,M3072="שני שוואים ברצף",1),"0")</f>
        <v>0</v>
      </c>
      <c r="J3072" s="9">
        <f t="shared" si="195"/>
        <v>3</v>
      </c>
      <c r="K3072" t="s">
        <v>6698</v>
      </c>
      <c r="L3072" t="s">
        <v>6694</v>
      </c>
      <c r="M3072" t="s">
        <v>6700</v>
      </c>
      <c r="O3072" t="s">
        <v>6694</v>
      </c>
      <c r="U3072" t="s">
        <v>6694</v>
      </c>
      <c r="W3072" t="s">
        <v>6720</v>
      </c>
    </row>
    <row r="3073" spans="1:23" ht="15.6" x14ac:dyDescent="0.4">
      <c r="A3073" s="2" t="s">
        <v>4290</v>
      </c>
      <c r="B3073" s="5" t="s">
        <v>9428</v>
      </c>
      <c r="C3073" s="7" t="s">
        <v>12556</v>
      </c>
      <c r="D3073" s="8">
        <f t="shared" si="192"/>
        <v>0</v>
      </c>
      <c r="E3073" s="7" t="s">
        <v>12557</v>
      </c>
      <c r="F3073" s="7">
        <f t="shared" si="193"/>
        <v>2</v>
      </c>
      <c r="G3073" s="7" t="s">
        <v>12558</v>
      </c>
      <c r="H3073" s="7">
        <f t="shared" si="194"/>
        <v>2</v>
      </c>
      <c r="I3073" s="7" t="str" cm="1">
        <f t="array" ref="I3073">IFERROR(_xlfn.IFS(M3073="נח",1,M3073="נע ונח",1,M3073="שני שווא נח",2,M3073="שני שוואים בסוף מילה",2,M3073="שני שוואים ברצף",1),"0")</f>
        <v>0</v>
      </c>
      <c r="J3073" s="9">
        <f t="shared" si="195"/>
        <v>3</v>
      </c>
      <c r="K3073" t="s">
        <v>6698</v>
      </c>
      <c r="L3073" t="s">
        <v>6694</v>
      </c>
      <c r="M3073" t="s">
        <v>6700</v>
      </c>
      <c r="U3073" t="s">
        <v>6694</v>
      </c>
      <c r="W3073" t="s">
        <v>6720</v>
      </c>
    </row>
    <row r="3074" spans="1:23" ht="15.6" x14ac:dyDescent="0.4">
      <c r="A3074" s="2" t="s">
        <v>965</v>
      </c>
      <c r="B3074" s="5" t="s">
        <v>9429</v>
      </c>
      <c r="C3074" s="7" t="s">
        <v>12556</v>
      </c>
      <c r="D3074" s="8">
        <f t="shared" si="192"/>
        <v>0</v>
      </c>
      <c r="E3074" s="7" t="s">
        <v>12557</v>
      </c>
      <c r="F3074" s="7">
        <f t="shared" si="193"/>
        <v>0</v>
      </c>
      <c r="G3074" s="7" t="s">
        <v>12558</v>
      </c>
      <c r="H3074" s="7">
        <f t="shared" si="194"/>
        <v>0</v>
      </c>
      <c r="I3074" s="7" t="str" cm="1">
        <f t="array" ref="I3074">IFERROR(_xlfn.IFS(M3074="נח",1,M3074="נע ונח",1,M3074="שני שווא נח",2,M3074="שני שוואים בסוף מילה",2,M3074="שני שוואים ברצף",1),"0")</f>
        <v>0</v>
      </c>
      <c r="J3074" s="9">
        <f t="shared" si="195"/>
        <v>2</v>
      </c>
      <c r="K3074" t="s">
        <v>6697</v>
      </c>
      <c r="L3074" t="s">
        <v>6694</v>
      </c>
      <c r="M3074" t="s">
        <v>6700</v>
      </c>
      <c r="S3074" t="s">
        <v>6694</v>
      </c>
      <c r="W3074" t="s">
        <v>6720</v>
      </c>
    </row>
    <row r="3075" spans="1:23" ht="15.6" x14ac:dyDescent="0.4">
      <c r="A3075" s="2" t="s">
        <v>1414</v>
      </c>
      <c r="B3075" s="5" t="s">
        <v>9430</v>
      </c>
      <c r="C3075" s="7" t="s">
        <v>12556</v>
      </c>
      <c r="D3075" s="8">
        <f t="shared" ref="D3075:D3138" si="196">(LEN(B3075)-LEN(SUBSTITUTE(B3075,C3075,"")))</f>
        <v>0</v>
      </c>
      <c r="E3075" s="7" t="s">
        <v>12557</v>
      </c>
      <c r="F3075" s="7">
        <f t="shared" ref="F3075:F3138" si="197">(LEN(A3075)-LEN(SUBSTITUTE(A3075,E3075,"")))</f>
        <v>1</v>
      </c>
      <c r="G3075" s="7" t="s">
        <v>12558</v>
      </c>
      <c r="H3075" s="7">
        <f t="shared" ref="H3075:H3138" si="198">(LEN(A3075)-LEN(SUBSTITUTE(A3075,G3075,"")))/2</f>
        <v>1</v>
      </c>
      <c r="I3075" s="7" t="str" cm="1">
        <f t="array" ref="I3075">IFERROR(_xlfn.IFS(M3075="נח",1,M3075="נע ונח",1,M3075="שני שווא נח",2,M3075="שני שוואים בסוף מילה",2,M3075="שני שוואים ברצף",1),"0")</f>
        <v>0</v>
      </c>
      <c r="J3075" s="9">
        <f t="shared" ref="J3075:J3138" si="199">LEN(A3075)-(LEN(B3075))-D3075-F3075+H3075-I3075</f>
        <v>4</v>
      </c>
      <c r="K3075" t="s">
        <v>6697</v>
      </c>
      <c r="L3075" t="s">
        <v>6694</v>
      </c>
      <c r="M3075" t="s">
        <v>6703</v>
      </c>
      <c r="P3075" t="s">
        <v>6694</v>
      </c>
      <c r="U3075" t="s">
        <v>6694</v>
      </c>
      <c r="W3075" t="s">
        <v>6720</v>
      </c>
    </row>
    <row r="3076" spans="1:23" ht="15.6" x14ac:dyDescent="0.4">
      <c r="A3076" s="2" t="s">
        <v>6142</v>
      </c>
      <c r="B3076" s="5" t="s">
        <v>9431</v>
      </c>
      <c r="C3076" s="7" t="s">
        <v>12556</v>
      </c>
      <c r="D3076" s="8">
        <f t="shared" si="196"/>
        <v>0</v>
      </c>
      <c r="E3076" s="7" t="s">
        <v>12557</v>
      </c>
      <c r="F3076" s="7">
        <f t="shared" si="197"/>
        <v>2</v>
      </c>
      <c r="G3076" s="7" t="s">
        <v>12558</v>
      </c>
      <c r="H3076" s="7">
        <f t="shared" si="198"/>
        <v>2</v>
      </c>
      <c r="I3076" s="7" t="str" cm="1">
        <f t="array" ref="I3076">IFERROR(_xlfn.IFS(M3076="נח",1,M3076="נע ונח",1,M3076="שני שווא נח",2,M3076="שני שוואים בסוף מילה",2,M3076="שני שוואים ברצף",1),"0")</f>
        <v>0</v>
      </c>
      <c r="J3076" s="9">
        <f t="shared" si="199"/>
        <v>5</v>
      </c>
      <c r="K3076" t="s">
        <v>6697</v>
      </c>
      <c r="L3076" t="s">
        <v>6694</v>
      </c>
      <c r="M3076" t="s">
        <v>6703</v>
      </c>
      <c r="P3076" t="s">
        <v>6694</v>
      </c>
      <c r="U3076" t="s">
        <v>6694</v>
      </c>
      <c r="W3076" t="s">
        <v>6720</v>
      </c>
    </row>
    <row r="3077" spans="1:23" ht="15.6" x14ac:dyDescent="0.4">
      <c r="A3077" s="2" t="s">
        <v>4897</v>
      </c>
      <c r="B3077" s="5" t="s">
        <v>9432</v>
      </c>
      <c r="C3077" s="7" t="s">
        <v>12556</v>
      </c>
      <c r="D3077" s="8">
        <f t="shared" si="196"/>
        <v>0</v>
      </c>
      <c r="E3077" s="7" t="s">
        <v>12557</v>
      </c>
      <c r="F3077" s="7">
        <f t="shared" si="197"/>
        <v>1</v>
      </c>
      <c r="G3077" s="7" t="s">
        <v>12558</v>
      </c>
      <c r="H3077" s="7">
        <f t="shared" si="198"/>
        <v>1</v>
      </c>
      <c r="I3077" s="7" t="str" cm="1">
        <f t="array" ref="I3077">IFERROR(_xlfn.IFS(M3077="נח",1,M3077="נע ונח",1,M3077="שני שווא נח",2,M3077="שני שוואים בסוף מילה",2,M3077="שני שוואים ברצף",1),"0")</f>
        <v>0</v>
      </c>
      <c r="J3077" s="9">
        <f t="shared" si="199"/>
        <v>5</v>
      </c>
      <c r="K3077" t="s">
        <v>6697</v>
      </c>
      <c r="L3077" t="s">
        <v>6694</v>
      </c>
      <c r="M3077" t="s">
        <v>6703</v>
      </c>
      <c r="O3077" t="s">
        <v>6694</v>
      </c>
      <c r="P3077" t="s">
        <v>6694</v>
      </c>
      <c r="U3077" t="s">
        <v>6694</v>
      </c>
      <c r="W3077" t="s">
        <v>6720</v>
      </c>
    </row>
    <row r="3078" spans="1:23" ht="15.6" x14ac:dyDescent="0.4">
      <c r="A3078" s="2" t="s">
        <v>4948</v>
      </c>
      <c r="B3078" s="5" t="s">
        <v>9433</v>
      </c>
      <c r="C3078" s="7" t="s">
        <v>12556</v>
      </c>
      <c r="D3078" s="8">
        <f t="shared" si="196"/>
        <v>0</v>
      </c>
      <c r="E3078" s="7" t="s">
        <v>12557</v>
      </c>
      <c r="F3078" s="7">
        <f t="shared" si="197"/>
        <v>1</v>
      </c>
      <c r="G3078" s="7" t="s">
        <v>12558</v>
      </c>
      <c r="H3078" s="7">
        <f t="shared" si="198"/>
        <v>0</v>
      </c>
      <c r="I3078" s="7" cm="1">
        <f t="array" ref="I3078">IFERROR(_xlfn.IFS(M3078="נח",1,M3078="נע ונח",1,M3078="שני שווא נח",2,M3078="שני שוואים בסוף מילה",2,M3078="שני שוואים ברצף",1),"0")</f>
        <v>1</v>
      </c>
      <c r="J3078" s="9">
        <f t="shared" si="199"/>
        <v>3</v>
      </c>
      <c r="K3078" t="s">
        <v>6698</v>
      </c>
      <c r="L3078" t="s">
        <v>6694</v>
      </c>
      <c r="M3078" t="s">
        <v>6701</v>
      </c>
      <c r="P3078" t="s">
        <v>6694</v>
      </c>
      <c r="Q3078" t="s">
        <v>6694</v>
      </c>
      <c r="W3078" t="s">
        <v>6720</v>
      </c>
    </row>
    <row r="3079" spans="1:23" ht="15.6" x14ac:dyDescent="0.4">
      <c r="A3079" s="2" t="s">
        <v>5186</v>
      </c>
      <c r="B3079" s="5" t="s">
        <v>9434</v>
      </c>
      <c r="C3079" s="7" t="s">
        <v>12556</v>
      </c>
      <c r="D3079" s="8">
        <f t="shared" si="196"/>
        <v>0</v>
      </c>
      <c r="E3079" s="7" t="s">
        <v>12557</v>
      </c>
      <c r="F3079" s="7">
        <f t="shared" si="197"/>
        <v>2</v>
      </c>
      <c r="G3079" s="7" t="s">
        <v>12558</v>
      </c>
      <c r="H3079" s="7">
        <f t="shared" si="198"/>
        <v>1</v>
      </c>
      <c r="I3079" s="7" t="str" cm="1">
        <f t="array" ref="I3079">IFERROR(_xlfn.IFS(M3079="נח",1,M3079="נע ונח",1,M3079="שני שווא נח",2,M3079="שני שוואים בסוף מילה",2,M3079="שני שוואים ברצף",1),"0")</f>
        <v>0</v>
      </c>
      <c r="J3079" s="9">
        <f t="shared" si="199"/>
        <v>4</v>
      </c>
      <c r="K3079" t="s">
        <v>6697</v>
      </c>
      <c r="L3079" t="s">
        <v>6694</v>
      </c>
      <c r="M3079" t="s">
        <v>6700</v>
      </c>
      <c r="P3079" t="s">
        <v>6694</v>
      </c>
      <c r="Q3079" t="s">
        <v>6694</v>
      </c>
      <c r="U3079" t="s">
        <v>6694</v>
      </c>
      <c r="W3079" t="s">
        <v>6720</v>
      </c>
    </row>
    <row r="3080" spans="1:23" ht="15.6" x14ac:dyDescent="0.4">
      <c r="A3080" s="2" t="s">
        <v>744</v>
      </c>
      <c r="B3080" s="5" t="s">
        <v>9435</v>
      </c>
      <c r="C3080" s="7" t="s">
        <v>12556</v>
      </c>
      <c r="D3080" s="8">
        <f t="shared" si="196"/>
        <v>0</v>
      </c>
      <c r="E3080" s="7" t="s">
        <v>12557</v>
      </c>
      <c r="F3080" s="7">
        <f t="shared" si="197"/>
        <v>2</v>
      </c>
      <c r="G3080" s="7" t="s">
        <v>12558</v>
      </c>
      <c r="H3080" s="7">
        <f t="shared" si="198"/>
        <v>1</v>
      </c>
      <c r="I3080" s="7" t="str" cm="1">
        <f t="array" ref="I3080">IFERROR(_xlfn.IFS(M3080="נח",1,M3080="נע ונח",1,M3080="שני שווא נח",2,M3080="שני שוואים בסוף מילה",2,M3080="שני שוואים ברצף",1),"0")</f>
        <v>0</v>
      </c>
      <c r="J3080" s="9">
        <f t="shared" si="199"/>
        <v>4</v>
      </c>
      <c r="K3080" t="s">
        <v>6698</v>
      </c>
      <c r="L3080" t="s">
        <v>6694</v>
      </c>
      <c r="M3080" t="s">
        <v>6700</v>
      </c>
      <c r="P3080" t="s">
        <v>6694</v>
      </c>
      <c r="Q3080" t="s">
        <v>6694</v>
      </c>
      <c r="U3080" t="s">
        <v>6694</v>
      </c>
      <c r="W3080" t="s">
        <v>6720</v>
      </c>
    </row>
    <row r="3081" spans="1:23" ht="15.6" x14ac:dyDescent="0.4">
      <c r="A3081" s="2" t="s">
        <v>5364</v>
      </c>
      <c r="B3081" s="5" t="s">
        <v>9436</v>
      </c>
      <c r="C3081" s="7" t="s">
        <v>12556</v>
      </c>
      <c r="D3081" s="8">
        <f t="shared" si="196"/>
        <v>0</v>
      </c>
      <c r="E3081" s="7" t="s">
        <v>12557</v>
      </c>
      <c r="F3081" s="7">
        <f t="shared" si="197"/>
        <v>1</v>
      </c>
      <c r="G3081" s="7" t="s">
        <v>12558</v>
      </c>
      <c r="H3081" s="7">
        <f t="shared" si="198"/>
        <v>0</v>
      </c>
      <c r="I3081" s="7" t="str" cm="1">
        <f t="array" ref="I3081">IFERROR(_xlfn.IFS(M3081="נח",1,M3081="נע ונח",1,M3081="שני שווא נח",2,M3081="שני שוואים בסוף מילה",2,M3081="שני שוואים ברצף",1),"0")</f>
        <v>0</v>
      </c>
      <c r="J3081" s="9">
        <f t="shared" si="199"/>
        <v>3</v>
      </c>
      <c r="K3081" t="s">
        <v>6698</v>
      </c>
      <c r="L3081" t="s">
        <v>6694</v>
      </c>
      <c r="M3081" t="s">
        <v>6700</v>
      </c>
      <c r="P3081" t="s">
        <v>6694</v>
      </c>
      <c r="R3081" t="s">
        <v>6694</v>
      </c>
      <c r="W3081" t="s">
        <v>6720</v>
      </c>
    </row>
    <row r="3082" spans="1:23" ht="15.6" x14ac:dyDescent="0.4">
      <c r="A3082" s="2" t="s">
        <v>4058</v>
      </c>
      <c r="B3082" s="5" t="s">
        <v>9437</v>
      </c>
      <c r="C3082" s="7" t="s">
        <v>12556</v>
      </c>
      <c r="D3082" s="8">
        <f t="shared" si="196"/>
        <v>0</v>
      </c>
      <c r="E3082" s="7" t="s">
        <v>12557</v>
      </c>
      <c r="F3082" s="7">
        <f t="shared" si="197"/>
        <v>0</v>
      </c>
      <c r="G3082" s="7" t="s">
        <v>12558</v>
      </c>
      <c r="H3082" s="7">
        <f t="shared" si="198"/>
        <v>0</v>
      </c>
      <c r="I3082" s="7" cm="1">
        <f t="array" ref="I3082">IFERROR(_xlfn.IFS(M3082="נח",1,M3082="נע ונח",1,M3082="שני שווא נח",2,M3082="שני שוואים בסוף מילה",2,M3082="שני שוואים ברצף",1),"0")</f>
        <v>1</v>
      </c>
      <c r="J3082" s="9">
        <f t="shared" si="199"/>
        <v>3</v>
      </c>
      <c r="K3082" t="s">
        <v>6697</v>
      </c>
      <c r="L3082" t="s">
        <v>6694</v>
      </c>
      <c r="M3082" t="s">
        <v>6701</v>
      </c>
      <c r="N3082" t="s">
        <v>6706</v>
      </c>
      <c r="O3082" t="s">
        <v>6694</v>
      </c>
      <c r="W3082" t="s">
        <v>6720</v>
      </c>
    </row>
    <row r="3083" spans="1:23" ht="15.6" x14ac:dyDescent="0.4">
      <c r="A3083" s="2" t="s">
        <v>3755</v>
      </c>
      <c r="B3083" s="5" t="s">
        <v>9438</v>
      </c>
      <c r="C3083" s="7" t="s">
        <v>12556</v>
      </c>
      <c r="D3083" s="8">
        <f t="shared" si="196"/>
        <v>0</v>
      </c>
      <c r="E3083" s="7" t="s">
        <v>12557</v>
      </c>
      <c r="F3083" s="7">
        <f t="shared" si="197"/>
        <v>0</v>
      </c>
      <c r="G3083" s="7" t="s">
        <v>12558</v>
      </c>
      <c r="H3083" s="7">
        <f t="shared" si="198"/>
        <v>0</v>
      </c>
      <c r="I3083" s="7" t="str" cm="1">
        <f t="array" ref="I3083">IFERROR(_xlfn.IFS(M3083="נח",1,M3083="נע ונח",1,M3083="שני שווא נח",2,M3083="שני שוואים בסוף מילה",2,M3083="שני שוואים ברצף",1),"0")</f>
        <v>0</v>
      </c>
      <c r="J3083" s="9">
        <f t="shared" si="199"/>
        <v>4</v>
      </c>
      <c r="K3083" t="s">
        <v>6697</v>
      </c>
      <c r="L3083" t="s">
        <v>6694</v>
      </c>
      <c r="M3083" t="s">
        <v>6700</v>
      </c>
      <c r="O3083" t="s">
        <v>6694</v>
      </c>
      <c r="T3083" t="s">
        <v>6694</v>
      </c>
      <c r="V3083" t="s">
        <v>6694</v>
      </c>
      <c r="W3083" t="s">
        <v>6720</v>
      </c>
    </row>
    <row r="3084" spans="1:23" ht="15.6" x14ac:dyDescent="0.4">
      <c r="A3084" s="2" t="s">
        <v>6004</v>
      </c>
      <c r="B3084" s="5" t="s">
        <v>9439</v>
      </c>
      <c r="C3084" s="7" t="s">
        <v>12556</v>
      </c>
      <c r="D3084" s="8">
        <f t="shared" si="196"/>
        <v>1</v>
      </c>
      <c r="E3084" s="7" t="s">
        <v>12557</v>
      </c>
      <c r="F3084" s="7">
        <f t="shared" si="197"/>
        <v>0</v>
      </c>
      <c r="G3084" s="7" t="s">
        <v>12558</v>
      </c>
      <c r="H3084" s="7">
        <f t="shared" si="198"/>
        <v>0</v>
      </c>
      <c r="I3084" s="7" t="str" cm="1">
        <f t="array" ref="I3084">IFERROR(_xlfn.IFS(M3084="נח",1,M3084="נע ונח",1,M3084="שני שווא נח",2,M3084="שני שוואים בסוף מילה",2,M3084="שני שוואים ברצף",1),"0")</f>
        <v>0</v>
      </c>
      <c r="J3084" s="9">
        <f t="shared" si="199"/>
        <v>4</v>
      </c>
      <c r="K3084" t="s">
        <v>6697</v>
      </c>
      <c r="L3084" t="s">
        <v>6694</v>
      </c>
      <c r="M3084" t="s">
        <v>6700</v>
      </c>
      <c r="P3084" t="s">
        <v>6694</v>
      </c>
      <c r="S3084" t="s">
        <v>6694</v>
      </c>
      <c r="V3084" t="s">
        <v>6694</v>
      </c>
      <c r="W3084" t="s">
        <v>6720</v>
      </c>
    </row>
    <row r="3085" spans="1:23" ht="15.6" x14ac:dyDescent="0.4">
      <c r="A3085" s="2" t="s">
        <v>564</v>
      </c>
      <c r="B3085" s="5" t="s">
        <v>9440</v>
      </c>
      <c r="C3085" s="7" t="s">
        <v>12556</v>
      </c>
      <c r="D3085" s="8">
        <f t="shared" si="196"/>
        <v>0</v>
      </c>
      <c r="E3085" s="7" t="s">
        <v>12557</v>
      </c>
      <c r="F3085" s="7">
        <f t="shared" si="197"/>
        <v>1</v>
      </c>
      <c r="G3085" s="7" t="s">
        <v>12558</v>
      </c>
      <c r="H3085" s="7">
        <f t="shared" si="198"/>
        <v>1</v>
      </c>
      <c r="I3085" s="7" t="str" cm="1">
        <f t="array" ref="I3085">IFERROR(_xlfn.IFS(M3085="נח",1,M3085="נע ונח",1,M3085="שני שווא נח",2,M3085="שני שוואים בסוף מילה",2,M3085="שני שוואים ברצף",1),"0")</f>
        <v>0</v>
      </c>
      <c r="J3085" s="9">
        <f t="shared" si="199"/>
        <v>3</v>
      </c>
      <c r="K3085" t="s">
        <v>6697</v>
      </c>
      <c r="L3085" t="s">
        <v>6694</v>
      </c>
      <c r="M3085" t="s">
        <v>6700</v>
      </c>
      <c r="O3085" t="s">
        <v>6694</v>
      </c>
      <c r="U3085" t="s">
        <v>6694</v>
      </c>
      <c r="W3085" t="s">
        <v>6720</v>
      </c>
    </row>
    <row r="3086" spans="1:23" ht="15.6" x14ac:dyDescent="0.4">
      <c r="A3086" s="2" t="s">
        <v>229</v>
      </c>
      <c r="B3086" s="5" t="s">
        <v>9441</v>
      </c>
      <c r="C3086" s="7" t="s">
        <v>12556</v>
      </c>
      <c r="D3086" s="8">
        <f t="shared" si="196"/>
        <v>0</v>
      </c>
      <c r="E3086" s="7" t="s">
        <v>12557</v>
      </c>
      <c r="F3086" s="7">
        <f t="shared" si="197"/>
        <v>1</v>
      </c>
      <c r="G3086" s="7" t="s">
        <v>12558</v>
      </c>
      <c r="H3086" s="7">
        <f t="shared" si="198"/>
        <v>0</v>
      </c>
      <c r="I3086" s="7" t="str" cm="1">
        <f t="array" ref="I3086">IFERROR(_xlfn.IFS(M3086="נח",1,M3086="נע ונח",1,M3086="שני שווא נח",2,M3086="שני שוואים בסוף מילה",2,M3086="שני שוואים ברצף",1),"0")</f>
        <v>0</v>
      </c>
      <c r="J3086" s="9">
        <f t="shared" si="199"/>
        <v>3</v>
      </c>
      <c r="K3086" t="s">
        <v>6697</v>
      </c>
      <c r="L3086" t="s">
        <v>6694</v>
      </c>
      <c r="M3086" t="s">
        <v>6700</v>
      </c>
      <c r="P3086" t="s">
        <v>6694</v>
      </c>
      <c r="R3086" t="s">
        <v>6694</v>
      </c>
      <c r="W3086" t="s">
        <v>6720</v>
      </c>
    </row>
    <row r="3087" spans="1:23" ht="15.6" x14ac:dyDescent="0.4">
      <c r="A3087" s="2" t="s">
        <v>1452</v>
      </c>
      <c r="B3087" s="5" t="s">
        <v>9442</v>
      </c>
      <c r="C3087" s="7" t="s">
        <v>12556</v>
      </c>
      <c r="D3087" s="8">
        <f t="shared" si="196"/>
        <v>0</v>
      </c>
      <c r="E3087" s="7" t="s">
        <v>12557</v>
      </c>
      <c r="F3087" s="7">
        <f t="shared" si="197"/>
        <v>2</v>
      </c>
      <c r="G3087" s="7" t="s">
        <v>12558</v>
      </c>
      <c r="H3087" s="7">
        <f t="shared" si="198"/>
        <v>1</v>
      </c>
      <c r="I3087" s="7" cm="1">
        <f t="array" ref="I3087">IFERROR(_xlfn.IFS(M3087="נח",1,M3087="נע ונח",1,M3087="שני שווא נח",2,M3087="שני שוואים בסוף מילה",2,M3087="שני שוואים ברצף",1),"0")</f>
        <v>1</v>
      </c>
      <c r="J3087" s="9">
        <f t="shared" si="199"/>
        <v>3</v>
      </c>
      <c r="K3087" t="s">
        <v>6697</v>
      </c>
      <c r="L3087" t="s">
        <v>6694</v>
      </c>
      <c r="M3087" t="s">
        <v>6701</v>
      </c>
      <c r="P3087" t="s">
        <v>6694</v>
      </c>
      <c r="U3087" t="s">
        <v>6694</v>
      </c>
      <c r="W3087" t="s">
        <v>6720</v>
      </c>
    </row>
    <row r="3088" spans="1:23" ht="15.6" x14ac:dyDescent="0.4">
      <c r="A3088" s="2" t="s">
        <v>1931</v>
      </c>
      <c r="B3088" s="5" t="s">
        <v>9443</v>
      </c>
      <c r="C3088" s="7" t="s">
        <v>12556</v>
      </c>
      <c r="D3088" s="8">
        <f t="shared" si="196"/>
        <v>0</v>
      </c>
      <c r="E3088" s="7" t="s">
        <v>12557</v>
      </c>
      <c r="F3088" s="7">
        <f t="shared" si="197"/>
        <v>1</v>
      </c>
      <c r="G3088" s="7" t="s">
        <v>12558</v>
      </c>
      <c r="H3088" s="7">
        <f t="shared" si="198"/>
        <v>0</v>
      </c>
      <c r="I3088" s="7" cm="1">
        <f t="array" ref="I3088">IFERROR(_xlfn.IFS(M3088="נח",1,M3088="נע ונח",1,M3088="שני שווא נח",2,M3088="שני שוואים בסוף מילה",2,M3088="שני שוואים ברצף",1),"0")</f>
        <v>1</v>
      </c>
      <c r="J3088" s="9">
        <f t="shared" si="199"/>
        <v>4</v>
      </c>
      <c r="K3088" t="s">
        <v>6697</v>
      </c>
      <c r="L3088" t="s">
        <v>6694</v>
      </c>
      <c r="M3088" t="s">
        <v>6701</v>
      </c>
      <c r="O3088" t="s">
        <v>6694</v>
      </c>
      <c r="P3088" t="s">
        <v>6694</v>
      </c>
      <c r="R3088" t="s">
        <v>6694</v>
      </c>
      <c r="W3088" t="s">
        <v>6720</v>
      </c>
    </row>
    <row r="3089" spans="1:23" ht="15.6" x14ac:dyDescent="0.4">
      <c r="A3089" s="2" t="s">
        <v>5912</v>
      </c>
      <c r="B3089" s="5" t="s">
        <v>9444</v>
      </c>
      <c r="C3089" s="7" t="s">
        <v>12556</v>
      </c>
      <c r="D3089" s="8">
        <f t="shared" si="196"/>
        <v>0</v>
      </c>
      <c r="E3089" s="7" t="s">
        <v>12557</v>
      </c>
      <c r="F3089" s="7">
        <f t="shared" si="197"/>
        <v>0</v>
      </c>
      <c r="G3089" s="7" t="s">
        <v>12558</v>
      </c>
      <c r="H3089" s="7">
        <f t="shared" si="198"/>
        <v>0</v>
      </c>
      <c r="I3089" s="7" t="str" cm="1">
        <f t="array" ref="I3089">IFERROR(_xlfn.IFS(M3089="נח",1,M3089="נע ונח",1,M3089="שני שווא נח",2,M3089="שני שוואים בסוף מילה",2,M3089="שני שוואים ברצף",1),"0")</f>
        <v>0</v>
      </c>
      <c r="J3089" s="9">
        <f t="shared" si="199"/>
        <v>2</v>
      </c>
      <c r="K3089" t="s">
        <v>6697</v>
      </c>
      <c r="L3089" t="s">
        <v>6694</v>
      </c>
      <c r="M3089" t="s">
        <v>6700</v>
      </c>
      <c r="S3089" t="s">
        <v>6694</v>
      </c>
      <c r="W3089" t="s">
        <v>6720</v>
      </c>
    </row>
    <row r="3090" spans="1:23" ht="15.6" x14ac:dyDescent="0.4">
      <c r="A3090" s="2" t="s">
        <v>4487</v>
      </c>
      <c r="B3090" s="5" t="s">
        <v>9445</v>
      </c>
      <c r="C3090" s="7" t="s">
        <v>12556</v>
      </c>
      <c r="D3090" s="8">
        <f t="shared" si="196"/>
        <v>0</v>
      </c>
      <c r="E3090" s="7" t="s">
        <v>12557</v>
      </c>
      <c r="F3090" s="7">
        <f t="shared" si="197"/>
        <v>0</v>
      </c>
      <c r="G3090" s="7" t="s">
        <v>12558</v>
      </c>
      <c r="H3090" s="7">
        <f t="shared" si="198"/>
        <v>0</v>
      </c>
      <c r="I3090" s="7" t="str" cm="1">
        <f t="array" ref="I3090">IFERROR(_xlfn.IFS(M3090="נח",1,M3090="נע ונח",1,M3090="שני שווא נח",2,M3090="שני שוואים בסוף מילה",2,M3090="שני שוואים ברצף",1),"0")</f>
        <v>0</v>
      </c>
      <c r="J3090" s="9">
        <f t="shared" si="199"/>
        <v>3</v>
      </c>
      <c r="K3090" t="s">
        <v>6698</v>
      </c>
      <c r="L3090" t="s">
        <v>6694</v>
      </c>
      <c r="M3090" t="s">
        <v>6700</v>
      </c>
      <c r="S3090" t="s">
        <v>6694</v>
      </c>
      <c r="W3090" t="s">
        <v>6720</v>
      </c>
    </row>
    <row r="3091" spans="1:23" ht="15.6" x14ac:dyDescent="0.4">
      <c r="A3091" s="2" t="s">
        <v>6194</v>
      </c>
      <c r="B3091" s="5" t="s">
        <v>9446</v>
      </c>
      <c r="C3091" s="7" t="s">
        <v>12556</v>
      </c>
      <c r="D3091" s="8">
        <f t="shared" si="196"/>
        <v>0</v>
      </c>
      <c r="E3091" s="7" t="s">
        <v>12557</v>
      </c>
      <c r="F3091" s="7">
        <f t="shared" si="197"/>
        <v>0</v>
      </c>
      <c r="G3091" s="7" t="s">
        <v>12558</v>
      </c>
      <c r="H3091" s="7">
        <f t="shared" si="198"/>
        <v>0</v>
      </c>
      <c r="I3091" s="7" t="str" cm="1">
        <f t="array" ref="I3091">IFERROR(_xlfn.IFS(M3091="נח",1,M3091="נע ונח",1,M3091="שני שווא נח",2,M3091="שני שוואים בסוף מילה",2,M3091="שני שוואים ברצף",1),"0")</f>
        <v>0</v>
      </c>
      <c r="J3091" s="9">
        <f t="shared" si="199"/>
        <v>4</v>
      </c>
      <c r="K3091" t="s">
        <v>6697</v>
      </c>
      <c r="L3091" t="s">
        <v>6694</v>
      </c>
      <c r="M3091" t="s">
        <v>6700</v>
      </c>
      <c r="O3091" t="s">
        <v>6694</v>
      </c>
      <c r="S3091" t="s">
        <v>6694</v>
      </c>
      <c r="W3091" t="s">
        <v>6720</v>
      </c>
    </row>
    <row r="3092" spans="1:23" ht="15.6" x14ac:dyDescent="0.4">
      <c r="A3092" s="2" t="s">
        <v>1896</v>
      </c>
      <c r="B3092" s="5" t="s">
        <v>9447</v>
      </c>
      <c r="C3092" s="7" t="s">
        <v>12556</v>
      </c>
      <c r="D3092" s="8">
        <f t="shared" si="196"/>
        <v>0</v>
      </c>
      <c r="E3092" s="7" t="s">
        <v>12557</v>
      </c>
      <c r="F3092" s="7">
        <f t="shared" si="197"/>
        <v>1</v>
      </c>
      <c r="G3092" s="7" t="s">
        <v>12558</v>
      </c>
      <c r="H3092" s="7">
        <f t="shared" si="198"/>
        <v>0</v>
      </c>
      <c r="I3092" s="7" t="str" cm="1">
        <f t="array" ref="I3092">IFERROR(_xlfn.IFS(M3092="נח",1,M3092="נע ונח",1,M3092="שני שווא נח",2,M3092="שני שוואים בסוף מילה",2,M3092="שני שוואים ברצף",1),"0")</f>
        <v>0</v>
      </c>
      <c r="J3092" s="9">
        <f t="shared" si="199"/>
        <v>3</v>
      </c>
      <c r="K3092" t="s">
        <v>6698</v>
      </c>
      <c r="L3092" t="s">
        <v>6694</v>
      </c>
      <c r="M3092" t="s">
        <v>6700</v>
      </c>
      <c r="P3092" t="s">
        <v>6694</v>
      </c>
      <c r="R3092" t="s">
        <v>6694</v>
      </c>
      <c r="W3092" t="s">
        <v>6720</v>
      </c>
    </row>
    <row r="3093" spans="1:23" ht="15.6" x14ac:dyDescent="0.4">
      <c r="A3093" s="2" t="s">
        <v>3255</v>
      </c>
      <c r="B3093" s="5" t="s">
        <v>9448</v>
      </c>
      <c r="C3093" s="7" t="s">
        <v>12556</v>
      </c>
      <c r="D3093" s="8">
        <f t="shared" si="196"/>
        <v>0</v>
      </c>
      <c r="E3093" s="7" t="s">
        <v>12557</v>
      </c>
      <c r="F3093" s="7">
        <f t="shared" si="197"/>
        <v>1</v>
      </c>
      <c r="G3093" s="7" t="s">
        <v>12558</v>
      </c>
      <c r="H3093" s="7">
        <f t="shared" si="198"/>
        <v>1</v>
      </c>
      <c r="I3093" s="7" t="str" cm="1">
        <f t="array" ref="I3093">IFERROR(_xlfn.IFS(M3093="נח",1,M3093="נע ונח",1,M3093="שני שווא נח",2,M3093="שני שוואים בסוף מילה",2,M3093="שני שוואים ברצף",1),"0")</f>
        <v>0</v>
      </c>
      <c r="J3093" s="9">
        <f t="shared" si="199"/>
        <v>4</v>
      </c>
      <c r="K3093" t="s">
        <v>6697</v>
      </c>
      <c r="L3093" t="s">
        <v>6694</v>
      </c>
      <c r="M3093" t="s">
        <v>6700</v>
      </c>
      <c r="P3093" t="s">
        <v>6694</v>
      </c>
      <c r="R3093" t="s">
        <v>6694</v>
      </c>
      <c r="U3093" t="s">
        <v>6694</v>
      </c>
      <c r="W3093" t="s">
        <v>6720</v>
      </c>
    </row>
    <row r="3094" spans="1:23" ht="15.6" x14ac:dyDescent="0.4">
      <c r="A3094" s="2" t="s">
        <v>4337</v>
      </c>
      <c r="B3094" s="5" t="s">
        <v>9449</v>
      </c>
      <c r="C3094" s="7" t="s">
        <v>12556</v>
      </c>
      <c r="D3094" s="8">
        <f t="shared" si="196"/>
        <v>0</v>
      </c>
      <c r="E3094" s="7" t="s">
        <v>12557</v>
      </c>
      <c r="F3094" s="7">
        <f t="shared" si="197"/>
        <v>2</v>
      </c>
      <c r="G3094" s="7" t="s">
        <v>12558</v>
      </c>
      <c r="H3094" s="7">
        <f t="shared" si="198"/>
        <v>1</v>
      </c>
      <c r="I3094" s="7" cm="1">
        <f t="array" ref="I3094">IFERROR(_xlfn.IFS(M3094="נח",1,M3094="נע ונח",1,M3094="שני שווא נח",2,M3094="שני שוואים בסוף מילה",2,M3094="שני שוואים ברצף",1),"0")</f>
        <v>1</v>
      </c>
      <c r="J3094" s="9">
        <f t="shared" si="199"/>
        <v>3</v>
      </c>
      <c r="K3094" t="s">
        <v>6697</v>
      </c>
      <c r="L3094" t="s">
        <v>6694</v>
      </c>
      <c r="M3094" t="s">
        <v>6701</v>
      </c>
      <c r="P3094" t="s">
        <v>6694</v>
      </c>
      <c r="U3094" t="s">
        <v>6694</v>
      </c>
      <c r="W3094" t="s">
        <v>6720</v>
      </c>
    </row>
    <row r="3095" spans="1:23" ht="15.6" x14ac:dyDescent="0.4">
      <c r="A3095" s="2" t="s">
        <v>6152</v>
      </c>
      <c r="B3095" s="5" t="s">
        <v>9450</v>
      </c>
      <c r="C3095" s="7" t="s">
        <v>12556</v>
      </c>
      <c r="D3095" s="8">
        <f t="shared" si="196"/>
        <v>0</v>
      </c>
      <c r="E3095" s="7" t="s">
        <v>12557</v>
      </c>
      <c r="F3095" s="7">
        <f t="shared" si="197"/>
        <v>1</v>
      </c>
      <c r="G3095" s="7" t="s">
        <v>12558</v>
      </c>
      <c r="H3095" s="7">
        <f t="shared" si="198"/>
        <v>0</v>
      </c>
      <c r="I3095" s="7" t="str" cm="1">
        <f t="array" ref="I3095">IFERROR(_xlfn.IFS(M3095="נח",1,M3095="נע ונח",1,M3095="שני שווא נח",2,M3095="שני שוואים בסוף מילה",2,M3095="שני שוואים ברצף",1),"0")</f>
        <v>0</v>
      </c>
      <c r="J3095" s="9">
        <f t="shared" si="199"/>
        <v>3</v>
      </c>
      <c r="K3095" t="s">
        <v>6698</v>
      </c>
      <c r="L3095" t="s">
        <v>6694</v>
      </c>
      <c r="M3095" t="s">
        <v>6700</v>
      </c>
      <c r="P3095" t="s">
        <v>6694</v>
      </c>
      <c r="Q3095" t="s">
        <v>6694</v>
      </c>
      <c r="W3095" t="s">
        <v>6720</v>
      </c>
    </row>
    <row r="3096" spans="1:23" ht="15.6" x14ac:dyDescent="0.4">
      <c r="A3096" s="2" t="s">
        <v>2002</v>
      </c>
      <c r="B3096" s="5" t="s">
        <v>9451</v>
      </c>
      <c r="C3096" s="7" t="s">
        <v>12556</v>
      </c>
      <c r="D3096" s="8">
        <f t="shared" si="196"/>
        <v>0</v>
      </c>
      <c r="E3096" s="7" t="s">
        <v>12557</v>
      </c>
      <c r="F3096" s="7">
        <f t="shared" si="197"/>
        <v>1</v>
      </c>
      <c r="G3096" s="7" t="s">
        <v>12558</v>
      </c>
      <c r="H3096" s="7">
        <f t="shared" si="198"/>
        <v>0</v>
      </c>
      <c r="I3096" s="7" cm="1">
        <f t="array" ref="I3096">IFERROR(_xlfn.IFS(M3096="נח",1,M3096="נע ונח",1,M3096="שני שווא נח",2,M3096="שני שוואים בסוף מילה",2,M3096="שני שוואים ברצף",1),"0")</f>
        <v>1</v>
      </c>
      <c r="J3096" s="9">
        <f t="shared" si="199"/>
        <v>4</v>
      </c>
      <c r="K3096" t="s">
        <v>6697</v>
      </c>
      <c r="L3096" t="s">
        <v>6694</v>
      </c>
      <c r="M3096" t="s">
        <v>6701</v>
      </c>
      <c r="P3096" t="s">
        <v>6694</v>
      </c>
      <c r="Q3096" t="s">
        <v>6694</v>
      </c>
      <c r="S3096" t="s">
        <v>6694</v>
      </c>
      <c r="W3096" t="s">
        <v>6720</v>
      </c>
    </row>
    <row r="3097" spans="1:23" ht="15.6" x14ac:dyDescent="0.4">
      <c r="A3097" s="2" t="s">
        <v>5893</v>
      </c>
      <c r="B3097" s="5" t="s">
        <v>9452</v>
      </c>
      <c r="C3097" s="7" t="s">
        <v>12556</v>
      </c>
      <c r="D3097" s="8">
        <f t="shared" si="196"/>
        <v>0</v>
      </c>
      <c r="E3097" s="7" t="s">
        <v>12557</v>
      </c>
      <c r="F3097" s="7">
        <f t="shared" si="197"/>
        <v>2</v>
      </c>
      <c r="G3097" s="7" t="s">
        <v>12558</v>
      </c>
      <c r="H3097" s="7">
        <f t="shared" si="198"/>
        <v>1</v>
      </c>
      <c r="I3097" s="7" cm="1">
        <f t="array" ref="I3097">IFERROR(_xlfn.IFS(M3097="נח",1,M3097="נע ונח",1,M3097="שני שווא נח",2,M3097="שני שוואים בסוף מילה",2,M3097="שני שוואים ברצף",1),"0")</f>
        <v>1</v>
      </c>
      <c r="J3097" s="9">
        <f t="shared" si="199"/>
        <v>3</v>
      </c>
      <c r="K3097" t="s">
        <v>6697</v>
      </c>
      <c r="L3097" t="s">
        <v>6694</v>
      </c>
      <c r="M3097" t="s">
        <v>6701</v>
      </c>
      <c r="P3097" t="s">
        <v>6694</v>
      </c>
      <c r="U3097" t="s">
        <v>6694</v>
      </c>
      <c r="W3097" t="s">
        <v>6720</v>
      </c>
    </row>
    <row r="3098" spans="1:23" ht="15.6" x14ac:dyDescent="0.4">
      <c r="A3098" s="2" t="s">
        <v>3734</v>
      </c>
      <c r="B3098" s="5" t="s">
        <v>9453</v>
      </c>
      <c r="C3098" s="7" t="s">
        <v>12556</v>
      </c>
      <c r="D3098" s="8">
        <f t="shared" si="196"/>
        <v>0</v>
      </c>
      <c r="E3098" s="7" t="s">
        <v>12557</v>
      </c>
      <c r="F3098" s="7">
        <f t="shared" si="197"/>
        <v>2</v>
      </c>
      <c r="G3098" s="7" t="s">
        <v>12558</v>
      </c>
      <c r="H3098" s="7">
        <f t="shared" si="198"/>
        <v>1</v>
      </c>
      <c r="I3098" s="7" t="str" cm="1">
        <f t="array" ref="I3098">IFERROR(_xlfn.IFS(M3098="נח",1,M3098="נע ונח",1,M3098="שני שווא נח",2,M3098="שני שוואים בסוף מילה",2,M3098="שני שוואים ברצף",1),"0")</f>
        <v>0</v>
      </c>
      <c r="J3098" s="9">
        <f t="shared" si="199"/>
        <v>3</v>
      </c>
      <c r="K3098" t="s">
        <v>6697</v>
      </c>
      <c r="L3098" t="s">
        <v>6694</v>
      </c>
      <c r="M3098" t="s">
        <v>6700</v>
      </c>
      <c r="P3098" t="s">
        <v>6694</v>
      </c>
      <c r="U3098" t="s">
        <v>6694</v>
      </c>
      <c r="W3098" t="s">
        <v>6720</v>
      </c>
    </row>
    <row r="3099" spans="1:23" ht="15.6" x14ac:dyDescent="0.4">
      <c r="A3099" s="2" t="s">
        <v>3135</v>
      </c>
      <c r="B3099" s="5" t="s">
        <v>9454</v>
      </c>
      <c r="C3099" s="7" t="s">
        <v>12556</v>
      </c>
      <c r="D3099" s="8">
        <f t="shared" si="196"/>
        <v>0</v>
      </c>
      <c r="E3099" s="7" t="s">
        <v>12557</v>
      </c>
      <c r="F3099" s="7">
        <f t="shared" si="197"/>
        <v>2</v>
      </c>
      <c r="G3099" s="7" t="s">
        <v>12558</v>
      </c>
      <c r="H3099" s="7">
        <f t="shared" si="198"/>
        <v>1</v>
      </c>
      <c r="I3099" s="7" t="str" cm="1">
        <f t="array" ref="I3099">IFERROR(_xlfn.IFS(M3099="נח",1,M3099="נע ונח",1,M3099="שני שווא נח",2,M3099="שני שוואים בסוף מילה",2,M3099="שני שוואים ברצף",1),"0")</f>
        <v>0</v>
      </c>
      <c r="J3099" s="9">
        <f t="shared" si="199"/>
        <v>4</v>
      </c>
      <c r="K3099" t="s">
        <v>6697</v>
      </c>
      <c r="L3099" t="s">
        <v>6694</v>
      </c>
      <c r="M3099" t="s">
        <v>6700</v>
      </c>
      <c r="O3099" t="s">
        <v>6694</v>
      </c>
      <c r="Q3099" t="s">
        <v>6694</v>
      </c>
      <c r="U3099" t="s">
        <v>6694</v>
      </c>
      <c r="W3099" t="s">
        <v>6720</v>
      </c>
    </row>
    <row r="3100" spans="1:23" ht="15.6" x14ac:dyDescent="0.4">
      <c r="A3100" s="2" t="s">
        <v>4023</v>
      </c>
      <c r="B3100" s="5" t="s">
        <v>9455</v>
      </c>
      <c r="C3100" s="7" t="s">
        <v>12556</v>
      </c>
      <c r="D3100" s="8">
        <f t="shared" si="196"/>
        <v>0</v>
      </c>
      <c r="E3100" s="7" t="s">
        <v>12557</v>
      </c>
      <c r="F3100" s="7">
        <f t="shared" si="197"/>
        <v>0</v>
      </c>
      <c r="G3100" s="7" t="s">
        <v>12558</v>
      </c>
      <c r="H3100" s="7">
        <f t="shared" si="198"/>
        <v>0</v>
      </c>
      <c r="I3100" s="7" cm="1">
        <f t="array" ref="I3100">IFERROR(_xlfn.IFS(M3100="נח",1,M3100="נע ונח",1,M3100="שני שווא נח",2,M3100="שני שוואים בסוף מילה",2,M3100="שני שוואים ברצף",1),"0")</f>
        <v>1</v>
      </c>
      <c r="J3100" s="9">
        <f t="shared" si="199"/>
        <v>4</v>
      </c>
      <c r="K3100" t="s">
        <v>6697</v>
      </c>
      <c r="L3100" t="s">
        <v>6694</v>
      </c>
      <c r="M3100" t="s">
        <v>6701</v>
      </c>
      <c r="N3100" t="s">
        <v>6706</v>
      </c>
      <c r="O3100" t="s">
        <v>6694</v>
      </c>
      <c r="Q3100" t="s">
        <v>6694</v>
      </c>
      <c r="S3100" t="s">
        <v>6694</v>
      </c>
      <c r="W3100" t="s">
        <v>6720</v>
      </c>
    </row>
    <row r="3101" spans="1:23" ht="15.6" x14ac:dyDescent="0.4">
      <c r="A3101" s="2" t="s">
        <v>5659</v>
      </c>
      <c r="B3101" s="5" t="s">
        <v>9456</v>
      </c>
      <c r="C3101" s="7" t="s">
        <v>12556</v>
      </c>
      <c r="D3101" s="8">
        <f t="shared" si="196"/>
        <v>0</v>
      </c>
      <c r="E3101" s="7" t="s">
        <v>12557</v>
      </c>
      <c r="F3101" s="7">
        <f t="shared" si="197"/>
        <v>0</v>
      </c>
      <c r="G3101" s="7" t="s">
        <v>12558</v>
      </c>
      <c r="H3101" s="7">
        <f t="shared" si="198"/>
        <v>0</v>
      </c>
      <c r="I3101" s="7" t="str" cm="1">
        <f t="array" ref="I3101">IFERROR(_xlfn.IFS(M3101="נח",1,M3101="נע ונח",1,M3101="שני שווא נח",2,M3101="שני שוואים בסוף מילה",2,M3101="שני שוואים ברצף",1),"0")</f>
        <v>0</v>
      </c>
      <c r="J3101" s="9">
        <f t="shared" si="199"/>
        <v>3</v>
      </c>
      <c r="K3101" t="s">
        <v>6698</v>
      </c>
      <c r="L3101" t="s">
        <v>6694</v>
      </c>
      <c r="M3101" t="s">
        <v>6700</v>
      </c>
      <c r="O3101" t="s">
        <v>6694</v>
      </c>
      <c r="R3101" t="s">
        <v>6694</v>
      </c>
      <c r="W3101" t="s">
        <v>6720</v>
      </c>
    </row>
    <row r="3102" spans="1:23" ht="15.6" x14ac:dyDescent="0.4">
      <c r="A3102" s="2" t="s">
        <v>5246</v>
      </c>
      <c r="B3102" s="5" t="s">
        <v>9457</v>
      </c>
      <c r="C3102" s="7" t="s">
        <v>12556</v>
      </c>
      <c r="D3102" s="8">
        <f t="shared" si="196"/>
        <v>0</v>
      </c>
      <c r="E3102" s="7" t="s">
        <v>12557</v>
      </c>
      <c r="F3102" s="7">
        <f t="shared" si="197"/>
        <v>0</v>
      </c>
      <c r="G3102" s="7" t="s">
        <v>12558</v>
      </c>
      <c r="H3102" s="7">
        <f t="shared" si="198"/>
        <v>0</v>
      </c>
      <c r="I3102" s="7" t="str" cm="1">
        <f t="array" ref="I3102">IFERROR(_xlfn.IFS(M3102="נח",1,M3102="נע ונח",1,M3102="שני שווא נח",2,M3102="שני שוואים בסוף מילה",2,M3102="שני שוואים ברצף",1),"0")</f>
        <v>0</v>
      </c>
      <c r="J3102" s="9">
        <f t="shared" si="199"/>
        <v>3</v>
      </c>
      <c r="K3102" t="s">
        <v>6698</v>
      </c>
      <c r="L3102" t="s">
        <v>6694</v>
      </c>
      <c r="M3102" t="s">
        <v>6700</v>
      </c>
      <c r="Q3102" t="s">
        <v>6694</v>
      </c>
      <c r="V3102" t="s">
        <v>6694</v>
      </c>
      <c r="W3102" t="s">
        <v>6720</v>
      </c>
    </row>
    <row r="3103" spans="1:23" ht="15.6" x14ac:dyDescent="0.4">
      <c r="A3103" s="2" t="s">
        <v>6289</v>
      </c>
      <c r="B3103" s="5" t="s">
        <v>9458</v>
      </c>
      <c r="C3103" s="7" t="s">
        <v>12556</v>
      </c>
      <c r="D3103" s="8">
        <f t="shared" si="196"/>
        <v>0</v>
      </c>
      <c r="E3103" s="7" t="s">
        <v>12557</v>
      </c>
      <c r="F3103" s="7">
        <f t="shared" si="197"/>
        <v>0</v>
      </c>
      <c r="G3103" s="7" t="s">
        <v>12558</v>
      </c>
      <c r="H3103" s="7">
        <f t="shared" si="198"/>
        <v>0</v>
      </c>
      <c r="I3103" s="7" t="str" cm="1">
        <f t="array" ref="I3103">IFERROR(_xlfn.IFS(M3103="נח",1,M3103="נע ונח",1,M3103="שני שווא נח",2,M3103="שני שוואים בסוף מילה",2,M3103="שני שוואים ברצף",1),"0")</f>
        <v>0</v>
      </c>
      <c r="J3103" s="9">
        <f t="shared" si="199"/>
        <v>3</v>
      </c>
      <c r="K3103" t="s">
        <v>6697</v>
      </c>
      <c r="L3103" t="s">
        <v>6694</v>
      </c>
      <c r="M3103" t="s">
        <v>6700</v>
      </c>
      <c r="O3103" t="s">
        <v>6694</v>
      </c>
      <c r="Q3103" t="s">
        <v>6694</v>
      </c>
      <c r="W3103" t="s">
        <v>6720</v>
      </c>
    </row>
    <row r="3104" spans="1:23" ht="15.6" x14ac:dyDescent="0.4">
      <c r="A3104" s="2" t="s">
        <v>5347</v>
      </c>
      <c r="B3104" s="5" t="s">
        <v>9459</v>
      </c>
      <c r="C3104" s="7" t="s">
        <v>12556</v>
      </c>
      <c r="D3104" s="8">
        <f t="shared" si="196"/>
        <v>0</v>
      </c>
      <c r="E3104" s="7" t="s">
        <v>12557</v>
      </c>
      <c r="F3104" s="7">
        <f t="shared" si="197"/>
        <v>1</v>
      </c>
      <c r="G3104" s="7" t="s">
        <v>12558</v>
      </c>
      <c r="H3104" s="7">
        <f t="shared" si="198"/>
        <v>0</v>
      </c>
      <c r="I3104" s="7" t="str" cm="1">
        <f t="array" ref="I3104">IFERROR(_xlfn.IFS(M3104="נח",1,M3104="נע ונח",1,M3104="שני שווא נח",2,M3104="שני שוואים בסוף מילה",2,M3104="שני שוואים ברצף",1),"0")</f>
        <v>0</v>
      </c>
      <c r="J3104" s="9">
        <f t="shared" si="199"/>
        <v>6</v>
      </c>
      <c r="K3104" t="s">
        <v>6697</v>
      </c>
      <c r="L3104" t="s">
        <v>6694</v>
      </c>
      <c r="M3104" t="s">
        <v>6703</v>
      </c>
      <c r="N3104" t="s">
        <v>6706</v>
      </c>
      <c r="O3104" t="s">
        <v>6694</v>
      </c>
      <c r="P3104" t="s">
        <v>6694</v>
      </c>
      <c r="S3104" t="s">
        <v>6694</v>
      </c>
      <c r="W3104" t="s">
        <v>6720</v>
      </c>
    </row>
    <row r="3105" spans="1:23" ht="15.6" x14ac:dyDescent="0.4">
      <c r="A3105" s="2" t="s">
        <v>5226</v>
      </c>
      <c r="B3105" s="5" t="s">
        <v>9460</v>
      </c>
      <c r="C3105" s="7" t="s">
        <v>12556</v>
      </c>
      <c r="D3105" s="8">
        <f t="shared" si="196"/>
        <v>0</v>
      </c>
      <c r="E3105" s="7" t="s">
        <v>12557</v>
      </c>
      <c r="F3105" s="7">
        <f t="shared" si="197"/>
        <v>1</v>
      </c>
      <c r="G3105" s="7" t="s">
        <v>12558</v>
      </c>
      <c r="H3105" s="7">
        <f t="shared" si="198"/>
        <v>0</v>
      </c>
      <c r="I3105" s="7" t="str" cm="1">
        <f t="array" ref="I3105">IFERROR(_xlfn.IFS(M3105="נח",1,M3105="נע ונח",1,M3105="שני שווא נח",2,M3105="שני שוואים בסוף מילה",2,M3105="שני שוואים ברצף",1),"0")</f>
        <v>0</v>
      </c>
      <c r="J3105" s="9">
        <f t="shared" si="199"/>
        <v>3</v>
      </c>
      <c r="K3105" t="s">
        <v>6698</v>
      </c>
      <c r="L3105" t="s">
        <v>6694</v>
      </c>
      <c r="M3105" t="s">
        <v>6700</v>
      </c>
      <c r="P3105" t="s">
        <v>6694</v>
      </c>
      <c r="Q3105" t="s">
        <v>6694</v>
      </c>
      <c r="W3105" t="s">
        <v>6720</v>
      </c>
    </row>
    <row r="3106" spans="1:23" ht="15.6" x14ac:dyDescent="0.4">
      <c r="A3106" s="2" t="s">
        <v>1861</v>
      </c>
      <c r="B3106" s="5" t="s">
        <v>9461</v>
      </c>
      <c r="C3106" s="7" t="s">
        <v>12556</v>
      </c>
      <c r="D3106" s="8">
        <f t="shared" si="196"/>
        <v>1</v>
      </c>
      <c r="E3106" s="7" t="s">
        <v>12557</v>
      </c>
      <c r="F3106" s="7">
        <f t="shared" si="197"/>
        <v>1</v>
      </c>
      <c r="G3106" s="7" t="s">
        <v>12558</v>
      </c>
      <c r="H3106" s="7">
        <f t="shared" si="198"/>
        <v>1</v>
      </c>
      <c r="I3106" s="7" t="str" cm="1">
        <f t="array" ref="I3106">IFERROR(_xlfn.IFS(M3106="נח",1,M3106="נע ונח",1,M3106="שני שווא נח",2,M3106="שני שוואים בסוף מילה",2,M3106="שני שוואים ברצף",1),"0")</f>
        <v>0</v>
      </c>
      <c r="J3106" s="9">
        <f t="shared" si="199"/>
        <v>4</v>
      </c>
      <c r="K3106" t="s">
        <v>6697</v>
      </c>
      <c r="L3106" t="s">
        <v>6694</v>
      </c>
      <c r="M3106" t="s">
        <v>6700</v>
      </c>
      <c r="P3106" t="s">
        <v>6694</v>
      </c>
      <c r="U3106" t="s">
        <v>6694</v>
      </c>
      <c r="W3106" t="s">
        <v>6720</v>
      </c>
    </row>
    <row r="3107" spans="1:23" ht="15.6" x14ac:dyDescent="0.4">
      <c r="A3107" s="2" t="s">
        <v>4059</v>
      </c>
      <c r="B3107" s="5" t="s">
        <v>9462</v>
      </c>
      <c r="C3107" s="7" t="s">
        <v>12556</v>
      </c>
      <c r="D3107" s="8">
        <f t="shared" si="196"/>
        <v>0</v>
      </c>
      <c r="E3107" s="7" t="s">
        <v>12557</v>
      </c>
      <c r="F3107" s="7">
        <f t="shared" si="197"/>
        <v>1</v>
      </c>
      <c r="G3107" s="7" t="s">
        <v>12558</v>
      </c>
      <c r="H3107" s="7">
        <f t="shared" si="198"/>
        <v>0</v>
      </c>
      <c r="I3107" s="7" cm="1">
        <f t="array" ref="I3107">IFERROR(_xlfn.IFS(M3107="נח",1,M3107="נע ונח",1,M3107="שני שווא נח",2,M3107="שני שוואים בסוף מילה",2,M3107="שני שוואים ברצף",1),"0")</f>
        <v>1</v>
      </c>
      <c r="J3107" s="9">
        <f t="shared" si="199"/>
        <v>5</v>
      </c>
      <c r="K3107" t="s">
        <v>6697</v>
      </c>
      <c r="L3107" t="s">
        <v>6694</v>
      </c>
      <c r="M3107" t="s">
        <v>6701</v>
      </c>
      <c r="O3107" t="s">
        <v>6694</v>
      </c>
      <c r="P3107" t="s">
        <v>6694</v>
      </c>
      <c r="R3107" t="s">
        <v>6694</v>
      </c>
      <c r="W3107" t="s">
        <v>6720</v>
      </c>
    </row>
    <row r="3108" spans="1:23" ht="15.6" x14ac:dyDescent="0.4">
      <c r="A3108" s="2" t="s">
        <v>1196</v>
      </c>
      <c r="B3108" s="5" t="s">
        <v>9463</v>
      </c>
      <c r="C3108" s="7" t="s">
        <v>12556</v>
      </c>
      <c r="D3108" s="8">
        <f t="shared" si="196"/>
        <v>0</v>
      </c>
      <c r="E3108" s="7" t="s">
        <v>12557</v>
      </c>
      <c r="F3108" s="7">
        <f t="shared" si="197"/>
        <v>1</v>
      </c>
      <c r="G3108" s="7" t="s">
        <v>12558</v>
      </c>
      <c r="H3108" s="7">
        <f t="shared" si="198"/>
        <v>0</v>
      </c>
      <c r="I3108" s="7" cm="1">
        <f t="array" ref="I3108">IFERROR(_xlfn.IFS(M3108="נח",1,M3108="נע ונח",1,M3108="שני שווא נח",2,M3108="שני שוואים בסוף מילה",2,M3108="שני שוואים ברצף",1),"0")</f>
        <v>1</v>
      </c>
      <c r="J3108" s="9">
        <f t="shared" si="199"/>
        <v>3</v>
      </c>
      <c r="K3108" t="s">
        <v>6698</v>
      </c>
      <c r="L3108" t="s">
        <v>6694</v>
      </c>
      <c r="M3108" t="s">
        <v>6701</v>
      </c>
      <c r="P3108" t="s">
        <v>6694</v>
      </c>
      <c r="Q3108" t="s">
        <v>6694</v>
      </c>
      <c r="W3108" t="s">
        <v>6720</v>
      </c>
    </row>
    <row r="3109" spans="1:23" ht="15.6" x14ac:dyDescent="0.4">
      <c r="A3109" s="2" t="s">
        <v>6100</v>
      </c>
      <c r="B3109" s="5" t="s">
        <v>9464</v>
      </c>
      <c r="C3109" s="7" t="s">
        <v>12556</v>
      </c>
      <c r="D3109" s="8">
        <f t="shared" si="196"/>
        <v>0</v>
      </c>
      <c r="E3109" s="7" t="s">
        <v>12557</v>
      </c>
      <c r="F3109" s="7">
        <f t="shared" si="197"/>
        <v>1</v>
      </c>
      <c r="G3109" s="7" t="s">
        <v>12558</v>
      </c>
      <c r="H3109" s="7">
        <f t="shared" si="198"/>
        <v>0</v>
      </c>
      <c r="I3109" s="7" t="str" cm="1">
        <f t="array" ref="I3109">IFERROR(_xlfn.IFS(M3109="נח",1,M3109="נע ונח",1,M3109="שני שווא נח",2,M3109="שני שוואים בסוף מילה",2,M3109="שני שוואים ברצף",1),"0")</f>
        <v>0</v>
      </c>
      <c r="J3109" s="9">
        <f t="shared" si="199"/>
        <v>3</v>
      </c>
      <c r="K3109" t="s">
        <v>6698</v>
      </c>
      <c r="L3109" t="s">
        <v>6694</v>
      </c>
      <c r="M3109" t="s">
        <v>6700</v>
      </c>
      <c r="P3109" t="s">
        <v>6694</v>
      </c>
      <c r="Q3109" t="s">
        <v>6694</v>
      </c>
      <c r="W3109" t="s">
        <v>6720</v>
      </c>
    </row>
    <row r="3110" spans="1:23" ht="15.6" x14ac:dyDescent="0.4">
      <c r="A3110" s="2" t="s">
        <v>6566</v>
      </c>
      <c r="B3110" s="5" t="s">
        <v>9465</v>
      </c>
      <c r="C3110" s="7" t="s">
        <v>12556</v>
      </c>
      <c r="D3110" s="8">
        <f t="shared" si="196"/>
        <v>0</v>
      </c>
      <c r="E3110" s="7" t="s">
        <v>12557</v>
      </c>
      <c r="F3110" s="7">
        <f t="shared" si="197"/>
        <v>1</v>
      </c>
      <c r="G3110" s="7" t="s">
        <v>12558</v>
      </c>
      <c r="H3110" s="7">
        <f t="shared" si="198"/>
        <v>0</v>
      </c>
      <c r="I3110" s="7" t="str" cm="1">
        <f t="array" ref="I3110">IFERROR(_xlfn.IFS(M3110="נח",1,M3110="נע ונח",1,M3110="שני שווא נח",2,M3110="שני שוואים בסוף מילה",2,M3110="שני שוואים ברצף",1),"0")</f>
        <v>0</v>
      </c>
      <c r="J3110" s="9">
        <f t="shared" si="199"/>
        <v>4</v>
      </c>
      <c r="K3110" t="s">
        <v>6697</v>
      </c>
      <c r="L3110" t="s">
        <v>6694</v>
      </c>
      <c r="M3110" t="s">
        <v>6700</v>
      </c>
      <c r="P3110" t="s">
        <v>6694</v>
      </c>
      <c r="Q3110" t="s">
        <v>6694</v>
      </c>
      <c r="V3110" t="s">
        <v>6694</v>
      </c>
      <c r="W3110" t="s">
        <v>6720</v>
      </c>
    </row>
    <row r="3111" spans="1:23" ht="15.6" x14ac:dyDescent="0.4">
      <c r="A3111" s="2" t="s">
        <v>4816</v>
      </c>
      <c r="B3111" s="5" t="s">
        <v>9466</v>
      </c>
      <c r="C3111" s="7" t="s">
        <v>12556</v>
      </c>
      <c r="D3111" s="8">
        <f t="shared" si="196"/>
        <v>0</v>
      </c>
      <c r="E3111" s="7" t="s">
        <v>12557</v>
      </c>
      <c r="F3111" s="7">
        <f t="shared" si="197"/>
        <v>1</v>
      </c>
      <c r="G3111" s="7" t="s">
        <v>12558</v>
      </c>
      <c r="H3111" s="7">
        <f t="shared" si="198"/>
        <v>0</v>
      </c>
      <c r="I3111" s="7" cm="1">
        <f t="array" ref="I3111">IFERROR(_xlfn.IFS(M3111="נח",1,M3111="נע ונח",1,M3111="שני שווא נח",2,M3111="שני שוואים בסוף מילה",2,M3111="שני שוואים ברצף",1),"0")</f>
        <v>1</v>
      </c>
      <c r="J3111" s="9">
        <f t="shared" si="199"/>
        <v>5</v>
      </c>
      <c r="K3111" t="s">
        <v>6697</v>
      </c>
      <c r="L3111" t="s">
        <v>6694</v>
      </c>
      <c r="M3111" t="s">
        <v>6702</v>
      </c>
      <c r="O3111" t="s">
        <v>6694</v>
      </c>
      <c r="P3111" t="s">
        <v>6694</v>
      </c>
      <c r="R3111" t="s">
        <v>6694</v>
      </c>
      <c r="W3111" t="s">
        <v>6720</v>
      </c>
    </row>
    <row r="3112" spans="1:23" ht="15.6" x14ac:dyDescent="0.4">
      <c r="A3112" s="2" t="s">
        <v>5963</v>
      </c>
      <c r="B3112" s="5" t="s">
        <v>9467</v>
      </c>
      <c r="C3112" s="7" t="s">
        <v>12556</v>
      </c>
      <c r="D3112" s="8">
        <f t="shared" si="196"/>
        <v>0</v>
      </c>
      <c r="E3112" s="7" t="s">
        <v>12557</v>
      </c>
      <c r="F3112" s="7">
        <f t="shared" si="197"/>
        <v>1</v>
      </c>
      <c r="G3112" s="7" t="s">
        <v>12558</v>
      </c>
      <c r="H3112" s="7">
        <f t="shared" si="198"/>
        <v>0</v>
      </c>
      <c r="I3112" s="7" cm="1">
        <f t="array" ref="I3112">IFERROR(_xlfn.IFS(M3112="נח",1,M3112="נע ונח",1,M3112="שני שווא נח",2,M3112="שני שוואים בסוף מילה",2,M3112="שני שוואים ברצף",1),"0")</f>
        <v>1</v>
      </c>
      <c r="J3112" s="9">
        <f t="shared" si="199"/>
        <v>3</v>
      </c>
      <c r="K3112" t="s">
        <v>6698</v>
      </c>
      <c r="L3112" t="s">
        <v>6694</v>
      </c>
      <c r="M3112" t="s">
        <v>6701</v>
      </c>
      <c r="N3112" t="s">
        <v>6706</v>
      </c>
      <c r="O3112" t="s">
        <v>6694</v>
      </c>
      <c r="S3112" t="s">
        <v>6694</v>
      </c>
      <c r="W3112" t="s">
        <v>6720</v>
      </c>
    </row>
    <row r="3113" spans="1:23" ht="15.6" x14ac:dyDescent="0.4">
      <c r="A3113" s="2" t="s">
        <v>3020</v>
      </c>
      <c r="B3113" s="5" t="s">
        <v>9468</v>
      </c>
      <c r="C3113" s="7" t="s">
        <v>12556</v>
      </c>
      <c r="D3113" s="8">
        <f t="shared" si="196"/>
        <v>0</v>
      </c>
      <c r="E3113" s="7" t="s">
        <v>12557</v>
      </c>
      <c r="F3113" s="7">
        <f t="shared" si="197"/>
        <v>0</v>
      </c>
      <c r="G3113" s="7" t="s">
        <v>12558</v>
      </c>
      <c r="H3113" s="7">
        <f t="shared" si="198"/>
        <v>0</v>
      </c>
      <c r="I3113" s="7" t="str" cm="1">
        <f t="array" ref="I3113">IFERROR(_xlfn.IFS(M3113="נח",1,M3113="נע ונח",1,M3113="שני שווא נח",2,M3113="שני שוואים בסוף מילה",2,M3113="שני שוואים ברצף",1),"0")</f>
        <v>0</v>
      </c>
      <c r="J3113" s="9">
        <f t="shared" si="199"/>
        <v>5</v>
      </c>
      <c r="K3113" t="s">
        <v>6698</v>
      </c>
      <c r="L3113" t="s">
        <v>6694</v>
      </c>
      <c r="M3113" t="s">
        <v>6703</v>
      </c>
      <c r="O3113" t="s">
        <v>6694</v>
      </c>
      <c r="R3113" t="s">
        <v>6694</v>
      </c>
      <c r="V3113" t="s">
        <v>6694</v>
      </c>
      <c r="W3113" t="s">
        <v>6720</v>
      </c>
    </row>
    <row r="3114" spans="1:23" ht="15.6" x14ac:dyDescent="0.4">
      <c r="A3114" s="2" t="s">
        <v>6214</v>
      </c>
      <c r="B3114" s="5" t="s">
        <v>9469</v>
      </c>
      <c r="C3114" s="7" t="s">
        <v>12556</v>
      </c>
      <c r="D3114" s="8">
        <f t="shared" si="196"/>
        <v>0</v>
      </c>
      <c r="E3114" s="7" t="s">
        <v>12557</v>
      </c>
      <c r="F3114" s="7">
        <f t="shared" si="197"/>
        <v>1</v>
      </c>
      <c r="G3114" s="7" t="s">
        <v>12558</v>
      </c>
      <c r="H3114" s="7">
        <f t="shared" si="198"/>
        <v>0</v>
      </c>
      <c r="I3114" s="7" cm="1">
        <f t="array" ref="I3114">IFERROR(_xlfn.IFS(M3114="נח",1,M3114="נע ונח",1,M3114="שני שווא נח",2,M3114="שני שוואים בסוף מילה",2,M3114="שני שוואים ברצף",1),"0")</f>
        <v>1</v>
      </c>
      <c r="J3114" s="9">
        <f t="shared" si="199"/>
        <v>4</v>
      </c>
      <c r="K3114" t="s">
        <v>6697</v>
      </c>
      <c r="L3114" t="s">
        <v>6694</v>
      </c>
      <c r="M3114" t="s">
        <v>6701</v>
      </c>
      <c r="O3114" t="s">
        <v>6694</v>
      </c>
      <c r="S3114" t="s">
        <v>6694</v>
      </c>
      <c r="W3114" t="s">
        <v>6720</v>
      </c>
    </row>
    <row r="3115" spans="1:23" ht="15.6" x14ac:dyDescent="0.4">
      <c r="A3115" s="2" t="s">
        <v>6310</v>
      </c>
      <c r="B3115" s="5" t="s">
        <v>9470</v>
      </c>
      <c r="C3115" s="7" t="s">
        <v>12556</v>
      </c>
      <c r="D3115" s="8">
        <f t="shared" si="196"/>
        <v>0</v>
      </c>
      <c r="E3115" s="7" t="s">
        <v>12557</v>
      </c>
      <c r="F3115" s="7">
        <f t="shared" si="197"/>
        <v>1</v>
      </c>
      <c r="G3115" s="7" t="s">
        <v>12558</v>
      </c>
      <c r="H3115" s="7">
        <f t="shared" si="198"/>
        <v>1</v>
      </c>
      <c r="I3115" s="7" t="str" cm="1">
        <f t="array" ref="I3115">IFERROR(_xlfn.IFS(M3115="נח",1,M3115="נע ונח",1,M3115="שני שווא נח",2,M3115="שני שוואים בסוף מילה",2,M3115="שני שוואים ברצף",1),"0")</f>
        <v>0</v>
      </c>
      <c r="J3115" s="9">
        <f t="shared" si="199"/>
        <v>4</v>
      </c>
      <c r="K3115" t="s">
        <v>6697</v>
      </c>
      <c r="L3115" t="s">
        <v>6694</v>
      </c>
      <c r="M3115" t="s">
        <v>6700</v>
      </c>
      <c r="P3115" t="s">
        <v>6694</v>
      </c>
      <c r="Q3115" t="s">
        <v>6694</v>
      </c>
      <c r="U3115" t="s">
        <v>6694</v>
      </c>
      <c r="W3115" t="s">
        <v>6720</v>
      </c>
    </row>
    <row r="3116" spans="1:23" ht="15.6" x14ac:dyDescent="0.4">
      <c r="A3116" s="2" t="s">
        <v>1728</v>
      </c>
      <c r="B3116" s="5" t="s">
        <v>9471</v>
      </c>
      <c r="C3116" s="7" t="s">
        <v>12556</v>
      </c>
      <c r="D3116" s="8">
        <f t="shared" si="196"/>
        <v>0</v>
      </c>
      <c r="E3116" s="7" t="s">
        <v>12557</v>
      </c>
      <c r="F3116" s="7">
        <f t="shared" si="197"/>
        <v>0</v>
      </c>
      <c r="G3116" s="7" t="s">
        <v>12558</v>
      </c>
      <c r="H3116" s="7">
        <f t="shared" si="198"/>
        <v>0</v>
      </c>
      <c r="I3116" s="7" t="str" cm="1">
        <f t="array" ref="I3116">IFERROR(_xlfn.IFS(M3116="נח",1,M3116="נע ונח",1,M3116="שני שווא נח",2,M3116="שני שוואים בסוף מילה",2,M3116="שני שוואים ברצף",1),"0")</f>
        <v>0</v>
      </c>
      <c r="J3116" s="9">
        <f t="shared" si="199"/>
        <v>2</v>
      </c>
      <c r="K3116" t="s">
        <v>6698</v>
      </c>
      <c r="L3116" t="s">
        <v>6694</v>
      </c>
      <c r="M3116" t="s">
        <v>6700</v>
      </c>
      <c r="S3116" t="s">
        <v>6694</v>
      </c>
      <c r="W3116" t="s">
        <v>6720</v>
      </c>
    </row>
    <row r="3117" spans="1:23" ht="15.6" x14ac:dyDescent="0.4">
      <c r="A3117" s="2" t="s">
        <v>2882</v>
      </c>
      <c r="B3117" s="5" t="s">
        <v>9472</v>
      </c>
      <c r="C3117" s="7" t="s">
        <v>12556</v>
      </c>
      <c r="D3117" s="8">
        <f t="shared" si="196"/>
        <v>0</v>
      </c>
      <c r="E3117" s="7" t="s">
        <v>12557</v>
      </c>
      <c r="F3117" s="7">
        <f t="shared" si="197"/>
        <v>0</v>
      </c>
      <c r="G3117" s="7" t="s">
        <v>12558</v>
      </c>
      <c r="H3117" s="7">
        <f t="shared" si="198"/>
        <v>0</v>
      </c>
      <c r="I3117" s="7" cm="1">
        <f t="array" ref="I3117">IFERROR(_xlfn.IFS(M3117="נח",1,M3117="נע ונח",1,M3117="שני שווא נח",2,M3117="שני שוואים בסוף מילה",2,M3117="שני שוואים ברצף",1),"0")</f>
        <v>1</v>
      </c>
      <c r="J3117" s="9">
        <f t="shared" si="199"/>
        <v>3</v>
      </c>
      <c r="K3117" t="s">
        <v>6697</v>
      </c>
      <c r="L3117" t="s">
        <v>6694</v>
      </c>
      <c r="M3117" t="s">
        <v>6701</v>
      </c>
      <c r="O3117" t="s">
        <v>6694</v>
      </c>
      <c r="S3117" t="s">
        <v>6694</v>
      </c>
      <c r="W3117" t="s">
        <v>6720</v>
      </c>
    </row>
    <row r="3118" spans="1:23" ht="15.6" x14ac:dyDescent="0.4">
      <c r="A3118" s="2" t="s">
        <v>6619</v>
      </c>
      <c r="B3118" s="5" t="s">
        <v>9473</v>
      </c>
      <c r="C3118" s="7" t="s">
        <v>12556</v>
      </c>
      <c r="D3118" s="8">
        <f t="shared" si="196"/>
        <v>0</v>
      </c>
      <c r="E3118" s="7" t="s">
        <v>12557</v>
      </c>
      <c r="F3118" s="7">
        <f t="shared" si="197"/>
        <v>0</v>
      </c>
      <c r="G3118" s="7" t="s">
        <v>12558</v>
      </c>
      <c r="H3118" s="7">
        <f t="shared" si="198"/>
        <v>0</v>
      </c>
      <c r="I3118" s="7" t="str" cm="1">
        <f t="array" ref="I3118">IFERROR(_xlfn.IFS(M3118="נח",1,M3118="נע ונח",1,M3118="שני שווא נח",2,M3118="שני שוואים בסוף מילה",2,M3118="שני שוואים ברצף",1),"0")</f>
        <v>0</v>
      </c>
      <c r="J3118" s="9">
        <f t="shared" si="199"/>
        <v>3</v>
      </c>
      <c r="K3118" t="s">
        <v>6697</v>
      </c>
      <c r="L3118" t="s">
        <v>6694</v>
      </c>
      <c r="M3118" t="s">
        <v>6700</v>
      </c>
      <c r="S3118" t="s">
        <v>6694</v>
      </c>
      <c r="W3118" t="s">
        <v>6720</v>
      </c>
    </row>
    <row r="3119" spans="1:23" ht="15.6" x14ac:dyDescent="0.4">
      <c r="A3119" s="2" t="s">
        <v>4827</v>
      </c>
      <c r="B3119" s="5" t="s">
        <v>9472</v>
      </c>
      <c r="C3119" s="7" t="s">
        <v>12556</v>
      </c>
      <c r="D3119" s="8">
        <f t="shared" si="196"/>
        <v>0</v>
      </c>
      <c r="E3119" s="7" t="s">
        <v>12557</v>
      </c>
      <c r="F3119" s="7">
        <f t="shared" si="197"/>
        <v>0</v>
      </c>
      <c r="G3119" s="7" t="s">
        <v>12558</v>
      </c>
      <c r="H3119" s="7">
        <f t="shared" si="198"/>
        <v>0</v>
      </c>
      <c r="I3119" s="7" t="str" cm="1">
        <f t="array" ref="I3119">IFERROR(_xlfn.IFS(M3119="נח",1,M3119="נע ונח",1,M3119="שני שווא נח",2,M3119="שני שוואים בסוף מילה",2,M3119="שני שוואים ברצף",1),"0")</f>
        <v>0</v>
      </c>
      <c r="J3119" s="9">
        <f t="shared" si="199"/>
        <v>4</v>
      </c>
      <c r="K3119" t="s">
        <v>6697</v>
      </c>
      <c r="L3119" t="s">
        <v>6694</v>
      </c>
      <c r="M3119" t="s">
        <v>6700</v>
      </c>
      <c r="O3119" t="s">
        <v>6694</v>
      </c>
      <c r="R3119" t="s">
        <v>6694</v>
      </c>
      <c r="S3119" t="s">
        <v>6694</v>
      </c>
      <c r="W3119" t="s">
        <v>6720</v>
      </c>
    </row>
    <row r="3120" spans="1:23" ht="15.6" x14ac:dyDescent="0.4">
      <c r="A3120" s="2" t="s">
        <v>5546</v>
      </c>
      <c r="B3120" s="5" t="s">
        <v>9474</v>
      </c>
      <c r="C3120" s="7" t="s">
        <v>12556</v>
      </c>
      <c r="D3120" s="8">
        <f t="shared" si="196"/>
        <v>0</v>
      </c>
      <c r="E3120" s="7" t="s">
        <v>12557</v>
      </c>
      <c r="F3120" s="7">
        <f t="shared" si="197"/>
        <v>0</v>
      </c>
      <c r="G3120" s="7" t="s">
        <v>12558</v>
      </c>
      <c r="H3120" s="7">
        <f t="shared" si="198"/>
        <v>0</v>
      </c>
      <c r="I3120" s="7" t="str" cm="1">
        <f t="array" ref="I3120">IFERROR(_xlfn.IFS(M3120="נח",1,M3120="נע ונח",1,M3120="שני שווא נח",2,M3120="שני שוואים בסוף מילה",2,M3120="שני שוואים ברצף",1),"0")</f>
        <v>0</v>
      </c>
      <c r="J3120" s="9">
        <f t="shared" si="199"/>
        <v>3</v>
      </c>
      <c r="K3120" t="s">
        <v>6697</v>
      </c>
      <c r="L3120" t="s">
        <v>6694</v>
      </c>
      <c r="M3120" t="s">
        <v>6700</v>
      </c>
      <c r="S3120" t="s">
        <v>6694</v>
      </c>
      <c r="V3120" t="s">
        <v>6694</v>
      </c>
      <c r="W3120" t="s">
        <v>6720</v>
      </c>
    </row>
    <row r="3121" spans="1:23" ht="15.6" x14ac:dyDescent="0.4">
      <c r="A3121" s="2" t="s">
        <v>5184</v>
      </c>
      <c r="B3121" s="5" t="s">
        <v>9475</v>
      </c>
      <c r="C3121" s="7" t="s">
        <v>12556</v>
      </c>
      <c r="D3121" s="8">
        <f t="shared" si="196"/>
        <v>1</v>
      </c>
      <c r="E3121" s="7" t="s">
        <v>12557</v>
      </c>
      <c r="F3121" s="7">
        <f t="shared" si="197"/>
        <v>1</v>
      </c>
      <c r="G3121" s="7" t="s">
        <v>12558</v>
      </c>
      <c r="H3121" s="7">
        <f t="shared" si="198"/>
        <v>1</v>
      </c>
      <c r="I3121" s="7" t="str" cm="1">
        <f t="array" ref="I3121">IFERROR(_xlfn.IFS(M3121="נח",1,M3121="נע ונח",1,M3121="שני שווא נח",2,M3121="שני שוואים בסוף מילה",2,M3121="שני שוואים ברצף",1),"0")</f>
        <v>0</v>
      </c>
      <c r="J3121" s="9">
        <f t="shared" si="199"/>
        <v>3</v>
      </c>
      <c r="K3121" t="s">
        <v>6698</v>
      </c>
      <c r="L3121" t="s">
        <v>6694</v>
      </c>
      <c r="M3121" t="s">
        <v>6700</v>
      </c>
      <c r="S3121" t="s">
        <v>6694</v>
      </c>
      <c r="U3121" t="s">
        <v>6694</v>
      </c>
      <c r="W3121" t="s">
        <v>6720</v>
      </c>
    </row>
    <row r="3122" spans="1:23" ht="15.6" x14ac:dyDescent="0.4">
      <c r="A3122" s="2" t="s">
        <v>800</v>
      </c>
      <c r="B3122" s="5" t="s">
        <v>9476</v>
      </c>
      <c r="C3122" s="7" t="s">
        <v>12556</v>
      </c>
      <c r="D3122" s="8">
        <f t="shared" si="196"/>
        <v>0</v>
      </c>
      <c r="E3122" s="7" t="s">
        <v>12557</v>
      </c>
      <c r="F3122" s="7">
        <f t="shared" si="197"/>
        <v>0</v>
      </c>
      <c r="G3122" s="7" t="s">
        <v>12558</v>
      </c>
      <c r="H3122" s="7">
        <f t="shared" si="198"/>
        <v>0</v>
      </c>
      <c r="I3122" s="7" t="str" cm="1">
        <f t="array" ref="I3122">IFERROR(_xlfn.IFS(M3122="נח",1,M3122="נע ונח",1,M3122="שני שווא נח",2,M3122="שני שוואים בסוף מילה",2,M3122="שני שוואים ברצף",1),"0")</f>
        <v>0</v>
      </c>
      <c r="J3122" s="9">
        <f t="shared" si="199"/>
        <v>2</v>
      </c>
      <c r="K3122" t="s">
        <v>6698</v>
      </c>
      <c r="L3122" t="s">
        <v>6694</v>
      </c>
      <c r="M3122" t="s">
        <v>6700</v>
      </c>
      <c r="Q3122" t="s">
        <v>6694</v>
      </c>
      <c r="W3122" t="s">
        <v>6720</v>
      </c>
    </row>
    <row r="3123" spans="1:23" ht="15.6" x14ac:dyDescent="0.4">
      <c r="A3123" s="2" t="s">
        <v>4065</v>
      </c>
      <c r="B3123" s="5" t="s">
        <v>9477</v>
      </c>
      <c r="C3123" s="7" t="s">
        <v>12556</v>
      </c>
      <c r="D3123" s="8">
        <f t="shared" si="196"/>
        <v>0</v>
      </c>
      <c r="E3123" s="7" t="s">
        <v>12557</v>
      </c>
      <c r="F3123" s="7">
        <f t="shared" si="197"/>
        <v>0</v>
      </c>
      <c r="G3123" s="7" t="s">
        <v>12558</v>
      </c>
      <c r="H3123" s="7">
        <f t="shared" si="198"/>
        <v>0</v>
      </c>
      <c r="I3123" s="7" t="str" cm="1">
        <f t="array" ref="I3123">IFERROR(_xlfn.IFS(M3123="נח",1,M3123="נע ונח",1,M3123="שני שווא נח",2,M3123="שני שוואים בסוף מילה",2,M3123="שני שוואים ברצף",1),"0")</f>
        <v>0</v>
      </c>
      <c r="J3123" s="9">
        <f t="shared" si="199"/>
        <v>3</v>
      </c>
      <c r="K3123" t="s">
        <v>6698</v>
      </c>
      <c r="L3123" t="s">
        <v>6694</v>
      </c>
      <c r="M3123" t="s">
        <v>6700</v>
      </c>
      <c r="Q3123" t="s">
        <v>6694</v>
      </c>
      <c r="R3123" t="s">
        <v>6694</v>
      </c>
      <c r="W3123" t="s">
        <v>6720</v>
      </c>
    </row>
    <row r="3124" spans="1:23" ht="15.6" x14ac:dyDescent="0.4">
      <c r="A3124" s="2" t="s">
        <v>3543</v>
      </c>
      <c r="B3124" s="5" t="s">
        <v>9478</v>
      </c>
      <c r="C3124" s="7" t="s">
        <v>12556</v>
      </c>
      <c r="D3124" s="8">
        <f t="shared" si="196"/>
        <v>0</v>
      </c>
      <c r="E3124" s="7" t="s">
        <v>12557</v>
      </c>
      <c r="F3124" s="7">
        <f t="shared" si="197"/>
        <v>2</v>
      </c>
      <c r="G3124" s="7" t="s">
        <v>12558</v>
      </c>
      <c r="H3124" s="7">
        <f t="shared" si="198"/>
        <v>1</v>
      </c>
      <c r="I3124" s="7" cm="1">
        <f t="array" ref="I3124">IFERROR(_xlfn.IFS(M3124="נח",1,M3124="נע ונח",1,M3124="שני שווא נח",2,M3124="שני שוואים בסוף מילה",2,M3124="שני שוואים ברצף",1),"0")</f>
        <v>1</v>
      </c>
      <c r="J3124" s="9">
        <f t="shared" si="199"/>
        <v>4</v>
      </c>
      <c r="K3124" t="s">
        <v>6697</v>
      </c>
      <c r="L3124" t="s">
        <v>6694</v>
      </c>
      <c r="M3124" t="s">
        <v>6701</v>
      </c>
      <c r="P3124" t="s">
        <v>6694</v>
      </c>
      <c r="Q3124" t="s">
        <v>6694</v>
      </c>
      <c r="U3124" t="s">
        <v>6694</v>
      </c>
      <c r="W3124" t="s">
        <v>6720</v>
      </c>
    </row>
    <row r="3125" spans="1:23" ht="15.6" x14ac:dyDescent="0.4">
      <c r="A3125" s="2" t="s">
        <v>3303</v>
      </c>
      <c r="B3125" s="5" t="s">
        <v>9479</v>
      </c>
      <c r="C3125" s="7" t="s">
        <v>12556</v>
      </c>
      <c r="D3125" s="8">
        <f t="shared" si="196"/>
        <v>0</v>
      </c>
      <c r="E3125" s="7" t="s">
        <v>12557</v>
      </c>
      <c r="F3125" s="7">
        <f t="shared" si="197"/>
        <v>1</v>
      </c>
      <c r="G3125" s="7" t="s">
        <v>12558</v>
      </c>
      <c r="H3125" s="7">
        <f t="shared" si="198"/>
        <v>0</v>
      </c>
      <c r="I3125" s="7" t="str" cm="1">
        <f t="array" ref="I3125">IFERROR(_xlfn.IFS(M3125="נח",1,M3125="נע ונח",1,M3125="שני שווא נח",2,M3125="שני שוואים בסוף מילה",2,M3125="שני שוואים ברצף",1),"0")</f>
        <v>0</v>
      </c>
      <c r="J3125" s="9">
        <f t="shared" si="199"/>
        <v>3</v>
      </c>
      <c r="K3125" t="s">
        <v>6697</v>
      </c>
      <c r="L3125" t="s">
        <v>6694</v>
      </c>
      <c r="M3125" t="s">
        <v>6700</v>
      </c>
      <c r="P3125" t="s">
        <v>6694</v>
      </c>
      <c r="Q3125" t="s">
        <v>6694</v>
      </c>
      <c r="W3125" t="s">
        <v>6720</v>
      </c>
    </row>
    <row r="3126" spans="1:23" ht="15.6" x14ac:dyDescent="0.4">
      <c r="A3126" s="2" t="s">
        <v>1016</v>
      </c>
      <c r="B3126" s="5" t="s">
        <v>9480</v>
      </c>
      <c r="C3126" s="7" t="s">
        <v>12556</v>
      </c>
      <c r="D3126" s="8">
        <f t="shared" si="196"/>
        <v>0</v>
      </c>
      <c r="E3126" s="7" t="s">
        <v>12557</v>
      </c>
      <c r="F3126" s="7">
        <f t="shared" si="197"/>
        <v>1</v>
      </c>
      <c r="G3126" s="7" t="s">
        <v>12558</v>
      </c>
      <c r="H3126" s="7">
        <f t="shared" si="198"/>
        <v>0</v>
      </c>
      <c r="I3126" s="7" t="str" cm="1">
        <f t="array" ref="I3126">IFERROR(_xlfn.IFS(M3126="נח",1,M3126="נע ונח",1,M3126="שני שווא נח",2,M3126="שני שוואים בסוף מילה",2,M3126="שני שוואים ברצף",1),"0")</f>
        <v>0</v>
      </c>
      <c r="J3126" s="9">
        <f t="shared" si="199"/>
        <v>3</v>
      </c>
      <c r="K3126" t="s">
        <v>6698</v>
      </c>
      <c r="L3126" t="s">
        <v>6694</v>
      </c>
      <c r="M3126" t="s">
        <v>6700</v>
      </c>
      <c r="P3126" t="s">
        <v>6694</v>
      </c>
      <c r="Q3126" t="s">
        <v>6694</v>
      </c>
      <c r="W3126" t="s">
        <v>6720</v>
      </c>
    </row>
    <row r="3127" spans="1:23" ht="15.6" x14ac:dyDescent="0.4">
      <c r="A3127" s="2" t="s">
        <v>4216</v>
      </c>
      <c r="B3127" s="5" t="s">
        <v>9481</v>
      </c>
      <c r="C3127" s="7" t="s">
        <v>12556</v>
      </c>
      <c r="D3127" s="8">
        <f t="shared" si="196"/>
        <v>0</v>
      </c>
      <c r="E3127" s="7" t="s">
        <v>12557</v>
      </c>
      <c r="F3127" s="7">
        <f t="shared" si="197"/>
        <v>1</v>
      </c>
      <c r="G3127" s="7" t="s">
        <v>12558</v>
      </c>
      <c r="H3127" s="7">
        <f t="shared" si="198"/>
        <v>1</v>
      </c>
      <c r="I3127" s="7" t="str" cm="1">
        <f t="array" ref="I3127">IFERROR(_xlfn.IFS(M3127="נח",1,M3127="נע ונח",1,M3127="שני שווא נח",2,M3127="שני שוואים בסוף מילה",2,M3127="שני שוואים ברצף",1),"0")</f>
        <v>0</v>
      </c>
      <c r="J3127" s="9">
        <f t="shared" si="199"/>
        <v>3</v>
      </c>
      <c r="K3127" t="s">
        <v>6698</v>
      </c>
      <c r="L3127" t="s">
        <v>6694</v>
      </c>
      <c r="M3127" t="s">
        <v>6700</v>
      </c>
      <c r="S3127" t="s">
        <v>6694</v>
      </c>
      <c r="U3127" t="s">
        <v>6694</v>
      </c>
      <c r="W3127" t="s">
        <v>6720</v>
      </c>
    </row>
    <row r="3128" spans="1:23" ht="15.6" x14ac:dyDescent="0.4">
      <c r="A3128" s="2" t="s">
        <v>6026</v>
      </c>
      <c r="B3128" s="5" t="s">
        <v>9482</v>
      </c>
      <c r="C3128" s="7" t="s">
        <v>12556</v>
      </c>
      <c r="D3128" s="8">
        <f t="shared" si="196"/>
        <v>0</v>
      </c>
      <c r="E3128" s="7" t="s">
        <v>12557</v>
      </c>
      <c r="F3128" s="7">
        <f t="shared" si="197"/>
        <v>0</v>
      </c>
      <c r="G3128" s="7" t="s">
        <v>12558</v>
      </c>
      <c r="H3128" s="7">
        <f t="shared" si="198"/>
        <v>0</v>
      </c>
      <c r="I3128" s="7" t="str" cm="1">
        <f t="array" ref="I3128">IFERROR(_xlfn.IFS(M3128="נח",1,M3128="נע ונח",1,M3128="שני שווא נח",2,M3128="שני שוואים בסוף מילה",2,M3128="שני שוואים ברצף",1),"0")</f>
        <v>0</v>
      </c>
      <c r="J3128" s="9">
        <f t="shared" si="199"/>
        <v>5</v>
      </c>
      <c r="K3128" t="s">
        <v>6697</v>
      </c>
      <c r="L3128" t="s">
        <v>6694</v>
      </c>
      <c r="M3128" t="s">
        <v>6700</v>
      </c>
      <c r="P3128" t="s">
        <v>6694</v>
      </c>
      <c r="Q3128" t="s">
        <v>6694</v>
      </c>
      <c r="S3128" t="s">
        <v>6694</v>
      </c>
      <c r="W3128" t="s">
        <v>6720</v>
      </c>
    </row>
    <row r="3129" spans="1:23" ht="15.6" x14ac:dyDescent="0.4">
      <c r="A3129" s="2" t="s">
        <v>6040</v>
      </c>
      <c r="B3129" s="5" t="s">
        <v>9483</v>
      </c>
      <c r="C3129" s="7" t="s">
        <v>12556</v>
      </c>
      <c r="D3129" s="8">
        <f t="shared" si="196"/>
        <v>0</v>
      </c>
      <c r="E3129" s="7" t="s">
        <v>12557</v>
      </c>
      <c r="F3129" s="7">
        <f t="shared" si="197"/>
        <v>0</v>
      </c>
      <c r="G3129" s="7" t="s">
        <v>12558</v>
      </c>
      <c r="H3129" s="7">
        <f t="shared" si="198"/>
        <v>0</v>
      </c>
      <c r="I3129" s="7" t="str" cm="1">
        <f t="array" ref="I3129">IFERROR(_xlfn.IFS(M3129="נח",1,M3129="נע ונח",1,M3129="שני שווא נח",2,M3129="שני שוואים בסוף מילה",2,M3129="שני שוואים ברצף",1),"0")</f>
        <v>0</v>
      </c>
      <c r="J3129" s="9">
        <f t="shared" si="199"/>
        <v>5</v>
      </c>
      <c r="K3129" t="s">
        <v>6697</v>
      </c>
      <c r="L3129" t="s">
        <v>6694</v>
      </c>
      <c r="M3129" t="s">
        <v>6700</v>
      </c>
      <c r="P3129" t="s">
        <v>6694</v>
      </c>
      <c r="S3129" t="s">
        <v>6694</v>
      </c>
      <c r="T3129" t="s">
        <v>6694</v>
      </c>
      <c r="W3129" t="s">
        <v>6720</v>
      </c>
    </row>
    <row r="3130" spans="1:23" ht="15.6" x14ac:dyDescent="0.4">
      <c r="A3130" s="2" t="s">
        <v>4972</v>
      </c>
      <c r="B3130" s="5" t="s">
        <v>9484</v>
      </c>
      <c r="C3130" s="7" t="s">
        <v>12556</v>
      </c>
      <c r="D3130" s="8">
        <f t="shared" si="196"/>
        <v>1</v>
      </c>
      <c r="E3130" s="7" t="s">
        <v>12557</v>
      </c>
      <c r="F3130" s="7">
        <f t="shared" si="197"/>
        <v>1</v>
      </c>
      <c r="G3130" s="7" t="s">
        <v>12558</v>
      </c>
      <c r="H3130" s="7">
        <f t="shared" si="198"/>
        <v>0</v>
      </c>
      <c r="I3130" s="7" t="str" cm="1">
        <f t="array" ref="I3130">IFERROR(_xlfn.IFS(M3130="נח",1,M3130="נע ונח",1,M3130="שני שווא נח",2,M3130="שני שוואים בסוף מילה",2,M3130="שני שוואים ברצף",1),"0")</f>
        <v>0</v>
      </c>
      <c r="J3130" s="9">
        <f t="shared" si="199"/>
        <v>3</v>
      </c>
      <c r="K3130" t="s">
        <v>6698</v>
      </c>
      <c r="L3130" t="s">
        <v>6694</v>
      </c>
      <c r="M3130" t="s">
        <v>6700</v>
      </c>
      <c r="P3130" t="s">
        <v>6694</v>
      </c>
      <c r="Q3130" t="s">
        <v>6694</v>
      </c>
      <c r="W3130" t="s">
        <v>6720</v>
      </c>
    </row>
    <row r="3131" spans="1:23" ht="15.6" x14ac:dyDescent="0.4">
      <c r="A3131" s="2" t="s">
        <v>6132</v>
      </c>
      <c r="B3131" s="5" t="s">
        <v>9485</v>
      </c>
      <c r="C3131" s="7" t="s">
        <v>12556</v>
      </c>
      <c r="D3131" s="8">
        <f t="shared" si="196"/>
        <v>0</v>
      </c>
      <c r="E3131" s="7" t="s">
        <v>12557</v>
      </c>
      <c r="F3131" s="7">
        <f t="shared" si="197"/>
        <v>1</v>
      </c>
      <c r="G3131" s="7" t="s">
        <v>12558</v>
      </c>
      <c r="H3131" s="7">
        <f t="shared" si="198"/>
        <v>0</v>
      </c>
      <c r="I3131" s="7" t="str" cm="1">
        <f t="array" ref="I3131">IFERROR(_xlfn.IFS(M3131="נח",1,M3131="נע ונח",1,M3131="שני שווא נח",2,M3131="שני שוואים בסוף מילה",2,M3131="שני שוואים ברצף",1),"0")</f>
        <v>0</v>
      </c>
      <c r="J3131" s="9">
        <f t="shared" si="199"/>
        <v>3</v>
      </c>
      <c r="K3131" t="s">
        <v>6698</v>
      </c>
      <c r="L3131" t="s">
        <v>6694</v>
      </c>
      <c r="M3131" t="s">
        <v>6700</v>
      </c>
      <c r="P3131" t="s">
        <v>6694</v>
      </c>
      <c r="Q3131" t="s">
        <v>6694</v>
      </c>
      <c r="W3131" t="s">
        <v>6720</v>
      </c>
    </row>
    <row r="3132" spans="1:23" ht="15.6" x14ac:dyDescent="0.4">
      <c r="A3132" s="2" t="s">
        <v>5660</v>
      </c>
      <c r="B3132" s="5" t="s">
        <v>9486</v>
      </c>
      <c r="C3132" s="7" t="s">
        <v>12556</v>
      </c>
      <c r="D3132" s="8">
        <f t="shared" si="196"/>
        <v>0</v>
      </c>
      <c r="E3132" s="7" t="s">
        <v>12557</v>
      </c>
      <c r="F3132" s="7">
        <f t="shared" si="197"/>
        <v>0</v>
      </c>
      <c r="G3132" s="7" t="s">
        <v>12558</v>
      </c>
      <c r="H3132" s="7">
        <f t="shared" si="198"/>
        <v>0</v>
      </c>
      <c r="I3132" s="7" t="str" cm="1">
        <f t="array" ref="I3132">IFERROR(_xlfn.IFS(M3132="נח",1,M3132="נע ונח",1,M3132="שני שווא נח",2,M3132="שני שוואים בסוף מילה",2,M3132="שני שוואים ברצף",1),"0")</f>
        <v>0</v>
      </c>
      <c r="J3132" s="9">
        <f t="shared" si="199"/>
        <v>3</v>
      </c>
      <c r="K3132" t="s">
        <v>6698</v>
      </c>
      <c r="L3132" t="s">
        <v>6694</v>
      </c>
      <c r="M3132" t="s">
        <v>6700</v>
      </c>
      <c r="O3132" t="s">
        <v>6694</v>
      </c>
      <c r="Q3132" t="s">
        <v>6694</v>
      </c>
      <c r="W3132" t="s">
        <v>6720</v>
      </c>
    </row>
    <row r="3133" spans="1:23" ht="15.6" x14ac:dyDescent="0.4">
      <c r="A3133" s="2" t="s">
        <v>6609</v>
      </c>
      <c r="B3133" s="5" t="s">
        <v>9487</v>
      </c>
      <c r="C3133" s="7" t="s">
        <v>12556</v>
      </c>
      <c r="D3133" s="8">
        <f t="shared" si="196"/>
        <v>0</v>
      </c>
      <c r="E3133" s="7" t="s">
        <v>12557</v>
      </c>
      <c r="F3133" s="7">
        <f t="shared" si="197"/>
        <v>2</v>
      </c>
      <c r="G3133" s="7" t="s">
        <v>12558</v>
      </c>
      <c r="H3133" s="7">
        <f t="shared" si="198"/>
        <v>1</v>
      </c>
      <c r="I3133" s="7" t="str" cm="1">
        <f t="array" ref="I3133">IFERROR(_xlfn.IFS(M3133="נח",1,M3133="נע ונח",1,M3133="שני שווא נח",2,M3133="שני שוואים בסוף מילה",2,M3133="שני שוואים ברצף",1),"0")</f>
        <v>0</v>
      </c>
      <c r="J3133" s="9">
        <f t="shared" si="199"/>
        <v>4</v>
      </c>
      <c r="K3133" t="s">
        <v>6697</v>
      </c>
      <c r="L3133" t="s">
        <v>6694</v>
      </c>
      <c r="M3133" t="s">
        <v>6700</v>
      </c>
      <c r="O3133" t="s">
        <v>6694</v>
      </c>
      <c r="T3133" t="s">
        <v>6694</v>
      </c>
      <c r="U3133" t="s">
        <v>6694</v>
      </c>
      <c r="W3133" t="s">
        <v>6720</v>
      </c>
    </row>
    <row r="3134" spans="1:23" ht="15.6" x14ac:dyDescent="0.4">
      <c r="A3134" s="2" t="s">
        <v>5541</v>
      </c>
      <c r="B3134" s="5" t="s">
        <v>9488</v>
      </c>
      <c r="C3134" s="7" t="s">
        <v>12556</v>
      </c>
      <c r="D3134" s="8">
        <f t="shared" si="196"/>
        <v>0</v>
      </c>
      <c r="E3134" s="7" t="s">
        <v>12557</v>
      </c>
      <c r="F3134" s="7">
        <f t="shared" si="197"/>
        <v>2</v>
      </c>
      <c r="G3134" s="7" t="s">
        <v>12558</v>
      </c>
      <c r="H3134" s="7">
        <f t="shared" si="198"/>
        <v>2</v>
      </c>
      <c r="I3134" s="7" t="str" cm="1">
        <f t="array" ref="I3134">IFERROR(_xlfn.IFS(M3134="נח",1,M3134="נע ונח",1,M3134="שני שווא נח",2,M3134="שני שוואים בסוף מילה",2,M3134="שני שוואים ברצף",1),"0")</f>
        <v>0</v>
      </c>
      <c r="J3134" s="9">
        <f t="shared" si="199"/>
        <v>3</v>
      </c>
      <c r="K3134" t="s">
        <v>6698</v>
      </c>
      <c r="L3134" t="s">
        <v>6694</v>
      </c>
      <c r="M3134" t="s">
        <v>6700</v>
      </c>
      <c r="U3134" t="s">
        <v>6694</v>
      </c>
      <c r="W3134" t="s">
        <v>6720</v>
      </c>
    </row>
    <row r="3135" spans="1:23" ht="15.6" x14ac:dyDescent="0.4">
      <c r="A3135" s="2" t="s">
        <v>645</v>
      </c>
      <c r="B3135" s="5" t="s">
        <v>9489</v>
      </c>
      <c r="C3135" s="7" t="s">
        <v>12556</v>
      </c>
      <c r="D3135" s="8">
        <f t="shared" si="196"/>
        <v>0</v>
      </c>
      <c r="E3135" s="7" t="s">
        <v>12557</v>
      </c>
      <c r="F3135" s="7">
        <f t="shared" si="197"/>
        <v>2</v>
      </c>
      <c r="G3135" s="7" t="s">
        <v>12558</v>
      </c>
      <c r="H3135" s="7">
        <f t="shared" si="198"/>
        <v>2</v>
      </c>
      <c r="I3135" s="7" t="str" cm="1">
        <f t="array" ref="I3135">IFERROR(_xlfn.IFS(M3135="נח",1,M3135="נע ונח",1,M3135="שני שווא נח",2,M3135="שני שוואים בסוף מילה",2,M3135="שני שוואים ברצף",1),"0")</f>
        <v>0</v>
      </c>
      <c r="J3135" s="9">
        <f t="shared" si="199"/>
        <v>3</v>
      </c>
      <c r="K3135" t="s">
        <v>6698</v>
      </c>
      <c r="L3135" t="s">
        <v>6694</v>
      </c>
      <c r="M3135" t="s">
        <v>6700</v>
      </c>
      <c r="U3135" t="s">
        <v>6694</v>
      </c>
      <c r="W3135" t="s">
        <v>6720</v>
      </c>
    </row>
    <row r="3136" spans="1:23" ht="15.6" x14ac:dyDescent="0.4">
      <c r="A3136" s="2" t="s">
        <v>6672</v>
      </c>
      <c r="B3136" s="5" t="s">
        <v>9490</v>
      </c>
      <c r="C3136" s="7" t="s">
        <v>12556</v>
      </c>
      <c r="D3136" s="8">
        <f t="shared" si="196"/>
        <v>0</v>
      </c>
      <c r="E3136" s="7" t="s">
        <v>12557</v>
      </c>
      <c r="F3136" s="7">
        <f t="shared" si="197"/>
        <v>1</v>
      </c>
      <c r="G3136" s="7" t="s">
        <v>12558</v>
      </c>
      <c r="H3136" s="7">
        <f t="shared" si="198"/>
        <v>0</v>
      </c>
      <c r="I3136" s="7" cm="1">
        <f t="array" ref="I3136">IFERROR(_xlfn.IFS(M3136="נח",1,M3136="נע ונח",1,M3136="שני שווא נח",2,M3136="שני שוואים בסוף מילה",2,M3136="שני שוואים ברצף",1),"0")</f>
        <v>1</v>
      </c>
      <c r="J3136" s="9">
        <f t="shared" si="199"/>
        <v>3</v>
      </c>
      <c r="K3136" t="s">
        <v>6698</v>
      </c>
      <c r="L3136" t="s">
        <v>6694</v>
      </c>
      <c r="M3136" t="s">
        <v>6701</v>
      </c>
      <c r="N3136" t="s">
        <v>6706</v>
      </c>
      <c r="O3136" t="s">
        <v>6694</v>
      </c>
      <c r="P3136" t="s">
        <v>6694</v>
      </c>
      <c r="W3136" t="s">
        <v>6720</v>
      </c>
    </row>
    <row r="3137" spans="1:23" ht="15.6" x14ac:dyDescent="0.4">
      <c r="A3137" s="2" t="s">
        <v>4338</v>
      </c>
      <c r="B3137" s="5" t="s">
        <v>9491</v>
      </c>
      <c r="C3137" s="7" t="s">
        <v>12556</v>
      </c>
      <c r="D3137" s="8">
        <f t="shared" si="196"/>
        <v>0</v>
      </c>
      <c r="E3137" s="7" t="s">
        <v>12557</v>
      </c>
      <c r="F3137" s="7">
        <f t="shared" si="197"/>
        <v>2</v>
      </c>
      <c r="G3137" s="7" t="s">
        <v>12558</v>
      </c>
      <c r="H3137" s="7">
        <f t="shared" si="198"/>
        <v>1</v>
      </c>
      <c r="I3137" s="7" cm="1">
        <f t="array" ref="I3137">IFERROR(_xlfn.IFS(M3137="נח",1,M3137="נע ונח",1,M3137="שני שווא נח",2,M3137="שני שוואים בסוף מילה",2,M3137="שני שוואים ברצף",1),"0")</f>
        <v>1</v>
      </c>
      <c r="J3137" s="9">
        <f t="shared" si="199"/>
        <v>3</v>
      </c>
      <c r="K3137" t="s">
        <v>6697</v>
      </c>
      <c r="L3137" t="s">
        <v>6694</v>
      </c>
      <c r="M3137" t="s">
        <v>6701</v>
      </c>
      <c r="P3137" t="s">
        <v>6694</v>
      </c>
      <c r="U3137" t="s">
        <v>6694</v>
      </c>
      <c r="W3137" t="s">
        <v>6720</v>
      </c>
    </row>
    <row r="3138" spans="1:23" ht="15.6" x14ac:dyDescent="0.4">
      <c r="A3138" s="2" t="s">
        <v>511</v>
      </c>
      <c r="B3138" s="5" t="s">
        <v>9492</v>
      </c>
      <c r="C3138" s="7" t="s">
        <v>12556</v>
      </c>
      <c r="D3138" s="8">
        <f t="shared" si="196"/>
        <v>0</v>
      </c>
      <c r="E3138" s="7" t="s">
        <v>12557</v>
      </c>
      <c r="F3138" s="7">
        <f t="shared" si="197"/>
        <v>1</v>
      </c>
      <c r="G3138" s="7" t="s">
        <v>12558</v>
      </c>
      <c r="H3138" s="7">
        <f t="shared" si="198"/>
        <v>0</v>
      </c>
      <c r="I3138" s="7" t="str" cm="1">
        <f t="array" ref="I3138">IFERROR(_xlfn.IFS(M3138="נח",1,M3138="נע ונח",1,M3138="שני שווא נח",2,M3138="שני שוואים בסוף מילה",2,M3138="שני שוואים ברצף",1),"0")</f>
        <v>0</v>
      </c>
      <c r="J3138" s="9">
        <f t="shared" si="199"/>
        <v>3</v>
      </c>
      <c r="K3138" t="s">
        <v>6698</v>
      </c>
      <c r="L3138" t="s">
        <v>6694</v>
      </c>
      <c r="M3138" t="s">
        <v>6700</v>
      </c>
      <c r="P3138" t="s">
        <v>6694</v>
      </c>
      <c r="Q3138" t="s">
        <v>6694</v>
      </c>
      <c r="W3138" t="s">
        <v>6720</v>
      </c>
    </row>
    <row r="3139" spans="1:23" ht="15.6" x14ac:dyDescent="0.4">
      <c r="A3139" s="2" t="s">
        <v>6455</v>
      </c>
      <c r="B3139" s="5" t="s">
        <v>9491</v>
      </c>
      <c r="C3139" s="7" t="s">
        <v>12556</v>
      </c>
      <c r="D3139" s="8">
        <f t="shared" ref="D3139:D3202" si="200">(LEN(B3139)-LEN(SUBSTITUTE(B3139,C3139,"")))</f>
        <v>0</v>
      </c>
      <c r="E3139" s="7" t="s">
        <v>12557</v>
      </c>
      <c r="F3139" s="7">
        <f t="shared" ref="F3139:F3202" si="201">(LEN(A3139)-LEN(SUBSTITUTE(A3139,E3139,"")))</f>
        <v>2</v>
      </c>
      <c r="G3139" s="7" t="s">
        <v>12558</v>
      </c>
      <c r="H3139" s="7">
        <f t="shared" ref="H3139:H3202" si="202">(LEN(A3139)-LEN(SUBSTITUTE(A3139,G3139,"")))/2</f>
        <v>1</v>
      </c>
      <c r="I3139" s="7" t="str" cm="1">
        <f t="array" ref="I3139">IFERROR(_xlfn.IFS(M3139="נח",1,M3139="נע ונח",1,M3139="שני שווא נח",2,M3139="שני שוואים בסוף מילה",2,M3139="שני שוואים ברצף",1),"0")</f>
        <v>0</v>
      </c>
      <c r="J3139" s="9">
        <f t="shared" ref="J3139:J3202" si="203">LEN(A3139)-(LEN(B3139))-D3139-F3139+H3139-I3139</f>
        <v>4</v>
      </c>
      <c r="K3139" t="s">
        <v>6697</v>
      </c>
      <c r="L3139" t="s">
        <v>6694</v>
      </c>
      <c r="M3139" t="s">
        <v>6700</v>
      </c>
      <c r="P3139" t="s">
        <v>6694</v>
      </c>
      <c r="Q3139" t="s">
        <v>6694</v>
      </c>
      <c r="U3139" t="s">
        <v>6694</v>
      </c>
      <c r="W3139" t="s">
        <v>6720</v>
      </c>
    </row>
    <row r="3140" spans="1:23" ht="15.6" x14ac:dyDescent="0.4">
      <c r="A3140" s="2" t="s">
        <v>2562</v>
      </c>
      <c r="B3140" s="5" t="s">
        <v>9493</v>
      </c>
      <c r="C3140" s="7" t="s">
        <v>12556</v>
      </c>
      <c r="D3140" s="8">
        <f t="shared" si="200"/>
        <v>0</v>
      </c>
      <c r="E3140" s="7" t="s">
        <v>12557</v>
      </c>
      <c r="F3140" s="7">
        <f t="shared" si="201"/>
        <v>1</v>
      </c>
      <c r="G3140" s="7" t="s">
        <v>12558</v>
      </c>
      <c r="H3140" s="7">
        <f t="shared" si="202"/>
        <v>0</v>
      </c>
      <c r="I3140" s="7" t="str" cm="1">
        <f t="array" ref="I3140">IFERROR(_xlfn.IFS(M3140="נח",1,M3140="נע ונח",1,M3140="שני שווא נח",2,M3140="שני שוואים בסוף מילה",2,M3140="שני שוואים ברצף",1),"0")</f>
        <v>0</v>
      </c>
      <c r="J3140" s="9">
        <f t="shared" si="203"/>
        <v>3</v>
      </c>
      <c r="K3140" t="s">
        <v>6697</v>
      </c>
      <c r="L3140" t="s">
        <v>6694</v>
      </c>
      <c r="M3140" t="s">
        <v>6700</v>
      </c>
      <c r="N3140" t="s">
        <v>6706</v>
      </c>
      <c r="O3140" t="s">
        <v>6694</v>
      </c>
      <c r="W3140" t="s">
        <v>6720</v>
      </c>
    </row>
    <row r="3141" spans="1:23" ht="15.6" x14ac:dyDescent="0.4">
      <c r="A3141" s="2" t="s">
        <v>5921</v>
      </c>
      <c r="B3141" s="5" t="s">
        <v>9492</v>
      </c>
      <c r="C3141" s="7" t="s">
        <v>12556</v>
      </c>
      <c r="D3141" s="8">
        <f t="shared" si="200"/>
        <v>0</v>
      </c>
      <c r="E3141" s="7" t="s">
        <v>12557</v>
      </c>
      <c r="F3141" s="7">
        <f t="shared" si="201"/>
        <v>1</v>
      </c>
      <c r="G3141" s="7" t="s">
        <v>12558</v>
      </c>
      <c r="H3141" s="7">
        <f t="shared" si="202"/>
        <v>0</v>
      </c>
      <c r="I3141" s="7" t="str" cm="1">
        <f t="array" ref="I3141">IFERROR(_xlfn.IFS(M3141="נח",1,M3141="נע ונח",1,M3141="שני שווא נח",2,M3141="שני שוואים בסוף מילה",2,M3141="שני שוואים ברצף",1),"0")</f>
        <v>0</v>
      </c>
      <c r="J3141" s="9">
        <f t="shared" si="203"/>
        <v>3</v>
      </c>
      <c r="K3141" t="s">
        <v>6698</v>
      </c>
      <c r="L3141" t="s">
        <v>6694</v>
      </c>
      <c r="M3141" t="s">
        <v>6700</v>
      </c>
      <c r="P3141" t="s">
        <v>6694</v>
      </c>
      <c r="T3141" t="s">
        <v>6694</v>
      </c>
      <c r="W3141" t="s">
        <v>6720</v>
      </c>
    </row>
    <row r="3142" spans="1:23" ht="15.6" x14ac:dyDescent="0.4">
      <c r="A3142" s="2" t="s">
        <v>6263</v>
      </c>
      <c r="B3142" s="5" t="s">
        <v>9494</v>
      </c>
      <c r="C3142" s="7" t="s">
        <v>12556</v>
      </c>
      <c r="D3142" s="8">
        <f t="shared" si="200"/>
        <v>0</v>
      </c>
      <c r="E3142" s="7" t="s">
        <v>12557</v>
      </c>
      <c r="F3142" s="7">
        <f t="shared" si="201"/>
        <v>2</v>
      </c>
      <c r="G3142" s="7" t="s">
        <v>12558</v>
      </c>
      <c r="H3142" s="7">
        <f t="shared" si="202"/>
        <v>1</v>
      </c>
      <c r="I3142" s="7" t="str" cm="1">
        <f t="array" ref="I3142">IFERROR(_xlfn.IFS(M3142="נח",1,M3142="נע ונח",1,M3142="שני שווא נח",2,M3142="שני שוואים בסוף מילה",2,M3142="שני שוואים ברצף",1),"0")</f>
        <v>0</v>
      </c>
      <c r="J3142" s="9">
        <f t="shared" si="203"/>
        <v>5</v>
      </c>
      <c r="K3142" t="s">
        <v>6697</v>
      </c>
      <c r="L3142" t="s">
        <v>6694</v>
      </c>
      <c r="M3142" t="s">
        <v>6703</v>
      </c>
      <c r="R3142" t="s">
        <v>6694</v>
      </c>
      <c r="U3142" t="s">
        <v>6694</v>
      </c>
      <c r="V3142" t="s">
        <v>6694</v>
      </c>
      <c r="W3142" t="s">
        <v>6720</v>
      </c>
    </row>
    <row r="3143" spans="1:23" ht="15.6" x14ac:dyDescent="0.4">
      <c r="A3143" s="2" t="s">
        <v>4016</v>
      </c>
      <c r="B3143" s="5" t="s">
        <v>9495</v>
      </c>
      <c r="C3143" s="7" t="s">
        <v>12556</v>
      </c>
      <c r="D3143" s="8">
        <f t="shared" si="200"/>
        <v>0</v>
      </c>
      <c r="E3143" s="7" t="s">
        <v>12557</v>
      </c>
      <c r="F3143" s="7">
        <f t="shared" si="201"/>
        <v>0</v>
      </c>
      <c r="G3143" s="7" t="s">
        <v>12558</v>
      </c>
      <c r="H3143" s="7">
        <f t="shared" si="202"/>
        <v>0</v>
      </c>
      <c r="I3143" s="7" t="str" cm="1">
        <f t="array" ref="I3143">IFERROR(_xlfn.IFS(M3143="נח",1,M3143="נע ונח",1,M3143="שני שווא נח",2,M3143="שני שוואים בסוף מילה",2,M3143="שני שוואים ברצף",1),"0")</f>
        <v>0</v>
      </c>
      <c r="J3143" s="9">
        <f t="shared" si="203"/>
        <v>5</v>
      </c>
      <c r="K3143" t="s">
        <v>6698</v>
      </c>
      <c r="L3143" t="s">
        <v>6694</v>
      </c>
      <c r="M3143" t="s">
        <v>6703</v>
      </c>
      <c r="O3143" t="s">
        <v>6694</v>
      </c>
      <c r="T3143" t="s">
        <v>6694</v>
      </c>
      <c r="V3143" t="s">
        <v>6694</v>
      </c>
      <c r="W3143" t="s">
        <v>6720</v>
      </c>
    </row>
    <row r="3144" spans="1:23" ht="15.6" x14ac:dyDescent="0.4">
      <c r="A3144" s="2" t="s">
        <v>6402</v>
      </c>
      <c r="B3144" s="5" t="s">
        <v>9496</v>
      </c>
      <c r="C3144" s="7" t="s">
        <v>12556</v>
      </c>
      <c r="D3144" s="8">
        <f t="shared" si="200"/>
        <v>0</v>
      </c>
      <c r="E3144" s="7" t="s">
        <v>12557</v>
      </c>
      <c r="F3144" s="7">
        <f t="shared" si="201"/>
        <v>2</v>
      </c>
      <c r="G3144" s="7" t="s">
        <v>12558</v>
      </c>
      <c r="H3144" s="7">
        <f t="shared" si="202"/>
        <v>1</v>
      </c>
      <c r="I3144" s="7" t="str" cm="1">
        <f t="array" ref="I3144">IFERROR(_xlfn.IFS(M3144="נח",1,M3144="נע ונח",1,M3144="שני שווא נח",2,M3144="שני שוואים בסוף מילה",2,M3144="שני שוואים ברצף",1),"0")</f>
        <v>0</v>
      </c>
      <c r="J3144" s="9">
        <f t="shared" si="203"/>
        <v>4</v>
      </c>
      <c r="K3144" t="s">
        <v>6697</v>
      </c>
      <c r="L3144" t="s">
        <v>6694</v>
      </c>
      <c r="M3144" t="s">
        <v>6700</v>
      </c>
      <c r="Q3144" t="s">
        <v>6694</v>
      </c>
      <c r="S3144" t="s">
        <v>6694</v>
      </c>
      <c r="U3144" t="s">
        <v>6694</v>
      </c>
      <c r="W3144" t="s">
        <v>6720</v>
      </c>
    </row>
    <row r="3145" spans="1:23" ht="15.6" x14ac:dyDescent="0.4">
      <c r="A3145" s="2" t="s">
        <v>3003</v>
      </c>
      <c r="B3145" s="5" t="s">
        <v>9497</v>
      </c>
      <c r="C3145" s="7" t="s">
        <v>12556</v>
      </c>
      <c r="D3145" s="8">
        <f t="shared" si="200"/>
        <v>0</v>
      </c>
      <c r="E3145" s="7" t="s">
        <v>12557</v>
      </c>
      <c r="F3145" s="7">
        <f t="shared" si="201"/>
        <v>1</v>
      </c>
      <c r="G3145" s="7" t="s">
        <v>12558</v>
      </c>
      <c r="H3145" s="7">
        <f t="shared" si="202"/>
        <v>1</v>
      </c>
      <c r="I3145" s="7" t="str" cm="1">
        <f t="array" ref="I3145">IFERROR(_xlfn.IFS(M3145="נח",1,M3145="נע ונח",1,M3145="שני שווא נח",2,M3145="שני שוואים בסוף מילה",2,M3145="שני שוואים ברצף",1),"0")</f>
        <v>0</v>
      </c>
      <c r="J3145" s="9">
        <f t="shared" si="203"/>
        <v>4</v>
      </c>
      <c r="K3145" t="s">
        <v>6697</v>
      </c>
      <c r="L3145" t="s">
        <v>6694</v>
      </c>
      <c r="M3145" t="s">
        <v>6700</v>
      </c>
      <c r="O3145" t="s">
        <v>6694</v>
      </c>
      <c r="U3145" t="s">
        <v>6694</v>
      </c>
      <c r="V3145" t="s">
        <v>6694</v>
      </c>
      <c r="W3145" t="s">
        <v>6720</v>
      </c>
    </row>
    <row r="3146" spans="1:23" ht="15.6" x14ac:dyDescent="0.4">
      <c r="A3146" s="2" t="s">
        <v>6099</v>
      </c>
      <c r="B3146" s="5" t="s">
        <v>9498</v>
      </c>
      <c r="C3146" s="7" t="s">
        <v>12556</v>
      </c>
      <c r="D3146" s="8">
        <f t="shared" si="200"/>
        <v>0</v>
      </c>
      <c r="E3146" s="7" t="s">
        <v>12557</v>
      </c>
      <c r="F3146" s="7">
        <f t="shared" si="201"/>
        <v>1</v>
      </c>
      <c r="G3146" s="7" t="s">
        <v>12558</v>
      </c>
      <c r="H3146" s="7">
        <f t="shared" si="202"/>
        <v>1</v>
      </c>
      <c r="I3146" s="7" t="str" cm="1">
        <f t="array" ref="I3146">IFERROR(_xlfn.IFS(M3146="נח",1,M3146="נע ונח",1,M3146="שני שווא נח",2,M3146="שני שוואים בסוף מילה",2,M3146="שני שוואים ברצף",1),"0")</f>
        <v>0</v>
      </c>
      <c r="J3146" s="9">
        <f t="shared" si="203"/>
        <v>4</v>
      </c>
      <c r="K3146" t="s">
        <v>6698</v>
      </c>
      <c r="L3146" t="s">
        <v>6694</v>
      </c>
      <c r="M3146" t="s">
        <v>6700</v>
      </c>
      <c r="P3146" t="s">
        <v>6694</v>
      </c>
      <c r="Q3146" t="s">
        <v>6694</v>
      </c>
      <c r="U3146" t="s">
        <v>6694</v>
      </c>
      <c r="W3146" t="s">
        <v>6720</v>
      </c>
    </row>
    <row r="3147" spans="1:23" ht="15.6" x14ac:dyDescent="0.4">
      <c r="A3147" s="2" t="s">
        <v>6678</v>
      </c>
      <c r="B3147" s="5" t="s">
        <v>9499</v>
      </c>
      <c r="C3147" s="7" t="s">
        <v>12556</v>
      </c>
      <c r="D3147" s="8">
        <f t="shared" si="200"/>
        <v>0</v>
      </c>
      <c r="E3147" s="7" t="s">
        <v>12557</v>
      </c>
      <c r="F3147" s="7">
        <f t="shared" si="201"/>
        <v>3</v>
      </c>
      <c r="G3147" s="7" t="s">
        <v>12558</v>
      </c>
      <c r="H3147" s="7">
        <f t="shared" si="202"/>
        <v>1</v>
      </c>
      <c r="I3147" s="7" t="str" cm="1">
        <f t="array" ref="I3147">IFERROR(_xlfn.IFS(M3147="נח",1,M3147="נע ונח",1,M3147="שני שווא נח",2,M3147="שני שוואים בסוף מילה",2,M3147="שני שוואים ברצף",1),"0")</f>
        <v>0</v>
      </c>
      <c r="J3147" s="9">
        <f t="shared" si="203"/>
        <v>4</v>
      </c>
      <c r="K3147" t="s">
        <v>6697</v>
      </c>
      <c r="L3147" t="s">
        <v>6694</v>
      </c>
      <c r="M3147" t="s">
        <v>6700</v>
      </c>
      <c r="P3147" t="s">
        <v>6694</v>
      </c>
      <c r="R3147" t="s">
        <v>6694</v>
      </c>
      <c r="U3147" t="s">
        <v>6694</v>
      </c>
      <c r="W3147" t="s">
        <v>6720</v>
      </c>
    </row>
    <row r="3148" spans="1:23" ht="15.6" x14ac:dyDescent="0.4">
      <c r="A3148" s="2" t="s">
        <v>5974</v>
      </c>
      <c r="B3148" s="5" t="s">
        <v>9500</v>
      </c>
      <c r="C3148" s="7" t="s">
        <v>12556</v>
      </c>
      <c r="D3148" s="8">
        <f t="shared" si="200"/>
        <v>0</v>
      </c>
      <c r="E3148" s="7" t="s">
        <v>12557</v>
      </c>
      <c r="F3148" s="7">
        <f t="shared" si="201"/>
        <v>2</v>
      </c>
      <c r="G3148" s="7" t="s">
        <v>12558</v>
      </c>
      <c r="H3148" s="7">
        <f t="shared" si="202"/>
        <v>1</v>
      </c>
      <c r="I3148" s="7" t="str" cm="1">
        <f t="array" ref="I3148">IFERROR(_xlfn.IFS(M3148="נח",1,M3148="נע ונח",1,M3148="שני שווא נח",2,M3148="שני שוואים בסוף מילה",2,M3148="שני שוואים ברצף",1),"0")</f>
        <v>0</v>
      </c>
      <c r="J3148" s="9">
        <f t="shared" si="203"/>
        <v>3</v>
      </c>
      <c r="K3148" t="s">
        <v>6697</v>
      </c>
      <c r="L3148" t="s">
        <v>6694</v>
      </c>
      <c r="M3148" t="s">
        <v>6700</v>
      </c>
      <c r="P3148" t="s">
        <v>6694</v>
      </c>
      <c r="U3148" t="s">
        <v>6694</v>
      </c>
      <c r="W3148" t="s">
        <v>6720</v>
      </c>
    </row>
    <row r="3149" spans="1:23" ht="15.6" x14ac:dyDescent="0.4">
      <c r="A3149" s="2" t="s">
        <v>4080</v>
      </c>
      <c r="B3149" s="5" t="s">
        <v>9501</v>
      </c>
      <c r="C3149" s="7" t="s">
        <v>12556</v>
      </c>
      <c r="D3149" s="8">
        <f t="shared" si="200"/>
        <v>0</v>
      </c>
      <c r="E3149" s="7" t="s">
        <v>12557</v>
      </c>
      <c r="F3149" s="7">
        <f t="shared" si="201"/>
        <v>2</v>
      </c>
      <c r="G3149" s="7" t="s">
        <v>12558</v>
      </c>
      <c r="H3149" s="7">
        <f t="shared" si="202"/>
        <v>1</v>
      </c>
      <c r="I3149" s="7" t="str" cm="1">
        <f t="array" ref="I3149">IFERROR(_xlfn.IFS(M3149="נח",1,M3149="נע ונח",1,M3149="שני שווא נח",2,M3149="שני שוואים בסוף מילה",2,M3149="שני שוואים ברצף",1),"0")</f>
        <v>0</v>
      </c>
      <c r="J3149" s="9">
        <f t="shared" si="203"/>
        <v>4</v>
      </c>
      <c r="K3149" t="s">
        <v>6697</v>
      </c>
      <c r="L3149" t="s">
        <v>6694</v>
      </c>
      <c r="M3149" t="s">
        <v>6700</v>
      </c>
      <c r="P3149" t="s">
        <v>6694</v>
      </c>
      <c r="Q3149" t="s">
        <v>6694</v>
      </c>
      <c r="U3149" t="s">
        <v>6694</v>
      </c>
      <c r="W3149" t="s">
        <v>6720</v>
      </c>
    </row>
    <row r="3150" spans="1:23" ht="15.6" x14ac:dyDescent="0.4">
      <c r="A3150" s="2" t="s">
        <v>3049</v>
      </c>
      <c r="B3150" s="5" t="s">
        <v>9502</v>
      </c>
      <c r="C3150" s="7" t="s">
        <v>12556</v>
      </c>
      <c r="D3150" s="8">
        <f t="shared" si="200"/>
        <v>0</v>
      </c>
      <c r="E3150" s="7" t="s">
        <v>12557</v>
      </c>
      <c r="F3150" s="7">
        <f t="shared" si="201"/>
        <v>0</v>
      </c>
      <c r="G3150" s="7" t="s">
        <v>12558</v>
      </c>
      <c r="H3150" s="7">
        <f t="shared" si="202"/>
        <v>0</v>
      </c>
      <c r="I3150" s="7" t="str" cm="1">
        <f t="array" ref="I3150">IFERROR(_xlfn.IFS(M3150="נח",1,M3150="נע ונח",1,M3150="שני שווא נח",2,M3150="שני שוואים בסוף מילה",2,M3150="שני שוואים ברצף",1),"0")</f>
        <v>0</v>
      </c>
      <c r="J3150" s="9">
        <f t="shared" si="203"/>
        <v>4</v>
      </c>
      <c r="K3150" t="s">
        <v>6697</v>
      </c>
      <c r="L3150" t="s">
        <v>6694</v>
      </c>
      <c r="M3150" t="s">
        <v>6700</v>
      </c>
      <c r="O3150" t="s">
        <v>6694</v>
      </c>
      <c r="S3150" t="s">
        <v>6694</v>
      </c>
      <c r="W3150" t="s">
        <v>6720</v>
      </c>
    </row>
    <row r="3151" spans="1:23" ht="15.6" x14ac:dyDescent="0.4">
      <c r="A3151" s="2" t="s">
        <v>5249</v>
      </c>
      <c r="B3151" s="5" t="s">
        <v>9503</v>
      </c>
      <c r="C3151" s="7" t="s">
        <v>12556</v>
      </c>
      <c r="D3151" s="8">
        <f t="shared" si="200"/>
        <v>0</v>
      </c>
      <c r="E3151" s="7" t="s">
        <v>12557</v>
      </c>
      <c r="F3151" s="7">
        <f t="shared" si="201"/>
        <v>0</v>
      </c>
      <c r="G3151" s="7" t="s">
        <v>12558</v>
      </c>
      <c r="H3151" s="7">
        <f t="shared" si="202"/>
        <v>0</v>
      </c>
      <c r="I3151" s="7" t="str" cm="1">
        <f t="array" ref="I3151">IFERROR(_xlfn.IFS(M3151="נח",1,M3151="נע ונח",1,M3151="שני שווא נח",2,M3151="שני שוואים בסוף מילה",2,M3151="שני שוואים ברצף",1),"0")</f>
        <v>0</v>
      </c>
      <c r="J3151" s="9">
        <f t="shared" si="203"/>
        <v>3</v>
      </c>
      <c r="K3151" t="s">
        <v>6698</v>
      </c>
      <c r="L3151" t="s">
        <v>6694</v>
      </c>
      <c r="M3151" t="s">
        <v>6700</v>
      </c>
      <c r="O3151" t="s">
        <v>6694</v>
      </c>
      <c r="V3151" t="s">
        <v>6694</v>
      </c>
      <c r="W3151" t="s">
        <v>6720</v>
      </c>
    </row>
    <row r="3152" spans="1:23" ht="15.6" x14ac:dyDescent="0.4">
      <c r="A3152" s="2" t="s">
        <v>1330</v>
      </c>
      <c r="B3152" s="5" t="s">
        <v>9504</v>
      </c>
      <c r="C3152" s="7" t="s">
        <v>12556</v>
      </c>
      <c r="D3152" s="8">
        <f t="shared" si="200"/>
        <v>0</v>
      </c>
      <c r="E3152" s="7" t="s">
        <v>12557</v>
      </c>
      <c r="F3152" s="7">
        <f t="shared" si="201"/>
        <v>0</v>
      </c>
      <c r="G3152" s="7" t="s">
        <v>12558</v>
      </c>
      <c r="H3152" s="7">
        <f t="shared" si="202"/>
        <v>0</v>
      </c>
      <c r="I3152" s="7" t="str" cm="1">
        <f t="array" ref="I3152">IFERROR(_xlfn.IFS(M3152="נח",1,M3152="נע ונח",1,M3152="שני שווא נח",2,M3152="שני שוואים בסוף מילה",2,M3152="שני שוואים ברצף",1),"0")</f>
        <v>0</v>
      </c>
      <c r="J3152" s="9">
        <f t="shared" si="203"/>
        <v>3</v>
      </c>
      <c r="K3152" t="s">
        <v>6698</v>
      </c>
      <c r="L3152" t="s">
        <v>6694</v>
      </c>
      <c r="M3152" t="s">
        <v>6700</v>
      </c>
      <c r="Q3152" t="s">
        <v>6694</v>
      </c>
      <c r="V3152" t="s">
        <v>6694</v>
      </c>
      <c r="W3152" t="s">
        <v>6720</v>
      </c>
    </row>
    <row r="3153" spans="1:23" ht="15.6" x14ac:dyDescent="0.4">
      <c r="A3153" s="2" t="s">
        <v>6107</v>
      </c>
      <c r="B3153" s="5" t="s">
        <v>9505</v>
      </c>
      <c r="C3153" s="7" t="s">
        <v>12556</v>
      </c>
      <c r="D3153" s="8">
        <f t="shared" si="200"/>
        <v>0</v>
      </c>
      <c r="E3153" s="7" t="s">
        <v>12557</v>
      </c>
      <c r="F3153" s="7">
        <f t="shared" si="201"/>
        <v>1</v>
      </c>
      <c r="G3153" s="7" t="s">
        <v>12558</v>
      </c>
      <c r="H3153" s="7">
        <f t="shared" si="202"/>
        <v>0</v>
      </c>
      <c r="I3153" s="7" t="str" cm="1">
        <f t="array" ref="I3153">IFERROR(_xlfn.IFS(M3153="נח",1,M3153="נע ונח",1,M3153="שני שווא נח",2,M3153="שני שוואים בסוף מילה",2,M3153="שני שוואים ברצף",1),"0")</f>
        <v>0</v>
      </c>
      <c r="J3153" s="9">
        <f t="shared" si="203"/>
        <v>3</v>
      </c>
      <c r="K3153" t="s">
        <v>6698</v>
      </c>
      <c r="L3153" t="s">
        <v>6694</v>
      </c>
      <c r="M3153" t="s">
        <v>6700</v>
      </c>
      <c r="P3153" t="s">
        <v>6694</v>
      </c>
      <c r="Q3153" t="s">
        <v>6694</v>
      </c>
      <c r="W3153" t="s">
        <v>6720</v>
      </c>
    </row>
    <row r="3154" spans="1:23" ht="15.6" x14ac:dyDescent="0.4">
      <c r="A3154" s="2" t="s">
        <v>32</v>
      </c>
      <c r="B3154" s="5" t="s">
        <v>9506</v>
      </c>
      <c r="C3154" s="7" t="s">
        <v>12556</v>
      </c>
      <c r="D3154" s="8">
        <f t="shared" si="200"/>
        <v>0</v>
      </c>
      <c r="E3154" s="7" t="s">
        <v>12557</v>
      </c>
      <c r="F3154" s="7">
        <f t="shared" si="201"/>
        <v>2</v>
      </c>
      <c r="G3154" s="7" t="s">
        <v>12558</v>
      </c>
      <c r="H3154" s="7">
        <f t="shared" si="202"/>
        <v>1</v>
      </c>
      <c r="I3154" s="7" cm="1">
        <f t="array" ref="I3154">IFERROR(_xlfn.IFS(M3154="נח",1,M3154="נע ונח",1,M3154="שני שווא נח",2,M3154="שני שוואים בסוף מילה",2,M3154="שני שוואים ברצף",1),"0")</f>
        <v>1</v>
      </c>
      <c r="J3154" s="9">
        <f t="shared" si="203"/>
        <v>4</v>
      </c>
      <c r="K3154" t="s">
        <v>6697</v>
      </c>
      <c r="L3154" t="s">
        <v>6694</v>
      </c>
      <c r="M3154" t="s">
        <v>6701</v>
      </c>
      <c r="P3154" t="s">
        <v>6694</v>
      </c>
      <c r="Q3154" t="s">
        <v>6694</v>
      </c>
      <c r="U3154" t="s">
        <v>6694</v>
      </c>
      <c r="W3154" t="s">
        <v>6720</v>
      </c>
    </row>
    <row r="3155" spans="1:23" ht="15.6" x14ac:dyDescent="0.4">
      <c r="A3155" s="2" t="s">
        <v>1454</v>
      </c>
      <c r="B3155" s="5" t="s">
        <v>9507</v>
      </c>
      <c r="C3155" s="7" t="s">
        <v>12556</v>
      </c>
      <c r="D3155" s="8">
        <f t="shared" si="200"/>
        <v>0</v>
      </c>
      <c r="E3155" s="7" t="s">
        <v>12557</v>
      </c>
      <c r="F3155" s="7">
        <f t="shared" si="201"/>
        <v>0</v>
      </c>
      <c r="G3155" s="7" t="s">
        <v>12558</v>
      </c>
      <c r="H3155" s="7">
        <f t="shared" si="202"/>
        <v>0</v>
      </c>
      <c r="I3155" s="7" t="str" cm="1">
        <f t="array" ref="I3155">IFERROR(_xlfn.IFS(M3155="נח",1,M3155="נע ונח",1,M3155="שני שווא נח",2,M3155="שני שוואים בסוף מילה",2,M3155="שני שוואים ברצף",1),"0")</f>
        <v>0</v>
      </c>
      <c r="J3155" s="9">
        <f t="shared" si="203"/>
        <v>3</v>
      </c>
      <c r="K3155" t="s">
        <v>6698</v>
      </c>
      <c r="L3155" t="s">
        <v>6694</v>
      </c>
      <c r="M3155" t="s">
        <v>6700</v>
      </c>
      <c r="O3155" t="s">
        <v>6694</v>
      </c>
      <c r="Q3155" t="s">
        <v>6694</v>
      </c>
      <c r="W3155" t="s">
        <v>6720</v>
      </c>
    </row>
    <row r="3156" spans="1:23" ht="15.6" x14ac:dyDescent="0.4">
      <c r="A3156" s="2" t="s">
        <v>2334</v>
      </c>
      <c r="B3156" s="5" t="s">
        <v>9508</v>
      </c>
      <c r="C3156" s="7" t="s">
        <v>12556</v>
      </c>
      <c r="D3156" s="8">
        <f t="shared" si="200"/>
        <v>0</v>
      </c>
      <c r="E3156" s="7" t="s">
        <v>12557</v>
      </c>
      <c r="F3156" s="7">
        <f t="shared" si="201"/>
        <v>1</v>
      </c>
      <c r="G3156" s="7" t="s">
        <v>12558</v>
      </c>
      <c r="H3156" s="7">
        <f t="shared" si="202"/>
        <v>1</v>
      </c>
      <c r="I3156" s="7" t="str" cm="1">
        <f t="array" ref="I3156">IFERROR(_xlfn.IFS(M3156="נח",1,M3156="נע ונח",1,M3156="שני שווא נח",2,M3156="שני שוואים בסוף מילה",2,M3156="שני שוואים ברצף",1),"0")</f>
        <v>0</v>
      </c>
      <c r="J3156" s="9">
        <f t="shared" si="203"/>
        <v>4</v>
      </c>
      <c r="K3156" t="s">
        <v>6697</v>
      </c>
      <c r="L3156" t="s">
        <v>6694</v>
      </c>
      <c r="M3156" t="s">
        <v>6700</v>
      </c>
      <c r="P3156" t="s">
        <v>6694</v>
      </c>
      <c r="R3156" t="s">
        <v>6694</v>
      </c>
      <c r="U3156" t="s">
        <v>6694</v>
      </c>
      <c r="W3156" t="s">
        <v>6720</v>
      </c>
    </row>
    <row r="3157" spans="1:23" ht="15.6" x14ac:dyDescent="0.4">
      <c r="A3157" s="2" t="s">
        <v>6653</v>
      </c>
      <c r="B3157" s="5" t="s">
        <v>9509</v>
      </c>
      <c r="C3157" s="7" t="s">
        <v>12556</v>
      </c>
      <c r="D3157" s="8">
        <f t="shared" si="200"/>
        <v>0</v>
      </c>
      <c r="E3157" s="7" t="s">
        <v>12557</v>
      </c>
      <c r="F3157" s="7">
        <f t="shared" si="201"/>
        <v>1</v>
      </c>
      <c r="G3157" s="7" t="s">
        <v>12558</v>
      </c>
      <c r="H3157" s="7">
        <f t="shared" si="202"/>
        <v>0</v>
      </c>
      <c r="I3157" s="7" cm="1">
        <f t="array" ref="I3157">IFERROR(_xlfn.IFS(M3157="נח",1,M3157="נע ונח",1,M3157="שני שווא נח",2,M3157="שני שוואים בסוף מילה",2,M3157="שני שוואים ברצף",1),"0")</f>
        <v>1</v>
      </c>
      <c r="J3157" s="9">
        <f t="shared" si="203"/>
        <v>3</v>
      </c>
      <c r="K3157" t="s">
        <v>6698</v>
      </c>
      <c r="L3157" t="s">
        <v>6694</v>
      </c>
      <c r="M3157" t="s">
        <v>6701</v>
      </c>
      <c r="N3157" t="s">
        <v>6706</v>
      </c>
      <c r="O3157" t="s">
        <v>6694</v>
      </c>
      <c r="P3157" t="s">
        <v>6694</v>
      </c>
      <c r="W3157" t="s">
        <v>6720</v>
      </c>
    </row>
    <row r="3158" spans="1:23" ht="15.6" x14ac:dyDescent="0.4">
      <c r="A3158" s="2" t="s">
        <v>5123</v>
      </c>
      <c r="B3158" s="5" t="s">
        <v>9510</v>
      </c>
      <c r="C3158" s="7" t="s">
        <v>12556</v>
      </c>
      <c r="D3158" s="8">
        <f t="shared" si="200"/>
        <v>0</v>
      </c>
      <c r="E3158" s="7" t="s">
        <v>12557</v>
      </c>
      <c r="F3158" s="7">
        <f t="shared" si="201"/>
        <v>3</v>
      </c>
      <c r="G3158" s="7" t="s">
        <v>12558</v>
      </c>
      <c r="H3158" s="7">
        <f t="shared" si="202"/>
        <v>2</v>
      </c>
      <c r="I3158" s="7" t="str" cm="1">
        <f t="array" ref="I3158">IFERROR(_xlfn.IFS(M3158="נח",1,M3158="נע ונח",1,M3158="שני שווא נח",2,M3158="שני שוואים בסוף מילה",2,M3158="שני שוואים ברצף",1),"0")</f>
        <v>0</v>
      </c>
      <c r="J3158" s="9">
        <f t="shared" si="203"/>
        <v>4</v>
      </c>
      <c r="K3158" t="s">
        <v>6697</v>
      </c>
      <c r="L3158" t="s">
        <v>6694</v>
      </c>
      <c r="M3158" t="s">
        <v>6700</v>
      </c>
      <c r="R3158" t="s">
        <v>6694</v>
      </c>
      <c r="U3158" t="s">
        <v>6694</v>
      </c>
      <c r="W3158" t="s">
        <v>6720</v>
      </c>
    </row>
    <row r="3159" spans="1:23" ht="15.6" x14ac:dyDescent="0.4">
      <c r="A3159" s="2" t="s">
        <v>5366</v>
      </c>
      <c r="B3159" s="5" t="s">
        <v>9511</v>
      </c>
      <c r="C3159" s="7" t="s">
        <v>12556</v>
      </c>
      <c r="D3159" s="8">
        <f t="shared" si="200"/>
        <v>0</v>
      </c>
      <c r="E3159" s="7" t="s">
        <v>12557</v>
      </c>
      <c r="F3159" s="7">
        <f t="shared" si="201"/>
        <v>1</v>
      </c>
      <c r="G3159" s="7" t="s">
        <v>12558</v>
      </c>
      <c r="H3159" s="7">
        <f t="shared" si="202"/>
        <v>1</v>
      </c>
      <c r="I3159" s="7" t="str" cm="1">
        <f t="array" ref="I3159">IFERROR(_xlfn.IFS(M3159="נח",1,M3159="נע ונח",1,M3159="שני שווא נח",2,M3159="שני שוואים בסוף מילה",2,M3159="שני שוואים ברצף",1),"0")</f>
        <v>0</v>
      </c>
      <c r="J3159" s="9">
        <f t="shared" si="203"/>
        <v>3</v>
      </c>
      <c r="K3159" t="s">
        <v>6698</v>
      </c>
      <c r="L3159" t="s">
        <v>6694</v>
      </c>
      <c r="M3159" t="s">
        <v>6700</v>
      </c>
      <c r="N3159" t="s">
        <v>6706</v>
      </c>
      <c r="O3159" t="s">
        <v>6694</v>
      </c>
      <c r="U3159" t="s">
        <v>6694</v>
      </c>
      <c r="W3159" t="s">
        <v>6720</v>
      </c>
    </row>
    <row r="3160" spans="1:23" ht="15.6" x14ac:dyDescent="0.4">
      <c r="A3160" s="2" t="s">
        <v>4196</v>
      </c>
      <c r="B3160" s="5" t="s">
        <v>9512</v>
      </c>
      <c r="C3160" s="7" t="s">
        <v>12556</v>
      </c>
      <c r="D3160" s="8">
        <f t="shared" si="200"/>
        <v>0</v>
      </c>
      <c r="E3160" s="7" t="s">
        <v>12557</v>
      </c>
      <c r="F3160" s="7">
        <f t="shared" si="201"/>
        <v>1</v>
      </c>
      <c r="G3160" s="7" t="s">
        <v>12558</v>
      </c>
      <c r="H3160" s="7">
        <f t="shared" si="202"/>
        <v>0</v>
      </c>
      <c r="I3160" s="7" cm="1">
        <f t="array" ref="I3160">IFERROR(_xlfn.IFS(M3160="נח",1,M3160="נע ונח",1,M3160="שני שווא נח",2,M3160="שני שוואים בסוף מילה",2,M3160="שני שוואים ברצף",1),"0")</f>
        <v>1</v>
      </c>
      <c r="J3160" s="9">
        <f t="shared" si="203"/>
        <v>4</v>
      </c>
      <c r="K3160" t="s">
        <v>6697</v>
      </c>
      <c r="L3160" t="s">
        <v>6694</v>
      </c>
      <c r="M3160" t="s">
        <v>6701</v>
      </c>
      <c r="P3160" t="s">
        <v>6694</v>
      </c>
      <c r="Q3160" t="s">
        <v>6694</v>
      </c>
      <c r="S3160" t="s">
        <v>6694</v>
      </c>
      <c r="W3160" t="s">
        <v>6720</v>
      </c>
    </row>
    <row r="3161" spans="1:23" ht="15.6" x14ac:dyDescent="0.4">
      <c r="A3161" s="2" t="s">
        <v>5818</v>
      </c>
      <c r="B3161" s="5" t="s">
        <v>9513</v>
      </c>
      <c r="C3161" s="7" t="s">
        <v>12556</v>
      </c>
      <c r="D3161" s="8">
        <f t="shared" si="200"/>
        <v>0</v>
      </c>
      <c r="E3161" s="7" t="s">
        <v>12557</v>
      </c>
      <c r="F3161" s="7">
        <f t="shared" si="201"/>
        <v>2</v>
      </c>
      <c r="G3161" s="7" t="s">
        <v>12558</v>
      </c>
      <c r="H3161" s="7">
        <f t="shared" si="202"/>
        <v>1</v>
      </c>
      <c r="I3161" s="7" cm="1">
        <f t="array" ref="I3161">IFERROR(_xlfn.IFS(M3161="נח",1,M3161="נע ונח",1,M3161="שני שווא נח",2,M3161="שני שוואים בסוף מילה",2,M3161="שני שוואים ברצף",1),"0")</f>
        <v>1</v>
      </c>
      <c r="J3161" s="9">
        <f t="shared" si="203"/>
        <v>3</v>
      </c>
      <c r="K3161" t="s">
        <v>6697</v>
      </c>
      <c r="L3161" t="s">
        <v>6694</v>
      </c>
      <c r="M3161" t="s">
        <v>6701</v>
      </c>
      <c r="P3161" t="s">
        <v>6694</v>
      </c>
      <c r="U3161" t="s">
        <v>6694</v>
      </c>
      <c r="W3161" t="s">
        <v>6720</v>
      </c>
    </row>
    <row r="3162" spans="1:23" ht="15.6" x14ac:dyDescent="0.4">
      <c r="A3162" s="2" t="s">
        <v>1975</v>
      </c>
      <c r="B3162" s="5" t="s">
        <v>9514</v>
      </c>
      <c r="C3162" s="7" t="s">
        <v>12556</v>
      </c>
      <c r="D3162" s="8">
        <f t="shared" si="200"/>
        <v>0</v>
      </c>
      <c r="E3162" s="7" t="s">
        <v>12557</v>
      </c>
      <c r="F3162" s="7">
        <f t="shared" si="201"/>
        <v>2</v>
      </c>
      <c r="G3162" s="7" t="s">
        <v>12558</v>
      </c>
      <c r="H3162" s="7">
        <f t="shared" si="202"/>
        <v>1</v>
      </c>
      <c r="I3162" s="7" cm="1">
        <f t="array" ref="I3162">IFERROR(_xlfn.IFS(M3162="נח",1,M3162="נע ונח",1,M3162="שני שווא נח",2,M3162="שני שוואים בסוף מילה",2,M3162="שני שוואים ברצף",1),"0")</f>
        <v>1</v>
      </c>
      <c r="J3162" s="9">
        <f t="shared" si="203"/>
        <v>4</v>
      </c>
      <c r="K3162" t="s">
        <v>6697</v>
      </c>
      <c r="L3162" t="s">
        <v>6694</v>
      </c>
      <c r="M3162" t="s">
        <v>6701</v>
      </c>
      <c r="P3162" t="s">
        <v>6694</v>
      </c>
      <c r="S3162" t="s">
        <v>6694</v>
      </c>
      <c r="U3162" t="s">
        <v>6694</v>
      </c>
      <c r="W3162" t="s">
        <v>6720</v>
      </c>
    </row>
    <row r="3163" spans="1:23" ht="15.6" x14ac:dyDescent="0.4">
      <c r="A3163" s="2" t="s">
        <v>5472</v>
      </c>
      <c r="B3163" s="5" t="s">
        <v>9515</v>
      </c>
      <c r="C3163" s="7" t="s">
        <v>12556</v>
      </c>
      <c r="D3163" s="8">
        <f t="shared" si="200"/>
        <v>0</v>
      </c>
      <c r="E3163" s="7" t="s">
        <v>12557</v>
      </c>
      <c r="F3163" s="7">
        <f t="shared" si="201"/>
        <v>3</v>
      </c>
      <c r="G3163" s="7" t="s">
        <v>12558</v>
      </c>
      <c r="H3163" s="7">
        <f t="shared" si="202"/>
        <v>2</v>
      </c>
      <c r="I3163" s="7" cm="1">
        <f t="array" ref="I3163">IFERROR(_xlfn.IFS(M3163="נח",1,M3163="נע ונח",1,M3163="שני שווא נח",2,M3163="שני שוואים בסוף מילה",2,M3163="שני שוואים ברצף",1),"0")</f>
        <v>1</v>
      </c>
      <c r="J3163" s="9">
        <f t="shared" si="203"/>
        <v>4</v>
      </c>
      <c r="K3163" t="s">
        <v>6697</v>
      </c>
      <c r="L3163" t="s">
        <v>6694</v>
      </c>
      <c r="M3163" t="s">
        <v>6701</v>
      </c>
      <c r="P3163" t="s">
        <v>6694</v>
      </c>
      <c r="U3163" t="s">
        <v>6694</v>
      </c>
      <c r="W3163" t="s">
        <v>6720</v>
      </c>
    </row>
    <row r="3164" spans="1:23" ht="15.6" x14ac:dyDescent="0.4">
      <c r="A3164" s="2" t="s">
        <v>4304</v>
      </c>
      <c r="B3164" s="5" t="s">
        <v>9516</v>
      </c>
      <c r="C3164" s="7" t="s">
        <v>12556</v>
      </c>
      <c r="D3164" s="8">
        <f t="shared" si="200"/>
        <v>0</v>
      </c>
      <c r="E3164" s="7" t="s">
        <v>12557</v>
      </c>
      <c r="F3164" s="7">
        <f t="shared" si="201"/>
        <v>1</v>
      </c>
      <c r="G3164" s="7" t="s">
        <v>12558</v>
      </c>
      <c r="H3164" s="7">
        <f t="shared" si="202"/>
        <v>1</v>
      </c>
      <c r="I3164" s="7" t="str" cm="1">
        <f t="array" ref="I3164">IFERROR(_xlfn.IFS(M3164="נח",1,M3164="נע ונח",1,M3164="שני שווא נח",2,M3164="שני שוואים בסוף מילה",2,M3164="שני שוואים ברצף",1),"0")</f>
        <v>0</v>
      </c>
      <c r="J3164" s="9">
        <f t="shared" si="203"/>
        <v>4</v>
      </c>
      <c r="K3164" t="s">
        <v>6697</v>
      </c>
      <c r="L3164" t="s">
        <v>6694</v>
      </c>
      <c r="M3164" t="s">
        <v>6703</v>
      </c>
      <c r="P3164" t="s">
        <v>6694</v>
      </c>
      <c r="U3164" t="s">
        <v>6694</v>
      </c>
      <c r="W3164" t="s">
        <v>6720</v>
      </c>
    </row>
    <row r="3165" spans="1:23" ht="15.6" x14ac:dyDescent="0.4">
      <c r="A3165" s="2" t="s">
        <v>700</v>
      </c>
      <c r="B3165" s="5" t="s">
        <v>9517</v>
      </c>
      <c r="C3165" s="7" t="s">
        <v>12556</v>
      </c>
      <c r="D3165" s="8">
        <f t="shared" si="200"/>
        <v>0</v>
      </c>
      <c r="E3165" s="7" t="s">
        <v>12557</v>
      </c>
      <c r="F3165" s="7">
        <f t="shared" si="201"/>
        <v>2</v>
      </c>
      <c r="G3165" s="7" t="s">
        <v>12558</v>
      </c>
      <c r="H3165" s="7">
        <f t="shared" si="202"/>
        <v>1</v>
      </c>
      <c r="I3165" s="7" t="str" cm="1">
        <f t="array" ref="I3165">IFERROR(_xlfn.IFS(M3165="נח",1,M3165="נע ונח",1,M3165="שני שווא נח",2,M3165="שני שוואים בסוף מילה",2,M3165="שני שוואים ברצף",1),"0")</f>
        <v>0</v>
      </c>
      <c r="J3165" s="9">
        <f t="shared" si="203"/>
        <v>4</v>
      </c>
      <c r="K3165" t="s">
        <v>6697</v>
      </c>
      <c r="L3165" t="s">
        <v>6694</v>
      </c>
      <c r="M3165" t="s">
        <v>6700</v>
      </c>
      <c r="P3165" t="s">
        <v>6694</v>
      </c>
      <c r="Q3165" t="s">
        <v>6694</v>
      </c>
      <c r="U3165" t="s">
        <v>6694</v>
      </c>
      <c r="W3165" t="s">
        <v>6720</v>
      </c>
    </row>
    <row r="3166" spans="1:23" ht="15.6" x14ac:dyDescent="0.4">
      <c r="A3166" s="2" t="s">
        <v>989</v>
      </c>
      <c r="B3166" s="5" t="s">
        <v>9518</v>
      </c>
      <c r="C3166" s="7" t="s">
        <v>12556</v>
      </c>
      <c r="D3166" s="8">
        <f t="shared" si="200"/>
        <v>0</v>
      </c>
      <c r="E3166" s="7" t="s">
        <v>12557</v>
      </c>
      <c r="F3166" s="7">
        <f t="shared" si="201"/>
        <v>2</v>
      </c>
      <c r="G3166" s="7" t="s">
        <v>12558</v>
      </c>
      <c r="H3166" s="7">
        <f t="shared" si="202"/>
        <v>2</v>
      </c>
      <c r="I3166" s="7" t="str" cm="1">
        <f t="array" ref="I3166">IFERROR(_xlfn.IFS(M3166="נח",1,M3166="נע ונח",1,M3166="שני שווא נח",2,M3166="שני שוואים בסוף מילה",2,M3166="שני שוואים ברצף",1),"0")</f>
        <v>0</v>
      </c>
      <c r="J3166" s="9">
        <f t="shared" si="203"/>
        <v>3</v>
      </c>
      <c r="K3166" t="s">
        <v>6698</v>
      </c>
      <c r="L3166" t="s">
        <v>6694</v>
      </c>
      <c r="M3166" t="s">
        <v>6700</v>
      </c>
      <c r="U3166" t="s">
        <v>6694</v>
      </c>
      <c r="W3166" t="s">
        <v>6720</v>
      </c>
    </row>
    <row r="3167" spans="1:23" ht="15.6" x14ac:dyDescent="0.4">
      <c r="A3167" s="2" t="s">
        <v>2780</v>
      </c>
      <c r="B3167" s="5" t="s">
        <v>9519</v>
      </c>
      <c r="C3167" s="7" t="s">
        <v>12556</v>
      </c>
      <c r="D3167" s="8">
        <f t="shared" si="200"/>
        <v>0</v>
      </c>
      <c r="E3167" s="7" t="s">
        <v>12557</v>
      </c>
      <c r="F3167" s="7">
        <f t="shared" si="201"/>
        <v>0</v>
      </c>
      <c r="G3167" s="7" t="s">
        <v>12558</v>
      </c>
      <c r="H3167" s="7">
        <f t="shared" si="202"/>
        <v>0</v>
      </c>
      <c r="I3167" s="7" t="str" cm="1">
        <f t="array" ref="I3167">IFERROR(_xlfn.IFS(M3167="נח",1,M3167="נע ונח",1,M3167="שני שווא נח",2,M3167="שני שוואים בסוף מילה",2,M3167="שני שוואים ברצף",1),"0")</f>
        <v>0</v>
      </c>
      <c r="J3167" s="9">
        <f t="shared" si="203"/>
        <v>3</v>
      </c>
      <c r="K3167" t="s">
        <v>6698</v>
      </c>
      <c r="L3167" t="s">
        <v>6694</v>
      </c>
      <c r="M3167" t="s">
        <v>6700</v>
      </c>
      <c r="P3167" t="s">
        <v>6694</v>
      </c>
      <c r="S3167" t="s">
        <v>6694</v>
      </c>
      <c r="W3167" t="s">
        <v>6720</v>
      </c>
    </row>
    <row r="3168" spans="1:23" ht="15.6" x14ac:dyDescent="0.4">
      <c r="A3168" s="2" t="s">
        <v>6579</v>
      </c>
      <c r="B3168" s="5" t="s">
        <v>9520</v>
      </c>
      <c r="C3168" s="7" t="s">
        <v>12556</v>
      </c>
      <c r="D3168" s="8">
        <f t="shared" si="200"/>
        <v>0</v>
      </c>
      <c r="E3168" s="7" t="s">
        <v>12557</v>
      </c>
      <c r="F3168" s="7">
        <f t="shared" si="201"/>
        <v>1</v>
      </c>
      <c r="G3168" s="7" t="s">
        <v>12558</v>
      </c>
      <c r="H3168" s="7">
        <f t="shared" si="202"/>
        <v>1</v>
      </c>
      <c r="I3168" s="7" t="str" cm="1">
        <f t="array" ref="I3168">IFERROR(_xlfn.IFS(M3168="נח",1,M3168="נע ונח",1,M3168="שני שווא נח",2,M3168="שני שוואים בסוף מילה",2,M3168="שני שוואים ברצף",1),"0")</f>
        <v>0</v>
      </c>
      <c r="J3168" s="9">
        <f t="shared" si="203"/>
        <v>3</v>
      </c>
      <c r="K3168" t="s">
        <v>6698</v>
      </c>
      <c r="L3168" t="s">
        <v>6694</v>
      </c>
      <c r="M3168" t="s">
        <v>6700</v>
      </c>
      <c r="S3168" t="s">
        <v>6694</v>
      </c>
      <c r="U3168" t="s">
        <v>6694</v>
      </c>
      <c r="W3168" t="s">
        <v>6720</v>
      </c>
    </row>
    <row r="3169" spans="1:23" ht="15.6" x14ac:dyDescent="0.4">
      <c r="A3169" s="2" t="s">
        <v>911</v>
      </c>
      <c r="B3169" s="5" t="s">
        <v>9521</v>
      </c>
      <c r="C3169" s="7" t="s">
        <v>12556</v>
      </c>
      <c r="D3169" s="8">
        <f t="shared" si="200"/>
        <v>0</v>
      </c>
      <c r="E3169" s="7" t="s">
        <v>12557</v>
      </c>
      <c r="F3169" s="7">
        <f t="shared" si="201"/>
        <v>0</v>
      </c>
      <c r="G3169" s="7" t="s">
        <v>12558</v>
      </c>
      <c r="H3169" s="7">
        <f t="shared" si="202"/>
        <v>0</v>
      </c>
      <c r="I3169" s="7" t="str" cm="1">
        <f t="array" ref="I3169">IFERROR(_xlfn.IFS(M3169="נח",1,M3169="נע ונח",1,M3169="שני שווא נח",2,M3169="שני שוואים בסוף מילה",2,M3169="שני שוואים ברצף",1),"0")</f>
        <v>0</v>
      </c>
      <c r="J3169" s="9">
        <f t="shared" si="203"/>
        <v>2</v>
      </c>
      <c r="K3169" t="s">
        <v>6697</v>
      </c>
      <c r="L3169" t="s">
        <v>6694</v>
      </c>
      <c r="M3169" t="s">
        <v>6700</v>
      </c>
      <c r="Q3169" t="s">
        <v>6694</v>
      </c>
      <c r="W3169" t="s">
        <v>6720</v>
      </c>
    </row>
    <row r="3170" spans="1:23" ht="15.6" x14ac:dyDescent="0.4">
      <c r="A3170" s="2" t="s">
        <v>1370</v>
      </c>
      <c r="B3170" s="5" t="s">
        <v>9522</v>
      </c>
      <c r="C3170" s="7" t="s">
        <v>12556</v>
      </c>
      <c r="D3170" s="8">
        <f t="shared" si="200"/>
        <v>0</v>
      </c>
      <c r="E3170" s="7" t="s">
        <v>12557</v>
      </c>
      <c r="F3170" s="7">
        <f t="shared" si="201"/>
        <v>0</v>
      </c>
      <c r="G3170" s="7" t="s">
        <v>12558</v>
      </c>
      <c r="H3170" s="7">
        <f t="shared" si="202"/>
        <v>0</v>
      </c>
      <c r="I3170" s="7" t="str" cm="1">
        <f t="array" ref="I3170">IFERROR(_xlfn.IFS(M3170="נח",1,M3170="נע ונח",1,M3170="שני שווא נח",2,M3170="שני שוואים בסוף מילה",2,M3170="שני שוואים ברצף",1),"0")</f>
        <v>0</v>
      </c>
      <c r="J3170" s="9">
        <f t="shared" si="203"/>
        <v>3</v>
      </c>
      <c r="K3170" t="s">
        <v>6698</v>
      </c>
      <c r="L3170" t="s">
        <v>6694</v>
      </c>
      <c r="M3170" t="s">
        <v>6700</v>
      </c>
      <c r="N3170" t="s">
        <v>6706</v>
      </c>
      <c r="O3170" t="s">
        <v>6694</v>
      </c>
      <c r="Q3170" t="s">
        <v>6694</v>
      </c>
      <c r="W3170" t="s">
        <v>6720</v>
      </c>
    </row>
    <row r="3171" spans="1:23" ht="15.6" x14ac:dyDescent="0.4">
      <c r="A3171" s="2" t="s">
        <v>1458</v>
      </c>
      <c r="B3171" s="5" t="s">
        <v>9523</v>
      </c>
      <c r="C3171" s="7" t="s">
        <v>12556</v>
      </c>
      <c r="D3171" s="8">
        <f t="shared" si="200"/>
        <v>0</v>
      </c>
      <c r="E3171" s="7" t="s">
        <v>12557</v>
      </c>
      <c r="F3171" s="7">
        <f t="shared" si="201"/>
        <v>2</v>
      </c>
      <c r="G3171" s="7" t="s">
        <v>12558</v>
      </c>
      <c r="H3171" s="7">
        <f t="shared" si="202"/>
        <v>1</v>
      </c>
      <c r="I3171" s="7" cm="1">
        <f t="array" ref="I3171">IFERROR(_xlfn.IFS(M3171="נח",1,M3171="נע ונח",1,M3171="שני שווא נח",2,M3171="שני שוואים בסוף מילה",2,M3171="שני שוואים ברצף",1),"0")</f>
        <v>1</v>
      </c>
      <c r="J3171" s="9">
        <f t="shared" si="203"/>
        <v>3</v>
      </c>
      <c r="K3171" t="s">
        <v>6697</v>
      </c>
      <c r="L3171" t="s">
        <v>6694</v>
      </c>
      <c r="M3171" t="s">
        <v>6701</v>
      </c>
      <c r="P3171" t="s">
        <v>6694</v>
      </c>
      <c r="U3171" t="s">
        <v>6694</v>
      </c>
      <c r="W3171" t="s">
        <v>6720</v>
      </c>
    </row>
    <row r="3172" spans="1:23" ht="15.6" x14ac:dyDescent="0.4">
      <c r="A3172" s="2" t="s">
        <v>873</v>
      </c>
      <c r="B3172" s="5" t="s">
        <v>9523</v>
      </c>
      <c r="C3172" s="7" t="s">
        <v>12556</v>
      </c>
      <c r="D3172" s="8">
        <f t="shared" si="200"/>
        <v>0</v>
      </c>
      <c r="E3172" s="7" t="s">
        <v>12557</v>
      </c>
      <c r="F3172" s="7">
        <f t="shared" si="201"/>
        <v>2</v>
      </c>
      <c r="G3172" s="7" t="s">
        <v>12558</v>
      </c>
      <c r="H3172" s="7">
        <f t="shared" si="202"/>
        <v>1</v>
      </c>
      <c r="I3172" s="7" t="str" cm="1">
        <f t="array" ref="I3172">IFERROR(_xlfn.IFS(M3172="נח",1,M3172="נע ונח",1,M3172="שני שווא נח",2,M3172="שני שוואים בסוף מילה",2,M3172="שני שוואים ברצף",1),"0")</f>
        <v>0</v>
      </c>
      <c r="J3172" s="9">
        <f t="shared" si="203"/>
        <v>4</v>
      </c>
      <c r="K3172" t="s">
        <v>6697</v>
      </c>
      <c r="L3172" t="s">
        <v>6694</v>
      </c>
      <c r="M3172" t="s">
        <v>6700</v>
      </c>
      <c r="P3172" t="s">
        <v>6694</v>
      </c>
      <c r="Q3172" t="s">
        <v>6694</v>
      </c>
      <c r="U3172" t="s">
        <v>6694</v>
      </c>
      <c r="W3172" t="s">
        <v>6720</v>
      </c>
    </row>
    <row r="3173" spans="1:23" ht="15.6" x14ac:dyDescent="0.4">
      <c r="A3173" s="2" t="s">
        <v>5975</v>
      </c>
      <c r="B3173" s="5" t="s">
        <v>9524</v>
      </c>
      <c r="C3173" s="7" t="s">
        <v>12556</v>
      </c>
      <c r="D3173" s="8">
        <f t="shared" si="200"/>
        <v>0</v>
      </c>
      <c r="E3173" s="7" t="s">
        <v>12557</v>
      </c>
      <c r="F3173" s="7">
        <f t="shared" si="201"/>
        <v>2</v>
      </c>
      <c r="G3173" s="7" t="s">
        <v>12558</v>
      </c>
      <c r="H3173" s="7">
        <f t="shared" si="202"/>
        <v>1</v>
      </c>
      <c r="I3173" s="7" t="str" cm="1">
        <f t="array" ref="I3173">IFERROR(_xlfn.IFS(M3173="נח",1,M3173="נע ונח",1,M3173="שני שווא נח",2,M3173="שני שוואים בסוף מילה",2,M3173="שני שוואים ברצף",1),"0")</f>
        <v>0</v>
      </c>
      <c r="J3173" s="9">
        <f t="shared" si="203"/>
        <v>4</v>
      </c>
      <c r="K3173" t="s">
        <v>6697</v>
      </c>
      <c r="L3173" t="s">
        <v>6694</v>
      </c>
      <c r="M3173" t="s">
        <v>6700</v>
      </c>
      <c r="P3173" t="s">
        <v>6694</v>
      </c>
      <c r="Q3173" t="s">
        <v>6694</v>
      </c>
      <c r="U3173" t="s">
        <v>6694</v>
      </c>
      <c r="W3173" t="s">
        <v>6720</v>
      </c>
    </row>
    <row r="3174" spans="1:23" ht="15.6" x14ac:dyDescent="0.4">
      <c r="A3174" s="2" t="s">
        <v>4284</v>
      </c>
      <c r="B3174" s="5" t="s">
        <v>9525</v>
      </c>
      <c r="C3174" s="7" t="s">
        <v>12556</v>
      </c>
      <c r="D3174" s="8">
        <f t="shared" si="200"/>
        <v>1</v>
      </c>
      <c r="E3174" s="7" t="s">
        <v>12557</v>
      </c>
      <c r="F3174" s="7">
        <f t="shared" si="201"/>
        <v>1</v>
      </c>
      <c r="G3174" s="7" t="s">
        <v>12558</v>
      </c>
      <c r="H3174" s="7">
        <f t="shared" si="202"/>
        <v>0</v>
      </c>
      <c r="I3174" s="7" t="str" cm="1">
        <f t="array" ref="I3174">IFERROR(_xlfn.IFS(M3174="נח",1,M3174="נע ונח",1,M3174="שני שווא נח",2,M3174="שני שוואים בסוף מילה",2,M3174="שני שוואים ברצף",1),"0")</f>
        <v>0</v>
      </c>
      <c r="J3174" s="9">
        <f t="shared" si="203"/>
        <v>3</v>
      </c>
      <c r="K3174" t="s">
        <v>6698</v>
      </c>
      <c r="L3174" t="s">
        <v>6694</v>
      </c>
      <c r="M3174" t="s">
        <v>6700</v>
      </c>
      <c r="P3174" t="s">
        <v>6694</v>
      </c>
      <c r="T3174" t="s">
        <v>6694</v>
      </c>
      <c r="W3174" t="s">
        <v>6720</v>
      </c>
    </row>
    <row r="3175" spans="1:23" ht="15.6" x14ac:dyDescent="0.4">
      <c r="A3175" s="2" t="s">
        <v>2759</v>
      </c>
      <c r="B3175" s="5" t="s">
        <v>9526</v>
      </c>
      <c r="C3175" s="7" t="s">
        <v>12556</v>
      </c>
      <c r="D3175" s="8">
        <f t="shared" si="200"/>
        <v>0</v>
      </c>
      <c r="E3175" s="7" t="s">
        <v>12557</v>
      </c>
      <c r="F3175" s="7">
        <f t="shared" si="201"/>
        <v>1</v>
      </c>
      <c r="G3175" s="7" t="s">
        <v>12558</v>
      </c>
      <c r="H3175" s="7">
        <f t="shared" si="202"/>
        <v>1</v>
      </c>
      <c r="I3175" s="7" t="str" cm="1">
        <f t="array" ref="I3175">IFERROR(_xlfn.IFS(M3175="נח",1,M3175="נע ונח",1,M3175="שני שווא נח",2,M3175="שני שוואים בסוף מילה",2,M3175="שני שוואים ברצף",1),"0")</f>
        <v>0</v>
      </c>
      <c r="J3175" s="9">
        <f t="shared" si="203"/>
        <v>2</v>
      </c>
      <c r="K3175" t="s">
        <v>6697</v>
      </c>
      <c r="L3175" t="s">
        <v>6694</v>
      </c>
      <c r="M3175" t="s">
        <v>6700</v>
      </c>
      <c r="U3175" t="s">
        <v>6694</v>
      </c>
      <c r="W3175" t="s">
        <v>6720</v>
      </c>
    </row>
    <row r="3176" spans="1:23" ht="15.6" x14ac:dyDescent="0.4">
      <c r="A3176" s="2" t="s">
        <v>6257</v>
      </c>
      <c r="B3176" s="5" t="s">
        <v>9527</v>
      </c>
      <c r="C3176" s="7" t="s">
        <v>12556</v>
      </c>
      <c r="D3176" s="8">
        <f t="shared" si="200"/>
        <v>0</v>
      </c>
      <c r="E3176" s="7" t="s">
        <v>12557</v>
      </c>
      <c r="F3176" s="7">
        <f t="shared" si="201"/>
        <v>0</v>
      </c>
      <c r="G3176" s="7" t="s">
        <v>12558</v>
      </c>
      <c r="H3176" s="7">
        <f t="shared" si="202"/>
        <v>0</v>
      </c>
      <c r="I3176" s="7" t="str" cm="1">
        <f t="array" ref="I3176">IFERROR(_xlfn.IFS(M3176="נח",1,M3176="נע ונח",1,M3176="שני שווא נח",2,M3176="שני שוואים בסוף מילה",2,M3176="שני שוואים ברצף",1),"0")</f>
        <v>0</v>
      </c>
      <c r="J3176" s="9">
        <f t="shared" si="203"/>
        <v>5</v>
      </c>
      <c r="K3176" t="s">
        <v>6697</v>
      </c>
      <c r="L3176" t="s">
        <v>6694</v>
      </c>
      <c r="M3176" t="s">
        <v>6703</v>
      </c>
      <c r="Q3176" t="s">
        <v>6694</v>
      </c>
      <c r="S3176" t="s">
        <v>6694</v>
      </c>
      <c r="V3176" t="s">
        <v>6694</v>
      </c>
      <c r="W3176" t="s">
        <v>6720</v>
      </c>
    </row>
    <row r="3177" spans="1:23" ht="15.6" x14ac:dyDescent="0.4">
      <c r="A3177" s="2" t="s">
        <v>4180</v>
      </c>
      <c r="B3177" s="5" t="s">
        <v>9528</v>
      </c>
      <c r="C3177" s="7" t="s">
        <v>12556</v>
      </c>
      <c r="D3177" s="8">
        <f t="shared" si="200"/>
        <v>0</v>
      </c>
      <c r="E3177" s="7" t="s">
        <v>12557</v>
      </c>
      <c r="F3177" s="7">
        <f t="shared" si="201"/>
        <v>2</v>
      </c>
      <c r="G3177" s="7" t="s">
        <v>12558</v>
      </c>
      <c r="H3177" s="7">
        <f t="shared" si="202"/>
        <v>2</v>
      </c>
      <c r="I3177" s="7" t="str" cm="1">
        <f t="array" ref="I3177">IFERROR(_xlfn.IFS(M3177="נח",1,M3177="נע ונח",1,M3177="שני שווא נח",2,M3177="שני שוואים בסוף מילה",2,M3177="שני שוואים ברצף",1),"0")</f>
        <v>0</v>
      </c>
      <c r="J3177" s="9">
        <f t="shared" si="203"/>
        <v>3</v>
      </c>
      <c r="K3177" t="s">
        <v>6698</v>
      </c>
      <c r="L3177" t="s">
        <v>6694</v>
      </c>
      <c r="M3177" t="s">
        <v>6700</v>
      </c>
      <c r="U3177" t="s">
        <v>6694</v>
      </c>
      <c r="W3177" t="s">
        <v>6720</v>
      </c>
    </row>
    <row r="3178" spans="1:23" ht="15.6" x14ac:dyDescent="0.4">
      <c r="A3178" s="2" t="s">
        <v>1337</v>
      </c>
      <c r="B3178" s="5" t="s">
        <v>9529</v>
      </c>
      <c r="C3178" s="7" t="s">
        <v>12556</v>
      </c>
      <c r="D3178" s="8">
        <f t="shared" si="200"/>
        <v>1</v>
      </c>
      <c r="E3178" s="7" t="s">
        <v>12557</v>
      </c>
      <c r="F3178" s="7">
        <f t="shared" si="201"/>
        <v>1</v>
      </c>
      <c r="G3178" s="7" t="s">
        <v>12558</v>
      </c>
      <c r="H3178" s="7">
        <f t="shared" si="202"/>
        <v>1</v>
      </c>
      <c r="I3178" s="7" t="str" cm="1">
        <f t="array" ref="I3178">IFERROR(_xlfn.IFS(M3178="נח",1,M3178="נע ונח",1,M3178="שני שווא נח",2,M3178="שני שוואים בסוף מילה",2,M3178="שני שוואים ברצף",1),"0")</f>
        <v>0</v>
      </c>
      <c r="J3178" s="9">
        <f t="shared" si="203"/>
        <v>5</v>
      </c>
      <c r="K3178" t="s">
        <v>6698</v>
      </c>
      <c r="L3178" t="s">
        <v>6694</v>
      </c>
      <c r="M3178" t="s">
        <v>6700</v>
      </c>
      <c r="O3178" t="s">
        <v>6694</v>
      </c>
      <c r="P3178" t="s">
        <v>6694</v>
      </c>
      <c r="S3178" t="s">
        <v>6694</v>
      </c>
      <c r="U3178" t="s">
        <v>6694</v>
      </c>
      <c r="W3178" t="s">
        <v>6720</v>
      </c>
    </row>
    <row r="3179" spans="1:23" ht="15.6" x14ac:dyDescent="0.4">
      <c r="A3179" s="2" t="s">
        <v>387</v>
      </c>
      <c r="B3179" s="5" t="s">
        <v>9529</v>
      </c>
      <c r="C3179" s="7" t="s">
        <v>12556</v>
      </c>
      <c r="D3179" s="8">
        <f t="shared" si="200"/>
        <v>1</v>
      </c>
      <c r="E3179" s="7" t="s">
        <v>12557</v>
      </c>
      <c r="F3179" s="7">
        <f t="shared" si="201"/>
        <v>1</v>
      </c>
      <c r="G3179" s="7" t="s">
        <v>12558</v>
      </c>
      <c r="H3179" s="7">
        <f t="shared" si="202"/>
        <v>1</v>
      </c>
      <c r="I3179" s="7" t="str" cm="1">
        <f t="array" ref="I3179">IFERROR(_xlfn.IFS(M3179="נח",1,M3179="נע ונח",1,M3179="שני שווא נח",2,M3179="שני שוואים בסוף מילה",2,M3179="שני שוואים ברצף",1),"0")</f>
        <v>0</v>
      </c>
      <c r="J3179" s="9">
        <f t="shared" si="203"/>
        <v>5</v>
      </c>
      <c r="K3179" t="s">
        <v>6698</v>
      </c>
      <c r="L3179" t="s">
        <v>6694</v>
      </c>
      <c r="M3179" t="s">
        <v>6700</v>
      </c>
      <c r="O3179" t="s">
        <v>6694</v>
      </c>
      <c r="S3179" t="s">
        <v>6694</v>
      </c>
      <c r="U3179" t="s">
        <v>6694</v>
      </c>
      <c r="W3179" t="s">
        <v>6720</v>
      </c>
    </row>
    <row r="3180" spans="1:23" ht="15.6" x14ac:dyDescent="0.4">
      <c r="A3180" s="2" t="s">
        <v>4903</v>
      </c>
      <c r="B3180" s="5" t="s">
        <v>9530</v>
      </c>
      <c r="C3180" s="7" t="s">
        <v>12556</v>
      </c>
      <c r="D3180" s="8">
        <f t="shared" si="200"/>
        <v>1</v>
      </c>
      <c r="E3180" s="7" t="s">
        <v>12557</v>
      </c>
      <c r="F3180" s="7">
        <f t="shared" si="201"/>
        <v>2</v>
      </c>
      <c r="G3180" s="7" t="s">
        <v>12558</v>
      </c>
      <c r="H3180" s="7">
        <f t="shared" si="202"/>
        <v>2</v>
      </c>
      <c r="I3180" s="7" t="str" cm="1">
        <f t="array" ref="I3180">IFERROR(_xlfn.IFS(M3180="נח",1,M3180="נע ונח",1,M3180="שני שווא נח",2,M3180="שני שוואים בסוף מילה",2,M3180="שני שוואים ברצף",1),"0")</f>
        <v>0</v>
      </c>
      <c r="J3180" s="9">
        <f t="shared" si="203"/>
        <v>4</v>
      </c>
      <c r="K3180" t="s">
        <v>6697</v>
      </c>
      <c r="L3180" t="s">
        <v>6694</v>
      </c>
      <c r="M3180" t="s">
        <v>6700</v>
      </c>
      <c r="S3180" t="s">
        <v>6694</v>
      </c>
      <c r="U3180" t="s">
        <v>6694</v>
      </c>
      <c r="W3180" t="s">
        <v>6720</v>
      </c>
    </row>
    <row r="3181" spans="1:23" ht="15.6" x14ac:dyDescent="0.4">
      <c r="A3181" s="2" t="s">
        <v>6605</v>
      </c>
      <c r="B3181" s="5" t="s">
        <v>9531</v>
      </c>
      <c r="C3181" s="7" t="s">
        <v>12556</v>
      </c>
      <c r="D3181" s="8">
        <f t="shared" si="200"/>
        <v>1</v>
      </c>
      <c r="E3181" s="7" t="s">
        <v>12557</v>
      </c>
      <c r="F3181" s="7">
        <f t="shared" si="201"/>
        <v>2</v>
      </c>
      <c r="G3181" s="7" t="s">
        <v>12558</v>
      </c>
      <c r="H3181" s="7">
        <f t="shared" si="202"/>
        <v>1</v>
      </c>
      <c r="I3181" s="7" cm="1">
        <f t="array" ref="I3181">IFERROR(_xlfn.IFS(M3181="נח",1,M3181="נע ונח",1,M3181="שני שווא נח",2,M3181="שני שוואים בסוף מילה",2,M3181="שני שוואים ברצף",1),"0")</f>
        <v>1</v>
      </c>
      <c r="J3181" s="9">
        <f t="shared" si="203"/>
        <v>5</v>
      </c>
      <c r="K3181" t="s">
        <v>6697</v>
      </c>
      <c r="L3181" t="s">
        <v>6694</v>
      </c>
      <c r="M3181" t="s">
        <v>6701</v>
      </c>
      <c r="O3181" t="s">
        <v>6694</v>
      </c>
      <c r="P3181" t="s">
        <v>6694</v>
      </c>
      <c r="U3181" t="s">
        <v>6694</v>
      </c>
      <c r="W3181" t="s">
        <v>6720</v>
      </c>
    </row>
    <row r="3182" spans="1:23" ht="15.6" x14ac:dyDescent="0.4">
      <c r="A3182" s="2" t="s">
        <v>3791</v>
      </c>
      <c r="B3182" s="5" t="s">
        <v>9532</v>
      </c>
      <c r="C3182" s="7" t="s">
        <v>12556</v>
      </c>
      <c r="D3182" s="8">
        <f t="shared" si="200"/>
        <v>1</v>
      </c>
      <c r="E3182" s="7" t="s">
        <v>12557</v>
      </c>
      <c r="F3182" s="7">
        <f t="shared" si="201"/>
        <v>1</v>
      </c>
      <c r="G3182" s="7" t="s">
        <v>12558</v>
      </c>
      <c r="H3182" s="7">
        <f t="shared" si="202"/>
        <v>0</v>
      </c>
      <c r="I3182" s="7" t="str" cm="1">
        <f t="array" ref="I3182">IFERROR(_xlfn.IFS(M3182="נח",1,M3182="נע ונח",1,M3182="שני שווא נח",2,M3182="שני שוואים בסוף מילה",2,M3182="שני שוואים ברצף",1),"0")</f>
        <v>0</v>
      </c>
      <c r="J3182" s="9">
        <f t="shared" si="203"/>
        <v>3</v>
      </c>
      <c r="K3182" t="s">
        <v>6698</v>
      </c>
      <c r="L3182" t="s">
        <v>6694</v>
      </c>
      <c r="M3182" t="s">
        <v>6700</v>
      </c>
      <c r="P3182" t="s">
        <v>6694</v>
      </c>
      <c r="Q3182" t="s">
        <v>6694</v>
      </c>
      <c r="W3182" t="s">
        <v>6720</v>
      </c>
    </row>
    <row r="3183" spans="1:23" ht="15.6" x14ac:dyDescent="0.4">
      <c r="A3183" s="2" t="s">
        <v>1848</v>
      </c>
      <c r="B3183" s="5" t="s">
        <v>9533</v>
      </c>
      <c r="C3183" s="7" t="s">
        <v>12556</v>
      </c>
      <c r="D3183" s="8">
        <f t="shared" si="200"/>
        <v>1</v>
      </c>
      <c r="E3183" s="7" t="s">
        <v>12557</v>
      </c>
      <c r="F3183" s="7">
        <f t="shared" si="201"/>
        <v>2</v>
      </c>
      <c r="G3183" s="7" t="s">
        <v>12558</v>
      </c>
      <c r="H3183" s="7">
        <f t="shared" si="202"/>
        <v>2</v>
      </c>
      <c r="I3183" s="7" cm="1">
        <f t="array" ref="I3183">IFERROR(_xlfn.IFS(M3183="נח",1,M3183="נע ונח",1,M3183="שני שווא נח",2,M3183="שני שוואים בסוף מילה",2,M3183="שני שוואים ברצף",1),"0")</f>
        <v>1</v>
      </c>
      <c r="J3183" s="9">
        <f t="shared" si="203"/>
        <v>4</v>
      </c>
      <c r="K3183" t="s">
        <v>6697</v>
      </c>
      <c r="L3183" t="s">
        <v>6694</v>
      </c>
      <c r="M3183" t="s">
        <v>6701</v>
      </c>
      <c r="P3183" t="s">
        <v>6694</v>
      </c>
      <c r="U3183" t="s">
        <v>6694</v>
      </c>
      <c r="W3183" t="s">
        <v>6720</v>
      </c>
    </row>
    <row r="3184" spans="1:23" ht="15.6" x14ac:dyDescent="0.4">
      <c r="A3184" s="2" t="s">
        <v>991</v>
      </c>
      <c r="B3184" s="5" t="s">
        <v>9534</v>
      </c>
      <c r="C3184" s="7" t="s">
        <v>12556</v>
      </c>
      <c r="D3184" s="8">
        <f t="shared" si="200"/>
        <v>1</v>
      </c>
      <c r="E3184" s="7" t="s">
        <v>12557</v>
      </c>
      <c r="F3184" s="7">
        <f t="shared" si="201"/>
        <v>2</v>
      </c>
      <c r="G3184" s="7" t="s">
        <v>12558</v>
      </c>
      <c r="H3184" s="7">
        <f t="shared" si="202"/>
        <v>1</v>
      </c>
      <c r="I3184" s="7" cm="1">
        <f t="array" ref="I3184">IFERROR(_xlfn.IFS(M3184="נח",1,M3184="נע ונח",1,M3184="שני שווא נח",2,M3184="שני שוואים בסוף מילה",2,M3184="שני שוואים ברצף",1),"0")</f>
        <v>1</v>
      </c>
      <c r="J3184" s="9">
        <f t="shared" si="203"/>
        <v>4</v>
      </c>
      <c r="K3184" t="s">
        <v>6697</v>
      </c>
      <c r="L3184" t="s">
        <v>6694</v>
      </c>
      <c r="M3184" t="s">
        <v>6701</v>
      </c>
      <c r="P3184" t="s">
        <v>6694</v>
      </c>
      <c r="S3184" t="s">
        <v>6694</v>
      </c>
      <c r="U3184" t="s">
        <v>6694</v>
      </c>
      <c r="W3184" t="s">
        <v>6720</v>
      </c>
    </row>
    <row r="3185" spans="1:23" ht="15.6" x14ac:dyDescent="0.4">
      <c r="A3185" s="2" t="s">
        <v>2532</v>
      </c>
      <c r="B3185" s="5" t="s">
        <v>9535</v>
      </c>
      <c r="C3185" s="7" t="s">
        <v>12556</v>
      </c>
      <c r="D3185" s="8">
        <f t="shared" si="200"/>
        <v>1</v>
      </c>
      <c r="E3185" s="7" t="s">
        <v>12557</v>
      </c>
      <c r="F3185" s="7">
        <f t="shared" si="201"/>
        <v>1</v>
      </c>
      <c r="G3185" s="7" t="s">
        <v>12558</v>
      </c>
      <c r="H3185" s="7">
        <f t="shared" si="202"/>
        <v>0</v>
      </c>
      <c r="I3185" s="7" t="str" cm="1">
        <f t="array" ref="I3185">IFERROR(_xlfn.IFS(M3185="נח",1,M3185="נע ונח",1,M3185="שני שווא נח",2,M3185="שני שוואים בסוף מילה",2,M3185="שני שוואים ברצף",1),"0")</f>
        <v>0</v>
      </c>
      <c r="J3185" s="9">
        <f t="shared" si="203"/>
        <v>3</v>
      </c>
      <c r="K3185" t="s">
        <v>6698</v>
      </c>
      <c r="L3185" t="s">
        <v>6694</v>
      </c>
      <c r="M3185" t="s">
        <v>6700</v>
      </c>
      <c r="P3185" t="s">
        <v>6694</v>
      </c>
      <c r="Q3185" t="s">
        <v>6694</v>
      </c>
      <c r="W3185" t="s">
        <v>6720</v>
      </c>
    </row>
    <row r="3186" spans="1:23" ht="15.6" x14ac:dyDescent="0.4">
      <c r="A3186" s="2" t="s">
        <v>137</v>
      </c>
      <c r="B3186" s="5" t="s">
        <v>9536</v>
      </c>
      <c r="C3186" s="7" t="s">
        <v>12556</v>
      </c>
      <c r="D3186" s="8">
        <f t="shared" si="200"/>
        <v>2</v>
      </c>
      <c r="E3186" s="7" t="s">
        <v>12557</v>
      </c>
      <c r="F3186" s="7">
        <f t="shared" si="201"/>
        <v>1</v>
      </c>
      <c r="G3186" s="7" t="s">
        <v>12558</v>
      </c>
      <c r="H3186" s="7">
        <f t="shared" si="202"/>
        <v>1</v>
      </c>
      <c r="I3186" s="7" cm="1">
        <f t="array" ref="I3186">IFERROR(_xlfn.IFS(M3186="נח",1,M3186="נע ונח",1,M3186="שני שווא נח",2,M3186="שני שוואים בסוף מילה",2,M3186="שני שוואים ברצף",1),"0")</f>
        <v>1</v>
      </c>
      <c r="J3186" s="9">
        <f t="shared" si="203"/>
        <v>4</v>
      </c>
      <c r="K3186" t="s">
        <v>6697</v>
      </c>
      <c r="L3186" t="s">
        <v>6694</v>
      </c>
      <c r="M3186" t="s">
        <v>6701</v>
      </c>
      <c r="P3186" t="s">
        <v>6694</v>
      </c>
      <c r="U3186" t="s">
        <v>6694</v>
      </c>
      <c r="W3186" t="s">
        <v>6720</v>
      </c>
    </row>
    <row r="3187" spans="1:23" ht="15.6" x14ac:dyDescent="0.4">
      <c r="A3187" s="2" t="s">
        <v>6274</v>
      </c>
      <c r="B3187" s="5" t="s">
        <v>9537</v>
      </c>
      <c r="C3187" s="7" t="s">
        <v>12556</v>
      </c>
      <c r="D3187" s="8">
        <f t="shared" si="200"/>
        <v>1</v>
      </c>
      <c r="E3187" s="7" t="s">
        <v>12557</v>
      </c>
      <c r="F3187" s="7">
        <f t="shared" si="201"/>
        <v>0</v>
      </c>
      <c r="G3187" s="7" t="s">
        <v>12558</v>
      </c>
      <c r="H3187" s="7">
        <f t="shared" si="202"/>
        <v>0</v>
      </c>
      <c r="I3187" s="7" cm="1">
        <f t="array" ref="I3187">IFERROR(_xlfn.IFS(M3187="נח",1,M3187="נע ונח",1,M3187="שני שווא נח",2,M3187="שני שוואים בסוף מילה",2,M3187="שני שוואים ברצף",1),"0")</f>
        <v>1</v>
      </c>
      <c r="J3187" s="9">
        <f t="shared" si="203"/>
        <v>4</v>
      </c>
      <c r="K3187" t="s">
        <v>6697</v>
      </c>
      <c r="L3187" t="s">
        <v>6694</v>
      </c>
      <c r="M3187" t="s">
        <v>6701</v>
      </c>
      <c r="N3187" t="s">
        <v>6706</v>
      </c>
      <c r="O3187" t="s">
        <v>6694</v>
      </c>
      <c r="Q3187" t="s">
        <v>6694</v>
      </c>
      <c r="S3187" t="s">
        <v>6694</v>
      </c>
      <c r="W3187" t="s">
        <v>6720</v>
      </c>
    </row>
    <row r="3188" spans="1:23" ht="15.6" x14ac:dyDescent="0.4">
      <c r="A3188" s="2" t="s">
        <v>1148</v>
      </c>
      <c r="B3188" s="5" t="s">
        <v>9538</v>
      </c>
      <c r="C3188" s="7" t="s">
        <v>12556</v>
      </c>
      <c r="D3188" s="8">
        <f t="shared" si="200"/>
        <v>1</v>
      </c>
      <c r="E3188" s="7" t="s">
        <v>12557</v>
      </c>
      <c r="F3188" s="7">
        <f t="shared" si="201"/>
        <v>0</v>
      </c>
      <c r="G3188" s="7" t="s">
        <v>12558</v>
      </c>
      <c r="H3188" s="7">
        <f t="shared" si="202"/>
        <v>0</v>
      </c>
      <c r="I3188" s="7" t="str" cm="1">
        <f t="array" ref="I3188">IFERROR(_xlfn.IFS(M3188="נח",1,M3188="נע ונח",1,M3188="שני שווא נח",2,M3188="שני שוואים בסוף מילה",2,M3188="שני שוואים ברצף",1),"0")</f>
        <v>0</v>
      </c>
      <c r="J3188" s="9">
        <f t="shared" si="203"/>
        <v>3</v>
      </c>
      <c r="K3188" t="s">
        <v>6698</v>
      </c>
      <c r="L3188" t="s">
        <v>6694</v>
      </c>
      <c r="M3188" t="s">
        <v>6700</v>
      </c>
      <c r="O3188" t="s">
        <v>6694</v>
      </c>
      <c r="S3188" t="s">
        <v>6694</v>
      </c>
      <c r="W3188" t="s">
        <v>6720</v>
      </c>
    </row>
    <row r="3189" spans="1:23" ht="15.6" x14ac:dyDescent="0.4">
      <c r="A3189" s="2" t="s">
        <v>1533</v>
      </c>
      <c r="B3189" s="5" t="s">
        <v>9539</v>
      </c>
      <c r="C3189" s="7" t="s">
        <v>12556</v>
      </c>
      <c r="D3189" s="8">
        <f t="shared" si="200"/>
        <v>1</v>
      </c>
      <c r="E3189" s="7" t="s">
        <v>12557</v>
      </c>
      <c r="F3189" s="7">
        <f t="shared" si="201"/>
        <v>0</v>
      </c>
      <c r="G3189" s="7" t="s">
        <v>12558</v>
      </c>
      <c r="H3189" s="7">
        <f t="shared" si="202"/>
        <v>0</v>
      </c>
      <c r="I3189" s="7" t="str" cm="1">
        <f t="array" ref="I3189">IFERROR(_xlfn.IFS(M3189="נח",1,M3189="נע ונח",1,M3189="שני שווא נח",2,M3189="שני שוואים בסוף מילה",2,M3189="שני שוואים ברצף",1),"0")</f>
        <v>0</v>
      </c>
      <c r="J3189" s="9">
        <f t="shared" si="203"/>
        <v>3</v>
      </c>
      <c r="K3189" t="s">
        <v>6697</v>
      </c>
      <c r="L3189" t="s">
        <v>6694</v>
      </c>
      <c r="M3189" t="s">
        <v>6700</v>
      </c>
      <c r="O3189" t="s">
        <v>6694</v>
      </c>
      <c r="W3189" t="s">
        <v>6720</v>
      </c>
    </row>
    <row r="3190" spans="1:23" ht="15.6" x14ac:dyDescent="0.4">
      <c r="A3190" s="2" t="s">
        <v>4360</v>
      </c>
      <c r="B3190" s="5" t="s">
        <v>9535</v>
      </c>
      <c r="C3190" s="7" t="s">
        <v>12556</v>
      </c>
      <c r="D3190" s="8">
        <f t="shared" si="200"/>
        <v>1</v>
      </c>
      <c r="E3190" s="7" t="s">
        <v>12557</v>
      </c>
      <c r="F3190" s="7">
        <f t="shared" si="201"/>
        <v>1</v>
      </c>
      <c r="G3190" s="7" t="s">
        <v>12558</v>
      </c>
      <c r="H3190" s="7">
        <f t="shared" si="202"/>
        <v>0</v>
      </c>
      <c r="I3190" s="7" t="str" cm="1">
        <f t="array" ref="I3190">IFERROR(_xlfn.IFS(M3190="נח",1,M3190="נע ונח",1,M3190="שני שווא נח",2,M3190="שני שוואים בסוף מילה",2,M3190="שני שוואים ברצף",1),"0")</f>
        <v>0</v>
      </c>
      <c r="J3190" s="9">
        <f t="shared" si="203"/>
        <v>3</v>
      </c>
      <c r="K3190" t="s">
        <v>6698</v>
      </c>
      <c r="L3190" t="s">
        <v>6694</v>
      </c>
      <c r="M3190" t="s">
        <v>6700</v>
      </c>
      <c r="P3190" t="s">
        <v>6694</v>
      </c>
      <c r="T3190" t="s">
        <v>6694</v>
      </c>
      <c r="W3190" t="s">
        <v>6720</v>
      </c>
    </row>
    <row r="3191" spans="1:23" ht="15.6" x14ac:dyDescent="0.4">
      <c r="A3191" s="2" t="s">
        <v>955</v>
      </c>
      <c r="B3191" s="5" t="s">
        <v>9540</v>
      </c>
      <c r="C3191" s="7" t="s">
        <v>12556</v>
      </c>
      <c r="D3191" s="8">
        <f t="shared" si="200"/>
        <v>1</v>
      </c>
      <c r="E3191" s="7" t="s">
        <v>12557</v>
      </c>
      <c r="F3191" s="7">
        <f t="shared" si="201"/>
        <v>0</v>
      </c>
      <c r="G3191" s="7" t="s">
        <v>12558</v>
      </c>
      <c r="H3191" s="7">
        <f t="shared" si="202"/>
        <v>0</v>
      </c>
      <c r="I3191" s="7" cm="1">
        <f t="array" ref="I3191">IFERROR(_xlfn.IFS(M3191="נח",1,M3191="נע ונח",1,M3191="שני שווא נח",2,M3191="שני שוואים בסוף מילה",2,M3191="שני שוואים ברצף",1),"0")</f>
        <v>1</v>
      </c>
      <c r="J3191" s="9">
        <f t="shared" si="203"/>
        <v>4</v>
      </c>
      <c r="K3191" t="s">
        <v>6698</v>
      </c>
      <c r="L3191" t="s">
        <v>6694</v>
      </c>
      <c r="M3191" t="s">
        <v>6701</v>
      </c>
      <c r="O3191" t="s">
        <v>6694</v>
      </c>
      <c r="Q3191" t="s">
        <v>6694</v>
      </c>
      <c r="T3191" t="s">
        <v>6694</v>
      </c>
      <c r="W3191" t="s">
        <v>6720</v>
      </c>
    </row>
    <row r="3192" spans="1:23" ht="15.6" x14ac:dyDescent="0.4">
      <c r="A3192" s="2" t="s">
        <v>3973</v>
      </c>
      <c r="B3192" s="5" t="s">
        <v>9541</v>
      </c>
      <c r="C3192" s="7" t="s">
        <v>12556</v>
      </c>
      <c r="D3192" s="8">
        <f t="shared" si="200"/>
        <v>1</v>
      </c>
      <c r="E3192" s="7" t="s">
        <v>12557</v>
      </c>
      <c r="F3192" s="7">
        <f t="shared" si="201"/>
        <v>0</v>
      </c>
      <c r="G3192" s="7" t="s">
        <v>12558</v>
      </c>
      <c r="H3192" s="7">
        <f t="shared" si="202"/>
        <v>0</v>
      </c>
      <c r="I3192" s="7" t="str" cm="1">
        <f t="array" ref="I3192">IFERROR(_xlfn.IFS(M3192="נח",1,M3192="נע ונח",1,M3192="שני שווא נח",2,M3192="שני שוואים בסוף מילה",2,M3192="שני שוואים ברצף",1),"0")</f>
        <v>0</v>
      </c>
      <c r="J3192" s="9">
        <f t="shared" si="203"/>
        <v>3</v>
      </c>
      <c r="K3192" t="s">
        <v>6698</v>
      </c>
      <c r="L3192" t="s">
        <v>6694</v>
      </c>
      <c r="M3192" t="s">
        <v>6700</v>
      </c>
      <c r="T3192" t="s">
        <v>6694</v>
      </c>
      <c r="V3192" t="s">
        <v>6694</v>
      </c>
      <c r="W3192" t="s">
        <v>6720</v>
      </c>
    </row>
    <row r="3193" spans="1:23" ht="15.6" x14ac:dyDescent="0.4">
      <c r="A3193" s="2" t="s">
        <v>609</v>
      </c>
      <c r="B3193" s="5" t="s">
        <v>9542</v>
      </c>
      <c r="C3193" s="7" t="s">
        <v>12556</v>
      </c>
      <c r="D3193" s="8">
        <f t="shared" si="200"/>
        <v>1</v>
      </c>
      <c r="E3193" s="7" t="s">
        <v>12557</v>
      </c>
      <c r="F3193" s="7">
        <f t="shared" si="201"/>
        <v>0</v>
      </c>
      <c r="G3193" s="7" t="s">
        <v>12558</v>
      </c>
      <c r="H3193" s="7">
        <f t="shared" si="202"/>
        <v>0</v>
      </c>
      <c r="I3193" s="7" t="str" cm="1">
        <f t="array" ref="I3193">IFERROR(_xlfn.IFS(M3193="נח",1,M3193="נע ונח",1,M3193="שני שווא נח",2,M3193="שני שוואים בסוף מילה",2,M3193="שני שוואים ברצף",1),"0")</f>
        <v>0</v>
      </c>
      <c r="J3193" s="9">
        <f t="shared" si="203"/>
        <v>3</v>
      </c>
      <c r="K3193" t="s">
        <v>6698</v>
      </c>
      <c r="L3193" t="s">
        <v>6694</v>
      </c>
      <c r="M3193" t="s">
        <v>6700</v>
      </c>
      <c r="Q3193" t="s">
        <v>6694</v>
      </c>
      <c r="V3193" t="s">
        <v>6694</v>
      </c>
      <c r="W3193" t="s">
        <v>6720</v>
      </c>
    </row>
    <row r="3194" spans="1:23" ht="15.6" x14ac:dyDescent="0.4">
      <c r="A3194" s="2" t="s">
        <v>657</v>
      </c>
      <c r="B3194" s="5" t="s">
        <v>9543</v>
      </c>
      <c r="C3194" s="7" t="s">
        <v>12556</v>
      </c>
      <c r="D3194" s="8">
        <f t="shared" si="200"/>
        <v>1</v>
      </c>
      <c r="E3194" s="7" t="s">
        <v>12557</v>
      </c>
      <c r="F3194" s="7">
        <f t="shared" si="201"/>
        <v>2</v>
      </c>
      <c r="G3194" s="7" t="s">
        <v>12558</v>
      </c>
      <c r="H3194" s="7">
        <f t="shared" si="202"/>
        <v>2</v>
      </c>
      <c r="I3194" s="7" t="str" cm="1">
        <f t="array" ref="I3194">IFERROR(_xlfn.IFS(M3194="נח",1,M3194="נע ונח",1,M3194="שני שווא נח",2,M3194="שני שוואים בסוף מילה",2,M3194="שני שוואים ברצף",1),"0")</f>
        <v>0</v>
      </c>
      <c r="J3194" s="9">
        <f t="shared" si="203"/>
        <v>3</v>
      </c>
      <c r="K3194" t="s">
        <v>6698</v>
      </c>
      <c r="L3194" t="s">
        <v>6694</v>
      </c>
      <c r="M3194" t="s">
        <v>6700</v>
      </c>
      <c r="U3194" t="s">
        <v>6694</v>
      </c>
      <c r="W3194" t="s">
        <v>6720</v>
      </c>
    </row>
    <row r="3195" spans="1:23" ht="15.6" x14ac:dyDescent="0.4">
      <c r="A3195" s="2" t="s">
        <v>3228</v>
      </c>
      <c r="B3195" s="5" t="s">
        <v>9544</v>
      </c>
      <c r="C3195" s="7" t="s">
        <v>12556</v>
      </c>
      <c r="D3195" s="8">
        <f t="shared" si="200"/>
        <v>1</v>
      </c>
      <c r="E3195" s="7" t="s">
        <v>12557</v>
      </c>
      <c r="F3195" s="7">
        <f t="shared" si="201"/>
        <v>1</v>
      </c>
      <c r="G3195" s="7" t="s">
        <v>12558</v>
      </c>
      <c r="H3195" s="7">
        <f t="shared" si="202"/>
        <v>1</v>
      </c>
      <c r="I3195" s="7" t="str" cm="1">
        <f t="array" ref="I3195">IFERROR(_xlfn.IFS(M3195="נח",1,M3195="נע ונח",1,M3195="שני שווא נח",2,M3195="שני שוואים בסוף מילה",2,M3195="שני שוואים ברצף",1),"0")</f>
        <v>0</v>
      </c>
      <c r="J3195" s="9">
        <f t="shared" si="203"/>
        <v>3</v>
      </c>
      <c r="K3195" t="s">
        <v>6698</v>
      </c>
      <c r="L3195" t="s">
        <v>6694</v>
      </c>
      <c r="M3195" t="s">
        <v>6700</v>
      </c>
      <c r="P3195" t="s">
        <v>6694</v>
      </c>
      <c r="U3195" t="s">
        <v>6694</v>
      </c>
      <c r="W3195" t="s">
        <v>6720</v>
      </c>
    </row>
    <row r="3196" spans="1:23" ht="15.6" x14ac:dyDescent="0.4">
      <c r="A3196" s="2" t="s">
        <v>5111</v>
      </c>
      <c r="B3196" s="5" t="s">
        <v>9545</v>
      </c>
      <c r="C3196" s="7" t="s">
        <v>12556</v>
      </c>
      <c r="D3196" s="8">
        <f t="shared" si="200"/>
        <v>1</v>
      </c>
      <c r="E3196" s="7" t="s">
        <v>12557</v>
      </c>
      <c r="F3196" s="7">
        <f t="shared" si="201"/>
        <v>1</v>
      </c>
      <c r="G3196" s="7" t="s">
        <v>12558</v>
      </c>
      <c r="H3196" s="7">
        <f t="shared" si="202"/>
        <v>1</v>
      </c>
      <c r="I3196" s="7" t="str" cm="1">
        <f t="array" ref="I3196">IFERROR(_xlfn.IFS(M3196="נח",1,M3196="נע ונח",1,M3196="שני שווא נח",2,M3196="שני שוואים בסוף מילה",2,M3196="שני שוואים ברצף",1),"0")</f>
        <v>0</v>
      </c>
      <c r="J3196" s="9">
        <f t="shared" si="203"/>
        <v>4</v>
      </c>
      <c r="K3196" t="s">
        <v>6697</v>
      </c>
      <c r="L3196" t="s">
        <v>6694</v>
      </c>
      <c r="M3196" t="s">
        <v>6700</v>
      </c>
      <c r="O3196" t="s">
        <v>6694</v>
      </c>
      <c r="S3196" t="s">
        <v>6694</v>
      </c>
      <c r="U3196" t="s">
        <v>6694</v>
      </c>
      <c r="W3196" t="s">
        <v>6720</v>
      </c>
    </row>
    <row r="3197" spans="1:23" ht="15.6" x14ac:dyDescent="0.4">
      <c r="A3197" s="2" t="s">
        <v>4545</v>
      </c>
      <c r="B3197" s="5" t="s">
        <v>9546</v>
      </c>
      <c r="C3197" s="7" t="s">
        <v>12556</v>
      </c>
      <c r="D3197" s="8">
        <f t="shared" si="200"/>
        <v>1</v>
      </c>
      <c r="E3197" s="7" t="s">
        <v>12557</v>
      </c>
      <c r="F3197" s="7">
        <f t="shared" si="201"/>
        <v>2</v>
      </c>
      <c r="G3197" s="7" t="s">
        <v>12558</v>
      </c>
      <c r="H3197" s="7">
        <f t="shared" si="202"/>
        <v>2</v>
      </c>
      <c r="I3197" s="7" t="str" cm="1">
        <f t="array" ref="I3197">IFERROR(_xlfn.IFS(M3197="נח",1,M3197="נע ונח",1,M3197="שני שווא נח",2,M3197="שני שוואים בסוף מילה",2,M3197="שני שוואים ברצף",1),"0")</f>
        <v>0</v>
      </c>
      <c r="J3197" s="9">
        <f t="shared" si="203"/>
        <v>5</v>
      </c>
      <c r="K3197" t="s">
        <v>6697</v>
      </c>
      <c r="L3197" t="s">
        <v>6694</v>
      </c>
      <c r="M3197" t="s">
        <v>6700</v>
      </c>
      <c r="O3197" t="s">
        <v>6694</v>
      </c>
      <c r="Q3197" t="s">
        <v>6694</v>
      </c>
      <c r="U3197" t="s">
        <v>6694</v>
      </c>
      <c r="W3197" t="s">
        <v>6720</v>
      </c>
    </row>
    <row r="3198" spans="1:23" ht="15.6" x14ac:dyDescent="0.4">
      <c r="A3198" s="2" t="s">
        <v>6316</v>
      </c>
      <c r="B3198" s="5" t="s">
        <v>9547</v>
      </c>
      <c r="C3198" s="7" t="s">
        <v>12556</v>
      </c>
      <c r="D3198" s="8">
        <f t="shared" si="200"/>
        <v>1</v>
      </c>
      <c r="E3198" s="7" t="s">
        <v>12557</v>
      </c>
      <c r="F3198" s="7">
        <f t="shared" si="201"/>
        <v>1</v>
      </c>
      <c r="G3198" s="7" t="s">
        <v>12558</v>
      </c>
      <c r="H3198" s="7">
        <f t="shared" si="202"/>
        <v>1</v>
      </c>
      <c r="I3198" s="7" t="str" cm="1">
        <f t="array" ref="I3198">IFERROR(_xlfn.IFS(M3198="נח",1,M3198="נע ונח",1,M3198="שני שווא נח",2,M3198="שני שוואים בסוף מילה",2,M3198="שני שוואים ברצף",1),"0")</f>
        <v>0</v>
      </c>
      <c r="J3198" s="9">
        <f t="shared" si="203"/>
        <v>5</v>
      </c>
      <c r="K3198" t="s">
        <v>6697</v>
      </c>
      <c r="L3198" t="s">
        <v>6694</v>
      </c>
      <c r="M3198" t="s">
        <v>6700</v>
      </c>
      <c r="O3198" t="s">
        <v>6694</v>
      </c>
      <c r="R3198" t="s">
        <v>6694</v>
      </c>
      <c r="U3198" t="s">
        <v>6694</v>
      </c>
      <c r="W3198" t="s">
        <v>6720</v>
      </c>
    </row>
    <row r="3199" spans="1:23" ht="15.6" x14ac:dyDescent="0.4">
      <c r="A3199" s="2" t="s">
        <v>5202</v>
      </c>
      <c r="B3199" s="5" t="s">
        <v>9548</v>
      </c>
      <c r="C3199" s="7" t="s">
        <v>12556</v>
      </c>
      <c r="D3199" s="8">
        <f t="shared" si="200"/>
        <v>1</v>
      </c>
      <c r="E3199" s="7" t="s">
        <v>12557</v>
      </c>
      <c r="F3199" s="7">
        <f t="shared" si="201"/>
        <v>1</v>
      </c>
      <c r="G3199" s="7" t="s">
        <v>12558</v>
      </c>
      <c r="H3199" s="7">
        <f t="shared" si="202"/>
        <v>1</v>
      </c>
      <c r="I3199" s="7" t="str" cm="1">
        <f t="array" ref="I3199">IFERROR(_xlfn.IFS(M3199="נח",1,M3199="נע ונח",1,M3199="שני שווא נח",2,M3199="שני שוואים בסוף מילה",2,M3199="שני שוואים ברצף",1),"0")</f>
        <v>0</v>
      </c>
      <c r="J3199" s="9">
        <f t="shared" si="203"/>
        <v>4</v>
      </c>
      <c r="K3199" t="s">
        <v>6697</v>
      </c>
      <c r="L3199" t="s">
        <v>6694</v>
      </c>
      <c r="M3199" t="s">
        <v>6700</v>
      </c>
      <c r="O3199" t="s">
        <v>6694</v>
      </c>
      <c r="U3199" t="s">
        <v>6694</v>
      </c>
      <c r="W3199" t="s">
        <v>6720</v>
      </c>
    </row>
    <row r="3200" spans="1:23" ht="15.6" x14ac:dyDescent="0.4">
      <c r="A3200" s="2" t="s">
        <v>5549</v>
      </c>
      <c r="B3200" s="5" t="s">
        <v>9549</v>
      </c>
      <c r="C3200" s="7" t="s">
        <v>12556</v>
      </c>
      <c r="D3200" s="8">
        <f t="shared" si="200"/>
        <v>1</v>
      </c>
      <c r="E3200" s="7" t="s">
        <v>12557</v>
      </c>
      <c r="F3200" s="7">
        <f t="shared" si="201"/>
        <v>1</v>
      </c>
      <c r="G3200" s="7" t="s">
        <v>12558</v>
      </c>
      <c r="H3200" s="7">
        <f t="shared" si="202"/>
        <v>1</v>
      </c>
      <c r="I3200" s="7" t="str" cm="1">
        <f t="array" ref="I3200">IFERROR(_xlfn.IFS(M3200="נח",1,M3200="נע ונח",1,M3200="שני שווא נח",2,M3200="שני שוואים בסוף מילה",2,M3200="שני שוואים ברצף",1),"0")</f>
        <v>0</v>
      </c>
      <c r="J3200" s="9">
        <f t="shared" si="203"/>
        <v>4</v>
      </c>
      <c r="K3200" t="s">
        <v>6697</v>
      </c>
      <c r="L3200" t="s">
        <v>6694</v>
      </c>
      <c r="M3200" t="s">
        <v>6700</v>
      </c>
      <c r="O3200" t="s">
        <v>6694</v>
      </c>
      <c r="U3200" t="s">
        <v>6694</v>
      </c>
      <c r="V3200" t="s">
        <v>6694</v>
      </c>
      <c r="W3200" t="s">
        <v>6720</v>
      </c>
    </row>
    <row r="3201" spans="1:23" ht="15.6" x14ac:dyDescent="0.4">
      <c r="A3201" s="2" t="s">
        <v>3595</v>
      </c>
      <c r="B3201" s="5" t="s">
        <v>9544</v>
      </c>
      <c r="C3201" s="7" t="s">
        <v>12556</v>
      </c>
      <c r="D3201" s="8">
        <f t="shared" si="200"/>
        <v>1</v>
      </c>
      <c r="E3201" s="7" t="s">
        <v>12557</v>
      </c>
      <c r="F3201" s="7">
        <f t="shared" si="201"/>
        <v>1</v>
      </c>
      <c r="G3201" s="7" t="s">
        <v>12558</v>
      </c>
      <c r="H3201" s="7">
        <f t="shared" si="202"/>
        <v>1</v>
      </c>
      <c r="I3201" s="7" t="str" cm="1">
        <f t="array" ref="I3201">IFERROR(_xlfn.IFS(M3201="נח",1,M3201="נע ונח",1,M3201="שני שווא נח",2,M3201="שני שוואים בסוף מילה",2,M3201="שני שוואים ברצף",1),"0")</f>
        <v>0</v>
      </c>
      <c r="J3201" s="9">
        <f t="shared" si="203"/>
        <v>3</v>
      </c>
      <c r="K3201" t="s">
        <v>6698</v>
      </c>
      <c r="L3201" t="s">
        <v>6694</v>
      </c>
      <c r="M3201" t="s">
        <v>6700</v>
      </c>
      <c r="U3201" t="s">
        <v>6694</v>
      </c>
      <c r="V3201" t="s">
        <v>6694</v>
      </c>
      <c r="W3201" t="s">
        <v>6720</v>
      </c>
    </row>
    <row r="3202" spans="1:23" ht="15.6" x14ac:dyDescent="0.4">
      <c r="A3202" s="2" t="s">
        <v>366</v>
      </c>
      <c r="B3202" s="5" t="s">
        <v>9550</v>
      </c>
      <c r="C3202" s="7" t="s">
        <v>12556</v>
      </c>
      <c r="D3202" s="8">
        <f t="shared" si="200"/>
        <v>1</v>
      </c>
      <c r="E3202" s="7" t="s">
        <v>12557</v>
      </c>
      <c r="F3202" s="7">
        <f t="shared" si="201"/>
        <v>1</v>
      </c>
      <c r="G3202" s="7" t="s">
        <v>12558</v>
      </c>
      <c r="H3202" s="7">
        <f t="shared" si="202"/>
        <v>1</v>
      </c>
      <c r="I3202" s="7" t="str" cm="1">
        <f t="array" ref="I3202">IFERROR(_xlfn.IFS(M3202="נח",1,M3202="נע ונח",1,M3202="שני שווא נח",2,M3202="שני שוואים בסוף מילה",2,M3202="שני שוואים ברצף",1),"0")</f>
        <v>0</v>
      </c>
      <c r="J3202" s="9">
        <f t="shared" si="203"/>
        <v>3</v>
      </c>
      <c r="K3202" t="s">
        <v>6698</v>
      </c>
      <c r="L3202" t="s">
        <v>6694</v>
      </c>
      <c r="M3202" t="s">
        <v>6700</v>
      </c>
      <c r="U3202" t="s">
        <v>6694</v>
      </c>
      <c r="V3202" t="s">
        <v>6694</v>
      </c>
      <c r="W3202" t="s">
        <v>6720</v>
      </c>
    </row>
    <row r="3203" spans="1:23" ht="15.6" x14ac:dyDescent="0.4">
      <c r="A3203" s="2" t="s">
        <v>5051</v>
      </c>
      <c r="B3203" s="5" t="s">
        <v>9551</v>
      </c>
      <c r="C3203" s="7" t="s">
        <v>12556</v>
      </c>
      <c r="D3203" s="8">
        <f t="shared" ref="D3203:D3266" si="204">(LEN(B3203)-LEN(SUBSTITUTE(B3203,C3203,"")))</f>
        <v>1</v>
      </c>
      <c r="E3203" s="7" t="s">
        <v>12557</v>
      </c>
      <c r="F3203" s="7">
        <f t="shared" ref="F3203:F3266" si="205">(LEN(A3203)-LEN(SUBSTITUTE(A3203,E3203,"")))</f>
        <v>1</v>
      </c>
      <c r="G3203" s="7" t="s">
        <v>12558</v>
      </c>
      <c r="H3203" s="7">
        <f t="shared" ref="H3203:H3266" si="206">(LEN(A3203)-LEN(SUBSTITUTE(A3203,G3203,"")))/2</f>
        <v>1</v>
      </c>
      <c r="I3203" s="7" t="str" cm="1">
        <f t="array" ref="I3203">IFERROR(_xlfn.IFS(M3203="נח",1,M3203="נע ונח",1,M3203="שני שווא נח",2,M3203="שני שוואים בסוף מילה",2,M3203="שני שוואים ברצף",1),"0")</f>
        <v>0</v>
      </c>
      <c r="J3203" s="9">
        <f t="shared" ref="J3203:J3266" si="207">LEN(A3203)-(LEN(B3203))-D3203-F3203+H3203-I3203</f>
        <v>4</v>
      </c>
      <c r="K3203" t="s">
        <v>6697</v>
      </c>
      <c r="L3203" t="s">
        <v>6694</v>
      </c>
      <c r="M3203" t="s">
        <v>6700</v>
      </c>
      <c r="Q3203" t="s">
        <v>6694</v>
      </c>
      <c r="S3203" t="s">
        <v>6694</v>
      </c>
      <c r="U3203" t="s">
        <v>6694</v>
      </c>
      <c r="W3203" t="s">
        <v>6720</v>
      </c>
    </row>
    <row r="3204" spans="1:23" ht="15.6" x14ac:dyDescent="0.4">
      <c r="A3204" s="2" t="s">
        <v>748</v>
      </c>
      <c r="B3204" s="5" t="s">
        <v>9552</v>
      </c>
      <c r="C3204" s="7" t="s">
        <v>12556</v>
      </c>
      <c r="D3204" s="8">
        <f t="shared" si="204"/>
        <v>1</v>
      </c>
      <c r="E3204" s="7" t="s">
        <v>12557</v>
      </c>
      <c r="F3204" s="7">
        <f t="shared" si="205"/>
        <v>2</v>
      </c>
      <c r="G3204" s="7" t="s">
        <v>12558</v>
      </c>
      <c r="H3204" s="7">
        <f t="shared" si="206"/>
        <v>1</v>
      </c>
      <c r="I3204" s="7" t="str" cm="1">
        <f t="array" ref="I3204">IFERROR(_xlfn.IFS(M3204="נח",1,M3204="נע ונח",1,M3204="שני שווא נח",2,M3204="שני שוואים בסוף מילה",2,M3204="שני שוואים ברצף",1),"0")</f>
        <v>0</v>
      </c>
      <c r="J3204" s="9">
        <f t="shared" si="207"/>
        <v>4</v>
      </c>
      <c r="K3204" t="s">
        <v>6698</v>
      </c>
      <c r="L3204" t="s">
        <v>6694</v>
      </c>
      <c r="M3204" t="s">
        <v>6700</v>
      </c>
      <c r="P3204" t="s">
        <v>6694</v>
      </c>
      <c r="Q3204" t="s">
        <v>6694</v>
      </c>
      <c r="U3204" t="s">
        <v>6694</v>
      </c>
      <c r="W3204" t="s">
        <v>6720</v>
      </c>
    </row>
    <row r="3205" spans="1:23" ht="15.6" x14ac:dyDescent="0.4">
      <c r="A3205" s="2" t="s">
        <v>3291</v>
      </c>
      <c r="B3205" s="5" t="s">
        <v>9553</v>
      </c>
      <c r="C3205" s="7" t="s">
        <v>12556</v>
      </c>
      <c r="D3205" s="8">
        <f t="shared" si="204"/>
        <v>1</v>
      </c>
      <c r="E3205" s="7" t="s">
        <v>12557</v>
      </c>
      <c r="F3205" s="7">
        <f t="shared" si="205"/>
        <v>1</v>
      </c>
      <c r="G3205" s="7" t="s">
        <v>12558</v>
      </c>
      <c r="H3205" s="7">
        <f t="shared" si="206"/>
        <v>0</v>
      </c>
      <c r="I3205" s="7" cm="1">
        <f t="array" ref="I3205">IFERROR(_xlfn.IFS(M3205="נח",1,M3205="נע ונח",1,M3205="שני שווא נח",2,M3205="שני שוואים בסוף מילה",2,M3205="שני שוואים ברצף",1),"0")</f>
        <v>1</v>
      </c>
      <c r="J3205" s="9">
        <f t="shared" si="207"/>
        <v>4</v>
      </c>
      <c r="K3205" t="s">
        <v>6697</v>
      </c>
      <c r="L3205" t="s">
        <v>6694</v>
      </c>
      <c r="M3205" t="s">
        <v>6701</v>
      </c>
      <c r="O3205" t="s">
        <v>6694</v>
      </c>
      <c r="P3205" t="s">
        <v>6694</v>
      </c>
      <c r="R3205" t="s">
        <v>6694</v>
      </c>
      <c r="W3205" t="s">
        <v>6720</v>
      </c>
    </row>
    <row r="3206" spans="1:23" ht="15.6" x14ac:dyDescent="0.4">
      <c r="A3206" s="2" t="s">
        <v>3773</v>
      </c>
      <c r="B3206" s="5" t="s">
        <v>9554</v>
      </c>
      <c r="C3206" s="7" t="s">
        <v>12556</v>
      </c>
      <c r="D3206" s="8">
        <f t="shared" si="204"/>
        <v>1</v>
      </c>
      <c r="E3206" s="7" t="s">
        <v>12557</v>
      </c>
      <c r="F3206" s="7">
        <f t="shared" si="205"/>
        <v>2</v>
      </c>
      <c r="G3206" s="7" t="s">
        <v>12558</v>
      </c>
      <c r="H3206" s="7">
        <f t="shared" si="206"/>
        <v>1</v>
      </c>
      <c r="I3206" s="7" cm="1">
        <f t="array" ref="I3206">IFERROR(_xlfn.IFS(M3206="נח",1,M3206="נע ונח",1,M3206="שני שווא נח",2,M3206="שני שוואים בסוף מילה",2,M3206="שני שוואים ברצף",1),"0")</f>
        <v>1</v>
      </c>
      <c r="J3206" s="9">
        <f t="shared" si="207"/>
        <v>3</v>
      </c>
      <c r="K3206" t="s">
        <v>6697</v>
      </c>
      <c r="L3206" t="s">
        <v>6694</v>
      </c>
      <c r="M3206" t="s">
        <v>6701</v>
      </c>
      <c r="P3206" t="s">
        <v>6694</v>
      </c>
      <c r="U3206" t="s">
        <v>6694</v>
      </c>
      <c r="W3206" t="s">
        <v>6720</v>
      </c>
    </row>
    <row r="3207" spans="1:23" ht="15.6" x14ac:dyDescent="0.4">
      <c r="A3207" s="2" t="s">
        <v>687</v>
      </c>
      <c r="B3207" s="5" t="s">
        <v>9555</v>
      </c>
      <c r="C3207" s="7" t="s">
        <v>12556</v>
      </c>
      <c r="D3207" s="8">
        <f t="shared" si="204"/>
        <v>1</v>
      </c>
      <c r="E3207" s="7" t="s">
        <v>12557</v>
      </c>
      <c r="F3207" s="7">
        <f t="shared" si="205"/>
        <v>1</v>
      </c>
      <c r="G3207" s="7" t="s">
        <v>12558</v>
      </c>
      <c r="H3207" s="7">
        <f t="shared" si="206"/>
        <v>0</v>
      </c>
      <c r="I3207" s="7" t="str" cm="1">
        <f t="array" ref="I3207">IFERROR(_xlfn.IFS(M3207="נח",1,M3207="נע ונח",1,M3207="שני שווא נח",2,M3207="שני שוואים בסוף מילה",2,M3207="שני שוואים ברצף",1),"0")</f>
        <v>0</v>
      </c>
      <c r="J3207" s="9">
        <f t="shared" si="207"/>
        <v>3</v>
      </c>
      <c r="K3207" t="s">
        <v>6698</v>
      </c>
      <c r="L3207" t="s">
        <v>6694</v>
      </c>
      <c r="M3207" t="s">
        <v>6700</v>
      </c>
      <c r="P3207" t="s">
        <v>6694</v>
      </c>
      <c r="W3207" t="s">
        <v>6720</v>
      </c>
    </row>
    <row r="3208" spans="1:23" ht="15.6" x14ac:dyDescent="0.4">
      <c r="A3208" s="2" t="s">
        <v>3166</v>
      </c>
      <c r="B3208" s="5" t="s">
        <v>9556</v>
      </c>
      <c r="C3208" s="7" t="s">
        <v>12556</v>
      </c>
      <c r="D3208" s="8">
        <f t="shared" si="204"/>
        <v>0</v>
      </c>
      <c r="E3208" s="7" t="s">
        <v>12557</v>
      </c>
      <c r="F3208" s="7">
        <f t="shared" si="205"/>
        <v>0</v>
      </c>
      <c r="G3208" s="7" t="s">
        <v>12558</v>
      </c>
      <c r="H3208" s="7">
        <f t="shared" si="206"/>
        <v>0</v>
      </c>
      <c r="I3208" s="7" t="str" cm="1">
        <f t="array" ref="I3208">IFERROR(_xlfn.IFS(M3208="נח",1,M3208="נע ונח",1,M3208="שני שווא נח",2,M3208="שני שוואים בסוף מילה",2,M3208="שני שוואים ברצף",1),"0")</f>
        <v>0</v>
      </c>
      <c r="J3208" s="9">
        <f t="shared" si="207"/>
        <v>3</v>
      </c>
      <c r="K3208" t="s">
        <v>6698</v>
      </c>
      <c r="L3208" t="s">
        <v>6694</v>
      </c>
      <c r="M3208" t="s">
        <v>6700</v>
      </c>
      <c r="O3208" t="s">
        <v>6694</v>
      </c>
      <c r="Q3208" t="s">
        <v>6694</v>
      </c>
      <c r="W3208" t="s">
        <v>6720</v>
      </c>
    </row>
    <row r="3209" spans="1:23" ht="15.6" x14ac:dyDescent="0.4">
      <c r="A3209" s="2" t="s">
        <v>4482</v>
      </c>
      <c r="B3209" s="5" t="s">
        <v>9557</v>
      </c>
      <c r="C3209" s="7" t="s">
        <v>12556</v>
      </c>
      <c r="D3209" s="8">
        <f t="shared" si="204"/>
        <v>0</v>
      </c>
      <c r="E3209" s="7" t="s">
        <v>12557</v>
      </c>
      <c r="F3209" s="7">
        <f t="shared" si="205"/>
        <v>0</v>
      </c>
      <c r="G3209" s="7" t="s">
        <v>12558</v>
      </c>
      <c r="H3209" s="7">
        <f t="shared" si="206"/>
        <v>0</v>
      </c>
      <c r="I3209" s="7" t="str" cm="1">
        <f t="array" ref="I3209">IFERROR(_xlfn.IFS(M3209="נח",1,M3209="נע ונח",1,M3209="שני שווא נח",2,M3209="שני שוואים בסוף מילה",2,M3209="שני שוואים ברצף",1),"0")</f>
        <v>0</v>
      </c>
      <c r="J3209" s="9">
        <f t="shared" si="207"/>
        <v>3</v>
      </c>
      <c r="K3209" t="s">
        <v>6698</v>
      </c>
      <c r="L3209" t="s">
        <v>6694</v>
      </c>
      <c r="M3209" t="s">
        <v>6700</v>
      </c>
      <c r="S3209" t="s">
        <v>6694</v>
      </c>
      <c r="V3209" t="s">
        <v>6694</v>
      </c>
      <c r="W3209" t="s">
        <v>6720</v>
      </c>
    </row>
    <row r="3210" spans="1:23" ht="15.6" x14ac:dyDescent="0.4">
      <c r="A3210" s="2" t="s">
        <v>2456</v>
      </c>
      <c r="B3210" s="5" t="s">
        <v>9558</v>
      </c>
      <c r="C3210" s="7" t="s">
        <v>12556</v>
      </c>
      <c r="D3210" s="8">
        <f t="shared" si="204"/>
        <v>0</v>
      </c>
      <c r="E3210" s="7" t="s">
        <v>12557</v>
      </c>
      <c r="F3210" s="7">
        <f t="shared" si="205"/>
        <v>1</v>
      </c>
      <c r="G3210" s="7" t="s">
        <v>12558</v>
      </c>
      <c r="H3210" s="7">
        <f t="shared" si="206"/>
        <v>1</v>
      </c>
      <c r="I3210" s="7" cm="1">
        <f t="array" ref="I3210">IFERROR(_xlfn.IFS(M3210="נח",1,M3210="נע ונח",1,M3210="שני שווא נח",2,M3210="שני שוואים בסוף מילה",2,M3210="שני שוואים ברצף",1),"0")</f>
        <v>1</v>
      </c>
      <c r="J3210" s="9">
        <f t="shared" si="207"/>
        <v>3</v>
      </c>
      <c r="K3210" t="s">
        <v>6697</v>
      </c>
      <c r="L3210" t="s">
        <v>6694</v>
      </c>
      <c r="M3210" t="s">
        <v>6705</v>
      </c>
      <c r="P3210" t="s">
        <v>6694</v>
      </c>
      <c r="S3210" t="s">
        <v>6694</v>
      </c>
      <c r="U3210" t="s">
        <v>6694</v>
      </c>
      <c r="W3210" t="s">
        <v>6720</v>
      </c>
    </row>
    <row r="3211" spans="1:23" ht="15.6" x14ac:dyDescent="0.4">
      <c r="A3211" s="2" t="s">
        <v>3803</v>
      </c>
      <c r="B3211" s="5" t="s">
        <v>9559</v>
      </c>
      <c r="C3211" s="7" t="s">
        <v>12556</v>
      </c>
      <c r="D3211" s="8">
        <f t="shared" si="204"/>
        <v>0</v>
      </c>
      <c r="E3211" s="7" t="s">
        <v>12557</v>
      </c>
      <c r="F3211" s="7">
        <f t="shared" si="205"/>
        <v>0</v>
      </c>
      <c r="G3211" s="7" t="s">
        <v>12558</v>
      </c>
      <c r="H3211" s="7">
        <f t="shared" si="206"/>
        <v>0</v>
      </c>
      <c r="I3211" s="7" cm="1">
        <f t="array" ref="I3211">IFERROR(_xlfn.IFS(M3211="נח",1,M3211="נע ונח",1,M3211="שני שווא נח",2,M3211="שני שוואים בסוף מילה",2,M3211="שני שוואים ברצף",1),"0")</f>
        <v>1</v>
      </c>
      <c r="J3211" s="9">
        <f t="shared" si="207"/>
        <v>2</v>
      </c>
      <c r="K3211" t="s">
        <v>6698</v>
      </c>
      <c r="L3211" t="s">
        <v>6694</v>
      </c>
      <c r="M3211" t="s">
        <v>6705</v>
      </c>
      <c r="P3211" t="s">
        <v>6694</v>
      </c>
      <c r="S3211" t="s">
        <v>6694</v>
      </c>
      <c r="W3211" t="s">
        <v>6720</v>
      </c>
    </row>
    <row r="3212" spans="1:23" ht="15.6" x14ac:dyDescent="0.4">
      <c r="A3212" s="2" t="s">
        <v>2457</v>
      </c>
      <c r="B3212" s="5" t="s">
        <v>9560</v>
      </c>
      <c r="C3212" s="7" t="s">
        <v>12556</v>
      </c>
      <c r="D3212" s="8">
        <f t="shared" si="204"/>
        <v>0</v>
      </c>
      <c r="E3212" s="7" t="s">
        <v>12557</v>
      </c>
      <c r="F3212" s="7">
        <f t="shared" si="205"/>
        <v>0</v>
      </c>
      <c r="G3212" s="7" t="s">
        <v>12558</v>
      </c>
      <c r="H3212" s="7">
        <f t="shared" si="206"/>
        <v>0</v>
      </c>
      <c r="I3212" s="7" cm="1">
        <f t="array" ref="I3212">IFERROR(_xlfn.IFS(M3212="נח",1,M3212="נע ונח",1,M3212="שני שווא נח",2,M3212="שני שוואים בסוף מילה",2,M3212="שני שוואים ברצף",1),"0")</f>
        <v>1</v>
      </c>
      <c r="J3212" s="9">
        <f t="shared" si="207"/>
        <v>2</v>
      </c>
      <c r="K3212" t="s">
        <v>6698</v>
      </c>
      <c r="L3212" t="s">
        <v>6694</v>
      </c>
      <c r="M3212" t="s">
        <v>6705</v>
      </c>
      <c r="N3212" t="s">
        <v>6706</v>
      </c>
      <c r="O3212" t="s">
        <v>6694</v>
      </c>
      <c r="S3212" t="s">
        <v>6694</v>
      </c>
      <c r="W3212" t="s">
        <v>6720</v>
      </c>
    </row>
    <row r="3213" spans="1:23" ht="15.6" x14ac:dyDescent="0.4">
      <c r="A3213" s="2" t="s">
        <v>6053</v>
      </c>
      <c r="B3213" s="5" t="s">
        <v>9559</v>
      </c>
      <c r="C3213" s="7" t="s">
        <v>12556</v>
      </c>
      <c r="D3213" s="8">
        <f t="shared" si="204"/>
        <v>0</v>
      </c>
      <c r="E3213" s="7" t="s">
        <v>12557</v>
      </c>
      <c r="F3213" s="7">
        <f t="shared" si="205"/>
        <v>0</v>
      </c>
      <c r="G3213" s="7" t="s">
        <v>12558</v>
      </c>
      <c r="H3213" s="7">
        <f t="shared" si="206"/>
        <v>0</v>
      </c>
      <c r="I3213" s="7" cm="1">
        <f t="array" ref="I3213">IFERROR(_xlfn.IFS(M3213="נח",1,M3213="נע ונח",1,M3213="שני שווא נח",2,M3213="שני שוואים בסוף מילה",2,M3213="שני שוואים ברצף",1),"0")</f>
        <v>1</v>
      </c>
      <c r="J3213" s="9">
        <f t="shared" si="207"/>
        <v>2</v>
      </c>
      <c r="K3213" t="s">
        <v>6698</v>
      </c>
      <c r="L3213" t="s">
        <v>6694</v>
      </c>
      <c r="M3213" t="s">
        <v>6705</v>
      </c>
      <c r="N3213" t="s">
        <v>6706</v>
      </c>
      <c r="O3213" t="s">
        <v>6694</v>
      </c>
      <c r="S3213" t="s">
        <v>6694</v>
      </c>
      <c r="W3213" t="s">
        <v>6720</v>
      </c>
    </row>
    <row r="3214" spans="1:23" ht="15.6" x14ac:dyDescent="0.4">
      <c r="A3214" s="2" t="s">
        <v>6260</v>
      </c>
      <c r="B3214" s="5" t="s">
        <v>9561</v>
      </c>
      <c r="C3214" s="7" t="s">
        <v>12556</v>
      </c>
      <c r="D3214" s="8">
        <f t="shared" si="204"/>
        <v>0</v>
      </c>
      <c r="E3214" s="7" t="s">
        <v>12557</v>
      </c>
      <c r="F3214" s="7">
        <f t="shared" si="205"/>
        <v>0</v>
      </c>
      <c r="G3214" s="7" t="s">
        <v>12558</v>
      </c>
      <c r="H3214" s="7">
        <f t="shared" si="206"/>
        <v>0</v>
      </c>
      <c r="I3214" s="7" cm="1">
        <f t="array" ref="I3214">IFERROR(_xlfn.IFS(M3214="נח",1,M3214="נע ונח",1,M3214="שני שווא נח",2,M3214="שני שוואים בסוף מילה",2,M3214="שני שוואים ברצף",1),"0")</f>
        <v>1</v>
      </c>
      <c r="J3214" s="9">
        <f t="shared" si="207"/>
        <v>2</v>
      </c>
      <c r="K3214" t="s">
        <v>6698</v>
      </c>
      <c r="L3214" t="s">
        <v>6694</v>
      </c>
      <c r="M3214" t="s">
        <v>6705</v>
      </c>
      <c r="Q3214" t="s">
        <v>6694</v>
      </c>
      <c r="S3214" t="s">
        <v>6694</v>
      </c>
      <c r="W3214" t="s">
        <v>6720</v>
      </c>
    </row>
    <row r="3215" spans="1:23" ht="15.6" x14ac:dyDescent="0.4">
      <c r="A3215" s="2" t="s">
        <v>2295</v>
      </c>
      <c r="B3215" s="5" t="s">
        <v>9562</v>
      </c>
      <c r="C3215" s="7" t="s">
        <v>12556</v>
      </c>
      <c r="D3215" s="8">
        <f t="shared" si="204"/>
        <v>0</v>
      </c>
      <c r="E3215" s="7" t="s">
        <v>12557</v>
      </c>
      <c r="F3215" s="7">
        <f t="shared" si="205"/>
        <v>0</v>
      </c>
      <c r="G3215" s="7" t="s">
        <v>12558</v>
      </c>
      <c r="H3215" s="7">
        <f t="shared" si="206"/>
        <v>0</v>
      </c>
      <c r="I3215" s="7" cm="1">
        <f t="array" ref="I3215">IFERROR(_xlfn.IFS(M3215="נח",1,M3215="נע ונח",1,M3215="שני שווא נח",2,M3215="שני שוואים בסוף מילה",2,M3215="שני שוואים ברצף",1),"0")</f>
        <v>1</v>
      </c>
      <c r="J3215" s="9">
        <f t="shared" si="207"/>
        <v>2</v>
      </c>
      <c r="K3215" t="s">
        <v>6698</v>
      </c>
      <c r="L3215" t="s">
        <v>6694</v>
      </c>
      <c r="M3215" t="s">
        <v>6705</v>
      </c>
      <c r="P3215" t="s">
        <v>6694</v>
      </c>
      <c r="S3215" t="s">
        <v>6694</v>
      </c>
      <c r="W3215" t="s">
        <v>6720</v>
      </c>
    </row>
    <row r="3216" spans="1:23" ht="15.6" x14ac:dyDescent="0.4">
      <c r="A3216" s="2" t="s">
        <v>4718</v>
      </c>
      <c r="B3216" s="5" t="s">
        <v>9563</v>
      </c>
      <c r="C3216" s="7" t="s">
        <v>12556</v>
      </c>
      <c r="D3216" s="8">
        <f t="shared" si="204"/>
        <v>0</v>
      </c>
      <c r="E3216" s="7" t="s">
        <v>12557</v>
      </c>
      <c r="F3216" s="7">
        <f t="shared" si="205"/>
        <v>0</v>
      </c>
      <c r="G3216" s="7" t="s">
        <v>12558</v>
      </c>
      <c r="H3216" s="7">
        <f t="shared" si="206"/>
        <v>0</v>
      </c>
      <c r="I3216" s="7" cm="1">
        <f t="array" ref="I3216">IFERROR(_xlfn.IFS(M3216="נח",1,M3216="נע ונח",1,M3216="שני שווא נח",2,M3216="שני שוואים בסוף מילה",2,M3216="שני שוואים ברצף",1),"0")</f>
        <v>1</v>
      </c>
      <c r="J3216" s="9">
        <f t="shared" si="207"/>
        <v>2</v>
      </c>
      <c r="K3216" t="s">
        <v>6698</v>
      </c>
      <c r="L3216" t="s">
        <v>6694</v>
      </c>
      <c r="M3216" t="s">
        <v>6705</v>
      </c>
      <c r="S3216" t="s">
        <v>6694</v>
      </c>
      <c r="V3216" t="s">
        <v>6694</v>
      </c>
      <c r="W3216" t="s">
        <v>6720</v>
      </c>
    </row>
    <row r="3217" spans="1:23" ht="15.6" x14ac:dyDescent="0.4">
      <c r="A3217" s="2" t="s">
        <v>759</v>
      </c>
      <c r="B3217" s="5" t="s">
        <v>9564</v>
      </c>
      <c r="C3217" s="7" t="s">
        <v>12556</v>
      </c>
      <c r="D3217" s="8">
        <f t="shared" si="204"/>
        <v>0</v>
      </c>
      <c r="E3217" s="7" t="s">
        <v>12557</v>
      </c>
      <c r="F3217" s="7">
        <f t="shared" si="205"/>
        <v>2</v>
      </c>
      <c r="G3217" s="7" t="s">
        <v>12558</v>
      </c>
      <c r="H3217" s="7">
        <f t="shared" si="206"/>
        <v>1</v>
      </c>
      <c r="I3217" s="7" t="str" cm="1">
        <f t="array" ref="I3217">IFERROR(_xlfn.IFS(M3217="נח",1,M3217="נע ונח",1,M3217="שני שווא נח",2,M3217="שני שוואים בסוף מילה",2,M3217="שני שוואים ברצף",1),"0")</f>
        <v>0</v>
      </c>
      <c r="J3217" s="9">
        <f t="shared" si="207"/>
        <v>4</v>
      </c>
      <c r="K3217" t="s">
        <v>6698</v>
      </c>
      <c r="L3217" t="s">
        <v>6695</v>
      </c>
      <c r="O3217" t="s">
        <v>6694</v>
      </c>
      <c r="Q3217" t="s">
        <v>6694</v>
      </c>
      <c r="S3217" t="s">
        <v>6694</v>
      </c>
      <c r="U3217" t="s">
        <v>6694</v>
      </c>
      <c r="W3217" t="s">
        <v>6720</v>
      </c>
    </row>
    <row r="3218" spans="1:23" ht="15.6" x14ac:dyDescent="0.4">
      <c r="A3218" s="2" t="s">
        <v>5783</v>
      </c>
      <c r="B3218" s="5" t="s">
        <v>9565</v>
      </c>
      <c r="C3218" s="7" t="s">
        <v>12556</v>
      </c>
      <c r="D3218" s="8">
        <f t="shared" si="204"/>
        <v>0</v>
      </c>
      <c r="E3218" s="7" t="s">
        <v>12557</v>
      </c>
      <c r="F3218" s="7">
        <f t="shared" si="205"/>
        <v>1</v>
      </c>
      <c r="G3218" s="7" t="s">
        <v>12558</v>
      </c>
      <c r="H3218" s="7">
        <f t="shared" si="206"/>
        <v>0</v>
      </c>
      <c r="I3218" s="7" t="str" cm="1">
        <f t="array" ref="I3218">IFERROR(_xlfn.IFS(M3218="נח",1,M3218="נע ונח",1,M3218="שני שווא נח",2,M3218="שני שוואים בסוף מילה",2,M3218="שני שוואים ברצף",1),"0")</f>
        <v>0</v>
      </c>
      <c r="J3218" s="9">
        <f t="shared" si="207"/>
        <v>3</v>
      </c>
      <c r="K3218" t="s">
        <v>6697</v>
      </c>
      <c r="L3218" t="s">
        <v>6695</v>
      </c>
      <c r="O3218" t="s">
        <v>6694</v>
      </c>
      <c r="R3218" t="s">
        <v>6694</v>
      </c>
      <c r="S3218" t="s">
        <v>6694</v>
      </c>
      <c r="W3218" t="s">
        <v>6720</v>
      </c>
    </row>
    <row r="3219" spans="1:23" ht="15.6" x14ac:dyDescent="0.4">
      <c r="A3219" s="2" t="s">
        <v>1862</v>
      </c>
      <c r="B3219" s="5" t="s">
        <v>9566</v>
      </c>
      <c r="C3219" s="7" t="s">
        <v>12556</v>
      </c>
      <c r="D3219" s="8">
        <f t="shared" si="204"/>
        <v>0</v>
      </c>
      <c r="E3219" s="7" t="s">
        <v>12557</v>
      </c>
      <c r="F3219" s="7">
        <f t="shared" si="205"/>
        <v>2</v>
      </c>
      <c r="G3219" s="7" t="s">
        <v>12558</v>
      </c>
      <c r="H3219" s="7">
        <f t="shared" si="206"/>
        <v>1</v>
      </c>
      <c r="I3219" s="7" t="str" cm="1">
        <f t="array" ref="I3219">IFERROR(_xlfn.IFS(M3219="נח",1,M3219="נע ונח",1,M3219="שני שווא נח",2,M3219="שני שוואים בסוף מילה",2,M3219="שני שוואים ברצף",1),"0")</f>
        <v>0</v>
      </c>
      <c r="J3219" s="9">
        <f t="shared" si="207"/>
        <v>3</v>
      </c>
      <c r="K3219" t="s">
        <v>6697</v>
      </c>
      <c r="L3219" t="s">
        <v>6695</v>
      </c>
      <c r="S3219" t="s">
        <v>6694</v>
      </c>
      <c r="U3219" t="s">
        <v>6694</v>
      </c>
      <c r="V3219" t="s">
        <v>6694</v>
      </c>
      <c r="W3219" t="s">
        <v>6720</v>
      </c>
    </row>
    <row r="3220" spans="1:23" ht="15.6" x14ac:dyDescent="0.4">
      <c r="A3220" s="2" t="s">
        <v>184</v>
      </c>
      <c r="B3220" s="5" t="s">
        <v>9567</v>
      </c>
      <c r="C3220" s="7" t="s">
        <v>12556</v>
      </c>
      <c r="D3220" s="8">
        <f t="shared" si="204"/>
        <v>0</v>
      </c>
      <c r="E3220" s="7" t="s">
        <v>12557</v>
      </c>
      <c r="F3220" s="7">
        <f t="shared" si="205"/>
        <v>1</v>
      </c>
      <c r="G3220" s="7" t="s">
        <v>12558</v>
      </c>
      <c r="H3220" s="7">
        <f t="shared" si="206"/>
        <v>0</v>
      </c>
      <c r="I3220" s="7" t="str" cm="1">
        <f t="array" ref="I3220">IFERROR(_xlfn.IFS(M3220="נח",1,M3220="נע ונח",1,M3220="שני שווא נח",2,M3220="שני שוואים בסוף מילה",2,M3220="שני שוואים ברצף",1),"0")</f>
        <v>0</v>
      </c>
      <c r="J3220" s="9">
        <f t="shared" si="207"/>
        <v>2</v>
      </c>
      <c r="K3220" t="s">
        <v>6698</v>
      </c>
      <c r="L3220" t="s">
        <v>6695</v>
      </c>
      <c r="S3220" t="s">
        <v>6694</v>
      </c>
      <c r="V3220" t="s">
        <v>6694</v>
      </c>
      <c r="W3220" t="s">
        <v>6720</v>
      </c>
    </row>
    <row r="3221" spans="1:23" ht="15.6" x14ac:dyDescent="0.4">
      <c r="A3221" s="2" t="s">
        <v>6237</v>
      </c>
      <c r="B3221" s="5" t="s">
        <v>9568</v>
      </c>
      <c r="C3221" s="7" t="s">
        <v>12556</v>
      </c>
      <c r="D3221" s="8">
        <f t="shared" si="204"/>
        <v>0</v>
      </c>
      <c r="E3221" s="7" t="s">
        <v>12557</v>
      </c>
      <c r="F3221" s="7">
        <f t="shared" si="205"/>
        <v>2</v>
      </c>
      <c r="G3221" s="7" t="s">
        <v>12558</v>
      </c>
      <c r="H3221" s="7">
        <f t="shared" si="206"/>
        <v>1</v>
      </c>
      <c r="I3221" s="7" t="str" cm="1">
        <f t="array" ref="I3221">IFERROR(_xlfn.IFS(M3221="נח",1,M3221="נע ונח",1,M3221="שני שווא נח",2,M3221="שני שוואים בסוף מילה",2,M3221="שני שוואים ברצף",1),"0")</f>
        <v>0</v>
      </c>
      <c r="J3221" s="9">
        <f t="shared" si="207"/>
        <v>3</v>
      </c>
      <c r="K3221" t="s">
        <v>6698</v>
      </c>
      <c r="L3221" t="s">
        <v>6695</v>
      </c>
      <c r="S3221" t="s">
        <v>6694</v>
      </c>
      <c r="U3221" t="s">
        <v>6694</v>
      </c>
      <c r="V3221" t="s">
        <v>6694</v>
      </c>
      <c r="W3221" t="s">
        <v>6720</v>
      </c>
    </row>
    <row r="3222" spans="1:23" ht="15.6" x14ac:dyDescent="0.4">
      <c r="A3222" s="2" t="s">
        <v>3112</v>
      </c>
      <c r="B3222" s="5" t="s">
        <v>9569</v>
      </c>
      <c r="C3222" s="7" t="s">
        <v>12556</v>
      </c>
      <c r="D3222" s="8">
        <f t="shared" si="204"/>
        <v>0</v>
      </c>
      <c r="E3222" s="7" t="s">
        <v>12557</v>
      </c>
      <c r="F3222" s="7">
        <f t="shared" si="205"/>
        <v>0</v>
      </c>
      <c r="G3222" s="7" t="s">
        <v>12558</v>
      </c>
      <c r="H3222" s="7">
        <f t="shared" si="206"/>
        <v>0</v>
      </c>
      <c r="I3222" s="7" cm="1">
        <f t="array" ref="I3222">IFERROR(_xlfn.IFS(M3222="נח",1,M3222="נע ונח",1,M3222="שני שווא נח",2,M3222="שני שוואים בסוף מילה",2,M3222="שני שוואים ברצף",1),"0")</f>
        <v>1</v>
      </c>
      <c r="J3222" s="9">
        <f t="shared" si="207"/>
        <v>2</v>
      </c>
      <c r="K3222" t="s">
        <v>6698</v>
      </c>
      <c r="L3222" t="s">
        <v>6694</v>
      </c>
      <c r="M3222" t="s">
        <v>6705</v>
      </c>
      <c r="P3222" t="s">
        <v>6694</v>
      </c>
      <c r="S3222" t="s">
        <v>6694</v>
      </c>
      <c r="W3222" t="s">
        <v>6720</v>
      </c>
    </row>
    <row r="3223" spans="1:23" ht="15.6" x14ac:dyDescent="0.4">
      <c r="A3223" s="2" t="s">
        <v>2116</v>
      </c>
      <c r="B3223" s="5" t="s">
        <v>9570</v>
      </c>
      <c r="C3223" s="7" t="s">
        <v>12556</v>
      </c>
      <c r="D3223" s="8">
        <f t="shared" si="204"/>
        <v>0</v>
      </c>
      <c r="E3223" s="7" t="s">
        <v>12557</v>
      </c>
      <c r="F3223" s="7">
        <f t="shared" si="205"/>
        <v>1</v>
      </c>
      <c r="G3223" s="7" t="s">
        <v>12558</v>
      </c>
      <c r="H3223" s="7">
        <f t="shared" si="206"/>
        <v>0</v>
      </c>
      <c r="I3223" s="7" cm="1">
        <f t="array" ref="I3223">IFERROR(_xlfn.IFS(M3223="נח",1,M3223="נע ונח",1,M3223="שני שווא נח",2,M3223="שני שוואים בסוף מילה",2,M3223="שני שוואים ברצף",1),"0")</f>
        <v>1</v>
      </c>
      <c r="J3223" s="9">
        <f t="shared" si="207"/>
        <v>2</v>
      </c>
      <c r="K3223" t="s">
        <v>6698</v>
      </c>
      <c r="L3223" t="s">
        <v>6694</v>
      </c>
      <c r="M3223" t="s">
        <v>6705</v>
      </c>
      <c r="P3223" t="s">
        <v>6694</v>
      </c>
      <c r="S3223" t="s">
        <v>6694</v>
      </c>
      <c r="W3223" t="s">
        <v>6720</v>
      </c>
    </row>
    <row r="3224" spans="1:23" ht="15.6" x14ac:dyDescent="0.4">
      <c r="A3224" s="2" t="s">
        <v>762</v>
      </c>
      <c r="B3224" s="5" t="s">
        <v>9571</v>
      </c>
      <c r="C3224" s="7" t="s">
        <v>12556</v>
      </c>
      <c r="D3224" s="8">
        <f t="shared" si="204"/>
        <v>0</v>
      </c>
      <c r="E3224" s="7" t="s">
        <v>12557</v>
      </c>
      <c r="F3224" s="7">
        <f t="shared" si="205"/>
        <v>1</v>
      </c>
      <c r="G3224" s="7" t="s">
        <v>12558</v>
      </c>
      <c r="H3224" s="7">
        <f t="shared" si="206"/>
        <v>1</v>
      </c>
      <c r="I3224" s="7" cm="1">
        <f t="array" ref="I3224">IFERROR(_xlfn.IFS(M3224="נח",1,M3224="נע ונח",1,M3224="שני שווא נח",2,M3224="שני שוואים בסוף מילה",2,M3224="שני שוואים ברצף",1),"0")</f>
        <v>1</v>
      </c>
      <c r="J3224" s="9">
        <f t="shared" si="207"/>
        <v>3</v>
      </c>
      <c r="K3224" t="s">
        <v>6698</v>
      </c>
      <c r="L3224" t="s">
        <v>6694</v>
      </c>
      <c r="M3224" t="s">
        <v>6705</v>
      </c>
      <c r="O3224" t="s">
        <v>6694</v>
      </c>
      <c r="S3224" t="s">
        <v>6694</v>
      </c>
      <c r="U3224" t="s">
        <v>6694</v>
      </c>
      <c r="W3224" t="s">
        <v>6720</v>
      </c>
    </row>
    <row r="3225" spans="1:23" ht="15.6" x14ac:dyDescent="0.4">
      <c r="A3225" s="2" t="s">
        <v>2003</v>
      </c>
      <c r="B3225" s="5" t="s">
        <v>9572</v>
      </c>
      <c r="C3225" s="7" t="s">
        <v>12556</v>
      </c>
      <c r="D3225" s="8">
        <f t="shared" si="204"/>
        <v>0</v>
      </c>
      <c r="E3225" s="7" t="s">
        <v>12557</v>
      </c>
      <c r="F3225" s="7">
        <f t="shared" si="205"/>
        <v>0</v>
      </c>
      <c r="G3225" s="7" t="s">
        <v>12558</v>
      </c>
      <c r="H3225" s="7">
        <f t="shared" si="206"/>
        <v>0</v>
      </c>
      <c r="I3225" s="7" cm="1">
        <f t="array" ref="I3225">IFERROR(_xlfn.IFS(M3225="נח",1,M3225="נע ונח",1,M3225="שני שווא נח",2,M3225="שני שוואים בסוף מילה",2,M3225="שני שוואים ברצף",1),"0")</f>
        <v>1</v>
      </c>
      <c r="J3225" s="9">
        <f t="shared" si="207"/>
        <v>4</v>
      </c>
      <c r="K3225" t="s">
        <v>6697</v>
      </c>
      <c r="L3225" t="s">
        <v>6694</v>
      </c>
      <c r="M3225" t="s">
        <v>6702</v>
      </c>
      <c r="Q3225" t="s">
        <v>6694</v>
      </c>
      <c r="S3225" t="s">
        <v>6694</v>
      </c>
      <c r="W3225" t="s">
        <v>6720</v>
      </c>
    </row>
    <row r="3226" spans="1:23" ht="15.6" x14ac:dyDescent="0.4">
      <c r="A3226" s="2" t="s">
        <v>2908</v>
      </c>
      <c r="B3226" s="5" t="s">
        <v>9573</v>
      </c>
      <c r="C3226" s="7" t="s">
        <v>12556</v>
      </c>
      <c r="D3226" s="8">
        <f t="shared" si="204"/>
        <v>0</v>
      </c>
      <c r="E3226" s="7" t="s">
        <v>12557</v>
      </c>
      <c r="F3226" s="7">
        <f t="shared" si="205"/>
        <v>0</v>
      </c>
      <c r="G3226" s="7" t="s">
        <v>12558</v>
      </c>
      <c r="H3226" s="7">
        <f t="shared" si="206"/>
        <v>0</v>
      </c>
      <c r="I3226" s="7" cm="1">
        <f t="array" ref="I3226">IFERROR(_xlfn.IFS(M3226="נח",1,M3226="נע ונח",1,M3226="שני שווא נח",2,M3226="שני שוואים בסוף מילה",2,M3226="שני שוואים ברצף",1),"0")</f>
        <v>1</v>
      </c>
      <c r="J3226" s="9">
        <f t="shared" si="207"/>
        <v>2</v>
      </c>
      <c r="K3226" t="s">
        <v>6698</v>
      </c>
      <c r="L3226" t="s">
        <v>6694</v>
      </c>
      <c r="M3226" t="s">
        <v>6705</v>
      </c>
      <c r="S3226" t="s">
        <v>6694</v>
      </c>
      <c r="V3226" t="s">
        <v>6694</v>
      </c>
      <c r="W3226" t="s">
        <v>6720</v>
      </c>
    </row>
    <row r="3227" spans="1:23" ht="15.6" x14ac:dyDescent="0.4">
      <c r="A3227" s="2" t="s">
        <v>6220</v>
      </c>
      <c r="B3227" s="5" t="s">
        <v>9574</v>
      </c>
      <c r="C3227" s="7" t="s">
        <v>12556</v>
      </c>
      <c r="D3227" s="8">
        <f t="shared" si="204"/>
        <v>1</v>
      </c>
      <c r="E3227" s="7" t="s">
        <v>12557</v>
      </c>
      <c r="F3227" s="7">
        <f t="shared" si="205"/>
        <v>1</v>
      </c>
      <c r="G3227" s="7" t="s">
        <v>12558</v>
      </c>
      <c r="H3227" s="7">
        <f t="shared" si="206"/>
        <v>0</v>
      </c>
      <c r="I3227" s="7" t="str" cm="1">
        <f t="array" ref="I3227">IFERROR(_xlfn.IFS(M3227="נח",1,M3227="נע ונח",1,M3227="שני שווא נח",2,M3227="שני שוואים בסוף מילה",2,M3227="שני שוואים ברצף",1),"0")</f>
        <v>0</v>
      </c>
      <c r="J3227" s="9">
        <f t="shared" si="207"/>
        <v>2</v>
      </c>
      <c r="K3227" t="s">
        <v>6698</v>
      </c>
      <c r="L3227" t="s">
        <v>6695</v>
      </c>
      <c r="O3227" t="s">
        <v>6694</v>
      </c>
      <c r="S3227" t="s">
        <v>6694</v>
      </c>
      <c r="W3227" t="s">
        <v>6720</v>
      </c>
    </row>
    <row r="3228" spans="1:23" ht="15.6" x14ac:dyDescent="0.4">
      <c r="A3228" s="2" t="s">
        <v>2792</v>
      </c>
      <c r="B3228" s="5" t="s">
        <v>9575</v>
      </c>
      <c r="C3228" s="7" t="s">
        <v>12556</v>
      </c>
      <c r="D3228" s="8">
        <f t="shared" si="204"/>
        <v>0</v>
      </c>
      <c r="E3228" s="7" t="s">
        <v>12557</v>
      </c>
      <c r="F3228" s="7">
        <f t="shared" si="205"/>
        <v>1</v>
      </c>
      <c r="G3228" s="7" t="s">
        <v>12558</v>
      </c>
      <c r="H3228" s="7">
        <f t="shared" si="206"/>
        <v>0</v>
      </c>
      <c r="I3228" s="7" cm="1">
        <f t="array" ref="I3228">IFERROR(_xlfn.IFS(M3228="נח",1,M3228="נע ונח",1,M3228="שני שווא נח",2,M3228="שני שוואים בסוף מילה",2,M3228="שני שוואים ברצף",1),"0")</f>
        <v>1</v>
      </c>
      <c r="J3228" s="9">
        <f t="shared" si="207"/>
        <v>2</v>
      </c>
      <c r="K3228" t="s">
        <v>6698</v>
      </c>
      <c r="L3228" t="s">
        <v>6694</v>
      </c>
      <c r="M3228" t="s">
        <v>6705</v>
      </c>
      <c r="P3228" t="s">
        <v>6694</v>
      </c>
      <c r="S3228" t="s">
        <v>6694</v>
      </c>
      <c r="W3228" t="s">
        <v>6720</v>
      </c>
    </row>
    <row r="3229" spans="1:23" ht="15.6" x14ac:dyDescent="0.4">
      <c r="A3229" s="2" t="s">
        <v>5156</v>
      </c>
      <c r="B3229" s="5" t="s">
        <v>9576</v>
      </c>
      <c r="C3229" s="7" t="s">
        <v>12556</v>
      </c>
      <c r="D3229" s="8">
        <f t="shared" si="204"/>
        <v>0</v>
      </c>
      <c r="E3229" s="7" t="s">
        <v>12557</v>
      </c>
      <c r="F3229" s="7">
        <f t="shared" si="205"/>
        <v>1</v>
      </c>
      <c r="G3229" s="7" t="s">
        <v>12558</v>
      </c>
      <c r="H3229" s="7">
        <f t="shared" si="206"/>
        <v>0</v>
      </c>
      <c r="I3229" s="7" cm="1">
        <f t="array" ref="I3229">IFERROR(_xlfn.IFS(M3229="נח",1,M3229="נע ונח",1,M3229="שני שווא נח",2,M3229="שני שוואים בסוף מילה",2,M3229="שני שוואים ברצף",1),"0")</f>
        <v>1</v>
      </c>
      <c r="J3229" s="9">
        <f t="shared" si="207"/>
        <v>2</v>
      </c>
      <c r="K3229" t="s">
        <v>6697</v>
      </c>
      <c r="L3229" t="s">
        <v>6694</v>
      </c>
      <c r="M3229" t="s">
        <v>6705</v>
      </c>
      <c r="R3229" t="s">
        <v>6694</v>
      </c>
      <c r="S3229" t="s">
        <v>6694</v>
      </c>
      <c r="W3229" t="s">
        <v>6720</v>
      </c>
    </row>
    <row r="3230" spans="1:23" ht="15.6" x14ac:dyDescent="0.4">
      <c r="A3230" s="2" t="s">
        <v>5130</v>
      </c>
      <c r="B3230" s="5" t="s">
        <v>9577</v>
      </c>
      <c r="C3230" s="7" t="s">
        <v>12556</v>
      </c>
      <c r="D3230" s="8">
        <f t="shared" si="204"/>
        <v>0</v>
      </c>
      <c r="E3230" s="7" t="s">
        <v>12557</v>
      </c>
      <c r="F3230" s="7">
        <f t="shared" si="205"/>
        <v>0</v>
      </c>
      <c r="G3230" s="7" t="s">
        <v>12558</v>
      </c>
      <c r="H3230" s="7">
        <f t="shared" si="206"/>
        <v>0</v>
      </c>
      <c r="I3230" s="7" cm="1">
        <f t="array" ref="I3230">IFERROR(_xlfn.IFS(M3230="נח",1,M3230="נע ונח",1,M3230="שני שווא נח",2,M3230="שני שוואים בסוף מילה",2,M3230="שני שוואים ברצף",1),"0")</f>
        <v>1</v>
      </c>
      <c r="J3230" s="9">
        <f t="shared" si="207"/>
        <v>2</v>
      </c>
      <c r="K3230" t="s">
        <v>6698</v>
      </c>
      <c r="L3230" t="s">
        <v>6694</v>
      </c>
      <c r="M3230" t="s">
        <v>6705</v>
      </c>
      <c r="P3230" t="s">
        <v>6694</v>
      </c>
      <c r="S3230" t="s">
        <v>6694</v>
      </c>
      <c r="W3230" t="s">
        <v>6720</v>
      </c>
    </row>
    <row r="3231" spans="1:23" ht="15.6" x14ac:dyDescent="0.4">
      <c r="A3231" s="2" t="s">
        <v>5796</v>
      </c>
      <c r="B3231" s="5" t="s">
        <v>9578</v>
      </c>
      <c r="C3231" s="7" t="s">
        <v>12556</v>
      </c>
      <c r="D3231" s="8">
        <f t="shared" si="204"/>
        <v>0</v>
      </c>
      <c r="E3231" s="7" t="s">
        <v>12557</v>
      </c>
      <c r="F3231" s="7">
        <f t="shared" si="205"/>
        <v>0</v>
      </c>
      <c r="G3231" s="7" t="s">
        <v>12558</v>
      </c>
      <c r="H3231" s="7">
        <f t="shared" si="206"/>
        <v>0</v>
      </c>
      <c r="I3231" s="7" cm="1">
        <f t="array" ref="I3231">IFERROR(_xlfn.IFS(M3231="נח",1,M3231="נע ונח",1,M3231="שני שווא נח",2,M3231="שני שוואים בסוף מילה",2,M3231="שני שוואים ברצף",1),"0")</f>
        <v>1</v>
      </c>
      <c r="J3231" s="9">
        <f t="shared" si="207"/>
        <v>2</v>
      </c>
      <c r="K3231" t="s">
        <v>6697</v>
      </c>
      <c r="L3231" t="s">
        <v>6694</v>
      </c>
      <c r="M3231" t="s">
        <v>6705</v>
      </c>
      <c r="R3231" t="s">
        <v>6694</v>
      </c>
      <c r="S3231" t="s">
        <v>6694</v>
      </c>
      <c r="W3231" t="s">
        <v>6720</v>
      </c>
    </row>
    <row r="3232" spans="1:23" ht="15.6" x14ac:dyDescent="0.4">
      <c r="A3232" s="2" t="s">
        <v>2442</v>
      </c>
      <c r="B3232" s="5" t="s">
        <v>9579</v>
      </c>
      <c r="C3232" s="7" t="s">
        <v>12556</v>
      </c>
      <c r="D3232" s="8">
        <f t="shared" si="204"/>
        <v>0</v>
      </c>
      <c r="E3232" s="7" t="s">
        <v>12557</v>
      </c>
      <c r="F3232" s="7">
        <f t="shared" si="205"/>
        <v>1</v>
      </c>
      <c r="G3232" s="7" t="s">
        <v>12558</v>
      </c>
      <c r="H3232" s="7">
        <f t="shared" si="206"/>
        <v>1</v>
      </c>
      <c r="I3232" s="7" cm="1">
        <f t="array" ref="I3232">IFERROR(_xlfn.IFS(M3232="נח",1,M3232="נע ונח",1,M3232="שני שווא נח",2,M3232="שני שוואים בסוף מילה",2,M3232="שני שוואים ברצף",1),"0")</f>
        <v>1</v>
      </c>
      <c r="J3232" s="9">
        <f t="shared" si="207"/>
        <v>3</v>
      </c>
      <c r="K3232" t="s">
        <v>6698</v>
      </c>
      <c r="L3232" t="s">
        <v>6694</v>
      </c>
      <c r="M3232" t="s">
        <v>6702</v>
      </c>
      <c r="S3232" t="s">
        <v>6694</v>
      </c>
      <c r="U3232" t="s">
        <v>6694</v>
      </c>
      <c r="W3232" t="s">
        <v>6720</v>
      </c>
    </row>
    <row r="3233" spans="1:23" ht="15.6" x14ac:dyDescent="0.4">
      <c r="A3233" s="2" t="s">
        <v>5986</v>
      </c>
      <c r="B3233" s="5" t="s">
        <v>9580</v>
      </c>
      <c r="C3233" s="7" t="s">
        <v>12556</v>
      </c>
      <c r="D3233" s="8">
        <f t="shared" si="204"/>
        <v>1</v>
      </c>
      <c r="E3233" s="7" t="s">
        <v>12557</v>
      </c>
      <c r="F3233" s="7">
        <f t="shared" si="205"/>
        <v>2</v>
      </c>
      <c r="G3233" s="7" t="s">
        <v>12558</v>
      </c>
      <c r="H3233" s="7">
        <f t="shared" si="206"/>
        <v>2</v>
      </c>
      <c r="I3233" s="7" cm="1">
        <f t="array" ref="I3233">IFERROR(_xlfn.IFS(M3233="נח",1,M3233="נע ונח",1,M3233="שני שווא נח",2,M3233="שני שוואים בסוף מילה",2,M3233="שני שוואים ברצף",1),"0")</f>
        <v>1</v>
      </c>
      <c r="J3233" s="9">
        <f t="shared" si="207"/>
        <v>4</v>
      </c>
      <c r="K3233" t="s">
        <v>6697</v>
      </c>
      <c r="L3233" t="s">
        <v>6694</v>
      </c>
      <c r="M3233" t="s">
        <v>6702</v>
      </c>
      <c r="S3233" t="s">
        <v>6694</v>
      </c>
      <c r="U3233" t="s">
        <v>6694</v>
      </c>
      <c r="W3233" t="s">
        <v>6720</v>
      </c>
    </row>
    <row r="3234" spans="1:23" ht="15.6" x14ac:dyDescent="0.4">
      <c r="A3234" s="2" t="s">
        <v>4154</v>
      </c>
      <c r="B3234" s="5" t="s">
        <v>9581</v>
      </c>
      <c r="C3234" s="7" t="s">
        <v>12556</v>
      </c>
      <c r="D3234" s="8">
        <f t="shared" si="204"/>
        <v>0</v>
      </c>
      <c r="E3234" s="7" t="s">
        <v>12557</v>
      </c>
      <c r="F3234" s="7">
        <f t="shared" si="205"/>
        <v>0</v>
      </c>
      <c r="G3234" s="7" t="s">
        <v>12558</v>
      </c>
      <c r="H3234" s="7">
        <f t="shared" si="206"/>
        <v>0</v>
      </c>
      <c r="I3234" s="7" cm="1">
        <f t="array" ref="I3234">IFERROR(_xlfn.IFS(M3234="נח",1,M3234="נע ונח",1,M3234="שני שווא נח",2,M3234="שני שוואים בסוף מילה",2,M3234="שני שוואים ברצף",1),"0")</f>
        <v>2</v>
      </c>
      <c r="J3234" s="9">
        <f t="shared" si="207"/>
        <v>2</v>
      </c>
      <c r="K3234" t="s">
        <v>6698</v>
      </c>
      <c r="L3234" t="s">
        <v>6694</v>
      </c>
      <c r="M3234" t="s">
        <v>6704</v>
      </c>
      <c r="S3234" t="s">
        <v>6694</v>
      </c>
      <c r="V3234" t="s">
        <v>6694</v>
      </c>
      <c r="W3234" t="s">
        <v>6720</v>
      </c>
    </row>
    <row r="3235" spans="1:23" ht="15.6" x14ac:dyDescent="0.4">
      <c r="A3235" s="2" t="s">
        <v>5138</v>
      </c>
      <c r="B3235" s="5" t="s">
        <v>9582</v>
      </c>
      <c r="C3235" s="7" t="s">
        <v>12556</v>
      </c>
      <c r="D3235" s="8">
        <f t="shared" si="204"/>
        <v>1</v>
      </c>
      <c r="E3235" s="7" t="s">
        <v>12557</v>
      </c>
      <c r="F3235" s="7">
        <f t="shared" si="205"/>
        <v>0</v>
      </c>
      <c r="G3235" s="7" t="s">
        <v>12558</v>
      </c>
      <c r="H3235" s="7">
        <f t="shared" si="206"/>
        <v>0</v>
      </c>
      <c r="I3235" s="7" cm="1">
        <f t="array" ref="I3235">IFERROR(_xlfn.IFS(M3235="נח",1,M3235="נע ונח",1,M3235="שני שווא נח",2,M3235="שני שוואים בסוף מילה",2,M3235="שני שוואים ברצף",1),"0")</f>
        <v>1</v>
      </c>
      <c r="J3235" s="9">
        <f t="shared" si="207"/>
        <v>2</v>
      </c>
      <c r="K3235" t="s">
        <v>6698</v>
      </c>
      <c r="L3235" t="s">
        <v>6694</v>
      </c>
      <c r="M3235" t="s">
        <v>6705</v>
      </c>
      <c r="S3235" t="s">
        <v>6694</v>
      </c>
      <c r="V3235" t="s">
        <v>6694</v>
      </c>
      <c r="W3235" t="s">
        <v>6720</v>
      </c>
    </row>
    <row r="3236" spans="1:23" ht="15.6" x14ac:dyDescent="0.4">
      <c r="A3236" s="2" t="s">
        <v>3405</v>
      </c>
      <c r="B3236" s="5" t="s">
        <v>9583</v>
      </c>
      <c r="C3236" s="7" t="s">
        <v>12556</v>
      </c>
      <c r="D3236" s="8">
        <f t="shared" si="204"/>
        <v>0</v>
      </c>
      <c r="E3236" s="7" t="s">
        <v>12557</v>
      </c>
      <c r="F3236" s="7">
        <f t="shared" si="205"/>
        <v>2</v>
      </c>
      <c r="G3236" s="7" t="s">
        <v>12558</v>
      </c>
      <c r="H3236" s="7">
        <f t="shared" si="206"/>
        <v>1</v>
      </c>
      <c r="I3236" s="7" cm="1">
        <f t="array" ref="I3236">IFERROR(_xlfn.IFS(M3236="נח",1,M3236="נע ונח",1,M3236="שני שווא נח",2,M3236="שני שוואים בסוף מילה",2,M3236="שני שוואים ברצף",1),"0")</f>
        <v>1</v>
      </c>
      <c r="J3236" s="9">
        <f t="shared" si="207"/>
        <v>2</v>
      </c>
      <c r="K3236" t="s">
        <v>6697</v>
      </c>
      <c r="L3236" t="s">
        <v>6694</v>
      </c>
      <c r="M3236" t="s">
        <v>6705</v>
      </c>
      <c r="S3236" t="s">
        <v>6694</v>
      </c>
      <c r="U3236" t="s">
        <v>6694</v>
      </c>
      <c r="W3236" t="s">
        <v>6720</v>
      </c>
    </row>
    <row r="3237" spans="1:23" ht="15.6" x14ac:dyDescent="0.4">
      <c r="A3237" s="2" t="s">
        <v>4511</v>
      </c>
      <c r="B3237" s="5" t="s">
        <v>9584</v>
      </c>
      <c r="C3237" s="7" t="s">
        <v>12556</v>
      </c>
      <c r="D3237" s="8">
        <f t="shared" si="204"/>
        <v>0</v>
      </c>
      <c r="E3237" s="7" t="s">
        <v>12557</v>
      </c>
      <c r="F3237" s="7">
        <f t="shared" si="205"/>
        <v>2</v>
      </c>
      <c r="G3237" s="7" t="s">
        <v>12558</v>
      </c>
      <c r="H3237" s="7">
        <f t="shared" si="206"/>
        <v>1</v>
      </c>
      <c r="I3237" s="7" t="str" cm="1">
        <f t="array" ref="I3237">IFERROR(_xlfn.IFS(M3237="נח",1,M3237="נע ונח",1,M3237="שני שווא נח",2,M3237="שני שוואים בסוף מילה",2,M3237="שני שוואים ברצף",1),"0")</f>
        <v>0</v>
      </c>
      <c r="J3237" s="9">
        <f t="shared" si="207"/>
        <v>3</v>
      </c>
      <c r="K3237" t="s">
        <v>6698</v>
      </c>
      <c r="L3237" t="s">
        <v>6695</v>
      </c>
      <c r="S3237" t="s">
        <v>6694</v>
      </c>
      <c r="U3237" t="s">
        <v>6694</v>
      </c>
      <c r="V3237" t="s">
        <v>6694</v>
      </c>
      <c r="W3237" t="s">
        <v>6720</v>
      </c>
    </row>
    <row r="3238" spans="1:23" ht="15.6" x14ac:dyDescent="0.4">
      <c r="A3238" s="2" t="s">
        <v>1933</v>
      </c>
      <c r="B3238" s="5" t="s">
        <v>9585</v>
      </c>
      <c r="C3238" s="7" t="s">
        <v>12556</v>
      </c>
      <c r="D3238" s="8">
        <f t="shared" si="204"/>
        <v>0</v>
      </c>
      <c r="E3238" s="7" t="s">
        <v>12557</v>
      </c>
      <c r="F3238" s="7">
        <f t="shared" si="205"/>
        <v>1</v>
      </c>
      <c r="G3238" s="7" t="s">
        <v>12558</v>
      </c>
      <c r="H3238" s="7">
        <f t="shared" si="206"/>
        <v>0</v>
      </c>
      <c r="I3238" s="7" t="str" cm="1">
        <f t="array" ref="I3238">IFERROR(_xlfn.IFS(M3238="נח",1,M3238="נע ונח",1,M3238="שני שווא נח",2,M3238="שני שוואים בסוף מילה",2,M3238="שני שוואים ברצף",1),"0")</f>
        <v>0</v>
      </c>
      <c r="J3238" s="9">
        <f t="shared" si="207"/>
        <v>2</v>
      </c>
      <c r="K3238" t="s">
        <v>6698</v>
      </c>
      <c r="L3238" t="s">
        <v>6695</v>
      </c>
      <c r="S3238" t="s">
        <v>6694</v>
      </c>
      <c r="V3238" t="s">
        <v>6694</v>
      </c>
      <c r="W3238" t="s">
        <v>6720</v>
      </c>
    </row>
    <row r="3239" spans="1:23" ht="15.6" x14ac:dyDescent="0.4">
      <c r="A3239" s="2" t="s">
        <v>1185</v>
      </c>
      <c r="B3239" s="5" t="s">
        <v>9586</v>
      </c>
      <c r="C3239" s="7" t="s">
        <v>12556</v>
      </c>
      <c r="D3239" s="8">
        <f t="shared" si="204"/>
        <v>0</v>
      </c>
      <c r="E3239" s="7" t="s">
        <v>12557</v>
      </c>
      <c r="F3239" s="7">
        <f t="shared" si="205"/>
        <v>0</v>
      </c>
      <c r="G3239" s="7" t="s">
        <v>12558</v>
      </c>
      <c r="H3239" s="7">
        <f t="shared" si="206"/>
        <v>0</v>
      </c>
      <c r="I3239" s="7" cm="1">
        <f t="array" ref="I3239">IFERROR(_xlfn.IFS(M3239="נח",1,M3239="נע ונח",1,M3239="שני שווא נח",2,M3239="שני שוואים בסוף מילה",2,M3239="שני שוואים ברצף",1),"0")</f>
        <v>1</v>
      </c>
      <c r="J3239" s="9">
        <f t="shared" si="207"/>
        <v>2</v>
      </c>
      <c r="K3239" t="s">
        <v>6697</v>
      </c>
      <c r="L3239" t="s">
        <v>6694</v>
      </c>
      <c r="M3239" t="s">
        <v>6705</v>
      </c>
      <c r="R3239" t="s">
        <v>6694</v>
      </c>
      <c r="S3239" t="s">
        <v>6694</v>
      </c>
      <c r="W3239" t="s">
        <v>6720</v>
      </c>
    </row>
    <row r="3240" spans="1:23" ht="15.6" x14ac:dyDescent="0.4">
      <c r="A3240" s="2" t="s">
        <v>961</v>
      </c>
      <c r="B3240" s="5" t="s">
        <v>9587</v>
      </c>
      <c r="C3240" s="7" t="s">
        <v>12556</v>
      </c>
      <c r="D3240" s="8">
        <f t="shared" si="204"/>
        <v>0</v>
      </c>
      <c r="E3240" s="7" t="s">
        <v>12557</v>
      </c>
      <c r="F3240" s="7">
        <f t="shared" si="205"/>
        <v>1</v>
      </c>
      <c r="G3240" s="7" t="s">
        <v>12558</v>
      </c>
      <c r="H3240" s="7">
        <f t="shared" si="206"/>
        <v>1</v>
      </c>
      <c r="I3240" s="7" cm="1">
        <f t="array" ref="I3240">IFERROR(_xlfn.IFS(M3240="נח",1,M3240="נע ונח",1,M3240="שני שווא נח",2,M3240="שני שוואים בסוף מילה",2,M3240="שני שוואים ברצף",1),"0")</f>
        <v>1</v>
      </c>
      <c r="J3240" s="9">
        <f t="shared" si="207"/>
        <v>2</v>
      </c>
      <c r="K3240" t="s">
        <v>6697</v>
      </c>
      <c r="L3240" t="s">
        <v>6694</v>
      </c>
      <c r="M3240" t="s">
        <v>6705</v>
      </c>
      <c r="S3240" t="s">
        <v>6694</v>
      </c>
      <c r="U3240" t="s">
        <v>6694</v>
      </c>
      <c r="W3240" t="s">
        <v>6720</v>
      </c>
    </row>
    <row r="3241" spans="1:23" ht="15.6" x14ac:dyDescent="0.4">
      <c r="A3241" s="2" t="s">
        <v>5478</v>
      </c>
      <c r="B3241" s="5" t="s">
        <v>9588</v>
      </c>
      <c r="C3241" s="7" t="s">
        <v>12556</v>
      </c>
      <c r="D3241" s="8">
        <f t="shared" si="204"/>
        <v>0</v>
      </c>
      <c r="E3241" s="7" t="s">
        <v>12557</v>
      </c>
      <c r="F3241" s="7">
        <f t="shared" si="205"/>
        <v>1</v>
      </c>
      <c r="G3241" s="7" t="s">
        <v>12558</v>
      </c>
      <c r="H3241" s="7">
        <f t="shared" si="206"/>
        <v>1</v>
      </c>
      <c r="I3241" s="7" t="str" cm="1">
        <f t="array" ref="I3241">IFERROR(_xlfn.IFS(M3241="נח",1,M3241="נע ונח",1,M3241="שני שווא נח",2,M3241="שני שוואים בסוף מילה",2,M3241="שני שוואים ברצף",1),"0")</f>
        <v>0</v>
      </c>
      <c r="J3241" s="9">
        <f t="shared" si="207"/>
        <v>4</v>
      </c>
      <c r="K3241" t="s">
        <v>6697</v>
      </c>
      <c r="L3241" t="s">
        <v>6695</v>
      </c>
      <c r="O3241" t="s">
        <v>6694</v>
      </c>
      <c r="P3241" t="s">
        <v>6694</v>
      </c>
      <c r="S3241" t="s">
        <v>6694</v>
      </c>
      <c r="U3241" t="s">
        <v>6694</v>
      </c>
      <c r="W3241" t="s">
        <v>6720</v>
      </c>
    </row>
    <row r="3242" spans="1:23" ht="15.6" x14ac:dyDescent="0.4">
      <c r="A3242" s="2" t="s">
        <v>5714</v>
      </c>
      <c r="B3242" s="5" t="s">
        <v>9589</v>
      </c>
      <c r="C3242" s="7" t="s">
        <v>12556</v>
      </c>
      <c r="D3242" s="8">
        <f t="shared" si="204"/>
        <v>0</v>
      </c>
      <c r="E3242" s="7" t="s">
        <v>12557</v>
      </c>
      <c r="F3242" s="7">
        <f t="shared" si="205"/>
        <v>2</v>
      </c>
      <c r="G3242" s="7" t="s">
        <v>12558</v>
      </c>
      <c r="H3242" s="7">
        <f t="shared" si="206"/>
        <v>2</v>
      </c>
      <c r="I3242" s="7" t="str" cm="1">
        <f t="array" ref="I3242">IFERROR(_xlfn.IFS(M3242="נח",1,M3242="נע ונח",1,M3242="שני שווא נח",2,M3242="שני שוואים בסוף מילה",2,M3242="שני שוואים ברצף",1),"0")</f>
        <v>0</v>
      </c>
      <c r="J3242" s="9">
        <f t="shared" si="207"/>
        <v>5</v>
      </c>
      <c r="K3242" t="s">
        <v>6697</v>
      </c>
      <c r="L3242" t="s">
        <v>6695</v>
      </c>
      <c r="O3242" t="s">
        <v>6694</v>
      </c>
      <c r="Q3242" t="s">
        <v>6694</v>
      </c>
      <c r="S3242" t="s">
        <v>6694</v>
      </c>
      <c r="U3242" t="s">
        <v>6694</v>
      </c>
      <c r="W3242" t="s">
        <v>6720</v>
      </c>
    </row>
    <row r="3243" spans="1:23" ht="15.6" x14ac:dyDescent="0.4">
      <c r="A3243" s="2" t="s">
        <v>5913</v>
      </c>
      <c r="B3243" s="5" t="s">
        <v>9590</v>
      </c>
      <c r="C3243" s="7" t="s">
        <v>12556</v>
      </c>
      <c r="D3243" s="8">
        <f t="shared" si="204"/>
        <v>0</v>
      </c>
      <c r="E3243" s="7" t="s">
        <v>12557</v>
      </c>
      <c r="F3243" s="7">
        <f t="shared" si="205"/>
        <v>2</v>
      </c>
      <c r="G3243" s="7" t="s">
        <v>12558</v>
      </c>
      <c r="H3243" s="7">
        <f t="shared" si="206"/>
        <v>1</v>
      </c>
      <c r="I3243" s="7" cm="1">
        <f t="array" ref="I3243">IFERROR(_xlfn.IFS(M3243="נח",1,M3243="נע ונח",1,M3243="שני שווא נח",2,M3243="שני שוואים בסוף מילה",2,M3243="שני שוואים ברצף",1),"0")</f>
        <v>1</v>
      </c>
      <c r="J3243" s="9">
        <f t="shared" si="207"/>
        <v>3</v>
      </c>
      <c r="K3243" t="s">
        <v>6697</v>
      </c>
      <c r="L3243" t="s">
        <v>6694</v>
      </c>
      <c r="M3243" t="s">
        <v>6702</v>
      </c>
      <c r="S3243" t="s">
        <v>6694</v>
      </c>
      <c r="U3243" t="s">
        <v>6694</v>
      </c>
      <c r="W3243" t="s">
        <v>6720</v>
      </c>
    </row>
    <row r="3244" spans="1:23" ht="15.6" x14ac:dyDescent="0.4">
      <c r="A3244" s="2" t="s">
        <v>1160</v>
      </c>
      <c r="B3244" s="5" t="s">
        <v>9591</v>
      </c>
      <c r="C3244" s="7" t="s">
        <v>12556</v>
      </c>
      <c r="D3244" s="8">
        <f t="shared" si="204"/>
        <v>0</v>
      </c>
      <c r="E3244" s="7" t="s">
        <v>12557</v>
      </c>
      <c r="F3244" s="7">
        <f t="shared" si="205"/>
        <v>1</v>
      </c>
      <c r="G3244" s="7" t="s">
        <v>12558</v>
      </c>
      <c r="H3244" s="7">
        <f t="shared" si="206"/>
        <v>0</v>
      </c>
      <c r="I3244" s="7" cm="1">
        <f t="array" ref="I3244">IFERROR(_xlfn.IFS(M3244="נח",1,M3244="נע ונח",1,M3244="שני שווא נח",2,M3244="שני שוואים בסוף מילה",2,M3244="שני שוואים ברצף",1),"0")</f>
        <v>1</v>
      </c>
      <c r="J3244" s="9">
        <f t="shared" si="207"/>
        <v>2</v>
      </c>
      <c r="K3244" t="s">
        <v>6698</v>
      </c>
      <c r="L3244" t="s">
        <v>6694</v>
      </c>
      <c r="M3244" t="s">
        <v>6705</v>
      </c>
      <c r="S3244" t="s">
        <v>6694</v>
      </c>
      <c r="V3244" t="s">
        <v>6694</v>
      </c>
      <c r="W3244" t="s">
        <v>6720</v>
      </c>
    </row>
    <row r="3245" spans="1:23" ht="15.6" x14ac:dyDescent="0.4">
      <c r="A3245" s="2" t="s">
        <v>4741</v>
      </c>
      <c r="B3245" s="5" t="s">
        <v>9592</v>
      </c>
      <c r="C3245" s="7" t="s">
        <v>12556</v>
      </c>
      <c r="D3245" s="8">
        <f t="shared" si="204"/>
        <v>0</v>
      </c>
      <c r="E3245" s="7" t="s">
        <v>12557</v>
      </c>
      <c r="F3245" s="7">
        <f t="shared" si="205"/>
        <v>0</v>
      </c>
      <c r="G3245" s="7" t="s">
        <v>12558</v>
      </c>
      <c r="H3245" s="7">
        <f t="shared" si="206"/>
        <v>0</v>
      </c>
      <c r="I3245" s="7" cm="1">
        <f t="array" ref="I3245">IFERROR(_xlfn.IFS(M3245="נח",1,M3245="נע ונח",1,M3245="שני שווא נח",2,M3245="שני שוואים בסוף מילה",2,M3245="שני שוואים ברצף",1),"0")</f>
        <v>1</v>
      </c>
      <c r="J3245" s="9">
        <f t="shared" si="207"/>
        <v>2</v>
      </c>
      <c r="K3245" t="s">
        <v>6698</v>
      </c>
      <c r="L3245" t="s">
        <v>6694</v>
      </c>
      <c r="M3245" t="s">
        <v>6705</v>
      </c>
      <c r="P3245" t="s">
        <v>6694</v>
      </c>
      <c r="S3245" t="s">
        <v>6694</v>
      </c>
      <c r="W3245" t="s">
        <v>6720</v>
      </c>
    </row>
    <row r="3246" spans="1:23" ht="15.6" x14ac:dyDescent="0.4">
      <c r="A3246" s="2" t="s">
        <v>1399</v>
      </c>
      <c r="B3246" s="5" t="s">
        <v>9593</v>
      </c>
      <c r="C3246" s="7" t="s">
        <v>12556</v>
      </c>
      <c r="D3246" s="8">
        <f t="shared" si="204"/>
        <v>0</v>
      </c>
      <c r="E3246" s="7" t="s">
        <v>12557</v>
      </c>
      <c r="F3246" s="7">
        <f t="shared" si="205"/>
        <v>2</v>
      </c>
      <c r="G3246" s="7" t="s">
        <v>12558</v>
      </c>
      <c r="H3246" s="7">
        <f t="shared" si="206"/>
        <v>1</v>
      </c>
      <c r="I3246" s="7" cm="1">
        <f t="array" ref="I3246">IFERROR(_xlfn.IFS(M3246="נח",1,M3246="נע ונח",1,M3246="שני שווא נח",2,M3246="שני שוואים בסוף מילה",2,M3246="שני שוואים ברצף",1),"0")</f>
        <v>1</v>
      </c>
      <c r="J3246" s="9">
        <f t="shared" si="207"/>
        <v>2</v>
      </c>
      <c r="K3246" t="s">
        <v>6697</v>
      </c>
      <c r="L3246" t="s">
        <v>6694</v>
      </c>
      <c r="M3246" t="s">
        <v>6705</v>
      </c>
      <c r="S3246" t="s">
        <v>6694</v>
      </c>
      <c r="U3246" t="s">
        <v>6694</v>
      </c>
      <c r="W3246" t="s">
        <v>6720</v>
      </c>
    </row>
    <row r="3247" spans="1:23" ht="15.6" x14ac:dyDescent="0.4">
      <c r="A3247" s="2" t="s">
        <v>4978</v>
      </c>
      <c r="B3247" s="5" t="s">
        <v>9591</v>
      </c>
      <c r="C3247" s="7" t="s">
        <v>12556</v>
      </c>
      <c r="D3247" s="8">
        <f t="shared" si="204"/>
        <v>0</v>
      </c>
      <c r="E3247" s="7" t="s">
        <v>12557</v>
      </c>
      <c r="F3247" s="7">
        <f t="shared" si="205"/>
        <v>1</v>
      </c>
      <c r="G3247" s="7" t="s">
        <v>12558</v>
      </c>
      <c r="H3247" s="7">
        <f t="shared" si="206"/>
        <v>0</v>
      </c>
      <c r="I3247" s="7" t="str" cm="1">
        <f t="array" ref="I3247">IFERROR(_xlfn.IFS(M3247="נח",1,M3247="נע ונח",1,M3247="שני שווא נח",2,M3247="שני שוואים בסוף מילה",2,M3247="שני שוואים ברצף",1),"0")</f>
        <v>0</v>
      </c>
      <c r="J3247" s="9">
        <f t="shared" si="207"/>
        <v>3</v>
      </c>
      <c r="K3247" t="s">
        <v>6698</v>
      </c>
      <c r="L3247" t="s">
        <v>6695</v>
      </c>
      <c r="O3247" t="s">
        <v>6694</v>
      </c>
      <c r="Q3247" t="s">
        <v>6694</v>
      </c>
      <c r="S3247" t="s">
        <v>6694</v>
      </c>
      <c r="W3247" t="s">
        <v>6720</v>
      </c>
    </row>
    <row r="3248" spans="1:23" ht="15.6" x14ac:dyDescent="0.4">
      <c r="A3248" s="2" t="s">
        <v>5953</v>
      </c>
      <c r="B3248" s="5" t="s">
        <v>9594</v>
      </c>
      <c r="C3248" s="7" t="s">
        <v>12556</v>
      </c>
      <c r="D3248" s="8">
        <f t="shared" si="204"/>
        <v>0</v>
      </c>
      <c r="E3248" s="7" t="s">
        <v>12557</v>
      </c>
      <c r="F3248" s="7">
        <f t="shared" si="205"/>
        <v>0</v>
      </c>
      <c r="G3248" s="7" t="s">
        <v>12558</v>
      </c>
      <c r="H3248" s="7">
        <f t="shared" si="206"/>
        <v>0</v>
      </c>
      <c r="I3248" s="7" cm="1">
        <f t="array" ref="I3248">IFERROR(_xlfn.IFS(M3248="נח",1,M3248="נע ונח",1,M3248="שני שווא נח",2,M3248="שני שוואים בסוף מילה",2,M3248="שני שוואים ברצף",1),"0")</f>
        <v>1</v>
      </c>
      <c r="J3248" s="9">
        <f t="shared" si="207"/>
        <v>2</v>
      </c>
      <c r="K3248" t="s">
        <v>6698</v>
      </c>
      <c r="L3248" t="s">
        <v>6694</v>
      </c>
      <c r="M3248" t="s">
        <v>6705</v>
      </c>
      <c r="S3248" t="s">
        <v>6694</v>
      </c>
      <c r="V3248" t="s">
        <v>6694</v>
      </c>
      <c r="W3248" t="s">
        <v>6720</v>
      </c>
    </row>
    <row r="3249" spans="1:23" ht="15.6" x14ac:dyDescent="0.4">
      <c r="A3249" s="2" t="s">
        <v>111</v>
      </c>
      <c r="B3249" s="5" t="s">
        <v>9595</v>
      </c>
      <c r="C3249" s="7" t="s">
        <v>12556</v>
      </c>
      <c r="D3249" s="8">
        <f t="shared" si="204"/>
        <v>1</v>
      </c>
      <c r="E3249" s="7" t="s">
        <v>12557</v>
      </c>
      <c r="F3249" s="7">
        <f t="shared" si="205"/>
        <v>1</v>
      </c>
      <c r="G3249" s="7" t="s">
        <v>12558</v>
      </c>
      <c r="H3249" s="7">
        <f t="shared" si="206"/>
        <v>0</v>
      </c>
      <c r="I3249" s="7" t="str" cm="1">
        <f t="array" ref="I3249">IFERROR(_xlfn.IFS(M3249="נח",1,M3249="נע ונח",1,M3249="שני שווא נח",2,M3249="שני שוואים בסוף מילה",2,M3249="שני שוואים ברצף",1),"0")</f>
        <v>0</v>
      </c>
      <c r="J3249" s="9">
        <f t="shared" si="207"/>
        <v>2</v>
      </c>
      <c r="K3249" t="s">
        <v>6698</v>
      </c>
      <c r="L3249" t="s">
        <v>6695</v>
      </c>
      <c r="S3249" t="s">
        <v>6694</v>
      </c>
      <c r="V3249" t="s">
        <v>6694</v>
      </c>
      <c r="W3249" t="s">
        <v>6720</v>
      </c>
    </row>
    <row r="3250" spans="1:23" ht="15.6" x14ac:dyDescent="0.4">
      <c r="A3250" s="2" t="s">
        <v>6280</v>
      </c>
      <c r="B3250" s="5" t="s">
        <v>9596</v>
      </c>
      <c r="C3250" s="7" t="s">
        <v>12556</v>
      </c>
      <c r="D3250" s="8">
        <f t="shared" si="204"/>
        <v>0</v>
      </c>
      <c r="E3250" s="7" t="s">
        <v>12557</v>
      </c>
      <c r="F3250" s="7">
        <f t="shared" si="205"/>
        <v>1</v>
      </c>
      <c r="G3250" s="7" t="s">
        <v>12558</v>
      </c>
      <c r="H3250" s="7">
        <f t="shared" si="206"/>
        <v>0</v>
      </c>
      <c r="I3250" s="7" t="str" cm="1">
        <f t="array" ref="I3250">IFERROR(_xlfn.IFS(M3250="נח",1,M3250="נע ונח",1,M3250="שני שווא נח",2,M3250="שני שוואים בסוף מילה",2,M3250="שני שוואים ברצף",1),"0")</f>
        <v>0</v>
      </c>
      <c r="J3250" s="9">
        <f t="shared" si="207"/>
        <v>2</v>
      </c>
      <c r="K3250" t="s">
        <v>6698</v>
      </c>
      <c r="L3250" t="s">
        <v>6695</v>
      </c>
      <c r="S3250" t="s">
        <v>6694</v>
      </c>
      <c r="V3250" t="s">
        <v>6694</v>
      </c>
      <c r="W3250" t="s">
        <v>6720</v>
      </c>
    </row>
    <row r="3251" spans="1:23" ht="15.6" x14ac:dyDescent="0.4">
      <c r="A3251" s="2" t="s">
        <v>414</v>
      </c>
      <c r="B3251" s="5" t="s">
        <v>9597</v>
      </c>
      <c r="C3251" s="7" t="s">
        <v>12556</v>
      </c>
      <c r="D3251" s="8">
        <f t="shared" si="204"/>
        <v>0</v>
      </c>
      <c r="E3251" s="7" t="s">
        <v>12557</v>
      </c>
      <c r="F3251" s="7">
        <f t="shared" si="205"/>
        <v>1</v>
      </c>
      <c r="G3251" s="7" t="s">
        <v>12558</v>
      </c>
      <c r="H3251" s="7">
        <f t="shared" si="206"/>
        <v>1</v>
      </c>
      <c r="I3251" s="7" cm="1">
        <f t="array" ref="I3251">IFERROR(_xlfn.IFS(M3251="נח",1,M3251="נע ונח",1,M3251="שני שווא נח",2,M3251="שני שוואים בסוף מילה",2,M3251="שני שוואים ברצף",1),"0")</f>
        <v>1</v>
      </c>
      <c r="J3251" s="9">
        <f t="shared" si="207"/>
        <v>2</v>
      </c>
      <c r="K3251" t="s">
        <v>6697</v>
      </c>
      <c r="L3251" t="s">
        <v>6694</v>
      </c>
      <c r="M3251" t="s">
        <v>6705</v>
      </c>
      <c r="S3251" t="s">
        <v>6694</v>
      </c>
      <c r="U3251" t="s">
        <v>6694</v>
      </c>
      <c r="W3251" t="s">
        <v>6720</v>
      </c>
    </row>
    <row r="3252" spans="1:23" ht="15.6" x14ac:dyDescent="0.4">
      <c r="A3252" s="2" t="s">
        <v>2497</v>
      </c>
      <c r="B3252" s="5" t="s">
        <v>9598</v>
      </c>
      <c r="C3252" s="7" t="s">
        <v>12556</v>
      </c>
      <c r="D3252" s="8">
        <f t="shared" si="204"/>
        <v>1</v>
      </c>
      <c r="E3252" s="7" t="s">
        <v>12557</v>
      </c>
      <c r="F3252" s="7">
        <f t="shared" si="205"/>
        <v>1</v>
      </c>
      <c r="G3252" s="7" t="s">
        <v>12558</v>
      </c>
      <c r="H3252" s="7">
        <f t="shared" si="206"/>
        <v>1</v>
      </c>
      <c r="I3252" s="7" cm="1">
        <f t="array" ref="I3252">IFERROR(_xlfn.IFS(M3252="נח",1,M3252="נע ונח",1,M3252="שני שווא נח",2,M3252="שני שוואים בסוף מילה",2,M3252="שני שוואים ברצף",1),"0")</f>
        <v>1</v>
      </c>
      <c r="J3252" s="9">
        <f t="shared" si="207"/>
        <v>2</v>
      </c>
      <c r="K3252" t="s">
        <v>6697</v>
      </c>
      <c r="L3252" t="s">
        <v>6694</v>
      </c>
      <c r="M3252" t="s">
        <v>6705</v>
      </c>
      <c r="S3252" t="s">
        <v>6694</v>
      </c>
      <c r="U3252" t="s">
        <v>6694</v>
      </c>
      <c r="W3252" t="s">
        <v>6720</v>
      </c>
    </row>
    <row r="3253" spans="1:23" ht="15.6" x14ac:dyDescent="0.4">
      <c r="A3253" s="2" t="s">
        <v>917</v>
      </c>
      <c r="B3253" s="5" t="s">
        <v>9599</v>
      </c>
      <c r="C3253" s="7" t="s">
        <v>12556</v>
      </c>
      <c r="D3253" s="8">
        <f t="shared" si="204"/>
        <v>1</v>
      </c>
      <c r="E3253" s="7" t="s">
        <v>12557</v>
      </c>
      <c r="F3253" s="7">
        <f t="shared" si="205"/>
        <v>0</v>
      </c>
      <c r="G3253" s="7" t="s">
        <v>12558</v>
      </c>
      <c r="H3253" s="7">
        <f t="shared" si="206"/>
        <v>0</v>
      </c>
      <c r="I3253" s="7" t="str" cm="1">
        <f t="array" ref="I3253">IFERROR(_xlfn.IFS(M3253="נח",1,M3253="נע ונח",1,M3253="שני שווא נח",2,M3253="שני שוואים בסוף מילה",2,M3253="שני שוואים ברצף",1),"0")</f>
        <v>0</v>
      </c>
      <c r="J3253" s="9">
        <f t="shared" si="207"/>
        <v>2</v>
      </c>
      <c r="K3253" t="s">
        <v>6698</v>
      </c>
      <c r="L3253" t="s">
        <v>6695</v>
      </c>
      <c r="P3253" t="s">
        <v>6694</v>
      </c>
      <c r="S3253" t="s">
        <v>6694</v>
      </c>
      <c r="W3253" t="s">
        <v>6720</v>
      </c>
    </row>
    <row r="3254" spans="1:23" ht="15.6" x14ac:dyDescent="0.4">
      <c r="A3254" s="2" t="s">
        <v>1201</v>
      </c>
      <c r="B3254" s="5" t="s">
        <v>9600</v>
      </c>
      <c r="C3254" s="7" t="s">
        <v>12556</v>
      </c>
      <c r="D3254" s="8">
        <f t="shared" si="204"/>
        <v>0</v>
      </c>
      <c r="E3254" s="7" t="s">
        <v>12557</v>
      </c>
      <c r="F3254" s="7">
        <f t="shared" si="205"/>
        <v>0</v>
      </c>
      <c r="G3254" s="7" t="s">
        <v>12558</v>
      </c>
      <c r="H3254" s="7">
        <f t="shared" si="206"/>
        <v>0</v>
      </c>
      <c r="I3254" s="7" t="str" cm="1">
        <f t="array" ref="I3254">IFERROR(_xlfn.IFS(M3254="נח",1,M3254="נע ונח",1,M3254="שני שווא נח",2,M3254="שני שוואים בסוף מילה",2,M3254="שני שוואים ברצף",1),"0")</f>
        <v>0</v>
      </c>
      <c r="J3254" s="9">
        <f t="shared" si="207"/>
        <v>2</v>
      </c>
      <c r="K3254" t="s">
        <v>6697</v>
      </c>
      <c r="L3254" t="s">
        <v>6695</v>
      </c>
      <c r="O3254" t="s">
        <v>6694</v>
      </c>
      <c r="S3254" t="s">
        <v>6694</v>
      </c>
      <c r="W3254" t="s">
        <v>6720</v>
      </c>
    </row>
    <row r="3255" spans="1:23" ht="15.6" x14ac:dyDescent="0.4">
      <c r="A3255" s="2" t="s">
        <v>6468</v>
      </c>
      <c r="B3255" s="5" t="s">
        <v>9597</v>
      </c>
      <c r="C3255" s="7" t="s">
        <v>12556</v>
      </c>
      <c r="D3255" s="8">
        <f t="shared" si="204"/>
        <v>0</v>
      </c>
      <c r="E3255" s="7" t="s">
        <v>12557</v>
      </c>
      <c r="F3255" s="7">
        <f t="shared" si="205"/>
        <v>1</v>
      </c>
      <c r="G3255" s="7" t="s">
        <v>12558</v>
      </c>
      <c r="H3255" s="7">
        <f t="shared" si="206"/>
        <v>1</v>
      </c>
      <c r="I3255" s="7" t="str" cm="1">
        <f t="array" ref="I3255">IFERROR(_xlfn.IFS(M3255="נח",1,M3255="נע ונח",1,M3255="שני שווא נח",2,M3255="שני שוואים בסוף מילה",2,M3255="שני שוואים ברצף",1),"0")</f>
        <v>0</v>
      </c>
      <c r="J3255" s="9">
        <f t="shared" si="207"/>
        <v>3</v>
      </c>
      <c r="K3255" t="s">
        <v>6697</v>
      </c>
      <c r="L3255" t="s">
        <v>6695</v>
      </c>
      <c r="O3255" t="s">
        <v>6694</v>
      </c>
      <c r="S3255" t="s">
        <v>6694</v>
      </c>
      <c r="U3255" t="s">
        <v>6694</v>
      </c>
      <c r="W3255" t="s">
        <v>6720</v>
      </c>
    </row>
    <row r="3256" spans="1:23" ht="15.6" x14ac:dyDescent="0.4">
      <c r="A3256" s="2" t="s">
        <v>3079</v>
      </c>
      <c r="B3256" s="5" t="s">
        <v>9601</v>
      </c>
      <c r="C3256" s="7" t="s">
        <v>12556</v>
      </c>
      <c r="D3256" s="8">
        <f t="shared" si="204"/>
        <v>0</v>
      </c>
      <c r="E3256" s="7" t="s">
        <v>12557</v>
      </c>
      <c r="F3256" s="7">
        <f t="shared" si="205"/>
        <v>1</v>
      </c>
      <c r="G3256" s="7" t="s">
        <v>12558</v>
      </c>
      <c r="H3256" s="7">
        <f t="shared" si="206"/>
        <v>1</v>
      </c>
      <c r="I3256" s="7" t="str" cm="1">
        <f t="array" ref="I3256">IFERROR(_xlfn.IFS(M3256="נח",1,M3256="נע ונח",1,M3256="שני שווא נח",2,M3256="שני שוואים בסוף מילה",2,M3256="שני שוואים ברצף",1),"0")</f>
        <v>0</v>
      </c>
      <c r="J3256" s="9">
        <f t="shared" si="207"/>
        <v>4</v>
      </c>
      <c r="K3256" t="s">
        <v>6697</v>
      </c>
      <c r="L3256" t="s">
        <v>6695</v>
      </c>
      <c r="O3256" t="s">
        <v>6694</v>
      </c>
      <c r="S3256" t="s">
        <v>6694</v>
      </c>
      <c r="U3256" t="s">
        <v>6694</v>
      </c>
      <c r="W3256" t="s">
        <v>6720</v>
      </c>
    </row>
    <row r="3257" spans="1:23" ht="15.6" x14ac:dyDescent="0.4">
      <c r="A3257" s="2" t="s">
        <v>5276</v>
      </c>
      <c r="B3257" s="5" t="s">
        <v>9602</v>
      </c>
      <c r="C3257" s="7" t="s">
        <v>12556</v>
      </c>
      <c r="D3257" s="8">
        <f t="shared" si="204"/>
        <v>0</v>
      </c>
      <c r="E3257" s="7" t="s">
        <v>12557</v>
      </c>
      <c r="F3257" s="7">
        <f t="shared" si="205"/>
        <v>2</v>
      </c>
      <c r="G3257" s="7" t="s">
        <v>12558</v>
      </c>
      <c r="H3257" s="7">
        <f t="shared" si="206"/>
        <v>1</v>
      </c>
      <c r="I3257" s="7" cm="1">
        <f t="array" ref="I3257">IFERROR(_xlfn.IFS(M3257="נח",1,M3257="נע ונח",1,M3257="שני שווא נח",2,M3257="שני שוואים בסוף מילה",2,M3257="שני שוואים ברצף",1),"0")</f>
        <v>1</v>
      </c>
      <c r="J3257" s="9">
        <f t="shared" si="207"/>
        <v>3</v>
      </c>
      <c r="K3257" t="s">
        <v>6697</v>
      </c>
      <c r="L3257" t="s">
        <v>6694</v>
      </c>
      <c r="M3257" t="s">
        <v>6702</v>
      </c>
      <c r="S3257" t="s">
        <v>6694</v>
      </c>
      <c r="U3257" t="s">
        <v>6694</v>
      </c>
      <c r="W3257" t="s">
        <v>6720</v>
      </c>
    </row>
    <row r="3258" spans="1:23" ht="15.6" x14ac:dyDescent="0.4">
      <c r="A3258" s="2" t="s">
        <v>503</v>
      </c>
      <c r="B3258" s="5" t="s">
        <v>9603</v>
      </c>
      <c r="C3258" s="7" t="s">
        <v>12556</v>
      </c>
      <c r="D3258" s="8">
        <f t="shared" si="204"/>
        <v>0</v>
      </c>
      <c r="E3258" s="7" t="s">
        <v>12557</v>
      </c>
      <c r="F3258" s="7">
        <f t="shared" si="205"/>
        <v>1</v>
      </c>
      <c r="G3258" s="7" t="s">
        <v>12558</v>
      </c>
      <c r="H3258" s="7">
        <f t="shared" si="206"/>
        <v>1</v>
      </c>
      <c r="I3258" s="7" cm="1">
        <f t="array" ref="I3258">IFERROR(_xlfn.IFS(M3258="נח",1,M3258="נע ונח",1,M3258="שני שווא נח",2,M3258="שני שוואים בסוף מילה",2,M3258="שני שוואים ברצף",1),"0")</f>
        <v>1</v>
      </c>
      <c r="J3258" s="9">
        <f t="shared" si="207"/>
        <v>2</v>
      </c>
      <c r="K3258" t="s">
        <v>6697</v>
      </c>
      <c r="L3258" t="s">
        <v>6694</v>
      </c>
      <c r="M3258" t="s">
        <v>6705</v>
      </c>
      <c r="S3258" t="s">
        <v>6694</v>
      </c>
      <c r="U3258" t="s">
        <v>6694</v>
      </c>
      <c r="W3258" t="s">
        <v>6720</v>
      </c>
    </row>
    <row r="3259" spans="1:23" ht="15.6" x14ac:dyDescent="0.4">
      <c r="A3259" s="2" t="s">
        <v>2131</v>
      </c>
      <c r="B3259" s="5" t="s">
        <v>9604</v>
      </c>
      <c r="C3259" s="7" t="s">
        <v>12556</v>
      </c>
      <c r="D3259" s="8">
        <f t="shared" si="204"/>
        <v>0</v>
      </c>
      <c r="E3259" s="7" t="s">
        <v>12557</v>
      </c>
      <c r="F3259" s="7">
        <f t="shared" si="205"/>
        <v>0</v>
      </c>
      <c r="G3259" s="7" t="s">
        <v>12558</v>
      </c>
      <c r="H3259" s="7">
        <f t="shared" si="206"/>
        <v>0</v>
      </c>
      <c r="I3259" s="7" cm="1">
        <f t="array" ref="I3259">IFERROR(_xlfn.IFS(M3259="נח",1,M3259="נע ונח",1,M3259="שני שווא נח",2,M3259="שני שוואים בסוף מילה",2,M3259="שני שוואים ברצף",1),"0")</f>
        <v>1</v>
      </c>
      <c r="J3259" s="9">
        <f t="shared" si="207"/>
        <v>2</v>
      </c>
      <c r="K3259" t="s">
        <v>6698</v>
      </c>
      <c r="L3259" t="s">
        <v>6694</v>
      </c>
      <c r="M3259" t="s">
        <v>6705</v>
      </c>
      <c r="S3259" t="s">
        <v>6694</v>
      </c>
      <c r="V3259" t="s">
        <v>6694</v>
      </c>
      <c r="W3259" t="s">
        <v>6720</v>
      </c>
    </row>
    <row r="3260" spans="1:23" ht="15.6" x14ac:dyDescent="0.4">
      <c r="A3260" s="2" t="s">
        <v>3094</v>
      </c>
      <c r="B3260" s="5" t="s">
        <v>9605</v>
      </c>
      <c r="C3260" s="7" t="s">
        <v>12556</v>
      </c>
      <c r="D3260" s="8">
        <f t="shared" si="204"/>
        <v>0</v>
      </c>
      <c r="E3260" s="7" t="s">
        <v>12557</v>
      </c>
      <c r="F3260" s="7">
        <f t="shared" si="205"/>
        <v>1</v>
      </c>
      <c r="G3260" s="7" t="s">
        <v>12558</v>
      </c>
      <c r="H3260" s="7">
        <f t="shared" si="206"/>
        <v>1</v>
      </c>
      <c r="I3260" s="7" cm="1">
        <f t="array" ref="I3260">IFERROR(_xlfn.IFS(M3260="נח",1,M3260="נע ונח",1,M3260="שני שווא נח",2,M3260="שני שוואים בסוף מילה",2,M3260="שני שוואים ברצף",1),"0")</f>
        <v>1</v>
      </c>
      <c r="J3260" s="9">
        <f t="shared" si="207"/>
        <v>3</v>
      </c>
      <c r="K3260" t="s">
        <v>6697</v>
      </c>
      <c r="L3260" t="s">
        <v>6694</v>
      </c>
      <c r="M3260" t="s">
        <v>6702</v>
      </c>
      <c r="S3260" t="s">
        <v>6694</v>
      </c>
      <c r="U3260" t="s">
        <v>6694</v>
      </c>
      <c r="W3260" t="s">
        <v>6720</v>
      </c>
    </row>
    <row r="3261" spans="1:23" ht="15.6" x14ac:dyDescent="0.4">
      <c r="A3261" s="2" t="s">
        <v>4587</v>
      </c>
      <c r="B3261" s="5" t="s">
        <v>9606</v>
      </c>
      <c r="C3261" s="7" t="s">
        <v>12556</v>
      </c>
      <c r="D3261" s="8">
        <f t="shared" si="204"/>
        <v>0</v>
      </c>
      <c r="E3261" s="7" t="s">
        <v>12557</v>
      </c>
      <c r="F3261" s="7">
        <f t="shared" si="205"/>
        <v>2</v>
      </c>
      <c r="G3261" s="7" t="s">
        <v>12558</v>
      </c>
      <c r="H3261" s="7">
        <f t="shared" si="206"/>
        <v>1</v>
      </c>
      <c r="I3261" s="7" cm="1">
        <f t="array" ref="I3261">IFERROR(_xlfn.IFS(M3261="נח",1,M3261="נע ונח",1,M3261="שני שווא נח",2,M3261="שני שוואים בסוף מילה",2,M3261="שני שוואים ברצף",1),"0")</f>
        <v>1</v>
      </c>
      <c r="J3261" s="9">
        <f t="shared" si="207"/>
        <v>3</v>
      </c>
      <c r="K3261" t="s">
        <v>6697</v>
      </c>
      <c r="L3261" t="s">
        <v>6694</v>
      </c>
      <c r="M3261" t="s">
        <v>6705</v>
      </c>
      <c r="N3261" t="s">
        <v>6706</v>
      </c>
      <c r="O3261" t="s">
        <v>6694</v>
      </c>
      <c r="S3261" t="s">
        <v>6694</v>
      </c>
      <c r="U3261" t="s">
        <v>6694</v>
      </c>
      <c r="W3261" t="s">
        <v>6720</v>
      </c>
    </row>
    <row r="3262" spans="1:23" ht="15.6" x14ac:dyDescent="0.4">
      <c r="A3262" s="2" t="s">
        <v>6244</v>
      </c>
      <c r="B3262" s="5" t="s">
        <v>9607</v>
      </c>
      <c r="C3262" s="7" t="s">
        <v>12556</v>
      </c>
      <c r="D3262" s="8">
        <f t="shared" si="204"/>
        <v>0</v>
      </c>
      <c r="E3262" s="7" t="s">
        <v>12557</v>
      </c>
      <c r="F3262" s="7">
        <f t="shared" si="205"/>
        <v>2</v>
      </c>
      <c r="G3262" s="7" t="s">
        <v>12558</v>
      </c>
      <c r="H3262" s="7">
        <f t="shared" si="206"/>
        <v>1</v>
      </c>
      <c r="I3262" s="7" t="str" cm="1">
        <f t="array" ref="I3262">IFERROR(_xlfn.IFS(M3262="נח",1,M3262="נע ונח",1,M3262="שני שווא נח",2,M3262="שני שוואים בסוף מילה",2,M3262="שני שוואים ברצף",1),"0")</f>
        <v>0</v>
      </c>
      <c r="J3262" s="9">
        <f t="shared" si="207"/>
        <v>4</v>
      </c>
      <c r="K3262" t="s">
        <v>6697</v>
      </c>
      <c r="L3262" t="s">
        <v>6695</v>
      </c>
      <c r="O3262" t="s">
        <v>6694</v>
      </c>
      <c r="Q3262" t="s">
        <v>6694</v>
      </c>
      <c r="S3262" t="s">
        <v>6694</v>
      </c>
      <c r="U3262" t="s">
        <v>6694</v>
      </c>
      <c r="W3262" t="s">
        <v>6720</v>
      </c>
    </row>
    <row r="3263" spans="1:23" ht="15.6" x14ac:dyDescent="0.4">
      <c r="A3263" s="2" t="s">
        <v>2495</v>
      </c>
      <c r="B3263" s="5" t="s">
        <v>9608</v>
      </c>
      <c r="C3263" s="7" t="s">
        <v>12556</v>
      </c>
      <c r="D3263" s="8">
        <f t="shared" si="204"/>
        <v>0</v>
      </c>
      <c r="E3263" s="7" t="s">
        <v>12557</v>
      </c>
      <c r="F3263" s="7">
        <f t="shared" si="205"/>
        <v>2</v>
      </c>
      <c r="G3263" s="7" t="s">
        <v>12558</v>
      </c>
      <c r="H3263" s="7">
        <f t="shared" si="206"/>
        <v>1</v>
      </c>
      <c r="I3263" s="7" t="str" cm="1">
        <f t="array" ref="I3263">IFERROR(_xlfn.IFS(M3263="נח",1,M3263="נע ונח",1,M3263="שני שווא נח",2,M3263="שני שוואים בסוף מילה",2,M3263="שני שוואים ברצף",1),"0")</f>
        <v>0</v>
      </c>
      <c r="J3263" s="9">
        <f t="shared" si="207"/>
        <v>4</v>
      </c>
      <c r="K3263" t="s">
        <v>6698</v>
      </c>
      <c r="L3263" t="s">
        <v>6695</v>
      </c>
      <c r="O3263" t="s">
        <v>6694</v>
      </c>
      <c r="Q3263" t="s">
        <v>6694</v>
      </c>
      <c r="S3263" t="s">
        <v>6694</v>
      </c>
      <c r="U3263" t="s">
        <v>6694</v>
      </c>
      <c r="W3263" t="s">
        <v>6720</v>
      </c>
    </row>
    <row r="3264" spans="1:23" ht="15.6" x14ac:dyDescent="0.4">
      <c r="A3264" s="2" t="s">
        <v>109</v>
      </c>
      <c r="B3264" s="5" t="s">
        <v>9609</v>
      </c>
      <c r="C3264" s="7" t="s">
        <v>12556</v>
      </c>
      <c r="D3264" s="8">
        <f t="shared" si="204"/>
        <v>0</v>
      </c>
      <c r="E3264" s="7" t="s">
        <v>12557</v>
      </c>
      <c r="F3264" s="7">
        <f t="shared" si="205"/>
        <v>1</v>
      </c>
      <c r="G3264" s="7" t="s">
        <v>12558</v>
      </c>
      <c r="H3264" s="7">
        <f t="shared" si="206"/>
        <v>0</v>
      </c>
      <c r="I3264" s="7" t="str" cm="1">
        <f t="array" ref="I3264">IFERROR(_xlfn.IFS(M3264="נח",1,M3264="נע ונח",1,M3264="שני שווא נח",2,M3264="שני שוואים בסוף מילה",2,M3264="שני שוואים ברצף",1),"0")</f>
        <v>0</v>
      </c>
      <c r="J3264" s="9">
        <f t="shared" si="207"/>
        <v>3</v>
      </c>
      <c r="K3264" t="s">
        <v>6697</v>
      </c>
      <c r="L3264" t="s">
        <v>6695</v>
      </c>
      <c r="O3264" t="s">
        <v>6694</v>
      </c>
      <c r="R3264" t="s">
        <v>6694</v>
      </c>
      <c r="S3264" t="s">
        <v>6694</v>
      </c>
      <c r="W3264" t="s">
        <v>6720</v>
      </c>
    </row>
    <row r="3265" spans="1:23" ht="15.6" x14ac:dyDescent="0.4">
      <c r="A3265" s="2" t="s">
        <v>3197</v>
      </c>
      <c r="B3265" s="5" t="s">
        <v>9610</v>
      </c>
      <c r="C3265" s="7" t="s">
        <v>12556</v>
      </c>
      <c r="D3265" s="8">
        <f t="shared" si="204"/>
        <v>1</v>
      </c>
      <c r="E3265" s="7" t="s">
        <v>12557</v>
      </c>
      <c r="F3265" s="7">
        <f t="shared" si="205"/>
        <v>2</v>
      </c>
      <c r="G3265" s="7" t="s">
        <v>12558</v>
      </c>
      <c r="H3265" s="7">
        <f t="shared" si="206"/>
        <v>1</v>
      </c>
      <c r="I3265" s="7" cm="1">
        <f t="array" ref="I3265">IFERROR(_xlfn.IFS(M3265="נח",1,M3265="נע ונח",1,M3265="שני שווא נח",2,M3265="שני שוואים בסוף מילה",2,M3265="שני שוואים ברצף",1),"0")</f>
        <v>1</v>
      </c>
      <c r="J3265" s="9">
        <f t="shared" si="207"/>
        <v>3</v>
      </c>
      <c r="K3265" t="s">
        <v>6697</v>
      </c>
      <c r="L3265" t="s">
        <v>6694</v>
      </c>
      <c r="M3265" t="s">
        <v>6705</v>
      </c>
      <c r="O3265" t="s">
        <v>6694</v>
      </c>
      <c r="S3265" t="s">
        <v>6694</v>
      </c>
      <c r="U3265" t="s">
        <v>6694</v>
      </c>
      <c r="W3265" t="s">
        <v>6720</v>
      </c>
    </row>
    <row r="3266" spans="1:23" ht="15.6" x14ac:dyDescent="0.4">
      <c r="A3266" s="2" t="s">
        <v>5071</v>
      </c>
      <c r="B3266" s="5" t="s">
        <v>9611</v>
      </c>
      <c r="C3266" s="7" t="s">
        <v>12556</v>
      </c>
      <c r="D3266" s="8">
        <f t="shared" si="204"/>
        <v>0</v>
      </c>
      <c r="E3266" s="7" t="s">
        <v>12557</v>
      </c>
      <c r="F3266" s="7">
        <f t="shared" si="205"/>
        <v>2</v>
      </c>
      <c r="G3266" s="7" t="s">
        <v>12558</v>
      </c>
      <c r="H3266" s="7">
        <f t="shared" si="206"/>
        <v>1</v>
      </c>
      <c r="I3266" s="7" t="str" cm="1">
        <f t="array" ref="I3266">IFERROR(_xlfn.IFS(M3266="נח",1,M3266="נע ונח",1,M3266="שני שווא נח",2,M3266="שני שוואים בסוף מילה",2,M3266="שני שוואים ברצף",1),"0")</f>
        <v>0</v>
      </c>
      <c r="J3266" s="9">
        <f t="shared" si="207"/>
        <v>4</v>
      </c>
      <c r="K3266" t="s">
        <v>6697</v>
      </c>
      <c r="L3266" t="s">
        <v>6695</v>
      </c>
      <c r="O3266" t="s">
        <v>6694</v>
      </c>
      <c r="Q3266" t="s">
        <v>6694</v>
      </c>
      <c r="S3266" t="s">
        <v>6694</v>
      </c>
      <c r="U3266" t="s">
        <v>6694</v>
      </c>
      <c r="W3266" t="s">
        <v>6720</v>
      </c>
    </row>
    <row r="3267" spans="1:23" ht="15.6" x14ac:dyDescent="0.4">
      <c r="A3267" s="2" t="s">
        <v>215</v>
      </c>
      <c r="B3267" s="5" t="s">
        <v>9612</v>
      </c>
      <c r="C3267" s="7" t="s">
        <v>12556</v>
      </c>
      <c r="D3267" s="8">
        <f t="shared" ref="D3267:D3330" si="208">(LEN(B3267)-LEN(SUBSTITUTE(B3267,C3267,"")))</f>
        <v>0</v>
      </c>
      <c r="E3267" s="7" t="s">
        <v>12557</v>
      </c>
      <c r="F3267" s="7">
        <f t="shared" ref="F3267:F3330" si="209">(LEN(A3267)-LEN(SUBSTITUTE(A3267,E3267,"")))</f>
        <v>2</v>
      </c>
      <c r="G3267" s="7" t="s">
        <v>12558</v>
      </c>
      <c r="H3267" s="7">
        <f t="shared" ref="H3267:H3330" si="210">(LEN(A3267)-LEN(SUBSTITUTE(A3267,G3267,"")))/2</f>
        <v>1</v>
      </c>
      <c r="I3267" s="7" t="str" cm="1">
        <f t="array" ref="I3267">IFERROR(_xlfn.IFS(M3267="נח",1,M3267="נע ונח",1,M3267="שני שווא נח",2,M3267="שני שוואים בסוף מילה",2,M3267="שני שוואים ברצף",1),"0")</f>
        <v>0</v>
      </c>
      <c r="J3267" s="9">
        <f t="shared" ref="J3267:J3330" si="211">LEN(A3267)-(LEN(B3267))-D3267-F3267+H3267-I3267</f>
        <v>3</v>
      </c>
      <c r="K3267" t="s">
        <v>6697</v>
      </c>
      <c r="L3267" t="s">
        <v>6695</v>
      </c>
      <c r="S3267" t="s">
        <v>6694</v>
      </c>
      <c r="U3267" t="s">
        <v>6694</v>
      </c>
      <c r="V3267" t="s">
        <v>6694</v>
      </c>
      <c r="W3267" t="s">
        <v>6720</v>
      </c>
    </row>
    <row r="3268" spans="1:23" ht="15.6" x14ac:dyDescent="0.4">
      <c r="A3268" s="2" t="s">
        <v>2807</v>
      </c>
      <c r="B3268" s="5" t="s">
        <v>9613</v>
      </c>
      <c r="C3268" s="7" t="s">
        <v>12556</v>
      </c>
      <c r="D3268" s="8">
        <f t="shared" si="208"/>
        <v>0</v>
      </c>
      <c r="E3268" s="7" t="s">
        <v>12557</v>
      </c>
      <c r="F3268" s="7">
        <f t="shared" si="209"/>
        <v>1</v>
      </c>
      <c r="G3268" s="7" t="s">
        <v>12558</v>
      </c>
      <c r="H3268" s="7">
        <f t="shared" si="210"/>
        <v>0</v>
      </c>
      <c r="I3268" s="7" t="str" cm="1">
        <f t="array" ref="I3268">IFERROR(_xlfn.IFS(M3268="נח",1,M3268="נע ונח",1,M3268="שני שווא נח",2,M3268="שני שוואים בסוף מילה",2,M3268="שני שוואים ברצף",1),"0")</f>
        <v>0</v>
      </c>
      <c r="J3268" s="9">
        <f t="shared" si="211"/>
        <v>2</v>
      </c>
      <c r="K3268" t="s">
        <v>6698</v>
      </c>
      <c r="L3268" t="s">
        <v>6695</v>
      </c>
      <c r="S3268" t="s">
        <v>6694</v>
      </c>
      <c r="V3268" t="s">
        <v>6694</v>
      </c>
      <c r="W3268" t="s">
        <v>6720</v>
      </c>
    </row>
    <row r="3269" spans="1:23" ht="15.6" x14ac:dyDescent="0.4">
      <c r="A3269" s="2" t="s">
        <v>2109</v>
      </c>
      <c r="B3269" s="5" t="s">
        <v>9614</v>
      </c>
      <c r="C3269" s="7" t="s">
        <v>12556</v>
      </c>
      <c r="D3269" s="8">
        <f t="shared" si="208"/>
        <v>1</v>
      </c>
      <c r="E3269" s="7" t="s">
        <v>12557</v>
      </c>
      <c r="F3269" s="7">
        <f t="shared" si="209"/>
        <v>2</v>
      </c>
      <c r="G3269" s="7" t="s">
        <v>12558</v>
      </c>
      <c r="H3269" s="7">
        <f t="shared" si="210"/>
        <v>1</v>
      </c>
      <c r="I3269" s="7" cm="1">
        <f t="array" ref="I3269">IFERROR(_xlfn.IFS(M3269="נח",1,M3269="נע ונח",1,M3269="שני שווא נח",2,M3269="שני שוואים בסוף מילה",2,M3269="שני שוואים ברצף",1),"0")</f>
        <v>1</v>
      </c>
      <c r="J3269" s="9">
        <f t="shared" si="211"/>
        <v>3</v>
      </c>
      <c r="K3269" t="s">
        <v>6697</v>
      </c>
      <c r="L3269" t="s">
        <v>6694</v>
      </c>
      <c r="M3269" t="s">
        <v>6702</v>
      </c>
      <c r="S3269" t="s">
        <v>6694</v>
      </c>
      <c r="U3269" t="s">
        <v>6694</v>
      </c>
      <c r="W3269" t="s">
        <v>6720</v>
      </c>
    </row>
    <row r="3270" spans="1:23" ht="15.6" x14ac:dyDescent="0.4">
      <c r="A3270" s="2" t="s">
        <v>6438</v>
      </c>
      <c r="B3270" s="5" t="s">
        <v>9615</v>
      </c>
      <c r="C3270" s="7" t="s">
        <v>12556</v>
      </c>
      <c r="D3270" s="8">
        <f t="shared" si="208"/>
        <v>0</v>
      </c>
      <c r="E3270" s="7" t="s">
        <v>12557</v>
      </c>
      <c r="F3270" s="7">
        <f t="shared" si="209"/>
        <v>0</v>
      </c>
      <c r="G3270" s="7" t="s">
        <v>12558</v>
      </c>
      <c r="H3270" s="7">
        <f t="shared" si="210"/>
        <v>0</v>
      </c>
      <c r="I3270" s="7" cm="1">
        <f t="array" ref="I3270">IFERROR(_xlfn.IFS(M3270="נח",1,M3270="נע ונח",1,M3270="שני שווא נח",2,M3270="שני שוואים בסוף מילה",2,M3270="שני שוואים ברצף",1),"0")</f>
        <v>1</v>
      </c>
      <c r="J3270" s="9">
        <f t="shared" si="211"/>
        <v>4</v>
      </c>
      <c r="K3270" t="s">
        <v>6697</v>
      </c>
      <c r="L3270" t="s">
        <v>6694</v>
      </c>
      <c r="M3270" t="s">
        <v>6705</v>
      </c>
      <c r="O3270" t="s">
        <v>6694</v>
      </c>
      <c r="Q3270" t="s">
        <v>6694</v>
      </c>
      <c r="S3270" t="s">
        <v>6694</v>
      </c>
      <c r="W3270" t="s">
        <v>6720</v>
      </c>
    </row>
    <row r="3271" spans="1:23" ht="15.6" x14ac:dyDescent="0.4">
      <c r="A3271" s="2" t="s">
        <v>4797</v>
      </c>
      <c r="B3271" s="5" t="s">
        <v>9616</v>
      </c>
      <c r="C3271" s="7" t="s">
        <v>12556</v>
      </c>
      <c r="D3271" s="8">
        <f t="shared" si="208"/>
        <v>0</v>
      </c>
      <c r="E3271" s="7" t="s">
        <v>12557</v>
      </c>
      <c r="F3271" s="7">
        <f t="shared" si="209"/>
        <v>1</v>
      </c>
      <c r="G3271" s="7" t="s">
        <v>12558</v>
      </c>
      <c r="H3271" s="7">
        <f t="shared" si="210"/>
        <v>1</v>
      </c>
      <c r="I3271" s="7" cm="1">
        <f t="array" ref="I3271">IFERROR(_xlfn.IFS(M3271="נח",1,M3271="נע ונח",1,M3271="שני שווא נח",2,M3271="שני שוואים בסוף מילה",2,M3271="שני שוואים ברצף",1),"0")</f>
        <v>1</v>
      </c>
      <c r="J3271" s="9">
        <f t="shared" si="211"/>
        <v>3</v>
      </c>
      <c r="K3271" t="s">
        <v>6697</v>
      </c>
      <c r="L3271" t="s">
        <v>6694</v>
      </c>
      <c r="M3271" t="s">
        <v>6705</v>
      </c>
      <c r="P3271" t="s">
        <v>6694</v>
      </c>
      <c r="S3271" t="s">
        <v>6694</v>
      </c>
      <c r="U3271" t="s">
        <v>6694</v>
      </c>
      <c r="W3271" t="s">
        <v>6720</v>
      </c>
    </row>
    <row r="3272" spans="1:23" ht="15.6" x14ac:dyDescent="0.4">
      <c r="A3272" s="2" t="s">
        <v>2265</v>
      </c>
      <c r="B3272" s="5" t="s">
        <v>9617</v>
      </c>
      <c r="C3272" s="7" t="s">
        <v>12556</v>
      </c>
      <c r="D3272" s="8">
        <f t="shared" si="208"/>
        <v>0</v>
      </c>
      <c r="E3272" s="7" t="s">
        <v>12557</v>
      </c>
      <c r="F3272" s="7">
        <f t="shared" si="209"/>
        <v>0</v>
      </c>
      <c r="G3272" s="7" t="s">
        <v>12558</v>
      </c>
      <c r="H3272" s="7">
        <f t="shared" si="210"/>
        <v>0</v>
      </c>
      <c r="I3272" s="7" cm="1">
        <f t="array" ref="I3272">IFERROR(_xlfn.IFS(M3272="נח",1,M3272="נע ונח",1,M3272="שני שווא נח",2,M3272="שני שוואים בסוף מילה",2,M3272="שני שוואים ברצף",1),"0")</f>
        <v>1</v>
      </c>
      <c r="J3272" s="9">
        <f t="shared" si="211"/>
        <v>2</v>
      </c>
      <c r="K3272" t="s">
        <v>6698</v>
      </c>
      <c r="L3272" t="s">
        <v>6694</v>
      </c>
      <c r="M3272" t="s">
        <v>6705</v>
      </c>
      <c r="P3272" t="s">
        <v>6694</v>
      </c>
      <c r="S3272" t="s">
        <v>6694</v>
      </c>
      <c r="W3272" t="s">
        <v>6720</v>
      </c>
    </row>
    <row r="3273" spans="1:23" ht="15.6" x14ac:dyDescent="0.4">
      <c r="A3273" s="2" t="s">
        <v>753</v>
      </c>
      <c r="B3273" s="5" t="s">
        <v>9618</v>
      </c>
      <c r="C3273" s="7" t="s">
        <v>12556</v>
      </c>
      <c r="D3273" s="8">
        <f t="shared" si="208"/>
        <v>0</v>
      </c>
      <c r="E3273" s="7" t="s">
        <v>12557</v>
      </c>
      <c r="F3273" s="7">
        <f t="shared" si="209"/>
        <v>1</v>
      </c>
      <c r="G3273" s="7" t="s">
        <v>12558</v>
      </c>
      <c r="H3273" s="7">
        <f t="shared" si="210"/>
        <v>1</v>
      </c>
      <c r="I3273" s="7" cm="1">
        <f t="array" ref="I3273">IFERROR(_xlfn.IFS(M3273="נח",1,M3273="נע ונח",1,M3273="שני שווא נח",2,M3273="שני שוואים בסוף מילה",2,M3273="שני שוואים ברצף",1),"0")</f>
        <v>1</v>
      </c>
      <c r="J3273" s="9">
        <f t="shared" si="211"/>
        <v>3</v>
      </c>
      <c r="K3273" t="s">
        <v>6698</v>
      </c>
      <c r="L3273" t="s">
        <v>6694</v>
      </c>
      <c r="M3273" t="s">
        <v>6705</v>
      </c>
      <c r="S3273" t="s">
        <v>6694</v>
      </c>
      <c r="U3273" t="s">
        <v>6694</v>
      </c>
      <c r="V3273" t="s">
        <v>6694</v>
      </c>
      <c r="W3273" t="s">
        <v>6720</v>
      </c>
    </row>
    <row r="3274" spans="1:23" ht="15.6" x14ac:dyDescent="0.4">
      <c r="A3274" s="2" t="s">
        <v>6045</v>
      </c>
      <c r="B3274" s="5" t="s">
        <v>9619</v>
      </c>
      <c r="C3274" s="7" t="s">
        <v>12556</v>
      </c>
      <c r="D3274" s="8">
        <f t="shared" si="208"/>
        <v>0</v>
      </c>
      <c r="E3274" s="7" t="s">
        <v>12557</v>
      </c>
      <c r="F3274" s="7">
        <f t="shared" si="209"/>
        <v>0</v>
      </c>
      <c r="G3274" s="7" t="s">
        <v>12558</v>
      </c>
      <c r="H3274" s="7">
        <f t="shared" si="210"/>
        <v>0</v>
      </c>
      <c r="I3274" s="7" cm="1">
        <f t="array" ref="I3274">IFERROR(_xlfn.IFS(M3274="נח",1,M3274="נע ונח",1,M3274="שני שווא נח",2,M3274="שני שוואים בסוף מילה",2,M3274="שני שוואים ברצף",1),"0")</f>
        <v>1</v>
      </c>
      <c r="J3274" s="9">
        <f t="shared" si="211"/>
        <v>2</v>
      </c>
      <c r="K3274" t="s">
        <v>6698</v>
      </c>
      <c r="L3274" t="s">
        <v>6694</v>
      </c>
      <c r="M3274" t="s">
        <v>6705</v>
      </c>
      <c r="N3274" t="s">
        <v>6706</v>
      </c>
      <c r="O3274" t="s">
        <v>6694</v>
      </c>
      <c r="S3274" t="s">
        <v>6694</v>
      </c>
      <c r="W3274" t="s">
        <v>6720</v>
      </c>
    </row>
    <row r="3275" spans="1:23" ht="15.6" x14ac:dyDescent="0.4">
      <c r="A3275" s="2" t="s">
        <v>5560</v>
      </c>
      <c r="B3275" s="5" t="s">
        <v>9620</v>
      </c>
      <c r="C3275" s="7" t="s">
        <v>12556</v>
      </c>
      <c r="D3275" s="8">
        <f t="shared" si="208"/>
        <v>0</v>
      </c>
      <c r="E3275" s="7" t="s">
        <v>12557</v>
      </c>
      <c r="F3275" s="7">
        <f t="shared" si="209"/>
        <v>1</v>
      </c>
      <c r="G3275" s="7" t="s">
        <v>12558</v>
      </c>
      <c r="H3275" s="7">
        <f t="shared" si="210"/>
        <v>1</v>
      </c>
      <c r="I3275" s="7" cm="1">
        <f t="array" ref="I3275">IFERROR(_xlfn.IFS(M3275="נח",1,M3275="נע ונח",1,M3275="שני שווא נח",2,M3275="שני שוואים בסוף מילה",2,M3275="שני שוואים ברצף",1),"0")</f>
        <v>1</v>
      </c>
      <c r="J3275" s="9">
        <f t="shared" si="211"/>
        <v>3</v>
      </c>
      <c r="K3275" t="s">
        <v>6697</v>
      </c>
      <c r="L3275" t="s">
        <v>6694</v>
      </c>
      <c r="M3275" t="s">
        <v>6705</v>
      </c>
      <c r="P3275" t="s">
        <v>6694</v>
      </c>
      <c r="S3275" t="s">
        <v>6694</v>
      </c>
      <c r="U3275" t="s">
        <v>6694</v>
      </c>
      <c r="W3275" t="s">
        <v>6720</v>
      </c>
    </row>
    <row r="3276" spans="1:23" ht="15.6" x14ac:dyDescent="0.4">
      <c r="A3276" s="2" t="s">
        <v>4549</v>
      </c>
      <c r="B3276" s="5" t="s">
        <v>9621</v>
      </c>
      <c r="C3276" s="7" t="s">
        <v>12556</v>
      </c>
      <c r="D3276" s="8">
        <f t="shared" si="208"/>
        <v>0</v>
      </c>
      <c r="E3276" s="7" t="s">
        <v>12557</v>
      </c>
      <c r="F3276" s="7">
        <f t="shared" si="209"/>
        <v>0</v>
      </c>
      <c r="G3276" s="7" t="s">
        <v>12558</v>
      </c>
      <c r="H3276" s="7">
        <f t="shared" si="210"/>
        <v>0</v>
      </c>
      <c r="I3276" s="7" cm="1">
        <f t="array" ref="I3276">IFERROR(_xlfn.IFS(M3276="נח",1,M3276="נע ונח",1,M3276="שני שווא נח",2,M3276="שני שוואים בסוף מילה",2,M3276="שני שוואים ברצף",1),"0")</f>
        <v>1</v>
      </c>
      <c r="J3276" s="9">
        <f t="shared" si="211"/>
        <v>2</v>
      </c>
      <c r="K3276" t="s">
        <v>6698</v>
      </c>
      <c r="L3276" t="s">
        <v>6694</v>
      </c>
      <c r="M3276" t="s">
        <v>6705</v>
      </c>
      <c r="P3276" t="s">
        <v>6694</v>
      </c>
      <c r="S3276" t="s">
        <v>6694</v>
      </c>
      <c r="W3276" t="s">
        <v>6720</v>
      </c>
    </row>
    <row r="3277" spans="1:23" ht="15.6" x14ac:dyDescent="0.4">
      <c r="A3277" s="2" t="s">
        <v>1331</v>
      </c>
      <c r="B3277" s="5" t="s">
        <v>9622</v>
      </c>
      <c r="C3277" s="7" t="s">
        <v>12556</v>
      </c>
      <c r="D3277" s="8">
        <f t="shared" si="208"/>
        <v>0</v>
      </c>
      <c r="E3277" s="7" t="s">
        <v>12557</v>
      </c>
      <c r="F3277" s="7">
        <f t="shared" si="209"/>
        <v>0</v>
      </c>
      <c r="G3277" s="7" t="s">
        <v>12558</v>
      </c>
      <c r="H3277" s="7">
        <f t="shared" si="210"/>
        <v>0</v>
      </c>
      <c r="I3277" s="7" cm="1">
        <f t="array" ref="I3277">IFERROR(_xlfn.IFS(M3277="נח",1,M3277="נע ונח",1,M3277="שני שווא נח",2,M3277="שני שוואים בסוף מילה",2,M3277="שני שוואים ברצף",1),"0")</f>
        <v>2</v>
      </c>
      <c r="J3277" s="9">
        <f t="shared" si="211"/>
        <v>2</v>
      </c>
      <c r="K3277" t="s">
        <v>6698</v>
      </c>
      <c r="L3277" t="s">
        <v>6694</v>
      </c>
      <c r="M3277" t="s">
        <v>6704</v>
      </c>
      <c r="S3277" t="s">
        <v>6694</v>
      </c>
      <c r="V3277" t="s">
        <v>6694</v>
      </c>
      <c r="W3277" t="s">
        <v>6720</v>
      </c>
    </row>
    <row r="3278" spans="1:23" ht="15.6" x14ac:dyDescent="0.4">
      <c r="A3278" s="2" t="s">
        <v>4915</v>
      </c>
      <c r="B3278" s="5" t="s">
        <v>9623</v>
      </c>
      <c r="C3278" s="7" t="s">
        <v>12556</v>
      </c>
      <c r="D3278" s="8">
        <f t="shared" si="208"/>
        <v>0</v>
      </c>
      <c r="E3278" s="7" t="s">
        <v>12557</v>
      </c>
      <c r="F3278" s="7">
        <f t="shared" si="209"/>
        <v>0</v>
      </c>
      <c r="G3278" s="7" t="s">
        <v>12558</v>
      </c>
      <c r="H3278" s="7">
        <f t="shared" si="210"/>
        <v>0</v>
      </c>
      <c r="I3278" s="7" cm="1">
        <f t="array" ref="I3278">IFERROR(_xlfn.IFS(M3278="נח",1,M3278="נע ונח",1,M3278="שני שווא נח",2,M3278="שני שוואים בסוף מילה",2,M3278="שני שוואים ברצף",1),"0")</f>
        <v>1</v>
      </c>
      <c r="J3278" s="9">
        <f t="shared" si="211"/>
        <v>2</v>
      </c>
      <c r="K3278" t="s">
        <v>6697</v>
      </c>
      <c r="L3278" t="s">
        <v>6694</v>
      </c>
      <c r="M3278" t="s">
        <v>6705</v>
      </c>
      <c r="P3278" t="s">
        <v>6694</v>
      </c>
      <c r="S3278" t="s">
        <v>6694</v>
      </c>
      <c r="W3278" t="s">
        <v>6720</v>
      </c>
    </row>
    <row r="3279" spans="1:23" ht="15.6" x14ac:dyDescent="0.4">
      <c r="A3279" s="2" t="s">
        <v>4680</v>
      </c>
      <c r="B3279" s="5" t="s">
        <v>9624</v>
      </c>
      <c r="C3279" s="7" t="s">
        <v>12556</v>
      </c>
      <c r="D3279" s="8">
        <f t="shared" si="208"/>
        <v>0</v>
      </c>
      <c r="E3279" s="7" t="s">
        <v>12557</v>
      </c>
      <c r="F3279" s="7">
        <f t="shared" si="209"/>
        <v>1</v>
      </c>
      <c r="G3279" s="7" t="s">
        <v>12558</v>
      </c>
      <c r="H3279" s="7">
        <f t="shared" si="210"/>
        <v>1</v>
      </c>
      <c r="I3279" s="7" cm="1">
        <f t="array" ref="I3279">IFERROR(_xlfn.IFS(M3279="נח",1,M3279="נע ונח",1,M3279="שני שווא נח",2,M3279="שני שוואים בסוף מילה",2,M3279="שני שוואים ברצף",1),"0")</f>
        <v>1</v>
      </c>
      <c r="J3279" s="9">
        <f t="shared" si="211"/>
        <v>2</v>
      </c>
      <c r="K3279" t="s">
        <v>6697</v>
      </c>
      <c r="L3279" t="s">
        <v>6694</v>
      </c>
      <c r="M3279" t="s">
        <v>6705</v>
      </c>
      <c r="S3279" t="s">
        <v>6694</v>
      </c>
      <c r="U3279" t="s">
        <v>6694</v>
      </c>
      <c r="W3279" t="s">
        <v>6720</v>
      </c>
    </row>
    <row r="3280" spans="1:23" ht="15.6" x14ac:dyDescent="0.4">
      <c r="A3280" s="2" t="s">
        <v>1502</v>
      </c>
      <c r="B3280" s="5" t="s">
        <v>9625</v>
      </c>
      <c r="C3280" s="7" t="s">
        <v>12556</v>
      </c>
      <c r="D3280" s="8">
        <f t="shared" si="208"/>
        <v>1</v>
      </c>
      <c r="E3280" s="7" t="s">
        <v>12557</v>
      </c>
      <c r="F3280" s="7">
        <f t="shared" si="209"/>
        <v>1</v>
      </c>
      <c r="G3280" s="7" t="s">
        <v>12558</v>
      </c>
      <c r="H3280" s="7">
        <f t="shared" si="210"/>
        <v>1</v>
      </c>
      <c r="I3280" s="7" cm="1">
        <f t="array" ref="I3280">IFERROR(_xlfn.IFS(M3280="נח",1,M3280="נע ונח",1,M3280="שני שווא נח",2,M3280="שני שוואים בסוף מילה",2,M3280="שני שוואים ברצף",1),"0")</f>
        <v>1</v>
      </c>
      <c r="J3280" s="9">
        <f t="shared" si="211"/>
        <v>3</v>
      </c>
      <c r="K3280" t="s">
        <v>6697</v>
      </c>
      <c r="L3280" t="s">
        <v>6694</v>
      </c>
      <c r="M3280" t="s">
        <v>6702</v>
      </c>
      <c r="S3280" t="s">
        <v>6694</v>
      </c>
      <c r="U3280" t="s">
        <v>6694</v>
      </c>
      <c r="W3280" t="s">
        <v>6720</v>
      </c>
    </row>
    <row r="3281" spans="1:23" ht="15.6" x14ac:dyDescent="0.4">
      <c r="A3281" s="2" t="s">
        <v>4977</v>
      </c>
      <c r="B3281" s="5" t="s">
        <v>9626</v>
      </c>
      <c r="C3281" s="7" t="s">
        <v>12556</v>
      </c>
      <c r="D3281" s="8">
        <f t="shared" si="208"/>
        <v>0</v>
      </c>
      <c r="E3281" s="7" t="s">
        <v>12557</v>
      </c>
      <c r="F3281" s="7">
        <f t="shared" si="209"/>
        <v>1</v>
      </c>
      <c r="G3281" s="7" t="s">
        <v>12558</v>
      </c>
      <c r="H3281" s="7">
        <f t="shared" si="210"/>
        <v>0</v>
      </c>
      <c r="I3281" s="7" t="str" cm="1">
        <f t="array" ref="I3281">IFERROR(_xlfn.IFS(M3281="נח",1,M3281="נע ונח",1,M3281="שני שווא נח",2,M3281="שני שוואים בסוף מילה",2,M3281="שני שוואים ברצף",1),"0")</f>
        <v>0</v>
      </c>
      <c r="J3281" s="9">
        <f t="shared" si="211"/>
        <v>2</v>
      </c>
      <c r="K3281" t="s">
        <v>6698</v>
      </c>
      <c r="L3281" t="s">
        <v>6695</v>
      </c>
      <c r="P3281" t="s">
        <v>6694</v>
      </c>
      <c r="S3281" t="s">
        <v>6694</v>
      </c>
      <c r="W3281" t="s">
        <v>6720</v>
      </c>
    </row>
    <row r="3282" spans="1:23" ht="15.6" x14ac:dyDescent="0.4">
      <c r="A3282" s="2" t="s">
        <v>4151</v>
      </c>
      <c r="B3282" s="5" t="s">
        <v>9627</v>
      </c>
      <c r="C3282" s="7" t="s">
        <v>12556</v>
      </c>
      <c r="D3282" s="8">
        <f t="shared" si="208"/>
        <v>0</v>
      </c>
      <c r="E3282" s="7" t="s">
        <v>12557</v>
      </c>
      <c r="F3282" s="7">
        <f t="shared" si="209"/>
        <v>2</v>
      </c>
      <c r="G3282" s="7" t="s">
        <v>12558</v>
      </c>
      <c r="H3282" s="7">
        <f t="shared" si="210"/>
        <v>1</v>
      </c>
      <c r="I3282" s="7" t="str" cm="1">
        <f t="array" ref="I3282">IFERROR(_xlfn.IFS(M3282="נח",1,M3282="נע ונח",1,M3282="שני שווא נח",2,M3282="שני שוואים בסוף מילה",2,M3282="שני שוואים ברצף",1),"0")</f>
        <v>0</v>
      </c>
      <c r="J3282" s="9">
        <f t="shared" si="211"/>
        <v>4</v>
      </c>
      <c r="K3282" t="s">
        <v>6697</v>
      </c>
      <c r="L3282" t="s">
        <v>6695</v>
      </c>
      <c r="O3282" t="s">
        <v>6694</v>
      </c>
      <c r="P3282" t="s">
        <v>6694</v>
      </c>
      <c r="S3282" t="s">
        <v>6694</v>
      </c>
      <c r="U3282" t="s">
        <v>6694</v>
      </c>
      <c r="W3282" t="s">
        <v>6720</v>
      </c>
    </row>
    <row r="3283" spans="1:23" ht="15.6" x14ac:dyDescent="0.4">
      <c r="A3283" s="2" t="s">
        <v>4651</v>
      </c>
      <c r="B3283" s="5" t="s">
        <v>9628</v>
      </c>
      <c r="C3283" s="7" t="s">
        <v>12556</v>
      </c>
      <c r="D3283" s="8">
        <f t="shared" si="208"/>
        <v>0</v>
      </c>
      <c r="E3283" s="7" t="s">
        <v>12557</v>
      </c>
      <c r="F3283" s="7">
        <f t="shared" si="209"/>
        <v>2</v>
      </c>
      <c r="G3283" s="7" t="s">
        <v>12558</v>
      </c>
      <c r="H3283" s="7">
        <f t="shared" si="210"/>
        <v>1</v>
      </c>
      <c r="I3283" s="7" t="str" cm="1">
        <f t="array" ref="I3283">IFERROR(_xlfn.IFS(M3283="נח",1,M3283="נע ונח",1,M3283="שני שווא נח",2,M3283="שני שוואים בסוף מילה",2,M3283="שני שוואים ברצף",1),"0")</f>
        <v>0</v>
      </c>
      <c r="J3283" s="9">
        <f t="shared" si="211"/>
        <v>3</v>
      </c>
      <c r="K3283" t="s">
        <v>6697</v>
      </c>
      <c r="L3283" t="s">
        <v>6695</v>
      </c>
      <c r="O3283" t="s">
        <v>6694</v>
      </c>
      <c r="S3283" t="s">
        <v>6694</v>
      </c>
      <c r="U3283" t="s">
        <v>6694</v>
      </c>
      <c r="W3283" t="s">
        <v>6720</v>
      </c>
    </row>
    <row r="3284" spans="1:23" ht="15.6" x14ac:dyDescent="0.4">
      <c r="A3284" s="2" t="s">
        <v>484</v>
      </c>
      <c r="B3284" s="5" t="s">
        <v>9479</v>
      </c>
      <c r="C3284" s="7" t="s">
        <v>12556</v>
      </c>
      <c r="D3284" s="8">
        <f t="shared" si="208"/>
        <v>0</v>
      </c>
      <c r="E3284" s="7" t="s">
        <v>12557</v>
      </c>
      <c r="F3284" s="7">
        <f t="shared" si="209"/>
        <v>1</v>
      </c>
      <c r="G3284" s="7" t="s">
        <v>12558</v>
      </c>
      <c r="H3284" s="7">
        <f t="shared" si="210"/>
        <v>0</v>
      </c>
      <c r="I3284" s="7" t="str" cm="1">
        <f t="array" ref="I3284">IFERROR(_xlfn.IFS(M3284="נח",1,M3284="נע ונח",1,M3284="שני שווא נח",2,M3284="שני שוואים בסוף מילה",2,M3284="שני שוואים ברצף",1),"0")</f>
        <v>0</v>
      </c>
      <c r="J3284" s="9">
        <f t="shared" si="211"/>
        <v>3</v>
      </c>
      <c r="K3284" t="s">
        <v>6697</v>
      </c>
      <c r="L3284" t="s">
        <v>6695</v>
      </c>
      <c r="O3284" t="s">
        <v>6694</v>
      </c>
      <c r="Q3284" t="s">
        <v>6694</v>
      </c>
      <c r="S3284" t="s">
        <v>6694</v>
      </c>
      <c r="W3284" t="s">
        <v>6720</v>
      </c>
    </row>
    <row r="3285" spans="1:23" ht="15.6" x14ac:dyDescent="0.4">
      <c r="A3285" s="2" t="s">
        <v>2470</v>
      </c>
      <c r="B3285" s="5" t="s">
        <v>9629</v>
      </c>
      <c r="C3285" s="7" t="s">
        <v>12556</v>
      </c>
      <c r="D3285" s="8">
        <f t="shared" si="208"/>
        <v>0</v>
      </c>
      <c r="E3285" s="7" t="s">
        <v>12557</v>
      </c>
      <c r="F3285" s="7">
        <f t="shared" si="209"/>
        <v>2</v>
      </c>
      <c r="G3285" s="7" t="s">
        <v>12558</v>
      </c>
      <c r="H3285" s="7">
        <f t="shared" si="210"/>
        <v>1</v>
      </c>
      <c r="I3285" s="7" t="str" cm="1">
        <f t="array" ref="I3285">IFERROR(_xlfn.IFS(M3285="נח",1,M3285="נע ונח",1,M3285="שני שווא נח",2,M3285="שני שוואים בסוף מילה",2,M3285="שני שוואים ברצף",1),"0")</f>
        <v>0</v>
      </c>
      <c r="J3285" s="9">
        <f t="shared" si="211"/>
        <v>3</v>
      </c>
      <c r="K3285" t="s">
        <v>6697</v>
      </c>
      <c r="L3285" t="s">
        <v>6695</v>
      </c>
      <c r="O3285" t="s">
        <v>6694</v>
      </c>
      <c r="S3285" t="s">
        <v>6694</v>
      </c>
      <c r="U3285" t="s">
        <v>6694</v>
      </c>
      <c r="W3285" t="s">
        <v>6720</v>
      </c>
    </row>
    <row r="3286" spans="1:23" ht="15.6" x14ac:dyDescent="0.4">
      <c r="A3286" s="2" t="s">
        <v>5407</v>
      </c>
      <c r="B3286" s="5" t="s">
        <v>9624</v>
      </c>
      <c r="C3286" s="7" t="s">
        <v>12556</v>
      </c>
      <c r="D3286" s="8">
        <f t="shared" si="208"/>
        <v>0</v>
      </c>
      <c r="E3286" s="7" t="s">
        <v>12557</v>
      </c>
      <c r="F3286" s="7">
        <f t="shared" si="209"/>
        <v>2</v>
      </c>
      <c r="G3286" s="7" t="s">
        <v>12558</v>
      </c>
      <c r="H3286" s="7">
        <f t="shared" si="210"/>
        <v>1</v>
      </c>
      <c r="I3286" s="7" t="str" cm="1">
        <f t="array" ref="I3286">IFERROR(_xlfn.IFS(M3286="נח",1,M3286="נע ונח",1,M3286="שני שווא נח",2,M3286="שני שוואים בסוף מילה",2,M3286="שני שוואים ברצף",1),"0")</f>
        <v>0</v>
      </c>
      <c r="J3286" s="9">
        <f t="shared" si="211"/>
        <v>3</v>
      </c>
      <c r="K3286" t="s">
        <v>6697</v>
      </c>
      <c r="L3286" t="s">
        <v>6695</v>
      </c>
      <c r="O3286" t="s">
        <v>6694</v>
      </c>
      <c r="S3286" t="s">
        <v>6694</v>
      </c>
      <c r="U3286" t="s">
        <v>6694</v>
      </c>
      <c r="W3286" t="s">
        <v>6720</v>
      </c>
    </row>
    <row r="3287" spans="1:23" ht="15.6" x14ac:dyDescent="0.4">
      <c r="A3287" s="2" t="s">
        <v>1198</v>
      </c>
      <c r="B3287" s="5" t="s">
        <v>9630</v>
      </c>
      <c r="C3287" s="7" t="s">
        <v>12556</v>
      </c>
      <c r="D3287" s="8">
        <f t="shared" si="208"/>
        <v>0</v>
      </c>
      <c r="E3287" s="7" t="s">
        <v>12557</v>
      </c>
      <c r="F3287" s="7">
        <f t="shared" si="209"/>
        <v>1</v>
      </c>
      <c r="G3287" s="7" t="s">
        <v>12558</v>
      </c>
      <c r="H3287" s="7">
        <f t="shared" si="210"/>
        <v>0</v>
      </c>
      <c r="I3287" s="7" t="str" cm="1">
        <f t="array" ref="I3287">IFERROR(_xlfn.IFS(M3287="נח",1,M3287="נע ונח",1,M3287="שני שווא נח",2,M3287="שני שוואים בסוף מילה",2,M3287="שני שוואים ברצף",1),"0")</f>
        <v>0</v>
      </c>
      <c r="J3287" s="9">
        <f t="shared" si="211"/>
        <v>2</v>
      </c>
      <c r="K3287" t="s">
        <v>6698</v>
      </c>
      <c r="L3287" t="s">
        <v>6695</v>
      </c>
      <c r="S3287" t="s">
        <v>6694</v>
      </c>
      <c r="V3287" t="s">
        <v>6694</v>
      </c>
      <c r="W3287" t="s">
        <v>6720</v>
      </c>
    </row>
    <row r="3288" spans="1:23" ht="15.6" x14ac:dyDescent="0.4">
      <c r="A3288" s="2" t="s">
        <v>5119</v>
      </c>
      <c r="B3288" s="5" t="s">
        <v>9631</v>
      </c>
      <c r="C3288" s="7" t="s">
        <v>12556</v>
      </c>
      <c r="D3288" s="8">
        <f t="shared" si="208"/>
        <v>0</v>
      </c>
      <c r="E3288" s="7" t="s">
        <v>12557</v>
      </c>
      <c r="F3288" s="7">
        <f t="shared" si="209"/>
        <v>2</v>
      </c>
      <c r="G3288" s="7" t="s">
        <v>12558</v>
      </c>
      <c r="H3288" s="7">
        <f t="shared" si="210"/>
        <v>1</v>
      </c>
      <c r="I3288" s="7" t="str" cm="1">
        <f t="array" ref="I3288">IFERROR(_xlfn.IFS(M3288="נח",1,M3288="נע ונח",1,M3288="שני שווא נח",2,M3288="שני שוואים בסוף מילה",2,M3288="שני שוואים ברצף",1),"0")</f>
        <v>0</v>
      </c>
      <c r="J3288" s="9">
        <f t="shared" si="211"/>
        <v>3</v>
      </c>
      <c r="K3288" t="s">
        <v>6697</v>
      </c>
      <c r="L3288" t="s">
        <v>6695</v>
      </c>
      <c r="S3288" t="s">
        <v>6694</v>
      </c>
      <c r="U3288" t="s">
        <v>6694</v>
      </c>
      <c r="V3288" t="s">
        <v>6694</v>
      </c>
      <c r="W3288" t="s">
        <v>6720</v>
      </c>
    </row>
    <row r="3289" spans="1:23" ht="15.6" x14ac:dyDescent="0.4">
      <c r="A3289" s="2" t="s">
        <v>6463</v>
      </c>
      <c r="B3289" s="5" t="s">
        <v>9632</v>
      </c>
      <c r="C3289" s="7" t="s">
        <v>12556</v>
      </c>
      <c r="D3289" s="8">
        <f t="shared" si="208"/>
        <v>0</v>
      </c>
      <c r="E3289" s="7" t="s">
        <v>12557</v>
      </c>
      <c r="F3289" s="7">
        <f t="shared" si="209"/>
        <v>1</v>
      </c>
      <c r="G3289" s="7" t="s">
        <v>12558</v>
      </c>
      <c r="H3289" s="7">
        <f t="shared" si="210"/>
        <v>1</v>
      </c>
      <c r="I3289" s="7" cm="1">
        <f t="array" ref="I3289">IFERROR(_xlfn.IFS(M3289="נח",1,M3289="נע ונח",1,M3289="שני שווא נח",2,M3289="שני שוואים בסוף מילה",2,M3289="שני שוואים ברצף",1),"0")</f>
        <v>1</v>
      </c>
      <c r="J3289" s="9">
        <f t="shared" si="211"/>
        <v>4</v>
      </c>
      <c r="K3289" t="s">
        <v>6697</v>
      </c>
      <c r="L3289" t="s">
        <v>6694</v>
      </c>
      <c r="M3289" t="s">
        <v>6702</v>
      </c>
      <c r="S3289" t="s">
        <v>6694</v>
      </c>
      <c r="T3289" t="s">
        <v>6694</v>
      </c>
      <c r="U3289" t="s">
        <v>6694</v>
      </c>
      <c r="W3289" t="s">
        <v>6720</v>
      </c>
    </row>
    <row r="3290" spans="1:23" ht="15.6" x14ac:dyDescent="0.4">
      <c r="A3290" s="2" t="s">
        <v>6655</v>
      </c>
      <c r="B3290" s="5" t="s">
        <v>9633</v>
      </c>
      <c r="C3290" s="7" t="s">
        <v>12556</v>
      </c>
      <c r="D3290" s="8">
        <f t="shared" si="208"/>
        <v>0</v>
      </c>
      <c r="E3290" s="7" t="s">
        <v>12557</v>
      </c>
      <c r="F3290" s="7">
        <f t="shared" si="209"/>
        <v>1</v>
      </c>
      <c r="G3290" s="7" t="s">
        <v>12558</v>
      </c>
      <c r="H3290" s="7">
        <f t="shared" si="210"/>
        <v>1</v>
      </c>
      <c r="I3290" s="7" cm="1">
        <f t="array" ref="I3290">IFERROR(_xlfn.IFS(M3290="נח",1,M3290="נע ונח",1,M3290="שני שווא נח",2,M3290="שני שוואים בסוף מילה",2,M3290="שני שוואים ברצף",1),"0")</f>
        <v>1</v>
      </c>
      <c r="J3290" s="9">
        <f t="shared" si="211"/>
        <v>3</v>
      </c>
      <c r="K3290" t="s">
        <v>6697</v>
      </c>
      <c r="L3290" t="s">
        <v>6694</v>
      </c>
      <c r="M3290" t="s">
        <v>6705</v>
      </c>
      <c r="S3290" t="s">
        <v>6694</v>
      </c>
      <c r="U3290" t="s">
        <v>6694</v>
      </c>
      <c r="V3290" t="s">
        <v>6694</v>
      </c>
      <c r="W3290" t="s">
        <v>6720</v>
      </c>
    </row>
    <row r="3291" spans="1:23" ht="15.6" x14ac:dyDescent="0.4">
      <c r="A3291" s="2" t="s">
        <v>2879</v>
      </c>
      <c r="B3291" s="5" t="s">
        <v>9634</v>
      </c>
      <c r="C3291" s="7" t="s">
        <v>12556</v>
      </c>
      <c r="D3291" s="8">
        <f t="shared" si="208"/>
        <v>0</v>
      </c>
      <c r="E3291" s="7" t="s">
        <v>12557</v>
      </c>
      <c r="F3291" s="7">
        <f t="shared" si="209"/>
        <v>1</v>
      </c>
      <c r="G3291" s="7" t="s">
        <v>12558</v>
      </c>
      <c r="H3291" s="7">
        <f t="shared" si="210"/>
        <v>0</v>
      </c>
      <c r="I3291" s="7" t="str" cm="1">
        <f t="array" ref="I3291">IFERROR(_xlfn.IFS(M3291="נח",1,M3291="נע ונח",1,M3291="שני שווא נח",2,M3291="שני שוואים בסוף מילה",2,M3291="שני שוואים ברצף",1),"0")</f>
        <v>0</v>
      </c>
      <c r="J3291" s="9">
        <f t="shared" si="211"/>
        <v>3</v>
      </c>
      <c r="K3291" t="s">
        <v>6698</v>
      </c>
      <c r="L3291" t="s">
        <v>6695</v>
      </c>
      <c r="O3291" t="s">
        <v>6694</v>
      </c>
      <c r="Q3291" t="s">
        <v>6694</v>
      </c>
      <c r="S3291" t="s">
        <v>6694</v>
      </c>
      <c r="W3291" t="s">
        <v>6720</v>
      </c>
    </row>
    <row r="3292" spans="1:23" ht="15.6" x14ac:dyDescent="0.4">
      <c r="A3292" s="2" t="s">
        <v>449</v>
      </c>
      <c r="B3292" s="5" t="s">
        <v>9635</v>
      </c>
      <c r="C3292" s="7" t="s">
        <v>12556</v>
      </c>
      <c r="D3292" s="8">
        <f t="shared" si="208"/>
        <v>0</v>
      </c>
      <c r="E3292" s="7" t="s">
        <v>12557</v>
      </c>
      <c r="F3292" s="7">
        <f t="shared" si="209"/>
        <v>1</v>
      </c>
      <c r="G3292" s="7" t="s">
        <v>12558</v>
      </c>
      <c r="H3292" s="7">
        <f t="shared" si="210"/>
        <v>0</v>
      </c>
      <c r="I3292" s="7" t="str" cm="1">
        <f t="array" ref="I3292">IFERROR(_xlfn.IFS(M3292="נח",1,M3292="נע ונח",1,M3292="שני שווא נח",2,M3292="שני שוואים בסוף מילה",2,M3292="שני שוואים ברצף",1),"0")</f>
        <v>0</v>
      </c>
      <c r="J3292" s="9">
        <f t="shared" si="211"/>
        <v>3</v>
      </c>
      <c r="K3292" t="s">
        <v>6698</v>
      </c>
      <c r="L3292" t="s">
        <v>6695</v>
      </c>
      <c r="O3292" t="s">
        <v>6694</v>
      </c>
      <c r="Q3292" t="s">
        <v>6694</v>
      </c>
      <c r="S3292" t="s">
        <v>6694</v>
      </c>
      <c r="W3292" t="s">
        <v>6720</v>
      </c>
    </row>
    <row r="3293" spans="1:23" ht="15.6" x14ac:dyDescent="0.4">
      <c r="A3293" s="2" t="s">
        <v>3126</v>
      </c>
      <c r="B3293" s="5" t="s">
        <v>9636</v>
      </c>
      <c r="C3293" s="7" t="s">
        <v>12556</v>
      </c>
      <c r="D3293" s="8">
        <f t="shared" si="208"/>
        <v>0</v>
      </c>
      <c r="E3293" s="7" t="s">
        <v>12557</v>
      </c>
      <c r="F3293" s="7">
        <f t="shared" si="209"/>
        <v>1</v>
      </c>
      <c r="G3293" s="7" t="s">
        <v>12558</v>
      </c>
      <c r="H3293" s="7">
        <f t="shared" si="210"/>
        <v>0</v>
      </c>
      <c r="I3293" s="7" t="str" cm="1">
        <f t="array" ref="I3293">IFERROR(_xlfn.IFS(M3293="נח",1,M3293="נע ונח",1,M3293="שני שווא נח",2,M3293="שני שוואים בסוף מילה",2,M3293="שני שוואים ברצף",1),"0")</f>
        <v>0</v>
      </c>
      <c r="J3293" s="9">
        <f t="shared" si="211"/>
        <v>2</v>
      </c>
      <c r="K3293" t="s">
        <v>6698</v>
      </c>
      <c r="L3293" t="s">
        <v>6695</v>
      </c>
      <c r="S3293" t="s">
        <v>6694</v>
      </c>
      <c r="V3293" t="s">
        <v>6694</v>
      </c>
      <c r="W3293" t="s">
        <v>6720</v>
      </c>
    </row>
    <row r="3294" spans="1:23" ht="15.6" x14ac:dyDescent="0.4">
      <c r="A3294" s="2" t="s">
        <v>6583</v>
      </c>
      <c r="B3294" s="5" t="s">
        <v>9637</v>
      </c>
      <c r="C3294" s="7" t="s">
        <v>12556</v>
      </c>
      <c r="D3294" s="8">
        <f t="shared" si="208"/>
        <v>0</v>
      </c>
      <c r="E3294" s="7" t="s">
        <v>12557</v>
      </c>
      <c r="F3294" s="7">
        <f t="shared" si="209"/>
        <v>0</v>
      </c>
      <c r="G3294" s="7" t="s">
        <v>12558</v>
      </c>
      <c r="H3294" s="7">
        <f t="shared" si="210"/>
        <v>0</v>
      </c>
      <c r="I3294" s="7" cm="1">
        <f t="array" ref="I3294">IFERROR(_xlfn.IFS(M3294="נח",1,M3294="נע ונח",1,M3294="שני שווא נח",2,M3294="שני שוואים בסוף מילה",2,M3294="שני שוואים ברצף",1),"0")</f>
        <v>1</v>
      </c>
      <c r="J3294" s="9">
        <f t="shared" si="211"/>
        <v>4</v>
      </c>
      <c r="K3294" t="s">
        <v>6697</v>
      </c>
      <c r="L3294" t="s">
        <v>6694</v>
      </c>
      <c r="M3294" t="s">
        <v>6702</v>
      </c>
      <c r="Q3294" t="s">
        <v>6694</v>
      </c>
      <c r="S3294" t="s">
        <v>6694</v>
      </c>
      <c r="W3294" t="s">
        <v>6720</v>
      </c>
    </row>
    <row r="3295" spans="1:23" ht="15.6" x14ac:dyDescent="0.4">
      <c r="A3295" s="2" t="s">
        <v>6032</v>
      </c>
      <c r="B3295" s="5" t="s">
        <v>9638</v>
      </c>
      <c r="C3295" s="7" t="s">
        <v>12556</v>
      </c>
      <c r="D3295" s="8">
        <f t="shared" si="208"/>
        <v>0</v>
      </c>
      <c r="E3295" s="7" t="s">
        <v>12557</v>
      </c>
      <c r="F3295" s="7">
        <f t="shared" si="209"/>
        <v>0</v>
      </c>
      <c r="G3295" s="7" t="s">
        <v>12558</v>
      </c>
      <c r="H3295" s="7">
        <f t="shared" si="210"/>
        <v>0</v>
      </c>
      <c r="I3295" s="7" cm="1">
        <f t="array" ref="I3295">IFERROR(_xlfn.IFS(M3295="נח",1,M3295="נע ונח",1,M3295="שני שווא נח",2,M3295="שני שוואים בסוף מילה",2,M3295="שני שוואים ברצף",1),"0")</f>
        <v>1</v>
      </c>
      <c r="J3295" s="9">
        <f t="shared" si="211"/>
        <v>2</v>
      </c>
      <c r="K3295" t="s">
        <v>6698</v>
      </c>
      <c r="L3295" t="s">
        <v>6694</v>
      </c>
      <c r="M3295" t="s">
        <v>6705</v>
      </c>
      <c r="N3295" t="s">
        <v>6706</v>
      </c>
      <c r="O3295" t="s">
        <v>6694</v>
      </c>
      <c r="S3295" t="s">
        <v>6694</v>
      </c>
      <c r="W3295" t="s">
        <v>6720</v>
      </c>
    </row>
    <row r="3296" spans="1:23" ht="15.6" x14ac:dyDescent="0.4">
      <c r="A3296" s="2" t="s">
        <v>5981</v>
      </c>
      <c r="B3296" s="5" t="s">
        <v>9639</v>
      </c>
      <c r="C3296" s="7" t="s">
        <v>12556</v>
      </c>
      <c r="D3296" s="8">
        <f t="shared" si="208"/>
        <v>0</v>
      </c>
      <c r="E3296" s="7" t="s">
        <v>12557</v>
      </c>
      <c r="F3296" s="7">
        <f t="shared" si="209"/>
        <v>0</v>
      </c>
      <c r="G3296" s="7" t="s">
        <v>12558</v>
      </c>
      <c r="H3296" s="7">
        <f t="shared" si="210"/>
        <v>0</v>
      </c>
      <c r="I3296" s="7" cm="1">
        <f t="array" ref="I3296">IFERROR(_xlfn.IFS(M3296="נח",1,M3296="נע ונח",1,M3296="שני שווא נח",2,M3296="שני שוואים בסוף מילה",2,M3296="שני שוואים ברצף",1),"0")</f>
        <v>1</v>
      </c>
      <c r="J3296" s="9">
        <f t="shared" si="211"/>
        <v>4</v>
      </c>
      <c r="K3296" t="s">
        <v>6697</v>
      </c>
      <c r="L3296" t="s">
        <v>6694</v>
      </c>
      <c r="M3296" t="s">
        <v>6705</v>
      </c>
      <c r="O3296" t="s">
        <v>6694</v>
      </c>
      <c r="Q3296" t="s">
        <v>6694</v>
      </c>
      <c r="S3296" t="s">
        <v>6694</v>
      </c>
      <c r="W3296" t="s">
        <v>6720</v>
      </c>
    </row>
    <row r="3297" spans="1:23" ht="15.6" x14ac:dyDescent="0.4">
      <c r="A3297" s="2" t="s">
        <v>6335</v>
      </c>
      <c r="B3297" s="5" t="s">
        <v>9640</v>
      </c>
      <c r="C3297" s="7" t="s">
        <v>12556</v>
      </c>
      <c r="D3297" s="8">
        <f t="shared" si="208"/>
        <v>0</v>
      </c>
      <c r="E3297" s="7" t="s">
        <v>12557</v>
      </c>
      <c r="F3297" s="7">
        <f t="shared" si="209"/>
        <v>1</v>
      </c>
      <c r="G3297" s="7" t="s">
        <v>12558</v>
      </c>
      <c r="H3297" s="7">
        <f t="shared" si="210"/>
        <v>0</v>
      </c>
      <c r="I3297" s="7" cm="1">
        <f t="array" ref="I3297">IFERROR(_xlfn.IFS(M3297="נח",1,M3297="נע ונח",1,M3297="שני שווא נח",2,M3297="שני שוואים בסוף מילה",2,M3297="שני שוואים ברצף",1),"0")</f>
        <v>1</v>
      </c>
      <c r="J3297" s="9">
        <f t="shared" si="211"/>
        <v>4</v>
      </c>
      <c r="K3297" t="s">
        <v>6697</v>
      </c>
      <c r="L3297" t="s">
        <v>6694</v>
      </c>
      <c r="M3297" t="s">
        <v>6705</v>
      </c>
      <c r="O3297" t="s">
        <v>6694</v>
      </c>
      <c r="R3297" t="s">
        <v>6694</v>
      </c>
      <c r="S3297" t="s">
        <v>6694</v>
      </c>
      <c r="W3297" t="s">
        <v>6720</v>
      </c>
    </row>
    <row r="3298" spans="1:23" ht="15.6" x14ac:dyDescent="0.4">
      <c r="A3298" s="2" t="s">
        <v>2154</v>
      </c>
      <c r="B3298" s="5" t="s">
        <v>9641</v>
      </c>
      <c r="C3298" s="7" t="s">
        <v>12556</v>
      </c>
      <c r="D3298" s="8">
        <f t="shared" si="208"/>
        <v>0</v>
      </c>
      <c r="E3298" s="7" t="s">
        <v>12557</v>
      </c>
      <c r="F3298" s="7">
        <f t="shared" si="209"/>
        <v>2</v>
      </c>
      <c r="G3298" s="7" t="s">
        <v>12558</v>
      </c>
      <c r="H3298" s="7">
        <f t="shared" si="210"/>
        <v>1</v>
      </c>
      <c r="I3298" s="7" cm="1">
        <f t="array" ref="I3298">IFERROR(_xlfn.IFS(M3298="נח",1,M3298="נע ונח",1,M3298="שני שווא נח",2,M3298="שני שוואים בסוף מילה",2,M3298="שני שוואים ברצף",1),"0")</f>
        <v>1</v>
      </c>
      <c r="J3298" s="9">
        <f t="shared" si="211"/>
        <v>4</v>
      </c>
      <c r="K3298" t="s">
        <v>6697</v>
      </c>
      <c r="L3298" t="s">
        <v>6694</v>
      </c>
      <c r="M3298" t="s">
        <v>6705</v>
      </c>
      <c r="O3298" t="s">
        <v>6694</v>
      </c>
      <c r="R3298" t="s">
        <v>6694</v>
      </c>
      <c r="S3298" t="s">
        <v>6694</v>
      </c>
      <c r="U3298" t="s">
        <v>6694</v>
      </c>
      <c r="W3298" t="s">
        <v>6720</v>
      </c>
    </row>
    <row r="3299" spans="1:23" ht="15.6" x14ac:dyDescent="0.4">
      <c r="A3299" s="2" t="s">
        <v>3021</v>
      </c>
      <c r="B3299" s="5" t="s">
        <v>9492</v>
      </c>
      <c r="C3299" s="7" t="s">
        <v>12556</v>
      </c>
      <c r="D3299" s="8">
        <f t="shared" si="208"/>
        <v>0</v>
      </c>
      <c r="E3299" s="7" t="s">
        <v>12557</v>
      </c>
      <c r="F3299" s="7">
        <f t="shared" si="209"/>
        <v>1</v>
      </c>
      <c r="G3299" s="7" t="s">
        <v>12558</v>
      </c>
      <c r="H3299" s="7">
        <f t="shared" si="210"/>
        <v>0</v>
      </c>
      <c r="I3299" s="7" cm="1">
        <f t="array" ref="I3299">IFERROR(_xlfn.IFS(M3299="נח",1,M3299="נע ונח",1,M3299="שני שווא נח",2,M3299="שני שוואים בסוף מילה",2,M3299="שני שוואים ברצף",1),"0")</f>
        <v>1</v>
      </c>
      <c r="J3299" s="9">
        <f t="shared" si="211"/>
        <v>2</v>
      </c>
      <c r="K3299" t="s">
        <v>6698</v>
      </c>
      <c r="L3299" t="s">
        <v>6694</v>
      </c>
      <c r="M3299" t="s">
        <v>6705</v>
      </c>
      <c r="S3299" t="s">
        <v>6694</v>
      </c>
      <c r="V3299" t="s">
        <v>6694</v>
      </c>
      <c r="W3299" t="s">
        <v>6720</v>
      </c>
    </row>
    <row r="3300" spans="1:23" ht="15.6" x14ac:dyDescent="0.4">
      <c r="A3300" s="2" t="s">
        <v>1733</v>
      </c>
      <c r="B3300" s="5" t="s">
        <v>9642</v>
      </c>
      <c r="C3300" s="7" t="s">
        <v>12556</v>
      </c>
      <c r="D3300" s="8">
        <f t="shared" si="208"/>
        <v>0</v>
      </c>
      <c r="E3300" s="7" t="s">
        <v>12557</v>
      </c>
      <c r="F3300" s="7">
        <f t="shared" si="209"/>
        <v>2</v>
      </c>
      <c r="G3300" s="7" t="s">
        <v>12558</v>
      </c>
      <c r="H3300" s="7">
        <f t="shared" si="210"/>
        <v>0</v>
      </c>
      <c r="I3300" s="7" cm="1">
        <f t="array" ref="I3300">IFERROR(_xlfn.IFS(M3300="נח",1,M3300="נע ונח",1,M3300="שני שווא נח",2,M3300="שני שוואים בסוף מילה",2,M3300="שני שוואים ברצף",1),"0")</f>
        <v>1</v>
      </c>
      <c r="J3300" s="9">
        <f t="shared" si="211"/>
        <v>3</v>
      </c>
      <c r="K3300" t="s">
        <v>6697</v>
      </c>
      <c r="L3300" t="s">
        <v>6694</v>
      </c>
      <c r="M3300" t="s">
        <v>6705</v>
      </c>
      <c r="P3300" t="s">
        <v>6694</v>
      </c>
      <c r="S3300" t="s">
        <v>6694</v>
      </c>
      <c r="W3300" t="s">
        <v>6720</v>
      </c>
    </row>
    <row r="3301" spans="1:23" ht="15.6" x14ac:dyDescent="0.4">
      <c r="A3301" s="2" t="s">
        <v>3051</v>
      </c>
      <c r="B3301" s="5" t="s">
        <v>9643</v>
      </c>
      <c r="C3301" s="7" t="s">
        <v>12556</v>
      </c>
      <c r="D3301" s="8">
        <f t="shared" si="208"/>
        <v>0</v>
      </c>
      <c r="E3301" s="7" t="s">
        <v>12557</v>
      </c>
      <c r="F3301" s="7">
        <f t="shared" si="209"/>
        <v>2</v>
      </c>
      <c r="G3301" s="7" t="s">
        <v>12558</v>
      </c>
      <c r="H3301" s="7">
        <f t="shared" si="210"/>
        <v>1</v>
      </c>
      <c r="I3301" s="7" cm="1">
        <f t="array" ref="I3301">IFERROR(_xlfn.IFS(M3301="נח",1,M3301="נע ונח",1,M3301="שני שווא נח",2,M3301="שני שוואים בסוף מילה",2,M3301="שני שוואים ברצף",1),"0")</f>
        <v>1</v>
      </c>
      <c r="J3301" s="9">
        <f t="shared" si="211"/>
        <v>3</v>
      </c>
      <c r="K3301" t="s">
        <v>6697</v>
      </c>
      <c r="L3301" t="s">
        <v>6694</v>
      </c>
      <c r="M3301" t="s">
        <v>6705</v>
      </c>
      <c r="S3301" t="s">
        <v>6694</v>
      </c>
      <c r="U3301" t="s">
        <v>6694</v>
      </c>
      <c r="W3301" t="s">
        <v>6720</v>
      </c>
    </row>
    <row r="3302" spans="1:23" ht="15.6" x14ac:dyDescent="0.4">
      <c r="A3302" s="2" t="s">
        <v>2142</v>
      </c>
      <c r="B3302" s="5" t="s">
        <v>9644</v>
      </c>
      <c r="C3302" s="7" t="s">
        <v>12556</v>
      </c>
      <c r="D3302" s="8">
        <f t="shared" si="208"/>
        <v>0</v>
      </c>
      <c r="E3302" s="7" t="s">
        <v>12557</v>
      </c>
      <c r="F3302" s="7">
        <f t="shared" si="209"/>
        <v>2</v>
      </c>
      <c r="G3302" s="7" t="s">
        <v>12558</v>
      </c>
      <c r="H3302" s="7">
        <f t="shared" si="210"/>
        <v>0</v>
      </c>
      <c r="I3302" s="7" cm="1">
        <f t="array" ref="I3302">IFERROR(_xlfn.IFS(M3302="נח",1,M3302="נע ונח",1,M3302="שני שווא נח",2,M3302="שני שוואים בסוף מילה",2,M3302="שני שוואים ברצף",1),"0")</f>
        <v>1</v>
      </c>
      <c r="J3302" s="9">
        <f t="shared" si="211"/>
        <v>3</v>
      </c>
      <c r="K3302" t="s">
        <v>6698</v>
      </c>
      <c r="L3302" t="s">
        <v>6694</v>
      </c>
      <c r="M3302" t="s">
        <v>6705</v>
      </c>
      <c r="O3302" t="s">
        <v>6694</v>
      </c>
      <c r="P3302" t="s">
        <v>6694</v>
      </c>
      <c r="S3302" t="s">
        <v>6694</v>
      </c>
      <c r="W3302" t="s">
        <v>6720</v>
      </c>
    </row>
    <row r="3303" spans="1:23" ht="15.6" x14ac:dyDescent="0.4">
      <c r="A3303" s="2" t="s">
        <v>3472</v>
      </c>
      <c r="B3303" s="5" t="s">
        <v>9645</v>
      </c>
      <c r="C3303" s="7" t="s">
        <v>12556</v>
      </c>
      <c r="D3303" s="8">
        <f t="shared" si="208"/>
        <v>0</v>
      </c>
      <c r="E3303" s="7" t="s">
        <v>12557</v>
      </c>
      <c r="F3303" s="7">
        <f t="shared" si="209"/>
        <v>2</v>
      </c>
      <c r="G3303" s="7" t="s">
        <v>12558</v>
      </c>
      <c r="H3303" s="7">
        <f t="shared" si="210"/>
        <v>0</v>
      </c>
      <c r="I3303" s="7" cm="1">
        <f t="array" ref="I3303">IFERROR(_xlfn.IFS(M3303="נח",1,M3303="נע ונח",1,M3303="שני שווא נח",2,M3303="שני שוואים בסוף מילה",2,M3303="שני שוואים ברצף",1),"0")</f>
        <v>1</v>
      </c>
      <c r="J3303" s="9">
        <f t="shared" si="211"/>
        <v>3</v>
      </c>
      <c r="K3303" t="s">
        <v>6698</v>
      </c>
      <c r="L3303" t="s">
        <v>6694</v>
      </c>
      <c r="M3303" t="s">
        <v>6705</v>
      </c>
      <c r="O3303" t="s">
        <v>6694</v>
      </c>
      <c r="P3303" t="s">
        <v>6694</v>
      </c>
      <c r="S3303" t="s">
        <v>6694</v>
      </c>
      <c r="W3303" t="s">
        <v>6720</v>
      </c>
    </row>
    <row r="3304" spans="1:23" ht="15.6" x14ac:dyDescent="0.4">
      <c r="A3304" s="2" t="s">
        <v>5379</v>
      </c>
      <c r="B3304" s="5" t="s">
        <v>9646</v>
      </c>
      <c r="C3304" s="7" t="s">
        <v>12556</v>
      </c>
      <c r="D3304" s="8">
        <f t="shared" si="208"/>
        <v>0</v>
      </c>
      <c r="E3304" s="7" t="s">
        <v>12557</v>
      </c>
      <c r="F3304" s="7">
        <f t="shared" si="209"/>
        <v>1</v>
      </c>
      <c r="G3304" s="7" t="s">
        <v>12558</v>
      </c>
      <c r="H3304" s="7">
        <f t="shared" si="210"/>
        <v>0</v>
      </c>
      <c r="I3304" s="7" t="str" cm="1">
        <f t="array" ref="I3304">IFERROR(_xlfn.IFS(M3304="נח",1,M3304="נע ונח",1,M3304="שני שווא נח",2,M3304="שני שוואים בסוף מילה",2,M3304="שני שוואים ברצף",1),"0")</f>
        <v>0</v>
      </c>
      <c r="J3304" s="9">
        <f t="shared" si="211"/>
        <v>3</v>
      </c>
      <c r="K3304" t="s">
        <v>6698</v>
      </c>
      <c r="L3304" t="s">
        <v>6695</v>
      </c>
      <c r="O3304" t="s">
        <v>6694</v>
      </c>
      <c r="Q3304" t="s">
        <v>6694</v>
      </c>
      <c r="S3304" t="s">
        <v>6694</v>
      </c>
      <c r="W3304" t="s">
        <v>6720</v>
      </c>
    </row>
    <row r="3305" spans="1:23" ht="15.6" x14ac:dyDescent="0.4">
      <c r="A3305" s="2" t="s">
        <v>568</v>
      </c>
      <c r="B3305" s="5" t="s">
        <v>9647</v>
      </c>
      <c r="C3305" s="7" t="s">
        <v>12556</v>
      </c>
      <c r="D3305" s="8">
        <f t="shared" si="208"/>
        <v>0</v>
      </c>
      <c r="E3305" s="7" t="s">
        <v>12557</v>
      </c>
      <c r="F3305" s="7">
        <f t="shared" si="209"/>
        <v>1</v>
      </c>
      <c r="G3305" s="7" t="s">
        <v>12558</v>
      </c>
      <c r="H3305" s="7">
        <f t="shared" si="210"/>
        <v>0</v>
      </c>
      <c r="I3305" s="7" t="str" cm="1">
        <f t="array" ref="I3305">IFERROR(_xlfn.IFS(M3305="נח",1,M3305="נע ונח",1,M3305="שני שווא נח",2,M3305="שני שוואים בסוף מילה",2,M3305="שני שוואים ברצף",1),"0")</f>
        <v>0</v>
      </c>
      <c r="J3305" s="9">
        <f t="shared" si="211"/>
        <v>2</v>
      </c>
      <c r="K3305" t="s">
        <v>6698</v>
      </c>
      <c r="L3305" t="s">
        <v>6695</v>
      </c>
      <c r="S3305" t="s">
        <v>6694</v>
      </c>
      <c r="V3305" t="s">
        <v>6694</v>
      </c>
      <c r="W3305" t="s">
        <v>6720</v>
      </c>
    </row>
    <row r="3306" spans="1:23" ht="15.6" x14ac:dyDescent="0.4">
      <c r="A3306" s="2" t="s">
        <v>957</v>
      </c>
      <c r="B3306" s="5" t="s">
        <v>9648</v>
      </c>
      <c r="C3306" s="7" t="s">
        <v>12556</v>
      </c>
      <c r="D3306" s="8">
        <f t="shared" si="208"/>
        <v>0</v>
      </c>
      <c r="E3306" s="7" t="s">
        <v>12557</v>
      </c>
      <c r="F3306" s="7">
        <f t="shared" si="209"/>
        <v>2</v>
      </c>
      <c r="G3306" s="7" t="s">
        <v>12558</v>
      </c>
      <c r="H3306" s="7">
        <f t="shared" si="210"/>
        <v>1</v>
      </c>
      <c r="I3306" s="7" t="str" cm="1">
        <f t="array" ref="I3306">IFERROR(_xlfn.IFS(M3306="נח",1,M3306="נע ונח",1,M3306="שני שווא נח",2,M3306="שני שוואים בסוף מילה",2,M3306="שני שוואים ברצף",1),"0")</f>
        <v>0</v>
      </c>
      <c r="J3306" s="9">
        <f t="shared" si="211"/>
        <v>3</v>
      </c>
      <c r="K3306" t="s">
        <v>6697</v>
      </c>
      <c r="L3306" t="s">
        <v>6695</v>
      </c>
      <c r="S3306" t="s">
        <v>6694</v>
      </c>
      <c r="U3306" t="s">
        <v>6694</v>
      </c>
      <c r="V3306" t="s">
        <v>6694</v>
      </c>
      <c r="W3306" t="s">
        <v>6720</v>
      </c>
    </row>
    <row r="3307" spans="1:23" ht="15.6" x14ac:dyDescent="0.4">
      <c r="A3307" s="2" t="s">
        <v>3828</v>
      </c>
      <c r="B3307" s="5" t="s">
        <v>9649</v>
      </c>
      <c r="C3307" s="7" t="s">
        <v>12556</v>
      </c>
      <c r="D3307" s="8">
        <f t="shared" si="208"/>
        <v>0</v>
      </c>
      <c r="E3307" s="7" t="s">
        <v>12557</v>
      </c>
      <c r="F3307" s="7">
        <f t="shared" si="209"/>
        <v>1</v>
      </c>
      <c r="G3307" s="7" t="s">
        <v>12558</v>
      </c>
      <c r="H3307" s="7">
        <f t="shared" si="210"/>
        <v>0</v>
      </c>
      <c r="I3307" s="7" cm="1">
        <f t="array" ref="I3307">IFERROR(_xlfn.IFS(M3307="נח",1,M3307="נע ונח",1,M3307="שני שווא נח",2,M3307="שני שוואים בסוף מילה",2,M3307="שני שוואים ברצף",1),"0")</f>
        <v>1</v>
      </c>
      <c r="J3307" s="9">
        <f t="shared" si="211"/>
        <v>2</v>
      </c>
      <c r="K3307" t="s">
        <v>6697</v>
      </c>
      <c r="L3307" t="s">
        <v>6694</v>
      </c>
      <c r="M3307" t="s">
        <v>6705</v>
      </c>
      <c r="R3307" t="s">
        <v>6694</v>
      </c>
      <c r="S3307" t="s">
        <v>6694</v>
      </c>
      <c r="W3307" t="s">
        <v>6720</v>
      </c>
    </row>
    <row r="3308" spans="1:23" ht="15.6" x14ac:dyDescent="0.4">
      <c r="A3308" s="2" t="s">
        <v>6175</v>
      </c>
      <c r="B3308" s="5" t="s">
        <v>9650</v>
      </c>
      <c r="C3308" s="7" t="s">
        <v>12556</v>
      </c>
      <c r="D3308" s="8">
        <f t="shared" si="208"/>
        <v>0</v>
      </c>
      <c r="E3308" s="7" t="s">
        <v>12557</v>
      </c>
      <c r="F3308" s="7">
        <f t="shared" si="209"/>
        <v>0</v>
      </c>
      <c r="G3308" s="7" t="s">
        <v>12558</v>
      </c>
      <c r="H3308" s="7">
        <f t="shared" si="210"/>
        <v>0</v>
      </c>
      <c r="I3308" s="7" cm="1">
        <f t="array" ref="I3308">IFERROR(_xlfn.IFS(M3308="נח",1,M3308="נע ונח",1,M3308="שני שווא נח",2,M3308="שני שוואים בסוף מילה",2,M3308="שני שוואים ברצף",1),"0")</f>
        <v>1</v>
      </c>
      <c r="J3308" s="9">
        <f t="shared" si="211"/>
        <v>2</v>
      </c>
      <c r="K3308" t="s">
        <v>6698</v>
      </c>
      <c r="L3308" t="s">
        <v>6694</v>
      </c>
      <c r="M3308" t="s">
        <v>6705</v>
      </c>
      <c r="N3308" t="s">
        <v>6706</v>
      </c>
      <c r="O3308" t="s">
        <v>6694</v>
      </c>
      <c r="S3308" t="s">
        <v>6694</v>
      </c>
      <c r="W3308" t="s">
        <v>6720</v>
      </c>
    </row>
    <row r="3309" spans="1:23" ht="15.6" x14ac:dyDescent="0.4">
      <c r="A3309" s="2" t="s">
        <v>3087</v>
      </c>
      <c r="B3309" s="5" t="s">
        <v>9651</v>
      </c>
      <c r="C3309" s="7" t="s">
        <v>12556</v>
      </c>
      <c r="D3309" s="8">
        <f t="shared" si="208"/>
        <v>0</v>
      </c>
      <c r="E3309" s="7" t="s">
        <v>12557</v>
      </c>
      <c r="F3309" s="7">
        <f t="shared" si="209"/>
        <v>0</v>
      </c>
      <c r="G3309" s="7" t="s">
        <v>12558</v>
      </c>
      <c r="H3309" s="7">
        <f t="shared" si="210"/>
        <v>0</v>
      </c>
      <c r="I3309" s="7" cm="1">
        <f t="array" ref="I3309">IFERROR(_xlfn.IFS(M3309="נח",1,M3309="נע ונח",1,M3309="שני שווא נח",2,M3309="שני שוואים בסוף מילה",2,M3309="שני שוואים ברצף",1),"0")</f>
        <v>1</v>
      </c>
      <c r="J3309" s="9">
        <f t="shared" si="211"/>
        <v>2</v>
      </c>
      <c r="K3309" t="s">
        <v>6698</v>
      </c>
      <c r="L3309" t="s">
        <v>6694</v>
      </c>
      <c r="M3309" t="s">
        <v>6705</v>
      </c>
      <c r="P3309" t="s">
        <v>6694</v>
      </c>
      <c r="S3309" t="s">
        <v>6694</v>
      </c>
      <c r="W3309" t="s">
        <v>6720</v>
      </c>
    </row>
    <row r="3310" spans="1:23" ht="15.6" x14ac:dyDescent="0.4">
      <c r="A3310" s="2" t="s">
        <v>5537</v>
      </c>
      <c r="B3310" s="5" t="s">
        <v>9651</v>
      </c>
      <c r="C3310" s="7" t="s">
        <v>12556</v>
      </c>
      <c r="D3310" s="8">
        <f t="shared" si="208"/>
        <v>0</v>
      </c>
      <c r="E3310" s="7" t="s">
        <v>12557</v>
      </c>
      <c r="F3310" s="7">
        <f t="shared" si="209"/>
        <v>0</v>
      </c>
      <c r="G3310" s="7" t="s">
        <v>12558</v>
      </c>
      <c r="H3310" s="7">
        <f t="shared" si="210"/>
        <v>0</v>
      </c>
      <c r="I3310" s="7" cm="1">
        <f t="array" ref="I3310">IFERROR(_xlfn.IFS(M3310="נח",1,M3310="נע ונח",1,M3310="שני שווא נח",2,M3310="שני שוואים בסוף מילה",2,M3310="שני שוואים ברצף",1),"0")</f>
        <v>1</v>
      </c>
      <c r="J3310" s="9">
        <f t="shared" si="211"/>
        <v>2</v>
      </c>
      <c r="K3310" t="s">
        <v>6698</v>
      </c>
      <c r="L3310" t="s">
        <v>6694</v>
      </c>
      <c r="M3310" t="s">
        <v>6705</v>
      </c>
      <c r="N3310" t="s">
        <v>6706</v>
      </c>
      <c r="O3310" t="s">
        <v>6694</v>
      </c>
      <c r="S3310" t="s">
        <v>6694</v>
      </c>
      <c r="W3310" t="s">
        <v>6720</v>
      </c>
    </row>
    <row r="3311" spans="1:23" ht="15.6" x14ac:dyDescent="0.4">
      <c r="A3311" s="2" t="s">
        <v>1942</v>
      </c>
      <c r="B3311" s="5" t="s">
        <v>9652</v>
      </c>
      <c r="C3311" s="7" t="s">
        <v>12556</v>
      </c>
      <c r="D3311" s="8">
        <f t="shared" si="208"/>
        <v>0</v>
      </c>
      <c r="E3311" s="7" t="s">
        <v>12557</v>
      </c>
      <c r="F3311" s="7">
        <f t="shared" si="209"/>
        <v>1</v>
      </c>
      <c r="G3311" s="7" t="s">
        <v>12558</v>
      </c>
      <c r="H3311" s="7">
        <f t="shared" si="210"/>
        <v>0</v>
      </c>
      <c r="I3311" s="7" cm="1">
        <f t="array" ref="I3311">IFERROR(_xlfn.IFS(M3311="נח",1,M3311="נע ונח",1,M3311="שני שווא נח",2,M3311="שני שוואים בסוף מילה",2,M3311="שני שוואים ברצף",1),"0")</f>
        <v>1</v>
      </c>
      <c r="J3311" s="9">
        <f t="shared" si="211"/>
        <v>2</v>
      </c>
      <c r="K3311" t="s">
        <v>6698</v>
      </c>
      <c r="L3311" t="s">
        <v>6694</v>
      </c>
      <c r="M3311" t="s">
        <v>6705</v>
      </c>
      <c r="P3311" t="s">
        <v>6694</v>
      </c>
      <c r="S3311" t="s">
        <v>6694</v>
      </c>
      <c r="W3311" t="s">
        <v>6720</v>
      </c>
    </row>
    <row r="3312" spans="1:23" ht="15.6" x14ac:dyDescent="0.4">
      <c r="A3312" s="2" t="s">
        <v>864</v>
      </c>
      <c r="B3312" s="5" t="s">
        <v>9653</v>
      </c>
      <c r="C3312" s="7" t="s">
        <v>12556</v>
      </c>
      <c r="D3312" s="8">
        <f t="shared" si="208"/>
        <v>0</v>
      </c>
      <c r="E3312" s="7" t="s">
        <v>12557</v>
      </c>
      <c r="F3312" s="7">
        <f t="shared" si="209"/>
        <v>2</v>
      </c>
      <c r="G3312" s="7" t="s">
        <v>12558</v>
      </c>
      <c r="H3312" s="7">
        <f t="shared" si="210"/>
        <v>1</v>
      </c>
      <c r="I3312" s="7" cm="1">
        <f t="array" ref="I3312">IFERROR(_xlfn.IFS(M3312="נח",1,M3312="נע ונח",1,M3312="שני שווא נח",2,M3312="שני שוואים בסוף מילה",2,M3312="שני שוואים ברצף",1),"0")</f>
        <v>1</v>
      </c>
      <c r="J3312" s="9">
        <f t="shared" si="211"/>
        <v>2</v>
      </c>
      <c r="K3312" t="s">
        <v>6697</v>
      </c>
      <c r="L3312" t="s">
        <v>6694</v>
      </c>
      <c r="M3312" t="s">
        <v>6705</v>
      </c>
      <c r="S3312" t="s">
        <v>6694</v>
      </c>
      <c r="U3312" t="s">
        <v>6694</v>
      </c>
      <c r="W3312" t="s">
        <v>6720</v>
      </c>
    </row>
    <row r="3313" spans="1:23" ht="15.6" x14ac:dyDescent="0.4">
      <c r="A3313" s="2" t="s">
        <v>979</v>
      </c>
      <c r="B3313" s="5" t="s">
        <v>9654</v>
      </c>
      <c r="C3313" s="7" t="s">
        <v>12556</v>
      </c>
      <c r="D3313" s="8">
        <f t="shared" si="208"/>
        <v>0</v>
      </c>
      <c r="E3313" s="7" t="s">
        <v>12557</v>
      </c>
      <c r="F3313" s="7">
        <f t="shared" si="209"/>
        <v>1</v>
      </c>
      <c r="G3313" s="7" t="s">
        <v>12558</v>
      </c>
      <c r="H3313" s="7">
        <f t="shared" si="210"/>
        <v>0</v>
      </c>
      <c r="I3313" s="7" t="str" cm="1">
        <f t="array" ref="I3313">IFERROR(_xlfn.IFS(M3313="נח",1,M3313="נע ונח",1,M3313="שני שווא נח",2,M3313="שני שוואים בסוף מילה",2,M3313="שני שוואים ברצף",1),"0")</f>
        <v>0</v>
      </c>
      <c r="J3313" s="9">
        <f t="shared" si="211"/>
        <v>2</v>
      </c>
      <c r="K3313" t="s">
        <v>6698</v>
      </c>
      <c r="L3313" t="s">
        <v>6695</v>
      </c>
      <c r="N3313" t="s">
        <v>6706</v>
      </c>
      <c r="O3313" t="s">
        <v>6694</v>
      </c>
      <c r="S3313" t="s">
        <v>6694</v>
      </c>
      <c r="W3313" t="s">
        <v>6720</v>
      </c>
    </row>
    <row r="3314" spans="1:23" ht="15.6" x14ac:dyDescent="0.4">
      <c r="A3314" s="2" t="s">
        <v>2322</v>
      </c>
      <c r="B3314" s="5" t="s">
        <v>9654</v>
      </c>
      <c r="C3314" s="7" t="s">
        <v>12556</v>
      </c>
      <c r="D3314" s="8">
        <f t="shared" si="208"/>
        <v>0</v>
      </c>
      <c r="E3314" s="7" t="s">
        <v>12557</v>
      </c>
      <c r="F3314" s="7">
        <f t="shared" si="209"/>
        <v>1</v>
      </c>
      <c r="G3314" s="7" t="s">
        <v>12558</v>
      </c>
      <c r="H3314" s="7">
        <f t="shared" si="210"/>
        <v>0</v>
      </c>
      <c r="I3314" s="7" t="str" cm="1">
        <f t="array" ref="I3314">IFERROR(_xlfn.IFS(M3314="נח",1,M3314="נע ונח",1,M3314="שני שווא נח",2,M3314="שני שוואים בסוף מילה",2,M3314="שני שוואים ברצף",1),"0")</f>
        <v>0</v>
      </c>
      <c r="J3314" s="9">
        <f t="shared" si="211"/>
        <v>2</v>
      </c>
      <c r="K3314" t="s">
        <v>6698</v>
      </c>
      <c r="L3314" t="s">
        <v>6695</v>
      </c>
      <c r="S3314" t="s">
        <v>6694</v>
      </c>
      <c r="V3314" t="s">
        <v>6694</v>
      </c>
      <c r="W3314" t="s">
        <v>6720</v>
      </c>
    </row>
    <row r="3315" spans="1:23" ht="15.6" x14ac:dyDescent="0.4">
      <c r="A3315" s="2" t="s">
        <v>3463</v>
      </c>
      <c r="B3315" s="5" t="s">
        <v>9655</v>
      </c>
      <c r="C3315" s="7" t="s">
        <v>12556</v>
      </c>
      <c r="D3315" s="8">
        <f t="shared" si="208"/>
        <v>0</v>
      </c>
      <c r="E3315" s="7" t="s">
        <v>12557</v>
      </c>
      <c r="F3315" s="7">
        <f t="shared" si="209"/>
        <v>1</v>
      </c>
      <c r="G3315" s="7" t="s">
        <v>12558</v>
      </c>
      <c r="H3315" s="7">
        <f t="shared" si="210"/>
        <v>0</v>
      </c>
      <c r="I3315" s="7" cm="1">
        <f t="array" ref="I3315">IFERROR(_xlfn.IFS(M3315="נח",1,M3315="נע ונח",1,M3315="שני שווא נח",2,M3315="שני שוואים בסוף מילה",2,M3315="שני שוואים ברצף",1),"0")</f>
        <v>1</v>
      </c>
      <c r="J3315" s="9">
        <f t="shared" si="211"/>
        <v>2</v>
      </c>
      <c r="K3315" t="s">
        <v>6698</v>
      </c>
      <c r="L3315" t="s">
        <v>6694</v>
      </c>
      <c r="M3315" t="s">
        <v>6705</v>
      </c>
      <c r="S3315" t="s">
        <v>6694</v>
      </c>
      <c r="V3315" t="s">
        <v>6694</v>
      </c>
      <c r="W3315" t="s">
        <v>6720</v>
      </c>
    </row>
    <row r="3316" spans="1:23" ht="15.6" x14ac:dyDescent="0.4">
      <c r="A3316" s="2" t="s">
        <v>5600</v>
      </c>
      <c r="B3316" s="5" t="s">
        <v>9656</v>
      </c>
      <c r="C3316" s="7" t="s">
        <v>12556</v>
      </c>
      <c r="D3316" s="8">
        <f t="shared" si="208"/>
        <v>0</v>
      </c>
      <c r="E3316" s="7" t="s">
        <v>12557</v>
      </c>
      <c r="F3316" s="7">
        <f t="shared" si="209"/>
        <v>1</v>
      </c>
      <c r="G3316" s="7" t="s">
        <v>12558</v>
      </c>
      <c r="H3316" s="7">
        <f t="shared" si="210"/>
        <v>0</v>
      </c>
      <c r="I3316" s="7" cm="1">
        <f t="array" ref="I3316">IFERROR(_xlfn.IFS(M3316="נח",1,M3316="נע ונח",1,M3316="שני שווא נח",2,M3316="שני שוואים בסוף מילה",2,M3316="שני שוואים ברצף",1),"0")</f>
        <v>1</v>
      </c>
      <c r="J3316" s="9">
        <f t="shared" si="211"/>
        <v>2</v>
      </c>
      <c r="K3316" t="s">
        <v>6698</v>
      </c>
      <c r="L3316" t="s">
        <v>6694</v>
      </c>
      <c r="M3316" t="s">
        <v>6705</v>
      </c>
      <c r="P3316" t="s">
        <v>6694</v>
      </c>
      <c r="S3316" t="s">
        <v>6694</v>
      </c>
      <c r="W3316" t="s">
        <v>6720</v>
      </c>
    </row>
    <row r="3317" spans="1:23" ht="15.6" x14ac:dyDescent="0.4">
      <c r="A3317" s="2" t="s">
        <v>2626</v>
      </c>
      <c r="B3317" s="5" t="s">
        <v>9657</v>
      </c>
      <c r="C3317" s="7" t="s">
        <v>12556</v>
      </c>
      <c r="D3317" s="8">
        <f t="shared" si="208"/>
        <v>0</v>
      </c>
      <c r="E3317" s="7" t="s">
        <v>12557</v>
      </c>
      <c r="F3317" s="7">
        <f t="shared" si="209"/>
        <v>1</v>
      </c>
      <c r="G3317" s="7" t="s">
        <v>12558</v>
      </c>
      <c r="H3317" s="7">
        <f t="shared" si="210"/>
        <v>0</v>
      </c>
      <c r="I3317" s="7" cm="1">
        <f t="array" ref="I3317">IFERROR(_xlfn.IFS(M3317="נח",1,M3317="נע ונח",1,M3317="שני שווא נח",2,M3317="שני שוואים בסוף מילה",2,M3317="שני שוואים ברצף",1),"0")</f>
        <v>1</v>
      </c>
      <c r="J3317" s="9">
        <f t="shared" si="211"/>
        <v>4</v>
      </c>
      <c r="K3317" t="s">
        <v>6697</v>
      </c>
      <c r="L3317" t="s">
        <v>6694</v>
      </c>
      <c r="M3317" t="s">
        <v>6702</v>
      </c>
      <c r="Q3317" t="s">
        <v>6694</v>
      </c>
      <c r="S3317" t="s">
        <v>6694</v>
      </c>
      <c r="W3317" t="s">
        <v>6720</v>
      </c>
    </row>
    <row r="3318" spans="1:23" ht="15.6" x14ac:dyDescent="0.4">
      <c r="A3318" s="2" t="s">
        <v>6573</v>
      </c>
      <c r="B3318" s="5" t="s">
        <v>9658</v>
      </c>
      <c r="C3318" s="7" t="s">
        <v>12556</v>
      </c>
      <c r="D3318" s="8">
        <f t="shared" si="208"/>
        <v>0</v>
      </c>
      <c r="E3318" s="7" t="s">
        <v>12557</v>
      </c>
      <c r="F3318" s="7">
        <f t="shared" si="209"/>
        <v>2</v>
      </c>
      <c r="G3318" s="7" t="s">
        <v>12558</v>
      </c>
      <c r="H3318" s="7">
        <f t="shared" si="210"/>
        <v>1</v>
      </c>
      <c r="I3318" s="7" cm="1">
        <f t="array" ref="I3318">IFERROR(_xlfn.IFS(M3318="נח",1,M3318="נע ונח",1,M3318="שני שווא נח",2,M3318="שני שוואים בסוף מילה",2,M3318="שני שוואים ברצף",1),"0")</f>
        <v>1</v>
      </c>
      <c r="J3318" s="9">
        <f t="shared" si="211"/>
        <v>3</v>
      </c>
      <c r="K3318" t="s">
        <v>6697</v>
      </c>
      <c r="L3318" t="s">
        <v>6694</v>
      </c>
      <c r="M3318" t="s">
        <v>6705</v>
      </c>
      <c r="S3318" t="s">
        <v>6694</v>
      </c>
      <c r="U3318" t="s">
        <v>6694</v>
      </c>
      <c r="V3318" t="s">
        <v>6694</v>
      </c>
      <c r="W3318" t="s">
        <v>6720</v>
      </c>
    </row>
    <row r="3319" spans="1:23" ht="15.6" x14ac:dyDescent="0.4">
      <c r="A3319" s="2" t="s">
        <v>4082</v>
      </c>
      <c r="B3319" s="5" t="s">
        <v>9659</v>
      </c>
      <c r="C3319" s="7" t="s">
        <v>12556</v>
      </c>
      <c r="D3319" s="8">
        <f t="shared" si="208"/>
        <v>0</v>
      </c>
      <c r="E3319" s="7" t="s">
        <v>12557</v>
      </c>
      <c r="F3319" s="7">
        <f t="shared" si="209"/>
        <v>2</v>
      </c>
      <c r="G3319" s="7" t="s">
        <v>12558</v>
      </c>
      <c r="H3319" s="7">
        <f t="shared" si="210"/>
        <v>1</v>
      </c>
      <c r="I3319" s="7" cm="1">
        <f t="array" ref="I3319">IFERROR(_xlfn.IFS(M3319="נח",1,M3319="נע ונח",1,M3319="שני שווא נח",2,M3319="שני שוואים בסוף מילה",2,M3319="שני שוואים ברצף",1),"0")</f>
        <v>1</v>
      </c>
      <c r="J3319" s="9">
        <f t="shared" si="211"/>
        <v>3</v>
      </c>
      <c r="K3319" t="s">
        <v>6697</v>
      </c>
      <c r="L3319" t="s">
        <v>6694</v>
      </c>
      <c r="M3319" t="s">
        <v>6705</v>
      </c>
      <c r="S3319" t="s">
        <v>6694</v>
      </c>
      <c r="U3319" t="s">
        <v>6694</v>
      </c>
      <c r="V3319" t="s">
        <v>6694</v>
      </c>
      <c r="W3319" t="s">
        <v>6720</v>
      </c>
    </row>
    <row r="3320" spans="1:23" ht="15.6" x14ac:dyDescent="0.4">
      <c r="A3320" s="2" t="s">
        <v>2843</v>
      </c>
      <c r="B3320" s="5" t="s">
        <v>9660</v>
      </c>
      <c r="C3320" s="7" t="s">
        <v>12556</v>
      </c>
      <c r="D3320" s="8">
        <f t="shared" si="208"/>
        <v>0</v>
      </c>
      <c r="E3320" s="7" t="s">
        <v>12557</v>
      </c>
      <c r="F3320" s="7">
        <f t="shared" si="209"/>
        <v>1</v>
      </c>
      <c r="G3320" s="7" t="s">
        <v>12558</v>
      </c>
      <c r="H3320" s="7">
        <f t="shared" si="210"/>
        <v>1</v>
      </c>
      <c r="I3320" s="7" cm="1">
        <f t="array" ref="I3320">IFERROR(_xlfn.IFS(M3320="נח",1,M3320="נע ונח",1,M3320="שני שווא נח",2,M3320="שני שוואים בסוף מילה",2,M3320="שני שוואים ברצף",1),"0")</f>
        <v>1</v>
      </c>
      <c r="J3320" s="9">
        <f t="shared" si="211"/>
        <v>3</v>
      </c>
      <c r="K3320" t="s">
        <v>6697</v>
      </c>
      <c r="L3320" t="s">
        <v>6694</v>
      </c>
      <c r="M3320" t="s">
        <v>6705</v>
      </c>
      <c r="Q3320" t="s">
        <v>6694</v>
      </c>
      <c r="S3320" t="s">
        <v>6694</v>
      </c>
      <c r="U3320" t="s">
        <v>6694</v>
      </c>
      <c r="W3320" t="s">
        <v>6720</v>
      </c>
    </row>
    <row r="3321" spans="1:23" ht="15.6" x14ac:dyDescent="0.4">
      <c r="A3321" s="2" t="s">
        <v>941</v>
      </c>
      <c r="B3321" s="5" t="s">
        <v>9661</v>
      </c>
      <c r="C3321" s="7" t="s">
        <v>12556</v>
      </c>
      <c r="D3321" s="8">
        <f t="shared" si="208"/>
        <v>0</v>
      </c>
      <c r="E3321" s="7" t="s">
        <v>12557</v>
      </c>
      <c r="F3321" s="7">
        <f t="shared" si="209"/>
        <v>2</v>
      </c>
      <c r="G3321" s="7" t="s">
        <v>12558</v>
      </c>
      <c r="H3321" s="7">
        <f t="shared" si="210"/>
        <v>1</v>
      </c>
      <c r="I3321" s="7" cm="1">
        <f t="array" ref="I3321">IFERROR(_xlfn.IFS(M3321="נח",1,M3321="נע ונח",1,M3321="שני שווא נח",2,M3321="שני שוואים בסוף מילה",2,M3321="שני שוואים ברצף",1),"0")</f>
        <v>1</v>
      </c>
      <c r="J3321" s="9">
        <f t="shared" si="211"/>
        <v>3</v>
      </c>
      <c r="K3321" t="s">
        <v>6697</v>
      </c>
      <c r="L3321" t="s">
        <v>6694</v>
      </c>
      <c r="M3321" t="s">
        <v>6705</v>
      </c>
      <c r="S3321" t="s">
        <v>6694</v>
      </c>
      <c r="U3321" t="s">
        <v>6694</v>
      </c>
      <c r="W3321" t="s">
        <v>6720</v>
      </c>
    </row>
    <row r="3322" spans="1:23" ht="15.6" x14ac:dyDescent="0.4">
      <c r="A3322" s="2" t="s">
        <v>2165</v>
      </c>
      <c r="B3322" s="5" t="s">
        <v>9662</v>
      </c>
      <c r="C3322" s="7" t="s">
        <v>12556</v>
      </c>
      <c r="D3322" s="8">
        <f t="shared" si="208"/>
        <v>0</v>
      </c>
      <c r="E3322" s="7" t="s">
        <v>12557</v>
      </c>
      <c r="F3322" s="7">
        <f t="shared" si="209"/>
        <v>1</v>
      </c>
      <c r="G3322" s="7" t="s">
        <v>12558</v>
      </c>
      <c r="H3322" s="7">
        <f t="shared" si="210"/>
        <v>0</v>
      </c>
      <c r="I3322" s="7" cm="1">
        <f t="array" ref="I3322">IFERROR(_xlfn.IFS(M3322="נח",1,M3322="נע ונח",1,M3322="שני שווא נח",2,M3322="שני שוואים בסוף מילה",2,M3322="שני שוואים ברצף",1),"0")</f>
        <v>1</v>
      </c>
      <c r="J3322" s="9">
        <f t="shared" si="211"/>
        <v>2</v>
      </c>
      <c r="K3322" t="s">
        <v>6698</v>
      </c>
      <c r="L3322" t="s">
        <v>6694</v>
      </c>
      <c r="M3322" t="s">
        <v>6705</v>
      </c>
      <c r="N3322" t="s">
        <v>6706</v>
      </c>
      <c r="O3322" t="s">
        <v>6694</v>
      </c>
      <c r="S3322" t="s">
        <v>6694</v>
      </c>
      <c r="W3322" t="s">
        <v>6720</v>
      </c>
    </row>
    <row r="3323" spans="1:23" ht="15.6" x14ac:dyDescent="0.4">
      <c r="A3323" s="2" t="s">
        <v>2091</v>
      </c>
      <c r="B3323" s="5" t="s">
        <v>9663</v>
      </c>
      <c r="C3323" s="7" t="s">
        <v>12556</v>
      </c>
      <c r="D3323" s="8">
        <f t="shared" si="208"/>
        <v>0</v>
      </c>
      <c r="E3323" s="7" t="s">
        <v>12557</v>
      </c>
      <c r="F3323" s="7">
        <f t="shared" si="209"/>
        <v>1</v>
      </c>
      <c r="G3323" s="7" t="s">
        <v>12558</v>
      </c>
      <c r="H3323" s="7">
        <f t="shared" si="210"/>
        <v>1</v>
      </c>
      <c r="I3323" s="7" cm="1">
        <f t="array" ref="I3323">IFERROR(_xlfn.IFS(M3323="נח",1,M3323="נע ונח",1,M3323="שני שווא נח",2,M3323="שני שוואים בסוף מילה",2,M3323="שני שוואים ברצף",1),"0")</f>
        <v>1</v>
      </c>
      <c r="J3323" s="9">
        <f t="shared" si="211"/>
        <v>3</v>
      </c>
      <c r="K3323" t="s">
        <v>6697</v>
      </c>
      <c r="L3323" t="s">
        <v>6694</v>
      </c>
      <c r="M3323" t="s">
        <v>6702</v>
      </c>
      <c r="S3323" t="s">
        <v>6694</v>
      </c>
      <c r="U3323" t="s">
        <v>6694</v>
      </c>
      <c r="W3323" t="s">
        <v>6720</v>
      </c>
    </row>
    <row r="3324" spans="1:23" ht="15.6" x14ac:dyDescent="0.4">
      <c r="A3324" s="2" t="s">
        <v>2333</v>
      </c>
      <c r="B3324" s="5" t="s">
        <v>9664</v>
      </c>
      <c r="C3324" s="7" t="s">
        <v>12556</v>
      </c>
      <c r="D3324" s="8">
        <f t="shared" si="208"/>
        <v>0</v>
      </c>
      <c r="E3324" s="7" t="s">
        <v>12557</v>
      </c>
      <c r="F3324" s="7">
        <f t="shared" si="209"/>
        <v>0</v>
      </c>
      <c r="G3324" s="7" t="s">
        <v>12558</v>
      </c>
      <c r="H3324" s="7">
        <f t="shared" si="210"/>
        <v>0</v>
      </c>
      <c r="I3324" s="7" cm="1">
        <f t="array" ref="I3324">IFERROR(_xlfn.IFS(M3324="נח",1,M3324="נע ונח",1,M3324="שני שווא נח",2,M3324="שני שוואים בסוף מילה",2,M3324="שני שוואים ברצף",1),"0")</f>
        <v>1</v>
      </c>
      <c r="J3324" s="9">
        <f t="shared" si="211"/>
        <v>2</v>
      </c>
      <c r="K3324" t="s">
        <v>6698</v>
      </c>
      <c r="L3324" t="s">
        <v>6694</v>
      </c>
      <c r="M3324" t="s">
        <v>6705</v>
      </c>
      <c r="P3324" t="s">
        <v>6694</v>
      </c>
      <c r="S3324" t="s">
        <v>6694</v>
      </c>
      <c r="W3324" t="s">
        <v>6720</v>
      </c>
    </row>
    <row r="3325" spans="1:23" ht="15.6" x14ac:dyDescent="0.4">
      <c r="A3325" s="2" t="s">
        <v>5296</v>
      </c>
      <c r="B3325" s="5" t="s">
        <v>9665</v>
      </c>
      <c r="C3325" s="7" t="s">
        <v>12556</v>
      </c>
      <c r="D3325" s="8">
        <f t="shared" si="208"/>
        <v>0</v>
      </c>
      <c r="E3325" s="7" t="s">
        <v>12557</v>
      </c>
      <c r="F3325" s="7">
        <f t="shared" si="209"/>
        <v>0</v>
      </c>
      <c r="G3325" s="7" t="s">
        <v>12558</v>
      </c>
      <c r="H3325" s="7">
        <f t="shared" si="210"/>
        <v>0</v>
      </c>
      <c r="I3325" s="7" cm="1">
        <f t="array" ref="I3325">IFERROR(_xlfn.IFS(M3325="נח",1,M3325="נע ונח",1,M3325="שני שווא נח",2,M3325="שני שוואים בסוף מילה",2,M3325="שני שוואים ברצף",1),"0")</f>
        <v>1</v>
      </c>
      <c r="J3325" s="9">
        <f t="shared" si="211"/>
        <v>2</v>
      </c>
      <c r="K3325" t="s">
        <v>6697</v>
      </c>
      <c r="L3325" t="s">
        <v>6694</v>
      </c>
      <c r="M3325" t="s">
        <v>6705</v>
      </c>
      <c r="O3325" t="s">
        <v>6694</v>
      </c>
      <c r="S3325" t="s">
        <v>6694</v>
      </c>
      <c r="W3325" t="s">
        <v>6720</v>
      </c>
    </row>
    <row r="3326" spans="1:23" ht="15.6" x14ac:dyDescent="0.4">
      <c r="A3326" s="2" t="s">
        <v>2348</v>
      </c>
      <c r="B3326" s="5" t="s">
        <v>9666</v>
      </c>
      <c r="C3326" s="7" t="s">
        <v>12556</v>
      </c>
      <c r="D3326" s="8">
        <f t="shared" si="208"/>
        <v>0</v>
      </c>
      <c r="E3326" s="7" t="s">
        <v>12557</v>
      </c>
      <c r="F3326" s="7">
        <f t="shared" si="209"/>
        <v>0</v>
      </c>
      <c r="G3326" s="7" t="s">
        <v>12558</v>
      </c>
      <c r="H3326" s="7">
        <f t="shared" si="210"/>
        <v>0</v>
      </c>
      <c r="I3326" s="7" cm="1">
        <f t="array" ref="I3326">IFERROR(_xlfn.IFS(M3326="נח",1,M3326="נע ונח",1,M3326="שני שווא נח",2,M3326="שני שוואים בסוף מילה",2,M3326="שני שוואים ברצף",1),"0")</f>
        <v>1</v>
      </c>
      <c r="J3326" s="9">
        <f t="shared" si="211"/>
        <v>4</v>
      </c>
      <c r="K3326" t="s">
        <v>6697</v>
      </c>
      <c r="L3326" t="s">
        <v>6694</v>
      </c>
      <c r="M3326" t="s">
        <v>6705</v>
      </c>
      <c r="O3326" t="s">
        <v>6694</v>
      </c>
      <c r="Q3326" t="s">
        <v>6694</v>
      </c>
      <c r="S3326" t="s">
        <v>6694</v>
      </c>
      <c r="W3326" t="s">
        <v>6720</v>
      </c>
    </row>
    <row r="3327" spans="1:23" ht="15.6" x14ac:dyDescent="0.4">
      <c r="A3327" s="2" t="s">
        <v>6102</v>
      </c>
      <c r="B3327" s="5" t="s">
        <v>9667</v>
      </c>
      <c r="C3327" s="7" t="s">
        <v>12556</v>
      </c>
      <c r="D3327" s="8">
        <f t="shared" si="208"/>
        <v>0</v>
      </c>
      <c r="E3327" s="7" t="s">
        <v>12557</v>
      </c>
      <c r="F3327" s="7">
        <f t="shared" si="209"/>
        <v>1</v>
      </c>
      <c r="G3327" s="7" t="s">
        <v>12558</v>
      </c>
      <c r="H3327" s="7">
        <f t="shared" si="210"/>
        <v>1</v>
      </c>
      <c r="I3327" s="7" cm="1">
        <f t="array" ref="I3327">IFERROR(_xlfn.IFS(M3327="נח",1,M3327="נע ונח",1,M3327="שני שווא נח",2,M3327="שני שוואים בסוף מילה",2,M3327="שני שוואים ברצף",1),"0")</f>
        <v>1</v>
      </c>
      <c r="J3327" s="9">
        <f t="shared" si="211"/>
        <v>3</v>
      </c>
      <c r="K3327" t="s">
        <v>6697</v>
      </c>
      <c r="L3327" t="s">
        <v>6694</v>
      </c>
      <c r="M3327" t="s">
        <v>6705</v>
      </c>
      <c r="O3327" t="s">
        <v>6694</v>
      </c>
      <c r="S3327" t="s">
        <v>6694</v>
      </c>
      <c r="U3327" t="s">
        <v>6694</v>
      </c>
      <c r="W3327" t="s">
        <v>6720</v>
      </c>
    </row>
    <row r="3328" spans="1:23" ht="15.6" x14ac:dyDescent="0.4">
      <c r="A3328" s="2" t="s">
        <v>3863</v>
      </c>
      <c r="B3328" s="5" t="s">
        <v>9668</v>
      </c>
      <c r="C3328" s="7" t="s">
        <v>12556</v>
      </c>
      <c r="D3328" s="8">
        <f t="shared" si="208"/>
        <v>0</v>
      </c>
      <c r="E3328" s="7" t="s">
        <v>12557</v>
      </c>
      <c r="F3328" s="7">
        <f t="shared" si="209"/>
        <v>1</v>
      </c>
      <c r="G3328" s="7" t="s">
        <v>12558</v>
      </c>
      <c r="H3328" s="7">
        <f t="shared" si="210"/>
        <v>0</v>
      </c>
      <c r="I3328" s="7" t="str" cm="1">
        <f t="array" ref="I3328">IFERROR(_xlfn.IFS(M3328="נח",1,M3328="נע ונח",1,M3328="שני שווא נח",2,M3328="שני שוואים בסוף מילה",2,M3328="שני שוואים ברצף",1),"0")</f>
        <v>0</v>
      </c>
      <c r="J3328" s="9">
        <f t="shared" si="211"/>
        <v>2</v>
      </c>
      <c r="K3328" t="s">
        <v>6698</v>
      </c>
      <c r="L3328" t="s">
        <v>6695</v>
      </c>
      <c r="P3328" t="s">
        <v>6694</v>
      </c>
      <c r="S3328" t="s">
        <v>6694</v>
      </c>
      <c r="W3328" t="s">
        <v>6720</v>
      </c>
    </row>
    <row r="3329" spans="1:23" ht="15.6" x14ac:dyDescent="0.4">
      <c r="A3329" s="2" t="s">
        <v>6229</v>
      </c>
      <c r="B3329" s="5" t="s">
        <v>9668</v>
      </c>
      <c r="C3329" s="7" t="s">
        <v>12556</v>
      </c>
      <c r="D3329" s="8">
        <f t="shared" si="208"/>
        <v>0</v>
      </c>
      <c r="E3329" s="7" t="s">
        <v>12557</v>
      </c>
      <c r="F3329" s="7">
        <f t="shared" si="209"/>
        <v>1</v>
      </c>
      <c r="G3329" s="7" t="s">
        <v>12558</v>
      </c>
      <c r="H3329" s="7">
        <f t="shared" si="210"/>
        <v>0</v>
      </c>
      <c r="I3329" s="7" t="str" cm="1">
        <f t="array" ref="I3329">IFERROR(_xlfn.IFS(M3329="נח",1,M3329="נע ונח",1,M3329="שני שווא נח",2,M3329="שני שוואים בסוף מילה",2,M3329="שני שוואים ברצף",1),"0")</f>
        <v>0</v>
      </c>
      <c r="J3329" s="9">
        <f t="shared" si="211"/>
        <v>2</v>
      </c>
      <c r="K3329" t="s">
        <v>6698</v>
      </c>
      <c r="L3329" t="s">
        <v>6695</v>
      </c>
      <c r="N3329" t="s">
        <v>6706</v>
      </c>
      <c r="O3329" t="s">
        <v>6694</v>
      </c>
      <c r="S3329" t="s">
        <v>6694</v>
      </c>
      <c r="W3329" t="s">
        <v>6720</v>
      </c>
    </row>
    <row r="3330" spans="1:23" ht="15.6" x14ac:dyDescent="0.4">
      <c r="A3330" s="2" t="s">
        <v>1967</v>
      </c>
      <c r="B3330" s="5" t="s">
        <v>9669</v>
      </c>
      <c r="C3330" s="7" t="s">
        <v>12556</v>
      </c>
      <c r="D3330" s="8">
        <f t="shared" si="208"/>
        <v>0</v>
      </c>
      <c r="E3330" s="7" t="s">
        <v>12557</v>
      </c>
      <c r="F3330" s="7">
        <f t="shared" si="209"/>
        <v>1</v>
      </c>
      <c r="G3330" s="7" t="s">
        <v>12558</v>
      </c>
      <c r="H3330" s="7">
        <f t="shared" si="210"/>
        <v>0</v>
      </c>
      <c r="I3330" s="7" t="str" cm="1">
        <f t="array" ref="I3330">IFERROR(_xlfn.IFS(M3330="נח",1,M3330="נע ונח",1,M3330="שני שווא נח",2,M3330="שני שוואים בסוף מילה",2,M3330="שני שוואים ברצף",1),"0")</f>
        <v>0</v>
      </c>
      <c r="J3330" s="9">
        <f t="shared" si="211"/>
        <v>4</v>
      </c>
      <c r="K3330" t="s">
        <v>6697</v>
      </c>
      <c r="L3330" t="s">
        <v>6695</v>
      </c>
      <c r="O3330" t="s">
        <v>6694</v>
      </c>
      <c r="Q3330" t="s">
        <v>6694</v>
      </c>
      <c r="S3330" t="s">
        <v>6694</v>
      </c>
      <c r="W3330" t="s">
        <v>6720</v>
      </c>
    </row>
    <row r="3331" spans="1:23" ht="15.6" x14ac:dyDescent="0.4">
      <c r="A3331" s="2" t="s">
        <v>1298</v>
      </c>
      <c r="B3331" s="5" t="s">
        <v>9670</v>
      </c>
      <c r="C3331" s="7" t="s">
        <v>12556</v>
      </c>
      <c r="D3331" s="8">
        <f t="shared" ref="D3331:D3394" si="212">(LEN(B3331)-LEN(SUBSTITUTE(B3331,C3331,"")))</f>
        <v>0</v>
      </c>
      <c r="E3331" s="7" t="s">
        <v>12557</v>
      </c>
      <c r="F3331" s="7">
        <f t="shared" ref="F3331:F3394" si="213">(LEN(A3331)-LEN(SUBSTITUTE(A3331,E3331,"")))</f>
        <v>0</v>
      </c>
      <c r="G3331" s="7" t="s">
        <v>12558</v>
      </c>
      <c r="H3331" s="7">
        <f t="shared" ref="H3331:H3394" si="214">(LEN(A3331)-LEN(SUBSTITUTE(A3331,G3331,"")))/2</f>
        <v>0</v>
      </c>
      <c r="I3331" s="7" cm="1">
        <f t="array" ref="I3331">IFERROR(_xlfn.IFS(M3331="נח",1,M3331="נע ונח",1,M3331="שני שווא נח",2,M3331="שני שוואים בסוף מילה",2,M3331="שני שוואים ברצף",1),"0")</f>
        <v>1</v>
      </c>
      <c r="J3331" s="9">
        <f t="shared" ref="J3331:J3394" si="215">LEN(A3331)-(LEN(B3331))-D3331-F3331+H3331-I3331</f>
        <v>2</v>
      </c>
      <c r="K3331" t="s">
        <v>6698</v>
      </c>
      <c r="L3331" t="s">
        <v>6694</v>
      </c>
      <c r="M3331" t="s">
        <v>6705</v>
      </c>
      <c r="Q3331" t="s">
        <v>6694</v>
      </c>
      <c r="S3331" t="s">
        <v>6694</v>
      </c>
      <c r="W3331" t="s">
        <v>6720</v>
      </c>
    </row>
    <row r="3332" spans="1:23" ht="15.6" x14ac:dyDescent="0.4">
      <c r="A3332" s="2" t="s">
        <v>80</v>
      </c>
      <c r="B3332" s="5" t="s">
        <v>9671</v>
      </c>
      <c r="C3332" s="7" t="s">
        <v>12556</v>
      </c>
      <c r="D3332" s="8">
        <f t="shared" si="212"/>
        <v>0</v>
      </c>
      <c r="E3332" s="7" t="s">
        <v>12557</v>
      </c>
      <c r="F3332" s="7">
        <f t="shared" si="213"/>
        <v>0</v>
      </c>
      <c r="G3332" s="7" t="s">
        <v>12558</v>
      </c>
      <c r="H3332" s="7">
        <f t="shared" si="214"/>
        <v>0</v>
      </c>
      <c r="I3332" s="7" cm="1">
        <f t="array" ref="I3332">IFERROR(_xlfn.IFS(M3332="נח",1,M3332="נע ונח",1,M3332="שני שווא נח",2,M3332="שני שוואים בסוף מילה",2,M3332="שני שוואים ברצף",1),"0")</f>
        <v>1</v>
      </c>
      <c r="J3332" s="9">
        <f t="shared" si="215"/>
        <v>2</v>
      </c>
      <c r="K3332" t="s">
        <v>6697</v>
      </c>
      <c r="L3332" t="s">
        <v>6694</v>
      </c>
      <c r="M3332" t="s">
        <v>6705</v>
      </c>
      <c r="R3332" t="s">
        <v>6694</v>
      </c>
      <c r="S3332" t="s">
        <v>6694</v>
      </c>
      <c r="W3332" t="s">
        <v>6720</v>
      </c>
    </row>
    <row r="3333" spans="1:23" ht="15.6" x14ac:dyDescent="0.4">
      <c r="A3333" s="2" t="s">
        <v>1178</v>
      </c>
      <c r="B3333" s="5" t="s">
        <v>9672</v>
      </c>
      <c r="C3333" s="7" t="s">
        <v>12556</v>
      </c>
      <c r="D3333" s="8">
        <f t="shared" si="212"/>
        <v>0</v>
      </c>
      <c r="E3333" s="7" t="s">
        <v>12557</v>
      </c>
      <c r="F3333" s="7">
        <f t="shared" si="213"/>
        <v>0</v>
      </c>
      <c r="G3333" s="7" t="s">
        <v>12558</v>
      </c>
      <c r="H3333" s="7">
        <f t="shared" si="214"/>
        <v>0</v>
      </c>
      <c r="I3333" s="7" cm="1">
        <f t="array" ref="I3333">IFERROR(_xlfn.IFS(M3333="נח",1,M3333="נע ונח",1,M3333="שני שווא נח",2,M3333="שני שוואים בסוף מילה",2,M3333="שני שוואים ברצף",1),"0")</f>
        <v>1</v>
      </c>
      <c r="J3333" s="9">
        <f t="shared" si="215"/>
        <v>2</v>
      </c>
      <c r="K3333" t="s">
        <v>6698</v>
      </c>
      <c r="L3333" t="s">
        <v>6694</v>
      </c>
      <c r="M3333" t="s">
        <v>6705</v>
      </c>
      <c r="P3333" t="s">
        <v>6694</v>
      </c>
      <c r="S3333" t="s">
        <v>6694</v>
      </c>
      <c r="W3333" t="s">
        <v>6720</v>
      </c>
    </row>
    <row r="3334" spans="1:23" ht="15.6" x14ac:dyDescent="0.4">
      <c r="A3334" s="2" t="s">
        <v>4000</v>
      </c>
      <c r="B3334" s="5" t="s">
        <v>9671</v>
      </c>
      <c r="C3334" s="7" t="s">
        <v>12556</v>
      </c>
      <c r="D3334" s="8">
        <f t="shared" si="212"/>
        <v>0</v>
      </c>
      <c r="E3334" s="7" t="s">
        <v>12557</v>
      </c>
      <c r="F3334" s="7">
        <f t="shared" si="213"/>
        <v>0</v>
      </c>
      <c r="G3334" s="7" t="s">
        <v>12558</v>
      </c>
      <c r="H3334" s="7">
        <f t="shared" si="214"/>
        <v>0</v>
      </c>
      <c r="I3334" s="7" cm="1">
        <f t="array" ref="I3334">IFERROR(_xlfn.IFS(M3334="נח",1,M3334="נע ונח",1,M3334="שני שווא נח",2,M3334="שני שוואים בסוף מילה",2,M3334="שני שוואים ברצף",1),"0")</f>
        <v>1</v>
      </c>
      <c r="J3334" s="9">
        <f t="shared" si="215"/>
        <v>2</v>
      </c>
      <c r="K3334" t="s">
        <v>6697</v>
      </c>
      <c r="L3334" t="s">
        <v>6694</v>
      </c>
      <c r="M3334" t="s">
        <v>6705</v>
      </c>
      <c r="O3334" t="s">
        <v>6694</v>
      </c>
      <c r="S3334" t="s">
        <v>6694</v>
      </c>
      <c r="W3334" t="s">
        <v>6720</v>
      </c>
    </row>
    <row r="3335" spans="1:23" ht="15.6" x14ac:dyDescent="0.4">
      <c r="A3335" s="2" t="s">
        <v>3496</v>
      </c>
      <c r="B3335" s="5" t="s">
        <v>9526</v>
      </c>
      <c r="C3335" s="7" t="s">
        <v>12556</v>
      </c>
      <c r="D3335" s="8">
        <f t="shared" si="212"/>
        <v>0</v>
      </c>
      <c r="E3335" s="7" t="s">
        <v>12557</v>
      </c>
      <c r="F3335" s="7">
        <f t="shared" si="213"/>
        <v>1</v>
      </c>
      <c r="G3335" s="7" t="s">
        <v>12558</v>
      </c>
      <c r="H3335" s="7">
        <f t="shared" si="214"/>
        <v>1</v>
      </c>
      <c r="I3335" s="7" cm="1">
        <f t="array" ref="I3335">IFERROR(_xlfn.IFS(M3335="נח",1,M3335="נע ונח",1,M3335="שני שווא נח",2,M3335="שני שוואים בסוף מילה",2,M3335="שני שוואים ברצף",1),"0")</f>
        <v>1</v>
      </c>
      <c r="J3335" s="9">
        <f t="shared" si="215"/>
        <v>2</v>
      </c>
      <c r="K3335" t="s">
        <v>6697</v>
      </c>
      <c r="L3335" t="s">
        <v>6694</v>
      </c>
      <c r="M3335" t="s">
        <v>6705</v>
      </c>
      <c r="S3335" t="s">
        <v>6694</v>
      </c>
      <c r="U3335" t="s">
        <v>6694</v>
      </c>
      <c r="W3335" t="s">
        <v>6720</v>
      </c>
    </row>
    <row r="3336" spans="1:23" ht="15.6" x14ac:dyDescent="0.4">
      <c r="A3336" s="2" t="s">
        <v>5011</v>
      </c>
      <c r="B3336" s="5" t="s">
        <v>9673</v>
      </c>
      <c r="C3336" s="7" t="s">
        <v>12556</v>
      </c>
      <c r="D3336" s="8">
        <f t="shared" si="212"/>
        <v>0</v>
      </c>
      <c r="E3336" s="7" t="s">
        <v>12557</v>
      </c>
      <c r="F3336" s="7">
        <f t="shared" si="213"/>
        <v>1</v>
      </c>
      <c r="G3336" s="7" t="s">
        <v>12558</v>
      </c>
      <c r="H3336" s="7">
        <f t="shared" si="214"/>
        <v>1</v>
      </c>
      <c r="I3336" s="7" cm="1">
        <f t="array" ref="I3336">IFERROR(_xlfn.IFS(M3336="נח",1,M3336="נע ונח",1,M3336="שני שווא נח",2,M3336="שני שוואים בסוף מילה",2,M3336="שני שוואים ברצף",1),"0")</f>
        <v>1</v>
      </c>
      <c r="J3336" s="9">
        <f t="shared" si="215"/>
        <v>3</v>
      </c>
      <c r="K3336" t="s">
        <v>6697</v>
      </c>
      <c r="L3336" t="s">
        <v>6694</v>
      </c>
      <c r="M3336" t="s">
        <v>6705</v>
      </c>
      <c r="S3336" t="s">
        <v>6694</v>
      </c>
      <c r="U3336" t="s">
        <v>6694</v>
      </c>
      <c r="W3336" t="s">
        <v>6720</v>
      </c>
    </row>
    <row r="3337" spans="1:23" ht="15.6" x14ac:dyDescent="0.4">
      <c r="A3337" s="2" t="s">
        <v>3861</v>
      </c>
      <c r="B3337" s="5" t="s">
        <v>9674</v>
      </c>
      <c r="C3337" s="7" t="s">
        <v>12556</v>
      </c>
      <c r="D3337" s="8">
        <f t="shared" si="212"/>
        <v>0</v>
      </c>
      <c r="E3337" s="7" t="s">
        <v>12557</v>
      </c>
      <c r="F3337" s="7">
        <f t="shared" si="213"/>
        <v>1</v>
      </c>
      <c r="G3337" s="7" t="s">
        <v>12558</v>
      </c>
      <c r="H3337" s="7">
        <f t="shared" si="214"/>
        <v>0</v>
      </c>
      <c r="I3337" s="7" cm="1">
        <f t="array" ref="I3337">IFERROR(_xlfn.IFS(M3337="נח",1,M3337="נע ונח",1,M3337="שני שווא נח",2,M3337="שני שוואים בסוף מילה",2,M3337="שני שוואים ברצף",1),"0")</f>
        <v>1</v>
      </c>
      <c r="J3337" s="9">
        <f t="shared" si="215"/>
        <v>2</v>
      </c>
      <c r="K3337" t="s">
        <v>6697</v>
      </c>
      <c r="L3337" t="s">
        <v>6694</v>
      </c>
      <c r="M3337" t="s">
        <v>6705</v>
      </c>
      <c r="R3337" t="s">
        <v>6694</v>
      </c>
      <c r="S3337" t="s">
        <v>6694</v>
      </c>
      <c r="W3337" t="s">
        <v>6720</v>
      </c>
    </row>
    <row r="3338" spans="1:23" ht="15.6" x14ac:dyDescent="0.4">
      <c r="A3338" s="2" t="s">
        <v>6036</v>
      </c>
      <c r="B3338" s="5" t="s">
        <v>9675</v>
      </c>
      <c r="C3338" s="7" t="s">
        <v>12556</v>
      </c>
      <c r="D3338" s="8">
        <f t="shared" si="212"/>
        <v>0</v>
      </c>
      <c r="E3338" s="7" t="s">
        <v>12557</v>
      </c>
      <c r="F3338" s="7">
        <f t="shared" si="213"/>
        <v>2</v>
      </c>
      <c r="G3338" s="7" t="s">
        <v>12558</v>
      </c>
      <c r="H3338" s="7">
        <f t="shared" si="214"/>
        <v>1</v>
      </c>
      <c r="I3338" s="7" cm="1">
        <f t="array" ref="I3338">IFERROR(_xlfn.IFS(M3338="נח",1,M3338="נע ונח",1,M3338="שני שווא נח",2,M3338="שני שוואים בסוף מילה",2,M3338="שני שוואים ברצף",1),"0")</f>
        <v>1</v>
      </c>
      <c r="J3338" s="9">
        <f t="shared" si="215"/>
        <v>3</v>
      </c>
      <c r="K3338" t="s">
        <v>6698</v>
      </c>
      <c r="L3338" t="s">
        <v>6694</v>
      </c>
      <c r="M3338" t="s">
        <v>6705</v>
      </c>
      <c r="O3338" t="s">
        <v>6694</v>
      </c>
      <c r="S3338" t="s">
        <v>6694</v>
      </c>
      <c r="U3338" t="s">
        <v>6694</v>
      </c>
      <c r="W3338" t="s">
        <v>6720</v>
      </c>
    </row>
    <row r="3339" spans="1:23" ht="15.6" x14ac:dyDescent="0.4">
      <c r="A3339" s="2" t="s">
        <v>3033</v>
      </c>
      <c r="B3339" s="5" t="s">
        <v>9676</v>
      </c>
      <c r="C3339" s="7" t="s">
        <v>12556</v>
      </c>
      <c r="D3339" s="8">
        <f t="shared" si="212"/>
        <v>0</v>
      </c>
      <c r="E3339" s="7" t="s">
        <v>12557</v>
      </c>
      <c r="F3339" s="7">
        <f t="shared" si="213"/>
        <v>2</v>
      </c>
      <c r="G3339" s="7" t="s">
        <v>12558</v>
      </c>
      <c r="H3339" s="7">
        <f t="shared" si="214"/>
        <v>1</v>
      </c>
      <c r="I3339" s="7" cm="1">
        <f t="array" ref="I3339">IFERROR(_xlfn.IFS(M3339="נח",1,M3339="נע ונח",1,M3339="שני שווא נח",2,M3339="שני שוואים בסוף מילה",2,M3339="שני שוואים ברצף",1),"0")</f>
        <v>1</v>
      </c>
      <c r="J3339" s="9">
        <f t="shared" si="215"/>
        <v>2</v>
      </c>
      <c r="K3339" t="s">
        <v>6697</v>
      </c>
      <c r="L3339" t="s">
        <v>6694</v>
      </c>
      <c r="M3339" t="s">
        <v>6705</v>
      </c>
      <c r="S3339" t="s">
        <v>6694</v>
      </c>
      <c r="U3339" t="s">
        <v>6694</v>
      </c>
      <c r="W3339" t="s">
        <v>6720</v>
      </c>
    </row>
    <row r="3340" spans="1:23" ht="15.6" x14ac:dyDescent="0.4">
      <c r="A3340" s="2" t="s">
        <v>5077</v>
      </c>
      <c r="B3340" s="5" t="s">
        <v>9677</v>
      </c>
      <c r="C3340" s="7" t="s">
        <v>12556</v>
      </c>
      <c r="D3340" s="8">
        <f t="shared" si="212"/>
        <v>0</v>
      </c>
      <c r="E3340" s="7" t="s">
        <v>12557</v>
      </c>
      <c r="F3340" s="7">
        <f t="shared" si="213"/>
        <v>2</v>
      </c>
      <c r="G3340" s="7" t="s">
        <v>12558</v>
      </c>
      <c r="H3340" s="7">
        <f t="shared" si="214"/>
        <v>1</v>
      </c>
      <c r="I3340" s="7" cm="1">
        <f t="array" ref="I3340">IFERROR(_xlfn.IFS(M3340="נח",1,M3340="נע ונח",1,M3340="שני שווא נח",2,M3340="שני שוואים בסוף מילה",2,M3340="שני שוואים ברצף",1),"0")</f>
        <v>1</v>
      </c>
      <c r="J3340" s="9">
        <f t="shared" si="215"/>
        <v>2</v>
      </c>
      <c r="K3340" t="s">
        <v>6698</v>
      </c>
      <c r="L3340" t="s">
        <v>6694</v>
      </c>
      <c r="M3340" t="s">
        <v>6705</v>
      </c>
      <c r="S3340" t="s">
        <v>6694</v>
      </c>
      <c r="U3340" t="s">
        <v>6694</v>
      </c>
      <c r="W3340" t="s">
        <v>6720</v>
      </c>
    </row>
    <row r="3341" spans="1:23" ht="15.6" x14ac:dyDescent="0.4">
      <c r="A3341" s="2" t="s">
        <v>2227</v>
      </c>
      <c r="B3341" s="5" t="s">
        <v>9678</v>
      </c>
      <c r="C3341" s="7" t="s">
        <v>12556</v>
      </c>
      <c r="D3341" s="8">
        <f t="shared" si="212"/>
        <v>0</v>
      </c>
      <c r="E3341" s="7" t="s">
        <v>12557</v>
      </c>
      <c r="F3341" s="7">
        <f t="shared" si="213"/>
        <v>2</v>
      </c>
      <c r="G3341" s="7" t="s">
        <v>12558</v>
      </c>
      <c r="H3341" s="7">
        <f t="shared" si="214"/>
        <v>1</v>
      </c>
      <c r="I3341" s="7" cm="1">
        <f t="array" ref="I3341">IFERROR(_xlfn.IFS(M3341="נח",1,M3341="נע ונח",1,M3341="שני שווא נח",2,M3341="שני שוואים בסוף מילה",2,M3341="שני שוואים ברצף",1),"0")</f>
        <v>1</v>
      </c>
      <c r="J3341" s="9">
        <f t="shared" si="215"/>
        <v>3</v>
      </c>
      <c r="K3341" t="s">
        <v>6697</v>
      </c>
      <c r="L3341" t="s">
        <v>6694</v>
      </c>
      <c r="M3341" t="s">
        <v>6702</v>
      </c>
      <c r="S3341" t="s">
        <v>6694</v>
      </c>
      <c r="U3341" t="s">
        <v>6694</v>
      </c>
      <c r="W3341" t="s">
        <v>6720</v>
      </c>
    </row>
    <row r="3342" spans="1:23" ht="15.6" x14ac:dyDescent="0.4">
      <c r="A3342" s="2" t="s">
        <v>2061</v>
      </c>
      <c r="B3342" s="5" t="s">
        <v>9678</v>
      </c>
      <c r="C3342" s="7" t="s">
        <v>12556</v>
      </c>
      <c r="D3342" s="8">
        <f t="shared" si="212"/>
        <v>0</v>
      </c>
      <c r="E3342" s="7" t="s">
        <v>12557</v>
      </c>
      <c r="F3342" s="7">
        <f t="shared" si="213"/>
        <v>2</v>
      </c>
      <c r="G3342" s="7" t="s">
        <v>12558</v>
      </c>
      <c r="H3342" s="7">
        <f t="shared" si="214"/>
        <v>1</v>
      </c>
      <c r="I3342" s="7" cm="1">
        <f t="array" ref="I3342">IFERROR(_xlfn.IFS(M3342="נח",1,M3342="נע ונח",1,M3342="שני שווא נח",2,M3342="שני שוואים בסוף מילה",2,M3342="שני שוואים ברצף",1),"0")</f>
        <v>1</v>
      </c>
      <c r="J3342" s="9">
        <f t="shared" si="215"/>
        <v>3</v>
      </c>
      <c r="K3342" t="s">
        <v>6697</v>
      </c>
      <c r="L3342" t="s">
        <v>6694</v>
      </c>
      <c r="M3342" t="s">
        <v>6705</v>
      </c>
      <c r="O3342" t="s">
        <v>6694</v>
      </c>
      <c r="S3342" t="s">
        <v>6694</v>
      </c>
      <c r="U3342" t="s">
        <v>6694</v>
      </c>
      <c r="W3342" t="s">
        <v>6720</v>
      </c>
    </row>
    <row r="3343" spans="1:23" ht="15.6" x14ac:dyDescent="0.4">
      <c r="A3343" s="2" t="s">
        <v>799</v>
      </c>
      <c r="B3343" s="5" t="s">
        <v>9679</v>
      </c>
      <c r="C3343" s="7" t="s">
        <v>12556</v>
      </c>
      <c r="D3343" s="8">
        <f t="shared" si="212"/>
        <v>0</v>
      </c>
      <c r="E3343" s="7" t="s">
        <v>12557</v>
      </c>
      <c r="F3343" s="7">
        <f t="shared" si="213"/>
        <v>2</v>
      </c>
      <c r="G3343" s="7" t="s">
        <v>12558</v>
      </c>
      <c r="H3343" s="7">
        <f t="shared" si="214"/>
        <v>1</v>
      </c>
      <c r="I3343" s="7" cm="1">
        <f t="array" ref="I3343">IFERROR(_xlfn.IFS(M3343="נח",1,M3343="נע ונח",1,M3343="שני שווא נח",2,M3343="שני שוואים בסוף מילה",2,M3343="שני שוואים ברצף",1),"0")</f>
        <v>1</v>
      </c>
      <c r="J3343" s="9">
        <f t="shared" si="215"/>
        <v>4</v>
      </c>
      <c r="K3343" t="s">
        <v>6697</v>
      </c>
      <c r="L3343" t="s">
        <v>6694</v>
      </c>
      <c r="M3343" t="s">
        <v>6702</v>
      </c>
      <c r="S3343" t="s">
        <v>6694</v>
      </c>
      <c r="U3343" t="s">
        <v>6694</v>
      </c>
      <c r="W3343" t="s">
        <v>6720</v>
      </c>
    </row>
    <row r="3344" spans="1:23" ht="15.6" x14ac:dyDescent="0.4">
      <c r="A3344" s="2" t="s">
        <v>843</v>
      </c>
      <c r="B3344" s="5" t="s">
        <v>9680</v>
      </c>
      <c r="C3344" s="7" t="s">
        <v>12556</v>
      </c>
      <c r="D3344" s="8">
        <f t="shared" si="212"/>
        <v>0</v>
      </c>
      <c r="E3344" s="7" t="s">
        <v>12557</v>
      </c>
      <c r="F3344" s="7">
        <f t="shared" si="213"/>
        <v>0</v>
      </c>
      <c r="G3344" s="7" t="s">
        <v>12558</v>
      </c>
      <c r="H3344" s="7">
        <f t="shared" si="214"/>
        <v>0</v>
      </c>
      <c r="I3344" s="7" cm="1">
        <f t="array" ref="I3344">IFERROR(_xlfn.IFS(M3344="נח",1,M3344="נע ונח",1,M3344="שני שווא נח",2,M3344="שני שוואים בסוף מילה",2,M3344="שני שוואים ברצף",1),"0")</f>
        <v>1</v>
      </c>
      <c r="J3344" s="9">
        <f t="shared" si="215"/>
        <v>3</v>
      </c>
      <c r="K3344" t="s">
        <v>6698</v>
      </c>
      <c r="L3344" t="s">
        <v>6694</v>
      </c>
      <c r="M3344" t="s">
        <v>6702</v>
      </c>
      <c r="S3344" t="s">
        <v>6694</v>
      </c>
      <c r="T3344" t="s">
        <v>6694</v>
      </c>
      <c r="W3344" t="s">
        <v>6720</v>
      </c>
    </row>
    <row r="3345" spans="1:23" ht="15.6" x14ac:dyDescent="0.4">
      <c r="A3345" s="2" t="s">
        <v>4166</v>
      </c>
      <c r="B3345" s="5" t="s">
        <v>9681</v>
      </c>
      <c r="C3345" s="7" t="s">
        <v>12556</v>
      </c>
      <c r="D3345" s="8">
        <f t="shared" si="212"/>
        <v>0</v>
      </c>
      <c r="E3345" s="7" t="s">
        <v>12557</v>
      </c>
      <c r="F3345" s="7">
        <f t="shared" si="213"/>
        <v>0</v>
      </c>
      <c r="G3345" s="7" t="s">
        <v>12558</v>
      </c>
      <c r="H3345" s="7">
        <f t="shared" si="214"/>
        <v>0</v>
      </c>
      <c r="I3345" s="7" cm="1">
        <f t="array" ref="I3345">IFERROR(_xlfn.IFS(M3345="נח",1,M3345="נע ונח",1,M3345="שני שווא נח",2,M3345="שני שוואים בסוף מילה",2,M3345="שני שוואים ברצף",1),"0")</f>
        <v>1</v>
      </c>
      <c r="J3345" s="9">
        <f t="shared" si="215"/>
        <v>2</v>
      </c>
      <c r="K3345" t="s">
        <v>6698</v>
      </c>
      <c r="L3345" t="s">
        <v>6694</v>
      </c>
      <c r="M3345" t="s">
        <v>6705</v>
      </c>
      <c r="P3345" t="s">
        <v>6694</v>
      </c>
      <c r="S3345" t="s">
        <v>6694</v>
      </c>
      <c r="W3345" t="s">
        <v>6720</v>
      </c>
    </row>
    <row r="3346" spans="1:23" ht="15.6" x14ac:dyDescent="0.4">
      <c r="A3346" s="2" t="s">
        <v>4406</v>
      </c>
      <c r="B3346" s="5" t="s">
        <v>9682</v>
      </c>
      <c r="C3346" s="7" t="s">
        <v>12556</v>
      </c>
      <c r="D3346" s="8">
        <f t="shared" si="212"/>
        <v>0</v>
      </c>
      <c r="E3346" s="7" t="s">
        <v>12557</v>
      </c>
      <c r="F3346" s="7">
        <f t="shared" si="213"/>
        <v>1</v>
      </c>
      <c r="G3346" s="7" t="s">
        <v>12558</v>
      </c>
      <c r="H3346" s="7">
        <f t="shared" si="214"/>
        <v>1</v>
      </c>
      <c r="I3346" s="7" cm="1">
        <f t="array" ref="I3346">IFERROR(_xlfn.IFS(M3346="נח",1,M3346="נע ונח",1,M3346="שני שווא נח",2,M3346="שני שוואים בסוף מילה",2,M3346="שני שוואים ברצף",1),"0")</f>
        <v>1</v>
      </c>
      <c r="J3346" s="9">
        <f t="shared" si="215"/>
        <v>3</v>
      </c>
      <c r="K3346" t="s">
        <v>6697</v>
      </c>
      <c r="L3346" t="s">
        <v>6694</v>
      </c>
      <c r="M3346" t="s">
        <v>6705</v>
      </c>
      <c r="P3346" t="s">
        <v>6694</v>
      </c>
      <c r="S3346" t="s">
        <v>6694</v>
      </c>
      <c r="U3346" t="s">
        <v>6694</v>
      </c>
      <c r="W3346" t="s">
        <v>6720</v>
      </c>
    </row>
    <row r="3347" spans="1:23" ht="15.6" x14ac:dyDescent="0.4">
      <c r="A3347" s="2" t="s">
        <v>4405</v>
      </c>
      <c r="B3347" s="5" t="s">
        <v>9683</v>
      </c>
      <c r="C3347" s="7" t="s">
        <v>12556</v>
      </c>
      <c r="D3347" s="8">
        <f t="shared" si="212"/>
        <v>0</v>
      </c>
      <c r="E3347" s="7" t="s">
        <v>12557</v>
      </c>
      <c r="F3347" s="7">
        <f t="shared" si="213"/>
        <v>1</v>
      </c>
      <c r="G3347" s="7" t="s">
        <v>12558</v>
      </c>
      <c r="H3347" s="7">
        <f t="shared" si="214"/>
        <v>1</v>
      </c>
      <c r="I3347" s="7" cm="1">
        <f t="array" ref="I3347">IFERROR(_xlfn.IFS(M3347="נח",1,M3347="נע ונח",1,M3347="שני שווא נח",2,M3347="שני שוואים בסוף מילה",2,M3347="שני שוואים ברצף",1),"0")</f>
        <v>1</v>
      </c>
      <c r="J3347" s="9">
        <f t="shared" si="215"/>
        <v>3</v>
      </c>
      <c r="K3347" t="s">
        <v>6698</v>
      </c>
      <c r="L3347" t="s">
        <v>6694</v>
      </c>
      <c r="M3347" t="s">
        <v>6705</v>
      </c>
      <c r="P3347" t="s">
        <v>6694</v>
      </c>
      <c r="S3347" t="s">
        <v>6694</v>
      </c>
      <c r="U3347" t="s">
        <v>6694</v>
      </c>
      <c r="W3347" t="s">
        <v>6720</v>
      </c>
    </row>
    <row r="3348" spans="1:23" ht="15.6" x14ac:dyDescent="0.4">
      <c r="A3348" s="2" t="s">
        <v>3769</v>
      </c>
      <c r="B3348" s="5" t="s">
        <v>9684</v>
      </c>
      <c r="C3348" s="7" t="s">
        <v>12556</v>
      </c>
      <c r="D3348" s="8">
        <f t="shared" si="212"/>
        <v>1</v>
      </c>
      <c r="E3348" s="7" t="s">
        <v>12557</v>
      </c>
      <c r="F3348" s="7">
        <f t="shared" si="213"/>
        <v>1</v>
      </c>
      <c r="G3348" s="7" t="s">
        <v>12558</v>
      </c>
      <c r="H3348" s="7">
        <f t="shared" si="214"/>
        <v>1</v>
      </c>
      <c r="I3348" s="7" cm="1">
        <f t="array" ref="I3348">IFERROR(_xlfn.IFS(M3348="נח",1,M3348="נע ונח",1,M3348="שני שווא נח",2,M3348="שני שוואים בסוף מילה",2,M3348="שני שוואים ברצף",1),"0")</f>
        <v>1</v>
      </c>
      <c r="J3348" s="9">
        <f t="shared" si="215"/>
        <v>3</v>
      </c>
      <c r="K3348" t="s">
        <v>6697</v>
      </c>
      <c r="L3348" t="s">
        <v>6694</v>
      </c>
      <c r="M3348" t="s">
        <v>6705</v>
      </c>
      <c r="P3348" t="s">
        <v>6694</v>
      </c>
      <c r="S3348" t="s">
        <v>6694</v>
      </c>
      <c r="U3348" t="s">
        <v>6694</v>
      </c>
      <c r="W3348" t="s">
        <v>6720</v>
      </c>
    </row>
    <row r="3349" spans="1:23" ht="15.6" x14ac:dyDescent="0.4">
      <c r="A3349" s="2" t="s">
        <v>3853</v>
      </c>
      <c r="B3349" s="5" t="s">
        <v>9685</v>
      </c>
      <c r="C3349" s="7" t="s">
        <v>12556</v>
      </c>
      <c r="D3349" s="8">
        <f t="shared" si="212"/>
        <v>0</v>
      </c>
      <c r="E3349" s="7" t="s">
        <v>12557</v>
      </c>
      <c r="F3349" s="7">
        <f t="shared" si="213"/>
        <v>0</v>
      </c>
      <c r="G3349" s="7" t="s">
        <v>12558</v>
      </c>
      <c r="H3349" s="7">
        <f t="shared" si="214"/>
        <v>0</v>
      </c>
      <c r="I3349" s="7" cm="1">
        <f t="array" ref="I3349">IFERROR(_xlfn.IFS(M3349="נח",1,M3349="נע ונח",1,M3349="שני שווא נח",2,M3349="שני שוואים בסוף מילה",2,M3349="שני שוואים ברצף",1),"0")</f>
        <v>1</v>
      </c>
      <c r="J3349" s="9">
        <f t="shared" si="215"/>
        <v>2</v>
      </c>
      <c r="K3349" t="s">
        <v>6698</v>
      </c>
      <c r="L3349" t="s">
        <v>6694</v>
      </c>
      <c r="M3349" t="s">
        <v>6705</v>
      </c>
      <c r="Q3349" t="s">
        <v>6694</v>
      </c>
      <c r="S3349" t="s">
        <v>6694</v>
      </c>
      <c r="W3349" t="s">
        <v>6720</v>
      </c>
    </row>
    <row r="3350" spans="1:23" ht="15.6" x14ac:dyDescent="0.4">
      <c r="A3350" s="2" t="s">
        <v>6522</v>
      </c>
      <c r="B3350" s="5" t="s">
        <v>9686</v>
      </c>
      <c r="C3350" s="7" t="s">
        <v>12556</v>
      </c>
      <c r="D3350" s="8">
        <f t="shared" si="212"/>
        <v>0</v>
      </c>
      <c r="E3350" s="7" t="s">
        <v>12557</v>
      </c>
      <c r="F3350" s="7">
        <f t="shared" si="213"/>
        <v>1</v>
      </c>
      <c r="G3350" s="7" t="s">
        <v>12558</v>
      </c>
      <c r="H3350" s="7">
        <f t="shared" si="214"/>
        <v>0</v>
      </c>
      <c r="I3350" s="7" cm="1">
        <f t="array" ref="I3350">IFERROR(_xlfn.IFS(M3350="נח",1,M3350="נע ונח",1,M3350="שני שווא נח",2,M3350="שני שוואים בסוף מילה",2,M3350="שני שוואים ברצף",1),"0")</f>
        <v>1</v>
      </c>
      <c r="J3350" s="9">
        <f t="shared" si="215"/>
        <v>3</v>
      </c>
      <c r="K3350" t="s">
        <v>6697</v>
      </c>
      <c r="L3350" t="s">
        <v>6694</v>
      </c>
      <c r="M3350" t="s">
        <v>6705</v>
      </c>
      <c r="O3350" t="s">
        <v>6694</v>
      </c>
      <c r="R3350" t="s">
        <v>6694</v>
      </c>
      <c r="S3350" t="s">
        <v>6694</v>
      </c>
      <c r="W3350" t="s">
        <v>6720</v>
      </c>
    </row>
    <row r="3351" spans="1:23" ht="15.6" x14ac:dyDescent="0.4">
      <c r="A3351" s="2" t="s">
        <v>5558</v>
      </c>
      <c r="B3351" s="5" t="s">
        <v>9685</v>
      </c>
      <c r="C3351" s="7" t="s">
        <v>12556</v>
      </c>
      <c r="D3351" s="8">
        <f t="shared" si="212"/>
        <v>0</v>
      </c>
      <c r="E3351" s="7" t="s">
        <v>12557</v>
      </c>
      <c r="F3351" s="7">
        <f t="shared" si="213"/>
        <v>0</v>
      </c>
      <c r="G3351" s="7" t="s">
        <v>12558</v>
      </c>
      <c r="H3351" s="7">
        <f t="shared" si="214"/>
        <v>0</v>
      </c>
      <c r="I3351" s="7" cm="1">
        <f t="array" ref="I3351">IFERROR(_xlfn.IFS(M3351="נח",1,M3351="נע ונח",1,M3351="שני שווא נח",2,M3351="שני שוואים בסוף מילה",2,M3351="שני שוואים ברצף",1),"0")</f>
        <v>1</v>
      </c>
      <c r="J3351" s="9">
        <f t="shared" si="215"/>
        <v>2</v>
      </c>
      <c r="K3351" t="s">
        <v>6698</v>
      </c>
      <c r="L3351" t="s">
        <v>6694</v>
      </c>
      <c r="M3351" t="s">
        <v>6705</v>
      </c>
      <c r="P3351" t="s">
        <v>6694</v>
      </c>
      <c r="S3351" t="s">
        <v>6694</v>
      </c>
      <c r="W3351" t="s">
        <v>6720</v>
      </c>
    </row>
    <row r="3352" spans="1:23" ht="15.6" x14ac:dyDescent="0.4">
      <c r="A3352" s="2" t="s">
        <v>3122</v>
      </c>
      <c r="B3352" s="5" t="s">
        <v>9687</v>
      </c>
      <c r="C3352" s="7" t="s">
        <v>12556</v>
      </c>
      <c r="D3352" s="8">
        <f t="shared" si="212"/>
        <v>1</v>
      </c>
      <c r="E3352" s="7" t="s">
        <v>12557</v>
      </c>
      <c r="F3352" s="7">
        <f t="shared" si="213"/>
        <v>0</v>
      </c>
      <c r="G3352" s="7" t="s">
        <v>12558</v>
      </c>
      <c r="H3352" s="7">
        <f t="shared" si="214"/>
        <v>0</v>
      </c>
      <c r="I3352" s="7" cm="1">
        <f t="array" ref="I3352">IFERROR(_xlfn.IFS(M3352="נח",1,M3352="נע ונח",1,M3352="שני שווא נח",2,M3352="שני שוואים בסוף מילה",2,M3352="שני שוואים ברצף",1),"0")</f>
        <v>1</v>
      </c>
      <c r="J3352" s="9">
        <f t="shared" si="215"/>
        <v>2</v>
      </c>
      <c r="K3352" t="s">
        <v>6698</v>
      </c>
      <c r="L3352" t="s">
        <v>6694</v>
      </c>
      <c r="M3352" t="s">
        <v>6705</v>
      </c>
      <c r="P3352" t="s">
        <v>6694</v>
      </c>
      <c r="S3352" t="s">
        <v>6694</v>
      </c>
      <c r="W3352" t="s">
        <v>6720</v>
      </c>
    </row>
    <row r="3353" spans="1:23" ht="15.6" x14ac:dyDescent="0.4">
      <c r="A3353" s="2" t="s">
        <v>6103</v>
      </c>
      <c r="B3353" s="5" t="s">
        <v>9688</v>
      </c>
      <c r="C3353" s="7" t="s">
        <v>12556</v>
      </c>
      <c r="D3353" s="8">
        <f t="shared" si="212"/>
        <v>0</v>
      </c>
      <c r="E3353" s="7" t="s">
        <v>12557</v>
      </c>
      <c r="F3353" s="7">
        <f t="shared" si="213"/>
        <v>0</v>
      </c>
      <c r="G3353" s="7" t="s">
        <v>12558</v>
      </c>
      <c r="H3353" s="7">
        <f t="shared" si="214"/>
        <v>0</v>
      </c>
      <c r="I3353" s="7" cm="1">
        <f t="array" ref="I3353">IFERROR(_xlfn.IFS(M3353="נח",1,M3353="נע ונח",1,M3353="שני שווא נח",2,M3353="שני שוואים בסוף מילה",2,M3353="שני שוואים ברצף",1),"0")</f>
        <v>1</v>
      </c>
      <c r="J3353" s="9">
        <f t="shared" si="215"/>
        <v>2</v>
      </c>
      <c r="K3353" t="s">
        <v>6697</v>
      </c>
      <c r="L3353" t="s">
        <v>6694</v>
      </c>
      <c r="M3353" t="s">
        <v>6705</v>
      </c>
      <c r="R3353" t="s">
        <v>6694</v>
      </c>
      <c r="S3353" t="s">
        <v>6694</v>
      </c>
      <c r="W3353" t="s">
        <v>6720</v>
      </c>
    </row>
    <row r="3354" spans="1:23" ht="15.6" x14ac:dyDescent="0.4">
      <c r="A3354" s="2" t="s">
        <v>3850</v>
      </c>
      <c r="B3354" s="5" t="s">
        <v>9689</v>
      </c>
      <c r="C3354" s="7" t="s">
        <v>12556</v>
      </c>
      <c r="D3354" s="8">
        <f t="shared" si="212"/>
        <v>0</v>
      </c>
      <c r="E3354" s="7" t="s">
        <v>12557</v>
      </c>
      <c r="F3354" s="7">
        <f t="shared" si="213"/>
        <v>1</v>
      </c>
      <c r="G3354" s="7" t="s">
        <v>12558</v>
      </c>
      <c r="H3354" s="7">
        <f t="shared" si="214"/>
        <v>1</v>
      </c>
      <c r="I3354" s="7" cm="1">
        <f t="array" ref="I3354">IFERROR(_xlfn.IFS(M3354="נח",1,M3354="נע ונח",1,M3354="שני שווא נח",2,M3354="שני שוואים בסוף מילה",2,M3354="שני שוואים ברצף",1),"0")</f>
        <v>1</v>
      </c>
      <c r="J3354" s="9">
        <f t="shared" si="215"/>
        <v>2</v>
      </c>
      <c r="K3354" t="s">
        <v>6697</v>
      </c>
      <c r="L3354" t="s">
        <v>6694</v>
      </c>
      <c r="M3354" t="s">
        <v>6705</v>
      </c>
      <c r="S3354" t="s">
        <v>6694</v>
      </c>
      <c r="U3354" t="s">
        <v>6694</v>
      </c>
      <c r="W3354" t="s">
        <v>6720</v>
      </c>
    </row>
    <row r="3355" spans="1:23" ht="15.6" x14ac:dyDescent="0.4">
      <c r="A3355" s="2" t="s">
        <v>5959</v>
      </c>
      <c r="B3355" s="5" t="s">
        <v>9690</v>
      </c>
      <c r="C3355" s="7" t="s">
        <v>12556</v>
      </c>
      <c r="D3355" s="8">
        <f t="shared" si="212"/>
        <v>0</v>
      </c>
      <c r="E3355" s="7" t="s">
        <v>12557</v>
      </c>
      <c r="F3355" s="7">
        <f t="shared" si="213"/>
        <v>1</v>
      </c>
      <c r="G3355" s="7" t="s">
        <v>12558</v>
      </c>
      <c r="H3355" s="7">
        <f t="shared" si="214"/>
        <v>0</v>
      </c>
      <c r="I3355" s="7" t="str" cm="1">
        <f t="array" ref="I3355">IFERROR(_xlfn.IFS(M3355="נח",1,M3355="נע ונח",1,M3355="שני שווא נח",2,M3355="שני שוואים בסוף מילה",2,M3355="שני שוואים ברצף",1),"0")</f>
        <v>0</v>
      </c>
      <c r="J3355" s="9">
        <f t="shared" si="215"/>
        <v>3</v>
      </c>
      <c r="K3355" t="s">
        <v>6698</v>
      </c>
      <c r="L3355" t="s">
        <v>6695</v>
      </c>
      <c r="P3355" t="s">
        <v>6694</v>
      </c>
      <c r="S3355" t="s">
        <v>6694</v>
      </c>
      <c r="V3355" t="s">
        <v>6694</v>
      </c>
      <c r="W3355" t="s">
        <v>6720</v>
      </c>
    </row>
    <row r="3356" spans="1:23" ht="15.6" x14ac:dyDescent="0.4">
      <c r="A3356" s="2" t="s">
        <v>6063</v>
      </c>
      <c r="B3356" s="5" t="s">
        <v>9691</v>
      </c>
      <c r="C3356" s="7" t="s">
        <v>12556</v>
      </c>
      <c r="D3356" s="8">
        <f t="shared" si="212"/>
        <v>1</v>
      </c>
      <c r="E3356" s="7" t="s">
        <v>12557</v>
      </c>
      <c r="F3356" s="7">
        <f t="shared" si="213"/>
        <v>1</v>
      </c>
      <c r="G3356" s="7" t="s">
        <v>12558</v>
      </c>
      <c r="H3356" s="7">
        <f t="shared" si="214"/>
        <v>1</v>
      </c>
      <c r="I3356" s="7" cm="1">
        <f t="array" ref="I3356">IFERROR(_xlfn.IFS(M3356="נח",1,M3356="נע ונח",1,M3356="שני שווא נח",2,M3356="שני שוואים בסוף מילה",2,M3356="שני שוואים ברצף",1),"0")</f>
        <v>1</v>
      </c>
      <c r="J3356" s="9">
        <f t="shared" si="215"/>
        <v>4</v>
      </c>
      <c r="K3356" t="s">
        <v>6697</v>
      </c>
      <c r="L3356" t="s">
        <v>6694</v>
      </c>
      <c r="M3356" t="s">
        <v>6705</v>
      </c>
      <c r="O3356" t="s">
        <v>6694</v>
      </c>
      <c r="S3356" t="s">
        <v>6694</v>
      </c>
      <c r="U3356" t="s">
        <v>6694</v>
      </c>
      <c r="W3356" t="s">
        <v>6720</v>
      </c>
    </row>
    <row r="3357" spans="1:23" ht="15.6" x14ac:dyDescent="0.4">
      <c r="A3357" s="2" t="s">
        <v>666</v>
      </c>
      <c r="B3357" s="5" t="s">
        <v>9692</v>
      </c>
      <c r="C3357" s="7" t="s">
        <v>12556</v>
      </c>
      <c r="D3357" s="8">
        <f t="shared" si="212"/>
        <v>1</v>
      </c>
      <c r="E3357" s="7" t="s">
        <v>12557</v>
      </c>
      <c r="F3357" s="7">
        <f t="shared" si="213"/>
        <v>2</v>
      </c>
      <c r="G3357" s="7" t="s">
        <v>12558</v>
      </c>
      <c r="H3357" s="7">
        <f t="shared" si="214"/>
        <v>1</v>
      </c>
      <c r="I3357" s="7" cm="1">
        <f t="array" ref="I3357">IFERROR(_xlfn.IFS(M3357="נח",1,M3357="נע ונח",1,M3357="שני שווא נח",2,M3357="שני שוואים בסוף מילה",2,M3357="שני שוואים ברצף",1),"0")</f>
        <v>1</v>
      </c>
      <c r="J3357" s="9">
        <f t="shared" si="215"/>
        <v>3</v>
      </c>
      <c r="K3357" t="s">
        <v>6697</v>
      </c>
      <c r="L3357" t="s">
        <v>6694</v>
      </c>
      <c r="M3357" t="s">
        <v>6702</v>
      </c>
      <c r="S3357" t="s">
        <v>6694</v>
      </c>
      <c r="U3357" t="s">
        <v>6694</v>
      </c>
      <c r="W3357" t="s">
        <v>6720</v>
      </c>
    </row>
    <row r="3358" spans="1:23" ht="15.6" x14ac:dyDescent="0.4">
      <c r="A3358" s="2" t="s">
        <v>5755</v>
      </c>
      <c r="B3358" s="5" t="s">
        <v>9693</v>
      </c>
      <c r="C3358" s="7" t="s">
        <v>12556</v>
      </c>
      <c r="D3358" s="8">
        <f t="shared" si="212"/>
        <v>1</v>
      </c>
      <c r="E3358" s="7" t="s">
        <v>12557</v>
      </c>
      <c r="F3358" s="7">
        <f t="shared" si="213"/>
        <v>1</v>
      </c>
      <c r="G3358" s="7" t="s">
        <v>12558</v>
      </c>
      <c r="H3358" s="7">
        <f t="shared" si="214"/>
        <v>1</v>
      </c>
      <c r="I3358" s="7" cm="1">
        <f t="array" ref="I3358">IFERROR(_xlfn.IFS(M3358="נח",1,M3358="נע ונח",1,M3358="שני שווא נח",2,M3358="שני שוואים בסוף מילה",2,M3358="שני שוואים ברצף",1),"0")</f>
        <v>1</v>
      </c>
      <c r="J3358" s="9">
        <f t="shared" si="215"/>
        <v>3</v>
      </c>
      <c r="K3358" t="s">
        <v>6697</v>
      </c>
      <c r="L3358" t="s">
        <v>6694</v>
      </c>
      <c r="M3358" t="s">
        <v>6705</v>
      </c>
      <c r="S3358" t="s">
        <v>6694</v>
      </c>
      <c r="U3358" t="s">
        <v>6694</v>
      </c>
      <c r="V3358" t="s">
        <v>6694</v>
      </c>
      <c r="W3358" t="s">
        <v>6720</v>
      </c>
    </row>
    <row r="3359" spans="1:23" ht="15.6" x14ac:dyDescent="0.4">
      <c r="A3359" s="2" t="s">
        <v>4199</v>
      </c>
      <c r="B3359" s="5" t="s">
        <v>9694</v>
      </c>
      <c r="C3359" s="7" t="s">
        <v>12556</v>
      </c>
      <c r="D3359" s="8">
        <f t="shared" si="212"/>
        <v>1</v>
      </c>
      <c r="E3359" s="7" t="s">
        <v>12557</v>
      </c>
      <c r="F3359" s="7">
        <f t="shared" si="213"/>
        <v>2</v>
      </c>
      <c r="G3359" s="7" t="s">
        <v>12558</v>
      </c>
      <c r="H3359" s="7">
        <f t="shared" si="214"/>
        <v>1</v>
      </c>
      <c r="I3359" s="7" cm="1">
        <f t="array" ref="I3359">IFERROR(_xlfn.IFS(M3359="נח",1,M3359="נע ונח",1,M3359="שני שווא נח",2,M3359="שני שוואים בסוף מילה",2,M3359="שני שוואים ברצף",1),"0")</f>
        <v>1</v>
      </c>
      <c r="J3359" s="9">
        <f t="shared" si="215"/>
        <v>3</v>
      </c>
      <c r="K3359" t="s">
        <v>6697</v>
      </c>
      <c r="L3359" t="s">
        <v>6694</v>
      </c>
      <c r="M3359" t="s">
        <v>6702</v>
      </c>
      <c r="S3359" t="s">
        <v>6694</v>
      </c>
      <c r="U3359" t="s">
        <v>6694</v>
      </c>
      <c r="W3359" t="s">
        <v>6720</v>
      </c>
    </row>
    <row r="3360" spans="1:23" ht="15.6" x14ac:dyDescent="0.4">
      <c r="A3360" s="2" t="s">
        <v>3058</v>
      </c>
      <c r="B3360" s="5" t="s">
        <v>9695</v>
      </c>
      <c r="C3360" s="7" t="s">
        <v>12556</v>
      </c>
      <c r="D3360" s="8">
        <f t="shared" si="212"/>
        <v>1</v>
      </c>
      <c r="E3360" s="7" t="s">
        <v>12557</v>
      </c>
      <c r="F3360" s="7">
        <f t="shared" si="213"/>
        <v>1</v>
      </c>
      <c r="G3360" s="7" t="s">
        <v>12558</v>
      </c>
      <c r="H3360" s="7">
        <f t="shared" si="214"/>
        <v>0</v>
      </c>
      <c r="I3360" s="7" cm="1">
        <f t="array" ref="I3360">IFERROR(_xlfn.IFS(M3360="נח",1,M3360="נע ונח",1,M3360="שני שווא נח",2,M3360="שני שוואים בסוף מילה",2,M3360="שני שוואים ברצף",1),"0")</f>
        <v>1</v>
      </c>
      <c r="J3360" s="9">
        <f t="shared" si="215"/>
        <v>2</v>
      </c>
      <c r="K3360" t="s">
        <v>6698</v>
      </c>
      <c r="L3360" t="s">
        <v>6694</v>
      </c>
      <c r="M3360" t="s">
        <v>6705</v>
      </c>
      <c r="S3360" t="s">
        <v>6694</v>
      </c>
      <c r="V3360" t="s">
        <v>6694</v>
      </c>
      <c r="W3360" t="s">
        <v>6720</v>
      </c>
    </row>
    <row r="3361" spans="1:23" ht="15.6" x14ac:dyDescent="0.4">
      <c r="A3361" s="2" t="s">
        <v>670</v>
      </c>
      <c r="B3361" s="5" t="s">
        <v>9696</v>
      </c>
      <c r="C3361" s="7" t="s">
        <v>12556</v>
      </c>
      <c r="D3361" s="8">
        <f t="shared" si="212"/>
        <v>1</v>
      </c>
      <c r="E3361" s="7" t="s">
        <v>12557</v>
      </c>
      <c r="F3361" s="7">
        <f t="shared" si="213"/>
        <v>1</v>
      </c>
      <c r="G3361" s="7" t="s">
        <v>12558</v>
      </c>
      <c r="H3361" s="7">
        <f t="shared" si="214"/>
        <v>0</v>
      </c>
      <c r="I3361" s="7" cm="1">
        <f t="array" ref="I3361">IFERROR(_xlfn.IFS(M3361="נח",1,M3361="נע ונח",1,M3361="שני שווא נח",2,M3361="שני שוואים בסוף מילה",2,M3361="שני שוואים ברצף",1),"0")</f>
        <v>1</v>
      </c>
      <c r="J3361" s="9">
        <f t="shared" si="215"/>
        <v>2</v>
      </c>
      <c r="K3361" t="s">
        <v>6698</v>
      </c>
      <c r="L3361" t="s">
        <v>6694</v>
      </c>
      <c r="M3361" t="s">
        <v>6705</v>
      </c>
      <c r="S3361" t="s">
        <v>6694</v>
      </c>
      <c r="V3361" t="s">
        <v>6694</v>
      </c>
      <c r="W3361" t="s">
        <v>6720</v>
      </c>
    </row>
    <row r="3362" spans="1:23" ht="15.6" x14ac:dyDescent="0.4">
      <c r="A3362" s="2" t="s">
        <v>1395</v>
      </c>
      <c r="B3362" s="5" t="s">
        <v>9697</v>
      </c>
      <c r="C3362" s="7" t="s">
        <v>12556</v>
      </c>
      <c r="D3362" s="8">
        <f t="shared" si="212"/>
        <v>1</v>
      </c>
      <c r="E3362" s="7" t="s">
        <v>12557</v>
      </c>
      <c r="F3362" s="7">
        <f t="shared" si="213"/>
        <v>0</v>
      </c>
      <c r="G3362" s="7" t="s">
        <v>12558</v>
      </c>
      <c r="H3362" s="7">
        <f t="shared" si="214"/>
        <v>0</v>
      </c>
      <c r="I3362" s="7" cm="1">
        <f t="array" ref="I3362">IFERROR(_xlfn.IFS(M3362="נח",1,M3362="נע ונח",1,M3362="שני שווא נח",2,M3362="שני שוואים בסוף מילה",2,M3362="שני שוואים ברצף",1),"0")</f>
        <v>1</v>
      </c>
      <c r="J3362" s="9">
        <f t="shared" si="215"/>
        <v>2</v>
      </c>
      <c r="K3362" t="s">
        <v>6698</v>
      </c>
      <c r="L3362" t="s">
        <v>6694</v>
      </c>
      <c r="M3362" t="s">
        <v>6705</v>
      </c>
      <c r="P3362" t="s">
        <v>6694</v>
      </c>
      <c r="S3362" t="s">
        <v>6694</v>
      </c>
      <c r="W3362" t="s">
        <v>6720</v>
      </c>
    </row>
    <row r="3363" spans="1:23" ht="15.6" x14ac:dyDescent="0.4">
      <c r="A3363" s="2" t="s">
        <v>2740</v>
      </c>
      <c r="B3363" s="5" t="s">
        <v>9698</v>
      </c>
      <c r="C3363" s="7" t="s">
        <v>12556</v>
      </c>
      <c r="D3363" s="8">
        <f t="shared" si="212"/>
        <v>1</v>
      </c>
      <c r="E3363" s="7" t="s">
        <v>12557</v>
      </c>
      <c r="F3363" s="7">
        <f t="shared" si="213"/>
        <v>1</v>
      </c>
      <c r="G3363" s="7" t="s">
        <v>12558</v>
      </c>
      <c r="H3363" s="7">
        <f t="shared" si="214"/>
        <v>1</v>
      </c>
      <c r="I3363" s="7" cm="1">
        <f t="array" ref="I3363">IFERROR(_xlfn.IFS(M3363="נח",1,M3363="נע ונח",1,M3363="שני שווא נח",2,M3363="שני שוואים בסוף מילה",2,M3363="שני שוואים ברצף",1),"0")</f>
        <v>1</v>
      </c>
      <c r="J3363" s="9">
        <f t="shared" si="215"/>
        <v>3</v>
      </c>
      <c r="K3363" t="s">
        <v>6697</v>
      </c>
      <c r="L3363" t="s">
        <v>6694</v>
      </c>
      <c r="M3363" t="s">
        <v>6702</v>
      </c>
      <c r="S3363" t="s">
        <v>6694</v>
      </c>
      <c r="U3363" t="s">
        <v>6694</v>
      </c>
      <c r="W3363" t="s">
        <v>6720</v>
      </c>
    </row>
    <row r="3364" spans="1:23" ht="15.6" x14ac:dyDescent="0.4">
      <c r="A3364" s="2" t="s">
        <v>3544</v>
      </c>
      <c r="B3364" s="5" t="s">
        <v>9699</v>
      </c>
      <c r="C3364" s="7" t="s">
        <v>12556</v>
      </c>
      <c r="D3364" s="8">
        <f t="shared" si="212"/>
        <v>1</v>
      </c>
      <c r="E3364" s="7" t="s">
        <v>12557</v>
      </c>
      <c r="F3364" s="7">
        <f t="shared" si="213"/>
        <v>1</v>
      </c>
      <c r="G3364" s="7" t="s">
        <v>12558</v>
      </c>
      <c r="H3364" s="7">
        <f t="shared" si="214"/>
        <v>1</v>
      </c>
      <c r="I3364" s="7" cm="1">
        <f t="array" ref="I3364">IFERROR(_xlfn.IFS(M3364="נח",1,M3364="נע ונח",1,M3364="שני שווא נח",2,M3364="שני שוואים בסוף מילה",2,M3364="שני שוואים ברצף",1),"0")</f>
        <v>1</v>
      </c>
      <c r="J3364" s="9">
        <f t="shared" si="215"/>
        <v>4</v>
      </c>
      <c r="K3364" t="s">
        <v>6697</v>
      </c>
      <c r="L3364" t="s">
        <v>6694</v>
      </c>
      <c r="M3364" t="s">
        <v>6702</v>
      </c>
      <c r="Q3364" t="s">
        <v>6694</v>
      </c>
      <c r="S3364" t="s">
        <v>6694</v>
      </c>
      <c r="U3364" t="s">
        <v>6694</v>
      </c>
      <c r="W3364" t="s">
        <v>6720</v>
      </c>
    </row>
    <row r="3365" spans="1:23" ht="15.6" x14ac:dyDescent="0.4">
      <c r="A3365" s="2" t="s">
        <v>323</v>
      </c>
      <c r="B3365" s="5" t="s">
        <v>9700</v>
      </c>
      <c r="C3365" s="7" t="s">
        <v>12556</v>
      </c>
      <c r="D3365" s="8">
        <f t="shared" si="212"/>
        <v>1</v>
      </c>
      <c r="E3365" s="7" t="s">
        <v>12557</v>
      </c>
      <c r="F3365" s="7">
        <f t="shared" si="213"/>
        <v>0</v>
      </c>
      <c r="G3365" s="7" t="s">
        <v>12558</v>
      </c>
      <c r="H3365" s="7">
        <f t="shared" si="214"/>
        <v>0</v>
      </c>
      <c r="I3365" s="7" cm="1">
        <f t="array" ref="I3365">IFERROR(_xlfn.IFS(M3365="נח",1,M3365="נע ונח",1,M3365="שני שווא נח",2,M3365="שני שוואים בסוף מילה",2,M3365="שני שוואים ברצף",1),"0")</f>
        <v>1</v>
      </c>
      <c r="J3365" s="9">
        <f t="shared" si="215"/>
        <v>2</v>
      </c>
      <c r="K3365" t="s">
        <v>6697</v>
      </c>
      <c r="L3365" t="s">
        <v>6694</v>
      </c>
      <c r="M3365" t="s">
        <v>6705</v>
      </c>
      <c r="P3365" t="s">
        <v>6694</v>
      </c>
      <c r="S3365" t="s">
        <v>6694</v>
      </c>
      <c r="W3365" t="s">
        <v>6720</v>
      </c>
    </row>
    <row r="3366" spans="1:23" ht="15.6" x14ac:dyDescent="0.4">
      <c r="A3366" s="2" t="s">
        <v>90</v>
      </c>
      <c r="B3366" s="5" t="s">
        <v>9700</v>
      </c>
      <c r="C3366" s="7" t="s">
        <v>12556</v>
      </c>
      <c r="D3366" s="8">
        <f t="shared" si="212"/>
        <v>1</v>
      </c>
      <c r="E3366" s="7" t="s">
        <v>12557</v>
      </c>
      <c r="F3366" s="7">
        <f t="shared" si="213"/>
        <v>0</v>
      </c>
      <c r="G3366" s="7" t="s">
        <v>12558</v>
      </c>
      <c r="H3366" s="7">
        <f t="shared" si="214"/>
        <v>0</v>
      </c>
      <c r="I3366" s="7" cm="1">
        <f t="array" ref="I3366">IFERROR(_xlfn.IFS(M3366="נח",1,M3366="נע ונח",1,M3366="שני שווא נח",2,M3366="שני שוואים בסוף מילה",2,M3366="שני שוואים ברצף",1),"0")</f>
        <v>1</v>
      </c>
      <c r="J3366" s="9">
        <f t="shared" si="215"/>
        <v>2</v>
      </c>
      <c r="K3366" t="s">
        <v>6697</v>
      </c>
      <c r="L3366" t="s">
        <v>6694</v>
      </c>
      <c r="M3366" t="s">
        <v>6705</v>
      </c>
      <c r="O3366" t="s">
        <v>6694</v>
      </c>
      <c r="S3366" t="s">
        <v>6694</v>
      </c>
      <c r="W3366" t="s">
        <v>6720</v>
      </c>
    </row>
    <row r="3367" spans="1:23" ht="15.6" x14ac:dyDescent="0.4">
      <c r="A3367" s="2" t="s">
        <v>5183</v>
      </c>
      <c r="B3367" s="5" t="s">
        <v>9698</v>
      </c>
      <c r="C3367" s="7" t="s">
        <v>12556</v>
      </c>
      <c r="D3367" s="8">
        <f t="shared" si="212"/>
        <v>1</v>
      </c>
      <c r="E3367" s="7" t="s">
        <v>12557</v>
      </c>
      <c r="F3367" s="7">
        <f t="shared" si="213"/>
        <v>1</v>
      </c>
      <c r="G3367" s="7" t="s">
        <v>12558</v>
      </c>
      <c r="H3367" s="7">
        <f t="shared" si="214"/>
        <v>1</v>
      </c>
      <c r="I3367" s="7" cm="1">
        <f t="array" ref="I3367">IFERROR(_xlfn.IFS(M3367="נח",1,M3367="נע ונח",1,M3367="שני שווא נח",2,M3367="שני שוואים בסוף מילה",2,M3367="שני שוואים ברצף",1),"0")</f>
        <v>1</v>
      </c>
      <c r="J3367" s="9">
        <f t="shared" si="215"/>
        <v>3</v>
      </c>
      <c r="K3367" t="s">
        <v>6697</v>
      </c>
      <c r="L3367" t="s">
        <v>6694</v>
      </c>
      <c r="M3367" t="s">
        <v>6705</v>
      </c>
      <c r="O3367" t="s">
        <v>6694</v>
      </c>
      <c r="S3367" t="s">
        <v>6694</v>
      </c>
      <c r="U3367" t="s">
        <v>6694</v>
      </c>
      <c r="W3367" t="s">
        <v>6720</v>
      </c>
    </row>
    <row r="3368" spans="1:23" ht="15.6" x14ac:dyDescent="0.4">
      <c r="A3368" s="2" t="s">
        <v>4083</v>
      </c>
      <c r="B3368" s="5" t="s">
        <v>9701</v>
      </c>
      <c r="C3368" s="7" t="s">
        <v>12556</v>
      </c>
      <c r="D3368" s="8">
        <f t="shared" si="212"/>
        <v>1</v>
      </c>
      <c r="E3368" s="7" t="s">
        <v>12557</v>
      </c>
      <c r="F3368" s="7">
        <f t="shared" si="213"/>
        <v>1</v>
      </c>
      <c r="G3368" s="7" t="s">
        <v>12558</v>
      </c>
      <c r="H3368" s="7">
        <f t="shared" si="214"/>
        <v>1</v>
      </c>
      <c r="I3368" s="7" cm="1">
        <f t="array" ref="I3368">IFERROR(_xlfn.IFS(M3368="נח",1,M3368="נע ונח",1,M3368="שני שווא נח",2,M3368="שני שוואים בסוף מילה",2,M3368="שני שוואים ברצף",1),"0")</f>
        <v>1</v>
      </c>
      <c r="J3368" s="9">
        <f t="shared" si="215"/>
        <v>3</v>
      </c>
      <c r="K3368" t="s">
        <v>6697</v>
      </c>
      <c r="L3368" t="s">
        <v>6694</v>
      </c>
      <c r="M3368" t="s">
        <v>6705</v>
      </c>
      <c r="S3368" t="s">
        <v>6694</v>
      </c>
      <c r="U3368" t="s">
        <v>6694</v>
      </c>
      <c r="V3368" t="s">
        <v>6694</v>
      </c>
      <c r="W3368" t="s">
        <v>6720</v>
      </c>
    </row>
    <row r="3369" spans="1:23" ht="15.6" x14ac:dyDescent="0.4">
      <c r="A3369" s="2" t="s">
        <v>884</v>
      </c>
      <c r="B3369" s="5" t="s">
        <v>9702</v>
      </c>
      <c r="C3369" s="7" t="s">
        <v>12556</v>
      </c>
      <c r="D3369" s="8">
        <f t="shared" si="212"/>
        <v>1</v>
      </c>
      <c r="E3369" s="7" t="s">
        <v>12557</v>
      </c>
      <c r="F3369" s="7">
        <f t="shared" si="213"/>
        <v>0</v>
      </c>
      <c r="G3369" s="7" t="s">
        <v>12558</v>
      </c>
      <c r="H3369" s="7">
        <f t="shared" si="214"/>
        <v>0</v>
      </c>
      <c r="I3369" s="7" cm="1">
        <f t="array" ref="I3369">IFERROR(_xlfn.IFS(M3369="נח",1,M3369="נע ונח",1,M3369="שני שווא נח",2,M3369="שני שוואים בסוף מילה",2,M3369="שני שוואים ברצף",1),"0")</f>
        <v>1</v>
      </c>
      <c r="J3369" s="9">
        <f t="shared" si="215"/>
        <v>2</v>
      </c>
      <c r="K3369" t="s">
        <v>6697</v>
      </c>
      <c r="L3369" t="s">
        <v>6694</v>
      </c>
      <c r="M3369" t="s">
        <v>6705</v>
      </c>
      <c r="S3369" t="s">
        <v>6694</v>
      </c>
      <c r="W3369" t="s">
        <v>6720</v>
      </c>
    </row>
    <row r="3370" spans="1:23" ht="15.6" x14ac:dyDescent="0.4">
      <c r="A3370" s="2" t="s">
        <v>4371</v>
      </c>
      <c r="B3370" s="5" t="s">
        <v>9703</v>
      </c>
      <c r="C3370" s="7" t="s">
        <v>12556</v>
      </c>
      <c r="D3370" s="8">
        <f t="shared" si="212"/>
        <v>1</v>
      </c>
      <c r="E3370" s="7" t="s">
        <v>12557</v>
      </c>
      <c r="F3370" s="7">
        <f t="shared" si="213"/>
        <v>1</v>
      </c>
      <c r="G3370" s="7" t="s">
        <v>12558</v>
      </c>
      <c r="H3370" s="7">
        <f t="shared" si="214"/>
        <v>1</v>
      </c>
      <c r="I3370" s="7" cm="1">
        <f t="array" ref="I3370">IFERROR(_xlfn.IFS(M3370="נח",1,M3370="נע ונח",1,M3370="שני שווא נח",2,M3370="שני שוואים בסוף מילה",2,M3370="שני שוואים ברצף",1),"0")</f>
        <v>1</v>
      </c>
      <c r="J3370" s="9">
        <f t="shared" si="215"/>
        <v>3</v>
      </c>
      <c r="K3370" t="s">
        <v>6697</v>
      </c>
      <c r="L3370" t="s">
        <v>6694</v>
      </c>
      <c r="M3370" t="s">
        <v>6705</v>
      </c>
      <c r="Q3370" t="s">
        <v>6694</v>
      </c>
      <c r="S3370" t="s">
        <v>6694</v>
      </c>
      <c r="U3370" t="s">
        <v>6694</v>
      </c>
      <c r="W3370" t="s">
        <v>6720</v>
      </c>
    </row>
    <row r="3371" spans="1:23" ht="15.6" x14ac:dyDescent="0.4">
      <c r="A3371" s="2" t="s">
        <v>2054</v>
      </c>
      <c r="B3371" s="5" t="s">
        <v>9704</v>
      </c>
      <c r="C3371" s="7" t="s">
        <v>12556</v>
      </c>
      <c r="D3371" s="8">
        <f t="shared" si="212"/>
        <v>1</v>
      </c>
      <c r="E3371" s="7" t="s">
        <v>12557</v>
      </c>
      <c r="F3371" s="7">
        <f t="shared" si="213"/>
        <v>0</v>
      </c>
      <c r="G3371" s="7" t="s">
        <v>12558</v>
      </c>
      <c r="H3371" s="7">
        <f t="shared" si="214"/>
        <v>0</v>
      </c>
      <c r="I3371" s="7" cm="1">
        <f t="array" ref="I3371">IFERROR(_xlfn.IFS(M3371="נח",1,M3371="נע ונח",1,M3371="שני שווא נח",2,M3371="שני שוואים בסוף מילה",2,M3371="שני שוואים ברצף",1),"0")</f>
        <v>1</v>
      </c>
      <c r="J3371" s="9">
        <f t="shared" si="215"/>
        <v>3</v>
      </c>
      <c r="K3371" t="s">
        <v>6697</v>
      </c>
      <c r="L3371" t="s">
        <v>6694</v>
      </c>
      <c r="M3371" t="s">
        <v>6705</v>
      </c>
      <c r="O3371" t="s">
        <v>6694</v>
      </c>
      <c r="R3371" t="s">
        <v>6694</v>
      </c>
      <c r="S3371" t="s">
        <v>6694</v>
      </c>
      <c r="W3371" t="s">
        <v>6720</v>
      </c>
    </row>
    <row r="3372" spans="1:23" ht="15.6" x14ac:dyDescent="0.4">
      <c r="A3372" s="2" t="s">
        <v>4940</v>
      </c>
      <c r="B3372" s="5" t="s">
        <v>9705</v>
      </c>
      <c r="C3372" s="7" t="s">
        <v>12556</v>
      </c>
      <c r="D3372" s="8">
        <f t="shared" si="212"/>
        <v>1</v>
      </c>
      <c r="E3372" s="7" t="s">
        <v>12557</v>
      </c>
      <c r="F3372" s="7">
        <f t="shared" si="213"/>
        <v>0</v>
      </c>
      <c r="G3372" s="7" t="s">
        <v>12558</v>
      </c>
      <c r="H3372" s="7">
        <f t="shared" si="214"/>
        <v>0</v>
      </c>
      <c r="I3372" s="7" cm="1">
        <f t="array" ref="I3372">IFERROR(_xlfn.IFS(M3372="נח",1,M3372="נע ונח",1,M3372="שני שווא נח",2,M3372="שני שוואים בסוף מילה",2,M3372="שני שוואים ברצף",1),"0")</f>
        <v>1</v>
      </c>
      <c r="J3372" s="9">
        <f t="shared" si="215"/>
        <v>2</v>
      </c>
      <c r="K3372" t="s">
        <v>6697</v>
      </c>
      <c r="L3372" t="s">
        <v>6694</v>
      </c>
      <c r="M3372" t="s">
        <v>6705</v>
      </c>
      <c r="S3372" t="s">
        <v>6694</v>
      </c>
      <c r="V3372" t="s">
        <v>6694</v>
      </c>
      <c r="W3372" t="s">
        <v>6720</v>
      </c>
    </row>
    <row r="3373" spans="1:23" ht="15.6" x14ac:dyDescent="0.4">
      <c r="A3373" s="2" t="s">
        <v>2395</v>
      </c>
      <c r="B3373" s="5" t="s">
        <v>9706</v>
      </c>
      <c r="C3373" s="7" t="s">
        <v>12556</v>
      </c>
      <c r="D3373" s="8">
        <f t="shared" si="212"/>
        <v>1</v>
      </c>
      <c r="E3373" s="7" t="s">
        <v>12557</v>
      </c>
      <c r="F3373" s="7">
        <f t="shared" si="213"/>
        <v>1</v>
      </c>
      <c r="G3373" s="7" t="s">
        <v>12558</v>
      </c>
      <c r="H3373" s="7">
        <f t="shared" si="214"/>
        <v>0</v>
      </c>
      <c r="I3373" s="7" cm="1">
        <f t="array" ref="I3373">IFERROR(_xlfn.IFS(M3373="נח",1,M3373="נע ונח",1,M3373="שני שווא נח",2,M3373="שני שוואים בסוף מילה",2,M3373="שני שוואים ברצף",1),"0")</f>
        <v>1</v>
      </c>
      <c r="J3373" s="9">
        <f t="shared" si="215"/>
        <v>2</v>
      </c>
      <c r="K3373" t="s">
        <v>6698</v>
      </c>
      <c r="L3373" t="s">
        <v>6694</v>
      </c>
      <c r="M3373" t="s">
        <v>6705</v>
      </c>
      <c r="S3373" t="s">
        <v>6694</v>
      </c>
      <c r="V3373" t="s">
        <v>6694</v>
      </c>
      <c r="W3373" t="s">
        <v>6720</v>
      </c>
    </row>
    <row r="3374" spans="1:23" ht="15.6" x14ac:dyDescent="0.4">
      <c r="A3374" s="2" t="s">
        <v>118</v>
      </c>
      <c r="B3374" s="5" t="s">
        <v>9707</v>
      </c>
      <c r="C3374" s="7" t="s">
        <v>12556</v>
      </c>
      <c r="D3374" s="8">
        <f t="shared" si="212"/>
        <v>1</v>
      </c>
      <c r="E3374" s="7" t="s">
        <v>12557</v>
      </c>
      <c r="F3374" s="7">
        <f t="shared" si="213"/>
        <v>0</v>
      </c>
      <c r="G3374" s="7" t="s">
        <v>12558</v>
      </c>
      <c r="H3374" s="7">
        <f t="shared" si="214"/>
        <v>0</v>
      </c>
      <c r="I3374" s="7" cm="1">
        <f t="array" ref="I3374">IFERROR(_xlfn.IFS(M3374="נח",1,M3374="נע ונח",1,M3374="שני שווא נח",2,M3374="שני שוואים בסוף מילה",2,M3374="שני שוואים ברצף",1),"0")</f>
        <v>1</v>
      </c>
      <c r="J3374" s="9">
        <f t="shared" si="215"/>
        <v>2</v>
      </c>
      <c r="K3374" t="s">
        <v>6698</v>
      </c>
      <c r="L3374" t="s">
        <v>6694</v>
      </c>
      <c r="M3374" t="s">
        <v>6705</v>
      </c>
      <c r="Q3374" t="s">
        <v>6694</v>
      </c>
      <c r="S3374" t="s">
        <v>6694</v>
      </c>
      <c r="W3374" t="s">
        <v>6720</v>
      </c>
    </row>
    <row r="3375" spans="1:23" ht="15.6" x14ac:dyDescent="0.4">
      <c r="A3375" s="2" t="s">
        <v>2889</v>
      </c>
      <c r="B3375" s="5" t="s">
        <v>9708</v>
      </c>
      <c r="C3375" s="7" t="s">
        <v>12556</v>
      </c>
      <c r="D3375" s="8">
        <f t="shared" si="212"/>
        <v>1</v>
      </c>
      <c r="E3375" s="7" t="s">
        <v>12557</v>
      </c>
      <c r="F3375" s="7">
        <f t="shared" si="213"/>
        <v>1</v>
      </c>
      <c r="G3375" s="7" t="s">
        <v>12558</v>
      </c>
      <c r="H3375" s="7">
        <f t="shared" si="214"/>
        <v>0</v>
      </c>
      <c r="I3375" s="7" cm="1">
        <f t="array" ref="I3375">IFERROR(_xlfn.IFS(M3375="נח",1,M3375="נע ונח",1,M3375="שני שווא נח",2,M3375="שני שוואים בסוף מילה",2,M3375="שני שוואים ברצף",1),"0")</f>
        <v>1</v>
      </c>
      <c r="J3375" s="9">
        <f t="shared" si="215"/>
        <v>2</v>
      </c>
      <c r="K3375" t="s">
        <v>6697</v>
      </c>
      <c r="L3375" t="s">
        <v>6694</v>
      </c>
      <c r="M3375" t="s">
        <v>6705</v>
      </c>
      <c r="R3375" t="s">
        <v>6694</v>
      </c>
      <c r="S3375" t="s">
        <v>6694</v>
      </c>
      <c r="W3375" t="s">
        <v>6720</v>
      </c>
    </row>
    <row r="3376" spans="1:23" ht="15.6" x14ac:dyDescent="0.4">
      <c r="A3376" s="2" t="s">
        <v>4420</v>
      </c>
      <c r="B3376" s="5" t="s">
        <v>9709</v>
      </c>
      <c r="C3376" s="7" t="s">
        <v>12556</v>
      </c>
      <c r="D3376" s="8">
        <f t="shared" si="212"/>
        <v>1</v>
      </c>
      <c r="E3376" s="7" t="s">
        <v>12557</v>
      </c>
      <c r="F3376" s="7">
        <f t="shared" si="213"/>
        <v>2</v>
      </c>
      <c r="G3376" s="7" t="s">
        <v>12558</v>
      </c>
      <c r="H3376" s="7">
        <f t="shared" si="214"/>
        <v>1</v>
      </c>
      <c r="I3376" s="7" cm="1">
        <f t="array" ref="I3376">IFERROR(_xlfn.IFS(M3376="נח",1,M3376="נע ונח",1,M3376="שני שווא נח",2,M3376="שני שוואים בסוף מילה",2,M3376="שני שוואים ברצף",1),"0")</f>
        <v>1</v>
      </c>
      <c r="J3376" s="9">
        <f t="shared" si="215"/>
        <v>4</v>
      </c>
      <c r="K3376" t="s">
        <v>6697</v>
      </c>
      <c r="L3376" t="s">
        <v>6694</v>
      </c>
      <c r="M3376" t="s">
        <v>6705</v>
      </c>
      <c r="P3376" t="s">
        <v>6694</v>
      </c>
      <c r="S3376" t="s">
        <v>6694</v>
      </c>
      <c r="U3376" t="s">
        <v>6694</v>
      </c>
      <c r="W3376" t="s">
        <v>6720</v>
      </c>
    </row>
    <row r="3377" spans="1:23" ht="15.6" x14ac:dyDescent="0.4">
      <c r="A3377" s="2" t="s">
        <v>1592</v>
      </c>
      <c r="B3377" s="5" t="s">
        <v>9710</v>
      </c>
      <c r="C3377" s="7" t="s">
        <v>12556</v>
      </c>
      <c r="D3377" s="8">
        <f t="shared" si="212"/>
        <v>1</v>
      </c>
      <c r="E3377" s="7" t="s">
        <v>12557</v>
      </c>
      <c r="F3377" s="7">
        <f t="shared" si="213"/>
        <v>2</v>
      </c>
      <c r="G3377" s="7" t="s">
        <v>12558</v>
      </c>
      <c r="H3377" s="7">
        <f t="shared" si="214"/>
        <v>1</v>
      </c>
      <c r="I3377" s="7" cm="1">
        <f t="array" ref="I3377">IFERROR(_xlfn.IFS(M3377="נח",1,M3377="נע ונח",1,M3377="שני שווא נח",2,M3377="שני שוואים בסוף מילה",2,M3377="שני שוואים ברצף",1),"0")</f>
        <v>1</v>
      </c>
      <c r="J3377" s="9">
        <f t="shared" si="215"/>
        <v>3</v>
      </c>
      <c r="K3377" t="s">
        <v>6697</v>
      </c>
      <c r="L3377" t="s">
        <v>6694</v>
      </c>
      <c r="M3377" t="s">
        <v>6705</v>
      </c>
      <c r="S3377" t="s">
        <v>6694</v>
      </c>
      <c r="U3377" t="s">
        <v>6694</v>
      </c>
      <c r="V3377" t="s">
        <v>6694</v>
      </c>
      <c r="W3377" t="s">
        <v>6720</v>
      </c>
    </row>
    <row r="3378" spans="1:23" ht="15.6" x14ac:dyDescent="0.4">
      <c r="A3378" s="2" t="s">
        <v>5609</v>
      </c>
      <c r="B3378" s="5" t="s">
        <v>9711</v>
      </c>
      <c r="C3378" s="7" t="s">
        <v>12556</v>
      </c>
      <c r="D3378" s="8">
        <f t="shared" si="212"/>
        <v>1</v>
      </c>
      <c r="E3378" s="7" t="s">
        <v>12557</v>
      </c>
      <c r="F3378" s="7">
        <f t="shared" si="213"/>
        <v>1</v>
      </c>
      <c r="G3378" s="7" t="s">
        <v>12558</v>
      </c>
      <c r="H3378" s="7">
        <f t="shared" si="214"/>
        <v>0</v>
      </c>
      <c r="I3378" s="7" cm="1">
        <f t="array" ref="I3378">IFERROR(_xlfn.IFS(M3378="נח",1,M3378="נע ונח",1,M3378="שני שווא נח",2,M3378="שני שוואים בסוף מילה",2,M3378="שני שוואים ברצף",1),"0")</f>
        <v>1</v>
      </c>
      <c r="J3378" s="9">
        <f t="shared" si="215"/>
        <v>3</v>
      </c>
      <c r="K3378" t="s">
        <v>6698</v>
      </c>
      <c r="L3378" t="s">
        <v>6694</v>
      </c>
      <c r="M3378" t="s">
        <v>6705</v>
      </c>
      <c r="Q3378" t="s">
        <v>6694</v>
      </c>
      <c r="S3378" t="s">
        <v>6694</v>
      </c>
      <c r="V3378" t="s">
        <v>6694</v>
      </c>
      <c r="W3378" t="s">
        <v>6720</v>
      </c>
    </row>
    <row r="3379" spans="1:23" ht="15.6" x14ac:dyDescent="0.4">
      <c r="A3379" s="2" t="s">
        <v>4681</v>
      </c>
      <c r="B3379" s="5" t="s">
        <v>9712</v>
      </c>
      <c r="C3379" s="7" t="s">
        <v>12556</v>
      </c>
      <c r="D3379" s="8">
        <f t="shared" si="212"/>
        <v>1</v>
      </c>
      <c r="E3379" s="7" t="s">
        <v>12557</v>
      </c>
      <c r="F3379" s="7">
        <f t="shared" si="213"/>
        <v>2</v>
      </c>
      <c r="G3379" s="7" t="s">
        <v>12558</v>
      </c>
      <c r="H3379" s="7">
        <f t="shared" si="214"/>
        <v>1</v>
      </c>
      <c r="I3379" s="7" cm="1">
        <f t="array" ref="I3379">IFERROR(_xlfn.IFS(M3379="נח",1,M3379="נע ונח",1,M3379="שני שווא נח",2,M3379="שני שוואים בסוף מילה",2,M3379="שני שוואים ברצף",1),"0")</f>
        <v>1</v>
      </c>
      <c r="J3379" s="9">
        <f t="shared" si="215"/>
        <v>2</v>
      </c>
      <c r="K3379" t="s">
        <v>6697</v>
      </c>
      <c r="L3379" t="s">
        <v>6694</v>
      </c>
      <c r="M3379" t="s">
        <v>6705</v>
      </c>
      <c r="S3379" t="s">
        <v>6694</v>
      </c>
      <c r="U3379" t="s">
        <v>6694</v>
      </c>
      <c r="W3379" t="s">
        <v>6720</v>
      </c>
    </row>
    <row r="3380" spans="1:23" ht="15.6" x14ac:dyDescent="0.4">
      <c r="A3380" s="2" t="s">
        <v>6315</v>
      </c>
      <c r="B3380" s="5" t="s">
        <v>9713</v>
      </c>
      <c r="C3380" s="7" t="s">
        <v>12556</v>
      </c>
      <c r="D3380" s="8">
        <f t="shared" si="212"/>
        <v>1</v>
      </c>
      <c r="E3380" s="7" t="s">
        <v>12557</v>
      </c>
      <c r="F3380" s="7">
        <f t="shared" si="213"/>
        <v>0</v>
      </c>
      <c r="G3380" s="7" t="s">
        <v>12558</v>
      </c>
      <c r="H3380" s="7">
        <f t="shared" si="214"/>
        <v>0</v>
      </c>
      <c r="I3380" s="7" t="str" cm="1">
        <f t="array" ref="I3380">IFERROR(_xlfn.IFS(M3380="נח",1,M3380="נע ונח",1,M3380="שני שווא נח",2,M3380="שני שוואים בסוף מילה",2,M3380="שני שוואים ברצף",1),"0")</f>
        <v>0</v>
      </c>
      <c r="J3380" s="9">
        <f t="shared" si="215"/>
        <v>2</v>
      </c>
      <c r="K3380" t="s">
        <v>6698</v>
      </c>
      <c r="L3380" t="s">
        <v>6695</v>
      </c>
      <c r="N3380" t="s">
        <v>6706</v>
      </c>
      <c r="O3380" t="s">
        <v>6694</v>
      </c>
      <c r="S3380" t="s">
        <v>6694</v>
      </c>
      <c r="W3380" t="s">
        <v>6720</v>
      </c>
    </row>
    <row r="3381" spans="1:23" ht="15.6" x14ac:dyDescent="0.4">
      <c r="A3381" s="2" t="s">
        <v>2432</v>
      </c>
      <c r="B3381" s="5" t="s">
        <v>9714</v>
      </c>
      <c r="C3381" s="7" t="s">
        <v>12556</v>
      </c>
      <c r="D3381" s="8">
        <f t="shared" si="212"/>
        <v>1</v>
      </c>
      <c r="E3381" s="7" t="s">
        <v>12557</v>
      </c>
      <c r="F3381" s="7">
        <f t="shared" si="213"/>
        <v>1</v>
      </c>
      <c r="G3381" s="7" t="s">
        <v>12558</v>
      </c>
      <c r="H3381" s="7">
        <f t="shared" si="214"/>
        <v>0</v>
      </c>
      <c r="I3381" s="7" t="str" cm="1">
        <f t="array" ref="I3381">IFERROR(_xlfn.IFS(M3381="נח",1,M3381="נע ונח",1,M3381="שני שווא נח",2,M3381="שני שוואים בסוף מילה",2,M3381="שני שוואים ברצף",1),"0")</f>
        <v>0</v>
      </c>
      <c r="J3381" s="9">
        <f t="shared" si="215"/>
        <v>3</v>
      </c>
      <c r="K3381" t="s">
        <v>6698</v>
      </c>
      <c r="L3381" t="s">
        <v>6695</v>
      </c>
      <c r="O3381" t="s">
        <v>6694</v>
      </c>
      <c r="P3381" t="s">
        <v>6694</v>
      </c>
      <c r="S3381" t="s">
        <v>6694</v>
      </c>
      <c r="W3381" t="s">
        <v>6720</v>
      </c>
    </row>
    <row r="3382" spans="1:23" ht="15.6" x14ac:dyDescent="0.4">
      <c r="A3382" s="2" t="s">
        <v>1859</v>
      </c>
      <c r="B3382" s="5" t="s">
        <v>9698</v>
      </c>
      <c r="C3382" s="7" t="s">
        <v>12556</v>
      </c>
      <c r="D3382" s="8">
        <f t="shared" si="212"/>
        <v>1</v>
      </c>
      <c r="E3382" s="7" t="s">
        <v>12557</v>
      </c>
      <c r="F3382" s="7">
        <f t="shared" si="213"/>
        <v>2</v>
      </c>
      <c r="G3382" s="7" t="s">
        <v>12558</v>
      </c>
      <c r="H3382" s="7">
        <f t="shared" si="214"/>
        <v>1</v>
      </c>
      <c r="I3382" s="7" cm="1">
        <f t="array" ref="I3382">IFERROR(_xlfn.IFS(M3382="נח",1,M3382="נע ונח",1,M3382="שני שווא נח",2,M3382="שני שוואים בסוף מילה",2,M3382="שני שוואים ברצף",1),"0")</f>
        <v>1</v>
      </c>
      <c r="J3382" s="9">
        <f t="shared" si="215"/>
        <v>3</v>
      </c>
      <c r="K3382" t="s">
        <v>6697</v>
      </c>
      <c r="L3382" t="s">
        <v>6694</v>
      </c>
      <c r="M3382" t="s">
        <v>6705</v>
      </c>
      <c r="N3382" t="s">
        <v>6706</v>
      </c>
      <c r="O3382" t="s">
        <v>6694</v>
      </c>
      <c r="S3382" t="s">
        <v>6694</v>
      </c>
      <c r="U3382" t="s">
        <v>6694</v>
      </c>
      <c r="W3382" t="s">
        <v>6720</v>
      </c>
    </row>
    <row r="3383" spans="1:23" ht="15.6" x14ac:dyDescent="0.4">
      <c r="A3383" s="2" t="s">
        <v>2438</v>
      </c>
      <c r="B3383" s="5" t="s">
        <v>9715</v>
      </c>
      <c r="C3383" s="7" t="s">
        <v>12556</v>
      </c>
      <c r="D3383" s="8">
        <f t="shared" si="212"/>
        <v>1</v>
      </c>
      <c r="E3383" s="7" t="s">
        <v>12557</v>
      </c>
      <c r="F3383" s="7">
        <f t="shared" si="213"/>
        <v>2</v>
      </c>
      <c r="G3383" s="7" t="s">
        <v>12558</v>
      </c>
      <c r="H3383" s="7">
        <f t="shared" si="214"/>
        <v>1</v>
      </c>
      <c r="I3383" s="7" cm="1">
        <f t="array" ref="I3383">IFERROR(_xlfn.IFS(M3383="נח",1,M3383="נע ונח",1,M3383="שני שווא נח",2,M3383="שני שוואים בסוף מילה",2,M3383="שני שוואים ברצף",1),"0")</f>
        <v>1</v>
      </c>
      <c r="J3383" s="9">
        <f t="shared" si="215"/>
        <v>3</v>
      </c>
      <c r="K3383" t="s">
        <v>6697</v>
      </c>
      <c r="L3383" t="s">
        <v>6694</v>
      </c>
      <c r="M3383" t="s">
        <v>6705</v>
      </c>
      <c r="N3383" t="s">
        <v>6706</v>
      </c>
      <c r="O3383" t="s">
        <v>6694</v>
      </c>
      <c r="S3383" t="s">
        <v>6694</v>
      </c>
      <c r="U3383" t="s">
        <v>6694</v>
      </c>
      <c r="W3383" t="s">
        <v>6720</v>
      </c>
    </row>
    <row r="3384" spans="1:23" ht="15.6" x14ac:dyDescent="0.4">
      <c r="A3384" s="2" t="s">
        <v>2185</v>
      </c>
      <c r="B3384" s="5" t="s">
        <v>9716</v>
      </c>
      <c r="C3384" s="7" t="s">
        <v>12556</v>
      </c>
      <c r="D3384" s="8">
        <f t="shared" si="212"/>
        <v>1</v>
      </c>
      <c r="E3384" s="7" t="s">
        <v>12557</v>
      </c>
      <c r="F3384" s="7">
        <f t="shared" si="213"/>
        <v>1</v>
      </c>
      <c r="G3384" s="7" t="s">
        <v>12558</v>
      </c>
      <c r="H3384" s="7">
        <f t="shared" si="214"/>
        <v>1</v>
      </c>
      <c r="I3384" s="7" cm="1">
        <f t="array" ref="I3384">IFERROR(_xlfn.IFS(M3384="נח",1,M3384="נע ונח",1,M3384="שני שווא נח",2,M3384="שני שוואים בסוף מילה",2,M3384="שני שוואים ברצף",1),"0")</f>
        <v>1</v>
      </c>
      <c r="J3384" s="9">
        <f t="shared" si="215"/>
        <v>2</v>
      </c>
      <c r="K3384" t="s">
        <v>6697</v>
      </c>
      <c r="L3384" t="s">
        <v>6694</v>
      </c>
      <c r="M3384" t="s">
        <v>6705</v>
      </c>
      <c r="S3384" t="s">
        <v>6694</v>
      </c>
      <c r="U3384" t="s">
        <v>6694</v>
      </c>
      <c r="W3384" t="s">
        <v>6720</v>
      </c>
    </row>
    <row r="3385" spans="1:23" ht="15.6" x14ac:dyDescent="0.4">
      <c r="A3385" s="2" t="s">
        <v>694</v>
      </c>
      <c r="B3385" s="5" t="s">
        <v>9717</v>
      </c>
      <c r="C3385" s="7" t="s">
        <v>12556</v>
      </c>
      <c r="D3385" s="8">
        <f t="shared" si="212"/>
        <v>1</v>
      </c>
      <c r="E3385" s="7" t="s">
        <v>12557</v>
      </c>
      <c r="F3385" s="7">
        <f t="shared" si="213"/>
        <v>2</v>
      </c>
      <c r="G3385" s="7" t="s">
        <v>12558</v>
      </c>
      <c r="H3385" s="7">
        <f t="shared" si="214"/>
        <v>1</v>
      </c>
      <c r="I3385" s="7" cm="1">
        <f t="array" ref="I3385">IFERROR(_xlfn.IFS(M3385="נח",1,M3385="נע ונח",1,M3385="שני שווא נח",2,M3385="שני שוואים בסוף מילה",2,M3385="שני שוואים ברצף",1),"0")</f>
        <v>1</v>
      </c>
      <c r="J3385" s="9">
        <f t="shared" si="215"/>
        <v>3</v>
      </c>
      <c r="K3385" t="s">
        <v>6697</v>
      </c>
      <c r="L3385" t="s">
        <v>6694</v>
      </c>
      <c r="M3385" t="s">
        <v>6702</v>
      </c>
      <c r="S3385" t="s">
        <v>6694</v>
      </c>
      <c r="U3385" t="s">
        <v>6694</v>
      </c>
      <c r="W3385" t="s">
        <v>6720</v>
      </c>
    </row>
    <row r="3386" spans="1:23" ht="15.6" x14ac:dyDescent="0.4">
      <c r="A3386" s="2" t="s">
        <v>756</v>
      </c>
      <c r="B3386" s="5" t="s">
        <v>9718</v>
      </c>
      <c r="C3386" s="7" t="s">
        <v>12556</v>
      </c>
      <c r="D3386" s="8">
        <f t="shared" si="212"/>
        <v>1</v>
      </c>
      <c r="E3386" s="7" t="s">
        <v>12557</v>
      </c>
      <c r="F3386" s="7">
        <f t="shared" si="213"/>
        <v>2</v>
      </c>
      <c r="G3386" s="7" t="s">
        <v>12558</v>
      </c>
      <c r="H3386" s="7">
        <f t="shared" si="214"/>
        <v>1</v>
      </c>
      <c r="I3386" s="7" cm="1">
        <f t="array" ref="I3386">IFERROR(_xlfn.IFS(M3386="נח",1,M3386="נע ונח",1,M3386="שני שווא נח",2,M3386="שני שוואים בסוף מילה",2,M3386="שני שוואים ברצף",1),"0")</f>
        <v>1</v>
      </c>
      <c r="J3386" s="9">
        <f t="shared" si="215"/>
        <v>3</v>
      </c>
      <c r="K3386" t="s">
        <v>6698</v>
      </c>
      <c r="L3386" t="s">
        <v>6694</v>
      </c>
      <c r="M3386" t="s">
        <v>6702</v>
      </c>
      <c r="S3386" t="s">
        <v>6694</v>
      </c>
      <c r="U3386" t="s">
        <v>6694</v>
      </c>
      <c r="W3386" t="s">
        <v>6720</v>
      </c>
    </row>
    <row r="3387" spans="1:23" ht="15.6" x14ac:dyDescent="0.4">
      <c r="A3387" s="2" t="s">
        <v>6242</v>
      </c>
      <c r="B3387" s="5" t="s">
        <v>9717</v>
      </c>
      <c r="C3387" s="7" t="s">
        <v>12556</v>
      </c>
      <c r="D3387" s="8">
        <f t="shared" si="212"/>
        <v>1</v>
      </c>
      <c r="E3387" s="7" t="s">
        <v>12557</v>
      </c>
      <c r="F3387" s="7">
        <f t="shared" si="213"/>
        <v>2</v>
      </c>
      <c r="G3387" s="7" t="s">
        <v>12558</v>
      </c>
      <c r="H3387" s="7">
        <f t="shared" si="214"/>
        <v>1</v>
      </c>
      <c r="I3387" s="7" cm="1">
        <f t="array" ref="I3387">IFERROR(_xlfn.IFS(M3387="נח",1,M3387="נע ונח",1,M3387="שני שווא נח",2,M3387="שני שוואים בסוף מילה",2,M3387="שני שוואים ברצף",1),"0")</f>
        <v>1</v>
      </c>
      <c r="J3387" s="9">
        <f t="shared" si="215"/>
        <v>3</v>
      </c>
      <c r="K3387" t="s">
        <v>6697</v>
      </c>
      <c r="L3387" t="s">
        <v>6694</v>
      </c>
      <c r="M3387" t="s">
        <v>6705</v>
      </c>
      <c r="O3387" t="s">
        <v>6694</v>
      </c>
      <c r="S3387" t="s">
        <v>6694</v>
      </c>
      <c r="U3387" t="s">
        <v>6694</v>
      </c>
      <c r="W3387" t="s">
        <v>6720</v>
      </c>
    </row>
    <row r="3388" spans="1:23" ht="15.6" x14ac:dyDescent="0.4">
      <c r="A3388" s="2" t="s">
        <v>6636</v>
      </c>
      <c r="B3388" s="5" t="s">
        <v>9719</v>
      </c>
      <c r="C3388" s="7" t="s">
        <v>12556</v>
      </c>
      <c r="D3388" s="8">
        <f t="shared" si="212"/>
        <v>1</v>
      </c>
      <c r="E3388" s="7" t="s">
        <v>12557</v>
      </c>
      <c r="F3388" s="7">
        <f t="shared" si="213"/>
        <v>1</v>
      </c>
      <c r="G3388" s="7" t="s">
        <v>12558</v>
      </c>
      <c r="H3388" s="7">
        <f t="shared" si="214"/>
        <v>0</v>
      </c>
      <c r="I3388" s="7" cm="1">
        <f t="array" ref="I3388">IFERROR(_xlfn.IFS(M3388="נח",1,M3388="נע ונח",1,M3388="שני שווא נח",2,M3388="שני שוואים בסוף מילה",2,M3388="שני שוואים ברצף",1),"0")</f>
        <v>1</v>
      </c>
      <c r="J3388" s="9">
        <f t="shared" si="215"/>
        <v>2</v>
      </c>
      <c r="K3388" t="s">
        <v>6697</v>
      </c>
      <c r="L3388" t="s">
        <v>6694</v>
      </c>
      <c r="M3388" t="s">
        <v>6705</v>
      </c>
      <c r="R3388" t="s">
        <v>6694</v>
      </c>
      <c r="S3388" t="s">
        <v>6694</v>
      </c>
      <c r="W3388" t="s">
        <v>6720</v>
      </c>
    </row>
    <row r="3389" spans="1:23" ht="15.6" x14ac:dyDescent="0.4">
      <c r="A3389" s="2" t="s">
        <v>2506</v>
      </c>
      <c r="B3389" s="5" t="s">
        <v>9720</v>
      </c>
      <c r="C3389" s="7" t="s">
        <v>12556</v>
      </c>
      <c r="D3389" s="8">
        <f t="shared" si="212"/>
        <v>1</v>
      </c>
      <c r="E3389" s="7" t="s">
        <v>12557</v>
      </c>
      <c r="F3389" s="7">
        <f t="shared" si="213"/>
        <v>0</v>
      </c>
      <c r="G3389" s="7" t="s">
        <v>12558</v>
      </c>
      <c r="H3389" s="7">
        <f t="shared" si="214"/>
        <v>0</v>
      </c>
      <c r="I3389" s="7" cm="1">
        <f t="array" ref="I3389">IFERROR(_xlfn.IFS(M3389="נח",1,M3389="נע ונח",1,M3389="שני שווא נח",2,M3389="שני שוואים בסוף מילה",2,M3389="שני שוואים ברצף",1),"0")</f>
        <v>1</v>
      </c>
      <c r="J3389" s="9">
        <f t="shared" si="215"/>
        <v>2</v>
      </c>
      <c r="K3389" t="s">
        <v>6698</v>
      </c>
      <c r="L3389" t="s">
        <v>6694</v>
      </c>
      <c r="M3389" t="s">
        <v>6705</v>
      </c>
      <c r="P3389" t="s">
        <v>6694</v>
      </c>
      <c r="S3389" t="s">
        <v>6694</v>
      </c>
      <c r="W3389" t="s">
        <v>6720</v>
      </c>
    </row>
    <row r="3390" spans="1:23" ht="15.6" x14ac:dyDescent="0.4">
      <c r="A3390" s="2" t="s">
        <v>2264</v>
      </c>
      <c r="B3390" s="5" t="s">
        <v>9720</v>
      </c>
      <c r="C3390" s="7" t="s">
        <v>12556</v>
      </c>
      <c r="D3390" s="8">
        <f t="shared" si="212"/>
        <v>1</v>
      </c>
      <c r="E3390" s="7" t="s">
        <v>12557</v>
      </c>
      <c r="F3390" s="7">
        <f t="shared" si="213"/>
        <v>0</v>
      </c>
      <c r="G3390" s="7" t="s">
        <v>12558</v>
      </c>
      <c r="H3390" s="7">
        <f t="shared" si="214"/>
        <v>0</v>
      </c>
      <c r="I3390" s="7" cm="1">
        <f t="array" ref="I3390">IFERROR(_xlfn.IFS(M3390="נח",1,M3390="נע ונח",1,M3390="שני שווא נח",2,M3390="שני שוואים בסוף מילה",2,M3390="שני שוואים ברצף",1),"0")</f>
        <v>1</v>
      </c>
      <c r="J3390" s="9">
        <f t="shared" si="215"/>
        <v>2</v>
      </c>
      <c r="K3390" t="s">
        <v>6698</v>
      </c>
      <c r="L3390" t="s">
        <v>6694</v>
      </c>
      <c r="M3390" t="s">
        <v>6705</v>
      </c>
      <c r="N3390" t="s">
        <v>6706</v>
      </c>
      <c r="O3390" t="s">
        <v>6694</v>
      </c>
      <c r="S3390" t="s">
        <v>6694</v>
      </c>
      <c r="W3390" t="s">
        <v>6720</v>
      </c>
    </row>
    <row r="3391" spans="1:23" ht="15.6" x14ac:dyDescent="0.4">
      <c r="A3391" s="2" t="s">
        <v>6421</v>
      </c>
      <c r="B3391" s="5" t="s">
        <v>9721</v>
      </c>
      <c r="C3391" s="7" t="s">
        <v>12556</v>
      </c>
      <c r="D3391" s="8">
        <f t="shared" si="212"/>
        <v>1</v>
      </c>
      <c r="E3391" s="7" t="s">
        <v>12557</v>
      </c>
      <c r="F3391" s="7">
        <f t="shared" si="213"/>
        <v>1</v>
      </c>
      <c r="G3391" s="7" t="s">
        <v>12558</v>
      </c>
      <c r="H3391" s="7">
        <f t="shared" si="214"/>
        <v>1</v>
      </c>
      <c r="I3391" s="7" cm="1">
        <f t="array" ref="I3391">IFERROR(_xlfn.IFS(M3391="נח",1,M3391="נע ונח",1,M3391="שני שווא נח",2,M3391="שני שוואים בסוף מילה",2,M3391="שני שוואים ברצף",1),"0")</f>
        <v>1</v>
      </c>
      <c r="J3391" s="9">
        <f t="shared" si="215"/>
        <v>3</v>
      </c>
      <c r="K3391" t="s">
        <v>6697</v>
      </c>
      <c r="L3391" t="s">
        <v>6694</v>
      </c>
      <c r="M3391" t="s">
        <v>6705</v>
      </c>
      <c r="O3391" t="s">
        <v>6694</v>
      </c>
      <c r="S3391" t="s">
        <v>6694</v>
      </c>
      <c r="U3391" t="s">
        <v>6694</v>
      </c>
      <c r="W3391" t="s">
        <v>6720</v>
      </c>
    </row>
    <row r="3392" spans="1:23" ht="15.6" x14ac:dyDescent="0.4">
      <c r="A3392" s="2" t="s">
        <v>6428</v>
      </c>
      <c r="B3392" s="5" t="s">
        <v>9722</v>
      </c>
      <c r="C3392" s="7" t="s">
        <v>12556</v>
      </c>
      <c r="D3392" s="8">
        <f t="shared" si="212"/>
        <v>1</v>
      </c>
      <c r="E3392" s="7" t="s">
        <v>12557</v>
      </c>
      <c r="F3392" s="7">
        <f t="shared" si="213"/>
        <v>1</v>
      </c>
      <c r="G3392" s="7" t="s">
        <v>12558</v>
      </c>
      <c r="H3392" s="7">
        <f t="shared" si="214"/>
        <v>1</v>
      </c>
      <c r="I3392" s="7" cm="1">
        <f t="array" ref="I3392">IFERROR(_xlfn.IFS(M3392="נח",1,M3392="נע ונח",1,M3392="שני שווא נח",2,M3392="שני שוואים בסוף מילה",2,M3392="שני שוואים ברצף",1),"0")</f>
        <v>1</v>
      </c>
      <c r="J3392" s="9">
        <f t="shared" si="215"/>
        <v>4</v>
      </c>
      <c r="K3392" t="s">
        <v>6697</v>
      </c>
      <c r="L3392" t="s">
        <v>6694</v>
      </c>
      <c r="M3392" t="s">
        <v>6702</v>
      </c>
      <c r="S3392" t="s">
        <v>6694</v>
      </c>
      <c r="U3392" t="s">
        <v>6694</v>
      </c>
      <c r="W3392" t="s">
        <v>6720</v>
      </c>
    </row>
    <row r="3393" spans="1:23" ht="15.6" x14ac:dyDescent="0.4">
      <c r="A3393" s="2" t="s">
        <v>1887</v>
      </c>
      <c r="B3393" s="5" t="s">
        <v>9723</v>
      </c>
      <c r="C3393" s="7" t="s">
        <v>12556</v>
      </c>
      <c r="D3393" s="8">
        <f t="shared" si="212"/>
        <v>1</v>
      </c>
      <c r="E3393" s="7" t="s">
        <v>12557</v>
      </c>
      <c r="F3393" s="7">
        <f t="shared" si="213"/>
        <v>1</v>
      </c>
      <c r="G3393" s="7" t="s">
        <v>12558</v>
      </c>
      <c r="H3393" s="7">
        <f t="shared" si="214"/>
        <v>1</v>
      </c>
      <c r="I3393" s="7" cm="1">
        <f t="array" ref="I3393">IFERROR(_xlfn.IFS(M3393="נח",1,M3393="נע ונח",1,M3393="שני שווא נח",2,M3393="שני שוואים בסוף מילה",2,M3393="שני שוואים ברצף",1),"0")</f>
        <v>1</v>
      </c>
      <c r="J3393" s="9">
        <f t="shared" si="215"/>
        <v>4</v>
      </c>
      <c r="K3393" t="s">
        <v>6697</v>
      </c>
      <c r="L3393" t="s">
        <v>6694</v>
      </c>
      <c r="M3393" t="s">
        <v>6702</v>
      </c>
      <c r="S3393" t="s">
        <v>6694</v>
      </c>
      <c r="U3393" t="s">
        <v>6694</v>
      </c>
      <c r="W3393" t="s">
        <v>6720</v>
      </c>
    </row>
    <row r="3394" spans="1:23" ht="15.6" x14ac:dyDescent="0.4">
      <c r="A3394" s="2" t="s">
        <v>1949</v>
      </c>
      <c r="B3394" s="5" t="s">
        <v>9554</v>
      </c>
      <c r="C3394" s="7" t="s">
        <v>12556</v>
      </c>
      <c r="D3394" s="8">
        <f t="shared" si="212"/>
        <v>1</v>
      </c>
      <c r="E3394" s="7" t="s">
        <v>12557</v>
      </c>
      <c r="F3394" s="7">
        <f t="shared" si="213"/>
        <v>1</v>
      </c>
      <c r="G3394" s="7" t="s">
        <v>12558</v>
      </c>
      <c r="H3394" s="7">
        <f t="shared" si="214"/>
        <v>1</v>
      </c>
      <c r="I3394" s="7" cm="1">
        <f t="array" ref="I3394">IFERROR(_xlfn.IFS(M3394="נח",1,M3394="נע ונח",1,M3394="שני שווא נח",2,M3394="שני שוואים בסוף מילה",2,M3394="שני שוואים ברצף",1),"0")</f>
        <v>1</v>
      </c>
      <c r="J3394" s="9">
        <f t="shared" si="215"/>
        <v>3</v>
      </c>
      <c r="K3394" t="s">
        <v>6697</v>
      </c>
      <c r="L3394" t="s">
        <v>6694</v>
      </c>
      <c r="M3394" t="s">
        <v>6702</v>
      </c>
      <c r="S3394" t="s">
        <v>6694</v>
      </c>
      <c r="U3394" t="s">
        <v>6694</v>
      </c>
      <c r="W3394" t="s">
        <v>6720</v>
      </c>
    </row>
    <row r="3395" spans="1:23" ht="15.6" x14ac:dyDescent="0.4">
      <c r="A3395" s="2" t="s">
        <v>1446</v>
      </c>
      <c r="B3395" s="5" t="s">
        <v>9555</v>
      </c>
      <c r="C3395" s="7" t="s">
        <v>12556</v>
      </c>
      <c r="D3395" s="8">
        <f t="shared" ref="D3395:D3458" si="216">(LEN(B3395)-LEN(SUBSTITUTE(B3395,C3395,"")))</f>
        <v>1</v>
      </c>
      <c r="E3395" s="7" t="s">
        <v>12557</v>
      </c>
      <c r="F3395" s="7">
        <f t="shared" ref="F3395:F3458" si="217">(LEN(A3395)-LEN(SUBSTITUTE(A3395,E3395,"")))</f>
        <v>0</v>
      </c>
      <c r="G3395" s="7" t="s">
        <v>12558</v>
      </c>
      <c r="H3395" s="7">
        <f t="shared" ref="H3395:H3458" si="218">(LEN(A3395)-LEN(SUBSTITUTE(A3395,G3395,"")))/2</f>
        <v>0</v>
      </c>
      <c r="I3395" s="7" cm="1">
        <f t="array" ref="I3395">IFERROR(_xlfn.IFS(M3395="נח",1,M3395="נע ונח",1,M3395="שני שווא נח",2,M3395="שני שוואים בסוף מילה",2,M3395="שני שוואים ברצף",1),"0")</f>
        <v>1</v>
      </c>
      <c r="J3395" s="9">
        <f t="shared" ref="J3395:J3458" si="219">LEN(A3395)-(LEN(B3395))-D3395-F3395+H3395-I3395</f>
        <v>2</v>
      </c>
      <c r="K3395" t="s">
        <v>6698</v>
      </c>
      <c r="L3395" t="s">
        <v>6694</v>
      </c>
      <c r="M3395" t="s">
        <v>6705</v>
      </c>
      <c r="P3395" t="s">
        <v>6694</v>
      </c>
      <c r="S3395" t="s">
        <v>6694</v>
      </c>
      <c r="W3395" t="s">
        <v>6720</v>
      </c>
    </row>
    <row r="3396" spans="1:23" ht="15.6" x14ac:dyDescent="0.4">
      <c r="A3396" s="2" t="s">
        <v>6549</v>
      </c>
      <c r="B3396" s="5" t="s">
        <v>9555</v>
      </c>
      <c r="C3396" s="7" t="s">
        <v>12556</v>
      </c>
      <c r="D3396" s="8">
        <f t="shared" si="216"/>
        <v>1</v>
      </c>
      <c r="E3396" s="7" t="s">
        <v>12557</v>
      </c>
      <c r="F3396" s="7">
        <f t="shared" si="217"/>
        <v>0</v>
      </c>
      <c r="G3396" s="7" t="s">
        <v>12558</v>
      </c>
      <c r="H3396" s="7">
        <f t="shared" si="218"/>
        <v>0</v>
      </c>
      <c r="I3396" s="7" cm="1">
        <f t="array" ref="I3396">IFERROR(_xlfn.IFS(M3396="נח",1,M3396="נע ונח",1,M3396="שני שווא נח",2,M3396="שני שוואים בסוף מילה",2,M3396="שני שוואים ברצף",1),"0")</f>
        <v>1</v>
      </c>
      <c r="J3396" s="9">
        <f t="shared" si="219"/>
        <v>2</v>
      </c>
      <c r="K3396" t="s">
        <v>6698</v>
      </c>
      <c r="L3396" t="s">
        <v>6694</v>
      </c>
      <c r="M3396" t="s">
        <v>6705</v>
      </c>
      <c r="N3396" t="s">
        <v>6706</v>
      </c>
      <c r="O3396" t="s">
        <v>6694</v>
      </c>
      <c r="S3396" t="s">
        <v>6694</v>
      </c>
      <c r="W3396" t="s">
        <v>6720</v>
      </c>
    </row>
    <row r="3397" spans="1:23" ht="15.6" x14ac:dyDescent="0.4">
      <c r="A3397" s="2" t="s">
        <v>6450</v>
      </c>
      <c r="B3397" s="5" t="s">
        <v>9724</v>
      </c>
      <c r="C3397" s="7" t="s">
        <v>12556</v>
      </c>
      <c r="D3397" s="8">
        <f t="shared" si="216"/>
        <v>1</v>
      </c>
      <c r="E3397" s="7" t="s">
        <v>12557</v>
      </c>
      <c r="F3397" s="7">
        <f t="shared" si="217"/>
        <v>2</v>
      </c>
      <c r="G3397" s="7" t="s">
        <v>12558</v>
      </c>
      <c r="H3397" s="7">
        <f t="shared" si="218"/>
        <v>1</v>
      </c>
      <c r="I3397" s="7" cm="1">
        <f t="array" ref="I3397">IFERROR(_xlfn.IFS(M3397="נח",1,M3397="נע ונח",1,M3397="שני שווא נח",2,M3397="שני שוואים בסוף מילה",2,M3397="שני שוואים ברצף",1),"0")</f>
        <v>1</v>
      </c>
      <c r="J3397" s="9">
        <f t="shared" si="219"/>
        <v>4</v>
      </c>
      <c r="K3397" t="s">
        <v>6697</v>
      </c>
      <c r="L3397" t="s">
        <v>6694</v>
      </c>
      <c r="M3397" t="s">
        <v>6705</v>
      </c>
      <c r="O3397" t="s">
        <v>6694</v>
      </c>
      <c r="R3397" t="s">
        <v>6694</v>
      </c>
      <c r="S3397" t="s">
        <v>6694</v>
      </c>
      <c r="U3397" t="s">
        <v>6694</v>
      </c>
      <c r="W3397" t="s">
        <v>6720</v>
      </c>
    </row>
    <row r="3398" spans="1:23" ht="15.6" x14ac:dyDescent="0.4">
      <c r="A3398" s="2" t="s">
        <v>559</v>
      </c>
      <c r="B3398" s="5" t="s">
        <v>9725</v>
      </c>
      <c r="C3398" s="7" t="s">
        <v>12556</v>
      </c>
      <c r="D3398" s="8">
        <f t="shared" si="216"/>
        <v>1</v>
      </c>
      <c r="E3398" s="7" t="s">
        <v>12557</v>
      </c>
      <c r="F3398" s="7">
        <f t="shared" si="217"/>
        <v>0</v>
      </c>
      <c r="G3398" s="7" t="s">
        <v>12558</v>
      </c>
      <c r="H3398" s="7">
        <f t="shared" si="218"/>
        <v>0</v>
      </c>
      <c r="I3398" s="7" cm="1">
        <f t="array" ref="I3398">IFERROR(_xlfn.IFS(M3398="נח",1,M3398="נע ונח",1,M3398="שני שווא נח",2,M3398="שני שוואים בסוף מילה",2,M3398="שני שוואים ברצף",1),"0")</f>
        <v>1</v>
      </c>
      <c r="J3398" s="9">
        <f t="shared" si="219"/>
        <v>3</v>
      </c>
      <c r="K3398" t="s">
        <v>6698</v>
      </c>
      <c r="L3398" t="s">
        <v>6694</v>
      </c>
      <c r="M3398" t="s">
        <v>6705</v>
      </c>
      <c r="O3398" t="s">
        <v>6694</v>
      </c>
      <c r="Q3398" t="s">
        <v>6694</v>
      </c>
      <c r="S3398" t="s">
        <v>6694</v>
      </c>
      <c r="W3398" t="s">
        <v>6720</v>
      </c>
    </row>
    <row r="3399" spans="1:23" ht="15.6" x14ac:dyDescent="0.4">
      <c r="A3399" s="2" t="s">
        <v>3794</v>
      </c>
      <c r="B3399" s="5" t="s">
        <v>9726</v>
      </c>
      <c r="C3399" s="7" t="s">
        <v>12556</v>
      </c>
      <c r="D3399" s="8">
        <f t="shared" si="216"/>
        <v>1</v>
      </c>
      <c r="E3399" s="7" t="s">
        <v>12557</v>
      </c>
      <c r="F3399" s="7">
        <f t="shared" si="217"/>
        <v>0</v>
      </c>
      <c r="G3399" s="7" t="s">
        <v>12558</v>
      </c>
      <c r="H3399" s="7">
        <f t="shared" si="218"/>
        <v>0</v>
      </c>
      <c r="I3399" s="7" cm="1">
        <f t="array" ref="I3399">IFERROR(_xlfn.IFS(M3399="נח",1,M3399="נע ונח",1,M3399="שני שווא נח",2,M3399="שני שוואים בסוף מילה",2,M3399="שני שוואים ברצף",1),"0")</f>
        <v>1</v>
      </c>
      <c r="J3399" s="9">
        <f t="shared" si="219"/>
        <v>2</v>
      </c>
      <c r="K3399" t="s">
        <v>6698</v>
      </c>
      <c r="L3399" t="s">
        <v>6694</v>
      </c>
      <c r="M3399" t="s">
        <v>6705</v>
      </c>
      <c r="S3399" t="s">
        <v>6694</v>
      </c>
      <c r="V3399" t="s">
        <v>6694</v>
      </c>
      <c r="W3399" t="s">
        <v>6720</v>
      </c>
    </row>
    <row r="3400" spans="1:23" ht="15.6" x14ac:dyDescent="0.4">
      <c r="A3400" s="2" t="s">
        <v>2572</v>
      </c>
      <c r="B3400" s="5" t="s">
        <v>9727</v>
      </c>
      <c r="C3400" s="7" t="s">
        <v>12556</v>
      </c>
      <c r="D3400" s="8">
        <f t="shared" si="216"/>
        <v>1</v>
      </c>
      <c r="E3400" s="7" t="s">
        <v>12557</v>
      </c>
      <c r="F3400" s="7">
        <f t="shared" si="217"/>
        <v>1</v>
      </c>
      <c r="G3400" s="7" t="s">
        <v>12558</v>
      </c>
      <c r="H3400" s="7">
        <f t="shared" si="218"/>
        <v>0</v>
      </c>
      <c r="I3400" s="7" t="str" cm="1">
        <f t="array" ref="I3400">IFERROR(_xlfn.IFS(M3400="נח",1,M3400="נע ונח",1,M3400="שני שווא נח",2,M3400="שני שוואים בסוף מילה",2,M3400="שני שוואים ברצף",1),"0")</f>
        <v>0</v>
      </c>
      <c r="J3400" s="9">
        <f t="shared" si="219"/>
        <v>2</v>
      </c>
      <c r="K3400" t="s">
        <v>6697</v>
      </c>
      <c r="L3400" t="s">
        <v>6695</v>
      </c>
      <c r="O3400" t="s">
        <v>6694</v>
      </c>
      <c r="S3400" t="s">
        <v>6694</v>
      </c>
      <c r="W3400" t="s">
        <v>6720</v>
      </c>
    </row>
    <row r="3401" spans="1:23" ht="15.6" x14ac:dyDescent="0.4">
      <c r="A3401" s="2" t="s">
        <v>2337</v>
      </c>
      <c r="B3401" s="5" t="s">
        <v>9728</v>
      </c>
      <c r="C3401" s="7" t="s">
        <v>12556</v>
      </c>
      <c r="D3401" s="8">
        <f t="shared" si="216"/>
        <v>1</v>
      </c>
      <c r="E3401" s="7" t="s">
        <v>12557</v>
      </c>
      <c r="F3401" s="7">
        <f t="shared" si="217"/>
        <v>2</v>
      </c>
      <c r="G3401" s="7" t="s">
        <v>12558</v>
      </c>
      <c r="H3401" s="7">
        <f t="shared" si="218"/>
        <v>1</v>
      </c>
      <c r="I3401" s="7" cm="1">
        <f t="array" ref="I3401">IFERROR(_xlfn.IFS(M3401="נח",1,M3401="נע ונח",1,M3401="שני שווא נח",2,M3401="שני שוואים בסוף מילה",2,M3401="שני שוואים ברצף",1),"0")</f>
        <v>1</v>
      </c>
      <c r="J3401" s="9">
        <f t="shared" si="219"/>
        <v>4</v>
      </c>
      <c r="K3401" t="s">
        <v>6697</v>
      </c>
      <c r="L3401" t="s">
        <v>6694</v>
      </c>
      <c r="M3401" t="s">
        <v>6705</v>
      </c>
      <c r="O3401" t="s">
        <v>6694</v>
      </c>
      <c r="S3401" t="s">
        <v>6694</v>
      </c>
      <c r="U3401" t="s">
        <v>6694</v>
      </c>
      <c r="W3401" t="s">
        <v>6720</v>
      </c>
    </row>
    <row r="3402" spans="1:23" ht="15.6" x14ac:dyDescent="0.4">
      <c r="A3402" s="2" t="s">
        <v>69</v>
      </c>
      <c r="B3402" s="5" t="s">
        <v>9729</v>
      </c>
      <c r="C3402" s="7" t="s">
        <v>12556</v>
      </c>
      <c r="D3402" s="8">
        <f t="shared" si="216"/>
        <v>0</v>
      </c>
      <c r="E3402" s="7" t="s">
        <v>12557</v>
      </c>
      <c r="F3402" s="7">
        <f t="shared" si="217"/>
        <v>2</v>
      </c>
      <c r="G3402" s="7" t="s">
        <v>12558</v>
      </c>
      <c r="H3402" s="7">
        <f t="shared" si="218"/>
        <v>1</v>
      </c>
      <c r="I3402" s="7" cm="1">
        <f t="array" ref="I3402">IFERROR(_xlfn.IFS(M3402="נח",1,M3402="נע ונח",1,M3402="שני שווא נח",2,M3402="שני שוואים בסוף מילה",2,M3402="שני שוואים ברצף",1),"0")</f>
        <v>2</v>
      </c>
      <c r="J3402" s="9">
        <f t="shared" si="219"/>
        <v>3</v>
      </c>
      <c r="K3402" t="s">
        <v>6697</v>
      </c>
      <c r="L3402" t="s">
        <v>6694</v>
      </c>
      <c r="M3402" t="s">
        <v>6704</v>
      </c>
      <c r="P3402" t="s">
        <v>6694</v>
      </c>
      <c r="S3402" t="s">
        <v>6694</v>
      </c>
      <c r="U3402" t="s">
        <v>6694</v>
      </c>
      <c r="W3402" t="s">
        <v>6720</v>
      </c>
    </row>
    <row r="3403" spans="1:23" ht="15.6" x14ac:dyDescent="0.4">
      <c r="A3403" s="2" t="s">
        <v>4153</v>
      </c>
      <c r="B3403" s="5" t="s">
        <v>9730</v>
      </c>
      <c r="C3403" s="7" t="s">
        <v>12556</v>
      </c>
      <c r="D3403" s="8">
        <f t="shared" si="216"/>
        <v>0</v>
      </c>
      <c r="E3403" s="7" t="s">
        <v>12557</v>
      </c>
      <c r="F3403" s="7">
        <f t="shared" si="217"/>
        <v>2</v>
      </c>
      <c r="G3403" s="7" t="s">
        <v>12558</v>
      </c>
      <c r="H3403" s="7">
        <f t="shared" si="218"/>
        <v>1</v>
      </c>
      <c r="I3403" s="7" cm="1">
        <f t="array" ref="I3403">IFERROR(_xlfn.IFS(M3403="נח",1,M3403="נע ונח",1,M3403="שני שווא נח",2,M3403="שני שוואים בסוף מילה",2,M3403="שני שוואים ברצף",1),"0")</f>
        <v>2</v>
      </c>
      <c r="J3403" s="9">
        <f t="shared" si="219"/>
        <v>3</v>
      </c>
      <c r="K3403" t="s">
        <v>6697</v>
      </c>
      <c r="L3403" t="s">
        <v>6694</v>
      </c>
      <c r="M3403" t="s">
        <v>6704</v>
      </c>
      <c r="P3403" t="s">
        <v>6694</v>
      </c>
      <c r="S3403" t="s">
        <v>6694</v>
      </c>
      <c r="U3403" t="s">
        <v>6694</v>
      </c>
      <c r="W3403" t="s">
        <v>6720</v>
      </c>
    </row>
    <row r="3404" spans="1:23" ht="15.6" x14ac:dyDescent="0.4">
      <c r="A3404" s="2" t="s">
        <v>5377</v>
      </c>
      <c r="B3404" s="5" t="s">
        <v>9731</v>
      </c>
      <c r="C3404" s="7" t="s">
        <v>12556</v>
      </c>
      <c r="D3404" s="8">
        <f t="shared" si="216"/>
        <v>0</v>
      </c>
      <c r="E3404" s="7" t="s">
        <v>12557</v>
      </c>
      <c r="F3404" s="7">
        <f t="shared" si="217"/>
        <v>1</v>
      </c>
      <c r="G3404" s="7" t="s">
        <v>12558</v>
      </c>
      <c r="H3404" s="7">
        <f t="shared" si="218"/>
        <v>0</v>
      </c>
      <c r="I3404" s="7" cm="1">
        <f t="array" ref="I3404">IFERROR(_xlfn.IFS(M3404="נח",1,M3404="נע ונח",1,M3404="שני שווא נח",2,M3404="שני שוואים בסוף מילה",2,M3404="שני שוואים ברצף",1),"0")</f>
        <v>1</v>
      </c>
      <c r="J3404" s="9">
        <f t="shared" si="219"/>
        <v>3</v>
      </c>
      <c r="K3404" t="s">
        <v>6698</v>
      </c>
      <c r="L3404" t="s">
        <v>6694</v>
      </c>
      <c r="M3404" t="s">
        <v>6705</v>
      </c>
      <c r="P3404" t="s">
        <v>6694</v>
      </c>
      <c r="Q3404" t="s">
        <v>6694</v>
      </c>
      <c r="S3404" t="s">
        <v>6694</v>
      </c>
      <c r="W3404" t="s">
        <v>6720</v>
      </c>
    </row>
    <row r="3405" spans="1:23" ht="15.6" x14ac:dyDescent="0.4">
      <c r="A3405" s="2" t="s">
        <v>3461</v>
      </c>
      <c r="B3405" s="5" t="s">
        <v>9732</v>
      </c>
      <c r="C3405" s="7" t="s">
        <v>12556</v>
      </c>
      <c r="D3405" s="8">
        <f t="shared" si="216"/>
        <v>0</v>
      </c>
      <c r="E3405" s="7" t="s">
        <v>12557</v>
      </c>
      <c r="F3405" s="7">
        <f t="shared" si="217"/>
        <v>1</v>
      </c>
      <c r="G3405" s="7" t="s">
        <v>12558</v>
      </c>
      <c r="H3405" s="7">
        <f t="shared" si="218"/>
        <v>0</v>
      </c>
      <c r="I3405" s="7" cm="1">
        <f t="array" ref="I3405">IFERROR(_xlfn.IFS(M3405="נח",1,M3405="נע ונח",1,M3405="שני שווא נח",2,M3405="שני שוואים בסוף מילה",2,M3405="שני שוואים ברצף",1),"0")</f>
        <v>2</v>
      </c>
      <c r="J3405" s="9">
        <f t="shared" si="219"/>
        <v>3</v>
      </c>
      <c r="K3405" t="s">
        <v>6698</v>
      </c>
      <c r="L3405" t="s">
        <v>6694</v>
      </c>
      <c r="M3405" t="s">
        <v>6704</v>
      </c>
      <c r="P3405" t="s">
        <v>6694</v>
      </c>
      <c r="R3405" t="s">
        <v>6694</v>
      </c>
      <c r="S3405" t="s">
        <v>6694</v>
      </c>
      <c r="W3405" t="s">
        <v>6720</v>
      </c>
    </row>
    <row r="3406" spans="1:23" ht="15.6" x14ac:dyDescent="0.4">
      <c r="A3406" s="2" t="s">
        <v>5500</v>
      </c>
      <c r="B3406" s="5" t="s">
        <v>9730</v>
      </c>
      <c r="C3406" s="7" t="s">
        <v>12556</v>
      </c>
      <c r="D3406" s="8">
        <f t="shared" si="216"/>
        <v>0</v>
      </c>
      <c r="E3406" s="7" t="s">
        <v>12557</v>
      </c>
      <c r="F3406" s="7">
        <f t="shared" si="217"/>
        <v>2</v>
      </c>
      <c r="G3406" s="7" t="s">
        <v>12558</v>
      </c>
      <c r="H3406" s="7">
        <f t="shared" si="218"/>
        <v>1</v>
      </c>
      <c r="I3406" s="7" cm="1">
        <f t="array" ref="I3406">IFERROR(_xlfn.IFS(M3406="נח",1,M3406="נע ונח",1,M3406="שני שווא נח",2,M3406="שני שוואים בסוף מילה",2,M3406="שני שוואים ברצף",1),"0")</f>
        <v>1</v>
      </c>
      <c r="J3406" s="9">
        <f t="shared" si="219"/>
        <v>4</v>
      </c>
      <c r="K3406" t="s">
        <v>6697</v>
      </c>
      <c r="L3406" t="s">
        <v>6694</v>
      </c>
      <c r="M3406" t="s">
        <v>6705</v>
      </c>
      <c r="O3406" t="s">
        <v>6694</v>
      </c>
      <c r="P3406" t="s">
        <v>6694</v>
      </c>
      <c r="S3406" t="s">
        <v>6694</v>
      </c>
      <c r="U3406" t="s">
        <v>6694</v>
      </c>
      <c r="W3406" t="s">
        <v>6720</v>
      </c>
    </row>
    <row r="3407" spans="1:23" ht="15.6" x14ac:dyDescent="0.4">
      <c r="A3407" s="2" t="s">
        <v>1841</v>
      </c>
      <c r="B3407" s="5" t="s">
        <v>9733</v>
      </c>
      <c r="C3407" s="7" t="s">
        <v>12556</v>
      </c>
      <c r="D3407" s="8">
        <f t="shared" si="216"/>
        <v>0</v>
      </c>
      <c r="E3407" s="7" t="s">
        <v>12557</v>
      </c>
      <c r="F3407" s="7">
        <f t="shared" si="217"/>
        <v>2</v>
      </c>
      <c r="G3407" s="7" t="s">
        <v>12558</v>
      </c>
      <c r="H3407" s="7">
        <f t="shared" si="218"/>
        <v>1</v>
      </c>
      <c r="I3407" s="7" cm="1">
        <f t="array" ref="I3407">IFERROR(_xlfn.IFS(M3407="נח",1,M3407="נע ונח",1,M3407="שני שווא נח",2,M3407="שני שוואים בסוף מילה",2,M3407="שני שוואים ברצף",1),"0")</f>
        <v>1</v>
      </c>
      <c r="J3407" s="9">
        <f t="shared" si="219"/>
        <v>4</v>
      </c>
      <c r="K3407" t="s">
        <v>6698</v>
      </c>
      <c r="L3407" t="s">
        <v>6694</v>
      </c>
      <c r="M3407" t="s">
        <v>6705</v>
      </c>
      <c r="O3407" t="s">
        <v>6694</v>
      </c>
      <c r="P3407" t="s">
        <v>6694</v>
      </c>
      <c r="S3407" t="s">
        <v>6694</v>
      </c>
      <c r="U3407" t="s">
        <v>6694</v>
      </c>
      <c r="W3407" t="s">
        <v>6720</v>
      </c>
    </row>
    <row r="3408" spans="1:23" ht="15.6" x14ac:dyDescent="0.4">
      <c r="A3408" s="2" t="s">
        <v>6403</v>
      </c>
      <c r="B3408" s="5" t="s">
        <v>9734</v>
      </c>
      <c r="C3408" s="7" t="s">
        <v>12556</v>
      </c>
      <c r="D3408" s="8">
        <f t="shared" si="216"/>
        <v>0</v>
      </c>
      <c r="E3408" s="7" t="s">
        <v>12557</v>
      </c>
      <c r="F3408" s="7">
        <f t="shared" si="217"/>
        <v>2</v>
      </c>
      <c r="G3408" s="7" t="s">
        <v>12558</v>
      </c>
      <c r="H3408" s="7">
        <f t="shared" si="218"/>
        <v>1</v>
      </c>
      <c r="I3408" s="7" cm="1">
        <f t="array" ref="I3408">IFERROR(_xlfn.IFS(M3408="נח",1,M3408="נע ונח",1,M3408="שני שווא נח",2,M3408="שני שוואים בסוף מילה",2,M3408="שני שוואים ברצף",1),"0")</f>
        <v>1</v>
      </c>
      <c r="J3408" s="9">
        <f t="shared" si="219"/>
        <v>4</v>
      </c>
      <c r="K3408" t="s">
        <v>6697</v>
      </c>
      <c r="L3408" t="s">
        <v>6694</v>
      </c>
      <c r="M3408" t="s">
        <v>6705</v>
      </c>
      <c r="O3408" t="s">
        <v>6694</v>
      </c>
      <c r="P3408" t="s">
        <v>6694</v>
      </c>
      <c r="S3408" t="s">
        <v>6694</v>
      </c>
      <c r="U3408" t="s">
        <v>6694</v>
      </c>
      <c r="W3408" t="s">
        <v>6720</v>
      </c>
    </row>
    <row r="3409" spans="1:23" ht="15.6" x14ac:dyDescent="0.4">
      <c r="A3409" s="2" t="s">
        <v>5434</v>
      </c>
      <c r="B3409" s="5" t="s">
        <v>9735</v>
      </c>
      <c r="C3409" s="7" t="s">
        <v>12556</v>
      </c>
      <c r="D3409" s="8">
        <f t="shared" si="216"/>
        <v>0</v>
      </c>
      <c r="E3409" s="7" t="s">
        <v>12557</v>
      </c>
      <c r="F3409" s="7">
        <f t="shared" si="217"/>
        <v>1</v>
      </c>
      <c r="G3409" s="7" t="s">
        <v>12558</v>
      </c>
      <c r="H3409" s="7">
        <f t="shared" si="218"/>
        <v>0</v>
      </c>
      <c r="I3409" s="7" cm="1">
        <f t="array" ref="I3409">IFERROR(_xlfn.IFS(M3409="נח",1,M3409="נע ונח",1,M3409="שני שווא נח",2,M3409="שני שוואים בסוף מילה",2,M3409="שני שוואים ברצף",1),"0")</f>
        <v>1</v>
      </c>
      <c r="J3409" s="9">
        <f t="shared" si="219"/>
        <v>3</v>
      </c>
      <c r="K3409" t="s">
        <v>6698</v>
      </c>
      <c r="L3409" t="s">
        <v>6694</v>
      </c>
      <c r="M3409" t="s">
        <v>6705</v>
      </c>
      <c r="P3409" t="s">
        <v>6694</v>
      </c>
      <c r="Q3409" t="s">
        <v>6694</v>
      </c>
      <c r="S3409" t="s">
        <v>6694</v>
      </c>
      <c r="W3409" t="s">
        <v>6720</v>
      </c>
    </row>
    <row r="3410" spans="1:23" ht="15.6" x14ac:dyDescent="0.4">
      <c r="A3410" s="2" t="s">
        <v>2257</v>
      </c>
      <c r="B3410" s="5" t="s">
        <v>9736</v>
      </c>
      <c r="C3410" s="7" t="s">
        <v>12556</v>
      </c>
      <c r="D3410" s="8">
        <f t="shared" si="216"/>
        <v>0</v>
      </c>
      <c r="E3410" s="7" t="s">
        <v>12557</v>
      </c>
      <c r="F3410" s="7">
        <f t="shared" si="217"/>
        <v>2</v>
      </c>
      <c r="G3410" s="7" t="s">
        <v>12558</v>
      </c>
      <c r="H3410" s="7">
        <f t="shared" si="218"/>
        <v>1</v>
      </c>
      <c r="I3410" s="7" cm="1">
        <f t="array" ref="I3410">IFERROR(_xlfn.IFS(M3410="נח",1,M3410="נע ונח",1,M3410="שני שווא נח",2,M3410="שני שוואים בסוף מילה",2,M3410="שני שוואים ברצף",1),"0")</f>
        <v>2</v>
      </c>
      <c r="J3410" s="9">
        <f t="shared" si="219"/>
        <v>3</v>
      </c>
      <c r="K3410" t="s">
        <v>6697</v>
      </c>
      <c r="L3410" t="s">
        <v>6694</v>
      </c>
      <c r="M3410" t="s">
        <v>6704</v>
      </c>
      <c r="P3410" t="s">
        <v>6694</v>
      </c>
      <c r="S3410" t="s">
        <v>6694</v>
      </c>
      <c r="U3410" t="s">
        <v>6694</v>
      </c>
      <c r="W3410" t="s">
        <v>6720</v>
      </c>
    </row>
    <row r="3411" spans="1:23" ht="15.6" x14ac:dyDescent="0.4">
      <c r="A3411" s="2" t="s">
        <v>123</v>
      </c>
      <c r="B3411" s="5" t="s">
        <v>9737</v>
      </c>
      <c r="C3411" s="7" t="s">
        <v>12556</v>
      </c>
      <c r="D3411" s="8">
        <f t="shared" si="216"/>
        <v>0</v>
      </c>
      <c r="E3411" s="7" t="s">
        <v>12557</v>
      </c>
      <c r="F3411" s="7">
        <f t="shared" si="217"/>
        <v>1</v>
      </c>
      <c r="G3411" s="7" t="s">
        <v>12558</v>
      </c>
      <c r="H3411" s="7">
        <f t="shared" si="218"/>
        <v>0</v>
      </c>
      <c r="I3411" s="7" cm="1">
        <f t="array" ref="I3411">IFERROR(_xlfn.IFS(M3411="נח",1,M3411="נע ונח",1,M3411="שני שווא נח",2,M3411="שני שוואים בסוף מילה",2,M3411="שני שוואים ברצף",1),"0")</f>
        <v>1</v>
      </c>
      <c r="J3411" s="9">
        <f t="shared" si="219"/>
        <v>3</v>
      </c>
      <c r="K3411" t="s">
        <v>6698</v>
      </c>
      <c r="L3411" t="s">
        <v>6694</v>
      </c>
      <c r="M3411" t="s">
        <v>6705</v>
      </c>
      <c r="P3411" t="s">
        <v>6694</v>
      </c>
      <c r="Q3411" t="s">
        <v>6694</v>
      </c>
      <c r="S3411" t="s">
        <v>6694</v>
      </c>
      <c r="W3411" t="s">
        <v>6720</v>
      </c>
    </row>
    <row r="3412" spans="1:23" ht="15.6" x14ac:dyDescent="0.4">
      <c r="A3412" s="2" t="s">
        <v>2167</v>
      </c>
      <c r="B3412" s="5" t="s">
        <v>9738</v>
      </c>
      <c r="C3412" s="7" t="s">
        <v>12556</v>
      </c>
      <c r="D3412" s="8">
        <f t="shared" si="216"/>
        <v>1</v>
      </c>
      <c r="E3412" s="7" t="s">
        <v>12557</v>
      </c>
      <c r="F3412" s="7">
        <f t="shared" si="217"/>
        <v>1</v>
      </c>
      <c r="G3412" s="7" t="s">
        <v>12558</v>
      </c>
      <c r="H3412" s="7">
        <f t="shared" si="218"/>
        <v>1</v>
      </c>
      <c r="I3412" s="7" cm="1">
        <f t="array" ref="I3412">IFERROR(_xlfn.IFS(M3412="נח",1,M3412="נע ונח",1,M3412="שני שווא נח",2,M3412="שני שוואים בסוף מילה",2,M3412="שני שוואים ברצף",1),"0")</f>
        <v>1</v>
      </c>
      <c r="J3412" s="9">
        <f t="shared" si="219"/>
        <v>4</v>
      </c>
      <c r="K3412" t="s">
        <v>6697</v>
      </c>
      <c r="L3412" t="s">
        <v>6694</v>
      </c>
      <c r="M3412" t="s">
        <v>6705</v>
      </c>
      <c r="P3412" t="s">
        <v>6694</v>
      </c>
      <c r="S3412" t="s">
        <v>6694</v>
      </c>
      <c r="U3412" t="s">
        <v>6694</v>
      </c>
      <c r="W3412" t="s">
        <v>6720</v>
      </c>
    </row>
    <row r="3413" spans="1:23" ht="15.6" x14ac:dyDescent="0.4">
      <c r="A3413" s="2" t="s">
        <v>6217</v>
      </c>
      <c r="B3413" s="5" t="s">
        <v>9739</v>
      </c>
      <c r="C3413" s="7" t="s">
        <v>12556</v>
      </c>
      <c r="D3413" s="8">
        <f t="shared" si="216"/>
        <v>0</v>
      </c>
      <c r="E3413" s="7" t="s">
        <v>12557</v>
      </c>
      <c r="F3413" s="7">
        <f t="shared" si="217"/>
        <v>0</v>
      </c>
      <c r="G3413" s="7" t="s">
        <v>12558</v>
      </c>
      <c r="H3413" s="7">
        <f t="shared" si="218"/>
        <v>0</v>
      </c>
      <c r="I3413" s="7" cm="1">
        <f t="array" ref="I3413">IFERROR(_xlfn.IFS(M3413="נח",1,M3413="נע ונח",1,M3413="שני שווא נח",2,M3413="שני שוואים בסוף מילה",2,M3413="שני שוואים ברצף",1),"0")</f>
        <v>1</v>
      </c>
      <c r="J3413" s="9">
        <f t="shared" si="219"/>
        <v>3</v>
      </c>
      <c r="K3413" t="s">
        <v>6698</v>
      </c>
      <c r="L3413" t="s">
        <v>6694</v>
      </c>
      <c r="M3413" t="s">
        <v>6705</v>
      </c>
      <c r="N3413" t="s">
        <v>6706</v>
      </c>
      <c r="O3413" t="s">
        <v>6694</v>
      </c>
      <c r="S3413" t="s">
        <v>6694</v>
      </c>
      <c r="V3413" t="s">
        <v>6694</v>
      </c>
      <c r="W3413" t="s">
        <v>6720</v>
      </c>
    </row>
    <row r="3414" spans="1:23" ht="15.6" x14ac:dyDescent="0.4">
      <c r="A3414" s="2" t="s">
        <v>6449</v>
      </c>
      <c r="B3414" s="5" t="s">
        <v>9740</v>
      </c>
      <c r="C3414" s="7" t="s">
        <v>12556</v>
      </c>
      <c r="D3414" s="8">
        <f t="shared" si="216"/>
        <v>0</v>
      </c>
      <c r="E3414" s="7" t="s">
        <v>12557</v>
      </c>
      <c r="F3414" s="7">
        <f t="shared" si="217"/>
        <v>1</v>
      </c>
      <c r="G3414" s="7" t="s">
        <v>12558</v>
      </c>
      <c r="H3414" s="7">
        <f t="shared" si="218"/>
        <v>1</v>
      </c>
      <c r="I3414" s="7" cm="1">
        <f t="array" ref="I3414">IFERROR(_xlfn.IFS(M3414="נח",1,M3414="נע ונח",1,M3414="שני שווא נח",2,M3414="שני שוואים בסוף מילה",2,M3414="שני שוואים ברצף",1),"0")</f>
        <v>1</v>
      </c>
      <c r="J3414" s="9">
        <f t="shared" si="219"/>
        <v>4</v>
      </c>
      <c r="K3414" t="s">
        <v>6697</v>
      </c>
      <c r="L3414" t="s">
        <v>6694</v>
      </c>
      <c r="M3414" t="s">
        <v>6705</v>
      </c>
      <c r="O3414" t="s">
        <v>6694</v>
      </c>
      <c r="S3414" t="s">
        <v>6694</v>
      </c>
      <c r="U3414" t="s">
        <v>6694</v>
      </c>
      <c r="V3414" t="s">
        <v>6694</v>
      </c>
      <c r="W3414" t="s">
        <v>6720</v>
      </c>
    </row>
    <row r="3415" spans="1:23" ht="15.6" x14ac:dyDescent="0.4">
      <c r="A3415" s="2" t="s">
        <v>6094</v>
      </c>
      <c r="B3415" s="5" t="s">
        <v>9741</v>
      </c>
      <c r="C3415" s="7" t="s">
        <v>12556</v>
      </c>
      <c r="D3415" s="8">
        <f t="shared" si="216"/>
        <v>0</v>
      </c>
      <c r="E3415" s="7" t="s">
        <v>12557</v>
      </c>
      <c r="F3415" s="7">
        <f t="shared" si="217"/>
        <v>0</v>
      </c>
      <c r="G3415" s="7" t="s">
        <v>12558</v>
      </c>
      <c r="H3415" s="7">
        <f t="shared" si="218"/>
        <v>0</v>
      </c>
      <c r="I3415" s="7" cm="1">
        <f t="array" ref="I3415">IFERROR(_xlfn.IFS(M3415="נח",1,M3415="נע ונח",1,M3415="שני שווא נח",2,M3415="שני שוואים בסוף מילה",2,M3415="שני שוואים ברצף",1),"0")</f>
        <v>1</v>
      </c>
      <c r="J3415" s="9">
        <f t="shared" si="219"/>
        <v>3</v>
      </c>
      <c r="K3415" t="s">
        <v>6698</v>
      </c>
      <c r="L3415" t="s">
        <v>6694</v>
      </c>
      <c r="M3415" t="s">
        <v>6705</v>
      </c>
      <c r="N3415" t="s">
        <v>6706</v>
      </c>
      <c r="O3415" t="s">
        <v>6694</v>
      </c>
      <c r="R3415" t="s">
        <v>6694</v>
      </c>
      <c r="S3415" t="s">
        <v>6694</v>
      </c>
      <c r="W3415" t="s">
        <v>6720</v>
      </c>
    </row>
    <row r="3416" spans="1:23" ht="15.6" x14ac:dyDescent="0.4">
      <c r="A3416" s="2" t="s">
        <v>4351</v>
      </c>
      <c r="B3416" s="5" t="s">
        <v>9742</v>
      </c>
      <c r="C3416" s="7" t="s">
        <v>12556</v>
      </c>
      <c r="D3416" s="8">
        <f t="shared" si="216"/>
        <v>0</v>
      </c>
      <c r="E3416" s="7" t="s">
        <v>12557</v>
      </c>
      <c r="F3416" s="7">
        <f t="shared" si="217"/>
        <v>1</v>
      </c>
      <c r="G3416" s="7" t="s">
        <v>12558</v>
      </c>
      <c r="H3416" s="7">
        <f t="shared" si="218"/>
        <v>1</v>
      </c>
      <c r="I3416" s="7" cm="1">
        <f t="array" ref="I3416">IFERROR(_xlfn.IFS(M3416="נח",1,M3416="נע ונח",1,M3416="שני שווא נח",2,M3416="שני שוואים בסוף מילה",2,M3416="שני שוואים ברצף",1),"0")</f>
        <v>1</v>
      </c>
      <c r="J3416" s="9">
        <f t="shared" si="219"/>
        <v>4</v>
      </c>
      <c r="K3416" t="s">
        <v>6697</v>
      </c>
      <c r="L3416" t="s">
        <v>6694</v>
      </c>
      <c r="M3416" t="s">
        <v>6705</v>
      </c>
      <c r="P3416" t="s">
        <v>6694</v>
      </c>
      <c r="S3416" t="s">
        <v>6694</v>
      </c>
      <c r="U3416" t="s">
        <v>6694</v>
      </c>
      <c r="V3416" t="s">
        <v>6694</v>
      </c>
      <c r="W3416" t="s">
        <v>6720</v>
      </c>
    </row>
    <row r="3417" spans="1:23" ht="15.6" x14ac:dyDescent="0.4">
      <c r="A3417" s="2" t="s">
        <v>6134</v>
      </c>
      <c r="B3417" s="5" t="s">
        <v>9743</v>
      </c>
      <c r="C3417" s="7" t="s">
        <v>12556</v>
      </c>
      <c r="D3417" s="8">
        <f t="shared" si="216"/>
        <v>0</v>
      </c>
      <c r="E3417" s="7" t="s">
        <v>12557</v>
      </c>
      <c r="F3417" s="7">
        <f t="shared" si="217"/>
        <v>2</v>
      </c>
      <c r="G3417" s="7" t="s">
        <v>12558</v>
      </c>
      <c r="H3417" s="7">
        <f t="shared" si="218"/>
        <v>1</v>
      </c>
      <c r="I3417" s="7" cm="1">
        <f t="array" ref="I3417">IFERROR(_xlfn.IFS(M3417="נח",1,M3417="נע ונח",1,M3417="שני שווא נח",2,M3417="שני שוואים בסוף מילה",2,M3417="שני שוואים ברצף",1),"0")</f>
        <v>1</v>
      </c>
      <c r="J3417" s="9">
        <f t="shared" si="219"/>
        <v>3</v>
      </c>
      <c r="K3417" t="s">
        <v>6697</v>
      </c>
      <c r="L3417" t="s">
        <v>6694</v>
      </c>
      <c r="M3417" t="s">
        <v>6705</v>
      </c>
      <c r="P3417" t="s">
        <v>6694</v>
      </c>
      <c r="S3417" t="s">
        <v>6694</v>
      </c>
      <c r="U3417" t="s">
        <v>6694</v>
      </c>
      <c r="W3417" t="s">
        <v>6720</v>
      </c>
    </row>
    <row r="3418" spans="1:23" ht="15.6" x14ac:dyDescent="0.4">
      <c r="A3418" s="2" t="s">
        <v>2707</v>
      </c>
      <c r="B3418" s="5" t="s">
        <v>9744</v>
      </c>
      <c r="C3418" s="7" t="s">
        <v>12556</v>
      </c>
      <c r="D3418" s="8">
        <f t="shared" si="216"/>
        <v>0</v>
      </c>
      <c r="E3418" s="7" t="s">
        <v>12557</v>
      </c>
      <c r="F3418" s="7">
        <f t="shared" si="217"/>
        <v>2</v>
      </c>
      <c r="G3418" s="7" t="s">
        <v>12558</v>
      </c>
      <c r="H3418" s="7">
        <f t="shared" si="218"/>
        <v>0</v>
      </c>
      <c r="I3418" s="7" cm="1">
        <f t="array" ref="I3418">IFERROR(_xlfn.IFS(M3418="נח",1,M3418="נע ונח",1,M3418="שני שווא נח",2,M3418="שני שוואים בסוף מילה",2,M3418="שני שוואים ברצף",1),"0")</f>
        <v>1</v>
      </c>
      <c r="J3418" s="9">
        <f t="shared" si="219"/>
        <v>3</v>
      </c>
      <c r="K3418" t="s">
        <v>6698</v>
      </c>
      <c r="L3418" t="s">
        <v>6694</v>
      </c>
      <c r="M3418" t="s">
        <v>6705</v>
      </c>
      <c r="P3418" t="s">
        <v>6694</v>
      </c>
      <c r="Q3418" t="s">
        <v>6694</v>
      </c>
      <c r="S3418" t="s">
        <v>6694</v>
      </c>
      <c r="W3418" t="s">
        <v>6720</v>
      </c>
    </row>
    <row r="3419" spans="1:23" ht="15.6" x14ac:dyDescent="0.4">
      <c r="A3419" s="2" t="s">
        <v>5526</v>
      </c>
      <c r="B3419" s="5" t="s">
        <v>9745</v>
      </c>
      <c r="C3419" s="7" t="s">
        <v>12556</v>
      </c>
      <c r="D3419" s="8">
        <f t="shared" si="216"/>
        <v>0</v>
      </c>
      <c r="E3419" s="7" t="s">
        <v>12557</v>
      </c>
      <c r="F3419" s="7">
        <f t="shared" si="217"/>
        <v>2</v>
      </c>
      <c r="G3419" s="7" t="s">
        <v>12558</v>
      </c>
      <c r="H3419" s="7">
        <f t="shared" si="218"/>
        <v>1</v>
      </c>
      <c r="I3419" s="7" cm="1">
        <f t="array" ref="I3419">IFERROR(_xlfn.IFS(M3419="נח",1,M3419="נע ונח",1,M3419="שני שווא נח",2,M3419="שני שוואים בסוף מילה",2,M3419="שני שוואים ברצף",1),"0")</f>
        <v>2</v>
      </c>
      <c r="J3419" s="9">
        <f t="shared" si="219"/>
        <v>3</v>
      </c>
      <c r="K3419" t="s">
        <v>6697</v>
      </c>
      <c r="L3419" t="s">
        <v>6694</v>
      </c>
      <c r="M3419" t="s">
        <v>6704</v>
      </c>
      <c r="N3419" t="s">
        <v>6706</v>
      </c>
      <c r="O3419" t="s">
        <v>6694</v>
      </c>
      <c r="S3419" t="s">
        <v>6694</v>
      </c>
      <c r="U3419" t="s">
        <v>6694</v>
      </c>
      <c r="W3419" t="s">
        <v>6720</v>
      </c>
    </row>
    <row r="3420" spans="1:23" ht="15.6" x14ac:dyDescent="0.4">
      <c r="A3420" s="2" t="s">
        <v>4415</v>
      </c>
      <c r="B3420" s="5" t="s">
        <v>9746</v>
      </c>
      <c r="C3420" s="7" t="s">
        <v>12556</v>
      </c>
      <c r="D3420" s="8">
        <f t="shared" si="216"/>
        <v>0</v>
      </c>
      <c r="E3420" s="7" t="s">
        <v>12557</v>
      </c>
      <c r="F3420" s="7">
        <f t="shared" si="217"/>
        <v>1</v>
      </c>
      <c r="G3420" s="7" t="s">
        <v>12558</v>
      </c>
      <c r="H3420" s="7">
        <f t="shared" si="218"/>
        <v>1</v>
      </c>
      <c r="I3420" s="7" cm="1">
        <f t="array" ref="I3420">IFERROR(_xlfn.IFS(M3420="נח",1,M3420="נע ונח",1,M3420="שני שווא נח",2,M3420="שני שוואים בסוף מילה",2,M3420="שני שוואים ברצף",1),"0")</f>
        <v>1</v>
      </c>
      <c r="J3420" s="9">
        <f t="shared" si="219"/>
        <v>4</v>
      </c>
      <c r="K3420" t="s">
        <v>6697</v>
      </c>
      <c r="L3420" t="s">
        <v>6694</v>
      </c>
      <c r="M3420" t="s">
        <v>6705</v>
      </c>
      <c r="P3420" t="s">
        <v>6694</v>
      </c>
      <c r="S3420" t="s">
        <v>6694</v>
      </c>
      <c r="U3420" t="s">
        <v>6694</v>
      </c>
      <c r="V3420" t="s">
        <v>6694</v>
      </c>
      <c r="W3420" t="s">
        <v>6720</v>
      </c>
    </row>
    <row r="3421" spans="1:23" ht="15.6" x14ac:dyDescent="0.4">
      <c r="A3421" s="2" t="s">
        <v>673</v>
      </c>
      <c r="B3421" s="5" t="s">
        <v>9747</v>
      </c>
      <c r="C3421" s="7" t="s">
        <v>12556</v>
      </c>
      <c r="D3421" s="8">
        <f t="shared" si="216"/>
        <v>0</v>
      </c>
      <c r="E3421" s="7" t="s">
        <v>12557</v>
      </c>
      <c r="F3421" s="7">
        <f t="shared" si="217"/>
        <v>2</v>
      </c>
      <c r="G3421" s="7" t="s">
        <v>12558</v>
      </c>
      <c r="H3421" s="7">
        <f t="shared" si="218"/>
        <v>1</v>
      </c>
      <c r="I3421" s="7" cm="1">
        <f t="array" ref="I3421">IFERROR(_xlfn.IFS(M3421="נח",1,M3421="נע ונח",1,M3421="שני שווא נח",2,M3421="שני שוואים בסוף מילה",2,M3421="שני שוואים ברצף",1),"0")</f>
        <v>1</v>
      </c>
      <c r="J3421" s="9">
        <f t="shared" si="219"/>
        <v>2</v>
      </c>
      <c r="K3421" t="s">
        <v>6697</v>
      </c>
      <c r="L3421" t="s">
        <v>6694</v>
      </c>
      <c r="M3421" t="s">
        <v>6705</v>
      </c>
      <c r="S3421" t="s">
        <v>6694</v>
      </c>
      <c r="U3421" t="s">
        <v>6694</v>
      </c>
      <c r="W3421" t="s">
        <v>6720</v>
      </c>
    </row>
    <row r="3422" spans="1:23" ht="15.6" x14ac:dyDescent="0.4">
      <c r="A3422" s="2" t="s">
        <v>181</v>
      </c>
      <c r="B3422" s="5" t="s">
        <v>9748</v>
      </c>
      <c r="C3422" s="7" t="s">
        <v>12556</v>
      </c>
      <c r="D3422" s="8">
        <f t="shared" si="216"/>
        <v>0</v>
      </c>
      <c r="E3422" s="7" t="s">
        <v>12557</v>
      </c>
      <c r="F3422" s="7">
        <f t="shared" si="217"/>
        <v>1</v>
      </c>
      <c r="G3422" s="7" t="s">
        <v>12558</v>
      </c>
      <c r="H3422" s="7">
        <f t="shared" si="218"/>
        <v>0</v>
      </c>
      <c r="I3422" s="7" t="str" cm="1">
        <f t="array" ref="I3422">IFERROR(_xlfn.IFS(M3422="נח",1,M3422="נע ונח",1,M3422="שני שווא נח",2,M3422="שני שוואים בסוף מילה",2,M3422="שני שוואים ברצף",1),"0")</f>
        <v>0</v>
      </c>
      <c r="J3422" s="9">
        <f t="shared" si="219"/>
        <v>2</v>
      </c>
      <c r="K3422" t="s">
        <v>6698</v>
      </c>
      <c r="L3422" t="s">
        <v>6695</v>
      </c>
      <c r="Q3422" t="s">
        <v>6694</v>
      </c>
      <c r="S3422" t="s">
        <v>6694</v>
      </c>
      <c r="W3422" t="s">
        <v>6720</v>
      </c>
    </row>
    <row r="3423" spans="1:23" ht="15.6" x14ac:dyDescent="0.4">
      <c r="A3423" s="2" t="s">
        <v>3298</v>
      </c>
      <c r="B3423" s="5" t="s">
        <v>9748</v>
      </c>
      <c r="C3423" s="7" t="s">
        <v>12556</v>
      </c>
      <c r="D3423" s="8">
        <f t="shared" si="216"/>
        <v>0</v>
      </c>
      <c r="E3423" s="7" t="s">
        <v>12557</v>
      </c>
      <c r="F3423" s="7">
        <f t="shared" si="217"/>
        <v>1</v>
      </c>
      <c r="G3423" s="7" t="s">
        <v>12558</v>
      </c>
      <c r="H3423" s="7">
        <f t="shared" si="218"/>
        <v>0</v>
      </c>
      <c r="I3423" s="7" t="str" cm="1">
        <f t="array" ref="I3423">IFERROR(_xlfn.IFS(M3423="נח",1,M3423="נע ונח",1,M3423="שני שווא נח",2,M3423="שני שוואים בסוף מילה",2,M3423="שני שוואים ברצף",1),"0")</f>
        <v>0</v>
      </c>
      <c r="J3423" s="9">
        <f t="shared" si="219"/>
        <v>2</v>
      </c>
      <c r="K3423" t="s">
        <v>6698</v>
      </c>
      <c r="L3423" t="s">
        <v>6695</v>
      </c>
      <c r="R3423" t="s">
        <v>6694</v>
      </c>
      <c r="S3423" t="s">
        <v>6694</v>
      </c>
      <c r="W3423" t="s">
        <v>6720</v>
      </c>
    </row>
    <row r="3424" spans="1:23" ht="15.6" x14ac:dyDescent="0.4">
      <c r="A3424" s="2" t="s">
        <v>5131</v>
      </c>
      <c r="B3424" s="5" t="s">
        <v>9749</v>
      </c>
      <c r="C3424" s="7" t="s">
        <v>12556</v>
      </c>
      <c r="D3424" s="8">
        <f t="shared" si="216"/>
        <v>1</v>
      </c>
      <c r="E3424" s="7" t="s">
        <v>12557</v>
      </c>
      <c r="F3424" s="7">
        <f t="shared" si="217"/>
        <v>2</v>
      </c>
      <c r="G3424" s="7" t="s">
        <v>12558</v>
      </c>
      <c r="H3424" s="7">
        <f t="shared" si="218"/>
        <v>1</v>
      </c>
      <c r="I3424" s="7" cm="1">
        <f t="array" ref="I3424">IFERROR(_xlfn.IFS(M3424="נח",1,M3424="נע ונח",1,M3424="שני שווא נח",2,M3424="שני שוואים בסוף מילה",2,M3424="שני שוואים ברצף",1),"0")</f>
        <v>1</v>
      </c>
      <c r="J3424" s="9">
        <f t="shared" si="219"/>
        <v>3</v>
      </c>
      <c r="K3424" t="s">
        <v>6697</v>
      </c>
      <c r="L3424" t="s">
        <v>6694</v>
      </c>
      <c r="M3424" t="s">
        <v>6705</v>
      </c>
      <c r="N3424" t="s">
        <v>6706</v>
      </c>
      <c r="O3424" t="s">
        <v>6694</v>
      </c>
      <c r="S3424" t="s">
        <v>6694</v>
      </c>
      <c r="U3424" t="s">
        <v>6694</v>
      </c>
      <c r="W3424" t="s">
        <v>6720</v>
      </c>
    </row>
    <row r="3425" spans="1:23" ht="15.6" x14ac:dyDescent="0.4">
      <c r="A3425" s="2" t="s">
        <v>3948</v>
      </c>
      <c r="B3425" s="5" t="s">
        <v>9750</v>
      </c>
      <c r="C3425" s="7" t="s">
        <v>12556</v>
      </c>
      <c r="D3425" s="8">
        <f t="shared" si="216"/>
        <v>0</v>
      </c>
      <c r="E3425" s="7" t="s">
        <v>12557</v>
      </c>
      <c r="F3425" s="7">
        <f t="shared" si="217"/>
        <v>1</v>
      </c>
      <c r="G3425" s="7" t="s">
        <v>12558</v>
      </c>
      <c r="H3425" s="7">
        <f t="shared" si="218"/>
        <v>0</v>
      </c>
      <c r="I3425" s="7" cm="1">
        <f t="array" ref="I3425">IFERROR(_xlfn.IFS(M3425="נח",1,M3425="נע ונח",1,M3425="שני שווא נח",2,M3425="שני שוואים בסוף מילה",2,M3425="שני שוואים ברצף",1),"0")</f>
        <v>1</v>
      </c>
      <c r="J3425" s="9">
        <f t="shared" si="219"/>
        <v>3</v>
      </c>
      <c r="K3425" t="s">
        <v>6697</v>
      </c>
      <c r="L3425" t="s">
        <v>6694</v>
      </c>
      <c r="M3425" t="s">
        <v>6705</v>
      </c>
      <c r="N3425" t="s">
        <v>6706</v>
      </c>
      <c r="O3425" t="s">
        <v>6694</v>
      </c>
      <c r="S3425" t="s">
        <v>6694</v>
      </c>
      <c r="W3425" t="s">
        <v>6720</v>
      </c>
    </row>
    <row r="3426" spans="1:23" ht="15.6" x14ac:dyDescent="0.4">
      <c r="A3426" s="2" t="s">
        <v>3017</v>
      </c>
      <c r="B3426" s="5" t="s">
        <v>9751</v>
      </c>
      <c r="C3426" s="7" t="s">
        <v>12556</v>
      </c>
      <c r="D3426" s="8">
        <f t="shared" si="216"/>
        <v>0</v>
      </c>
      <c r="E3426" s="7" t="s">
        <v>12557</v>
      </c>
      <c r="F3426" s="7">
        <f t="shared" si="217"/>
        <v>0</v>
      </c>
      <c r="G3426" s="7" t="s">
        <v>12558</v>
      </c>
      <c r="H3426" s="7">
        <f t="shared" si="218"/>
        <v>0</v>
      </c>
      <c r="I3426" s="7" t="str" cm="1">
        <f t="array" ref="I3426">IFERROR(_xlfn.IFS(M3426="נח",1,M3426="נע ונח",1,M3426="שני שווא נח",2,M3426="שני שוואים בסוף מילה",2,M3426="שני שוואים ברצף",1),"0")</f>
        <v>0</v>
      </c>
      <c r="J3426" s="9">
        <f t="shared" si="219"/>
        <v>3</v>
      </c>
      <c r="K3426" t="s">
        <v>6698</v>
      </c>
      <c r="L3426" t="s">
        <v>6695</v>
      </c>
      <c r="O3426" t="s">
        <v>6694</v>
      </c>
      <c r="P3426" t="s">
        <v>6694</v>
      </c>
      <c r="Q3426" t="s">
        <v>6694</v>
      </c>
      <c r="W3426" t="s">
        <v>6720</v>
      </c>
    </row>
    <row r="3427" spans="1:23" ht="15.6" x14ac:dyDescent="0.4">
      <c r="A3427" s="2" t="s">
        <v>725</v>
      </c>
      <c r="B3427" s="5" t="s">
        <v>9752</v>
      </c>
      <c r="C3427" s="7" t="s">
        <v>12556</v>
      </c>
      <c r="D3427" s="8">
        <f t="shared" si="216"/>
        <v>0</v>
      </c>
      <c r="E3427" s="7" t="s">
        <v>12557</v>
      </c>
      <c r="F3427" s="7">
        <f t="shared" si="217"/>
        <v>1</v>
      </c>
      <c r="G3427" s="7" t="s">
        <v>12558</v>
      </c>
      <c r="H3427" s="7">
        <f t="shared" si="218"/>
        <v>1</v>
      </c>
      <c r="I3427" s="7" t="str" cm="1">
        <f t="array" ref="I3427">IFERROR(_xlfn.IFS(M3427="נח",1,M3427="נע ונח",1,M3427="שני שווא נח",2,M3427="שני שוואים בסוף מילה",2,M3427="שני שוואים ברצף",1),"0")</f>
        <v>0</v>
      </c>
      <c r="J3427" s="9">
        <f t="shared" si="219"/>
        <v>4</v>
      </c>
      <c r="K3427" t="s">
        <v>6698</v>
      </c>
      <c r="L3427" t="s">
        <v>6695</v>
      </c>
      <c r="O3427" t="s">
        <v>6694</v>
      </c>
      <c r="Q3427" t="s">
        <v>6694</v>
      </c>
      <c r="U3427" t="s">
        <v>6694</v>
      </c>
      <c r="W3427" t="s">
        <v>6720</v>
      </c>
    </row>
    <row r="3428" spans="1:23" ht="15.6" x14ac:dyDescent="0.4">
      <c r="A3428" s="2" t="s">
        <v>502</v>
      </c>
      <c r="B3428" s="5" t="s">
        <v>9753</v>
      </c>
      <c r="C3428" s="7" t="s">
        <v>12556</v>
      </c>
      <c r="D3428" s="8">
        <f t="shared" si="216"/>
        <v>1</v>
      </c>
      <c r="E3428" s="7" t="s">
        <v>12557</v>
      </c>
      <c r="F3428" s="7">
        <f t="shared" si="217"/>
        <v>1</v>
      </c>
      <c r="G3428" s="7" t="s">
        <v>12558</v>
      </c>
      <c r="H3428" s="7">
        <f t="shared" si="218"/>
        <v>1</v>
      </c>
      <c r="I3428" s="7" t="str" cm="1">
        <f t="array" ref="I3428">IFERROR(_xlfn.IFS(M3428="נח",1,M3428="נע ונח",1,M3428="שני שווא נח",2,M3428="שני שוואים בסוף מילה",2,M3428="שני שוואים ברצף",1),"0")</f>
        <v>0</v>
      </c>
      <c r="J3428" s="9">
        <f t="shared" si="219"/>
        <v>3</v>
      </c>
      <c r="K3428" t="s">
        <v>6697</v>
      </c>
      <c r="L3428" t="s">
        <v>6695</v>
      </c>
      <c r="Q3428" t="s">
        <v>6694</v>
      </c>
      <c r="U3428" t="s">
        <v>6694</v>
      </c>
      <c r="V3428" t="s">
        <v>6694</v>
      </c>
      <c r="W3428" t="s">
        <v>6720</v>
      </c>
    </row>
    <row r="3429" spans="1:23" ht="15.6" x14ac:dyDescent="0.4">
      <c r="A3429" s="2" t="s">
        <v>2441</v>
      </c>
      <c r="B3429" s="5" t="s">
        <v>9754</v>
      </c>
      <c r="C3429" s="7" t="s">
        <v>12556</v>
      </c>
      <c r="D3429" s="8">
        <f t="shared" si="216"/>
        <v>0</v>
      </c>
      <c r="E3429" s="7" t="s">
        <v>12557</v>
      </c>
      <c r="F3429" s="7">
        <f t="shared" si="217"/>
        <v>1</v>
      </c>
      <c r="G3429" s="7" t="s">
        <v>12558</v>
      </c>
      <c r="H3429" s="7">
        <f t="shared" si="218"/>
        <v>1</v>
      </c>
      <c r="I3429" s="7" cm="1">
        <f t="array" ref="I3429">IFERROR(_xlfn.IFS(M3429="נח",1,M3429="נע ונח",1,M3429="שני שווא נח",2,M3429="שני שוואים בסוף מילה",2,M3429="שני שוואים ברצף",1),"0")</f>
        <v>1</v>
      </c>
      <c r="J3429" s="9">
        <f t="shared" si="219"/>
        <v>2</v>
      </c>
      <c r="K3429" t="s">
        <v>6697</v>
      </c>
      <c r="L3429" t="s">
        <v>6694</v>
      </c>
      <c r="M3429" t="s">
        <v>6705</v>
      </c>
      <c r="Q3429" t="s">
        <v>6694</v>
      </c>
      <c r="U3429" t="s">
        <v>6694</v>
      </c>
      <c r="W3429" t="s">
        <v>6720</v>
      </c>
    </row>
    <row r="3430" spans="1:23" ht="15.6" x14ac:dyDescent="0.4">
      <c r="A3430" s="2" t="s">
        <v>3464</v>
      </c>
      <c r="B3430" s="5" t="s">
        <v>9755</v>
      </c>
      <c r="C3430" s="7" t="s">
        <v>12556</v>
      </c>
      <c r="D3430" s="8">
        <f t="shared" si="216"/>
        <v>0</v>
      </c>
      <c r="E3430" s="7" t="s">
        <v>12557</v>
      </c>
      <c r="F3430" s="7">
        <f t="shared" si="217"/>
        <v>0</v>
      </c>
      <c r="G3430" s="7" t="s">
        <v>12558</v>
      </c>
      <c r="H3430" s="7">
        <f t="shared" si="218"/>
        <v>0</v>
      </c>
      <c r="I3430" s="7" t="str" cm="1">
        <f t="array" ref="I3430">IFERROR(_xlfn.IFS(M3430="נח",1,M3430="נע ונח",1,M3430="שני שווא נח",2,M3430="שני שוואים בסוף מילה",2,M3430="שני שוואים ברצף",1),"0")</f>
        <v>0</v>
      </c>
      <c r="J3430" s="9">
        <f t="shared" si="219"/>
        <v>2</v>
      </c>
      <c r="K3430" t="s">
        <v>6697</v>
      </c>
      <c r="L3430" t="s">
        <v>6695</v>
      </c>
      <c r="P3430" t="s">
        <v>6694</v>
      </c>
      <c r="Q3430" t="s">
        <v>6694</v>
      </c>
      <c r="W3430" t="s">
        <v>6720</v>
      </c>
    </row>
    <row r="3431" spans="1:23" ht="15.6" x14ac:dyDescent="0.4">
      <c r="A3431" s="2" t="s">
        <v>974</v>
      </c>
      <c r="B3431" s="5" t="s">
        <v>9755</v>
      </c>
      <c r="C3431" s="7" t="s">
        <v>12556</v>
      </c>
      <c r="D3431" s="8">
        <f t="shared" si="216"/>
        <v>0</v>
      </c>
      <c r="E3431" s="7" t="s">
        <v>12557</v>
      </c>
      <c r="F3431" s="7">
        <f t="shared" si="217"/>
        <v>0</v>
      </c>
      <c r="G3431" s="7" t="s">
        <v>12558</v>
      </c>
      <c r="H3431" s="7">
        <f t="shared" si="218"/>
        <v>0</v>
      </c>
      <c r="I3431" s="7" t="str" cm="1">
        <f t="array" ref="I3431">IFERROR(_xlfn.IFS(M3431="נח",1,M3431="נע ונח",1,M3431="שני שווא נח",2,M3431="שני שוואים בסוף מילה",2,M3431="שני שוואים ברצף",1),"0")</f>
        <v>0</v>
      </c>
      <c r="J3431" s="9">
        <f t="shared" si="219"/>
        <v>2</v>
      </c>
      <c r="K3431" t="s">
        <v>6697</v>
      </c>
      <c r="L3431" t="s">
        <v>6695</v>
      </c>
      <c r="O3431" t="s">
        <v>6694</v>
      </c>
      <c r="Q3431" t="s">
        <v>6694</v>
      </c>
      <c r="W3431" t="s">
        <v>6720</v>
      </c>
    </row>
    <row r="3432" spans="1:23" ht="15.6" x14ac:dyDescent="0.4">
      <c r="A3432" s="2" t="s">
        <v>2450</v>
      </c>
      <c r="B3432" s="5" t="s">
        <v>9756</v>
      </c>
      <c r="C3432" s="7" t="s">
        <v>12556</v>
      </c>
      <c r="D3432" s="8">
        <f t="shared" si="216"/>
        <v>0</v>
      </c>
      <c r="E3432" s="7" t="s">
        <v>12557</v>
      </c>
      <c r="F3432" s="7">
        <f t="shared" si="217"/>
        <v>1</v>
      </c>
      <c r="G3432" s="7" t="s">
        <v>12558</v>
      </c>
      <c r="H3432" s="7">
        <f t="shared" si="218"/>
        <v>1</v>
      </c>
      <c r="I3432" s="7" t="str" cm="1">
        <f t="array" ref="I3432">IFERROR(_xlfn.IFS(M3432="נח",1,M3432="נע ונח",1,M3432="שני שווא נח",2,M3432="שני שוואים בסוף מילה",2,M3432="שני שוואים ברצף",1),"0")</f>
        <v>0</v>
      </c>
      <c r="J3432" s="9">
        <f t="shared" si="219"/>
        <v>4</v>
      </c>
      <c r="K3432" t="s">
        <v>6698</v>
      </c>
      <c r="L3432" t="s">
        <v>6695</v>
      </c>
      <c r="O3432" t="s">
        <v>6694</v>
      </c>
      <c r="Q3432" t="s">
        <v>6694</v>
      </c>
      <c r="U3432" t="s">
        <v>6694</v>
      </c>
      <c r="W3432" t="s">
        <v>6720</v>
      </c>
    </row>
    <row r="3433" spans="1:23" ht="15.6" x14ac:dyDescent="0.4">
      <c r="A3433" s="2" t="s">
        <v>4248</v>
      </c>
      <c r="B3433" s="5" t="s">
        <v>9757</v>
      </c>
      <c r="C3433" s="7" t="s">
        <v>12556</v>
      </c>
      <c r="D3433" s="8">
        <f t="shared" si="216"/>
        <v>0</v>
      </c>
      <c r="E3433" s="7" t="s">
        <v>12557</v>
      </c>
      <c r="F3433" s="7">
        <f t="shared" si="217"/>
        <v>1</v>
      </c>
      <c r="G3433" s="7" t="s">
        <v>12558</v>
      </c>
      <c r="H3433" s="7">
        <f t="shared" si="218"/>
        <v>1</v>
      </c>
      <c r="I3433" s="7" cm="1">
        <f t="array" ref="I3433">IFERROR(_xlfn.IFS(M3433="נח",1,M3433="נע ונח",1,M3433="שני שווא נח",2,M3433="שני שוואים בסוף מילה",2,M3433="שני שוואים ברצף",1),"0")</f>
        <v>1</v>
      </c>
      <c r="J3433" s="9">
        <f t="shared" si="219"/>
        <v>3</v>
      </c>
      <c r="K3433" t="s">
        <v>6698</v>
      </c>
      <c r="L3433" t="s">
        <v>6694</v>
      </c>
      <c r="M3433" t="s">
        <v>6705</v>
      </c>
      <c r="N3433" t="s">
        <v>6706</v>
      </c>
      <c r="O3433" t="s">
        <v>6694</v>
      </c>
      <c r="Q3433" t="s">
        <v>6694</v>
      </c>
      <c r="U3433" t="s">
        <v>6694</v>
      </c>
      <c r="W3433" t="s">
        <v>6720</v>
      </c>
    </row>
    <row r="3434" spans="1:23" ht="15.6" x14ac:dyDescent="0.4">
      <c r="A3434" s="2" t="s">
        <v>6030</v>
      </c>
      <c r="B3434" s="5" t="s">
        <v>9758</v>
      </c>
      <c r="C3434" s="7" t="s">
        <v>12556</v>
      </c>
      <c r="D3434" s="8">
        <f t="shared" si="216"/>
        <v>0</v>
      </c>
      <c r="E3434" s="7" t="s">
        <v>12557</v>
      </c>
      <c r="F3434" s="7">
        <f t="shared" si="217"/>
        <v>1</v>
      </c>
      <c r="G3434" s="7" t="s">
        <v>12558</v>
      </c>
      <c r="H3434" s="7">
        <f t="shared" si="218"/>
        <v>1</v>
      </c>
      <c r="I3434" s="7" t="str" cm="1">
        <f t="array" ref="I3434">IFERROR(_xlfn.IFS(M3434="נח",1,M3434="נע ונח",1,M3434="שני שווא נח",2,M3434="שני שוואים בסוף מילה",2,M3434="שני שוואים ברצף",1),"0")</f>
        <v>0</v>
      </c>
      <c r="J3434" s="9">
        <f t="shared" si="219"/>
        <v>4</v>
      </c>
      <c r="K3434" t="s">
        <v>6698</v>
      </c>
      <c r="L3434" t="s">
        <v>6695</v>
      </c>
      <c r="O3434" t="s">
        <v>6694</v>
      </c>
      <c r="Q3434" t="s">
        <v>6694</v>
      </c>
      <c r="U3434" t="s">
        <v>6694</v>
      </c>
      <c r="W3434" t="s">
        <v>6720</v>
      </c>
    </row>
    <row r="3435" spans="1:23" ht="15.6" x14ac:dyDescent="0.4">
      <c r="A3435" s="2" t="s">
        <v>4869</v>
      </c>
      <c r="B3435" s="5" t="s">
        <v>9759</v>
      </c>
      <c r="C3435" s="7" t="s">
        <v>12556</v>
      </c>
      <c r="D3435" s="8">
        <f t="shared" si="216"/>
        <v>0</v>
      </c>
      <c r="E3435" s="7" t="s">
        <v>12557</v>
      </c>
      <c r="F3435" s="7">
        <f t="shared" si="217"/>
        <v>1</v>
      </c>
      <c r="G3435" s="7" t="s">
        <v>12558</v>
      </c>
      <c r="H3435" s="7">
        <f t="shared" si="218"/>
        <v>1</v>
      </c>
      <c r="I3435" s="7" cm="1">
        <f t="array" ref="I3435">IFERROR(_xlfn.IFS(M3435="נח",1,M3435="נע ונח",1,M3435="שני שווא נח",2,M3435="שני שוואים בסוף מילה",2,M3435="שני שוואים ברצף",1),"0")</f>
        <v>1</v>
      </c>
      <c r="J3435" s="9">
        <f t="shared" si="219"/>
        <v>2</v>
      </c>
      <c r="K3435" t="s">
        <v>6697</v>
      </c>
      <c r="L3435" t="s">
        <v>6694</v>
      </c>
      <c r="M3435" t="s">
        <v>6705</v>
      </c>
      <c r="Q3435" t="s">
        <v>6694</v>
      </c>
      <c r="U3435" t="s">
        <v>6694</v>
      </c>
      <c r="W3435" t="s">
        <v>6720</v>
      </c>
    </row>
    <row r="3436" spans="1:23" ht="15.6" x14ac:dyDescent="0.4">
      <c r="A3436" s="2" t="s">
        <v>728</v>
      </c>
      <c r="B3436" s="5" t="s">
        <v>9760</v>
      </c>
      <c r="C3436" s="7" t="s">
        <v>12556</v>
      </c>
      <c r="D3436" s="8">
        <f t="shared" si="216"/>
        <v>0</v>
      </c>
      <c r="E3436" s="7" t="s">
        <v>12557</v>
      </c>
      <c r="F3436" s="7">
        <f t="shared" si="217"/>
        <v>0</v>
      </c>
      <c r="G3436" s="7" t="s">
        <v>12558</v>
      </c>
      <c r="H3436" s="7">
        <f t="shared" si="218"/>
        <v>0</v>
      </c>
      <c r="I3436" s="7" t="str" cm="1">
        <f t="array" ref="I3436">IFERROR(_xlfn.IFS(M3436="נח",1,M3436="נע ונח",1,M3436="שני שווא נח",2,M3436="שני שוואים בסוף מילה",2,M3436="שני שוואים ברצף",1),"0")</f>
        <v>0</v>
      </c>
      <c r="J3436" s="9">
        <f t="shared" si="219"/>
        <v>2</v>
      </c>
      <c r="K3436" t="s">
        <v>6697</v>
      </c>
      <c r="L3436" t="s">
        <v>6695</v>
      </c>
      <c r="Q3436" t="s">
        <v>6694</v>
      </c>
      <c r="W3436" t="s">
        <v>6720</v>
      </c>
    </row>
    <row r="3437" spans="1:23" ht="15.6" x14ac:dyDescent="0.4">
      <c r="A3437" s="2" t="s">
        <v>649</v>
      </c>
      <c r="B3437" s="5" t="s">
        <v>9761</v>
      </c>
      <c r="C3437" s="7" t="s">
        <v>12556</v>
      </c>
      <c r="D3437" s="8">
        <f t="shared" si="216"/>
        <v>0</v>
      </c>
      <c r="E3437" s="7" t="s">
        <v>12557</v>
      </c>
      <c r="F3437" s="7">
        <f t="shared" si="217"/>
        <v>1</v>
      </c>
      <c r="G3437" s="7" t="s">
        <v>12558</v>
      </c>
      <c r="H3437" s="7">
        <f t="shared" si="218"/>
        <v>1</v>
      </c>
      <c r="I3437" s="7" cm="1">
        <f t="array" ref="I3437">IFERROR(_xlfn.IFS(M3437="נח",1,M3437="נע ונח",1,M3437="שני שווא נח",2,M3437="שני שוואים בסוף מילה",2,M3437="שני שוואים ברצף",1),"0")</f>
        <v>1</v>
      </c>
      <c r="J3437" s="9">
        <f t="shared" si="219"/>
        <v>2</v>
      </c>
      <c r="K3437" t="s">
        <v>6697</v>
      </c>
      <c r="L3437" t="s">
        <v>6694</v>
      </c>
      <c r="M3437" t="s">
        <v>6705</v>
      </c>
      <c r="Q3437" t="s">
        <v>6694</v>
      </c>
      <c r="U3437" t="s">
        <v>6694</v>
      </c>
      <c r="W3437" t="s">
        <v>6720</v>
      </c>
    </row>
    <row r="3438" spans="1:23" ht="15.6" x14ac:dyDescent="0.4">
      <c r="A3438" s="2" t="s">
        <v>3082</v>
      </c>
      <c r="B3438" s="5" t="s">
        <v>9762</v>
      </c>
      <c r="C3438" s="7" t="s">
        <v>12556</v>
      </c>
      <c r="D3438" s="8">
        <f t="shared" si="216"/>
        <v>0</v>
      </c>
      <c r="E3438" s="7" t="s">
        <v>12557</v>
      </c>
      <c r="F3438" s="7">
        <f t="shared" si="217"/>
        <v>0</v>
      </c>
      <c r="G3438" s="7" t="s">
        <v>12558</v>
      </c>
      <c r="H3438" s="7">
        <f t="shared" si="218"/>
        <v>0</v>
      </c>
      <c r="I3438" s="7" t="str" cm="1">
        <f t="array" ref="I3438">IFERROR(_xlfn.IFS(M3438="נח",1,M3438="נע ונח",1,M3438="שני שווא נח",2,M3438="שני שוואים בסוף מילה",2,M3438="שני שוואים ברצף",1),"0")</f>
        <v>0</v>
      </c>
      <c r="J3438" s="9">
        <f t="shared" si="219"/>
        <v>2</v>
      </c>
      <c r="K3438" t="s">
        <v>6698</v>
      </c>
      <c r="L3438" t="s">
        <v>6695</v>
      </c>
      <c r="Q3438" t="s">
        <v>6694</v>
      </c>
      <c r="W3438" t="s">
        <v>6720</v>
      </c>
    </row>
    <row r="3439" spans="1:23" ht="15.6" x14ac:dyDescent="0.4">
      <c r="A3439" s="2" t="s">
        <v>4907</v>
      </c>
      <c r="B3439" s="5" t="s">
        <v>9671</v>
      </c>
      <c r="C3439" s="7" t="s">
        <v>12556</v>
      </c>
      <c r="D3439" s="8">
        <f t="shared" si="216"/>
        <v>0</v>
      </c>
      <c r="E3439" s="7" t="s">
        <v>12557</v>
      </c>
      <c r="F3439" s="7">
        <f t="shared" si="217"/>
        <v>0</v>
      </c>
      <c r="G3439" s="7" t="s">
        <v>12558</v>
      </c>
      <c r="H3439" s="7">
        <f t="shared" si="218"/>
        <v>0</v>
      </c>
      <c r="I3439" s="7" t="str" cm="1">
        <f t="array" ref="I3439">IFERROR(_xlfn.IFS(M3439="נח",1,M3439="נע ונח",1,M3439="שני שווא נח",2,M3439="שני שוואים בסוף מילה",2,M3439="שני שוואים ברצף",1),"0")</f>
        <v>0</v>
      </c>
      <c r="J3439" s="9">
        <f t="shared" si="219"/>
        <v>3</v>
      </c>
      <c r="K3439" t="s">
        <v>6697</v>
      </c>
      <c r="L3439" t="s">
        <v>6695</v>
      </c>
      <c r="O3439" t="s">
        <v>6694</v>
      </c>
      <c r="Q3439" t="s">
        <v>6694</v>
      </c>
      <c r="R3439" t="s">
        <v>6694</v>
      </c>
      <c r="W3439" t="s">
        <v>6720</v>
      </c>
    </row>
    <row r="3440" spans="1:23" ht="15.6" x14ac:dyDescent="0.4">
      <c r="A3440" s="2" t="s">
        <v>4169</v>
      </c>
      <c r="B3440" s="5" t="s">
        <v>6694</v>
      </c>
      <c r="C3440" s="7" t="s">
        <v>12556</v>
      </c>
      <c r="D3440" s="8">
        <f t="shared" si="216"/>
        <v>1</v>
      </c>
      <c r="E3440" s="7" t="s">
        <v>12557</v>
      </c>
      <c r="F3440" s="7">
        <f t="shared" si="217"/>
        <v>0</v>
      </c>
      <c r="G3440" s="7" t="s">
        <v>12558</v>
      </c>
      <c r="H3440" s="7">
        <f t="shared" si="218"/>
        <v>0</v>
      </c>
      <c r="I3440" s="7" t="str" cm="1">
        <f t="array" ref="I3440">IFERROR(_xlfn.IFS(M3440="נח",1,M3440="נע ונח",1,M3440="שני שווא נח",2,M3440="שני שוואים בסוף מילה",2,M3440="שני שוואים ברצף",1),"0")</f>
        <v>0</v>
      </c>
      <c r="J3440" s="9">
        <f t="shared" si="219"/>
        <v>1</v>
      </c>
      <c r="K3440" t="s">
        <v>6698</v>
      </c>
      <c r="L3440" t="s">
        <v>6695</v>
      </c>
      <c r="Q3440" t="s">
        <v>6694</v>
      </c>
      <c r="W3440" t="s">
        <v>6720</v>
      </c>
    </row>
    <row r="3441" spans="1:23" ht="15.6" x14ac:dyDescent="0.4">
      <c r="A3441" s="2" t="s">
        <v>5126</v>
      </c>
      <c r="B3441" s="5" t="s">
        <v>9763</v>
      </c>
      <c r="C3441" s="7" t="s">
        <v>12556</v>
      </c>
      <c r="D3441" s="8">
        <f t="shared" si="216"/>
        <v>1</v>
      </c>
      <c r="E3441" s="7" t="s">
        <v>12557</v>
      </c>
      <c r="F3441" s="7">
        <f t="shared" si="217"/>
        <v>1</v>
      </c>
      <c r="G3441" s="7" t="s">
        <v>12558</v>
      </c>
      <c r="H3441" s="7">
        <f t="shared" si="218"/>
        <v>1</v>
      </c>
      <c r="I3441" s="7" cm="1">
        <f t="array" ref="I3441">IFERROR(_xlfn.IFS(M3441="נח",1,M3441="נע ונח",1,M3441="שני שווא נח",2,M3441="שני שוואים בסוף מילה",2,M3441="שני שוואים ברצף",1),"0")</f>
        <v>1</v>
      </c>
      <c r="J3441" s="9">
        <f t="shared" si="219"/>
        <v>2</v>
      </c>
      <c r="K3441" t="s">
        <v>6697</v>
      </c>
      <c r="L3441" t="s">
        <v>6694</v>
      </c>
      <c r="M3441" t="s">
        <v>6705</v>
      </c>
      <c r="Q3441" t="s">
        <v>6694</v>
      </c>
      <c r="U3441" t="s">
        <v>6694</v>
      </c>
      <c r="W3441" t="s">
        <v>6720</v>
      </c>
    </row>
    <row r="3442" spans="1:23" ht="15.6" x14ac:dyDescent="0.4">
      <c r="A3442" s="2" t="s">
        <v>2392</v>
      </c>
      <c r="B3442" s="5" t="s">
        <v>9764</v>
      </c>
      <c r="C3442" s="7" t="s">
        <v>12556</v>
      </c>
      <c r="D3442" s="8">
        <f t="shared" si="216"/>
        <v>1</v>
      </c>
      <c r="E3442" s="7" t="s">
        <v>12557</v>
      </c>
      <c r="F3442" s="7">
        <f t="shared" si="217"/>
        <v>0</v>
      </c>
      <c r="G3442" s="7" t="s">
        <v>12558</v>
      </c>
      <c r="H3442" s="7">
        <f t="shared" si="218"/>
        <v>0</v>
      </c>
      <c r="I3442" s="7" t="str" cm="1">
        <f t="array" ref="I3442">IFERROR(_xlfn.IFS(M3442="נח",1,M3442="נע ונח",1,M3442="שני שווא נח",2,M3442="שני שוואים בסוף מילה",2,M3442="שני שוואים ברצף",1),"0")</f>
        <v>0</v>
      </c>
      <c r="J3442" s="9">
        <f t="shared" si="219"/>
        <v>2</v>
      </c>
      <c r="K3442" t="s">
        <v>6698</v>
      </c>
      <c r="L3442" t="s">
        <v>6695</v>
      </c>
      <c r="Q3442" t="s">
        <v>6694</v>
      </c>
      <c r="W3442" t="s">
        <v>6720</v>
      </c>
    </row>
    <row r="3443" spans="1:23" ht="15.6" x14ac:dyDescent="0.4">
      <c r="A3443" s="2" t="s">
        <v>3307</v>
      </c>
      <c r="B3443" s="5" t="s">
        <v>9765</v>
      </c>
      <c r="C3443" s="7" t="s">
        <v>12556</v>
      </c>
      <c r="D3443" s="8">
        <f t="shared" si="216"/>
        <v>1</v>
      </c>
      <c r="E3443" s="7" t="s">
        <v>12557</v>
      </c>
      <c r="F3443" s="7">
        <f t="shared" si="217"/>
        <v>0</v>
      </c>
      <c r="G3443" s="7" t="s">
        <v>12558</v>
      </c>
      <c r="H3443" s="7">
        <f t="shared" si="218"/>
        <v>0</v>
      </c>
      <c r="I3443" s="7" t="str" cm="1">
        <f t="array" ref="I3443">IFERROR(_xlfn.IFS(M3443="נח",1,M3443="נע ונח",1,M3443="שני שווא נח",2,M3443="שני שוואים בסוף מילה",2,M3443="שני שוואים ברצף",1),"0")</f>
        <v>0</v>
      </c>
      <c r="J3443" s="9">
        <f t="shared" si="219"/>
        <v>2</v>
      </c>
      <c r="K3443" t="s">
        <v>6697</v>
      </c>
      <c r="L3443" t="s">
        <v>6695</v>
      </c>
      <c r="P3443" t="s">
        <v>6694</v>
      </c>
      <c r="Q3443" t="s">
        <v>6694</v>
      </c>
      <c r="W3443" t="s">
        <v>6720</v>
      </c>
    </row>
    <row r="3444" spans="1:23" ht="15.6" x14ac:dyDescent="0.4">
      <c r="A3444" s="2" t="s">
        <v>5967</v>
      </c>
      <c r="B3444" s="5" t="s">
        <v>9766</v>
      </c>
      <c r="C3444" s="7" t="s">
        <v>12556</v>
      </c>
      <c r="D3444" s="8">
        <f t="shared" si="216"/>
        <v>1</v>
      </c>
      <c r="E3444" s="7" t="s">
        <v>12557</v>
      </c>
      <c r="F3444" s="7">
        <f t="shared" si="217"/>
        <v>1</v>
      </c>
      <c r="G3444" s="7" t="s">
        <v>12558</v>
      </c>
      <c r="H3444" s="7">
        <f t="shared" si="218"/>
        <v>1</v>
      </c>
      <c r="I3444" s="7" cm="1">
        <f t="array" ref="I3444">IFERROR(_xlfn.IFS(M3444="נח",1,M3444="נע ונח",1,M3444="שני שווא נח",2,M3444="שני שוואים בסוף מילה",2,M3444="שני שוואים ברצף",1),"0")</f>
        <v>1</v>
      </c>
      <c r="J3444" s="9">
        <f t="shared" si="219"/>
        <v>3</v>
      </c>
      <c r="K3444" t="s">
        <v>6697</v>
      </c>
      <c r="L3444" t="s">
        <v>6694</v>
      </c>
      <c r="M3444" t="s">
        <v>6702</v>
      </c>
      <c r="R3444" t="s">
        <v>6694</v>
      </c>
      <c r="U3444" t="s">
        <v>6694</v>
      </c>
      <c r="W3444" t="s">
        <v>6720</v>
      </c>
    </row>
    <row r="3445" spans="1:23" ht="15.6" x14ac:dyDescent="0.4">
      <c r="A3445" s="2" t="s">
        <v>2292</v>
      </c>
      <c r="B3445" s="5" t="s">
        <v>9767</v>
      </c>
      <c r="C3445" s="7" t="s">
        <v>12556</v>
      </c>
      <c r="D3445" s="8">
        <f t="shared" si="216"/>
        <v>0</v>
      </c>
      <c r="E3445" s="7" t="s">
        <v>12557</v>
      </c>
      <c r="F3445" s="7">
        <f t="shared" si="217"/>
        <v>0</v>
      </c>
      <c r="G3445" s="7" t="s">
        <v>12558</v>
      </c>
      <c r="H3445" s="7">
        <f t="shared" si="218"/>
        <v>0</v>
      </c>
      <c r="I3445" s="7" t="str" cm="1">
        <f t="array" ref="I3445">IFERROR(_xlfn.IFS(M3445="נח",1,M3445="נע ונח",1,M3445="שני שווא נח",2,M3445="שני שוואים בסוף מילה",2,M3445="שני שוואים ברצף",1),"0")</f>
        <v>0</v>
      </c>
      <c r="J3445" s="9">
        <f t="shared" si="219"/>
        <v>3</v>
      </c>
      <c r="K3445" t="s">
        <v>6698</v>
      </c>
      <c r="L3445" t="s">
        <v>6695</v>
      </c>
      <c r="P3445" t="s">
        <v>6694</v>
      </c>
      <c r="R3445" t="s">
        <v>6694</v>
      </c>
      <c r="W3445" t="s">
        <v>6720</v>
      </c>
    </row>
    <row r="3446" spans="1:23" ht="15.6" x14ac:dyDescent="0.4">
      <c r="A3446" s="2" t="s">
        <v>5150</v>
      </c>
      <c r="B3446" s="5" t="s">
        <v>9768</v>
      </c>
      <c r="C3446" s="7" t="s">
        <v>12556</v>
      </c>
      <c r="D3446" s="8">
        <f t="shared" si="216"/>
        <v>0</v>
      </c>
      <c r="E3446" s="7" t="s">
        <v>12557</v>
      </c>
      <c r="F3446" s="7">
        <f t="shared" si="217"/>
        <v>0</v>
      </c>
      <c r="G3446" s="7" t="s">
        <v>12558</v>
      </c>
      <c r="H3446" s="7">
        <f t="shared" si="218"/>
        <v>0</v>
      </c>
      <c r="I3446" s="7" t="str" cm="1">
        <f t="array" ref="I3446">IFERROR(_xlfn.IFS(M3446="נח",1,M3446="נע ונח",1,M3446="שני שווא נח",2,M3446="שני שוואים בסוף מילה",2,M3446="שני שוואים ברצף",1),"0")</f>
        <v>0</v>
      </c>
      <c r="J3446" s="9">
        <f t="shared" si="219"/>
        <v>3</v>
      </c>
      <c r="K3446" t="s">
        <v>6698</v>
      </c>
      <c r="L3446" t="s">
        <v>6695</v>
      </c>
      <c r="R3446" t="s">
        <v>6694</v>
      </c>
      <c r="V3446" t="s">
        <v>6694</v>
      </c>
      <c r="W3446" t="s">
        <v>6720</v>
      </c>
    </row>
    <row r="3447" spans="1:23" ht="15.6" x14ac:dyDescent="0.4">
      <c r="A3447" s="2" t="s">
        <v>174</v>
      </c>
      <c r="B3447" s="5" t="s">
        <v>9769</v>
      </c>
      <c r="C3447" s="7" t="s">
        <v>12556</v>
      </c>
      <c r="D3447" s="8">
        <f t="shared" si="216"/>
        <v>0</v>
      </c>
      <c r="E3447" s="7" t="s">
        <v>12557</v>
      </c>
      <c r="F3447" s="7">
        <f t="shared" si="217"/>
        <v>1</v>
      </c>
      <c r="G3447" s="7" t="s">
        <v>12558</v>
      </c>
      <c r="H3447" s="7">
        <f t="shared" si="218"/>
        <v>0</v>
      </c>
      <c r="I3447" s="7" cm="1">
        <f t="array" ref="I3447">IFERROR(_xlfn.IFS(M3447="נח",1,M3447="נע ונח",1,M3447="שני שווא נח",2,M3447="שני שוואים בסוף מילה",2,M3447="שני שוואים ברצף",1),"0")</f>
        <v>1</v>
      </c>
      <c r="J3447" s="9">
        <f t="shared" si="219"/>
        <v>2</v>
      </c>
      <c r="K3447" t="s">
        <v>6697</v>
      </c>
      <c r="L3447" t="s">
        <v>6694</v>
      </c>
      <c r="M3447" t="s">
        <v>6705</v>
      </c>
      <c r="R3447" t="s">
        <v>6694</v>
      </c>
      <c r="W3447" t="s">
        <v>6720</v>
      </c>
    </row>
    <row r="3448" spans="1:23" ht="15.6" x14ac:dyDescent="0.4">
      <c r="A3448" s="2" t="s">
        <v>5179</v>
      </c>
      <c r="B3448" s="5" t="s">
        <v>9770</v>
      </c>
      <c r="C3448" s="7" t="s">
        <v>12556</v>
      </c>
      <c r="D3448" s="8">
        <f t="shared" si="216"/>
        <v>0</v>
      </c>
      <c r="E3448" s="7" t="s">
        <v>12557</v>
      </c>
      <c r="F3448" s="7">
        <f t="shared" si="217"/>
        <v>2</v>
      </c>
      <c r="G3448" s="7" t="s">
        <v>12558</v>
      </c>
      <c r="H3448" s="7">
        <f t="shared" si="218"/>
        <v>1</v>
      </c>
      <c r="I3448" s="7" cm="1">
        <f t="array" ref="I3448">IFERROR(_xlfn.IFS(M3448="נח",1,M3448="נע ונח",1,M3448="שני שווא נח",2,M3448="שני שוואים בסוף מילה",2,M3448="שני שוואים ברצף",1),"0")</f>
        <v>1</v>
      </c>
      <c r="J3448" s="9">
        <f t="shared" si="219"/>
        <v>2</v>
      </c>
      <c r="K3448" t="s">
        <v>6697</v>
      </c>
      <c r="L3448" t="s">
        <v>6694</v>
      </c>
      <c r="M3448" t="s">
        <v>6705</v>
      </c>
      <c r="R3448" t="s">
        <v>6694</v>
      </c>
      <c r="U3448" t="s">
        <v>6694</v>
      </c>
      <c r="W3448" t="s">
        <v>6720</v>
      </c>
    </row>
    <row r="3449" spans="1:23" ht="15.6" x14ac:dyDescent="0.4">
      <c r="A3449" s="2" t="s">
        <v>3462</v>
      </c>
      <c r="B3449" s="5" t="s">
        <v>9771</v>
      </c>
      <c r="C3449" s="7" t="s">
        <v>12556</v>
      </c>
      <c r="D3449" s="8">
        <f t="shared" si="216"/>
        <v>0</v>
      </c>
      <c r="E3449" s="7" t="s">
        <v>12557</v>
      </c>
      <c r="F3449" s="7">
        <f t="shared" si="217"/>
        <v>1</v>
      </c>
      <c r="G3449" s="7" t="s">
        <v>12558</v>
      </c>
      <c r="H3449" s="7">
        <f t="shared" si="218"/>
        <v>1</v>
      </c>
      <c r="I3449" s="7" t="str" cm="1">
        <f t="array" ref="I3449">IFERROR(_xlfn.IFS(M3449="נח",1,M3449="נע ונח",1,M3449="שני שווא נח",2,M3449="שני שוואים בסוף מילה",2,M3449="שני שוואים ברצף",1),"0")</f>
        <v>0</v>
      </c>
      <c r="J3449" s="9">
        <f t="shared" si="219"/>
        <v>4</v>
      </c>
      <c r="K3449" t="s">
        <v>6698</v>
      </c>
      <c r="L3449" t="s">
        <v>6695</v>
      </c>
      <c r="N3449" t="s">
        <v>6706</v>
      </c>
      <c r="O3449" t="s">
        <v>6694</v>
      </c>
      <c r="R3449" t="s">
        <v>6694</v>
      </c>
      <c r="U3449" t="s">
        <v>6694</v>
      </c>
      <c r="W3449" t="s">
        <v>6720</v>
      </c>
    </row>
    <row r="3450" spans="1:23" ht="15.6" x14ac:dyDescent="0.4">
      <c r="A3450" s="2" t="s">
        <v>3766</v>
      </c>
      <c r="B3450" s="5" t="s">
        <v>9772</v>
      </c>
      <c r="C3450" s="7" t="s">
        <v>12556</v>
      </c>
      <c r="D3450" s="8">
        <f t="shared" si="216"/>
        <v>0</v>
      </c>
      <c r="E3450" s="7" t="s">
        <v>12557</v>
      </c>
      <c r="F3450" s="7">
        <f t="shared" si="217"/>
        <v>1</v>
      </c>
      <c r="G3450" s="7" t="s">
        <v>12558</v>
      </c>
      <c r="H3450" s="7">
        <f t="shared" si="218"/>
        <v>1</v>
      </c>
      <c r="I3450" s="7" t="str" cm="1">
        <f t="array" ref="I3450">IFERROR(_xlfn.IFS(M3450="נח",1,M3450="נע ונח",1,M3450="שני שווא נח",2,M3450="שני שוואים בסוף מילה",2,M3450="שני שוואים ברצף",1),"0")</f>
        <v>0</v>
      </c>
      <c r="J3450" s="9">
        <f t="shared" si="219"/>
        <v>3</v>
      </c>
      <c r="K3450" t="s">
        <v>6697</v>
      </c>
      <c r="L3450" t="s">
        <v>6695</v>
      </c>
      <c r="R3450" t="s">
        <v>6694</v>
      </c>
      <c r="U3450" t="s">
        <v>6694</v>
      </c>
      <c r="W3450" t="s">
        <v>6720</v>
      </c>
    </row>
    <row r="3451" spans="1:23" ht="15.6" x14ac:dyDescent="0.4">
      <c r="A3451" s="2" t="s">
        <v>5581</v>
      </c>
      <c r="B3451" s="5" t="s">
        <v>9773</v>
      </c>
      <c r="C3451" s="7" t="s">
        <v>12556</v>
      </c>
      <c r="D3451" s="8">
        <f t="shared" si="216"/>
        <v>0</v>
      </c>
      <c r="E3451" s="7" t="s">
        <v>12557</v>
      </c>
      <c r="F3451" s="7">
        <f t="shared" si="217"/>
        <v>0</v>
      </c>
      <c r="G3451" s="7" t="s">
        <v>12558</v>
      </c>
      <c r="H3451" s="7">
        <f t="shared" si="218"/>
        <v>0</v>
      </c>
      <c r="I3451" s="7" cm="1">
        <f t="array" ref="I3451">IFERROR(_xlfn.IFS(M3451="נח",1,M3451="נע ונח",1,M3451="שני שווא נח",2,M3451="שני שוואים בסוף מילה",2,M3451="שני שוואים ברצף",1),"0")</f>
        <v>1</v>
      </c>
      <c r="J3451" s="9">
        <f t="shared" si="219"/>
        <v>4</v>
      </c>
      <c r="K3451" t="s">
        <v>6697</v>
      </c>
      <c r="L3451" t="s">
        <v>6694</v>
      </c>
      <c r="M3451" t="s">
        <v>6705</v>
      </c>
      <c r="Q3451" t="s">
        <v>6694</v>
      </c>
      <c r="R3451" t="s">
        <v>6694</v>
      </c>
      <c r="S3451" t="s">
        <v>6694</v>
      </c>
      <c r="W3451" t="s">
        <v>6720</v>
      </c>
    </row>
    <row r="3452" spans="1:23" ht="15.6" x14ac:dyDescent="0.4">
      <c r="A3452" s="2" t="s">
        <v>2681</v>
      </c>
      <c r="B3452" s="5" t="s">
        <v>9774</v>
      </c>
      <c r="C3452" s="7" t="s">
        <v>12556</v>
      </c>
      <c r="D3452" s="8">
        <f t="shared" si="216"/>
        <v>0</v>
      </c>
      <c r="E3452" s="7" t="s">
        <v>12557</v>
      </c>
      <c r="F3452" s="7">
        <f t="shared" si="217"/>
        <v>0</v>
      </c>
      <c r="G3452" s="7" t="s">
        <v>12558</v>
      </c>
      <c r="H3452" s="7">
        <f t="shared" si="218"/>
        <v>0</v>
      </c>
      <c r="I3452" s="7" cm="1">
        <f t="array" ref="I3452">IFERROR(_xlfn.IFS(M3452="נח",1,M3452="נע ונח",1,M3452="שני שווא נח",2,M3452="שני שוואים בסוף מילה",2,M3452="שני שוואים ברצף",1),"0")</f>
        <v>1</v>
      </c>
      <c r="J3452" s="9">
        <f t="shared" si="219"/>
        <v>3</v>
      </c>
      <c r="K3452" t="s">
        <v>6698</v>
      </c>
      <c r="L3452" t="s">
        <v>6694</v>
      </c>
      <c r="M3452" t="s">
        <v>6705</v>
      </c>
      <c r="Q3452" t="s">
        <v>6694</v>
      </c>
      <c r="R3452" t="s">
        <v>6694</v>
      </c>
      <c r="W3452" t="s">
        <v>6720</v>
      </c>
    </row>
    <row r="3453" spans="1:23" ht="15.6" x14ac:dyDescent="0.4">
      <c r="A3453" s="2" t="s">
        <v>3767</v>
      </c>
      <c r="B3453" s="5" t="s">
        <v>9775</v>
      </c>
      <c r="C3453" s="7" t="s">
        <v>12556</v>
      </c>
      <c r="D3453" s="8">
        <f t="shared" si="216"/>
        <v>0</v>
      </c>
      <c r="E3453" s="7" t="s">
        <v>12557</v>
      </c>
      <c r="F3453" s="7">
        <f t="shared" si="217"/>
        <v>1</v>
      </c>
      <c r="G3453" s="7" t="s">
        <v>12558</v>
      </c>
      <c r="H3453" s="7">
        <f t="shared" si="218"/>
        <v>1</v>
      </c>
      <c r="I3453" s="7" cm="1">
        <f t="array" ref="I3453">IFERROR(_xlfn.IFS(M3453="נח",1,M3453="נע ונח",1,M3453="שני שווא נח",2,M3453="שני שוואים בסוף מילה",2,M3453="שני שוואים ברצף",1),"0")</f>
        <v>1</v>
      </c>
      <c r="J3453" s="9">
        <f t="shared" si="219"/>
        <v>3</v>
      </c>
      <c r="K3453" t="s">
        <v>6697</v>
      </c>
      <c r="L3453" t="s">
        <v>6694</v>
      </c>
      <c r="M3453" t="s">
        <v>6702</v>
      </c>
      <c r="R3453" t="s">
        <v>6694</v>
      </c>
      <c r="U3453" t="s">
        <v>6694</v>
      </c>
      <c r="W3453" t="s">
        <v>6720</v>
      </c>
    </row>
    <row r="3454" spans="1:23" ht="15.6" x14ac:dyDescent="0.4">
      <c r="A3454" s="2" t="s">
        <v>1367</v>
      </c>
      <c r="B3454" s="5" t="s">
        <v>9776</v>
      </c>
      <c r="C3454" s="7" t="s">
        <v>12556</v>
      </c>
      <c r="D3454" s="8">
        <f t="shared" si="216"/>
        <v>0</v>
      </c>
      <c r="E3454" s="7" t="s">
        <v>12557</v>
      </c>
      <c r="F3454" s="7">
        <f t="shared" si="217"/>
        <v>1</v>
      </c>
      <c r="G3454" s="7" t="s">
        <v>12558</v>
      </c>
      <c r="H3454" s="7">
        <f t="shared" si="218"/>
        <v>0</v>
      </c>
      <c r="I3454" s="7" cm="1">
        <f t="array" ref="I3454">IFERROR(_xlfn.IFS(M3454="נח",1,M3454="נע ונח",1,M3454="שני שווא נח",2,M3454="שני שוואים בסוף מילה",2,M3454="שני שוואים ברצף",1),"0")</f>
        <v>1</v>
      </c>
      <c r="J3454" s="9">
        <f t="shared" si="219"/>
        <v>2</v>
      </c>
      <c r="K3454" t="s">
        <v>6698</v>
      </c>
      <c r="L3454" t="s">
        <v>6694</v>
      </c>
      <c r="M3454" t="s">
        <v>6705</v>
      </c>
      <c r="N3454" t="s">
        <v>6706</v>
      </c>
      <c r="O3454" t="s">
        <v>6694</v>
      </c>
      <c r="R3454" t="s">
        <v>6694</v>
      </c>
      <c r="W3454" t="s">
        <v>6720</v>
      </c>
    </row>
    <row r="3455" spans="1:23" ht="15.6" x14ac:dyDescent="0.4">
      <c r="A3455" s="2" t="s">
        <v>6266</v>
      </c>
      <c r="B3455" s="5" t="s">
        <v>9777</v>
      </c>
      <c r="C3455" s="7" t="s">
        <v>12556</v>
      </c>
      <c r="D3455" s="8">
        <f t="shared" si="216"/>
        <v>0</v>
      </c>
      <c r="E3455" s="7" t="s">
        <v>12557</v>
      </c>
      <c r="F3455" s="7">
        <f t="shared" si="217"/>
        <v>2</v>
      </c>
      <c r="G3455" s="7" t="s">
        <v>12558</v>
      </c>
      <c r="H3455" s="7">
        <f t="shared" si="218"/>
        <v>1</v>
      </c>
      <c r="I3455" s="7" cm="1">
        <f t="array" ref="I3455">IFERROR(_xlfn.IFS(M3455="נח",1,M3455="נע ונח",1,M3455="שני שווא נח",2,M3455="שני שוואים בסוף מילה",2,M3455="שני שוואים ברצף",1),"0")</f>
        <v>1</v>
      </c>
      <c r="J3455" s="9">
        <f t="shared" si="219"/>
        <v>3</v>
      </c>
      <c r="K3455" t="s">
        <v>6697</v>
      </c>
      <c r="L3455" t="s">
        <v>6694</v>
      </c>
      <c r="M3455" t="s">
        <v>6705</v>
      </c>
      <c r="O3455" t="s">
        <v>6694</v>
      </c>
      <c r="R3455" t="s">
        <v>6694</v>
      </c>
      <c r="U3455" t="s">
        <v>6694</v>
      </c>
      <c r="W3455" t="s">
        <v>6720</v>
      </c>
    </row>
    <row r="3456" spans="1:23" ht="15.6" x14ac:dyDescent="0.4">
      <c r="A3456" s="2" t="s">
        <v>2454</v>
      </c>
      <c r="B3456" s="5" t="s">
        <v>9778</v>
      </c>
      <c r="C3456" s="7" t="s">
        <v>12556</v>
      </c>
      <c r="D3456" s="8">
        <f t="shared" si="216"/>
        <v>0</v>
      </c>
      <c r="E3456" s="7" t="s">
        <v>12557</v>
      </c>
      <c r="F3456" s="7">
        <f t="shared" si="217"/>
        <v>1</v>
      </c>
      <c r="G3456" s="7" t="s">
        <v>12558</v>
      </c>
      <c r="H3456" s="7">
        <f t="shared" si="218"/>
        <v>1</v>
      </c>
      <c r="I3456" s="7" t="str" cm="1">
        <f t="array" ref="I3456">IFERROR(_xlfn.IFS(M3456="נח",1,M3456="נע ונח",1,M3456="שני שווא נח",2,M3456="שני שוואים בסוף מילה",2,M3456="שני שוואים ברצף",1),"0")</f>
        <v>0</v>
      </c>
      <c r="J3456" s="9">
        <f t="shared" si="219"/>
        <v>3</v>
      </c>
      <c r="K3456" t="s">
        <v>6697</v>
      </c>
      <c r="L3456" t="s">
        <v>6695</v>
      </c>
      <c r="R3456" t="s">
        <v>6694</v>
      </c>
      <c r="U3456" t="s">
        <v>6694</v>
      </c>
      <c r="W3456" t="s">
        <v>6720</v>
      </c>
    </row>
    <row r="3457" spans="1:23" ht="15.6" x14ac:dyDescent="0.4">
      <c r="A3457" s="2" t="s">
        <v>3894</v>
      </c>
      <c r="B3457" s="5" t="s">
        <v>9779</v>
      </c>
      <c r="C3457" s="7" t="s">
        <v>12556</v>
      </c>
      <c r="D3457" s="8">
        <f t="shared" si="216"/>
        <v>0</v>
      </c>
      <c r="E3457" s="7" t="s">
        <v>12557</v>
      </c>
      <c r="F3457" s="7">
        <f t="shared" si="217"/>
        <v>0</v>
      </c>
      <c r="G3457" s="7" t="s">
        <v>12558</v>
      </c>
      <c r="H3457" s="7">
        <f t="shared" si="218"/>
        <v>0</v>
      </c>
      <c r="I3457" s="7" cm="1">
        <f t="array" ref="I3457">IFERROR(_xlfn.IFS(M3457="נח",1,M3457="נע ונח",1,M3457="שני שווא נח",2,M3457="שני שוואים בסוף מילה",2,M3457="שני שוואים ברצף",1),"0")</f>
        <v>1</v>
      </c>
      <c r="J3457" s="9">
        <f t="shared" si="219"/>
        <v>4</v>
      </c>
      <c r="K3457" t="s">
        <v>6697</v>
      </c>
      <c r="L3457" t="s">
        <v>6694</v>
      </c>
      <c r="M3457" t="s">
        <v>6705</v>
      </c>
      <c r="P3457" t="s">
        <v>6694</v>
      </c>
      <c r="R3457" t="s">
        <v>6694</v>
      </c>
      <c r="S3457" t="s">
        <v>6694</v>
      </c>
      <c r="W3457" t="s">
        <v>6720</v>
      </c>
    </row>
    <row r="3458" spans="1:23" ht="15.6" x14ac:dyDescent="0.4">
      <c r="A3458" s="2" t="s">
        <v>2758</v>
      </c>
      <c r="B3458" s="5" t="s">
        <v>9780</v>
      </c>
      <c r="C3458" s="7" t="s">
        <v>12556</v>
      </c>
      <c r="D3458" s="8">
        <f t="shared" si="216"/>
        <v>0</v>
      </c>
      <c r="E3458" s="7" t="s">
        <v>12557</v>
      </c>
      <c r="F3458" s="7">
        <f t="shared" si="217"/>
        <v>0</v>
      </c>
      <c r="G3458" s="7" t="s">
        <v>12558</v>
      </c>
      <c r="H3458" s="7">
        <f t="shared" si="218"/>
        <v>0</v>
      </c>
      <c r="I3458" s="7" t="str" cm="1">
        <f t="array" ref="I3458">IFERROR(_xlfn.IFS(M3458="נח",1,M3458="נע ונח",1,M3458="שני שווא נח",2,M3458="שני שוואים בסוף מילה",2,M3458="שני שוואים ברצף",1),"0")</f>
        <v>0</v>
      </c>
      <c r="J3458" s="9">
        <f t="shared" si="219"/>
        <v>3</v>
      </c>
      <c r="K3458" t="s">
        <v>6697</v>
      </c>
      <c r="L3458" t="s">
        <v>6695</v>
      </c>
      <c r="R3458" t="s">
        <v>6694</v>
      </c>
      <c r="W3458" t="s">
        <v>6720</v>
      </c>
    </row>
    <row r="3459" spans="1:23" ht="15.6" x14ac:dyDescent="0.4">
      <c r="A3459" s="2" t="s">
        <v>6046</v>
      </c>
      <c r="B3459" s="5" t="s">
        <v>9781</v>
      </c>
      <c r="C3459" s="7" t="s">
        <v>12556</v>
      </c>
      <c r="D3459" s="8">
        <f t="shared" ref="D3459:D3522" si="220">(LEN(B3459)-LEN(SUBSTITUTE(B3459,C3459,"")))</f>
        <v>0</v>
      </c>
      <c r="E3459" s="7" t="s">
        <v>12557</v>
      </c>
      <c r="F3459" s="7">
        <f t="shared" ref="F3459:F3522" si="221">(LEN(A3459)-LEN(SUBSTITUTE(A3459,E3459,"")))</f>
        <v>1</v>
      </c>
      <c r="G3459" s="7" t="s">
        <v>12558</v>
      </c>
      <c r="H3459" s="7">
        <f t="shared" ref="H3459:H3522" si="222">(LEN(A3459)-LEN(SUBSTITUTE(A3459,G3459,"")))/2</f>
        <v>1</v>
      </c>
      <c r="I3459" s="7" t="str" cm="1">
        <f t="array" ref="I3459">IFERROR(_xlfn.IFS(M3459="נח",1,M3459="נע ונח",1,M3459="שני שווא נח",2,M3459="שני שוואים בסוף מילה",2,M3459="שני שוואים ברצף",1),"0")</f>
        <v>0</v>
      </c>
      <c r="J3459" s="9">
        <f t="shared" ref="J3459:J3522" si="223">LEN(A3459)-(LEN(B3459))-D3459-F3459+H3459-I3459</f>
        <v>4</v>
      </c>
      <c r="K3459" t="s">
        <v>6698</v>
      </c>
      <c r="L3459" t="s">
        <v>6695</v>
      </c>
      <c r="N3459" t="s">
        <v>6706</v>
      </c>
      <c r="O3459" t="s">
        <v>6694</v>
      </c>
      <c r="R3459" t="s">
        <v>6694</v>
      </c>
      <c r="U3459" t="s">
        <v>6694</v>
      </c>
      <c r="W3459" t="s">
        <v>6720</v>
      </c>
    </row>
    <row r="3460" spans="1:23" ht="15.6" x14ac:dyDescent="0.4">
      <c r="A3460" s="2" t="s">
        <v>4064</v>
      </c>
      <c r="B3460" s="5" t="s">
        <v>9782</v>
      </c>
      <c r="C3460" s="7" t="s">
        <v>12556</v>
      </c>
      <c r="D3460" s="8">
        <f t="shared" si="220"/>
        <v>0</v>
      </c>
      <c r="E3460" s="7" t="s">
        <v>12557</v>
      </c>
      <c r="F3460" s="7">
        <f t="shared" si="221"/>
        <v>1</v>
      </c>
      <c r="G3460" s="7" t="s">
        <v>12558</v>
      </c>
      <c r="H3460" s="7">
        <f t="shared" si="222"/>
        <v>1</v>
      </c>
      <c r="I3460" s="7" t="str" cm="1">
        <f t="array" ref="I3460">IFERROR(_xlfn.IFS(M3460="נח",1,M3460="נע ונח",1,M3460="שני שווא נח",2,M3460="שני שוואים בסוף מילה",2,M3460="שני שוואים ברצף",1),"0")</f>
        <v>0</v>
      </c>
      <c r="J3460" s="9">
        <f t="shared" si="223"/>
        <v>3</v>
      </c>
      <c r="K3460" t="s">
        <v>6697</v>
      </c>
      <c r="L3460" t="s">
        <v>6695</v>
      </c>
      <c r="R3460" t="s">
        <v>6694</v>
      </c>
      <c r="U3460" t="s">
        <v>6694</v>
      </c>
      <c r="W3460" t="s">
        <v>6720</v>
      </c>
    </row>
    <row r="3461" spans="1:23" ht="15.6" x14ac:dyDescent="0.4">
      <c r="A3461" s="2" t="s">
        <v>5293</v>
      </c>
      <c r="B3461" s="5" t="s">
        <v>9783</v>
      </c>
      <c r="C3461" s="7" t="s">
        <v>12556</v>
      </c>
      <c r="D3461" s="8">
        <f t="shared" si="220"/>
        <v>1</v>
      </c>
      <c r="E3461" s="7" t="s">
        <v>12557</v>
      </c>
      <c r="F3461" s="7">
        <f t="shared" si="221"/>
        <v>0</v>
      </c>
      <c r="G3461" s="7" t="s">
        <v>12558</v>
      </c>
      <c r="H3461" s="7">
        <f t="shared" si="222"/>
        <v>0</v>
      </c>
      <c r="I3461" s="7" t="str" cm="1">
        <f t="array" ref="I3461">IFERROR(_xlfn.IFS(M3461="נח",1,M3461="נע ונח",1,M3461="שני שווא נח",2,M3461="שני שוואים בסוף מילה",2,M3461="שני שוואים ברצף",1),"0")</f>
        <v>0</v>
      </c>
      <c r="J3461" s="9">
        <f t="shared" si="223"/>
        <v>3</v>
      </c>
      <c r="K3461" t="s">
        <v>6698</v>
      </c>
      <c r="L3461" t="s">
        <v>6695</v>
      </c>
      <c r="P3461" t="s">
        <v>6694</v>
      </c>
      <c r="R3461" t="s">
        <v>6694</v>
      </c>
      <c r="W3461" t="s">
        <v>6720</v>
      </c>
    </row>
    <row r="3462" spans="1:23" ht="15.6" x14ac:dyDescent="0.4">
      <c r="A3462" s="2" t="s">
        <v>5629</v>
      </c>
      <c r="B3462" s="5" t="s">
        <v>9784</v>
      </c>
      <c r="C3462" s="7" t="s">
        <v>12556</v>
      </c>
      <c r="D3462" s="8">
        <f t="shared" si="220"/>
        <v>1</v>
      </c>
      <c r="E3462" s="7" t="s">
        <v>12557</v>
      </c>
      <c r="F3462" s="7">
        <f t="shared" si="221"/>
        <v>0</v>
      </c>
      <c r="G3462" s="7" t="s">
        <v>12558</v>
      </c>
      <c r="H3462" s="7">
        <f t="shared" si="222"/>
        <v>0</v>
      </c>
      <c r="I3462" s="7" cm="1">
        <f t="array" ref="I3462">IFERROR(_xlfn.IFS(M3462="נח",1,M3462="נע ונח",1,M3462="שני שווא נח",2,M3462="שני שוואים בסוף מילה",2,M3462="שני שוואים ברצף",1),"0")</f>
        <v>1</v>
      </c>
      <c r="J3462" s="9">
        <f t="shared" si="223"/>
        <v>2</v>
      </c>
      <c r="K3462" t="s">
        <v>6698</v>
      </c>
      <c r="L3462" t="s">
        <v>6694</v>
      </c>
      <c r="M3462" t="s">
        <v>6705</v>
      </c>
      <c r="P3462" t="s">
        <v>6694</v>
      </c>
      <c r="R3462" t="s">
        <v>6694</v>
      </c>
      <c r="W3462" t="s">
        <v>6720</v>
      </c>
    </row>
    <row r="3463" spans="1:23" ht="15.6" x14ac:dyDescent="0.4">
      <c r="A3463" s="2" t="s">
        <v>1292</v>
      </c>
      <c r="B3463" s="5" t="s">
        <v>6694</v>
      </c>
      <c r="C3463" s="7" t="s">
        <v>12556</v>
      </c>
      <c r="D3463" s="8">
        <f t="shared" si="220"/>
        <v>1</v>
      </c>
      <c r="E3463" s="7" t="s">
        <v>12557</v>
      </c>
      <c r="F3463" s="7">
        <f t="shared" si="221"/>
        <v>0</v>
      </c>
      <c r="G3463" s="7" t="s">
        <v>12558</v>
      </c>
      <c r="H3463" s="7">
        <f t="shared" si="222"/>
        <v>0</v>
      </c>
      <c r="I3463" s="7" t="str" cm="1">
        <f t="array" ref="I3463">IFERROR(_xlfn.IFS(M3463="נח",1,M3463="נע ונח",1,M3463="שני שווא נח",2,M3463="שני שוואים בסוף מילה",2,M3463="שני שוואים ברצף",1),"0")</f>
        <v>0</v>
      </c>
      <c r="J3463" s="9">
        <f t="shared" si="223"/>
        <v>1</v>
      </c>
      <c r="K3463" t="s">
        <v>6698</v>
      </c>
      <c r="L3463" t="s">
        <v>6695</v>
      </c>
      <c r="R3463" t="s">
        <v>6694</v>
      </c>
      <c r="W3463" t="s">
        <v>6720</v>
      </c>
    </row>
    <row r="3464" spans="1:23" ht="15.6" x14ac:dyDescent="0.4">
      <c r="A3464" s="2" t="s">
        <v>2445</v>
      </c>
      <c r="B3464" s="5" t="s">
        <v>9785</v>
      </c>
      <c r="C3464" s="7" t="s">
        <v>12556</v>
      </c>
      <c r="D3464" s="8">
        <f t="shared" si="220"/>
        <v>0</v>
      </c>
      <c r="E3464" s="7" t="s">
        <v>12557</v>
      </c>
      <c r="F3464" s="7">
        <f t="shared" si="221"/>
        <v>0</v>
      </c>
      <c r="G3464" s="7" t="s">
        <v>12558</v>
      </c>
      <c r="H3464" s="7">
        <f t="shared" si="222"/>
        <v>0</v>
      </c>
      <c r="I3464" s="7" t="str" cm="1">
        <f t="array" ref="I3464">IFERROR(_xlfn.IFS(M3464="נח",1,M3464="נע ונח",1,M3464="שני שווא נח",2,M3464="שני שוואים בסוף מילה",2,M3464="שני שוואים ברצף",1),"0")</f>
        <v>0</v>
      </c>
      <c r="J3464" s="9">
        <f t="shared" si="223"/>
        <v>2</v>
      </c>
      <c r="K3464" t="s">
        <v>6698</v>
      </c>
      <c r="L3464" t="s">
        <v>6695</v>
      </c>
      <c r="R3464" t="s">
        <v>6694</v>
      </c>
      <c r="W3464" t="s">
        <v>6720</v>
      </c>
    </row>
    <row r="3465" spans="1:23" ht="15.6" x14ac:dyDescent="0.4">
      <c r="A3465" s="2" t="s">
        <v>4142</v>
      </c>
      <c r="B3465" s="5" t="s">
        <v>9786</v>
      </c>
      <c r="C3465" s="7" t="s">
        <v>12556</v>
      </c>
      <c r="D3465" s="8">
        <f t="shared" si="220"/>
        <v>0</v>
      </c>
      <c r="E3465" s="7" t="s">
        <v>12557</v>
      </c>
      <c r="F3465" s="7">
        <f t="shared" si="221"/>
        <v>0</v>
      </c>
      <c r="G3465" s="7" t="s">
        <v>12558</v>
      </c>
      <c r="H3465" s="7">
        <f t="shared" si="222"/>
        <v>0</v>
      </c>
      <c r="I3465" s="7" cm="1">
        <f t="array" ref="I3465">IFERROR(_xlfn.IFS(M3465="נח",1,M3465="נע ונח",1,M3465="שני שווא נח",2,M3465="שני שוואים בסוף מילה",2,M3465="שני שוואים ברצף",1),"0")</f>
        <v>1</v>
      </c>
      <c r="J3465" s="9">
        <f t="shared" si="223"/>
        <v>2</v>
      </c>
      <c r="K3465" t="s">
        <v>6698</v>
      </c>
      <c r="L3465" t="s">
        <v>6694</v>
      </c>
      <c r="M3465" t="s">
        <v>6705</v>
      </c>
      <c r="P3465" t="s">
        <v>6694</v>
      </c>
      <c r="Q3465" t="s">
        <v>6694</v>
      </c>
      <c r="W3465" t="s">
        <v>6720</v>
      </c>
    </row>
    <row r="3466" spans="1:23" ht="15.6" x14ac:dyDescent="0.4">
      <c r="A3466" s="2" t="s">
        <v>1291</v>
      </c>
      <c r="B3466" s="5" t="s">
        <v>9787</v>
      </c>
      <c r="C3466" s="7" t="s">
        <v>12556</v>
      </c>
      <c r="D3466" s="8">
        <f t="shared" si="220"/>
        <v>0</v>
      </c>
      <c r="E3466" s="7" t="s">
        <v>12557</v>
      </c>
      <c r="F3466" s="7">
        <f t="shared" si="221"/>
        <v>1</v>
      </c>
      <c r="G3466" s="7" t="s">
        <v>12558</v>
      </c>
      <c r="H3466" s="7">
        <f t="shared" si="222"/>
        <v>1</v>
      </c>
      <c r="I3466" s="7" t="str" cm="1">
        <f t="array" ref="I3466">IFERROR(_xlfn.IFS(M3466="נח",1,M3466="נע ונח",1,M3466="שני שווא נח",2,M3466="שני שוואים בסוף מילה",2,M3466="שני שוואים ברצף",1),"0")</f>
        <v>0</v>
      </c>
      <c r="J3466" s="9">
        <f t="shared" si="223"/>
        <v>4</v>
      </c>
      <c r="K3466" t="s">
        <v>6697</v>
      </c>
      <c r="L3466" t="s">
        <v>6695</v>
      </c>
      <c r="P3466" t="s">
        <v>6694</v>
      </c>
      <c r="S3466" t="s">
        <v>6694</v>
      </c>
      <c r="U3466" t="s">
        <v>6694</v>
      </c>
      <c r="W3466" t="s">
        <v>6720</v>
      </c>
    </row>
    <row r="3467" spans="1:23" ht="15.6" x14ac:dyDescent="0.4">
      <c r="A3467" s="2" t="s">
        <v>6258</v>
      </c>
      <c r="B3467" s="5" t="s">
        <v>9788</v>
      </c>
      <c r="C3467" s="7" t="s">
        <v>12556</v>
      </c>
      <c r="D3467" s="8">
        <f t="shared" si="220"/>
        <v>0</v>
      </c>
      <c r="E3467" s="7" t="s">
        <v>12557</v>
      </c>
      <c r="F3467" s="7">
        <f t="shared" si="221"/>
        <v>0</v>
      </c>
      <c r="G3467" s="7" t="s">
        <v>12558</v>
      </c>
      <c r="H3467" s="7">
        <f t="shared" si="222"/>
        <v>0</v>
      </c>
      <c r="I3467" s="7" cm="1">
        <f t="array" ref="I3467">IFERROR(_xlfn.IFS(M3467="נח",1,M3467="נע ונח",1,M3467="שני שווא נח",2,M3467="שני שוואים בסוף מילה",2,M3467="שני שוואים ברצף",1),"0")</f>
        <v>1</v>
      </c>
      <c r="J3467" s="9">
        <f t="shared" si="223"/>
        <v>4</v>
      </c>
      <c r="K3467" t="s">
        <v>6697</v>
      </c>
      <c r="L3467" t="s">
        <v>6694</v>
      </c>
      <c r="M3467" t="s">
        <v>6705</v>
      </c>
      <c r="P3467" t="s">
        <v>6694</v>
      </c>
      <c r="Q3467" t="s">
        <v>6694</v>
      </c>
      <c r="S3467" t="s">
        <v>6694</v>
      </c>
      <c r="W3467" t="s">
        <v>6720</v>
      </c>
    </row>
    <row r="3468" spans="1:23" ht="15.6" x14ac:dyDescent="0.4">
      <c r="A3468" s="2" t="s">
        <v>5977</v>
      </c>
      <c r="B3468" s="5" t="s">
        <v>9789</v>
      </c>
      <c r="C3468" s="7" t="s">
        <v>12556</v>
      </c>
      <c r="D3468" s="8">
        <f t="shared" si="220"/>
        <v>0</v>
      </c>
      <c r="E3468" s="7" t="s">
        <v>12557</v>
      </c>
      <c r="F3468" s="7">
        <f t="shared" si="221"/>
        <v>1</v>
      </c>
      <c r="G3468" s="7" t="s">
        <v>12558</v>
      </c>
      <c r="H3468" s="7">
        <f t="shared" si="222"/>
        <v>0</v>
      </c>
      <c r="I3468" s="7" t="str" cm="1">
        <f t="array" ref="I3468">IFERROR(_xlfn.IFS(M3468="נח",1,M3468="נע ונח",1,M3468="שני שווא נח",2,M3468="שני שוואים בסוף מילה",2,M3468="שני שוואים ברצף",1),"0")</f>
        <v>0</v>
      </c>
      <c r="J3468" s="9">
        <f t="shared" si="223"/>
        <v>2</v>
      </c>
      <c r="K3468" t="s">
        <v>6698</v>
      </c>
      <c r="L3468" t="s">
        <v>6695</v>
      </c>
      <c r="P3468" t="s">
        <v>6694</v>
      </c>
      <c r="S3468" t="s">
        <v>6694</v>
      </c>
      <c r="W3468" t="s">
        <v>6720</v>
      </c>
    </row>
    <row r="3469" spans="1:23" ht="15.6" x14ac:dyDescent="0.4">
      <c r="A3469" s="2" t="s">
        <v>5892</v>
      </c>
      <c r="B3469" s="5" t="s">
        <v>9790</v>
      </c>
      <c r="C3469" s="7" t="s">
        <v>12556</v>
      </c>
      <c r="D3469" s="8">
        <f t="shared" si="220"/>
        <v>0</v>
      </c>
      <c r="E3469" s="7" t="s">
        <v>12557</v>
      </c>
      <c r="F3469" s="7">
        <f t="shared" si="221"/>
        <v>2</v>
      </c>
      <c r="G3469" s="7" t="s">
        <v>12558</v>
      </c>
      <c r="H3469" s="7">
        <f t="shared" si="222"/>
        <v>1</v>
      </c>
      <c r="I3469" s="7" t="str" cm="1">
        <f t="array" ref="I3469">IFERROR(_xlfn.IFS(M3469="נח",1,M3469="נע ונח",1,M3469="שני שווא נח",2,M3469="שני שוואים בסוף מילה",2,M3469="שני שוואים ברצף",1),"0")</f>
        <v>0</v>
      </c>
      <c r="J3469" s="9">
        <f t="shared" si="223"/>
        <v>3</v>
      </c>
      <c r="K3469" t="s">
        <v>6697</v>
      </c>
      <c r="L3469" t="s">
        <v>6695</v>
      </c>
      <c r="P3469" t="s">
        <v>6694</v>
      </c>
      <c r="S3469" t="s">
        <v>6694</v>
      </c>
      <c r="U3469" t="s">
        <v>6694</v>
      </c>
      <c r="W3469" t="s">
        <v>6720</v>
      </c>
    </row>
    <row r="3470" spans="1:23" ht="15.6" x14ac:dyDescent="0.4">
      <c r="A3470" s="2" t="s">
        <v>3252</v>
      </c>
      <c r="B3470" s="5" t="s">
        <v>9791</v>
      </c>
      <c r="C3470" s="7" t="s">
        <v>12556</v>
      </c>
      <c r="D3470" s="8">
        <f t="shared" si="220"/>
        <v>0</v>
      </c>
      <c r="E3470" s="7" t="s">
        <v>12557</v>
      </c>
      <c r="F3470" s="7">
        <f t="shared" si="221"/>
        <v>1</v>
      </c>
      <c r="G3470" s="7" t="s">
        <v>12558</v>
      </c>
      <c r="H3470" s="7">
        <f t="shared" si="222"/>
        <v>0</v>
      </c>
      <c r="I3470" s="7" t="str" cm="1">
        <f t="array" ref="I3470">IFERROR(_xlfn.IFS(M3470="נח",1,M3470="נע ונח",1,M3470="שני שווא נח",2,M3470="שני שוואים בסוף מילה",2,M3470="שני שוואים ברצף",1),"0")</f>
        <v>0</v>
      </c>
      <c r="J3470" s="9">
        <f t="shared" si="223"/>
        <v>3</v>
      </c>
      <c r="K3470" t="s">
        <v>6697</v>
      </c>
      <c r="L3470" t="s">
        <v>6695</v>
      </c>
      <c r="P3470" t="s">
        <v>6694</v>
      </c>
      <c r="S3470" t="s">
        <v>6694</v>
      </c>
      <c r="W3470" t="s">
        <v>6720</v>
      </c>
    </row>
    <row r="3471" spans="1:23" ht="15.6" x14ac:dyDescent="0.4">
      <c r="A3471" s="2" t="s">
        <v>66</v>
      </c>
      <c r="B3471" s="5" t="s">
        <v>9792</v>
      </c>
      <c r="C3471" s="7" t="s">
        <v>12556</v>
      </c>
      <c r="D3471" s="8">
        <f t="shared" si="220"/>
        <v>0</v>
      </c>
      <c r="E3471" s="7" t="s">
        <v>12557</v>
      </c>
      <c r="F3471" s="7">
        <f t="shared" si="221"/>
        <v>2</v>
      </c>
      <c r="G3471" s="7" t="s">
        <v>12558</v>
      </c>
      <c r="H3471" s="7">
        <f t="shared" si="222"/>
        <v>1</v>
      </c>
      <c r="I3471" s="7" t="str" cm="1">
        <f t="array" ref="I3471">IFERROR(_xlfn.IFS(M3471="נח",1,M3471="נע ונח",1,M3471="שני שווא נח",2,M3471="שני שוואים בסוף מילה",2,M3471="שני שוואים ברצף",1),"0")</f>
        <v>0</v>
      </c>
      <c r="J3471" s="9">
        <f t="shared" si="223"/>
        <v>3</v>
      </c>
      <c r="K3471" t="s">
        <v>6697</v>
      </c>
      <c r="L3471" t="s">
        <v>6695</v>
      </c>
      <c r="P3471" t="s">
        <v>6694</v>
      </c>
      <c r="S3471" t="s">
        <v>6694</v>
      </c>
      <c r="U3471" t="s">
        <v>6694</v>
      </c>
      <c r="W3471" t="s">
        <v>6720</v>
      </c>
    </row>
    <row r="3472" spans="1:23" ht="15.6" x14ac:dyDescent="0.4">
      <c r="A3472" s="2" t="s">
        <v>4189</v>
      </c>
      <c r="B3472" s="5" t="s">
        <v>9793</v>
      </c>
      <c r="C3472" s="7" t="s">
        <v>12556</v>
      </c>
      <c r="D3472" s="8">
        <f t="shared" si="220"/>
        <v>0</v>
      </c>
      <c r="E3472" s="7" t="s">
        <v>12557</v>
      </c>
      <c r="F3472" s="7">
        <f t="shared" si="221"/>
        <v>2</v>
      </c>
      <c r="G3472" s="7" t="s">
        <v>12558</v>
      </c>
      <c r="H3472" s="7">
        <f t="shared" si="222"/>
        <v>1</v>
      </c>
      <c r="I3472" s="7" t="str" cm="1">
        <f t="array" ref="I3472">IFERROR(_xlfn.IFS(M3472="נח",1,M3472="נע ונח",1,M3472="שני שווא נח",2,M3472="שני שוואים בסוף מילה",2,M3472="שני שוואים ברצף",1),"0")</f>
        <v>0</v>
      </c>
      <c r="J3472" s="9">
        <f t="shared" si="223"/>
        <v>3</v>
      </c>
      <c r="K3472" t="s">
        <v>6698</v>
      </c>
      <c r="L3472" t="s">
        <v>6695</v>
      </c>
      <c r="P3472" t="s">
        <v>6694</v>
      </c>
      <c r="S3472" t="s">
        <v>6694</v>
      </c>
      <c r="U3472" t="s">
        <v>6694</v>
      </c>
      <c r="W3472" t="s">
        <v>6720</v>
      </c>
    </row>
    <row r="3473" spans="1:23" ht="15.6" x14ac:dyDescent="0.4">
      <c r="A3473" s="2" t="s">
        <v>3922</v>
      </c>
      <c r="B3473" s="5" t="s">
        <v>9794</v>
      </c>
      <c r="C3473" s="7" t="s">
        <v>12556</v>
      </c>
      <c r="D3473" s="8">
        <f t="shared" si="220"/>
        <v>0</v>
      </c>
      <c r="E3473" s="7" t="s">
        <v>12557</v>
      </c>
      <c r="F3473" s="7">
        <f t="shared" si="221"/>
        <v>1</v>
      </c>
      <c r="G3473" s="7" t="s">
        <v>12558</v>
      </c>
      <c r="H3473" s="7">
        <f t="shared" si="222"/>
        <v>0</v>
      </c>
      <c r="I3473" s="7" t="str" cm="1">
        <f t="array" ref="I3473">IFERROR(_xlfn.IFS(M3473="נח",1,M3473="נע ונח",1,M3473="שני שווא נח",2,M3473="שני שוואים בסוף מילה",2,M3473="שני שוואים ברצף",1),"0")</f>
        <v>0</v>
      </c>
      <c r="J3473" s="9">
        <f t="shared" si="223"/>
        <v>2</v>
      </c>
      <c r="K3473" t="s">
        <v>6698</v>
      </c>
      <c r="L3473" t="s">
        <v>6695</v>
      </c>
      <c r="P3473" t="s">
        <v>6694</v>
      </c>
      <c r="S3473" t="s">
        <v>6694</v>
      </c>
      <c r="W3473" t="s">
        <v>6720</v>
      </c>
    </row>
    <row r="3474" spans="1:23" ht="15.6" x14ac:dyDescent="0.4">
      <c r="A3474" s="2" t="s">
        <v>2031</v>
      </c>
      <c r="B3474" s="5" t="s">
        <v>9795</v>
      </c>
      <c r="C3474" s="7" t="s">
        <v>12556</v>
      </c>
      <c r="D3474" s="8">
        <f t="shared" si="220"/>
        <v>0</v>
      </c>
      <c r="E3474" s="7" t="s">
        <v>12557</v>
      </c>
      <c r="F3474" s="7">
        <f t="shared" si="221"/>
        <v>2</v>
      </c>
      <c r="G3474" s="7" t="s">
        <v>12558</v>
      </c>
      <c r="H3474" s="7">
        <f t="shared" si="222"/>
        <v>0</v>
      </c>
      <c r="I3474" s="7" t="str" cm="1">
        <f t="array" ref="I3474">IFERROR(_xlfn.IFS(M3474="נח",1,M3474="נע ונח",1,M3474="שני שווא נח",2,M3474="שני שוואים בסוף מילה",2,M3474="שני שוואים ברצף",1),"0")</f>
        <v>0</v>
      </c>
      <c r="J3474" s="9">
        <f t="shared" si="223"/>
        <v>3</v>
      </c>
      <c r="K3474" t="s">
        <v>6697</v>
      </c>
      <c r="L3474" t="s">
        <v>6695</v>
      </c>
      <c r="P3474" t="s">
        <v>6694</v>
      </c>
      <c r="S3474" t="s">
        <v>6694</v>
      </c>
      <c r="W3474" t="s">
        <v>6720</v>
      </c>
    </row>
    <row r="3475" spans="1:23" ht="15.6" x14ac:dyDescent="0.4">
      <c r="A3475" s="2" t="s">
        <v>6262</v>
      </c>
      <c r="B3475" s="5" t="s">
        <v>9415</v>
      </c>
      <c r="C3475" s="7" t="s">
        <v>12556</v>
      </c>
      <c r="D3475" s="8">
        <f t="shared" si="220"/>
        <v>0</v>
      </c>
      <c r="E3475" s="7" t="s">
        <v>12557</v>
      </c>
      <c r="F3475" s="7">
        <f t="shared" si="221"/>
        <v>2</v>
      </c>
      <c r="G3475" s="7" t="s">
        <v>12558</v>
      </c>
      <c r="H3475" s="7">
        <f t="shared" si="222"/>
        <v>1</v>
      </c>
      <c r="I3475" s="7" t="str" cm="1">
        <f t="array" ref="I3475">IFERROR(_xlfn.IFS(M3475="נח",1,M3475="נע ונח",1,M3475="שני שווא נח",2,M3475="שני שוואים בסוף מילה",2,M3475="שני שוואים ברצף",1),"0")</f>
        <v>0</v>
      </c>
      <c r="J3475" s="9">
        <f t="shared" si="223"/>
        <v>3</v>
      </c>
      <c r="K3475" t="s">
        <v>6697</v>
      </c>
      <c r="L3475" t="s">
        <v>6695</v>
      </c>
      <c r="P3475" t="s">
        <v>6694</v>
      </c>
      <c r="S3475" t="s">
        <v>6694</v>
      </c>
      <c r="U3475" t="s">
        <v>6694</v>
      </c>
      <c r="W3475" t="s">
        <v>6720</v>
      </c>
    </row>
    <row r="3476" spans="1:23" ht="15.6" x14ac:dyDescent="0.4">
      <c r="A3476" s="2" t="s">
        <v>5373</v>
      </c>
      <c r="B3476" s="5" t="s">
        <v>9796</v>
      </c>
      <c r="C3476" s="7" t="s">
        <v>12556</v>
      </c>
      <c r="D3476" s="8">
        <f t="shared" si="220"/>
        <v>0</v>
      </c>
      <c r="E3476" s="7" t="s">
        <v>12557</v>
      </c>
      <c r="F3476" s="7">
        <f t="shared" si="221"/>
        <v>2</v>
      </c>
      <c r="G3476" s="7" t="s">
        <v>12558</v>
      </c>
      <c r="H3476" s="7">
        <f t="shared" si="222"/>
        <v>1</v>
      </c>
      <c r="I3476" s="7" t="str" cm="1">
        <f t="array" ref="I3476">IFERROR(_xlfn.IFS(M3476="נח",1,M3476="נע ונח",1,M3476="שני שווא נח",2,M3476="שני שוואים בסוף מילה",2,M3476="שני שוואים ברצף",1),"0")</f>
        <v>0</v>
      </c>
      <c r="J3476" s="9">
        <f t="shared" si="223"/>
        <v>4</v>
      </c>
      <c r="K3476" t="s">
        <v>6697</v>
      </c>
      <c r="L3476" t="s">
        <v>6695</v>
      </c>
      <c r="P3476" t="s">
        <v>6694</v>
      </c>
      <c r="S3476" t="s">
        <v>6694</v>
      </c>
      <c r="T3476" t="s">
        <v>6694</v>
      </c>
      <c r="U3476" t="s">
        <v>6694</v>
      </c>
      <c r="W3476" t="s">
        <v>6720</v>
      </c>
    </row>
    <row r="3477" spans="1:23" ht="15.6" x14ac:dyDescent="0.4">
      <c r="A3477" s="2" t="s">
        <v>3801</v>
      </c>
      <c r="B3477" s="5" t="s">
        <v>9423</v>
      </c>
      <c r="C3477" s="7" t="s">
        <v>12556</v>
      </c>
      <c r="D3477" s="8">
        <f t="shared" si="220"/>
        <v>0</v>
      </c>
      <c r="E3477" s="7" t="s">
        <v>12557</v>
      </c>
      <c r="F3477" s="7">
        <f t="shared" si="221"/>
        <v>1</v>
      </c>
      <c r="G3477" s="7" t="s">
        <v>12558</v>
      </c>
      <c r="H3477" s="7">
        <f t="shared" si="222"/>
        <v>0</v>
      </c>
      <c r="I3477" s="7" cm="1">
        <f t="array" ref="I3477">IFERROR(_xlfn.IFS(M3477="נח",1,M3477="נע ונח",1,M3477="שני שווא נח",2,M3477="שני שוואים בסוף מילה",2,M3477="שני שוואים ברצף",1),"0")</f>
        <v>1</v>
      </c>
      <c r="J3477" s="9">
        <f t="shared" si="223"/>
        <v>2</v>
      </c>
      <c r="K3477" t="s">
        <v>6698</v>
      </c>
      <c r="L3477" t="s">
        <v>6694</v>
      </c>
      <c r="M3477" t="s">
        <v>6705</v>
      </c>
      <c r="P3477" t="s">
        <v>6694</v>
      </c>
      <c r="Q3477" t="s">
        <v>6694</v>
      </c>
      <c r="W3477" t="s">
        <v>6720</v>
      </c>
    </row>
    <row r="3478" spans="1:23" ht="15.6" x14ac:dyDescent="0.4">
      <c r="A3478" s="2" t="s">
        <v>900</v>
      </c>
      <c r="B3478" s="5" t="s">
        <v>9581</v>
      </c>
      <c r="C3478" s="7" t="s">
        <v>12556</v>
      </c>
      <c r="D3478" s="8">
        <f t="shared" si="220"/>
        <v>0</v>
      </c>
      <c r="E3478" s="7" t="s">
        <v>12557</v>
      </c>
      <c r="F3478" s="7">
        <f t="shared" si="221"/>
        <v>0</v>
      </c>
      <c r="G3478" s="7" t="s">
        <v>12558</v>
      </c>
      <c r="H3478" s="7">
        <f t="shared" si="222"/>
        <v>0</v>
      </c>
      <c r="I3478" s="7" cm="1">
        <f t="array" ref="I3478">IFERROR(_xlfn.IFS(M3478="נח",1,M3478="נע ונח",1,M3478="שני שווא נח",2,M3478="שני שוואים בסוף מילה",2,M3478="שני שוואים ברצף",1),"0")</f>
        <v>2</v>
      </c>
      <c r="J3478" s="9">
        <f t="shared" si="223"/>
        <v>2</v>
      </c>
      <c r="K3478" t="s">
        <v>6698</v>
      </c>
      <c r="L3478" t="s">
        <v>6694</v>
      </c>
      <c r="M3478" t="s">
        <v>6704</v>
      </c>
      <c r="P3478" t="s">
        <v>6694</v>
      </c>
      <c r="Q3478" t="s">
        <v>6694</v>
      </c>
      <c r="W3478" t="s">
        <v>6720</v>
      </c>
    </row>
    <row r="3479" spans="1:23" ht="15.6" x14ac:dyDescent="0.4">
      <c r="A3479" s="2" t="s">
        <v>2319</v>
      </c>
      <c r="B3479" s="5" t="s">
        <v>9433</v>
      </c>
      <c r="C3479" s="7" t="s">
        <v>12556</v>
      </c>
      <c r="D3479" s="8">
        <f t="shared" si="220"/>
        <v>0</v>
      </c>
      <c r="E3479" s="7" t="s">
        <v>12557</v>
      </c>
      <c r="F3479" s="7">
        <f t="shared" si="221"/>
        <v>0</v>
      </c>
      <c r="G3479" s="7" t="s">
        <v>12558</v>
      </c>
      <c r="H3479" s="7">
        <f t="shared" si="222"/>
        <v>0</v>
      </c>
      <c r="I3479" s="7" cm="1">
        <f t="array" ref="I3479">IFERROR(_xlfn.IFS(M3479="נח",1,M3479="נע ונח",1,M3479="שני שווא נח",2,M3479="שני שוואים בסוף מילה",2,M3479="שני שוואים ברצף",1),"0")</f>
        <v>1</v>
      </c>
      <c r="J3479" s="9">
        <f t="shared" si="223"/>
        <v>3</v>
      </c>
      <c r="K3479" t="s">
        <v>6698</v>
      </c>
      <c r="L3479" t="s">
        <v>6694</v>
      </c>
      <c r="M3479" t="s">
        <v>6705</v>
      </c>
      <c r="P3479" t="s">
        <v>6694</v>
      </c>
      <c r="V3479" t="s">
        <v>6694</v>
      </c>
      <c r="W3479" t="s">
        <v>6720</v>
      </c>
    </row>
    <row r="3480" spans="1:23" ht="15.6" x14ac:dyDescent="0.4">
      <c r="A3480" s="2" t="s">
        <v>6648</v>
      </c>
      <c r="B3480" s="5" t="s">
        <v>9797</v>
      </c>
      <c r="C3480" s="7" t="s">
        <v>12556</v>
      </c>
      <c r="D3480" s="8">
        <f t="shared" si="220"/>
        <v>0</v>
      </c>
      <c r="E3480" s="7" t="s">
        <v>12557</v>
      </c>
      <c r="F3480" s="7">
        <f t="shared" si="221"/>
        <v>1</v>
      </c>
      <c r="G3480" s="7" t="s">
        <v>12558</v>
      </c>
      <c r="H3480" s="7">
        <f t="shared" si="222"/>
        <v>1</v>
      </c>
      <c r="I3480" s="7" t="str" cm="1">
        <f t="array" ref="I3480">IFERROR(_xlfn.IFS(M3480="נח",1,M3480="נע ונח",1,M3480="שני שווא נח",2,M3480="שני שוואים בסוף מילה",2,M3480="שני שוואים ברצף",1),"0")</f>
        <v>0</v>
      </c>
      <c r="J3480" s="9">
        <f t="shared" si="223"/>
        <v>4</v>
      </c>
      <c r="K3480" t="s">
        <v>6698</v>
      </c>
      <c r="L3480" t="s">
        <v>6695</v>
      </c>
      <c r="P3480" t="s">
        <v>6694</v>
      </c>
      <c r="U3480" t="s">
        <v>6694</v>
      </c>
      <c r="V3480" t="s">
        <v>6694</v>
      </c>
      <c r="W3480" t="s">
        <v>6720</v>
      </c>
    </row>
    <row r="3481" spans="1:23" ht="15.6" x14ac:dyDescent="0.4">
      <c r="A3481" s="2" t="s">
        <v>5148</v>
      </c>
      <c r="B3481" s="5" t="s">
        <v>9798</v>
      </c>
      <c r="C3481" s="7" t="s">
        <v>12556</v>
      </c>
      <c r="D3481" s="8">
        <f t="shared" si="220"/>
        <v>0</v>
      </c>
      <c r="E3481" s="7" t="s">
        <v>12557</v>
      </c>
      <c r="F3481" s="7">
        <f t="shared" si="221"/>
        <v>0</v>
      </c>
      <c r="G3481" s="7" t="s">
        <v>12558</v>
      </c>
      <c r="H3481" s="7">
        <f t="shared" si="222"/>
        <v>0</v>
      </c>
      <c r="I3481" s="7" t="str" cm="1">
        <f t="array" ref="I3481">IFERROR(_xlfn.IFS(M3481="נח",1,M3481="נע ונח",1,M3481="שני שווא נח",2,M3481="שני שוואים בסוף מילה",2,M3481="שני שוואים ברצף",1),"0")</f>
        <v>0</v>
      </c>
      <c r="J3481" s="9">
        <f t="shared" si="223"/>
        <v>3</v>
      </c>
      <c r="K3481" t="s">
        <v>6698</v>
      </c>
      <c r="L3481" t="s">
        <v>6695</v>
      </c>
      <c r="P3481" t="s">
        <v>6694</v>
      </c>
      <c r="V3481" t="s">
        <v>6694</v>
      </c>
      <c r="W3481" t="s">
        <v>6720</v>
      </c>
    </row>
    <row r="3482" spans="1:23" ht="15.6" x14ac:dyDescent="0.4">
      <c r="A3482" s="2" t="s">
        <v>76</v>
      </c>
      <c r="B3482" s="5" t="s">
        <v>9799</v>
      </c>
      <c r="C3482" s="7" t="s">
        <v>12556</v>
      </c>
      <c r="D3482" s="8">
        <f t="shared" si="220"/>
        <v>0</v>
      </c>
      <c r="E3482" s="7" t="s">
        <v>12557</v>
      </c>
      <c r="F3482" s="7">
        <f t="shared" si="221"/>
        <v>1</v>
      </c>
      <c r="G3482" s="7" t="s">
        <v>12558</v>
      </c>
      <c r="H3482" s="7">
        <f t="shared" si="222"/>
        <v>1</v>
      </c>
      <c r="I3482" s="7" t="str" cm="1">
        <f t="array" ref="I3482">IFERROR(_xlfn.IFS(M3482="נח",1,M3482="נע ונח",1,M3482="שני שווא נח",2,M3482="שני שוואים בסוף מילה",2,M3482="שני שוואים ברצף",1),"0")</f>
        <v>0</v>
      </c>
      <c r="J3482" s="9">
        <f t="shared" si="223"/>
        <v>4</v>
      </c>
      <c r="K3482" t="s">
        <v>6697</v>
      </c>
      <c r="L3482" t="s">
        <v>6695</v>
      </c>
      <c r="P3482" t="s">
        <v>6694</v>
      </c>
      <c r="U3482" t="s">
        <v>6694</v>
      </c>
      <c r="V3482" t="s">
        <v>6694</v>
      </c>
      <c r="W3482" t="s">
        <v>6720</v>
      </c>
    </row>
    <row r="3483" spans="1:23" ht="15.6" x14ac:dyDescent="0.4">
      <c r="A3483" s="2" t="s">
        <v>6544</v>
      </c>
      <c r="B3483" s="5" t="s">
        <v>9800</v>
      </c>
      <c r="C3483" s="7" t="s">
        <v>12556</v>
      </c>
      <c r="D3483" s="8">
        <f t="shared" si="220"/>
        <v>0</v>
      </c>
      <c r="E3483" s="7" t="s">
        <v>12557</v>
      </c>
      <c r="F3483" s="7">
        <f t="shared" si="221"/>
        <v>1</v>
      </c>
      <c r="G3483" s="7" t="s">
        <v>12558</v>
      </c>
      <c r="H3483" s="7">
        <f t="shared" si="222"/>
        <v>0</v>
      </c>
      <c r="I3483" s="7" cm="1">
        <f t="array" ref="I3483">IFERROR(_xlfn.IFS(M3483="נח",1,M3483="נע ונח",1,M3483="שני שווא נח",2,M3483="שני שוואים בסוף מילה",2,M3483="שני שוואים ברצף",1),"0")</f>
        <v>1</v>
      </c>
      <c r="J3483" s="9">
        <f t="shared" si="223"/>
        <v>4</v>
      </c>
      <c r="K3483" t="s">
        <v>6698</v>
      </c>
      <c r="L3483" t="s">
        <v>6694</v>
      </c>
      <c r="M3483" t="s">
        <v>6702</v>
      </c>
      <c r="O3483" t="s">
        <v>6694</v>
      </c>
      <c r="P3483" t="s">
        <v>6694</v>
      </c>
      <c r="R3483" t="s">
        <v>6694</v>
      </c>
      <c r="W3483" t="s">
        <v>6720</v>
      </c>
    </row>
    <row r="3484" spans="1:23" ht="15.6" x14ac:dyDescent="0.4">
      <c r="A3484" s="2" t="s">
        <v>2107</v>
      </c>
      <c r="B3484" s="5" t="s">
        <v>9801</v>
      </c>
      <c r="C3484" s="7" t="s">
        <v>12556</v>
      </c>
      <c r="D3484" s="8">
        <f t="shared" si="220"/>
        <v>0</v>
      </c>
      <c r="E3484" s="7" t="s">
        <v>12557</v>
      </c>
      <c r="F3484" s="7">
        <f t="shared" si="221"/>
        <v>1</v>
      </c>
      <c r="G3484" s="7" t="s">
        <v>12558</v>
      </c>
      <c r="H3484" s="7">
        <f t="shared" si="222"/>
        <v>0</v>
      </c>
      <c r="I3484" s="7" cm="1">
        <f t="array" ref="I3484">IFERROR(_xlfn.IFS(M3484="נח",1,M3484="נע ונח",1,M3484="שני שווא נח",2,M3484="שני שוואים בסוף מילה",2,M3484="שני שוואים ברצף",1),"0")</f>
        <v>1</v>
      </c>
      <c r="J3484" s="9">
        <f t="shared" si="223"/>
        <v>2</v>
      </c>
      <c r="K3484" t="s">
        <v>6698</v>
      </c>
      <c r="L3484" t="s">
        <v>6694</v>
      </c>
      <c r="M3484" t="s">
        <v>6705</v>
      </c>
      <c r="N3484" t="s">
        <v>6706</v>
      </c>
      <c r="O3484" t="s">
        <v>6694</v>
      </c>
      <c r="P3484" t="s">
        <v>6694</v>
      </c>
      <c r="W3484" t="s">
        <v>6720</v>
      </c>
    </row>
    <row r="3485" spans="1:23" ht="15.6" x14ac:dyDescent="0.4">
      <c r="A3485" s="2" t="s">
        <v>5154</v>
      </c>
      <c r="B3485" s="5" t="s">
        <v>9802</v>
      </c>
      <c r="C3485" s="7" t="s">
        <v>12556</v>
      </c>
      <c r="D3485" s="8">
        <f t="shared" si="220"/>
        <v>0</v>
      </c>
      <c r="E3485" s="7" t="s">
        <v>12557</v>
      </c>
      <c r="F3485" s="7">
        <f t="shared" si="221"/>
        <v>0</v>
      </c>
      <c r="G3485" s="7" t="s">
        <v>12558</v>
      </c>
      <c r="H3485" s="7">
        <f t="shared" si="222"/>
        <v>0</v>
      </c>
      <c r="I3485" s="7" cm="1">
        <f t="array" ref="I3485">IFERROR(_xlfn.IFS(M3485="נח",1,M3485="נע ונח",1,M3485="שני שווא נח",2,M3485="שני שוואים בסוף מילה",2,M3485="שני שוואים ברצף",1),"0")</f>
        <v>1</v>
      </c>
      <c r="J3485" s="9">
        <f t="shared" si="223"/>
        <v>2</v>
      </c>
      <c r="K3485" t="s">
        <v>6698</v>
      </c>
      <c r="L3485" t="s">
        <v>6694</v>
      </c>
      <c r="M3485" t="s">
        <v>6705</v>
      </c>
      <c r="P3485" t="s">
        <v>6694</v>
      </c>
      <c r="V3485" t="s">
        <v>6694</v>
      </c>
      <c r="W3485" t="s">
        <v>6720</v>
      </c>
    </row>
    <row r="3486" spans="1:23" ht="15.6" x14ac:dyDescent="0.4">
      <c r="A3486" s="2" t="s">
        <v>2765</v>
      </c>
      <c r="B3486" s="5" t="s">
        <v>9803</v>
      </c>
      <c r="C3486" s="7" t="s">
        <v>12556</v>
      </c>
      <c r="D3486" s="8">
        <f t="shared" si="220"/>
        <v>0</v>
      </c>
      <c r="E3486" s="7" t="s">
        <v>12557</v>
      </c>
      <c r="F3486" s="7">
        <f t="shared" si="221"/>
        <v>1</v>
      </c>
      <c r="G3486" s="7" t="s">
        <v>12558</v>
      </c>
      <c r="H3486" s="7">
        <f t="shared" si="222"/>
        <v>1</v>
      </c>
      <c r="I3486" s="7" cm="1">
        <f t="array" ref="I3486">IFERROR(_xlfn.IFS(M3486="נח",1,M3486="נע ונח",1,M3486="שני שווא נח",2,M3486="שני שוואים בסוף מילה",2,M3486="שני שוואים ברצף",1),"0")</f>
        <v>1</v>
      </c>
      <c r="J3486" s="9">
        <f t="shared" si="223"/>
        <v>3</v>
      </c>
      <c r="K3486" t="s">
        <v>6697</v>
      </c>
      <c r="L3486" t="s">
        <v>6694</v>
      </c>
      <c r="M3486" t="s">
        <v>6702</v>
      </c>
      <c r="P3486" t="s">
        <v>6694</v>
      </c>
      <c r="U3486" t="s">
        <v>6694</v>
      </c>
      <c r="W3486" t="s">
        <v>6720</v>
      </c>
    </row>
    <row r="3487" spans="1:23" ht="15.6" x14ac:dyDescent="0.4">
      <c r="A3487" s="2" t="s">
        <v>4341</v>
      </c>
      <c r="B3487" s="5" t="s">
        <v>9804</v>
      </c>
      <c r="C3487" s="7" t="s">
        <v>12556</v>
      </c>
      <c r="D3487" s="8">
        <f t="shared" si="220"/>
        <v>1</v>
      </c>
      <c r="E3487" s="7" t="s">
        <v>12557</v>
      </c>
      <c r="F3487" s="7">
        <f t="shared" si="221"/>
        <v>2</v>
      </c>
      <c r="G3487" s="7" t="s">
        <v>12558</v>
      </c>
      <c r="H3487" s="7">
        <f t="shared" si="222"/>
        <v>1</v>
      </c>
      <c r="I3487" s="7" cm="1">
        <f t="array" ref="I3487">IFERROR(_xlfn.IFS(M3487="נח",1,M3487="נע ונח",1,M3487="שני שווא נח",2,M3487="שני שוואים בסוף מילה",2,M3487="שני שוואים ברצף",1),"0")</f>
        <v>1</v>
      </c>
      <c r="J3487" s="9">
        <f t="shared" si="223"/>
        <v>3</v>
      </c>
      <c r="K3487" t="s">
        <v>6697</v>
      </c>
      <c r="L3487" t="s">
        <v>6694</v>
      </c>
      <c r="M3487" t="s">
        <v>6702</v>
      </c>
      <c r="P3487" t="s">
        <v>6694</v>
      </c>
      <c r="U3487" t="s">
        <v>6694</v>
      </c>
      <c r="W3487" t="s">
        <v>6720</v>
      </c>
    </row>
    <row r="3488" spans="1:23" ht="15.6" x14ac:dyDescent="0.4">
      <c r="A3488" s="2" t="s">
        <v>2169</v>
      </c>
      <c r="B3488" s="5" t="s">
        <v>9805</v>
      </c>
      <c r="C3488" s="7" t="s">
        <v>12556</v>
      </c>
      <c r="D3488" s="8">
        <f t="shared" si="220"/>
        <v>1</v>
      </c>
      <c r="E3488" s="7" t="s">
        <v>12557</v>
      </c>
      <c r="F3488" s="7">
        <f t="shared" si="221"/>
        <v>1</v>
      </c>
      <c r="G3488" s="7" t="s">
        <v>12558</v>
      </c>
      <c r="H3488" s="7">
        <f t="shared" si="222"/>
        <v>1</v>
      </c>
      <c r="I3488" s="7" cm="1">
        <f t="array" ref="I3488">IFERROR(_xlfn.IFS(M3488="נח",1,M3488="נע ונח",1,M3488="שני שווא נח",2,M3488="שני שוואים בסוף מילה",2,M3488="שני שוואים ברצף",1),"0")</f>
        <v>1</v>
      </c>
      <c r="J3488" s="9">
        <f t="shared" si="223"/>
        <v>3</v>
      </c>
      <c r="K3488" t="s">
        <v>6697</v>
      </c>
      <c r="L3488" t="s">
        <v>6694</v>
      </c>
      <c r="M3488" t="s">
        <v>6702</v>
      </c>
      <c r="P3488" t="s">
        <v>6694</v>
      </c>
      <c r="U3488" t="s">
        <v>6694</v>
      </c>
      <c r="W3488" t="s">
        <v>6720</v>
      </c>
    </row>
    <row r="3489" spans="1:23" ht="15.6" x14ac:dyDescent="0.4">
      <c r="A3489" s="2" t="s">
        <v>5052</v>
      </c>
      <c r="B3489" s="5" t="s">
        <v>9806</v>
      </c>
      <c r="C3489" s="7" t="s">
        <v>12556</v>
      </c>
      <c r="D3489" s="8">
        <f t="shared" si="220"/>
        <v>1</v>
      </c>
      <c r="E3489" s="7" t="s">
        <v>12557</v>
      </c>
      <c r="F3489" s="7">
        <f t="shared" si="221"/>
        <v>0</v>
      </c>
      <c r="G3489" s="7" t="s">
        <v>12558</v>
      </c>
      <c r="H3489" s="7">
        <f t="shared" si="222"/>
        <v>0</v>
      </c>
      <c r="I3489" s="7" cm="1">
        <f t="array" ref="I3489">IFERROR(_xlfn.IFS(M3489="נח",1,M3489="נע ונח",1,M3489="שני שווא נח",2,M3489="שני שוואים בסוף מילה",2,M3489="שני שוואים ברצף",1),"0")</f>
        <v>2</v>
      </c>
      <c r="J3489" s="9">
        <f t="shared" si="223"/>
        <v>2</v>
      </c>
      <c r="K3489" t="s">
        <v>6698</v>
      </c>
      <c r="L3489" t="s">
        <v>6694</v>
      </c>
      <c r="M3489" t="s">
        <v>6704</v>
      </c>
      <c r="P3489" t="s">
        <v>6694</v>
      </c>
      <c r="S3489" t="s">
        <v>6694</v>
      </c>
      <c r="W3489" t="s">
        <v>6720</v>
      </c>
    </row>
    <row r="3490" spans="1:23" ht="15.6" x14ac:dyDescent="0.4">
      <c r="A3490" s="2" t="s">
        <v>829</v>
      </c>
      <c r="B3490" s="5" t="s">
        <v>9807</v>
      </c>
      <c r="C3490" s="7" t="s">
        <v>12556</v>
      </c>
      <c r="D3490" s="8">
        <f t="shared" si="220"/>
        <v>1</v>
      </c>
      <c r="E3490" s="7" t="s">
        <v>12557</v>
      </c>
      <c r="F3490" s="7">
        <f t="shared" si="221"/>
        <v>0</v>
      </c>
      <c r="G3490" s="7" t="s">
        <v>12558</v>
      </c>
      <c r="H3490" s="7">
        <f t="shared" si="222"/>
        <v>0</v>
      </c>
      <c r="I3490" s="7" cm="1">
        <f t="array" ref="I3490">IFERROR(_xlfn.IFS(M3490="נח",1,M3490="נע ונח",1,M3490="שני שווא נח",2,M3490="שני שוואים בסוף מילה",2,M3490="שני שוואים ברצף",1),"0")</f>
        <v>1</v>
      </c>
      <c r="J3490" s="9">
        <f t="shared" si="223"/>
        <v>2</v>
      </c>
      <c r="K3490" t="s">
        <v>6698</v>
      </c>
      <c r="L3490" t="s">
        <v>6694</v>
      </c>
      <c r="M3490" t="s">
        <v>6705</v>
      </c>
      <c r="P3490" t="s">
        <v>6694</v>
      </c>
      <c r="V3490" t="s">
        <v>6694</v>
      </c>
      <c r="W3490" t="s">
        <v>6720</v>
      </c>
    </row>
    <row r="3491" spans="1:23" ht="15.6" x14ac:dyDescent="0.4">
      <c r="A3491" s="2" t="s">
        <v>3949</v>
      </c>
      <c r="B3491" s="5" t="s">
        <v>9808</v>
      </c>
      <c r="C3491" s="7" t="s">
        <v>12556</v>
      </c>
      <c r="D3491" s="8">
        <f t="shared" si="220"/>
        <v>0</v>
      </c>
      <c r="E3491" s="7" t="s">
        <v>12557</v>
      </c>
      <c r="F3491" s="7">
        <f t="shared" si="221"/>
        <v>1</v>
      </c>
      <c r="G3491" s="7" t="s">
        <v>12558</v>
      </c>
      <c r="H3491" s="7">
        <f t="shared" si="222"/>
        <v>0</v>
      </c>
      <c r="I3491" s="7" cm="1">
        <f t="array" ref="I3491">IFERROR(_xlfn.IFS(M3491="נח",1,M3491="נע ונח",1,M3491="שני שווא נח",2,M3491="שני שוואים בסוף מילה",2,M3491="שני שוואים ברצף",1),"0")</f>
        <v>1</v>
      </c>
      <c r="J3491" s="9">
        <f t="shared" si="223"/>
        <v>3</v>
      </c>
      <c r="K3491" t="s">
        <v>6697</v>
      </c>
      <c r="L3491" t="s">
        <v>6694</v>
      </c>
      <c r="M3491" t="s">
        <v>6702</v>
      </c>
      <c r="O3491" t="s">
        <v>6694</v>
      </c>
      <c r="P3491" t="s">
        <v>6694</v>
      </c>
      <c r="W3491" t="s">
        <v>6720</v>
      </c>
    </row>
    <row r="3492" spans="1:23" ht="15.6" x14ac:dyDescent="0.4">
      <c r="A3492" s="2" t="s">
        <v>6321</v>
      </c>
      <c r="B3492" s="5" t="s">
        <v>9809</v>
      </c>
      <c r="C3492" s="7" t="s">
        <v>12556</v>
      </c>
      <c r="D3492" s="8">
        <f t="shared" si="220"/>
        <v>0</v>
      </c>
      <c r="E3492" s="7" t="s">
        <v>12557</v>
      </c>
      <c r="F3492" s="7">
        <f t="shared" si="221"/>
        <v>1</v>
      </c>
      <c r="G3492" s="7" t="s">
        <v>12558</v>
      </c>
      <c r="H3492" s="7">
        <f t="shared" si="222"/>
        <v>1</v>
      </c>
      <c r="I3492" s="7" t="str" cm="1">
        <f t="array" ref="I3492">IFERROR(_xlfn.IFS(M3492="נח",1,M3492="נע ונח",1,M3492="שני שווא נח",2,M3492="שני שוואים בסוף מילה",2,M3492="שני שוואים ברצף",1),"0")</f>
        <v>0</v>
      </c>
      <c r="J3492" s="9">
        <f t="shared" si="223"/>
        <v>4</v>
      </c>
      <c r="K3492" t="s">
        <v>6698</v>
      </c>
      <c r="L3492" t="s">
        <v>6695</v>
      </c>
      <c r="P3492" t="s">
        <v>6694</v>
      </c>
      <c r="S3492" t="s">
        <v>6694</v>
      </c>
      <c r="U3492" t="s">
        <v>6694</v>
      </c>
      <c r="W3492" t="s">
        <v>6720</v>
      </c>
    </row>
    <row r="3493" spans="1:23" ht="15.6" x14ac:dyDescent="0.4">
      <c r="A3493" s="2" t="s">
        <v>3663</v>
      </c>
      <c r="B3493" s="5" t="s">
        <v>9810</v>
      </c>
      <c r="C3493" s="7" t="s">
        <v>12556</v>
      </c>
      <c r="D3493" s="8">
        <f t="shared" si="220"/>
        <v>0</v>
      </c>
      <c r="E3493" s="7" t="s">
        <v>12557</v>
      </c>
      <c r="F3493" s="7">
        <f t="shared" si="221"/>
        <v>0</v>
      </c>
      <c r="G3493" s="7" t="s">
        <v>12558</v>
      </c>
      <c r="H3493" s="7">
        <f t="shared" si="222"/>
        <v>0</v>
      </c>
      <c r="I3493" s="7" t="str" cm="1">
        <f t="array" ref="I3493">IFERROR(_xlfn.IFS(M3493="נח",1,M3493="נע ונח",1,M3493="שני שווא נח",2,M3493="שני שוואים בסוף מילה",2,M3493="שני שוואים ברצף",1),"0")</f>
        <v>0</v>
      </c>
      <c r="J3493" s="9">
        <f t="shared" si="223"/>
        <v>3</v>
      </c>
      <c r="K3493" t="s">
        <v>6698</v>
      </c>
      <c r="L3493" t="s">
        <v>6695</v>
      </c>
      <c r="N3493" t="s">
        <v>6706</v>
      </c>
      <c r="O3493" t="s">
        <v>6694</v>
      </c>
      <c r="P3493" t="s">
        <v>6694</v>
      </c>
      <c r="W3493" t="s">
        <v>6720</v>
      </c>
    </row>
    <row r="3494" spans="1:23" ht="15.6" x14ac:dyDescent="0.4">
      <c r="A3494" s="2" t="s">
        <v>1212</v>
      </c>
      <c r="B3494" s="5" t="s">
        <v>9811</v>
      </c>
      <c r="C3494" s="7" t="s">
        <v>12556</v>
      </c>
      <c r="D3494" s="8">
        <f t="shared" si="220"/>
        <v>0</v>
      </c>
      <c r="E3494" s="7" t="s">
        <v>12557</v>
      </c>
      <c r="F3494" s="7">
        <f t="shared" si="221"/>
        <v>0</v>
      </c>
      <c r="G3494" s="7" t="s">
        <v>12558</v>
      </c>
      <c r="H3494" s="7">
        <f t="shared" si="222"/>
        <v>0</v>
      </c>
      <c r="I3494" s="7" t="str" cm="1">
        <f t="array" ref="I3494">IFERROR(_xlfn.IFS(M3494="נח",1,M3494="נע ונח",1,M3494="שני שווא נח",2,M3494="שני שוואים בסוף מילה",2,M3494="שני שוואים ברצף",1),"0")</f>
        <v>0</v>
      </c>
      <c r="J3494" s="9">
        <f t="shared" si="223"/>
        <v>3</v>
      </c>
      <c r="K3494" t="s">
        <v>6698</v>
      </c>
      <c r="L3494" t="s">
        <v>6695</v>
      </c>
      <c r="P3494" t="s">
        <v>6694</v>
      </c>
      <c r="V3494" t="s">
        <v>6694</v>
      </c>
      <c r="W3494" t="s">
        <v>6720</v>
      </c>
    </row>
    <row r="3495" spans="1:23" ht="15.6" x14ac:dyDescent="0.4">
      <c r="A3495" s="2" t="s">
        <v>3542</v>
      </c>
      <c r="B3495" s="5" t="s">
        <v>9807</v>
      </c>
      <c r="C3495" s="7" t="s">
        <v>12556</v>
      </c>
      <c r="D3495" s="8">
        <f t="shared" si="220"/>
        <v>1</v>
      </c>
      <c r="E3495" s="7" t="s">
        <v>12557</v>
      </c>
      <c r="F3495" s="7">
        <f t="shared" si="221"/>
        <v>0</v>
      </c>
      <c r="G3495" s="7" t="s">
        <v>12558</v>
      </c>
      <c r="H3495" s="7">
        <f t="shared" si="222"/>
        <v>0</v>
      </c>
      <c r="I3495" s="7" t="str" cm="1">
        <f t="array" ref="I3495">IFERROR(_xlfn.IFS(M3495="נח",1,M3495="נע ונח",1,M3495="שני שווא נח",2,M3495="שני שוואים בסוף מילה",2,M3495="שני שוואים ברצף",1),"0")</f>
        <v>0</v>
      </c>
      <c r="J3495" s="9">
        <f t="shared" si="223"/>
        <v>3</v>
      </c>
      <c r="K3495" t="s">
        <v>6698</v>
      </c>
      <c r="L3495" t="s">
        <v>6695</v>
      </c>
      <c r="N3495" t="s">
        <v>6706</v>
      </c>
      <c r="O3495" t="s">
        <v>6694</v>
      </c>
      <c r="P3495" t="s">
        <v>6694</v>
      </c>
      <c r="W3495" t="s">
        <v>6720</v>
      </c>
    </row>
    <row r="3496" spans="1:23" ht="15.6" x14ac:dyDescent="0.4">
      <c r="A3496" s="2" t="s">
        <v>6197</v>
      </c>
      <c r="B3496" s="5" t="s">
        <v>9812</v>
      </c>
      <c r="C3496" s="7" t="s">
        <v>12556</v>
      </c>
      <c r="D3496" s="8">
        <f t="shared" si="220"/>
        <v>1</v>
      </c>
      <c r="E3496" s="7" t="s">
        <v>12557</v>
      </c>
      <c r="F3496" s="7">
        <f t="shared" si="221"/>
        <v>1</v>
      </c>
      <c r="G3496" s="7" t="s">
        <v>12558</v>
      </c>
      <c r="H3496" s="7">
        <f t="shared" si="222"/>
        <v>1</v>
      </c>
      <c r="I3496" s="7" t="str" cm="1">
        <f t="array" ref="I3496">IFERROR(_xlfn.IFS(M3496="נח",1,M3496="נע ונח",1,M3496="שני שווא נח",2,M3496="שני שוואים בסוף מילה",2,M3496="שני שוואים ברצף",1),"0")</f>
        <v>0</v>
      </c>
      <c r="J3496" s="9">
        <f t="shared" si="223"/>
        <v>4</v>
      </c>
      <c r="K3496" t="s">
        <v>6698</v>
      </c>
      <c r="L3496" t="s">
        <v>6695</v>
      </c>
      <c r="P3496" t="s">
        <v>6694</v>
      </c>
      <c r="U3496" t="s">
        <v>6694</v>
      </c>
      <c r="V3496" t="s">
        <v>6694</v>
      </c>
      <c r="W3496" t="s">
        <v>6720</v>
      </c>
    </row>
    <row r="3497" spans="1:23" ht="15.6" x14ac:dyDescent="0.4">
      <c r="A3497" s="2" t="s">
        <v>441</v>
      </c>
      <c r="B3497" s="5" t="s">
        <v>9813</v>
      </c>
      <c r="C3497" s="7" t="s">
        <v>12556</v>
      </c>
      <c r="D3497" s="8">
        <f t="shared" si="220"/>
        <v>0</v>
      </c>
      <c r="E3497" s="7" t="s">
        <v>12557</v>
      </c>
      <c r="F3497" s="7">
        <f t="shared" si="221"/>
        <v>0</v>
      </c>
      <c r="G3497" s="7" t="s">
        <v>12558</v>
      </c>
      <c r="H3497" s="7">
        <f t="shared" si="222"/>
        <v>0</v>
      </c>
      <c r="I3497" s="7" t="str" cm="1">
        <f t="array" ref="I3497">IFERROR(_xlfn.IFS(M3497="נח",1,M3497="נע ונח",1,M3497="שני שווא נח",2,M3497="שני שוואים בסוף מילה",2,M3497="שני שוואים ברצף",1),"0")</f>
        <v>0</v>
      </c>
      <c r="J3497" s="9">
        <f t="shared" si="223"/>
        <v>2</v>
      </c>
      <c r="K3497" t="s">
        <v>6698</v>
      </c>
      <c r="L3497" t="s">
        <v>6695</v>
      </c>
      <c r="P3497" t="s">
        <v>6694</v>
      </c>
      <c r="W3497" t="s">
        <v>6720</v>
      </c>
    </row>
    <row r="3498" spans="1:23" ht="15.6" x14ac:dyDescent="0.4">
      <c r="A3498" s="2" t="s">
        <v>4244</v>
      </c>
      <c r="B3498" s="5" t="s">
        <v>9814</v>
      </c>
      <c r="C3498" s="7" t="s">
        <v>12556</v>
      </c>
      <c r="D3498" s="8">
        <f t="shared" si="220"/>
        <v>0</v>
      </c>
      <c r="E3498" s="7" t="s">
        <v>12557</v>
      </c>
      <c r="F3498" s="7">
        <f t="shared" si="221"/>
        <v>0</v>
      </c>
      <c r="G3498" s="7" t="s">
        <v>12558</v>
      </c>
      <c r="H3498" s="7">
        <f t="shared" si="222"/>
        <v>0</v>
      </c>
      <c r="I3498" s="7" t="str" cm="1">
        <f t="array" ref="I3498">IFERROR(_xlfn.IFS(M3498="נח",1,M3498="נע ונח",1,M3498="שני שווא נח",2,M3498="שני שוואים בסוף מילה",2,M3498="שני שוואים ברצף",1),"0")</f>
        <v>0</v>
      </c>
      <c r="J3498" s="9">
        <f t="shared" si="223"/>
        <v>2</v>
      </c>
      <c r="K3498" t="s">
        <v>6698</v>
      </c>
      <c r="L3498" t="s">
        <v>6695</v>
      </c>
      <c r="P3498" t="s">
        <v>6694</v>
      </c>
      <c r="S3498" t="s">
        <v>6694</v>
      </c>
      <c r="W3498" t="s">
        <v>6720</v>
      </c>
    </row>
    <row r="3499" spans="1:23" ht="15.6" x14ac:dyDescent="0.4">
      <c r="A3499" s="2" t="s">
        <v>1813</v>
      </c>
      <c r="B3499" s="5" t="s">
        <v>9815</v>
      </c>
      <c r="C3499" s="7" t="s">
        <v>12556</v>
      </c>
      <c r="D3499" s="8">
        <f t="shared" si="220"/>
        <v>0</v>
      </c>
      <c r="E3499" s="7" t="s">
        <v>12557</v>
      </c>
      <c r="F3499" s="7">
        <f t="shared" si="221"/>
        <v>0</v>
      </c>
      <c r="G3499" s="7" t="s">
        <v>12558</v>
      </c>
      <c r="H3499" s="7">
        <f t="shared" si="222"/>
        <v>0</v>
      </c>
      <c r="I3499" s="7" cm="1">
        <f t="array" ref="I3499">IFERROR(_xlfn.IFS(M3499="נח",1,M3499="נע ונח",1,M3499="שני שווא נח",2,M3499="שני שוואים בסוף מילה",2,M3499="שני שוואים ברצף",1),"0")</f>
        <v>1</v>
      </c>
      <c r="J3499" s="9">
        <f t="shared" si="223"/>
        <v>2</v>
      </c>
      <c r="K3499" t="s">
        <v>6698</v>
      </c>
      <c r="L3499" t="s">
        <v>6694</v>
      </c>
      <c r="M3499" t="s">
        <v>6705</v>
      </c>
      <c r="P3499" t="s">
        <v>6694</v>
      </c>
      <c r="Q3499" t="s">
        <v>6694</v>
      </c>
      <c r="W3499" t="s">
        <v>6720</v>
      </c>
    </row>
    <row r="3500" spans="1:23" ht="15.6" x14ac:dyDescent="0.4">
      <c r="A3500" s="2" t="s">
        <v>5872</v>
      </c>
      <c r="B3500" s="5" t="s">
        <v>9816</v>
      </c>
      <c r="C3500" s="7" t="s">
        <v>12556</v>
      </c>
      <c r="D3500" s="8">
        <f t="shared" si="220"/>
        <v>0</v>
      </c>
      <c r="E3500" s="7" t="s">
        <v>12557</v>
      </c>
      <c r="F3500" s="7">
        <f t="shared" si="221"/>
        <v>2</v>
      </c>
      <c r="G3500" s="7" t="s">
        <v>12558</v>
      </c>
      <c r="H3500" s="7">
        <f t="shared" si="222"/>
        <v>1</v>
      </c>
      <c r="I3500" s="7" cm="1">
        <f t="array" ref="I3500">IFERROR(_xlfn.IFS(M3500="נח",1,M3500="נע ונח",1,M3500="שני שווא נח",2,M3500="שני שוואים בסוף מילה",2,M3500="שני שוואים ברצף",1),"0")</f>
        <v>1</v>
      </c>
      <c r="J3500" s="9">
        <f t="shared" si="223"/>
        <v>3</v>
      </c>
      <c r="K3500" t="s">
        <v>6697</v>
      </c>
      <c r="L3500" t="s">
        <v>6694</v>
      </c>
      <c r="M3500" t="s">
        <v>6705</v>
      </c>
      <c r="P3500" t="s">
        <v>6694</v>
      </c>
      <c r="S3500" t="s">
        <v>6694</v>
      </c>
      <c r="U3500" t="s">
        <v>6694</v>
      </c>
      <c r="W3500" t="s">
        <v>6720</v>
      </c>
    </row>
    <row r="3501" spans="1:23" ht="15.6" x14ac:dyDescent="0.4">
      <c r="A3501" s="2" t="s">
        <v>2851</v>
      </c>
      <c r="B3501" s="5" t="s">
        <v>9817</v>
      </c>
      <c r="C3501" s="7" t="s">
        <v>12556</v>
      </c>
      <c r="D3501" s="8">
        <f t="shared" si="220"/>
        <v>0</v>
      </c>
      <c r="E3501" s="7" t="s">
        <v>12557</v>
      </c>
      <c r="F3501" s="7">
        <f t="shared" si="221"/>
        <v>3</v>
      </c>
      <c r="G3501" s="7" t="s">
        <v>12558</v>
      </c>
      <c r="H3501" s="7">
        <f t="shared" si="222"/>
        <v>1</v>
      </c>
      <c r="I3501" s="7" t="str" cm="1">
        <f t="array" ref="I3501">IFERROR(_xlfn.IFS(M3501="נח",1,M3501="נע ונח",1,M3501="שני שווא נח",2,M3501="שני שוואים בסוף מילה",2,M3501="שני שוואים ברצף",1),"0")</f>
        <v>0</v>
      </c>
      <c r="J3501" s="9">
        <f t="shared" si="223"/>
        <v>4</v>
      </c>
      <c r="K3501" t="s">
        <v>6697</v>
      </c>
      <c r="L3501" t="s">
        <v>6695</v>
      </c>
      <c r="P3501" t="s">
        <v>6694</v>
      </c>
      <c r="R3501" t="s">
        <v>6694</v>
      </c>
      <c r="S3501" t="s">
        <v>6694</v>
      </c>
      <c r="U3501" t="s">
        <v>6694</v>
      </c>
      <c r="W3501" t="s">
        <v>6720</v>
      </c>
    </row>
    <row r="3502" spans="1:23" ht="15.6" x14ac:dyDescent="0.4">
      <c r="A3502" s="2" t="s">
        <v>6287</v>
      </c>
      <c r="B3502" s="5" t="s">
        <v>9469</v>
      </c>
      <c r="C3502" s="7" t="s">
        <v>12556</v>
      </c>
      <c r="D3502" s="8">
        <f t="shared" si="220"/>
        <v>0</v>
      </c>
      <c r="E3502" s="7" t="s">
        <v>12557</v>
      </c>
      <c r="F3502" s="7">
        <f t="shared" si="221"/>
        <v>0</v>
      </c>
      <c r="G3502" s="7" t="s">
        <v>12558</v>
      </c>
      <c r="H3502" s="7">
        <f t="shared" si="222"/>
        <v>0</v>
      </c>
      <c r="I3502" s="7" cm="1">
        <f t="array" ref="I3502">IFERROR(_xlfn.IFS(M3502="נח",1,M3502="נע ונח",1,M3502="שני שווא נח",2,M3502="שני שוואים בסוף מילה",2,M3502="שני שוואים ברצף",1),"0")</f>
        <v>1</v>
      </c>
      <c r="J3502" s="9">
        <f t="shared" si="223"/>
        <v>4</v>
      </c>
      <c r="K3502" t="s">
        <v>6697</v>
      </c>
      <c r="L3502" t="s">
        <v>6694</v>
      </c>
      <c r="M3502" t="s">
        <v>6705</v>
      </c>
      <c r="O3502" t="s">
        <v>6694</v>
      </c>
      <c r="P3502" t="s">
        <v>6694</v>
      </c>
      <c r="R3502" t="s">
        <v>6694</v>
      </c>
      <c r="T3502" t="s">
        <v>6694</v>
      </c>
      <c r="W3502" t="s">
        <v>6720</v>
      </c>
    </row>
    <row r="3503" spans="1:23" ht="15.6" x14ac:dyDescent="0.4">
      <c r="A3503" s="2" t="s">
        <v>25</v>
      </c>
      <c r="B3503" s="5" t="s">
        <v>9616</v>
      </c>
      <c r="C3503" s="7" t="s">
        <v>12556</v>
      </c>
      <c r="D3503" s="8">
        <f t="shared" si="220"/>
        <v>0</v>
      </c>
      <c r="E3503" s="7" t="s">
        <v>12557</v>
      </c>
      <c r="F3503" s="7">
        <f t="shared" si="221"/>
        <v>1</v>
      </c>
      <c r="G3503" s="7" t="s">
        <v>12558</v>
      </c>
      <c r="H3503" s="7">
        <f t="shared" si="222"/>
        <v>1</v>
      </c>
      <c r="I3503" s="7" cm="1">
        <f t="array" ref="I3503">IFERROR(_xlfn.IFS(M3503="נח",1,M3503="נע ונח",1,M3503="שני שווא נח",2,M3503="שני שוואים בסוף מילה",2,M3503="שני שוואים ברצף",1),"0")</f>
        <v>1</v>
      </c>
      <c r="J3503" s="9">
        <f t="shared" si="223"/>
        <v>3</v>
      </c>
      <c r="K3503" t="s">
        <v>6697</v>
      </c>
      <c r="L3503" t="s">
        <v>6694</v>
      </c>
      <c r="M3503" t="s">
        <v>6705</v>
      </c>
      <c r="P3503" t="s">
        <v>6694</v>
      </c>
      <c r="S3503" t="s">
        <v>6694</v>
      </c>
      <c r="U3503" t="s">
        <v>6694</v>
      </c>
      <c r="W3503" t="s">
        <v>6720</v>
      </c>
    </row>
    <row r="3504" spans="1:23" ht="15.6" x14ac:dyDescent="0.4">
      <c r="A3504" s="2" t="s">
        <v>1098</v>
      </c>
      <c r="B3504" s="5" t="s">
        <v>9818</v>
      </c>
      <c r="C3504" s="7" t="s">
        <v>12556</v>
      </c>
      <c r="D3504" s="8">
        <f t="shared" si="220"/>
        <v>0</v>
      </c>
      <c r="E3504" s="7" t="s">
        <v>12557</v>
      </c>
      <c r="F3504" s="7">
        <f t="shared" si="221"/>
        <v>0</v>
      </c>
      <c r="G3504" s="7" t="s">
        <v>12558</v>
      </c>
      <c r="H3504" s="7">
        <f t="shared" si="222"/>
        <v>0</v>
      </c>
      <c r="I3504" s="7" t="str" cm="1">
        <f t="array" ref="I3504">IFERROR(_xlfn.IFS(M3504="נח",1,M3504="נע ונח",1,M3504="שני שווא נח",2,M3504="שני שוואים בסוף מילה",2,M3504="שני שוואים ברצף",1),"0")</f>
        <v>0</v>
      </c>
      <c r="J3504" s="9">
        <f t="shared" si="223"/>
        <v>1</v>
      </c>
      <c r="K3504" t="s">
        <v>6698</v>
      </c>
      <c r="L3504" t="s">
        <v>6695</v>
      </c>
      <c r="P3504" t="s">
        <v>6694</v>
      </c>
      <c r="W3504" t="s">
        <v>6720</v>
      </c>
    </row>
    <row r="3505" spans="1:23" ht="15.6" x14ac:dyDescent="0.4">
      <c r="A3505" s="2" t="s">
        <v>2461</v>
      </c>
      <c r="B3505" s="5" t="s">
        <v>9819</v>
      </c>
      <c r="C3505" s="7" t="s">
        <v>12556</v>
      </c>
      <c r="D3505" s="8">
        <f t="shared" si="220"/>
        <v>0</v>
      </c>
      <c r="E3505" s="7" t="s">
        <v>12557</v>
      </c>
      <c r="F3505" s="7">
        <f t="shared" si="221"/>
        <v>0</v>
      </c>
      <c r="G3505" s="7" t="s">
        <v>12558</v>
      </c>
      <c r="H3505" s="7">
        <f t="shared" si="222"/>
        <v>0</v>
      </c>
      <c r="I3505" s="7" cm="1">
        <f t="array" ref="I3505">IFERROR(_xlfn.IFS(M3505="נח",1,M3505="נע ונח",1,M3505="שני שווא נח",2,M3505="שני שוואים בסוף מילה",2,M3505="שני שוואים ברצף",1),"0")</f>
        <v>1</v>
      </c>
      <c r="J3505" s="9">
        <f t="shared" si="223"/>
        <v>2</v>
      </c>
      <c r="K3505" t="s">
        <v>6698</v>
      </c>
      <c r="L3505" t="s">
        <v>6694</v>
      </c>
      <c r="M3505" t="s">
        <v>6705</v>
      </c>
      <c r="P3505" t="s">
        <v>6694</v>
      </c>
      <c r="Q3505" t="s">
        <v>6694</v>
      </c>
      <c r="W3505" t="s">
        <v>6720</v>
      </c>
    </row>
    <row r="3506" spans="1:23" ht="15.6" x14ac:dyDescent="0.4">
      <c r="A3506" s="2" t="s">
        <v>1968</v>
      </c>
      <c r="B3506" s="5" t="s">
        <v>9820</v>
      </c>
      <c r="C3506" s="7" t="s">
        <v>12556</v>
      </c>
      <c r="D3506" s="8">
        <f t="shared" si="220"/>
        <v>1</v>
      </c>
      <c r="E3506" s="7" t="s">
        <v>12557</v>
      </c>
      <c r="F3506" s="7">
        <f t="shared" si="221"/>
        <v>0</v>
      </c>
      <c r="G3506" s="7" t="s">
        <v>12558</v>
      </c>
      <c r="H3506" s="7">
        <f t="shared" si="222"/>
        <v>0</v>
      </c>
      <c r="I3506" s="7" cm="1">
        <f t="array" ref="I3506">IFERROR(_xlfn.IFS(M3506="נח",1,M3506="נע ונח",1,M3506="שני שווא נח",2,M3506="שני שוואים בסוף מילה",2,M3506="שני שוואים ברצף",1),"0")</f>
        <v>1</v>
      </c>
      <c r="J3506" s="9">
        <f t="shared" si="223"/>
        <v>3</v>
      </c>
      <c r="K3506" t="s">
        <v>6697</v>
      </c>
      <c r="L3506" t="s">
        <v>6694</v>
      </c>
      <c r="M3506" t="s">
        <v>6705</v>
      </c>
      <c r="P3506" t="s">
        <v>6694</v>
      </c>
      <c r="Q3506" t="s">
        <v>6694</v>
      </c>
      <c r="S3506" t="s">
        <v>6694</v>
      </c>
      <c r="W3506" t="s">
        <v>6720</v>
      </c>
    </row>
    <row r="3507" spans="1:23" ht="15.6" x14ac:dyDescent="0.4">
      <c r="A3507" s="2" t="s">
        <v>2561</v>
      </c>
      <c r="B3507" s="5" t="s">
        <v>9821</v>
      </c>
      <c r="C3507" s="7" t="s">
        <v>12556</v>
      </c>
      <c r="D3507" s="8">
        <f t="shared" si="220"/>
        <v>0</v>
      </c>
      <c r="E3507" s="7" t="s">
        <v>12557</v>
      </c>
      <c r="F3507" s="7">
        <f t="shared" si="221"/>
        <v>1</v>
      </c>
      <c r="G3507" s="7" t="s">
        <v>12558</v>
      </c>
      <c r="H3507" s="7">
        <f t="shared" si="222"/>
        <v>0</v>
      </c>
      <c r="I3507" s="7" t="str" cm="1">
        <f t="array" ref="I3507">IFERROR(_xlfn.IFS(M3507="נח",1,M3507="נע ונח",1,M3507="שני שווא נח",2,M3507="שני שוואים בסוף מילה",2,M3507="שני שוואים ברצף",1),"0")</f>
        <v>0</v>
      </c>
      <c r="J3507" s="9">
        <f t="shared" si="223"/>
        <v>2</v>
      </c>
      <c r="K3507" t="s">
        <v>6698</v>
      </c>
      <c r="L3507" t="s">
        <v>6695</v>
      </c>
      <c r="P3507" t="s">
        <v>6694</v>
      </c>
      <c r="S3507" t="s">
        <v>6694</v>
      </c>
      <c r="W3507" t="s">
        <v>6720</v>
      </c>
    </row>
    <row r="3508" spans="1:23" ht="15.6" x14ac:dyDescent="0.4">
      <c r="A3508" s="2" t="s">
        <v>610</v>
      </c>
      <c r="B3508" s="5" t="s">
        <v>9822</v>
      </c>
      <c r="C3508" s="7" t="s">
        <v>12556</v>
      </c>
      <c r="D3508" s="8">
        <f t="shared" si="220"/>
        <v>0</v>
      </c>
      <c r="E3508" s="7" t="s">
        <v>12557</v>
      </c>
      <c r="F3508" s="7">
        <f t="shared" si="221"/>
        <v>0</v>
      </c>
      <c r="G3508" s="7" t="s">
        <v>12558</v>
      </c>
      <c r="H3508" s="7">
        <f t="shared" si="222"/>
        <v>0</v>
      </c>
      <c r="I3508" s="7" cm="1">
        <f t="array" ref="I3508">IFERROR(_xlfn.IFS(M3508="נח",1,M3508="נע ונח",1,M3508="שני שווא נח",2,M3508="שני שוואים בסוף מילה",2,M3508="שני שוואים ברצף",1),"0")</f>
        <v>1</v>
      </c>
      <c r="J3508" s="9">
        <f t="shared" si="223"/>
        <v>3</v>
      </c>
      <c r="K3508" t="s">
        <v>6697</v>
      </c>
      <c r="L3508" t="s">
        <v>6694</v>
      </c>
      <c r="M3508" t="s">
        <v>6705</v>
      </c>
      <c r="P3508" t="s">
        <v>6694</v>
      </c>
      <c r="Q3508" t="s">
        <v>6694</v>
      </c>
      <c r="S3508" t="s">
        <v>6694</v>
      </c>
      <c r="W3508" t="s">
        <v>6720</v>
      </c>
    </row>
    <row r="3509" spans="1:23" ht="15.6" x14ac:dyDescent="0.4">
      <c r="A3509" s="2" t="s">
        <v>2629</v>
      </c>
      <c r="B3509" s="5" t="s">
        <v>9823</v>
      </c>
      <c r="C3509" s="7" t="s">
        <v>12556</v>
      </c>
      <c r="D3509" s="8">
        <f t="shared" si="220"/>
        <v>0</v>
      </c>
      <c r="E3509" s="7" t="s">
        <v>12557</v>
      </c>
      <c r="F3509" s="7">
        <f t="shared" si="221"/>
        <v>1</v>
      </c>
      <c r="G3509" s="7" t="s">
        <v>12558</v>
      </c>
      <c r="H3509" s="7">
        <f t="shared" si="222"/>
        <v>0</v>
      </c>
      <c r="I3509" s="7" cm="1">
        <f t="array" ref="I3509">IFERROR(_xlfn.IFS(M3509="נח",1,M3509="נע ונח",1,M3509="שני שווא נח",2,M3509="שני שוואים בסוף מילה",2,M3509="שני שוואים ברצף",1),"0")</f>
        <v>1</v>
      </c>
      <c r="J3509" s="9">
        <f t="shared" si="223"/>
        <v>4</v>
      </c>
      <c r="K3509" t="s">
        <v>6697</v>
      </c>
      <c r="L3509" t="s">
        <v>6694</v>
      </c>
      <c r="M3509" t="s">
        <v>6705</v>
      </c>
      <c r="P3509" t="s">
        <v>6694</v>
      </c>
      <c r="Q3509" t="s">
        <v>6694</v>
      </c>
      <c r="S3509" t="s">
        <v>6694</v>
      </c>
      <c r="W3509" t="s">
        <v>6720</v>
      </c>
    </row>
    <row r="3510" spans="1:23" ht="15.6" x14ac:dyDescent="0.4">
      <c r="A3510" s="2" t="s">
        <v>5771</v>
      </c>
      <c r="B3510" s="5" t="s">
        <v>9824</v>
      </c>
      <c r="C3510" s="7" t="s">
        <v>12556</v>
      </c>
      <c r="D3510" s="8">
        <f t="shared" si="220"/>
        <v>0</v>
      </c>
      <c r="E3510" s="7" t="s">
        <v>12557</v>
      </c>
      <c r="F3510" s="7">
        <f t="shared" si="221"/>
        <v>1</v>
      </c>
      <c r="G3510" s="7" t="s">
        <v>12558</v>
      </c>
      <c r="H3510" s="7">
        <f t="shared" si="222"/>
        <v>0</v>
      </c>
      <c r="I3510" s="7" t="str" cm="1">
        <f t="array" ref="I3510">IFERROR(_xlfn.IFS(M3510="נח",1,M3510="נע ונח",1,M3510="שני שווא נח",2,M3510="שני שוואים בסוף מילה",2,M3510="שני שוואים ברצף",1),"0")</f>
        <v>0</v>
      </c>
      <c r="J3510" s="9">
        <f t="shared" si="223"/>
        <v>2</v>
      </c>
      <c r="K3510" t="s">
        <v>6697</v>
      </c>
      <c r="L3510" t="s">
        <v>6695</v>
      </c>
      <c r="P3510" t="s">
        <v>6694</v>
      </c>
      <c r="W3510" t="s">
        <v>6720</v>
      </c>
    </row>
    <row r="3511" spans="1:23" ht="15.6" x14ac:dyDescent="0.4">
      <c r="A3511" s="2" t="s">
        <v>1732</v>
      </c>
      <c r="B3511" s="5" t="s">
        <v>9825</v>
      </c>
      <c r="C3511" s="7" t="s">
        <v>12556</v>
      </c>
      <c r="D3511" s="8">
        <f t="shared" si="220"/>
        <v>0</v>
      </c>
      <c r="E3511" s="7" t="s">
        <v>12557</v>
      </c>
      <c r="F3511" s="7">
        <f t="shared" si="221"/>
        <v>1</v>
      </c>
      <c r="G3511" s="7" t="s">
        <v>12558</v>
      </c>
      <c r="H3511" s="7">
        <f t="shared" si="222"/>
        <v>0</v>
      </c>
      <c r="I3511" s="7" t="str" cm="1">
        <f t="array" ref="I3511">IFERROR(_xlfn.IFS(M3511="נח",1,M3511="נע ונח",1,M3511="שני שווא נח",2,M3511="שני שוואים בסוף מילה",2,M3511="שני שוואים ברצף",1),"0")</f>
        <v>0</v>
      </c>
      <c r="J3511" s="9">
        <f t="shared" si="223"/>
        <v>2</v>
      </c>
      <c r="K3511" t="s">
        <v>6698</v>
      </c>
      <c r="L3511" t="s">
        <v>6695</v>
      </c>
      <c r="P3511" t="s">
        <v>6694</v>
      </c>
      <c r="V3511" t="s">
        <v>6694</v>
      </c>
      <c r="W3511" t="s">
        <v>6720</v>
      </c>
    </row>
    <row r="3512" spans="1:23" ht="15.6" x14ac:dyDescent="0.4">
      <c r="A3512" s="2" t="s">
        <v>3777</v>
      </c>
      <c r="B3512" s="5" t="s">
        <v>9826</v>
      </c>
      <c r="C3512" s="7" t="s">
        <v>12556</v>
      </c>
      <c r="D3512" s="8">
        <f t="shared" si="220"/>
        <v>0</v>
      </c>
      <c r="E3512" s="7" t="s">
        <v>12557</v>
      </c>
      <c r="F3512" s="7">
        <f t="shared" si="221"/>
        <v>0</v>
      </c>
      <c r="G3512" s="7" t="s">
        <v>12558</v>
      </c>
      <c r="H3512" s="7">
        <f t="shared" si="222"/>
        <v>0</v>
      </c>
      <c r="I3512" s="7" cm="1">
        <f t="array" ref="I3512">IFERROR(_xlfn.IFS(M3512="נח",1,M3512="נע ונח",1,M3512="שני שווא נח",2,M3512="שני שוואים בסוף מילה",2,M3512="שני שוואים ברצף",1),"0")</f>
        <v>1</v>
      </c>
      <c r="J3512" s="9">
        <f t="shared" si="223"/>
        <v>4</v>
      </c>
      <c r="K3512" t="s">
        <v>6698</v>
      </c>
      <c r="L3512" t="s">
        <v>6694</v>
      </c>
      <c r="M3512" t="s">
        <v>6702</v>
      </c>
      <c r="O3512" t="s">
        <v>6694</v>
      </c>
      <c r="P3512" t="s">
        <v>6694</v>
      </c>
      <c r="R3512" t="s">
        <v>6694</v>
      </c>
      <c r="W3512" t="s">
        <v>6720</v>
      </c>
    </row>
    <row r="3513" spans="1:23" ht="15.6" x14ac:dyDescent="0.4">
      <c r="A3513" s="2" t="s">
        <v>4905</v>
      </c>
      <c r="B3513" s="5" t="s">
        <v>9827</v>
      </c>
      <c r="C3513" s="7" t="s">
        <v>12556</v>
      </c>
      <c r="D3513" s="8">
        <f t="shared" si="220"/>
        <v>0</v>
      </c>
      <c r="E3513" s="7" t="s">
        <v>12557</v>
      </c>
      <c r="F3513" s="7">
        <f t="shared" si="221"/>
        <v>0</v>
      </c>
      <c r="G3513" s="7" t="s">
        <v>12558</v>
      </c>
      <c r="H3513" s="7">
        <f t="shared" si="222"/>
        <v>0</v>
      </c>
      <c r="I3513" s="7" cm="1">
        <f t="array" ref="I3513">IFERROR(_xlfn.IFS(M3513="נח",1,M3513="נע ונח",1,M3513="שני שווא נח",2,M3513="שני שוואים בסוף מילה",2,M3513="שני שוואים ברצף",1),"0")</f>
        <v>1</v>
      </c>
      <c r="J3513" s="9">
        <f t="shared" si="223"/>
        <v>2</v>
      </c>
      <c r="K3513" t="s">
        <v>6697</v>
      </c>
      <c r="L3513" t="s">
        <v>6694</v>
      </c>
      <c r="M3513" t="s">
        <v>6705</v>
      </c>
      <c r="P3513" t="s">
        <v>6694</v>
      </c>
      <c r="R3513" t="s">
        <v>6694</v>
      </c>
      <c r="W3513" t="s">
        <v>6720</v>
      </c>
    </row>
    <row r="3514" spans="1:23" ht="15.6" x14ac:dyDescent="0.4">
      <c r="A3514" s="2" t="s">
        <v>1455</v>
      </c>
      <c r="B3514" s="5" t="s">
        <v>9828</v>
      </c>
      <c r="C3514" s="7" t="s">
        <v>12556</v>
      </c>
      <c r="D3514" s="8">
        <f t="shared" si="220"/>
        <v>0</v>
      </c>
      <c r="E3514" s="7" t="s">
        <v>12557</v>
      </c>
      <c r="F3514" s="7">
        <f t="shared" si="221"/>
        <v>1</v>
      </c>
      <c r="G3514" s="7" t="s">
        <v>12558</v>
      </c>
      <c r="H3514" s="7">
        <f t="shared" si="222"/>
        <v>1</v>
      </c>
      <c r="I3514" s="7" cm="1">
        <f t="array" ref="I3514">IFERROR(_xlfn.IFS(M3514="נח",1,M3514="נע ונח",1,M3514="שני שווא נח",2,M3514="שני שוואים בסוף מילה",2,M3514="שני שוואים ברצף",1),"0")</f>
        <v>1</v>
      </c>
      <c r="J3514" s="9">
        <f t="shared" si="223"/>
        <v>3</v>
      </c>
      <c r="K3514" t="s">
        <v>6697</v>
      </c>
      <c r="L3514" t="s">
        <v>6694</v>
      </c>
      <c r="M3514" t="s">
        <v>6702</v>
      </c>
      <c r="P3514" t="s">
        <v>6694</v>
      </c>
      <c r="U3514" t="s">
        <v>6694</v>
      </c>
      <c r="W3514" t="s">
        <v>6720</v>
      </c>
    </row>
    <row r="3515" spans="1:23" ht="15.6" x14ac:dyDescent="0.4">
      <c r="A3515" s="2" t="s">
        <v>4103</v>
      </c>
      <c r="B3515" s="5" t="s">
        <v>9829</v>
      </c>
      <c r="C3515" s="7" t="s">
        <v>12556</v>
      </c>
      <c r="D3515" s="8">
        <f t="shared" si="220"/>
        <v>0</v>
      </c>
      <c r="E3515" s="7" t="s">
        <v>12557</v>
      </c>
      <c r="F3515" s="7">
        <f t="shared" si="221"/>
        <v>0</v>
      </c>
      <c r="G3515" s="7" t="s">
        <v>12558</v>
      </c>
      <c r="H3515" s="7">
        <f t="shared" si="222"/>
        <v>0</v>
      </c>
      <c r="I3515" s="7" t="str" cm="1">
        <f t="array" ref="I3515">IFERROR(_xlfn.IFS(M3515="נח",1,M3515="נע ונח",1,M3515="שני שווא נח",2,M3515="שני שוואים בסוף מילה",2,M3515="שני שוואים ברצף",1),"0")</f>
        <v>0</v>
      </c>
      <c r="J3515" s="9">
        <f t="shared" si="223"/>
        <v>3</v>
      </c>
      <c r="K3515" t="s">
        <v>6698</v>
      </c>
      <c r="L3515" t="s">
        <v>6695</v>
      </c>
      <c r="P3515" t="s">
        <v>6694</v>
      </c>
      <c r="V3515" t="s">
        <v>6694</v>
      </c>
      <c r="W3515" t="s">
        <v>6720</v>
      </c>
    </row>
    <row r="3516" spans="1:23" ht="15.6" x14ac:dyDescent="0.4">
      <c r="A3516" s="2" t="s">
        <v>656</v>
      </c>
      <c r="B3516" s="5" t="s">
        <v>9830</v>
      </c>
      <c r="C3516" s="7" t="s">
        <v>12556</v>
      </c>
      <c r="D3516" s="8">
        <f t="shared" si="220"/>
        <v>0</v>
      </c>
      <c r="E3516" s="7" t="s">
        <v>12557</v>
      </c>
      <c r="F3516" s="7">
        <f t="shared" si="221"/>
        <v>1</v>
      </c>
      <c r="G3516" s="7" t="s">
        <v>12558</v>
      </c>
      <c r="H3516" s="7">
        <f t="shared" si="222"/>
        <v>1</v>
      </c>
      <c r="I3516" s="7" t="str" cm="1">
        <f t="array" ref="I3516">IFERROR(_xlfn.IFS(M3516="נח",1,M3516="נע ונח",1,M3516="שני שווא נח",2,M3516="שני שוואים בסוף מילה",2,M3516="שני שוואים ברצף",1),"0")</f>
        <v>0</v>
      </c>
      <c r="J3516" s="9">
        <f t="shared" si="223"/>
        <v>4</v>
      </c>
      <c r="K3516" t="s">
        <v>6698</v>
      </c>
      <c r="L3516" t="s">
        <v>6695</v>
      </c>
      <c r="P3516" t="s">
        <v>6694</v>
      </c>
      <c r="U3516" t="s">
        <v>6694</v>
      </c>
      <c r="V3516" t="s">
        <v>6694</v>
      </c>
      <c r="W3516" t="s">
        <v>6720</v>
      </c>
    </row>
    <row r="3517" spans="1:23" ht="15.6" x14ac:dyDescent="0.4">
      <c r="A3517" s="2" t="s">
        <v>6110</v>
      </c>
      <c r="B3517" s="5" t="s">
        <v>9831</v>
      </c>
      <c r="C3517" s="7" t="s">
        <v>12556</v>
      </c>
      <c r="D3517" s="8">
        <f t="shared" si="220"/>
        <v>0</v>
      </c>
      <c r="E3517" s="7" t="s">
        <v>12557</v>
      </c>
      <c r="F3517" s="7">
        <f t="shared" si="221"/>
        <v>0</v>
      </c>
      <c r="G3517" s="7" t="s">
        <v>12558</v>
      </c>
      <c r="H3517" s="7">
        <f t="shared" si="222"/>
        <v>0</v>
      </c>
      <c r="I3517" s="7" t="str" cm="1">
        <f t="array" ref="I3517">IFERROR(_xlfn.IFS(M3517="נח",1,M3517="נע ונח",1,M3517="שני שווא נח",2,M3517="שני שוואים בסוף מילה",2,M3517="שני שוואים ברצף",1),"0")</f>
        <v>0</v>
      </c>
      <c r="J3517" s="9">
        <f t="shared" si="223"/>
        <v>3</v>
      </c>
      <c r="K3517" t="s">
        <v>6698</v>
      </c>
      <c r="L3517" t="s">
        <v>6695</v>
      </c>
      <c r="P3517" t="s">
        <v>6694</v>
      </c>
      <c r="V3517" t="s">
        <v>6694</v>
      </c>
      <c r="W3517" t="s">
        <v>6720</v>
      </c>
    </row>
    <row r="3518" spans="1:23" ht="15.6" x14ac:dyDescent="0.4">
      <c r="A3518" s="2" t="s">
        <v>2549</v>
      </c>
      <c r="B3518" s="5" t="s">
        <v>9832</v>
      </c>
      <c r="C3518" s="7" t="s">
        <v>12556</v>
      </c>
      <c r="D3518" s="8">
        <f t="shared" si="220"/>
        <v>0</v>
      </c>
      <c r="E3518" s="7" t="s">
        <v>12557</v>
      </c>
      <c r="F3518" s="7">
        <f t="shared" si="221"/>
        <v>0</v>
      </c>
      <c r="G3518" s="7" t="s">
        <v>12558</v>
      </c>
      <c r="H3518" s="7">
        <f t="shared" si="222"/>
        <v>0</v>
      </c>
      <c r="I3518" s="7" t="str" cm="1">
        <f t="array" ref="I3518">IFERROR(_xlfn.IFS(M3518="נח",1,M3518="נע ונח",1,M3518="שני שווא נח",2,M3518="שני שוואים בסוף מילה",2,M3518="שני שוואים ברצף",1),"0")</f>
        <v>0</v>
      </c>
      <c r="J3518" s="9">
        <f t="shared" si="223"/>
        <v>3</v>
      </c>
      <c r="K3518" t="s">
        <v>6698</v>
      </c>
      <c r="L3518" t="s">
        <v>6695</v>
      </c>
      <c r="P3518" t="s">
        <v>6694</v>
      </c>
      <c r="V3518" t="s">
        <v>6694</v>
      </c>
      <c r="W3518" t="s">
        <v>6720</v>
      </c>
    </row>
    <row r="3519" spans="1:23" ht="15.6" x14ac:dyDescent="0.4">
      <c r="A3519" s="2" t="s">
        <v>5395</v>
      </c>
      <c r="B3519" s="5" t="s">
        <v>9833</v>
      </c>
      <c r="C3519" s="7" t="s">
        <v>12556</v>
      </c>
      <c r="D3519" s="8">
        <f t="shared" si="220"/>
        <v>0</v>
      </c>
      <c r="E3519" s="7" t="s">
        <v>12557</v>
      </c>
      <c r="F3519" s="7">
        <f t="shared" si="221"/>
        <v>0</v>
      </c>
      <c r="G3519" s="7" t="s">
        <v>12558</v>
      </c>
      <c r="H3519" s="7">
        <f t="shared" si="222"/>
        <v>0</v>
      </c>
      <c r="I3519" s="7" t="str" cm="1">
        <f t="array" ref="I3519">IFERROR(_xlfn.IFS(M3519="נח",1,M3519="נע ונח",1,M3519="שני שווא נח",2,M3519="שני שוואים בסוף מילה",2,M3519="שני שוואים ברצף",1),"0")</f>
        <v>0</v>
      </c>
      <c r="J3519" s="9">
        <f t="shared" si="223"/>
        <v>3</v>
      </c>
      <c r="K3519" t="s">
        <v>6698</v>
      </c>
      <c r="L3519" t="s">
        <v>6695</v>
      </c>
      <c r="N3519" t="s">
        <v>6706</v>
      </c>
      <c r="O3519" t="s">
        <v>6694</v>
      </c>
      <c r="P3519" t="s">
        <v>6694</v>
      </c>
      <c r="W3519" t="s">
        <v>6720</v>
      </c>
    </row>
    <row r="3520" spans="1:23" ht="15.6" x14ac:dyDescent="0.4">
      <c r="A3520" s="2" t="s">
        <v>505</v>
      </c>
      <c r="B3520" s="5" t="s">
        <v>9834</v>
      </c>
      <c r="C3520" s="7" t="s">
        <v>12556</v>
      </c>
      <c r="D3520" s="8">
        <f t="shared" si="220"/>
        <v>0</v>
      </c>
      <c r="E3520" s="7" t="s">
        <v>12557</v>
      </c>
      <c r="F3520" s="7">
        <f t="shared" si="221"/>
        <v>1</v>
      </c>
      <c r="G3520" s="7" t="s">
        <v>12558</v>
      </c>
      <c r="H3520" s="7">
        <f t="shared" si="222"/>
        <v>1</v>
      </c>
      <c r="I3520" s="7" t="str" cm="1">
        <f t="array" ref="I3520">IFERROR(_xlfn.IFS(M3520="נח",1,M3520="נע ונח",1,M3520="שני שווא נח",2,M3520="שני שוואים בסוף מילה",2,M3520="שני שוואים ברצף",1),"0")</f>
        <v>0</v>
      </c>
      <c r="J3520" s="9">
        <f t="shared" si="223"/>
        <v>3</v>
      </c>
      <c r="K3520" t="s">
        <v>6697</v>
      </c>
      <c r="L3520" t="s">
        <v>6695</v>
      </c>
      <c r="P3520" t="s">
        <v>6694</v>
      </c>
      <c r="U3520" t="s">
        <v>6694</v>
      </c>
      <c r="W3520" t="s">
        <v>6720</v>
      </c>
    </row>
    <row r="3521" spans="1:23" ht="15.6" x14ac:dyDescent="0.4">
      <c r="A3521" s="2" t="s">
        <v>2563</v>
      </c>
      <c r="B3521" s="5" t="s">
        <v>9835</v>
      </c>
      <c r="C3521" s="7" t="s">
        <v>12556</v>
      </c>
      <c r="D3521" s="8">
        <f t="shared" si="220"/>
        <v>0</v>
      </c>
      <c r="E3521" s="7" t="s">
        <v>12557</v>
      </c>
      <c r="F3521" s="7">
        <f t="shared" si="221"/>
        <v>0</v>
      </c>
      <c r="G3521" s="7" t="s">
        <v>12558</v>
      </c>
      <c r="H3521" s="7">
        <f t="shared" si="222"/>
        <v>0</v>
      </c>
      <c r="I3521" s="7" t="str" cm="1">
        <f t="array" ref="I3521">IFERROR(_xlfn.IFS(M3521="נח",1,M3521="נע ונח",1,M3521="שני שווא נח",2,M3521="שני שוואים בסוף מילה",2,M3521="שני שוואים ברצף",1),"0")</f>
        <v>0</v>
      </c>
      <c r="J3521" s="9">
        <f t="shared" si="223"/>
        <v>3</v>
      </c>
      <c r="K3521" t="s">
        <v>6697</v>
      </c>
      <c r="L3521" t="s">
        <v>6695</v>
      </c>
      <c r="P3521" t="s">
        <v>6694</v>
      </c>
      <c r="R3521" t="s">
        <v>6694</v>
      </c>
      <c r="W3521" t="s">
        <v>6720</v>
      </c>
    </row>
    <row r="3522" spans="1:23" ht="15.6" x14ac:dyDescent="0.4">
      <c r="A3522" s="2" t="s">
        <v>5973</v>
      </c>
      <c r="B3522" s="5" t="s">
        <v>9828</v>
      </c>
      <c r="C3522" s="7" t="s">
        <v>12556</v>
      </c>
      <c r="D3522" s="8">
        <f t="shared" si="220"/>
        <v>0</v>
      </c>
      <c r="E3522" s="7" t="s">
        <v>12557</v>
      </c>
      <c r="F3522" s="7">
        <f t="shared" si="221"/>
        <v>1</v>
      </c>
      <c r="G3522" s="7" t="s">
        <v>12558</v>
      </c>
      <c r="H3522" s="7">
        <f t="shared" si="222"/>
        <v>1</v>
      </c>
      <c r="I3522" s="7" t="str" cm="1">
        <f t="array" ref="I3522">IFERROR(_xlfn.IFS(M3522="נח",1,M3522="נע ונח",1,M3522="שני שווא נח",2,M3522="שני שוואים בסוף מילה",2,M3522="שני שוואים ברצף",1),"0")</f>
        <v>0</v>
      </c>
      <c r="J3522" s="9">
        <f t="shared" si="223"/>
        <v>4</v>
      </c>
      <c r="K3522" t="s">
        <v>6697</v>
      </c>
      <c r="L3522" t="s">
        <v>6695</v>
      </c>
      <c r="P3522" t="s">
        <v>6694</v>
      </c>
      <c r="U3522" t="s">
        <v>6694</v>
      </c>
      <c r="V3522" t="s">
        <v>6694</v>
      </c>
      <c r="W3522" t="s">
        <v>6720</v>
      </c>
    </row>
    <row r="3523" spans="1:23" ht="15.6" x14ac:dyDescent="0.4">
      <c r="A3523" s="2" t="s">
        <v>648</v>
      </c>
      <c r="B3523" s="5" t="s">
        <v>9836</v>
      </c>
      <c r="C3523" s="7" t="s">
        <v>12556</v>
      </c>
      <c r="D3523" s="8">
        <f t="shared" ref="D3523:D3586" si="224">(LEN(B3523)-LEN(SUBSTITUTE(B3523,C3523,"")))</f>
        <v>0</v>
      </c>
      <c r="E3523" s="7" t="s">
        <v>12557</v>
      </c>
      <c r="F3523" s="7">
        <f t="shared" ref="F3523:F3586" si="225">(LEN(A3523)-LEN(SUBSTITUTE(A3523,E3523,"")))</f>
        <v>1</v>
      </c>
      <c r="G3523" s="7" t="s">
        <v>12558</v>
      </c>
      <c r="H3523" s="7">
        <f t="shared" ref="H3523:H3586" si="226">(LEN(A3523)-LEN(SUBSTITUTE(A3523,G3523,"")))/2</f>
        <v>1</v>
      </c>
      <c r="I3523" s="7" t="str" cm="1">
        <f t="array" ref="I3523">IFERROR(_xlfn.IFS(M3523="נח",1,M3523="נע ונח",1,M3523="שני שווא נח",2,M3523="שני שוואים בסוף מילה",2,M3523="שני שוואים ברצף",1),"0")</f>
        <v>0</v>
      </c>
      <c r="J3523" s="9">
        <f t="shared" ref="J3523:J3586" si="227">LEN(A3523)-(LEN(B3523))-D3523-F3523+H3523-I3523</f>
        <v>3</v>
      </c>
      <c r="K3523" t="s">
        <v>6697</v>
      </c>
      <c r="L3523" t="s">
        <v>6695</v>
      </c>
      <c r="P3523" t="s">
        <v>6694</v>
      </c>
      <c r="U3523" t="s">
        <v>6694</v>
      </c>
      <c r="W3523" t="s">
        <v>6720</v>
      </c>
    </row>
    <row r="3524" spans="1:23" ht="15.6" x14ac:dyDescent="0.4">
      <c r="A3524" s="2" t="s">
        <v>6190</v>
      </c>
      <c r="B3524" s="5" t="s">
        <v>9837</v>
      </c>
      <c r="C3524" s="7" t="s">
        <v>12556</v>
      </c>
      <c r="D3524" s="8">
        <f t="shared" si="224"/>
        <v>0</v>
      </c>
      <c r="E3524" s="7" t="s">
        <v>12557</v>
      </c>
      <c r="F3524" s="7">
        <f t="shared" si="225"/>
        <v>0</v>
      </c>
      <c r="G3524" s="7" t="s">
        <v>12558</v>
      </c>
      <c r="H3524" s="7">
        <f t="shared" si="226"/>
        <v>0</v>
      </c>
      <c r="I3524" s="7" t="str" cm="1">
        <f t="array" ref="I3524">IFERROR(_xlfn.IFS(M3524="נח",1,M3524="נע ונח",1,M3524="שני שווא נח",2,M3524="שני שוואים בסוף מילה",2,M3524="שני שוואים ברצף",1),"0")</f>
        <v>0</v>
      </c>
      <c r="J3524" s="9">
        <f t="shared" si="227"/>
        <v>5</v>
      </c>
      <c r="K3524" t="s">
        <v>6697</v>
      </c>
      <c r="L3524" t="s">
        <v>6695</v>
      </c>
      <c r="P3524" t="s">
        <v>6694</v>
      </c>
      <c r="Q3524" t="s">
        <v>6694</v>
      </c>
      <c r="S3524" t="s">
        <v>6694</v>
      </c>
      <c r="W3524" t="s">
        <v>6720</v>
      </c>
    </row>
    <row r="3525" spans="1:23" ht="15.6" x14ac:dyDescent="0.4">
      <c r="A3525" s="2" t="s">
        <v>4544</v>
      </c>
      <c r="B3525" s="5" t="s">
        <v>9838</v>
      </c>
      <c r="C3525" s="7" t="s">
        <v>12556</v>
      </c>
      <c r="D3525" s="8">
        <f t="shared" si="224"/>
        <v>0</v>
      </c>
      <c r="E3525" s="7" t="s">
        <v>12557</v>
      </c>
      <c r="F3525" s="7">
        <f t="shared" si="225"/>
        <v>0</v>
      </c>
      <c r="G3525" s="7" t="s">
        <v>12558</v>
      </c>
      <c r="H3525" s="7">
        <f t="shared" si="226"/>
        <v>0</v>
      </c>
      <c r="I3525" s="7" t="str" cm="1">
        <f t="array" ref="I3525">IFERROR(_xlfn.IFS(M3525="נח",1,M3525="נע ונח",1,M3525="שני שווא נח",2,M3525="שני שוואים בסוף מילה",2,M3525="שני שוואים ברצף",1),"0")</f>
        <v>0</v>
      </c>
      <c r="J3525" s="9">
        <f t="shared" si="227"/>
        <v>3</v>
      </c>
      <c r="K3525" t="s">
        <v>6698</v>
      </c>
      <c r="L3525" t="s">
        <v>6695</v>
      </c>
      <c r="N3525" t="s">
        <v>6706</v>
      </c>
      <c r="O3525" t="s">
        <v>6694</v>
      </c>
      <c r="P3525" t="s">
        <v>6694</v>
      </c>
      <c r="W3525" t="s">
        <v>6720</v>
      </c>
    </row>
    <row r="3526" spans="1:23" ht="15.6" x14ac:dyDescent="0.4">
      <c r="A3526" s="2" t="s">
        <v>4704</v>
      </c>
      <c r="B3526" s="5" t="s">
        <v>9839</v>
      </c>
      <c r="C3526" s="7" t="s">
        <v>12556</v>
      </c>
      <c r="D3526" s="8">
        <f t="shared" si="224"/>
        <v>0</v>
      </c>
      <c r="E3526" s="7" t="s">
        <v>12557</v>
      </c>
      <c r="F3526" s="7">
        <f t="shared" si="225"/>
        <v>0</v>
      </c>
      <c r="G3526" s="7" t="s">
        <v>12558</v>
      </c>
      <c r="H3526" s="7">
        <f t="shared" si="226"/>
        <v>0</v>
      </c>
      <c r="I3526" s="7" t="str" cm="1">
        <f t="array" ref="I3526">IFERROR(_xlfn.IFS(M3526="נח",1,M3526="נע ונח",1,M3526="שני שווא נח",2,M3526="שני שוואים בסוף מילה",2,M3526="שני שוואים ברצף",1),"0")</f>
        <v>0</v>
      </c>
      <c r="J3526" s="9">
        <f t="shared" si="227"/>
        <v>3</v>
      </c>
      <c r="K3526" t="s">
        <v>6698</v>
      </c>
      <c r="L3526" t="s">
        <v>6695</v>
      </c>
      <c r="P3526" t="s">
        <v>6694</v>
      </c>
      <c r="V3526" t="s">
        <v>6694</v>
      </c>
      <c r="W3526" t="s">
        <v>6720</v>
      </c>
    </row>
    <row r="3527" spans="1:23" ht="15.6" x14ac:dyDescent="0.4">
      <c r="A3527" s="2" t="s">
        <v>396</v>
      </c>
      <c r="B3527" s="5" t="s">
        <v>9840</v>
      </c>
      <c r="C3527" s="7" t="s">
        <v>12556</v>
      </c>
      <c r="D3527" s="8">
        <f t="shared" si="224"/>
        <v>0</v>
      </c>
      <c r="E3527" s="7" t="s">
        <v>12557</v>
      </c>
      <c r="F3527" s="7">
        <f t="shared" si="225"/>
        <v>1</v>
      </c>
      <c r="G3527" s="7" t="s">
        <v>12558</v>
      </c>
      <c r="H3527" s="7">
        <f t="shared" si="226"/>
        <v>1</v>
      </c>
      <c r="I3527" s="7" t="str" cm="1">
        <f t="array" ref="I3527">IFERROR(_xlfn.IFS(M3527="נח",1,M3527="נע ונח",1,M3527="שני שווא נח",2,M3527="שני שוואים בסוף מילה",2,M3527="שני שוואים ברצף",1),"0")</f>
        <v>0</v>
      </c>
      <c r="J3527" s="9">
        <f t="shared" si="227"/>
        <v>4</v>
      </c>
      <c r="K3527" t="s">
        <v>6697</v>
      </c>
      <c r="L3527" t="s">
        <v>6695</v>
      </c>
      <c r="P3527" t="s">
        <v>6694</v>
      </c>
      <c r="U3527" t="s">
        <v>6694</v>
      </c>
      <c r="V3527" t="s">
        <v>6694</v>
      </c>
      <c r="W3527" t="s">
        <v>6720</v>
      </c>
    </row>
    <row r="3528" spans="1:23" ht="15.6" x14ac:dyDescent="0.4">
      <c r="A3528" s="2" t="s">
        <v>3305</v>
      </c>
      <c r="B3528" s="5" t="s">
        <v>9841</v>
      </c>
      <c r="C3528" s="7" t="s">
        <v>12556</v>
      </c>
      <c r="D3528" s="8">
        <f t="shared" si="224"/>
        <v>0</v>
      </c>
      <c r="E3528" s="7" t="s">
        <v>12557</v>
      </c>
      <c r="F3528" s="7">
        <f t="shared" si="225"/>
        <v>1</v>
      </c>
      <c r="G3528" s="7" t="s">
        <v>12558</v>
      </c>
      <c r="H3528" s="7">
        <f t="shared" si="226"/>
        <v>1</v>
      </c>
      <c r="I3528" s="7" t="str" cm="1">
        <f t="array" ref="I3528">IFERROR(_xlfn.IFS(M3528="נח",1,M3528="נע ונח",1,M3528="שני שווא נח",2,M3528="שני שוואים בסוף מילה",2,M3528="שני שוואים ברצף",1),"0")</f>
        <v>0</v>
      </c>
      <c r="J3528" s="9">
        <f t="shared" si="227"/>
        <v>4</v>
      </c>
      <c r="K3528" t="s">
        <v>6697</v>
      </c>
      <c r="L3528" t="s">
        <v>6695</v>
      </c>
      <c r="P3528" t="s">
        <v>6694</v>
      </c>
      <c r="Q3528" t="s">
        <v>6694</v>
      </c>
      <c r="U3528" t="s">
        <v>6694</v>
      </c>
      <c r="W3528" t="s">
        <v>6720</v>
      </c>
    </row>
    <row r="3529" spans="1:23" ht="15.6" x14ac:dyDescent="0.4">
      <c r="A3529" s="2" t="s">
        <v>6210</v>
      </c>
      <c r="B3529" s="5" t="s">
        <v>9842</v>
      </c>
      <c r="C3529" s="7" t="s">
        <v>12556</v>
      </c>
      <c r="D3529" s="8">
        <f t="shared" si="224"/>
        <v>0</v>
      </c>
      <c r="E3529" s="7" t="s">
        <v>12557</v>
      </c>
      <c r="F3529" s="7">
        <f t="shared" si="225"/>
        <v>0</v>
      </c>
      <c r="G3529" s="7" t="s">
        <v>12558</v>
      </c>
      <c r="H3529" s="7">
        <f t="shared" si="226"/>
        <v>0</v>
      </c>
      <c r="I3529" s="7" t="str" cm="1">
        <f t="array" ref="I3529">IFERROR(_xlfn.IFS(M3529="נח",1,M3529="נע ונח",1,M3529="שני שווא נח",2,M3529="שני שוואים בסוף מילה",2,M3529="שני שוואים ברצף",1),"0")</f>
        <v>0</v>
      </c>
      <c r="J3529" s="9">
        <f t="shared" si="227"/>
        <v>3</v>
      </c>
      <c r="K3529" t="s">
        <v>6698</v>
      </c>
      <c r="L3529" t="s">
        <v>6695</v>
      </c>
      <c r="P3529" t="s">
        <v>6694</v>
      </c>
      <c r="Q3529" t="s">
        <v>6694</v>
      </c>
      <c r="W3529" t="s">
        <v>6720</v>
      </c>
    </row>
    <row r="3530" spans="1:23" ht="15.6" x14ac:dyDescent="0.4">
      <c r="A3530" s="2" t="s">
        <v>3315</v>
      </c>
      <c r="B3530" s="5" t="s">
        <v>9499</v>
      </c>
      <c r="C3530" s="7" t="s">
        <v>12556</v>
      </c>
      <c r="D3530" s="8">
        <f t="shared" si="224"/>
        <v>0</v>
      </c>
      <c r="E3530" s="7" t="s">
        <v>12557</v>
      </c>
      <c r="F3530" s="7">
        <f t="shared" si="225"/>
        <v>1</v>
      </c>
      <c r="G3530" s="7" t="s">
        <v>12558</v>
      </c>
      <c r="H3530" s="7">
        <f t="shared" si="226"/>
        <v>1</v>
      </c>
      <c r="I3530" s="7" t="str" cm="1">
        <f t="array" ref="I3530">IFERROR(_xlfn.IFS(M3530="נח",1,M3530="נע ונח",1,M3530="שני שווא נח",2,M3530="שני שוואים בסוף מילה",2,M3530="שני שוואים ברצף",1),"0")</f>
        <v>0</v>
      </c>
      <c r="J3530" s="9">
        <f t="shared" si="227"/>
        <v>4</v>
      </c>
      <c r="K3530" t="s">
        <v>6697</v>
      </c>
      <c r="L3530" t="s">
        <v>6695</v>
      </c>
      <c r="P3530" t="s">
        <v>6694</v>
      </c>
      <c r="Q3530" t="s">
        <v>6694</v>
      </c>
      <c r="U3530" t="s">
        <v>6694</v>
      </c>
      <c r="W3530" t="s">
        <v>6720</v>
      </c>
    </row>
    <row r="3531" spans="1:23" ht="15.6" x14ac:dyDescent="0.4">
      <c r="A3531" s="2" t="s">
        <v>561</v>
      </c>
      <c r="B3531" s="5" t="s">
        <v>9843</v>
      </c>
      <c r="C3531" s="7" t="s">
        <v>12556</v>
      </c>
      <c r="D3531" s="8">
        <f t="shared" si="224"/>
        <v>0</v>
      </c>
      <c r="E3531" s="7" t="s">
        <v>12557</v>
      </c>
      <c r="F3531" s="7">
        <f t="shared" si="225"/>
        <v>0</v>
      </c>
      <c r="G3531" s="7" t="s">
        <v>12558</v>
      </c>
      <c r="H3531" s="7">
        <f t="shared" si="226"/>
        <v>0</v>
      </c>
      <c r="I3531" s="7" t="str" cm="1">
        <f t="array" ref="I3531">IFERROR(_xlfn.IFS(M3531="נח",1,M3531="נע ונח",1,M3531="שני שווא נח",2,M3531="שני שוואים בסוף מילה",2,M3531="שני שוואים ברצף",1),"0")</f>
        <v>0</v>
      </c>
      <c r="J3531" s="9">
        <f t="shared" si="227"/>
        <v>3</v>
      </c>
      <c r="K3531" t="s">
        <v>6698</v>
      </c>
      <c r="L3531" t="s">
        <v>6695</v>
      </c>
      <c r="P3531" t="s">
        <v>6694</v>
      </c>
      <c r="V3531" t="s">
        <v>6694</v>
      </c>
      <c r="W3531" t="s">
        <v>6720</v>
      </c>
    </row>
    <row r="3532" spans="1:23" ht="15.6" x14ac:dyDescent="0.4">
      <c r="A3532" s="2" t="s">
        <v>5795</v>
      </c>
      <c r="B3532" s="5" t="s">
        <v>9844</v>
      </c>
      <c r="C3532" s="7" t="s">
        <v>12556</v>
      </c>
      <c r="D3532" s="8">
        <f t="shared" si="224"/>
        <v>0</v>
      </c>
      <c r="E3532" s="7" t="s">
        <v>12557</v>
      </c>
      <c r="F3532" s="7">
        <f t="shared" si="225"/>
        <v>0</v>
      </c>
      <c r="G3532" s="7" t="s">
        <v>12558</v>
      </c>
      <c r="H3532" s="7">
        <f t="shared" si="226"/>
        <v>0</v>
      </c>
      <c r="I3532" s="7" cm="1">
        <f t="array" ref="I3532">IFERROR(_xlfn.IFS(M3532="נח",1,M3532="נע ונח",1,M3532="שני שווא נח",2,M3532="שני שוואים בסוף מילה",2,M3532="שני שוואים ברצף",1),"0")</f>
        <v>1</v>
      </c>
      <c r="J3532" s="9">
        <f t="shared" si="227"/>
        <v>3</v>
      </c>
      <c r="K3532" t="s">
        <v>6698</v>
      </c>
      <c r="L3532" t="s">
        <v>6694</v>
      </c>
      <c r="M3532" t="s">
        <v>6705</v>
      </c>
      <c r="P3532" t="s">
        <v>6694</v>
      </c>
      <c r="V3532" t="s">
        <v>6694</v>
      </c>
      <c r="W3532" t="s">
        <v>6720</v>
      </c>
    </row>
    <row r="3533" spans="1:23" ht="15.6" x14ac:dyDescent="0.4">
      <c r="A3533" s="2" t="s">
        <v>3860</v>
      </c>
      <c r="B3533" s="5" t="s">
        <v>9845</v>
      </c>
      <c r="C3533" s="7" t="s">
        <v>12556</v>
      </c>
      <c r="D3533" s="8">
        <f t="shared" si="224"/>
        <v>1</v>
      </c>
      <c r="E3533" s="7" t="s">
        <v>12557</v>
      </c>
      <c r="F3533" s="7">
        <f t="shared" si="225"/>
        <v>0</v>
      </c>
      <c r="G3533" s="7" t="s">
        <v>12558</v>
      </c>
      <c r="H3533" s="7">
        <f t="shared" si="226"/>
        <v>0</v>
      </c>
      <c r="I3533" s="7" t="str" cm="1">
        <f t="array" ref="I3533">IFERROR(_xlfn.IFS(M3533="נח",1,M3533="נע ונח",1,M3533="שני שווא נח",2,M3533="שני שוואים בסוף מילה",2,M3533="שני שוואים ברצף",1),"0")</f>
        <v>0</v>
      </c>
      <c r="J3533" s="9">
        <f t="shared" si="227"/>
        <v>3</v>
      </c>
      <c r="K3533" t="s">
        <v>6698</v>
      </c>
      <c r="L3533" t="s">
        <v>6695</v>
      </c>
      <c r="P3533" t="s">
        <v>6694</v>
      </c>
      <c r="S3533" t="s">
        <v>6694</v>
      </c>
      <c r="W3533" t="s">
        <v>6720</v>
      </c>
    </row>
    <row r="3534" spans="1:23" ht="15.6" x14ac:dyDescent="0.4">
      <c r="A3534" s="2" t="s">
        <v>186</v>
      </c>
      <c r="B3534" s="5" t="s">
        <v>9846</v>
      </c>
      <c r="C3534" s="7" t="s">
        <v>12556</v>
      </c>
      <c r="D3534" s="8">
        <f t="shared" si="224"/>
        <v>1</v>
      </c>
      <c r="E3534" s="7" t="s">
        <v>12557</v>
      </c>
      <c r="F3534" s="7">
        <f t="shared" si="225"/>
        <v>0</v>
      </c>
      <c r="G3534" s="7" t="s">
        <v>12558</v>
      </c>
      <c r="H3534" s="7">
        <f t="shared" si="226"/>
        <v>0</v>
      </c>
      <c r="I3534" s="7" t="str" cm="1">
        <f t="array" ref="I3534">IFERROR(_xlfn.IFS(M3534="נח",1,M3534="נע ונח",1,M3534="שני שווא נח",2,M3534="שני שוואים בסוף מילה",2,M3534="שני שוואים ברצף",1),"0")</f>
        <v>0</v>
      </c>
      <c r="J3534" s="9">
        <f t="shared" si="227"/>
        <v>3</v>
      </c>
      <c r="K3534" t="s">
        <v>6697</v>
      </c>
      <c r="L3534" t="s">
        <v>6695</v>
      </c>
      <c r="P3534" t="s">
        <v>6694</v>
      </c>
      <c r="R3534" t="s">
        <v>6694</v>
      </c>
      <c r="W3534" t="s">
        <v>6720</v>
      </c>
    </row>
    <row r="3535" spans="1:23" ht="15.6" x14ac:dyDescent="0.4">
      <c r="A3535" s="2" t="s">
        <v>1085</v>
      </c>
      <c r="B3535" s="5" t="s">
        <v>9847</v>
      </c>
      <c r="C3535" s="7" t="s">
        <v>12556</v>
      </c>
      <c r="D3535" s="8">
        <f t="shared" si="224"/>
        <v>1</v>
      </c>
      <c r="E3535" s="7" t="s">
        <v>12557</v>
      </c>
      <c r="F3535" s="7">
        <f t="shared" si="225"/>
        <v>1</v>
      </c>
      <c r="G3535" s="7" t="s">
        <v>12558</v>
      </c>
      <c r="H3535" s="7">
        <f t="shared" si="226"/>
        <v>1</v>
      </c>
      <c r="I3535" s="7" t="str" cm="1">
        <f t="array" ref="I3535">IFERROR(_xlfn.IFS(M3535="נח",1,M3535="נע ונח",1,M3535="שני שווא נח",2,M3535="שני שוואים בסוף מילה",2,M3535="שני שוואים ברצף",1),"0")</f>
        <v>0</v>
      </c>
      <c r="J3535" s="9">
        <f t="shared" si="227"/>
        <v>3</v>
      </c>
      <c r="K3535" t="s">
        <v>6697</v>
      </c>
      <c r="L3535" t="s">
        <v>6695</v>
      </c>
      <c r="P3535" t="s">
        <v>6694</v>
      </c>
      <c r="U3535" t="s">
        <v>6694</v>
      </c>
      <c r="W3535" t="s">
        <v>6720</v>
      </c>
    </row>
    <row r="3536" spans="1:23" ht="15.6" x14ac:dyDescent="0.4">
      <c r="A3536" s="2" t="s">
        <v>5920</v>
      </c>
      <c r="B3536" s="5" t="s">
        <v>9848</v>
      </c>
      <c r="C3536" s="7" t="s">
        <v>12556</v>
      </c>
      <c r="D3536" s="8">
        <f t="shared" si="224"/>
        <v>0</v>
      </c>
      <c r="E3536" s="7" t="s">
        <v>12557</v>
      </c>
      <c r="F3536" s="7">
        <f t="shared" si="225"/>
        <v>2</v>
      </c>
      <c r="G3536" s="7" t="s">
        <v>12558</v>
      </c>
      <c r="H3536" s="7">
        <f t="shared" si="226"/>
        <v>1</v>
      </c>
      <c r="I3536" s="7" cm="1">
        <f t="array" ref="I3536">IFERROR(_xlfn.IFS(M3536="נח",1,M3536="נע ונח",1,M3536="שני שווא נח",2,M3536="שני שוואים בסוף מילה",2,M3536="שני שוואים ברצף",1),"0")</f>
        <v>1</v>
      </c>
      <c r="J3536" s="9">
        <f t="shared" si="227"/>
        <v>4</v>
      </c>
      <c r="K3536" t="s">
        <v>6697</v>
      </c>
      <c r="L3536" t="s">
        <v>6694</v>
      </c>
      <c r="M3536" t="s">
        <v>6705</v>
      </c>
      <c r="P3536" t="s">
        <v>6694</v>
      </c>
      <c r="R3536" t="s">
        <v>6694</v>
      </c>
      <c r="U3536" t="s">
        <v>6694</v>
      </c>
      <c r="W3536" t="s">
        <v>6720</v>
      </c>
    </row>
    <row r="3537" spans="1:23" ht="15.6" x14ac:dyDescent="0.4">
      <c r="A3537" s="2" t="s">
        <v>6312</v>
      </c>
      <c r="B3537" s="5" t="s">
        <v>9849</v>
      </c>
      <c r="C3537" s="7" t="s">
        <v>12556</v>
      </c>
      <c r="D3537" s="8">
        <f t="shared" si="224"/>
        <v>0</v>
      </c>
      <c r="E3537" s="7" t="s">
        <v>12557</v>
      </c>
      <c r="F3537" s="7">
        <f t="shared" si="225"/>
        <v>2</v>
      </c>
      <c r="G3537" s="7" t="s">
        <v>12558</v>
      </c>
      <c r="H3537" s="7">
        <f t="shared" si="226"/>
        <v>2</v>
      </c>
      <c r="I3537" s="7" cm="1">
        <f t="array" ref="I3537">IFERROR(_xlfn.IFS(M3537="נח",1,M3537="נע ונח",1,M3537="שני שווא נח",2,M3537="שני שוואים בסוף מילה",2,M3537="שני שוואים ברצף",1),"0")</f>
        <v>1</v>
      </c>
      <c r="J3537" s="9">
        <f t="shared" si="227"/>
        <v>4</v>
      </c>
      <c r="K3537" t="s">
        <v>6697</v>
      </c>
      <c r="L3537" t="s">
        <v>6694</v>
      </c>
      <c r="M3537" t="s">
        <v>6705</v>
      </c>
      <c r="P3537" t="s">
        <v>6694</v>
      </c>
      <c r="U3537" t="s">
        <v>6694</v>
      </c>
      <c r="W3537" t="s">
        <v>6720</v>
      </c>
    </row>
    <row r="3538" spans="1:23" ht="15.6" x14ac:dyDescent="0.4">
      <c r="A3538" s="2" t="s">
        <v>6172</v>
      </c>
      <c r="B3538" s="5" t="s">
        <v>9850</v>
      </c>
      <c r="C3538" s="7" t="s">
        <v>12556</v>
      </c>
      <c r="D3538" s="8">
        <f t="shared" si="224"/>
        <v>0</v>
      </c>
      <c r="E3538" s="7" t="s">
        <v>12557</v>
      </c>
      <c r="F3538" s="7">
        <f t="shared" si="225"/>
        <v>1</v>
      </c>
      <c r="G3538" s="7" t="s">
        <v>12558</v>
      </c>
      <c r="H3538" s="7">
        <f t="shared" si="226"/>
        <v>1</v>
      </c>
      <c r="I3538" s="7" cm="1">
        <f t="array" ref="I3538">IFERROR(_xlfn.IFS(M3538="נח",1,M3538="נע ונח",1,M3538="שני שווא נח",2,M3538="שני שוואים בסוף מילה",2,M3538="שני שוואים ברצף",1),"0")</f>
        <v>1</v>
      </c>
      <c r="J3538" s="9">
        <f t="shared" si="227"/>
        <v>4</v>
      </c>
      <c r="K3538" t="s">
        <v>6697</v>
      </c>
      <c r="L3538" t="s">
        <v>6694</v>
      </c>
      <c r="M3538" t="s">
        <v>6705</v>
      </c>
      <c r="P3538" t="s">
        <v>6694</v>
      </c>
      <c r="S3538" t="s">
        <v>6694</v>
      </c>
      <c r="U3538" t="s">
        <v>6694</v>
      </c>
      <c r="W3538" t="s">
        <v>6720</v>
      </c>
    </row>
    <row r="3539" spans="1:23" ht="15.6" x14ac:dyDescent="0.4">
      <c r="A3539" s="2" t="s">
        <v>4424</v>
      </c>
      <c r="B3539" s="5" t="s">
        <v>9851</v>
      </c>
      <c r="C3539" s="7" t="s">
        <v>12556</v>
      </c>
      <c r="D3539" s="8">
        <f t="shared" si="224"/>
        <v>0</v>
      </c>
      <c r="E3539" s="7" t="s">
        <v>12557</v>
      </c>
      <c r="F3539" s="7">
        <f t="shared" si="225"/>
        <v>1</v>
      </c>
      <c r="G3539" s="7" t="s">
        <v>12558</v>
      </c>
      <c r="H3539" s="7">
        <f t="shared" si="226"/>
        <v>1</v>
      </c>
      <c r="I3539" s="7" cm="1">
        <f t="array" ref="I3539">IFERROR(_xlfn.IFS(M3539="נח",1,M3539="נע ונח",1,M3539="שני שווא נח",2,M3539="שני שוואים בסוף מילה",2,M3539="שני שוואים ברצף",1),"0")</f>
        <v>1</v>
      </c>
      <c r="J3539" s="9">
        <f t="shared" si="227"/>
        <v>3</v>
      </c>
      <c r="K3539" t="s">
        <v>6697</v>
      </c>
      <c r="L3539" t="s">
        <v>6694</v>
      </c>
      <c r="M3539" t="s">
        <v>6705</v>
      </c>
      <c r="P3539" t="s">
        <v>6694</v>
      </c>
      <c r="U3539" t="s">
        <v>6694</v>
      </c>
      <c r="W3539" t="s">
        <v>6720</v>
      </c>
    </row>
    <row r="3540" spans="1:23" ht="15.6" x14ac:dyDescent="0.4">
      <c r="A3540" s="2" t="s">
        <v>4413</v>
      </c>
      <c r="B3540" s="5" t="s">
        <v>9852</v>
      </c>
      <c r="C3540" s="7" t="s">
        <v>12556</v>
      </c>
      <c r="D3540" s="8">
        <f t="shared" si="224"/>
        <v>0</v>
      </c>
      <c r="E3540" s="7" t="s">
        <v>12557</v>
      </c>
      <c r="F3540" s="7">
        <f t="shared" si="225"/>
        <v>1</v>
      </c>
      <c r="G3540" s="7" t="s">
        <v>12558</v>
      </c>
      <c r="H3540" s="7">
        <f t="shared" si="226"/>
        <v>1</v>
      </c>
      <c r="I3540" s="7" cm="1">
        <f t="array" ref="I3540">IFERROR(_xlfn.IFS(M3540="נח",1,M3540="נע ונח",1,M3540="שני שווא נח",2,M3540="שני שוואים בסוף מילה",2,M3540="שני שוואים ברצף",1),"0")</f>
        <v>1</v>
      </c>
      <c r="J3540" s="9">
        <f t="shared" si="227"/>
        <v>3</v>
      </c>
      <c r="K3540" t="s">
        <v>6697</v>
      </c>
      <c r="L3540" t="s">
        <v>6694</v>
      </c>
      <c r="M3540" t="s">
        <v>6705</v>
      </c>
      <c r="P3540" t="s">
        <v>6694</v>
      </c>
      <c r="U3540" t="s">
        <v>6694</v>
      </c>
      <c r="W3540" t="s">
        <v>6720</v>
      </c>
    </row>
    <row r="3541" spans="1:23" ht="15.6" x14ac:dyDescent="0.4">
      <c r="A3541" s="2" t="s">
        <v>2589</v>
      </c>
      <c r="B3541" s="5" t="s">
        <v>9853</v>
      </c>
      <c r="C3541" s="7" t="s">
        <v>12556</v>
      </c>
      <c r="D3541" s="8">
        <f t="shared" si="224"/>
        <v>0</v>
      </c>
      <c r="E3541" s="7" t="s">
        <v>12557</v>
      </c>
      <c r="F3541" s="7">
        <f t="shared" si="225"/>
        <v>1</v>
      </c>
      <c r="G3541" s="7" t="s">
        <v>12558</v>
      </c>
      <c r="H3541" s="7">
        <f t="shared" si="226"/>
        <v>1</v>
      </c>
      <c r="I3541" s="7" cm="1">
        <f t="array" ref="I3541">IFERROR(_xlfn.IFS(M3541="נח",1,M3541="נע ונח",1,M3541="שני שווא נח",2,M3541="שני שוואים בסוף מילה",2,M3541="שני שוואים ברצף",1),"0")</f>
        <v>1</v>
      </c>
      <c r="J3541" s="9">
        <f t="shared" si="227"/>
        <v>3</v>
      </c>
      <c r="K3541" t="s">
        <v>6697</v>
      </c>
      <c r="L3541" t="s">
        <v>6694</v>
      </c>
      <c r="M3541" t="s">
        <v>6705</v>
      </c>
      <c r="P3541" t="s">
        <v>6694</v>
      </c>
      <c r="U3541" t="s">
        <v>6694</v>
      </c>
      <c r="W3541" t="s">
        <v>6720</v>
      </c>
    </row>
    <row r="3542" spans="1:23" ht="15.6" x14ac:dyDescent="0.4">
      <c r="A3542" s="2" t="s">
        <v>643</v>
      </c>
      <c r="B3542" s="5" t="s">
        <v>9840</v>
      </c>
      <c r="C3542" s="7" t="s">
        <v>12556</v>
      </c>
      <c r="D3542" s="8">
        <f t="shared" si="224"/>
        <v>0</v>
      </c>
      <c r="E3542" s="7" t="s">
        <v>12557</v>
      </c>
      <c r="F3542" s="7">
        <f t="shared" si="225"/>
        <v>1</v>
      </c>
      <c r="G3542" s="7" t="s">
        <v>12558</v>
      </c>
      <c r="H3542" s="7">
        <f t="shared" si="226"/>
        <v>1</v>
      </c>
      <c r="I3542" s="7" cm="1">
        <f t="array" ref="I3542">IFERROR(_xlfn.IFS(M3542="נח",1,M3542="נע ונח",1,M3542="שני שווא נח",2,M3542="שני שוואים בסוף מילה",2,M3542="שני שוואים ברצף",1),"0")</f>
        <v>1</v>
      </c>
      <c r="J3542" s="9">
        <f t="shared" si="227"/>
        <v>3</v>
      </c>
      <c r="K3542" t="s">
        <v>6697</v>
      </c>
      <c r="L3542" t="s">
        <v>6694</v>
      </c>
      <c r="M3542" t="s">
        <v>6705</v>
      </c>
      <c r="P3542" t="s">
        <v>6694</v>
      </c>
      <c r="U3542" t="s">
        <v>6694</v>
      </c>
      <c r="W3542" t="s">
        <v>6720</v>
      </c>
    </row>
    <row r="3543" spans="1:23" ht="15.6" x14ac:dyDescent="0.4">
      <c r="A3543" s="2" t="s">
        <v>4983</v>
      </c>
      <c r="B3543" s="5" t="s">
        <v>9854</v>
      </c>
      <c r="C3543" s="7" t="s">
        <v>12556</v>
      </c>
      <c r="D3543" s="8">
        <f t="shared" si="224"/>
        <v>0</v>
      </c>
      <c r="E3543" s="7" t="s">
        <v>12557</v>
      </c>
      <c r="F3543" s="7">
        <f t="shared" si="225"/>
        <v>0</v>
      </c>
      <c r="G3543" s="7" t="s">
        <v>12558</v>
      </c>
      <c r="H3543" s="7">
        <f t="shared" si="226"/>
        <v>0</v>
      </c>
      <c r="I3543" s="7" t="str" cm="1">
        <f t="array" ref="I3543">IFERROR(_xlfn.IFS(M3543="נח",1,M3543="נע ונח",1,M3543="שני שווא נח",2,M3543="שני שוואים בסוף מילה",2,M3543="שני שוואים ברצף",1),"0")</f>
        <v>0</v>
      </c>
      <c r="J3543" s="9">
        <f t="shared" si="227"/>
        <v>2</v>
      </c>
      <c r="K3543" t="s">
        <v>6698</v>
      </c>
      <c r="L3543" t="s">
        <v>6695</v>
      </c>
      <c r="P3543" t="s">
        <v>6694</v>
      </c>
      <c r="W3543" t="s">
        <v>6720</v>
      </c>
    </row>
    <row r="3544" spans="1:23" ht="15.6" x14ac:dyDescent="0.4">
      <c r="A3544" s="2" t="s">
        <v>3290</v>
      </c>
      <c r="B3544" s="5" t="s">
        <v>9855</v>
      </c>
      <c r="C3544" s="7" t="s">
        <v>12556</v>
      </c>
      <c r="D3544" s="8">
        <f t="shared" si="224"/>
        <v>0</v>
      </c>
      <c r="E3544" s="7" t="s">
        <v>12557</v>
      </c>
      <c r="F3544" s="7">
        <f t="shared" si="225"/>
        <v>0</v>
      </c>
      <c r="G3544" s="7" t="s">
        <v>12558</v>
      </c>
      <c r="H3544" s="7">
        <f t="shared" si="226"/>
        <v>0</v>
      </c>
      <c r="I3544" s="7" cm="1">
        <f t="array" ref="I3544">IFERROR(_xlfn.IFS(M3544="נח",1,M3544="נע ונח",1,M3544="שני שווא נח",2,M3544="שני שוואים בסוף מילה",2,M3544="שני שוואים ברצף",1),"0")</f>
        <v>1</v>
      </c>
      <c r="J3544" s="9">
        <f t="shared" si="227"/>
        <v>3</v>
      </c>
      <c r="K3544" t="s">
        <v>6697</v>
      </c>
      <c r="L3544" t="s">
        <v>6694</v>
      </c>
      <c r="M3544" t="s">
        <v>6705</v>
      </c>
      <c r="O3544" t="s">
        <v>6694</v>
      </c>
      <c r="P3544" t="s">
        <v>6694</v>
      </c>
      <c r="W3544" t="s">
        <v>6720</v>
      </c>
    </row>
    <row r="3545" spans="1:23" ht="15.6" x14ac:dyDescent="0.4">
      <c r="A3545" s="2" t="s">
        <v>27</v>
      </c>
      <c r="B3545" s="5" t="s">
        <v>9856</v>
      </c>
      <c r="C3545" s="7" t="s">
        <v>12556</v>
      </c>
      <c r="D3545" s="8">
        <f t="shared" si="224"/>
        <v>0</v>
      </c>
      <c r="E3545" s="7" t="s">
        <v>12557</v>
      </c>
      <c r="F3545" s="7">
        <f t="shared" si="225"/>
        <v>1</v>
      </c>
      <c r="G3545" s="7" t="s">
        <v>12558</v>
      </c>
      <c r="H3545" s="7">
        <f t="shared" si="226"/>
        <v>1</v>
      </c>
      <c r="I3545" s="7" cm="1">
        <f t="array" ref="I3545">IFERROR(_xlfn.IFS(M3545="נח",1,M3545="נע ונח",1,M3545="שני שווא נח",2,M3545="שני שוואים בסוף מילה",2,M3545="שני שוואים ברצף",1),"0")</f>
        <v>1</v>
      </c>
      <c r="J3545" s="9">
        <f t="shared" si="227"/>
        <v>3</v>
      </c>
      <c r="K3545" t="s">
        <v>6697</v>
      </c>
      <c r="L3545" t="s">
        <v>6694</v>
      </c>
      <c r="M3545" t="s">
        <v>6705</v>
      </c>
      <c r="P3545" t="s">
        <v>6694</v>
      </c>
      <c r="S3545" t="s">
        <v>6694</v>
      </c>
      <c r="U3545" t="s">
        <v>6694</v>
      </c>
      <c r="W3545" t="s">
        <v>6720</v>
      </c>
    </row>
    <row r="3546" spans="1:23" ht="15.6" x14ac:dyDescent="0.4">
      <c r="A3546" s="2" t="s">
        <v>6637</v>
      </c>
      <c r="B3546" s="5" t="s">
        <v>9857</v>
      </c>
      <c r="C3546" s="7" t="s">
        <v>12556</v>
      </c>
      <c r="D3546" s="8">
        <f t="shared" si="224"/>
        <v>0</v>
      </c>
      <c r="E3546" s="7" t="s">
        <v>12557</v>
      </c>
      <c r="F3546" s="7">
        <f t="shared" si="225"/>
        <v>1</v>
      </c>
      <c r="G3546" s="7" t="s">
        <v>12558</v>
      </c>
      <c r="H3546" s="7">
        <f t="shared" si="226"/>
        <v>1</v>
      </c>
      <c r="I3546" s="7" cm="1">
        <f t="array" ref="I3546">IFERROR(_xlfn.IFS(M3546="נח",1,M3546="נע ונח",1,M3546="שני שווא נח",2,M3546="שני שוואים בסוף מילה",2,M3546="שני שוואים ברצף",1),"0")</f>
        <v>1</v>
      </c>
      <c r="J3546" s="9">
        <f t="shared" si="227"/>
        <v>3</v>
      </c>
      <c r="K3546" t="s">
        <v>6697</v>
      </c>
      <c r="L3546" t="s">
        <v>6694</v>
      </c>
      <c r="M3546" t="s">
        <v>6705</v>
      </c>
      <c r="P3546" t="s">
        <v>6694</v>
      </c>
      <c r="S3546" t="s">
        <v>6694</v>
      </c>
      <c r="U3546" t="s">
        <v>6694</v>
      </c>
      <c r="W3546" t="s">
        <v>6720</v>
      </c>
    </row>
    <row r="3547" spans="1:23" ht="15.6" x14ac:dyDescent="0.4">
      <c r="A3547" s="2" t="s">
        <v>5895</v>
      </c>
      <c r="B3547" s="5" t="s">
        <v>9858</v>
      </c>
      <c r="C3547" s="7" t="s">
        <v>12556</v>
      </c>
      <c r="D3547" s="8">
        <f t="shared" si="224"/>
        <v>0</v>
      </c>
      <c r="E3547" s="7" t="s">
        <v>12557</v>
      </c>
      <c r="F3547" s="7">
        <f t="shared" si="225"/>
        <v>2</v>
      </c>
      <c r="G3547" s="7" t="s">
        <v>12558</v>
      </c>
      <c r="H3547" s="7">
        <f t="shared" si="226"/>
        <v>1</v>
      </c>
      <c r="I3547" s="7" t="str" cm="1">
        <f t="array" ref="I3547">IFERROR(_xlfn.IFS(M3547="נח",1,M3547="נע ונח",1,M3547="שני שווא נח",2,M3547="שני שוואים בסוף מילה",2,M3547="שני שוואים ברצף",1),"0")</f>
        <v>0</v>
      </c>
      <c r="J3547" s="9">
        <f t="shared" si="227"/>
        <v>3</v>
      </c>
      <c r="K3547" t="s">
        <v>6697</v>
      </c>
      <c r="L3547" t="s">
        <v>6695</v>
      </c>
      <c r="P3547" t="s">
        <v>6694</v>
      </c>
      <c r="S3547" t="s">
        <v>6694</v>
      </c>
      <c r="U3547" t="s">
        <v>6694</v>
      </c>
      <c r="W3547" t="s">
        <v>6720</v>
      </c>
    </row>
    <row r="3548" spans="1:23" ht="15.6" x14ac:dyDescent="0.4">
      <c r="A3548" s="2" t="s">
        <v>5121</v>
      </c>
      <c r="B3548" s="5" t="s">
        <v>9859</v>
      </c>
      <c r="C3548" s="7" t="s">
        <v>12556</v>
      </c>
      <c r="D3548" s="8">
        <f t="shared" si="224"/>
        <v>0</v>
      </c>
      <c r="E3548" s="7" t="s">
        <v>12557</v>
      </c>
      <c r="F3548" s="7">
        <f t="shared" si="225"/>
        <v>1</v>
      </c>
      <c r="G3548" s="7" t="s">
        <v>12558</v>
      </c>
      <c r="H3548" s="7">
        <f t="shared" si="226"/>
        <v>0</v>
      </c>
      <c r="I3548" s="7" t="str" cm="1">
        <f t="array" ref="I3548">IFERROR(_xlfn.IFS(M3548="נח",1,M3548="נע ונח",1,M3548="שני שווא נח",2,M3548="שני שוואים בסוף מילה",2,M3548="שני שוואים ברצף",1),"0")</f>
        <v>0</v>
      </c>
      <c r="J3548" s="9">
        <f t="shared" si="227"/>
        <v>3</v>
      </c>
      <c r="K3548" t="s">
        <v>6698</v>
      </c>
      <c r="L3548" t="s">
        <v>6695</v>
      </c>
      <c r="P3548" t="s">
        <v>6694</v>
      </c>
      <c r="Q3548" t="s">
        <v>6694</v>
      </c>
      <c r="S3548" t="s">
        <v>6694</v>
      </c>
      <c r="W3548" t="s">
        <v>6720</v>
      </c>
    </row>
    <row r="3549" spans="1:23" ht="15.6" x14ac:dyDescent="0.4">
      <c r="A3549" s="2" t="s">
        <v>5984</v>
      </c>
      <c r="B3549" s="5" t="s">
        <v>9860</v>
      </c>
      <c r="C3549" s="7" t="s">
        <v>12556</v>
      </c>
      <c r="D3549" s="8">
        <f t="shared" si="224"/>
        <v>0</v>
      </c>
      <c r="E3549" s="7" t="s">
        <v>12557</v>
      </c>
      <c r="F3549" s="7">
        <f t="shared" si="225"/>
        <v>0</v>
      </c>
      <c r="G3549" s="7" t="s">
        <v>12558</v>
      </c>
      <c r="H3549" s="7">
        <f t="shared" si="226"/>
        <v>0</v>
      </c>
      <c r="I3549" s="7" cm="1">
        <f t="array" ref="I3549">IFERROR(_xlfn.IFS(M3549="נח",1,M3549="נע ונח",1,M3549="שני שווא נח",2,M3549="שני שוואים בסוף מילה",2,M3549="שני שוואים ברצף",1),"0")</f>
        <v>1</v>
      </c>
      <c r="J3549" s="9">
        <f t="shared" si="227"/>
        <v>3</v>
      </c>
      <c r="K3549" t="s">
        <v>6697</v>
      </c>
      <c r="L3549" t="s">
        <v>6694</v>
      </c>
      <c r="M3549" t="s">
        <v>6705</v>
      </c>
      <c r="N3549" t="s">
        <v>6707</v>
      </c>
      <c r="P3549" t="s">
        <v>6694</v>
      </c>
      <c r="S3549" t="s">
        <v>6694</v>
      </c>
      <c r="W3549" t="s">
        <v>6720</v>
      </c>
    </row>
    <row r="3550" spans="1:23" ht="15.6" x14ac:dyDescent="0.4">
      <c r="A3550" s="2" t="s">
        <v>156</v>
      </c>
      <c r="B3550" s="5" t="s">
        <v>9861</v>
      </c>
      <c r="C3550" s="7" t="s">
        <v>12556</v>
      </c>
      <c r="D3550" s="8">
        <f t="shared" si="224"/>
        <v>0</v>
      </c>
      <c r="E3550" s="7" t="s">
        <v>12557</v>
      </c>
      <c r="F3550" s="7">
        <f t="shared" si="225"/>
        <v>0</v>
      </c>
      <c r="G3550" s="7" t="s">
        <v>12558</v>
      </c>
      <c r="H3550" s="7">
        <f t="shared" si="226"/>
        <v>0</v>
      </c>
      <c r="I3550" s="7" cm="1">
        <f t="array" ref="I3550">IFERROR(_xlfn.IFS(M3550="נח",1,M3550="נע ונח",1,M3550="שני שווא נח",2,M3550="שני שוואים בסוף מילה",2,M3550="שני שוואים ברצף",1),"0")</f>
        <v>1</v>
      </c>
      <c r="J3550" s="9">
        <f t="shared" si="227"/>
        <v>3</v>
      </c>
      <c r="K3550" t="s">
        <v>6698</v>
      </c>
      <c r="L3550" t="s">
        <v>6694</v>
      </c>
      <c r="M3550" t="s">
        <v>6705</v>
      </c>
      <c r="P3550" t="s">
        <v>6694</v>
      </c>
      <c r="Q3550" t="s">
        <v>6694</v>
      </c>
      <c r="S3550" t="s">
        <v>6694</v>
      </c>
      <c r="W3550" t="s">
        <v>6720</v>
      </c>
    </row>
    <row r="3551" spans="1:23" ht="15.6" x14ac:dyDescent="0.4">
      <c r="A3551" s="2" t="s">
        <v>3105</v>
      </c>
      <c r="B3551" s="5" t="s">
        <v>9862</v>
      </c>
      <c r="C3551" s="7" t="s">
        <v>12556</v>
      </c>
      <c r="D3551" s="8">
        <f t="shared" si="224"/>
        <v>0</v>
      </c>
      <c r="E3551" s="7" t="s">
        <v>12557</v>
      </c>
      <c r="F3551" s="7">
        <f t="shared" si="225"/>
        <v>1</v>
      </c>
      <c r="G3551" s="7" t="s">
        <v>12558</v>
      </c>
      <c r="H3551" s="7">
        <f t="shared" si="226"/>
        <v>0</v>
      </c>
      <c r="I3551" s="7" t="str" cm="1">
        <f t="array" ref="I3551">IFERROR(_xlfn.IFS(M3551="נח",1,M3551="נע ונח",1,M3551="שני שווא נח",2,M3551="שני שוואים בסוף מילה",2,M3551="שני שוואים ברצף",1),"0")</f>
        <v>0</v>
      </c>
      <c r="J3551" s="9">
        <f t="shared" si="227"/>
        <v>2</v>
      </c>
      <c r="K3551" t="s">
        <v>6698</v>
      </c>
      <c r="L3551" t="s">
        <v>6695</v>
      </c>
      <c r="P3551" t="s">
        <v>6694</v>
      </c>
      <c r="S3551" t="s">
        <v>6694</v>
      </c>
      <c r="W3551" t="s">
        <v>6720</v>
      </c>
    </row>
    <row r="3552" spans="1:23" ht="15.6" x14ac:dyDescent="0.4">
      <c r="A3552" s="2" t="s">
        <v>2302</v>
      </c>
      <c r="B3552" s="5" t="s">
        <v>9863</v>
      </c>
      <c r="C3552" s="7" t="s">
        <v>12556</v>
      </c>
      <c r="D3552" s="8">
        <f t="shared" si="224"/>
        <v>0</v>
      </c>
      <c r="E3552" s="7" t="s">
        <v>12557</v>
      </c>
      <c r="F3552" s="7">
        <f t="shared" si="225"/>
        <v>1</v>
      </c>
      <c r="G3552" s="7" t="s">
        <v>12558</v>
      </c>
      <c r="H3552" s="7">
        <f t="shared" si="226"/>
        <v>0</v>
      </c>
      <c r="I3552" s="7" cm="1">
        <f t="array" ref="I3552">IFERROR(_xlfn.IFS(M3552="נח",1,M3552="נע ונח",1,M3552="שני שווא נח",2,M3552="שני שוואים בסוף מילה",2,M3552="שני שוואים ברצף",1),"0")</f>
        <v>1</v>
      </c>
      <c r="J3552" s="9">
        <f t="shared" si="227"/>
        <v>3</v>
      </c>
      <c r="K3552" t="s">
        <v>6697</v>
      </c>
      <c r="L3552" t="s">
        <v>6694</v>
      </c>
      <c r="M3552" t="s">
        <v>6705</v>
      </c>
      <c r="O3552" t="s">
        <v>6694</v>
      </c>
      <c r="P3552" t="s">
        <v>6694</v>
      </c>
      <c r="S3552" t="s">
        <v>6694</v>
      </c>
      <c r="W3552" t="s">
        <v>6720</v>
      </c>
    </row>
    <row r="3553" spans="1:23" ht="15.6" x14ac:dyDescent="0.4">
      <c r="A3553" s="2" t="s">
        <v>33</v>
      </c>
      <c r="B3553" s="5" t="s">
        <v>9864</v>
      </c>
      <c r="C3553" s="7" t="s">
        <v>12556</v>
      </c>
      <c r="D3553" s="8">
        <f t="shared" si="224"/>
        <v>0</v>
      </c>
      <c r="E3553" s="7" t="s">
        <v>12557</v>
      </c>
      <c r="F3553" s="7">
        <f t="shared" si="225"/>
        <v>2</v>
      </c>
      <c r="G3553" s="7" t="s">
        <v>12558</v>
      </c>
      <c r="H3553" s="7">
        <f t="shared" si="226"/>
        <v>1</v>
      </c>
      <c r="I3553" s="7" t="str" cm="1">
        <f t="array" ref="I3553">IFERROR(_xlfn.IFS(M3553="נח",1,M3553="נע ונח",1,M3553="שני שווא נח",2,M3553="שני שוואים בסוף מילה",2,M3553="שני שוואים ברצף",1),"0")</f>
        <v>0</v>
      </c>
      <c r="J3553" s="9">
        <f t="shared" si="227"/>
        <v>4</v>
      </c>
      <c r="K3553" t="s">
        <v>6697</v>
      </c>
      <c r="L3553" t="s">
        <v>6695</v>
      </c>
      <c r="P3553" t="s">
        <v>6694</v>
      </c>
      <c r="Q3553" t="s">
        <v>6694</v>
      </c>
      <c r="S3553" t="s">
        <v>6694</v>
      </c>
      <c r="U3553" t="s">
        <v>6694</v>
      </c>
      <c r="W3553" t="s">
        <v>6720</v>
      </c>
    </row>
    <row r="3554" spans="1:23" ht="15.6" x14ac:dyDescent="0.4">
      <c r="A3554" s="2" t="s">
        <v>6128</v>
      </c>
      <c r="B3554" s="5" t="s">
        <v>9865</v>
      </c>
      <c r="C3554" s="7" t="s">
        <v>12556</v>
      </c>
      <c r="D3554" s="8">
        <f t="shared" si="224"/>
        <v>0</v>
      </c>
      <c r="E3554" s="7" t="s">
        <v>12557</v>
      </c>
      <c r="F3554" s="7">
        <f t="shared" si="225"/>
        <v>1</v>
      </c>
      <c r="G3554" s="7" t="s">
        <v>12558</v>
      </c>
      <c r="H3554" s="7">
        <f t="shared" si="226"/>
        <v>0</v>
      </c>
      <c r="I3554" s="7" t="str" cm="1">
        <f t="array" ref="I3554">IFERROR(_xlfn.IFS(M3554="נח",1,M3554="נע ונח",1,M3554="שני שווא נח",2,M3554="שני שוואים בסוף מילה",2,M3554="שני שוואים ברצף",1),"0")</f>
        <v>0</v>
      </c>
      <c r="J3554" s="9">
        <f t="shared" si="227"/>
        <v>3</v>
      </c>
      <c r="K3554" t="s">
        <v>6698</v>
      </c>
      <c r="L3554" t="s">
        <v>6695</v>
      </c>
      <c r="P3554" t="s">
        <v>6694</v>
      </c>
      <c r="Q3554" t="s">
        <v>6694</v>
      </c>
      <c r="S3554" t="s">
        <v>6694</v>
      </c>
      <c r="W3554" t="s">
        <v>6720</v>
      </c>
    </row>
    <row r="3555" spans="1:23" ht="15.6" x14ac:dyDescent="0.4">
      <c r="A3555" s="2" t="s">
        <v>1970</v>
      </c>
      <c r="B3555" s="5" t="s">
        <v>9866</v>
      </c>
      <c r="C3555" s="7" t="s">
        <v>12556</v>
      </c>
      <c r="D3555" s="8">
        <f t="shared" si="224"/>
        <v>0</v>
      </c>
      <c r="E3555" s="7" t="s">
        <v>12557</v>
      </c>
      <c r="F3555" s="7">
        <f t="shared" si="225"/>
        <v>1</v>
      </c>
      <c r="G3555" s="7" t="s">
        <v>12558</v>
      </c>
      <c r="H3555" s="7">
        <f t="shared" si="226"/>
        <v>0</v>
      </c>
      <c r="I3555" s="7" t="str" cm="1">
        <f t="array" ref="I3555">IFERROR(_xlfn.IFS(M3555="נח",1,M3555="נע ונח",1,M3555="שני שווא נח",2,M3555="שני שוואים בסוף מילה",2,M3555="שני שוואים ברצף",1),"0")</f>
        <v>0</v>
      </c>
      <c r="J3555" s="9">
        <f t="shared" si="227"/>
        <v>4</v>
      </c>
      <c r="K3555" t="s">
        <v>6697</v>
      </c>
      <c r="L3555" t="s">
        <v>6695</v>
      </c>
      <c r="P3555" t="s">
        <v>6694</v>
      </c>
      <c r="Q3555" t="s">
        <v>6694</v>
      </c>
      <c r="S3555" t="s">
        <v>6694</v>
      </c>
      <c r="W3555" t="s">
        <v>6720</v>
      </c>
    </row>
    <row r="3556" spans="1:23" ht="15.6" x14ac:dyDescent="0.4">
      <c r="A3556" s="2" t="s">
        <v>6311</v>
      </c>
      <c r="B3556" s="5" t="s">
        <v>9867</v>
      </c>
      <c r="C3556" s="7" t="s">
        <v>12556</v>
      </c>
      <c r="D3556" s="8">
        <f t="shared" si="224"/>
        <v>0</v>
      </c>
      <c r="E3556" s="7" t="s">
        <v>12557</v>
      </c>
      <c r="F3556" s="7">
        <f t="shared" si="225"/>
        <v>1</v>
      </c>
      <c r="G3556" s="7" t="s">
        <v>12558</v>
      </c>
      <c r="H3556" s="7">
        <f t="shared" si="226"/>
        <v>1</v>
      </c>
      <c r="I3556" s="7" cm="1">
        <f t="array" ref="I3556">IFERROR(_xlfn.IFS(M3556="נח",1,M3556="נע ונח",1,M3556="שני שווא נח",2,M3556="שני שוואים בסוף מילה",2,M3556="שני שוואים ברצף",1),"0")</f>
        <v>1</v>
      </c>
      <c r="J3556" s="9">
        <f t="shared" si="227"/>
        <v>3</v>
      </c>
      <c r="K3556" t="s">
        <v>6697</v>
      </c>
      <c r="L3556" t="s">
        <v>6694</v>
      </c>
      <c r="M3556" t="s">
        <v>6705</v>
      </c>
      <c r="P3556" t="s">
        <v>6694</v>
      </c>
      <c r="S3556" t="s">
        <v>6694</v>
      </c>
      <c r="U3556" t="s">
        <v>6694</v>
      </c>
      <c r="W3556" t="s">
        <v>6720</v>
      </c>
    </row>
    <row r="3557" spans="1:23" ht="15.6" x14ac:dyDescent="0.4">
      <c r="A3557" s="2" t="s">
        <v>5628</v>
      </c>
      <c r="B3557" s="5" t="s">
        <v>9868</v>
      </c>
      <c r="C3557" s="7" t="s">
        <v>12556</v>
      </c>
      <c r="D3557" s="8">
        <f t="shared" si="224"/>
        <v>0</v>
      </c>
      <c r="E3557" s="7" t="s">
        <v>12557</v>
      </c>
      <c r="F3557" s="7">
        <f t="shared" si="225"/>
        <v>2</v>
      </c>
      <c r="G3557" s="7" t="s">
        <v>12558</v>
      </c>
      <c r="H3557" s="7">
        <f t="shared" si="226"/>
        <v>1</v>
      </c>
      <c r="I3557" s="7" t="str" cm="1">
        <f t="array" ref="I3557">IFERROR(_xlfn.IFS(M3557="נח",1,M3557="נע ונח",1,M3557="שני שווא נח",2,M3557="שני שוואים בסוף מילה",2,M3557="שני שוואים ברצף",1),"0")</f>
        <v>0</v>
      </c>
      <c r="J3557" s="9">
        <f t="shared" si="227"/>
        <v>3</v>
      </c>
      <c r="K3557" t="s">
        <v>6697</v>
      </c>
      <c r="L3557" t="s">
        <v>6695</v>
      </c>
      <c r="P3557" t="s">
        <v>6694</v>
      </c>
      <c r="S3557" t="s">
        <v>6694</v>
      </c>
      <c r="U3557" t="s">
        <v>6694</v>
      </c>
      <c r="W3557" t="s">
        <v>6720</v>
      </c>
    </row>
    <row r="3558" spans="1:23" ht="15.6" x14ac:dyDescent="0.4">
      <c r="A3558" s="2" t="s">
        <v>4197</v>
      </c>
      <c r="B3558" s="5" t="s">
        <v>9869</v>
      </c>
      <c r="C3558" s="7" t="s">
        <v>12556</v>
      </c>
      <c r="D3558" s="8">
        <f t="shared" si="224"/>
        <v>0</v>
      </c>
      <c r="E3558" s="7" t="s">
        <v>12557</v>
      </c>
      <c r="F3558" s="7">
        <f t="shared" si="225"/>
        <v>0</v>
      </c>
      <c r="G3558" s="7" t="s">
        <v>12558</v>
      </c>
      <c r="H3558" s="7">
        <f t="shared" si="226"/>
        <v>0</v>
      </c>
      <c r="I3558" s="7" cm="1">
        <f t="array" ref="I3558">IFERROR(_xlfn.IFS(M3558="נח",1,M3558="נע ונח",1,M3558="שני שווא נח",2,M3558="שני שוואים בסוף מילה",2,M3558="שני שוואים ברצף",1),"0")</f>
        <v>1</v>
      </c>
      <c r="J3558" s="9">
        <f t="shared" si="227"/>
        <v>3</v>
      </c>
      <c r="K3558" t="s">
        <v>6697</v>
      </c>
      <c r="L3558" t="s">
        <v>6694</v>
      </c>
      <c r="M3558" t="s">
        <v>6705</v>
      </c>
      <c r="P3558" t="s">
        <v>6694</v>
      </c>
      <c r="Q3558" t="s">
        <v>6694</v>
      </c>
      <c r="S3558" t="s">
        <v>6694</v>
      </c>
      <c r="W3558" t="s">
        <v>6720</v>
      </c>
    </row>
    <row r="3559" spans="1:23" ht="15.6" x14ac:dyDescent="0.4">
      <c r="A3559" s="2" t="s">
        <v>607</v>
      </c>
      <c r="B3559" s="5" t="s">
        <v>9870</v>
      </c>
      <c r="C3559" s="7" t="s">
        <v>12556</v>
      </c>
      <c r="D3559" s="8">
        <f t="shared" si="224"/>
        <v>0</v>
      </c>
      <c r="E3559" s="7" t="s">
        <v>12557</v>
      </c>
      <c r="F3559" s="7">
        <f t="shared" si="225"/>
        <v>1</v>
      </c>
      <c r="G3559" s="7" t="s">
        <v>12558</v>
      </c>
      <c r="H3559" s="7">
        <f t="shared" si="226"/>
        <v>0</v>
      </c>
      <c r="I3559" s="7" cm="1">
        <f t="array" ref="I3559">IFERROR(_xlfn.IFS(M3559="נח",1,M3559="נע ונח",1,M3559="שני שווא נח",2,M3559="שני שוואים בסוף מילה",2,M3559="שני שוואים ברצף",1),"0")</f>
        <v>1</v>
      </c>
      <c r="J3559" s="9">
        <f t="shared" si="227"/>
        <v>4</v>
      </c>
      <c r="K3559" t="s">
        <v>6697</v>
      </c>
      <c r="L3559" t="s">
        <v>6694</v>
      </c>
      <c r="M3559" t="s">
        <v>6705</v>
      </c>
      <c r="P3559" t="s">
        <v>6694</v>
      </c>
      <c r="Q3559" t="s">
        <v>6694</v>
      </c>
      <c r="S3559" t="s">
        <v>6694</v>
      </c>
      <c r="W3559" t="s">
        <v>6720</v>
      </c>
    </row>
    <row r="3560" spans="1:23" ht="15.6" x14ac:dyDescent="0.4">
      <c r="A3560" s="2" t="s">
        <v>3573</v>
      </c>
      <c r="B3560" s="5" t="s">
        <v>9871</v>
      </c>
      <c r="C3560" s="7" t="s">
        <v>12556</v>
      </c>
      <c r="D3560" s="8">
        <f t="shared" si="224"/>
        <v>0</v>
      </c>
      <c r="E3560" s="7" t="s">
        <v>12557</v>
      </c>
      <c r="F3560" s="7">
        <f t="shared" si="225"/>
        <v>1</v>
      </c>
      <c r="G3560" s="7" t="s">
        <v>12558</v>
      </c>
      <c r="H3560" s="7">
        <f t="shared" si="226"/>
        <v>0</v>
      </c>
      <c r="I3560" s="7" cm="1">
        <f t="array" ref="I3560">IFERROR(_xlfn.IFS(M3560="נח",1,M3560="נע ונח",1,M3560="שני שווא נח",2,M3560="שני שוואים בסוף מילה",2,M3560="שני שוואים ברצף",1),"0")</f>
        <v>1</v>
      </c>
      <c r="J3560" s="9">
        <f t="shared" si="227"/>
        <v>2</v>
      </c>
      <c r="K3560" t="s">
        <v>6698</v>
      </c>
      <c r="L3560" t="s">
        <v>6694</v>
      </c>
      <c r="M3560" t="s">
        <v>6705</v>
      </c>
      <c r="P3560" t="s">
        <v>6694</v>
      </c>
      <c r="Q3560" t="s">
        <v>6694</v>
      </c>
      <c r="W3560" t="s">
        <v>6720</v>
      </c>
    </row>
    <row r="3561" spans="1:23" ht="15.6" x14ac:dyDescent="0.4">
      <c r="A3561" s="2" t="s">
        <v>5982</v>
      </c>
      <c r="B3561" s="5" t="s">
        <v>9872</v>
      </c>
      <c r="C3561" s="7" t="s">
        <v>12556</v>
      </c>
      <c r="D3561" s="8">
        <f t="shared" si="224"/>
        <v>1</v>
      </c>
      <c r="E3561" s="7" t="s">
        <v>12557</v>
      </c>
      <c r="F3561" s="7">
        <f t="shared" si="225"/>
        <v>1</v>
      </c>
      <c r="G3561" s="7" t="s">
        <v>12558</v>
      </c>
      <c r="H3561" s="7">
        <f t="shared" si="226"/>
        <v>1</v>
      </c>
      <c r="I3561" s="7" cm="1">
        <f t="array" ref="I3561">IFERROR(_xlfn.IFS(M3561="נח",1,M3561="נע ונח",1,M3561="שני שווא נח",2,M3561="שני שוואים בסוף מילה",2,M3561="שני שוואים ברצף",1),"0")</f>
        <v>1</v>
      </c>
      <c r="J3561" s="9">
        <f t="shared" si="227"/>
        <v>3</v>
      </c>
      <c r="K3561" t="s">
        <v>6697</v>
      </c>
      <c r="L3561" t="s">
        <v>6694</v>
      </c>
      <c r="M3561" t="s">
        <v>6705</v>
      </c>
      <c r="P3561" t="s">
        <v>6694</v>
      </c>
      <c r="S3561" t="s">
        <v>6694</v>
      </c>
      <c r="U3561" t="s">
        <v>6694</v>
      </c>
      <c r="W3561" t="s">
        <v>6720</v>
      </c>
    </row>
    <row r="3562" spans="1:23" ht="15.6" x14ac:dyDescent="0.4">
      <c r="A3562" s="2" t="s">
        <v>5962</v>
      </c>
      <c r="B3562" s="5" t="s">
        <v>9695</v>
      </c>
      <c r="C3562" s="7" t="s">
        <v>12556</v>
      </c>
      <c r="D3562" s="8">
        <f t="shared" si="224"/>
        <v>1</v>
      </c>
      <c r="E3562" s="7" t="s">
        <v>12557</v>
      </c>
      <c r="F3562" s="7">
        <f t="shared" si="225"/>
        <v>1</v>
      </c>
      <c r="G3562" s="7" t="s">
        <v>12558</v>
      </c>
      <c r="H3562" s="7">
        <f t="shared" si="226"/>
        <v>0</v>
      </c>
      <c r="I3562" s="7" cm="1">
        <f t="array" ref="I3562">IFERROR(_xlfn.IFS(M3562="נח",1,M3562="נע ונח",1,M3562="שני שווא נח",2,M3562="שני שוואים בסוף מילה",2,M3562="שני שוואים ברצף",1),"0")</f>
        <v>1</v>
      </c>
      <c r="J3562" s="9">
        <f t="shared" si="227"/>
        <v>2</v>
      </c>
      <c r="K3562" t="s">
        <v>6698</v>
      </c>
      <c r="L3562" t="s">
        <v>6694</v>
      </c>
      <c r="M3562" t="s">
        <v>6705</v>
      </c>
      <c r="P3562" t="s">
        <v>6694</v>
      </c>
      <c r="Q3562" t="s">
        <v>6694</v>
      </c>
      <c r="W3562" t="s">
        <v>6720</v>
      </c>
    </row>
    <row r="3563" spans="1:23" ht="15.6" x14ac:dyDescent="0.4">
      <c r="A3563" s="2" t="s">
        <v>1018</v>
      </c>
      <c r="B3563" s="5" t="s">
        <v>9873</v>
      </c>
      <c r="C3563" s="7" t="s">
        <v>12556</v>
      </c>
      <c r="D3563" s="8">
        <f t="shared" si="224"/>
        <v>1</v>
      </c>
      <c r="E3563" s="7" t="s">
        <v>12557</v>
      </c>
      <c r="F3563" s="7">
        <f t="shared" si="225"/>
        <v>0</v>
      </c>
      <c r="G3563" s="7" t="s">
        <v>12558</v>
      </c>
      <c r="H3563" s="7">
        <f t="shared" si="226"/>
        <v>0</v>
      </c>
      <c r="I3563" s="7" cm="1">
        <f t="array" ref="I3563">IFERROR(_xlfn.IFS(M3563="נח",1,M3563="נע ונח",1,M3563="שני שווא נח",2,M3563="שני שוואים בסוף מילה",2,M3563="שני שוואים ברצף",1),"0")</f>
        <v>1</v>
      </c>
      <c r="J3563" s="9">
        <f t="shared" si="227"/>
        <v>3</v>
      </c>
      <c r="K3563" t="s">
        <v>6697</v>
      </c>
      <c r="L3563" t="s">
        <v>6694</v>
      </c>
      <c r="M3563" t="s">
        <v>6705</v>
      </c>
      <c r="P3563" t="s">
        <v>6694</v>
      </c>
      <c r="S3563" t="s">
        <v>6694</v>
      </c>
      <c r="W3563" t="s">
        <v>6720</v>
      </c>
    </row>
    <row r="3564" spans="1:23" ht="15.6" x14ac:dyDescent="0.4">
      <c r="A3564" s="2" t="s">
        <v>4672</v>
      </c>
      <c r="B3564" s="5" t="s">
        <v>9874</v>
      </c>
      <c r="C3564" s="7" t="s">
        <v>12556</v>
      </c>
      <c r="D3564" s="8">
        <f t="shared" si="224"/>
        <v>1</v>
      </c>
      <c r="E3564" s="7" t="s">
        <v>12557</v>
      </c>
      <c r="F3564" s="7">
        <f t="shared" si="225"/>
        <v>1</v>
      </c>
      <c r="G3564" s="7" t="s">
        <v>12558</v>
      </c>
      <c r="H3564" s="7">
        <f t="shared" si="226"/>
        <v>0</v>
      </c>
      <c r="I3564" s="7" cm="1">
        <f t="array" ref="I3564">IFERROR(_xlfn.IFS(M3564="נח",1,M3564="נע ונח",1,M3564="שני שווא נח",2,M3564="שני שוואים בסוף מילה",2,M3564="שני שוואים ברצף",1),"0")</f>
        <v>1</v>
      </c>
      <c r="J3564" s="9">
        <f t="shared" si="227"/>
        <v>2</v>
      </c>
      <c r="K3564" t="s">
        <v>6698</v>
      </c>
      <c r="L3564" t="s">
        <v>6694</v>
      </c>
      <c r="M3564" t="s">
        <v>6705</v>
      </c>
      <c r="P3564" t="s">
        <v>6694</v>
      </c>
      <c r="S3564" t="s">
        <v>6694</v>
      </c>
      <c r="W3564" t="s">
        <v>6720</v>
      </c>
    </row>
    <row r="3565" spans="1:23" ht="15.6" x14ac:dyDescent="0.4">
      <c r="A3565" s="2" t="s">
        <v>663</v>
      </c>
      <c r="B3565" s="5" t="s">
        <v>9875</v>
      </c>
      <c r="C3565" s="7" t="s">
        <v>12556</v>
      </c>
      <c r="D3565" s="8">
        <f t="shared" si="224"/>
        <v>1</v>
      </c>
      <c r="E3565" s="7" t="s">
        <v>12557</v>
      </c>
      <c r="F3565" s="7">
        <f t="shared" si="225"/>
        <v>1</v>
      </c>
      <c r="G3565" s="7" t="s">
        <v>12558</v>
      </c>
      <c r="H3565" s="7">
        <f t="shared" si="226"/>
        <v>1</v>
      </c>
      <c r="I3565" s="7" cm="1">
        <f t="array" ref="I3565">IFERROR(_xlfn.IFS(M3565="נח",1,M3565="נע ונח",1,M3565="שני שווא נח",2,M3565="שני שוואים בסוף מילה",2,M3565="שני שוואים ברצף",1),"0")</f>
        <v>1</v>
      </c>
      <c r="J3565" s="9">
        <f t="shared" si="227"/>
        <v>2</v>
      </c>
      <c r="K3565" t="s">
        <v>6697</v>
      </c>
      <c r="L3565" t="s">
        <v>6694</v>
      </c>
      <c r="M3565" t="s">
        <v>6705</v>
      </c>
      <c r="P3565" t="s">
        <v>6694</v>
      </c>
      <c r="U3565" t="s">
        <v>6694</v>
      </c>
      <c r="W3565" t="s">
        <v>6720</v>
      </c>
    </row>
    <row r="3566" spans="1:23" ht="15.6" x14ac:dyDescent="0.4">
      <c r="A3566" s="2" t="s">
        <v>4632</v>
      </c>
      <c r="B3566" s="5" t="s">
        <v>9876</v>
      </c>
      <c r="C3566" s="7" t="s">
        <v>12556</v>
      </c>
      <c r="D3566" s="8">
        <f t="shared" si="224"/>
        <v>1</v>
      </c>
      <c r="E3566" s="7" t="s">
        <v>12557</v>
      </c>
      <c r="F3566" s="7">
        <f t="shared" si="225"/>
        <v>1</v>
      </c>
      <c r="G3566" s="7" t="s">
        <v>12558</v>
      </c>
      <c r="H3566" s="7">
        <f t="shared" si="226"/>
        <v>1</v>
      </c>
      <c r="I3566" s="7" cm="1">
        <f t="array" ref="I3566">IFERROR(_xlfn.IFS(M3566="נח",1,M3566="נע ונח",1,M3566="שני שווא נח",2,M3566="שני שוואים בסוף מילה",2,M3566="שני שוואים ברצף",1),"0")</f>
        <v>1</v>
      </c>
      <c r="J3566" s="9">
        <f t="shared" si="227"/>
        <v>3</v>
      </c>
      <c r="K3566" t="s">
        <v>6697</v>
      </c>
      <c r="L3566" t="s">
        <v>6694</v>
      </c>
      <c r="M3566" t="s">
        <v>6705</v>
      </c>
      <c r="P3566" t="s">
        <v>6694</v>
      </c>
      <c r="S3566" t="s">
        <v>6694</v>
      </c>
      <c r="U3566" t="s">
        <v>6694</v>
      </c>
      <c r="W3566" t="s">
        <v>6720</v>
      </c>
    </row>
    <row r="3567" spans="1:23" ht="15.6" x14ac:dyDescent="0.4">
      <c r="A3567" s="2" t="s">
        <v>5835</v>
      </c>
      <c r="B3567" s="5" t="s">
        <v>9727</v>
      </c>
      <c r="C3567" s="7" t="s">
        <v>12556</v>
      </c>
      <c r="D3567" s="8">
        <f t="shared" si="224"/>
        <v>1</v>
      </c>
      <c r="E3567" s="7" t="s">
        <v>12557</v>
      </c>
      <c r="F3567" s="7">
        <f t="shared" si="225"/>
        <v>1</v>
      </c>
      <c r="G3567" s="7" t="s">
        <v>12558</v>
      </c>
      <c r="H3567" s="7">
        <f t="shared" si="226"/>
        <v>0</v>
      </c>
      <c r="I3567" s="7" t="str" cm="1">
        <f t="array" ref="I3567">IFERROR(_xlfn.IFS(M3567="נח",1,M3567="נע ונח",1,M3567="שני שווא נח",2,M3567="שני שוואים בסוף מילה",2,M3567="שני שוואים ברצף",1),"0")</f>
        <v>0</v>
      </c>
      <c r="J3567" s="9">
        <f t="shared" si="227"/>
        <v>2</v>
      </c>
      <c r="K3567" t="s">
        <v>6697</v>
      </c>
      <c r="L3567" t="s">
        <v>6695</v>
      </c>
      <c r="P3567" t="s">
        <v>6694</v>
      </c>
      <c r="S3567" t="s">
        <v>6694</v>
      </c>
      <c r="W3567" t="s">
        <v>6720</v>
      </c>
    </row>
    <row r="3568" spans="1:23" ht="15.6" x14ac:dyDescent="0.4">
      <c r="A3568" s="2" t="s">
        <v>4031</v>
      </c>
      <c r="B3568" s="5" t="s">
        <v>9713</v>
      </c>
      <c r="C3568" s="7" t="s">
        <v>12556</v>
      </c>
      <c r="D3568" s="8">
        <f t="shared" si="224"/>
        <v>1</v>
      </c>
      <c r="E3568" s="7" t="s">
        <v>12557</v>
      </c>
      <c r="F3568" s="7">
        <f t="shared" si="225"/>
        <v>1</v>
      </c>
      <c r="G3568" s="7" t="s">
        <v>12558</v>
      </c>
      <c r="H3568" s="7">
        <f t="shared" si="226"/>
        <v>0</v>
      </c>
      <c r="I3568" s="7" t="str" cm="1">
        <f t="array" ref="I3568">IFERROR(_xlfn.IFS(M3568="נח",1,M3568="נע ונח",1,M3568="שני שווא נח",2,M3568="שני שוואים בסוף מילה",2,M3568="שני שוואים ברצף",1),"0")</f>
        <v>0</v>
      </c>
      <c r="J3568" s="9">
        <f t="shared" si="227"/>
        <v>2</v>
      </c>
      <c r="K3568" t="s">
        <v>6697</v>
      </c>
      <c r="L3568" t="s">
        <v>6695</v>
      </c>
      <c r="P3568" t="s">
        <v>6694</v>
      </c>
      <c r="S3568" t="s">
        <v>6694</v>
      </c>
      <c r="W3568" t="s">
        <v>6720</v>
      </c>
    </row>
    <row r="3569" spans="1:23" ht="15.6" x14ac:dyDescent="0.4">
      <c r="A3569" s="2" t="s">
        <v>1398</v>
      </c>
      <c r="B3569" s="5" t="s">
        <v>9764</v>
      </c>
      <c r="C3569" s="7" t="s">
        <v>12556</v>
      </c>
      <c r="D3569" s="8">
        <f t="shared" si="224"/>
        <v>1</v>
      </c>
      <c r="E3569" s="7" t="s">
        <v>12557</v>
      </c>
      <c r="F3569" s="7">
        <f t="shared" si="225"/>
        <v>1</v>
      </c>
      <c r="G3569" s="7" t="s">
        <v>12558</v>
      </c>
      <c r="H3569" s="7">
        <f t="shared" si="226"/>
        <v>0</v>
      </c>
      <c r="I3569" s="7" t="str" cm="1">
        <f t="array" ref="I3569">IFERROR(_xlfn.IFS(M3569="נח",1,M3569="נע ונח",1,M3569="שני שווא נח",2,M3569="שני שוואים בסוף מילה",2,M3569="שני שוואים ברצף",1),"0")</f>
        <v>0</v>
      </c>
      <c r="J3569" s="9">
        <f t="shared" si="227"/>
        <v>2</v>
      </c>
      <c r="K3569" t="s">
        <v>6698</v>
      </c>
      <c r="L3569" t="s">
        <v>6695</v>
      </c>
      <c r="P3569" t="s">
        <v>6694</v>
      </c>
      <c r="Q3569" t="s">
        <v>6694</v>
      </c>
      <c r="W3569" t="s">
        <v>6720</v>
      </c>
    </row>
    <row r="3570" spans="1:23" ht="15.6" x14ac:dyDescent="0.4">
      <c r="A3570" s="2" t="s">
        <v>6106</v>
      </c>
      <c r="B3570" s="5" t="s">
        <v>9877</v>
      </c>
      <c r="C3570" s="7" t="s">
        <v>12556</v>
      </c>
      <c r="D3570" s="8">
        <f t="shared" si="224"/>
        <v>1</v>
      </c>
      <c r="E3570" s="7" t="s">
        <v>12557</v>
      </c>
      <c r="F3570" s="7">
        <f t="shared" si="225"/>
        <v>1</v>
      </c>
      <c r="G3570" s="7" t="s">
        <v>12558</v>
      </c>
      <c r="H3570" s="7">
        <f t="shared" si="226"/>
        <v>0</v>
      </c>
      <c r="I3570" s="7" cm="1">
        <f t="array" ref="I3570">IFERROR(_xlfn.IFS(M3570="נח",1,M3570="נע ונח",1,M3570="שני שווא נח",2,M3570="שני שוואים בסוף מילה",2,M3570="שני שוואים ברצף",1),"0")</f>
        <v>2</v>
      </c>
      <c r="J3570" s="9">
        <f t="shared" si="227"/>
        <v>3</v>
      </c>
      <c r="K3570" t="s">
        <v>6698</v>
      </c>
      <c r="L3570" t="s">
        <v>6694</v>
      </c>
      <c r="M3570" t="s">
        <v>6704</v>
      </c>
      <c r="P3570" t="s">
        <v>6694</v>
      </c>
      <c r="Q3570" t="s">
        <v>6694</v>
      </c>
      <c r="S3570" t="s">
        <v>6694</v>
      </c>
      <c r="W3570" t="s">
        <v>6720</v>
      </c>
    </row>
    <row r="3571" spans="1:23" ht="15.6" x14ac:dyDescent="0.4">
      <c r="A3571" s="2" t="s">
        <v>6502</v>
      </c>
      <c r="B3571" s="5" t="s">
        <v>9878</v>
      </c>
      <c r="C3571" s="7" t="s">
        <v>12556</v>
      </c>
      <c r="D3571" s="8">
        <f t="shared" si="224"/>
        <v>1</v>
      </c>
      <c r="E3571" s="7" t="s">
        <v>12557</v>
      </c>
      <c r="F3571" s="7">
        <f t="shared" si="225"/>
        <v>1</v>
      </c>
      <c r="G3571" s="7" t="s">
        <v>12558</v>
      </c>
      <c r="H3571" s="7">
        <f t="shared" si="226"/>
        <v>0</v>
      </c>
      <c r="I3571" s="7" t="str" cm="1">
        <f t="array" ref="I3571">IFERROR(_xlfn.IFS(M3571="נח",1,M3571="נע ונח",1,M3571="שני שווא נח",2,M3571="שני שוואים בסוף מילה",2,M3571="שני שוואים ברצף",1),"0")</f>
        <v>0</v>
      </c>
      <c r="J3571" s="9">
        <f t="shared" si="227"/>
        <v>3</v>
      </c>
      <c r="K3571" t="s">
        <v>6698</v>
      </c>
      <c r="L3571" t="s">
        <v>6695</v>
      </c>
      <c r="P3571" t="s">
        <v>6694</v>
      </c>
      <c r="Q3571" t="s">
        <v>6694</v>
      </c>
      <c r="S3571" t="s">
        <v>6694</v>
      </c>
      <c r="W3571" t="s">
        <v>6720</v>
      </c>
    </row>
    <row r="3572" spans="1:23" ht="15.6" x14ac:dyDescent="0.4">
      <c r="A3572" s="2" t="s">
        <v>5055</v>
      </c>
      <c r="B3572" s="5" t="s">
        <v>9879</v>
      </c>
      <c r="C3572" s="7" t="s">
        <v>12556</v>
      </c>
      <c r="D3572" s="8">
        <f t="shared" si="224"/>
        <v>0</v>
      </c>
      <c r="E3572" s="7" t="s">
        <v>12557</v>
      </c>
      <c r="F3572" s="7">
        <f t="shared" si="225"/>
        <v>0</v>
      </c>
      <c r="G3572" s="7" t="s">
        <v>12558</v>
      </c>
      <c r="H3572" s="7">
        <f t="shared" si="226"/>
        <v>0</v>
      </c>
      <c r="I3572" s="7" t="str" cm="1">
        <f t="array" ref="I3572">IFERROR(_xlfn.IFS(M3572="נח",1,M3572="נע ונח",1,M3572="שני שווא נח",2,M3572="שני שוואים בסוף מילה",2,M3572="שני שוואים ברצף",1),"0")</f>
        <v>0</v>
      </c>
      <c r="J3572" s="9">
        <f t="shared" si="227"/>
        <v>2</v>
      </c>
      <c r="K3572" t="s">
        <v>6698</v>
      </c>
      <c r="L3572" t="s">
        <v>6695</v>
      </c>
      <c r="O3572" t="s">
        <v>6694</v>
      </c>
      <c r="S3572" t="s">
        <v>6694</v>
      </c>
      <c r="W3572" t="s">
        <v>6720</v>
      </c>
    </row>
    <row r="3573" spans="1:23" ht="15.6" x14ac:dyDescent="0.4">
      <c r="A3573" s="2" t="s">
        <v>3137</v>
      </c>
      <c r="B3573" s="5" t="s">
        <v>9880</v>
      </c>
      <c r="C3573" s="7" t="s">
        <v>12556</v>
      </c>
      <c r="D3573" s="8">
        <f t="shared" si="224"/>
        <v>0</v>
      </c>
      <c r="E3573" s="7" t="s">
        <v>12557</v>
      </c>
      <c r="F3573" s="7">
        <f t="shared" si="225"/>
        <v>0</v>
      </c>
      <c r="G3573" s="7" t="s">
        <v>12558</v>
      </c>
      <c r="H3573" s="7">
        <f t="shared" si="226"/>
        <v>0</v>
      </c>
      <c r="I3573" s="7" t="str" cm="1">
        <f t="array" ref="I3573">IFERROR(_xlfn.IFS(M3573="נח",1,M3573="נע ונח",1,M3573="שני שווא נח",2,M3573="שני שוואים בסוף מילה",2,M3573="שני שוואים ברצף",1),"0")</f>
        <v>0</v>
      </c>
      <c r="J3573" s="9">
        <f t="shared" si="227"/>
        <v>2</v>
      </c>
      <c r="K3573" t="s">
        <v>6698</v>
      </c>
      <c r="L3573" t="s">
        <v>6695</v>
      </c>
      <c r="O3573" t="s">
        <v>6694</v>
      </c>
      <c r="Q3573" t="s">
        <v>6694</v>
      </c>
      <c r="W3573" t="s">
        <v>6720</v>
      </c>
    </row>
    <row r="3574" spans="1:23" ht="15.6" x14ac:dyDescent="0.4">
      <c r="A3574" s="2" t="s">
        <v>82</v>
      </c>
      <c r="B3574" s="5" t="s">
        <v>9881</v>
      </c>
      <c r="C3574" s="7" t="s">
        <v>12556</v>
      </c>
      <c r="D3574" s="8">
        <f t="shared" si="224"/>
        <v>0</v>
      </c>
      <c r="E3574" s="7" t="s">
        <v>12557</v>
      </c>
      <c r="F3574" s="7">
        <f t="shared" si="225"/>
        <v>0</v>
      </c>
      <c r="G3574" s="7" t="s">
        <v>12558</v>
      </c>
      <c r="H3574" s="7">
        <f t="shared" si="226"/>
        <v>0</v>
      </c>
      <c r="I3574" s="7" t="str" cm="1">
        <f t="array" ref="I3574">IFERROR(_xlfn.IFS(M3574="נח",1,M3574="נע ונח",1,M3574="שני שווא נח",2,M3574="שני שוואים בסוף מילה",2,M3574="שני שוואים ברצף",1),"0")</f>
        <v>0</v>
      </c>
      <c r="J3574" s="9">
        <f t="shared" si="227"/>
        <v>2</v>
      </c>
      <c r="K3574" t="s">
        <v>6698</v>
      </c>
      <c r="L3574" t="s">
        <v>6695</v>
      </c>
      <c r="O3574" t="s">
        <v>6694</v>
      </c>
      <c r="S3574" t="s">
        <v>6694</v>
      </c>
      <c r="W3574" t="s">
        <v>6720</v>
      </c>
    </row>
    <row r="3575" spans="1:23" ht="15.6" x14ac:dyDescent="0.4">
      <c r="A3575" s="2" t="s">
        <v>2679</v>
      </c>
      <c r="B3575" s="5" t="s">
        <v>9882</v>
      </c>
      <c r="C3575" s="7" t="s">
        <v>12556</v>
      </c>
      <c r="D3575" s="8">
        <f t="shared" si="224"/>
        <v>0</v>
      </c>
      <c r="E3575" s="7" t="s">
        <v>12557</v>
      </c>
      <c r="F3575" s="7">
        <f t="shared" si="225"/>
        <v>1</v>
      </c>
      <c r="G3575" s="7" t="s">
        <v>12558</v>
      </c>
      <c r="H3575" s="7">
        <f t="shared" si="226"/>
        <v>1</v>
      </c>
      <c r="I3575" s="7" t="str" cm="1">
        <f t="array" ref="I3575">IFERROR(_xlfn.IFS(M3575="נח",1,M3575="נע ונח",1,M3575="שני שווא נח",2,M3575="שני שוואים בסוף מילה",2,M3575="שני שוואים ברצף",1),"0")</f>
        <v>0</v>
      </c>
      <c r="J3575" s="9">
        <f t="shared" si="227"/>
        <v>3</v>
      </c>
      <c r="K3575" t="s">
        <v>6697</v>
      </c>
      <c r="L3575" t="s">
        <v>6695</v>
      </c>
      <c r="O3575" t="s">
        <v>6694</v>
      </c>
      <c r="S3575" t="s">
        <v>6694</v>
      </c>
      <c r="U3575" t="s">
        <v>6694</v>
      </c>
      <c r="W3575" t="s">
        <v>6720</v>
      </c>
    </row>
    <row r="3576" spans="1:23" ht="15.6" x14ac:dyDescent="0.4">
      <c r="A3576" s="2" t="s">
        <v>5883</v>
      </c>
      <c r="B3576" s="5" t="s">
        <v>9883</v>
      </c>
      <c r="C3576" s="7" t="s">
        <v>12556</v>
      </c>
      <c r="D3576" s="8">
        <f t="shared" si="224"/>
        <v>1</v>
      </c>
      <c r="E3576" s="7" t="s">
        <v>12557</v>
      </c>
      <c r="F3576" s="7">
        <f t="shared" si="225"/>
        <v>0</v>
      </c>
      <c r="G3576" s="7" t="s">
        <v>12558</v>
      </c>
      <c r="H3576" s="7">
        <f t="shared" si="226"/>
        <v>0</v>
      </c>
      <c r="I3576" s="7" t="str" cm="1">
        <f t="array" ref="I3576">IFERROR(_xlfn.IFS(M3576="נח",1,M3576="נע ונח",1,M3576="שני שווא נח",2,M3576="שני שוואים בסוף מילה",2,M3576="שני שוואים ברצף",1),"0")</f>
        <v>0</v>
      </c>
      <c r="J3576" s="9">
        <f t="shared" si="227"/>
        <v>2</v>
      </c>
      <c r="K3576" t="s">
        <v>6698</v>
      </c>
      <c r="L3576" t="s">
        <v>6695</v>
      </c>
      <c r="O3576" t="s">
        <v>6694</v>
      </c>
      <c r="Q3576" t="s">
        <v>6694</v>
      </c>
      <c r="W3576" t="s">
        <v>6720</v>
      </c>
    </row>
    <row r="3577" spans="1:23" ht="15.6" x14ac:dyDescent="0.4">
      <c r="A3577" s="2" t="s">
        <v>2507</v>
      </c>
      <c r="B3577" s="5" t="s">
        <v>9884</v>
      </c>
      <c r="C3577" s="7" t="s">
        <v>12556</v>
      </c>
      <c r="D3577" s="8">
        <f t="shared" si="224"/>
        <v>0</v>
      </c>
      <c r="E3577" s="7" t="s">
        <v>12557</v>
      </c>
      <c r="F3577" s="7">
        <f t="shared" si="225"/>
        <v>0</v>
      </c>
      <c r="G3577" s="7" t="s">
        <v>12558</v>
      </c>
      <c r="H3577" s="7">
        <f t="shared" si="226"/>
        <v>0</v>
      </c>
      <c r="I3577" s="7" t="str" cm="1">
        <f t="array" ref="I3577">IFERROR(_xlfn.IFS(M3577="נח",1,M3577="נע ונח",1,M3577="שני שווא נח",2,M3577="שני שוואים בסוף מילה",2,M3577="שני שוואים ברצף",1),"0")</f>
        <v>0</v>
      </c>
      <c r="J3577" s="9">
        <f t="shared" si="227"/>
        <v>2</v>
      </c>
      <c r="K3577" t="s">
        <v>6697</v>
      </c>
      <c r="L3577" t="s">
        <v>6695</v>
      </c>
      <c r="O3577" t="s">
        <v>6694</v>
      </c>
      <c r="V3577" t="s">
        <v>6694</v>
      </c>
      <c r="W3577" t="s">
        <v>6720</v>
      </c>
    </row>
    <row r="3578" spans="1:23" ht="15.6" x14ac:dyDescent="0.4">
      <c r="A3578" s="2" t="s">
        <v>1738</v>
      </c>
      <c r="B3578" s="5" t="s">
        <v>9885</v>
      </c>
      <c r="C3578" s="7" t="s">
        <v>12556</v>
      </c>
      <c r="D3578" s="8">
        <f t="shared" si="224"/>
        <v>0</v>
      </c>
      <c r="E3578" s="7" t="s">
        <v>12557</v>
      </c>
      <c r="F3578" s="7">
        <f t="shared" si="225"/>
        <v>1</v>
      </c>
      <c r="G3578" s="7" t="s">
        <v>12558</v>
      </c>
      <c r="H3578" s="7">
        <f t="shared" si="226"/>
        <v>1</v>
      </c>
      <c r="I3578" s="7" t="str" cm="1">
        <f t="array" ref="I3578">IFERROR(_xlfn.IFS(M3578="נח",1,M3578="נע ונח",1,M3578="שני שווא נח",2,M3578="שני שוואים בסוף מילה",2,M3578="שני שוואים ברצף",1),"0")</f>
        <v>0</v>
      </c>
      <c r="J3578" s="9">
        <f t="shared" si="227"/>
        <v>3</v>
      </c>
      <c r="K3578" t="s">
        <v>6697</v>
      </c>
      <c r="L3578" t="s">
        <v>6695</v>
      </c>
      <c r="O3578" t="s">
        <v>6694</v>
      </c>
      <c r="U3578" t="s">
        <v>6694</v>
      </c>
      <c r="V3578" t="s">
        <v>6694</v>
      </c>
      <c r="W3578" t="s">
        <v>6720</v>
      </c>
    </row>
    <row r="3579" spans="1:23" ht="15.6" x14ac:dyDescent="0.4">
      <c r="A3579" s="2" t="s">
        <v>528</v>
      </c>
      <c r="B3579" s="5" t="s">
        <v>9886</v>
      </c>
      <c r="C3579" s="7" t="s">
        <v>12556</v>
      </c>
      <c r="D3579" s="8">
        <f t="shared" si="224"/>
        <v>0</v>
      </c>
      <c r="E3579" s="7" t="s">
        <v>12557</v>
      </c>
      <c r="F3579" s="7">
        <f t="shared" si="225"/>
        <v>0</v>
      </c>
      <c r="G3579" s="7" t="s">
        <v>12558</v>
      </c>
      <c r="H3579" s="7">
        <f t="shared" si="226"/>
        <v>0</v>
      </c>
      <c r="I3579" s="7" t="str" cm="1">
        <f t="array" ref="I3579">IFERROR(_xlfn.IFS(M3579="נח",1,M3579="נע ונח",1,M3579="שני שווא נח",2,M3579="שני שוואים בסוף מילה",2,M3579="שני שוואים ברצף",1),"0")</f>
        <v>0</v>
      </c>
      <c r="J3579" s="9">
        <f t="shared" si="227"/>
        <v>2</v>
      </c>
      <c r="K3579" t="s">
        <v>6697</v>
      </c>
      <c r="L3579" t="s">
        <v>6695</v>
      </c>
      <c r="O3579" t="s">
        <v>6694</v>
      </c>
      <c r="V3579" t="s">
        <v>6694</v>
      </c>
      <c r="W3579" t="s">
        <v>6720</v>
      </c>
    </row>
    <row r="3580" spans="1:23" ht="15.6" x14ac:dyDescent="0.4">
      <c r="A3580" s="2" t="s">
        <v>4273</v>
      </c>
      <c r="B3580" s="5" t="s">
        <v>9887</v>
      </c>
      <c r="C3580" s="7" t="s">
        <v>12556</v>
      </c>
      <c r="D3580" s="8">
        <f t="shared" si="224"/>
        <v>0</v>
      </c>
      <c r="E3580" s="7" t="s">
        <v>12557</v>
      </c>
      <c r="F3580" s="7">
        <f t="shared" si="225"/>
        <v>1</v>
      </c>
      <c r="G3580" s="7" t="s">
        <v>12558</v>
      </c>
      <c r="H3580" s="7">
        <f t="shared" si="226"/>
        <v>1</v>
      </c>
      <c r="I3580" s="7" t="str" cm="1">
        <f t="array" ref="I3580">IFERROR(_xlfn.IFS(M3580="נח",1,M3580="נע ונח",1,M3580="שני שווא נח",2,M3580="שני שוואים בסוף מילה",2,M3580="שני שוואים ברצף",1),"0")</f>
        <v>0</v>
      </c>
      <c r="J3580" s="9">
        <f t="shared" si="227"/>
        <v>2</v>
      </c>
      <c r="K3580" t="s">
        <v>6698</v>
      </c>
      <c r="L3580" t="s">
        <v>6695</v>
      </c>
      <c r="O3580" t="s">
        <v>6694</v>
      </c>
      <c r="U3580" t="s">
        <v>6694</v>
      </c>
      <c r="W3580" t="s">
        <v>6720</v>
      </c>
    </row>
    <row r="3581" spans="1:23" ht="15.6" x14ac:dyDescent="0.4">
      <c r="A3581" s="2" t="s">
        <v>1448</v>
      </c>
      <c r="B3581" s="5" t="s">
        <v>9888</v>
      </c>
      <c r="C3581" s="7" t="s">
        <v>12556</v>
      </c>
      <c r="D3581" s="8">
        <f t="shared" si="224"/>
        <v>0</v>
      </c>
      <c r="E3581" s="7" t="s">
        <v>12557</v>
      </c>
      <c r="F3581" s="7">
        <f t="shared" si="225"/>
        <v>1</v>
      </c>
      <c r="G3581" s="7" t="s">
        <v>12558</v>
      </c>
      <c r="H3581" s="7">
        <f t="shared" si="226"/>
        <v>1</v>
      </c>
      <c r="I3581" s="7" t="str" cm="1">
        <f t="array" ref="I3581">IFERROR(_xlfn.IFS(M3581="נח",1,M3581="נע ונח",1,M3581="שני שווא נח",2,M3581="שני שוואים בסוף מילה",2,M3581="שני שוואים ברצף",1),"0")</f>
        <v>0</v>
      </c>
      <c r="J3581" s="9">
        <f t="shared" si="227"/>
        <v>3</v>
      </c>
      <c r="K3581" t="s">
        <v>6697</v>
      </c>
      <c r="L3581" t="s">
        <v>6695</v>
      </c>
      <c r="O3581" t="s">
        <v>6694</v>
      </c>
      <c r="S3581" t="s">
        <v>6694</v>
      </c>
      <c r="U3581" t="s">
        <v>6694</v>
      </c>
      <c r="W3581" t="s">
        <v>6720</v>
      </c>
    </row>
    <row r="3582" spans="1:23" ht="15.6" x14ac:dyDescent="0.4">
      <c r="A3582" s="2" t="s">
        <v>3230</v>
      </c>
      <c r="B3582" s="5" t="s">
        <v>9889</v>
      </c>
      <c r="C3582" s="7" t="s">
        <v>12556</v>
      </c>
      <c r="D3582" s="8">
        <f t="shared" si="224"/>
        <v>0</v>
      </c>
      <c r="E3582" s="7" t="s">
        <v>12557</v>
      </c>
      <c r="F3582" s="7">
        <f t="shared" si="225"/>
        <v>0</v>
      </c>
      <c r="G3582" s="7" t="s">
        <v>12558</v>
      </c>
      <c r="H3582" s="7">
        <f t="shared" si="226"/>
        <v>0</v>
      </c>
      <c r="I3582" s="7" t="str" cm="1">
        <f t="array" ref="I3582">IFERROR(_xlfn.IFS(M3582="נח",1,M3582="נע ונח",1,M3582="שני שווא נח",2,M3582="שני שוואים בסוף מילה",2,M3582="שני שוואים ברצף",1),"0")</f>
        <v>0</v>
      </c>
      <c r="J3582" s="9">
        <f t="shared" si="227"/>
        <v>2</v>
      </c>
      <c r="K3582" t="s">
        <v>6698</v>
      </c>
      <c r="L3582" t="s">
        <v>6695</v>
      </c>
      <c r="O3582" t="s">
        <v>6694</v>
      </c>
      <c r="Q3582" t="s">
        <v>6694</v>
      </c>
      <c r="W3582" t="s">
        <v>6720</v>
      </c>
    </row>
    <row r="3583" spans="1:23" ht="15.6" x14ac:dyDescent="0.4">
      <c r="A3583" s="2" t="s">
        <v>2360</v>
      </c>
      <c r="B3583" s="5" t="s">
        <v>9890</v>
      </c>
      <c r="C3583" s="7" t="s">
        <v>12556</v>
      </c>
      <c r="D3583" s="8">
        <f t="shared" si="224"/>
        <v>0</v>
      </c>
      <c r="E3583" s="7" t="s">
        <v>12557</v>
      </c>
      <c r="F3583" s="7">
        <f t="shared" si="225"/>
        <v>1</v>
      </c>
      <c r="G3583" s="7" t="s">
        <v>12558</v>
      </c>
      <c r="H3583" s="7">
        <f t="shared" si="226"/>
        <v>0</v>
      </c>
      <c r="I3583" s="7" cm="1">
        <f t="array" ref="I3583">IFERROR(_xlfn.IFS(M3583="נח",1,M3583="נע ונח",1,M3583="שני שווא נח",2,M3583="שני שוואים בסוף מילה",2,M3583="שני שוואים ברצף",1),"0")</f>
        <v>1</v>
      </c>
      <c r="J3583" s="9">
        <f t="shared" si="227"/>
        <v>3</v>
      </c>
      <c r="K3583" t="s">
        <v>6697</v>
      </c>
      <c r="L3583" t="s">
        <v>6694</v>
      </c>
      <c r="M3583" t="s">
        <v>6705</v>
      </c>
      <c r="O3583" t="s">
        <v>6694</v>
      </c>
      <c r="P3583" t="s">
        <v>6694</v>
      </c>
      <c r="S3583" t="s">
        <v>6694</v>
      </c>
      <c r="W3583" t="s">
        <v>6720</v>
      </c>
    </row>
    <row r="3584" spans="1:23" ht="15.6" x14ac:dyDescent="0.4">
      <c r="A3584" s="2" t="s">
        <v>143</v>
      </c>
      <c r="B3584" s="5" t="s">
        <v>9891</v>
      </c>
      <c r="C3584" s="7" t="s">
        <v>12556</v>
      </c>
      <c r="D3584" s="8">
        <f t="shared" si="224"/>
        <v>0</v>
      </c>
      <c r="E3584" s="7" t="s">
        <v>12557</v>
      </c>
      <c r="F3584" s="7">
        <f t="shared" si="225"/>
        <v>2</v>
      </c>
      <c r="G3584" s="7" t="s">
        <v>12558</v>
      </c>
      <c r="H3584" s="7">
        <f t="shared" si="226"/>
        <v>1</v>
      </c>
      <c r="I3584" s="7" t="str" cm="1">
        <f t="array" ref="I3584">IFERROR(_xlfn.IFS(M3584="נח",1,M3584="נע ונח",1,M3584="שני שווא נח",2,M3584="שני שוואים בסוף מילה",2,M3584="שני שוואים ברצף",1),"0")</f>
        <v>0</v>
      </c>
      <c r="J3584" s="9">
        <f t="shared" si="227"/>
        <v>3</v>
      </c>
      <c r="K3584" t="s">
        <v>6697</v>
      </c>
      <c r="L3584" t="s">
        <v>6695</v>
      </c>
      <c r="O3584" t="s">
        <v>6694</v>
      </c>
      <c r="U3584" t="s">
        <v>6694</v>
      </c>
      <c r="V3584" t="s">
        <v>6694</v>
      </c>
      <c r="W3584" t="s">
        <v>6720</v>
      </c>
    </row>
    <row r="3585" spans="1:23" ht="15.6" x14ac:dyDescent="0.4">
      <c r="A3585" s="2" t="s">
        <v>3208</v>
      </c>
      <c r="B3585" s="5" t="s">
        <v>9892</v>
      </c>
      <c r="C3585" s="7" t="s">
        <v>12556</v>
      </c>
      <c r="D3585" s="8">
        <f t="shared" si="224"/>
        <v>0</v>
      </c>
      <c r="E3585" s="7" t="s">
        <v>12557</v>
      </c>
      <c r="F3585" s="7">
        <f t="shared" si="225"/>
        <v>0</v>
      </c>
      <c r="G3585" s="7" t="s">
        <v>12558</v>
      </c>
      <c r="H3585" s="7">
        <f t="shared" si="226"/>
        <v>0</v>
      </c>
      <c r="I3585" s="7" t="str" cm="1">
        <f t="array" ref="I3585">IFERROR(_xlfn.IFS(M3585="נח",1,M3585="נע ונח",1,M3585="שני שווא נח",2,M3585="שני שוואים בסוף מילה",2,M3585="שני שוואים ברצף",1),"0")</f>
        <v>0</v>
      </c>
      <c r="J3585" s="9">
        <f t="shared" si="227"/>
        <v>2</v>
      </c>
      <c r="K3585" t="s">
        <v>6698</v>
      </c>
      <c r="L3585" t="s">
        <v>6695</v>
      </c>
      <c r="O3585" t="s">
        <v>6694</v>
      </c>
      <c r="V3585" t="s">
        <v>6694</v>
      </c>
      <c r="W3585" t="s">
        <v>6720</v>
      </c>
    </row>
    <row r="3586" spans="1:23" ht="15.6" x14ac:dyDescent="0.4">
      <c r="A3586" s="2" t="s">
        <v>5214</v>
      </c>
      <c r="B3586" s="5" t="s">
        <v>9893</v>
      </c>
      <c r="C3586" s="7" t="s">
        <v>12556</v>
      </c>
      <c r="D3586" s="8">
        <f t="shared" si="224"/>
        <v>0</v>
      </c>
      <c r="E3586" s="7" t="s">
        <v>12557</v>
      </c>
      <c r="F3586" s="7">
        <f t="shared" si="225"/>
        <v>1</v>
      </c>
      <c r="G3586" s="7" t="s">
        <v>12558</v>
      </c>
      <c r="H3586" s="7">
        <f t="shared" si="226"/>
        <v>1</v>
      </c>
      <c r="I3586" s="7" t="str" cm="1">
        <f t="array" ref="I3586">IFERROR(_xlfn.IFS(M3586="נח",1,M3586="נע ונח",1,M3586="שני שווא נח",2,M3586="שני שוואים בסוף מילה",2,M3586="שני שוואים ברצף",1),"0")</f>
        <v>0</v>
      </c>
      <c r="J3586" s="9">
        <f t="shared" si="227"/>
        <v>2</v>
      </c>
      <c r="K3586" t="s">
        <v>6698</v>
      </c>
      <c r="L3586" t="s">
        <v>6695</v>
      </c>
      <c r="O3586" t="s">
        <v>6694</v>
      </c>
      <c r="U3586" t="s">
        <v>6694</v>
      </c>
      <c r="W3586" t="s">
        <v>6720</v>
      </c>
    </row>
    <row r="3587" spans="1:23" ht="15.6" x14ac:dyDescent="0.4">
      <c r="A3587" s="2" t="s">
        <v>416</v>
      </c>
      <c r="B3587" s="5" t="s">
        <v>9894</v>
      </c>
      <c r="C3587" s="7" t="s">
        <v>12556</v>
      </c>
      <c r="D3587" s="8">
        <f t="shared" ref="D3587:D3650" si="228">(LEN(B3587)-LEN(SUBSTITUTE(B3587,C3587,"")))</f>
        <v>0</v>
      </c>
      <c r="E3587" s="7" t="s">
        <v>12557</v>
      </c>
      <c r="F3587" s="7">
        <f t="shared" ref="F3587:F3650" si="229">(LEN(A3587)-LEN(SUBSTITUTE(A3587,E3587,"")))</f>
        <v>2</v>
      </c>
      <c r="G3587" s="7" t="s">
        <v>12558</v>
      </c>
      <c r="H3587" s="7">
        <f t="shared" ref="H3587:H3650" si="230">(LEN(A3587)-LEN(SUBSTITUTE(A3587,G3587,"")))/2</f>
        <v>2</v>
      </c>
      <c r="I3587" s="7" t="str" cm="1">
        <f t="array" ref="I3587">IFERROR(_xlfn.IFS(M3587="נח",1,M3587="נע ונח",1,M3587="שני שווא נח",2,M3587="שני שוואים בסוף מילה",2,M3587="שני שוואים ברצף",1),"0")</f>
        <v>0</v>
      </c>
      <c r="J3587" s="9">
        <f t="shared" ref="J3587:J3650" si="231">LEN(A3587)-(LEN(B3587))-D3587-F3587+H3587-I3587</f>
        <v>3</v>
      </c>
      <c r="K3587" t="s">
        <v>6697</v>
      </c>
      <c r="L3587" t="s">
        <v>6695</v>
      </c>
      <c r="O3587" t="s">
        <v>6694</v>
      </c>
      <c r="U3587" t="s">
        <v>6694</v>
      </c>
      <c r="W3587" t="s">
        <v>6720</v>
      </c>
    </row>
    <row r="3588" spans="1:23" ht="15.6" x14ac:dyDescent="0.4">
      <c r="A3588" s="2" t="s">
        <v>755</v>
      </c>
      <c r="B3588" s="5" t="s">
        <v>9895</v>
      </c>
      <c r="C3588" s="7" t="s">
        <v>12556</v>
      </c>
      <c r="D3588" s="8">
        <f t="shared" si="228"/>
        <v>0</v>
      </c>
      <c r="E3588" s="7" t="s">
        <v>12557</v>
      </c>
      <c r="F3588" s="7">
        <f t="shared" si="229"/>
        <v>0</v>
      </c>
      <c r="G3588" s="7" t="s">
        <v>12558</v>
      </c>
      <c r="H3588" s="7">
        <f t="shared" si="230"/>
        <v>0</v>
      </c>
      <c r="I3588" s="7" cm="1">
        <f t="array" ref="I3588">IFERROR(_xlfn.IFS(M3588="נח",1,M3588="נע ונח",1,M3588="שני שווא נח",2,M3588="שני שוואים בסוף מילה",2,M3588="שני שוואים ברצף",1),"0")</f>
        <v>1</v>
      </c>
      <c r="J3588" s="9">
        <f t="shared" si="231"/>
        <v>2</v>
      </c>
      <c r="K3588" t="s">
        <v>6697</v>
      </c>
      <c r="L3588" t="s">
        <v>6694</v>
      </c>
      <c r="M3588" t="s">
        <v>6705</v>
      </c>
      <c r="N3588" t="s">
        <v>6706</v>
      </c>
      <c r="O3588" t="s">
        <v>6694</v>
      </c>
      <c r="W3588" t="s">
        <v>6720</v>
      </c>
    </row>
    <row r="3589" spans="1:23" ht="15.6" x14ac:dyDescent="0.4">
      <c r="A3589" s="2" t="s">
        <v>2998</v>
      </c>
      <c r="B3589" s="5" t="s">
        <v>9754</v>
      </c>
      <c r="C3589" s="7" t="s">
        <v>12556</v>
      </c>
      <c r="D3589" s="8">
        <f t="shared" si="228"/>
        <v>0</v>
      </c>
      <c r="E3589" s="7" t="s">
        <v>12557</v>
      </c>
      <c r="F3589" s="7">
        <f t="shared" si="229"/>
        <v>1</v>
      </c>
      <c r="G3589" s="7" t="s">
        <v>12558</v>
      </c>
      <c r="H3589" s="7">
        <f t="shared" si="230"/>
        <v>1</v>
      </c>
      <c r="I3589" s="7" cm="1">
        <f t="array" ref="I3589">IFERROR(_xlfn.IFS(M3589="נח",1,M3589="נע ונח",1,M3589="שני שווא נח",2,M3589="שני שוואים בסוף מילה",2,M3589="שני שוואים ברצף",1),"0")</f>
        <v>1</v>
      </c>
      <c r="J3589" s="9">
        <f t="shared" si="231"/>
        <v>2</v>
      </c>
      <c r="K3589" t="s">
        <v>6697</v>
      </c>
      <c r="L3589" t="s">
        <v>6694</v>
      </c>
      <c r="M3589" t="s">
        <v>6705</v>
      </c>
      <c r="N3589" t="s">
        <v>6706</v>
      </c>
      <c r="O3589" t="s">
        <v>6694</v>
      </c>
      <c r="U3589" t="s">
        <v>6694</v>
      </c>
      <c r="W3589" t="s">
        <v>6720</v>
      </c>
    </row>
    <row r="3590" spans="1:23" ht="15.6" x14ac:dyDescent="0.4">
      <c r="A3590" s="2" t="s">
        <v>4725</v>
      </c>
      <c r="B3590" s="5" t="s">
        <v>9419</v>
      </c>
      <c r="C3590" s="7" t="s">
        <v>12556</v>
      </c>
      <c r="D3590" s="8">
        <f t="shared" si="228"/>
        <v>0</v>
      </c>
      <c r="E3590" s="7" t="s">
        <v>12557</v>
      </c>
      <c r="F3590" s="7">
        <f t="shared" si="229"/>
        <v>0</v>
      </c>
      <c r="G3590" s="7" t="s">
        <v>12558</v>
      </c>
      <c r="H3590" s="7">
        <f t="shared" si="230"/>
        <v>0</v>
      </c>
      <c r="I3590" s="7" t="str" cm="1">
        <f t="array" ref="I3590">IFERROR(_xlfn.IFS(M3590="נח",1,M3590="נע ונח",1,M3590="שני שווא נח",2,M3590="שני שוואים בסוף מילה",2,M3590="שני שוואים ברצף",1),"0")</f>
        <v>0</v>
      </c>
      <c r="J3590" s="9">
        <f t="shared" si="231"/>
        <v>2</v>
      </c>
      <c r="K3590" t="s">
        <v>6697</v>
      </c>
      <c r="L3590" t="s">
        <v>6695</v>
      </c>
      <c r="O3590" t="s">
        <v>6694</v>
      </c>
      <c r="S3590" t="s">
        <v>6694</v>
      </c>
      <c r="W3590" t="s">
        <v>6720</v>
      </c>
    </row>
    <row r="3591" spans="1:23" ht="15.6" x14ac:dyDescent="0.4">
      <c r="A3591" s="2" t="s">
        <v>1278</v>
      </c>
      <c r="B3591" s="5" t="s">
        <v>9896</v>
      </c>
      <c r="C3591" s="7" t="s">
        <v>12556</v>
      </c>
      <c r="D3591" s="8">
        <f t="shared" si="228"/>
        <v>0</v>
      </c>
      <c r="E3591" s="7" t="s">
        <v>12557</v>
      </c>
      <c r="F3591" s="7">
        <f t="shared" si="229"/>
        <v>0</v>
      </c>
      <c r="G3591" s="7" t="s">
        <v>12558</v>
      </c>
      <c r="H3591" s="7">
        <f t="shared" si="230"/>
        <v>0</v>
      </c>
      <c r="I3591" s="7" t="str" cm="1">
        <f t="array" ref="I3591">IFERROR(_xlfn.IFS(M3591="נח",1,M3591="נע ונח",1,M3591="שני שווא נח",2,M3591="שני שוואים בסוף מילה",2,M3591="שני שוואים ברצף",1),"0")</f>
        <v>0</v>
      </c>
      <c r="J3591" s="9">
        <f t="shared" si="231"/>
        <v>2</v>
      </c>
      <c r="K3591" t="s">
        <v>6698</v>
      </c>
      <c r="L3591" t="s">
        <v>6695</v>
      </c>
      <c r="O3591" t="s">
        <v>6694</v>
      </c>
      <c r="S3591" t="s">
        <v>6694</v>
      </c>
      <c r="W3591" t="s">
        <v>6720</v>
      </c>
    </row>
    <row r="3592" spans="1:23" ht="15.6" x14ac:dyDescent="0.4">
      <c r="A3592" s="2" t="s">
        <v>2910</v>
      </c>
      <c r="B3592" s="5" t="s">
        <v>9897</v>
      </c>
      <c r="C3592" s="7" t="s">
        <v>12556</v>
      </c>
      <c r="D3592" s="8">
        <f t="shared" si="228"/>
        <v>0</v>
      </c>
      <c r="E3592" s="7" t="s">
        <v>12557</v>
      </c>
      <c r="F3592" s="7">
        <f t="shared" si="229"/>
        <v>0</v>
      </c>
      <c r="G3592" s="7" t="s">
        <v>12558</v>
      </c>
      <c r="H3592" s="7">
        <f t="shared" si="230"/>
        <v>0</v>
      </c>
      <c r="I3592" s="7" t="str" cm="1">
        <f t="array" ref="I3592">IFERROR(_xlfn.IFS(M3592="נח",1,M3592="נע ונח",1,M3592="שני שווא נח",2,M3592="שני שוואים בסוף מילה",2,M3592="שני שוואים ברצף",1),"0")</f>
        <v>0</v>
      </c>
      <c r="J3592" s="9">
        <f t="shared" si="231"/>
        <v>3</v>
      </c>
      <c r="K3592" t="s">
        <v>6697</v>
      </c>
      <c r="L3592" t="s">
        <v>6695</v>
      </c>
      <c r="O3592" t="s">
        <v>6694</v>
      </c>
      <c r="R3592" t="s">
        <v>6694</v>
      </c>
      <c r="W3592" t="s">
        <v>6720</v>
      </c>
    </row>
    <row r="3593" spans="1:23" ht="15.6" x14ac:dyDescent="0.4">
      <c r="A3593" s="2" t="s">
        <v>2694</v>
      </c>
      <c r="B3593" s="5" t="s">
        <v>9895</v>
      </c>
      <c r="C3593" s="7" t="s">
        <v>12556</v>
      </c>
      <c r="D3593" s="8">
        <f t="shared" si="228"/>
        <v>0</v>
      </c>
      <c r="E3593" s="7" t="s">
        <v>12557</v>
      </c>
      <c r="F3593" s="7">
        <f t="shared" si="229"/>
        <v>0</v>
      </c>
      <c r="G3593" s="7" t="s">
        <v>12558</v>
      </c>
      <c r="H3593" s="7">
        <f t="shared" si="230"/>
        <v>0</v>
      </c>
      <c r="I3593" s="7" t="str" cm="1">
        <f t="array" ref="I3593">IFERROR(_xlfn.IFS(M3593="נח",1,M3593="נע ונח",1,M3593="שני שווא נח",2,M3593="שני שוואים בסוף מילה",2,M3593="שני שוואים ברצף",1),"0")</f>
        <v>0</v>
      </c>
      <c r="J3593" s="9">
        <f t="shared" si="231"/>
        <v>3</v>
      </c>
      <c r="K3593" t="s">
        <v>6697</v>
      </c>
      <c r="L3593" t="s">
        <v>6695</v>
      </c>
      <c r="O3593" t="s">
        <v>6694</v>
      </c>
      <c r="R3593" t="s">
        <v>6694</v>
      </c>
      <c r="W3593" t="s">
        <v>6720</v>
      </c>
    </row>
    <row r="3594" spans="1:23" ht="15.6" x14ac:dyDescent="0.4">
      <c r="A3594" s="2" t="s">
        <v>2006</v>
      </c>
      <c r="B3594" s="5" t="s">
        <v>9419</v>
      </c>
      <c r="C3594" s="7" t="s">
        <v>12556</v>
      </c>
      <c r="D3594" s="8">
        <f t="shared" si="228"/>
        <v>0</v>
      </c>
      <c r="E3594" s="7" t="s">
        <v>12557</v>
      </c>
      <c r="F3594" s="7">
        <f t="shared" si="229"/>
        <v>0</v>
      </c>
      <c r="G3594" s="7" t="s">
        <v>12558</v>
      </c>
      <c r="H3594" s="7">
        <f t="shared" si="230"/>
        <v>0</v>
      </c>
      <c r="I3594" s="7" t="str" cm="1">
        <f t="array" ref="I3594">IFERROR(_xlfn.IFS(M3594="נח",1,M3594="נע ונח",1,M3594="שני שווא נח",2,M3594="שני שוואים בסוף מילה",2,M3594="שני שוואים ברצף",1),"0")</f>
        <v>0</v>
      </c>
      <c r="J3594" s="9">
        <f t="shared" si="231"/>
        <v>2</v>
      </c>
      <c r="K3594" t="s">
        <v>6698</v>
      </c>
      <c r="L3594" t="s">
        <v>6695</v>
      </c>
      <c r="O3594" t="s">
        <v>6694</v>
      </c>
      <c r="P3594" t="s">
        <v>6694</v>
      </c>
      <c r="W3594" t="s">
        <v>6720</v>
      </c>
    </row>
    <row r="3595" spans="1:23" ht="15.6" x14ac:dyDescent="0.4">
      <c r="A3595" s="2" t="s">
        <v>711</v>
      </c>
      <c r="B3595" s="5" t="s">
        <v>9755</v>
      </c>
      <c r="C3595" s="7" t="s">
        <v>12556</v>
      </c>
      <c r="D3595" s="8">
        <f t="shared" si="228"/>
        <v>0</v>
      </c>
      <c r="E3595" s="7" t="s">
        <v>12557</v>
      </c>
      <c r="F3595" s="7">
        <f t="shared" si="229"/>
        <v>0</v>
      </c>
      <c r="G3595" s="7" t="s">
        <v>12558</v>
      </c>
      <c r="H3595" s="7">
        <f t="shared" si="230"/>
        <v>0</v>
      </c>
      <c r="I3595" s="7" t="str" cm="1">
        <f t="array" ref="I3595">IFERROR(_xlfn.IFS(M3595="נח",1,M3595="נע ונח",1,M3595="שני שווא נח",2,M3595="שני שוואים בסוף מילה",2,M3595="שני שוואים ברצף",1),"0")</f>
        <v>0</v>
      </c>
      <c r="J3595" s="9">
        <f t="shared" si="231"/>
        <v>2</v>
      </c>
      <c r="K3595" t="s">
        <v>6697</v>
      </c>
      <c r="L3595" t="s">
        <v>6695</v>
      </c>
      <c r="O3595" t="s">
        <v>6694</v>
      </c>
      <c r="P3595" t="s">
        <v>6694</v>
      </c>
      <c r="W3595" t="s">
        <v>6720</v>
      </c>
    </row>
    <row r="3596" spans="1:23" ht="15.6" x14ac:dyDescent="0.4">
      <c r="A3596" s="2" t="s">
        <v>514</v>
      </c>
      <c r="B3596" s="5" t="s">
        <v>9898</v>
      </c>
      <c r="C3596" s="7" t="s">
        <v>12556</v>
      </c>
      <c r="D3596" s="8">
        <f t="shared" si="228"/>
        <v>0</v>
      </c>
      <c r="E3596" s="7" t="s">
        <v>12557</v>
      </c>
      <c r="F3596" s="7">
        <f t="shared" si="229"/>
        <v>1</v>
      </c>
      <c r="G3596" s="7" t="s">
        <v>12558</v>
      </c>
      <c r="H3596" s="7">
        <f t="shared" si="230"/>
        <v>0</v>
      </c>
      <c r="I3596" s="7" cm="1">
        <f t="array" ref="I3596">IFERROR(_xlfn.IFS(M3596="נח",1,M3596="נע ונח",1,M3596="שני שווא נח",2,M3596="שני שוואים בסוף מילה",2,M3596="שני שוואים ברצף",1),"0")</f>
        <v>1</v>
      </c>
      <c r="J3596" s="9">
        <f t="shared" si="231"/>
        <v>3</v>
      </c>
      <c r="K3596" t="s">
        <v>6697</v>
      </c>
      <c r="L3596" t="s">
        <v>6694</v>
      </c>
      <c r="M3596" t="s">
        <v>6705</v>
      </c>
      <c r="O3596" t="s">
        <v>6694</v>
      </c>
      <c r="P3596" t="s">
        <v>6694</v>
      </c>
      <c r="S3596" t="s">
        <v>6694</v>
      </c>
      <c r="W3596" t="s">
        <v>6720</v>
      </c>
    </row>
    <row r="3597" spans="1:23" ht="15.6" x14ac:dyDescent="0.4">
      <c r="A3597" s="2" t="s">
        <v>3374</v>
      </c>
      <c r="B3597" s="5" t="s">
        <v>9899</v>
      </c>
      <c r="C3597" s="7" t="s">
        <v>12556</v>
      </c>
      <c r="D3597" s="8">
        <f t="shared" si="228"/>
        <v>0</v>
      </c>
      <c r="E3597" s="7" t="s">
        <v>12557</v>
      </c>
      <c r="F3597" s="7">
        <f t="shared" si="229"/>
        <v>1</v>
      </c>
      <c r="G3597" s="7" t="s">
        <v>12558</v>
      </c>
      <c r="H3597" s="7">
        <f t="shared" si="230"/>
        <v>0</v>
      </c>
      <c r="I3597" s="7" cm="1">
        <f t="array" ref="I3597">IFERROR(_xlfn.IFS(M3597="נח",1,M3597="נע ונח",1,M3597="שני שווא נח",2,M3597="שני שוואים בסוף מילה",2,M3597="שני שוואים ברצף",1),"0")</f>
        <v>1</v>
      </c>
      <c r="J3597" s="9">
        <f t="shared" si="231"/>
        <v>3</v>
      </c>
      <c r="K3597" t="s">
        <v>6698</v>
      </c>
      <c r="L3597" t="s">
        <v>6694</v>
      </c>
      <c r="M3597" t="s">
        <v>6705</v>
      </c>
      <c r="O3597" t="s">
        <v>6694</v>
      </c>
      <c r="P3597" t="s">
        <v>6694</v>
      </c>
      <c r="W3597" t="s">
        <v>6720</v>
      </c>
    </row>
    <row r="3598" spans="1:23" ht="15.6" x14ac:dyDescent="0.4">
      <c r="A3598" s="2" t="s">
        <v>737</v>
      </c>
      <c r="B3598" s="5" t="s">
        <v>9900</v>
      </c>
      <c r="C3598" s="7" t="s">
        <v>12556</v>
      </c>
      <c r="D3598" s="8">
        <f t="shared" si="228"/>
        <v>0</v>
      </c>
      <c r="E3598" s="7" t="s">
        <v>12557</v>
      </c>
      <c r="F3598" s="7">
        <f t="shared" si="229"/>
        <v>0</v>
      </c>
      <c r="G3598" s="7" t="s">
        <v>12558</v>
      </c>
      <c r="H3598" s="7">
        <f t="shared" si="230"/>
        <v>0</v>
      </c>
      <c r="I3598" s="7" t="str" cm="1">
        <f t="array" ref="I3598">IFERROR(_xlfn.IFS(M3598="נח",1,M3598="נע ונח",1,M3598="שני שווא נח",2,M3598="שני שוואים בסוף מילה",2,M3598="שני שוואים ברצף",1),"0")</f>
        <v>0</v>
      </c>
      <c r="J3598" s="9">
        <f t="shared" si="231"/>
        <v>3</v>
      </c>
      <c r="K3598" t="s">
        <v>6698</v>
      </c>
      <c r="L3598" t="s">
        <v>6695</v>
      </c>
      <c r="N3598" t="s">
        <v>6706</v>
      </c>
      <c r="O3598" t="s">
        <v>6694</v>
      </c>
      <c r="S3598" t="s">
        <v>6694</v>
      </c>
      <c r="W3598" t="s">
        <v>6720</v>
      </c>
    </row>
    <row r="3599" spans="1:23" ht="15.6" x14ac:dyDescent="0.4">
      <c r="A3599" s="2" t="s">
        <v>1165</v>
      </c>
      <c r="B3599" s="5" t="s">
        <v>9901</v>
      </c>
      <c r="C3599" s="7" t="s">
        <v>12556</v>
      </c>
      <c r="D3599" s="8">
        <f t="shared" si="228"/>
        <v>0</v>
      </c>
      <c r="E3599" s="7" t="s">
        <v>12557</v>
      </c>
      <c r="F3599" s="7">
        <f t="shared" si="229"/>
        <v>0</v>
      </c>
      <c r="G3599" s="7" t="s">
        <v>12558</v>
      </c>
      <c r="H3599" s="7">
        <f t="shared" si="230"/>
        <v>0</v>
      </c>
      <c r="I3599" s="7" t="str" cm="1">
        <f t="array" ref="I3599">IFERROR(_xlfn.IFS(M3599="נח",1,M3599="נע ונח",1,M3599="שני שווא נח",2,M3599="שני שוואים בסוף מילה",2,M3599="שני שוואים ברצף",1),"0")</f>
        <v>0</v>
      </c>
      <c r="J3599" s="9">
        <f t="shared" si="231"/>
        <v>2</v>
      </c>
      <c r="K3599" t="s">
        <v>6698</v>
      </c>
      <c r="L3599" t="s">
        <v>6695</v>
      </c>
      <c r="N3599" t="s">
        <v>6706</v>
      </c>
      <c r="O3599" t="s">
        <v>6694</v>
      </c>
      <c r="W3599" t="s">
        <v>6720</v>
      </c>
    </row>
    <row r="3600" spans="1:23" ht="15.6" x14ac:dyDescent="0.4">
      <c r="A3600" s="2" t="s">
        <v>6366</v>
      </c>
      <c r="B3600" s="5" t="s">
        <v>9899</v>
      </c>
      <c r="C3600" s="7" t="s">
        <v>12556</v>
      </c>
      <c r="D3600" s="8">
        <f t="shared" si="228"/>
        <v>0</v>
      </c>
      <c r="E3600" s="7" t="s">
        <v>12557</v>
      </c>
      <c r="F3600" s="7">
        <f t="shared" si="229"/>
        <v>1</v>
      </c>
      <c r="G3600" s="7" t="s">
        <v>12558</v>
      </c>
      <c r="H3600" s="7">
        <f t="shared" si="230"/>
        <v>0</v>
      </c>
      <c r="I3600" s="7" cm="1">
        <f t="array" ref="I3600">IFERROR(_xlfn.IFS(M3600="נח",1,M3600="נע ונח",1,M3600="שני שווא נח",2,M3600="שני שוואים בסוף מילה",2,M3600="שני שוואים ברצף",1),"0")</f>
        <v>1</v>
      </c>
      <c r="J3600" s="9">
        <f t="shared" si="231"/>
        <v>3</v>
      </c>
      <c r="K3600" t="s">
        <v>6698</v>
      </c>
      <c r="L3600" t="s">
        <v>6694</v>
      </c>
      <c r="M3600" t="s">
        <v>6705</v>
      </c>
      <c r="N3600" t="s">
        <v>6706</v>
      </c>
      <c r="O3600" t="s">
        <v>6694</v>
      </c>
      <c r="W3600" t="s">
        <v>6720</v>
      </c>
    </row>
    <row r="3601" spans="1:23" ht="15.6" x14ac:dyDescent="0.4">
      <c r="A3601" s="2" t="s">
        <v>1116</v>
      </c>
      <c r="B3601" s="5" t="s">
        <v>9902</v>
      </c>
      <c r="C3601" s="7" t="s">
        <v>12556</v>
      </c>
      <c r="D3601" s="8">
        <f t="shared" si="228"/>
        <v>0</v>
      </c>
      <c r="E3601" s="7" t="s">
        <v>12557</v>
      </c>
      <c r="F3601" s="7">
        <f t="shared" si="229"/>
        <v>0</v>
      </c>
      <c r="G3601" s="7" t="s">
        <v>12558</v>
      </c>
      <c r="H3601" s="7">
        <f t="shared" si="230"/>
        <v>0</v>
      </c>
      <c r="I3601" s="7" t="str" cm="1">
        <f t="array" ref="I3601">IFERROR(_xlfn.IFS(M3601="נח",1,M3601="נע ונח",1,M3601="שני שווא נח",2,M3601="שני שוואים בסוף מילה",2,M3601="שני שוואים ברצף",1),"0")</f>
        <v>0</v>
      </c>
      <c r="J3601" s="9">
        <f t="shared" si="231"/>
        <v>2</v>
      </c>
      <c r="K3601" t="s">
        <v>6697</v>
      </c>
      <c r="L3601" t="s">
        <v>6695</v>
      </c>
      <c r="O3601" t="s">
        <v>6694</v>
      </c>
      <c r="V3601" t="s">
        <v>6694</v>
      </c>
      <c r="W3601" t="s">
        <v>6720</v>
      </c>
    </row>
    <row r="3602" spans="1:23" ht="15.6" x14ac:dyDescent="0.4">
      <c r="A3602" s="2" t="s">
        <v>1242</v>
      </c>
      <c r="B3602" s="5" t="s">
        <v>9903</v>
      </c>
      <c r="C3602" s="7" t="s">
        <v>12556</v>
      </c>
      <c r="D3602" s="8">
        <f t="shared" si="228"/>
        <v>0</v>
      </c>
      <c r="E3602" s="7" t="s">
        <v>12557</v>
      </c>
      <c r="F3602" s="7">
        <f t="shared" si="229"/>
        <v>1</v>
      </c>
      <c r="G3602" s="7" t="s">
        <v>12558</v>
      </c>
      <c r="H3602" s="7">
        <f t="shared" si="230"/>
        <v>0</v>
      </c>
      <c r="I3602" s="7" t="str" cm="1">
        <f t="array" ref="I3602">IFERROR(_xlfn.IFS(M3602="נח",1,M3602="נע ונח",1,M3602="שני שווא נח",2,M3602="שני שוואים בסוף מילה",2,M3602="שני שוואים ברצף",1),"0")</f>
        <v>0</v>
      </c>
      <c r="J3602" s="9">
        <f t="shared" si="231"/>
        <v>1</v>
      </c>
      <c r="K3602" t="s">
        <v>6697</v>
      </c>
      <c r="L3602" t="s">
        <v>6695</v>
      </c>
      <c r="N3602" t="s">
        <v>6706</v>
      </c>
      <c r="O3602" t="s">
        <v>6694</v>
      </c>
      <c r="W3602" t="s">
        <v>6720</v>
      </c>
    </row>
    <row r="3603" spans="1:23" ht="15.6" x14ac:dyDescent="0.4">
      <c r="A3603" s="2" t="s">
        <v>925</v>
      </c>
      <c r="B3603" s="5" t="s">
        <v>9904</v>
      </c>
      <c r="C3603" s="7" t="s">
        <v>12556</v>
      </c>
      <c r="D3603" s="8">
        <f t="shared" si="228"/>
        <v>0</v>
      </c>
      <c r="E3603" s="7" t="s">
        <v>12557</v>
      </c>
      <c r="F3603" s="7">
        <f t="shared" si="229"/>
        <v>0</v>
      </c>
      <c r="G3603" s="7" t="s">
        <v>12558</v>
      </c>
      <c r="H3603" s="7">
        <f t="shared" si="230"/>
        <v>0</v>
      </c>
      <c r="I3603" s="7" t="str" cm="1">
        <f t="array" ref="I3603">IFERROR(_xlfn.IFS(M3603="נח",1,M3603="נע ונח",1,M3603="שני שווא נח",2,M3603="שני שוואים בסוף מילה",2,M3603="שני שוואים ברצף",1),"0")</f>
        <v>0</v>
      </c>
      <c r="J3603" s="9">
        <f t="shared" si="231"/>
        <v>2</v>
      </c>
      <c r="K3603" t="s">
        <v>6698</v>
      </c>
      <c r="L3603" t="s">
        <v>6695</v>
      </c>
      <c r="O3603" t="s">
        <v>6694</v>
      </c>
      <c r="S3603" t="s">
        <v>6694</v>
      </c>
      <c r="W3603" t="s">
        <v>6720</v>
      </c>
    </row>
    <row r="3604" spans="1:23" ht="15.6" x14ac:dyDescent="0.4">
      <c r="A3604" s="2" t="s">
        <v>3998</v>
      </c>
      <c r="B3604" s="5" t="s">
        <v>9905</v>
      </c>
      <c r="C3604" s="7" t="s">
        <v>12556</v>
      </c>
      <c r="D3604" s="8">
        <f t="shared" si="228"/>
        <v>0</v>
      </c>
      <c r="E3604" s="7" t="s">
        <v>12557</v>
      </c>
      <c r="F3604" s="7">
        <f t="shared" si="229"/>
        <v>0</v>
      </c>
      <c r="G3604" s="7" t="s">
        <v>12558</v>
      </c>
      <c r="H3604" s="7">
        <f t="shared" si="230"/>
        <v>0</v>
      </c>
      <c r="I3604" s="7" t="str" cm="1">
        <f t="array" ref="I3604">IFERROR(_xlfn.IFS(M3604="נח",1,M3604="נע ונח",1,M3604="שני שווא נח",2,M3604="שני שוואים בסוף מילה",2,M3604="שני שוואים ברצף",1),"0")</f>
        <v>0</v>
      </c>
      <c r="J3604" s="9">
        <f t="shared" si="231"/>
        <v>2</v>
      </c>
      <c r="K3604" t="s">
        <v>6698</v>
      </c>
      <c r="L3604" t="s">
        <v>6695</v>
      </c>
      <c r="O3604" t="s">
        <v>6694</v>
      </c>
      <c r="S3604" t="s">
        <v>6694</v>
      </c>
      <c r="W3604" t="s">
        <v>6720</v>
      </c>
    </row>
    <row r="3605" spans="1:23" ht="15.6" x14ac:dyDescent="0.4">
      <c r="A3605" s="2" t="s">
        <v>4764</v>
      </c>
      <c r="B3605" s="5" t="s">
        <v>9906</v>
      </c>
      <c r="C3605" s="7" t="s">
        <v>12556</v>
      </c>
      <c r="D3605" s="8">
        <f t="shared" si="228"/>
        <v>0</v>
      </c>
      <c r="E3605" s="7" t="s">
        <v>12557</v>
      </c>
      <c r="F3605" s="7">
        <f t="shared" si="229"/>
        <v>1</v>
      </c>
      <c r="G3605" s="7" t="s">
        <v>12558</v>
      </c>
      <c r="H3605" s="7">
        <f t="shared" si="230"/>
        <v>1</v>
      </c>
      <c r="I3605" s="7" t="str" cm="1">
        <f t="array" ref="I3605">IFERROR(_xlfn.IFS(M3605="נח",1,M3605="נע ונח",1,M3605="שני שווא נח",2,M3605="שני שוואים בסוף מילה",2,M3605="שני שוואים ברצף",1),"0")</f>
        <v>0</v>
      </c>
      <c r="J3605" s="9">
        <f t="shared" si="231"/>
        <v>3</v>
      </c>
      <c r="K3605" t="s">
        <v>6697</v>
      </c>
      <c r="L3605" t="s">
        <v>6695</v>
      </c>
      <c r="O3605" t="s">
        <v>6694</v>
      </c>
      <c r="S3605" t="s">
        <v>6694</v>
      </c>
      <c r="U3605" t="s">
        <v>6694</v>
      </c>
      <c r="W3605" t="s">
        <v>6720</v>
      </c>
    </row>
    <row r="3606" spans="1:23" ht="15.6" x14ac:dyDescent="0.4">
      <c r="A3606" s="2" t="s">
        <v>2260</v>
      </c>
      <c r="B3606" s="5" t="s">
        <v>9813</v>
      </c>
      <c r="C3606" s="7" t="s">
        <v>12556</v>
      </c>
      <c r="D3606" s="8">
        <f t="shared" si="228"/>
        <v>0</v>
      </c>
      <c r="E3606" s="7" t="s">
        <v>12557</v>
      </c>
      <c r="F3606" s="7">
        <f t="shared" si="229"/>
        <v>0</v>
      </c>
      <c r="G3606" s="7" t="s">
        <v>12558</v>
      </c>
      <c r="H3606" s="7">
        <f t="shared" si="230"/>
        <v>0</v>
      </c>
      <c r="I3606" s="7" t="str" cm="1">
        <f t="array" ref="I3606">IFERROR(_xlfn.IFS(M3606="נח",1,M3606="נע ונח",1,M3606="שני שווא נח",2,M3606="שני שוואים בסוף מילה",2,M3606="שני שוואים ברצף",1),"0")</f>
        <v>0</v>
      </c>
      <c r="J3606" s="9">
        <f t="shared" si="231"/>
        <v>2</v>
      </c>
      <c r="K3606" t="s">
        <v>6698</v>
      </c>
      <c r="L3606" t="s">
        <v>6695</v>
      </c>
      <c r="O3606" t="s">
        <v>6694</v>
      </c>
      <c r="P3606" t="s">
        <v>6694</v>
      </c>
      <c r="W3606" t="s">
        <v>6720</v>
      </c>
    </row>
    <row r="3607" spans="1:23" ht="15.6" x14ac:dyDescent="0.4">
      <c r="A3607" s="2" t="s">
        <v>3107</v>
      </c>
      <c r="B3607" s="5" t="s">
        <v>9907</v>
      </c>
      <c r="C3607" s="7" t="s">
        <v>12556</v>
      </c>
      <c r="D3607" s="8">
        <f t="shared" si="228"/>
        <v>0</v>
      </c>
      <c r="E3607" s="7" t="s">
        <v>12557</v>
      </c>
      <c r="F3607" s="7">
        <f t="shared" si="229"/>
        <v>0</v>
      </c>
      <c r="G3607" s="7" t="s">
        <v>12558</v>
      </c>
      <c r="H3607" s="7">
        <f t="shared" si="230"/>
        <v>0</v>
      </c>
      <c r="I3607" s="7" t="str" cm="1">
        <f t="array" ref="I3607">IFERROR(_xlfn.IFS(M3607="נח",1,M3607="נע ונח",1,M3607="שני שווא נח",2,M3607="שני שוואים בסוף מילה",2,M3607="שני שוואים ברצף",1),"0")</f>
        <v>0</v>
      </c>
      <c r="J3607" s="9">
        <f t="shared" si="231"/>
        <v>2</v>
      </c>
      <c r="K3607" t="s">
        <v>6698</v>
      </c>
      <c r="L3607" t="s">
        <v>6695</v>
      </c>
      <c r="O3607" t="s">
        <v>6694</v>
      </c>
      <c r="V3607" t="s">
        <v>6694</v>
      </c>
      <c r="W3607" t="s">
        <v>6720</v>
      </c>
    </row>
    <row r="3608" spans="1:23" ht="15.6" x14ac:dyDescent="0.4">
      <c r="A3608" s="2" t="s">
        <v>1583</v>
      </c>
      <c r="B3608" s="5" t="s">
        <v>9908</v>
      </c>
      <c r="C3608" s="7" t="s">
        <v>12556</v>
      </c>
      <c r="D3608" s="8">
        <f t="shared" si="228"/>
        <v>0</v>
      </c>
      <c r="E3608" s="7" t="s">
        <v>12557</v>
      </c>
      <c r="F3608" s="7">
        <f t="shared" si="229"/>
        <v>2</v>
      </c>
      <c r="G3608" s="7" t="s">
        <v>12558</v>
      </c>
      <c r="H3608" s="7">
        <f t="shared" si="230"/>
        <v>1</v>
      </c>
      <c r="I3608" s="7" t="str" cm="1">
        <f t="array" ref="I3608">IFERROR(_xlfn.IFS(M3608="נח",1,M3608="נע ונח",1,M3608="שני שווא נח",2,M3608="שני שוואים בסוף מילה",2,M3608="שני שוואים ברצף",1),"0")</f>
        <v>0</v>
      </c>
      <c r="J3608" s="9">
        <f t="shared" si="231"/>
        <v>3</v>
      </c>
      <c r="K3608" t="s">
        <v>6697</v>
      </c>
      <c r="L3608" t="s">
        <v>6695</v>
      </c>
      <c r="O3608" t="s">
        <v>6694</v>
      </c>
      <c r="U3608" t="s">
        <v>6694</v>
      </c>
      <c r="V3608" t="s">
        <v>6694</v>
      </c>
      <c r="W3608" t="s">
        <v>6720</v>
      </c>
    </row>
    <row r="3609" spans="1:23" ht="15.6" x14ac:dyDescent="0.4">
      <c r="A3609" s="2" t="s">
        <v>862</v>
      </c>
      <c r="B3609" s="5" t="s">
        <v>9603</v>
      </c>
      <c r="C3609" s="7" t="s">
        <v>12556</v>
      </c>
      <c r="D3609" s="8">
        <f t="shared" si="228"/>
        <v>0</v>
      </c>
      <c r="E3609" s="7" t="s">
        <v>12557</v>
      </c>
      <c r="F3609" s="7">
        <f t="shared" si="229"/>
        <v>1</v>
      </c>
      <c r="G3609" s="7" t="s">
        <v>12558</v>
      </c>
      <c r="H3609" s="7">
        <f t="shared" si="230"/>
        <v>1</v>
      </c>
      <c r="I3609" s="7" cm="1">
        <f t="array" ref="I3609">IFERROR(_xlfn.IFS(M3609="נח",1,M3609="נע ונח",1,M3609="שני שווא נח",2,M3609="שני שוואים בסוף מילה",2,M3609="שני שוואים ברצף",1),"0")</f>
        <v>1</v>
      </c>
      <c r="J3609" s="9">
        <f t="shared" si="231"/>
        <v>2</v>
      </c>
      <c r="K3609" t="s">
        <v>6697</v>
      </c>
      <c r="L3609" t="s">
        <v>6694</v>
      </c>
      <c r="M3609" t="s">
        <v>6705</v>
      </c>
      <c r="N3609" t="s">
        <v>6706</v>
      </c>
      <c r="O3609" t="s">
        <v>6694</v>
      </c>
      <c r="U3609" t="s">
        <v>6694</v>
      </c>
      <c r="W3609" t="s">
        <v>6720</v>
      </c>
    </row>
    <row r="3610" spans="1:23" ht="15.6" x14ac:dyDescent="0.4">
      <c r="A3610" s="2" t="s">
        <v>5759</v>
      </c>
      <c r="B3610" s="5" t="s">
        <v>9909</v>
      </c>
      <c r="C3610" s="7" t="s">
        <v>12556</v>
      </c>
      <c r="D3610" s="8">
        <f t="shared" si="228"/>
        <v>0</v>
      </c>
      <c r="E3610" s="7" t="s">
        <v>12557</v>
      </c>
      <c r="F3610" s="7">
        <f t="shared" si="229"/>
        <v>0</v>
      </c>
      <c r="G3610" s="7" t="s">
        <v>12558</v>
      </c>
      <c r="H3610" s="7">
        <f t="shared" si="230"/>
        <v>0</v>
      </c>
      <c r="I3610" s="7" t="str" cm="1">
        <f t="array" ref="I3610">IFERROR(_xlfn.IFS(M3610="נח",1,M3610="נע ונח",1,M3610="שני שווא נח",2,M3610="שני שוואים בסוף מילה",2,M3610="שני שוואים ברצף",1),"0")</f>
        <v>0</v>
      </c>
      <c r="J3610" s="9">
        <f t="shared" si="231"/>
        <v>2</v>
      </c>
      <c r="K3610" t="s">
        <v>6698</v>
      </c>
      <c r="L3610" t="s">
        <v>6695</v>
      </c>
      <c r="O3610" t="s">
        <v>6694</v>
      </c>
      <c r="S3610" t="s">
        <v>6694</v>
      </c>
      <c r="W3610" t="s">
        <v>6720</v>
      </c>
    </row>
    <row r="3611" spans="1:23" ht="15.6" x14ac:dyDescent="0.4">
      <c r="A3611" s="2" t="s">
        <v>3531</v>
      </c>
      <c r="B3611" s="5" t="s">
        <v>9910</v>
      </c>
      <c r="C3611" s="7" t="s">
        <v>12556</v>
      </c>
      <c r="D3611" s="8">
        <f t="shared" si="228"/>
        <v>0</v>
      </c>
      <c r="E3611" s="7" t="s">
        <v>12557</v>
      </c>
      <c r="F3611" s="7">
        <f t="shared" si="229"/>
        <v>1</v>
      </c>
      <c r="G3611" s="7" t="s">
        <v>12558</v>
      </c>
      <c r="H3611" s="7">
        <f t="shared" si="230"/>
        <v>0</v>
      </c>
      <c r="I3611" s="7" cm="1">
        <f t="array" ref="I3611">IFERROR(_xlfn.IFS(M3611="נח",1,M3611="נע ונח",1,M3611="שני שווא נח",2,M3611="שני שוואים בסוף מילה",2,M3611="שני שוואים ברצף",1),"0")</f>
        <v>1</v>
      </c>
      <c r="J3611" s="9">
        <f t="shared" si="231"/>
        <v>3</v>
      </c>
      <c r="K3611" t="s">
        <v>6697</v>
      </c>
      <c r="L3611" t="s">
        <v>6694</v>
      </c>
      <c r="M3611" t="s">
        <v>6705</v>
      </c>
      <c r="O3611" t="s">
        <v>6694</v>
      </c>
      <c r="S3611" t="s">
        <v>6694</v>
      </c>
      <c r="V3611" t="s">
        <v>6694</v>
      </c>
      <c r="W3611" t="s">
        <v>6720</v>
      </c>
    </row>
    <row r="3612" spans="1:23" ht="15.6" x14ac:dyDescent="0.4">
      <c r="A3612" s="2" t="s">
        <v>3844</v>
      </c>
      <c r="B3612" s="5" t="s">
        <v>9911</v>
      </c>
      <c r="C3612" s="7" t="s">
        <v>12556</v>
      </c>
      <c r="D3612" s="8">
        <f t="shared" si="228"/>
        <v>0</v>
      </c>
      <c r="E3612" s="7" t="s">
        <v>12557</v>
      </c>
      <c r="F3612" s="7">
        <f t="shared" si="229"/>
        <v>0</v>
      </c>
      <c r="G3612" s="7" t="s">
        <v>12558</v>
      </c>
      <c r="H3612" s="7">
        <f t="shared" si="230"/>
        <v>0</v>
      </c>
      <c r="I3612" s="7" t="str" cm="1">
        <f t="array" ref="I3612">IFERROR(_xlfn.IFS(M3612="נח",1,M3612="נע ונח",1,M3612="שני שווא נח",2,M3612="שני שוואים בסוף מילה",2,M3612="שני שוואים ברצף",1),"0")</f>
        <v>0</v>
      </c>
      <c r="J3612" s="9">
        <f t="shared" si="231"/>
        <v>2</v>
      </c>
      <c r="K3612" t="s">
        <v>6698</v>
      </c>
      <c r="L3612" t="s">
        <v>6695</v>
      </c>
      <c r="O3612" t="s">
        <v>6694</v>
      </c>
      <c r="S3612" t="s">
        <v>6694</v>
      </c>
      <c r="W3612" t="s">
        <v>6720</v>
      </c>
    </row>
    <row r="3613" spans="1:23" ht="15.6" x14ac:dyDescent="0.4">
      <c r="A3613" s="2" t="s">
        <v>1041</v>
      </c>
      <c r="B3613" s="5" t="s">
        <v>9818</v>
      </c>
      <c r="C3613" s="7" t="s">
        <v>12556</v>
      </c>
      <c r="D3613" s="8">
        <f t="shared" si="228"/>
        <v>0</v>
      </c>
      <c r="E3613" s="7" t="s">
        <v>12557</v>
      </c>
      <c r="F3613" s="7">
        <f t="shared" si="229"/>
        <v>0</v>
      </c>
      <c r="G3613" s="7" t="s">
        <v>12558</v>
      </c>
      <c r="H3613" s="7">
        <f t="shared" si="230"/>
        <v>0</v>
      </c>
      <c r="I3613" s="7" t="str" cm="1">
        <f t="array" ref="I3613">IFERROR(_xlfn.IFS(M3613="נח",1,M3613="נע ונח",1,M3613="שני שווא נח",2,M3613="שני שוואים בסוף מילה",2,M3613="שני שוואים ברצף",1),"0")</f>
        <v>0</v>
      </c>
      <c r="J3613" s="9">
        <f t="shared" si="231"/>
        <v>1</v>
      </c>
      <c r="K3613" t="s">
        <v>6698</v>
      </c>
      <c r="L3613" t="s">
        <v>6695</v>
      </c>
      <c r="N3613" t="s">
        <v>6706</v>
      </c>
      <c r="O3613" t="s">
        <v>6694</v>
      </c>
      <c r="W3613" t="s">
        <v>6720</v>
      </c>
    </row>
    <row r="3614" spans="1:23" ht="15.6" x14ac:dyDescent="0.4">
      <c r="A3614" s="2" t="s">
        <v>3996</v>
      </c>
      <c r="B3614" s="5" t="s">
        <v>9912</v>
      </c>
      <c r="C3614" s="7" t="s">
        <v>12556</v>
      </c>
      <c r="D3614" s="8">
        <f t="shared" si="228"/>
        <v>0</v>
      </c>
      <c r="E3614" s="7" t="s">
        <v>12557</v>
      </c>
      <c r="F3614" s="7">
        <f t="shared" si="229"/>
        <v>1</v>
      </c>
      <c r="G3614" s="7" t="s">
        <v>12558</v>
      </c>
      <c r="H3614" s="7">
        <f t="shared" si="230"/>
        <v>1</v>
      </c>
      <c r="I3614" s="7" t="str" cm="1">
        <f t="array" ref="I3614">IFERROR(_xlfn.IFS(M3614="נח",1,M3614="נע ונח",1,M3614="שני שווא נח",2,M3614="שני שוואים בסוף מילה",2,M3614="שני שוואים ברצף",1),"0")</f>
        <v>0</v>
      </c>
      <c r="J3614" s="9">
        <f t="shared" si="231"/>
        <v>3</v>
      </c>
      <c r="K3614" t="s">
        <v>6697</v>
      </c>
      <c r="L3614" t="s">
        <v>6695</v>
      </c>
      <c r="O3614" t="s">
        <v>6694</v>
      </c>
      <c r="S3614" t="s">
        <v>6694</v>
      </c>
      <c r="U3614" t="s">
        <v>6694</v>
      </c>
      <c r="W3614" t="s">
        <v>6720</v>
      </c>
    </row>
    <row r="3615" spans="1:23" ht="15.6" x14ac:dyDescent="0.4">
      <c r="A3615" s="2" t="s">
        <v>2353</v>
      </c>
      <c r="B3615" s="5" t="s">
        <v>9821</v>
      </c>
      <c r="C3615" s="7" t="s">
        <v>12556</v>
      </c>
      <c r="D3615" s="8">
        <f t="shared" si="228"/>
        <v>0</v>
      </c>
      <c r="E3615" s="7" t="s">
        <v>12557</v>
      </c>
      <c r="F3615" s="7">
        <f t="shared" si="229"/>
        <v>0</v>
      </c>
      <c r="G3615" s="7" t="s">
        <v>12558</v>
      </c>
      <c r="H3615" s="7">
        <f t="shared" si="230"/>
        <v>0</v>
      </c>
      <c r="I3615" s="7" t="str" cm="1">
        <f t="array" ref="I3615">IFERROR(_xlfn.IFS(M3615="נח",1,M3615="נע ונח",1,M3615="שני שווא נח",2,M3615="שני שוואים בסוף מילה",2,M3615="שני שוואים ברצף",1),"0")</f>
        <v>0</v>
      </c>
      <c r="J3615" s="9">
        <f t="shared" si="231"/>
        <v>2</v>
      </c>
      <c r="K3615" t="s">
        <v>6698</v>
      </c>
      <c r="L3615" t="s">
        <v>6695</v>
      </c>
      <c r="O3615" t="s">
        <v>6694</v>
      </c>
      <c r="S3615" t="s">
        <v>6694</v>
      </c>
      <c r="W3615" t="s">
        <v>6720</v>
      </c>
    </row>
    <row r="3616" spans="1:23" ht="15.6" x14ac:dyDescent="0.4">
      <c r="A3616" s="2" t="s">
        <v>5862</v>
      </c>
      <c r="B3616" s="5" t="s">
        <v>9471</v>
      </c>
      <c r="C3616" s="7" t="s">
        <v>12556</v>
      </c>
      <c r="D3616" s="8">
        <f t="shared" si="228"/>
        <v>0</v>
      </c>
      <c r="E3616" s="7" t="s">
        <v>12557</v>
      </c>
      <c r="F3616" s="7">
        <f t="shared" si="229"/>
        <v>0</v>
      </c>
      <c r="G3616" s="7" t="s">
        <v>12558</v>
      </c>
      <c r="H3616" s="7">
        <f t="shared" si="230"/>
        <v>0</v>
      </c>
      <c r="I3616" s="7" t="str" cm="1">
        <f t="array" ref="I3616">IFERROR(_xlfn.IFS(M3616="נח",1,M3616="נע ונח",1,M3616="שני שווא נח",2,M3616="שני שוואים בסוף מילה",2,M3616="שני שוואים ברצף",1),"0")</f>
        <v>0</v>
      </c>
      <c r="J3616" s="9">
        <f t="shared" si="231"/>
        <v>2</v>
      </c>
      <c r="K3616" t="s">
        <v>6698</v>
      </c>
      <c r="L3616" t="s">
        <v>6695</v>
      </c>
      <c r="O3616" t="s">
        <v>6694</v>
      </c>
      <c r="S3616" t="s">
        <v>6694</v>
      </c>
      <c r="W3616" t="s">
        <v>6720</v>
      </c>
    </row>
    <row r="3617" spans="1:23" ht="15.6" x14ac:dyDescent="0.4">
      <c r="A3617" s="2" t="s">
        <v>5399</v>
      </c>
      <c r="B3617" s="5" t="s">
        <v>9913</v>
      </c>
      <c r="C3617" s="7" t="s">
        <v>12556</v>
      </c>
      <c r="D3617" s="8">
        <f t="shared" si="228"/>
        <v>0</v>
      </c>
      <c r="E3617" s="7" t="s">
        <v>12557</v>
      </c>
      <c r="F3617" s="7">
        <f t="shared" si="229"/>
        <v>1</v>
      </c>
      <c r="G3617" s="7" t="s">
        <v>12558</v>
      </c>
      <c r="H3617" s="7">
        <f t="shared" si="230"/>
        <v>1</v>
      </c>
      <c r="I3617" s="7" t="str" cm="1">
        <f t="array" ref="I3617">IFERROR(_xlfn.IFS(M3617="נח",1,M3617="נע ונח",1,M3617="שני שווא נח",2,M3617="שני שוואים בסוף מילה",2,M3617="שני שוואים ברצף",1),"0")</f>
        <v>0</v>
      </c>
      <c r="J3617" s="9">
        <f t="shared" si="231"/>
        <v>3</v>
      </c>
      <c r="K3617" t="s">
        <v>6697</v>
      </c>
      <c r="L3617" t="s">
        <v>6695</v>
      </c>
      <c r="O3617" t="s">
        <v>6694</v>
      </c>
      <c r="S3617" t="s">
        <v>6694</v>
      </c>
      <c r="U3617" t="s">
        <v>6694</v>
      </c>
      <c r="W3617" t="s">
        <v>6720</v>
      </c>
    </row>
    <row r="3618" spans="1:23" ht="15.6" x14ac:dyDescent="0.4">
      <c r="A3618" s="2" t="s">
        <v>4020</v>
      </c>
      <c r="B3618" s="5" t="s">
        <v>9914</v>
      </c>
      <c r="C3618" s="7" t="s">
        <v>12556</v>
      </c>
      <c r="D3618" s="8">
        <f t="shared" si="228"/>
        <v>1</v>
      </c>
      <c r="E3618" s="7" t="s">
        <v>12557</v>
      </c>
      <c r="F3618" s="7">
        <f t="shared" si="229"/>
        <v>0</v>
      </c>
      <c r="G3618" s="7" t="s">
        <v>12558</v>
      </c>
      <c r="H3618" s="7">
        <f t="shared" si="230"/>
        <v>0</v>
      </c>
      <c r="I3618" s="7" t="str" cm="1">
        <f t="array" ref="I3618">IFERROR(_xlfn.IFS(M3618="נח",1,M3618="נע ונח",1,M3618="שני שווא נח",2,M3618="שני שוואים בסוף מילה",2,M3618="שני שוואים ברצף",1),"0")</f>
        <v>0</v>
      </c>
      <c r="J3618" s="9">
        <f t="shared" si="231"/>
        <v>2</v>
      </c>
      <c r="K3618" t="s">
        <v>6698</v>
      </c>
      <c r="L3618" t="s">
        <v>6695</v>
      </c>
      <c r="O3618" t="s">
        <v>6694</v>
      </c>
      <c r="S3618" t="s">
        <v>6694</v>
      </c>
      <c r="W3618" t="s">
        <v>6720</v>
      </c>
    </row>
    <row r="3619" spans="1:23" ht="15.6" x14ac:dyDescent="0.4">
      <c r="A3619" s="2" t="s">
        <v>6585</v>
      </c>
      <c r="B3619" s="5" t="s">
        <v>9915</v>
      </c>
      <c r="C3619" s="7" t="s">
        <v>12556</v>
      </c>
      <c r="D3619" s="8">
        <f t="shared" si="228"/>
        <v>0</v>
      </c>
      <c r="E3619" s="7" t="s">
        <v>12557</v>
      </c>
      <c r="F3619" s="7">
        <f t="shared" si="229"/>
        <v>0</v>
      </c>
      <c r="G3619" s="7" t="s">
        <v>12558</v>
      </c>
      <c r="H3619" s="7">
        <f t="shared" si="230"/>
        <v>0</v>
      </c>
      <c r="I3619" s="7" t="str" cm="1">
        <f t="array" ref="I3619">IFERROR(_xlfn.IFS(M3619="נח",1,M3619="נע ונח",1,M3619="שני שווא נח",2,M3619="שני שוואים בסוף מילה",2,M3619="שני שוואים ברצף",1),"0")</f>
        <v>0</v>
      </c>
      <c r="J3619" s="9">
        <f t="shared" si="231"/>
        <v>2</v>
      </c>
      <c r="K3619" t="s">
        <v>6698</v>
      </c>
      <c r="L3619" t="s">
        <v>6695</v>
      </c>
      <c r="O3619" t="s">
        <v>6694</v>
      </c>
      <c r="S3619" t="s">
        <v>6694</v>
      </c>
      <c r="W3619" t="s">
        <v>6720</v>
      </c>
    </row>
    <row r="3620" spans="1:23" ht="15.6" x14ac:dyDescent="0.4">
      <c r="A3620" s="2" t="s">
        <v>3451</v>
      </c>
      <c r="B3620" s="5" t="s">
        <v>9476</v>
      </c>
      <c r="C3620" s="7" t="s">
        <v>12556</v>
      </c>
      <c r="D3620" s="8">
        <f t="shared" si="228"/>
        <v>0</v>
      </c>
      <c r="E3620" s="7" t="s">
        <v>12557</v>
      </c>
      <c r="F3620" s="7">
        <f t="shared" si="229"/>
        <v>0</v>
      </c>
      <c r="G3620" s="7" t="s">
        <v>12558</v>
      </c>
      <c r="H3620" s="7">
        <f t="shared" si="230"/>
        <v>0</v>
      </c>
      <c r="I3620" s="7" t="str" cm="1">
        <f t="array" ref="I3620">IFERROR(_xlfn.IFS(M3620="נח",1,M3620="נע ונח",1,M3620="שני שווא נח",2,M3620="שני שוואים בסוף מילה",2,M3620="שני שוואים ברצף",1),"0")</f>
        <v>0</v>
      </c>
      <c r="J3620" s="9">
        <f t="shared" si="231"/>
        <v>2</v>
      </c>
      <c r="K3620" t="s">
        <v>6698</v>
      </c>
      <c r="L3620" t="s">
        <v>6695</v>
      </c>
      <c r="O3620" t="s">
        <v>6694</v>
      </c>
      <c r="P3620" t="s">
        <v>6694</v>
      </c>
      <c r="W3620" t="s">
        <v>6720</v>
      </c>
    </row>
    <row r="3621" spans="1:23" ht="15.6" x14ac:dyDescent="0.4">
      <c r="A3621" s="2" t="s">
        <v>2846</v>
      </c>
      <c r="B3621" s="5" t="s">
        <v>9916</v>
      </c>
      <c r="C3621" s="7" t="s">
        <v>12556</v>
      </c>
      <c r="D3621" s="8">
        <f t="shared" si="228"/>
        <v>0</v>
      </c>
      <c r="E3621" s="7" t="s">
        <v>12557</v>
      </c>
      <c r="F3621" s="7">
        <f t="shared" si="229"/>
        <v>0</v>
      </c>
      <c r="G3621" s="7" t="s">
        <v>12558</v>
      </c>
      <c r="H3621" s="7">
        <f t="shared" si="230"/>
        <v>0</v>
      </c>
      <c r="I3621" s="7" t="str" cm="1">
        <f t="array" ref="I3621">IFERROR(_xlfn.IFS(M3621="נח",1,M3621="נע ונח",1,M3621="שני שווא נח",2,M3621="שני שוואים בסוף מילה",2,M3621="שני שוואים ברצף",1),"0")</f>
        <v>0</v>
      </c>
      <c r="J3621" s="9">
        <f t="shared" si="231"/>
        <v>2</v>
      </c>
      <c r="K3621" t="s">
        <v>6698</v>
      </c>
      <c r="L3621" t="s">
        <v>6695</v>
      </c>
      <c r="N3621" t="s">
        <v>6706</v>
      </c>
      <c r="O3621" t="s">
        <v>6694</v>
      </c>
      <c r="W3621" t="s">
        <v>6720</v>
      </c>
    </row>
    <row r="3622" spans="1:23" ht="15.6" x14ac:dyDescent="0.4">
      <c r="A3622" s="2" t="s">
        <v>2160</v>
      </c>
      <c r="B3622" s="5" t="s">
        <v>9917</v>
      </c>
      <c r="C3622" s="7" t="s">
        <v>12556</v>
      </c>
      <c r="D3622" s="8">
        <f t="shared" si="228"/>
        <v>0</v>
      </c>
      <c r="E3622" s="7" t="s">
        <v>12557</v>
      </c>
      <c r="F3622" s="7">
        <f t="shared" si="229"/>
        <v>1</v>
      </c>
      <c r="G3622" s="7" t="s">
        <v>12558</v>
      </c>
      <c r="H3622" s="7">
        <f t="shared" si="230"/>
        <v>1</v>
      </c>
      <c r="I3622" s="7" t="str" cm="1">
        <f t="array" ref="I3622">IFERROR(_xlfn.IFS(M3622="נח",1,M3622="נע ונח",1,M3622="שני שווא נח",2,M3622="שני שוואים בסוף מילה",2,M3622="שני שוואים ברצף",1),"0")</f>
        <v>0</v>
      </c>
      <c r="J3622" s="9">
        <f t="shared" si="231"/>
        <v>2</v>
      </c>
      <c r="K3622" t="s">
        <v>6698</v>
      </c>
      <c r="L3622" t="s">
        <v>6695</v>
      </c>
      <c r="O3622" t="s">
        <v>6694</v>
      </c>
      <c r="U3622" t="s">
        <v>6694</v>
      </c>
      <c r="W3622" t="s">
        <v>6720</v>
      </c>
    </row>
    <row r="3623" spans="1:23" ht="15.6" x14ac:dyDescent="0.4">
      <c r="A3623" s="2" t="s">
        <v>3833</v>
      </c>
      <c r="B3623" s="5" t="s">
        <v>9918</v>
      </c>
      <c r="C3623" s="7" t="s">
        <v>12556</v>
      </c>
      <c r="D3623" s="8">
        <f t="shared" si="228"/>
        <v>0</v>
      </c>
      <c r="E3623" s="7" t="s">
        <v>12557</v>
      </c>
      <c r="F3623" s="7">
        <f t="shared" si="229"/>
        <v>2</v>
      </c>
      <c r="G3623" s="7" t="s">
        <v>12558</v>
      </c>
      <c r="H3623" s="7">
        <f t="shared" si="230"/>
        <v>2</v>
      </c>
      <c r="I3623" s="7" t="str" cm="1">
        <f t="array" ref="I3623">IFERROR(_xlfn.IFS(M3623="נח",1,M3623="נע ונח",1,M3623="שני שווא נח",2,M3623="שני שוואים בסוף מילה",2,M3623="שני שוואים ברצף",1),"0")</f>
        <v>0</v>
      </c>
      <c r="J3623" s="9">
        <f t="shared" si="231"/>
        <v>3</v>
      </c>
      <c r="K3623" t="s">
        <v>6697</v>
      </c>
      <c r="L3623" t="s">
        <v>6695</v>
      </c>
      <c r="O3623" t="s">
        <v>6694</v>
      </c>
      <c r="U3623" t="s">
        <v>6694</v>
      </c>
      <c r="W3623" t="s">
        <v>6720</v>
      </c>
    </row>
    <row r="3624" spans="1:23" ht="15.6" x14ac:dyDescent="0.4">
      <c r="A3624" s="2" t="s">
        <v>5583</v>
      </c>
      <c r="B3624" s="5" t="s">
        <v>9919</v>
      </c>
      <c r="C3624" s="7" t="s">
        <v>12556</v>
      </c>
      <c r="D3624" s="8">
        <f t="shared" si="228"/>
        <v>0</v>
      </c>
      <c r="E3624" s="7" t="s">
        <v>12557</v>
      </c>
      <c r="F3624" s="7">
        <f t="shared" si="229"/>
        <v>0</v>
      </c>
      <c r="G3624" s="7" t="s">
        <v>12558</v>
      </c>
      <c r="H3624" s="7">
        <f t="shared" si="230"/>
        <v>0</v>
      </c>
      <c r="I3624" s="7" t="str" cm="1">
        <f t="array" ref="I3624">IFERROR(_xlfn.IFS(M3624="נח",1,M3624="נע ונח",1,M3624="שני שווא נח",2,M3624="שני שוואים בסוף מילה",2,M3624="שני שוואים ברצף",1),"0")</f>
        <v>0</v>
      </c>
      <c r="J3624" s="9">
        <f t="shared" si="231"/>
        <v>2</v>
      </c>
      <c r="K3624" t="s">
        <v>6697</v>
      </c>
      <c r="L3624" t="s">
        <v>6695</v>
      </c>
      <c r="O3624" t="s">
        <v>6694</v>
      </c>
      <c r="S3624" t="s">
        <v>6694</v>
      </c>
      <c r="W3624" t="s">
        <v>6720</v>
      </c>
    </row>
    <row r="3625" spans="1:23" ht="15.6" x14ac:dyDescent="0.4">
      <c r="A3625" s="2" t="s">
        <v>29</v>
      </c>
      <c r="B3625" s="5" t="s">
        <v>9920</v>
      </c>
      <c r="C3625" s="7" t="s">
        <v>12556</v>
      </c>
      <c r="D3625" s="8">
        <f t="shared" si="228"/>
        <v>0</v>
      </c>
      <c r="E3625" s="7" t="s">
        <v>12557</v>
      </c>
      <c r="F3625" s="7">
        <f t="shared" si="229"/>
        <v>1</v>
      </c>
      <c r="G3625" s="7" t="s">
        <v>12558</v>
      </c>
      <c r="H3625" s="7">
        <f t="shared" si="230"/>
        <v>1</v>
      </c>
      <c r="I3625" s="7" t="str" cm="1">
        <f t="array" ref="I3625">IFERROR(_xlfn.IFS(M3625="נח",1,M3625="נע ונח",1,M3625="שני שווא נח",2,M3625="שני שוואים בסוף מילה",2,M3625="שני שוואים ברצף",1),"0")</f>
        <v>0</v>
      </c>
      <c r="J3625" s="9">
        <f t="shared" si="231"/>
        <v>3</v>
      </c>
      <c r="K3625" t="s">
        <v>6697</v>
      </c>
      <c r="L3625" t="s">
        <v>6695</v>
      </c>
      <c r="O3625" t="s">
        <v>6694</v>
      </c>
      <c r="S3625" t="s">
        <v>6694</v>
      </c>
      <c r="U3625" t="s">
        <v>6694</v>
      </c>
      <c r="W3625" t="s">
        <v>6720</v>
      </c>
    </row>
    <row r="3626" spans="1:23" ht="15.6" x14ac:dyDescent="0.4">
      <c r="A3626" s="2" t="s">
        <v>4317</v>
      </c>
      <c r="B3626" s="5" t="s">
        <v>9921</v>
      </c>
      <c r="C3626" s="7" t="s">
        <v>12556</v>
      </c>
      <c r="D3626" s="8">
        <f t="shared" si="228"/>
        <v>0</v>
      </c>
      <c r="E3626" s="7" t="s">
        <v>12557</v>
      </c>
      <c r="F3626" s="7">
        <f t="shared" si="229"/>
        <v>1</v>
      </c>
      <c r="G3626" s="7" t="s">
        <v>12558</v>
      </c>
      <c r="H3626" s="7">
        <f t="shared" si="230"/>
        <v>1</v>
      </c>
      <c r="I3626" s="7" t="str" cm="1">
        <f t="array" ref="I3626">IFERROR(_xlfn.IFS(M3626="נח",1,M3626="נע ונח",1,M3626="שני שווא נח",2,M3626="שני שוואים בסוף מילה",2,M3626="שני שוואים ברצף",1),"0")</f>
        <v>0</v>
      </c>
      <c r="J3626" s="9">
        <f t="shared" si="231"/>
        <v>2</v>
      </c>
      <c r="K3626" t="s">
        <v>6698</v>
      </c>
      <c r="L3626" t="s">
        <v>6695</v>
      </c>
      <c r="O3626" t="s">
        <v>6694</v>
      </c>
      <c r="U3626" t="s">
        <v>6694</v>
      </c>
      <c r="W3626" t="s">
        <v>6720</v>
      </c>
    </row>
    <row r="3627" spans="1:23" ht="15.6" x14ac:dyDescent="0.4">
      <c r="A3627" s="2" t="s">
        <v>4969</v>
      </c>
      <c r="B3627" s="5" t="s">
        <v>9922</v>
      </c>
      <c r="C3627" s="7" t="s">
        <v>12556</v>
      </c>
      <c r="D3627" s="8">
        <f t="shared" si="228"/>
        <v>0</v>
      </c>
      <c r="E3627" s="7" t="s">
        <v>12557</v>
      </c>
      <c r="F3627" s="7">
        <f t="shared" si="229"/>
        <v>2</v>
      </c>
      <c r="G3627" s="7" t="s">
        <v>12558</v>
      </c>
      <c r="H3627" s="7">
        <f t="shared" si="230"/>
        <v>2</v>
      </c>
      <c r="I3627" s="7" t="str" cm="1">
        <f t="array" ref="I3627">IFERROR(_xlfn.IFS(M3627="נח",1,M3627="נע ונח",1,M3627="שני שווא נח",2,M3627="שני שוואים בסוף מילה",2,M3627="שני שוואים ברצף",1),"0")</f>
        <v>0</v>
      </c>
      <c r="J3627" s="9">
        <f t="shared" si="231"/>
        <v>3</v>
      </c>
      <c r="K3627" t="s">
        <v>6697</v>
      </c>
      <c r="L3627" t="s">
        <v>6695</v>
      </c>
      <c r="O3627" t="s">
        <v>6694</v>
      </c>
      <c r="U3627" t="s">
        <v>6694</v>
      </c>
      <c r="W3627" t="s">
        <v>6720</v>
      </c>
    </row>
    <row r="3628" spans="1:23" ht="15.6" x14ac:dyDescent="0.4">
      <c r="A3628" s="2" t="s">
        <v>2307</v>
      </c>
      <c r="B3628" s="5" t="s">
        <v>9923</v>
      </c>
      <c r="C3628" s="7" t="s">
        <v>12556</v>
      </c>
      <c r="D3628" s="8">
        <f t="shared" si="228"/>
        <v>0</v>
      </c>
      <c r="E3628" s="7" t="s">
        <v>12557</v>
      </c>
      <c r="F3628" s="7">
        <f t="shared" si="229"/>
        <v>0</v>
      </c>
      <c r="G3628" s="7" t="s">
        <v>12558</v>
      </c>
      <c r="H3628" s="7">
        <f t="shared" si="230"/>
        <v>0</v>
      </c>
      <c r="I3628" s="7" cm="1">
        <f t="array" ref="I3628">IFERROR(_xlfn.IFS(M3628="נח",1,M3628="נע ונח",1,M3628="שני שווא נח",2,M3628="שני שוואים בסוף מילה",2,M3628="שני שוואים ברצף",1),"0")</f>
        <v>1</v>
      </c>
      <c r="J3628" s="9">
        <f t="shared" si="231"/>
        <v>2</v>
      </c>
      <c r="K3628" t="s">
        <v>6698</v>
      </c>
      <c r="L3628" t="s">
        <v>6694</v>
      </c>
      <c r="M3628" t="s">
        <v>6705</v>
      </c>
      <c r="O3628" t="s">
        <v>6694</v>
      </c>
      <c r="R3628" t="s">
        <v>6694</v>
      </c>
      <c r="W3628" t="s">
        <v>6720</v>
      </c>
    </row>
    <row r="3629" spans="1:23" ht="15.6" x14ac:dyDescent="0.4">
      <c r="A3629" s="2" t="s">
        <v>634</v>
      </c>
      <c r="B3629" s="5" t="s">
        <v>9924</v>
      </c>
      <c r="C3629" s="7" t="s">
        <v>12556</v>
      </c>
      <c r="D3629" s="8">
        <f t="shared" si="228"/>
        <v>0</v>
      </c>
      <c r="E3629" s="7" t="s">
        <v>12557</v>
      </c>
      <c r="F3629" s="7">
        <f t="shared" si="229"/>
        <v>0</v>
      </c>
      <c r="G3629" s="7" t="s">
        <v>12558</v>
      </c>
      <c r="H3629" s="7">
        <f t="shared" si="230"/>
        <v>0</v>
      </c>
      <c r="I3629" s="7" t="str" cm="1">
        <f t="array" ref="I3629">IFERROR(_xlfn.IFS(M3629="נח",1,M3629="נע ונח",1,M3629="שני שווא נח",2,M3629="שני שוואים בסוף מילה",2,M3629="שני שוואים ברצף",1),"0")</f>
        <v>0</v>
      </c>
      <c r="J3629" s="9">
        <f t="shared" si="231"/>
        <v>2</v>
      </c>
      <c r="K3629" t="s">
        <v>6698</v>
      </c>
      <c r="L3629" t="s">
        <v>6695</v>
      </c>
      <c r="O3629" t="s">
        <v>6694</v>
      </c>
      <c r="P3629" t="s">
        <v>6694</v>
      </c>
      <c r="W3629" t="s">
        <v>6720</v>
      </c>
    </row>
    <row r="3630" spans="1:23" ht="15.6" x14ac:dyDescent="0.4">
      <c r="A3630" s="2" t="s">
        <v>653</v>
      </c>
      <c r="B3630" s="5" t="s">
        <v>9644</v>
      </c>
      <c r="C3630" s="7" t="s">
        <v>12556</v>
      </c>
      <c r="D3630" s="8">
        <f t="shared" si="228"/>
        <v>0</v>
      </c>
      <c r="E3630" s="7" t="s">
        <v>12557</v>
      </c>
      <c r="F3630" s="7">
        <f t="shared" si="229"/>
        <v>1</v>
      </c>
      <c r="G3630" s="7" t="s">
        <v>12558</v>
      </c>
      <c r="H3630" s="7">
        <f t="shared" si="230"/>
        <v>0</v>
      </c>
      <c r="I3630" s="7" cm="1">
        <f t="array" ref="I3630">IFERROR(_xlfn.IFS(M3630="נח",1,M3630="נע ונח",1,M3630="שני שווא נח",2,M3630="שני שוואים בסוף מילה",2,M3630="שני שוואים ברצף",1),"0")</f>
        <v>1</v>
      </c>
      <c r="J3630" s="9">
        <f t="shared" si="231"/>
        <v>3</v>
      </c>
      <c r="K3630" t="s">
        <v>6698</v>
      </c>
      <c r="L3630" t="s">
        <v>6694</v>
      </c>
      <c r="M3630" t="s">
        <v>6705</v>
      </c>
      <c r="O3630" t="s">
        <v>6694</v>
      </c>
      <c r="P3630" t="s">
        <v>6694</v>
      </c>
      <c r="W3630" t="s">
        <v>6720</v>
      </c>
    </row>
    <row r="3631" spans="1:23" ht="15.6" x14ac:dyDescent="0.4">
      <c r="A3631" s="2" t="s">
        <v>2793</v>
      </c>
      <c r="B3631" s="5" t="s">
        <v>9925</v>
      </c>
      <c r="C3631" s="7" t="s">
        <v>12556</v>
      </c>
      <c r="D3631" s="8">
        <f t="shared" si="228"/>
        <v>0</v>
      </c>
      <c r="E3631" s="7" t="s">
        <v>12557</v>
      </c>
      <c r="F3631" s="7">
        <f t="shared" si="229"/>
        <v>1</v>
      </c>
      <c r="G3631" s="7" t="s">
        <v>12558</v>
      </c>
      <c r="H3631" s="7">
        <f t="shared" si="230"/>
        <v>1</v>
      </c>
      <c r="I3631" s="7" t="str" cm="1">
        <f t="array" ref="I3631">IFERROR(_xlfn.IFS(M3631="נח",1,M3631="נע ונח",1,M3631="שני שווא נח",2,M3631="שני שוואים בסוף מילה",2,M3631="שני שוואים ברצף",1),"0")</f>
        <v>0</v>
      </c>
      <c r="J3631" s="9">
        <f t="shared" si="231"/>
        <v>2</v>
      </c>
      <c r="K3631" t="s">
        <v>6698</v>
      </c>
      <c r="L3631" t="s">
        <v>6695</v>
      </c>
      <c r="O3631" t="s">
        <v>6694</v>
      </c>
      <c r="U3631" t="s">
        <v>6694</v>
      </c>
      <c r="W3631" t="s">
        <v>6720</v>
      </c>
    </row>
    <row r="3632" spans="1:23" ht="15.6" x14ac:dyDescent="0.4">
      <c r="A3632" s="2" t="s">
        <v>4300</v>
      </c>
      <c r="B3632" s="5" t="s">
        <v>9926</v>
      </c>
      <c r="C3632" s="7" t="s">
        <v>12556</v>
      </c>
      <c r="D3632" s="8">
        <f t="shared" si="228"/>
        <v>0</v>
      </c>
      <c r="E3632" s="7" t="s">
        <v>12557</v>
      </c>
      <c r="F3632" s="7">
        <f t="shared" si="229"/>
        <v>1</v>
      </c>
      <c r="G3632" s="7" t="s">
        <v>12558</v>
      </c>
      <c r="H3632" s="7">
        <f t="shared" si="230"/>
        <v>1</v>
      </c>
      <c r="I3632" s="7" t="str" cm="1">
        <f t="array" ref="I3632">IFERROR(_xlfn.IFS(M3632="נח",1,M3632="נע ונח",1,M3632="שני שווא נח",2,M3632="שני שוואים בסוף מילה",2,M3632="שני שוואים ברצף",1),"0")</f>
        <v>0</v>
      </c>
      <c r="J3632" s="9">
        <f t="shared" si="231"/>
        <v>3</v>
      </c>
      <c r="K3632" t="s">
        <v>6697</v>
      </c>
      <c r="L3632" t="s">
        <v>6695</v>
      </c>
      <c r="O3632" t="s">
        <v>6694</v>
      </c>
      <c r="P3632" t="s">
        <v>6694</v>
      </c>
      <c r="U3632" t="s">
        <v>6694</v>
      </c>
      <c r="W3632" t="s">
        <v>6720</v>
      </c>
    </row>
    <row r="3633" spans="1:23" ht="15.6" x14ac:dyDescent="0.4">
      <c r="A3633" s="2" t="s">
        <v>5309</v>
      </c>
      <c r="B3633" s="5" t="s">
        <v>9927</v>
      </c>
      <c r="C3633" s="7" t="s">
        <v>12556</v>
      </c>
      <c r="D3633" s="8">
        <f t="shared" si="228"/>
        <v>0</v>
      </c>
      <c r="E3633" s="7" t="s">
        <v>12557</v>
      </c>
      <c r="F3633" s="7">
        <f t="shared" si="229"/>
        <v>0</v>
      </c>
      <c r="G3633" s="7" t="s">
        <v>12558</v>
      </c>
      <c r="H3633" s="7">
        <f t="shared" si="230"/>
        <v>0</v>
      </c>
      <c r="I3633" s="7" t="str" cm="1">
        <f t="array" ref="I3633">IFERROR(_xlfn.IFS(M3633="נח",1,M3633="נע ונח",1,M3633="שני שווא נח",2,M3633="שני שוואים בסוף מילה",2,M3633="שני שוואים ברצף",1),"0")</f>
        <v>0</v>
      </c>
      <c r="J3633" s="9">
        <f t="shared" si="231"/>
        <v>2</v>
      </c>
      <c r="K3633" t="s">
        <v>6698</v>
      </c>
      <c r="L3633" t="s">
        <v>6695</v>
      </c>
      <c r="O3633" t="s">
        <v>6694</v>
      </c>
      <c r="P3633" t="s">
        <v>6694</v>
      </c>
      <c r="W3633" t="s">
        <v>6720</v>
      </c>
    </row>
    <row r="3634" spans="1:23" ht="15.6" x14ac:dyDescent="0.4">
      <c r="A3634" s="2" t="s">
        <v>2437</v>
      </c>
      <c r="B3634" s="5" t="s">
        <v>9928</v>
      </c>
      <c r="C3634" s="7" t="s">
        <v>12556</v>
      </c>
      <c r="D3634" s="8">
        <f t="shared" si="228"/>
        <v>0</v>
      </c>
      <c r="E3634" s="7" t="s">
        <v>12557</v>
      </c>
      <c r="F3634" s="7">
        <f t="shared" si="229"/>
        <v>0</v>
      </c>
      <c r="G3634" s="7" t="s">
        <v>12558</v>
      </c>
      <c r="H3634" s="7">
        <f t="shared" si="230"/>
        <v>0</v>
      </c>
      <c r="I3634" s="7" t="str" cm="1">
        <f t="array" ref="I3634">IFERROR(_xlfn.IFS(M3634="נח",1,M3634="נע ונח",1,M3634="שני שווא נח",2,M3634="שני שוואים בסוף מילה",2,M3634="שני שוואים ברצף",1),"0")</f>
        <v>0</v>
      </c>
      <c r="J3634" s="9">
        <f t="shared" si="231"/>
        <v>2</v>
      </c>
      <c r="K3634" t="s">
        <v>6698</v>
      </c>
      <c r="L3634" t="s">
        <v>6695</v>
      </c>
      <c r="O3634" t="s">
        <v>6694</v>
      </c>
      <c r="V3634" t="s">
        <v>6694</v>
      </c>
      <c r="W3634" t="s">
        <v>6720</v>
      </c>
    </row>
    <row r="3635" spans="1:23" ht="15.6" x14ac:dyDescent="0.4">
      <c r="A3635" s="2" t="s">
        <v>2317</v>
      </c>
      <c r="B3635" s="5" t="s">
        <v>9929</v>
      </c>
      <c r="C3635" s="7" t="s">
        <v>12556</v>
      </c>
      <c r="D3635" s="8">
        <f t="shared" si="228"/>
        <v>0</v>
      </c>
      <c r="E3635" s="7" t="s">
        <v>12557</v>
      </c>
      <c r="F3635" s="7">
        <f t="shared" si="229"/>
        <v>1</v>
      </c>
      <c r="G3635" s="7" t="s">
        <v>12558</v>
      </c>
      <c r="H3635" s="7">
        <f t="shared" si="230"/>
        <v>1</v>
      </c>
      <c r="I3635" s="7" t="str" cm="1">
        <f t="array" ref="I3635">IFERROR(_xlfn.IFS(M3635="נח",1,M3635="נע ונח",1,M3635="שני שווא נח",2,M3635="שני שוואים בסוף מילה",2,M3635="שני שוואים ברצף",1),"0")</f>
        <v>0</v>
      </c>
      <c r="J3635" s="9">
        <f t="shared" si="231"/>
        <v>2</v>
      </c>
      <c r="K3635" t="s">
        <v>6698</v>
      </c>
      <c r="L3635" t="s">
        <v>6695</v>
      </c>
      <c r="O3635" t="s">
        <v>6694</v>
      </c>
      <c r="U3635" t="s">
        <v>6694</v>
      </c>
      <c r="W3635" t="s">
        <v>6720</v>
      </c>
    </row>
    <row r="3636" spans="1:23" ht="15.6" x14ac:dyDescent="0.4">
      <c r="A3636" s="2" t="s">
        <v>3727</v>
      </c>
      <c r="B3636" s="5" t="s">
        <v>9930</v>
      </c>
      <c r="C3636" s="7" t="s">
        <v>12556</v>
      </c>
      <c r="D3636" s="8">
        <f t="shared" si="228"/>
        <v>0</v>
      </c>
      <c r="E3636" s="7" t="s">
        <v>12557</v>
      </c>
      <c r="F3636" s="7">
        <f t="shared" si="229"/>
        <v>0</v>
      </c>
      <c r="G3636" s="7" t="s">
        <v>12558</v>
      </c>
      <c r="H3636" s="7">
        <f t="shared" si="230"/>
        <v>0</v>
      </c>
      <c r="I3636" s="7" cm="1">
        <f t="array" ref="I3636">IFERROR(_xlfn.IFS(M3636="נח",1,M3636="נע ונח",1,M3636="שני שווא נח",2,M3636="שני שוואים בסוף מילה",2,M3636="שני שוואים ברצף",1),"0")</f>
        <v>2</v>
      </c>
      <c r="J3636" s="9">
        <f t="shared" si="231"/>
        <v>2</v>
      </c>
      <c r="K3636" t="s">
        <v>6698</v>
      </c>
      <c r="L3636" t="s">
        <v>6694</v>
      </c>
      <c r="M3636" t="s">
        <v>6704</v>
      </c>
      <c r="N3636" t="s">
        <v>6706</v>
      </c>
      <c r="O3636" t="s">
        <v>6694</v>
      </c>
      <c r="Q3636" t="s">
        <v>6694</v>
      </c>
      <c r="W3636" t="s">
        <v>6720</v>
      </c>
    </row>
    <row r="3637" spans="1:23" ht="15.6" x14ac:dyDescent="0.4">
      <c r="A3637" s="2" t="s">
        <v>3683</v>
      </c>
      <c r="B3637" s="5" t="s">
        <v>9931</v>
      </c>
      <c r="C3637" s="7" t="s">
        <v>12556</v>
      </c>
      <c r="D3637" s="8">
        <f t="shared" si="228"/>
        <v>0</v>
      </c>
      <c r="E3637" s="7" t="s">
        <v>12557</v>
      </c>
      <c r="F3637" s="7">
        <f t="shared" si="229"/>
        <v>0</v>
      </c>
      <c r="G3637" s="7" t="s">
        <v>12558</v>
      </c>
      <c r="H3637" s="7">
        <f t="shared" si="230"/>
        <v>0</v>
      </c>
      <c r="I3637" s="7" cm="1">
        <f t="array" ref="I3637">IFERROR(_xlfn.IFS(M3637="נח",1,M3637="נע ונח",1,M3637="שני שווא נח",2,M3637="שני שוואים בסוף מילה",2,M3637="שני שוואים ברצף",1),"0")</f>
        <v>1</v>
      </c>
      <c r="J3637" s="9">
        <f t="shared" si="231"/>
        <v>4</v>
      </c>
      <c r="K3637" t="s">
        <v>6698</v>
      </c>
      <c r="L3637" t="s">
        <v>6694</v>
      </c>
      <c r="M3637" t="s">
        <v>6705</v>
      </c>
      <c r="N3637" t="s">
        <v>6706</v>
      </c>
      <c r="O3637" t="s">
        <v>6694</v>
      </c>
      <c r="S3637" t="s">
        <v>6694</v>
      </c>
      <c r="W3637" t="s">
        <v>6720</v>
      </c>
    </row>
    <row r="3638" spans="1:23" ht="15.6" x14ac:dyDescent="0.4">
      <c r="A3638" s="2" t="s">
        <v>1829</v>
      </c>
      <c r="B3638" s="5" t="s">
        <v>9932</v>
      </c>
      <c r="C3638" s="7" t="s">
        <v>12556</v>
      </c>
      <c r="D3638" s="8">
        <f t="shared" si="228"/>
        <v>0</v>
      </c>
      <c r="E3638" s="7" t="s">
        <v>12557</v>
      </c>
      <c r="F3638" s="7">
        <f t="shared" si="229"/>
        <v>0</v>
      </c>
      <c r="G3638" s="7" t="s">
        <v>12558</v>
      </c>
      <c r="H3638" s="7">
        <f t="shared" si="230"/>
        <v>0</v>
      </c>
      <c r="I3638" s="7" t="str" cm="1">
        <f t="array" ref="I3638">IFERROR(_xlfn.IFS(M3638="נח",1,M3638="נע ונח",1,M3638="שני שווא נח",2,M3638="שני שוואים בסוף מילה",2,M3638="שני שוואים ברצף",1),"0")</f>
        <v>0</v>
      </c>
      <c r="J3638" s="9">
        <f t="shared" si="231"/>
        <v>3</v>
      </c>
      <c r="K3638" t="s">
        <v>6697</v>
      </c>
      <c r="L3638" t="s">
        <v>6695</v>
      </c>
      <c r="N3638" t="s">
        <v>6707</v>
      </c>
      <c r="O3638" t="s">
        <v>6694</v>
      </c>
      <c r="P3638" t="s">
        <v>6694</v>
      </c>
      <c r="S3638" t="s">
        <v>6694</v>
      </c>
      <c r="W3638" t="s">
        <v>6720</v>
      </c>
    </row>
    <row r="3639" spans="1:23" ht="15.6" x14ac:dyDescent="0.4">
      <c r="A3639" s="2" t="s">
        <v>4465</v>
      </c>
      <c r="B3639" s="5" t="s">
        <v>9933</v>
      </c>
      <c r="C3639" s="7" t="s">
        <v>12556</v>
      </c>
      <c r="D3639" s="8">
        <f t="shared" si="228"/>
        <v>0</v>
      </c>
      <c r="E3639" s="7" t="s">
        <v>12557</v>
      </c>
      <c r="F3639" s="7">
        <f t="shared" si="229"/>
        <v>2</v>
      </c>
      <c r="G3639" s="7" t="s">
        <v>12558</v>
      </c>
      <c r="H3639" s="7">
        <f t="shared" si="230"/>
        <v>2</v>
      </c>
      <c r="I3639" s="7" t="str" cm="1">
        <f t="array" ref="I3639">IFERROR(_xlfn.IFS(M3639="נח",1,M3639="נע ונח",1,M3639="שני שווא נח",2,M3639="שני שוואים בסוף מילה",2,M3639="שני שוואים ברצף",1),"0")</f>
        <v>0</v>
      </c>
      <c r="J3639" s="9">
        <f t="shared" si="231"/>
        <v>3</v>
      </c>
      <c r="K3639" t="s">
        <v>6697</v>
      </c>
      <c r="L3639" t="s">
        <v>6695</v>
      </c>
      <c r="O3639" t="s">
        <v>6694</v>
      </c>
      <c r="U3639" t="s">
        <v>6694</v>
      </c>
      <c r="W3639" t="s">
        <v>6720</v>
      </c>
    </row>
    <row r="3640" spans="1:23" ht="15.6" x14ac:dyDescent="0.4">
      <c r="A3640" s="2" t="s">
        <v>6282</v>
      </c>
      <c r="B3640" s="5" t="s">
        <v>9934</v>
      </c>
      <c r="C3640" s="7" t="s">
        <v>12556</v>
      </c>
      <c r="D3640" s="8">
        <f t="shared" si="228"/>
        <v>0</v>
      </c>
      <c r="E3640" s="7" t="s">
        <v>12557</v>
      </c>
      <c r="F3640" s="7">
        <f t="shared" si="229"/>
        <v>0</v>
      </c>
      <c r="G3640" s="7" t="s">
        <v>12558</v>
      </c>
      <c r="H3640" s="7">
        <f t="shared" si="230"/>
        <v>0</v>
      </c>
      <c r="I3640" s="7" t="str" cm="1">
        <f t="array" ref="I3640">IFERROR(_xlfn.IFS(M3640="נח",1,M3640="נע ונח",1,M3640="שני שווא נח",2,M3640="שני שוואים בסוף מילה",2,M3640="שני שוואים ברצף",1),"0")</f>
        <v>0</v>
      </c>
      <c r="J3640" s="9">
        <f t="shared" si="231"/>
        <v>2</v>
      </c>
      <c r="K3640" t="s">
        <v>6698</v>
      </c>
      <c r="L3640" t="s">
        <v>6695</v>
      </c>
      <c r="O3640" t="s">
        <v>6694</v>
      </c>
      <c r="S3640" t="s">
        <v>6694</v>
      </c>
      <c r="W3640" t="s">
        <v>6720</v>
      </c>
    </row>
    <row r="3641" spans="1:23" ht="15.6" x14ac:dyDescent="0.4">
      <c r="A3641" s="2" t="s">
        <v>746</v>
      </c>
      <c r="B3641" s="5" t="s">
        <v>9935</v>
      </c>
      <c r="C3641" s="7" t="s">
        <v>12556</v>
      </c>
      <c r="D3641" s="8">
        <f t="shared" si="228"/>
        <v>0</v>
      </c>
      <c r="E3641" s="7" t="s">
        <v>12557</v>
      </c>
      <c r="F3641" s="7">
        <f t="shared" si="229"/>
        <v>1</v>
      </c>
      <c r="G3641" s="7" t="s">
        <v>12558</v>
      </c>
      <c r="H3641" s="7">
        <f t="shared" si="230"/>
        <v>0</v>
      </c>
      <c r="I3641" s="7" cm="1">
        <f t="array" ref="I3641">IFERROR(_xlfn.IFS(M3641="נח",1,M3641="נע ונח",1,M3641="שני שווא נח",2,M3641="שני שוואים בסוף מילה",2,M3641="שני שוואים ברצף",1),"0")</f>
        <v>1</v>
      </c>
      <c r="J3641" s="9">
        <f t="shared" si="231"/>
        <v>3</v>
      </c>
      <c r="K3641" t="s">
        <v>6698</v>
      </c>
      <c r="L3641" t="s">
        <v>6694</v>
      </c>
      <c r="M3641" t="s">
        <v>6705</v>
      </c>
      <c r="O3641" t="s">
        <v>6694</v>
      </c>
      <c r="P3641" t="s">
        <v>6694</v>
      </c>
      <c r="W3641" t="s">
        <v>6720</v>
      </c>
    </row>
    <row r="3642" spans="1:23" ht="15.6" x14ac:dyDescent="0.4">
      <c r="A3642" s="2" t="s">
        <v>3258</v>
      </c>
      <c r="B3642" s="5" t="s">
        <v>9760</v>
      </c>
      <c r="C3642" s="7" t="s">
        <v>12556</v>
      </c>
      <c r="D3642" s="8">
        <f t="shared" si="228"/>
        <v>0</v>
      </c>
      <c r="E3642" s="7" t="s">
        <v>12557</v>
      </c>
      <c r="F3642" s="7">
        <f t="shared" si="229"/>
        <v>0</v>
      </c>
      <c r="G3642" s="7" t="s">
        <v>12558</v>
      </c>
      <c r="H3642" s="7">
        <f t="shared" si="230"/>
        <v>0</v>
      </c>
      <c r="I3642" s="7" t="str" cm="1">
        <f t="array" ref="I3642">IFERROR(_xlfn.IFS(M3642="נח",1,M3642="נע ונח",1,M3642="שני שווא נח",2,M3642="שני שוואים בסוף מילה",2,M3642="שני שוואים ברצף",1),"0")</f>
        <v>0</v>
      </c>
      <c r="J3642" s="9">
        <f t="shared" si="231"/>
        <v>2</v>
      </c>
      <c r="K3642" t="s">
        <v>6697</v>
      </c>
      <c r="L3642" t="s">
        <v>6695</v>
      </c>
      <c r="O3642" t="s">
        <v>6694</v>
      </c>
      <c r="W3642" t="s">
        <v>6720</v>
      </c>
    </row>
    <row r="3643" spans="1:23" ht="15.6" x14ac:dyDescent="0.4">
      <c r="A3643" s="2" t="s">
        <v>6299</v>
      </c>
      <c r="B3643" s="5" t="s">
        <v>9936</v>
      </c>
      <c r="C3643" s="7" t="s">
        <v>12556</v>
      </c>
      <c r="D3643" s="8">
        <f t="shared" si="228"/>
        <v>0</v>
      </c>
      <c r="E3643" s="7" t="s">
        <v>12557</v>
      </c>
      <c r="F3643" s="7">
        <f t="shared" si="229"/>
        <v>1</v>
      </c>
      <c r="G3643" s="7" t="s">
        <v>12558</v>
      </c>
      <c r="H3643" s="7">
        <f t="shared" si="230"/>
        <v>1</v>
      </c>
      <c r="I3643" s="7" t="str" cm="1">
        <f t="array" ref="I3643">IFERROR(_xlfn.IFS(M3643="נח",1,M3643="נע ונח",1,M3643="שני שווא נח",2,M3643="שני שוואים בסוף מילה",2,M3643="שני שוואים ברצף",1),"0")</f>
        <v>0</v>
      </c>
      <c r="J3643" s="9">
        <f t="shared" si="231"/>
        <v>3</v>
      </c>
      <c r="K3643" t="s">
        <v>6697</v>
      </c>
      <c r="L3643" t="s">
        <v>6695</v>
      </c>
      <c r="O3643" t="s">
        <v>6694</v>
      </c>
      <c r="U3643" t="s">
        <v>6694</v>
      </c>
      <c r="W3643" t="s">
        <v>6720</v>
      </c>
    </row>
    <row r="3644" spans="1:23" ht="15.6" x14ac:dyDescent="0.4">
      <c r="A3644" s="2" t="s">
        <v>2172</v>
      </c>
      <c r="B3644" s="5" t="s">
        <v>9937</v>
      </c>
      <c r="C3644" s="7" t="s">
        <v>12556</v>
      </c>
      <c r="D3644" s="8">
        <f t="shared" si="228"/>
        <v>0</v>
      </c>
      <c r="E3644" s="7" t="s">
        <v>12557</v>
      </c>
      <c r="F3644" s="7">
        <f t="shared" si="229"/>
        <v>1</v>
      </c>
      <c r="G3644" s="7" t="s">
        <v>12558</v>
      </c>
      <c r="H3644" s="7">
        <f t="shared" si="230"/>
        <v>1</v>
      </c>
      <c r="I3644" s="7" t="str" cm="1">
        <f t="array" ref="I3644">IFERROR(_xlfn.IFS(M3644="נח",1,M3644="נע ונח",1,M3644="שני שווא נח",2,M3644="שני שוואים בסוף מילה",2,M3644="שני שוואים ברצף",1),"0")</f>
        <v>0</v>
      </c>
      <c r="J3644" s="9">
        <f t="shared" si="231"/>
        <v>2</v>
      </c>
      <c r="K3644" t="s">
        <v>6698</v>
      </c>
      <c r="L3644" t="s">
        <v>6695</v>
      </c>
      <c r="O3644" t="s">
        <v>6694</v>
      </c>
      <c r="U3644" t="s">
        <v>6694</v>
      </c>
      <c r="W3644" t="s">
        <v>6720</v>
      </c>
    </row>
    <row r="3645" spans="1:23" ht="15.6" x14ac:dyDescent="0.4">
      <c r="A3645" s="2" t="s">
        <v>5595</v>
      </c>
      <c r="B3645" s="5" t="s">
        <v>9938</v>
      </c>
      <c r="C3645" s="7" t="s">
        <v>12556</v>
      </c>
      <c r="D3645" s="8">
        <f t="shared" si="228"/>
        <v>1</v>
      </c>
      <c r="E3645" s="7" t="s">
        <v>12557</v>
      </c>
      <c r="F3645" s="7">
        <f t="shared" si="229"/>
        <v>1</v>
      </c>
      <c r="G3645" s="7" t="s">
        <v>12558</v>
      </c>
      <c r="H3645" s="7">
        <f t="shared" si="230"/>
        <v>1</v>
      </c>
      <c r="I3645" s="7" cm="1">
        <f t="array" ref="I3645">IFERROR(_xlfn.IFS(M3645="נח",1,M3645="נע ונח",1,M3645="שני שווא נח",2,M3645="שני שוואים בסוף מילה",2,M3645="שני שוואים ברצף",1),"0")</f>
        <v>1</v>
      </c>
      <c r="J3645" s="9">
        <f t="shared" si="231"/>
        <v>2</v>
      </c>
      <c r="K3645" t="s">
        <v>6697</v>
      </c>
      <c r="L3645" t="s">
        <v>6694</v>
      </c>
      <c r="M3645" t="s">
        <v>6705</v>
      </c>
      <c r="N3645" t="s">
        <v>6706</v>
      </c>
      <c r="O3645" t="s">
        <v>6694</v>
      </c>
      <c r="U3645" t="s">
        <v>6694</v>
      </c>
      <c r="W3645" t="s">
        <v>6720</v>
      </c>
    </row>
    <row r="3646" spans="1:23" ht="15.6" x14ac:dyDescent="0.4">
      <c r="A3646" s="2" t="s">
        <v>1588</v>
      </c>
      <c r="B3646" s="5" t="s">
        <v>9939</v>
      </c>
      <c r="C3646" s="7" t="s">
        <v>12556</v>
      </c>
      <c r="D3646" s="8">
        <f t="shared" si="228"/>
        <v>0</v>
      </c>
      <c r="E3646" s="7" t="s">
        <v>12557</v>
      </c>
      <c r="F3646" s="7">
        <f t="shared" si="229"/>
        <v>0</v>
      </c>
      <c r="G3646" s="7" t="s">
        <v>12558</v>
      </c>
      <c r="H3646" s="7">
        <f t="shared" si="230"/>
        <v>0</v>
      </c>
      <c r="I3646" s="7" t="str" cm="1">
        <f t="array" ref="I3646">IFERROR(_xlfn.IFS(M3646="נח",1,M3646="נע ונח",1,M3646="שני שווא נח",2,M3646="שני שוואים בסוף מילה",2,M3646="שני שוואים ברצף",1),"0")</f>
        <v>0</v>
      </c>
      <c r="J3646" s="9">
        <f t="shared" si="231"/>
        <v>2</v>
      </c>
      <c r="K3646" t="s">
        <v>6698</v>
      </c>
      <c r="L3646" t="s">
        <v>6695</v>
      </c>
      <c r="O3646" t="s">
        <v>6694</v>
      </c>
      <c r="Q3646" t="s">
        <v>6694</v>
      </c>
      <c r="W3646" t="s">
        <v>6720</v>
      </c>
    </row>
    <row r="3647" spans="1:23" ht="15.6" x14ac:dyDescent="0.4">
      <c r="A3647" s="2" t="s">
        <v>373</v>
      </c>
      <c r="B3647" s="5" t="s">
        <v>9940</v>
      </c>
      <c r="C3647" s="7" t="s">
        <v>12556</v>
      </c>
      <c r="D3647" s="8">
        <f t="shared" si="228"/>
        <v>0</v>
      </c>
      <c r="E3647" s="7" t="s">
        <v>12557</v>
      </c>
      <c r="F3647" s="7">
        <f t="shared" si="229"/>
        <v>0</v>
      </c>
      <c r="G3647" s="7" t="s">
        <v>12558</v>
      </c>
      <c r="H3647" s="7">
        <f t="shared" si="230"/>
        <v>0</v>
      </c>
      <c r="I3647" s="7" t="str" cm="1">
        <f t="array" ref="I3647">IFERROR(_xlfn.IFS(M3647="נח",1,M3647="נע ונח",1,M3647="שני שווא נח",2,M3647="שני שוואים בסוף מילה",2,M3647="שני שוואים ברצף",1),"0")</f>
        <v>0</v>
      </c>
      <c r="J3647" s="9">
        <f t="shared" si="231"/>
        <v>2</v>
      </c>
      <c r="K3647" t="s">
        <v>6698</v>
      </c>
      <c r="L3647" t="s">
        <v>6695</v>
      </c>
      <c r="N3647" t="s">
        <v>6706</v>
      </c>
      <c r="O3647" t="s">
        <v>6694</v>
      </c>
      <c r="W3647" t="s">
        <v>6720</v>
      </c>
    </row>
    <row r="3648" spans="1:23" ht="15.6" x14ac:dyDescent="0.4">
      <c r="A3648" s="2" t="s">
        <v>192</v>
      </c>
      <c r="B3648" s="5" t="s">
        <v>9941</v>
      </c>
      <c r="C3648" s="7" t="s">
        <v>12556</v>
      </c>
      <c r="D3648" s="8">
        <f t="shared" si="228"/>
        <v>0</v>
      </c>
      <c r="E3648" s="7" t="s">
        <v>12557</v>
      </c>
      <c r="F3648" s="7">
        <f t="shared" si="229"/>
        <v>1</v>
      </c>
      <c r="G3648" s="7" t="s">
        <v>12558</v>
      </c>
      <c r="H3648" s="7">
        <f t="shared" si="230"/>
        <v>1</v>
      </c>
      <c r="I3648" s="7" t="str" cm="1">
        <f t="array" ref="I3648">IFERROR(_xlfn.IFS(M3648="נח",1,M3648="נע ונח",1,M3648="שני שווא נח",2,M3648="שני שוואים בסוף מילה",2,M3648="שני שוואים ברצף",1),"0")</f>
        <v>0</v>
      </c>
      <c r="J3648" s="9">
        <f t="shared" si="231"/>
        <v>3</v>
      </c>
      <c r="K3648" t="s">
        <v>6697</v>
      </c>
      <c r="L3648" t="s">
        <v>6695</v>
      </c>
      <c r="O3648" t="s">
        <v>6694</v>
      </c>
      <c r="T3648" t="s">
        <v>6694</v>
      </c>
      <c r="U3648" t="s">
        <v>6694</v>
      </c>
      <c r="W3648" t="s">
        <v>6720</v>
      </c>
    </row>
    <row r="3649" spans="1:23" ht="15.6" x14ac:dyDescent="0.4">
      <c r="A3649" s="2" t="s">
        <v>120</v>
      </c>
      <c r="B3649" s="5" t="s">
        <v>9942</v>
      </c>
      <c r="C3649" s="7" t="s">
        <v>12556</v>
      </c>
      <c r="D3649" s="8">
        <f t="shared" si="228"/>
        <v>0</v>
      </c>
      <c r="E3649" s="7" t="s">
        <v>12557</v>
      </c>
      <c r="F3649" s="7">
        <f t="shared" si="229"/>
        <v>1</v>
      </c>
      <c r="G3649" s="7" t="s">
        <v>12558</v>
      </c>
      <c r="H3649" s="7">
        <f t="shared" si="230"/>
        <v>1</v>
      </c>
      <c r="I3649" s="7" t="str" cm="1">
        <f t="array" ref="I3649">IFERROR(_xlfn.IFS(M3649="נח",1,M3649="נע ונח",1,M3649="שני שווא נח",2,M3649="שני שוואים בסוף מילה",2,M3649="שני שוואים ברצף",1),"0")</f>
        <v>0</v>
      </c>
      <c r="J3649" s="9">
        <f t="shared" si="231"/>
        <v>2</v>
      </c>
      <c r="K3649" t="s">
        <v>6698</v>
      </c>
      <c r="L3649" t="s">
        <v>6695</v>
      </c>
      <c r="O3649" t="s">
        <v>6694</v>
      </c>
      <c r="U3649" t="s">
        <v>6694</v>
      </c>
      <c r="W3649" t="s">
        <v>6720</v>
      </c>
    </row>
    <row r="3650" spans="1:23" ht="15.6" x14ac:dyDescent="0.4">
      <c r="A3650" s="2" t="s">
        <v>6567</v>
      </c>
      <c r="B3650" s="5" t="s">
        <v>9943</v>
      </c>
      <c r="C3650" s="7" t="s">
        <v>12556</v>
      </c>
      <c r="D3650" s="8">
        <f t="shared" si="228"/>
        <v>0</v>
      </c>
      <c r="E3650" s="7" t="s">
        <v>12557</v>
      </c>
      <c r="F3650" s="7">
        <f t="shared" si="229"/>
        <v>2</v>
      </c>
      <c r="G3650" s="7" t="s">
        <v>12558</v>
      </c>
      <c r="H3650" s="7">
        <f t="shared" si="230"/>
        <v>2</v>
      </c>
      <c r="I3650" s="7" t="str" cm="1">
        <f t="array" ref="I3650">IFERROR(_xlfn.IFS(M3650="נח",1,M3650="נע ונח",1,M3650="שני שווא נח",2,M3650="שני שוואים בסוף מילה",2,M3650="שני שוואים ברצף",1),"0")</f>
        <v>0</v>
      </c>
      <c r="J3650" s="9">
        <f t="shared" si="231"/>
        <v>3</v>
      </c>
      <c r="K3650" t="s">
        <v>6697</v>
      </c>
      <c r="L3650" t="s">
        <v>6695</v>
      </c>
      <c r="O3650" t="s">
        <v>6694</v>
      </c>
      <c r="U3650" t="s">
        <v>6694</v>
      </c>
      <c r="W3650" t="s">
        <v>6720</v>
      </c>
    </row>
    <row r="3651" spans="1:23" ht="15.6" x14ac:dyDescent="0.4">
      <c r="A3651" s="2" t="s">
        <v>2304</v>
      </c>
      <c r="B3651" s="5" t="s">
        <v>9944</v>
      </c>
      <c r="C3651" s="7" t="s">
        <v>12556</v>
      </c>
      <c r="D3651" s="8">
        <f t="shared" ref="D3651:D3714" si="232">(LEN(B3651)-LEN(SUBSTITUTE(B3651,C3651,"")))</f>
        <v>1</v>
      </c>
      <c r="E3651" s="7" t="s">
        <v>12557</v>
      </c>
      <c r="F3651" s="7">
        <f t="shared" ref="F3651:F3714" si="233">(LEN(A3651)-LEN(SUBSTITUTE(A3651,E3651,"")))</f>
        <v>1</v>
      </c>
      <c r="G3651" s="7" t="s">
        <v>12558</v>
      </c>
      <c r="H3651" s="7">
        <f t="shared" ref="H3651:H3714" si="234">(LEN(A3651)-LEN(SUBSTITUTE(A3651,G3651,"")))/2</f>
        <v>1</v>
      </c>
      <c r="I3651" s="7" t="str" cm="1">
        <f t="array" ref="I3651">IFERROR(_xlfn.IFS(M3651="נח",1,M3651="נע ונח",1,M3651="שני שווא נח",2,M3651="שני שוואים בסוף מילה",2,M3651="שני שוואים ברצף",1),"0")</f>
        <v>0</v>
      </c>
      <c r="J3651" s="9">
        <f t="shared" ref="J3651:J3714" si="235">LEN(A3651)-(LEN(B3651))-D3651-F3651+H3651-I3651</f>
        <v>2</v>
      </c>
      <c r="K3651" t="s">
        <v>6698</v>
      </c>
      <c r="L3651" t="s">
        <v>6695</v>
      </c>
      <c r="O3651" t="s">
        <v>6694</v>
      </c>
      <c r="U3651" t="s">
        <v>6694</v>
      </c>
      <c r="W3651" t="s">
        <v>6720</v>
      </c>
    </row>
    <row r="3652" spans="1:23" ht="15.6" x14ac:dyDescent="0.4">
      <c r="A3652" s="2" t="s">
        <v>4707</v>
      </c>
      <c r="B3652" s="5" t="s">
        <v>9671</v>
      </c>
      <c r="C3652" s="7" t="s">
        <v>12556</v>
      </c>
      <c r="D3652" s="8">
        <f t="shared" si="232"/>
        <v>0</v>
      </c>
      <c r="E3652" s="7" t="s">
        <v>12557</v>
      </c>
      <c r="F3652" s="7">
        <f t="shared" si="233"/>
        <v>0</v>
      </c>
      <c r="G3652" s="7" t="s">
        <v>12558</v>
      </c>
      <c r="H3652" s="7">
        <f t="shared" si="234"/>
        <v>0</v>
      </c>
      <c r="I3652" s="7" cm="1">
        <f t="array" ref="I3652">IFERROR(_xlfn.IFS(M3652="נח",1,M3652="נע ונח",1,M3652="שני שווא נח",2,M3652="שני שוואים בסוף מילה",2,M3652="שני שוואים ברצף",1),"0")</f>
        <v>1</v>
      </c>
      <c r="J3652" s="9">
        <f t="shared" si="235"/>
        <v>2</v>
      </c>
      <c r="K3652" t="s">
        <v>6697</v>
      </c>
      <c r="L3652" t="s">
        <v>6694</v>
      </c>
      <c r="M3652" t="s">
        <v>6705</v>
      </c>
      <c r="N3652" t="s">
        <v>6706</v>
      </c>
      <c r="O3652" t="s">
        <v>6694</v>
      </c>
      <c r="W3652" t="s">
        <v>6720</v>
      </c>
    </row>
    <row r="3653" spans="1:23" ht="15.6" x14ac:dyDescent="0.4">
      <c r="A3653" s="2" t="s">
        <v>4047</v>
      </c>
      <c r="B3653" s="5" t="s">
        <v>9526</v>
      </c>
      <c r="C3653" s="7" t="s">
        <v>12556</v>
      </c>
      <c r="D3653" s="8">
        <f t="shared" si="232"/>
        <v>0</v>
      </c>
      <c r="E3653" s="7" t="s">
        <v>12557</v>
      </c>
      <c r="F3653" s="7">
        <f t="shared" si="233"/>
        <v>1</v>
      </c>
      <c r="G3653" s="7" t="s">
        <v>12558</v>
      </c>
      <c r="H3653" s="7">
        <f t="shared" si="234"/>
        <v>1</v>
      </c>
      <c r="I3653" s="7" cm="1">
        <f t="array" ref="I3653">IFERROR(_xlfn.IFS(M3653="נח",1,M3653="נע ונח",1,M3653="שני שווא נח",2,M3653="שני שוואים בסוף מילה",2,M3653="שני שוואים ברצף",1),"0")</f>
        <v>1</v>
      </c>
      <c r="J3653" s="9">
        <f t="shared" si="235"/>
        <v>2</v>
      </c>
      <c r="K3653" t="s">
        <v>6697</v>
      </c>
      <c r="L3653" t="s">
        <v>6694</v>
      </c>
      <c r="M3653" t="s">
        <v>6705</v>
      </c>
      <c r="N3653" t="s">
        <v>6706</v>
      </c>
      <c r="O3653" t="s">
        <v>6694</v>
      </c>
      <c r="U3653" t="s">
        <v>6694</v>
      </c>
      <c r="W3653" t="s">
        <v>6720</v>
      </c>
    </row>
    <row r="3654" spans="1:23" ht="15.6" x14ac:dyDescent="0.4">
      <c r="A3654" s="2" t="s">
        <v>3607</v>
      </c>
      <c r="B3654" s="5" t="s">
        <v>9945</v>
      </c>
      <c r="C3654" s="7" t="s">
        <v>12556</v>
      </c>
      <c r="D3654" s="8">
        <f t="shared" si="232"/>
        <v>1</v>
      </c>
      <c r="E3654" s="7" t="s">
        <v>12557</v>
      </c>
      <c r="F3654" s="7">
        <f t="shared" si="233"/>
        <v>1</v>
      </c>
      <c r="G3654" s="7" t="s">
        <v>12558</v>
      </c>
      <c r="H3654" s="7">
        <f t="shared" si="234"/>
        <v>1</v>
      </c>
      <c r="I3654" s="7" cm="1">
        <f t="array" ref="I3654">IFERROR(_xlfn.IFS(M3654="נח",1,M3654="נע ונח",1,M3654="שני שווא נח",2,M3654="שני שוואים בסוף מילה",2,M3654="שני שוואים ברצף",1),"0")</f>
        <v>1</v>
      </c>
      <c r="J3654" s="9">
        <f t="shared" si="235"/>
        <v>2</v>
      </c>
      <c r="K3654" t="s">
        <v>6697</v>
      </c>
      <c r="L3654" t="s">
        <v>6694</v>
      </c>
      <c r="M3654" t="s">
        <v>6705</v>
      </c>
      <c r="N3654" t="s">
        <v>6706</v>
      </c>
      <c r="O3654" t="s">
        <v>6694</v>
      </c>
      <c r="U3654" t="s">
        <v>6694</v>
      </c>
      <c r="W3654" t="s">
        <v>6720</v>
      </c>
    </row>
    <row r="3655" spans="1:23" ht="15.6" x14ac:dyDescent="0.4">
      <c r="A3655" s="2" t="s">
        <v>2830</v>
      </c>
      <c r="B3655" s="5" t="s">
        <v>9946</v>
      </c>
      <c r="C3655" s="7" t="s">
        <v>12556</v>
      </c>
      <c r="D3655" s="8">
        <f t="shared" si="232"/>
        <v>0</v>
      </c>
      <c r="E3655" s="7" t="s">
        <v>12557</v>
      </c>
      <c r="F3655" s="7">
        <f t="shared" si="233"/>
        <v>0</v>
      </c>
      <c r="G3655" s="7" t="s">
        <v>12558</v>
      </c>
      <c r="H3655" s="7">
        <f t="shared" si="234"/>
        <v>0</v>
      </c>
      <c r="I3655" s="7" t="str" cm="1">
        <f t="array" ref="I3655">IFERROR(_xlfn.IFS(M3655="נח",1,M3655="נע ונח",1,M3655="שני שווא נח",2,M3655="שני שוואים בסוף מילה",2,M3655="שני שוואים ברצף",1),"0")</f>
        <v>0</v>
      </c>
      <c r="J3655" s="9">
        <f t="shared" si="235"/>
        <v>2</v>
      </c>
      <c r="K3655" t="s">
        <v>6698</v>
      </c>
      <c r="L3655" t="s">
        <v>6695</v>
      </c>
      <c r="O3655" t="s">
        <v>6694</v>
      </c>
      <c r="S3655" t="s">
        <v>6694</v>
      </c>
      <c r="W3655" t="s">
        <v>6720</v>
      </c>
    </row>
    <row r="3656" spans="1:23" ht="15.6" x14ac:dyDescent="0.4">
      <c r="A3656" s="2" t="s">
        <v>1230</v>
      </c>
      <c r="B3656" s="5" t="s">
        <v>9947</v>
      </c>
      <c r="C3656" s="7" t="s">
        <v>12556</v>
      </c>
      <c r="D3656" s="8">
        <f t="shared" si="232"/>
        <v>0</v>
      </c>
      <c r="E3656" s="7" t="s">
        <v>12557</v>
      </c>
      <c r="F3656" s="7">
        <f t="shared" si="233"/>
        <v>0</v>
      </c>
      <c r="G3656" s="7" t="s">
        <v>12558</v>
      </c>
      <c r="H3656" s="7">
        <f t="shared" si="234"/>
        <v>0</v>
      </c>
      <c r="I3656" s="7" t="str" cm="1">
        <f t="array" ref="I3656">IFERROR(_xlfn.IFS(M3656="נח",1,M3656="נע ונח",1,M3656="שני שווא נח",2,M3656="שני שוואים בסוף מילה",2,M3656="שני שוואים ברצף",1),"0")</f>
        <v>0</v>
      </c>
      <c r="J3656" s="9">
        <f t="shared" si="235"/>
        <v>2</v>
      </c>
      <c r="K3656" t="s">
        <v>6698</v>
      </c>
      <c r="L3656" t="s">
        <v>6695</v>
      </c>
      <c r="O3656" t="s">
        <v>6694</v>
      </c>
      <c r="S3656" t="s">
        <v>6694</v>
      </c>
      <c r="W3656" t="s">
        <v>6720</v>
      </c>
    </row>
    <row r="3657" spans="1:23" ht="15.6" x14ac:dyDescent="0.4">
      <c r="A3657" s="2" t="s">
        <v>815</v>
      </c>
      <c r="B3657" s="5" t="s">
        <v>9948</v>
      </c>
      <c r="C3657" s="7" t="s">
        <v>12556</v>
      </c>
      <c r="D3657" s="8">
        <f t="shared" si="232"/>
        <v>0</v>
      </c>
      <c r="E3657" s="7" t="s">
        <v>12557</v>
      </c>
      <c r="F3657" s="7">
        <f t="shared" si="233"/>
        <v>0</v>
      </c>
      <c r="G3657" s="7" t="s">
        <v>12558</v>
      </c>
      <c r="H3657" s="7">
        <f t="shared" si="234"/>
        <v>0</v>
      </c>
      <c r="I3657" s="7" t="str" cm="1">
        <f t="array" ref="I3657">IFERROR(_xlfn.IFS(M3657="נח",1,M3657="נע ונח",1,M3657="שני שווא נח",2,M3657="שני שוואים בסוף מילה",2,M3657="שני שוואים ברצף",1),"0")</f>
        <v>0</v>
      </c>
      <c r="J3657" s="9">
        <f t="shared" si="235"/>
        <v>3</v>
      </c>
      <c r="K3657" t="s">
        <v>6697</v>
      </c>
      <c r="L3657" t="s">
        <v>6695</v>
      </c>
      <c r="O3657" t="s">
        <v>6694</v>
      </c>
      <c r="P3657" t="s">
        <v>6694</v>
      </c>
      <c r="S3657" t="s">
        <v>6694</v>
      </c>
      <c r="W3657" t="s">
        <v>6720</v>
      </c>
    </row>
    <row r="3658" spans="1:23" ht="15.6" x14ac:dyDescent="0.4">
      <c r="A3658" s="2" t="s">
        <v>1182</v>
      </c>
      <c r="B3658" s="5" t="s">
        <v>9521</v>
      </c>
      <c r="C3658" s="7" t="s">
        <v>12556</v>
      </c>
      <c r="D3658" s="8">
        <f t="shared" si="232"/>
        <v>0</v>
      </c>
      <c r="E3658" s="7" t="s">
        <v>12557</v>
      </c>
      <c r="F3658" s="7">
        <f t="shared" si="233"/>
        <v>0</v>
      </c>
      <c r="G3658" s="7" t="s">
        <v>12558</v>
      </c>
      <c r="H3658" s="7">
        <f t="shared" si="234"/>
        <v>0</v>
      </c>
      <c r="I3658" s="7" t="str" cm="1">
        <f t="array" ref="I3658">IFERROR(_xlfn.IFS(M3658="נח",1,M3658="נע ונח",1,M3658="שני שווא נח",2,M3658="שני שוואים בסוף מילה",2,M3658="שני שוואים ברצף",1),"0")</f>
        <v>0</v>
      </c>
      <c r="J3658" s="9">
        <f t="shared" si="235"/>
        <v>2</v>
      </c>
      <c r="K3658" t="s">
        <v>6697</v>
      </c>
      <c r="L3658" t="s">
        <v>6695</v>
      </c>
      <c r="O3658" t="s">
        <v>6694</v>
      </c>
      <c r="Q3658" t="s">
        <v>6694</v>
      </c>
      <c r="W3658" t="s">
        <v>6720</v>
      </c>
    </row>
    <row r="3659" spans="1:23" ht="15.6" x14ac:dyDescent="0.4">
      <c r="A3659" s="2" t="s">
        <v>708</v>
      </c>
      <c r="B3659" s="5" t="s">
        <v>9949</v>
      </c>
      <c r="C3659" s="7" t="s">
        <v>12556</v>
      </c>
      <c r="D3659" s="8">
        <f t="shared" si="232"/>
        <v>0</v>
      </c>
      <c r="E3659" s="7" t="s">
        <v>12557</v>
      </c>
      <c r="F3659" s="7">
        <f t="shared" si="233"/>
        <v>0</v>
      </c>
      <c r="G3659" s="7" t="s">
        <v>12558</v>
      </c>
      <c r="H3659" s="7">
        <f t="shared" si="234"/>
        <v>0</v>
      </c>
      <c r="I3659" s="7" t="str" cm="1">
        <f t="array" ref="I3659">IFERROR(_xlfn.IFS(M3659="נח",1,M3659="נע ונח",1,M3659="שני שווא נח",2,M3659="שני שוואים בסוף מילה",2,M3659="שני שוואים ברצף",1),"0")</f>
        <v>0</v>
      </c>
      <c r="J3659" s="9">
        <f t="shared" si="235"/>
        <v>3</v>
      </c>
      <c r="K3659" t="s">
        <v>6697</v>
      </c>
      <c r="L3659" t="s">
        <v>6695</v>
      </c>
      <c r="N3659" t="s">
        <v>6707</v>
      </c>
      <c r="O3659" t="s">
        <v>6694</v>
      </c>
      <c r="P3659" t="s">
        <v>6694</v>
      </c>
      <c r="Q3659" t="s">
        <v>6694</v>
      </c>
      <c r="W3659" t="s">
        <v>6720</v>
      </c>
    </row>
    <row r="3660" spans="1:23" ht="15.6" x14ac:dyDescent="0.4">
      <c r="A3660" s="2" t="s">
        <v>3690</v>
      </c>
      <c r="B3660" s="5" t="s">
        <v>9950</v>
      </c>
      <c r="C3660" s="7" t="s">
        <v>12556</v>
      </c>
      <c r="D3660" s="8">
        <f t="shared" si="232"/>
        <v>0</v>
      </c>
      <c r="E3660" s="7" t="s">
        <v>12557</v>
      </c>
      <c r="F3660" s="7">
        <f t="shared" si="233"/>
        <v>0</v>
      </c>
      <c r="G3660" s="7" t="s">
        <v>12558</v>
      </c>
      <c r="H3660" s="7">
        <f t="shared" si="234"/>
        <v>0</v>
      </c>
      <c r="I3660" s="7" cm="1">
        <f t="array" ref="I3660">IFERROR(_xlfn.IFS(M3660="נח",1,M3660="נע ונח",1,M3660="שני שווא נח",2,M3660="שני שוואים בסוף מילה",2,M3660="שני שוואים ברצף",1),"0")</f>
        <v>1</v>
      </c>
      <c r="J3660" s="9">
        <f t="shared" si="235"/>
        <v>2</v>
      </c>
      <c r="K3660" t="s">
        <v>6698</v>
      </c>
      <c r="L3660" t="s">
        <v>6694</v>
      </c>
      <c r="M3660" t="s">
        <v>6705</v>
      </c>
      <c r="O3660" t="s">
        <v>6694</v>
      </c>
      <c r="Q3660" t="s">
        <v>6694</v>
      </c>
      <c r="W3660" t="s">
        <v>6720</v>
      </c>
    </row>
    <row r="3661" spans="1:23" ht="15.6" x14ac:dyDescent="0.4">
      <c r="A3661" s="2" t="s">
        <v>2112</v>
      </c>
      <c r="B3661" s="5" t="s">
        <v>9951</v>
      </c>
      <c r="C3661" s="7" t="s">
        <v>12556</v>
      </c>
      <c r="D3661" s="8">
        <f t="shared" si="232"/>
        <v>0</v>
      </c>
      <c r="E3661" s="7" t="s">
        <v>12557</v>
      </c>
      <c r="F3661" s="7">
        <f t="shared" si="233"/>
        <v>2</v>
      </c>
      <c r="G3661" s="7" t="s">
        <v>12558</v>
      </c>
      <c r="H3661" s="7">
        <f t="shared" si="234"/>
        <v>1</v>
      </c>
      <c r="I3661" s="7" t="str" cm="1">
        <f t="array" ref="I3661">IFERROR(_xlfn.IFS(M3661="נח",1,M3661="נע ונח",1,M3661="שני שווא נח",2,M3661="שני שוואים בסוף מילה",2,M3661="שני שוואים ברצף",1),"0")</f>
        <v>0</v>
      </c>
      <c r="J3661" s="9">
        <f t="shared" si="235"/>
        <v>3</v>
      </c>
      <c r="K3661" t="s">
        <v>6697</v>
      </c>
      <c r="L3661" t="s">
        <v>6695</v>
      </c>
      <c r="O3661" t="s">
        <v>6694</v>
      </c>
      <c r="U3661" t="s">
        <v>6694</v>
      </c>
      <c r="V3661" t="s">
        <v>6694</v>
      </c>
      <c r="W3661" t="s">
        <v>6720</v>
      </c>
    </row>
    <row r="3662" spans="1:23" ht="15.6" x14ac:dyDescent="0.4">
      <c r="A3662" s="2" t="s">
        <v>2632</v>
      </c>
      <c r="B3662" s="5" t="s">
        <v>9952</v>
      </c>
      <c r="C3662" s="7" t="s">
        <v>12556</v>
      </c>
      <c r="D3662" s="8">
        <f t="shared" si="232"/>
        <v>0</v>
      </c>
      <c r="E3662" s="7" t="s">
        <v>12557</v>
      </c>
      <c r="F3662" s="7">
        <f t="shared" si="233"/>
        <v>1</v>
      </c>
      <c r="G3662" s="7" t="s">
        <v>12558</v>
      </c>
      <c r="H3662" s="7">
        <f t="shared" si="234"/>
        <v>1</v>
      </c>
      <c r="I3662" s="7" t="str" cm="1">
        <f t="array" ref="I3662">IFERROR(_xlfn.IFS(M3662="נח",1,M3662="נע ונח",1,M3662="שני שווא נח",2,M3662="שני שוואים בסוף מילה",2,M3662="שני שוואים ברצף",1),"0")</f>
        <v>0</v>
      </c>
      <c r="J3662" s="9">
        <f t="shared" si="235"/>
        <v>2</v>
      </c>
      <c r="K3662" t="s">
        <v>6698</v>
      </c>
      <c r="L3662" t="s">
        <v>6695</v>
      </c>
      <c r="O3662" t="s">
        <v>6694</v>
      </c>
      <c r="U3662" t="s">
        <v>6694</v>
      </c>
      <c r="W3662" t="s">
        <v>6720</v>
      </c>
    </row>
    <row r="3663" spans="1:23" ht="15.6" x14ac:dyDescent="0.4">
      <c r="A3663" s="2" t="s">
        <v>4430</v>
      </c>
      <c r="B3663" s="5" t="s">
        <v>9953</v>
      </c>
      <c r="C3663" s="7" t="s">
        <v>12556</v>
      </c>
      <c r="D3663" s="8">
        <f t="shared" si="232"/>
        <v>0</v>
      </c>
      <c r="E3663" s="7" t="s">
        <v>12557</v>
      </c>
      <c r="F3663" s="7">
        <f t="shared" si="233"/>
        <v>2</v>
      </c>
      <c r="G3663" s="7" t="s">
        <v>12558</v>
      </c>
      <c r="H3663" s="7">
        <f t="shared" si="234"/>
        <v>2</v>
      </c>
      <c r="I3663" s="7" t="str" cm="1">
        <f t="array" ref="I3663">IFERROR(_xlfn.IFS(M3663="נח",1,M3663="נע ונח",1,M3663="שני שווא נח",2,M3663="שני שוואים בסוף מילה",2,M3663="שני שוואים ברצף",1),"0")</f>
        <v>0</v>
      </c>
      <c r="J3663" s="9">
        <f t="shared" si="235"/>
        <v>3</v>
      </c>
      <c r="K3663" t="s">
        <v>6697</v>
      </c>
      <c r="L3663" t="s">
        <v>6695</v>
      </c>
      <c r="O3663" t="s">
        <v>6694</v>
      </c>
      <c r="U3663" t="s">
        <v>6694</v>
      </c>
      <c r="W3663" t="s">
        <v>6720</v>
      </c>
    </row>
    <row r="3664" spans="1:23" ht="15.6" x14ac:dyDescent="0.4">
      <c r="A3664" s="2" t="s">
        <v>1385</v>
      </c>
      <c r="B3664" s="5" t="s">
        <v>9954</v>
      </c>
      <c r="C3664" s="7" t="s">
        <v>12556</v>
      </c>
      <c r="D3664" s="8">
        <f t="shared" si="232"/>
        <v>0</v>
      </c>
      <c r="E3664" s="7" t="s">
        <v>12557</v>
      </c>
      <c r="F3664" s="7">
        <f t="shared" si="233"/>
        <v>1</v>
      </c>
      <c r="G3664" s="7" t="s">
        <v>12558</v>
      </c>
      <c r="H3664" s="7">
        <f t="shared" si="234"/>
        <v>1</v>
      </c>
      <c r="I3664" s="7" t="str" cm="1">
        <f t="array" ref="I3664">IFERROR(_xlfn.IFS(M3664="נח",1,M3664="נע ונח",1,M3664="שני שווא נח",2,M3664="שני שוואים בסוף מילה",2,M3664="שני שוואים ברצף",1),"0")</f>
        <v>0</v>
      </c>
      <c r="J3664" s="9">
        <f t="shared" si="235"/>
        <v>2</v>
      </c>
      <c r="K3664" t="s">
        <v>6698</v>
      </c>
      <c r="L3664" t="s">
        <v>6695</v>
      </c>
      <c r="O3664" t="s">
        <v>6694</v>
      </c>
      <c r="U3664" t="s">
        <v>6694</v>
      </c>
      <c r="W3664" t="s">
        <v>6720</v>
      </c>
    </row>
    <row r="3665" spans="1:23" ht="15.6" x14ac:dyDescent="0.4">
      <c r="A3665" s="2" t="s">
        <v>280</v>
      </c>
      <c r="B3665" s="5" t="s">
        <v>9763</v>
      </c>
      <c r="C3665" s="7" t="s">
        <v>12556</v>
      </c>
      <c r="D3665" s="8">
        <f t="shared" si="232"/>
        <v>1</v>
      </c>
      <c r="E3665" s="7" t="s">
        <v>12557</v>
      </c>
      <c r="F3665" s="7">
        <f t="shared" si="233"/>
        <v>1</v>
      </c>
      <c r="G3665" s="7" t="s">
        <v>12558</v>
      </c>
      <c r="H3665" s="7">
        <f t="shared" si="234"/>
        <v>1</v>
      </c>
      <c r="I3665" s="7" cm="1">
        <f t="array" ref="I3665">IFERROR(_xlfn.IFS(M3665="נח",1,M3665="נע ונח",1,M3665="שני שווא נח",2,M3665="שני שוואים בסוף מילה",2,M3665="שני שוואים ברצף",1),"0")</f>
        <v>1</v>
      </c>
      <c r="J3665" s="9">
        <f t="shared" si="235"/>
        <v>2</v>
      </c>
      <c r="K3665" t="s">
        <v>6697</v>
      </c>
      <c r="L3665" t="s">
        <v>6694</v>
      </c>
      <c r="M3665" t="s">
        <v>6705</v>
      </c>
      <c r="O3665" t="s">
        <v>6694</v>
      </c>
      <c r="U3665" t="s">
        <v>6694</v>
      </c>
      <c r="W3665" t="s">
        <v>6720</v>
      </c>
    </row>
    <row r="3666" spans="1:23" ht="15.6" x14ac:dyDescent="0.4">
      <c r="A3666" s="2" t="s">
        <v>2007</v>
      </c>
      <c r="B3666" s="5" t="s">
        <v>9955</v>
      </c>
      <c r="C3666" s="7" t="s">
        <v>12556</v>
      </c>
      <c r="D3666" s="8">
        <f t="shared" si="232"/>
        <v>1</v>
      </c>
      <c r="E3666" s="7" t="s">
        <v>12557</v>
      </c>
      <c r="F3666" s="7">
        <f t="shared" si="233"/>
        <v>0</v>
      </c>
      <c r="G3666" s="7" t="s">
        <v>12558</v>
      </c>
      <c r="H3666" s="7">
        <f t="shared" si="234"/>
        <v>0</v>
      </c>
      <c r="I3666" s="7" t="str" cm="1">
        <f t="array" ref="I3666">IFERROR(_xlfn.IFS(M3666="נח",1,M3666="נע ונח",1,M3666="שני שווא נח",2,M3666="שני שוואים בסוף מילה",2,M3666="שני שוואים ברצף",1),"0")</f>
        <v>0</v>
      </c>
      <c r="J3666" s="9">
        <f t="shared" si="235"/>
        <v>2</v>
      </c>
      <c r="K3666" t="s">
        <v>6698</v>
      </c>
      <c r="L3666" t="s">
        <v>6695</v>
      </c>
      <c r="O3666" t="s">
        <v>6694</v>
      </c>
      <c r="S3666" t="s">
        <v>6694</v>
      </c>
      <c r="W3666" t="s">
        <v>6720</v>
      </c>
    </row>
    <row r="3667" spans="1:23" ht="15.6" x14ac:dyDescent="0.4">
      <c r="A3667" s="2" t="s">
        <v>3100</v>
      </c>
      <c r="B3667" s="5" t="s">
        <v>9956</v>
      </c>
      <c r="C3667" s="7" t="s">
        <v>12556</v>
      </c>
      <c r="D3667" s="8">
        <f t="shared" si="232"/>
        <v>1</v>
      </c>
      <c r="E3667" s="7" t="s">
        <v>12557</v>
      </c>
      <c r="F3667" s="7">
        <f t="shared" si="233"/>
        <v>1</v>
      </c>
      <c r="G3667" s="7" t="s">
        <v>12558</v>
      </c>
      <c r="H3667" s="7">
        <f t="shared" si="234"/>
        <v>1</v>
      </c>
      <c r="I3667" s="7" t="str" cm="1">
        <f t="array" ref="I3667">IFERROR(_xlfn.IFS(M3667="נח",1,M3667="נע ונח",1,M3667="שני שווא נח",2,M3667="שני שוואים בסוף מילה",2,M3667="שני שוואים ברצף",1),"0")</f>
        <v>0</v>
      </c>
      <c r="J3667" s="9">
        <f t="shared" si="235"/>
        <v>3</v>
      </c>
      <c r="K3667" t="s">
        <v>6697</v>
      </c>
      <c r="L3667" t="s">
        <v>6695</v>
      </c>
      <c r="O3667" t="s">
        <v>6694</v>
      </c>
      <c r="S3667" t="s">
        <v>6694</v>
      </c>
      <c r="U3667" t="s">
        <v>6694</v>
      </c>
      <c r="W3667" t="s">
        <v>6720</v>
      </c>
    </row>
    <row r="3668" spans="1:23" ht="15.6" x14ac:dyDescent="0.4">
      <c r="A3668" s="2" t="s">
        <v>1060</v>
      </c>
      <c r="B3668" s="5" t="s">
        <v>9957</v>
      </c>
      <c r="C3668" s="7" t="s">
        <v>12556</v>
      </c>
      <c r="D3668" s="8">
        <f t="shared" si="232"/>
        <v>1</v>
      </c>
      <c r="E3668" s="7" t="s">
        <v>12557</v>
      </c>
      <c r="F3668" s="7">
        <f t="shared" si="233"/>
        <v>1</v>
      </c>
      <c r="G3668" s="7" t="s">
        <v>12558</v>
      </c>
      <c r="H3668" s="7">
        <f t="shared" si="234"/>
        <v>1</v>
      </c>
      <c r="I3668" s="7" t="str" cm="1">
        <f t="array" ref="I3668">IFERROR(_xlfn.IFS(M3668="נח",1,M3668="נע ונח",1,M3668="שני שווא נח",2,M3668="שני שוואים בסוף מילה",2,M3668="שני שוואים ברצף",1),"0")</f>
        <v>0</v>
      </c>
      <c r="J3668" s="9">
        <f t="shared" si="235"/>
        <v>3</v>
      </c>
      <c r="K3668" t="s">
        <v>6697</v>
      </c>
      <c r="L3668" t="s">
        <v>6695</v>
      </c>
      <c r="O3668" t="s">
        <v>6694</v>
      </c>
      <c r="S3668" t="s">
        <v>6694</v>
      </c>
      <c r="U3668" t="s">
        <v>6694</v>
      </c>
      <c r="W3668" t="s">
        <v>6720</v>
      </c>
    </row>
    <row r="3669" spans="1:23" ht="15.6" x14ac:dyDescent="0.4">
      <c r="A3669" s="2" t="s">
        <v>2127</v>
      </c>
      <c r="B3669" s="5" t="s">
        <v>9958</v>
      </c>
      <c r="C3669" s="7" t="s">
        <v>12556</v>
      </c>
      <c r="D3669" s="8">
        <f t="shared" si="232"/>
        <v>1</v>
      </c>
      <c r="E3669" s="7" t="s">
        <v>12557</v>
      </c>
      <c r="F3669" s="7">
        <f t="shared" si="233"/>
        <v>1</v>
      </c>
      <c r="G3669" s="7" t="s">
        <v>12558</v>
      </c>
      <c r="H3669" s="7">
        <f t="shared" si="234"/>
        <v>1</v>
      </c>
      <c r="I3669" s="7" t="str" cm="1">
        <f t="array" ref="I3669">IFERROR(_xlfn.IFS(M3669="נח",1,M3669="נע ונח",1,M3669="שני שווא נח",2,M3669="שני שוואים בסוף מילה",2,M3669="שני שוואים ברצף",1),"0")</f>
        <v>0</v>
      </c>
      <c r="J3669" s="9">
        <f t="shared" si="235"/>
        <v>3</v>
      </c>
      <c r="K3669" t="s">
        <v>6697</v>
      </c>
      <c r="L3669" t="s">
        <v>6695</v>
      </c>
      <c r="O3669" t="s">
        <v>6694</v>
      </c>
      <c r="S3669" t="s">
        <v>6694</v>
      </c>
      <c r="U3669" t="s">
        <v>6694</v>
      </c>
      <c r="W3669" t="s">
        <v>6720</v>
      </c>
    </row>
    <row r="3670" spans="1:23" ht="15.6" x14ac:dyDescent="0.4">
      <c r="A3670" s="2" t="s">
        <v>1986</v>
      </c>
      <c r="B3670" s="5" t="s">
        <v>9959</v>
      </c>
      <c r="C3670" s="7" t="s">
        <v>12556</v>
      </c>
      <c r="D3670" s="8">
        <f t="shared" si="232"/>
        <v>1</v>
      </c>
      <c r="E3670" s="7" t="s">
        <v>12557</v>
      </c>
      <c r="F3670" s="7">
        <f t="shared" si="233"/>
        <v>0</v>
      </c>
      <c r="G3670" s="7" t="s">
        <v>12558</v>
      </c>
      <c r="H3670" s="7">
        <f t="shared" si="234"/>
        <v>0</v>
      </c>
      <c r="I3670" s="7" t="str" cm="1">
        <f t="array" ref="I3670">IFERROR(_xlfn.IFS(M3670="נח",1,M3670="נע ונח",1,M3670="שני שווא נח",2,M3670="שני שוואים בסוף מילה",2,M3670="שני שוואים ברצף",1),"0")</f>
        <v>0</v>
      </c>
      <c r="J3670" s="9">
        <f t="shared" si="235"/>
        <v>2</v>
      </c>
      <c r="K3670" t="s">
        <v>6698</v>
      </c>
      <c r="L3670" t="s">
        <v>6695</v>
      </c>
      <c r="O3670" t="s">
        <v>6694</v>
      </c>
      <c r="R3670" t="s">
        <v>6694</v>
      </c>
      <c r="W3670" t="s">
        <v>6720</v>
      </c>
    </row>
    <row r="3671" spans="1:23" ht="15.6" x14ac:dyDescent="0.4">
      <c r="A3671" s="2" t="s">
        <v>3810</v>
      </c>
      <c r="B3671" s="5" t="s">
        <v>9764</v>
      </c>
      <c r="C3671" s="7" t="s">
        <v>12556</v>
      </c>
      <c r="D3671" s="8">
        <f t="shared" si="232"/>
        <v>1</v>
      </c>
      <c r="E3671" s="7" t="s">
        <v>12557</v>
      </c>
      <c r="F3671" s="7">
        <f t="shared" si="233"/>
        <v>0</v>
      </c>
      <c r="G3671" s="7" t="s">
        <v>12558</v>
      </c>
      <c r="H3671" s="7">
        <f t="shared" si="234"/>
        <v>0</v>
      </c>
      <c r="I3671" s="7" t="str" cm="1">
        <f t="array" ref="I3671">IFERROR(_xlfn.IFS(M3671="נח",1,M3671="נע ונח",1,M3671="שני שווא נח",2,M3671="שני שוואים בסוף מילה",2,M3671="שני שוואים ברצף",1),"0")</f>
        <v>0</v>
      </c>
      <c r="J3671" s="9">
        <f t="shared" si="235"/>
        <v>2</v>
      </c>
      <c r="K3671" t="s">
        <v>6698</v>
      </c>
      <c r="L3671" t="s">
        <v>6695</v>
      </c>
      <c r="O3671" t="s">
        <v>6694</v>
      </c>
      <c r="P3671" t="s">
        <v>6694</v>
      </c>
      <c r="W3671" t="s">
        <v>6720</v>
      </c>
    </row>
    <row r="3672" spans="1:23" ht="15.6" x14ac:dyDescent="0.4">
      <c r="A3672" s="2" t="s">
        <v>5926</v>
      </c>
      <c r="B3672" s="5" t="s">
        <v>9960</v>
      </c>
      <c r="C3672" s="7" t="s">
        <v>12556</v>
      </c>
      <c r="D3672" s="8">
        <f t="shared" si="232"/>
        <v>1</v>
      </c>
      <c r="E3672" s="7" t="s">
        <v>12557</v>
      </c>
      <c r="F3672" s="7">
        <f t="shared" si="233"/>
        <v>1</v>
      </c>
      <c r="G3672" s="7" t="s">
        <v>12558</v>
      </c>
      <c r="H3672" s="7">
        <f t="shared" si="234"/>
        <v>1</v>
      </c>
      <c r="I3672" s="7" cm="1">
        <f t="array" ref="I3672">IFERROR(_xlfn.IFS(M3672="נח",1,M3672="נע ונח",1,M3672="שני שווא נח",2,M3672="שני שוואים בסוף מילה",2,M3672="שני שוואים ברצף",1),"0")</f>
        <v>1</v>
      </c>
      <c r="J3672" s="9">
        <f t="shared" si="235"/>
        <v>3</v>
      </c>
      <c r="K3672" t="s">
        <v>6697</v>
      </c>
      <c r="L3672" t="s">
        <v>6694</v>
      </c>
      <c r="M3672" t="s">
        <v>6705</v>
      </c>
      <c r="O3672" t="s">
        <v>6694</v>
      </c>
      <c r="P3672" t="s">
        <v>6694</v>
      </c>
      <c r="U3672" t="s">
        <v>6694</v>
      </c>
      <c r="W3672" t="s">
        <v>6720</v>
      </c>
    </row>
    <row r="3673" spans="1:23" ht="15.6" x14ac:dyDescent="0.4">
      <c r="A3673" s="2" t="s">
        <v>2602</v>
      </c>
      <c r="B3673" s="5" t="s">
        <v>9961</v>
      </c>
      <c r="C3673" s="7" t="s">
        <v>12556</v>
      </c>
      <c r="D3673" s="8">
        <f t="shared" si="232"/>
        <v>1</v>
      </c>
      <c r="E3673" s="7" t="s">
        <v>12557</v>
      </c>
      <c r="F3673" s="7">
        <f t="shared" si="233"/>
        <v>1</v>
      </c>
      <c r="G3673" s="7" t="s">
        <v>12558</v>
      </c>
      <c r="H3673" s="7">
        <f t="shared" si="234"/>
        <v>0</v>
      </c>
      <c r="I3673" s="7" cm="1">
        <f t="array" ref="I3673">IFERROR(_xlfn.IFS(M3673="נח",1,M3673="נע ונח",1,M3673="שני שווא נח",2,M3673="שני שוואים בסוף מילה",2,M3673="שני שוואים ברצף",1),"0")</f>
        <v>1</v>
      </c>
      <c r="J3673" s="9">
        <f t="shared" si="235"/>
        <v>3</v>
      </c>
      <c r="K3673" t="s">
        <v>6697</v>
      </c>
      <c r="L3673" t="s">
        <v>6694</v>
      </c>
      <c r="M3673" t="s">
        <v>6705</v>
      </c>
      <c r="O3673" t="s">
        <v>6694</v>
      </c>
      <c r="P3673" t="s">
        <v>6694</v>
      </c>
      <c r="S3673" t="s">
        <v>6694</v>
      </c>
      <c r="W3673" t="s">
        <v>6720</v>
      </c>
    </row>
    <row r="3674" spans="1:23" ht="15.6" x14ac:dyDescent="0.4">
      <c r="A3674" s="2" t="s">
        <v>2378</v>
      </c>
      <c r="B3674" s="5" t="s">
        <v>9962</v>
      </c>
      <c r="C3674" s="7" t="s">
        <v>12556</v>
      </c>
      <c r="D3674" s="8">
        <f t="shared" si="232"/>
        <v>1</v>
      </c>
      <c r="E3674" s="7" t="s">
        <v>12557</v>
      </c>
      <c r="F3674" s="7">
        <f t="shared" si="233"/>
        <v>1</v>
      </c>
      <c r="G3674" s="7" t="s">
        <v>12558</v>
      </c>
      <c r="H3674" s="7">
        <f t="shared" si="234"/>
        <v>0</v>
      </c>
      <c r="I3674" s="7" cm="1">
        <f t="array" ref="I3674">IFERROR(_xlfn.IFS(M3674="נח",1,M3674="נע ונח",1,M3674="שני שווא נח",2,M3674="שני שוואים בסוף מילה",2,M3674="שני שוואים ברצף",1),"0")</f>
        <v>1</v>
      </c>
      <c r="J3674" s="9">
        <f t="shared" si="235"/>
        <v>3</v>
      </c>
      <c r="K3674" t="s">
        <v>6698</v>
      </c>
      <c r="L3674" t="s">
        <v>6694</v>
      </c>
      <c r="M3674" t="s">
        <v>6705</v>
      </c>
      <c r="O3674" t="s">
        <v>6694</v>
      </c>
      <c r="P3674" t="s">
        <v>6694</v>
      </c>
      <c r="W3674" t="s">
        <v>6720</v>
      </c>
    </row>
    <row r="3675" spans="1:23" ht="15.6" x14ac:dyDescent="0.4">
      <c r="A3675" s="2" t="s">
        <v>5252</v>
      </c>
      <c r="B3675" s="5" t="s">
        <v>9764</v>
      </c>
      <c r="C3675" s="7" t="s">
        <v>12556</v>
      </c>
      <c r="D3675" s="8">
        <f t="shared" si="232"/>
        <v>1</v>
      </c>
      <c r="E3675" s="7" t="s">
        <v>12557</v>
      </c>
      <c r="F3675" s="7">
        <f t="shared" si="233"/>
        <v>0</v>
      </c>
      <c r="G3675" s="7" t="s">
        <v>12558</v>
      </c>
      <c r="H3675" s="7">
        <f t="shared" si="234"/>
        <v>0</v>
      </c>
      <c r="I3675" s="7" t="str" cm="1">
        <f t="array" ref="I3675">IFERROR(_xlfn.IFS(M3675="נח",1,M3675="נע ונח",1,M3675="שני שווא נח",2,M3675="שני שוואים בסוף מילה",2,M3675="שני שוואים ברצף",1),"0")</f>
        <v>0</v>
      </c>
      <c r="J3675" s="9">
        <f t="shared" si="235"/>
        <v>2</v>
      </c>
      <c r="K3675" t="s">
        <v>6698</v>
      </c>
      <c r="L3675" t="s">
        <v>6695</v>
      </c>
      <c r="N3675" t="s">
        <v>6706</v>
      </c>
      <c r="O3675" t="s">
        <v>6694</v>
      </c>
      <c r="W3675" t="s">
        <v>6720</v>
      </c>
    </row>
    <row r="3676" spans="1:23" ht="15.6" x14ac:dyDescent="0.4">
      <c r="A3676" s="2" t="s">
        <v>2468</v>
      </c>
      <c r="B3676" s="5" t="s">
        <v>9963</v>
      </c>
      <c r="C3676" s="7" t="s">
        <v>12556</v>
      </c>
      <c r="D3676" s="8">
        <f t="shared" si="232"/>
        <v>1</v>
      </c>
      <c r="E3676" s="7" t="s">
        <v>12557</v>
      </c>
      <c r="F3676" s="7">
        <f t="shared" si="233"/>
        <v>0</v>
      </c>
      <c r="G3676" s="7" t="s">
        <v>12558</v>
      </c>
      <c r="H3676" s="7">
        <f t="shared" si="234"/>
        <v>0</v>
      </c>
      <c r="I3676" s="7" t="str" cm="1">
        <f t="array" ref="I3676">IFERROR(_xlfn.IFS(M3676="נח",1,M3676="נע ונח",1,M3676="שני שווא נח",2,M3676="שני שוואים בסוף מילה",2,M3676="שני שוואים ברצף",1),"0")</f>
        <v>0</v>
      </c>
      <c r="J3676" s="9">
        <f t="shared" si="235"/>
        <v>2</v>
      </c>
      <c r="K3676" t="s">
        <v>6698</v>
      </c>
      <c r="L3676" t="s">
        <v>6695</v>
      </c>
      <c r="N3676" t="s">
        <v>6706</v>
      </c>
      <c r="O3676" t="s">
        <v>6694</v>
      </c>
      <c r="W3676" t="s">
        <v>6720</v>
      </c>
    </row>
    <row r="3677" spans="1:23" ht="15.6" x14ac:dyDescent="0.4">
      <c r="A3677" s="2" t="s">
        <v>5692</v>
      </c>
      <c r="B3677" s="5" t="s">
        <v>9764</v>
      </c>
      <c r="C3677" s="7" t="s">
        <v>12556</v>
      </c>
      <c r="D3677" s="8">
        <f t="shared" si="232"/>
        <v>1</v>
      </c>
      <c r="E3677" s="7" t="s">
        <v>12557</v>
      </c>
      <c r="F3677" s="7">
        <f t="shared" si="233"/>
        <v>0</v>
      </c>
      <c r="G3677" s="7" t="s">
        <v>12558</v>
      </c>
      <c r="H3677" s="7">
        <f t="shared" si="234"/>
        <v>0</v>
      </c>
      <c r="I3677" s="7" t="str" cm="1">
        <f t="array" ref="I3677">IFERROR(_xlfn.IFS(M3677="נח",1,M3677="נע ונח",1,M3677="שני שווא נח",2,M3677="שני שוואים בסוף מילה",2,M3677="שני שוואים ברצף",1),"0")</f>
        <v>0</v>
      </c>
      <c r="J3677" s="9">
        <f t="shared" si="235"/>
        <v>2</v>
      </c>
      <c r="K3677" t="s">
        <v>6698</v>
      </c>
      <c r="L3677" t="s">
        <v>6695</v>
      </c>
      <c r="O3677" t="s">
        <v>6694</v>
      </c>
      <c r="V3677" t="s">
        <v>6694</v>
      </c>
      <c r="W3677" t="s">
        <v>6720</v>
      </c>
    </row>
    <row r="3678" spans="1:23" ht="15.6" x14ac:dyDescent="0.4">
      <c r="A3678" s="2" t="s">
        <v>5157</v>
      </c>
      <c r="B3678" s="5" t="s">
        <v>9964</v>
      </c>
      <c r="C3678" s="7" t="s">
        <v>12556</v>
      </c>
      <c r="D3678" s="8">
        <f t="shared" si="232"/>
        <v>1</v>
      </c>
      <c r="E3678" s="7" t="s">
        <v>12557</v>
      </c>
      <c r="F3678" s="7">
        <f t="shared" si="233"/>
        <v>0</v>
      </c>
      <c r="G3678" s="7" t="s">
        <v>12558</v>
      </c>
      <c r="H3678" s="7">
        <f t="shared" si="234"/>
        <v>0</v>
      </c>
      <c r="I3678" s="7" t="str" cm="1">
        <f t="array" ref="I3678">IFERROR(_xlfn.IFS(M3678="נח",1,M3678="נע ונח",1,M3678="שני שווא נח",2,M3678="שני שוואים בסוף מילה",2,M3678="שני שוואים ברצף",1),"0")</f>
        <v>0</v>
      </c>
      <c r="J3678" s="9">
        <f t="shared" si="235"/>
        <v>3</v>
      </c>
      <c r="K3678" t="s">
        <v>6697</v>
      </c>
      <c r="L3678" t="s">
        <v>6695</v>
      </c>
      <c r="N3678" t="s">
        <v>6707</v>
      </c>
      <c r="O3678" t="s">
        <v>6694</v>
      </c>
      <c r="P3678" t="s">
        <v>6694</v>
      </c>
      <c r="V3678" t="s">
        <v>6694</v>
      </c>
      <c r="W3678" t="s">
        <v>6720</v>
      </c>
    </row>
    <row r="3679" spans="1:23" ht="15.6" x14ac:dyDescent="0.4">
      <c r="A3679" s="2" t="s">
        <v>3537</v>
      </c>
      <c r="B3679" s="5" t="s">
        <v>9965</v>
      </c>
      <c r="C3679" s="7" t="s">
        <v>12556</v>
      </c>
      <c r="D3679" s="8">
        <f t="shared" si="232"/>
        <v>1</v>
      </c>
      <c r="E3679" s="7" t="s">
        <v>12557</v>
      </c>
      <c r="F3679" s="7">
        <f t="shared" si="233"/>
        <v>2</v>
      </c>
      <c r="G3679" s="7" t="s">
        <v>12558</v>
      </c>
      <c r="H3679" s="7">
        <f t="shared" si="234"/>
        <v>1</v>
      </c>
      <c r="I3679" s="7" t="str" cm="1">
        <f t="array" ref="I3679">IFERROR(_xlfn.IFS(M3679="נח",1,M3679="נע ונח",1,M3679="שני שווא נח",2,M3679="שני שוואים בסוף מילה",2,M3679="שני שוואים ברצף",1),"0")</f>
        <v>0</v>
      </c>
      <c r="J3679" s="9">
        <f t="shared" si="235"/>
        <v>3</v>
      </c>
      <c r="K3679" t="s">
        <v>6697</v>
      </c>
      <c r="L3679" t="s">
        <v>6695</v>
      </c>
      <c r="O3679" t="s">
        <v>6694</v>
      </c>
      <c r="U3679" t="s">
        <v>6694</v>
      </c>
      <c r="V3679" t="s">
        <v>6694</v>
      </c>
      <c r="W3679" t="s">
        <v>6720</v>
      </c>
    </row>
    <row r="3680" spans="1:23" ht="15.6" x14ac:dyDescent="0.4">
      <c r="A3680" s="2" t="s">
        <v>1309</v>
      </c>
      <c r="B3680" s="5" t="s">
        <v>9764</v>
      </c>
      <c r="C3680" s="7" t="s">
        <v>12556</v>
      </c>
      <c r="D3680" s="8">
        <f t="shared" si="232"/>
        <v>1</v>
      </c>
      <c r="E3680" s="7" t="s">
        <v>12557</v>
      </c>
      <c r="F3680" s="7">
        <f t="shared" si="233"/>
        <v>0</v>
      </c>
      <c r="G3680" s="7" t="s">
        <v>12558</v>
      </c>
      <c r="H3680" s="7">
        <f t="shared" si="234"/>
        <v>0</v>
      </c>
      <c r="I3680" s="7" t="str" cm="1">
        <f t="array" ref="I3680">IFERROR(_xlfn.IFS(M3680="נח",1,M3680="נע ונח",1,M3680="שני שווא נח",2,M3680="שני שוואים בסוף מילה",2,M3680="שני שוואים ברצף",1),"0")</f>
        <v>0</v>
      </c>
      <c r="J3680" s="9">
        <f t="shared" si="235"/>
        <v>2</v>
      </c>
      <c r="K3680" t="s">
        <v>6698</v>
      </c>
      <c r="L3680" t="s">
        <v>6695</v>
      </c>
      <c r="O3680" t="s">
        <v>6694</v>
      </c>
      <c r="T3680" t="s">
        <v>6694</v>
      </c>
      <c r="W3680" t="s">
        <v>6720</v>
      </c>
    </row>
    <row r="3681" spans="1:23" ht="15.6" x14ac:dyDescent="0.4">
      <c r="A3681" s="2" t="s">
        <v>2375</v>
      </c>
      <c r="B3681" s="5" t="s">
        <v>9763</v>
      </c>
      <c r="C3681" s="7" t="s">
        <v>12556</v>
      </c>
      <c r="D3681" s="8">
        <f t="shared" si="232"/>
        <v>1</v>
      </c>
      <c r="E3681" s="7" t="s">
        <v>12557</v>
      </c>
      <c r="F3681" s="7">
        <f t="shared" si="233"/>
        <v>1</v>
      </c>
      <c r="G3681" s="7" t="s">
        <v>12558</v>
      </c>
      <c r="H3681" s="7">
        <f t="shared" si="234"/>
        <v>1</v>
      </c>
      <c r="I3681" s="7" t="str" cm="1">
        <f t="array" ref="I3681">IFERROR(_xlfn.IFS(M3681="נח",1,M3681="נע ונח",1,M3681="שני שווא נח",2,M3681="שני שוואים בסוף מילה",2,M3681="שני שוואים ברצף",1),"0")</f>
        <v>0</v>
      </c>
      <c r="J3681" s="9">
        <f t="shared" si="235"/>
        <v>3</v>
      </c>
      <c r="K3681" t="s">
        <v>6697</v>
      </c>
      <c r="L3681" t="s">
        <v>6695</v>
      </c>
      <c r="O3681" t="s">
        <v>6694</v>
      </c>
      <c r="T3681" t="s">
        <v>6694</v>
      </c>
      <c r="U3681" t="s">
        <v>6694</v>
      </c>
      <c r="W3681" t="s">
        <v>6720</v>
      </c>
    </row>
    <row r="3682" spans="1:23" ht="15.6" x14ac:dyDescent="0.4">
      <c r="A3682" s="2" t="s">
        <v>115</v>
      </c>
      <c r="B3682" s="5" t="s">
        <v>9966</v>
      </c>
      <c r="C3682" s="7" t="s">
        <v>12556</v>
      </c>
      <c r="D3682" s="8">
        <f t="shared" si="232"/>
        <v>1</v>
      </c>
      <c r="E3682" s="7" t="s">
        <v>12557</v>
      </c>
      <c r="F3682" s="7">
        <f t="shared" si="233"/>
        <v>1</v>
      </c>
      <c r="G3682" s="7" t="s">
        <v>12558</v>
      </c>
      <c r="H3682" s="7">
        <f t="shared" si="234"/>
        <v>1</v>
      </c>
      <c r="I3682" s="7" t="str" cm="1">
        <f t="array" ref="I3682">IFERROR(_xlfn.IFS(M3682="נח",1,M3682="נע ונח",1,M3682="שני שווא נח",2,M3682="שני שוואים בסוף מילה",2,M3682="שני שוואים ברצף",1),"0")</f>
        <v>0</v>
      </c>
      <c r="J3682" s="9">
        <f t="shared" si="235"/>
        <v>2</v>
      </c>
      <c r="K3682" t="s">
        <v>6698</v>
      </c>
      <c r="L3682" t="s">
        <v>6695</v>
      </c>
      <c r="O3682" t="s">
        <v>6694</v>
      </c>
      <c r="U3682" t="s">
        <v>6694</v>
      </c>
      <c r="W3682" t="s">
        <v>6720</v>
      </c>
    </row>
    <row r="3683" spans="1:23" ht="15.6" x14ac:dyDescent="0.4">
      <c r="A3683" s="2" t="s">
        <v>2429</v>
      </c>
      <c r="B3683" s="5" t="s">
        <v>9967</v>
      </c>
      <c r="C3683" s="7" t="s">
        <v>12556</v>
      </c>
      <c r="D3683" s="8">
        <f t="shared" si="232"/>
        <v>1</v>
      </c>
      <c r="E3683" s="7" t="s">
        <v>12557</v>
      </c>
      <c r="F3683" s="7">
        <f t="shared" si="233"/>
        <v>2</v>
      </c>
      <c r="G3683" s="7" t="s">
        <v>12558</v>
      </c>
      <c r="H3683" s="7">
        <f t="shared" si="234"/>
        <v>2</v>
      </c>
      <c r="I3683" s="7" t="str" cm="1">
        <f t="array" ref="I3683">IFERROR(_xlfn.IFS(M3683="נח",1,M3683="נע ונח",1,M3683="שני שווא נח",2,M3683="שני שוואים בסוף מילה",2,M3683="שני שוואים ברצף",1),"0")</f>
        <v>0</v>
      </c>
      <c r="J3683" s="9">
        <f t="shared" si="235"/>
        <v>3</v>
      </c>
      <c r="K3683" t="s">
        <v>6697</v>
      </c>
      <c r="L3683" t="s">
        <v>6695</v>
      </c>
      <c r="O3683" t="s">
        <v>6694</v>
      </c>
      <c r="U3683" t="s">
        <v>6694</v>
      </c>
      <c r="W3683" t="s">
        <v>6720</v>
      </c>
    </row>
    <row r="3684" spans="1:23" ht="15.6" x14ac:dyDescent="0.4">
      <c r="A3684" s="2" t="s">
        <v>2321</v>
      </c>
      <c r="B3684" s="5" t="s">
        <v>9968</v>
      </c>
      <c r="C3684" s="7" t="s">
        <v>12556</v>
      </c>
      <c r="D3684" s="8">
        <f t="shared" si="232"/>
        <v>1</v>
      </c>
      <c r="E3684" s="7" t="s">
        <v>12557</v>
      </c>
      <c r="F3684" s="7">
        <f t="shared" si="233"/>
        <v>1</v>
      </c>
      <c r="G3684" s="7" t="s">
        <v>12558</v>
      </c>
      <c r="H3684" s="7">
        <f t="shared" si="234"/>
        <v>1</v>
      </c>
      <c r="I3684" s="7" t="str" cm="1">
        <f t="array" ref="I3684">IFERROR(_xlfn.IFS(M3684="נח",1,M3684="נע ונח",1,M3684="שני שווא נח",2,M3684="שני שוואים בסוף מילה",2,M3684="שני שוואים ברצף",1),"0")</f>
        <v>0</v>
      </c>
      <c r="J3684" s="9">
        <f t="shared" si="235"/>
        <v>2</v>
      </c>
      <c r="K3684" t="s">
        <v>6698</v>
      </c>
      <c r="L3684" t="s">
        <v>6695</v>
      </c>
      <c r="O3684" t="s">
        <v>6694</v>
      </c>
      <c r="U3684" t="s">
        <v>6694</v>
      </c>
      <c r="W3684" t="s">
        <v>6720</v>
      </c>
    </row>
    <row r="3685" spans="1:23" ht="15.6" x14ac:dyDescent="0.4">
      <c r="A3685" s="2" t="s">
        <v>284</v>
      </c>
      <c r="B3685" s="5" t="s">
        <v>9969</v>
      </c>
      <c r="C3685" s="7" t="s">
        <v>12556</v>
      </c>
      <c r="D3685" s="8">
        <f t="shared" si="232"/>
        <v>1</v>
      </c>
      <c r="E3685" s="7" t="s">
        <v>12557</v>
      </c>
      <c r="F3685" s="7">
        <f t="shared" si="233"/>
        <v>0</v>
      </c>
      <c r="G3685" s="7" t="s">
        <v>12558</v>
      </c>
      <c r="H3685" s="7">
        <f t="shared" si="234"/>
        <v>0</v>
      </c>
      <c r="I3685" s="7" t="str" cm="1">
        <f t="array" ref="I3685">IFERROR(_xlfn.IFS(M3685="נח",1,M3685="נע ונח",1,M3685="שני שווא נח",2,M3685="שני שוואים בסוף מילה",2,M3685="שני שוואים ברצף",1),"0")</f>
        <v>0</v>
      </c>
      <c r="J3685" s="9">
        <f t="shared" si="235"/>
        <v>3</v>
      </c>
      <c r="K3685" t="s">
        <v>6697</v>
      </c>
      <c r="L3685" t="s">
        <v>6695</v>
      </c>
      <c r="N3685" t="s">
        <v>6707</v>
      </c>
      <c r="O3685" t="s">
        <v>6694</v>
      </c>
      <c r="P3685" t="s">
        <v>6694</v>
      </c>
      <c r="S3685" t="s">
        <v>6694</v>
      </c>
      <c r="W3685" t="s">
        <v>6720</v>
      </c>
    </row>
    <row r="3686" spans="1:23" ht="15.6" x14ac:dyDescent="0.4">
      <c r="A3686" s="2" t="s">
        <v>4602</v>
      </c>
      <c r="B3686" s="5" t="s">
        <v>9970</v>
      </c>
      <c r="C3686" s="7" t="s">
        <v>12556</v>
      </c>
      <c r="D3686" s="8">
        <f t="shared" si="232"/>
        <v>1</v>
      </c>
      <c r="E3686" s="7" t="s">
        <v>12557</v>
      </c>
      <c r="F3686" s="7">
        <f t="shared" si="233"/>
        <v>1</v>
      </c>
      <c r="G3686" s="7" t="s">
        <v>12558</v>
      </c>
      <c r="H3686" s="7">
        <f t="shared" si="234"/>
        <v>1</v>
      </c>
      <c r="I3686" s="7" t="str" cm="1">
        <f t="array" ref="I3686">IFERROR(_xlfn.IFS(M3686="נח",1,M3686="נע ונח",1,M3686="שני שווא נח",2,M3686="שני שוואים בסוף מילה",2,M3686="שני שוואים ברצף",1),"0")</f>
        <v>0</v>
      </c>
      <c r="J3686" s="9">
        <f t="shared" si="235"/>
        <v>3</v>
      </c>
      <c r="K3686" t="s">
        <v>6697</v>
      </c>
      <c r="L3686" t="s">
        <v>6695</v>
      </c>
      <c r="O3686" t="s">
        <v>6694</v>
      </c>
      <c r="S3686" t="s">
        <v>6694</v>
      </c>
      <c r="U3686" t="s">
        <v>6694</v>
      </c>
      <c r="W3686" t="s">
        <v>6720</v>
      </c>
    </row>
    <row r="3687" spans="1:23" ht="15.6" x14ac:dyDescent="0.4">
      <c r="A3687" s="2" t="s">
        <v>3955</v>
      </c>
      <c r="B3687" s="5" t="s">
        <v>9971</v>
      </c>
      <c r="C3687" s="7" t="s">
        <v>12556</v>
      </c>
      <c r="D3687" s="8">
        <f t="shared" si="232"/>
        <v>1</v>
      </c>
      <c r="E3687" s="7" t="s">
        <v>12557</v>
      </c>
      <c r="F3687" s="7">
        <f t="shared" si="233"/>
        <v>0</v>
      </c>
      <c r="G3687" s="7" t="s">
        <v>12558</v>
      </c>
      <c r="H3687" s="7">
        <f t="shared" si="234"/>
        <v>0</v>
      </c>
      <c r="I3687" s="7" t="str" cm="1">
        <f t="array" ref="I3687">IFERROR(_xlfn.IFS(M3687="נח",1,M3687="נע ונח",1,M3687="שני שווא נח",2,M3687="שני שוואים בסוף מילה",2,M3687="שני שוואים ברצף",1),"0")</f>
        <v>0</v>
      </c>
      <c r="J3687" s="9">
        <f t="shared" si="235"/>
        <v>2</v>
      </c>
      <c r="K3687" t="s">
        <v>6698</v>
      </c>
      <c r="L3687" t="s">
        <v>6695</v>
      </c>
      <c r="O3687" t="s">
        <v>6694</v>
      </c>
      <c r="S3687" t="s">
        <v>6694</v>
      </c>
      <c r="W3687" t="s">
        <v>6720</v>
      </c>
    </row>
    <row r="3688" spans="1:23" ht="15.6" x14ac:dyDescent="0.4">
      <c r="A3688" s="2" t="s">
        <v>3269</v>
      </c>
      <c r="B3688" s="5" t="s">
        <v>9972</v>
      </c>
      <c r="C3688" s="7" t="s">
        <v>12556</v>
      </c>
      <c r="D3688" s="8">
        <f t="shared" si="232"/>
        <v>2</v>
      </c>
      <c r="E3688" s="7" t="s">
        <v>12557</v>
      </c>
      <c r="F3688" s="7">
        <f t="shared" si="233"/>
        <v>0</v>
      </c>
      <c r="G3688" s="7" t="s">
        <v>12558</v>
      </c>
      <c r="H3688" s="7">
        <f t="shared" si="234"/>
        <v>0</v>
      </c>
      <c r="I3688" s="7" t="str" cm="1">
        <f t="array" ref="I3688">IFERROR(_xlfn.IFS(M3688="נח",1,M3688="נע ונח",1,M3688="שני שווא נח",2,M3688="שני שוואים בסוף מילה",2,M3688="שני שוואים ברצף",1),"0")</f>
        <v>0</v>
      </c>
      <c r="J3688" s="9">
        <f t="shared" si="235"/>
        <v>2</v>
      </c>
      <c r="K3688" t="s">
        <v>6698</v>
      </c>
      <c r="L3688" t="s">
        <v>6695</v>
      </c>
      <c r="O3688" t="s">
        <v>6694</v>
      </c>
      <c r="S3688" t="s">
        <v>6694</v>
      </c>
      <c r="W3688" t="s">
        <v>6720</v>
      </c>
    </row>
    <row r="3689" spans="1:23" ht="15.6" x14ac:dyDescent="0.4">
      <c r="A3689" s="2" t="s">
        <v>3540</v>
      </c>
      <c r="B3689" s="5" t="s">
        <v>9973</v>
      </c>
      <c r="C3689" s="7" t="s">
        <v>12556</v>
      </c>
      <c r="D3689" s="8">
        <f t="shared" si="232"/>
        <v>2</v>
      </c>
      <c r="E3689" s="7" t="s">
        <v>12557</v>
      </c>
      <c r="F3689" s="7">
        <f t="shared" si="233"/>
        <v>1</v>
      </c>
      <c r="G3689" s="7" t="s">
        <v>12558</v>
      </c>
      <c r="H3689" s="7">
        <f t="shared" si="234"/>
        <v>1</v>
      </c>
      <c r="I3689" s="7" t="str" cm="1">
        <f t="array" ref="I3689">IFERROR(_xlfn.IFS(M3689="נח",1,M3689="נע ונח",1,M3689="שני שווא נח",2,M3689="שני שוואים בסוף מילה",2,M3689="שני שוואים ברצף",1),"0")</f>
        <v>0</v>
      </c>
      <c r="J3689" s="9">
        <f t="shared" si="235"/>
        <v>3</v>
      </c>
      <c r="K3689" t="s">
        <v>6697</v>
      </c>
      <c r="L3689" t="s">
        <v>6695</v>
      </c>
      <c r="O3689" t="s">
        <v>6694</v>
      </c>
      <c r="S3689" t="s">
        <v>6694</v>
      </c>
      <c r="U3689" t="s">
        <v>6694</v>
      </c>
      <c r="W3689" t="s">
        <v>6720</v>
      </c>
    </row>
    <row r="3690" spans="1:23" ht="15.6" x14ac:dyDescent="0.4">
      <c r="A3690" s="2" t="s">
        <v>1597</v>
      </c>
      <c r="B3690" s="5" t="s">
        <v>9974</v>
      </c>
      <c r="C3690" s="7" t="s">
        <v>12556</v>
      </c>
      <c r="D3690" s="8">
        <f t="shared" si="232"/>
        <v>1</v>
      </c>
      <c r="E3690" s="7" t="s">
        <v>12557</v>
      </c>
      <c r="F3690" s="7">
        <f t="shared" si="233"/>
        <v>0</v>
      </c>
      <c r="G3690" s="7" t="s">
        <v>12558</v>
      </c>
      <c r="H3690" s="7">
        <f t="shared" si="234"/>
        <v>0</v>
      </c>
      <c r="I3690" s="7" t="str" cm="1">
        <f t="array" ref="I3690">IFERROR(_xlfn.IFS(M3690="נח",1,M3690="נע ונח",1,M3690="שני שווא נח",2,M3690="שני שוואים בסוף מילה",2,M3690="שני שוואים ברצף",1),"0")</f>
        <v>0</v>
      </c>
      <c r="J3690" s="9">
        <f t="shared" si="235"/>
        <v>2</v>
      </c>
      <c r="K3690" t="s">
        <v>6698</v>
      </c>
      <c r="L3690" t="s">
        <v>6695</v>
      </c>
      <c r="O3690" t="s">
        <v>6694</v>
      </c>
      <c r="Q3690" t="s">
        <v>6694</v>
      </c>
      <c r="W3690" t="s">
        <v>6720</v>
      </c>
    </row>
    <row r="3691" spans="1:23" ht="15.6" x14ac:dyDescent="0.4">
      <c r="A3691" s="2" t="s">
        <v>1328</v>
      </c>
      <c r="B3691" s="5" t="s">
        <v>9975</v>
      </c>
      <c r="C3691" s="7" t="s">
        <v>12556</v>
      </c>
      <c r="D3691" s="8">
        <f t="shared" si="232"/>
        <v>0</v>
      </c>
      <c r="E3691" s="7" t="s">
        <v>12557</v>
      </c>
      <c r="F3691" s="7">
        <f t="shared" si="233"/>
        <v>0</v>
      </c>
      <c r="G3691" s="7" t="s">
        <v>12558</v>
      </c>
      <c r="H3691" s="7">
        <f t="shared" si="234"/>
        <v>0</v>
      </c>
      <c r="I3691" s="7" t="str" cm="1">
        <f t="array" ref="I3691">IFERROR(_xlfn.IFS(M3691="נח",1,M3691="נע ונח",1,M3691="שני שווא נח",2,M3691="שני שוואים בסוף מילה",2,M3691="שני שוואים ברצף",1),"0")</f>
        <v>0</v>
      </c>
      <c r="J3691" s="9">
        <f t="shared" si="235"/>
        <v>2</v>
      </c>
      <c r="K3691" t="s">
        <v>6698</v>
      </c>
      <c r="L3691" t="s">
        <v>6695</v>
      </c>
      <c r="O3691" t="s">
        <v>6694</v>
      </c>
      <c r="V3691" t="s">
        <v>6694</v>
      </c>
      <c r="W3691" t="s">
        <v>6720</v>
      </c>
    </row>
    <row r="3692" spans="1:23" ht="15.6" x14ac:dyDescent="0.4">
      <c r="A3692" s="2" t="s">
        <v>4473</v>
      </c>
      <c r="B3692" s="5" t="s">
        <v>9976</v>
      </c>
      <c r="C3692" s="7" t="s">
        <v>12556</v>
      </c>
      <c r="D3692" s="8">
        <f t="shared" si="232"/>
        <v>0</v>
      </c>
      <c r="E3692" s="7" t="s">
        <v>12557</v>
      </c>
      <c r="F3692" s="7">
        <f t="shared" si="233"/>
        <v>1</v>
      </c>
      <c r="G3692" s="7" t="s">
        <v>12558</v>
      </c>
      <c r="H3692" s="7">
        <f t="shared" si="234"/>
        <v>1</v>
      </c>
      <c r="I3692" s="7" cm="1">
        <f t="array" ref="I3692">IFERROR(_xlfn.IFS(M3692="נח",1,M3692="נע ונח",1,M3692="שני שווא נח",2,M3692="שני שוואים בסוף מילה",2,M3692="שני שוואים ברצף",1),"0")</f>
        <v>1</v>
      </c>
      <c r="J3692" s="9">
        <f t="shared" si="235"/>
        <v>2</v>
      </c>
      <c r="K3692" t="s">
        <v>6697</v>
      </c>
      <c r="L3692" t="s">
        <v>6694</v>
      </c>
      <c r="M3692" t="s">
        <v>6705</v>
      </c>
      <c r="U3692" t="s">
        <v>6694</v>
      </c>
      <c r="V3692" t="s">
        <v>6694</v>
      </c>
      <c r="W3692" t="s">
        <v>6720</v>
      </c>
    </row>
    <row r="3693" spans="1:23" ht="15.6" x14ac:dyDescent="0.4">
      <c r="A3693" s="2" t="s">
        <v>2525</v>
      </c>
      <c r="B3693" s="5" t="s">
        <v>9976</v>
      </c>
      <c r="C3693" s="7" t="s">
        <v>12556</v>
      </c>
      <c r="D3693" s="8">
        <f t="shared" si="232"/>
        <v>0</v>
      </c>
      <c r="E3693" s="7" t="s">
        <v>12557</v>
      </c>
      <c r="F3693" s="7">
        <f t="shared" si="233"/>
        <v>1</v>
      </c>
      <c r="G3693" s="7" t="s">
        <v>12558</v>
      </c>
      <c r="H3693" s="7">
        <f t="shared" si="234"/>
        <v>1</v>
      </c>
      <c r="I3693" s="7" t="str" cm="1">
        <f t="array" ref="I3693">IFERROR(_xlfn.IFS(M3693="נח",1,M3693="נע ונח",1,M3693="שני שווא נח",2,M3693="שני שוואים בסוף מילה",2,M3693="שני שוואים ברצף",1),"0")</f>
        <v>0</v>
      </c>
      <c r="J3693" s="9">
        <f t="shared" si="235"/>
        <v>3</v>
      </c>
      <c r="K3693" t="s">
        <v>6697</v>
      </c>
      <c r="L3693" t="s">
        <v>6695</v>
      </c>
      <c r="Q3693" t="s">
        <v>6694</v>
      </c>
      <c r="U3693" t="s">
        <v>6694</v>
      </c>
      <c r="V3693" t="s">
        <v>6694</v>
      </c>
      <c r="W3693" t="s">
        <v>6720</v>
      </c>
    </row>
    <row r="3694" spans="1:23" ht="15.6" x14ac:dyDescent="0.4">
      <c r="A3694" s="2" t="s">
        <v>5910</v>
      </c>
      <c r="B3694" s="5" t="s">
        <v>9977</v>
      </c>
      <c r="C3694" s="7" t="s">
        <v>12556</v>
      </c>
      <c r="D3694" s="8">
        <f t="shared" si="232"/>
        <v>0</v>
      </c>
      <c r="E3694" s="7" t="s">
        <v>12557</v>
      </c>
      <c r="F3694" s="7">
        <f t="shared" si="233"/>
        <v>1</v>
      </c>
      <c r="G3694" s="7" t="s">
        <v>12558</v>
      </c>
      <c r="H3694" s="7">
        <f t="shared" si="234"/>
        <v>1</v>
      </c>
      <c r="I3694" s="7" cm="1">
        <f t="array" ref="I3694">IFERROR(_xlfn.IFS(M3694="נח",1,M3694="נע ונח",1,M3694="שני שווא נח",2,M3694="שני שוואים בסוף מילה",2,M3694="שני שוואים ברצף",1),"0")</f>
        <v>1</v>
      </c>
      <c r="J3694" s="9">
        <f t="shared" si="235"/>
        <v>2</v>
      </c>
      <c r="K3694" t="s">
        <v>6697</v>
      </c>
      <c r="L3694" t="s">
        <v>6694</v>
      </c>
      <c r="M3694" t="s">
        <v>6705</v>
      </c>
      <c r="U3694" t="s">
        <v>6694</v>
      </c>
      <c r="V3694" t="s">
        <v>6694</v>
      </c>
      <c r="W3694" t="s">
        <v>6720</v>
      </c>
    </row>
    <row r="3695" spans="1:23" ht="15.6" x14ac:dyDescent="0.4">
      <c r="A3695" s="2" t="s">
        <v>5082</v>
      </c>
      <c r="B3695" s="5" t="s">
        <v>9978</v>
      </c>
      <c r="C3695" s="7" t="s">
        <v>12556</v>
      </c>
      <c r="D3695" s="8">
        <f t="shared" si="232"/>
        <v>0</v>
      </c>
      <c r="E3695" s="7" t="s">
        <v>12557</v>
      </c>
      <c r="F3695" s="7">
        <f t="shared" si="233"/>
        <v>0</v>
      </c>
      <c r="G3695" s="7" t="s">
        <v>12558</v>
      </c>
      <c r="H3695" s="7">
        <f t="shared" si="234"/>
        <v>0</v>
      </c>
      <c r="I3695" s="7" cm="1">
        <f t="array" ref="I3695">IFERROR(_xlfn.IFS(M3695="נח",1,M3695="נע ונח",1,M3695="שני שווא נח",2,M3695="שני שוואים בסוף מילה",2,M3695="שני שוואים ברצף",1),"0")</f>
        <v>1</v>
      </c>
      <c r="J3695" s="9">
        <f t="shared" si="235"/>
        <v>3</v>
      </c>
      <c r="K3695" t="s">
        <v>6697</v>
      </c>
      <c r="L3695" t="s">
        <v>6694</v>
      </c>
      <c r="M3695" t="s">
        <v>6705</v>
      </c>
      <c r="O3695" t="s">
        <v>6694</v>
      </c>
      <c r="T3695" t="s">
        <v>6694</v>
      </c>
      <c r="V3695" t="s">
        <v>6694</v>
      </c>
      <c r="W3695" t="s">
        <v>6720</v>
      </c>
    </row>
    <row r="3696" spans="1:23" ht="15.6" x14ac:dyDescent="0.4">
      <c r="A3696" s="2" t="s">
        <v>1512</v>
      </c>
      <c r="B3696" s="5" t="s">
        <v>9979</v>
      </c>
      <c r="C3696" s="7" t="s">
        <v>12556</v>
      </c>
      <c r="D3696" s="8">
        <f t="shared" si="232"/>
        <v>0</v>
      </c>
      <c r="E3696" s="7" t="s">
        <v>12557</v>
      </c>
      <c r="F3696" s="7">
        <f t="shared" si="233"/>
        <v>1</v>
      </c>
      <c r="G3696" s="7" t="s">
        <v>12558</v>
      </c>
      <c r="H3696" s="7">
        <f t="shared" si="234"/>
        <v>1</v>
      </c>
      <c r="I3696" s="7" cm="1">
        <f t="array" ref="I3696">IFERROR(_xlfn.IFS(M3696="נח",1,M3696="נע ונח",1,M3696="שני שווא נח",2,M3696="שני שוואים בסוף מילה",2,M3696="שני שוואים ברצף",1),"0")</f>
        <v>1</v>
      </c>
      <c r="J3696" s="9">
        <f t="shared" si="235"/>
        <v>2</v>
      </c>
      <c r="K3696" t="s">
        <v>6697</v>
      </c>
      <c r="L3696" t="s">
        <v>6694</v>
      </c>
      <c r="M3696" t="s">
        <v>6705</v>
      </c>
      <c r="U3696" t="s">
        <v>6694</v>
      </c>
      <c r="V3696" t="s">
        <v>6694</v>
      </c>
      <c r="W3696" t="s">
        <v>6720</v>
      </c>
    </row>
    <row r="3697" spans="1:23" ht="15.6" x14ac:dyDescent="0.4">
      <c r="A3697" s="2" t="s">
        <v>1701</v>
      </c>
      <c r="B3697" s="5" t="s">
        <v>9751</v>
      </c>
      <c r="C3697" s="7" t="s">
        <v>12556</v>
      </c>
      <c r="D3697" s="8">
        <f t="shared" si="232"/>
        <v>0</v>
      </c>
      <c r="E3697" s="7" t="s">
        <v>12557</v>
      </c>
      <c r="F3697" s="7">
        <f t="shared" si="233"/>
        <v>0</v>
      </c>
      <c r="G3697" s="7" t="s">
        <v>12558</v>
      </c>
      <c r="H3697" s="7">
        <f t="shared" si="234"/>
        <v>0</v>
      </c>
      <c r="I3697" s="7" t="str" cm="1">
        <f t="array" ref="I3697">IFERROR(_xlfn.IFS(M3697="נח",1,M3697="נע ונח",1,M3697="שני שווא נח",2,M3697="שני שוואים בסוף מילה",2,M3697="שני שוואים ברצף",1),"0")</f>
        <v>0</v>
      </c>
      <c r="J3697" s="9">
        <f t="shared" si="235"/>
        <v>2</v>
      </c>
      <c r="K3697" t="s">
        <v>6698</v>
      </c>
      <c r="L3697" t="s">
        <v>6695</v>
      </c>
      <c r="P3697" t="s">
        <v>6694</v>
      </c>
      <c r="V3697" t="s">
        <v>6694</v>
      </c>
      <c r="W3697" t="s">
        <v>6720</v>
      </c>
    </row>
    <row r="3698" spans="1:23" ht="15.6" x14ac:dyDescent="0.4">
      <c r="A3698" s="2" t="s">
        <v>4264</v>
      </c>
      <c r="B3698" s="5" t="s">
        <v>9980</v>
      </c>
      <c r="C3698" s="7" t="s">
        <v>12556</v>
      </c>
      <c r="D3698" s="8">
        <f t="shared" si="232"/>
        <v>0</v>
      </c>
      <c r="E3698" s="7" t="s">
        <v>12557</v>
      </c>
      <c r="F3698" s="7">
        <f t="shared" si="233"/>
        <v>0</v>
      </c>
      <c r="G3698" s="7" t="s">
        <v>12558</v>
      </c>
      <c r="H3698" s="7">
        <f t="shared" si="234"/>
        <v>0</v>
      </c>
      <c r="I3698" s="7" t="str" cm="1">
        <f t="array" ref="I3698">IFERROR(_xlfn.IFS(M3698="נח",1,M3698="נע ונח",1,M3698="שני שווא נח",2,M3698="שני שוואים בסוף מילה",2,M3698="שני שוואים ברצף",1),"0")</f>
        <v>0</v>
      </c>
      <c r="J3698" s="9">
        <f t="shared" si="235"/>
        <v>4</v>
      </c>
      <c r="K3698" t="s">
        <v>6697</v>
      </c>
      <c r="L3698" t="s">
        <v>6695</v>
      </c>
      <c r="Q3698" t="s">
        <v>6694</v>
      </c>
      <c r="S3698" t="s">
        <v>6694</v>
      </c>
      <c r="V3698" t="s">
        <v>6694</v>
      </c>
      <c r="W3698" t="s">
        <v>6720</v>
      </c>
    </row>
    <row r="3699" spans="1:23" ht="15.6" x14ac:dyDescent="0.4">
      <c r="A3699" s="2" t="s">
        <v>98</v>
      </c>
      <c r="B3699" s="5" t="s">
        <v>9755</v>
      </c>
      <c r="C3699" s="7" t="s">
        <v>12556</v>
      </c>
      <c r="D3699" s="8">
        <f t="shared" si="232"/>
        <v>0</v>
      </c>
      <c r="E3699" s="7" t="s">
        <v>12557</v>
      </c>
      <c r="F3699" s="7">
        <f t="shared" si="233"/>
        <v>0</v>
      </c>
      <c r="G3699" s="7" t="s">
        <v>12558</v>
      </c>
      <c r="H3699" s="7">
        <f t="shared" si="234"/>
        <v>0</v>
      </c>
      <c r="I3699" s="7" t="str" cm="1">
        <f t="array" ref="I3699">IFERROR(_xlfn.IFS(M3699="נח",1,M3699="נע ונח",1,M3699="שני שווא נח",2,M3699="שני שוואים בסוף מילה",2,M3699="שני שוואים ברצף",1),"0")</f>
        <v>0</v>
      </c>
      <c r="J3699" s="9">
        <f t="shared" si="235"/>
        <v>3</v>
      </c>
      <c r="K3699" t="s">
        <v>6697</v>
      </c>
      <c r="L3699" t="s">
        <v>6695</v>
      </c>
      <c r="P3699" t="s">
        <v>6694</v>
      </c>
      <c r="Q3699" t="s">
        <v>6694</v>
      </c>
      <c r="V3699" t="s">
        <v>6694</v>
      </c>
      <c r="W3699" t="s">
        <v>6720</v>
      </c>
    </row>
    <row r="3700" spans="1:23" ht="15.6" x14ac:dyDescent="0.4">
      <c r="A3700" s="2" t="s">
        <v>5063</v>
      </c>
      <c r="B3700" s="5" t="s">
        <v>9899</v>
      </c>
      <c r="C3700" s="7" t="s">
        <v>12556</v>
      </c>
      <c r="D3700" s="8">
        <f t="shared" si="232"/>
        <v>0</v>
      </c>
      <c r="E3700" s="7" t="s">
        <v>12557</v>
      </c>
      <c r="F3700" s="7">
        <f t="shared" si="233"/>
        <v>0</v>
      </c>
      <c r="G3700" s="7" t="s">
        <v>12558</v>
      </c>
      <c r="H3700" s="7">
        <f t="shared" si="234"/>
        <v>0</v>
      </c>
      <c r="I3700" s="7" t="str" cm="1">
        <f t="array" ref="I3700">IFERROR(_xlfn.IFS(M3700="נח",1,M3700="נע ונח",1,M3700="שני שווא נח",2,M3700="שני שוואים בסוף מילה",2,M3700="שני שוואים ברצף",1),"0")</f>
        <v>0</v>
      </c>
      <c r="J3700" s="9">
        <f t="shared" si="235"/>
        <v>3</v>
      </c>
      <c r="K3700" t="s">
        <v>6698</v>
      </c>
      <c r="L3700" t="s">
        <v>6695</v>
      </c>
      <c r="P3700" t="s">
        <v>6694</v>
      </c>
      <c r="V3700" t="s">
        <v>6694</v>
      </c>
      <c r="W3700" t="s">
        <v>6720</v>
      </c>
    </row>
    <row r="3701" spans="1:23" ht="15.6" x14ac:dyDescent="0.4">
      <c r="A3701" s="2" t="s">
        <v>4742</v>
      </c>
      <c r="B3701" s="5" t="s">
        <v>9981</v>
      </c>
      <c r="C3701" s="7" t="s">
        <v>12556</v>
      </c>
      <c r="D3701" s="8">
        <f t="shared" si="232"/>
        <v>0</v>
      </c>
      <c r="E3701" s="7" t="s">
        <v>12557</v>
      </c>
      <c r="F3701" s="7">
        <f t="shared" si="233"/>
        <v>0</v>
      </c>
      <c r="G3701" s="7" t="s">
        <v>12558</v>
      </c>
      <c r="H3701" s="7">
        <f t="shared" si="234"/>
        <v>0</v>
      </c>
      <c r="I3701" s="7" t="str" cm="1">
        <f t="array" ref="I3701">IFERROR(_xlfn.IFS(M3701="נח",1,M3701="נע ונח",1,M3701="שני שווא נח",2,M3701="שני שוואים בסוף מילה",2,M3701="שני שוואים ברצף",1),"0")</f>
        <v>0</v>
      </c>
      <c r="J3701" s="9">
        <f t="shared" si="235"/>
        <v>2</v>
      </c>
      <c r="K3701" t="s">
        <v>6698</v>
      </c>
      <c r="L3701" t="s">
        <v>6695</v>
      </c>
      <c r="S3701" t="s">
        <v>6694</v>
      </c>
      <c r="V3701" t="s">
        <v>6694</v>
      </c>
      <c r="W3701" t="s">
        <v>6720</v>
      </c>
    </row>
    <row r="3702" spans="1:23" ht="15.6" x14ac:dyDescent="0.4">
      <c r="A3702" s="2" t="s">
        <v>5191</v>
      </c>
      <c r="B3702" s="5" t="s">
        <v>9982</v>
      </c>
      <c r="C3702" s="7" t="s">
        <v>12556</v>
      </c>
      <c r="D3702" s="8">
        <f t="shared" si="232"/>
        <v>0</v>
      </c>
      <c r="E3702" s="7" t="s">
        <v>12557</v>
      </c>
      <c r="F3702" s="7">
        <f t="shared" si="233"/>
        <v>0</v>
      </c>
      <c r="G3702" s="7" t="s">
        <v>12558</v>
      </c>
      <c r="H3702" s="7">
        <f t="shared" si="234"/>
        <v>0</v>
      </c>
      <c r="I3702" s="7" t="str" cm="1">
        <f t="array" ref="I3702">IFERROR(_xlfn.IFS(M3702="נח",1,M3702="נע ונח",1,M3702="שני שווא נח",2,M3702="שני שוואים בסוף מילה",2,M3702="שני שוואים ברצף",1),"0")</f>
        <v>0</v>
      </c>
      <c r="J3702" s="9">
        <f t="shared" si="235"/>
        <v>2</v>
      </c>
      <c r="K3702" t="s">
        <v>6698</v>
      </c>
      <c r="L3702" t="s">
        <v>6695</v>
      </c>
      <c r="Q3702" t="s">
        <v>6694</v>
      </c>
      <c r="V3702" t="s">
        <v>6694</v>
      </c>
      <c r="W3702" t="s">
        <v>6720</v>
      </c>
    </row>
    <row r="3703" spans="1:23" ht="15.6" x14ac:dyDescent="0.4">
      <c r="A3703" s="2" t="s">
        <v>5292</v>
      </c>
      <c r="B3703" s="5" t="s">
        <v>9983</v>
      </c>
      <c r="C3703" s="7" t="s">
        <v>12556</v>
      </c>
      <c r="D3703" s="8">
        <f t="shared" si="232"/>
        <v>0</v>
      </c>
      <c r="E3703" s="7" t="s">
        <v>12557</v>
      </c>
      <c r="F3703" s="7">
        <f t="shared" si="233"/>
        <v>0</v>
      </c>
      <c r="G3703" s="7" t="s">
        <v>12558</v>
      </c>
      <c r="H3703" s="7">
        <f t="shared" si="234"/>
        <v>0</v>
      </c>
      <c r="I3703" s="7" t="str" cm="1">
        <f t="array" ref="I3703">IFERROR(_xlfn.IFS(M3703="נח",1,M3703="נע ונח",1,M3703="שני שווא נח",2,M3703="שני שוואים בסוף מילה",2,M3703="שני שוואים ברצף",1),"0")</f>
        <v>0</v>
      </c>
      <c r="J3703" s="9">
        <f t="shared" si="235"/>
        <v>2</v>
      </c>
      <c r="K3703" t="s">
        <v>6697</v>
      </c>
      <c r="L3703" t="s">
        <v>6695</v>
      </c>
      <c r="S3703" t="s">
        <v>6694</v>
      </c>
      <c r="V3703" t="s">
        <v>6694</v>
      </c>
      <c r="W3703" t="s">
        <v>6720</v>
      </c>
    </row>
    <row r="3704" spans="1:23" ht="15.6" x14ac:dyDescent="0.4">
      <c r="A3704" s="2" t="s">
        <v>3267</v>
      </c>
      <c r="B3704" s="5" t="s">
        <v>9760</v>
      </c>
      <c r="C3704" s="7" t="s">
        <v>12556</v>
      </c>
      <c r="D3704" s="8">
        <f t="shared" si="232"/>
        <v>0</v>
      </c>
      <c r="E3704" s="7" t="s">
        <v>12557</v>
      </c>
      <c r="F3704" s="7">
        <f t="shared" si="233"/>
        <v>0</v>
      </c>
      <c r="G3704" s="7" t="s">
        <v>12558</v>
      </c>
      <c r="H3704" s="7">
        <f t="shared" si="234"/>
        <v>0</v>
      </c>
      <c r="I3704" s="7" t="str" cm="1">
        <f t="array" ref="I3704">IFERROR(_xlfn.IFS(M3704="נח",1,M3704="נע ונח",1,M3704="שני שווא נח",2,M3704="שני שוואים בסוף מילה",2,M3704="שני שוואים ברצף",1),"0")</f>
        <v>0</v>
      </c>
      <c r="J3704" s="9">
        <f t="shared" si="235"/>
        <v>2</v>
      </c>
      <c r="K3704" t="s">
        <v>6697</v>
      </c>
      <c r="L3704" t="s">
        <v>6695</v>
      </c>
      <c r="Q3704" t="s">
        <v>6694</v>
      </c>
      <c r="V3704" t="s">
        <v>6694</v>
      </c>
      <c r="W3704" t="s">
        <v>6720</v>
      </c>
    </row>
    <row r="3705" spans="1:23" ht="15.6" x14ac:dyDescent="0.4">
      <c r="A3705" s="2" t="s">
        <v>92</v>
      </c>
      <c r="B3705" s="5" t="s">
        <v>9984</v>
      </c>
      <c r="C3705" s="7" t="s">
        <v>12556</v>
      </c>
      <c r="D3705" s="8">
        <f t="shared" si="232"/>
        <v>0</v>
      </c>
      <c r="E3705" s="7" t="s">
        <v>12557</v>
      </c>
      <c r="F3705" s="7">
        <f t="shared" si="233"/>
        <v>0</v>
      </c>
      <c r="G3705" s="7" t="s">
        <v>12558</v>
      </c>
      <c r="H3705" s="7">
        <f t="shared" si="234"/>
        <v>0</v>
      </c>
      <c r="I3705" s="7" t="str" cm="1">
        <f t="array" ref="I3705">IFERROR(_xlfn.IFS(M3705="נח",1,M3705="נע ונח",1,M3705="שני שווא נח",2,M3705="שני שוואים בסוף מילה",2,M3705="שני שוואים ברצף",1),"0")</f>
        <v>0</v>
      </c>
      <c r="J3705" s="9">
        <f t="shared" si="235"/>
        <v>2</v>
      </c>
      <c r="K3705" t="s">
        <v>6698</v>
      </c>
      <c r="L3705" t="s">
        <v>6695</v>
      </c>
      <c r="Q3705" t="s">
        <v>6694</v>
      </c>
      <c r="V3705" t="s">
        <v>6694</v>
      </c>
      <c r="W3705" t="s">
        <v>6720</v>
      </c>
    </row>
    <row r="3706" spans="1:23" ht="15.6" x14ac:dyDescent="0.4">
      <c r="A3706" s="2" t="s">
        <v>5197</v>
      </c>
      <c r="B3706" s="5" t="s">
        <v>9985</v>
      </c>
      <c r="C3706" s="7" t="s">
        <v>12556</v>
      </c>
      <c r="D3706" s="8">
        <f t="shared" si="232"/>
        <v>0</v>
      </c>
      <c r="E3706" s="7" t="s">
        <v>12557</v>
      </c>
      <c r="F3706" s="7">
        <f t="shared" si="233"/>
        <v>0</v>
      </c>
      <c r="G3706" s="7" t="s">
        <v>12558</v>
      </c>
      <c r="H3706" s="7">
        <f t="shared" si="234"/>
        <v>0</v>
      </c>
      <c r="I3706" s="7" cm="1">
        <f t="array" ref="I3706">IFERROR(_xlfn.IFS(M3706="נח",1,M3706="נע ונח",1,M3706="שני שווא נח",2,M3706="שני שוואים בסוף מילה",2,M3706="שני שוואים ברצף",1),"0")</f>
        <v>1</v>
      </c>
      <c r="J3706" s="9">
        <f t="shared" si="235"/>
        <v>2</v>
      </c>
      <c r="K3706" t="s">
        <v>6698</v>
      </c>
      <c r="L3706" t="s">
        <v>6694</v>
      </c>
      <c r="M3706" t="s">
        <v>6705</v>
      </c>
      <c r="Q3706" t="s">
        <v>6694</v>
      </c>
      <c r="V3706" t="s">
        <v>6694</v>
      </c>
      <c r="W3706" t="s">
        <v>6720</v>
      </c>
    </row>
    <row r="3707" spans="1:23" ht="15.6" x14ac:dyDescent="0.4">
      <c r="A3707" s="2" t="s">
        <v>4336</v>
      </c>
      <c r="B3707" s="5" t="s">
        <v>9986</v>
      </c>
      <c r="C3707" s="7" t="s">
        <v>12556</v>
      </c>
      <c r="D3707" s="8">
        <f t="shared" si="232"/>
        <v>0</v>
      </c>
      <c r="E3707" s="7" t="s">
        <v>12557</v>
      </c>
      <c r="F3707" s="7">
        <f t="shared" si="233"/>
        <v>1</v>
      </c>
      <c r="G3707" s="7" t="s">
        <v>12558</v>
      </c>
      <c r="H3707" s="7">
        <f t="shared" si="234"/>
        <v>1</v>
      </c>
      <c r="I3707" s="7" t="str" cm="1">
        <f t="array" ref="I3707">IFERROR(_xlfn.IFS(M3707="נח",1,M3707="נע ונח",1,M3707="שני שווא נח",2,M3707="שני שוואים בסוף מילה",2,M3707="שני שוואים ברצף",1),"0")</f>
        <v>0</v>
      </c>
      <c r="J3707" s="9">
        <f t="shared" si="235"/>
        <v>3</v>
      </c>
      <c r="K3707" t="s">
        <v>6697</v>
      </c>
      <c r="L3707" t="s">
        <v>6695</v>
      </c>
      <c r="T3707" t="s">
        <v>6694</v>
      </c>
      <c r="U3707" t="s">
        <v>6694</v>
      </c>
      <c r="V3707" t="s">
        <v>6694</v>
      </c>
      <c r="W3707" t="s">
        <v>6720</v>
      </c>
    </row>
    <row r="3708" spans="1:23" ht="15.6" x14ac:dyDescent="0.4">
      <c r="A3708" s="2" t="s">
        <v>417</v>
      </c>
      <c r="B3708" s="5" t="s">
        <v>9987</v>
      </c>
      <c r="C3708" s="7" t="s">
        <v>12556</v>
      </c>
      <c r="D3708" s="8">
        <f t="shared" si="232"/>
        <v>1</v>
      </c>
      <c r="E3708" s="7" t="s">
        <v>12557</v>
      </c>
      <c r="F3708" s="7">
        <f t="shared" si="233"/>
        <v>0</v>
      </c>
      <c r="G3708" s="7" t="s">
        <v>12558</v>
      </c>
      <c r="H3708" s="7">
        <f t="shared" si="234"/>
        <v>0</v>
      </c>
      <c r="I3708" s="7" cm="1">
        <f t="array" ref="I3708">IFERROR(_xlfn.IFS(M3708="נח",1,M3708="נע ונח",1,M3708="שני שווא נח",2,M3708="שני שוואים בסוף מילה",2,M3708="שני שוואים ברצף",1),"0")</f>
        <v>1</v>
      </c>
      <c r="J3708" s="9">
        <f t="shared" si="235"/>
        <v>2</v>
      </c>
      <c r="K3708" t="s">
        <v>6698</v>
      </c>
      <c r="L3708" t="s">
        <v>6694</v>
      </c>
      <c r="M3708" t="s">
        <v>6705</v>
      </c>
      <c r="Q3708" t="s">
        <v>6694</v>
      </c>
      <c r="V3708" t="s">
        <v>6694</v>
      </c>
      <c r="W3708" t="s">
        <v>6720</v>
      </c>
    </row>
    <row r="3709" spans="1:23" ht="15.6" x14ac:dyDescent="0.4">
      <c r="A3709" s="2" t="s">
        <v>4660</v>
      </c>
      <c r="B3709" s="5" t="s">
        <v>9988</v>
      </c>
      <c r="C3709" s="7" t="s">
        <v>12556</v>
      </c>
      <c r="D3709" s="8">
        <f t="shared" si="232"/>
        <v>1</v>
      </c>
      <c r="E3709" s="7" t="s">
        <v>12557</v>
      </c>
      <c r="F3709" s="7">
        <f t="shared" si="233"/>
        <v>0</v>
      </c>
      <c r="G3709" s="7" t="s">
        <v>12558</v>
      </c>
      <c r="H3709" s="7">
        <f t="shared" si="234"/>
        <v>0</v>
      </c>
      <c r="I3709" s="7" cm="1">
        <f t="array" ref="I3709">IFERROR(_xlfn.IFS(M3709="נח",1,M3709="נע ונח",1,M3709="שני שווא נח",2,M3709="שני שוואים בסוף מילה",2,M3709="שני שוואים ברצף",1),"0")</f>
        <v>1</v>
      </c>
      <c r="J3709" s="9">
        <f t="shared" si="235"/>
        <v>3</v>
      </c>
      <c r="K3709" t="s">
        <v>6698</v>
      </c>
      <c r="L3709" t="s">
        <v>6694</v>
      </c>
      <c r="M3709" t="s">
        <v>6705</v>
      </c>
      <c r="O3709" t="s">
        <v>6694</v>
      </c>
      <c r="R3709" t="s">
        <v>6694</v>
      </c>
      <c r="V3709" t="s">
        <v>6694</v>
      </c>
      <c r="W3709" t="s">
        <v>6720</v>
      </c>
    </row>
    <row r="3710" spans="1:23" ht="15.6" x14ac:dyDescent="0.4">
      <c r="A3710" s="2" t="s">
        <v>2134</v>
      </c>
      <c r="B3710" s="5" t="s">
        <v>9764</v>
      </c>
      <c r="C3710" s="7" t="s">
        <v>12556</v>
      </c>
      <c r="D3710" s="8">
        <f t="shared" si="232"/>
        <v>1</v>
      </c>
      <c r="E3710" s="7" t="s">
        <v>12557</v>
      </c>
      <c r="F3710" s="7">
        <f t="shared" si="233"/>
        <v>0</v>
      </c>
      <c r="G3710" s="7" t="s">
        <v>12558</v>
      </c>
      <c r="H3710" s="7">
        <f t="shared" si="234"/>
        <v>0</v>
      </c>
      <c r="I3710" s="7" t="str" cm="1">
        <f t="array" ref="I3710">IFERROR(_xlfn.IFS(M3710="נח",1,M3710="נע ונח",1,M3710="שני שווא נח",2,M3710="שני שוואים בסוף מילה",2,M3710="שני שוואים ברצף",1),"0")</f>
        <v>0</v>
      </c>
      <c r="J3710" s="9">
        <f t="shared" si="235"/>
        <v>2</v>
      </c>
      <c r="K3710" t="s">
        <v>6698</v>
      </c>
      <c r="L3710" t="s">
        <v>6695</v>
      </c>
      <c r="Q3710" t="s">
        <v>6694</v>
      </c>
      <c r="V3710" t="s">
        <v>6694</v>
      </c>
      <c r="W3710" t="s">
        <v>6720</v>
      </c>
    </row>
    <row r="3711" spans="1:23" ht="15.6" x14ac:dyDescent="0.4">
      <c r="A3711" s="2" t="s">
        <v>3015</v>
      </c>
      <c r="B3711" s="5" t="s">
        <v>9989</v>
      </c>
      <c r="C3711" s="7" t="s">
        <v>12556</v>
      </c>
      <c r="D3711" s="8">
        <f t="shared" si="232"/>
        <v>0</v>
      </c>
      <c r="E3711" s="7" t="s">
        <v>12557</v>
      </c>
      <c r="F3711" s="7">
        <f t="shared" si="233"/>
        <v>1</v>
      </c>
      <c r="G3711" s="7" t="s">
        <v>12558</v>
      </c>
      <c r="H3711" s="7">
        <f t="shared" si="234"/>
        <v>0</v>
      </c>
      <c r="I3711" s="7" t="str" cm="1">
        <f t="array" ref="I3711">IFERROR(_xlfn.IFS(M3711="נח",1,M3711="נע ונח",1,M3711="שני שווא נח",2,M3711="שני שוואים בסוף מילה",2,M3711="שני שוואים ברצף",1),"0")</f>
        <v>0</v>
      </c>
      <c r="J3711" s="9">
        <f t="shared" si="235"/>
        <v>2</v>
      </c>
      <c r="K3711" t="s">
        <v>6698</v>
      </c>
      <c r="L3711" t="s">
        <v>6695</v>
      </c>
      <c r="P3711" t="s">
        <v>6694</v>
      </c>
      <c r="T3711" t="s">
        <v>6694</v>
      </c>
      <c r="W3711" t="s">
        <v>6720</v>
      </c>
    </row>
    <row r="3712" spans="1:23" ht="15.6" x14ac:dyDescent="0.4">
      <c r="A3712" s="2" t="s">
        <v>5072</v>
      </c>
      <c r="B3712" s="5" t="s">
        <v>9936</v>
      </c>
      <c r="C3712" s="7" t="s">
        <v>12556</v>
      </c>
      <c r="D3712" s="8">
        <f t="shared" si="232"/>
        <v>0</v>
      </c>
      <c r="E3712" s="7" t="s">
        <v>12557</v>
      </c>
      <c r="F3712" s="7">
        <f t="shared" si="233"/>
        <v>2</v>
      </c>
      <c r="G3712" s="7" t="s">
        <v>12558</v>
      </c>
      <c r="H3712" s="7">
        <f t="shared" si="234"/>
        <v>1</v>
      </c>
      <c r="I3712" s="7" t="str" cm="1">
        <f t="array" ref="I3712">IFERROR(_xlfn.IFS(M3712="נח",1,M3712="נע ונח",1,M3712="שני שווא נח",2,M3712="שני שוואים בסוף מילה",2,M3712="שני שוואים ברצף",1),"0")</f>
        <v>0</v>
      </c>
      <c r="J3712" s="9">
        <f t="shared" si="235"/>
        <v>3</v>
      </c>
      <c r="K3712" t="s">
        <v>6697</v>
      </c>
      <c r="L3712" t="s">
        <v>6695</v>
      </c>
      <c r="O3712" t="s">
        <v>6694</v>
      </c>
      <c r="T3712" t="s">
        <v>6694</v>
      </c>
      <c r="U3712" t="s">
        <v>6694</v>
      </c>
      <c r="W3712" t="s">
        <v>6720</v>
      </c>
    </row>
    <row r="3713" spans="1:23" ht="15.6" x14ac:dyDescent="0.4">
      <c r="A3713" s="2" t="s">
        <v>4881</v>
      </c>
      <c r="B3713" s="5" t="s">
        <v>9990</v>
      </c>
      <c r="C3713" s="7" t="s">
        <v>12556</v>
      </c>
      <c r="D3713" s="8">
        <f t="shared" si="232"/>
        <v>0</v>
      </c>
      <c r="E3713" s="7" t="s">
        <v>12557</v>
      </c>
      <c r="F3713" s="7">
        <f t="shared" si="233"/>
        <v>1</v>
      </c>
      <c r="G3713" s="7" t="s">
        <v>12558</v>
      </c>
      <c r="H3713" s="7">
        <f t="shared" si="234"/>
        <v>0</v>
      </c>
      <c r="I3713" s="7" t="str" cm="1">
        <f t="array" ref="I3713">IFERROR(_xlfn.IFS(M3713="נח",1,M3713="נע ונח",1,M3713="שני שווא נח",2,M3713="שני שוואים בסוף מילה",2,M3713="שני שוואים ברצף",1),"0")</f>
        <v>0</v>
      </c>
      <c r="J3713" s="9">
        <f t="shared" si="235"/>
        <v>3</v>
      </c>
      <c r="K3713" t="s">
        <v>6698</v>
      </c>
      <c r="L3713" t="s">
        <v>6694</v>
      </c>
      <c r="M3713" t="s">
        <v>6700</v>
      </c>
      <c r="S3713" t="s">
        <v>6694</v>
      </c>
      <c r="V3713" t="s">
        <v>6694</v>
      </c>
      <c r="W3713" t="s">
        <v>6720</v>
      </c>
    </row>
    <row r="3714" spans="1:23" ht="15.6" x14ac:dyDescent="0.4">
      <c r="A3714" s="2" t="s">
        <v>1708</v>
      </c>
      <c r="B3714" s="5" t="s">
        <v>9846</v>
      </c>
      <c r="C3714" s="7" t="s">
        <v>12556</v>
      </c>
      <c r="D3714" s="8">
        <f t="shared" si="232"/>
        <v>1</v>
      </c>
      <c r="E3714" s="7" t="s">
        <v>12557</v>
      </c>
      <c r="F3714" s="7">
        <f t="shared" si="233"/>
        <v>1</v>
      </c>
      <c r="G3714" s="7" t="s">
        <v>12558</v>
      </c>
      <c r="H3714" s="7">
        <f t="shared" si="234"/>
        <v>0</v>
      </c>
      <c r="I3714" s="7" t="str" cm="1">
        <f t="array" ref="I3714">IFERROR(_xlfn.IFS(M3714="נח",1,M3714="נע ונח",1,M3714="שני שווא נח",2,M3714="שני שוואים בסוף מילה",2,M3714="שני שוואים ברצף",1),"0")</f>
        <v>0</v>
      </c>
      <c r="J3714" s="9">
        <f t="shared" si="235"/>
        <v>3</v>
      </c>
      <c r="K3714" t="s">
        <v>6697</v>
      </c>
      <c r="L3714" t="s">
        <v>6695</v>
      </c>
      <c r="P3714" t="s">
        <v>6694</v>
      </c>
      <c r="R3714" t="s">
        <v>6694</v>
      </c>
      <c r="W3714" t="s">
        <v>6720</v>
      </c>
    </row>
    <row r="3715" spans="1:23" ht="15.6" x14ac:dyDescent="0.4">
      <c r="A3715" s="2" t="s">
        <v>3318</v>
      </c>
      <c r="B3715" s="5" t="s">
        <v>9991</v>
      </c>
      <c r="C3715" s="7" t="s">
        <v>12556</v>
      </c>
      <c r="D3715" s="8">
        <f t="shared" ref="D3715:D3778" si="236">(LEN(B3715)-LEN(SUBSTITUTE(B3715,C3715,"")))</f>
        <v>0</v>
      </c>
      <c r="E3715" s="7" t="s">
        <v>12557</v>
      </c>
      <c r="F3715" s="7">
        <f t="shared" ref="F3715:F3778" si="237">(LEN(A3715)-LEN(SUBSTITUTE(A3715,E3715,"")))</f>
        <v>1</v>
      </c>
      <c r="G3715" s="7" t="s">
        <v>12558</v>
      </c>
      <c r="H3715" s="7">
        <f t="shared" ref="H3715:H3778" si="238">(LEN(A3715)-LEN(SUBSTITUTE(A3715,G3715,"")))/2</f>
        <v>0</v>
      </c>
      <c r="I3715" s="7" t="str" cm="1">
        <f t="array" ref="I3715">IFERROR(_xlfn.IFS(M3715="נח",1,M3715="נע ונח",1,M3715="שני שווא נח",2,M3715="שני שוואים בסוף מילה",2,M3715="שני שוואים ברצף",1),"0")</f>
        <v>0</v>
      </c>
      <c r="J3715" s="9">
        <f t="shared" ref="J3715:J3778" si="239">LEN(A3715)-(LEN(B3715))-D3715-F3715+H3715-I3715</f>
        <v>2</v>
      </c>
      <c r="K3715" t="s">
        <v>6698</v>
      </c>
      <c r="L3715" t="s">
        <v>6695</v>
      </c>
      <c r="O3715" t="s">
        <v>6694</v>
      </c>
      <c r="R3715" t="s">
        <v>6694</v>
      </c>
      <c r="W3715" t="s">
        <v>6720</v>
      </c>
    </row>
    <row r="3716" spans="1:23" ht="15.6" x14ac:dyDescent="0.4">
      <c r="A3716" s="2" t="s">
        <v>81</v>
      </c>
      <c r="B3716" s="5" t="s">
        <v>9903</v>
      </c>
      <c r="C3716" s="7" t="s">
        <v>12556</v>
      </c>
      <c r="D3716" s="8">
        <f t="shared" si="236"/>
        <v>0</v>
      </c>
      <c r="E3716" s="7" t="s">
        <v>12557</v>
      </c>
      <c r="F3716" s="7">
        <f t="shared" si="237"/>
        <v>2</v>
      </c>
      <c r="G3716" s="7" t="s">
        <v>12558</v>
      </c>
      <c r="H3716" s="7">
        <f t="shared" si="238"/>
        <v>0</v>
      </c>
      <c r="I3716" s="7" t="str" cm="1">
        <f t="array" ref="I3716">IFERROR(_xlfn.IFS(M3716="נח",1,M3716="נע ונח",1,M3716="שני שווא נח",2,M3716="שני שוואים בסוף מילה",2,M3716="שני שוואים ברצף",1),"0")</f>
        <v>0</v>
      </c>
      <c r="J3716" s="9">
        <f t="shared" si="239"/>
        <v>1</v>
      </c>
      <c r="K3716" t="s">
        <v>6697</v>
      </c>
      <c r="L3716" t="s">
        <v>6695</v>
      </c>
      <c r="N3716" t="s">
        <v>6706</v>
      </c>
      <c r="O3716" t="s">
        <v>6694</v>
      </c>
      <c r="W3716" t="s">
        <v>6720</v>
      </c>
    </row>
    <row r="3717" spans="1:23" ht="15.6" x14ac:dyDescent="0.4">
      <c r="A3717" s="2" t="s">
        <v>5646</v>
      </c>
      <c r="B3717" s="5" t="s">
        <v>9813</v>
      </c>
      <c r="C3717" s="7" t="s">
        <v>12556</v>
      </c>
      <c r="D3717" s="8">
        <f t="shared" si="236"/>
        <v>0</v>
      </c>
      <c r="E3717" s="7" t="s">
        <v>12557</v>
      </c>
      <c r="F3717" s="7">
        <f t="shared" si="237"/>
        <v>1</v>
      </c>
      <c r="G3717" s="7" t="s">
        <v>12558</v>
      </c>
      <c r="H3717" s="7">
        <f t="shared" si="238"/>
        <v>0</v>
      </c>
      <c r="I3717" s="7" t="str" cm="1">
        <f t="array" ref="I3717">IFERROR(_xlfn.IFS(M3717="נח",1,M3717="נע ונח",1,M3717="שני שווא נח",2,M3717="שני שוואים בסוף מילה",2,M3717="שני שוואים ברצף",1),"0")</f>
        <v>0</v>
      </c>
      <c r="J3717" s="9">
        <f t="shared" si="239"/>
        <v>2</v>
      </c>
      <c r="K3717" t="s">
        <v>6698</v>
      </c>
      <c r="L3717" t="s">
        <v>6695</v>
      </c>
      <c r="O3717" t="s">
        <v>6694</v>
      </c>
      <c r="P3717" t="s">
        <v>6694</v>
      </c>
      <c r="W3717" t="s">
        <v>6720</v>
      </c>
    </row>
    <row r="3718" spans="1:23" ht="15.6" x14ac:dyDescent="0.4">
      <c r="A3718" s="2" t="s">
        <v>5073</v>
      </c>
      <c r="B3718" s="5" t="s">
        <v>9992</v>
      </c>
      <c r="C3718" s="7" t="s">
        <v>12556</v>
      </c>
      <c r="D3718" s="8">
        <f t="shared" si="236"/>
        <v>0</v>
      </c>
      <c r="E3718" s="7" t="s">
        <v>12557</v>
      </c>
      <c r="F3718" s="7">
        <f t="shared" si="237"/>
        <v>2</v>
      </c>
      <c r="G3718" s="7" t="s">
        <v>12558</v>
      </c>
      <c r="H3718" s="7">
        <f t="shared" si="238"/>
        <v>1</v>
      </c>
      <c r="I3718" s="7" cm="1">
        <f t="array" ref="I3718">IFERROR(_xlfn.IFS(M3718="נח",1,M3718="נע ונח",1,M3718="שני שווא נח",2,M3718="שני שוואים בסוף מילה",2,M3718="שני שוואים ברצף",1),"0")</f>
        <v>1</v>
      </c>
      <c r="J3718" s="9">
        <f t="shared" si="239"/>
        <v>2</v>
      </c>
      <c r="K3718" t="s">
        <v>6697</v>
      </c>
      <c r="L3718" t="s">
        <v>6694</v>
      </c>
      <c r="M3718" t="s">
        <v>6705</v>
      </c>
      <c r="N3718" t="s">
        <v>6706</v>
      </c>
      <c r="O3718" t="s">
        <v>6694</v>
      </c>
      <c r="U3718" t="s">
        <v>6694</v>
      </c>
      <c r="W3718" t="s">
        <v>6720</v>
      </c>
    </row>
    <row r="3719" spans="1:23" ht="15.6" x14ac:dyDescent="0.4">
      <c r="A3719" s="2" t="s">
        <v>839</v>
      </c>
      <c r="B3719" s="5" t="s">
        <v>9940</v>
      </c>
      <c r="C3719" s="7" t="s">
        <v>12556</v>
      </c>
      <c r="D3719" s="8">
        <f t="shared" si="236"/>
        <v>0</v>
      </c>
      <c r="E3719" s="7" t="s">
        <v>12557</v>
      </c>
      <c r="F3719" s="7">
        <f t="shared" si="237"/>
        <v>1</v>
      </c>
      <c r="G3719" s="7" t="s">
        <v>12558</v>
      </c>
      <c r="H3719" s="7">
        <f t="shared" si="238"/>
        <v>0</v>
      </c>
      <c r="I3719" s="7" t="str" cm="1">
        <f t="array" ref="I3719">IFERROR(_xlfn.IFS(M3719="נח",1,M3719="נע ונח",1,M3719="שני שווא נח",2,M3719="שני שוואים בסוף מילה",2,M3719="שני שוואים ברצף",1),"0")</f>
        <v>0</v>
      </c>
      <c r="J3719" s="9">
        <f t="shared" si="239"/>
        <v>2</v>
      </c>
      <c r="K3719" t="s">
        <v>6698</v>
      </c>
      <c r="L3719" t="s">
        <v>6695</v>
      </c>
      <c r="N3719" t="s">
        <v>6706</v>
      </c>
      <c r="O3719" t="s">
        <v>6694</v>
      </c>
      <c r="W3719" t="s">
        <v>6720</v>
      </c>
    </row>
    <row r="3720" spans="1:23" ht="15.6" x14ac:dyDescent="0.4">
      <c r="A3720" s="2" t="s">
        <v>4228</v>
      </c>
      <c r="B3720" s="5" t="s">
        <v>9993</v>
      </c>
      <c r="C3720" s="7" t="s">
        <v>12556</v>
      </c>
      <c r="D3720" s="8">
        <f t="shared" si="236"/>
        <v>0</v>
      </c>
      <c r="E3720" s="7" t="s">
        <v>12557</v>
      </c>
      <c r="F3720" s="7">
        <f t="shared" si="237"/>
        <v>0</v>
      </c>
      <c r="G3720" s="7" t="s">
        <v>12558</v>
      </c>
      <c r="H3720" s="7">
        <f t="shared" si="238"/>
        <v>0</v>
      </c>
      <c r="I3720" s="7" t="str" cm="1">
        <f t="array" ref="I3720">IFERROR(_xlfn.IFS(M3720="נח",1,M3720="נע ונח",1,M3720="שני שווא נח",2,M3720="שני שוואים בסוף מילה",2,M3720="שני שוואים ברצף",1),"0")</f>
        <v>0</v>
      </c>
      <c r="J3720" s="9">
        <f t="shared" si="239"/>
        <v>2</v>
      </c>
      <c r="K3720" t="s">
        <v>6698</v>
      </c>
      <c r="L3720" t="s">
        <v>6695</v>
      </c>
      <c r="N3720" t="s">
        <v>6706</v>
      </c>
      <c r="O3720" t="s">
        <v>6694</v>
      </c>
      <c r="V3720" t="s">
        <v>6694</v>
      </c>
      <c r="W3720" t="s">
        <v>6720</v>
      </c>
    </row>
    <row r="3721" spans="1:23" ht="15.6" x14ac:dyDescent="0.4">
      <c r="A3721" s="2" t="s">
        <v>4716</v>
      </c>
      <c r="B3721" s="5" t="s">
        <v>9994</v>
      </c>
      <c r="C3721" s="7" t="s">
        <v>12556</v>
      </c>
      <c r="D3721" s="8">
        <f t="shared" si="236"/>
        <v>0</v>
      </c>
      <c r="E3721" s="7" t="s">
        <v>12557</v>
      </c>
      <c r="F3721" s="7">
        <f t="shared" si="237"/>
        <v>1</v>
      </c>
      <c r="G3721" s="7" t="s">
        <v>12558</v>
      </c>
      <c r="H3721" s="7">
        <f t="shared" si="238"/>
        <v>1</v>
      </c>
      <c r="I3721" s="7" t="str" cm="1">
        <f t="array" ref="I3721">IFERROR(_xlfn.IFS(M3721="נח",1,M3721="נע ונח",1,M3721="שני שווא נח",2,M3721="שני שוואים בסוף מילה",2,M3721="שני שוואים ברצף",1),"0")</f>
        <v>0</v>
      </c>
      <c r="J3721" s="9">
        <f t="shared" si="239"/>
        <v>3</v>
      </c>
      <c r="K3721" t="s">
        <v>6697</v>
      </c>
      <c r="L3721" t="s">
        <v>6695</v>
      </c>
      <c r="S3721" t="s">
        <v>6694</v>
      </c>
      <c r="U3721" t="s">
        <v>6694</v>
      </c>
      <c r="V3721" t="s">
        <v>6694</v>
      </c>
      <c r="W3721" t="s">
        <v>6720</v>
      </c>
    </row>
    <row r="3722" spans="1:23" ht="15.6" x14ac:dyDescent="0.4">
      <c r="A3722" s="2" t="s">
        <v>2401</v>
      </c>
      <c r="B3722" s="5" t="s">
        <v>9995</v>
      </c>
      <c r="C3722" s="7" t="s">
        <v>12556</v>
      </c>
      <c r="D3722" s="8">
        <f t="shared" si="236"/>
        <v>0</v>
      </c>
      <c r="E3722" s="7" t="s">
        <v>12557</v>
      </c>
      <c r="F3722" s="7">
        <f t="shared" si="237"/>
        <v>0</v>
      </c>
      <c r="G3722" s="7" t="s">
        <v>12558</v>
      </c>
      <c r="H3722" s="7">
        <f t="shared" si="238"/>
        <v>0</v>
      </c>
      <c r="I3722" s="7" cm="1">
        <f t="array" ref="I3722">IFERROR(_xlfn.IFS(M3722="נח",1,M3722="נע ונח",1,M3722="שני שווא נח",2,M3722="שני שוואים בסוף מילה",2,M3722="שני שוואים ברצף",1),"0")</f>
        <v>1</v>
      </c>
      <c r="J3722" s="9">
        <f t="shared" si="239"/>
        <v>2</v>
      </c>
      <c r="K3722" t="s">
        <v>6698</v>
      </c>
      <c r="L3722" t="s">
        <v>6694</v>
      </c>
      <c r="M3722" t="s">
        <v>6705</v>
      </c>
      <c r="Q3722" t="s">
        <v>6694</v>
      </c>
      <c r="V3722" t="s">
        <v>6694</v>
      </c>
      <c r="W3722" t="s">
        <v>6720</v>
      </c>
    </row>
    <row r="3723" spans="1:23" ht="15.6" x14ac:dyDescent="0.4">
      <c r="A3723" s="2" t="s">
        <v>2824</v>
      </c>
      <c r="B3723" s="5" t="s">
        <v>9996</v>
      </c>
      <c r="C3723" s="7" t="s">
        <v>12556</v>
      </c>
      <c r="D3723" s="8">
        <f t="shared" si="236"/>
        <v>0</v>
      </c>
      <c r="E3723" s="7" t="s">
        <v>12557</v>
      </c>
      <c r="F3723" s="7">
        <f t="shared" si="237"/>
        <v>0</v>
      </c>
      <c r="G3723" s="7" t="s">
        <v>12558</v>
      </c>
      <c r="H3723" s="7">
        <f t="shared" si="238"/>
        <v>0</v>
      </c>
      <c r="I3723" s="7" t="str" cm="1">
        <f t="array" ref="I3723">IFERROR(_xlfn.IFS(M3723="נח",1,M3723="נע ונח",1,M3723="שני שווא נח",2,M3723="שני שוואים בסוף מילה",2,M3723="שני שוואים ברצף",1),"0")</f>
        <v>0</v>
      </c>
      <c r="J3723" s="9">
        <f t="shared" si="239"/>
        <v>3</v>
      </c>
      <c r="K3723" t="s">
        <v>6697</v>
      </c>
      <c r="L3723" t="s">
        <v>6695</v>
      </c>
      <c r="P3723" t="s">
        <v>6694</v>
      </c>
      <c r="S3723" t="s">
        <v>6694</v>
      </c>
      <c r="V3723" t="s">
        <v>6694</v>
      </c>
      <c r="W3723" t="s">
        <v>6720</v>
      </c>
    </row>
    <row r="3724" spans="1:23" ht="15.6" x14ac:dyDescent="0.4">
      <c r="A3724" s="2" t="s">
        <v>196</v>
      </c>
      <c r="B3724" s="5" t="s">
        <v>9588</v>
      </c>
      <c r="C3724" s="7" t="s">
        <v>12556</v>
      </c>
      <c r="D3724" s="8">
        <f t="shared" si="236"/>
        <v>0</v>
      </c>
      <c r="E3724" s="7" t="s">
        <v>12557</v>
      </c>
      <c r="F3724" s="7">
        <f t="shared" si="237"/>
        <v>0</v>
      </c>
      <c r="G3724" s="7" t="s">
        <v>12558</v>
      </c>
      <c r="H3724" s="7">
        <f t="shared" si="238"/>
        <v>0</v>
      </c>
      <c r="I3724" s="7" t="str" cm="1">
        <f t="array" ref="I3724">IFERROR(_xlfn.IFS(M3724="נח",1,M3724="נע ונח",1,M3724="שני שווא נח",2,M3724="שני שוואים בסוף מילה",2,M3724="שני שוואים ברצף",1),"0")</f>
        <v>0</v>
      </c>
      <c r="J3724" s="9">
        <f t="shared" si="239"/>
        <v>3</v>
      </c>
      <c r="K3724" t="s">
        <v>6697</v>
      </c>
      <c r="L3724" t="s">
        <v>6695</v>
      </c>
      <c r="P3724" t="s">
        <v>6694</v>
      </c>
      <c r="Q3724" t="s">
        <v>6694</v>
      </c>
      <c r="V3724" t="s">
        <v>6694</v>
      </c>
      <c r="W3724" t="s">
        <v>6720</v>
      </c>
    </row>
    <row r="3725" spans="1:23" ht="15.6" x14ac:dyDescent="0.4">
      <c r="A3725" s="2" t="s">
        <v>2359</v>
      </c>
      <c r="B3725" s="5" t="s">
        <v>9997</v>
      </c>
      <c r="C3725" s="7" t="s">
        <v>12556</v>
      </c>
      <c r="D3725" s="8">
        <f t="shared" si="236"/>
        <v>0</v>
      </c>
      <c r="E3725" s="7" t="s">
        <v>12557</v>
      </c>
      <c r="F3725" s="7">
        <f t="shared" si="237"/>
        <v>0</v>
      </c>
      <c r="G3725" s="7" t="s">
        <v>12558</v>
      </c>
      <c r="H3725" s="7">
        <f t="shared" si="238"/>
        <v>0</v>
      </c>
      <c r="I3725" s="7" t="str" cm="1">
        <f t="array" ref="I3725">IFERROR(_xlfn.IFS(M3725="נח",1,M3725="נע ונח",1,M3725="שני שווא נח",2,M3725="שני שוואים בסוף מילה",2,M3725="שני שוואים ברצף",1),"0")</f>
        <v>0</v>
      </c>
      <c r="J3725" s="9">
        <f t="shared" si="239"/>
        <v>2</v>
      </c>
      <c r="K3725" t="s">
        <v>6697</v>
      </c>
      <c r="L3725" t="s">
        <v>6695</v>
      </c>
      <c r="R3725" t="s">
        <v>6694</v>
      </c>
      <c r="V3725" t="s">
        <v>6694</v>
      </c>
      <c r="W3725" t="s">
        <v>6720</v>
      </c>
    </row>
    <row r="3726" spans="1:23" ht="15.6" x14ac:dyDescent="0.4">
      <c r="A3726" s="2" t="s">
        <v>1535</v>
      </c>
      <c r="B3726" s="5" t="s">
        <v>9998</v>
      </c>
      <c r="C3726" s="7" t="s">
        <v>12556</v>
      </c>
      <c r="D3726" s="8">
        <f t="shared" si="236"/>
        <v>0</v>
      </c>
      <c r="E3726" s="7" t="s">
        <v>12557</v>
      </c>
      <c r="F3726" s="7">
        <f t="shared" si="237"/>
        <v>1</v>
      </c>
      <c r="G3726" s="7" t="s">
        <v>12558</v>
      </c>
      <c r="H3726" s="7">
        <f t="shared" si="238"/>
        <v>1</v>
      </c>
      <c r="I3726" s="7" t="str" cm="1">
        <f t="array" ref="I3726">IFERROR(_xlfn.IFS(M3726="נח",1,M3726="נע ונח",1,M3726="שני שווא נח",2,M3726="שני שוואים בסוף מילה",2,M3726="שני שוואים ברצף",1),"0")</f>
        <v>0</v>
      </c>
      <c r="J3726" s="9">
        <f t="shared" si="239"/>
        <v>2</v>
      </c>
      <c r="K3726" t="s">
        <v>6697</v>
      </c>
      <c r="L3726" t="s">
        <v>6695</v>
      </c>
      <c r="U3726" t="s">
        <v>6694</v>
      </c>
      <c r="V3726" t="s">
        <v>6694</v>
      </c>
      <c r="W3726" t="s">
        <v>6720</v>
      </c>
    </row>
    <row r="3727" spans="1:23" ht="15.6" x14ac:dyDescent="0.4">
      <c r="A3727" s="2" t="s">
        <v>2898</v>
      </c>
      <c r="B3727" s="5" t="s">
        <v>9999</v>
      </c>
      <c r="C3727" s="7" t="s">
        <v>12556</v>
      </c>
      <c r="D3727" s="8">
        <f t="shared" si="236"/>
        <v>0</v>
      </c>
      <c r="E3727" s="7" t="s">
        <v>12557</v>
      </c>
      <c r="F3727" s="7">
        <f t="shared" si="237"/>
        <v>1</v>
      </c>
      <c r="G3727" s="7" t="s">
        <v>12558</v>
      </c>
      <c r="H3727" s="7">
        <f t="shared" si="238"/>
        <v>1</v>
      </c>
      <c r="I3727" s="7" t="str" cm="1">
        <f t="array" ref="I3727">IFERROR(_xlfn.IFS(M3727="נח",1,M3727="נע ונח",1,M3727="שני שווא נח",2,M3727="שני שוואים בסוף מילה",2,M3727="שני שוואים ברצף",1),"0")</f>
        <v>0</v>
      </c>
      <c r="J3727" s="9">
        <f t="shared" si="239"/>
        <v>3</v>
      </c>
      <c r="K3727" t="s">
        <v>6697</v>
      </c>
      <c r="L3727" t="s">
        <v>6695</v>
      </c>
      <c r="O3727" t="s">
        <v>6694</v>
      </c>
      <c r="U3727" t="s">
        <v>6694</v>
      </c>
      <c r="V3727" t="s">
        <v>6694</v>
      </c>
      <c r="W3727" t="s">
        <v>6720</v>
      </c>
    </row>
    <row r="3728" spans="1:23" ht="15.6" x14ac:dyDescent="0.4">
      <c r="A3728" s="2" t="s">
        <v>96</v>
      </c>
      <c r="B3728" s="5" t="s">
        <v>10000</v>
      </c>
      <c r="C3728" s="7" t="s">
        <v>12556</v>
      </c>
      <c r="D3728" s="8">
        <f t="shared" si="236"/>
        <v>0</v>
      </c>
      <c r="E3728" s="7" t="s">
        <v>12557</v>
      </c>
      <c r="F3728" s="7">
        <f t="shared" si="237"/>
        <v>0</v>
      </c>
      <c r="G3728" s="7" t="s">
        <v>12558</v>
      </c>
      <c r="H3728" s="7">
        <f t="shared" si="238"/>
        <v>0</v>
      </c>
      <c r="I3728" s="7" t="str" cm="1">
        <f t="array" ref="I3728">IFERROR(_xlfn.IFS(M3728="נח",1,M3728="נע ונח",1,M3728="שני שווא נח",2,M3728="שני שוואים בסוף מילה",2,M3728="שני שוואים ברצף",1),"0")</f>
        <v>0</v>
      </c>
      <c r="J3728" s="9">
        <f t="shared" si="239"/>
        <v>3</v>
      </c>
      <c r="K3728" t="s">
        <v>6697</v>
      </c>
      <c r="L3728" t="s">
        <v>6695</v>
      </c>
      <c r="N3728" t="s">
        <v>6707</v>
      </c>
      <c r="P3728" t="s">
        <v>6694</v>
      </c>
      <c r="S3728" t="s">
        <v>6694</v>
      </c>
      <c r="V3728" t="s">
        <v>6694</v>
      </c>
      <c r="W3728" t="s">
        <v>6720</v>
      </c>
    </row>
    <row r="3729" spans="1:23" ht="15.6" x14ac:dyDescent="0.4">
      <c r="A3729" s="2" t="s">
        <v>3250</v>
      </c>
      <c r="B3729" s="5" t="s">
        <v>10001</v>
      </c>
      <c r="C3729" s="7" t="s">
        <v>12556</v>
      </c>
      <c r="D3729" s="8">
        <f t="shared" si="236"/>
        <v>0</v>
      </c>
      <c r="E3729" s="7" t="s">
        <v>12557</v>
      </c>
      <c r="F3729" s="7">
        <f t="shared" si="237"/>
        <v>0</v>
      </c>
      <c r="G3729" s="7" t="s">
        <v>12558</v>
      </c>
      <c r="H3729" s="7">
        <f t="shared" si="238"/>
        <v>0</v>
      </c>
      <c r="I3729" s="7" t="str" cm="1">
        <f t="array" ref="I3729">IFERROR(_xlfn.IFS(M3729="נח",1,M3729="נע ונח",1,M3729="שני שווא נח",2,M3729="שני שוואים בסוף מילה",2,M3729="שני שוואים ברצף",1),"0")</f>
        <v>0</v>
      </c>
      <c r="J3729" s="9">
        <f t="shared" si="239"/>
        <v>1</v>
      </c>
      <c r="K3729" t="s">
        <v>6698</v>
      </c>
      <c r="L3729" t="s">
        <v>6695</v>
      </c>
      <c r="V3729" t="s">
        <v>6694</v>
      </c>
      <c r="W3729" t="s">
        <v>6720</v>
      </c>
    </row>
    <row r="3730" spans="1:23" ht="15.6" x14ac:dyDescent="0.4">
      <c r="A3730" s="2" t="s">
        <v>1</v>
      </c>
      <c r="B3730" s="5" t="s">
        <v>10002</v>
      </c>
      <c r="C3730" s="7" t="s">
        <v>12556</v>
      </c>
      <c r="D3730" s="8">
        <f t="shared" si="236"/>
        <v>0</v>
      </c>
      <c r="E3730" s="7" t="s">
        <v>12557</v>
      </c>
      <c r="F3730" s="7">
        <f t="shared" si="237"/>
        <v>0</v>
      </c>
      <c r="G3730" s="7" t="s">
        <v>12558</v>
      </c>
      <c r="H3730" s="7">
        <f t="shared" si="238"/>
        <v>0</v>
      </c>
      <c r="I3730" s="7" t="str" cm="1">
        <f t="array" ref="I3730">IFERROR(_xlfn.IFS(M3730="נח",1,M3730="נע ונח",1,M3730="שני שווא נח",2,M3730="שני שוואים בסוף מילה",2,M3730="שני שוואים ברצף",1),"0")</f>
        <v>0</v>
      </c>
      <c r="J3730" s="9">
        <f t="shared" si="239"/>
        <v>2</v>
      </c>
      <c r="K3730" t="s">
        <v>6698</v>
      </c>
      <c r="L3730" t="s">
        <v>6695</v>
      </c>
      <c r="N3730" t="s">
        <v>6706</v>
      </c>
      <c r="O3730" t="s">
        <v>6694</v>
      </c>
      <c r="V3730" t="s">
        <v>6694</v>
      </c>
      <c r="W3730" t="s">
        <v>6720</v>
      </c>
    </row>
    <row r="3731" spans="1:23" ht="15.6" x14ac:dyDescent="0.4">
      <c r="A3731" s="2" t="s">
        <v>6241</v>
      </c>
      <c r="B3731" s="5" t="s">
        <v>10003</v>
      </c>
      <c r="C3731" s="7" t="s">
        <v>12556</v>
      </c>
      <c r="D3731" s="8">
        <f t="shared" si="236"/>
        <v>0</v>
      </c>
      <c r="E3731" s="7" t="s">
        <v>12557</v>
      </c>
      <c r="F3731" s="7">
        <f t="shared" si="237"/>
        <v>0</v>
      </c>
      <c r="G3731" s="7" t="s">
        <v>12558</v>
      </c>
      <c r="H3731" s="7">
        <f t="shared" si="238"/>
        <v>0</v>
      </c>
      <c r="I3731" s="7" t="str" cm="1">
        <f t="array" ref="I3731">IFERROR(_xlfn.IFS(M3731="נח",1,M3731="נע ונח",1,M3731="שני שווא נח",2,M3731="שני שוואים בסוף מילה",2,M3731="שני שוואים ברצף",1),"0")</f>
        <v>0</v>
      </c>
      <c r="J3731" s="9">
        <f t="shared" si="239"/>
        <v>2</v>
      </c>
      <c r="K3731" t="s">
        <v>6697</v>
      </c>
      <c r="L3731" t="s">
        <v>6695</v>
      </c>
      <c r="V3731" t="s">
        <v>6694</v>
      </c>
      <c r="W3731" t="s">
        <v>6720</v>
      </c>
    </row>
    <row r="3732" spans="1:23" ht="15.6" x14ac:dyDescent="0.4">
      <c r="A3732" s="2" t="s">
        <v>6521</v>
      </c>
      <c r="B3732" s="5" t="s">
        <v>10004</v>
      </c>
      <c r="C3732" s="7" t="s">
        <v>12556</v>
      </c>
      <c r="D3732" s="8">
        <f t="shared" si="236"/>
        <v>0</v>
      </c>
      <c r="E3732" s="7" t="s">
        <v>12557</v>
      </c>
      <c r="F3732" s="7">
        <f t="shared" si="237"/>
        <v>0</v>
      </c>
      <c r="G3732" s="7" t="s">
        <v>12558</v>
      </c>
      <c r="H3732" s="7">
        <f t="shared" si="238"/>
        <v>0</v>
      </c>
      <c r="I3732" s="7" cm="1">
        <f t="array" ref="I3732">IFERROR(_xlfn.IFS(M3732="נח",1,M3732="נע ונח",1,M3732="שני שווא נח",2,M3732="שני שוואים בסוף מילה",2,M3732="שני שוואים ברצף",1),"0")</f>
        <v>1</v>
      </c>
      <c r="J3732" s="9">
        <f t="shared" si="239"/>
        <v>4</v>
      </c>
      <c r="K3732" t="s">
        <v>6698</v>
      </c>
      <c r="L3732" t="s">
        <v>6694</v>
      </c>
      <c r="M3732" t="s">
        <v>6705</v>
      </c>
      <c r="O3732" t="s">
        <v>6694</v>
      </c>
      <c r="R3732" t="s">
        <v>6694</v>
      </c>
      <c r="V3732" t="s">
        <v>6694</v>
      </c>
      <c r="W3732" t="s">
        <v>6720</v>
      </c>
    </row>
    <row r="3733" spans="1:23" ht="15.6" x14ac:dyDescent="0.4">
      <c r="A3733" s="2" t="s">
        <v>4066</v>
      </c>
      <c r="B3733" s="5" t="s">
        <v>10005</v>
      </c>
      <c r="C3733" s="7" t="s">
        <v>12556</v>
      </c>
      <c r="D3733" s="8">
        <f t="shared" si="236"/>
        <v>0</v>
      </c>
      <c r="E3733" s="7" t="s">
        <v>12557</v>
      </c>
      <c r="F3733" s="7">
        <f t="shared" si="237"/>
        <v>0</v>
      </c>
      <c r="G3733" s="7" t="s">
        <v>12558</v>
      </c>
      <c r="H3733" s="7">
        <f t="shared" si="238"/>
        <v>0</v>
      </c>
      <c r="I3733" s="7" t="str" cm="1">
        <f t="array" ref="I3733">IFERROR(_xlfn.IFS(M3733="נח",1,M3733="נע ונח",1,M3733="שני שווא נח",2,M3733="שני שוואים בסוף מילה",2,M3733="שני שוואים ברצף",1),"0")</f>
        <v>0</v>
      </c>
      <c r="J3733" s="9">
        <f t="shared" si="239"/>
        <v>2</v>
      </c>
      <c r="K3733" t="s">
        <v>6698</v>
      </c>
      <c r="L3733" t="s">
        <v>6695</v>
      </c>
      <c r="P3733" t="s">
        <v>6694</v>
      </c>
      <c r="V3733" t="s">
        <v>6694</v>
      </c>
      <c r="W3733" t="s">
        <v>6720</v>
      </c>
    </row>
    <row r="3734" spans="1:23" ht="15.6" x14ac:dyDescent="0.4">
      <c r="A3734" s="2" t="s">
        <v>4517</v>
      </c>
      <c r="B3734" s="5" t="s">
        <v>10006</v>
      </c>
      <c r="C3734" s="7" t="s">
        <v>12556</v>
      </c>
      <c r="D3734" s="8">
        <f t="shared" si="236"/>
        <v>0</v>
      </c>
      <c r="E3734" s="7" t="s">
        <v>12557</v>
      </c>
      <c r="F3734" s="7">
        <f t="shared" si="237"/>
        <v>0</v>
      </c>
      <c r="G3734" s="7" t="s">
        <v>12558</v>
      </c>
      <c r="H3734" s="7">
        <f t="shared" si="238"/>
        <v>0</v>
      </c>
      <c r="I3734" s="7" t="str" cm="1">
        <f t="array" ref="I3734">IFERROR(_xlfn.IFS(M3734="נח",1,M3734="נע ונח",1,M3734="שני שווא נח",2,M3734="שני שוואים בסוף מילה",2,M3734="שני שוואים ברצף",1),"0")</f>
        <v>0</v>
      </c>
      <c r="J3734" s="9">
        <f t="shared" si="239"/>
        <v>2</v>
      </c>
      <c r="K3734" t="s">
        <v>6697</v>
      </c>
      <c r="L3734" t="s">
        <v>6695</v>
      </c>
      <c r="O3734" t="s">
        <v>6694</v>
      </c>
      <c r="V3734" t="s">
        <v>6694</v>
      </c>
      <c r="W3734" t="s">
        <v>6720</v>
      </c>
    </row>
    <row r="3735" spans="1:23" ht="15.6" x14ac:dyDescent="0.4">
      <c r="A3735" s="2" t="s">
        <v>2175</v>
      </c>
      <c r="B3735" s="5" t="s">
        <v>10007</v>
      </c>
      <c r="C3735" s="7" t="s">
        <v>12556</v>
      </c>
      <c r="D3735" s="8">
        <f t="shared" si="236"/>
        <v>0</v>
      </c>
      <c r="E3735" s="7" t="s">
        <v>12557</v>
      </c>
      <c r="F3735" s="7">
        <f t="shared" si="237"/>
        <v>0</v>
      </c>
      <c r="G3735" s="7" t="s">
        <v>12558</v>
      </c>
      <c r="H3735" s="7">
        <f t="shared" si="238"/>
        <v>0</v>
      </c>
      <c r="I3735" s="7" t="str" cm="1">
        <f t="array" ref="I3735">IFERROR(_xlfn.IFS(M3735="נח",1,M3735="נע ונח",1,M3735="שני שווא נח",2,M3735="שני שוואים בסוף מילה",2,M3735="שני שוואים ברצף",1),"0")</f>
        <v>0</v>
      </c>
      <c r="J3735" s="9">
        <f t="shared" si="239"/>
        <v>2</v>
      </c>
      <c r="K3735" t="s">
        <v>6698</v>
      </c>
      <c r="L3735" t="s">
        <v>6695</v>
      </c>
      <c r="S3735" t="s">
        <v>6694</v>
      </c>
      <c r="V3735" t="s">
        <v>6694</v>
      </c>
      <c r="W3735" t="s">
        <v>6720</v>
      </c>
    </row>
    <row r="3736" spans="1:23" ht="15.6" x14ac:dyDescent="0.4">
      <c r="A3736" s="2" t="s">
        <v>4779</v>
      </c>
      <c r="B3736" s="5" t="s">
        <v>10008</v>
      </c>
      <c r="C3736" s="7" t="s">
        <v>12556</v>
      </c>
      <c r="D3736" s="8">
        <f t="shared" si="236"/>
        <v>0</v>
      </c>
      <c r="E3736" s="7" t="s">
        <v>12557</v>
      </c>
      <c r="F3736" s="7">
        <f t="shared" si="237"/>
        <v>0</v>
      </c>
      <c r="G3736" s="7" t="s">
        <v>12558</v>
      </c>
      <c r="H3736" s="7">
        <f t="shared" si="238"/>
        <v>0</v>
      </c>
      <c r="I3736" s="7" t="str" cm="1">
        <f t="array" ref="I3736">IFERROR(_xlfn.IFS(M3736="נח",1,M3736="נע ונח",1,M3736="שני שווא נח",2,M3736="שני שוואים בסוף מילה",2,M3736="שני שוואים ברצף",1),"0")</f>
        <v>0</v>
      </c>
      <c r="J3736" s="9">
        <f t="shared" si="239"/>
        <v>2</v>
      </c>
      <c r="K3736" t="s">
        <v>6698</v>
      </c>
      <c r="L3736" t="s">
        <v>6695</v>
      </c>
      <c r="Q3736" t="s">
        <v>6694</v>
      </c>
      <c r="V3736" t="s">
        <v>6694</v>
      </c>
      <c r="W3736" t="s">
        <v>6720</v>
      </c>
    </row>
    <row r="3737" spans="1:23" ht="15.6" x14ac:dyDescent="0.4">
      <c r="A3737" s="2" t="s">
        <v>921</v>
      </c>
      <c r="B3737" s="5" t="s">
        <v>10009</v>
      </c>
      <c r="C3737" s="7" t="s">
        <v>12556</v>
      </c>
      <c r="D3737" s="8">
        <f t="shared" si="236"/>
        <v>0</v>
      </c>
      <c r="E3737" s="7" t="s">
        <v>12557</v>
      </c>
      <c r="F3737" s="7">
        <f t="shared" si="237"/>
        <v>0</v>
      </c>
      <c r="G3737" s="7" t="s">
        <v>12558</v>
      </c>
      <c r="H3737" s="7">
        <f t="shared" si="238"/>
        <v>0</v>
      </c>
      <c r="I3737" s="7" t="str" cm="1">
        <f t="array" ref="I3737">IFERROR(_xlfn.IFS(M3737="נח",1,M3737="נע ונח",1,M3737="שני שווא נח",2,M3737="שני שוואים בסוף מילה",2,M3737="שני שוואים ברצף",1),"0")</f>
        <v>0</v>
      </c>
      <c r="J3737" s="9">
        <f t="shared" si="239"/>
        <v>2</v>
      </c>
      <c r="K3737" t="s">
        <v>6697</v>
      </c>
      <c r="L3737" t="s">
        <v>6695</v>
      </c>
      <c r="S3737" t="s">
        <v>6694</v>
      </c>
      <c r="V3737" t="s">
        <v>6694</v>
      </c>
      <c r="W3737" t="s">
        <v>6720</v>
      </c>
    </row>
    <row r="3738" spans="1:23" ht="15.6" x14ac:dyDescent="0.4">
      <c r="A3738" s="2" t="s">
        <v>1552</v>
      </c>
      <c r="B3738" s="5" t="s">
        <v>10010</v>
      </c>
      <c r="C3738" s="7" t="s">
        <v>12556</v>
      </c>
      <c r="D3738" s="8">
        <f t="shared" si="236"/>
        <v>0</v>
      </c>
      <c r="E3738" s="7" t="s">
        <v>12557</v>
      </c>
      <c r="F3738" s="7">
        <f t="shared" si="237"/>
        <v>0</v>
      </c>
      <c r="G3738" s="7" t="s">
        <v>12558</v>
      </c>
      <c r="H3738" s="7">
        <f t="shared" si="238"/>
        <v>0</v>
      </c>
      <c r="I3738" s="7" t="str" cm="1">
        <f t="array" ref="I3738">IFERROR(_xlfn.IFS(M3738="נח",1,M3738="נע ונח",1,M3738="שני שווא נח",2,M3738="שני שוואים בסוף מילה",2,M3738="שני שוואים ברצף",1),"0")</f>
        <v>0</v>
      </c>
      <c r="J3738" s="9">
        <f t="shared" si="239"/>
        <v>3</v>
      </c>
      <c r="K3738" t="s">
        <v>6698</v>
      </c>
      <c r="L3738" t="s">
        <v>6695</v>
      </c>
      <c r="Q3738" t="s">
        <v>6694</v>
      </c>
      <c r="S3738" t="s">
        <v>6694</v>
      </c>
      <c r="V3738" t="s">
        <v>6694</v>
      </c>
      <c r="W3738" t="s">
        <v>6720</v>
      </c>
    </row>
    <row r="3739" spans="1:23" ht="15.6" x14ac:dyDescent="0.4">
      <c r="A3739" s="2" t="s">
        <v>2959</v>
      </c>
      <c r="B3739" s="5" t="s">
        <v>10011</v>
      </c>
      <c r="C3739" s="7" t="s">
        <v>12556</v>
      </c>
      <c r="D3739" s="8">
        <f t="shared" si="236"/>
        <v>0</v>
      </c>
      <c r="E3739" s="7" t="s">
        <v>12557</v>
      </c>
      <c r="F3739" s="7">
        <f t="shared" si="237"/>
        <v>0</v>
      </c>
      <c r="G3739" s="7" t="s">
        <v>12558</v>
      </c>
      <c r="H3739" s="7">
        <f t="shared" si="238"/>
        <v>0</v>
      </c>
      <c r="I3739" s="7" t="str" cm="1">
        <f t="array" ref="I3739">IFERROR(_xlfn.IFS(M3739="נח",1,M3739="נע ונח",1,M3739="שני שווא נח",2,M3739="שני שוואים בסוף מילה",2,M3739="שני שוואים ברצף",1),"0")</f>
        <v>0</v>
      </c>
      <c r="J3739" s="9">
        <f t="shared" si="239"/>
        <v>2</v>
      </c>
      <c r="K3739" t="s">
        <v>6698</v>
      </c>
      <c r="L3739" t="s">
        <v>6695</v>
      </c>
      <c r="Q3739" t="s">
        <v>6694</v>
      </c>
      <c r="V3739" t="s">
        <v>6694</v>
      </c>
      <c r="W3739" t="s">
        <v>6720</v>
      </c>
    </row>
    <row r="3740" spans="1:23" ht="15.6" x14ac:dyDescent="0.4">
      <c r="A3740" s="2" t="s">
        <v>2283</v>
      </c>
      <c r="B3740" s="5" t="s">
        <v>10012</v>
      </c>
      <c r="C3740" s="7" t="s">
        <v>12556</v>
      </c>
      <c r="D3740" s="8">
        <f t="shared" si="236"/>
        <v>0</v>
      </c>
      <c r="E3740" s="7" t="s">
        <v>12557</v>
      </c>
      <c r="F3740" s="7">
        <f t="shared" si="237"/>
        <v>0</v>
      </c>
      <c r="G3740" s="7" t="s">
        <v>12558</v>
      </c>
      <c r="H3740" s="7">
        <f t="shared" si="238"/>
        <v>0</v>
      </c>
      <c r="I3740" s="7" t="str" cm="1">
        <f t="array" ref="I3740">IFERROR(_xlfn.IFS(M3740="נח",1,M3740="נע ונח",1,M3740="שני שווא נח",2,M3740="שני שוואים בסוף מילה",2,M3740="שני שוואים ברצף",1),"0")</f>
        <v>0</v>
      </c>
      <c r="J3740" s="9">
        <f t="shared" si="239"/>
        <v>2</v>
      </c>
      <c r="K3740" t="s">
        <v>6698</v>
      </c>
      <c r="L3740" t="s">
        <v>6695</v>
      </c>
      <c r="Q3740" t="s">
        <v>6694</v>
      </c>
      <c r="V3740" t="s">
        <v>6694</v>
      </c>
      <c r="W3740" t="s">
        <v>6720</v>
      </c>
    </row>
    <row r="3741" spans="1:23" ht="15.6" x14ac:dyDescent="0.4">
      <c r="A3741" s="2" t="s">
        <v>1573</v>
      </c>
      <c r="B3741" s="5" t="s">
        <v>10013</v>
      </c>
      <c r="C3741" s="7" t="s">
        <v>12556</v>
      </c>
      <c r="D3741" s="8">
        <f t="shared" si="236"/>
        <v>0</v>
      </c>
      <c r="E3741" s="7" t="s">
        <v>12557</v>
      </c>
      <c r="F3741" s="7">
        <f t="shared" si="237"/>
        <v>0</v>
      </c>
      <c r="G3741" s="7" t="s">
        <v>12558</v>
      </c>
      <c r="H3741" s="7">
        <f t="shared" si="238"/>
        <v>0</v>
      </c>
      <c r="I3741" s="7" cm="1">
        <f t="array" ref="I3741">IFERROR(_xlfn.IFS(M3741="נח",1,M3741="נע ונח",1,M3741="שני שווא נח",2,M3741="שני שוואים בסוף מילה",2,M3741="שני שוואים ברצף",1),"0")</f>
        <v>1</v>
      </c>
      <c r="J3741" s="9">
        <f t="shared" si="239"/>
        <v>2</v>
      </c>
      <c r="K3741" t="s">
        <v>6698</v>
      </c>
      <c r="L3741" t="s">
        <v>6694</v>
      </c>
      <c r="M3741" t="s">
        <v>6705</v>
      </c>
      <c r="Q3741" t="s">
        <v>6694</v>
      </c>
      <c r="V3741" t="s">
        <v>6694</v>
      </c>
      <c r="W3741" t="s">
        <v>6720</v>
      </c>
    </row>
    <row r="3742" spans="1:23" ht="15.6" x14ac:dyDescent="0.4">
      <c r="A3742" s="2" t="s">
        <v>899</v>
      </c>
      <c r="B3742" s="5" t="s">
        <v>10014</v>
      </c>
      <c r="C3742" s="7" t="s">
        <v>12556</v>
      </c>
      <c r="D3742" s="8">
        <f t="shared" si="236"/>
        <v>0</v>
      </c>
      <c r="E3742" s="7" t="s">
        <v>12557</v>
      </c>
      <c r="F3742" s="7">
        <f t="shared" si="237"/>
        <v>0</v>
      </c>
      <c r="G3742" s="7" t="s">
        <v>12558</v>
      </c>
      <c r="H3742" s="7">
        <f t="shared" si="238"/>
        <v>0</v>
      </c>
      <c r="I3742" s="7" t="str" cm="1">
        <f t="array" ref="I3742">IFERROR(_xlfn.IFS(M3742="נח",1,M3742="נע ונח",1,M3742="שני שווא נח",2,M3742="שני שוואים בסוף מילה",2,M3742="שני שוואים ברצף",1),"0")</f>
        <v>0</v>
      </c>
      <c r="J3742" s="9">
        <f t="shared" si="239"/>
        <v>2</v>
      </c>
      <c r="K3742" t="s">
        <v>6697</v>
      </c>
      <c r="L3742" t="s">
        <v>6695</v>
      </c>
      <c r="R3742" t="s">
        <v>6694</v>
      </c>
      <c r="V3742" t="s">
        <v>6694</v>
      </c>
      <c r="W3742" t="s">
        <v>6720</v>
      </c>
    </row>
    <row r="3743" spans="1:23" ht="15.6" x14ac:dyDescent="0.4">
      <c r="A3743" s="2" t="s">
        <v>912</v>
      </c>
      <c r="B3743" s="5" t="s">
        <v>10015</v>
      </c>
      <c r="C3743" s="7" t="s">
        <v>12556</v>
      </c>
      <c r="D3743" s="8">
        <f t="shared" si="236"/>
        <v>0</v>
      </c>
      <c r="E3743" s="7" t="s">
        <v>12557</v>
      </c>
      <c r="F3743" s="7">
        <f t="shared" si="237"/>
        <v>2</v>
      </c>
      <c r="G3743" s="7" t="s">
        <v>12558</v>
      </c>
      <c r="H3743" s="7">
        <f t="shared" si="238"/>
        <v>1</v>
      </c>
      <c r="I3743" s="7" t="str" cm="1">
        <f t="array" ref="I3743">IFERROR(_xlfn.IFS(M3743="נח",1,M3743="נע ונח",1,M3743="שני שווא נח",2,M3743="שני שוואים בסוף מילה",2,M3743="שני שוואים ברצף",1),"0")</f>
        <v>0</v>
      </c>
      <c r="J3743" s="9">
        <f t="shared" si="239"/>
        <v>3</v>
      </c>
      <c r="K3743" t="s">
        <v>6697</v>
      </c>
      <c r="L3743" t="s">
        <v>6695</v>
      </c>
      <c r="R3743" t="s">
        <v>6694</v>
      </c>
      <c r="U3743" t="s">
        <v>6694</v>
      </c>
      <c r="V3743" t="s">
        <v>6694</v>
      </c>
      <c r="W3743" t="s">
        <v>6720</v>
      </c>
    </row>
    <row r="3744" spans="1:23" ht="15.6" x14ac:dyDescent="0.4">
      <c r="A3744" s="2" t="s">
        <v>4896</v>
      </c>
      <c r="B3744" s="5" t="s">
        <v>10016</v>
      </c>
      <c r="C3744" s="7" t="s">
        <v>12556</v>
      </c>
      <c r="D3744" s="8">
        <f t="shared" si="236"/>
        <v>1</v>
      </c>
      <c r="E3744" s="7" t="s">
        <v>12557</v>
      </c>
      <c r="F3744" s="7">
        <f t="shared" si="237"/>
        <v>0</v>
      </c>
      <c r="G3744" s="7" t="s">
        <v>12558</v>
      </c>
      <c r="H3744" s="7">
        <f t="shared" si="238"/>
        <v>0</v>
      </c>
      <c r="I3744" s="7" cm="1">
        <f t="array" ref="I3744">IFERROR(_xlfn.IFS(M3744="נח",1,M3744="נע ונח",1,M3744="שני שווא נח",2,M3744="שני שוואים בסוף מילה",2,M3744="שני שוואים ברצף",1),"0")</f>
        <v>1</v>
      </c>
      <c r="J3744" s="9">
        <f t="shared" si="239"/>
        <v>2</v>
      </c>
      <c r="K3744" t="s">
        <v>6698</v>
      </c>
      <c r="L3744" t="s">
        <v>6694</v>
      </c>
      <c r="M3744" t="s">
        <v>6705</v>
      </c>
      <c r="Q3744" t="s">
        <v>6694</v>
      </c>
      <c r="V3744" t="s">
        <v>6694</v>
      </c>
      <c r="W3744" t="s">
        <v>6720</v>
      </c>
    </row>
    <row r="3745" spans="1:23" ht="15.6" x14ac:dyDescent="0.4">
      <c r="A3745" s="2" t="s">
        <v>6131</v>
      </c>
      <c r="B3745" s="5" t="s">
        <v>10017</v>
      </c>
      <c r="C3745" s="7" t="s">
        <v>12556</v>
      </c>
      <c r="D3745" s="8">
        <f t="shared" si="236"/>
        <v>1</v>
      </c>
      <c r="E3745" s="7" t="s">
        <v>12557</v>
      </c>
      <c r="F3745" s="7">
        <f t="shared" si="237"/>
        <v>0</v>
      </c>
      <c r="G3745" s="7" t="s">
        <v>12558</v>
      </c>
      <c r="H3745" s="7">
        <f t="shared" si="238"/>
        <v>0</v>
      </c>
      <c r="I3745" s="7" t="str" cm="1">
        <f t="array" ref="I3745">IFERROR(_xlfn.IFS(M3745="נח",1,M3745="נע ונח",1,M3745="שני שווא נח",2,M3745="שני שוואים בסוף מילה",2,M3745="שני שוואים ברצף",1),"0")</f>
        <v>0</v>
      </c>
      <c r="J3745" s="9">
        <f t="shared" si="239"/>
        <v>3</v>
      </c>
      <c r="K3745" t="s">
        <v>6698</v>
      </c>
      <c r="L3745" t="s">
        <v>6695</v>
      </c>
      <c r="Q3745" t="s">
        <v>6694</v>
      </c>
      <c r="S3745" t="s">
        <v>6694</v>
      </c>
      <c r="V3745" t="s">
        <v>6694</v>
      </c>
      <c r="W3745" t="s">
        <v>6720</v>
      </c>
    </row>
    <row r="3746" spans="1:23" ht="15.6" x14ac:dyDescent="0.4">
      <c r="A3746" s="2" t="s">
        <v>6435</v>
      </c>
      <c r="B3746" s="5" t="s">
        <v>10018</v>
      </c>
      <c r="C3746" s="7" t="s">
        <v>12556</v>
      </c>
      <c r="D3746" s="8">
        <f t="shared" si="236"/>
        <v>1</v>
      </c>
      <c r="E3746" s="7" t="s">
        <v>12557</v>
      </c>
      <c r="F3746" s="7">
        <f t="shared" si="237"/>
        <v>0</v>
      </c>
      <c r="G3746" s="7" t="s">
        <v>12558</v>
      </c>
      <c r="H3746" s="7">
        <f t="shared" si="238"/>
        <v>0</v>
      </c>
      <c r="I3746" s="7" t="str" cm="1">
        <f t="array" ref="I3746">IFERROR(_xlfn.IFS(M3746="נח",1,M3746="נע ונח",1,M3746="שני שווא נח",2,M3746="שני שוואים בסוף מילה",2,M3746="שני שוואים ברצף",1),"0")</f>
        <v>0</v>
      </c>
      <c r="J3746" s="9">
        <f t="shared" si="239"/>
        <v>4</v>
      </c>
      <c r="K3746" t="s">
        <v>6697</v>
      </c>
      <c r="L3746" t="s">
        <v>6695</v>
      </c>
      <c r="Q3746" t="s">
        <v>6694</v>
      </c>
      <c r="S3746" t="s">
        <v>6694</v>
      </c>
      <c r="V3746" t="s">
        <v>6694</v>
      </c>
      <c r="W3746" t="s">
        <v>6720</v>
      </c>
    </row>
    <row r="3747" spans="1:23" ht="15.6" x14ac:dyDescent="0.4">
      <c r="A3747" s="2" t="s">
        <v>3077</v>
      </c>
      <c r="B3747" s="5" t="s">
        <v>10019</v>
      </c>
      <c r="C3747" s="7" t="s">
        <v>12556</v>
      </c>
      <c r="D3747" s="8">
        <f t="shared" si="236"/>
        <v>1</v>
      </c>
      <c r="E3747" s="7" t="s">
        <v>12557</v>
      </c>
      <c r="F3747" s="7">
        <f t="shared" si="237"/>
        <v>0</v>
      </c>
      <c r="G3747" s="7" t="s">
        <v>12558</v>
      </c>
      <c r="H3747" s="7">
        <f t="shared" si="238"/>
        <v>0</v>
      </c>
      <c r="I3747" s="7" t="str" cm="1">
        <f t="array" ref="I3747">IFERROR(_xlfn.IFS(M3747="נח",1,M3747="נע ונח",1,M3747="שני שווא נח",2,M3747="שני שוואים בסוף מילה",2,M3747="שני שוואים ברצף",1),"0")</f>
        <v>0</v>
      </c>
      <c r="J3747" s="9">
        <f t="shared" si="239"/>
        <v>3</v>
      </c>
      <c r="K3747" t="s">
        <v>6697</v>
      </c>
      <c r="L3747" t="s">
        <v>6695</v>
      </c>
      <c r="P3747" t="s">
        <v>6694</v>
      </c>
      <c r="S3747" t="s">
        <v>6694</v>
      </c>
      <c r="V3747" t="s">
        <v>6694</v>
      </c>
      <c r="W3747" t="s">
        <v>6720</v>
      </c>
    </row>
    <row r="3748" spans="1:23" ht="15.6" x14ac:dyDescent="0.4">
      <c r="A3748" s="2" t="s">
        <v>8</v>
      </c>
      <c r="B3748" s="5" t="s">
        <v>10020</v>
      </c>
      <c r="C3748" s="7" t="s">
        <v>12556</v>
      </c>
      <c r="D3748" s="8">
        <f t="shared" si="236"/>
        <v>1</v>
      </c>
      <c r="E3748" s="7" t="s">
        <v>12557</v>
      </c>
      <c r="F3748" s="7">
        <f t="shared" si="237"/>
        <v>0</v>
      </c>
      <c r="G3748" s="7" t="s">
        <v>12558</v>
      </c>
      <c r="H3748" s="7">
        <f t="shared" si="238"/>
        <v>0</v>
      </c>
      <c r="I3748" s="7" t="str" cm="1">
        <f t="array" ref="I3748">IFERROR(_xlfn.IFS(M3748="נח",1,M3748="נע ונח",1,M3748="שני שווא נח",2,M3748="שני שוואים בסוף מילה",2,M3748="שני שוואים ברצף",1),"0")</f>
        <v>0</v>
      </c>
      <c r="J3748" s="9">
        <f t="shared" si="239"/>
        <v>2</v>
      </c>
      <c r="K3748" t="s">
        <v>6698</v>
      </c>
      <c r="L3748" t="s">
        <v>6695</v>
      </c>
      <c r="Q3748" t="s">
        <v>6694</v>
      </c>
      <c r="V3748" t="s">
        <v>6694</v>
      </c>
      <c r="W3748" t="s">
        <v>6720</v>
      </c>
    </row>
    <row r="3749" spans="1:23" ht="15.6" x14ac:dyDescent="0.4">
      <c r="A3749" s="2" t="s">
        <v>2539</v>
      </c>
      <c r="B3749" s="5" t="s">
        <v>10021</v>
      </c>
      <c r="C3749" s="7" t="s">
        <v>12556</v>
      </c>
      <c r="D3749" s="8">
        <f t="shared" si="236"/>
        <v>0</v>
      </c>
      <c r="E3749" s="7" t="s">
        <v>12557</v>
      </c>
      <c r="F3749" s="7">
        <f t="shared" si="237"/>
        <v>1</v>
      </c>
      <c r="G3749" s="7" t="s">
        <v>12558</v>
      </c>
      <c r="H3749" s="7">
        <f t="shared" si="238"/>
        <v>1</v>
      </c>
      <c r="I3749" s="7" t="str" cm="1">
        <f t="array" ref="I3749">IFERROR(_xlfn.IFS(M3749="נח",1,M3749="נע ונח",1,M3749="שני שווא נח",2,M3749="שני שוואים בסוף מילה",2,M3749="שני שוואים ברצף",1),"0")</f>
        <v>0</v>
      </c>
      <c r="J3749" s="9">
        <f t="shared" si="239"/>
        <v>2</v>
      </c>
      <c r="K3749" t="s">
        <v>6698</v>
      </c>
      <c r="L3749" t="s">
        <v>6695</v>
      </c>
      <c r="N3749" t="s">
        <v>6706</v>
      </c>
      <c r="O3749" t="s">
        <v>6694</v>
      </c>
      <c r="U3749" t="s">
        <v>6694</v>
      </c>
      <c r="W3749" t="s">
        <v>6720</v>
      </c>
    </row>
    <row r="3750" spans="1:23" ht="15.6" x14ac:dyDescent="0.4">
      <c r="A3750" s="2" t="s">
        <v>5757</v>
      </c>
      <c r="B3750" s="5" t="s">
        <v>10022</v>
      </c>
      <c r="C3750" s="7" t="s">
        <v>12556</v>
      </c>
      <c r="D3750" s="8">
        <f t="shared" si="236"/>
        <v>0</v>
      </c>
      <c r="E3750" s="7" t="s">
        <v>12557</v>
      </c>
      <c r="F3750" s="7">
        <f t="shared" si="237"/>
        <v>1</v>
      </c>
      <c r="G3750" s="7" t="s">
        <v>12558</v>
      </c>
      <c r="H3750" s="7">
        <f t="shared" si="238"/>
        <v>1</v>
      </c>
      <c r="I3750" s="7" t="str" cm="1">
        <f t="array" ref="I3750">IFERROR(_xlfn.IFS(M3750="נח",1,M3750="נע ונח",1,M3750="שני שווא נח",2,M3750="שני שוואים בסוף מילה",2,M3750="שני שוואים ברצף",1),"0")</f>
        <v>0</v>
      </c>
      <c r="J3750" s="9">
        <f t="shared" si="239"/>
        <v>2</v>
      </c>
      <c r="K3750" t="s">
        <v>6698</v>
      </c>
      <c r="L3750" t="s">
        <v>6695</v>
      </c>
      <c r="P3750" t="s">
        <v>6694</v>
      </c>
      <c r="U3750" t="s">
        <v>6694</v>
      </c>
      <c r="W3750" t="s">
        <v>6720</v>
      </c>
    </row>
    <row r="3751" spans="1:23" ht="15.6" x14ac:dyDescent="0.4">
      <c r="A3751" s="2" t="s">
        <v>6342</v>
      </c>
      <c r="B3751" s="5" t="s">
        <v>10023</v>
      </c>
      <c r="C3751" s="7" t="s">
        <v>12556</v>
      </c>
      <c r="D3751" s="8">
        <f t="shared" si="236"/>
        <v>0</v>
      </c>
      <c r="E3751" s="7" t="s">
        <v>12557</v>
      </c>
      <c r="F3751" s="7">
        <f t="shared" si="237"/>
        <v>2</v>
      </c>
      <c r="G3751" s="7" t="s">
        <v>12558</v>
      </c>
      <c r="H3751" s="7">
        <f t="shared" si="238"/>
        <v>2</v>
      </c>
      <c r="I3751" s="7" t="str" cm="1">
        <f t="array" ref="I3751">IFERROR(_xlfn.IFS(M3751="נח",1,M3751="נע ונח",1,M3751="שני שווא נח",2,M3751="שני שוואים בסוף מילה",2,M3751="שני שוואים ברצף",1),"0")</f>
        <v>0</v>
      </c>
      <c r="J3751" s="9">
        <f t="shared" si="239"/>
        <v>3</v>
      </c>
      <c r="K3751" t="s">
        <v>6697</v>
      </c>
      <c r="L3751" t="s">
        <v>6695</v>
      </c>
      <c r="O3751" t="s">
        <v>6694</v>
      </c>
      <c r="U3751" t="s">
        <v>6694</v>
      </c>
      <c r="W3751" t="s">
        <v>6720</v>
      </c>
    </row>
    <row r="3752" spans="1:23" ht="15.6" x14ac:dyDescent="0.4">
      <c r="A3752" s="2" t="s">
        <v>571</v>
      </c>
      <c r="B3752" s="5" t="s">
        <v>10024</v>
      </c>
      <c r="C3752" s="7" t="s">
        <v>12556</v>
      </c>
      <c r="D3752" s="8">
        <f t="shared" si="236"/>
        <v>0</v>
      </c>
      <c r="E3752" s="7" t="s">
        <v>12557</v>
      </c>
      <c r="F3752" s="7">
        <f t="shared" si="237"/>
        <v>0</v>
      </c>
      <c r="G3752" s="7" t="s">
        <v>12558</v>
      </c>
      <c r="H3752" s="7">
        <f t="shared" si="238"/>
        <v>0</v>
      </c>
      <c r="I3752" s="7" t="str" cm="1">
        <f t="array" ref="I3752">IFERROR(_xlfn.IFS(M3752="נח",1,M3752="נע ונח",1,M3752="שני שווא נח",2,M3752="שני שוואים בסוף מילה",2,M3752="שני שוואים ברצף",1),"0")</f>
        <v>0</v>
      </c>
      <c r="J3752" s="9">
        <f t="shared" si="239"/>
        <v>3</v>
      </c>
      <c r="K3752" t="s">
        <v>6698</v>
      </c>
      <c r="L3752" t="s">
        <v>6694</v>
      </c>
      <c r="M3752" t="s">
        <v>6700</v>
      </c>
      <c r="Q3752" t="s">
        <v>6694</v>
      </c>
      <c r="S3752" t="s">
        <v>6694</v>
      </c>
      <c r="W3752" t="s">
        <v>6720</v>
      </c>
    </row>
    <row r="3753" spans="1:23" ht="15.6" x14ac:dyDescent="0.4">
      <c r="A3753" s="2" t="s">
        <v>3456</v>
      </c>
      <c r="B3753" s="5" t="s">
        <v>10025</v>
      </c>
      <c r="C3753" s="7" t="s">
        <v>12556</v>
      </c>
      <c r="D3753" s="8">
        <f t="shared" si="236"/>
        <v>0</v>
      </c>
      <c r="E3753" s="7" t="s">
        <v>12557</v>
      </c>
      <c r="F3753" s="7">
        <f t="shared" si="237"/>
        <v>0</v>
      </c>
      <c r="G3753" s="7" t="s">
        <v>12558</v>
      </c>
      <c r="H3753" s="7">
        <f t="shared" si="238"/>
        <v>0</v>
      </c>
      <c r="I3753" s="7" t="str" cm="1">
        <f t="array" ref="I3753">IFERROR(_xlfn.IFS(M3753="נח",1,M3753="נע ונח",1,M3753="שני שווא נח",2,M3753="שני שוואים בסוף מילה",2,M3753="שני שוואים ברצף",1),"0")</f>
        <v>0</v>
      </c>
      <c r="J3753" s="9">
        <f t="shared" si="239"/>
        <v>3</v>
      </c>
      <c r="K3753" t="s">
        <v>6698</v>
      </c>
      <c r="L3753" t="s">
        <v>6694</v>
      </c>
      <c r="M3753" t="s">
        <v>6700</v>
      </c>
      <c r="P3753" t="s">
        <v>6694</v>
      </c>
      <c r="S3753" t="s">
        <v>6694</v>
      </c>
      <c r="W3753" t="s">
        <v>6720</v>
      </c>
    </row>
    <row r="3754" spans="1:23" ht="15.6" x14ac:dyDescent="0.4">
      <c r="A3754" s="2" t="s">
        <v>4416</v>
      </c>
      <c r="B3754" s="5" t="s">
        <v>10026</v>
      </c>
      <c r="C3754" s="7" t="s">
        <v>12556</v>
      </c>
      <c r="D3754" s="8">
        <f t="shared" si="236"/>
        <v>0</v>
      </c>
      <c r="E3754" s="7" t="s">
        <v>12557</v>
      </c>
      <c r="F3754" s="7">
        <f t="shared" si="237"/>
        <v>0</v>
      </c>
      <c r="G3754" s="7" t="s">
        <v>12558</v>
      </c>
      <c r="H3754" s="7">
        <f t="shared" si="238"/>
        <v>0</v>
      </c>
      <c r="I3754" s="7" t="str" cm="1">
        <f t="array" ref="I3754">IFERROR(_xlfn.IFS(M3754="נח",1,M3754="נע ונח",1,M3754="שני שווא נח",2,M3754="שני שוואים בסוף מילה",2,M3754="שני שוואים ברצף",1),"0")</f>
        <v>0</v>
      </c>
      <c r="J3754" s="9">
        <f t="shared" si="239"/>
        <v>2</v>
      </c>
      <c r="K3754" t="s">
        <v>6698</v>
      </c>
      <c r="L3754" t="s">
        <v>6694</v>
      </c>
      <c r="M3754" t="s">
        <v>6700</v>
      </c>
      <c r="V3754" t="s">
        <v>6694</v>
      </c>
      <c r="W3754" t="s">
        <v>6720</v>
      </c>
    </row>
    <row r="3755" spans="1:23" ht="15.6" x14ac:dyDescent="0.4">
      <c r="A3755" s="2" t="s">
        <v>596</v>
      </c>
      <c r="B3755" s="5" t="s">
        <v>10027</v>
      </c>
      <c r="C3755" s="7" t="s">
        <v>12556</v>
      </c>
      <c r="D3755" s="8">
        <f t="shared" si="236"/>
        <v>0</v>
      </c>
      <c r="E3755" s="7" t="s">
        <v>12557</v>
      </c>
      <c r="F3755" s="7">
        <f t="shared" si="237"/>
        <v>0</v>
      </c>
      <c r="G3755" s="7" t="s">
        <v>12558</v>
      </c>
      <c r="H3755" s="7">
        <f t="shared" si="238"/>
        <v>0</v>
      </c>
      <c r="I3755" s="7" t="str" cm="1">
        <f t="array" ref="I3755">IFERROR(_xlfn.IFS(M3755="נח",1,M3755="נע ונח",1,M3755="שני שווא נח",2,M3755="שני שוואים בסוף מילה",2,M3755="שני שוואים ברצף",1),"0")</f>
        <v>0</v>
      </c>
      <c r="J3755" s="9">
        <f t="shared" si="239"/>
        <v>3</v>
      </c>
      <c r="K3755" t="s">
        <v>6697</v>
      </c>
      <c r="L3755" t="s">
        <v>6694</v>
      </c>
      <c r="M3755" t="s">
        <v>6700</v>
      </c>
      <c r="S3755" t="s">
        <v>6694</v>
      </c>
      <c r="V3755" t="s">
        <v>6694</v>
      </c>
      <c r="W3755" t="s">
        <v>6720</v>
      </c>
    </row>
    <row r="3756" spans="1:23" ht="15.6" x14ac:dyDescent="0.4">
      <c r="A3756" s="2" t="s">
        <v>3130</v>
      </c>
      <c r="B3756" s="5" t="s">
        <v>10028</v>
      </c>
      <c r="C3756" s="7" t="s">
        <v>12556</v>
      </c>
      <c r="D3756" s="8">
        <f t="shared" si="236"/>
        <v>0</v>
      </c>
      <c r="E3756" s="7" t="s">
        <v>12557</v>
      </c>
      <c r="F3756" s="7">
        <f t="shared" si="237"/>
        <v>0</v>
      </c>
      <c r="G3756" s="7" t="s">
        <v>12558</v>
      </c>
      <c r="H3756" s="7">
        <f t="shared" si="238"/>
        <v>0</v>
      </c>
      <c r="I3756" s="7" t="str" cm="1">
        <f t="array" ref="I3756">IFERROR(_xlfn.IFS(M3756="נח",1,M3756="נע ונח",1,M3756="שני שווא נח",2,M3756="שני שוואים בסוף מילה",2,M3756="שני שוואים ברצף",1),"0")</f>
        <v>0</v>
      </c>
      <c r="J3756" s="9">
        <f t="shared" si="239"/>
        <v>3</v>
      </c>
      <c r="K3756" t="s">
        <v>6697</v>
      </c>
      <c r="L3756" t="s">
        <v>6694</v>
      </c>
      <c r="M3756" t="s">
        <v>6700</v>
      </c>
      <c r="V3756" t="s">
        <v>6694</v>
      </c>
      <c r="W3756" t="s">
        <v>6720</v>
      </c>
    </row>
    <row r="3757" spans="1:23" ht="15.6" x14ac:dyDescent="0.4">
      <c r="A3757" s="2" t="s">
        <v>2945</v>
      </c>
      <c r="B3757" s="5" t="s">
        <v>10029</v>
      </c>
      <c r="C3757" s="7" t="s">
        <v>12556</v>
      </c>
      <c r="D3757" s="8">
        <f t="shared" si="236"/>
        <v>0</v>
      </c>
      <c r="E3757" s="7" t="s">
        <v>12557</v>
      </c>
      <c r="F3757" s="7">
        <f t="shared" si="237"/>
        <v>1</v>
      </c>
      <c r="G3757" s="7" t="s">
        <v>12558</v>
      </c>
      <c r="H3757" s="7">
        <f t="shared" si="238"/>
        <v>0</v>
      </c>
      <c r="I3757" s="7" t="str" cm="1">
        <f t="array" ref="I3757">IFERROR(_xlfn.IFS(M3757="נח",1,M3757="נע ונח",1,M3757="שני שווא נח",2,M3757="שני שוואים בסוף מילה",2,M3757="שני שוואים ברצף",1),"0")</f>
        <v>0</v>
      </c>
      <c r="J3757" s="9">
        <f t="shared" si="239"/>
        <v>4</v>
      </c>
      <c r="K3757" t="s">
        <v>6698</v>
      </c>
      <c r="L3757" t="s">
        <v>6694</v>
      </c>
      <c r="M3757" t="s">
        <v>6700</v>
      </c>
      <c r="O3757" t="s">
        <v>6694</v>
      </c>
      <c r="S3757" t="s">
        <v>6694</v>
      </c>
      <c r="V3757" t="s">
        <v>6694</v>
      </c>
      <c r="W3757" t="s">
        <v>6720</v>
      </c>
    </row>
    <row r="3758" spans="1:23" ht="15.6" x14ac:dyDescent="0.4">
      <c r="A3758" s="2" t="s">
        <v>1939</v>
      </c>
      <c r="B3758" s="5" t="s">
        <v>10030</v>
      </c>
      <c r="C3758" s="7" t="s">
        <v>12556</v>
      </c>
      <c r="D3758" s="8">
        <f t="shared" si="236"/>
        <v>1</v>
      </c>
      <c r="E3758" s="7" t="s">
        <v>12557</v>
      </c>
      <c r="F3758" s="7">
        <f t="shared" si="237"/>
        <v>0</v>
      </c>
      <c r="G3758" s="7" t="s">
        <v>12558</v>
      </c>
      <c r="H3758" s="7">
        <f t="shared" si="238"/>
        <v>0</v>
      </c>
      <c r="I3758" s="7" t="str" cm="1">
        <f t="array" ref="I3758">IFERROR(_xlfn.IFS(M3758="נח",1,M3758="נע ונח",1,M3758="שני שווא נח",2,M3758="שני שוואים בסוף מילה",2,M3758="שני שוואים ברצף",1),"0")</f>
        <v>0</v>
      </c>
      <c r="J3758" s="9">
        <f t="shared" si="239"/>
        <v>3</v>
      </c>
      <c r="K3758" t="s">
        <v>6698</v>
      </c>
      <c r="L3758" t="s">
        <v>6694</v>
      </c>
      <c r="M3758" t="s">
        <v>6700</v>
      </c>
      <c r="Q3758" t="s">
        <v>6694</v>
      </c>
      <c r="W3758" t="s">
        <v>6720</v>
      </c>
    </row>
    <row r="3759" spans="1:23" ht="15.6" x14ac:dyDescent="0.4">
      <c r="A3759" s="2" t="s">
        <v>6547</v>
      </c>
      <c r="B3759" s="5" t="s">
        <v>10031</v>
      </c>
      <c r="C3759" s="7" t="s">
        <v>12556</v>
      </c>
      <c r="D3759" s="8">
        <f t="shared" si="236"/>
        <v>0</v>
      </c>
      <c r="E3759" s="7" t="s">
        <v>12557</v>
      </c>
      <c r="F3759" s="7">
        <f t="shared" si="237"/>
        <v>1</v>
      </c>
      <c r="G3759" s="7" t="s">
        <v>12558</v>
      </c>
      <c r="H3759" s="7">
        <f t="shared" si="238"/>
        <v>0</v>
      </c>
      <c r="I3759" s="7" cm="1">
        <f t="array" ref="I3759">IFERROR(_xlfn.IFS(M3759="נח",1,M3759="נע ונח",1,M3759="שני שווא נח",2,M3759="שני שוואים בסוף מילה",2,M3759="שני שוואים ברצף",1),"0")</f>
        <v>1</v>
      </c>
      <c r="J3759" s="9">
        <f t="shared" si="239"/>
        <v>4</v>
      </c>
      <c r="K3759" t="s">
        <v>6697</v>
      </c>
      <c r="L3759" t="s">
        <v>6694</v>
      </c>
      <c r="M3759" t="s">
        <v>6701</v>
      </c>
      <c r="O3759" t="s">
        <v>6694</v>
      </c>
      <c r="P3759" t="s">
        <v>6694</v>
      </c>
      <c r="R3759" t="s">
        <v>6694</v>
      </c>
      <c r="W3759" t="s">
        <v>6720</v>
      </c>
    </row>
    <row r="3760" spans="1:23" ht="15.6" x14ac:dyDescent="0.4">
      <c r="A3760" s="2" t="s">
        <v>4590</v>
      </c>
      <c r="B3760" s="5" t="s">
        <v>10032</v>
      </c>
      <c r="C3760" s="7" t="s">
        <v>12556</v>
      </c>
      <c r="D3760" s="8">
        <f t="shared" si="236"/>
        <v>0</v>
      </c>
      <c r="E3760" s="7" t="s">
        <v>12557</v>
      </c>
      <c r="F3760" s="7">
        <f t="shared" si="237"/>
        <v>1</v>
      </c>
      <c r="G3760" s="7" t="s">
        <v>12558</v>
      </c>
      <c r="H3760" s="7">
        <f t="shared" si="238"/>
        <v>0</v>
      </c>
      <c r="I3760" s="7" t="str" cm="1">
        <f t="array" ref="I3760">IFERROR(_xlfn.IFS(M3760="נח",1,M3760="נע ונח",1,M3760="שני שווא נח",2,M3760="שני שוואים בסוף מילה",2,M3760="שני שוואים ברצף",1),"0")</f>
        <v>0</v>
      </c>
      <c r="J3760" s="9">
        <f t="shared" si="239"/>
        <v>3</v>
      </c>
      <c r="K3760" t="s">
        <v>6697</v>
      </c>
      <c r="L3760" t="s">
        <v>6694</v>
      </c>
      <c r="M3760" t="s">
        <v>6700</v>
      </c>
      <c r="O3760" t="s">
        <v>6694</v>
      </c>
      <c r="S3760" t="s">
        <v>6694</v>
      </c>
      <c r="W3760" t="s">
        <v>6720</v>
      </c>
    </row>
    <row r="3761" spans="1:23" ht="15.6" x14ac:dyDescent="0.4">
      <c r="A3761" s="2" t="s">
        <v>4152</v>
      </c>
      <c r="B3761" s="5" t="s">
        <v>10033</v>
      </c>
      <c r="C3761" s="7" t="s">
        <v>12556</v>
      </c>
      <c r="D3761" s="8">
        <f t="shared" si="236"/>
        <v>0</v>
      </c>
      <c r="E3761" s="7" t="s">
        <v>12557</v>
      </c>
      <c r="F3761" s="7">
        <f t="shared" si="237"/>
        <v>0</v>
      </c>
      <c r="G3761" s="7" t="s">
        <v>12558</v>
      </c>
      <c r="H3761" s="7">
        <f t="shared" si="238"/>
        <v>0</v>
      </c>
      <c r="I3761" s="7" t="str" cm="1">
        <f t="array" ref="I3761">IFERROR(_xlfn.IFS(M3761="נח",1,M3761="נע ונח",1,M3761="שני שווא נח",2,M3761="שני שוואים בסוף מילה",2,M3761="שני שוואים ברצף",1),"0")</f>
        <v>0</v>
      </c>
      <c r="J3761" s="9">
        <f t="shared" si="239"/>
        <v>2</v>
      </c>
      <c r="K3761" t="s">
        <v>6697</v>
      </c>
      <c r="L3761" t="s">
        <v>6694</v>
      </c>
      <c r="M3761" t="s">
        <v>6700</v>
      </c>
      <c r="V3761" t="s">
        <v>6694</v>
      </c>
      <c r="W3761" t="s">
        <v>6720</v>
      </c>
    </row>
    <row r="3762" spans="1:23" ht="15.6" x14ac:dyDescent="0.4">
      <c r="A3762" s="2" t="s">
        <v>5282</v>
      </c>
      <c r="B3762" s="5" t="s">
        <v>10034</v>
      </c>
      <c r="C3762" s="7" t="s">
        <v>12556</v>
      </c>
      <c r="D3762" s="8">
        <f t="shared" si="236"/>
        <v>0</v>
      </c>
      <c r="E3762" s="7" t="s">
        <v>12557</v>
      </c>
      <c r="F3762" s="7">
        <f t="shared" si="237"/>
        <v>0</v>
      </c>
      <c r="G3762" s="7" t="s">
        <v>12558</v>
      </c>
      <c r="H3762" s="7">
        <f t="shared" si="238"/>
        <v>0</v>
      </c>
      <c r="I3762" s="7" t="str" cm="1">
        <f t="array" ref="I3762">IFERROR(_xlfn.IFS(M3762="נח",1,M3762="נע ונח",1,M3762="שני שווא נח",2,M3762="שני שוואים בסוף מילה",2,M3762="שני שוואים ברצף",1),"0")</f>
        <v>0</v>
      </c>
      <c r="J3762" s="9">
        <f t="shared" si="239"/>
        <v>3</v>
      </c>
      <c r="K3762" t="s">
        <v>6698</v>
      </c>
      <c r="L3762" t="s">
        <v>6694</v>
      </c>
      <c r="M3762" t="s">
        <v>6700</v>
      </c>
      <c r="O3762" t="s">
        <v>6694</v>
      </c>
      <c r="P3762" t="s">
        <v>6694</v>
      </c>
      <c r="W3762" t="s">
        <v>6720</v>
      </c>
    </row>
    <row r="3763" spans="1:23" ht="15.6" x14ac:dyDescent="0.4">
      <c r="A3763" s="2" t="s">
        <v>1393</v>
      </c>
      <c r="B3763" s="5" t="s">
        <v>10035</v>
      </c>
      <c r="C3763" s="7" t="s">
        <v>12556</v>
      </c>
      <c r="D3763" s="8">
        <f t="shared" si="236"/>
        <v>0</v>
      </c>
      <c r="E3763" s="7" t="s">
        <v>12557</v>
      </c>
      <c r="F3763" s="7">
        <f t="shared" si="237"/>
        <v>1</v>
      </c>
      <c r="G3763" s="7" t="s">
        <v>12558</v>
      </c>
      <c r="H3763" s="7">
        <f t="shared" si="238"/>
        <v>0</v>
      </c>
      <c r="I3763" s="7" t="str" cm="1">
        <f t="array" ref="I3763">IFERROR(_xlfn.IFS(M3763="נח",1,M3763="נע ונח",1,M3763="שני שווא נח",2,M3763="שני שוואים בסוף מילה",2,M3763="שני שוואים ברצף",1),"0")</f>
        <v>0</v>
      </c>
      <c r="J3763" s="9">
        <f t="shared" si="239"/>
        <v>3</v>
      </c>
      <c r="K3763" t="s">
        <v>6698</v>
      </c>
      <c r="L3763" t="s">
        <v>6694</v>
      </c>
      <c r="M3763" t="s">
        <v>6700</v>
      </c>
      <c r="S3763" t="s">
        <v>6694</v>
      </c>
      <c r="W3763" t="s">
        <v>6720</v>
      </c>
    </row>
    <row r="3764" spans="1:23" ht="15.6" x14ac:dyDescent="0.4">
      <c r="A3764" s="2" t="s">
        <v>2104</v>
      </c>
      <c r="B3764" s="5" t="s">
        <v>10036</v>
      </c>
      <c r="C3764" s="7" t="s">
        <v>12556</v>
      </c>
      <c r="D3764" s="8">
        <f t="shared" si="236"/>
        <v>0</v>
      </c>
      <c r="E3764" s="7" t="s">
        <v>12557</v>
      </c>
      <c r="F3764" s="7">
        <f t="shared" si="237"/>
        <v>0</v>
      </c>
      <c r="G3764" s="7" t="s">
        <v>12558</v>
      </c>
      <c r="H3764" s="7">
        <f t="shared" si="238"/>
        <v>0</v>
      </c>
      <c r="I3764" s="7" cm="1">
        <f t="array" ref="I3764">IFERROR(_xlfn.IFS(M3764="נח",1,M3764="נע ונח",1,M3764="שני שווא נח",2,M3764="שני שוואים בסוף מילה",2,M3764="שני שוואים ברצף",1),"0")</f>
        <v>1</v>
      </c>
      <c r="J3764" s="9">
        <f t="shared" si="239"/>
        <v>4</v>
      </c>
      <c r="K3764" t="s">
        <v>6697</v>
      </c>
      <c r="L3764" t="s">
        <v>6694</v>
      </c>
      <c r="M3764" t="s">
        <v>6702</v>
      </c>
      <c r="O3764" t="s">
        <v>6694</v>
      </c>
      <c r="S3764" t="s">
        <v>6694</v>
      </c>
      <c r="W3764" t="s">
        <v>6720</v>
      </c>
    </row>
    <row r="3765" spans="1:23" ht="15.6" x14ac:dyDescent="0.4">
      <c r="A3765" s="2" t="s">
        <v>2018</v>
      </c>
      <c r="B3765" s="5" t="s">
        <v>10037</v>
      </c>
      <c r="C3765" s="7" t="s">
        <v>12556</v>
      </c>
      <c r="D3765" s="8">
        <f t="shared" si="236"/>
        <v>0</v>
      </c>
      <c r="E3765" s="7" t="s">
        <v>12557</v>
      </c>
      <c r="F3765" s="7">
        <f t="shared" si="237"/>
        <v>0</v>
      </c>
      <c r="G3765" s="7" t="s">
        <v>12558</v>
      </c>
      <c r="H3765" s="7">
        <f t="shared" si="238"/>
        <v>0</v>
      </c>
      <c r="I3765" s="7" cm="1">
        <f t="array" ref="I3765">IFERROR(_xlfn.IFS(M3765="נח",1,M3765="נע ונח",1,M3765="שני שווא נח",2,M3765="שני שוואים בסוף מילה",2,M3765="שני שוואים ברצף",1),"0")</f>
        <v>1</v>
      </c>
      <c r="J3765" s="9">
        <f t="shared" si="239"/>
        <v>3</v>
      </c>
      <c r="K3765" t="s">
        <v>6697</v>
      </c>
      <c r="L3765" t="s">
        <v>6694</v>
      </c>
      <c r="M3765" t="s">
        <v>6701</v>
      </c>
      <c r="S3765" t="s">
        <v>6694</v>
      </c>
      <c r="W3765" t="s">
        <v>6720</v>
      </c>
    </row>
    <row r="3766" spans="1:23" ht="15.6" x14ac:dyDescent="0.4">
      <c r="A3766" s="2" t="s">
        <v>5427</v>
      </c>
      <c r="B3766" s="5" t="s">
        <v>10038</v>
      </c>
      <c r="C3766" s="7" t="s">
        <v>12556</v>
      </c>
      <c r="D3766" s="8">
        <f t="shared" si="236"/>
        <v>0</v>
      </c>
      <c r="E3766" s="7" t="s">
        <v>12557</v>
      </c>
      <c r="F3766" s="7">
        <f t="shared" si="237"/>
        <v>0</v>
      </c>
      <c r="G3766" s="7" t="s">
        <v>12558</v>
      </c>
      <c r="H3766" s="7">
        <f t="shared" si="238"/>
        <v>0</v>
      </c>
      <c r="I3766" s="7" t="str" cm="1">
        <f t="array" ref="I3766">IFERROR(_xlfn.IFS(M3766="נח",1,M3766="נע ונח",1,M3766="שני שווא נח",2,M3766="שני שוואים בסוף מילה",2,M3766="שני שוואים ברצף",1),"0")</f>
        <v>0</v>
      </c>
      <c r="J3766" s="9">
        <f t="shared" si="239"/>
        <v>3</v>
      </c>
      <c r="K3766" t="s">
        <v>6697</v>
      </c>
      <c r="L3766" t="s">
        <v>6694</v>
      </c>
      <c r="M3766" t="s">
        <v>6700</v>
      </c>
      <c r="O3766" t="s">
        <v>6694</v>
      </c>
      <c r="P3766" t="s">
        <v>6694</v>
      </c>
      <c r="W3766" t="s">
        <v>6720</v>
      </c>
    </row>
    <row r="3767" spans="1:23" ht="15.6" x14ac:dyDescent="0.4">
      <c r="A3767" s="2" t="s">
        <v>2833</v>
      </c>
      <c r="B3767" s="5" t="s">
        <v>10039</v>
      </c>
      <c r="C3767" s="7" t="s">
        <v>12556</v>
      </c>
      <c r="D3767" s="8">
        <f t="shared" si="236"/>
        <v>0</v>
      </c>
      <c r="E3767" s="7" t="s">
        <v>12557</v>
      </c>
      <c r="F3767" s="7">
        <f t="shared" si="237"/>
        <v>1</v>
      </c>
      <c r="G3767" s="7" t="s">
        <v>12558</v>
      </c>
      <c r="H3767" s="7">
        <f t="shared" si="238"/>
        <v>0</v>
      </c>
      <c r="I3767" s="7" cm="1">
        <f t="array" ref="I3767">IFERROR(_xlfn.IFS(M3767="נח",1,M3767="נע ונח",1,M3767="שני שווא נח",2,M3767="שני שוואים בסוף מילה",2,M3767="שני שוואים ברצף",1),"0")</f>
        <v>1</v>
      </c>
      <c r="J3767" s="9">
        <f t="shared" si="239"/>
        <v>3</v>
      </c>
      <c r="K3767" t="s">
        <v>6697</v>
      </c>
      <c r="L3767" t="s">
        <v>6694</v>
      </c>
      <c r="M3767" t="s">
        <v>6705</v>
      </c>
      <c r="P3767" t="s">
        <v>6694</v>
      </c>
      <c r="S3767" t="s">
        <v>6694</v>
      </c>
      <c r="V3767" t="s">
        <v>6694</v>
      </c>
      <c r="W3767" t="s">
        <v>6720</v>
      </c>
    </row>
    <row r="3768" spans="1:23" ht="15.6" x14ac:dyDescent="0.4">
      <c r="A3768" s="2" t="s">
        <v>1716</v>
      </c>
      <c r="B3768" s="5" t="s">
        <v>10040</v>
      </c>
      <c r="C3768" s="7" t="s">
        <v>12556</v>
      </c>
      <c r="D3768" s="8">
        <f t="shared" si="236"/>
        <v>0</v>
      </c>
      <c r="E3768" s="7" t="s">
        <v>12557</v>
      </c>
      <c r="F3768" s="7">
        <f t="shared" si="237"/>
        <v>0</v>
      </c>
      <c r="G3768" s="7" t="s">
        <v>12558</v>
      </c>
      <c r="H3768" s="7">
        <f t="shared" si="238"/>
        <v>0</v>
      </c>
      <c r="I3768" s="7" cm="1">
        <f t="array" ref="I3768">IFERROR(_xlfn.IFS(M3768="נח",1,M3768="נע ונח",1,M3768="שני שווא נח",2,M3768="שני שוואים בסוף מילה",2,M3768="שני שוואים ברצף",1),"0")</f>
        <v>1</v>
      </c>
      <c r="J3768" s="9">
        <f t="shared" si="239"/>
        <v>3</v>
      </c>
      <c r="K3768" t="s">
        <v>6698</v>
      </c>
      <c r="L3768" t="s">
        <v>6694</v>
      </c>
      <c r="M3768" t="s">
        <v>6705</v>
      </c>
      <c r="S3768" t="s">
        <v>6694</v>
      </c>
      <c r="V3768" t="s">
        <v>6694</v>
      </c>
      <c r="W3768" t="s">
        <v>6720</v>
      </c>
    </row>
    <row r="3769" spans="1:23" ht="15.6" x14ac:dyDescent="0.4">
      <c r="A3769" s="2" t="s">
        <v>3523</v>
      </c>
      <c r="B3769" s="5" t="s">
        <v>10041</v>
      </c>
      <c r="C3769" s="7" t="s">
        <v>12556</v>
      </c>
      <c r="D3769" s="8">
        <f t="shared" si="236"/>
        <v>0</v>
      </c>
      <c r="E3769" s="7" t="s">
        <v>12557</v>
      </c>
      <c r="F3769" s="7">
        <f t="shared" si="237"/>
        <v>1</v>
      </c>
      <c r="G3769" s="7" t="s">
        <v>12558</v>
      </c>
      <c r="H3769" s="7">
        <f t="shared" si="238"/>
        <v>0</v>
      </c>
      <c r="I3769" s="7" cm="1">
        <f t="array" ref="I3769">IFERROR(_xlfn.IFS(M3769="נח",1,M3769="נע ונח",1,M3769="שני שווא נח",2,M3769="שני שוואים בסוף מילה",2,M3769="שני שוואים ברצף",1),"0")</f>
        <v>1</v>
      </c>
      <c r="J3769" s="9">
        <f t="shared" si="239"/>
        <v>3</v>
      </c>
      <c r="K3769" t="s">
        <v>6697</v>
      </c>
      <c r="L3769" t="s">
        <v>6694</v>
      </c>
      <c r="M3769" t="s">
        <v>6705</v>
      </c>
      <c r="P3769" t="s">
        <v>6694</v>
      </c>
      <c r="S3769" t="s">
        <v>6694</v>
      </c>
      <c r="W3769" t="s">
        <v>6720</v>
      </c>
    </row>
    <row r="3770" spans="1:23" ht="15.6" x14ac:dyDescent="0.4">
      <c r="A3770" s="2" t="s">
        <v>556</v>
      </c>
      <c r="B3770" s="5" t="s">
        <v>10042</v>
      </c>
      <c r="C3770" s="7" t="s">
        <v>12556</v>
      </c>
      <c r="D3770" s="8">
        <f t="shared" si="236"/>
        <v>0</v>
      </c>
      <c r="E3770" s="7" t="s">
        <v>12557</v>
      </c>
      <c r="F3770" s="7">
        <f t="shared" si="237"/>
        <v>0</v>
      </c>
      <c r="G3770" s="7" t="s">
        <v>12558</v>
      </c>
      <c r="H3770" s="7">
        <f t="shared" si="238"/>
        <v>0</v>
      </c>
      <c r="I3770" s="7" t="str" cm="1">
        <f t="array" ref="I3770">IFERROR(_xlfn.IFS(M3770="נח",1,M3770="נע ונח",1,M3770="שני שווא נח",2,M3770="שני שוואים בסוף מילה",2,M3770="שני שוואים ברצף",1),"0")</f>
        <v>0</v>
      </c>
      <c r="J3770" s="9">
        <f t="shared" si="239"/>
        <v>1</v>
      </c>
      <c r="K3770" t="s">
        <v>6697</v>
      </c>
      <c r="L3770" t="s">
        <v>6695</v>
      </c>
      <c r="S3770" t="s">
        <v>6694</v>
      </c>
      <c r="W3770" t="s">
        <v>6720</v>
      </c>
    </row>
    <row r="3771" spans="1:23" ht="15.6" x14ac:dyDescent="0.4">
      <c r="A3771" s="2" t="s">
        <v>3299</v>
      </c>
      <c r="B3771" s="5" t="s">
        <v>10043</v>
      </c>
      <c r="C3771" s="7" t="s">
        <v>12556</v>
      </c>
      <c r="D3771" s="8">
        <f t="shared" si="236"/>
        <v>0</v>
      </c>
      <c r="E3771" s="7" t="s">
        <v>12557</v>
      </c>
      <c r="F3771" s="7">
        <f t="shared" si="237"/>
        <v>0</v>
      </c>
      <c r="G3771" s="7" t="s">
        <v>12558</v>
      </c>
      <c r="H3771" s="7">
        <f t="shared" si="238"/>
        <v>0</v>
      </c>
      <c r="I3771" s="7" cm="1">
        <f t="array" ref="I3771">IFERROR(_xlfn.IFS(M3771="נח",1,M3771="נע ונח",1,M3771="שני שווא נח",2,M3771="שני שוואים בסוף מילה",2,M3771="שני שוואים ברצף",1),"0")</f>
        <v>1</v>
      </c>
      <c r="J3771" s="9">
        <f t="shared" si="239"/>
        <v>4</v>
      </c>
      <c r="K3771" t="s">
        <v>6697</v>
      </c>
      <c r="L3771" t="s">
        <v>6694</v>
      </c>
      <c r="M3771" t="s">
        <v>6705</v>
      </c>
      <c r="O3771" t="s">
        <v>6694</v>
      </c>
      <c r="R3771" t="s">
        <v>6694</v>
      </c>
      <c r="S3771" t="s">
        <v>6694</v>
      </c>
      <c r="W3771" t="s">
        <v>6720</v>
      </c>
    </row>
    <row r="3772" spans="1:23" ht="15.6" x14ac:dyDescent="0.4">
      <c r="A3772" s="2" t="s">
        <v>5058</v>
      </c>
      <c r="B3772" s="5" t="s">
        <v>10044</v>
      </c>
      <c r="C3772" s="7" t="s">
        <v>12556</v>
      </c>
      <c r="D3772" s="8">
        <f t="shared" si="236"/>
        <v>0</v>
      </c>
      <c r="E3772" s="7" t="s">
        <v>12557</v>
      </c>
      <c r="F3772" s="7">
        <f t="shared" si="237"/>
        <v>0</v>
      </c>
      <c r="G3772" s="7" t="s">
        <v>12558</v>
      </c>
      <c r="H3772" s="7">
        <f t="shared" si="238"/>
        <v>0</v>
      </c>
      <c r="I3772" s="7" cm="1">
        <f t="array" ref="I3772">IFERROR(_xlfn.IFS(M3772="נח",1,M3772="נע ונח",1,M3772="שני שווא נח",2,M3772="שני שוואים בסוף מילה",2,M3772="שני שוואים ברצף",1),"0")</f>
        <v>1</v>
      </c>
      <c r="J3772" s="9">
        <f t="shared" si="239"/>
        <v>3</v>
      </c>
      <c r="K3772" t="s">
        <v>6698</v>
      </c>
      <c r="L3772" t="s">
        <v>6694</v>
      </c>
      <c r="M3772" t="s">
        <v>6705</v>
      </c>
      <c r="N3772" t="s">
        <v>6706</v>
      </c>
      <c r="O3772" t="s">
        <v>6694</v>
      </c>
      <c r="S3772" t="s">
        <v>6694</v>
      </c>
      <c r="V3772" t="s">
        <v>6694</v>
      </c>
      <c r="W3772" t="s">
        <v>6720</v>
      </c>
    </row>
    <row r="3773" spans="1:23" ht="15.6" x14ac:dyDescent="0.4">
      <c r="A3773" s="2" t="s">
        <v>2599</v>
      </c>
      <c r="B3773" s="5" t="s">
        <v>10045</v>
      </c>
      <c r="C3773" s="7" t="s">
        <v>12556</v>
      </c>
      <c r="D3773" s="8">
        <f t="shared" si="236"/>
        <v>0</v>
      </c>
      <c r="E3773" s="7" t="s">
        <v>12557</v>
      </c>
      <c r="F3773" s="7">
        <f t="shared" si="237"/>
        <v>0</v>
      </c>
      <c r="G3773" s="7" t="s">
        <v>12558</v>
      </c>
      <c r="H3773" s="7">
        <f t="shared" si="238"/>
        <v>0</v>
      </c>
      <c r="I3773" s="7" cm="1">
        <f t="array" ref="I3773">IFERROR(_xlfn.IFS(M3773="נח",1,M3773="נע ונח",1,M3773="שני שווא נח",2,M3773="שני שוואים בסוף מילה",2,M3773="שני שוואים ברצף",1),"0")</f>
        <v>1</v>
      </c>
      <c r="J3773" s="9">
        <f t="shared" si="239"/>
        <v>3</v>
      </c>
      <c r="K3773" t="s">
        <v>6698</v>
      </c>
      <c r="L3773" t="s">
        <v>6694</v>
      </c>
      <c r="M3773" t="s">
        <v>6705</v>
      </c>
      <c r="P3773" t="s">
        <v>6694</v>
      </c>
      <c r="S3773" t="s">
        <v>6694</v>
      </c>
      <c r="V3773" t="s">
        <v>6694</v>
      </c>
      <c r="W3773" t="s">
        <v>6720</v>
      </c>
    </row>
    <row r="3774" spans="1:23" ht="15.6" x14ac:dyDescent="0.4">
      <c r="A3774" s="2" t="s">
        <v>6305</v>
      </c>
      <c r="B3774" s="5" t="s">
        <v>10045</v>
      </c>
      <c r="C3774" s="7" t="s">
        <v>12556</v>
      </c>
      <c r="D3774" s="8">
        <f t="shared" si="236"/>
        <v>0</v>
      </c>
      <c r="E3774" s="7" t="s">
        <v>12557</v>
      </c>
      <c r="F3774" s="7">
        <f t="shared" si="237"/>
        <v>0</v>
      </c>
      <c r="G3774" s="7" t="s">
        <v>12558</v>
      </c>
      <c r="H3774" s="7">
        <f t="shared" si="238"/>
        <v>0</v>
      </c>
      <c r="I3774" s="7" cm="1">
        <f t="array" ref="I3774">IFERROR(_xlfn.IFS(M3774="נח",1,M3774="נע ונח",1,M3774="שני שווא נח",2,M3774="שני שוואים בסוף מילה",2,M3774="שני שוואים ברצף",1),"0")</f>
        <v>1</v>
      </c>
      <c r="J3774" s="9">
        <f t="shared" si="239"/>
        <v>3</v>
      </c>
      <c r="K3774" t="s">
        <v>6698</v>
      </c>
      <c r="L3774" t="s">
        <v>6694</v>
      </c>
      <c r="M3774" t="s">
        <v>6705</v>
      </c>
      <c r="N3774" t="s">
        <v>6706</v>
      </c>
      <c r="O3774" t="s">
        <v>6694</v>
      </c>
      <c r="S3774" t="s">
        <v>6694</v>
      </c>
      <c r="V3774" t="s">
        <v>6694</v>
      </c>
      <c r="W3774" t="s">
        <v>6720</v>
      </c>
    </row>
    <row r="3775" spans="1:23" ht="15.6" x14ac:dyDescent="0.4">
      <c r="A3775" s="2" t="s">
        <v>2702</v>
      </c>
      <c r="B3775" s="5" t="s">
        <v>10046</v>
      </c>
      <c r="C3775" s="7" t="s">
        <v>12556</v>
      </c>
      <c r="D3775" s="8">
        <f t="shared" si="236"/>
        <v>0</v>
      </c>
      <c r="E3775" s="7" t="s">
        <v>12557</v>
      </c>
      <c r="F3775" s="7">
        <f t="shared" si="237"/>
        <v>1</v>
      </c>
      <c r="G3775" s="7" t="s">
        <v>12558</v>
      </c>
      <c r="H3775" s="7">
        <f t="shared" si="238"/>
        <v>0</v>
      </c>
      <c r="I3775" s="7" t="str" cm="1">
        <f t="array" ref="I3775">IFERROR(_xlfn.IFS(M3775="נח",1,M3775="נע ונח",1,M3775="שני שווא נח",2,M3775="שני שוואים בסוף מילה",2,M3775="שני שוואים ברצף",1),"0")</f>
        <v>0</v>
      </c>
      <c r="J3775" s="9">
        <f t="shared" si="239"/>
        <v>3</v>
      </c>
      <c r="K3775" t="s">
        <v>6697</v>
      </c>
      <c r="L3775" t="s">
        <v>6695</v>
      </c>
      <c r="S3775" t="s">
        <v>6694</v>
      </c>
      <c r="W3775" t="s">
        <v>6720</v>
      </c>
    </row>
    <row r="3776" spans="1:23" ht="15.6" x14ac:dyDescent="0.4">
      <c r="A3776" s="2" t="s">
        <v>6646</v>
      </c>
      <c r="B3776" s="5" t="s">
        <v>10047</v>
      </c>
      <c r="C3776" s="7" t="s">
        <v>12556</v>
      </c>
      <c r="D3776" s="8">
        <f t="shared" si="236"/>
        <v>0</v>
      </c>
      <c r="E3776" s="7" t="s">
        <v>12557</v>
      </c>
      <c r="F3776" s="7">
        <f t="shared" si="237"/>
        <v>1</v>
      </c>
      <c r="G3776" s="7" t="s">
        <v>12558</v>
      </c>
      <c r="H3776" s="7">
        <f t="shared" si="238"/>
        <v>0</v>
      </c>
      <c r="I3776" s="7" t="str" cm="1">
        <f t="array" ref="I3776">IFERROR(_xlfn.IFS(M3776="נח",1,M3776="נע ונח",1,M3776="שני שווא נח",2,M3776="שני שוואים בסוף מילה",2,M3776="שני שוואים ברצף",1),"0")</f>
        <v>0</v>
      </c>
      <c r="J3776" s="9">
        <f t="shared" si="239"/>
        <v>3</v>
      </c>
      <c r="K3776" t="s">
        <v>6697</v>
      </c>
      <c r="L3776" t="s">
        <v>6695</v>
      </c>
      <c r="S3776" t="s">
        <v>6694</v>
      </c>
      <c r="W3776" t="s">
        <v>6720</v>
      </c>
    </row>
    <row r="3777" spans="1:23" ht="15.6" x14ac:dyDescent="0.4">
      <c r="A3777" s="2" t="s">
        <v>187</v>
      </c>
      <c r="B3777" s="5" t="s">
        <v>10048</v>
      </c>
      <c r="C3777" s="7" t="s">
        <v>12556</v>
      </c>
      <c r="D3777" s="8">
        <f t="shared" si="236"/>
        <v>0</v>
      </c>
      <c r="E3777" s="7" t="s">
        <v>12557</v>
      </c>
      <c r="F3777" s="7">
        <f t="shared" si="237"/>
        <v>0</v>
      </c>
      <c r="G3777" s="7" t="s">
        <v>12558</v>
      </c>
      <c r="H3777" s="7">
        <f t="shared" si="238"/>
        <v>0</v>
      </c>
      <c r="I3777" s="7" t="str" cm="1">
        <f t="array" ref="I3777">IFERROR(_xlfn.IFS(M3777="נח",1,M3777="נע ונח",1,M3777="שני שווא נח",2,M3777="שני שוואים בסוף מילה",2,M3777="שני שוואים ברצף",1),"0")</f>
        <v>0</v>
      </c>
      <c r="J3777" s="9">
        <f t="shared" si="239"/>
        <v>1</v>
      </c>
      <c r="K3777" t="s">
        <v>6698</v>
      </c>
      <c r="L3777" t="s">
        <v>6695</v>
      </c>
      <c r="Q3777" t="s">
        <v>6694</v>
      </c>
      <c r="W3777" t="s">
        <v>6720</v>
      </c>
    </row>
    <row r="3778" spans="1:23" ht="15.6" x14ac:dyDescent="0.4">
      <c r="A3778" s="2" t="s">
        <v>5806</v>
      </c>
      <c r="B3778" s="5" t="s">
        <v>10049</v>
      </c>
      <c r="C3778" s="7" t="s">
        <v>12556</v>
      </c>
      <c r="D3778" s="8">
        <f t="shared" si="236"/>
        <v>0</v>
      </c>
      <c r="E3778" s="7" t="s">
        <v>12557</v>
      </c>
      <c r="F3778" s="7">
        <f t="shared" si="237"/>
        <v>0</v>
      </c>
      <c r="G3778" s="7" t="s">
        <v>12558</v>
      </c>
      <c r="H3778" s="7">
        <f t="shared" si="238"/>
        <v>0</v>
      </c>
      <c r="I3778" s="7" t="str" cm="1">
        <f t="array" ref="I3778">IFERROR(_xlfn.IFS(M3778="נח",1,M3778="נע ונח",1,M3778="שני שווא נח",2,M3778="שני שוואים בסוף מילה",2,M3778="שני שוואים ברצף",1),"0")</f>
        <v>0</v>
      </c>
      <c r="J3778" s="9">
        <f t="shared" si="239"/>
        <v>3</v>
      </c>
      <c r="K3778" t="s">
        <v>6698</v>
      </c>
      <c r="L3778" t="s">
        <v>6695</v>
      </c>
      <c r="N3778" t="s">
        <v>6706</v>
      </c>
      <c r="O3778" t="s">
        <v>6694</v>
      </c>
      <c r="R3778" t="s">
        <v>6694</v>
      </c>
      <c r="W3778" t="s">
        <v>6720</v>
      </c>
    </row>
    <row r="3779" spans="1:23" ht="15.6" x14ac:dyDescent="0.4">
      <c r="A3779" s="2" t="s">
        <v>2469</v>
      </c>
      <c r="B3779" s="5" t="s">
        <v>10050</v>
      </c>
      <c r="C3779" s="7" t="s">
        <v>12556</v>
      </c>
      <c r="D3779" s="8">
        <f t="shared" ref="D3779:D3842" si="240">(LEN(B3779)-LEN(SUBSTITUTE(B3779,C3779,"")))</f>
        <v>0</v>
      </c>
      <c r="E3779" s="7" t="s">
        <v>12557</v>
      </c>
      <c r="F3779" s="7">
        <f t="shared" ref="F3779:F3842" si="241">(LEN(A3779)-LEN(SUBSTITUTE(A3779,E3779,"")))</f>
        <v>0</v>
      </c>
      <c r="G3779" s="7" t="s">
        <v>12558</v>
      </c>
      <c r="H3779" s="7">
        <f t="shared" ref="H3779:H3842" si="242">(LEN(A3779)-LEN(SUBSTITUTE(A3779,G3779,"")))/2</f>
        <v>0</v>
      </c>
      <c r="I3779" s="7" t="str" cm="1">
        <f t="array" ref="I3779">IFERROR(_xlfn.IFS(M3779="נח",1,M3779="נע ונח",1,M3779="שני שווא נח",2,M3779="שני שוואים בסוף מילה",2,M3779="שני שוואים ברצף",1),"0")</f>
        <v>0</v>
      </c>
      <c r="J3779" s="9">
        <f t="shared" ref="J3779:J3842" si="243">LEN(A3779)-(LEN(B3779))-D3779-F3779+H3779-I3779</f>
        <v>3</v>
      </c>
      <c r="K3779" t="s">
        <v>6698</v>
      </c>
      <c r="L3779" t="s">
        <v>6695</v>
      </c>
      <c r="O3779" t="s">
        <v>6694</v>
      </c>
      <c r="R3779" t="s">
        <v>6694</v>
      </c>
      <c r="S3779" t="s">
        <v>6694</v>
      </c>
      <c r="W3779" t="s">
        <v>6720</v>
      </c>
    </row>
    <row r="3780" spans="1:23" ht="15.6" x14ac:dyDescent="0.4">
      <c r="A3780" s="2" t="s">
        <v>2831</v>
      </c>
      <c r="B3780" s="5" t="s">
        <v>10051</v>
      </c>
      <c r="C3780" s="7" t="s">
        <v>12556</v>
      </c>
      <c r="D3780" s="8">
        <f t="shared" si="240"/>
        <v>0</v>
      </c>
      <c r="E3780" s="7" t="s">
        <v>12557</v>
      </c>
      <c r="F3780" s="7">
        <f t="shared" si="241"/>
        <v>1</v>
      </c>
      <c r="G3780" s="7" t="s">
        <v>12558</v>
      </c>
      <c r="H3780" s="7">
        <f t="shared" si="242"/>
        <v>1</v>
      </c>
      <c r="I3780" s="7" t="str" cm="1">
        <f t="array" ref="I3780">IFERROR(_xlfn.IFS(M3780="נח",1,M3780="נע ונח",1,M3780="שני שווא נח",2,M3780="שני שוואים בסוף מילה",2,M3780="שני שוואים ברצף",1),"0")</f>
        <v>0</v>
      </c>
      <c r="J3780" s="9">
        <f t="shared" si="243"/>
        <v>5</v>
      </c>
      <c r="K3780" t="s">
        <v>6697</v>
      </c>
      <c r="L3780" t="s">
        <v>6695</v>
      </c>
      <c r="O3780" t="s">
        <v>6694</v>
      </c>
      <c r="P3780" t="s">
        <v>6694</v>
      </c>
      <c r="Q3780" t="s">
        <v>6694</v>
      </c>
      <c r="U3780" t="s">
        <v>6694</v>
      </c>
      <c r="W3780" t="s">
        <v>6720</v>
      </c>
    </row>
    <row r="3781" spans="1:23" ht="15.6" x14ac:dyDescent="0.4">
      <c r="A3781" s="2" t="s">
        <v>4331</v>
      </c>
      <c r="B3781" s="5" t="s">
        <v>10052</v>
      </c>
      <c r="C3781" s="7" t="s">
        <v>12556</v>
      </c>
      <c r="D3781" s="8">
        <f t="shared" si="240"/>
        <v>0</v>
      </c>
      <c r="E3781" s="7" t="s">
        <v>12557</v>
      </c>
      <c r="F3781" s="7">
        <f t="shared" si="241"/>
        <v>0</v>
      </c>
      <c r="G3781" s="7" t="s">
        <v>12558</v>
      </c>
      <c r="H3781" s="7">
        <f t="shared" si="242"/>
        <v>0</v>
      </c>
      <c r="I3781" s="7" t="str" cm="1">
        <f t="array" ref="I3781">IFERROR(_xlfn.IFS(M3781="נח",1,M3781="נע ונח",1,M3781="שני שווא נח",2,M3781="שני שוואים בסוף מילה",2,M3781="שני שוואים ברצף",1),"0")</f>
        <v>0</v>
      </c>
      <c r="J3781" s="9">
        <f t="shared" si="243"/>
        <v>3</v>
      </c>
      <c r="K3781" t="s">
        <v>6698</v>
      </c>
      <c r="L3781" t="s">
        <v>6695</v>
      </c>
      <c r="P3781" t="s">
        <v>6694</v>
      </c>
      <c r="R3781" t="s">
        <v>6694</v>
      </c>
      <c r="W3781" t="s">
        <v>6720</v>
      </c>
    </row>
    <row r="3782" spans="1:23" ht="15.6" x14ac:dyDescent="0.4">
      <c r="A3782" s="2" t="s">
        <v>4187</v>
      </c>
      <c r="B3782" s="5" t="s">
        <v>10053</v>
      </c>
      <c r="C3782" s="7" t="s">
        <v>12556</v>
      </c>
      <c r="D3782" s="8">
        <f t="shared" si="240"/>
        <v>0</v>
      </c>
      <c r="E3782" s="7" t="s">
        <v>12557</v>
      </c>
      <c r="F3782" s="7">
        <f t="shared" si="241"/>
        <v>1</v>
      </c>
      <c r="G3782" s="7" t="s">
        <v>12558</v>
      </c>
      <c r="H3782" s="7">
        <f t="shared" si="242"/>
        <v>0</v>
      </c>
      <c r="I3782" s="7" t="str" cm="1">
        <f t="array" ref="I3782">IFERROR(_xlfn.IFS(M3782="נח",1,M3782="נע ונח",1,M3782="שני שווא נח",2,M3782="שני שוואים בסוף מילה",2,M3782="שני שוואים ברצף",1),"0")</f>
        <v>0</v>
      </c>
      <c r="J3782" s="9">
        <f t="shared" si="243"/>
        <v>3</v>
      </c>
      <c r="K3782" t="s">
        <v>6698</v>
      </c>
      <c r="L3782" t="s">
        <v>6695</v>
      </c>
      <c r="O3782" t="s">
        <v>6694</v>
      </c>
      <c r="P3782" t="s">
        <v>6694</v>
      </c>
      <c r="R3782" t="s">
        <v>6694</v>
      </c>
      <c r="W3782" t="s">
        <v>6720</v>
      </c>
    </row>
    <row r="3783" spans="1:23" ht="15.6" x14ac:dyDescent="0.4">
      <c r="A3783" s="2" t="s">
        <v>6649</v>
      </c>
      <c r="B3783" s="5" t="s">
        <v>10054</v>
      </c>
      <c r="C3783" s="7" t="s">
        <v>12556</v>
      </c>
      <c r="D3783" s="8">
        <f t="shared" si="240"/>
        <v>0</v>
      </c>
      <c r="E3783" s="7" t="s">
        <v>12557</v>
      </c>
      <c r="F3783" s="7">
        <f t="shared" si="241"/>
        <v>1</v>
      </c>
      <c r="G3783" s="7" t="s">
        <v>12558</v>
      </c>
      <c r="H3783" s="7">
        <f t="shared" si="242"/>
        <v>0</v>
      </c>
      <c r="I3783" s="7" t="str" cm="1">
        <f t="array" ref="I3783">IFERROR(_xlfn.IFS(M3783="נח",1,M3783="נע ונח",1,M3783="שני שווא נח",2,M3783="שני שוואים בסוף מילה",2,M3783="שני שוואים ברצף",1),"0")</f>
        <v>0</v>
      </c>
      <c r="J3783" s="9">
        <f t="shared" si="243"/>
        <v>2</v>
      </c>
      <c r="K3783" t="s">
        <v>6697</v>
      </c>
      <c r="L3783" t="s">
        <v>6695</v>
      </c>
      <c r="P3783" t="s">
        <v>6694</v>
      </c>
      <c r="Q3783" t="s">
        <v>6694</v>
      </c>
      <c r="W3783" t="s">
        <v>6720</v>
      </c>
    </row>
    <row r="3784" spans="1:23" ht="15.6" x14ac:dyDescent="0.4">
      <c r="A3784" s="2" t="s">
        <v>5019</v>
      </c>
      <c r="B3784" s="5" t="s">
        <v>10055</v>
      </c>
      <c r="C3784" s="7" t="s">
        <v>12556</v>
      </c>
      <c r="D3784" s="8">
        <f t="shared" si="240"/>
        <v>0</v>
      </c>
      <c r="E3784" s="7" t="s">
        <v>12557</v>
      </c>
      <c r="F3784" s="7">
        <f t="shared" si="241"/>
        <v>0</v>
      </c>
      <c r="G3784" s="7" t="s">
        <v>12558</v>
      </c>
      <c r="H3784" s="7">
        <f t="shared" si="242"/>
        <v>0</v>
      </c>
      <c r="I3784" s="7" cm="1">
        <f t="array" ref="I3784">IFERROR(_xlfn.IFS(M3784="נח",1,M3784="נע ונח",1,M3784="שני שווא נח",2,M3784="שני שוואים בסוף מילה",2,M3784="שני שוואים ברצף",1),"0")</f>
        <v>1</v>
      </c>
      <c r="J3784" s="9">
        <f t="shared" si="243"/>
        <v>2</v>
      </c>
      <c r="K3784" t="s">
        <v>6698</v>
      </c>
      <c r="L3784" t="s">
        <v>6694</v>
      </c>
      <c r="M3784" t="s">
        <v>6705</v>
      </c>
      <c r="P3784" t="s">
        <v>6694</v>
      </c>
      <c r="S3784" t="s">
        <v>6694</v>
      </c>
      <c r="W3784" t="s">
        <v>6720</v>
      </c>
    </row>
    <row r="3785" spans="1:23" ht="15.6" x14ac:dyDescent="0.4">
      <c r="A3785" s="2" t="s">
        <v>4995</v>
      </c>
      <c r="B3785" s="5" t="s">
        <v>10056</v>
      </c>
      <c r="C3785" s="7" t="s">
        <v>12556</v>
      </c>
      <c r="D3785" s="8">
        <f t="shared" si="240"/>
        <v>0</v>
      </c>
      <c r="E3785" s="7" t="s">
        <v>12557</v>
      </c>
      <c r="F3785" s="7">
        <f t="shared" si="241"/>
        <v>1</v>
      </c>
      <c r="G3785" s="7" t="s">
        <v>12558</v>
      </c>
      <c r="H3785" s="7">
        <f t="shared" si="242"/>
        <v>0</v>
      </c>
      <c r="I3785" s="7" t="str" cm="1">
        <f t="array" ref="I3785">IFERROR(_xlfn.IFS(M3785="נח",1,M3785="נע ונח",1,M3785="שני שווא נח",2,M3785="שני שוואים בסוף מילה",2,M3785="שני שוואים ברצף",1),"0")</f>
        <v>0</v>
      </c>
      <c r="J3785" s="9">
        <f t="shared" si="243"/>
        <v>3</v>
      </c>
      <c r="K3785" t="s">
        <v>6698</v>
      </c>
      <c r="L3785" t="s">
        <v>6695</v>
      </c>
      <c r="P3785" t="s">
        <v>6694</v>
      </c>
      <c r="S3785" t="s">
        <v>6694</v>
      </c>
      <c r="W3785" t="s">
        <v>6720</v>
      </c>
    </row>
    <row r="3786" spans="1:23" ht="15.6" x14ac:dyDescent="0.4">
      <c r="A3786" s="2" t="s">
        <v>5045</v>
      </c>
      <c r="B3786" s="5" t="s">
        <v>10057</v>
      </c>
      <c r="C3786" s="7" t="s">
        <v>12556</v>
      </c>
      <c r="D3786" s="8">
        <f t="shared" si="240"/>
        <v>0</v>
      </c>
      <c r="E3786" s="7" t="s">
        <v>12557</v>
      </c>
      <c r="F3786" s="7">
        <f t="shared" si="241"/>
        <v>0</v>
      </c>
      <c r="G3786" s="7" t="s">
        <v>12558</v>
      </c>
      <c r="H3786" s="7">
        <f t="shared" si="242"/>
        <v>0</v>
      </c>
      <c r="I3786" s="7" cm="1">
        <f t="array" ref="I3786">IFERROR(_xlfn.IFS(M3786="נח",1,M3786="נע ונח",1,M3786="שני שווא נח",2,M3786="שני שוואים בסוף מילה",2,M3786="שני שוואים ברצף",1),"0")</f>
        <v>1</v>
      </c>
      <c r="J3786" s="9">
        <f t="shared" si="243"/>
        <v>2</v>
      </c>
      <c r="K3786" t="s">
        <v>6698</v>
      </c>
      <c r="L3786" t="s">
        <v>6694</v>
      </c>
      <c r="M3786" t="s">
        <v>6705</v>
      </c>
      <c r="P3786" t="s">
        <v>6694</v>
      </c>
      <c r="Q3786" t="s">
        <v>6694</v>
      </c>
      <c r="W3786" t="s">
        <v>6720</v>
      </c>
    </row>
    <row r="3787" spans="1:23" ht="15.6" x14ac:dyDescent="0.4">
      <c r="A3787" s="2" t="s">
        <v>2832</v>
      </c>
      <c r="B3787" s="5" t="s">
        <v>10058</v>
      </c>
      <c r="C3787" s="7" t="s">
        <v>12556</v>
      </c>
      <c r="D3787" s="8">
        <f t="shared" si="240"/>
        <v>0</v>
      </c>
      <c r="E3787" s="7" t="s">
        <v>12557</v>
      </c>
      <c r="F3787" s="7">
        <f t="shared" si="241"/>
        <v>1</v>
      </c>
      <c r="G3787" s="7" t="s">
        <v>12558</v>
      </c>
      <c r="H3787" s="7">
        <f t="shared" si="242"/>
        <v>1</v>
      </c>
      <c r="I3787" s="7" t="str" cm="1">
        <f t="array" ref="I3787">IFERROR(_xlfn.IFS(M3787="נח",1,M3787="נע ונח",1,M3787="שני שווא נח",2,M3787="שני שוואים בסוף מילה",2,M3787="שני שוואים ברצף",1),"0")</f>
        <v>0</v>
      </c>
      <c r="J3787" s="9">
        <f t="shared" si="243"/>
        <v>6</v>
      </c>
      <c r="K3787" t="s">
        <v>6697</v>
      </c>
      <c r="L3787" t="s">
        <v>6695</v>
      </c>
      <c r="P3787" t="s">
        <v>6694</v>
      </c>
      <c r="Q3787" t="s">
        <v>6694</v>
      </c>
      <c r="U3787" t="s">
        <v>6694</v>
      </c>
      <c r="V3787" t="s">
        <v>6694</v>
      </c>
      <c r="W3787" t="s">
        <v>6720</v>
      </c>
    </row>
    <row r="3788" spans="1:23" ht="15.6" x14ac:dyDescent="0.4">
      <c r="A3788" s="2" t="s">
        <v>2567</v>
      </c>
      <c r="B3788" s="5" t="s">
        <v>10059</v>
      </c>
      <c r="C3788" s="7" t="s">
        <v>12556</v>
      </c>
      <c r="D3788" s="8">
        <f t="shared" si="240"/>
        <v>0</v>
      </c>
      <c r="E3788" s="7" t="s">
        <v>12557</v>
      </c>
      <c r="F3788" s="7">
        <f t="shared" si="241"/>
        <v>1</v>
      </c>
      <c r="G3788" s="7" t="s">
        <v>12558</v>
      </c>
      <c r="H3788" s="7">
        <f t="shared" si="242"/>
        <v>0</v>
      </c>
      <c r="I3788" s="7" t="str" cm="1">
        <f t="array" ref="I3788">IFERROR(_xlfn.IFS(M3788="נח",1,M3788="נע ונח",1,M3788="שני שווא נח",2,M3788="שני שוואים בסוף מילה",2,M3788="שני שוואים ברצף",1),"0")</f>
        <v>0</v>
      </c>
      <c r="J3788" s="9">
        <f t="shared" si="243"/>
        <v>3</v>
      </c>
      <c r="K3788" t="s">
        <v>6698</v>
      </c>
      <c r="L3788" t="s">
        <v>6695</v>
      </c>
      <c r="P3788" t="s">
        <v>6694</v>
      </c>
      <c r="S3788" t="s">
        <v>6694</v>
      </c>
      <c r="W3788" t="s">
        <v>6720</v>
      </c>
    </row>
    <row r="3789" spans="1:23" ht="15.6" x14ac:dyDescent="0.4">
      <c r="A3789" s="2" t="s">
        <v>6606</v>
      </c>
      <c r="B3789" s="5" t="s">
        <v>10060</v>
      </c>
      <c r="C3789" s="7" t="s">
        <v>12556</v>
      </c>
      <c r="D3789" s="8">
        <f t="shared" si="240"/>
        <v>0</v>
      </c>
      <c r="E3789" s="7" t="s">
        <v>12557</v>
      </c>
      <c r="F3789" s="7">
        <f t="shared" si="241"/>
        <v>1</v>
      </c>
      <c r="G3789" s="7" t="s">
        <v>12558</v>
      </c>
      <c r="H3789" s="7">
        <f t="shared" si="242"/>
        <v>0</v>
      </c>
      <c r="I3789" s="7" t="str" cm="1">
        <f t="array" ref="I3789">IFERROR(_xlfn.IFS(M3789="נח",1,M3789="נע ונח",1,M3789="שני שווא נח",2,M3789="שני שוואים בסוף מילה",2,M3789="שני שוואים ברצף",1),"0")</f>
        <v>0</v>
      </c>
      <c r="J3789" s="9">
        <f t="shared" si="243"/>
        <v>2</v>
      </c>
      <c r="K3789" t="s">
        <v>6698</v>
      </c>
      <c r="L3789" t="s">
        <v>6695</v>
      </c>
      <c r="N3789" t="s">
        <v>6706</v>
      </c>
      <c r="O3789" t="s">
        <v>6694</v>
      </c>
      <c r="P3789" t="s">
        <v>6694</v>
      </c>
      <c r="W3789" t="s">
        <v>6720</v>
      </c>
    </row>
    <row r="3790" spans="1:23" ht="15.6" x14ac:dyDescent="0.4">
      <c r="A3790" s="2" t="s">
        <v>4776</v>
      </c>
      <c r="B3790" s="5" t="s">
        <v>10061</v>
      </c>
      <c r="C3790" s="7" t="s">
        <v>12556</v>
      </c>
      <c r="D3790" s="8">
        <f t="shared" si="240"/>
        <v>0</v>
      </c>
      <c r="E3790" s="7" t="s">
        <v>12557</v>
      </c>
      <c r="F3790" s="7">
        <f t="shared" si="241"/>
        <v>1</v>
      </c>
      <c r="G3790" s="7" t="s">
        <v>12558</v>
      </c>
      <c r="H3790" s="7">
        <f t="shared" si="242"/>
        <v>0</v>
      </c>
      <c r="I3790" s="7" t="str" cm="1">
        <f t="array" ref="I3790">IFERROR(_xlfn.IFS(M3790="נח",1,M3790="נע ונח",1,M3790="שני שווא נח",2,M3790="שני שוואים בסוף מילה",2,M3790="שני שוואים ברצף",1),"0")</f>
        <v>0</v>
      </c>
      <c r="J3790" s="9">
        <f t="shared" si="243"/>
        <v>2</v>
      </c>
      <c r="K3790" t="s">
        <v>6698</v>
      </c>
      <c r="L3790" t="s">
        <v>6695</v>
      </c>
      <c r="P3790" t="s">
        <v>6694</v>
      </c>
      <c r="V3790" t="s">
        <v>6694</v>
      </c>
      <c r="W3790" t="s">
        <v>6720</v>
      </c>
    </row>
    <row r="3791" spans="1:23" ht="15.6" x14ac:dyDescent="0.4">
      <c r="A3791" s="2" t="s">
        <v>2484</v>
      </c>
      <c r="B3791" s="5" t="s">
        <v>10062</v>
      </c>
      <c r="C3791" s="7" t="s">
        <v>12556</v>
      </c>
      <c r="D3791" s="8">
        <f t="shared" si="240"/>
        <v>0</v>
      </c>
      <c r="E3791" s="7" t="s">
        <v>12557</v>
      </c>
      <c r="F3791" s="7">
        <f t="shared" si="241"/>
        <v>0</v>
      </c>
      <c r="G3791" s="7" t="s">
        <v>12558</v>
      </c>
      <c r="H3791" s="7">
        <f t="shared" si="242"/>
        <v>0</v>
      </c>
      <c r="I3791" s="7" t="str" cm="1">
        <f t="array" ref="I3791">IFERROR(_xlfn.IFS(M3791="נח",1,M3791="נע ונח",1,M3791="שני שווא נח",2,M3791="שני שוואים בסוף מילה",2,M3791="שני שוואים ברצף",1),"0")</f>
        <v>0</v>
      </c>
      <c r="J3791" s="9">
        <f t="shared" si="243"/>
        <v>2</v>
      </c>
      <c r="K3791" t="s">
        <v>6698</v>
      </c>
      <c r="L3791" t="s">
        <v>6695</v>
      </c>
      <c r="O3791" t="s">
        <v>6694</v>
      </c>
      <c r="V3791" t="s">
        <v>6694</v>
      </c>
      <c r="W3791" t="s">
        <v>6720</v>
      </c>
    </row>
    <row r="3792" spans="1:23" ht="15.6" x14ac:dyDescent="0.4">
      <c r="A3792" s="2" t="s">
        <v>5275</v>
      </c>
      <c r="B3792" s="5" t="s">
        <v>10063</v>
      </c>
      <c r="C3792" s="7" t="s">
        <v>12556</v>
      </c>
      <c r="D3792" s="8">
        <f t="shared" si="240"/>
        <v>0</v>
      </c>
      <c r="E3792" s="7" t="s">
        <v>12557</v>
      </c>
      <c r="F3792" s="7">
        <f t="shared" si="241"/>
        <v>0</v>
      </c>
      <c r="G3792" s="7" t="s">
        <v>12558</v>
      </c>
      <c r="H3792" s="7">
        <f t="shared" si="242"/>
        <v>0</v>
      </c>
      <c r="I3792" s="7" t="str" cm="1">
        <f t="array" ref="I3792">IFERROR(_xlfn.IFS(M3792="נח",1,M3792="נע ונח",1,M3792="שני שווא נח",2,M3792="שני שוואים בסוף מילה",2,M3792="שני שוואים ברצף",1),"0")</f>
        <v>0</v>
      </c>
      <c r="J3792" s="9">
        <f t="shared" si="243"/>
        <v>2</v>
      </c>
      <c r="K3792" t="s">
        <v>6698</v>
      </c>
      <c r="L3792" t="s">
        <v>6695</v>
      </c>
      <c r="O3792" t="s">
        <v>6694</v>
      </c>
      <c r="Q3792" t="s">
        <v>6694</v>
      </c>
      <c r="W3792" t="s">
        <v>6720</v>
      </c>
    </row>
    <row r="3793" spans="1:23" ht="15.6" x14ac:dyDescent="0.4">
      <c r="A3793" s="2" t="s">
        <v>1932</v>
      </c>
      <c r="B3793" s="5" t="s">
        <v>10026</v>
      </c>
      <c r="C3793" s="7" t="s">
        <v>12556</v>
      </c>
      <c r="D3793" s="8">
        <f t="shared" si="240"/>
        <v>0</v>
      </c>
      <c r="E3793" s="7" t="s">
        <v>12557</v>
      </c>
      <c r="F3793" s="7">
        <f t="shared" si="241"/>
        <v>0</v>
      </c>
      <c r="G3793" s="7" t="s">
        <v>12558</v>
      </c>
      <c r="H3793" s="7">
        <f t="shared" si="242"/>
        <v>0</v>
      </c>
      <c r="I3793" s="7" t="str" cm="1">
        <f t="array" ref="I3793">IFERROR(_xlfn.IFS(M3793="נח",1,M3793="נע ונח",1,M3793="שני שווא נח",2,M3793="שני שוואים בסוף מילה",2,M3793="שני שוואים ברצף",1),"0")</f>
        <v>0</v>
      </c>
      <c r="J3793" s="9">
        <f t="shared" si="243"/>
        <v>2</v>
      </c>
      <c r="K3793" t="s">
        <v>6698</v>
      </c>
      <c r="L3793" t="s">
        <v>6695</v>
      </c>
      <c r="O3793" t="s">
        <v>6694</v>
      </c>
      <c r="V3793" t="s">
        <v>6694</v>
      </c>
      <c r="W3793" t="s">
        <v>6720</v>
      </c>
    </row>
    <row r="3794" spans="1:23" ht="15.6" x14ac:dyDescent="0.4">
      <c r="A3794" s="2" t="s">
        <v>601</v>
      </c>
      <c r="B3794" s="5" t="s">
        <v>10064</v>
      </c>
      <c r="C3794" s="7" t="s">
        <v>12556</v>
      </c>
      <c r="D3794" s="8">
        <f t="shared" si="240"/>
        <v>0</v>
      </c>
      <c r="E3794" s="7" t="s">
        <v>12557</v>
      </c>
      <c r="F3794" s="7">
        <f t="shared" si="241"/>
        <v>0</v>
      </c>
      <c r="G3794" s="7" t="s">
        <v>12558</v>
      </c>
      <c r="H3794" s="7">
        <f t="shared" si="242"/>
        <v>0</v>
      </c>
      <c r="I3794" s="7" t="str" cm="1">
        <f t="array" ref="I3794">IFERROR(_xlfn.IFS(M3794="נח",1,M3794="נע ונח",1,M3794="שני שווא נח",2,M3794="שני שוואים בסוף מילה",2,M3794="שני שוואים ברצף",1),"0")</f>
        <v>0</v>
      </c>
      <c r="J3794" s="9">
        <f t="shared" si="243"/>
        <v>2</v>
      </c>
      <c r="K3794" t="s">
        <v>6698</v>
      </c>
      <c r="L3794" t="s">
        <v>6695</v>
      </c>
      <c r="N3794" t="s">
        <v>6706</v>
      </c>
      <c r="O3794" t="s">
        <v>6694</v>
      </c>
      <c r="W3794" t="s">
        <v>6720</v>
      </c>
    </row>
    <row r="3795" spans="1:23" ht="15.6" x14ac:dyDescent="0.4">
      <c r="A3795" s="2" t="s">
        <v>870</v>
      </c>
      <c r="B3795" s="5" t="s">
        <v>10065</v>
      </c>
      <c r="C3795" s="7" t="s">
        <v>12556</v>
      </c>
      <c r="D3795" s="8">
        <f t="shared" si="240"/>
        <v>0</v>
      </c>
      <c r="E3795" s="7" t="s">
        <v>12557</v>
      </c>
      <c r="F3795" s="7">
        <f t="shared" si="241"/>
        <v>0</v>
      </c>
      <c r="G3795" s="7" t="s">
        <v>12558</v>
      </c>
      <c r="H3795" s="7">
        <f t="shared" si="242"/>
        <v>0</v>
      </c>
      <c r="I3795" s="7" t="str" cm="1">
        <f t="array" ref="I3795">IFERROR(_xlfn.IFS(M3795="נח",1,M3795="נע ונח",1,M3795="שני שווא נח",2,M3795="שני שוואים בסוף מילה",2,M3795="שני שוואים ברצף",1),"0")</f>
        <v>0</v>
      </c>
      <c r="J3795" s="9">
        <f t="shared" si="243"/>
        <v>1</v>
      </c>
      <c r="K3795" t="s">
        <v>6698</v>
      </c>
      <c r="L3795" t="s">
        <v>6695</v>
      </c>
      <c r="N3795" t="s">
        <v>6706</v>
      </c>
      <c r="O3795" t="s">
        <v>6694</v>
      </c>
      <c r="W3795" t="s">
        <v>6720</v>
      </c>
    </row>
    <row r="3796" spans="1:23" ht="15.6" x14ac:dyDescent="0.4">
      <c r="A3796" s="2" t="s">
        <v>6358</v>
      </c>
      <c r="B3796" s="5" t="s">
        <v>10044</v>
      </c>
      <c r="C3796" s="7" t="s">
        <v>12556</v>
      </c>
      <c r="D3796" s="8">
        <f t="shared" si="240"/>
        <v>0</v>
      </c>
      <c r="E3796" s="7" t="s">
        <v>12557</v>
      </c>
      <c r="F3796" s="7">
        <f t="shared" si="241"/>
        <v>0</v>
      </c>
      <c r="G3796" s="7" t="s">
        <v>12558</v>
      </c>
      <c r="H3796" s="7">
        <f t="shared" si="242"/>
        <v>0</v>
      </c>
      <c r="I3796" s="7" t="str" cm="1">
        <f t="array" ref="I3796">IFERROR(_xlfn.IFS(M3796="נח",1,M3796="נע ונח",1,M3796="שני שווא נח",2,M3796="שני שוואים בסוף מילה",2,M3796="שני שוואים ברצף",1),"0")</f>
        <v>0</v>
      </c>
      <c r="J3796" s="9">
        <f t="shared" si="243"/>
        <v>3</v>
      </c>
      <c r="K3796" t="s">
        <v>6697</v>
      </c>
      <c r="L3796" t="s">
        <v>6695</v>
      </c>
      <c r="O3796" t="s">
        <v>6694</v>
      </c>
      <c r="S3796" t="s">
        <v>6694</v>
      </c>
      <c r="W3796" t="s">
        <v>6720</v>
      </c>
    </row>
    <row r="3797" spans="1:23" ht="15.6" x14ac:dyDescent="0.4">
      <c r="A3797" s="2" t="s">
        <v>3381</v>
      </c>
      <c r="B3797" s="5" t="s">
        <v>10066</v>
      </c>
      <c r="C3797" s="7" t="s">
        <v>12556</v>
      </c>
      <c r="D3797" s="8">
        <f t="shared" si="240"/>
        <v>0</v>
      </c>
      <c r="E3797" s="7" t="s">
        <v>12557</v>
      </c>
      <c r="F3797" s="7">
        <f t="shared" si="241"/>
        <v>1</v>
      </c>
      <c r="G3797" s="7" t="s">
        <v>12558</v>
      </c>
      <c r="H3797" s="7">
        <f t="shared" si="242"/>
        <v>1</v>
      </c>
      <c r="I3797" s="7" t="str" cm="1">
        <f t="array" ref="I3797">IFERROR(_xlfn.IFS(M3797="נח",1,M3797="נע ונח",1,M3797="שני שווא נח",2,M3797="שני שוואים בסוף מילה",2,M3797="שני שוואים ברצף",1),"0")</f>
        <v>0</v>
      </c>
      <c r="J3797" s="9">
        <f t="shared" si="243"/>
        <v>2</v>
      </c>
      <c r="K3797" t="s">
        <v>6697</v>
      </c>
      <c r="L3797" t="s">
        <v>6695</v>
      </c>
      <c r="O3797" t="s">
        <v>6694</v>
      </c>
      <c r="U3797" t="s">
        <v>6694</v>
      </c>
      <c r="W3797" t="s">
        <v>6720</v>
      </c>
    </row>
    <row r="3798" spans="1:23" ht="15.6" x14ac:dyDescent="0.4">
      <c r="A3798" s="2" t="s">
        <v>984</v>
      </c>
      <c r="B3798" s="5" t="s">
        <v>10067</v>
      </c>
      <c r="C3798" s="7" t="s">
        <v>12556</v>
      </c>
      <c r="D3798" s="8">
        <f t="shared" si="240"/>
        <v>0</v>
      </c>
      <c r="E3798" s="7" t="s">
        <v>12557</v>
      </c>
      <c r="F3798" s="7">
        <f t="shared" si="241"/>
        <v>0</v>
      </c>
      <c r="G3798" s="7" t="s">
        <v>12558</v>
      </c>
      <c r="H3798" s="7">
        <f t="shared" si="242"/>
        <v>0</v>
      </c>
      <c r="I3798" s="7" t="str" cm="1">
        <f t="array" ref="I3798">IFERROR(_xlfn.IFS(M3798="נח",1,M3798="נע ונח",1,M3798="שני שווא נח",2,M3798="שני שוואים בסוף מילה",2,M3798="שני שוואים ברצף",1),"0")</f>
        <v>0</v>
      </c>
      <c r="J3798" s="9">
        <f t="shared" si="243"/>
        <v>3</v>
      </c>
      <c r="K3798" t="s">
        <v>6697</v>
      </c>
      <c r="L3798" t="s">
        <v>6695</v>
      </c>
      <c r="O3798" t="s">
        <v>6694</v>
      </c>
      <c r="V3798" t="s">
        <v>6694</v>
      </c>
      <c r="W3798" t="s">
        <v>6720</v>
      </c>
    </row>
    <row r="3799" spans="1:23" ht="15.6" x14ac:dyDescent="0.4">
      <c r="A3799" s="2" t="s">
        <v>3798</v>
      </c>
      <c r="B3799" s="5" t="s">
        <v>10068</v>
      </c>
      <c r="C3799" s="7" t="s">
        <v>12556</v>
      </c>
      <c r="D3799" s="8">
        <f t="shared" si="240"/>
        <v>0</v>
      </c>
      <c r="E3799" s="7" t="s">
        <v>12557</v>
      </c>
      <c r="F3799" s="7">
        <f t="shared" si="241"/>
        <v>0</v>
      </c>
      <c r="G3799" s="7" t="s">
        <v>12558</v>
      </c>
      <c r="H3799" s="7">
        <f t="shared" si="242"/>
        <v>0</v>
      </c>
      <c r="I3799" s="7" t="str" cm="1">
        <f t="array" ref="I3799">IFERROR(_xlfn.IFS(M3799="נח",1,M3799="נע ונח",1,M3799="שני שווא נח",2,M3799="שני שוואים בסוף מילה",2,M3799="שני שוואים ברצף",1),"0")</f>
        <v>0</v>
      </c>
      <c r="J3799" s="9">
        <f t="shared" si="243"/>
        <v>1</v>
      </c>
      <c r="K3799" t="s">
        <v>6698</v>
      </c>
      <c r="L3799" t="s">
        <v>6695</v>
      </c>
      <c r="N3799" t="s">
        <v>6706</v>
      </c>
      <c r="O3799" t="s">
        <v>6694</v>
      </c>
      <c r="W3799" t="s">
        <v>6720</v>
      </c>
    </row>
    <row r="3800" spans="1:23" ht="15.6" x14ac:dyDescent="0.4">
      <c r="A3800" s="2" t="s">
        <v>4410</v>
      </c>
      <c r="B3800" s="5" t="s">
        <v>10069</v>
      </c>
      <c r="C3800" s="7" t="s">
        <v>12556</v>
      </c>
      <c r="D3800" s="8">
        <f t="shared" si="240"/>
        <v>0</v>
      </c>
      <c r="E3800" s="7" t="s">
        <v>12557</v>
      </c>
      <c r="F3800" s="7">
        <f t="shared" si="241"/>
        <v>0</v>
      </c>
      <c r="G3800" s="7" t="s">
        <v>12558</v>
      </c>
      <c r="H3800" s="7">
        <f t="shared" si="242"/>
        <v>0</v>
      </c>
      <c r="I3800" s="7" t="str" cm="1">
        <f t="array" ref="I3800">IFERROR(_xlfn.IFS(M3800="נח",1,M3800="נע ונח",1,M3800="שני שווא נח",2,M3800="שני שוואים בסוף מילה",2,M3800="שני שוואים ברצף",1),"0")</f>
        <v>0</v>
      </c>
      <c r="J3800" s="9">
        <f t="shared" si="243"/>
        <v>2</v>
      </c>
      <c r="K3800" t="s">
        <v>6698</v>
      </c>
      <c r="L3800" t="s">
        <v>6695</v>
      </c>
      <c r="O3800" t="s">
        <v>6694</v>
      </c>
      <c r="S3800" t="s">
        <v>6694</v>
      </c>
      <c r="W3800" t="s">
        <v>6720</v>
      </c>
    </row>
    <row r="3801" spans="1:23" ht="15.6" x14ac:dyDescent="0.4">
      <c r="A3801" s="2" t="s">
        <v>2613</v>
      </c>
      <c r="B3801" s="5" t="s">
        <v>10070</v>
      </c>
      <c r="C3801" s="7" t="s">
        <v>12556</v>
      </c>
      <c r="D3801" s="8">
        <f t="shared" si="240"/>
        <v>1</v>
      </c>
      <c r="E3801" s="7" t="s">
        <v>12557</v>
      </c>
      <c r="F3801" s="7">
        <f t="shared" si="241"/>
        <v>1</v>
      </c>
      <c r="G3801" s="7" t="s">
        <v>12558</v>
      </c>
      <c r="H3801" s="7">
        <f t="shared" si="242"/>
        <v>1</v>
      </c>
      <c r="I3801" s="7" cm="1">
        <f t="array" ref="I3801">IFERROR(_xlfn.IFS(M3801="נח",1,M3801="נע ונח",1,M3801="שני שווא נח",2,M3801="שני שוואים בסוף מילה",2,M3801="שני שוואים ברצף",1),"0")</f>
        <v>1</v>
      </c>
      <c r="J3801" s="9">
        <f t="shared" si="243"/>
        <v>2</v>
      </c>
      <c r="K3801" t="s">
        <v>6697</v>
      </c>
      <c r="L3801" t="s">
        <v>6694</v>
      </c>
      <c r="M3801" t="s">
        <v>6705</v>
      </c>
      <c r="O3801" t="s">
        <v>6694</v>
      </c>
      <c r="U3801" t="s">
        <v>6694</v>
      </c>
      <c r="W3801" t="s">
        <v>6720</v>
      </c>
    </row>
    <row r="3802" spans="1:23" ht="15.6" x14ac:dyDescent="0.4">
      <c r="A3802" s="2" t="s">
        <v>2880</v>
      </c>
      <c r="B3802" s="5" t="s">
        <v>10071</v>
      </c>
      <c r="C3802" s="7" t="s">
        <v>12556</v>
      </c>
      <c r="D3802" s="8">
        <f t="shared" si="240"/>
        <v>0</v>
      </c>
      <c r="E3802" s="7" t="s">
        <v>12557</v>
      </c>
      <c r="F3802" s="7">
        <f t="shared" si="241"/>
        <v>0</v>
      </c>
      <c r="G3802" s="7" t="s">
        <v>12558</v>
      </c>
      <c r="H3802" s="7">
        <f t="shared" si="242"/>
        <v>0</v>
      </c>
      <c r="I3802" s="7" t="str" cm="1">
        <f t="array" ref="I3802">IFERROR(_xlfn.IFS(M3802="נח",1,M3802="נע ונח",1,M3802="שני שווא נח",2,M3802="שני שוואים בסוף מילה",2,M3802="שני שוואים ברצף",1),"0")</f>
        <v>0</v>
      </c>
      <c r="J3802" s="9">
        <f t="shared" si="243"/>
        <v>2</v>
      </c>
      <c r="K3802" t="s">
        <v>6698</v>
      </c>
      <c r="L3802" t="s">
        <v>6695</v>
      </c>
      <c r="Q3802" t="s">
        <v>6694</v>
      </c>
      <c r="V3802" t="s">
        <v>6694</v>
      </c>
      <c r="W3802" t="s">
        <v>6720</v>
      </c>
    </row>
    <row r="3803" spans="1:23" ht="15.6" x14ac:dyDescent="0.4">
      <c r="A3803" s="2" t="s">
        <v>3028</v>
      </c>
      <c r="B3803" s="5" t="s">
        <v>10072</v>
      </c>
      <c r="C3803" s="7" t="s">
        <v>12556</v>
      </c>
      <c r="D3803" s="8">
        <f t="shared" si="240"/>
        <v>0</v>
      </c>
      <c r="E3803" s="7" t="s">
        <v>12557</v>
      </c>
      <c r="F3803" s="7">
        <f t="shared" si="241"/>
        <v>0</v>
      </c>
      <c r="G3803" s="7" t="s">
        <v>12558</v>
      </c>
      <c r="H3803" s="7">
        <f t="shared" si="242"/>
        <v>0</v>
      </c>
      <c r="I3803" s="7" t="str" cm="1">
        <f t="array" ref="I3803">IFERROR(_xlfn.IFS(M3803="נח",1,M3803="נע ונח",1,M3803="שני שווא נח",2,M3803="שני שוואים בסוף מילה",2,M3803="שני שוואים ברצף",1),"0")</f>
        <v>0</v>
      </c>
      <c r="J3803" s="9">
        <f t="shared" si="243"/>
        <v>2</v>
      </c>
      <c r="K3803" t="s">
        <v>6697</v>
      </c>
      <c r="L3803" t="s">
        <v>6695</v>
      </c>
      <c r="S3803" t="s">
        <v>6694</v>
      </c>
      <c r="V3803" t="s">
        <v>6694</v>
      </c>
      <c r="W3803" t="s">
        <v>6720</v>
      </c>
    </row>
    <row r="3804" spans="1:23" ht="15.6" x14ac:dyDescent="0.4">
      <c r="A3804" s="2" t="s">
        <v>2860</v>
      </c>
      <c r="B3804" s="5" t="s">
        <v>10073</v>
      </c>
      <c r="C3804" s="7" t="s">
        <v>12556</v>
      </c>
      <c r="D3804" s="8">
        <f t="shared" si="240"/>
        <v>0</v>
      </c>
      <c r="E3804" s="7" t="s">
        <v>12557</v>
      </c>
      <c r="F3804" s="7">
        <f t="shared" si="241"/>
        <v>0</v>
      </c>
      <c r="G3804" s="7" t="s">
        <v>12558</v>
      </c>
      <c r="H3804" s="7">
        <f t="shared" si="242"/>
        <v>0</v>
      </c>
      <c r="I3804" s="7" t="str" cm="1">
        <f t="array" ref="I3804">IFERROR(_xlfn.IFS(M3804="נח",1,M3804="נע ונח",1,M3804="שני שווא נח",2,M3804="שני שוואים בסוף מילה",2,M3804="שני שוואים ברצף",1),"0")</f>
        <v>0</v>
      </c>
      <c r="J3804" s="9">
        <f t="shared" si="243"/>
        <v>2</v>
      </c>
      <c r="K3804" t="s">
        <v>6697</v>
      </c>
      <c r="L3804" t="s">
        <v>6695</v>
      </c>
      <c r="N3804" t="s">
        <v>6707</v>
      </c>
      <c r="P3804" t="s">
        <v>6694</v>
      </c>
      <c r="V3804" t="s">
        <v>6694</v>
      </c>
      <c r="W3804" t="s">
        <v>6720</v>
      </c>
    </row>
    <row r="3805" spans="1:23" ht="15.6" x14ac:dyDescent="0.4">
      <c r="A3805" s="2" t="s">
        <v>4295</v>
      </c>
      <c r="B3805" s="5" t="s">
        <v>10074</v>
      </c>
      <c r="C3805" s="7" t="s">
        <v>12556</v>
      </c>
      <c r="D3805" s="8">
        <f t="shared" si="240"/>
        <v>0</v>
      </c>
      <c r="E3805" s="7" t="s">
        <v>12557</v>
      </c>
      <c r="F3805" s="7">
        <f t="shared" si="241"/>
        <v>1</v>
      </c>
      <c r="G3805" s="7" t="s">
        <v>12558</v>
      </c>
      <c r="H3805" s="7">
        <f t="shared" si="242"/>
        <v>0</v>
      </c>
      <c r="I3805" s="7" cm="1">
        <f t="array" ref="I3805">IFERROR(_xlfn.IFS(M3805="נח",1,M3805="נע ונח",1,M3805="שני שווא נח",2,M3805="שני שוואים בסוף מילה",2,M3805="שני שוואים ברצף",1),"0")</f>
        <v>1</v>
      </c>
      <c r="J3805" s="9">
        <f t="shared" si="243"/>
        <v>2</v>
      </c>
      <c r="K3805" t="s">
        <v>6698</v>
      </c>
      <c r="L3805" t="s">
        <v>6694</v>
      </c>
      <c r="M3805" t="s">
        <v>6705</v>
      </c>
      <c r="R3805" t="s">
        <v>6694</v>
      </c>
      <c r="T3805" t="s">
        <v>6694</v>
      </c>
      <c r="W3805" t="s">
        <v>6720</v>
      </c>
    </row>
    <row r="3806" spans="1:23" ht="15.6" x14ac:dyDescent="0.4">
      <c r="A3806" s="2" t="s">
        <v>6554</v>
      </c>
      <c r="B3806" s="5" t="s">
        <v>10054</v>
      </c>
      <c r="C3806" s="7" t="s">
        <v>12556</v>
      </c>
      <c r="D3806" s="8">
        <f t="shared" si="240"/>
        <v>0</v>
      </c>
      <c r="E3806" s="7" t="s">
        <v>12557</v>
      </c>
      <c r="F3806" s="7">
        <f t="shared" si="241"/>
        <v>2</v>
      </c>
      <c r="G3806" s="7" t="s">
        <v>12558</v>
      </c>
      <c r="H3806" s="7">
        <f t="shared" si="242"/>
        <v>0</v>
      </c>
      <c r="I3806" s="7" t="str" cm="1">
        <f t="array" ref="I3806">IFERROR(_xlfn.IFS(M3806="נח",1,M3806="נע ונח",1,M3806="שני שווא נח",2,M3806="שני שוואים בסוף מילה",2,M3806="שני שוואים ברצף",1),"0")</f>
        <v>0</v>
      </c>
      <c r="J3806" s="9">
        <f t="shared" si="243"/>
        <v>2</v>
      </c>
      <c r="K3806" t="s">
        <v>6697</v>
      </c>
      <c r="L3806" t="s">
        <v>6695</v>
      </c>
      <c r="N3806" t="s">
        <v>6706</v>
      </c>
      <c r="O3806" t="s">
        <v>6694</v>
      </c>
      <c r="T3806" t="s">
        <v>6694</v>
      </c>
      <c r="W3806" t="s">
        <v>6720</v>
      </c>
    </row>
    <row r="3807" spans="1:23" ht="15.6" x14ac:dyDescent="0.4">
      <c r="A3807" s="2" t="s">
        <v>1944</v>
      </c>
      <c r="B3807" s="5" t="s">
        <v>10075</v>
      </c>
      <c r="C3807" s="7" t="s">
        <v>12556</v>
      </c>
      <c r="D3807" s="8">
        <f t="shared" si="240"/>
        <v>1</v>
      </c>
      <c r="E3807" s="7" t="s">
        <v>12557</v>
      </c>
      <c r="F3807" s="7">
        <f t="shared" si="241"/>
        <v>1</v>
      </c>
      <c r="G3807" s="7" t="s">
        <v>12558</v>
      </c>
      <c r="H3807" s="7">
        <f t="shared" si="242"/>
        <v>0</v>
      </c>
      <c r="I3807" s="7" t="str" cm="1">
        <f t="array" ref="I3807">IFERROR(_xlfn.IFS(M3807="נח",1,M3807="נע ונח",1,M3807="שני שווא נח",2,M3807="שני שוואים בסוף מילה",2,M3807="שני שוואים ברצף",1),"0")</f>
        <v>0</v>
      </c>
      <c r="J3807" s="9">
        <f t="shared" si="243"/>
        <v>2</v>
      </c>
      <c r="K3807" t="s">
        <v>6698</v>
      </c>
      <c r="L3807" t="s">
        <v>6694</v>
      </c>
      <c r="M3807" t="s">
        <v>6700</v>
      </c>
      <c r="S3807" t="s">
        <v>6694</v>
      </c>
      <c r="W3807" t="s">
        <v>6720</v>
      </c>
    </row>
    <row r="3808" spans="1:23" ht="15.6" x14ac:dyDescent="0.4">
      <c r="A3808" s="2" t="s">
        <v>1718</v>
      </c>
      <c r="B3808" s="5" t="s">
        <v>10076</v>
      </c>
      <c r="C3808" s="7" t="s">
        <v>12556</v>
      </c>
      <c r="D3808" s="8">
        <f t="shared" si="240"/>
        <v>1</v>
      </c>
      <c r="E3808" s="7" t="s">
        <v>12557</v>
      </c>
      <c r="F3808" s="7">
        <f t="shared" si="241"/>
        <v>1</v>
      </c>
      <c r="G3808" s="7" t="s">
        <v>12558</v>
      </c>
      <c r="H3808" s="7">
        <f t="shared" si="242"/>
        <v>0</v>
      </c>
      <c r="I3808" s="7" t="str" cm="1">
        <f t="array" ref="I3808">IFERROR(_xlfn.IFS(M3808="נח",1,M3808="נע ונח",1,M3808="שני שווא נח",2,M3808="שני שוואים בסוף מילה",2,M3808="שני שוואים ברצף",1),"0")</f>
        <v>0</v>
      </c>
      <c r="J3808" s="9">
        <f t="shared" si="243"/>
        <v>2</v>
      </c>
      <c r="K3808" t="s">
        <v>6698</v>
      </c>
      <c r="L3808" t="s">
        <v>6694</v>
      </c>
      <c r="M3808" t="s">
        <v>6700</v>
      </c>
      <c r="Q3808" t="s">
        <v>6694</v>
      </c>
      <c r="W3808" t="s">
        <v>6720</v>
      </c>
    </row>
    <row r="3809" spans="1:23" ht="15.6" x14ac:dyDescent="0.4">
      <c r="A3809" s="2" t="s">
        <v>5538</v>
      </c>
      <c r="B3809" s="5" t="s">
        <v>10077</v>
      </c>
      <c r="C3809" s="7" t="s">
        <v>12556</v>
      </c>
      <c r="D3809" s="8">
        <f t="shared" si="240"/>
        <v>0</v>
      </c>
      <c r="E3809" s="7" t="s">
        <v>12557</v>
      </c>
      <c r="F3809" s="7">
        <f t="shared" si="241"/>
        <v>1</v>
      </c>
      <c r="G3809" s="7" t="s">
        <v>12558</v>
      </c>
      <c r="H3809" s="7">
        <f t="shared" si="242"/>
        <v>0</v>
      </c>
      <c r="I3809" s="7" t="str" cm="1">
        <f t="array" ref="I3809">IFERROR(_xlfn.IFS(M3809="נח",1,M3809="נע ונח",1,M3809="שני שווא נח",2,M3809="שני שוואים בסוף מילה",2,M3809="שני שוואים ברצף",1),"0")</f>
        <v>0</v>
      </c>
      <c r="J3809" s="9">
        <f t="shared" si="243"/>
        <v>3</v>
      </c>
      <c r="K3809" t="s">
        <v>6698</v>
      </c>
      <c r="L3809" t="s">
        <v>6694</v>
      </c>
      <c r="M3809" t="s">
        <v>6700</v>
      </c>
      <c r="R3809" t="s">
        <v>6694</v>
      </c>
      <c r="W3809" t="s">
        <v>6720</v>
      </c>
    </row>
    <row r="3810" spans="1:23" ht="15.6" x14ac:dyDescent="0.4">
      <c r="A3810" s="2" t="s">
        <v>5614</v>
      </c>
      <c r="B3810" s="5" t="s">
        <v>10078</v>
      </c>
      <c r="C3810" s="7" t="s">
        <v>12556</v>
      </c>
      <c r="D3810" s="8">
        <f t="shared" si="240"/>
        <v>0</v>
      </c>
      <c r="E3810" s="7" t="s">
        <v>12557</v>
      </c>
      <c r="F3810" s="7">
        <f t="shared" si="241"/>
        <v>1</v>
      </c>
      <c r="G3810" s="7" t="s">
        <v>12558</v>
      </c>
      <c r="H3810" s="7">
        <f t="shared" si="242"/>
        <v>0</v>
      </c>
      <c r="I3810" s="7" t="str" cm="1">
        <f t="array" ref="I3810">IFERROR(_xlfn.IFS(M3810="נח",1,M3810="נע ונח",1,M3810="שני שווא נח",2,M3810="שני שוואים בסוף מילה",2,M3810="שני שוואים ברצף",1),"0")</f>
        <v>0</v>
      </c>
      <c r="J3810" s="9">
        <f t="shared" si="243"/>
        <v>3</v>
      </c>
      <c r="K3810" t="s">
        <v>6698</v>
      </c>
      <c r="L3810" t="s">
        <v>6694</v>
      </c>
      <c r="M3810" t="s">
        <v>6700</v>
      </c>
      <c r="R3810" t="s">
        <v>6694</v>
      </c>
      <c r="W3810" t="s">
        <v>6720</v>
      </c>
    </row>
    <row r="3811" spans="1:23" ht="15.6" x14ac:dyDescent="0.4">
      <c r="A3811" s="2" t="s">
        <v>5384</v>
      </c>
      <c r="B3811" s="5" t="s">
        <v>10025</v>
      </c>
      <c r="C3811" s="7" t="s">
        <v>12556</v>
      </c>
      <c r="D3811" s="8">
        <f t="shared" si="240"/>
        <v>0</v>
      </c>
      <c r="E3811" s="7" t="s">
        <v>12557</v>
      </c>
      <c r="F3811" s="7">
        <f t="shared" si="241"/>
        <v>1</v>
      </c>
      <c r="G3811" s="7" t="s">
        <v>12558</v>
      </c>
      <c r="H3811" s="7">
        <f t="shared" si="242"/>
        <v>0</v>
      </c>
      <c r="I3811" s="7" t="str" cm="1">
        <f t="array" ref="I3811">IFERROR(_xlfn.IFS(M3811="נח",1,M3811="נע ונח",1,M3811="שני שווא נח",2,M3811="שני שוואים בסוף מילה",2,M3811="שני שוואים ברצף",1),"0")</f>
        <v>0</v>
      </c>
      <c r="J3811" s="9">
        <f t="shared" si="243"/>
        <v>3</v>
      </c>
      <c r="K3811" t="s">
        <v>6698</v>
      </c>
      <c r="L3811" t="s">
        <v>6694</v>
      </c>
      <c r="M3811" t="s">
        <v>6700</v>
      </c>
      <c r="P3811" t="s">
        <v>6694</v>
      </c>
      <c r="S3811" t="s">
        <v>6694</v>
      </c>
      <c r="W3811" t="s">
        <v>6720</v>
      </c>
    </row>
    <row r="3812" spans="1:23" ht="15.6" x14ac:dyDescent="0.4">
      <c r="A3812" s="2" t="s">
        <v>3548</v>
      </c>
      <c r="B3812" s="5" t="s">
        <v>10079</v>
      </c>
      <c r="C3812" s="7" t="s">
        <v>12556</v>
      </c>
      <c r="D3812" s="8">
        <f t="shared" si="240"/>
        <v>0</v>
      </c>
      <c r="E3812" s="7" t="s">
        <v>12557</v>
      </c>
      <c r="F3812" s="7">
        <f t="shared" si="241"/>
        <v>2</v>
      </c>
      <c r="G3812" s="7" t="s">
        <v>12558</v>
      </c>
      <c r="H3812" s="7">
        <f t="shared" si="242"/>
        <v>0</v>
      </c>
      <c r="I3812" s="7" t="str" cm="1">
        <f t="array" ref="I3812">IFERROR(_xlfn.IFS(M3812="נח",1,M3812="נע ונח",1,M3812="שני שווא נח",2,M3812="שני שוואים בסוף מילה",2,M3812="שני שוואים ברצף",1),"0")</f>
        <v>0</v>
      </c>
      <c r="J3812" s="9">
        <f t="shared" si="243"/>
        <v>3</v>
      </c>
      <c r="K3812" t="s">
        <v>6698</v>
      </c>
      <c r="L3812" t="s">
        <v>6694</v>
      </c>
      <c r="M3812" t="s">
        <v>6700</v>
      </c>
      <c r="N3812" t="s">
        <v>6706</v>
      </c>
      <c r="O3812" t="s">
        <v>6694</v>
      </c>
      <c r="P3812" t="s">
        <v>6694</v>
      </c>
      <c r="W3812" t="s">
        <v>6720</v>
      </c>
    </row>
    <row r="3813" spans="1:23" ht="15.6" x14ac:dyDescent="0.4">
      <c r="A3813" s="2" t="s">
        <v>2130</v>
      </c>
      <c r="B3813" s="5" t="s">
        <v>10080</v>
      </c>
      <c r="C3813" s="7" t="s">
        <v>12556</v>
      </c>
      <c r="D3813" s="8">
        <f t="shared" si="240"/>
        <v>0</v>
      </c>
      <c r="E3813" s="7" t="s">
        <v>12557</v>
      </c>
      <c r="F3813" s="7">
        <f t="shared" si="241"/>
        <v>1</v>
      </c>
      <c r="G3813" s="7" t="s">
        <v>12558</v>
      </c>
      <c r="H3813" s="7">
        <f t="shared" si="242"/>
        <v>0</v>
      </c>
      <c r="I3813" s="7" cm="1">
        <f t="array" ref="I3813">IFERROR(_xlfn.IFS(M3813="נח",1,M3813="נע ונח",1,M3813="שני שווא נח",2,M3813="שני שוואים בסוף מילה",2,M3813="שני שוואים ברצף",1),"0")</f>
        <v>1</v>
      </c>
      <c r="J3813" s="9">
        <f t="shared" si="243"/>
        <v>3</v>
      </c>
      <c r="K3813" t="s">
        <v>6697</v>
      </c>
      <c r="L3813" t="s">
        <v>6694</v>
      </c>
      <c r="M3813" t="s">
        <v>6701</v>
      </c>
      <c r="P3813" t="s">
        <v>6694</v>
      </c>
      <c r="Q3813" t="s">
        <v>6694</v>
      </c>
      <c r="W3813" t="s">
        <v>6720</v>
      </c>
    </row>
    <row r="3814" spans="1:23" ht="15.6" x14ac:dyDescent="0.4">
      <c r="A3814" s="2" t="s">
        <v>5502</v>
      </c>
      <c r="B3814" s="5" t="s">
        <v>10081</v>
      </c>
      <c r="C3814" s="7" t="s">
        <v>12556</v>
      </c>
      <c r="D3814" s="8">
        <f t="shared" si="240"/>
        <v>0</v>
      </c>
      <c r="E3814" s="7" t="s">
        <v>12557</v>
      </c>
      <c r="F3814" s="7">
        <f t="shared" si="241"/>
        <v>1</v>
      </c>
      <c r="G3814" s="7" t="s">
        <v>12558</v>
      </c>
      <c r="H3814" s="7">
        <f t="shared" si="242"/>
        <v>0</v>
      </c>
      <c r="I3814" s="7" t="str" cm="1">
        <f t="array" ref="I3814">IFERROR(_xlfn.IFS(M3814="נח",1,M3814="נע ונח",1,M3814="שני שווא נח",2,M3814="שני שוואים בסוף מילה",2,M3814="שני שוואים ברצף",1),"0")</f>
        <v>0</v>
      </c>
      <c r="J3814" s="9">
        <f t="shared" si="243"/>
        <v>3</v>
      </c>
      <c r="K3814" t="s">
        <v>6698</v>
      </c>
      <c r="L3814" t="s">
        <v>6694</v>
      </c>
      <c r="M3814" t="s">
        <v>6700</v>
      </c>
      <c r="N3814" t="s">
        <v>6706</v>
      </c>
      <c r="O3814" t="s">
        <v>6694</v>
      </c>
      <c r="W3814" t="s">
        <v>6720</v>
      </c>
    </row>
    <row r="3815" spans="1:23" ht="15.6" x14ac:dyDescent="0.4">
      <c r="A3815" s="2" t="s">
        <v>1004</v>
      </c>
      <c r="B3815" s="5" t="s">
        <v>10082</v>
      </c>
      <c r="C3815" s="7" t="s">
        <v>12556</v>
      </c>
      <c r="D3815" s="8">
        <f t="shared" si="240"/>
        <v>0</v>
      </c>
      <c r="E3815" s="7" t="s">
        <v>12557</v>
      </c>
      <c r="F3815" s="7">
        <f t="shared" si="241"/>
        <v>1</v>
      </c>
      <c r="G3815" s="7" t="s">
        <v>12558</v>
      </c>
      <c r="H3815" s="7">
        <f t="shared" si="242"/>
        <v>0</v>
      </c>
      <c r="I3815" s="7" t="str" cm="1">
        <f t="array" ref="I3815">IFERROR(_xlfn.IFS(M3815="נח",1,M3815="נע ונח",1,M3815="שני שווא נח",2,M3815="שני שוואים בסוף מילה",2,M3815="שני שוואים ברצף",1),"0")</f>
        <v>0</v>
      </c>
      <c r="J3815" s="9">
        <f t="shared" si="243"/>
        <v>2</v>
      </c>
      <c r="K3815" t="s">
        <v>6698</v>
      </c>
      <c r="L3815" t="s">
        <v>6694</v>
      </c>
      <c r="M3815" t="s">
        <v>6700</v>
      </c>
      <c r="N3815" t="s">
        <v>6706</v>
      </c>
      <c r="O3815" t="s">
        <v>6694</v>
      </c>
      <c r="W3815" t="s">
        <v>6720</v>
      </c>
    </row>
    <row r="3816" spans="1:23" ht="15.6" x14ac:dyDescent="0.4">
      <c r="A3816" s="2" t="s">
        <v>4998</v>
      </c>
      <c r="B3816" s="5" t="s">
        <v>10083</v>
      </c>
      <c r="C3816" s="7" t="s">
        <v>12556</v>
      </c>
      <c r="D3816" s="8">
        <f t="shared" si="240"/>
        <v>0</v>
      </c>
      <c r="E3816" s="7" t="s">
        <v>12557</v>
      </c>
      <c r="F3816" s="7">
        <f t="shared" si="241"/>
        <v>1</v>
      </c>
      <c r="G3816" s="7" t="s">
        <v>12558</v>
      </c>
      <c r="H3816" s="7">
        <f t="shared" si="242"/>
        <v>0</v>
      </c>
      <c r="I3816" s="7" t="str" cm="1">
        <f t="array" ref="I3816">IFERROR(_xlfn.IFS(M3816="נח",1,M3816="נע ונח",1,M3816="שני שווא נח",2,M3816="שני שוואים בסוף מילה",2,M3816="שני שוואים ברצף",1),"0")</f>
        <v>0</v>
      </c>
      <c r="J3816" s="9">
        <f t="shared" si="243"/>
        <v>3</v>
      </c>
      <c r="K3816" t="s">
        <v>6698</v>
      </c>
      <c r="L3816" t="s">
        <v>6694</v>
      </c>
      <c r="M3816" t="s">
        <v>6700</v>
      </c>
      <c r="R3816" t="s">
        <v>6694</v>
      </c>
      <c r="W3816" t="s">
        <v>6720</v>
      </c>
    </row>
    <row r="3817" spans="1:23" ht="15.6" x14ac:dyDescent="0.4">
      <c r="A3817" s="2" t="s">
        <v>2005</v>
      </c>
      <c r="B3817" s="5" t="s">
        <v>10084</v>
      </c>
      <c r="C3817" s="7" t="s">
        <v>12556</v>
      </c>
      <c r="D3817" s="8">
        <f t="shared" si="240"/>
        <v>0</v>
      </c>
      <c r="E3817" s="7" t="s">
        <v>12557</v>
      </c>
      <c r="F3817" s="7">
        <f t="shared" si="241"/>
        <v>1</v>
      </c>
      <c r="G3817" s="7" t="s">
        <v>12558</v>
      </c>
      <c r="H3817" s="7">
        <f t="shared" si="242"/>
        <v>0</v>
      </c>
      <c r="I3817" s="7" t="str" cm="1">
        <f t="array" ref="I3817">IFERROR(_xlfn.IFS(M3817="נח",1,M3817="נע ונח",1,M3817="שני שווא נח",2,M3817="שני שוואים בסוף מילה",2,M3817="שני שוואים ברצף",1),"0")</f>
        <v>0</v>
      </c>
      <c r="J3817" s="9">
        <f t="shared" si="243"/>
        <v>2</v>
      </c>
      <c r="K3817" t="s">
        <v>6698</v>
      </c>
      <c r="L3817" t="s">
        <v>6694</v>
      </c>
      <c r="M3817" t="s">
        <v>6700</v>
      </c>
      <c r="V3817" t="s">
        <v>6694</v>
      </c>
      <c r="W3817" t="s">
        <v>6720</v>
      </c>
    </row>
    <row r="3818" spans="1:23" ht="15.6" x14ac:dyDescent="0.4">
      <c r="A3818" s="2" t="s">
        <v>2901</v>
      </c>
      <c r="B3818" s="5" t="s">
        <v>10026</v>
      </c>
      <c r="C3818" s="7" t="s">
        <v>12556</v>
      </c>
      <c r="D3818" s="8">
        <f t="shared" si="240"/>
        <v>0</v>
      </c>
      <c r="E3818" s="7" t="s">
        <v>12557</v>
      </c>
      <c r="F3818" s="7">
        <f t="shared" si="241"/>
        <v>1</v>
      </c>
      <c r="G3818" s="7" t="s">
        <v>12558</v>
      </c>
      <c r="H3818" s="7">
        <f t="shared" si="242"/>
        <v>0</v>
      </c>
      <c r="I3818" s="7" t="str" cm="1">
        <f t="array" ref="I3818">IFERROR(_xlfn.IFS(M3818="נח",1,M3818="נע ונח",1,M3818="שני שווא נח",2,M3818="שני שוואים בסוף מילה",2,M3818="שני שוואים ברצף",1),"0")</f>
        <v>0</v>
      </c>
      <c r="J3818" s="9">
        <f t="shared" si="243"/>
        <v>2</v>
      </c>
      <c r="K3818" t="s">
        <v>6698</v>
      </c>
      <c r="L3818" t="s">
        <v>6694</v>
      </c>
      <c r="M3818" t="s">
        <v>6700</v>
      </c>
      <c r="V3818" t="s">
        <v>6694</v>
      </c>
      <c r="W3818" t="s">
        <v>6720</v>
      </c>
    </row>
    <row r="3819" spans="1:23" ht="15.6" x14ac:dyDescent="0.4">
      <c r="A3819" s="2" t="s">
        <v>3057</v>
      </c>
      <c r="B3819" s="5" t="s">
        <v>10027</v>
      </c>
      <c r="C3819" s="7" t="s">
        <v>12556</v>
      </c>
      <c r="D3819" s="8">
        <f t="shared" si="240"/>
        <v>0</v>
      </c>
      <c r="E3819" s="7" t="s">
        <v>12557</v>
      </c>
      <c r="F3819" s="7">
        <f t="shared" si="241"/>
        <v>1</v>
      </c>
      <c r="G3819" s="7" t="s">
        <v>12558</v>
      </c>
      <c r="H3819" s="7">
        <f t="shared" si="242"/>
        <v>0</v>
      </c>
      <c r="I3819" s="7" t="str" cm="1">
        <f t="array" ref="I3819">IFERROR(_xlfn.IFS(M3819="נח",1,M3819="נע ונח",1,M3819="שני שווא נח",2,M3819="שני שוואים בסוף מילה",2,M3819="שני שוואים ברצף",1),"0")</f>
        <v>0</v>
      </c>
      <c r="J3819" s="9">
        <f t="shared" si="243"/>
        <v>3</v>
      </c>
      <c r="K3819" t="s">
        <v>6697</v>
      </c>
      <c r="L3819" t="s">
        <v>6694</v>
      </c>
      <c r="M3819" t="s">
        <v>6700</v>
      </c>
      <c r="S3819" t="s">
        <v>6694</v>
      </c>
      <c r="V3819" t="s">
        <v>6694</v>
      </c>
      <c r="W3819" t="s">
        <v>6720</v>
      </c>
    </row>
    <row r="3820" spans="1:23" ht="15.6" x14ac:dyDescent="0.4">
      <c r="A3820" s="2" t="s">
        <v>6444</v>
      </c>
      <c r="B3820" s="5" t="s">
        <v>10085</v>
      </c>
      <c r="C3820" s="7" t="s">
        <v>12556</v>
      </c>
      <c r="D3820" s="8">
        <f t="shared" si="240"/>
        <v>0</v>
      </c>
      <c r="E3820" s="7" t="s">
        <v>12557</v>
      </c>
      <c r="F3820" s="7">
        <f t="shared" si="241"/>
        <v>1</v>
      </c>
      <c r="G3820" s="7" t="s">
        <v>12558</v>
      </c>
      <c r="H3820" s="7">
        <f t="shared" si="242"/>
        <v>0</v>
      </c>
      <c r="I3820" s="7" t="str" cm="1">
        <f t="array" ref="I3820">IFERROR(_xlfn.IFS(M3820="נח",1,M3820="נע ונח",1,M3820="שני שווא נח",2,M3820="שני שוואים בסוף מילה",2,M3820="שני שוואים ברצף",1),"0")</f>
        <v>0</v>
      </c>
      <c r="J3820" s="9">
        <f t="shared" si="243"/>
        <v>4</v>
      </c>
      <c r="K3820" t="s">
        <v>6697</v>
      </c>
      <c r="L3820" t="s">
        <v>6694</v>
      </c>
      <c r="M3820" t="s">
        <v>6700</v>
      </c>
      <c r="O3820" t="s">
        <v>6694</v>
      </c>
      <c r="R3820" t="s">
        <v>6694</v>
      </c>
      <c r="V3820" t="s">
        <v>6694</v>
      </c>
      <c r="W3820" t="s">
        <v>6720</v>
      </c>
    </row>
    <row r="3821" spans="1:23" ht="15.6" x14ac:dyDescent="0.4">
      <c r="A3821" s="2" t="s">
        <v>1090</v>
      </c>
      <c r="B3821" s="5" t="s">
        <v>10086</v>
      </c>
      <c r="C3821" s="7" t="s">
        <v>12556</v>
      </c>
      <c r="D3821" s="8">
        <f t="shared" si="240"/>
        <v>0</v>
      </c>
      <c r="E3821" s="7" t="s">
        <v>12557</v>
      </c>
      <c r="F3821" s="7">
        <f t="shared" si="241"/>
        <v>1</v>
      </c>
      <c r="G3821" s="7" t="s">
        <v>12558</v>
      </c>
      <c r="H3821" s="7">
        <f t="shared" si="242"/>
        <v>0</v>
      </c>
      <c r="I3821" s="7" t="str" cm="1">
        <f t="array" ref="I3821">IFERROR(_xlfn.IFS(M3821="נח",1,M3821="נע ונח",1,M3821="שני שווא נח",2,M3821="שני שוואים בסוף מילה",2,M3821="שני שוואים ברצף",1),"0")</f>
        <v>0</v>
      </c>
      <c r="J3821" s="9">
        <f t="shared" si="243"/>
        <v>3</v>
      </c>
      <c r="K3821" t="s">
        <v>6698</v>
      </c>
      <c r="L3821" t="s">
        <v>6694</v>
      </c>
      <c r="M3821" t="s">
        <v>6700</v>
      </c>
      <c r="N3821" t="s">
        <v>6706</v>
      </c>
      <c r="O3821" t="s">
        <v>6694</v>
      </c>
      <c r="V3821" t="s">
        <v>6694</v>
      </c>
      <c r="W3821" t="s">
        <v>6720</v>
      </c>
    </row>
    <row r="3822" spans="1:23" ht="15.6" x14ac:dyDescent="0.4">
      <c r="A3822" s="2" t="s">
        <v>3128</v>
      </c>
      <c r="B3822" s="5" t="s">
        <v>10028</v>
      </c>
      <c r="C3822" s="7" t="s">
        <v>12556</v>
      </c>
      <c r="D3822" s="8">
        <f t="shared" si="240"/>
        <v>0</v>
      </c>
      <c r="E3822" s="7" t="s">
        <v>12557</v>
      </c>
      <c r="F3822" s="7">
        <f t="shared" si="241"/>
        <v>1</v>
      </c>
      <c r="G3822" s="7" t="s">
        <v>12558</v>
      </c>
      <c r="H3822" s="7">
        <f t="shared" si="242"/>
        <v>0</v>
      </c>
      <c r="I3822" s="7" t="str" cm="1">
        <f t="array" ref="I3822">IFERROR(_xlfn.IFS(M3822="נח",1,M3822="נע ונח",1,M3822="שני שווא נח",2,M3822="שני שוואים בסוף מילה",2,M3822="שני שוואים ברצף",1),"0")</f>
        <v>0</v>
      </c>
      <c r="J3822" s="9">
        <f t="shared" si="243"/>
        <v>3</v>
      </c>
      <c r="K3822" t="s">
        <v>6697</v>
      </c>
      <c r="L3822" t="s">
        <v>6694</v>
      </c>
      <c r="M3822" t="s">
        <v>6700</v>
      </c>
      <c r="V3822" t="s">
        <v>6694</v>
      </c>
      <c r="W3822" t="s">
        <v>6720</v>
      </c>
    </row>
    <row r="3823" spans="1:23" ht="15.6" x14ac:dyDescent="0.4">
      <c r="A3823" s="2" t="s">
        <v>3736</v>
      </c>
      <c r="B3823" s="5" t="s">
        <v>10087</v>
      </c>
      <c r="C3823" s="7" t="s">
        <v>12556</v>
      </c>
      <c r="D3823" s="8">
        <f t="shared" si="240"/>
        <v>0</v>
      </c>
      <c r="E3823" s="7" t="s">
        <v>12557</v>
      </c>
      <c r="F3823" s="7">
        <f t="shared" si="241"/>
        <v>3</v>
      </c>
      <c r="G3823" s="7" t="s">
        <v>12558</v>
      </c>
      <c r="H3823" s="7">
        <f t="shared" si="242"/>
        <v>1</v>
      </c>
      <c r="I3823" s="7" t="str" cm="1">
        <f t="array" ref="I3823">IFERROR(_xlfn.IFS(M3823="נח",1,M3823="נע ונח",1,M3823="שני שווא נח",2,M3823="שני שוואים בסוף מילה",2,M3823="שני שוואים ברצף",1),"0")</f>
        <v>0</v>
      </c>
      <c r="J3823" s="9">
        <f t="shared" si="243"/>
        <v>3</v>
      </c>
      <c r="K3823" t="s">
        <v>6697</v>
      </c>
      <c r="L3823" t="s">
        <v>6694</v>
      </c>
      <c r="M3823" t="s">
        <v>6700</v>
      </c>
      <c r="O3823" t="s">
        <v>6694</v>
      </c>
      <c r="U3823" t="s">
        <v>6694</v>
      </c>
      <c r="W3823" t="s">
        <v>6720</v>
      </c>
    </row>
    <row r="3824" spans="1:23" ht="15.6" x14ac:dyDescent="0.4">
      <c r="A3824" s="2" t="s">
        <v>3270</v>
      </c>
      <c r="B3824" s="5" t="s">
        <v>10088</v>
      </c>
      <c r="C3824" s="7" t="s">
        <v>12556</v>
      </c>
      <c r="D3824" s="8">
        <f t="shared" si="240"/>
        <v>0</v>
      </c>
      <c r="E3824" s="7" t="s">
        <v>12557</v>
      </c>
      <c r="F3824" s="7">
        <f t="shared" si="241"/>
        <v>2</v>
      </c>
      <c r="G3824" s="7" t="s">
        <v>12558</v>
      </c>
      <c r="H3824" s="7">
        <f t="shared" si="242"/>
        <v>0</v>
      </c>
      <c r="I3824" s="7" t="str" cm="1">
        <f t="array" ref="I3824">IFERROR(_xlfn.IFS(M3824="נח",1,M3824="נע ונח",1,M3824="שני שווא נח",2,M3824="שני שוואים בסוף מילה",2,M3824="שני שוואים ברצף",1),"0")</f>
        <v>0</v>
      </c>
      <c r="J3824" s="9">
        <f t="shared" si="243"/>
        <v>3</v>
      </c>
      <c r="K3824" t="s">
        <v>6698</v>
      </c>
      <c r="L3824" t="s">
        <v>6694</v>
      </c>
      <c r="M3824" t="s">
        <v>6700</v>
      </c>
      <c r="S3824" t="s">
        <v>6694</v>
      </c>
      <c r="V3824" t="s">
        <v>6694</v>
      </c>
      <c r="W3824" t="s">
        <v>6720</v>
      </c>
    </row>
    <row r="3825" spans="1:23" ht="15.6" x14ac:dyDescent="0.4">
      <c r="A3825" s="2" t="s">
        <v>5137</v>
      </c>
      <c r="B3825" s="5" t="s">
        <v>10039</v>
      </c>
      <c r="C3825" s="7" t="s">
        <v>12556</v>
      </c>
      <c r="D3825" s="8">
        <f t="shared" si="240"/>
        <v>0</v>
      </c>
      <c r="E3825" s="7" t="s">
        <v>12557</v>
      </c>
      <c r="F3825" s="7">
        <f t="shared" si="241"/>
        <v>2</v>
      </c>
      <c r="G3825" s="7" t="s">
        <v>12558</v>
      </c>
      <c r="H3825" s="7">
        <f t="shared" si="242"/>
        <v>0</v>
      </c>
      <c r="I3825" s="7" t="str" cm="1">
        <f t="array" ref="I3825">IFERROR(_xlfn.IFS(M3825="נח",1,M3825="נע ונח",1,M3825="שני שווא נח",2,M3825="שני שוואים בסוף מילה",2,M3825="שני שוואים ברצף",1),"0")</f>
        <v>0</v>
      </c>
      <c r="J3825" s="9">
        <f t="shared" si="243"/>
        <v>3</v>
      </c>
      <c r="K3825" t="s">
        <v>6697</v>
      </c>
      <c r="L3825" t="s">
        <v>6694</v>
      </c>
      <c r="M3825" t="s">
        <v>6700</v>
      </c>
      <c r="P3825" t="s">
        <v>6694</v>
      </c>
      <c r="V3825" t="s">
        <v>6694</v>
      </c>
      <c r="W3825" t="s">
        <v>6720</v>
      </c>
    </row>
    <row r="3826" spans="1:23" ht="15.6" x14ac:dyDescent="0.4">
      <c r="A3826" s="2" t="s">
        <v>5483</v>
      </c>
      <c r="B3826" s="5" t="s">
        <v>10089</v>
      </c>
      <c r="C3826" s="7" t="s">
        <v>12556</v>
      </c>
      <c r="D3826" s="8">
        <f t="shared" si="240"/>
        <v>0</v>
      </c>
      <c r="E3826" s="7" t="s">
        <v>12557</v>
      </c>
      <c r="F3826" s="7">
        <f t="shared" si="241"/>
        <v>1</v>
      </c>
      <c r="G3826" s="7" t="s">
        <v>12558</v>
      </c>
      <c r="H3826" s="7">
        <f t="shared" si="242"/>
        <v>0</v>
      </c>
      <c r="I3826" s="7" t="str" cm="1">
        <f t="array" ref="I3826">IFERROR(_xlfn.IFS(M3826="נח",1,M3826="נע ונח",1,M3826="שני שווא נח",2,M3826="שני שוואים בסוף מילה",2,M3826="שני שוואים ברצף",1),"0")</f>
        <v>0</v>
      </c>
      <c r="J3826" s="9">
        <f t="shared" si="243"/>
        <v>3</v>
      </c>
      <c r="K3826" t="s">
        <v>6698</v>
      </c>
      <c r="L3826" t="s">
        <v>6694</v>
      </c>
      <c r="M3826" t="s">
        <v>6700</v>
      </c>
      <c r="R3826" t="s">
        <v>6694</v>
      </c>
      <c r="V3826" t="s">
        <v>6694</v>
      </c>
      <c r="W3826" t="s">
        <v>6720</v>
      </c>
    </row>
    <row r="3827" spans="1:23" ht="15.6" x14ac:dyDescent="0.4">
      <c r="A3827" s="2" t="s">
        <v>4471</v>
      </c>
      <c r="B3827" s="5" t="s">
        <v>10090</v>
      </c>
      <c r="C3827" s="7" t="s">
        <v>12556</v>
      </c>
      <c r="D3827" s="8">
        <f t="shared" si="240"/>
        <v>0</v>
      </c>
      <c r="E3827" s="7" t="s">
        <v>12557</v>
      </c>
      <c r="F3827" s="7">
        <f t="shared" si="241"/>
        <v>2</v>
      </c>
      <c r="G3827" s="7" t="s">
        <v>12558</v>
      </c>
      <c r="H3827" s="7">
        <f t="shared" si="242"/>
        <v>0</v>
      </c>
      <c r="I3827" s="7" t="str" cm="1">
        <f t="array" ref="I3827">IFERROR(_xlfn.IFS(M3827="נח",1,M3827="נע ונח",1,M3827="שני שווא נח",2,M3827="שני שוואים בסוף מילה",2,M3827="שני שוואים ברצף",1),"0")</f>
        <v>0</v>
      </c>
      <c r="J3827" s="9">
        <f t="shared" si="243"/>
        <v>3</v>
      </c>
      <c r="K3827" t="s">
        <v>6698</v>
      </c>
      <c r="L3827" t="s">
        <v>6694</v>
      </c>
      <c r="M3827" t="s">
        <v>6700</v>
      </c>
      <c r="Q3827" t="s">
        <v>6694</v>
      </c>
      <c r="S3827" t="s">
        <v>6694</v>
      </c>
      <c r="W3827" t="s">
        <v>6720</v>
      </c>
    </row>
    <row r="3828" spans="1:23" ht="15.6" x14ac:dyDescent="0.4">
      <c r="A3828" s="2" t="s">
        <v>4469</v>
      </c>
      <c r="B3828" s="5" t="s">
        <v>10091</v>
      </c>
      <c r="C3828" s="7" t="s">
        <v>12556</v>
      </c>
      <c r="D3828" s="8">
        <f t="shared" si="240"/>
        <v>0</v>
      </c>
      <c r="E3828" s="7" t="s">
        <v>12557</v>
      </c>
      <c r="F3828" s="7">
        <f t="shared" si="241"/>
        <v>2</v>
      </c>
      <c r="G3828" s="7" t="s">
        <v>12558</v>
      </c>
      <c r="H3828" s="7">
        <f t="shared" si="242"/>
        <v>0</v>
      </c>
      <c r="I3828" s="7" cm="1">
        <f t="array" ref="I3828">IFERROR(_xlfn.IFS(M3828="נח",1,M3828="נע ונח",1,M3828="שני שווא נח",2,M3828="שני שוואים בסוף מילה",2,M3828="שני שוואים ברצף",1),"0")</f>
        <v>1</v>
      </c>
      <c r="J3828" s="9">
        <f t="shared" si="243"/>
        <v>3</v>
      </c>
      <c r="K3828" t="s">
        <v>6698</v>
      </c>
      <c r="L3828" t="s">
        <v>6694</v>
      </c>
      <c r="M3828" t="s">
        <v>6701</v>
      </c>
      <c r="S3828" t="s">
        <v>6694</v>
      </c>
      <c r="V3828" t="s">
        <v>6694</v>
      </c>
      <c r="W3828" t="s">
        <v>6720</v>
      </c>
    </row>
    <row r="3829" spans="1:23" ht="15.6" x14ac:dyDescent="0.4">
      <c r="A3829" s="2" t="s">
        <v>834</v>
      </c>
      <c r="B3829" s="5" t="s">
        <v>10092</v>
      </c>
      <c r="C3829" s="7" t="s">
        <v>12556</v>
      </c>
      <c r="D3829" s="8">
        <f t="shared" si="240"/>
        <v>0</v>
      </c>
      <c r="E3829" s="7" t="s">
        <v>12557</v>
      </c>
      <c r="F3829" s="7">
        <f t="shared" si="241"/>
        <v>1</v>
      </c>
      <c r="G3829" s="7" t="s">
        <v>12558</v>
      </c>
      <c r="H3829" s="7">
        <f t="shared" si="242"/>
        <v>0</v>
      </c>
      <c r="I3829" s="7" t="str" cm="1">
        <f t="array" ref="I3829">IFERROR(_xlfn.IFS(M3829="נח",1,M3829="נע ונח",1,M3829="שני שווא נח",2,M3829="שני שוואים בסוף מילה",2,M3829="שני שוואים ברצף",1),"0")</f>
        <v>0</v>
      </c>
      <c r="J3829" s="9">
        <f t="shared" si="243"/>
        <v>4</v>
      </c>
      <c r="K3829" t="s">
        <v>6698</v>
      </c>
      <c r="L3829" t="s">
        <v>6694</v>
      </c>
      <c r="M3829" t="s">
        <v>6703</v>
      </c>
      <c r="P3829" t="s">
        <v>6694</v>
      </c>
      <c r="Q3829" t="s">
        <v>6694</v>
      </c>
      <c r="W3829" t="s">
        <v>6720</v>
      </c>
    </row>
    <row r="3830" spans="1:23" ht="15.6" x14ac:dyDescent="0.4">
      <c r="A3830" s="2" t="s">
        <v>3959</v>
      </c>
      <c r="B3830" s="5" t="s">
        <v>10093</v>
      </c>
      <c r="C3830" s="7" t="s">
        <v>12556</v>
      </c>
      <c r="D3830" s="8">
        <f t="shared" si="240"/>
        <v>0</v>
      </c>
      <c r="E3830" s="7" t="s">
        <v>12557</v>
      </c>
      <c r="F3830" s="7">
        <f t="shared" si="241"/>
        <v>1</v>
      </c>
      <c r="G3830" s="7" t="s">
        <v>12558</v>
      </c>
      <c r="H3830" s="7">
        <f t="shared" si="242"/>
        <v>0</v>
      </c>
      <c r="I3830" s="7" t="str" cm="1">
        <f t="array" ref="I3830">IFERROR(_xlfn.IFS(M3830="נח",1,M3830="נע ונח",1,M3830="שני שווא נח",2,M3830="שני שוואים בסוף מילה",2,M3830="שני שוואים ברצף",1),"0")</f>
        <v>0</v>
      </c>
      <c r="J3830" s="9">
        <f t="shared" si="243"/>
        <v>3</v>
      </c>
      <c r="K3830" t="s">
        <v>6698</v>
      </c>
      <c r="L3830" t="s">
        <v>6694</v>
      </c>
      <c r="M3830" t="s">
        <v>6700</v>
      </c>
      <c r="P3830" t="s">
        <v>6694</v>
      </c>
      <c r="S3830" t="s">
        <v>6694</v>
      </c>
      <c r="W3830" t="s">
        <v>6720</v>
      </c>
    </row>
    <row r="3831" spans="1:23" ht="15.6" x14ac:dyDescent="0.4">
      <c r="A3831" s="2" t="s">
        <v>895</v>
      </c>
      <c r="B3831" s="5" t="s">
        <v>10031</v>
      </c>
      <c r="C3831" s="7" t="s">
        <v>12556</v>
      </c>
      <c r="D3831" s="8">
        <f t="shared" si="240"/>
        <v>0</v>
      </c>
      <c r="E3831" s="7" t="s">
        <v>12557</v>
      </c>
      <c r="F3831" s="7">
        <f t="shared" si="241"/>
        <v>2</v>
      </c>
      <c r="G3831" s="7" t="s">
        <v>12558</v>
      </c>
      <c r="H3831" s="7">
        <f t="shared" si="242"/>
        <v>0</v>
      </c>
      <c r="I3831" s="7" cm="1">
        <f t="array" ref="I3831">IFERROR(_xlfn.IFS(M3831="נח",1,M3831="נע ונח",1,M3831="שני שווא נח",2,M3831="שני שוואים בסוף מילה",2,M3831="שני שוואים ברצף",1),"0")</f>
        <v>1</v>
      </c>
      <c r="J3831" s="9">
        <f t="shared" si="243"/>
        <v>4</v>
      </c>
      <c r="K3831" t="s">
        <v>6697</v>
      </c>
      <c r="L3831" t="s">
        <v>6694</v>
      </c>
      <c r="M3831" t="s">
        <v>6702</v>
      </c>
      <c r="O3831" t="s">
        <v>6694</v>
      </c>
      <c r="P3831" t="s">
        <v>6694</v>
      </c>
      <c r="W3831" t="s">
        <v>6720</v>
      </c>
    </row>
    <row r="3832" spans="1:23" ht="15.6" x14ac:dyDescent="0.4">
      <c r="A3832" s="2" t="s">
        <v>3876</v>
      </c>
      <c r="B3832" s="5" t="s">
        <v>10031</v>
      </c>
      <c r="C3832" s="7" t="s">
        <v>12556</v>
      </c>
      <c r="D3832" s="8">
        <f t="shared" si="240"/>
        <v>0</v>
      </c>
      <c r="E3832" s="7" t="s">
        <v>12557</v>
      </c>
      <c r="F3832" s="7">
        <f t="shared" si="241"/>
        <v>2</v>
      </c>
      <c r="G3832" s="7" t="s">
        <v>12558</v>
      </c>
      <c r="H3832" s="7">
        <f t="shared" si="242"/>
        <v>0</v>
      </c>
      <c r="I3832" s="7" cm="1">
        <f t="array" ref="I3832">IFERROR(_xlfn.IFS(M3832="נח",1,M3832="נע ונח",1,M3832="שני שווא נח",2,M3832="שני שוואים בסוף מילה",2,M3832="שני שוואים ברצף",1),"0")</f>
        <v>1</v>
      </c>
      <c r="J3832" s="9">
        <f t="shared" si="243"/>
        <v>4</v>
      </c>
      <c r="K3832" t="s">
        <v>6697</v>
      </c>
      <c r="L3832" t="s">
        <v>6694</v>
      </c>
      <c r="M3832" t="s">
        <v>6701</v>
      </c>
      <c r="O3832" t="s">
        <v>6694</v>
      </c>
      <c r="P3832" t="s">
        <v>6694</v>
      </c>
      <c r="R3832" t="s">
        <v>6694</v>
      </c>
      <c r="W3832" t="s">
        <v>6720</v>
      </c>
    </row>
    <row r="3833" spans="1:23" ht="15.6" x14ac:dyDescent="0.4">
      <c r="A3833" s="2" t="s">
        <v>3266</v>
      </c>
      <c r="B3833" s="5" t="s">
        <v>10094</v>
      </c>
      <c r="C3833" s="7" t="s">
        <v>12556</v>
      </c>
      <c r="D3833" s="8">
        <f t="shared" si="240"/>
        <v>0</v>
      </c>
      <c r="E3833" s="7" t="s">
        <v>12557</v>
      </c>
      <c r="F3833" s="7">
        <f t="shared" si="241"/>
        <v>1</v>
      </c>
      <c r="G3833" s="7" t="s">
        <v>12558</v>
      </c>
      <c r="H3833" s="7">
        <f t="shared" si="242"/>
        <v>0</v>
      </c>
      <c r="I3833" s="7" t="str" cm="1">
        <f t="array" ref="I3833">IFERROR(_xlfn.IFS(M3833="נח",1,M3833="נע ונח",1,M3833="שני שווא נח",2,M3833="שני שוואים בסוף מילה",2,M3833="שני שוואים ברצף",1),"0")</f>
        <v>0</v>
      </c>
      <c r="J3833" s="9">
        <f t="shared" si="243"/>
        <v>3</v>
      </c>
      <c r="K3833" t="s">
        <v>6698</v>
      </c>
      <c r="L3833" t="s">
        <v>6694</v>
      </c>
      <c r="M3833" t="s">
        <v>6700</v>
      </c>
      <c r="N3833" t="s">
        <v>6706</v>
      </c>
      <c r="O3833" t="s">
        <v>6694</v>
      </c>
      <c r="W3833" t="s">
        <v>6720</v>
      </c>
    </row>
    <row r="3834" spans="1:23" ht="15.6" x14ac:dyDescent="0.4">
      <c r="A3834" s="2" t="s">
        <v>3024</v>
      </c>
      <c r="B3834" s="5" t="s">
        <v>10095</v>
      </c>
      <c r="C3834" s="7" t="s">
        <v>12556</v>
      </c>
      <c r="D3834" s="8">
        <f t="shared" si="240"/>
        <v>0</v>
      </c>
      <c r="E3834" s="7" t="s">
        <v>12557</v>
      </c>
      <c r="F3834" s="7">
        <f t="shared" si="241"/>
        <v>1</v>
      </c>
      <c r="G3834" s="7" t="s">
        <v>12558</v>
      </c>
      <c r="H3834" s="7">
        <f t="shared" si="242"/>
        <v>0</v>
      </c>
      <c r="I3834" s="7" t="str" cm="1">
        <f t="array" ref="I3834">IFERROR(_xlfn.IFS(M3834="נח",1,M3834="נע ונח",1,M3834="שני שווא נח",2,M3834="שני שוואים בסוף מילה",2,M3834="שני שוואים ברצף",1),"0")</f>
        <v>0</v>
      </c>
      <c r="J3834" s="9">
        <f t="shared" si="243"/>
        <v>4</v>
      </c>
      <c r="K3834" t="s">
        <v>6698</v>
      </c>
      <c r="L3834" t="s">
        <v>6694</v>
      </c>
      <c r="M3834" t="s">
        <v>6703</v>
      </c>
      <c r="S3834" t="s">
        <v>6694</v>
      </c>
      <c r="V3834" t="s">
        <v>6694</v>
      </c>
      <c r="W3834" t="s">
        <v>6720</v>
      </c>
    </row>
    <row r="3835" spans="1:23" ht="15.6" x14ac:dyDescent="0.4">
      <c r="A3835" s="2" t="s">
        <v>1853</v>
      </c>
      <c r="B3835" s="5" t="s">
        <v>10096</v>
      </c>
      <c r="C3835" s="7" t="s">
        <v>12556</v>
      </c>
      <c r="D3835" s="8">
        <f t="shared" si="240"/>
        <v>0</v>
      </c>
      <c r="E3835" s="7" t="s">
        <v>12557</v>
      </c>
      <c r="F3835" s="7">
        <f t="shared" si="241"/>
        <v>1</v>
      </c>
      <c r="G3835" s="7" t="s">
        <v>12558</v>
      </c>
      <c r="H3835" s="7">
        <f t="shared" si="242"/>
        <v>0</v>
      </c>
      <c r="I3835" s="7" t="str" cm="1">
        <f t="array" ref="I3835">IFERROR(_xlfn.IFS(M3835="נח",1,M3835="נע ונח",1,M3835="שני שווא נח",2,M3835="שני שוואים בסוף מילה",2,M3835="שני שוואים ברצף",1),"0")</f>
        <v>0</v>
      </c>
      <c r="J3835" s="9">
        <f t="shared" si="243"/>
        <v>2</v>
      </c>
      <c r="K3835" t="s">
        <v>6698</v>
      </c>
      <c r="L3835" t="s">
        <v>6694</v>
      </c>
      <c r="M3835" t="s">
        <v>6700</v>
      </c>
      <c r="S3835" t="s">
        <v>6694</v>
      </c>
      <c r="W3835" t="s">
        <v>6720</v>
      </c>
    </row>
    <row r="3836" spans="1:23" ht="15.6" x14ac:dyDescent="0.4">
      <c r="A3836" s="2" t="s">
        <v>2985</v>
      </c>
      <c r="B3836" s="5" t="s">
        <v>10097</v>
      </c>
      <c r="C3836" s="7" t="s">
        <v>12556</v>
      </c>
      <c r="D3836" s="8">
        <f t="shared" si="240"/>
        <v>0</v>
      </c>
      <c r="E3836" s="7" t="s">
        <v>12557</v>
      </c>
      <c r="F3836" s="7">
        <f t="shared" si="241"/>
        <v>1</v>
      </c>
      <c r="G3836" s="7" t="s">
        <v>12558</v>
      </c>
      <c r="H3836" s="7">
        <f t="shared" si="242"/>
        <v>0</v>
      </c>
      <c r="I3836" s="7" t="str" cm="1">
        <f t="array" ref="I3836">IFERROR(_xlfn.IFS(M3836="נח",1,M3836="נע ונח",1,M3836="שני שווא נח",2,M3836="שני שוואים בסוף מילה",2,M3836="שני שוואים ברצף",1),"0")</f>
        <v>0</v>
      </c>
      <c r="J3836" s="9">
        <f t="shared" si="243"/>
        <v>2</v>
      </c>
      <c r="K3836" t="s">
        <v>6698</v>
      </c>
      <c r="L3836" t="s">
        <v>6694</v>
      </c>
      <c r="M3836" t="s">
        <v>6700</v>
      </c>
      <c r="V3836" t="s">
        <v>6694</v>
      </c>
      <c r="W3836" t="s">
        <v>6720</v>
      </c>
    </row>
    <row r="3837" spans="1:23" ht="15.6" x14ac:dyDescent="0.4">
      <c r="A3837" s="2" t="s">
        <v>3482</v>
      </c>
      <c r="B3837" s="5" t="s">
        <v>10098</v>
      </c>
      <c r="C3837" s="7" t="s">
        <v>12556</v>
      </c>
      <c r="D3837" s="8">
        <f t="shared" si="240"/>
        <v>0</v>
      </c>
      <c r="E3837" s="7" t="s">
        <v>12557</v>
      </c>
      <c r="F3837" s="7">
        <f t="shared" si="241"/>
        <v>1</v>
      </c>
      <c r="G3837" s="7" t="s">
        <v>12558</v>
      </c>
      <c r="H3837" s="7">
        <f t="shared" si="242"/>
        <v>0</v>
      </c>
      <c r="I3837" s="7" t="str" cm="1">
        <f t="array" ref="I3837">IFERROR(_xlfn.IFS(M3837="נח",1,M3837="נע ונח",1,M3837="שני שווא נח",2,M3837="שני שוואים בסוף מילה",2,M3837="שני שוואים ברצף",1),"0")</f>
        <v>0</v>
      </c>
      <c r="J3837" s="9">
        <f t="shared" si="243"/>
        <v>2</v>
      </c>
      <c r="K3837" t="s">
        <v>6698</v>
      </c>
      <c r="L3837" t="s">
        <v>6694</v>
      </c>
      <c r="M3837" t="s">
        <v>6700</v>
      </c>
      <c r="N3837" t="s">
        <v>6706</v>
      </c>
      <c r="O3837" t="s">
        <v>6694</v>
      </c>
      <c r="W3837" t="s">
        <v>6720</v>
      </c>
    </row>
    <row r="3838" spans="1:23" ht="15.6" x14ac:dyDescent="0.4">
      <c r="A3838" s="2" t="s">
        <v>5017</v>
      </c>
      <c r="B3838" s="5" t="s">
        <v>10032</v>
      </c>
      <c r="C3838" s="7" t="s">
        <v>12556</v>
      </c>
      <c r="D3838" s="8">
        <f t="shared" si="240"/>
        <v>0</v>
      </c>
      <c r="E3838" s="7" t="s">
        <v>12557</v>
      </c>
      <c r="F3838" s="7">
        <f t="shared" si="241"/>
        <v>2</v>
      </c>
      <c r="G3838" s="7" t="s">
        <v>12558</v>
      </c>
      <c r="H3838" s="7">
        <f t="shared" si="242"/>
        <v>0</v>
      </c>
      <c r="I3838" s="7" t="str" cm="1">
        <f t="array" ref="I3838">IFERROR(_xlfn.IFS(M3838="נח",1,M3838="נע ונח",1,M3838="שני שווא נח",2,M3838="שני שוואים בסוף מילה",2,M3838="שני שוואים ברצף",1),"0")</f>
        <v>0</v>
      </c>
      <c r="J3838" s="9">
        <f t="shared" si="243"/>
        <v>3</v>
      </c>
      <c r="K3838" t="s">
        <v>6697</v>
      </c>
      <c r="L3838" t="s">
        <v>6694</v>
      </c>
      <c r="M3838" t="s">
        <v>6700</v>
      </c>
      <c r="O3838" t="s">
        <v>6694</v>
      </c>
      <c r="S3838" t="s">
        <v>6694</v>
      </c>
      <c r="W3838" t="s">
        <v>6720</v>
      </c>
    </row>
    <row r="3839" spans="1:23" ht="15.6" x14ac:dyDescent="0.4">
      <c r="A3839" s="2" t="s">
        <v>3645</v>
      </c>
      <c r="B3839" s="5" t="s">
        <v>10099</v>
      </c>
      <c r="C3839" s="7" t="s">
        <v>12556</v>
      </c>
      <c r="D3839" s="8">
        <f t="shared" si="240"/>
        <v>0</v>
      </c>
      <c r="E3839" s="7" t="s">
        <v>12557</v>
      </c>
      <c r="F3839" s="7">
        <f t="shared" si="241"/>
        <v>2</v>
      </c>
      <c r="G3839" s="7" t="s">
        <v>12558</v>
      </c>
      <c r="H3839" s="7">
        <f t="shared" si="242"/>
        <v>0</v>
      </c>
      <c r="I3839" s="7" t="str" cm="1">
        <f t="array" ref="I3839">IFERROR(_xlfn.IFS(M3839="נח",1,M3839="נע ונח",1,M3839="שני שווא נח",2,M3839="שני שוואים בסוף מילה",2,M3839="שני שוואים ברצף",1),"0")</f>
        <v>0</v>
      </c>
      <c r="J3839" s="9">
        <f t="shared" si="243"/>
        <v>4</v>
      </c>
      <c r="K3839" t="s">
        <v>6697</v>
      </c>
      <c r="L3839" t="s">
        <v>6694</v>
      </c>
      <c r="M3839" t="s">
        <v>6700</v>
      </c>
      <c r="O3839" t="s">
        <v>6694</v>
      </c>
      <c r="S3839" t="s">
        <v>6694</v>
      </c>
      <c r="W3839" t="s">
        <v>6720</v>
      </c>
    </row>
    <row r="3840" spans="1:23" ht="15.6" x14ac:dyDescent="0.4">
      <c r="A3840" s="2" t="s">
        <v>1892</v>
      </c>
      <c r="B3840" s="5" t="s">
        <v>10100</v>
      </c>
      <c r="C3840" s="7" t="s">
        <v>12556</v>
      </c>
      <c r="D3840" s="8">
        <f t="shared" si="240"/>
        <v>0</v>
      </c>
      <c r="E3840" s="7" t="s">
        <v>12557</v>
      </c>
      <c r="F3840" s="7">
        <f t="shared" si="241"/>
        <v>1</v>
      </c>
      <c r="G3840" s="7" t="s">
        <v>12558</v>
      </c>
      <c r="H3840" s="7">
        <f t="shared" si="242"/>
        <v>0</v>
      </c>
      <c r="I3840" s="7" t="str" cm="1">
        <f t="array" ref="I3840">IFERROR(_xlfn.IFS(M3840="נח",1,M3840="נע ונח",1,M3840="שני שווא נח",2,M3840="שני שוואים בסוף מילה",2,M3840="שני שוואים ברצף",1),"0")</f>
        <v>0</v>
      </c>
      <c r="J3840" s="9">
        <f t="shared" si="243"/>
        <v>2</v>
      </c>
      <c r="K3840" t="s">
        <v>6698</v>
      </c>
      <c r="L3840" t="s">
        <v>6694</v>
      </c>
      <c r="M3840" t="s">
        <v>6700</v>
      </c>
      <c r="Q3840" t="s">
        <v>6694</v>
      </c>
      <c r="W3840" t="s">
        <v>6720</v>
      </c>
    </row>
    <row r="3841" spans="1:23" ht="15.6" x14ac:dyDescent="0.4">
      <c r="A3841" s="2" t="s">
        <v>5888</v>
      </c>
      <c r="B3841" s="5" t="s">
        <v>10101</v>
      </c>
      <c r="C3841" s="7" t="s">
        <v>12556</v>
      </c>
      <c r="D3841" s="8">
        <f t="shared" si="240"/>
        <v>0</v>
      </c>
      <c r="E3841" s="7" t="s">
        <v>12557</v>
      </c>
      <c r="F3841" s="7">
        <f t="shared" si="241"/>
        <v>1</v>
      </c>
      <c r="G3841" s="7" t="s">
        <v>12558</v>
      </c>
      <c r="H3841" s="7">
        <f t="shared" si="242"/>
        <v>0</v>
      </c>
      <c r="I3841" s="7" t="str" cm="1">
        <f t="array" ref="I3841">IFERROR(_xlfn.IFS(M3841="נח",1,M3841="נע ונח",1,M3841="שני שווא נח",2,M3841="שני שוואים בסוף מילה",2,M3841="שני שוואים ברצף",1),"0")</f>
        <v>0</v>
      </c>
      <c r="J3841" s="9">
        <f t="shared" si="243"/>
        <v>3</v>
      </c>
      <c r="K3841" t="s">
        <v>6698</v>
      </c>
      <c r="L3841" t="s">
        <v>6694</v>
      </c>
      <c r="M3841" t="s">
        <v>6700</v>
      </c>
      <c r="O3841" t="s">
        <v>6694</v>
      </c>
      <c r="S3841" t="s">
        <v>6694</v>
      </c>
      <c r="W3841" t="s">
        <v>6720</v>
      </c>
    </row>
    <row r="3842" spans="1:23" ht="15.6" x14ac:dyDescent="0.4">
      <c r="A3842" s="2" t="s">
        <v>4558</v>
      </c>
      <c r="B3842" s="5" t="s">
        <v>10102</v>
      </c>
      <c r="C3842" s="7" t="s">
        <v>12556</v>
      </c>
      <c r="D3842" s="8">
        <f t="shared" si="240"/>
        <v>0</v>
      </c>
      <c r="E3842" s="7" t="s">
        <v>12557</v>
      </c>
      <c r="F3842" s="7">
        <f t="shared" si="241"/>
        <v>1</v>
      </c>
      <c r="G3842" s="7" t="s">
        <v>12558</v>
      </c>
      <c r="H3842" s="7">
        <f t="shared" si="242"/>
        <v>0</v>
      </c>
      <c r="I3842" s="7" t="str" cm="1">
        <f t="array" ref="I3842">IFERROR(_xlfn.IFS(M3842="נח",1,M3842="נע ונח",1,M3842="שני שווא נח",2,M3842="שני שוואים בסוף מילה",2,M3842="שני שוואים ברצף",1),"0")</f>
        <v>0</v>
      </c>
      <c r="J3842" s="9">
        <f t="shared" si="243"/>
        <v>4</v>
      </c>
      <c r="K3842" t="s">
        <v>6697</v>
      </c>
      <c r="L3842" t="s">
        <v>6694</v>
      </c>
      <c r="M3842" t="s">
        <v>6700</v>
      </c>
      <c r="O3842" t="s">
        <v>6694</v>
      </c>
      <c r="R3842" t="s">
        <v>6694</v>
      </c>
      <c r="W3842" t="s">
        <v>6720</v>
      </c>
    </row>
    <row r="3843" spans="1:23" ht="15.6" x14ac:dyDescent="0.4">
      <c r="A3843" s="2" t="s">
        <v>5642</v>
      </c>
      <c r="B3843" s="5" t="s">
        <v>10103</v>
      </c>
      <c r="C3843" s="7" t="s">
        <v>12556</v>
      </c>
      <c r="D3843" s="8">
        <f t="shared" ref="D3843:D3906" si="244">(LEN(B3843)-LEN(SUBSTITUTE(B3843,C3843,"")))</f>
        <v>0</v>
      </c>
      <c r="E3843" s="7" t="s">
        <v>12557</v>
      </c>
      <c r="F3843" s="7">
        <f t="shared" ref="F3843:F3906" si="245">(LEN(A3843)-LEN(SUBSTITUTE(A3843,E3843,"")))</f>
        <v>1</v>
      </c>
      <c r="G3843" s="7" t="s">
        <v>12558</v>
      </c>
      <c r="H3843" s="7">
        <f t="shared" ref="H3843:H3906" si="246">(LEN(A3843)-LEN(SUBSTITUTE(A3843,G3843,"")))/2</f>
        <v>0</v>
      </c>
      <c r="I3843" s="7" t="str" cm="1">
        <f t="array" ref="I3843">IFERROR(_xlfn.IFS(M3843="נח",1,M3843="נע ונח",1,M3843="שני שווא נח",2,M3843="שני שוואים בסוף מילה",2,M3843="שני שוואים ברצף",1),"0")</f>
        <v>0</v>
      </c>
      <c r="J3843" s="9">
        <f t="shared" ref="J3843:J3906" si="247">LEN(A3843)-(LEN(B3843))-D3843-F3843+H3843-I3843</f>
        <v>3</v>
      </c>
      <c r="K3843" t="s">
        <v>6697</v>
      </c>
      <c r="L3843" t="s">
        <v>6694</v>
      </c>
      <c r="M3843" t="s">
        <v>6700</v>
      </c>
      <c r="Q3843" t="s">
        <v>6694</v>
      </c>
      <c r="S3843" t="s">
        <v>6694</v>
      </c>
      <c r="W3843" t="s">
        <v>6720</v>
      </c>
    </row>
    <row r="3844" spans="1:23" ht="15.6" x14ac:dyDescent="0.4">
      <c r="A3844" s="2" t="s">
        <v>3395</v>
      </c>
      <c r="B3844" s="5" t="s">
        <v>10104</v>
      </c>
      <c r="C3844" s="7" t="s">
        <v>12556</v>
      </c>
      <c r="D3844" s="8">
        <f t="shared" si="244"/>
        <v>0</v>
      </c>
      <c r="E3844" s="7" t="s">
        <v>12557</v>
      </c>
      <c r="F3844" s="7">
        <f t="shared" si="245"/>
        <v>1</v>
      </c>
      <c r="G3844" s="7" t="s">
        <v>12558</v>
      </c>
      <c r="H3844" s="7">
        <f t="shared" si="246"/>
        <v>0</v>
      </c>
      <c r="I3844" s="7" t="str" cm="1">
        <f t="array" ref="I3844">IFERROR(_xlfn.IFS(M3844="נח",1,M3844="נע ונח",1,M3844="שני שווא נח",2,M3844="שני שוואים בסוף מילה",2,M3844="שני שוואים ברצף",1),"0")</f>
        <v>0</v>
      </c>
      <c r="J3844" s="9">
        <f t="shared" si="247"/>
        <v>2</v>
      </c>
      <c r="K3844" t="s">
        <v>6698</v>
      </c>
      <c r="L3844" t="s">
        <v>6694</v>
      </c>
      <c r="M3844" t="s">
        <v>6700</v>
      </c>
      <c r="Q3844" t="s">
        <v>6694</v>
      </c>
      <c r="W3844" t="s">
        <v>6720</v>
      </c>
    </row>
    <row r="3845" spans="1:23" ht="15.6" x14ac:dyDescent="0.4">
      <c r="A3845" s="2" t="s">
        <v>5606</v>
      </c>
      <c r="B3845" s="5" t="s">
        <v>10105</v>
      </c>
      <c r="C3845" s="7" t="s">
        <v>12556</v>
      </c>
      <c r="D3845" s="8">
        <f t="shared" si="244"/>
        <v>0</v>
      </c>
      <c r="E3845" s="7" t="s">
        <v>12557</v>
      </c>
      <c r="F3845" s="7">
        <f t="shared" si="245"/>
        <v>1</v>
      </c>
      <c r="G3845" s="7" t="s">
        <v>12558</v>
      </c>
      <c r="H3845" s="7">
        <f t="shared" si="246"/>
        <v>0</v>
      </c>
      <c r="I3845" s="7" t="str" cm="1">
        <f t="array" ref="I3845">IFERROR(_xlfn.IFS(M3845="נח",1,M3845="נע ונח",1,M3845="שני שווא נח",2,M3845="שני שוואים בסוף מילה",2,M3845="שני שוואים ברצף",1),"0")</f>
        <v>0</v>
      </c>
      <c r="J3845" s="9">
        <f t="shared" si="247"/>
        <v>3</v>
      </c>
      <c r="K3845" t="s">
        <v>6698</v>
      </c>
      <c r="L3845" t="s">
        <v>6694</v>
      </c>
      <c r="M3845" t="s">
        <v>6700</v>
      </c>
      <c r="Q3845" t="s">
        <v>6694</v>
      </c>
      <c r="W3845" t="s">
        <v>6720</v>
      </c>
    </row>
    <row r="3846" spans="1:23" ht="15.6" x14ac:dyDescent="0.4">
      <c r="A3846" s="2" t="s">
        <v>4993</v>
      </c>
      <c r="B3846" s="5" t="s">
        <v>10106</v>
      </c>
      <c r="C3846" s="7" t="s">
        <v>12556</v>
      </c>
      <c r="D3846" s="8">
        <f t="shared" si="244"/>
        <v>0</v>
      </c>
      <c r="E3846" s="7" t="s">
        <v>12557</v>
      </c>
      <c r="F3846" s="7">
        <f t="shared" si="245"/>
        <v>2</v>
      </c>
      <c r="G3846" s="7" t="s">
        <v>12558</v>
      </c>
      <c r="H3846" s="7">
        <f t="shared" si="246"/>
        <v>0</v>
      </c>
      <c r="I3846" s="7" t="str" cm="1">
        <f t="array" ref="I3846">IFERROR(_xlfn.IFS(M3846="נח",1,M3846="נע ונח",1,M3846="שני שווא נח",2,M3846="שני שוואים בסוף מילה",2,M3846="שני שוואים ברצף",1),"0")</f>
        <v>0</v>
      </c>
      <c r="J3846" s="9">
        <f t="shared" si="247"/>
        <v>3</v>
      </c>
      <c r="K3846" t="s">
        <v>6697</v>
      </c>
      <c r="L3846" t="s">
        <v>6694</v>
      </c>
      <c r="M3846" t="s">
        <v>6700</v>
      </c>
      <c r="P3846" t="s">
        <v>6694</v>
      </c>
      <c r="V3846" t="s">
        <v>6694</v>
      </c>
      <c r="W3846" t="s">
        <v>6720</v>
      </c>
    </row>
    <row r="3847" spans="1:23" ht="15.6" x14ac:dyDescent="0.4">
      <c r="A3847" s="2" t="s">
        <v>2675</v>
      </c>
      <c r="B3847" s="5" t="s">
        <v>10107</v>
      </c>
      <c r="C3847" s="7" t="s">
        <v>12556</v>
      </c>
      <c r="D3847" s="8">
        <f t="shared" si="244"/>
        <v>1</v>
      </c>
      <c r="E3847" s="7" t="s">
        <v>12557</v>
      </c>
      <c r="F3847" s="7">
        <f t="shared" si="245"/>
        <v>1</v>
      </c>
      <c r="G3847" s="7" t="s">
        <v>12558</v>
      </c>
      <c r="H3847" s="7">
        <f t="shared" si="246"/>
        <v>0</v>
      </c>
      <c r="I3847" s="7" t="str" cm="1">
        <f t="array" ref="I3847">IFERROR(_xlfn.IFS(M3847="נח",1,M3847="נע ונח",1,M3847="שני שווא נח",2,M3847="שני שוואים בסוף מילה",2,M3847="שני שוואים ברצף",1),"0")</f>
        <v>0</v>
      </c>
      <c r="J3847" s="9">
        <f t="shared" si="247"/>
        <v>4</v>
      </c>
      <c r="K3847" t="s">
        <v>6697</v>
      </c>
      <c r="L3847" t="s">
        <v>6694</v>
      </c>
      <c r="M3847" t="s">
        <v>6700</v>
      </c>
      <c r="P3847" t="s">
        <v>6694</v>
      </c>
      <c r="Q3847" t="s">
        <v>6694</v>
      </c>
      <c r="W3847" t="s">
        <v>6720</v>
      </c>
    </row>
    <row r="3848" spans="1:23" ht="15.6" x14ac:dyDescent="0.4">
      <c r="A3848" s="2" t="s">
        <v>6466</v>
      </c>
      <c r="B3848" s="5" t="s">
        <v>10108</v>
      </c>
      <c r="C3848" s="7" t="s">
        <v>12556</v>
      </c>
      <c r="D3848" s="8">
        <f t="shared" si="244"/>
        <v>1</v>
      </c>
      <c r="E3848" s="7" t="s">
        <v>12557</v>
      </c>
      <c r="F3848" s="7">
        <f t="shared" si="245"/>
        <v>2</v>
      </c>
      <c r="G3848" s="7" t="s">
        <v>12558</v>
      </c>
      <c r="H3848" s="7">
        <f t="shared" si="246"/>
        <v>1</v>
      </c>
      <c r="I3848" s="7" t="str" cm="1">
        <f t="array" ref="I3848">IFERROR(_xlfn.IFS(M3848="נח",1,M3848="נע ונח",1,M3848="שני שווא נח",2,M3848="שני שוואים בסוף מילה",2,M3848="שני שוואים ברצף",1),"0")</f>
        <v>0</v>
      </c>
      <c r="J3848" s="9">
        <f t="shared" si="247"/>
        <v>5</v>
      </c>
      <c r="K3848" t="s">
        <v>6697</v>
      </c>
      <c r="L3848" t="s">
        <v>6694</v>
      </c>
      <c r="M3848" t="s">
        <v>6700</v>
      </c>
      <c r="P3848" t="s">
        <v>6694</v>
      </c>
      <c r="Q3848" t="s">
        <v>6694</v>
      </c>
      <c r="U3848" t="s">
        <v>6694</v>
      </c>
      <c r="W3848" t="s">
        <v>6720</v>
      </c>
    </row>
    <row r="3849" spans="1:23" ht="15.6" x14ac:dyDescent="0.4">
      <c r="A3849" s="2" t="s">
        <v>5274</v>
      </c>
      <c r="B3849" s="5" t="s">
        <v>10109</v>
      </c>
      <c r="C3849" s="7" t="s">
        <v>12556</v>
      </c>
      <c r="D3849" s="8">
        <f t="shared" si="244"/>
        <v>1</v>
      </c>
      <c r="E3849" s="7" t="s">
        <v>12557</v>
      </c>
      <c r="F3849" s="7">
        <f t="shared" si="245"/>
        <v>2</v>
      </c>
      <c r="G3849" s="7" t="s">
        <v>12558</v>
      </c>
      <c r="H3849" s="7">
        <f t="shared" si="246"/>
        <v>0</v>
      </c>
      <c r="I3849" s="7" t="str" cm="1">
        <f t="array" ref="I3849">IFERROR(_xlfn.IFS(M3849="נח",1,M3849="נע ונח",1,M3849="שני שווא נח",2,M3849="שני שוואים בסוף מילה",2,M3849="שני שוואים ברצף",1),"0")</f>
        <v>0</v>
      </c>
      <c r="J3849" s="9">
        <f t="shared" si="247"/>
        <v>3</v>
      </c>
      <c r="K3849" t="s">
        <v>6697</v>
      </c>
      <c r="L3849" t="s">
        <v>6694</v>
      </c>
      <c r="M3849" t="s">
        <v>6700</v>
      </c>
      <c r="O3849" t="s">
        <v>6694</v>
      </c>
      <c r="P3849" t="s">
        <v>6694</v>
      </c>
      <c r="W3849" t="s">
        <v>6720</v>
      </c>
    </row>
    <row r="3850" spans="1:23" ht="15.6" x14ac:dyDescent="0.4">
      <c r="A3850" s="2" t="s">
        <v>3083</v>
      </c>
      <c r="B3850" s="5" t="s">
        <v>10110</v>
      </c>
      <c r="C3850" s="7" t="s">
        <v>12556</v>
      </c>
      <c r="D3850" s="8">
        <f t="shared" si="244"/>
        <v>0</v>
      </c>
      <c r="E3850" s="7" t="s">
        <v>12557</v>
      </c>
      <c r="F3850" s="7">
        <f t="shared" si="245"/>
        <v>1</v>
      </c>
      <c r="G3850" s="7" t="s">
        <v>12558</v>
      </c>
      <c r="H3850" s="7">
        <f t="shared" si="246"/>
        <v>0</v>
      </c>
      <c r="I3850" s="7" t="str" cm="1">
        <f t="array" ref="I3850">IFERROR(_xlfn.IFS(M3850="נח",1,M3850="נע ונח",1,M3850="שני שווא נח",2,M3850="שני שוואים בסוף מילה",2,M3850="שני שוואים ברצף",1),"0")</f>
        <v>0</v>
      </c>
      <c r="J3850" s="9">
        <f t="shared" si="247"/>
        <v>3</v>
      </c>
      <c r="K3850" t="s">
        <v>6698</v>
      </c>
      <c r="L3850" t="s">
        <v>6694</v>
      </c>
      <c r="M3850" t="s">
        <v>6700</v>
      </c>
      <c r="N3850" t="s">
        <v>6706</v>
      </c>
      <c r="O3850" t="s">
        <v>6694</v>
      </c>
      <c r="W3850" t="s">
        <v>6720</v>
      </c>
    </row>
    <row r="3851" spans="1:23" ht="15.6" x14ac:dyDescent="0.4">
      <c r="A3851" s="2" t="s">
        <v>962</v>
      </c>
      <c r="B3851" s="5" t="s">
        <v>10111</v>
      </c>
      <c r="C3851" s="7" t="s">
        <v>12556</v>
      </c>
      <c r="D3851" s="8">
        <f t="shared" si="244"/>
        <v>0</v>
      </c>
      <c r="E3851" s="7" t="s">
        <v>12557</v>
      </c>
      <c r="F3851" s="7">
        <f t="shared" si="245"/>
        <v>1</v>
      </c>
      <c r="G3851" s="7" t="s">
        <v>12558</v>
      </c>
      <c r="H3851" s="7">
        <f t="shared" si="246"/>
        <v>0</v>
      </c>
      <c r="I3851" s="7" t="str" cm="1">
        <f t="array" ref="I3851">IFERROR(_xlfn.IFS(M3851="נח",1,M3851="נע ונח",1,M3851="שני שווא נח",2,M3851="שני שוואים בסוף מילה",2,M3851="שני שוואים ברצף",1),"0")</f>
        <v>0</v>
      </c>
      <c r="J3851" s="9">
        <f t="shared" si="247"/>
        <v>2</v>
      </c>
      <c r="K3851" t="s">
        <v>6698</v>
      </c>
      <c r="L3851" t="s">
        <v>6694</v>
      </c>
      <c r="M3851" t="s">
        <v>6700</v>
      </c>
      <c r="V3851" t="s">
        <v>6694</v>
      </c>
      <c r="W3851" t="s">
        <v>6720</v>
      </c>
    </row>
    <row r="3852" spans="1:23" ht="15.6" x14ac:dyDescent="0.4">
      <c r="A3852" s="2" t="s">
        <v>4139</v>
      </c>
      <c r="B3852" s="5" t="s">
        <v>10033</v>
      </c>
      <c r="C3852" s="7" t="s">
        <v>12556</v>
      </c>
      <c r="D3852" s="8">
        <f t="shared" si="244"/>
        <v>0</v>
      </c>
      <c r="E3852" s="7" t="s">
        <v>12557</v>
      </c>
      <c r="F3852" s="7">
        <f t="shared" si="245"/>
        <v>1</v>
      </c>
      <c r="G3852" s="7" t="s">
        <v>12558</v>
      </c>
      <c r="H3852" s="7">
        <f t="shared" si="246"/>
        <v>0</v>
      </c>
      <c r="I3852" s="7" t="str" cm="1">
        <f t="array" ref="I3852">IFERROR(_xlfn.IFS(M3852="נח",1,M3852="נע ונח",1,M3852="שני שווא נח",2,M3852="שני שוואים בסוף מילה",2,M3852="שני שוואים ברצף",1),"0")</f>
        <v>0</v>
      </c>
      <c r="J3852" s="9">
        <f t="shared" si="247"/>
        <v>2</v>
      </c>
      <c r="K3852" t="s">
        <v>6697</v>
      </c>
      <c r="L3852" t="s">
        <v>6694</v>
      </c>
      <c r="M3852" t="s">
        <v>6700</v>
      </c>
      <c r="V3852" t="s">
        <v>6694</v>
      </c>
      <c r="W3852" t="s">
        <v>6720</v>
      </c>
    </row>
    <row r="3853" spans="1:23" ht="15.6" x14ac:dyDescent="0.4">
      <c r="A3853" s="2" t="s">
        <v>1293</v>
      </c>
      <c r="B3853" s="5" t="s">
        <v>10112</v>
      </c>
      <c r="C3853" s="7" t="s">
        <v>12556</v>
      </c>
      <c r="D3853" s="8">
        <f t="shared" si="244"/>
        <v>0</v>
      </c>
      <c r="E3853" s="7" t="s">
        <v>12557</v>
      </c>
      <c r="F3853" s="7">
        <f t="shared" si="245"/>
        <v>1</v>
      </c>
      <c r="G3853" s="7" t="s">
        <v>12558</v>
      </c>
      <c r="H3853" s="7">
        <f t="shared" si="246"/>
        <v>0</v>
      </c>
      <c r="I3853" s="7" t="str" cm="1">
        <f t="array" ref="I3853">IFERROR(_xlfn.IFS(M3853="נח",1,M3853="נע ונח",1,M3853="שני שווא נח",2,M3853="שני שוואים בסוף מילה",2,M3853="שני שוואים ברצף",1),"0")</f>
        <v>0</v>
      </c>
      <c r="J3853" s="9">
        <f t="shared" si="247"/>
        <v>3</v>
      </c>
      <c r="K3853" t="s">
        <v>6698</v>
      </c>
      <c r="L3853" t="s">
        <v>6694</v>
      </c>
      <c r="M3853" t="s">
        <v>6700</v>
      </c>
      <c r="R3853" t="s">
        <v>6694</v>
      </c>
      <c r="V3853" t="s">
        <v>6694</v>
      </c>
      <c r="W3853" t="s">
        <v>6720</v>
      </c>
    </row>
    <row r="3854" spans="1:23" ht="15.6" x14ac:dyDescent="0.4">
      <c r="A3854" s="2" t="s">
        <v>480</v>
      </c>
      <c r="B3854" s="5" t="s">
        <v>10113</v>
      </c>
      <c r="C3854" s="7" t="s">
        <v>12556</v>
      </c>
      <c r="D3854" s="8">
        <f t="shared" si="244"/>
        <v>0</v>
      </c>
      <c r="E3854" s="7" t="s">
        <v>12557</v>
      </c>
      <c r="F3854" s="7">
        <f t="shared" si="245"/>
        <v>1</v>
      </c>
      <c r="G3854" s="7" t="s">
        <v>12558</v>
      </c>
      <c r="H3854" s="7">
        <f t="shared" si="246"/>
        <v>0</v>
      </c>
      <c r="I3854" s="7" t="str" cm="1">
        <f t="array" ref="I3854">IFERROR(_xlfn.IFS(M3854="נח",1,M3854="נע ונח",1,M3854="שני שווא נח",2,M3854="שני שוואים בסוף מילה",2,M3854="שני שוואים ברצף",1),"0")</f>
        <v>0</v>
      </c>
      <c r="J3854" s="9">
        <f t="shared" si="247"/>
        <v>3</v>
      </c>
      <c r="K3854" t="s">
        <v>6698</v>
      </c>
      <c r="L3854" t="s">
        <v>6694</v>
      </c>
      <c r="M3854" t="s">
        <v>6700</v>
      </c>
      <c r="Q3854" t="s">
        <v>6694</v>
      </c>
      <c r="V3854" t="s">
        <v>6694</v>
      </c>
      <c r="W3854" t="s">
        <v>6720</v>
      </c>
    </row>
    <row r="3855" spans="1:23" ht="15.6" x14ac:dyDescent="0.4">
      <c r="A3855" s="2" t="s">
        <v>1633</v>
      </c>
      <c r="B3855" s="5" t="s">
        <v>10114</v>
      </c>
      <c r="C3855" s="7" t="s">
        <v>12556</v>
      </c>
      <c r="D3855" s="8">
        <f t="shared" si="244"/>
        <v>0</v>
      </c>
      <c r="E3855" s="7" t="s">
        <v>12557</v>
      </c>
      <c r="F3855" s="7">
        <f t="shared" si="245"/>
        <v>1</v>
      </c>
      <c r="G3855" s="7" t="s">
        <v>12558</v>
      </c>
      <c r="H3855" s="7">
        <f t="shared" si="246"/>
        <v>0</v>
      </c>
      <c r="I3855" s="7" t="str" cm="1">
        <f t="array" ref="I3855">IFERROR(_xlfn.IFS(M3855="נח",1,M3855="נע ונח",1,M3855="שני שווא נח",2,M3855="שני שוואים בסוף מילה",2,M3855="שני שוואים ברצף",1),"0")</f>
        <v>0</v>
      </c>
      <c r="J3855" s="9">
        <f t="shared" si="247"/>
        <v>3</v>
      </c>
      <c r="K3855" t="s">
        <v>6698</v>
      </c>
      <c r="L3855" t="s">
        <v>6694</v>
      </c>
      <c r="M3855" t="s">
        <v>6700</v>
      </c>
      <c r="O3855" t="s">
        <v>6694</v>
      </c>
      <c r="P3855" t="s">
        <v>6694</v>
      </c>
      <c r="W3855" t="s">
        <v>6720</v>
      </c>
    </row>
    <row r="3856" spans="1:23" ht="15.6" x14ac:dyDescent="0.4">
      <c r="A3856" s="2" t="s">
        <v>842</v>
      </c>
      <c r="B3856" s="5" t="s">
        <v>10115</v>
      </c>
      <c r="C3856" s="7" t="s">
        <v>12556</v>
      </c>
      <c r="D3856" s="8">
        <f t="shared" si="244"/>
        <v>0</v>
      </c>
      <c r="E3856" s="7" t="s">
        <v>12557</v>
      </c>
      <c r="F3856" s="7">
        <f t="shared" si="245"/>
        <v>1</v>
      </c>
      <c r="G3856" s="7" t="s">
        <v>12558</v>
      </c>
      <c r="H3856" s="7">
        <f t="shared" si="246"/>
        <v>0</v>
      </c>
      <c r="I3856" s="7" t="str" cm="1">
        <f t="array" ref="I3856">IFERROR(_xlfn.IFS(M3856="נח",1,M3856="נע ונח",1,M3856="שני שווא נח",2,M3856="שני שוואים בסוף מילה",2,M3856="שני שוואים ברצף",1),"0")</f>
        <v>0</v>
      </c>
      <c r="J3856" s="9">
        <f t="shared" si="247"/>
        <v>4</v>
      </c>
      <c r="K3856" t="s">
        <v>6697</v>
      </c>
      <c r="L3856" t="s">
        <v>6694</v>
      </c>
      <c r="M3856" t="s">
        <v>6700</v>
      </c>
      <c r="O3856" t="s">
        <v>6694</v>
      </c>
      <c r="R3856" t="s">
        <v>6694</v>
      </c>
      <c r="W3856" t="s">
        <v>6720</v>
      </c>
    </row>
    <row r="3857" spans="1:23" ht="15.6" x14ac:dyDescent="0.4">
      <c r="A3857" s="2" t="s">
        <v>2310</v>
      </c>
      <c r="B3857" s="5" t="s">
        <v>10116</v>
      </c>
      <c r="C3857" s="7" t="s">
        <v>12556</v>
      </c>
      <c r="D3857" s="8">
        <f t="shared" si="244"/>
        <v>0</v>
      </c>
      <c r="E3857" s="7" t="s">
        <v>12557</v>
      </c>
      <c r="F3857" s="7">
        <f t="shared" si="245"/>
        <v>1</v>
      </c>
      <c r="G3857" s="7" t="s">
        <v>12558</v>
      </c>
      <c r="H3857" s="7">
        <f t="shared" si="246"/>
        <v>0</v>
      </c>
      <c r="I3857" s="7" t="str" cm="1">
        <f t="array" ref="I3857">IFERROR(_xlfn.IFS(M3857="נח",1,M3857="נע ונח",1,M3857="שני שווא נח",2,M3857="שני שוואים בסוף מילה",2,M3857="שני שוואים ברצף",1),"0")</f>
        <v>0</v>
      </c>
      <c r="J3857" s="9">
        <f t="shared" si="247"/>
        <v>3</v>
      </c>
      <c r="K3857" t="s">
        <v>6698</v>
      </c>
      <c r="L3857" t="s">
        <v>6694</v>
      </c>
      <c r="M3857" t="s">
        <v>6700</v>
      </c>
      <c r="N3857" t="s">
        <v>6706</v>
      </c>
      <c r="O3857" t="s">
        <v>6694</v>
      </c>
      <c r="W3857" t="s">
        <v>6720</v>
      </c>
    </row>
    <row r="3858" spans="1:23" ht="15.6" x14ac:dyDescent="0.4">
      <c r="A3858" s="2" t="s">
        <v>3834</v>
      </c>
      <c r="B3858" s="5" t="s">
        <v>10117</v>
      </c>
      <c r="C3858" s="7" t="s">
        <v>12556</v>
      </c>
      <c r="D3858" s="8">
        <f t="shared" si="244"/>
        <v>0</v>
      </c>
      <c r="E3858" s="7" t="s">
        <v>12557</v>
      </c>
      <c r="F3858" s="7">
        <f t="shared" si="245"/>
        <v>1</v>
      </c>
      <c r="G3858" s="7" t="s">
        <v>12558</v>
      </c>
      <c r="H3858" s="7">
        <f t="shared" si="246"/>
        <v>0</v>
      </c>
      <c r="I3858" s="7" t="str" cm="1">
        <f t="array" ref="I3858">IFERROR(_xlfn.IFS(M3858="נח",1,M3858="נע ונח",1,M3858="שני שווא נח",2,M3858="שני שוואים בסוף מילה",2,M3858="שני שוואים ברצף",1),"0")</f>
        <v>0</v>
      </c>
      <c r="J3858" s="9">
        <f t="shared" si="247"/>
        <v>2</v>
      </c>
      <c r="K3858" t="s">
        <v>6698</v>
      </c>
      <c r="L3858" t="s">
        <v>6694</v>
      </c>
      <c r="M3858" t="s">
        <v>6700</v>
      </c>
      <c r="S3858" t="s">
        <v>6694</v>
      </c>
      <c r="W3858" t="s">
        <v>6720</v>
      </c>
    </row>
    <row r="3859" spans="1:23" ht="15.6" x14ac:dyDescent="0.4">
      <c r="A3859" s="2" t="s">
        <v>4831</v>
      </c>
      <c r="B3859" s="5" t="s">
        <v>10118</v>
      </c>
      <c r="C3859" s="7" t="s">
        <v>12556</v>
      </c>
      <c r="D3859" s="8">
        <f t="shared" si="244"/>
        <v>0</v>
      </c>
      <c r="E3859" s="7" t="s">
        <v>12557</v>
      </c>
      <c r="F3859" s="7">
        <f t="shared" si="245"/>
        <v>2</v>
      </c>
      <c r="G3859" s="7" t="s">
        <v>12558</v>
      </c>
      <c r="H3859" s="7">
        <f t="shared" si="246"/>
        <v>1</v>
      </c>
      <c r="I3859" s="7" t="str" cm="1">
        <f t="array" ref="I3859">IFERROR(_xlfn.IFS(M3859="נח",1,M3859="נע ונח",1,M3859="שני שווא נח",2,M3859="שני שוואים בסוף מילה",2,M3859="שני שוואים ברצף",1),"0")</f>
        <v>0</v>
      </c>
      <c r="J3859" s="9">
        <f t="shared" si="247"/>
        <v>3</v>
      </c>
      <c r="K3859" t="s">
        <v>6697</v>
      </c>
      <c r="L3859" t="s">
        <v>6694</v>
      </c>
      <c r="M3859" t="s">
        <v>6700</v>
      </c>
      <c r="O3859" t="s">
        <v>6694</v>
      </c>
      <c r="U3859" t="s">
        <v>6694</v>
      </c>
      <c r="W3859" t="s">
        <v>6720</v>
      </c>
    </row>
    <row r="3860" spans="1:23" ht="15.6" x14ac:dyDescent="0.4">
      <c r="A3860" s="2" t="s">
        <v>2685</v>
      </c>
      <c r="B3860" s="5" t="s">
        <v>10119</v>
      </c>
      <c r="C3860" s="7" t="s">
        <v>12556</v>
      </c>
      <c r="D3860" s="8">
        <f t="shared" si="244"/>
        <v>0</v>
      </c>
      <c r="E3860" s="7" t="s">
        <v>12557</v>
      </c>
      <c r="F3860" s="7">
        <f t="shared" si="245"/>
        <v>2</v>
      </c>
      <c r="G3860" s="7" t="s">
        <v>12558</v>
      </c>
      <c r="H3860" s="7">
        <f t="shared" si="246"/>
        <v>1</v>
      </c>
      <c r="I3860" s="7" t="str" cm="1">
        <f t="array" ref="I3860">IFERROR(_xlfn.IFS(M3860="נח",1,M3860="נע ונח",1,M3860="שני שווא נח",2,M3860="שני שוואים בסוף מילה",2,M3860="שני שוואים ברצף",1),"0")</f>
        <v>0</v>
      </c>
      <c r="J3860" s="9">
        <f t="shared" si="247"/>
        <v>2</v>
      </c>
      <c r="K3860" t="s">
        <v>6698</v>
      </c>
      <c r="L3860" t="s">
        <v>6694</v>
      </c>
      <c r="M3860" t="s">
        <v>6700</v>
      </c>
      <c r="U3860" t="s">
        <v>6694</v>
      </c>
      <c r="W3860" t="s">
        <v>6720</v>
      </c>
    </row>
    <row r="3861" spans="1:23" ht="15.6" x14ac:dyDescent="0.4">
      <c r="A3861" s="2" t="s">
        <v>2722</v>
      </c>
      <c r="B3861" s="5" t="s">
        <v>10120</v>
      </c>
      <c r="C3861" s="7" t="s">
        <v>12556</v>
      </c>
      <c r="D3861" s="8">
        <f t="shared" si="244"/>
        <v>0</v>
      </c>
      <c r="E3861" s="7" t="s">
        <v>12557</v>
      </c>
      <c r="F3861" s="7">
        <f t="shared" si="245"/>
        <v>2</v>
      </c>
      <c r="G3861" s="7" t="s">
        <v>12558</v>
      </c>
      <c r="H3861" s="7">
        <f t="shared" si="246"/>
        <v>1</v>
      </c>
      <c r="I3861" s="7" t="str" cm="1">
        <f t="array" ref="I3861">IFERROR(_xlfn.IFS(M3861="נח",1,M3861="נע ונח",1,M3861="שני שווא נח",2,M3861="שני שוואים בסוף מילה",2,M3861="שני שוואים ברצף",1),"0")</f>
        <v>0</v>
      </c>
      <c r="J3861" s="9">
        <f t="shared" si="247"/>
        <v>2</v>
      </c>
      <c r="K3861" t="s">
        <v>6698</v>
      </c>
      <c r="L3861" t="s">
        <v>6694</v>
      </c>
      <c r="M3861" t="s">
        <v>6700</v>
      </c>
      <c r="U3861" t="s">
        <v>6694</v>
      </c>
      <c r="W3861" t="s">
        <v>6720</v>
      </c>
    </row>
    <row r="3862" spans="1:23" ht="15.6" x14ac:dyDescent="0.4">
      <c r="A3862" s="2" t="s">
        <v>176</v>
      </c>
      <c r="B3862" s="5" t="s">
        <v>10121</v>
      </c>
      <c r="C3862" s="7" t="s">
        <v>12556</v>
      </c>
      <c r="D3862" s="8">
        <f t="shared" si="244"/>
        <v>0</v>
      </c>
      <c r="E3862" s="7" t="s">
        <v>12557</v>
      </c>
      <c r="F3862" s="7">
        <f t="shared" si="245"/>
        <v>1</v>
      </c>
      <c r="G3862" s="7" t="s">
        <v>12558</v>
      </c>
      <c r="H3862" s="7">
        <f t="shared" si="246"/>
        <v>0</v>
      </c>
      <c r="I3862" s="7" t="str" cm="1">
        <f t="array" ref="I3862">IFERROR(_xlfn.IFS(M3862="נח",1,M3862="נע ונח",1,M3862="שני שווא נח",2,M3862="שני שוואים בסוף מילה",2,M3862="שני שוואים ברצף",1),"0")</f>
        <v>0</v>
      </c>
      <c r="J3862" s="9">
        <f t="shared" si="247"/>
        <v>2</v>
      </c>
      <c r="K3862" t="s">
        <v>6698</v>
      </c>
      <c r="L3862" t="s">
        <v>6694</v>
      </c>
      <c r="M3862" t="s">
        <v>6700</v>
      </c>
      <c r="Q3862" t="s">
        <v>6694</v>
      </c>
      <c r="W3862" t="s">
        <v>6720</v>
      </c>
    </row>
    <row r="3863" spans="1:23" ht="15.6" x14ac:dyDescent="0.4">
      <c r="A3863" s="2" t="s">
        <v>3125</v>
      </c>
      <c r="B3863" s="5" t="s">
        <v>10122</v>
      </c>
      <c r="C3863" s="7" t="s">
        <v>12556</v>
      </c>
      <c r="D3863" s="8">
        <f t="shared" si="244"/>
        <v>1</v>
      </c>
      <c r="E3863" s="7" t="s">
        <v>12557</v>
      </c>
      <c r="F3863" s="7">
        <f t="shared" si="245"/>
        <v>1</v>
      </c>
      <c r="G3863" s="7" t="s">
        <v>12558</v>
      </c>
      <c r="H3863" s="7">
        <f t="shared" si="246"/>
        <v>0</v>
      </c>
      <c r="I3863" s="7" t="str" cm="1">
        <f t="array" ref="I3863">IFERROR(_xlfn.IFS(M3863="נח",1,M3863="נע ונח",1,M3863="שני שווא נח",2,M3863="שני שוואים בסוף מילה",2,M3863="שני שוואים ברצף",1),"0")</f>
        <v>0</v>
      </c>
      <c r="J3863" s="9">
        <f t="shared" si="247"/>
        <v>3</v>
      </c>
      <c r="K3863" t="s">
        <v>6698</v>
      </c>
      <c r="L3863" t="s">
        <v>6694</v>
      </c>
      <c r="M3863" t="s">
        <v>6700</v>
      </c>
      <c r="Q3863" t="s">
        <v>6694</v>
      </c>
      <c r="R3863" t="s">
        <v>6694</v>
      </c>
      <c r="W3863" t="s">
        <v>6720</v>
      </c>
    </row>
    <row r="3864" spans="1:23" ht="15.6" x14ac:dyDescent="0.4">
      <c r="A3864" s="2" t="s">
        <v>4027</v>
      </c>
      <c r="B3864" s="5" t="s">
        <v>10123</v>
      </c>
      <c r="C3864" s="7" t="s">
        <v>12556</v>
      </c>
      <c r="D3864" s="8">
        <f t="shared" si="244"/>
        <v>0</v>
      </c>
      <c r="E3864" s="7" t="s">
        <v>12557</v>
      </c>
      <c r="F3864" s="7">
        <f t="shared" si="245"/>
        <v>2</v>
      </c>
      <c r="G3864" s="7" t="s">
        <v>12558</v>
      </c>
      <c r="H3864" s="7">
        <f t="shared" si="246"/>
        <v>0</v>
      </c>
      <c r="I3864" s="7" cm="1">
        <f t="array" ref="I3864">IFERROR(_xlfn.IFS(M3864="נח",1,M3864="נע ונח",1,M3864="שני שווא נח",2,M3864="שני שוואים בסוף מילה",2,M3864="שני שוואים ברצף",1),"0")</f>
        <v>1</v>
      </c>
      <c r="J3864" s="9">
        <f t="shared" si="247"/>
        <v>3</v>
      </c>
      <c r="K3864" t="s">
        <v>6697</v>
      </c>
      <c r="L3864" t="s">
        <v>6694</v>
      </c>
      <c r="M3864" t="s">
        <v>6701</v>
      </c>
      <c r="R3864" t="s">
        <v>6694</v>
      </c>
      <c r="S3864" t="s">
        <v>6694</v>
      </c>
      <c r="W3864" t="s">
        <v>6720</v>
      </c>
    </row>
    <row r="3865" spans="1:23" ht="15.6" x14ac:dyDescent="0.4">
      <c r="A3865" s="2" t="s">
        <v>248</v>
      </c>
      <c r="B3865" s="5" t="s">
        <v>10124</v>
      </c>
      <c r="C3865" s="7" t="s">
        <v>12556</v>
      </c>
      <c r="D3865" s="8">
        <f t="shared" si="244"/>
        <v>0</v>
      </c>
      <c r="E3865" s="7" t="s">
        <v>12557</v>
      </c>
      <c r="F3865" s="7">
        <f t="shared" si="245"/>
        <v>1</v>
      </c>
      <c r="G3865" s="7" t="s">
        <v>12558</v>
      </c>
      <c r="H3865" s="7">
        <f t="shared" si="246"/>
        <v>0</v>
      </c>
      <c r="I3865" s="7" t="str" cm="1">
        <f t="array" ref="I3865">IFERROR(_xlfn.IFS(M3865="נח",1,M3865="נע ונח",1,M3865="שני שווא נח",2,M3865="שני שוואים בסוף מילה",2,M3865="שני שוואים ברצף",1),"0")</f>
        <v>0</v>
      </c>
      <c r="J3865" s="9">
        <f t="shared" si="247"/>
        <v>2</v>
      </c>
      <c r="K3865" t="s">
        <v>6698</v>
      </c>
      <c r="L3865" t="s">
        <v>6694</v>
      </c>
      <c r="M3865" t="s">
        <v>6700</v>
      </c>
      <c r="P3865" t="s">
        <v>6694</v>
      </c>
      <c r="W3865" t="s">
        <v>6720</v>
      </c>
    </row>
    <row r="3866" spans="1:23" ht="15.6" x14ac:dyDescent="0.4">
      <c r="A3866" s="2" t="s">
        <v>1851</v>
      </c>
      <c r="B3866" s="5" t="s">
        <v>10125</v>
      </c>
      <c r="C3866" s="7" t="s">
        <v>12556</v>
      </c>
      <c r="D3866" s="8">
        <f t="shared" si="244"/>
        <v>0</v>
      </c>
      <c r="E3866" s="7" t="s">
        <v>12557</v>
      </c>
      <c r="F3866" s="7">
        <f t="shared" si="245"/>
        <v>1</v>
      </c>
      <c r="G3866" s="7" t="s">
        <v>12558</v>
      </c>
      <c r="H3866" s="7">
        <f t="shared" si="246"/>
        <v>0</v>
      </c>
      <c r="I3866" s="7" t="str" cm="1">
        <f t="array" ref="I3866">IFERROR(_xlfn.IFS(M3866="נח",1,M3866="נע ונח",1,M3866="שני שווא נח",2,M3866="שני שוואים בסוף מילה",2,M3866="שני שוואים ברצף",1),"0")</f>
        <v>0</v>
      </c>
      <c r="J3866" s="9">
        <f t="shared" si="247"/>
        <v>3</v>
      </c>
      <c r="K3866" t="s">
        <v>6698</v>
      </c>
      <c r="L3866" t="s">
        <v>6694</v>
      </c>
      <c r="M3866" t="s">
        <v>6700</v>
      </c>
      <c r="N3866" t="s">
        <v>6706</v>
      </c>
      <c r="O3866" t="s">
        <v>6694</v>
      </c>
      <c r="W3866" t="s">
        <v>6720</v>
      </c>
    </row>
    <row r="3867" spans="1:23" ht="15.6" x14ac:dyDescent="0.4">
      <c r="A3867" s="2" t="s">
        <v>2344</v>
      </c>
      <c r="B3867" s="5" t="s">
        <v>10126</v>
      </c>
      <c r="C3867" s="7" t="s">
        <v>12556</v>
      </c>
      <c r="D3867" s="8">
        <f t="shared" si="244"/>
        <v>0</v>
      </c>
      <c r="E3867" s="7" t="s">
        <v>12557</v>
      </c>
      <c r="F3867" s="7">
        <f t="shared" si="245"/>
        <v>1</v>
      </c>
      <c r="G3867" s="7" t="s">
        <v>12558</v>
      </c>
      <c r="H3867" s="7">
        <f t="shared" si="246"/>
        <v>0</v>
      </c>
      <c r="I3867" s="7" t="str" cm="1">
        <f t="array" ref="I3867">IFERROR(_xlfn.IFS(M3867="נח",1,M3867="נע ונח",1,M3867="שני שווא נח",2,M3867="שני שוואים בסוף מילה",2,M3867="שני שוואים ברצף",1),"0")</f>
        <v>0</v>
      </c>
      <c r="J3867" s="9">
        <f t="shared" si="247"/>
        <v>2</v>
      </c>
      <c r="K3867" t="s">
        <v>6698</v>
      </c>
      <c r="L3867" t="s">
        <v>6694</v>
      </c>
      <c r="M3867" t="s">
        <v>6700</v>
      </c>
      <c r="S3867" t="s">
        <v>6694</v>
      </c>
      <c r="W3867" t="s">
        <v>6720</v>
      </c>
    </row>
    <row r="3868" spans="1:23" ht="15.6" x14ac:dyDescent="0.4">
      <c r="A3868" s="2" t="s">
        <v>2762</v>
      </c>
      <c r="B3868" s="5" t="s">
        <v>10127</v>
      </c>
      <c r="C3868" s="7" t="s">
        <v>12556</v>
      </c>
      <c r="D3868" s="8">
        <f t="shared" si="244"/>
        <v>0</v>
      </c>
      <c r="E3868" s="7" t="s">
        <v>12557</v>
      </c>
      <c r="F3868" s="7">
        <f t="shared" si="245"/>
        <v>1</v>
      </c>
      <c r="G3868" s="7" t="s">
        <v>12558</v>
      </c>
      <c r="H3868" s="7">
        <f t="shared" si="246"/>
        <v>0</v>
      </c>
      <c r="I3868" s="7" t="str" cm="1">
        <f t="array" ref="I3868">IFERROR(_xlfn.IFS(M3868="נח",1,M3868="נע ונח",1,M3868="שני שווא נח",2,M3868="שני שוואים בסוף מילה",2,M3868="שני שוואים ברצף",1),"0")</f>
        <v>0</v>
      </c>
      <c r="J3868" s="9">
        <f t="shared" si="247"/>
        <v>3</v>
      </c>
      <c r="K3868" t="s">
        <v>6698</v>
      </c>
      <c r="L3868" t="s">
        <v>6694</v>
      </c>
      <c r="M3868" t="s">
        <v>6700</v>
      </c>
      <c r="S3868" t="s">
        <v>6694</v>
      </c>
      <c r="W3868" t="s">
        <v>6720</v>
      </c>
    </row>
    <row r="3869" spans="1:23" ht="15.6" x14ac:dyDescent="0.4">
      <c r="A3869" s="2" t="s">
        <v>2723</v>
      </c>
      <c r="B3869" s="5" t="s">
        <v>10128</v>
      </c>
      <c r="C3869" s="7" t="s">
        <v>12556</v>
      </c>
      <c r="D3869" s="8">
        <f t="shared" si="244"/>
        <v>0</v>
      </c>
      <c r="E3869" s="7" t="s">
        <v>12557</v>
      </c>
      <c r="F3869" s="7">
        <f t="shared" si="245"/>
        <v>1</v>
      </c>
      <c r="G3869" s="7" t="s">
        <v>12558</v>
      </c>
      <c r="H3869" s="7">
        <f t="shared" si="246"/>
        <v>0</v>
      </c>
      <c r="I3869" s="7" t="str" cm="1">
        <f t="array" ref="I3869">IFERROR(_xlfn.IFS(M3869="נח",1,M3869="נע ונח",1,M3869="שני שווא נח",2,M3869="שני שוואים בסוף מילה",2,M3869="שני שוואים ברצף",1),"0")</f>
        <v>0</v>
      </c>
      <c r="J3869" s="9">
        <f t="shared" si="247"/>
        <v>3</v>
      </c>
      <c r="K3869" t="s">
        <v>6698</v>
      </c>
      <c r="L3869" t="s">
        <v>6694</v>
      </c>
      <c r="M3869" t="s">
        <v>6700</v>
      </c>
      <c r="R3869" t="s">
        <v>6694</v>
      </c>
      <c r="W3869" t="s">
        <v>6720</v>
      </c>
    </row>
    <row r="3870" spans="1:23" ht="15.6" x14ac:dyDescent="0.4">
      <c r="A3870" s="2" t="s">
        <v>2672</v>
      </c>
      <c r="B3870" s="5" t="s">
        <v>10129</v>
      </c>
      <c r="C3870" s="7" t="s">
        <v>12556</v>
      </c>
      <c r="D3870" s="8">
        <f t="shared" si="244"/>
        <v>0</v>
      </c>
      <c r="E3870" s="7" t="s">
        <v>12557</v>
      </c>
      <c r="F3870" s="7">
        <f t="shared" si="245"/>
        <v>1</v>
      </c>
      <c r="G3870" s="7" t="s">
        <v>12558</v>
      </c>
      <c r="H3870" s="7">
        <f t="shared" si="246"/>
        <v>0</v>
      </c>
      <c r="I3870" s="7" t="str" cm="1">
        <f t="array" ref="I3870">IFERROR(_xlfn.IFS(M3870="נח",1,M3870="נע ונח",1,M3870="שני שווא נח",2,M3870="שני שוואים בסוף מילה",2,M3870="שני שוואים ברצף",1),"0")</f>
        <v>0</v>
      </c>
      <c r="J3870" s="9">
        <f t="shared" si="247"/>
        <v>4</v>
      </c>
      <c r="K3870" t="s">
        <v>6698</v>
      </c>
      <c r="L3870" t="s">
        <v>6694</v>
      </c>
      <c r="M3870" t="s">
        <v>6700</v>
      </c>
      <c r="N3870" t="s">
        <v>6706</v>
      </c>
      <c r="O3870" t="s">
        <v>6694</v>
      </c>
      <c r="W3870" t="s">
        <v>6720</v>
      </c>
    </row>
    <row r="3871" spans="1:23" ht="15.6" x14ac:dyDescent="0.4">
      <c r="A3871" s="2" t="s">
        <v>1389</v>
      </c>
      <c r="B3871" s="5" t="s">
        <v>10130</v>
      </c>
      <c r="C3871" s="7" t="s">
        <v>12556</v>
      </c>
      <c r="D3871" s="8">
        <f t="shared" si="244"/>
        <v>0</v>
      </c>
      <c r="E3871" s="7" t="s">
        <v>12557</v>
      </c>
      <c r="F3871" s="7">
        <f t="shared" si="245"/>
        <v>1</v>
      </c>
      <c r="G3871" s="7" t="s">
        <v>12558</v>
      </c>
      <c r="H3871" s="7">
        <f t="shared" si="246"/>
        <v>0</v>
      </c>
      <c r="I3871" s="7" t="str" cm="1">
        <f t="array" ref="I3871">IFERROR(_xlfn.IFS(M3871="נח",1,M3871="נע ונח",1,M3871="שני שווא נח",2,M3871="שני שוואים בסוף מילה",2,M3871="שני שוואים ברצף",1),"0")</f>
        <v>0</v>
      </c>
      <c r="J3871" s="9">
        <f t="shared" si="247"/>
        <v>2</v>
      </c>
      <c r="K3871" t="s">
        <v>6698</v>
      </c>
      <c r="L3871" t="s">
        <v>6694</v>
      </c>
      <c r="M3871" t="s">
        <v>6700</v>
      </c>
      <c r="V3871" t="s">
        <v>6694</v>
      </c>
      <c r="W3871" t="s">
        <v>6720</v>
      </c>
    </row>
    <row r="3872" spans="1:23" ht="15.6" x14ac:dyDescent="0.4">
      <c r="A3872" s="2" t="s">
        <v>1326</v>
      </c>
      <c r="B3872" s="5" t="s">
        <v>10131</v>
      </c>
      <c r="C3872" s="7" t="s">
        <v>12556</v>
      </c>
      <c r="D3872" s="8">
        <f t="shared" si="244"/>
        <v>0</v>
      </c>
      <c r="E3872" s="7" t="s">
        <v>12557</v>
      </c>
      <c r="F3872" s="7">
        <f t="shared" si="245"/>
        <v>2</v>
      </c>
      <c r="G3872" s="7" t="s">
        <v>12558</v>
      </c>
      <c r="H3872" s="7">
        <f t="shared" si="246"/>
        <v>1</v>
      </c>
      <c r="I3872" s="7" t="str" cm="1">
        <f t="array" ref="I3872">IFERROR(_xlfn.IFS(M3872="נח",1,M3872="נע ונח",1,M3872="שני שווא נח",2,M3872="שני שוואים בסוף מילה",2,M3872="שני שוואים ברצף",1),"0")</f>
        <v>0</v>
      </c>
      <c r="J3872" s="9">
        <f t="shared" si="247"/>
        <v>3</v>
      </c>
      <c r="K3872" t="s">
        <v>6698</v>
      </c>
      <c r="L3872" t="s">
        <v>6694</v>
      </c>
      <c r="M3872" t="s">
        <v>6700</v>
      </c>
      <c r="S3872" t="s">
        <v>6694</v>
      </c>
      <c r="U3872" t="s">
        <v>6694</v>
      </c>
      <c r="W3872" t="s">
        <v>6720</v>
      </c>
    </row>
    <row r="3873" spans="1:23" ht="15.6" x14ac:dyDescent="0.4">
      <c r="A3873" s="2" t="s">
        <v>2004</v>
      </c>
      <c r="B3873" s="5" t="s">
        <v>10037</v>
      </c>
      <c r="C3873" s="7" t="s">
        <v>12556</v>
      </c>
      <c r="D3873" s="8">
        <f t="shared" si="244"/>
        <v>0</v>
      </c>
      <c r="E3873" s="7" t="s">
        <v>12557</v>
      </c>
      <c r="F3873" s="7">
        <f t="shared" si="245"/>
        <v>1</v>
      </c>
      <c r="G3873" s="7" t="s">
        <v>12558</v>
      </c>
      <c r="H3873" s="7">
        <f t="shared" si="246"/>
        <v>0</v>
      </c>
      <c r="I3873" s="7" cm="1">
        <f t="array" ref="I3873">IFERROR(_xlfn.IFS(M3873="נח",1,M3873="נע ונח",1,M3873="שני שווא נח",2,M3873="שני שוואים בסוף מילה",2,M3873="שני שוואים ברצף",1),"0")</f>
        <v>1</v>
      </c>
      <c r="J3873" s="9">
        <f t="shared" si="247"/>
        <v>3</v>
      </c>
      <c r="K3873" t="s">
        <v>6697</v>
      </c>
      <c r="L3873" t="s">
        <v>6694</v>
      </c>
      <c r="M3873" t="s">
        <v>6701</v>
      </c>
      <c r="S3873" t="s">
        <v>6694</v>
      </c>
      <c r="W3873" t="s">
        <v>6720</v>
      </c>
    </row>
    <row r="3874" spans="1:23" ht="15.6" x14ac:dyDescent="0.4">
      <c r="A3874" s="2" t="s">
        <v>1908</v>
      </c>
      <c r="B3874" s="5" t="s">
        <v>10132</v>
      </c>
      <c r="C3874" s="7" t="s">
        <v>12556</v>
      </c>
      <c r="D3874" s="8">
        <f t="shared" si="244"/>
        <v>0</v>
      </c>
      <c r="E3874" s="7" t="s">
        <v>12557</v>
      </c>
      <c r="F3874" s="7">
        <f t="shared" si="245"/>
        <v>1</v>
      </c>
      <c r="G3874" s="7" t="s">
        <v>12558</v>
      </c>
      <c r="H3874" s="7">
        <f t="shared" si="246"/>
        <v>0</v>
      </c>
      <c r="I3874" s="7" cm="1">
        <f t="array" ref="I3874">IFERROR(_xlfn.IFS(M3874="נח",1,M3874="נע ונח",1,M3874="שני שווא נח",2,M3874="שני שוואים בסוף מילה",2,M3874="שני שוואים ברצף",1),"0")</f>
        <v>1</v>
      </c>
      <c r="J3874" s="9">
        <f t="shared" si="247"/>
        <v>3</v>
      </c>
      <c r="K3874" t="s">
        <v>6697</v>
      </c>
      <c r="L3874" t="s">
        <v>6694</v>
      </c>
      <c r="M3874" t="s">
        <v>6701</v>
      </c>
      <c r="S3874" t="s">
        <v>6694</v>
      </c>
      <c r="V3874" t="s">
        <v>6694</v>
      </c>
      <c r="W3874" t="s">
        <v>6720</v>
      </c>
    </row>
    <row r="3875" spans="1:23" ht="15.6" x14ac:dyDescent="0.4">
      <c r="A3875" s="2" t="s">
        <v>2847</v>
      </c>
      <c r="B3875" s="5" t="s">
        <v>10133</v>
      </c>
      <c r="C3875" s="7" t="s">
        <v>12556</v>
      </c>
      <c r="D3875" s="8">
        <f t="shared" si="244"/>
        <v>0</v>
      </c>
      <c r="E3875" s="7" t="s">
        <v>12557</v>
      </c>
      <c r="F3875" s="7">
        <f t="shared" si="245"/>
        <v>1</v>
      </c>
      <c r="G3875" s="7" t="s">
        <v>12558</v>
      </c>
      <c r="H3875" s="7">
        <f t="shared" si="246"/>
        <v>0</v>
      </c>
      <c r="I3875" s="7" t="str" cm="1">
        <f t="array" ref="I3875">IFERROR(_xlfn.IFS(M3875="נח",1,M3875="נע ונח",1,M3875="שני שווא נח",2,M3875="שני שוואים בסוף מילה",2,M3875="שני שוואים ברצף",1),"0")</f>
        <v>0</v>
      </c>
      <c r="J3875" s="9">
        <f t="shared" si="247"/>
        <v>2</v>
      </c>
      <c r="K3875" t="s">
        <v>6698</v>
      </c>
      <c r="L3875" t="s">
        <v>6694</v>
      </c>
      <c r="M3875" t="s">
        <v>6700</v>
      </c>
      <c r="S3875" t="s">
        <v>6694</v>
      </c>
      <c r="W3875" t="s">
        <v>6720</v>
      </c>
    </row>
    <row r="3876" spans="1:23" ht="15.6" x14ac:dyDescent="0.4">
      <c r="A3876" s="2" t="s">
        <v>2923</v>
      </c>
      <c r="B3876" s="5" t="s">
        <v>10134</v>
      </c>
      <c r="C3876" s="7" t="s">
        <v>12556</v>
      </c>
      <c r="D3876" s="8">
        <f t="shared" si="244"/>
        <v>0</v>
      </c>
      <c r="E3876" s="7" t="s">
        <v>12557</v>
      </c>
      <c r="F3876" s="7">
        <f t="shared" si="245"/>
        <v>1</v>
      </c>
      <c r="G3876" s="7" t="s">
        <v>12558</v>
      </c>
      <c r="H3876" s="7">
        <f t="shared" si="246"/>
        <v>0</v>
      </c>
      <c r="I3876" s="7" t="str" cm="1">
        <f t="array" ref="I3876">IFERROR(_xlfn.IFS(M3876="נח",1,M3876="נע ונח",1,M3876="שני שווא נח",2,M3876="שני שוואים בסוף מילה",2,M3876="שני שוואים ברצף",1),"0")</f>
        <v>0</v>
      </c>
      <c r="J3876" s="9">
        <f t="shared" si="247"/>
        <v>2</v>
      </c>
      <c r="K3876" t="s">
        <v>6698</v>
      </c>
      <c r="L3876" t="s">
        <v>6694</v>
      </c>
      <c r="M3876" t="s">
        <v>6700</v>
      </c>
      <c r="Q3876" t="s">
        <v>6694</v>
      </c>
      <c r="W3876" t="s">
        <v>6720</v>
      </c>
    </row>
    <row r="3877" spans="1:23" ht="15.6" x14ac:dyDescent="0.4">
      <c r="A3877" s="2" t="s">
        <v>3633</v>
      </c>
      <c r="B3877" s="5" t="s">
        <v>10061</v>
      </c>
      <c r="C3877" s="7" t="s">
        <v>12556</v>
      </c>
      <c r="D3877" s="8">
        <f t="shared" si="244"/>
        <v>0</v>
      </c>
      <c r="E3877" s="7" t="s">
        <v>12557</v>
      </c>
      <c r="F3877" s="7">
        <f t="shared" si="245"/>
        <v>1</v>
      </c>
      <c r="G3877" s="7" t="s">
        <v>12558</v>
      </c>
      <c r="H3877" s="7">
        <f t="shared" si="246"/>
        <v>0</v>
      </c>
      <c r="I3877" s="7" t="str" cm="1">
        <f t="array" ref="I3877">IFERROR(_xlfn.IFS(M3877="נח",1,M3877="נע ונח",1,M3877="שני שווא נח",2,M3877="שני שוואים בסוף מילה",2,M3877="שני שוואים ברצף",1),"0")</f>
        <v>0</v>
      </c>
      <c r="J3877" s="9">
        <f t="shared" si="247"/>
        <v>2</v>
      </c>
      <c r="K3877" t="s">
        <v>6698</v>
      </c>
      <c r="L3877" t="s">
        <v>6694</v>
      </c>
      <c r="M3877" t="s">
        <v>6700</v>
      </c>
      <c r="V3877" t="s">
        <v>6694</v>
      </c>
      <c r="W3877" t="s">
        <v>6720</v>
      </c>
    </row>
    <row r="3878" spans="1:23" ht="15.6" x14ac:dyDescent="0.4">
      <c r="A3878" s="2" t="s">
        <v>4296</v>
      </c>
      <c r="B3878" s="5" t="s">
        <v>10135</v>
      </c>
      <c r="C3878" s="7" t="s">
        <v>12556</v>
      </c>
      <c r="D3878" s="8">
        <f t="shared" si="244"/>
        <v>0</v>
      </c>
      <c r="E3878" s="7" t="s">
        <v>12557</v>
      </c>
      <c r="F3878" s="7">
        <f t="shared" si="245"/>
        <v>1</v>
      </c>
      <c r="G3878" s="7" t="s">
        <v>12558</v>
      </c>
      <c r="H3878" s="7">
        <f t="shared" si="246"/>
        <v>0</v>
      </c>
      <c r="I3878" s="7" t="str" cm="1">
        <f t="array" ref="I3878">IFERROR(_xlfn.IFS(M3878="נח",1,M3878="נע ונח",1,M3878="שני שווא נח",2,M3878="שני שוואים בסוף מילה",2,M3878="שני שוואים ברצף",1),"0")</f>
        <v>0</v>
      </c>
      <c r="J3878" s="9">
        <f t="shared" si="247"/>
        <v>2</v>
      </c>
      <c r="K3878" t="s">
        <v>6698</v>
      </c>
      <c r="L3878" t="s">
        <v>6694</v>
      </c>
      <c r="M3878" t="s">
        <v>6700</v>
      </c>
      <c r="S3878" t="s">
        <v>6694</v>
      </c>
      <c r="W3878" t="s">
        <v>6720</v>
      </c>
    </row>
    <row r="3879" spans="1:23" ht="15.6" x14ac:dyDescent="0.4">
      <c r="A3879" s="2" t="s">
        <v>1003</v>
      </c>
      <c r="B3879" s="5" t="s">
        <v>10136</v>
      </c>
      <c r="C3879" s="7" t="s">
        <v>12556</v>
      </c>
      <c r="D3879" s="8">
        <f t="shared" si="244"/>
        <v>0</v>
      </c>
      <c r="E3879" s="7" t="s">
        <v>12557</v>
      </c>
      <c r="F3879" s="7">
        <f t="shared" si="245"/>
        <v>1</v>
      </c>
      <c r="G3879" s="7" t="s">
        <v>12558</v>
      </c>
      <c r="H3879" s="7">
        <f t="shared" si="246"/>
        <v>0</v>
      </c>
      <c r="I3879" s="7" t="str" cm="1">
        <f t="array" ref="I3879">IFERROR(_xlfn.IFS(M3879="נח",1,M3879="נע ונח",1,M3879="שני שווא נח",2,M3879="שני שוואים בסוף מילה",2,M3879="שני שוואים ברצף",1),"0")</f>
        <v>0</v>
      </c>
      <c r="J3879" s="9">
        <f t="shared" si="247"/>
        <v>3</v>
      </c>
      <c r="K3879" t="s">
        <v>6697</v>
      </c>
      <c r="L3879" t="s">
        <v>6694</v>
      </c>
      <c r="M3879" t="s">
        <v>6700</v>
      </c>
      <c r="P3879" t="s">
        <v>6694</v>
      </c>
      <c r="Q3879" t="s">
        <v>6694</v>
      </c>
      <c r="W3879" t="s">
        <v>6720</v>
      </c>
    </row>
    <row r="3880" spans="1:23" ht="15.6" x14ac:dyDescent="0.4">
      <c r="A3880" s="2" t="s">
        <v>2839</v>
      </c>
      <c r="B3880" s="5" t="s">
        <v>10137</v>
      </c>
      <c r="C3880" s="7" t="s">
        <v>12556</v>
      </c>
      <c r="D3880" s="8">
        <f t="shared" si="244"/>
        <v>0</v>
      </c>
      <c r="E3880" s="7" t="s">
        <v>12557</v>
      </c>
      <c r="F3880" s="7">
        <f t="shared" si="245"/>
        <v>1</v>
      </c>
      <c r="G3880" s="7" t="s">
        <v>12558</v>
      </c>
      <c r="H3880" s="7">
        <f t="shared" si="246"/>
        <v>0</v>
      </c>
      <c r="I3880" s="7" t="str" cm="1">
        <f t="array" ref="I3880">IFERROR(_xlfn.IFS(M3880="נח",1,M3880="נע ונח",1,M3880="שני שווא נח",2,M3880="שני שוואים בסוף מילה",2,M3880="שני שוואים ברצף",1),"0")</f>
        <v>0</v>
      </c>
      <c r="J3880" s="9">
        <f t="shared" si="247"/>
        <v>3</v>
      </c>
      <c r="K3880" t="s">
        <v>6698</v>
      </c>
      <c r="L3880" t="s">
        <v>6694</v>
      </c>
      <c r="M3880" t="s">
        <v>6700</v>
      </c>
      <c r="P3880" t="s">
        <v>6694</v>
      </c>
      <c r="Q3880" t="s">
        <v>6694</v>
      </c>
      <c r="W3880" t="s">
        <v>6720</v>
      </c>
    </row>
    <row r="3881" spans="1:23" ht="15.6" x14ac:dyDescent="0.4">
      <c r="A3881" s="2" t="s">
        <v>1477</v>
      </c>
      <c r="B3881" s="5" t="s">
        <v>10138</v>
      </c>
      <c r="C3881" s="7" t="s">
        <v>12556</v>
      </c>
      <c r="D3881" s="8">
        <f t="shared" si="244"/>
        <v>0</v>
      </c>
      <c r="E3881" s="7" t="s">
        <v>12557</v>
      </c>
      <c r="F3881" s="7">
        <f t="shared" si="245"/>
        <v>1</v>
      </c>
      <c r="G3881" s="7" t="s">
        <v>12558</v>
      </c>
      <c r="H3881" s="7">
        <f t="shared" si="246"/>
        <v>0</v>
      </c>
      <c r="I3881" s="7" t="str" cm="1">
        <f t="array" ref="I3881">IFERROR(_xlfn.IFS(M3881="נח",1,M3881="נע ונח",1,M3881="שני שווא נח",2,M3881="שני שוואים בסוף מילה",2,M3881="שני שוואים ברצף",1),"0")</f>
        <v>0</v>
      </c>
      <c r="J3881" s="9">
        <f t="shared" si="247"/>
        <v>2</v>
      </c>
      <c r="K3881" t="s">
        <v>6698</v>
      </c>
      <c r="L3881" t="s">
        <v>6694</v>
      </c>
      <c r="M3881" t="s">
        <v>6700</v>
      </c>
      <c r="V3881" t="s">
        <v>6694</v>
      </c>
      <c r="W3881" t="s">
        <v>6720</v>
      </c>
    </row>
    <row r="3882" spans="1:23" ht="15.6" x14ac:dyDescent="0.4">
      <c r="A3882" s="2" t="s">
        <v>1842</v>
      </c>
      <c r="B3882" s="5" t="s">
        <v>10139</v>
      </c>
      <c r="C3882" s="7" t="s">
        <v>12556</v>
      </c>
      <c r="D3882" s="8">
        <f t="shared" si="244"/>
        <v>0</v>
      </c>
      <c r="E3882" s="7" t="s">
        <v>12557</v>
      </c>
      <c r="F3882" s="7">
        <f t="shared" si="245"/>
        <v>1</v>
      </c>
      <c r="G3882" s="7" t="s">
        <v>12558</v>
      </c>
      <c r="H3882" s="7">
        <f t="shared" si="246"/>
        <v>0</v>
      </c>
      <c r="I3882" s="7" t="str" cm="1">
        <f t="array" ref="I3882">IFERROR(_xlfn.IFS(M3882="נח",1,M3882="נע ונח",1,M3882="שני שווא נח",2,M3882="שני שוואים בסוף מילה",2,M3882="שני שוואים ברצף",1),"0")</f>
        <v>0</v>
      </c>
      <c r="J3882" s="9">
        <f t="shared" si="247"/>
        <v>2</v>
      </c>
      <c r="K3882" t="s">
        <v>6698</v>
      </c>
      <c r="L3882" t="s">
        <v>6694</v>
      </c>
      <c r="M3882" t="s">
        <v>6700</v>
      </c>
      <c r="T3882" t="s">
        <v>6694</v>
      </c>
      <c r="W3882" t="s">
        <v>6720</v>
      </c>
    </row>
    <row r="3883" spans="1:23" ht="15.6" x14ac:dyDescent="0.4">
      <c r="A3883" s="2" t="s">
        <v>1983</v>
      </c>
      <c r="B3883" s="5" t="s">
        <v>10140</v>
      </c>
      <c r="C3883" s="7" t="s">
        <v>12556</v>
      </c>
      <c r="D3883" s="8">
        <f t="shared" si="244"/>
        <v>0</v>
      </c>
      <c r="E3883" s="7" t="s">
        <v>12557</v>
      </c>
      <c r="F3883" s="7">
        <f t="shared" si="245"/>
        <v>2</v>
      </c>
      <c r="G3883" s="7" t="s">
        <v>12558</v>
      </c>
      <c r="H3883" s="7">
        <f t="shared" si="246"/>
        <v>1</v>
      </c>
      <c r="I3883" s="7" t="str" cm="1">
        <f t="array" ref="I3883">IFERROR(_xlfn.IFS(M3883="נח",1,M3883="נע ונח",1,M3883="שני שווא נח",2,M3883="שני שוואים בסוף מילה",2,M3883="שני שוואים ברצף",1),"0")</f>
        <v>0</v>
      </c>
      <c r="J3883" s="9">
        <f t="shared" si="247"/>
        <v>2</v>
      </c>
      <c r="K3883" t="s">
        <v>6698</v>
      </c>
      <c r="L3883" t="s">
        <v>6694</v>
      </c>
      <c r="M3883" t="s">
        <v>6700</v>
      </c>
      <c r="U3883" t="s">
        <v>6694</v>
      </c>
      <c r="W3883" t="s">
        <v>6720</v>
      </c>
    </row>
    <row r="3884" spans="1:23" ht="15.6" x14ac:dyDescent="0.4">
      <c r="A3884" s="2" t="s">
        <v>2228</v>
      </c>
      <c r="B3884" s="5" t="s">
        <v>10141</v>
      </c>
      <c r="C3884" s="7" t="s">
        <v>12556</v>
      </c>
      <c r="D3884" s="8">
        <f t="shared" si="244"/>
        <v>0</v>
      </c>
      <c r="E3884" s="7" t="s">
        <v>12557</v>
      </c>
      <c r="F3884" s="7">
        <f t="shared" si="245"/>
        <v>2</v>
      </c>
      <c r="G3884" s="7" t="s">
        <v>12558</v>
      </c>
      <c r="H3884" s="7">
        <f t="shared" si="246"/>
        <v>1</v>
      </c>
      <c r="I3884" s="7" t="str" cm="1">
        <f t="array" ref="I3884">IFERROR(_xlfn.IFS(M3884="נח",1,M3884="נע ונח",1,M3884="שני שווא נח",2,M3884="שני שוואים בסוף מילה",2,M3884="שני שוואים ברצף",1),"0")</f>
        <v>0</v>
      </c>
      <c r="J3884" s="9">
        <f t="shared" si="247"/>
        <v>3</v>
      </c>
      <c r="K3884" t="s">
        <v>6698</v>
      </c>
      <c r="L3884" t="s">
        <v>6694</v>
      </c>
      <c r="M3884" t="s">
        <v>6700</v>
      </c>
      <c r="S3884" t="s">
        <v>6694</v>
      </c>
      <c r="U3884" t="s">
        <v>6694</v>
      </c>
      <c r="W3884" t="s">
        <v>6720</v>
      </c>
    </row>
    <row r="3885" spans="1:23" ht="15.6" x14ac:dyDescent="0.4">
      <c r="A3885" s="2" t="s">
        <v>3337</v>
      </c>
      <c r="B3885" s="5" t="s">
        <v>10142</v>
      </c>
      <c r="C3885" s="7" t="s">
        <v>12556</v>
      </c>
      <c r="D3885" s="8">
        <f t="shared" si="244"/>
        <v>0</v>
      </c>
      <c r="E3885" s="7" t="s">
        <v>12557</v>
      </c>
      <c r="F3885" s="7">
        <f t="shared" si="245"/>
        <v>3</v>
      </c>
      <c r="G3885" s="7" t="s">
        <v>12558</v>
      </c>
      <c r="H3885" s="7">
        <f t="shared" si="246"/>
        <v>1</v>
      </c>
      <c r="I3885" s="7" t="str" cm="1">
        <f t="array" ref="I3885">IFERROR(_xlfn.IFS(M3885="נח",1,M3885="נע ונח",1,M3885="שני שווא נח",2,M3885="שני שוואים בסוף מילה",2,M3885="שני שוואים ברצף",1),"0")</f>
        <v>0</v>
      </c>
      <c r="J3885" s="9">
        <f t="shared" si="247"/>
        <v>3</v>
      </c>
      <c r="K3885" t="s">
        <v>6698</v>
      </c>
      <c r="L3885" t="s">
        <v>6694</v>
      </c>
      <c r="M3885" t="s">
        <v>6700</v>
      </c>
      <c r="P3885" t="s">
        <v>6694</v>
      </c>
      <c r="U3885" t="s">
        <v>6694</v>
      </c>
      <c r="W3885" t="s">
        <v>6720</v>
      </c>
    </row>
    <row r="3886" spans="1:23" ht="15.6" x14ac:dyDescent="0.4">
      <c r="A3886" s="2" t="s">
        <v>3943</v>
      </c>
      <c r="B3886" s="5" t="s">
        <v>10143</v>
      </c>
      <c r="C3886" s="7" t="s">
        <v>12556</v>
      </c>
      <c r="D3886" s="8">
        <f t="shared" si="244"/>
        <v>0</v>
      </c>
      <c r="E3886" s="7" t="s">
        <v>12557</v>
      </c>
      <c r="F3886" s="7">
        <f t="shared" si="245"/>
        <v>1</v>
      </c>
      <c r="G3886" s="7" t="s">
        <v>12558</v>
      </c>
      <c r="H3886" s="7">
        <f t="shared" si="246"/>
        <v>0</v>
      </c>
      <c r="I3886" s="7" t="str" cm="1">
        <f t="array" ref="I3886">IFERROR(_xlfn.IFS(M3886="נח",1,M3886="נע ונח",1,M3886="שני שווא נח",2,M3886="שני שוואים בסוף מילה",2,M3886="שני שוואים ברצף",1),"0")</f>
        <v>0</v>
      </c>
      <c r="J3886" s="9">
        <f t="shared" si="247"/>
        <v>3</v>
      </c>
      <c r="K3886" t="s">
        <v>6698</v>
      </c>
      <c r="L3886" t="s">
        <v>6694</v>
      </c>
      <c r="M3886" t="s">
        <v>6700</v>
      </c>
      <c r="P3886" t="s">
        <v>6694</v>
      </c>
      <c r="W3886" t="s">
        <v>6720</v>
      </c>
    </row>
    <row r="3887" spans="1:23" ht="15.6" x14ac:dyDescent="0.4">
      <c r="A3887" s="2" t="s">
        <v>573</v>
      </c>
      <c r="B3887" s="5" t="s">
        <v>10144</v>
      </c>
      <c r="C3887" s="7" t="s">
        <v>12556</v>
      </c>
      <c r="D3887" s="8">
        <f t="shared" si="244"/>
        <v>0</v>
      </c>
      <c r="E3887" s="7" t="s">
        <v>12557</v>
      </c>
      <c r="F3887" s="7">
        <f t="shared" si="245"/>
        <v>1</v>
      </c>
      <c r="G3887" s="7" t="s">
        <v>12558</v>
      </c>
      <c r="H3887" s="7">
        <f t="shared" si="246"/>
        <v>0</v>
      </c>
      <c r="I3887" s="7" cm="1">
        <f t="array" ref="I3887">IFERROR(_xlfn.IFS(M3887="נח",1,M3887="נע ונח",1,M3887="שני שווא נח",2,M3887="שני שוואים בסוף מילה",2,M3887="שני שוואים ברצף",1),"0")</f>
        <v>1</v>
      </c>
      <c r="J3887" s="9">
        <f t="shared" si="247"/>
        <v>2</v>
      </c>
      <c r="K3887" t="s">
        <v>6698</v>
      </c>
      <c r="L3887" t="s">
        <v>6694</v>
      </c>
      <c r="M3887" t="s">
        <v>6705</v>
      </c>
      <c r="Q3887" t="s">
        <v>6694</v>
      </c>
      <c r="S3887" t="s">
        <v>6694</v>
      </c>
      <c r="W3887" t="s">
        <v>6720</v>
      </c>
    </row>
    <row r="3888" spans="1:23" ht="15.6" x14ac:dyDescent="0.4">
      <c r="A3888" s="2" t="s">
        <v>5988</v>
      </c>
      <c r="B3888" s="5" t="s">
        <v>10145</v>
      </c>
      <c r="C3888" s="7" t="s">
        <v>12556</v>
      </c>
      <c r="D3888" s="8">
        <f t="shared" si="244"/>
        <v>0</v>
      </c>
      <c r="E3888" s="7" t="s">
        <v>12557</v>
      </c>
      <c r="F3888" s="7">
        <f t="shared" si="245"/>
        <v>1</v>
      </c>
      <c r="G3888" s="7" t="s">
        <v>12558</v>
      </c>
      <c r="H3888" s="7">
        <f t="shared" si="246"/>
        <v>0</v>
      </c>
      <c r="I3888" s="7" cm="1">
        <f t="array" ref="I3888">IFERROR(_xlfn.IFS(M3888="נח",1,M3888="נע ונח",1,M3888="שני שווא נח",2,M3888="שני שוואים בסוף מילה",2,M3888="שני שוואים ברצף",1),"0")</f>
        <v>1</v>
      </c>
      <c r="J3888" s="9">
        <f t="shared" si="247"/>
        <v>4</v>
      </c>
      <c r="K3888" t="s">
        <v>6697</v>
      </c>
      <c r="L3888" t="s">
        <v>6694</v>
      </c>
      <c r="M3888" t="s">
        <v>6705</v>
      </c>
      <c r="O3888" t="s">
        <v>6694</v>
      </c>
      <c r="R3888" t="s">
        <v>6694</v>
      </c>
      <c r="S3888" t="s">
        <v>6694</v>
      </c>
      <c r="W3888" t="s">
        <v>6720</v>
      </c>
    </row>
    <row r="3889" spans="1:23" ht="15.6" x14ac:dyDescent="0.4">
      <c r="A3889" s="2" t="s">
        <v>4137</v>
      </c>
      <c r="B3889" s="5" t="s">
        <v>10146</v>
      </c>
      <c r="C3889" s="7" t="s">
        <v>12556</v>
      </c>
      <c r="D3889" s="8">
        <f t="shared" si="244"/>
        <v>0</v>
      </c>
      <c r="E3889" s="7" t="s">
        <v>12557</v>
      </c>
      <c r="F3889" s="7">
        <f t="shared" si="245"/>
        <v>2</v>
      </c>
      <c r="G3889" s="7" t="s">
        <v>12558</v>
      </c>
      <c r="H3889" s="7">
        <f t="shared" si="246"/>
        <v>1</v>
      </c>
      <c r="I3889" s="7" cm="1">
        <f t="array" ref="I3889">IFERROR(_xlfn.IFS(M3889="נח",1,M3889="נע ונח",1,M3889="שני שווא נח",2,M3889="שני שוואים בסוף מילה",2,M3889="שני שוואים ברצף",1),"0")</f>
        <v>1</v>
      </c>
      <c r="J3889" s="9">
        <f t="shared" si="247"/>
        <v>2</v>
      </c>
      <c r="K3889" t="s">
        <v>6698</v>
      </c>
      <c r="L3889" t="s">
        <v>6694</v>
      </c>
      <c r="M3889" t="s">
        <v>6705</v>
      </c>
      <c r="S3889" t="s">
        <v>6694</v>
      </c>
      <c r="U3889" t="s">
        <v>6694</v>
      </c>
      <c r="W3889" t="s">
        <v>6720</v>
      </c>
    </row>
    <row r="3890" spans="1:23" ht="15.6" x14ac:dyDescent="0.4">
      <c r="A3890" s="2" t="s">
        <v>34</v>
      </c>
      <c r="B3890" s="5" t="s">
        <v>10042</v>
      </c>
      <c r="C3890" s="7" t="s">
        <v>12556</v>
      </c>
      <c r="D3890" s="8">
        <f t="shared" si="244"/>
        <v>0</v>
      </c>
      <c r="E3890" s="7" t="s">
        <v>12557</v>
      </c>
      <c r="F3890" s="7">
        <f t="shared" si="245"/>
        <v>1</v>
      </c>
      <c r="G3890" s="7" t="s">
        <v>12558</v>
      </c>
      <c r="H3890" s="7">
        <f t="shared" si="246"/>
        <v>0</v>
      </c>
      <c r="I3890" s="7" t="str" cm="1">
        <f t="array" ref="I3890">IFERROR(_xlfn.IFS(M3890="נח",1,M3890="נע ונח",1,M3890="שני שווא נח",2,M3890="שני שוואים בסוף מילה",2,M3890="שני שוואים ברצף",1),"0")</f>
        <v>0</v>
      </c>
      <c r="J3890" s="9">
        <f t="shared" si="247"/>
        <v>1</v>
      </c>
      <c r="K3890" t="s">
        <v>6697</v>
      </c>
      <c r="L3890" t="s">
        <v>6695</v>
      </c>
      <c r="S3890" t="s">
        <v>6694</v>
      </c>
      <c r="W3890" t="s">
        <v>6720</v>
      </c>
    </row>
    <row r="3891" spans="1:23" ht="15.6" x14ac:dyDescent="0.4">
      <c r="A3891" s="2" t="s">
        <v>5853</v>
      </c>
      <c r="B3891" s="5" t="s">
        <v>10147</v>
      </c>
      <c r="C3891" s="7" t="s">
        <v>12556</v>
      </c>
      <c r="D3891" s="8">
        <f t="shared" si="244"/>
        <v>0</v>
      </c>
      <c r="E3891" s="7" t="s">
        <v>12557</v>
      </c>
      <c r="F3891" s="7">
        <f t="shared" si="245"/>
        <v>1</v>
      </c>
      <c r="G3891" s="7" t="s">
        <v>12558</v>
      </c>
      <c r="H3891" s="7">
        <f t="shared" si="246"/>
        <v>0</v>
      </c>
      <c r="I3891" s="7" t="str" cm="1">
        <f t="array" ref="I3891">IFERROR(_xlfn.IFS(M3891="נח",1,M3891="נע ונח",1,M3891="שני שווא נח",2,M3891="שני שוואים בסוף מילה",2,M3891="שני שוואים ברצף",1),"0")</f>
        <v>0</v>
      </c>
      <c r="J3891" s="9">
        <f t="shared" si="247"/>
        <v>2</v>
      </c>
      <c r="K3891" t="s">
        <v>6697</v>
      </c>
      <c r="L3891" t="s">
        <v>6695</v>
      </c>
      <c r="Q3891" t="s">
        <v>6694</v>
      </c>
      <c r="S3891" t="s">
        <v>6694</v>
      </c>
      <c r="W3891" t="s">
        <v>6720</v>
      </c>
    </row>
    <row r="3892" spans="1:23" ht="15.6" x14ac:dyDescent="0.4">
      <c r="A3892" s="2" t="s">
        <v>2527</v>
      </c>
      <c r="B3892" s="5" t="s">
        <v>10148</v>
      </c>
      <c r="C3892" s="7" t="s">
        <v>12556</v>
      </c>
      <c r="D3892" s="8">
        <f t="shared" si="244"/>
        <v>0</v>
      </c>
      <c r="E3892" s="7" t="s">
        <v>12557</v>
      </c>
      <c r="F3892" s="7">
        <f t="shared" si="245"/>
        <v>1</v>
      </c>
      <c r="G3892" s="7" t="s">
        <v>12558</v>
      </c>
      <c r="H3892" s="7">
        <f t="shared" si="246"/>
        <v>0</v>
      </c>
      <c r="I3892" s="7" t="str" cm="1">
        <f t="array" ref="I3892">IFERROR(_xlfn.IFS(M3892="נח",1,M3892="נע ונח",1,M3892="שני שווא נח",2,M3892="שני שוואים בסוף מילה",2,M3892="שני שוואים ברצף",1),"0")</f>
        <v>0</v>
      </c>
      <c r="J3892" s="9">
        <f t="shared" si="247"/>
        <v>2</v>
      </c>
      <c r="K3892" t="s">
        <v>6698</v>
      </c>
      <c r="L3892" t="s">
        <v>6695</v>
      </c>
      <c r="P3892" t="s">
        <v>6694</v>
      </c>
      <c r="S3892" t="s">
        <v>6694</v>
      </c>
      <c r="W3892" t="s">
        <v>6720</v>
      </c>
    </row>
    <row r="3893" spans="1:23" ht="15.6" x14ac:dyDescent="0.4">
      <c r="A3893" s="2" t="s">
        <v>2282</v>
      </c>
      <c r="B3893" s="5" t="s">
        <v>10149</v>
      </c>
      <c r="C3893" s="7" t="s">
        <v>12556</v>
      </c>
      <c r="D3893" s="8">
        <f t="shared" si="244"/>
        <v>0</v>
      </c>
      <c r="E3893" s="7" t="s">
        <v>12557</v>
      </c>
      <c r="F3893" s="7">
        <f t="shared" si="245"/>
        <v>1</v>
      </c>
      <c r="G3893" s="7" t="s">
        <v>12558</v>
      </c>
      <c r="H3893" s="7">
        <f t="shared" si="246"/>
        <v>0</v>
      </c>
      <c r="I3893" s="7" cm="1">
        <f t="array" ref="I3893">IFERROR(_xlfn.IFS(M3893="נח",1,M3893="נע ונח",1,M3893="שני שווא נח",2,M3893="שני שוואים בסוף מילה",2,M3893="שני שוואים ברצף",1),"0")</f>
        <v>1</v>
      </c>
      <c r="J3893" s="9">
        <f t="shared" si="247"/>
        <v>2</v>
      </c>
      <c r="K3893" t="s">
        <v>6697</v>
      </c>
      <c r="L3893" t="s">
        <v>6694</v>
      </c>
      <c r="M3893" t="s">
        <v>6705</v>
      </c>
      <c r="S3893" t="s">
        <v>6694</v>
      </c>
      <c r="W3893" t="s">
        <v>6720</v>
      </c>
    </row>
    <row r="3894" spans="1:23" ht="15.6" x14ac:dyDescent="0.4">
      <c r="A3894" s="2" t="s">
        <v>491</v>
      </c>
      <c r="B3894" s="5" t="s">
        <v>10150</v>
      </c>
      <c r="C3894" s="7" t="s">
        <v>12556</v>
      </c>
      <c r="D3894" s="8">
        <f t="shared" si="244"/>
        <v>0</v>
      </c>
      <c r="E3894" s="7" t="s">
        <v>12557</v>
      </c>
      <c r="F3894" s="7">
        <f t="shared" si="245"/>
        <v>1</v>
      </c>
      <c r="G3894" s="7" t="s">
        <v>12558</v>
      </c>
      <c r="H3894" s="7">
        <f t="shared" si="246"/>
        <v>0</v>
      </c>
      <c r="I3894" s="7" cm="1">
        <f t="array" ref="I3894">IFERROR(_xlfn.IFS(M3894="נח",1,M3894="נע ונח",1,M3894="שני שווא נח",2,M3894="שני שוואים בסוף מילה",2,M3894="שני שוואים ברצף",1),"0")</f>
        <v>1</v>
      </c>
      <c r="J3894" s="9">
        <f t="shared" si="247"/>
        <v>2</v>
      </c>
      <c r="K3894" t="s">
        <v>6698</v>
      </c>
      <c r="L3894" t="s">
        <v>6694</v>
      </c>
      <c r="M3894" t="s">
        <v>6705</v>
      </c>
      <c r="S3894" t="s">
        <v>6694</v>
      </c>
      <c r="V3894" t="s">
        <v>6694</v>
      </c>
      <c r="W3894" t="s">
        <v>6720</v>
      </c>
    </row>
    <row r="3895" spans="1:23" ht="15.6" x14ac:dyDescent="0.4">
      <c r="A3895" s="2" t="s">
        <v>127</v>
      </c>
      <c r="B3895" s="5" t="s">
        <v>10151</v>
      </c>
      <c r="C3895" s="7" t="s">
        <v>12556</v>
      </c>
      <c r="D3895" s="8">
        <f t="shared" si="244"/>
        <v>0</v>
      </c>
      <c r="E3895" s="7" t="s">
        <v>12557</v>
      </c>
      <c r="F3895" s="7">
        <f t="shared" si="245"/>
        <v>1</v>
      </c>
      <c r="G3895" s="7" t="s">
        <v>12558</v>
      </c>
      <c r="H3895" s="7">
        <f t="shared" si="246"/>
        <v>0</v>
      </c>
      <c r="I3895" s="7" cm="1">
        <f t="array" ref="I3895">IFERROR(_xlfn.IFS(M3895="נח",1,M3895="נע ונח",1,M3895="שני שווא נח",2,M3895="שני שוואים בסוף מילה",2,M3895="שני שוואים ברצף",1),"0")</f>
        <v>1</v>
      </c>
      <c r="J3895" s="9">
        <f t="shared" si="247"/>
        <v>2</v>
      </c>
      <c r="K3895" t="s">
        <v>6698</v>
      </c>
      <c r="L3895" t="s">
        <v>6694</v>
      </c>
      <c r="M3895" t="s">
        <v>6705</v>
      </c>
      <c r="P3895" t="s">
        <v>6694</v>
      </c>
      <c r="S3895" t="s">
        <v>6694</v>
      </c>
      <c r="W3895" t="s">
        <v>6720</v>
      </c>
    </row>
    <row r="3896" spans="1:23" ht="15.6" x14ac:dyDescent="0.4">
      <c r="A3896" s="2" t="s">
        <v>2984</v>
      </c>
      <c r="B3896" s="5" t="s">
        <v>10152</v>
      </c>
      <c r="C3896" s="7" t="s">
        <v>12556</v>
      </c>
      <c r="D3896" s="8">
        <f t="shared" si="244"/>
        <v>0</v>
      </c>
      <c r="E3896" s="7" t="s">
        <v>12557</v>
      </c>
      <c r="F3896" s="7">
        <f t="shared" si="245"/>
        <v>1</v>
      </c>
      <c r="G3896" s="7" t="s">
        <v>12558</v>
      </c>
      <c r="H3896" s="7">
        <f t="shared" si="246"/>
        <v>0</v>
      </c>
      <c r="I3896" s="7" cm="1">
        <f t="array" ref="I3896">IFERROR(_xlfn.IFS(M3896="נח",1,M3896="נע ונח",1,M3896="שני שווא נח",2,M3896="שני שוואים בסוף מילה",2,M3896="שני שוואים ברצף",1),"0")</f>
        <v>1</v>
      </c>
      <c r="J3896" s="9">
        <f t="shared" si="247"/>
        <v>3</v>
      </c>
      <c r="K3896" t="s">
        <v>6697</v>
      </c>
      <c r="L3896" t="s">
        <v>6694</v>
      </c>
      <c r="M3896" t="s">
        <v>6705</v>
      </c>
      <c r="O3896" t="s">
        <v>6694</v>
      </c>
      <c r="S3896" t="s">
        <v>6694</v>
      </c>
      <c r="W3896" t="s">
        <v>6720</v>
      </c>
    </row>
    <row r="3897" spans="1:23" ht="15.6" x14ac:dyDescent="0.4">
      <c r="A3897" s="2" t="s">
        <v>2941</v>
      </c>
      <c r="B3897" s="5" t="s">
        <v>10153</v>
      </c>
      <c r="C3897" s="7" t="s">
        <v>12556</v>
      </c>
      <c r="D3897" s="8">
        <f t="shared" si="244"/>
        <v>0</v>
      </c>
      <c r="E3897" s="7" t="s">
        <v>12557</v>
      </c>
      <c r="F3897" s="7">
        <f t="shared" si="245"/>
        <v>1</v>
      </c>
      <c r="G3897" s="7" t="s">
        <v>12558</v>
      </c>
      <c r="H3897" s="7">
        <f t="shared" si="246"/>
        <v>0</v>
      </c>
      <c r="I3897" s="7" cm="1">
        <f t="array" ref="I3897">IFERROR(_xlfn.IFS(M3897="נח",1,M3897="נע ונח",1,M3897="שני שווא נח",2,M3897="שני שוואים בסוף מילה",2,M3897="שני שוואים ברצף",1),"0")</f>
        <v>1</v>
      </c>
      <c r="J3897" s="9">
        <f t="shared" si="247"/>
        <v>3</v>
      </c>
      <c r="K3897" t="s">
        <v>6698</v>
      </c>
      <c r="L3897" t="s">
        <v>6694</v>
      </c>
      <c r="M3897" t="s">
        <v>6705</v>
      </c>
      <c r="S3897" t="s">
        <v>6694</v>
      </c>
      <c r="W3897" t="s">
        <v>6720</v>
      </c>
    </row>
    <row r="3898" spans="1:23" ht="15.6" x14ac:dyDescent="0.4">
      <c r="A3898" s="2" t="s">
        <v>5005</v>
      </c>
      <c r="B3898" s="5" t="s">
        <v>10154</v>
      </c>
      <c r="C3898" s="7" t="s">
        <v>12556</v>
      </c>
      <c r="D3898" s="8">
        <f t="shared" si="244"/>
        <v>0</v>
      </c>
      <c r="E3898" s="7" t="s">
        <v>12557</v>
      </c>
      <c r="F3898" s="7">
        <f t="shared" si="245"/>
        <v>1</v>
      </c>
      <c r="G3898" s="7" t="s">
        <v>12558</v>
      </c>
      <c r="H3898" s="7">
        <f t="shared" si="246"/>
        <v>0</v>
      </c>
      <c r="I3898" s="7" cm="1">
        <f t="array" ref="I3898">IFERROR(_xlfn.IFS(M3898="נח",1,M3898="נע ונח",1,M3898="שני שווא נח",2,M3898="שני שוואים בסוף מילה",2,M3898="שני שוואים ברצף",1),"0")</f>
        <v>1</v>
      </c>
      <c r="J3898" s="9">
        <f t="shared" si="247"/>
        <v>3</v>
      </c>
      <c r="K3898" t="s">
        <v>6697</v>
      </c>
      <c r="L3898" t="s">
        <v>6694</v>
      </c>
      <c r="M3898" t="s">
        <v>6705</v>
      </c>
      <c r="S3898" t="s">
        <v>6694</v>
      </c>
      <c r="V3898" t="s">
        <v>6694</v>
      </c>
      <c r="W3898" t="s">
        <v>6720</v>
      </c>
    </row>
    <row r="3899" spans="1:23" ht="15.6" x14ac:dyDescent="0.4">
      <c r="A3899" s="2" t="s">
        <v>1691</v>
      </c>
      <c r="B3899" s="5" t="s">
        <v>10155</v>
      </c>
      <c r="C3899" s="7" t="s">
        <v>12556</v>
      </c>
      <c r="D3899" s="8">
        <f t="shared" si="244"/>
        <v>0</v>
      </c>
      <c r="E3899" s="7" t="s">
        <v>12557</v>
      </c>
      <c r="F3899" s="7">
        <f t="shared" si="245"/>
        <v>2</v>
      </c>
      <c r="G3899" s="7" t="s">
        <v>12558</v>
      </c>
      <c r="H3899" s="7">
        <f t="shared" si="246"/>
        <v>0</v>
      </c>
      <c r="I3899" s="7" t="str" cm="1">
        <f t="array" ref="I3899">IFERROR(_xlfn.IFS(M3899="נח",1,M3899="נע ונח",1,M3899="שני שווא נח",2,M3899="שני שוואים בסוף מילה",2,M3899="שני שוואים ברצף",1),"0")</f>
        <v>0</v>
      </c>
      <c r="J3899" s="9">
        <f t="shared" si="247"/>
        <v>2</v>
      </c>
      <c r="K3899" t="s">
        <v>6698</v>
      </c>
      <c r="L3899" t="s">
        <v>6695</v>
      </c>
      <c r="S3899" t="s">
        <v>6694</v>
      </c>
      <c r="W3899" t="s">
        <v>6720</v>
      </c>
    </row>
    <row r="3900" spans="1:23" ht="15.6" x14ac:dyDescent="0.4">
      <c r="A3900" s="2" t="s">
        <v>6688</v>
      </c>
      <c r="B3900" s="5" t="s">
        <v>10156</v>
      </c>
      <c r="C3900" s="7" t="s">
        <v>12556</v>
      </c>
      <c r="D3900" s="8">
        <f t="shared" si="244"/>
        <v>0</v>
      </c>
      <c r="E3900" s="7" t="s">
        <v>12557</v>
      </c>
      <c r="F3900" s="7">
        <f t="shared" si="245"/>
        <v>3</v>
      </c>
      <c r="G3900" s="7" t="s">
        <v>12558</v>
      </c>
      <c r="H3900" s="7">
        <f t="shared" si="246"/>
        <v>1</v>
      </c>
      <c r="I3900" s="7" t="str" cm="1">
        <f t="array" ref="I3900">IFERROR(_xlfn.IFS(M3900="נח",1,M3900="נע ונח",1,M3900="שני שווא נח",2,M3900="שני שוואים בסוף מילה",2,M3900="שני שוואים ברצף",1),"0")</f>
        <v>0</v>
      </c>
      <c r="J3900" s="9">
        <f t="shared" si="247"/>
        <v>5</v>
      </c>
      <c r="K3900" t="s">
        <v>6697</v>
      </c>
      <c r="L3900" t="s">
        <v>6695</v>
      </c>
      <c r="Q3900" t="s">
        <v>6694</v>
      </c>
      <c r="S3900" t="s">
        <v>6694</v>
      </c>
      <c r="U3900" t="s">
        <v>6694</v>
      </c>
      <c r="V3900" t="s">
        <v>6694</v>
      </c>
      <c r="W3900" t="s">
        <v>6720</v>
      </c>
    </row>
    <row r="3901" spans="1:23" ht="15.6" x14ac:dyDescent="0.4">
      <c r="A3901" s="2" t="s">
        <v>4843</v>
      </c>
      <c r="B3901" s="5" t="s">
        <v>10157</v>
      </c>
      <c r="C3901" s="7" t="s">
        <v>12556</v>
      </c>
      <c r="D3901" s="8">
        <f t="shared" si="244"/>
        <v>0</v>
      </c>
      <c r="E3901" s="7" t="s">
        <v>12557</v>
      </c>
      <c r="F3901" s="7">
        <f t="shared" si="245"/>
        <v>2</v>
      </c>
      <c r="G3901" s="7" t="s">
        <v>12558</v>
      </c>
      <c r="H3901" s="7">
        <f t="shared" si="246"/>
        <v>0</v>
      </c>
      <c r="I3901" s="7" t="str" cm="1">
        <f t="array" ref="I3901">IFERROR(_xlfn.IFS(M3901="נח",1,M3901="נע ונח",1,M3901="שני שווא נח",2,M3901="שני שוואים בסוף מילה",2,M3901="שני שוואים ברצף",1),"0")</f>
        <v>0</v>
      </c>
      <c r="J3901" s="9">
        <f t="shared" si="247"/>
        <v>2</v>
      </c>
      <c r="K3901" t="s">
        <v>6698</v>
      </c>
      <c r="L3901" t="s">
        <v>6695</v>
      </c>
      <c r="S3901" t="s">
        <v>6694</v>
      </c>
      <c r="V3901" t="s">
        <v>6694</v>
      </c>
      <c r="W3901" t="s">
        <v>6720</v>
      </c>
    </row>
    <row r="3902" spans="1:23" ht="15.6" x14ac:dyDescent="0.4">
      <c r="A3902" s="2" t="s">
        <v>2181</v>
      </c>
      <c r="B3902" s="5" t="s">
        <v>10158</v>
      </c>
      <c r="C3902" s="7" t="s">
        <v>12556</v>
      </c>
      <c r="D3902" s="8">
        <f t="shared" si="244"/>
        <v>0</v>
      </c>
      <c r="E3902" s="7" t="s">
        <v>12557</v>
      </c>
      <c r="F3902" s="7">
        <f t="shared" si="245"/>
        <v>1</v>
      </c>
      <c r="G3902" s="7" t="s">
        <v>12558</v>
      </c>
      <c r="H3902" s="7">
        <f t="shared" si="246"/>
        <v>0</v>
      </c>
      <c r="I3902" s="7" cm="1">
        <f t="array" ref="I3902">IFERROR(_xlfn.IFS(M3902="נח",1,M3902="נע ונח",1,M3902="שני שווא נח",2,M3902="שני שוואים בסוף מילה",2,M3902="שני שוואים ברצף",1),"0")</f>
        <v>1</v>
      </c>
      <c r="J3902" s="9">
        <f t="shared" si="247"/>
        <v>3</v>
      </c>
      <c r="K3902" t="s">
        <v>6697</v>
      </c>
      <c r="L3902" t="s">
        <v>6694</v>
      </c>
      <c r="M3902" t="s">
        <v>6705</v>
      </c>
      <c r="O3902" t="s">
        <v>6694</v>
      </c>
      <c r="P3902" t="s">
        <v>6694</v>
      </c>
      <c r="S3902" t="s">
        <v>6694</v>
      </c>
      <c r="W3902" t="s">
        <v>6720</v>
      </c>
    </row>
    <row r="3903" spans="1:23" ht="15.6" x14ac:dyDescent="0.4">
      <c r="A3903" s="2" t="s">
        <v>5817</v>
      </c>
      <c r="B3903" s="5" t="s">
        <v>10158</v>
      </c>
      <c r="C3903" s="7" t="s">
        <v>12556</v>
      </c>
      <c r="D3903" s="8">
        <f t="shared" si="244"/>
        <v>0</v>
      </c>
      <c r="E3903" s="7" t="s">
        <v>12557</v>
      </c>
      <c r="F3903" s="7">
        <f t="shared" si="245"/>
        <v>1</v>
      </c>
      <c r="G3903" s="7" t="s">
        <v>12558</v>
      </c>
      <c r="H3903" s="7">
        <f t="shared" si="246"/>
        <v>0</v>
      </c>
      <c r="I3903" s="7" cm="1">
        <f t="array" ref="I3903">IFERROR(_xlfn.IFS(M3903="נח",1,M3903="נע ונח",1,M3903="שני שווא נח",2,M3903="שני שוואים בסוף מילה",2,M3903="שני שוואים ברצף",1),"0")</f>
        <v>1</v>
      </c>
      <c r="J3903" s="9">
        <f t="shared" si="247"/>
        <v>3</v>
      </c>
      <c r="K3903" t="s">
        <v>6697</v>
      </c>
      <c r="L3903" t="s">
        <v>6694</v>
      </c>
      <c r="M3903" t="s">
        <v>6705</v>
      </c>
      <c r="O3903" t="s">
        <v>6694</v>
      </c>
      <c r="R3903" t="s">
        <v>6694</v>
      </c>
      <c r="S3903" t="s">
        <v>6694</v>
      </c>
      <c r="W3903" t="s">
        <v>6720</v>
      </c>
    </row>
    <row r="3904" spans="1:23" ht="15.6" x14ac:dyDescent="0.4">
      <c r="A3904" s="2" t="s">
        <v>2452</v>
      </c>
      <c r="B3904" s="5" t="s">
        <v>10159</v>
      </c>
      <c r="C3904" s="7" t="s">
        <v>12556</v>
      </c>
      <c r="D3904" s="8">
        <f t="shared" si="244"/>
        <v>0</v>
      </c>
      <c r="E3904" s="7" t="s">
        <v>12557</v>
      </c>
      <c r="F3904" s="7">
        <f t="shared" si="245"/>
        <v>1</v>
      </c>
      <c r="G3904" s="7" t="s">
        <v>12558</v>
      </c>
      <c r="H3904" s="7">
        <f t="shared" si="246"/>
        <v>0</v>
      </c>
      <c r="I3904" s="7" cm="1">
        <f t="array" ref="I3904">IFERROR(_xlfn.IFS(M3904="נח",1,M3904="נע ונח",1,M3904="שני שווא נח",2,M3904="שני שוואים בסוף מילה",2,M3904="שני שוואים ברצף",1),"0")</f>
        <v>1</v>
      </c>
      <c r="J3904" s="9">
        <f t="shared" si="247"/>
        <v>2</v>
      </c>
      <c r="K3904" t="s">
        <v>6697</v>
      </c>
      <c r="L3904" t="s">
        <v>6694</v>
      </c>
      <c r="M3904" t="s">
        <v>6705</v>
      </c>
      <c r="S3904" t="s">
        <v>6694</v>
      </c>
      <c r="V3904" t="s">
        <v>6694</v>
      </c>
      <c r="W3904" t="s">
        <v>6720</v>
      </c>
    </row>
    <row r="3905" spans="1:23" ht="15.6" x14ac:dyDescent="0.4">
      <c r="A3905" s="2" t="s">
        <v>5716</v>
      </c>
      <c r="B3905" s="5" t="s">
        <v>10160</v>
      </c>
      <c r="C3905" s="7" t="s">
        <v>12556</v>
      </c>
      <c r="D3905" s="8">
        <f t="shared" si="244"/>
        <v>0</v>
      </c>
      <c r="E3905" s="7" t="s">
        <v>12557</v>
      </c>
      <c r="F3905" s="7">
        <f t="shared" si="245"/>
        <v>1</v>
      </c>
      <c r="G3905" s="7" t="s">
        <v>12558</v>
      </c>
      <c r="H3905" s="7">
        <f t="shared" si="246"/>
        <v>0</v>
      </c>
      <c r="I3905" s="7" cm="1">
        <f t="array" ref="I3905">IFERROR(_xlfn.IFS(M3905="נח",1,M3905="נע ונח",1,M3905="שני שווא נח",2,M3905="שני שוואים בסוף מילה",2,M3905="שני שוואים ברצף",1),"0")</f>
        <v>1</v>
      </c>
      <c r="J3905" s="9">
        <f t="shared" si="247"/>
        <v>2</v>
      </c>
      <c r="K3905" t="s">
        <v>6698</v>
      </c>
      <c r="L3905" t="s">
        <v>6694</v>
      </c>
      <c r="M3905" t="s">
        <v>6705</v>
      </c>
      <c r="N3905" t="s">
        <v>6706</v>
      </c>
      <c r="O3905" t="s">
        <v>6694</v>
      </c>
      <c r="S3905" t="s">
        <v>6694</v>
      </c>
      <c r="W3905" t="s">
        <v>6720</v>
      </c>
    </row>
    <row r="3906" spans="1:23" ht="15.6" x14ac:dyDescent="0.4">
      <c r="A3906" s="2" t="s">
        <v>4589</v>
      </c>
      <c r="B3906" s="5" t="s">
        <v>10161</v>
      </c>
      <c r="C3906" s="7" t="s">
        <v>12556</v>
      </c>
      <c r="D3906" s="8">
        <f t="shared" si="244"/>
        <v>0</v>
      </c>
      <c r="E3906" s="7" t="s">
        <v>12557</v>
      </c>
      <c r="F3906" s="7">
        <f t="shared" si="245"/>
        <v>2</v>
      </c>
      <c r="G3906" s="7" t="s">
        <v>12558</v>
      </c>
      <c r="H3906" s="7">
        <f t="shared" si="246"/>
        <v>0</v>
      </c>
      <c r="I3906" s="7" cm="1">
        <f t="array" ref="I3906">IFERROR(_xlfn.IFS(M3906="נח",1,M3906="נע ונח",1,M3906="שני שווא נח",2,M3906="שני שוואים בסוף מילה",2,M3906="שני שוואים ברצף",1),"0")</f>
        <v>1</v>
      </c>
      <c r="J3906" s="9">
        <f t="shared" si="247"/>
        <v>2</v>
      </c>
      <c r="K3906" t="s">
        <v>6697</v>
      </c>
      <c r="L3906" t="s">
        <v>6694</v>
      </c>
      <c r="M3906" t="s">
        <v>6705</v>
      </c>
      <c r="O3906" t="s">
        <v>6694</v>
      </c>
      <c r="S3906" t="s">
        <v>6694</v>
      </c>
      <c r="W3906" t="s">
        <v>6720</v>
      </c>
    </row>
    <row r="3907" spans="1:23" ht="15.6" x14ac:dyDescent="0.4">
      <c r="A3907" s="2" t="s">
        <v>4921</v>
      </c>
      <c r="B3907" s="5" t="s">
        <v>10162</v>
      </c>
      <c r="C3907" s="7" t="s">
        <v>12556</v>
      </c>
      <c r="D3907" s="8">
        <f t="shared" ref="D3907:D3970" si="248">(LEN(B3907)-LEN(SUBSTITUTE(B3907,C3907,"")))</f>
        <v>0</v>
      </c>
      <c r="E3907" s="7" t="s">
        <v>12557</v>
      </c>
      <c r="F3907" s="7">
        <f t="shared" ref="F3907:F3970" si="249">(LEN(A3907)-LEN(SUBSTITUTE(A3907,E3907,"")))</f>
        <v>2</v>
      </c>
      <c r="G3907" s="7" t="s">
        <v>12558</v>
      </c>
      <c r="H3907" s="7">
        <f t="shared" ref="H3907:H3970" si="250">(LEN(A3907)-LEN(SUBSTITUTE(A3907,G3907,"")))/2</f>
        <v>0</v>
      </c>
      <c r="I3907" s="7" t="str" cm="1">
        <f t="array" ref="I3907">IFERROR(_xlfn.IFS(M3907="נח",1,M3907="נע ונח",1,M3907="שני שווא נח",2,M3907="שני שוואים בסוף מילה",2,M3907="שני שוואים ברצף",1),"0")</f>
        <v>0</v>
      </c>
      <c r="J3907" s="9">
        <f t="shared" ref="J3907:J3970" si="251">LEN(A3907)-(LEN(B3907))-D3907-F3907+H3907-I3907</f>
        <v>3</v>
      </c>
      <c r="K3907" t="s">
        <v>6698</v>
      </c>
      <c r="L3907" t="s">
        <v>6695</v>
      </c>
      <c r="O3907" t="s">
        <v>6694</v>
      </c>
      <c r="S3907" t="s">
        <v>6694</v>
      </c>
      <c r="W3907" t="s">
        <v>6720</v>
      </c>
    </row>
    <row r="3908" spans="1:23" ht="15.6" x14ac:dyDescent="0.4">
      <c r="A3908" s="2" t="s">
        <v>641</v>
      </c>
      <c r="B3908" s="5" t="s">
        <v>10163</v>
      </c>
      <c r="C3908" s="7" t="s">
        <v>12556</v>
      </c>
      <c r="D3908" s="8">
        <f t="shared" si="248"/>
        <v>0</v>
      </c>
      <c r="E3908" s="7" t="s">
        <v>12557</v>
      </c>
      <c r="F3908" s="7">
        <f t="shared" si="249"/>
        <v>2</v>
      </c>
      <c r="G3908" s="7" t="s">
        <v>12558</v>
      </c>
      <c r="H3908" s="7">
        <f t="shared" si="250"/>
        <v>0</v>
      </c>
      <c r="I3908" s="7" t="str" cm="1">
        <f t="array" ref="I3908">IFERROR(_xlfn.IFS(M3908="נח",1,M3908="נע ונח",1,M3908="שני שווא נח",2,M3908="שני שוואים בסוף מילה",2,M3908="שני שוואים ברצף",1),"0")</f>
        <v>0</v>
      </c>
      <c r="J3908" s="9">
        <f t="shared" si="251"/>
        <v>3</v>
      </c>
      <c r="K3908" t="s">
        <v>6697</v>
      </c>
      <c r="L3908" t="s">
        <v>6695</v>
      </c>
      <c r="S3908" t="s">
        <v>6694</v>
      </c>
      <c r="V3908" t="s">
        <v>6694</v>
      </c>
      <c r="W3908" t="s">
        <v>6720</v>
      </c>
    </row>
    <row r="3909" spans="1:23" ht="15.6" x14ac:dyDescent="0.4">
      <c r="A3909" s="2" t="s">
        <v>139</v>
      </c>
      <c r="B3909" s="5" t="s">
        <v>10164</v>
      </c>
      <c r="C3909" s="7" t="s">
        <v>12556</v>
      </c>
      <c r="D3909" s="8">
        <f t="shared" si="248"/>
        <v>0</v>
      </c>
      <c r="E3909" s="7" t="s">
        <v>12557</v>
      </c>
      <c r="F3909" s="7">
        <f t="shared" si="249"/>
        <v>2</v>
      </c>
      <c r="G3909" s="7" t="s">
        <v>12558</v>
      </c>
      <c r="H3909" s="7">
        <f t="shared" si="250"/>
        <v>0</v>
      </c>
      <c r="I3909" s="7" t="str" cm="1">
        <f t="array" ref="I3909">IFERROR(_xlfn.IFS(M3909="נח",1,M3909="נע ונח",1,M3909="שני שווא נח",2,M3909="שני שוואים בסוף מילה",2,M3909="שני שוואים ברצף",1),"0")</f>
        <v>0</v>
      </c>
      <c r="J3909" s="9">
        <f t="shared" si="251"/>
        <v>2</v>
      </c>
      <c r="K3909" t="s">
        <v>6697</v>
      </c>
      <c r="L3909" t="s">
        <v>6695</v>
      </c>
      <c r="Q3909" t="s">
        <v>6694</v>
      </c>
      <c r="S3909" t="s">
        <v>6694</v>
      </c>
      <c r="W3909" t="s">
        <v>6720</v>
      </c>
    </row>
    <row r="3910" spans="1:23" ht="15.6" x14ac:dyDescent="0.4">
      <c r="A3910" s="2" t="s">
        <v>6381</v>
      </c>
      <c r="B3910" s="5" t="s">
        <v>10165</v>
      </c>
      <c r="C3910" s="7" t="s">
        <v>12556</v>
      </c>
      <c r="D3910" s="8">
        <f t="shared" si="248"/>
        <v>0</v>
      </c>
      <c r="E3910" s="7" t="s">
        <v>12557</v>
      </c>
      <c r="F3910" s="7">
        <f t="shared" si="249"/>
        <v>2</v>
      </c>
      <c r="G3910" s="7" t="s">
        <v>12558</v>
      </c>
      <c r="H3910" s="7">
        <f t="shared" si="250"/>
        <v>0</v>
      </c>
      <c r="I3910" s="7" cm="1">
        <f t="array" ref="I3910">IFERROR(_xlfn.IFS(M3910="נח",1,M3910="נע ונח",1,M3910="שני שווא נח",2,M3910="שני שוואים בסוף מילה",2,M3910="שני שוואים ברצף",1),"0")</f>
        <v>1</v>
      </c>
      <c r="J3910" s="9">
        <f t="shared" si="251"/>
        <v>3</v>
      </c>
      <c r="K3910" t="s">
        <v>6697</v>
      </c>
      <c r="L3910" t="s">
        <v>6694</v>
      </c>
      <c r="M3910" t="s">
        <v>6705</v>
      </c>
      <c r="N3910" t="s">
        <v>6706</v>
      </c>
      <c r="O3910" t="s">
        <v>6694</v>
      </c>
      <c r="S3910" t="s">
        <v>6694</v>
      </c>
      <c r="W3910" t="s">
        <v>6720</v>
      </c>
    </row>
    <row r="3911" spans="1:23" ht="15.6" x14ac:dyDescent="0.4">
      <c r="A3911" s="2" t="s">
        <v>4436</v>
      </c>
      <c r="B3911" s="5" t="s">
        <v>10166</v>
      </c>
      <c r="C3911" s="7" t="s">
        <v>12556</v>
      </c>
      <c r="D3911" s="8">
        <f t="shared" si="248"/>
        <v>0</v>
      </c>
      <c r="E3911" s="7" t="s">
        <v>12557</v>
      </c>
      <c r="F3911" s="7">
        <f t="shared" si="249"/>
        <v>1</v>
      </c>
      <c r="G3911" s="7" t="s">
        <v>12558</v>
      </c>
      <c r="H3911" s="7">
        <f t="shared" si="250"/>
        <v>0</v>
      </c>
      <c r="I3911" s="7" cm="1">
        <f t="array" ref="I3911">IFERROR(_xlfn.IFS(M3911="נח",1,M3911="נע ונח",1,M3911="שני שווא נח",2,M3911="שני שוואים בסוף מילה",2,M3911="שני שוואים ברצף",1),"0")</f>
        <v>1</v>
      </c>
      <c r="J3911" s="9">
        <f t="shared" si="251"/>
        <v>2</v>
      </c>
      <c r="K3911" t="s">
        <v>6698</v>
      </c>
      <c r="L3911" t="s">
        <v>6694</v>
      </c>
      <c r="M3911" t="s">
        <v>6705</v>
      </c>
      <c r="N3911" t="s">
        <v>6706</v>
      </c>
      <c r="O3911" t="s">
        <v>6694</v>
      </c>
      <c r="S3911" t="s">
        <v>6694</v>
      </c>
      <c r="W3911" t="s">
        <v>6720</v>
      </c>
    </row>
    <row r="3912" spans="1:23" ht="15.6" x14ac:dyDescent="0.4">
      <c r="A3912" s="2" t="s">
        <v>5528</v>
      </c>
      <c r="B3912" s="5" t="s">
        <v>10167</v>
      </c>
      <c r="C3912" s="7" t="s">
        <v>12556</v>
      </c>
      <c r="D3912" s="8">
        <f t="shared" si="248"/>
        <v>0</v>
      </c>
      <c r="E3912" s="7" t="s">
        <v>12557</v>
      </c>
      <c r="F3912" s="7">
        <f t="shared" si="249"/>
        <v>1</v>
      </c>
      <c r="G3912" s="7" t="s">
        <v>12558</v>
      </c>
      <c r="H3912" s="7">
        <f t="shared" si="250"/>
        <v>0</v>
      </c>
      <c r="I3912" s="7" cm="1">
        <f t="array" ref="I3912">IFERROR(_xlfn.IFS(M3912="נח",1,M3912="נע ונח",1,M3912="שני שווא נח",2,M3912="שני שוואים בסוף מילה",2,M3912="שני שוואים ברצף",1),"0")</f>
        <v>1</v>
      </c>
      <c r="J3912" s="9">
        <f t="shared" si="251"/>
        <v>2</v>
      </c>
      <c r="K3912" t="s">
        <v>6698</v>
      </c>
      <c r="L3912" t="s">
        <v>6694</v>
      </c>
      <c r="M3912" t="s">
        <v>6705</v>
      </c>
      <c r="Q3912" t="s">
        <v>6694</v>
      </c>
      <c r="S3912" t="s">
        <v>6694</v>
      </c>
      <c r="W3912" t="s">
        <v>6720</v>
      </c>
    </row>
    <row r="3913" spans="1:23" ht="15.6" x14ac:dyDescent="0.4">
      <c r="A3913" s="2" t="s">
        <v>3085</v>
      </c>
      <c r="B3913" s="5" t="s">
        <v>10168</v>
      </c>
      <c r="C3913" s="7" t="s">
        <v>12556</v>
      </c>
      <c r="D3913" s="8">
        <f t="shared" si="248"/>
        <v>0</v>
      </c>
      <c r="E3913" s="7" t="s">
        <v>12557</v>
      </c>
      <c r="F3913" s="7">
        <f t="shared" si="249"/>
        <v>1</v>
      </c>
      <c r="G3913" s="7" t="s">
        <v>12558</v>
      </c>
      <c r="H3913" s="7">
        <f t="shared" si="250"/>
        <v>0</v>
      </c>
      <c r="I3913" s="7" cm="1">
        <f t="array" ref="I3913">IFERROR(_xlfn.IFS(M3913="נח",1,M3913="נע ונח",1,M3913="שני שווא נח",2,M3913="שני שוואים בסוף מילה",2,M3913="שני שוואים ברצף",1),"0")</f>
        <v>1</v>
      </c>
      <c r="J3913" s="9">
        <f t="shared" si="251"/>
        <v>3</v>
      </c>
      <c r="K3913" t="s">
        <v>6698</v>
      </c>
      <c r="L3913" t="s">
        <v>6694</v>
      </c>
      <c r="M3913" t="s">
        <v>6705</v>
      </c>
      <c r="S3913" t="s">
        <v>6694</v>
      </c>
      <c r="W3913" t="s">
        <v>6720</v>
      </c>
    </row>
    <row r="3914" spans="1:23" ht="15.6" x14ac:dyDescent="0.4">
      <c r="A3914" s="2" t="s">
        <v>2835</v>
      </c>
      <c r="B3914" s="5" t="s">
        <v>10169</v>
      </c>
      <c r="C3914" s="7" t="s">
        <v>12556</v>
      </c>
      <c r="D3914" s="8">
        <f t="shared" si="248"/>
        <v>0</v>
      </c>
      <c r="E3914" s="7" t="s">
        <v>12557</v>
      </c>
      <c r="F3914" s="7">
        <f t="shared" si="249"/>
        <v>1</v>
      </c>
      <c r="G3914" s="7" t="s">
        <v>12558</v>
      </c>
      <c r="H3914" s="7">
        <f t="shared" si="250"/>
        <v>0</v>
      </c>
      <c r="I3914" s="7" cm="1">
        <f t="array" ref="I3914">IFERROR(_xlfn.IFS(M3914="נח",1,M3914="נע ונח",1,M3914="שני שווא נח",2,M3914="שני שוואים בסוף מילה",2,M3914="שני שוואים ברצף",1),"0")</f>
        <v>1</v>
      </c>
      <c r="J3914" s="9">
        <f t="shared" si="251"/>
        <v>2</v>
      </c>
      <c r="K3914" t="s">
        <v>6698</v>
      </c>
      <c r="L3914" t="s">
        <v>6694</v>
      </c>
      <c r="M3914" t="s">
        <v>6705</v>
      </c>
      <c r="S3914" t="s">
        <v>6694</v>
      </c>
      <c r="V3914" t="s">
        <v>6694</v>
      </c>
      <c r="W3914" t="s">
        <v>6720</v>
      </c>
    </row>
    <row r="3915" spans="1:23" ht="15.6" x14ac:dyDescent="0.4">
      <c r="A3915" s="2" t="s">
        <v>5738</v>
      </c>
      <c r="B3915" s="5" t="s">
        <v>10170</v>
      </c>
      <c r="C3915" s="7" t="s">
        <v>12556</v>
      </c>
      <c r="D3915" s="8">
        <f t="shared" si="248"/>
        <v>0</v>
      </c>
      <c r="E3915" s="7" t="s">
        <v>12557</v>
      </c>
      <c r="F3915" s="7">
        <f t="shared" si="249"/>
        <v>1</v>
      </c>
      <c r="G3915" s="7" t="s">
        <v>12558</v>
      </c>
      <c r="H3915" s="7">
        <f t="shared" si="250"/>
        <v>0</v>
      </c>
      <c r="I3915" s="7" cm="1">
        <f t="array" ref="I3915">IFERROR(_xlfn.IFS(M3915="נח",1,M3915="נע ונח",1,M3915="שני שווא נח",2,M3915="שני שוואים בסוף מילה",2,M3915="שני שוואים ברצף",1),"0")</f>
        <v>1</v>
      </c>
      <c r="J3915" s="9">
        <f t="shared" si="251"/>
        <v>3</v>
      </c>
      <c r="K3915" t="s">
        <v>6698</v>
      </c>
      <c r="L3915" t="s">
        <v>6694</v>
      </c>
      <c r="M3915" t="s">
        <v>6705</v>
      </c>
      <c r="S3915" t="s">
        <v>6694</v>
      </c>
      <c r="V3915" t="s">
        <v>6694</v>
      </c>
      <c r="W3915" t="s">
        <v>6720</v>
      </c>
    </row>
    <row r="3916" spans="1:23" ht="15.6" x14ac:dyDescent="0.4">
      <c r="A3916" s="2" t="s">
        <v>6681</v>
      </c>
      <c r="B3916" s="5" t="s">
        <v>10171</v>
      </c>
      <c r="C3916" s="7" t="s">
        <v>12556</v>
      </c>
      <c r="D3916" s="8">
        <f t="shared" si="248"/>
        <v>0</v>
      </c>
      <c r="E3916" s="7" t="s">
        <v>12557</v>
      </c>
      <c r="F3916" s="7">
        <f t="shared" si="249"/>
        <v>3</v>
      </c>
      <c r="G3916" s="7" t="s">
        <v>12558</v>
      </c>
      <c r="H3916" s="7">
        <f t="shared" si="250"/>
        <v>1</v>
      </c>
      <c r="I3916" s="7" cm="1">
        <f t="array" ref="I3916">IFERROR(_xlfn.IFS(M3916="נח",1,M3916="נע ונח",1,M3916="שני שווא נח",2,M3916="שני שוואים בסוף מילה",2,M3916="שני שוואים ברצף",1),"0")</f>
        <v>1</v>
      </c>
      <c r="J3916" s="9">
        <f t="shared" si="251"/>
        <v>3</v>
      </c>
      <c r="K3916" t="s">
        <v>6697</v>
      </c>
      <c r="L3916" t="s">
        <v>6694</v>
      </c>
      <c r="M3916" t="s">
        <v>6705</v>
      </c>
      <c r="S3916" t="s">
        <v>6694</v>
      </c>
      <c r="U3916" t="s">
        <v>6694</v>
      </c>
      <c r="W3916" t="s">
        <v>6720</v>
      </c>
    </row>
    <row r="3917" spans="1:23" ht="15.6" x14ac:dyDescent="0.4">
      <c r="A3917" s="2" t="s">
        <v>6514</v>
      </c>
      <c r="B3917" s="5" t="s">
        <v>10172</v>
      </c>
      <c r="C3917" s="7" t="s">
        <v>12556</v>
      </c>
      <c r="D3917" s="8">
        <f t="shared" si="248"/>
        <v>0</v>
      </c>
      <c r="E3917" s="7" t="s">
        <v>12557</v>
      </c>
      <c r="F3917" s="7">
        <f t="shared" si="249"/>
        <v>1</v>
      </c>
      <c r="G3917" s="7" t="s">
        <v>12558</v>
      </c>
      <c r="H3917" s="7">
        <f t="shared" si="250"/>
        <v>0</v>
      </c>
      <c r="I3917" s="7" t="str" cm="1">
        <f t="array" ref="I3917">IFERROR(_xlfn.IFS(M3917="נח",1,M3917="נע ונח",1,M3917="שני שווא נח",2,M3917="שני שוואים בסוף מילה",2,M3917="שני שוואים ברצף",1),"0")</f>
        <v>0</v>
      </c>
      <c r="J3917" s="9">
        <f t="shared" si="251"/>
        <v>3</v>
      </c>
      <c r="K3917" t="s">
        <v>6698</v>
      </c>
      <c r="L3917" t="s">
        <v>6695</v>
      </c>
      <c r="Q3917" t="s">
        <v>6694</v>
      </c>
      <c r="S3917" t="s">
        <v>6694</v>
      </c>
      <c r="V3917" t="s">
        <v>6694</v>
      </c>
      <c r="W3917" t="s">
        <v>6720</v>
      </c>
    </row>
    <row r="3918" spans="1:23" ht="15.6" x14ac:dyDescent="0.4">
      <c r="A3918" s="2" t="s">
        <v>191</v>
      </c>
      <c r="B3918" s="5" t="s">
        <v>10048</v>
      </c>
      <c r="C3918" s="7" t="s">
        <v>12556</v>
      </c>
      <c r="D3918" s="8">
        <f t="shared" si="248"/>
        <v>0</v>
      </c>
      <c r="E3918" s="7" t="s">
        <v>12557</v>
      </c>
      <c r="F3918" s="7">
        <f t="shared" si="249"/>
        <v>1</v>
      </c>
      <c r="G3918" s="7" t="s">
        <v>12558</v>
      </c>
      <c r="H3918" s="7">
        <f t="shared" si="250"/>
        <v>0</v>
      </c>
      <c r="I3918" s="7" t="str" cm="1">
        <f t="array" ref="I3918">IFERROR(_xlfn.IFS(M3918="נח",1,M3918="נע ונח",1,M3918="שני שווא נח",2,M3918="שני שוואים בסוף מילה",2,M3918="שני שוואים ברצף",1),"0")</f>
        <v>0</v>
      </c>
      <c r="J3918" s="9">
        <f t="shared" si="251"/>
        <v>1</v>
      </c>
      <c r="K3918" t="s">
        <v>6698</v>
      </c>
      <c r="L3918" t="s">
        <v>6695</v>
      </c>
      <c r="Q3918" t="s">
        <v>6694</v>
      </c>
      <c r="W3918" t="s">
        <v>6720</v>
      </c>
    </row>
    <row r="3919" spans="1:23" ht="15.6" x14ac:dyDescent="0.4">
      <c r="A3919" s="2" t="s">
        <v>3847</v>
      </c>
      <c r="B3919" s="5" t="s">
        <v>10173</v>
      </c>
      <c r="C3919" s="7" t="s">
        <v>12556</v>
      </c>
      <c r="D3919" s="8">
        <f t="shared" si="248"/>
        <v>0</v>
      </c>
      <c r="E3919" s="7" t="s">
        <v>12557</v>
      </c>
      <c r="F3919" s="7">
        <f t="shared" si="249"/>
        <v>1</v>
      </c>
      <c r="G3919" s="7" t="s">
        <v>12558</v>
      </c>
      <c r="H3919" s="7">
        <f t="shared" si="250"/>
        <v>0</v>
      </c>
      <c r="I3919" s="7" t="str" cm="1">
        <f t="array" ref="I3919">IFERROR(_xlfn.IFS(M3919="נח",1,M3919="נע ונח",1,M3919="שני שווא נח",2,M3919="שני שוואים בסוף מילה",2,M3919="שני שוואים ברצף",1),"0")</f>
        <v>0</v>
      </c>
      <c r="J3919" s="9">
        <f t="shared" si="251"/>
        <v>2</v>
      </c>
      <c r="K3919" t="s">
        <v>6698</v>
      </c>
      <c r="L3919" t="s">
        <v>6695</v>
      </c>
      <c r="Q3919" t="s">
        <v>6694</v>
      </c>
      <c r="R3919" t="s">
        <v>6694</v>
      </c>
      <c r="W3919" t="s">
        <v>6720</v>
      </c>
    </row>
    <row r="3920" spans="1:23" ht="15.6" x14ac:dyDescent="0.4">
      <c r="A3920" s="2" t="s">
        <v>2845</v>
      </c>
      <c r="B3920" s="5" t="s">
        <v>10050</v>
      </c>
      <c r="C3920" s="7" t="s">
        <v>12556</v>
      </c>
      <c r="D3920" s="8">
        <f t="shared" si="248"/>
        <v>0</v>
      </c>
      <c r="E3920" s="7" t="s">
        <v>12557</v>
      </c>
      <c r="F3920" s="7">
        <f t="shared" si="249"/>
        <v>1</v>
      </c>
      <c r="G3920" s="7" t="s">
        <v>12558</v>
      </c>
      <c r="H3920" s="7">
        <f t="shared" si="250"/>
        <v>0</v>
      </c>
      <c r="I3920" s="7" t="str" cm="1">
        <f t="array" ref="I3920">IFERROR(_xlfn.IFS(M3920="נח",1,M3920="נע ונח",1,M3920="שני שווא נח",2,M3920="שני שוואים בסוף מילה",2,M3920="שני שוואים ברצף",1),"0")</f>
        <v>0</v>
      </c>
      <c r="J3920" s="9">
        <f t="shared" si="251"/>
        <v>3</v>
      </c>
      <c r="K3920" t="s">
        <v>6698</v>
      </c>
      <c r="L3920" t="s">
        <v>6695</v>
      </c>
      <c r="O3920" t="s">
        <v>6694</v>
      </c>
      <c r="R3920" t="s">
        <v>6694</v>
      </c>
      <c r="S3920" t="s">
        <v>6694</v>
      </c>
      <c r="W3920" t="s">
        <v>6720</v>
      </c>
    </row>
    <row r="3921" spans="1:23" ht="15.6" x14ac:dyDescent="0.4">
      <c r="A3921" s="2" t="s">
        <v>5899</v>
      </c>
      <c r="B3921" s="5" t="s">
        <v>10174</v>
      </c>
      <c r="C3921" s="7" t="s">
        <v>12556</v>
      </c>
      <c r="D3921" s="8">
        <f t="shared" si="248"/>
        <v>0</v>
      </c>
      <c r="E3921" s="7" t="s">
        <v>12557</v>
      </c>
      <c r="F3921" s="7">
        <f t="shared" si="249"/>
        <v>1</v>
      </c>
      <c r="G3921" s="7" t="s">
        <v>12558</v>
      </c>
      <c r="H3921" s="7">
        <f t="shared" si="250"/>
        <v>0</v>
      </c>
      <c r="I3921" s="7" t="str" cm="1">
        <f t="array" ref="I3921">IFERROR(_xlfn.IFS(M3921="נח",1,M3921="נע ונח",1,M3921="שני שווא נח",2,M3921="שני שוואים בסוף מילה",2,M3921="שני שוואים ברצף",1),"0")</f>
        <v>0</v>
      </c>
      <c r="J3921" s="9">
        <f t="shared" si="251"/>
        <v>2</v>
      </c>
      <c r="K3921" t="s">
        <v>6698</v>
      </c>
      <c r="L3921" t="s">
        <v>6695</v>
      </c>
      <c r="R3921" t="s">
        <v>6694</v>
      </c>
      <c r="W3921" t="s">
        <v>6720</v>
      </c>
    </row>
    <row r="3922" spans="1:23" ht="15.6" x14ac:dyDescent="0.4">
      <c r="A3922" s="2" t="s">
        <v>1283</v>
      </c>
      <c r="B3922" s="5" t="s">
        <v>10175</v>
      </c>
      <c r="C3922" s="7" t="s">
        <v>12556</v>
      </c>
      <c r="D3922" s="8">
        <f t="shared" si="248"/>
        <v>0</v>
      </c>
      <c r="E3922" s="7" t="s">
        <v>12557</v>
      </c>
      <c r="F3922" s="7">
        <f t="shared" si="249"/>
        <v>1</v>
      </c>
      <c r="G3922" s="7" t="s">
        <v>12558</v>
      </c>
      <c r="H3922" s="7">
        <f t="shared" si="250"/>
        <v>0</v>
      </c>
      <c r="I3922" s="7" t="str" cm="1">
        <f t="array" ref="I3922">IFERROR(_xlfn.IFS(M3922="נח",1,M3922="נע ונח",1,M3922="שני שווא נח",2,M3922="שני שוואים בסוף מילה",2,M3922="שני שוואים ברצף",1),"0")</f>
        <v>0</v>
      </c>
      <c r="J3922" s="9">
        <f t="shared" si="251"/>
        <v>2</v>
      </c>
      <c r="K3922" t="s">
        <v>6698</v>
      </c>
      <c r="L3922" t="s">
        <v>6695</v>
      </c>
      <c r="R3922" t="s">
        <v>6694</v>
      </c>
      <c r="W3922" t="s">
        <v>6720</v>
      </c>
    </row>
    <row r="3923" spans="1:23" ht="15.6" x14ac:dyDescent="0.4">
      <c r="A3923" s="2" t="s">
        <v>5776</v>
      </c>
      <c r="B3923" s="5" t="s">
        <v>10125</v>
      </c>
      <c r="C3923" s="7" t="s">
        <v>12556</v>
      </c>
      <c r="D3923" s="8">
        <f t="shared" si="248"/>
        <v>0</v>
      </c>
      <c r="E3923" s="7" t="s">
        <v>12557</v>
      </c>
      <c r="F3923" s="7">
        <f t="shared" si="249"/>
        <v>1</v>
      </c>
      <c r="G3923" s="7" t="s">
        <v>12558</v>
      </c>
      <c r="H3923" s="7">
        <f t="shared" si="250"/>
        <v>0</v>
      </c>
      <c r="I3923" s="7" t="str" cm="1">
        <f t="array" ref="I3923">IFERROR(_xlfn.IFS(M3923="נח",1,M3923="נע ונח",1,M3923="שני שווא נח",2,M3923="שני שוואים בסוף מילה",2,M3923="שני שוואים ברצף",1),"0")</f>
        <v>0</v>
      </c>
      <c r="J3923" s="9">
        <f t="shared" si="251"/>
        <v>3</v>
      </c>
      <c r="K3923" t="s">
        <v>6698</v>
      </c>
      <c r="L3923" t="s">
        <v>6695</v>
      </c>
      <c r="N3923" t="s">
        <v>6706</v>
      </c>
      <c r="O3923" t="s">
        <v>6694</v>
      </c>
      <c r="R3923" t="s">
        <v>6694</v>
      </c>
      <c r="W3923" t="s">
        <v>6720</v>
      </c>
    </row>
    <row r="3924" spans="1:23" ht="15.6" x14ac:dyDescent="0.4">
      <c r="A3924" s="2" t="s">
        <v>1006</v>
      </c>
      <c r="B3924" s="5" t="s">
        <v>10176</v>
      </c>
      <c r="C3924" s="7" t="s">
        <v>12556</v>
      </c>
      <c r="D3924" s="8">
        <f t="shared" si="248"/>
        <v>0</v>
      </c>
      <c r="E3924" s="7" t="s">
        <v>12557</v>
      </c>
      <c r="F3924" s="7">
        <f t="shared" si="249"/>
        <v>1</v>
      </c>
      <c r="G3924" s="7" t="s">
        <v>12558</v>
      </c>
      <c r="H3924" s="7">
        <f t="shared" si="250"/>
        <v>0</v>
      </c>
      <c r="I3924" s="7" t="str" cm="1">
        <f t="array" ref="I3924">IFERROR(_xlfn.IFS(M3924="נח",1,M3924="נע ונח",1,M3924="שני שווא נח",2,M3924="שני שוואים בסוף מילה",2,M3924="שני שוואים ברצף",1),"0")</f>
        <v>0</v>
      </c>
      <c r="J3924" s="9">
        <f t="shared" si="251"/>
        <v>3</v>
      </c>
      <c r="K3924" t="s">
        <v>6698</v>
      </c>
      <c r="L3924" t="s">
        <v>6695</v>
      </c>
      <c r="P3924" t="s">
        <v>6694</v>
      </c>
      <c r="R3924" t="s">
        <v>6694</v>
      </c>
      <c r="W3924" t="s">
        <v>6720</v>
      </c>
    </row>
    <row r="3925" spans="1:23" ht="15.6" x14ac:dyDescent="0.4">
      <c r="A3925" s="2" t="s">
        <v>5718</v>
      </c>
      <c r="B3925" s="5" t="s">
        <v>10177</v>
      </c>
      <c r="C3925" s="7" t="s">
        <v>12556</v>
      </c>
      <c r="D3925" s="8">
        <f t="shared" si="248"/>
        <v>0</v>
      </c>
      <c r="E3925" s="7" t="s">
        <v>12557</v>
      </c>
      <c r="F3925" s="7">
        <f t="shared" si="249"/>
        <v>1</v>
      </c>
      <c r="G3925" s="7" t="s">
        <v>12558</v>
      </c>
      <c r="H3925" s="7">
        <f t="shared" si="250"/>
        <v>0</v>
      </c>
      <c r="I3925" s="7" t="str" cm="1">
        <f t="array" ref="I3925">IFERROR(_xlfn.IFS(M3925="נח",1,M3925="נע ונח",1,M3925="שני שווא נח",2,M3925="שני שוואים בסוף מילה",2,M3925="שני שוואים ברצף",1),"0")</f>
        <v>0</v>
      </c>
      <c r="J3925" s="9">
        <f t="shared" si="251"/>
        <v>4</v>
      </c>
      <c r="K3925" t="s">
        <v>6698</v>
      </c>
      <c r="L3925" t="s">
        <v>6695</v>
      </c>
      <c r="N3925" t="s">
        <v>6706</v>
      </c>
      <c r="O3925" t="s">
        <v>6694</v>
      </c>
      <c r="P3925" t="s">
        <v>6694</v>
      </c>
      <c r="V3925" t="s">
        <v>6694</v>
      </c>
      <c r="W3925" t="s">
        <v>6720</v>
      </c>
    </row>
    <row r="3926" spans="1:23" ht="15.6" x14ac:dyDescent="0.4">
      <c r="A3926" s="2" t="s">
        <v>3874</v>
      </c>
      <c r="B3926" s="5" t="s">
        <v>10178</v>
      </c>
      <c r="C3926" s="7" t="s">
        <v>12556</v>
      </c>
      <c r="D3926" s="8">
        <f t="shared" si="248"/>
        <v>1</v>
      </c>
      <c r="E3926" s="7" t="s">
        <v>12557</v>
      </c>
      <c r="F3926" s="7">
        <f t="shared" si="249"/>
        <v>1</v>
      </c>
      <c r="G3926" s="7" t="s">
        <v>12558</v>
      </c>
      <c r="H3926" s="7">
        <f t="shared" si="250"/>
        <v>0</v>
      </c>
      <c r="I3926" s="7" t="str" cm="1">
        <f t="array" ref="I3926">IFERROR(_xlfn.IFS(M3926="נח",1,M3926="נע ונח",1,M3926="שני שווא נח",2,M3926="שני שוואים בסוף מילה",2,M3926="שני שוואים ברצף",1),"0")</f>
        <v>0</v>
      </c>
      <c r="J3926" s="9">
        <f t="shared" si="251"/>
        <v>3</v>
      </c>
      <c r="K3926" t="s">
        <v>6698</v>
      </c>
      <c r="L3926" t="s">
        <v>6695</v>
      </c>
      <c r="P3926" t="s">
        <v>6694</v>
      </c>
      <c r="R3926" t="s">
        <v>6694</v>
      </c>
      <c r="W3926" t="s">
        <v>6720</v>
      </c>
    </row>
    <row r="3927" spans="1:23" ht="15.6" x14ac:dyDescent="0.4">
      <c r="A3927" s="2" t="s">
        <v>5903</v>
      </c>
      <c r="B3927" s="5" t="s">
        <v>10179</v>
      </c>
      <c r="C3927" s="7" t="s">
        <v>12556</v>
      </c>
      <c r="D3927" s="8">
        <f t="shared" si="248"/>
        <v>0</v>
      </c>
      <c r="E3927" s="7" t="s">
        <v>12557</v>
      </c>
      <c r="F3927" s="7">
        <f t="shared" si="249"/>
        <v>4</v>
      </c>
      <c r="G3927" s="7" t="s">
        <v>12558</v>
      </c>
      <c r="H3927" s="7">
        <f t="shared" si="250"/>
        <v>2</v>
      </c>
      <c r="I3927" s="7" cm="1">
        <f t="array" ref="I3927">IFERROR(_xlfn.IFS(M3927="נח",1,M3927="נע ונח",1,M3927="שני שווא נח",2,M3927="שני שוואים בסוף מילה",2,M3927="שני שוואים ברצף",1),"0")</f>
        <v>1</v>
      </c>
      <c r="J3927" s="9">
        <f t="shared" si="251"/>
        <v>3</v>
      </c>
      <c r="K3927" t="s">
        <v>6697</v>
      </c>
      <c r="L3927" t="s">
        <v>6694</v>
      </c>
      <c r="M3927" t="s">
        <v>6705</v>
      </c>
      <c r="P3927" t="s">
        <v>6694</v>
      </c>
      <c r="U3927" t="s">
        <v>6694</v>
      </c>
      <c r="W3927" t="s">
        <v>6720</v>
      </c>
    </row>
    <row r="3928" spans="1:23" ht="15.6" x14ac:dyDescent="0.4">
      <c r="A3928" s="2" t="s">
        <v>3846</v>
      </c>
      <c r="B3928" s="5" t="s">
        <v>10180</v>
      </c>
      <c r="C3928" s="7" t="s">
        <v>12556</v>
      </c>
      <c r="D3928" s="8">
        <f t="shared" si="248"/>
        <v>0</v>
      </c>
      <c r="E3928" s="7" t="s">
        <v>12557</v>
      </c>
      <c r="F3928" s="7">
        <f t="shared" si="249"/>
        <v>2</v>
      </c>
      <c r="G3928" s="7" t="s">
        <v>12558</v>
      </c>
      <c r="H3928" s="7">
        <f t="shared" si="250"/>
        <v>0</v>
      </c>
      <c r="I3928" s="7" cm="1">
        <f t="array" ref="I3928">IFERROR(_xlfn.IFS(M3928="נח",1,M3928="נע ונח",1,M3928="שני שווא נח",2,M3928="שני שוואים בסוף מילה",2,M3928="שני שוואים ברצף",1),"0")</f>
        <v>1</v>
      </c>
      <c r="J3928" s="9">
        <f t="shared" si="251"/>
        <v>3</v>
      </c>
      <c r="K3928" t="s">
        <v>6698</v>
      </c>
      <c r="L3928" t="s">
        <v>6694</v>
      </c>
      <c r="M3928" t="s">
        <v>6705</v>
      </c>
      <c r="P3928" t="s">
        <v>6694</v>
      </c>
      <c r="Q3928" t="s">
        <v>6694</v>
      </c>
      <c r="V3928" t="s">
        <v>6694</v>
      </c>
      <c r="W3928" t="s">
        <v>6720</v>
      </c>
    </row>
    <row r="3929" spans="1:23" ht="15.6" x14ac:dyDescent="0.4">
      <c r="A3929" s="2" t="s">
        <v>3879</v>
      </c>
      <c r="B3929" s="5" t="s">
        <v>10181</v>
      </c>
      <c r="C3929" s="7" t="s">
        <v>12556</v>
      </c>
      <c r="D3929" s="8">
        <f t="shared" si="248"/>
        <v>0</v>
      </c>
      <c r="E3929" s="7" t="s">
        <v>12557</v>
      </c>
      <c r="F3929" s="7">
        <f t="shared" si="249"/>
        <v>2</v>
      </c>
      <c r="G3929" s="7" t="s">
        <v>12558</v>
      </c>
      <c r="H3929" s="7">
        <f t="shared" si="250"/>
        <v>0</v>
      </c>
      <c r="I3929" s="7" cm="1">
        <f t="array" ref="I3929">IFERROR(_xlfn.IFS(M3929="נח",1,M3929="נע ונח",1,M3929="שני שווא נח",2,M3929="שני שוואים בסוף מילה",2,M3929="שני שוואים ברצף",1),"0")</f>
        <v>1</v>
      </c>
      <c r="J3929" s="9">
        <f t="shared" si="251"/>
        <v>3</v>
      </c>
      <c r="K3929" t="s">
        <v>6697</v>
      </c>
      <c r="L3929" t="s">
        <v>6694</v>
      </c>
      <c r="M3929" t="s">
        <v>6705</v>
      </c>
      <c r="P3929" t="s">
        <v>6694</v>
      </c>
      <c r="Q3929" t="s">
        <v>6694</v>
      </c>
      <c r="S3929" t="s">
        <v>6694</v>
      </c>
      <c r="W3929" t="s">
        <v>6720</v>
      </c>
    </row>
    <row r="3930" spans="1:23" ht="15.6" x14ac:dyDescent="0.4">
      <c r="A3930" s="2" t="s">
        <v>2203</v>
      </c>
      <c r="B3930" s="5" t="s">
        <v>10182</v>
      </c>
      <c r="C3930" s="7" t="s">
        <v>12556</v>
      </c>
      <c r="D3930" s="8">
        <f t="shared" si="248"/>
        <v>0</v>
      </c>
      <c r="E3930" s="7" t="s">
        <v>12557</v>
      </c>
      <c r="F3930" s="7">
        <f t="shared" si="249"/>
        <v>2</v>
      </c>
      <c r="G3930" s="7" t="s">
        <v>12558</v>
      </c>
      <c r="H3930" s="7">
        <f t="shared" si="250"/>
        <v>0</v>
      </c>
      <c r="I3930" s="7" t="str" cm="1">
        <f t="array" ref="I3930">IFERROR(_xlfn.IFS(M3930="נח",1,M3930="נע ונח",1,M3930="שני שווא נח",2,M3930="שני שוואים בסוף מילה",2,M3930="שני שוואים ברצף",1),"0")</f>
        <v>0</v>
      </c>
      <c r="J3930" s="9">
        <f t="shared" si="251"/>
        <v>3</v>
      </c>
      <c r="K3930" t="s">
        <v>6698</v>
      </c>
      <c r="L3930" t="s">
        <v>6695</v>
      </c>
      <c r="P3930" t="s">
        <v>6694</v>
      </c>
      <c r="V3930" t="s">
        <v>6694</v>
      </c>
      <c r="W3930" t="s">
        <v>6720</v>
      </c>
    </row>
    <row r="3931" spans="1:23" ht="15.6" x14ac:dyDescent="0.4">
      <c r="A3931" s="2" t="s">
        <v>5881</v>
      </c>
      <c r="B3931" s="5" t="s">
        <v>10182</v>
      </c>
      <c r="C3931" s="7" t="s">
        <v>12556</v>
      </c>
      <c r="D3931" s="8">
        <f t="shared" si="248"/>
        <v>0</v>
      </c>
      <c r="E3931" s="7" t="s">
        <v>12557</v>
      </c>
      <c r="F3931" s="7">
        <f t="shared" si="249"/>
        <v>2</v>
      </c>
      <c r="G3931" s="7" t="s">
        <v>12558</v>
      </c>
      <c r="H3931" s="7">
        <f t="shared" si="250"/>
        <v>0</v>
      </c>
      <c r="I3931" s="7" t="str" cm="1">
        <f t="array" ref="I3931">IFERROR(_xlfn.IFS(M3931="נח",1,M3931="נע ונח",1,M3931="שני שווא נח",2,M3931="שני שוואים בסוף מילה",2,M3931="שני שוואים ברצף",1),"0")</f>
        <v>0</v>
      </c>
      <c r="J3931" s="9">
        <f t="shared" si="251"/>
        <v>3</v>
      </c>
      <c r="K3931" t="s">
        <v>6698</v>
      </c>
      <c r="L3931" t="s">
        <v>6695</v>
      </c>
      <c r="N3931" t="s">
        <v>6706</v>
      </c>
      <c r="O3931" t="s">
        <v>6694</v>
      </c>
      <c r="P3931" t="s">
        <v>6694</v>
      </c>
      <c r="V3931" t="s">
        <v>6694</v>
      </c>
      <c r="W3931" t="s">
        <v>6720</v>
      </c>
    </row>
    <row r="3932" spans="1:23" ht="15.6" x14ac:dyDescent="0.4">
      <c r="A3932" s="2" t="s">
        <v>5430</v>
      </c>
      <c r="B3932" s="5" t="s">
        <v>10183</v>
      </c>
      <c r="C3932" s="7" t="s">
        <v>12556</v>
      </c>
      <c r="D3932" s="8">
        <f t="shared" si="248"/>
        <v>0</v>
      </c>
      <c r="E3932" s="7" t="s">
        <v>12557</v>
      </c>
      <c r="F3932" s="7">
        <f t="shared" si="249"/>
        <v>1</v>
      </c>
      <c r="G3932" s="7" t="s">
        <v>12558</v>
      </c>
      <c r="H3932" s="7">
        <f t="shared" si="250"/>
        <v>0</v>
      </c>
      <c r="I3932" s="7" t="str" cm="1">
        <f t="array" ref="I3932">IFERROR(_xlfn.IFS(M3932="נח",1,M3932="נע ונח",1,M3932="שני שווא נח",2,M3932="שני שוואים בסוף מילה",2,M3932="שני שוואים ברצף",1),"0")</f>
        <v>0</v>
      </c>
      <c r="J3932" s="9">
        <f t="shared" si="251"/>
        <v>3</v>
      </c>
      <c r="K3932" t="s">
        <v>6698</v>
      </c>
      <c r="L3932" t="s">
        <v>6695</v>
      </c>
      <c r="P3932" t="s">
        <v>6694</v>
      </c>
      <c r="V3932" t="s">
        <v>6694</v>
      </c>
      <c r="W3932" t="s">
        <v>6720</v>
      </c>
    </row>
    <row r="3933" spans="1:23" ht="15.6" x14ac:dyDescent="0.4">
      <c r="A3933" s="2" t="s">
        <v>5056</v>
      </c>
      <c r="B3933" s="5" t="s">
        <v>10184</v>
      </c>
      <c r="C3933" s="7" t="s">
        <v>12556</v>
      </c>
      <c r="D3933" s="8">
        <f t="shared" si="248"/>
        <v>1</v>
      </c>
      <c r="E3933" s="7" t="s">
        <v>12557</v>
      </c>
      <c r="F3933" s="7">
        <f t="shared" si="249"/>
        <v>1</v>
      </c>
      <c r="G3933" s="7" t="s">
        <v>12558</v>
      </c>
      <c r="H3933" s="7">
        <f t="shared" si="250"/>
        <v>0</v>
      </c>
      <c r="I3933" s="7" t="str" cm="1">
        <f t="array" ref="I3933">IFERROR(_xlfn.IFS(M3933="נח",1,M3933="נע ונח",1,M3933="שני שווא נח",2,M3933="שני שוואים בסוף מילה",2,M3933="שני שוואים ברצף",1),"0")</f>
        <v>0</v>
      </c>
      <c r="J3933" s="9">
        <f t="shared" si="251"/>
        <v>4</v>
      </c>
      <c r="K3933" t="s">
        <v>6697</v>
      </c>
      <c r="L3933" t="s">
        <v>6695</v>
      </c>
      <c r="O3933" t="s">
        <v>6694</v>
      </c>
      <c r="P3933" t="s">
        <v>6694</v>
      </c>
      <c r="Q3933" t="s">
        <v>6694</v>
      </c>
      <c r="W3933" t="s">
        <v>6720</v>
      </c>
    </row>
    <row r="3934" spans="1:23" ht="15.6" x14ac:dyDescent="0.4">
      <c r="A3934" s="2" t="s">
        <v>5884</v>
      </c>
      <c r="B3934" s="5" t="s">
        <v>10030</v>
      </c>
      <c r="C3934" s="7" t="s">
        <v>12556</v>
      </c>
      <c r="D3934" s="8">
        <f t="shared" si="248"/>
        <v>1</v>
      </c>
      <c r="E3934" s="7" t="s">
        <v>12557</v>
      </c>
      <c r="F3934" s="7">
        <f t="shared" si="249"/>
        <v>1</v>
      </c>
      <c r="G3934" s="7" t="s">
        <v>12558</v>
      </c>
      <c r="H3934" s="7">
        <f t="shared" si="250"/>
        <v>0</v>
      </c>
      <c r="I3934" s="7" t="str" cm="1">
        <f t="array" ref="I3934">IFERROR(_xlfn.IFS(M3934="נח",1,M3934="נע ונח",1,M3934="שני שווא נח",2,M3934="שני שוואים בסוף מילה",2,M3934="שני שוואים ברצף",1),"0")</f>
        <v>0</v>
      </c>
      <c r="J3934" s="9">
        <f t="shared" si="251"/>
        <v>3</v>
      </c>
      <c r="K3934" t="s">
        <v>6698</v>
      </c>
      <c r="L3934" t="s">
        <v>6695</v>
      </c>
      <c r="P3934" t="s">
        <v>6694</v>
      </c>
      <c r="R3934" t="s">
        <v>6694</v>
      </c>
      <c r="W3934" t="s">
        <v>6720</v>
      </c>
    </row>
    <row r="3935" spans="1:23" ht="15.6" x14ac:dyDescent="0.4">
      <c r="A3935" s="2" t="s">
        <v>6028</v>
      </c>
      <c r="B3935" s="5" t="s">
        <v>10185</v>
      </c>
      <c r="C3935" s="7" t="s">
        <v>12556</v>
      </c>
      <c r="D3935" s="8">
        <f t="shared" si="248"/>
        <v>0</v>
      </c>
      <c r="E3935" s="7" t="s">
        <v>12557</v>
      </c>
      <c r="F3935" s="7">
        <f t="shared" si="249"/>
        <v>1</v>
      </c>
      <c r="G3935" s="7" t="s">
        <v>12558</v>
      </c>
      <c r="H3935" s="7">
        <f t="shared" si="250"/>
        <v>0</v>
      </c>
      <c r="I3935" s="7" cm="1">
        <f t="array" ref="I3935">IFERROR(_xlfn.IFS(M3935="נח",1,M3935="נע ונח",1,M3935="שני שווא נח",2,M3935="שני שוואים בסוף מילה",2,M3935="שני שוואים ברצף",1),"0")</f>
        <v>1</v>
      </c>
      <c r="J3935" s="9">
        <f t="shared" si="251"/>
        <v>3</v>
      </c>
      <c r="K3935" t="s">
        <v>6697</v>
      </c>
      <c r="L3935" t="s">
        <v>6694</v>
      </c>
      <c r="M3935" t="s">
        <v>6705</v>
      </c>
      <c r="O3935" t="s">
        <v>6694</v>
      </c>
      <c r="P3935" t="s">
        <v>6694</v>
      </c>
      <c r="S3935" t="s">
        <v>6694</v>
      </c>
      <c r="W3935" t="s">
        <v>6720</v>
      </c>
    </row>
    <row r="3936" spans="1:23" ht="15.6" x14ac:dyDescent="0.4">
      <c r="A3936" s="2" t="s">
        <v>5054</v>
      </c>
      <c r="B3936" s="5" t="s">
        <v>10097</v>
      </c>
      <c r="C3936" s="7" t="s">
        <v>12556</v>
      </c>
      <c r="D3936" s="8">
        <f t="shared" si="248"/>
        <v>0</v>
      </c>
      <c r="E3936" s="7" t="s">
        <v>12557</v>
      </c>
      <c r="F3936" s="7">
        <f t="shared" si="249"/>
        <v>2</v>
      </c>
      <c r="G3936" s="7" t="s">
        <v>12558</v>
      </c>
      <c r="H3936" s="7">
        <f t="shared" si="250"/>
        <v>0</v>
      </c>
      <c r="I3936" s="7" t="str" cm="1">
        <f t="array" ref="I3936">IFERROR(_xlfn.IFS(M3936="נח",1,M3936="נע ונח",1,M3936="שני שווא נח",2,M3936="שני שוואים בסוף מילה",2,M3936="שני שוואים ברצף",1),"0")</f>
        <v>0</v>
      </c>
      <c r="J3936" s="9">
        <f t="shared" si="251"/>
        <v>2</v>
      </c>
      <c r="K3936" t="s">
        <v>6698</v>
      </c>
      <c r="L3936" t="s">
        <v>6695</v>
      </c>
      <c r="P3936" t="s">
        <v>6694</v>
      </c>
      <c r="V3936" t="s">
        <v>6694</v>
      </c>
      <c r="W3936" t="s">
        <v>6720</v>
      </c>
    </row>
    <row r="3937" spans="1:23" ht="15.6" x14ac:dyDescent="0.4">
      <c r="A3937" s="2" t="s">
        <v>4004</v>
      </c>
      <c r="B3937" s="5" t="s">
        <v>10186</v>
      </c>
      <c r="C3937" s="7" t="s">
        <v>12556</v>
      </c>
      <c r="D3937" s="8">
        <f t="shared" si="248"/>
        <v>0</v>
      </c>
      <c r="E3937" s="7" t="s">
        <v>12557</v>
      </c>
      <c r="F3937" s="7">
        <f t="shared" si="249"/>
        <v>2</v>
      </c>
      <c r="G3937" s="7" t="s">
        <v>12558</v>
      </c>
      <c r="H3937" s="7">
        <f t="shared" si="250"/>
        <v>0</v>
      </c>
      <c r="I3937" s="7" t="str" cm="1">
        <f t="array" ref="I3937">IFERROR(_xlfn.IFS(M3937="נח",1,M3937="נע ונח",1,M3937="שני שווא נח",2,M3937="שני שוואים בסוף מילה",2,M3937="שני שוואים ברצף",1),"0")</f>
        <v>0</v>
      </c>
      <c r="J3937" s="9">
        <f t="shared" si="251"/>
        <v>3</v>
      </c>
      <c r="K3937" t="s">
        <v>6697</v>
      </c>
      <c r="L3937" t="s">
        <v>6695</v>
      </c>
      <c r="O3937" t="s">
        <v>6694</v>
      </c>
      <c r="P3937" t="s">
        <v>6694</v>
      </c>
      <c r="V3937" t="s">
        <v>6694</v>
      </c>
      <c r="W3937" t="s">
        <v>6720</v>
      </c>
    </row>
    <row r="3938" spans="1:23" ht="15.6" x14ac:dyDescent="0.4">
      <c r="A3938" s="2" t="s">
        <v>3123</v>
      </c>
      <c r="B3938" s="5" t="s">
        <v>10187</v>
      </c>
      <c r="C3938" s="7" t="s">
        <v>12556</v>
      </c>
      <c r="D3938" s="8">
        <f t="shared" si="248"/>
        <v>0</v>
      </c>
      <c r="E3938" s="7" t="s">
        <v>12557</v>
      </c>
      <c r="F3938" s="7">
        <f t="shared" si="249"/>
        <v>2</v>
      </c>
      <c r="G3938" s="7" t="s">
        <v>12558</v>
      </c>
      <c r="H3938" s="7">
        <f t="shared" si="250"/>
        <v>0</v>
      </c>
      <c r="I3938" s="7" cm="1">
        <f t="array" ref="I3938">IFERROR(_xlfn.IFS(M3938="נח",1,M3938="נע ונח",1,M3938="שני שווא נח",2,M3938="שני שוואים בסוף מילה",2,M3938="שני שוואים ברצף",1),"0")</f>
        <v>1</v>
      </c>
      <c r="J3938" s="9">
        <f t="shared" si="251"/>
        <v>3</v>
      </c>
      <c r="K3938" t="s">
        <v>6698</v>
      </c>
      <c r="L3938" t="s">
        <v>6694</v>
      </c>
      <c r="M3938" t="s">
        <v>6705</v>
      </c>
      <c r="O3938" t="s">
        <v>6694</v>
      </c>
      <c r="P3938" t="s">
        <v>6694</v>
      </c>
      <c r="V3938" t="s">
        <v>6694</v>
      </c>
      <c r="W3938" t="s">
        <v>6720</v>
      </c>
    </row>
    <row r="3939" spans="1:23" ht="15.6" x14ac:dyDescent="0.4">
      <c r="A3939" s="2" t="s">
        <v>640</v>
      </c>
      <c r="B3939" s="5" t="s">
        <v>10188</v>
      </c>
      <c r="C3939" s="7" t="s">
        <v>12556</v>
      </c>
      <c r="D3939" s="8">
        <f t="shared" si="248"/>
        <v>1</v>
      </c>
      <c r="E3939" s="7" t="s">
        <v>12557</v>
      </c>
      <c r="F3939" s="7">
        <f t="shared" si="249"/>
        <v>3</v>
      </c>
      <c r="G3939" s="7" t="s">
        <v>12558</v>
      </c>
      <c r="H3939" s="7">
        <f t="shared" si="250"/>
        <v>1</v>
      </c>
      <c r="I3939" s="7" cm="1">
        <f t="array" ref="I3939">IFERROR(_xlfn.IFS(M3939="נח",1,M3939="נע ונח",1,M3939="שני שווא נח",2,M3939="שני שוואים בסוף מילה",2,M3939="שני שוואים ברצף",1),"0")</f>
        <v>1</v>
      </c>
      <c r="J3939" s="9">
        <f t="shared" si="251"/>
        <v>2</v>
      </c>
      <c r="K3939" t="s">
        <v>6698</v>
      </c>
      <c r="L3939" t="s">
        <v>6694</v>
      </c>
      <c r="M3939" t="s">
        <v>6705</v>
      </c>
      <c r="P3939" t="s">
        <v>6694</v>
      </c>
      <c r="U3939" t="s">
        <v>6694</v>
      </c>
      <c r="W3939" t="s">
        <v>6720</v>
      </c>
    </row>
    <row r="3940" spans="1:23" ht="15.6" x14ac:dyDescent="0.4">
      <c r="A3940" s="2" t="s">
        <v>4210</v>
      </c>
      <c r="B3940" s="5" t="s">
        <v>10054</v>
      </c>
      <c r="C3940" s="7" t="s">
        <v>12556</v>
      </c>
      <c r="D3940" s="8">
        <f t="shared" si="248"/>
        <v>0</v>
      </c>
      <c r="E3940" s="7" t="s">
        <v>12557</v>
      </c>
      <c r="F3940" s="7">
        <f t="shared" si="249"/>
        <v>2</v>
      </c>
      <c r="G3940" s="7" t="s">
        <v>12558</v>
      </c>
      <c r="H3940" s="7">
        <f t="shared" si="250"/>
        <v>0</v>
      </c>
      <c r="I3940" s="7" t="str" cm="1">
        <f t="array" ref="I3940">IFERROR(_xlfn.IFS(M3940="נח",1,M3940="נע ונח",1,M3940="שני שווא נח",2,M3940="שני שוואים בסוף מילה",2,M3940="שני שוואים ברצף",1),"0")</f>
        <v>0</v>
      </c>
      <c r="J3940" s="9">
        <f t="shared" si="251"/>
        <v>2</v>
      </c>
      <c r="K3940" t="s">
        <v>6697</v>
      </c>
      <c r="L3940" t="s">
        <v>6695</v>
      </c>
      <c r="P3940" t="s">
        <v>6694</v>
      </c>
      <c r="Q3940" t="s">
        <v>6694</v>
      </c>
      <c r="W3940" t="s">
        <v>6720</v>
      </c>
    </row>
    <row r="3941" spans="1:23" ht="15.6" x14ac:dyDescent="0.4">
      <c r="A3941" s="2" t="s">
        <v>6069</v>
      </c>
      <c r="B3941" s="5" t="s">
        <v>10189</v>
      </c>
      <c r="C3941" s="7" t="s">
        <v>12556</v>
      </c>
      <c r="D3941" s="8">
        <f t="shared" si="248"/>
        <v>0</v>
      </c>
      <c r="E3941" s="7" t="s">
        <v>12557</v>
      </c>
      <c r="F3941" s="7">
        <f t="shared" si="249"/>
        <v>3</v>
      </c>
      <c r="G3941" s="7" t="s">
        <v>12558</v>
      </c>
      <c r="H3941" s="7">
        <f t="shared" si="250"/>
        <v>0</v>
      </c>
      <c r="I3941" s="7" cm="1">
        <f t="array" ref="I3941">IFERROR(_xlfn.IFS(M3941="נח",1,M3941="נע ונח",1,M3941="שני שווא נח",2,M3941="שני שוואים בסוף מילה",2,M3941="שני שוואים ברצף",1),"0")</f>
        <v>1</v>
      </c>
      <c r="J3941" s="9">
        <f t="shared" si="251"/>
        <v>3</v>
      </c>
      <c r="K3941" t="s">
        <v>6698</v>
      </c>
      <c r="L3941" t="s">
        <v>6694</v>
      </c>
      <c r="M3941" t="s">
        <v>6705</v>
      </c>
      <c r="N3941" t="s">
        <v>6706</v>
      </c>
      <c r="O3941" t="s">
        <v>6694</v>
      </c>
      <c r="P3941" t="s">
        <v>6694</v>
      </c>
      <c r="S3941" t="s">
        <v>6694</v>
      </c>
      <c r="W3941" t="s">
        <v>6720</v>
      </c>
    </row>
    <row r="3942" spans="1:23" ht="15.6" x14ac:dyDescent="0.4">
      <c r="A3942" s="2" t="s">
        <v>5461</v>
      </c>
      <c r="B3942" s="5" t="s">
        <v>10056</v>
      </c>
      <c r="C3942" s="7" t="s">
        <v>12556</v>
      </c>
      <c r="D3942" s="8">
        <f t="shared" si="248"/>
        <v>0</v>
      </c>
      <c r="E3942" s="7" t="s">
        <v>12557</v>
      </c>
      <c r="F3942" s="7">
        <f t="shared" si="249"/>
        <v>2</v>
      </c>
      <c r="G3942" s="7" t="s">
        <v>12558</v>
      </c>
      <c r="H3942" s="7">
        <f t="shared" si="250"/>
        <v>0</v>
      </c>
      <c r="I3942" s="7" t="str" cm="1">
        <f t="array" ref="I3942">IFERROR(_xlfn.IFS(M3942="נח",1,M3942="נע ונח",1,M3942="שני שווא נח",2,M3942="שני שוואים בסוף מילה",2,M3942="שני שוואים ברצף",1),"0")</f>
        <v>0</v>
      </c>
      <c r="J3942" s="9">
        <f t="shared" si="251"/>
        <v>3</v>
      </c>
      <c r="K3942" t="s">
        <v>6698</v>
      </c>
      <c r="L3942" t="s">
        <v>6695</v>
      </c>
      <c r="P3942" t="s">
        <v>6694</v>
      </c>
      <c r="S3942" t="s">
        <v>6694</v>
      </c>
      <c r="W3942" t="s">
        <v>6720</v>
      </c>
    </row>
    <row r="3943" spans="1:23" ht="15.6" x14ac:dyDescent="0.4">
      <c r="A3943" s="2" t="s">
        <v>2082</v>
      </c>
      <c r="B3943" s="5" t="s">
        <v>10190</v>
      </c>
      <c r="C3943" s="7" t="s">
        <v>12556</v>
      </c>
      <c r="D3943" s="8">
        <f t="shared" si="248"/>
        <v>0</v>
      </c>
      <c r="E3943" s="7" t="s">
        <v>12557</v>
      </c>
      <c r="F3943" s="7">
        <f t="shared" si="249"/>
        <v>2</v>
      </c>
      <c r="G3943" s="7" t="s">
        <v>12558</v>
      </c>
      <c r="H3943" s="7">
        <f t="shared" si="250"/>
        <v>0</v>
      </c>
      <c r="I3943" s="7" t="str" cm="1">
        <f t="array" ref="I3943">IFERROR(_xlfn.IFS(M3943="נח",1,M3943="נע ונח",1,M3943="שני שווא נח",2,M3943="שני שוואים בסוף מילה",2,M3943="שני שוואים ברצף",1),"0")</f>
        <v>0</v>
      </c>
      <c r="J3943" s="9">
        <f t="shared" si="251"/>
        <v>2</v>
      </c>
      <c r="K3943" t="s">
        <v>6697</v>
      </c>
      <c r="L3943" t="s">
        <v>6695</v>
      </c>
      <c r="O3943" t="s">
        <v>6694</v>
      </c>
      <c r="P3943" t="s">
        <v>6694</v>
      </c>
      <c r="W3943" t="s">
        <v>6720</v>
      </c>
    </row>
    <row r="3944" spans="1:23" ht="15.6" x14ac:dyDescent="0.4">
      <c r="A3944" s="2" t="s">
        <v>189</v>
      </c>
      <c r="B3944" s="5" t="s">
        <v>10111</v>
      </c>
      <c r="C3944" s="7" t="s">
        <v>12556</v>
      </c>
      <c r="D3944" s="8">
        <f t="shared" si="248"/>
        <v>0</v>
      </c>
      <c r="E3944" s="7" t="s">
        <v>12557</v>
      </c>
      <c r="F3944" s="7">
        <f t="shared" si="249"/>
        <v>2</v>
      </c>
      <c r="G3944" s="7" t="s">
        <v>12558</v>
      </c>
      <c r="H3944" s="7">
        <f t="shared" si="250"/>
        <v>0</v>
      </c>
      <c r="I3944" s="7" t="str" cm="1">
        <f t="array" ref="I3944">IFERROR(_xlfn.IFS(M3944="נח",1,M3944="נע ונח",1,M3944="שני שווא נח",2,M3944="שני שוואים בסוף מילה",2,M3944="שני שוואים ברצף",1),"0")</f>
        <v>0</v>
      </c>
      <c r="J3944" s="9">
        <f t="shared" si="251"/>
        <v>2</v>
      </c>
      <c r="K3944" t="s">
        <v>6698</v>
      </c>
      <c r="L3944" t="s">
        <v>6695</v>
      </c>
      <c r="P3944" t="s">
        <v>6694</v>
      </c>
      <c r="V3944" t="s">
        <v>6694</v>
      </c>
      <c r="W3944" t="s">
        <v>6720</v>
      </c>
    </row>
    <row r="3945" spans="1:23" ht="15.6" x14ac:dyDescent="0.4">
      <c r="A3945" s="2" t="s">
        <v>628</v>
      </c>
      <c r="B3945" s="5" t="s">
        <v>10057</v>
      </c>
      <c r="C3945" s="7" t="s">
        <v>12556</v>
      </c>
      <c r="D3945" s="8">
        <f t="shared" si="248"/>
        <v>0</v>
      </c>
      <c r="E3945" s="7" t="s">
        <v>12557</v>
      </c>
      <c r="F3945" s="7">
        <f t="shared" si="249"/>
        <v>1</v>
      </c>
      <c r="G3945" s="7" t="s">
        <v>12558</v>
      </c>
      <c r="H3945" s="7">
        <f t="shared" si="250"/>
        <v>0</v>
      </c>
      <c r="I3945" s="7" cm="1">
        <f t="array" ref="I3945">IFERROR(_xlfn.IFS(M3945="נח",1,M3945="נע ונח",1,M3945="שני שווא נח",2,M3945="שני שוואים בסוף מילה",2,M3945="שני שוואים ברצף",1),"0")</f>
        <v>1</v>
      </c>
      <c r="J3945" s="9">
        <f t="shared" si="251"/>
        <v>2</v>
      </c>
      <c r="K3945" t="s">
        <v>6698</v>
      </c>
      <c r="L3945" t="s">
        <v>6694</v>
      </c>
      <c r="M3945" t="s">
        <v>6705</v>
      </c>
      <c r="P3945" t="s">
        <v>6694</v>
      </c>
      <c r="Q3945" t="s">
        <v>6694</v>
      </c>
      <c r="W3945" t="s">
        <v>6720</v>
      </c>
    </row>
    <row r="3946" spans="1:23" ht="15.6" x14ac:dyDescent="0.4">
      <c r="A3946" s="2" t="s">
        <v>5743</v>
      </c>
      <c r="B3946" s="5" t="s">
        <v>10191</v>
      </c>
      <c r="C3946" s="7" t="s">
        <v>12556</v>
      </c>
      <c r="D3946" s="8">
        <f t="shared" si="248"/>
        <v>0</v>
      </c>
      <c r="E3946" s="7" t="s">
        <v>12557</v>
      </c>
      <c r="F3946" s="7">
        <f t="shared" si="249"/>
        <v>2</v>
      </c>
      <c r="G3946" s="7" t="s">
        <v>12558</v>
      </c>
      <c r="H3946" s="7">
        <f t="shared" si="250"/>
        <v>0</v>
      </c>
      <c r="I3946" s="7" cm="1">
        <f t="array" ref="I3946">IFERROR(_xlfn.IFS(M3946="נח",1,M3946="נע ונח",1,M3946="שני שווא נח",2,M3946="שני שוואים בסוף מילה",2,M3946="שני שוואים ברצף",1),"0")</f>
        <v>1</v>
      </c>
      <c r="J3946" s="9">
        <f t="shared" si="251"/>
        <v>3</v>
      </c>
      <c r="K3946" t="s">
        <v>6698</v>
      </c>
      <c r="L3946" t="s">
        <v>6694</v>
      </c>
      <c r="M3946" t="s">
        <v>6705</v>
      </c>
      <c r="O3946" t="s">
        <v>6694</v>
      </c>
      <c r="P3946" t="s">
        <v>6694</v>
      </c>
      <c r="V3946" t="s">
        <v>6694</v>
      </c>
      <c r="W3946" t="s">
        <v>6720</v>
      </c>
    </row>
    <row r="3947" spans="1:23" ht="15.6" x14ac:dyDescent="0.4">
      <c r="A3947" s="2" t="s">
        <v>409</v>
      </c>
      <c r="B3947" s="5" t="s">
        <v>10192</v>
      </c>
      <c r="C3947" s="7" t="s">
        <v>12556</v>
      </c>
      <c r="D3947" s="8">
        <f t="shared" si="248"/>
        <v>0</v>
      </c>
      <c r="E3947" s="7" t="s">
        <v>12557</v>
      </c>
      <c r="F3947" s="7">
        <f t="shared" si="249"/>
        <v>2</v>
      </c>
      <c r="G3947" s="7" t="s">
        <v>12558</v>
      </c>
      <c r="H3947" s="7">
        <f t="shared" si="250"/>
        <v>0</v>
      </c>
      <c r="I3947" s="7" t="str" cm="1">
        <f t="array" ref="I3947">IFERROR(_xlfn.IFS(M3947="נח",1,M3947="נע ונח",1,M3947="שני שווא נח",2,M3947="שני שוואים בסוף מילה",2,M3947="שני שוואים ברצף",1),"0")</f>
        <v>0</v>
      </c>
      <c r="J3947" s="9">
        <f t="shared" si="251"/>
        <v>2</v>
      </c>
      <c r="K3947" t="s">
        <v>6698</v>
      </c>
      <c r="L3947" t="s">
        <v>6695</v>
      </c>
      <c r="P3947" t="s">
        <v>6694</v>
      </c>
      <c r="Q3947" t="s">
        <v>6694</v>
      </c>
      <c r="W3947" t="s">
        <v>6720</v>
      </c>
    </row>
    <row r="3948" spans="1:23" ht="15.6" x14ac:dyDescent="0.4">
      <c r="A3948" s="2" t="s">
        <v>2823</v>
      </c>
      <c r="B3948" s="5" t="s">
        <v>10193</v>
      </c>
      <c r="C3948" s="7" t="s">
        <v>12556</v>
      </c>
      <c r="D3948" s="8">
        <f t="shared" si="248"/>
        <v>1</v>
      </c>
      <c r="E3948" s="7" t="s">
        <v>12557</v>
      </c>
      <c r="F3948" s="7">
        <f t="shared" si="249"/>
        <v>2</v>
      </c>
      <c r="G3948" s="7" t="s">
        <v>12558</v>
      </c>
      <c r="H3948" s="7">
        <f t="shared" si="250"/>
        <v>0</v>
      </c>
      <c r="I3948" s="7" t="str" cm="1">
        <f t="array" ref="I3948">IFERROR(_xlfn.IFS(M3948="נח",1,M3948="נע ונח",1,M3948="שני שווא נח",2,M3948="שני שוואים בסוף מילה",2,M3948="שני שוואים ברצף",1),"0")</f>
        <v>0</v>
      </c>
      <c r="J3948" s="9">
        <f t="shared" si="251"/>
        <v>3</v>
      </c>
      <c r="K3948" t="s">
        <v>6698</v>
      </c>
      <c r="L3948" t="s">
        <v>6695</v>
      </c>
      <c r="P3948" t="s">
        <v>6694</v>
      </c>
      <c r="R3948" t="s">
        <v>6694</v>
      </c>
      <c r="W3948" t="s">
        <v>6720</v>
      </c>
    </row>
    <row r="3949" spans="1:23" ht="15.6" x14ac:dyDescent="0.4">
      <c r="A3949" s="2" t="s">
        <v>5228</v>
      </c>
      <c r="B3949" s="5" t="s">
        <v>10194</v>
      </c>
      <c r="C3949" s="7" t="s">
        <v>12556</v>
      </c>
      <c r="D3949" s="8">
        <f t="shared" si="248"/>
        <v>0</v>
      </c>
      <c r="E3949" s="7" t="s">
        <v>12557</v>
      </c>
      <c r="F3949" s="7">
        <f t="shared" si="249"/>
        <v>2</v>
      </c>
      <c r="G3949" s="7" t="s">
        <v>12558</v>
      </c>
      <c r="H3949" s="7">
        <f t="shared" si="250"/>
        <v>0</v>
      </c>
      <c r="I3949" s="7" cm="1">
        <f t="array" ref="I3949">IFERROR(_xlfn.IFS(M3949="נח",1,M3949="נע ונח",1,M3949="שני שווא נח",2,M3949="שני שוואים בסוף מילה",2,M3949="שני שוואים ברצף",1),"0")</f>
        <v>1</v>
      </c>
      <c r="J3949" s="9">
        <f t="shared" si="251"/>
        <v>2</v>
      </c>
      <c r="K3949" t="s">
        <v>6697</v>
      </c>
      <c r="L3949" t="s">
        <v>6694</v>
      </c>
      <c r="M3949" t="s">
        <v>6705</v>
      </c>
      <c r="P3949" t="s">
        <v>6694</v>
      </c>
      <c r="V3949" t="s">
        <v>6694</v>
      </c>
      <c r="W3949" t="s">
        <v>6720</v>
      </c>
    </row>
    <row r="3950" spans="1:23" ht="15.6" x14ac:dyDescent="0.4">
      <c r="A3950" s="2" t="s">
        <v>4929</v>
      </c>
      <c r="B3950" s="5" t="s">
        <v>10195</v>
      </c>
      <c r="C3950" s="7" t="s">
        <v>12556</v>
      </c>
      <c r="D3950" s="8">
        <f t="shared" si="248"/>
        <v>0</v>
      </c>
      <c r="E3950" s="7" t="s">
        <v>12557</v>
      </c>
      <c r="F3950" s="7">
        <f t="shared" si="249"/>
        <v>1</v>
      </c>
      <c r="G3950" s="7" t="s">
        <v>12558</v>
      </c>
      <c r="H3950" s="7">
        <f t="shared" si="250"/>
        <v>0</v>
      </c>
      <c r="I3950" s="7" cm="1">
        <f t="array" ref="I3950">IFERROR(_xlfn.IFS(M3950="נח",1,M3950="נע ונח",1,M3950="שני שווא נח",2,M3950="שני שוואים בסוף מילה",2,M3950="שני שוואים ברצף",1),"0")</f>
        <v>1</v>
      </c>
      <c r="J3950" s="9">
        <f t="shared" si="251"/>
        <v>3</v>
      </c>
      <c r="K3950" t="s">
        <v>6697</v>
      </c>
      <c r="L3950" t="s">
        <v>6694</v>
      </c>
      <c r="M3950" t="s">
        <v>6705</v>
      </c>
      <c r="O3950" t="s">
        <v>6694</v>
      </c>
      <c r="P3950" t="s">
        <v>6694</v>
      </c>
      <c r="W3950" t="s">
        <v>6720</v>
      </c>
    </row>
    <row r="3951" spans="1:23" ht="15.6" x14ac:dyDescent="0.4">
      <c r="A3951" s="2" t="s">
        <v>3662</v>
      </c>
      <c r="B3951" s="5" t="s">
        <v>10196</v>
      </c>
      <c r="C3951" s="7" t="s">
        <v>12556</v>
      </c>
      <c r="D3951" s="8">
        <f t="shared" si="248"/>
        <v>0</v>
      </c>
      <c r="E3951" s="7" t="s">
        <v>12557</v>
      </c>
      <c r="F3951" s="7">
        <f t="shared" si="249"/>
        <v>3</v>
      </c>
      <c r="G3951" s="7" t="s">
        <v>12558</v>
      </c>
      <c r="H3951" s="7">
        <f t="shared" si="250"/>
        <v>1</v>
      </c>
      <c r="I3951" s="7" t="str" cm="1">
        <f t="array" ref="I3951">IFERROR(_xlfn.IFS(M3951="נח",1,M3951="נע ונח",1,M3951="שני שווא נח",2,M3951="שני שוואים בסוף מילה",2,M3951="שני שוואים ברצף",1),"0")</f>
        <v>0</v>
      </c>
      <c r="J3951" s="9">
        <f t="shared" si="251"/>
        <v>3</v>
      </c>
      <c r="K3951" t="s">
        <v>6697</v>
      </c>
      <c r="L3951" t="s">
        <v>6695</v>
      </c>
      <c r="P3951" t="s">
        <v>6694</v>
      </c>
      <c r="Q3951" t="s">
        <v>6694</v>
      </c>
      <c r="U3951" t="s">
        <v>6694</v>
      </c>
      <c r="W3951" t="s">
        <v>6720</v>
      </c>
    </row>
    <row r="3952" spans="1:23" ht="15.6" x14ac:dyDescent="0.4">
      <c r="A3952" s="2" t="s">
        <v>6555</v>
      </c>
      <c r="B3952" s="5" t="s">
        <v>10197</v>
      </c>
      <c r="C3952" s="7" t="s">
        <v>12556</v>
      </c>
      <c r="D3952" s="8">
        <f t="shared" si="248"/>
        <v>0</v>
      </c>
      <c r="E3952" s="7" t="s">
        <v>12557</v>
      </c>
      <c r="F3952" s="7">
        <f t="shared" si="249"/>
        <v>2</v>
      </c>
      <c r="G3952" s="7" t="s">
        <v>12558</v>
      </c>
      <c r="H3952" s="7">
        <f t="shared" si="250"/>
        <v>0</v>
      </c>
      <c r="I3952" s="7" t="str" cm="1">
        <f t="array" ref="I3952">IFERROR(_xlfn.IFS(M3952="נח",1,M3952="נע ונח",1,M3952="שני שווא נח",2,M3952="שני שוואים בסוף מילה",2,M3952="שני שוואים ברצף",1),"0")</f>
        <v>0</v>
      </c>
      <c r="J3952" s="9">
        <f t="shared" si="251"/>
        <v>3</v>
      </c>
      <c r="K3952" t="s">
        <v>6697</v>
      </c>
      <c r="L3952" t="s">
        <v>6695</v>
      </c>
      <c r="O3952" t="s">
        <v>6694</v>
      </c>
      <c r="P3952" t="s">
        <v>6694</v>
      </c>
      <c r="R3952" t="s">
        <v>6694</v>
      </c>
      <c r="W3952" t="s">
        <v>6720</v>
      </c>
    </row>
    <row r="3953" spans="1:23" ht="15.6" x14ac:dyDescent="0.4">
      <c r="A3953" s="2" t="s">
        <v>5572</v>
      </c>
      <c r="B3953" s="5" t="s">
        <v>10060</v>
      </c>
      <c r="C3953" s="7" t="s">
        <v>12556</v>
      </c>
      <c r="D3953" s="8">
        <f t="shared" si="248"/>
        <v>0</v>
      </c>
      <c r="E3953" s="7" t="s">
        <v>12557</v>
      </c>
      <c r="F3953" s="7">
        <f t="shared" si="249"/>
        <v>2</v>
      </c>
      <c r="G3953" s="7" t="s">
        <v>12558</v>
      </c>
      <c r="H3953" s="7">
        <f t="shared" si="250"/>
        <v>0</v>
      </c>
      <c r="I3953" s="7" t="str" cm="1">
        <f t="array" ref="I3953">IFERROR(_xlfn.IFS(M3953="נח",1,M3953="נע ונח",1,M3953="שני שווא נח",2,M3953="שני שוואים בסוף מילה",2,M3953="שני שוואים ברצף",1),"0")</f>
        <v>0</v>
      </c>
      <c r="J3953" s="9">
        <f t="shared" si="251"/>
        <v>2</v>
      </c>
      <c r="K3953" t="s">
        <v>6698</v>
      </c>
      <c r="L3953" t="s">
        <v>6695</v>
      </c>
      <c r="P3953" t="s">
        <v>6694</v>
      </c>
      <c r="W3953" t="s">
        <v>6720</v>
      </c>
    </row>
    <row r="3954" spans="1:23" ht="15.6" x14ac:dyDescent="0.4">
      <c r="A3954" s="2" t="s">
        <v>2336</v>
      </c>
      <c r="B3954" s="5" t="s">
        <v>10059</v>
      </c>
      <c r="C3954" s="7" t="s">
        <v>12556</v>
      </c>
      <c r="D3954" s="8">
        <f t="shared" si="248"/>
        <v>0</v>
      </c>
      <c r="E3954" s="7" t="s">
        <v>12557</v>
      </c>
      <c r="F3954" s="7">
        <f t="shared" si="249"/>
        <v>2</v>
      </c>
      <c r="G3954" s="7" t="s">
        <v>12558</v>
      </c>
      <c r="H3954" s="7">
        <f t="shared" si="250"/>
        <v>0</v>
      </c>
      <c r="I3954" s="7" t="str" cm="1">
        <f t="array" ref="I3954">IFERROR(_xlfn.IFS(M3954="נח",1,M3954="נע ונח",1,M3954="שני שווא נח",2,M3954="שני שוואים בסוף מילה",2,M3954="שני שוואים ברצף",1),"0")</f>
        <v>0</v>
      </c>
      <c r="J3954" s="9">
        <f t="shared" si="251"/>
        <v>3</v>
      </c>
      <c r="K3954" t="s">
        <v>6698</v>
      </c>
      <c r="L3954" t="s">
        <v>6695</v>
      </c>
      <c r="P3954" t="s">
        <v>6694</v>
      </c>
      <c r="S3954" t="s">
        <v>6694</v>
      </c>
      <c r="W3954" t="s">
        <v>6720</v>
      </c>
    </row>
    <row r="3955" spans="1:23" ht="15.6" x14ac:dyDescent="0.4">
      <c r="A3955" s="2" t="s">
        <v>6611</v>
      </c>
      <c r="B3955" s="5" t="s">
        <v>10060</v>
      </c>
      <c r="C3955" s="7" t="s">
        <v>12556</v>
      </c>
      <c r="D3955" s="8">
        <f t="shared" si="248"/>
        <v>0</v>
      </c>
      <c r="E3955" s="7" t="s">
        <v>12557</v>
      </c>
      <c r="F3955" s="7">
        <f t="shared" si="249"/>
        <v>2</v>
      </c>
      <c r="G3955" s="7" t="s">
        <v>12558</v>
      </c>
      <c r="H3955" s="7">
        <f t="shared" si="250"/>
        <v>0</v>
      </c>
      <c r="I3955" s="7" t="str" cm="1">
        <f t="array" ref="I3955">IFERROR(_xlfn.IFS(M3955="נח",1,M3955="נע ונח",1,M3955="שני שווא נח",2,M3955="שני שוואים בסוף מילה",2,M3955="שני שוואים ברצף",1),"0")</f>
        <v>0</v>
      </c>
      <c r="J3955" s="9">
        <f t="shared" si="251"/>
        <v>2</v>
      </c>
      <c r="K3955" t="s">
        <v>6698</v>
      </c>
      <c r="L3955" t="s">
        <v>6695</v>
      </c>
      <c r="N3955" t="s">
        <v>6706</v>
      </c>
      <c r="O3955" t="s">
        <v>6694</v>
      </c>
      <c r="P3955" t="s">
        <v>6694</v>
      </c>
      <c r="W3955" t="s">
        <v>6720</v>
      </c>
    </row>
    <row r="3956" spans="1:23" ht="15.6" x14ac:dyDescent="0.4">
      <c r="A3956" s="2" t="s">
        <v>2426</v>
      </c>
      <c r="B3956" s="5" t="s">
        <v>10198</v>
      </c>
      <c r="C3956" s="7" t="s">
        <v>12556</v>
      </c>
      <c r="D3956" s="8">
        <f t="shared" si="248"/>
        <v>0</v>
      </c>
      <c r="E3956" s="7" t="s">
        <v>12557</v>
      </c>
      <c r="F3956" s="7">
        <f t="shared" si="249"/>
        <v>2</v>
      </c>
      <c r="G3956" s="7" t="s">
        <v>12558</v>
      </c>
      <c r="H3956" s="7">
        <f t="shared" si="250"/>
        <v>0</v>
      </c>
      <c r="I3956" s="7" t="str" cm="1">
        <f t="array" ref="I3956">IFERROR(_xlfn.IFS(M3956="נח",1,M3956="נע ונח",1,M3956="שני שווא נח",2,M3956="שני שוואים בסוף מילה",2,M3956="שני שוואים ברצף",1),"0")</f>
        <v>0</v>
      </c>
      <c r="J3956" s="9">
        <f t="shared" si="251"/>
        <v>2</v>
      </c>
      <c r="K3956" t="s">
        <v>6698</v>
      </c>
      <c r="L3956" t="s">
        <v>6695</v>
      </c>
      <c r="N3956" t="s">
        <v>6706</v>
      </c>
      <c r="O3956" t="s">
        <v>6694</v>
      </c>
      <c r="P3956" t="s">
        <v>6694</v>
      </c>
      <c r="W3956" t="s">
        <v>6720</v>
      </c>
    </row>
    <row r="3957" spans="1:23" ht="15.6" x14ac:dyDescent="0.4">
      <c r="A3957" s="2" t="s">
        <v>880</v>
      </c>
      <c r="B3957" s="5" t="s">
        <v>10199</v>
      </c>
      <c r="C3957" s="7" t="s">
        <v>12556</v>
      </c>
      <c r="D3957" s="8">
        <f t="shared" si="248"/>
        <v>0</v>
      </c>
      <c r="E3957" s="7" t="s">
        <v>12557</v>
      </c>
      <c r="F3957" s="7">
        <f t="shared" si="249"/>
        <v>3</v>
      </c>
      <c r="G3957" s="7" t="s">
        <v>12558</v>
      </c>
      <c r="H3957" s="7">
        <f t="shared" si="250"/>
        <v>0</v>
      </c>
      <c r="I3957" s="7" t="str" cm="1">
        <f t="array" ref="I3957">IFERROR(_xlfn.IFS(M3957="נח",1,M3957="נע ונח",1,M3957="שני שווא נח",2,M3957="שני שוואים בסוף מילה",2,M3957="שני שוואים ברצף",1),"0")</f>
        <v>0</v>
      </c>
      <c r="J3957" s="9">
        <f t="shared" si="251"/>
        <v>3</v>
      </c>
      <c r="K3957" t="s">
        <v>6697</v>
      </c>
      <c r="L3957" t="s">
        <v>6695</v>
      </c>
      <c r="O3957" t="s">
        <v>6694</v>
      </c>
      <c r="P3957" t="s">
        <v>6694</v>
      </c>
      <c r="S3957" t="s">
        <v>6694</v>
      </c>
      <c r="W3957" t="s">
        <v>6720</v>
      </c>
    </row>
    <row r="3958" spans="1:23" ht="15.6" x14ac:dyDescent="0.4">
      <c r="A3958" s="2" t="s">
        <v>6238</v>
      </c>
      <c r="B3958" s="5" t="s">
        <v>10200</v>
      </c>
      <c r="C3958" s="7" t="s">
        <v>12556</v>
      </c>
      <c r="D3958" s="8">
        <f t="shared" si="248"/>
        <v>0</v>
      </c>
      <c r="E3958" s="7" t="s">
        <v>12557</v>
      </c>
      <c r="F3958" s="7">
        <f t="shared" si="249"/>
        <v>2</v>
      </c>
      <c r="G3958" s="7" t="s">
        <v>12558</v>
      </c>
      <c r="H3958" s="7">
        <f t="shared" si="250"/>
        <v>0</v>
      </c>
      <c r="I3958" s="7" t="str" cm="1">
        <f t="array" ref="I3958">IFERROR(_xlfn.IFS(M3958="נח",1,M3958="נע ונח",1,M3958="שני שווא נח",2,M3958="שני שוואים בסוף מילה",2,M3958="שני שוואים ברצף",1),"0")</f>
        <v>0</v>
      </c>
      <c r="J3958" s="9">
        <f t="shared" si="251"/>
        <v>5</v>
      </c>
      <c r="K3958" t="s">
        <v>6698</v>
      </c>
      <c r="L3958" t="s">
        <v>6695</v>
      </c>
      <c r="N3958" t="s">
        <v>6706</v>
      </c>
      <c r="O3958" t="s">
        <v>6694</v>
      </c>
      <c r="P3958" t="s">
        <v>6694</v>
      </c>
      <c r="S3958" t="s">
        <v>6694</v>
      </c>
      <c r="W3958" t="s">
        <v>6720</v>
      </c>
    </row>
    <row r="3959" spans="1:23" ht="15.6" x14ac:dyDescent="0.4">
      <c r="A3959" s="2" t="s">
        <v>1388</v>
      </c>
      <c r="B3959" s="5" t="s">
        <v>10201</v>
      </c>
      <c r="C3959" s="7" t="s">
        <v>12556</v>
      </c>
      <c r="D3959" s="8">
        <f t="shared" si="248"/>
        <v>0</v>
      </c>
      <c r="E3959" s="7" t="s">
        <v>12557</v>
      </c>
      <c r="F3959" s="7">
        <f t="shared" si="249"/>
        <v>2</v>
      </c>
      <c r="G3959" s="7" t="s">
        <v>12558</v>
      </c>
      <c r="H3959" s="7">
        <f t="shared" si="250"/>
        <v>0</v>
      </c>
      <c r="I3959" s="7" t="str" cm="1">
        <f t="array" ref="I3959">IFERROR(_xlfn.IFS(M3959="נח",1,M3959="נע ונח",1,M3959="שני שווא נח",2,M3959="שני שוואים בסוף מילה",2,M3959="שני שוואים ברצף",1),"0")</f>
        <v>0</v>
      </c>
      <c r="J3959" s="9">
        <f t="shared" si="251"/>
        <v>3</v>
      </c>
      <c r="K3959" t="s">
        <v>6698</v>
      </c>
      <c r="L3959" t="s">
        <v>6695</v>
      </c>
      <c r="O3959" t="s">
        <v>6694</v>
      </c>
      <c r="P3959" t="s">
        <v>6694</v>
      </c>
      <c r="R3959" t="s">
        <v>6694</v>
      </c>
      <c r="W3959" t="s">
        <v>6720</v>
      </c>
    </row>
    <row r="3960" spans="1:23" ht="15.6" x14ac:dyDescent="0.4">
      <c r="A3960" s="2" t="s">
        <v>3851</v>
      </c>
      <c r="B3960" s="5" t="s">
        <v>10061</v>
      </c>
      <c r="C3960" s="7" t="s">
        <v>12556</v>
      </c>
      <c r="D3960" s="8">
        <f t="shared" si="248"/>
        <v>0</v>
      </c>
      <c r="E3960" s="7" t="s">
        <v>12557</v>
      </c>
      <c r="F3960" s="7">
        <f t="shared" si="249"/>
        <v>2</v>
      </c>
      <c r="G3960" s="7" t="s">
        <v>12558</v>
      </c>
      <c r="H3960" s="7">
        <f t="shared" si="250"/>
        <v>0</v>
      </c>
      <c r="I3960" s="7" t="str" cm="1">
        <f t="array" ref="I3960">IFERROR(_xlfn.IFS(M3960="נח",1,M3960="נע ונח",1,M3960="שני שווא נח",2,M3960="שני שוואים בסוף מילה",2,M3960="שני שוואים ברצף",1),"0")</f>
        <v>0</v>
      </c>
      <c r="J3960" s="9">
        <f t="shared" si="251"/>
        <v>2</v>
      </c>
      <c r="K3960" t="s">
        <v>6698</v>
      </c>
      <c r="L3960" t="s">
        <v>6695</v>
      </c>
      <c r="P3960" t="s">
        <v>6694</v>
      </c>
      <c r="V3960" t="s">
        <v>6694</v>
      </c>
      <c r="W3960" t="s">
        <v>6720</v>
      </c>
    </row>
    <row r="3961" spans="1:23" ht="15.6" x14ac:dyDescent="0.4">
      <c r="A3961" s="2" t="s">
        <v>1585</v>
      </c>
      <c r="B3961" s="5" t="s">
        <v>10202</v>
      </c>
      <c r="C3961" s="7" t="s">
        <v>12556</v>
      </c>
      <c r="D3961" s="8">
        <f t="shared" si="248"/>
        <v>1</v>
      </c>
      <c r="E3961" s="7" t="s">
        <v>12557</v>
      </c>
      <c r="F3961" s="7">
        <f t="shared" si="249"/>
        <v>3</v>
      </c>
      <c r="G3961" s="7" t="s">
        <v>12558</v>
      </c>
      <c r="H3961" s="7">
        <f t="shared" si="250"/>
        <v>0</v>
      </c>
      <c r="I3961" s="7" t="str" cm="1">
        <f t="array" ref="I3961">IFERROR(_xlfn.IFS(M3961="נח",1,M3961="נע ונח",1,M3961="שני שווא נח",2,M3961="שני שוואים בסוף מילה",2,M3961="שני שוואים ברצף",1),"0")</f>
        <v>0</v>
      </c>
      <c r="J3961" s="9">
        <f t="shared" si="251"/>
        <v>3</v>
      </c>
      <c r="K3961" t="s">
        <v>6698</v>
      </c>
      <c r="L3961" t="s">
        <v>6695</v>
      </c>
      <c r="P3961" t="s">
        <v>6694</v>
      </c>
      <c r="S3961" t="s">
        <v>6694</v>
      </c>
      <c r="V3961" t="s">
        <v>6694</v>
      </c>
      <c r="W3961" t="s">
        <v>6720</v>
      </c>
    </row>
    <row r="3962" spans="1:23" ht="15.6" x14ac:dyDescent="0.4">
      <c r="A3962" s="2" t="s">
        <v>619</v>
      </c>
      <c r="B3962" s="5" t="s">
        <v>10203</v>
      </c>
      <c r="C3962" s="7" t="s">
        <v>12556</v>
      </c>
      <c r="D3962" s="8">
        <f t="shared" si="248"/>
        <v>1</v>
      </c>
      <c r="E3962" s="7" t="s">
        <v>12557</v>
      </c>
      <c r="F3962" s="7">
        <f t="shared" si="249"/>
        <v>2</v>
      </c>
      <c r="G3962" s="7" t="s">
        <v>12558</v>
      </c>
      <c r="H3962" s="7">
        <f t="shared" si="250"/>
        <v>0</v>
      </c>
      <c r="I3962" s="7" cm="1">
        <f t="array" ref="I3962">IFERROR(_xlfn.IFS(M3962="נח",1,M3962="נע ונח",1,M3962="שני שווא נח",2,M3962="שני שוואים בסוף מילה",2,M3962="שני שוואים ברצף",1),"0")</f>
        <v>1</v>
      </c>
      <c r="J3962" s="9">
        <f t="shared" si="251"/>
        <v>3</v>
      </c>
      <c r="K3962" t="s">
        <v>6697</v>
      </c>
      <c r="L3962" t="s">
        <v>6694</v>
      </c>
      <c r="M3962" t="s">
        <v>6705</v>
      </c>
      <c r="O3962" t="s">
        <v>6694</v>
      </c>
      <c r="P3962" t="s">
        <v>6694</v>
      </c>
      <c r="W3962" t="s">
        <v>6720</v>
      </c>
    </row>
    <row r="3963" spans="1:23" ht="15.6" x14ac:dyDescent="0.4">
      <c r="A3963" s="2" t="s">
        <v>5536</v>
      </c>
      <c r="B3963" s="5" t="s">
        <v>10204</v>
      </c>
      <c r="C3963" s="7" t="s">
        <v>12556</v>
      </c>
      <c r="D3963" s="8">
        <f t="shared" si="248"/>
        <v>0</v>
      </c>
      <c r="E3963" s="7" t="s">
        <v>12557</v>
      </c>
      <c r="F3963" s="7">
        <f t="shared" si="249"/>
        <v>2</v>
      </c>
      <c r="G3963" s="7" t="s">
        <v>12558</v>
      </c>
      <c r="H3963" s="7">
        <f t="shared" si="250"/>
        <v>0</v>
      </c>
      <c r="I3963" s="7" t="str" cm="1">
        <f t="array" ref="I3963">IFERROR(_xlfn.IFS(M3963="נח",1,M3963="נע ונח",1,M3963="שני שווא נח",2,M3963="שני שוואים בסוף מילה",2,M3963="שני שוואים ברצף",1),"0")</f>
        <v>0</v>
      </c>
      <c r="J3963" s="9">
        <f t="shared" si="251"/>
        <v>3</v>
      </c>
      <c r="K3963" t="s">
        <v>6698</v>
      </c>
      <c r="L3963" t="s">
        <v>6695</v>
      </c>
      <c r="N3963" t="s">
        <v>6706</v>
      </c>
      <c r="O3963" t="s">
        <v>6694</v>
      </c>
      <c r="P3963" t="s">
        <v>6694</v>
      </c>
      <c r="W3963" t="s">
        <v>6720</v>
      </c>
    </row>
    <row r="3964" spans="1:23" ht="15.6" x14ac:dyDescent="0.4">
      <c r="A3964" s="2" t="s">
        <v>5890</v>
      </c>
      <c r="B3964" s="5" t="s">
        <v>10205</v>
      </c>
      <c r="C3964" s="7" t="s">
        <v>12556</v>
      </c>
      <c r="D3964" s="8">
        <f t="shared" si="248"/>
        <v>0</v>
      </c>
      <c r="E3964" s="7" t="s">
        <v>12557</v>
      </c>
      <c r="F3964" s="7">
        <f t="shared" si="249"/>
        <v>1</v>
      </c>
      <c r="G3964" s="7" t="s">
        <v>12558</v>
      </c>
      <c r="H3964" s="7">
        <f t="shared" si="250"/>
        <v>0</v>
      </c>
      <c r="I3964" s="7" t="str" cm="1">
        <f t="array" ref="I3964">IFERROR(_xlfn.IFS(M3964="נח",1,M3964="נע ונח",1,M3964="שני שווא נח",2,M3964="שני שוואים בסוף מילה",2,M3964="שני שוואים ברצף",1),"0")</f>
        <v>0</v>
      </c>
      <c r="J3964" s="9">
        <f t="shared" si="251"/>
        <v>3</v>
      </c>
      <c r="K3964" t="s">
        <v>6697</v>
      </c>
      <c r="L3964" t="s">
        <v>6695</v>
      </c>
      <c r="O3964" t="s">
        <v>6694</v>
      </c>
      <c r="P3964" t="s">
        <v>6694</v>
      </c>
      <c r="S3964" t="s">
        <v>6694</v>
      </c>
      <c r="W3964" t="s">
        <v>6720</v>
      </c>
    </row>
    <row r="3965" spans="1:23" ht="15.6" x14ac:dyDescent="0.4">
      <c r="A3965" s="2" t="s">
        <v>6575</v>
      </c>
      <c r="B3965" s="5" t="s">
        <v>10206</v>
      </c>
      <c r="C3965" s="7" t="s">
        <v>12556</v>
      </c>
      <c r="D3965" s="8">
        <f t="shared" si="248"/>
        <v>0</v>
      </c>
      <c r="E3965" s="7" t="s">
        <v>12557</v>
      </c>
      <c r="F3965" s="7">
        <f t="shared" si="249"/>
        <v>1</v>
      </c>
      <c r="G3965" s="7" t="s">
        <v>12558</v>
      </c>
      <c r="H3965" s="7">
        <f t="shared" si="250"/>
        <v>0</v>
      </c>
      <c r="I3965" s="7" t="str" cm="1">
        <f t="array" ref="I3965">IFERROR(_xlfn.IFS(M3965="נח",1,M3965="נע ונח",1,M3965="שני שווא נח",2,M3965="שני שוואים בסוף מילה",2,M3965="שני שוואים ברצף",1),"0")</f>
        <v>0</v>
      </c>
      <c r="J3965" s="9">
        <f t="shared" si="251"/>
        <v>2</v>
      </c>
      <c r="K3965" t="s">
        <v>6698</v>
      </c>
      <c r="L3965" t="s">
        <v>6695</v>
      </c>
      <c r="O3965" t="s">
        <v>6694</v>
      </c>
      <c r="S3965" t="s">
        <v>6694</v>
      </c>
      <c r="W3965" t="s">
        <v>6720</v>
      </c>
    </row>
    <row r="3966" spans="1:23" ht="15.6" x14ac:dyDescent="0.4">
      <c r="A3966" s="2" t="s">
        <v>1390</v>
      </c>
      <c r="B3966" s="5" t="s">
        <v>10207</v>
      </c>
      <c r="C3966" s="7" t="s">
        <v>12556</v>
      </c>
      <c r="D3966" s="8">
        <f t="shared" si="248"/>
        <v>0</v>
      </c>
      <c r="E3966" s="7" t="s">
        <v>12557</v>
      </c>
      <c r="F3966" s="7">
        <f t="shared" si="249"/>
        <v>1</v>
      </c>
      <c r="G3966" s="7" t="s">
        <v>12558</v>
      </c>
      <c r="H3966" s="7">
        <f t="shared" si="250"/>
        <v>0</v>
      </c>
      <c r="I3966" s="7" t="str" cm="1">
        <f t="array" ref="I3966">IFERROR(_xlfn.IFS(M3966="נח",1,M3966="נע ונח",1,M3966="שני שווא נח",2,M3966="שני שוואים בסוף מילה",2,M3966="שני שוואים ברצף",1),"0")</f>
        <v>0</v>
      </c>
      <c r="J3966" s="9">
        <f t="shared" si="251"/>
        <v>3</v>
      </c>
      <c r="K3966" t="s">
        <v>6698</v>
      </c>
      <c r="L3966" t="s">
        <v>6695</v>
      </c>
      <c r="O3966" t="s">
        <v>6694</v>
      </c>
      <c r="Q3966" t="s">
        <v>6694</v>
      </c>
      <c r="R3966" t="s">
        <v>6694</v>
      </c>
      <c r="W3966" t="s">
        <v>6720</v>
      </c>
    </row>
    <row r="3967" spans="1:23" ht="15.6" x14ac:dyDescent="0.4">
      <c r="A3967" s="2" t="s">
        <v>2046</v>
      </c>
      <c r="B3967" s="5" t="s">
        <v>10208</v>
      </c>
      <c r="C3967" s="7" t="s">
        <v>12556</v>
      </c>
      <c r="D3967" s="8">
        <f t="shared" si="248"/>
        <v>0</v>
      </c>
      <c r="E3967" s="7" t="s">
        <v>12557</v>
      </c>
      <c r="F3967" s="7">
        <f t="shared" si="249"/>
        <v>2</v>
      </c>
      <c r="G3967" s="7" t="s">
        <v>12558</v>
      </c>
      <c r="H3967" s="7">
        <f t="shared" si="250"/>
        <v>0</v>
      </c>
      <c r="I3967" s="7" t="str" cm="1">
        <f t="array" ref="I3967">IFERROR(_xlfn.IFS(M3967="נח",1,M3967="נע ונח",1,M3967="שני שווא נח",2,M3967="שני שוואים בסוף מילה",2,M3967="שני שוואים ברצף",1),"0")</f>
        <v>0</v>
      </c>
      <c r="J3967" s="9">
        <f t="shared" si="251"/>
        <v>4</v>
      </c>
      <c r="K3967" t="s">
        <v>6698</v>
      </c>
      <c r="L3967" t="s">
        <v>6695</v>
      </c>
      <c r="O3967" t="s">
        <v>6694</v>
      </c>
      <c r="P3967" t="s">
        <v>6694</v>
      </c>
      <c r="V3967" t="s">
        <v>6694</v>
      </c>
      <c r="W3967" t="s">
        <v>6720</v>
      </c>
    </row>
    <row r="3968" spans="1:23" ht="15.6" x14ac:dyDescent="0.4">
      <c r="A3968" s="2" t="s">
        <v>6545</v>
      </c>
      <c r="B3968" s="5" t="s">
        <v>10209</v>
      </c>
      <c r="C3968" s="7" t="s">
        <v>12556</v>
      </c>
      <c r="D3968" s="8">
        <f t="shared" si="248"/>
        <v>0</v>
      </c>
      <c r="E3968" s="7" t="s">
        <v>12557</v>
      </c>
      <c r="F3968" s="7">
        <f t="shared" si="249"/>
        <v>2</v>
      </c>
      <c r="G3968" s="7" t="s">
        <v>12558</v>
      </c>
      <c r="H3968" s="7">
        <f t="shared" si="250"/>
        <v>0</v>
      </c>
      <c r="I3968" s="7" cm="1">
        <f t="array" ref="I3968">IFERROR(_xlfn.IFS(M3968="נח",1,M3968="נע ונח",1,M3968="שני שווא נח",2,M3968="שני שוואים בסוף מילה",2,M3968="שני שוואים ברצף",1),"0")</f>
        <v>1</v>
      </c>
      <c r="J3968" s="9">
        <f t="shared" si="251"/>
        <v>3</v>
      </c>
      <c r="K3968" t="s">
        <v>6697</v>
      </c>
      <c r="L3968" t="s">
        <v>6694</v>
      </c>
      <c r="M3968" t="s">
        <v>6705</v>
      </c>
      <c r="O3968" t="s">
        <v>6694</v>
      </c>
      <c r="P3968" t="s">
        <v>6694</v>
      </c>
      <c r="R3968" t="s">
        <v>6694</v>
      </c>
      <c r="W3968" t="s">
        <v>6720</v>
      </c>
    </row>
    <row r="3969" spans="1:23" ht="15.6" x14ac:dyDescent="0.4">
      <c r="A3969" s="2" t="s">
        <v>6559</v>
      </c>
      <c r="B3969" s="5" t="s">
        <v>10210</v>
      </c>
      <c r="C3969" s="7" t="s">
        <v>12556</v>
      </c>
      <c r="D3969" s="8">
        <f t="shared" si="248"/>
        <v>0</v>
      </c>
      <c r="E3969" s="7" t="s">
        <v>12557</v>
      </c>
      <c r="F3969" s="7">
        <f t="shared" si="249"/>
        <v>1</v>
      </c>
      <c r="G3969" s="7" t="s">
        <v>12558</v>
      </c>
      <c r="H3969" s="7">
        <f t="shared" si="250"/>
        <v>0</v>
      </c>
      <c r="I3969" s="7" t="str" cm="1">
        <f t="array" ref="I3969">IFERROR(_xlfn.IFS(M3969="נח",1,M3969="נע ונח",1,M3969="שני שווא נח",2,M3969="שני שוואים בסוף מילה",2,M3969="שני שוואים ברצף",1),"0")</f>
        <v>0</v>
      </c>
      <c r="J3969" s="9">
        <f t="shared" si="251"/>
        <v>3</v>
      </c>
      <c r="K3969" t="s">
        <v>6697</v>
      </c>
      <c r="L3969" t="s">
        <v>6695</v>
      </c>
      <c r="O3969" t="s">
        <v>6694</v>
      </c>
      <c r="V3969" t="s">
        <v>6694</v>
      </c>
      <c r="W3969" t="s">
        <v>6720</v>
      </c>
    </row>
    <row r="3970" spans="1:23" ht="15.6" x14ac:dyDescent="0.4">
      <c r="A3970" s="2" t="s">
        <v>4941</v>
      </c>
      <c r="B3970" s="5" t="s">
        <v>10026</v>
      </c>
      <c r="C3970" s="7" t="s">
        <v>12556</v>
      </c>
      <c r="D3970" s="8">
        <f t="shared" si="248"/>
        <v>0</v>
      </c>
      <c r="E3970" s="7" t="s">
        <v>12557</v>
      </c>
      <c r="F3970" s="7">
        <f t="shared" si="249"/>
        <v>1</v>
      </c>
      <c r="G3970" s="7" t="s">
        <v>12558</v>
      </c>
      <c r="H3970" s="7">
        <f t="shared" si="250"/>
        <v>0</v>
      </c>
      <c r="I3970" s="7" t="str" cm="1">
        <f t="array" ref="I3970">IFERROR(_xlfn.IFS(M3970="נח",1,M3970="נע ונח",1,M3970="שני שווא נח",2,M3970="שני שוואים בסוף מילה",2,M3970="שני שוואים ברצף",1),"0")</f>
        <v>0</v>
      </c>
      <c r="J3970" s="9">
        <f t="shared" si="251"/>
        <v>2</v>
      </c>
      <c r="K3970" t="s">
        <v>6698</v>
      </c>
      <c r="L3970" t="s">
        <v>6695</v>
      </c>
      <c r="O3970" t="s">
        <v>6694</v>
      </c>
      <c r="V3970" t="s">
        <v>6694</v>
      </c>
      <c r="W3970" t="s">
        <v>6720</v>
      </c>
    </row>
    <row r="3971" spans="1:23" ht="15.6" x14ac:dyDescent="0.4">
      <c r="A3971" s="2" t="s">
        <v>4309</v>
      </c>
      <c r="B3971" s="5" t="s">
        <v>10064</v>
      </c>
      <c r="C3971" s="7" t="s">
        <v>12556</v>
      </c>
      <c r="D3971" s="8">
        <f t="shared" ref="D3971:D4034" si="252">(LEN(B3971)-LEN(SUBSTITUTE(B3971,C3971,"")))</f>
        <v>0</v>
      </c>
      <c r="E3971" s="7" t="s">
        <v>12557</v>
      </c>
      <c r="F3971" s="7">
        <f t="shared" ref="F3971:F4034" si="253">(LEN(A3971)-LEN(SUBSTITUTE(A3971,E3971,"")))</f>
        <v>1</v>
      </c>
      <c r="G3971" s="7" t="s">
        <v>12558</v>
      </c>
      <c r="H3971" s="7">
        <f t="shared" ref="H3971:H4034" si="254">(LEN(A3971)-LEN(SUBSTITUTE(A3971,G3971,"")))/2</f>
        <v>0</v>
      </c>
      <c r="I3971" s="7" t="str" cm="1">
        <f t="array" ref="I3971">IFERROR(_xlfn.IFS(M3971="נח",1,M3971="נע ונח",1,M3971="שני שווא נח",2,M3971="שני שוואים בסוף מילה",2,M3971="שני שוואים ברצף",1),"0")</f>
        <v>0</v>
      </c>
      <c r="J3971" s="9">
        <f t="shared" ref="J3971:J4034" si="255">LEN(A3971)-(LEN(B3971))-D3971-F3971+H3971-I3971</f>
        <v>2</v>
      </c>
      <c r="K3971" t="s">
        <v>6698</v>
      </c>
      <c r="L3971" t="s">
        <v>6695</v>
      </c>
      <c r="N3971" t="s">
        <v>6706</v>
      </c>
      <c r="O3971" t="s">
        <v>6694</v>
      </c>
      <c r="W3971" t="s">
        <v>6720</v>
      </c>
    </row>
    <row r="3972" spans="1:23" ht="15.6" x14ac:dyDescent="0.4">
      <c r="A3972" s="2" t="s">
        <v>5010</v>
      </c>
      <c r="B3972" s="5" t="s">
        <v>10211</v>
      </c>
      <c r="C3972" s="7" t="s">
        <v>12556</v>
      </c>
      <c r="D3972" s="8">
        <f t="shared" si="252"/>
        <v>1</v>
      </c>
      <c r="E3972" s="7" t="s">
        <v>12557</v>
      </c>
      <c r="F3972" s="7">
        <f t="shared" si="253"/>
        <v>1</v>
      </c>
      <c r="G3972" s="7" t="s">
        <v>12558</v>
      </c>
      <c r="H3972" s="7">
        <f t="shared" si="254"/>
        <v>0</v>
      </c>
      <c r="I3972" s="7" t="str" cm="1">
        <f t="array" ref="I3972">IFERROR(_xlfn.IFS(M3972="נח",1,M3972="נע ונח",1,M3972="שני שווא נח",2,M3972="שני שוואים בסוף מילה",2,M3972="שני שוואים ברצף",1),"0")</f>
        <v>0</v>
      </c>
      <c r="J3972" s="9">
        <f t="shared" si="255"/>
        <v>2</v>
      </c>
      <c r="K3972" t="s">
        <v>6698</v>
      </c>
      <c r="L3972" t="s">
        <v>6695</v>
      </c>
      <c r="O3972" t="s">
        <v>6694</v>
      </c>
      <c r="P3972" t="s">
        <v>6694</v>
      </c>
      <c r="W3972" t="s">
        <v>6720</v>
      </c>
    </row>
    <row r="3973" spans="1:23" ht="15.6" x14ac:dyDescent="0.4">
      <c r="A3973" s="2" t="s">
        <v>23</v>
      </c>
      <c r="B3973" s="5" t="s">
        <v>10065</v>
      </c>
      <c r="C3973" s="7" t="s">
        <v>12556</v>
      </c>
      <c r="D3973" s="8">
        <f t="shared" si="252"/>
        <v>0</v>
      </c>
      <c r="E3973" s="7" t="s">
        <v>12557</v>
      </c>
      <c r="F3973" s="7">
        <f t="shared" si="253"/>
        <v>1</v>
      </c>
      <c r="G3973" s="7" t="s">
        <v>12558</v>
      </c>
      <c r="H3973" s="7">
        <f t="shared" si="254"/>
        <v>0</v>
      </c>
      <c r="I3973" s="7" t="str" cm="1">
        <f t="array" ref="I3973">IFERROR(_xlfn.IFS(M3973="נח",1,M3973="נע ונח",1,M3973="שני שווא נח",2,M3973="שני שוואים בסוף מילה",2,M3973="שני שוואים ברצף",1),"0")</f>
        <v>0</v>
      </c>
      <c r="J3973" s="9">
        <f t="shared" si="255"/>
        <v>1</v>
      </c>
      <c r="K3973" t="s">
        <v>6698</v>
      </c>
      <c r="L3973" t="s">
        <v>6695</v>
      </c>
      <c r="N3973" t="s">
        <v>6706</v>
      </c>
      <c r="O3973" t="s">
        <v>6694</v>
      </c>
      <c r="W3973" t="s">
        <v>6720</v>
      </c>
    </row>
    <row r="3974" spans="1:23" ht="15.6" x14ac:dyDescent="0.4">
      <c r="A3974" s="2" t="s">
        <v>4884</v>
      </c>
      <c r="B3974" s="5" t="s">
        <v>10212</v>
      </c>
      <c r="C3974" s="7" t="s">
        <v>12556</v>
      </c>
      <c r="D3974" s="8">
        <f t="shared" si="252"/>
        <v>0</v>
      </c>
      <c r="E3974" s="7" t="s">
        <v>12557</v>
      </c>
      <c r="F3974" s="7">
        <f t="shared" si="253"/>
        <v>1</v>
      </c>
      <c r="G3974" s="7" t="s">
        <v>12558</v>
      </c>
      <c r="H3974" s="7">
        <f t="shared" si="254"/>
        <v>0</v>
      </c>
      <c r="I3974" s="7" cm="1">
        <f t="array" ref="I3974">IFERROR(_xlfn.IFS(M3974="נח",1,M3974="נע ונח",1,M3974="שני שווא נח",2,M3974="שני שוואים בסוף מילה",2,M3974="שני שוואים ברצף",1),"0")</f>
        <v>1</v>
      </c>
      <c r="J3974" s="9">
        <f t="shared" si="255"/>
        <v>2</v>
      </c>
      <c r="K3974" t="s">
        <v>6697</v>
      </c>
      <c r="L3974" t="s">
        <v>6694</v>
      </c>
      <c r="M3974" t="s">
        <v>6705</v>
      </c>
      <c r="N3974" t="s">
        <v>6706</v>
      </c>
      <c r="O3974" t="s">
        <v>6694</v>
      </c>
      <c r="W3974" t="s">
        <v>6720</v>
      </c>
    </row>
    <row r="3975" spans="1:23" ht="15.6" x14ac:dyDescent="0.4">
      <c r="A3975" s="2" t="s">
        <v>5441</v>
      </c>
      <c r="B3975" s="5" t="s">
        <v>10054</v>
      </c>
      <c r="C3975" s="7" t="s">
        <v>12556</v>
      </c>
      <c r="D3975" s="8">
        <f t="shared" si="252"/>
        <v>0</v>
      </c>
      <c r="E3975" s="7" t="s">
        <v>12557</v>
      </c>
      <c r="F3975" s="7">
        <f t="shared" si="253"/>
        <v>1</v>
      </c>
      <c r="G3975" s="7" t="s">
        <v>12558</v>
      </c>
      <c r="H3975" s="7">
        <f t="shared" si="254"/>
        <v>0</v>
      </c>
      <c r="I3975" s="7" t="str" cm="1">
        <f t="array" ref="I3975">IFERROR(_xlfn.IFS(M3975="נח",1,M3975="נע ונח",1,M3975="שני שווא נח",2,M3975="שני שוואים בסוף מילה",2,M3975="שני שוואים ברצף",1),"0")</f>
        <v>0</v>
      </c>
      <c r="J3975" s="9">
        <f t="shared" si="255"/>
        <v>2</v>
      </c>
      <c r="K3975" t="s">
        <v>6697</v>
      </c>
      <c r="L3975" t="s">
        <v>6695</v>
      </c>
      <c r="O3975" t="s">
        <v>6694</v>
      </c>
      <c r="W3975" t="s">
        <v>6720</v>
      </c>
    </row>
    <row r="3976" spans="1:23" ht="15.6" x14ac:dyDescent="0.4">
      <c r="A3976" s="2" t="s">
        <v>3131</v>
      </c>
      <c r="B3976" s="5" t="s">
        <v>10066</v>
      </c>
      <c r="C3976" s="7" t="s">
        <v>12556</v>
      </c>
      <c r="D3976" s="8">
        <f t="shared" si="252"/>
        <v>0</v>
      </c>
      <c r="E3976" s="7" t="s">
        <v>12557</v>
      </c>
      <c r="F3976" s="7">
        <f t="shared" si="253"/>
        <v>3</v>
      </c>
      <c r="G3976" s="7" t="s">
        <v>12558</v>
      </c>
      <c r="H3976" s="7">
        <f t="shared" si="254"/>
        <v>1</v>
      </c>
      <c r="I3976" s="7" t="str" cm="1">
        <f t="array" ref="I3976">IFERROR(_xlfn.IFS(M3976="נח",1,M3976="נע ונח",1,M3976="שני שווא נח",2,M3976="שני שוואים בסוף מילה",2,M3976="שני שוואים ברצף",1),"0")</f>
        <v>0</v>
      </c>
      <c r="J3976" s="9">
        <f t="shared" si="255"/>
        <v>2</v>
      </c>
      <c r="K3976" t="s">
        <v>6697</v>
      </c>
      <c r="L3976" t="s">
        <v>6695</v>
      </c>
      <c r="O3976" t="s">
        <v>6694</v>
      </c>
      <c r="U3976" t="s">
        <v>6694</v>
      </c>
      <c r="W3976" t="s">
        <v>6720</v>
      </c>
    </row>
    <row r="3977" spans="1:23" ht="15.6" x14ac:dyDescent="0.4">
      <c r="A3977" s="2" t="s">
        <v>2529</v>
      </c>
      <c r="B3977" s="5" t="s">
        <v>10066</v>
      </c>
      <c r="C3977" s="7" t="s">
        <v>12556</v>
      </c>
      <c r="D3977" s="8">
        <f t="shared" si="252"/>
        <v>0</v>
      </c>
      <c r="E3977" s="7" t="s">
        <v>12557</v>
      </c>
      <c r="F3977" s="7">
        <f t="shared" si="253"/>
        <v>2</v>
      </c>
      <c r="G3977" s="7" t="s">
        <v>12558</v>
      </c>
      <c r="H3977" s="7">
        <f t="shared" si="254"/>
        <v>1</v>
      </c>
      <c r="I3977" s="7" t="str" cm="1">
        <f t="array" ref="I3977">IFERROR(_xlfn.IFS(M3977="נח",1,M3977="נע ונח",1,M3977="שני שווא נח",2,M3977="שני שוואים בסוף מילה",2,M3977="שני שוואים ברצף",1),"0")</f>
        <v>0</v>
      </c>
      <c r="J3977" s="9">
        <f t="shared" si="255"/>
        <v>2</v>
      </c>
      <c r="K3977" t="s">
        <v>6697</v>
      </c>
      <c r="L3977" t="s">
        <v>6695</v>
      </c>
      <c r="O3977" t="s">
        <v>6694</v>
      </c>
      <c r="U3977" t="s">
        <v>6694</v>
      </c>
      <c r="W3977" t="s">
        <v>6720</v>
      </c>
    </row>
    <row r="3978" spans="1:23" ht="15.6" x14ac:dyDescent="0.4">
      <c r="A3978" s="2" t="s">
        <v>5353</v>
      </c>
      <c r="B3978" s="5" t="s">
        <v>10190</v>
      </c>
      <c r="C3978" s="7" t="s">
        <v>12556</v>
      </c>
      <c r="D3978" s="8">
        <f t="shared" si="252"/>
        <v>0</v>
      </c>
      <c r="E3978" s="7" t="s">
        <v>12557</v>
      </c>
      <c r="F3978" s="7">
        <f t="shared" si="253"/>
        <v>2</v>
      </c>
      <c r="G3978" s="7" t="s">
        <v>12558</v>
      </c>
      <c r="H3978" s="7">
        <f t="shared" si="254"/>
        <v>0</v>
      </c>
      <c r="I3978" s="7" t="str" cm="1">
        <f t="array" ref="I3978">IFERROR(_xlfn.IFS(M3978="נח",1,M3978="נע ונח",1,M3978="שני שווא נח",2,M3978="שני שוואים בסוף מילה",2,M3978="שני שוואים ברצף",1),"0")</f>
        <v>0</v>
      </c>
      <c r="J3978" s="9">
        <f t="shared" si="255"/>
        <v>2</v>
      </c>
      <c r="K3978" t="s">
        <v>6697</v>
      </c>
      <c r="L3978" t="s">
        <v>6695</v>
      </c>
      <c r="O3978" t="s">
        <v>6694</v>
      </c>
      <c r="P3978" t="s">
        <v>6694</v>
      </c>
      <c r="W3978" t="s">
        <v>6720</v>
      </c>
    </row>
    <row r="3979" spans="1:23" ht="15.6" x14ac:dyDescent="0.4">
      <c r="A3979" s="2" t="s">
        <v>6112</v>
      </c>
      <c r="B3979" s="5" t="s">
        <v>10213</v>
      </c>
      <c r="C3979" s="7" t="s">
        <v>12556</v>
      </c>
      <c r="D3979" s="8">
        <f t="shared" si="252"/>
        <v>0</v>
      </c>
      <c r="E3979" s="7" t="s">
        <v>12557</v>
      </c>
      <c r="F3979" s="7">
        <f t="shared" si="253"/>
        <v>1</v>
      </c>
      <c r="G3979" s="7" t="s">
        <v>12558</v>
      </c>
      <c r="H3979" s="7">
        <f t="shared" si="254"/>
        <v>0</v>
      </c>
      <c r="I3979" s="7" t="str" cm="1">
        <f t="array" ref="I3979">IFERROR(_xlfn.IFS(M3979="נח",1,M3979="נע ונח",1,M3979="שני שווא נח",2,M3979="שני שוואים בסוף מילה",2,M3979="שני שוואים ברצף",1),"0")</f>
        <v>0</v>
      </c>
      <c r="J3979" s="9">
        <f t="shared" si="255"/>
        <v>2</v>
      </c>
      <c r="K3979" t="s">
        <v>6698</v>
      </c>
      <c r="L3979" t="s">
        <v>6695</v>
      </c>
      <c r="N3979" t="s">
        <v>6706</v>
      </c>
      <c r="O3979" t="s">
        <v>6694</v>
      </c>
      <c r="W3979" t="s">
        <v>6720</v>
      </c>
    </row>
    <row r="3980" spans="1:23" ht="15.6" x14ac:dyDescent="0.4">
      <c r="A3980" s="2" t="s">
        <v>6480</v>
      </c>
      <c r="B3980" s="5" t="s">
        <v>10175</v>
      </c>
      <c r="C3980" s="7" t="s">
        <v>12556</v>
      </c>
      <c r="D3980" s="8">
        <f t="shared" si="252"/>
        <v>0</v>
      </c>
      <c r="E3980" s="7" t="s">
        <v>12557</v>
      </c>
      <c r="F3980" s="7">
        <f t="shared" si="253"/>
        <v>1</v>
      </c>
      <c r="G3980" s="7" t="s">
        <v>12558</v>
      </c>
      <c r="H3980" s="7">
        <f t="shared" si="254"/>
        <v>0</v>
      </c>
      <c r="I3980" s="7" t="str" cm="1">
        <f t="array" ref="I3980">IFERROR(_xlfn.IFS(M3980="נח",1,M3980="נע ונח",1,M3980="שני שווא נח",2,M3980="שני שוואים בסוף מילה",2,M3980="שני שוואים ברצף",1),"0")</f>
        <v>0</v>
      </c>
      <c r="J3980" s="9">
        <f t="shared" si="255"/>
        <v>2</v>
      </c>
      <c r="K3980" t="s">
        <v>6698</v>
      </c>
      <c r="L3980" t="s">
        <v>6695</v>
      </c>
      <c r="O3980" t="s">
        <v>6694</v>
      </c>
      <c r="R3980" t="s">
        <v>6694</v>
      </c>
      <c r="W3980" t="s">
        <v>6720</v>
      </c>
    </row>
    <row r="3981" spans="1:23" ht="15.6" x14ac:dyDescent="0.4">
      <c r="A3981" s="2" t="s">
        <v>4807</v>
      </c>
      <c r="B3981" s="5" t="s">
        <v>10214</v>
      </c>
      <c r="C3981" s="7" t="s">
        <v>12556</v>
      </c>
      <c r="D3981" s="8">
        <f t="shared" si="252"/>
        <v>0</v>
      </c>
      <c r="E3981" s="7" t="s">
        <v>12557</v>
      </c>
      <c r="F3981" s="7">
        <f t="shared" si="253"/>
        <v>3</v>
      </c>
      <c r="G3981" s="7" t="s">
        <v>12558</v>
      </c>
      <c r="H3981" s="7">
        <f t="shared" si="254"/>
        <v>1</v>
      </c>
      <c r="I3981" s="7" t="str" cm="1">
        <f t="array" ref="I3981">IFERROR(_xlfn.IFS(M3981="נח",1,M3981="נע ונח",1,M3981="שני שווא נח",2,M3981="שני שוואים בסוף מילה",2,M3981="שני שוואים ברצף",1),"0")</f>
        <v>0</v>
      </c>
      <c r="J3981" s="9">
        <f t="shared" si="255"/>
        <v>2</v>
      </c>
      <c r="K3981" t="s">
        <v>6697</v>
      </c>
      <c r="L3981" t="s">
        <v>6695</v>
      </c>
      <c r="O3981" t="s">
        <v>6694</v>
      </c>
      <c r="U3981" t="s">
        <v>6694</v>
      </c>
      <c r="W3981" t="s">
        <v>6720</v>
      </c>
    </row>
    <row r="3982" spans="1:23" ht="15.6" x14ac:dyDescent="0.4">
      <c r="A3982" s="2" t="s">
        <v>3474</v>
      </c>
      <c r="B3982" s="5" t="s">
        <v>10215</v>
      </c>
      <c r="C3982" s="7" t="s">
        <v>12556</v>
      </c>
      <c r="D3982" s="8">
        <f t="shared" si="252"/>
        <v>1</v>
      </c>
      <c r="E3982" s="7" t="s">
        <v>12557</v>
      </c>
      <c r="F3982" s="7">
        <f t="shared" si="253"/>
        <v>1</v>
      </c>
      <c r="G3982" s="7" t="s">
        <v>12558</v>
      </c>
      <c r="H3982" s="7">
        <f t="shared" si="254"/>
        <v>0</v>
      </c>
      <c r="I3982" s="7" t="str" cm="1">
        <f t="array" ref="I3982">IFERROR(_xlfn.IFS(M3982="נח",1,M3982="נע ונח",1,M3982="שני שווא נח",2,M3982="שני שוואים בסוף מילה",2,M3982="שני שוואים ברצף",1),"0")</f>
        <v>0</v>
      </c>
      <c r="J3982" s="9">
        <f t="shared" si="255"/>
        <v>2</v>
      </c>
      <c r="K3982" t="s">
        <v>6698</v>
      </c>
      <c r="L3982" t="s">
        <v>6695</v>
      </c>
      <c r="O3982" t="s">
        <v>6694</v>
      </c>
      <c r="W3982" t="s">
        <v>6720</v>
      </c>
    </row>
    <row r="3983" spans="1:23" ht="15.6" x14ac:dyDescent="0.4">
      <c r="A3983" s="2" t="s">
        <v>6404</v>
      </c>
      <c r="B3983" s="5" t="s">
        <v>10216</v>
      </c>
      <c r="C3983" s="7" t="s">
        <v>12556</v>
      </c>
      <c r="D3983" s="8">
        <f t="shared" si="252"/>
        <v>0</v>
      </c>
      <c r="E3983" s="7" t="s">
        <v>12557</v>
      </c>
      <c r="F3983" s="7">
        <f t="shared" si="253"/>
        <v>1</v>
      </c>
      <c r="G3983" s="7" t="s">
        <v>12558</v>
      </c>
      <c r="H3983" s="7">
        <f t="shared" si="254"/>
        <v>0</v>
      </c>
      <c r="I3983" s="7" cm="1">
        <f t="array" ref="I3983">IFERROR(_xlfn.IFS(M3983="נח",1,M3983="נע ונח",1,M3983="שני שווא נח",2,M3983="שני שוואים בסוף מילה",2,M3983="שני שוואים ברצף",1),"0")</f>
        <v>1</v>
      </c>
      <c r="J3983" s="9">
        <f t="shared" si="255"/>
        <v>2</v>
      </c>
      <c r="K3983" t="s">
        <v>6697</v>
      </c>
      <c r="L3983" t="s">
        <v>6694</v>
      </c>
      <c r="M3983" t="s">
        <v>6705</v>
      </c>
      <c r="N3983" t="s">
        <v>6706</v>
      </c>
      <c r="O3983" t="s">
        <v>6694</v>
      </c>
      <c r="V3983" t="s">
        <v>6694</v>
      </c>
      <c r="W3983" t="s">
        <v>6720</v>
      </c>
    </row>
    <row r="3984" spans="1:23" ht="15.6" x14ac:dyDescent="0.4">
      <c r="A3984" s="2" t="s">
        <v>4118</v>
      </c>
      <c r="B3984" s="5" t="s">
        <v>10217</v>
      </c>
      <c r="C3984" s="7" t="s">
        <v>12556</v>
      </c>
      <c r="D3984" s="8">
        <f t="shared" si="252"/>
        <v>0</v>
      </c>
      <c r="E3984" s="7" t="s">
        <v>12557</v>
      </c>
      <c r="F3984" s="7">
        <f t="shared" si="253"/>
        <v>1</v>
      </c>
      <c r="G3984" s="7" t="s">
        <v>12558</v>
      </c>
      <c r="H3984" s="7">
        <f t="shared" si="254"/>
        <v>0</v>
      </c>
      <c r="I3984" s="7" t="str" cm="1">
        <f t="array" ref="I3984">IFERROR(_xlfn.IFS(M3984="נח",1,M3984="נע ונח",1,M3984="שני שווא נח",2,M3984="שני שוואים בסוף מילה",2,M3984="שני שוואים ברצף",1),"0")</f>
        <v>0</v>
      </c>
      <c r="J3984" s="9">
        <f t="shared" si="255"/>
        <v>2</v>
      </c>
      <c r="K3984" t="s">
        <v>6698</v>
      </c>
      <c r="L3984" t="s">
        <v>6695</v>
      </c>
      <c r="O3984" t="s">
        <v>6694</v>
      </c>
      <c r="P3984" t="s">
        <v>6694</v>
      </c>
      <c r="W3984" t="s">
        <v>6720</v>
      </c>
    </row>
    <row r="3985" spans="1:23" ht="15.6" x14ac:dyDescent="0.4">
      <c r="A3985" s="2" t="s">
        <v>3312</v>
      </c>
      <c r="B3985" s="5" t="s">
        <v>10218</v>
      </c>
      <c r="C3985" s="7" t="s">
        <v>12556</v>
      </c>
      <c r="D3985" s="8">
        <f t="shared" si="252"/>
        <v>0</v>
      </c>
      <c r="E3985" s="7" t="s">
        <v>12557</v>
      </c>
      <c r="F3985" s="7">
        <f t="shared" si="253"/>
        <v>2</v>
      </c>
      <c r="G3985" s="7" t="s">
        <v>12558</v>
      </c>
      <c r="H3985" s="7">
        <f t="shared" si="254"/>
        <v>1</v>
      </c>
      <c r="I3985" s="7" cm="1">
        <f t="array" ref="I3985">IFERROR(_xlfn.IFS(M3985="נח",1,M3985="נע ונח",1,M3985="שני שווא נח",2,M3985="שני שוואים בסוף מילה",2,M3985="שני שוואים ברצף",1),"0")</f>
        <v>1</v>
      </c>
      <c r="J3985" s="9">
        <f t="shared" si="255"/>
        <v>2</v>
      </c>
      <c r="K3985" t="s">
        <v>6697</v>
      </c>
      <c r="L3985" t="s">
        <v>6694</v>
      </c>
      <c r="M3985" t="s">
        <v>6705</v>
      </c>
      <c r="N3985" t="s">
        <v>6706</v>
      </c>
      <c r="O3985" t="s">
        <v>6694</v>
      </c>
      <c r="U3985" t="s">
        <v>6694</v>
      </c>
      <c r="W3985" t="s">
        <v>6720</v>
      </c>
    </row>
    <row r="3986" spans="1:23" ht="15.6" x14ac:dyDescent="0.4">
      <c r="A3986" s="2" t="s">
        <v>2528</v>
      </c>
      <c r="B3986" s="5" t="s">
        <v>10069</v>
      </c>
      <c r="C3986" s="7" t="s">
        <v>12556</v>
      </c>
      <c r="D3986" s="8">
        <f t="shared" si="252"/>
        <v>0</v>
      </c>
      <c r="E3986" s="7" t="s">
        <v>12557</v>
      </c>
      <c r="F3986" s="7">
        <f t="shared" si="253"/>
        <v>1</v>
      </c>
      <c r="G3986" s="7" t="s">
        <v>12558</v>
      </c>
      <c r="H3986" s="7">
        <f t="shared" si="254"/>
        <v>0</v>
      </c>
      <c r="I3986" s="7" t="str" cm="1">
        <f t="array" ref="I3986">IFERROR(_xlfn.IFS(M3986="נח",1,M3986="נע ונח",1,M3986="שני שווא נח",2,M3986="שני שוואים בסוף מילה",2,M3986="שני שוואים ברצף",1),"0")</f>
        <v>0</v>
      </c>
      <c r="J3986" s="9">
        <f t="shared" si="255"/>
        <v>2</v>
      </c>
      <c r="K3986" t="s">
        <v>6698</v>
      </c>
      <c r="L3986" t="s">
        <v>6695</v>
      </c>
      <c r="O3986" t="s">
        <v>6694</v>
      </c>
      <c r="S3986" t="s">
        <v>6694</v>
      </c>
      <c r="W3986" t="s">
        <v>6720</v>
      </c>
    </row>
    <row r="3987" spans="1:23" ht="15.6" x14ac:dyDescent="0.4">
      <c r="A3987" s="2" t="s">
        <v>3510</v>
      </c>
      <c r="B3987" s="5" t="s">
        <v>10219</v>
      </c>
      <c r="C3987" s="7" t="s">
        <v>12556</v>
      </c>
      <c r="D3987" s="8">
        <f t="shared" si="252"/>
        <v>0</v>
      </c>
      <c r="E3987" s="7" t="s">
        <v>12557</v>
      </c>
      <c r="F3987" s="7">
        <f t="shared" si="253"/>
        <v>1</v>
      </c>
      <c r="G3987" s="7" t="s">
        <v>12558</v>
      </c>
      <c r="H3987" s="7">
        <f t="shared" si="254"/>
        <v>0</v>
      </c>
      <c r="I3987" s="7" t="str" cm="1">
        <f t="array" ref="I3987">IFERROR(_xlfn.IFS(M3987="נח",1,M3987="נע ונח",1,M3987="שני שווא נח",2,M3987="שני שוואים בסוף מילה",2,M3987="שני שוואים ברצף",1),"0")</f>
        <v>0</v>
      </c>
      <c r="J3987" s="9">
        <f t="shared" si="255"/>
        <v>3</v>
      </c>
      <c r="K3987" t="s">
        <v>6698</v>
      </c>
      <c r="L3987" t="s">
        <v>6695</v>
      </c>
      <c r="O3987" t="s">
        <v>6694</v>
      </c>
      <c r="S3987" t="s">
        <v>6694</v>
      </c>
      <c r="W3987" t="s">
        <v>6720</v>
      </c>
    </row>
    <row r="3988" spans="1:23" ht="15.6" x14ac:dyDescent="0.4">
      <c r="A3988" s="2" t="s">
        <v>1627</v>
      </c>
      <c r="B3988" s="5" t="s">
        <v>10220</v>
      </c>
      <c r="C3988" s="7" t="s">
        <v>12556</v>
      </c>
      <c r="D3988" s="8">
        <f t="shared" si="252"/>
        <v>0</v>
      </c>
      <c r="E3988" s="7" t="s">
        <v>12557</v>
      </c>
      <c r="F3988" s="7">
        <f t="shared" si="253"/>
        <v>1</v>
      </c>
      <c r="G3988" s="7" t="s">
        <v>12558</v>
      </c>
      <c r="H3988" s="7">
        <f t="shared" si="254"/>
        <v>0</v>
      </c>
      <c r="I3988" s="7" t="str" cm="1">
        <f t="array" ref="I3988">IFERROR(_xlfn.IFS(M3988="נח",1,M3988="נע ונח",1,M3988="שני שווא נח",2,M3988="שני שוואים בסוף מילה",2,M3988="שני שוואים ברצף",1),"0")</f>
        <v>0</v>
      </c>
      <c r="J3988" s="9">
        <f t="shared" si="255"/>
        <v>2</v>
      </c>
      <c r="K3988" t="s">
        <v>6698</v>
      </c>
      <c r="L3988" t="s">
        <v>6695</v>
      </c>
      <c r="O3988" t="s">
        <v>6694</v>
      </c>
      <c r="P3988" t="s">
        <v>6694</v>
      </c>
      <c r="W3988" t="s">
        <v>6720</v>
      </c>
    </row>
    <row r="3989" spans="1:23" ht="15.6" x14ac:dyDescent="0.4">
      <c r="A3989" s="2" t="s">
        <v>5785</v>
      </c>
      <c r="B3989" s="5" t="s">
        <v>10221</v>
      </c>
      <c r="C3989" s="7" t="s">
        <v>12556</v>
      </c>
      <c r="D3989" s="8">
        <f t="shared" si="252"/>
        <v>0</v>
      </c>
      <c r="E3989" s="7" t="s">
        <v>12557</v>
      </c>
      <c r="F3989" s="7">
        <f t="shared" si="253"/>
        <v>2</v>
      </c>
      <c r="G3989" s="7" t="s">
        <v>12558</v>
      </c>
      <c r="H3989" s="7">
        <f t="shared" si="254"/>
        <v>0</v>
      </c>
      <c r="I3989" s="7" t="str" cm="1">
        <f t="array" ref="I3989">IFERROR(_xlfn.IFS(M3989="נח",1,M3989="נע ונח",1,M3989="שני שווא נח",2,M3989="שני שוואים בסוף מילה",2,M3989="שני שוואים ברצף",1),"0")</f>
        <v>0</v>
      </c>
      <c r="J3989" s="9">
        <f t="shared" si="255"/>
        <v>3</v>
      </c>
      <c r="K3989" t="s">
        <v>6697</v>
      </c>
      <c r="L3989" t="s">
        <v>6695</v>
      </c>
      <c r="O3989" t="s">
        <v>6694</v>
      </c>
      <c r="P3989" t="s">
        <v>6694</v>
      </c>
      <c r="S3989" t="s">
        <v>6694</v>
      </c>
      <c r="W3989" t="s">
        <v>6720</v>
      </c>
    </row>
    <row r="3990" spans="1:23" ht="15.6" x14ac:dyDescent="0.4">
      <c r="A3990" s="2" t="s">
        <v>1900</v>
      </c>
      <c r="B3990" s="5" t="s">
        <v>10222</v>
      </c>
      <c r="C3990" s="7" t="s">
        <v>12556</v>
      </c>
      <c r="D3990" s="8">
        <f t="shared" si="252"/>
        <v>0</v>
      </c>
      <c r="E3990" s="7" t="s">
        <v>12557</v>
      </c>
      <c r="F3990" s="7">
        <f t="shared" si="253"/>
        <v>1</v>
      </c>
      <c r="G3990" s="7" t="s">
        <v>12558</v>
      </c>
      <c r="H3990" s="7">
        <f t="shared" si="254"/>
        <v>0</v>
      </c>
      <c r="I3990" s="7" t="str" cm="1">
        <f t="array" ref="I3990">IFERROR(_xlfn.IFS(M3990="נח",1,M3990="נע ונח",1,M3990="שני שווא נח",2,M3990="שני שוואים בסוף מילה",2,M3990="שני שוואים ברצף",1),"0")</f>
        <v>0</v>
      </c>
      <c r="J3990" s="9">
        <f t="shared" si="255"/>
        <v>2</v>
      </c>
      <c r="K3990" t="s">
        <v>6697</v>
      </c>
      <c r="L3990" t="s">
        <v>6695</v>
      </c>
      <c r="O3990" t="s">
        <v>6694</v>
      </c>
      <c r="W3990" t="s">
        <v>6720</v>
      </c>
    </row>
    <row r="3991" spans="1:23" ht="15.6" x14ac:dyDescent="0.4">
      <c r="A3991" s="2" t="s">
        <v>4119</v>
      </c>
      <c r="B3991" s="5" t="s">
        <v>10223</v>
      </c>
      <c r="C3991" s="7" t="s">
        <v>12556</v>
      </c>
      <c r="D3991" s="8">
        <f t="shared" si="252"/>
        <v>0</v>
      </c>
      <c r="E3991" s="7" t="s">
        <v>12557</v>
      </c>
      <c r="F3991" s="7">
        <f t="shared" si="253"/>
        <v>2</v>
      </c>
      <c r="G3991" s="7" t="s">
        <v>12558</v>
      </c>
      <c r="H3991" s="7">
        <f t="shared" si="254"/>
        <v>1</v>
      </c>
      <c r="I3991" s="7" t="str" cm="1">
        <f t="array" ref="I3991">IFERROR(_xlfn.IFS(M3991="נח",1,M3991="נע ונח",1,M3991="שני שווא נח",2,M3991="שני שוואים בסוף מילה",2,M3991="שני שוואים ברצף",1),"0")</f>
        <v>0</v>
      </c>
      <c r="J3991" s="9">
        <f t="shared" si="255"/>
        <v>2</v>
      </c>
      <c r="K3991" t="s">
        <v>6697</v>
      </c>
      <c r="L3991" t="s">
        <v>6695</v>
      </c>
      <c r="O3991" t="s">
        <v>6694</v>
      </c>
      <c r="U3991" t="s">
        <v>6694</v>
      </c>
      <c r="W3991" t="s">
        <v>6720</v>
      </c>
    </row>
    <row r="3992" spans="1:23" ht="15.6" x14ac:dyDescent="0.4">
      <c r="A3992" s="2" t="s">
        <v>1549</v>
      </c>
      <c r="B3992" s="5" t="s">
        <v>10070</v>
      </c>
      <c r="C3992" s="7" t="s">
        <v>12556</v>
      </c>
      <c r="D3992" s="8">
        <f t="shared" si="252"/>
        <v>1</v>
      </c>
      <c r="E3992" s="7" t="s">
        <v>12557</v>
      </c>
      <c r="F3992" s="7">
        <f t="shared" si="253"/>
        <v>2</v>
      </c>
      <c r="G3992" s="7" t="s">
        <v>12558</v>
      </c>
      <c r="H3992" s="7">
        <f t="shared" si="254"/>
        <v>1</v>
      </c>
      <c r="I3992" s="7" cm="1">
        <f t="array" ref="I3992">IFERROR(_xlfn.IFS(M3992="נח",1,M3992="נע ונח",1,M3992="שני שווא נח",2,M3992="שני שוואים בסוף מילה",2,M3992="שני שוואים ברצף",1),"0")</f>
        <v>1</v>
      </c>
      <c r="J3992" s="9">
        <f t="shared" si="255"/>
        <v>2</v>
      </c>
      <c r="K3992" t="s">
        <v>6697</v>
      </c>
      <c r="L3992" t="s">
        <v>6694</v>
      </c>
      <c r="M3992" t="s">
        <v>6705</v>
      </c>
      <c r="O3992" t="s">
        <v>6694</v>
      </c>
      <c r="U3992" t="s">
        <v>6694</v>
      </c>
      <c r="W3992" t="s">
        <v>6720</v>
      </c>
    </row>
    <row r="3993" spans="1:23" ht="15.6" x14ac:dyDescent="0.4">
      <c r="A3993" s="2" t="s">
        <v>3385</v>
      </c>
      <c r="B3993" s="5" t="s">
        <v>10224</v>
      </c>
      <c r="C3993" s="7" t="s">
        <v>12556</v>
      </c>
      <c r="D3993" s="8">
        <f t="shared" si="252"/>
        <v>1</v>
      </c>
      <c r="E3993" s="7" t="s">
        <v>12557</v>
      </c>
      <c r="F3993" s="7">
        <f t="shared" si="253"/>
        <v>1</v>
      </c>
      <c r="G3993" s="7" t="s">
        <v>12558</v>
      </c>
      <c r="H3993" s="7">
        <f t="shared" si="254"/>
        <v>0</v>
      </c>
      <c r="I3993" s="7" t="str" cm="1">
        <f t="array" ref="I3993">IFERROR(_xlfn.IFS(M3993="נח",1,M3993="נע ונח",1,M3993="שני שווא נח",2,M3993="שני שוואים בסוף מילה",2,M3993="שני שוואים ברצף",1),"0")</f>
        <v>0</v>
      </c>
      <c r="J3993" s="9">
        <f t="shared" si="255"/>
        <v>2</v>
      </c>
      <c r="K3993" t="s">
        <v>6698</v>
      </c>
      <c r="L3993" t="s">
        <v>6695</v>
      </c>
      <c r="O3993" t="s">
        <v>6694</v>
      </c>
      <c r="P3993" t="s">
        <v>6694</v>
      </c>
      <c r="W3993" t="s">
        <v>6720</v>
      </c>
    </row>
    <row r="3994" spans="1:23" ht="15.6" x14ac:dyDescent="0.4">
      <c r="A3994" s="2" t="s">
        <v>1472</v>
      </c>
      <c r="B3994" s="5" t="s">
        <v>10225</v>
      </c>
      <c r="C3994" s="7" t="s">
        <v>12556</v>
      </c>
      <c r="D3994" s="8">
        <f t="shared" si="252"/>
        <v>0</v>
      </c>
      <c r="E3994" s="7" t="s">
        <v>12557</v>
      </c>
      <c r="F3994" s="7">
        <f t="shared" si="253"/>
        <v>2</v>
      </c>
      <c r="G3994" s="7" t="s">
        <v>12558</v>
      </c>
      <c r="H3994" s="7">
        <f t="shared" si="254"/>
        <v>1</v>
      </c>
      <c r="I3994" s="7" t="str" cm="1">
        <f t="array" ref="I3994">IFERROR(_xlfn.IFS(M3994="נח",1,M3994="נע ונח",1,M3994="שני שווא נח",2,M3994="שני שוואים בסוף מילה",2,M3994="שני שוואים ברצף",1),"0")</f>
        <v>0</v>
      </c>
      <c r="J3994" s="9">
        <f t="shared" si="255"/>
        <v>2</v>
      </c>
      <c r="K3994" t="s">
        <v>6698</v>
      </c>
      <c r="L3994" t="s">
        <v>6695</v>
      </c>
      <c r="O3994" t="s">
        <v>6694</v>
      </c>
      <c r="U3994" t="s">
        <v>6694</v>
      </c>
      <c r="W3994" t="s">
        <v>6720</v>
      </c>
    </row>
    <row r="3995" spans="1:23" ht="15.6" x14ac:dyDescent="0.4">
      <c r="A3995" s="2" t="s">
        <v>6007</v>
      </c>
      <c r="B3995" s="5" t="s">
        <v>10064</v>
      </c>
      <c r="C3995" s="7" t="s">
        <v>12556</v>
      </c>
      <c r="D3995" s="8">
        <f t="shared" si="252"/>
        <v>0</v>
      </c>
      <c r="E3995" s="7" t="s">
        <v>12557</v>
      </c>
      <c r="F3995" s="7">
        <f t="shared" si="253"/>
        <v>1</v>
      </c>
      <c r="G3995" s="7" t="s">
        <v>12558</v>
      </c>
      <c r="H3995" s="7">
        <f t="shared" si="254"/>
        <v>0</v>
      </c>
      <c r="I3995" s="7" t="str" cm="1">
        <f t="array" ref="I3995">IFERROR(_xlfn.IFS(M3995="נח",1,M3995="נע ונח",1,M3995="שני שווא נח",2,M3995="שני שוואים בסוף מילה",2,M3995="שני שוואים ברצף",1),"0")</f>
        <v>0</v>
      </c>
      <c r="J3995" s="9">
        <f t="shared" si="255"/>
        <v>2</v>
      </c>
      <c r="K3995" t="s">
        <v>6698</v>
      </c>
      <c r="L3995" t="s">
        <v>6695</v>
      </c>
      <c r="Q3995" t="s">
        <v>6694</v>
      </c>
      <c r="V3995" t="s">
        <v>6694</v>
      </c>
      <c r="W3995" t="s">
        <v>6720</v>
      </c>
    </row>
    <row r="3996" spans="1:23" ht="15.6" x14ac:dyDescent="0.4">
      <c r="A3996" s="2" t="s">
        <v>492</v>
      </c>
      <c r="B3996" s="5" t="s">
        <v>10072</v>
      </c>
      <c r="C3996" s="7" t="s">
        <v>12556</v>
      </c>
      <c r="D3996" s="8">
        <f t="shared" si="252"/>
        <v>0</v>
      </c>
      <c r="E3996" s="7" t="s">
        <v>12557</v>
      </c>
      <c r="F3996" s="7">
        <f t="shared" si="253"/>
        <v>1</v>
      </c>
      <c r="G3996" s="7" t="s">
        <v>12558</v>
      </c>
      <c r="H3996" s="7">
        <f t="shared" si="254"/>
        <v>0</v>
      </c>
      <c r="I3996" s="7" t="str" cm="1">
        <f t="array" ref="I3996">IFERROR(_xlfn.IFS(M3996="נח",1,M3996="נע ונח",1,M3996="שני שווא נח",2,M3996="שני שוואים בסוף מילה",2,M3996="שני שוואים ברצף",1),"0")</f>
        <v>0</v>
      </c>
      <c r="J3996" s="9">
        <f t="shared" si="255"/>
        <v>2</v>
      </c>
      <c r="K3996" t="s">
        <v>6697</v>
      </c>
      <c r="L3996" t="s">
        <v>6695</v>
      </c>
      <c r="S3996" t="s">
        <v>6694</v>
      </c>
      <c r="V3996" t="s">
        <v>6694</v>
      </c>
      <c r="W3996" t="s">
        <v>6720</v>
      </c>
    </row>
    <row r="3997" spans="1:23" ht="15.6" x14ac:dyDescent="0.4">
      <c r="A3997" s="2" t="s">
        <v>1161</v>
      </c>
      <c r="B3997" s="5" t="s">
        <v>10073</v>
      </c>
      <c r="C3997" s="7" t="s">
        <v>12556</v>
      </c>
      <c r="D3997" s="8">
        <f t="shared" si="252"/>
        <v>0</v>
      </c>
      <c r="E3997" s="7" t="s">
        <v>12557</v>
      </c>
      <c r="F3997" s="7">
        <f t="shared" si="253"/>
        <v>1</v>
      </c>
      <c r="G3997" s="7" t="s">
        <v>12558</v>
      </c>
      <c r="H3997" s="7">
        <f t="shared" si="254"/>
        <v>0</v>
      </c>
      <c r="I3997" s="7" t="str" cm="1">
        <f t="array" ref="I3997">IFERROR(_xlfn.IFS(M3997="נח",1,M3997="נע ונח",1,M3997="שני שווא נח",2,M3997="שני שוואים בסוף מילה",2,M3997="שני שוואים ברצף",1),"0")</f>
        <v>0</v>
      </c>
      <c r="J3997" s="9">
        <f t="shared" si="255"/>
        <v>2</v>
      </c>
      <c r="K3997" t="s">
        <v>6697</v>
      </c>
      <c r="L3997" t="s">
        <v>6695</v>
      </c>
      <c r="N3997" t="s">
        <v>6707</v>
      </c>
      <c r="P3997" t="s">
        <v>6694</v>
      </c>
      <c r="V3997" t="s">
        <v>6694</v>
      </c>
      <c r="W3997" t="s">
        <v>6720</v>
      </c>
    </row>
    <row r="3998" spans="1:23" ht="15.6" x14ac:dyDescent="0.4">
      <c r="A3998" s="2" t="s">
        <v>244</v>
      </c>
      <c r="B3998" s="5" t="s">
        <v>10065</v>
      </c>
      <c r="C3998" s="7" t="s">
        <v>12556</v>
      </c>
      <c r="D3998" s="8">
        <f t="shared" si="252"/>
        <v>0</v>
      </c>
      <c r="E3998" s="7" t="s">
        <v>12557</v>
      </c>
      <c r="F3998" s="7">
        <f t="shared" si="253"/>
        <v>1</v>
      </c>
      <c r="G3998" s="7" t="s">
        <v>12558</v>
      </c>
      <c r="H3998" s="7">
        <f t="shared" si="254"/>
        <v>0</v>
      </c>
      <c r="I3998" s="7" t="str" cm="1">
        <f t="array" ref="I3998">IFERROR(_xlfn.IFS(M3998="נח",1,M3998="נע ונח",1,M3998="שני שווא נח",2,M3998="שני שוואים בסוף מילה",2,M3998="שני שוואים ברצף",1),"0")</f>
        <v>0</v>
      </c>
      <c r="J3998" s="9">
        <f t="shared" si="255"/>
        <v>1</v>
      </c>
      <c r="K3998" t="s">
        <v>6698</v>
      </c>
      <c r="L3998" t="s">
        <v>6695</v>
      </c>
      <c r="V3998" t="s">
        <v>6694</v>
      </c>
      <c r="W3998" t="s">
        <v>6720</v>
      </c>
    </row>
    <row r="3999" spans="1:23" ht="15.6" x14ac:dyDescent="0.4">
      <c r="A3999" s="2" t="s">
        <v>408</v>
      </c>
      <c r="B3999" s="5" t="s">
        <v>10226</v>
      </c>
      <c r="C3999" s="7" t="s">
        <v>12556</v>
      </c>
      <c r="D3999" s="8">
        <f t="shared" si="252"/>
        <v>0</v>
      </c>
      <c r="E3999" s="7" t="s">
        <v>12557</v>
      </c>
      <c r="F3999" s="7">
        <f t="shared" si="253"/>
        <v>1</v>
      </c>
      <c r="G3999" s="7" t="s">
        <v>12558</v>
      </c>
      <c r="H3999" s="7">
        <f t="shared" si="254"/>
        <v>0</v>
      </c>
      <c r="I3999" s="7" t="str" cm="1">
        <f t="array" ref="I3999">IFERROR(_xlfn.IFS(M3999="נח",1,M3999="נע ונח",1,M3999="שני שווא נח",2,M3999="שני שוואים בסוף מילה",2,M3999="שני שוואים ברצף",1),"0")</f>
        <v>0</v>
      </c>
      <c r="J3999" s="9">
        <f t="shared" si="255"/>
        <v>2</v>
      </c>
      <c r="K3999" t="s">
        <v>6698</v>
      </c>
      <c r="L3999" t="s">
        <v>6695</v>
      </c>
      <c r="Q3999" t="s">
        <v>6694</v>
      </c>
      <c r="V3999" t="s">
        <v>6694</v>
      </c>
      <c r="W3999" t="s">
        <v>6720</v>
      </c>
    </row>
    <row r="4000" spans="1:23" ht="15.6" x14ac:dyDescent="0.4">
      <c r="A4000" s="2" t="s">
        <v>5301</v>
      </c>
      <c r="B4000" s="5" t="s">
        <v>10221</v>
      </c>
      <c r="C4000" s="7" t="s">
        <v>12556</v>
      </c>
      <c r="D4000" s="8">
        <f t="shared" si="252"/>
        <v>0</v>
      </c>
      <c r="E4000" s="7" t="s">
        <v>12557</v>
      </c>
      <c r="F4000" s="7">
        <f t="shared" si="253"/>
        <v>1</v>
      </c>
      <c r="G4000" s="7" t="s">
        <v>12558</v>
      </c>
      <c r="H4000" s="7">
        <f t="shared" si="254"/>
        <v>0</v>
      </c>
      <c r="I4000" s="7" cm="1">
        <f t="array" ref="I4000">IFERROR(_xlfn.IFS(M4000="נח",1,M4000="נע ונח",1,M4000="שני שווא נח",2,M4000="שני שוואים בסוף מילה",2,M4000="שני שוואים ברצף",1),"0")</f>
        <v>1</v>
      </c>
      <c r="J4000" s="9">
        <f t="shared" si="255"/>
        <v>2</v>
      </c>
      <c r="K4000" t="s">
        <v>6698</v>
      </c>
      <c r="L4000" t="s">
        <v>6694</v>
      </c>
      <c r="M4000" t="s">
        <v>6705</v>
      </c>
      <c r="Q4000" t="s">
        <v>6694</v>
      </c>
      <c r="V4000" t="s">
        <v>6694</v>
      </c>
      <c r="W4000" t="s">
        <v>6720</v>
      </c>
    </row>
    <row r="4001" spans="1:23" ht="15.6" x14ac:dyDescent="0.4">
      <c r="A4001" s="2" t="s">
        <v>6630</v>
      </c>
      <c r="B4001" s="5" t="s">
        <v>10074</v>
      </c>
      <c r="C4001" s="7" t="s">
        <v>12556</v>
      </c>
      <c r="D4001" s="8">
        <f t="shared" si="252"/>
        <v>0</v>
      </c>
      <c r="E4001" s="7" t="s">
        <v>12557</v>
      </c>
      <c r="F4001" s="7">
        <f t="shared" si="253"/>
        <v>2</v>
      </c>
      <c r="G4001" s="7" t="s">
        <v>12558</v>
      </c>
      <c r="H4001" s="7">
        <f t="shared" si="254"/>
        <v>0</v>
      </c>
      <c r="I4001" s="7" cm="1">
        <f t="array" ref="I4001">IFERROR(_xlfn.IFS(M4001="נח",1,M4001="נע ונח",1,M4001="שני שווא נח",2,M4001="שני שוואים בסוף מילה",2,M4001="שני שוואים ברצף",1),"0")</f>
        <v>1</v>
      </c>
      <c r="J4001" s="9">
        <f t="shared" si="255"/>
        <v>2</v>
      </c>
      <c r="K4001" t="s">
        <v>6698</v>
      </c>
      <c r="L4001" t="s">
        <v>6694</v>
      </c>
      <c r="M4001" t="s">
        <v>6705</v>
      </c>
      <c r="R4001" t="s">
        <v>6694</v>
      </c>
      <c r="T4001" t="s">
        <v>6694</v>
      </c>
      <c r="W4001" t="s">
        <v>6720</v>
      </c>
    </row>
    <row r="4002" spans="1:23" ht="15.6" x14ac:dyDescent="0.4">
      <c r="A4002" s="2" t="s">
        <v>733</v>
      </c>
      <c r="B4002" s="5" t="s">
        <v>10227</v>
      </c>
      <c r="C4002" s="7" t="s">
        <v>12556</v>
      </c>
      <c r="D4002" s="8">
        <f t="shared" si="252"/>
        <v>0</v>
      </c>
      <c r="E4002" s="7" t="s">
        <v>12557</v>
      </c>
      <c r="F4002" s="7">
        <f t="shared" si="253"/>
        <v>2</v>
      </c>
      <c r="G4002" s="7" t="s">
        <v>12558</v>
      </c>
      <c r="H4002" s="7">
        <f t="shared" si="254"/>
        <v>0</v>
      </c>
      <c r="I4002" s="7" t="str" cm="1">
        <f t="array" ref="I4002">IFERROR(_xlfn.IFS(M4002="נח",1,M4002="נע ונח",1,M4002="שני שווא נח",2,M4002="שני שוואים בסוף מילה",2,M4002="שני שוואים ברצף",1),"0")</f>
        <v>0</v>
      </c>
      <c r="J4002" s="9">
        <f t="shared" si="255"/>
        <v>2</v>
      </c>
      <c r="K4002" t="s">
        <v>6698</v>
      </c>
      <c r="L4002" t="s">
        <v>6695</v>
      </c>
      <c r="N4002" t="s">
        <v>6706</v>
      </c>
      <c r="O4002" t="s">
        <v>6694</v>
      </c>
      <c r="T4002" t="s">
        <v>6694</v>
      </c>
      <c r="W4002" t="s">
        <v>6720</v>
      </c>
    </row>
    <row r="4003" spans="1:23" ht="15.6" x14ac:dyDescent="0.4">
      <c r="A4003" s="2" t="s">
        <v>3966</v>
      </c>
      <c r="B4003" s="5" t="s">
        <v>10066</v>
      </c>
      <c r="C4003" s="7" t="s">
        <v>12556</v>
      </c>
      <c r="D4003" s="8">
        <f t="shared" si="252"/>
        <v>0</v>
      </c>
      <c r="E4003" s="7" t="s">
        <v>12557</v>
      </c>
      <c r="F4003" s="7">
        <f t="shared" si="253"/>
        <v>2</v>
      </c>
      <c r="G4003" s="7" t="s">
        <v>12558</v>
      </c>
      <c r="H4003" s="7">
        <f t="shared" si="254"/>
        <v>0</v>
      </c>
      <c r="I4003" s="7" t="str" cm="1">
        <f t="array" ref="I4003">IFERROR(_xlfn.IFS(M4003="נח",1,M4003="נע ונח",1,M4003="שני שווא נח",2,M4003="שני שוואים בסוף מילה",2,M4003="שני שוואים ברצף",1),"0")</f>
        <v>0</v>
      </c>
      <c r="J4003" s="9">
        <f t="shared" si="255"/>
        <v>2</v>
      </c>
      <c r="K4003" t="s">
        <v>6697</v>
      </c>
      <c r="L4003" t="s">
        <v>6695</v>
      </c>
      <c r="T4003" t="s">
        <v>6694</v>
      </c>
      <c r="V4003" t="s">
        <v>6694</v>
      </c>
      <c r="W4003" t="s">
        <v>6720</v>
      </c>
    </row>
    <row r="4004" spans="1:23" ht="15.6" x14ac:dyDescent="0.4">
      <c r="A4004" s="2" t="s">
        <v>1409</v>
      </c>
      <c r="B4004" s="5" t="s">
        <v>10228</v>
      </c>
      <c r="C4004" s="7" t="s">
        <v>12556</v>
      </c>
      <c r="D4004" s="8">
        <f t="shared" si="252"/>
        <v>0</v>
      </c>
      <c r="E4004" s="7" t="s">
        <v>12557</v>
      </c>
      <c r="F4004" s="7">
        <f t="shared" si="253"/>
        <v>1</v>
      </c>
      <c r="G4004" s="7" t="s">
        <v>12558</v>
      </c>
      <c r="H4004" s="7">
        <f t="shared" si="254"/>
        <v>0</v>
      </c>
      <c r="I4004" s="7" cm="1">
        <f t="array" ref="I4004">IFERROR(_xlfn.IFS(M4004="נח",1,M4004="נע ונח",1,M4004="שני שווא נח",2,M4004="שני שוואים בסוף מילה",2,M4004="שני שוואים ברצף",1),"0")</f>
        <v>1</v>
      </c>
      <c r="J4004" s="9">
        <f t="shared" si="255"/>
        <v>2</v>
      </c>
      <c r="K4004" t="s">
        <v>6698</v>
      </c>
      <c r="L4004" t="s">
        <v>6694</v>
      </c>
      <c r="M4004" t="s">
        <v>6705</v>
      </c>
      <c r="Q4004" t="s">
        <v>6694</v>
      </c>
      <c r="V4004" t="s">
        <v>6694</v>
      </c>
      <c r="W4004" t="s">
        <v>6720</v>
      </c>
    </row>
    <row r="4005" spans="1:23" ht="15.6" x14ac:dyDescent="0.4">
      <c r="A4005" s="2" t="s">
        <v>2443</v>
      </c>
      <c r="B4005" s="5" t="s">
        <v>10229</v>
      </c>
      <c r="C4005" s="7" t="s">
        <v>12556</v>
      </c>
      <c r="D4005" s="8">
        <f t="shared" si="252"/>
        <v>0</v>
      </c>
      <c r="E4005" s="7" t="s">
        <v>12557</v>
      </c>
      <c r="F4005" s="7">
        <f t="shared" si="253"/>
        <v>2</v>
      </c>
      <c r="G4005" s="7" t="s">
        <v>12558</v>
      </c>
      <c r="H4005" s="7">
        <f t="shared" si="254"/>
        <v>1</v>
      </c>
      <c r="I4005" s="7" t="str" cm="1">
        <f t="array" ref="I4005">IFERROR(_xlfn.IFS(M4005="נח",1,M4005="נע ונח",1,M4005="שני שווא נח",2,M4005="שני שוואים בסוף מילה",2,M4005="שני שוואים ברצף",1),"0")</f>
        <v>0</v>
      </c>
      <c r="J4005" s="9">
        <f t="shared" si="255"/>
        <v>3</v>
      </c>
      <c r="K4005" t="s">
        <v>6697</v>
      </c>
      <c r="L4005" t="s">
        <v>6694</v>
      </c>
      <c r="M4005" t="s">
        <v>6703</v>
      </c>
      <c r="U4005" t="s">
        <v>6694</v>
      </c>
      <c r="V4005" t="s">
        <v>6694</v>
      </c>
      <c r="W4005" t="s">
        <v>6720</v>
      </c>
    </row>
    <row r="4006" spans="1:23" ht="15.6" x14ac:dyDescent="0.4">
      <c r="A4006" s="2" t="s">
        <v>2393</v>
      </c>
      <c r="B4006" s="5" t="s">
        <v>10230</v>
      </c>
      <c r="C4006" s="7" t="s">
        <v>12556</v>
      </c>
      <c r="D4006" s="8">
        <f t="shared" si="252"/>
        <v>0</v>
      </c>
      <c r="E4006" s="7" t="s">
        <v>12557</v>
      </c>
      <c r="F4006" s="7">
        <f t="shared" si="253"/>
        <v>1</v>
      </c>
      <c r="G4006" s="7" t="s">
        <v>12558</v>
      </c>
      <c r="H4006" s="7">
        <f t="shared" si="254"/>
        <v>0</v>
      </c>
      <c r="I4006" s="7" t="str" cm="1">
        <f t="array" ref="I4006">IFERROR(_xlfn.IFS(M4006="נח",1,M4006="נע ונח",1,M4006="שני שווא נח",2,M4006="שני שוואים בסוף מילה",2,M4006="שני שוואים ברצף",1),"0")</f>
        <v>0</v>
      </c>
      <c r="J4006" s="9">
        <f t="shared" si="255"/>
        <v>2</v>
      </c>
      <c r="K4006" t="s">
        <v>6698</v>
      </c>
      <c r="L4006" t="s">
        <v>6695</v>
      </c>
      <c r="Q4006" t="s">
        <v>6694</v>
      </c>
      <c r="V4006" t="s">
        <v>6694</v>
      </c>
      <c r="W4006" t="s">
        <v>6720</v>
      </c>
    </row>
    <row r="4007" spans="1:23" ht="15.6" x14ac:dyDescent="0.4">
      <c r="A4007" s="2" t="s">
        <v>2234</v>
      </c>
      <c r="B4007" s="5" t="s">
        <v>10231</v>
      </c>
      <c r="C4007" s="7" t="s">
        <v>12556</v>
      </c>
      <c r="D4007" s="8">
        <f t="shared" si="252"/>
        <v>0</v>
      </c>
      <c r="E4007" s="7" t="s">
        <v>12557</v>
      </c>
      <c r="F4007" s="7">
        <f t="shared" si="253"/>
        <v>2</v>
      </c>
      <c r="G4007" s="7" t="s">
        <v>12558</v>
      </c>
      <c r="H4007" s="7">
        <f t="shared" si="254"/>
        <v>0</v>
      </c>
      <c r="I4007" s="7" cm="1">
        <f t="array" ref="I4007">IFERROR(_xlfn.IFS(M4007="נח",1,M4007="נע ונח",1,M4007="שני שווא נח",2,M4007="שני שוואים בסוף מילה",2,M4007="שני שוואים ברצף",1),"0")</f>
        <v>1</v>
      </c>
      <c r="J4007" s="9">
        <f t="shared" si="255"/>
        <v>3</v>
      </c>
      <c r="K4007" t="s">
        <v>6698</v>
      </c>
      <c r="L4007" t="s">
        <v>6694</v>
      </c>
      <c r="M4007" t="s">
        <v>6705</v>
      </c>
      <c r="O4007" t="s">
        <v>6694</v>
      </c>
      <c r="P4007" t="s">
        <v>6694</v>
      </c>
      <c r="V4007" t="s">
        <v>6694</v>
      </c>
      <c r="W4007" t="s">
        <v>6720</v>
      </c>
    </row>
    <row r="4008" spans="1:23" ht="15.6" x14ac:dyDescent="0.4">
      <c r="A4008" s="2" t="s">
        <v>6204</v>
      </c>
      <c r="B4008" s="5" t="s">
        <v>10232</v>
      </c>
      <c r="C4008" s="7" t="s">
        <v>12556</v>
      </c>
      <c r="D4008" s="8">
        <f t="shared" si="252"/>
        <v>0</v>
      </c>
      <c r="E4008" s="7" t="s">
        <v>12557</v>
      </c>
      <c r="F4008" s="7">
        <f t="shared" si="253"/>
        <v>2</v>
      </c>
      <c r="G4008" s="7" t="s">
        <v>12558</v>
      </c>
      <c r="H4008" s="7">
        <f t="shared" si="254"/>
        <v>0</v>
      </c>
      <c r="I4008" s="7" cm="1">
        <f t="array" ref="I4008">IFERROR(_xlfn.IFS(M4008="נח",1,M4008="נע ונח",1,M4008="שני שווא נח",2,M4008="שני שוואים בסוף מילה",2,M4008="שני שוואים ברצף",1),"0")</f>
        <v>1</v>
      </c>
      <c r="J4008" s="9">
        <f t="shared" si="255"/>
        <v>3</v>
      </c>
      <c r="K4008" t="s">
        <v>6697</v>
      </c>
      <c r="L4008" t="s">
        <v>6694</v>
      </c>
      <c r="M4008" t="s">
        <v>6705</v>
      </c>
      <c r="N4008" t="s">
        <v>6706</v>
      </c>
      <c r="O4008" t="s">
        <v>6694</v>
      </c>
      <c r="V4008" t="s">
        <v>6694</v>
      </c>
      <c r="W4008" t="s">
        <v>6720</v>
      </c>
    </row>
    <row r="4009" spans="1:23" ht="15.6" x14ac:dyDescent="0.4">
      <c r="A4009" s="2" t="s">
        <v>2537</v>
      </c>
      <c r="B4009" s="5" t="s">
        <v>10229</v>
      </c>
      <c r="C4009" s="7" t="s">
        <v>12556</v>
      </c>
      <c r="D4009" s="8">
        <f t="shared" si="252"/>
        <v>0</v>
      </c>
      <c r="E4009" s="7" t="s">
        <v>12557</v>
      </c>
      <c r="F4009" s="7">
        <f t="shared" si="253"/>
        <v>2</v>
      </c>
      <c r="G4009" s="7" t="s">
        <v>12558</v>
      </c>
      <c r="H4009" s="7">
        <f t="shared" si="254"/>
        <v>1</v>
      </c>
      <c r="I4009" s="7" t="str" cm="1">
        <f t="array" ref="I4009">IFERROR(_xlfn.IFS(M4009="נח",1,M4009="נע ונח",1,M4009="שני שווא נח",2,M4009="שני שוואים בסוף מילה",2,M4009="שני שוואים ברצף",1),"0")</f>
        <v>0</v>
      </c>
      <c r="J4009" s="9">
        <f t="shared" si="255"/>
        <v>3</v>
      </c>
      <c r="K4009" t="s">
        <v>6697</v>
      </c>
      <c r="L4009" t="s">
        <v>6695</v>
      </c>
      <c r="O4009" t="s">
        <v>6694</v>
      </c>
      <c r="U4009" t="s">
        <v>6694</v>
      </c>
      <c r="V4009" t="s">
        <v>6694</v>
      </c>
      <c r="W4009" t="s">
        <v>6720</v>
      </c>
    </row>
    <row r="4010" spans="1:23" ht="15.6" x14ac:dyDescent="0.4">
      <c r="A4010" s="2" t="s">
        <v>365</v>
      </c>
      <c r="B4010" s="5" t="s">
        <v>10233</v>
      </c>
      <c r="C4010" s="7" t="s">
        <v>12556</v>
      </c>
      <c r="D4010" s="8">
        <f t="shared" si="252"/>
        <v>0</v>
      </c>
      <c r="E4010" s="7" t="s">
        <v>12557</v>
      </c>
      <c r="F4010" s="7">
        <f t="shared" si="253"/>
        <v>1</v>
      </c>
      <c r="G4010" s="7" t="s">
        <v>12558</v>
      </c>
      <c r="H4010" s="7">
        <f t="shared" si="254"/>
        <v>0</v>
      </c>
      <c r="I4010" s="7" t="str" cm="1">
        <f t="array" ref="I4010">IFERROR(_xlfn.IFS(M4010="נח",1,M4010="נע ונח",1,M4010="שני שווא נח",2,M4010="שני שוואים בסוף מילה",2,M4010="שני שוואים ברצף",1),"0")</f>
        <v>0</v>
      </c>
      <c r="J4010" s="9">
        <f t="shared" si="255"/>
        <v>1</v>
      </c>
      <c r="K4010" t="s">
        <v>6698</v>
      </c>
      <c r="L4010" t="s">
        <v>6695</v>
      </c>
      <c r="V4010" t="s">
        <v>6694</v>
      </c>
      <c r="W4010" t="s">
        <v>6720</v>
      </c>
    </row>
    <row r="4011" spans="1:23" ht="15.6" x14ac:dyDescent="0.4">
      <c r="A4011" s="2" t="s">
        <v>795</v>
      </c>
      <c r="B4011" s="5" t="s">
        <v>10234</v>
      </c>
      <c r="C4011" s="7" t="s">
        <v>12556</v>
      </c>
      <c r="D4011" s="8">
        <f t="shared" si="252"/>
        <v>0</v>
      </c>
      <c r="E4011" s="7" t="s">
        <v>12557</v>
      </c>
      <c r="F4011" s="7">
        <f t="shared" si="253"/>
        <v>1</v>
      </c>
      <c r="G4011" s="7" t="s">
        <v>12558</v>
      </c>
      <c r="H4011" s="7">
        <f t="shared" si="254"/>
        <v>0</v>
      </c>
      <c r="I4011" s="7" t="str" cm="1">
        <f t="array" ref="I4011">IFERROR(_xlfn.IFS(M4011="נח",1,M4011="נע ונח",1,M4011="שני שווא נח",2,M4011="שני שוואים בסוף מילה",2,M4011="שני שוואים ברצף",1),"0")</f>
        <v>0</v>
      </c>
      <c r="J4011" s="9">
        <f t="shared" si="255"/>
        <v>2</v>
      </c>
      <c r="K4011" t="s">
        <v>6697</v>
      </c>
      <c r="L4011" t="s">
        <v>6695</v>
      </c>
      <c r="S4011" t="s">
        <v>6694</v>
      </c>
      <c r="V4011" t="s">
        <v>6694</v>
      </c>
      <c r="W4011" t="s">
        <v>6720</v>
      </c>
    </row>
    <row r="4012" spans="1:23" ht="15.6" x14ac:dyDescent="0.4">
      <c r="A4012" s="2" t="s">
        <v>6235</v>
      </c>
      <c r="B4012" s="5" t="s">
        <v>10235</v>
      </c>
      <c r="C4012" s="7" t="s">
        <v>12556</v>
      </c>
      <c r="D4012" s="8">
        <f t="shared" si="252"/>
        <v>0</v>
      </c>
      <c r="E4012" s="7" t="s">
        <v>12557</v>
      </c>
      <c r="F4012" s="7">
        <f t="shared" si="253"/>
        <v>1</v>
      </c>
      <c r="G4012" s="7" t="s">
        <v>12558</v>
      </c>
      <c r="H4012" s="7">
        <f t="shared" si="254"/>
        <v>0</v>
      </c>
      <c r="I4012" s="7" t="str" cm="1">
        <f t="array" ref="I4012">IFERROR(_xlfn.IFS(M4012="נח",1,M4012="נע ונח",1,M4012="שני שווא נח",2,M4012="שני שוואים בסוף מילה",2,M4012="שני שוואים ברצף",1),"0")</f>
        <v>0</v>
      </c>
      <c r="J4012" s="9">
        <f t="shared" si="255"/>
        <v>2</v>
      </c>
      <c r="K4012" t="s">
        <v>6698</v>
      </c>
      <c r="L4012" t="s">
        <v>6695</v>
      </c>
      <c r="N4012" t="s">
        <v>6706</v>
      </c>
      <c r="O4012" t="s">
        <v>6694</v>
      </c>
      <c r="V4012" t="s">
        <v>6694</v>
      </c>
      <c r="W4012" t="s">
        <v>6720</v>
      </c>
    </row>
    <row r="4013" spans="1:23" ht="15.6" x14ac:dyDescent="0.4">
      <c r="A4013" s="2" t="s">
        <v>3014</v>
      </c>
      <c r="B4013" s="5" t="s">
        <v>10236</v>
      </c>
      <c r="C4013" s="7" t="s">
        <v>12556</v>
      </c>
      <c r="D4013" s="8">
        <f t="shared" si="252"/>
        <v>1</v>
      </c>
      <c r="E4013" s="7" t="s">
        <v>12557</v>
      </c>
      <c r="F4013" s="7">
        <f t="shared" si="253"/>
        <v>2</v>
      </c>
      <c r="G4013" s="7" t="s">
        <v>12558</v>
      </c>
      <c r="H4013" s="7">
        <f t="shared" si="254"/>
        <v>1</v>
      </c>
      <c r="I4013" s="7" t="str" cm="1">
        <f t="array" ref="I4013">IFERROR(_xlfn.IFS(M4013="נח",1,M4013="נע ונח",1,M4013="שני שווא נח",2,M4013="שני שוואים בסוף מילה",2,M4013="שני שוואים ברצף",1),"0")</f>
        <v>0</v>
      </c>
      <c r="J4013" s="9">
        <f t="shared" si="255"/>
        <v>1</v>
      </c>
      <c r="K4013" t="s">
        <v>6698</v>
      </c>
      <c r="L4013" t="s">
        <v>6695</v>
      </c>
      <c r="U4013" t="s">
        <v>6694</v>
      </c>
      <c r="W4013" t="s">
        <v>6720</v>
      </c>
    </row>
    <row r="4014" spans="1:23" ht="15.6" x14ac:dyDescent="0.4">
      <c r="A4014" s="2" t="s">
        <v>6486</v>
      </c>
      <c r="B4014" s="5" t="s">
        <v>10232</v>
      </c>
      <c r="C4014" s="7" t="s">
        <v>12556</v>
      </c>
      <c r="D4014" s="8">
        <f t="shared" si="252"/>
        <v>0</v>
      </c>
      <c r="E4014" s="7" t="s">
        <v>12557</v>
      </c>
      <c r="F4014" s="7">
        <f t="shared" si="253"/>
        <v>2</v>
      </c>
      <c r="G4014" s="7" t="s">
        <v>12558</v>
      </c>
      <c r="H4014" s="7">
        <f t="shared" si="254"/>
        <v>0</v>
      </c>
      <c r="I4014" s="7" cm="1">
        <f t="array" ref="I4014">IFERROR(_xlfn.IFS(M4014="נח",1,M4014="נע ונח",1,M4014="שני שווא נח",2,M4014="שני שוואים בסוף מילה",2,M4014="שני שוואים ברצף",1),"0")</f>
        <v>1</v>
      </c>
      <c r="J4014" s="9">
        <f t="shared" si="255"/>
        <v>3</v>
      </c>
      <c r="K4014" t="s">
        <v>6697</v>
      </c>
      <c r="L4014" t="s">
        <v>6694</v>
      </c>
      <c r="M4014" t="s">
        <v>6705</v>
      </c>
      <c r="N4014" t="s">
        <v>6706</v>
      </c>
      <c r="O4014" t="s">
        <v>6694</v>
      </c>
      <c r="P4014" t="s">
        <v>6694</v>
      </c>
      <c r="V4014" t="s">
        <v>6694</v>
      </c>
      <c r="W4014" t="s">
        <v>6720</v>
      </c>
    </row>
    <row r="4015" spans="1:23" ht="15.6" x14ac:dyDescent="0.4">
      <c r="A4015" s="2" t="s">
        <v>4674</v>
      </c>
      <c r="B4015" s="5" t="s">
        <v>10233</v>
      </c>
      <c r="C4015" s="7" t="s">
        <v>12556</v>
      </c>
      <c r="D4015" s="8">
        <f t="shared" si="252"/>
        <v>0</v>
      </c>
      <c r="E4015" s="7" t="s">
        <v>12557</v>
      </c>
      <c r="F4015" s="7">
        <f t="shared" si="253"/>
        <v>0</v>
      </c>
      <c r="G4015" s="7" t="s">
        <v>12558</v>
      </c>
      <c r="H4015" s="7">
        <f t="shared" si="254"/>
        <v>0</v>
      </c>
      <c r="I4015" s="7" t="str" cm="1">
        <f t="array" ref="I4015">IFERROR(_xlfn.IFS(M4015="נח",1,M4015="נע ונח",1,M4015="שני שווא נח",2,M4015="שני שוואים בסוף מילה",2,M4015="שני שוואים ברצף",1),"0")</f>
        <v>0</v>
      </c>
      <c r="J4015" s="9">
        <f t="shared" si="255"/>
        <v>1</v>
      </c>
      <c r="K4015" t="s">
        <v>6698</v>
      </c>
      <c r="L4015" t="s">
        <v>6695</v>
      </c>
      <c r="V4015" t="s">
        <v>6694</v>
      </c>
      <c r="W4015" t="s">
        <v>6720</v>
      </c>
    </row>
    <row r="4016" spans="1:23" ht="15.6" x14ac:dyDescent="0.4">
      <c r="A4016" s="2" t="s">
        <v>4585</v>
      </c>
      <c r="B4016" s="5" t="s">
        <v>10237</v>
      </c>
      <c r="C4016" s="7" t="s">
        <v>12556</v>
      </c>
      <c r="D4016" s="8">
        <f t="shared" si="252"/>
        <v>0</v>
      </c>
      <c r="E4016" s="7" t="s">
        <v>12557</v>
      </c>
      <c r="F4016" s="7">
        <f t="shared" si="253"/>
        <v>2</v>
      </c>
      <c r="G4016" s="7" t="s">
        <v>12558</v>
      </c>
      <c r="H4016" s="7">
        <f t="shared" si="254"/>
        <v>1</v>
      </c>
      <c r="I4016" s="7" cm="1">
        <f t="array" ref="I4016">IFERROR(_xlfn.IFS(M4016="נח",1,M4016="נע ונח",1,M4016="שני שווא נח",2,M4016="שני שוואים בסוף מילה",2,M4016="שני שוואים ברצף",1),"0")</f>
        <v>1</v>
      </c>
      <c r="J4016" s="9">
        <f t="shared" si="255"/>
        <v>5</v>
      </c>
      <c r="K4016" t="s">
        <v>6697</v>
      </c>
      <c r="L4016" t="s">
        <v>6694</v>
      </c>
      <c r="M4016" t="s">
        <v>6701</v>
      </c>
      <c r="P4016" t="s">
        <v>6694</v>
      </c>
      <c r="S4016" t="s">
        <v>6694</v>
      </c>
      <c r="U4016" t="s">
        <v>6694</v>
      </c>
      <c r="W4016" t="s">
        <v>6720</v>
      </c>
    </row>
    <row r="4017" spans="1:23" ht="15.6" x14ac:dyDescent="0.4">
      <c r="A4017" s="2" t="s">
        <v>4324</v>
      </c>
      <c r="B4017" s="5" t="s">
        <v>10238</v>
      </c>
      <c r="C4017" s="7" t="s">
        <v>12556</v>
      </c>
      <c r="D4017" s="8">
        <f t="shared" si="252"/>
        <v>1</v>
      </c>
      <c r="E4017" s="7" t="s">
        <v>12557</v>
      </c>
      <c r="F4017" s="7">
        <f t="shared" si="253"/>
        <v>0</v>
      </c>
      <c r="G4017" s="7" t="s">
        <v>12558</v>
      </c>
      <c r="H4017" s="7">
        <f t="shared" si="254"/>
        <v>0</v>
      </c>
      <c r="I4017" s="7" t="str" cm="1">
        <f t="array" ref="I4017">IFERROR(_xlfn.IFS(M4017="נח",1,M4017="נע ונח",1,M4017="שני שווא נח",2,M4017="שני שוואים בסוף מילה",2,M4017="שני שוואים ברצף",1),"0")</f>
        <v>0</v>
      </c>
      <c r="J4017" s="9">
        <f t="shared" si="255"/>
        <v>2</v>
      </c>
      <c r="K4017" t="s">
        <v>6698</v>
      </c>
      <c r="L4017" t="s">
        <v>6694</v>
      </c>
      <c r="M4017" t="s">
        <v>6700</v>
      </c>
      <c r="S4017" t="s">
        <v>6694</v>
      </c>
      <c r="W4017" t="s">
        <v>6720</v>
      </c>
    </row>
    <row r="4018" spans="1:23" ht="15.6" x14ac:dyDescent="0.4">
      <c r="A4018" s="2" t="s">
        <v>3977</v>
      </c>
      <c r="B4018" s="5" t="s">
        <v>10239</v>
      </c>
      <c r="C4018" s="7" t="s">
        <v>12556</v>
      </c>
      <c r="D4018" s="8">
        <f t="shared" si="252"/>
        <v>0</v>
      </c>
      <c r="E4018" s="7" t="s">
        <v>12557</v>
      </c>
      <c r="F4018" s="7">
        <f t="shared" si="253"/>
        <v>0</v>
      </c>
      <c r="G4018" s="7" t="s">
        <v>12558</v>
      </c>
      <c r="H4018" s="7">
        <f t="shared" si="254"/>
        <v>0</v>
      </c>
      <c r="I4018" s="7" cm="1">
        <f t="array" ref="I4018">IFERROR(_xlfn.IFS(M4018="נח",1,M4018="נע ונח",1,M4018="שני שווא נח",2,M4018="שני שוואים בסוף מילה",2,M4018="שני שוואים ברצף",1),"0")</f>
        <v>1</v>
      </c>
      <c r="J4018" s="9">
        <f t="shared" si="255"/>
        <v>3</v>
      </c>
      <c r="K4018" t="s">
        <v>6698</v>
      </c>
      <c r="L4018" t="s">
        <v>6694</v>
      </c>
      <c r="M4018" t="s">
        <v>6701</v>
      </c>
      <c r="Q4018" t="s">
        <v>6694</v>
      </c>
      <c r="S4018" t="s">
        <v>6694</v>
      </c>
      <c r="W4018" t="s">
        <v>6720</v>
      </c>
    </row>
    <row r="4019" spans="1:23" ht="15.6" x14ac:dyDescent="0.4">
      <c r="A4019" s="2" t="s">
        <v>5780</v>
      </c>
      <c r="B4019" s="5" t="s">
        <v>10240</v>
      </c>
      <c r="C4019" s="7" t="s">
        <v>12556</v>
      </c>
      <c r="D4019" s="8">
        <f t="shared" si="252"/>
        <v>0</v>
      </c>
      <c r="E4019" s="7" t="s">
        <v>12557</v>
      </c>
      <c r="F4019" s="7">
        <f t="shared" si="253"/>
        <v>0</v>
      </c>
      <c r="G4019" s="7" t="s">
        <v>12558</v>
      </c>
      <c r="H4019" s="7">
        <f t="shared" si="254"/>
        <v>0</v>
      </c>
      <c r="I4019" s="7" t="str" cm="1">
        <f t="array" ref="I4019">IFERROR(_xlfn.IFS(M4019="נח",1,M4019="נע ונח",1,M4019="שני שווא נח",2,M4019="שני שוואים בסוף מילה",2,M4019="שני שוואים ברצף",1),"0")</f>
        <v>0</v>
      </c>
      <c r="J4019" s="9">
        <f t="shared" si="255"/>
        <v>3</v>
      </c>
      <c r="K4019" t="s">
        <v>6698</v>
      </c>
      <c r="L4019" t="s">
        <v>6694</v>
      </c>
      <c r="M4019" t="s">
        <v>6700</v>
      </c>
      <c r="N4019" t="s">
        <v>6706</v>
      </c>
      <c r="O4019" t="s">
        <v>6694</v>
      </c>
      <c r="Q4019" t="s">
        <v>6694</v>
      </c>
      <c r="W4019" t="s">
        <v>6720</v>
      </c>
    </row>
    <row r="4020" spans="1:23" ht="15.6" x14ac:dyDescent="0.4">
      <c r="A4020" s="2" t="s">
        <v>1803</v>
      </c>
      <c r="B4020" s="5" t="s">
        <v>10241</v>
      </c>
      <c r="C4020" s="7" t="s">
        <v>12556</v>
      </c>
      <c r="D4020" s="8">
        <f t="shared" si="252"/>
        <v>0</v>
      </c>
      <c r="E4020" s="7" t="s">
        <v>12557</v>
      </c>
      <c r="F4020" s="7">
        <f t="shared" si="253"/>
        <v>0</v>
      </c>
      <c r="G4020" s="7" t="s">
        <v>12558</v>
      </c>
      <c r="H4020" s="7">
        <f t="shared" si="254"/>
        <v>0</v>
      </c>
      <c r="I4020" s="7" t="str" cm="1">
        <f t="array" ref="I4020">IFERROR(_xlfn.IFS(M4020="נח",1,M4020="נע ונח",1,M4020="שני שווא נח",2,M4020="שני שוואים בסוף מילה",2,M4020="שני שוואים ברצף",1),"0")</f>
        <v>0</v>
      </c>
      <c r="J4020" s="9">
        <f t="shared" si="255"/>
        <v>2</v>
      </c>
      <c r="K4020" t="s">
        <v>6698</v>
      </c>
      <c r="L4020" t="s">
        <v>6694</v>
      </c>
      <c r="M4020" t="s">
        <v>6700</v>
      </c>
      <c r="Q4020" t="s">
        <v>6694</v>
      </c>
      <c r="W4020" t="s">
        <v>6720</v>
      </c>
    </row>
    <row r="4021" spans="1:23" ht="15.6" x14ac:dyDescent="0.4">
      <c r="A4021" s="2" t="s">
        <v>4592</v>
      </c>
      <c r="B4021" s="5" t="s">
        <v>10242</v>
      </c>
      <c r="C4021" s="7" t="s">
        <v>12556</v>
      </c>
      <c r="D4021" s="8">
        <f t="shared" si="252"/>
        <v>0</v>
      </c>
      <c r="E4021" s="7" t="s">
        <v>12557</v>
      </c>
      <c r="F4021" s="7">
        <f t="shared" si="253"/>
        <v>0</v>
      </c>
      <c r="G4021" s="7" t="s">
        <v>12558</v>
      </c>
      <c r="H4021" s="7">
        <f t="shared" si="254"/>
        <v>0</v>
      </c>
      <c r="I4021" s="7" t="str" cm="1">
        <f t="array" ref="I4021">IFERROR(_xlfn.IFS(M4021="נח",1,M4021="נע ונח",1,M4021="שני שווא נח",2,M4021="שני שוואים בסוף מילה",2,M4021="שני שוואים ברצף",1),"0")</f>
        <v>0</v>
      </c>
      <c r="J4021" s="9">
        <f t="shared" si="255"/>
        <v>3</v>
      </c>
      <c r="K4021" t="s">
        <v>6698</v>
      </c>
      <c r="L4021" t="s">
        <v>6694</v>
      </c>
      <c r="M4021" t="s">
        <v>6700</v>
      </c>
      <c r="N4021" t="s">
        <v>6706</v>
      </c>
      <c r="O4021" t="s">
        <v>6694</v>
      </c>
      <c r="R4021" t="s">
        <v>6694</v>
      </c>
      <c r="W4021" t="s">
        <v>6720</v>
      </c>
    </row>
    <row r="4022" spans="1:23" ht="15.6" x14ac:dyDescent="0.4">
      <c r="A4022" s="2" t="s">
        <v>1626</v>
      </c>
      <c r="B4022" s="5" t="s">
        <v>10243</v>
      </c>
      <c r="C4022" s="7" t="s">
        <v>12556</v>
      </c>
      <c r="D4022" s="8">
        <f t="shared" si="252"/>
        <v>0</v>
      </c>
      <c r="E4022" s="7" t="s">
        <v>12557</v>
      </c>
      <c r="F4022" s="7">
        <f t="shared" si="253"/>
        <v>0</v>
      </c>
      <c r="G4022" s="7" t="s">
        <v>12558</v>
      </c>
      <c r="H4022" s="7">
        <f t="shared" si="254"/>
        <v>0</v>
      </c>
      <c r="I4022" s="7" t="str" cm="1">
        <f t="array" ref="I4022">IFERROR(_xlfn.IFS(M4022="נח",1,M4022="נע ונח",1,M4022="שני שווא נח",2,M4022="שני שוואים בסוף מילה",2,M4022="שני שוואים ברצף",1),"0")</f>
        <v>0</v>
      </c>
      <c r="J4022" s="9">
        <f t="shared" si="255"/>
        <v>3</v>
      </c>
      <c r="K4022" t="s">
        <v>6698</v>
      </c>
      <c r="L4022" t="s">
        <v>6694</v>
      </c>
      <c r="M4022" t="s">
        <v>6700</v>
      </c>
      <c r="R4022" t="s">
        <v>6694</v>
      </c>
      <c r="W4022" t="s">
        <v>6720</v>
      </c>
    </row>
    <row r="4023" spans="1:23" ht="15.6" x14ac:dyDescent="0.4">
      <c r="A4023" s="2" t="s">
        <v>1310</v>
      </c>
      <c r="B4023" s="5" t="s">
        <v>10244</v>
      </c>
      <c r="C4023" s="7" t="s">
        <v>12556</v>
      </c>
      <c r="D4023" s="8">
        <f t="shared" si="252"/>
        <v>0</v>
      </c>
      <c r="E4023" s="7" t="s">
        <v>12557</v>
      </c>
      <c r="F4023" s="7">
        <f t="shared" si="253"/>
        <v>0</v>
      </c>
      <c r="G4023" s="7" t="s">
        <v>12558</v>
      </c>
      <c r="H4023" s="7">
        <f t="shared" si="254"/>
        <v>0</v>
      </c>
      <c r="I4023" s="7" cm="1">
        <f t="array" ref="I4023">IFERROR(_xlfn.IFS(M4023="נח",1,M4023="נע ונח",1,M4023="שני שווא נח",2,M4023="שני שוואים בסוף מילה",2,M4023="שני שוואים ברצף",1),"0")</f>
        <v>1</v>
      </c>
      <c r="J4023" s="9">
        <f t="shared" si="255"/>
        <v>4</v>
      </c>
      <c r="K4023" t="s">
        <v>6697</v>
      </c>
      <c r="L4023" t="s">
        <v>6694</v>
      </c>
      <c r="M4023" t="s">
        <v>6701</v>
      </c>
      <c r="O4023" t="s">
        <v>6694</v>
      </c>
      <c r="P4023" t="s">
        <v>6694</v>
      </c>
      <c r="V4023" t="s">
        <v>6694</v>
      </c>
      <c r="W4023" t="s">
        <v>6720</v>
      </c>
    </row>
    <row r="4024" spans="1:23" ht="15.6" x14ac:dyDescent="0.4">
      <c r="A4024" s="2" t="s">
        <v>1076</v>
      </c>
      <c r="B4024" s="5" t="s">
        <v>10245</v>
      </c>
      <c r="C4024" s="7" t="s">
        <v>12556</v>
      </c>
      <c r="D4024" s="8">
        <f t="shared" si="252"/>
        <v>0</v>
      </c>
      <c r="E4024" s="7" t="s">
        <v>12557</v>
      </c>
      <c r="F4024" s="7">
        <f t="shared" si="253"/>
        <v>0</v>
      </c>
      <c r="G4024" s="7" t="s">
        <v>12558</v>
      </c>
      <c r="H4024" s="7">
        <f t="shared" si="254"/>
        <v>0</v>
      </c>
      <c r="I4024" s="7" t="str" cm="1">
        <f t="array" ref="I4024">IFERROR(_xlfn.IFS(M4024="נח",1,M4024="נע ונח",1,M4024="שני שווא נח",2,M4024="שני שוואים בסוף מילה",2,M4024="שני שוואים ברצף",1),"0")</f>
        <v>0</v>
      </c>
      <c r="J4024" s="9">
        <f t="shared" si="255"/>
        <v>4</v>
      </c>
      <c r="K4024" t="s">
        <v>6698</v>
      </c>
      <c r="L4024" t="s">
        <v>6694</v>
      </c>
      <c r="M4024" t="s">
        <v>6700</v>
      </c>
      <c r="P4024" t="s">
        <v>6694</v>
      </c>
      <c r="V4024" t="s">
        <v>6694</v>
      </c>
      <c r="W4024" t="s">
        <v>6720</v>
      </c>
    </row>
    <row r="4025" spans="1:23" ht="15.6" x14ac:dyDescent="0.4">
      <c r="A4025" s="2" t="s">
        <v>6614</v>
      </c>
      <c r="B4025" s="5" t="s">
        <v>10246</v>
      </c>
      <c r="C4025" s="7" t="s">
        <v>12556</v>
      </c>
      <c r="D4025" s="8">
        <f t="shared" si="252"/>
        <v>0</v>
      </c>
      <c r="E4025" s="7" t="s">
        <v>12557</v>
      </c>
      <c r="F4025" s="7">
        <f t="shared" si="253"/>
        <v>0</v>
      </c>
      <c r="G4025" s="7" t="s">
        <v>12558</v>
      </c>
      <c r="H4025" s="7">
        <f t="shared" si="254"/>
        <v>0</v>
      </c>
      <c r="I4025" s="7" t="str" cm="1">
        <f t="array" ref="I4025">IFERROR(_xlfn.IFS(M4025="נח",1,M4025="נע ונח",1,M4025="שני שווא נח",2,M4025="שני שוואים בסוף מילה",2,M4025="שני שוואים ברצף",1),"0")</f>
        <v>0</v>
      </c>
      <c r="J4025" s="9">
        <f t="shared" si="255"/>
        <v>5</v>
      </c>
      <c r="K4025" t="s">
        <v>6698</v>
      </c>
      <c r="L4025" t="s">
        <v>6694</v>
      </c>
      <c r="M4025" t="s">
        <v>6700</v>
      </c>
      <c r="N4025" t="s">
        <v>6706</v>
      </c>
      <c r="O4025" t="s">
        <v>6694</v>
      </c>
      <c r="P4025" t="s">
        <v>6694</v>
      </c>
      <c r="S4025" t="s">
        <v>6694</v>
      </c>
      <c r="W4025" t="s">
        <v>6720</v>
      </c>
    </row>
    <row r="4026" spans="1:23" ht="15.6" x14ac:dyDescent="0.4">
      <c r="A4026" s="2" t="s">
        <v>4214</v>
      </c>
      <c r="B4026" s="5" t="s">
        <v>10247</v>
      </c>
      <c r="C4026" s="7" t="s">
        <v>12556</v>
      </c>
      <c r="D4026" s="8">
        <f t="shared" si="252"/>
        <v>0</v>
      </c>
      <c r="E4026" s="7" t="s">
        <v>12557</v>
      </c>
      <c r="F4026" s="7">
        <f t="shared" si="253"/>
        <v>0</v>
      </c>
      <c r="G4026" s="7" t="s">
        <v>12558</v>
      </c>
      <c r="H4026" s="7">
        <f t="shared" si="254"/>
        <v>0</v>
      </c>
      <c r="I4026" s="7" cm="1">
        <f t="array" ref="I4026">IFERROR(_xlfn.IFS(M4026="נח",1,M4026="נע ונח",1,M4026="שני שווא נח",2,M4026="שני שוואים בסוף מילה",2,M4026="שני שוואים ברצף",1),"0")</f>
        <v>1</v>
      </c>
      <c r="J4026" s="9">
        <f t="shared" si="255"/>
        <v>3</v>
      </c>
      <c r="K4026" t="s">
        <v>6698</v>
      </c>
      <c r="L4026" t="s">
        <v>6694</v>
      </c>
      <c r="M4026" t="s">
        <v>6701</v>
      </c>
      <c r="P4026" t="s">
        <v>6694</v>
      </c>
      <c r="Q4026" t="s">
        <v>6694</v>
      </c>
      <c r="W4026" t="s">
        <v>6720</v>
      </c>
    </row>
    <row r="4027" spans="1:23" ht="15.6" x14ac:dyDescent="0.4">
      <c r="A4027" s="2" t="s">
        <v>6024</v>
      </c>
      <c r="B4027" s="5" t="s">
        <v>10248</v>
      </c>
      <c r="C4027" s="7" t="s">
        <v>12556</v>
      </c>
      <c r="D4027" s="8">
        <f t="shared" si="252"/>
        <v>0</v>
      </c>
      <c r="E4027" s="7" t="s">
        <v>12557</v>
      </c>
      <c r="F4027" s="7">
        <f t="shared" si="253"/>
        <v>0</v>
      </c>
      <c r="G4027" s="7" t="s">
        <v>12558</v>
      </c>
      <c r="H4027" s="7">
        <f t="shared" si="254"/>
        <v>0</v>
      </c>
      <c r="I4027" s="7" t="str" cm="1">
        <f t="array" ref="I4027">IFERROR(_xlfn.IFS(M4027="נח",1,M4027="נע ונח",1,M4027="שני שווא נח",2,M4027="שני שוואים בסוף מילה",2,M4027="שני שוואים ברצף",1),"0")</f>
        <v>0</v>
      </c>
      <c r="J4027" s="9">
        <f t="shared" si="255"/>
        <v>3</v>
      </c>
      <c r="K4027" t="s">
        <v>6698</v>
      </c>
      <c r="L4027" t="s">
        <v>6694</v>
      </c>
      <c r="M4027" t="s">
        <v>6700</v>
      </c>
      <c r="O4027" t="s">
        <v>6694</v>
      </c>
      <c r="V4027" t="s">
        <v>6694</v>
      </c>
      <c r="W4027" t="s">
        <v>6720</v>
      </c>
    </row>
    <row r="4028" spans="1:23" ht="15.6" x14ac:dyDescent="0.4">
      <c r="A4028" s="2" t="s">
        <v>4654</v>
      </c>
      <c r="B4028" s="5" t="s">
        <v>10249</v>
      </c>
      <c r="C4028" s="7" t="s">
        <v>12556</v>
      </c>
      <c r="D4028" s="8">
        <f t="shared" si="252"/>
        <v>0</v>
      </c>
      <c r="E4028" s="7" t="s">
        <v>12557</v>
      </c>
      <c r="F4028" s="7">
        <f t="shared" si="253"/>
        <v>0</v>
      </c>
      <c r="G4028" s="7" t="s">
        <v>12558</v>
      </c>
      <c r="H4028" s="7">
        <f t="shared" si="254"/>
        <v>0</v>
      </c>
      <c r="I4028" s="7" t="str" cm="1">
        <f t="array" ref="I4028">IFERROR(_xlfn.IFS(M4028="נח",1,M4028="נע ונח",1,M4028="שני שווא נח",2,M4028="שני שוואים בסוף מילה",2,M4028="שני שוואים ברצף",1),"0")</f>
        <v>0</v>
      </c>
      <c r="J4028" s="9">
        <f t="shared" si="255"/>
        <v>3</v>
      </c>
      <c r="K4028" t="s">
        <v>6698</v>
      </c>
      <c r="L4028" t="s">
        <v>6694</v>
      </c>
      <c r="M4028" t="s">
        <v>6700</v>
      </c>
      <c r="N4028" t="s">
        <v>6706</v>
      </c>
      <c r="O4028" t="s">
        <v>6694</v>
      </c>
      <c r="W4028" t="s">
        <v>6720</v>
      </c>
    </row>
    <row r="4029" spans="1:23" ht="15.6" x14ac:dyDescent="0.4">
      <c r="A4029" s="2" t="s">
        <v>804</v>
      </c>
      <c r="B4029" s="5" t="s">
        <v>10250</v>
      </c>
      <c r="C4029" s="7" t="s">
        <v>12556</v>
      </c>
      <c r="D4029" s="8">
        <f t="shared" si="252"/>
        <v>0</v>
      </c>
      <c r="E4029" s="7" t="s">
        <v>12557</v>
      </c>
      <c r="F4029" s="7">
        <f t="shared" si="253"/>
        <v>0</v>
      </c>
      <c r="G4029" s="7" t="s">
        <v>12558</v>
      </c>
      <c r="H4029" s="7">
        <f t="shared" si="254"/>
        <v>0</v>
      </c>
      <c r="I4029" s="7" cm="1">
        <f t="array" ref="I4029">IFERROR(_xlfn.IFS(M4029="נח",1,M4029="נע ונח",1,M4029="שני שווא נח",2,M4029="שני שוואים בסוף מילה",2,M4029="שני שוואים ברצף",1),"0")</f>
        <v>1</v>
      </c>
      <c r="J4029" s="9">
        <f t="shared" si="255"/>
        <v>3</v>
      </c>
      <c r="K4029" t="s">
        <v>6698</v>
      </c>
      <c r="L4029" t="s">
        <v>6694</v>
      </c>
      <c r="M4029" t="s">
        <v>6701</v>
      </c>
      <c r="R4029" t="s">
        <v>6694</v>
      </c>
      <c r="V4029" t="s">
        <v>6694</v>
      </c>
      <c r="W4029" t="s">
        <v>6720</v>
      </c>
    </row>
    <row r="4030" spans="1:23" ht="15.6" x14ac:dyDescent="0.4">
      <c r="A4030" s="2" t="s">
        <v>1428</v>
      </c>
      <c r="B4030" s="5" t="s">
        <v>10251</v>
      </c>
      <c r="C4030" s="7" t="s">
        <v>12556</v>
      </c>
      <c r="D4030" s="8">
        <f t="shared" si="252"/>
        <v>0</v>
      </c>
      <c r="E4030" s="7" t="s">
        <v>12557</v>
      </c>
      <c r="F4030" s="7">
        <f t="shared" si="253"/>
        <v>1</v>
      </c>
      <c r="G4030" s="7" t="s">
        <v>12558</v>
      </c>
      <c r="H4030" s="7">
        <f t="shared" si="254"/>
        <v>0</v>
      </c>
      <c r="I4030" s="7" t="str" cm="1">
        <f t="array" ref="I4030">IFERROR(_xlfn.IFS(M4030="נח",1,M4030="נע ונח",1,M4030="שני שווא נח",2,M4030="שני שוואים בסוף מילה",2,M4030="שני שוואים ברצף",1),"0")</f>
        <v>0</v>
      </c>
      <c r="J4030" s="9">
        <f t="shared" si="255"/>
        <v>3</v>
      </c>
      <c r="K4030" t="s">
        <v>6698</v>
      </c>
      <c r="L4030" t="s">
        <v>6694</v>
      </c>
      <c r="M4030" t="s">
        <v>6700</v>
      </c>
      <c r="S4030" t="s">
        <v>6694</v>
      </c>
      <c r="T4030" t="s">
        <v>6694</v>
      </c>
      <c r="W4030" t="s">
        <v>6720</v>
      </c>
    </row>
    <row r="4031" spans="1:23" ht="15.6" x14ac:dyDescent="0.4">
      <c r="A4031" s="2" t="s">
        <v>5091</v>
      </c>
      <c r="B4031" s="5" t="s">
        <v>10252</v>
      </c>
      <c r="C4031" s="7" t="s">
        <v>12556</v>
      </c>
      <c r="D4031" s="8">
        <f t="shared" si="252"/>
        <v>0</v>
      </c>
      <c r="E4031" s="7" t="s">
        <v>12557</v>
      </c>
      <c r="F4031" s="7">
        <f t="shared" si="253"/>
        <v>0</v>
      </c>
      <c r="G4031" s="7" t="s">
        <v>12558</v>
      </c>
      <c r="H4031" s="7">
        <f t="shared" si="254"/>
        <v>0</v>
      </c>
      <c r="I4031" s="7" cm="1">
        <f t="array" ref="I4031">IFERROR(_xlfn.IFS(M4031="נח",1,M4031="נע ונח",1,M4031="שני שווא נח",2,M4031="שני שוואים בסוף מילה",2,M4031="שני שוואים ברצף",1),"0")</f>
        <v>1</v>
      </c>
      <c r="J4031" s="9">
        <f t="shared" si="255"/>
        <v>3</v>
      </c>
      <c r="K4031" t="s">
        <v>6698</v>
      </c>
      <c r="L4031" t="s">
        <v>6694</v>
      </c>
      <c r="M4031" t="s">
        <v>6701</v>
      </c>
      <c r="S4031" t="s">
        <v>6694</v>
      </c>
      <c r="V4031" t="s">
        <v>6694</v>
      </c>
      <c r="W4031" t="s">
        <v>6720</v>
      </c>
    </row>
    <row r="4032" spans="1:23" ht="15.6" x14ac:dyDescent="0.4">
      <c r="A4032" s="2" t="s">
        <v>3359</v>
      </c>
      <c r="B4032" s="5" t="s">
        <v>10253</v>
      </c>
      <c r="C4032" s="7" t="s">
        <v>12556</v>
      </c>
      <c r="D4032" s="8">
        <f t="shared" si="252"/>
        <v>0</v>
      </c>
      <c r="E4032" s="7" t="s">
        <v>12557</v>
      </c>
      <c r="F4032" s="7">
        <f t="shared" si="253"/>
        <v>0</v>
      </c>
      <c r="G4032" s="7" t="s">
        <v>12558</v>
      </c>
      <c r="H4032" s="7">
        <f t="shared" si="254"/>
        <v>0</v>
      </c>
      <c r="I4032" s="7" t="str" cm="1">
        <f t="array" ref="I4032">IFERROR(_xlfn.IFS(M4032="נח",1,M4032="נע ונח",1,M4032="שני שווא נח",2,M4032="שני שוואים בסוף מילה",2,M4032="שני שוואים ברצף",1),"0")</f>
        <v>0</v>
      </c>
      <c r="J4032" s="9">
        <f t="shared" si="255"/>
        <v>2</v>
      </c>
      <c r="K4032" t="s">
        <v>6698</v>
      </c>
      <c r="L4032" t="s">
        <v>6694</v>
      </c>
      <c r="M4032" t="s">
        <v>6700</v>
      </c>
      <c r="Q4032" t="s">
        <v>6694</v>
      </c>
      <c r="W4032" t="s">
        <v>6720</v>
      </c>
    </row>
    <row r="4033" spans="1:23" ht="15.6" x14ac:dyDescent="0.4">
      <c r="A4033" s="2" t="s">
        <v>2190</v>
      </c>
      <c r="B4033" s="5" t="s">
        <v>10254</v>
      </c>
      <c r="C4033" s="7" t="s">
        <v>12556</v>
      </c>
      <c r="D4033" s="8">
        <f t="shared" si="252"/>
        <v>0</v>
      </c>
      <c r="E4033" s="7" t="s">
        <v>12557</v>
      </c>
      <c r="F4033" s="7">
        <f t="shared" si="253"/>
        <v>0</v>
      </c>
      <c r="G4033" s="7" t="s">
        <v>12558</v>
      </c>
      <c r="H4033" s="7">
        <f t="shared" si="254"/>
        <v>0</v>
      </c>
      <c r="I4033" s="7" cm="1">
        <f t="array" ref="I4033">IFERROR(_xlfn.IFS(M4033="נח",1,M4033="נע ונח",1,M4033="שני שווא נח",2,M4033="שני שוואים בסוף מילה",2,M4033="שני שוואים ברצף",1),"0")</f>
        <v>1</v>
      </c>
      <c r="J4033" s="9">
        <f t="shared" si="255"/>
        <v>3</v>
      </c>
      <c r="K4033" t="s">
        <v>6697</v>
      </c>
      <c r="L4033" t="s">
        <v>6694</v>
      </c>
      <c r="M4033" t="s">
        <v>6701</v>
      </c>
      <c r="O4033" t="s">
        <v>6694</v>
      </c>
      <c r="Q4033" t="s">
        <v>6694</v>
      </c>
      <c r="W4033" t="s">
        <v>6720</v>
      </c>
    </row>
    <row r="4034" spans="1:23" ht="15.6" x14ac:dyDescent="0.4">
      <c r="A4034" s="2" t="s">
        <v>1666</v>
      </c>
      <c r="B4034" s="5" t="s">
        <v>10255</v>
      </c>
      <c r="C4034" s="7" t="s">
        <v>12556</v>
      </c>
      <c r="D4034" s="8">
        <f t="shared" si="252"/>
        <v>0</v>
      </c>
      <c r="E4034" s="7" t="s">
        <v>12557</v>
      </c>
      <c r="F4034" s="7">
        <f t="shared" si="253"/>
        <v>0</v>
      </c>
      <c r="G4034" s="7" t="s">
        <v>12558</v>
      </c>
      <c r="H4034" s="7">
        <f t="shared" si="254"/>
        <v>0</v>
      </c>
      <c r="I4034" s="7" t="str" cm="1">
        <f t="array" ref="I4034">IFERROR(_xlfn.IFS(M4034="נח",1,M4034="נע ונח",1,M4034="שני שווא נח",2,M4034="שני שוואים בסוף מילה",2,M4034="שני שוואים ברצף",1),"0")</f>
        <v>0</v>
      </c>
      <c r="J4034" s="9">
        <f t="shared" si="255"/>
        <v>3</v>
      </c>
      <c r="K4034" t="s">
        <v>6697</v>
      </c>
      <c r="L4034" t="s">
        <v>6694</v>
      </c>
      <c r="M4034" t="s">
        <v>6700</v>
      </c>
      <c r="Q4034" t="s">
        <v>6694</v>
      </c>
      <c r="V4034" t="s">
        <v>6694</v>
      </c>
      <c r="W4034" t="s">
        <v>6720</v>
      </c>
    </row>
    <row r="4035" spans="1:23" ht="15.6" x14ac:dyDescent="0.4">
      <c r="A4035" s="2" t="s">
        <v>3071</v>
      </c>
      <c r="B4035" s="5" t="s">
        <v>10256</v>
      </c>
      <c r="C4035" s="7" t="s">
        <v>12556</v>
      </c>
      <c r="D4035" s="8">
        <f t="shared" ref="D4035:D4098" si="256">(LEN(B4035)-LEN(SUBSTITUTE(B4035,C4035,"")))</f>
        <v>0</v>
      </c>
      <c r="E4035" s="7" t="s">
        <v>12557</v>
      </c>
      <c r="F4035" s="7">
        <f t="shared" ref="F4035:F4098" si="257">(LEN(A4035)-LEN(SUBSTITUTE(A4035,E4035,"")))</f>
        <v>0</v>
      </c>
      <c r="G4035" s="7" t="s">
        <v>12558</v>
      </c>
      <c r="H4035" s="7">
        <f t="shared" ref="H4035:H4098" si="258">(LEN(A4035)-LEN(SUBSTITUTE(A4035,G4035,"")))/2</f>
        <v>0</v>
      </c>
      <c r="I4035" s="7" t="str" cm="1">
        <f t="array" ref="I4035">IFERROR(_xlfn.IFS(M4035="נח",1,M4035="נע ונח",1,M4035="שני שווא נח",2,M4035="שני שוואים בסוף מילה",2,M4035="שני שוואים ברצף",1),"0")</f>
        <v>0</v>
      </c>
      <c r="J4035" s="9">
        <f t="shared" ref="J4035:J4098" si="259">LEN(A4035)-(LEN(B4035))-D4035-F4035+H4035-I4035</f>
        <v>2</v>
      </c>
      <c r="K4035" t="s">
        <v>6698</v>
      </c>
      <c r="L4035" t="s">
        <v>6694</v>
      </c>
      <c r="M4035" t="s">
        <v>6700</v>
      </c>
      <c r="R4035" t="s">
        <v>6694</v>
      </c>
      <c r="W4035" t="s">
        <v>6720</v>
      </c>
    </row>
    <row r="4036" spans="1:23" ht="15.6" x14ac:dyDescent="0.4">
      <c r="A4036" s="2" t="s">
        <v>688</v>
      </c>
      <c r="B4036" s="5" t="s">
        <v>10257</v>
      </c>
      <c r="C4036" s="7" t="s">
        <v>12556</v>
      </c>
      <c r="D4036" s="8">
        <f t="shared" si="256"/>
        <v>0</v>
      </c>
      <c r="E4036" s="7" t="s">
        <v>12557</v>
      </c>
      <c r="F4036" s="7">
        <f t="shared" si="257"/>
        <v>0</v>
      </c>
      <c r="G4036" s="7" t="s">
        <v>12558</v>
      </c>
      <c r="H4036" s="7">
        <f t="shared" si="258"/>
        <v>0</v>
      </c>
      <c r="I4036" s="7" t="str" cm="1">
        <f t="array" ref="I4036">IFERROR(_xlfn.IFS(M4036="נח",1,M4036="נע ונח",1,M4036="שני שווא נח",2,M4036="שני שוואים בסוף מילה",2,M4036="שני שוואים ברצף",1),"0")</f>
        <v>0</v>
      </c>
      <c r="J4036" s="9">
        <f t="shared" si="259"/>
        <v>2</v>
      </c>
      <c r="K4036" t="s">
        <v>6698</v>
      </c>
      <c r="L4036" t="s">
        <v>6694</v>
      </c>
      <c r="M4036" t="s">
        <v>6700</v>
      </c>
      <c r="P4036" t="s">
        <v>6694</v>
      </c>
      <c r="W4036" t="s">
        <v>6720</v>
      </c>
    </row>
    <row r="4037" spans="1:23" ht="15.6" x14ac:dyDescent="0.4">
      <c r="A4037" s="2" t="s">
        <v>2983</v>
      </c>
      <c r="B4037" s="5" t="s">
        <v>10258</v>
      </c>
      <c r="C4037" s="7" t="s">
        <v>12556</v>
      </c>
      <c r="D4037" s="8">
        <f t="shared" si="256"/>
        <v>0</v>
      </c>
      <c r="E4037" s="7" t="s">
        <v>12557</v>
      </c>
      <c r="F4037" s="7">
        <f t="shared" si="257"/>
        <v>0</v>
      </c>
      <c r="G4037" s="7" t="s">
        <v>12558</v>
      </c>
      <c r="H4037" s="7">
        <f t="shared" si="258"/>
        <v>0</v>
      </c>
      <c r="I4037" s="7" cm="1">
        <f t="array" ref="I4037">IFERROR(_xlfn.IFS(M4037="נח",1,M4037="נע ונח",1,M4037="שני שווא נח",2,M4037="שני שוואים בסוף מילה",2,M4037="שני שוואים ברצף",1),"0")</f>
        <v>1</v>
      </c>
      <c r="J4037" s="9">
        <f t="shared" si="259"/>
        <v>3</v>
      </c>
      <c r="K4037" t="s">
        <v>6698</v>
      </c>
      <c r="L4037" t="s">
        <v>6694</v>
      </c>
      <c r="M4037" t="s">
        <v>6701</v>
      </c>
      <c r="P4037" t="s">
        <v>6694</v>
      </c>
      <c r="R4037" t="s">
        <v>6694</v>
      </c>
      <c r="W4037" t="s">
        <v>6720</v>
      </c>
    </row>
    <row r="4038" spans="1:23" ht="15.6" x14ac:dyDescent="0.4">
      <c r="A4038" s="2" t="s">
        <v>3884</v>
      </c>
      <c r="B4038" s="5" t="s">
        <v>10259</v>
      </c>
      <c r="C4038" s="7" t="s">
        <v>12556</v>
      </c>
      <c r="D4038" s="8">
        <f t="shared" si="256"/>
        <v>0</v>
      </c>
      <c r="E4038" s="7" t="s">
        <v>12557</v>
      </c>
      <c r="F4038" s="7">
        <f t="shared" si="257"/>
        <v>1</v>
      </c>
      <c r="G4038" s="7" t="s">
        <v>12558</v>
      </c>
      <c r="H4038" s="7">
        <f t="shared" si="258"/>
        <v>0</v>
      </c>
      <c r="I4038" s="7" cm="1">
        <f t="array" ref="I4038">IFERROR(_xlfn.IFS(M4038="נח",1,M4038="נע ונח",1,M4038="שני שווא נח",2,M4038="שני שוואים בסוף מילה",2,M4038="שני שוואים ברצף",1),"0")</f>
        <v>1</v>
      </c>
      <c r="J4038" s="9">
        <f t="shared" si="259"/>
        <v>3</v>
      </c>
      <c r="K4038" t="s">
        <v>6697</v>
      </c>
      <c r="L4038" t="s">
        <v>6694</v>
      </c>
      <c r="M4038" t="s">
        <v>6701</v>
      </c>
      <c r="O4038" t="s">
        <v>6694</v>
      </c>
      <c r="P4038" t="s">
        <v>6694</v>
      </c>
      <c r="W4038" t="s">
        <v>6720</v>
      </c>
    </row>
    <row r="4039" spans="1:23" ht="15.6" x14ac:dyDescent="0.4">
      <c r="A4039" s="2" t="s">
        <v>6018</v>
      </c>
      <c r="B4039" s="5" t="s">
        <v>10259</v>
      </c>
      <c r="C4039" s="7" t="s">
        <v>12556</v>
      </c>
      <c r="D4039" s="8">
        <f t="shared" si="256"/>
        <v>0</v>
      </c>
      <c r="E4039" s="7" t="s">
        <v>12557</v>
      </c>
      <c r="F4039" s="7">
        <f t="shared" si="257"/>
        <v>1</v>
      </c>
      <c r="G4039" s="7" t="s">
        <v>12558</v>
      </c>
      <c r="H4039" s="7">
        <f t="shared" si="258"/>
        <v>0</v>
      </c>
      <c r="I4039" s="7" t="str" cm="1">
        <f t="array" ref="I4039">IFERROR(_xlfn.IFS(M4039="נח",1,M4039="נע ונח",1,M4039="שני שווא נח",2,M4039="שני שוואים בסוף מילה",2,M4039="שני שוואים ברצף",1),"0")</f>
        <v>0</v>
      </c>
      <c r="J4039" s="9">
        <f t="shared" si="259"/>
        <v>4</v>
      </c>
      <c r="K4039" t="s">
        <v>6697</v>
      </c>
      <c r="L4039" t="s">
        <v>6694</v>
      </c>
      <c r="M4039" t="s">
        <v>6700</v>
      </c>
      <c r="O4039" t="s">
        <v>6694</v>
      </c>
      <c r="P4039" t="s">
        <v>6694</v>
      </c>
      <c r="R4039" t="s">
        <v>6694</v>
      </c>
      <c r="W4039" t="s">
        <v>6720</v>
      </c>
    </row>
    <row r="4040" spans="1:23" ht="15.6" x14ac:dyDescent="0.4">
      <c r="A4040" s="2" t="s">
        <v>1434</v>
      </c>
      <c r="B4040" s="5" t="s">
        <v>10260</v>
      </c>
      <c r="C4040" s="7" t="s">
        <v>12556</v>
      </c>
      <c r="D4040" s="8">
        <f t="shared" si="256"/>
        <v>0</v>
      </c>
      <c r="E4040" s="7" t="s">
        <v>12557</v>
      </c>
      <c r="F4040" s="7">
        <f t="shared" si="257"/>
        <v>1</v>
      </c>
      <c r="G4040" s="7" t="s">
        <v>12558</v>
      </c>
      <c r="H4040" s="7">
        <f t="shared" si="258"/>
        <v>0</v>
      </c>
      <c r="I4040" s="7" t="str" cm="1">
        <f t="array" ref="I4040">IFERROR(_xlfn.IFS(M4040="נח",1,M4040="נע ונח",1,M4040="שני שווא נח",2,M4040="שני שוואים בסוף מילה",2,M4040="שני שוואים ברצף",1),"0")</f>
        <v>0</v>
      </c>
      <c r="J4040" s="9">
        <f t="shared" si="259"/>
        <v>3</v>
      </c>
      <c r="K4040" t="s">
        <v>6697</v>
      </c>
      <c r="L4040" t="s">
        <v>6694</v>
      </c>
      <c r="M4040" t="s">
        <v>6700</v>
      </c>
      <c r="P4040" t="s">
        <v>6694</v>
      </c>
      <c r="V4040" t="s">
        <v>6694</v>
      </c>
      <c r="W4040" t="s">
        <v>6720</v>
      </c>
    </row>
    <row r="4041" spans="1:23" ht="15.6" x14ac:dyDescent="0.4">
      <c r="A4041" s="2" t="s">
        <v>3857</v>
      </c>
      <c r="B4041" s="5" t="s">
        <v>10261</v>
      </c>
      <c r="C4041" s="7" t="s">
        <v>12556</v>
      </c>
      <c r="D4041" s="8">
        <f t="shared" si="256"/>
        <v>0</v>
      </c>
      <c r="E4041" s="7" t="s">
        <v>12557</v>
      </c>
      <c r="F4041" s="7">
        <f t="shared" si="257"/>
        <v>1</v>
      </c>
      <c r="G4041" s="7" t="s">
        <v>12558</v>
      </c>
      <c r="H4041" s="7">
        <f t="shared" si="258"/>
        <v>0</v>
      </c>
      <c r="I4041" s="7" t="str" cm="1">
        <f t="array" ref="I4041">IFERROR(_xlfn.IFS(M4041="נח",1,M4041="נע ונח",1,M4041="שני שווא נח",2,M4041="שני שוואים בסוף מילה",2,M4041="שני שוואים ברצף",1),"0")</f>
        <v>0</v>
      </c>
      <c r="J4041" s="9">
        <f t="shared" si="259"/>
        <v>3</v>
      </c>
      <c r="K4041" t="s">
        <v>6698</v>
      </c>
      <c r="L4041" t="s">
        <v>6694</v>
      </c>
      <c r="M4041" t="s">
        <v>6700</v>
      </c>
      <c r="P4041" t="s">
        <v>6694</v>
      </c>
      <c r="V4041" t="s">
        <v>6694</v>
      </c>
      <c r="W4041" t="s">
        <v>6720</v>
      </c>
    </row>
    <row r="4042" spans="1:23" ht="15.6" x14ac:dyDescent="0.4">
      <c r="A4042" s="2" t="s">
        <v>1124</v>
      </c>
      <c r="B4042" s="5" t="s">
        <v>10262</v>
      </c>
      <c r="C4042" s="7" t="s">
        <v>12556</v>
      </c>
      <c r="D4042" s="8">
        <f t="shared" si="256"/>
        <v>0</v>
      </c>
      <c r="E4042" s="7" t="s">
        <v>12557</v>
      </c>
      <c r="F4042" s="7">
        <f t="shared" si="257"/>
        <v>0</v>
      </c>
      <c r="G4042" s="7" t="s">
        <v>12558</v>
      </c>
      <c r="H4042" s="7">
        <f t="shared" si="258"/>
        <v>0</v>
      </c>
      <c r="I4042" s="7" t="str" cm="1">
        <f t="array" ref="I4042">IFERROR(_xlfn.IFS(M4042="נח",1,M4042="נע ונח",1,M4042="שני שווא נח",2,M4042="שני שוואים בסוף מילה",2,M4042="שני שוואים ברצף",1),"0")</f>
        <v>0</v>
      </c>
      <c r="J4042" s="9">
        <f t="shared" si="259"/>
        <v>3</v>
      </c>
      <c r="K4042" t="s">
        <v>6698</v>
      </c>
      <c r="L4042" t="s">
        <v>6694</v>
      </c>
      <c r="M4042" t="s">
        <v>6700</v>
      </c>
      <c r="P4042" t="s">
        <v>6694</v>
      </c>
      <c r="W4042" t="s">
        <v>6720</v>
      </c>
    </row>
    <row r="4043" spans="1:23" ht="15.6" x14ac:dyDescent="0.4">
      <c r="A4043" s="2" t="s">
        <v>4109</v>
      </c>
      <c r="B4043" s="5" t="s">
        <v>10263</v>
      </c>
      <c r="C4043" s="7" t="s">
        <v>12556</v>
      </c>
      <c r="D4043" s="8">
        <f t="shared" si="256"/>
        <v>0</v>
      </c>
      <c r="E4043" s="7" t="s">
        <v>12557</v>
      </c>
      <c r="F4043" s="7">
        <f t="shared" si="257"/>
        <v>0</v>
      </c>
      <c r="G4043" s="7" t="s">
        <v>12558</v>
      </c>
      <c r="H4043" s="7">
        <f t="shared" si="258"/>
        <v>0</v>
      </c>
      <c r="I4043" s="7" t="str" cm="1">
        <f t="array" ref="I4043">IFERROR(_xlfn.IFS(M4043="נח",1,M4043="נע ונח",1,M4043="שני שווא נח",2,M4043="שני שוואים בסוף מילה",2,M4043="שני שוואים ברצף",1),"0")</f>
        <v>0</v>
      </c>
      <c r="J4043" s="9">
        <f t="shared" si="259"/>
        <v>3</v>
      </c>
      <c r="K4043" t="s">
        <v>6698</v>
      </c>
      <c r="L4043" t="s">
        <v>6694</v>
      </c>
      <c r="M4043" t="s">
        <v>6700</v>
      </c>
      <c r="O4043" t="s">
        <v>6694</v>
      </c>
      <c r="S4043" t="s">
        <v>6694</v>
      </c>
      <c r="W4043" t="s">
        <v>6720</v>
      </c>
    </row>
    <row r="4044" spans="1:23" ht="15.6" x14ac:dyDescent="0.4">
      <c r="A4044" s="2" t="s">
        <v>927</v>
      </c>
      <c r="B4044" s="5" t="s">
        <v>10264</v>
      </c>
      <c r="C4044" s="7" t="s">
        <v>12556</v>
      </c>
      <c r="D4044" s="8">
        <f t="shared" si="256"/>
        <v>0</v>
      </c>
      <c r="E4044" s="7" t="s">
        <v>12557</v>
      </c>
      <c r="F4044" s="7">
        <f t="shared" si="257"/>
        <v>0</v>
      </c>
      <c r="G4044" s="7" t="s">
        <v>12558</v>
      </c>
      <c r="H4044" s="7">
        <f t="shared" si="258"/>
        <v>0</v>
      </c>
      <c r="I4044" s="7" t="str" cm="1">
        <f t="array" ref="I4044">IFERROR(_xlfn.IFS(M4044="נח",1,M4044="נע ונח",1,M4044="שני שווא נח",2,M4044="שני שוואים בסוף מילה",2,M4044="שני שוואים ברצף",1),"0")</f>
        <v>0</v>
      </c>
      <c r="J4044" s="9">
        <f t="shared" si="259"/>
        <v>3</v>
      </c>
      <c r="K4044" t="s">
        <v>6697</v>
      </c>
      <c r="L4044" t="s">
        <v>6694</v>
      </c>
      <c r="M4044" t="s">
        <v>6700</v>
      </c>
      <c r="O4044" t="s">
        <v>6694</v>
      </c>
      <c r="S4044" t="s">
        <v>6694</v>
      </c>
      <c r="W4044" t="s">
        <v>6720</v>
      </c>
    </row>
    <row r="4045" spans="1:23" ht="15.6" x14ac:dyDescent="0.4">
      <c r="A4045" s="2" t="s">
        <v>697</v>
      </c>
      <c r="B4045" s="5" t="s">
        <v>10265</v>
      </c>
      <c r="C4045" s="7" t="s">
        <v>12556</v>
      </c>
      <c r="D4045" s="8">
        <f t="shared" si="256"/>
        <v>0</v>
      </c>
      <c r="E4045" s="7" t="s">
        <v>12557</v>
      </c>
      <c r="F4045" s="7">
        <f t="shared" si="257"/>
        <v>0</v>
      </c>
      <c r="G4045" s="7" t="s">
        <v>12558</v>
      </c>
      <c r="H4045" s="7">
        <f t="shared" si="258"/>
        <v>0</v>
      </c>
      <c r="I4045" s="7" t="str" cm="1">
        <f t="array" ref="I4045">IFERROR(_xlfn.IFS(M4045="נח",1,M4045="נע ונח",1,M4045="שני שווא נח",2,M4045="שני שוואים בסוף מילה",2,M4045="שני שוואים ברצף",1),"0")</f>
        <v>0</v>
      </c>
      <c r="J4045" s="9">
        <f t="shared" si="259"/>
        <v>3</v>
      </c>
      <c r="K4045" t="s">
        <v>6698</v>
      </c>
      <c r="L4045" t="s">
        <v>6694</v>
      </c>
      <c r="M4045" t="s">
        <v>6700</v>
      </c>
      <c r="O4045" t="s">
        <v>6694</v>
      </c>
      <c r="V4045" t="s">
        <v>6694</v>
      </c>
      <c r="W4045" t="s">
        <v>6720</v>
      </c>
    </row>
    <row r="4046" spans="1:23" ht="15.6" x14ac:dyDescent="0.4">
      <c r="A4046" s="2" t="s">
        <v>5381</v>
      </c>
      <c r="B4046" s="5" t="s">
        <v>10266</v>
      </c>
      <c r="C4046" s="7" t="s">
        <v>12556</v>
      </c>
      <c r="D4046" s="8">
        <f t="shared" si="256"/>
        <v>0</v>
      </c>
      <c r="E4046" s="7" t="s">
        <v>12557</v>
      </c>
      <c r="F4046" s="7">
        <f t="shared" si="257"/>
        <v>0</v>
      </c>
      <c r="G4046" s="7" t="s">
        <v>12558</v>
      </c>
      <c r="H4046" s="7">
        <f t="shared" si="258"/>
        <v>0</v>
      </c>
      <c r="I4046" s="7" t="str" cm="1">
        <f t="array" ref="I4046">IFERROR(_xlfn.IFS(M4046="נח",1,M4046="נע ונח",1,M4046="שני שווא נח",2,M4046="שני שוואים בסוף מילה",2,M4046="שני שוואים ברצף",1),"0")</f>
        <v>0</v>
      </c>
      <c r="J4046" s="9">
        <f t="shared" si="259"/>
        <v>3</v>
      </c>
      <c r="K4046" t="s">
        <v>6698</v>
      </c>
      <c r="L4046" t="s">
        <v>6694</v>
      </c>
      <c r="M4046" t="s">
        <v>6700</v>
      </c>
      <c r="O4046" t="s">
        <v>6694</v>
      </c>
      <c r="Q4046" t="s">
        <v>6694</v>
      </c>
      <c r="W4046" t="s">
        <v>6720</v>
      </c>
    </row>
    <row r="4047" spans="1:23" ht="15.6" x14ac:dyDescent="0.4">
      <c r="A4047" s="2" t="s">
        <v>997</v>
      </c>
      <c r="B4047" s="5" t="s">
        <v>10267</v>
      </c>
      <c r="C4047" s="7" t="s">
        <v>12556</v>
      </c>
      <c r="D4047" s="8">
        <f t="shared" si="256"/>
        <v>1</v>
      </c>
      <c r="E4047" s="7" t="s">
        <v>12557</v>
      </c>
      <c r="F4047" s="7">
        <f t="shared" si="257"/>
        <v>1</v>
      </c>
      <c r="G4047" s="7" t="s">
        <v>12558</v>
      </c>
      <c r="H4047" s="7">
        <f t="shared" si="258"/>
        <v>1</v>
      </c>
      <c r="I4047" s="7" t="str" cm="1">
        <f t="array" ref="I4047">IFERROR(_xlfn.IFS(M4047="נח",1,M4047="נע ונח",1,M4047="שני שווא נח",2,M4047="שני שוואים בסוף מילה",2,M4047="שני שוואים ברצף",1),"0")</f>
        <v>0</v>
      </c>
      <c r="J4047" s="9">
        <f t="shared" si="259"/>
        <v>3</v>
      </c>
      <c r="K4047" t="s">
        <v>6697</v>
      </c>
      <c r="L4047" t="s">
        <v>6694</v>
      </c>
      <c r="M4047" t="s">
        <v>6700</v>
      </c>
      <c r="S4047" t="s">
        <v>6694</v>
      </c>
      <c r="U4047" t="s">
        <v>6694</v>
      </c>
      <c r="W4047" t="s">
        <v>6720</v>
      </c>
    </row>
    <row r="4048" spans="1:23" ht="15.6" x14ac:dyDescent="0.4">
      <c r="A4048" s="2" t="s">
        <v>6396</v>
      </c>
      <c r="B4048" s="5" t="s">
        <v>10268</v>
      </c>
      <c r="C4048" s="7" t="s">
        <v>12556</v>
      </c>
      <c r="D4048" s="8">
        <f t="shared" si="256"/>
        <v>1</v>
      </c>
      <c r="E4048" s="7" t="s">
        <v>12557</v>
      </c>
      <c r="F4048" s="7">
        <f t="shared" si="257"/>
        <v>2</v>
      </c>
      <c r="G4048" s="7" t="s">
        <v>12558</v>
      </c>
      <c r="H4048" s="7">
        <f t="shared" si="258"/>
        <v>1</v>
      </c>
      <c r="I4048" s="7" t="str" cm="1">
        <f t="array" ref="I4048">IFERROR(_xlfn.IFS(M4048="נח",1,M4048="נע ונח",1,M4048="שני שווא נח",2,M4048="שני שוואים בסוף מילה",2,M4048="שני שוואים ברצף",1),"0")</f>
        <v>0</v>
      </c>
      <c r="J4048" s="9">
        <f t="shared" si="259"/>
        <v>3</v>
      </c>
      <c r="K4048" t="s">
        <v>6697</v>
      </c>
      <c r="L4048" t="s">
        <v>6694</v>
      </c>
      <c r="M4048" t="s">
        <v>6700</v>
      </c>
      <c r="N4048" t="s">
        <v>6706</v>
      </c>
      <c r="O4048" t="s">
        <v>6694</v>
      </c>
      <c r="U4048" t="s">
        <v>6694</v>
      </c>
      <c r="W4048" t="s">
        <v>6720</v>
      </c>
    </row>
    <row r="4049" spans="1:23" ht="15.6" x14ac:dyDescent="0.4">
      <c r="A4049" s="2" t="s">
        <v>1788</v>
      </c>
      <c r="B4049" s="5" t="s">
        <v>10269</v>
      </c>
      <c r="C4049" s="7" t="s">
        <v>12556</v>
      </c>
      <c r="D4049" s="8">
        <f t="shared" si="256"/>
        <v>0</v>
      </c>
      <c r="E4049" s="7" t="s">
        <v>12557</v>
      </c>
      <c r="F4049" s="7">
        <f t="shared" si="257"/>
        <v>0</v>
      </c>
      <c r="G4049" s="7" t="s">
        <v>12558</v>
      </c>
      <c r="H4049" s="7">
        <f t="shared" si="258"/>
        <v>0</v>
      </c>
      <c r="I4049" s="7" t="str" cm="1">
        <f t="array" ref="I4049">IFERROR(_xlfn.IFS(M4049="נח",1,M4049="נע ונח",1,M4049="שני שווא נח",2,M4049="שני שוואים בסוף מילה",2,M4049="שני שוואים ברצף",1),"0")</f>
        <v>0</v>
      </c>
      <c r="J4049" s="9">
        <f t="shared" si="259"/>
        <v>3</v>
      </c>
      <c r="K4049" t="s">
        <v>6698</v>
      </c>
      <c r="L4049" t="s">
        <v>6694</v>
      </c>
      <c r="M4049" t="s">
        <v>6700</v>
      </c>
      <c r="Q4049" t="s">
        <v>6694</v>
      </c>
      <c r="V4049" t="s">
        <v>6694</v>
      </c>
      <c r="W4049" t="s">
        <v>6720</v>
      </c>
    </row>
    <row r="4050" spans="1:23" ht="15.6" x14ac:dyDescent="0.4">
      <c r="A4050" s="2" t="s">
        <v>4950</v>
      </c>
      <c r="B4050" s="5" t="s">
        <v>10270</v>
      </c>
      <c r="C4050" s="7" t="s">
        <v>12556</v>
      </c>
      <c r="D4050" s="8">
        <f t="shared" si="256"/>
        <v>0</v>
      </c>
      <c r="E4050" s="7" t="s">
        <v>12557</v>
      </c>
      <c r="F4050" s="7">
        <f t="shared" si="257"/>
        <v>0</v>
      </c>
      <c r="G4050" s="7" t="s">
        <v>12558</v>
      </c>
      <c r="H4050" s="7">
        <f t="shared" si="258"/>
        <v>0</v>
      </c>
      <c r="I4050" s="7" cm="1">
        <f t="array" ref="I4050">IFERROR(_xlfn.IFS(M4050="נח",1,M4050="נע ונח",1,M4050="שני שווא נח",2,M4050="שני שוואים בסוף מילה",2,M4050="שני שוואים ברצף",1),"0")</f>
        <v>1</v>
      </c>
      <c r="J4050" s="9">
        <f t="shared" si="259"/>
        <v>3</v>
      </c>
      <c r="K4050" t="s">
        <v>6698</v>
      </c>
      <c r="L4050" t="s">
        <v>6694</v>
      </c>
      <c r="M4050" t="s">
        <v>6701</v>
      </c>
      <c r="R4050" t="s">
        <v>6694</v>
      </c>
      <c r="W4050" t="s">
        <v>6720</v>
      </c>
    </row>
    <row r="4051" spans="1:23" ht="15.6" x14ac:dyDescent="0.4">
      <c r="A4051" s="2" t="s">
        <v>5575</v>
      </c>
      <c r="B4051" s="5" t="s">
        <v>10271</v>
      </c>
      <c r="C4051" s="7" t="s">
        <v>12556</v>
      </c>
      <c r="D4051" s="8">
        <f t="shared" si="256"/>
        <v>0</v>
      </c>
      <c r="E4051" s="7" t="s">
        <v>12557</v>
      </c>
      <c r="F4051" s="7">
        <f t="shared" si="257"/>
        <v>0</v>
      </c>
      <c r="G4051" s="7" t="s">
        <v>12558</v>
      </c>
      <c r="H4051" s="7">
        <f t="shared" si="258"/>
        <v>0</v>
      </c>
      <c r="I4051" s="7" t="str" cm="1">
        <f t="array" ref="I4051">IFERROR(_xlfn.IFS(M4051="נח",1,M4051="נע ונח",1,M4051="שני שווא נח",2,M4051="שני שוואים בסוף מילה",2,M4051="שני שוואים ברצף",1),"0")</f>
        <v>0</v>
      </c>
      <c r="J4051" s="9">
        <f t="shared" si="259"/>
        <v>3</v>
      </c>
      <c r="K4051" t="s">
        <v>6698</v>
      </c>
      <c r="L4051" t="s">
        <v>6694</v>
      </c>
      <c r="M4051" t="s">
        <v>6700</v>
      </c>
      <c r="N4051" t="s">
        <v>6706</v>
      </c>
      <c r="O4051" t="s">
        <v>6694</v>
      </c>
      <c r="W4051" t="s">
        <v>6720</v>
      </c>
    </row>
    <row r="4052" spans="1:23" ht="15.6" x14ac:dyDescent="0.4">
      <c r="A4052" s="2" t="s">
        <v>1881</v>
      </c>
      <c r="B4052" s="5" t="s">
        <v>10272</v>
      </c>
      <c r="C4052" s="7" t="s">
        <v>12556</v>
      </c>
      <c r="D4052" s="8">
        <f t="shared" si="256"/>
        <v>0</v>
      </c>
      <c r="E4052" s="7" t="s">
        <v>12557</v>
      </c>
      <c r="F4052" s="7">
        <f t="shared" si="257"/>
        <v>0</v>
      </c>
      <c r="G4052" s="7" t="s">
        <v>12558</v>
      </c>
      <c r="H4052" s="7">
        <f t="shared" si="258"/>
        <v>0</v>
      </c>
      <c r="I4052" s="7" t="str" cm="1">
        <f t="array" ref="I4052">IFERROR(_xlfn.IFS(M4052="נח",1,M4052="נע ונח",1,M4052="שני שווא נח",2,M4052="שני שוואים בסוף מילה",2,M4052="שני שוואים ברצף",1),"0")</f>
        <v>0</v>
      </c>
      <c r="J4052" s="9">
        <f t="shared" si="259"/>
        <v>3</v>
      </c>
      <c r="K4052" t="s">
        <v>6698</v>
      </c>
      <c r="L4052" t="s">
        <v>6694</v>
      </c>
      <c r="M4052" t="s">
        <v>6700</v>
      </c>
      <c r="O4052" t="s">
        <v>6694</v>
      </c>
      <c r="S4052" t="s">
        <v>6694</v>
      </c>
      <c r="W4052" t="s">
        <v>6720</v>
      </c>
    </row>
    <row r="4053" spans="1:23" ht="15.6" x14ac:dyDescent="0.4">
      <c r="A4053" s="2" t="s">
        <v>1685</v>
      </c>
      <c r="B4053" s="5" t="s">
        <v>10273</v>
      </c>
      <c r="C4053" s="7" t="s">
        <v>12556</v>
      </c>
      <c r="D4053" s="8">
        <f t="shared" si="256"/>
        <v>0</v>
      </c>
      <c r="E4053" s="7" t="s">
        <v>12557</v>
      </c>
      <c r="F4053" s="7">
        <f t="shared" si="257"/>
        <v>0</v>
      </c>
      <c r="G4053" s="7" t="s">
        <v>12558</v>
      </c>
      <c r="H4053" s="7">
        <f t="shared" si="258"/>
        <v>0</v>
      </c>
      <c r="I4053" s="7" t="str" cm="1">
        <f t="array" ref="I4053">IFERROR(_xlfn.IFS(M4053="נח",1,M4053="נע ונח",1,M4053="שני שווא נח",2,M4053="שני שוואים בסוף מילה",2,M4053="שני שוואים ברצף",1),"0")</f>
        <v>0</v>
      </c>
      <c r="J4053" s="9">
        <f t="shared" si="259"/>
        <v>2</v>
      </c>
      <c r="K4053" t="s">
        <v>6698</v>
      </c>
      <c r="L4053" t="s">
        <v>6694</v>
      </c>
      <c r="M4053" t="s">
        <v>6700</v>
      </c>
      <c r="N4053" t="s">
        <v>6706</v>
      </c>
      <c r="O4053" t="s">
        <v>6694</v>
      </c>
      <c r="W4053" t="s">
        <v>6720</v>
      </c>
    </row>
    <row r="4054" spans="1:23" ht="15.6" x14ac:dyDescent="0.4">
      <c r="A4054" s="2" t="s">
        <v>1894</v>
      </c>
      <c r="B4054" s="5" t="s">
        <v>10274</v>
      </c>
      <c r="C4054" s="7" t="s">
        <v>12556</v>
      </c>
      <c r="D4054" s="8">
        <f t="shared" si="256"/>
        <v>0</v>
      </c>
      <c r="E4054" s="7" t="s">
        <v>12557</v>
      </c>
      <c r="F4054" s="7">
        <f t="shared" si="257"/>
        <v>0</v>
      </c>
      <c r="G4054" s="7" t="s">
        <v>12558</v>
      </c>
      <c r="H4054" s="7">
        <f t="shared" si="258"/>
        <v>0</v>
      </c>
      <c r="I4054" s="7" cm="1">
        <f t="array" ref="I4054">IFERROR(_xlfn.IFS(M4054="נח",1,M4054="נע ונח",1,M4054="שני שווא נח",2,M4054="שני שוואים בסוף מילה",2,M4054="שני שוואים ברצף",1),"0")</f>
        <v>1</v>
      </c>
      <c r="J4054" s="9">
        <f t="shared" si="259"/>
        <v>3</v>
      </c>
      <c r="K4054" t="s">
        <v>6698</v>
      </c>
      <c r="L4054" t="s">
        <v>6694</v>
      </c>
      <c r="M4054" t="s">
        <v>6701</v>
      </c>
      <c r="S4054" t="s">
        <v>6694</v>
      </c>
      <c r="V4054" t="s">
        <v>6694</v>
      </c>
      <c r="W4054" t="s">
        <v>6720</v>
      </c>
    </row>
    <row r="4055" spans="1:23" ht="15.6" x14ac:dyDescent="0.4">
      <c r="A4055" s="2" t="s">
        <v>428</v>
      </c>
      <c r="B4055" s="5" t="s">
        <v>10275</v>
      </c>
      <c r="C4055" s="7" t="s">
        <v>12556</v>
      </c>
      <c r="D4055" s="8">
        <f t="shared" si="256"/>
        <v>0</v>
      </c>
      <c r="E4055" s="7" t="s">
        <v>12557</v>
      </c>
      <c r="F4055" s="7">
        <f t="shared" si="257"/>
        <v>0</v>
      </c>
      <c r="G4055" s="7" t="s">
        <v>12558</v>
      </c>
      <c r="H4055" s="7">
        <f t="shared" si="258"/>
        <v>0</v>
      </c>
      <c r="I4055" s="7" t="str" cm="1">
        <f t="array" ref="I4055">IFERROR(_xlfn.IFS(M4055="נח",1,M4055="נע ונח",1,M4055="שני שווא נח",2,M4055="שני שוואים בסוף מילה",2,M4055="שני שוואים ברצף",1),"0")</f>
        <v>0</v>
      </c>
      <c r="J4055" s="9">
        <f t="shared" si="259"/>
        <v>2</v>
      </c>
      <c r="K4055" t="s">
        <v>6698</v>
      </c>
      <c r="L4055" t="s">
        <v>6694</v>
      </c>
      <c r="M4055" t="s">
        <v>6700</v>
      </c>
      <c r="V4055" t="s">
        <v>6694</v>
      </c>
      <c r="W4055" t="s">
        <v>6720</v>
      </c>
    </row>
    <row r="4056" spans="1:23" ht="15.6" x14ac:dyDescent="0.4">
      <c r="A4056" s="2" t="s">
        <v>527</v>
      </c>
      <c r="B4056" s="5" t="s">
        <v>10276</v>
      </c>
      <c r="C4056" s="7" t="s">
        <v>12556</v>
      </c>
      <c r="D4056" s="8">
        <f t="shared" si="256"/>
        <v>0</v>
      </c>
      <c r="E4056" s="7" t="s">
        <v>12557</v>
      </c>
      <c r="F4056" s="7">
        <f t="shared" si="257"/>
        <v>0</v>
      </c>
      <c r="G4056" s="7" t="s">
        <v>12558</v>
      </c>
      <c r="H4056" s="7">
        <f t="shared" si="258"/>
        <v>0</v>
      </c>
      <c r="I4056" s="7" t="str" cm="1">
        <f t="array" ref="I4056">IFERROR(_xlfn.IFS(M4056="נח",1,M4056="נע ונח",1,M4056="שני שווא נח",2,M4056="שני שוואים בסוף מילה",2,M4056="שני שוואים ברצף",1),"0")</f>
        <v>0</v>
      </c>
      <c r="J4056" s="9">
        <f t="shared" si="259"/>
        <v>2</v>
      </c>
      <c r="K4056" t="s">
        <v>6698</v>
      </c>
      <c r="L4056" t="s">
        <v>6694</v>
      </c>
      <c r="M4056" t="s">
        <v>6700</v>
      </c>
      <c r="V4056" t="s">
        <v>6694</v>
      </c>
      <c r="W4056" t="s">
        <v>6720</v>
      </c>
    </row>
    <row r="4057" spans="1:23" ht="15.6" x14ac:dyDescent="0.4">
      <c r="A4057" s="2" t="s">
        <v>5525</v>
      </c>
      <c r="B4057" s="5" t="s">
        <v>10277</v>
      </c>
      <c r="C4057" s="7" t="s">
        <v>12556</v>
      </c>
      <c r="D4057" s="8">
        <f t="shared" si="256"/>
        <v>1</v>
      </c>
      <c r="E4057" s="7" t="s">
        <v>12557</v>
      </c>
      <c r="F4057" s="7">
        <f t="shared" si="257"/>
        <v>1</v>
      </c>
      <c r="G4057" s="7" t="s">
        <v>12558</v>
      </c>
      <c r="H4057" s="7">
        <f t="shared" si="258"/>
        <v>0</v>
      </c>
      <c r="I4057" s="7" cm="1">
        <f t="array" ref="I4057">IFERROR(_xlfn.IFS(M4057="נח",1,M4057="נע ונח",1,M4057="שני שווא נח",2,M4057="שני שוואים בסוף מילה",2,M4057="שני שוואים ברצף",1),"0")</f>
        <v>1</v>
      </c>
      <c r="J4057" s="9">
        <f t="shared" si="259"/>
        <v>4</v>
      </c>
      <c r="K4057" t="s">
        <v>6698</v>
      </c>
      <c r="L4057" t="s">
        <v>6694</v>
      </c>
      <c r="M4057" t="s">
        <v>6701</v>
      </c>
      <c r="N4057" t="s">
        <v>6706</v>
      </c>
      <c r="O4057" t="s">
        <v>6694</v>
      </c>
      <c r="S4057" t="s">
        <v>6694</v>
      </c>
      <c r="W4057" t="s">
        <v>6720</v>
      </c>
    </row>
    <row r="4058" spans="1:23" ht="15.6" x14ac:dyDescent="0.4">
      <c r="A4058" s="2" t="s">
        <v>4095</v>
      </c>
      <c r="B4058" s="5" t="s">
        <v>10278</v>
      </c>
      <c r="C4058" s="7" t="s">
        <v>12556</v>
      </c>
      <c r="D4058" s="8">
        <f t="shared" si="256"/>
        <v>0</v>
      </c>
      <c r="E4058" s="7" t="s">
        <v>12557</v>
      </c>
      <c r="F4058" s="7">
        <f t="shared" si="257"/>
        <v>1</v>
      </c>
      <c r="G4058" s="7" t="s">
        <v>12558</v>
      </c>
      <c r="H4058" s="7">
        <f t="shared" si="258"/>
        <v>0</v>
      </c>
      <c r="I4058" s="7" cm="1">
        <f t="array" ref="I4058">IFERROR(_xlfn.IFS(M4058="נח",1,M4058="נע ונח",1,M4058="שני שווא נח",2,M4058="שני שוואים בסוף מילה",2,M4058="שני שוואים ברצף",1),"0")</f>
        <v>1</v>
      </c>
      <c r="J4058" s="9">
        <f t="shared" si="259"/>
        <v>5</v>
      </c>
      <c r="K4058" t="s">
        <v>6698</v>
      </c>
      <c r="L4058" t="s">
        <v>6694</v>
      </c>
      <c r="M4058" t="s">
        <v>6701</v>
      </c>
      <c r="P4058" t="s">
        <v>6694</v>
      </c>
      <c r="Q4058" t="s">
        <v>6694</v>
      </c>
      <c r="S4058" t="s">
        <v>6694</v>
      </c>
      <c r="W4058" t="s">
        <v>6720</v>
      </c>
    </row>
    <row r="4059" spans="1:23" ht="15.6" x14ac:dyDescent="0.4">
      <c r="A4059" s="2" t="s">
        <v>1030</v>
      </c>
      <c r="B4059" s="5" t="s">
        <v>10279</v>
      </c>
      <c r="C4059" s="7" t="s">
        <v>12556</v>
      </c>
      <c r="D4059" s="8">
        <f t="shared" si="256"/>
        <v>0</v>
      </c>
      <c r="E4059" s="7" t="s">
        <v>12557</v>
      </c>
      <c r="F4059" s="7">
        <f t="shared" si="257"/>
        <v>1</v>
      </c>
      <c r="G4059" s="7" t="s">
        <v>12558</v>
      </c>
      <c r="H4059" s="7">
        <f t="shared" si="258"/>
        <v>0</v>
      </c>
      <c r="I4059" s="7" cm="1">
        <f t="array" ref="I4059">IFERROR(_xlfn.IFS(M4059="נח",1,M4059="נע ונח",1,M4059="שני שווא נח",2,M4059="שני שוואים בסוף מילה",2,M4059="שני שוואים ברצף",1),"0")</f>
        <v>1</v>
      </c>
      <c r="J4059" s="9">
        <f t="shared" si="259"/>
        <v>4</v>
      </c>
      <c r="K4059" t="s">
        <v>6698</v>
      </c>
      <c r="L4059" t="s">
        <v>6694</v>
      </c>
      <c r="M4059" t="s">
        <v>6701</v>
      </c>
      <c r="P4059" t="s">
        <v>6694</v>
      </c>
      <c r="Q4059" t="s">
        <v>6694</v>
      </c>
      <c r="S4059" t="s">
        <v>6694</v>
      </c>
      <c r="W4059" t="s">
        <v>6720</v>
      </c>
    </row>
    <row r="4060" spans="1:23" ht="15.6" x14ac:dyDescent="0.4">
      <c r="A4060" s="2" t="s">
        <v>1679</v>
      </c>
      <c r="B4060" s="5" t="s">
        <v>10280</v>
      </c>
      <c r="C4060" s="7" t="s">
        <v>12556</v>
      </c>
      <c r="D4060" s="8">
        <f t="shared" si="256"/>
        <v>0</v>
      </c>
      <c r="E4060" s="7" t="s">
        <v>12557</v>
      </c>
      <c r="F4060" s="7">
        <f t="shared" si="257"/>
        <v>1</v>
      </c>
      <c r="G4060" s="7" t="s">
        <v>12558</v>
      </c>
      <c r="H4060" s="7">
        <f t="shared" si="258"/>
        <v>0</v>
      </c>
      <c r="I4060" s="7" cm="1">
        <f t="array" ref="I4060">IFERROR(_xlfn.IFS(M4060="נח",1,M4060="נע ונח",1,M4060="שני שווא נח",2,M4060="שני שוואים בסוף מילה",2,M4060="שני שוואים ברצף",1),"0")</f>
        <v>1</v>
      </c>
      <c r="J4060" s="9">
        <f t="shared" si="259"/>
        <v>4</v>
      </c>
      <c r="K4060" t="s">
        <v>6698</v>
      </c>
      <c r="L4060" t="s">
        <v>6694</v>
      </c>
      <c r="M4060" t="s">
        <v>6701</v>
      </c>
      <c r="P4060" t="s">
        <v>6694</v>
      </c>
      <c r="Q4060" t="s">
        <v>6694</v>
      </c>
      <c r="S4060" t="s">
        <v>6694</v>
      </c>
      <c r="W4060" t="s">
        <v>6720</v>
      </c>
    </row>
    <row r="4061" spans="1:23" ht="15.6" x14ac:dyDescent="0.4">
      <c r="A4061" s="2" t="s">
        <v>4246</v>
      </c>
      <c r="B4061" s="5" t="s">
        <v>10281</v>
      </c>
      <c r="C4061" s="7" t="s">
        <v>12556</v>
      </c>
      <c r="D4061" s="8">
        <f t="shared" si="256"/>
        <v>0</v>
      </c>
      <c r="E4061" s="7" t="s">
        <v>12557</v>
      </c>
      <c r="F4061" s="7">
        <f t="shared" si="257"/>
        <v>0</v>
      </c>
      <c r="G4061" s="7" t="s">
        <v>12558</v>
      </c>
      <c r="H4061" s="7">
        <f t="shared" si="258"/>
        <v>0</v>
      </c>
      <c r="I4061" s="7" cm="1">
        <f t="array" ref="I4061">IFERROR(_xlfn.IFS(M4061="נח",1,M4061="נע ונח",1,M4061="שני שווא נח",2,M4061="שני שוואים בסוף מילה",2,M4061="שני שוואים ברצף",1),"0")</f>
        <v>1</v>
      </c>
      <c r="J4061" s="9">
        <f t="shared" si="259"/>
        <v>4</v>
      </c>
      <c r="K4061" t="s">
        <v>6698</v>
      </c>
      <c r="L4061" t="s">
        <v>6694</v>
      </c>
      <c r="M4061" t="s">
        <v>6701</v>
      </c>
      <c r="Q4061" t="s">
        <v>6694</v>
      </c>
      <c r="S4061" t="s">
        <v>6694</v>
      </c>
      <c r="V4061" t="s">
        <v>6694</v>
      </c>
      <c r="W4061" t="s">
        <v>6720</v>
      </c>
    </row>
    <row r="4062" spans="1:23" ht="15.6" x14ac:dyDescent="0.4">
      <c r="A4062" s="2" t="s">
        <v>5576</v>
      </c>
      <c r="B4062" s="5" t="s">
        <v>10282</v>
      </c>
      <c r="C4062" s="7" t="s">
        <v>12556</v>
      </c>
      <c r="D4062" s="8">
        <f t="shared" si="256"/>
        <v>0</v>
      </c>
      <c r="E4062" s="7" t="s">
        <v>12557</v>
      </c>
      <c r="F4062" s="7">
        <f t="shared" si="257"/>
        <v>0</v>
      </c>
      <c r="G4062" s="7" t="s">
        <v>12558</v>
      </c>
      <c r="H4062" s="7">
        <f t="shared" si="258"/>
        <v>0</v>
      </c>
      <c r="I4062" s="7" cm="1">
        <f t="array" ref="I4062">IFERROR(_xlfn.IFS(M4062="נח",1,M4062="נע ונח",1,M4062="שני שווא נח",2,M4062="שני שוואים בסוף מילה",2,M4062="שני שוואים ברצף",1),"0")</f>
        <v>1</v>
      </c>
      <c r="J4062" s="9">
        <f t="shared" si="259"/>
        <v>4</v>
      </c>
      <c r="K4062" t="s">
        <v>6698</v>
      </c>
      <c r="L4062" t="s">
        <v>6694</v>
      </c>
      <c r="M4062" t="s">
        <v>6701</v>
      </c>
      <c r="Q4062" t="s">
        <v>6694</v>
      </c>
      <c r="S4062" t="s">
        <v>6694</v>
      </c>
      <c r="V4062" t="s">
        <v>6694</v>
      </c>
      <c r="W4062" t="s">
        <v>6720</v>
      </c>
    </row>
    <row r="4063" spans="1:23" ht="15.6" x14ac:dyDescent="0.4">
      <c r="A4063" s="2" t="s">
        <v>6044</v>
      </c>
      <c r="B4063" s="5" t="s">
        <v>10283</v>
      </c>
      <c r="C4063" s="7" t="s">
        <v>12556</v>
      </c>
      <c r="D4063" s="8">
        <f t="shared" si="256"/>
        <v>0</v>
      </c>
      <c r="E4063" s="7" t="s">
        <v>12557</v>
      </c>
      <c r="F4063" s="7">
        <f t="shared" si="257"/>
        <v>0</v>
      </c>
      <c r="G4063" s="7" t="s">
        <v>12558</v>
      </c>
      <c r="H4063" s="7">
        <f t="shared" si="258"/>
        <v>0</v>
      </c>
      <c r="I4063" s="7" t="str" cm="1">
        <f t="array" ref="I4063">IFERROR(_xlfn.IFS(M4063="נח",1,M4063="נע ונח",1,M4063="שני שווא נח",2,M4063="שני שוואים בסוף מילה",2,M4063="שני שוואים ברצף",1),"0")</f>
        <v>0</v>
      </c>
      <c r="J4063" s="9">
        <f t="shared" si="259"/>
        <v>3</v>
      </c>
      <c r="K4063" t="s">
        <v>6698</v>
      </c>
      <c r="L4063" t="s">
        <v>6694</v>
      </c>
      <c r="M4063" t="s">
        <v>6700</v>
      </c>
      <c r="Q4063" t="s">
        <v>6694</v>
      </c>
      <c r="S4063" t="s">
        <v>6694</v>
      </c>
      <c r="W4063" t="s">
        <v>6720</v>
      </c>
    </row>
    <row r="4064" spans="1:23" ht="15.6" x14ac:dyDescent="0.4">
      <c r="A4064" s="2" t="s">
        <v>5510</v>
      </c>
      <c r="B4064" s="5" t="s">
        <v>10284</v>
      </c>
      <c r="C4064" s="7" t="s">
        <v>12556</v>
      </c>
      <c r="D4064" s="8">
        <f t="shared" si="256"/>
        <v>0</v>
      </c>
      <c r="E4064" s="7" t="s">
        <v>12557</v>
      </c>
      <c r="F4064" s="7">
        <f t="shared" si="257"/>
        <v>1</v>
      </c>
      <c r="G4064" s="7" t="s">
        <v>12558</v>
      </c>
      <c r="H4064" s="7">
        <f t="shared" si="258"/>
        <v>0</v>
      </c>
      <c r="I4064" s="7" t="str" cm="1">
        <f t="array" ref="I4064">IFERROR(_xlfn.IFS(M4064="נח",1,M4064="נע ונח",1,M4064="שני שווא נח",2,M4064="שני שוואים בסוף מילה",2,M4064="שני שוואים ברצף",1),"0")</f>
        <v>0</v>
      </c>
      <c r="J4064" s="9">
        <f t="shared" si="259"/>
        <v>3</v>
      </c>
      <c r="K4064" t="s">
        <v>6698</v>
      </c>
      <c r="L4064" t="s">
        <v>6694</v>
      </c>
      <c r="M4064" t="s">
        <v>6700</v>
      </c>
      <c r="P4064" t="s">
        <v>6694</v>
      </c>
      <c r="S4064" t="s">
        <v>6694</v>
      </c>
      <c r="W4064" t="s">
        <v>6720</v>
      </c>
    </row>
    <row r="4065" spans="1:23" ht="15.6" x14ac:dyDescent="0.4">
      <c r="A4065" s="2" t="s">
        <v>4301</v>
      </c>
      <c r="B4065" s="5" t="s">
        <v>10285</v>
      </c>
      <c r="C4065" s="7" t="s">
        <v>12556</v>
      </c>
      <c r="D4065" s="8">
        <f t="shared" si="256"/>
        <v>0</v>
      </c>
      <c r="E4065" s="7" t="s">
        <v>12557</v>
      </c>
      <c r="F4065" s="7">
        <f t="shared" si="257"/>
        <v>1</v>
      </c>
      <c r="G4065" s="7" t="s">
        <v>12558</v>
      </c>
      <c r="H4065" s="7">
        <f t="shared" si="258"/>
        <v>0</v>
      </c>
      <c r="I4065" s="7" t="str" cm="1">
        <f t="array" ref="I4065">IFERROR(_xlfn.IFS(M4065="נח",1,M4065="נע ונח",1,M4065="שני שווא נח",2,M4065="שני שוואים בסוף מילה",2,M4065="שני שוואים ברצף",1),"0")</f>
        <v>0</v>
      </c>
      <c r="J4065" s="9">
        <f t="shared" si="259"/>
        <v>4</v>
      </c>
      <c r="K4065" t="s">
        <v>6697</v>
      </c>
      <c r="L4065" t="s">
        <v>6694</v>
      </c>
      <c r="M4065" t="s">
        <v>6700</v>
      </c>
      <c r="N4065" t="s">
        <v>6707</v>
      </c>
      <c r="P4065" t="s">
        <v>6694</v>
      </c>
      <c r="S4065" t="s">
        <v>6694</v>
      </c>
      <c r="W4065" t="s">
        <v>6720</v>
      </c>
    </row>
    <row r="4066" spans="1:23" ht="15.6" x14ac:dyDescent="0.4">
      <c r="A4066" s="2" t="s">
        <v>6504</v>
      </c>
      <c r="B4066" s="5" t="s">
        <v>10286</v>
      </c>
      <c r="C4066" s="7" t="s">
        <v>12556</v>
      </c>
      <c r="D4066" s="8">
        <f t="shared" si="256"/>
        <v>0</v>
      </c>
      <c r="E4066" s="7" t="s">
        <v>12557</v>
      </c>
      <c r="F4066" s="7">
        <f t="shared" si="257"/>
        <v>1</v>
      </c>
      <c r="G4066" s="7" t="s">
        <v>12558</v>
      </c>
      <c r="H4066" s="7">
        <f t="shared" si="258"/>
        <v>0</v>
      </c>
      <c r="I4066" s="7" cm="1">
        <f t="array" ref="I4066">IFERROR(_xlfn.IFS(M4066="נח",1,M4066="נע ונח",1,M4066="שני שווא נח",2,M4066="שני שוואים בסוף מילה",2,M4066="שני שוואים ברצף",1),"0")</f>
        <v>1</v>
      </c>
      <c r="J4066" s="9">
        <f t="shared" si="259"/>
        <v>3</v>
      </c>
      <c r="K4066" t="s">
        <v>6698</v>
      </c>
      <c r="L4066" t="s">
        <v>6694</v>
      </c>
      <c r="M4066" t="s">
        <v>6701</v>
      </c>
      <c r="P4066" t="s">
        <v>6694</v>
      </c>
      <c r="S4066" t="s">
        <v>6694</v>
      </c>
      <c r="W4066" t="s">
        <v>6720</v>
      </c>
    </row>
    <row r="4067" spans="1:23" ht="15.6" x14ac:dyDescent="0.4">
      <c r="A4067" s="2" t="s">
        <v>2777</v>
      </c>
      <c r="B4067" s="5" t="s">
        <v>10287</v>
      </c>
      <c r="C4067" s="7" t="s">
        <v>12556</v>
      </c>
      <c r="D4067" s="8">
        <f t="shared" si="256"/>
        <v>0</v>
      </c>
      <c r="E4067" s="7" t="s">
        <v>12557</v>
      </c>
      <c r="F4067" s="7">
        <f t="shared" si="257"/>
        <v>0</v>
      </c>
      <c r="G4067" s="7" t="s">
        <v>12558</v>
      </c>
      <c r="H4067" s="7">
        <f t="shared" si="258"/>
        <v>0</v>
      </c>
      <c r="I4067" s="7" cm="1">
        <f t="array" ref="I4067">IFERROR(_xlfn.IFS(M4067="נח",1,M4067="נע ונח",1,M4067="שני שווא נח",2,M4067="שני שוואים בסוף מילה",2,M4067="שני שוואים ברצף",1),"0")</f>
        <v>1</v>
      </c>
      <c r="J4067" s="9">
        <f t="shared" si="259"/>
        <v>3</v>
      </c>
      <c r="K4067" t="s">
        <v>6698</v>
      </c>
      <c r="L4067" t="s">
        <v>6694</v>
      </c>
      <c r="M4067" t="s">
        <v>6701</v>
      </c>
      <c r="P4067" t="s">
        <v>6694</v>
      </c>
      <c r="S4067" t="s">
        <v>6694</v>
      </c>
      <c r="W4067" t="s">
        <v>6720</v>
      </c>
    </row>
    <row r="4068" spans="1:23" ht="15.6" x14ac:dyDescent="0.4">
      <c r="A4068" s="2" t="s">
        <v>1117</v>
      </c>
      <c r="B4068" s="5" t="s">
        <v>10288</v>
      </c>
      <c r="C4068" s="7" t="s">
        <v>12556</v>
      </c>
      <c r="D4068" s="8">
        <f t="shared" si="256"/>
        <v>0</v>
      </c>
      <c r="E4068" s="7" t="s">
        <v>12557</v>
      </c>
      <c r="F4068" s="7">
        <f t="shared" si="257"/>
        <v>1</v>
      </c>
      <c r="G4068" s="7" t="s">
        <v>12558</v>
      </c>
      <c r="H4068" s="7">
        <f t="shared" si="258"/>
        <v>0</v>
      </c>
      <c r="I4068" s="7" t="str" cm="1">
        <f t="array" ref="I4068">IFERROR(_xlfn.IFS(M4068="נח",1,M4068="נע ונח",1,M4068="שני שווא נח",2,M4068="שני שוואים בסוף מילה",2,M4068="שני שוואים ברצף",1),"0")</f>
        <v>0</v>
      </c>
      <c r="J4068" s="9">
        <f t="shared" si="259"/>
        <v>3</v>
      </c>
      <c r="K4068" t="s">
        <v>6698</v>
      </c>
      <c r="L4068" t="s">
        <v>6694</v>
      </c>
      <c r="M4068" t="s">
        <v>6700</v>
      </c>
      <c r="P4068" t="s">
        <v>6694</v>
      </c>
      <c r="S4068" t="s">
        <v>6694</v>
      </c>
      <c r="W4068" t="s">
        <v>6720</v>
      </c>
    </row>
    <row r="4069" spans="1:23" ht="15.6" x14ac:dyDescent="0.4">
      <c r="A4069" s="2" t="s">
        <v>690</v>
      </c>
      <c r="B4069" s="5" t="s">
        <v>10289</v>
      </c>
      <c r="C4069" s="7" t="s">
        <v>12556</v>
      </c>
      <c r="D4069" s="8">
        <f t="shared" si="256"/>
        <v>0</v>
      </c>
      <c r="E4069" s="7" t="s">
        <v>12557</v>
      </c>
      <c r="F4069" s="7">
        <f t="shared" si="257"/>
        <v>0</v>
      </c>
      <c r="G4069" s="7" t="s">
        <v>12558</v>
      </c>
      <c r="H4069" s="7">
        <f t="shared" si="258"/>
        <v>0</v>
      </c>
      <c r="I4069" s="7" cm="1">
        <f t="array" ref="I4069">IFERROR(_xlfn.IFS(M4069="נח",1,M4069="נע ונח",1,M4069="שני שווא נח",2,M4069="שני שוואים בסוף מילה",2,M4069="שני שוואים ברצף",1),"0")</f>
        <v>1</v>
      </c>
      <c r="J4069" s="9">
        <f t="shared" si="259"/>
        <v>3</v>
      </c>
      <c r="K4069" t="s">
        <v>6698</v>
      </c>
      <c r="L4069" t="s">
        <v>6694</v>
      </c>
      <c r="M4069" t="s">
        <v>6701</v>
      </c>
      <c r="P4069" t="s">
        <v>6694</v>
      </c>
      <c r="S4069" t="s">
        <v>6694</v>
      </c>
      <c r="W4069" t="s">
        <v>6720</v>
      </c>
    </row>
    <row r="4070" spans="1:23" ht="15.6" x14ac:dyDescent="0.4">
      <c r="A4070" s="2" t="s">
        <v>3535</v>
      </c>
      <c r="B4070" s="5" t="s">
        <v>10290</v>
      </c>
      <c r="C4070" s="7" t="s">
        <v>12556</v>
      </c>
      <c r="D4070" s="8">
        <f t="shared" si="256"/>
        <v>0</v>
      </c>
      <c r="E4070" s="7" t="s">
        <v>12557</v>
      </c>
      <c r="F4070" s="7">
        <f t="shared" si="257"/>
        <v>1</v>
      </c>
      <c r="G4070" s="7" t="s">
        <v>12558</v>
      </c>
      <c r="H4070" s="7">
        <f t="shared" si="258"/>
        <v>0</v>
      </c>
      <c r="I4070" s="7" t="str" cm="1">
        <f t="array" ref="I4070">IFERROR(_xlfn.IFS(M4070="נח",1,M4070="נע ונח",1,M4070="שני שווא נח",2,M4070="שני שוואים בסוף מילה",2,M4070="שני שוואים ברצף",1),"0")</f>
        <v>0</v>
      </c>
      <c r="J4070" s="9">
        <f t="shared" si="259"/>
        <v>5</v>
      </c>
      <c r="K4070" t="s">
        <v>6697</v>
      </c>
      <c r="L4070" t="s">
        <v>6694</v>
      </c>
      <c r="M4070" t="s">
        <v>6700</v>
      </c>
      <c r="P4070" t="s">
        <v>6694</v>
      </c>
      <c r="Q4070" t="s">
        <v>6694</v>
      </c>
      <c r="S4070" t="s">
        <v>6694</v>
      </c>
      <c r="W4070" t="s">
        <v>6720</v>
      </c>
    </row>
    <row r="4071" spans="1:23" ht="15.6" x14ac:dyDescent="0.4">
      <c r="A4071" s="2" t="s">
        <v>2256</v>
      </c>
      <c r="B4071" s="5" t="s">
        <v>10291</v>
      </c>
      <c r="C4071" s="7" t="s">
        <v>12556</v>
      </c>
      <c r="D4071" s="8">
        <f t="shared" si="256"/>
        <v>0</v>
      </c>
      <c r="E4071" s="7" t="s">
        <v>12557</v>
      </c>
      <c r="F4071" s="7">
        <f t="shared" si="257"/>
        <v>0</v>
      </c>
      <c r="G4071" s="7" t="s">
        <v>12558</v>
      </c>
      <c r="H4071" s="7">
        <f t="shared" si="258"/>
        <v>0</v>
      </c>
      <c r="I4071" s="7" t="str" cm="1">
        <f t="array" ref="I4071">IFERROR(_xlfn.IFS(M4071="נח",1,M4071="נע ונח",1,M4071="שני שווא נח",2,M4071="שני שוואים בסוף מילה",2,M4071="שני שוואים ברצף",1),"0")</f>
        <v>0</v>
      </c>
      <c r="J4071" s="9">
        <f t="shared" si="259"/>
        <v>2</v>
      </c>
      <c r="K4071" t="s">
        <v>6698</v>
      </c>
      <c r="L4071" t="s">
        <v>6694</v>
      </c>
      <c r="M4071" t="s">
        <v>6700</v>
      </c>
      <c r="P4071" t="s">
        <v>6694</v>
      </c>
      <c r="W4071" t="s">
        <v>6720</v>
      </c>
    </row>
    <row r="4072" spans="1:23" ht="15.6" x14ac:dyDescent="0.4">
      <c r="A4072" s="2" t="s">
        <v>1914</v>
      </c>
      <c r="B4072" s="5" t="s">
        <v>10292</v>
      </c>
      <c r="C4072" s="7" t="s">
        <v>12556</v>
      </c>
      <c r="D4072" s="8">
        <f t="shared" si="256"/>
        <v>0</v>
      </c>
      <c r="E4072" s="7" t="s">
        <v>12557</v>
      </c>
      <c r="F4072" s="7">
        <f t="shared" si="257"/>
        <v>0</v>
      </c>
      <c r="G4072" s="7" t="s">
        <v>12558</v>
      </c>
      <c r="H4072" s="7">
        <f t="shared" si="258"/>
        <v>0</v>
      </c>
      <c r="I4072" s="7" t="str" cm="1">
        <f t="array" ref="I4072">IFERROR(_xlfn.IFS(M4072="נח",1,M4072="נע ונח",1,M4072="שני שווא נח",2,M4072="שני שוואים בסוף מילה",2,M4072="שני שוואים ברצף",1),"0")</f>
        <v>0</v>
      </c>
      <c r="J4072" s="9">
        <f t="shared" si="259"/>
        <v>4</v>
      </c>
      <c r="K4072" t="s">
        <v>6697</v>
      </c>
      <c r="L4072" t="s">
        <v>6694</v>
      </c>
      <c r="M4072" t="s">
        <v>6703</v>
      </c>
      <c r="P4072" t="s">
        <v>6694</v>
      </c>
      <c r="S4072" t="s">
        <v>6694</v>
      </c>
      <c r="W4072" t="s">
        <v>6720</v>
      </c>
    </row>
    <row r="4073" spans="1:23" ht="15.6" x14ac:dyDescent="0.4">
      <c r="A4073" s="2" t="s">
        <v>2144</v>
      </c>
      <c r="B4073" s="5" t="s">
        <v>10293</v>
      </c>
      <c r="C4073" s="7" t="s">
        <v>12556</v>
      </c>
      <c r="D4073" s="8">
        <f t="shared" si="256"/>
        <v>1</v>
      </c>
      <c r="E4073" s="7" t="s">
        <v>12557</v>
      </c>
      <c r="F4073" s="7">
        <f t="shared" si="257"/>
        <v>1</v>
      </c>
      <c r="G4073" s="7" t="s">
        <v>12558</v>
      </c>
      <c r="H4073" s="7">
        <f t="shared" si="258"/>
        <v>0</v>
      </c>
      <c r="I4073" s="7" cm="1">
        <f t="array" ref="I4073">IFERROR(_xlfn.IFS(M4073="נח",1,M4073="נע ונח",1,M4073="שני שווא נח",2,M4073="שני שוואים בסוף מילה",2,M4073="שני שוואים ברצף",1),"0")</f>
        <v>1</v>
      </c>
      <c r="J4073" s="9">
        <f t="shared" si="259"/>
        <v>3</v>
      </c>
      <c r="K4073" t="s">
        <v>6698</v>
      </c>
      <c r="L4073" t="s">
        <v>6694</v>
      </c>
      <c r="M4073" t="s">
        <v>6701</v>
      </c>
      <c r="P4073" t="s">
        <v>6694</v>
      </c>
      <c r="S4073" t="s">
        <v>6694</v>
      </c>
      <c r="W4073" t="s">
        <v>6720</v>
      </c>
    </row>
    <row r="4074" spans="1:23" ht="15.6" x14ac:dyDescent="0.4">
      <c r="A4074" s="2" t="s">
        <v>1100</v>
      </c>
      <c r="B4074" s="5" t="s">
        <v>10294</v>
      </c>
      <c r="C4074" s="7" t="s">
        <v>12556</v>
      </c>
      <c r="D4074" s="8">
        <f t="shared" si="256"/>
        <v>1</v>
      </c>
      <c r="E4074" s="7" t="s">
        <v>12557</v>
      </c>
      <c r="F4074" s="7">
        <f t="shared" si="257"/>
        <v>0</v>
      </c>
      <c r="G4074" s="7" t="s">
        <v>12558</v>
      </c>
      <c r="H4074" s="7">
        <f t="shared" si="258"/>
        <v>0</v>
      </c>
      <c r="I4074" s="7" cm="1">
        <f t="array" ref="I4074">IFERROR(_xlfn.IFS(M4074="נח",1,M4074="נע ונח",1,M4074="שני שווא נח",2,M4074="שני שוואים בסוף מילה",2,M4074="שני שוואים ברצף",1),"0")</f>
        <v>1</v>
      </c>
      <c r="J4074" s="9">
        <f t="shared" si="259"/>
        <v>4</v>
      </c>
      <c r="K4074" t="s">
        <v>6698</v>
      </c>
      <c r="L4074" t="s">
        <v>6694</v>
      </c>
      <c r="M4074" t="s">
        <v>6701</v>
      </c>
      <c r="N4074" t="s">
        <v>6706</v>
      </c>
      <c r="O4074" t="s">
        <v>6694</v>
      </c>
      <c r="P4074" t="s">
        <v>6694</v>
      </c>
      <c r="S4074" t="s">
        <v>6694</v>
      </c>
      <c r="W4074" t="s">
        <v>6720</v>
      </c>
    </row>
    <row r="4075" spans="1:23" ht="15.6" x14ac:dyDescent="0.4">
      <c r="A4075" s="2" t="s">
        <v>105</v>
      </c>
      <c r="B4075" s="5" t="s">
        <v>10295</v>
      </c>
      <c r="C4075" s="7" t="s">
        <v>12556</v>
      </c>
      <c r="D4075" s="8">
        <f t="shared" si="256"/>
        <v>1</v>
      </c>
      <c r="E4075" s="7" t="s">
        <v>12557</v>
      </c>
      <c r="F4075" s="7">
        <f t="shared" si="257"/>
        <v>0</v>
      </c>
      <c r="G4075" s="7" t="s">
        <v>12558</v>
      </c>
      <c r="H4075" s="7">
        <f t="shared" si="258"/>
        <v>0</v>
      </c>
      <c r="I4075" s="7" cm="1">
        <f t="array" ref="I4075">IFERROR(_xlfn.IFS(M4075="נח",1,M4075="נע ונח",1,M4075="שני שווא נח",2,M4075="שני שוואים בסוף מילה",2,M4075="שני שוואים ברצף",1),"0")</f>
        <v>1</v>
      </c>
      <c r="J4075" s="9">
        <f t="shared" si="259"/>
        <v>3</v>
      </c>
      <c r="K4075" t="s">
        <v>6698</v>
      </c>
      <c r="L4075" t="s">
        <v>6694</v>
      </c>
      <c r="M4075" t="s">
        <v>6701</v>
      </c>
      <c r="P4075" t="s">
        <v>6694</v>
      </c>
      <c r="S4075" t="s">
        <v>6694</v>
      </c>
      <c r="W4075" t="s">
        <v>6720</v>
      </c>
    </row>
    <row r="4076" spans="1:23" ht="15.6" x14ac:dyDescent="0.4">
      <c r="A4076" s="2" t="s">
        <v>828</v>
      </c>
      <c r="B4076" s="5" t="s">
        <v>10296</v>
      </c>
      <c r="C4076" s="7" t="s">
        <v>12556</v>
      </c>
      <c r="D4076" s="8">
        <f t="shared" si="256"/>
        <v>1</v>
      </c>
      <c r="E4076" s="7" t="s">
        <v>12557</v>
      </c>
      <c r="F4076" s="7">
        <f t="shared" si="257"/>
        <v>1</v>
      </c>
      <c r="G4076" s="7" t="s">
        <v>12558</v>
      </c>
      <c r="H4076" s="7">
        <f t="shared" si="258"/>
        <v>0</v>
      </c>
      <c r="I4076" s="7" cm="1">
        <f t="array" ref="I4076">IFERROR(_xlfn.IFS(M4076="נח",1,M4076="נע ונח",1,M4076="שני שווא נח",2,M4076="שני שוואים בסוף מילה",2,M4076="שני שוואים ברצף",1),"0")</f>
        <v>1</v>
      </c>
      <c r="J4076" s="9">
        <f t="shared" si="259"/>
        <v>3</v>
      </c>
      <c r="K4076" t="s">
        <v>6698</v>
      </c>
      <c r="L4076" t="s">
        <v>6694</v>
      </c>
      <c r="M4076" t="s">
        <v>6701</v>
      </c>
      <c r="P4076" t="s">
        <v>6694</v>
      </c>
      <c r="S4076" t="s">
        <v>6694</v>
      </c>
      <c r="W4076" t="s">
        <v>6720</v>
      </c>
    </row>
    <row r="4077" spans="1:23" ht="15.6" x14ac:dyDescent="0.4">
      <c r="A4077" s="2" t="s">
        <v>6240</v>
      </c>
      <c r="B4077" s="5" t="s">
        <v>10297</v>
      </c>
      <c r="C4077" s="7" t="s">
        <v>12556</v>
      </c>
      <c r="D4077" s="8">
        <f t="shared" si="256"/>
        <v>0</v>
      </c>
      <c r="E4077" s="7" t="s">
        <v>12557</v>
      </c>
      <c r="F4077" s="7">
        <f t="shared" si="257"/>
        <v>0</v>
      </c>
      <c r="G4077" s="7" t="s">
        <v>12558</v>
      </c>
      <c r="H4077" s="7">
        <f t="shared" si="258"/>
        <v>0</v>
      </c>
      <c r="I4077" s="7" t="str" cm="1">
        <f t="array" ref="I4077">IFERROR(_xlfn.IFS(M4077="נח",1,M4077="נע ונח",1,M4077="שני שווא נח",2,M4077="שני שוואים בסוף מילה",2,M4077="שני שוואים ברצף",1),"0")</f>
        <v>0</v>
      </c>
      <c r="J4077" s="9">
        <f t="shared" si="259"/>
        <v>4</v>
      </c>
      <c r="K4077" t="s">
        <v>6697</v>
      </c>
      <c r="L4077" t="s">
        <v>6694</v>
      </c>
      <c r="M4077" t="s">
        <v>6700</v>
      </c>
      <c r="O4077" t="s">
        <v>6694</v>
      </c>
      <c r="P4077" t="s">
        <v>6694</v>
      </c>
      <c r="Q4077" t="s">
        <v>6694</v>
      </c>
      <c r="W4077" t="s">
        <v>6720</v>
      </c>
    </row>
    <row r="4078" spans="1:23" ht="15.6" x14ac:dyDescent="0.4">
      <c r="A4078" s="2" t="s">
        <v>5227</v>
      </c>
      <c r="B4078" s="5" t="s">
        <v>10297</v>
      </c>
      <c r="C4078" s="7" t="s">
        <v>12556</v>
      </c>
      <c r="D4078" s="8">
        <f t="shared" si="256"/>
        <v>0</v>
      </c>
      <c r="E4078" s="7" t="s">
        <v>12557</v>
      </c>
      <c r="F4078" s="7">
        <f t="shared" si="257"/>
        <v>0</v>
      </c>
      <c r="G4078" s="7" t="s">
        <v>12558</v>
      </c>
      <c r="H4078" s="7">
        <f t="shared" si="258"/>
        <v>0</v>
      </c>
      <c r="I4078" s="7" t="str" cm="1">
        <f t="array" ref="I4078">IFERROR(_xlfn.IFS(M4078="נח",1,M4078="נע ונח",1,M4078="שני שווא נח",2,M4078="שני שוואים בסוף מילה",2,M4078="שני שוואים ברצף",1),"0")</f>
        <v>0</v>
      </c>
      <c r="J4078" s="9">
        <f t="shared" si="259"/>
        <v>3</v>
      </c>
      <c r="K4078" t="s">
        <v>6697</v>
      </c>
      <c r="L4078" t="s">
        <v>6694</v>
      </c>
      <c r="M4078" t="s">
        <v>6700</v>
      </c>
      <c r="O4078" t="s">
        <v>6694</v>
      </c>
      <c r="P4078" t="s">
        <v>6694</v>
      </c>
      <c r="W4078" t="s">
        <v>6720</v>
      </c>
    </row>
    <row r="4079" spans="1:23" ht="15.6" x14ac:dyDescent="0.4">
      <c r="A4079" s="2" t="s">
        <v>1106</v>
      </c>
      <c r="B4079" s="5" t="s">
        <v>10298</v>
      </c>
      <c r="C4079" s="7" t="s">
        <v>12556</v>
      </c>
      <c r="D4079" s="8">
        <f t="shared" si="256"/>
        <v>1</v>
      </c>
      <c r="E4079" s="7" t="s">
        <v>12557</v>
      </c>
      <c r="F4079" s="7">
        <f t="shared" si="257"/>
        <v>0</v>
      </c>
      <c r="G4079" s="7" t="s">
        <v>12558</v>
      </c>
      <c r="H4079" s="7">
        <f t="shared" si="258"/>
        <v>0</v>
      </c>
      <c r="I4079" s="7" t="str" cm="1">
        <f t="array" ref="I4079">IFERROR(_xlfn.IFS(M4079="נח",1,M4079="נע ונח",1,M4079="שני שווא נח",2,M4079="שני שוואים בסוף מילה",2,M4079="שני שוואים ברצף",1),"0")</f>
        <v>0</v>
      </c>
      <c r="J4079" s="9">
        <f t="shared" si="259"/>
        <v>3</v>
      </c>
      <c r="K4079" t="s">
        <v>6698</v>
      </c>
      <c r="L4079" t="s">
        <v>6694</v>
      </c>
      <c r="M4079" t="s">
        <v>6700</v>
      </c>
      <c r="O4079" t="s">
        <v>6694</v>
      </c>
      <c r="S4079" t="s">
        <v>6694</v>
      </c>
      <c r="W4079" t="s">
        <v>6720</v>
      </c>
    </row>
    <row r="4080" spans="1:23" ht="15.6" x14ac:dyDescent="0.4">
      <c r="A4080" s="2" t="s">
        <v>5508</v>
      </c>
      <c r="B4080" s="5" t="s">
        <v>10299</v>
      </c>
      <c r="C4080" s="7" t="s">
        <v>12556</v>
      </c>
      <c r="D4080" s="8">
        <f t="shared" si="256"/>
        <v>0</v>
      </c>
      <c r="E4080" s="7" t="s">
        <v>12557</v>
      </c>
      <c r="F4080" s="7">
        <f t="shared" si="257"/>
        <v>0</v>
      </c>
      <c r="G4080" s="7" t="s">
        <v>12558</v>
      </c>
      <c r="H4080" s="7">
        <f t="shared" si="258"/>
        <v>0</v>
      </c>
      <c r="I4080" s="7" t="str" cm="1">
        <f t="array" ref="I4080">IFERROR(_xlfn.IFS(M4080="נח",1,M4080="נע ונח",1,M4080="שני שווא נח",2,M4080="שני שוואים בסוף מילה",2,M4080="שני שוואים ברצף",1),"0")</f>
        <v>0</v>
      </c>
      <c r="J4080" s="9">
        <f t="shared" si="259"/>
        <v>3</v>
      </c>
      <c r="K4080" t="s">
        <v>6698</v>
      </c>
      <c r="L4080" t="s">
        <v>6694</v>
      </c>
      <c r="M4080" t="s">
        <v>6700</v>
      </c>
      <c r="V4080" t="s">
        <v>6694</v>
      </c>
      <c r="W4080" t="s">
        <v>6720</v>
      </c>
    </row>
    <row r="4081" spans="1:23" ht="15.6" x14ac:dyDescent="0.4">
      <c r="A4081" s="2" t="s">
        <v>1045</v>
      </c>
      <c r="B4081" s="5" t="s">
        <v>10300</v>
      </c>
      <c r="C4081" s="7" t="s">
        <v>12556</v>
      </c>
      <c r="D4081" s="8">
        <f t="shared" si="256"/>
        <v>0</v>
      </c>
      <c r="E4081" s="7" t="s">
        <v>12557</v>
      </c>
      <c r="F4081" s="7">
        <f t="shared" si="257"/>
        <v>0</v>
      </c>
      <c r="G4081" s="7" t="s">
        <v>12558</v>
      </c>
      <c r="H4081" s="7">
        <f t="shared" si="258"/>
        <v>0</v>
      </c>
      <c r="I4081" s="7" t="str" cm="1">
        <f t="array" ref="I4081">IFERROR(_xlfn.IFS(M4081="נח",1,M4081="נע ונח",1,M4081="שני שווא נח",2,M4081="שני שוואים בסוף מילה",2,M4081="שני שוואים ברצף",1),"0")</f>
        <v>0</v>
      </c>
      <c r="J4081" s="9">
        <f t="shared" si="259"/>
        <v>4</v>
      </c>
      <c r="K4081" t="s">
        <v>6697</v>
      </c>
      <c r="L4081" t="s">
        <v>6694</v>
      </c>
      <c r="M4081" t="s">
        <v>6700</v>
      </c>
      <c r="P4081" t="s">
        <v>6694</v>
      </c>
      <c r="S4081" t="s">
        <v>6694</v>
      </c>
      <c r="V4081" t="s">
        <v>6694</v>
      </c>
      <c r="W4081" t="s">
        <v>6720</v>
      </c>
    </row>
    <row r="4082" spans="1:23" ht="15.6" x14ac:dyDescent="0.4">
      <c r="A4082" s="2" t="s">
        <v>5713</v>
      </c>
      <c r="B4082" s="5" t="s">
        <v>10301</v>
      </c>
      <c r="C4082" s="7" t="s">
        <v>12556</v>
      </c>
      <c r="D4082" s="8">
        <f t="shared" si="256"/>
        <v>0</v>
      </c>
      <c r="E4082" s="7" t="s">
        <v>12557</v>
      </c>
      <c r="F4082" s="7">
        <f t="shared" si="257"/>
        <v>0</v>
      </c>
      <c r="G4082" s="7" t="s">
        <v>12558</v>
      </c>
      <c r="H4082" s="7">
        <f t="shared" si="258"/>
        <v>0</v>
      </c>
      <c r="I4082" s="7" t="str" cm="1">
        <f t="array" ref="I4082">IFERROR(_xlfn.IFS(M4082="נח",1,M4082="נע ונח",1,M4082="שני שווא נח",2,M4082="שני שוואים בסוף מילה",2,M4082="שני שוואים ברצף",1),"0")</f>
        <v>0</v>
      </c>
      <c r="J4082" s="9">
        <f t="shared" si="259"/>
        <v>4</v>
      </c>
      <c r="K4082" t="s">
        <v>6698</v>
      </c>
      <c r="L4082" t="s">
        <v>6694</v>
      </c>
      <c r="M4082" t="s">
        <v>6700</v>
      </c>
      <c r="N4082" t="s">
        <v>6706</v>
      </c>
      <c r="O4082" t="s">
        <v>6694</v>
      </c>
      <c r="S4082" t="s">
        <v>6694</v>
      </c>
      <c r="V4082" t="s">
        <v>6694</v>
      </c>
      <c r="W4082" t="s">
        <v>6720</v>
      </c>
    </row>
    <row r="4083" spans="1:23" ht="15.6" x14ac:dyDescent="0.4">
      <c r="A4083" s="2" t="s">
        <v>5871</v>
      </c>
      <c r="B4083" s="5" t="s">
        <v>10302</v>
      </c>
      <c r="C4083" s="7" t="s">
        <v>12556</v>
      </c>
      <c r="D4083" s="8">
        <f t="shared" si="256"/>
        <v>0</v>
      </c>
      <c r="E4083" s="7" t="s">
        <v>12557</v>
      </c>
      <c r="F4083" s="7">
        <f t="shared" si="257"/>
        <v>0</v>
      </c>
      <c r="G4083" s="7" t="s">
        <v>12558</v>
      </c>
      <c r="H4083" s="7">
        <f t="shared" si="258"/>
        <v>0</v>
      </c>
      <c r="I4083" s="7" t="str" cm="1">
        <f t="array" ref="I4083">IFERROR(_xlfn.IFS(M4083="נח",1,M4083="נע ונח",1,M4083="שני שווא נח",2,M4083="שני שוואים בסוף מילה",2,M4083="שני שוואים ברצף",1),"0")</f>
        <v>0</v>
      </c>
      <c r="J4083" s="9">
        <f t="shared" si="259"/>
        <v>3</v>
      </c>
      <c r="K4083" t="s">
        <v>6698</v>
      </c>
      <c r="L4083" t="s">
        <v>6694</v>
      </c>
      <c r="M4083" t="s">
        <v>6700</v>
      </c>
      <c r="V4083" t="s">
        <v>6694</v>
      </c>
      <c r="W4083" t="s">
        <v>6720</v>
      </c>
    </row>
    <row r="4084" spans="1:23" ht="15.6" x14ac:dyDescent="0.4">
      <c r="A4084" s="2" t="s">
        <v>684</v>
      </c>
      <c r="B4084" s="5" t="s">
        <v>10303</v>
      </c>
      <c r="C4084" s="7" t="s">
        <v>12556</v>
      </c>
      <c r="D4084" s="8">
        <f t="shared" si="256"/>
        <v>0</v>
      </c>
      <c r="E4084" s="7" t="s">
        <v>12557</v>
      </c>
      <c r="F4084" s="7">
        <f t="shared" si="257"/>
        <v>0</v>
      </c>
      <c r="G4084" s="7" t="s">
        <v>12558</v>
      </c>
      <c r="H4084" s="7">
        <f t="shared" si="258"/>
        <v>0</v>
      </c>
      <c r="I4084" s="7" t="str" cm="1">
        <f t="array" ref="I4084">IFERROR(_xlfn.IFS(M4084="נח",1,M4084="נע ונח",1,M4084="שני שווא נח",2,M4084="שני שוואים בסוף מילה",2,M4084="שני שוואים ברצף",1),"0")</f>
        <v>0</v>
      </c>
      <c r="J4084" s="9">
        <f t="shared" si="259"/>
        <v>3</v>
      </c>
      <c r="K4084" t="s">
        <v>6697</v>
      </c>
      <c r="L4084" t="s">
        <v>6694</v>
      </c>
      <c r="M4084" t="s">
        <v>6700</v>
      </c>
      <c r="S4084" t="s">
        <v>6694</v>
      </c>
      <c r="V4084" t="s">
        <v>6694</v>
      </c>
      <c r="W4084" t="s">
        <v>6720</v>
      </c>
    </row>
    <row r="4085" spans="1:23" ht="15.6" x14ac:dyDescent="0.4">
      <c r="A4085" s="2" t="s">
        <v>1231</v>
      </c>
      <c r="B4085" s="5" t="s">
        <v>10304</v>
      </c>
      <c r="C4085" s="7" t="s">
        <v>12556</v>
      </c>
      <c r="D4085" s="8">
        <f t="shared" si="256"/>
        <v>1</v>
      </c>
      <c r="E4085" s="7" t="s">
        <v>12557</v>
      </c>
      <c r="F4085" s="7">
        <f t="shared" si="257"/>
        <v>0</v>
      </c>
      <c r="G4085" s="7" t="s">
        <v>12558</v>
      </c>
      <c r="H4085" s="7">
        <f t="shared" si="258"/>
        <v>0</v>
      </c>
      <c r="I4085" s="7" t="str" cm="1">
        <f t="array" ref="I4085">IFERROR(_xlfn.IFS(M4085="נח",1,M4085="נע ונח",1,M4085="שני שווא נח",2,M4085="שני שוואים בסוף מילה",2,M4085="שני שוואים ברצף",1),"0")</f>
        <v>0</v>
      </c>
      <c r="J4085" s="9">
        <f t="shared" si="259"/>
        <v>4</v>
      </c>
      <c r="K4085" t="s">
        <v>6697</v>
      </c>
      <c r="L4085" t="s">
        <v>6694</v>
      </c>
      <c r="M4085" t="s">
        <v>6700</v>
      </c>
      <c r="S4085" t="s">
        <v>6694</v>
      </c>
      <c r="V4085" t="s">
        <v>6694</v>
      </c>
      <c r="W4085" t="s">
        <v>6720</v>
      </c>
    </row>
    <row r="4086" spans="1:23" ht="15.6" x14ac:dyDescent="0.4">
      <c r="A4086" s="2" t="s">
        <v>463</v>
      </c>
      <c r="B4086" s="5" t="s">
        <v>10305</v>
      </c>
      <c r="C4086" s="7" t="s">
        <v>12556</v>
      </c>
      <c r="D4086" s="8">
        <f t="shared" si="256"/>
        <v>1</v>
      </c>
      <c r="E4086" s="7" t="s">
        <v>12557</v>
      </c>
      <c r="F4086" s="7">
        <f t="shared" si="257"/>
        <v>0</v>
      </c>
      <c r="G4086" s="7" t="s">
        <v>12558</v>
      </c>
      <c r="H4086" s="7">
        <f t="shared" si="258"/>
        <v>0</v>
      </c>
      <c r="I4086" s="7" t="str" cm="1">
        <f t="array" ref="I4086">IFERROR(_xlfn.IFS(M4086="נח",1,M4086="נע ונח",1,M4086="שני שווא נח",2,M4086="שני שוואים בסוף מילה",2,M4086="שני שוואים ברצף",1),"0")</f>
        <v>0</v>
      </c>
      <c r="J4086" s="9">
        <f t="shared" si="259"/>
        <v>5</v>
      </c>
      <c r="K4086" t="s">
        <v>6697</v>
      </c>
      <c r="L4086" t="s">
        <v>6694</v>
      </c>
      <c r="M4086" t="s">
        <v>6700</v>
      </c>
      <c r="Q4086" t="s">
        <v>6694</v>
      </c>
      <c r="S4086" t="s">
        <v>6694</v>
      </c>
      <c r="V4086" t="s">
        <v>6694</v>
      </c>
      <c r="W4086" t="s">
        <v>6720</v>
      </c>
    </row>
    <row r="4087" spans="1:23" ht="15.6" x14ac:dyDescent="0.4">
      <c r="A4087" s="2" t="s">
        <v>4709</v>
      </c>
      <c r="B4087" s="5" t="s">
        <v>10306</v>
      </c>
      <c r="C4087" s="7" t="s">
        <v>12556</v>
      </c>
      <c r="D4087" s="8">
        <f t="shared" si="256"/>
        <v>1</v>
      </c>
      <c r="E4087" s="7" t="s">
        <v>12557</v>
      </c>
      <c r="F4087" s="7">
        <f t="shared" si="257"/>
        <v>0</v>
      </c>
      <c r="G4087" s="7" t="s">
        <v>12558</v>
      </c>
      <c r="H4087" s="7">
        <f t="shared" si="258"/>
        <v>0</v>
      </c>
      <c r="I4087" s="7" t="str" cm="1">
        <f t="array" ref="I4087">IFERROR(_xlfn.IFS(M4087="נח",1,M4087="נע ונח",1,M4087="שני שווא נח",2,M4087="שני שוואים בסוף מילה",2,M4087="שני שוואים ברצף",1),"0")</f>
        <v>0</v>
      </c>
      <c r="J4087" s="9">
        <f t="shared" si="259"/>
        <v>4</v>
      </c>
      <c r="K4087" t="s">
        <v>6697</v>
      </c>
      <c r="L4087" t="s">
        <v>6694</v>
      </c>
      <c r="M4087" t="s">
        <v>6700</v>
      </c>
      <c r="P4087" t="s">
        <v>6694</v>
      </c>
      <c r="S4087" t="s">
        <v>6694</v>
      </c>
      <c r="V4087" t="s">
        <v>6694</v>
      </c>
      <c r="W4087" t="s">
        <v>6720</v>
      </c>
    </row>
    <row r="4088" spans="1:23" ht="15.6" x14ac:dyDescent="0.4">
      <c r="A4088" s="2" t="s">
        <v>1199</v>
      </c>
      <c r="B4088" s="5" t="s">
        <v>10307</v>
      </c>
      <c r="C4088" s="7" t="s">
        <v>12556</v>
      </c>
      <c r="D4088" s="8">
        <f t="shared" si="256"/>
        <v>0</v>
      </c>
      <c r="E4088" s="7" t="s">
        <v>12557</v>
      </c>
      <c r="F4088" s="7">
        <f t="shared" si="257"/>
        <v>0</v>
      </c>
      <c r="G4088" s="7" t="s">
        <v>12558</v>
      </c>
      <c r="H4088" s="7">
        <f t="shared" si="258"/>
        <v>0</v>
      </c>
      <c r="I4088" s="7" t="str" cm="1">
        <f t="array" ref="I4088">IFERROR(_xlfn.IFS(M4088="נח",1,M4088="נע ונח",1,M4088="שני שווא נח",2,M4088="שני שוואים בסוף מילה",2,M4088="שני שוואים ברצף",1),"0")</f>
        <v>0</v>
      </c>
      <c r="J4088" s="9">
        <f t="shared" si="259"/>
        <v>3</v>
      </c>
      <c r="K4088" t="s">
        <v>6698</v>
      </c>
      <c r="L4088" t="s">
        <v>6694</v>
      </c>
      <c r="M4088" t="s">
        <v>6700</v>
      </c>
      <c r="Q4088" t="s">
        <v>6694</v>
      </c>
      <c r="R4088" t="s">
        <v>6694</v>
      </c>
      <c r="W4088" t="s">
        <v>6720</v>
      </c>
    </row>
    <row r="4089" spans="1:23" ht="15.6" x14ac:dyDescent="0.4">
      <c r="A4089" s="2" t="s">
        <v>5941</v>
      </c>
      <c r="B4089" s="5" t="s">
        <v>10308</v>
      </c>
      <c r="C4089" s="7" t="s">
        <v>12556</v>
      </c>
      <c r="D4089" s="8">
        <f t="shared" si="256"/>
        <v>0</v>
      </c>
      <c r="E4089" s="7" t="s">
        <v>12557</v>
      </c>
      <c r="F4089" s="7">
        <f t="shared" si="257"/>
        <v>1</v>
      </c>
      <c r="G4089" s="7" t="s">
        <v>12558</v>
      </c>
      <c r="H4089" s="7">
        <f t="shared" si="258"/>
        <v>0</v>
      </c>
      <c r="I4089" s="7" t="str" cm="1">
        <f t="array" ref="I4089">IFERROR(_xlfn.IFS(M4089="נח",1,M4089="נע ונח",1,M4089="שני שווא נח",2,M4089="שני שוואים בסוף מילה",2,M4089="שני שוואים ברצף",1),"0")</f>
        <v>0</v>
      </c>
      <c r="J4089" s="9">
        <f t="shared" si="259"/>
        <v>3</v>
      </c>
      <c r="K4089" t="s">
        <v>6697</v>
      </c>
      <c r="L4089" t="s">
        <v>6694</v>
      </c>
      <c r="M4089" t="s">
        <v>6700</v>
      </c>
      <c r="S4089" t="s">
        <v>6694</v>
      </c>
      <c r="W4089" t="s">
        <v>6720</v>
      </c>
    </row>
    <row r="4090" spans="1:23" ht="15.6" x14ac:dyDescent="0.4">
      <c r="A4090" s="2" t="s">
        <v>5149</v>
      </c>
      <c r="B4090" s="5" t="s">
        <v>10309</v>
      </c>
      <c r="C4090" s="7" t="s">
        <v>12556</v>
      </c>
      <c r="D4090" s="8">
        <f t="shared" si="256"/>
        <v>0</v>
      </c>
      <c r="E4090" s="7" t="s">
        <v>12557</v>
      </c>
      <c r="F4090" s="7">
        <f t="shared" si="257"/>
        <v>0</v>
      </c>
      <c r="G4090" s="7" t="s">
        <v>12558</v>
      </c>
      <c r="H4090" s="7">
        <f t="shared" si="258"/>
        <v>0</v>
      </c>
      <c r="I4090" s="7" cm="1">
        <f t="array" ref="I4090">IFERROR(_xlfn.IFS(M4090="נח",1,M4090="נע ונח",1,M4090="שני שווא נח",2,M4090="שני שוואים בסוף מילה",2,M4090="שני שוואים ברצף",1),"0")</f>
        <v>1</v>
      </c>
      <c r="J4090" s="9">
        <f t="shared" si="259"/>
        <v>3</v>
      </c>
      <c r="K4090" t="s">
        <v>6697</v>
      </c>
      <c r="L4090" t="s">
        <v>6694</v>
      </c>
      <c r="M4090" t="s">
        <v>6701</v>
      </c>
      <c r="O4090" t="s">
        <v>6694</v>
      </c>
      <c r="Q4090" t="s">
        <v>6694</v>
      </c>
      <c r="W4090" t="s">
        <v>6720</v>
      </c>
    </row>
    <row r="4091" spans="1:23" ht="15.6" x14ac:dyDescent="0.4">
      <c r="A4091" s="2" t="s">
        <v>5458</v>
      </c>
      <c r="B4091" s="5" t="s">
        <v>10310</v>
      </c>
      <c r="C4091" s="7" t="s">
        <v>12556</v>
      </c>
      <c r="D4091" s="8">
        <f t="shared" si="256"/>
        <v>0</v>
      </c>
      <c r="E4091" s="7" t="s">
        <v>12557</v>
      </c>
      <c r="F4091" s="7">
        <f t="shared" si="257"/>
        <v>0</v>
      </c>
      <c r="G4091" s="7" t="s">
        <v>12558</v>
      </c>
      <c r="H4091" s="7">
        <f t="shared" si="258"/>
        <v>0</v>
      </c>
      <c r="I4091" s="7" cm="1">
        <f t="array" ref="I4091">IFERROR(_xlfn.IFS(M4091="נח",1,M4091="נע ונח",1,M4091="שני שווא נח",2,M4091="שני שוואים בסוף מילה",2,M4091="שני שוואים ברצף",1),"0")</f>
        <v>1</v>
      </c>
      <c r="J4091" s="9">
        <f t="shared" si="259"/>
        <v>3</v>
      </c>
      <c r="K4091" t="s">
        <v>6697</v>
      </c>
      <c r="L4091" t="s">
        <v>6694</v>
      </c>
      <c r="M4091" t="s">
        <v>6701</v>
      </c>
      <c r="P4091" t="s">
        <v>6694</v>
      </c>
      <c r="V4091" t="s">
        <v>6694</v>
      </c>
      <c r="W4091" t="s">
        <v>6720</v>
      </c>
    </row>
    <row r="4092" spans="1:23" ht="15.6" x14ac:dyDescent="0.4">
      <c r="A4092" s="2" t="s">
        <v>5686</v>
      </c>
      <c r="B4092" s="5" t="s">
        <v>10311</v>
      </c>
      <c r="C4092" s="7" t="s">
        <v>12556</v>
      </c>
      <c r="D4092" s="8">
        <f t="shared" si="256"/>
        <v>0</v>
      </c>
      <c r="E4092" s="7" t="s">
        <v>12557</v>
      </c>
      <c r="F4092" s="7">
        <f t="shared" si="257"/>
        <v>1</v>
      </c>
      <c r="G4092" s="7" t="s">
        <v>12558</v>
      </c>
      <c r="H4092" s="7">
        <f t="shared" si="258"/>
        <v>0</v>
      </c>
      <c r="I4092" s="7" t="str" cm="1">
        <f t="array" ref="I4092">IFERROR(_xlfn.IFS(M4092="נח",1,M4092="נע ונח",1,M4092="שני שווא נח",2,M4092="שני שוואים בסוף מילה",2,M4092="שני שוואים ברצף",1),"0")</f>
        <v>0</v>
      </c>
      <c r="J4092" s="9">
        <f t="shared" si="259"/>
        <v>3</v>
      </c>
      <c r="K4092" t="s">
        <v>6698</v>
      </c>
      <c r="L4092" t="s">
        <v>6694</v>
      </c>
      <c r="M4092" t="s">
        <v>6700</v>
      </c>
      <c r="P4092" t="s">
        <v>6694</v>
      </c>
      <c r="W4092" t="s">
        <v>6720</v>
      </c>
    </row>
    <row r="4093" spans="1:23" ht="15.6" x14ac:dyDescent="0.4">
      <c r="A4093" s="2" t="s">
        <v>2781</v>
      </c>
      <c r="B4093" s="5" t="s">
        <v>10312</v>
      </c>
      <c r="C4093" s="7" t="s">
        <v>12556</v>
      </c>
      <c r="D4093" s="8">
        <f t="shared" si="256"/>
        <v>0</v>
      </c>
      <c r="E4093" s="7" t="s">
        <v>12557</v>
      </c>
      <c r="F4093" s="7">
        <f t="shared" si="257"/>
        <v>0</v>
      </c>
      <c r="G4093" s="7" t="s">
        <v>12558</v>
      </c>
      <c r="H4093" s="7">
        <f t="shared" si="258"/>
        <v>0</v>
      </c>
      <c r="I4093" s="7" t="str" cm="1">
        <f t="array" ref="I4093">IFERROR(_xlfn.IFS(M4093="נח",1,M4093="נע ונח",1,M4093="שני שווא נח",2,M4093="שני שוואים בסוף מילה",2,M4093="שני שוואים ברצף",1),"0")</f>
        <v>0</v>
      </c>
      <c r="J4093" s="9">
        <f t="shared" si="259"/>
        <v>2</v>
      </c>
      <c r="K4093" t="s">
        <v>6698</v>
      </c>
      <c r="L4093" t="s">
        <v>6694</v>
      </c>
      <c r="M4093" t="s">
        <v>6700</v>
      </c>
      <c r="P4093" t="s">
        <v>6694</v>
      </c>
      <c r="W4093" t="s">
        <v>6720</v>
      </c>
    </row>
    <row r="4094" spans="1:23" ht="15.6" x14ac:dyDescent="0.4">
      <c r="A4094" s="2" t="s">
        <v>6104</v>
      </c>
      <c r="B4094" s="5" t="s">
        <v>10313</v>
      </c>
      <c r="C4094" s="7" t="s">
        <v>12556</v>
      </c>
      <c r="D4094" s="8">
        <f t="shared" si="256"/>
        <v>0</v>
      </c>
      <c r="E4094" s="7" t="s">
        <v>12557</v>
      </c>
      <c r="F4094" s="7">
        <f t="shared" si="257"/>
        <v>1</v>
      </c>
      <c r="G4094" s="7" t="s">
        <v>12558</v>
      </c>
      <c r="H4094" s="7">
        <f t="shared" si="258"/>
        <v>0</v>
      </c>
      <c r="I4094" s="7" cm="1">
        <f t="array" ref="I4094">IFERROR(_xlfn.IFS(M4094="נח",1,M4094="נע ונח",1,M4094="שני שווא נח",2,M4094="שני שוואים בסוף מילה",2,M4094="שני שוואים ברצף",1),"0")</f>
        <v>1</v>
      </c>
      <c r="J4094" s="9">
        <f t="shared" si="259"/>
        <v>3</v>
      </c>
      <c r="K4094" t="s">
        <v>6697</v>
      </c>
      <c r="L4094" t="s">
        <v>6694</v>
      </c>
      <c r="M4094" t="s">
        <v>6701</v>
      </c>
      <c r="P4094" t="s">
        <v>6694</v>
      </c>
      <c r="V4094" t="s">
        <v>6694</v>
      </c>
      <c r="W4094" t="s">
        <v>6720</v>
      </c>
    </row>
    <row r="4095" spans="1:23" ht="15.6" x14ac:dyDescent="0.4">
      <c r="A4095" s="2" t="s">
        <v>4885</v>
      </c>
      <c r="B4095" s="5" t="s">
        <v>10314</v>
      </c>
      <c r="C4095" s="7" t="s">
        <v>12556</v>
      </c>
      <c r="D4095" s="8">
        <f t="shared" si="256"/>
        <v>0</v>
      </c>
      <c r="E4095" s="7" t="s">
        <v>12557</v>
      </c>
      <c r="F4095" s="7">
        <f t="shared" si="257"/>
        <v>0</v>
      </c>
      <c r="G4095" s="7" t="s">
        <v>12558</v>
      </c>
      <c r="H4095" s="7">
        <f t="shared" si="258"/>
        <v>0</v>
      </c>
      <c r="I4095" s="7" cm="1">
        <f t="array" ref="I4095">IFERROR(_xlfn.IFS(M4095="נח",1,M4095="נע ונח",1,M4095="שני שווא נח",2,M4095="שני שוואים בסוף מילה",2,M4095="שני שוואים ברצף",1),"0")</f>
        <v>1</v>
      </c>
      <c r="J4095" s="9">
        <f t="shared" si="259"/>
        <v>3</v>
      </c>
      <c r="K4095" t="s">
        <v>6698</v>
      </c>
      <c r="L4095" t="s">
        <v>6694</v>
      </c>
      <c r="M4095" t="s">
        <v>6701</v>
      </c>
      <c r="P4095" t="s">
        <v>6694</v>
      </c>
      <c r="V4095" t="s">
        <v>6694</v>
      </c>
      <c r="W4095" t="s">
        <v>6720</v>
      </c>
    </row>
    <row r="4096" spans="1:23" ht="15.6" x14ac:dyDescent="0.4">
      <c r="A4096" s="2" t="s">
        <v>1630</v>
      </c>
      <c r="B4096" s="5" t="s">
        <v>10315</v>
      </c>
      <c r="C4096" s="7" t="s">
        <v>12556</v>
      </c>
      <c r="D4096" s="8">
        <f t="shared" si="256"/>
        <v>0</v>
      </c>
      <c r="E4096" s="7" t="s">
        <v>12557</v>
      </c>
      <c r="F4096" s="7">
        <f t="shared" si="257"/>
        <v>0</v>
      </c>
      <c r="G4096" s="7" t="s">
        <v>12558</v>
      </c>
      <c r="H4096" s="7">
        <f t="shared" si="258"/>
        <v>0</v>
      </c>
      <c r="I4096" s="7" t="str" cm="1">
        <f t="array" ref="I4096">IFERROR(_xlfn.IFS(M4096="נח",1,M4096="נע ונח",1,M4096="שני שווא נח",2,M4096="שני שוואים בסוף מילה",2,M4096="שני שוואים ברצף",1),"0")</f>
        <v>0</v>
      </c>
      <c r="J4096" s="9">
        <f t="shared" si="259"/>
        <v>2</v>
      </c>
      <c r="K4096" t="s">
        <v>6698</v>
      </c>
      <c r="L4096" t="s">
        <v>6694</v>
      </c>
      <c r="M4096" t="s">
        <v>6700</v>
      </c>
      <c r="V4096" t="s">
        <v>6694</v>
      </c>
      <c r="W4096" t="s">
        <v>6720</v>
      </c>
    </row>
    <row r="4097" spans="1:23" ht="15.6" x14ac:dyDescent="0.4">
      <c r="A4097" s="2" t="s">
        <v>855</v>
      </c>
      <c r="B4097" s="5" t="s">
        <v>10316</v>
      </c>
      <c r="C4097" s="7" t="s">
        <v>12556</v>
      </c>
      <c r="D4097" s="8">
        <f t="shared" si="256"/>
        <v>1</v>
      </c>
      <c r="E4097" s="7" t="s">
        <v>12557</v>
      </c>
      <c r="F4097" s="7">
        <f t="shared" si="257"/>
        <v>0</v>
      </c>
      <c r="G4097" s="7" t="s">
        <v>12558</v>
      </c>
      <c r="H4097" s="7">
        <f t="shared" si="258"/>
        <v>0</v>
      </c>
      <c r="I4097" s="7" cm="1">
        <f t="array" ref="I4097">IFERROR(_xlfn.IFS(M4097="נח",1,M4097="נע ונח",1,M4097="שני שווא נח",2,M4097="שני שוואים בסוף מילה",2,M4097="שני שוואים ברצף",1),"0")</f>
        <v>1</v>
      </c>
      <c r="J4097" s="9">
        <f t="shared" si="259"/>
        <v>3</v>
      </c>
      <c r="K4097" t="s">
        <v>6698</v>
      </c>
      <c r="L4097" t="s">
        <v>6694</v>
      </c>
      <c r="M4097" t="s">
        <v>6701</v>
      </c>
      <c r="Q4097" t="s">
        <v>6694</v>
      </c>
      <c r="S4097" t="s">
        <v>6694</v>
      </c>
      <c r="W4097" t="s">
        <v>6720</v>
      </c>
    </row>
    <row r="4098" spans="1:23" ht="15.6" x14ac:dyDescent="0.4">
      <c r="A4098" s="2" t="s">
        <v>6145</v>
      </c>
      <c r="B4098" s="5" t="s">
        <v>10317</v>
      </c>
      <c r="C4098" s="7" t="s">
        <v>12556</v>
      </c>
      <c r="D4098" s="8">
        <f t="shared" si="256"/>
        <v>1</v>
      </c>
      <c r="E4098" s="7" t="s">
        <v>12557</v>
      </c>
      <c r="F4098" s="7">
        <f t="shared" si="257"/>
        <v>0</v>
      </c>
      <c r="G4098" s="7" t="s">
        <v>12558</v>
      </c>
      <c r="H4098" s="7">
        <f t="shared" si="258"/>
        <v>0</v>
      </c>
      <c r="I4098" s="7" cm="1">
        <f t="array" ref="I4098">IFERROR(_xlfn.IFS(M4098="נח",1,M4098="נע ונח",1,M4098="שני שווא נח",2,M4098="שני שוואים בסוף מילה",2,M4098="שני שוואים ברצף",1),"0")</f>
        <v>1</v>
      </c>
      <c r="J4098" s="9">
        <f t="shared" si="259"/>
        <v>3</v>
      </c>
      <c r="K4098" t="s">
        <v>6698</v>
      </c>
      <c r="L4098" t="s">
        <v>6694</v>
      </c>
      <c r="M4098" t="s">
        <v>6701</v>
      </c>
      <c r="N4098" t="s">
        <v>6706</v>
      </c>
      <c r="O4098" t="s">
        <v>6694</v>
      </c>
      <c r="S4098" t="s">
        <v>6694</v>
      </c>
      <c r="W4098" t="s">
        <v>6720</v>
      </c>
    </row>
    <row r="4099" spans="1:23" ht="15.6" x14ac:dyDescent="0.4">
      <c r="A4099" s="2" t="s">
        <v>1276</v>
      </c>
      <c r="B4099" s="5" t="s">
        <v>10318</v>
      </c>
      <c r="C4099" s="7" t="s">
        <v>12556</v>
      </c>
      <c r="D4099" s="8">
        <f t="shared" ref="D4099:D4162" si="260">(LEN(B4099)-LEN(SUBSTITUTE(B4099,C4099,"")))</f>
        <v>1</v>
      </c>
      <c r="E4099" s="7" t="s">
        <v>12557</v>
      </c>
      <c r="F4099" s="7">
        <f t="shared" ref="F4099:F4162" si="261">(LEN(A4099)-LEN(SUBSTITUTE(A4099,E4099,"")))</f>
        <v>0</v>
      </c>
      <c r="G4099" s="7" t="s">
        <v>12558</v>
      </c>
      <c r="H4099" s="7">
        <f t="shared" ref="H4099:H4162" si="262">(LEN(A4099)-LEN(SUBSTITUTE(A4099,G4099,"")))/2</f>
        <v>0</v>
      </c>
      <c r="I4099" s="7" cm="1">
        <f t="array" ref="I4099">IFERROR(_xlfn.IFS(M4099="נח",1,M4099="נע ונח",1,M4099="שני שווא נח",2,M4099="שני שוואים בסוף מילה",2,M4099="שני שוואים ברצף",1),"0")</f>
        <v>1</v>
      </c>
      <c r="J4099" s="9">
        <f t="shared" ref="J4099:J4162" si="263">LEN(A4099)-(LEN(B4099))-D4099-F4099+H4099-I4099</f>
        <v>4</v>
      </c>
      <c r="K4099" t="s">
        <v>6698</v>
      </c>
      <c r="L4099" t="s">
        <v>6694</v>
      </c>
      <c r="M4099" t="s">
        <v>6701</v>
      </c>
      <c r="O4099" t="s">
        <v>6694</v>
      </c>
      <c r="Q4099" t="s">
        <v>6694</v>
      </c>
      <c r="S4099" t="s">
        <v>6694</v>
      </c>
      <c r="W4099" t="s">
        <v>6720</v>
      </c>
    </row>
    <row r="4100" spans="1:23" ht="15.6" x14ac:dyDescent="0.4">
      <c r="A4100" s="2" t="s">
        <v>4422</v>
      </c>
      <c r="B4100" s="5" t="s">
        <v>10319</v>
      </c>
      <c r="C4100" s="7" t="s">
        <v>12556</v>
      </c>
      <c r="D4100" s="8">
        <f t="shared" si="260"/>
        <v>1</v>
      </c>
      <c r="E4100" s="7" t="s">
        <v>12557</v>
      </c>
      <c r="F4100" s="7">
        <f t="shared" si="261"/>
        <v>1</v>
      </c>
      <c r="G4100" s="7" t="s">
        <v>12558</v>
      </c>
      <c r="H4100" s="7">
        <f t="shared" si="262"/>
        <v>0</v>
      </c>
      <c r="I4100" s="7" t="str" cm="1">
        <f t="array" ref="I4100">IFERROR(_xlfn.IFS(M4100="נח",1,M4100="נע ונח",1,M4100="שני שווא נח",2,M4100="שני שוואים בסוף מילה",2,M4100="שני שוואים ברצף",1),"0")</f>
        <v>0</v>
      </c>
      <c r="J4100" s="9">
        <f t="shared" si="263"/>
        <v>4</v>
      </c>
      <c r="K4100" t="s">
        <v>6697</v>
      </c>
      <c r="L4100" t="s">
        <v>6694</v>
      </c>
      <c r="M4100" t="s">
        <v>6700</v>
      </c>
      <c r="O4100" t="s">
        <v>6694</v>
      </c>
      <c r="P4100" t="s">
        <v>6694</v>
      </c>
      <c r="W4100" t="s">
        <v>6720</v>
      </c>
    </row>
    <row r="4101" spans="1:23" ht="15.6" x14ac:dyDescent="0.4">
      <c r="A4101" s="2" t="s">
        <v>5107</v>
      </c>
      <c r="B4101" s="5" t="s">
        <v>10320</v>
      </c>
      <c r="C4101" s="7" t="s">
        <v>12556</v>
      </c>
      <c r="D4101" s="8">
        <f t="shared" si="260"/>
        <v>0</v>
      </c>
      <c r="E4101" s="7" t="s">
        <v>12557</v>
      </c>
      <c r="F4101" s="7">
        <f t="shared" si="261"/>
        <v>0</v>
      </c>
      <c r="G4101" s="7" t="s">
        <v>12558</v>
      </c>
      <c r="H4101" s="7">
        <f t="shared" si="262"/>
        <v>0</v>
      </c>
      <c r="I4101" s="7" t="str" cm="1">
        <f t="array" ref="I4101">IFERROR(_xlfn.IFS(M4101="נח",1,M4101="נע ונח",1,M4101="שני שווא נח",2,M4101="שני שוואים בסוף מילה",2,M4101="שני שוואים ברצף",1),"0")</f>
        <v>0</v>
      </c>
      <c r="J4101" s="9">
        <f t="shared" si="263"/>
        <v>2</v>
      </c>
      <c r="K4101" t="s">
        <v>6698</v>
      </c>
      <c r="L4101" t="s">
        <v>6694</v>
      </c>
      <c r="M4101" t="s">
        <v>6700</v>
      </c>
      <c r="P4101" t="s">
        <v>6694</v>
      </c>
      <c r="W4101" t="s">
        <v>6720</v>
      </c>
    </row>
    <row r="4102" spans="1:23" ht="15.6" x14ac:dyDescent="0.4">
      <c r="A4102" s="2" t="s">
        <v>1401</v>
      </c>
      <c r="B4102" s="5" t="s">
        <v>10321</v>
      </c>
      <c r="C4102" s="7" t="s">
        <v>12556</v>
      </c>
      <c r="D4102" s="8">
        <f t="shared" si="260"/>
        <v>0</v>
      </c>
      <c r="E4102" s="7" t="s">
        <v>12557</v>
      </c>
      <c r="F4102" s="7">
        <f t="shared" si="261"/>
        <v>0</v>
      </c>
      <c r="G4102" s="7" t="s">
        <v>12558</v>
      </c>
      <c r="H4102" s="7">
        <f t="shared" si="262"/>
        <v>0</v>
      </c>
      <c r="I4102" s="7" t="str" cm="1">
        <f t="array" ref="I4102">IFERROR(_xlfn.IFS(M4102="נח",1,M4102="נע ונח",1,M4102="שני שווא נח",2,M4102="שני שוואים בסוף מילה",2,M4102="שני שוואים ברצף",1),"0")</f>
        <v>0</v>
      </c>
      <c r="J4102" s="9">
        <f t="shared" si="263"/>
        <v>4</v>
      </c>
      <c r="K4102" t="s">
        <v>6698</v>
      </c>
      <c r="L4102" t="s">
        <v>6694</v>
      </c>
      <c r="M4102" t="s">
        <v>6700</v>
      </c>
      <c r="P4102" t="s">
        <v>6694</v>
      </c>
      <c r="V4102" t="s">
        <v>6694</v>
      </c>
      <c r="W4102" t="s">
        <v>6720</v>
      </c>
    </row>
    <row r="4103" spans="1:23" ht="15.6" x14ac:dyDescent="0.4">
      <c r="A4103" s="2" t="s">
        <v>854</v>
      </c>
      <c r="B4103" s="5" t="s">
        <v>10322</v>
      </c>
      <c r="C4103" s="7" t="s">
        <v>12556</v>
      </c>
      <c r="D4103" s="8">
        <f t="shared" si="260"/>
        <v>0</v>
      </c>
      <c r="E4103" s="7" t="s">
        <v>12557</v>
      </c>
      <c r="F4103" s="7">
        <f t="shared" si="261"/>
        <v>0</v>
      </c>
      <c r="G4103" s="7" t="s">
        <v>12558</v>
      </c>
      <c r="H4103" s="7">
        <f t="shared" si="262"/>
        <v>0</v>
      </c>
      <c r="I4103" s="7" cm="1">
        <f t="array" ref="I4103">IFERROR(_xlfn.IFS(M4103="נח",1,M4103="נע ונח",1,M4103="שני שווא נח",2,M4103="שני שוואים בסוף מילה",2,M4103="שני שוואים ברצף",1),"0")</f>
        <v>1</v>
      </c>
      <c r="J4103" s="9">
        <f t="shared" si="263"/>
        <v>4</v>
      </c>
      <c r="K4103" t="s">
        <v>6697</v>
      </c>
      <c r="L4103" t="s">
        <v>6694</v>
      </c>
      <c r="M4103" t="s">
        <v>6701</v>
      </c>
      <c r="O4103" t="s">
        <v>6694</v>
      </c>
      <c r="R4103" t="s">
        <v>6694</v>
      </c>
      <c r="V4103" t="s">
        <v>6694</v>
      </c>
      <c r="W4103" t="s">
        <v>6720</v>
      </c>
    </row>
    <row r="4104" spans="1:23" ht="15.6" x14ac:dyDescent="0.4">
      <c r="A4104" s="2" t="s">
        <v>3011</v>
      </c>
      <c r="B4104" s="5" t="s">
        <v>10323</v>
      </c>
      <c r="C4104" s="7" t="s">
        <v>12556</v>
      </c>
      <c r="D4104" s="8">
        <f t="shared" si="260"/>
        <v>0</v>
      </c>
      <c r="E4104" s="7" t="s">
        <v>12557</v>
      </c>
      <c r="F4104" s="7">
        <f t="shared" si="261"/>
        <v>0</v>
      </c>
      <c r="G4104" s="7" t="s">
        <v>12558</v>
      </c>
      <c r="H4104" s="7">
        <f t="shared" si="262"/>
        <v>0</v>
      </c>
      <c r="I4104" s="7" cm="1">
        <f t="array" ref="I4104">IFERROR(_xlfn.IFS(M4104="נח",1,M4104="נע ונח",1,M4104="שני שווא נח",2,M4104="שני שוואים בסוף מילה",2,M4104="שני שוואים ברצף",1),"0")</f>
        <v>1</v>
      </c>
      <c r="J4104" s="9">
        <f t="shared" si="263"/>
        <v>3</v>
      </c>
      <c r="K4104" t="s">
        <v>6698</v>
      </c>
      <c r="L4104" t="s">
        <v>6694</v>
      </c>
      <c r="M4104" t="s">
        <v>6701</v>
      </c>
      <c r="N4104" t="s">
        <v>6706</v>
      </c>
      <c r="O4104" t="s">
        <v>6694</v>
      </c>
      <c r="V4104" t="s">
        <v>6694</v>
      </c>
      <c r="W4104" t="s">
        <v>6720</v>
      </c>
    </row>
    <row r="4105" spans="1:23" ht="15.6" x14ac:dyDescent="0.4">
      <c r="A4105" s="2" t="s">
        <v>3251</v>
      </c>
      <c r="B4105" s="5" t="s">
        <v>10324</v>
      </c>
      <c r="C4105" s="7" t="s">
        <v>12556</v>
      </c>
      <c r="D4105" s="8">
        <f t="shared" si="260"/>
        <v>0</v>
      </c>
      <c r="E4105" s="7" t="s">
        <v>12557</v>
      </c>
      <c r="F4105" s="7">
        <f t="shared" si="261"/>
        <v>0</v>
      </c>
      <c r="G4105" s="7" t="s">
        <v>12558</v>
      </c>
      <c r="H4105" s="7">
        <f t="shared" si="262"/>
        <v>0</v>
      </c>
      <c r="I4105" s="7" t="str" cm="1">
        <f t="array" ref="I4105">IFERROR(_xlfn.IFS(M4105="נח",1,M4105="נע ונח",1,M4105="שני שווא נח",2,M4105="שני שוואים בסוף מילה",2,M4105="שני שוואים ברצף",1),"0")</f>
        <v>0</v>
      </c>
      <c r="J4105" s="9">
        <f t="shared" si="263"/>
        <v>2</v>
      </c>
      <c r="K4105" t="s">
        <v>6698</v>
      </c>
      <c r="L4105" t="s">
        <v>6694</v>
      </c>
      <c r="M4105" t="s">
        <v>6700</v>
      </c>
      <c r="V4105" t="s">
        <v>6694</v>
      </c>
      <c r="W4105" t="s">
        <v>6720</v>
      </c>
    </row>
    <row r="4106" spans="1:23" ht="15.6" x14ac:dyDescent="0.4">
      <c r="A4106" s="2" t="s">
        <v>6532</v>
      </c>
      <c r="B4106" s="5" t="s">
        <v>10325</v>
      </c>
      <c r="C4106" s="7" t="s">
        <v>12556</v>
      </c>
      <c r="D4106" s="8">
        <f t="shared" si="260"/>
        <v>0</v>
      </c>
      <c r="E4106" s="7" t="s">
        <v>12557</v>
      </c>
      <c r="F4106" s="7">
        <f t="shared" si="261"/>
        <v>0</v>
      </c>
      <c r="G4106" s="7" t="s">
        <v>12558</v>
      </c>
      <c r="H4106" s="7">
        <f t="shared" si="262"/>
        <v>0</v>
      </c>
      <c r="I4106" s="7" cm="1">
        <f t="array" ref="I4106">IFERROR(_xlfn.IFS(M4106="נח",1,M4106="נע ונח",1,M4106="שני שווא נח",2,M4106="שני שוואים בסוף מילה",2,M4106="שני שוואים ברצף",1),"0")</f>
        <v>1</v>
      </c>
      <c r="J4106" s="9">
        <f t="shared" si="263"/>
        <v>3</v>
      </c>
      <c r="K4106" t="s">
        <v>6697</v>
      </c>
      <c r="L4106" t="s">
        <v>6694</v>
      </c>
      <c r="M4106" t="s">
        <v>6701</v>
      </c>
      <c r="O4106" t="s">
        <v>6694</v>
      </c>
      <c r="S4106" t="s">
        <v>6694</v>
      </c>
      <c r="W4106" t="s">
        <v>6720</v>
      </c>
    </row>
    <row r="4107" spans="1:23" ht="15.6" x14ac:dyDescent="0.4">
      <c r="A4107" s="2" t="s">
        <v>2379</v>
      </c>
      <c r="B4107" s="5" t="s">
        <v>10326</v>
      </c>
      <c r="C4107" s="7" t="s">
        <v>12556</v>
      </c>
      <c r="D4107" s="8">
        <f t="shared" si="260"/>
        <v>0</v>
      </c>
      <c r="E4107" s="7" t="s">
        <v>12557</v>
      </c>
      <c r="F4107" s="7">
        <f t="shared" si="261"/>
        <v>1</v>
      </c>
      <c r="G4107" s="7" t="s">
        <v>12558</v>
      </c>
      <c r="H4107" s="7">
        <f t="shared" si="262"/>
        <v>0</v>
      </c>
      <c r="I4107" s="7" t="str" cm="1">
        <f t="array" ref="I4107">IFERROR(_xlfn.IFS(M4107="נח",1,M4107="נע ונח",1,M4107="שני שווא נח",2,M4107="שני שוואים בסוף מילה",2,M4107="שני שוואים ברצף",1),"0")</f>
        <v>0</v>
      </c>
      <c r="J4107" s="9">
        <f t="shared" si="263"/>
        <v>3</v>
      </c>
      <c r="K4107" t="s">
        <v>6697</v>
      </c>
      <c r="L4107" t="s">
        <v>6694</v>
      </c>
      <c r="M4107" t="s">
        <v>6700</v>
      </c>
      <c r="Q4107" t="s">
        <v>6694</v>
      </c>
      <c r="S4107" t="s">
        <v>6694</v>
      </c>
      <c r="W4107" t="s">
        <v>6720</v>
      </c>
    </row>
    <row r="4108" spans="1:23" ht="15.6" x14ac:dyDescent="0.4">
      <c r="A4108" s="2" t="s">
        <v>658</v>
      </c>
      <c r="B4108" s="5" t="s">
        <v>10327</v>
      </c>
      <c r="C4108" s="7" t="s">
        <v>12556</v>
      </c>
      <c r="D4108" s="8">
        <f t="shared" si="260"/>
        <v>0</v>
      </c>
      <c r="E4108" s="7" t="s">
        <v>12557</v>
      </c>
      <c r="F4108" s="7">
        <f t="shared" si="261"/>
        <v>1</v>
      </c>
      <c r="G4108" s="7" t="s">
        <v>12558</v>
      </c>
      <c r="H4108" s="7">
        <f t="shared" si="262"/>
        <v>0</v>
      </c>
      <c r="I4108" s="7" t="str" cm="1">
        <f t="array" ref="I4108">IFERROR(_xlfn.IFS(M4108="נח",1,M4108="נע ונח",1,M4108="שני שווא נח",2,M4108="שני שוואים בסוף מילה",2,M4108="שני שוואים ברצף",1),"0")</f>
        <v>0</v>
      </c>
      <c r="J4108" s="9">
        <f t="shared" si="263"/>
        <v>3</v>
      </c>
      <c r="K4108" t="s">
        <v>6698</v>
      </c>
      <c r="L4108" t="s">
        <v>6694</v>
      </c>
      <c r="M4108" t="s">
        <v>6700</v>
      </c>
      <c r="P4108" t="s">
        <v>6694</v>
      </c>
      <c r="V4108" t="s">
        <v>6694</v>
      </c>
      <c r="W4108" t="s">
        <v>6720</v>
      </c>
    </row>
    <row r="4109" spans="1:23" ht="15.6" x14ac:dyDescent="0.4">
      <c r="A4109" s="2" t="s">
        <v>380</v>
      </c>
      <c r="B4109" s="5" t="s">
        <v>10328</v>
      </c>
      <c r="C4109" s="7" t="s">
        <v>12556</v>
      </c>
      <c r="D4109" s="8">
        <f t="shared" si="260"/>
        <v>0</v>
      </c>
      <c r="E4109" s="7" t="s">
        <v>12557</v>
      </c>
      <c r="F4109" s="7">
        <f t="shared" si="261"/>
        <v>0</v>
      </c>
      <c r="G4109" s="7" t="s">
        <v>12558</v>
      </c>
      <c r="H4109" s="7">
        <f t="shared" si="262"/>
        <v>0</v>
      </c>
      <c r="I4109" s="7" t="str" cm="1">
        <f t="array" ref="I4109">IFERROR(_xlfn.IFS(M4109="נח",1,M4109="נע ונח",1,M4109="שני שווא נח",2,M4109="שני שוואים בסוף מילה",2,M4109="שני שוואים ברצף",1),"0")</f>
        <v>0</v>
      </c>
      <c r="J4109" s="9">
        <f t="shared" si="263"/>
        <v>2</v>
      </c>
      <c r="K4109" t="s">
        <v>6697</v>
      </c>
      <c r="L4109" t="s">
        <v>6694</v>
      </c>
      <c r="M4109" t="s">
        <v>6700</v>
      </c>
      <c r="O4109" t="s">
        <v>6694</v>
      </c>
      <c r="W4109" t="s">
        <v>6720</v>
      </c>
    </row>
    <row r="4110" spans="1:23" ht="15.6" x14ac:dyDescent="0.4">
      <c r="A4110" s="2" t="s">
        <v>372</v>
      </c>
      <c r="B4110" s="5" t="s">
        <v>10329</v>
      </c>
      <c r="C4110" s="7" t="s">
        <v>12556</v>
      </c>
      <c r="D4110" s="8">
        <f t="shared" si="260"/>
        <v>0</v>
      </c>
      <c r="E4110" s="7" t="s">
        <v>12557</v>
      </c>
      <c r="F4110" s="7">
        <f t="shared" si="261"/>
        <v>0</v>
      </c>
      <c r="G4110" s="7" t="s">
        <v>12558</v>
      </c>
      <c r="H4110" s="7">
        <f t="shared" si="262"/>
        <v>0</v>
      </c>
      <c r="I4110" s="7" t="str" cm="1">
        <f t="array" ref="I4110">IFERROR(_xlfn.IFS(M4110="נח",1,M4110="נע ונח",1,M4110="שני שווא נח",2,M4110="שני שוואים בסוף מילה",2,M4110="שני שוואים ברצף",1),"0")</f>
        <v>0</v>
      </c>
      <c r="J4110" s="9">
        <f t="shared" si="263"/>
        <v>2</v>
      </c>
      <c r="K4110" t="s">
        <v>6698</v>
      </c>
      <c r="L4110" t="s">
        <v>6694</v>
      </c>
      <c r="M4110" t="s">
        <v>6700</v>
      </c>
      <c r="N4110" t="s">
        <v>6706</v>
      </c>
      <c r="O4110" t="s">
        <v>6694</v>
      </c>
      <c r="W4110" t="s">
        <v>6720</v>
      </c>
    </row>
    <row r="4111" spans="1:23" ht="15.6" x14ac:dyDescent="0.4">
      <c r="A4111" s="2" t="s">
        <v>2037</v>
      </c>
      <c r="B4111" s="5" t="s">
        <v>10329</v>
      </c>
      <c r="C4111" s="7" t="s">
        <v>12556</v>
      </c>
      <c r="D4111" s="8">
        <f t="shared" si="260"/>
        <v>0</v>
      </c>
      <c r="E4111" s="7" t="s">
        <v>12557</v>
      </c>
      <c r="F4111" s="7">
        <f t="shared" si="261"/>
        <v>0</v>
      </c>
      <c r="G4111" s="7" t="s">
        <v>12558</v>
      </c>
      <c r="H4111" s="7">
        <f t="shared" si="262"/>
        <v>0</v>
      </c>
      <c r="I4111" s="7" t="str" cm="1">
        <f t="array" ref="I4111">IFERROR(_xlfn.IFS(M4111="נח",1,M4111="נע ונח",1,M4111="שני שווא נח",2,M4111="שני שוואים בסוף מילה",2,M4111="שני שוואים ברצף",1),"0")</f>
        <v>0</v>
      </c>
      <c r="J4111" s="9">
        <f t="shared" si="263"/>
        <v>2</v>
      </c>
      <c r="K4111" t="s">
        <v>6698</v>
      </c>
      <c r="L4111" t="s">
        <v>6694</v>
      </c>
      <c r="M4111" t="s">
        <v>6700</v>
      </c>
      <c r="V4111" t="s">
        <v>6694</v>
      </c>
      <c r="W4111" t="s">
        <v>6720</v>
      </c>
    </row>
    <row r="4112" spans="1:23" ht="15.6" x14ac:dyDescent="0.4">
      <c r="A4112" s="2" t="s">
        <v>1344</v>
      </c>
      <c r="B4112" s="5" t="s">
        <v>10330</v>
      </c>
      <c r="C4112" s="7" t="s">
        <v>12556</v>
      </c>
      <c r="D4112" s="8">
        <f t="shared" si="260"/>
        <v>0</v>
      </c>
      <c r="E4112" s="7" t="s">
        <v>12557</v>
      </c>
      <c r="F4112" s="7">
        <f t="shared" si="261"/>
        <v>1</v>
      </c>
      <c r="G4112" s="7" t="s">
        <v>12558</v>
      </c>
      <c r="H4112" s="7">
        <f t="shared" si="262"/>
        <v>0</v>
      </c>
      <c r="I4112" s="7" t="str" cm="1">
        <f t="array" ref="I4112">IFERROR(_xlfn.IFS(M4112="נח",1,M4112="נע ונח",1,M4112="שני שווא נח",2,M4112="שני שוואים בסוף מילה",2,M4112="שני שוואים ברצף",1),"0")</f>
        <v>0</v>
      </c>
      <c r="J4112" s="9">
        <f t="shared" si="263"/>
        <v>3</v>
      </c>
      <c r="K4112" t="s">
        <v>6698</v>
      </c>
      <c r="L4112" t="s">
        <v>6694</v>
      </c>
      <c r="M4112" t="s">
        <v>6700</v>
      </c>
      <c r="N4112" t="s">
        <v>6706</v>
      </c>
      <c r="O4112" t="s">
        <v>6694</v>
      </c>
      <c r="T4112" t="s">
        <v>6694</v>
      </c>
      <c r="W4112" t="s">
        <v>6720</v>
      </c>
    </row>
    <row r="4113" spans="1:23" ht="15.6" x14ac:dyDescent="0.4">
      <c r="A4113" s="2" t="s">
        <v>2766</v>
      </c>
      <c r="B4113" s="5" t="s">
        <v>10331</v>
      </c>
      <c r="C4113" s="7" t="s">
        <v>12556</v>
      </c>
      <c r="D4113" s="8">
        <f t="shared" si="260"/>
        <v>0</v>
      </c>
      <c r="E4113" s="7" t="s">
        <v>12557</v>
      </c>
      <c r="F4113" s="7">
        <f t="shared" si="261"/>
        <v>1</v>
      </c>
      <c r="G4113" s="7" t="s">
        <v>12558</v>
      </c>
      <c r="H4113" s="7">
        <f t="shared" si="262"/>
        <v>1</v>
      </c>
      <c r="I4113" s="7" t="str" cm="1">
        <f t="array" ref="I4113">IFERROR(_xlfn.IFS(M4113="נח",1,M4113="נע ונח",1,M4113="שני שווא נח",2,M4113="שני שוואים בסוף מילה",2,M4113="שני שוואים ברצף",1),"0")</f>
        <v>0</v>
      </c>
      <c r="J4113" s="9">
        <f t="shared" si="263"/>
        <v>2</v>
      </c>
      <c r="K4113" t="s">
        <v>6697</v>
      </c>
      <c r="L4113" t="s">
        <v>6694</v>
      </c>
      <c r="M4113" t="s">
        <v>6700</v>
      </c>
      <c r="U4113" t="s">
        <v>6694</v>
      </c>
      <c r="W4113" t="s">
        <v>6720</v>
      </c>
    </row>
    <row r="4114" spans="1:23" ht="15.6" x14ac:dyDescent="0.4">
      <c r="A4114" s="2" t="s">
        <v>6457</v>
      </c>
      <c r="B4114" s="5" t="s">
        <v>10332</v>
      </c>
      <c r="C4114" s="7" t="s">
        <v>12556</v>
      </c>
      <c r="D4114" s="8">
        <f t="shared" si="260"/>
        <v>0</v>
      </c>
      <c r="E4114" s="7" t="s">
        <v>12557</v>
      </c>
      <c r="F4114" s="7">
        <f t="shared" si="261"/>
        <v>1</v>
      </c>
      <c r="G4114" s="7" t="s">
        <v>12558</v>
      </c>
      <c r="H4114" s="7">
        <f t="shared" si="262"/>
        <v>0</v>
      </c>
      <c r="I4114" s="7" t="str" cm="1">
        <f t="array" ref="I4114">IFERROR(_xlfn.IFS(M4114="נח",1,M4114="נע ונח",1,M4114="שני שווא נח",2,M4114="שני שוואים בסוף מילה",2,M4114="שני שוואים ברצף",1),"0")</f>
        <v>0</v>
      </c>
      <c r="J4114" s="9">
        <f t="shared" si="263"/>
        <v>3</v>
      </c>
      <c r="K4114" t="s">
        <v>6698</v>
      </c>
      <c r="L4114" t="s">
        <v>6694</v>
      </c>
      <c r="M4114" t="s">
        <v>6703</v>
      </c>
      <c r="P4114" t="s">
        <v>6694</v>
      </c>
      <c r="Q4114" t="s">
        <v>6694</v>
      </c>
      <c r="W4114" t="s">
        <v>6720</v>
      </c>
    </row>
    <row r="4115" spans="1:23" ht="15.6" x14ac:dyDescent="0.4">
      <c r="A4115" s="2" t="s">
        <v>1599</v>
      </c>
      <c r="B4115" s="5" t="s">
        <v>10333</v>
      </c>
      <c r="C4115" s="7" t="s">
        <v>12556</v>
      </c>
      <c r="D4115" s="8">
        <f t="shared" si="260"/>
        <v>0</v>
      </c>
      <c r="E4115" s="7" t="s">
        <v>12557</v>
      </c>
      <c r="F4115" s="7">
        <f t="shared" si="261"/>
        <v>1</v>
      </c>
      <c r="G4115" s="7" t="s">
        <v>12558</v>
      </c>
      <c r="H4115" s="7">
        <f t="shared" si="262"/>
        <v>0</v>
      </c>
      <c r="I4115" s="7" cm="1">
        <f t="array" ref="I4115">IFERROR(_xlfn.IFS(M4115="נח",1,M4115="נע ונח",1,M4115="שני שווא נח",2,M4115="שני שוואים בסוף מילה",2,M4115="שני שוואים ברצף",1),"0")</f>
        <v>1</v>
      </c>
      <c r="J4115" s="9">
        <f t="shared" si="263"/>
        <v>3</v>
      </c>
      <c r="K4115" t="s">
        <v>6698</v>
      </c>
      <c r="L4115" t="s">
        <v>6694</v>
      </c>
      <c r="M4115" t="s">
        <v>6701</v>
      </c>
      <c r="N4115" t="s">
        <v>6706</v>
      </c>
      <c r="O4115" t="s">
        <v>6694</v>
      </c>
      <c r="S4115" t="s">
        <v>6694</v>
      </c>
      <c r="W4115" t="s">
        <v>6720</v>
      </c>
    </row>
    <row r="4116" spans="1:23" ht="15.6" x14ac:dyDescent="0.4">
      <c r="A4116" s="2" t="s">
        <v>6250</v>
      </c>
      <c r="B4116" s="5" t="s">
        <v>10334</v>
      </c>
      <c r="C4116" s="7" t="s">
        <v>12556</v>
      </c>
      <c r="D4116" s="8">
        <f t="shared" si="260"/>
        <v>0</v>
      </c>
      <c r="E4116" s="7" t="s">
        <v>12557</v>
      </c>
      <c r="F4116" s="7">
        <f t="shared" si="261"/>
        <v>0</v>
      </c>
      <c r="G4116" s="7" t="s">
        <v>12558</v>
      </c>
      <c r="H4116" s="7">
        <f t="shared" si="262"/>
        <v>0</v>
      </c>
      <c r="I4116" s="7" cm="1">
        <f t="array" ref="I4116">IFERROR(_xlfn.IFS(M4116="נח",1,M4116="נע ונח",1,M4116="שני שווא נח",2,M4116="שני שוואים בסוף מילה",2,M4116="שני שוואים ברצף",1),"0")</f>
        <v>1</v>
      </c>
      <c r="J4116" s="9">
        <f t="shared" si="263"/>
        <v>3</v>
      </c>
      <c r="K4116" t="s">
        <v>6697</v>
      </c>
      <c r="L4116" t="s">
        <v>6694</v>
      </c>
      <c r="M4116" t="s">
        <v>6701</v>
      </c>
      <c r="O4116" t="s">
        <v>6694</v>
      </c>
      <c r="S4116" t="s">
        <v>6694</v>
      </c>
      <c r="W4116" t="s">
        <v>6720</v>
      </c>
    </row>
    <row r="4117" spans="1:23" ht="15.6" x14ac:dyDescent="0.4">
      <c r="A4117" s="2" t="s">
        <v>6666</v>
      </c>
      <c r="B4117" s="5" t="s">
        <v>10335</v>
      </c>
      <c r="C4117" s="7" t="s">
        <v>12556</v>
      </c>
      <c r="D4117" s="8">
        <f t="shared" si="260"/>
        <v>1</v>
      </c>
      <c r="E4117" s="7" t="s">
        <v>12557</v>
      </c>
      <c r="F4117" s="7">
        <f t="shared" si="261"/>
        <v>1</v>
      </c>
      <c r="G4117" s="7" t="s">
        <v>12558</v>
      </c>
      <c r="H4117" s="7">
        <f t="shared" si="262"/>
        <v>0</v>
      </c>
      <c r="I4117" s="7" cm="1">
        <f t="array" ref="I4117">IFERROR(_xlfn.IFS(M4117="נח",1,M4117="נע ונח",1,M4117="שני שווא נח",2,M4117="שני שוואים בסוף מילה",2,M4117="שני שוואים ברצף",1),"0")</f>
        <v>1</v>
      </c>
      <c r="J4117" s="9">
        <f t="shared" si="263"/>
        <v>5</v>
      </c>
      <c r="K4117" t="s">
        <v>6698</v>
      </c>
      <c r="L4117" t="s">
        <v>6694</v>
      </c>
      <c r="M4117" t="s">
        <v>6701</v>
      </c>
      <c r="N4117" t="s">
        <v>6706</v>
      </c>
      <c r="O4117" t="s">
        <v>6694</v>
      </c>
      <c r="S4117" t="s">
        <v>6694</v>
      </c>
      <c r="V4117" t="s">
        <v>6694</v>
      </c>
      <c r="W4117" t="s">
        <v>6720</v>
      </c>
    </row>
    <row r="4118" spans="1:23" ht="15.6" x14ac:dyDescent="0.4">
      <c r="A4118" s="2" t="s">
        <v>1978</v>
      </c>
      <c r="B4118" s="5" t="s">
        <v>10336</v>
      </c>
      <c r="C4118" s="7" t="s">
        <v>12556</v>
      </c>
      <c r="D4118" s="8">
        <f t="shared" si="260"/>
        <v>1</v>
      </c>
      <c r="E4118" s="7" t="s">
        <v>12557</v>
      </c>
      <c r="F4118" s="7">
        <f t="shared" si="261"/>
        <v>0</v>
      </c>
      <c r="G4118" s="7" t="s">
        <v>12558</v>
      </c>
      <c r="H4118" s="7">
        <f t="shared" si="262"/>
        <v>0</v>
      </c>
      <c r="I4118" s="7" cm="1">
        <f t="array" ref="I4118">IFERROR(_xlfn.IFS(M4118="נח",1,M4118="נע ונח",1,M4118="שני שווא נח",2,M4118="שני שוואים בסוף מילה",2,M4118="שני שוואים ברצף",1),"0")</f>
        <v>1</v>
      </c>
      <c r="J4118" s="9">
        <f t="shared" si="263"/>
        <v>3</v>
      </c>
      <c r="K4118" t="s">
        <v>6698</v>
      </c>
      <c r="L4118" t="s">
        <v>6694</v>
      </c>
      <c r="M4118" t="s">
        <v>6701</v>
      </c>
      <c r="N4118" t="s">
        <v>6706</v>
      </c>
      <c r="O4118" t="s">
        <v>6694</v>
      </c>
      <c r="S4118" t="s">
        <v>6694</v>
      </c>
      <c r="W4118" t="s">
        <v>6720</v>
      </c>
    </row>
    <row r="4119" spans="1:23" ht="15.6" x14ac:dyDescent="0.4">
      <c r="A4119" s="2" t="s">
        <v>2102</v>
      </c>
      <c r="B4119" s="5" t="s">
        <v>10337</v>
      </c>
      <c r="C4119" s="7" t="s">
        <v>12556</v>
      </c>
      <c r="D4119" s="8">
        <f t="shared" si="260"/>
        <v>1</v>
      </c>
      <c r="E4119" s="7" t="s">
        <v>12557</v>
      </c>
      <c r="F4119" s="7">
        <f t="shared" si="261"/>
        <v>1</v>
      </c>
      <c r="G4119" s="7" t="s">
        <v>12558</v>
      </c>
      <c r="H4119" s="7">
        <f t="shared" si="262"/>
        <v>0</v>
      </c>
      <c r="I4119" s="7" cm="1">
        <f t="array" ref="I4119">IFERROR(_xlfn.IFS(M4119="נח",1,M4119="נע ונח",1,M4119="שני שווא נח",2,M4119="שני שוואים בסוף מילה",2,M4119="שני שוואים ברצף",1),"0")</f>
        <v>1</v>
      </c>
      <c r="J4119" s="9">
        <f t="shared" si="263"/>
        <v>4</v>
      </c>
      <c r="K4119" t="s">
        <v>6697</v>
      </c>
      <c r="L4119" t="s">
        <v>6694</v>
      </c>
      <c r="M4119" t="s">
        <v>6701</v>
      </c>
      <c r="O4119" t="s">
        <v>6694</v>
      </c>
      <c r="S4119" t="s">
        <v>6694</v>
      </c>
      <c r="W4119" t="s">
        <v>6720</v>
      </c>
    </row>
    <row r="4120" spans="1:23" ht="15.6" x14ac:dyDescent="0.4">
      <c r="A4120" s="2" t="s">
        <v>149</v>
      </c>
      <c r="B4120" s="5" t="s">
        <v>10338</v>
      </c>
      <c r="C4120" s="7" t="s">
        <v>12556</v>
      </c>
      <c r="D4120" s="8">
        <f t="shared" si="260"/>
        <v>1</v>
      </c>
      <c r="E4120" s="7" t="s">
        <v>12557</v>
      </c>
      <c r="F4120" s="7">
        <f t="shared" si="261"/>
        <v>1</v>
      </c>
      <c r="G4120" s="7" t="s">
        <v>12558</v>
      </c>
      <c r="H4120" s="7">
        <f t="shared" si="262"/>
        <v>0</v>
      </c>
      <c r="I4120" s="7" cm="1">
        <f t="array" ref="I4120">IFERROR(_xlfn.IFS(M4120="נח",1,M4120="נע ונח",1,M4120="שני שווא נח",2,M4120="שני שוואים בסוף מילה",2,M4120="שני שוואים ברצף",1),"0")</f>
        <v>1</v>
      </c>
      <c r="J4120" s="9">
        <f t="shared" si="263"/>
        <v>3</v>
      </c>
      <c r="K4120" t="s">
        <v>6698</v>
      </c>
      <c r="L4120" t="s">
        <v>6694</v>
      </c>
      <c r="M4120" t="s">
        <v>6701</v>
      </c>
      <c r="N4120" t="s">
        <v>6706</v>
      </c>
      <c r="O4120" t="s">
        <v>6694</v>
      </c>
      <c r="S4120" t="s">
        <v>6694</v>
      </c>
      <c r="W4120" t="s">
        <v>6720</v>
      </c>
    </row>
    <row r="4121" spans="1:23" ht="15.6" x14ac:dyDescent="0.4">
      <c r="A4121" s="2" t="s">
        <v>3070</v>
      </c>
      <c r="B4121" s="5" t="s">
        <v>10339</v>
      </c>
      <c r="C4121" s="7" t="s">
        <v>12556</v>
      </c>
      <c r="D4121" s="8">
        <f t="shared" si="260"/>
        <v>0</v>
      </c>
      <c r="E4121" s="7" t="s">
        <v>12557</v>
      </c>
      <c r="F4121" s="7">
        <f t="shared" si="261"/>
        <v>0</v>
      </c>
      <c r="G4121" s="7" t="s">
        <v>12558</v>
      </c>
      <c r="H4121" s="7">
        <f t="shared" si="262"/>
        <v>0</v>
      </c>
      <c r="I4121" s="7" cm="1">
        <f t="array" ref="I4121">IFERROR(_xlfn.IFS(M4121="נח",1,M4121="נע ונח",1,M4121="שני שווא נח",2,M4121="שני שוואים בסוף מילה",2,M4121="שני שוואים ברצף",1),"0")</f>
        <v>1</v>
      </c>
      <c r="J4121" s="9">
        <f t="shared" si="263"/>
        <v>3</v>
      </c>
      <c r="K4121" t="s">
        <v>6698</v>
      </c>
      <c r="L4121" t="s">
        <v>6694</v>
      </c>
      <c r="M4121" t="s">
        <v>6701</v>
      </c>
      <c r="R4121" t="s">
        <v>6694</v>
      </c>
      <c r="W4121" t="s">
        <v>6720</v>
      </c>
    </row>
    <row r="4122" spans="1:23" ht="15.6" x14ac:dyDescent="0.4">
      <c r="A4122" s="2" t="s">
        <v>1777</v>
      </c>
      <c r="B4122" s="5" t="s">
        <v>10340</v>
      </c>
      <c r="C4122" s="7" t="s">
        <v>12556</v>
      </c>
      <c r="D4122" s="8">
        <f t="shared" si="260"/>
        <v>1</v>
      </c>
      <c r="E4122" s="7" t="s">
        <v>12557</v>
      </c>
      <c r="F4122" s="7">
        <f t="shared" si="261"/>
        <v>0</v>
      </c>
      <c r="G4122" s="7" t="s">
        <v>12558</v>
      </c>
      <c r="H4122" s="7">
        <f t="shared" si="262"/>
        <v>0</v>
      </c>
      <c r="I4122" s="7" cm="1">
        <f t="array" ref="I4122">IFERROR(_xlfn.IFS(M4122="נח",1,M4122="נע ונח",1,M4122="שני שווא נח",2,M4122="שני שוואים בסוף מילה",2,M4122="שני שוואים ברצף",1),"0")</f>
        <v>1</v>
      </c>
      <c r="J4122" s="9">
        <f t="shared" si="263"/>
        <v>4</v>
      </c>
      <c r="K4122" t="s">
        <v>6698</v>
      </c>
      <c r="L4122" t="s">
        <v>6694</v>
      </c>
      <c r="M4122" t="s">
        <v>6701</v>
      </c>
      <c r="R4122" t="s">
        <v>6694</v>
      </c>
      <c r="V4122" t="s">
        <v>6694</v>
      </c>
      <c r="W4122" t="s">
        <v>6720</v>
      </c>
    </row>
    <row r="4123" spans="1:23" ht="15.6" x14ac:dyDescent="0.4">
      <c r="A4123" s="2" t="s">
        <v>1774</v>
      </c>
      <c r="B4123" s="5" t="s">
        <v>10341</v>
      </c>
      <c r="C4123" s="7" t="s">
        <v>12556</v>
      </c>
      <c r="D4123" s="8">
        <f t="shared" si="260"/>
        <v>1</v>
      </c>
      <c r="E4123" s="7" t="s">
        <v>12557</v>
      </c>
      <c r="F4123" s="7">
        <f t="shared" si="261"/>
        <v>0</v>
      </c>
      <c r="G4123" s="7" t="s">
        <v>12558</v>
      </c>
      <c r="H4123" s="7">
        <f t="shared" si="262"/>
        <v>0</v>
      </c>
      <c r="I4123" s="7" cm="1">
        <f t="array" ref="I4123">IFERROR(_xlfn.IFS(M4123="נח",1,M4123="נע ונח",1,M4123="שני שווא נח",2,M4123="שני שוואים בסוף מילה",2,M4123="שני שוואים ברצף",1),"0")</f>
        <v>1</v>
      </c>
      <c r="J4123" s="9">
        <f t="shared" si="263"/>
        <v>4</v>
      </c>
      <c r="K4123" t="s">
        <v>6698</v>
      </c>
      <c r="L4123" t="s">
        <v>6694</v>
      </c>
      <c r="M4123" t="s">
        <v>6701</v>
      </c>
      <c r="R4123" t="s">
        <v>6694</v>
      </c>
      <c r="W4123" t="s">
        <v>6720</v>
      </c>
    </row>
    <row r="4124" spans="1:23" ht="15.6" x14ac:dyDescent="0.4">
      <c r="A4124" s="2" t="s">
        <v>6568</v>
      </c>
      <c r="B4124" s="5" t="s">
        <v>10342</v>
      </c>
      <c r="C4124" s="7" t="s">
        <v>12556</v>
      </c>
      <c r="D4124" s="8">
        <f t="shared" si="260"/>
        <v>0</v>
      </c>
      <c r="E4124" s="7" t="s">
        <v>12557</v>
      </c>
      <c r="F4124" s="7">
        <f t="shared" si="261"/>
        <v>0</v>
      </c>
      <c r="G4124" s="7" t="s">
        <v>12558</v>
      </c>
      <c r="H4124" s="7">
        <f t="shared" si="262"/>
        <v>0</v>
      </c>
      <c r="I4124" s="7" cm="1">
        <f t="array" ref="I4124">IFERROR(_xlfn.IFS(M4124="נח",1,M4124="נע ונח",1,M4124="שני שווא נח",2,M4124="שני שוואים בסוף מילה",2,M4124="שני שוואים ברצף",1),"0")</f>
        <v>1</v>
      </c>
      <c r="J4124" s="9">
        <f t="shared" si="263"/>
        <v>4</v>
      </c>
      <c r="K4124" t="s">
        <v>6698</v>
      </c>
      <c r="L4124" t="s">
        <v>6694</v>
      </c>
      <c r="M4124" t="s">
        <v>6701</v>
      </c>
      <c r="P4124" t="s">
        <v>6694</v>
      </c>
      <c r="Q4124" t="s">
        <v>6694</v>
      </c>
      <c r="V4124" t="s">
        <v>6694</v>
      </c>
      <c r="W4124" t="s">
        <v>6720</v>
      </c>
    </row>
    <row r="4125" spans="1:23" ht="15.6" x14ac:dyDescent="0.4">
      <c r="A4125" s="2" t="s">
        <v>1779</v>
      </c>
      <c r="B4125" s="5" t="s">
        <v>10343</v>
      </c>
      <c r="C4125" s="7" t="s">
        <v>12556</v>
      </c>
      <c r="D4125" s="8">
        <f t="shared" si="260"/>
        <v>0</v>
      </c>
      <c r="E4125" s="7" t="s">
        <v>12557</v>
      </c>
      <c r="F4125" s="7">
        <f t="shared" si="261"/>
        <v>1</v>
      </c>
      <c r="G4125" s="7" t="s">
        <v>12558</v>
      </c>
      <c r="H4125" s="7">
        <f t="shared" si="262"/>
        <v>0</v>
      </c>
      <c r="I4125" s="7" t="str" cm="1">
        <f t="array" ref="I4125">IFERROR(_xlfn.IFS(M4125="נח",1,M4125="נע ונח",1,M4125="שני שווא נח",2,M4125="שני שוואים בסוף מילה",2,M4125="שני שוואים ברצף",1),"0")</f>
        <v>0</v>
      </c>
      <c r="J4125" s="9">
        <f t="shared" si="263"/>
        <v>3</v>
      </c>
      <c r="K4125" t="s">
        <v>6697</v>
      </c>
      <c r="L4125" t="s">
        <v>6694</v>
      </c>
      <c r="M4125" t="s">
        <v>6700</v>
      </c>
      <c r="P4125" t="s">
        <v>6694</v>
      </c>
      <c r="Q4125" t="s">
        <v>6694</v>
      </c>
      <c r="W4125" t="s">
        <v>6720</v>
      </c>
    </row>
    <row r="4126" spans="1:23" ht="15.6" x14ac:dyDescent="0.4">
      <c r="A4126" s="2" t="s">
        <v>4720</v>
      </c>
      <c r="B4126" s="5" t="s">
        <v>10344</v>
      </c>
      <c r="C4126" s="7" t="s">
        <v>12556</v>
      </c>
      <c r="D4126" s="8">
        <f t="shared" si="260"/>
        <v>0</v>
      </c>
      <c r="E4126" s="7" t="s">
        <v>12557</v>
      </c>
      <c r="F4126" s="7">
        <f t="shared" si="261"/>
        <v>0</v>
      </c>
      <c r="G4126" s="7" t="s">
        <v>12558</v>
      </c>
      <c r="H4126" s="7">
        <f t="shared" si="262"/>
        <v>0</v>
      </c>
      <c r="I4126" s="7" cm="1">
        <f t="array" ref="I4126">IFERROR(_xlfn.IFS(M4126="נח",1,M4126="נע ונח",1,M4126="שני שווא נח",2,M4126="שני שוואים בסוף מילה",2,M4126="שני שוואים ברצף",1),"0")</f>
        <v>1</v>
      </c>
      <c r="J4126" s="9">
        <f t="shared" si="263"/>
        <v>3</v>
      </c>
      <c r="K4126" t="s">
        <v>6698</v>
      </c>
      <c r="L4126" t="s">
        <v>6694</v>
      </c>
      <c r="M4126" t="s">
        <v>6701</v>
      </c>
      <c r="P4126" t="s">
        <v>6694</v>
      </c>
      <c r="Q4126" t="s">
        <v>6694</v>
      </c>
      <c r="W4126" t="s">
        <v>6720</v>
      </c>
    </row>
    <row r="4127" spans="1:23" ht="15.6" x14ac:dyDescent="0.4">
      <c r="A4127" s="2" t="s">
        <v>3808</v>
      </c>
      <c r="B4127" s="5" t="s">
        <v>10345</v>
      </c>
      <c r="C4127" s="7" t="s">
        <v>12556</v>
      </c>
      <c r="D4127" s="8">
        <f t="shared" si="260"/>
        <v>0</v>
      </c>
      <c r="E4127" s="7" t="s">
        <v>12557</v>
      </c>
      <c r="F4127" s="7">
        <f t="shared" si="261"/>
        <v>2</v>
      </c>
      <c r="G4127" s="7" t="s">
        <v>12558</v>
      </c>
      <c r="H4127" s="7">
        <f t="shared" si="262"/>
        <v>1</v>
      </c>
      <c r="I4127" s="7" cm="1">
        <f t="array" ref="I4127">IFERROR(_xlfn.IFS(M4127="נח",1,M4127="נע ונח",1,M4127="שני שווא נח",2,M4127="שני שוואים בסוף מילה",2,M4127="שני שוואים ברצף",1),"0")</f>
        <v>1</v>
      </c>
      <c r="J4127" s="9">
        <f t="shared" si="263"/>
        <v>4</v>
      </c>
      <c r="K4127" t="s">
        <v>6697</v>
      </c>
      <c r="L4127" t="s">
        <v>6694</v>
      </c>
      <c r="M4127" t="s">
        <v>6701</v>
      </c>
      <c r="P4127" t="s">
        <v>6694</v>
      </c>
      <c r="Q4127" t="s">
        <v>6694</v>
      </c>
      <c r="U4127" t="s">
        <v>6694</v>
      </c>
      <c r="W4127" t="s">
        <v>6720</v>
      </c>
    </row>
    <row r="4128" spans="1:23" ht="15.6" x14ac:dyDescent="0.4">
      <c r="A4128" s="2" t="s">
        <v>6074</v>
      </c>
      <c r="B4128" s="5" t="s">
        <v>10346</v>
      </c>
      <c r="C4128" s="7" t="s">
        <v>12556</v>
      </c>
      <c r="D4128" s="8">
        <f t="shared" si="260"/>
        <v>0</v>
      </c>
      <c r="E4128" s="7" t="s">
        <v>12557</v>
      </c>
      <c r="F4128" s="7">
        <f t="shared" si="261"/>
        <v>1</v>
      </c>
      <c r="G4128" s="7" t="s">
        <v>12558</v>
      </c>
      <c r="H4128" s="7">
        <f t="shared" si="262"/>
        <v>0</v>
      </c>
      <c r="I4128" s="7" t="str" cm="1">
        <f t="array" ref="I4128">IFERROR(_xlfn.IFS(M4128="נח",1,M4128="נע ונח",1,M4128="שני שווא נח",2,M4128="שני שוואים בסוף מילה",2,M4128="שני שוואים ברצף",1),"0")</f>
        <v>0</v>
      </c>
      <c r="J4128" s="9">
        <f t="shared" si="263"/>
        <v>4</v>
      </c>
      <c r="K4128" t="s">
        <v>6697</v>
      </c>
      <c r="L4128" t="s">
        <v>6694</v>
      </c>
      <c r="M4128" t="s">
        <v>6700</v>
      </c>
      <c r="O4128" t="s">
        <v>6694</v>
      </c>
      <c r="P4128" t="s">
        <v>6694</v>
      </c>
      <c r="Q4128" t="s">
        <v>6694</v>
      </c>
      <c r="W4128" t="s">
        <v>6720</v>
      </c>
    </row>
    <row r="4129" spans="1:23" ht="15.6" x14ac:dyDescent="0.4">
      <c r="A4129" s="2" t="s">
        <v>587</v>
      </c>
      <c r="B4129" s="5" t="s">
        <v>10347</v>
      </c>
      <c r="C4129" s="7" t="s">
        <v>12556</v>
      </c>
      <c r="D4129" s="8">
        <f t="shared" si="260"/>
        <v>0</v>
      </c>
      <c r="E4129" s="7" t="s">
        <v>12557</v>
      </c>
      <c r="F4129" s="7">
        <f t="shared" si="261"/>
        <v>0</v>
      </c>
      <c r="G4129" s="7" t="s">
        <v>12558</v>
      </c>
      <c r="H4129" s="7">
        <f t="shared" si="262"/>
        <v>0</v>
      </c>
      <c r="I4129" s="7" cm="1">
        <f t="array" ref="I4129">IFERROR(_xlfn.IFS(M4129="נח",1,M4129="נע ונח",1,M4129="שני שווא נח",2,M4129="שני שוואים בסוף מילה",2,M4129="שני שוואים ברצף",1),"0")</f>
        <v>1</v>
      </c>
      <c r="J4129" s="9">
        <f t="shared" si="263"/>
        <v>4</v>
      </c>
      <c r="K4129" t="s">
        <v>6697</v>
      </c>
      <c r="L4129" t="s">
        <v>6694</v>
      </c>
      <c r="M4129" t="s">
        <v>6702</v>
      </c>
      <c r="P4129" t="s">
        <v>6694</v>
      </c>
      <c r="V4129" t="s">
        <v>6694</v>
      </c>
      <c r="W4129" t="s">
        <v>6720</v>
      </c>
    </row>
    <row r="4130" spans="1:23" ht="15.6" x14ac:dyDescent="0.4">
      <c r="A4130" s="2" t="s">
        <v>238</v>
      </c>
      <c r="B4130" s="5" t="s">
        <v>10348</v>
      </c>
      <c r="C4130" s="7" t="s">
        <v>12556</v>
      </c>
      <c r="D4130" s="8">
        <f t="shared" si="260"/>
        <v>0</v>
      </c>
      <c r="E4130" s="7" t="s">
        <v>12557</v>
      </c>
      <c r="F4130" s="7">
        <f t="shared" si="261"/>
        <v>0</v>
      </c>
      <c r="G4130" s="7" t="s">
        <v>12558</v>
      </c>
      <c r="H4130" s="7">
        <f t="shared" si="262"/>
        <v>0</v>
      </c>
      <c r="I4130" s="7" t="str" cm="1">
        <f t="array" ref="I4130">IFERROR(_xlfn.IFS(M4130="נח",1,M4130="נע ונח",1,M4130="שני שווא נח",2,M4130="שני שוואים בסוף מילה",2,M4130="שני שוואים ברצף",1),"0")</f>
        <v>0</v>
      </c>
      <c r="J4130" s="9">
        <f t="shared" si="263"/>
        <v>3</v>
      </c>
      <c r="K4130" t="s">
        <v>6698</v>
      </c>
      <c r="L4130" t="s">
        <v>6694</v>
      </c>
      <c r="M4130" t="s">
        <v>6700</v>
      </c>
      <c r="P4130" t="s">
        <v>6694</v>
      </c>
      <c r="W4130" t="s">
        <v>6720</v>
      </c>
    </row>
    <row r="4131" spans="1:23" ht="15.6" x14ac:dyDescent="0.4">
      <c r="A4131" s="2" t="s">
        <v>5636</v>
      </c>
      <c r="B4131" s="5" t="s">
        <v>10349</v>
      </c>
      <c r="C4131" s="7" t="s">
        <v>12556</v>
      </c>
      <c r="D4131" s="8">
        <f t="shared" si="260"/>
        <v>1</v>
      </c>
      <c r="E4131" s="7" t="s">
        <v>12557</v>
      </c>
      <c r="F4131" s="7">
        <f t="shared" si="261"/>
        <v>1</v>
      </c>
      <c r="G4131" s="7" t="s">
        <v>12558</v>
      </c>
      <c r="H4131" s="7">
        <f t="shared" si="262"/>
        <v>0</v>
      </c>
      <c r="I4131" s="7" t="str" cm="1">
        <f t="array" ref="I4131">IFERROR(_xlfn.IFS(M4131="נח",1,M4131="נע ונח",1,M4131="שני שווא נח",2,M4131="שני שוואים בסוף מילה",2,M4131="שני שוואים ברצף",1),"0")</f>
        <v>0</v>
      </c>
      <c r="J4131" s="9">
        <f t="shared" si="263"/>
        <v>4</v>
      </c>
      <c r="K4131" t="s">
        <v>6698</v>
      </c>
      <c r="L4131" t="s">
        <v>6694</v>
      </c>
      <c r="M4131" t="s">
        <v>6700</v>
      </c>
      <c r="P4131" t="s">
        <v>6694</v>
      </c>
      <c r="T4131" t="s">
        <v>6694</v>
      </c>
      <c r="V4131" t="s">
        <v>6694</v>
      </c>
      <c r="W4131" t="s">
        <v>6720</v>
      </c>
    </row>
    <row r="4132" spans="1:23" ht="15.6" x14ac:dyDescent="0.4">
      <c r="A4132" s="2" t="s">
        <v>6615</v>
      </c>
      <c r="B4132" s="5" t="s">
        <v>10350</v>
      </c>
      <c r="C4132" s="7" t="s">
        <v>12556</v>
      </c>
      <c r="D4132" s="8">
        <f t="shared" si="260"/>
        <v>1</v>
      </c>
      <c r="E4132" s="7" t="s">
        <v>12557</v>
      </c>
      <c r="F4132" s="7">
        <f t="shared" si="261"/>
        <v>2</v>
      </c>
      <c r="G4132" s="7" t="s">
        <v>12558</v>
      </c>
      <c r="H4132" s="7">
        <f t="shared" si="262"/>
        <v>1</v>
      </c>
      <c r="I4132" s="7" t="str" cm="1">
        <f t="array" ref="I4132">IFERROR(_xlfn.IFS(M4132="נח",1,M4132="נע ונח",1,M4132="שני שווא נח",2,M4132="שני שוואים בסוף מילה",2,M4132="שני שוואים ברצף",1),"0")</f>
        <v>0</v>
      </c>
      <c r="J4132" s="9">
        <f t="shared" si="263"/>
        <v>4</v>
      </c>
      <c r="K4132" t="s">
        <v>6698</v>
      </c>
      <c r="L4132" t="s">
        <v>6694</v>
      </c>
      <c r="M4132" t="s">
        <v>6700</v>
      </c>
      <c r="P4132" t="s">
        <v>6694</v>
      </c>
      <c r="U4132" t="s">
        <v>6694</v>
      </c>
      <c r="V4132" t="s">
        <v>6694</v>
      </c>
      <c r="W4132" t="s">
        <v>6720</v>
      </c>
    </row>
    <row r="4133" spans="1:23" ht="15.6" x14ac:dyDescent="0.4">
      <c r="A4133" s="2" t="s">
        <v>1928</v>
      </c>
      <c r="B4133" s="5" t="s">
        <v>10351</v>
      </c>
      <c r="C4133" s="7" t="s">
        <v>12556</v>
      </c>
      <c r="D4133" s="8">
        <f t="shared" si="260"/>
        <v>0</v>
      </c>
      <c r="E4133" s="7" t="s">
        <v>12557</v>
      </c>
      <c r="F4133" s="7">
        <f t="shared" si="261"/>
        <v>0</v>
      </c>
      <c r="G4133" s="7" t="s">
        <v>12558</v>
      </c>
      <c r="H4133" s="7">
        <f t="shared" si="262"/>
        <v>0</v>
      </c>
      <c r="I4133" s="7" t="str" cm="1">
        <f t="array" ref="I4133">IFERROR(_xlfn.IFS(M4133="נח",1,M4133="נע ונח",1,M4133="שני שווא נח",2,M4133="שני שוואים בסוף מילה",2,M4133="שני שוואים ברצף",1),"0")</f>
        <v>0</v>
      </c>
      <c r="J4133" s="9">
        <f t="shared" si="263"/>
        <v>3</v>
      </c>
      <c r="K4133" t="s">
        <v>6698</v>
      </c>
      <c r="L4133" t="s">
        <v>6694</v>
      </c>
      <c r="M4133" t="s">
        <v>6700</v>
      </c>
      <c r="O4133" t="s">
        <v>6694</v>
      </c>
      <c r="V4133" t="s">
        <v>6694</v>
      </c>
      <c r="W4133" t="s">
        <v>6720</v>
      </c>
    </row>
    <row r="4134" spans="1:23" ht="15.6" x14ac:dyDescent="0.4">
      <c r="A4134" s="2" t="s">
        <v>5643</v>
      </c>
      <c r="B4134" s="5" t="s">
        <v>10352</v>
      </c>
      <c r="C4134" s="7" t="s">
        <v>12556</v>
      </c>
      <c r="D4134" s="8">
        <f t="shared" si="260"/>
        <v>0</v>
      </c>
      <c r="E4134" s="7" t="s">
        <v>12557</v>
      </c>
      <c r="F4134" s="7">
        <f t="shared" si="261"/>
        <v>0</v>
      </c>
      <c r="G4134" s="7" t="s">
        <v>12558</v>
      </c>
      <c r="H4134" s="7">
        <f t="shared" si="262"/>
        <v>0</v>
      </c>
      <c r="I4134" s="7" cm="1">
        <f t="array" ref="I4134">IFERROR(_xlfn.IFS(M4134="נח",1,M4134="נע ונח",1,M4134="שני שווא נח",2,M4134="שני שוואים בסוף מילה",2,M4134="שני שוואים ברצף",1),"0")</f>
        <v>1</v>
      </c>
      <c r="J4134" s="9">
        <f t="shared" si="263"/>
        <v>3</v>
      </c>
      <c r="K4134" t="s">
        <v>6697</v>
      </c>
      <c r="L4134" t="s">
        <v>6694</v>
      </c>
      <c r="M4134" t="s">
        <v>6701</v>
      </c>
      <c r="N4134" t="s">
        <v>6706</v>
      </c>
      <c r="O4134" t="s">
        <v>6694</v>
      </c>
      <c r="W4134" t="s">
        <v>6720</v>
      </c>
    </row>
    <row r="4135" spans="1:23" ht="15.6" x14ac:dyDescent="0.4">
      <c r="A4135" s="2" t="s">
        <v>3818</v>
      </c>
      <c r="B4135" s="5" t="s">
        <v>10353</v>
      </c>
      <c r="C4135" s="7" t="s">
        <v>12556</v>
      </c>
      <c r="D4135" s="8">
        <f t="shared" si="260"/>
        <v>1</v>
      </c>
      <c r="E4135" s="7" t="s">
        <v>12557</v>
      </c>
      <c r="F4135" s="7">
        <f t="shared" si="261"/>
        <v>0</v>
      </c>
      <c r="G4135" s="7" t="s">
        <v>12558</v>
      </c>
      <c r="H4135" s="7">
        <f t="shared" si="262"/>
        <v>0</v>
      </c>
      <c r="I4135" s="7" t="str" cm="1">
        <f t="array" ref="I4135">IFERROR(_xlfn.IFS(M4135="נח",1,M4135="נע ונח",1,M4135="שני שווא נח",2,M4135="שני שוואים בסוף מילה",2,M4135="שני שוואים ברצף",1),"0")</f>
        <v>0</v>
      </c>
      <c r="J4135" s="9">
        <f t="shared" si="263"/>
        <v>3</v>
      </c>
      <c r="K4135" t="s">
        <v>6698</v>
      </c>
      <c r="L4135" t="s">
        <v>6694</v>
      </c>
      <c r="M4135" t="s">
        <v>6700</v>
      </c>
      <c r="N4135" t="s">
        <v>6706</v>
      </c>
      <c r="O4135" t="s">
        <v>6694</v>
      </c>
      <c r="W4135" t="s">
        <v>6720</v>
      </c>
    </row>
    <row r="4136" spans="1:23" ht="15.6" x14ac:dyDescent="0.4">
      <c r="A4136" s="2" t="s">
        <v>1074</v>
      </c>
      <c r="B4136" s="5" t="s">
        <v>10354</v>
      </c>
      <c r="C4136" s="7" t="s">
        <v>12556</v>
      </c>
      <c r="D4136" s="8">
        <f t="shared" si="260"/>
        <v>1</v>
      </c>
      <c r="E4136" s="7" t="s">
        <v>12557</v>
      </c>
      <c r="F4136" s="7">
        <f t="shared" si="261"/>
        <v>0</v>
      </c>
      <c r="G4136" s="7" t="s">
        <v>12558</v>
      </c>
      <c r="H4136" s="7">
        <f t="shared" si="262"/>
        <v>0</v>
      </c>
      <c r="I4136" s="7" t="str" cm="1">
        <f t="array" ref="I4136">IFERROR(_xlfn.IFS(M4136="נח",1,M4136="נע ונח",1,M4136="שני שווא נח",2,M4136="שני שוואים בסוף מילה",2,M4136="שני שוואים ברצף",1),"0")</f>
        <v>0</v>
      </c>
      <c r="J4136" s="9">
        <f t="shared" si="263"/>
        <v>3</v>
      </c>
      <c r="K4136" t="s">
        <v>6697</v>
      </c>
      <c r="L4136" t="s">
        <v>6694</v>
      </c>
      <c r="M4136" t="s">
        <v>6700</v>
      </c>
      <c r="R4136" t="s">
        <v>6694</v>
      </c>
      <c r="V4136" t="s">
        <v>6694</v>
      </c>
      <c r="W4136" t="s">
        <v>6720</v>
      </c>
    </row>
    <row r="4137" spans="1:23" ht="15.6" x14ac:dyDescent="0.4">
      <c r="A4137" s="2" t="s">
        <v>1796</v>
      </c>
      <c r="B4137" s="5" t="s">
        <v>10355</v>
      </c>
      <c r="C4137" s="7" t="s">
        <v>12556</v>
      </c>
      <c r="D4137" s="8">
        <f t="shared" si="260"/>
        <v>0</v>
      </c>
      <c r="E4137" s="7" t="s">
        <v>12557</v>
      </c>
      <c r="F4137" s="7">
        <f t="shared" si="261"/>
        <v>0</v>
      </c>
      <c r="G4137" s="7" t="s">
        <v>12558</v>
      </c>
      <c r="H4137" s="7">
        <f t="shared" si="262"/>
        <v>0</v>
      </c>
      <c r="I4137" s="7" cm="1">
        <f t="array" ref="I4137">IFERROR(_xlfn.IFS(M4137="נח",1,M4137="נע ונח",1,M4137="שני שווא נח",2,M4137="שני שוואים בסוף מילה",2,M4137="שני שוואים ברצף",1),"0")</f>
        <v>1</v>
      </c>
      <c r="J4137" s="9">
        <f t="shared" si="263"/>
        <v>3</v>
      </c>
      <c r="K4137" t="s">
        <v>6698</v>
      </c>
      <c r="L4137" t="s">
        <v>6694</v>
      </c>
      <c r="M4137" t="s">
        <v>6701</v>
      </c>
      <c r="S4137" t="s">
        <v>6694</v>
      </c>
      <c r="V4137" t="s">
        <v>6694</v>
      </c>
      <c r="W4137" t="s">
        <v>6720</v>
      </c>
    </row>
    <row r="4138" spans="1:23" ht="15.6" x14ac:dyDescent="0.4">
      <c r="A4138" s="2" t="s">
        <v>6009</v>
      </c>
      <c r="B4138" s="5" t="s">
        <v>10356</v>
      </c>
      <c r="C4138" s="7" t="s">
        <v>12556</v>
      </c>
      <c r="D4138" s="8">
        <f t="shared" si="260"/>
        <v>0</v>
      </c>
      <c r="E4138" s="7" t="s">
        <v>12557</v>
      </c>
      <c r="F4138" s="7">
        <f t="shared" si="261"/>
        <v>0</v>
      </c>
      <c r="G4138" s="7" t="s">
        <v>12558</v>
      </c>
      <c r="H4138" s="7">
        <f t="shared" si="262"/>
        <v>0</v>
      </c>
      <c r="I4138" s="7" t="str" cm="1">
        <f t="array" ref="I4138">IFERROR(_xlfn.IFS(M4138="נח",1,M4138="נע ונח",1,M4138="שני שווא נח",2,M4138="שני שוואים בסוף מילה",2,M4138="שני שוואים ברצף",1),"0")</f>
        <v>0</v>
      </c>
      <c r="J4138" s="9">
        <f t="shared" si="263"/>
        <v>4</v>
      </c>
      <c r="K4138" t="s">
        <v>6698</v>
      </c>
      <c r="L4138" t="s">
        <v>6694</v>
      </c>
      <c r="M4138" t="s">
        <v>6700</v>
      </c>
      <c r="N4138" t="s">
        <v>6706</v>
      </c>
      <c r="O4138" t="s">
        <v>6694</v>
      </c>
      <c r="Q4138" t="s">
        <v>6694</v>
      </c>
      <c r="V4138" t="s">
        <v>6694</v>
      </c>
      <c r="W4138" t="s">
        <v>6720</v>
      </c>
    </row>
    <row r="4139" spans="1:23" ht="15.6" x14ac:dyDescent="0.4">
      <c r="A4139" s="2" t="s">
        <v>709</v>
      </c>
      <c r="B4139" s="5" t="s">
        <v>10357</v>
      </c>
      <c r="C4139" s="7" t="s">
        <v>12556</v>
      </c>
      <c r="D4139" s="8">
        <f t="shared" si="260"/>
        <v>0</v>
      </c>
      <c r="E4139" s="7" t="s">
        <v>12557</v>
      </c>
      <c r="F4139" s="7">
        <f t="shared" si="261"/>
        <v>0</v>
      </c>
      <c r="G4139" s="7" t="s">
        <v>12558</v>
      </c>
      <c r="H4139" s="7">
        <f t="shared" si="262"/>
        <v>0</v>
      </c>
      <c r="I4139" s="7" t="str" cm="1">
        <f t="array" ref="I4139">IFERROR(_xlfn.IFS(M4139="נח",1,M4139="נע ונח",1,M4139="שני שווא נח",2,M4139="שני שוואים בסוף מילה",2,M4139="שני שוואים ברצף",1),"0")</f>
        <v>0</v>
      </c>
      <c r="J4139" s="9">
        <f t="shared" si="263"/>
        <v>4</v>
      </c>
      <c r="K4139" t="s">
        <v>6698</v>
      </c>
      <c r="L4139" t="s">
        <v>6694</v>
      </c>
      <c r="M4139" t="s">
        <v>6700</v>
      </c>
      <c r="P4139" t="s">
        <v>6694</v>
      </c>
      <c r="S4139" t="s">
        <v>6694</v>
      </c>
      <c r="V4139" t="s">
        <v>6694</v>
      </c>
      <c r="W4139" t="s">
        <v>6720</v>
      </c>
    </row>
    <row r="4140" spans="1:23" ht="15.6" x14ac:dyDescent="0.4">
      <c r="A4140" s="2" t="s">
        <v>6500</v>
      </c>
      <c r="B4140" s="5" t="s">
        <v>10358</v>
      </c>
      <c r="C4140" s="7" t="s">
        <v>12556</v>
      </c>
      <c r="D4140" s="8">
        <f t="shared" si="260"/>
        <v>1</v>
      </c>
      <c r="E4140" s="7" t="s">
        <v>12557</v>
      </c>
      <c r="F4140" s="7">
        <f t="shared" si="261"/>
        <v>0</v>
      </c>
      <c r="G4140" s="7" t="s">
        <v>12558</v>
      </c>
      <c r="H4140" s="7">
        <f t="shared" si="262"/>
        <v>0</v>
      </c>
      <c r="I4140" s="7" t="str" cm="1">
        <f t="array" ref="I4140">IFERROR(_xlfn.IFS(M4140="נח",1,M4140="נע ונח",1,M4140="שני שווא נח",2,M4140="שני שוואים בסוף מילה",2,M4140="שני שוואים ברצף",1),"0")</f>
        <v>0</v>
      </c>
      <c r="J4140" s="9">
        <f t="shared" si="263"/>
        <v>3</v>
      </c>
      <c r="K4140" t="s">
        <v>6698</v>
      </c>
      <c r="L4140" t="s">
        <v>6694</v>
      </c>
      <c r="M4140" t="s">
        <v>6700</v>
      </c>
      <c r="Q4140" t="s">
        <v>6694</v>
      </c>
      <c r="V4140" t="s">
        <v>6694</v>
      </c>
      <c r="W4140" t="s">
        <v>6720</v>
      </c>
    </row>
    <row r="4141" spans="1:23" ht="15.6" x14ac:dyDescent="0.4">
      <c r="A4141" s="2" t="s">
        <v>4546</v>
      </c>
      <c r="B4141" s="5" t="s">
        <v>10359</v>
      </c>
      <c r="C4141" s="7" t="s">
        <v>12556</v>
      </c>
      <c r="D4141" s="8">
        <f t="shared" si="260"/>
        <v>1</v>
      </c>
      <c r="E4141" s="7" t="s">
        <v>12557</v>
      </c>
      <c r="F4141" s="7">
        <f t="shared" si="261"/>
        <v>0</v>
      </c>
      <c r="G4141" s="7" t="s">
        <v>12558</v>
      </c>
      <c r="H4141" s="7">
        <f t="shared" si="262"/>
        <v>0</v>
      </c>
      <c r="I4141" s="7" t="str" cm="1">
        <f t="array" ref="I4141">IFERROR(_xlfn.IFS(M4141="נח",1,M4141="נע ונח",1,M4141="שני שווא נח",2,M4141="שני שוואים בסוף מילה",2,M4141="שני שוואים ברצף",1),"0")</f>
        <v>0</v>
      </c>
      <c r="J4141" s="9">
        <f t="shared" si="263"/>
        <v>4</v>
      </c>
      <c r="K4141" t="s">
        <v>6698</v>
      </c>
      <c r="L4141" t="s">
        <v>6694</v>
      </c>
      <c r="M4141" t="s">
        <v>6700</v>
      </c>
      <c r="O4141" t="s">
        <v>6694</v>
      </c>
      <c r="V4141" t="s">
        <v>6694</v>
      </c>
      <c r="W4141" t="s">
        <v>6720</v>
      </c>
    </row>
    <row r="4142" spans="1:23" ht="15.6" x14ac:dyDescent="0.4">
      <c r="A4142" s="2" t="s">
        <v>6542</v>
      </c>
      <c r="B4142" s="5" t="s">
        <v>10360</v>
      </c>
      <c r="C4142" s="7" t="s">
        <v>12556</v>
      </c>
      <c r="D4142" s="8">
        <f t="shared" si="260"/>
        <v>0</v>
      </c>
      <c r="E4142" s="7" t="s">
        <v>12557</v>
      </c>
      <c r="F4142" s="7">
        <f t="shared" si="261"/>
        <v>0</v>
      </c>
      <c r="G4142" s="7" t="s">
        <v>12558</v>
      </c>
      <c r="H4142" s="7">
        <f t="shared" si="262"/>
        <v>0</v>
      </c>
      <c r="I4142" s="7" t="str" cm="1">
        <f t="array" ref="I4142">IFERROR(_xlfn.IFS(M4142="נח",1,M4142="נע ונח",1,M4142="שני שווא נח",2,M4142="שני שוואים בסוף מילה",2,M4142="שני שוואים ברצף",1),"0")</f>
        <v>0</v>
      </c>
      <c r="J4142" s="9">
        <f t="shared" si="263"/>
        <v>3</v>
      </c>
      <c r="K4142" t="s">
        <v>6698</v>
      </c>
      <c r="L4142" t="s">
        <v>6694</v>
      </c>
      <c r="M4142" t="s">
        <v>6700</v>
      </c>
      <c r="Q4142" t="s">
        <v>6694</v>
      </c>
      <c r="V4142" t="s">
        <v>6694</v>
      </c>
      <c r="W4142" t="s">
        <v>6720</v>
      </c>
    </row>
    <row r="4143" spans="1:23" ht="15.6" x14ac:dyDescent="0.4">
      <c r="A4143" s="2" t="s">
        <v>5389</v>
      </c>
      <c r="B4143" s="5" t="s">
        <v>10361</v>
      </c>
      <c r="C4143" s="7" t="s">
        <v>12556</v>
      </c>
      <c r="D4143" s="8">
        <f t="shared" si="260"/>
        <v>0</v>
      </c>
      <c r="E4143" s="7" t="s">
        <v>12557</v>
      </c>
      <c r="F4143" s="7">
        <f t="shared" si="261"/>
        <v>0</v>
      </c>
      <c r="G4143" s="7" t="s">
        <v>12558</v>
      </c>
      <c r="H4143" s="7">
        <f t="shared" si="262"/>
        <v>0</v>
      </c>
      <c r="I4143" s="7" t="str" cm="1">
        <f t="array" ref="I4143">IFERROR(_xlfn.IFS(M4143="נח",1,M4143="נע ונח",1,M4143="שני שווא נח",2,M4143="שני שוואים בסוף מילה",2,M4143="שני שוואים ברצף",1),"0")</f>
        <v>0</v>
      </c>
      <c r="J4143" s="9">
        <f t="shared" si="263"/>
        <v>3</v>
      </c>
      <c r="K4143" t="s">
        <v>6698</v>
      </c>
      <c r="L4143" t="s">
        <v>6694</v>
      </c>
      <c r="M4143" t="s">
        <v>6700</v>
      </c>
      <c r="N4143" t="s">
        <v>6706</v>
      </c>
      <c r="O4143" t="s">
        <v>6694</v>
      </c>
      <c r="V4143" t="s">
        <v>6694</v>
      </c>
      <c r="W4143" t="s">
        <v>6720</v>
      </c>
    </row>
    <row r="4144" spans="1:23" ht="15.6" x14ac:dyDescent="0.4">
      <c r="A4144" s="2" t="s">
        <v>1156</v>
      </c>
      <c r="B4144" s="5" t="s">
        <v>10362</v>
      </c>
      <c r="C4144" s="7" t="s">
        <v>12556</v>
      </c>
      <c r="D4144" s="8">
        <f t="shared" si="260"/>
        <v>0</v>
      </c>
      <c r="E4144" s="7" t="s">
        <v>12557</v>
      </c>
      <c r="F4144" s="7">
        <f t="shared" si="261"/>
        <v>0</v>
      </c>
      <c r="G4144" s="7" t="s">
        <v>12558</v>
      </c>
      <c r="H4144" s="7">
        <f t="shared" si="262"/>
        <v>0</v>
      </c>
      <c r="I4144" s="7" cm="1">
        <f t="array" ref="I4144">IFERROR(_xlfn.IFS(M4144="נח",1,M4144="נע ונח",1,M4144="שני שווא נח",2,M4144="שני שוואים בסוף מילה",2,M4144="שני שוואים ברצף",1),"0")</f>
        <v>1</v>
      </c>
      <c r="J4144" s="9">
        <f t="shared" si="263"/>
        <v>5</v>
      </c>
      <c r="K4144" t="s">
        <v>6698</v>
      </c>
      <c r="L4144" t="s">
        <v>6694</v>
      </c>
      <c r="M4144" t="s">
        <v>6702</v>
      </c>
      <c r="N4144" t="s">
        <v>6706</v>
      </c>
      <c r="O4144" t="s">
        <v>6694</v>
      </c>
      <c r="S4144" t="s">
        <v>6694</v>
      </c>
      <c r="V4144" t="s">
        <v>6694</v>
      </c>
      <c r="W4144" t="s">
        <v>6720</v>
      </c>
    </row>
    <row r="4145" spans="1:23" ht="15.6" x14ac:dyDescent="0.4">
      <c r="A4145" s="2" t="s">
        <v>2012</v>
      </c>
      <c r="B4145" s="5" t="s">
        <v>10363</v>
      </c>
      <c r="C4145" s="7" t="s">
        <v>12556</v>
      </c>
      <c r="D4145" s="8">
        <f t="shared" si="260"/>
        <v>0</v>
      </c>
      <c r="E4145" s="7" t="s">
        <v>12557</v>
      </c>
      <c r="F4145" s="7">
        <f t="shared" si="261"/>
        <v>1</v>
      </c>
      <c r="G4145" s="7" t="s">
        <v>12558</v>
      </c>
      <c r="H4145" s="7">
        <f t="shared" si="262"/>
        <v>0</v>
      </c>
      <c r="I4145" s="7" cm="1">
        <f t="array" ref="I4145">IFERROR(_xlfn.IFS(M4145="נח",1,M4145="נע ונח",1,M4145="שני שווא נח",2,M4145="שני שוואים בסוף מילה",2,M4145="שני שוואים ברצף",1),"0")</f>
        <v>1</v>
      </c>
      <c r="J4145" s="9">
        <f t="shared" si="263"/>
        <v>3</v>
      </c>
      <c r="K4145" t="s">
        <v>6697</v>
      </c>
      <c r="L4145" t="s">
        <v>6694</v>
      </c>
      <c r="M4145" t="s">
        <v>6701</v>
      </c>
      <c r="R4145" t="s">
        <v>6694</v>
      </c>
      <c r="S4145" t="s">
        <v>6694</v>
      </c>
      <c r="W4145" t="s">
        <v>6720</v>
      </c>
    </row>
    <row r="4146" spans="1:23" ht="15.6" x14ac:dyDescent="0.4">
      <c r="A4146" s="2" t="s">
        <v>3981</v>
      </c>
      <c r="B4146" s="5" t="s">
        <v>10364</v>
      </c>
      <c r="C4146" s="7" t="s">
        <v>12556</v>
      </c>
      <c r="D4146" s="8">
        <f t="shared" si="260"/>
        <v>0</v>
      </c>
      <c r="E4146" s="7" t="s">
        <v>12557</v>
      </c>
      <c r="F4146" s="7">
        <f t="shared" si="261"/>
        <v>1</v>
      </c>
      <c r="G4146" s="7" t="s">
        <v>12558</v>
      </c>
      <c r="H4146" s="7">
        <f t="shared" si="262"/>
        <v>0</v>
      </c>
      <c r="I4146" s="7" cm="1">
        <f t="array" ref="I4146">IFERROR(_xlfn.IFS(M4146="נח",1,M4146="נע ונח",1,M4146="שני שווא נח",2,M4146="שני שוואים בסוף מילה",2,M4146="שני שוואים ברצף",1),"0")</f>
        <v>1</v>
      </c>
      <c r="J4146" s="9">
        <f t="shared" si="263"/>
        <v>3</v>
      </c>
      <c r="K4146" t="s">
        <v>6698</v>
      </c>
      <c r="L4146" t="s">
        <v>6694</v>
      </c>
      <c r="M4146" t="s">
        <v>6701</v>
      </c>
      <c r="N4146" t="s">
        <v>6706</v>
      </c>
      <c r="O4146" t="s">
        <v>6694</v>
      </c>
      <c r="R4146" t="s">
        <v>6694</v>
      </c>
      <c r="W4146" t="s">
        <v>6720</v>
      </c>
    </row>
    <row r="4147" spans="1:23" ht="15.6" x14ac:dyDescent="0.4">
      <c r="A4147" s="2" t="s">
        <v>2019</v>
      </c>
      <c r="B4147" s="5" t="s">
        <v>10365</v>
      </c>
      <c r="C4147" s="7" t="s">
        <v>12556</v>
      </c>
      <c r="D4147" s="8">
        <f t="shared" si="260"/>
        <v>0</v>
      </c>
      <c r="E4147" s="7" t="s">
        <v>12557</v>
      </c>
      <c r="F4147" s="7">
        <f t="shared" si="261"/>
        <v>0</v>
      </c>
      <c r="G4147" s="7" t="s">
        <v>12558</v>
      </c>
      <c r="H4147" s="7">
        <f t="shared" si="262"/>
        <v>0</v>
      </c>
      <c r="I4147" s="7" t="str" cm="1">
        <f t="array" ref="I4147">IFERROR(_xlfn.IFS(M4147="נח",1,M4147="נע ונח",1,M4147="שני שווא נח",2,M4147="שני שוואים בסוף מילה",2,M4147="שני שוואים ברצף",1),"0")</f>
        <v>0</v>
      </c>
      <c r="J4147" s="9">
        <f t="shared" si="263"/>
        <v>3</v>
      </c>
      <c r="K4147" t="s">
        <v>6698</v>
      </c>
      <c r="L4147" t="s">
        <v>6694</v>
      </c>
      <c r="M4147" t="s">
        <v>6700</v>
      </c>
      <c r="R4147" t="s">
        <v>6694</v>
      </c>
      <c r="W4147" t="s">
        <v>6720</v>
      </c>
    </row>
    <row r="4148" spans="1:23" ht="15.6" x14ac:dyDescent="0.4">
      <c r="A4148" s="2" t="s">
        <v>432</v>
      </c>
      <c r="B4148" s="5" t="s">
        <v>10366</v>
      </c>
      <c r="C4148" s="7" t="s">
        <v>12556</v>
      </c>
      <c r="D4148" s="8">
        <f t="shared" si="260"/>
        <v>0</v>
      </c>
      <c r="E4148" s="7" t="s">
        <v>12557</v>
      </c>
      <c r="F4148" s="7">
        <f t="shared" si="261"/>
        <v>0</v>
      </c>
      <c r="G4148" s="7" t="s">
        <v>12558</v>
      </c>
      <c r="H4148" s="7">
        <f t="shared" si="262"/>
        <v>0</v>
      </c>
      <c r="I4148" s="7" t="str" cm="1">
        <f t="array" ref="I4148">IFERROR(_xlfn.IFS(M4148="נח",1,M4148="נע ונח",1,M4148="שני שווא נח",2,M4148="שני שוואים בסוף מילה",2,M4148="שני שוואים ברצף",1),"0")</f>
        <v>0</v>
      </c>
      <c r="J4148" s="9">
        <f t="shared" si="263"/>
        <v>4</v>
      </c>
      <c r="K4148" t="s">
        <v>6697</v>
      </c>
      <c r="L4148" t="s">
        <v>6694</v>
      </c>
      <c r="M4148" t="s">
        <v>6700</v>
      </c>
      <c r="O4148" t="s">
        <v>6694</v>
      </c>
      <c r="P4148" t="s">
        <v>6694</v>
      </c>
      <c r="W4148" t="s">
        <v>6720</v>
      </c>
    </row>
    <row r="4149" spans="1:23" ht="15.6" x14ac:dyDescent="0.4">
      <c r="A4149" s="2" t="s">
        <v>954</v>
      </c>
      <c r="B4149" s="5" t="s">
        <v>10367</v>
      </c>
      <c r="C4149" s="7" t="s">
        <v>12556</v>
      </c>
      <c r="D4149" s="8">
        <f t="shared" si="260"/>
        <v>1</v>
      </c>
      <c r="E4149" s="7" t="s">
        <v>12557</v>
      </c>
      <c r="F4149" s="7">
        <f t="shared" si="261"/>
        <v>0</v>
      </c>
      <c r="G4149" s="7" t="s">
        <v>12558</v>
      </c>
      <c r="H4149" s="7">
        <f t="shared" si="262"/>
        <v>0</v>
      </c>
      <c r="I4149" s="7" cm="1">
        <f t="array" ref="I4149">IFERROR(_xlfn.IFS(M4149="נח",1,M4149="נע ונח",1,M4149="שני שווא נח",2,M4149="שני שוואים בסוף מילה",2,M4149="שני שוואים ברצף",1),"0")</f>
        <v>1</v>
      </c>
      <c r="J4149" s="9">
        <f t="shared" si="263"/>
        <v>3</v>
      </c>
      <c r="K4149" t="s">
        <v>6697</v>
      </c>
      <c r="L4149" t="s">
        <v>6694</v>
      </c>
      <c r="M4149" t="s">
        <v>6701</v>
      </c>
      <c r="P4149" t="s">
        <v>6694</v>
      </c>
      <c r="S4149" t="s">
        <v>6694</v>
      </c>
      <c r="W4149" t="s">
        <v>6720</v>
      </c>
    </row>
    <row r="4150" spans="1:23" ht="15.6" x14ac:dyDescent="0.4">
      <c r="A4150" s="2" t="s">
        <v>6661</v>
      </c>
      <c r="B4150" s="5" t="s">
        <v>10368</v>
      </c>
      <c r="C4150" s="7" t="s">
        <v>12556</v>
      </c>
      <c r="D4150" s="8">
        <f t="shared" si="260"/>
        <v>1</v>
      </c>
      <c r="E4150" s="7" t="s">
        <v>12557</v>
      </c>
      <c r="F4150" s="7">
        <f t="shared" si="261"/>
        <v>0</v>
      </c>
      <c r="G4150" s="7" t="s">
        <v>12558</v>
      </c>
      <c r="H4150" s="7">
        <f t="shared" si="262"/>
        <v>0</v>
      </c>
      <c r="I4150" s="7" cm="1">
        <f t="array" ref="I4150">IFERROR(_xlfn.IFS(M4150="נח",1,M4150="נע ונח",1,M4150="שני שווא נח",2,M4150="שני שוואים בסוף מילה",2,M4150="שני שוואים ברצף",1),"0")</f>
        <v>1</v>
      </c>
      <c r="J4150" s="9">
        <f t="shared" si="263"/>
        <v>3</v>
      </c>
      <c r="K4150" t="s">
        <v>6698</v>
      </c>
      <c r="L4150" t="s">
        <v>6694</v>
      </c>
      <c r="M4150" t="s">
        <v>6701</v>
      </c>
      <c r="N4150" t="s">
        <v>6706</v>
      </c>
      <c r="O4150" t="s">
        <v>6694</v>
      </c>
      <c r="P4150" t="s">
        <v>6694</v>
      </c>
      <c r="W4150" t="s">
        <v>6720</v>
      </c>
    </row>
    <row r="4151" spans="1:23" ht="15.6" x14ac:dyDescent="0.4">
      <c r="A4151" s="2" t="s">
        <v>905</v>
      </c>
      <c r="B4151" s="5" t="s">
        <v>10369</v>
      </c>
      <c r="C4151" s="7" t="s">
        <v>12556</v>
      </c>
      <c r="D4151" s="8">
        <f t="shared" si="260"/>
        <v>0</v>
      </c>
      <c r="E4151" s="7" t="s">
        <v>12557</v>
      </c>
      <c r="F4151" s="7">
        <f t="shared" si="261"/>
        <v>0</v>
      </c>
      <c r="G4151" s="7" t="s">
        <v>12558</v>
      </c>
      <c r="H4151" s="7">
        <f t="shared" si="262"/>
        <v>0</v>
      </c>
      <c r="I4151" s="7" cm="1">
        <f t="array" ref="I4151">IFERROR(_xlfn.IFS(M4151="נח",1,M4151="נע ונח",1,M4151="שני שווא נח",2,M4151="שני שוואים בסוף מילה",2,M4151="שני שוואים ברצף",1),"0")</f>
        <v>1</v>
      </c>
      <c r="J4151" s="9">
        <f t="shared" si="263"/>
        <v>3</v>
      </c>
      <c r="K4151" t="s">
        <v>6698</v>
      </c>
      <c r="L4151" t="s">
        <v>6694</v>
      </c>
      <c r="M4151" t="s">
        <v>6701</v>
      </c>
      <c r="Q4151" t="s">
        <v>6694</v>
      </c>
      <c r="V4151" t="s">
        <v>6694</v>
      </c>
      <c r="W4151" t="s">
        <v>6720</v>
      </c>
    </row>
    <row r="4152" spans="1:23" ht="15.6" x14ac:dyDescent="0.4">
      <c r="A4152" s="2" t="s">
        <v>1266</v>
      </c>
      <c r="B4152" s="5" t="s">
        <v>10370</v>
      </c>
      <c r="C4152" s="7" t="s">
        <v>12556</v>
      </c>
      <c r="D4152" s="8">
        <f t="shared" si="260"/>
        <v>0</v>
      </c>
      <c r="E4152" s="7" t="s">
        <v>12557</v>
      </c>
      <c r="F4152" s="7">
        <f t="shared" si="261"/>
        <v>0</v>
      </c>
      <c r="G4152" s="7" t="s">
        <v>12558</v>
      </c>
      <c r="H4152" s="7">
        <f t="shared" si="262"/>
        <v>0</v>
      </c>
      <c r="I4152" s="7" t="str" cm="1">
        <f t="array" ref="I4152">IFERROR(_xlfn.IFS(M4152="נח",1,M4152="נע ונח",1,M4152="שני שווא נח",2,M4152="שני שוואים בסוף מילה",2,M4152="שני שוואים ברצף",1),"0")</f>
        <v>0</v>
      </c>
      <c r="J4152" s="9">
        <f t="shared" si="263"/>
        <v>3</v>
      </c>
      <c r="K4152" t="s">
        <v>6698</v>
      </c>
      <c r="L4152" t="s">
        <v>6694</v>
      </c>
      <c r="M4152" t="s">
        <v>6700</v>
      </c>
      <c r="S4152" t="s">
        <v>6694</v>
      </c>
      <c r="V4152" t="s">
        <v>6694</v>
      </c>
      <c r="W4152" t="s">
        <v>6720</v>
      </c>
    </row>
    <row r="4153" spans="1:23" ht="15.6" x14ac:dyDescent="0.4">
      <c r="A4153" s="2" t="s">
        <v>5322</v>
      </c>
      <c r="B4153" s="5" t="s">
        <v>10371</v>
      </c>
      <c r="C4153" s="7" t="s">
        <v>12556</v>
      </c>
      <c r="D4153" s="8">
        <f t="shared" si="260"/>
        <v>0</v>
      </c>
      <c r="E4153" s="7" t="s">
        <v>12557</v>
      </c>
      <c r="F4153" s="7">
        <f t="shared" si="261"/>
        <v>1</v>
      </c>
      <c r="G4153" s="7" t="s">
        <v>12558</v>
      </c>
      <c r="H4153" s="7">
        <f t="shared" si="262"/>
        <v>0</v>
      </c>
      <c r="I4153" s="7" t="str" cm="1">
        <f t="array" ref="I4153">IFERROR(_xlfn.IFS(M4153="נח",1,M4153="נע ונח",1,M4153="שני שווא נח",2,M4153="שני שוואים בסוף מילה",2,M4153="שני שוואים ברצף",1),"0")</f>
        <v>0</v>
      </c>
      <c r="J4153" s="9">
        <f t="shared" si="263"/>
        <v>3</v>
      </c>
      <c r="K4153" t="s">
        <v>6698</v>
      </c>
      <c r="L4153" t="s">
        <v>6694</v>
      </c>
      <c r="M4153" t="s">
        <v>6700</v>
      </c>
      <c r="P4153" t="s">
        <v>6694</v>
      </c>
      <c r="Q4153" t="s">
        <v>6694</v>
      </c>
      <c r="W4153" t="s">
        <v>6720</v>
      </c>
    </row>
    <row r="4154" spans="1:23" ht="15.6" x14ac:dyDescent="0.4">
      <c r="A4154" s="2" t="s">
        <v>6622</v>
      </c>
      <c r="B4154" s="5" t="s">
        <v>10372</v>
      </c>
      <c r="C4154" s="7" t="s">
        <v>12556</v>
      </c>
      <c r="D4154" s="8">
        <f t="shared" si="260"/>
        <v>0</v>
      </c>
      <c r="E4154" s="7" t="s">
        <v>12557</v>
      </c>
      <c r="F4154" s="7">
        <f t="shared" si="261"/>
        <v>1</v>
      </c>
      <c r="G4154" s="7" t="s">
        <v>12558</v>
      </c>
      <c r="H4154" s="7">
        <f t="shared" si="262"/>
        <v>0</v>
      </c>
      <c r="I4154" s="7" t="str" cm="1">
        <f t="array" ref="I4154">IFERROR(_xlfn.IFS(M4154="נח",1,M4154="נע ונח",1,M4154="שני שווא נח",2,M4154="שני שוואים בסוף מילה",2,M4154="שני שוואים ברצף",1),"0")</f>
        <v>0</v>
      </c>
      <c r="J4154" s="9">
        <f t="shared" si="263"/>
        <v>3</v>
      </c>
      <c r="K4154" t="s">
        <v>6698</v>
      </c>
      <c r="L4154" t="s">
        <v>6694</v>
      </c>
      <c r="M4154" t="s">
        <v>6700</v>
      </c>
      <c r="S4154" t="s">
        <v>6694</v>
      </c>
      <c r="W4154" t="s">
        <v>6720</v>
      </c>
    </row>
    <row r="4155" spans="1:23" ht="15.6" x14ac:dyDescent="0.4">
      <c r="A4155" s="2" t="s">
        <v>2399</v>
      </c>
      <c r="B4155" s="5" t="s">
        <v>10373</v>
      </c>
      <c r="C4155" s="7" t="s">
        <v>12556</v>
      </c>
      <c r="D4155" s="8">
        <f t="shared" si="260"/>
        <v>0</v>
      </c>
      <c r="E4155" s="7" t="s">
        <v>12557</v>
      </c>
      <c r="F4155" s="7">
        <f t="shared" si="261"/>
        <v>1</v>
      </c>
      <c r="G4155" s="7" t="s">
        <v>12558</v>
      </c>
      <c r="H4155" s="7">
        <f t="shared" si="262"/>
        <v>0</v>
      </c>
      <c r="I4155" s="7" t="str" cm="1">
        <f t="array" ref="I4155">IFERROR(_xlfn.IFS(M4155="נח",1,M4155="נע ונח",1,M4155="שני שווא נח",2,M4155="שני שוואים בסוף מילה",2,M4155="שני שוואים ברצף",1),"0")</f>
        <v>0</v>
      </c>
      <c r="J4155" s="9">
        <f t="shared" si="263"/>
        <v>3</v>
      </c>
      <c r="K4155" t="s">
        <v>6698</v>
      </c>
      <c r="L4155" t="s">
        <v>6694</v>
      </c>
      <c r="M4155" t="s">
        <v>6700</v>
      </c>
      <c r="S4155" t="s">
        <v>6694</v>
      </c>
      <c r="V4155" t="s">
        <v>6694</v>
      </c>
      <c r="W4155" t="s">
        <v>6720</v>
      </c>
    </row>
    <row r="4156" spans="1:23" ht="15.6" x14ac:dyDescent="0.4">
      <c r="A4156" s="2" t="s">
        <v>5550</v>
      </c>
      <c r="B4156" s="5" t="s">
        <v>10374</v>
      </c>
      <c r="C4156" s="7" t="s">
        <v>12556</v>
      </c>
      <c r="D4156" s="8">
        <f t="shared" si="260"/>
        <v>0</v>
      </c>
      <c r="E4156" s="7" t="s">
        <v>12557</v>
      </c>
      <c r="F4156" s="7">
        <f t="shared" si="261"/>
        <v>0</v>
      </c>
      <c r="G4156" s="7" t="s">
        <v>12558</v>
      </c>
      <c r="H4156" s="7">
        <f t="shared" si="262"/>
        <v>0</v>
      </c>
      <c r="I4156" s="7" t="str" cm="1">
        <f t="array" ref="I4156">IFERROR(_xlfn.IFS(M4156="נח",1,M4156="נע ונח",1,M4156="שני שווא נח",2,M4156="שני שוואים בסוף מילה",2,M4156="שני שוואים ברצף",1),"0")</f>
        <v>0</v>
      </c>
      <c r="J4156" s="9">
        <f t="shared" si="263"/>
        <v>3</v>
      </c>
      <c r="K4156" t="s">
        <v>6698</v>
      </c>
      <c r="L4156" t="s">
        <v>6694</v>
      </c>
      <c r="M4156" t="s">
        <v>6700</v>
      </c>
      <c r="Q4156" t="s">
        <v>6694</v>
      </c>
      <c r="W4156" t="s">
        <v>6720</v>
      </c>
    </row>
    <row r="4157" spans="1:23" ht="15.6" x14ac:dyDescent="0.4">
      <c r="A4157" s="2" t="s">
        <v>5479</v>
      </c>
      <c r="B4157" s="5" t="s">
        <v>10375</v>
      </c>
      <c r="C4157" s="7" t="s">
        <v>12556</v>
      </c>
      <c r="D4157" s="8">
        <f t="shared" si="260"/>
        <v>0</v>
      </c>
      <c r="E4157" s="7" t="s">
        <v>12557</v>
      </c>
      <c r="F4157" s="7">
        <f t="shared" si="261"/>
        <v>1</v>
      </c>
      <c r="G4157" s="7" t="s">
        <v>12558</v>
      </c>
      <c r="H4157" s="7">
        <f t="shared" si="262"/>
        <v>1</v>
      </c>
      <c r="I4157" s="7" t="str" cm="1">
        <f t="array" ref="I4157">IFERROR(_xlfn.IFS(M4157="נח",1,M4157="נע ונח",1,M4157="שני שווא נח",2,M4157="שני שוואים בסוף מילה",2,M4157="שני שוואים ברצף",1),"0")</f>
        <v>0</v>
      </c>
      <c r="J4157" s="9">
        <f t="shared" si="263"/>
        <v>4</v>
      </c>
      <c r="K4157" t="s">
        <v>6697</v>
      </c>
      <c r="L4157" t="s">
        <v>6694</v>
      </c>
      <c r="M4157" t="s">
        <v>6700</v>
      </c>
      <c r="Q4157" t="s">
        <v>6694</v>
      </c>
      <c r="U4157" t="s">
        <v>6694</v>
      </c>
      <c r="W4157" t="s">
        <v>6720</v>
      </c>
    </row>
    <row r="4158" spans="1:23" ht="15.6" x14ac:dyDescent="0.4">
      <c r="A4158" s="2" t="s">
        <v>6603</v>
      </c>
      <c r="B4158" s="5" t="s">
        <v>10376</v>
      </c>
      <c r="C4158" s="7" t="s">
        <v>12556</v>
      </c>
      <c r="D4158" s="8">
        <f t="shared" si="260"/>
        <v>0</v>
      </c>
      <c r="E4158" s="7" t="s">
        <v>12557</v>
      </c>
      <c r="F4158" s="7">
        <f t="shared" si="261"/>
        <v>0</v>
      </c>
      <c r="G4158" s="7" t="s">
        <v>12558</v>
      </c>
      <c r="H4158" s="7">
        <f t="shared" si="262"/>
        <v>0</v>
      </c>
      <c r="I4158" s="7" t="str" cm="1">
        <f t="array" ref="I4158">IFERROR(_xlfn.IFS(M4158="נח",1,M4158="נע ונח",1,M4158="שני שווא נח",2,M4158="שני שוואים בסוף מילה",2,M4158="שני שוואים ברצף",1),"0")</f>
        <v>0</v>
      </c>
      <c r="J4158" s="9">
        <f t="shared" si="263"/>
        <v>4</v>
      </c>
      <c r="K4158" t="s">
        <v>6697</v>
      </c>
      <c r="L4158" t="s">
        <v>6694</v>
      </c>
      <c r="M4158" t="s">
        <v>6700</v>
      </c>
      <c r="O4158" t="s">
        <v>6694</v>
      </c>
      <c r="Q4158" t="s">
        <v>6694</v>
      </c>
      <c r="R4158" t="s">
        <v>6694</v>
      </c>
      <c r="W4158" t="s">
        <v>6720</v>
      </c>
    </row>
    <row r="4159" spans="1:23" ht="15.6" x14ac:dyDescent="0.4">
      <c r="A4159" s="2" t="s">
        <v>489</v>
      </c>
      <c r="B4159" s="5" t="s">
        <v>10377</v>
      </c>
      <c r="C4159" s="7" t="s">
        <v>12556</v>
      </c>
      <c r="D4159" s="8">
        <f t="shared" si="260"/>
        <v>0</v>
      </c>
      <c r="E4159" s="7" t="s">
        <v>12557</v>
      </c>
      <c r="F4159" s="7">
        <f t="shared" si="261"/>
        <v>0</v>
      </c>
      <c r="G4159" s="7" t="s">
        <v>12558</v>
      </c>
      <c r="H4159" s="7">
        <f t="shared" si="262"/>
        <v>0</v>
      </c>
      <c r="I4159" s="7" t="str" cm="1">
        <f t="array" ref="I4159">IFERROR(_xlfn.IFS(M4159="נח",1,M4159="נע ונח",1,M4159="שני שווא נח",2,M4159="שני שוואים בסוף מילה",2,M4159="שני שוואים ברצף",1),"0")</f>
        <v>0</v>
      </c>
      <c r="J4159" s="9">
        <f t="shared" si="263"/>
        <v>2</v>
      </c>
      <c r="K4159" t="s">
        <v>6698</v>
      </c>
      <c r="L4159" t="s">
        <v>6694</v>
      </c>
      <c r="M4159" t="s">
        <v>6700</v>
      </c>
      <c r="Q4159" t="s">
        <v>6694</v>
      </c>
      <c r="W4159" t="s">
        <v>6720</v>
      </c>
    </row>
    <row r="4160" spans="1:23" ht="15.6" x14ac:dyDescent="0.4">
      <c r="A4160" s="2" t="s">
        <v>1651</v>
      </c>
      <c r="B4160" s="5" t="s">
        <v>10378</v>
      </c>
      <c r="C4160" s="7" t="s">
        <v>12556</v>
      </c>
      <c r="D4160" s="8">
        <f t="shared" si="260"/>
        <v>0</v>
      </c>
      <c r="E4160" s="7" t="s">
        <v>12557</v>
      </c>
      <c r="F4160" s="7">
        <f t="shared" si="261"/>
        <v>0</v>
      </c>
      <c r="G4160" s="7" t="s">
        <v>12558</v>
      </c>
      <c r="H4160" s="7">
        <f t="shared" si="262"/>
        <v>0</v>
      </c>
      <c r="I4160" s="7" t="str" cm="1">
        <f t="array" ref="I4160">IFERROR(_xlfn.IFS(M4160="נח",1,M4160="נע ונח",1,M4160="שני שווא נח",2,M4160="שני שוואים בסוף מילה",2,M4160="שני שוואים ברצף",1),"0")</f>
        <v>0</v>
      </c>
      <c r="J4160" s="9">
        <f t="shared" si="263"/>
        <v>3</v>
      </c>
      <c r="K4160" t="s">
        <v>6698</v>
      </c>
      <c r="L4160" t="s">
        <v>6694</v>
      </c>
      <c r="M4160" t="s">
        <v>6700</v>
      </c>
      <c r="R4160" t="s">
        <v>6694</v>
      </c>
      <c r="W4160" t="s">
        <v>6720</v>
      </c>
    </row>
    <row r="4161" spans="1:23" ht="15.6" x14ac:dyDescent="0.4">
      <c r="A4161" s="2" t="s">
        <v>501</v>
      </c>
      <c r="B4161" s="5" t="s">
        <v>10379</v>
      </c>
      <c r="C4161" s="7" t="s">
        <v>12556</v>
      </c>
      <c r="D4161" s="8">
        <f t="shared" si="260"/>
        <v>0</v>
      </c>
      <c r="E4161" s="7" t="s">
        <v>12557</v>
      </c>
      <c r="F4161" s="7">
        <f t="shared" si="261"/>
        <v>0</v>
      </c>
      <c r="G4161" s="7" t="s">
        <v>12558</v>
      </c>
      <c r="H4161" s="7">
        <f t="shared" si="262"/>
        <v>0</v>
      </c>
      <c r="I4161" s="7" cm="1">
        <f t="array" ref="I4161">IFERROR(_xlfn.IFS(M4161="נח",1,M4161="נע ונח",1,M4161="שני שווא נח",2,M4161="שני שוואים בסוף מילה",2,M4161="שני שוואים ברצף",1),"0")</f>
        <v>1</v>
      </c>
      <c r="J4161" s="9">
        <f t="shared" si="263"/>
        <v>4</v>
      </c>
      <c r="K4161" t="s">
        <v>6697</v>
      </c>
      <c r="L4161" t="s">
        <v>6694</v>
      </c>
      <c r="M4161" t="s">
        <v>6701</v>
      </c>
      <c r="O4161" t="s">
        <v>6694</v>
      </c>
      <c r="R4161" t="s">
        <v>6694</v>
      </c>
      <c r="S4161" t="s">
        <v>6694</v>
      </c>
      <c r="W4161" t="s">
        <v>6720</v>
      </c>
    </row>
    <row r="4162" spans="1:23" ht="15.6" x14ac:dyDescent="0.4">
      <c r="A4162" s="2" t="s">
        <v>5318</v>
      </c>
      <c r="B4162" s="5" t="s">
        <v>10380</v>
      </c>
      <c r="C4162" s="7" t="s">
        <v>12556</v>
      </c>
      <c r="D4162" s="8">
        <f t="shared" si="260"/>
        <v>0</v>
      </c>
      <c r="E4162" s="7" t="s">
        <v>12557</v>
      </c>
      <c r="F4162" s="7">
        <f t="shared" si="261"/>
        <v>0</v>
      </c>
      <c r="G4162" s="7" t="s">
        <v>12558</v>
      </c>
      <c r="H4162" s="7">
        <f t="shared" si="262"/>
        <v>0</v>
      </c>
      <c r="I4162" s="7" cm="1">
        <f t="array" ref="I4162">IFERROR(_xlfn.IFS(M4162="נח",1,M4162="נע ונח",1,M4162="שני שווא נח",2,M4162="שני שוואים בסוף מילה",2,M4162="שני שוואים ברצף",1),"0")</f>
        <v>1</v>
      </c>
      <c r="J4162" s="9">
        <f t="shared" si="263"/>
        <v>3</v>
      </c>
      <c r="K4162" t="s">
        <v>6698</v>
      </c>
      <c r="L4162" t="s">
        <v>6694</v>
      </c>
      <c r="M4162" t="s">
        <v>6701</v>
      </c>
      <c r="R4162" t="s">
        <v>6694</v>
      </c>
      <c r="V4162" t="s">
        <v>6694</v>
      </c>
      <c r="W4162" t="s">
        <v>6720</v>
      </c>
    </row>
    <row r="4163" spans="1:23" ht="15.6" x14ac:dyDescent="0.4">
      <c r="A4163" s="2" t="s">
        <v>5923</v>
      </c>
      <c r="B4163" s="5" t="s">
        <v>10381</v>
      </c>
      <c r="C4163" s="7" t="s">
        <v>12556</v>
      </c>
      <c r="D4163" s="8">
        <f t="shared" ref="D4163:D4226" si="264">(LEN(B4163)-LEN(SUBSTITUTE(B4163,C4163,"")))</f>
        <v>0</v>
      </c>
      <c r="E4163" s="7" t="s">
        <v>12557</v>
      </c>
      <c r="F4163" s="7">
        <f t="shared" ref="F4163:F4226" si="265">(LEN(A4163)-LEN(SUBSTITUTE(A4163,E4163,"")))</f>
        <v>0</v>
      </c>
      <c r="G4163" s="7" t="s">
        <v>12558</v>
      </c>
      <c r="H4163" s="7">
        <f t="shared" ref="H4163:H4226" si="266">(LEN(A4163)-LEN(SUBSTITUTE(A4163,G4163,"")))/2</f>
        <v>0</v>
      </c>
      <c r="I4163" s="7" t="str" cm="1">
        <f t="array" ref="I4163">IFERROR(_xlfn.IFS(M4163="נח",1,M4163="נע ונח",1,M4163="שני שווא נח",2,M4163="שני שוואים בסוף מילה",2,M4163="שני שוואים ברצף",1),"0")</f>
        <v>0</v>
      </c>
      <c r="J4163" s="9">
        <f t="shared" ref="J4163:J4226" si="267">LEN(A4163)-(LEN(B4163))-D4163-F4163+H4163-I4163</f>
        <v>2</v>
      </c>
      <c r="K4163" t="s">
        <v>6698</v>
      </c>
      <c r="L4163" t="s">
        <v>6694</v>
      </c>
      <c r="M4163" t="s">
        <v>6700</v>
      </c>
      <c r="P4163" t="s">
        <v>6694</v>
      </c>
      <c r="W4163" t="s">
        <v>6720</v>
      </c>
    </row>
    <row r="4164" spans="1:23" ht="15.6" x14ac:dyDescent="0.4">
      <c r="A4164" s="2" t="s">
        <v>1163</v>
      </c>
      <c r="B4164" s="5" t="s">
        <v>10382</v>
      </c>
      <c r="C4164" s="7" t="s">
        <v>12556</v>
      </c>
      <c r="D4164" s="8">
        <f t="shared" si="264"/>
        <v>0</v>
      </c>
      <c r="E4164" s="7" t="s">
        <v>12557</v>
      </c>
      <c r="F4164" s="7">
        <f t="shared" si="265"/>
        <v>1</v>
      </c>
      <c r="G4164" s="7" t="s">
        <v>12558</v>
      </c>
      <c r="H4164" s="7">
        <f t="shared" si="266"/>
        <v>0</v>
      </c>
      <c r="I4164" s="7" t="str" cm="1">
        <f t="array" ref="I4164">IFERROR(_xlfn.IFS(M4164="נח",1,M4164="נע ונח",1,M4164="שני שווא נח",2,M4164="שני שוואים בסוף מילה",2,M4164="שני שוואים ברצף",1),"0")</f>
        <v>0</v>
      </c>
      <c r="J4164" s="9">
        <f t="shared" si="267"/>
        <v>3</v>
      </c>
      <c r="K4164" t="s">
        <v>6697</v>
      </c>
      <c r="L4164" t="s">
        <v>6694</v>
      </c>
      <c r="M4164" t="s">
        <v>6700</v>
      </c>
      <c r="P4164" t="s">
        <v>6694</v>
      </c>
      <c r="V4164" t="s">
        <v>6694</v>
      </c>
      <c r="W4164" t="s">
        <v>6720</v>
      </c>
    </row>
    <row r="4165" spans="1:23" ht="15.6" x14ac:dyDescent="0.4">
      <c r="A4165" s="2" t="s">
        <v>6101</v>
      </c>
      <c r="B4165" s="5" t="s">
        <v>10383</v>
      </c>
      <c r="C4165" s="7" t="s">
        <v>12556</v>
      </c>
      <c r="D4165" s="8">
        <f t="shared" si="264"/>
        <v>0</v>
      </c>
      <c r="E4165" s="7" t="s">
        <v>12557</v>
      </c>
      <c r="F4165" s="7">
        <f t="shared" si="265"/>
        <v>1</v>
      </c>
      <c r="G4165" s="7" t="s">
        <v>12558</v>
      </c>
      <c r="H4165" s="7">
        <f t="shared" si="266"/>
        <v>0</v>
      </c>
      <c r="I4165" s="7" cm="1">
        <f t="array" ref="I4165">IFERROR(_xlfn.IFS(M4165="נח",1,M4165="נע ונח",1,M4165="שני שווא נח",2,M4165="שני שוואים בסוף מילה",2,M4165="שני שוואים ברצף",1),"0")</f>
        <v>1</v>
      </c>
      <c r="J4165" s="9">
        <f t="shared" si="267"/>
        <v>4</v>
      </c>
      <c r="K4165" t="s">
        <v>6698</v>
      </c>
      <c r="L4165" t="s">
        <v>6694</v>
      </c>
      <c r="M4165" t="s">
        <v>6701</v>
      </c>
      <c r="N4165" t="s">
        <v>6706</v>
      </c>
      <c r="O4165" t="s">
        <v>6694</v>
      </c>
      <c r="P4165" t="s">
        <v>6694</v>
      </c>
      <c r="V4165" t="s">
        <v>6694</v>
      </c>
      <c r="W4165" t="s">
        <v>6720</v>
      </c>
    </row>
    <row r="4166" spans="1:23" ht="15.6" x14ac:dyDescent="0.4">
      <c r="A4166" s="2" t="s">
        <v>5674</v>
      </c>
      <c r="B4166" s="5" t="s">
        <v>10381</v>
      </c>
      <c r="C4166" s="7" t="s">
        <v>12556</v>
      </c>
      <c r="D4166" s="8">
        <f t="shared" si="264"/>
        <v>0</v>
      </c>
      <c r="E4166" s="7" t="s">
        <v>12557</v>
      </c>
      <c r="F4166" s="7">
        <f t="shared" si="265"/>
        <v>0</v>
      </c>
      <c r="G4166" s="7" t="s">
        <v>12558</v>
      </c>
      <c r="H4166" s="7">
        <f t="shared" si="266"/>
        <v>0</v>
      </c>
      <c r="I4166" s="7" t="str" cm="1">
        <f t="array" ref="I4166">IFERROR(_xlfn.IFS(M4166="נח",1,M4166="נע ונח",1,M4166="שני שווא נח",2,M4166="שני שוואים בסוף מילה",2,M4166="שני שוואים ברצף",1),"0")</f>
        <v>0</v>
      </c>
      <c r="J4166" s="9">
        <f t="shared" si="267"/>
        <v>2</v>
      </c>
      <c r="K4166" t="s">
        <v>6698</v>
      </c>
      <c r="L4166" t="s">
        <v>6694</v>
      </c>
      <c r="M4166" t="s">
        <v>6700</v>
      </c>
      <c r="N4166" t="s">
        <v>6706</v>
      </c>
      <c r="O4166" t="s">
        <v>6694</v>
      </c>
      <c r="W4166" t="s">
        <v>6720</v>
      </c>
    </row>
    <row r="4167" spans="1:23" ht="15.6" x14ac:dyDescent="0.4">
      <c r="A4167" s="2" t="s">
        <v>1642</v>
      </c>
      <c r="B4167" s="5" t="s">
        <v>10384</v>
      </c>
      <c r="C4167" s="7" t="s">
        <v>12556</v>
      </c>
      <c r="D4167" s="8">
        <f t="shared" si="264"/>
        <v>1</v>
      </c>
      <c r="E4167" s="7" t="s">
        <v>12557</v>
      </c>
      <c r="F4167" s="7">
        <f t="shared" si="265"/>
        <v>0</v>
      </c>
      <c r="G4167" s="7" t="s">
        <v>12558</v>
      </c>
      <c r="H4167" s="7">
        <f t="shared" si="266"/>
        <v>0</v>
      </c>
      <c r="I4167" s="7" cm="1">
        <f t="array" ref="I4167">IFERROR(_xlfn.IFS(M4167="נח",1,M4167="נע ונח",1,M4167="שני שווא נח",2,M4167="שני שוואים בסוף מילה",2,M4167="שני שוואים ברצף",1),"0")</f>
        <v>1</v>
      </c>
      <c r="J4167" s="9">
        <f t="shared" si="267"/>
        <v>3</v>
      </c>
      <c r="K4167" t="s">
        <v>6698</v>
      </c>
      <c r="L4167" t="s">
        <v>6694</v>
      </c>
      <c r="M4167" t="s">
        <v>6701</v>
      </c>
      <c r="N4167" t="s">
        <v>6706</v>
      </c>
      <c r="O4167" t="s">
        <v>6694</v>
      </c>
      <c r="W4167" t="s">
        <v>6720</v>
      </c>
    </row>
    <row r="4168" spans="1:23" ht="15.6" x14ac:dyDescent="0.4">
      <c r="A4168" s="2" t="s">
        <v>3756</v>
      </c>
      <c r="B4168" s="5" t="s">
        <v>10385</v>
      </c>
      <c r="C4168" s="7" t="s">
        <v>12556</v>
      </c>
      <c r="D4168" s="8">
        <f t="shared" si="264"/>
        <v>0</v>
      </c>
      <c r="E4168" s="7" t="s">
        <v>12557</v>
      </c>
      <c r="F4168" s="7">
        <f t="shared" si="265"/>
        <v>0</v>
      </c>
      <c r="G4168" s="7" t="s">
        <v>12558</v>
      </c>
      <c r="H4168" s="7">
        <f t="shared" si="266"/>
        <v>0</v>
      </c>
      <c r="I4168" s="7" t="str" cm="1">
        <f t="array" ref="I4168">IFERROR(_xlfn.IFS(M4168="נח",1,M4168="נע ונח",1,M4168="שני שווא נח",2,M4168="שני שוואים בסוף מילה",2,M4168="שני שוואים ברצף",1),"0")</f>
        <v>0</v>
      </c>
      <c r="J4168" s="9">
        <f t="shared" si="267"/>
        <v>3</v>
      </c>
      <c r="K4168" t="s">
        <v>6698</v>
      </c>
      <c r="L4168" t="s">
        <v>6694</v>
      </c>
      <c r="M4168" t="s">
        <v>6700</v>
      </c>
      <c r="N4168" t="s">
        <v>6706</v>
      </c>
      <c r="O4168" t="s">
        <v>6694</v>
      </c>
      <c r="V4168" t="s">
        <v>6694</v>
      </c>
      <c r="W4168" t="s">
        <v>6720</v>
      </c>
    </row>
    <row r="4169" spans="1:23" ht="15.6" x14ac:dyDescent="0.4">
      <c r="A4169" s="2" t="s">
        <v>1768</v>
      </c>
      <c r="B4169" s="5" t="s">
        <v>10386</v>
      </c>
      <c r="C4169" s="7" t="s">
        <v>12556</v>
      </c>
      <c r="D4169" s="8">
        <f t="shared" si="264"/>
        <v>1</v>
      </c>
      <c r="E4169" s="7" t="s">
        <v>12557</v>
      </c>
      <c r="F4169" s="7">
        <f t="shared" si="265"/>
        <v>0</v>
      </c>
      <c r="G4169" s="7" t="s">
        <v>12558</v>
      </c>
      <c r="H4169" s="7">
        <f t="shared" si="266"/>
        <v>0</v>
      </c>
      <c r="I4169" s="7" t="str" cm="1">
        <f t="array" ref="I4169">IFERROR(_xlfn.IFS(M4169="נח",1,M4169="נע ונח",1,M4169="שני שווא נח",2,M4169="שני שוואים בסוף מילה",2,M4169="שני שוואים ברצף",1),"0")</f>
        <v>0</v>
      </c>
      <c r="J4169" s="9">
        <f t="shared" si="267"/>
        <v>3</v>
      </c>
      <c r="K4169" t="s">
        <v>6697</v>
      </c>
      <c r="L4169" t="s">
        <v>6694</v>
      </c>
      <c r="M4169" t="s">
        <v>6700</v>
      </c>
      <c r="Q4169" t="s">
        <v>6694</v>
      </c>
      <c r="V4169" t="s">
        <v>6694</v>
      </c>
      <c r="W4169" t="s">
        <v>6720</v>
      </c>
    </row>
    <row r="4170" spans="1:23" ht="15.6" x14ac:dyDescent="0.4">
      <c r="A4170" s="2" t="s">
        <v>425</v>
      </c>
      <c r="B4170" s="5" t="s">
        <v>10387</v>
      </c>
      <c r="C4170" s="7" t="s">
        <v>12556</v>
      </c>
      <c r="D4170" s="8">
        <f t="shared" si="264"/>
        <v>0</v>
      </c>
      <c r="E4170" s="7" t="s">
        <v>12557</v>
      </c>
      <c r="F4170" s="7">
        <f t="shared" si="265"/>
        <v>0</v>
      </c>
      <c r="G4170" s="7" t="s">
        <v>12558</v>
      </c>
      <c r="H4170" s="7">
        <f t="shared" si="266"/>
        <v>0</v>
      </c>
      <c r="I4170" s="7" t="str" cm="1">
        <f t="array" ref="I4170">IFERROR(_xlfn.IFS(M4170="נח",1,M4170="נע ונח",1,M4170="שני שווא נח",2,M4170="שני שוואים בסוף מילה",2,M4170="שני שוואים ברצף",1),"0")</f>
        <v>0</v>
      </c>
      <c r="J4170" s="9">
        <f t="shared" si="267"/>
        <v>3</v>
      </c>
      <c r="K4170" t="s">
        <v>6698</v>
      </c>
      <c r="L4170" t="s">
        <v>6694</v>
      </c>
      <c r="M4170" t="s">
        <v>6700</v>
      </c>
      <c r="N4170" t="s">
        <v>6706</v>
      </c>
      <c r="O4170" t="s">
        <v>6694</v>
      </c>
      <c r="V4170" t="s">
        <v>6694</v>
      </c>
      <c r="W4170" t="s">
        <v>6720</v>
      </c>
    </row>
    <row r="4171" spans="1:23" ht="15.6" x14ac:dyDescent="0.4">
      <c r="A4171" s="2" t="s">
        <v>5456</v>
      </c>
      <c r="B4171" s="5" t="s">
        <v>10388</v>
      </c>
      <c r="C4171" s="7" t="s">
        <v>12556</v>
      </c>
      <c r="D4171" s="8">
        <f t="shared" si="264"/>
        <v>0</v>
      </c>
      <c r="E4171" s="7" t="s">
        <v>12557</v>
      </c>
      <c r="F4171" s="7">
        <f t="shared" si="265"/>
        <v>0</v>
      </c>
      <c r="G4171" s="7" t="s">
        <v>12558</v>
      </c>
      <c r="H4171" s="7">
        <f t="shared" si="266"/>
        <v>0</v>
      </c>
      <c r="I4171" s="7" t="str" cm="1">
        <f t="array" ref="I4171">IFERROR(_xlfn.IFS(M4171="נח",1,M4171="נע ונח",1,M4171="שני שווא נח",2,M4171="שני שוואים בסוף מילה",2,M4171="שני שוואים ברצף",1),"0")</f>
        <v>0</v>
      </c>
      <c r="J4171" s="9">
        <f t="shared" si="267"/>
        <v>2</v>
      </c>
      <c r="K4171" t="s">
        <v>6698</v>
      </c>
      <c r="L4171" t="s">
        <v>6694</v>
      </c>
      <c r="M4171" t="s">
        <v>6700</v>
      </c>
      <c r="V4171" t="s">
        <v>6694</v>
      </c>
      <c r="W4171" t="s">
        <v>6720</v>
      </c>
    </row>
    <row r="4172" spans="1:23" ht="15.6" x14ac:dyDescent="0.4">
      <c r="A4172" s="2" t="s">
        <v>3438</v>
      </c>
      <c r="B4172" s="5" t="s">
        <v>10389</v>
      </c>
      <c r="C4172" s="7" t="s">
        <v>12556</v>
      </c>
      <c r="D4172" s="8">
        <f t="shared" si="264"/>
        <v>0</v>
      </c>
      <c r="E4172" s="7" t="s">
        <v>12557</v>
      </c>
      <c r="F4172" s="7">
        <f t="shared" si="265"/>
        <v>0</v>
      </c>
      <c r="G4172" s="7" t="s">
        <v>12558</v>
      </c>
      <c r="H4172" s="7">
        <f t="shared" si="266"/>
        <v>0</v>
      </c>
      <c r="I4172" s="7" t="str" cm="1">
        <f t="array" ref="I4172">IFERROR(_xlfn.IFS(M4172="נח",1,M4172="נע ונח",1,M4172="שני שווא נח",2,M4172="שני שוואים בסוף מילה",2,M4172="שני שוואים ברצף",1),"0")</f>
        <v>0</v>
      </c>
      <c r="J4172" s="9">
        <f t="shared" si="267"/>
        <v>2</v>
      </c>
      <c r="K4172" t="s">
        <v>6697</v>
      </c>
      <c r="L4172" t="s">
        <v>6694</v>
      </c>
      <c r="M4172" t="s">
        <v>6700</v>
      </c>
      <c r="S4172" t="s">
        <v>6694</v>
      </c>
      <c r="W4172" t="s">
        <v>6720</v>
      </c>
    </row>
    <row r="4173" spans="1:23" ht="15.6" x14ac:dyDescent="0.4">
      <c r="A4173" s="2" t="s">
        <v>4634</v>
      </c>
      <c r="B4173" s="5" t="s">
        <v>10390</v>
      </c>
      <c r="C4173" s="7" t="s">
        <v>12556</v>
      </c>
      <c r="D4173" s="8">
        <f t="shared" si="264"/>
        <v>0</v>
      </c>
      <c r="E4173" s="7" t="s">
        <v>12557</v>
      </c>
      <c r="F4173" s="7">
        <f t="shared" si="265"/>
        <v>0</v>
      </c>
      <c r="G4173" s="7" t="s">
        <v>12558</v>
      </c>
      <c r="H4173" s="7">
        <f t="shared" si="266"/>
        <v>0</v>
      </c>
      <c r="I4173" s="7" t="str" cm="1">
        <f t="array" ref="I4173">IFERROR(_xlfn.IFS(M4173="נח",1,M4173="נע ונח",1,M4173="שני שווא נח",2,M4173="שני שוואים בסוף מילה",2,M4173="שני שוואים ברצף",1),"0")</f>
        <v>0</v>
      </c>
      <c r="J4173" s="9">
        <f t="shared" si="267"/>
        <v>2</v>
      </c>
      <c r="K4173" t="s">
        <v>6698</v>
      </c>
      <c r="L4173" t="s">
        <v>6694</v>
      </c>
      <c r="M4173" t="s">
        <v>6700</v>
      </c>
      <c r="N4173" t="s">
        <v>6706</v>
      </c>
      <c r="O4173" t="s">
        <v>6694</v>
      </c>
      <c r="W4173" t="s">
        <v>6720</v>
      </c>
    </row>
    <row r="4174" spans="1:23" ht="15.6" x14ac:dyDescent="0.4">
      <c r="A4174" s="2" t="s">
        <v>4803</v>
      </c>
      <c r="B4174" s="5" t="s">
        <v>10391</v>
      </c>
      <c r="C4174" s="7" t="s">
        <v>12556</v>
      </c>
      <c r="D4174" s="8">
        <f t="shared" si="264"/>
        <v>0</v>
      </c>
      <c r="E4174" s="7" t="s">
        <v>12557</v>
      </c>
      <c r="F4174" s="7">
        <f t="shared" si="265"/>
        <v>0</v>
      </c>
      <c r="G4174" s="7" t="s">
        <v>12558</v>
      </c>
      <c r="H4174" s="7">
        <f t="shared" si="266"/>
        <v>0</v>
      </c>
      <c r="I4174" s="7" t="str" cm="1">
        <f t="array" ref="I4174">IFERROR(_xlfn.IFS(M4174="נח",1,M4174="נע ונח",1,M4174="שני שווא נח",2,M4174="שני שוואים בסוף מילה",2,M4174="שני שוואים ברצף",1),"0")</f>
        <v>0</v>
      </c>
      <c r="J4174" s="9">
        <f t="shared" si="267"/>
        <v>4</v>
      </c>
      <c r="K4174" t="s">
        <v>6698</v>
      </c>
      <c r="L4174" t="s">
        <v>6694</v>
      </c>
      <c r="M4174" t="s">
        <v>6700</v>
      </c>
      <c r="O4174" t="s">
        <v>6694</v>
      </c>
      <c r="R4174" t="s">
        <v>6694</v>
      </c>
      <c r="W4174" t="s">
        <v>6720</v>
      </c>
    </row>
    <row r="4175" spans="1:23" ht="15.6" x14ac:dyDescent="0.4">
      <c r="A4175" s="2" t="s">
        <v>819</v>
      </c>
      <c r="B4175" s="5" t="s">
        <v>10392</v>
      </c>
      <c r="C4175" s="7" t="s">
        <v>12556</v>
      </c>
      <c r="D4175" s="8">
        <f t="shared" si="264"/>
        <v>0</v>
      </c>
      <c r="E4175" s="7" t="s">
        <v>12557</v>
      </c>
      <c r="F4175" s="7">
        <f t="shared" si="265"/>
        <v>0</v>
      </c>
      <c r="G4175" s="7" t="s">
        <v>12558</v>
      </c>
      <c r="H4175" s="7">
        <f t="shared" si="266"/>
        <v>0</v>
      </c>
      <c r="I4175" s="7" t="str" cm="1">
        <f t="array" ref="I4175">IFERROR(_xlfn.IFS(M4175="נח",1,M4175="נע ונח",1,M4175="שני שווא נח",2,M4175="שני שוואים בסוף מילה",2,M4175="שני שוואים ברצף",1),"0")</f>
        <v>0</v>
      </c>
      <c r="J4175" s="9">
        <f t="shared" si="267"/>
        <v>4</v>
      </c>
      <c r="K4175" t="s">
        <v>6697</v>
      </c>
      <c r="L4175" t="s">
        <v>6694</v>
      </c>
      <c r="M4175" t="s">
        <v>6700</v>
      </c>
      <c r="O4175" t="s">
        <v>6694</v>
      </c>
      <c r="R4175" t="s">
        <v>6694</v>
      </c>
      <c r="W4175" t="s">
        <v>6720</v>
      </c>
    </row>
    <row r="4176" spans="1:23" ht="15.6" x14ac:dyDescent="0.4">
      <c r="A4176" s="2" t="s">
        <v>788</v>
      </c>
      <c r="B4176" s="5" t="s">
        <v>10393</v>
      </c>
      <c r="C4176" s="7" t="s">
        <v>12556</v>
      </c>
      <c r="D4176" s="8">
        <f t="shared" si="264"/>
        <v>0</v>
      </c>
      <c r="E4176" s="7" t="s">
        <v>12557</v>
      </c>
      <c r="F4176" s="7">
        <f t="shared" si="265"/>
        <v>0</v>
      </c>
      <c r="G4176" s="7" t="s">
        <v>12558</v>
      </c>
      <c r="H4176" s="7">
        <f t="shared" si="266"/>
        <v>0</v>
      </c>
      <c r="I4176" s="7" t="str" cm="1">
        <f t="array" ref="I4176">IFERROR(_xlfn.IFS(M4176="נח",1,M4176="נע ונח",1,M4176="שני שווא נח",2,M4176="שני שוואים בסוף מילה",2,M4176="שני שוואים ברצף",1),"0")</f>
        <v>0</v>
      </c>
      <c r="J4176" s="9">
        <f t="shared" si="267"/>
        <v>3</v>
      </c>
      <c r="K4176" t="s">
        <v>6698</v>
      </c>
      <c r="L4176" t="s">
        <v>6694</v>
      </c>
      <c r="M4176" t="s">
        <v>6700</v>
      </c>
      <c r="O4176" t="s">
        <v>6694</v>
      </c>
      <c r="P4176" t="s">
        <v>6694</v>
      </c>
      <c r="W4176" t="s">
        <v>6720</v>
      </c>
    </row>
    <row r="4177" spans="1:23" ht="15.6" x14ac:dyDescent="0.4">
      <c r="A4177" s="2" t="s">
        <v>1105</v>
      </c>
      <c r="B4177" s="5" t="s">
        <v>10394</v>
      </c>
      <c r="C4177" s="7" t="s">
        <v>12556</v>
      </c>
      <c r="D4177" s="8">
        <f t="shared" si="264"/>
        <v>0</v>
      </c>
      <c r="E4177" s="7" t="s">
        <v>12557</v>
      </c>
      <c r="F4177" s="7">
        <f t="shared" si="265"/>
        <v>0</v>
      </c>
      <c r="G4177" s="7" t="s">
        <v>12558</v>
      </c>
      <c r="H4177" s="7">
        <f t="shared" si="266"/>
        <v>0</v>
      </c>
      <c r="I4177" s="7" t="str" cm="1">
        <f t="array" ref="I4177">IFERROR(_xlfn.IFS(M4177="נח",1,M4177="נע ונח",1,M4177="שני שווא נח",2,M4177="שני שוואים בסוף מילה",2,M4177="שני שוואים ברצף",1),"0")</f>
        <v>0</v>
      </c>
      <c r="J4177" s="9">
        <f t="shared" si="267"/>
        <v>3</v>
      </c>
      <c r="K4177" t="s">
        <v>6698</v>
      </c>
      <c r="L4177" t="s">
        <v>6694</v>
      </c>
      <c r="M4177" t="s">
        <v>6700</v>
      </c>
      <c r="N4177" t="s">
        <v>6706</v>
      </c>
      <c r="O4177" t="s">
        <v>6694</v>
      </c>
      <c r="W4177" t="s">
        <v>6720</v>
      </c>
    </row>
    <row r="4178" spans="1:23" ht="15.6" x14ac:dyDescent="0.4">
      <c r="A4178" s="2" t="s">
        <v>729</v>
      </c>
      <c r="B4178" s="5" t="s">
        <v>10395</v>
      </c>
      <c r="C4178" s="7" t="s">
        <v>12556</v>
      </c>
      <c r="D4178" s="8">
        <f t="shared" si="264"/>
        <v>0</v>
      </c>
      <c r="E4178" s="7" t="s">
        <v>12557</v>
      </c>
      <c r="F4178" s="7">
        <f t="shared" si="265"/>
        <v>0</v>
      </c>
      <c r="G4178" s="7" t="s">
        <v>12558</v>
      </c>
      <c r="H4178" s="7">
        <f t="shared" si="266"/>
        <v>0</v>
      </c>
      <c r="I4178" s="7" t="str" cm="1">
        <f t="array" ref="I4178">IFERROR(_xlfn.IFS(M4178="נח",1,M4178="נע ונח",1,M4178="שני שווא נח",2,M4178="שני שוואים בסוף מילה",2,M4178="שני שוואים ברצף",1),"0")</f>
        <v>0</v>
      </c>
      <c r="J4178" s="9">
        <f t="shared" si="267"/>
        <v>4</v>
      </c>
      <c r="K4178" t="s">
        <v>6697</v>
      </c>
      <c r="L4178" t="s">
        <v>6694</v>
      </c>
      <c r="M4178" t="s">
        <v>6700</v>
      </c>
      <c r="O4178" t="s">
        <v>6694</v>
      </c>
      <c r="V4178" t="s">
        <v>6694</v>
      </c>
      <c r="W4178" t="s">
        <v>6720</v>
      </c>
    </row>
    <row r="4179" spans="1:23" ht="15.6" x14ac:dyDescent="0.4">
      <c r="A4179" s="2" t="s">
        <v>6650</v>
      </c>
      <c r="B4179" s="5" t="s">
        <v>10396</v>
      </c>
      <c r="C4179" s="7" t="s">
        <v>12556</v>
      </c>
      <c r="D4179" s="8">
        <f t="shared" si="264"/>
        <v>0</v>
      </c>
      <c r="E4179" s="7" t="s">
        <v>12557</v>
      </c>
      <c r="F4179" s="7">
        <f t="shared" si="265"/>
        <v>1</v>
      </c>
      <c r="G4179" s="7" t="s">
        <v>12558</v>
      </c>
      <c r="H4179" s="7">
        <f t="shared" si="266"/>
        <v>0</v>
      </c>
      <c r="I4179" s="7" t="str" cm="1">
        <f t="array" ref="I4179">IFERROR(_xlfn.IFS(M4179="נח",1,M4179="נע ונח",1,M4179="שני שווא נח",2,M4179="שני שוואים בסוף מילה",2,M4179="שני שוואים ברצף",1),"0")</f>
        <v>0</v>
      </c>
      <c r="J4179" s="9">
        <f t="shared" si="267"/>
        <v>3</v>
      </c>
      <c r="K4179" t="s">
        <v>6698</v>
      </c>
      <c r="L4179" t="s">
        <v>6694</v>
      </c>
      <c r="M4179" t="s">
        <v>6700</v>
      </c>
      <c r="S4179" t="s">
        <v>6694</v>
      </c>
      <c r="W4179" t="s">
        <v>6720</v>
      </c>
    </row>
    <row r="4180" spans="1:23" ht="15.6" x14ac:dyDescent="0.4">
      <c r="A4180" s="2" t="s">
        <v>6143</v>
      </c>
      <c r="B4180" s="5" t="s">
        <v>10397</v>
      </c>
      <c r="C4180" s="7" t="s">
        <v>12556</v>
      </c>
      <c r="D4180" s="8">
        <f t="shared" si="264"/>
        <v>0</v>
      </c>
      <c r="E4180" s="7" t="s">
        <v>12557</v>
      </c>
      <c r="F4180" s="7">
        <f t="shared" si="265"/>
        <v>1</v>
      </c>
      <c r="G4180" s="7" t="s">
        <v>12558</v>
      </c>
      <c r="H4180" s="7">
        <f t="shared" si="266"/>
        <v>0</v>
      </c>
      <c r="I4180" s="7" t="str" cm="1">
        <f t="array" ref="I4180">IFERROR(_xlfn.IFS(M4180="נח",1,M4180="נע ונח",1,M4180="שני שווא נח",2,M4180="שני שוואים בסוף מילה",2,M4180="שני שוואים ברצף",1),"0")</f>
        <v>0</v>
      </c>
      <c r="J4180" s="9">
        <f t="shared" si="267"/>
        <v>4</v>
      </c>
      <c r="K4180" t="s">
        <v>6698</v>
      </c>
      <c r="L4180" t="s">
        <v>6694</v>
      </c>
      <c r="M4180" t="s">
        <v>6700</v>
      </c>
      <c r="O4180" t="s">
        <v>6694</v>
      </c>
      <c r="S4180" t="s">
        <v>6694</v>
      </c>
      <c r="V4180" t="s">
        <v>6694</v>
      </c>
      <c r="W4180" t="s">
        <v>6720</v>
      </c>
    </row>
    <row r="4181" spans="1:23" ht="15.6" x14ac:dyDescent="0.4">
      <c r="A4181" s="2" t="s">
        <v>1951</v>
      </c>
      <c r="B4181" s="5" t="s">
        <v>10398</v>
      </c>
      <c r="C4181" s="7" t="s">
        <v>12556</v>
      </c>
      <c r="D4181" s="8">
        <f t="shared" si="264"/>
        <v>0</v>
      </c>
      <c r="E4181" s="7" t="s">
        <v>12557</v>
      </c>
      <c r="F4181" s="7">
        <f t="shared" si="265"/>
        <v>0</v>
      </c>
      <c r="G4181" s="7" t="s">
        <v>12558</v>
      </c>
      <c r="H4181" s="7">
        <f t="shared" si="266"/>
        <v>0</v>
      </c>
      <c r="I4181" s="7" t="str" cm="1">
        <f t="array" ref="I4181">IFERROR(_xlfn.IFS(M4181="נח",1,M4181="נע ונח",1,M4181="שני שווא נח",2,M4181="שני שוואים בסוף מילה",2,M4181="שני שוואים ברצף",1),"0")</f>
        <v>0</v>
      </c>
      <c r="J4181" s="9">
        <f t="shared" si="267"/>
        <v>3</v>
      </c>
      <c r="K4181" t="s">
        <v>6697</v>
      </c>
      <c r="L4181" t="s">
        <v>6694</v>
      </c>
      <c r="M4181" t="s">
        <v>6700</v>
      </c>
      <c r="P4181" t="s">
        <v>6694</v>
      </c>
      <c r="R4181" t="s">
        <v>6694</v>
      </c>
      <c r="W4181" t="s">
        <v>6720</v>
      </c>
    </row>
    <row r="4182" spans="1:23" ht="15.6" x14ac:dyDescent="0.4">
      <c r="A4182" s="2" t="s">
        <v>150</v>
      </c>
      <c r="B4182" s="5" t="s">
        <v>10399</v>
      </c>
      <c r="C4182" s="7" t="s">
        <v>12556</v>
      </c>
      <c r="D4182" s="8">
        <f t="shared" si="264"/>
        <v>0</v>
      </c>
      <c r="E4182" s="7" t="s">
        <v>12557</v>
      </c>
      <c r="F4182" s="7">
        <f t="shared" si="265"/>
        <v>1</v>
      </c>
      <c r="G4182" s="7" t="s">
        <v>12558</v>
      </c>
      <c r="H4182" s="7">
        <f t="shared" si="266"/>
        <v>1</v>
      </c>
      <c r="I4182" s="7" t="str" cm="1">
        <f t="array" ref="I4182">IFERROR(_xlfn.IFS(M4182="נח",1,M4182="נע ונח",1,M4182="שני שווא נח",2,M4182="שני שוואים בסוף מילה",2,M4182="שני שוואים ברצף",1),"0")</f>
        <v>0</v>
      </c>
      <c r="J4182" s="9">
        <f t="shared" si="267"/>
        <v>2</v>
      </c>
      <c r="K4182" t="s">
        <v>6698</v>
      </c>
      <c r="L4182" t="s">
        <v>6694</v>
      </c>
      <c r="M4182" t="s">
        <v>6700</v>
      </c>
      <c r="U4182" t="s">
        <v>6694</v>
      </c>
      <c r="W4182" t="s">
        <v>6720</v>
      </c>
    </row>
    <row r="4183" spans="1:23" ht="15.6" x14ac:dyDescent="0.4">
      <c r="A4183" s="2" t="s">
        <v>565</v>
      </c>
      <c r="B4183" s="5" t="s">
        <v>10400</v>
      </c>
      <c r="C4183" s="7" t="s">
        <v>12556</v>
      </c>
      <c r="D4183" s="8">
        <f t="shared" si="264"/>
        <v>1</v>
      </c>
      <c r="E4183" s="7" t="s">
        <v>12557</v>
      </c>
      <c r="F4183" s="7">
        <f t="shared" si="265"/>
        <v>0</v>
      </c>
      <c r="G4183" s="7" t="s">
        <v>12558</v>
      </c>
      <c r="H4183" s="7">
        <f t="shared" si="266"/>
        <v>0</v>
      </c>
      <c r="I4183" s="7" cm="1">
        <f t="array" ref="I4183">IFERROR(_xlfn.IFS(M4183="נח",1,M4183="נע ונח",1,M4183="שני שווא נח",2,M4183="שני שוואים בסוף מילה",2,M4183="שני שוואים ברצף",1),"0")</f>
        <v>1</v>
      </c>
      <c r="J4183" s="9">
        <f t="shared" si="267"/>
        <v>3</v>
      </c>
      <c r="K4183" t="s">
        <v>6697</v>
      </c>
      <c r="L4183" t="s">
        <v>6694</v>
      </c>
      <c r="M4183" t="s">
        <v>6701</v>
      </c>
      <c r="N4183" t="s">
        <v>6706</v>
      </c>
      <c r="O4183" t="s">
        <v>6694</v>
      </c>
      <c r="V4183" t="s">
        <v>6694</v>
      </c>
      <c r="W4183" t="s">
        <v>6720</v>
      </c>
    </row>
    <row r="4184" spans="1:23" ht="15.6" x14ac:dyDescent="0.4">
      <c r="A4184" s="2" t="s">
        <v>3525</v>
      </c>
      <c r="B4184" s="5" t="s">
        <v>10401</v>
      </c>
      <c r="C4184" s="7" t="s">
        <v>12556</v>
      </c>
      <c r="D4184" s="8">
        <f t="shared" si="264"/>
        <v>0</v>
      </c>
      <c r="E4184" s="7" t="s">
        <v>12557</v>
      </c>
      <c r="F4184" s="7">
        <f t="shared" si="265"/>
        <v>0</v>
      </c>
      <c r="G4184" s="7" t="s">
        <v>12558</v>
      </c>
      <c r="H4184" s="7">
        <f t="shared" si="266"/>
        <v>0</v>
      </c>
      <c r="I4184" s="7" t="str" cm="1">
        <f t="array" ref="I4184">IFERROR(_xlfn.IFS(M4184="נח",1,M4184="נע ונח",1,M4184="שני שווא נח",2,M4184="שני שוואים בסוף מילה",2,M4184="שני שוואים ברצף",1),"0")</f>
        <v>0</v>
      </c>
      <c r="J4184" s="9">
        <f t="shared" si="267"/>
        <v>3</v>
      </c>
      <c r="K4184" t="s">
        <v>6698</v>
      </c>
      <c r="L4184" t="s">
        <v>6694</v>
      </c>
      <c r="M4184" t="s">
        <v>6700</v>
      </c>
      <c r="N4184" t="s">
        <v>6706</v>
      </c>
      <c r="O4184" t="s">
        <v>6694</v>
      </c>
      <c r="W4184" t="s">
        <v>6720</v>
      </c>
    </row>
    <row r="4185" spans="1:23" ht="15.6" x14ac:dyDescent="0.4">
      <c r="A4185" s="2" t="s">
        <v>3155</v>
      </c>
      <c r="B4185" s="5" t="s">
        <v>10402</v>
      </c>
      <c r="C4185" s="7" t="s">
        <v>12556</v>
      </c>
      <c r="D4185" s="8">
        <f t="shared" si="264"/>
        <v>0</v>
      </c>
      <c r="E4185" s="7" t="s">
        <v>12557</v>
      </c>
      <c r="F4185" s="7">
        <f t="shared" si="265"/>
        <v>0</v>
      </c>
      <c r="G4185" s="7" t="s">
        <v>12558</v>
      </c>
      <c r="H4185" s="7">
        <f t="shared" si="266"/>
        <v>0</v>
      </c>
      <c r="I4185" s="7" t="str" cm="1">
        <f t="array" ref="I4185">IFERROR(_xlfn.IFS(M4185="נח",1,M4185="נע ונח",1,M4185="שני שווא נח",2,M4185="שני שוואים בסוף מילה",2,M4185="שני שוואים ברצף",1),"0")</f>
        <v>0</v>
      </c>
      <c r="J4185" s="9">
        <f t="shared" si="267"/>
        <v>2</v>
      </c>
      <c r="K4185" t="s">
        <v>6698</v>
      </c>
      <c r="L4185" t="s">
        <v>6694</v>
      </c>
      <c r="M4185" t="s">
        <v>6700</v>
      </c>
      <c r="V4185" t="s">
        <v>6694</v>
      </c>
      <c r="W4185" t="s">
        <v>6720</v>
      </c>
    </row>
    <row r="4186" spans="1:23" ht="15.6" x14ac:dyDescent="0.4">
      <c r="A4186" s="2" t="s">
        <v>4864</v>
      </c>
      <c r="B4186" s="5" t="s">
        <v>10403</v>
      </c>
      <c r="C4186" s="7" t="s">
        <v>12556</v>
      </c>
      <c r="D4186" s="8">
        <f t="shared" si="264"/>
        <v>0</v>
      </c>
      <c r="E4186" s="7" t="s">
        <v>12557</v>
      </c>
      <c r="F4186" s="7">
        <f t="shared" si="265"/>
        <v>0</v>
      </c>
      <c r="G4186" s="7" t="s">
        <v>12558</v>
      </c>
      <c r="H4186" s="7">
        <f t="shared" si="266"/>
        <v>0</v>
      </c>
      <c r="I4186" s="7" t="str" cm="1">
        <f t="array" ref="I4186">IFERROR(_xlfn.IFS(M4186="נח",1,M4186="נע ונח",1,M4186="שני שווא נח",2,M4186="שני שוואים בסוף מילה",2,M4186="שני שוואים ברצף",1),"0")</f>
        <v>0</v>
      </c>
      <c r="J4186" s="9">
        <f t="shared" si="267"/>
        <v>3</v>
      </c>
      <c r="K4186" t="s">
        <v>6697</v>
      </c>
      <c r="L4186" t="s">
        <v>6694</v>
      </c>
      <c r="M4186" t="s">
        <v>6700</v>
      </c>
      <c r="S4186" t="s">
        <v>6694</v>
      </c>
      <c r="V4186" t="s">
        <v>6694</v>
      </c>
      <c r="W4186" t="s">
        <v>6720</v>
      </c>
    </row>
    <row r="4187" spans="1:23" ht="15.6" x14ac:dyDescent="0.4">
      <c r="A4187" s="2" t="s">
        <v>6199</v>
      </c>
      <c r="B4187" s="5" t="s">
        <v>10404</v>
      </c>
      <c r="C4187" s="7" t="s">
        <v>12556</v>
      </c>
      <c r="D4187" s="8">
        <f t="shared" si="264"/>
        <v>0</v>
      </c>
      <c r="E4187" s="7" t="s">
        <v>12557</v>
      </c>
      <c r="F4187" s="7">
        <f t="shared" si="265"/>
        <v>0</v>
      </c>
      <c r="G4187" s="7" t="s">
        <v>12558</v>
      </c>
      <c r="H4187" s="7">
        <f t="shared" si="266"/>
        <v>0</v>
      </c>
      <c r="I4187" s="7" t="str" cm="1">
        <f t="array" ref="I4187">IFERROR(_xlfn.IFS(M4187="נח",1,M4187="נע ונח",1,M4187="שני שווא נח",2,M4187="שני שוואים בסוף מילה",2,M4187="שני שוואים ברצף",1),"0")</f>
        <v>0</v>
      </c>
      <c r="J4187" s="9">
        <f t="shared" si="267"/>
        <v>3</v>
      </c>
      <c r="K4187" t="s">
        <v>6697</v>
      </c>
      <c r="L4187" t="s">
        <v>6694</v>
      </c>
      <c r="M4187" t="s">
        <v>6700</v>
      </c>
      <c r="S4187" t="s">
        <v>6694</v>
      </c>
      <c r="W4187" t="s">
        <v>6720</v>
      </c>
    </row>
    <row r="4188" spans="1:23" ht="15.6" x14ac:dyDescent="0.4">
      <c r="A4188" s="2" t="s">
        <v>5026</v>
      </c>
      <c r="B4188" s="5" t="s">
        <v>10405</v>
      </c>
      <c r="C4188" s="7" t="s">
        <v>12556</v>
      </c>
      <c r="D4188" s="8">
        <f t="shared" si="264"/>
        <v>0</v>
      </c>
      <c r="E4188" s="7" t="s">
        <v>12557</v>
      </c>
      <c r="F4188" s="7">
        <f t="shared" si="265"/>
        <v>0</v>
      </c>
      <c r="G4188" s="7" t="s">
        <v>12558</v>
      </c>
      <c r="H4188" s="7">
        <f t="shared" si="266"/>
        <v>0</v>
      </c>
      <c r="I4188" s="7" t="str" cm="1">
        <f t="array" ref="I4188">IFERROR(_xlfn.IFS(M4188="נח",1,M4188="נע ונח",1,M4188="שני שווא נח",2,M4188="שני שוואים בסוף מילה",2,M4188="שני שוואים ברצף",1),"0")</f>
        <v>0</v>
      </c>
      <c r="J4188" s="9">
        <f t="shared" si="267"/>
        <v>3</v>
      </c>
      <c r="K4188" t="s">
        <v>6697</v>
      </c>
      <c r="L4188" t="s">
        <v>6694</v>
      </c>
      <c r="M4188" t="s">
        <v>6700</v>
      </c>
      <c r="Q4188" t="s">
        <v>6694</v>
      </c>
      <c r="S4188" t="s">
        <v>6694</v>
      </c>
      <c r="W4188" t="s">
        <v>6720</v>
      </c>
    </row>
    <row r="4189" spans="1:23" ht="15.6" x14ac:dyDescent="0.4">
      <c r="A4189" s="2" t="s">
        <v>5222</v>
      </c>
      <c r="B4189" s="5" t="s">
        <v>10406</v>
      </c>
      <c r="C4189" s="7" t="s">
        <v>12556</v>
      </c>
      <c r="D4189" s="8">
        <f t="shared" si="264"/>
        <v>0</v>
      </c>
      <c r="E4189" s="7" t="s">
        <v>12557</v>
      </c>
      <c r="F4189" s="7">
        <f t="shared" si="265"/>
        <v>1</v>
      </c>
      <c r="G4189" s="7" t="s">
        <v>12558</v>
      </c>
      <c r="H4189" s="7">
        <f t="shared" si="266"/>
        <v>1</v>
      </c>
      <c r="I4189" s="7" t="str" cm="1">
        <f t="array" ref="I4189">IFERROR(_xlfn.IFS(M4189="נח",1,M4189="נע ונח",1,M4189="שני שווא נח",2,M4189="שני שוואים בסוף מילה",2,M4189="שני שוואים ברצף",1),"0")</f>
        <v>0</v>
      </c>
      <c r="J4189" s="9">
        <f t="shared" si="267"/>
        <v>4</v>
      </c>
      <c r="K4189" t="s">
        <v>6697</v>
      </c>
      <c r="L4189" t="s">
        <v>6694</v>
      </c>
      <c r="M4189" t="s">
        <v>6700</v>
      </c>
      <c r="Q4189" t="s">
        <v>6694</v>
      </c>
      <c r="U4189" t="s">
        <v>6694</v>
      </c>
      <c r="W4189" t="s">
        <v>6720</v>
      </c>
    </row>
    <row r="4190" spans="1:23" ht="15.6" x14ac:dyDescent="0.4">
      <c r="A4190" s="2" t="s">
        <v>482</v>
      </c>
      <c r="B4190" s="5" t="s">
        <v>10407</v>
      </c>
      <c r="C4190" s="7" t="s">
        <v>12556</v>
      </c>
      <c r="D4190" s="8">
        <f t="shared" si="264"/>
        <v>0</v>
      </c>
      <c r="E4190" s="7" t="s">
        <v>12557</v>
      </c>
      <c r="F4190" s="7">
        <f t="shared" si="265"/>
        <v>1</v>
      </c>
      <c r="G4190" s="7" t="s">
        <v>12558</v>
      </c>
      <c r="H4190" s="7">
        <f t="shared" si="266"/>
        <v>0</v>
      </c>
      <c r="I4190" s="7" t="str" cm="1">
        <f t="array" ref="I4190">IFERROR(_xlfn.IFS(M4190="נח",1,M4190="נע ונח",1,M4190="שני שווא נח",2,M4190="שני שוואים בסוף מילה",2,M4190="שני שוואים ברצף",1),"0")</f>
        <v>0</v>
      </c>
      <c r="J4190" s="9">
        <f t="shared" si="267"/>
        <v>3</v>
      </c>
      <c r="K4190" t="s">
        <v>6698</v>
      </c>
      <c r="L4190" t="s">
        <v>6694</v>
      </c>
      <c r="M4190" t="s">
        <v>6700</v>
      </c>
      <c r="P4190" t="s">
        <v>6694</v>
      </c>
      <c r="S4190" t="s">
        <v>6694</v>
      </c>
      <c r="W4190" t="s">
        <v>6720</v>
      </c>
    </row>
    <row r="4191" spans="1:23" ht="15.6" x14ac:dyDescent="0.4">
      <c r="A4191" s="2" t="s">
        <v>6286</v>
      </c>
      <c r="B4191" s="5" t="s">
        <v>10408</v>
      </c>
      <c r="C4191" s="7" t="s">
        <v>12556</v>
      </c>
      <c r="D4191" s="8">
        <f t="shared" si="264"/>
        <v>0</v>
      </c>
      <c r="E4191" s="7" t="s">
        <v>12557</v>
      </c>
      <c r="F4191" s="7">
        <f t="shared" si="265"/>
        <v>0</v>
      </c>
      <c r="G4191" s="7" t="s">
        <v>12558</v>
      </c>
      <c r="H4191" s="7">
        <f t="shared" si="266"/>
        <v>0</v>
      </c>
      <c r="I4191" s="7" cm="1">
        <f t="array" ref="I4191">IFERROR(_xlfn.IFS(M4191="נח",1,M4191="נע ונח",1,M4191="שני שווא נח",2,M4191="שני שוואים בסוף מילה",2,M4191="שני שוואים ברצף",1),"0")</f>
        <v>1</v>
      </c>
      <c r="J4191" s="9">
        <f t="shared" si="267"/>
        <v>4</v>
      </c>
      <c r="K4191" t="s">
        <v>6697</v>
      </c>
      <c r="L4191" t="s">
        <v>6694</v>
      </c>
      <c r="M4191" t="s">
        <v>6701</v>
      </c>
      <c r="O4191" t="s">
        <v>6694</v>
      </c>
      <c r="P4191" t="s">
        <v>6694</v>
      </c>
      <c r="R4191" t="s">
        <v>6694</v>
      </c>
      <c r="W4191" t="s">
        <v>6720</v>
      </c>
    </row>
    <row r="4192" spans="1:23" ht="15.6" x14ac:dyDescent="0.4">
      <c r="A4192" s="2" t="s">
        <v>1507</v>
      </c>
      <c r="B4192" s="5" t="s">
        <v>10409</v>
      </c>
      <c r="C4192" s="7" t="s">
        <v>12556</v>
      </c>
      <c r="D4192" s="8">
        <f t="shared" si="264"/>
        <v>0</v>
      </c>
      <c r="E4192" s="7" t="s">
        <v>12557</v>
      </c>
      <c r="F4192" s="7">
        <f t="shared" si="265"/>
        <v>0</v>
      </c>
      <c r="G4192" s="7" t="s">
        <v>12558</v>
      </c>
      <c r="H4192" s="7">
        <f t="shared" si="266"/>
        <v>0</v>
      </c>
      <c r="I4192" s="7" t="str" cm="1">
        <f t="array" ref="I4192">IFERROR(_xlfn.IFS(M4192="נח",1,M4192="נע ונח",1,M4192="שני שווא נח",2,M4192="שני שוואים בסוף מילה",2,M4192="שני שוואים ברצף",1),"0")</f>
        <v>0</v>
      </c>
      <c r="J4192" s="9">
        <f t="shared" si="267"/>
        <v>3</v>
      </c>
      <c r="K4192" t="s">
        <v>6698</v>
      </c>
      <c r="L4192" t="s">
        <v>6694</v>
      </c>
      <c r="M4192" t="s">
        <v>6700</v>
      </c>
      <c r="O4192" t="s">
        <v>6694</v>
      </c>
      <c r="V4192" t="s">
        <v>6694</v>
      </c>
      <c r="W4192" t="s">
        <v>6720</v>
      </c>
    </row>
    <row r="4193" spans="1:23" ht="15.6" x14ac:dyDescent="0.4">
      <c r="A4193" s="2" t="s">
        <v>1744</v>
      </c>
      <c r="B4193" s="5" t="s">
        <v>10410</v>
      </c>
      <c r="C4193" s="7" t="s">
        <v>12556</v>
      </c>
      <c r="D4193" s="8">
        <f t="shared" si="264"/>
        <v>1</v>
      </c>
      <c r="E4193" s="7" t="s">
        <v>12557</v>
      </c>
      <c r="F4193" s="7">
        <f t="shared" si="265"/>
        <v>0</v>
      </c>
      <c r="G4193" s="7" t="s">
        <v>12558</v>
      </c>
      <c r="H4193" s="7">
        <f t="shared" si="266"/>
        <v>0</v>
      </c>
      <c r="I4193" s="7" t="str" cm="1">
        <f t="array" ref="I4193">IFERROR(_xlfn.IFS(M4193="נח",1,M4193="נע ונח",1,M4193="שני שווא נח",2,M4193="שני שוואים בסוף מילה",2,M4193="שני שוואים ברצף",1),"0")</f>
        <v>0</v>
      </c>
      <c r="J4193" s="9">
        <f t="shared" si="267"/>
        <v>2</v>
      </c>
      <c r="K4193" t="s">
        <v>6698</v>
      </c>
      <c r="L4193" t="s">
        <v>6694</v>
      </c>
      <c r="M4193" t="s">
        <v>6700</v>
      </c>
      <c r="V4193" t="s">
        <v>6694</v>
      </c>
      <c r="W4193" t="s">
        <v>6720</v>
      </c>
    </row>
    <row r="4194" spans="1:23" ht="15.6" x14ac:dyDescent="0.4">
      <c r="A4194" s="2" t="s">
        <v>5113</v>
      </c>
      <c r="B4194" s="5" t="s">
        <v>10411</v>
      </c>
      <c r="C4194" s="7" t="s">
        <v>12556</v>
      </c>
      <c r="D4194" s="8">
        <f t="shared" si="264"/>
        <v>1</v>
      </c>
      <c r="E4194" s="7" t="s">
        <v>12557</v>
      </c>
      <c r="F4194" s="7">
        <f t="shared" si="265"/>
        <v>0</v>
      </c>
      <c r="G4194" s="7" t="s">
        <v>12558</v>
      </c>
      <c r="H4194" s="7">
        <f t="shared" si="266"/>
        <v>0</v>
      </c>
      <c r="I4194" s="7" t="str" cm="1">
        <f t="array" ref="I4194">IFERROR(_xlfn.IFS(M4194="נח",1,M4194="נע ונח",1,M4194="שני שווא נח",2,M4194="שני שוואים בסוף מילה",2,M4194="שני שוואים ברצף",1),"0")</f>
        <v>0</v>
      </c>
      <c r="J4194" s="9">
        <f t="shared" si="267"/>
        <v>3</v>
      </c>
      <c r="K4194" t="s">
        <v>6697</v>
      </c>
      <c r="L4194" t="s">
        <v>6694</v>
      </c>
      <c r="M4194" t="s">
        <v>6700</v>
      </c>
      <c r="S4194" t="s">
        <v>6694</v>
      </c>
      <c r="V4194" t="s">
        <v>6694</v>
      </c>
      <c r="W4194" t="s">
        <v>6720</v>
      </c>
    </row>
    <row r="4195" spans="1:23" ht="15.6" x14ac:dyDescent="0.4">
      <c r="A4195" s="2" t="s">
        <v>4441</v>
      </c>
      <c r="B4195" s="5" t="s">
        <v>10412</v>
      </c>
      <c r="C4195" s="7" t="s">
        <v>12556</v>
      </c>
      <c r="D4195" s="8">
        <f t="shared" si="264"/>
        <v>1</v>
      </c>
      <c r="E4195" s="7" t="s">
        <v>12557</v>
      </c>
      <c r="F4195" s="7">
        <f t="shared" si="265"/>
        <v>1</v>
      </c>
      <c r="G4195" s="7" t="s">
        <v>12558</v>
      </c>
      <c r="H4195" s="7">
        <f t="shared" si="266"/>
        <v>1</v>
      </c>
      <c r="I4195" s="7" t="str" cm="1">
        <f t="array" ref="I4195">IFERROR(_xlfn.IFS(M4195="נח",1,M4195="נע ונח",1,M4195="שני שווא נח",2,M4195="שני שוואים בסוף מילה",2,M4195="שני שוואים ברצף",1),"0")</f>
        <v>0</v>
      </c>
      <c r="J4195" s="9">
        <f t="shared" si="267"/>
        <v>4</v>
      </c>
      <c r="K4195" t="s">
        <v>6697</v>
      </c>
      <c r="L4195" t="s">
        <v>6694</v>
      </c>
      <c r="M4195" t="s">
        <v>6700</v>
      </c>
      <c r="Q4195" t="s">
        <v>6694</v>
      </c>
      <c r="U4195" t="s">
        <v>6694</v>
      </c>
      <c r="V4195" t="s">
        <v>6694</v>
      </c>
      <c r="W4195" t="s">
        <v>6720</v>
      </c>
    </row>
    <row r="4196" spans="1:23" ht="15.6" x14ac:dyDescent="0.4">
      <c r="A4196" s="2" t="s">
        <v>3325</v>
      </c>
      <c r="B4196" s="5" t="s">
        <v>10413</v>
      </c>
      <c r="C4196" s="7" t="s">
        <v>12556</v>
      </c>
      <c r="D4196" s="8">
        <f t="shared" si="264"/>
        <v>1</v>
      </c>
      <c r="E4196" s="7" t="s">
        <v>12557</v>
      </c>
      <c r="F4196" s="7">
        <f t="shared" si="265"/>
        <v>0</v>
      </c>
      <c r="G4196" s="7" t="s">
        <v>12558</v>
      </c>
      <c r="H4196" s="7">
        <f t="shared" si="266"/>
        <v>0</v>
      </c>
      <c r="I4196" s="7" t="str" cm="1">
        <f t="array" ref="I4196">IFERROR(_xlfn.IFS(M4196="נח",1,M4196="נע ונח",1,M4196="שני שווא נח",2,M4196="שני שוואים בסוף מילה",2,M4196="שני שוואים ברצף",1),"0")</f>
        <v>0</v>
      </c>
      <c r="J4196" s="9">
        <f t="shared" si="267"/>
        <v>3</v>
      </c>
      <c r="K4196" t="s">
        <v>6697</v>
      </c>
      <c r="L4196" t="s">
        <v>6694</v>
      </c>
      <c r="M4196" t="s">
        <v>6700</v>
      </c>
      <c r="V4196" t="s">
        <v>6694</v>
      </c>
      <c r="W4196" t="s">
        <v>6720</v>
      </c>
    </row>
    <row r="4197" spans="1:23" ht="15.6" x14ac:dyDescent="0.4">
      <c r="A4197" s="2" t="s">
        <v>1771</v>
      </c>
      <c r="B4197" s="5" t="s">
        <v>10414</v>
      </c>
      <c r="C4197" s="7" t="s">
        <v>12556</v>
      </c>
      <c r="D4197" s="8">
        <f t="shared" si="264"/>
        <v>0</v>
      </c>
      <c r="E4197" s="7" t="s">
        <v>12557</v>
      </c>
      <c r="F4197" s="7">
        <f t="shared" si="265"/>
        <v>0</v>
      </c>
      <c r="G4197" s="7" t="s">
        <v>12558</v>
      </c>
      <c r="H4197" s="7">
        <f t="shared" si="266"/>
        <v>0</v>
      </c>
      <c r="I4197" s="7" t="str" cm="1">
        <f t="array" ref="I4197">IFERROR(_xlfn.IFS(M4197="נח",1,M4197="נע ונח",1,M4197="שני שווא נח",2,M4197="שני שוואים בסוף מילה",2,M4197="שני שוואים ברצף",1),"0")</f>
        <v>0</v>
      </c>
      <c r="J4197" s="9">
        <f t="shared" si="267"/>
        <v>3</v>
      </c>
      <c r="K4197" t="s">
        <v>6697</v>
      </c>
      <c r="L4197" t="s">
        <v>6694</v>
      </c>
      <c r="M4197" t="s">
        <v>6700</v>
      </c>
      <c r="P4197" t="s">
        <v>6694</v>
      </c>
      <c r="V4197" t="s">
        <v>6694</v>
      </c>
      <c r="W4197" t="s">
        <v>6720</v>
      </c>
    </row>
    <row r="4198" spans="1:23" ht="15.6" x14ac:dyDescent="0.4">
      <c r="A4198" s="2" t="s">
        <v>4529</v>
      </c>
      <c r="B4198" s="5" t="s">
        <v>10415</v>
      </c>
      <c r="C4198" s="7" t="s">
        <v>12556</v>
      </c>
      <c r="D4198" s="8">
        <f t="shared" si="264"/>
        <v>1</v>
      </c>
      <c r="E4198" s="7" t="s">
        <v>12557</v>
      </c>
      <c r="F4198" s="7">
        <f t="shared" si="265"/>
        <v>1</v>
      </c>
      <c r="G4198" s="7" t="s">
        <v>12558</v>
      </c>
      <c r="H4198" s="7">
        <f t="shared" si="266"/>
        <v>0</v>
      </c>
      <c r="I4198" s="7" cm="1">
        <f t="array" ref="I4198">IFERROR(_xlfn.IFS(M4198="נח",1,M4198="נע ונח",1,M4198="שני שווא נח",2,M4198="שני שוואים בסוף מילה",2,M4198="שני שוואים ברצף",1),"0")</f>
        <v>1</v>
      </c>
      <c r="J4198" s="9">
        <f t="shared" si="267"/>
        <v>3</v>
      </c>
      <c r="K4198" t="s">
        <v>6697</v>
      </c>
      <c r="L4198" t="s">
        <v>6694</v>
      </c>
      <c r="M4198" t="s">
        <v>6701</v>
      </c>
      <c r="S4198" t="s">
        <v>6694</v>
      </c>
      <c r="V4198" t="s">
        <v>6694</v>
      </c>
      <c r="W4198" t="s">
        <v>6720</v>
      </c>
    </row>
    <row r="4199" spans="1:23" ht="15.6" x14ac:dyDescent="0.4">
      <c r="A4199" s="2" t="s">
        <v>5180</v>
      </c>
      <c r="B4199" s="5" t="s">
        <v>10416</v>
      </c>
      <c r="C4199" s="7" t="s">
        <v>12556</v>
      </c>
      <c r="D4199" s="8">
        <f t="shared" si="264"/>
        <v>1</v>
      </c>
      <c r="E4199" s="7" t="s">
        <v>12557</v>
      </c>
      <c r="F4199" s="7">
        <f t="shared" si="265"/>
        <v>0</v>
      </c>
      <c r="G4199" s="7" t="s">
        <v>12558</v>
      </c>
      <c r="H4199" s="7">
        <f t="shared" si="266"/>
        <v>0</v>
      </c>
      <c r="I4199" s="7" cm="1">
        <f t="array" ref="I4199">IFERROR(_xlfn.IFS(M4199="נח",1,M4199="נע ונח",1,M4199="שני שווא נח",2,M4199="שני שוואים בסוף מילה",2,M4199="שני שוואים ברצף",1),"0")</f>
        <v>1</v>
      </c>
      <c r="J4199" s="9">
        <f t="shared" si="267"/>
        <v>3</v>
      </c>
      <c r="K4199" t="s">
        <v>6697</v>
      </c>
      <c r="L4199" t="s">
        <v>6694</v>
      </c>
      <c r="M4199" t="s">
        <v>6701</v>
      </c>
      <c r="O4199" t="s">
        <v>6694</v>
      </c>
      <c r="S4199" t="s">
        <v>6694</v>
      </c>
      <c r="W4199" t="s">
        <v>6720</v>
      </c>
    </row>
    <row r="4200" spans="1:23" ht="15.6" x14ac:dyDescent="0.4">
      <c r="A4200" s="2" t="s">
        <v>2709</v>
      </c>
      <c r="B4200" s="5" t="s">
        <v>10417</v>
      </c>
      <c r="C4200" s="7" t="s">
        <v>12556</v>
      </c>
      <c r="D4200" s="8">
        <f t="shared" si="264"/>
        <v>1</v>
      </c>
      <c r="E4200" s="7" t="s">
        <v>12557</v>
      </c>
      <c r="F4200" s="7">
        <f t="shared" si="265"/>
        <v>0</v>
      </c>
      <c r="G4200" s="7" t="s">
        <v>12558</v>
      </c>
      <c r="H4200" s="7">
        <f t="shared" si="266"/>
        <v>0</v>
      </c>
      <c r="I4200" s="7" t="str" cm="1">
        <f t="array" ref="I4200">IFERROR(_xlfn.IFS(M4200="נח",1,M4200="נע ונח",1,M4200="שני שווא נח",2,M4200="שני שוואים בסוף מילה",2,M4200="שני שוואים ברצף",1),"0")</f>
        <v>0</v>
      </c>
      <c r="J4200" s="9">
        <f t="shared" si="267"/>
        <v>3</v>
      </c>
      <c r="K4200" t="s">
        <v>6698</v>
      </c>
      <c r="L4200" t="s">
        <v>6694</v>
      </c>
      <c r="M4200" t="s">
        <v>6700</v>
      </c>
      <c r="Q4200" t="s">
        <v>6694</v>
      </c>
      <c r="R4200" t="s">
        <v>6694</v>
      </c>
      <c r="W4200" t="s">
        <v>6720</v>
      </c>
    </row>
    <row r="4201" spans="1:23" ht="15.6" x14ac:dyDescent="0.4">
      <c r="A4201" s="2" t="s">
        <v>1858</v>
      </c>
      <c r="B4201" s="5" t="s">
        <v>10418</v>
      </c>
      <c r="C4201" s="7" t="s">
        <v>12556</v>
      </c>
      <c r="D4201" s="8">
        <f t="shared" si="264"/>
        <v>1</v>
      </c>
      <c r="E4201" s="7" t="s">
        <v>12557</v>
      </c>
      <c r="F4201" s="7">
        <f t="shared" si="265"/>
        <v>0</v>
      </c>
      <c r="G4201" s="7" t="s">
        <v>12558</v>
      </c>
      <c r="H4201" s="7">
        <f t="shared" si="266"/>
        <v>0</v>
      </c>
      <c r="I4201" s="7" t="str" cm="1">
        <f t="array" ref="I4201">IFERROR(_xlfn.IFS(M4201="נח",1,M4201="נע ונח",1,M4201="שני שווא נח",2,M4201="שני שוואים בסוף מילה",2,M4201="שני שוואים ברצף",1),"0")</f>
        <v>0</v>
      </c>
      <c r="J4201" s="9">
        <f t="shared" si="267"/>
        <v>3</v>
      </c>
      <c r="K4201" t="s">
        <v>6697</v>
      </c>
      <c r="L4201" t="s">
        <v>6694</v>
      </c>
      <c r="M4201" t="s">
        <v>6700</v>
      </c>
      <c r="P4201" t="s">
        <v>6694</v>
      </c>
      <c r="Q4201" t="s">
        <v>6694</v>
      </c>
      <c r="W4201" t="s">
        <v>6720</v>
      </c>
    </row>
    <row r="4202" spans="1:23" ht="15.6" x14ac:dyDescent="0.4">
      <c r="A4202" s="2" t="s">
        <v>2696</v>
      </c>
      <c r="B4202" s="5" t="s">
        <v>10419</v>
      </c>
      <c r="C4202" s="7" t="s">
        <v>12556</v>
      </c>
      <c r="D4202" s="8">
        <f t="shared" si="264"/>
        <v>1</v>
      </c>
      <c r="E4202" s="7" t="s">
        <v>12557</v>
      </c>
      <c r="F4202" s="7">
        <f t="shared" si="265"/>
        <v>1</v>
      </c>
      <c r="G4202" s="7" t="s">
        <v>12558</v>
      </c>
      <c r="H4202" s="7">
        <f t="shared" si="266"/>
        <v>0</v>
      </c>
      <c r="I4202" s="7" t="str" cm="1">
        <f t="array" ref="I4202">IFERROR(_xlfn.IFS(M4202="נח",1,M4202="נע ונח",1,M4202="שני שווא נח",2,M4202="שני שוואים בסוף מילה",2,M4202="שני שוואים ברצף",1),"0")</f>
        <v>0</v>
      </c>
      <c r="J4202" s="9">
        <f t="shared" si="267"/>
        <v>3</v>
      </c>
      <c r="K4202" t="s">
        <v>6697</v>
      </c>
      <c r="L4202" t="s">
        <v>6694</v>
      </c>
      <c r="M4202" t="s">
        <v>6700</v>
      </c>
      <c r="P4202" t="s">
        <v>6694</v>
      </c>
      <c r="S4202" t="s">
        <v>6694</v>
      </c>
      <c r="W4202" t="s">
        <v>6720</v>
      </c>
    </row>
    <row r="4203" spans="1:23" ht="15.6" x14ac:dyDescent="0.4">
      <c r="A4203" s="2" t="s">
        <v>4289</v>
      </c>
      <c r="B4203" s="5" t="s">
        <v>10420</v>
      </c>
      <c r="C4203" s="7" t="s">
        <v>12556</v>
      </c>
      <c r="D4203" s="8">
        <f t="shared" si="264"/>
        <v>1</v>
      </c>
      <c r="E4203" s="7" t="s">
        <v>12557</v>
      </c>
      <c r="F4203" s="7">
        <f t="shared" si="265"/>
        <v>1</v>
      </c>
      <c r="G4203" s="7" t="s">
        <v>12558</v>
      </c>
      <c r="H4203" s="7">
        <f t="shared" si="266"/>
        <v>0</v>
      </c>
      <c r="I4203" s="7" cm="1">
        <f t="array" ref="I4203">IFERROR(_xlfn.IFS(M4203="נח",1,M4203="נע ונח",1,M4203="שני שווא נח",2,M4203="שני שוואים בסוף מילה",2,M4203="שני שוואים ברצף",1),"0")</f>
        <v>1</v>
      </c>
      <c r="J4203" s="9">
        <f t="shared" si="267"/>
        <v>3</v>
      </c>
      <c r="K4203" t="s">
        <v>6697</v>
      </c>
      <c r="L4203" t="s">
        <v>6694</v>
      </c>
      <c r="M4203" t="s">
        <v>6701</v>
      </c>
      <c r="P4203" t="s">
        <v>6694</v>
      </c>
      <c r="S4203" t="s">
        <v>6694</v>
      </c>
      <c r="W4203" t="s">
        <v>6720</v>
      </c>
    </row>
    <row r="4204" spans="1:23" ht="15.6" x14ac:dyDescent="0.4">
      <c r="A4204" s="2" t="s">
        <v>5426</v>
      </c>
      <c r="B4204" s="5" t="s">
        <v>10421</v>
      </c>
      <c r="C4204" s="7" t="s">
        <v>12556</v>
      </c>
      <c r="D4204" s="8">
        <f t="shared" si="264"/>
        <v>1</v>
      </c>
      <c r="E4204" s="7" t="s">
        <v>12557</v>
      </c>
      <c r="F4204" s="7">
        <f t="shared" si="265"/>
        <v>1</v>
      </c>
      <c r="G4204" s="7" t="s">
        <v>12558</v>
      </c>
      <c r="H4204" s="7">
        <f t="shared" si="266"/>
        <v>0</v>
      </c>
      <c r="I4204" s="7" t="str" cm="1">
        <f t="array" ref="I4204">IFERROR(_xlfn.IFS(M4204="נח",1,M4204="נע ונח",1,M4204="שני שווא נח",2,M4204="שני שוואים בסוף מילה",2,M4204="שני שוואים ברצף",1),"0")</f>
        <v>0</v>
      </c>
      <c r="J4204" s="9">
        <f t="shared" si="267"/>
        <v>3</v>
      </c>
      <c r="K4204" t="s">
        <v>6697</v>
      </c>
      <c r="L4204" t="s">
        <v>6694</v>
      </c>
      <c r="M4204" t="s">
        <v>6700</v>
      </c>
      <c r="O4204" t="s">
        <v>6694</v>
      </c>
      <c r="P4204" t="s">
        <v>6694</v>
      </c>
      <c r="W4204" t="s">
        <v>6720</v>
      </c>
    </row>
    <row r="4205" spans="1:23" ht="15.6" x14ac:dyDescent="0.4">
      <c r="A4205" s="2" t="s">
        <v>3938</v>
      </c>
      <c r="B4205" s="5" t="s">
        <v>10422</v>
      </c>
      <c r="C4205" s="7" t="s">
        <v>12556</v>
      </c>
      <c r="D4205" s="8">
        <f t="shared" si="264"/>
        <v>1</v>
      </c>
      <c r="E4205" s="7" t="s">
        <v>12557</v>
      </c>
      <c r="F4205" s="7">
        <f t="shared" si="265"/>
        <v>1</v>
      </c>
      <c r="G4205" s="7" t="s">
        <v>12558</v>
      </c>
      <c r="H4205" s="7">
        <f t="shared" si="266"/>
        <v>1</v>
      </c>
      <c r="I4205" s="7" t="str" cm="1">
        <f t="array" ref="I4205">IFERROR(_xlfn.IFS(M4205="נח",1,M4205="נע ונח",1,M4205="שני שווא נח",2,M4205="שני שוואים בסוף מילה",2,M4205="שני שוואים ברצף",1),"0")</f>
        <v>0</v>
      </c>
      <c r="J4205" s="9">
        <f t="shared" si="267"/>
        <v>3</v>
      </c>
      <c r="K4205" t="s">
        <v>6698</v>
      </c>
      <c r="L4205" t="s">
        <v>6694</v>
      </c>
      <c r="M4205" t="s">
        <v>6700</v>
      </c>
      <c r="O4205" t="s">
        <v>6694</v>
      </c>
      <c r="U4205" t="s">
        <v>6694</v>
      </c>
      <c r="W4205" t="s">
        <v>6720</v>
      </c>
    </row>
    <row r="4206" spans="1:23" ht="15.6" x14ac:dyDescent="0.4">
      <c r="A4206" s="2" t="s">
        <v>2854</v>
      </c>
      <c r="B4206" s="5" t="s">
        <v>10423</v>
      </c>
      <c r="C4206" s="7" t="s">
        <v>12556</v>
      </c>
      <c r="D4206" s="8">
        <f t="shared" si="264"/>
        <v>1</v>
      </c>
      <c r="E4206" s="7" t="s">
        <v>12557</v>
      </c>
      <c r="F4206" s="7">
        <f t="shared" si="265"/>
        <v>0</v>
      </c>
      <c r="G4206" s="7" t="s">
        <v>12558</v>
      </c>
      <c r="H4206" s="7">
        <f t="shared" si="266"/>
        <v>0</v>
      </c>
      <c r="I4206" s="7" cm="1">
        <f t="array" ref="I4206">IFERROR(_xlfn.IFS(M4206="נח",1,M4206="נע ונח",1,M4206="שני שווא נח",2,M4206="שני שוואים בסוף מילה",2,M4206="שני שוואים ברצף",1),"0")</f>
        <v>1</v>
      </c>
      <c r="J4206" s="9">
        <f t="shared" si="267"/>
        <v>3</v>
      </c>
      <c r="K4206" t="s">
        <v>6698</v>
      </c>
      <c r="L4206" t="s">
        <v>6694</v>
      </c>
      <c r="M4206" t="s">
        <v>6701</v>
      </c>
      <c r="Q4206" t="s">
        <v>6694</v>
      </c>
      <c r="V4206" t="s">
        <v>6694</v>
      </c>
      <c r="W4206" t="s">
        <v>6720</v>
      </c>
    </row>
    <row r="4207" spans="1:23" ht="15.6" x14ac:dyDescent="0.4">
      <c r="A4207" s="2" t="s">
        <v>5221</v>
      </c>
      <c r="B4207" s="5" t="s">
        <v>10424</v>
      </c>
      <c r="C4207" s="7" t="s">
        <v>12556</v>
      </c>
      <c r="D4207" s="8">
        <f t="shared" si="264"/>
        <v>1</v>
      </c>
      <c r="E4207" s="7" t="s">
        <v>12557</v>
      </c>
      <c r="F4207" s="7">
        <f t="shared" si="265"/>
        <v>0</v>
      </c>
      <c r="G4207" s="7" t="s">
        <v>12558</v>
      </c>
      <c r="H4207" s="7">
        <f t="shared" si="266"/>
        <v>0</v>
      </c>
      <c r="I4207" s="7" t="str" cm="1">
        <f t="array" ref="I4207">IFERROR(_xlfn.IFS(M4207="נח",1,M4207="נע ונח",1,M4207="שני שווא נח",2,M4207="שני שוואים בסוף מילה",2,M4207="שני שוואים ברצף",1),"0")</f>
        <v>0</v>
      </c>
      <c r="J4207" s="9">
        <f t="shared" si="267"/>
        <v>3</v>
      </c>
      <c r="K4207" t="s">
        <v>6697</v>
      </c>
      <c r="L4207" t="s">
        <v>6694</v>
      </c>
      <c r="M4207" t="s">
        <v>6700</v>
      </c>
      <c r="V4207" t="s">
        <v>6694</v>
      </c>
      <c r="W4207" t="s">
        <v>6720</v>
      </c>
    </row>
    <row r="4208" spans="1:23" ht="15.6" x14ac:dyDescent="0.4">
      <c r="A4208" s="2" t="s">
        <v>6355</v>
      </c>
      <c r="B4208" s="5" t="s">
        <v>10425</v>
      </c>
      <c r="C4208" s="7" t="s">
        <v>12556</v>
      </c>
      <c r="D4208" s="8">
        <f t="shared" si="264"/>
        <v>1</v>
      </c>
      <c r="E4208" s="7" t="s">
        <v>12557</v>
      </c>
      <c r="F4208" s="7">
        <f t="shared" si="265"/>
        <v>0</v>
      </c>
      <c r="G4208" s="7" t="s">
        <v>12558</v>
      </c>
      <c r="H4208" s="7">
        <f t="shared" si="266"/>
        <v>0</v>
      </c>
      <c r="I4208" s="7" t="str" cm="1">
        <f t="array" ref="I4208">IFERROR(_xlfn.IFS(M4208="נח",1,M4208="נע ונח",1,M4208="שני שווא נח",2,M4208="שני שוואים בסוף מילה",2,M4208="שני שוואים ברצף",1),"0")</f>
        <v>0</v>
      </c>
      <c r="J4208" s="9">
        <f t="shared" si="267"/>
        <v>3</v>
      </c>
      <c r="K4208" t="s">
        <v>6698</v>
      </c>
      <c r="L4208" t="s">
        <v>6694</v>
      </c>
      <c r="M4208" t="s">
        <v>6700</v>
      </c>
      <c r="V4208" t="s">
        <v>6694</v>
      </c>
      <c r="W4208" t="s">
        <v>6720</v>
      </c>
    </row>
    <row r="4209" spans="1:23" ht="15.6" x14ac:dyDescent="0.4">
      <c r="A4209" s="2" t="s">
        <v>3984</v>
      </c>
      <c r="B4209" s="5" t="s">
        <v>10426</v>
      </c>
      <c r="C4209" s="7" t="s">
        <v>12556</v>
      </c>
      <c r="D4209" s="8">
        <f t="shared" si="264"/>
        <v>1</v>
      </c>
      <c r="E4209" s="7" t="s">
        <v>12557</v>
      </c>
      <c r="F4209" s="7">
        <f t="shared" si="265"/>
        <v>0</v>
      </c>
      <c r="G4209" s="7" t="s">
        <v>12558</v>
      </c>
      <c r="H4209" s="7">
        <f t="shared" si="266"/>
        <v>0</v>
      </c>
      <c r="I4209" s="7" t="str" cm="1">
        <f t="array" ref="I4209">IFERROR(_xlfn.IFS(M4209="נח",1,M4209="נע ונח",1,M4209="שני שווא נח",2,M4209="שני שוואים בסוף מילה",2,M4209="שני שוואים ברצף",1),"0")</f>
        <v>0</v>
      </c>
      <c r="J4209" s="9">
        <f t="shared" si="267"/>
        <v>4</v>
      </c>
      <c r="K4209" t="s">
        <v>6698</v>
      </c>
      <c r="L4209" t="s">
        <v>6694</v>
      </c>
      <c r="M4209" t="s">
        <v>6703</v>
      </c>
      <c r="N4209" t="s">
        <v>6706</v>
      </c>
      <c r="O4209" t="s">
        <v>6694</v>
      </c>
      <c r="V4209" t="s">
        <v>6694</v>
      </c>
      <c r="W4209" t="s">
        <v>6720</v>
      </c>
    </row>
    <row r="4210" spans="1:23" ht="15.6" x14ac:dyDescent="0.4">
      <c r="A4210" s="2" t="s">
        <v>5371</v>
      </c>
      <c r="B4210" s="5" t="s">
        <v>10427</v>
      </c>
      <c r="C4210" s="7" t="s">
        <v>12556</v>
      </c>
      <c r="D4210" s="8">
        <f t="shared" si="264"/>
        <v>1</v>
      </c>
      <c r="E4210" s="7" t="s">
        <v>12557</v>
      </c>
      <c r="F4210" s="7">
        <f t="shared" si="265"/>
        <v>0</v>
      </c>
      <c r="G4210" s="7" t="s">
        <v>12558</v>
      </c>
      <c r="H4210" s="7">
        <f t="shared" si="266"/>
        <v>0</v>
      </c>
      <c r="I4210" s="7" t="str" cm="1">
        <f t="array" ref="I4210">IFERROR(_xlfn.IFS(M4210="נח",1,M4210="נע ונח",1,M4210="שני שווא נח",2,M4210="שני שוואים בסוף מילה",2,M4210="שני שוואים ברצף",1),"0")</f>
        <v>0</v>
      </c>
      <c r="J4210" s="9">
        <f t="shared" si="267"/>
        <v>3</v>
      </c>
      <c r="K4210" t="s">
        <v>6697</v>
      </c>
      <c r="L4210" t="s">
        <v>6694</v>
      </c>
      <c r="M4210" t="s">
        <v>6700</v>
      </c>
      <c r="O4210" t="s">
        <v>6694</v>
      </c>
      <c r="V4210" t="s">
        <v>6694</v>
      </c>
      <c r="W4210" t="s">
        <v>6720</v>
      </c>
    </row>
    <row r="4211" spans="1:23" ht="15.6" x14ac:dyDescent="0.4">
      <c r="A4211" s="2" t="s">
        <v>3947</v>
      </c>
      <c r="B4211" s="5" t="s">
        <v>10428</v>
      </c>
      <c r="C4211" s="7" t="s">
        <v>12556</v>
      </c>
      <c r="D4211" s="8">
        <f t="shared" si="264"/>
        <v>1</v>
      </c>
      <c r="E4211" s="7" t="s">
        <v>12557</v>
      </c>
      <c r="F4211" s="7">
        <f t="shared" si="265"/>
        <v>0</v>
      </c>
      <c r="G4211" s="7" t="s">
        <v>12558</v>
      </c>
      <c r="H4211" s="7">
        <f t="shared" si="266"/>
        <v>0</v>
      </c>
      <c r="I4211" s="7" t="str" cm="1">
        <f t="array" ref="I4211">IFERROR(_xlfn.IFS(M4211="נח",1,M4211="נע ונח",1,M4211="שני שווא נח",2,M4211="שני שוואים בסוף מילה",2,M4211="שני שוואים ברצף",1),"0")</f>
        <v>0</v>
      </c>
      <c r="J4211" s="9">
        <f t="shared" si="267"/>
        <v>2</v>
      </c>
      <c r="K4211" t="s">
        <v>6698</v>
      </c>
      <c r="L4211" t="s">
        <v>6694</v>
      </c>
      <c r="M4211" t="s">
        <v>6700</v>
      </c>
      <c r="V4211" t="s">
        <v>6694</v>
      </c>
      <c r="W4211" t="s">
        <v>6720</v>
      </c>
    </row>
    <row r="4212" spans="1:23" ht="15.6" x14ac:dyDescent="0.4">
      <c r="A4212" s="2" t="s">
        <v>2770</v>
      </c>
      <c r="B4212" s="5" t="s">
        <v>10429</v>
      </c>
      <c r="C4212" s="7" t="s">
        <v>12556</v>
      </c>
      <c r="D4212" s="8">
        <f t="shared" si="264"/>
        <v>1</v>
      </c>
      <c r="E4212" s="7" t="s">
        <v>12557</v>
      </c>
      <c r="F4212" s="7">
        <f t="shared" si="265"/>
        <v>0</v>
      </c>
      <c r="G4212" s="7" t="s">
        <v>12558</v>
      </c>
      <c r="H4212" s="7">
        <f t="shared" si="266"/>
        <v>0</v>
      </c>
      <c r="I4212" s="7" cm="1">
        <f t="array" ref="I4212">IFERROR(_xlfn.IFS(M4212="נח",1,M4212="נע ונח",1,M4212="שני שווא נח",2,M4212="שני שוואים בסוף מילה",2,M4212="שני שוואים ברצף",1),"0")</f>
        <v>1</v>
      </c>
      <c r="J4212" s="9">
        <f t="shared" si="267"/>
        <v>3</v>
      </c>
      <c r="K4212" t="s">
        <v>6697</v>
      </c>
      <c r="L4212" t="s">
        <v>6694</v>
      </c>
      <c r="M4212" t="s">
        <v>6701</v>
      </c>
      <c r="O4212" t="s">
        <v>6694</v>
      </c>
      <c r="V4212" t="s">
        <v>6694</v>
      </c>
      <c r="W4212" t="s">
        <v>6720</v>
      </c>
    </row>
    <row r="4213" spans="1:23" ht="15.6" x14ac:dyDescent="0.4">
      <c r="A4213" s="2" t="s">
        <v>553</v>
      </c>
      <c r="B4213" s="5" t="s">
        <v>10430</v>
      </c>
      <c r="C4213" s="7" t="s">
        <v>12556</v>
      </c>
      <c r="D4213" s="8">
        <f t="shared" si="264"/>
        <v>1</v>
      </c>
      <c r="E4213" s="7" t="s">
        <v>12557</v>
      </c>
      <c r="F4213" s="7">
        <f t="shared" si="265"/>
        <v>0</v>
      </c>
      <c r="G4213" s="7" t="s">
        <v>12558</v>
      </c>
      <c r="H4213" s="7">
        <f t="shared" si="266"/>
        <v>0</v>
      </c>
      <c r="I4213" s="7" t="str" cm="1">
        <f t="array" ref="I4213">IFERROR(_xlfn.IFS(M4213="נח",1,M4213="נע ונח",1,M4213="שני שווא נח",2,M4213="שני שוואים בסוף מילה",2,M4213="שני שוואים ברצף",1),"0")</f>
        <v>0</v>
      </c>
      <c r="J4213" s="9">
        <f t="shared" si="267"/>
        <v>3</v>
      </c>
      <c r="K4213" t="s">
        <v>6697</v>
      </c>
      <c r="L4213" t="s">
        <v>6694</v>
      </c>
      <c r="M4213" t="s">
        <v>6700</v>
      </c>
      <c r="S4213" t="s">
        <v>6694</v>
      </c>
      <c r="V4213" t="s">
        <v>6694</v>
      </c>
      <c r="W4213" t="s">
        <v>6720</v>
      </c>
    </row>
    <row r="4214" spans="1:23" ht="15.6" x14ac:dyDescent="0.4">
      <c r="A4214" s="2" t="s">
        <v>3942</v>
      </c>
      <c r="B4214" s="5" t="s">
        <v>10429</v>
      </c>
      <c r="C4214" s="7" t="s">
        <v>12556</v>
      </c>
      <c r="D4214" s="8">
        <f t="shared" si="264"/>
        <v>1</v>
      </c>
      <c r="E4214" s="7" t="s">
        <v>12557</v>
      </c>
      <c r="F4214" s="7">
        <f t="shared" si="265"/>
        <v>0</v>
      </c>
      <c r="G4214" s="7" t="s">
        <v>12558</v>
      </c>
      <c r="H4214" s="7">
        <f t="shared" si="266"/>
        <v>0</v>
      </c>
      <c r="I4214" s="7" t="str" cm="1">
        <f t="array" ref="I4214">IFERROR(_xlfn.IFS(M4214="נח",1,M4214="נע ונח",1,M4214="שני שווא נח",2,M4214="שני שוואים בסוף מילה",2,M4214="שני שוואים ברצף",1),"0")</f>
        <v>0</v>
      </c>
      <c r="J4214" s="9">
        <f t="shared" si="267"/>
        <v>4</v>
      </c>
      <c r="K4214" t="s">
        <v>6697</v>
      </c>
      <c r="L4214" t="s">
        <v>6694</v>
      </c>
      <c r="M4214" t="s">
        <v>6700</v>
      </c>
      <c r="O4214" t="s">
        <v>6694</v>
      </c>
      <c r="R4214" t="s">
        <v>6694</v>
      </c>
      <c r="V4214" t="s">
        <v>6694</v>
      </c>
      <c r="W4214" t="s">
        <v>6720</v>
      </c>
    </row>
    <row r="4215" spans="1:23" ht="15.6" x14ac:dyDescent="0.4">
      <c r="A4215" s="2" t="s">
        <v>3178</v>
      </c>
      <c r="B4215" s="5" t="s">
        <v>10431</v>
      </c>
      <c r="C4215" s="7" t="s">
        <v>12556</v>
      </c>
      <c r="D4215" s="8">
        <f t="shared" si="264"/>
        <v>1</v>
      </c>
      <c r="E4215" s="7" t="s">
        <v>12557</v>
      </c>
      <c r="F4215" s="7">
        <f t="shared" si="265"/>
        <v>0</v>
      </c>
      <c r="G4215" s="7" t="s">
        <v>12558</v>
      </c>
      <c r="H4215" s="7">
        <f t="shared" si="266"/>
        <v>0</v>
      </c>
      <c r="I4215" s="7" t="str" cm="1">
        <f t="array" ref="I4215">IFERROR(_xlfn.IFS(M4215="נח",1,M4215="נע ונח",1,M4215="שני שווא נח",2,M4215="שני שוואים בסוף מילה",2,M4215="שני שוואים ברצף",1),"0")</f>
        <v>0</v>
      </c>
      <c r="J4215" s="9">
        <f t="shared" si="267"/>
        <v>3</v>
      </c>
      <c r="K4215" t="s">
        <v>6698</v>
      </c>
      <c r="L4215" t="s">
        <v>6694</v>
      </c>
      <c r="M4215" t="s">
        <v>6700</v>
      </c>
      <c r="N4215" t="s">
        <v>6706</v>
      </c>
      <c r="O4215" t="s">
        <v>6694</v>
      </c>
      <c r="V4215" t="s">
        <v>6694</v>
      </c>
      <c r="W4215" t="s">
        <v>6720</v>
      </c>
    </row>
    <row r="4216" spans="1:23" ht="15.6" x14ac:dyDescent="0.4">
      <c r="A4216" s="2" t="s">
        <v>5145</v>
      </c>
      <c r="B4216" s="5" t="s">
        <v>10432</v>
      </c>
      <c r="C4216" s="7" t="s">
        <v>12556</v>
      </c>
      <c r="D4216" s="8">
        <f t="shared" si="264"/>
        <v>1</v>
      </c>
      <c r="E4216" s="7" t="s">
        <v>12557</v>
      </c>
      <c r="F4216" s="7">
        <f t="shared" si="265"/>
        <v>0</v>
      </c>
      <c r="G4216" s="7" t="s">
        <v>12558</v>
      </c>
      <c r="H4216" s="7">
        <f t="shared" si="266"/>
        <v>0</v>
      </c>
      <c r="I4216" s="7" t="str" cm="1">
        <f t="array" ref="I4216">IFERROR(_xlfn.IFS(M4216="נח",1,M4216="נע ונח",1,M4216="שני שווא נח",2,M4216="שני שוואים בסוף מילה",2,M4216="שני שוואים ברצף",1),"0")</f>
        <v>0</v>
      </c>
      <c r="J4216" s="9">
        <f t="shared" si="267"/>
        <v>3</v>
      </c>
      <c r="K4216" t="s">
        <v>6697</v>
      </c>
      <c r="L4216" t="s">
        <v>6694</v>
      </c>
      <c r="M4216" t="s">
        <v>6700</v>
      </c>
      <c r="V4216" t="s">
        <v>6694</v>
      </c>
      <c r="W4216" t="s">
        <v>6720</v>
      </c>
    </row>
    <row r="4217" spans="1:23" ht="15.6" x14ac:dyDescent="0.4">
      <c r="A4217" s="2" t="s">
        <v>747</v>
      </c>
      <c r="B4217" s="5" t="s">
        <v>10433</v>
      </c>
      <c r="C4217" s="7" t="s">
        <v>12556</v>
      </c>
      <c r="D4217" s="8">
        <f t="shared" si="264"/>
        <v>1</v>
      </c>
      <c r="E4217" s="7" t="s">
        <v>12557</v>
      </c>
      <c r="F4217" s="7">
        <f t="shared" si="265"/>
        <v>0</v>
      </c>
      <c r="G4217" s="7" t="s">
        <v>12558</v>
      </c>
      <c r="H4217" s="7">
        <f t="shared" si="266"/>
        <v>0</v>
      </c>
      <c r="I4217" s="7" t="str" cm="1">
        <f t="array" ref="I4217">IFERROR(_xlfn.IFS(M4217="נח",1,M4217="נע ונח",1,M4217="שני שווא נח",2,M4217="שני שוואים בסוף מילה",2,M4217="שני שוואים ברצף",1),"0")</f>
        <v>0</v>
      </c>
      <c r="J4217" s="9">
        <f t="shared" si="267"/>
        <v>3</v>
      </c>
      <c r="K4217" t="s">
        <v>6698</v>
      </c>
      <c r="L4217" t="s">
        <v>6694</v>
      </c>
      <c r="M4217" t="s">
        <v>6700</v>
      </c>
      <c r="P4217" t="s">
        <v>6694</v>
      </c>
      <c r="R4217" t="s">
        <v>6694</v>
      </c>
      <c r="W4217" t="s">
        <v>6720</v>
      </c>
    </row>
    <row r="4218" spans="1:23" ht="15.6" x14ac:dyDescent="0.4">
      <c r="A4218" s="2" t="s">
        <v>3752</v>
      </c>
      <c r="B4218" s="5" t="s">
        <v>10434</v>
      </c>
      <c r="C4218" s="7" t="s">
        <v>12556</v>
      </c>
      <c r="D4218" s="8">
        <f t="shared" si="264"/>
        <v>1</v>
      </c>
      <c r="E4218" s="7" t="s">
        <v>12557</v>
      </c>
      <c r="F4218" s="7">
        <f t="shared" si="265"/>
        <v>0</v>
      </c>
      <c r="G4218" s="7" t="s">
        <v>12558</v>
      </c>
      <c r="H4218" s="7">
        <f t="shared" si="266"/>
        <v>0</v>
      </c>
      <c r="I4218" s="7" t="str" cm="1">
        <f t="array" ref="I4218">IFERROR(_xlfn.IFS(M4218="נח",1,M4218="נע ונח",1,M4218="שני שווא נח",2,M4218="שני שוואים בסוף מילה",2,M4218="שני שוואים ברצף",1),"0")</f>
        <v>0</v>
      </c>
      <c r="J4218" s="9">
        <f t="shared" si="267"/>
        <v>3</v>
      </c>
      <c r="K4218" t="s">
        <v>6698</v>
      </c>
      <c r="L4218" t="s">
        <v>6694</v>
      </c>
      <c r="M4218" t="s">
        <v>6700</v>
      </c>
      <c r="O4218" t="s">
        <v>6694</v>
      </c>
      <c r="S4218" t="s">
        <v>6694</v>
      </c>
      <c r="W4218" t="s">
        <v>6720</v>
      </c>
    </row>
    <row r="4219" spans="1:23" ht="15.6" x14ac:dyDescent="0.4">
      <c r="A4219" s="2" t="s">
        <v>268</v>
      </c>
      <c r="B4219" s="5" t="s">
        <v>10435</v>
      </c>
      <c r="C4219" s="7" t="s">
        <v>12556</v>
      </c>
      <c r="D4219" s="8">
        <f t="shared" si="264"/>
        <v>0</v>
      </c>
      <c r="E4219" s="7" t="s">
        <v>12557</v>
      </c>
      <c r="F4219" s="7">
        <f t="shared" si="265"/>
        <v>0</v>
      </c>
      <c r="G4219" s="7" t="s">
        <v>12558</v>
      </c>
      <c r="H4219" s="7">
        <f t="shared" si="266"/>
        <v>0</v>
      </c>
      <c r="I4219" s="7" t="str" cm="1">
        <f t="array" ref="I4219">IFERROR(_xlfn.IFS(M4219="נח",1,M4219="נע ונח",1,M4219="שני שווא נח",2,M4219="שני שוואים בסוף מילה",2,M4219="שני שוואים ברצף",1),"0")</f>
        <v>0</v>
      </c>
      <c r="J4219" s="9">
        <f t="shared" si="267"/>
        <v>4</v>
      </c>
      <c r="K4219" t="s">
        <v>6697</v>
      </c>
      <c r="L4219" t="s">
        <v>6694</v>
      </c>
      <c r="M4219" t="s">
        <v>6700</v>
      </c>
      <c r="O4219" t="s">
        <v>6694</v>
      </c>
      <c r="P4219" t="s">
        <v>6694</v>
      </c>
      <c r="W4219" t="s">
        <v>6720</v>
      </c>
    </row>
    <row r="4220" spans="1:23" ht="15.6" x14ac:dyDescent="0.4">
      <c r="A4220" s="2" t="s">
        <v>5563</v>
      </c>
      <c r="B4220" s="5" t="s">
        <v>10436</v>
      </c>
      <c r="C4220" s="7" t="s">
        <v>12556</v>
      </c>
      <c r="D4220" s="8">
        <f t="shared" si="264"/>
        <v>0</v>
      </c>
      <c r="E4220" s="7" t="s">
        <v>12557</v>
      </c>
      <c r="F4220" s="7">
        <f t="shared" si="265"/>
        <v>0</v>
      </c>
      <c r="G4220" s="7" t="s">
        <v>12558</v>
      </c>
      <c r="H4220" s="7">
        <f t="shared" si="266"/>
        <v>0</v>
      </c>
      <c r="I4220" s="7" t="str" cm="1">
        <f t="array" ref="I4220">IFERROR(_xlfn.IFS(M4220="נח",1,M4220="נע ונח",1,M4220="שני שווא נח",2,M4220="שני שוואים בסוף מילה",2,M4220="שני שוואים ברצף",1),"0")</f>
        <v>0</v>
      </c>
      <c r="J4220" s="9">
        <f t="shared" si="267"/>
        <v>3</v>
      </c>
      <c r="K4220" t="s">
        <v>6697</v>
      </c>
      <c r="L4220" t="s">
        <v>6694</v>
      </c>
      <c r="M4220" t="s">
        <v>6700</v>
      </c>
      <c r="O4220" t="s">
        <v>6694</v>
      </c>
      <c r="V4220" t="s">
        <v>6694</v>
      </c>
      <c r="W4220" t="s">
        <v>6720</v>
      </c>
    </row>
    <row r="4221" spans="1:23" ht="15.6" x14ac:dyDescent="0.4">
      <c r="A4221" s="2" t="s">
        <v>4062</v>
      </c>
      <c r="B4221" s="5" t="s">
        <v>10437</v>
      </c>
      <c r="C4221" s="7" t="s">
        <v>12556</v>
      </c>
      <c r="D4221" s="8">
        <f t="shared" si="264"/>
        <v>0</v>
      </c>
      <c r="E4221" s="7" t="s">
        <v>12557</v>
      </c>
      <c r="F4221" s="7">
        <f t="shared" si="265"/>
        <v>0</v>
      </c>
      <c r="G4221" s="7" t="s">
        <v>12558</v>
      </c>
      <c r="H4221" s="7">
        <f t="shared" si="266"/>
        <v>0</v>
      </c>
      <c r="I4221" s="7" cm="1">
        <f t="array" ref="I4221">IFERROR(_xlfn.IFS(M4221="נח",1,M4221="נע ונח",1,M4221="שני שווא נח",2,M4221="שני שוואים בסוף מילה",2,M4221="שני שוואים ברצף",1),"0")</f>
        <v>1</v>
      </c>
      <c r="J4221" s="9">
        <f t="shared" si="267"/>
        <v>2</v>
      </c>
      <c r="K4221" t="s">
        <v>6698</v>
      </c>
      <c r="L4221" t="s">
        <v>6694</v>
      </c>
      <c r="M4221" t="s">
        <v>6705</v>
      </c>
      <c r="Q4221" t="s">
        <v>6694</v>
      </c>
      <c r="S4221" t="s">
        <v>6694</v>
      </c>
      <c r="W4221" t="s">
        <v>6720</v>
      </c>
    </row>
    <row r="4222" spans="1:23" ht="15.6" x14ac:dyDescent="0.4">
      <c r="A4222" s="2" t="s">
        <v>1361</v>
      </c>
      <c r="B4222" s="5" t="s">
        <v>10438</v>
      </c>
      <c r="C4222" s="7" t="s">
        <v>12556</v>
      </c>
      <c r="D4222" s="8">
        <f t="shared" si="264"/>
        <v>0</v>
      </c>
      <c r="E4222" s="7" t="s">
        <v>12557</v>
      </c>
      <c r="F4222" s="7">
        <f t="shared" si="265"/>
        <v>0</v>
      </c>
      <c r="G4222" s="7" t="s">
        <v>12558</v>
      </c>
      <c r="H4222" s="7">
        <f t="shared" si="266"/>
        <v>0</v>
      </c>
      <c r="I4222" s="7" cm="1">
        <f t="array" ref="I4222">IFERROR(_xlfn.IFS(M4222="נח",1,M4222="נע ונח",1,M4222="שני שווא נח",2,M4222="שני שוואים בסוף מילה",2,M4222="שני שוואים ברצף",1),"0")</f>
        <v>1</v>
      </c>
      <c r="J4222" s="9">
        <f t="shared" si="267"/>
        <v>3</v>
      </c>
      <c r="K4222" t="s">
        <v>6697</v>
      </c>
      <c r="L4222" t="s">
        <v>6694</v>
      </c>
      <c r="M4222" t="s">
        <v>6705</v>
      </c>
      <c r="O4222" t="s">
        <v>6694</v>
      </c>
      <c r="Q4222" t="s">
        <v>6694</v>
      </c>
      <c r="S4222" t="s">
        <v>6694</v>
      </c>
      <c r="W4222" t="s">
        <v>6720</v>
      </c>
    </row>
    <row r="4223" spans="1:23" ht="15.6" x14ac:dyDescent="0.4">
      <c r="A4223" s="2" t="s">
        <v>5787</v>
      </c>
      <c r="B4223" s="5" t="s">
        <v>10439</v>
      </c>
      <c r="C4223" s="7" t="s">
        <v>12556</v>
      </c>
      <c r="D4223" s="8">
        <f t="shared" si="264"/>
        <v>0</v>
      </c>
      <c r="E4223" s="7" t="s">
        <v>12557</v>
      </c>
      <c r="F4223" s="7">
        <f t="shared" si="265"/>
        <v>0</v>
      </c>
      <c r="G4223" s="7" t="s">
        <v>12558</v>
      </c>
      <c r="H4223" s="7">
        <f t="shared" si="266"/>
        <v>0</v>
      </c>
      <c r="I4223" s="7" cm="1">
        <f t="array" ref="I4223">IFERROR(_xlfn.IFS(M4223="נח",1,M4223="נע ונח",1,M4223="שני שווא נח",2,M4223="שני שוואים בסוף מילה",2,M4223="שני שוואים ברצף",1),"0")</f>
        <v>1</v>
      </c>
      <c r="J4223" s="9">
        <f t="shared" si="267"/>
        <v>3</v>
      </c>
      <c r="K4223" t="s">
        <v>6697</v>
      </c>
      <c r="L4223" t="s">
        <v>6694</v>
      </c>
      <c r="M4223" t="s">
        <v>6705</v>
      </c>
      <c r="S4223" t="s">
        <v>6694</v>
      </c>
      <c r="W4223" t="s">
        <v>6720</v>
      </c>
    </row>
    <row r="4224" spans="1:23" ht="15.6" x14ac:dyDescent="0.4">
      <c r="A4224" s="2" t="s">
        <v>2728</v>
      </c>
      <c r="B4224" s="5" t="s">
        <v>10440</v>
      </c>
      <c r="C4224" s="7" t="s">
        <v>12556</v>
      </c>
      <c r="D4224" s="8">
        <f t="shared" si="264"/>
        <v>0</v>
      </c>
      <c r="E4224" s="7" t="s">
        <v>12557</v>
      </c>
      <c r="F4224" s="7">
        <f t="shared" si="265"/>
        <v>0</v>
      </c>
      <c r="G4224" s="7" t="s">
        <v>12558</v>
      </c>
      <c r="H4224" s="7">
        <f t="shared" si="266"/>
        <v>0</v>
      </c>
      <c r="I4224" s="7" cm="1">
        <f t="array" ref="I4224">IFERROR(_xlfn.IFS(M4224="נח",1,M4224="נע ונח",1,M4224="שני שווא נח",2,M4224="שני שוואים בסוף מילה",2,M4224="שני שוואים ברצף",1),"0")</f>
        <v>1</v>
      </c>
      <c r="J4224" s="9">
        <f t="shared" si="267"/>
        <v>2</v>
      </c>
      <c r="K4224" t="s">
        <v>6698</v>
      </c>
      <c r="L4224" t="s">
        <v>6694</v>
      </c>
      <c r="M4224" t="s">
        <v>6705</v>
      </c>
      <c r="S4224" t="s">
        <v>6694</v>
      </c>
      <c r="V4224" t="s">
        <v>6694</v>
      </c>
      <c r="W4224" t="s">
        <v>6720</v>
      </c>
    </row>
    <row r="4225" spans="1:23" ht="15.6" x14ac:dyDescent="0.4">
      <c r="A4225" s="2" t="s">
        <v>1363</v>
      </c>
      <c r="B4225" s="5" t="s">
        <v>10441</v>
      </c>
      <c r="C4225" s="7" t="s">
        <v>12556</v>
      </c>
      <c r="D4225" s="8">
        <f t="shared" si="264"/>
        <v>0</v>
      </c>
      <c r="E4225" s="7" t="s">
        <v>12557</v>
      </c>
      <c r="F4225" s="7">
        <f t="shared" si="265"/>
        <v>0</v>
      </c>
      <c r="G4225" s="7" t="s">
        <v>12558</v>
      </c>
      <c r="H4225" s="7">
        <f t="shared" si="266"/>
        <v>0</v>
      </c>
      <c r="I4225" s="7" cm="1">
        <f t="array" ref="I4225">IFERROR(_xlfn.IFS(M4225="נח",1,M4225="נע ונח",1,M4225="שני שווא נח",2,M4225="שני שוואים בסוף מילה",2,M4225="שני שוואים ברצף",1),"0")</f>
        <v>1</v>
      </c>
      <c r="J4225" s="9">
        <f t="shared" si="267"/>
        <v>2</v>
      </c>
      <c r="K4225" t="s">
        <v>6698</v>
      </c>
      <c r="L4225" t="s">
        <v>6694</v>
      </c>
      <c r="M4225" t="s">
        <v>6705</v>
      </c>
      <c r="Q4225" t="s">
        <v>6694</v>
      </c>
      <c r="S4225" t="s">
        <v>6694</v>
      </c>
      <c r="W4225" t="s">
        <v>6720</v>
      </c>
    </row>
    <row r="4226" spans="1:23" ht="15.6" x14ac:dyDescent="0.4">
      <c r="A4226" s="2" t="s">
        <v>6654</v>
      </c>
      <c r="B4226" s="5" t="s">
        <v>10442</v>
      </c>
      <c r="C4226" s="7" t="s">
        <v>12556</v>
      </c>
      <c r="D4226" s="8">
        <f t="shared" si="264"/>
        <v>0</v>
      </c>
      <c r="E4226" s="7" t="s">
        <v>12557</v>
      </c>
      <c r="F4226" s="7">
        <f t="shared" si="265"/>
        <v>0</v>
      </c>
      <c r="G4226" s="7" t="s">
        <v>12558</v>
      </c>
      <c r="H4226" s="7">
        <f t="shared" si="266"/>
        <v>0</v>
      </c>
      <c r="I4226" s="7" cm="1">
        <f t="array" ref="I4226">IFERROR(_xlfn.IFS(M4226="נח",1,M4226="נע ונח",1,M4226="שני שווא נח",2,M4226="שני שוואים בסוף מילה",2,M4226="שני שוואים ברצף",1),"0")</f>
        <v>1</v>
      </c>
      <c r="J4226" s="9">
        <f t="shared" si="267"/>
        <v>3</v>
      </c>
      <c r="K4226" t="s">
        <v>6698</v>
      </c>
      <c r="L4226" t="s">
        <v>6694</v>
      </c>
      <c r="M4226" t="s">
        <v>6705</v>
      </c>
      <c r="Q4226" t="s">
        <v>6694</v>
      </c>
      <c r="R4226" t="s">
        <v>6694</v>
      </c>
      <c r="S4226" t="s">
        <v>6694</v>
      </c>
      <c r="W4226" t="s">
        <v>6720</v>
      </c>
    </row>
    <row r="4227" spans="1:23" ht="15.6" x14ac:dyDescent="0.4">
      <c r="A4227" s="2" t="s">
        <v>6246</v>
      </c>
      <c r="B4227" s="5" t="s">
        <v>10443</v>
      </c>
      <c r="C4227" s="7" t="s">
        <v>12556</v>
      </c>
      <c r="D4227" s="8">
        <f t="shared" ref="D4227:D4290" si="268">(LEN(B4227)-LEN(SUBSTITUTE(B4227,C4227,"")))</f>
        <v>0</v>
      </c>
      <c r="E4227" s="7" t="s">
        <v>12557</v>
      </c>
      <c r="F4227" s="7">
        <f t="shared" ref="F4227:F4290" si="269">(LEN(A4227)-LEN(SUBSTITUTE(A4227,E4227,"")))</f>
        <v>0</v>
      </c>
      <c r="G4227" s="7" t="s">
        <v>12558</v>
      </c>
      <c r="H4227" s="7">
        <f t="shared" ref="H4227:H4290" si="270">(LEN(A4227)-LEN(SUBSTITUTE(A4227,G4227,"")))/2</f>
        <v>0</v>
      </c>
      <c r="I4227" s="7" cm="1">
        <f t="array" ref="I4227">IFERROR(_xlfn.IFS(M4227="נח",1,M4227="נע ונח",1,M4227="שני שווא נח",2,M4227="שני שוואים בסוף מילה",2,M4227="שני שוואים ברצף",1),"0")</f>
        <v>1</v>
      </c>
      <c r="J4227" s="9">
        <f t="shared" ref="J4227:J4290" si="271">LEN(A4227)-(LEN(B4227))-D4227-F4227+H4227-I4227</f>
        <v>3</v>
      </c>
      <c r="K4227" t="s">
        <v>6697</v>
      </c>
      <c r="L4227" t="s">
        <v>6694</v>
      </c>
      <c r="M4227" t="s">
        <v>6705</v>
      </c>
      <c r="O4227" t="s">
        <v>6694</v>
      </c>
      <c r="S4227" t="s">
        <v>6694</v>
      </c>
      <c r="W4227" t="s">
        <v>6720</v>
      </c>
    </row>
    <row r="4228" spans="1:23" ht="15.6" x14ac:dyDescent="0.4">
      <c r="A4228" s="2" t="s">
        <v>232</v>
      </c>
      <c r="B4228" s="5" t="s">
        <v>10444</v>
      </c>
      <c r="C4228" s="7" t="s">
        <v>12556</v>
      </c>
      <c r="D4228" s="8">
        <f t="shared" si="268"/>
        <v>0</v>
      </c>
      <c r="E4228" s="7" t="s">
        <v>12557</v>
      </c>
      <c r="F4228" s="7">
        <f t="shared" si="269"/>
        <v>1</v>
      </c>
      <c r="G4228" s="7" t="s">
        <v>12558</v>
      </c>
      <c r="H4228" s="7">
        <f t="shared" si="270"/>
        <v>0</v>
      </c>
      <c r="I4228" s="7" t="str" cm="1">
        <f t="array" ref="I4228">IFERROR(_xlfn.IFS(M4228="נח",1,M4228="נע ונח",1,M4228="שני שווא נח",2,M4228="שני שוואים בסוף מילה",2,M4228="שני שוואים ברצף",1),"0")</f>
        <v>0</v>
      </c>
      <c r="J4228" s="9">
        <f t="shared" si="271"/>
        <v>2</v>
      </c>
      <c r="K4228" t="s">
        <v>6697</v>
      </c>
      <c r="L4228" t="s">
        <v>6695</v>
      </c>
      <c r="S4228" t="s">
        <v>6694</v>
      </c>
      <c r="W4228" t="s">
        <v>6720</v>
      </c>
    </row>
    <row r="4229" spans="1:23" ht="15.6" x14ac:dyDescent="0.4">
      <c r="A4229" s="2" t="s">
        <v>3655</v>
      </c>
      <c r="B4229" s="5" t="s">
        <v>10445</v>
      </c>
      <c r="C4229" s="7" t="s">
        <v>12556</v>
      </c>
      <c r="D4229" s="8">
        <f t="shared" si="268"/>
        <v>0</v>
      </c>
      <c r="E4229" s="7" t="s">
        <v>12557</v>
      </c>
      <c r="F4229" s="7">
        <f t="shared" si="269"/>
        <v>2</v>
      </c>
      <c r="G4229" s="7" t="s">
        <v>12558</v>
      </c>
      <c r="H4229" s="7">
        <f t="shared" si="270"/>
        <v>1</v>
      </c>
      <c r="I4229" s="7" t="str" cm="1">
        <f t="array" ref="I4229">IFERROR(_xlfn.IFS(M4229="נח",1,M4229="נע ונח",1,M4229="שני שווא נח",2,M4229="שני שוואים בסוף מילה",2,M4229="שני שוואים ברצף",1),"0")</f>
        <v>0</v>
      </c>
      <c r="J4229" s="9">
        <f t="shared" si="271"/>
        <v>3</v>
      </c>
      <c r="K4229" t="s">
        <v>6697</v>
      </c>
      <c r="L4229" t="s">
        <v>6695</v>
      </c>
      <c r="Q4229" t="s">
        <v>6694</v>
      </c>
      <c r="S4229" t="s">
        <v>6694</v>
      </c>
      <c r="U4229" t="s">
        <v>6694</v>
      </c>
      <c r="W4229" t="s">
        <v>6720</v>
      </c>
    </row>
    <row r="4230" spans="1:23" ht="15.6" x14ac:dyDescent="0.4">
      <c r="A4230" s="2" t="s">
        <v>2659</v>
      </c>
      <c r="B4230" s="5" t="s">
        <v>10446</v>
      </c>
      <c r="C4230" s="7" t="s">
        <v>12556</v>
      </c>
      <c r="D4230" s="8">
        <f t="shared" si="268"/>
        <v>0</v>
      </c>
      <c r="E4230" s="7" t="s">
        <v>12557</v>
      </c>
      <c r="F4230" s="7">
        <f t="shared" si="269"/>
        <v>1</v>
      </c>
      <c r="G4230" s="7" t="s">
        <v>12558</v>
      </c>
      <c r="H4230" s="7">
        <f t="shared" si="270"/>
        <v>0</v>
      </c>
      <c r="I4230" s="7" t="str" cm="1">
        <f t="array" ref="I4230">IFERROR(_xlfn.IFS(M4230="נח",1,M4230="נע ונח",1,M4230="שני שווא נח",2,M4230="שני שוואים בסוף מילה",2,M4230="שני שוואים ברצף",1),"0")</f>
        <v>0</v>
      </c>
      <c r="J4230" s="9">
        <f t="shared" si="271"/>
        <v>3</v>
      </c>
      <c r="K4230" t="s">
        <v>6697</v>
      </c>
      <c r="L4230" t="s">
        <v>6695</v>
      </c>
      <c r="O4230" t="s">
        <v>6694</v>
      </c>
      <c r="R4230" t="s">
        <v>6694</v>
      </c>
      <c r="S4230" t="s">
        <v>6694</v>
      </c>
      <c r="W4230" t="s">
        <v>6720</v>
      </c>
    </row>
    <row r="4231" spans="1:23" ht="15.6" x14ac:dyDescent="0.4">
      <c r="A4231" s="2" t="s">
        <v>442</v>
      </c>
      <c r="B4231" s="5" t="s">
        <v>10447</v>
      </c>
      <c r="C4231" s="7" t="s">
        <v>12556</v>
      </c>
      <c r="D4231" s="8">
        <f t="shared" si="268"/>
        <v>0</v>
      </c>
      <c r="E4231" s="7" t="s">
        <v>12557</v>
      </c>
      <c r="F4231" s="7">
        <f t="shared" si="269"/>
        <v>1</v>
      </c>
      <c r="G4231" s="7" t="s">
        <v>12558</v>
      </c>
      <c r="H4231" s="7">
        <f t="shared" si="270"/>
        <v>0</v>
      </c>
      <c r="I4231" s="7" t="str" cm="1">
        <f t="array" ref="I4231">IFERROR(_xlfn.IFS(M4231="נח",1,M4231="נע ונח",1,M4231="שני שווא נח",2,M4231="שני שוואים בסוף מילה",2,M4231="שני שוואים ברצף",1),"0")</f>
        <v>0</v>
      </c>
      <c r="J4231" s="9">
        <f t="shared" si="271"/>
        <v>2</v>
      </c>
      <c r="K4231" t="s">
        <v>6698</v>
      </c>
      <c r="L4231" t="s">
        <v>6695</v>
      </c>
      <c r="N4231" t="s">
        <v>6706</v>
      </c>
      <c r="O4231" t="s">
        <v>6694</v>
      </c>
      <c r="S4231" t="s">
        <v>6694</v>
      </c>
      <c r="W4231" t="s">
        <v>6720</v>
      </c>
    </row>
    <row r="4232" spans="1:23" ht="15.6" x14ac:dyDescent="0.4">
      <c r="A4232" s="2" t="s">
        <v>427</v>
      </c>
      <c r="B4232" s="5" t="s">
        <v>10448</v>
      </c>
      <c r="C4232" s="7" t="s">
        <v>12556</v>
      </c>
      <c r="D4232" s="8">
        <f t="shared" si="268"/>
        <v>0</v>
      </c>
      <c r="E4232" s="7" t="s">
        <v>12557</v>
      </c>
      <c r="F4232" s="7">
        <f t="shared" si="269"/>
        <v>1</v>
      </c>
      <c r="G4232" s="7" t="s">
        <v>12558</v>
      </c>
      <c r="H4232" s="7">
        <f t="shared" si="270"/>
        <v>0</v>
      </c>
      <c r="I4232" s="7" t="str" cm="1">
        <f t="array" ref="I4232">IFERROR(_xlfn.IFS(M4232="נח",1,M4232="נע ונח",1,M4232="שני שווא נח",2,M4232="שני שוואים בסוף מילה",2,M4232="שני שוואים ברצף",1),"0")</f>
        <v>0</v>
      </c>
      <c r="J4232" s="9">
        <f t="shared" si="271"/>
        <v>2</v>
      </c>
      <c r="K4232" t="s">
        <v>6697</v>
      </c>
      <c r="L4232" t="s">
        <v>6695</v>
      </c>
      <c r="S4232" t="s">
        <v>6694</v>
      </c>
      <c r="V4232" t="s">
        <v>6694</v>
      </c>
      <c r="W4232" t="s">
        <v>6720</v>
      </c>
    </row>
    <row r="4233" spans="1:23" ht="15.6" x14ac:dyDescent="0.4">
      <c r="A4233" s="2" t="s">
        <v>1789</v>
      </c>
      <c r="B4233" s="5" t="s">
        <v>10449</v>
      </c>
      <c r="C4233" s="7" t="s">
        <v>12556</v>
      </c>
      <c r="D4233" s="8">
        <f t="shared" si="268"/>
        <v>0</v>
      </c>
      <c r="E4233" s="7" t="s">
        <v>12557</v>
      </c>
      <c r="F4233" s="7">
        <f t="shared" si="269"/>
        <v>0</v>
      </c>
      <c r="G4233" s="7" t="s">
        <v>12558</v>
      </c>
      <c r="H4233" s="7">
        <f t="shared" si="270"/>
        <v>0</v>
      </c>
      <c r="I4233" s="7" cm="1">
        <f t="array" ref="I4233">IFERROR(_xlfn.IFS(M4233="נח",1,M4233="נע ונח",1,M4233="שני שווא נח",2,M4233="שני שוואים בסוף מילה",2,M4233="שני שוואים ברצף",1),"0")</f>
        <v>1</v>
      </c>
      <c r="J4233" s="9">
        <f t="shared" si="271"/>
        <v>3</v>
      </c>
      <c r="K4233" t="s">
        <v>6698</v>
      </c>
      <c r="L4233" t="s">
        <v>6694</v>
      </c>
      <c r="M4233" t="s">
        <v>6705</v>
      </c>
      <c r="O4233" t="s">
        <v>6694</v>
      </c>
      <c r="S4233" t="s">
        <v>6694</v>
      </c>
      <c r="W4233" t="s">
        <v>6720</v>
      </c>
    </row>
    <row r="4234" spans="1:23" ht="15.6" x14ac:dyDescent="0.4">
      <c r="A4234" s="2" t="s">
        <v>6077</v>
      </c>
      <c r="B4234" s="5" t="s">
        <v>10450</v>
      </c>
      <c r="C4234" s="7" t="s">
        <v>12556</v>
      </c>
      <c r="D4234" s="8">
        <f t="shared" si="268"/>
        <v>0</v>
      </c>
      <c r="E4234" s="7" t="s">
        <v>12557</v>
      </c>
      <c r="F4234" s="7">
        <f t="shared" si="269"/>
        <v>0</v>
      </c>
      <c r="G4234" s="7" t="s">
        <v>12558</v>
      </c>
      <c r="H4234" s="7">
        <f t="shared" si="270"/>
        <v>0</v>
      </c>
      <c r="I4234" s="7" cm="1">
        <f t="array" ref="I4234">IFERROR(_xlfn.IFS(M4234="נח",1,M4234="נע ונח",1,M4234="שני שווא נח",2,M4234="שני שוואים בסוף מילה",2,M4234="שני שוואים ברצף",1),"0")</f>
        <v>1</v>
      </c>
      <c r="J4234" s="9">
        <f t="shared" si="271"/>
        <v>3</v>
      </c>
      <c r="K4234" t="s">
        <v>6697</v>
      </c>
      <c r="L4234" t="s">
        <v>6694</v>
      </c>
      <c r="M4234" t="s">
        <v>6705</v>
      </c>
      <c r="O4234" t="s">
        <v>6694</v>
      </c>
      <c r="S4234" t="s">
        <v>6694</v>
      </c>
      <c r="V4234" t="s">
        <v>6694</v>
      </c>
      <c r="W4234" t="s">
        <v>6720</v>
      </c>
    </row>
    <row r="4235" spans="1:23" ht="15.6" x14ac:dyDescent="0.4">
      <c r="A4235" s="2" t="s">
        <v>5102</v>
      </c>
      <c r="B4235" s="5" t="s">
        <v>10451</v>
      </c>
      <c r="C4235" s="7" t="s">
        <v>12556</v>
      </c>
      <c r="D4235" s="8">
        <f t="shared" si="268"/>
        <v>0</v>
      </c>
      <c r="E4235" s="7" t="s">
        <v>12557</v>
      </c>
      <c r="F4235" s="7">
        <f t="shared" si="269"/>
        <v>0</v>
      </c>
      <c r="G4235" s="7" t="s">
        <v>12558</v>
      </c>
      <c r="H4235" s="7">
        <f t="shared" si="270"/>
        <v>0</v>
      </c>
      <c r="I4235" s="7" cm="1">
        <f t="array" ref="I4235">IFERROR(_xlfn.IFS(M4235="נח",1,M4235="נע ונח",1,M4235="שני שווא נח",2,M4235="שני שוואים בסוף מילה",2,M4235="שני שוואים ברצף",1),"0")</f>
        <v>1</v>
      </c>
      <c r="J4235" s="9">
        <f t="shared" si="271"/>
        <v>2</v>
      </c>
      <c r="K4235" t="s">
        <v>6698</v>
      </c>
      <c r="L4235" t="s">
        <v>6694</v>
      </c>
      <c r="M4235" t="s">
        <v>6705</v>
      </c>
      <c r="S4235" t="s">
        <v>6694</v>
      </c>
      <c r="V4235" t="s">
        <v>6694</v>
      </c>
      <c r="W4235" t="s">
        <v>6720</v>
      </c>
    </row>
    <row r="4236" spans="1:23" ht="15.6" x14ac:dyDescent="0.4">
      <c r="A4236" s="2" t="s">
        <v>1589</v>
      </c>
      <c r="B4236" s="5" t="s">
        <v>10452</v>
      </c>
      <c r="C4236" s="7" t="s">
        <v>12556</v>
      </c>
      <c r="D4236" s="8">
        <f t="shared" si="268"/>
        <v>0</v>
      </c>
      <c r="E4236" s="7" t="s">
        <v>12557</v>
      </c>
      <c r="F4236" s="7">
        <f t="shared" si="269"/>
        <v>0</v>
      </c>
      <c r="G4236" s="7" t="s">
        <v>12558</v>
      </c>
      <c r="H4236" s="7">
        <f t="shared" si="270"/>
        <v>0</v>
      </c>
      <c r="I4236" s="7" cm="1">
        <f t="array" ref="I4236">IFERROR(_xlfn.IFS(M4236="נח",1,M4236="נע ונח",1,M4236="שני שווא נח",2,M4236="שני שוואים בסוף מילה",2,M4236="שני שוואים ברצף",1),"0")</f>
        <v>1</v>
      </c>
      <c r="J4236" s="9">
        <f t="shared" si="271"/>
        <v>3</v>
      </c>
      <c r="K4236" t="s">
        <v>6697</v>
      </c>
      <c r="L4236" t="s">
        <v>6694</v>
      </c>
      <c r="M4236" t="s">
        <v>6705</v>
      </c>
      <c r="O4236" t="s">
        <v>6694</v>
      </c>
      <c r="S4236" t="s">
        <v>6694</v>
      </c>
      <c r="W4236" t="s">
        <v>6720</v>
      </c>
    </row>
    <row r="4237" spans="1:23" ht="15.6" x14ac:dyDescent="0.4">
      <c r="A4237" s="2" t="s">
        <v>745</v>
      </c>
      <c r="B4237" s="5" t="s">
        <v>10453</v>
      </c>
      <c r="C4237" s="7" t="s">
        <v>12556</v>
      </c>
      <c r="D4237" s="8">
        <f t="shared" si="268"/>
        <v>0</v>
      </c>
      <c r="E4237" s="7" t="s">
        <v>12557</v>
      </c>
      <c r="F4237" s="7">
        <f t="shared" si="269"/>
        <v>0</v>
      </c>
      <c r="G4237" s="7" t="s">
        <v>12558</v>
      </c>
      <c r="H4237" s="7">
        <f t="shared" si="270"/>
        <v>0</v>
      </c>
      <c r="I4237" s="7" cm="1">
        <f t="array" ref="I4237">IFERROR(_xlfn.IFS(M4237="נח",1,M4237="נע ונח",1,M4237="שני שווא נח",2,M4237="שני שוואים בסוף מילה",2,M4237="שני שוואים ברצף",1),"0")</f>
        <v>1</v>
      </c>
      <c r="J4237" s="9">
        <f t="shared" si="271"/>
        <v>3</v>
      </c>
      <c r="K4237" t="s">
        <v>6698</v>
      </c>
      <c r="L4237" t="s">
        <v>6694</v>
      </c>
      <c r="M4237" t="s">
        <v>6705</v>
      </c>
      <c r="N4237" t="s">
        <v>6706</v>
      </c>
      <c r="O4237" t="s">
        <v>6694</v>
      </c>
      <c r="S4237" t="s">
        <v>6694</v>
      </c>
      <c r="W4237" t="s">
        <v>6720</v>
      </c>
    </row>
    <row r="4238" spans="1:23" ht="15.6" x14ac:dyDescent="0.4">
      <c r="A4238" s="2" t="s">
        <v>2512</v>
      </c>
      <c r="B4238" s="5" t="s">
        <v>10454</v>
      </c>
      <c r="C4238" s="7" t="s">
        <v>12556</v>
      </c>
      <c r="D4238" s="8">
        <f t="shared" si="268"/>
        <v>0</v>
      </c>
      <c r="E4238" s="7" t="s">
        <v>12557</v>
      </c>
      <c r="F4238" s="7">
        <f t="shared" si="269"/>
        <v>0</v>
      </c>
      <c r="G4238" s="7" t="s">
        <v>12558</v>
      </c>
      <c r="H4238" s="7">
        <f t="shared" si="270"/>
        <v>0</v>
      </c>
      <c r="I4238" s="7" cm="1">
        <f t="array" ref="I4238">IFERROR(_xlfn.IFS(M4238="נח",1,M4238="נע ונח",1,M4238="שני שווא נח",2,M4238="שני שוואים בסוף מילה",2,M4238="שני שוואים ברצף",1),"0")</f>
        <v>1</v>
      </c>
      <c r="J4238" s="9">
        <f t="shared" si="271"/>
        <v>3</v>
      </c>
      <c r="K4238" t="s">
        <v>6697</v>
      </c>
      <c r="L4238" t="s">
        <v>6694</v>
      </c>
      <c r="M4238" t="s">
        <v>6705</v>
      </c>
      <c r="N4238" t="s">
        <v>6707</v>
      </c>
      <c r="P4238" t="s">
        <v>6694</v>
      </c>
      <c r="S4238" t="s">
        <v>6694</v>
      </c>
      <c r="V4238" t="s">
        <v>6694</v>
      </c>
      <c r="W4238" t="s">
        <v>6720</v>
      </c>
    </row>
    <row r="4239" spans="1:23" ht="15.6" x14ac:dyDescent="0.4">
      <c r="A4239" s="2" t="s">
        <v>4339</v>
      </c>
      <c r="B4239" s="5" t="s">
        <v>10455</v>
      </c>
      <c r="C4239" s="7" t="s">
        <v>12556</v>
      </c>
      <c r="D4239" s="8">
        <f t="shared" si="268"/>
        <v>0</v>
      </c>
      <c r="E4239" s="7" t="s">
        <v>12557</v>
      </c>
      <c r="F4239" s="7">
        <f t="shared" si="269"/>
        <v>0</v>
      </c>
      <c r="G4239" s="7" t="s">
        <v>12558</v>
      </c>
      <c r="H4239" s="7">
        <f t="shared" si="270"/>
        <v>0</v>
      </c>
      <c r="I4239" s="7" cm="1">
        <f t="array" ref="I4239">IFERROR(_xlfn.IFS(M4239="נח",1,M4239="נע ונח",1,M4239="שני שווא נח",2,M4239="שני שוואים בסוף מילה",2,M4239="שני שוואים ברצף",1),"0")</f>
        <v>1</v>
      </c>
      <c r="J4239" s="9">
        <f t="shared" si="271"/>
        <v>2</v>
      </c>
      <c r="K4239" t="s">
        <v>6698</v>
      </c>
      <c r="L4239" t="s">
        <v>6694</v>
      </c>
      <c r="M4239" t="s">
        <v>6705</v>
      </c>
      <c r="S4239" t="s">
        <v>6694</v>
      </c>
      <c r="V4239" t="s">
        <v>6694</v>
      </c>
      <c r="W4239" t="s">
        <v>6720</v>
      </c>
    </row>
    <row r="4240" spans="1:23" ht="15.6" x14ac:dyDescent="0.4">
      <c r="A4240" s="2" t="s">
        <v>2132</v>
      </c>
      <c r="B4240" s="5" t="s">
        <v>10456</v>
      </c>
      <c r="C4240" s="7" t="s">
        <v>12556</v>
      </c>
      <c r="D4240" s="8">
        <f t="shared" si="268"/>
        <v>0</v>
      </c>
      <c r="E4240" s="7" t="s">
        <v>12557</v>
      </c>
      <c r="F4240" s="7">
        <f t="shared" si="269"/>
        <v>0</v>
      </c>
      <c r="G4240" s="7" t="s">
        <v>12558</v>
      </c>
      <c r="H4240" s="7">
        <f t="shared" si="270"/>
        <v>0</v>
      </c>
      <c r="I4240" s="7" cm="1">
        <f t="array" ref="I4240">IFERROR(_xlfn.IFS(M4240="נח",1,M4240="נע ונח",1,M4240="שני שווא נח",2,M4240="שני שוואים בסוף מילה",2,M4240="שני שוואים ברצף",1),"0")</f>
        <v>1</v>
      </c>
      <c r="J4240" s="9">
        <f t="shared" si="271"/>
        <v>2</v>
      </c>
      <c r="K4240" t="s">
        <v>6698</v>
      </c>
      <c r="L4240" t="s">
        <v>6694</v>
      </c>
      <c r="M4240" t="s">
        <v>6705</v>
      </c>
      <c r="S4240" t="s">
        <v>6694</v>
      </c>
      <c r="V4240" t="s">
        <v>6694</v>
      </c>
      <c r="W4240" t="s">
        <v>6720</v>
      </c>
    </row>
    <row r="4241" spans="1:23" ht="15.6" x14ac:dyDescent="0.4">
      <c r="A4241" s="2" t="s">
        <v>26</v>
      </c>
      <c r="B4241" s="5" t="s">
        <v>10457</v>
      </c>
      <c r="C4241" s="7" t="s">
        <v>12556</v>
      </c>
      <c r="D4241" s="8">
        <f t="shared" si="268"/>
        <v>0</v>
      </c>
      <c r="E4241" s="7" t="s">
        <v>12557</v>
      </c>
      <c r="F4241" s="7">
        <f t="shared" si="269"/>
        <v>0</v>
      </c>
      <c r="G4241" s="7" t="s">
        <v>12558</v>
      </c>
      <c r="H4241" s="7">
        <f t="shared" si="270"/>
        <v>0</v>
      </c>
      <c r="I4241" s="7" t="str" cm="1">
        <f t="array" ref="I4241">IFERROR(_xlfn.IFS(M4241="נח",1,M4241="נע ונח",1,M4241="שני שווא נח",2,M4241="שני שוואים בסוף מילה",2,M4241="שני שוואים ברצף",1),"0")</f>
        <v>0</v>
      </c>
      <c r="J4241" s="9">
        <f t="shared" si="271"/>
        <v>1</v>
      </c>
      <c r="K4241" t="s">
        <v>6697</v>
      </c>
      <c r="L4241" t="s">
        <v>6695</v>
      </c>
      <c r="S4241" t="s">
        <v>6694</v>
      </c>
      <c r="W4241" t="s">
        <v>6720</v>
      </c>
    </row>
    <row r="4242" spans="1:23" ht="15.6" x14ac:dyDescent="0.4">
      <c r="A4242" s="2" t="s">
        <v>3433</v>
      </c>
      <c r="B4242" s="5" t="s">
        <v>10458</v>
      </c>
      <c r="C4242" s="7" t="s">
        <v>12556</v>
      </c>
      <c r="D4242" s="8">
        <f t="shared" si="268"/>
        <v>0</v>
      </c>
      <c r="E4242" s="7" t="s">
        <v>12557</v>
      </c>
      <c r="F4242" s="7">
        <f t="shared" si="269"/>
        <v>2</v>
      </c>
      <c r="G4242" s="7" t="s">
        <v>12558</v>
      </c>
      <c r="H4242" s="7">
        <f t="shared" si="270"/>
        <v>2</v>
      </c>
      <c r="I4242" s="7" t="str" cm="1">
        <f t="array" ref="I4242">IFERROR(_xlfn.IFS(M4242="נח",1,M4242="נע ונח",1,M4242="שני שווא נח",2,M4242="שני שוואים בסוף מילה",2,M4242="שני שוואים ברצף",1),"0")</f>
        <v>0</v>
      </c>
      <c r="J4242" s="9">
        <f t="shared" si="271"/>
        <v>3</v>
      </c>
      <c r="K4242" t="s">
        <v>6698</v>
      </c>
      <c r="L4242" t="s">
        <v>6695</v>
      </c>
      <c r="S4242" t="s">
        <v>6694</v>
      </c>
      <c r="U4242" t="s">
        <v>6694</v>
      </c>
      <c r="W4242" t="s">
        <v>6720</v>
      </c>
    </row>
    <row r="4243" spans="1:23" ht="15.6" x14ac:dyDescent="0.4">
      <c r="A4243" s="2" t="s">
        <v>5021</v>
      </c>
      <c r="B4243" s="5" t="s">
        <v>10459</v>
      </c>
      <c r="C4243" s="7" t="s">
        <v>12556</v>
      </c>
      <c r="D4243" s="8">
        <f t="shared" si="268"/>
        <v>0</v>
      </c>
      <c r="E4243" s="7" t="s">
        <v>12557</v>
      </c>
      <c r="F4243" s="7">
        <f t="shared" si="269"/>
        <v>0</v>
      </c>
      <c r="G4243" s="7" t="s">
        <v>12558</v>
      </c>
      <c r="H4243" s="7">
        <f t="shared" si="270"/>
        <v>0</v>
      </c>
      <c r="I4243" s="7" t="str" cm="1">
        <f t="array" ref="I4243">IFERROR(_xlfn.IFS(M4243="נח",1,M4243="נע ונח",1,M4243="שני שווא נח",2,M4243="שני שוואים בסוף מילה",2,M4243="שני שוואים ברצף",1),"0")</f>
        <v>0</v>
      </c>
      <c r="J4243" s="9">
        <f t="shared" si="271"/>
        <v>2</v>
      </c>
      <c r="K4243" t="s">
        <v>6698</v>
      </c>
      <c r="L4243" t="s">
        <v>6695</v>
      </c>
      <c r="S4243" t="s">
        <v>6694</v>
      </c>
      <c r="W4243" t="s">
        <v>6720</v>
      </c>
    </row>
    <row r="4244" spans="1:23" ht="15.6" x14ac:dyDescent="0.4">
      <c r="A4244" s="2" t="s">
        <v>3717</v>
      </c>
      <c r="B4244" s="5" t="s">
        <v>10460</v>
      </c>
      <c r="C4244" s="7" t="s">
        <v>12556</v>
      </c>
      <c r="D4244" s="8">
        <f t="shared" si="268"/>
        <v>0</v>
      </c>
      <c r="E4244" s="7" t="s">
        <v>12557</v>
      </c>
      <c r="F4244" s="7">
        <f t="shared" si="269"/>
        <v>0</v>
      </c>
      <c r="G4244" s="7" t="s">
        <v>12558</v>
      </c>
      <c r="H4244" s="7">
        <f t="shared" si="270"/>
        <v>0</v>
      </c>
      <c r="I4244" s="7" cm="1">
        <f t="array" ref="I4244">IFERROR(_xlfn.IFS(M4244="נח",1,M4244="נע ונח",1,M4244="שני שווא נח",2,M4244="שני שוואים בסוף מילה",2,M4244="שני שוואים ברצף",1),"0")</f>
        <v>1</v>
      </c>
      <c r="J4244" s="9">
        <f t="shared" si="271"/>
        <v>3</v>
      </c>
      <c r="K4244" t="s">
        <v>6697</v>
      </c>
      <c r="L4244" t="s">
        <v>6694</v>
      </c>
      <c r="M4244" t="s">
        <v>6705</v>
      </c>
      <c r="O4244" t="s">
        <v>6694</v>
      </c>
      <c r="S4244" t="s">
        <v>6694</v>
      </c>
      <c r="W4244" t="s">
        <v>6720</v>
      </c>
    </row>
    <row r="4245" spans="1:23" ht="15.6" x14ac:dyDescent="0.4">
      <c r="A4245" s="2" t="s">
        <v>2868</v>
      </c>
      <c r="B4245" s="5" t="s">
        <v>10461</v>
      </c>
      <c r="C4245" s="7" t="s">
        <v>12556</v>
      </c>
      <c r="D4245" s="8">
        <f t="shared" si="268"/>
        <v>0</v>
      </c>
      <c r="E4245" s="7" t="s">
        <v>12557</v>
      </c>
      <c r="F4245" s="7">
        <f t="shared" si="269"/>
        <v>0</v>
      </c>
      <c r="G4245" s="7" t="s">
        <v>12558</v>
      </c>
      <c r="H4245" s="7">
        <f t="shared" si="270"/>
        <v>0</v>
      </c>
      <c r="I4245" s="7" t="str" cm="1">
        <f t="array" ref="I4245">IFERROR(_xlfn.IFS(M4245="נח",1,M4245="נע ונח",1,M4245="שני שווא נח",2,M4245="שני שוואים בסוף מילה",2,M4245="שני שוואים ברצף",1),"0")</f>
        <v>0</v>
      </c>
      <c r="J4245" s="9">
        <f t="shared" si="271"/>
        <v>3</v>
      </c>
      <c r="K4245" t="s">
        <v>6697</v>
      </c>
      <c r="L4245" t="s">
        <v>6695</v>
      </c>
      <c r="S4245" t="s">
        <v>6694</v>
      </c>
      <c r="W4245" t="s">
        <v>6720</v>
      </c>
    </row>
    <row r="4246" spans="1:23" ht="15.6" x14ac:dyDescent="0.4">
      <c r="A4246" s="2" t="s">
        <v>919</v>
      </c>
      <c r="B4246" s="5" t="s">
        <v>10462</v>
      </c>
      <c r="C4246" s="7" t="s">
        <v>12556</v>
      </c>
      <c r="D4246" s="8">
        <f t="shared" si="268"/>
        <v>0</v>
      </c>
      <c r="E4246" s="7" t="s">
        <v>12557</v>
      </c>
      <c r="F4246" s="7">
        <f t="shared" si="269"/>
        <v>0</v>
      </c>
      <c r="G4246" s="7" t="s">
        <v>12558</v>
      </c>
      <c r="H4246" s="7">
        <f t="shared" si="270"/>
        <v>0</v>
      </c>
      <c r="I4246" s="7" t="str" cm="1">
        <f t="array" ref="I4246">IFERROR(_xlfn.IFS(M4246="נח",1,M4246="נע ונח",1,M4246="שני שווא נח",2,M4246="שני שוואים בסוף מילה",2,M4246="שני שוואים ברצף",1),"0")</f>
        <v>0</v>
      </c>
      <c r="J4246" s="9">
        <f t="shared" si="271"/>
        <v>3</v>
      </c>
      <c r="K4246" t="s">
        <v>6698</v>
      </c>
      <c r="L4246" t="s">
        <v>6695</v>
      </c>
      <c r="N4246" t="s">
        <v>6706</v>
      </c>
      <c r="O4246" t="s">
        <v>6694</v>
      </c>
      <c r="Q4246" t="s">
        <v>6694</v>
      </c>
      <c r="S4246" t="s">
        <v>6694</v>
      </c>
      <c r="W4246" t="s">
        <v>6720</v>
      </c>
    </row>
    <row r="4247" spans="1:23" ht="15.6" x14ac:dyDescent="0.4">
      <c r="A4247" s="2" t="s">
        <v>2446</v>
      </c>
      <c r="B4247" s="5" t="s">
        <v>10463</v>
      </c>
      <c r="C4247" s="7" t="s">
        <v>12556</v>
      </c>
      <c r="D4247" s="8">
        <f t="shared" si="268"/>
        <v>0</v>
      </c>
      <c r="E4247" s="7" t="s">
        <v>12557</v>
      </c>
      <c r="F4247" s="7">
        <f t="shared" si="269"/>
        <v>0</v>
      </c>
      <c r="G4247" s="7" t="s">
        <v>12558</v>
      </c>
      <c r="H4247" s="7">
        <f t="shared" si="270"/>
        <v>0</v>
      </c>
      <c r="I4247" s="7" t="str" cm="1">
        <f t="array" ref="I4247">IFERROR(_xlfn.IFS(M4247="נח",1,M4247="נע ונח",1,M4247="שני שווא נח",2,M4247="שני שוואים בסוף מילה",2,M4247="שני שוואים ברצף",1),"0")</f>
        <v>0</v>
      </c>
      <c r="J4247" s="9">
        <f t="shared" si="271"/>
        <v>2</v>
      </c>
      <c r="K4247" t="s">
        <v>6698</v>
      </c>
      <c r="L4247" t="s">
        <v>6695</v>
      </c>
      <c r="S4247" t="s">
        <v>6694</v>
      </c>
      <c r="V4247" t="s">
        <v>6694</v>
      </c>
      <c r="W4247" t="s">
        <v>6720</v>
      </c>
    </row>
    <row r="4248" spans="1:23" ht="15.6" x14ac:dyDescent="0.4">
      <c r="A4248" s="2" t="s">
        <v>4787</v>
      </c>
      <c r="B4248" s="5" t="s">
        <v>10464</v>
      </c>
      <c r="C4248" s="7" t="s">
        <v>12556</v>
      </c>
      <c r="D4248" s="8">
        <f t="shared" si="268"/>
        <v>1</v>
      </c>
      <c r="E4248" s="7" t="s">
        <v>12557</v>
      </c>
      <c r="F4248" s="7">
        <f t="shared" si="269"/>
        <v>0</v>
      </c>
      <c r="G4248" s="7" t="s">
        <v>12558</v>
      </c>
      <c r="H4248" s="7">
        <f t="shared" si="270"/>
        <v>0</v>
      </c>
      <c r="I4248" s="7" t="str" cm="1">
        <f t="array" ref="I4248">IFERROR(_xlfn.IFS(M4248="נח",1,M4248="נע ונח",1,M4248="שני שווא נח",2,M4248="שני שוואים בסוף מילה",2,M4248="שני שוואים ברצף",1),"0")</f>
        <v>0</v>
      </c>
      <c r="J4248" s="9">
        <f t="shared" si="271"/>
        <v>4</v>
      </c>
      <c r="K4248" t="s">
        <v>6697</v>
      </c>
      <c r="L4248" t="s">
        <v>6695</v>
      </c>
      <c r="O4248" t="s">
        <v>6694</v>
      </c>
      <c r="S4248" t="s">
        <v>6694</v>
      </c>
      <c r="T4248" t="s">
        <v>6694</v>
      </c>
      <c r="W4248" t="s">
        <v>6720</v>
      </c>
    </row>
    <row r="4249" spans="1:23" ht="15.6" x14ac:dyDescent="0.4">
      <c r="A4249" s="2" t="s">
        <v>6162</v>
      </c>
      <c r="B4249" s="5" t="s">
        <v>10465</v>
      </c>
      <c r="C4249" s="7" t="s">
        <v>12556</v>
      </c>
      <c r="D4249" s="8">
        <f t="shared" si="268"/>
        <v>1</v>
      </c>
      <c r="E4249" s="7" t="s">
        <v>12557</v>
      </c>
      <c r="F4249" s="7">
        <f t="shared" si="269"/>
        <v>1</v>
      </c>
      <c r="G4249" s="7" t="s">
        <v>12558</v>
      </c>
      <c r="H4249" s="7">
        <f t="shared" si="270"/>
        <v>1</v>
      </c>
      <c r="I4249" s="7" t="str" cm="1">
        <f t="array" ref="I4249">IFERROR(_xlfn.IFS(M4249="נח",1,M4249="נע ונח",1,M4249="שני שווא נח",2,M4249="שני שוואים בסוף מילה",2,M4249="שני שוואים ברצף",1),"0")</f>
        <v>0</v>
      </c>
      <c r="J4249" s="9">
        <f t="shared" si="271"/>
        <v>3</v>
      </c>
      <c r="K4249" t="s">
        <v>6697</v>
      </c>
      <c r="L4249" t="s">
        <v>6695</v>
      </c>
      <c r="O4249" t="s">
        <v>6694</v>
      </c>
      <c r="S4249" t="s">
        <v>6694</v>
      </c>
      <c r="U4249" t="s">
        <v>6694</v>
      </c>
      <c r="W4249" t="s">
        <v>6720</v>
      </c>
    </row>
    <row r="4250" spans="1:23" ht="15.6" x14ac:dyDescent="0.4">
      <c r="A4250" s="2" t="s">
        <v>6540</v>
      </c>
      <c r="B4250" s="5" t="s">
        <v>10466</v>
      </c>
      <c r="C4250" s="7" t="s">
        <v>12556</v>
      </c>
      <c r="D4250" s="8">
        <f t="shared" si="268"/>
        <v>0</v>
      </c>
      <c r="E4250" s="7" t="s">
        <v>12557</v>
      </c>
      <c r="F4250" s="7">
        <f t="shared" si="269"/>
        <v>0</v>
      </c>
      <c r="G4250" s="7" t="s">
        <v>12558</v>
      </c>
      <c r="H4250" s="7">
        <f t="shared" si="270"/>
        <v>0</v>
      </c>
      <c r="I4250" s="7" t="str" cm="1">
        <f t="array" ref="I4250">IFERROR(_xlfn.IFS(M4250="נח",1,M4250="נע ונח",1,M4250="שני שווא נח",2,M4250="שני שוואים בסוף מילה",2,M4250="שני שוואים ברצף",1),"0")</f>
        <v>0</v>
      </c>
      <c r="J4250" s="9">
        <f t="shared" si="271"/>
        <v>3</v>
      </c>
      <c r="K4250" t="s">
        <v>6698</v>
      </c>
      <c r="L4250" t="s">
        <v>6695</v>
      </c>
      <c r="N4250" t="s">
        <v>6706</v>
      </c>
      <c r="O4250" t="s">
        <v>6694</v>
      </c>
      <c r="S4250" t="s">
        <v>6694</v>
      </c>
      <c r="V4250" t="s">
        <v>6694</v>
      </c>
      <c r="W4250" t="s">
        <v>6720</v>
      </c>
    </row>
    <row r="4251" spans="1:23" ht="15.6" x14ac:dyDescent="0.4">
      <c r="A4251" s="2" t="s">
        <v>597</v>
      </c>
      <c r="B4251" s="5" t="s">
        <v>10467</v>
      </c>
      <c r="C4251" s="7" t="s">
        <v>12556</v>
      </c>
      <c r="D4251" s="8">
        <f t="shared" si="268"/>
        <v>0</v>
      </c>
      <c r="E4251" s="7" t="s">
        <v>12557</v>
      </c>
      <c r="F4251" s="7">
        <f t="shared" si="269"/>
        <v>1</v>
      </c>
      <c r="G4251" s="7" t="s">
        <v>12558</v>
      </c>
      <c r="H4251" s="7">
        <f t="shared" si="270"/>
        <v>0</v>
      </c>
      <c r="I4251" s="7" cm="1">
        <f t="array" ref="I4251">IFERROR(_xlfn.IFS(M4251="נח",1,M4251="נע ונח",1,M4251="שני שווא נח",2,M4251="שני שוואים בסוף מילה",2,M4251="שני שוואים ברצף",1),"0")</f>
        <v>1</v>
      </c>
      <c r="J4251" s="9">
        <f t="shared" si="271"/>
        <v>3</v>
      </c>
      <c r="K4251" t="s">
        <v>6697</v>
      </c>
      <c r="L4251" t="s">
        <v>6694</v>
      </c>
      <c r="M4251" t="s">
        <v>6705</v>
      </c>
      <c r="O4251" t="s">
        <v>6694</v>
      </c>
      <c r="S4251" t="s">
        <v>6694</v>
      </c>
      <c r="W4251" t="s">
        <v>6720</v>
      </c>
    </row>
    <row r="4252" spans="1:23" ht="15.6" x14ac:dyDescent="0.4">
      <c r="A4252" s="2" t="s">
        <v>1817</v>
      </c>
      <c r="B4252" s="5" t="s">
        <v>10468</v>
      </c>
      <c r="C4252" s="7" t="s">
        <v>12556</v>
      </c>
      <c r="D4252" s="8">
        <f t="shared" si="268"/>
        <v>1</v>
      </c>
      <c r="E4252" s="7" t="s">
        <v>12557</v>
      </c>
      <c r="F4252" s="7">
        <f t="shared" si="269"/>
        <v>1</v>
      </c>
      <c r="G4252" s="7" t="s">
        <v>12558</v>
      </c>
      <c r="H4252" s="7">
        <f t="shared" si="270"/>
        <v>1</v>
      </c>
      <c r="I4252" s="7" cm="1">
        <f t="array" ref="I4252">IFERROR(_xlfn.IFS(M4252="נח",1,M4252="נע ונח",1,M4252="שני שווא נח",2,M4252="שני שוואים בסוף מילה",2,M4252="שני שוואים ברצף",1),"0")</f>
        <v>1</v>
      </c>
      <c r="J4252" s="9">
        <f t="shared" si="271"/>
        <v>4</v>
      </c>
      <c r="K4252" t="s">
        <v>6697</v>
      </c>
      <c r="L4252" t="s">
        <v>6694</v>
      </c>
      <c r="M4252" t="s">
        <v>6705</v>
      </c>
      <c r="Q4252" t="s">
        <v>6694</v>
      </c>
      <c r="S4252" t="s">
        <v>6694</v>
      </c>
      <c r="U4252" t="s">
        <v>6694</v>
      </c>
      <c r="V4252" t="s">
        <v>6694</v>
      </c>
      <c r="W4252" t="s">
        <v>6720</v>
      </c>
    </row>
    <row r="4253" spans="1:23" ht="15.6" x14ac:dyDescent="0.4">
      <c r="A4253" s="2" t="s">
        <v>5083</v>
      </c>
      <c r="B4253" s="5" t="s">
        <v>10469</v>
      </c>
      <c r="C4253" s="7" t="s">
        <v>12556</v>
      </c>
      <c r="D4253" s="8">
        <f t="shared" si="268"/>
        <v>0</v>
      </c>
      <c r="E4253" s="7" t="s">
        <v>12557</v>
      </c>
      <c r="F4253" s="7">
        <f t="shared" si="269"/>
        <v>1</v>
      </c>
      <c r="G4253" s="7" t="s">
        <v>12558</v>
      </c>
      <c r="H4253" s="7">
        <f t="shared" si="270"/>
        <v>0</v>
      </c>
      <c r="I4253" s="7" cm="1">
        <f t="array" ref="I4253">IFERROR(_xlfn.IFS(M4253="נח",1,M4253="נע ונח",1,M4253="שני שווא נח",2,M4253="שני שוואים בסוף מילה",2,M4253="שני שוואים ברצף",1),"0")</f>
        <v>1</v>
      </c>
      <c r="J4253" s="9">
        <f t="shared" si="271"/>
        <v>3</v>
      </c>
      <c r="K4253" t="s">
        <v>6697</v>
      </c>
      <c r="L4253" t="s">
        <v>6694</v>
      </c>
      <c r="M4253" t="s">
        <v>6705</v>
      </c>
      <c r="O4253" t="s">
        <v>6694</v>
      </c>
      <c r="S4253" t="s">
        <v>6694</v>
      </c>
      <c r="W4253" t="s">
        <v>6720</v>
      </c>
    </row>
    <row r="4254" spans="1:23" ht="15.6" x14ac:dyDescent="0.4">
      <c r="A4254" s="2" t="s">
        <v>3391</v>
      </c>
      <c r="B4254" s="5" t="s">
        <v>10470</v>
      </c>
      <c r="C4254" s="7" t="s">
        <v>12556</v>
      </c>
      <c r="D4254" s="8">
        <f t="shared" si="268"/>
        <v>0</v>
      </c>
      <c r="E4254" s="7" t="s">
        <v>12557</v>
      </c>
      <c r="F4254" s="7">
        <f t="shared" si="269"/>
        <v>1</v>
      </c>
      <c r="G4254" s="7" t="s">
        <v>12558</v>
      </c>
      <c r="H4254" s="7">
        <f t="shared" si="270"/>
        <v>0</v>
      </c>
      <c r="I4254" s="7" cm="1">
        <f t="array" ref="I4254">IFERROR(_xlfn.IFS(M4254="נח",1,M4254="נע ונח",1,M4254="שני שווא נח",2,M4254="שני שוואים בסוף מילה",2,M4254="שני שוואים ברצף",1),"0")</f>
        <v>1</v>
      </c>
      <c r="J4254" s="9">
        <f t="shared" si="271"/>
        <v>4</v>
      </c>
      <c r="K4254" t="s">
        <v>6698</v>
      </c>
      <c r="L4254" t="s">
        <v>6694</v>
      </c>
      <c r="M4254" t="s">
        <v>6705</v>
      </c>
      <c r="N4254" t="s">
        <v>6706</v>
      </c>
      <c r="O4254" t="s">
        <v>6694</v>
      </c>
      <c r="S4254" t="s">
        <v>6694</v>
      </c>
      <c r="T4254" t="s">
        <v>6694</v>
      </c>
      <c r="W4254" t="s">
        <v>6720</v>
      </c>
    </row>
    <row r="4255" spans="1:23" ht="15.6" x14ac:dyDescent="0.4">
      <c r="A4255" s="2" t="s">
        <v>1601</v>
      </c>
      <c r="B4255" s="5" t="s">
        <v>10471</v>
      </c>
      <c r="C4255" s="7" t="s">
        <v>12556</v>
      </c>
      <c r="D4255" s="8">
        <f t="shared" si="268"/>
        <v>0</v>
      </c>
      <c r="E4255" s="7" t="s">
        <v>12557</v>
      </c>
      <c r="F4255" s="7">
        <f t="shared" si="269"/>
        <v>0</v>
      </c>
      <c r="G4255" s="7" t="s">
        <v>12558</v>
      </c>
      <c r="H4255" s="7">
        <f t="shared" si="270"/>
        <v>0</v>
      </c>
      <c r="I4255" s="7" cm="1">
        <f t="array" ref="I4255">IFERROR(_xlfn.IFS(M4255="נח",1,M4255="נע ונח",1,M4255="שני שווא נח",2,M4255="שני שוואים בסוף מילה",2,M4255="שני שוואים ברצף",1),"0")</f>
        <v>1</v>
      </c>
      <c r="J4255" s="9">
        <f t="shared" si="271"/>
        <v>3</v>
      </c>
      <c r="K4255" t="s">
        <v>6697</v>
      </c>
      <c r="L4255" t="s">
        <v>6694</v>
      </c>
      <c r="M4255" t="s">
        <v>6705</v>
      </c>
      <c r="O4255" t="s">
        <v>6694</v>
      </c>
      <c r="Q4255" t="s">
        <v>6694</v>
      </c>
      <c r="S4255" t="s">
        <v>6694</v>
      </c>
      <c r="W4255" t="s">
        <v>6720</v>
      </c>
    </row>
    <row r="4256" spans="1:23" ht="15.6" x14ac:dyDescent="0.4">
      <c r="A4256" s="2" t="s">
        <v>346</v>
      </c>
      <c r="B4256" s="5" t="s">
        <v>10472</v>
      </c>
      <c r="C4256" s="7" t="s">
        <v>12556</v>
      </c>
      <c r="D4256" s="8">
        <f t="shared" si="268"/>
        <v>0</v>
      </c>
      <c r="E4256" s="7" t="s">
        <v>12557</v>
      </c>
      <c r="F4256" s="7">
        <f t="shared" si="269"/>
        <v>1</v>
      </c>
      <c r="G4256" s="7" t="s">
        <v>12558</v>
      </c>
      <c r="H4256" s="7">
        <f t="shared" si="270"/>
        <v>1</v>
      </c>
      <c r="I4256" s="7" cm="1">
        <f t="array" ref="I4256">IFERROR(_xlfn.IFS(M4256="נח",1,M4256="נע ונח",1,M4256="שני שווא נח",2,M4256="שני שוואים בסוף מילה",2,M4256="שני שוואים ברצף",1),"0")</f>
        <v>2</v>
      </c>
      <c r="J4256" s="9">
        <f t="shared" si="271"/>
        <v>4</v>
      </c>
      <c r="K4256" t="s">
        <v>6697</v>
      </c>
      <c r="L4256" t="s">
        <v>6694</v>
      </c>
      <c r="M4256" t="s">
        <v>6704</v>
      </c>
      <c r="N4256" t="s">
        <v>6706</v>
      </c>
      <c r="O4256" t="s">
        <v>6694</v>
      </c>
      <c r="S4256" t="s">
        <v>6694</v>
      </c>
      <c r="U4256" t="s">
        <v>6694</v>
      </c>
      <c r="W4256" t="s">
        <v>6720</v>
      </c>
    </row>
    <row r="4257" spans="1:23" ht="15.6" x14ac:dyDescent="0.4">
      <c r="A4257" s="2" t="s">
        <v>3431</v>
      </c>
      <c r="B4257" s="5" t="s">
        <v>10473</v>
      </c>
      <c r="C4257" s="7" t="s">
        <v>12556</v>
      </c>
      <c r="D4257" s="8">
        <f t="shared" si="268"/>
        <v>0</v>
      </c>
      <c r="E4257" s="7" t="s">
        <v>12557</v>
      </c>
      <c r="F4257" s="7">
        <f t="shared" si="269"/>
        <v>0</v>
      </c>
      <c r="G4257" s="7" t="s">
        <v>12558</v>
      </c>
      <c r="H4257" s="7">
        <f t="shared" si="270"/>
        <v>0</v>
      </c>
      <c r="I4257" s="7" cm="1">
        <f t="array" ref="I4257">IFERROR(_xlfn.IFS(M4257="נח",1,M4257="נע ונח",1,M4257="שני שווא נח",2,M4257="שני שוואים בסוף מילה",2,M4257="שני שוואים ברצף",1),"0")</f>
        <v>1</v>
      </c>
      <c r="J4257" s="9">
        <f t="shared" si="271"/>
        <v>2</v>
      </c>
      <c r="K4257" t="s">
        <v>6697</v>
      </c>
      <c r="L4257" t="s">
        <v>6694</v>
      </c>
      <c r="M4257" t="s">
        <v>6705</v>
      </c>
      <c r="S4257" t="s">
        <v>6694</v>
      </c>
      <c r="V4257" t="s">
        <v>6694</v>
      </c>
      <c r="W4257" t="s">
        <v>6720</v>
      </c>
    </row>
    <row r="4258" spans="1:23" ht="15.6" x14ac:dyDescent="0.4">
      <c r="A4258" s="2" t="s">
        <v>1880</v>
      </c>
      <c r="B4258" s="5" t="s">
        <v>10474</v>
      </c>
      <c r="C4258" s="7" t="s">
        <v>12556</v>
      </c>
      <c r="D4258" s="8">
        <f t="shared" si="268"/>
        <v>1</v>
      </c>
      <c r="E4258" s="7" t="s">
        <v>12557</v>
      </c>
      <c r="F4258" s="7">
        <f t="shared" si="269"/>
        <v>0</v>
      </c>
      <c r="G4258" s="7" t="s">
        <v>12558</v>
      </c>
      <c r="H4258" s="7">
        <f t="shared" si="270"/>
        <v>0</v>
      </c>
      <c r="I4258" s="7" cm="1">
        <f t="array" ref="I4258">IFERROR(_xlfn.IFS(M4258="נח",1,M4258="נע ונח",1,M4258="שני שווא נח",2,M4258="שני שוואים בסוף מילה",2,M4258="שני שוואים ברצף",1),"0")</f>
        <v>1</v>
      </c>
      <c r="J4258" s="9">
        <f t="shared" si="271"/>
        <v>3</v>
      </c>
      <c r="K4258" t="s">
        <v>6697</v>
      </c>
      <c r="L4258" t="s">
        <v>6694</v>
      </c>
      <c r="M4258" t="s">
        <v>6705</v>
      </c>
      <c r="S4258" t="s">
        <v>6694</v>
      </c>
      <c r="V4258" t="s">
        <v>6694</v>
      </c>
      <c r="W4258" t="s">
        <v>6720</v>
      </c>
    </row>
    <row r="4259" spans="1:23" ht="15.6" x14ac:dyDescent="0.4">
      <c r="A4259" s="2" t="s">
        <v>519</v>
      </c>
      <c r="B4259" s="5" t="s">
        <v>10475</v>
      </c>
      <c r="C4259" s="7" t="s">
        <v>12556</v>
      </c>
      <c r="D4259" s="8">
        <f t="shared" si="268"/>
        <v>0</v>
      </c>
      <c r="E4259" s="7" t="s">
        <v>12557</v>
      </c>
      <c r="F4259" s="7">
        <f t="shared" si="269"/>
        <v>2</v>
      </c>
      <c r="G4259" s="7" t="s">
        <v>12558</v>
      </c>
      <c r="H4259" s="7">
        <f t="shared" si="270"/>
        <v>0</v>
      </c>
      <c r="I4259" s="7" cm="1">
        <f t="array" ref="I4259">IFERROR(_xlfn.IFS(M4259="נח",1,M4259="נע ונח",1,M4259="שני שווא נח",2,M4259="שני שוואים בסוף מילה",2,M4259="שני שוואים ברצף",1),"0")</f>
        <v>1</v>
      </c>
      <c r="J4259" s="9">
        <f t="shared" si="271"/>
        <v>4</v>
      </c>
      <c r="K4259" t="s">
        <v>6697</v>
      </c>
      <c r="L4259" t="s">
        <v>6694</v>
      </c>
      <c r="M4259" t="s">
        <v>6705</v>
      </c>
      <c r="P4259" t="s">
        <v>6694</v>
      </c>
      <c r="S4259" t="s">
        <v>6694</v>
      </c>
      <c r="W4259" t="s">
        <v>6720</v>
      </c>
    </row>
    <row r="4260" spans="1:23" ht="15.6" x14ac:dyDescent="0.4">
      <c r="A4260" s="2" t="s">
        <v>4282</v>
      </c>
      <c r="B4260" s="5" t="s">
        <v>10476</v>
      </c>
      <c r="C4260" s="7" t="s">
        <v>12556</v>
      </c>
      <c r="D4260" s="8">
        <f t="shared" si="268"/>
        <v>0</v>
      </c>
      <c r="E4260" s="7" t="s">
        <v>12557</v>
      </c>
      <c r="F4260" s="7">
        <f t="shared" si="269"/>
        <v>0</v>
      </c>
      <c r="G4260" s="7" t="s">
        <v>12558</v>
      </c>
      <c r="H4260" s="7">
        <f t="shared" si="270"/>
        <v>0</v>
      </c>
      <c r="I4260" s="7" cm="1">
        <f t="array" ref="I4260">IFERROR(_xlfn.IFS(M4260="נח",1,M4260="נע ונח",1,M4260="שני שווא נח",2,M4260="שני שוואים בסוף מילה",2,M4260="שני שוואים ברצף",1),"0")</f>
        <v>1</v>
      </c>
      <c r="J4260" s="9">
        <f t="shared" si="271"/>
        <v>3</v>
      </c>
      <c r="K4260" t="s">
        <v>6698</v>
      </c>
      <c r="L4260" t="s">
        <v>6694</v>
      </c>
      <c r="M4260" t="s">
        <v>6705</v>
      </c>
      <c r="N4260" t="s">
        <v>6706</v>
      </c>
      <c r="O4260" t="s">
        <v>6694</v>
      </c>
      <c r="S4260" t="s">
        <v>6694</v>
      </c>
      <c r="W4260" t="s">
        <v>6720</v>
      </c>
    </row>
    <row r="4261" spans="1:23" ht="15.6" x14ac:dyDescent="0.4">
      <c r="A4261" s="2" t="s">
        <v>2128</v>
      </c>
      <c r="B4261" s="5" t="s">
        <v>10477</v>
      </c>
      <c r="C4261" s="7" t="s">
        <v>12556</v>
      </c>
      <c r="D4261" s="8">
        <f t="shared" si="268"/>
        <v>0</v>
      </c>
      <c r="E4261" s="7" t="s">
        <v>12557</v>
      </c>
      <c r="F4261" s="7">
        <f t="shared" si="269"/>
        <v>0</v>
      </c>
      <c r="G4261" s="7" t="s">
        <v>12558</v>
      </c>
      <c r="H4261" s="7">
        <f t="shared" si="270"/>
        <v>0</v>
      </c>
      <c r="I4261" s="7" cm="1">
        <f t="array" ref="I4261">IFERROR(_xlfn.IFS(M4261="נח",1,M4261="נע ונח",1,M4261="שני שווא נח",2,M4261="שני שוואים בסוף מילה",2,M4261="שני שוואים ברצף",1),"0")</f>
        <v>1</v>
      </c>
      <c r="J4261" s="9">
        <f t="shared" si="271"/>
        <v>2</v>
      </c>
      <c r="K4261" t="s">
        <v>6698</v>
      </c>
      <c r="L4261" t="s">
        <v>6694</v>
      </c>
      <c r="M4261" t="s">
        <v>6705</v>
      </c>
      <c r="S4261" t="s">
        <v>6694</v>
      </c>
      <c r="V4261" t="s">
        <v>6694</v>
      </c>
      <c r="W4261" t="s">
        <v>6720</v>
      </c>
    </row>
    <row r="4262" spans="1:23" ht="15.6" x14ac:dyDescent="0.4">
      <c r="A4262" s="2" t="s">
        <v>1722</v>
      </c>
      <c r="B4262" s="5" t="s">
        <v>10478</v>
      </c>
      <c r="C4262" s="7" t="s">
        <v>12556</v>
      </c>
      <c r="D4262" s="8">
        <f t="shared" si="268"/>
        <v>0</v>
      </c>
      <c r="E4262" s="7" t="s">
        <v>12557</v>
      </c>
      <c r="F4262" s="7">
        <f t="shared" si="269"/>
        <v>1</v>
      </c>
      <c r="G4262" s="7" t="s">
        <v>12558</v>
      </c>
      <c r="H4262" s="7">
        <f t="shared" si="270"/>
        <v>0</v>
      </c>
      <c r="I4262" s="7" cm="1">
        <f t="array" ref="I4262">IFERROR(_xlfn.IFS(M4262="נח",1,M4262="נע ונח",1,M4262="שני שווא נח",2,M4262="שני שוואים בסוף מילה",2,M4262="שני שוואים ברצף",1),"0")</f>
        <v>1</v>
      </c>
      <c r="J4262" s="9">
        <f t="shared" si="271"/>
        <v>2</v>
      </c>
      <c r="K4262" t="s">
        <v>6698</v>
      </c>
      <c r="L4262" t="s">
        <v>6694</v>
      </c>
      <c r="M4262" t="s">
        <v>6705</v>
      </c>
      <c r="S4262" t="s">
        <v>6694</v>
      </c>
      <c r="V4262" t="s">
        <v>6694</v>
      </c>
      <c r="W4262" t="s">
        <v>6720</v>
      </c>
    </row>
    <row r="4263" spans="1:23" ht="15.6" x14ac:dyDescent="0.4">
      <c r="A4263" s="2" t="s">
        <v>6380</v>
      </c>
      <c r="B4263" s="5" t="s">
        <v>10479</v>
      </c>
      <c r="C4263" s="7" t="s">
        <v>12556</v>
      </c>
      <c r="D4263" s="8">
        <f t="shared" si="268"/>
        <v>0</v>
      </c>
      <c r="E4263" s="7" t="s">
        <v>12557</v>
      </c>
      <c r="F4263" s="7">
        <f t="shared" si="269"/>
        <v>1</v>
      </c>
      <c r="G4263" s="7" t="s">
        <v>12558</v>
      </c>
      <c r="H4263" s="7">
        <f t="shared" si="270"/>
        <v>1</v>
      </c>
      <c r="I4263" s="7" cm="1">
        <f t="array" ref="I4263">IFERROR(_xlfn.IFS(M4263="נח",1,M4263="נע ונח",1,M4263="שני שווא נח",2,M4263="שני שוואים בסוף מילה",2,M4263="שני שוואים ברצף",1),"0")</f>
        <v>1</v>
      </c>
      <c r="J4263" s="9">
        <f t="shared" si="271"/>
        <v>5</v>
      </c>
      <c r="K4263" t="s">
        <v>6697</v>
      </c>
      <c r="L4263" t="s">
        <v>6694</v>
      </c>
      <c r="M4263" t="s">
        <v>6705</v>
      </c>
      <c r="Q4263" t="s">
        <v>6694</v>
      </c>
      <c r="S4263" t="s">
        <v>6694</v>
      </c>
      <c r="U4263" t="s">
        <v>6694</v>
      </c>
      <c r="V4263" t="s">
        <v>6694</v>
      </c>
      <c r="W4263" t="s">
        <v>6720</v>
      </c>
    </row>
    <row r="4264" spans="1:23" ht="15.6" x14ac:dyDescent="0.4">
      <c r="A4264" s="2" t="s">
        <v>6091</v>
      </c>
      <c r="B4264" s="5" t="s">
        <v>10480</v>
      </c>
      <c r="C4264" s="7" t="s">
        <v>12556</v>
      </c>
      <c r="D4264" s="8">
        <f t="shared" si="268"/>
        <v>0</v>
      </c>
      <c r="E4264" s="7" t="s">
        <v>12557</v>
      </c>
      <c r="F4264" s="7">
        <f t="shared" si="269"/>
        <v>1</v>
      </c>
      <c r="G4264" s="7" t="s">
        <v>12558</v>
      </c>
      <c r="H4264" s="7">
        <f t="shared" si="270"/>
        <v>0</v>
      </c>
      <c r="I4264" s="7" cm="1">
        <f t="array" ref="I4264">IFERROR(_xlfn.IFS(M4264="נח",1,M4264="נע ונח",1,M4264="שני שווא נח",2,M4264="שני שוואים בסוף מילה",2,M4264="שני שוואים ברצף",1),"0")</f>
        <v>1</v>
      </c>
      <c r="J4264" s="9">
        <f t="shared" si="271"/>
        <v>4</v>
      </c>
      <c r="K4264" t="s">
        <v>6697</v>
      </c>
      <c r="L4264" t="s">
        <v>6694</v>
      </c>
      <c r="M4264" t="s">
        <v>6705</v>
      </c>
      <c r="O4264" t="s">
        <v>6694</v>
      </c>
      <c r="S4264" t="s">
        <v>6694</v>
      </c>
      <c r="T4264" t="s">
        <v>6694</v>
      </c>
      <c r="V4264" t="s">
        <v>6694</v>
      </c>
      <c r="W4264" t="s">
        <v>6720</v>
      </c>
    </row>
    <row r="4265" spans="1:23" ht="15.6" x14ac:dyDescent="0.4">
      <c r="A4265" s="2" t="s">
        <v>3536</v>
      </c>
      <c r="B4265" s="5" t="s">
        <v>10481</v>
      </c>
      <c r="C4265" s="7" t="s">
        <v>12556</v>
      </c>
      <c r="D4265" s="8">
        <f t="shared" si="268"/>
        <v>0</v>
      </c>
      <c r="E4265" s="7" t="s">
        <v>12557</v>
      </c>
      <c r="F4265" s="7">
        <f t="shared" si="269"/>
        <v>2</v>
      </c>
      <c r="G4265" s="7" t="s">
        <v>12558</v>
      </c>
      <c r="H4265" s="7">
        <f t="shared" si="270"/>
        <v>0</v>
      </c>
      <c r="I4265" s="7" cm="1">
        <f t="array" ref="I4265">IFERROR(_xlfn.IFS(M4265="נח",1,M4265="נע ונח",1,M4265="שני שווא נח",2,M4265="שני שוואים בסוף מילה",2,M4265="שני שוואים ברצף",1),"0")</f>
        <v>1</v>
      </c>
      <c r="J4265" s="9">
        <f t="shared" si="271"/>
        <v>3</v>
      </c>
      <c r="K4265" t="s">
        <v>6697</v>
      </c>
      <c r="L4265" t="s">
        <v>6694</v>
      </c>
      <c r="M4265" t="s">
        <v>6705</v>
      </c>
      <c r="N4265" t="s">
        <v>6706</v>
      </c>
      <c r="O4265" t="s">
        <v>6694</v>
      </c>
      <c r="S4265" t="s">
        <v>6694</v>
      </c>
      <c r="V4265" t="s">
        <v>6694</v>
      </c>
      <c r="W4265" t="s">
        <v>6720</v>
      </c>
    </row>
    <row r="4266" spans="1:23" ht="15.6" x14ac:dyDescent="0.4">
      <c r="A4266" s="2" t="s">
        <v>354</v>
      </c>
      <c r="B4266" s="5" t="s">
        <v>10393</v>
      </c>
      <c r="C4266" s="7" t="s">
        <v>12556</v>
      </c>
      <c r="D4266" s="8">
        <f t="shared" si="268"/>
        <v>0</v>
      </c>
      <c r="E4266" s="7" t="s">
        <v>12557</v>
      </c>
      <c r="F4266" s="7">
        <f t="shared" si="269"/>
        <v>0</v>
      </c>
      <c r="G4266" s="7" t="s">
        <v>12558</v>
      </c>
      <c r="H4266" s="7">
        <f t="shared" si="270"/>
        <v>0</v>
      </c>
      <c r="I4266" s="7" cm="1">
        <f t="array" ref="I4266">IFERROR(_xlfn.IFS(M4266="נח",1,M4266="נע ונח",1,M4266="שני שווא נח",2,M4266="שני שוואים בסוף מילה",2,M4266="שני שוואים ברצף",1),"0")</f>
        <v>1</v>
      </c>
      <c r="J4266" s="9">
        <f t="shared" si="271"/>
        <v>2</v>
      </c>
      <c r="K4266" t="s">
        <v>6698</v>
      </c>
      <c r="L4266" t="s">
        <v>6694</v>
      </c>
      <c r="M4266" t="s">
        <v>6705</v>
      </c>
      <c r="Q4266" t="s">
        <v>6694</v>
      </c>
      <c r="S4266" t="s">
        <v>6694</v>
      </c>
      <c r="W4266" t="s">
        <v>6720</v>
      </c>
    </row>
    <row r="4267" spans="1:23" ht="15.6" x14ac:dyDescent="0.4">
      <c r="A4267" s="2" t="s">
        <v>1650</v>
      </c>
      <c r="B4267" s="5" t="s">
        <v>10482</v>
      </c>
      <c r="C4267" s="7" t="s">
        <v>12556</v>
      </c>
      <c r="D4267" s="8">
        <f t="shared" si="268"/>
        <v>0</v>
      </c>
      <c r="E4267" s="7" t="s">
        <v>12557</v>
      </c>
      <c r="F4267" s="7">
        <f t="shared" si="269"/>
        <v>0</v>
      </c>
      <c r="G4267" s="7" t="s">
        <v>12558</v>
      </c>
      <c r="H4267" s="7">
        <f t="shared" si="270"/>
        <v>0</v>
      </c>
      <c r="I4267" s="7" cm="1">
        <f t="array" ref="I4267">IFERROR(_xlfn.IFS(M4267="נח",1,M4267="נע ונח",1,M4267="שני שווא נח",2,M4267="שני שוואים בסוף מילה",2,M4267="שני שוואים ברצף",1),"0")</f>
        <v>1</v>
      </c>
      <c r="J4267" s="9">
        <f t="shared" si="271"/>
        <v>3</v>
      </c>
      <c r="K4267" t="s">
        <v>6698</v>
      </c>
      <c r="L4267" t="s">
        <v>6694</v>
      </c>
      <c r="M4267" t="s">
        <v>6705</v>
      </c>
      <c r="Q4267" t="s">
        <v>6694</v>
      </c>
      <c r="R4267" t="s">
        <v>6694</v>
      </c>
      <c r="S4267" t="s">
        <v>6694</v>
      </c>
      <c r="W4267" t="s">
        <v>6720</v>
      </c>
    </row>
    <row r="4268" spans="1:23" ht="15.6" x14ac:dyDescent="0.4">
      <c r="A4268" s="2" t="s">
        <v>3778</v>
      </c>
      <c r="B4268" s="5" t="s">
        <v>10483</v>
      </c>
      <c r="C4268" s="7" t="s">
        <v>12556</v>
      </c>
      <c r="D4268" s="8">
        <f t="shared" si="268"/>
        <v>0</v>
      </c>
      <c r="E4268" s="7" t="s">
        <v>12557</v>
      </c>
      <c r="F4268" s="7">
        <f t="shared" si="269"/>
        <v>0</v>
      </c>
      <c r="G4268" s="7" t="s">
        <v>12558</v>
      </c>
      <c r="H4268" s="7">
        <f t="shared" si="270"/>
        <v>0</v>
      </c>
      <c r="I4268" s="7" cm="1">
        <f t="array" ref="I4268">IFERROR(_xlfn.IFS(M4268="נח",1,M4268="נע ונח",1,M4268="שני שווא נח",2,M4268="שני שוואים בסוף מילה",2,M4268="שני שוואים ברצף",1),"0")</f>
        <v>1</v>
      </c>
      <c r="J4268" s="9">
        <f t="shared" si="271"/>
        <v>2</v>
      </c>
      <c r="K4268" t="s">
        <v>6698</v>
      </c>
      <c r="L4268" t="s">
        <v>6694</v>
      </c>
      <c r="M4268" t="s">
        <v>6705</v>
      </c>
      <c r="S4268" t="s">
        <v>6694</v>
      </c>
      <c r="V4268" t="s">
        <v>6694</v>
      </c>
      <c r="W4268" t="s">
        <v>6720</v>
      </c>
    </row>
    <row r="4269" spans="1:23" ht="15.6" x14ac:dyDescent="0.4">
      <c r="A4269" s="2" t="s">
        <v>4117</v>
      </c>
      <c r="B4269" s="5" t="s">
        <v>10484</v>
      </c>
      <c r="C4269" s="7" t="s">
        <v>12556</v>
      </c>
      <c r="D4269" s="8">
        <f t="shared" si="268"/>
        <v>0</v>
      </c>
      <c r="E4269" s="7" t="s">
        <v>12557</v>
      </c>
      <c r="F4269" s="7">
        <f t="shared" si="269"/>
        <v>0</v>
      </c>
      <c r="G4269" s="7" t="s">
        <v>12558</v>
      </c>
      <c r="H4269" s="7">
        <f t="shared" si="270"/>
        <v>0</v>
      </c>
      <c r="I4269" s="7" cm="1">
        <f t="array" ref="I4269">IFERROR(_xlfn.IFS(M4269="נח",1,M4269="נע ונח",1,M4269="שני שווא נח",2,M4269="שני שוואים בסוף מילה",2,M4269="שני שוואים ברצף",1),"0")</f>
        <v>1</v>
      </c>
      <c r="J4269" s="9">
        <f t="shared" si="271"/>
        <v>3</v>
      </c>
      <c r="K4269" t="s">
        <v>6698</v>
      </c>
      <c r="L4269" t="s">
        <v>6694</v>
      </c>
      <c r="M4269" t="s">
        <v>6705</v>
      </c>
      <c r="O4269" t="s">
        <v>6694</v>
      </c>
      <c r="P4269" t="s">
        <v>6694</v>
      </c>
      <c r="S4269" t="s">
        <v>6694</v>
      </c>
      <c r="W4269" t="s">
        <v>6720</v>
      </c>
    </row>
    <row r="4270" spans="1:23" ht="15.6" x14ac:dyDescent="0.4">
      <c r="A4270" s="2" t="s">
        <v>4183</v>
      </c>
      <c r="B4270" s="5" t="s">
        <v>10485</v>
      </c>
      <c r="C4270" s="7" t="s">
        <v>12556</v>
      </c>
      <c r="D4270" s="8">
        <f t="shared" si="268"/>
        <v>0</v>
      </c>
      <c r="E4270" s="7" t="s">
        <v>12557</v>
      </c>
      <c r="F4270" s="7">
        <f t="shared" si="269"/>
        <v>0</v>
      </c>
      <c r="G4270" s="7" t="s">
        <v>12558</v>
      </c>
      <c r="H4270" s="7">
        <f t="shared" si="270"/>
        <v>0</v>
      </c>
      <c r="I4270" s="7" cm="1">
        <f t="array" ref="I4270">IFERROR(_xlfn.IFS(M4270="נח",1,M4270="נע ונח",1,M4270="שני שווא נח",2,M4270="שני שוואים בסוף מילה",2,M4270="שני שוואים ברצף",1),"0")</f>
        <v>1</v>
      </c>
      <c r="J4270" s="9">
        <f t="shared" si="271"/>
        <v>2</v>
      </c>
      <c r="K4270" t="s">
        <v>6698</v>
      </c>
      <c r="L4270" t="s">
        <v>6694</v>
      </c>
      <c r="M4270" t="s">
        <v>6705</v>
      </c>
      <c r="S4270" t="s">
        <v>6694</v>
      </c>
      <c r="V4270" t="s">
        <v>6694</v>
      </c>
      <c r="W4270" t="s">
        <v>6720</v>
      </c>
    </row>
    <row r="4271" spans="1:23" ht="15.6" x14ac:dyDescent="0.4">
      <c r="A4271" s="2" t="s">
        <v>1137</v>
      </c>
      <c r="B4271" s="5" t="s">
        <v>10486</v>
      </c>
      <c r="C4271" s="7" t="s">
        <v>12556</v>
      </c>
      <c r="D4271" s="8">
        <f t="shared" si="268"/>
        <v>0</v>
      </c>
      <c r="E4271" s="7" t="s">
        <v>12557</v>
      </c>
      <c r="F4271" s="7">
        <f t="shared" si="269"/>
        <v>0</v>
      </c>
      <c r="G4271" s="7" t="s">
        <v>12558</v>
      </c>
      <c r="H4271" s="7">
        <f t="shared" si="270"/>
        <v>0</v>
      </c>
      <c r="I4271" s="7" cm="1">
        <f t="array" ref="I4271">IFERROR(_xlfn.IFS(M4271="נח",1,M4271="נע ונח",1,M4271="שני שווא נח",2,M4271="שני שוואים בסוף מילה",2,M4271="שני שוואים ברצף",1),"0")</f>
        <v>1</v>
      </c>
      <c r="J4271" s="9">
        <f t="shared" si="271"/>
        <v>3</v>
      </c>
      <c r="K4271" t="s">
        <v>6697</v>
      </c>
      <c r="L4271" t="s">
        <v>6694</v>
      </c>
      <c r="M4271" t="s">
        <v>6705</v>
      </c>
      <c r="O4271" t="s">
        <v>6694</v>
      </c>
      <c r="S4271" t="s">
        <v>6694</v>
      </c>
      <c r="W4271" t="s">
        <v>6720</v>
      </c>
    </row>
    <row r="4272" spans="1:23" ht="15.6" x14ac:dyDescent="0.4">
      <c r="A4272" s="2" t="s">
        <v>3030</v>
      </c>
      <c r="B4272" s="5" t="s">
        <v>10487</v>
      </c>
      <c r="C4272" s="7" t="s">
        <v>12556</v>
      </c>
      <c r="D4272" s="8">
        <f t="shared" si="268"/>
        <v>1</v>
      </c>
      <c r="E4272" s="7" t="s">
        <v>12557</v>
      </c>
      <c r="F4272" s="7">
        <f t="shared" si="269"/>
        <v>0</v>
      </c>
      <c r="G4272" s="7" t="s">
        <v>12558</v>
      </c>
      <c r="H4272" s="7">
        <f t="shared" si="270"/>
        <v>0</v>
      </c>
      <c r="I4272" s="7" cm="1">
        <f t="array" ref="I4272">IFERROR(_xlfn.IFS(M4272="נח",1,M4272="נע ונח",1,M4272="שני שווא נח",2,M4272="שני שוואים בסוף מילה",2,M4272="שני שוואים ברצף",1),"0")</f>
        <v>1</v>
      </c>
      <c r="J4272" s="9">
        <f t="shared" si="271"/>
        <v>3</v>
      </c>
      <c r="K4272" t="s">
        <v>6698</v>
      </c>
      <c r="L4272" t="s">
        <v>6694</v>
      </c>
      <c r="M4272" t="s">
        <v>6705</v>
      </c>
      <c r="S4272" t="s">
        <v>6694</v>
      </c>
      <c r="V4272" t="s">
        <v>6694</v>
      </c>
      <c r="W4272" t="s">
        <v>6720</v>
      </c>
    </row>
    <row r="4273" spans="1:23" ht="15.6" x14ac:dyDescent="0.4">
      <c r="A4273" s="2" t="s">
        <v>951</v>
      </c>
      <c r="B4273" s="5" t="s">
        <v>10488</v>
      </c>
      <c r="C4273" s="7" t="s">
        <v>12556</v>
      </c>
      <c r="D4273" s="8">
        <f t="shared" si="268"/>
        <v>0</v>
      </c>
      <c r="E4273" s="7" t="s">
        <v>12557</v>
      </c>
      <c r="F4273" s="7">
        <f t="shared" si="269"/>
        <v>0</v>
      </c>
      <c r="G4273" s="7" t="s">
        <v>12558</v>
      </c>
      <c r="H4273" s="7">
        <f t="shared" si="270"/>
        <v>0</v>
      </c>
      <c r="I4273" s="7" cm="1">
        <f t="array" ref="I4273">IFERROR(_xlfn.IFS(M4273="נח",1,M4273="נע ונח",1,M4273="שני שווא נח",2,M4273="שני שוואים בסוף מילה",2,M4273="שני שוואים ברצף",1),"0")</f>
        <v>1</v>
      </c>
      <c r="J4273" s="9">
        <f t="shared" si="271"/>
        <v>2</v>
      </c>
      <c r="K4273" t="s">
        <v>6698</v>
      </c>
      <c r="L4273" t="s">
        <v>6694</v>
      </c>
      <c r="M4273" t="s">
        <v>6705</v>
      </c>
      <c r="P4273" t="s">
        <v>6694</v>
      </c>
      <c r="S4273" t="s">
        <v>6694</v>
      </c>
      <c r="W4273" t="s">
        <v>6720</v>
      </c>
    </row>
    <row r="4274" spans="1:23" ht="15.6" x14ac:dyDescent="0.4">
      <c r="A4274" s="2" t="s">
        <v>4182</v>
      </c>
      <c r="B4274" s="5" t="s">
        <v>10489</v>
      </c>
      <c r="C4274" s="7" t="s">
        <v>12556</v>
      </c>
      <c r="D4274" s="8">
        <f t="shared" si="268"/>
        <v>0</v>
      </c>
      <c r="E4274" s="7" t="s">
        <v>12557</v>
      </c>
      <c r="F4274" s="7">
        <f t="shared" si="269"/>
        <v>0</v>
      </c>
      <c r="G4274" s="7" t="s">
        <v>12558</v>
      </c>
      <c r="H4274" s="7">
        <f t="shared" si="270"/>
        <v>0</v>
      </c>
      <c r="I4274" s="7" cm="1">
        <f t="array" ref="I4274">IFERROR(_xlfn.IFS(M4274="נח",1,M4274="נע ונח",1,M4274="שני שווא נח",2,M4274="שני שוואים בסוף מילה",2,M4274="שני שוואים ברצף",1),"0")</f>
        <v>1</v>
      </c>
      <c r="J4274" s="9">
        <f t="shared" si="271"/>
        <v>3</v>
      </c>
      <c r="K4274" t="s">
        <v>6697</v>
      </c>
      <c r="L4274" t="s">
        <v>6694</v>
      </c>
      <c r="M4274" t="s">
        <v>6705</v>
      </c>
      <c r="O4274" t="s">
        <v>6694</v>
      </c>
      <c r="S4274" t="s">
        <v>6694</v>
      </c>
      <c r="W4274" t="s">
        <v>6720</v>
      </c>
    </row>
    <row r="4275" spans="1:23" ht="15.6" x14ac:dyDescent="0.4">
      <c r="A4275" s="2" t="s">
        <v>1024</v>
      </c>
      <c r="B4275" s="5" t="s">
        <v>10490</v>
      </c>
      <c r="C4275" s="7" t="s">
        <v>12556</v>
      </c>
      <c r="D4275" s="8">
        <f t="shared" si="268"/>
        <v>0</v>
      </c>
      <c r="E4275" s="7" t="s">
        <v>12557</v>
      </c>
      <c r="F4275" s="7">
        <f t="shared" si="269"/>
        <v>0</v>
      </c>
      <c r="G4275" s="7" t="s">
        <v>12558</v>
      </c>
      <c r="H4275" s="7">
        <f t="shared" si="270"/>
        <v>0</v>
      </c>
      <c r="I4275" s="7" cm="1">
        <f t="array" ref="I4275">IFERROR(_xlfn.IFS(M4275="נח",1,M4275="נע ונח",1,M4275="שני שווא נח",2,M4275="שני שוואים בסוף מילה",2,M4275="שני שוואים ברצף",1),"0")</f>
        <v>1</v>
      </c>
      <c r="J4275" s="9">
        <f t="shared" si="271"/>
        <v>2</v>
      </c>
      <c r="K4275" t="s">
        <v>6698</v>
      </c>
      <c r="L4275" t="s">
        <v>6694</v>
      </c>
      <c r="M4275" t="s">
        <v>6705</v>
      </c>
      <c r="S4275" t="s">
        <v>6694</v>
      </c>
      <c r="V4275" t="s">
        <v>6694</v>
      </c>
      <c r="W4275" t="s">
        <v>6720</v>
      </c>
    </row>
    <row r="4276" spans="1:23" ht="15.6" x14ac:dyDescent="0.4">
      <c r="A4276" s="2" t="s">
        <v>4743</v>
      </c>
      <c r="B4276" s="5" t="s">
        <v>10491</v>
      </c>
      <c r="C4276" s="7" t="s">
        <v>12556</v>
      </c>
      <c r="D4276" s="8">
        <f t="shared" si="268"/>
        <v>0</v>
      </c>
      <c r="E4276" s="7" t="s">
        <v>12557</v>
      </c>
      <c r="F4276" s="7">
        <f t="shared" si="269"/>
        <v>0</v>
      </c>
      <c r="G4276" s="7" t="s">
        <v>12558</v>
      </c>
      <c r="H4276" s="7">
        <f t="shared" si="270"/>
        <v>0</v>
      </c>
      <c r="I4276" s="7" cm="1">
        <f t="array" ref="I4276">IFERROR(_xlfn.IFS(M4276="נח",1,M4276="נע ונח",1,M4276="שני שווא נח",2,M4276="שני שוואים בסוף מילה",2,M4276="שני שוואים ברצף",1),"0")</f>
        <v>1</v>
      </c>
      <c r="J4276" s="9">
        <f t="shared" si="271"/>
        <v>2</v>
      </c>
      <c r="K4276" t="s">
        <v>6698</v>
      </c>
      <c r="L4276" t="s">
        <v>6694</v>
      </c>
      <c r="M4276" t="s">
        <v>6705</v>
      </c>
      <c r="S4276" t="s">
        <v>6694</v>
      </c>
      <c r="V4276" t="s">
        <v>6694</v>
      </c>
      <c r="W4276" t="s">
        <v>6720</v>
      </c>
    </row>
    <row r="4277" spans="1:23" ht="15.6" x14ac:dyDescent="0.4">
      <c r="A4277" s="2" t="s">
        <v>3740</v>
      </c>
      <c r="B4277" s="5" t="s">
        <v>10492</v>
      </c>
      <c r="C4277" s="7" t="s">
        <v>12556</v>
      </c>
      <c r="D4277" s="8">
        <f t="shared" si="268"/>
        <v>0</v>
      </c>
      <c r="E4277" s="7" t="s">
        <v>12557</v>
      </c>
      <c r="F4277" s="7">
        <f t="shared" si="269"/>
        <v>0</v>
      </c>
      <c r="G4277" s="7" t="s">
        <v>12558</v>
      </c>
      <c r="H4277" s="7">
        <f t="shared" si="270"/>
        <v>0</v>
      </c>
      <c r="I4277" s="7" cm="1">
        <f t="array" ref="I4277">IFERROR(_xlfn.IFS(M4277="נח",1,M4277="נע ונח",1,M4277="שני שווא נח",2,M4277="שני שוואים בסוף מילה",2,M4277="שני שוואים ברצף",1),"0")</f>
        <v>1</v>
      </c>
      <c r="J4277" s="9">
        <f t="shared" si="271"/>
        <v>3</v>
      </c>
      <c r="K4277" t="s">
        <v>6698</v>
      </c>
      <c r="L4277" t="s">
        <v>6694</v>
      </c>
      <c r="M4277" t="s">
        <v>6705</v>
      </c>
      <c r="O4277" t="s">
        <v>6694</v>
      </c>
      <c r="S4277" t="s">
        <v>6694</v>
      </c>
      <c r="V4277" t="s">
        <v>6694</v>
      </c>
      <c r="W4277" t="s">
        <v>6720</v>
      </c>
    </row>
    <row r="4278" spans="1:23" ht="15.6" x14ac:dyDescent="0.4">
      <c r="A4278" s="2" t="s">
        <v>5748</v>
      </c>
      <c r="B4278" s="5" t="s">
        <v>10493</v>
      </c>
      <c r="C4278" s="7" t="s">
        <v>12556</v>
      </c>
      <c r="D4278" s="8">
        <f t="shared" si="268"/>
        <v>1</v>
      </c>
      <c r="E4278" s="7" t="s">
        <v>12557</v>
      </c>
      <c r="F4278" s="7">
        <f t="shared" si="269"/>
        <v>0</v>
      </c>
      <c r="G4278" s="7" t="s">
        <v>12558</v>
      </c>
      <c r="H4278" s="7">
        <f t="shared" si="270"/>
        <v>0</v>
      </c>
      <c r="I4278" s="7" cm="1">
        <f t="array" ref="I4278">IFERROR(_xlfn.IFS(M4278="נח",1,M4278="נע ונח",1,M4278="שני שווא נח",2,M4278="שני שוואים בסוף מילה",2,M4278="שני שוואים ברצף",1),"0")</f>
        <v>1</v>
      </c>
      <c r="J4278" s="9">
        <f t="shared" si="271"/>
        <v>2</v>
      </c>
      <c r="K4278" t="s">
        <v>6698</v>
      </c>
      <c r="L4278" t="s">
        <v>6694</v>
      </c>
      <c r="M4278" t="s">
        <v>6705</v>
      </c>
      <c r="N4278" t="s">
        <v>6706</v>
      </c>
      <c r="O4278" t="s">
        <v>6694</v>
      </c>
      <c r="S4278" t="s">
        <v>6694</v>
      </c>
      <c r="W4278" t="s">
        <v>6720</v>
      </c>
    </row>
    <row r="4279" spans="1:23" ht="15.6" x14ac:dyDescent="0.4">
      <c r="A4279" s="2" t="s">
        <v>3060</v>
      </c>
      <c r="B4279" s="5" t="s">
        <v>10422</v>
      </c>
      <c r="C4279" s="7" t="s">
        <v>12556</v>
      </c>
      <c r="D4279" s="8">
        <f t="shared" si="268"/>
        <v>1</v>
      </c>
      <c r="E4279" s="7" t="s">
        <v>12557</v>
      </c>
      <c r="F4279" s="7">
        <f t="shared" si="269"/>
        <v>0</v>
      </c>
      <c r="G4279" s="7" t="s">
        <v>12558</v>
      </c>
      <c r="H4279" s="7">
        <f t="shared" si="270"/>
        <v>0</v>
      </c>
      <c r="I4279" s="7" cm="1">
        <f t="array" ref="I4279">IFERROR(_xlfn.IFS(M4279="נח",1,M4279="נע ונח",1,M4279="שני שווא נח",2,M4279="שני שוואים בסוף מילה",2,M4279="שני שוואים ברצף",1),"0")</f>
        <v>1</v>
      </c>
      <c r="J4279" s="9">
        <f t="shared" si="271"/>
        <v>2</v>
      </c>
      <c r="K4279" t="s">
        <v>6698</v>
      </c>
      <c r="L4279" t="s">
        <v>6694</v>
      </c>
      <c r="M4279" t="s">
        <v>6705</v>
      </c>
      <c r="S4279" t="s">
        <v>6694</v>
      </c>
      <c r="V4279" t="s">
        <v>6694</v>
      </c>
      <c r="W4279" t="s">
        <v>6720</v>
      </c>
    </row>
    <row r="4280" spans="1:23" ht="15.6" x14ac:dyDescent="0.4">
      <c r="A4280" s="2" t="s">
        <v>2430</v>
      </c>
      <c r="B4280" s="5" t="s">
        <v>10494</v>
      </c>
      <c r="C4280" s="7" t="s">
        <v>12556</v>
      </c>
      <c r="D4280" s="8">
        <f t="shared" si="268"/>
        <v>1</v>
      </c>
      <c r="E4280" s="7" t="s">
        <v>12557</v>
      </c>
      <c r="F4280" s="7">
        <f t="shared" si="269"/>
        <v>0</v>
      </c>
      <c r="G4280" s="7" t="s">
        <v>12558</v>
      </c>
      <c r="H4280" s="7">
        <f t="shared" si="270"/>
        <v>0</v>
      </c>
      <c r="I4280" s="7" cm="1">
        <f t="array" ref="I4280">IFERROR(_xlfn.IFS(M4280="נח",1,M4280="נע ונח",1,M4280="שני שווא נח",2,M4280="שני שוואים בסוף מילה",2,M4280="שני שוואים ברצף",1),"0")</f>
        <v>1</v>
      </c>
      <c r="J4280" s="9">
        <f t="shared" si="271"/>
        <v>3</v>
      </c>
      <c r="K4280" t="s">
        <v>6697</v>
      </c>
      <c r="L4280" t="s">
        <v>6694</v>
      </c>
      <c r="M4280" t="s">
        <v>6705</v>
      </c>
      <c r="O4280" t="s">
        <v>6694</v>
      </c>
      <c r="S4280" t="s">
        <v>6694</v>
      </c>
      <c r="V4280" t="s">
        <v>6694</v>
      </c>
      <c r="W4280" t="s">
        <v>6720</v>
      </c>
    </row>
    <row r="4281" spans="1:23" ht="15.6" x14ac:dyDescent="0.4">
      <c r="A4281" s="2" t="s">
        <v>1340</v>
      </c>
      <c r="B4281" s="5" t="s">
        <v>10495</v>
      </c>
      <c r="C4281" s="7" t="s">
        <v>12556</v>
      </c>
      <c r="D4281" s="8">
        <f t="shared" si="268"/>
        <v>1</v>
      </c>
      <c r="E4281" s="7" t="s">
        <v>12557</v>
      </c>
      <c r="F4281" s="7">
        <f t="shared" si="269"/>
        <v>1</v>
      </c>
      <c r="G4281" s="7" t="s">
        <v>12558</v>
      </c>
      <c r="H4281" s="7">
        <f t="shared" si="270"/>
        <v>1</v>
      </c>
      <c r="I4281" s="7" cm="1">
        <f t="array" ref="I4281">IFERROR(_xlfn.IFS(M4281="נח",1,M4281="נע ונח",1,M4281="שני שווא נח",2,M4281="שני שוואים בסוף מילה",2,M4281="שני שוואים ברצף",1),"0")</f>
        <v>1</v>
      </c>
      <c r="J4281" s="9">
        <f t="shared" si="271"/>
        <v>3</v>
      </c>
      <c r="K4281" t="s">
        <v>6698</v>
      </c>
      <c r="L4281" t="s">
        <v>6694</v>
      </c>
      <c r="M4281" t="s">
        <v>6705</v>
      </c>
      <c r="Q4281" t="s">
        <v>6694</v>
      </c>
      <c r="S4281" t="s">
        <v>6694</v>
      </c>
      <c r="U4281" t="s">
        <v>6694</v>
      </c>
      <c r="W4281" t="s">
        <v>6720</v>
      </c>
    </row>
    <row r="4282" spans="1:23" ht="15.6" x14ac:dyDescent="0.4">
      <c r="A4282" s="2" t="s">
        <v>3640</v>
      </c>
      <c r="B4282" s="5" t="s">
        <v>10496</v>
      </c>
      <c r="C4282" s="7" t="s">
        <v>12556</v>
      </c>
      <c r="D4282" s="8">
        <f t="shared" si="268"/>
        <v>1</v>
      </c>
      <c r="E4282" s="7" t="s">
        <v>12557</v>
      </c>
      <c r="F4282" s="7">
        <f t="shared" si="269"/>
        <v>1</v>
      </c>
      <c r="G4282" s="7" t="s">
        <v>12558</v>
      </c>
      <c r="H4282" s="7">
        <f t="shared" si="270"/>
        <v>1</v>
      </c>
      <c r="I4282" s="7" cm="1">
        <f t="array" ref="I4282">IFERROR(_xlfn.IFS(M4282="נח",1,M4282="נע ונח",1,M4282="שני שווא נח",2,M4282="שני שוואים בסוף מילה",2,M4282="שני שוואים ברצף",1),"0")</f>
        <v>1</v>
      </c>
      <c r="J4282" s="9">
        <f t="shared" si="271"/>
        <v>4</v>
      </c>
      <c r="K4282" t="s">
        <v>6697</v>
      </c>
      <c r="L4282" t="s">
        <v>6694</v>
      </c>
      <c r="M4282" t="s">
        <v>6705</v>
      </c>
      <c r="Q4282" t="s">
        <v>6694</v>
      </c>
      <c r="S4282" t="s">
        <v>6694</v>
      </c>
      <c r="U4282" t="s">
        <v>6694</v>
      </c>
      <c r="W4282" t="s">
        <v>6720</v>
      </c>
    </row>
    <row r="4283" spans="1:23" ht="15.6" x14ac:dyDescent="0.4">
      <c r="A4283" s="2" t="s">
        <v>4543</v>
      </c>
      <c r="B4283" s="5" t="s">
        <v>10497</v>
      </c>
      <c r="C4283" s="7" t="s">
        <v>12556</v>
      </c>
      <c r="D4283" s="8">
        <f t="shared" si="268"/>
        <v>1</v>
      </c>
      <c r="E4283" s="7" t="s">
        <v>12557</v>
      </c>
      <c r="F4283" s="7">
        <f t="shared" si="269"/>
        <v>1</v>
      </c>
      <c r="G4283" s="7" t="s">
        <v>12558</v>
      </c>
      <c r="H4283" s="7">
        <f t="shared" si="270"/>
        <v>0</v>
      </c>
      <c r="I4283" s="7" cm="1">
        <f t="array" ref="I4283">IFERROR(_xlfn.IFS(M4283="נח",1,M4283="נע ונח",1,M4283="שני שווא נח",2,M4283="שני שוואים בסוף מילה",2,M4283="שני שוואים ברצף",1),"0")</f>
        <v>1</v>
      </c>
      <c r="J4283" s="9">
        <f t="shared" si="271"/>
        <v>2</v>
      </c>
      <c r="K4283" t="s">
        <v>6698</v>
      </c>
      <c r="L4283" t="s">
        <v>6694</v>
      </c>
      <c r="M4283" t="s">
        <v>6705</v>
      </c>
      <c r="S4283" t="s">
        <v>6694</v>
      </c>
      <c r="V4283" t="s">
        <v>6694</v>
      </c>
      <c r="W4283" t="s">
        <v>6720</v>
      </c>
    </row>
    <row r="4284" spans="1:23" ht="15.6" x14ac:dyDescent="0.4">
      <c r="A4284" s="2" t="s">
        <v>3069</v>
      </c>
      <c r="B4284" s="5" t="s">
        <v>10498</v>
      </c>
      <c r="C4284" s="7" t="s">
        <v>12556</v>
      </c>
      <c r="D4284" s="8">
        <f t="shared" si="268"/>
        <v>1</v>
      </c>
      <c r="E4284" s="7" t="s">
        <v>12557</v>
      </c>
      <c r="F4284" s="7">
        <f t="shared" si="269"/>
        <v>0</v>
      </c>
      <c r="G4284" s="7" t="s">
        <v>12558</v>
      </c>
      <c r="H4284" s="7">
        <f t="shared" si="270"/>
        <v>0</v>
      </c>
      <c r="I4284" s="7" cm="1">
        <f t="array" ref="I4284">IFERROR(_xlfn.IFS(M4284="נח",1,M4284="נע ונח",1,M4284="שני שווא נח",2,M4284="שני שוואים בסוף מילה",2,M4284="שני שוואים ברצף",1),"0")</f>
        <v>1</v>
      </c>
      <c r="J4284" s="9">
        <f t="shared" si="271"/>
        <v>3</v>
      </c>
      <c r="K4284" t="s">
        <v>6697</v>
      </c>
      <c r="L4284" t="s">
        <v>6694</v>
      </c>
      <c r="M4284" t="s">
        <v>6705</v>
      </c>
      <c r="S4284" t="s">
        <v>6694</v>
      </c>
      <c r="V4284" t="s">
        <v>6694</v>
      </c>
      <c r="W4284" t="s">
        <v>6720</v>
      </c>
    </row>
    <row r="4285" spans="1:23" ht="15.6" x14ac:dyDescent="0.4">
      <c r="A4285" s="2" t="s">
        <v>5125</v>
      </c>
      <c r="B4285" s="5" t="s">
        <v>10416</v>
      </c>
      <c r="C4285" s="7" t="s">
        <v>12556</v>
      </c>
      <c r="D4285" s="8">
        <f t="shared" si="268"/>
        <v>1</v>
      </c>
      <c r="E4285" s="7" t="s">
        <v>12557</v>
      </c>
      <c r="F4285" s="7">
        <f t="shared" si="269"/>
        <v>0</v>
      </c>
      <c r="G4285" s="7" t="s">
        <v>12558</v>
      </c>
      <c r="H4285" s="7">
        <f t="shared" si="270"/>
        <v>0</v>
      </c>
      <c r="I4285" s="7" cm="1">
        <f t="array" ref="I4285">IFERROR(_xlfn.IFS(M4285="נח",1,M4285="נע ונח",1,M4285="שני שווא נח",2,M4285="שני שוואים בסוף מילה",2,M4285="שני שוואים ברצף",1),"0")</f>
        <v>1</v>
      </c>
      <c r="J4285" s="9">
        <f t="shared" si="271"/>
        <v>3</v>
      </c>
      <c r="K4285" t="s">
        <v>6697</v>
      </c>
      <c r="L4285" t="s">
        <v>6694</v>
      </c>
      <c r="M4285" t="s">
        <v>6705</v>
      </c>
      <c r="O4285" t="s">
        <v>6694</v>
      </c>
      <c r="R4285" t="s">
        <v>6694</v>
      </c>
      <c r="S4285" t="s">
        <v>6694</v>
      </c>
      <c r="W4285" t="s">
        <v>6720</v>
      </c>
    </row>
    <row r="4286" spans="1:23" ht="15.6" x14ac:dyDescent="0.4">
      <c r="A4286" s="2" t="s">
        <v>2335</v>
      </c>
      <c r="B4286" s="5" t="s">
        <v>10499</v>
      </c>
      <c r="C4286" s="7" t="s">
        <v>12556</v>
      </c>
      <c r="D4286" s="8">
        <f t="shared" si="268"/>
        <v>1</v>
      </c>
      <c r="E4286" s="7" t="s">
        <v>12557</v>
      </c>
      <c r="F4286" s="7">
        <f t="shared" si="269"/>
        <v>0</v>
      </c>
      <c r="G4286" s="7" t="s">
        <v>12558</v>
      </c>
      <c r="H4286" s="7">
        <f t="shared" si="270"/>
        <v>0</v>
      </c>
      <c r="I4286" s="7" cm="1">
        <f t="array" ref="I4286">IFERROR(_xlfn.IFS(M4286="נח",1,M4286="נע ונח",1,M4286="שני שווא נח",2,M4286="שני שוואים בסוף מילה",2,M4286="שני שוואים ברצף",1),"0")</f>
        <v>2</v>
      </c>
      <c r="J4286" s="9">
        <f t="shared" si="271"/>
        <v>3</v>
      </c>
      <c r="K4286" t="s">
        <v>6697</v>
      </c>
      <c r="L4286" t="s">
        <v>6694</v>
      </c>
      <c r="M4286" t="s">
        <v>6704</v>
      </c>
      <c r="N4286" t="s">
        <v>6706</v>
      </c>
      <c r="O4286" t="s">
        <v>6694</v>
      </c>
      <c r="S4286" t="s">
        <v>6694</v>
      </c>
      <c r="W4286" t="s">
        <v>6720</v>
      </c>
    </row>
    <row r="4287" spans="1:23" ht="15.6" x14ac:dyDescent="0.4">
      <c r="A4287" s="2" t="s">
        <v>2861</v>
      </c>
      <c r="B4287" s="5" t="s">
        <v>10418</v>
      </c>
      <c r="C4287" s="7" t="s">
        <v>12556</v>
      </c>
      <c r="D4287" s="8">
        <f t="shared" si="268"/>
        <v>1</v>
      </c>
      <c r="E4287" s="7" t="s">
        <v>12557</v>
      </c>
      <c r="F4287" s="7">
        <f t="shared" si="269"/>
        <v>0</v>
      </c>
      <c r="G4287" s="7" t="s">
        <v>12558</v>
      </c>
      <c r="H4287" s="7">
        <f t="shared" si="270"/>
        <v>0</v>
      </c>
      <c r="I4287" s="7" cm="1">
        <f t="array" ref="I4287">IFERROR(_xlfn.IFS(M4287="נח",1,M4287="נע ונח",1,M4287="שני שווא נח",2,M4287="שני שוואים בסוף מילה",2,M4287="שני שוואים ברצף",1),"0")</f>
        <v>1</v>
      </c>
      <c r="J4287" s="9">
        <f t="shared" si="271"/>
        <v>3</v>
      </c>
      <c r="K4287" t="s">
        <v>6697</v>
      </c>
      <c r="L4287" t="s">
        <v>6694</v>
      </c>
      <c r="M4287" t="s">
        <v>6705</v>
      </c>
      <c r="P4287" t="s">
        <v>6694</v>
      </c>
      <c r="S4287" t="s">
        <v>6694</v>
      </c>
      <c r="V4287" t="s">
        <v>6694</v>
      </c>
      <c r="W4287" t="s">
        <v>6720</v>
      </c>
    </row>
    <row r="4288" spans="1:23" ht="15.6" x14ac:dyDescent="0.4">
      <c r="A4288" s="2" t="s">
        <v>213</v>
      </c>
      <c r="B4288" s="5" t="s">
        <v>10500</v>
      </c>
      <c r="C4288" s="7" t="s">
        <v>12556</v>
      </c>
      <c r="D4288" s="8">
        <f t="shared" si="268"/>
        <v>1</v>
      </c>
      <c r="E4288" s="7" t="s">
        <v>12557</v>
      </c>
      <c r="F4288" s="7">
        <f t="shared" si="269"/>
        <v>0</v>
      </c>
      <c r="G4288" s="7" t="s">
        <v>12558</v>
      </c>
      <c r="H4288" s="7">
        <f t="shared" si="270"/>
        <v>0</v>
      </c>
      <c r="I4288" s="7" cm="1">
        <f t="array" ref="I4288">IFERROR(_xlfn.IFS(M4288="נח",1,M4288="נע ונח",1,M4288="שני שווא נח",2,M4288="שני שוואים בסוף מילה",2,M4288="שני שוואים ברצף",1),"0")</f>
        <v>1</v>
      </c>
      <c r="J4288" s="9">
        <f t="shared" si="271"/>
        <v>2</v>
      </c>
      <c r="K4288" t="s">
        <v>6698</v>
      </c>
      <c r="L4288" t="s">
        <v>6694</v>
      </c>
      <c r="M4288" t="s">
        <v>6705</v>
      </c>
      <c r="S4288" t="s">
        <v>6694</v>
      </c>
      <c r="V4288" t="s">
        <v>6694</v>
      </c>
      <c r="W4288" t="s">
        <v>6720</v>
      </c>
    </row>
    <row r="4289" spans="1:23" ht="15.6" x14ac:dyDescent="0.4">
      <c r="A4289" s="2" t="s">
        <v>1241</v>
      </c>
      <c r="B4289" s="5" t="s">
        <v>10501</v>
      </c>
      <c r="C4289" s="7" t="s">
        <v>12556</v>
      </c>
      <c r="D4289" s="8">
        <f t="shared" si="268"/>
        <v>1</v>
      </c>
      <c r="E4289" s="7" t="s">
        <v>12557</v>
      </c>
      <c r="F4289" s="7">
        <f t="shared" si="269"/>
        <v>0</v>
      </c>
      <c r="G4289" s="7" t="s">
        <v>12558</v>
      </c>
      <c r="H4289" s="7">
        <f t="shared" si="270"/>
        <v>0</v>
      </c>
      <c r="I4289" s="7" cm="1">
        <f t="array" ref="I4289">IFERROR(_xlfn.IFS(M4289="נח",1,M4289="נע ונח",1,M4289="שני שווא נח",2,M4289="שני שוואים בסוף מילה",2,M4289="שני שוואים ברצף",1),"0")</f>
        <v>1</v>
      </c>
      <c r="J4289" s="9">
        <f t="shared" si="271"/>
        <v>2</v>
      </c>
      <c r="K4289" t="s">
        <v>6697</v>
      </c>
      <c r="L4289" t="s">
        <v>6694</v>
      </c>
      <c r="M4289" t="s">
        <v>6705</v>
      </c>
      <c r="S4289" t="s">
        <v>6694</v>
      </c>
      <c r="V4289" t="s">
        <v>6694</v>
      </c>
      <c r="W4289" t="s">
        <v>6720</v>
      </c>
    </row>
    <row r="4290" spans="1:23" ht="15.6" x14ac:dyDescent="0.4">
      <c r="A4290" s="2" t="s">
        <v>5175</v>
      </c>
      <c r="B4290" s="5" t="s">
        <v>10502</v>
      </c>
      <c r="C4290" s="7" t="s">
        <v>12556</v>
      </c>
      <c r="D4290" s="8">
        <f t="shared" si="268"/>
        <v>1</v>
      </c>
      <c r="E4290" s="7" t="s">
        <v>12557</v>
      </c>
      <c r="F4290" s="7">
        <f t="shared" si="269"/>
        <v>1</v>
      </c>
      <c r="G4290" s="7" t="s">
        <v>12558</v>
      </c>
      <c r="H4290" s="7">
        <f t="shared" si="270"/>
        <v>0</v>
      </c>
      <c r="I4290" s="7" cm="1">
        <f t="array" ref="I4290">IFERROR(_xlfn.IFS(M4290="נח",1,M4290="נע ונח",1,M4290="שני שווא נח",2,M4290="שני שוואים בסוף מילה",2,M4290="שני שוואים ברצף",1),"0")</f>
        <v>1</v>
      </c>
      <c r="J4290" s="9">
        <f t="shared" si="271"/>
        <v>2</v>
      </c>
      <c r="K4290" t="s">
        <v>6698</v>
      </c>
      <c r="L4290" t="s">
        <v>6694</v>
      </c>
      <c r="M4290" t="s">
        <v>6705</v>
      </c>
      <c r="S4290" t="s">
        <v>6694</v>
      </c>
      <c r="V4290" t="s">
        <v>6694</v>
      </c>
      <c r="W4290" t="s">
        <v>6720</v>
      </c>
    </row>
    <row r="4291" spans="1:23" ht="15.6" x14ac:dyDescent="0.4">
      <c r="A4291" s="2" t="s">
        <v>1027</v>
      </c>
      <c r="B4291" s="5" t="s">
        <v>10503</v>
      </c>
      <c r="C4291" s="7" t="s">
        <v>12556</v>
      </c>
      <c r="D4291" s="8">
        <f t="shared" ref="D4291:D4354" si="272">(LEN(B4291)-LEN(SUBSTITUTE(B4291,C4291,"")))</f>
        <v>1</v>
      </c>
      <c r="E4291" s="7" t="s">
        <v>12557</v>
      </c>
      <c r="F4291" s="7">
        <f t="shared" ref="F4291:F4354" si="273">(LEN(A4291)-LEN(SUBSTITUTE(A4291,E4291,"")))</f>
        <v>0</v>
      </c>
      <c r="G4291" s="7" t="s">
        <v>12558</v>
      </c>
      <c r="H4291" s="7">
        <f t="shared" ref="H4291:H4354" si="274">(LEN(A4291)-LEN(SUBSTITUTE(A4291,G4291,"")))/2</f>
        <v>0</v>
      </c>
      <c r="I4291" s="7" cm="1">
        <f t="array" ref="I4291">IFERROR(_xlfn.IFS(M4291="נח",1,M4291="נע ונח",1,M4291="שני שווא נח",2,M4291="שני שוואים בסוף מילה",2,M4291="שני שוואים ברצף",1),"0")</f>
        <v>1</v>
      </c>
      <c r="J4291" s="9">
        <f t="shared" ref="J4291:J4354" si="275">LEN(A4291)-(LEN(B4291))-D4291-F4291+H4291-I4291</f>
        <v>3</v>
      </c>
      <c r="K4291" t="s">
        <v>6697</v>
      </c>
      <c r="L4291" t="s">
        <v>6694</v>
      </c>
      <c r="M4291" t="s">
        <v>6705</v>
      </c>
      <c r="N4291" t="s">
        <v>6707</v>
      </c>
      <c r="P4291" t="s">
        <v>6694</v>
      </c>
      <c r="S4291" t="s">
        <v>6694</v>
      </c>
      <c r="V4291" t="s">
        <v>6694</v>
      </c>
      <c r="W4291" t="s">
        <v>6720</v>
      </c>
    </row>
    <row r="4292" spans="1:23" ht="15.6" x14ac:dyDescent="0.4">
      <c r="A4292" s="2" t="s">
        <v>1678</v>
      </c>
      <c r="B4292" s="5" t="s">
        <v>10504</v>
      </c>
      <c r="C4292" s="7" t="s">
        <v>12556</v>
      </c>
      <c r="D4292" s="8">
        <f t="shared" si="272"/>
        <v>1</v>
      </c>
      <c r="E4292" s="7" t="s">
        <v>12557</v>
      </c>
      <c r="F4292" s="7">
        <f t="shared" si="273"/>
        <v>0</v>
      </c>
      <c r="G4292" s="7" t="s">
        <v>12558</v>
      </c>
      <c r="H4292" s="7">
        <f t="shared" si="274"/>
        <v>0</v>
      </c>
      <c r="I4292" s="7" cm="1">
        <f t="array" ref="I4292">IFERROR(_xlfn.IFS(M4292="נח",1,M4292="נע ונח",1,M4292="שני שווא נח",2,M4292="שני שוואים בסוף מילה",2,M4292="שני שוואים ברצף",1),"0")</f>
        <v>1</v>
      </c>
      <c r="J4292" s="9">
        <f t="shared" si="275"/>
        <v>2</v>
      </c>
      <c r="K4292" t="s">
        <v>6697</v>
      </c>
      <c r="L4292" t="s">
        <v>6694</v>
      </c>
      <c r="M4292" t="s">
        <v>6705</v>
      </c>
      <c r="S4292" t="s">
        <v>6694</v>
      </c>
      <c r="V4292" t="s">
        <v>6694</v>
      </c>
      <c r="W4292" t="s">
        <v>6720</v>
      </c>
    </row>
    <row r="4293" spans="1:23" ht="15.6" x14ac:dyDescent="0.4">
      <c r="A4293" s="2" t="s">
        <v>1348</v>
      </c>
      <c r="B4293" s="5" t="s">
        <v>10505</v>
      </c>
      <c r="C4293" s="7" t="s">
        <v>12556</v>
      </c>
      <c r="D4293" s="8">
        <f t="shared" si="272"/>
        <v>0</v>
      </c>
      <c r="E4293" s="7" t="s">
        <v>12557</v>
      </c>
      <c r="F4293" s="7">
        <f t="shared" si="273"/>
        <v>1</v>
      </c>
      <c r="G4293" s="7" t="s">
        <v>12558</v>
      </c>
      <c r="H4293" s="7">
        <f t="shared" si="274"/>
        <v>1</v>
      </c>
      <c r="I4293" s="7" cm="1">
        <f t="array" ref="I4293">IFERROR(_xlfn.IFS(M4293="נח",1,M4293="נע ונח",1,M4293="שני שווא נח",2,M4293="שני שוואים בסוף מילה",2,M4293="שני שוואים ברצף",1),"0")</f>
        <v>1</v>
      </c>
      <c r="J4293" s="9">
        <f t="shared" si="275"/>
        <v>4</v>
      </c>
      <c r="K4293" t="s">
        <v>6697</v>
      </c>
      <c r="L4293" t="s">
        <v>6694</v>
      </c>
      <c r="M4293" t="s">
        <v>6705</v>
      </c>
      <c r="O4293" t="s">
        <v>6694</v>
      </c>
      <c r="S4293" t="s">
        <v>6694</v>
      </c>
      <c r="U4293" t="s">
        <v>6694</v>
      </c>
      <c r="V4293" t="s">
        <v>6694</v>
      </c>
      <c r="W4293" t="s">
        <v>6720</v>
      </c>
    </row>
    <row r="4294" spans="1:23" ht="15.6" x14ac:dyDescent="0.4">
      <c r="A4294" s="2" t="s">
        <v>3552</v>
      </c>
      <c r="B4294" s="5" t="s">
        <v>10506</v>
      </c>
      <c r="C4294" s="7" t="s">
        <v>12556</v>
      </c>
      <c r="D4294" s="8">
        <f t="shared" si="272"/>
        <v>0</v>
      </c>
      <c r="E4294" s="7" t="s">
        <v>12557</v>
      </c>
      <c r="F4294" s="7">
        <f t="shared" si="273"/>
        <v>0</v>
      </c>
      <c r="G4294" s="7" t="s">
        <v>12558</v>
      </c>
      <c r="H4294" s="7">
        <f t="shared" si="274"/>
        <v>0</v>
      </c>
      <c r="I4294" s="7" t="str" cm="1">
        <f t="array" ref="I4294">IFERROR(_xlfn.IFS(M4294="נח",1,M4294="נע ונח",1,M4294="שני שווא נח",2,M4294="שני שוואים בסוף מילה",2,M4294="שני שוואים ברצף",1),"0")</f>
        <v>0</v>
      </c>
      <c r="J4294" s="9">
        <f t="shared" si="275"/>
        <v>3</v>
      </c>
      <c r="K4294" t="s">
        <v>6698</v>
      </c>
      <c r="L4294" t="s">
        <v>6695</v>
      </c>
      <c r="Q4294" t="s">
        <v>6694</v>
      </c>
      <c r="S4294" t="s">
        <v>6694</v>
      </c>
      <c r="V4294" t="s">
        <v>6694</v>
      </c>
      <c r="W4294" t="s">
        <v>6720</v>
      </c>
    </row>
    <row r="4295" spans="1:23" ht="15.6" x14ac:dyDescent="0.4">
      <c r="A4295" s="2" t="s">
        <v>1764</v>
      </c>
      <c r="B4295" s="5" t="s">
        <v>10507</v>
      </c>
      <c r="C4295" s="7" t="s">
        <v>12556</v>
      </c>
      <c r="D4295" s="8">
        <f t="shared" si="272"/>
        <v>0</v>
      </c>
      <c r="E4295" s="7" t="s">
        <v>12557</v>
      </c>
      <c r="F4295" s="7">
        <f t="shared" si="273"/>
        <v>0</v>
      </c>
      <c r="G4295" s="7" t="s">
        <v>12558</v>
      </c>
      <c r="H4295" s="7">
        <f t="shared" si="274"/>
        <v>0</v>
      </c>
      <c r="I4295" s="7" t="str" cm="1">
        <f t="array" ref="I4295">IFERROR(_xlfn.IFS(M4295="נח",1,M4295="נע ונח",1,M4295="שני שווא נח",2,M4295="שני שוואים בסוף מילה",2,M4295="שני שוואים ברצף",1),"0")</f>
        <v>0</v>
      </c>
      <c r="J4295" s="9">
        <f t="shared" si="275"/>
        <v>3</v>
      </c>
      <c r="K4295" t="s">
        <v>6698</v>
      </c>
      <c r="L4295" t="s">
        <v>6695</v>
      </c>
      <c r="Q4295" t="s">
        <v>6694</v>
      </c>
      <c r="V4295" t="s">
        <v>6694</v>
      </c>
      <c r="W4295" t="s">
        <v>6720</v>
      </c>
    </row>
    <row r="4296" spans="1:23" ht="15.6" x14ac:dyDescent="0.4">
      <c r="A4296" s="2" t="s">
        <v>1353</v>
      </c>
      <c r="B4296" s="5" t="s">
        <v>10508</v>
      </c>
      <c r="C4296" s="7" t="s">
        <v>12556</v>
      </c>
      <c r="D4296" s="8">
        <f t="shared" si="272"/>
        <v>0</v>
      </c>
      <c r="E4296" s="7" t="s">
        <v>12557</v>
      </c>
      <c r="F4296" s="7">
        <f t="shared" si="273"/>
        <v>1</v>
      </c>
      <c r="G4296" s="7" t="s">
        <v>12558</v>
      </c>
      <c r="H4296" s="7">
        <f t="shared" si="274"/>
        <v>1</v>
      </c>
      <c r="I4296" s="7" t="str" cm="1">
        <f t="array" ref="I4296">IFERROR(_xlfn.IFS(M4296="נח",1,M4296="נע ונח",1,M4296="שני שווא נח",2,M4296="שני שוואים בסוף מילה",2,M4296="שני שוואים ברצף",1),"0")</f>
        <v>0</v>
      </c>
      <c r="J4296" s="9">
        <f t="shared" si="275"/>
        <v>4</v>
      </c>
      <c r="K4296" t="s">
        <v>6697</v>
      </c>
      <c r="L4296" t="s">
        <v>6695</v>
      </c>
      <c r="Q4296" t="s">
        <v>6694</v>
      </c>
      <c r="U4296" t="s">
        <v>6694</v>
      </c>
      <c r="V4296" t="s">
        <v>6694</v>
      </c>
      <c r="W4296" t="s">
        <v>6720</v>
      </c>
    </row>
    <row r="4297" spans="1:23" ht="15.6" x14ac:dyDescent="0.4">
      <c r="A4297" s="2" t="s">
        <v>497</v>
      </c>
      <c r="B4297" s="5" t="s">
        <v>10509</v>
      </c>
      <c r="C4297" s="7" t="s">
        <v>12556</v>
      </c>
      <c r="D4297" s="8">
        <f t="shared" si="272"/>
        <v>0</v>
      </c>
      <c r="E4297" s="7" t="s">
        <v>12557</v>
      </c>
      <c r="F4297" s="7">
        <f t="shared" si="273"/>
        <v>0</v>
      </c>
      <c r="G4297" s="7" t="s">
        <v>12558</v>
      </c>
      <c r="H4297" s="7">
        <f t="shared" si="274"/>
        <v>0</v>
      </c>
      <c r="I4297" s="7" t="str" cm="1">
        <f t="array" ref="I4297">IFERROR(_xlfn.IFS(M4297="נח",1,M4297="נע ונח",1,M4297="שני שווא נח",2,M4297="שני שוואים בסוף מילה",2,M4297="שני שוואים ברצף",1),"0")</f>
        <v>0</v>
      </c>
      <c r="J4297" s="9">
        <f t="shared" si="275"/>
        <v>2</v>
      </c>
      <c r="K4297" t="s">
        <v>6698</v>
      </c>
      <c r="L4297" t="s">
        <v>6695</v>
      </c>
      <c r="Q4297" t="s">
        <v>6694</v>
      </c>
      <c r="V4297" t="s">
        <v>6694</v>
      </c>
      <c r="W4297" t="s">
        <v>6720</v>
      </c>
    </row>
    <row r="4298" spans="1:23" ht="15.6" x14ac:dyDescent="0.4">
      <c r="A4298" s="2" t="s">
        <v>206</v>
      </c>
      <c r="B4298" s="5" t="s">
        <v>10510</v>
      </c>
      <c r="C4298" s="7" t="s">
        <v>12556</v>
      </c>
      <c r="D4298" s="8">
        <f t="shared" si="272"/>
        <v>0</v>
      </c>
      <c r="E4298" s="7" t="s">
        <v>12557</v>
      </c>
      <c r="F4298" s="7">
        <f t="shared" si="273"/>
        <v>0</v>
      </c>
      <c r="G4298" s="7" t="s">
        <v>12558</v>
      </c>
      <c r="H4298" s="7">
        <f t="shared" si="274"/>
        <v>0</v>
      </c>
      <c r="I4298" s="7" t="str" cm="1">
        <f t="array" ref="I4298">IFERROR(_xlfn.IFS(M4298="נח",1,M4298="נע ונח",1,M4298="שני שווא נח",2,M4298="שני שוואים בסוף מילה",2,M4298="שני שוואים ברצף",1),"0")</f>
        <v>0</v>
      </c>
      <c r="J4298" s="9">
        <f t="shared" si="275"/>
        <v>1</v>
      </c>
      <c r="K4298" t="s">
        <v>6698</v>
      </c>
      <c r="L4298" t="s">
        <v>6695</v>
      </c>
      <c r="Q4298" t="s">
        <v>6694</v>
      </c>
      <c r="W4298" t="s">
        <v>6720</v>
      </c>
    </row>
    <row r="4299" spans="1:23" ht="15.6" x14ac:dyDescent="0.4">
      <c r="A4299" s="2" t="s">
        <v>222</v>
      </c>
      <c r="B4299" s="5" t="s">
        <v>10257</v>
      </c>
      <c r="C4299" s="7" t="s">
        <v>12556</v>
      </c>
      <c r="D4299" s="8">
        <f t="shared" si="272"/>
        <v>0</v>
      </c>
      <c r="E4299" s="7" t="s">
        <v>12557</v>
      </c>
      <c r="F4299" s="7">
        <f t="shared" si="273"/>
        <v>0</v>
      </c>
      <c r="G4299" s="7" t="s">
        <v>12558</v>
      </c>
      <c r="H4299" s="7">
        <f t="shared" si="274"/>
        <v>0</v>
      </c>
      <c r="I4299" s="7" t="str" cm="1">
        <f t="array" ref="I4299">IFERROR(_xlfn.IFS(M4299="נח",1,M4299="נע ונח",1,M4299="שני שווא נח",2,M4299="שני שוואים בסוף מילה",2,M4299="שני שוואים ברצף",1),"0")</f>
        <v>0</v>
      </c>
      <c r="J4299" s="9">
        <f t="shared" si="275"/>
        <v>2</v>
      </c>
      <c r="K4299" t="s">
        <v>6698</v>
      </c>
      <c r="L4299" t="s">
        <v>6695</v>
      </c>
      <c r="N4299" t="s">
        <v>6706</v>
      </c>
      <c r="O4299" t="s">
        <v>6694</v>
      </c>
      <c r="Q4299" t="s">
        <v>6694</v>
      </c>
      <c r="W4299" t="s">
        <v>6720</v>
      </c>
    </row>
    <row r="4300" spans="1:23" ht="15.6" x14ac:dyDescent="0.4">
      <c r="A4300" s="2" t="s">
        <v>3050</v>
      </c>
      <c r="B4300" s="5" t="s">
        <v>10511</v>
      </c>
      <c r="C4300" s="7" t="s">
        <v>12556</v>
      </c>
      <c r="D4300" s="8">
        <f t="shared" si="272"/>
        <v>0</v>
      </c>
      <c r="E4300" s="7" t="s">
        <v>12557</v>
      </c>
      <c r="F4300" s="7">
        <f t="shared" si="273"/>
        <v>0</v>
      </c>
      <c r="G4300" s="7" t="s">
        <v>12558</v>
      </c>
      <c r="H4300" s="7">
        <f t="shared" si="274"/>
        <v>0</v>
      </c>
      <c r="I4300" s="7" t="str" cm="1">
        <f t="array" ref="I4300">IFERROR(_xlfn.IFS(M4300="נח",1,M4300="נע ונח",1,M4300="שני שווא נח",2,M4300="שני שוואים בסוף מילה",2,M4300="שני שוואים ברצף",1),"0")</f>
        <v>0</v>
      </c>
      <c r="J4300" s="9">
        <f t="shared" si="275"/>
        <v>2</v>
      </c>
      <c r="K4300" t="s">
        <v>6698</v>
      </c>
      <c r="L4300" t="s">
        <v>6695</v>
      </c>
      <c r="Q4300" t="s">
        <v>6694</v>
      </c>
      <c r="V4300" t="s">
        <v>6694</v>
      </c>
      <c r="W4300" t="s">
        <v>6720</v>
      </c>
    </row>
    <row r="4301" spans="1:23" ht="15.6" x14ac:dyDescent="0.4">
      <c r="A4301" s="2" t="s">
        <v>170</v>
      </c>
      <c r="B4301" s="5" t="s">
        <v>10512</v>
      </c>
      <c r="C4301" s="7" t="s">
        <v>12556</v>
      </c>
      <c r="D4301" s="8">
        <f t="shared" si="272"/>
        <v>0</v>
      </c>
      <c r="E4301" s="7" t="s">
        <v>12557</v>
      </c>
      <c r="F4301" s="7">
        <f t="shared" si="273"/>
        <v>0</v>
      </c>
      <c r="G4301" s="7" t="s">
        <v>12558</v>
      </c>
      <c r="H4301" s="7">
        <f t="shared" si="274"/>
        <v>0</v>
      </c>
      <c r="I4301" s="7" t="str" cm="1">
        <f t="array" ref="I4301">IFERROR(_xlfn.IFS(M4301="נח",1,M4301="נע ונח",1,M4301="שני שווא נח",2,M4301="שני שוואים בסוף מילה",2,M4301="שני שוואים ברצף",1),"0")</f>
        <v>0</v>
      </c>
      <c r="J4301" s="9">
        <f t="shared" si="275"/>
        <v>2</v>
      </c>
      <c r="K4301" t="s">
        <v>6698</v>
      </c>
      <c r="L4301" t="s">
        <v>6695</v>
      </c>
      <c r="Q4301" t="s">
        <v>6694</v>
      </c>
      <c r="S4301" t="s">
        <v>6694</v>
      </c>
      <c r="W4301" t="s">
        <v>6720</v>
      </c>
    </row>
    <row r="4302" spans="1:23" ht="15.6" x14ac:dyDescent="0.4">
      <c r="A4302" s="2" t="s">
        <v>1466</v>
      </c>
      <c r="B4302" s="5" t="s">
        <v>10513</v>
      </c>
      <c r="C4302" s="7" t="s">
        <v>12556</v>
      </c>
      <c r="D4302" s="8">
        <f t="shared" si="272"/>
        <v>0</v>
      </c>
      <c r="E4302" s="7" t="s">
        <v>12557</v>
      </c>
      <c r="F4302" s="7">
        <f t="shared" si="273"/>
        <v>0</v>
      </c>
      <c r="G4302" s="7" t="s">
        <v>12558</v>
      </c>
      <c r="H4302" s="7">
        <f t="shared" si="274"/>
        <v>0</v>
      </c>
      <c r="I4302" s="7" cm="1">
        <f t="array" ref="I4302">IFERROR(_xlfn.IFS(M4302="נח",1,M4302="נע ונח",1,M4302="שני שווא נח",2,M4302="שני שוואים בסוף מילה",2,M4302="שני שוואים ברצף",1),"0")</f>
        <v>1</v>
      </c>
      <c r="J4302" s="9">
        <f t="shared" si="275"/>
        <v>2</v>
      </c>
      <c r="K4302" t="s">
        <v>6698</v>
      </c>
      <c r="L4302" t="s">
        <v>6694</v>
      </c>
      <c r="M4302" t="s">
        <v>6705</v>
      </c>
      <c r="R4302" t="s">
        <v>6694</v>
      </c>
      <c r="V4302" t="s">
        <v>6694</v>
      </c>
      <c r="W4302" t="s">
        <v>6720</v>
      </c>
    </row>
    <row r="4303" spans="1:23" ht="15.6" x14ac:dyDescent="0.4">
      <c r="A4303" s="2" t="s">
        <v>2610</v>
      </c>
      <c r="B4303" s="5" t="s">
        <v>10514</v>
      </c>
      <c r="C4303" s="7" t="s">
        <v>12556</v>
      </c>
      <c r="D4303" s="8">
        <f t="shared" si="272"/>
        <v>0</v>
      </c>
      <c r="E4303" s="7" t="s">
        <v>12557</v>
      </c>
      <c r="F4303" s="7">
        <f t="shared" si="273"/>
        <v>0</v>
      </c>
      <c r="G4303" s="7" t="s">
        <v>12558</v>
      </c>
      <c r="H4303" s="7">
        <f t="shared" si="274"/>
        <v>0</v>
      </c>
      <c r="I4303" s="7" t="str" cm="1">
        <f t="array" ref="I4303">IFERROR(_xlfn.IFS(M4303="נח",1,M4303="נע ונח",1,M4303="שני שווא נח",2,M4303="שני שוואים בסוף מילה",2,M4303="שני שוואים ברצף",1),"0")</f>
        <v>0</v>
      </c>
      <c r="J4303" s="9">
        <f t="shared" si="275"/>
        <v>3</v>
      </c>
      <c r="K4303" t="s">
        <v>6698</v>
      </c>
      <c r="L4303" t="s">
        <v>6695</v>
      </c>
      <c r="R4303" t="s">
        <v>6694</v>
      </c>
      <c r="V4303" t="s">
        <v>6694</v>
      </c>
      <c r="W4303" t="s">
        <v>6720</v>
      </c>
    </row>
    <row r="4304" spans="1:23" ht="15.6" x14ac:dyDescent="0.4">
      <c r="A4304" s="2" t="s">
        <v>1083</v>
      </c>
      <c r="B4304" s="5" t="s">
        <v>10515</v>
      </c>
      <c r="C4304" s="7" t="s">
        <v>12556</v>
      </c>
      <c r="D4304" s="8">
        <f t="shared" si="272"/>
        <v>0</v>
      </c>
      <c r="E4304" s="7" t="s">
        <v>12557</v>
      </c>
      <c r="F4304" s="7">
        <f t="shared" si="273"/>
        <v>0</v>
      </c>
      <c r="G4304" s="7" t="s">
        <v>12558</v>
      </c>
      <c r="H4304" s="7">
        <f t="shared" si="274"/>
        <v>0</v>
      </c>
      <c r="I4304" s="7" t="str" cm="1">
        <f t="array" ref="I4304">IFERROR(_xlfn.IFS(M4304="נח",1,M4304="נע ונח",1,M4304="שני שווא נח",2,M4304="שני שוואים בסוף מילה",2,M4304="שני שוואים ברצף",1),"0")</f>
        <v>0</v>
      </c>
      <c r="J4304" s="9">
        <f t="shared" si="275"/>
        <v>3</v>
      </c>
      <c r="K4304" t="s">
        <v>6697</v>
      </c>
      <c r="L4304" t="s">
        <v>6695</v>
      </c>
      <c r="O4304" t="s">
        <v>6694</v>
      </c>
      <c r="R4304" t="s">
        <v>6694</v>
      </c>
      <c r="W4304" t="s">
        <v>6720</v>
      </c>
    </row>
    <row r="4305" spans="1:23" ht="15.6" x14ac:dyDescent="0.4">
      <c r="A4305" s="2" t="s">
        <v>1694</v>
      </c>
      <c r="B4305" s="5" t="s">
        <v>10516</v>
      </c>
      <c r="C4305" s="7" t="s">
        <v>12556</v>
      </c>
      <c r="D4305" s="8">
        <f t="shared" si="272"/>
        <v>0</v>
      </c>
      <c r="E4305" s="7" t="s">
        <v>12557</v>
      </c>
      <c r="F4305" s="7">
        <f t="shared" si="273"/>
        <v>0</v>
      </c>
      <c r="G4305" s="7" t="s">
        <v>12558</v>
      </c>
      <c r="H4305" s="7">
        <f t="shared" si="274"/>
        <v>0</v>
      </c>
      <c r="I4305" s="7" t="str" cm="1">
        <f t="array" ref="I4305">IFERROR(_xlfn.IFS(M4305="נח",1,M4305="נע ונח",1,M4305="שני שווא נח",2,M4305="שני שוואים בסוף מילה",2,M4305="שני שוואים ברצף",1),"0")</f>
        <v>0</v>
      </c>
      <c r="J4305" s="9">
        <f t="shared" si="275"/>
        <v>3</v>
      </c>
      <c r="K4305" t="s">
        <v>6698</v>
      </c>
      <c r="L4305" t="s">
        <v>6695</v>
      </c>
      <c r="O4305" t="s">
        <v>6694</v>
      </c>
      <c r="R4305" t="s">
        <v>6694</v>
      </c>
      <c r="V4305" t="s">
        <v>6694</v>
      </c>
      <c r="W4305" t="s">
        <v>6720</v>
      </c>
    </row>
    <row r="4306" spans="1:23" ht="15.6" x14ac:dyDescent="0.4">
      <c r="A4306" s="2" t="s">
        <v>5210</v>
      </c>
      <c r="B4306" s="5" t="s">
        <v>10517</v>
      </c>
      <c r="C4306" s="7" t="s">
        <v>12556</v>
      </c>
      <c r="D4306" s="8">
        <f t="shared" si="272"/>
        <v>0</v>
      </c>
      <c r="E4306" s="7" t="s">
        <v>12557</v>
      </c>
      <c r="F4306" s="7">
        <f t="shared" si="273"/>
        <v>0</v>
      </c>
      <c r="G4306" s="7" t="s">
        <v>12558</v>
      </c>
      <c r="H4306" s="7">
        <f t="shared" si="274"/>
        <v>0</v>
      </c>
      <c r="I4306" s="7" t="str" cm="1">
        <f t="array" ref="I4306">IFERROR(_xlfn.IFS(M4306="נח",1,M4306="נע ונח",1,M4306="שני שווא נח",2,M4306="שני שוואים בסוף מילה",2,M4306="שני שוואים ברצף",1),"0")</f>
        <v>0</v>
      </c>
      <c r="J4306" s="9">
        <f t="shared" si="275"/>
        <v>2</v>
      </c>
      <c r="K4306" t="s">
        <v>6697</v>
      </c>
      <c r="L4306" t="s">
        <v>6695</v>
      </c>
      <c r="R4306" t="s">
        <v>6694</v>
      </c>
      <c r="S4306" t="s">
        <v>6694</v>
      </c>
      <c r="W4306" t="s">
        <v>6720</v>
      </c>
    </row>
    <row r="4307" spans="1:23" ht="15.6" x14ac:dyDescent="0.4">
      <c r="A4307" s="2" t="s">
        <v>685</v>
      </c>
      <c r="B4307" s="5" t="s">
        <v>10312</v>
      </c>
      <c r="C4307" s="7" t="s">
        <v>12556</v>
      </c>
      <c r="D4307" s="8">
        <f t="shared" si="272"/>
        <v>0</v>
      </c>
      <c r="E4307" s="7" t="s">
        <v>12557</v>
      </c>
      <c r="F4307" s="7">
        <f t="shared" si="273"/>
        <v>0</v>
      </c>
      <c r="G4307" s="7" t="s">
        <v>12558</v>
      </c>
      <c r="H4307" s="7">
        <f t="shared" si="274"/>
        <v>0</v>
      </c>
      <c r="I4307" s="7" t="str" cm="1">
        <f t="array" ref="I4307">IFERROR(_xlfn.IFS(M4307="נח",1,M4307="נע ונח",1,M4307="שני שווא נח",2,M4307="שני שוואים בסוף מילה",2,M4307="שני שוואים ברצף",1),"0")</f>
        <v>0</v>
      </c>
      <c r="J4307" s="9">
        <f t="shared" si="275"/>
        <v>2</v>
      </c>
      <c r="K4307" t="s">
        <v>6698</v>
      </c>
      <c r="L4307" t="s">
        <v>6695</v>
      </c>
      <c r="R4307" t="s">
        <v>6694</v>
      </c>
      <c r="W4307" t="s">
        <v>6720</v>
      </c>
    </row>
    <row r="4308" spans="1:23" ht="15.6" x14ac:dyDescent="0.4">
      <c r="A4308" s="2" t="s">
        <v>4508</v>
      </c>
      <c r="B4308" s="5" t="s">
        <v>10518</v>
      </c>
      <c r="C4308" s="7" t="s">
        <v>12556</v>
      </c>
      <c r="D4308" s="8">
        <f t="shared" si="272"/>
        <v>0</v>
      </c>
      <c r="E4308" s="7" t="s">
        <v>12557</v>
      </c>
      <c r="F4308" s="7">
        <f t="shared" si="273"/>
        <v>0</v>
      </c>
      <c r="G4308" s="7" t="s">
        <v>12558</v>
      </c>
      <c r="H4308" s="7">
        <f t="shared" si="274"/>
        <v>0</v>
      </c>
      <c r="I4308" s="7" t="str" cm="1">
        <f t="array" ref="I4308">IFERROR(_xlfn.IFS(M4308="נח",1,M4308="נע ונח",1,M4308="שני שווא נח",2,M4308="שני שוואים בסוף מילה",2,M4308="שני שוואים ברצף",1),"0")</f>
        <v>0</v>
      </c>
      <c r="J4308" s="9">
        <f t="shared" si="275"/>
        <v>3</v>
      </c>
      <c r="K4308" t="s">
        <v>6697</v>
      </c>
      <c r="L4308" t="s">
        <v>6695</v>
      </c>
      <c r="O4308" t="s">
        <v>6694</v>
      </c>
      <c r="R4308" t="s">
        <v>6694</v>
      </c>
      <c r="S4308" t="s">
        <v>6694</v>
      </c>
      <c r="W4308" t="s">
        <v>6720</v>
      </c>
    </row>
    <row r="4309" spans="1:23" ht="15.6" x14ac:dyDescent="0.4">
      <c r="A4309" s="2" t="s">
        <v>288</v>
      </c>
      <c r="B4309" s="5" t="s">
        <v>10519</v>
      </c>
      <c r="C4309" s="7" t="s">
        <v>12556</v>
      </c>
      <c r="D4309" s="8">
        <f t="shared" si="272"/>
        <v>0</v>
      </c>
      <c r="E4309" s="7" t="s">
        <v>12557</v>
      </c>
      <c r="F4309" s="7">
        <f t="shared" si="273"/>
        <v>0</v>
      </c>
      <c r="G4309" s="7" t="s">
        <v>12558</v>
      </c>
      <c r="H4309" s="7">
        <f t="shared" si="274"/>
        <v>0</v>
      </c>
      <c r="I4309" s="7" t="str" cm="1">
        <f t="array" ref="I4309">IFERROR(_xlfn.IFS(M4309="נח",1,M4309="נע ונח",1,M4309="שני שווא נח",2,M4309="שני שוואים בסוף מילה",2,M4309="שני שוואים ברצף",1),"0")</f>
        <v>0</v>
      </c>
      <c r="J4309" s="9">
        <f t="shared" si="275"/>
        <v>3</v>
      </c>
      <c r="K4309" t="s">
        <v>6698</v>
      </c>
      <c r="L4309" t="s">
        <v>6695</v>
      </c>
      <c r="N4309" t="s">
        <v>6706</v>
      </c>
      <c r="O4309" t="s">
        <v>6694</v>
      </c>
      <c r="R4309" t="s">
        <v>6694</v>
      </c>
      <c r="W4309" t="s">
        <v>6720</v>
      </c>
    </row>
    <row r="4310" spans="1:23" ht="15.6" x14ac:dyDescent="0.4">
      <c r="A4310" s="2" t="s">
        <v>1604</v>
      </c>
      <c r="B4310" s="5" t="s">
        <v>10520</v>
      </c>
      <c r="C4310" s="7" t="s">
        <v>12556</v>
      </c>
      <c r="D4310" s="8">
        <f t="shared" si="272"/>
        <v>0</v>
      </c>
      <c r="E4310" s="7" t="s">
        <v>12557</v>
      </c>
      <c r="F4310" s="7">
        <f t="shared" si="273"/>
        <v>0</v>
      </c>
      <c r="G4310" s="7" t="s">
        <v>12558</v>
      </c>
      <c r="H4310" s="7">
        <f t="shared" si="274"/>
        <v>0</v>
      </c>
      <c r="I4310" s="7" t="str" cm="1">
        <f t="array" ref="I4310">IFERROR(_xlfn.IFS(M4310="נח",1,M4310="נע ונח",1,M4310="שני שווא נח",2,M4310="שני שוואים בסוף מילה",2,M4310="שני שוואים ברצף",1),"0")</f>
        <v>0</v>
      </c>
      <c r="J4310" s="9">
        <f t="shared" si="275"/>
        <v>3</v>
      </c>
      <c r="K4310" t="s">
        <v>6698</v>
      </c>
      <c r="L4310" t="s">
        <v>6695</v>
      </c>
      <c r="P4310" t="s">
        <v>6694</v>
      </c>
      <c r="W4310" t="s">
        <v>6720</v>
      </c>
    </row>
    <row r="4311" spans="1:23" ht="15.6" x14ac:dyDescent="0.4">
      <c r="A4311" s="2" t="s">
        <v>1766</v>
      </c>
      <c r="B4311" s="5" t="s">
        <v>10521</v>
      </c>
      <c r="C4311" s="7" t="s">
        <v>12556</v>
      </c>
      <c r="D4311" s="8">
        <f t="shared" si="272"/>
        <v>0</v>
      </c>
      <c r="E4311" s="7" t="s">
        <v>12557</v>
      </c>
      <c r="F4311" s="7">
        <f t="shared" si="273"/>
        <v>0</v>
      </c>
      <c r="G4311" s="7" t="s">
        <v>12558</v>
      </c>
      <c r="H4311" s="7">
        <f t="shared" si="274"/>
        <v>0</v>
      </c>
      <c r="I4311" s="7" t="str" cm="1">
        <f t="array" ref="I4311">IFERROR(_xlfn.IFS(M4311="נח",1,M4311="נע ונח",1,M4311="שני שווא נח",2,M4311="שני שוואים בסוף מילה",2,M4311="שני שוואים ברצף",1),"0")</f>
        <v>0</v>
      </c>
      <c r="J4311" s="9">
        <f t="shared" si="275"/>
        <v>4</v>
      </c>
      <c r="K4311" t="s">
        <v>6698</v>
      </c>
      <c r="L4311" t="s">
        <v>6695</v>
      </c>
      <c r="P4311" t="s">
        <v>6694</v>
      </c>
      <c r="Q4311" t="s">
        <v>6694</v>
      </c>
      <c r="V4311" t="s">
        <v>6694</v>
      </c>
      <c r="W4311" t="s">
        <v>6720</v>
      </c>
    </row>
    <row r="4312" spans="1:23" ht="15.6" x14ac:dyDescent="0.4">
      <c r="A4312" s="2" t="s">
        <v>3837</v>
      </c>
      <c r="B4312" s="5" t="s">
        <v>10522</v>
      </c>
      <c r="C4312" s="7" t="s">
        <v>12556</v>
      </c>
      <c r="D4312" s="8">
        <f t="shared" si="272"/>
        <v>0</v>
      </c>
      <c r="E4312" s="7" t="s">
        <v>12557</v>
      </c>
      <c r="F4312" s="7">
        <f t="shared" si="273"/>
        <v>0</v>
      </c>
      <c r="G4312" s="7" t="s">
        <v>12558</v>
      </c>
      <c r="H4312" s="7">
        <f t="shared" si="274"/>
        <v>0</v>
      </c>
      <c r="I4312" s="7" t="str" cm="1">
        <f t="array" ref="I4312">IFERROR(_xlfn.IFS(M4312="נח",1,M4312="נע ונח",1,M4312="שני שווא נח",2,M4312="שני שוואים בסוף מילה",2,M4312="שני שוואים ברצף",1),"0")</f>
        <v>0</v>
      </c>
      <c r="J4312" s="9">
        <f t="shared" si="275"/>
        <v>4</v>
      </c>
      <c r="K4312" t="s">
        <v>6698</v>
      </c>
      <c r="L4312" t="s">
        <v>6695</v>
      </c>
      <c r="P4312" t="s">
        <v>6694</v>
      </c>
      <c r="Q4312" t="s">
        <v>6694</v>
      </c>
      <c r="S4312" t="s">
        <v>6694</v>
      </c>
      <c r="W4312" t="s">
        <v>6720</v>
      </c>
    </row>
    <row r="4313" spans="1:23" ht="15.6" x14ac:dyDescent="0.4">
      <c r="A4313" s="2" t="s">
        <v>2866</v>
      </c>
      <c r="B4313" s="5" t="s">
        <v>10521</v>
      </c>
      <c r="C4313" s="7" t="s">
        <v>12556</v>
      </c>
      <c r="D4313" s="8">
        <f t="shared" si="272"/>
        <v>0</v>
      </c>
      <c r="E4313" s="7" t="s">
        <v>12557</v>
      </c>
      <c r="F4313" s="7">
        <f t="shared" si="273"/>
        <v>0</v>
      </c>
      <c r="G4313" s="7" t="s">
        <v>12558</v>
      </c>
      <c r="H4313" s="7">
        <f t="shared" si="274"/>
        <v>0</v>
      </c>
      <c r="I4313" s="7" t="str" cm="1">
        <f t="array" ref="I4313">IFERROR(_xlfn.IFS(M4313="נח",1,M4313="נע ונח",1,M4313="שני שווא נח",2,M4313="שני שוואים בסוף מילה",2,M4313="שני שוואים ברצף",1),"0")</f>
        <v>0</v>
      </c>
      <c r="J4313" s="9">
        <f t="shared" si="275"/>
        <v>3</v>
      </c>
      <c r="K4313" t="s">
        <v>6697</v>
      </c>
      <c r="L4313" t="s">
        <v>6695</v>
      </c>
      <c r="P4313" t="s">
        <v>6694</v>
      </c>
      <c r="S4313" t="s">
        <v>6694</v>
      </c>
      <c r="V4313" t="s">
        <v>6694</v>
      </c>
      <c r="W4313" t="s">
        <v>6720</v>
      </c>
    </row>
    <row r="4314" spans="1:23" ht="15.6" x14ac:dyDescent="0.4">
      <c r="A4314" s="2" t="s">
        <v>681</v>
      </c>
      <c r="B4314" s="5" t="s">
        <v>10438</v>
      </c>
      <c r="C4314" s="7" t="s">
        <v>12556</v>
      </c>
      <c r="D4314" s="8">
        <f t="shared" si="272"/>
        <v>0</v>
      </c>
      <c r="E4314" s="7" t="s">
        <v>12557</v>
      </c>
      <c r="F4314" s="7">
        <f t="shared" si="273"/>
        <v>1</v>
      </c>
      <c r="G4314" s="7" t="s">
        <v>12558</v>
      </c>
      <c r="H4314" s="7">
        <f t="shared" si="274"/>
        <v>0</v>
      </c>
      <c r="I4314" s="7" cm="1">
        <f t="array" ref="I4314">IFERROR(_xlfn.IFS(M4314="נח",1,M4314="נע ונח",1,M4314="שני שווא נח",2,M4314="שני שוואים בסוף מילה",2,M4314="שני שוואים ברצף",1),"0")</f>
        <v>1</v>
      </c>
      <c r="J4314" s="9">
        <f t="shared" si="275"/>
        <v>3</v>
      </c>
      <c r="K4314" t="s">
        <v>6697</v>
      </c>
      <c r="L4314" t="s">
        <v>6694</v>
      </c>
      <c r="M4314" t="s">
        <v>6705</v>
      </c>
      <c r="O4314" t="s">
        <v>6694</v>
      </c>
      <c r="P4314" t="s">
        <v>6694</v>
      </c>
      <c r="Q4314" t="s">
        <v>6694</v>
      </c>
      <c r="W4314" t="s">
        <v>6720</v>
      </c>
    </row>
    <row r="4315" spans="1:23" ht="15.6" x14ac:dyDescent="0.4">
      <c r="A4315" s="2" t="s">
        <v>2808</v>
      </c>
      <c r="B4315" s="5" t="s">
        <v>10523</v>
      </c>
      <c r="C4315" s="7" t="s">
        <v>12556</v>
      </c>
      <c r="D4315" s="8">
        <f t="shared" si="272"/>
        <v>0</v>
      </c>
      <c r="E4315" s="7" t="s">
        <v>12557</v>
      </c>
      <c r="F4315" s="7">
        <f t="shared" si="273"/>
        <v>1</v>
      </c>
      <c r="G4315" s="7" t="s">
        <v>12558</v>
      </c>
      <c r="H4315" s="7">
        <f t="shared" si="274"/>
        <v>0</v>
      </c>
      <c r="I4315" s="7" cm="1">
        <f t="array" ref="I4315">IFERROR(_xlfn.IFS(M4315="נח",1,M4315="נע ונח",1,M4315="שני שווא נח",2,M4315="שני שוואים בסוף מילה",2,M4315="שני שוואים ברצף",1),"0")</f>
        <v>1</v>
      </c>
      <c r="J4315" s="9">
        <f t="shared" si="275"/>
        <v>3</v>
      </c>
      <c r="K4315" t="s">
        <v>6698</v>
      </c>
      <c r="L4315" t="s">
        <v>6694</v>
      </c>
      <c r="M4315" t="s">
        <v>6705</v>
      </c>
      <c r="O4315" t="s">
        <v>6694</v>
      </c>
      <c r="P4315" t="s">
        <v>6694</v>
      </c>
      <c r="S4315" t="s">
        <v>6694</v>
      </c>
      <c r="W4315" t="s">
        <v>6720</v>
      </c>
    </row>
    <row r="4316" spans="1:23" ht="15.6" x14ac:dyDescent="0.4">
      <c r="A4316" s="2" t="s">
        <v>5690</v>
      </c>
      <c r="B4316" s="5" t="s">
        <v>10524</v>
      </c>
      <c r="C4316" s="7" t="s">
        <v>12556</v>
      </c>
      <c r="D4316" s="8">
        <f t="shared" si="272"/>
        <v>0</v>
      </c>
      <c r="E4316" s="7" t="s">
        <v>12557</v>
      </c>
      <c r="F4316" s="7">
        <f t="shared" si="273"/>
        <v>1</v>
      </c>
      <c r="G4316" s="7" t="s">
        <v>12558</v>
      </c>
      <c r="H4316" s="7">
        <f t="shared" si="274"/>
        <v>0</v>
      </c>
      <c r="I4316" s="7" cm="1">
        <f t="array" ref="I4316">IFERROR(_xlfn.IFS(M4316="נח",1,M4316="נע ונח",1,M4316="שני שווא נח",2,M4316="שני שוואים בסוף מילה",2,M4316="שני שוואים ברצף",1),"0")</f>
        <v>1</v>
      </c>
      <c r="J4316" s="9">
        <f t="shared" si="275"/>
        <v>2</v>
      </c>
      <c r="K4316" t="s">
        <v>6698</v>
      </c>
      <c r="L4316" t="s">
        <v>6694</v>
      </c>
      <c r="M4316" t="s">
        <v>6705</v>
      </c>
      <c r="P4316" t="s">
        <v>6694</v>
      </c>
      <c r="S4316" t="s">
        <v>6694</v>
      </c>
      <c r="W4316" t="s">
        <v>6720</v>
      </c>
    </row>
    <row r="4317" spans="1:23" ht="15.6" x14ac:dyDescent="0.4">
      <c r="A4317" s="2" t="s">
        <v>3193</v>
      </c>
      <c r="B4317" s="5" t="s">
        <v>10256</v>
      </c>
      <c r="C4317" s="7" t="s">
        <v>12556</v>
      </c>
      <c r="D4317" s="8">
        <f t="shared" si="272"/>
        <v>0</v>
      </c>
      <c r="E4317" s="7" t="s">
        <v>12557</v>
      </c>
      <c r="F4317" s="7">
        <f t="shared" si="273"/>
        <v>1</v>
      </c>
      <c r="G4317" s="7" t="s">
        <v>12558</v>
      </c>
      <c r="H4317" s="7">
        <f t="shared" si="274"/>
        <v>0</v>
      </c>
      <c r="I4317" s="7" t="str" cm="1">
        <f t="array" ref="I4317">IFERROR(_xlfn.IFS(M4317="נח",1,M4317="נע ונח",1,M4317="שני שווא נח",2,M4317="שני שוואים בסוף מילה",2,M4317="שני שוואים ברצף",1),"0")</f>
        <v>0</v>
      </c>
      <c r="J4317" s="9">
        <f t="shared" si="275"/>
        <v>2</v>
      </c>
      <c r="K4317" t="s">
        <v>6698</v>
      </c>
      <c r="L4317" t="s">
        <v>6695</v>
      </c>
      <c r="P4317" t="s">
        <v>6694</v>
      </c>
      <c r="Q4317" t="s">
        <v>6694</v>
      </c>
      <c r="W4317" t="s">
        <v>6720</v>
      </c>
    </row>
    <row r="4318" spans="1:23" ht="15.6" x14ac:dyDescent="0.4">
      <c r="A4318" s="2" t="s">
        <v>3855</v>
      </c>
      <c r="B4318" s="5" t="s">
        <v>10525</v>
      </c>
      <c r="C4318" s="7" t="s">
        <v>12556</v>
      </c>
      <c r="D4318" s="8">
        <f t="shared" si="272"/>
        <v>0</v>
      </c>
      <c r="E4318" s="7" t="s">
        <v>12557</v>
      </c>
      <c r="F4318" s="7">
        <f t="shared" si="273"/>
        <v>1</v>
      </c>
      <c r="G4318" s="7" t="s">
        <v>12558</v>
      </c>
      <c r="H4318" s="7">
        <f t="shared" si="274"/>
        <v>0</v>
      </c>
      <c r="I4318" s="7" t="str" cm="1">
        <f t="array" ref="I4318">IFERROR(_xlfn.IFS(M4318="נח",1,M4318="נע ונח",1,M4318="שני שווא נח",2,M4318="שני שוואים בסוף מילה",2,M4318="שני שוואים ברצף",1),"0")</f>
        <v>0</v>
      </c>
      <c r="J4318" s="9">
        <f t="shared" si="275"/>
        <v>3</v>
      </c>
      <c r="K4318" t="s">
        <v>6698</v>
      </c>
      <c r="L4318" t="s">
        <v>6695</v>
      </c>
      <c r="P4318" t="s">
        <v>6694</v>
      </c>
      <c r="R4318" t="s">
        <v>6694</v>
      </c>
      <c r="V4318" t="s">
        <v>6694</v>
      </c>
      <c r="W4318" t="s">
        <v>6720</v>
      </c>
    </row>
    <row r="4319" spans="1:23" ht="15.6" x14ac:dyDescent="0.4">
      <c r="A4319" s="2" t="s">
        <v>2398</v>
      </c>
      <c r="B4319" s="5" t="s">
        <v>10526</v>
      </c>
      <c r="C4319" s="7" t="s">
        <v>12556</v>
      </c>
      <c r="D4319" s="8">
        <f t="shared" si="272"/>
        <v>0</v>
      </c>
      <c r="E4319" s="7" t="s">
        <v>12557</v>
      </c>
      <c r="F4319" s="7">
        <f t="shared" si="273"/>
        <v>1</v>
      </c>
      <c r="G4319" s="7" t="s">
        <v>12558</v>
      </c>
      <c r="H4319" s="7">
        <f t="shared" si="274"/>
        <v>0</v>
      </c>
      <c r="I4319" s="7" cm="1">
        <f t="array" ref="I4319">IFERROR(_xlfn.IFS(M4319="נח",1,M4319="נע ונח",1,M4319="שני שווא נח",2,M4319="שני שוואים בסוף מילה",2,M4319="שני שוואים ברצף",1),"0")</f>
        <v>1</v>
      </c>
      <c r="J4319" s="9">
        <f t="shared" si="275"/>
        <v>2</v>
      </c>
      <c r="K4319" t="s">
        <v>6698</v>
      </c>
      <c r="L4319" t="s">
        <v>6694</v>
      </c>
      <c r="M4319" t="s">
        <v>6705</v>
      </c>
      <c r="N4319" t="s">
        <v>6706</v>
      </c>
      <c r="O4319" t="s">
        <v>6694</v>
      </c>
      <c r="P4319" t="s">
        <v>6694</v>
      </c>
      <c r="W4319" t="s">
        <v>6720</v>
      </c>
    </row>
    <row r="4320" spans="1:23" ht="15.6" x14ac:dyDescent="0.4">
      <c r="A4320" s="2" t="s">
        <v>6687</v>
      </c>
      <c r="B4320" s="5" t="s">
        <v>10276</v>
      </c>
      <c r="C4320" s="7" t="s">
        <v>12556</v>
      </c>
      <c r="D4320" s="8">
        <f t="shared" si="272"/>
        <v>0</v>
      </c>
      <c r="E4320" s="7" t="s">
        <v>12557</v>
      </c>
      <c r="F4320" s="7">
        <f t="shared" si="273"/>
        <v>1</v>
      </c>
      <c r="G4320" s="7" t="s">
        <v>12558</v>
      </c>
      <c r="H4320" s="7">
        <f t="shared" si="274"/>
        <v>0</v>
      </c>
      <c r="I4320" s="7" t="str" cm="1">
        <f t="array" ref="I4320">IFERROR(_xlfn.IFS(M4320="נח",1,M4320="נע ונח",1,M4320="שני שווא נח",2,M4320="שני שוואים בסוף מילה",2,M4320="שני שוואים ברצף",1),"0")</f>
        <v>0</v>
      </c>
      <c r="J4320" s="9">
        <f t="shared" si="275"/>
        <v>2</v>
      </c>
      <c r="K4320" t="s">
        <v>6698</v>
      </c>
      <c r="L4320" t="s">
        <v>6695</v>
      </c>
      <c r="P4320" t="s">
        <v>6694</v>
      </c>
      <c r="V4320" t="s">
        <v>6694</v>
      </c>
      <c r="W4320" t="s">
        <v>6720</v>
      </c>
    </row>
    <row r="4321" spans="1:23" ht="15.6" x14ac:dyDescent="0.4">
      <c r="A4321" s="2" t="s">
        <v>5244</v>
      </c>
      <c r="B4321" s="5" t="s">
        <v>10516</v>
      </c>
      <c r="C4321" s="7" t="s">
        <v>12556</v>
      </c>
      <c r="D4321" s="8">
        <f t="shared" si="272"/>
        <v>0</v>
      </c>
      <c r="E4321" s="7" t="s">
        <v>12557</v>
      </c>
      <c r="F4321" s="7">
        <f t="shared" si="273"/>
        <v>0</v>
      </c>
      <c r="G4321" s="7" t="s">
        <v>12558</v>
      </c>
      <c r="H4321" s="7">
        <f t="shared" si="274"/>
        <v>0</v>
      </c>
      <c r="I4321" s="7" t="str" cm="1">
        <f t="array" ref="I4321">IFERROR(_xlfn.IFS(M4321="נח",1,M4321="נע ונח",1,M4321="שני שווא נח",2,M4321="שני שוואים בסוף מילה",2,M4321="שני שוואים ברצף",1),"0")</f>
        <v>0</v>
      </c>
      <c r="J4321" s="9">
        <f t="shared" si="275"/>
        <v>3</v>
      </c>
      <c r="K4321" t="s">
        <v>6698</v>
      </c>
      <c r="L4321" t="s">
        <v>6695</v>
      </c>
      <c r="P4321" t="s">
        <v>6694</v>
      </c>
      <c r="V4321" t="s">
        <v>6694</v>
      </c>
      <c r="W4321" t="s">
        <v>6720</v>
      </c>
    </row>
    <row r="4322" spans="1:23" ht="15.6" x14ac:dyDescent="0.4">
      <c r="A4322" s="2" t="s">
        <v>2240</v>
      </c>
      <c r="B4322" s="5" t="s">
        <v>10527</v>
      </c>
      <c r="C4322" s="7" t="s">
        <v>12556</v>
      </c>
      <c r="D4322" s="8">
        <f t="shared" si="272"/>
        <v>0</v>
      </c>
      <c r="E4322" s="7" t="s">
        <v>12557</v>
      </c>
      <c r="F4322" s="7">
        <f t="shared" si="273"/>
        <v>0</v>
      </c>
      <c r="G4322" s="7" t="s">
        <v>12558</v>
      </c>
      <c r="H4322" s="7">
        <f t="shared" si="274"/>
        <v>0</v>
      </c>
      <c r="I4322" s="7" t="str" cm="1">
        <f t="array" ref="I4322">IFERROR(_xlfn.IFS(M4322="נח",1,M4322="נע ונח",1,M4322="שני שווא נח",2,M4322="שני שוואים בסוף מילה",2,M4322="שני שוואים ברצף",1),"0")</f>
        <v>0</v>
      </c>
      <c r="J4322" s="9">
        <f t="shared" si="275"/>
        <v>3</v>
      </c>
      <c r="K4322" t="s">
        <v>6698</v>
      </c>
      <c r="L4322" t="s">
        <v>6695</v>
      </c>
      <c r="P4322" t="s">
        <v>6694</v>
      </c>
      <c r="V4322" t="s">
        <v>6694</v>
      </c>
      <c r="W4322" t="s">
        <v>6720</v>
      </c>
    </row>
    <row r="4323" spans="1:23" ht="15.6" x14ac:dyDescent="0.4">
      <c r="A4323" s="2" t="s">
        <v>6452</v>
      </c>
      <c r="B4323" s="5" t="s">
        <v>10528</v>
      </c>
      <c r="C4323" s="7" t="s">
        <v>12556</v>
      </c>
      <c r="D4323" s="8">
        <f t="shared" si="272"/>
        <v>0</v>
      </c>
      <c r="E4323" s="7" t="s">
        <v>12557</v>
      </c>
      <c r="F4323" s="7">
        <f t="shared" si="273"/>
        <v>0</v>
      </c>
      <c r="G4323" s="7" t="s">
        <v>12558</v>
      </c>
      <c r="H4323" s="7">
        <f t="shared" si="274"/>
        <v>0</v>
      </c>
      <c r="I4323" s="7" t="str" cm="1">
        <f t="array" ref="I4323">IFERROR(_xlfn.IFS(M4323="נח",1,M4323="נע ונח",1,M4323="שני שווא נח",2,M4323="שני שוואים בסוף מילה",2,M4323="שני שוואים ברצף",1),"0")</f>
        <v>0</v>
      </c>
      <c r="J4323" s="9">
        <f t="shared" si="275"/>
        <v>4</v>
      </c>
      <c r="K4323" t="s">
        <v>6697</v>
      </c>
      <c r="L4323" t="s">
        <v>6695</v>
      </c>
      <c r="P4323" t="s">
        <v>6694</v>
      </c>
      <c r="S4323" t="s">
        <v>6694</v>
      </c>
      <c r="V4323" t="s">
        <v>6694</v>
      </c>
      <c r="W4323" t="s">
        <v>6720</v>
      </c>
    </row>
    <row r="4324" spans="1:23" ht="15.6" x14ac:dyDescent="0.4">
      <c r="A4324" s="2" t="s">
        <v>2921</v>
      </c>
      <c r="B4324" s="5" t="s">
        <v>10529</v>
      </c>
      <c r="C4324" s="7" t="s">
        <v>12556</v>
      </c>
      <c r="D4324" s="8">
        <f t="shared" si="272"/>
        <v>0</v>
      </c>
      <c r="E4324" s="7" t="s">
        <v>12557</v>
      </c>
      <c r="F4324" s="7">
        <f t="shared" si="273"/>
        <v>0</v>
      </c>
      <c r="G4324" s="7" t="s">
        <v>12558</v>
      </c>
      <c r="H4324" s="7">
        <f t="shared" si="274"/>
        <v>0</v>
      </c>
      <c r="I4324" s="7" t="str" cm="1">
        <f t="array" ref="I4324">IFERROR(_xlfn.IFS(M4324="נח",1,M4324="נע ונח",1,M4324="שני שווא נח",2,M4324="שני שוואים בסוף מילה",2,M4324="שני שוואים ברצף",1),"0")</f>
        <v>0</v>
      </c>
      <c r="J4324" s="9">
        <f t="shared" si="275"/>
        <v>3</v>
      </c>
      <c r="K4324" t="s">
        <v>6698</v>
      </c>
      <c r="L4324" t="s">
        <v>6695</v>
      </c>
      <c r="P4324" t="s">
        <v>6694</v>
      </c>
      <c r="R4324" t="s">
        <v>6694</v>
      </c>
      <c r="W4324" t="s">
        <v>6720</v>
      </c>
    </row>
    <row r="4325" spans="1:23" ht="15.6" x14ac:dyDescent="0.4">
      <c r="A4325" s="2" t="s">
        <v>4916</v>
      </c>
      <c r="B4325" s="5" t="s">
        <v>10530</v>
      </c>
      <c r="C4325" s="7" t="s">
        <v>12556</v>
      </c>
      <c r="D4325" s="8">
        <f t="shared" si="272"/>
        <v>0</v>
      </c>
      <c r="E4325" s="7" t="s">
        <v>12557</v>
      </c>
      <c r="F4325" s="7">
        <f t="shared" si="273"/>
        <v>0</v>
      </c>
      <c r="G4325" s="7" t="s">
        <v>12558</v>
      </c>
      <c r="H4325" s="7">
        <f t="shared" si="274"/>
        <v>0</v>
      </c>
      <c r="I4325" s="7" cm="1">
        <f t="array" ref="I4325">IFERROR(_xlfn.IFS(M4325="נח",1,M4325="נע ונח",1,M4325="שני שווא נח",2,M4325="שני שוואים בסוף מילה",2,M4325="שני שוואים ברצף",1),"0")</f>
        <v>1</v>
      </c>
      <c r="J4325" s="9">
        <f t="shared" si="275"/>
        <v>3</v>
      </c>
      <c r="K4325" t="s">
        <v>6698</v>
      </c>
      <c r="L4325" t="s">
        <v>6694</v>
      </c>
      <c r="M4325" t="s">
        <v>6705</v>
      </c>
      <c r="P4325" t="s">
        <v>6694</v>
      </c>
      <c r="S4325" t="s">
        <v>6694</v>
      </c>
      <c r="V4325" t="s">
        <v>6694</v>
      </c>
      <c r="W4325" t="s">
        <v>6720</v>
      </c>
    </row>
    <row r="4326" spans="1:23" ht="15.6" x14ac:dyDescent="0.4">
      <c r="A4326" s="2" t="s">
        <v>4663</v>
      </c>
      <c r="B4326" s="5" t="s">
        <v>10531</v>
      </c>
      <c r="C4326" s="7" t="s">
        <v>12556</v>
      </c>
      <c r="D4326" s="8">
        <f t="shared" si="272"/>
        <v>0</v>
      </c>
      <c r="E4326" s="7" t="s">
        <v>12557</v>
      </c>
      <c r="F4326" s="7">
        <f t="shared" si="273"/>
        <v>0</v>
      </c>
      <c r="G4326" s="7" t="s">
        <v>12558</v>
      </c>
      <c r="H4326" s="7">
        <f t="shared" si="274"/>
        <v>0</v>
      </c>
      <c r="I4326" s="7" t="str" cm="1">
        <f t="array" ref="I4326">IFERROR(_xlfn.IFS(M4326="נח",1,M4326="נע ונח",1,M4326="שני שווא נח",2,M4326="שני שוואים בסוף מילה",2,M4326="שני שוואים ברצף",1),"0")</f>
        <v>0</v>
      </c>
      <c r="J4326" s="9">
        <f t="shared" si="275"/>
        <v>4</v>
      </c>
      <c r="K4326" t="s">
        <v>6698</v>
      </c>
      <c r="L4326" t="s">
        <v>6694</v>
      </c>
      <c r="M4326" t="s">
        <v>6703</v>
      </c>
      <c r="P4326" t="s">
        <v>6694</v>
      </c>
      <c r="S4326" t="s">
        <v>6694</v>
      </c>
      <c r="V4326" t="s">
        <v>6694</v>
      </c>
      <c r="W4326" t="s">
        <v>6720</v>
      </c>
    </row>
    <row r="4327" spans="1:23" ht="15.6" x14ac:dyDescent="0.4">
      <c r="A4327" s="2" t="s">
        <v>808</v>
      </c>
      <c r="B4327" s="5" t="s">
        <v>10532</v>
      </c>
      <c r="C4327" s="7" t="s">
        <v>12556</v>
      </c>
      <c r="D4327" s="8">
        <f t="shared" si="272"/>
        <v>0</v>
      </c>
      <c r="E4327" s="7" t="s">
        <v>12557</v>
      </c>
      <c r="F4327" s="7">
        <f t="shared" si="273"/>
        <v>0</v>
      </c>
      <c r="G4327" s="7" t="s">
        <v>12558</v>
      </c>
      <c r="H4327" s="7">
        <f t="shared" si="274"/>
        <v>0</v>
      </c>
      <c r="I4327" s="7" cm="1">
        <f t="array" ref="I4327">IFERROR(_xlfn.IFS(M4327="נח",1,M4327="נע ונח",1,M4327="שני שווא נח",2,M4327="שני שוואים בסוף מילה",2,M4327="שני שוואים ברצף",1),"0")</f>
        <v>1</v>
      </c>
      <c r="J4327" s="9">
        <f t="shared" si="275"/>
        <v>2</v>
      </c>
      <c r="K4327" t="s">
        <v>6697</v>
      </c>
      <c r="L4327" t="s">
        <v>6694</v>
      </c>
      <c r="M4327" t="s">
        <v>6705</v>
      </c>
      <c r="P4327" t="s">
        <v>6694</v>
      </c>
      <c r="S4327" t="s">
        <v>6694</v>
      </c>
      <c r="W4327" t="s">
        <v>6720</v>
      </c>
    </row>
    <row r="4328" spans="1:23" ht="15.6" x14ac:dyDescent="0.4">
      <c r="A4328" s="2" t="s">
        <v>1362</v>
      </c>
      <c r="B4328" s="5" t="s">
        <v>10533</v>
      </c>
      <c r="C4328" s="7" t="s">
        <v>12556</v>
      </c>
      <c r="D4328" s="8">
        <f t="shared" si="272"/>
        <v>0</v>
      </c>
      <c r="E4328" s="7" t="s">
        <v>12557</v>
      </c>
      <c r="F4328" s="7">
        <f t="shared" si="273"/>
        <v>1</v>
      </c>
      <c r="G4328" s="7" t="s">
        <v>12558</v>
      </c>
      <c r="H4328" s="7">
        <f t="shared" si="274"/>
        <v>0</v>
      </c>
      <c r="I4328" s="7" cm="1">
        <f t="array" ref="I4328">IFERROR(_xlfn.IFS(M4328="נח",1,M4328="נע ונח",1,M4328="שני שווא נח",2,M4328="שני שוואים בסוף מילה",2,M4328="שני שוואים ברצף",1),"0")</f>
        <v>1</v>
      </c>
      <c r="J4328" s="9">
        <f t="shared" si="275"/>
        <v>2</v>
      </c>
      <c r="K4328" t="s">
        <v>6697</v>
      </c>
      <c r="L4328" t="s">
        <v>6694</v>
      </c>
      <c r="M4328" t="s">
        <v>6705</v>
      </c>
      <c r="N4328" t="s">
        <v>6706</v>
      </c>
      <c r="O4328" t="s">
        <v>6694</v>
      </c>
      <c r="P4328" t="s">
        <v>6694</v>
      </c>
      <c r="W4328" t="s">
        <v>6720</v>
      </c>
    </row>
    <row r="4329" spans="1:23" ht="15.6" x14ac:dyDescent="0.4">
      <c r="A4329" s="2" t="s">
        <v>2623</v>
      </c>
      <c r="B4329" s="5" t="s">
        <v>10534</v>
      </c>
      <c r="C4329" s="7" t="s">
        <v>12556</v>
      </c>
      <c r="D4329" s="8">
        <f t="shared" si="272"/>
        <v>0</v>
      </c>
      <c r="E4329" s="7" t="s">
        <v>12557</v>
      </c>
      <c r="F4329" s="7">
        <f t="shared" si="273"/>
        <v>0</v>
      </c>
      <c r="G4329" s="7" t="s">
        <v>12558</v>
      </c>
      <c r="H4329" s="7">
        <f t="shared" si="274"/>
        <v>0</v>
      </c>
      <c r="I4329" s="7" t="str" cm="1">
        <f t="array" ref="I4329">IFERROR(_xlfn.IFS(M4329="נח",1,M4329="נע ונח",1,M4329="שני שווא נח",2,M4329="שני שוואים בסוף מילה",2,M4329="שני שוואים ברצף",1),"0")</f>
        <v>0</v>
      </c>
      <c r="J4329" s="9">
        <f t="shared" si="275"/>
        <v>3</v>
      </c>
      <c r="K4329" t="s">
        <v>6698</v>
      </c>
      <c r="L4329" t="s">
        <v>6695</v>
      </c>
      <c r="P4329" t="s">
        <v>6694</v>
      </c>
      <c r="V4329" t="s">
        <v>6694</v>
      </c>
      <c r="W4329" t="s">
        <v>6720</v>
      </c>
    </row>
    <row r="4330" spans="1:23" ht="15.6" x14ac:dyDescent="0.4">
      <c r="A4330" s="2" t="s">
        <v>6537</v>
      </c>
      <c r="B4330" s="5" t="s">
        <v>10535</v>
      </c>
      <c r="C4330" s="7" t="s">
        <v>12556</v>
      </c>
      <c r="D4330" s="8">
        <f t="shared" si="272"/>
        <v>0</v>
      </c>
      <c r="E4330" s="7" t="s">
        <v>12557</v>
      </c>
      <c r="F4330" s="7">
        <f t="shared" si="273"/>
        <v>0</v>
      </c>
      <c r="G4330" s="7" t="s">
        <v>12558</v>
      </c>
      <c r="H4330" s="7">
        <f t="shared" si="274"/>
        <v>0</v>
      </c>
      <c r="I4330" s="7" t="str" cm="1">
        <f t="array" ref="I4330">IFERROR(_xlfn.IFS(M4330="נח",1,M4330="נע ונח",1,M4330="שני שווא נח",2,M4330="שני שוואים בסוף מילה",2,M4330="שני שוואים ברצף",1),"0")</f>
        <v>0</v>
      </c>
      <c r="J4330" s="9">
        <f t="shared" si="275"/>
        <v>4</v>
      </c>
      <c r="K4330" t="s">
        <v>6697</v>
      </c>
      <c r="L4330" t="s">
        <v>6695</v>
      </c>
      <c r="O4330" t="s">
        <v>6694</v>
      </c>
      <c r="P4330" t="s">
        <v>6694</v>
      </c>
      <c r="W4330" t="s">
        <v>6720</v>
      </c>
    </row>
    <row r="4331" spans="1:23" ht="15.6" x14ac:dyDescent="0.4">
      <c r="A4331" s="2" t="s">
        <v>5745</v>
      </c>
      <c r="B4331" s="5" t="s">
        <v>10536</v>
      </c>
      <c r="C4331" s="7" t="s">
        <v>12556</v>
      </c>
      <c r="D4331" s="8">
        <f t="shared" si="272"/>
        <v>0</v>
      </c>
      <c r="E4331" s="7" t="s">
        <v>12557</v>
      </c>
      <c r="F4331" s="7">
        <f t="shared" si="273"/>
        <v>0</v>
      </c>
      <c r="G4331" s="7" t="s">
        <v>12558</v>
      </c>
      <c r="H4331" s="7">
        <f t="shared" si="274"/>
        <v>0</v>
      </c>
      <c r="I4331" s="7" t="str" cm="1">
        <f t="array" ref="I4331">IFERROR(_xlfn.IFS(M4331="נח",1,M4331="נע ונח",1,M4331="שני שווא נח",2,M4331="שני שוואים בסוף מילה",2,M4331="שני שוואים ברצף",1),"0")</f>
        <v>0</v>
      </c>
      <c r="J4331" s="9">
        <f t="shared" si="275"/>
        <v>3</v>
      </c>
      <c r="K4331" t="s">
        <v>6697</v>
      </c>
      <c r="L4331" t="s">
        <v>6695</v>
      </c>
      <c r="P4331" t="s">
        <v>6694</v>
      </c>
      <c r="V4331" t="s">
        <v>6694</v>
      </c>
      <c r="W4331" t="s">
        <v>6720</v>
      </c>
    </row>
    <row r="4332" spans="1:23" ht="15.6" x14ac:dyDescent="0.4">
      <c r="A4332" s="2" t="s">
        <v>5153</v>
      </c>
      <c r="B4332" s="5" t="s">
        <v>10537</v>
      </c>
      <c r="C4332" s="7" t="s">
        <v>12556</v>
      </c>
      <c r="D4332" s="8">
        <f t="shared" si="272"/>
        <v>0</v>
      </c>
      <c r="E4332" s="7" t="s">
        <v>12557</v>
      </c>
      <c r="F4332" s="7">
        <f t="shared" si="273"/>
        <v>0</v>
      </c>
      <c r="G4332" s="7" t="s">
        <v>12558</v>
      </c>
      <c r="H4332" s="7">
        <f t="shared" si="274"/>
        <v>0</v>
      </c>
      <c r="I4332" s="7" t="str" cm="1">
        <f t="array" ref="I4332">IFERROR(_xlfn.IFS(M4332="נח",1,M4332="נע ונח",1,M4332="שני שווא נח",2,M4332="שני שוואים בסוף מילה",2,M4332="שני שוואים ברצף",1),"0")</f>
        <v>0</v>
      </c>
      <c r="J4332" s="9">
        <f t="shared" si="275"/>
        <v>3</v>
      </c>
      <c r="K4332" t="s">
        <v>6698</v>
      </c>
      <c r="L4332" t="s">
        <v>6695</v>
      </c>
      <c r="P4332" t="s">
        <v>6694</v>
      </c>
      <c r="V4332" t="s">
        <v>6694</v>
      </c>
      <c r="W4332" t="s">
        <v>6720</v>
      </c>
    </row>
    <row r="4333" spans="1:23" ht="15.6" x14ac:dyDescent="0.4">
      <c r="A4333" s="2" t="s">
        <v>5827</v>
      </c>
      <c r="B4333" s="5" t="s">
        <v>10538</v>
      </c>
      <c r="C4333" s="7" t="s">
        <v>12556</v>
      </c>
      <c r="D4333" s="8">
        <f t="shared" si="272"/>
        <v>0</v>
      </c>
      <c r="E4333" s="7" t="s">
        <v>12557</v>
      </c>
      <c r="F4333" s="7">
        <f t="shared" si="273"/>
        <v>0</v>
      </c>
      <c r="G4333" s="7" t="s">
        <v>12558</v>
      </c>
      <c r="H4333" s="7">
        <f t="shared" si="274"/>
        <v>0</v>
      </c>
      <c r="I4333" s="7" t="str" cm="1">
        <f t="array" ref="I4333">IFERROR(_xlfn.IFS(M4333="נח",1,M4333="נע ונח",1,M4333="שני שווא נח",2,M4333="שני שוואים בסוף מילה",2,M4333="שני שוואים ברצף",1),"0")</f>
        <v>0</v>
      </c>
      <c r="J4333" s="9">
        <f t="shared" si="275"/>
        <v>5</v>
      </c>
      <c r="K4333" t="s">
        <v>6697</v>
      </c>
      <c r="L4333" t="s">
        <v>6695</v>
      </c>
      <c r="O4333" t="s">
        <v>6694</v>
      </c>
      <c r="P4333" t="s">
        <v>6694</v>
      </c>
      <c r="R4333" t="s">
        <v>6694</v>
      </c>
      <c r="S4333" t="s">
        <v>6694</v>
      </c>
      <c r="W4333" t="s">
        <v>6720</v>
      </c>
    </row>
    <row r="4334" spans="1:23" ht="15.6" x14ac:dyDescent="0.4">
      <c r="A4334" s="2" t="s">
        <v>6008</v>
      </c>
      <c r="B4334" s="5" t="s">
        <v>10539</v>
      </c>
      <c r="C4334" s="7" t="s">
        <v>12556</v>
      </c>
      <c r="D4334" s="8">
        <f t="shared" si="272"/>
        <v>0</v>
      </c>
      <c r="E4334" s="7" t="s">
        <v>12557</v>
      </c>
      <c r="F4334" s="7">
        <f t="shared" si="273"/>
        <v>0</v>
      </c>
      <c r="G4334" s="7" t="s">
        <v>12558</v>
      </c>
      <c r="H4334" s="7">
        <f t="shared" si="274"/>
        <v>0</v>
      </c>
      <c r="I4334" s="7" t="str" cm="1">
        <f t="array" ref="I4334">IFERROR(_xlfn.IFS(M4334="נח",1,M4334="נע ונח",1,M4334="שני שווא נח",2,M4334="שני שוואים בסוף מילה",2,M4334="שני שוואים ברצף",1),"0")</f>
        <v>0</v>
      </c>
      <c r="J4334" s="9">
        <f t="shared" si="275"/>
        <v>4</v>
      </c>
      <c r="K4334" t="s">
        <v>6698</v>
      </c>
      <c r="L4334" t="s">
        <v>6695</v>
      </c>
      <c r="N4334" t="s">
        <v>6706</v>
      </c>
      <c r="O4334" t="s">
        <v>6694</v>
      </c>
      <c r="P4334" t="s">
        <v>6694</v>
      </c>
      <c r="S4334" t="s">
        <v>6694</v>
      </c>
      <c r="W4334" t="s">
        <v>6720</v>
      </c>
    </row>
    <row r="4335" spans="1:23" ht="15.6" x14ac:dyDescent="0.4">
      <c r="A4335" s="2" t="s">
        <v>1711</v>
      </c>
      <c r="B4335" s="5" t="s">
        <v>10540</v>
      </c>
      <c r="C4335" s="7" t="s">
        <v>12556</v>
      </c>
      <c r="D4335" s="8">
        <f t="shared" si="272"/>
        <v>0</v>
      </c>
      <c r="E4335" s="7" t="s">
        <v>12557</v>
      </c>
      <c r="F4335" s="7">
        <f t="shared" si="273"/>
        <v>0</v>
      </c>
      <c r="G4335" s="7" t="s">
        <v>12558</v>
      </c>
      <c r="H4335" s="7">
        <f t="shared" si="274"/>
        <v>0</v>
      </c>
      <c r="I4335" s="7" t="str" cm="1">
        <f t="array" ref="I4335">IFERROR(_xlfn.IFS(M4335="נח",1,M4335="נע ונח",1,M4335="שני שווא נח",2,M4335="שני שוואים בסוף מילה",2,M4335="שני שוואים ברצף",1),"0")</f>
        <v>0</v>
      </c>
      <c r="J4335" s="9">
        <f t="shared" si="275"/>
        <v>3</v>
      </c>
      <c r="K4335" t="s">
        <v>6698</v>
      </c>
      <c r="L4335" t="s">
        <v>6695</v>
      </c>
      <c r="P4335" t="s">
        <v>6694</v>
      </c>
      <c r="V4335" t="s">
        <v>6694</v>
      </c>
      <c r="W4335" t="s">
        <v>6720</v>
      </c>
    </row>
    <row r="4336" spans="1:23" ht="15.6" x14ac:dyDescent="0.4">
      <c r="A4336" s="2" t="s">
        <v>4600</v>
      </c>
      <c r="B4336" s="5" t="s">
        <v>10541</v>
      </c>
      <c r="C4336" s="7" t="s">
        <v>12556</v>
      </c>
      <c r="D4336" s="8">
        <f t="shared" si="272"/>
        <v>0</v>
      </c>
      <c r="E4336" s="7" t="s">
        <v>12557</v>
      </c>
      <c r="F4336" s="7">
        <f t="shared" si="273"/>
        <v>0</v>
      </c>
      <c r="G4336" s="7" t="s">
        <v>12558</v>
      </c>
      <c r="H4336" s="7">
        <f t="shared" si="274"/>
        <v>0</v>
      </c>
      <c r="I4336" s="7" t="str" cm="1">
        <f t="array" ref="I4336">IFERROR(_xlfn.IFS(M4336="נח",1,M4336="נע ונח",1,M4336="שני שווא נח",2,M4336="שני שוואים בסוף מילה",2,M4336="שני שוואים ברצף",1),"0")</f>
        <v>0</v>
      </c>
      <c r="J4336" s="9">
        <f t="shared" si="275"/>
        <v>4</v>
      </c>
      <c r="K4336" t="s">
        <v>6698</v>
      </c>
      <c r="L4336" t="s">
        <v>6695</v>
      </c>
      <c r="O4336" t="s">
        <v>6694</v>
      </c>
      <c r="P4336" t="s">
        <v>6694</v>
      </c>
      <c r="V4336" t="s">
        <v>6694</v>
      </c>
      <c r="W4336" t="s">
        <v>6720</v>
      </c>
    </row>
    <row r="4337" spans="1:23" ht="15.6" x14ac:dyDescent="0.4">
      <c r="A4337" s="2" t="s">
        <v>3413</v>
      </c>
      <c r="B4337" s="5" t="s">
        <v>10542</v>
      </c>
      <c r="C4337" s="7" t="s">
        <v>12556</v>
      </c>
      <c r="D4337" s="8">
        <f t="shared" si="272"/>
        <v>0</v>
      </c>
      <c r="E4337" s="7" t="s">
        <v>12557</v>
      </c>
      <c r="F4337" s="7">
        <f t="shared" si="273"/>
        <v>0</v>
      </c>
      <c r="G4337" s="7" t="s">
        <v>12558</v>
      </c>
      <c r="H4337" s="7">
        <f t="shared" si="274"/>
        <v>0</v>
      </c>
      <c r="I4337" s="7" t="str" cm="1">
        <f t="array" ref="I4337">IFERROR(_xlfn.IFS(M4337="נח",1,M4337="נע ונח",1,M4337="שני שווא נח",2,M4337="שני שוואים בסוף מילה",2,M4337="שני שוואים ברצף",1),"0")</f>
        <v>0</v>
      </c>
      <c r="J4337" s="9">
        <f t="shared" si="275"/>
        <v>3</v>
      </c>
      <c r="K4337" t="s">
        <v>6698</v>
      </c>
      <c r="L4337" t="s">
        <v>6695</v>
      </c>
      <c r="P4337" t="s">
        <v>6694</v>
      </c>
      <c r="S4337" t="s">
        <v>6694</v>
      </c>
      <c r="V4337" t="s">
        <v>6694</v>
      </c>
      <c r="W4337" t="s">
        <v>6720</v>
      </c>
    </row>
    <row r="4338" spans="1:23" ht="15.6" x14ac:dyDescent="0.4">
      <c r="A4338" s="2" t="s">
        <v>2166</v>
      </c>
      <c r="B4338" s="5" t="s">
        <v>10543</v>
      </c>
      <c r="C4338" s="7" t="s">
        <v>12556</v>
      </c>
      <c r="D4338" s="8">
        <f t="shared" si="272"/>
        <v>0</v>
      </c>
      <c r="E4338" s="7" t="s">
        <v>12557</v>
      </c>
      <c r="F4338" s="7">
        <f t="shared" si="273"/>
        <v>1</v>
      </c>
      <c r="G4338" s="7" t="s">
        <v>12558</v>
      </c>
      <c r="H4338" s="7">
        <f t="shared" si="274"/>
        <v>1</v>
      </c>
      <c r="I4338" s="7" t="str" cm="1">
        <f t="array" ref="I4338">IFERROR(_xlfn.IFS(M4338="נח",1,M4338="נע ונח",1,M4338="שני שווא נח",2,M4338="שני שוואים בסוף מילה",2,M4338="שני שוואים ברצף",1),"0")</f>
        <v>0</v>
      </c>
      <c r="J4338" s="9">
        <f t="shared" si="275"/>
        <v>2</v>
      </c>
      <c r="K4338" t="s">
        <v>6698</v>
      </c>
      <c r="L4338" t="s">
        <v>6695</v>
      </c>
      <c r="P4338" t="s">
        <v>6694</v>
      </c>
      <c r="U4338" t="s">
        <v>6694</v>
      </c>
      <c r="W4338" t="s">
        <v>6720</v>
      </c>
    </row>
    <row r="4339" spans="1:23" ht="15.6" x14ac:dyDescent="0.4">
      <c r="A4339" s="2" t="s">
        <v>720</v>
      </c>
      <c r="B4339" s="5" t="s">
        <v>10544</v>
      </c>
      <c r="C4339" s="7" t="s">
        <v>12556</v>
      </c>
      <c r="D4339" s="8">
        <f t="shared" si="272"/>
        <v>0</v>
      </c>
      <c r="E4339" s="7" t="s">
        <v>12557</v>
      </c>
      <c r="F4339" s="7">
        <f t="shared" si="273"/>
        <v>1</v>
      </c>
      <c r="G4339" s="7" t="s">
        <v>12558</v>
      </c>
      <c r="H4339" s="7">
        <f t="shared" si="274"/>
        <v>0</v>
      </c>
      <c r="I4339" s="7" t="str" cm="1">
        <f t="array" ref="I4339">IFERROR(_xlfn.IFS(M4339="נח",1,M4339="נע ונח",1,M4339="שני שווא נח",2,M4339="שני שוואים בסוף מילה",2,M4339="שני שוואים ברצף",1),"0")</f>
        <v>0</v>
      </c>
      <c r="J4339" s="9">
        <f t="shared" si="275"/>
        <v>3</v>
      </c>
      <c r="K4339" t="s">
        <v>6698</v>
      </c>
      <c r="L4339" t="s">
        <v>6695</v>
      </c>
      <c r="O4339" t="s">
        <v>6694</v>
      </c>
      <c r="P4339" t="s">
        <v>6694</v>
      </c>
      <c r="R4339" t="s">
        <v>6694</v>
      </c>
      <c r="W4339" t="s">
        <v>6720</v>
      </c>
    </row>
    <row r="4340" spans="1:23" ht="15.6" x14ac:dyDescent="0.4">
      <c r="A4340" s="2" t="s">
        <v>2363</v>
      </c>
      <c r="B4340" s="5" t="s">
        <v>10545</v>
      </c>
      <c r="C4340" s="7" t="s">
        <v>12556</v>
      </c>
      <c r="D4340" s="8">
        <f t="shared" si="272"/>
        <v>0</v>
      </c>
      <c r="E4340" s="7" t="s">
        <v>12557</v>
      </c>
      <c r="F4340" s="7">
        <f t="shared" si="273"/>
        <v>0</v>
      </c>
      <c r="G4340" s="7" t="s">
        <v>12558</v>
      </c>
      <c r="H4340" s="7">
        <f t="shared" si="274"/>
        <v>0</v>
      </c>
      <c r="I4340" s="7" cm="1">
        <f t="array" ref="I4340">IFERROR(_xlfn.IFS(M4340="נח",1,M4340="נע ונח",1,M4340="שני שווא נח",2,M4340="שני שוואים בסוף מילה",2,M4340="שני שוואים ברצף",1),"0")</f>
        <v>1</v>
      </c>
      <c r="J4340" s="9">
        <f t="shared" si="275"/>
        <v>2</v>
      </c>
      <c r="K4340" t="s">
        <v>6697</v>
      </c>
      <c r="L4340" t="s">
        <v>6694</v>
      </c>
      <c r="M4340" t="s">
        <v>6705</v>
      </c>
      <c r="O4340" t="s">
        <v>6694</v>
      </c>
      <c r="P4340" t="s">
        <v>6694</v>
      </c>
      <c r="W4340" t="s">
        <v>6720</v>
      </c>
    </row>
    <row r="4341" spans="1:23" ht="15.6" x14ac:dyDescent="0.4">
      <c r="A4341" s="2" t="s">
        <v>1193</v>
      </c>
      <c r="B4341" s="5" t="s">
        <v>10546</v>
      </c>
      <c r="C4341" s="7" t="s">
        <v>12556</v>
      </c>
      <c r="D4341" s="8">
        <f t="shared" si="272"/>
        <v>1</v>
      </c>
      <c r="E4341" s="7" t="s">
        <v>12557</v>
      </c>
      <c r="F4341" s="7">
        <f t="shared" si="273"/>
        <v>0</v>
      </c>
      <c r="G4341" s="7" t="s">
        <v>12558</v>
      </c>
      <c r="H4341" s="7">
        <f t="shared" si="274"/>
        <v>0</v>
      </c>
      <c r="I4341" s="7" cm="1">
        <f t="array" ref="I4341">IFERROR(_xlfn.IFS(M4341="נח",1,M4341="נע ונח",1,M4341="שני שווא נח",2,M4341="שני שוואים בסוף מילה",2,M4341="שני שוואים ברצף",1),"0")</f>
        <v>1</v>
      </c>
      <c r="J4341" s="9">
        <f t="shared" si="275"/>
        <v>3</v>
      </c>
      <c r="K4341" t="s">
        <v>6698</v>
      </c>
      <c r="L4341" t="s">
        <v>6694</v>
      </c>
      <c r="M4341" t="s">
        <v>6705</v>
      </c>
      <c r="O4341" t="s">
        <v>6694</v>
      </c>
      <c r="P4341" t="s">
        <v>6694</v>
      </c>
      <c r="S4341" t="s">
        <v>6694</v>
      </c>
      <c r="W4341" t="s">
        <v>6720</v>
      </c>
    </row>
    <row r="4342" spans="1:23" ht="15.6" x14ac:dyDescent="0.4">
      <c r="A4342" s="2" t="s">
        <v>704</v>
      </c>
      <c r="B4342" s="5" t="s">
        <v>10547</v>
      </c>
      <c r="C4342" s="7" t="s">
        <v>12556</v>
      </c>
      <c r="D4342" s="8">
        <f t="shared" si="272"/>
        <v>0</v>
      </c>
      <c r="E4342" s="7" t="s">
        <v>12557</v>
      </c>
      <c r="F4342" s="7">
        <f t="shared" si="273"/>
        <v>1</v>
      </c>
      <c r="G4342" s="7" t="s">
        <v>12558</v>
      </c>
      <c r="H4342" s="7">
        <f t="shared" si="274"/>
        <v>0</v>
      </c>
      <c r="I4342" s="7" cm="1">
        <f t="array" ref="I4342">IFERROR(_xlfn.IFS(M4342="נח",1,M4342="נע ונח",1,M4342="שני שווא נח",2,M4342="שני שוואים בסוף מילה",2,M4342="שני שוואים ברצף",1),"0")</f>
        <v>1</v>
      </c>
      <c r="J4342" s="9">
        <f t="shared" si="275"/>
        <v>3</v>
      </c>
      <c r="K4342" t="s">
        <v>6698</v>
      </c>
      <c r="L4342" t="s">
        <v>6694</v>
      </c>
      <c r="M4342" t="s">
        <v>6705</v>
      </c>
      <c r="P4342" t="s">
        <v>6694</v>
      </c>
      <c r="Q4342" t="s">
        <v>6694</v>
      </c>
      <c r="S4342" t="s">
        <v>6694</v>
      </c>
      <c r="W4342" t="s">
        <v>6720</v>
      </c>
    </row>
    <row r="4343" spans="1:23" ht="15.6" x14ac:dyDescent="0.4">
      <c r="A4343" s="2" t="s">
        <v>1343</v>
      </c>
      <c r="B4343" s="5" t="s">
        <v>10548</v>
      </c>
      <c r="C4343" s="7" t="s">
        <v>12556</v>
      </c>
      <c r="D4343" s="8">
        <f t="shared" si="272"/>
        <v>0</v>
      </c>
      <c r="E4343" s="7" t="s">
        <v>12557</v>
      </c>
      <c r="F4343" s="7">
        <f t="shared" si="273"/>
        <v>1</v>
      </c>
      <c r="G4343" s="7" t="s">
        <v>12558</v>
      </c>
      <c r="H4343" s="7">
        <f t="shared" si="274"/>
        <v>0</v>
      </c>
      <c r="I4343" s="7" t="str" cm="1">
        <f t="array" ref="I4343">IFERROR(_xlfn.IFS(M4343="נח",1,M4343="נע ונח",1,M4343="שני שווא נח",2,M4343="שני שוואים בסוף מילה",2,M4343="שני שוואים ברצף",1),"0")</f>
        <v>0</v>
      </c>
      <c r="J4343" s="9">
        <f t="shared" si="275"/>
        <v>4</v>
      </c>
      <c r="K4343" t="s">
        <v>6698</v>
      </c>
      <c r="L4343" t="s">
        <v>6695</v>
      </c>
      <c r="O4343" t="s">
        <v>6694</v>
      </c>
      <c r="P4343" t="s">
        <v>6694</v>
      </c>
      <c r="S4343" t="s">
        <v>6694</v>
      </c>
      <c r="V4343" t="s">
        <v>6694</v>
      </c>
      <c r="W4343" t="s">
        <v>6720</v>
      </c>
    </row>
    <row r="4344" spans="1:23" ht="15.6" x14ac:dyDescent="0.4">
      <c r="A4344" s="2" t="s">
        <v>3133</v>
      </c>
      <c r="B4344" s="5" t="s">
        <v>10549</v>
      </c>
      <c r="C4344" s="7" t="s">
        <v>12556</v>
      </c>
      <c r="D4344" s="8">
        <f t="shared" si="272"/>
        <v>0</v>
      </c>
      <c r="E4344" s="7" t="s">
        <v>12557</v>
      </c>
      <c r="F4344" s="7">
        <f t="shared" si="273"/>
        <v>1</v>
      </c>
      <c r="G4344" s="7" t="s">
        <v>12558</v>
      </c>
      <c r="H4344" s="7">
        <f t="shared" si="274"/>
        <v>0</v>
      </c>
      <c r="I4344" s="7" cm="1">
        <f t="array" ref="I4344">IFERROR(_xlfn.IFS(M4344="נח",1,M4344="נע ונח",1,M4344="שני שווא נח",2,M4344="שני שוואים בסוף מילה",2,M4344="שני שוואים ברצף",1),"0")</f>
        <v>1</v>
      </c>
      <c r="J4344" s="9">
        <f t="shared" si="275"/>
        <v>3</v>
      </c>
      <c r="K4344" t="s">
        <v>6698</v>
      </c>
      <c r="L4344" t="s">
        <v>6694</v>
      </c>
      <c r="M4344" t="s">
        <v>6705</v>
      </c>
      <c r="P4344" t="s">
        <v>6694</v>
      </c>
      <c r="Q4344" t="s">
        <v>6694</v>
      </c>
      <c r="W4344" t="s">
        <v>6720</v>
      </c>
    </row>
    <row r="4345" spans="1:23" ht="15.6" x14ac:dyDescent="0.4">
      <c r="A4345" s="2" t="s">
        <v>3148</v>
      </c>
      <c r="B4345" s="5" t="s">
        <v>10549</v>
      </c>
      <c r="C4345" s="7" t="s">
        <v>12556</v>
      </c>
      <c r="D4345" s="8">
        <f t="shared" si="272"/>
        <v>0</v>
      </c>
      <c r="E4345" s="7" t="s">
        <v>12557</v>
      </c>
      <c r="F4345" s="7">
        <f t="shared" si="273"/>
        <v>1</v>
      </c>
      <c r="G4345" s="7" t="s">
        <v>12558</v>
      </c>
      <c r="H4345" s="7">
        <f t="shared" si="274"/>
        <v>0</v>
      </c>
      <c r="I4345" s="7" cm="1">
        <f t="array" ref="I4345">IFERROR(_xlfn.IFS(M4345="נח",1,M4345="נע ונח",1,M4345="שני שווא נח",2,M4345="שני שוואים בסוף מילה",2,M4345="שני שוואים ברצף",1),"0")</f>
        <v>1</v>
      </c>
      <c r="J4345" s="9">
        <f t="shared" si="275"/>
        <v>4</v>
      </c>
      <c r="K4345" t="s">
        <v>6697</v>
      </c>
      <c r="L4345" t="s">
        <v>6694</v>
      </c>
      <c r="M4345" t="s">
        <v>6705</v>
      </c>
      <c r="N4345" t="s">
        <v>6707</v>
      </c>
      <c r="P4345" t="s">
        <v>6694</v>
      </c>
      <c r="Q4345" t="s">
        <v>6694</v>
      </c>
      <c r="W4345" t="s">
        <v>6720</v>
      </c>
    </row>
    <row r="4346" spans="1:23" ht="15.6" x14ac:dyDescent="0.4">
      <c r="A4346" s="2" t="s">
        <v>5746</v>
      </c>
      <c r="B4346" s="5" t="s">
        <v>10550</v>
      </c>
      <c r="C4346" s="7" t="s">
        <v>12556</v>
      </c>
      <c r="D4346" s="8">
        <f t="shared" si="272"/>
        <v>0</v>
      </c>
      <c r="E4346" s="7" t="s">
        <v>12557</v>
      </c>
      <c r="F4346" s="7">
        <f t="shared" si="273"/>
        <v>0</v>
      </c>
      <c r="G4346" s="7" t="s">
        <v>12558</v>
      </c>
      <c r="H4346" s="7">
        <f t="shared" si="274"/>
        <v>0</v>
      </c>
      <c r="I4346" s="7" cm="1">
        <f t="array" ref="I4346">IFERROR(_xlfn.IFS(M4346="נח",1,M4346="נע ונח",1,M4346="שני שווא נח",2,M4346="שני שוואים בסוף מילה",2,M4346="שני שוואים ברצף",1),"0")</f>
        <v>1</v>
      </c>
      <c r="J4346" s="9">
        <f t="shared" si="275"/>
        <v>2</v>
      </c>
      <c r="K4346" t="s">
        <v>6698</v>
      </c>
      <c r="L4346" t="s">
        <v>6694</v>
      </c>
      <c r="M4346" t="s">
        <v>6705</v>
      </c>
      <c r="P4346" t="s">
        <v>6694</v>
      </c>
      <c r="V4346" t="s">
        <v>6694</v>
      </c>
      <c r="W4346" t="s">
        <v>6720</v>
      </c>
    </row>
    <row r="4347" spans="1:23" ht="15.6" x14ac:dyDescent="0.4">
      <c r="A4347" s="2" t="s">
        <v>241</v>
      </c>
      <c r="B4347" s="5" t="s">
        <v>10551</v>
      </c>
      <c r="C4347" s="7" t="s">
        <v>12556</v>
      </c>
      <c r="D4347" s="8">
        <f t="shared" si="272"/>
        <v>0</v>
      </c>
      <c r="E4347" s="7" t="s">
        <v>12557</v>
      </c>
      <c r="F4347" s="7">
        <f t="shared" si="273"/>
        <v>1</v>
      </c>
      <c r="G4347" s="7" t="s">
        <v>12558</v>
      </c>
      <c r="H4347" s="7">
        <f t="shared" si="274"/>
        <v>0</v>
      </c>
      <c r="I4347" s="7" cm="1">
        <f t="array" ref="I4347">IFERROR(_xlfn.IFS(M4347="נח",1,M4347="נע ונח",1,M4347="שני שווא נח",2,M4347="שני שוואים בסוף מילה",2,M4347="שני שוואים ברצף",1),"0")</f>
        <v>1</v>
      </c>
      <c r="J4347" s="9">
        <f t="shared" si="275"/>
        <v>3</v>
      </c>
      <c r="K4347" t="s">
        <v>6697</v>
      </c>
      <c r="L4347" t="s">
        <v>6694</v>
      </c>
      <c r="M4347" t="s">
        <v>6705</v>
      </c>
      <c r="P4347" t="s">
        <v>6694</v>
      </c>
      <c r="Q4347" t="s">
        <v>6694</v>
      </c>
      <c r="S4347" t="s">
        <v>6694</v>
      </c>
      <c r="W4347" t="s">
        <v>6720</v>
      </c>
    </row>
    <row r="4348" spans="1:23" ht="15.6" x14ac:dyDescent="0.4">
      <c r="A4348" s="2" t="s">
        <v>2936</v>
      </c>
      <c r="B4348" s="5" t="s">
        <v>10552</v>
      </c>
      <c r="C4348" s="7" t="s">
        <v>12556</v>
      </c>
      <c r="D4348" s="8">
        <f t="shared" si="272"/>
        <v>0</v>
      </c>
      <c r="E4348" s="7" t="s">
        <v>12557</v>
      </c>
      <c r="F4348" s="7">
        <f t="shared" si="273"/>
        <v>1</v>
      </c>
      <c r="G4348" s="7" t="s">
        <v>12558</v>
      </c>
      <c r="H4348" s="7">
        <f t="shared" si="274"/>
        <v>0</v>
      </c>
      <c r="I4348" s="7" cm="1">
        <f t="array" ref="I4348">IFERROR(_xlfn.IFS(M4348="נח",1,M4348="נע ונח",1,M4348="שני שווא נח",2,M4348="שני שוואים בסוף מילה",2,M4348="שני שוואים ברצף",1),"0")</f>
        <v>1</v>
      </c>
      <c r="J4348" s="9">
        <f t="shared" si="275"/>
        <v>3</v>
      </c>
      <c r="K4348" t="s">
        <v>6698</v>
      </c>
      <c r="L4348" t="s">
        <v>6694</v>
      </c>
      <c r="M4348" t="s">
        <v>6705</v>
      </c>
      <c r="O4348" t="s">
        <v>6694</v>
      </c>
      <c r="P4348" t="s">
        <v>6694</v>
      </c>
      <c r="S4348" t="s">
        <v>6694</v>
      </c>
      <c r="W4348" t="s">
        <v>6720</v>
      </c>
    </row>
    <row r="4349" spans="1:23" ht="15.6" x14ac:dyDescent="0.4">
      <c r="A4349" s="2" t="s">
        <v>2049</v>
      </c>
      <c r="B4349" s="5" t="s">
        <v>10553</v>
      </c>
      <c r="C4349" s="7" t="s">
        <v>12556</v>
      </c>
      <c r="D4349" s="8">
        <f t="shared" si="272"/>
        <v>0</v>
      </c>
      <c r="E4349" s="7" t="s">
        <v>12557</v>
      </c>
      <c r="F4349" s="7">
        <f t="shared" si="273"/>
        <v>1</v>
      </c>
      <c r="G4349" s="7" t="s">
        <v>12558</v>
      </c>
      <c r="H4349" s="7">
        <f t="shared" si="274"/>
        <v>0</v>
      </c>
      <c r="I4349" s="7" cm="1">
        <f t="array" ref="I4349">IFERROR(_xlfn.IFS(M4349="נח",1,M4349="נע ונח",1,M4349="שני שווא נח",2,M4349="שני שוואים בסוף מילה",2,M4349="שני שוואים ברצף",1),"0")</f>
        <v>1</v>
      </c>
      <c r="J4349" s="9">
        <f t="shared" si="275"/>
        <v>4</v>
      </c>
      <c r="K4349" t="s">
        <v>6697</v>
      </c>
      <c r="L4349" t="s">
        <v>6694</v>
      </c>
      <c r="M4349" t="s">
        <v>6705</v>
      </c>
      <c r="O4349" t="s">
        <v>6694</v>
      </c>
      <c r="P4349" t="s">
        <v>6694</v>
      </c>
      <c r="S4349" t="s">
        <v>6694</v>
      </c>
      <c r="W4349" t="s">
        <v>6720</v>
      </c>
    </row>
    <row r="4350" spans="1:23" ht="15.6" x14ac:dyDescent="0.4">
      <c r="A4350" s="2" t="s">
        <v>2394</v>
      </c>
      <c r="B4350" s="5" t="s">
        <v>10554</v>
      </c>
      <c r="C4350" s="7" t="s">
        <v>12556</v>
      </c>
      <c r="D4350" s="8">
        <f t="shared" si="272"/>
        <v>1</v>
      </c>
      <c r="E4350" s="7" t="s">
        <v>12557</v>
      </c>
      <c r="F4350" s="7">
        <f t="shared" si="273"/>
        <v>2</v>
      </c>
      <c r="G4350" s="7" t="s">
        <v>12558</v>
      </c>
      <c r="H4350" s="7">
        <f t="shared" si="274"/>
        <v>0</v>
      </c>
      <c r="I4350" s="7" cm="1">
        <f t="array" ref="I4350">IFERROR(_xlfn.IFS(M4350="נח",1,M4350="נע ונח",1,M4350="שני שווא נח",2,M4350="שני שוואים בסוף מילה",2,M4350="שני שוואים ברצף",1),"0")</f>
        <v>1</v>
      </c>
      <c r="J4350" s="9">
        <f t="shared" si="275"/>
        <v>3</v>
      </c>
      <c r="K4350" t="s">
        <v>6698</v>
      </c>
      <c r="L4350" t="s">
        <v>6694</v>
      </c>
      <c r="M4350" t="s">
        <v>6705</v>
      </c>
      <c r="N4350" t="s">
        <v>6706</v>
      </c>
      <c r="O4350" t="s">
        <v>6694</v>
      </c>
      <c r="P4350" t="s">
        <v>6694</v>
      </c>
      <c r="S4350" t="s">
        <v>6694</v>
      </c>
      <c r="W4350" t="s">
        <v>6720</v>
      </c>
    </row>
    <row r="4351" spans="1:23" ht="15.6" x14ac:dyDescent="0.4">
      <c r="A4351" s="2" t="s">
        <v>3742</v>
      </c>
      <c r="B4351" s="5" t="s">
        <v>10339</v>
      </c>
      <c r="C4351" s="7" t="s">
        <v>12556</v>
      </c>
      <c r="D4351" s="8">
        <f t="shared" si="272"/>
        <v>0</v>
      </c>
      <c r="E4351" s="7" t="s">
        <v>12557</v>
      </c>
      <c r="F4351" s="7">
        <f t="shared" si="273"/>
        <v>1</v>
      </c>
      <c r="G4351" s="7" t="s">
        <v>12558</v>
      </c>
      <c r="H4351" s="7">
        <f t="shared" si="274"/>
        <v>0</v>
      </c>
      <c r="I4351" s="7" cm="1">
        <f t="array" ref="I4351">IFERROR(_xlfn.IFS(M4351="נח",1,M4351="נע ונח",1,M4351="שני שווא נח",2,M4351="שני שוואים בסוף מילה",2,M4351="שני שוואים ברצף",1),"0")</f>
        <v>1</v>
      </c>
      <c r="J4351" s="9">
        <f t="shared" si="275"/>
        <v>3</v>
      </c>
      <c r="K4351" t="s">
        <v>6698</v>
      </c>
      <c r="L4351" t="s">
        <v>6694</v>
      </c>
      <c r="M4351" t="s">
        <v>6705</v>
      </c>
      <c r="P4351" t="s">
        <v>6694</v>
      </c>
      <c r="R4351" t="s">
        <v>6694</v>
      </c>
      <c r="W4351" t="s">
        <v>6720</v>
      </c>
    </row>
    <row r="4352" spans="1:23" ht="15.6" x14ac:dyDescent="0.4">
      <c r="A4352" s="2" t="s">
        <v>2001</v>
      </c>
      <c r="B4352" s="5" t="s">
        <v>10555</v>
      </c>
      <c r="C4352" s="7" t="s">
        <v>12556</v>
      </c>
      <c r="D4352" s="8">
        <f t="shared" si="272"/>
        <v>0</v>
      </c>
      <c r="E4352" s="7" t="s">
        <v>12557</v>
      </c>
      <c r="F4352" s="7">
        <f t="shared" si="273"/>
        <v>1</v>
      </c>
      <c r="G4352" s="7" t="s">
        <v>12558</v>
      </c>
      <c r="H4352" s="7">
        <f t="shared" si="274"/>
        <v>0</v>
      </c>
      <c r="I4352" s="7" cm="1">
        <f t="array" ref="I4352">IFERROR(_xlfn.IFS(M4352="נח",1,M4352="נע ונח",1,M4352="שני שווא נח",2,M4352="שני שוואים בסוף מילה",2,M4352="שני שוואים ברצף",1),"0")</f>
        <v>1</v>
      </c>
      <c r="J4352" s="9">
        <f t="shared" si="275"/>
        <v>3</v>
      </c>
      <c r="K4352" t="s">
        <v>6698</v>
      </c>
      <c r="L4352" t="s">
        <v>6694</v>
      </c>
      <c r="M4352" t="s">
        <v>6705</v>
      </c>
      <c r="N4352" t="s">
        <v>6706</v>
      </c>
      <c r="O4352" t="s">
        <v>6694</v>
      </c>
      <c r="P4352" t="s">
        <v>6694</v>
      </c>
      <c r="R4352" t="s">
        <v>6694</v>
      </c>
      <c r="W4352" t="s">
        <v>6720</v>
      </c>
    </row>
    <row r="4353" spans="1:23" ht="15.6" x14ac:dyDescent="0.4">
      <c r="A4353" s="2" t="s">
        <v>5251</v>
      </c>
      <c r="B4353" s="5" t="s">
        <v>10556</v>
      </c>
      <c r="C4353" s="7" t="s">
        <v>12556</v>
      </c>
      <c r="D4353" s="8">
        <f t="shared" si="272"/>
        <v>0</v>
      </c>
      <c r="E4353" s="7" t="s">
        <v>12557</v>
      </c>
      <c r="F4353" s="7">
        <f t="shared" si="273"/>
        <v>3</v>
      </c>
      <c r="G4353" s="7" t="s">
        <v>12558</v>
      </c>
      <c r="H4353" s="7">
        <f t="shared" si="274"/>
        <v>1</v>
      </c>
      <c r="I4353" s="7" t="str" cm="1">
        <f t="array" ref="I4353">IFERROR(_xlfn.IFS(M4353="נח",1,M4353="נע ונח",1,M4353="שני שווא נח",2,M4353="שני שוואים בסוף מילה",2,M4353="שני שוואים ברצף",1),"0")</f>
        <v>0</v>
      </c>
      <c r="J4353" s="9">
        <f t="shared" si="275"/>
        <v>3</v>
      </c>
      <c r="K4353" t="s">
        <v>6698</v>
      </c>
      <c r="L4353" t="s">
        <v>6695</v>
      </c>
      <c r="P4353" t="s">
        <v>6694</v>
      </c>
      <c r="U4353" t="s">
        <v>6694</v>
      </c>
      <c r="W4353" t="s">
        <v>6720</v>
      </c>
    </row>
    <row r="4354" spans="1:23" ht="15.6" x14ac:dyDescent="0.4">
      <c r="A4354" s="2" t="s">
        <v>4548</v>
      </c>
      <c r="B4354" s="5" t="s">
        <v>10557</v>
      </c>
      <c r="C4354" s="7" t="s">
        <v>12556</v>
      </c>
      <c r="D4354" s="8">
        <f t="shared" si="272"/>
        <v>0</v>
      </c>
      <c r="E4354" s="7" t="s">
        <v>12557</v>
      </c>
      <c r="F4354" s="7">
        <f t="shared" si="273"/>
        <v>1</v>
      </c>
      <c r="G4354" s="7" t="s">
        <v>12558</v>
      </c>
      <c r="H4354" s="7">
        <f t="shared" si="274"/>
        <v>0</v>
      </c>
      <c r="I4354" s="7" t="str" cm="1">
        <f t="array" ref="I4354">IFERROR(_xlfn.IFS(M4354="נח",1,M4354="נע ונח",1,M4354="שני שווא נח",2,M4354="שני שוואים בסוף מילה",2,M4354="שני שוואים ברצף",1),"0")</f>
        <v>0</v>
      </c>
      <c r="J4354" s="9">
        <f t="shared" si="275"/>
        <v>3</v>
      </c>
      <c r="K4354" t="s">
        <v>6698</v>
      </c>
      <c r="L4354" t="s">
        <v>6695</v>
      </c>
      <c r="O4354" t="s">
        <v>6694</v>
      </c>
      <c r="P4354" t="s">
        <v>6694</v>
      </c>
      <c r="R4354" t="s">
        <v>6694</v>
      </c>
      <c r="W4354" t="s">
        <v>6720</v>
      </c>
    </row>
    <row r="4355" spans="1:23" ht="15.6" x14ac:dyDescent="0.4">
      <c r="A4355" s="2" t="s">
        <v>1253</v>
      </c>
      <c r="B4355" s="5" t="s">
        <v>10558</v>
      </c>
      <c r="C4355" s="7" t="s">
        <v>12556</v>
      </c>
      <c r="D4355" s="8">
        <f t="shared" ref="D4355:D4418" si="276">(LEN(B4355)-LEN(SUBSTITUTE(B4355,C4355,"")))</f>
        <v>0</v>
      </c>
      <c r="E4355" s="7" t="s">
        <v>12557</v>
      </c>
      <c r="F4355" s="7">
        <f t="shared" ref="F4355:F4418" si="277">(LEN(A4355)-LEN(SUBSTITUTE(A4355,E4355,"")))</f>
        <v>1</v>
      </c>
      <c r="G4355" s="7" t="s">
        <v>12558</v>
      </c>
      <c r="H4355" s="7">
        <f t="shared" ref="H4355:H4418" si="278">(LEN(A4355)-LEN(SUBSTITUTE(A4355,G4355,"")))/2</f>
        <v>0</v>
      </c>
      <c r="I4355" s="7" t="str" cm="1">
        <f t="array" ref="I4355">IFERROR(_xlfn.IFS(M4355="נח",1,M4355="נע ונח",1,M4355="שני שווא נח",2,M4355="שני שוואים בסוף מילה",2,M4355="שני שוואים ברצף",1),"0")</f>
        <v>0</v>
      </c>
      <c r="J4355" s="9">
        <f t="shared" ref="J4355:J4418" si="279">LEN(A4355)-(LEN(B4355))-D4355-F4355+H4355-I4355</f>
        <v>3</v>
      </c>
      <c r="K4355" t="s">
        <v>6698</v>
      </c>
      <c r="L4355" t="s">
        <v>6695</v>
      </c>
      <c r="N4355" t="s">
        <v>6706</v>
      </c>
      <c r="O4355" t="s">
        <v>6694</v>
      </c>
      <c r="P4355" t="s">
        <v>6694</v>
      </c>
      <c r="W4355" t="s">
        <v>6720</v>
      </c>
    </row>
    <row r="4356" spans="1:23" ht="15.6" x14ac:dyDescent="0.4">
      <c r="A4356" s="2" t="s">
        <v>4535</v>
      </c>
      <c r="B4356" s="5" t="s">
        <v>10559</v>
      </c>
      <c r="C4356" s="7" t="s">
        <v>12556</v>
      </c>
      <c r="D4356" s="8">
        <f t="shared" si="276"/>
        <v>0</v>
      </c>
      <c r="E4356" s="7" t="s">
        <v>12557</v>
      </c>
      <c r="F4356" s="7">
        <f t="shared" si="277"/>
        <v>1</v>
      </c>
      <c r="G4356" s="7" t="s">
        <v>12558</v>
      </c>
      <c r="H4356" s="7">
        <f t="shared" si="278"/>
        <v>0</v>
      </c>
      <c r="I4356" s="7" t="str" cm="1">
        <f t="array" ref="I4356">IFERROR(_xlfn.IFS(M4356="נח",1,M4356="נע ונח",1,M4356="שני שווא נח",2,M4356="שני שוואים בסוף מילה",2,M4356="שני שוואים ברצף",1),"0")</f>
        <v>0</v>
      </c>
      <c r="J4356" s="9">
        <f t="shared" si="279"/>
        <v>3</v>
      </c>
      <c r="K4356" t="s">
        <v>6698</v>
      </c>
      <c r="L4356" t="s">
        <v>6695</v>
      </c>
      <c r="O4356" t="s">
        <v>6694</v>
      </c>
      <c r="P4356" t="s">
        <v>6694</v>
      </c>
      <c r="V4356" t="s">
        <v>6694</v>
      </c>
      <c r="W4356" t="s">
        <v>6720</v>
      </c>
    </row>
    <row r="4357" spans="1:23" ht="15.6" x14ac:dyDescent="0.4">
      <c r="A4357" s="2" t="s">
        <v>4433</v>
      </c>
      <c r="B4357" s="5" t="s">
        <v>10560</v>
      </c>
      <c r="C4357" s="7" t="s">
        <v>12556</v>
      </c>
      <c r="D4357" s="8">
        <f t="shared" si="276"/>
        <v>0</v>
      </c>
      <c r="E4357" s="7" t="s">
        <v>12557</v>
      </c>
      <c r="F4357" s="7">
        <f t="shared" si="277"/>
        <v>1</v>
      </c>
      <c r="G4357" s="7" t="s">
        <v>12558</v>
      </c>
      <c r="H4357" s="7">
        <f t="shared" si="278"/>
        <v>0</v>
      </c>
      <c r="I4357" s="7" t="str" cm="1">
        <f t="array" ref="I4357">IFERROR(_xlfn.IFS(M4357="נח",1,M4357="נע ונח",1,M4357="שני שווא נח",2,M4357="שני שוואים בסוף מילה",2,M4357="שני שוואים ברצף",1),"0")</f>
        <v>0</v>
      </c>
      <c r="J4357" s="9">
        <f t="shared" si="279"/>
        <v>2</v>
      </c>
      <c r="K4357" t="s">
        <v>6698</v>
      </c>
      <c r="L4357" t="s">
        <v>6695</v>
      </c>
      <c r="P4357" t="s">
        <v>6694</v>
      </c>
      <c r="V4357" t="s">
        <v>6694</v>
      </c>
      <c r="W4357" t="s">
        <v>6720</v>
      </c>
    </row>
    <row r="4358" spans="1:23" ht="15.6" x14ac:dyDescent="0.4">
      <c r="A4358" s="2" t="s">
        <v>6512</v>
      </c>
      <c r="B4358" s="5" t="s">
        <v>10561</v>
      </c>
      <c r="C4358" s="7" t="s">
        <v>12556</v>
      </c>
      <c r="D4358" s="8">
        <f t="shared" si="276"/>
        <v>0</v>
      </c>
      <c r="E4358" s="7" t="s">
        <v>12557</v>
      </c>
      <c r="F4358" s="7">
        <f t="shared" si="277"/>
        <v>1</v>
      </c>
      <c r="G4358" s="7" t="s">
        <v>12558</v>
      </c>
      <c r="H4358" s="7">
        <f t="shared" si="278"/>
        <v>0</v>
      </c>
      <c r="I4358" s="7" t="str" cm="1">
        <f t="array" ref="I4358">IFERROR(_xlfn.IFS(M4358="נח",1,M4358="נע ונח",1,M4358="שני שווא נח",2,M4358="שני שוואים בסוף מילה",2,M4358="שני שוואים ברצף",1),"0")</f>
        <v>0</v>
      </c>
      <c r="J4358" s="9">
        <f t="shared" si="279"/>
        <v>3</v>
      </c>
      <c r="K4358" t="s">
        <v>6697</v>
      </c>
      <c r="L4358" t="s">
        <v>6695</v>
      </c>
      <c r="O4358" t="s">
        <v>6694</v>
      </c>
      <c r="P4358" t="s">
        <v>6694</v>
      </c>
      <c r="V4358" t="s">
        <v>6694</v>
      </c>
      <c r="W4358" t="s">
        <v>6720</v>
      </c>
    </row>
    <row r="4359" spans="1:23" ht="15.6" x14ac:dyDescent="0.4">
      <c r="A4359" s="2" t="s">
        <v>683</v>
      </c>
      <c r="B4359" s="5" t="s">
        <v>10562</v>
      </c>
      <c r="C4359" s="7" t="s">
        <v>12556</v>
      </c>
      <c r="D4359" s="8">
        <f t="shared" si="276"/>
        <v>0</v>
      </c>
      <c r="E4359" s="7" t="s">
        <v>12557</v>
      </c>
      <c r="F4359" s="7">
        <f t="shared" si="277"/>
        <v>0</v>
      </c>
      <c r="G4359" s="7" t="s">
        <v>12558</v>
      </c>
      <c r="H4359" s="7">
        <f t="shared" si="278"/>
        <v>0</v>
      </c>
      <c r="I4359" s="7" t="str" cm="1">
        <f t="array" ref="I4359">IFERROR(_xlfn.IFS(M4359="נח",1,M4359="נע ונח",1,M4359="שני שווא נח",2,M4359="שני שוואים בסוף מילה",2,M4359="שני שוואים ברצף",1),"0")</f>
        <v>0</v>
      </c>
      <c r="J4359" s="9">
        <f t="shared" si="279"/>
        <v>4</v>
      </c>
      <c r="K4359" t="s">
        <v>6698</v>
      </c>
      <c r="L4359" t="s">
        <v>6695</v>
      </c>
      <c r="P4359" t="s">
        <v>6694</v>
      </c>
      <c r="V4359" t="s">
        <v>6694</v>
      </c>
      <c r="W4359" t="s">
        <v>6720</v>
      </c>
    </row>
    <row r="4360" spans="1:23" ht="15.6" x14ac:dyDescent="0.4">
      <c r="A4360" s="2" t="s">
        <v>2079</v>
      </c>
      <c r="B4360" s="5" t="s">
        <v>10563</v>
      </c>
      <c r="C4360" s="7" t="s">
        <v>12556</v>
      </c>
      <c r="D4360" s="8">
        <f t="shared" si="276"/>
        <v>0</v>
      </c>
      <c r="E4360" s="7" t="s">
        <v>12557</v>
      </c>
      <c r="F4360" s="7">
        <f t="shared" si="277"/>
        <v>0</v>
      </c>
      <c r="G4360" s="7" t="s">
        <v>12558</v>
      </c>
      <c r="H4360" s="7">
        <f t="shared" si="278"/>
        <v>0</v>
      </c>
      <c r="I4360" s="7" t="str" cm="1">
        <f t="array" ref="I4360">IFERROR(_xlfn.IFS(M4360="נח",1,M4360="נע ונח",1,M4360="שני שווא נח",2,M4360="שני שוואים בסוף מילה",2,M4360="שני שוואים ברצף",1),"0")</f>
        <v>0</v>
      </c>
      <c r="J4360" s="9">
        <f t="shared" si="279"/>
        <v>3</v>
      </c>
      <c r="K4360" t="s">
        <v>6698</v>
      </c>
      <c r="L4360" t="s">
        <v>6695</v>
      </c>
      <c r="P4360" t="s">
        <v>6694</v>
      </c>
      <c r="Q4360" t="s">
        <v>6694</v>
      </c>
      <c r="W4360" t="s">
        <v>6720</v>
      </c>
    </row>
    <row r="4361" spans="1:23" ht="15.6" x14ac:dyDescent="0.4">
      <c r="A4361" s="2" t="s">
        <v>909</v>
      </c>
      <c r="B4361" s="5" t="s">
        <v>10564</v>
      </c>
      <c r="C4361" s="7" t="s">
        <v>12556</v>
      </c>
      <c r="D4361" s="8">
        <f t="shared" si="276"/>
        <v>0</v>
      </c>
      <c r="E4361" s="7" t="s">
        <v>12557</v>
      </c>
      <c r="F4361" s="7">
        <f t="shared" si="277"/>
        <v>0</v>
      </c>
      <c r="G4361" s="7" t="s">
        <v>12558</v>
      </c>
      <c r="H4361" s="7">
        <f t="shared" si="278"/>
        <v>0</v>
      </c>
      <c r="I4361" s="7" t="str" cm="1">
        <f t="array" ref="I4361">IFERROR(_xlfn.IFS(M4361="נח",1,M4361="נע ונח",1,M4361="שני שווא נח",2,M4361="שני שוואים בסוף מילה",2,M4361="שני שוואים ברצף",1),"0")</f>
        <v>0</v>
      </c>
      <c r="J4361" s="9">
        <f t="shared" si="279"/>
        <v>4</v>
      </c>
      <c r="K4361" t="s">
        <v>6697</v>
      </c>
      <c r="L4361" t="s">
        <v>6695</v>
      </c>
      <c r="P4361" t="s">
        <v>6694</v>
      </c>
      <c r="S4361" t="s">
        <v>6694</v>
      </c>
      <c r="V4361" t="s">
        <v>6694</v>
      </c>
      <c r="W4361" t="s">
        <v>6720</v>
      </c>
    </row>
    <row r="4362" spans="1:23" ht="15.6" x14ac:dyDescent="0.4">
      <c r="A4362" s="2" t="s">
        <v>4311</v>
      </c>
      <c r="B4362" s="5" t="s">
        <v>10565</v>
      </c>
      <c r="C4362" s="7" t="s">
        <v>12556</v>
      </c>
      <c r="D4362" s="8">
        <f t="shared" si="276"/>
        <v>0</v>
      </c>
      <c r="E4362" s="7" t="s">
        <v>12557</v>
      </c>
      <c r="F4362" s="7">
        <f t="shared" si="277"/>
        <v>0</v>
      </c>
      <c r="G4362" s="7" t="s">
        <v>12558</v>
      </c>
      <c r="H4362" s="7">
        <f t="shared" si="278"/>
        <v>0</v>
      </c>
      <c r="I4362" s="7" t="str" cm="1">
        <f t="array" ref="I4362">IFERROR(_xlfn.IFS(M4362="נח",1,M4362="נע ונח",1,M4362="שני שווא נח",2,M4362="שני שוואים בסוף מילה",2,M4362="שני שוואים ברצף",1),"0")</f>
        <v>0</v>
      </c>
      <c r="J4362" s="9">
        <f t="shared" si="279"/>
        <v>3</v>
      </c>
      <c r="K4362" t="s">
        <v>6698</v>
      </c>
      <c r="L4362" t="s">
        <v>6695</v>
      </c>
      <c r="P4362" t="s">
        <v>6694</v>
      </c>
      <c r="V4362" t="s">
        <v>6694</v>
      </c>
      <c r="W4362" t="s">
        <v>6720</v>
      </c>
    </row>
    <row r="4363" spans="1:23" ht="15.6" x14ac:dyDescent="0.4">
      <c r="A4363" s="2" t="s">
        <v>6071</v>
      </c>
      <c r="B4363" s="5" t="s">
        <v>10566</v>
      </c>
      <c r="C4363" s="7" t="s">
        <v>12556</v>
      </c>
      <c r="D4363" s="8">
        <f t="shared" si="276"/>
        <v>0</v>
      </c>
      <c r="E4363" s="7" t="s">
        <v>12557</v>
      </c>
      <c r="F4363" s="7">
        <f t="shared" si="277"/>
        <v>0</v>
      </c>
      <c r="G4363" s="7" t="s">
        <v>12558</v>
      </c>
      <c r="H4363" s="7">
        <f t="shared" si="278"/>
        <v>0</v>
      </c>
      <c r="I4363" s="7" t="str" cm="1">
        <f t="array" ref="I4363">IFERROR(_xlfn.IFS(M4363="נח",1,M4363="נע ונח",1,M4363="שני שווא נח",2,M4363="שני שוואים בסוף מילה",2,M4363="שני שוואים ברצף",1),"0")</f>
        <v>0</v>
      </c>
      <c r="J4363" s="9">
        <f t="shared" si="279"/>
        <v>4</v>
      </c>
      <c r="K4363" t="s">
        <v>6697</v>
      </c>
      <c r="L4363" t="s">
        <v>6695</v>
      </c>
      <c r="O4363" t="s">
        <v>6694</v>
      </c>
      <c r="P4363" t="s">
        <v>6694</v>
      </c>
      <c r="V4363" t="s">
        <v>6694</v>
      </c>
      <c r="W4363" t="s">
        <v>6720</v>
      </c>
    </row>
    <row r="4364" spans="1:23" ht="15.6" x14ac:dyDescent="0.4">
      <c r="A4364" s="2" t="s">
        <v>5751</v>
      </c>
      <c r="B4364" s="5" t="s">
        <v>10567</v>
      </c>
      <c r="C4364" s="7" t="s">
        <v>12556</v>
      </c>
      <c r="D4364" s="8">
        <f t="shared" si="276"/>
        <v>0</v>
      </c>
      <c r="E4364" s="7" t="s">
        <v>12557</v>
      </c>
      <c r="F4364" s="7">
        <f t="shared" si="277"/>
        <v>0</v>
      </c>
      <c r="G4364" s="7" t="s">
        <v>12558</v>
      </c>
      <c r="H4364" s="7">
        <f t="shared" si="278"/>
        <v>0</v>
      </c>
      <c r="I4364" s="7" cm="1">
        <f t="array" ref="I4364">IFERROR(_xlfn.IFS(M4364="נח",1,M4364="נע ונח",1,M4364="שני שווא נח",2,M4364="שני שוואים בסוף מילה",2,M4364="שני שוואים ברצף",1),"0")</f>
        <v>1</v>
      </c>
      <c r="J4364" s="9">
        <f t="shared" si="279"/>
        <v>3</v>
      </c>
      <c r="K4364" t="s">
        <v>6698</v>
      </c>
      <c r="L4364" t="s">
        <v>6694</v>
      </c>
      <c r="M4364" t="s">
        <v>6705</v>
      </c>
      <c r="P4364" t="s">
        <v>6694</v>
      </c>
      <c r="V4364" t="s">
        <v>6694</v>
      </c>
      <c r="W4364" t="s">
        <v>6720</v>
      </c>
    </row>
    <row r="4365" spans="1:23" ht="15.6" x14ac:dyDescent="0.4">
      <c r="A4365" s="2" t="s">
        <v>5177</v>
      </c>
      <c r="B4365" s="5" t="s">
        <v>10568</v>
      </c>
      <c r="C4365" s="7" t="s">
        <v>12556</v>
      </c>
      <c r="D4365" s="8">
        <f t="shared" si="276"/>
        <v>0</v>
      </c>
      <c r="E4365" s="7" t="s">
        <v>12557</v>
      </c>
      <c r="F4365" s="7">
        <f t="shared" si="277"/>
        <v>0</v>
      </c>
      <c r="G4365" s="7" t="s">
        <v>12558</v>
      </c>
      <c r="H4365" s="7">
        <f t="shared" si="278"/>
        <v>0</v>
      </c>
      <c r="I4365" s="7" t="str" cm="1">
        <f t="array" ref="I4365">IFERROR(_xlfn.IFS(M4365="נח",1,M4365="נע ונח",1,M4365="שני שווא נח",2,M4365="שני שוואים בסוף מילה",2,M4365="שני שוואים ברצף",1),"0")</f>
        <v>0</v>
      </c>
      <c r="J4365" s="9">
        <f t="shared" si="279"/>
        <v>3</v>
      </c>
      <c r="K4365" t="s">
        <v>6698</v>
      </c>
      <c r="L4365" t="s">
        <v>6695</v>
      </c>
      <c r="P4365" t="s">
        <v>6694</v>
      </c>
      <c r="V4365" t="s">
        <v>6694</v>
      </c>
      <c r="W4365" t="s">
        <v>6720</v>
      </c>
    </row>
    <row r="4366" spans="1:23" ht="15.6" x14ac:dyDescent="0.4">
      <c r="A4366" s="2" t="s">
        <v>1463</v>
      </c>
      <c r="B4366" s="5" t="s">
        <v>10569</v>
      </c>
      <c r="C4366" s="7" t="s">
        <v>12556</v>
      </c>
      <c r="D4366" s="8">
        <f t="shared" si="276"/>
        <v>1</v>
      </c>
      <c r="E4366" s="7" t="s">
        <v>12557</v>
      </c>
      <c r="F4366" s="7">
        <f t="shared" si="277"/>
        <v>0</v>
      </c>
      <c r="G4366" s="7" t="s">
        <v>12558</v>
      </c>
      <c r="H4366" s="7">
        <f t="shared" si="278"/>
        <v>0</v>
      </c>
      <c r="I4366" s="7" t="str" cm="1">
        <f t="array" ref="I4366">IFERROR(_xlfn.IFS(M4366="נח",1,M4366="נע ונח",1,M4366="שני שווא נח",2,M4366="שני שוואים בסוף מילה",2,M4366="שני שוואים ברצף",1),"0")</f>
        <v>0</v>
      </c>
      <c r="J4366" s="9">
        <f t="shared" si="279"/>
        <v>3</v>
      </c>
      <c r="K4366" t="s">
        <v>6698</v>
      </c>
      <c r="L4366" t="s">
        <v>6695</v>
      </c>
      <c r="P4366" t="s">
        <v>6694</v>
      </c>
      <c r="V4366" t="s">
        <v>6694</v>
      </c>
      <c r="W4366" t="s">
        <v>6720</v>
      </c>
    </row>
    <row r="4367" spans="1:23" ht="15.6" x14ac:dyDescent="0.4">
      <c r="A4367" s="2" t="s">
        <v>6283</v>
      </c>
      <c r="B4367" s="5" t="s">
        <v>10570</v>
      </c>
      <c r="C4367" s="7" t="s">
        <v>12556</v>
      </c>
      <c r="D4367" s="8">
        <f t="shared" si="276"/>
        <v>1</v>
      </c>
      <c r="E4367" s="7" t="s">
        <v>12557</v>
      </c>
      <c r="F4367" s="7">
        <f t="shared" si="277"/>
        <v>0</v>
      </c>
      <c r="G4367" s="7" t="s">
        <v>12558</v>
      </c>
      <c r="H4367" s="7">
        <f t="shared" si="278"/>
        <v>0</v>
      </c>
      <c r="I4367" s="7" t="str" cm="1">
        <f t="array" ref="I4367">IFERROR(_xlfn.IFS(M4367="נח",1,M4367="נע ונח",1,M4367="שני שווא נח",2,M4367="שני שוואים בסוף מילה",2,M4367="שני שוואים ברצף",1),"0")</f>
        <v>0</v>
      </c>
      <c r="J4367" s="9">
        <f t="shared" si="279"/>
        <v>4</v>
      </c>
      <c r="K4367" t="s">
        <v>6698</v>
      </c>
      <c r="L4367" t="s">
        <v>6695</v>
      </c>
      <c r="N4367" t="s">
        <v>6706</v>
      </c>
      <c r="O4367" t="s">
        <v>6694</v>
      </c>
      <c r="P4367" t="s">
        <v>6694</v>
      </c>
      <c r="V4367" t="s">
        <v>6694</v>
      </c>
      <c r="W4367" t="s">
        <v>6720</v>
      </c>
    </row>
    <row r="4368" spans="1:23" ht="15.6" x14ac:dyDescent="0.4">
      <c r="A4368" s="2" t="s">
        <v>3641</v>
      </c>
      <c r="B4368" s="5" t="s">
        <v>10571</v>
      </c>
      <c r="C4368" s="7" t="s">
        <v>12556</v>
      </c>
      <c r="D4368" s="8">
        <f t="shared" si="276"/>
        <v>0</v>
      </c>
      <c r="E4368" s="7" t="s">
        <v>12557</v>
      </c>
      <c r="F4368" s="7">
        <f t="shared" si="277"/>
        <v>0</v>
      </c>
      <c r="G4368" s="7" t="s">
        <v>12558</v>
      </c>
      <c r="H4368" s="7">
        <f t="shared" si="278"/>
        <v>0</v>
      </c>
      <c r="I4368" s="7" t="str" cm="1">
        <f t="array" ref="I4368">IFERROR(_xlfn.IFS(M4368="נח",1,M4368="נע ונח",1,M4368="שני שווא נח",2,M4368="שני שוואים בסוף מילה",2,M4368="שני שוואים ברצף",1),"0")</f>
        <v>0</v>
      </c>
      <c r="J4368" s="9">
        <f t="shared" si="279"/>
        <v>2</v>
      </c>
      <c r="K4368" t="s">
        <v>6698</v>
      </c>
      <c r="L4368" t="s">
        <v>6695</v>
      </c>
      <c r="P4368" t="s">
        <v>6694</v>
      </c>
      <c r="W4368" t="s">
        <v>6720</v>
      </c>
    </row>
    <row r="4369" spans="1:23" ht="15.6" x14ac:dyDescent="0.4">
      <c r="A4369" s="2" t="s">
        <v>2223</v>
      </c>
      <c r="B4369" s="5" t="s">
        <v>10572</v>
      </c>
      <c r="C4369" s="7" t="s">
        <v>12556</v>
      </c>
      <c r="D4369" s="8">
        <f t="shared" si="276"/>
        <v>0</v>
      </c>
      <c r="E4369" s="7" t="s">
        <v>12557</v>
      </c>
      <c r="F4369" s="7">
        <f t="shared" si="277"/>
        <v>2</v>
      </c>
      <c r="G4369" s="7" t="s">
        <v>12558</v>
      </c>
      <c r="H4369" s="7">
        <f t="shared" si="278"/>
        <v>0</v>
      </c>
      <c r="I4369" s="7" t="str" cm="1">
        <f t="array" ref="I4369">IFERROR(_xlfn.IFS(M4369="נח",1,M4369="נע ונח",1,M4369="שני שווא נח",2,M4369="שני שוואים בסוף מילה",2,M4369="שני שוואים ברצף",1),"0")</f>
        <v>0</v>
      </c>
      <c r="J4369" s="9">
        <f t="shared" si="279"/>
        <v>3</v>
      </c>
      <c r="K4369" t="s">
        <v>6698</v>
      </c>
      <c r="L4369" t="s">
        <v>6695</v>
      </c>
      <c r="P4369" t="s">
        <v>6694</v>
      </c>
      <c r="S4369" t="s">
        <v>6694</v>
      </c>
      <c r="W4369" t="s">
        <v>6720</v>
      </c>
    </row>
    <row r="4370" spans="1:23" ht="15.6" x14ac:dyDescent="0.4">
      <c r="A4370" s="2" t="s">
        <v>2911</v>
      </c>
      <c r="B4370" s="5" t="s">
        <v>10573</v>
      </c>
      <c r="C4370" s="7" t="s">
        <v>12556</v>
      </c>
      <c r="D4370" s="8">
        <f t="shared" si="276"/>
        <v>0</v>
      </c>
      <c r="E4370" s="7" t="s">
        <v>12557</v>
      </c>
      <c r="F4370" s="7">
        <f t="shared" si="277"/>
        <v>0</v>
      </c>
      <c r="G4370" s="7" t="s">
        <v>12558</v>
      </c>
      <c r="H4370" s="7">
        <f t="shared" si="278"/>
        <v>0</v>
      </c>
      <c r="I4370" s="7" cm="1">
        <f t="array" ref="I4370">IFERROR(_xlfn.IFS(M4370="נח",1,M4370="נע ונח",1,M4370="שני שווא נח",2,M4370="שני שוואים בסוף מילה",2,M4370="שני שוואים ברצף",1),"0")</f>
        <v>1</v>
      </c>
      <c r="J4370" s="9">
        <f t="shared" si="279"/>
        <v>2</v>
      </c>
      <c r="K4370" t="s">
        <v>6698</v>
      </c>
      <c r="L4370" t="s">
        <v>6694</v>
      </c>
      <c r="M4370" t="s">
        <v>6705</v>
      </c>
      <c r="N4370" t="s">
        <v>6706</v>
      </c>
      <c r="O4370" t="s">
        <v>6694</v>
      </c>
      <c r="P4370" t="s">
        <v>6694</v>
      </c>
      <c r="W4370" t="s">
        <v>6720</v>
      </c>
    </row>
    <row r="4371" spans="1:23" ht="15.6" x14ac:dyDescent="0.4">
      <c r="A4371" s="2" t="s">
        <v>6035</v>
      </c>
      <c r="B4371" s="5" t="s">
        <v>10574</v>
      </c>
      <c r="C4371" s="7" t="s">
        <v>12556</v>
      </c>
      <c r="D4371" s="8">
        <f t="shared" si="276"/>
        <v>1</v>
      </c>
      <c r="E4371" s="7" t="s">
        <v>12557</v>
      </c>
      <c r="F4371" s="7">
        <f t="shared" si="277"/>
        <v>1</v>
      </c>
      <c r="G4371" s="7" t="s">
        <v>12558</v>
      </c>
      <c r="H4371" s="7">
        <f t="shared" si="278"/>
        <v>0</v>
      </c>
      <c r="I4371" s="7" cm="1">
        <f t="array" ref="I4371">IFERROR(_xlfn.IFS(M4371="נח",1,M4371="נע ונח",1,M4371="שני שווא נח",2,M4371="שני שוואים בסוף מילה",2,M4371="שני שוואים ברצף",1),"0")</f>
        <v>1</v>
      </c>
      <c r="J4371" s="9">
        <f t="shared" si="279"/>
        <v>3</v>
      </c>
      <c r="K4371" t="s">
        <v>6698</v>
      </c>
      <c r="L4371" t="s">
        <v>6694</v>
      </c>
      <c r="M4371" t="s">
        <v>6705</v>
      </c>
      <c r="P4371" t="s">
        <v>6694</v>
      </c>
      <c r="S4371" t="s">
        <v>6694</v>
      </c>
      <c r="W4371" t="s">
        <v>6720</v>
      </c>
    </row>
    <row r="4372" spans="1:23" ht="15.6" x14ac:dyDescent="0.4">
      <c r="A4372" s="2" t="s">
        <v>3263</v>
      </c>
      <c r="B4372" s="5" t="s">
        <v>10575</v>
      </c>
      <c r="C4372" s="7" t="s">
        <v>12556</v>
      </c>
      <c r="D4372" s="8">
        <f t="shared" si="276"/>
        <v>2</v>
      </c>
      <c r="E4372" s="7" t="s">
        <v>12557</v>
      </c>
      <c r="F4372" s="7">
        <f t="shared" si="277"/>
        <v>1</v>
      </c>
      <c r="G4372" s="7" t="s">
        <v>12558</v>
      </c>
      <c r="H4372" s="7">
        <f t="shared" si="278"/>
        <v>0</v>
      </c>
      <c r="I4372" s="7" t="str" cm="1">
        <f t="array" ref="I4372">IFERROR(_xlfn.IFS(M4372="נח",1,M4372="נע ונח",1,M4372="שני שווא נח",2,M4372="שני שוואים בסוף מילה",2,M4372="שני שוואים ברצף",1),"0")</f>
        <v>0</v>
      </c>
      <c r="J4372" s="9">
        <f t="shared" si="279"/>
        <v>3</v>
      </c>
      <c r="K4372" t="s">
        <v>6698</v>
      </c>
      <c r="L4372" t="s">
        <v>6695</v>
      </c>
      <c r="P4372" t="s">
        <v>6694</v>
      </c>
      <c r="R4372" t="s">
        <v>6694</v>
      </c>
      <c r="W4372" t="s">
        <v>6720</v>
      </c>
    </row>
    <row r="4373" spans="1:23" ht="15.6" x14ac:dyDescent="0.4">
      <c r="A4373" s="2" t="s">
        <v>2570</v>
      </c>
      <c r="B4373" s="5" t="s">
        <v>10576</v>
      </c>
      <c r="C4373" s="7" t="s">
        <v>12556</v>
      </c>
      <c r="D4373" s="8">
        <f t="shared" si="276"/>
        <v>1</v>
      </c>
      <c r="E4373" s="7" t="s">
        <v>12557</v>
      </c>
      <c r="F4373" s="7">
        <f t="shared" si="277"/>
        <v>1</v>
      </c>
      <c r="G4373" s="7" t="s">
        <v>12558</v>
      </c>
      <c r="H4373" s="7">
        <f t="shared" si="278"/>
        <v>0</v>
      </c>
      <c r="I4373" s="7" cm="1">
        <f t="array" ref="I4373">IFERROR(_xlfn.IFS(M4373="נח",1,M4373="נע ונח",1,M4373="שני שווא נח",2,M4373="שני שוואים בסוף מילה",2,M4373="שני שוואים ברצף",1),"0")</f>
        <v>1</v>
      </c>
      <c r="J4373" s="9">
        <f t="shared" si="279"/>
        <v>2</v>
      </c>
      <c r="K4373" t="s">
        <v>6697</v>
      </c>
      <c r="L4373" t="s">
        <v>6694</v>
      </c>
      <c r="M4373" t="s">
        <v>6705</v>
      </c>
      <c r="N4373" t="s">
        <v>6706</v>
      </c>
      <c r="O4373" t="s">
        <v>6694</v>
      </c>
      <c r="P4373" t="s">
        <v>6694</v>
      </c>
      <c r="W4373" t="s">
        <v>6720</v>
      </c>
    </row>
    <row r="4374" spans="1:23" ht="15.6" x14ac:dyDescent="0.4">
      <c r="A4374" s="2" t="s">
        <v>4104</v>
      </c>
      <c r="B4374" s="5" t="s">
        <v>10241</v>
      </c>
      <c r="C4374" s="7" t="s">
        <v>12556</v>
      </c>
      <c r="D4374" s="8">
        <f t="shared" si="276"/>
        <v>0</v>
      </c>
      <c r="E4374" s="7" t="s">
        <v>12557</v>
      </c>
      <c r="F4374" s="7">
        <f t="shared" si="277"/>
        <v>0</v>
      </c>
      <c r="G4374" s="7" t="s">
        <v>12558</v>
      </c>
      <c r="H4374" s="7">
        <f t="shared" si="278"/>
        <v>0</v>
      </c>
      <c r="I4374" s="7" t="str" cm="1">
        <f t="array" ref="I4374">IFERROR(_xlfn.IFS(M4374="נח",1,M4374="נע ונח",1,M4374="שני שווא נח",2,M4374="שני שוואים בסוף מילה",2,M4374="שני שוואים ברצף",1),"0")</f>
        <v>0</v>
      </c>
      <c r="J4374" s="9">
        <f t="shared" si="279"/>
        <v>2</v>
      </c>
      <c r="K4374" t="s">
        <v>6698</v>
      </c>
      <c r="L4374" t="s">
        <v>6695</v>
      </c>
      <c r="O4374" t="s">
        <v>6694</v>
      </c>
      <c r="Q4374" t="s">
        <v>6694</v>
      </c>
      <c r="W4374" t="s">
        <v>6720</v>
      </c>
    </row>
    <row r="4375" spans="1:23" ht="15.6" x14ac:dyDescent="0.4">
      <c r="A4375" s="2" t="s">
        <v>1206</v>
      </c>
      <c r="B4375" s="5" t="s">
        <v>10577</v>
      </c>
      <c r="C4375" s="7" t="s">
        <v>12556</v>
      </c>
      <c r="D4375" s="8">
        <f t="shared" si="276"/>
        <v>0</v>
      </c>
      <c r="E4375" s="7" t="s">
        <v>12557</v>
      </c>
      <c r="F4375" s="7">
        <f t="shared" si="277"/>
        <v>0</v>
      </c>
      <c r="G4375" s="7" t="s">
        <v>12558</v>
      </c>
      <c r="H4375" s="7">
        <f t="shared" si="278"/>
        <v>0</v>
      </c>
      <c r="I4375" s="7" cm="1">
        <f t="array" ref="I4375">IFERROR(_xlfn.IFS(M4375="נח",1,M4375="נע ונח",1,M4375="שני שווא נח",2,M4375="שני שוואים בסוף מילה",2,M4375="שני שוואים ברצף",1),"0")</f>
        <v>1</v>
      </c>
      <c r="J4375" s="9">
        <f t="shared" si="279"/>
        <v>4</v>
      </c>
      <c r="K4375" t="s">
        <v>6698</v>
      </c>
      <c r="L4375" t="s">
        <v>6694</v>
      </c>
      <c r="M4375" t="s">
        <v>6705</v>
      </c>
      <c r="O4375" t="s">
        <v>6694</v>
      </c>
      <c r="R4375" t="s">
        <v>6694</v>
      </c>
      <c r="S4375" t="s">
        <v>6694</v>
      </c>
      <c r="V4375" t="s">
        <v>6694</v>
      </c>
      <c r="W4375" t="s">
        <v>6720</v>
      </c>
    </row>
    <row r="4376" spans="1:23" ht="15.6" x14ac:dyDescent="0.4">
      <c r="A4376" s="2" t="s">
        <v>1357</v>
      </c>
      <c r="B4376" s="5" t="s">
        <v>10578</v>
      </c>
      <c r="C4376" s="7" t="s">
        <v>12556</v>
      </c>
      <c r="D4376" s="8">
        <f t="shared" si="276"/>
        <v>0</v>
      </c>
      <c r="E4376" s="7" t="s">
        <v>12557</v>
      </c>
      <c r="F4376" s="7">
        <f t="shared" si="277"/>
        <v>0</v>
      </c>
      <c r="G4376" s="7" t="s">
        <v>12558</v>
      </c>
      <c r="H4376" s="7">
        <f t="shared" si="278"/>
        <v>0</v>
      </c>
      <c r="I4376" s="7" t="str" cm="1">
        <f t="array" ref="I4376">IFERROR(_xlfn.IFS(M4376="נח",1,M4376="נע ונח",1,M4376="שני שווא נח",2,M4376="שני שוואים בסוף מילה",2,M4376="שני שוואים ברצף",1),"0")</f>
        <v>0</v>
      </c>
      <c r="J4376" s="9">
        <f t="shared" si="279"/>
        <v>3</v>
      </c>
      <c r="K4376" t="s">
        <v>6698</v>
      </c>
      <c r="L4376" t="s">
        <v>6695</v>
      </c>
      <c r="O4376" t="s">
        <v>6694</v>
      </c>
      <c r="R4376" t="s">
        <v>6694</v>
      </c>
      <c r="W4376" t="s">
        <v>6720</v>
      </c>
    </row>
    <row r="4377" spans="1:23" ht="15.6" x14ac:dyDescent="0.4">
      <c r="A4377" s="2" t="s">
        <v>4409</v>
      </c>
      <c r="B4377" s="5" t="s">
        <v>10579</v>
      </c>
      <c r="C4377" s="7" t="s">
        <v>12556</v>
      </c>
      <c r="D4377" s="8">
        <f t="shared" si="276"/>
        <v>1</v>
      </c>
      <c r="E4377" s="7" t="s">
        <v>12557</v>
      </c>
      <c r="F4377" s="7">
        <f t="shared" si="277"/>
        <v>1</v>
      </c>
      <c r="G4377" s="7" t="s">
        <v>12558</v>
      </c>
      <c r="H4377" s="7">
        <f t="shared" si="278"/>
        <v>1</v>
      </c>
      <c r="I4377" s="7" cm="1">
        <f t="array" ref="I4377">IFERROR(_xlfn.IFS(M4377="נח",1,M4377="נע ונח",1,M4377="שני שווא נח",2,M4377="שני שוואים בסוף מילה",2,M4377="שני שוואים ברצף",1),"0")</f>
        <v>1</v>
      </c>
      <c r="J4377" s="9">
        <f t="shared" si="279"/>
        <v>2</v>
      </c>
      <c r="K4377" t="s">
        <v>6697</v>
      </c>
      <c r="L4377" t="s">
        <v>6694</v>
      </c>
      <c r="M4377" t="s">
        <v>6705</v>
      </c>
      <c r="N4377" t="s">
        <v>6706</v>
      </c>
      <c r="O4377" t="s">
        <v>6694</v>
      </c>
      <c r="U4377" t="s">
        <v>6694</v>
      </c>
      <c r="W4377" t="s">
        <v>6720</v>
      </c>
    </row>
    <row r="4378" spans="1:23" ht="15.6" x14ac:dyDescent="0.4">
      <c r="A4378" s="2" t="s">
        <v>2178</v>
      </c>
      <c r="B4378" s="5" t="s">
        <v>10580</v>
      </c>
      <c r="C4378" s="7" t="s">
        <v>12556</v>
      </c>
      <c r="D4378" s="8">
        <f t="shared" si="276"/>
        <v>1</v>
      </c>
      <c r="E4378" s="7" t="s">
        <v>12557</v>
      </c>
      <c r="F4378" s="7">
        <f t="shared" si="277"/>
        <v>0</v>
      </c>
      <c r="G4378" s="7" t="s">
        <v>12558</v>
      </c>
      <c r="H4378" s="7">
        <f t="shared" si="278"/>
        <v>0</v>
      </c>
      <c r="I4378" s="7" t="str" cm="1">
        <f t="array" ref="I4378">IFERROR(_xlfn.IFS(M4378="נח",1,M4378="נע ונח",1,M4378="שני שווא נח",2,M4378="שני שוואים בסוף מילה",2,M4378="שני שוואים ברצף",1),"0")</f>
        <v>0</v>
      </c>
      <c r="J4378" s="9">
        <f t="shared" si="279"/>
        <v>2</v>
      </c>
      <c r="K4378" t="s">
        <v>6698</v>
      </c>
      <c r="L4378" t="s">
        <v>6695</v>
      </c>
      <c r="O4378" t="s">
        <v>6694</v>
      </c>
      <c r="Q4378" t="s">
        <v>6694</v>
      </c>
      <c r="W4378" t="s">
        <v>6720</v>
      </c>
    </row>
    <row r="4379" spans="1:23" ht="15.6" x14ac:dyDescent="0.4">
      <c r="A4379" s="2" t="s">
        <v>6306</v>
      </c>
      <c r="B4379" s="5" t="s">
        <v>10581</v>
      </c>
      <c r="C4379" s="7" t="s">
        <v>12556</v>
      </c>
      <c r="D4379" s="8">
        <f t="shared" si="276"/>
        <v>0</v>
      </c>
      <c r="E4379" s="7" t="s">
        <v>12557</v>
      </c>
      <c r="F4379" s="7">
        <f t="shared" si="277"/>
        <v>0</v>
      </c>
      <c r="G4379" s="7" t="s">
        <v>12558</v>
      </c>
      <c r="H4379" s="7">
        <f t="shared" si="278"/>
        <v>0</v>
      </c>
      <c r="I4379" s="7" t="str" cm="1">
        <f t="array" ref="I4379">IFERROR(_xlfn.IFS(M4379="נח",1,M4379="נע ונח",1,M4379="שני שווא נח",2,M4379="שני שוואים בסוף מילה",2,M4379="שני שוואים ברצף",1),"0")</f>
        <v>0</v>
      </c>
      <c r="J4379" s="9">
        <f t="shared" si="279"/>
        <v>3</v>
      </c>
      <c r="K4379" t="s">
        <v>6698</v>
      </c>
      <c r="L4379" t="s">
        <v>6695</v>
      </c>
      <c r="O4379" t="s">
        <v>6694</v>
      </c>
      <c r="P4379" t="s">
        <v>6694</v>
      </c>
      <c r="R4379" t="s">
        <v>6694</v>
      </c>
      <c r="W4379" t="s">
        <v>6720</v>
      </c>
    </row>
    <row r="4380" spans="1:23" ht="15.6" x14ac:dyDescent="0.4">
      <c r="A4380" s="2" t="s">
        <v>6027</v>
      </c>
      <c r="B4380" s="5" t="s">
        <v>10582</v>
      </c>
      <c r="C4380" s="7" t="s">
        <v>12556</v>
      </c>
      <c r="D4380" s="8">
        <f t="shared" si="276"/>
        <v>1</v>
      </c>
      <c r="E4380" s="7" t="s">
        <v>12557</v>
      </c>
      <c r="F4380" s="7">
        <f t="shared" si="277"/>
        <v>1</v>
      </c>
      <c r="G4380" s="7" t="s">
        <v>12558</v>
      </c>
      <c r="H4380" s="7">
        <f t="shared" si="278"/>
        <v>0</v>
      </c>
      <c r="I4380" s="7" cm="1">
        <f t="array" ref="I4380">IFERROR(_xlfn.IFS(M4380="נח",1,M4380="נע ונח",1,M4380="שני שווא נח",2,M4380="שני שוואים בסוף מילה",2,M4380="שני שוואים ברצף",1),"0")</f>
        <v>1</v>
      </c>
      <c r="J4380" s="9">
        <f t="shared" si="279"/>
        <v>3</v>
      </c>
      <c r="K4380" t="s">
        <v>6698</v>
      </c>
      <c r="L4380" t="s">
        <v>6694</v>
      </c>
      <c r="M4380" t="s">
        <v>6705</v>
      </c>
      <c r="O4380" t="s">
        <v>6694</v>
      </c>
      <c r="W4380" t="s">
        <v>6720</v>
      </c>
    </row>
    <row r="4381" spans="1:23" ht="15.6" x14ac:dyDescent="0.4">
      <c r="A4381" s="2" t="s">
        <v>460</v>
      </c>
      <c r="B4381" s="5" t="s">
        <v>10583</v>
      </c>
      <c r="C4381" s="7" t="s">
        <v>12556</v>
      </c>
      <c r="D4381" s="8">
        <f t="shared" si="276"/>
        <v>0</v>
      </c>
      <c r="E4381" s="7" t="s">
        <v>12557</v>
      </c>
      <c r="F4381" s="7">
        <f t="shared" si="277"/>
        <v>0</v>
      </c>
      <c r="G4381" s="7" t="s">
        <v>12558</v>
      </c>
      <c r="H4381" s="7">
        <f t="shared" si="278"/>
        <v>0</v>
      </c>
      <c r="I4381" s="7" t="str" cm="1">
        <f t="array" ref="I4381">IFERROR(_xlfn.IFS(M4381="נח",1,M4381="נע ונח",1,M4381="שני שווא נח",2,M4381="שני שוואים בסוף מילה",2,M4381="שני שוואים ברצף",1),"0")</f>
        <v>0</v>
      </c>
      <c r="J4381" s="9">
        <f t="shared" si="279"/>
        <v>2</v>
      </c>
      <c r="K4381" t="s">
        <v>6697</v>
      </c>
      <c r="L4381" t="s">
        <v>6695</v>
      </c>
      <c r="O4381" t="s">
        <v>6694</v>
      </c>
      <c r="V4381" t="s">
        <v>6694</v>
      </c>
      <c r="W4381" t="s">
        <v>6720</v>
      </c>
    </row>
    <row r="4382" spans="1:23" ht="15.6" x14ac:dyDescent="0.4">
      <c r="A4382" s="2" t="s">
        <v>5298</v>
      </c>
      <c r="B4382" s="5" t="s">
        <v>10584</v>
      </c>
      <c r="C4382" s="7" t="s">
        <v>12556</v>
      </c>
      <c r="D4382" s="8">
        <f t="shared" si="276"/>
        <v>0</v>
      </c>
      <c r="E4382" s="7" t="s">
        <v>12557</v>
      </c>
      <c r="F4382" s="7">
        <f t="shared" si="277"/>
        <v>0</v>
      </c>
      <c r="G4382" s="7" t="s">
        <v>12558</v>
      </c>
      <c r="H4382" s="7">
        <f t="shared" si="278"/>
        <v>0</v>
      </c>
      <c r="I4382" s="7" t="str" cm="1">
        <f t="array" ref="I4382">IFERROR(_xlfn.IFS(M4382="נח",1,M4382="נע ונח",1,M4382="שני שווא נח",2,M4382="שני שוואים בסוף מילה",2,M4382="שני שוואים ברצף",1),"0")</f>
        <v>0</v>
      </c>
      <c r="J4382" s="9">
        <f t="shared" si="279"/>
        <v>2</v>
      </c>
      <c r="K4382" t="s">
        <v>6698</v>
      </c>
      <c r="L4382" t="s">
        <v>6695</v>
      </c>
      <c r="O4382" t="s">
        <v>6694</v>
      </c>
      <c r="S4382" t="s">
        <v>6694</v>
      </c>
      <c r="W4382" t="s">
        <v>6720</v>
      </c>
    </row>
    <row r="4383" spans="1:23" ht="15.6" x14ac:dyDescent="0.4">
      <c r="A4383" s="2" t="s">
        <v>3139</v>
      </c>
      <c r="B4383" s="5" t="s">
        <v>10585</v>
      </c>
      <c r="C4383" s="7" t="s">
        <v>12556</v>
      </c>
      <c r="D4383" s="8">
        <f t="shared" si="276"/>
        <v>0</v>
      </c>
      <c r="E4383" s="7" t="s">
        <v>12557</v>
      </c>
      <c r="F4383" s="7">
        <f t="shared" si="277"/>
        <v>0</v>
      </c>
      <c r="G4383" s="7" t="s">
        <v>12558</v>
      </c>
      <c r="H4383" s="7">
        <f t="shared" si="278"/>
        <v>0</v>
      </c>
      <c r="I4383" s="7" t="str" cm="1">
        <f t="array" ref="I4383">IFERROR(_xlfn.IFS(M4383="נח",1,M4383="נע ונח",1,M4383="שני שווא נח",2,M4383="שני שוואים בסוף מילה",2,M4383="שני שוואים ברצף",1),"0")</f>
        <v>0</v>
      </c>
      <c r="J4383" s="9">
        <f t="shared" si="279"/>
        <v>3</v>
      </c>
      <c r="K4383" t="s">
        <v>6698</v>
      </c>
      <c r="L4383" t="s">
        <v>6695</v>
      </c>
      <c r="O4383" t="s">
        <v>6694</v>
      </c>
      <c r="P4383" t="s">
        <v>6694</v>
      </c>
      <c r="W4383" t="s">
        <v>6720</v>
      </c>
    </row>
    <row r="4384" spans="1:23" ht="15.6" x14ac:dyDescent="0.4">
      <c r="A4384" s="2" t="s">
        <v>752</v>
      </c>
      <c r="B4384" s="5" t="s">
        <v>10586</v>
      </c>
      <c r="C4384" s="7" t="s">
        <v>12556</v>
      </c>
      <c r="D4384" s="8">
        <f t="shared" si="276"/>
        <v>0</v>
      </c>
      <c r="E4384" s="7" t="s">
        <v>12557</v>
      </c>
      <c r="F4384" s="7">
        <f t="shared" si="277"/>
        <v>0</v>
      </c>
      <c r="G4384" s="7" t="s">
        <v>12558</v>
      </c>
      <c r="H4384" s="7">
        <f t="shared" si="278"/>
        <v>0</v>
      </c>
      <c r="I4384" s="7" t="str" cm="1">
        <f t="array" ref="I4384">IFERROR(_xlfn.IFS(M4384="נח",1,M4384="נע ונח",1,M4384="שני שווא נח",2,M4384="שני שוואים בסוף מילה",2,M4384="שני שוואים ברצף",1),"0")</f>
        <v>0</v>
      </c>
      <c r="J4384" s="9">
        <f t="shared" si="279"/>
        <v>2</v>
      </c>
      <c r="K4384" t="s">
        <v>6698</v>
      </c>
      <c r="L4384" t="s">
        <v>6695</v>
      </c>
      <c r="O4384" t="s">
        <v>6694</v>
      </c>
      <c r="R4384" t="s">
        <v>6694</v>
      </c>
      <c r="W4384" t="s">
        <v>6720</v>
      </c>
    </row>
    <row r="4385" spans="1:23" ht="15.6" x14ac:dyDescent="0.4">
      <c r="A4385" s="2" t="s">
        <v>4892</v>
      </c>
      <c r="B4385" s="5" t="s">
        <v>10587</v>
      </c>
      <c r="C4385" s="7" t="s">
        <v>12556</v>
      </c>
      <c r="D4385" s="8">
        <f t="shared" si="276"/>
        <v>0</v>
      </c>
      <c r="E4385" s="7" t="s">
        <v>12557</v>
      </c>
      <c r="F4385" s="7">
        <f t="shared" si="277"/>
        <v>1</v>
      </c>
      <c r="G4385" s="7" t="s">
        <v>12558</v>
      </c>
      <c r="H4385" s="7">
        <f t="shared" si="278"/>
        <v>0</v>
      </c>
      <c r="I4385" s="7" t="str" cm="1">
        <f t="array" ref="I4385">IFERROR(_xlfn.IFS(M4385="נח",1,M4385="נע ונח",1,M4385="שני שווא נח",2,M4385="שני שוואים בסוף מילה",2,M4385="שני שוואים ברצף",1),"0")</f>
        <v>0</v>
      </c>
      <c r="J4385" s="9">
        <f t="shared" si="279"/>
        <v>1</v>
      </c>
      <c r="K4385" t="s">
        <v>6697</v>
      </c>
      <c r="L4385" t="s">
        <v>6695</v>
      </c>
      <c r="N4385" t="s">
        <v>6706</v>
      </c>
      <c r="O4385" t="s">
        <v>6694</v>
      </c>
      <c r="W4385" t="s">
        <v>6720</v>
      </c>
    </row>
    <row r="4386" spans="1:23" ht="15.6" x14ac:dyDescent="0.4">
      <c r="A4386" s="2" t="s">
        <v>6245</v>
      </c>
      <c r="B4386" s="5" t="s">
        <v>10312</v>
      </c>
      <c r="C4386" s="7" t="s">
        <v>12556</v>
      </c>
      <c r="D4386" s="8">
        <f t="shared" si="276"/>
        <v>0</v>
      </c>
      <c r="E4386" s="7" t="s">
        <v>12557</v>
      </c>
      <c r="F4386" s="7">
        <f t="shared" si="277"/>
        <v>0</v>
      </c>
      <c r="G4386" s="7" t="s">
        <v>12558</v>
      </c>
      <c r="H4386" s="7">
        <f t="shared" si="278"/>
        <v>0</v>
      </c>
      <c r="I4386" s="7" t="str" cm="1">
        <f t="array" ref="I4386">IFERROR(_xlfn.IFS(M4386="נח",1,M4386="נע ונח",1,M4386="שני שווא נח",2,M4386="שני שוואים בסוף מילה",2,M4386="שני שוואים ברצף",1),"0")</f>
        <v>0</v>
      </c>
      <c r="J4386" s="9">
        <f t="shared" si="279"/>
        <v>2</v>
      </c>
      <c r="K4386" t="s">
        <v>6698</v>
      </c>
      <c r="L4386" t="s">
        <v>6695</v>
      </c>
      <c r="O4386" t="s">
        <v>6694</v>
      </c>
      <c r="R4386" t="s">
        <v>6694</v>
      </c>
      <c r="W4386" t="s">
        <v>6720</v>
      </c>
    </row>
    <row r="4387" spans="1:23" ht="15.6" x14ac:dyDescent="0.4">
      <c r="A4387" s="2" t="s">
        <v>715</v>
      </c>
      <c r="B4387" s="5" t="s">
        <v>10545</v>
      </c>
      <c r="C4387" s="7" t="s">
        <v>12556</v>
      </c>
      <c r="D4387" s="8">
        <f t="shared" si="276"/>
        <v>0</v>
      </c>
      <c r="E4387" s="7" t="s">
        <v>12557</v>
      </c>
      <c r="F4387" s="7">
        <f t="shared" si="277"/>
        <v>0</v>
      </c>
      <c r="G4387" s="7" t="s">
        <v>12558</v>
      </c>
      <c r="H4387" s="7">
        <f t="shared" si="278"/>
        <v>0</v>
      </c>
      <c r="I4387" s="7" cm="1">
        <f t="array" ref="I4387">IFERROR(_xlfn.IFS(M4387="נח",1,M4387="נע ונח",1,M4387="שני שווא נח",2,M4387="שני שוואים בסוף מילה",2,M4387="שני שוואים ברצף",1),"0")</f>
        <v>1</v>
      </c>
      <c r="J4387" s="9">
        <f t="shared" si="279"/>
        <v>2</v>
      </c>
      <c r="K4387" t="s">
        <v>6697</v>
      </c>
      <c r="L4387" t="s">
        <v>6694</v>
      </c>
      <c r="M4387" t="s">
        <v>6705</v>
      </c>
      <c r="N4387" t="s">
        <v>6706</v>
      </c>
      <c r="O4387" t="s">
        <v>6694</v>
      </c>
      <c r="W4387" t="s">
        <v>6720</v>
      </c>
    </row>
    <row r="4388" spans="1:23" ht="15.6" x14ac:dyDescent="0.4">
      <c r="A4388" s="2" t="s">
        <v>2308</v>
      </c>
      <c r="B4388" s="5" t="s">
        <v>10328</v>
      </c>
      <c r="C4388" s="7" t="s">
        <v>12556</v>
      </c>
      <c r="D4388" s="8">
        <f t="shared" si="276"/>
        <v>0</v>
      </c>
      <c r="E4388" s="7" t="s">
        <v>12557</v>
      </c>
      <c r="F4388" s="7">
        <f t="shared" si="277"/>
        <v>0</v>
      </c>
      <c r="G4388" s="7" t="s">
        <v>12558</v>
      </c>
      <c r="H4388" s="7">
        <f t="shared" si="278"/>
        <v>0</v>
      </c>
      <c r="I4388" s="7" cm="1">
        <f t="array" ref="I4388">IFERROR(_xlfn.IFS(M4388="נח",1,M4388="נע ונח",1,M4388="שני שווא נח",2,M4388="שני שוואים בסוף מילה",2,M4388="שני שוואים ברצף",1),"0")</f>
        <v>1</v>
      </c>
      <c r="J4388" s="9">
        <f t="shared" si="279"/>
        <v>1</v>
      </c>
      <c r="K4388" t="s">
        <v>6698</v>
      </c>
      <c r="L4388" t="s">
        <v>6694</v>
      </c>
      <c r="M4388" t="s">
        <v>6705</v>
      </c>
      <c r="N4388" t="s">
        <v>6706</v>
      </c>
      <c r="O4388" t="s">
        <v>6694</v>
      </c>
      <c r="W4388" t="s">
        <v>6720</v>
      </c>
    </row>
    <row r="4389" spans="1:23" ht="15.6" x14ac:dyDescent="0.4">
      <c r="A4389" s="2" t="s">
        <v>3054</v>
      </c>
      <c r="B4389" s="5" t="s">
        <v>10588</v>
      </c>
      <c r="C4389" s="7" t="s">
        <v>12556</v>
      </c>
      <c r="D4389" s="8">
        <f t="shared" si="276"/>
        <v>0</v>
      </c>
      <c r="E4389" s="7" t="s">
        <v>12557</v>
      </c>
      <c r="F4389" s="7">
        <f t="shared" si="277"/>
        <v>0</v>
      </c>
      <c r="G4389" s="7" t="s">
        <v>12558</v>
      </c>
      <c r="H4389" s="7">
        <f t="shared" si="278"/>
        <v>0</v>
      </c>
      <c r="I4389" s="7" t="str" cm="1">
        <f t="array" ref="I4389">IFERROR(_xlfn.IFS(M4389="נח",1,M4389="נע ונח",1,M4389="שני שווא נח",2,M4389="שני שוואים בסוף מילה",2,M4389="שני שוואים ברצף",1),"0")</f>
        <v>0</v>
      </c>
      <c r="J4389" s="9">
        <f t="shared" si="279"/>
        <v>2</v>
      </c>
      <c r="K4389" t="s">
        <v>6698</v>
      </c>
      <c r="L4389" t="s">
        <v>6695</v>
      </c>
      <c r="O4389" t="s">
        <v>6694</v>
      </c>
      <c r="Q4389" t="s">
        <v>6694</v>
      </c>
      <c r="W4389" t="s">
        <v>6720</v>
      </c>
    </row>
    <row r="4390" spans="1:23" ht="15.6" x14ac:dyDescent="0.4">
      <c r="A4390" s="2" t="s">
        <v>1534</v>
      </c>
      <c r="B4390" s="5" t="s">
        <v>10589</v>
      </c>
      <c r="C4390" s="7" t="s">
        <v>12556</v>
      </c>
      <c r="D4390" s="8">
        <f t="shared" si="276"/>
        <v>0</v>
      </c>
      <c r="E4390" s="7" t="s">
        <v>12557</v>
      </c>
      <c r="F4390" s="7">
        <f t="shared" si="277"/>
        <v>0</v>
      </c>
      <c r="G4390" s="7" t="s">
        <v>12558</v>
      </c>
      <c r="H4390" s="7">
        <f t="shared" si="278"/>
        <v>0</v>
      </c>
      <c r="I4390" s="7" t="str" cm="1">
        <f t="array" ref="I4390">IFERROR(_xlfn.IFS(M4390="נח",1,M4390="נע ונח",1,M4390="שני שווא נח",2,M4390="שני שוואים בסוף מילה",2,M4390="שני שוואים ברצף",1),"0")</f>
        <v>0</v>
      </c>
      <c r="J4390" s="9">
        <f t="shared" si="279"/>
        <v>3</v>
      </c>
      <c r="K4390" t="s">
        <v>6698</v>
      </c>
      <c r="L4390" t="s">
        <v>6695</v>
      </c>
      <c r="O4390" t="s">
        <v>6694</v>
      </c>
      <c r="R4390" t="s">
        <v>6694</v>
      </c>
      <c r="W4390" t="s">
        <v>6720</v>
      </c>
    </row>
    <row r="4391" spans="1:23" ht="15.6" x14ac:dyDescent="0.4">
      <c r="A4391" s="2" t="s">
        <v>3354</v>
      </c>
      <c r="B4391" s="5" t="s">
        <v>10590</v>
      </c>
      <c r="C4391" s="7" t="s">
        <v>12556</v>
      </c>
      <c r="D4391" s="8">
        <f t="shared" si="276"/>
        <v>0</v>
      </c>
      <c r="E4391" s="7" t="s">
        <v>12557</v>
      </c>
      <c r="F4391" s="7">
        <f t="shared" si="277"/>
        <v>0</v>
      </c>
      <c r="G4391" s="7" t="s">
        <v>12558</v>
      </c>
      <c r="H4391" s="7">
        <f t="shared" si="278"/>
        <v>0</v>
      </c>
      <c r="I4391" s="7" t="str" cm="1">
        <f t="array" ref="I4391">IFERROR(_xlfn.IFS(M4391="נח",1,M4391="נע ונח",1,M4391="שני שווא נח",2,M4391="שני שוואים בסוף מילה",2,M4391="שני שוואים ברצף",1),"0")</f>
        <v>0</v>
      </c>
      <c r="J4391" s="9">
        <f t="shared" si="279"/>
        <v>2</v>
      </c>
      <c r="K4391" t="s">
        <v>6697</v>
      </c>
      <c r="L4391" t="s">
        <v>6695</v>
      </c>
      <c r="O4391" t="s">
        <v>6694</v>
      </c>
      <c r="W4391" t="s">
        <v>6720</v>
      </c>
    </row>
    <row r="4392" spans="1:23" ht="15.6" x14ac:dyDescent="0.4">
      <c r="A4392" s="2" t="s">
        <v>3586</v>
      </c>
      <c r="B4392" s="5" t="s">
        <v>10590</v>
      </c>
      <c r="C4392" s="7" t="s">
        <v>12556</v>
      </c>
      <c r="D4392" s="8">
        <f t="shared" si="276"/>
        <v>0</v>
      </c>
      <c r="E4392" s="7" t="s">
        <v>12557</v>
      </c>
      <c r="F4392" s="7">
        <f t="shared" si="277"/>
        <v>1</v>
      </c>
      <c r="G4392" s="7" t="s">
        <v>12558</v>
      </c>
      <c r="H4392" s="7">
        <f t="shared" si="278"/>
        <v>0</v>
      </c>
      <c r="I4392" s="7" t="str" cm="1">
        <f t="array" ref="I4392">IFERROR(_xlfn.IFS(M4392="נח",1,M4392="נע ונח",1,M4392="שני שווא נח",2,M4392="שני שוואים בסוף מילה",2,M4392="שני שוואים ברצף",1),"0")</f>
        <v>0</v>
      </c>
      <c r="J4392" s="9">
        <f t="shared" si="279"/>
        <v>2</v>
      </c>
      <c r="K4392" t="s">
        <v>6697</v>
      </c>
      <c r="L4392" t="s">
        <v>6695</v>
      </c>
      <c r="O4392" t="s">
        <v>6694</v>
      </c>
      <c r="W4392" t="s">
        <v>6720</v>
      </c>
    </row>
    <row r="4393" spans="1:23" ht="15.6" x14ac:dyDescent="0.4">
      <c r="A4393" s="2" t="s">
        <v>772</v>
      </c>
      <c r="B4393" s="5" t="s">
        <v>10591</v>
      </c>
      <c r="C4393" s="7" t="s">
        <v>12556</v>
      </c>
      <c r="D4393" s="8">
        <f t="shared" si="276"/>
        <v>0</v>
      </c>
      <c r="E4393" s="7" t="s">
        <v>12557</v>
      </c>
      <c r="F4393" s="7">
        <f t="shared" si="277"/>
        <v>0</v>
      </c>
      <c r="G4393" s="7" t="s">
        <v>12558</v>
      </c>
      <c r="H4393" s="7">
        <f t="shared" si="278"/>
        <v>0</v>
      </c>
      <c r="I4393" s="7" t="str" cm="1">
        <f t="array" ref="I4393">IFERROR(_xlfn.IFS(M4393="נח",1,M4393="נע ונח",1,M4393="שני שווא נח",2,M4393="שני שוואים בסוף מילה",2,M4393="שני שוואים ברצף",1),"0")</f>
        <v>0</v>
      </c>
      <c r="J4393" s="9">
        <f t="shared" si="279"/>
        <v>2</v>
      </c>
      <c r="K4393" t="s">
        <v>6697</v>
      </c>
      <c r="L4393" t="s">
        <v>6695</v>
      </c>
      <c r="O4393" t="s">
        <v>6694</v>
      </c>
      <c r="V4393" t="s">
        <v>6694</v>
      </c>
      <c r="W4393" t="s">
        <v>6720</v>
      </c>
    </row>
    <row r="4394" spans="1:23" ht="15.6" x14ac:dyDescent="0.4">
      <c r="A4394" s="2" t="s">
        <v>2387</v>
      </c>
      <c r="B4394" s="5" t="s">
        <v>10592</v>
      </c>
      <c r="C4394" s="7" t="s">
        <v>12556</v>
      </c>
      <c r="D4394" s="8">
        <f t="shared" si="276"/>
        <v>0</v>
      </c>
      <c r="E4394" s="7" t="s">
        <v>12557</v>
      </c>
      <c r="F4394" s="7">
        <f t="shared" si="277"/>
        <v>0</v>
      </c>
      <c r="G4394" s="7" t="s">
        <v>12558</v>
      </c>
      <c r="H4394" s="7">
        <f t="shared" si="278"/>
        <v>0</v>
      </c>
      <c r="I4394" s="7" t="str" cm="1">
        <f t="array" ref="I4394">IFERROR(_xlfn.IFS(M4394="נח",1,M4394="נע ונח",1,M4394="שני שווא נח",2,M4394="שני שוואים בסוף מילה",2,M4394="שני שוואים ברצף",1),"0")</f>
        <v>0</v>
      </c>
      <c r="J4394" s="9">
        <f t="shared" si="279"/>
        <v>3</v>
      </c>
      <c r="K4394" t="s">
        <v>6698</v>
      </c>
      <c r="L4394" t="s">
        <v>6695</v>
      </c>
      <c r="O4394" t="s">
        <v>6694</v>
      </c>
      <c r="P4394" t="s">
        <v>6694</v>
      </c>
      <c r="R4394" t="s">
        <v>6694</v>
      </c>
      <c r="W4394" t="s">
        <v>6720</v>
      </c>
    </row>
    <row r="4395" spans="1:23" ht="15.6" x14ac:dyDescent="0.4">
      <c r="A4395" s="2" t="s">
        <v>1757</v>
      </c>
      <c r="B4395" s="5" t="s">
        <v>10593</v>
      </c>
      <c r="C4395" s="7" t="s">
        <v>12556</v>
      </c>
      <c r="D4395" s="8">
        <f t="shared" si="276"/>
        <v>0</v>
      </c>
      <c r="E4395" s="7" t="s">
        <v>12557</v>
      </c>
      <c r="F4395" s="7">
        <f t="shared" si="277"/>
        <v>1</v>
      </c>
      <c r="G4395" s="7" t="s">
        <v>12558</v>
      </c>
      <c r="H4395" s="7">
        <f t="shared" si="278"/>
        <v>1</v>
      </c>
      <c r="I4395" s="7" t="str" cm="1">
        <f t="array" ref="I4395">IFERROR(_xlfn.IFS(M4395="נח",1,M4395="נע ונח",1,M4395="שני שווא נח",2,M4395="שני שוואים בסוף מילה",2,M4395="שני שוואים ברצף",1),"0")</f>
        <v>0</v>
      </c>
      <c r="J4395" s="9">
        <f t="shared" si="279"/>
        <v>2</v>
      </c>
      <c r="K4395" t="s">
        <v>6697</v>
      </c>
      <c r="L4395" t="s">
        <v>6695</v>
      </c>
      <c r="O4395" t="s">
        <v>6694</v>
      </c>
      <c r="U4395" t="s">
        <v>6694</v>
      </c>
      <c r="W4395" t="s">
        <v>6720</v>
      </c>
    </row>
    <row r="4396" spans="1:23" ht="15.6" x14ac:dyDescent="0.4">
      <c r="A4396" s="2" t="s">
        <v>4626</v>
      </c>
      <c r="B4396" s="5" t="s">
        <v>10594</v>
      </c>
      <c r="C4396" s="7" t="s">
        <v>12556</v>
      </c>
      <c r="D4396" s="8">
        <f t="shared" si="276"/>
        <v>0</v>
      </c>
      <c r="E4396" s="7" t="s">
        <v>12557</v>
      </c>
      <c r="F4396" s="7">
        <f t="shared" si="277"/>
        <v>1</v>
      </c>
      <c r="G4396" s="7" t="s">
        <v>12558</v>
      </c>
      <c r="H4396" s="7">
        <f t="shared" si="278"/>
        <v>1</v>
      </c>
      <c r="I4396" s="7" t="str" cm="1">
        <f t="array" ref="I4396">IFERROR(_xlfn.IFS(M4396="נח",1,M4396="נע ונח",1,M4396="שני שווא נח",2,M4396="שני שוואים בסוף מילה",2,M4396="שני שוואים ברצף",1),"0")</f>
        <v>0</v>
      </c>
      <c r="J4396" s="9">
        <f t="shared" si="279"/>
        <v>2</v>
      </c>
      <c r="K4396" t="s">
        <v>6698</v>
      </c>
      <c r="L4396" t="s">
        <v>6695</v>
      </c>
      <c r="O4396" t="s">
        <v>6694</v>
      </c>
      <c r="U4396" t="s">
        <v>6694</v>
      </c>
      <c r="W4396" t="s">
        <v>6720</v>
      </c>
    </row>
    <row r="4397" spans="1:23" ht="15.6" x14ac:dyDescent="0.4">
      <c r="A4397" s="2" t="s">
        <v>1320</v>
      </c>
      <c r="B4397" s="5" t="s">
        <v>10595</v>
      </c>
      <c r="C4397" s="7" t="s">
        <v>12556</v>
      </c>
      <c r="D4397" s="8">
        <f t="shared" si="276"/>
        <v>1</v>
      </c>
      <c r="E4397" s="7" t="s">
        <v>12557</v>
      </c>
      <c r="F4397" s="7">
        <f t="shared" si="277"/>
        <v>1</v>
      </c>
      <c r="G4397" s="7" t="s">
        <v>12558</v>
      </c>
      <c r="H4397" s="7">
        <f t="shared" si="278"/>
        <v>1</v>
      </c>
      <c r="I4397" s="7" t="str" cm="1">
        <f t="array" ref="I4397">IFERROR(_xlfn.IFS(M4397="נח",1,M4397="נע ונח",1,M4397="שני שווא נח",2,M4397="שני שוואים בסוף מילה",2,M4397="שני שוואים ברצף",1),"0")</f>
        <v>0</v>
      </c>
      <c r="J4397" s="9">
        <f t="shared" si="279"/>
        <v>4</v>
      </c>
      <c r="K4397" t="s">
        <v>6698</v>
      </c>
      <c r="L4397" t="s">
        <v>6695</v>
      </c>
      <c r="O4397" t="s">
        <v>6694</v>
      </c>
      <c r="P4397" t="s">
        <v>6694</v>
      </c>
      <c r="S4397" t="s">
        <v>6694</v>
      </c>
      <c r="U4397" t="s">
        <v>6694</v>
      </c>
      <c r="W4397" t="s">
        <v>6720</v>
      </c>
    </row>
    <row r="4398" spans="1:23" ht="15.6" x14ac:dyDescent="0.4">
      <c r="A4398" s="2" t="s">
        <v>4186</v>
      </c>
      <c r="B4398" s="5" t="s">
        <v>10596</v>
      </c>
      <c r="C4398" s="7" t="s">
        <v>12556</v>
      </c>
      <c r="D4398" s="8">
        <f t="shared" si="276"/>
        <v>0</v>
      </c>
      <c r="E4398" s="7" t="s">
        <v>12557</v>
      </c>
      <c r="F4398" s="7">
        <f t="shared" si="277"/>
        <v>0</v>
      </c>
      <c r="G4398" s="7" t="s">
        <v>12558</v>
      </c>
      <c r="H4398" s="7">
        <f t="shared" si="278"/>
        <v>0</v>
      </c>
      <c r="I4398" s="7" t="str" cm="1">
        <f t="array" ref="I4398">IFERROR(_xlfn.IFS(M4398="נח",1,M4398="נע ונח",1,M4398="שני שווא נח",2,M4398="שני שוואים בסוף מילה",2,M4398="שני שוואים ברצף",1),"0")</f>
        <v>0</v>
      </c>
      <c r="J4398" s="9">
        <f t="shared" si="279"/>
        <v>3</v>
      </c>
      <c r="K4398" t="s">
        <v>6698</v>
      </c>
      <c r="L4398" t="s">
        <v>6695</v>
      </c>
      <c r="O4398" t="s">
        <v>6694</v>
      </c>
      <c r="R4398" t="s">
        <v>6694</v>
      </c>
      <c r="W4398" t="s">
        <v>6720</v>
      </c>
    </row>
    <row r="4399" spans="1:23" ht="15.6" x14ac:dyDescent="0.4">
      <c r="A4399" s="2" t="s">
        <v>1169</v>
      </c>
      <c r="B4399" s="5" t="s">
        <v>10597</v>
      </c>
      <c r="C4399" s="7" t="s">
        <v>12556</v>
      </c>
      <c r="D4399" s="8">
        <f t="shared" si="276"/>
        <v>0</v>
      </c>
      <c r="E4399" s="7" t="s">
        <v>12557</v>
      </c>
      <c r="F4399" s="7">
        <f t="shared" si="277"/>
        <v>0</v>
      </c>
      <c r="G4399" s="7" t="s">
        <v>12558</v>
      </c>
      <c r="H4399" s="7">
        <f t="shared" si="278"/>
        <v>0</v>
      </c>
      <c r="I4399" s="7" t="str" cm="1">
        <f t="array" ref="I4399">IFERROR(_xlfn.IFS(M4399="נח",1,M4399="נע ונח",1,M4399="שני שווא נח",2,M4399="שני שוואים בסוף מילה",2,M4399="שני שוואים ברצף",1),"0")</f>
        <v>0</v>
      </c>
      <c r="J4399" s="9">
        <f t="shared" si="279"/>
        <v>2</v>
      </c>
      <c r="K4399" t="s">
        <v>6698</v>
      </c>
      <c r="L4399" t="s">
        <v>6695</v>
      </c>
      <c r="O4399" t="s">
        <v>6694</v>
      </c>
      <c r="P4399" t="s">
        <v>6694</v>
      </c>
      <c r="W4399" t="s">
        <v>6720</v>
      </c>
    </row>
    <row r="4400" spans="1:23" ht="15.6" x14ac:dyDescent="0.4">
      <c r="A4400" s="2" t="s">
        <v>3074</v>
      </c>
      <c r="B4400" s="5" t="s">
        <v>10381</v>
      </c>
      <c r="C4400" s="7" t="s">
        <v>12556</v>
      </c>
      <c r="D4400" s="8">
        <f t="shared" si="276"/>
        <v>0</v>
      </c>
      <c r="E4400" s="7" t="s">
        <v>12557</v>
      </c>
      <c r="F4400" s="7">
        <f t="shared" si="277"/>
        <v>0</v>
      </c>
      <c r="G4400" s="7" t="s">
        <v>12558</v>
      </c>
      <c r="H4400" s="7">
        <f t="shared" si="278"/>
        <v>0</v>
      </c>
      <c r="I4400" s="7" t="str" cm="1">
        <f t="array" ref="I4400">IFERROR(_xlfn.IFS(M4400="נח",1,M4400="נע ונח",1,M4400="שני שווא נח",2,M4400="שני שוואים בסוף מילה",2,M4400="שני שוואים ברצף",1),"0")</f>
        <v>0</v>
      </c>
      <c r="J4400" s="9">
        <f t="shared" si="279"/>
        <v>2</v>
      </c>
      <c r="K4400" t="s">
        <v>6698</v>
      </c>
      <c r="L4400" t="s">
        <v>6695</v>
      </c>
      <c r="N4400" t="s">
        <v>6706</v>
      </c>
      <c r="O4400" t="s">
        <v>6694</v>
      </c>
      <c r="W4400" t="s">
        <v>6720</v>
      </c>
    </row>
    <row r="4401" spans="1:23" ht="15.6" x14ac:dyDescent="0.4">
      <c r="A4401" s="2" t="s">
        <v>4538</v>
      </c>
      <c r="B4401" s="5" t="s">
        <v>10598</v>
      </c>
      <c r="C4401" s="7" t="s">
        <v>12556</v>
      </c>
      <c r="D4401" s="8">
        <f t="shared" si="276"/>
        <v>0</v>
      </c>
      <c r="E4401" s="7" t="s">
        <v>12557</v>
      </c>
      <c r="F4401" s="7">
        <f t="shared" si="277"/>
        <v>1</v>
      </c>
      <c r="G4401" s="7" t="s">
        <v>12558</v>
      </c>
      <c r="H4401" s="7">
        <f t="shared" si="278"/>
        <v>0</v>
      </c>
      <c r="I4401" s="7" cm="1">
        <f t="array" ref="I4401">IFERROR(_xlfn.IFS(M4401="נח",1,M4401="נע ונח",1,M4401="שני שווא נח",2,M4401="שני שוואים בסוף מילה",2,M4401="שני שוואים ברצף",1),"0")</f>
        <v>1</v>
      </c>
      <c r="J4401" s="9">
        <f t="shared" si="279"/>
        <v>3</v>
      </c>
      <c r="K4401" t="s">
        <v>6698</v>
      </c>
      <c r="L4401" t="s">
        <v>6694</v>
      </c>
      <c r="M4401" t="s">
        <v>6705</v>
      </c>
      <c r="O4401" t="s">
        <v>6694</v>
      </c>
      <c r="P4401" t="s">
        <v>6694</v>
      </c>
      <c r="W4401" t="s">
        <v>6720</v>
      </c>
    </row>
    <row r="4402" spans="1:23" ht="15.6" x14ac:dyDescent="0.4">
      <c r="A4402" s="2" t="s">
        <v>3402</v>
      </c>
      <c r="B4402" s="5" t="s">
        <v>10598</v>
      </c>
      <c r="C4402" s="7" t="s">
        <v>12556</v>
      </c>
      <c r="D4402" s="8">
        <f t="shared" si="276"/>
        <v>0</v>
      </c>
      <c r="E4402" s="7" t="s">
        <v>12557</v>
      </c>
      <c r="F4402" s="7">
        <f t="shared" si="277"/>
        <v>0</v>
      </c>
      <c r="G4402" s="7" t="s">
        <v>12558</v>
      </c>
      <c r="H4402" s="7">
        <f t="shared" si="278"/>
        <v>0</v>
      </c>
      <c r="I4402" s="7" t="str" cm="1">
        <f t="array" ref="I4402">IFERROR(_xlfn.IFS(M4402="נח",1,M4402="נע ונח",1,M4402="שני שווא נח",2,M4402="שני שוואים בסוף מילה",2,M4402="שני שוואים ברצף",1),"0")</f>
        <v>0</v>
      </c>
      <c r="J4402" s="9">
        <f t="shared" si="279"/>
        <v>3</v>
      </c>
      <c r="K4402" t="s">
        <v>6698</v>
      </c>
      <c r="L4402" t="s">
        <v>6695</v>
      </c>
      <c r="O4402" t="s">
        <v>6694</v>
      </c>
      <c r="P4402" t="s">
        <v>6694</v>
      </c>
      <c r="W4402" t="s">
        <v>6720</v>
      </c>
    </row>
    <row r="4403" spans="1:23" ht="15.6" x14ac:dyDescent="0.4">
      <c r="A4403" s="2" t="s">
        <v>5231</v>
      </c>
      <c r="B4403" s="5" t="s">
        <v>10599</v>
      </c>
      <c r="C4403" s="7" t="s">
        <v>12556</v>
      </c>
      <c r="D4403" s="8">
        <f t="shared" si="276"/>
        <v>0</v>
      </c>
      <c r="E4403" s="7" t="s">
        <v>12557</v>
      </c>
      <c r="F4403" s="7">
        <f t="shared" si="277"/>
        <v>0</v>
      </c>
      <c r="G4403" s="7" t="s">
        <v>12558</v>
      </c>
      <c r="H4403" s="7">
        <f t="shared" si="278"/>
        <v>0</v>
      </c>
      <c r="I4403" s="7" t="str" cm="1">
        <f t="array" ref="I4403">IFERROR(_xlfn.IFS(M4403="נח",1,M4403="נע ונח",1,M4403="שני שווא נח",2,M4403="שני שוואים בסוף מילה",2,M4403="שני שוואים ברצף",1),"0")</f>
        <v>0</v>
      </c>
      <c r="J4403" s="9">
        <f t="shared" si="279"/>
        <v>2</v>
      </c>
      <c r="K4403" t="s">
        <v>6698</v>
      </c>
      <c r="L4403" t="s">
        <v>6695</v>
      </c>
      <c r="N4403" t="s">
        <v>6706</v>
      </c>
      <c r="O4403" t="s">
        <v>6694</v>
      </c>
      <c r="W4403" t="s">
        <v>6720</v>
      </c>
    </row>
    <row r="4404" spans="1:23" ht="15.6" x14ac:dyDescent="0.4">
      <c r="A4404" s="2" t="s">
        <v>6208</v>
      </c>
      <c r="B4404" s="5" t="s">
        <v>10600</v>
      </c>
      <c r="C4404" s="7" t="s">
        <v>12556</v>
      </c>
      <c r="D4404" s="8">
        <f t="shared" si="276"/>
        <v>0</v>
      </c>
      <c r="E4404" s="7" t="s">
        <v>12557</v>
      </c>
      <c r="F4404" s="7">
        <f t="shared" si="277"/>
        <v>1</v>
      </c>
      <c r="G4404" s="7" t="s">
        <v>12558</v>
      </c>
      <c r="H4404" s="7">
        <f t="shared" si="278"/>
        <v>1</v>
      </c>
      <c r="I4404" s="7" t="str" cm="1">
        <f t="array" ref="I4404">IFERROR(_xlfn.IFS(M4404="נח",1,M4404="נע ונח",1,M4404="שני שווא נח",2,M4404="שני שוואים בסוף מילה",2,M4404="שני שוואים ברצף",1),"0")</f>
        <v>0</v>
      </c>
      <c r="J4404" s="9">
        <f t="shared" si="279"/>
        <v>2</v>
      </c>
      <c r="K4404" t="s">
        <v>6698</v>
      </c>
      <c r="L4404" t="s">
        <v>6695</v>
      </c>
      <c r="O4404" t="s">
        <v>6694</v>
      </c>
      <c r="U4404" t="s">
        <v>6694</v>
      </c>
      <c r="W4404" t="s">
        <v>6720</v>
      </c>
    </row>
    <row r="4405" spans="1:23" ht="15.6" x14ac:dyDescent="0.4">
      <c r="A4405" s="2" t="s">
        <v>6482</v>
      </c>
      <c r="B4405" s="5" t="s">
        <v>10601</v>
      </c>
      <c r="C4405" s="7" t="s">
        <v>12556</v>
      </c>
      <c r="D4405" s="8">
        <f t="shared" si="276"/>
        <v>0</v>
      </c>
      <c r="E4405" s="7" t="s">
        <v>12557</v>
      </c>
      <c r="F4405" s="7">
        <f t="shared" si="277"/>
        <v>0</v>
      </c>
      <c r="G4405" s="7" t="s">
        <v>12558</v>
      </c>
      <c r="H4405" s="7">
        <f t="shared" si="278"/>
        <v>0</v>
      </c>
      <c r="I4405" s="7" cm="1">
        <f t="array" ref="I4405">IFERROR(_xlfn.IFS(M4405="נח",1,M4405="נע ונח",1,M4405="שני שווא נח",2,M4405="שני שוואים בסוף מילה",2,M4405="שני שוואים ברצף",1),"0")</f>
        <v>1</v>
      </c>
      <c r="J4405" s="9">
        <f t="shared" si="279"/>
        <v>3</v>
      </c>
      <c r="K4405" t="s">
        <v>6697</v>
      </c>
      <c r="L4405" t="s">
        <v>6694</v>
      </c>
      <c r="M4405" t="s">
        <v>6705</v>
      </c>
      <c r="N4405" t="s">
        <v>6706</v>
      </c>
      <c r="O4405" t="s">
        <v>6694</v>
      </c>
      <c r="W4405" t="s">
        <v>6720</v>
      </c>
    </row>
    <row r="4406" spans="1:23" ht="15.6" x14ac:dyDescent="0.4">
      <c r="A4406" s="2" t="s">
        <v>1321</v>
      </c>
      <c r="B4406" s="5" t="s">
        <v>10602</v>
      </c>
      <c r="C4406" s="7" t="s">
        <v>12556</v>
      </c>
      <c r="D4406" s="8">
        <f t="shared" si="276"/>
        <v>0</v>
      </c>
      <c r="E4406" s="7" t="s">
        <v>12557</v>
      </c>
      <c r="F4406" s="7">
        <f t="shared" si="277"/>
        <v>0</v>
      </c>
      <c r="G4406" s="7" t="s">
        <v>12558</v>
      </c>
      <c r="H4406" s="7">
        <f t="shared" si="278"/>
        <v>0</v>
      </c>
      <c r="I4406" s="7" cm="1">
        <f t="array" ref="I4406">IFERROR(_xlfn.IFS(M4406="נח",1,M4406="נע ונח",1,M4406="שני שווא נח",2,M4406="שני שוואים בסוף מילה",2,M4406="שני שוואים ברצף",1),"0")</f>
        <v>1</v>
      </c>
      <c r="J4406" s="9">
        <f t="shared" si="279"/>
        <v>3</v>
      </c>
      <c r="K4406" t="s">
        <v>6698</v>
      </c>
      <c r="L4406" t="s">
        <v>6694</v>
      </c>
      <c r="M4406" t="s">
        <v>6705</v>
      </c>
      <c r="N4406" t="s">
        <v>6706</v>
      </c>
      <c r="O4406" t="s">
        <v>6694</v>
      </c>
      <c r="Q4406" t="s">
        <v>6694</v>
      </c>
      <c r="S4406" t="s">
        <v>6694</v>
      </c>
      <c r="W4406" t="s">
        <v>6720</v>
      </c>
    </row>
    <row r="4407" spans="1:23" ht="15.6" x14ac:dyDescent="0.4">
      <c r="A4407" s="2" t="s">
        <v>6439</v>
      </c>
      <c r="B4407" s="5" t="s">
        <v>10603</v>
      </c>
      <c r="C4407" s="7" t="s">
        <v>12556</v>
      </c>
      <c r="D4407" s="8">
        <f t="shared" si="276"/>
        <v>0</v>
      </c>
      <c r="E4407" s="7" t="s">
        <v>12557</v>
      </c>
      <c r="F4407" s="7">
        <f t="shared" si="277"/>
        <v>0</v>
      </c>
      <c r="G4407" s="7" t="s">
        <v>12558</v>
      </c>
      <c r="H4407" s="7">
        <f t="shared" si="278"/>
        <v>0</v>
      </c>
      <c r="I4407" s="7" t="str" cm="1">
        <f t="array" ref="I4407">IFERROR(_xlfn.IFS(M4407="נח",1,M4407="נע ונח",1,M4407="שני שווא נח",2,M4407="שני שוואים בסוף מילה",2,M4407="שני שוואים ברצף",1),"0")</f>
        <v>0</v>
      </c>
      <c r="J4407" s="9">
        <f t="shared" si="279"/>
        <v>2</v>
      </c>
      <c r="K4407" t="s">
        <v>6697</v>
      </c>
      <c r="L4407" t="s">
        <v>6695</v>
      </c>
      <c r="O4407" t="s">
        <v>6694</v>
      </c>
      <c r="W4407" t="s">
        <v>6720</v>
      </c>
    </row>
    <row r="4408" spans="1:23" ht="15.6" x14ac:dyDescent="0.4">
      <c r="A4408" s="2" t="s">
        <v>110</v>
      </c>
      <c r="B4408" s="5" t="s">
        <v>10604</v>
      </c>
      <c r="C4408" s="7" t="s">
        <v>12556</v>
      </c>
      <c r="D4408" s="8">
        <f t="shared" si="276"/>
        <v>1</v>
      </c>
      <c r="E4408" s="7" t="s">
        <v>12557</v>
      </c>
      <c r="F4408" s="7">
        <f t="shared" si="277"/>
        <v>0</v>
      </c>
      <c r="G4408" s="7" t="s">
        <v>12558</v>
      </c>
      <c r="H4408" s="7">
        <f t="shared" si="278"/>
        <v>0</v>
      </c>
      <c r="I4408" s="7" t="str" cm="1">
        <f t="array" ref="I4408">IFERROR(_xlfn.IFS(M4408="נח",1,M4408="נע ונח",1,M4408="שני שווא נח",2,M4408="שני שוואים בסוף מילה",2,M4408="שני שוואים ברצף",1),"0")</f>
        <v>0</v>
      </c>
      <c r="J4408" s="9">
        <f t="shared" si="279"/>
        <v>3</v>
      </c>
      <c r="K4408" t="s">
        <v>6697</v>
      </c>
      <c r="L4408" t="s">
        <v>6695</v>
      </c>
      <c r="O4408" t="s">
        <v>6694</v>
      </c>
      <c r="W4408" t="s">
        <v>6720</v>
      </c>
    </row>
    <row r="4409" spans="1:23" ht="15.6" x14ac:dyDescent="0.4">
      <c r="A4409" s="2" t="s">
        <v>4477</v>
      </c>
      <c r="B4409" s="5" t="s">
        <v>10605</v>
      </c>
      <c r="C4409" s="7" t="s">
        <v>12556</v>
      </c>
      <c r="D4409" s="8">
        <f t="shared" si="276"/>
        <v>0</v>
      </c>
      <c r="E4409" s="7" t="s">
        <v>12557</v>
      </c>
      <c r="F4409" s="7">
        <f t="shared" si="277"/>
        <v>0</v>
      </c>
      <c r="G4409" s="7" t="s">
        <v>12558</v>
      </c>
      <c r="H4409" s="7">
        <f t="shared" si="278"/>
        <v>0</v>
      </c>
      <c r="I4409" s="7" t="str" cm="1">
        <f t="array" ref="I4409">IFERROR(_xlfn.IFS(M4409="נח",1,M4409="נע ונח",1,M4409="שני שווא נח",2,M4409="שני שוואים בסוף מילה",2,M4409="שני שוואים ברצף",1),"0")</f>
        <v>0</v>
      </c>
      <c r="J4409" s="9">
        <f t="shared" si="279"/>
        <v>3</v>
      </c>
      <c r="K4409" t="s">
        <v>6698</v>
      </c>
      <c r="L4409" t="s">
        <v>6695</v>
      </c>
      <c r="O4409" t="s">
        <v>6694</v>
      </c>
      <c r="Q4409" t="s">
        <v>6694</v>
      </c>
      <c r="V4409" t="s">
        <v>6694</v>
      </c>
      <c r="W4409" t="s">
        <v>6720</v>
      </c>
    </row>
    <row r="4410" spans="1:23" ht="15.6" x14ac:dyDescent="0.4">
      <c r="A4410" s="2" t="s">
        <v>3271</v>
      </c>
      <c r="B4410" s="5" t="s">
        <v>10606</v>
      </c>
      <c r="C4410" s="7" t="s">
        <v>12556</v>
      </c>
      <c r="D4410" s="8">
        <f t="shared" si="276"/>
        <v>0</v>
      </c>
      <c r="E4410" s="7" t="s">
        <v>12557</v>
      </c>
      <c r="F4410" s="7">
        <f t="shared" si="277"/>
        <v>1</v>
      </c>
      <c r="G4410" s="7" t="s">
        <v>12558</v>
      </c>
      <c r="H4410" s="7">
        <f t="shared" si="278"/>
        <v>1</v>
      </c>
      <c r="I4410" s="7" t="str" cm="1">
        <f t="array" ref="I4410">IFERROR(_xlfn.IFS(M4410="נח",1,M4410="נע ונח",1,M4410="שני שווא נח",2,M4410="שני שוואים בסוף מילה",2,M4410="שני שוואים ברצף",1),"0")</f>
        <v>0</v>
      </c>
      <c r="J4410" s="9">
        <f t="shared" si="279"/>
        <v>2</v>
      </c>
      <c r="K4410" t="s">
        <v>6698</v>
      </c>
      <c r="L4410" t="s">
        <v>6695</v>
      </c>
      <c r="O4410" t="s">
        <v>6694</v>
      </c>
      <c r="U4410" t="s">
        <v>6694</v>
      </c>
      <c r="W4410" t="s">
        <v>6720</v>
      </c>
    </row>
    <row r="4411" spans="1:23" ht="15.6" x14ac:dyDescent="0.4">
      <c r="A4411" s="2" t="s">
        <v>2801</v>
      </c>
      <c r="B4411" s="5" t="s">
        <v>10607</v>
      </c>
      <c r="C4411" s="7" t="s">
        <v>12556</v>
      </c>
      <c r="D4411" s="8">
        <f t="shared" si="276"/>
        <v>1</v>
      </c>
      <c r="E4411" s="7" t="s">
        <v>12557</v>
      </c>
      <c r="F4411" s="7">
        <f t="shared" si="277"/>
        <v>0</v>
      </c>
      <c r="G4411" s="7" t="s">
        <v>12558</v>
      </c>
      <c r="H4411" s="7">
        <f t="shared" si="278"/>
        <v>0</v>
      </c>
      <c r="I4411" s="7" t="str" cm="1">
        <f t="array" ref="I4411">IFERROR(_xlfn.IFS(M4411="נח",1,M4411="נע ונח",1,M4411="שני שווא נח",2,M4411="שני שוואים בסוף מילה",2,M4411="שני שוואים ברצף",1),"0")</f>
        <v>0</v>
      </c>
      <c r="J4411" s="9">
        <f t="shared" si="279"/>
        <v>3</v>
      </c>
      <c r="K4411" t="s">
        <v>6698</v>
      </c>
      <c r="L4411" t="s">
        <v>6695</v>
      </c>
      <c r="O4411" t="s">
        <v>6694</v>
      </c>
      <c r="R4411" t="s">
        <v>6694</v>
      </c>
      <c r="W4411" t="s">
        <v>6720</v>
      </c>
    </row>
    <row r="4412" spans="1:23" ht="15.6" x14ac:dyDescent="0.4">
      <c r="A4412" s="2" t="s">
        <v>6090</v>
      </c>
      <c r="B4412" s="5" t="s">
        <v>10607</v>
      </c>
      <c r="C4412" s="7" t="s">
        <v>12556</v>
      </c>
      <c r="D4412" s="8">
        <f t="shared" si="276"/>
        <v>1</v>
      </c>
      <c r="E4412" s="7" t="s">
        <v>12557</v>
      </c>
      <c r="F4412" s="7">
        <f t="shared" si="277"/>
        <v>0</v>
      </c>
      <c r="G4412" s="7" t="s">
        <v>12558</v>
      </c>
      <c r="H4412" s="7">
        <f t="shared" si="278"/>
        <v>0</v>
      </c>
      <c r="I4412" s="7" t="str" cm="1">
        <f t="array" ref="I4412">IFERROR(_xlfn.IFS(M4412="נח",1,M4412="נע ונח",1,M4412="שני שווא נח",2,M4412="שני שוואים בסוף מילה",2,M4412="שני שוואים ברצף",1),"0")</f>
        <v>0</v>
      </c>
      <c r="J4412" s="9">
        <f t="shared" si="279"/>
        <v>3</v>
      </c>
      <c r="K4412" t="s">
        <v>6698</v>
      </c>
      <c r="L4412" t="s">
        <v>6695</v>
      </c>
      <c r="O4412" t="s">
        <v>6694</v>
      </c>
      <c r="R4412" t="s">
        <v>6694</v>
      </c>
      <c r="W4412" t="s">
        <v>6720</v>
      </c>
    </row>
    <row r="4413" spans="1:23" ht="15.6" x14ac:dyDescent="0.4">
      <c r="A4413" s="2" t="s">
        <v>1815</v>
      </c>
      <c r="B4413" s="5" t="s">
        <v>10428</v>
      </c>
      <c r="C4413" s="7" t="s">
        <v>12556</v>
      </c>
      <c r="D4413" s="8">
        <f t="shared" si="276"/>
        <v>1</v>
      </c>
      <c r="E4413" s="7" t="s">
        <v>12557</v>
      </c>
      <c r="F4413" s="7">
        <f t="shared" si="277"/>
        <v>0</v>
      </c>
      <c r="G4413" s="7" t="s">
        <v>12558</v>
      </c>
      <c r="H4413" s="7">
        <f t="shared" si="278"/>
        <v>0</v>
      </c>
      <c r="I4413" s="7" t="str" cm="1">
        <f t="array" ref="I4413">IFERROR(_xlfn.IFS(M4413="נח",1,M4413="נע ונח",1,M4413="שני שווא נח",2,M4413="שני שוואים בסוף מילה",2,M4413="שני שוואים ברצף",1),"0")</f>
        <v>0</v>
      </c>
      <c r="J4413" s="9">
        <f t="shared" si="279"/>
        <v>2</v>
      </c>
      <c r="K4413" t="s">
        <v>6698</v>
      </c>
      <c r="L4413" t="s">
        <v>6695</v>
      </c>
      <c r="O4413" t="s">
        <v>6694</v>
      </c>
      <c r="V4413" t="s">
        <v>6694</v>
      </c>
      <c r="W4413" t="s">
        <v>6720</v>
      </c>
    </row>
    <row r="4414" spans="1:23" ht="15.6" x14ac:dyDescent="0.4">
      <c r="A4414" s="2" t="s">
        <v>6664</v>
      </c>
      <c r="B4414" s="5" t="s">
        <v>10608</v>
      </c>
      <c r="C4414" s="7" t="s">
        <v>12556</v>
      </c>
      <c r="D4414" s="8">
        <f t="shared" si="276"/>
        <v>1</v>
      </c>
      <c r="E4414" s="7" t="s">
        <v>12557</v>
      </c>
      <c r="F4414" s="7">
        <f t="shared" si="277"/>
        <v>0</v>
      </c>
      <c r="G4414" s="7" t="s">
        <v>12558</v>
      </c>
      <c r="H4414" s="7">
        <f t="shared" si="278"/>
        <v>0</v>
      </c>
      <c r="I4414" s="7" t="str" cm="1">
        <f t="array" ref="I4414">IFERROR(_xlfn.IFS(M4414="נח",1,M4414="נע ונח",1,M4414="שני שווא נח",2,M4414="שני שוואים בסוף מילה",2,M4414="שני שוואים ברצף",1),"0")</f>
        <v>0</v>
      </c>
      <c r="J4414" s="9">
        <f t="shared" si="279"/>
        <v>3</v>
      </c>
      <c r="K4414" t="s">
        <v>6697</v>
      </c>
      <c r="L4414" t="s">
        <v>6695</v>
      </c>
      <c r="O4414" t="s">
        <v>6694</v>
      </c>
      <c r="P4414" t="s">
        <v>6694</v>
      </c>
      <c r="V4414" t="s">
        <v>6694</v>
      </c>
      <c r="W4414" t="s">
        <v>6720</v>
      </c>
    </row>
    <row r="4415" spans="1:23" ht="15.6" x14ac:dyDescent="0.4">
      <c r="A4415" s="2" t="s">
        <v>749</v>
      </c>
      <c r="B4415" s="5" t="s">
        <v>10609</v>
      </c>
      <c r="C4415" s="7" t="s">
        <v>12556</v>
      </c>
      <c r="D4415" s="8">
        <f t="shared" si="276"/>
        <v>0</v>
      </c>
      <c r="E4415" s="7" t="s">
        <v>12557</v>
      </c>
      <c r="F4415" s="7">
        <f t="shared" si="277"/>
        <v>0</v>
      </c>
      <c r="G4415" s="7" t="s">
        <v>12558</v>
      </c>
      <c r="H4415" s="7">
        <f t="shared" si="278"/>
        <v>0</v>
      </c>
      <c r="I4415" s="7" t="str" cm="1">
        <f t="array" ref="I4415">IFERROR(_xlfn.IFS(M4415="נח",1,M4415="נע ונח",1,M4415="שני שווא נח",2,M4415="שני שוואים בסוף מילה",2,M4415="שני שוואים ברצף",1),"0")</f>
        <v>0</v>
      </c>
      <c r="J4415" s="9">
        <f t="shared" si="279"/>
        <v>2</v>
      </c>
      <c r="K4415" t="s">
        <v>6698</v>
      </c>
      <c r="L4415" t="s">
        <v>6695</v>
      </c>
      <c r="O4415" t="s">
        <v>6694</v>
      </c>
      <c r="Q4415" t="s">
        <v>6694</v>
      </c>
      <c r="W4415" t="s">
        <v>6720</v>
      </c>
    </row>
    <row r="4416" spans="1:23" ht="15.6" x14ac:dyDescent="0.4">
      <c r="A4416" s="2" t="s">
        <v>79</v>
      </c>
      <c r="B4416" s="5" t="s">
        <v>10610</v>
      </c>
      <c r="C4416" s="7" t="s">
        <v>12556</v>
      </c>
      <c r="D4416" s="8">
        <f t="shared" si="276"/>
        <v>0</v>
      </c>
      <c r="E4416" s="7" t="s">
        <v>12557</v>
      </c>
      <c r="F4416" s="7">
        <f t="shared" si="277"/>
        <v>0</v>
      </c>
      <c r="G4416" s="7" t="s">
        <v>12558</v>
      </c>
      <c r="H4416" s="7">
        <f t="shared" si="278"/>
        <v>0</v>
      </c>
      <c r="I4416" s="7" t="str" cm="1">
        <f t="array" ref="I4416">IFERROR(_xlfn.IFS(M4416="נח",1,M4416="נע ונח",1,M4416="שני שווא נח",2,M4416="שני שוואים בסוף מילה",2,M4416="שני שוואים ברצף",1),"0")</f>
        <v>0</v>
      </c>
      <c r="J4416" s="9">
        <f t="shared" si="279"/>
        <v>1</v>
      </c>
      <c r="K4416" t="s">
        <v>6697</v>
      </c>
      <c r="L4416" t="s">
        <v>6695</v>
      </c>
      <c r="V4416" t="s">
        <v>6694</v>
      </c>
      <c r="W4416" t="s">
        <v>6720</v>
      </c>
    </row>
    <row r="4417" spans="1:23" ht="15.6" x14ac:dyDescent="0.4">
      <c r="A4417" s="2" t="s">
        <v>4111</v>
      </c>
      <c r="B4417" s="5" t="s">
        <v>10611</v>
      </c>
      <c r="C4417" s="7" t="s">
        <v>12556</v>
      </c>
      <c r="D4417" s="8">
        <f t="shared" si="276"/>
        <v>0</v>
      </c>
      <c r="E4417" s="7" t="s">
        <v>12557</v>
      </c>
      <c r="F4417" s="7">
        <f t="shared" si="277"/>
        <v>0</v>
      </c>
      <c r="G4417" s="7" t="s">
        <v>12558</v>
      </c>
      <c r="H4417" s="7">
        <f t="shared" si="278"/>
        <v>0</v>
      </c>
      <c r="I4417" s="7" t="str" cm="1">
        <f t="array" ref="I4417">IFERROR(_xlfn.IFS(M4417="נח",1,M4417="נע ונח",1,M4417="שני שווא נח",2,M4417="שני שוואים בסוף מילה",2,M4417="שני שוואים ברצף",1),"0")</f>
        <v>0</v>
      </c>
      <c r="J4417" s="9">
        <f t="shared" si="279"/>
        <v>3</v>
      </c>
      <c r="K4417" t="s">
        <v>6698</v>
      </c>
      <c r="L4417" t="s">
        <v>6695</v>
      </c>
      <c r="P4417" t="s">
        <v>6694</v>
      </c>
      <c r="S4417" t="s">
        <v>6694</v>
      </c>
      <c r="V4417" t="s">
        <v>6694</v>
      </c>
      <c r="W4417" t="s">
        <v>6720</v>
      </c>
    </row>
    <row r="4418" spans="1:23" ht="15.6" x14ac:dyDescent="0.4">
      <c r="A4418" s="2" t="s">
        <v>6029</v>
      </c>
      <c r="B4418" s="5" t="s">
        <v>10612</v>
      </c>
      <c r="C4418" s="7" t="s">
        <v>12556</v>
      </c>
      <c r="D4418" s="8">
        <f t="shared" si="276"/>
        <v>0</v>
      </c>
      <c r="E4418" s="7" t="s">
        <v>12557</v>
      </c>
      <c r="F4418" s="7">
        <f t="shared" si="277"/>
        <v>0</v>
      </c>
      <c r="G4418" s="7" t="s">
        <v>12558</v>
      </c>
      <c r="H4418" s="7">
        <f t="shared" si="278"/>
        <v>0</v>
      </c>
      <c r="I4418" s="7" t="str" cm="1">
        <f t="array" ref="I4418">IFERROR(_xlfn.IFS(M4418="נח",1,M4418="נע ונח",1,M4418="שני שווא נח",2,M4418="שני שוואים בסוף מילה",2,M4418="שני שוואים ברצף",1),"0")</f>
        <v>0</v>
      </c>
      <c r="J4418" s="9">
        <f t="shared" si="279"/>
        <v>2</v>
      </c>
      <c r="K4418" t="s">
        <v>6698</v>
      </c>
      <c r="L4418" t="s">
        <v>6695</v>
      </c>
      <c r="Q4418" t="s">
        <v>6694</v>
      </c>
      <c r="V4418" t="s">
        <v>6694</v>
      </c>
      <c r="W4418" t="s">
        <v>6720</v>
      </c>
    </row>
    <row r="4419" spans="1:23" ht="15.6" x14ac:dyDescent="0.4">
      <c r="A4419" s="2" t="s">
        <v>4076</v>
      </c>
      <c r="B4419" s="5" t="s">
        <v>10613</v>
      </c>
      <c r="C4419" s="7" t="s">
        <v>12556</v>
      </c>
      <c r="D4419" s="8">
        <f t="shared" ref="D4419:D4482" si="280">(LEN(B4419)-LEN(SUBSTITUTE(B4419,C4419,"")))</f>
        <v>0</v>
      </c>
      <c r="E4419" s="7" t="s">
        <v>12557</v>
      </c>
      <c r="F4419" s="7">
        <f t="shared" ref="F4419:F4482" si="281">(LEN(A4419)-LEN(SUBSTITUTE(A4419,E4419,"")))</f>
        <v>0</v>
      </c>
      <c r="G4419" s="7" t="s">
        <v>12558</v>
      </c>
      <c r="H4419" s="7">
        <f t="shared" ref="H4419:H4482" si="282">(LEN(A4419)-LEN(SUBSTITUTE(A4419,G4419,"")))/2</f>
        <v>0</v>
      </c>
      <c r="I4419" s="7" t="str" cm="1">
        <f t="array" ref="I4419">IFERROR(_xlfn.IFS(M4419="נח",1,M4419="נע ונח",1,M4419="שני שווא נח",2,M4419="שני שוואים בסוף מילה",2,M4419="שני שוואים ברצף",1),"0")</f>
        <v>0</v>
      </c>
      <c r="J4419" s="9">
        <f t="shared" ref="J4419:J4482" si="283">LEN(A4419)-(LEN(B4419))-D4419-F4419+H4419-I4419</f>
        <v>3</v>
      </c>
      <c r="K4419" t="s">
        <v>6698</v>
      </c>
      <c r="L4419" t="s">
        <v>6695</v>
      </c>
      <c r="P4419" t="s">
        <v>6694</v>
      </c>
      <c r="S4419" t="s">
        <v>6694</v>
      </c>
      <c r="V4419" t="s">
        <v>6694</v>
      </c>
      <c r="W4419" t="s">
        <v>6720</v>
      </c>
    </row>
    <row r="4420" spans="1:23" ht="15.6" x14ac:dyDescent="0.4">
      <c r="A4420" s="2" t="s">
        <v>6272</v>
      </c>
      <c r="B4420" s="5" t="s">
        <v>10532</v>
      </c>
      <c r="C4420" s="7" t="s">
        <v>12556</v>
      </c>
      <c r="D4420" s="8">
        <f t="shared" si="280"/>
        <v>0</v>
      </c>
      <c r="E4420" s="7" t="s">
        <v>12557</v>
      </c>
      <c r="F4420" s="7">
        <f t="shared" si="281"/>
        <v>0</v>
      </c>
      <c r="G4420" s="7" t="s">
        <v>12558</v>
      </c>
      <c r="H4420" s="7">
        <f t="shared" si="282"/>
        <v>0</v>
      </c>
      <c r="I4420" s="7" t="str" cm="1">
        <f t="array" ref="I4420">IFERROR(_xlfn.IFS(M4420="נח",1,M4420="נע ונח",1,M4420="שני שווא נח",2,M4420="שני שוואים בסוף מילה",2,M4420="שני שוואים ברצף",1),"0")</f>
        <v>0</v>
      </c>
      <c r="J4420" s="9">
        <f t="shared" si="283"/>
        <v>3</v>
      </c>
      <c r="K4420" t="s">
        <v>6698</v>
      </c>
      <c r="L4420" t="s">
        <v>6695</v>
      </c>
      <c r="N4420" t="s">
        <v>6706</v>
      </c>
      <c r="O4420" t="s">
        <v>6694</v>
      </c>
      <c r="P4420" t="s">
        <v>6694</v>
      </c>
      <c r="V4420" t="s">
        <v>6694</v>
      </c>
      <c r="W4420" t="s">
        <v>6720</v>
      </c>
    </row>
    <row r="4421" spans="1:23" ht="15.6" x14ac:dyDescent="0.4">
      <c r="A4421" s="2" t="s">
        <v>4073</v>
      </c>
      <c r="B4421" s="5" t="s">
        <v>10312</v>
      </c>
      <c r="C4421" s="7" t="s">
        <v>12556</v>
      </c>
      <c r="D4421" s="8">
        <f t="shared" si="280"/>
        <v>0</v>
      </c>
      <c r="E4421" s="7" t="s">
        <v>12557</v>
      </c>
      <c r="F4421" s="7">
        <f t="shared" si="281"/>
        <v>0</v>
      </c>
      <c r="G4421" s="7" t="s">
        <v>12558</v>
      </c>
      <c r="H4421" s="7">
        <f t="shared" si="282"/>
        <v>0</v>
      </c>
      <c r="I4421" s="7" t="str" cm="1">
        <f t="array" ref="I4421">IFERROR(_xlfn.IFS(M4421="נח",1,M4421="נע ונח",1,M4421="שני שווא נח",2,M4421="שני שוואים בסוף מילה",2,M4421="שני שוואים ברצף",1),"0")</f>
        <v>0</v>
      </c>
      <c r="J4421" s="9">
        <f t="shared" si="283"/>
        <v>2</v>
      </c>
      <c r="K4421" t="s">
        <v>6698</v>
      </c>
      <c r="L4421" t="s">
        <v>6695</v>
      </c>
      <c r="Q4421" t="s">
        <v>6694</v>
      </c>
      <c r="V4421" t="s">
        <v>6694</v>
      </c>
      <c r="W4421" t="s">
        <v>6720</v>
      </c>
    </row>
    <row r="4422" spans="1:23" ht="15.6" x14ac:dyDescent="0.4">
      <c r="A4422" s="2" t="s">
        <v>6022</v>
      </c>
      <c r="B4422" s="5" t="s">
        <v>10614</v>
      </c>
      <c r="C4422" s="7" t="s">
        <v>12556</v>
      </c>
      <c r="D4422" s="8">
        <f t="shared" si="280"/>
        <v>0</v>
      </c>
      <c r="E4422" s="7" t="s">
        <v>12557</v>
      </c>
      <c r="F4422" s="7">
        <f t="shared" si="281"/>
        <v>0</v>
      </c>
      <c r="G4422" s="7" t="s">
        <v>12558</v>
      </c>
      <c r="H4422" s="7">
        <f t="shared" si="282"/>
        <v>0</v>
      </c>
      <c r="I4422" s="7" t="str" cm="1">
        <f t="array" ref="I4422">IFERROR(_xlfn.IFS(M4422="נח",1,M4422="נע ונח",1,M4422="שני שווא נח",2,M4422="שני שוואים בסוף מילה",2,M4422="שני שוואים ברצף",1),"0")</f>
        <v>0</v>
      </c>
      <c r="J4422" s="9">
        <f t="shared" si="283"/>
        <v>2</v>
      </c>
      <c r="K4422" t="s">
        <v>6698</v>
      </c>
      <c r="L4422" t="s">
        <v>6695</v>
      </c>
      <c r="Q4422" t="s">
        <v>6694</v>
      </c>
      <c r="V4422" t="s">
        <v>6694</v>
      </c>
      <c r="W4422" t="s">
        <v>6720</v>
      </c>
    </row>
    <row r="4423" spans="1:23" ht="15.6" x14ac:dyDescent="0.4">
      <c r="A4423" s="2" t="s">
        <v>575</v>
      </c>
      <c r="B4423" s="5" t="s">
        <v>10328</v>
      </c>
      <c r="C4423" s="7" t="s">
        <v>12556</v>
      </c>
      <c r="D4423" s="8">
        <f t="shared" si="280"/>
        <v>0</v>
      </c>
      <c r="E4423" s="7" t="s">
        <v>12557</v>
      </c>
      <c r="F4423" s="7">
        <f t="shared" si="281"/>
        <v>1</v>
      </c>
      <c r="G4423" s="7" t="s">
        <v>12558</v>
      </c>
      <c r="H4423" s="7">
        <f t="shared" si="282"/>
        <v>0</v>
      </c>
      <c r="I4423" s="7" t="str" cm="1">
        <f t="array" ref="I4423">IFERROR(_xlfn.IFS(M4423="נח",1,M4423="נע ונח",1,M4423="שני שווא נח",2,M4423="שני שוואים בסוף מילה",2,M4423="שני שוואים ברצף",1),"0")</f>
        <v>0</v>
      </c>
      <c r="J4423" s="9">
        <f t="shared" si="283"/>
        <v>2</v>
      </c>
      <c r="K4423" t="s">
        <v>6697</v>
      </c>
      <c r="L4423" t="s">
        <v>6694</v>
      </c>
      <c r="M4423" t="s">
        <v>6700</v>
      </c>
      <c r="O4423" t="s">
        <v>6694</v>
      </c>
      <c r="W4423" t="s">
        <v>6720</v>
      </c>
    </row>
    <row r="4424" spans="1:23" ht="15.6" x14ac:dyDescent="0.4">
      <c r="A4424" s="2" t="s">
        <v>3254</v>
      </c>
      <c r="B4424" s="5" t="s">
        <v>10615</v>
      </c>
      <c r="C4424" s="7" t="s">
        <v>12556</v>
      </c>
      <c r="D4424" s="8">
        <f t="shared" si="280"/>
        <v>0</v>
      </c>
      <c r="E4424" s="7" t="s">
        <v>12557</v>
      </c>
      <c r="F4424" s="7">
        <f t="shared" si="281"/>
        <v>1</v>
      </c>
      <c r="G4424" s="7" t="s">
        <v>12558</v>
      </c>
      <c r="H4424" s="7">
        <f t="shared" si="282"/>
        <v>0</v>
      </c>
      <c r="I4424" s="7" cm="1">
        <f t="array" ref="I4424">IFERROR(_xlfn.IFS(M4424="נח",1,M4424="נע ונח",1,M4424="שני שווא נח",2,M4424="שני שוואים בסוף מילה",2,M4424="שני שוואים ברצף",1),"0")</f>
        <v>1</v>
      </c>
      <c r="J4424" s="9">
        <f t="shared" si="283"/>
        <v>3</v>
      </c>
      <c r="K4424" t="s">
        <v>6697</v>
      </c>
      <c r="L4424" t="s">
        <v>6694</v>
      </c>
      <c r="M4424" t="s">
        <v>6701</v>
      </c>
      <c r="O4424" t="s">
        <v>6694</v>
      </c>
      <c r="P4424" t="s">
        <v>6694</v>
      </c>
      <c r="W4424" t="s">
        <v>6720</v>
      </c>
    </row>
    <row r="4425" spans="1:23" ht="15.6" x14ac:dyDescent="0.4">
      <c r="A4425" s="2" t="s">
        <v>126</v>
      </c>
      <c r="B4425" s="5" t="s">
        <v>10457</v>
      </c>
      <c r="C4425" s="7" t="s">
        <v>12556</v>
      </c>
      <c r="D4425" s="8">
        <f t="shared" si="280"/>
        <v>0</v>
      </c>
      <c r="E4425" s="7" t="s">
        <v>12557</v>
      </c>
      <c r="F4425" s="7">
        <f t="shared" si="281"/>
        <v>1</v>
      </c>
      <c r="G4425" s="7" t="s">
        <v>12558</v>
      </c>
      <c r="H4425" s="7">
        <f t="shared" si="282"/>
        <v>0</v>
      </c>
      <c r="I4425" s="7" t="str" cm="1">
        <f t="array" ref="I4425">IFERROR(_xlfn.IFS(M4425="נח",1,M4425="נע ונח",1,M4425="שני שווא נח",2,M4425="שני שוואים בסוף מילה",2,M4425="שני שוואים ברצף",1),"0")</f>
        <v>0</v>
      </c>
      <c r="J4425" s="9">
        <f t="shared" si="283"/>
        <v>1</v>
      </c>
      <c r="K4425" t="s">
        <v>6697</v>
      </c>
      <c r="L4425" t="s">
        <v>6695</v>
      </c>
      <c r="S4425" t="s">
        <v>6694</v>
      </c>
      <c r="W4425" t="s">
        <v>6720</v>
      </c>
    </row>
    <row r="4426" spans="1:23" ht="15.6" x14ac:dyDescent="0.4">
      <c r="A4426" s="2" t="s">
        <v>3411</v>
      </c>
      <c r="B4426" s="5" t="s">
        <v>10616</v>
      </c>
      <c r="C4426" s="7" t="s">
        <v>12556</v>
      </c>
      <c r="D4426" s="8">
        <f t="shared" si="280"/>
        <v>0</v>
      </c>
      <c r="E4426" s="7" t="s">
        <v>12557</v>
      </c>
      <c r="F4426" s="7">
        <f t="shared" si="281"/>
        <v>1</v>
      </c>
      <c r="G4426" s="7" t="s">
        <v>12558</v>
      </c>
      <c r="H4426" s="7">
        <f t="shared" si="282"/>
        <v>0</v>
      </c>
      <c r="I4426" s="7" t="str" cm="1">
        <f t="array" ref="I4426">IFERROR(_xlfn.IFS(M4426="נח",1,M4426="נע ונח",1,M4426="שני שווא נח",2,M4426="שני שוואים בסוף מילה",2,M4426="שני שוואים ברצף",1),"0")</f>
        <v>0</v>
      </c>
      <c r="J4426" s="9">
        <f t="shared" si="283"/>
        <v>4</v>
      </c>
      <c r="K4426" t="s">
        <v>6697</v>
      </c>
      <c r="L4426" t="s">
        <v>6695</v>
      </c>
      <c r="O4426" t="s">
        <v>6694</v>
      </c>
      <c r="Q4426" t="s">
        <v>6694</v>
      </c>
      <c r="R4426" t="s">
        <v>6694</v>
      </c>
      <c r="S4426" t="s">
        <v>6694</v>
      </c>
      <c r="W4426" t="s">
        <v>6720</v>
      </c>
    </row>
    <row r="4427" spans="1:23" ht="15.6" x14ac:dyDescent="0.4">
      <c r="A4427" s="2" t="s">
        <v>551</v>
      </c>
      <c r="B4427" s="5" t="s">
        <v>10328</v>
      </c>
      <c r="C4427" s="7" t="s">
        <v>12556</v>
      </c>
      <c r="D4427" s="8">
        <f t="shared" si="280"/>
        <v>0</v>
      </c>
      <c r="E4427" s="7" t="s">
        <v>12557</v>
      </c>
      <c r="F4427" s="7">
        <f t="shared" si="281"/>
        <v>1</v>
      </c>
      <c r="G4427" s="7" t="s">
        <v>12558</v>
      </c>
      <c r="H4427" s="7">
        <f t="shared" si="282"/>
        <v>0</v>
      </c>
      <c r="I4427" s="7" cm="1">
        <f t="array" ref="I4427">IFERROR(_xlfn.IFS(M4427="נח",1,M4427="נע ונח",1,M4427="שני שווא נח",2,M4427="שני שוואים בסוף מילה",2,M4427="שני שוואים ברצף",1),"0")</f>
        <v>1</v>
      </c>
      <c r="J4427" s="9">
        <f t="shared" si="283"/>
        <v>1</v>
      </c>
      <c r="K4427" t="s">
        <v>6698</v>
      </c>
      <c r="L4427" t="s">
        <v>6694</v>
      </c>
      <c r="M4427" t="s">
        <v>6705</v>
      </c>
      <c r="N4427" t="s">
        <v>6706</v>
      </c>
      <c r="O4427" t="s">
        <v>6694</v>
      </c>
      <c r="W4427" t="s">
        <v>6720</v>
      </c>
    </row>
    <row r="4428" spans="1:23" ht="15.6" x14ac:dyDescent="0.4">
      <c r="A4428" s="2" t="s">
        <v>3609</v>
      </c>
      <c r="B4428" s="5" t="s">
        <v>10591</v>
      </c>
      <c r="C4428" s="7" t="s">
        <v>12556</v>
      </c>
      <c r="D4428" s="8">
        <f t="shared" si="280"/>
        <v>0</v>
      </c>
      <c r="E4428" s="7" t="s">
        <v>12557</v>
      </c>
      <c r="F4428" s="7">
        <f t="shared" si="281"/>
        <v>1</v>
      </c>
      <c r="G4428" s="7" t="s">
        <v>12558</v>
      </c>
      <c r="H4428" s="7">
        <f t="shared" si="282"/>
        <v>0</v>
      </c>
      <c r="I4428" s="7" t="str" cm="1">
        <f t="array" ref="I4428">IFERROR(_xlfn.IFS(M4428="נח",1,M4428="נע ונח",1,M4428="שני שווא נח",2,M4428="שני שוואים בסוף מילה",2,M4428="שני שוואים ברצף",1),"0")</f>
        <v>0</v>
      </c>
      <c r="J4428" s="9">
        <f t="shared" si="283"/>
        <v>2</v>
      </c>
      <c r="K4428" t="s">
        <v>6697</v>
      </c>
      <c r="L4428" t="s">
        <v>6695</v>
      </c>
      <c r="O4428" t="s">
        <v>6694</v>
      </c>
      <c r="V4428" t="s">
        <v>6694</v>
      </c>
      <c r="W4428" t="s">
        <v>6720</v>
      </c>
    </row>
    <row r="4429" spans="1:23" ht="15.6" x14ac:dyDescent="0.4">
      <c r="A4429" s="2" t="s">
        <v>3675</v>
      </c>
      <c r="B4429" s="5" t="s">
        <v>10593</v>
      </c>
      <c r="C4429" s="7" t="s">
        <v>12556</v>
      </c>
      <c r="D4429" s="8">
        <f t="shared" si="280"/>
        <v>0</v>
      </c>
      <c r="E4429" s="7" t="s">
        <v>12557</v>
      </c>
      <c r="F4429" s="7">
        <f t="shared" si="281"/>
        <v>2</v>
      </c>
      <c r="G4429" s="7" t="s">
        <v>12558</v>
      </c>
      <c r="H4429" s="7">
        <f t="shared" si="282"/>
        <v>1</v>
      </c>
      <c r="I4429" s="7" t="str" cm="1">
        <f t="array" ref="I4429">IFERROR(_xlfn.IFS(M4429="נח",1,M4429="נע ונח",1,M4429="שני שווא נח",2,M4429="שני שוואים בסוף מילה",2,M4429="שני שוואים ברצף",1),"0")</f>
        <v>0</v>
      </c>
      <c r="J4429" s="9">
        <f t="shared" si="283"/>
        <v>2</v>
      </c>
      <c r="K4429" t="s">
        <v>6697</v>
      </c>
      <c r="L4429" t="s">
        <v>6695</v>
      </c>
      <c r="O4429" t="s">
        <v>6694</v>
      </c>
      <c r="U4429" t="s">
        <v>6694</v>
      </c>
      <c r="W4429" t="s">
        <v>6720</v>
      </c>
    </row>
    <row r="4430" spans="1:23" ht="15.6" x14ac:dyDescent="0.4">
      <c r="A4430" s="2" t="s">
        <v>2962</v>
      </c>
      <c r="B4430" s="5" t="s">
        <v>10617</v>
      </c>
      <c r="C4430" s="7" t="s">
        <v>12556</v>
      </c>
      <c r="D4430" s="8">
        <f t="shared" si="280"/>
        <v>0</v>
      </c>
      <c r="E4430" s="7" t="s">
        <v>12557</v>
      </c>
      <c r="F4430" s="7">
        <f t="shared" si="281"/>
        <v>1</v>
      </c>
      <c r="G4430" s="7" t="s">
        <v>12558</v>
      </c>
      <c r="H4430" s="7">
        <f t="shared" si="282"/>
        <v>0</v>
      </c>
      <c r="I4430" s="7" t="str" cm="1">
        <f t="array" ref="I4430">IFERROR(_xlfn.IFS(M4430="נח",1,M4430="נע ונח",1,M4430="שני שווא נח",2,M4430="שני שוואים בסוף מילה",2,M4430="שני שוואים ברצף",1),"0")</f>
        <v>0</v>
      </c>
      <c r="J4430" s="9">
        <f t="shared" si="283"/>
        <v>1</v>
      </c>
      <c r="K4430" t="s">
        <v>6697</v>
      </c>
      <c r="L4430" t="s">
        <v>6695</v>
      </c>
      <c r="V4430" t="s">
        <v>6694</v>
      </c>
      <c r="W4430" t="s">
        <v>6720</v>
      </c>
    </row>
    <row r="4431" spans="1:23" ht="15.6" x14ac:dyDescent="0.4">
      <c r="A4431" s="2" t="s">
        <v>106</v>
      </c>
      <c r="B4431" s="5" t="s">
        <v>10617</v>
      </c>
      <c r="C4431" s="7" t="s">
        <v>12556</v>
      </c>
      <c r="D4431" s="8">
        <f t="shared" si="280"/>
        <v>0</v>
      </c>
      <c r="E4431" s="7" t="s">
        <v>12557</v>
      </c>
      <c r="F4431" s="7">
        <f t="shared" si="281"/>
        <v>0</v>
      </c>
      <c r="G4431" s="7" t="s">
        <v>12558</v>
      </c>
      <c r="H4431" s="7">
        <f t="shared" si="282"/>
        <v>0</v>
      </c>
      <c r="I4431" s="7" t="str" cm="1">
        <f t="array" ref="I4431">IFERROR(_xlfn.IFS(M4431="נח",1,M4431="נע ונח",1,M4431="שני שווא נח",2,M4431="שני שוואים בסוף מילה",2,M4431="שני שוואים ברצף",1),"0")</f>
        <v>0</v>
      </c>
      <c r="J4431" s="9">
        <f t="shared" si="283"/>
        <v>1</v>
      </c>
      <c r="K4431" t="s">
        <v>6697</v>
      </c>
      <c r="L4431" t="s">
        <v>6695</v>
      </c>
      <c r="V4431" t="s">
        <v>6694</v>
      </c>
      <c r="W4431" t="s">
        <v>6720</v>
      </c>
    </row>
    <row r="4432" spans="1:23" ht="15.6" x14ac:dyDescent="0.4">
      <c r="A4432" s="2" t="s">
        <v>2531</v>
      </c>
      <c r="B4432" s="5" t="s">
        <v>10618</v>
      </c>
      <c r="C4432" s="7" t="s">
        <v>12556</v>
      </c>
      <c r="D4432" s="8">
        <f t="shared" si="280"/>
        <v>0</v>
      </c>
      <c r="E4432" s="7" t="s">
        <v>12557</v>
      </c>
      <c r="F4432" s="7">
        <f t="shared" si="281"/>
        <v>0</v>
      </c>
      <c r="G4432" s="7" t="s">
        <v>12558</v>
      </c>
      <c r="H4432" s="7">
        <f t="shared" si="282"/>
        <v>0</v>
      </c>
      <c r="I4432" s="7" t="str" cm="1">
        <f t="array" ref="I4432">IFERROR(_xlfn.IFS(M4432="נח",1,M4432="נע ונח",1,M4432="שני שווא נח",2,M4432="שני שוואים בסוף מילה",2,M4432="שני שוואים ברצף",1),"0")</f>
        <v>0</v>
      </c>
      <c r="J4432" s="9">
        <f t="shared" si="283"/>
        <v>2</v>
      </c>
      <c r="K4432" t="s">
        <v>6697</v>
      </c>
      <c r="L4432" t="s">
        <v>6695</v>
      </c>
      <c r="R4432" t="s">
        <v>6694</v>
      </c>
      <c r="V4432" t="s">
        <v>6694</v>
      </c>
      <c r="W4432" t="s">
        <v>6720</v>
      </c>
    </row>
    <row r="4433" spans="1:23" ht="15.6" x14ac:dyDescent="0.4">
      <c r="A4433" s="2" t="s">
        <v>4870</v>
      </c>
      <c r="B4433" s="5" t="s">
        <v>10617</v>
      </c>
      <c r="C4433" s="7" t="s">
        <v>12556</v>
      </c>
      <c r="D4433" s="8">
        <f t="shared" si="280"/>
        <v>0</v>
      </c>
      <c r="E4433" s="7" t="s">
        <v>12557</v>
      </c>
      <c r="F4433" s="7">
        <f t="shared" si="281"/>
        <v>1</v>
      </c>
      <c r="G4433" s="7" t="s">
        <v>12558</v>
      </c>
      <c r="H4433" s="7">
        <f t="shared" si="282"/>
        <v>1</v>
      </c>
      <c r="I4433" s="7" t="str" cm="1">
        <f t="array" ref="I4433">IFERROR(_xlfn.IFS(M4433="נח",1,M4433="נע ונח",1,M4433="שני שווא נח",2,M4433="שני שוואים בסוף מילה",2,M4433="שני שוואים ברצף",1),"0")</f>
        <v>0</v>
      </c>
      <c r="J4433" s="9">
        <f t="shared" si="283"/>
        <v>1</v>
      </c>
      <c r="K4433" t="s">
        <v>6697</v>
      </c>
      <c r="L4433" t="s">
        <v>6695</v>
      </c>
      <c r="U4433" t="s">
        <v>6694</v>
      </c>
      <c r="W4433" t="s">
        <v>6720</v>
      </c>
    </row>
    <row r="4434" spans="1:23" ht="15.6" x14ac:dyDescent="0.4">
      <c r="A4434" s="2" t="s">
        <v>2654</v>
      </c>
      <c r="B4434" s="5" t="s">
        <v>10619</v>
      </c>
      <c r="C4434" s="7" t="s">
        <v>12556</v>
      </c>
      <c r="D4434" s="8">
        <f t="shared" si="280"/>
        <v>0</v>
      </c>
      <c r="E4434" s="7" t="s">
        <v>12557</v>
      </c>
      <c r="F4434" s="7">
        <f t="shared" si="281"/>
        <v>1</v>
      </c>
      <c r="G4434" s="7" t="s">
        <v>12558</v>
      </c>
      <c r="H4434" s="7">
        <f t="shared" si="282"/>
        <v>1</v>
      </c>
      <c r="I4434" s="7" t="str" cm="1">
        <f t="array" ref="I4434">IFERROR(_xlfn.IFS(M4434="נח",1,M4434="נע ונח",1,M4434="שני שווא נח",2,M4434="שני שוואים בסוף מילה",2,M4434="שני שוואים ברצף",1),"0")</f>
        <v>0</v>
      </c>
      <c r="J4434" s="9">
        <f t="shared" si="283"/>
        <v>2</v>
      </c>
      <c r="K4434" t="s">
        <v>6697</v>
      </c>
      <c r="L4434" t="s">
        <v>6695</v>
      </c>
      <c r="Q4434" t="s">
        <v>6694</v>
      </c>
      <c r="U4434" t="s">
        <v>6694</v>
      </c>
      <c r="W4434" t="s">
        <v>6720</v>
      </c>
    </row>
    <row r="4435" spans="1:23" ht="15.6" x14ac:dyDescent="0.4">
      <c r="A4435" s="2" t="s">
        <v>124</v>
      </c>
      <c r="B4435" s="5" t="s">
        <v>10620</v>
      </c>
      <c r="C4435" s="7" t="s">
        <v>12556</v>
      </c>
      <c r="D4435" s="8">
        <f t="shared" si="280"/>
        <v>0</v>
      </c>
      <c r="E4435" s="7" t="s">
        <v>12557</v>
      </c>
      <c r="F4435" s="7">
        <f t="shared" si="281"/>
        <v>1</v>
      </c>
      <c r="G4435" s="7" t="s">
        <v>12558</v>
      </c>
      <c r="H4435" s="7">
        <f t="shared" si="282"/>
        <v>1</v>
      </c>
      <c r="I4435" s="7" t="str" cm="1">
        <f t="array" ref="I4435">IFERROR(_xlfn.IFS(M4435="נח",1,M4435="נע ונח",1,M4435="שני שווא נח",2,M4435="שני שוואים בסוף מילה",2,M4435="שני שוואים ברצף",1),"0")</f>
        <v>0</v>
      </c>
      <c r="J4435" s="9">
        <f t="shared" si="283"/>
        <v>2</v>
      </c>
      <c r="K4435" t="s">
        <v>6698</v>
      </c>
      <c r="L4435" t="s">
        <v>6695</v>
      </c>
      <c r="Q4435" t="s">
        <v>6694</v>
      </c>
      <c r="U4435" t="s">
        <v>6694</v>
      </c>
      <c r="W4435" t="s">
        <v>6720</v>
      </c>
    </row>
    <row r="4436" spans="1:23" ht="15.6" x14ac:dyDescent="0.4">
      <c r="A4436" s="2" t="s">
        <v>3286</v>
      </c>
      <c r="B4436" s="5" t="s">
        <v>10621</v>
      </c>
      <c r="C4436" s="7" t="s">
        <v>12556</v>
      </c>
      <c r="D4436" s="8">
        <f t="shared" si="280"/>
        <v>0</v>
      </c>
      <c r="E4436" s="7" t="s">
        <v>12557</v>
      </c>
      <c r="F4436" s="7">
        <f t="shared" si="281"/>
        <v>0</v>
      </c>
      <c r="G4436" s="7" t="s">
        <v>12558</v>
      </c>
      <c r="H4436" s="7">
        <f t="shared" si="282"/>
        <v>0</v>
      </c>
      <c r="I4436" s="7" t="str" cm="1">
        <f t="array" ref="I4436">IFERROR(_xlfn.IFS(M4436="נח",1,M4436="נע ונח",1,M4436="שני שווא נח",2,M4436="שני שוואים בסוף מילה",2,M4436="שני שוואים ברצף",1),"0")</f>
        <v>0</v>
      </c>
      <c r="J4436" s="9">
        <f t="shared" si="283"/>
        <v>3</v>
      </c>
      <c r="K4436" t="s">
        <v>6698</v>
      </c>
      <c r="L4436" t="s">
        <v>6694</v>
      </c>
      <c r="M4436" t="s">
        <v>6700</v>
      </c>
      <c r="P4436" t="s">
        <v>6694</v>
      </c>
      <c r="S4436" t="s">
        <v>6694</v>
      </c>
      <c r="W4436" t="s">
        <v>6720</v>
      </c>
    </row>
    <row r="4437" spans="1:23" ht="15.6" x14ac:dyDescent="0.4">
      <c r="A4437" s="2" t="s">
        <v>6423</v>
      </c>
      <c r="B4437" s="5" t="s">
        <v>10622</v>
      </c>
      <c r="C4437" s="7" t="s">
        <v>12556</v>
      </c>
      <c r="D4437" s="8">
        <f t="shared" si="280"/>
        <v>0</v>
      </c>
      <c r="E4437" s="7" t="s">
        <v>12557</v>
      </c>
      <c r="F4437" s="7">
        <f t="shared" si="281"/>
        <v>0</v>
      </c>
      <c r="G4437" s="7" t="s">
        <v>12558</v>
      </c>
      <c r="H4437" s="7">
        <f t="shared" si="282"/>
        <v>0</v>
      </c>
      <c r="I4437" s="7" t="str" cm="1">
        <f t="array" ref="I4437">IFERROR(_xlfn.IFS(M4437="נח",1,M4437="נע ונח",1,M4437="שני שווא נח",2,M4437="שני שוואים בסוף מילה",2,M4437="שני שוואים ברצף",1),"0")</f>
        <v>0</v>
      </c>
      <c r="J4437" s="9">
        <f t="shared" si="283"/>
        <v>3</v>
      </c>
      <c r="K4437" t="s">
        <v>6698</v>
      </c>
      <c r="L4437" t="s">
        <v>6694</v>
      </c>
      <c r="M4437" t="s">
        <v>6700</v>
      </c>
      <c r="N4437" t="s">
        <v>6706</v>
      </c>
      <c r="O4437" t="s">
        <v>6694</v>
      </c>
      <c r="W4437" t="s">
        <v>6720</v>
      </c>
    </row>
    <row r="4438" spans="1:23" ht="15.6" x14ac:dyDescent="0.4">
      <c r="A4438" s="2" t="s">
        <v>1675</v>
      </c>
      <c r="B4438" s="5" t="s">
        <v>10623</v>
      </c>
      <c r="C4438" s="7" t="s">
        <v>12556</v>
      </c>
      <c r="D4438" s="8">
        <f t="shared" si="280"/>
        <v>0</v>
      </c>
      <c r="E4438" s="7" t="s">
        <v>12557</v>
      </c>
      <c r="F4438" s="7">
        <f t="shared" si="281"/>
        <v>0</v>
      </c>
      <c r="G4438" s="7" t="s">
        <v>12558</v>
      </c>
      <c r="H4438" s="7">
        <f t="shared" si="282"/>
        <v>0</v>
      </c>
      <c r="I4438" s="7" t="str" cm="1">
        <f t="array" ref="I4438">IFERROR(_xlfn.IFS(M4438="נח",1,M4438="נע ונח",1,M4438="שני שווא נח",2,M4438="שני שוואים בסוף מילה",2,M4438="שני שוואים ברצף",1),"0")</f>
        <v>0</v>
      </c>
      <c r="J4438" s="9">
        <f t="shared" si="283"/>
        <v>2</v>
      </c>
      <c r="K4438" t="s">
        <v>6698</v>
      </c>
      <c r="L4438" t="s">
        <v>6694</v>
      </c>
      <c r="M4438" t="s">
        <v>6700</v>
      </c>
      <c r="V4438" t="s">
        <v>6694</v>
      </c>
      <c r="W4438" t="s">
        <v>6720</v>
      </c>
    </row>
    <row r="4439" spans="1:23" ht="15.6" x14ac:dyDescent="0.4">
      <c r="A4439" s="2" t="s">
        <v>507</v>
      </c>
      <c r="B4439" s="5" t="s">
        <v>10624</v>
      </c>
      <c r="C4439" s="7" t="s">
        <v>12556</v>
      </c>
      <c r="D4439" s="8">
        <f t="shared" si="280"/>
        <v>1</v>
      </c>
      <c r="E4439" s="7" t="s">
        <v>12557</v>
      </c>
      <c r="F4439" s="7">
        <f t="shared" si="281"/>
        <v>0</v>
      </c>
      <c r="G4439" s="7" t="s">
        <v>12558</v>
      </c>
      <c r="H4439" s="7">
        <f t="shared" si="282"/>
        <v>0</v>
      </c>
      <c r="I4439" s="7" cm="1">
        <f t="array" ref="I4439">IFERROR(_xlfn.IFS(M4439="נח",1,M4439="נע ונח",1,M4439="שני שווא נח",2,M4439="שני שוואים בסוף מילה",2,M4439="שני שוואים ברצף",1),"0")</f>
        <v>1</v>
      </c>
      <c r="J4439" s="9">
        <f t="shared" si="283"/>
        <v>3</v>
      </c>
      <c r="K4439" t="s">
        <v>6698</v>
      </c>
      <c r="L4439" t="s">
        <v>6694</v>
      </c>
      <c r="M4439" t="s">
        <v>6701</v>
      </c>
      <c r="P4439" t="s">
        <v>6694</v>
      </c>
      <c r="Q4439" t="s">
        <v>6694</v>
      </c>
      <c r="W4439" t="s">
        <v>6720</v>
      </c>
    </row>
    <row r="4440" spans="1:23" ht="15.6" x14ac:dyDescent="0.4">
      <c r="A4440" s="2" t="s">
        <v>3541</v>
      </c>
      <c r="B4440" s="5" t="s">
        <v>10625</v>
      </c>
      <c r="C4440" s="7" t="s">
        <v>12556</v>
      </c>
      <c r="D4440" s="8">
        <f t="shared" si="280"/>
        <v>1</v>
      </c>
      <c r="E4440" s="7" t="s">
        <v>12557</v>
      </c>
      <c r="F4440" s="7">
        <f t="shared" si="281"/>
        <v>0</v>
      </c>
      <c r="G4440" s="7" t="s">
        <v>12558</v>
      </c>
      <c r="H4440" s="7">
        <f t="shared" si="282"/>
        <v>0</v>
      </c>
      <c r="I4440" s="7" cm="1">
        <f t="array" ref="I4440">IFERROR(_xlfn.IFS(M4440="נח",1,M4440="נע ונח",1,M4440="שני שווא נח",2,M4440="שני שוואים בסוף מילה",2,M4440="שני שוואים ברצף",1),"0")</f>
        <v>1</v>
      </c>
      <c r="J4440" s="9">
        <f t="shared" si="283"/>
        <v>4</v>
      </c>
      <c r="K4440" t="s">
        <v>6697</v>
      </c>
      <c r="L4440" t="s">
        <v>6694</v>
      </c>
      <c r="M4440" t="s">
        <v>6701</v>
      </c>
      <c r="O4440" t="s">
        <v>6694</v>
      </c>
      <c r="P4440" t="s">
        <v>6694</v>
      </c>
      <c r="R4440" t="s">
        <v>6694</v>
      </c>
      <c r="W4440" t="s">
        <v>6720</v>
      </c>
    </row>
    <row r="4441" spans="1:23" ht="15.6" x14ac:dyDescent="0.4">
      <c r="A4441" s="2" t="s">
        <v>2545</v>
      </c>
      <c r="B4441" s="5" t="s">
        <v>10626</v>
      </c>
      <c r="C4441" s="7" t="s">
        <v>12556</v>
      </c>
      <c r="D4441" s="8">
        <f t="shared" si="280"/>
        <v>1</v>
      </c>
      <c r="E4441" s="7" t="s">
        <v>12557</v>
      </c>
      <c r="F4441" s="7">
        <f t="shared" si="281"/>
        <v>1</v>
      </c>
      <c r="G4441" s="7" t="s">
        <v>12558</v>
      </c>
      <c r="H4441" s="7">
        <f t="shared" si="282"/>
        <v>0</v>
      </c>
      <c r="I4441" s="7" t="str" cm="1">
        <f t="array" ref="I4441">IFERROR(_xlfn.IFS(M4441="נח",1,M4441="נע ונח",1,M4441="שני שווא נח",2,M4441="שני שוואים בסוף מילה",2,M4441="שני שוואים ברצף",1),"0")</f>
        <v>0</v>
      </c>
      <c r="J4441" s="9">
        <f t="shared" si="283"/>
        <v>3</v>
      </c>
      <c r="K4441" t="s">
        <v>6698</v>
      </c>
      <c r="L4441" t="s">
        <v>6694</v>
      </c>
      <c r="M4441" t="s">
        <v>6700</v>
      </c>
      <c r="P4441" t="s">
        <v>6694</v>
      </c>
      <c r="R4441" t="s">
        <v>6694</v>
      </c>
      <c r="W4441" t="s">
        <v>6720</v>
      </c>
    </row>
    <row r="4442" spans="1:23" ht="15.6" x14ac:dyDescent="0.4">
      <c r="A4442" s="2" t="s">
        <v>6596</v>
      </c>
      <c r="B4442" s="5" t="s">
        <v>10627</v>
      </c>
      <c r="C4442" s="7" t="s">
        <v>12556</v>
      </c>
      <c r="D4442" s="8">
        <f t="shared" si="280"/>
        <v>0</v>
      </c>
      <c r="E4442" s="7" t="s">
        <v>12557</v>
      </c>
      <c r="F4442" s="7">
        <f t="shared" si="281"/>
        <v>0</v>
      </c>
      <c r="G4442" s="7" t="s">
        <v>12558</v>
      </c>
      <c r="H4442" s="7">
        <f t="shared" si="282"/>
        <v>0</v>
      </c>
      <c r="I4442" s="7" t="str" cm="1">
        <f t="array" ref="I4442">IFERROR(_xlfn.IFS(M4442="נח",1,M4442="נע ונח",1,M4442="שני שווא נח",2,M4442="שני שוואים בסוף מילה",2,M4442="שני שוואים ברצף",1),"0")</f>
        <v>0</v>
      </c>
      <c r="J4442" s="9">
        <f t="shared" si="283"/>
        <v>3</v>
      </c>
      <c r="K4442" t="s">
        <v>6697</v>
      </c>
      <c r="L4442" t="s">
        <v>6694</v>
      </c>
      <c r="M4442" t="s">
        <v>6700</v>
      </c>
      <c r="V4442" t="s">
        <v>6694</v>
      </c>
      <c r="W4442" t="s">
        <v>6720</v>
      </c>
    </row>
    <row r="4443" spans="1:23" ht="15.6" x14ac:dyDescent="0.4">
      <c r="A4443" s="2" t="s">
        <v>1217</v>
      </c>
      <c r="B4443" s="5" t="s">
        <v>10628</v>
      </c>
      <c r="C4443" s="7" t="s">
        <v>12556</v>
      </c>
      <c r="D4443" s="8">
        <f t="shared" si="280"/>
        <v>0</v>
      </c>
      <c r="E4443" s="7" t="s">
        <v>12557</v>
      </c>
      <c r="F4443" s="7">
        <f t="shared" si="281"/>
        <v>0</v>
      </c>
      <c r="G4443" s="7" t="s">
        <v>12558</v>
      </c>
      <c r="H4443" s="7">
        <f t="shared" si="282"/>
        <v>0</v>
      </c>
      <c r="I4443" s="7" cm="1">
        <f t="array" ref="I4443">IFERROR(_xlfn.IFS(M4443="נח",1,M4443="נע ונח",1,M4443="שני שווא נח",2,M4443="שני שוואים בסוף מילה",2,M4443="שני שוואים ברצף",1),"0")</f>
        <v>1</v>
      </c>
      <c r="J4443" s="9">
        <f t="shared" si="283"/>
        <v>3</v>
      </c>
      <c r="K4443" t="s">
        <v>6698</v>
      </c>
      <c r="L4443" t="s">
        <v>6694</v>
      </c>
      <c r="M4443" t="s">
        <v>6701</v>
      </c>
      <c r="N4443" t="s">
        <v>6706</v>
      </c>
      <c r="O4443" t="s">
        <v>6694</v>
      </c>
      <c r="V4443" t="s">
        <v>6694</v>
      </c>
      <c r="W4443" t="s">
        <v>6720</v>
      </c>
    </row>
    <row r="4444" spans="1:23" ht="15.6" x14ac:dyDescent="0.4">
      <c r="A4444" s="2" t="s">
        <v>2533</v>
      </c>
      <c r="B4444" s="5" t="s">
        <v>10629</v>
      </c>
      <c r="C4444" s="7" t="s">
        <v>12556</v>
      </c>
      <c r="D4444" s="8">
        <f t="shared" si="280"/>
        <v>0</v>
      </c>
      <c r="E4444" s="7" t="s">
        <v>12557</v>
      </c>
      <c r="F4444" s="7">
        <f t="shared" si="281"/>
        <v>0</v>
      </c>
      <c r="G4444" s="7" t="s">
        <v>12558</v>
      </c>
      <c r="H4444" s="7">
        <f t="shared" si="282"/>
        <v>0</v>
      </c>
      <c r="I4444" s="7" t="str" cm="1">
        <f t="array" ref="I4444">IFERROR(_xlfn.IFS(M4444="נח",1,M4444="נע ונח",1,M4444="שני שווא נח",2,M4444="שני שוואים בסוף מילה",2,M4444="שני שוואים ברצף",1),"0")</f>
        <v>0</v>
      </c>
      <c r="J4444" s="9">
        <f t="shared" si="283"/>
        <v>4</v>
      </c>
      <c r="K4444" t="s">
        <v>6698</v>
      </c>
      <c r="L4444" t="s">
        <v>6694</v>
      </c>
      <c r="M4444" t="s">
        <v>6700</v>
      </c>
      <c r="N4444" t="s">
        <v>6706</v>
      </c>
      <c r="O4444" t="s">
        <v>6694</v>
      </c>
      <c r="V4444" t="s">
        <v>6694</v>
      </c>
      <c r="W4444" t="s">
        <v>6720</v>
      </c>
    </row>
    <row r="4445" spans="1:23" ht="15.6" x14ac:dyDescent="0.4">
      <c r="A4445" s="2" t="s">
        <v>1220</v>
      </c>
      <c r="B4445" s="5" t="s">
        <v>10630</v>
      </c>
      <c r="C4445" s="7" t="s">
        <v>12556</v>
      </c>
      <c r="D4445" s="8">
        <f t="shared" si="280"/>
        <v>0</v>
      </c>
      <c r="E4445" s="7" t="s">
        <v>12557</v>
      </c>
      <c r="F4445" s="7">
        <f t="shared" si="281"/>
        <v>0</v>
      </c>
      <c r="G4445" s="7" t="s">
        <v>12558</v>
      </c>
      <c r="H4445" s="7">
        <f t="shared" si="282"/>
        <v>0</v>
      </c>
      <c r="I4445" s="7" t="str" cm="1">
        <f t="array" ref="I4445">IFERROR(_xlfn.IFS(M4445="נח",1,M4445="נע ונח",1,M4445="שני שווא נח",2,M4445="שני שוואים בסוף מילה",2,M4445="שני שוואים ברצף",1),"0")</f>
        <v>0</v>
      </c>
      <c r="J4445" s="9">
        <f t="shared" si="283"/>
        <v>3</v>
      </c>
      <c r="K4445" t="s">
        <v>6697</v>
      </c>
      <c r="L4445" t="s">
        <v>6694</v>
      </c>
      <c r="M4445" t="s">
        <v>6700</v>
      </c>
      <c r="V4445" t="s">
        <v>6694</v>
      </c>
      <c r="W4445" t="s">
        <v>6720</v>
      </c>
    </row>
    <row r="4446" spans="1:23" ht="15.6" x14ac:dyDescent="0.4">
      <c r="A4446" s="2" t="s">
        <v>2942</v>
      </c>
      <c r="B4446" s="5" t="s">
        <v>10631</v>
      </c>
      <c r="C4446" s="7" t="s">
        <v>12556</v>
      </c>
      <c r="D4446" s="8">
        <f t="shared" si="280"/>
        <v>0</v>
      </c>
      <c r="E4446" s="7" t="s">
        <v>12557</v>
      </c>
      <c r="F4446" s="7">
        <f t="shared" si="281"/>
        <v>1</v>
      </c>
      <c r="G4446" s="7" t="s">
        <v>12558</v>
      </c>
      <c r="H4446" s="7">
        <f t="shared" si="282"/>
        <v>0</v>
      </c>
      <c r="I4446" s="7" t="str" cm="1">
        <f t="array" ref="I4446">IFERROR(_xlfn.IFS(M4446="נח",1,M4446="נע ונח",1,M4446="שני שווא נח",2,M4446="שני שוואים בסוף מילה",2,M4446="שני שוואים ברצף",1),"0")</f>
        <v>0</v>
      </c>
      <c r="J4446" s="9">
        <f t="shared" si="283"/>
        <v>4</v>
      </c>
      <c r="K4446" t="s">
        <v>6698</v>
      </c>
      <c r="L4446" t="s">
        <v>6694</v>
      </c>
      <c r="M4446" t="s">
        <v>6700</v>
      </c>
      <c r="O4446" t="s">
        <v>6694</v>
      </c>
      <c r="S4446" t="s">
        <v>6694</v>
      </c>
      <c r="T4446" t="s">
        <v>6694</v>
      </c>
      <c r="W4446" t="s">
        <v>6720</v>
      </c>
    </row>
    <row r="4447" spans="1:23" ht="15.6" x14ac:dyDescent="0.4">
      <c r="A4447" s="2" t="s">
        <v>2747</v>
      </c>
      <c r="B4447" s="5" t="s">
        <v>10632</v>
      </c>
      <c r="C4447" s="7" t="s">
        <v>12556</v>
      </c>
      <c r="D4447" s="8">
        <f t="shared" si="280"/>
        <v>0</v>
      </c>
      <c r="E4447" s="7" t="s">
        <v>12557</v>
      </c>
      <c r="F4447" s="7">
        <f t="shared" si="281"/>
        <v>1</v>
      </c>
      <c r="G4447" s="7" t="s">
        <v>12558</v>
      </c>
      <c r="H4447" s="7">
        <f t="shared" si="282"/>
        <v>1</v>
      </c>
      <c r="I4447" s="7" t="str" cm="1">
        <f t="array" ref="I4447">IFERROR(_xlfn.IFS(M4447="נח",1,M4447="נע ונח",1,M4447="שני שווא נח",2,M4447="שני שוואים בסוף מילה",2,M4447="שני שוואים ברצף",1),"0")</f>
        <v>0</v>
      </c>
      <c r="J4447" s="9">
        <f t="shared" si="283"/>
        <v>4</v>
      </c>
      <c r="K4447" t="s">
        <v>6698</v>
      </c>
      <c r="L4447" t="s">
        <v>6694</v>
      </c>
      <c r="M4447" t="s">
        <v>6700</v>
      </c>
      <c r="P4447" t="s">
        <v>6694</v>
      </c>
      <c r="U4447" t="s">
        <v>6694</v>
      </c>
      <c r="V4447" t="s">
        <v>6694</v>
      </c>
      <c r="W4447" t="s">
        <v>6720</v>
      </c>
    </row>
    <row r="4448" spans="1:23" ht="15.6" x14ac:dyDescent="0.4">
      <c r="A4448" s="2" t="s">
        <v>1816</v>
      </c>
      <c r="B4448" s="5" t="s">
        <v>10633</v>
      </c>
      <c r="C4448" s="7" t="s">
        <v>12556</v>
      </c>
      <c r="D4448" s="8">
        <f t="shared" si="280"/>
        <v>0</v>
      </c>
      <c r="E4448" s="7" t="s">
        <v>12557</v>
      </c>
      <c r="F4448" s="7">
        <f t="shared" si="281"/>
        <v>1</v>
      </c>
      <c r="G4448" s="7" t="s">
        <v>12558</v>
      </c>
      <c r="H4448" s="7">
        <f t="shared" si="282"/>
        <v>0</v>
      </c>
      <c r="I4448" s="7" t="str" cm="1">
        <f t="array" ref="I4448">IFERROR(_xlfn.IFS(M4448="נח",1,M4448="נע ונח",1,M4448="שני שווא נח",2,M4448="שני שוואים בסוף מילה",2,M4448="שני שוואים ברצף",1),"0")</f>
        <v>0</v>
      </c>
      <c r="J4448" s="9">
        <f t="shared" si="283"/>
        <v>4</v>
      </c>
      <c r="K4448" t="s">
        <v>6698</v>
      </c>
      <c r="L4448" t="s">
        <v>6694</v>
      </c>
      <c r="M4448" t="s">
        <v>6700</v>
      </c>
      <c r="P4448" t="s">
        <v>6694</v>
      </c>
      <c r="R4448" t="s">
        <v>6694</v>
      </c>
      <c r="W4448" t="s">
        <v>6720</v>
      </c>
    </row>
    <row r="4449" spans="1:23" ht="15.6" x14ac:dyDescent="0.4">
      <c r="A4449" s="2" t="s">
        <v>3007</v>
      </c>
      <c r="B4449" s="5" t="s">
        <v>10634</v>
      </c>
      <c r="C4449" s="7" t="s">
        <v>12556</v>
      </c>
      <c r="D4449" s="8">
        <f t="shared" si="280"/>
        <v>0</v>
      </c>
      <c r="E4449" s="7" t="s">
        <v>12557</v>
      </c>
      <c r="F4449" s="7">
        <f t="shared" si="281"/>
        <v>1</v>
      </c>
      <c r="G4449" s="7" t="s">
        <v>12558</v>
      </c>
      <c r="H4449" s="7">
        <f t="shared" si="282"/>
        <v>0</v>
      </c>
      <c r="I4449" s="7" t="str" cm="1">
        <f t="array" ref="I4449">IFERROR(_xlfn.IFS(M4449="נח",1,M4449="נע ונח",1,M4449="שני שווא נח",2,M4449="שני שוואים בסוף מילה",2,M4449="שני שוואים ברצף",1),"0")</f>
        <v>0</v>
      </c>
      <c r="J4449" s="9">
        <f t="shared" si="283"/>
        <v>3</v>
      </c>
      <c r="K4449" t="s">
        <v>6698</v>
      </c>
      <c r="L4449" t="s">
        <v>6694</v>
      </c>
      <c r="M4449" t="s">
        <v>6700</v>
      </c>
      <c r="N4449" t="s">
        <v>6706</v>
      </c>
      <c r="O4449" t="s">
        <v>6694</v>
      </c>
      <c r="T4449" t="s">
        <v>6694</v>
      </c>
      <c r="W4449" t="s">
        <v>6720</v>
      </c>
    </row>
    <row r="4450" spans="1:23" ht="15.6" x14ac:dyDescent="0.4">
      <c r="A4450" s="2" t="s">
        <v>1384</v>
      </c>
      <c r="B4450" s="5" t="s">
        <v>10635</v>
      </c>
      <c r="C4450" s="7" t="s">
        <v>12556</v>
      </c>
      <c r="D4450" s="8">
        <f t="shared" si="280"/>
        <v>0</v>
      </c>
      <c r="E4450" s="7" t="s">
        <v>12557</v>
      </c>
      <c r="F4450" s="7">
        <f t="shared" si="281"/>
        <v>0</v>
      </c>
      <c r="G4450" s="7" t="s">
        <v>12558</v>
      </c>
      <c r="H4450" s="7">
        <f t="shared" si="282"/>
        <v>0</v>
      </c>
      <c r="I4450" s="7" t="str" cm="1">
        <f t="array" ref="I4450">IFERROR(_xlfn.IFS(M4450="נח",1,M4450="נע ונח",1,M4450="שני שווא נח",2,M4450="שני שוואים בסוף מילה",2,M4450="שני שוואים ברצף",1),"0")</f>
        <v>0</v>
      </c>
      <c r="J4450" s="9">
        <f t="shared" si="283"/>
        <v>3</v>
      </c>
      <c r="K4450" t="s">
        <v>6697</v>
      </c>
      <c r="L4450" t="s">
        <v>6694</v>
      </c>
      <c r="M4450" t="s">
        <v>6700</v>
      </c>
      <c r="O4450" t="s">
        <v>6694</v>
      </c>
      <c r="Q4450" t="s">
        <v>6694</v>
      </c>
      <c r="W4450" t="s">
        <v>6720</v>
      </c>
    </row>
    <row r="4451" spans="1:23" ht="15.6" x14ac:dyDescent="0.4">
      <c r="A4451" s="2" t="s">
        <v>1221</v>
      </c>
      <c r="B4451" s="5" t="s">
        <v>10636</v>
      </c>
      <c r="C4451" s="7" t="s">
        <v>12556</v>
      </c>
      <c r="D4451" s="8">
        <f t="shared" si="280"/>
        <v>0</v>
      </c>
      <c r="E4451" s="7" t="s">
        <v>12557</v>
      </c>
      <c r="F4451" s="7">
        <f t="shared" si="281"/>
        <v>1</v>
      </c>
      <c r="G4451" s="7" t="s">
        <v>12558</v>
      </c>
      <c r="H4451" s="7">
        <f t="shared" si="282"/>
        <v>0</v>
      </c>
      <c r="I4451" s="7" t="str" cm="1">
        <f t="array" ref="I4451">IFERROR(_xlfn.IFS(M4451="נח",1,M4451="נע ונח",1,M4451="שני שווא נח",2,M4451="שני שוואים בסוף מילה",2,M4451="שני שוואים ברצף",1),"0")</f>
        <v>0</v>
      </c>
      <c r="J4451" s="9">
        <f t="shared" si="283"/>
        <v>3</v>
      </c>
      <c r="K4451" t="s">
        <v>6698</v>
      </c>
      <c r="L4451" t="s">
        <v>6694</v>
      </c>
      <c r="M4451" t="s">
        <v>6700</v>
      </c>
      <c r="N4451" t="s">
        <v>6706</v>
      </c>
      <c r="O4451" t="s">
        <v>6694</v>
      </c>
      <c r="T4451" t="s">
        <v>6694</v>
      </c>
      <c r="W4451" t="s">
        <v>6720</v>
      </c>
    </row>
    <row r="4452" spans="1:23" ht="15.6" x14ac:dyDescent="0.4">
      <c r="A4452" s="2" t="s">
        <v>3344</v>
      </c>
      <c r="B4452" s="5" t="s">
        <v>10637</v>
      </c>
      <c r="C4452" s="7" t="s">
        <v>12556</v>
      </c>
      <c r="D4452" s="8">
        <f t="shared" si="280"/>
        <v>0</v>
      </c>
      <c r="E4452" s="7" t="s">
        <v>12557</v>
      </c>
      <c r="F4452" s="7">
        <f t="shared" si="281"/>
        <v>1</v>
      </c>
      <c r="G4452" s="7" t="s">
        <v>12558</v>
      </c>
      <c r="H4452" s="7">
        <f t="shared" si="282"/>
        <v>0</v>
      </c>
      <c r="I4452" s="7" t="str" cm="1">
        <f t="array" ref="I4452">IFERROR(_xlfn.IFS(M4452="נח",1,M4452="נע ונח",1,M4452="שני שווא נח",2,M4452="שני שוואים בסוף מילה",2,M4452="שני שוואים ברצף",1),"0")</f>
        <v>0</v>
      </c>
      <c r="J4452" s="9">
        <f t="shared" si="283"/>
        <v>3</v>
      </c>
      <c r="K4452" t="s">
        <v>6697</v>
      </c>
      <c r="L4452" t="s">
        <v>6694</v>
      </c>
      <c r="M4452" t="s">
        <v>6700</v>
      </c>
      <c r="O4452" t="s">
        <v>6694</v>
      </c>
      <c r="S4452" t="s">
        <v>6694</v>
      </c>
      <c r="W4452" t="s">
        <v>6720</v>
      </c>
    </row>
    <row r="4453" spans="1:23" ht="15.6" x14ac:dyDescent="0.4">
      <c r="A4453" s="2" t="s">
        <v>6239</v>
      </c>
      <c r="B4453" s="5" t="s">
        <v>10638</v>
      </c>
      <c r="C4453" s="7" t="s">
        <v>12556</v>
      </c>
      <c r="D4453" s="8">
        <f t="shared" si="280"/>
        <v>0</v>
      </c>
      <c r="E4453" s="7" t="s">
        <v>12557</v>
      </c>
      <c r="F4453" s="7">
        <f t="shared" si="281"/>
        <v>1</v>
      </c>
      <c r="G4453" s="7" t="s">
        <v>12558</v>
      </c>
      <c r="H4453" s="7">
        <f t="shared" si="282"/>
        <v>0</v>
      </c>
      <c r="I4453" s="7" t="str" cm="1">
        <f t="array" ref="I4453">IFERROR(_xlfn.IFS(M4453="נח",1,M4453="נע ונח",1,M4453="שני שווא נח",2,M4453="שני שוואים בסוף מילה",2,M4453="שני שוואים ברצף",1),"0")</f>
        <v>0</v>
      </c>
      <c r="J4453" s="9">
        <f t="shared" si="283"/>
        <v>3</v>
      </c>
      <c r="K4453" t="s">
        <v>6698</v>
      </c>
      <c r="L4453" t="s">
        <v>6694</v>
      </c>
      <c r="M4453" t="s">
        <v>6700</v>
      </c>
      <c r="S4453" t="s">
        <v>6694</v>
      </c>
      <c r="V4453" t="s">
        <v>6694</v>
      </c>
      <c r="W4453" t="s">
        <v>6720</v>
      </c>
    </row>
    <row r="4454" spans="1:23" ht="15.6" x14ac:dyDescent="0.4">
      <c r="A4454" s="2" t="s">
        <v>6571</v>
      </c>
      <c r="B4454" s="5" t="s">
        <v>10639</v>
      </c>
      <c r="C4454" s="7" t="s">
        <v>12556</v>
      </c>
      <c r="D4454" s="8">
        <f t="shared" si="280"/>
        <v>0</v>
      </c>
      <c r="E4454" s="7" t="s">
        <v>12557</v>
      </c>
      <c r="F4454" s="7">
        <f t="shared" si="281"/>
        <v>1</v>
      </c>
      <c r="G4454" s="7" t="s">
        <v>12558</v>
      </c>
      <c r="H4454" s="7">
        <f t="shared" si="282"/>
        <v>0</v>
      </c>
      <c r="I4454" s="7" t="str" cm="1">
        <f t="array" ref="I4454">IFERROR(_xlfn.IFS(M4454="נח",1,M4454="נע ונח",1,M4454="שני שווא נח",2,M4454="שני שוואים בסוף מילה",2,M4454="שני שוואים ברצף",1),"0")</f>
        <v>0</v>
      </c>
      <c r="J4454" s="9">
        <f t="shared" si="283"/>
        <v>4</v>
      </c>
      <c r="K4454" t="s">
        <v>6698</v>
      </c>
      <c r="L4454" t="s">
        <v>6694</v>
      </c>
      <c r="M4454" t="s">
        <v>6700</v>
      </c>
      <c r="N4454" t="s">
        <v>6706</v>
      </c>
      <c r="O4454" t="s">
        <v>6694</v>
      </c>
      <c r="S4454" t="s">
        <v>6694</v>
      </c>
      <c r="V4454" t="s">
        <v>6694</v>
      </c>
      <c r="W4454" t="s">
        <v>6720</v>
      </c>
    </row>
    <row r="4455" spans="1:23" ht="15.6" x14ac:dyDescent="0.4">
      <c r="A4455" s="2" t="s">
        <v>2948</v>
      </c>
      <c r="B4455" s="5" t="s">
        <v>10640</v>
      </c>
      <c r="C4455" s="7" t="s">
        <v>12556</v>
      </c>
      <c r="D4455" s="8">
        <f t="shared" si="280"/>
        <v>0</v>
      </c>
      <c r="E4455" s="7" t="s">
        <v>12557</v>
      </c>
      <c r="F4455" s="7">
        <f t="shared" si="281"/>
        <v>1</v>
      </c>
      <c r="G4455" s="7" t="s">
        <v>12558</v>
      </c>
      <c r="H4455" s="7">
        <f t="shared" si="282"/>
        <v>1</v>
      </c>
      <c r="I4455" s="7" t="str" cm="1">
        <f t="array" ref="I4455">IFERROR(_xlfn.IFS(M4455="נח",1,M4455="נע ונח",1,M4455="שני שווא נח",2,M4455="שני שוואים בסוף מילה",2,M4455="שני שוואים ברצף",1),"0")</f>
        <v>0</v>
      </c>
      <c r="J4455" s="9">
        <f t="shared" si="283"/>
        <v>4</v>
      </c>
      <c r="K4455" t="s">
        <v>6697</v>
      </c>
      <c r="L4455" t="s">
        <v>6694</v>
      </c>
      <c r="M4455" t="s">
        <v>6700</v>
      </c>
      <c r="O4455" t="s">
        <v>6694</v>
      </c>
      <c r="Q4455" t="s">
        <v>6694</v>
      </c>
      <c r="U4455" t="s">
        <v>6694</v>
      </c>
      <c r="W4455" t="s">
        <v>6720</v>
      </c>
    </row>
    <row r="4456" spans="1:23" ht="15.6" x14ac:dyDescent="0.4">
      <c r="A4456" s="2" t="s">
        <v>1835</v>
      </c>
      <c r="B4456" s="5" t="s">
        <v>10641</v>
      </c>
      <c r="C4456" s="7" t="s">
        <v>12556</v>
      </c>
      <c r="D4456" s="8">
        <f t="shared" si="280"/>
        <v>0</v>
      </c>
      <c r="E4456" s="7" t="s">
        <v>12557</v>
      </c>
      <c r="F4456" s="7">
        <f t="shared" si="281"/>
        <v>1</v>
      </c>
      <c r="G4456" s="7" t="s">
        <v>12558</v>
      </c>
      <c r="H4456" s="7">
        <f t="shared" si="282"/>
        <v>0</v>
      </c>
      <c r="I4456" s="7" t="str" cm="1">
        <f t="array" ref="I4456">IFERROR(_xlfn.IFS(M4456="נח",1,M4456="נע ונח",1,M4456="שני שווא נח",2,M4456="שני שוואים בסוף מילה",2,M4456="שני שוואים ברצף",1),"0")</f>
        <v>0</v>
      </c>
      <c r="J4456" s="9">
        <f t="shared" si="283"/>
        <v>3</v>
      </c>
      <c r="K4456" t="s">
        <v>6698</v>
      </c>
      <c r="L4456" t="s">
        <v>6694</v>
      </c>
      <c r="M4456" t="s">
        <v>6700</v>
      </c>
      <c r="N4456" t="s">
        <v>6706</v>
      </c>
      <c r="O4456" t="s">
        <v>6694</v>
      </c>
      <c r="T4456" t="s">
        <v>6694</v>
      </c>
      <c r="W4456" t="s">
        <v>6720</v>
      </c>
    </row>
    <row r="4457" spans="1:23" ht="15.6" x14ac:dyDescent="0.4">
      <c r="A4457" s="2" t="s">
        <v>3877</v>
      </c>
      <c r="B4457" s="5" t="s">
        <v>10642</v>
      </c>
      <c r="C4457" s="7" t="s">
        <v>12556</v>
      </c>
      <c r="D4457" s="8">
        <f t="shared" si="280"/>
        <v>0</v>
      </c>
      <c r="E4457" s="7" t="s">
        <v>12557</v>
      </c>
      <c r="F4457" s="7">
        <f t="shared" si="281"/>
        <v>0</v>
      </c>
      <c r="G4457" s="7" t="s">
        <v>12558</v>
      </c>
      <c r="H4457" s="7">
        <f t="shared" si="282"/>
        <v>0</v>
      </c>
      <c r="I4457" s="7" t="str" cm="1">
        <f t="array" ref="I4457">IFERROR(_xlfn.IFS(M4457="נח",1,M4457="נע ונח",1,M4457="שני שווא נח",2,M4457="שני שוואים בסוף מילה",2,M4457="שני שוואים ברצף",1),"0")</f>
        <v>0</v>
      </c>
      <c r="J4457" s="9">
        <f t="shared" si="283"/>
        <v>2</v>
      </c>
      <c r="K4457" t="s">
        <v>6697</v>
      </c>
      <c r="L4457" t="s">
        <v>6694</v>
      </c>
      <c r="M4457" t="s">
        <v>6700</v>
      </c>
      <c r="Q4457" t="s">
        <v>6694</v>
      </c>
      <c r="W4457" t="s">
        <v>6720</v>
      </c>
    </row>
    <row r="4458" spans="1:23" ht="15.6" x14ac:dyDescent="0.4">
      <c r="A4458" s="2" t="s">
        <v>3648</v>
      </c>
      <c r="B4458" s="5" t="s">
        <v>10643</v>
      </c>
      <c r="C4458" s="7" t="s">
        <v>12556</v>
      </c>
      <c r="D4458" s="8">
        <f t="shared" si="280"/>
        <v>0</v>
      </c>
      <c r="E4458" s="7" t="s">
        <v>12557</v>
      </c>
      <c r="F4458" s="7">
        <f t="shared" si="281"/>
        <v>0</v>
      </c>
      <c r="G4458" s="7" t="s">
        <v>12558</v>
      </c>
      <c r="H4458" s="7">
        <f t="shared" si="282"/>
        <v>0</v>
      </c>
      <c r="I4458" s="7" t="str" cm="1">
        <f t="array" ref="I4458">IFERROR(_xlfn.IFS(M4458="נח",1,M4458="נע ונח",1,M4458="שני שווא נח",2,M4458="שני שוואים בסוף מילה",2,M4458="שני שוואים ברצף",1),"0")</f>
        <v>0</v>
      </c>
      <c r="J4458" s="9">
        <f t="shared" si="283"/>
        <v>3</v>
      </c>
      <c r="K4458" t="s">
        <v>6698</v>
      </c>
      <c r="L4458" t="s">
        <v>6694</v>
      </c>
      <c r="M4458" t="s">
        <v>6700</v>
      </c>
      <c r="O4458" t="s">
        <v>6694</v>
      </c>
      <c r="Q4458" t="s">
        <v>6694</v>
      </c>
      <c r="W4458" t="s">
        <v>6720</v>
      </c>
    </row>
    <row r="4459" spans="1:23" ht="15.6" x14ac:dyDescent="0.4">
      <c r="A4459" s="2" t="s">
        <v>6461</v>
      </c>
      <c r="B4459" s="5" t="s">
        <v>10644</v>
      </c>
      <c r="C4459" s="7" t="s">
        <v>12556</v>
      </c>
      <c r="D4459" s="8">
        <f t="shared" si="280"/>
        <v>0</v>
      </c>
      <c r="E4459" s="7" t="s">
        <v>12557</v>
      </c>
      <c r="F4459" s="7">
        <f t="shared" si="281"/>
        <v>0</v>
      </c>
      <c r="G4459" s="7" t="s">
        <v>12558</v>
      </c>
      <c r="H4459" s="7">
        <f t="shared" si="282"/>
        <v>0</v>
      </c>
      <c r="I4459" s="7" t="str" cm="1">
        <f t="array" ref="I4459">IFERROR(_xlfn.IFS(M4459="נח",1,M4459="נע ונח",1,M4459="שני שווא נח",2,M4459="שני שוואים בסוף מילה",2,M4459="שני שוואים ברצף",1),"0")</f>
        <v>0</v>
      </c>
      <c r="J4459" s="9">
        <f t="shared" si="283"/>
        <v>4</v>
      </c>
      <c r="K4459" t="s">
        <v>6697</v>
      </c>
      <c r="L4459" t="s">
        <v>6694</v>
      </c>
      <c r="M4459" t="s">
        <v>6703</v>
      </c>
      <c r="S4459" t="s">
        <v>6694</v>
      </c>
      <c r="V4459" t="s">
        <v>6694</v>
      </c>
      <c r="W4459" t="s">
        <v>6720</v>
      </c>
    </row>
    <row r="4460" spans="1:23" ht="15.6" x14ac:dyDescent="0.4">
      <c r="A4460" s="2" t="s">
        <v>2946</v>
      </c>
      <c r="B4460" s="5" t="s">
        <v>10645</v>
      </c>
      <c r="C4460" s="7" t="s">
        <v>12556</v>
      </c>
      <c r="D4460" s="8">
        <f t="shared" si="280"/>
        <v>0</v>
      </c>
      <c r="E4460" s="7" t="s">
        <v>12557</v>
      </c>
      <c r="F4460" s="7">
        <f t="shared" si="281"/>
        <v>1</v>
      </c>
      <c r="G4460" s="7" t="s">
        <v>12558</v>
      </c>
      <c r="H4460" s="7">
        <f t="shared" si="282"/>
        <v>0</v>
      </c>
      <c r="I4460" s="7" t="str" cm="1">
        <f t="array" ref="I4460">IFERROR(_xlfn.IFS(M4460="נח",1,M4460="נע ונח",1,M4460="שני שווא נח",2,M4460="שני שוואים בסוף מילה",2,M4460="שני שוואים ברצף",1),"0")</f>
        <v>0</v>
      </c>
      <c r="J4460" s="9">
        <f t="shared" si="283"/>
        <v>4</v>
      </c>
      <c r="K4460" t="s">
        <v>6698</v>
      </c>
      <c r="L4460" t="s">
        <v>6694</v>
      </c>
      <c r="M4460" t="s">
        <v>6700</v>
      </c>
      <c r="O4460" t="s">
        <v>6694</v>
      </c>
      <c r="T4460" t="s">
        <v>6694</v>
      </c>
      <c r="V4460" t="s">
        <v>6694</v>
      </c>
      <c r="W4460" t="s">
        <v>6720</v>
      </c>
    </row>
    <row r="4461" spans="1:23" ht="15.6" x14ac:dyDescent="0.4">
      <c r="A4461" s="2" t="s">
        <v>6448</v>
      </c>
      <c r="B4461" s="5" t="s">
        <v>10646</v>
      </c>
      <c r="C4461" s="7" t="s">
        <v>12556</v>
      </c>
      <c r="D4461" s="8">
        <f t="shared" si="280"/>
        <v>0</v>
      </c>
      <c r="E4461" s="7" t="s">
        <v>12557</v>
      </c>
      <c r="F4461" s="7">
        <f t="shared" si="281"/>
        <v>1</v>
      </c>
      <c r="G4461" s="7" t="s">
        <v>12558</v>
      </c>
      <c r="H4461" s="7">
        <f t="shared" si="282"/>
        <v>0</v>
      </c>
      <c r="I4461" s="7" t="str" cm="1">
        <f t="array" ref="I4461">IFERROR(_xlfn.IFS(M4461="נח",1,M4461="נע ונח",1,M4461="שני שווא נח",2,M4461="שני שוואים בסוף מילה",2,M4461="שני שוואים ברצף",1),"0")</f>
        <v>0</v>
      </c>
      <c r="J4461" s="9">
        <f t="shared" si="283"/>
        <v>3</v>
      </c>
      <c r="K4461" t="s">
        <v>6698</v>
      </c>
      <c r="L4461" t="s">
        <v>6694</v>
      </c>
      <c r="M4461" t="s">
        <v>6700</v>
      </c>
      <c r="N4461" t="s">
        <v>6706</v>
      </c>
      <c r="O4461" t="s">
        <v>6694</v>
      </c>
      <c r="T4461" t="s">
        <v>6694</v>
      </c>
      <c r="W4461" t="s">
        <v>6720</v>
      </c>
    </row>
    <row r="4462" spans="1:23" ht="15.6" x14ac:dyDescent="0.4">
      <c r="A4462" s="2" t="s">
        <v>4344</v>
      </c>
      <c r="B4462" s="5" t="s">
        <v>10647</v>
      </c>
      <c r="C4462" s="7" t="s">
        <v>12556</v>
      </c>
      <c r="D4462" s="8">
        <f t="shared" si="280"/>
        <v>1</v>
      </c>
      <c r="E4462" s="7" t="s">
        <v>12557</v>
      </c>
      <c r="F4462" s="7">
        <f t="shared" si="281"/>
        <v>1</v>
      </c>
      <c r="G4462" s="7" t="s">
        <v>12558</v>
      </c>
      <c r="H4462" s="7">
        <f t="shared" si="282"/>
        <v>0</v>
      </c>
      <c r="I4462" s="7" t="str" cm="1">
        <f t="array" ref="I4462">IFERROR(_xlfn.IFS(M4462="נח",1,M4462="נע ונח",1,M4462="שני שווא נח",2,M4462="שני שוואים בסוף מילה",2,M4462="שני שוואים ברצף",1),"0")</f>
        <v>0</v>
      </c>
      <c r="J4462" s="9">
        <f t="shared" si="283"/>
        <v>3</v>
      </c>
      <c r="K4462" t="s">
        <v>6698</v>
      </c>
      <c r="L4462" t="s">
        <v>6694</v>
      </c>
      <c r="M4462" t="s">
        <v>6700</v>
      </c>
      <c r="O4462" t="s">
        <v>6694</v>
      </c>
      <c r="T4462" t="s">
        <v>6694</v>
      </c>
      <c r="W4462" t="s">
        <v>6720</v>
      </c>
    </row>
    <row r="4463" spans="1:23" ht="15.6" x14ac:dyDescent="0.4">
      <c r="A4463" s="2" t="s">
        <v>1594</v>
      </c>
      <c r="B4463" s="5" t="s">
        <v>10648</v>
      </c>
      <c r="C4463" s="7" t="s">
        <v>12556</v>
      </c>
      <c r="D4463" s="8">
        <f t="shared" si="280"/>
        <v>0</v>
      </c>
      <c r="E4463" s="7" t="s">
        <v>12557</v>
      </c>
      <c r="F4463" s="7">
        <f t="shared" si="281"/>
        <v>0</v>
      </c>
      <c r="G4463" s="7" t="s">
        <v>12558</v>
      </c>
      <c r="H4463" s="7">
        <f t="shared" si="282"/>
        <v>0</v>
      </c>
      <c r="I4463" s="7" t="str" cm="1">
        <f t="array" ref="I4463">IFERROR(_xlfn.IFS(M4463="נח",1,M4463="נע ונח",1,M4463="שני שווא נח",2,M4463="שני שוואים בסוף מילה",2,M4463="שני שוואים ברצף",1),"0")</f>
        <v>0</v>
      </c>
      <c r="J4463" s="9">
        <f t="shared" si="283"/>
        <v>2</v>
      </c>
      <c r="K4463" t="s">
        <v>6698</v>
      </c>
      <c r="L4463" t="s">
        <v>6694</v>
      </c>
      <c r="M4463" t="s">
        <v>6700</v>
      </c>
      <c r="V4463" t="s">
        <v>6694</v>
      </c>
      <c r="W4463" t="s">
        <v>6720</v>
      </c>
    </row>
    <row r="4464" spans="1:23" ht="15.6" x14ac:dyDescent="0.4">
      <c r="A4464" s="2" t="s">
        <v>4582</v>
      </c>
      <c r="B4464" s="5" t="s">
        <v>10649</v>
      </c>
      <c r="C4464" s="7" t="s">
        <v>12556</v>
      </c>
      <c r="D4464" s="8">
        <f t="shared" si="280"/>
        <v>0</v>
      </c>
      <c r="E4464" s="7" t="s">
        <v>12557</v>
      </c>
      <c r="F4464" s="7">
        <f t="shared" si="281"/>
        <v>0</v>
      </c>
      <c r="G4464" s="7" t="s">
        <v>12558</v>
      </c>
      <c r="H4464" s="7">
        <f t="shared" si="282"/>
        <v>0</v>
      </c>
      <c r="I4464" s="7" t="str" cm="1">
        <f t="array" ref="I4464">IFERROR(_xlfn.IFS(M4464="נח",1,M4464="נע ונח",1,M4464="שני שווא נח",2,M4464="שני שוואים בסוף מילה",2,M4464="שני שוואים ברצף",1),"0")</f>
        <v>0</v>
      </c>
      <c r="J4464" s="9">
        <f t="shared" si="283"/>
        <v>3</v>
      </c>
      <c r="K4464" t="s">
        <v>6698</v>
      </c>
      <c r="L4464" t="s">
        <v>6694</v>
      </c>
      <c r="M4464" t="s">
        <v>6700</v>
      </c>
      <c r="P4464" t="s">
        <v>6694</v>
      </c>
      <c r="Q4464" t="s">
        <v>6694</v>
      </c>
      <c r="W4464" t="s">
        <v>6720</v>
      </c>
    </row>
    <row r="4465" spans="1:23" ht="15.6" x14ac:dyDescent="0.4">
      <c r="A4465" s="2" t="s">
        <v>2197</v>
      </c>
      <c r="B4465" s="5" t="s">
        <v>10650</v>
      </c>
      <c r="C4465" s="7" t="s">
        <v>12556</v>
      </c>
      <c r="D4465" s="8">
        <f t="shared" si="280"/>
        <v>0</v>
      </c>
      <c r="E4465" s="7" t="s">
        <v>12557</v>
      </c>
      <c r="F4465" s="7">
        <f t="shared" si="281"/>
        <v>0</v>
      </c>
      <c r="G4465" s="7" t="s">
        <v>12558</v>
      </c>
      <c r="H4465" s="7">
        <f t="shared" si="282"/>
        <v>0</v>
      </c>
      <c r="I4465" s="7" t="str" cm="1">
        <f t="array" ref="I4465">IFERROR(_xlfn.IFS(M4465="נח",1,M4465="נע ונח",1,M4465="שני שווא נח",2,M4465="שני שוואים בסוף מילה",2,M4465="שני שוואים ברצף",1),"0")</f>
        <v>0</v>
      </c>
      <c r="J4465" s="9">
        <f t="shared" si="283"/>
        <v>2</v>
      </c>
      <c r="K4465" t="s">
        <v>6698</v>
      </c>
      <c r="L4465" t="s">
        <v>6694</v>
      </c>
      <c r="M4465" t="s">
        <v>6700</v>
      </c>
      <c r="V4465" t="s">
        <v>6694</v>
      </c>
      <c r="W4465" t="s">
        <v>6720</v>
      </c>
    </row>
    <row r="4466" spans="1:23" ht="15.6" x14ac:dyDescent="0.4">
      <c r="A4466" s="2" t="s">
        <v>636</v>
      </c>
      <c r="B4466" s="5" t="s">
        <v>10651</v>
      </c>
      <c r="C4466" s="7" t="s">
        <v>12556</v>
      </c>
      <c r="D4466" s="8">
        <f t="shared" si="280"/>
        <v>0</v>
      </c>
      <c r="E4466" s="7" t="s">
        <v>12557</v>
      </c>
      <c r="F4466" s="7">
        <f t="shared" si="281"/>
        <v>0</v>
      </c>
      <c r="G4466" s="7" t="s">
        <v>12558</v>
      </c>
      <c r="H4466" s="7">
        <f t="shared" si="282"/>
        <v>0</v>
      </c>
      <c r="I4466" s="7" t="str" cm="1">
        <f t="array" ref="I4466">IFERROR(_xlfn.IFS(M4466="נח",1,M4466="נע ונח",1,M4466="שני שווא נח",2,M4466="שני שוואים בסוף מילה",2,M4466="שני שוואים ברצף",1),"0")</f>
        <v>0</v>
      </c>
      <c r="J4466" s="9">
        <f t="shared" si="283"/>
        <v>4</v>
      </c>
      <c r="K4466" t="s">
        <v>6698</v>
      </c>
      <c r="L4466" t="s">
        <v>6694</v>
      </c>
      <c r="M4466" t="s">
        <v>6700</v>
      </c>
      <c r="O4466" t="s">
        <v>6694</v>
      </c>
      <c r="R4466" t="s">
        <v>6694</v>
      </c>
      <c r="V4466" t="s">
        <v>6694</v>
      </c>
      <c r="W4466" t="s">
        <v>6720</v>
      </c>
    </row>
    <row r="4467" spans="1:23" ht="15.6" x14ac:dyDescent="0.4">
      <c r="A4467" s="2" t="s">
        <v>2949</v>
      </c>
      <c r="B4467" s="5" t="s">
        <v>10652</v>
      </c>
      <c r="C4467" s="7" t="s">
        <v>12556</v>
      </c>
      <c r="D4467" s="8">
        <f t="shared" si="280"/>
        <v>0</v>
      </c>
      <c r="E4467" s="7" t="s">
        <v>12557</v>
      </c>
      <c r="F4467" s="7">
        <f t="shared" si="281"/>
        <v>0</v>
      </c>
      <c r="G4467" s="7" t="s">
        <v>12558</v>
      </c>
      <c r="H4467" s="7">
        <f t="shared" si="282"/>
        <v>0</v>
      </c>
      <c r="I4467" s="7" t="str" cm="1">
        <f t="array" ref="I4467">IFERROR(_xlfn.IFS(M4467="נח",1,M4467="נע ונח",1,M4467="שני שווא נח",2,M4467="שני שוואים בסוף מילה",2,M4467="שני שוואים ברצף",1),"0")</f>
        <v>0</v>
      </c>
      <c r="J4467" s="9">
        <f t="shared" si="283"/>
        <v>3</v>
      </c>
      <c r="K4467" t="s">
        <v>6698</v>
      </c>
      <c r="L4467" t="s">
        <v>6694</v>
      </c>
      <c r="M4467" t="s">
        <v>6700</v>
      </c>
      <c r="Q4467" t="s">
        <v>6694</v>
      </c>
      <c r="S4467" t="s">
        <v>6694</v>
      </c>
      <c r="W4467" t="s">
        <v>6720</v>
      </c>
    </row>
    <row r="4468" spans="1:23" ht="15.6" x14ac:dyDescent="0.4">
      <c r="A4468" s="2" t="s">
        <v>4143</v>
      </c>
      <c r="B4468" s="5" t="s">
        <v>10653</v>
      </c>
      <c r="C4468" s="7" t="s">
        <v>12556</v>
      </c>
      <c r="D4468" s="8">
        <f t="shared" si="280"/>
        <v>1</v>
      </c>
      <c r="E4468" s="7" t="s">
        <v>12557</v>
      </c>
      <c r="F4468" s="7">
        <f t="shared" si="281"/>
        <v>0</v>
      </c>
      <c r="G4468" s="7" t="s">
        <v>12558</v>
      </c>
      <c r="H4468" s="7">
        <f t="shared" si="282"/>
        <v>0</v>
      </c>
      <c r="I4468" s="7" t="str" cm="1">
        <f t="array" ref="I4468">IFERROR(_xlfn.IFS(M4468="נח",1,M4468="נע ונח",1,M4468="שני שווא נח",2,M4468="שני שוואים בסוף מילה",2,M4468="שני שוואים ברצף",1),"0")</f>
        <v>0</v>
      </c>
      <c r="J4468" s="9">
        <f t="shared" si="283"/>
        <v>4</v>
      </c>
      <c r="K4468" t="s">
        <v>6698</v>
      </c>
      <c r="L4468" t="s">
        <v>6694</v>
      </c>
      <c r="M4468" t="s">
        <v>6700</v>
      </c>
      <c r="P4468" t="s">
        <v>6694</v>
      </c>
      <c r="S4468" t="s">
        <v>6694</v>
      </c>
      <c r="W4468" t="s">
        <v>6720</v>
      </c>
    </row>
    <row r="4469" spans="1:23" ht="15.6" x14ac:dyDescent="0.4">
      <c r="A4469" s="2" t="s">
        <v>2048</v>
      </c>
      <c r="B4469" s="5" t="s">
        <v>10654</v>
      </c>
      <c r="C4469" s="7" t="s">
        <v>12556</v>
      </c>
      <c r="D4469" s="8">
        <f t="shared" si="280"/>
        <v>0</v>
      </c>
      <c r="E4469" s="7" t="s">
        <v>12557</v>
      </c>
      <c r="F4469" s="7">
        <f t="shared" si="281"/>
        <v>1</v>
      </c>
      <c r="G4469" s="7" t="s">
        <v>12558</v>
      </c>
      <c r="H4469" s="7">
        <f t="shared" si="282"/>
        <v>0</v>
      </c>
      <c r="I4469" s="7" t="str" cm="1">
        <f t="array" ref="I4469">IFERROR(_xlfn.IFS(M4469="נח",1,M4469="נע ונח",1,M4469="שני שווא נח",2,M4469="שני שוואים בסוף מילה",2,M4469="שני שוואים ברצף",1),"0")</f>
        <v>0</v>
      </c>
      <c r="J4469" s="9">
        <f t="shared" si="283"/>
        <v>3</v>
      </c>
      <c r="K4469" t="s">
        <v>6698</v>
      </c>
      <c r="L4469" t="s">
        <v>6694</v>
      </c>
      <c r="M4469" t="s">
        <v>6700</v>
      </c>
      <c r="P4469" t="s">
        <v>6694</v>
      </c>
      <c r="Q4469" t="s">
        <v>6694</v>
      </c>
      <c r="W4469" t="s">
        <v>6720</v>
      </c>
    </row>
    <row r="4470" spans="1:23" ht="15.6" x14ac:dyDescent="0.4">
      <c r="A4470" s="2" t="s">
        <v>1576</v>
      </c>
      <c r="B4470" s="5" t="s">
        <v>10655</v>
      </c>
      <c r="C4470" s="7" t="s">
        <v>12556</v>
      </c>
      <c r="D4470" s="8">
        <f t="shared" si="280"/>
        <v>0</v>
      </c>
      <c r="E4470" s="7" t="s">
        <v>12557</v>
      </c>
      <c r="F4470" s="7">
        <f t="shared" si="281"/>
        <v>0</v>
      </c>
      <c r="G4470" s="7" t="s">
        <v>12558</v>
      </c>
      <c r="H4470" s="7">
        <f t="shared" si="282"/>
        <v>0</v>
      </c>
      <c r="I4470" s="7" t="str" cm="1">
        <f t="array" ref="I4470">IFERROR(_xlfn.IFS(M4470="נח",1,M4470="נע ונח",1,M4470="שני שווא נח",2,M4470="שני שוואים בסוף מילה",2,M4470="שני שוואים ברצף",1),"0")</f>
        <v>0</v>
      </c>
      <c r="J4470" s="9">
        <f t="shared" si="283"/>
        <v>3</v>
      </c>
      <c r="K4470" t="s">
        <v>6697</v>
      </c>
      <c r="L4470" t="s">
        <v>6694</v>
      </c>
      <c r="M4470" t="s">
        <v>6700</v>
      </c>
      <c r="O4470" t="s">
        <v>6694</v>
      </c>
      <c r="W4470" t="s">
        <v>6720</v>
      </c>
    </row>
    <row r="4471" spans="1:23" ht="15.6" x14ac:dyDescent="0.4">
      <c r="A4471" s="2" t="s">
        <v>1265</v>
      </c>
      <c r="B4471" s="5" t="s">
        <v>10656</v>
      </c>
      <c r="C4471" s="7" t="s">
        <v>12556</v>
      </c>
      <c r="D4471" s="8">
        <f t="shared" si="280"/>
        <v>0</v>
      </c>
      <c r="E4471" s="7" t="s">
        <v>12557</v>
      </c>
      <c r="F4471" s="7">
        <f t="shared" si="281"/>
        <v>0</v>
      </c>
      <c r="G4471" s="7" t="s">
        <v>12558</v>
      </c>
      <c r="H4471" s="7">
        <f t="shared" si="282"/>
        <v>0</v>
      </c>
      <c r="I4471" s="7" t="str" cm="1">
        <f t="array" ref="I4471">IFERROR(_xlfn.IFS(M4471="נח",1,M4471="נע ונח",1,M4471="שני שווא נח",2,M4471="שני שוואים בסוף מילה",2,M4471="שני שוואים ברצף",1),"0")</f>
        <v>0</v>
      </c>
      <c r="J4471" s="9">
        <f t="shared" si="283"/>
        <v>3</v>
      </c>
      <c r="K4471" t="s">
        <v>6698</v>
      </c>
      <c r="L4471" t="s">
        <v>6694</v>
      </c>
      <c r="M4471" t="s">
        <v>6700</v>
      </c>
      <c r="O4471" t="s">
        <v>6694</v>
      </c>
      <c r="S4471" t="s">
        <v>6694</v>
      </c>
      <c r="W4471" t="s">
        <v>6720</v>
      </c>
    </row>
    <row r="4472" spans="1:23" ht="15.6" x14ac:dyDescent="0.4">
      <c r="A4472" s="2" t="s">
        <v>2794</v>
      </c>
      <c r="B4472" s="5" t="s">
        <v>10657</v>
      </c>
      <c r="C4472" s="7" t="s">
        <v>12556</v>
      </c>
      <c r="D4472" s="8">
        <f t="shared" si="280"/>
        <v>1</v>
      </c>
      <c r="E4472" s="7" t="s">
        <v>12557</v>
      </c>
      <c r="F4472" s="7">
        <f t="shared" si="281"/>
        <v>0</v>
      </c>
      <c r="G4472" s="7" t="s">
        <v>12558</v>
      </c>
      <c r="H4472" s="7">
        <f t="shared" si="282"/>
        <v>0</v>
      </c>
      <c r="I4472" s="7" cm="1">
        <f t="array" ref="I4472">IFERROR(_xlfn.IFS(M4472="נח",1,M4472="נע ונח",1,M4472="שני שווא נח",2,M4472="שני שוואים בסוף מילה",2,M4472="שני שוואים ברצף",1),"0")</f>
        <v>1</v>
      </c>
      <c r="J4472" s="9">
        <f t="shared" si="283"/>
        <v>3</v>
      </c>
      <c r="K4472" t="s">
        <v>6697</v>
      </c>
      <c r="L4472" t="s">
        <v>6694</v>
      </c>
      <c r="M4472" t="s">
        <v>6701</v>
      </c>
      <c r="O4472" t="s">
        <v>6694</v>
      </c>
      <c r="S4472" t="s">
        <v>6694</v>
      </c>
      <c r="W4472" t="s">
        <v>6720</v>
      </c>
    </row>
    <row r="4473" spans="1:23" ht="15.6" x14ac:dyDescent="0.4">
      <c r="A4473" s="2" t="s">
        <v>3944</v>
      </c>
      <c r="B4473" s="5" t="s">
        <v>10658</v>
      </c>
      <c r="C4473" s="7" t="s">
        <v>12556</v>
      </c>
      <c r="D4473" s="8">
        <f t="shared" si="280"/>
        <v>1</v>
      </c>
      <c r="E4473" s="7" t="s">
        <v>12557</v>
      </c>
      <c r="F4473" s="7">
        <f t="shared" si="281"/>
        <v>1</v>
      </c>
      <c r="G4473" s="7" t="s">
        <v>12558</v>
      </c>
      <c r="H4473" s="7">
        <f t="shared" si="282"/>
        <v>0</v>
      </c>
      <c r="I4473" s="7" t="str" cm="1">
        <f t="array" ref="I4473">IFERROR(_xlfn.IFS(M4473="נח",1,M4473="נע ונח",1,M4473="שני שווא נח",2,M4473="שני שוואים בסוף מילה",2,M4473="שני שוואים ברצף",1),"0")</f>
        <v>0</v>
      </c>
      <c r="J4473" s="9">
        <f t="shared" si="283"/>
        <v>3</v>
      </c>
      <c r="K4473" t="s">
        <v>6698</v>
      </c>
      <c r="L4473" t="s">
        <v>6694</v>
      </c>
      <c r="M4473" t="s">
        <v>6700</v>
      </c>
      <c r="O4473" t="s">
        <v>6694</v>
      </c>
      <c r="T4473" t="s">
        <v>6694</v>
      </c>
      <c r="W4473" t="s">
        <v>6720</v>
      </c>
    </row>
    <row r="4474" spans="1:23" ht="15.6" x14ac:dyDescent="0.4">
      <c r="A4474" s="2" t="s">
        <v>4256</v>
      </c>
      <c r="B4474" s="5" t="s">
        <v>10659</v>
      </c>
      <c r="C4474" s="7" t="s">
        <v>12556</v>
      </c>
      <c r="D4474" s="8">
        <f t="shared" si="280"/>
        <v>1</v>
      </c>
      <c r="E4474" s="7" t="s">
        <v>12557</v>
      </c>
      <c r="F4474" s="7">
        <f t="shared" si="281"/>
        <v>1</v>
      </c>
      <c r="G4474" s="7" t="s">
        <v>12558</v>
      </c>
      <c r="H4474" s="7">
        <f t="shared" si="282"/>
        <v>0</v>
      </c>
      <c r="I4474" s="7" t="str" cm="1">
        <f t="array" ref="I4474">IFERROR(_xlfn.IFS(M4474="נח",1,M4474="נע ונח",1,M4474="שני שווא נח",2,M4474="שני שוואים בסוף מילה",2,M4474="שני שוואים ברצף",1),"0")</f>
        <v>0</v>
      </c>
      <c r="J4474" s="9">
        <f t="shared" si="283"/>
        <v>3</v>
      </c>
      <c r="K4474" t="s">
        <v>6697</v>
      </c>
      <c r="L4474" t="s">
        <v>6694</v>
      </c>
      <c r="M4474" t="s">
        <v>6700</v>
      </c>
      <c r="P4474" t="s">
        <v>6694</v>
      </c>
      <c r="R4474" t="s">
        <v>6694</v>
      </c>
      <c r="W4474" t="s">
        <v>6720</v>
      </c>
    </row>
    <row r="4475" spans="1:23" ht="15.6" x14ac:dyDescent="0.4">
      <c r="A4475" s="2" t="s">
        <v>5329</v>
      </c>
      <c r="B4475" s="5" t="s">
        <v>10660</v>
      </c>
      <c r="C4475" s="7" t="s">
        <v>12556</v>
      </c>
      <c r="D4475" s="8">
        <f t="shared" si="280"/>
        <v>0</v>
      </c>
      <c r="E4475" s="7" t="s">
        <v>12557</v>
      </c>
      <c r="F4475" s="7">
        <f t="shared" si="281"/>
        <v>0</v>
      </c>
      <c r="G4475" s="7" t="s">
        <v>12558</v>
      </c>
      <c r="H4475" s="7">
        <f t="shared" si="282"/>
        <v>0</v>
      </c>
      <c r="I4475" s="7" t="str" cm="1">
        <f t="array" ref="I4475">IFERROR(_xlfn.IFS(M4475="נח",1,M4475="נע ונח",1,M4475="שני שווא נח",2,M4475="שני שוואים בסוף מילה",2,M4475="שני שוואים ברצף",1),"0")</f>
        <v>0</v>
      </c>
      <c r="J4475" s="9">
        <f t="shared" si="283"/>
        <v>4</v>
      </c>
      <c r="K4475" t="s">
        <v>6698</v>
      </c>
      <c r="L4475" t="s">
        <v>6694</v>
      </c>
      <c r="M4475" t="s">
        <v>6700</v>
      </c>
      <c r="O4475" t="s">
        <v>6694</v>
      </c>
      <c r="P4475" t="s">
        <v>6694</v>
      </c>
      <c r="S4475" t="s">
        <v>6694</v>
      </c>
      <c r="W4475" t="s">
        <v>6720</v>
      </c>
    </row>
    <row r="4476" spans="1:23" ht="15.6" x14ac:dyDescent="0.4">
      <c r="A4476" s="2" t="s">
        <v>2466</v>
      </c>
      <c r="B4476" s="5" t="s">
        <v>10661</v>
      </c>
      <c r="C4476" s="7" t="s">
        <v>12556</v>
      </c>
      <c r="D4476" s="8">
        <f t="shared" si="280"/>
        <v>0</v>
      </c>
      <c r="E4476" s="7" t="s">
        <v>12557</v>
      </c>
      <c r="F4476" s="7">
        <f t="shared" si="281"/>
        <v>0</v>
      </c>
      <c r="G4476" s="7" t="s">
        <v>12558</v>
      </c>
      <c r="H4476" s="7">
        <f t="shared" si="282"/>
        <v>0</v>
      </c>
      <c r="I4476" s="7" t="str" cm="1">
        <f t="array" ref="I4476">IFERROR(_xlfn.IFS(M4476="נח",1,M4476="נע ונח",1,M4476="שני שווא נח",2,M4476="שני שוואים בסוף מילה",2,M4476="שני שוואים ברצף",1),"0")</f>
        <v>0</v>
      </c>
      <c r="J4476" s="9">
        <f t="shared" si="283"/>
        <v>2</v>
      </c>
      <c r="K4476" t="s">
        <v>6698</v>
      </c>
      <c r="L4476" t="s">
        <v>6694</v>
      </c>
      <c r="M4476" t="s">
        <v>6700</v>
      </c>
      <c r="N4476" t="s">
        <v>6706</v>
      </c>
      <c r="O4476" t="s">
        <v>6694</v>
      </c>
      <c r="W4476" t="s">
        <v>6720</v>
      </c>
    </row>
    <row r="4477" spans="1:23" ht="15.6" x14ac:dyDescent="0.4">
      <c r="A4477" s="2" t="s">
        <v>608</v>
      </c>
      <c r="B4477" s="5" t="s">
        <v>10662</v>
      </c>
      <c r="C4477" s="7" t="s">
        <v>12556</v>
      </c>
      <c r="D4477" s="8">
        <f t="shared" si="280"/>
        <v>0</v>
      </c>
      <c r="E4477" s="7" t="s">
        <v>12557</v>
      </c>
      <c r="F4477" s="7">
        <f t="shared" si="281"/>
        <v>0</v>
      </c>
      <c r="G4477" s="7" t="s">
        <v>12558</v>
      </c>
      <c r="H4477" s="7">
        <f t="shared" si="282"/>
        <v>0</v>
      </c>
      <c r="I4477" s="7" t="str" cm="1">
        <f t="array" ref="I4477">IFERROR(_xlfn.IFS(M4477="נח",1,M4477="נע ונח",1,M4477="שני שווא נח",2,M4477="שני שוואים בסוף מילה",2,M4477="שני שוואים ברצף",1),"0")</f>
        <v>0</v>
      </c>
      <c r="J4477" s="9">
        <f t="shared" si="283"/>
        <v>3</v>
      </c>
      <c r="K4477" t="s">
        <v>6698</v>
      </c>
      <c r="L4477" t="s">
        <v>6694</v>
      </c>
      <c r="M4477" t="s">
        <v>6700</v>
      </c>
      <c r="T4477" t="s">
        <v>6694</v>
      </c>
      <c r="V4477" t="s">
        <v>6694</v>
      </c>
      <c r="W4477" t="s">
        <v>6720</v>
      </c>
    </row>
    <row r="4478" spans="1:23" ht="15.6" x14ac:dyDescent="0.4">
      <c r="A4478" s="2" t="s">
        <v>3644</v>
      </c>
      <c r="B4478" s="5" t="s">
        <v>10663</v>
      </c>
      <c r="C4478" s="7" t="s">
        <v>12556</v>
      </c>
      <c r="D4478" s="8">
        <f t="shared" si="280"/>
        <v>0</v>
      </c>
      <c r="E4478" s="7" t="s">
        <v>12557</v>
      </c>
      <c r="F4478" s="7">
        <f t="shared" si="281"/>
        <v>0</v>
      </c>
      <c r="G4478" s="7" t="s">
        <v>12558</v>
      </c>
      <c r="H4478" s="7">
        <f t="shared" si="282"/>
        <v>0</v>
      </c>
      <c r="I4478" s="7" t="str" cm="1">
        <f t="array" ref="I4478">IFERROR(_xlfn.IFS(M4478="נח",1,M4478="נע ונח",1,M4478="שני שווא נח",2,M4478="שני שוואים בסוף מילה",2,M4478="שני שוואים ברצף",1),"0")</f>
        <v>0</v>
      </c>
      <c r="J4478" s="9">
        <f t="shared" si="283"/>
        <v>2</v>
      </c>
      <c r="K4478" t="s">
        <v>6698</v>
      </c>
      <c r="L4478" t="s">
        <v>6694</v>
      </c>
      <c r="M4478" t="s">
        <v>6700</v>
      </c>
      <c r="V4478" t="s">
        <v>6694</v>
      </c>
      <c r="W4478" t="s">
        <v>6720</v>
      </c>
    </row>
    <row r="4479" spans="1:23" ht="15.6" x14ac:dyDescent="0.4">
      <c r="A4479" s="2" t="s">
        <v>6303</v>
      </c>
      <c r="B4479" s="5" t="s">
        <v>10664</v>
      </c>
      <c r="C4479" s="7" t="s">
        <v>12556</v>
      </c>
      <c r="D4479" s="8">
        <f t="shared" si="280"/>
        <v>0</v>
      </c>
      <c r="E4479" s="7" t="s">
        <v>12557</v>
      </c>
      <c r="F4479" s="7">
        <f t="shared" si="281"/>
        <v>1</v>
      </c>
      <c r="G4479" s="7" t="s">
        <v>12558</v>
      </c>
      <c r="H4479" s="7">
        <f t="shared" si="282"/>
        <v>1</v>
      </c>
      <c r="I4479" s="7" t="str" cm="1">
        <f t="array" ref="I4479">IFERROR(_xlfn.IFS(M4479="נח",1,M4479="נע ונח",1,M4479="שני שווא נח",2,M4479="שני שוואים בסוף מילה",2,M4479="שני שוואים ברצף",1),"0")</f>
        <v>0</v>
      </c>
      <c r="J4479" s="9">
        <f t="shared" si="283"/>
        <v>4</v>
      </c>
      <c r="K4479" t="s">
        <v>6697</v>
      </c>
      <c r="L4479" t="s">
        <v>6694</v>
      </c>
      <c r="M4479" t="s">
        <v>6700</v>
      </c>
      <c r="O4479" t="s">
        <v>6694</v>
      </c>
      <c r="S4479" t="s">
        <v>6694</v>
      </c>
      <c r="U4479" t="s">
        <v>6694</v>
      </c>
      <c r="W4479" t="s">
        <v>6720</v>
      </c>
    </row>
    <row r="4480" spans="1:23" ht="15.6" x14ac:dyDescent="0.4">
      <c r="A4480" s="2" t="s">
        <v>5117</v>
      </c>
      <c r="B4480" s="5" t="s">
        <v>10665</v>
      </c>
      <c r="C4480" s="7" t="s">
        <v>12556</v>
      </c>
      <c r="D4480" s="8">
        <f t="shared" si="280"/>
        <v>0</v>
      </c>
      <c r="E4480" s="7" t="s">
        <v>12557</v>
      </c>
      <c r="F4480" s="7">
        <f t="shared" si="281"/>
        <v>1</v>
      </c>
      <c r="G4480" s="7" t="s">
        <v>12558</v>
      </c>
      <c r="H4480" s="7">
        <f t="shared" si="282"/>
        <v>0</v>
      </c>
      <c r="I4480" s="7" t="str" cm="1">
        <f t="array" ref="I4480">IFERROR(_xlfn.IFS(M4480="נח",1,M4480="נע ונח",1,M4480="שני שווא נח",2,M4480="שני שוואים בסוף מילה",2,M4480="שני שוואים ברצף",1),"0")</f>
        <v>0</v>
      </c>
      <c r="J4480" s="9">
        <f t="shared" si="283"/>
        <v>3</v>
      </c>
      <c r="K4480" t="s">
        <v>6698</v>
      </c>
      <c r="L4480" t="s">
        <v>6694</v>
      </c>
      <c r="M4480" t="s">
        <v>6700</v>
      </c>
      <c r="N4480" t="s">
        <v>6706</v>
      </c>
      <c r="O4480" t="s">
        <v>6694</v>
      </c>
      <c r="S4480" t="s">
        <v>6694</v>
      </c>
      <c r="W4480" t="s">
        <v>6720</v>
      </c>
    </row>
    <row r="4481" spans="1:23" ht="15.6" x14ac:dyDescent="0.4">
      <c r="A4481" s="2" t="s">
        <v>4899</v>
      </c>
      <c r="B4481" s="5" t="s">
        <v>10666</v>
      </c>
      <c r="C4481" s="7" t="s">
        <v>12556</v>
      </c>
      <c r="D4481" s="8">
        <f t="shared" si="280"/>
        <v>0</v>
      </c>
      <c r="E4481" s="7" t="s">
        <v>12557</v>
      </c>
      <c r="F4481" s="7">
        <f t="shared" si="281"/>
        <v>1</v>
      </c>
      <c r="G4481" s="7" t="s">
        <v>12558</v>
      </c>
      <c r="H4481" s="7">
        <f t="shared" si="282"/>
        <v>0</v>
      </c>
      <c r="I4481" s="7" t="str" cm="1">
        <f t="array" ref="I4481">IFERROR(_xlfn.IFS(M4481="נח",1,M4481="נע ונח",1,M4481="שני שווא נח",2,M4481="שני שוואים בסוף מילה",2,M4481="שני שוואים ברצף",1),"0")</f>
        <v>0</v>
      </c>
      <c r="J4481" s="9">
        <f t="shared" si="283"/>
        <v>3</v>
      </c>
      <c r="K4481" t="s">
        <v>6698</v>
      </c>
      <c r="L4481" t="s">
        <v>6694</v>
      </c>
      <c r="M4481" t="s">
        <v>6700</v>
      </c>
      <c r="S4481" t="s">
        <v>6694</v>
      </c>
      <c r="V4481" t="s">
        <v>6694</v>
      </c>
      <c r="W4481" t="s">
        <v>6720</v>
      </c>
    </row>
    <row r="4482" spans="1:23" ht="15.6" x14ac:dyDescent="0.4">
      <c r="A4482" s="2" t="s">
        <v>3248</v>
      </c>
      <c r="B4482" s="5" t="s">
        <v>10667</v>
      </c>
      <c r="C4482" s="7" t="s">
        <v>12556</v>
      </c>
      <c r="D4482" s="8">
        <f t="shared" si="280"/>
        <v>0</v>
      </c>
      <c r="E4482" s="7" t="s">
        <v>12557</v>
      </c>
      <c r="F4482" s="7">
        <f t="shared" si="281"/>
        <v>1</v>
      </c>
      <c r="G4482" s="7" t="s">
        <v>12558</v>
      </c>
      <c r="H4482" s="7">
        <f t="shared" si="282"/>
        <v>0</v>
      </c>
      <c r="I4482" s="7" cm="1">
        <f t="array" ref="I4482">IFERROR(_xlfn.IFS(M4482="נח",1,M4482="נע ונח",1,M4482="שני שווא נח",2,M4482="שני שוואים בסוף מילה",2,M4482="שני שוואים ברצף",1),"0")</f>
        <v>1</v>
      </c>
      <c r="J4482" s="9">
        <f t="shared" si="283"/>
        <v>3</v>
      </c>
      <c r="K4482" t="s">
        <v>6698</v>
      </c>
      <c r="L4482" t="s">
        <v>6694</v>
      </c>
      <c r="M4482" t="s">
        <v>6701</v>
      </c>
      <c r="P4482" t="s">
        <v>6694</v>
      </c>
      <c r="S4482" t="s">
        <v>6694</v>
      </c>
      <c r="W4482" t="s">
        <v>6720</v>
      </c>
    </row>
    <row r="4483" spans="1:23" ht="15.6" x14ac:dyDescent="0.4">
      <c r="A4483" s="2" t="s">
        <v>2957</v>
      </c>
      <c r="B4483" s="5" t="s">
        <v>10668</v>
      </c>
      <c r="C4483" s="7" t="s">
        <v>12556</v>
      </c>
      <c r="D4483" s="8">
        <f t="shared" ref="D4483:D4546" si="284">(LEN(B4483)-LEN(SUBSTITUTE(B4483,C4483,"")))</f>
        <v>0</v>
      </c>
      <c r="E4483" s="7" t="s">
        <v>12557</v>
      </c>
      <c r="F4483" s="7">
        <f t="shared" ref="F4483:F4546" si="285">(LEN(A4483)-LEN(SUBSTITUTE(A4483,E4483,"")))</f>
        <v>1</v>
      </c>
      <c r="G4483" s="7" t="s">
        <v>12558</v>
      </c>
      <c r="H4483" s="7">
        <f t="shared" ref="H4483:H4546" si="286">(LEN(A4483)-LEN(SUBSTITUTE(A4483,G4483,"")))/2</f>
        <v>0</v>
      </c>
      <c r="I4483" s="7" t="str" cm="1">
        <f t="array" ref="I4483">IFERROR(_xlfn.IFS(M4483="נח",1,M4483="נע ונח",1,M4483="שני שווא נח",2,M4483="שני שוואים בסוף מילה",2,M4483="שני שוואים ברצף",1),"0")</f>
        <v>0</v>
      </c>
      <c r="J4483" s="9">
        <f t="shared" ref="J4483:J4546" si="287">LEN(A4483)-(LEN(B4483))-D4483-F4483+H4483-I4483</f>
        <v>4</v>
      </c>
      <c r="K4483" t="s">
        <v>6698</v>
      </c>
      <c r="L4483" t="s">
        <v>6694</v>
      </c>
      <c r="M4483" t="s">
        <v>6700</v>
      </c>
      <c r="O4483" t="s">
        <v>6694</v>
      </c>
      <c r="S4483" t="s">
        <v>6694</v>
      </c>
      <c r="T4483" t="s">
        <v>6694</v>
      </c>
      <c r="W4483" t="s">
        <v>6720</v>
      </c>
    </row>
    <row r="4484" spans="1:23" ht="15.6" x14ac:dyDescent="0.4">
      <c r="A4484" s="2" t="s">
        <v>470</v>
      </c>
      <c r="B4484" s="5" t="s">
        <v>10669</v>
      </c>
      <c r="C4484" s="7" t="s">
        <v>12556</v>
      </c>
      <c r="D4484" s="8">
        <f t="shared" si="284"/>
        <v>0</v>
      </c>
      <c r="E4484" s="7" t="s">
        <v>12557</v>
      </c>
      <c r="F4484" s="7">
        <f t="shared" si="285"/>
        <v>1</v>
      </c>
      <c r="G4484" s="7" t="s">
        <v>12558</v>
      </c>
      <c r="H4484" s="7">
        <f t="shared" si="286"/>
        <v>1</v>
      </c>
      <c r="I4484" s="7" t="str" cm="1">
        <f t="array" ref="I4484">IFERROR(_xlfn.IFS(M4484="נח",1,M4484="נע ונח",1,M4484="שני שווא נח",2,M4484="שני שוואים בסוף מילה",2,M4484="שני שוואים ברצף",1),"0")</f>
        <v>0</v>
      </c>
      <c r="J4484" s="9">
        <f t="shared" si="287"/>
        <v>4</v>
      </c>
      <c r="K4484" t="s">
        <v>6698</v>
      </c>
      <c r="L4484" t="s">
        <v>6694</v>
      </c>
      <c r="M4484" t="s">
        <v>6700</v>
      </c>
      <c r="P4484" t="s">
        <v>6694</v>
      </c>
      <c r="Q4484" t="s">
        <v>6694</v>
      </c>
      <c r="U4484" t="s">
        <v>6694</v>
      </c>
      <c r="W4484" t="s">
        <v>6720</v>
      </c>
    </row>
    <row r="4485" spans="1:23" ht="15.6" x14ac:dyDescent="0.4">
      <c r="A4485" s="2" t="s">
        <v>2499</v>
      </c>
      <c r="B4485" s="5" t="s">
        <v>10670</v>
      </c>
      <c r="C4485" s="7" t="s">
        <v>12556</v>
      </c>
      <c r="D4485" s="8">
        <f t="shared" si="284"/>
        <v>0</v>
      </c>
      <c r="E4485" s="7" t="s">
        <v>12557</v>
      </c>
      <c r="F4485" s="7">
        <f t="shared" si="285"/>
        <v>0</v>
      </c>
      <c r="G4485" s="7" t="s">
        <v>12558</v>
      </c>
      <c r="H4485" s="7">
        <f t="shared" si="286"/>
        <v>0</v>
      </c>
      <c r="I4485" s="7" t="str" cm="1">
        <f t="array" ref="I4485">IFERROR(_xlfn.IFS(M4485="נח",1,M4485="נע ונח",1,M4485="שני שווא נח",2,M4485="שני שוואים בסוף מילה",2,M4485="שני שוואים ברצף",1),"0")</f>
        <v>0</v>
      </c>
      <c r="J4485" s="9">
        <f t="shared" si="287"/>
        <v>2</v>
      </c>
      <c r="K4485" t="s">
        <v>6698</v>
      </c>
      <c r="L4485" t="s">
        <v>6694</v>
      </c>
      <c r="M4485" t="s">
        <v>6700</v>
      </c>
      <c r="P4485" t="s">
        <v>6694</v>
      </c>
      <c r="W4485" t="s">
        <v>6720</v>
      </c>
    </row>
    <row r="4486" spans="1:23" ht="15.6" x14ac:dyDescent="0.4">
      <c r="A4486" s="2" t="s">
        <v>4964</v>
      </c>
      <c r="B4486" s="5" t="s">
        <v>10671</v>
      </c>
      <c r="C4486" s="7" t="s">
        <v>12556</v>
      </c>
      <c r="D4486" s="8">
        <f t="shared" si="284"/>
        <v>0</v>
      </c>
      <c r="E4486" s="7" t="s">
        <v>12557</v>
      </c>
      <c r="F4486" s="7">
        <f t="shared" si="285"/>
        <v>1</v>
      </c>
      <c r="G4486" s="7" t="s">
        <v>12558</v>
      </c>
      <c r="H4486" s="7">
        <f t="shared" si="286"/>
        <v>0</v>
      </c>
      <c r="I4486" s="7" t="str" cm="1">
        <f t="array" ref="I4486">IFERROR(_xlfn.IFS(M4486="נח",1,M4486="נע ונח",1,M4486="שני שווא נח",2,M4486="שני שוואים בסוף מילה",2,M4486="שני שוואים ברצף",1),"0")</f>
        <v>0</v>
      </c>
      <c r="J4486" s="9">
        <f t="shared" si="287"/>
        <v>3</v>
      </c>
      <c r="K4486" t="s">
        <v>6698</v>
      </c>
      <c r="L4486" t="s">
        <v>6694</v>
      </c>
      <c r="M4486" t="s">
        <v>6700</v>
      </c>
      <c r="P4486" t="s">
        <v>6694</v>
      </c>
      <c r="S4486" t="s">
        <v>6694</v>
      </c>
      <c r="W4486" t="s">
        <v>6720</v>
      </c>
    </row>
    <row r="4487" spans="1:23" ht="15.6" x14ac:dyDescent="0.4">
      <c r="A4487" s="2" t="s">
        <v>1349</v>
      </c>
      <c r="B4487" s="5" t="s">
        <v>10672</v>
      </c>
      <c r="C4487" s="7" t="s">
        <v>12556</v>
      </c>
      <c r="D4487" s="8">
        <f t="shared" si="284"/>
        <v>0</v>
      </c>
      <c r="E4487" s="7" t="s">
        <v>12557</v>
      </c>
      <c r="F4487" s="7">
        <f t="shared" si="285"/>
        <v>0</v>
      </c>
      <c r="G4487" s="7" t="s">
        <v>12558</v>
      </c>
      <c r="H4487" s="7">
        <f t="shared" si="286"/>
        <v>0</v>
      </c>
      <c r="I4487" s="7" t="str" cm="1">
        <f t="array" ref="I4487">IFERROR(_xlfn.IFS(M4487="נח",1,M4487="נע ונח",1,M4487="שני שווא נח",2,M4487="שני שוואים בסוף מילה",2,M4487="שני שוואים ברצף",1),"0")</f>
        <v>0</v>
      </c>
      <c r="J4487" s="9">
        <f t="shared" si="287"/>
        <v>3</v>
      </c>
      <c r="K4487" t="s">
        <v>6698</v>
      </c>
      <c r="L4487" t="s">
        <v>6694</v>
      </c>
      <c r="M4487" t="s">
        <v>6700</v>
      </c>
      <c r="Q4487" t="s">
        <v>6694</v>
      </c>
      <c r="V4487" t="s">
        <v>6694</v>
      </c>
      <c r="W4487" t="s">
        <v>6720</v>
      </c>
    </row>
    <row r="4488" spans="1:23" ht="15.6" x14ac:dyDescent="0.4">
      <c r="A4488" s="2" t="s">
        <v>6221</v>
      </c>
      <c r="B4488" s="5" t="s">
        <v>10673</v>
      </c>
      <c r="C4488" s="7" t="s">
        <v>12556</v>
      </c>
      <c r="D4488" s="8">
        <f t="shared" si="284"/>
        <v>0</v>
      </c>
      <c r="E4488" s="7" t="s">
        <v>12557</v>
      </c>
      <c r="F4488" s="7">
        <f t="shared" si="285"/>
        <v>0</v>
      </c>
      <c r="G4488" s="7" t="s">
        <v>12558</v>
      </c>
      <c r="H4488" s="7">
        <f t="shared" si="286"/>
        <v>0</v>
      </c>
      <c r="I4488" s="7" t="str" cm="1">
        <f t="array" ref="I4488">IFERROR(_xlfn.IFS(M4488="נח",1,M4488="נע ונח",1,M4488="שני שווא נח",2,M4488="שני שוואים בסוף מילה",2,M4488="שני שוואים ברצף",1),"0")</f>
        <v>0</v>
      </c>
      <c r="J4488" s="9">
        <f t="shared" si="287"/>
        <v>4</v>
      </c>
      <c r="K4488" t="s">
        <v>6697</v>
      </c>
      <c r="L4488" t="s">
        <v>6694</v>
      </c>
      <c r="M4488" t="s">
        <v>6700</v>
      </c>
      <c r="O4488" t="s">
        <v>6694</v>
      </c>
      <c r="R4488" t="s">
        <v>6694</v>
      </c>
      <c r="V4488" t="s">
        <v>6694</v>
      </c>
      <c r="W4488" t="s">
        <v>6720</v>
      </c>
    </row>
    <row r="4489" spans="1:23" ht="15.6" x14ac:dyDescent="0.4">
      <c r="A4489" s="2" t="s">
        <v>727</v>
      </c>
      <c r="B4489" s="5" t="s">
        <v>10674</v>
      </c>
      <c r="C4489" s="7" t="s">
        <v>12556</v>
      </c>
      <c r="D4489" s="8">
        <f t="shared" si="284"/>
        <v>0</v>
      </c>
      <c r="E4489" s="7" t="s">
        <v>12557</v>
      </c>
      <c r="F4489" s="7">
        <f t="shared" si="285"/>
        <v>0</v>
      </c>
      <c r="G4489" s="7" t="s">
        <v>12558</v>
      </c>
      <c r="H4489" s="7">
        <f t="shared" si="286"/>
        <v>0</v>
      </c>
      <c r="I4489" s="7" t="str" cm="1">
        <f t="array" ref="I4489">IFERROR(_xlfn.IFS(M4489="נח",1,M4489="נע ונח",1,M4489="שני שווא נח",2,M4489="שני שוואים בסוף מילה",2,M4489="שני שוואים ברצף",1),"0")</f>
        <v>0</v>
      </c>
      <c r="J4489" s="9">
        <f t="shared" si="287"/>
        <v>4</v>
      </c>
      <c r="K4489" t="s">
        <v>6698</v>
      </c>
      <c r="L4489" t="s">
        <v>6694</v>
      </c>
      <c r="M4489" t="s">
        <v>6700</v>
      </c>
      <c r="N4489" t="s">
        <v>6706</v>
      </c>
      <c r="O4489" t="s">
        <v>6694</v>
      </c>
      <c r="V4489" t="s">
        <v>6694</v>
      </c>
      <c r="W4489" t="s">
        <v>6720</v>
      </c>
    </row>
    <row r="4490" spans="1:23" ht="15.6" x14ac:dyDescent="0.4">
      <c r="A4490" s="2" t="s">
        <v>2950</v>
      </c>
      <c r="B4490" s="5" t="s">
        <v>10675</v>
      </c>
      <c r="C4490" s="7" t="s">
        <v>12556</v>
      </c>
      <c r="D4490" s="8">
        <f t="shared" si="284"/>
        <v>0</v>
      </c>
      <c r="E4490" s="7" t="s">
        <v>12557</v>
      </c>
      <c r="F4490" s="7">
        <f t="shared" si="285"/>
        <v>0</v>
      </c>
      <c r="G4490" s="7" t="s">
        <v>12558</v>
      </c>
      <c r="H4490" s="7">
        <f t="shared" si="286"/>
        <v>0</v>
      </c>
      <c r="I4490" s="7" t="str" cm="1">
        <f t="array" ref="I4490">IFERROR(_xlfn.IFS(M4490="נח",1,M4490="נע ונח",1,M4490="שני שווא נח",2,M4490="שני שוואים בסוף מילה",2,M4490="שני שוואים ברצף",1),"0")</f>
        <v>0</v>
      </c>
      <c r="J4490" s="9">
        <f t="shared" si="287"/>
        <v>3</v>
      </c>
      <c r="K4490" t="s">
        <v>6698</v>
      </c>
      <c r="L4490" t="s">
        <v>6694</v>
      </c>
      <c r="M4490" t="s">
        <v>6700</v>
      </c>
      <c r="S4490" t="s">
        <v>6694</v>
      </c>
      <c r="W4490" t="s">
        <v>6720</v>
      </c>
    </row>
    <row r="4491" spans="1:23" ht="15.6" x14ac:dyDescent="0.4">
      <c r="A4491" s="2" t="s">
        <v>1870</v>
      </c>
      <c r="B4491" s="5" t="s">
        <v>10676</v>
      </c>
      <c r="C4491" s="7" t="s">
        <v>12556</v>
      </c>
      <c r="D4491" s="8">
        <f t="shared" si="284"/>
        <v>0</v>
      </c>
      <c r="E4491" s="7" t="s">
        <v>12557</v>
      </c>
      <c r="F4491" s="7">
        <f t="shared" si="285"/>
        <v>1</v>
      </c>
      <c r="G4491" s="7" t="s">
        <v>12558</v>
      </c>
      <c r="H4491" s="7">
        <f t="shared" si="286"/>
        <v>0</v>
      </c>
      <c r="I4491" s="7" cm="1">
        <f t="array" ref="I4491">IFERROR(_xlfn.IFS(M4491="נח",1,M4491="נע ונח",1,M4491="שני שווא נח",2,M4491="שני שוואים בסוף מילה",2,M4491="שני שוואים ברצף",1),"0")</f>
        <v>1</v>
      </c>
      <c r="J4491" s="9">
        <f t="shared" si="287"/>
        <v>3</v>
      </c>
      <c r="K4491" t="s">
        <v>6697</v>
      </c>
      <c r="L4491" t="s">
        <v>6694</v>
      </c>
      <c r="M4491" t="s">
        <v>6701</v>
      </c>
      <c r="P4491" t="s">
        <v>6694</v>
      </c>
      <c r="S4491" t="s">
        <v>6694</v>
      </c>
      <c r="W4491" t="s">
        <v>6720</v>
      </c>
    </row>
    <row r="4492" spans="1:23" ht="15.6" x14ac:dyDescent="0.4">
      <c r="A4492" s="2" t="s">
        <v>333</v>
      </c>
      <c r="B4492" s="5" t="s">
        <v>10677</v>
      </c>
      <c r="C4492" s="7" t="s">
        <v>12556</v>
      </c>
      <c r="D4492" s="8">
        <f t="shared" si="284"/>
        <v>0</v>
      </c>
      <c r="E4492" s="7" t="s">
        <v>12557</v>
      </c>
      <c r="F4492" s="7">
        <f t="shared" si="285"/>
        <v>1</v>
      </c>
      <c r="G4492" s="7" t="s">
        <v>12558</v>
      </c>
      <c r="H4492" s="7">
        <f t="shared" si="286"/>
        <v>1</v>
      </c>
      <c r="I4492" s="7" t="str" cm="1">
        <f t="array" ref="I4492">IFERROR(_xlfn.IFS(M4492="נח",1,M4492="נע ונח",1,M4492="שני שווא נח",2,M4492="שני שוואים בסוף מילה",2,M4492="שני שוואים ברצף",1),"0")</f>
        <v>0</v>
      </c>
      <c r="J4492" s="9">
        <f t="shared" si="287"/>
        <v>4</v>
      </c>
      <c r="K4492" t="s">
        <v>6697</v>
      </c>
      <c r="L4492" t="s">
        <v>6694</v>
      </c>
      <c r="M4492" t="s">
        <v>6700</v>
      </c>
      <c r="O4492" t="s">
        <v>6694</v>
      </c>
      <c r="S4492" t="s">
        <v>6694</v>
      </c>
      <c r="U4492" t="s">
        <v>6694</v>
      </c>
      <c r="W4492" t="s">
        <v>6720</v>
      </c>
    </row>
    <row r="4493" spans="1:23" ht="15.6" x14ac:dyDescent="0.4">
      <c r="A4493" s="2" t="s">
        <v>2708</v>
      </c>
      <c r="B4493" s="5" t="s">
        <v>10678</v>
      </c>
      <c r="C4493" s="7" t="s">
        <v>12556</v>
      </c>
      <c r="D4493" s="8">
        <f t="shared" si="284"/>
        <v>0</v>
      </c>
      <c r="E4493" s="7" t="s">
        <v>12557</v>
      </c>
      <c r="F4493" s="7">
        <f t="shared" si="285"/>
        <v>0</v>
      </c>
      <c r="G4493" s="7" t="s">
        <v>12558</v>
      </c>
      <c r="H4493" s="7">
        <f t="shared" si="286"/>
        <v>0</v>
      </c>
      <c r="I4493" s="7" t="str" cm="1">
        <f t="array" ref="I4493">IFERROR(_xlfn.IFS(M4493="נח",1,M4493="נע ונח",1,M4493="שני שווא נח",2,M4493="שני שוואים בסוף מילה",2,M4493="שני שוואים ברצף",1),"0")</f>
        <v>0</v>
      </c>
      <c r="J4493" s="9">
        <f t="shared" si="287"/>
        <v>2</v>
      </c>
      <c r="K4493" t="s">
        <v>6697</v>
      </c>
      <c r="L4493" t="s">
        <v>6694</v>
      </c>
      <c r="M4493" t="s">
        <v>6700</v>
      </c>
      <c r="V4493" t="s">
        <v>6694</v>
      </c>
      <c r="W4493" t="s">
        <v>6720</v>
      </c>
    </row>
    <row r="4494" spans="1:23" ht="15.6" x14ac:dyDescent="0.4">
      <c r="A4494" s="2" t="s">
        <v>3360</v>
      </c>
      <c r="B4494" s="5" t="s">
        <v>10679</v>
      </c>
      <c r="C4494" s="7" t="s">
        <v>12556</v>
      </c>
      <c r="D4494" s="8">
        <f t="shared" si="284"/>
        <v>0</v>
      </c>
      <c r="E4494" s="7" t="s">
        <v>12557</v>
      </c>
      <c r="F4494" s="7">
        <f t="shared" si="285"/>
        <v>1</v>
      </c>
      <c r="G4494" s="7" t="s">
        <v>12558</v>
      </c>
      <c r="H4494" s="7">
        <f t="shared" si="286"/>
        <v>1</v>
      </c>
      <c r="I4494" s="7" t="str" cm="1">
        <f t="array" ref="I4494">IFERROR(_xlfn.IFS(M4494="נח",1,M4494="נע ונח",1,M4494="שני שווא נח",2,M4494="שני שוואים בסוף מילה",2,M4494="שני שוואים ברצף",1),"0")</f>
        <v>0</v>
      </c>
      <c r="J4494" s="9">
        <f t="shared" si="287"/>
        <v>3</v>
      </c>
      <c r="K4494" t="s">
        <v>6698</v>
      </c>
      <c r="L4494" t="s">
        <v>6694</v>
      </c>
      <c r="M4494" t="s">
        <v>6700</v>
      </c>
      <c r="U4494" t="s">
        <v>6694</v>
      </c>
      <c r="V4494" t="s">
        <v>6694</v>
      </c>
      <c r="W4494" t="s">
        <v>6720</v>
      </c>
    </row>
    <row r="4495" spans="1:23" ht="15.6" x14ac:dyDescent="0.4">
      <c r="A4495" s="2" t="s">
        <v>4574</v>
      </c>
      <c r="B4495" s="5" t="s">
        <v>10680</v>
      </c>
      <c r="C4495" s="7" t="s">
        <v>12556</v>
      </c>
      <c r="D4495" s="8">
        <f t="shared" si="284"/>
        <v>0</v>
      </c>
      <c r="E4495" s="7" t="s">
        <v>12557</v>
      </c>
      <c r="F4495" s="7">
        <f t="shared" si="285"/>
        <v>1</v>
      </c>
      <c r="G4495" s="7" t="s">
        <v>12558</v>
      </c>
      <c r="H4495" s="7">
        <f t="shared" si="286"/>
        <v>1</v>
      </c>
      <c r="I4495" s="7" t="str" cm="1">
        <f t="array" ref="I4495">IFERROR(_xlfn.IFS(M4495="נח",1,M4495="נע ונח",1,M4495="שני שווא נח",2,M4495="שני שוואים בסוף מילה",2,M4495="שני שוואים ברצף",1),"0")</f>
        <v>0</v>
      </c>
      <c r="J4495" s="9">
        <f t="shared" si="287"/>
        <v>3</v>
      </c>
      <c r="K4495" t="s">
        <v>6697</v>
      </c>
      <c r="L4495" t="s">
        <v>6694</v>
      </c>
      <c r="M4495" t="s">
        <v>6700</v>
      </c>
      <c r="O4495" t="s">
        <v>6694</v>
      </c>
      <c r="U4495" t="s">
        <v>6694</v>
      </c>
      <c r="W4495" t="s">
        <v>6720</v>
      </c>
    </row>
    <row r="4496" spans="1:23" ht="15.6" x14ac:dyDescent="0.4">
      <c r="A4496" s="2" t="s">
        <v>1226</v>
      </c>
      <c r="B4496" s="5" t="s">
        <v>10681</v>
      </c>
      <c r="C4496" s="7" t="s">
        <v>12556</v>
      </c>
      <c r="D4496" s="8">
        <f t="shared" si="284"/>
        <v>0</v>
      </c>
      <c r="E4496" s="7" t="s">
        <v>12557</v>
      </c>
      <c r="F4496" s="7">
        <f t="shared" si="285"/>
        <v>0</v>
      </c>
      <c r="G4496" s="7" t="s">
        <v>12558</v>
      </c>
      <c r="H4496" s="7">
        <f t="shared" si="286"/>
        <v>0</v>
      </c>
      <c r="I4496" s="7" t="str" cm="1">
        <f t="array" ref="I4496">IFERROR(_xlfn.IFS(M4496="נח",1,M4496="נע ונח",1,M4496="שני שווא נח",2,M4496="שני שוואים בסוף מילה",2,M4496="שני שוואים ברצף",1),"0")</f>
        <v>0</v>
      </c>
      <c r="J4496" s="9">
        <f t="shared" si="287"/>
        <v>3</v>
      </c>
      <c r="K4496" t="s">
        <v>6697</v>
      </c>
      <c r="L4496" t="s">
        <v>6694</v>
      </c>
      <c r="M4496" t="s">
        <v>6700</v>
      </c>
      <c r="S4496" t="s">
        <v>6694</v>
      </c>
      <c r="W4496" t="s">
        <v>6720</v>
      </c>
    </row>
    <row r="4497" spans="1:23" ht="15.6" x14ac:dyDescent="0.4">
      <c r="A4497" s="2" t="s">
        <v>2863</v>
      </c>
      <c r="B4497" s="5" t="s">
        <v>10682</v>
      </c>
      <c r="C4497" s="7" t="s">
        <v>12556</v>
      </c>
      <c r="D4497" s="8">
        <f t="shared" si="284"/>
        <v>0</v>
      </c>
      <c r="E4497" s="7" t="s">
        <v>12557</v>
      </c>
      <c r="F4497" s="7">
        <f t="shared" si="285"/>
        <v>0</v>
      </c>
      <c r="G4497" s="7" t="s">
        <v>12558</v>
      </c>
      <c r="H4497" s="7">
        <f t="shared" si="286"/>
        <v>0</v>
      </c>
      <c r="I4497" s="7" t="str" cm="1">
        <f t="array" ref="I4497">IFERROR(_xlfn.IFS(M4497="נח",1,M4497="נע ונח",1,M4497="שני שווא נח",2,M4497="שני שוואים בסוף מילה",2,M4497="שני שוואים ברצף",1),"0")</f>
        <v>0</v>
      </c>
      <c r="J4497" s="9">
        <f t="shared" si="287"/>
        <v>3</v>
      </c>
      <c r="K4497" t="s">
        <v>6698</v>
      </c>
      <c r="L4497" t="s">
        <v>6694</v>
      </c>
      <c r="M4497" t="s">
        <v>6700</v>
      </c>
      <c r="V4497" t="s">
        <v>6694</v>
      </c>
      <c r="W4497" t="s">
        <v>6720</v>
      </c>
    </row>
    <row r="4498" spans="1:23" ht="15.6" x14ac:dyDescent="0.4">
      <c r="A4498" s="2" t="s">
        <v>651</v>
      </c>
      <c r="B4498" s="5" t="s">
        <v>10683</v>
      </c>
      <c r="C4498" s="7" t="s">
        <v>12556</v>
      </c>
      <c r="D4498" s="8">
        <f t="shared" si="284"/>
        <v>0</v>
      </c>
      <c r="E4498" s="7" t="s">
        <v>12557</v>
      </c>
      <c r="F4498" s="7">
        <f t="shared" si="285"/>
        <v>0</v>
      </c>
      <c r="G4498" s="7" t="s">
        <v>12558</v>
      </c>
      <c r="H4498" s="7">
        <f t="shared" si="286"/>
        <v>0</v>
      </c>
      <c r="I4498" s="7" t="str" cm="1">
        <f t="array" ref="I4498">IFERROR(_xlfn.IFS(M4498="נח",1,M4498="נע ונח",1,M4498="שני שווא נח",2,M4498="שני שוואים בסוף מילה",2,M4498="שני שוואים ברצף",1),"0")</f>
        <v>0</v>
      </c>
      <c r="J4498" s="9">
        <f t="shared" si="287"/>
        <v>2</v>
      </c>
      <c r="K4498" t="s">
        <v>6698</v>
      </c>
      <c r="L4498" t="s">
        <v>6694</v>
      </c>
      <c r="M4498" t="s">
        <v>6700</v>
      </c>
      <c r="V4498" t="s">
        <v>6694</v>
      </c>
      <c r="W4498" t="s">
        <v>6720</v>
      </c>
    </row>
    <row r="4499" spans="1:23" ht="15.6" x14ac:dyDescent="0.4">
      <c r="A4499" s="2" t="s">
        <v>2501</v>
      </c>
      <c r="B4499" s="5" t="s">
        <v>10684</v>
      </c>
      <c r="C4499" s="7" t="s">
        <v>12556</v>
      </c>
      <c r="D4499" s="8">
        <f t="shared" si="284"/>
        <v>0</v>
      </c>
      <c r="E4499" s="7" t="s">
        <v>12557</v>
      </c>
      <c r="F4499" s="7">
        <f t="shared" si="285"/>
        <v>0</v>
      </c>
      <c r="G4499" s="7" t="s">
        <v>12558</v>
      </c>
      <c r="H4499" s="7">
        <f t="shared" si="286"/>
        <v>0</v>
      </c>
      <c r="I4499" s="7" t="str" cm="1">
        <f t="array" ref="I4499">IFERROR(_xlfn.IFS(M4499="נח",1,M4499="נע ונח",1,M4499="שני שווא נח",2,M4499="שני שוואים בסוף מילה",2,M4499="שני שוואים ברצף",1),"0")</f>
        <v>0</v>
      </c>
      <c r="J4499" s="9">
        <f t="shared" si="287"/>
        <v>3</v>
      </c>
      <c r="K4499" t="s">
        <v>6697</v>
      </c>
      <c r="L4499" t="s">
        <v>6694</v>
      </c>
      <c r="M4499" t="s">
        <v>6700</v>
      </c>
      <c r="V4499" t="s">
        <v>6694</v>
      </c>
      <c r="W4499" t="s">
        <v>6720</v>
      </c>
    </row>
    <row r="4500" spans="1:23" ht="15.6" x14ac:dyDescent="0.4">
      <c r="A4500" s="2" t="s">
        <v>849</v>
      </c>
      <c r="B4500" s="5" t="s">
        <v>6719</v>
      </c>
      <c r="C4500" s="7" t="s">
        <v>12556</v>
      </c>
      <c r="D4500" s="8">
        <f t="shared" si="284"/>
        <v>0</v>
      </c>
      <c r="E4500" s="7" t="s">
        <v>12557</v>
      </c>
      <c r="F4500" s="7">
        <f t="shared" si="285"/>
        <v>0</v>
      </c>
      <c r="G4500" s="7" t="s">
        <v>12558</v>
      </c>
      <c r="H4500" s="7">
        <f t="shared" si="286"/>
        <v>0</v>
      </c>
      <c r="I4500" s="7" t="str" cm="1">
        <f t="array" ref="I4500">IFERROR(_xlfn.IFS(M4500="נח",1,M4500="נע ונח",1,M4500="שני שווא נח",2,M4500="שני שוואים בסוף מילה",2,M4500="שני שוואים ברצף",1),"0")</f>
        <v>0</v>
      </c>
      <c r="J4500" s="9">
        <f t="shared" si="287"/>
        <v>2</v>
      </c>
      <c r="K4500" t="s">
        <v>6698</v>
      </c>
      <c r="L4500" t="s">
        <v>6694</v>
      </c>
      <c r="M4500" t="s">
        <v>6700</v>
      </c>
      <c r="V4500" t="s">
        <v>6694</v>
      </c>
      <c r="W4500" t="s">
        <v>6720</v>
      </c>
    </row>
    <row r="4501" spans="1:23" ht="15.6" x14ac:dyDescent="0.4">
      <c r="A4501" s="2" t="s">
        <v>1140</v>
      </c>
      <c r="B4501" s="5" t="s">
        <v>10685</v>
      </c>
      <c r="C4501" s="7" t="s">
        <v>12556</v>
      </c>
      <c r="D4501" s="8">
        <f t="shared" si="284"/>
        <v>0</v>
      </c>
      <c r="E4501" s="7" t="s">
        <v>12557</v>
      </c>
      <c r="F4501" s="7">
        <f t="shared" si="285"/>
        <v>0</v>
      </c>
      <c r="G4501" s="7" t="s">
        <v>12558</v>
      </c>
      <c r="H4501" s="7">
        <f t="shared" si="286"/>
        <v>0</v>
      </c>
      <c r="I4501" s="7" t="str" cm="1">
        <f t="array" ref="I4501">IFERROR(_xlfn.IFS(M4501="נח",1,M4501="נע ונח",1,M4501="שני שווא נח",2,M4501="שני שוואים בסוף מילה",2,M4501="שני שוואים ברצף",1),"0")</f>
        <v>0</v>
      </c>
      <c r="J4501" s="9">
        <f t="shared" si="287"/>
        <v>3</v>
      </c>
      <c r="K4501" t="s">
        <v>6697</v>
      </c>
      <c r="L4501" t="s">
        <v>6694</v>
      </c>
      <c r="M4501" t="s">
        <v>6700</v>
      </c>
      <c r="O4501" t="s">
        <v>6694</v>
      </c>
      <c r="S4501" t="s">
        <v>6694</v>
      </c>
      <c r="W4501" t="s">
        <v>6720</v>
      </c>
    </row>
    <row r="4502" spans="1:23" ht="15.6" x14ac:dyDescent="0.4">
      <c r="A4502" s="2" t="s">
        <v>122</v>
      </c>
      <c r="B4502" s="5" t="s">
        <v>10686</v>
      </c>
      <c r="C4502" s="7" t="s">
        <v>12556</v>
      </c>
      <c r="D4502" s="8">
        <f t="shared" si="284"/>
        <v>0</v>
      </c>
      <c r="E4502" s="7" t="s">
        <v>12557</v>
      </c>
      <c r="F4502" s="7">
        <f t="shared" si="285"/>
        <v>0</v>
      </c>
      <c r="G4502" s="7" t="s">
        <v>12558</v>
      </c>
      <c r="H4502" s="7">
        <f t="shared" si="286"/>
        <v>0</v>
      </c>
      <c r="I4502" s="7" t="str" cm="1">
        <f t="array" ref="I4502">IFERROR(_xlfn.IFS(M4502="נח",1,M4502="נע ונח",1,M4502="שני שווא נח",2,M4502="שני שוואים בסוף מילה",2,M4502="שני שוואים ברצף",1),"0")</f>
        <v>0</v>
      </c>
      <c r="J4502" s="9">
        <f t="shared" si="287"/>
        <v>3</v>
      </c>
      <c r="K4502" t="s">
        <v>6698</v>
      </c>
      <c r="L4502" t="s">
        <v>6694</v>
      </c>
      <c r="M4502" t="s">
        <v>6700</v>
      </c>
      <c r="Q4502" t="s">
        <v>6694</v>
      </c>
      <c r="S4502" t="s">
        <v>6694</v>
      </c>
      <c r="W4502" t="s">
        <v>6720</v>
      </c>
    </row>
    <row r="4503" spans="1:23" ht="15.6" x14ac:dyDescent="0.4">
      <c r="A4503" s="2" t="s">
        <v>6003</v>
      </c>
      <c r="B4503" s="5" t="s">
        <v>10687</v>
      </c>
      <c r="C4503" s="7" t="s">
        <v>12556</v>
      </c>
      <c r="D4503" s="8">
        <f t="shared" si="284"/>
        <v>0</v>
      </c>
      <c r="E4503" s="7" t="s">
        <v>12557</v>
      </c>
      <c r="F4503" s="7">
        <f t="shared" si="285"/>
        <v>0</v>
      </c>
      <c r="G4503" s="7" t="s">
        <v>12558</v>
      </c>
      <c r="H4503" s="7">
        <f t="shared" si="286"/>
        <v>0</v>
      </c>
      <c r="I4503" s="7" t="str" cm="1">
        <f t="array" ref="I4503">IFERROR(_xlfn.IFS(M4503="נח",1,M4503="נע ונח",1,M4503="שני שווא נח",2,M4503="שני שוואים בסוף מילה",2,M4503="שני שוואים ברצף",1),"0")</f>
        <v>0</v>
      </c>
      <c r="J4503" s="9">
        <f t="shared" si="287"/>
        <v>3</v>
      </c>
      <c r="K4503" t="s">
        <v>6698</v>
      </c>
      <c r="L4503" t="s">
        <v>6694</v>
      </c>
      <c r="M4503" t="s">
        <v>6700</v>
      </c>
      <c r="P4503" t="s">
        <v>6694</v>
      </c>
      <c r="Q4503" t="s">
        <v>6694</v>
      </c>
      <c r="W4503" t="s">
        <v>6720</v>
      </c>
    </row>
    <row r="4504" spans="1:23" ht="15.6" x14ac:dyDescent="0.4">
      <c r="A4504" s="2" t="s">
        <v>2955</v>
      </c>
      <c r="B4504" s="5" t="s">
        <v>10688</v>
      </c>
      <c r="C4504" s="7" t="s">
        <v>12556</v>
      </c>
      <c r="D4504" s="8">
        <f t="shared" si="284"/>
        <v>0</v>
      </c>
      <c r="E4504" s="7" t="s">
        <v>12557</v>
      </c>
      <c r="F4504" s="7">
        <f t="shared" si="285"/>
        <v>1</v>
      </c>
      <c r="G4504" s="7" t="s">
        <v>12558</v>
      </c>
      <c r="H4504" s="7">
        <f t="shared" si="286"/>
        <v>0</v>
      </c>
      <c r="I4504" s="7" t="str" cm="1">
        <f t="array" ref="I4504">IFERROR(_xlfn.IFS(M4504="נח",1,M4504="נע ונח",1,M4504="שני שווא נח",2,M4504="שני שוואים בסוף מילה",2,M4504="שני שוואים ברצף",1),"0")</f>
        <v>0</v>
      </c>
      <c r="J4504" s="9">
        <f t="shared" si="287"/>
        <v>4</v>
      </c>
      <c r="K4504" t="s">
        <v>6698</v>
      </c>
      <c r="L4504" t="s">
        <v>6694</v>
      </c>
      <c r="M4504" t="s">
        <v>6700</v>
      </c>
      <c r="O4504" t="s">
        <v>6694</v>
      </c>
      <c r="T4504" t="s">
        <v>6694</v>
      </c>
      <c r="V4504" t="s">
        <v>6694</v>
      </c>
      <c r="W4504" t="s">
        <v>6720</v>
      </c>
    </row>
    <row r="4505" spans="1:23" ht="15.6" x14ac:dyDescent="0.4">
      <c r="A4505" s="2" t="s">
        <v>2413</v>
      </c>
      <c r="B4505" s="5" t="s">
        <v>10689</v>
      </c>
      <c r="C4505" s="7" t="s">
        <v>12556</v>
      </c>
      <c r="D4505" s="8">
        <f t="shared" si="284"/>
        <v>0</v>
      </c>
      <c r="E4505" s="7" t="s">
        <v>12557</v>
      </c>
      <c r="F4505" s="7">
        <f t="shared" si="285"/>
        <v>0</v>
      </c>
      <c r="G4505" s="7" t="s">
        <v>12558</v>
      </c>
      <c r="H4505" s="7">
        <f t="shared" si="286"/>
        <v>0</v>
      </c>
      <c r="I4505" s="7" t="str" cm="1">
        <f t="array" ref="I4505">IFERROR(_xlfn.IFS(M4505="נח",1,M4505="נע ונח",1,M4505="שני שווא נח",2,M4505="שני שוואים בסוף מילה",2,M4505="שני שוואים ברצף",1),"0")</f>
        <v>0</v>
      </c>
      <c r="J4505" s="9">
        <f t="shared" si="287"/>
        <v>4</v>
      </c>
      <c r="K4505" t="s">
        <v>6697</v>
      </c>
      <c r="L4505" t="s">
        <v>6694</v>
      </c>
      <c r="M4505" t="s">
        <v>6703</v>
      </c>
      <c r="S4505" t="s">
        <v>6694</v>
      </c>
      <c r="V4505" t="s">
        <v>6694</v>
      </c>
      <c r="W4505" t="s">
        <v>6720</v>
      </c>
    </row>
    <row r="4506" spans="1:23" ht="15.6" x14ac:dyDescent="0.4">
      <c r="A4506" s="2" t="s">
        <v>3277</v>
      </c>
      <c r="B4506" s="5" t="s">
        <v>10690</v>
      </c>
      <c r="C4506" s="7" t="s">
        <v>12556</v>
      </c>
      <c r="D4506" s="8">
        <f t="shared" si="284"/>
        <v>1</v>
      </c>
      <c r="E4506" s="7" t="s">
        <v>12557</v>
      </c>
      <c r="F4506" s="7">
        <f t="shared" si="285"/>
        <v>0</v>
      </c>
      <c r="G4506" s="7" t="s">
        <v>12558</v>
      </c>
      <c r="H4506" s="7">
        <f t="shared" si="286"/>
        <v>0</v>
      </c>
      <c r="I4506" s="7" t="str" cm="1">
        <f t="array" ref="I4506">IFERROR(_xlfn.IFS(M4506="נח",1,M4506="נע ונח",1,M4506="שני שווא נח",2,M4506="שני שוואים בסוף מילה",2,M4506="שני שוואים ברצף",1),"0")</f>
        <v>0</v>
      </c>
      <c r="J4506" s="9">
        <f t="shared" si="287"/>
        <v>3</v>
      </c>
      <c r="K4506" t="s">
        <v>6698</v>
      </c>
      <c r="L4506" t="s">
        <v>6694</v>
      </c>
      <c r="M4506" t="s">
        <v>6700</v>
      </c>
      <c r="P4506" t="s">
        <v>6694</v>
      </c>
      <c r="S4506" t="s">
        <v>6694</v>
      </c>
      <c r="W4506" t="s">
        <v>6720</v>
      </c>
    </row>
    <row r="4507" spans="1:23" ht="15.6" x14ac:dyDescent="0.4">
      <c r="A4507" s="2" t="s">
        <v>6530</v>
      </c>
      <c r="B4507" s="5" t="s">
        <v>10691</v>
      </c>
      <c r="C4507" s="7" t="s">
        <v>12556</v>
      </c>
      <c r="D4507" s="8">
        <f t="shared" si="284"/>
        <v>1</v>
      </c>
      <c r="E4507" s="7" t="s">
        <v>12557</v>
      </c>
      <c r="F4507" s="7">
        <f t="shared" si="285"/>
        <v>0</v>
      </c>
      <c r="G4507" s="7" t="s">
        <v>12558</v>
      </c>
      <c r="H4507" s="7">
        <f t="shared" si="286"/>
        <v>0</v>
      </c>
      <c r="I4507" s="7" t="str" cm="1">
        <f t="array" ref="I4507">IFERROR(_xlfn.IFS(M4507="נח",1,M4507="נע ונח",1,M4507="שני שווא נח",2,M4507="שני שוואים בסוף מילה",2,M4507="שני שוואים ברצף",1),"0")</f>
        <v>0</v>
      </c>
      <c r="J4507" s="9">
        <f t="shared" si="287"/>
        <v>4</v>
      </c>
      <c r="K4507" t="s">
        <v>6697</v>
      </c>
      <c r="L4507" t="s">
        <v>6694</v>
      </c>
      <c r="M4507" t="s">
        <v>6700</v>
      </c>
      <c r="O4507" t="s">
        <v>6694</v>
      </c>
      <c r="R4507" t="s">
        <v>6694</v>
      </c>
      <c r="S4507" t="s">
        <v>6694</v>
      </c>
      <c r="W4507" t="s">
        <v>6720</v>
      </c>
    </row>
    <row r="4508" spans="1:23" ht="15.6" x14ac:dyDescent="0.4">
      <c r="A4508" s="2" t="s">
        <v>774</v>
      </c>
      <c r="B4508" s="5" t="s">
        <v>10692</v>
      </c>
      <c r="C4508" s="7" t="s">
        <v>12556</v>
      </c>
      <c r="D4508" s="8">
        <f t="shared" si="284"/>
        <v>1</v>
      </c>
      <c r="E4508" s="7" t="s">
        <v>12557</v>
      </c>
      <c r="F4508" s="7">
        <f t="shared" si="285"/>
        <v>0</v>
      </c>
      <c r="G4508" s="7" t="s">
        <v>12558</v>
      </c>
      <c r="H4508" s="7">
        <f t="shared" si="286"/>
        <v>0</v>
      </c>
      <c r="I4508" s="7" t="str" cm="1">
        <f t="array" ref="I4508">IFERROR(_xlfn.IFS(M4508="נח",1,M4508="נע ונח",1,M4508="שני שווא נח",2,M4508="שני שוואים בסוף מילה",2,M4508="שני שוואים ברצף",1),"0")</f>
        <v>0</v>
      </c>
      <c r="J4508" s="9">
        <f t="shared" si="287"/>
        <v>3</v>
      </c>
      <c r="K4508" t="s">
        <v>6697</v>
      </c>
      <c r="L4508" t="s">
        <v>6694</v>
      </c>
      <c r="M4508" t="s">
        <v>6700</v>
      </c>
      <c r="S4508" t="s">
        <v>6694</v>
      </c>
      <c r="V4508" t="s">
        <v>6694</v>
      </c>
      <c r="W4508" t="s">
        <v>6720</v>
      </c>
    </row>
    <row r="4509" spans="1:23" ht="15.6" x14ac:dyDescent="0.4">
      <c r="A4509" s="2" t="s">
        <v>3106</v>
      </c>
      <c r="B4509" s="5" t="s">
        <v>10693</v>
      </c>
      <c r="C4509" s="7" t="s">
        <v>12556</v>
      </c>
      <c r="D4509" s="8">
        <f t="shared" si="284"/>
        <v>1</v>
      </c>
      <c r="E4509" s="7" t="s">
        <v>12557</v>
      </c>
      <c r="F4509" s="7">
        <f t="shared" si="285"/>
        <v>1</v>
      </c>
      <c r="G4509" s="7" t="s">
        <v>12558</v>
      </c>
      <c r="H4509" s="7">
        <f t="shared" si="286"/>
        <v>1</v>
      </c>
      <c r="I4509" s="7" t="str" cm="1">
        <f t="array" ref="I4509">IFERROR(_xlfn.IFS(M4509="נח",1,M4509="נע ונח",1,M4509="שני שווא נח",2,M4509="שני שוואים בסוף מילה",2,M4509="שני שוואים ברצף",1),"0")</f>
        <v>0</v>
      </c>
      <c r="J4509" s="9">
        <f t="shared" si="287"/>
        <v>5</v>
      </c>
      <c r="K4509" t="s">
        <v>6697</v>
      </c>
      <c r="L4509" t="s">
        <v>6694</v>
      </c>
      <c r="M4509" t="s">
        <v>6700</v>
      </c>
      <c r="P4509" t="s">
        <v>6694</v>
      </c>
      <c r="Q4509" t="s">
        <v>6694</v>
      </c>
      <c r="U4509" t="s">
        <v>6694</v>
      </c>
      <c r="W4509" t="s">
        <v>6720</v>
      </c>
    </row>
    <row r="4510" spans="1:23" ht="15.6" x14ac:dyDescent="0.4">
      <c r="A4510" s="2" t="s">
        <v>2044</v>
      </c>
      <c r="B4510" s="5" t="s">
        <v>10694</v>
      </c>
      <c r="C4510" s="7" t="s">
        <v>12556</v>
      </c>
      <c r="D4510" s="8">
        <f t="shared" si="284"/>
        <v>1</v>
      </c>
      <c r="E4510" s="7" t="s">
        <v>12557</v>
      </c>
      <c r="F4510" s="7">
        <f t="shared" si="285"/>
        <v>1</v>
      </c>
      <c r="G4510" s="7" t="s">
        <v>12558</v>
      </c>
      <c r="H4510" s="7">
        <f t="shared" si="286"/>
        <v>1</v>
      </c>
      <c r="I4510" s="7" t="str" cm="1">
        <f t="array" ref="I4510">IFERROR(_xlfn.IFS(M4510="נח",1,M4510="נע ונח",1,M4510="שני שווא נח",2,M4510="שני שוואים בסוף מילה",2,M4510="שני שוואים ברצף",1),"0")</f>
        <v>0</v>
      </c>
      <c r="J4510" s="9">
        <f t="shared" si="287"/>
        <v>4</v>
      </c>
      <c r="K4510" t="s">
        <v>6697</v>
      </c>
      <c r="L4510" t="s">
        <v>6694</v>
      </c>
      <c r="M4510" t="s">
        <v>6700</v>
      </c>
      <c r="P4510" t="s">
        <v>6694</v>
      </c>
      <c r="R4510" t="s">
        <v>6694</v>
      </c>
      <c r="U4510" t="s">
        <v>6694</v>
      </c>
      <c r="W4510" t="s">
        <v>6720</v>
      </c>
    </row>
    <row r="4511" spans="1:23" ht="15.6" x14ac:dyDescent="0.4">
      <c r="A4511" s="2" t="s">
        <v>6676</v>
      </c>
      <c r="B4511" s="5" t="s">
        <v>10695</v>
      </c>
      <c r="C4511" s="7" t="s">
        <v>12556</v>
      </c>
      <c r="D4511" s="8">
        <f t="shared" si="284"/>
        <v>1</v>
      </c>
      <c r="E4511" s="7" t="s">
        <v>12557</v>
      </c>
      <c r="F4511" s="7">
        <f t="shared" si="285"/>
        <v>1</v>
      </c>
      <c r="G4511" s="7" t="s">
        <v>12558</v>
      </c>
      <c r="H4511" s="7">
        <f t="shared" si="286"/>
        <v>0</v>
      </c>
      <c r="I4511" s="7" cm="1">
        <f t="array" ref="I4511">IFERROR(_xlfn.IFS(M4511="נח",1,M4511="נע ונח",1,M4511="שני שווא נח",2,M4511="שני שוואים בסוף מילה",2,M4511="שני שוואים ברצף",1),"0")</f>
        <v>1</v>
      </c>
      <c r="J4511" s="9">
        <f t="shared" si="287"/>
        <v>3</v>
      </c>
      <c r="K4511" t="s">
        <v>6698</v>
      </c>
      <c r="L4511" t="s">
        <v>6694</v>
      </c>
      <c r="M4511" t="s">
        <v>6701</v>
      </c>
      <c r="P4511" t="s">
        <v>6694</v>
      </c>
      <c r="S4511" t="s">
        <v>6694</v>
      </c>
      <c r="W4511" t="s">
        <v>6720</v>
      </c>
    </row>
    <row r="4512" spans="1:23" ht="15.6" x14ac:dyDescent="0.4">
      <c r="A4512" s="2" t="s">
        <v>3705</v>
      </c>
      <c r="B4512" s="5" t="s">
        <v>10696</v>
      </c>
      <c r="C4512" s="7" t="s">
        <v>12556</v>
      </c>
      <c r="D4512" s="8">
        <f t="shared" si="284"/>
        <v>1</v>
      </c>
      <c r="E4512" s="7" t="s">
        <v>12557</v>
      </c>
      <c r="F4512" s="7">
        <f t="shared" si="285"/>
        <v>0</v>
      </c>
      <c r="G4512" s="7" t="s">
        <v>12558</v>
      </c>
      <c r="H4512" s="7">
        <f t="shared" si="286"/>
        <v>0</v>
      </c>
      <c r="I4512" s="7" t="str" cm="1">
        <f t="array" ref="I4512">IFERROR(_xlfn.IFS(M4512="נח",1,M4512="נע ונח",1,M4512="שני שווא נח",2,M4512="שני שוואים בסוף מילה",2,M4512="שני שוואים ברצף",1),"0")</f>
        <v>0</v>
      </c>
      <c r="J4512" s="9">
        <f t="shared" si="287"/>
        <v>4</v>
      </c>
      <c r="K4512" t="s">
        <v>6697</v>
      </c>
      <c r="L4512" t="s">
        <v>6694</v>
      </c>
      <c r="M4512" t="s">
        <v>6700</v>
      </c>
      <c r="O4512" t="s">
        <v>6694</v>
      </c>
      <c r="P4512" t="s">
        <v>6694</v>
      </c>
      <c r="W4512" t="s">
        <v>6720</v>
      </c>
    </row>
    <row r="4513" spans="1:23" ht="15.6" x14ac:dyDescent="0.4">
      <c r="A4513" s="2" t="s">
        <v>632</v>
      </c>
      <c r="B4513" s="5" t="s">
        <v>10697</v>
      </c>
      <c r="C4513" s="7" t="s">
        <v>12556</v>
      </c>
      <c r="D4513" s="8">
        <f t="shared" si="284"/>
        <v>1</v>
      </c>
      <c r="E4513" s="7" t="s">
        <v>12557</v>
      </c>
      <c r="F4513" s="7">
        <f t="shared" si="285"/>
        <v>0</v>
      </c>
      <c r="G4513" s="7" t="s">
        <v>12558</v>
      </c>
      <c r="H4513" s="7">
        <f t="shared" si="286"/>
        <v>0</v>
      </c>
      <c r="I4513" s="7" cm="1">
        <f t="array" ref="I4513">IFERROR(_xlfn.IFS(M4513="נח",1,M4513="נע ונח",1,M4513="שני שווא נח",2,M4513="שני שוואים בסוף מילה",2,M4513="שני שוואים ברצף",1),"0")</f>
        <v>1</v>
      </c>
      <c r="J4513" s="9">
        <f t="shared" si="287"/>
        <v>3</v>
      </c>
      <c r="K4513" t="s">
        <v>6698</v>
      </c>
      <c r="L4513" t="s">
        <v>6694</v>
      </c>
      <c r="M4513" t="s">
        <v>6701</v>
      </c>
      <c r="N4513" t="s">
        <v>6706</v>
      </c>
      <c r="O4513" t="s">
        <v>6694</v>
      </c>
      <c r="W4513" t="s">
        <v>6720</v>
      </c>
    </row>
    <row r="4514" spans="1:23" ht="15.6" x14ac:dyDescent="0.4">
      <c r="A4514" s="2" t="s">
        <v>853</v>
      </c>
      <c r="B4514" s="5" t="s">
        <v>10698</v>
      </c>
      <c r="C4514" s="7" t="s">
        <v>12556</v>
      </c>
      <c r="D4514" s="8">
        <f t="shared" si="284"/>
        <v>1</v>
      </c>
      <c r="E4514" s="7" t="s">
        <v>12557</v>
      </c>
      <c r="F4514" s="7">
        <f t="shared" si="285"/>
        <v>0</v>
      </c>
      <c r="G4514" s="7" t="s">
        <v>12558</v>
      </c>
      <c r="H4514" s="7">
        <f t="shared" si="286"/>
        <v>0</v>
      </c>
      <c r="I4514" s="7" cm="1">
        <f t="array" ref="I4514">IFERROR(_xlfn.IFS(M4514="נח",1,M4514="נע ונח",1,M4514="שני שווא נח",2,M4514="שני שוואים בסוף מילה",2,M4514="שני שוואים ברצף",1),"0")</f>
        <v>1</v>
      </c>
      <c r="J4514" s="9">
        <f t="shared" si="287"/>
        <v>2</v>
      </c>
      <c r="K4514" t="s">
        <v>6698</v>
      </c>
      <c r="L4514" t="s">
        <v>6694</v>
      </c>
      <c r="M4514" t="s">
        <v>6701</v>
      </c>
      <c r="V4514" t="s">
        <v>6694</v>
      </c>
      <c r="W4514" t="s">
        <v>6720</v>
      </c>
    </row>
    <row r="4515" spans="1:23" ht="15.6" x14ac:dyDescent="0.4">
      <c r="A4515" s="2" t="s">
        <v>3283</v>
      </c>
      <c r="B4515" s="5" t="s">
        <v>10699</v>
      </c>
      <c r="C4515" s="7" t="s">
        <v>12556</v>
      </c>
      <c r="D4515" s="8">
        <f t="shared" si="284"/>
        <v>1</v>
      </c>
      <c r="E4515" s="7" t="s">
        <v>12557</v>
      </c>
      <c r="F4515" s="7">
        <f t="shared" si="285"/>
        <v>1</v>
      </c>
      <c r="G4515" s="7" t="s">
        <v>12558</v>
      </c>
      <c r="H4515" s="7">
        <f t="shared" si="286"/>
        <v>0</v>
      </c>
      <c r="I4515" s="7" cm="1">
        <f t="array" ref="I4515">IFERROR(_xlfn.IFS(M4515="נח",1,M4515="נע ונח",1,M4515="שני שווא נח",2,M4515="שני שוואים בסוף מילה",2,M4515="שני שוואים ברצף",1),"0")</f>
        <v>1</v>
      </c>
      <c r="J4515" s="9">
        <f t="shared" si="287"/>
        <v>3</v>
      </c>
      <c r="K4515" t="s">
        <v>6698</v>
      </c>
      <c r="L4515" t="s">
        <v>6694</v>
      </c>
      <c r="M4515" t="s">
        <v>6701</v>
      </c>
      <c r="P4515" t="s">
        <v>6694</v>
      </c>
      <c r="Q4515" t="s">
        <v>6694</v>
      </c>
      <c r="W4515" t="s">
        <v>6720</v>
      </c>
    </row>
    <row r="4516" spans="1:23" ht="15.6" x14ac:dyDescent="0.4">
      <c r="A4516" s="2" t="s">
        <v>4025</v>
      </c>
      <c r="B4516" s="5" t="s">
        <v>10700</v>
      </c>
      <c r="C4516" s="7" t="s">
        <v>12556</v>
      </c>
      <c r="D4516" s="8">
        <f t="shared" si="284"/>
        <v>1</v>
      </c>
      <c r="E4516" s="7" t="s">
        <v>12557</v>
      </c>
      <c r="F4516" s="7">
        <f t="shared" si="285"/>
        <v>0</v>
      </c>
      <c r="G4516" s="7" t="s">
        <v>12558</v>
      </c>
      <c r="H4516" s="7">
        <f t="shared" si="286"/>
        <v>0</v>
      </c>
      <c r="I4516" s="7" cm="1">
        <f t="array" ref="I4516">IFERROR(_xlfn.IFS(M4516="נח",1,M4516="נע ונח",1,M4516="שני שווא נח",2,M4516="שני שוואים בסוף מילה",2,M4516="שני שוואים ברצף",1),"0")</f>
        <v>1</v>
      </c>
      <c r="J4516" s="9">
        <f t="shared" si="287"/>
        <v>3</v>
      </c>
      <c r="K4516" t="s">
        <v>6697</v>
      </c>
      <c r="L4516" t="s">
        <v>6694</v>
      </c>
      <c r="M4516" t="s">
        <v>6701</v>
      </c>
      <c r="P4516" t="s">
        <v>6694</v>
      </c>
      <c r="S4516" t="s">
        <v>6694</v>
      </c>
      <c r="W4516" t="s">
        <v>6720</v>
      </c>
    </row>
    <row r="4517" spans="1:23" ht="15.6" x14ac:dyDescent="0.4">
      <c r="A4517" s="2" t="s">
        <v>4874</v>
      </c>
      <c r="B4517" s="5" t="s">
        <v>10700</v>
      </c>
      <c r="C4517" s="7" t="s">
        <v>12556</v>
      </c>
      <c r="D4517" s="8">
        <f t="shared" si="284"/>
        <v>1</v>
      </c>
      <c r="E4517" s="7" t="s">
        <v>12557</v>
      </c>
      <c r="F4517" s="7">
        <f t="shared" si="285"/>
        <v>0</v>
      </c>
      <c r="G4517" s="7" t="s">
        <v>12558</v>
      </c>
      <c r="H4517" s="7">
        <f t="shared" si="286"/>
        <v>0</v>
      </c>
      <c r="I4517" s="7" cm="1">
        <f t="array" ref="I4517">IFERROR(_xlfn.IFS(M4517="נח",1,M4517="נע ונח",1,M4517="שני שווא נח",2,M4517="שני שוואים בסוף מילה",2,M4517="שני שוואים ברצף",1),"0")</f>
        <v>1</v>
      </c>
      <c r="J4517" s="9">
        <f t="shared" si="287"/>
        <v>3</v>
      </c>
      <c r="K4517" t="s">
        <v>6698</v>
      </c>
      <c r="L4517" t="s">
        <v>6694</v>
      </c>
      <c r="M4517" t="s">
        <v>6701</v>
      </c>
      <c r="P4517" t="s">
        <v>6694</v>
      </c>
      <c r="Q4517" t="s">
        <v>6694</v>
      </c>
      <c r="W4517" t="s">
        <v>6720</v>
      </c>
    </row>
    <row r="4518" spans="1:23" ht="15.6" x14ac:dyDescent="0.4">
      <c r="A4518" s="2" t="s">
        <v>5086</v>
      </c>
      <c r="B4518" s="5" t="s">
        <v>10701</v>
      </c>
      <c r="C4518" s="7" t="s">
        <v>12556</v>
      </c>
      <c r="D4518" s="8">
        <f t="shared" si="284"/>
        <v>1</v>
      </c>
      <c r="E4518" s="7" t="s">
        <v>12557</v>
      </c>
      <c r="F4518" s="7">
        <f t="shared" si="285"/>
        <v>0</v>
      </c>
      <c r="G4518" s="7" t="s">
        <v>12558</v>
      </c>
      <c r="H4518" s="7">
        <f t="shared" si="286"/>
        <v>0</v>
      </c>
      <c r="I4518" s="7" cm="1">
        <f t="array" ref="I4518">IFERROR(_xlfn.IFS(M4518="נח",1,M4518="נע ונח",1,M4518="שני שווא נח",2,M4518="שני שוואים בסוף מילה",2,M4518="שני שוואים ברצף",1),"0")</f>
        <v>1</v>
      </c>
      <c r="J4518" s="9">
        <f t="shared" si="287"/>
        <v>4</v>
      </c>
      <c r="K4518" t="s">
        <v>6697</v>
      </c>
      <c r="L4518" t="s">
        <v>6694</v>
      </c>
      <c r="M4518" t="s">
        <v>6701</v>
      </c>
      <c r="O4518" t="s">
        <v>6694</v>
      </c>
      <c r="P4518" t="s">
        <v>6694</v>
      </c>
      <c r="R4518" t="s">
        <v>6694</v>
      </c>
      <c r="W4518" t="s">
        <v>6720</v>
      </c>
    </row>
    <row r="4519" spans="1:23" ht="15.6" x14ac:dyDescent="0.4">
      <c r="A4519" s="2" t="s">
        <v>4468</v>
      </c>
      <c r="B4519" s="5" t="s">
        <v>10702</v>
      </c>
      <c r="C4519" s="7" t="s">
        <v>12556</v>
      </c>
      <c r="D4519" s="8">
        <f t="shared" si="284"/>
        <v>1</v>
      </c>
      <c r="E4519" s="7" t="s">
        <v>12557</v>
      </c>
      <c r="F4519" s="7">
        <f t="shared" si="285"/>
        <v>0</v>
      </c>
      <c r="G4519" s="7" t="s">
        <v>12558</v>
      </c>
      <c r="H4519" s="7">
        <f t="shared" si="286"/>
        <v>0</v>
      </c>
      <c r="I4519" s="7" cm="1">
        <f t="array" ref="I4519">IFERROR(_xlfn.IFS(M4519="נח",1,M4519="נע ונח",1,M4519="שני שווא נח",2,M4519="שני שוואים בסוף מילה",2,M4519="שני שוואים ברצף",1),"0")</f>
        <v>1</v>
      </c>
      <c r="J4519" s="9">
        <f t="shared" si="287"/>
        <v>3</v>
      </c>
      <c r="K4519" t="s">
        <v>6698</v>
      </c>
      <c r="L4519" t="s">
        <v>6694</v>
      </c>
      <c r="M4519" t="s">
        <v>6701</v>
      </c>
      <c r="N4519" t="s">
        <v>6706</v>
      </c>
      <c r="O4519" t="s">
        <v>6694</v>
      </c>
      <c r="P4519" t="s">
        <v>6694</v>
      </c>
      <c r="W4519" t="s">
        <v>6720</v>
      </c>
    </row>
    <row r="4520" spans="1:23" ht="15.6" x14ac:dyDescent="0.4">
      <c r="A4520" s="2" t="s">
        <v>1636</v>
      </c>
      <c r="B4520" s="5" t="s">
        <v>10703</v>
      </c>
      <c r="C4520" s="7" t="s">
        <v>12556</v>
      </c>
      <c r="D4520" s="8">
        <f t="shared" si="284"/>
        <v>0</v>
      </c>
      <c r="E4520" s="7" t="s">
        <v>12557</v>
      </c>
      <c r="F4520" s="7">
        <f t="shared" si="285"/>
        <v>0</v>
      </c>
      <c r="G4520" s="7" t="s">
        <v>12558</v>
      </c>
      <c r="H4520" s="7">
        <f t="shared" si="286"/>
        <v>0</v>
      </c>
      <c r="I4520" s="7" t="str" cm="1">
        <f t="array" ref="I4520">IFERROR(_xlfn.IFS(M4520="נח",1,M4520="נע ונח",1,M4520="שני שווא נח",2,M4520="שני שוואים בסוף מילה",2,M4520="שני שוואים ברצף",1),"0")</f>
        <v>0</v>
      </c>
      <c r="J4520" s="9">
        <f t="shared" si="287"/>
        <v>2</v>
      </c>
      <c r="K4520" t="s">
        <v>6698</v>
      </c>
      <c r="L4520" t="s">
        <v>6694</v>
      </c>
      <c r="M4520" t="s">
        <v>6700</v>
      </c>
      <c r="Q4520" t="s">
        <v>6694</v>
      </c>
      <c r="W4520" t="s">
        <v>6720</v>
      </c>
    </row>
    <row r="4521" spans="1:23" ht="15.6" x14ac:dyDescent="0.4">
      <c r="A4521" s="2" t="s">
        <v>5271</v>
      </c>
      <c r="B4521" s="5" t="s">
        <v>10704</v>
      </c>
      <c r="C4521" s="7" t="s">
        <v>12556</v>
      </c>
      <c r="D4521" s="8">
        <f t="shared" si="284"/>
        <v>0</v>
      </c>
      <c r="E4521" s="7" t="s">
        <v>12557</v>
      </c>
      <c r="F4521" s="7">
        <f t="shared" si="285"/>
        <v>0</v>
      </c>
      <c r="G4521" s="7" t="s">
        <v>12558</v>
      </c>
      <c r="H4521" s="7">
        <f t="shared" si="286"/>
        <v>0</v>
      </c>
      <c r="I4521" s="7" t="str" cm="1">
        <f t="array" ref="I4521">IFERROR(_xlfn.IFS(M4521="נח",1,M4521="נע ונח",1,M4521="שני שווא נח",2,M4521="שני שוואים בסוף מילה",2,M4521="שני שוואים ברצף",1),"0")</f>
        <v>0</v>
      </c>
      <c r="J4521" s="9">
        <f t="shared" si="287"/>
        <v>2</v>
      </c>
      <c r="K4521" t="s">
        <v>6698</v>
      </c>
      <c r="L4521" t="s">
        <v>6694</v>
      </c>
      <c r="M4521" t="s">
        <v>6700</v>
      </c>
      <c r="V4521" t="s">
        <v>6694</v>
      </c>
      <c r="W4521" t="s">
        <v>6720</v>
      </c>
    </row>
    <row r="4522" spans="1:23" ht="15.6" x14ac:dyDescent="0.4">
      <c r="A4522" s="2" t="s">
        <v>472</v>
      </c>
      <c r="B4522" s="5" t="s">
        <v>10705</v>
      </c>
      <c r="C4522" s="7" t="s">
        <v>12556</v>
      </c>
      <c r="D4522" s="8">
        <f t="shared" si="284"/>
        <v>0</v>
      </c>
      <c r="E4522" s="7" t="s">
        <v>12557</v>
      </c>
      <c r="F4522" s="7">
        <f t="shared" si="285"/>
        <v>0</v>
      </c>
      <c r="G4522" s="7" t="s">
        <v>12558</v>
      </c>
      <c r="H4522" s="7">
        <f t="shared" si="286"/>
        <v>0</v>
      </c>
      <c r="I4522" s="7" cm="1">
        <f t="array" ref="I4522">IFERROR(_xlfn.IFS(M4522="נח",1,M4522="נע ונח",1,M4522="שני שווא נח",2,M4522="שני שוואים בסוף מילה",2,M4522="שני שוואים ברצף",1),"0")</f>
        <v>1</v>
      </c>
      <c r="J4522" s="9">
        <f t="shared" si="287"/>
        <v>3</v>
      </c>
      <c r="K4522" t="s">
        <v>6697</v>
      </c>
      <c r="L4522" t="s">
        <v>6694</v>
      </c>
      <c r="M4522" t="s">
        <v>6705</v>
      </c>
      <c r="P4522" t="s">
        <v>6694</v>
      </c>
      <c r="S4522" t="s">
        <v>6694</v>
      </c>
      <c r="W4522" t="s">
        <v>6720</v>
      </c>
    </row>
    <row r="4523" spans="1:23" ht="15.6" x14ac:dyDescent="0.4">
      <c r="A4523" s="2" t="s">
        <v>3498</v>
      </c>
      <c r="B4523" s="5" t="s">
        <v>10706</v>
      </c>
      <c r="C4523" s="7" t="s">
        <v>12556</v>
      </c>
      <c r="D4523" s="8">
        <f t="shared" si="284"/>
        <v>0</v>
      </c>
      <c r="E4523" s="7" t="s">
        <v>12557</v>
      </c>
      <c r="F4523" s="7">
        <f t="shared" si="285"/>
        <v>0</v>
      </c>
      <c r="G4523" s="7" t="s">
        <v>12558</v>
      </c>
      <c r="H4523" s="7">
        <f t="shared" si="286"/>
        <v>0</v>
      </c>
      <c r="I4523" s="7" cm="1">
        <f t="array" ref="I4523">IFERROR(_xlfn.IFS(M4523="נח",1,M4523="נע ונח",1,M4523="שני שווא נח",2,M4523="שני שוואים בסוף מילה",2,M4523="שני שוואים ברצף",1),"0")</f>
        <v>1</v>
      </c>
      <c r="J4523" s="9">
        <f t="shared" si="287"/>
        <v>3</v>
      </c>
      <c r="K4523" t="s">
        <v>6697</v>
      </c>
      <c r="L4523" t="s">
        <v>6694</v>
      </c>
      <c r="M4523" t="s">
        <v>6705</v>
      </c>
      <c r="P4523" t="s">
        <v>6694</v>
      </c>
      <c r="S4523" t="s">
        <v>6694</v>
      </c>
      <c r="V4523" t="s">
        <v>6694</v>
      </c>
      <c r="W4523" t="s">
        <v>6720</v>
      </c>
    </row>
    <row r="4524" spans="1:23" ht="15.6" x14ac:dyDescent="0.4">
      <c r="A4524" s="2" t="s">
        <v>4372</v>
      </c>
      <c r="B4524" s="5" t="s">
        <v>10707</v>
      </c>
      <c r="C4524" s="7" t="s">
        <v>12556</v>
      </c>
      <c r="D4524" s="8">
        <f t="shared" si="284"/>
        <v>0</v>
      </c>
      <c r="E4524" s="7" t="s">
        <v>12557</v>
      </c>
      <c r="F4524" s="7">
        <f t="shared" si="285"/>
        <v>0</v>
      </c>
      <c r="G4524" s="7" t="s">
        <v>12558</v>
      </c>
      <c r="H4524" s="7">
        <f t="shared" si="286"/>
        <v>0</v>
      </c>
      <c r="I4524" s="7" cm="1">
        <f t="array" ref="I4524">IFERROR(_xlfn.IFS(M4524="נח",1,M4524="נע ונח",1,M4524="שני שווא נח",2,M4524="שני שוואים בסוף מילה",2,M4524="שני שוואים ברצף",1),"0")</f>
        <v>1</v>
      </c>
      <c r="J4524" s="9">
        <f t="shared" si="287"/>
        <v>2</v>
      </c>
      <c r="K4524" t="s">
        <v>6698</v>
      </c>
      <c r="L4524" t="s">
        <v>6694</v>
      </c>
      <c r="M4524" t="s">
        <v>6705</v>
      </c>
      <c r="N4524" t="s">
        <v>6706</v>
      </c>
      <c r="O4524" t="s">
        <v>6694</v>
      </c>
      <c r="S4524" t="s">
        <v>6694</v>
      </c>
      <c r="W4524" t="s">
        <v>6720</v>
      </c>
    </row>
    <row r="4525" spans="1:23" ht="15.6" x14ac:dyDescent="0.4">
      <c r="A4525" s="2" t="s">
        <v>1712</v>
      </c>
      <c r="B4525" s="5" t="s">
        <v>10707</v>
      </c>
      <c r="C4525" s="7" t="s">
        <v>12556</v>
      </c>
      <c r="D4525" s="8">
        <f t="shared" si="284"/>
        <v>0</v>
      </c>
      <c r="E4525" s="7" t="s">
        <v>12557</v>
      </c>
      <c r="F4525" s="7">
        <f t="shared" si="285"/>
        <v>1</v>
      </c>
      <c r="G4525" s="7" t="s">
        <v>12558</v>
      </c>
      <c r="H4525" s="7">
        <f t="shared" si="286"/>
        <v>0</v>
      </c>
      <c r="I4525" s="7" cm="1">
        <f t="array" ref="I4525">IFERROR(_xlfn.IFS(M4525="נח",1,M4525="נע ונח",1,M4525="שני שווא נח",2,M4525="שני שוואים בסוף מילה",2,M4525="שני שוואים ברצף",1),"0")</f>
        <v>1</v>
      </c>
      <c r="J4525" s="9">
        <f t="shared" si="287"/>
        <v>3</v>
      </c>
      <c r="K4525" t="s">
        <v>6697</v>
      </c>
      <c r="L4525" t="s">
        <v>6694</v>
      </c>
      <c r="M4525" t="s">
        <v>6705</v>
      </c>
      <c r="N4525" t="s">
        <v>6707</v>
      </c>
      <c r="P4525" t="s">
        <v>6694</v>
      </c>
      <c r="S4525" t="s">
        <v>6694</v>
      </c>
      <c r="V4525" t="s">
        <v>6694</v>
      </c>
      <c r="W4525" t="s">
        <v>6720</v>
      </c>
    </row>
    <row r="4526" spans="1:23" ht="15.6" x14ac:dyDescent="0.4">
      <c r="A4526" s="2" t="s">
        <v>1807</v>
      </c>
      <c r="B4526" s="5" t="s">
        <v>10708</v>
      </c>
      <c r="C4526" s="7" t="s">
        <v>12556</v>
      </c>
      <c r="D4526" s="8">
        <f t="shared" si="284"/>
        <v>0</v>
      </c>
      <c r="E4526" s="7" t="s">
        <v>12557</v>
      </c>
      <c r="F4526" s="7">
        <f t="shared" si="285"/>
        <v>1</v>
      </c>
      <c r="G4526" s="7" t="s">
        <v>12558</v>
      </c>
      <c r="H4526" s="7">
        <f t="shared" si="286"/>
        <v>0</v>
      </c>
      <c r="I4526" s="7" cm="1">
        <f t="array" ref="I4526">IFERROR(_xlfn.IFS(M4526="נח",1,M4526="נע ונח",1,M4526="שני שווא נח",2,M4526="שני שוואים בסוף מילה",2,M4526="שני שוואים ברצף",1),"0")</f>
        <v>1</v>
      </c>
      <c r="J4526" s="9">
        <f t="shared" si="287"/>
        <v>2</v>
      </c>
      <c r="K4526" t="s">
        <v>6698</v>
      </c>
      <c r="L4526" t="s">
        <v>6694</v>
      </c>
      <c r="M4526" t="s">
        <v>6705</v>
      </c>
      <c r="Q4526" t="s">
        <v>6694</v>
      </c>
      <c r="S4526" t="s">
        <v>6694</v>
      </c>
      <c r="W4526" t="s">
        <v>6720</v>
      </c>
    </row>
    <row r="4527" spans="1:23" ht="15.6" x14ac:dyDescent="0.4">
      <c r="A4527" s="2" t="s">
        <v>5709</v>
      </c>
      <c r="B4527" s="5" t="s">
        <v>10709</v>
      </c>
      <c r="C4527" s="7" t="s">
        <v>12556</v>
      </c>
      <c r="D4527" s="8">
        <f t="shared" si="284"/>
        <v>0</v>
      </c>
      <c r="E4527" s="7" t="s">
        <v>12557</v>
      </c>
      <c r="F4527" s="7">
        <f t="shared" si="285"/>
        <v>1</v>
      </c>
      <c r="G4527" s="7" t="s">
        <v>12558</v>
      </c>
      <c r="H4527" s="7">
        <f t="shared" si="286"/>
        <v>0</v>
      </c>
      <c r="I4527" s="7" cm="1">
        <f t="array" ref="I4527">IFERROR(_xlfn.IFS(M4527="נח",1,M4527="נע ונח",1,M4527="שני שווא נח",2,M4527="שני שוואים בסוף מילה",2,M4527="שני שוואים ברצף",1),"0")</f>
        <v>1</v>
      </c>
      <c r="J4527" s="9">
        <f t="shared" si="287"/>
        <v>3</v>
      </c>
      <c r="K4527" t="s">
        <v>6698</v>
      </c>
      <c r="L4527" t="s">
        <v>6694</v>
      </c>
      <c r="M4527" t="s">
        <v>6705</v>
      </c>
      <c r="Q4527" t="s">
        <v>6694</v>
      </c>
      <c r="R4527" t="s">
        <v>6694</v>
      </c>
      <c r="S4527" t="s">
        <v>6694</v>
      </c>
      <c r="W4527" t="s">
        <v>6720</v>
      </c>
    </row>
    <row r="4528" spans="1:23" ht="15.6" x14ac:dyDescent="0.4">
      <c r="A4528" s="2" t="s">
        <v>671</v>
      </c>
      <c r="B4528" s="5" t="s">
        <v>10710</v>
      </c>
      <c r="C4528" s="7" t="s">
        <v>12556</v>
      </c>
      <c r="D4528" s="8">
        <f t="shared" si="284"/>
        <v>0</v>
      </c>
      <c r="E4528" s="7" t="s">
        <v>12557</v>
      </c>
      <c r="F4528" s="7">
        <f t="shared" si="285"/>
        <v>1</v>
      </c>
      <c r="G4528" s="7" t="s">
        <v>12558</v>
      </c>
      <c r="H4528" s="7">
        <f t="shared" si="286"/>
        <v>0</v>
      </c>
      <c r="I4528" s="7" t="str" cm="1">
        <f t="array" ref="I4528">IFERROR(_xlfn.IFS(M4528="נח",1,M4528="נע ונח",1,M4528="שני שווא נח",2,M4528="שני שוואים בסוף מילה",2,M4528="שני שוואים ברצף",1),"0")</f>
        <v>0</v>
      </c>
      <c r="J4528" s="9">
        <f t="shared" si="287"/>
        <v>2</v>
      </c>
      <c r="K4528" t="s">
        <v>6698</v>
      </c>
      <c r="L4528" t="s">
        <v>6695</v>
      </c>
      <c r="Q4528" t="s">
        <v>6694</v>
      </c>
      <c r="S4528" t="s">
        <v>6694</v>
      </c>
      <c r="W4528" t="s">
        <v>6720</v>
      </c>
    </row>
    <row r="4529" spans="1:23" ht="15.6" x14ac:dyDescent="0.4">
      <c r="A4529" s="2" t="s">
        <v>1755</v>
      </c>
      <c r="B4529" s="5" t="s">
        <v>10711</v>
      </c>
      <c r="C4529" s="7" t="s">
        <v>12556</v>
      </c>
      <c r="D4529" s="8">
        <f t="shared" si="284"/>
        <v>0</v>
      </c>
      <c r="E4529" s="7" t="s">
        <v>12557</v>
      </c>
      <c r="F4529" s="7">
        <f t="shared" si="285"/>
        <v>1</v>
      </c>
      <c r="G4529" s="7" t="s">
        <v>12558</v>
      </c>
      <c r="H4529" s="7">
        <f t="shared" si="286"/>
        <v>0</v>
      </c>
      <c r="I4529" s="7" t="str" cm="1">
        <f t="array" ref="I4529">IFERROR(_xlfn.IFS(M4529="נח",1,M4529="נע ונח",1,M4529="שני שווא נח",2,M4529="שני שוואים בסוף מילה",2,M4529="שני שוואים ברצף",1),"0")</f>
        <v>0</v>
      </c>
      <c r="J4529" s="9">
        <f t="shared" si="287"/>
        <v>2</v>
      </c>
      <c r="K4529" t="s">
        <v>6698</v>
      </c>
      <c r="L4529" t="s">
        <v>6695</v>
      </c>
      <c r="Q4529" t="s">
        <v>6694</v>
      </c>
      <c r="S4529" t="s">
        <v>6694</v>
      </c>
      <c r="W4529" t="s">
        <v>6720</v>
      </c>
    </row>
    <row r="4530" spans="1:23" ht="15.6" x14ac:dyDescent="0.4">
      <c r="A4530" s="2" t="s">
        <v>5306</v>
      </c>
      <c r="B4530" s="5" t="s">
        <v>10712</v>
      </c>
      <c r="C4530" s="7" t="s">
        <v>12556</v>
      </c>
      <c r="D4530" s="8">
        <f t="shared" si="284"/>
        <v>0</v>
      </c>
      <c r="E4530" s="7" t="s">
        <v>12557</v>
      </c>
      <c r="F4530" s="7">
        <f t="shared" si="285"/>
        <v>1</v>
      </c>
      <c r="G4530" s="7" t="s">
        <v>12558</v>
      </c>
      <c r="H4530" s="7">
        <f t="shared" si="286"/>
        <v>0</v>
      </c>
      <c r="I4530" s="7" cm="1">
        <f t="array" ref="I4530">IFERROR(_xlfn.IFS(M4530="נח",1,M4530="נע ונח",1,M4530="שני שווא נח",2,M4530="שני שוואים בסוף מילה",2,M4530="שני שוואים ברצף",1),"0")</f>
        <v>1</v>
      </c>
      <c r="J4530" s="9">
        <f t="shared" si="287"/>
        <v>3</v>
      </c>
      <c r="K4530" t="s">
        <v>6697</v>
      </c>
      <c r="L4530" t="s">
        <v>6694</v>
      </c>
      <c r="M4530" t="s">
        <v>6705</v>
      </c>
      <c r="O4530" t="s">
        <v>6694</v>
      </c>
      <c r="Q4530" t="s">
        <v>6694</v>
      </c>
      <c r="S4530" t="s">
        <v>6694</v>
      </c>
      <c r="W4530" t="s">
        <v>6720</v>
      </c>
    </row>
    <row r="4531" spans="1:23" ht="15.6" x14ac:dyDescent="0.4">
      <c r="A4531" s="2" t="s">
        <v>475</v>
      </c>
      <c r="B4531" s="5" t="s">
        <v>10713</v>
      </c>
      <c r="C4531" s="7" t="s">
        <v>12556</v>
      </c>
      <c r="D4531" s="8">
        <f t="shared" si="284"/>
        <v>0</v>
      </c>
      <c r="E4531" s="7" t="s">
        <v>12557</v>
      </c>
      <c r="F4531" s="7">
        <f t="shared" si="285"/>
        <v>1</v>
      </c>
      <c r="G4531" s="7" t="s">
        <v>12558</v>
      </c>
      <c r="H4531" s="7">
        <f t="shared" si="286"/>
        <v>0</v>
      </c>
      <c r="I4531" s="7" t="str" cm="1">
        <f t="array" ref="I4531">IFERROR(_xlfn.IFS(M4531="נח",1,M4531="נע ונח",1,M4531="שני שווא נח",2,M4531="שני שוואים בסוף מילה",2,M4531="שני שוואים ברצף",1),"0")</f>
        <v>0</v>
      </c>
      <c r="J4531" s="9">
        <f t="shared" si="287"/>
        <v>3</v>
      </c>
      <c r="K4531" t="s">
        <v>6698</v>
      </c>
      <c r="L4531" t="s">
        <v>6695</v>
      </c>
      <c r="R4531" t="s">
        <v>6694</v>
      </c>
      <c r="S4531" t="s">
        <v>6694</v>
      </c>
      <c r="W4531" t="s">
        <v>6720</v>
      </c>
    </row>
    <row r="4532" spans="1:23" ht="15.6" x14ac:dyDescent="0.4">
      <c r="A4532" s="2" t="s">
        <v>2039</v>
      </c>
      <c r="B4532" s="5" t="s">
        <v>10714</v>
      </c>
      <c r="C4532" s="7" t="s">
        <v>12556</v>
      </c>
      <c r="D4532" s="8">
        <f t="shared" si="284"/>
        <v>0</v>
      </c>
      <c r="E4532" s="7" t="s">
        <v>12557</v>
      </c>
      <c r="F4532" s="7">
        <f t="shared" si="285"/>
        <v>1</v>
      </c>
      <c r="G4532" s="7" t="s">
        <v>12558</v>
      </c>
      <c r="H4532" s="7">
        <f t="shared" si="286"/>
        <v>0</v>
      </c>
      <c r="I4532" s="7" cm="1">
        <f t="array" ref="I4532">IFERROR(_xlfn.IFS(M4532="נח",1,M4532="נע ונח",1,M4532="שני שווא נח",2,M4532="שני שוואים בסוף מילה",2,M4532="שני שוואים ברצף",1),"0")</f>
        <v>1</v>
      </c>
      <c r="J4532" s="9">
        <f t="shared" si="287"/>
        <v>4</v>
      </c>
      <c r="K4532" t="s">
        <v>6698</v>
      </c>
      <c r="L4532" t="s">
        <v>6694</v>
      </c>
      <c r="M4532" t="s">
        <v>6705</v>
      </c>
      <c r="P4532" t="s">
        <v>6694</v>
      </c>
      <c r="Q4532" t="s">
        <v>6694</v>
      </c>
      <c r="S4532" t="s">
        <v>6694</v>
      </c>
      <c r="W4532" t="s">
        <v>6720</v>
      </c>
    </row>
    <row r="4533" spans="1:23" ht="15.6" x14ac:dyDescent="0.4">
      <c r="A4533" s="2" t="s">
        <v>38</v>
      </c>
      <c r="B4533" s="5" t="s">
        <v>10713</v>
      </c>
      <c r="C4533" s="7" t="s">
        <v>12556</v>
      </c>
      <c r="D4533" s="8">
        <f t="shared" si="284"/>
        <v>0</v>
      </c>
      <c r="E4533" s="7" t="s">
        <v>12557</v>
      </c>
      <c r="F4533" s="7">
        <f t="shared" si="285"/>
        <v>1</v>
      </c>
      <c r="G4533" s="7" t="s">
        <v>12558</v>
      </c>
      <c r="H4533" s="7">
        <f t="shared" si="286"/>
        <v>0</v>
      </c>
      <c r="I4533" s="7" t="str" cm="1">
        <f t="array" ref="I4533">IFERROR(_xlfn.IFS(M4533="נח",1,M4533="נע ונח",1,M4533="שני שווא נח",2,M4533="שני שוואים בסוף מילה",2,M4533="שני שוואים ברצף",1),"0")</f>
        <v>0</v>
      </c>
      <c r="J4533" s="9">
        <f t="shared" si="287"/>
        <v>3</v>
      </c>
      <c r="K4533" t="s">
        <v>6698</v>
      </c>
      <c r="L4533" t="s">
        <v>6695</v>
      </c>
      <c r="O4533" t="s">
        <v>6694</v>
      </c>
      <c r="R4533" t="s">
        <v>6694</v>
      </c>
      <c r="S4533" t="s">
        <v>6694</v>
      </c>
      <c r="W4533" t="s">
        <v>6720</v>
      </c>
    </row>
    <row r="4534" spans="1:23" ht="15.6" x14ac:dyDescent="0.4">
      <c r="A4534" s="2" t="s">
        <v>4553</v>
      </c>
      <c r="B4534" s="5" t="s">
        <v>10715</v>
      </c>
      <c r="C4534" s="7" t="s">
        <v>12556</v>
      </c>
      <c r="D4534" s="8">
        <f t="shared" si="284"/>
        <v>1</v>
      </c>
      <c r="E4534" s="7" t="s">
        <v>12557</v>
      </c>
      <c r="F4534" s="7">
        <f t="shared" si="285"/>
        <v>1</v>
      </c>
      <c r="G4534" s="7" t="s">
        <v>12558</v>
      </c>
      <c r="H4534" s="7">
        <f t="shared" si="286"/>
        <v>0</v>
      </c>
      <c r="I4534" s="7" t="str" cm="1">
        <f t="array" ref="I4534">IFERROR(_xlfn.IFS(M4534="נח",1,M4534="נע ונח",1,M4534="שני שווא נח",2,M4534="שני שוואים בסוף מילה",2,M4534="שני שוואים ברצף",1),"0")</f>
        <v>0</v>
      </c>
      <c r="J4534" s="9">
        <f t="shared" si="287"/>
        <v>3</v>
      </c>
      <c r="K4534" t="s">
        <v>6698</v>
      </c>
      <c r="L4534" t="s">
        <v>6695</v>
      </c>
      <c r="N4534" t="s">
        <v>6706</v>
      </c>
      <c r="O4534" t="s">
        <v>6694</v>
      </c>
      <c r="S4534" t="s">
        <v>6694</v>
      </c>
      <c r="W4534" t="s">
        <v>6720</v>
      </c>
    </row>
    <row r="4535" spans="1:23" ht="15.6" x14ac:dyDescent="0.4">
      <c r="A4535" s="2" t="s">
        <v>3489</v>
      </c>
      <c r="B4535" s="5" t="s">
        <v>10716</v>
      </c>
      <c r="C4535" s="7" t="s">
        <v>12556</v>
      </c>
      <c r="D4535" s="8">
        <f t="shared" si="284"/>
        <v>0</v>
      </c>
      <c r="E4535" s="7" t="s">
        <v>12557</v>
      </c>
      <c r="F4535" s="7">
        <f t="shared" si="285"/>
        <v>1</v>
      </c>
      <c r="G4535" s="7" t="s">
        <v>12558</v>
      </c>
      <c r="H4535" s="7">
        <f t="shared" si="286"/>
        <v>0</v>
      </c>
      <c r="I4535" s="7" t="str" cm="1">
        <f t="array" ref="I4535">IFERROR(_xlfn.IFS(M4535="נח",1,M4535="נע ונח",1,M4535="שני שווא נח",2,M4535="שני שוואים בסוף מילה",2,M4535="שני שוואים ברצף",1),"0")</f>
        <v>0</v>
      </c>
      <c r="J4535" s="9">
        <f t="shared" si="287"/>
        <v>2</v>
      </c>
      <c r="K4535" t="s">
        <v>6698</v>
      </c>
      <c r="L4535" t="s">
        <v>6695</v>
      </c>
      <c r="S4535" t="s">
        <v>6694</v>
      </c>
      <c r="V4535" t="s">
        <v>6694</v>
      </c>
      <c r="W4535" t="s">
        <v>6720</v>
      </c>
    </row>
    <row r="4536" spans="1:23" ht="15.6" x14ac:dyDescent="0.4">
      <c r="A4536" s="2" t="s">
        <v>4277</v>
      </c>
      <c r="B4536" s="5" t="s">
        <v>10717</v>
      </c>
      <c r="C4536" s="7" t="s">
        <v>12556</v>
      </c>
      <c r="D4536" s="8">
        <f t="shared" si="284"/>
        <v>0</v>
      </c>
      <c r="E4536" s="7" t="s">
        <v>12557</v>
      </c>
      <c r="F4536" s="7">
        <f t="shared" si="285"/>
        <v>1</v>
      </c>
      <c r="G4536" s="7" t="s">
        <v>12558</v>
      </c>
      <c r="H4536" s="7">
        <f t="shared" si="286"/>
        <v>0</v>
      </c>
      <c r="I4536" s="7" cm="1">
        <f t="array" ref="I4536">IFERROR(_xlfn.IFS(M4536="נח",1,M4536="נע ונח",1,M4536="שני שווא נח",2,M4536="שני שוואים בסוף מילה",2,M4536="שני שוואים ברצף",1),"0")</f>
        <v>1</v>
      </c>
      <c r="J4536" s="9">
        <f t="shared" si="287"/>
        <v>2</v>
      </c>
      <c r="K4536" t="s">
        <v>6698</v>
      </c>
      <c r="L4536" t="s">
        <v>6694</v>
      </c>
      <c r="M4536" t="s">
        <v>6705</v>
      </c>
      <c r="P4536" t="s">
        <v>6694</v>
      </c>
      <c r="S4536" t="s">
        <v>6694</v>
      </c>
      <c r="W4536" t="s">
        <v>6720</v>
      </c>
    </row>
    <row r="4537" spans="1:23" ht="15.6" x14ac:dyDescent="0.4">
      <c r="A4537" s="2" t="s">
        <v>4832</v>
      </c>
      <c r="B4537" s="5" t="s">
        <v>10718</v>
      </c>
      <c r="C4537" s="7" t="s">
        <v>12556</v>
      </c>
      <c r="D4537" s="8">
        <f t="shared" si="284"/>
        <v>0</v>
      </c>
      <c r="E4537" s="7" t="s">
        <v>12557</v>
      </c>
      <c r="F4537" s="7">
        <f t="shared" si="285"/>
        <v>1</v>
      </c>
      <c r="G4537" s="7" t="s">
        <v>12558</v>
      </c>
      <c r="H4537" s="7">
        <f t="shared" si="286"/>
        <v>0</v>
      </c>
      <c r="I4537" s="7" t="str" cm="1">
        <f t="array" ref="I4537">IFERROR(_xlfn.IFS(M4537="נח",1,M4537="נע ונח",1,M4537="שני שווא נח",2,M4537="שני שוואים בסוף מילה",2,M4537="שני שוואים ברצף",1),"0")</f>
        <v>0</v>
      </c>
      <c r="J4537" s="9">
        <f t="shared" si="287"/>
        <v>4</v>
      </c>
      <c r="K4537" t="s">
        <v>6698</v>
      </c>
      <c r="L4537" t="s">
        <v>6695</v>
      </c>
      <c r="P4537" t="s">
        <v>6694</v>
      </c>
      <c r="S4537" t="s">
        <v>6694</v>
      </c>
      <c r="W4537" t="s">
        <v>6720</v>
      </c>
    </row>
    <row r="4538" spans="1:23" ht="15.6" x14ac:dyDescent="0.4">
      <c r="A4538" s="2" t="s">
        <v>1964</v>
      </c>
      <c r="B4538" s="5" t="s">
        <v>10719</v>
      </c>
      <c r="C4538" s="7" t="s">
        <v>12556</v>
      </c>
      <c r="D4538" s="8">
        <f t="shared" si="284"/>
        <v>0</v>
      </c>
      <c r="E4538" s="7" t="s">
        <v>12557</v>
      </c>
      <c r="F4538" s="7">
        <f t="shared" si="285"/>
        <v>1</v>
      </c>
      <c r="G4538" s="7" t="s">
        <v>12558</v>
      </c>
      <c r="H4538" s="7">
        <f t="shared" si="286"/>
        <v>0</v>
      </c>
      <c r="I4538" s="7" cm="1">
        <f t="array" ref="I4538">IFERROR(_xlfn.IFS(M4538="נח",1,M4538="נע ונח",1,M4538="שני שווא נח",2,M4538="שני שוואים בסוף מילה",2,M4538="שני שוואים ברצף",1),"0")</f>
        <v>1</v>
      </c>
      <c r="J4538" s="9">
        <f t="shared" si="287"/>
        <v>5</v>
      </c>
      <c r="K4538" t="s">
        <v>6697</v>
      </c>
      <c r="L4538" t="s">
        <v>6694</v>
      </c>
      <c r="M4538" t="s">
        <v>6705</v>
      </c>
      <c r="N4538" t="s">
        <v>6706</v>
      </c>
      <c r="O4538" t="s">
        <v>6694</v>
      </c>
      <c r="P4538" t="s">
        <v>6694</v>
      </c>
      <c r="S4538" t="s">
        <v>6694</v>
      </c>
      <c r="W4538" t="s">
        <v>6720</v>
      </c>
    </row>
    <row r="4539" spans="1:23" ht="15.6" x14ac:dyDescent="0.4">
      <c r="A4539" s="2" t="s">
        <v>6062</v>
      </c>
      <c r="B4539" s="5" t="s">
        <v>10720</v>
      </c>
      <c r="C4539" s="7" t="s">
        <v>12556</v>
      </c>
      <c r="D4539" s="8">
        <f t="shared" si="284"/>
        <v>0</v>
      </c>
      <c r="E4539" s="7" t="s">
        <v>12557</v>
      </c>
      <c r="F4539" s="7">
        <f t="shared" si="285"/>
        <v>1</v>
      </c>
      <c r="G4539" s="7" t="s">
        <v>12558</v>
      </c>
      <c r="H4539" s="7">
        <f t="shared" si="286"/>
        <v>0</v>
      </c>
      <c r="I4539" s="7" cm="1">
        <f t="array" ref="I4539">IFERROR(_xlfn.IFS(M4539="נח",1,M4539="נע ונח",1,M4539="שני שווא נח",2,M4539="שני שוואים בסוף מילה",2,M4539="שני שוואים ברצף",1),"0")</f>
        <v>1</v>
      </c>
      <c r="J4539" s="9">
        <f t="shared" si="287"/>
        <v>3</v>
      </c>
      <c r="K4539" t="s">
        <v>6697</v>
      </c>
      <c r="L4539" t="s">
        <v>6694</v>
      </c>
      <c r="M4539" t="s">
        <v>6705</v>
      </c>
      <c r="S4539" t="s">
        <v>6694</v>
      </c>
      <c r="V4539" t="s">
        <v>6694</v>
      </c>
      <c r="W4539" t="s">
        <v>6720</v>
      </c>
    </row>
    <row r="4540" spans="1:23" ht="15.6" x14ac:dyDescent="0.4">
      <c r="A4540" s="2" t="s">
        <v>1639</v>
      </c>
      <c r="B4540" s="5" t="s">
        <v>10721</v>
      </c>
      <c r="C4540" s="7" t="s">
        <v>12556</v>
      </c>
      <c r="D4540" s="8">
        <f t="shared" si="284"/>
        <v>0</v>
      </c>
      <c r="E4540" s="7" t="s">
        <v>12557</v>
      </c>
      <c r="F4540" s="7">
        <f t="shared" si="285"/>
        <v>1</v>
      </c>
      <c r="G4540" s="7" t="s">
        <v>12558</v>
      </c>
      <c r="H4540" s="7">
        <f t="shared" si="286"/>
        <v>0</v>
      </c>
      <c r="I4540" s="7" t="str" cm="1">
        <f t="array" ref="I4540">IFERROR(_xlfn.IFS(M4540="נח",1,M4540="נע ונח",1,M4540="שני שווא נח",2,M4540="שני שוואים בסוף מילה",2,M4540="שני שוואים ברצף",1),"0")</f>
        <v>0</v>
      </c>
      <c r="J4540" s="9">
        <f t="shared" si="287"/>
        <v>2</v>
      </c>
      <c r="K4540" t="s">
        <v>6698</v>
      </c>
      <c r="L4540" t="s">
        <v>6695</v>
      </c>
      <c r="S4540" t="s">
        <v>6694</v>
      </c>
      <c r="V4540" t="s">
        <v>6694</v>
      </c>
      <c r="W4540" t="s">
        <v>6720</v>
      </c>
    </row>
    <row r="4541" spans="1:23" ht="15.6" x14ac:dyDescent="0.4">
      <c r="A4541" s="2" t="s">
        <v>5245</v>
      </c>
      <c r="B4541" s="5" t="s">
        <v>10634</v>
      </c>
      <c r="C4541" s="7" t="s">
        <v>12556</v>
      </c>
      <c r="D4541" s="8">
        <f t="shared" si="284"/>
        <v>0</v>
      </c>
      <c r="E4541" s="7" t="s">
        <v>12557</v>
      </c>
      <c r="F4541" s="7">
        <f t="shared" si="285"/>
        <v>1</v>
      </c>
      <c r="G4541" s="7" t="s">
        <v>12558</v>
      </c>
      <c r="H4541" s="7">
        <f t="shared" si="286"/>
        <v>0</v>
      </c>
      <c r="I4541" s="7" cm="1">
        <f t="array" ref="I4541">IFERROR(_xlfn.IFS(M4541="נח",1,M4541="נע ונח",1,M4541="שני שווא נח",2,M4541="שני שוואים בסוף מילה",2,M4541="שני שוואים ברצף",1),"0")</f>
        <v>1</v>
      </c>
      <c r="J4541" s="9">
        <f t="shared" si="287"/>
        <v>2</v>
      </c>
      <c r="K4541" t="s">
        <v>6698</v>
      </c>
      <c r="L4541" t="s">
        <v>6694</v>
      </c>
      <c r="M4541" t="s">
        <v>6705</v>
      </c>
      <c r="P4541" t="s">
        <v>6694</v>
      </c>
      <c r="S4541" t="s">
        <v>6694</v>
      </c>
      <c r="W4541" t="s">
        <v>6720</v>
      </c>
    </row>
    <row r="4542" spans="1:23" ht="15.6" x14ac:dyDescent="0.4">
      <c r="A4542" s="2" t="s">
        <v>1603</v>
      </c>
      <c r="B4542" s="5" t="s">
        <v>10634</v>
      </c>
      <c r="C4542" s="7" t="s">
        <v>12556</v>
      </c>
      <c r="D4542" s="8">
        <f t="shared" si="284"/>
        <v>0</v>
      </c>
      <c r="E4542" s="7" t="s">
        <v>12557</v>
      </c>
      <c r="F4542" s="7">
        <f t="shared" si="285"/>
        <v>1</v>
      </c>
      <c r="G4542" s="7" t="s">
        <v>12558</v>
      </c>
      <c r="H4542" s="7">
        <f t="shared" si="286"/>
        <v>0</v>
      </c>
      <c r="I4542" s="7" cm="1">
        <f t="array" ref="I4542">IFERROR(_xlfn.IFS(M4542="נח",1,M4542="נע ונח",1,M4542="שני שווא נח",2,M4542="שני שוואים בסוף מילה",2,M4542="שני שוואים ברצף",1),"0")</f>
        <v>1</v>
      </c>
      <c r="J4542" s="9">
        <f t="shared" si="287"/>
        <v>2</v>
      </c>
      <c r="K4542" t="s">
        <v>6698</v>
      </c>
      <c r="L4542" t="s">
        <v>6694</v>
      </c>
      <c r="M4542" t="s">
        <v>6705</v>
      </c>
      <c r="N4542" t="s">
        <v>6706</v>
      </c>
      <c r="O4542" t="s">
        <v>6694</v>
      </c>
      <c r="S4542" t="s">
        <v>6694</v>
      </c>
      <c r="W4542" t="s">
        <v>6720</v>
      </c>
    </row>
    <row r="4543" spans="1:23" ht="15.6" x14ac:dyDescent="0.4">
      <c r="A4543" s="2" t="s">
        <v>1493</v>
      </c>
      <c r="B4543" s="5" t="s">
        <v>10722</v>
      </c>
      <c r="C4543" s="7" t="s">
        <v>12556</v>
      </c>
      <c r="D4543" s="8">
        <f t="shared" si="284"/>
        <v>1</v>
      </c>
      <c r="E4543" s="7" t="s">
        <v>12557</v>
      </c>
      <c r="F4543" s="7">
        <f t="shared" si="285"/>
        <v>1</v>
      </c>
      <c r="G4543" s="7" t="s">
        <v>12558</v>
      </c>
      <c r="H4543" s="7">
        <f t="shared" si="286"/>
        <v>0</v>
      </c>
      <c r="I4543" s="7" cm="1">
        <f t="array" ref="I4543">IFERROR(_xlfn.IFS(M4543="נח",1,M4543="נע ונח",1,M4543="שני שווא נח",2,M4543="שני שוואים בסוף מילה",2,M4543="שני שוואים ברצף",1),"0")</f>
        <v>1</v>
      </c>
      <c r="J4543" s="9">
        <f t="shared" si="287"/>
        <v>2</v>
      </c>
      <c r="K4543" t="s">
        <v>6698</v>
      </c>
      <c r="L4543" t="s">
        <v>6694</v>
      </c>
      <c r="M4543" t="s">
        <v>6705</v>
      </c>
      <c r="P4543" t="s">
        <v>6694</v>
      </c>
      <c r="S4543" t="s">
        <v>6694</v>
      </c>
      <c r="W4543" t="s">
        <v>6720</v>
      </c>
    </row>
    <row r="4544" spans="1:23" ht="15.6" x14ac:dyDescent="0.4">
      <c r="A4544" s="2" t="s">
        <v>2305</v>
      </c>
      <c r="B4544" s="5" t="s">
        <v>10634</v>
      </c>
      <c r="C4544" s="7" t="s">
        <v>12556</v>
      </c>
      <c r="D4544" s="8">
        <f t="shared" si="284"/>
        <v>0</v>
      </c>
      <c r="E4544" s="7" t="s">
        <v>12557</v>
      </c>
      <c r="F4544" s="7">
        <f t="shared" si="285"/>
        <v>1</v>
      </c>
      <c r="G4544" s="7" t="s">
        <v>12558</v>
      </c>
      <c r="H4544" s="7">
        <f t="shared" si="286"/>
        <v>0</v>
      </c>
      <c r="I4544" s="7" t="str" cm="1">
        <f t="array" ref="I4544">IFERROR(_xlfn.IFS(M4544="נח",1,M4544="נע ונח",1,M4544="שני שווא נח",2,M4544="שני שוואים בסוף מילה",2,M4544="שני שוואים ברצף",1),"0")</f>
        <v>0</v>
      </c>
      <c r="J4544" s="9">
        <f t="shared" si="287"/>
        <v>3</v>
      </c>
      <c r="K4544" t="s">
        <v>6698</v>
      </c>
      <c r="L4544" t="s">
        <v>6695</v>
      </c>
      <c r="R4544" t="s">
        <v>6694</v>
      </c>
      <c r="S4544" t="s">
        <v>6694</v>
      </c>
      <c r="W4544" t="s">
        <v>6720</v>
      </c>
    </row>
    <row r="4545" spans="1:23" ht="15.6" x14ac:dyDescent="0.4">
      <c r="A4545" s="2" t="s">
        <v>4094</v>
      </c>
      <c r="B4545" s="5" t="s">
        <v>10723</v>
      </c>
      <c r="C4545" s="7" t="s">
        <v>12556</v>
      </c>
      <c r="D4545" s="8">
        <f t="shared" si="284"/>
        <v>0</v>
      </c>
      <c r="E4545" s="7" t="s">
        <v>12557</v>
      </c>
      <c r="F4545" s="7">
        <f t="shared" si="285"/>
        <v>1</v>
      </c>
      <c r="G4545" s="7" t="s">
        <v>12558</v>
      </c>
      <c r="H4545" s="7">
        <f t="shared" si="286"/>
        <v>0</v>
      </c>
      <c r="I4545" s="7" t="str" cm="1">
        <f t="array" ref="I4545">IFERROR(_xlfn.IFS(M4545="נח",1,M4545="נע ונח",1,M4545="שני שווא נח",2,M4545="שני שוואים בסוף מילה",2,M4545="שני שוואים ברצף",1),"0")</f>
        <v>0</v>
      </c>
      <c r="J4545" s="9">
        <f t="shared" si="287"/>
        <v>3</v>
      </c>
      <c r="K4545" t="s">
        <v>6697</v>
      </c>
      <c r="L4545" t="s">
        <v>6695</v>
      </c>
      <c r="R4545" t="s">
        <v>6694</v>
      </c>
      <c r="S4545" t="s">
        <v>6694</v>
      </c>
      <c r="W4545" t="s">
        <v>6720</v>
      </c>
    </row>
    <row r="4546" spans="1:23" ht="15.6" x14ac:dyDescent="0.4">
      <c r="A4546" s="2" t="s">
        <v>1561</v>
      </c>
      <c r="B4546" s="5" t="s">
        <v>10724</v>
      </c>
      <c r="C4546" s="7" t="s">
        <v>12556</v>
      </c>
      <c r="D4546" s="8">
        <f t="shared" si="284"/>
        <v>0</v>
      </c>
      <c r="E4546" s="7" t="s">
        <v>12557</v>
      </c>
      <c r="F4546" s="7">
        <f t="shared" si="285"/>
        <v>1</v>
      </c>
      <c r="G4546" s="7" t="s">
        <v>12558</v>
      </c>
      <c r="H4546" s="7">
        <f t="shared" si="286"/>
        <v>0</v>
      </c>
      <c r="I4546" s="7" cm="1">
        <f t="array" ref="I4546">IFERROR(_xlfn.IFS(M4546="נח",1,M4546="נע ונח",1,M4546="שני שווא נח",2,M4546="שני שוואים בסוף מילה",2,M4546="שני שוואים ברצף",1),"0")</f>
        <v>1</v>
      </c>
      <c r="J4546" s="9">
        <f t="shared" si="287"/>
        <v>3</v>
      </c>
      <c r="K4546" t="s">
        <v>6698</v>
      </c>
      <c r="L4546" t="s">
        <v>6694</v>
      </c>
      <c r="M4546" t="s">
        <v>6705</v>
      </c>
      <c r="R4546" t="s">
        <v>6694</v>
      </c>
      <c r="S4546" t="s">
        <v>6694</v>
      </c>
      <c r="W4546" t="s">
        <v>6720</v>
      </c>
    </row>
    <row r="4547" spans="1:23" ht="15.6" x14ac:dyDescent="0.4">
      <c r="A4547" s="2" t="s">
        <v>844</v>
      </c>
      <c r="B4547" s="5" t="s">
        <v>10725</v>
      </c>
      <c r="C4547" s="7" t="s">
        <v>12556</v>
      </c>
      <c r="D4547" s="8">
        <f t="shared" ref="D4547:D4610" si="288">(LEN(B4547)-LEN(SUBSTITUTE(B4547,C4547,"")))</f>
        <v>1</v>
      </c>
      <c r="E4547" s="7" t="s">
        <v>12557</v>
      </c>
      <c r="F4547" s="7">
        <f t="shared" ref="F4547:F4610" si="289">(LEN(A4547)-LEN(SUBSTITUTE(A4547,E4547,"")))</f>
        <v>1</v>
      </c>
      <c r="G4547" s="7" t="s">
        <v>12558</v>
      </c>
      <c r="H4547" s="7">
        <f t="shared" ref="H4547:H4610" si="290">(LEN(A4547)-LEN(SUBSTITUTE(A4547,G4547,"")))/2</f>
        <v>0</v>
      </c>
      <c r="I4547" s="7" t="str" cm="1">
        <f t="array" ref="I4547">IFERROR(_xlfn.IFS(M4547="נח",1,M4547="נע ונח",1,M4547="שני שווא נח",2,M4547="שני שוואים בסוף מילה",2,M4547="שני שוואים ברצף",1),"0")</f>
        <v>0</v>
      </c>
      <c r="J4547" s="9">
        <f t="shared" ref="J4547:J4610" si="291">LEN(A4547)-(LEN(B4547))-D4547-F4547+H4547-I4547</f>
        <v>3</v>
      </c>
      <c r="K4547" t="s">
        <v>6698</v>
      </c>
      <c r="L4547" t="s">
        <v>6695</v>
      </c>
      <c r="R4547" t="s">
        <v>6694</v>
      </c>
      <c r="S4547" t="s">
        <v>6694</v>
      </c>
      <c r="W4547" t="s">
        <v>6720</v>
      </c>
    </row>
    <row r="4548" spans="1:23" ht="15.6" x14ac:dyDescent="0.4">
      <c r="A4548" s="2" t="s">
        <v>2772</v>
      </c>
      <c r="B4548" s="5" t="s">
        <v>10634</v>
      </c>
      <c r="C4548" s="7" t="s">
        <v>12556</v>
      </c>
      <c r="D4548" s="8">
        <f t="shared" si="288"/>
        <v>0</v>
      </c>
      <c r="E4548" s="7" t="s">
        <v>12557</v>
      </c>
      <c r="F4548" s="7">
        <f t="shared" si="289"/>
        <v>2</v>
      </c>
      <c r="G4548" s="7" t="s">
        <v>12558</v>
      </c>
      <c r="H4548" s="7">
        <f t="shared" si="290"/>
        <v>0</v>
      </c>
      <c r="I4548" s="7" t="str" cm="1">
        <f t="array" ref="I4548">IFERROR(_xlfn.IFS(M4548="נח",1,M4548="נע ונח",1,M4548="שני שווא נח",2,M4548="שני שוואים בסוף מילה",2,M4548="שני שוואים ברצף",1),"0")</f>
        <v>0</v>
      </c>
      <c r="J4548" s="9">
        <f t="shared" si="291"/>
        <v>3</v>
      </c>
      <c r="K4548" t="s">
        <v>6698</v>
      </c>
      <c r="L4548" t="s">
        <v>6695</v>
      </c>
      <c r="P4548" t="s">
        <v>6694</v>
      </c>
      <c r="Q4548" t="s">
        <v>6694</v>
      </c>
      <c r="S4548" t="s">
        <v>6694</v>
      </c>
      <c r="W4548" t="s">
        <v>6720</v>
      </c>
    </row>
    <row r="4549" spans="1:23" ht="15.6" x14ac:dyDescent="0.4">
      <c r="A4549" s="2" t="s">
        <v>3039</v>
      </c>
      <c r="B4549" s="5" t="s">
        <v>10726</v>
      </c>
      <c r="C4549" s="7" t="s">
        <v>12556</v>
      </c>
      <c r="D4549" s="8">
        <f t="shared" si="288"/>
        <v>0</v>
      </c>
      <c r="E4549" s="7" t="s">
        <v>12557</v>
      </c>
      <c r="F4549" s="7">
        <f t="shared" si="289"/>
        <v>1</v>
      </c>
      <c r="G4549" s="7" t="s">
        <v>12558</v>
      </c>
      <c r="H4549" s="7">
        <f t="shared" si="290"/>
        <v>0</v>
      </c>
      <c r="I4549" s="7" t="str" cm="1">
        <f t="array" ref="I4549">IFERROR(_xlfn.IFS(M4549="נח",1,M4549="נע ונח",1,M4549="שני שווא נח",2,M4549="שני שוואים בסוף מילה",2,M4549="שני שוואים ברצף",1),"0")</f>
        <v>0</v>
      </c>
      <c r="J4549" s="9">
        <f t="shared" si="291"/>
        <v>2</v>
      </c>
      <c r="K4549" t="s">
        <v>6698</v>
      </c>
      <c r="L4549" t="s">
        <v>6695</v>
      </c>
      <c r="N4549" t="s">
        <v>6706</v>
      </c>
      <c r="O4549" t="s">
        <v>6694</v>
      </c>
      <c r="S4549" t="s">
        <v>6694</v>
      </c>
      <c r="W4549" t="s">
        <v>6720</v>
      </c>
    </row>
    <row r="4550" spans="1:23" ht="15.6" x14ac:dyDescent="0.4">
      <c r="A4550" s="2" t="s">
        <v>3917</v>
      </c>
      <c r="B4550" s="5" t="s">
        <v>10727</v>
      </c>
      <c r="C4550" s="7" t="s">
        <v>12556</v>
      </c>
      <c r="D4550" s="8">
        <f t="shared" si="288"/>
        <v>0</v>
      </c>
      <c r="E4550" s="7" t="s">
        <v>12557</v>
      </c>
      <c r="F4550" s="7">
        <f t="shared" si="289"/>
        <v>1</v>
      </c>
      <c r="G4550" s="7" t="s">
        <v>12558</v>
      </c>
      <c r="H4550" s="7">
        <f t="shared" si="290"/>
        <v>0</v>
      </c>
      <c r="I4550" s="7" t="str" cm="1">
        <f t="array" ref="I4550">IFERROR(_xlfn.IFS(M4550="נח",1,M4550="נע ונח",1,M4550="שני שווא נח",2,M4550="שני שוואים בסוף מילה",2,M4550="שני שוואים ברצף",1),"0")</f>
        <v>0</v>
      </c>
      <c r="J4550" s="9">
        <f t="shared" si="291"/>
        <v>3</v>
      </c>
      <c r="K4550" t="s">
        <v>6698</v>
      </c>
      <c r="L4550" t="s">
        <v>6695</v>
      </c>
      <c r="O4550" t="s">
        <v>6694</v>
      </c>
      <c r="S4550" t="s">
        <v>6694</v>
      </c>
      <c r="W4550" t="s">
        <v>6720</v>
      </c>
    </row>
    <row r="4551" spans="1:23" ht="15.6" x14ac:dyDescent="0.4">
      <c r="A4551" s="2" t="s">
        <v>4851</v>
      </c>
      <c r="B4551" s="5" t="s">
        <v>10728</v>
      </c>
      <c r="C4551" s="7" t="s">
        <v>12556</v>
      </c>
      <c r="D4551" s="8">
        <f t="shared" si="288"/>
        <v>0</v>
      </c>
      <c r="E4551" s="7" t="s">
        <v>12557</v>
      </c>
      <c r="F4551" s="7">
        <f t="shared" si="289"/>
        <v>2</v>
      </c>
      <c r="G4551" s="7" t="s">
        <v>12558</v>
      </c>
      <c r="H4551" s="7">
        <f t="shared" si="290"/>
        <v>1</v>
      </c>
      <c r="I4551" s="7" t="str" cm="1">
        <f t="array" ref="I4551">IFERROR(_xlfn.IFS(M4551="נח",1,M4551="נע ונח",1,M4551="שני שווא נח",2,M4551="שני שוואים בסוף מילה",2,M4551="שני שוואים ברצף",1),"0")</f>
        <v>0</v>
      </c>
      <c r="J4551" s="9">
        <f t="shared" si="291"/>
        <v>2</v>
      </c>
      <c r="K4551" t="s">
        <v>6698</v>
      </c>
      <c r="L4551" t="s">
        <v>6695</v>
      </c>
      <c r="S4551" t="s">
        <v>6694</v>
      </c>
      <c r="U4551" t="s">
        <v>6694</v>
      </c>
      <c r="W4551" t="s">
        <v>6720</v>
      </c>
    </row>
    <row r="4552" spans="1:23" ht="15.6" x14ac:dyDescent="0.4">
      <c r="A4552" s="2" t="s">
        <v>4913</v>
      </c>
      <c r="B4552" s="5" t="s">
        <v>10729</v>
      </c>
      <c r="C4552" s="7" t="s">
        <v>12556</v>
      </c>
      <c r="D4552" s="8">
        <f t="shared" si="288"/>
        <v>0</v>
      </c>
      <c r="E4552" s="7" t="s">
        <v>12557</v>
      </c>
      <c r="F4552" s="7">
        <f t="shared" si="289"/>
        <v>2</v>
      </c>
      <c r="G4552" s="7" t="s">
        <v>12558</v>
      </c>
      <c r="H4552" s="7">
        <f t="shared" si="290"/>
        <v>1</v>
      </c>
      <c r="I4552" s="7" t="str" cm="1">
        <f t="array" ref="I4552">IFERROR(_xlfn.IFS(M4552="נח",1,M4552="נע ונח",1,M4552="שני שווא נח",2,M4552="שני שוואים בסוף מילה",2,M4552="שני שוואים ברצף",1),"0")</f>
        <v>0</v>
      </c>
      <c r="J4552" s="9">
        <f t="shared" si="291"/>
        <v>2</v>
      </c>
      <c r="K4552" t="s">
        <v>6698</v>
      </c>
      <c r="L4552" t="s">
        <v>6695</v>
      </c>
      <c r="S4552" t="s">
        <v>6694</v>
      </c>
      <c r="U4552" t="s">
        <v>6694</v>
      </c>
      <c r="W4552" t="s">
        <v>6720</v>
      </c>
    </row>
    <row r="4553" spans="1:23" ht="15.6" x14ac:dyDescent="0.4">
      <c r="A4553" s="2" t="s">
        <v>1061</v>
      </c>
      <c r="B4553" s="5" t="s">
        <v>10730</v>
      </c>
      <c r="C4553" s="7" t="s">
        <v>12556</v>
      </c>
      <c r="D4553" s="8">
        <f t="shared" si="288"/>
        <v>0</v>
      </c>
      <c r="E4553" s="7" t="s">
        <v>12557</v>
      </c>
      <c r="F4553" s="7">
        <f t="shared" si="289"/>
        <v>1</v>
      </c>
      <c r="G4553" s="7" t="s">
        <v>12558</v>
      </c>
      <c r="H4553" s="7">
        <f t="shared" si="290"/>
        <v>1</v>
      </c>
      <c r="I4553" s="7" t="str" cm="1">
        <f t="array" ref="I4553">IFERROR(_xlfn.IFS(M4553="נח",1,M4553="נע ונח",1,M4553="שני שווא נח",2,M4553="שני שוואים בסוף מילה",2,M4553="שני שוואים ברצף",1),"0")</f>
        <v>0</v>
      </c>
      <c r="J4553" s="9">
        <f t="shared" si="291"/>
        <v>3</v>
      </c>
      <c r="K4553" t="s">
        <v>6697</v>
      </c>
      <c r="L4553" t="s">
        <v>6695</v>
      </c>
      <c r="P4553" t="s">
        <v>6694</v>
      </c>
      <c r="S4553" t="s">
        <v>6694</v>
      </c>
      <c r="U4553" t="s">
        <v>6694</v>
      </c>
      <c r="W4553" t="s">
        <v>6720</v>
      </c>
    </row>
    <row r="4554" spans="1:23" ht="15.6" x14ac:dyDescent="0.4">
      <c r="A4554" s="2" t="s">
        <v>4895</v>
      </c>
      <c r="B4554" s="5" t="s">
        <v>10731</v>
      </c>
      <c r="C4554" s="7" t="s">
        <v>12556</v>
      </c>
      <c r="D4554" s="8">
        <f t="shared" si="288"/>
        <v>0</v>
      </c>
      <c r="E4554" s="7" t="s">
        <v>12557</v>
      </c>
      <c r="F4554" s="7">
        <f t="shared" si="289"/>
        <v>1</v>
      </c>
      <c r="G4554" s="7" t="s">
        <v>12558</v>
      </c>
      <c r="H4554" s="7">
        <f t="shared" si="290"/>
        <v>0</v>
      </c>
      <c r="I4554" s="7" cm="1">
        <f t="array" ref="I4554">IFERROR(_xlfn.IFS(M4554="נח",1,M4554="נע ונח",1,M4554="שני שווא נח",2,M4554="שני שוואים בסוף מילה",2,M4554="שני שוואים ברצף",1),"0")</f>
        <v>1</v>
      </c>
      <c r="J4554" s="9">
        <f t="shared" si="291"/>
        <v>5</v>
      </c>
      <c r="K4554" t="s">
        <v>6697</v>
      </c>
      <c r="L4554" t="s">
        <v>6694</v>
      </c>
      <c r="M4554" t="s">
        <v>6702</v>
      </c>
      <c r="O4554" t="s">
        <v>6694</v>
      </c>
      <c r="R4554" t="s">
        <v>6694</v>
      </c>
      <c r="S4554" t="s">
        <v>6694</v>
      </c>
      <c r="V4554" t="s">
        <v>6694</v>
      </c>
      <c r="W4554" t="s">
        <v>6720</v>
      </c>
    </row>
    <row r="4555" spans="1:23" ht="15.6" x14ac:dyDescent="0.4">
      <c r="A4555" s="2" t="s">
        <v>3934</v>
      </c>
      <c r="B4555" s="5" t="s">
        <v>10732</v>
      </c>
      <c r="C4555" s="7" t="s">
        <v>12556</v>
      </c>
      <c r="D4555" s="8">
        <f t="shared" si="288"/>
        <v>0</v>
      </c>
      <c r="E4555" s="7" t="s">
        <v>12557</v>
      </c>
      <c r="F4555" s="7">
        <f t="shared" si="289"/>
        <v>1</v>
      </c>
      <c r="G4555" s="7" t="s">
        <v>12558</v>
      </c>
      <c r="H4555" s="7">
        <f t="shared" si="290"/>
        <v>0</v>
      </c>
      <c r="I4555" s="7" cm="1">
        <f t="array" ref="I4555">IFERROR(_xlfn.IFS(M4555="נח",1,M4555="נע ונח",1,M4555="שני שווא נח",2,M4555="שני שוואים בסוף מילה",2,M4555="שני שוואים ברצף",1),"0")</f>
        <v>1</v>
      </c>
      <c r="J4555" s="9">
        <f t="shared" si="291"/>
        <v>4</v>
      </c>
      <c r="K4555" t="s">
        <v>6697</v>
      </c>
      <c r="L4555" t="s">
        <v>6694</v>
      </c>
      <c r="M4555" t="s">
        <v>6705</v>
      </c>
      <c r="O4555" t="s">
        <v>6694</v>
      </c>
      <c r="P4555" t="s">
        <v>6694</v>
      </c>
      <c r="S4555" t="s">
        <v>6694</v>
      </c>
      <c r="W4555" t="s">
        <v>6720</v>
      </c>
    </row>
    <row r="4556" spans="1:23" ht="15.6" x14ac:dyDescent="0.4">
      <c r="A4556" s="2" t="s">
        <v>2558</v>
      </c>
      <c r="B4556" s="5" t="s">
        <v>10733</v>
      </c>
      <c r="C4556" s="7" t="s">
        <v>12556</v>
      </c>
      <c r="D4556" s="8">
        <f t="shared" si="288"/>
        <v>0</v>
      </c>
      <c r="E4556" s="7" t="s">
        <v>12557</v>
      </c>
      <c r="F4556" s="7">
        <f t="shared" si="289"/>
        <v>0</v>
      </c>
      <c r="G4556" s="7" t="s">
        <v>12558</v>
      </c>
      <c r="H4556" s="7">
        <f t="shared" si="290"/>
        <v>0</v>
      </c>
      <c r="I4556" s="7" cm="1">
        <f t="array" ref="I4556">IFERROR(_xlfn.IFS(M4556="נח",1,M4556="נע ונח",1,M4556="שני שווא נח",2,M4556="שני שוואים בסוף מילה",2,M4556="שני שוואים ברצף",1),"0")</f>
        <v>1</v>
      </c>
      <c r="J4556" s="9">
        <f t="shared" si="291"/>
        <v>2</v>
      </c>
      <c r="K4556" t="s">
        <v>6698</v>
      </c>
      <c r="L4556" t="s">
        <v>6694</v>
      </c>
      <c r="M4556" t="s">
        <v>6705</v>
      </c>
      <c r="S4556" t="s">
        <v>6694</v>
      </c>
      <c r="V4556" t="s">
        <v>6694</v>
      </c>
      <c r="W4556" t="s">
        <v>6720</v>
      </c>
    </row>
    <row r="4557" spans="1:23" ht="15.6" x14ac:dyDescent="0.4">
      <c r="A4557" s="2" t="s">
        <v>2836</v>
      </c>
      <c r="B4557" s="5" t="s">
        <v>10734</v>
      </c>
      <c r="C4557" s="7" t="s">
        <v>12556</v>
      </c>
      <c r="D4557" s="8">
        <f t="shared" si="288"/>
        <v>0</v>
      </c>
      <c r="E4557" s="7" t="s">
        <v>12557</v>
      </c>
      <c r="F4557" s="7">
        <f t="shared" si="289"/>
        <v>0</v>
      </c>
      <c r="G4557" s="7" t="s">
        <v>12558</v>
      </c>
      <c r="H4557" s="7">
        <f t="shared" si="290"/>
        <v>0</v>
      </c>
      <c r="I4557" s="7" cm="1">
        <f t="array" ref="I4557">IFERROR(_xlfn.IFS(M4557="נח",1,M4557="נע ונח",1,M4557="שני שווא נח",2,M4557="שני שוואים בסוף מילה",2,M4557="שני שוואים ברצף",1),"0")</f>
        <v>1</v>
      </c>
      <c r="J4557" s="9">
        <f t="shared" si="291"/>
        <v>2</v>
      </c>
      <c r="K4557" t="s">
        <v>6698</v>
      </c>
      <c r="L4557" t="s">
        <v>6694</v>
      </c>
      <c r="M4557" t="s">
        <v>6705</v>
      </c>
      <c r="N4557" t="s">
        <v>6706</v>
      </c>
      <c r="O4557" t="s">
        <v>6694</v>
      </c>
      <c r="S4557" t="s">
        <v>6694</v>
      </c>
      <c r="W4557" t="s">
        <v>6720</v>
      </c>
    </row>
    <row r="4558" spans="1:23" ht="15.6" x14ac:dyDescent="0.4">
      <c r="A4558" s="2" t="s">
        <v>3858</v>
      </c>
      <c r="B4558" s="5" t="s">
        <v>10735</v>
      </c>
      <c r="C4558" s="7" t="s">
        <v>12556</v>
      </c>
      <c r="D4558" s="8">
        <f t="shared" si="288"/>
        <v>0</v>
      </c>
      <c r="E4558" s="7" t="s">
        <v>12557</v>
      </c>
      <c r="F4558" s="7">
        <f t="shared" si="289"/>
        <v>1</v>
      </c>
      <c r="G4558" s="7" t="s">
        <v>12558</v>
      </c>
      <c r="H4558" s="7">
        <f t="shared" si="290"/>
        <v>0</v>
      </c>
      <c r="I4558" s="7" cm="1">
        <f t="array" ref="I4558">IFERROR(_xlfn.IFS(M4558="נח",1,M4558="נע ונח",1,M4558="שני שווא נח",2,M4558="שני שוואים בסוף מילה",2,M4558="שני שוואים ברצף",1),"0")</f>
        <v>1</v>
      </c>
      <c r="J4558" s="9">
        <f t="shared" si="291"/>
        <v>2</v>
      </c>
      <c r="K4558" t="s">
        <v>6698</v>
      </c>
      <c r="L4558" t="s">
        <v>6694</v>
      </c>
      <c r="M4558" t="s">
        <v>6705</v>
      </c>
      <c r="S4558" t="s">
        <v>6694</v>
      </c>
      <c r="T4558" t="s">
        <v>6694</v>
      </c>
      <c r="W4558" t="s">
        <v>6720</v>
      </c>
    </row>
    <row r="4559" spans="1:23" ht="15.6" x14ac:dyDescent="0.4">
      <c r="A4559" s="2" t="s">
        <v>3116</v>
      </c>
      <c r="B4559" s="5" t="s">
        <v>10736</v>
      </c>
      <c r="C4559" s="7" t="s">
        <v>12556</v>
      </c>
      <c r="D4559" s="8">
        <f t="shared" si="288"/>
        <v>0</v>
      </c>
      <c r="E4559" s="7" t="s">
        <v>12557</v>
      </c>
      <c r="F4559" s="7">
        <f t="shared" si="289"/>
        <v>1</v>
      </c>
      <c r="G4559" s="7" t="s">
        <v>12558</v>
      </c>
      <c r="H4559" s="7">
        <f t="shared" si="290"/>
        <v>0</v>
      </c>
      <c r="I4559" s="7" cm="1">
        <f t="array" ref="I4559">IFERROR(_xlfn.IFS(M4559="נח",1,M4559="נע ונח",1,M4559="שני שווא נח",2,M4559="שני שוואים בסוף מילה",2,M4559="שני שוואים ברצף",1),"0")</f>
        <v>1</v>
      </c>
      <c r="J4559" s="9">
        <f t="shared" si="291"/>
        <v>2</v>
      </c>
      <c r="K4559" t="s">
        <v>6698</v>
      </c>
      <c r="L4559" t="s">
        <v>6694</v>
      </c>
      <c r="M4559" t="s">
        <v>6705</v>
      </c>
      <c r="P4559" t="s">
        <v>6694</v>
      </c>
      <c r="S4559" t="s">
        <v>6694</v>
      </c>
      <c r="W4559" t="s">
        <v>6720</v>
      </c>
    </row>
    <row r="4560" spans="1:23" ht="15.6" x14ac:dyDescent="0.4">
      <c r="A4560" s="2" t="s">
        <v>1500</v>
      </c>
      <c r="B4560" s="5" t="s">
        <v>10737</v>
      </c>
      <c r="C4560" s="7" t="s">
        <v>12556</v>
      </c>
      <c r="D4560" s="8">
        <f t="shared" si="288"/>
        <v>0</v>
      </c>
      <c r="E4560" s="7" t="s">
        <v>12557</v>
      </c>
      <c r="F4560" s="7">
        <f t="shared" si="289"/>
        <v>1</v>
      </c>
      <c r="G4560" s="7" t="s">
        <v>12558</v>
      </c>
      <c r="H4560" s="7">
        <f t="shared" si="290"/>
        <v>0</v>
      </c>
      <c r="I4560" s="7" t="str" cm="1">
        <f t="array" ref="I4560">IFERROR(_xlfn.IFS(M4560="נח",1,M4560="נע ונח",1,M4560="שני שווא נח",2,M4560="שני שוואים בסוף מילה",2,M4560="שני שוואים ברצף",1),"0")</f>
        <v>0</v>
      </c>
      <c r="J4560" s="9">
        <f t="shared" si="291"/>
        <v>3</v>
      </c>
      <c r="K4560" t="s">
        <v>6698</v>
      </c>
      <c r="L4560" t="s">
        <v>6695</v>
      </c>
      <c r="Q4560" t="s">
        <v>6694</v>
      </c>
      <c r="S4560" t="s">
        <v>6694</v>
      </c>
      <c r="W4560" t="s">
        <v>6720</v>
      </c>
    </row>
    <row r="4561" spans="1:23" ht="15.6" x14ac:dyDescent="0.4">
      <c r="A4561" s="2" t="s">
        <v>4678</v>
      </c>
      <c r="B4561" s="5" t="s">
        <v>10738</v>
      </c>
      <c r="C4561" s="7" t="s">
        <v>12556</v>
      </c>
      <c r="D4561" s="8">
        <f t="shared" si="288"/>
        <v>0</v>
      </c>
      <c r="E4561" s="7" t="s">
        <v>12557</v>
      </c>
      <c r="F4561" s="7">
        <f t="shared" si="289"/>
        <v>1</v>
      </c>
      <c r="G4561" s="7" t="s">
        <v>12558</v>
      </c>
      <c r="H4561" s="7">
        <f t="shared" si="290"/>
        <v>0</v>
      </c>
      <c r="I4561" s="7" t="str" cm="1">
        <f t="array" ref="I4561">IFERROR(_xlfn.IFS(M4561="נח",1,M4561="נע ונח",1,M4561="שני שווא נח",2,M4561="שני שוואים בסוף מילה",2,M4561="שני שוואים ברצף",1),"0")</f>
        <v>0</v>
      </c>
      <c r="J4561" s="9">
        <f t="shared" si="291"/>
        <v>2</v>
      </c>
      <c r="K4561" t="s">
        <v>6697</v>
      </c>
      <c r="L4561" t="s">
        <v>6695</v>
      </c>
      <c r="R4561" t="s">
        <v>6694</v>
      </c>
      <c r="S4561" t="s">
        <v>6694</v>
      </c>
      <c r="W4561" t="s">
        <v>6720</v>
      </c>
    </row>
    <row r="4562" spans="1:23" ht="15.6" x14ac:dyDescent="0.4">
      <c r="A4562" s="2" t="s">
        <v>2951</v>
      </c>
      <c r="B4562" s="5" t="s">
        <v>10739</v>
      </c>
      <c r="C4562" s="7" t="s">
        <v>12556</v>
      </c>
      <c r="D4562" s="8">
        <f t="shared" si="288"/>
        <v>0</v>
      </c>
      <c r="E4562" s="7" t="s">
        <v>12557</v>
      </c>
      <c r="F4562" s="7">
        <f t="shared" si="289"/>
        <v>1</v>
      </c>
      <c r="G4562" s="7" t="s">
        <v>12558</v>
      </c>
      <c r="H4562" s="7">
        <f t="shared" si="290"/>
        <v>0</v>
      </c>
      <c r="I4562" s="7" t="str" cm="1">
        <f t="array" ref="I4562">IFERROR(_xlfn.IFS(M4562="נח",1,M4562="נע ונח",1,M4562="שני שווא נח",2,M4562="שני שוואים בסוף מילה",2,M4562="שני שוואים ברצף",1),"0")</f>
        <v>0</v>
      </c>
      <c r="J4562" s="9">
        <f t="shared" si="291"/>
        <v>2</v>
      </c>
      <c r="K4562" t="s">
        <v>6698</v>
      </c>
      <c r="L4562" t="s">
        <v>6695</v>
      </c>
      <c r="P4562" t="s">
        <v>6694</v>
      </c>
      <c r="S4562" t="s">
        <v>6694</v>
      </c>
      <c r="W4562" t="s">
        <v>6720</v>
      </c>
    </row>
    <row r="4563" spans="1:23" ht="15.6" x14ac:dyDescent="0.4">
      <c r="A4563" s="2" t="s">
        <v>1489</v>
      </c>
      <c r="B4563" s="5" t="s">
        <v>10736</v>
      </c>
      <c r="C4563" s="7" t="s">
        <v>12556</v>
      </c>
      <c r="D4563" s="8">
        <f t="shared" si="288"/>
        <v>0</v>
      </c>
      <c r="E4563" s="7" t="s">
        <v>12557</v>
      </c>
      <c r="F4563" s="7">
        <f t="shared" si="289"/>
        <v>1</v>
      </c>
      <c r="G4563" s="7" t="s">
        <v>12558</v>
      </c>
      <c r="H4563" s="7">
        <f t="shared" si="290"/>
        <v>0</v>
      </c>
      <c r="I4563" s="7" t="str" cm="1">
        <f t="array" ref="I4563">IFERROR(_xlfn.IFS(M4563="נח",1,M4563="נע ונח",1,M4563="שני שווא נח",2,M4563="שני שוואים בסוף מילה",2,M4563="שני שוואים ברצף",1),"0")</f>
        <v>0</v>
      </c>
      <c r="J4563" s="9">
        <f t="shared" si="291"/>
        <v>3</v>
      </c>
      <c r="K4563" t="s">
        <v>6698</v>
      </c>
      <c r="L4563" t="s">
        <v>6695</v>
      </c>
      <c r="N4563" t="s">
        <v>6706</v>
      </c>
      <c r="O4563" t="s">
        <v>6694</v>
      </c>
      <c r="S4563" t="s">
        <v>6694</v>
      </c>
      <c r="W4563" t="s">
        <v>6720</v>
      </c>
    </row>
    <row r="4564" spans="1:23" ht="15.6" x14ac:dyDescent="0.4">
      <c r="A4564" s="2" t="s">
        <v>3491</v>
      </c>
      <c r="B4564" s="5" t="s">
        <v>10740</v>
      </c>
      <c r="C4564" s="7" t="s">
        <v>12556</v>
      </c>
      <c r="D4564" s="8">
        <f t="shared" si="288"/>
        <v>0</v>
      </c>
      <c r="E4564" s="7" t="s">
        <v>12557</v>
      </c>
      <c r="F4564" s="7">
        <f t="shared" si="289"/>
        <v>1</v>
      </c>
      <c r="G4564" s="7" t="s">
        <v>12558</v>
      </c>
      <c r="H4564" s="7">
        <f t="shared" si="290"/>
        <v>0</v>
      </c>
      <c r="I4564" s="7" t="str" cm="1">
        <f t="array" ref="I4564">IFERROR(_xlfn.IFS(M4564="נח",1,M4564="נע ונח",1,M4564="שני שווא נח",2,M4564="שני שוואים בסוף מילה",2,M4564="שני שוואים ברצף",1),"0")</f>
        <v>0</v>
      </c>
      <c r="J4564" s="9">
        <f t="shared" si="291"/>
        <v>2</v>
      </c>
      <c r="K4564" t="s">
        <v>6698</v>
      </c>
      <c r="L4564" t="s">
        <v>6695</v>
      </c>
      <c r="S4564" t="s">
        <v>6694</v>
      </c>
      <c r="W4564" t="s">
        <v>6720</v>
      </c>
    </row>
    <row r="4565" spans="1:23" ht="15.6" x14ac:dyDescent="0.4">
      <c r="A4565" s="2" t="s">
        <v>2364</v>
      </c>
      <c r="B4565" s="5" t="s">
        <v>10741</v>
      </c>
      <c r="C4565" s="7" t="s">
        <v>12556</v>
      </c>
      <c r="D4565" s="8">
        <f t="shared" si="288"/>
        <v>0</v>
      </c>
      <c r="E4565" s="7" t="s">
        <v>12557</v>
      </c>
      <c r="F4565" s="7">
        <f t="shared" si="289"/>
        <v>1</v>
      </c>
      <c r="G4565" s="7" t="s">
        <v>12558</v>
      </c>
      <c r="H4565" s="7">
        <f t="shared" si="290"/>
        <v>0</v>
      </c>
      <c r="I4565" s="7" t="str" cm="1">
        <f t="array" ref="I4565">IFERROR(_xlfn.IFS(M4565="נח",1,M4565="נע ונח",1,M4565="שני שווא נח",2,M4565="שני שוואים בסוף מילה",2,M4565="שני שוואים ברצף",1),"0")</f>
        <v>0</v>
      </c>
      <c r="J4565" s="9">
        <f t="shared" si="291"/>
        <v>3</v>
      </c>
      <c r="K4565" t="s">
        <v>6697</v>
      </c>
      <c r="L4565" t="s">
        <v>6695</v>
      </c>
      <c r="O4565" t="s">
        <v>6694</v>
      </c>
      <c r="S4565" t="s">
        <v>6694</v>
      </c>
      <c r="W4565" t="s">
        <v>6720</v>
      </c>
    </row>
    <row r="4566" spans="1:23" ht="15.6" x14ac:dyDescent="0.4">
      <c r="A4566" s="2" t="s">
        <v>3443</v>
      </c>
      <c r="B4566" s="5" t="s">
        <v>10742</v>
      </c>
      <c r="C4566" s="7" t="s">
        <v>12556</v>
      </c>
      <c r="D4566" s="8">
        <f t="shared" si="288"/>
        <v>0</v>
      </c>
      <c r="E4566" s="7" t="s">
        <v>12557</v>
      </c>
      <c r="F4566" s="7">
        <f t="shared" si="289"/>
        <v>1</v>
      </c>
      <c r="G4566" s="7" t="s">
        <v>12558</v>
      </c>
      <c r="H4566" s="7">
        <f t="shared" si="290"/>
        <v>0</v>
      </c>
      <c r="I4566" s="7" t="str" cm="1">
        <f t="array" ref="I4566">IFERROR(_xlfn.IFS(M4566="נח",1,M4566="נע ונח",1,M4566="שני שווא נח",2,M4566="שני שוואים בסוף מילה",2,M4566="שני שוואים ברצף",1),"0")</f>
        <v>0</v>
      </c>
      <c r="J4566" s="9">
        <f t="shared" si="291"/>
        <v>2</v>
      </c>
      <c r="K4566" t="s">
        <v>6698</v>
      </c>
      <c r="L4566" t="s">
        <v>6695</v>
      </c>
      <c r="S4566" t="s">
        <v>6694</v>
      </c>
      <c r="V4566" t="s">
        <v>6694</v>
      </c>
      <c r="W4566" t="s">
        <v>6720</v>
      </c>
    </row>
    <row r="4567" spans="1:23" ht="15.6" x14ac:dyDescent="0.4">
      <c r="A4567" s="2" t="s">
        <v>119</v>
      </c>
      <c r="B4567" s="5" t="s">
        <v>10743</v>
      </c>
      <c r="C4567" s="7" t="s">
        <v>12556</v>
      </c>
      <c r="D4567" s="8">
        <f t="shared" si="288"/>
        <v>0</v>
      </c>
      <c r="E4567" s="7" t="s">
        <v>12557</v>
      </c>
      <c r="F4567" s="7">
        <f t="shared" si="289"/>
        <v>0</v>
      </c>
      <c r="G4567" s="7" t="s">
        <v>12558</v>
      </c>
      <c r="H4567" s="7">
        <f t="shared" si="290"/>
        <v>0</v>
      </c>
      <c r="I4567" s="7" t="str" cm="1">
        <f t="array" ref="I4567">IFERROR(_xlfn.IFS(M4567="נח",1,M4567="נע ונח",1,M4567="שני שווא נח",2,M4567="שני שוואים בסוף מילה",2,M4567="שני שוואים ברצף",1),"0")</f>
        <v>0</v>
      </c>
      <c r="J4567" s="9">
        <f t="shared" si="291"/>
        <v>1</v>
      </c>
      <c r="K4567" t="s">
        <v>6697</v>
      </c>
      <c r="L4567" t="s">
        <v>6695</v>
      </c>
      <c r="S4567" t="s">
        <v>6694</v>
      </c>
      <c r="W4567" t="s">
        <v>6720</v>
      </c>
    </row>
    <row r="4568" spans="1:23" ht="15.6" x14ac:dyDescent="0.4">
      <c r="A4568" s="2" t="s">
        <v>467</v>
      </c>
      <c r="B4568" s="5" t="s">
        <v>10744</v>
      </c>
      <c r="C4568" s="7" t="s">
        <v>12556</v>
      </c>
      <c r="D4568" s="8">
        <f t="shared" si="288"/>
        <v>0</v>
      </c>
      <c r="E4568" s="7" t="s">
        <v>12557</v>
      </c>
      <c r="F4568" s="7">
        <f t="shared" si="289"/>
        <v>1</v>
      </c>
      <c r="G4568" s="7" t="s">
        <v>12558</v>
      </c>
      <c r="H4568" s="7">
        <f t="shared" si="290"/>
        <v>0</v>
      </c>
      <c r="I4568" s="7" t="str" cm="1">
        <f t="array" ref="I4568">IFERROR(_xlfn.IFS(M4568="נח",1,M4568="נע ונח",1,M4568="שני שווא נח",2,M4568="שני שוואים בסוף מילה",2,M4568="שני שוואים ברצף",1),"0")</f>
        <v>0</v>
      </c>
      <c r="J4568" s="9">
        <f t="shared" si="291"/>
        <v>2</v>
      </c>
      <c r="K4568" t="s">
        <v>6698</v>
      </c>
      <c r="L4568" t="s">
        <v>6695</v>
      </c>
      <c r="P4568" t="s">
        <v>6694</v>
      </c>
      <c r="S4568" t="s">
        <v>6694</v>
      </c>
      <c r="W4568" t="s">
        <v>6720</v>
      </c>
    </row>
    <row r="4569" spans="1:23" ht="15.6" x14ac:dyDescent="0.4">
      <c r="A4569" s="2" t="s">
        <v>3092</v>
      </c>
      <c r="B4569" s="5" t="s">
        <v>10745</v>
      </c>
      <c r="C4569" s="7" t="s">
        <v>12556</v>
      </c>
      <c r="D4569" s="8">
        <f t="shared" si="288"/>
        <v>0</v>
      </c>
      <c r="E4569" s="7" t="s">
        <v>12557</v>
      </c>
      <c r="F4569" s="7">
        <f t="shared" si="289"/>
        <v>1</v>
      </c>
      <c r="G4569" s="7" t="s">
        <v>12558</v>
      </c>
      <c r="H4569" s="7">
        <f t="shared" si="290"/>
        <v>0</v>
      </c>
      <c r="I4569" s="7" t="str" cm="1">
        <f t="array" ref="I4569">IFERROR(_xlfn.IFS(M4569="נח",1,M4569="נע ונח",1,M4569="שני שווא נח",2,M4569="שני שוואים בסוף מילה",2,M4569="שני שוואים ברצף",1),"0")</f>
        <v>0</v>
      </c>
      <c r="J4569" s="9">
        <f t="shared" si="291"/>
        <v>2</v>
      </c>
      <c r="K4569" t="s">
        <v>6698</v>
      </c>
      <c r="L4569" t="s">
        <v>6695</v>
      </c>
      <c r="N4569" t="s">
        <v>6706</v>
      </c>
      <c r="O4569" t="s">
        <v>6694</v>
      </c>
      <c r="S4569" t="s">
        <v>6694</v>
      </c>
      <c r="W4569" t="s">
        <v>6720</v>
      </c>
    </row>
    <row r="4570" spans="1:23" ht="15.6" x14ac:dyDescent="0.4">
      <c r="A4570" s="2" t="s">
        <v>4818</v>
      </c>
      <c r="B4570" s="5" t="s">
        <v>10746</v>
      </c>
      <c r="C4570" s="7" t="s">
        <v>12556</v>
      </c>
      <c r="D4570" s="8">
        <f t="shared" si="288"/>
        <v>0</v>
      </c>
      <c r="E4570" s="7" t="s">
        <v>12557</v>
      </c>
      <c r="F4570" s="7">
        <f t="shared" si="289"/>
        <v>1</v>
      </c>
      <c r="G4570" s="7" t="s">
        <v>12558</v>
      </c>
      <c r="H4570" s="7">
        <f t="shared" si="290"/>
        <v>0</v>
      </c>
      <c r="I4570" s="7" t="str" cm="1">
        <f t="array" ref="I4570">IFERROR(_xlfn.IFS(M4570="נח",1,M4570="נע ונח",1,M4570="שני שווא נח",2,M4570="שני שוואים בסוף מילה",2,M4570="שני שוואים ברצף",1),"0")</f>
        <v>0</v>
      </c>
      <c r="J4570" s="9">
        <f t="shared" si="291"/>
        <v>3</v>
      </c>
      <c r="K4570" t="s">
        <v>6698</v>
      </c>
      <c r="L4570" t="s">
        <v>6695</v>
      </c>
      <c r="O4570" t="s">
        <v>6694</v>
      </c>
      <c r="P4570" t="s">
        <v>6694</v>
      </c>
      <c r="S4570" t="s">
        <v>6694</v>
      </c>
      <c r="W4570" t="s">
        <v>6720</v>
      </c>
    </row>
    <row r="4571" spans="1:23" ht="15.6" x14ac:dyDescent="0.4">
      <c r="A4571" s="2" t="s">
        <v>5261</v>
      </c>
      <c r="B4571" s="5" t="s">
        <v>10747</v>
      </c>
      <c r="C4571" s="7" t="s">
        <v>12556</v>
      </c>
      <c r="D4571" s="8">
        <f t="shared" si="288"/>
        <v>0</v>
      </c>
      <c r="E4571" s="7" t="s">
        <v>12557</v>
      </c>
      <c r="F4571" s="7">
        <f t="shared" si="289"/>
        <v>1</v>
      </c>
      <c r="G4571" s="7" t="s">
        <v>12558</v>
      </c>
      <c r="H4571" s="7">
        <f t="shared" si="290"/>
        <v>0</v>
      </c>
      <c r="I4571" s="7" cm="1">
        <f t="array" ref="I4571">IFERROR(_xlfn.IFS(M4571="נח",1,M4571="נע ונח",1,M4571="שני שווא נח",2,M4571="שני שוואים בסוף מילה",2,M4571="שני שוואים ברצף",1),"0")</f>
        <v>1</v>
      </c>
      <c r="J4571" s="9">
        <f t="shared" si="291"/>
        <v>3</v>
      </c>
      <c r="K4571" t="s">
        <v>6697</v>
      </c>
      <c r="L4571" t="s">
        <v>6694</v>
      </c>
      <c r="M4571" t="s">
        <v>6705</v>
      </c>
      <c r="N4571" t="s">
        <v>6706</v>
      </c>
      <c r="O4571" t="s">
        <v>6694</v>
      </c>
      <c r="S4571" t="s">
        <v>6694</v>
      </c>
      <c r="W4571" t="s">
        <v>6720</v>
      </c>
    </row>
    <row r="4572" spans="1:23" ht="15.6" x14ac:dyDescent="0.4">
      <c r="A4572" s="2" t="s">
        <v>5100</v>
      </c>
      <c r="B4572" s="5" t="s">
        <v>10748</v>
      </c>
      <c r="C4572" s="7" t="s">
        <v>12556</v>
      </c>
      <c r="D4572" s="8">
        <f t="shared" si="288"/>
        <v>0</v>
      </c>
      <c r="E4572" s="7" t="s">
        <v>12557</v>
      </c>
      <c r="F4572" s="7">
        <f t="shared" si="289"/>
        <v>0</v>
      </c>
      <c r="G4572" s="7" t="s">
        <v>12558</v>
      </c>
      <c r="H4572" s="7">
        <f t="shared" si="290"/>
        <v>0</v>
      </c>
      <c r="I4572" s="7" t="str" cm="1">
        <f t="array" ref="I4572">IFERROR(_xlfn.IFS(M4572="נח",1,M4572="נע ונח",1,M4572="שני שווא נח",2,M4572="שני שוואים בסוף מילה",2,M4572="שני שוואים ברצף",1),"0")</f>
        <v>0</v>
      </c>
      <c r="J4572" s="9">
        <f t="shared" si="291"/>
        <v>2</v>
      </c>
      <c r="K4572" t="s">
        <v>6697</v>
      </c>
      <c r="L4572" t="s">
        <v>6695</v>
      </c>
      <c r="Q4572" t="s">
        <v>6694</v>
      </c>
      <c r="S4572" t="s">
        <v>6694</v>
      </c>
      <c r="W4572" t="s">
        <v>6720</v>
      </c>
    </row>
    <row r="4573" spans="1:23" ht="15.6" x14ac:dyDescent="0.4">
      <c r="A4573" s="2" t="s">
        <v>3053</v>
      </c>
      <c r="B4573" s="5" t="s">
        <v>10749</v>
      </c>
      <c r="C4573" s="7" t="s">
        <v>12556</v>
      </c>
      <c r="D4573" s="8">
        <f t="shared" si="288"/>
        <v>0</v>
      </c>
      <c r="E4573" s="7" t="s">
        <v>12557</v>
      </c>
      <c r="F4573" s="7">
        <f t="shared" si="289"/>
        <v>0</v>
      </c>
      <c r="G4573" s="7" t="s">
        <v>12558</v>
      </c>
      <c r="H4573" s="7">
        <f t="shared" si="290"/>
        <v>0</v>
      </c>
      <c r="I4573" s="7" t="str" cm="1">
        <f t="array" ref="I4573">IFERROR(_xlfn.IFS(M4573="נח",1,M4573="נע ונח",1,M4573="שני שווא נח",2,M4573="שני שוואים בסוף מילה",2,M4573="שני שוואים ברצף",1),"0")</f>
        <v>0</v>
      </c>
      <c r="J4573" s="9">
        <f t="shared" si="291"/>
        <v>3</v>
      </c>
      <c r="K4573" t="s">
        <v>6697</v>
      </c>
      <c r="L4573" t="s">
        <v>6695</v>
      </c>
      <c r="S4573" t="s">
        <v>6694</v>
      </c>
      <c r="W4573" t="s">
        <v>6720</v>
      </c>
    </row>
    <row r="4574" spans="1:23" ht="15.6" x14ac:dyDescent="0.4">
      <c r="A4574" s="2" t="s">
        <v>2326</v>
      </c>
      <c r="B4574" s="5" t="s">
        <v>10750</v>
      </c>
      <c r="C4574" s="7" t="s">
        <v>12556</v>
      </c>
      <c r="D4574" s="8">
        <f t="shared" si="288"/>
        <v>0</v>
      </c>
      <c r="E4574" s="7" t="s">
        <v>12557</v>
      </c>
      <c r="F4574" s="7">
        <f t="shared" si="289"/>
        <v>0</v>
      </c>
      <c r="G4574" s="7" t="s">
        <v>12558</v>
      </c>
      <c r="H4574" s="7">
        <f t="shared" si="290"/>
        <v>0</v>
      </c>
      <c r="I4574" s="7" t="str" cm="1">
        <f t="array" ref="I4574">IFERROR(_xlfn.IFS(M4574="נח",1,M4574="נע ונח",1,M4574="שני שווא נח",2,M4574="שני שוואים בסוף מילה",2,M4574="שני שוואים ברצף",1),"0")</f>
        <v>0</v>
      </c>
      <c r="J4574" s="9">
        <f t="shared" si="291"/>
        <v>4</v>
      </c>
      <c r="K4574" t="s">
        <v>6697</v>
      </c>
      <c r="L4574" t="s">
        <v>6695</v>
      </c>
      <c r="O4574" t="s">
        <v>6694</v>
      </c>
      <c r="R4574" t="s">
        <v>6694</v>
      </c>
      <c r="S4574" t="s">
        <v>6694</v>
      </c>
      <c r="W4574" t="s">
        <v>6720</v>
      </c>
    </row>
    <row r="4575" spans="1:23" ht="15.6" x14ac:dyDescent="0.4">
      <c r="A4575" s="2" t="s">
        <v>107</v>
      </c>
      <c r="B4575" s="5" t="s">
        <v>10751</v>
      </c>
      <c r="C4575" s="7" t="s">
        <v>12556</v>
      </c>
      <c r="D4575" s="8">
        <f t="shared" si="288"/>
        <v>0</v>
      </c>
      <c r="E4575" s="7" t="s">
        <v>12557</v>
      </c>
      <c r="F4575" s="7">
        <f t="shared" si="289"/>
        <v>0</v>
      </c>
      <c r="G4575" s="7" t="s">
        <v>12558</v>
      </c>
      <c r="H4575" s="7">
        <f t="shared" si="290"/>
        <v>0</v>
      </c>
      <c r="I4575" s="7" t="str" cm="1">
        <f t="array" ref="I4575">IFERROR(_xlfn.IFS(M4575="נח",1,M4575="נע ונח",1,M4575="שני שווא נח",2,M4575="שני שוואים בסוף מילה",2,M4575="שני שוואים ברצף",1),"0")</f>
        <v>0</v>
      </c>
      <c r="J4575" s="9">
        <f t="shared" si="291"/>
        <v>2</v>
      </c>
      <c r="K4575" t="s">
        <v>6697</v>
      </c>
      <c r="L4575" t="s">
        <v>6695</v>
      </c>
      <c r="Q4575" t="s">
        <v>6694</v>
      </c>
      <c r="S4575" t="s">
        <v>6694</v>
      </c>
      <c r="W4575" t="s">
        <v>6720</v>
      </c>
    </row>
    <row r="4576" spans="1:23" ht="15.6" x14ac:dyDescent="0.4">
      <c r="A4576" s="2" t="s">
        <v>3701</v>
      </c>
      <c r="B4576" s="5" t="s">
        <v>10752</v>
      </c>
      <c r="C4576" s="7" t="s">
        <v>12556</v>
      </c>
      <c r="D4576" s="8">
        <f t="shared" si="288"/>
        <v>1</v>
      </c>
      <c r="E4576" s="7" t="s">
        <v>12557</v>
      </c>
      <c r="F4576" s="7">
        <f t="shared" si="289"/>
        <v>0</v>
      </c>
      <c r="G4576" s="7" t="s">
        <v>12558</v>
      </c>
      <c r="H4576" s="7">
        <f t="shared" si="290"/>
        <v>0</v>
      </c>
      <c r="I4576" s="7" t="str" cm="1">
        <f t="array" ref="I4576">IFERROR(_xlfn.IFS(M4576="נח",1,M4576="נע ונח",1,M4576="שני שווא נח",2,M4576="שני שוואים בסוף מילה",2,M4576="שני שוואים ברצף",1),"0")</f>
        <v>0</v>
      </c>
      <c r="J4576" s="9">
        <f t="shared" si="291"/>
        <v>2</v>
      </c>
      <c r="K4576" t="s">
        <v>6698</v>
      </c>
      <c r="L4576" t="s">
        <v>6695</v>
      </c>
      <c r="S4576" t="s">
        <v>6694</v>
      </c>
      <c r="V4576" t="s">
        <v>6694</v>
      </c>
      <c r="W4576" t="s">
        <v>6720</v>
      </c>
    </row>
    <row r="4577" spans="1:23" ht="15.6" x14ac:dyDescent="0.4">
      <c r="A4577" s="2" t="s">
        <v>2648</v>
      </c>
      <c r="B4577" s="5" t="s">
        <v>10753</v>
      </c>
      <c r="C4577" s="7" t="s">
        <v>12556</v>
      </c>
      <c r="D4577" s="8">
        <f t="shared" si="288"/>
        <v>1</v>
      </c>
      <c r="E4577" s="7" t="s">
        <v>12557</v>
      </c>
      <c r="F4577" s="7">
        <f t="shared" si="289"/>
        <v>0</v>
      </c>
      <c r="G4577" s="7" t="s">
        <v>12558</v>
      </c>
      <c r="H4577" s="7">
        <f t="shared" si="290"/>
        <v>0</v>
      </c>
      <c r="I4577" s="7" t="str" cm="1">
        <f t="array" ref="I4577">IFERROR(_xlfn.IFS(M4577="נח",1,M4577="נע ונח",1,M4577="שני שווא נח",2,M4577="שני שוואים בסוף מילה",2,M4577="שני שוואים ברצף",1),"0")</f>
        <v>0</v>
      </c>
      <c r="J4577" s="9">
        <f t="shared" si="291"/>
        <v>2</v>
      </c>
      <c r="K4577" t="s">
        <v>6698</v>
      </c>
      <c r="L4577" t="s">
        <v>6695</v>
      </c>
      <c r="S4577" t="s">
        <v>6694</v>
      </c>
      <c r="V4577" t="s">
        <v>6694</v>
      </c>
      <c r="W4577" t="s">
        <v>6720</v>
      </c>
    </row>
    <row r="4578" spans="1:23" ht="15.6" x14ac:dyDescent="0.4">
      <c r="A4578" s="2" t="s">
        <v>3357</v>
      </c>
      <c r="B4578" s="5" t="s">
        <v>10754</v>
      </c>
      <c r="C4578" s="7" t="s">
        <v>12556</v>
      </c>
      <c r="D4578" s="8">
        <f t="shared" si="288"/>
        <v>1</v>
      </c>
      <c r="E4578" s="7" t="s">
        <v>12557</v>
      </c>
      <c r="F4578" s="7">
        <f t="shared" si="289"/>
        <v>1</v>
      </c>
      <c r="G4578" s="7" t="s">
        <v>12558</v>
      </c>
      <c r="H4578" s="7">
        <f t="shared" si="290"/>
        <v>1</v>
      </c>
      <c r="I4578" s="7" t="str" cm="1">
        <f t="array" ref="I4578">IFERROR(_xlfn.IFS(M4578="נח",1,M4578="נע ונח",1,M4578="שני שווא נח",2,M4578="שני שוואים בסוף מילה",2,M4578="שני שוואים ברצף",1),"0")</f>
        <v>0</v>
      </c>
      <c r="J4578" s="9">
        <f t="shared" si="291"/>
        <v>4</v>
      </c>
      <c r="K4578" t="s">
        <v>6697</v>
      </c>
      <c r="L4578" t="s">
        <v>6695</v>
      </c>
      <c r="O4578" t="s">
        <v>6694</v>
      </c>
      <c r="S4578" t="s">
        <v>6694</v>
      </c>
      <c r="U4578" t="s">
        <v>6694</v>
      </c>
      <c r="W4578" t="s">
        <v>6720</v>
      </c>
    </row>
    <row r="4579" spans="1:23" ht="15.6" x14ac:dyDescent="0.4">
      <c r="A4579" s="2" t="s">
        <v>5291</v>
      </c>
      <c r="B4579" s="5" t="s">
        <v>10755</v>
      </c>
      <c r="C4579" s="7" t="s">
        <v>12556</v>
      </c>
      <c r="D4579" s="8">
        <f t="shared" si="288"/>
        <v>0</v>
      </c>
      <c r="E4579" s="7" t="s">
        <v>12557</v>
      </c>
      <c r="F4579" s="7">
        <f t="shared" si="289"/>
        <v>0</v>
      </c>
      <c r="G4579" s="7" t="s">
        <v>12558</v>
      </c>
      <c r="H4579" s="7">
        <f t="shared" si="290"/>
        <v>0</v>
      </c>
      <c r="I4579" s="7" cm="1">
        <f t="array" ref="I4579">IFERROR(_xlfn.IFS(M4579="נח",1,M4579="נע ונח",1,M4579="שני שווא נח",2,M4579="שני שוואים בסוף מילה",2,M4579="שני שוואים ברצף",1),"0")</f>
        <v>1</v>
      </c>
      <c r="J4579" s="9">
        <f t="shared" si="291"/>
        <v>2</v>
      </c>
      <c r="K4579" t="s">
        <v>6698</v>
      </c>
      <c r="L4579" t="s">
        <v>6694</v>
      </c>
      <c r="M4579" t="s">
        <v>6705</v>
      </c>
      <c r="P4579" t="s">
        <v>6694</v>
      </c>
      <c r="S4579" t="s">
        <v>6694</v>
      </c>
      <c r="W4579" t="s">
        <v>6720</v>
      </c>
    </row>
    <row r="4580" spans="1:23" ht="15.6" x14ac:dyDescent="0.4">
      <c r="A4580" s="2" t="s">
        <v>4069</v>
      </c>
      <c r="B4580" s="5" t="s">
        <v>10756</v>
      </c>
      <c r="C4580" s="7" t="s">
        <v>12556</v>
      </c>
      <c r="D4580" s="8">
        <f t="shared" si="288"/>
        <v>0</v>
      </c>
      <c r="E4580" s="7" t="s">
        <v>12557</v>
      </c>
      <c r="F4580" s="7">
        <f t="shared" si="289"/>
        <v>1</v>
      </c>
      <c r="G4580" s="7" t="s">
        <v>12558</v>
      </c>
      <c r="H4580" s="7">
        <f t="shared" si="290"/>
        <v>0</v>
      </c>
      <c r="I4580" s="7" cm="1">
        <f t="array" ref="I4580">IFERROR(_xlfn.IFS(M4580="נח",1,M4580="נע ונח",1,M4580="שני שווא נח",2,M4580="שני שוואים בסוף מילה",2,M4580="שני שוואים ברצף",1),"0")</f>
        <v>1</v>
      </c>
      <c r="J4580" s="9">
        <f t="shared" si="291"/>
        <v>2</v>
      </c>
      <c r="K4580" t="s">
        <v>6698</v>
      </c>
      <c r="L4580" t="s">
        <v>6694</v>
      </c>
      <c r="M4580" t="s">
        <v>6705</v>
      </c>
      <c r="N4580" t="s">
        <v>6706</v>
      </c>
      <c r="O4580" t="s">
        <v>6694</v>
      </c>
      <c r="S4580" t="s">
        <v>6694</v>
      </c>
      <c r="W4580" t="s">
        <v>6720</v>
      </c>
    </row>
    <row r="4581" spans="1:23" ht="15.6" x14ac:dyDescent="0.4">
      <c r="A4581" s="2" t="s">
        <v>2086</v>
      </c>
      <c r="B4581" s="5" t="s">
        <v>10757</v>
      </c>
      <c r="C4581" s="7" t="s">
        <v>12556</v>
      </c>
      <c r="D4581" s="8">
        <f t="shared" si="288"/>
        <v>0</v>
      </c>
      <c r="E4581" s="7" t="s">
        <v>12557</v>
      </c>
      <c r="F4581" s="7">
        <f t="shared" si="289"/>
        <v>1</v>
      </c>
      <c r="G4581" s="7" t="s">
        <v>12558</v>
      </c>
      <c r="H4581" s="7">
        <f t="shared" si="290"/>
        <v>0</v>
      </c>
      <c r="I4581" s="7" cm="1">
        <f t="array" ref="I4581">IFERROR(_xlfn.IFS(M4581="נח",1,M4581="נע ונח",1,M4581="שני שווא נח",2,M4581="שני שוואים בסוף מילה",2,M4581="שני שוואים ברצף",1),"0")</f>
        <v>1</v>
      </c>
      <c r="J4581" s="9">
        <f t="shared" si="291"/>
        <v>3</v>
      </c>
      <c r="K4581" t="s">
        <v>6698</v>
      </c>
      <c r="L4581" t="s">
        <v>6694</v>
      </c>
      <c r="M4581" t="s">
        <v>6705</v>
      </c>
      <c r="S4581" t="s">
        <v>6694</v>
      </c>
      <c r="W4581" t="s">
        <v>6720</v>
      </c>
    </row>
    <row r="4582" spans="1:23" ht="15.6" x14ac:dyDescent="0.4">
      <c r="A4582" s="2" t="s">
        <v>2368</v>
      </c>
      <c r="B4582" s="5" t="s">
        <v>10758</v>
      </c>
      <c r="C4582" s="7" t="s">
        <v>12556</v>
      </c>
      <c r="D4582" s="8">
        <f t="shared" si="288"/>
        <v>0</v>
      </c>
      <c r="E4582" s="7" t="s">
        <v>12557</v>
      </c>
      <c r="F4582" s="7">
        <f t="shared" si="289"/>
        <v>1</v>
      </c>
      <c r="G4582" s="7" t="s">
        <v>12558</v>
      </c>
      <c r="H4582" s="7">
        <f t="shared" si="290"/>
        <v>0</v>
      </c>
      <c r="I4582" s="7" t="str" cm="1">
        <f t="array" ref="I4582">IFERROR(_xlfn.IFS(M4582="נח",1,M4582="נע ונח",1,M4582="שני שווא נח",2,M4582="שני שוואים בסוף מילה",2,M4582="שני שוואים ברצף",1),"0")</f>
        <v>0</v>
      </c>
      <c r="J4582" s="9">
        <f t="shared" si="291"/>
        <v>3</v>
      </c>
      <c r="K4582" t="s">
        <v>6698</v>
      </c>
      <c r="L4582" t="s">
        <v>6695</v>
      </c>
      <c r="P4582" t="s">
        <v>6694</v>
      </c>
      <c r="S4582" t="s">
        <v>6694</v>
      </c>
      <c r="W4582" t="s">
        <v>6720</v>
      </c>
    </row>
    <row r="4583" spans="1:23" ht="15.6" x14ac:dyDescent="0.4">
      <c r="A4583" s="2" t="s">
        <v>469</v>
      </c>
      <c r="B4583" s="5" t="s">
        <v>10759</v>
      </c>
      <c r="C4583" s="7" t="s">
        <v>12556</v>
      </c>
      <c r="D4583" s="8">
        <f t="shared" si="288"/>
        <v>0</v>
      </c>
      <c r="E4583" s="7" t="s">
        <v>12557</v>
      </c>
      <c r="F4583" s="7">
        <f t="shared" si="289"/>
        <v>1</v>
      </c>
      <c r="G4583" s="7" t="s">
        <v>12558</v>
      </c>
      <c r="H4583" s="7">
        <f t="shared" si="290"/>
        <v>0</v>
      </c>
      <c r="I4583" s="7" t="str" cm="1">
        <f t="array" ref="I4583">IFERROR(_xlfn.IFS(M4583="נח",1,M4583="נע ונח",1,M4583="שני שווא נח",2,M4583="שני שוואים בסוף מילה",2,M4583="שני שוואים ברצף",1),"0")</f>
        <v>0</v>
      </c>
      <c r="J4583" s="9">
        <f t="shared" si="291"/>
        <v>2</v>
      </c>
      <c r="K4583" t="s">
        <v>6698</v>
      </c>
      <c r="L4583" t="s">
        <v>6695</v>
      </c>
      <c r="P4583" t="s">
        <v>6694</v>
      </c>
      <c r="S4583" t="s">
        <v>6694</v>
      </c>
      <c r="W4583" t="s">
        <v>6720</v>
      </c>
    </row>
    <row r="4584" spans="1:23" ht="15.6" x14ac:dyDescent="0.4">
      <c r="A4584" s="2" t="s">
        <v>1245</v>
      </c>
      <c r="B4584" s="5" t="s">
        <v>10760</v>
      </c>
      <c r="C4584" s="7" t="s">
        <v>12556</v>
      </c>
      <c r="D4584" s="8">
        <f t="shared" si="288"/>
        <v>0</v>
      </c>
      <c r="E4584" s="7" t="s">
        <v>12557</v>
      </c>
      <c r="F4584" s="7">
        <f t="shared" si="289"/>
        <v>1</v>
      </c>
      <c r="G4584" s="7" t="s">
        <v>12558</v>
      </c>
      <c r="H4584" s="7">
        <f t="shared" si="290"/>
        <v>0</v>
      </c>
      <c r="I4584" s="7" t="str" cm="1">
        <f t="array" ref="I4584">IFERROR(_xlfn.IFS(M4584="נח",1,M4584="נע ונח",1,M4584="שני שווא נח",2,M4584="שני שוואים בסוף מילה",2,M4584="שני שוואים ברצף",1),"0")</f>
        <v>0</v>
      </c>
      <c r="J4584" s="9">
        <f t="shared" si="291"/>
        <v>2</v>
      </c>
      <c r="K4584" t="s">
        <v>6698</v>
      </c>
      <c r="L4584" t="s">
        <v>6695</v>
      </c>
      <c r="N4584" t="s">
        <v>6706</v>
      </c>
      <c r="O4584" t="s">
        <v>6694</v>
      </c>
      <c r="S4584" t="s">
        <v>6694</v>
      </c>
      <c r="W4584" t="s">
        <v>6720</v>
      </c>
    </row>
    <row r="4585" spans="1:23" ht="15.6" x14ac:dyDescent="0.4">
      <c r="A4585" s="2" t="s">
        <v>943</v>
      </c>
      <c r="B4585" s="5" t="s">
        <v>10760</v>
      </c>
      <c r="C4585" s="7" t="s">
        <v>12556</v>
      </c>
      <c r="D4585" s="8">
        <f t="shared" si="288"/>
        <v>0</v>
      </c>
      <c r="E4585" s="7" t="s">
        <v>12557</v>
      </c>
      <c r="F4585" s="7">
        <f t="shared" si="289"/>
        <v>1</v>
      </c>
      <c r="G4585" s="7" t="s">
        <v>12558</v>
      </c>
      <c r="H4585" s="7">
        <f t="shared" si="290"/>
        <v>0</v>
      </c>
      <c r="I4585" s="7" t="str" cm="1">
        <f t="array" ref="I4585">IFERROR(_xlfn.IFS(M4585="נח",1,M4585="נע ונח",1,M4585="שני שווא נח",2,M4585="שני שוואים בסוף מילה",2,M4585="שני שוואים ברצף",1),"0")</f>
        <v>0</v>
      </c>
      <c r="J4585" s="9">
        <f t="shared" si="291"/>
        <v>2</v>
      </c>
      <c r="K4585" t="s">
        <v>6698</v>
      </c>
      <c r="L4585" t="s">
        <v>6695</v>
      </c>
      <c r="S4585" t="s">
        <v>6694</v>
      </c>
      <c r="V4585" t="s">
        <v>6694</v>
      </c>
      <c r="W4585" t="s">
        <v>6720</v>
      </c>
    </row>
    <row r="4586" spans="1:23" ht="15.6" x14ac:dyDescent="0.4">
      <c r="A4586" s="2" t="s">
        <v>2617</v>
      </c>
      <c r="B4586" s="5" t="s">
        <v>10761</v>
      </c>
      <c r="C4586" s="7" t="s">
        <v>12556</v>
      </c>
      <c r="D4586" s="8">
        <f t="shared" si="288"/>
        <v>0</v>
      </c>
      <c r="E4586" s="7" t="s">
        <v>12557</v>
      </c>
      <c r="F4586" s="7">
        <f t="shared" si="289"/>
        <v>0</v>
      </c>
      <c r="G4586" s="7" t="s">
        <v>12558</v>
      </c>
      <c r="H4586" s="7">
        <f t="shared" si="290"/>
        <v>0</v>
      </c>
      <c r="I4586" s="7" cm="1">
        <f t="array" ref="I4586">IFERROR(_xlfn.IFS(M4586="נח",1,M4586="נע ונח",1,M4586="שני שווא נח",2,M4586="שני שוואים בסוף מילה",2,M4586="שני שוואים ברצף",1),"0")</f>
        <v>1</v>
      </c>
      <c r="J4586" s="9">
        <f t="shared" si="291"/>
        <v>3</v>
      </c>
      <c r="K4586" t="s">
        <v>6697</v>
      </c>
      <c r="L4586" t="s">
        <v>6694</v>
      </c>
      <c r="M4586" t="s">
        <v>6705</v>
      </c>
      <c r="O4586" t="s">
        <v>6694</v>
      </c>
      <c r="S4586" t="s">
        <v>6694</v>
      </c>
      <c r="W4586" t="s">
        <v>6720</v>
      </c>
    </row>
    <row r="4587" spans="1:23" ht="15.6" x14ac:dyDescent="0.4">
      <c r="A4587" s="2" t="s">
        <v>3789</v>
      </c>
      <c r="B4587" s="5" t="s">
        <v>10762</v>
      </c>
      <c r="C4587" s="7" t="s">
        <v>12556</v>
      </c>
      <c r="D4587" s="8">
        <f t="shared" si="288"/>
        <v>0</v>
      </c>
      <c r="E4587" s="7" t="s">
        <v>12557</v>
      </c>
      <c r="F4587" s="7">
        <f t="shared" si="289"/>
        <v>0</v>
      </c>
      <c r="G4587" s="7" t="s">
        <v>12558</v>
      </c>
      <c r="H4587" s="7">
        <f t="shared" si="290"/>
        <v>0</v>
      </c>
      <c r="I4587" s="7" cm="1">
        <f t="array" ref="I4587">IFERROR(_xlfn.IFS(M4587="נח",1,M4587="נע ונח",1,M4587="שני שווא נח",2,M4587="שני שוואים בסוף מילה",2,M4587="שני שוואים ברצף",1),"0")</f>
        <v>1</v>
      </c>
      <c r="J4587" s="9">
        <f t="shared" si="291"/>
        <v>3</v>
      </c>
      <c r="K4587" t="s">
        <v>6698</v>
      </c>
      <c r="L4587" t="s">
        <v>6694</v>
      </c>
      <c r="M4587" t="s">
        <v>6705</v>
      </c>
      <c r="O4587" t="s">
        <v>6694</v>
      </c>
      <c r="S4587" t="s">
        <v>6694</v>
      </c>
      <c r="V4587" t="s">
        <v>6694</v>
      </c>
      <c r="W4587" t="s">
        <v>6720</v>
      </c>
    </row>
    <row r="4588" spans="1:23" ht="15.6" x14ac:dyDescent="0.4">
      <c r="A4588" s="2" t="s">
        <v>3911</v>
      </c>
      <c r="B4588" s="5" t="s">
        <v>10763</v>
      </c>
      <c r="C4588" s="7" t="s">
        <v>12556</v>
      </c>
      <c r="D4588" s="8">
        <f t="shared" si="288"/>
        <v>0</v>
      </c>
      <c r="E4588" s="7" t="s">
        <v>12557</v>
      </c>
      <c r="F4588" s="7">
        <f t="shared" si="289"/>
        <v>1</v>
      </c>
      <c r="G4588" s="7" t="s">
        <v>12558</v>
      </c>
      <c r="H4588" s="7">
        <f t="shared" si="290"/>
        <v>0</v>
      </c>
      <c r="I4588" s="7" cm="1">
        <f t="array" ref="I4588">IFERROR(_xlfn.IFS(M4588="נח",1,M4588="נע ונח",1,M4588="שני שווא נח",2,M4588="שני שוואים בסוף מילה",2,M4588="שני שוואים ברצף",1),"0")</f>
        <v>1</v>
      </c>
      <c r="J4588" s="9">
        <f t="shared" si="291"/>
        <v>4</v>
      </c>
      <c r="K4588" t="s">
        <v>6697</v>
      </c>
      <c r="L4588" t="s">
        <v>6694</v>
      </c>
      <c r="M4588" t="s">
        <v>6705</v>
      </c>
      <c r="O4588" t="s">
        <v>6694</v>
      </c>
      <c r="R4588" t="s">
        <v>6694</v>
      </c>
      <c r="S4588" t="s">
        <v>6694</v>
      </c>
      <c r="W4588" t="s">
        <v>6720</v>
      </c>
    </row>
    <row r="4589" spans="1:23" ht="15.6" x14ac:dyDescent="0.4">
      <c r="A4589" s="2" t="s">
        <v>579</v>
      </c>
      <c r="B4589" s="5" t="s">
        <v>10764</v>
      </c>
      <c r="C4589" s="7" t="s">
        <v>12556</v>
      </c>
      <c r="D4589" s="8">
        <f t="shared" si="288"/>
        <v>0</v>
      </c>
      <c r="E4589" s="7" t="s">
        <v>12557</v>
      </c>
      <c r="F4589" s="7">
        <f t="shared" si="289"/>
        <v>1</v>
      </c>
      <c r="G4589" s="7" t="s">
        <v>12558</v>
      </c>
      <c r="H4589" s="7">
        <f t="shared" si="290"/>
        <v>0</v>
      </c>
      <c r="I4589" s="7" cm="1">
        <f t="array" ref="I4589">IFERROR(_xlfn.IFS(M4589="נח",1,M4589="נע ונח",1,M4589="שני שווא נח",2,M4589="שני שוואים בסוף מילה",2,M4589="שני שוואים ברצף",1),"0")</f>
        <v>1</v>
      </c>
      <c r="J4589" s="9">
        <f t="shared" si="291"/>
        <v>3</v>
      </c>
      <c r="K4589" t="s">
        <v>6698</v>
      </c>
      <c r="L4589" t="s">
        <v>6694</v>
      </c>
      <c r="M4589" t="s">
        <v>6705</v>
      </c>
      <c r="Q4589" t="s">
        <v>6694</v>
      </c>
      <c r="S4589" t="s">
        <v>6694</v>
      </c>
      <c r="W4589" t="s">
        <v>6720</v>
      </c>
    </row>
    <row r="4590" spans="1:23" ht="15.6" x14ac:dyDescent="0.4">
      <c r="A4590" s="2" t="s">
        <v>1541</v>
      </c>
      <c r="B4590" s="5" t="s">
        <v>10765</v>
      </c>
      <c r="C4590" s="7" t="s">
        <v>12556</v>
      </c>
      <c r="D4590" s="8">
        <f t="shared" si="288"/>
        <v>0</v>
      </c>
      <c r="E4590" s="7" t="s">
        <v>12557</v>
      </c>
      <c r="F4590" s="7">
        <f t="shared" si="289"/>
        <v>1</v>
      </c>
      <c r="G4590" s="7" t="s">
        <v>12558</v>
      </c>
      <c r="H4590" s="7">
        <f t="shared" si="290"/>
        <v>0</v>
      </c>
      <c r="I4590" s="7" t="str" cm="1">
        <f t="array" ref="I4590">IFERROR(_xlfn.IFS(M4590="נח",1,M4590="נע ונח",1,M4590="שני שווא נח",2,M4590="שני שוואים בסוף מילה",2,M4590="שני שוואים ברצף",1),"0")</f>
        <v>0</v>
      </c>
      <c r="J4590" s="9">
        <f t="shared" si="291"/>
        <v>2</v>
      </c>
      <c r="K4590" t="s">
        <v>6697</v>
      </c>
      <c r="L4590" t="s">
        <v>6695</v>
      </c>
      <c r="Q4590" t="s">
        <v>6694</v>
      </c>
      <c r="S4590" t="s">
        <v>6694</v>
      </c>
      <c r="W4590" t="s">
        <v>6720</v>
      </c>
    </row>
    <row r="4591" spans="1:23" ht="15.6" x14ac:dyDescent="0.4">
      <c r="A4591" s="2" t="s">
        <v>3396</v>
      </c>
      <c r="B4591" s="5" t="s">
        <v>10766</v>
      </c>
      <c r="C4591" s="7" t="s">
        <v>12556</v>
      </c>
      <c r="D4591" s="8">
        <f t="shared" si="288"/>
        <v>0</v>
      </c>
      <c r="E4591" s="7" t="s">
        <v>12557</v>
      </c>
      <c r="F4591" s="7">
        <f t="shared" si="289"/>
        <v>1</v>
      </c>
      <c r="G4591" s="7" t="s">
        <v>12558</v>
      </c>
      <c r="H4591" s="7">
        <f t="shared" si="290"/>
        <v>0</v>
      </c>
      <c r="I4591" s="7" t="str" cm="1">
        <f t="array" ref="I4591">IFERROR(_xlfn.IFS(M4591="נח",1,M4591="נע ונח",1,M4591="שני שווא נח",2,M4591="שני שוואים בסוף מילה",2,M4591="שני שוואים ברצף",1),"0")</f>
        <v>0</v>
      </c>
      <c r="J4591" s="9">
        <f t="shared" si="291"/>
        <v>2</v>
      </c>
      <c r="K4591" t="s">
        <v>6698</v>
      </c>
      <c r="L4591" t="s">
        <v>6695</v>
      </c>
      <c r="Q4591" t="s">
        <v>6694</v>
      </c>
      <c r="S4591" t="s">
        <v>6694</v>
      </c>
      <c r="W4591" t="s">
        <v>6720</v>
      </c>
    </row>
    <row r="4592" spans="1:23" ht="15.6" x14ac:dyDescent="0.4">
      <c r="A4592" s="2" t="s">
        <v>3262</v>
      </c>
      <c r="B4592" s="5" t="s">
        <v>10767</v>
      </c>
      <c r="C4592" s="7" t="s">
        <v>12556</v>
      </c>
      <c r="D4592" s="8">
        <f t="shared" si="288"/>
        <v>0</v>
      </c>
      <c r="E4592" s="7" t="s">
        <v>12557</v>
      </c>
      <c r="F4592" s="7">
        <f t="shared" si="289"/>
        <v>1</v>
      </c>
      <c r="G4592" s="7" t="s">
        <v>12558</v>
      </c>
      <c r="H4592" s="7">
        <f t="shared" si="290"/>
        <v>0</v>
      </c>
      <c r="I4592" s="7" t="str" cm="1">
        <f t="array" ref="I4592">IFERROR(_xlfn.IFS(M4592="נח",1,M4592="נע ונח",1,M4592="שני שווא נח",2,M4592="שני שוואים בסוף מילה",2,M4592="שני שוואים ברצף",1),"0")</f>
        <v>0</v>
      </c>
      <c r="J4592" s="9">
        <f t="shared" si="291"/>
        <v>3</v>
      </c>
      <c r="K4592" t="s">
        <v>6698</v>
      </c>
      <c r="L4592" t="s">
        <v>6695</v>
      </c>
      <c r="Q4592" t="s">
        <v>6694</v>
      </c>
      <c r="R4592" t="s">
        <v>6694</v>
      </c>
      <c r="S4592" t="s">
        <v>6694</v>
      </c>
      <c r="W4592" t="s">
        <v>6720</v>
      </c>
    </row>
    <row r="4593" spans="1:23" ht="15.6" x14ac:dyDescent="0.4">
      <c r="A4593" s="2" t="s">
        <v>5030</v>
      </c>
      <c r="B4593" s="5" t="s">
        <v>10768</v>
      </c>
      <c r="C4593" s="7" t="s">
        <v>12556</v>
      </c>
      <c r="D4593" s="8">
        <f t="shared" si="288"/>
        <v>0</v>
      </c>
      <c r="E4593" s="7" t="s">
        <v>12557</v>
      </c>
      <c r="F4593" s="7">
        <f t="shared" si="289"/>
        <v>1</v>
      </c>
      <c r="G4593" s="7" t="s">
        <v>12558</v>
      </c>
      <c r="H4593" s="7">
        <f t="shared" si="290"/>
        <v>0</v>
      </c>
      <c r="I4593" s="7" t="str" cm="1">
        <f t="array" ref="I4593">IFERROR(_xlfn.IFS(M4593="נח",1,M4593="נע ונח",1,M4593="שני שווא נח",2,M4593="שני שוואים בסוף מילה",2,M4593="שני שוואים ברצף",1),"0")</f>
        <v>0</v>
      </c>
      <c r="J4593" s="9">
        <f t="shared" si="291"/>
        <v>2</v>
      </c>
      <c r="K4593" t="s">
        <v>6697</v>
      </c>
      <c r="L4593" t="s">
        <v>6695</v>
      </c>
      <c r="O4593" t="s">
        <v>6694</v>
      </c>
      <c r="S4593" t="s">
        <v>6694</v>
      </c>
      <c r="W4593" t="s">
        <v>6720</v>
      </c>
    </row>
    <row r="4594" spans="1:23" ht="15.6" x14ac:dyDescent="0.4">
      <c r="A4594" s="2" t="s">
        <v>3328</v>
      </c>
      <c r="B4594" s="5" t="s">
        <v>10769</v>
      </c>
      <c r="C4594" s="7" t="s">
        <v>12556</v>
      </c>
      <c r="D4594" s="8">
        <f t="shared" si="288"/>
        <v>0</v>
      </c>
      <c r="E4594" s="7" t="s">
        <v>12557</v>
      </c>
      <c r="F4594" s="7">
        <f t="shared" si="289"/>
        <v>1</v>
      </c>
      <c r="G4594" s="7" t="s">
        <v>12558</v>
      </c>
      <c r="H4594" s="7">
        <f t="shared" si="290"/>
        <v>0</v>
      </c>
      <c r="I4594" s="7" cm="1">
        <f t="array" ref="I4594">IFERROR(_xlfn.IFS(M4594="נח",1,M4594="נע ונח",1,M4594="שני שווא נח",2,M4594="שני שוואים בסוף מילה",2,M4594="שני שוואים ברצף",1),"0")</f>
        <v>1</v>
      </c>
      <c r="J4594" s="9">
        <f t="shared" si="291"/>
        <v>2</v>
      </c>
      <c r="K4594" t="s">
        <v>6697</v>
      </c>
      <c r="L4594" t="s">
        <v>6694</v>
      </c>
      <c r="M4594" t="s">
        <v>6705</v>
      </c>
      <c r="O4594" t="s">
        <v>6694</v>
      </c>
      <c r="S4594" t="s">
        <v>6694</v>
      </c>
      <c r="W4594" t="s">
        <v>6720</v>
      </c>
    </row>
    <row r="4595" spans="1:23" ht="15.6" x14ac:dyDescent="0.4">
      <c r="A4595" s="2" t="s">
        <v>437</v>
      </c>
      <c r="B4595" s="5" t="s">
        <v>10770</v>
      </c>
      <c r="C4595" s="7" t="s">
        <v>12556</v>
      </c>
      <c r="D4595" s="8">
        <f t="shared" si="288"/>
        <v>0</v>
      </c>
      <c r="E4595" s="7" t="s">
        <v>12557</v>
      </c>
      <c r="F4595" s="7">
        <f t="shared" si="289"/>
        <v>1</v>
      </c>
      <c r="G4595" s="7" t="s">
        <v>12558</v>
      </c>
      <c r="H4595" s="7">
        <f t="shared" si="290"/>
        <v>0</v>
      </c>
      <c r="I4595" s="7" cm="1">
        <f t="array" ref="I4595">IFERROR(_xlfn.IFS(M4595="נח",1,M4595="נע ונח",1,M4595="שני שווא נח",2,M4595="שני שוואים בסוף מילה",2,M4595="שני שוואים ברצף",1),"0")</f>
        <v>1</v>
      </c>
      <c r="J4595" s="9">
        <f t="shared" si="291"/>
        <v>2</v>
      </c>
      <c r="K4595" t="s">
        <v>6698</v>
      </c>
      <c r="L4595" t="s">
        <v>6694</v>
      </c>
      <c r="M4595" t="s">
        <v>6705</v>
      </c>
      <c r="S4595" t="s">
        <v>6694</v>
      </c>
      <c r="V4595" t="s">
        <v>6694</v>
      </c>
      <c r="W4595" t="s">
        <v>6720</v>
      </c>
    </row>
    <row r="4596" spans="1:23" ht="15.6" x14ac:dyDescent="0.4">
      <c r="A4596" s="2" t="s">
        <v>476</v>
      </c>
      <c r="B4596" s="5" t="s">
        <v>10771</v>
      </c>
      <c r="C4596" s="7" t="s">
        <v>12556</v>
      </c>
      <c r="D4596" s="8">
        <f t="shared" si="288"/>
        <v>0</v>
      </c>
      <c r="E4596" s="7" t="s">
        <v>12557</v>
      </c>
      <c r="F4596" s="7">
        <f t="shared" si="289"/>
        <v>1</v>
      </c>
      <c r="G4596" s="7" t="s">
        <v>12558</v>
      </c>
      <c r="H4596" s="7">
        <f t="shared" si="290"/>
        <v>0</v>
      </c>
      <c r="I4596" s="7" cm="1">
        <f t="array" ref="I4596">IFERROR(_xlfn.IFS(M4596="נח",1,M4596="נע ונח",1,M4596="שני שווא נח",2,M4596="שני שוואים בסוף מילה",2,M4596="שני שוואים ברצף",1),"0")</f>
        <v>1</v>
      </c>
      <c r="J4596" s="9">
        <f t="shared" si="291"/>
        <v>2</v>
      </c>
      <c r="K4596" t="s">
        <v>6698</v>
      </c>
      <c r="L4596" t="s">
        <v>6694</v>
      </c>
      <c r="M4596" t="s">
        <v>6705</v>
      </c>
      <c r="Q4596" t="s">
        <v>6694</v>
      </c>
      <c r="S4596" t="s">
        <v>6694</v>
      </c>
      <c r="W4596" t="s">
        <v>6720</v>
      </c>
    </row>
    <row r="4597" spans="1:23" ht="15.6" x14ac:dyDescent="0.4">
      <c r="A4597" s="2" t="s">
        <v>4554</v>
      </c>
      <c r="B4597" s="5" t="s">
        <v>10772</v>
      </c>
      <c r="C4597" s="7" t="s">
        <v>12556</v>
      </c>
      <c r="D4597" s="8">
        <f t="shared" si="288"/>
        <v>0</v>
      </c>
      <c r="E4597" s="7" t="s">
        <v>12557</v>
      </c>
      <c r="F4597" s="7">
        <f t="shared" si="289"/>
        <v>1</v>
      </c>
      <c r="G4597" s="7" t="s">
        <v>12558</v>
      </c>
      <c r="H4597" s="7">
        <f t="shared" si="290"/>
        <v>0</v>
      </c>
      <c r="I4597" s="7" cm="1">
        <f t="array" ref="I4597">IFERROR(_xlfn.IFS(M4597="נח",1,M4597="נע ונח",1,M4597="שני שווא נח",2,M4597="שני שוואים בסוף מילה",2,M4597="שני שוואים ברצף",1),"0")</f>
        <v>1</v>
      </c>
      <c r="J4597" s="9">
        <f t="shared" si="291"/>
        <v>3</v>
      </c>
      <c r="K4597" t="s">
        <v>6698</v>
      </c>
      <c r="L4597" t="s">
        <v>6694</v>
      </c>
      <c r="M4597" t="s">
        <v>6705</v>
      </c>
      <c r="S4597" t="s">
        <v>6694</v>
      </c>
      <c r="T4597" t="s">
        <v>6694</v>
      </c>
      <c r="V4597" t="s">
        <v>6694</v>
      </c>
      <c r="W4597" t="s">
        <v>6720</v>
      </c>
    </row>
    <row r="4598" spans="1:23" ht="15.6" x14ac:dyDescent="0.4">
      <c r="A4598" s="2" t="s">
        <v>1551</v>
      </c>
      <c r="B4598" s="5" t="s">
        <v>10773</v>
      </c>
      <c r="C4598" s="7" t="s">
        <v>12556</v>
      </c>
      <c r="D4598" s="8">
        <f t="shared" si="288"/>
        <v>0</v>
      </c>
      <c r="E4598" s="7" t="s">
        <v>12557</v>
      </c>
      <c r="F4598" s="7">
        <f t="shared" si="289"/>
        <v>1</v>
      </c>
      <c r="G4598" s="7" t="s">
        <v>12558</v>
      </c>
      <c r="H4598" s="7">
        <f t="shared" si="290"/>
        <v>0</v>
      </c>
      <c r="I4598" s="7" cm="1">
        <f t="array" ref="I4598">IFERROR(_xlfn.IFS(M4598="נח",1,M4598="נע ונח",1,M4598="שני שווא נח",2,M4598="שני שוואים בסוף מילה",2,M4598="שני שוואים ברצף",1),"0")</f>
        <v>1</v>
      </c>
      <c r="J4598" s="9">
        <f t="shared" si="291"/>
        <v>5</v>
      </c>
      <c r="K4598" t="s">
        <v>6698</v>
      </c>
      <c r="L4598" t="s">
        <v>6694</v>
      </c>
      <c r="M4598" t="s">
        <v>6705</v>
      </c>
      <c r="Q4598" t="s">
        <v>6694</v>
      </c>
      <c r="R4598" t="s">
        <v>6694</v>
      </c>
      <c r="S4598" t="s">
        <v>6694</v>
      </c>
      <c r="T4598" t="s">
        <v>6694</v>
      </c>
      <c r="V4598" t="s">
        <v>6694</v>
      </c>
      <c r="W4598" t="s">
        <v>6720</v>
      </c>
    </row>
    <row r="4599" spans="1:23" ht="15.6" x14ac:dyDescent="0.4">
      <c r="A4599" s="2" t="s">
        <v>1531</v>
      </c>
      <c r="B4599" s="5" t="s">
        <v>10774</v>
      </c>
      <c r="C4599" s="7" t="s">
        <v>12556</v>
      </c>
      <c r="D4599" s="8">
        <f t="shared" si="288"/>
        <v>0</v>
      </c>
      <c r="E4599" s="7" t="s">
        <v>12557</v>
      </c>
      <c r="F4599" s="7">
        <f t="shared" si="289"/>
        <v>2</v>
      </c>
      <c r="G4599" s="7" t="s">
        <v>12558</v>
      </c>
      <c r="H4599" s="7">
        <f t="shared" si="290"/>
        <v>1</v>
      </c>
      <c r="I4599" s="7" cm="1">
        <f t="array" ref="I4599">IFERROR(_xlfn.IFS(M4599="נח",1,M4599="נע ונח",1,M4599="שני שווא נח",2,M4599="שני שוואים בסוף מילה",2,M4599="שני שוואים ברצף",1),"0")</f>
        <v>1</v>
      </c>
      <c r="J4599" s="9">
        <f t="shared" si="291"/>
        <v>5</v>
      </c>
      <c r="K4599" t="s">
        <v>6698</v>
      </c>
      <c r="L4599" t="s">
        <v>6694</v>
      </c>
      <c r="M4599" t="s">
        <v>6705</v>
      </c>
      <c r="Q4599" t="s">
        <v>6694</v>
      </c>
      <c r="R4599" t="s">
        <v>6694</v>
      </c>
      <c r="S4599" t="s">
        <v>6694</v>
      </c>
      <c r="U4599" t="s">
        <v>6694</v>
      </c>
      <c r="V4599" t="s">
        <v>6694</v>
      </c>
      <c r="W4599" t="s">
        <v>6720</v>
      </c>
    </row>
    <row r="4600" spans="1:23" ht="15.6" x14ac:dyDescent="0.4">
      <c r="A4600" s="2" t="s">
        <v>929</v>
      </c>
      <c r="B4600" s="5" t="s">
        <v>10775</v>
      </c>
      <c r="C4600" s="7" t="s">
        <v>12556</v>
      </c>
      <c r="D4600" s="8">
        <f t="shared" si="288"/>
        <v>0</v>
      </c>
      <c r="E4600" s="7" t="s">
        <v>12557</v>
      </c>
      <c r="F4600" s="7">
        <f t="shared" si="289"/>
        <v>2</v>
      </c>
      <c r="G4600" s="7" t="s">
        <v>12558</v>
      </c>
      <c r="H4600" s="7">
        <f t="shared" si="290"/>
        <v>1</v>
      </c>
      <c r="I4600" s="7" cm="1">
        <f t="array" ref="I4600">IFERROR(_xlfn.IFS(M4600="נח",1,M4600="נע ונח",1,M4600="שני שווא נח",2,M4600="שני שוואים בסוף מילה",2,M4600="שני שוואים ברצף",1),"0")</f>
        <v>1</v>
      </c>
      <c r="J4600" s="9">
        <f t="shared" si="291"/>
        <v>4</v>
      </c>
      <c r="K4600" t="s">
        <v>6698</v>
      </c>
      <c r="L4600" t="s">
        <v>6694</v>
      </c>
      <c r="M4600" t="s">
        <v>6705</v>
      </c>
      <c r="P4600" t="s">
        <v>6694</v>
      </c>
      <c r="S4600" t="s">
        <v>6694</v>
      </c>
      <c r="U4600" t="s">
        <v>6694</v>
      </c>
      <c r="V4600" t="s">
        <v>6694</v>
      </c>
      <c r="W4600" t="s">
        <v>6720</v>
      </c>
    </row>
    <row r="4601" spans="1:23" ht="15.6" x14ac:dyDescent="0.4">
      <c r="A4601" s="2" t="s">
        <v>4567</v>
      </c>
      <c r="B4601" s="5" t="s">
        <v>10776</v>
      </c>
      <c r="C4601" s="7" t="s">
        <v>12556</v>
      </c>
      <c r="D4601" s="8">
        <f t="shared" si="288"/>
        <v>0</v>
      </c>
      <c r="E4601" s="7" t="s">
        <v>12557</v>
      </c>
      <c r="F4601" s="7">
        <f t="shared" si="289"/>
        <v>1</v>
      </c>
      <c r="G4601" s="7" t="s">
        <v>12558</v>
      </c>
      <c r="H4601" s="7">
        <f t="shared" si="290"/>
        <v>0</v>
      </c>
      <c r="I4601" s="7" cm="1">
        <f t="array" ref="I4601">IFERROR(_xlfn.IFS(M4601="נח",1,M4601="נע ונח",1,M4601="שני שווא נח",2,M4601="שני שוואים בסוף מילה",2,M4601="שני שוואים ברצף",1),"0")</f>
        <v>1</v>
      </c>
      <c r="J4601" s="9">
        <f t="shared" si="291"/>
        <v>2</v>
      </c>
      <c r="K4601" t="s">
        <v>6698</v>
      </c>
      <c r="L4601" t="s">
        <v>6694</v>
      </c>
      <c r="M4601" t="s">
        <v>6705</v>
      </c>
      <c r="S4601" t="s">
        <v>6694</v>
      </c>
      <c r="V4601" t="s">
        <v>6694</v>
      </c>
      <c r="W4601" t="s">
        <v>6720</v>
      </c>
    </row>
    <row r="4602" spans="1:23" ht="15.6" x14ac:dyDescent="0.4">
      <c r="A4602" s="2" t="s">
        <v>4671</v>
      </c>
      <c r="B4602" s="5" t="s">
        <v>10777</v>
      </c>
      <c r="C4602" s="7" t="s">
        <v>12556</v>
      </c>
      <c r="D4602" s="8">
        <f t="shared" si="288"/>
        <v>0</v>
      </c>
      <c r="E4602" s="7" t="s">
        <v>12557</v>
      </c>
      <c r="F4602" s="7">
        <f t="shared" si="289"/>
        <v>2</v>
      </c>
      <c r="G4602" s="7" t="s">
        <v>12558</v>
      </c>
      <c r="H4602" s="7">
        <f t="shared" si="290"/>
        <v>0</v>
      </c>
      <c r="I4602" s="7" cm="1">
        <f t="array" ref="I4602">IFERROR(_xlfn.IFS(M4602="נח",1,M4602="נע ונח",1,M4602="שני שווא נח",2,M4602="שני שוואים בסוף מילה",2,M4602="שני שוואים ברצף",1),"0")</f>
        <v>1</v>
      </c>
      <c r="J4602" s="9">
        <f t="shared" si="291"/>
        <v>3</v>
      </c>
      <c r="K4602" t="s">
        <v>6698</v>
      </c>
      <c r="L4602" t="s">
        <v>6694</v>
      </c>
      <c r="M4602" t="s">
        <v>6705</v>
      </c>
      <c r="P4602" t="s">
        <v>6694</v>
      </c>
      <c r="S4602" t="s">
        <v>6694</v>
      </c>
      <c r="W4602" t="s">
        <v>6720</v>
      </c>
    </row>
    <row r="4603" spans="1:23" ht="15.6" x14ac:dyDescent="0.4">
      <c r="A4603" s="2" t="s">
        <v>1219</v>
      </c>
      <c r="B4603" s="5" t="s">
        <v>10778</v>
      </c>
      <c r="C4603" s="7" t="s">
        <v>12556</v>
      </c>
      <c r="D4603" s="8">
        <f t="shared" si="288"/>
        <v>0</v>
      </c>
      <c r="E4603" s="7" t="s">
        <v>12557</v>
      </c>
      <c r="F4603" s="7">
        <f t="shared" si="289"/>
        <v>1</v>
      </c>
      <c r="G4603" s="7" t="s">
        <v>12558</v>
      </c>
      <c r="H4603" s="7">
        <f t="shared" si="290"/>
        <v>0</v>
      </c>
      <c r="I4603" s="7" cm="1">
        <f t="array" ref="I4603">IFERROR(_xlfn.IFS(M4603="נח",1,M4603="נע ונח",1,M4603="שני שווא נח",2,M4603="שני שוואים בסוף מילה",2,M4603="שני שוואים ברצף",1),"0")</f>
        <v>1</v>
      </c>
      <c r="J4603" s="9">
        <f t="shared" si="291"/>
        <v>3</v>
      </c>
      <c r="K4603" t="s">
        <v>6698</v>
      </c>
      <c r="L4603" t="s">
        <v>6694</v>
      </c>
      <c r="M4603" t="s">
        <v>6705</v>
      </c>
      <c r="P4603" t="s">
        <v>6694</v>
      </c>
      <c r="S4603" t="s">
        <v>6694</v>
      </c>
      <c r="W4603" t="s">
        <v>6720</v>
      </c>
    </row>
    <row r="4604" spans="1:23" ht="15.6" x14ac:dyDescent="0.4">
      <c r="A4604" s="2" t="s">
        <v>1517</v>
      </c>
      <c r="B4604" s="5" t="s">
        <v>10778</v>
      </c>
      <c r="C4604" s="7" t="s">
        <v>12556</v>
      </c>
      <c r="D4604" s="8">
        <f t="shared" si="288"/>
        <v>0</v>
      </c>
      <c r="E4604" s="7" t="s">
        <v>12557</v>
      </c>
      <c r="F4604" s="7">
        <f t="shared" si="289"/>
        <v>1</v>
      </c>
      <c r="G4604" s="7" t="s">
        <v>12558</v>
      </c>
      <c r="H4604" s="7">
        <f t="shared" si="290"/>
        <v>0</v>
      </c>
      <c r="I4604" s="7" cm="1">
        <f t="array" ref="I4604">IFERROR(_xlfn.IFS(M4604="נח",1,M4604="נע ונח",1,M4604="שני שווא נח",2,M4604="שני שוואים בסוף מילה",2,M4604="שני שוואים ברצף",1),"0")</f>
        <v>1</v>
      </c>
      <c r="J4604" s="9">
        <f t="shared" si="291"/>
        <v>3</v>
      </c>
      <c r="K4604" t="s">
        <v>6698</v>
      </c>
      <c r="L4604" t="s">
        <v>6694</v>
      </c>
      <c r="M4604" t="s">
        <v>6705</v>
      </c>
      <c r="N4604" t="s">
        <v>6706</v>
      </c>
      <c r="O4604" t="s">
        <v>6694</v>
      </c>
      <c r="S4604" t="s">
        <v>6694</v>
      </c>
      <c r="W4604" t="s">
        <v>6720</v>
      </c>
    </row>
    <row r="4605" spans="1:23" ht="15.6" x14ac:dyDescent="0.4">
      <c r="A4605" s="2" t="s">
        <v>2606</v>
      </c>
      <c r="B4605" s="5" t="s">
        <v>10779</v>
      </c>
      <c r="C4605" s="7" t="s">
        <v>12556</v>
      </c>
      <c r="D4605" s="8">
        <f t="shared" si="288"/>
        <v>0</v>
      </c>
      <c r="E4605" s="7" t="s">
        <v>12557</v>
      </c>
      <c r="F4605" s="7">
        <f t="shared" si="289"/>
        <v>1</v>
      </c>
      <c r="G4605" s="7" t="s">
        <v>12558</v>
      </c>
      <c r="H4605" s="7">
        <f t="shared" si="290"/>
        <v>0</v>
      </c>
      <c r="I4605" s="7" t="str" cm="1">
        <f t="array" ref="I4605">IFERROR(_xlfn.IFS(M4605="נח",1,M4605="נע ונח",1,M4605="שני שווא נח",2,M4605="שני שוואים בסוף מילה",2,M4605="שני שוואים ברצף",1),"0")</f>
        <v>0</v>
      </c>
      <c r="J4605" s="9">
        <f t="shared" si="291"/>
        <v>2</v>
      </c>
      <c r="K4605" t="s">
        <v>6697</v>
      </c>
      <c r="L4605" t="s">
        <v>6695</v>
      </c>
      <c r="S4605" t="s">
        <v>6694</v>
      </c>
      <c r="W4605" t="s">
        <v>6720</v>
      </c>
    </row>
    <row r="4606" spans="1:23" ht="15.6" x14ac:dyDescent="0.4">
      <c r="A4606" s="2" t="s">
        <v>5308</v>
      </c>
      <c r="B4606" s="5" t="s">
        <v>10780</v>
      </c>
      <c r="C4606" s="7" t="s">
        <v>12556</v>
      </c>
      <c r="D4606" s="8">
        <f t="shared" si="288"/>
        <v>0</v>
      </c>
      <c r="E4606" s="7" t="s">
        <v>12557</v>
      </c>
      <c r="F4606" s="7">
        <f t="shared" si="289"/>
        <v>1</v>
      </c>
      <c r="G4606" s="7" t="s">
        <v>12558</v>
      </c>
      <c r="H4606" s="7">
        <f t="shared" si="290"/>
        <v>0</v>
      </c>
      <c r="I4606" s="7" cm="1">
        <f t="array" ref="I4606">IFERROR(_xlfn.IFS(M4606="נח",1,M4606="נע ונח",1,M4606="שני שווא נח",2,M4606="שני שוואים בסוף מילה",2,M4606="שני שוואים ברצף",1),"0")</f>
        <v>1</v>
      </c>
      <c r="J4606" s="9">
        <f t="shared" si="291"/>
        <v>6</v>
      </c>
      <c r="K4606" t="s">
        <v>6697</v>
      </c>
      <c r="L4606" t="s">
        <v>6694</v>
      </c>
      <c r="M4606" t="s">
        <v>6702</v>
      </c>
      <c r="O4606" t="s">
        <v>6694</v>
      </c>
      <c r="R4606" t="s">
        <v>6694</v>
      </c>
      <c r="S4606" t="s">
        <v>6694</v>
      </c>
      <c r="V4606" t="s">
        <v>6694</v>
      </c>
      <c r="W4606" t="s">
        <v>6720</v>
      </c>
    </row>
    <row r="4607" spans="1:23" ht="15.6" x14ac:dyDescent="0.4">
      <c r="A4607" s="2" t="s">
        <v>6173</v>
      </c>
      <c r="B4607" s="5" t="s">
        <v>10781</v>
      </c>
      <c r="C4607" s="7" t="s">
        <v>12556</v>
      </c>
      <c r="D4607" s="8">
        <f t="shared" si="288"/>
        <v>0</v>
      </c>
      <c r="E4607" s="7" t="s">
        <v>12557</v>
      </c>
      <c r="F4607" s="7">
        <f t="shared" si="289"/>
        <v>2</v>
      </c>
      <c r="G4607" s="7" t="s">
        <v>12558</v>
      </c>
      <c r="H4607" s="7">
        <f t="shared" si="290"/>
        <v>0</v>
      </c>
      <c r="I4607" s="7" cm="1">
        <f t="array" ref="I4607">IFERROR(_xlfn.IFS(M4607="נח",1,M4607="נע ונח",1,M4607="שני שווא נח",2,M4607="שני שוואים בסוף מילה",2,M4607="שני שוואים ברצף",1),"0")</f>
        <v>1</v>
      </c>
      <c r="J4607" s="9">
        <f t="shared" si="291"/>
        <v>6</v>
      </c>
      <c r="K4607" t="s">
        <v>6698</v>
      </c>
      <c r="L4607" t="s">
        <v>6694</v>
      </c>
      <c r="M4607" t="s">
        <v>6702</v>
      </c>
      <c r="Q4607" t="s">
        <v>6694</v>
      </c>
      <c r="R4607" t="s">
        <v>6694</v>
      </c>
      <c r="S4607" t="s">
        <v>6694</v>
      </c>
      <c r="V4607" t="s">
        <v>6694</v>
      </c>
      <c r="W4607" t="s">
        <v>6720</v>
      </c>
    </row>
    <row r="4608" spans="1:23" ht="15.6" x14ac:dyDescent="0.4">
      <c r="A4608" s="2" t="s">
        <v>5989</v>
      </c>
      <c r="B4608" s="5" t="s">
        <v>10782</v>
      </c>
      <c r="C4608" s="7" t="s">
        <v>12556</v>
      </c>
      <c r="D4608" s="8">
        <f t="shared" si="288"/>
        <v>0</v>
      </c>
      <c r="E4608" s="7" t="s">
        <v>12557</v>
      </c>
      <c r="F4608" s="7">
        <f t="shared" si="289"/>
        <v>1</v>
      </c>
      <c r="G4608" s="7" t="s">
        <v>12558</v>
      </c>
      <c r="H4608" s="7">
        <f t="shared" si="290"/>
        <v>0</v>
      </c>
      <c r="I4608" s="7" cm="1">
        <f t="array" ref="I4608">IFERROR(_xlfn.IFS(M4608="נח",1,M4608="נע ונח",1,M4608="שני שווא נח",2,M4608="שני שוואים בסוף מילה",2,M4608="שני שוואים ברצף",1),"0")</f>
        <v>1</v>
      </c>
      <c r="J4608" s="9">
        <f t="shared" si="291"/>
        <v>5</v>
      </c>
      <c r="K4608" t="s">
        <v>6697</v>
      </c>
      <c r="L4608" t="s">
        <v>6694</v>
      </c>
      <c r="M4608" t="s">
        <v>6705</v>
      </c>
      <c r="O4608" t="s">
        <v>6694</v>
      </c>
      <c r="R4608" t="s">
        <v>6694</v>
      </c>
      <c r="S4608" t="s">
        <v>6694</v>
      </c>
      <c r="V4608" t="s">
        <v>6694</v>
      </c>
      <c r="W4608" t="s">
        <v>6720</v>
      </c>
    </row>
    <row r="4609" spans="1:23" ht="15.6" x14ac:dyDescent="0.4">
      <c r="A4609" s="2" t="s">
        <v>4799</v>
      </c>
      <c r="B4609" s="5" t="s">
        <v>10783</v>
      </c>
      <c r="C4609" s="7" t="s">
        <v>12556</v>
      </c>
      <c r="D4609" s="8">
        <f t="shared" si="288"/>
        <v>0</v>
      </c>
      <c r="E4609" s="7" t="s">
        <v>12557</v>
      </c>
      <c r="F4609" s="7">
        <f t="shared" si="289"/>
        <v>1</v>
      </c>
      <c r="G4609" s="7" t="s">
        <v>12558</v>
      </c>
      <c r="H4609" s="7">
        <f t="shared" si="290"/>
        <v>0</v>
      </c>
      <c r="I4609" s="7" cm="1">
        <f t="array" ref="I4609">IFERROR(_xlfn.IFS(M4609="נח",1,M4609="נע ונח",1,M4609="שני שווא נח",2,M4609="שני שוואים בסוף מילה",2,M4609="שני שוואים ברצף",1),"0")</f>
        <v>1</v>
      </c>
      <c r="J4609" s="9">
        <f t="shared" si="291"/>
        <v>4</v>
      </c>
      <c r="K4609" t="s">
        <v>6698</v>
      </c>
      <c r="L4609" t="s">
        <v>6694</v>
      </c>
      <c r="M4609" t="s">
        <v>6705</v>
      </c>
      <c r="P4609" t="s">
        <v>6694</v>
      </c>
      <c r="S4609" t="s">
        <v>6694</v>
      </c>
      <c r="W4609" t="s">
        <v>6720</v>
      </c>
    </row>
    <row r="4610" spans="1:23" ht="15.6" x14ac:dyDescent="0.4">
      <c r="A4610" s="2" t="s">
        <v>560</v>
      </c>
      <c r="B4610" s="5" t="s">
        <v>10783</v>
      </c>
      <c r="C4610" s="7" t="s">
        <v>12556</v>
      </c>
      <c r="D4610" s="8">
        <f t="shared" si="288"/>
        <v>0</v>
      </c>
      <c r="E4610" s="7" t="s">
        <v>12557</v>
      </c>
      <c r="F4610" s="7">
        <f t="shared" si="289"/>
        <v>1</v>
      </c>
      <c r="G4610" s="7" t="s">
        <v>12558</v>
      </c>
      <c r="H4610" s="7">
        <f t="shared" si="290"/>
        <v>0</v>
      </c>
      <c r="I4610" s="7" cm="1">
        <f t="array" ref="I4610">IFERROR(_xlfn.IFS(M4610="נח",1,M4610="נע ונח",1,M4610="שני שווא נח",2,M4610="שני שוואים בסוף מילה",2,M4610="שני שוואים ברצף",1),"0")</f>
        <v>1</v>
      </c>
      <c r="J4610" s="9">
        <f t="shared" si="291"/>
        <v>4</v>
      </c>
      <c r="K4610" t="s">
        <v>6698</v>
      </c>
      <c r="L4610" t="s">
        <v>6694</v>
      </c>
      <c r="M4610" t="s">
        <v>6705</v>
      </c>
      <c r="N4610" t="s">
        <v>6706</v>
      </c>
      <c r="O4610" t="s">
        <v>6694</v>
      </c>
      <c r="S4610" t="s">
        <v>6694</v>
      </c>
      <c r="W4610" t="s">
        <v>6720</v>
      </c>
    </row>
    <row r="4611" spans="1:23" ht="15.6" x14ac:dyDescent="0.4">
      <c r="A4611" s="2" t="s">
        <v>3738</v>
      </c>
      <c r="B4611" s="5" t="s">
        <v>10784</v>
      </c>
      <c r="C4611" s="7" t="s">
        <v>12556</v>
      </c>
      <c r="D4611" s="8">
        <f t="shared" ref="D4611:D4674" si="292">(LEN(B4611)-LEN(SUBSTITUTE(B4611,C4611,"")))</f>
        <v>1</v>
      </c>
      <c r="E4611" s="7" t="s">
        <v>12557</v>
      </c>
      <c r="F4611" s="7">
        <f t="shared" ref="F4611:F4674" si="293">(LEN(A4611)-LEN(SUBSTITUTE(A4611,E4611,"")))</f>
        <v>2</v>
      </c>
      <c r="G4611" s="7" t="s">
        <v>12558</v>
      </c>
      <c r="H4611" s="7">
        <f t="shared" ref="H4611:H4674" si="294">(LEN(A4611)-LEN(SUBSTITUTE(A4611,G4611,"")))/2</f>
        <v>0</v>
      </c>
      <c r="I4611" s="7" cm="1">
        <f t="array" ref="I4611">IFERROR(_xlfn.IFS(M4611="נח",1,M4611="נע ונח",1,M4611="שני שווא נח",2,M4611="שני שוואים בסוף מילה",2,M4611="שני שוואים ברצף",1),"0")</f>
        <v>1</v>
      </c>
      <c r="J4611" s="9">
        <f t="shared" ref="J4611:J4674" si="295">LEN(A4611)-(LEN(B4611))-D4611-F4611+H4611-I4611</f>
        <v>4</v>
      </c>
      <c r="K4611" t="s">
        <v>6698</v>
      </c>
      <c r="L4611" t="s">
        <v>6694</v>
      </c>
      <c r="M4611" t="s">
        <v>6702</v>
      </c>
      <c r="S4611" t="s">
        <v>6694</v>
      </c>
      <c r="V4611" t="s">
        <v>6694</v>
      </c>
      <c r="W4611" t="s">
        <v>6720</v>
      </c>
    </row>
    <row r="4612" spans="1:23" ht="15.6" x14ac:dyDescent="0.4">
      <c r="A4612" s="2" t="s">
        <v>5053</v>
      </c>
      <c r="B4612" s="5" t="s">
        <v>10769</v>
      </c>
      <c r="C4612" s="7" t="s">
        <v>12556</v>
      </c>
      <c r="D4612" s="8">
        <f t="shared" si="292"/>
        <v>0</v>
      </c>
      <c r="E4612" s="7" t="s">
        <v>12557</v>
      </c>
      <c r="F4612" s="7">
        <f t="shared" si="293"/>
        <v>1</v>
      </c>
      <c r="G4612" s="7" t="s">
        <v>12558</v>
      </c>
      <c r="H4612" s="7">
        <f t="shared" si="294"/>
        <v>0</v>
      </c>
      <c r="I4612" s="7" t="str" cm="1">
        <f t="array" ref="I4612">IFERROR(_xlfn.IFS(M4612="נח",1,M4612="נע ונח",1,M4612="שני שווא נח",2,M4612="שני שוואים בסוף מילה",2,M4612="שני שוואים ברצף",1),"0")</f>
        <v>0</v>
      </c>
      <c r="J4612" s="9">
        <f t="shared" si="295"/>
        <v>3</v>
      </c>
      <c r="K4612" t="s">
        <v>6697</v>
      </c>
      <c r="L4612" t="s">
        <v>6695</v>
      </c>
      <c r="O4612" t="s">
        <v>6694</v>
      </c>
      <c r="R4612" t="s">
        <v>6694</v>
      </c>
      <c r="S4612" t="s">
        <v>6694</v>
      </c>
      <c r="W4612" t="s">
        <v>6720</v>
      </c>
    </row>
    <row r="4613" spans="1:23" ht="15.6" x14ac:dyDescent="0.4">
      <c r="A4613" s="2" t="s">
        <v>4834</v>
      </c>
      <c r="B4613" s="5" t="s">
        <v>10769</v>
      </c>
      <c r="C4613" s="7" t="s">
        <v>12556</v>
      </c>
      <c r="D4613" s="8">
        <f t="shared" si="292"/>
        <v>0</v>
      </c>
      <c r="E4613" s="7" t="s">
        <v>12557</v>
      </c>
      <c r="F4613" s="7">
        <f t="shared" si="293"/>
        <v>2</v>
      </c>
      <c r="G4613" s="7" t="s">
        <v>12558</v>
      </c>
      <c r="H4613" s="7">
        <f t="shared" si="294"/>
        <v>0</v>
      </c>
      <c r="I4613" s="7" t="str" cm="1">
        <f t="array" ref="I4613">IFERROR(_xlfn.IFS(M4613="נח",1,M4613="נע ונח",1,M4613="שני שווא נח",2,M4613="שני שוואים בסוף מילה",2,M4613="שני שוואים ברצף",1),"0")</f>
        <v>0</v>
      </c>
      <c r="J4613" s="9">
        <f t="shared" si="295"/>
        <v>3</v>
      </c>
      <c r="K4613" t="s">
        <v>6697</v>
      </c>
      <c r="L4613" t="s">
        <v>6695</v>
      </c>
      <c r="O4613" t="s">
        <v>6694</v>
      </c>
      <c r="R4613" t="s">
        <v>6694</v>
      </c>
      <c r="S4613" t="s">
        <v>6694</v>
      </c>
      <c r="W4613" t="s">
        <v>6720</v>
      </c>
    </row>
    <row r="4614" spans="1:23" ht="15.6" x14ac:dyDescent="0.4">
      <c r="A4614" s="2" t="s">
        <v>159</v>
      </c>
      <c r="B4614" s="5" t="s">
        <v>10785</v>
      </c>
      <c r="C4614" s="7" t="s">
        <v>12556</v>
      </c>
      <c r="D4614" s="8">
        <f t="shared" si="292"/>
        <v>0</v>
      </c>
      <c r="E4614" s="7" t="s">
        <v>12557</v>
      </c>
      <c r="F4614" s="7">
        <f t="shared" si="293"/>
        <v>2</v>
      </c>
      <c r="G4614" s="7" t="s">
        <v>12558</v>
      </c>
      <c r="H4614" s="7">
        <f t="shared" si="294"/>
        <v>0</v>
      </c>
      <c r="I4614" s="7" t="str" cm="1">
        <f t="array" ref="I4614">IFERROR(_xlfn.IFS(M4614="נח",1,M4614="נע ונח",1,M4614="שני שווא נח",2,M4614="שני שוואים בסוף מילה",2,M4614="שני שוואים ברצף",1),"0")</f>
        <v>0</v>
      </c>
      <c r="J4614" s="9">
        <f t="shared" si="295"/>
        <v>3</v>
      </c>
      <c r="K4614" t="s">
        <v>6697</v>
      </c>
      <c r="L4614" t="s">
        <v>6695</v>
      </c>
      <c r="R4614" t="s">
        <v>6694</v>
      </c>
      <c r="S4614" t="s">
        <v>6694</v>
      </c>
      <c r="W4614" t="s">
        <v>6720</v>
      </c>
    </row>
    <row r="4615" spans="1:23" ht="15.6" x14ac:dyDescent="0.4">
      <c r="A4615" s="2" t="s">
        <v>415</v>
      </c>
      <c r="B4615" s="5" t="s">
        <v>10786</v>
      </c>
      <c r="C4615" s="7" t="s">
        <v>12556</v>
      </c>
      <c r="D4615" s="8">
        <f t="shared" si="292"/>
        <v>0</v>
      </c>
      <c r="E4615" s="7" t="s">
        <v>12557</v>
      </c>
      <c r="F4615" s="7">
        <f t="shared" si="293"/>
        <v>3</v>
      </c>
      <c r="G4615" s="7" t="s">
        <v>12558</v>
      </c>
      <c r="H4615" s="7">
        <f t="shared" si="294"/>
        <v>1</v>
      </c>
      <c r="I4615" s="7" t="str" cm="1">
        <f t="array" ref="I4615">IFERROR(_xlfn.IFS(M4615="נח",1,M4615="נע ונח",1,M4615="שני שווא נח",2,M4615="שני שוואים בסוף מילה",2,M4615="שני שוואים ברצף",1),"0")</f>
        <v>0</v>
      </c>
      <c r="J4615" s="9">
        <f t="shared" si="295"/>
        <v>3</v>
      </c>
      <c r="K4615" t="s">
        <v>6697</v>
      </c>
      <c r="L4615" t="s">
        <v>6695</v>
      </c>
      <c r="R4615" t="s">
        <v>6694</v>
      </c>
      <c r="S4615" t="s">
        <v>6694</v>
      </c>
      <c r="U4615" t="s">
        <v>6694</v>
      </c>
      <c r="W4615" t="s">
        <v>6720</v>
      </c>
    </row>
    <row r="4616" spans="1:23" ht="15.6" x14ac:dyDescent="0.4">
      <c r="A4616" s="2" t="s">
        <v>2904</v>
      </c>
      <c r="B4616" s="5" t="s">
        <v>10787</v>
      </c>
      <c r="C4616" s="7" t="s">
        <v>12556</v>
      </c>
      <c r="D4616" s="8">
        <f t="shared" si="292"/>
        <v>0</v>
      </c>
      <c r="E4616" s="7" t="s">
        <v>12557</v>
      </c>
      <c r="F4616" s="7">
        <f t="shared" si="293"/>
        <v>1</v>
      </c>
      <c r="G4616" s="7" t="s">
        <v>12558</v>
      </c>
      <c r="H4616" s="7">
        <f t="shared" si="294"/>
        <v>0</v>
      </c>
      <c r="I4616" s="7" cm="1">
        <f t="array" ref="I4616">IFERROR(_xlfn.IFS(M4616="נח",1,M4616="נע ונח",1,M4616="שני שווא נח",2,M4616="שני שוואים בסוף מילה",2,M4616="שני שוואים ברצף",1),"0")</f>
        <v>1</v>
      </c>
      <c r="J4616" s="9">
        <f t="shared" si="295"/>
        <v>3</v>
      </c>
      <c r="K4616" t="s">
        <v>6698</v>
      </c>
      <c r="L4616" t="s">
        <v>6694</v>
      </c>
      <c r="M4616" t="s">
        <v>6705</v>
      </c>
      <c r="N4616" t="s">
        <v>6706</v>
      </c>
      <c r="O4616" t="s">
        <v>6694</v>
      </c>
      <c r="R4616" t="s">
        <v>6694</v>
      </c>
      <c r="S4616" t="s">
        <v>6694</v>
      </c>
      <c r="W4616" t="s">
        <v>6720</v>
      </c>
    </row>
    <row r="4617" spans="1:23" ht="15.6" x14ac:dyDescent="0.4">
      <c r="A4617" s="2" t="s">
        <v>1969</v>
      </c>
      <c r="B4617" s="5" t="s">
        <v>10788</v>
      </c>
      <c r="C4617" s="7" t="s">
        <v>12556</v>
      </c>
      <c r="D4617" s="8">
        <f t="shared" si="292"/>
        <v>0</v>
      </c>
      <c r="E4617" s="7" t="s">
        <v>12557</v>
      </c>
      <c r="F4617" s="7">
        <f t="shared" si="293"/>
        <v>1</v>
      </c>
      <c r="G4617" s="7" t="s">
        <v>12558</v>
      </c>
      <c r="H4617" s="7">
        <f t="shared" si="294"/>
        <v>0</v>
      </c>
      <c r="I4617" s="7" t="str" cm="1">
        <f t="array" ref="I4617">IFERROR(_xlfn.IFS(M4617="נח",1,M4617="נע ונח",1,M4617="שני שווא נח",2,M4617="שני שוואים בסוף מילה",2,M4617="שני שוואים ברצף",1),"0")</f>
        <v>0</v>
      </c>
      <c r="J4617" s="9">
        <f t="shared" si="295"/>
        <v>3</v>
      </c>
      <c r="K4617" t="s">
        <v>6698</v>
      </c>
      <c r="L4617" t="s">
        <v>6695</v>
      </c>
      <c r="P4617" t="s">
        <v>6694</v>
      </c>
      <c r="S4617" t="s">
        <v>6694</v>
      </c>
      <c r="W4617" t="s">
        <v>6720</v>
      </c>
    </row>
    <row r="4618" spans="1:23" ht="15.6" x14ac:dyDescent="0.4">
      <c r="A4618" s="2" t="s">
        <v>1640</v>
      </c>
      <c r="B4618" s="5" t="s">
        <v>10789</v>
      </c>
      <c r="C4618" s="7" t="s">
        <v>12556</v>
      </c>
      <c r="D4618" s="8">
        <f t="shared" si="292"/>
        <v>0</v>
      </c>
      <c r="E4618" s="7" t="s">
        <v>12557</v>
      </c>
      <c r="F4618" s="7">
        <f t="shared" si="293"/>
        <v>1</v>
      </c>
      <c r="G4618" s="7" t="s">
        <v>12558</v>
      </c>
      <c r="H4618" s="7">
        <f t="shared" si="294"/>
        <v>0</v>
      </c>
      <c r="I4618" s="7" cm="1">
        <f t="array" ref="I4618">IFERROR(_xlfn.IFS(M4618="נח",1,M4618="נע ונח",1,M4618="שני שווא נח",2,M4618="שני שוואים בסוף מילה",2,M4618="שני שוואים ברצף",1),"0")</f>
        <v>1</v>
      </c>
      <c r="J4618" s="9">
        <f t="shared" si="295"/>
        <v>4</v>
      </c>
      <c r="K4618" t="s">
        <v>6697</v>
      </c>
      <c r="L4618" t="s">
        <v>6694</v>
      </c>
      <c r="M4618" t="s">
        <v>6705</v>
      </c>
      <c r="O4618" t="s">
        <v>6694</v>
      </c>
      <c r="P4618" t="s">
        <v>6694</v>
      </c>
      <c r="S4618" t="s">
        <v>6694</v>
      </c>
      <c r="W4618" t="s">
        <v>6720</v>
      </c>
    </row>
    <row r="4619" spans="1:23" ht="15.6" x14ac:dyDescent="0.4">
      <c r="A4619" s="2" t="s">
        <v>5870</v>
      </c>
      <c r="B4619" s="5" t="s">
        <v>10790</v>
      </c>
      <c r="C4619" s="7" t="s">
        <v>12556</v>
      </c>
      <c r="D4619" s="8">
        <f t="shared" si="292"/>
        <v>0</v>
      </c>
      <c r="E4619" s="7" t="s">
        <v>12557</v>
      </c>
      <c r="F4619" s="7">
        <f t="shared" si="293"/>
        <v>2</v>
      </c>
      <c r="G4619" s="7" t="s">
        <v>12558</v>
      </c>
      <c r="H4619" s="7">
        <f t="shared" si="294"/>
        <v>0</v>
      </c>
      <c r="I4619" s="7" cm="1">
        <f t="array" ref="I4619">IFERROR(_xlfn.IFS(M4619="נח",1,M4619="נע ונח",1,M4619="שני שווא נח",2,M4619="שני שוואים בסוף מילה",2,M4619="שני שוואים ברצף",1),"0")</f>
        <v>1</v>
      </c>
      <c r="J4619" s="9">
        <f t="shared" si="295"/>
        <v>3</v>
      </c>
      <c r="K4619" t="s">
        <v>6698</v>
      </c>
      <c r="L4619" t="s">
        <v>6694</v>
      </c>
      <c r="M4619" t="s">
        <v>6705</v>
      </c>
      <c r="P4619" t="s">
        <v>6694</v>
      </c>
      <c r="Q4619" t="s">
        <v>6694</v>
      </c>
      <c r="S4619" t="s">
        <v>6694</v>
      </c>
      <c r="W4619" t="s">
        <v>6720</v>
      </c>
    </row>
    <row r="4620" spans="1:23" ht="15.6" x14ac:dyDescent="0.4">
      <c r="A4620" s="2" t="s">
        <v>2837</v>
      </c>
      <c r="B4620" s="5" t="s">
        <v>10791</v>
      </c>
      <c r="C4620" s="7" t="s">
        <v>12556</v>
      </c>
      <c r="D4620" s="8">
        <f t="shared" si="292"/>
        <v>0</v>
      </c>
      <c r="E4620" s="7" t="s">
        <v>12557</v>
      </c>
      <c r="F4620" s="7">
        <f t="shared" si="293"/>
        <v>1</v>
      </c>
      <c r="G4620" s="7" t="s">
        <v>12558</v>
      </c>
      <c r="H4620" s="7">
        <f t="shared" si="294"/>
        <v>0</v>
      </c>
      <c r="I4620" s="7" t="str" cm="1">
        <f t="array" ref="I4620">IFERROR(_xlfn.IFS(M4620="נח",1,M4620="נע ונח",1,M4620="שני שווא נח",2,M4620="שני שוואים בסוף מילה",2,M4620="שני שוואים ברצף",1),"0")</f>
        <v>0</v>
      </c>
      <c r="J4620" s="9">
        <f t="shared" si="295"/>
        <v>4</v>
      </c>
      <c r="K4620" t="s">
        <v>6698</v>
      </c>
      <c r="L4620" t="s">
        <v>6695</v>
      </c>
      <c r="N4620" t="s">
        <v>6706</v>
      </c>
      <c r="O4620" t="s">
        <v>6694</v>
      </c>
      <c r="P4620" t="s">
        <v>6694</v>
      </c>
      <c r="S4620" t="s">
        <v>6694</v>
      </c>
      <c r="W4620" t="s">
        <v>6720</v>
      </c>
    </row>
    <row r="4621" spans="1:23" ht="15.6" x14ac:dyDescent="0.4">
      <c r="A4621" s="2" t="s">
        <v>349</v>
      </c>
      <c r="B4621" s="5" t="s">
        <v>10792</v>
      </c>
      <c r="C4621" s="7" t="s">
        <v>12556</v>
      </c>
      <c r="D4621" s="8">
        <f t="shared" si="292"/>
        <v>0</v>
      </c>
      <c r="E4621" s="7" t="s">
        <v>12557</v>
      </c>
      <c r="F4621" s="7">
        <f t="shared" si="293"/>
        <v>1</v>
      </c>
      <c r="G4621" s="7" t="s">
        <v>12558</v>
      </c>
      <c r="H4621" s="7">
        <f t="shared" si="294"/>
        <v>0</v>
      </c>
      <c r="I4621" s="7" t="str" cm="1">
        <f t="array" ref="I4621">IFERROR(_xlfn.IFS(M4621="נח",1,M4621="נע ונח",1,M4621="שני שווא נח",2,M4621="שני שוואים בסוף מילה",2,M4621="שני שוואים ברצף",1),"0")</f>
        <v>0</v>
      </c>
      <c r="J4621" s="9">
        <f t="shared" si="295"/>
        <v>3</v>
      </c>
      <c r="K4621" t="s">
        <v>6698</v>
      </c>
      <c r="L4621" t="s">
        <v>6695</v>
      </c>
      <c r="O4621" t="s">
        <v>6694</v>
      </c>
      <c r="R4621" t="s">
        <v>6694</v>
      </c>
      <c r="S4621" t="s">
        <v>6694</v>
      </c>
      <c r="W4621" t="s">
        <v>6720</v>
      </c>
    </row>
    <row r="4622" spans="1:23" ht="15.6" x14ac:dyDescent="0.4">
      <c r="A4622" s="2" t="s">
        <v>5765</v>
      </c>
      <c r="B4622" s="5" t="s">
        <v>10793</v>
      </c>
      <c r="C4622" s="7" t="s">
        <v>12556</v>
      </c>
      <c r="D4622" s="8">
        <f t="shared" si="292"/>
        <v>0</v>
      </c>
      <c r="E4622" s="7" t="s">
        <v>12557</v>
      </c>
      <c r="F4622" s="7">
        <f t="shared" si="293"/>
        <v>1</v>
      </c>
      <c r="G4622" s="7" t="s">
        <v>12558</v>
      </c>
      <c r="H4622" s="7">
        <f t="shared" si="294"/>
        <v>0</v>
      </c>
      <c r="I4622" s="7" t="str" cm="1">
        <f t="array" ref="I4622">IFERROR(_xlfn.IFS(M4622="נח",1,M4622="נע ונח",1,M4622="שני שווא נח",2,M4622="שני שוואים בסוף מילה",2,M4622="שני שוואים ברצף",1),"0")</f>
        <v>0</v>
      </c>
      <c r="J4622" s="9">
        <f t="shared" si="295"/>
        <v>3</v>
      </c>
      <c r="K4622" t="s">
        <v>6698</v>
      </c>
      <c r="L4622" t="s">
        <v>6695</v>
      </c>
      <c r="O4622" t="s">
        <v>6694</v>
      </c>
      <c r="P4622" t="s">
        <v>6694</v>
      </c>
      <c r="S4622" t="s">
        <v>6694</v>
      </c>
      <c r="W4622" t="s">
        <v>6720</v>
      </c>
    </row>
    <row r="4623" spans="1:23" ht="15.6" x14ac:dyDescent="0.4">
      <c r="A4623" s="2" t="s">
        <v>1966</v>
      </c>
      <c r="B4623" s="5" t="s">
        <v>10794</v>
      </c>
      <c r="C4623" s="7" t="s">
        <v>12556</v>
      </c>
      <c r="D4623" s="8">
        <f t="shared" si="292"/>
        <v>0</v>
      </c>
      <c r="E4623" s="7" t="s">
        <v>12557</v>
      </c>
      <c r="F4623" s="7">
        <f t="shared" si="293"/>
        <v>1</v>
      </c>
      <c r="G4623" s="7" t="s">
        <v>12558</v>
      </c>
      <c r="H4623" s="7">
        <f t="shared" si="294"/>
        <v>0</v>
      </c>
      <c r="I4623" s="7" t="str" cm="1">
        <f t="array" ref="I4623">IFERROR(_xlfn.IFS(M4623="נח",1,M4623="נע ונח",1,M4623="שני שווא נח",2,M4623="שני שוואים בסוף מילה",2,M4623="שני שוואים ברצף",1),"0")</f>
        <v>0</v>
      </c>
      <c r="J4623" s="9">
        <f t="shared" si="295"/>
        <v>3</v>
      </c>
      <c r="K4623" t="s">
        <v>6698</v>
      </c>
      <c r="L4623" t="s">
        <v>6695</v>
      </c>
      <c r="O4623" t="s">
        <v>6694</v>
      </c>
      <c r="S4623" t="s">
        <v>6694</v>
      </c>
      <c r="V4623" t="s">
        <v>6694</v>
      </c>
      <c r="W4623" t="s">
        <v>6720</v>
      </c>
    </row>
    <row r="4624" spans="1:23" ht="15.6" x14ac:dyDescent="0.4">
      <c r="A4624" s="2" t="s">
        <v>865</v>
      </c>
      <c r="B4624" s="5" t="s">
        <v>10795</v>
      </c>
      <c r="C4624" s="7" t="s">
        <v>12556</v>
      </c>
      <c r="D4624" s="8">
        <f t="shared" si="292"/>
        <v>0</v>
      </c>
      <c r="E4624" s="7" t="s">
        <v>12557</v>
      </c>
      <c r="F4624" s="7">
        <f t="shared" si="293"/>
        <v>1</v>
      </c>
      <c r="G4624" s="7" t="s">
        <v>12558</v>
      </c>
      <c r="H4624" s="7">
        <f t="shared" si="294"/>
        <v>0</v>
      </c>
      <c r="I4624" s="7" t="str" cm="1">
        <f t="array" ref="I4624">IFERROR(_xlfn.IFS(M4624="נח",1,M4624="נע ונח",1,M4624="שני שווא נח",2,M4624="שני שוואים בסוף מילה",2,M4624="שני שוואים ברצף",1),"0")</f>
        <v>0</v>
      </c>
      <c r="J4624" s="9">
        <f t="shared" si="295"/>
        <v>6</v>
      </c>
      <c r="K4624" t="s">
        <v>6698</v>
      </c>
      <c r="L4624" t="s">
        <v>6695</v>
      </c>
      <c r="P4624" t="s">
        <v>6694</v>
      </c>
      <c r="Q4624" t="s">
        <v>6694</v>
      </c>
      <c r="R4624" t="s">
        <v>6694</v>
      </c>
      <c r="S4624" t="s">
        <v>6694</v>
      </c>
      <c r="V4624" t="s">
        <v>6694</v>
      </c>
      <c r="W4624" t="s">
        <v>6720</v>
      </c>
    </row>
    <row r="4625" spans="1:23" ht="15.6" x14ac:dyDescent="0.4">
      <c r="A4625" s="2" t="s">
        <v>4670</v>
      </c>
      <c r="B4625" s="5" t="s">
        <v>10796</v>
      </c>
      <c r="C4625" s="7" t="s">
        <v>12556</v>
      </c>
      <c r="D4625" s="8">
        <f t="shared" si="292"/>
        <v>0</v>
      </c>
      <c r="E4625" s="7" t="s">
        <v>12557</v>
      </c>
      <c r="F4625" s="7">
        <f t="shared" si="293"/>
        <v>1</v>
      </c>
      <c r="G4625" s="7" t="s">
        <v>12558</v>
      </c>
      <c r="H4625" s="7">
        <f t="shared" si="294"/>
        <v>0</v>
      </c>
      <c r="I4625" s="7" t="str" cm="1">
        <f t="array" ref="I4625">IFERROR(_xlfn.IFS(M4625="נח",1,M4625="נע ונח",1,M4625="שני שווא נח",2,M4625="שני שוואים בסוף מילה",2,M4625="שני שוואים ברצף",1),"0")</f>
        <v>0</v>
      </c>
      <c r="J4625" s="9">
        <f t="shared" si="295"/>
        <v>3</v>
      </c>
      <c r="K4625" t="s">
        <v>6697</v>
      </c>
      <c r="L4625" t="s">
        <v>6695</v>
      </c>
      <c r="O4625" t="s">
        <v>6694</v>
      </c>
      <c r="S4625" t="s">
        <v>6694</v>
      </c>
      <c r="V4625" t="s">
        <v>6694</v>
      </c>
      <c r="W4625" t="s">
        <v>6720</v>
      </c>
    </row>
    <row r="4626" spans="1:23" ht="15.6" x14ac:dyDescent="0.4">
      <c r="A4626" s="2" t="s">
        <v>351</v>
      </c>
      <c r="B4626" s="5" t="s">
        <v>10797</v>
      </c>
      <c r="C4626" s="7" t="s">
        <v>12556</v>
      </c>
      <c r="D4626" s="8">
        <f t="shared" si="292"/>
        <v>0</v>
      </c>
      <c r="E4626" s="7" t="s">
        <v>12557</v>
      </c>
      <c r="F4626" s="7">
        <f t="shared" si="293"/>
        <v>0</v>
      </c>
      <c r="G4626" s="7" t="s">
        <v>12558</v>
      </c>
      <c r="H4626" s="7">
        <f t="shared" si="294"/>
        <v>0</v>
      </c>
      <c r="I4626" s="7" t="str" cm="1">
        <f t="array" ref="I4626">IFERROR(_xlfn.IFS(M4626="נח",1,M4626="נע ונח",1,M4626="שני שווא נח",2,M4626="שני שוואים בסוף מילה",2,M4626="שני שוואים ברצף",1),"0")</f>
        <v>0</v>
      </c>
      <c r="J4626" s="9">
        <f t="shared" si="295"/>
        <v>1</v>
      </c>
      <c r="K4626" t="s">
        <v>6698</v>
      </c>
      <c r="L4626" t="s">
        <v>6695</v>
      </c>
      <c r="S4626" t="s">
        <v>6694</v>
      </c>
      <c r="W4626" t="s">
        <v>6720</v>
      </c>
    </row>
    <row r="4627" spans="1:23" ht="15.6" x14ac:dyDescent="0.4">
      <c r="A4627" s="2" t="s">
        <v>5573</v>
      </c>
      <c r="B4627" s="5" t="s">
        <v>10798</v>
      </c>
      <c r="C4627" s="7" t="s">
        <v>12556</v>
      </c>
      <c r="D4627" s="8">
        <f t="shared" si="292"/>
        <v>0</v>
      </c>
      <c r="E4627" s="7" t="s">
        <v>12557</v>
      </c>
      <c r="F4627" s="7">
        <f t="shared" si="293"/>
        <v>0</v>
      </c>
      <c r="G4627" s="7" t="s">
        <v>12558</v>
      </c>
      <c r="H4627" s="7">
        <f t="shared" si="294"/>
        <v>0</v>
      </c>
      <c r="I4627" s="7" cm="1">
        <f t="array" ref="I4627">IFERROR(_xlfn.IFS(M4627="נח",1,M4627="נע ונח",1,M4627="שני שווא נח",2,M4627="שני שוואים בסוף מילה",2,M4627="שני שוואים ברצף",1),"0")</f>
        <v>1</v>
      </c>
      <c r="J4627" s="9">
        <f t="shared" si="295"/>
        <v>2</v>
      </c>
      <c r="K4627" t="s">
        <v>6698</v>
      </c>
      <c r="L4627" t="s">
        <v>6694</v>
      </c>
      <c r="M4627" t="s">
        <v>6705</v>
      </c>
      <c r="P4627" t="s">
        <v>6694</v>
      </c>
      <c r="S4627" t="s">
        <v>6694</v>
      </c>
      <c r="W4627" t="s">
        <v>6720</v>
      </c>
    </row>
    <row r="4628" spans="1:23" ht="15.6" x14ac:dyDescent="0.4">
      <c r="A4628" s="2" t="s">
        <v>3099</v>
      </c>
      <c r="B4628" s="5" t="s">
        <v>10799</v>
      </c>
      <c r="C4628" s="7" t="s">
        <v>12556</v>
      </c>
      <c r="D4628" s="8">
        <f t="shared" si="292"/>
        <v>0</v>
      </c>
      <c r="E4628" s="7" t="s">
        <v>12557</v>
      </c>
      <c r="F4628" s="7">
        <f t="shared" si="293"/>
        <v>0</v>
      </c>
      <c r="G4628" s="7" t="s">
        <v>12558</v>
      </c>
      <c r="H4628" s="7">
        <f t="shared" si="294"/>
        <v>0</v>
      </c>
      <c r="I4628" s="7" cm="1">
        <f t="array" ref="I4628">IFERROR(_xlfn.IFS(M4628="נח",1,M4628="נע ונח",1,M4628="שני שווא נח",2,M4628="שני שוואים בסוף מילה",2,M4628="שני שוואים ברצף",1),"0")</f>
        <v>1</v>
      </c>
      <c r="J4628" s="9">
        <f t="shared" si="295"/>
        <v>2</v>
      </c>
      <c r="K4628" t="s">
        <v>6697</v>
      </c>
      <c r="L4628" t="s">
        <v>6694</v>
      </c>
      <c r="M4628" t="s">
        <v>6705</v>
      </c>
      <c r="O4628" t="s">
        <v>6694</v>
      </c>
      <c r="S4628" t="s">
        <v>6694</v>
      </c>
      <c r="W4628" t="s">
        <v>6720</v>
      </c>
    </row>
    <row r="4629" spans="1:23" ht="15.6" x14ac:dyDescent="0.4">
      <c r="A4629" s="2" t="s">
        <v>3295</v>
      </c>
      <c r="B4629" s="5" t="s">
        <v>10800</v>
      </c>
      <c r="C4629" s="7" t="s">
        <v>12556</v>
      </c>
      <c r="D4629" s="8">
        <f t="shared" si="292"/>
        <v>0</v>
      </c>
      <c r="E4629" s="7" t="s">
        <v>12557</v>
      </c>
      <c r="F4629" s="7">
        <f t="shared" si="293"/>
        <v>0</v>
      </c>
      <c r="G4629" s="7" t="s">
        <v>12558</v>
      </c>
      <c r="H4629" s="7">
        <f t="shared" si="294"/>
        <v>0</v>
      </c>
      <c r="I4629" s="7" cm="1">
        <f t="array" ref="I4629">IFERROR(_xlfn.IFS(M4629="נח",1,M4629="נע ונח",1,M4629="שני שווא נח",2,M4629="שני שוואים בסוף מילה",2,M4629="שני שוואים ברצף",1),"0")</f>
        <v>1</v>
      </c>
      <c r="J4629" s="9">
        <f t="shared" si="295"/>
        <v>4</v>
      </c>
      <c r="K4629" t="s">
        <v>6697</v>
      </c>
      <c r="L4629" t="s">
        <v>6694</v>
      </c>
      <c r="M4629" t="s">
        <v>6705</v>
      </c>
      <c r="O4629" t="s">
        <v>6694</v>
      </c>
      <c r="R4629" t="s">
        <v>6694</v>
      </c>
      <c r="S4629" t="s">
        <v>6694</v>
      </c>
      <c r="V4629" t="s">
        <v>6694</v>
      </c>
      <c r="W4629" t="s">
        <v>6720</v>
      </c>
    </row>
    <row r="4630" spans="1:23" ht="15.6" x14ac:dyDescent="0.4">
      <c r="A4630" s="2" t="s">
        <v>520</v>
      </c>
      <c r="B4630" s="5" t="s">
        <v>10801</v>
      </c>
      <c r="C4630" s="7" t="s">
        <v>12556</v>
      </c>
      <c r="D4630" s="8">
        <f t="shared" si="292"/>
        <v>0</v>
      </c>
      <c r="E4630" s="7" t="s">
        <v>12557</v>
      </c>
      <c r="F4630" s="7">
        <f t="shared" si="293"/>
        <v>2</v>
      </c>
      <c r="G4630" s="7" t="s">
        <v>12558</v>
      </c>
      <c r="H4630" s="7">
        <f t="shared" si="294"/>
        <v>1</v>
      </c>
      <c r="I4630" s="7" cm="1">
        <f t="array" ref="I4630">IFERROR(_xlfn.IFS(M4630="נח",1,M4630="נע ונח",1,M4630="שני שווא נח",2,M4630="שני שוואים בסוף מילה",2,M4630="שני שוואים ברצף",1),"0")</f>
        <v>1</v>
      </c>
      <c r="J4630" s="9">
        <f t="shared" si="295"/>
        <v>3</v>
      </c>
      <c r="K4630" t="s">
        <v>6698</v>
      </c>
      <c r="L4630" t="s">
        <v>6694</v>
      </c>
      <c r="M4630" t="s">
        <v>6705</v>
      </c>
      <c r="N4630" t="s">
        <v>6706</v>
      </c>
      <c r="O4630" t="s">
        <v>6694</v>
      </c>
      <c r="S4630" t="s">
        <v>6694</v>
      </c>
      <c r="U4630" t="s">
        <v>6694</v>
      </c>
      <c r="W4630" t="s">
        <v>6720</v>
      </c>
    </row>
    <row r="4631" spans="1:23" ht="15.6" x14ac:dyDescent="0.4">
      <c r="A4631" s="2" t="s">
        <v>3629</v>
      </c>
      <c r="B4631" s="5" t="s">
        <v>10802</v>
      </c>
      <c r="C4631" s="7" t="s">
        <v>12556</v>
      </c>
      <c r="D4631" s="8">
        <f t="shared" si="292"/>
        <v>0</v>
      </c>
      <c r="E4631" s="7" t="s">
        <v>12557</v>
      </c>
      <c r="F4631" s="7">
        <f t="shared" si="293"/>
        <v>1</v>
      </c>
      <c r="G4631" s="7" t="s">
        <v>12558</v>
      </c>
      <c r="H4631" s="7">
        <f t="shared" si="294"/>
        <v>0</v>
      </c>
      <c r="I4631" s="7" t="str" cm="1">
        <f t="array" ref="I4631">IFERROR(_xlfn.IFS(M4631="נח",1,M4631="נע ונח",1,M4631="שני שווא נח",2,M4631="שני שוואים בסוף מילה",2,M4631="שני שוואים ברצף",1),"0")</f>
        <v>0</v>
      </c>
      <c r="J4631" s="9">
        <f t="shared" si="295"/>
        <v>2</v>
      </c>
      <c r="K4631" t="s">
        <v>6697</v>
      </c>
      <c r="L4631" t="s">
        <v>6695</v>
      </c>
      <c r="S4631" t="s">
        <v>6694</v>
      </c>
      <c r="W4631" t="s">
        <v>6720</v>
      </c>
    </row>
    <row r="4632" spans="1:23" ht="15.6" x14ac:dyDescent="0.4">
      <c r="A4632" s="2" t="s">
        <v>1499</v>
      </c>
      <c r="B4632" s="5" t="s">
        <v>10803</v>
      </c>
      <c r="C4632" s="7" t="s">
        <v>12556</v>
      </c>
      <c r="D4632" s="8">
        <f t="shared" si="292"/>
        <v>0</v>
      </c>
      <c r="E4632" s="7" t="s">
        <v>12557</v>
      </c>
      <c r="F4632" s="7">
        <f t="shared" si="293"/>
        <v>2</v>
      </c>
      <c r="G4632" s="7" t="s">
        <v>12558</v>
      </c>
      <c r="H4632" s="7">
        <f t="shared" si="294"/>
        <v>0</v>
      </c>
      <c r="I4632" s="7" cm="1">
        <f t="array" ref="I4632">IFERROR(_xlfn.IFS(M4632="נח",1,M4632="נע ונח",1,M4632="שני שווא נח",2,M4632="שני שוואים בסוף מילה",2,M4632="שני שוואים ברצף",1),"0")</f>
        <v>1</v>
      </c>
      <c r="J4632" s="9">
        <f t="shared" si="295"/>
        <v>4</v>
      </c>
      <c r="K4632" t="s">
        <v>6698</v>
      </c>
      <c r="L4632" t="s">
        <v>6694</v>
      </c>
      <c r="M4632" t="s">
        <v>6705</v>
      </c>
      <c r="O4632" t="s">
        <v>6694</v>
      </c>
      <c r="S4632" t="s">
        <v>6694</v>
      </c>
      <c r="V4632" t="s">
        <v>6694</v>
      </c>
      <c r="W4632" t="s">
        <v>6720</v>
      </c>
    </row>
    <row r="4633" spans="1:23" ht="15.6" x14ac:dyDescent="0.4">
      <c r="A4633" s="2" t="s">
        <v>1965</v>
      </c>
      <c r="B4633" s="5" t="s">
        <v>10804</v>
      </c>
      <c r="C4633" s="7" t="s">
        <v>12556</v>
      </c>
      <c r="D4633" s="8">
        <f t="shared" si="292"/>
        <v>1</v>
      </c>
      <c r="E4633" s="7" t="s">
        <v>12557</v>
      </c>
      <c r="F4633" s="7">
        <f t="shared" si="293"/>
        <v>1</v>
      </c>
      <c r="G4633" s="7" t="s">
        <v>12558</v>
      </c>
      <c r="H4633" s="7">
        <f t="shared" si="294"/>
        <v>0</v>
      </c>
      <c r="I4633" s="7" cm="1">
        <f t="array" ref="I4633">IFERROR(_xlfn.IFS(M4633="נח",1,M4633="נע ונח",1,M4633="שני שווא נח",2,M4633="שני שוואים בסוף מילה",2,M4633="שני שוואים ברצף",1),"0")</f>
        <v>1</v>
      </c>
      <c r="J4633" s="9">
        <f t="shared" si="295"/>
        <v>3</v>
      </c>
      <c r="K4633" t="s">
        <v>6698</v>
      </c>
      <c r="L4633" t="s">
        <v>6694</v>
      </c>
      <c r="M4633" t="s">
        <v>6705</v>
      </c>
      <c r="P4633" t="s">
        <v>6694</v>
      </c>
      <c r="S4633" t="s">
        <v>6694</v>
      </c>
      <c r="W4633" t="s">
        <v>6720</v>
      </c>
    </row>
    <row r="4634" spans="1:23" ht="15.6" x14ac:dyDescent="0.4">
      <c r="A4634" s="2" t="s">
        <v>6492</v>
      </c>
      <c r="B4634" s="5" t="s">
        <v>10805</v>
      </c>
      <c r="C4634" s="7" t="s">
        <v>12556</v>
      </c>
      <c r="D4634" s="8">
        <f t="shared" si="292"/>
        <v>0</v>
      </c>
      <c r="E4634" s="7" t="s">
        <v>12557</v>
      </c>
      <c r="F4634" s="7">
        <f t="shared" si="293"/>
        <v>2</v>
      </c>
      <c r="G4634" s="7" t="s">
        <v>12558</v>
      </c>
      <c r="H4634" s="7">
        <f t="shared" si="294"/>
        <v>1</v>
      </c>
      <c r="I4634" s="7" t="str" cm="1">
        <f t="array" ref="I4634">IFERROR(_xlfn.IFS(M4634="נח",1,M4634="נע ונח",1,M4634="שני שווא נח",2,M4634="שני שוואים בסוף מילה",2,M4634="שני שוואים ברצף",1),"0")</f>
        <v>0</v>
      </c>
      <c r="J4634" s="9">
        <f t="shared" si="295"/>
        <v>3</v>
      </c>
      <c r="K4634" t="s">
        <v>6697</v>
      </c>
      <c r="L4634" t="s">
        <v>6695</v>
      </c>
      <c r="Q4634" t="s">
        <v>6694</v>
      </c>
      <c r="S4634" t="s">
        <v>6694</v>
      </c>
      <c r="U4634" t="s">
        <v>6694</v>
      </c>
      <c r="W4634" t="s">
        <v>6720</v>
      </c>
    </row>
    <row r="4635" spans="1:23" ht="15.6" x14ac:dyDescent="0.4">
      <c r="A4635" s="2" t="s">
        <v>5140</v>
      </c>
      <c r="B4635" s="5" t="s">
        <v>10806</v>
      </c>
      <c r="C4635" s="7" t="s">
        <v>12556</v>
      </c>
      <c r="D4635" s="8">
        <f t="shared" si="292"/>
        <v>0</v>
      </c>
      <c r="E4635" s="7" t="s">
        <v>12557</v>
      </c>
      <c r="F4635" s="7">
        <f t="shared" si="293"/>
        <v>2</v>
      </c>
      <c r="G4635" s="7" t="s">
        <v>12558</v>
      </c>
      <c r="H4635" s="7">
        <f t="shared" si="294"/>
        <v>0</v>
      </c>
      <c r="I4635" s="7" cm="1">
        <f t="array" ref="I4635">IFERROR(_xlfn.IFS(M4635="נח",1,M4635="נע ונח",1,M4635="שני שווא נח",2,M4635="שני שוואים בסוף מילה",2,M4635="שני שוואים ברצף",1),"0")</f>
        <v>1</v>
      </c>
      <c r="J4635" s="9">
        <f t="shared" si="295"/>
        <v>3</v>
      </c>
      <c r="K4635" t="s">
        <v>6697</v>
      </c>
      <c r="L4635" t="s">
        <v>6694</v>
      </c>
      <c r="M4635" t="s">
        <v>6705</v>
      </c>
      <c r="R4635" t="s">
        <v>6694</v>
      </c>
      <c r="S4635" t="s">
        <v>6694</v>
      </c>
      <c r="V4635" t="s">
        <v>6694</v>
      </c>
      <c r="W4635" t="s">
        <v>6720</v>
      </c>
    </row>
    <row r="4636" spans="1:23" ht="15.6" x14ac:dyDescent="0.4">
      <c r="A4636" s="2" t="s">
        <v>394</v>
      </c>
      <c r="B4636" s="5" t="s">
        <v>10807</v>
      </c>
      <c r="C4636" s="7" t="s">
        <v>12556</v>
      </c>
      <c r="D4636" s="8">
        <f t="shared" si="292"/>
        <v>0</v>
      </c>
      <c r="E4636" s="7" t="s">
        <v>12557</v>
      </c>
      <c r="F4636" s="7">
        <f t="shared" si="293"/>
        <v>1</v>
      </c>
      <c r="G4636" s="7" t="s">
        <v>12558</v>
      </c>
      <c r="H4636" s="7">
        <f t="shared" si="294"/>
        <v>0</v>
      </c>
      <c r="I4636" s="7" t="str" cm="1">
        <f t="array" ref="I4636">IFERROR(_xlfn.IFS(M4636="נח",1,M4636="נע ונח",1,M4636="שני שווא נח",2,M4636="שני שוואים בסוף מילה",2,M4636="שני שוואים ברצף",1),"0")</f>
        <v>0</v>
      </c>
      <c r="J4636" s="9">
        <f t="shared" si="295"/>
        <v>3</v>
      </c>
      <c r="K4636" t="s">
        <v>6698</v>
      </c>
      <c r="L4636" t="s">
        <v>6695</v>
      </c>
      <c r="R4636" t="s">
        <v>6694</v>
      </c>
      <c r="S4636" t="s">
        <v>6694</v>
      </c>
      <c r="W4636" t="s">
        <v>6720</v>
      </c>
    </row>
    <row r="4637" spans="1:23" ht="15.6" x14ac:dyDescent="0.4">
      <c r="A4637" s="2" t="s">
        <v>5288</v>
      </c>
      <c r="B4637" s="5" t="s">
        <v>10808</v>
      </c>
      <c r="C4637" s="7" t="s">
        <v>12556</v>
      </c>
      <c r="D4637" s="8">
        <f t="shared" si="292"/>
        <v>0</v>
      </c>
      <c r="E4637" s="7" t="s">
        <v>12557</v>
      </c>
      <c r="F4637" s="7">
        <f t="shared" si="293"/>
        <v>1</v>
      </c>
      <c r="G4637" s="7" t="s">
        <v>12558</v>
      </c>
      <c r="H4637" s="7">
        <f t="shared" si="294"/>
        <v>0</v>
      </c>
      <c r="I4637" s="7" t="str" cm="1">
        <f t="array" ref="I4637">IFERROR(_xlfn.IFS(M4637="נח",1,M4637="נע ונח",1,M4637="שני שווא נח",2,M4637="שני שוואים בסוף מילה",2,M4637="שני שוואים ברצף",1),"0")</f>
        <v>0</v>
      </c>
      <c r="J4637" s="9">
        <f t="shared" si="295"/>
        <v>4</v>
      </c>
      <c r="K4637" t="s">
        <v>6698</v>
      </c>
      <c r="L4637" t="s">
        <v>6695</v>
      </c>
      <c r="P4637" t="s">
        <v>6694</v>
      </c>
      <c r="S4637" t="s">
        <v>6694</v>
      </c>
      <c r="W4637" t="s">
        <v>6720</v>
      </c>
    </row>
    <row r="4638" spans="1:23" ht="15.6" x14ac:dyDescent="0.4">
      <c r="A4638" s="2" t="s">
        <v>2887</v>
      </c>
      <c r="B4638" s="5" t="s">
        <v>10809</v>
      </c>
      <c r="C4638" s="7" t="s">
        <v>12556</v>
      </c>
      <c r="D4638" s="8">
        <f t="shared" si="292"/>
        <v>0</v>
      </c>
      <c r="E4638" s="7" t="s">
        <v>12557</v>
      </c>
      <c r="F4638" s="7">
        <f t="shared" si="293"/>
        <v>1</v>
      </c>
      <c r="G4638" s="7" t="s">
        <v>12558</v>
      </c>
      <c r="H4638" s="7">
        <f t="shared" si="294"/>
        <v>0</v>
      </c>
      <c r="I4638" s="7" t="str" cm="1">
        <f t="array" ref="I4638">IFERROR(_xlfn.IFS(M4638="נח",1,M4638="נע ונח",1,M4638="שני שווא נח",2,M4638="שני שוואים בסוף מילה",2,M4638="שני שוואים ברצף",1),"0")</f>
        <v>0</v>
      </c>
      <c r="J4638" s="9">
        <f t="shared" si="295"/>
        <v>3</v>
      </c>
      <c r="K4638" t="s">
        <v>6698</v>
      </c>
      <c r="L4638" t="s">
        <v>6695</v>
      </c>
      <c r="P4638" t="s">
        <v>6694</v>
      </c>
      <c r="S4638" t="s">
        <v>6694</v>
      </c>
      <c r="W4638" t="s">
        <v>6720</v>
      </c>
    </row>
    <row r="4639" spans="1:23" ht="15.6" x14ac:dyDescent="0.4">
      <c r="A4639" s="2" t="s">
        <v>1992</v>
      </c>
      <c r="B4639" s="5" t="s">
        <v>10810</v>
      </c>
      <c r="C4639" s="7" t="s">
        <v>12556</v>
      </c>
      <c r="D4639" s="8">
        <f t="shared" si="292"/>
        <v>0</v>
      </c>
      <c r="E4639" s="7" t="s">
        <v>12557</v>
      </c>
      <c r="F4639" s="7">
        <f t="shared" si="293"/>
        <v>2</v>
      </c>
      <c r="G4639" s="7" t="s">
        <v>12558</v>
      </c>
      <c r="H4639" s="7">
        <f t="shared" si="294"/>
        <v>0</v>
      </c>
      <c r="I4639" s="7" t="str" cm="1">
        <f t="array" ref="I4639">IFERROR(_xlfn.IFS(M4639="נח",1,M4639="נע ונח",1,M4639="שני שווא נח",2,M4639="שני שוואים בסוף מילה",2,M4639="שני שוואים ברצף",1),"0")</f>
        <v>0</v>
      </c>
      <c r="J4639" s="9">
        <f t="shared" si="295"/>
        <v>3</v>
      </c>
      <c r="K4639" t="s">
        <v>6697</v>
      </c>
      <c r="L4639" t="s">
        <v>6695</v>
      </c>
      <c r="P4639" t="s">
        <v>6694</v>
      </c>
      <c r="S4639" t="s">
        <v>6694</v>
      </c>
      <c r="V4639" t="s">
        <v>6694</v>
      </c>
      <c r="W4639" t="s">
        <v>6720</v>
      </c>
    </row>
    <row r="4640" spans="1:23" ht="15.6" x14ac:dyDescent="0.4">
      <c r="A4640" s="2" t="s">
        <v>1927</v>
      </c>
      <c r="B4640" s="5" t="s">
        <v>10811</v>
      </c>
      <c r="C4640" s="7" t="s">
        <v>12556</v>
      </c>
      <c r="D4640" s="8">
        <f t="shared" si="292"/>
        <v>0</v>
      </c>
      <c r="E4640" s="7" t="s">
        <v>12557</v>
      </c>
      <c r="F4640" s="7">
        <f t="shared" si="293"/>
        <v>1</v>
      </c>
      <c r="G4640" s="7" t="s">
        <v>12558</v>
      </c>
      <c r="H4640" s="7">
        <f t="shared" si="294"/>
        <v>0</v>
      </c>
      <c r="I4640" s="7" cm="1">
        <f t="array" ref="I4640">IFERROR(_xlfn.IFS(M4640="נח",1,M4640="נע ונח",1,M4640="שני שווא נח",2,M4640="שני שוואים בסוף מילה",2,M4640="שני שוואים ברצף",1),"0")</f>
        <v>1</v>
      </c>
      <c r="J4640" s="9">
        <f t="shared" si="295"/>
        <v>3</v>
      </c>
      <c r="K4640" t="s">
        <v>6697</v>
      </c>
      <c r="L4640" t="s">
        <v>6694</v>
      </c>
      <c r="M4640" t="s">
        <v>6702</v>
      </c>
      <c r="S4640" t="s">
        <v>6694</v>
      </c>
      <c r="W4640" t="s">
        <v>6720</v>
      </c>
    </row>
    <row r="4641" spans="1:23" ht="15.6" x14ac:dyDescent="0.4">
      <c r="A4641" s="2" t="s">
        <v>740</v>
      </c>
      <c r="B4641" s="5" t="s">
        <v>10812</v>
      </c>
      <c r="C4641" s="7" t="s">
        <v>12556</v>
      </c>
      <c r="D4641" s="8">
        <f t="shared" si="292"/>
        <v>0</v>
      </c>
      <c r="E4641" s="7" t="s">
        <v>12557</v>
      </c>
      <c r="F4641" s="7">
        <f t="shared" si="293"/>
        <v>1</v>
      </c>
      <c r="G4641" s="7" t="s">
        <v>12558</v>
      </c>
      <c r="H4641" s="7">
        <f t="shared" si="294"/>
        <v>0</v>
      </c>
      <c r="I4641" s="7" cm="1">
        <f t="array" ref="I4641">IFERROR(_xlfn.IFS(M4641="נח",1,M4641="נע ונח",1,M4641="שני שווא נח",2,M4641="שני שוואים בסוף מילה",2,M4641="שני שוואים ברצף",1),"0")</f>
        <v>1</v>
      </c>
      <c r="J4641" s="9">
        <f t="shared" si="295"/>
        <v>2</v>
      </c>
      <c r="K4641" t="s">
        <v>6698</v>
      </c>
      <c r="L4641" t="s">
        <v>6694</v>
      </c>
      <c r="M4641" t="s">
        <v>6705</v>
      </c>
      <c r="N4641" t="s">
        <v>6706</v>
      </c>
      <c r="O4641" t="s">
        <v>6694</v>
      </c>
      <c r="S4641" t="s">
        <v>6694</v>
      </c>
      <c r="W4641" t="s">
        <v>6720</v>
      </c>
    </row>
    <row r="4642" spans="1:23" ht="15.6" x14ac:dyDescent="0.4">
      <c r="A4642" s="2" t="s">
        <v>3975</v>
      </c>
      <c r="B4642" s="5" t="s">
        <v>10813</v>
      </c>
      <c r="C4642" s="7" t="s">
        <v>12556</v>
      </c>
      <c r="D4642" s="8">
        <f t="shared" si="292"/>
        <v>0</v>
      </c>
      <c r="E4642" s="7" t="s">
        <v>12557</v>
      </c>
      <c r="F4642" s="7">
        <f t="shared" si="293"/>
        <v>2</v>
      </c>
      <c r="G4642" s="7" t="s">
        <v>12558</v>
      </c>
      <c r="H4642" s="7">
        <f t="shared" si="294"/>
        <v>0</v>
      </c>
      <c r="I4642" s="7" cm="1">
        <f t="array" ref="I4642">IFERROR(_xlfn.IFS(M4642="נח",1,M4642="נע ונח",1,M4642="שני שווא נח",2,M4642="שני שוואים בסוף מילה",2,M4642="שני שוואים ברצף",1),"0")</f>
        <v>1</v>
      </c>
      <c r="J4642" s="9">
        <f t="shared" si="295"/>
        <v>3</v>
      </c>
      <c r="K4642" t="s">
        <v>6698</v>
      </c>
      <c r="L4642" t="s">
        <v>6694</v>
      </c>
      <c r="M4642" t="s">
        <v>6705</v>
      </c>
      <c r="P4642" t="s">
        <v>6694</v>
      </c>
      <c r="Q4642" t="s">
        <v>6694</v>
      </c>
      <c r="S4642" t="s">
        <v>6694</v>
      </c>
      <c r="W4642" t="s">
        <v>6720</v>
      </c>
    </row>
    <row r="4643" spans="1:23" ht="15.6" x14ac:dyDescent="0.4">
      <c r="A4643" s="2" t="s">
        <v>4849</v>
      </c>
      <c r="B4643" s="5" t="s">
        <v>10814</v>
      </c>
      <c r="C4643" s="7" t="s">
        <v>12556</v>
      </c>
      <c r="D4643" s="8">
        <f t="shared" si="292"/>
        <v>0</v>
      </c>
      <c r="E4643" s="7" t="s">
        <v>12557</v>
      </c>
      <c r="F4643" s="7">
        <f t="shared" si="293"/>
        <v>1</v>
      </c>
      <c r="G4643" s="7" t="s">
        <v>12558</v>
      </c>
      <c r="H4643" s="7">
        <f t="shared" si="294"/>
        <v>0</v>
      </c>
      <c r="I4643" s="7" t="str" cm="1">
        <f t="array" ref="I4643">IFERROR(_xlfn.IFS(M4643="נח",1,M4643="נע ונח",1,M4643="שני שווא נח",2,M4643="שני שוואים בסוף מילה",2,M4643="שני שוואים ברצף",1),"0")</f>
        <v>0</v>
      </c>
      <c r="J4643" s="9">
        <f t="shared" si="295"/>
        <v>3</v>
      </c>
      <c r="K4643" t="s">
        <v>6698</v>
      </c>
      <c r="L4643" t="s">
        <v>6695</v>
      </c>
      <c r="Q4643" t="s">
        <v>6694</v>
      </c>
      <c r="R4643" t="s">
        <v>6694</v>
      </c>
      <c r="S4643" t="s">
        <v>6694</v>
      </c>
      <c r="W4643" t="s">
        <v>6720</v>
      </c>
    </row>
    <row r="4644" spans="1:23" ht="15.6" x14ac:dyDescent="0.4">
      <c r="A4644" s="2" t="s">
        <v>4652</v>
      </c>
      <c r="B4644" s="5" t="s">
        <v>10812</v>
      </c>
      <c r="C4644" s="7" t="s">
        <v>12556</v>
      </c>
      <c r="D4644" s="8">
        <f t="shared" si="292"/>
        <v>0</v>
      </c>
      <c r="E4644" s="7" t="s">
        <v>12557</v>
      </c>
      <c r="F4644" s="7">
        <f t="shared" si="293"/>
        <v>1</v>
      </c>
      <c r="G4644" s="7" t="s">
        <v>12558</v>
      </c>
      <c r="H4644" s="7">
        <f t="shared" si="294"/>
        <v>0</v>
      </c>
      <c r="I4644" s="7" t="str" cm="1">
        <f t="array" ref="I4644">IFERROR(_xlfn.IFS(M4644="נח",1,M4644="נע ונח",1,M4644="שני שווא נח",2,M4644="שני שוואים בסוף מילה",2,M4644="שני שוואים ברצף",1),"0")</f>
        <v>0</v>
      </c>
      <c r="J4644" s="9">
        <f t="shared" si="295"/>
        <v>3</v>
      </c>
      <c r="K4644" t="s">
        <v>6698</v>
      </c>
      <c r="L4644" t="s">
        <v>6695</v>
      </c>
      <c r="Q4644" t="s">
        <v>6694</v>
      </c>
      <c r="R4644" t="s">
        <v>6694</v>
      </c>
      <c r="S4644" t="s">
        <v>6694</v>
      </c>
      <c r="W4644" t="s">
        <v>6720</v>
      </c>
    </row>
    <row r="4645" spans="1:23" ht="15.6" x14ac:dyDescent="0.4">
      <c r="A4645" s="2" t="s">
        <v>6363</v>
      </c>
      <c r="B4645" s="5" t="s">
        <v>10812</v>
      </c>
      <c r="C4645" s="7" t="s">
        <v>12556</v>
      </c>
      <c r="D4645" s="8">
        <f t="shared" si="292"/>
        <v>0</v>
      </c>
      <c r="E4645" s="7" t="s">
        <v>12557</v>
      </c>
      <c r="F4645" s="7">
        <f t="shared" si="293"/>
        <v>2</v>
      </c>
      <c r="G4645" s="7" t="s">
        <v>12558</v>
      </c>
      <c r="H4645" s="7">
        <f t="shared" si="294"/>
        <v>0</v>
      </c>
      <c r="I4645" s="7" t="str" cm="1">
        <f t="array" ref="I4645">IFERROR(_xlfn.IFS(M4645="נח",1,M4645="נע ונח",1,M4645="שני שווא נח",2,M4645="שני שוואים בסוף מילה",2,M4645="שני שוואים ברצף",1),"0")</f>
        <v>0</v>
      </c>
      <c r="J4645" s="9">
        <f t="shared" si="295"/>
        <v>3</v>
      </c>
      <c r="K4645" t="s">
        <v>6698</v>
      </c>
      <c r="L4645" t="s">
        <v>6695</v>
      </c>
      <c r="P4645" t="s">
        <v>6694</v>
      </c>
      <c r="Q4645" t="s">
        <v>6694</v>
      </c>
      <c r="S4645" t="s">
        <v>6694</v>
      </c>
      <c r="W4645" t="s">
        <v>6720</v>
      </c>
    </row>
    <row r="4646" spans="1:23" ht="15.6" x14ac:dyDescent="0.4">
      <c r="A4646" s="2" t="s">
        <v>3400</v>
      </c>
      <c r="B4646" s="5" t="s">
        <v>10815</v>
      </c>
      <c r="C4646" s="7" t="s">
        <v>12556</v>
      </c>
      <c r="D4646" s="8">
        <f t="shared" si="292"/>
        <v>0</v>
      </c>
      <c r="E4646" s="7" t="s">
        <v>12557</v>
      </c>
      <c r="F4646" s="7">
        <f t="shared" si="293"/>
        <v>1</v>
      </c>
      <c r="G4646" s="7" t="s">
        <v>12558</v>
      </c>
      <c r="H4646" s="7">
        <f t="shared" si="294"/>
        <v>0</v>
      </c>
      <c r="I4646" s="7" t="str" cm="1">
        <f t="array" ref="I4646">IFERROR(_xlfn.IFS(M4646="נח",1,M4646="נע ונח",1,M4646="שני שווא נח",2,M4646="שני שוואים בסוף מילה",2,M4646="שני שוואים ברצף",1),"0")</f>
        <v>0</v>
      </c>
      <c r="J4646" s="9">
        <f t="shared" si="295"/>
        <v>3</v>
      </c>
      <c r="K4646" t="s">
        <v>6698</v>
      </c>
      <c r="L4646" t="s">
        <v>6695</v>
      </c>
      <c r="O4646" t="s">
        <v>6694</v>
      </c>
      <c r="S4646" t="s">
        <v>6694</v>
      </c>
      <c r="W4646" t="s">
        <v>6720</v>
      </c>
    </row>
    <row r="4647" spans="1:23" ht="15.6" x14ac:dyDescent="0.4">
      <c r="A4647" s="2" t="s">
        <v>5741</v>
      </c>
      <c r="B4647" s="5" t="s">
        <v>10816</v>
      </c>
      <c r="C4647" s="7" t="s">
        <v>12556</v>
      </c>
      <c r="D4647" s="8">
        <f t="shared" si="292"/>
        <v>0</v>
      </c>
      <c r="E4647" s="7" t="s">
        <v>12557</v>
      </c>
      <c r="F4647" s="7">
        <f t="shared" si="293"/>
        <v>1</v>
      </c>
      <c r="G4647" s="7" t="s">
        <v>12558</v>
      </c>
      <c r="H4647" s="7">
        <f t="shared" si="294"/>
        <v>0</v>
      </c>
      <c r="I4647" s="7" t="str" cm="1">
        <f t="array" ref="I4647">IFERROR(_xlfn.IFS(M4647="נח",1,M4647="נע ונח",1,M4647="שני שווא נח",2,M4647="שני שוואים בסוף מילה",2,M4647="שני שוואים ברצף",1),"0")</f>
        <v>0</v>
      </c>
      <c r="J4647" s="9">
        <f t="shared" si="295"/>
        <v>3</v>
      </c>
      <c r="K4647" t="s">
        <v>6697</v>
      </c>
      <c r="L4647" t="s">
        <v>6695</v>
      </c>
      <c r="O4647" t="s">
        <v>6694</v>
      </c>
      <c r="P4647" t="s">
        <v>6694</v>
      </c>
      <c r="S4647" t="s">
        <v>6694</v>
      </c>
      <c r="W4647" t="s">
        <v>6720</v>
      </c>
    </row>
    <row r="4648" spans="1:23" ht="15.6" x14ac:dyDescent="0.4">
      <c r="A4648" s="2" t="s">
        <v>6431</v>
      </c>
      <c r="B4648" s="5" t="s">
        <v>10817</v>
      </c>
      <c r="C4648" s="7" t="s">
        <v>12556</v>
      </c>
      <c r="D4648" s="8">
        <f t="shared" si="292"/>
        <v>0</v>
      </c>
      <c r="E4648" s="7" t="s">
        <v>12557</v>
      </c>
      <c r="F4648" s="7">
        <f t="shared" si="293"/>
        <v>1</v>
      </c>
      <c r="G4648" s="7" t="s">
        <v>12558</v>
      </c>
      <c r="H4648" s="7">
        <f t="shared" si="294"/>
        <v>0</v>
      </c>
      <c r="I4648" s="7" t="str" cm="1">
        <f t="array" ref="I4648">IFERROR(_xlfn.IFS(M4648="נח",1,M4648="נע ונח",1,M4648="שני שווא נח",2,M4648="שני שוואים בסוף מילה",2,M4648="שני שוואים ברצף",1),"0")</f>
        <v>0</v>
      </c>
      <c r="J4648" s="9">
        <f t="shared" si="295"/>
        <v>3</v>
      </c>
      <c r="K4648" t="s">
        <v>6698</v>
      </c>
      <c r="L4648" t="s">
        <v>6695</v>
      </c>
      <c r="O4648" t="s">
        <v>6694</v>
      </c>
      <c r="P4648" t="s">
        <v>6694</v>
      </c>
      <c r="S4648" t="s">
        <v>6694</v>
      </c>
      <c r="W4648" t="s">
        <v>6720</v>
      </c>
    </row>
    <row r="4649" spans="1:23" ht="15.6" x14ac:dyDescent="0.4">
      <c r="A4649" s="2" t="s">
        <v>4328</v>
      </c>
      <c r="B4649" s="5" t="s">
        <v>10818</v>
      </c>
      <c r="C4649" s="7" t="s">
        <v>12556</v>
      </c>
      <c r="D4649" s="8">
        <f t="shared" si="292"/>
        <v>0</v>
      </c>
      <c r="E4649" s="7" t="s">
        <v>12557</v>
      </c>
      <c r="F4649" s="7">
        <f t="shared" si="293"/>
        <v>1</v>
      </c>
      <c r="G4649" s="7" t="s">
        <v>12558</v>
      </c>
      <c r="H4649" s="7">
        <f t="shared" si="294"/>
        <v>0</v>
      </c>
      <c r="I4649" s="7" t="str" cm="1">
        <f t="array" ref="I4649">IFERROR(_xlfn.IFS(M4649="נח",1,M4649="נע ונח",1,M4649="שני שווא נח",2,M4649="שני שוואים בסוף מילה",2,M4649="שני שוואים ברצף",1),"0")</f>
        <v>0</v>
      </c>
      <c r="J4649" s="9">
        <f t="shared" si="295"/>
        <v>2</v>
      </c>
      <c r="K4649" t="s">
        <v>6698</v>
      </c>
      <c r="L4649" t="s">
        <v>6695</v>
      </c>
      <c r="S4649" t="s">
        <v>6694</v>
      </c>
      <c r="V4649" t="s">
        <v>6694</v>
      </c>
      <c r="W4649" t="s">
        <v>6720</v>
      </c>
    </row>
    <row r="4650" spans="1:23" ht="15.6" x14ac:dyDescent="0.4">
      <c r="A4650" s="2" t="s">
        <v>4010</v>
      </c>
      <c r="B4650" s="5" t="s">
        <v>10819</v>
      </c>
      <c r="C4650" s="7" t="s">
        <v>12556</v>
      </c>
      <c r="D4650" s="8">
        <f t="shared" si="292"/>
        <v>0</v>
      </c>
      <c r="E4650" s="7" t="s">
        <v>12557</v>
      </c>
      <c r="F4650" s="7">
        <f t="shared" si="293"/>
        <v>0</v>
      </c>
      <c r="G4650" s="7" t="s">
        <v>12558</v>
      </c>
      <c r="H4650" s="7">
        <f t="shared" si="294"/>
        <v>0</v>
      </c>
      <c r="I4650" s="7" cm="1">
        <f t="array" ref="I4650">IFERROR(_xlfn.IFS(M4650="נח",1,M4650="נע ונח",1,M4650="שני שווא נח",2,M4650="שני שוואים בסוף מילה",2,M4650="שני שוואים ברצף",1),"0")</f>
        <v>1</v>
      </c>
      <c r="J4650" s="9">
        <f t="shared" si="295"/>
        <v>2</v>
      </c>
      <c r="K4650" t="s">
        <v>6698</v>
      </c>
      <c r="L4650" t="s">
        <v>6694</v>
      </c>
      <c r="M4650" t="s">
        <v>6705</v>
      </c>
      <c r="N4650" t="s">
        <v>6706</v>
      </c>
      <c r="O4650" t="s">
        <v>6694</v>
      </c>
      <c r="S4650" t="s">
        <v>6694</v>
      </c>
      <c r="W4650" t="s">
        <v>6720</v>
      </c>
    </row>
    <row r="4651" spans="1:23" ht="15.6" x14ac:dyDescent="0.4">
      <c r="A4651" s="2" t="s">
        <v>3786</v>
      </c>
      <c r="B4651" s="5" t="s">
        <v>10820</v>
      </c>
      <c r="C4651" s="7" t="s">
        <v>12556</v>
      </c>
      <c r="D4651" s="8">
        <f t="shared" si="292"/>
        <v>0</v>
      </c>
      <c r="E4651" s="7" t="s">
        <v>12557</v>
      </c>
      <c r="F4651" s="7">
        <f t="shared" si="293"/>
        <v>0</v>
      </c>
      <c r="G4651" s="7" t="s">
        <v>12558</v>
      </c>
      <c r="H4651" s="7">
        <f t="shared" si="294"/>
        <v>0</v>
      </c>
      <c r="I4651" s="7" cm="1">
        <f t="array" ref="I4651">IFERROR(_xlfn.IFS(M4651="נח",1,M4651="נע ונח",1,M4651="שני שווא נח",2,M4651="שני שוואים בסוף מילה",2,M4651="שני שוואים ברצף",1),"0")</f>
        <v>1</v>
      </c>
      <c r="J4651" s="9">
        <f t="shared" si="295"/>
        <v>3</v>
      </c>
      <c r="K4651" t="s">
        <v>6698</v>
      </c>
      <c r="L4651" t="s">
        <v>6694</v>
      </c>
      <c r="M4651" t="s">
        <v>6705</v>
      </c>
      <c r="P4651" t="s">
        <v>6694</v>
      </c>
      <c r="S4651" t="s">
        <v>6694</v>
      </c>
      <c r="V4651" t="s">
        <v>6694</v>
      </c>
      <c r="W4651" t="s">
        <v>6720</v>
      </c>
    </row>
    <row r="4652" spans="1:23" ht="15.6" x14ac:dyDescent="0.4">
      <c r="A4652" s="2" t="s">
        <v>3650</v>
      </c>
      <c r="B4652" s="5" t="s">
        <v>10821</v>
      </c>
      <c r="C4652" s="7" t="s">
        <v>12556</v>
      </c>
      <c r="D4652" s="8">
        <f t="shared" si="292"/>
        <v>0</v>
      </c>
      <c r="E4652" s="7" t="s">
        <v>12557</v>
      </c>
      <c r="F4652" s="7">
        <f t="shared" si="293"/>
        <v>1</v>
      </c>
      <c r="G4652" s="7" t="s">
        <v>12558</v>
      </c>
      <c r="H4652" s="7">
        <f t="shared" si="294"/>
        <v>0</v>
      </c>
      <c r="I4652" s="7" cm="1">
        <f t="array" ref="I4652">IFERROR(_xlfn.IFS(M4652="נח",1,M4652="נע ונח",1,M4652="שני שווא נח",2,M4652="שני שוואים בסוף מילה",2,M4652="שני שוואים ברצף",1),"0")</f>
        <v>1</v>
      </c>
      <c r="J4652" s="9">
        <f t="shared" si="295"/>
        <v>2</v>
      </c>
      <c r="K4652" t="s">
        <v>6698</v>
      </c>
      <c r="L4652" t="s">
        <v>6694</v>
      </c>
      <c r="M4652" t="s">
        <v>6705</v>
      </c>
      <c r="Q4652" t="s">
        <v>6694</v>
      </c>
      <c r="S4652" t="s">
        <v>6694</v>
      </c>
      <c r="W4652" t="s">
        <v>6720</v>
      </c>
    </row>
    <row r="4653" spans="1:23" ht="15.6" x14ac:dyDescent="0.4">
      <c r="A4653" s="2" t="s">
        <v>676</v>
      </c>
      <c r="B4653" s="5" t="s">
        <v>10822</v>
      </c>
      <c r="C4653" s="7" t="s">
        <v>12556</v>
      </c>
      <c r="D4653" s="8">
        <f t="shared" si="292"/>
        <v>0</v>
      </c>
      <c r="E4653" s="7" t="s">
        <v>12557</v>
      </c>
      <c r="F4653" s="7">
        <f t="shared" si="293"/>
        <v>1</v>
      </c>
      <c r="G4653" s="7" t="s">
        <v>12558</v>
      </c>
      <c r="H4653" s="7">
        <f t="shared" si="294"/>
        <v>0</v>
      </c>
      <c r="I4653" s="7" cm="1">
        <f t="array" ref="I4653">IFERROR(_xlfn.IFS(M4653="נח",1,M4653="נע ונח",1,M4653="שני שווא נח",2,M4653="שני שוואים בסוף מילה",2,M4653="שני שוואים ברצף",1),"0")</f>
        <v>1</v>
      </c>
      <c r="J4653" s="9">
        <f t="shared" si="295"/>
        <v>2</v>
      </c>
      <c r="K4653" t="s">
        <v>6697</v>
      </c>
      <c r="L4653" t="s">
        <v>6694</v>
      </c>
      <c r="M4653" t="s">
        <v>6705</v>
      </c>
      <c r="S4653" t="s">
        <v>6694</v>
      </c>
      <c r="W4653" t="s">
        <v>6720</v>
      </c>
    </row>
    <row r="4654" spans="1:23" ht="15.6" x14ac:dyDescent="0.4">
      <c r="A4654" s="2" t="s">
        <v>2139</v>
      </c>
      <c r="B4654" s="5" t="s">
        <v>10823</v>
      </c>
      <c r="C4654" s="7" t="s">
        <v>12556</v>
      </c>
      <c r="D4654" s="8">
        <f t="shared" si="292"/>
        <v>0</v>
      </c>
      <c r="E4654" s="7" t="s">
        <v>12557</v>
      </c>
      <c r="F4654" s="7">
        <f t="shared" si="293"/>
        <v>1</v>
      </c>
      <c r="G4654" s="7" t="s">
        <v>12558</v>
      </c>
      <c r="H4654" s="7">
        <f t="shared" si="294"/>
        <v>0</v>
      </c>
      <c r="I4654" s="7" t="str" cm="1">
        <f t="array" ref="I4654">IFERROR(_xlfn.IFS(M4654="נח",1,M4654="נע ונח",1,M4654="שני שווא נח",2,M4654="שני שוואים בסוף מילה",2,M4654="שני שוואים ברצף",1),"0")</f>
        <v>0</v>
      </c>
      <c r="J4654" s="9">
        <f t="shared" si="295"/>
        <v>2</v>
      </c>
      <c r="K4654" t="s">
        <v>6697</v>
      </c>
      <c r="L4654" t="s">
        <v>6695</v>
      </c>
      <c r="S4654" t="s">
        <v>6694</v>
      </c>
      <c r="W4654" t="s">
        <v>6720</v>
      </c>
    </row>
    <row r="4655" spans="1:23" ht="15.6" x14ac:dyDescent="0.4">
      <c r="A4655" s="2" t="s">
        <v>2068</v>
      </c>
      <c r="B4655" s="5" t="s">
        <v>10824</v>
      </c>
      <c r="C4655" s="7" t="s">
        <v>12556</v>
      </c>
      <c r="D4655" s="8">
        <f t="shared" si="292"/>
        <v>0</v>
      </c>
      <c r="E4655" s="7" t="s">
        <v>12557</v>
      </c>
      <c r="F4655" s="7">
        <f t="shared" si="293"/>
        <v>1</v>
      </c>
      <c r="G4655" s="7" t="s">
        <v>12558</v>
      </c>
      <c r="H4655" s="7">
        <f t="shared" si="294"/>
        <v>0</v>
      </c>
      <c r="I4655" s="7" t="str" cm="1">
        <f t="array" ref="I4655">IFERROR(_xlfn.IFS(M4655="נח",1,M4655="נע ונח",1,M4655="שני שווא נח",2,M4655="שני שוואים בסוף מילה",2,M4655="שני שוואים ברצף",1),"0")</f>
        <v>0</v>
      </c>
      <c r="J4655" s="9">
        <f t="shared" si="295"/>
        <v>2</v>
      </c>
      <c r="K4655" t="s">
        <v>6698</v>
      </c>
      <c r="L4655" t="s">
        <v>6695</v>
      </c>
      <c r="S4655" t="s">
        <v>6694</v>
      </c>
      <c r="W4655" t="s">
        <v>6720</v>
      </c>
    </row>
    <row r="4656" spans="1:23" ht="15.6" x14ac:dyDescent="0.4">
      <c r="A4656" s="2" t="s">
        <v>1506</v>
      </c>
      <c r="B4656" s="5" t="s">
        <v>10825</v>
      </c>
      <c r="C4656" s="7" t="s">
        <v>12556</v>
      </c>
      <c r="D4656" s="8">
        <f t="shared" si="292"/>
        <v>1</v>
      </c>
      <c r="E4656" s="7" t="s">
        <v>12557</v>
      </c>
      <c r="F4656" s="7">
        <f t="shared" si="293"/>
        <v>1</v>
      </c>
      <c r="G4656" s="7" t="s">
        <v>12558</v>
      </c>
      <c r="H4656" s="7">
        <f t="shared" si="294"/>
        <v>0</v>
      </c>
      <c r="I4656" s="7" t="str" cm="1">
        <f t="array" ref="I4656">IFERROR(_xlfn.IFS(M4656="נח",1,M4656="נע ונח",1,M4656="שני שווא נח",2,M4656="שני שוואים בסוף מילה",2,M4656="שני שוואים ברצף",1),"0")</f>
        <v>0</v>
      </c>
      <c r="J4656" s="9">
        <f t="shared" si="295"/>
        <v>3</v>
      </c>
      <c r="K4656" t="s">
        <v>6697</v>
      </c>
      <c r="L4656" t="s">
        <v>6695</v>
      </c>
      <c r="P4656" t="s">
        <v>6694</v>
      </c>
      <c r="R4656" t="s">
        <v>6694</v>
      </c>
      <c r="S4656" t="s">
        <v>6694</v>
      </c>
      <c r="W4656" t="s">
        <v>6720</v>
      </c>
    </row>
    <row r="4657" spans="1:23" ht="15.6" x14ac:dyDescent="0.4">
      <c r="A4657" s="2" t="s">
        <v>2303</v>
      </c>
      <c r="B4657" s="5" t="s">
        <v>10826</v>
      </c>
      <c r="C4657" s="7" t="s">
        <v>12556</v>
      </c>
      <c r="D4657" s="8">
        <f t="shared" si="292"/>
        <v>0</v>
      </c>
      <c r="E4657" s="7" t="s">
        <v>12557</v>
      </c>
      <c r="F4657" s="7">
        <f t="shared" si="293"/>
        <v>1</v>
      </c>
      <c r="G4657" s="7" t="s">
        <v>12558</v>
      </c>
      <c r="H4657" s="7">
        <f t="shared" si="294"/>
        <v>0</v>
      </c>
      <c r="I4657" s="7" t="str" cm="1">
        <f t="array" ref="I4657">IFERROR(_xlfn.IFS(M4657="נח",1,M4657="נע ונח",1,M4657="שני שווא נח",2,M4657="שני שוואים בסוף מילה",2,M4657="שני שוואים ברצף",1),"0")</f>
        <v>0</v>
      </c>
      <c r="J4657" s="9">
        <f t="shared" si="295"/>
        <v>2</v>
      </c>
      <c r="K4657" t="s">
        <v>6698</v>
      </c>
      <c r="L4657" t="s">
        <v>6695</v>
      </c>
      <c r="P4657" t="s">
        <v>6694</v>
      </c>
      <c r="S4657" t="s">
        <v>6694</v>
      </c>
      <c r="W4657" t="s">
        <v>6720</v>
      </c>
    </row>
    <row r="4658" spans="1:23" ht="15.6" x14ac:dyDescent="0.4">
      <c r="A4658" s="2" t="s">
        <v>2315</v>
      </c>
      <c r="B4658" s="5" t="s">
        <v>10827</v>
      </c>
      <c r="C4658" s="7" t="s">
        <v>12556</v>
      </c>
      <c r="D4658" s="8">
        <f t="shared" si="292"/>
        <v>0</v>
      </c>
      <c r="E4658" s="7" t="s">
        <v>12557</v>
      </c>
      <c r="F4658" s="7">
        <f t="shared" si="293"/>
        <v>1</v>
      </c>
      <c r="G4658" s="7" t="s">
        <v>12558</v>
      </c>
      <c r="H4658" s="7">
        <f t="shared" si="294"/>
        <v>0</v>
      </c>
      <c r="I4658" s="7" t="str" cm="1">
        <f t="array" ref="I4658">IFERROR(_xlfn.IFS(M4658="נח",1,M4658="נע ונח",1,M4658="שני שווא נח",2,M4658="שני שוואים בסוף מילה",2,M4658="שני שוואים ברצף",1),"0")</f>
        <v>0</v>
      </c>
      <c r="J4658" s="9">
        <f t="shared" si="295"/>
        <v>3</v>
      </c>
      <c r="K4658" t="s">
        <v>6698</v>
      </c>
      <c r="L4658" t="s">
        <v>6695</v>
      </c>
      <c r="P4658" t="s">
        <v>6694</v>
      </c>
      <c r="S4658" t="s">
        <v>6694</v>
      </c>
      <c r="W4658" t="s">
        <v>6720</v>
      </c>
    </row>
    <row r="4659" spans="1:23" ht="15.6" x14ac:dyDescent="0.4">
      <c r="A4659" s="2" t="s">
        <v>5041</v>
      </c>
      <c r="B4659" s="5" t="s">
        <v>10828</v>
      </c>
      <c r="C4659" s="7" t="s">
        <v>12556</v>
      </c>
      <c r="D4659" s="8">
        <f t="shared" si="292"/>
        <v>0</v>
      </c>
      <c r="E4659" s="7" t="s">
        <v>12557</v>
      </c>
      <c r="F4659" s="7">
        <f t="shared" si="293"/>
        <v>1</v>
      </c>
      <c r="G4659" s="7" t="s">
        <v>12558</v>
      </c>
      <c r="H4659" s="7">
        <f t="shared" si="294"/>
        <v>0</v>
      </c>
      <c r="I4659" s="7" t="str" cm="1">
        <f t="array" ref="I4659">IFERROR(_xlfn.IFS(M4659="נח",1,M4659="נע ונח",1,M4659="שני שווא נח",2,M4659="שני שוואים בסוף מילה",2,M4659="שני שוואים ברצף",1),"0")</f>
        <v>0</v>
      </c>
      <c r="J4659" s="9">
        <f t="shared" si="295"/>
        <v>4</v>
      </c>
      <c r="K4659" t="s">
        <v>6697</v>
      </c>
      <c r="L4659" t="s">
        <v>6695</v>
      </c>
      <c r="O4659" t="s">
        <v>6694</v>
      </c>
      <c r="R4659" t="s">
        <v>6694</v>
      </c>
      <c r="S4659" t="s">
        <v>6694</v>
      </c>
      <c r="W4659" t="s">
        <v>6720</v>
      </c>
    </row>
    <row r="4660" spans="1:23" ht="15.6" x14ac:dyDescent="0.4">
      <c r="A4660" s="2" t="s">
        <v>5837</v>
      </c>
      <c r="B4660" s="5" t="s">
        <v>10829</v>
      </c>
      <c r="C4660" s="7" t="s">
        <v>12556</v>
      </c>
      <c r="D4660" s="8">
        <f t="shared" si="292"/>
        <v>0</v>
      </c>
      <c r="E4660" s="7" t="s">
        <v>12557</v>
      </c>
      <c r="F4660" s="7">
        <f t="shared" si="293"/>
        <v>1</v>
      </c>
      <c r="G4660" s="7" t="s">
        <v>12558</v>
      </c>
      <c r="H4660" s="7">
        <f t="shared" si="294"/>
        <v>0</v>
      </c>
      <c r="I4660" s="7" t="str" cm="1">
        <f t="array" ref="I4660">IFERROR(_xlfn.IFS(M4660="נח",1,M4660="נע ונח",1,M4660="שני שווא נח",2,M4660="שני שוואים בסוף מילה",2,M4660="שני שוואים ברצף",1),"0")</f>
        <v>0</v>
      </c>
      <c r="J4660" s="9">
        <f t="shared" si="295"/>
        <v>3</v>
      </c>
      <c r="K4660" t="s">
        <v>6698</v>
      </c>
      <c r="L4660" t="s">
        <v>6695</v>
      </c>
      <c r="N4660" t="s">
        <v>6706</v>
      </c>
      <c r="O4660" t="s">
        <v>6694</v>
      </c>
      <c r="S4660" t="s">
        <v>6694</v>
      </c>
      <c r="W4660" t="s">
        <v>6720</v>
      </c>
    </row>
    <row r="4661" spans="1:23" ht="15.6" x14ac:dyDescent="0.4">
      <c r="A4661" s="2" t="s">
        <v>4175</v>
      </c>
      <c r="B4661" s="5" t="s">
        <v>10830</v>
      </c>
      <c r="C4661" s="7" t="s">
        <v>12556</v>
      </c>
      <c r="D4661" s="8">
        <f t="shared" si="292"/>
        <v>0</v>
      </c>
      <c r="E4661" s="7" t="s">
        <v>12557</v>
      </c>
      <c r="F4661" s="7">
        <f t="shared" si="293"/>
        <v>1</v>
      </c>
      <c r="G4661" s="7" t="s">
        <v>12558</v>
      </c>
      <c r="H4661" s="7">
        <f t="shared" si="294"/>
        <v>0</v>
      </c>
      <c r="I4661" s="7" t="str" cm="1">
        <f t="array" ref="I4661">IFERROR(_xlfn.IFS(M4661="נח",1,M4661="נע ונח",1,M4661="שני שווא נח",2,M4661="שני שוואים בסוף מילה",2,M4661="שני שוואים ברצף",1),"0")</f>
        <v>0</v>
      </c>
      <c r="J4661" s="9">
        <f t="shared" si="295"/>
        <v>4</v>
      </c>
      <c r="K4661" t="s">
        <v>6698</v>
      </c>
      <c r="L4661" t="s">
        <v>6695</v>
      </c>
      <c r="P4661" t="s">
        <v>6694</v>
      </c>
      <c r="Q4661" t="s">
        <v>6694</v>
      </c>
      <c r="S4661" t="s">
        <v>6694</v>
      </c>
      <c r="V4661" t="s">
        <v>6694</v>
      </c>
      <c r="W4661" t="s">
        <v>6720</v>
      </c>
    </row>
    <row r="4662" spans="1:23" ht="15.6" x14ac:dyDescent="0.4">
      <c r="A4662" s="2" t="s">
        <v>3284</v>
      </c>
      <c r="B4662" s="5" t="s">
        <v>10831</v>
      </c>
      <c r="C4662" s="7" t="s">
        <v>12556</v>
      </c>
      <c r="D4662" s="8">
        <f t="shared" si="292"/>
        <v>0</v>
      </c>
      <c r="E4662" s="7" t="s">
        <v>12557</v>
      </c>
      <c r="F4662" s="7">
        <f t="shared" si="293"/>
        <v>0</v>
      </c>
      <c r="G4662" s="7" t="s">
        <v>12558</v>
      </c>
      <c r="H4662" s="7">
        <f t="shared" si="294"/>
        <v>0</v>
      </c>
      <c r="I4662" s="7" cm="1">
        <f t="array" ref="I4662">IFERROR(_xlfn.IFS(M4662="נח",1,M4662="נע ונח",1,M4662="שני שווא נח",2,M4662="שני שוואים בסוף מילה",2,M4662="שני שוואים ברצף",1),"0")</f>
        <v>1</v>
      </c>
      <c r="J4662" s="9">
        <f t="shared" si="295"/>
        <v>2</v>
      </c>
      <c r="K4662" t="s">
        <v>6698</v>
      </c>
      <c r="L4662" t="s">
        <v>6694</v>
      </c>
      <c r="M4662" t="s">
        <v>6705</v>
      </c>
      <c r="P4662" t="s">
        <v>6694</v>
      </c>
      <c r="S4662" t="s">
        <v>6694</v>
      </c>
      <c r="W4662" t="s">
        <v>6720</v>
      </c>
    </row>
    <row r="4663" spans="1:23" ht="15.6" x14ac:dyDescent="0.4">
      <c r="A4663" s="2" t="s">
        <v>305</v>
      </c>
      <c r="B4663" s="5" t="s">
        <v>10832</v>
      </c>
      <c r="C4663" s="7" t="s">
        <v>12556</v>
      </c>
      <c r="D4663" s="8">
        <f t="shared" si="292"/>
        <v>0</v>
      </c>
      <c r="E4663" s="7" t="s">
        <v>12557</v>
      </c>
      <c r="F4663" s="7">
        <f t="shared" si="293"/>
        <v>0</v>
      </c>
      <c r="G4663" s="7" t="s">
        <v>12558</v>
      </c>
      <c r="H4663" s="7">
        <f t="shared" si="294"/>
        <v>0</v>
      </c>
      <c r="I4663" s="7" cm="1">
        <f t="array" ref="I4663">IFERROR(_xlfn.IFS(M4663="נח",1,M4663="נע ונח",1,M4663="שני שווא נח",2,M4663="שני שוואים בסוף מילה",2,M4663="שני שוואים ברצף",1),"0")</f>
        <v>1</v>
      </c>
      <c r="J4663" s="9">
        <f t="shared" si="295"/>
        <v>4</v>
      </c>
      <c r="K4663" t="s">
        <v>6697</v>
      </c>
      <c r="L4663" t="s">
        <v>6694</v>
      </c>
      <c r="M4663" t="s">
        <v>6705</v>
      </c>
      <c r="O4663" t="s">
        <v>6694</v>
      </c>
      <c r="R4663" t="s">
        <v>6694</v>
      </c>
      <c r="S4663" t="s">
        <v>6694</v>
      </c>
      <c r="V4663" t="s">
        <v>6694</v>
      </c>
      <c r="W4663" t="s">
        <v>6720</v>
      </c>
    </row>
    <row r="4664" spans="1:23" ht="15.6" x14ac:dyDescent="0.4">
      <c r="A4664" s="2" t="s">
        <v>2535</v>
      </c>
      <c r="B4664" s="5" t="s">
        <v>10833</v>
      </c>
      <c r="C4664" s="7" t="s">
        <v>12556</v>
      </c>
      <c r="D4664" s="8">
        <f t="shared" si="292"/>
        <v>0</v>
      </c>
      <c r="E4664" s="7" t="s">
        <v>12557</v>
      </c>
      <c r="F4664" s="7">
        <f t="shared" si="293"/>
        <v>0</v>
      </c>
      <c r="G4664" s="7" t="s">
        <v>12558</v>
      </c>
      <c r="H4664" s="7">
        <f t="shared" si="294"/>
        <v>0</v>
      </c>
      <c r="I4664" s="7" cm="1">
        <f t="array" ref="I4664">IFERROR(_xlfn.IFS(M4664="נח",1,M4664="נע ונח",1,M4664="שני שווא נח",2,M4664="שני שוואים בסוף מילה",2,M4664="שני שוואים ברצף",1),"0")</f>
        <v>1</v>
      </c>
      <c r="J4664" s="9">
        <f t="shared" si="295"/>
        <v>3</v>
      </c>
      <c r="K4664" t="s">
        <v>6698</v>
      </c>
      <c r="L4664" t="s">
        <v>6694</v>
      </c>
      <c r="M4664" t="s">
        <v>6705</v>
      </c>
      <c r="P4664" t="s">
        <v>6694</v>
      </c>
      <c r="Q4664" t="s">
        <v>6694</v>
      </c>
      <c r="S4664" t="s">
        <v>6694</v>
      </c>
      <c r="W4664" t="s">
        <v>6720</v>
      </c>
    </row>
    <row r="4665" spans="1:23" ht="15.6" x14ac:dyDescent="0.4">
      <c r="A4665" s="2" t="s">
        <v>6370</v>
      </c>
      <c r="B4665" s="5" t="s">
        <v>10834</v>
      </c>
      <c r="C4665" s="7" t="s">
        <v>12556</v>
      </c>
      <c r="D4665" s="8">
        <f t="shared" si="292"/>
        <v>0</v>
      </c>
      <c r="E4665" s="7" t="s">
        <v>12557</v>
      </c>
      <c r="F4665" s="7">
        <f t="shared" si="293"/>
        <v>0</v>
      </c>
      <c r="G4665" s="7" t="s">
        <v>12558</v>
      </c>
      <c r="H4665" s="7">
        <f t="shared" si="294"/>
        <v>0</v>
      </c>
      <c r="I4665" s="7" cm="1">
        <f t="array" ref="I4665">IFERROR(_xlfn.IFS(M4665="נח",1,M4665="נע ונח",1,M4665="שני שווא נח",2,M4665="שני שוואים בסוף מילה",2,M4665="שני שוואים ברצף",1),"0")</f>
        <v>1</v>
      </c>
      <c r="J4665" s="9">
        <f t="shared" si="295"/>
        <v>2</v>
      </c>
      <c r="K4665" t="s">
        <v>6698</v>
      </c>
      <c r="L4665" t="s">
        <v>6694</v>
      </c>
      <c r="M4665" t="s">
        <v>6705</v>
      </c>
      <c r="N4665" t="s">
        <v>6706</v>
      </c>
      <c r="O4665" t="s">
        <v>6694</v>
      </c>
      <c r="S4665" t="s">
        <v>6694</v>
      </c>
      <c r="W4665" t="s">
        <v>6720</v>
      </c>
    </row>
    <row r="4666" spans="1:23" ht="15.6" x14ac:dyDescent="0.4">
      <c r="A4666" s="2" t="s">
        <v>1780</v>
      </c>
      <c r="B4666" s="5" t="s">
        <v>10835</v>
      </c>
      <c r="C4666" s="7" t="s">
        <v>12556</v>
      </c>
      <c r="D4666" s="8">
        <f t="shared" si="292"/>
        <v>0</v>
      </c>
      <c r="E4666" s="7" t="s">
        <v>12557</v>
      </c>
      <c r="F4666" s="7">
        <f t="shared" si="293"/>
        <v>0</v>
      </c>
      <c r="G4666" s="7" t="s">
        <v>12558</v>
      </c>
      <c r="H4666" s="7">
        <f t="shared" si="294"/>
        <v>0</v>
      </c>
      <c r="I4666" s="7" cm="1">
        <f t="array" ref="I4666">IFERROR(_xlfn.IFS(M4666="נח",1,M4666="נע ונח",1,M4666="שני שווא נח",2,M4666="שני שוואים בסוף מילה",2,M4666="שני שוואים ברצף",1),"0")</f>
        <v>1</v>
      </c>
      <c r="J4666" s="9">
        <f t="shared" si="295"/>
        <v>3</v>
      </c>
      <c r="K4666" t="s">
        <v>6698</v>
      </c>
      <c r="L4666" t="s">
        <v>6694</v>
      </c>
      <c r="M4666" t="s">
        <v>6705</v>
      </c>
      <c r="P4666" t="s">
        <v>6694</v>
      </c>
      <c r="S4666" t="s">
        <v>6694</v>
      </c>
      <c r="W4666" t="s">
        <v>6720</v>
      </c>
    </row>
    <row r="4667" spans="1:23" ht="15.6" x14ac:dyDescent="0.4">
      <c r="A4667" s="2" t="s">
        <v>1257</v>
      </c>
      <c r="B4667" s="5" t="s">
        <v>10835</v>
      </c>
      <c r="C4667" s="7" t="s">
        <v>12556</v>
      </c>
      <c r="D4667" s="8">
        <f t="shared" si="292"/>
        <v>0</v>
      </c>
      <c r="E4667" s="7" t="s">
        <v>12557</v>
      </c>
      <c r="F4667" s="7">
        <f t="shared" si="293"/>
        <v>0</v>
      </c>
      <c r="G4667" s="7" t="s">
        <v>12558</v>
      </c>
      <c r="H4667" s="7">
        <f t="shared" si="294"/>
        <v>0</v>
      </c>
      <c r="I4667" s="7" cm="1">
        <f t="array" ref="I4667">IFERROR(_xlfn.IFS(M4667="נח",1,M4667="נע ונח",1,M4667="שני שווא נח",2,M4667="שני שוואים בסוף מילה",2,M4667="שני שוואים ברצף",1),"0")</f>
        <v>1</v>
      </c>
      <c r="J4667" s="9">
        <f t="shared" si="295"/>
        <v>3</v>
      </c>
      <c r="K4667" t="s">
        <v>6698</v>
      </c>
      <c r="L4667" t="s">
        <v>6694</v>
      </c>
      <c r="M4667" t="s">
        <v>6705</v>
      </c>
      <c r="N4667" t="s">
        <v>6706</v>
      </c>
      <c r="O4667" t="s">
        <v>6694</v>
      </c>
      <c r="S4667" t="s">
        <v>6694</v>
      </c>
      <c r="W4667" t="s">
        <v>6720</v>
      </c>
    </row>
    <row r="4668" spans="1:23" ht="15.6" x14ac:dyDescent="0.4">
      <c r="A4668" s="2" t="s">
        <v>2323</v>
      </c>
      <c r="B4668" s="5" t="s">
        <v>10836</v>
      </c>
      <c r="C4668" s="7" t="s">
        <v>12556</v>
      </c>
      <c r="D4668" s="8">
        <f t="shared" si="292"/>
        <v>0</v>
      </c>
      <c r="E4668" s="7" t="s">
        <v>12557</v>
      </c>
      <c r="F4668" s="7">
        <f t="shared" si="293"/>
        <v>2</v>
      </c>
      <c r="G4668" s="7" t="s">
        <v>12558</v>
      </c>
      <c r="H4668" s="7">
        <f t="shared" si="294"/>
        <v>0</v>
      </c>
      <c r="I4668" s="7" cm="1">
        <f t="array" ref="I4668">IFERROR(_xlfn.IFS(M4668="נח",1,M4668="נע ונח",1,M4668="שני שווא נח",2,M4668="שני שוואים בסוף מילה",2,M4668="שני שוואים ברצף",1),"0")</f>
        <v>1</v>
      </c>
      <c r="J4668" s="9">
        <f t="shared" si="295"/>
        <v>3</v>
      </c>
      <c r="K4668" t="s">
        <v>6697</v>
      </c>
      <c r="L4668" t="s">
        <v>6694</v>
      </c>
      <c r="M4668" t="s">
        <v>6705</v>
      </c>
      <c r="O4668" t="s">
        <v>6694</v>
      </c>
      <c r="S4668" t="s">
        <v>6694</v>
      </c>
      <c r="W4668" t="s">
        <v>6720</v>
      </c>
    </row>
    <row r="4669" spans="1:23" ht="15.6" x14ac:dyDescent="0.4">
      <c r="A4669" s="2" t="s">
        <v>1299</v>
      </c>
      <c r="B4669" s="5" t="s">
        <v>10837</v>
      </c>
      <c r="C4669" s="7" t="s">
        <v>12556</v>
      </c>
      <c r="D4669" s="8">
        <f t="shared" si="292"/>
        <v>0</v>
      </c>
      <c r="E4669" s="7" t="s">
        <v>12557</v>
      </c>
      <c r="F4669" s="7">
        <f t="shared" si="293"/>
        <v>2</v>
      </c>
      <c r="G4669" s="7" t="s">
        <v>12558</v>
      </c>
      <c r="H4669" s="7">
        <f t="shared" si="294"/>
        <v>0</v>
      </c>
      <c r="I4669" s="7" t="str" cm="1">
        <f t="array" ref="I4669">IFERROR(_xlfn.IFS(M4669="נח",1,M4669="נע ונח",1,M4669="שני שווא נח",2,M4669="שני שוואים בסוף מילה",2,M4669="שני שוואים ברצף",1),"0")</f>
        <v>0</v>
      </c>
      <c r="J4669" s="9">
        <f t="shared" si="295"/>
        <v>3</v>
      </c>
      <c r="K4669" t="s">
        <v>6698</v>
      </c>
      <c r="L4669" t="s">
        <v>6695</v>
      </c>
      <c r="S4669" t="s">
        <v>6694</v>
      </c>
      <c r="V4669" t="s">
        <v>6694</v>
      </c>
      <c r="W4669" t="s">
        <v>6720</v>
      </c>
    </row>
    <row r="4670" spans="1:23" ht="15.6" x14ac:dyDescent="0.4">
      <c r="A4670" s="2" t="s">
        <v>2712</v>
      </c>
      <c r="B4670" s="5" t="s">
        <v>10838</v>
      </c>
      <c r="C4670" s="7" t="s">
        <v>12556</v>
      </c>
      <c r="D4670" s="8">
        <f t="shared" si="292"/>
        <v>0</v>
      </c>
      <c r="E4670" s="7" t="s">
        <v>12557</v>
      </c>
      <c r="F4670" s="7">
        <f t="shared" si="293"/>
        <v>1</v>
      </c>
      <c r="G4670" s="7" t="s">
        <v>12558</v>
      </c>
      <c r="H4670" s="7">
        <f t="shared" si="294"/>
        <v>0</v>
      </c>
      <c r="I4670" s="7" t="str" cm="1">
        <f t="array" ref="I4670">IFERROR(_xlfn.IFS(M4670="נח",1,M4670="נע ונח",1,M4670="שני שווא נח",2,M4670="שני שוואים בסוף מילה",2,M4670="שני שוואים ברצף",1),"0")</f>
        <v>0</v>
      </c>
      <c r="J4670" s="9">
        <f t="shared" si="295"/>
        <v>2</v>
      </c>
      <c r="K4670" t="s">
        <v>6698</v>
      </c>
      <c r="L4670" t="s">
        <v>6695</v>
      </c>
      <c r="P4670" t="s">
        <v>6694</v>
      </c>
      <c r="S4670" t="s">
        <v>6694</v>
      </c>
      <c r="W4670" t="s">
        <v>6720</v>
      </c>
    </row>
    <row r="4671" spans="1:23" ht="15.6" x14ac:dyDescent="0.4">
      <c r="A4671" s="2" t="s">
        <v>1519</v>
      </c>
      <c r="B4671" s="5" t="s">
        <v>10839</v>
      </c>
      <c r="C4671" s="7" t="s">
        <v>12556</v>
      </c>
      <c r="D4671" s="8">
        <f t="shared" si="292"/>
        <v>0</v>
      </c>
      <c r="E4671" s="7" t="s">
        <v>12557</v>
      </c>
      <c r="F4671" s="7">
        <f t="shared" si="293"/>
        <v>1</v>
      </c>
      <c r="G4671" s="7" t="s">
        <v>12558</v>
      </c>
      <c r="H4671" s="7">
        <f t="shared" si="294"/>
        <v>0</v>
      </c>
      <c r="I4671" s="7" t="str" cm="1">
        <f t="array" ref="I4671">IFERROR(_xlfn.IFS(M4671="נח",1,M4671="נע ונח",1,M4671="שני שווא נח",2,M4671="שני שוואים בסוף מילה",2,M4671="שני שוואים ברצף",1),"0")</f>
        <v>0</v>
      </c>
      <c r="J4671" s="9">
        <f t="shared" si="295"/>
        <v>3</v>
      </c>
      <c r="K4671" t="s">
        <v>6698</v>
      </c>
      <c r="L4671" t="s">
        <v>6695</v>
      </c>
      <c r="O4671" t="s">
        <v>6694</v>
      </c>
      <c r="S4671" t="s">
        <v>6694</v>
      </c>
      <c r="V4671" t="s">
        <v>6694</v>
      </c>
      <c r="W4671" t="s">
        <v>6720</v>
      </c>
    </row>
    <row r="4672" spans="1:23" ht="15.6" x14ac:dyDescent="0.4">
      <c r="A4672" s="2" t="s">
        <v>4269</v>
      </c>
      <c r="B4672" s="5" t="s">
        <v>10838</v>
      </c>
      <c r="C4672" s="7" t="s">
        <v>12556</v>
      </c>
      <c r="D4672" s="8">
        <f t="shared" si="292"/>
        <v>0</v>
      </c>
      <c r="E4672" s="7" t="s">
        <v>12557</v>
      </c>
      <c r="F4672" s="7">
        <f t="shared" si="293"/>
        <v>1</v>
      </c>
      <c r="G4672" s="7" t="s">
        <v>12558</v>
      </c>
      <c r="H4672" s="7">
        <f t="shared" si="294"/>
        <v>0</v>
      </c>
      <c r="I4672" s="7" t="str" cm="1">
        <f t="array" ref="I4672">IFERROR(_xlfn.IFS(M4672="נח",1,M4672="נע ונח",1,M4672="שני שווא נח",2,M4672="שני שוואים בסוף מילה",2,M4672="שני שוואים ברצף",1),"0")</f>
        <v>0</v>
      </c>
      <c r="J4672" s="9">
        <f t="shared" si="295"/>
        <v>2</v>
      </c>
      <c r="K4672" t="s">
        <v>6698</v>
      </c>
      <c r="L4672" t="s">
        <v>6695</v>
      </c>
      <c r="N4672" t="s">
        <v>6706</v>
      </c>
      <c r="O4672" t="s">
        <v>6694</v>
      </c>
      <c r="S4672" t="s">
        <v>6694</v>
      </c>
      <c r="W4672" t="s">
        <v>6720</v>
      </c>
    </row>
    <row r="4673" spans="1:23" ht="15.6" x14ac:dyDescent="0.4">
      <c r="A4673" s="2" t="s">
        <v>1801</v>
      </c>
      <c r="B4673" s="5" t="s">
        <v>10840</v>
      </c>
      <c r="C4673" s="7" t="s">
        <v>12556</v>
      </c>
      <c r="D4673" s="8">
        <f t="shared" si="292"/>
        <v>0</v>
      </c>
      <c r="E4673" s="7" t="s">
        <v>12557</v>
      </c>
      <c r="F4673" s="7">
        <f t="shared" si="293"/>
        <v>2</v>
      </c>
      <c r="G4673" s="7" t="s">
        <v>12558</v>
      </c>
      <c r="H4673" s="7">
        <f t="shared" si="294"/>
        <v>1</v>
      </c>
      <c r="I4673" s="7" t="str" cm="1">
        <f t="array" ref="I4673">IFERROR(_xlfn.IFS(M4673="נח",1,M4673="נע ונח",1,M4673="שני שווא נח",2,M4673="שני שוואים בסוף מילה",2,M4673="שני שוואים ברצף",1),"0")</f>
        <v>0</v>
      </c>
      <c r="J4673" s="9">
        <f t="shared" si="295"/>
        <v>4</v>
      </c>
      <c r="K4673" t="s">
        <v>6697</v>
      </c>
      <c r="L4673" t="s">
        <v>6695</v>
      </c>
      <c r="O4673" t="s">
        <v>6694</v>
      </c>
      <c r="Q4673" t="s">
        <v>6694</v>
      </c>
      <c r="S4673" t="s">
        <v>6694</v>
      </c>
      <c r="U4673" t="s">
        <v>6694</v>
      </c>
      <c r="W4673" t="s">
        <v>6720</v>
      </c>
    </row>
    <row r="4674" spans="1:23" ht="15.6" x14ac:dyDescent="0.4">
      <c r="A4674" s="2" t="s">
        <v>5622</v>
      </c>
      <c r="B4674" s="5" t="s">
        <v>10841</v>
      </c>
      <c r="C4674" s="7" t="s">
        <v>12556</v>
      </c>
      <c r="D4674" s="8">
        <f t="shared" si="292"/>
        <v>0</v>
      </c>
      <c r="E4674" s="7" t="s">
        <v>12557</v>
      </c>
      <c r="F4674" s="7">
        <f t="shared" si="293"/>
        <v>1</v>
      </c>
      <c r="G4674" s="7" t="s">
        <v>12558</v>
      </c>
      <c r="H4674" s="7">
        <f t="shared" si="294"/>
        <v>0</v>
      </c>
      <c r="I4674" s="7" t="str" cm="1">
        <f t="array" ref="I4674">IFERROR(_xlfn.IFS(M4674="נח",1,M4674="נע ונח",1,M4674="שני שווא נח",2,M4674="שני שוואים בסוף מילה",2,M4674="שני שוואים ברצף",1),"0")</f>
        <v>0</v>
      </c>
      <c r="J4674" s="9">
        <f t="shared" si="295"/>
        <v>3</v>
      </c>
      <c r="K4674" t="s">
        <v>6697</v>
      </c>
      <c r="L4674" t="s">
        <v>6695</v>
      </c>
      <c r="O4674" t="s">
        <v>6694</v>
      </c>
      <c r="S4674" t="s">
        <v>6694</v>
      </c>
      <c r="W4674" t="s">
        <v>6720</v>
      </c>
    </row>
    <row r="4675" spans="1:23" ht="15.6" x14ac:dyDescent="0.4">
      <c r="A4675" s="2" t="s">
        <v>6153</v>
      </c>
      <c r="B4675" s="5" t="s">
        <v>10842</v>
      </c>
      <c r="C4675" s="7" t="s">
        <v>12556</v>
      </c>
      <c r="D4675" s="8">
        <f t="shared" ref="D4675:D4738" si="296">(LEN(B4675)-LEN(SUBSTITUTE(B4675,C4675,"")))</f>
        <v>0</v>
      </c>
      <c r="E4675" s="7" t="s">
        <v>12557</v>
      </c>
      <c r="F4675" s="7">
        <f t="shared" ref="F4675:F4738" si="297">(LEN(A4675)-LEN(SUBSTITUTE(A4675,E4675,"")))</f>
        <v>1</v>
      </c>
      <c r="G4675" s="7" t="s">
        <v>12558</v>
      </c>
      <c r="H4675" s="7">
        <f t="shared" ref="H4675:H4738" si="298">(LEN(A4675)-LEN(SUBSTITUTE(A4675,G4675,"")))/2</f>
        <v>0</v>
      </c>
      <c r="I4675" s="7" t="str" cm="1">
        <f t="array" ref="I4675">IFERROR(_xlfn.IFS(M4675="נח",1,M4675="נע ונח",1,M4675="שני שווא נח",2,M4675="שני שוואים בסוף מילה",2,M4675="שני שוואים ברצף",1),"0")</f>
        <v>0</v>
      </c>
      <c r="J4675" s="9">
        <f t="shared" ref="J4675:J4738" si="299">LEN(A4675)-(LEN(B4675))-D4675-F4675+H4675-I4675</f>
        <v>3</v>
      </c>
      <c r="K4675" t="s">
        <v>6698</v>
      </c>
      <c r="L4675" t="s">
        <v>6695</v>
      </c>
      <c r="N4675" t="s">
        <v>6706</v>
      </c>
      <c r="O4675" t="s">
        <v>6694</v>
      </c>
      <c r="S4675" t="s">
        <v>6694</v>
      </c>
      <c r="W4675" t="s">
        <v>6720</v>
      </c>
    </row>
    <row r="4676" spans="1:23" ht="15.6" x14ac:dyDescent="0.4">
      <c r="A4676" s="2" t="s">
        <v>5009</v>
      </c>
      <c r="B4676" s="5" t="s">
        <v>10843</v>
      </c>
      <c r="C4676" s="7" t="s">
        <v>12556</v>
      </c>
      <c r="D4676" s="8">
        <f t="shared" si="296"/>
        <v>0</v>
      </c>
      <c r="E4676" s="7" t="s">
        <v>12557</v>
      </c>
      <c r="F4676" s="7">
        <f t="shared" si="297"/>
        <v>1</v>
      </c>
      <c r="G4676" s="7" t="s">
        <v>12558</v>
      </c>
      <c r="H4676" s="7">
        <f t="shared" si="298"/>
        <v>0</v>
      </c>
      <c r="I4676" s="7" t="str" cm="1">
        <f t="array" ref="I4676">IFERROR(_xlfn.IFS(M4676="נח",1,M4676="נע ונח",1,M4676="שני שווא נח",2,M4676="שני שוואים בסוף מילה",2,M4676="שני שוואים ברצף",1),"0")</f>
        <v>0</v>
      </c>
      <c r="J4676" s="9">
        <f t="shared" si="299"/>
        <v>2</v>
      </c>
      <c r="K4676" t="s">
        <v>6698</v>
      </c>
      <c r="L4676" t="s">
        <v>6695</v>
      </c>
      <c r="S4676" t="s">
        <v>6694</v>
      </c>
      <c r="V4676" t="s">
        <v>6694</v>
      </c>
      <c r="W4676" t="s">
        <v>6720</v>
      </c>
    </row>
    <row r="4677" spans="1:23" ht="15.6" x14ac:dyDescent="0.4">
      <c r="A4677" s="2" t="s">
        <v>5422</v>
      </c>
      <c r="B4677" s="5" t="s">
        <v>10844</v>
      </c>
      <c r="C4677" s="7" t="s">
        <v>12556</v>
      </c>
      <c r="D4677" s="8">
        <f t="shared" si="296"/>
        <v>1</v>
      </c>
      <c r="E4677" s="7" t="s">
        <v>12557</v>
      </c>
      <c r="F4677" s="7">
        <f t="shared" si="297"/>
        <v>1</v>
      </c>
      <c r="G4677" s="7" t="s">
        <v>12558</v>
      </c>
      <c r="H4677" s="7">
        <f t="shared" si="298"/>
        <v>0</v>
      </c>
      <c r="I4677" s="7" cm="1">
        <f t="array" ref="I4677">IFERROR(_xlfn.IFS(M4677="נח",1,M4677="נע ונח",1,M4677="שני שווא נח",2,M4677="שני שוואים בסוף מילה",2,M4677="שני שוואים ברצף",1),"0")</f>
        <v>1</v>
      </c>
      <c r="J4677" s="9">
        <f t="shared" si="299"/>
        <v>3</v>
      </c>
      <c r="K4677" t="s">
        <v>6698</v>
      </c>
      <c r="L4677" t="s">
        <v>6694</v>
      </c>
      <c r="M4677" t="s">
        <v>6702</v>
      </c>
      <c r="Q4677" t="s">
        <v>6694</v>
      </c>
      <c r="S4677" t="s">
        <v>6694</v>
      </c>
      <c r="W4677" t="s">
        <v>6720</v>
      </c>
    </row>
    <row r="4678" spans="1:23" ht="15.6" x14ac:dyDescent="0.4">
      <c r="A4678" s="2" t="s">
        <v>5650</v>
      </c>
      <c r="B4678" s="5" t="s">
        <v>10845</v>
      </c>
      <c r="C4678" s="7" t="s">
        <v>12556</v>
      </c>
      <c r="D4678" s="8">
        <f t="shared" si="296"/>
        <v>1</v>
      </c>
      <c r="E4678" s="7" t="s">
        <v>12557</v>
      </c>
      <c r="F4678" s="7">
        <f t="shared" si="297"/>
        <v>1</v>
      </c>
      <c r="G4678" s="7" t="s">
        <v>12558</v>
      </c>
      <c r="H4678" s="7">
        <f t="shared" si="298"/>
        <v>0</v>
      </c>
      <c r="I4678" s="7" cm="1">
        <f t="array" ref="I4678">IFERROR(_xlfn.IFS(M4678="נח",1,M4678="נע ונח",1,M4678="שני שווא נח",2,M4678="שני שוואים בסוף מילה",2,M4678="שני שוואים ברצף",1),"0")</f>
        <v>1</v>
      </c>
      <c r="J4678" s="9">
        <f t="shared" si="299"/>
        <v>4</v>
      </c>
      <c r="K4678" t="s">
        <v>6697</v>
      </c>
      <c r="L4678" t="s">
        <v>6694</v>
      </c>
      <c r="M4678" t="s">
        <v>6705</v>
      </c>
      <c r="O4678" t="s">
        <v>6694</v>
      </c>
      <c r="R4678" t="s">
        <v>6694</v>
      </c>
      <c r="S4678" t="s">
        <v>6694</v>
      </c>
      <c r="W4678" t="s">
        <v>6720</v>
      </c>
    </row>
    <row r="4679" spans="1:23" ht="15.6" x14ac:dyDescent="0.4">
      <c r="A4679" s="2" t="s">
        <v>1251</v>
      </c>
      <c r="B4679" s="5" t="s">
        <v>10846</v>
      </c>
      <c r="C4679" s="7" t="s">
        <v>12556</v>
      </c>
      <c r="D4679" s="8">
        <f t="shared" si="296"/>
        <v>0</v>
      </c>
      <c r="E4679" s="7" t="s">
        <v>12557</v>
      </c>
      <c r="F4679" s="7">
        <f t="shared" si="297"/>
        <v>0</v>
      </c>
      <c r="G4679" s="7" t="s">
        <v>12558</v>
      </c>
      <c r="H4679" s="7">
        <f t="shared" si="298"/>
        <v>0</v>
      </c>
      <c r="I4679" s="7" cm="1">
        <f t="array" ref="I4679">IFERROR(_xlfn.IFS(M4679="נח",1,M4679="נע ונח",1,M4679="שני שווא נח",2,M4679="שני שוואים בסוף מילה",2,M4679="שני שוואים ברצף",1),"0")</f>
        <v>1</v>
      </c>
      <c r="J4679" s="9">
        <f t="shared" si="299"/>
        <v>2</v>
      </c>
      <c r="K4679" t="s">
        <v>6697</v>
      </c>
      <c r="L4679" t="s">
        <v>6694</v>
      </c>
      <c r="M4679" t="s">
        <v>6705</v>
      </c>
      <c r="Q4679" t="s">
        <v>6694</v>
      </c>
      <c r="S4679" t="s">
        <v>6694</v>
      </c>
      <c r="W4679" t="s">
        <v>6720</v>
      </c>
    </row>
    <row r="4680" spans="1:23" ht="15.6" x14ac:dyDescent="0.4">
      <c r="A4680" s="2" t="s">
        <v>4039</v>
      </c>
      <c r="B4680" s="5" t="s">
        <v>10847</v>
      </c>
      <c r="C4680" s="7" t="s">
        <v>12556</v>
      </c>
      <c r="D4680" s="8">
        <f t="shared" si="296"/>
        <v>0</v>
      </c>
      <c r="E4680" s="7" t="s">
        <v>12557</v>
      </c>
      <c r="F4680" s="7">
        <f t="shared" si="297"/>
        <v>1</v>
      </c>
      <c r="G4680" s="7" t="s">
        <v>12558</v>
      </c>
      <c r="H4680" s="7">
        <f t="shared" si="298"/>
        <v>0</v>
      </c>
      <c r="I4680" s="7" t="str" cm="1">
        <f t="array" ref="I4680">IFERROR(_xlfn.IFS(M4680="נח",1,M4680="נע ונח",1,M4680="שני שווא נח",2,M4680="שני שוואים בסוף מילה",2,M4680="שני שוואים ברצף",1),"0")</f>
        <v>0</v>
      </c>
      <c r="J4680" s="9">
        <f t="shared" si="299"/>
        <v>3</v>
      </c>
      <c r="K4680" t="s">
        <v>6698</v>
      </c>
      <c r="L4680" t="s">
        <v>6695</v>
      </c>
      <c r="N4680" t="s">
        <v>6706</v>
      </c>
      <c r="O4680" t="s">
        <v>6694</v>
      </c>
      <c r="P4680" t="s">
        <v>6694</v>
      </c>
      <c r="S4680" t="s">
        <v>6694</v>
      </c>
      <c r="W4680" t="s">
        <v>6720</v>
      </c>
    </row>
    <row r="4681" spans="1:23" ht="15.6" x14ac:dyDescent="0.4">
      <c r="A4681" s="2" t="s">
        <v>4736</v>
      </c>
      <c r="B4681" s="5" t="s">
        <v>10848</v>
      </c>
      <c r="C4681" s="7" t="s">
        <v>12556</v>
      </c>
      <c r="D4681" s="8">
        <f t="shared" si="296"/>
        <v>0</v>
      </c>
      <c r="E4681" s="7" t="s">
        <v>12557</v>
      </c>
      <c r="F4681" s="7">
        <f t="shared" si="297"/>
        <v>1</v>
      </c>
      <c r="G4681" s="7" t="s">
        <v>12558</v>
      </c>
      <c r="H4681" s="7">
        <f t="shared" si="298"/>
        <v>0</v>
      </c>
      <c r="I4681" s="7" t="str" cm="1">
        <f t="array" ref="I4681">IFERROR(_xlfn.IFS(M4681="נח",1,M4681="נע ונח",1,M4681="שני שווא נח",2,M4681="שני שוואים בסוף מילה",2,M4681="שני שוואים ברצף",1),"0")</f>
        <v>0</v>
      </c>
      <c r="J4681" s="9">
        <f t="shared" si="299"/>
        <v>3</v>
      </c>
      <c r="K4681" t="s">
        <v>6698</v>
      </c>
      <c r="L4681" t="s">
        <v>6695</v>
      </c>
      <c r="R4681" t="s">
        <v>6694</v>
      </c>
      <c r="S4681" t="s">
        <v>6694</v>
      </c>
      <c r="W4681" t="s">
        <v>6720</v>
      </c>
    </row>
    <row r="4682" spans="1:23" ht="15.6" x14ac:dyDescent="0.4">
      <c r="A4682" s="2" t="s">
        <v>2320</v>
      </c>
      <c r="B4682" s="5" t="s">
        <v>10849</v>
      </c>
      <c r="C4682" s="7" t="s">
        <v>12556</v>
      </c>
      <c r="D4682" s="8">
        <f t="shared" si="296"/>
        <v>0</v>
      </c>
      <c r="E4682" s="7" t="s">
        <v>12557</v>
      </c>
      <c r="F4682" s="7">
        <f t="shared" si="297"/>
        <v>1</v>
      </c>
      <c r="G4682" s="7" t="s">
        <v>12558</v>
      </c>
      <c r="H4682" s="7">
        <f t="shared" si="298"/>
        <v>0</v>
      </c>
      <c r="I4682" s="7" t="str" cm="1">
        <f t="array" ref="I4682">IFERROR(_xlfn.IFS(M4682="נח",1,M4682="נע ונח",1,M4682="שני שווא נח",2,M4682="שני שוואים בסוף מילה",2,M4682="שני שוואים ברצף",1),"0")</f>
        <v>0</v>
      </c>
      <c r="J4682" s="9">
        <f t="shared" si="299"/>
        <v>3</v>
      </c>
      <c r="K4682" t="s">
        <v>6698</v>
      </c>
      <c r="L4682" t="s">
        <v>6695</v>
      </c>
      <c r="R4682" t="s">
        <v>6694</v>
      </c>
      <c r="S4682" t="s">
        <v>6694</v>
      </c>
      <c r="W4682" t="s">
        <v>6720</v>
      </c>
    </row>
    <row r="4683" spans="1:23" ht="15.6" x14ac:dyDescent="0.4">
      <c r="A4683" s="2" t="s">
        <v>5663</v>
      </c>
      <c r="B4683" s="5" t="s">
        <v>10847</v>
      </c>
      <c r="C4683" s="7" t="s">
        <v>12556</v>
      </c>
      <c r="D4683" s="8">
        <f t="shared" si="296"/>
        <v>0</v>
      </c>
      <c r="E4683" s="7" t="s">
        <v>12557</v>
      </c>
      <c r="F4683" s="7">
        <f t="shared" si="297"/>
        <v>1</v>
      </c>
      <c r="G4683" s="7" t="s">
        <v>12558</v>
      </c>
      <c r="H4683" s="7">
        <f t="shared" si="298"/>
        <v>0</v>
      </c>
      <c r="I4683" s="7" t="str" cm="1">
        <f t="array" ref="I4683">IFERROR(_xlfn.IFS(M4683="נח",1,M4683="נע ונח",1,M4683="שני שווא נח",2,M4683="שני שוואים בסוף מילה",2,M4683="שני שוואים ברצף",1),"0")</f>
        <v>0</v>
      </c>
      <c r="J4683" s="9">
        <f t="shared" si="299"/>
        <v>3</v>
      </c>
      <c r="K4683" t="s">
        <v>6698</v>
      </c>
      <c r="L4683" t="s">
        <v>6695</v>
      </c>
      <c r="R4683" t="s">
        <v>6694</v>
      </c>
      <c r="S4683" t="s">
        <v>6694</v>
      </c>
      <c r="W4683" t="s">
        <v>6720</v>
      </c>
    </row>
    <row r="4684" spans="1:23" ht="15.6" x14ac:dyDescent="0.4">
      <c r="A4684" s="2" t="s">
        <v>3293</v>
      </c>
      <c r="B4684" s="5" t="s">
        <v>10850</v>
      </c>
      <c r="C4684" s="7" t="s">
        <v>12556</v>
      </c>
      <c r="D4684" s="8">
        <f t="shared" si="296"/>
        <v>1</v>
      </c>
      <c r="E4684" s="7" t="s">
        <v>12557</v>
      </c>
      <c r="F4684" s="7">
        <f t="shared" si="297"/>
        <v>1</v>
      </c>
      <c r="G4684" s="7" t="s">
        <v>12558</v>
      </c>
      <c r="H4684" s="7">
        <f t="shared" si="298"/>
        <v>0</v>
      </c>
      <c r="I4684" s="7" t="str" cm="1">
        <f t="array" ref="I4684">IFERROR(_xlfn.IFS(M4684="נח",1,M4684="נע ונח",1,M4684="שני שווא נח",2,M4684="שני שוואים בסוף מילה",2,M4684="שני שוואים ברצף",1),"0")</f>
        <v>0</v>
      </c>
      <c r="J4684" s="9">
        <f t="shared" si="299"/>
        <v>3</v>
      </c>
      <c r="K4684" t="s">
        <v>6698</v>
      </c>
      <c r="L4684" t="s">
        <v>6695</v>
      </c>
      <c r="R4684" t="s">
        <v>6694</v>
      </c>
      <c r="S4684" t="s">
        <v>6694</v>
      </c>
      <c r="V4684" t="s">
        <v>6694</v>
      </c>
      <c r="W4684" t="s">
        <v>6720</v>
      </c>
    </row>
    <row r="4685" spans="1:23" ht="15.6" x14ac:dyDescent="0.4">
      <c r="A4685" s="2" t="s">
        <v>2186</v>
      </c>
      <c r="B4685" s="5" t="s">
        <v>10851</v>
      </c>
      <c r="C4685" s="7" t="s">
        <v>12556</v>
      </c>
      <c r="D4685" s="8">
        <f t="shared" si="296"/>
        <v>0</v>
      </c>
      <c r="E4685" s="7" t="s">
        <v>12557</v>
      </c>
      <c r="F4685" s="7">
        <f t="shared" si="297"/>
        <v>1</v>
      </c>
      <c r="G4685" s="7" t="s">
        <v>12558</v>
      </c>
      <c r="H4685" s="7">
        <f t="shared" si="298"/>
        <v>0</v>
      </c>
      <c r="I4685" s="7" t="str" cm="1">
        <f t="array" ref="I4685">IFERROR(_xlfn.IFS(M4685="נח",1,M4685="נע ונח",1,M4685="שני שווא נח",2,M4685="שני שוואים בסוף מילה",2,M4685="שני שוואים ברצף",1),"0")</f>
        <v>0</v>
      </c>
      <c r="J4685" s="9">
        <f t="shared" si="299"/>
        <v>3</v>
      </c>
      <c r="K4685" t="s">
        <v>6698</v>
      </c>
      <c r="L4685" t="s">
        <v>6695</v>
      </c>
      <c r="S4685" t="s">
        <v>6694</v>
      </c>
      <c r="V4685" t="s">
        <v>6694</v>
      </c>
      <c r="W4685" t="s">
        <v>6720</v>
      </c>
    </row>
    <row r="4686" spans="1:23" ht="15.6" x14ac:dyDescent="0.4">
      <c r="A4686" s="2" t="s">
        <v>3647</v>
      </c>
      <c r="B4686" s="5" t="s">
        <v>10852</v>
      </c>
      <c r="C4686" s="7" t="s">
        <v>12556</v>
      </c>
      <c r="D4686" s="8">
        <f t="shared" si="296"/>
        <v>0</v>
      </c>
      <c r="E4686" s="7" t="s">
        <v>12557</v>
      </c>
      <c r="F4686" s="7">
        <f t="shared" si="297"/>
        <v>1</v>
      </c>
      <c r="G4686" s="7" t="s">
        <v>12558</v>
      </c>
      <c r="H4686" s="7">
        <f t="shared" si="298"/>
        <v>0</v>
      </c>
      <c r="I4686" s="7" t="str" cm="1">
        <f t="array" ref="I4686">IFERROR(_xlfn.IFS(M4686="נח",1,M4686="נע ונח",1,M4686="שני שווא נח",2,M4686="שני שוואים בסוף מילה",2,M4686="שני שוואים ברצף",1),"0")</f>
        <v>0</v>
      </c>
      <c r="J4686" s="9">
        <f t="shared" si="299"/>
        <v>2</v>
      </c>
      <c r="K4686" t="s">
        <v>6698</v>
      </c>
      <c r="L4686" t="s">
        <v>6695</v>
      </c>
      <c r="S4686" t="s">
        <v>6694</v>
      </c>
      <c r="V4686" t="s">
        <v>6694</v>
      </c>
      <c r="W4686" t="s">
        <v>6720</v>
      </c>
    </row>
    <row r="4687" spans="1:23" ht="15.6" x14ac:dyDescent="0.4">
      <c r="A4687" s="2" t="s">
        <v>4951</v>
      </c>
      <c r="B4687" s="5" t="s">
        <v>10853</v>
      </c>
      <c r="C4687" s="7" t="s">
        <v>12556</v>
      </c>
      <c r="D4687" s="8">
        <f t="shared" si="296"/>
        <v>0</v>
      </c>
      <c r="E4687" s="7" t="s">
        <v>12557</v>
      </c>
      <c r="F4687" s="7">
        <f t="shared" si="297"/>
        <v>0</v>
      </c>
      <c r="G4687" s="7" t="s">
        <v>12558</v>
      </c>
      <c r="H4687" s="7">
        <f t="shared" si="298"/>
        <v>0</v>
      </c>
      <c r="I4687" s="7" cm="1">
        <f t="array" ref="I4687">IFERROR(_xlfn.IFS(M4687="נח",1,M4687="נע ונח",1,M4687="שני שווא נח",2,M4687="שני שוואים בסוף מילה",2,M4687="שני שוואים ברצף",1),"0")</f>
        <v>1</v>
      </c>
      <c r="J4687" s="9">
        <f t="shared" si="299"/>
        <v>2</v>
      </c>
      <c r="K4687" t="s">
        <v>6697</v>
      </c>
      <c r="L4687" t="s">
        <v>6694</v>
      </c>
      <c r="M4687" t="s">
        <v>6705</v>
      </c>
      <c r="O4687" t="s">
        <v>6694</v>
      </c>
      <c r="S4687" t="s">
        <v>6694</v>
      </c>
      <c r="W4687" t="s">
        <v>6720</v>
      </c>
    </row>
    <row r="4688" spans="1:23" ht="15.6" x14ac:dyDescent="0.4">
      <c r="A4688" s="2" t="s">
        <v>2093</v>
      </c>
      <c r="B4688" s="5" t="s">
        <v>10854</v>
      </c>
      <c r="C4688" s="7" t="s">
        <v>12556</v>
      </c>
      <c r="D4688" s="8">
        <f t="shared" si="296"/>
        <v>0</v>
      </c>
      <c r="E4688" s="7" t="s">
        <v>12557</v>
      </c>
      <c r="F4688" s="7">
        <f t="shared" si="297"/>
        <v>0</v>
      </c>
      <c r="G4688" s="7" t="s">
        <v>12558</v>
      </c>
      <c r="H4688" s="7">
        <f t="shared" si="298"/>
        <v>0</v>
      </c>
      <c r="I4688" s="7" cm="1">
        <f t="array" ref="I4688">IFERROR(_xlfn.IFS(M4688="נח",1,M4688="נע ונח",1,M4688="שני שווא נח",2,M4688="שני שוואים בסוף מילה",2,M4688="שני שוואים ברצף",1),"0")</f>
        <v>1</v>
      </c>
      <c r="J4688" s="9">
        <f t="shared" si="299"/>
        <v>2</v>
      </c>
      <c r="K4688" t="s">
        <v>6698</v>
      </c>
      <c r="L4688" t="s">
        <v>6694</v>
      </c>
      <c r="M4688" t="s">
        <v>6705</v>
      </c>
      <c r="S4688" t="s">
        <v>6694</v>
      </c>
      <c r="V4688" t="s">
        <v>6694</v>
      </c>
      <c r="W4688" t="s">
        <v>6720</v>
      </c>
    </row>
    <row r="4689" spans="1:23" ht="15.6" x14ac:dyDescent="0.4">
      <c r="A4689" s="2" t="s">
        <v>2478</v>
      </c>
      <c r="B4689" s="5" t="s">
        <v>10855</v>
      </c>
      <c r="C4689" s="7" t="s">
        <v>12556</v>
      </c>
      <c r="D4689" s="8">
        <f t="shared" si="296"/>
        <v>1</v>
      </c>
      <c r="E4689" s="7" t="s">
        <v>12557</v>
      </c>
      <c r="F4689" s="7">
        <f t="shared" si="297"/>
        <v>0</v>
      </c>
      <c r="G4689" s="7" t="s">
        <v>12558</v>
      </c>
      <c r="H4689" s="7">
        <f t="shared" si="298"/>
        <v>0</v>
      </c>
      <c r="I4689" s="7" cm="1">
        <f t="array" ref="I4689">IFERROR(_xlfn.IFS(M4689="נח",1,M4689="נע ונח",1,M4689="שני שווא נח",2,M4689="שני שוואים בסוף מילה",2,M4689="שני שוואים ברצף",1),"0")</f>
        <v>1</v>
      </c>
      <c r="J4689" s="9">
        <f t="shared" si="299"/>
        <v>3</v>
      </c>
      <c r="K4689" t="s">
        <v>6698</v>
      </c>
      <c r="L4689" t="s">
        <v>6694</v>
      </c>
      <c r="M4689" t="s">
        <v>6705</v>
      </c>
      <c r="P4689" t="s">
        <v>6694</v>
      </c>
      <c r="S4689" t="s">
        <v>6694</v>
      </c>
      <c r="V4689" t="s">
        <v>6694</v>
      </c>
      <c r="W4689" t="s">
        <v>6720</v>
      </c>
    </row>
    <row r="4690" spans="1:23" ht="15.6" x14ac:dyDescent="0.4">
      <c r="A4690" s="2" t="s">
        <v>6336</v>
      </c>
      <c r="B4690" s="5" t="s">
        <v>10856</v>
      </c>
      <c r="C4690" s="7" t="s">
        <v>12556</v>
      </c>
      <c r="D4690" s="8">
        <f t="shared" si="296"/>
        <v>1</v>
      </c>
      <c r="E4690" s="7" t="s">
        <v>12557</v>
      </c>
      <c r="F4690" s="7">
        <f t="shared" si="297"/>
        <v>0</v>
      </c>
      <c r="G4690" s="7" t="s">
        <v>12558</v>
      </c>
      <c r="H4690" s="7">
        <f t="shared" si="298"/>
        <v>0</v>
      </c>
      <c r="I4690" s="7" cm="1">
        <f t="array" ref="I4690">IFERROR(_xlfn.IFS(M4690="נח",1,M4690="נע ונח",1,M4690="שני שווא נח",2,M4690="שני שוואים בסוף מילה",2,M4690="שני שוואים ברצף",1),"0")</f>
        <v>1</v>
      </c>
      <c r="J4690" s="9">
        <f t="shared" si="299"/>
        <v>5</v>
      </c>
      <c r="K4690" t="s">
        <v>6697</v>
      </c>
      <c r="L4690" t="s">
        <v>6694</v>
      </c>
      <c r="M4690" t="s">
        <v>6705</v>
      </c>
      <c r="O4690" t="s">
        <v>6694</v>
      </c>
      <c r="P4690" t="s">
        <v>6694</v>
      </c>
      <c r="R4690" t="s">
        <v>6694</v>
      </c>
      <c r="S4690" t="s">
        <v>6694</v>
      </c>
      <c r="V4690" t="s">
        <v>6694</v>
      </c>
      <c r="W4690" t="s">
        <v>6720</v>
      </c>
    </row>
    <row r="4691" spans="1:23" ht="15.6" x14ac:dyDescent="0.4">
      <c r="A4691" s="2" t="s">
        <v>2187</v>
      </c>
      <c r="B4691" s="5" t="s">
        <v>10857</v>
      </c>
      <c r="C4691" s="7" t="s">
        <v>12556</v>
      </c>
      <c r="D4691" s="8">
        <f t="shared" si="296"/>
        <v>1</v>
      </c>
      <c r="E4691" s="7" t="s">
        <v>12557</v>
      </c>
      <c r="F4691" s="7">
        <f t="shared" si="297"/>
        <v>1</v>
      </c>
      <c r="G4691" s="7" t="s">
        <v>12558</v>
      </c>
      <c r="H4691" s="7">
        <f t="shared" si="298"/>
        <v>0</v>
      </c>
      <c r="I4691" s="7" cm="1">
        <f t="array" ref="I4691">IFERROR(_xlfn.IFS(M4691="נח",1,M4691="נע ונח",1,M4691="שני שווא נח",2,M4691="שני שוואים בסוף מילה",2,M4691="שני שוואים ברצף",1),"0")</f>
        <v>1</v>
      </c>
      <c r="J4691" s="9">
        <f t="shared" si="299"/>
        <v>3</v>
      </c>
      <c r="K4691" t="s">
        <v>6698</v>
      </c>
      <c r="L4691" t="s">
        <v>6694</v>
      </c>
      <c r="M4691" t="s">
        <v>6702</v>
      </c>
      <c r="Q4691" t="s">
        <v>6694</v>
      </c>
      <c r="S4691" t="s">
        <v>6694</v>
      </c>
      <c r="W4691" t="s">
        <v>6720</v>
      </c>
    </row>
    <row r="4692" spans="1:23" ht="15.6" x14ac:dyDescent="0.4">
      <c r="A4692" s="2" t="s">
        <v>3578</v>
      </c>
      <c r="B4692" s="5" t="s">
        <v>10858</v>
      </c>
      <c r="C4692" s="7" t="s">
        <v>12556</v>
      </c>
      <c r="D4692" s="8">
        <f t="shared" si="296"/>
        <v>1</v>
      </c>
      <c r="E4692" s="7" t="s">
        <v>12557</v>
      </c>
      <c r="F4692" s="7">
        <f t="shared" si="297"/>
        <v>1</v>
      </c>
      <c r="G4692" s="7" t="s">
        <v>12558</v>
      </c>
      <c r="H4692" s="7">
        <f t="shared" si="298"/>
        <v>0</v>
      </c>
      <c r="I4692" s="7" cm="1">
        <f t="array" ref="I4692">IFERROR(_xlfn.IFS(M4692="נח",1,M4692="נע ונח",1,M4692="שני שווא נח",2,M4692="שני שוואים בסוף מילה",2,M4692="שני שוואים ברצף",1),"0")</f>
        <v>1</v>
      </c>
      <c r="J4692" s="9">
        <f t="shared" si="299"/>
        <v>4</v>
      </c>
      <c r="K4692" t="s">
        <v>6697</v>
      </c>
      <c r="L4692" t="s">
        <v>6694</v>
      </c>
      <c r="M4692" t="s">
        <v>6705</v>
      </c>
      <c r="O4692" t="s">
        <v>6694</v>
      </c>
      <c r="R4692" t="s">
        <v>6694</v>
      </c>
      <c r="S4692" t="s">
        <v>6694</v>
      </c>
      <c r="W4692" t="s">
        <v>6720</v>
      </c>
    </row>
    <row r="4693" spans="1:23" ht="15.6" x14ac:dyDescent="0.4">
      <c r="A4693" s="2" t="s">
        <v>2877</v>
      </c>
      <c r="B4693" s="5" t="s">
        <v>10859</v>
      </c>
      <c r="C4693" s="7" t="s">
        <v>12556</v>
      </c>
      <c r="D4693" s="8">
        <f t="shared" si="296"/>
        <v>1</v>
      </c>
      <c r="E4693" s="7" t="s">
        <v>12557</v>
      </c>
      <c r="F4693" s="7">
        <f t="shared" si="297"/>
        <v>0</v>
      </c>
      <c r="G4693" s="7" t="s">
        <v>12558</v>
      </c>
      <c r="H4693" s="7">
        <f t="shared" si="298"/>
        <v>0</v>
      </c>
      <c r="I4693" s="7" cm="1">
        <f t="array" ref="I4693">IFERROR(_xlfn.IFS(M4693="נח",1,M4693="נע ונח",1,M4693="שני שווא נח",2,M4693="שני שוואים בסוף מילה",2,M4693="שני שוואים ברצף",1),"0")</f>
        <v>1</v>
      </c>
      <c r="J4693" s="9">
        <f t="shared" si="299"/>
        <v>2</v>
      </c>
      <c r="K4693" t="s">
        <v>6698</v>
      </c>
      <c r="L4693" t="s">
        <v>6694</v>
      </c>
      <c r="M4693" t="s">
        <v>6705</v>
      </c>
      <c r="N4693" t="s">
        <v>6706</v>
      </c>
      <c r="O4693" t="s">
        <v>6694</v>
      </c>
      <c r="S4693" t="s">
        <v>6694</v>
      </c>
      <c r="W4693" t="s">
        <v>6720</v>
      </c>
    </row>
    <row r="4694" spans="1:23" ht="15.6" x14ac:dyDescent="0.4">
      <c r="A4694" s="2" t="s">
        <v>6117</v>
      </c>
      <c r="B4694" s="5" t="s">
        <v>10860</v>
      </c>
      <c r="C4694" s="7" t="s">
        <v>12556</v>
      </c>
      <c r="D4694" s="8">
        <f t="shared" si="296"/>
        <v>1</v>
      </c>
      <c r="E4694" s="7" t="s">
        <v>12557</v>
      </c>
      <c r="F4694" s="7">
        <f t="shared" si="297"/>
        <v>1</v>
      </c>
      <c r="G4694" s="7" t="s">
        <v>12558</v>
      </c>
      <c r="H4694" s="7">
        <f t="shared" si="298"/>
        <v>0</v>
      </c>
      <c r="I4694" s="7" cm="1">
        <f t="array" ref="I4694">IFERROR(_xlfn.IFS(M4694="נח",1,M4694="נע ונח",1,M4694="שני שווא נח",2,M4694="שני שוואים בסוף מילה",2,M4694="שני שוואים ברצף",1),"0")</f>
        <v>1</v>
      </c>
      <c r="J4694" s="9">
        <f t="shared" si="299"/>
        <v>4</v>
      </c>
      <c r="K4694" t="s">
        <v>6698</v>
      </c>
      <c r="L4694" t="s">
        <v>6694</v>
      </c>
      <c r="M4694" t="s">
        <v>6702</v>
      </c>
      <c r="N4694" t="s">
        <v>6706</v>
      </c>
      <c r="O4694" t="s">
        <v>6694</v>
      </c>
      <c r="S4694" t="s">
        <v>6694</v>
      </c>
      <c r="V4694" t="s">
        <v>6694</v>
      </c>
      <c r="W4694" t="s">
        <v>6720</v>
      </c>
    </row>
    <row r="4695" spans="1:23" ht="15.6" x14ac:dyDescent="0.4">
      <c r="A4695" s="2" t="s">
        <v>3775</v>
      </c>
      <c r="B4695" s="5" t="s">
        <v>10861</v>
      </c>
      <c r="C4695" s="7" t="s">
        <v>12556</v>
      </c>
      <c r="D4695" s="8">
        <f t="shared" si="296"/>
        <v>1</v>
      </c>
      <c r="E4695" s="7" t="s">
        <v>12557</v>
      </c>
      <c r="F4695" s="7">
        <f t="shared" si="297"/>
        <v>1</v>
      </c>
      <c r="G4695" s="7" t="s">
        <v>12558</v>
      </c>
      <c r="H4695" s="7">
        <f t="shared" si="298"/>
        <v>0</v>
      </c>
      <c r="I4695" s="7" cm="1">
        <f t="array" ref="I4695">IFERROR(_xlfn.IFS(M4695="נח",1,M4695="נע ונח",1,M4695="שני שווא נח",2,M4695="שני שוואים בסוף מילה",2,M4695="שני שוואים ברצף",1),"0")</f>
        <v>1</v>
      </c>
      <c r="J4695" s="9">
        <f t="shared" si="299"/>
        <v>3</v>
      </c>
      <c r="K4695" t="s">
        <v>6698</v>
      </c>
      <c r="L4695" t="s">
        <v>6694</v>
      </c>
      <c r="M4695" t="s">
        <v>6702</v>
      </c>
      <c r="Q4695" t="s">
        <v>6694</v>
      </c>
      <c r="S4695" t="s">
        <v>6694</v>
      </c>
      <c r="W4695" t="s">
        <v>6720</v>
      </c>
    </row>
    <row r="4696" spans="1:23" ht="15.6" x14ac:dyDescent="0.4">
      <c r="A4696" s="2" t="s">
        <v>3839</v>
      </c>
      <c r="B4696" s="5" t="s">
        <v>10862</v>
      </c>
      <c r="C4696" s="7" t="s">
        <v>12556</v>
      </c>
      <c r="D4696" s="8">
        <f t="shared" si="296"/>
        <v>1</v>
      </c>
      <c r="E4696" s="7" t="s">
        <v>12557</v>
      </c>
      <c r="F4696" s="7">
        <f t="shared" si="297"/>
        <v>1</v>
      </c>
      <c r="G4696" s="7" t="s">
        <v>12558</v>
      </c>
      <c r="H4696" s="7">
        <f t="shared" si="298"/>
        <v>0</v>
      </c>
      <c r="I4696" s="7" cm="1">
        <f t="array" ref="I4696">IFERROR(_xlfn.IFS(M4696="נח",1,M4696="נע ונח",1,M4696="שני שווא נח",2,M4696="שני שוואים בסוף מילה",2,M4696="שני שוואים ברצף",1),"0")</f>
        <v>1</v>
      </c>
      <c r="J4696" s="9">
        <f t="shared" si="299"/>
        <v>4</v>
      </c>
      <c r="K4696" t="s">
        <v>6698</v>
      </c>
      <c r="L4696" t="s">
        <v>6694</v>
      </c>
      <c r="M4696" t="s">
        <v>6702</v>
      </c>
      <c r="N4696" t="s">
        <v>6706</v>
      </c>
      <c r="O4696" t="s">
        <v>6694</v>
      </c>
      <c r="S4696" t="s">
        <v>6694</v>
      </c>
      <c r="V4696" t="s">
        <v>6694</v>
      </c>
      <c r="W4696" t="s">
        <v>6720</v>
      </c>
    </row>
    <row r="4697" spans="1:23" ht="15.6" x14ac:dyDescent="0.4">
      <c r="A4697" s="2" t="s">
        <v>3005</v>
      </c>
      <c r="B4697" s="5" t="s">
        <v>10863</v>
      </c>
      <c r="C4697" s="7" t="s">
        <v>12556</v>
      </c>
      <c r="D4697" s="8">
        <f t="shared" si="296"/>
        <v>1</v>
      </c>
      <c r="E4697" s="7" t="s">
        <v>12557</v>
      </c>
      <c r="F4697" s="7">
        <f t="shared" si="297"/>
        <v>1</v>
      </c>
      <c r="G4697" s="7" t="s">
        <v>12558</v>
      </c>
      <c r="H4697" s="7">
        <f t="shared" si="298"/>
        <v>0</v>
      </c>
      <c r="I4697" s="7" cm="1">
        <f t="array" ref="I4697">IFERROR(_xlfn.IFS(M4697="נח",1,M4697="נע ונח",1,M4697="שני שווא נח",2,M4697="שני שוואים בסוף מילה",2,M4697="שני שוואים ברצף",1),"0")</f>
        <v>1</v>
      </c>
      <c r="J4697" s="9">
        <f t="shared" si="299"/>
        <v>3</v>
      </c>
      <c r="K4697" t="s">
        <v>6698</v>
      </c>
      <c r="L4697" t="s">
        <v>6694</v>
      </c>
      <c r="M4697" t="s">
        <v>6702</v>
      </c>
      <c r="S4697" t="s">
        <v>6694</v>
      </c>
      <c r="V4697" t="s">
        <v>6694</v>
      </c>
      <c r="W4697" t="s">
        <v>6720</v>
      </c>
    </row>
    <row r="4698" spans="1:23" ht="15.6" x14ac:dyDescent="0.4">
      <c r="A4698" s="2" t="s">
        <v>4882</v>
      </c>
      <c r="B4698" s="5" t="s">
        <v>10864</v>
      </c>
      <c r="C4698" s="7" t="s">
        <v>12556</v>
      </c>
      <c r="D4698" s="8">
        <f t="shared" si="296"/>
        <v>1</v>
      </c>
      <c r="E4698" s="7" t="s">
        <v>12557</v>
      </c>
      <c r="F4698" s="7">
        <f t="shared" si="297"/>
        <v>1</v>
      </c>
      <c r="G4698" s="7" t="s">
        <v>12558</v>
      </c>
      <c r="H4698" s="7">
        <f t="shared" si="298"/>
        <v>0</v>
      </c>
      <c r="I4698" s="7" cm="1">
        <f t="array" ref="I4698">IFERROR(_xlfn.IFS(M4698="נח",1,M4698="נע ונח",1,M4698="שני שווא נח",2,M4698="שני שוואים בסוף מילה",2,M4698="שני שוואים ברצף",1),"0")</f>
        <v>1</v>
      </c>
      <c r="J4698" s="9">
        <f t="shared" si="299"/>
        <v>5</v>
      </c>
      <c r="K4698" t="s">
        <v>6697</v>
      </c>
      <c r="L4698" t="s">
        <v>6694</v>
      </c>
      <c r="M4698" t="s">
        <v>6702</v>
      </c>
      <c r="O4698" t="s">
        <v>6694</v>
      </c>
      <c r="R4698" t="s">
        <v>6694</v>
      </c>
      <c r="S4698" t="s">
        <v>6694</v>
      </c>
      <c r="V4698" t="s">
        <v>6694</v>
      </c>
      <c r="W4698" t="s">
        <v>6720</v>
      </c>
    </row>
    <row r="4699" spans="1:23" ht="15.6" x14ac:dyDescent="0.4">
      <c r="A4699" s="2" t="s">
        <v>5652</v>
      </c>
      <c r="B4699" s="5" t="s">
        <v>10865</v>
      </c>
      <c r="C4699" s="7" t="s">
        <v>12556</v>
      </c>
      <c r="D4699" s="8">
        <f t="shared" si="296"/>
        <v>1</v>
      </c>
      <c r="E4699" s="7" t="s">
        <v>12557</v>
      </c>
      <c r="F4699" s="7">
        <f t="shared" si="297"/>
        <v>1</v>
      </c>
      <c r="G4699" s="7" t="s">
        <v>12558</v>
      </c>
      <c r="H4699" s="7">
        <f t="shared" si="298"/>
        <v>0</v>
      </c>
      <c r="I4699" s="7" cm="1">
        <f t="array" ref="I4699">IFERROR(_xlfn.IFS(M4699="נח",1,M4699="נע ונח",1,M4699="שני שווא נח",2,M4699="שני שוואים בסוף מילה",2,M4699="שני שוואים ברצף",1),"0")</f>
        <v>1</v>
      </c>
      <c r="J4699" s="9">
        <f t="shared" si="299"/>
        <v>2</v>
      </c>
      <c r="K4699" t="s">
        <v>6698</v>
      </c>
      <c r="L4699" t="s">
        <v>6694</v>
      </c>
      <c r="M4699" t="s">
        <v>6705</v>
      </c>
      <c r="P4699" t="s">
        <v>6694</v>
      </c>
      <c r="S4699" t="s">
        <v>6694</v>
      </c>
      <c r="W4699" t="s">
        <v>6720</v>
      </c>
    </row>
    <row r="4700" spans="1:23" ht="15.6" x14ac:dyDescent="0.4">
      <c r="A4700" s="2" t="s">
        <v>830</v>
      </c>
      <c r="B4700" s="5" t="s">
        <v>10866</v>
      </c>
      <c r="C4700" s="7" t="s">
        <v>12556</v>
      </c>
      <c r="D4700" s="8">
        <f t="shared" si="296"/>
        <v>1</v>
      </c>
      <c r="E4700" s="7" t="s">
        <v>12557</v>
      </c>
      <c r="F4700" s="7">
        <f t="shared" si="297"/>
        <v>1</v>
      </c>
      <c r="G4700" s="7" t="s">
        <v>12558</v>
      </c>
      <c r="H4700" s="7">
        <f t="shared" si="298"/>
        <v>0</v>
      </c>
      <c r="I4700" s="7" cm="1">
        <f t="array" ref="I4700">IFERROR(_xlfn.IFS(M4700="נח",1,M4700="נע ונח",1,M4700="שני שווא נח",2,M4700="שני שוואים בסוף מילה",2,M4700="שני שוואים ברצף",1),"0")</f>
        <v>1</v>
      </c>
      <c r="J4700" s="9">
        <f t="shared" si="299"/>
        <v>3</v>
      </c>
      <c r="K4700" t="s">
        <v>6697</v>
      </c>
      <c r="L4700" t="s">
        <v>6694</v>
      </c>
      <c r="M4700" t="s">
        <v>6705</v>
      </c>
      <c r="O4700" t="s">
        <v>6694</v>
      </c>
      <c r="S4700" t="s">
        <v>6694</v>
      </c>
      <c r="V4700" t="s">
        <v>6694</v>
      </c>
      <c r="W4700" t="s">
        <v>6720</v>
      </c>
    </row>
    <row r="4701" spans="1:23" ht="15.6" x14ac:dyDescent="0.4">
      <c r="A4701" s="2" t="s">
        <v>5915</v>
      </c>
      <c r="B4701" s="5" t="s">
        <v>10867</v>
      </c>
      <c r="C4701" s="7" t="s">
        <v>12556</v>
      </c>
      <c r="D4701" s="8">
        <f t="shared" si="296"/>
        <v>1</v>
      </c>
      <c r="E4701" s="7" t="s">
        <v>12557</v>
      </c>
      <c r="F4701" s="7">
        <f t="shared" si="297"/>
        <v>1</v>
      </c>
      <c r="G4701" s="7" t="s">
        <v>12558</v>
      </c>
      <c r="H4701" s="7">
        <f t="shared" si="298"/>
        <v>0</v>
      </c>
      <c r="I4701" s="7" cm="1">
        <f t="array" ref="I4701">IFERROR(_xlfn.IFS(M4701="נח",1,M4701="נע ונח",1,M4701="שני שווא נח",2,M4701="שני שוואים בסוף מילה",2,M4701="שני שוואים ברצף",1),"0")</f>
        <v>1</v>
      </c>
      <c r="J4701" s="9">
        <f t="shared" si="299"/>
        <v>3</v>
      </c>
      <c r="K4701" t="s">
        <v>6698</v>
      </c>
      <c r="L4701" t="s">
        <v>6694</v>
      </c>
      <c r="M4701" t="s">
        <v>6702</v>
      </c>
      <c r="S4701" t="s">
        <v>6694</v>
      </c>
      <c r="V4701" t="s">
        <v>6694</v>
      </c>
      <c r="W4701" t="s">
        <v>6720</v>
      </c>
    </row>
    <row r="4702" spans="1:23" ht="15.6" x14ac:dyDescent="0.4">
      <c r="A4702" s="2" t="s">
        <v>224</v>
      </c>
      <c r="B4702" s="5" t="s">
        <v>10868</v>
      </c>
      <c r="C4702" s="7" t="s">
        <v>12556</v>
      </c>
      <c r="D4702" s="8">
        <f t="shared" si="296"/>
        <v>1</v>
      </c>
      <c r="E4702" s="7" t="s">
        <v>12557</v>
      </c>
      <c r="F4702" s="7">
        <f t="shared" si="297"/>
        <v>1</v>
      </c>
      <c r="G4702" s="7" t="s">
        <v>12558</v>
      </c>
      <c r="H4702" s="7">
        <f t="shared" si="298"/>
        <v>0</v>
      </c>
      <c r="I4702" s="7" cm="1">
        <f t="array" ref="I4702">IFERROR(_xlfn.IFS(M4702="נח",1,M4702="נע ונח",1,M4702="שני שווא נח",2,M4702="שני שוואים בסוף מילה",2,M4702="שני שוואים ברצף",1),"0")</f>
        <v>1</v>
      </c>
      <c r="J4702" s="9">
        <f t="shared" si="299"/>
        <v>3</v>
      </c>
      <c r="K4702" t="s">
        <v>6698</v>
      </c>
      <c r="L4702" t="s">
        <v>6694</v>
      </c>
      <c r="M4702" t="s">
        <v>6702</v>
      </c>
      <c r="Q4702" t="s">
        <v>6694</v>
      </c>
      <c r="S4702" t="s">
        <v>6694</v>
      </c>
      <c r="W4702" t="s">
        <v>6720</v>
      </c>
    </row>
    <row r="4703" spans="1:23" ht="15.6" x14ac:dyDescent="0.4">
      <c r="A4703" s="2" t="s">
        <v>5124</v>
      </c>
      <c r="B4703" s="5" t="s">
        <v>10869</v>
      </c>
      <c r="C4703" s="7" t="s">
        <v>12556</v>
      </c>
      <c r="D4703" s="8">
        <f t="shared" si="296"/>
        <v>1</v>
      </c>
      <c r="E4703" s="7" t="s">
        <v>12557</v>
      </c>
      <c r="F4703" s="7">
        <f t="shared" si="297"/>
        <v>1</v>
      </c>
      <c r="G4703" s="7" t="s">
        <v>12558</v>
      </c>
      <c r="H4703" s="7">
        <f t="shared" si="298"/>
        <v>0</v>
      </c>
      <c r="I4703" s="7" cm="1">
        <f t="array" ref="I4703">IFERROR(_xlfn.IFS(M4703="נח",1,M4703="נע ונח",1,M4703="שני שווא נח",2,M4703="שני שוואים בסוף מילה",2,M4703="שני שוואים ברצף",1),"0")</f>
        <v>1</v>
      </c>
      <c r="J4703" s="9">
        <f t="shared" si="299"/>
        <v>2</v>
      </c>
      <c r="K4703" t="s">
        <v>6698</v>
      </c>
      <c r="L4703" t="s">
        <v>6694</v>
      </c>
      <c r="M4703" t="s">
        <v>6705</v>
      </c>
      <c r="P4703" t="s">
        <v>6694</v>
      </c>
      <c r="S4703" t="s">
        <v>6694</v>
      </c>
      <c r="W4703" t="s">
        <v>6720</v>
      </c>
    </row>
    <row r="4704" spans="1:23" ht="15.6" x14ac:dyDescent="0.4">
      <c r="A4704" s="2" t="s">
        <v>116</v>
      </c>
      <c r="B4704" s="5" t="s">
        <v>10869</v>
      </c>
      <c r="C4704" s="7" t="s">
        <v>12556</v>
      </c>
      <c r="D4704" s="8">
        <f t="shared" si="296"/>
        <v>1</v>
      </c>
      <c r="E4704" s="7" t="s">
        <v>12557</v>
      </c>
      <c r="F4704" s="7">
        <f t="shared" si="297"/>
        <v>1</v>
      </c>
      <c r="G4704" s="7" t="s">
        <v>12558</v>
      </c>
      <c r="H4704" s="7">
        <f t="shared" si="298"/>
        <v>0</v>
      </c>
      <c r="I4704" s="7" cm="1">
        <f t="array" ref="I4704">IFERROR(_xlfn.IFS(M4704="נח",1,M4704="נע ונח",1,M4704="שני שווא נח",2,M4704="שני שוואים בסוף מילה",2,M4704="שני שוואים ברצף",1),"0")</f>
        <v>1</v>
      </c>
      <c r="J4704" s="9">
        <f t="shared" si="299"/>
        <v>2</v>
      </c>
      <c r="K4704" t="s">
        <v>6698</v>
      </c>
      <c r="L4704" t="s">
        <v>6694</v>
      </c>
      <c r="M4704" t="s">
        <v>6705</v>
      </c>
      <c r="N4704" t="s">
        <v>6706</v>
      </c>
      <c r="O4704" t="s">
        <v>6694</v>
      </c>
      <c r="S4704" t="s">
        <v>6694</v>
      </c>
      <c r="W4704" t="s">
        <v>6720</v>
      </c>
    </row>
    <row r="4705" spans="1:23" ht="15.6" x14ac:dyDescent="0.4">
      <c r="A4705" s="2" t="s">
        <v>2376</v>
      </c>
      <c r="B4705" s="5" t="s">
        <v>10868</v>
      </c>
      <c r="C4705" s="7" t="s">
        <v>12556</v>
      </c>
      <c r="D4705" s="8">
        <f t="shared" si="296"/>
        <v>1</v>
      </c>
      <c r="E4705" s="7" t="s">
        <v>12557</v>
      </c>
      <c r="F4705" s="7">
        <f t="shared" si="297"/>
        <v>1</v>
      </c>
      <c r="G4705" s="7" t="s">
        <v>12558</v>
      </c>
      <c r="H4705" s="7">
        <f t="shared" si="298"/>
        <v>0</v>
      </c>
      <c r="I4705" s="7" cm="1">
        <f t="array" ref="I4705">IFERROR(_xlfn.IFS(M4705="נח",1,M4705="נע ונח",1,M4705="שני שווא נח",2,M4705="שני שוואים בסוף מילה",2,M4705="שני שוואים ברצף",1),"0")</f>
        <v>1</v>
      </c>
      <c r="J4705" s="9">
        <f t="shared" si="299"/>
        <v>3</v>
      </c>
      <c r="K4705" t="s">
        <v>6697</v>
      </c>
      <c r="L4705" t="s">
        <v>6694</v>
      </c>
      <c r="M4705" t="s">
        <v>6705</v>
      </c>
      <c r="O4705" t="s">
        <v>6694</v>
      </c>
      <c r="S4705" t="s">
        <v>6694</v>
      </c>
      <c r="W4705" t="s">
        <v>6720</v>
      </c>
    </row>
    <row r="4706" spans="1:23" ht="15.6" x14ac:dyDescent="0.4">
      <c r="A4706" s="2" t="s">
        <v>269</v>
      </c>
      <c r="B4706" s="5" t="s">
        <v>10870</v>
      </c>
      <c r="C4706" s="7" t="s">
        <v>12556</v>
      </c>
      <c r="D4706" s="8">
        <f t="shared" si="296"/>
        <v>1</v>
      </c>
      <c r="E4706" s="7" t="s">
        <v>12557</v>
      </c>
      <c r="F4706" s="7">
        <f t="shared" si="297"/>
        <v>1</v>
      </c>
      <c r="G4706" s="7" t="s">
        <v>12558</v>
      </c>
      <c r="H4706" s="7">
        <f t="shared" si="298"/>
        <v>0</v>
      </c>
      <c r="I4706" s="7" cm="1">
        <f t="array" ref="I4706">IFERROR(_xlfn.IFS(M4706="נח",1,M4706="נע ונח",1,M4706="שני שווא נח",2,M4706="שני שוואים בסוף מילה",2,M4706="שני שוואים ברצף",1),"0")</f>
        <v>1</v>
      </c>
      <c r="J4706" s="9">
        <f t="shared" si="299"/>
        <v>4</v>
      </c>
      <c r="K4706" t="s">
        <v>6697</v>
      </c>
      <c r="L4706" t="s">
        <v>6694</v>
      </c>
      <c r="M4706" t="s">
        <v>6705</v>
      </c>
      <c r="O4706" t="s">
        <v>6694</v>
      </c>
      <c r="R4706" t="s">
        <v>6694</v>
      </c>
      <c r="S4706" t="s">
        <v>6694</v>
      </c>
      <c r="W4706" t="s">
        <v>6720</v>
      </c>
    </row>
    <row r="4707" spans="1:23" ht="15.6" x14ac:dyDescent="0.4">
      <c r="A4707" s="2" t="s">
        <v>835</v>
      </c>
      <c r="B4707" s="5" t="s">
        <v>10871</v>
      </c>
      <c r="C4707" s="7" t="s">
        <v>12556</v>
      </c>
      <c r="D4707" s="8">
        <f t="shared" si="296"/>
        <v>1</v>
      </c>
      <c r="E4707" s="7" t="s">
        <v>12557</v>
      </c>
      <c r="F4707" s="7">
        <f t="shared" si="297"/>
        <v>1</v>
      </c>
      <c r="G4707" s="7" t="s">
        <v>12558</v>
      </c>
      <c r="H4707" s="7">
        <f t="shared" si="298"/>
        <v>0</v>
      </c>
      <c r="I4707" s="7" cm="1">
        <f t="array" ref="I4707">IFERROR(_xlfn.IFS(M4707="נח",1,M4707="נע ונח",1,M4707="שני שווא נח",2,M4707="שני שוואים בסוף מילה",2,M4707="שני שוואים ברצף",1),"0")</f>
        <v>1</v>
      </c>
      <c r="J4707" s="9">
        <f t="shared" si="299"/>
        <v>4</v>
      </c>
      <c r="K4707" t="s">
        <v>6697</v>
      </c>
      <c r="L4707" t="s">
        <v>6694</v>
      </c>
      <c r="M4707" t="s">
        <v>6705</v>
      </c>
      <c r="O4707" t="s">
        <v>6694</v>
      </c>
      <c r="R4707" t="s">
        <v>6694</v>
      </c>
      <c r="S4707" t="s">
        <v>6694</v>
      </c>
      <c r="W4707" t="s">
        <v>6720</v>
      </c>
    </row>
    <row r="4708" spans="1:23" ht="15.6" x14ac:dyDescent="0.4">
      <c r="A4708" s="2" t="s">
        <v>2011</v>
      </c>
      <c r="B4708" s="5" t="s">
        <v>10872</v>
      </c>
      <c r="C4708" s="7" t="s">
        <v>12556</v>
      </c>
      <c r="D4708" s="8">
        <f t="shared" si="296"/>
        <v>1</v>
      </c>
      <c r="E4708" s="7" t="s">
        <v>12557</v>
      </c>
      <c r="F4708" s="7">
        <f t="shared" si="297"/>
        <v>1</v>
      </c>
      <c r="G4708" s="7" t="s">
        <v>12558</v>
      </c>
      <c r="H4708" s="7">
        <f t="shared" si="298"/>
        <v>0</v>
      </c>
      <c r="I4708" s="7" cm="1">
        <f t="array" ref="I4708">IFERROR(_xlfn.IFS(M4708="נח",1,M4708="נע ונח",1,M4708="שני שווא נח",2,M4708="שני שוואים בסוף מילה",2,M4708="שני שוואים ברצף",1),"0")</f>
        <v>1</v>
      </c>
      <c r="J4708" s="9">
        <f t="shared" si="299"/>
        <v>3</v>
      </c>
      <c r="K4708" t="s">
        <v>6698</v>
      </c>
      <c r="L4708" t="s">
        <v>6694</v>
      </c>
      <c r="M4708" t="s">
        <v>6705</v>
      </c>
      <c r="N4708" t="s">
        <v>6706</v>
      </c>
      <c r="O4708" t="s">
        <v>6694</v>
      </c>
      <c r="S4708" t="s">
        <v>6694</v>
      </c>
      <c r="W4708" t="s">
        <v>6720</v>
      </c>
    </row>
    <row r="4709" spans="1:23" ht="15.6" x14ac:dyDescent="0.4">
      <c r="A4709" s="2" t="s">
        <v>6135</v>
      </c>
      <c r="B4709" s="5" t="s">
        <v>10873</v>
      </c>
      <c r="C4709" s="7" t="s">
        <v>12556</v>
      </c>
      <c r="D4709" s="8">
        <f t="shared" si="296"/>
        <v>1</v>
      </c>
      <c r="E4709" s="7" t="s">
        <v>12557</v>
      </c>
      <c r="F4709" s="7">
        <f t="shared" si="297"/>
        <v>1</v>
      </c>
      <c r="G4709" s="7" t="s">
        <v>12558</v>
      </c>
      <c r="H4709" s="7">
        <f t="shared" si="298"/>
        <v>0</v>
      </c>
      <c r="I4709" s="7" cm="1">
        <f t="array" ref="I4709">IFERROR(_xlfn.IFS(M4709="נח",1,M4709="נע ונח",1,M4709="שני שווא נח",2,M4709="שני שוואים בסוף מילה",2,M4709="שני שוואים ברצף",1),"0")</f>
        <v>1</v>
      </c>
      <c r="J4709" s="9">
        <f t="shared" si="299"/>
        <v>4</v>
      </c>
      <c r="K4709" t="s">
        <v>6698</v>
      </c>
      <c r="L4709" t="s">
        <v>6694</v>
      </c>
      <c r="M4709" t="s">
        <v>6705</v>
      </c>
      <c r="N4709" t="s">
        <v>6706</v>
      </c>
      <c r="O4709" t="s">
        <v>6694</v>
      </c>
      <c r="S4709" t="s">
        <v>6694</v>
      </c>
      <c r="V4709" t="s">
        <v>6694</v>
      </c>
      <c r="W4709" t="s">
        <v>6720</v>
      </c>
    </row>
    <row r="4710" spans="1:23" ht="15.6" x14ac:dyDescent="0.4">
      <c r="A4710" s="2" t="s">
        <v>3306</v>
      </c>
      <c r="B4710" s="5" t="s">
        <v>10874</v>
      </c>
      <c r="C4710" s="7" t="s">
        <v>12556</v>
      </c>
      <c r="D4710" s="8">
        <f t="shared" si="296"/>
        <v>1</v>
      </c>
      <c r="E4710" s="7" t="s">
        <v>12557</v>
      </c>
      <c r="F4710" s="7">
        <f t="shared" si="297"/>
        <v>1</v>
      </c>
      <c r="G4710" s="7" t="s">
        <v>12558</v>
      </c>
      <c r="H4710" s="7">
        <f t="shared" si="298"/>
        <v>0</v>
      </c>
      <c r="I4710" s="7" cm="1">
        <f t="array" ref="I4710">IFERROR(_xlfn.IFS(M4710="נח",1,M4710="נע ונח",1,M4710="שני שווא נח",2,M4710="שני שוואים בסוף מילה",2,M4710="שני שוואים ברצף",1),"0")</f>
        <v>1</v>
      </c>
      <c r="J4710" s="9">
        <f t="shared" si="299"/>
        <v>2</v>
      </c>
      <c r="K4710" t="s">
        <v>6698</v>
      </c>
      <c r="L4710" t="s">
        <v>6694</v>
      </c>
      <c r="M4710" t="s">
        <v>6705</v>
      </c>
      <c r="Q4710" t="s">
        <v>6694</v>
      </c>
      <c r="S4710" t="s">
        <v>6694</v>
      </c>
      <c r="W4710" t="s">
        <v>6720</v>
      </c>
    </row>
    <row r="4711" spans="1:23" ht="15.6" x14ac:dyDescent="0.4">
      <c r="A4711" s="2" t="s">
        <v>1200</v>
      </c>
      <c r="B4711" s="5" t="s">
        <v>10875</v>
      </c>
      <c r="C4711" s="7" t="s">
        <v>12556</v>
      </c>
      <c r="D4711" s="8">
        <f t="shared" si="296"/>
        <v>1</v>
      </c>
      <c r="E4711" s="7" t="s">
        <v>12557</v>
      </c>
      <c r="F4711" s="7">
        <f t="shared" si="297"/>
        <v>2</v>
      </c>
      <c r="G4711" s="7" t="s">
        <v>12558</v>
      </c>
      <c r="H4711" s="7">
        <f t="shared" si="298"/>
        <v>1</v>
      </c>
      <c r="I4711" s="7" cm="1">
        <f t="array" ref="I4711">IFERROR(_xlfn.IFS(M4711="נח",1,M4711="נע ונח",1,M4711="שני שווא נח",2,M4711="שני שוואים בסוף מילה",2,M4711="שני שוואים ברצף",1),"0")</f>
        <v>1</v>
      </c>
      <c r="J4711" s="9">
        <f t="shared" si="299"/>
        <v>3</v>
      </c>
      <c r="K4711" t="s">
        <v>6697</v>
      </c>
      <c r="L4711" t="s">
        <v>6694</v>
      </c>
      <c r="M4711" t="s">
        <v>6705</v>
      </c>
      <c r="O4711" t="s">
        <v>6694</v>
      </c>
      <c r="S4711" t="s">
        <v>6694</v>
      </c>
      <c r="U4711" t="s">
        <v>6694</v>
      </c>
      <c r="W4711" t="s">
        <v>6720</v>
      </c>
    </row>
    <row r="4712" spans="1:23" ht="15.6" x14ac:dyDescent="0.4">
      <c r="A4712" s="2" t="s">
        <v>5936</v>
      </c>
      <c r="B4712" s="5" t="s">
        <v>10876</v>
      </c>
      <c r="C4712" s="7" t="s">
        <v>12556</v>
      </c>
      <c r="D4712" s="8">
        <f t="shared" si="296"/>
        <v>1</v>
      </c>
      <c r="E4712" s="7" t="s">
        <v>12557</v>
      </c>
      <c r="F4712" s="7">
        <f t="shared" si="297"/>
        <v>1</v>
      </c>
      <c r="G4712" s="7" t="s">
        <v>12558</v>
      </c>
      <c r="H4712" s="7">
        <f t="shared" si="298"/>
        <v>0</v>
      </c>
      <c r="I4712" s="7" t="str" cm="1">
        <f t="array" ref="I4712">IFERROR(_xlfn.IFS(M4712="נח",1,M4712="נע ונח",1,M4712="שני שווא נח",2,M4712="שני שוואים בסוף מילה",2,M4712="שני שוואים ברצף",1),"0")</f>
        <v>0</v>
      </c>
      <c r="J4712" s="9">
        <f t="shared" si="299"/>
        <v>2</v>
      </c>
      <c r="K4712" t="s">
        <v>6698</v>
      </c>
      <c r="L4712" t="s">
        <v>6695</v>
      </c>
      <c r="S4712" t="s">
        <v>6694</v>
      </c>
      <c r="W4712" t="s">
        <v>6720</v>
      </c>
    </row>
    <row r="4713" spans="1:23" ht="15.6" x14ac:dyDescent="0.4">
      <c r="A4713" s="2" t="s">
        <v>4055</v>
      </c>
      <c r="B4713" s="5" t="s">
        <v>10877</v>
      </c>
      <c r="C4713" s="7" t="s">
        <v>12556</v>
      </c>
      <c r="D4713" s="8">
        <f t="shared" si="296"/>
        <v>1</v>
      </c>
      <c r="E4713" s="7" t="s">
        <v>12557</v>
      </c>
      <c r="F4713" s="7">
        <f t="shared" si="297"/>
        <v>1</v>
      </c>
      <c r="G4713" s="7" t="s">
        <v>12558</v>
      </c>
      <c r="H4713" s="7">
        <f t="shared" si="298"/>
        <v>0</v>
      </c>
      <c r="I4713" s="7" t="str" cm="1">
        <f t="array" ref="I4713">IFERROR(_xlfn.IFS(M4713="נח",1,M4713="נע ונח",1,M4713="שני שווא נח",2,M4713="שני שוואים בסוף מילה",2,M4713="שני שוואים ברצף",1),"0")</f>
        <v>0</v>
      </c>
      <c r="J4713" s="9">
        <f t="shared" si="299"/>
        <v>3</v>
      </c>
      <c r="K4713" t="s">
        <v>6698</v>
      </c>
      <c r="L4713" t="s">
        <v>6695</v>
      </c>
      <c r="R4713" t="s">
        <v>6694</v>
      </c>
      <c r="S4713" t="s">
        <v>6694</v>
      </c>
      <c r="W4713" t="s">
        <v>6720</v>
      </c>
    </row>
    <row r="4714" spans="1:23" ht="15.6" x14ac:dyDescent="0.4">
      <c r="A4714" s="2" t="s">
        <v>2816</v>
      </c>
      <c r="B4714" s="5" t="s">
        <v>10878</v>
      </c>
      <c r="C4714" s="7" t="s">
        <v>12556</v>
      </c>
      <c r="D4714" s="8">
        <f t="shared" si="296"/>
        <v>1</v>
      </c>
      <c r="E4714" s="7" t="s">
        <v>12557</v>
      </c>
      <c r="F4714" s="7">
        <f t="shared" si="297"/>
        <v>1</v>
      </c>
      <c r="G4714" s="7" t="s">
        <v>12558</v>
      </c>
      <c r="H4714" s="7">
        <f t="shared" si="298"/>
        <v>0</v>
      </c>
      <c r="I4714" s="7" t="str" cm="1">
        <f t="array" ref="I4714">IFERROR(_xlfn.IFS(M4714="נח",1,M4714="נע ונח",1,M4714="שני שווא נח",2,M4714="שני שוואים בסוף מילה",2,M4714="שני שוואים ברצף",1),"0")</f>
        <v>0</v>
      </c>
      <c r="J4714" s="9">
        <f t="shared" si="299"/>
        <v>3</v>
      </c>
      <c r="K4714" t="s">
        <v>6698</v>
      </c>
      <c r="L4714" t="s">
        <v>6695</v>
      </c>
      <c r="P4714" t="s">
        <v>6694</v>
      </c>
      <c r="S4714" t="s">
        <v>6694</v>
      </c>
      <c r="W4714" t="s">
        <v>6720</v>
      </c>
    </row>
    <row r="4715" spans="1:23" ht="15.6" x14ac:dyDescent="0.4">
      <c r="A4715" s="2" t="s">
        <v>2414</v>
      </c>
      <c r="B4715" s="5" t="s">
        <v>10879</v>
      </c>
      <c r="C4715" s="7" t="s">
        <v>12556</v>
      </c>
      <c r="D4715" s="8">
        <f t="shared" si="296"/>
        <v>1</v>
      </c>
      <c r="E4715" s="7" t="s">
        <v>12557</v>
      </c>
      <c r="F4715" s="7">
        <f t="shared" si="297"/>
        <v>1</v>
      </c>
      <c r="G4715" s="7" t="s">
        <v>12558</v>
      </c>
      <c r="H4715" s="7">
        <f t="shared" si="298"/>
        <v>0</v>
      </c>
      <c r="I4715" s="7" t="str" cm="1">
        <f t="array" ref="I4715">IFERROR(_xlfn.IFS(M4715="נח",1,M4715="נע ונח",1,M4715="שני שווא נח",2,M4715="שני שוואים בסוף מילה",2,M4715="שני שוואים ברצף",1),"0")</f>
        <v>0</v>
      </c>
      <c r="J4715" s="9">
        <f t="shared" si="299"/>
        <v>4</v>
      </c>
      <c r="K4715" t="s">
        <v>6698</v>
      </c>
      <c r="L4715" t="s">
        <v>6695</v>
      </c>
      <c r="P4715" t="s">
        <v>6694</v>
      </c>
      <c r="Q4715" t="s">
        <v>6694</v>
      </c>
      <c r="S4715" t="s">
        <v>6694</v>
      </c>
      <c r="W4715" t="s">
        <v>6720</v>
      </c>
    </row>
    <row r="4716" spans="1:23" ht="15.6" x14ac:dyDescent="0.4">
      <c r="A4716" s="2" t="s">
        <v>692</v>
      </c>
      <c r="B4716" s="5" t="s">
        <v>10877</v>
      </c>
      <c r="C4716" s="7" t="s">
        <v>12556</v>
      </c>
      <c r="D4716" s="8">
        <f t="shared" si="296"/>
        <v>1</v>
      </c>
      <c r="E4716" s="7" t="s">
        <v>12557</v>
      </c>
      <c r="F4716" s="7">
        <f t="shared" si="297"/>
        <v>1</v>
      </c>
      <c r="G4716" s="7" t="s">
        <v>12558</v>
      </c>
      <c r="H4716" s="7">
        <f t="shared" si="298"/>
        <v>0</v>
      </c>
      <c r="I4716" s="7" t="str" cm="1">
        <f t="array" ref="I4716">IFERROR(_xlfn.IFS(M4716="נח",1,M4716="נע ונח",1,M4716="שני שווא נח",2,M4716="שני שוואים בסוף מילה",2,M4716="שני שוואים ברצף",1),"0")</f>
        <v>0</v>
      </c>
      <c r="J4716" s="9">
        <f t="shared" si="299"/>
        <v>3</v>
      </c>
      <c r="K4716" t="s">
        <v>6698</v>
      </c>
      <c r="L4716" t="s">
        <v>6695</v>
      </c>
      <c r="O4716" t="s">
        <v>6694</v>
      </c>
      <c r="R4716" t="s">
        <v>6694</v>
      </c>
      <c r="S4716" t="s">
        <v>6694</v>
      </c>
      <c r="W4716" t="s">
        <v>6720</v>
      </c>
    </row>
    <row r="4717" spans="1:23" ht="15.6" x14ac:dyDescent="0.4">
      <c r="A4717" s="2" t="s">
        <v>433</v>
      </c>
      <c r="B4717" s="5" t="s">
        <v>10880</v>
      </c>
      <c r="C4717" s="7" t="s">
        <v>12556</v>
      </c>
      <c r="D4717" s="8">
        <f t="shared" si="296"/>
        <v>1</v>
      </c>
      <c r="E4717" s="7" t="s">
        <v>12557</v>
      </c>
      <c r="F4717" s="7">
        <f t="shared" si="297"/>
        <v>1</v>
      </c>
      <c r="G4717" s="7" t="s">
        <v>12558</v>
      </c>
      <c r="H4717" s="7">
        <f t="shared" si="298"/>
        <v>0</v>
      </c>
      <c r="I4717" s="7" t="str" cm="1">
        <f t="array" ref="I4717">IFERROR(_xlfn.IFS(M4717="נח",1,M4717="נע ונח",1,M4717="שני שווא נח",2,M4717="שני שוואים בסוף מילה",2,M4717="שני שוואים ברצף",1),"0")</f>
        <v>0</v>
      </c>
      <c r="J4717" s="9">
        <f t="shared" si="299"/>
        <v>4</v>
      </c>
      <c r="K4717" t="s">
        <v>6698</v>
      </c>
      <c r="L4717" t="s">
        <v>6695</v>
      </c>
      <c r="O4717" t="s">
        <v>6694</v>
      </c>
      <c r="P4717" t="s">
        <v>6694</v>
      </c>
      <c r="S4717" t="s">
        <v>6694</v>
      </c>
      <c r="W4717" t="s">
        <v>6720</v>
      </c>
    </row>
    <row r="4718" spans="1:23" ht="15.6" x14ac:dyDescent="0.4">
      <c r="A4718" s="2" t="s">
        <v>2085</v>
      </c>
      <c r="B4718" s="5" t="s">
        <v>10881</v>
      </c>
      <c r="C4718" s="7" t="s">
        <v>12556</v>
      </c>
      <c r="D4718" s="8">
        <f t="shared" si="296"/>
        <v>1</v>
      </c>
      <c r="E4718" s="7" t="s">
        <v>12557</v>
      </c>
      <c r="F4718" s="7">
        <f t="shared" si="297"/>
        <v>1</v>
      </c>
      <c r="G4718" s="7" t="s">
        <v>12558</v>
      </c>
      <c r="H4718" s="7">
        <f t="shared" si="298"/>
        <v>0</v>
      </c>
      <c r="I4718" s="7" t="str" cm="1">
        <f t="array" ref="I4718">IFERROR(_xlfn.IFS(M4718="נח",1,M4718="נע ונח",1,M4718="שני שווא נח",2,M4718="שני שוואים בסוף מילה",2,M4718="שני שוואים ברצף",1),"0")</f>
        <v>0</v>
      </c>
      <c r="J4718" s="9">
        <f t="shared" si="299"/>
        <v>4</v>
      </c>
      <c r="K4718" t="s">
        <v>6698</v>
      </c>
      <c r="L4718" t="s">
        <v>6695</v>
      </c>
      <c r="Q4718" t="s">
        <v>6694</v>
      </c>
      <c r="R4718" t="s">
        <v>6694</v>
      </c>
      <c r="S4718" t="s">
        <v>6694</v>
      </c>
      <c r="V4718" t="s">
        <v>6694</v>
      </c>
      <c r="W4718" t="s">
        <v>6720</v>
      </c>
    </row>
    <row r="4719" spans="1:23" ht="15.6" x14ac:dyDescent="0.4">
      <c r="A4719" s="2" t="s">
        <v>1821</v>
      </c>
      <c r="B4719" s="5" t="s">
        <v>10882</v>
      </c>
      <c r="C4719" s="7" t="s">
        <v>12556</v>
      </c>
      <c r="D4719" s="8">
        <f t="shared" si="296"/>
        <v>1</v>
      </c>
      <c r="E4719" s="7" t="s">
        <v>12557</v>
      </c>
      <c r="F4719" s="7">
        <f t="shared" si="297"/>
        <v>1</v>
      </c>
      <c r="G4719" s="7" t="s">
        <v>12558</v>
      </c>
      <c r="H4719" s="7">
        <f t="shared" si="298"/>
        <v>0</v>
      </c>
      <c r="I4719" s="7" t="str" cm="1">
        <f t="array" ref="I4719">IFERROR(_xlfn.IFS(M4719="נח",1,M4719="נע ונח",1,M4719="שני שווא נח",2,M4719="שני שוואים בסוף מילה",2,M4719="שני שוואים ברצף",1),"0")</f>
        <v>0</v>
      </c>
      <c r="J4719" s="9">
        <f t="shared" si="299"/>
        <v>2</v>
      </c>
      <c r="K4719" t="s">
        <v>6698</v>
      </c>
      <c r="L4719" t="s">
        <v>6695</v>
      </c>
      <c r="S4719" t="s">
        <v>6694</v>
      </c>
      <c r="V4719" t="s">
        <v>6694</v>
      </c>
      <c r="W4719" t="s">
        <v>6720</v>
      </c>
    </row>
    <row r="4720" spans="1:23" ht="15.6" x14ac:dyDescent="0.4">
      <c r="A4720" s="2" t="s">
        <v>5022</v>
      </c>
      <c r="B4720" s="5" t="s">
        <v>10868</v>
      </c>
      <c r="C4720" s="7" t="s">
        <v>12556</v>
      </c>
      <c r="D4720" s="8">
        <f t="shared" si="296"/>
        <v>1</v>
      </c>
      <c r="E4720" s="7" t="s">
        <v>12557</v>
      </c>
      <c r="F4720" s="7">
        <f t="shared" si="297"/>
        <v>1</v>
      </c>
      <c r="G4720" s="7" t="s">
        <v>12558</v>
      </c>
      <c r="H4720" s="7">
        <f t="shared" si="298"/>
        <v>0</v>
      </c>
      <c r="I4720" s="7" cm="1">
        <f t="array" ref="I4720">IFERROR(_xlfn.IFS(M4720="נח",1,M4720="נע ונח",1,M4720="שני שווא נח",2,M4720="שני שוואים בסוף מילה",2,M4720="שני שוואים ברצף",1),"0")</f>
        <v>1</v>
      </c>
      <c r="J4720" s="9">
        <f t="shared" si="299"/>
        <v>3</v>
      </c>
      <c r="K4720" t="s">
        <v>6698</v>
      </c>
      <c r="L4720" t="s">
        <v>6694</v>
      </c>
      <c r="M4720" t="s">
        <v>6705</v>
      </c>
      <c r="Q4720" t="s">
        <v>6694</v>
      </c>
      <c r="S4720" t="s">
        <v>6694</v>
      </c>
      <c r="V4720" t="s">
        <v>6694</v>
      </c>
      <c r="W4720" t="s">
        <v>6720</v>
      </c>
    </row>
    <row r="4721" spans="1:23" ht="15.6" x14ac:dyDescent="0.4">
      <c r="A4721" s="2" t="s">
        <v>2914</v>
      </c>
      <c r="B4721" s="5" t="s">
        <v>10883</v>
      </c>
      <c r="C4721" s="7" t="s">
        <v>12556</v>
      </c>
      <c r="D4721" s="8">
        <f t="shared" si="296"/>
        <v>1</v>
      </c>
      <c r="E4721" s="7" t="s">
        <v>12557</v>
      </c>
      <c r="F4721" s="7">
        <f t="shared" si="297"/>
        <v>2</v>
      </c>
      <c r="G4721" s="7" t="s">
        <v>12558</v>
      </c>
      <c r="H4721" s="7">
        <f t="shared" si="298"/>
        <v>0</v>
      </c>
      <c r="I4721" s="7" cm="1">
        <f t="array" ref="I4721">IFERROR(_xlfn.IFS(M4721="נח",1,M4721="נע ונח",1,M4721="שני שווא נח",2,M4721="שני שוואים בסוף מילה",2,M4721="שני שוואים ברצף",1),"0")</f>
        <v>1</v>
      </c>
      <c r="J4721" s="9">
        <f t="shared" si="299"/>
        <v>3</v>
      </c>
      <c r="K4721" t="s">
        <v>6697</v>
      </c>
      <c r="L4721" t="s">
        <v>6694</v>
      </c>
      <c r="M4721" t="s">
        <v>6705</v>
      </c>
      <c r="P4721" t="s">
        <v>6694</v>
      </c>
      <c r="S4721" t="s">
        <v>6694</v>
      </c>
      <c r="W4721" t="s">
        <v>6720</v>
      </c>
    </row>
    <row r="4722" spans="1:23" ht="15.6" x14ac:dyDescent="0.4">
      <c r="A4722" s="2" t="s">
        <v>2397</v>
      </c>
      <c r="B4722" s="5" t="s">
        <v>10884</v>
      </c>
      <c r="C4722" s="7" t="s">
        <v>12556</v>
      </c>
      <c r="D4722" s="8">
        <f t="shared" si="296"/>
        <v>1</v>
      </c>
      <c r="E4722" s="7" t="s">
        <v>12557</v>
      </c>
      <c r="F4722" s="7">
        <f t="shared" si="297"/>
        <v>1</v>
      </c>
      <c r="G4722" s="7" t="s">
        <v>12558</v>
      </c>
      <c r="H4722" s="7">
        <f t="shared" si="298"/>
        <v>0</v>
      </c>
      <c r="I4722" s="7" cm="1">
        <f t="array" ref="I4722">IFERROR(_xlfn.IFS(M4722="נח",1,M4722="נע ונח",1,M4722="שני שווא נח",2,M4722="שני שוואים בסוף מילה",2,M4722="שני שוואים ברצף",1),"0")</f>
        <v>1</v>
      </c>
      <c r="J4722" s="9">
        <f t="shared" si="299"/>
        <v>2</v>
      </c>
      <c r="K4722" t="s">
        <v>6698</v>
      </c>
      <c r="L4722" t="s">
        <v>6694</v>
      </c>
      <c r="M4722" t="s">
        <v>6705</v>
      </c>
      <c r="N4722" t="s">
        <v>6706</v>
      </c>
      <c r="O4722" t="s">
        <v>6694</v>
      </c>
      <c r="S4722" t="s">
        <v>6694</v>
      </c>
      <c r="W4722" t="s">
        <v>6720</v>
      </c>
    </row>
    <row r="4723" spans="1:23" ht="15.6" x14ac:dyDescent="0.4">
      <c r="A4723" s="2" t="s">
        <v>4299</v>
      </c>
      <c r="B4723" s="5" t="s">
        <v>10885</v>
      </c>
      <c r="C4723" s="7" t="s">
        <v>12556</v>
      </c>
      <c r="D4723" s="8">
        <f t="shared" si="296"/>
        <v>1</v>
      </c>
      <c r="E4723" s="7" t="s">
        <v>12557</v>
      </c>
      <c r="F4723" s="7">
        <f t="shared" si="297"/>
        <v>1</v>
      </c>
      <c r="G4723" s="7" t="s">
        <v>12558</v>
      </c>
      <c r="H4723" s="7">
        <f t="shared" si="298"/>
        <v>0</v>
      </c>
      <c r="I4723" s="7" cm="1">
        <f t="array" ref="I4723">IFERROR(_xlfn.IFS(M4723="נח",1,M4723="נע ונח",1,M4723="שני שווא נח",2,M4723="שני שוואים בסוף מילה",2,M4723="שני שוואים ברצף",1),"0")</f>
        <v>1</v>
      </c>
      <c r="J4723" s="9">
        <f t="shared" si="299"/>
        <v>3</v>
      </c>
      <c r="K4723" t="s">
        <v>6697</v>
      </c>
      <c r="L4723" t="s">
        <v>6694</v>
      </c>
      <c r="M4723" t="s">
        <v>6705</v>
      </c>
      <c r="Q4723" t="s">
        <v>6694</v>
      </c>
      <c r="S4723" t="s">
        <v>6694</v>
      </c>
      <c r="V4723" t="s">
        <v>6694</v>
      </c>
      <c r="W4723" t="s">
        <v>6720</v>
      </c>
    </row>
    <row r="4724" spans="1:23" ht="15.6" x14ac:dyDescent="0.4">
      <c r="A4724" s="2" t="s">
        <v>3532</v>
      </c>
      <c r="B4724" s="5" t="s">
        <v>10886</v>
      </c>
      <c r="C4724" s="7" t="s">
        <v>12556</v>
      </c>
      <c r="D4724" s="8">
        <f t="shared" si="296"/>
        <v>1</v>
      </c>
      <c r="E4724" s="7" t="s">
        <v>12557</v>
      </c>
      <c r="F4724" s="7">
        <f t="shared" si="297"/>
        <v>1</v>
      </c>
      <c r="G4724" s="7" t="s">
        <v>12558</v>
      </c>
      <c r="H4724" s="7">
        <f t="shared" si="298"/>
        <v>0</v>
      </c>
      <c r="I4724" s="7" t="str" cm="1">
        <f t="array" ref="I4724">IFERROR(_xlfn.IFS(M4724="נח",1,M4724="נע ונח",1,M4724="שני שווא נח",2,M4724="שני שוואים בסוף מילה",2,M4724="שני שוואים ברצף",1),"0")</f>
        <v>0</v>
      </c>
      <c r="J4724" s="9">
        <f t="shared" si="299"/>
        <v>4</v>
      </c>
      <c r="K4724" t="s">
        <v>6698</v>
      </c>
      <c r="L4724" t="s">
        <v>6695</v>
      </c>
      <c r="P4724" t="s">
        <v>6694</v>
      </c>
      <c r="S4724" t="s">
        <v>6694</v>
      </c>
      <c r="V4724" t="s">
        <v>6694</v>
      </c>
      <c r="W4724" t="s">
        <v>6720</v>
      </c>
    </row>
    <row r="4725" spans="1:23" ht="15.6" x14ac:dyDescent="0.4">
      <c r="A4725" s="2" t="s">
        <v>4608</v>
      </c>
      <c r="B4725" s="5" t="s">
        <v>10700</v>
      </c>
      <c r="C4725" s="7" t="s">
        <v>12556</v>
      </c>
      <c r="D4725" s="8">
        <f t="shared" si="296"/>
        <v>1</v>
      </c>
      <c r="E4725" s="7" t="s">
        <v>12557</v>
      </c>
      <c r="F4725" s="7">
        <f t="shared" si="297"/>
        <v>1</v>
      </c>
      <c r="G4725" s="7" t="s">
        <v>12558</v>
      </c>
      <c r="H4725" s="7">
        <f t="shared" si="298"/>
        <v>0</v>
      </c>
      <c r="I4725" s="7" cm="1">
        <f t="array" ref="I4725">IFERROR(_xlfn.IFS(M4725="נח",1,M4725="נע ונח",1,M4725="שני שווא נח",2,M4725="שני שוואים בסוף מילה",2,M4725="שני שוואים ברצף",1),"0")</f>
        <v>1</v>
      </c>
      <c r="J4725" s="9">
        <f t="shared" si="299"/>
        <v>3</v>
      </c>
      <c r="K4725" t="s">
        <v>6698</v>
      </c>
      <c r="L4725" t="s">
        <v>6694</v>
      </c>
      <c r="M4725" t="s">
        <v>6705</v>
      </c>
      <c r="P4725" t="s">
        <v>6694</v>
      </c>
      <c r="S4725" t="s">
        <v>6694</v>
      </c>
      <c r="V4725" t="s">
        <v>6694</v>
      </c>
      <c r="W4725" t="s">
        <v>6720</v>
      </c>
    </row>
    <row r="4726" spans="1:23" ht="15.6" x14ac:dyDescent="0.4">
      <c r="A4726" s="2" t="s">
        <v>2412</v>
      </c>
      <c r="B4726" s="5" t="s">
        <v>10700</v>
      </c>
      <c r="C4726" s="7" t="s">
        <v>12556</v>
      </c>
      <c r="D4726" s="8">
        <f t="shared" si="296"/>
        <v>1</v>
      </c>
      <c r="E4726" s="7" t="s">
        <v>12557</v>
      </c>
      <c r="F4726" s="7">
        <f t="shared" si="297"/>
        <v>1</v>
      </c>
      <c r="G4726" s="7" t="s">
        <v>12558</v>
      </c>
      <c r="H4726" s="7">
        <f t="shared" si="298"/>
        <v>0</v>
      </c>
      <c r="I4726" s="7" cm="1">
        <f t="array" ref="I4726">IFERROR(_xlfn.IFS(M4726="נח",1,M4726="נע ונח",1,M4726="שני שווא נח",2,M4726="שני שוואים בסוף מילה",2,M4726="שני שוואים ברצף",1),"0")</f>
        <v>1</v>
      </c>
      <c r="J4726" s="9">
        <f t="shared" si="299"/>
        <v>3</v>
      </c>
      <c r="K4726" t="s">
        <v>6698</v>
      </c>
      <c r="L4726" t="s">
        <v>6694</v>
      </c>
      <c r="M4726" t="s">
        <v>6705</v>
      </c>
      <c r="N4726" t="s">
        <v>6706</v>
      </c>
      <c r="O4726" t="s">
        <v>6694</v>
      </c>
      <c r="S4726" t="s">
        <v>6694</v>
      </c>
      <c r="V4726" t="s">
        <v>6694</v>
      </c>
      <c r="W4726" t="s">
        <v>6720</v>
      </c>
    </row>
    <row r="4727" spans="1:23" ht="15.6" x14ac:dyDescent="0.4">
      <c r="A4727" s="2" t="s">
        <v>4552</v>
      </c>
      <c r="B4727" s="5" t="s">
        <v>10887</v>
      </c>
      <c r="C4727" s="7" t="s">
        <v>12556</v>
      </c>
      <c r="D4727" s="8">
        <f t="shared" si="296"/>
        <v>0</v>
      </c>
      <c r="E4727" s="7" t="s">
        <v>12557</v>
      </c>
      <c r="F4727" s="7">
        <f t="shared" si="297"/>
        <v>1</v>
      </c>
      <c r="G4727" s="7" t="s">
        <v>12558</v>
      </c>
      <c r="H4727" s="7">
        <f t="shared" si="298"/>
        <v>0</v>
      </c>
      <c r="I4727" s="7" cm="1">
        <f t="array" ref="I4727">IFERROR(_xlfn.IFS(M4727="נח",1,M4727="נע ונח",1,M4727="שני שווא נח",2,M4727="שני שוואים בסוף מילה",2,M4727="שני שוואים ברצף",1),"0")</f>
        <v>2</v>
      </c>
      <c r="J4727" s="9">
        <f t="shared" si="299"/>
        <v>3</v>
      </c>
      <c r="K4727" t="s">
        <v>6698</v>
      </c>
      <c r="L4727" t="s">
        <v>6694</v>
      </c>
      <c r="M4727" t="s">
        <v>6704</v>
      </c>
      <c r="P4727" t="s">
        <v>6694</v>
      </c>
      <c r="Q4727" t="s">
        <v>6694</v>
      </c>
      <c r="S4727" t="s">
        <v>6694</v>
      </c>
      <c r="W4727" t="s">
        <v>6720</v>
      </c>
    </row>
    <row r="4728" spans="1:23" ht="15.6" x14ac:dyDescent="0.4">
      <c r="A4728" s="2" t="s">
        <v>6426</v>
      </c>
      <c r="B4728" s="5" t="s">
        <v>10888</v>
      </c>
      <c r="C4728" s="7" t="s">
        <v>12556</v>
      </c>
      <c r="D4728" s="8">
        <f t="shared" si="296"/>
        <v>0</v>
      </c>
      <c r="E4728" s="7" t="s">
        <v>12557</v>
      </c>
      <c r="F4728" s="7">
        <f t="shared" si="297"/>
        <v>2</v>
      </c>
      <c r="G4728" s="7" t="s">
        <v>12558</v>
      </c>
      <c r="H4728" s="7">
        <f t="shared" si="298"/>
        <v>0</v>
      </c>
      <c r="I4728" s="7" cm="1">
        <f t="array" ref="I4728">IFERROR(_xlfn.IFS(M4728="נח",1,M4728="נע ונח",1,M4728="שני שווא נח",2,M4728="שני שוואים בסוף מילה",2,M4728="שני שוואים ברצף",1),"0")</f>
        <v>1</v>
      </c>
      <c r="J4728" s="9">
        <f t="shared" si="299"/>
        <v>4</v>
      </c>
      <c r="K4728" t="s">
        <v>6697</v>
      </c>
      <c r="L4728" t="s">
        <v>6694</v>
      </c>
      <c r="M4728" t="s">
        <v>6705</v>
      </c>
      <c r="O4728" t="s">
        <v>6694</v>
      </c>
      <c r="S4728" t="s">
        <v>6694</v>
      </c>
      <c r="W4728" t="s">
        <v>6720</v>
      </c>
    </row>
    <row r="4729" spans="1:23" ht="15.6" x14ac:dyDescent="0.4">
      <c r="A4729" s="2" t="s">
        <v>3470</v>
      </c>
      <c r="B4729" s="5" t="s">
        <v>10889</v>
      </c>
      <c r="C4729" s="7" t="s">
        <v>12556</v>
      </c>
      <c r="D4729" s="8">
        <f t="shared" si="296"/>
        <v>0</v>
      </c>
      <c r="E4729" s="7" t="s">
        <v>12557</v>
      </c>
      <c r="F4729" s="7">
        <f t="shared" si="297"/>
        <v>1</v>
      </c>
      <c r="G4729" s="7" t="s">
        <v>12558</v>
      </c>
      <c r="H4729" s="7">
        <f t="shared" si="298"/>
        <v>0</v>
      </c>
      <c r="I4729" s="7" cm="1">
        <f t="array" ref="I4729">IFERROR(_xlfn.IFS(M4729="נח",1,M4729="נע ונח",1,M4729="שני שווא נח",2,M4729="שני שוואים בסוף מילה",2,M4729="שני שוואים ברצף",1),"0")</f>
        <v>1</v>
      </c>
      <c r="J4729" s="9">
        <f t="shared" si="299"/>
        <v>3</v>
      </c>
      <c r="K4729" t="s">
        <v>6698</v>
      </c>
      <c r="L4729" t="s">
        <v>6694</v>
      </c>
      <c r="M4729" t="s">
        <v>6705</v>
      </c>
      <c r="P4729" t="s">
        <v>6694</v>
      </c>
      <c r="S4729" t="s">
        <v>6694</v>
      </c>
      <c r="W4729" t="s">
        <v>6720</v>
      </c>
    </row>
    <row r="4730" spans="1:23" ht="15.6" x14ac:dyDescent="0.4">
      <c r="A4730" s="2" t="s">
        <v>3110</v>
      </c>
      <c r="B4730" s="5" t="s">
        <v>10890</v>
      </c>
      <c r="C4730" s="7" t="s">
        <v>12556</v>
      </c>
      <c r="D4730" s="8">
        <f t="shared" si="296"/>
        <v>0</v>
      </c>
      <c r="E4730" s="7" t="s">
        <v>12557</v>
      </c>
      <c r="F4730" s="7">
        <f t="shared" si="297"/>
        <v>1</v>
      </c>
      <c r="G4730" s="7" t="s">
        <v>12558</v>
      </c>
      <c r="H4730" s="7">
        <f t="shared" si="298"/>
        <v>0</v>
      </c>
      <c r="I4730" s="7" cm="1">
        <f t="array" ref="I4730">IFERROR(_xlfn.IFS(M4730="נח",1,M4730="נע ונח",1,M4730="שני שווא נח",2,M4730="שני שוואים בסוף מילה",2,M4730="שני שוואים ברצף",1),"0")</f>
        <v>1</v>
      </c>
      <c r="J4730" s="9">
        <f t="shared" si="299"/>
        <v>2</v>
      </c>
      <c r="K4730" t="s">
        <v>6698</v>
      </c>
      <c r="L4730" t="s">
        <v>6694</v>
      </c>
      <c r="M4730" t="s">
        <v>6705</v>
      </c>
      <c r="S4730" t="s">
        <v>6694</v>
      </c>
      <c r="V4730" t="s">
        <v>6694</v>
      </c>
      <c r="W4730" t="s">
        <v>6720</v>
      </c>
    </row>
    <row r="4731" spans="1:23" ht="15.6" x14ac:dyDescent="0.4">
      <c r="A4731" s="2" t="s">
        <v>1783</v>
      </c>
      <c r="B4731" s="5" t="s">
        <v>10891</v>
      </c>
      <c r="C4731" s="7" t="s">
        <v>12556</v>
      </c>
      <c r="D4731" s="8">
        <f t="shared" si="296"/>
        <v>0</v>
      </c>
      <c r="E4731" s="7" t="s">
        <v>12557</v>
      </c>
      <c r="F4731" s="7">
        <f t="shared" si="297"/>
        <v>1</v>
      </c>
      <c r="G4731" s="7" t="s">
        <v>12558</v>
      </c>
      <c r="H4731" s="7">
        <f t="shared" si="298"/>
        <v>0</v>
      </c>
      <c r="I4731" s="7" t="str" cm="1">
        <f t="array" ref="I4731">IFERROR(_xlfn.IFS(M4731="נח",1,M4731="נע ונח",1,M4731="שני שווא נח",2,M4731="שני שוואים בסוף מילה",2,M4731="שני שוואים ברצף",1),"0")</f>
        <v>0</v>
      </c>
      <c r="J4731" s="9">
        <f t="shared" si="299"/>
        <v>3</v>
      </c>
      <c r="K4731" t="s">
        <v>6698</v>
      </c>
      <c r="L4731" t="s">
        <v>6695</v>
      </c>
      <c r="N4731" t="s">
        <v>6706</v>
      </c>
      <c r="O4731" t="s">
        <v>6694</v>
      </c>
      <c r="S4731" t="s">
        <v>6694</v>
      </c>
      <c r="V4731" t="s">
        <v>6694</v>
      </c>
      <c r="W4731" t="s">
        <v>6720</v>
      </c>
    </row>
    <row r="4732" spans="1:23" ht="15.6" x14ac:dyDescent="0.4">
      <c r="A4732" s="2" t="s">
        <v>5994</v>
      </c>
      <c r="B4732" s="5" t="s">
        <v>10892</v>
      </c>
      <c r="C4732" s="7" t="s">
        <v>12556</v>
      </c>
      <c r="D4732" s="8">
        <f t="shared" si="296"/>
        <v>0</v>
      </c>
      <c r="E4732" s="7" t="s">
        <v>12557</v>
      </c>
      <c r="F4732" s="7">
        <f t="shared" si="297"/>
        <v>1</v>
      </c>
      <c r="G4732" s="7" t="s">
        <v>12558</v>
      </c>
      <c r="H4732" s="7">
        <f t="shared" si="298"/>
        <v>0</v>
      </c>
      <c r="I4732" s="7" t="str" cm="1">
        <f t="array" ref="I4732">IFERROR(_xlfn.IFS(M4732="נח",1,M4732="נע ונח",1,M4732="שני שווא נח",2,M4732="שני שוואים בסוף מילה",2,M4732="שני שוואים ברצף",1),"0")</f>
        <v>0</v>
      </c>
      <c r="J4732" s="9">
        <f t="shared" si="299"/>
        <v>5</v>
      </c>
      <c r="K4732" t="s">
        <v>6697</v>
      </c>
      <c r="L4732" t="s">
        <v>6695</v>
      </c>
      <c r="O4732" t="s">
        <v>6694</v>
      </c>
      <c r="R4732" t="s">
        <v>6694</v>
      </c>
      <c r="S4732" t="s">
        <v>6694</v>
      </c>
      <c r="V4732" t="s">
        <v>6694</v>
      </c>
      <c r="W4732" t="s">
        <v>6720</v>
      </c>
    </row>
    <row r="4733" spans="1:23" ht="15.6" x14ac:dyDescent="0.4">
      <c r="A4733" s="2" t="s">
        <v>296</v>
      </c>
      <c r="B4733" s="5" t="s">
        <v>10893</v>
      </c>
      <c r="C4733" s="7" t="s">
        <v>12556</v>
      </c>
      <c r="D4733" s="8">
        <f t="shared" si="296"/>
        <v>0</v>
      </c>
      <c r="E4733" s="7" t="s">
        <v>12557</v>
      </c>
      <c r="F4733" s="7">
        <f t="shared" si="297"/>
        <v>2</v>
      </c>
      <c r="G4733" s="7" t="s">
        <v>12558</v>
      </c>
      <c r="H4733" s="7">
        <f t="shared" si="298"/>
        <v>1</v>
      </c>
      <c r="I4733" s="7" t="str" cm="1">
        <f t="array" ref="I4733">IFERROR(_xlfn.IFS(M4733="נח",1,M4733="נע ונח",1,M4733="שני שווא נח",2,M4733="שני שוואים בסוף מילה",2,M4733="שני שוואים ברצף",1),"0")</f>
        <v>0</v>
      </c>
      <c r="J4733" s="9">
        <f t="shared" si="299"/>
        <v>3</v>
      </c>
      <c r="K4733" t="s">
        <v>6697</v>
      </c>
      <c r="L4733" t="s">
        <v>6695</v>
      </c>
      <c r="O4733" t="s">
        <v>6694</v>
      </c>
      <c r="S4733" t="s">
        <v>6694</v>
      </c>
      <c r="U4733" t="s">
        <v>6694</v>
      </c>
      <c r="W4733" t="s">
        <v>6720</v>
      </c>
    </row>
    <row r="4734" spans="1:23" ht="15.6" x14ac:dyDescent="0.4">
      <c r="A4734" s="2" t="s">
        <v>2152</v>
      </c>
      <c r="B4734" s="5" t="s">
        <v>10894</v>
      </c>
      <c r="C4734" s="7" t="s">
        <v>12556</v>
      </c>
      <c r="D4734" s="8">
        <f t="shared" si="296"/>
        <v>0</v>
      </c>
      <c r="E4734" s="7" t="s">
        <v>12557</v>
      </c>
      <c r="F4734" s="7">
        <f t="shared" si="297"/>
        <v>0</v>
      </c>
      <c r="G4734" s="7" t="s">
        <v>12558</v>
      </c>
      <c r="H4734" s="7">
        <f t="shared" si="298"/>
        <v>0</v>
      </c>
      <c r="I4734" s="7" t="str" cm="1">
        <f t="array" ref="I4734">IFERROR(_xlfn.IFS(M4734="נח",1,M4734="נע ונח",1,M4734="שני שווא נח",2,M4734="שני שוואים בסוף מילה",2,M4734="שני שוואים ברצף",1),"0")</f>
        <v>0</v>
      </c>
      <c r="J4734" s="9">
        <f t="shared" si="299"/>
        <v>4</v>
      </c>
      <c r="K4734" t="s">
        <v>6698</v>
      </c>
      <c r="L4734" t="s">
        <v>6695</v>
      </c>
      <c r="Q4734" t="s">
        <v>6694</v>
      </c>
      <c r="R4734" t="s">
        <v>6694</v>
      </c>
      <c r="S4734" t="s">
        <v>6694</v>
      </c>
      <c r="V4734" t="s">
        <v>6694</v>
      </c>
      <c r="W4734" t="s">
        <v>6720</v>
      </c>
    </row>
    <row r="4735" spans="1:23" ht="15.6" x14ac:dyDescent="0.4">
      <c r="A4735" s="2" t="s">
        <v>2574</v>
      </c>
      <c r="B4735" s="5" t="s">
        <v>10895</v>
      </c>
      <c r="C4735" s="7" t="s">
        <v>12556</v>
      </c>
      <c r="D4735" s="8">
        <f t="shared" si="296"/>
        <v>0</v>
      </c>
      <c r="E4735" s="7" t="s">
        <v>12557</v>
      </c>
      <c r="F4735" s="7">
        <f t="shared" si="297"/>
        <v>0</v>
      </c>
      <c r="G4735" s="7" t="s">
        <v>12558</v>
      </c>
      <c r="H4735" s="7">
        <f t="shared" si="298"/>
        <v>0</v>
      </c>
      <c r="I4735" s="7" t="str" cm="1">
        <f t="array" ref="I4735">IFERROR(_xlfn.IFS(M4735="נח",1,M4735="נע ונח",1,M4735="שני שווא נח",2,M4735="שני שוואים בסוף מילה",2,M4735="שני שוואים ברצף",1),"0")</f>
        <v>0</v>
      </c>
      <c r="J4735" s="9">
        <f t="shared" si="299"/>
        <v>4</v>
      </c>
      <c r="K4735" t="s">
        <v>6698</v>
      </c>
      <c r="L4735" t="s">
        <v>6695</v>
      </c>
      <c r="Q4735" t="s">
        <v>6694</v>
      </c>
      <c r="R4735" t="s">
        <v>6694</v>
      </c>
      <c r="V4735" t="s">
        <v>6694</v>
      </c>
      <c r="W4735" t="s">
        <v>6720</v>
      </c>
    </row>
    <row r="4736" spans="1:23" ht="15.6" x14ac:dyDescent="0.4">
      <c r="A4736" s="2" t="s">
        <v>4728</v>
      </c>
      <c r="B4736" s="5" t="s">
        <v>10896</v>
      </c>
      <c r="C4736" s="7" t="s">
        <v>12556</v>
      </c>
      <c r="D4736" s="8">
        <f t="shared" si="296"/>
        <v>0</v>
      </c>
      <c r="E4736" s="7" t="s">
        <v>12557</v>
      </c>
      <c r="F4736" s="7">
        <f t="shared" si="297"/>
        <v>0</v>
      </c>
      <c r="G4736" s="7" t="s">
        <v>12558</v>
      </c>
      <c r="H4736" s="7">
        <f t="shared" si="298"/>
        <v>0</v>
      </c>
      <c r="I4736" s="7" t="str" cm="1">
        <f t="array" ref="I4736">IFERROR(_xlfn.IFS(M4736="נח",1,M4736="נע ונח",1,M4736="שני שווא נח",2,M4736="שני שוואים בסוף מילה",2,M4736="שני שוואים ברצף",1),"0")</f>
        <v>0</v>
      </c>
      <c r="J4736" s="9">
        <f t="shared" si="299"/>
        <v>3</v>
      </c>
      <c r="K4736" t="s">
        <v>6697</v>
      </c>
      <c r="L4736" t="s">
        <v>6695</v>
      </c>
      <c r="O4736" t="s">
        <v>6694</v>
      </c>
      <c r="P4736" t="s">
        <v>6694</v>
      </c>
      <c r="Q4736" t="s">
        <v>6694</v>
      </c>
      <c r="W4736" t="s">
        <v>6720</v>
      </c>
    </row>
    <row r="4737" spans="1:23" ht="15.6" x14ac:dyDescent="0.4">
      <c r="A4737" s="2" t="s">
        <v>5725</v>
      </c>
      <c r="B4737" s="5" t="s">
        <v>10897</v>
      </c>
      <c r="C4737" s="7" t="s">
        <v>12556</v>
      </c>
      <c r="D4737" s="8">
        <f t="shared" si="296"/>
        <v>0</v>
      </c>
      <c r="E4737" s="7" t="s">
        <v>12557</v>
      </c>
      <c r="F4737" s="7">
        <f t="shared" si="297"/>
        <v>1</v>
      </c>
      <c r="G4737" s="7" t="s">
        <v>12558</v>
      </c>
      <c r="H4737" s="7">
        <f t="shared" si="298"/>
        <v>1</v>
      </c>
      <c r="I4737" s="7" t="str" cm="1">
        <f t="array" ref="I4737">IFERROR(_xlfn.IFS(M4737="נח",1,M4737="נע ונח",1,M4737="שני שווא נח",2,M4737="שני שוואים בסוף מילה",2,M4737="שני שוואים ברצף",1),"0")</f>
        <v>0</v>
      </c>
      <c r="J4737" s="9">
        <f t="shared" si="299"/>
        <v>3</v>
      </c>
      <c r="K4737" t="s">
        <v>6697</v>
      </c>
      <c r="L4737" t="s">
        <v>6695</v>
      </c>
      <c r="P4737" t="s">
        <v>6694</v>
      </c>
      <c r="Q4737" t="s">
        <v>6694</v>
      </c>
      <c r="U4737" t="s">
        <v>6694</v>
      </c>
      <c r="W4737" t="s">
        <v>6720</v>
      </c>
    </row>
    <row r="4738" spans="1:23" ht="15.6" x14ac:dyDescent="0.4">
      <c r="A4738" s="2" t="s">
        <v>1874</v>
      </c>
      <c r="B4738" s="5" t="s">
        <v>10898</v>
      </c>
      <c r="C4738" s="7" t="s">
        <v>12556</v>
      </c>
      <c r="D4738" s="8">
        <f t="shared" si="296"/>
        <v>1</v>
      </c>
      <c r="E4738" s="7" t="s">
        <v>12557</v>
      </c>
      <c r="F4738" s="7">
        <f t="shared" si="297"/>
        <v>0</v>
      </c>
      <c r="G4738" s="7" t="s">
        <v>12558</v>
      </c>
      <c r="H4738" s="7">
        <f t="shared" si="298"/>
        <v>0</v>
      </c>
      <c r="I4738" s="7" t="str" cm="1">
        <f t="array" ref="I4738">IFERROR(_xlfn.IFS(M4738="נח",1,M4738="נע ונח",1,M4738="שני שווא נח",2,M4738="שני שוואים בסוף מילה",2,M4738="שני שוואים ברצף",1),"0")</f>
        <v>0</v>
      </c>
      <c r="J4738" s="9">
        <f t="shared" si="299"/>
        <v>2</v>
      </c>
      <c r="K4738" t="s">
        <v>6698</v>
      </c>
      <c r="L4738" t="s">
        <v>6695</v>
      </c>
      <c r="Q4738" t="s">
        <v>6694</v>
      </c>
      <c r="S4738" t="s">
        <v>6694</v>
      </c>
      <c r="W4738" t="s">
        <v>6720</v>
      </c>
    </row>
    <row r="4739" spans="1:23" ht="15.6" x14ac:dyDescent="0.4">
      <c r="A4739" s="2" t="s">
        <v>5909</v>
      </c>
      <c r="B4739" s="5" t="s">
        <v>10899</v>
      </c>
      <c r="C4739" s="7" t="s">
        <v>12556</v>
      </c>
      <c r="D4739" s="8">
        <f t="shared" ref="D4739:D4802" si="300">(LEN(B4739)-LEN(SUBSTITUTE(B4739,C4739,"")))</f>
        <v>0</v>
      </c>
      <c r="E4739" s="7" t="s">
        <v>12557</v>
      </c>
      <c r="F4739" s="7">
        <f t="shared" ref="F4739:F4802" si="301">(LEN(A4739)-LEN(SUBSTITUTE(A4739,E4739,"")))</f>
        <v>1</v>
      </c>
      <c r="G4739" s="7" t="s">
        <v>12558</v>
      </c>
      <c r="H4739" s="7">
        <f t="shared" ref="H4739:H4802" si="302">(LEN(A4739)-LEN(SUBSTITUTE(A4739,G4739,"")))/2</f>
        <v>0</v>
      </c>
      <c r="I4739" s="7" cm="1">
        <f t="array" ref="I4739">IFERROR(_xlfn.IFS(M4739="נח",1,M4739="נע ונח",1,M4739="שני שווא נח",2,M4739="שני שוואים בסוף מילה",2,M4739="שני שוואים ברצף",1),"0")</f>
        <v>1</v>
      </c>
      <c r="J4739" s="9">
        <f t="shared" ref="J4739:J4802" si="303">LEN(A4739)-(LEN(B4739))-D4739-F4739+H4739-I4739</f>
        <v>3</v>
      </c>
      <c r="K4739" t="s">
        <v>6697</v>
      </c>
      <c r="L4739" t="s">
        <v>6694</v>
      </c>
      <c r="M4739" t="s">
        <v>6705</v>
      </c>
      <c r="O4739" t="s">
        <v>6694</v>
      </c>
      <c r="Q4739" t="s">
        <v>6694</v>
      </c>
      <c r="S4739" t="s">
        <v>6694</v>
      </c>
      <c r="W4739" t="s">
        <v>6720</v>
      </c>
    </row>
    <row r="4740" spans="1:23" ht="15.6" x14ac:dyDescent="0.4">
      <c r="A4740" s="2" t="s">
        <v>6484</v>
      </c>
      <c r="B4740" s="5" t="s">
        <v>10900</v>
      </c>
      <c r="C4740" s="7" t="s">
        <v>12556</v>
      </c>
      <c r="D4740" s="8">
        <f t="shared" si="300"/>
        <v>0</v>
      </c>
      <c r="E4740" s="7" t="s">
        <v>12557</v>
      </c>
      <c r="F4740" s="7">
        <f t="shared" si="301"/>
        <v>1</v>
      </c>
      <c r="G4740" s="7" t="s">
        <v>12558</v>
      </c>
      <c r="H4740" s="7">
        <f t="shared" si="302"/>
        <v>0</v>
      </c>
      <c r="I4740" s="7" t="str" cm="1">
        <f t="array" ref="I4740">IFERROR(_xlfn.IFS(M4740="נח",1,M4740="נע ונח",1,M4740="שני שווא נח",2,M4740="שני שוואים בסוף מילה",2,M4740="שני שוואים ברצף",1),"0")</f>
        <v>0</v>
      </c>
      <c r="J4740" s="9">
        <f t="shared" si="303"/>
        <v>3</v>
      </c>
      <c r="K4740" t="s">
        <v>6697</v>
      </c>
      <c r="L4740" t="s">
        <v>6695</v>
      </c>
      <c r="Q4740" t="s">
        <v>6694</v>
      </c>
      <c r="S4740" t="s">
        <v>6694</v>
      </c>
      <c r="W4740" t="s">
        <v>6720</v>
      </c>
    </row>
    <row r="4741" spans="1:23" ht="15.6" x14ac:dyDescent="0.4">
      <c r="A4741" s="2" t="s">
        <v>722</v>
      </c>
      <c r="B4741" s="5" t="s">
        <v>10901</v>
      </c>
      <c r="C4741" s="7" t="s">
        <v>12556</v>
      </c>
      <c r="D4741" s="8">
        <f t="shared" si="300"/>
        <v>0</v>
      </c>
      <c r="E4741" s="7" t="s">
        <v>12557</v>
      </c>
      <c r="F4741" s="7">
        <f t="shared" si="301"/>
        <v>0</v>
      </c>
      <c r="G4741" s="7" t="s">
        <v>12558</v>
      </c>
      <c r="H4741" s="7">
        <f t="shared" si="302"/>
        <v>0</v>
      </c>
      <c r="I4741" s="7" t="str" cm="1">
        <f t="array" ref="I4741">IFERROR(_xlfn.IFS(M4741="נח",1,M4741="נע ונח",1,M4741="שני שווא נח",2,M4741="שני שוואים בסוף מילה",2,M4741="שני שוואים ברצף",1),"0")</f>
        <v>0</v>
      </c>
      <c r="J4741" s="9">
        <f t="shared" si="303"/>
        <v>2</v>
      </c>
      <c r="K4741" t="s">
        <v>6698</v>
      </c>
      <c r="L4741" t="s">
        <v>6695</v>
      </c>
      <c r="Q4741" t="s">
        <v>6694</v>
      </c>
      <c r="W4741" t="s">
        <v>6720</v>
      </c>
    </row>
    <row r="4742" spans="1:23" ht="15.6" x14ac:dyDescent="0.4">
      <c r="A4742" s="2" t="s">
        <v>1745</v>
      </c>
      <c r="B4742" s="5" t="s">
        <v>10902</v>
      </c>
      <c r="C4742" s="7" t="s">
        <v>12556</v>
      </c>
      <c r="D4742" s="8">
        <f t="shared" si="300"/>
        <v>0</v>
      </c>
      <c r="E4742" s="7" t="s">
        <v>12557</v>
      </c>
      <c r="F4742" s="7">
        <f t="shared" si="301"/>
        <v>0</v>
      </c>
      <c r="G4742" s="7" t="s">
        <v>12558</v>
      </c>
      <c r="H4742" s="7">
        <f t="shared" si="302"/>
        <v>0</v>
      </c>
      <c r="I4742" s="7" t="str" cm="1">
        <f t="array" ref="I4742">IFERROR(_xlfn.IFS(M4742="נח",1,M4742="נע ונח",1,M4742="שני שווא נח",2,M4742="שני שוואים בסוף מילה",2,M4742="שני שוואים ברצף",1),"0")</f>
        <v>0</v>
      </c>
      <c r="J4742" s="9">
        <f t="shared" si="303"/>
        <v>2</v>
      </c>
      <c r="K4742" t="s">
        <v>6698</v>
      </c>
      <c r="L4742" t="s">
        <v>6695</v>
      </c>
      <c r="Q4742" t="s">
        <v>6694</v>
      </c>
      <c r="W4742" t="s">
        <v>6720</v>
      </c>
    </row>
    <row r="4743" spans="1:23" ht="15.6" x14ac:dyDescent="0.4">
      <c r="A4743" s="2" t="s">
        <v>2778</v>
      </c>
      <c r="B4743" s="5" t="s">
        <v>10903</v>
      </c>
      <c r="C4743" s="7" t="s">
        <v>12556</v>
      </c>
      <c r="D4743" s="8">
        <f t="shared" si="300"/>
        <v>0</v>
      </c>
      <c r="E4743" s="7" t="s">
        <v>12557</v>
      </c>
      <c r="F4743" s="7">
        <f t="shared" si="301"/>
        <v>0</v>
      </c>
      <c r="G4743" s="7" t="s">
        <v>12558</v>
      </c>
      <c r="H4743" s="7">
        <f t="shared" si="302"/>
        <v>0</v>
      </c>
      <c r="I4743" s="7" t="str" cm="1">
        <f t="array" ref="I4743">IFERROR(_xlfn.IFS(M4743="נח",1,M4743="נע ונח",1,M4743="שני שווא נח",2,M4743="שני שוואים בסוף מילה",2,M4743="שני שוואים ברצף",1),"0")</f>
        <v>0</v>
      </c>
      <c r="J4743" s="9">
        <f t="shared" si="303"/>
        <v>3</v>
      </c>
      <c r="K4743" t="s">
        <v>6698</v>
      </c>
      <c r="L4743" t="s">
        <v>6695</v>
      </c>
      <c r="Q4743" t="s">
        <v>6694</v>
      </c>
      <c r="R4743" t="s">
        <v>6694</v>
      </c>
      <c r="W4743" t="s">
        <v>6720</v>
      </c>
    </row>
    <row r="4744" spans="1:23" ht="15.6" x14ac:dyDescent="0.4">
      <c r="A4744" s="2" t="s">
        <v>1823</v>
      </c>
      <c r="B4744" s="5" t="s">
        <v>10904</v>
      </c>
      <c r="C4744" s="7" t="s">
        <v>12556</v>
      </c>
      <c r="D4744" s="8">
        <f t="shared" si="300"/>
        <v>0</v>
      </c>
      <c r="E4744" s="7" t="s">
        <v>12557</v>
      </c>
      <c r="F4744" s="7">
        <f t="shared" si="301"/>
        <v>0</v>
      </c>
      <c r="G4744" s="7" t="s">
        <v>12558</v>
      </c>
      <c r="H4744" s="7">
        <f t="shared" si="302"/>
        <v>0</v>
      </c>
      <c r="I4744" s="7" cm="1">
        <f t="array" ref="I4744">IFERROR(_xlfn.IFS(M4744="נח",1,M4744="נע ונח",1,M4744="שני שווא נח",2,M4744="שני שוואים בסוף מילה",2,M4744="שני שוואים ברצף",1),"0")</f>
        <v>1</v>
      </c>
      <c r="J4744" s="9">
        <f t="shared" si="303"/>
        <v>3</v>
      </c>
      <c r="K4744" t="s">
        <v>6698</v>
      </c>
      <c r="L4744" t="s">
        <v>6694</v>
      </c>
      <c r="M4744" t="s">
        <v>6705</v>
      </c>
      <c r="P4744" t="s">
        <v>6694</v>
      </c>
      <c r="Q4744" t="s">
        <v>6694</v>
      </c>
      <c r="W4744" t="s">
        <v>6720</v>
      </c>
    </row>
    <row r="4745" spans="1:23" ht="15.6" x14ac:dyDescent="0.4">
      <c r="A4745" s="2" t="s">
        <v>2492</v>
      </c>
      <c r="B4745" s="5" t="s">
        <v>10905</v>
      </c>
      <c r="C4745" s="7" t="s">
        <v>12556</v>
      </c>
      <c r="D4745" s="8">
        <f t="shared" si="300"/>
        <v>0</v>
      </c>
      <c r="E4745" s="7" t="s">
        <v>12557</v>
      </c>
      <c r="F4745" s="7">
        <f t="shared" si="301"/>
        <v>0</v>
      </c>
      <c r="G4745" s="7" t="s">
        <v>12558</v>
      </c>
      <c r="H4745" s="7">
        <f t="shared" si="302"/>
        <v>0</v>
      </c>
      <c r="I4745" s="7" t="str" cm="1">
        <f t="array" ref="I4745">IFERROR(_xlfn.IFS(M4745="נח",1,M4745="נע ונח",1,M4745="שני שווא נח",2,M4745="שני שוואים בסוף מילה",2,M4745="שני שוואים ברצף",1),"0")</f>
        <v>0</v>
      </c>
      <c r="J4745" s="9">
        <f t="shared" si="303"/>
        <v>2</v>
      </c>
      <c r="K4745" t="s">
        <v>6698</v>
      </c>
      <c r="L4745" t="s">
        <v>6695</v>
      </c>
      <c r="P4745" t="s">
        <v>6694</v>
      </c>
      <c r="Q4745" t="s">
        <v>6694</v>
      </c>
      <c r="W4745" t="s">
        <v>6720</v>
      </c>
    </row>
    <row r="4746" spans="1:23" ht="15.6" x14ac:dyDescent="0.4">
      <c r="A4746" s="2" t="s">
        <v>6577</v>
      </c>
      <c r="B4746" s="5" t="s">
        <v>10906</v>
      </c>
      <c r="C4746" s="7" t="s">
        <v>12556</v>
      </c>
      <c r="D4746" s="8">
        <f t="shared" si="300"/>
        <v>0</v>
      </c>
      <c r="E4746" s="7" t="s">
        <v>12557</v>
      </c>
      <c r="F4746" s="7">
        <f t="shared" si="301"/>
        <v>0</v>
      </c>
      <c r="G4746" s="7" t="s">
        <v>12558</v>
      </c>
      <c r="H4746" s="7">
        <f t="shared" si="302"/>
        <v>0</v>
      </c>
      <c r="I4746" s="7" cm="1">
        <f t="array" ref="I4746">IFERROR(_xlfn.IFS(M4746="נח",1,M4746="נע ונח",1,M4746="שני שווא נח",2,M4746="שני שוואים בסוף מילה",2,M4746="שני שוואים ברצף",1),"0")</f>
        <v>1</v>
      </c>
      <c r="J4746" s="9">
        <f t="shared" si="303"/>
        <v>3</v>
      </c>
      <c r="K4746" t="s">
        <v>6697</v>
      </c>
      <c r="L4746" t="s">
        <v>6694</v>
      </c>
      <c r="M4746" t="s">
        <v>6705</v>
      </c>
      <c r="P4746" t="s">
        <v>6694</v>
      </c>
      <c r="Q4746" t="s">
        <v>6694</v>
      </c>
      <c r="V4746" t="s">
        <v>6694</v>
      </c>
      <c r="W4746" t="s">
        <v>6720</v>
      </c>
    </row>
    <row r="4747" spans="1:23" ht="15.6" x14ac:dyDescent="0.4">
      <c r="A4747" s="2" t="s">
        <v>1229</v>
      </c>
      <c r="B4747" s="5" t="s">
        <v>10907</v>
      </c>
      <c r="C4747" s="7" t="s">
        <v>12556</v>
      </c>
      <c r="D4747" s="8">
        <f t="shared" si="300"/>
        <v>1</v>
      </c>
      <c r="E4747" s="7" t="s">
        <v>12557</v>
      </c>
      <c r="F4747" s="7">
        <f t="shared" si="301"/>
        <v>1</v>
      </c>
      <c r="G4747" s="7" t="s">
        <v>12558</v>
      </c>
      <c r="H4747" s="7">
        <f t="shared" si="302"/>
        <v>0</v>
      </c>
      <c r="I4747" s="7" cm="1">
        <f t="array" ref="I4747">IFERROR(_xlfn.IFS(M4747="נח",1,M4747="נע ונח",1,M4747="שני שווא נח",2,M4747="שני שוואים בסוף מילה",2,M4747="שני שוואים ברצף",1),"0")</f>
        <v>1</v>
      </c>
      <c r="J4747" s="9">
        <f t="shared" si="303"/>
        <v>3</v>
      </c>
      <c r="K4747" t="s">
        <v>6698</v>
      </c>
      <c r="L4747" t="s">
        <v>6694</v>
      </c>
      <c r="M4747" t="s">
        <v>6705</v>
      </c>
      <c r="P4747" t="s">
        <v>6694</v>
      </c>
      <c r="Q4747" t="s">
        <v>6694</v>
      </c>
      <c r="V4747" t="s">
        <v>6694</v>
      </c>
      <c r="W4747" t="s">
        <v>6720</v>
      </c>
    </row>
    <row r="4748" spans="1:23" ht="15.6" x14ac:dyDescent="0.4">
      <c r="A4748" s="2" t="s">
        <v>1258</v>
      </c>
      <c r="B4748" s="5" t="s">
        <v>10908</v>
      </c>
      <c r="C4748" s="7" t="s">
        <v>12556</v>
      </c>
      <c r="D4748" s="8">
        <f t="shared" si="300"/>
        <v>0</v>
      </c>
      <c r="E4748" s="7" t="s">
        <v>12557</v>
      </c>
      <c r="F4748" s="7">
        <f t="shared" si="301"/>
        <v>0</v>
      </c>
      <c r="G4748" s="7" t="s">
        <v>12558</v>
      </c>
      <c r="H4748" s="7">
        <f t="shared" si="302"/>
        <v>0</v>
      </c>
      <c r="I4748" s="7" t="str" cm="1">
        <f t="array" ref="I4748">IFERROR(_xlfn.IFS(M4748="נח",1,M4748="נע ונח",1,M4748="שני שווא נח",2,M4748="שני שוואים בסוף מילה",2,M4748="שני שוואים ברצף",1),"0")</f>
        <v>0</v>
      </c>
      <c r="J4748" s="9">
        <f t="shared" si="303"/>
        <v>3</v>
      </c>
      <c r="K4748" t="s">
        <v>6698</v>
      </c>
      <c r="L4748" t="s">
        <v>6695</v>
      </c>
      <c r="N4748" t="s">
        <v>6706</v>
      </c>
      <c r="O4748" t="s">
        <v>6694</v>
      </c>
      <c r="Q4748" t="s">
        <v>6694</v>
      </c>
      <c r="W4748" t="s">
        <v>6720</v>
      </c>
    </row>
    <row r="4749" spans="1:23" ht="15.6" x14ac:dyDescent="0.4">
      <c r="A4749" s="2" t="s">
        <v>2182</v>
      </c>
      <c r="B4749" s="5" t="s">
        <v>10909</v>
      </c>
      <c r="C4749" s="7" t="s">
        <v>12556</v>
      </c>
      <c r="D4749" s="8">
        <f t="shared" si="300"/>
        <v>0</v>
      </c>
      <c r="E4749" s="7" t="s">
        <v>12557</v>
      </c>
      <c r="F4749" s="7">
        <f t="shared" si="301"/>
        <v>0</v>
      </c>
      <c r="G4749" s="7" t="s">
        <v>12558</v>
      </c>
      <c r="H4749" s="7">
        <f t="shared" si="302"/>
        <v>0</v>
      </c>
      <c r="I4749" s="7" t="str" cm="1">
        <f t="array" ref="I4749">IFERROR(_xlfn.IFS(M4749="נח",1,M4749="נע ונח",1,M4749="שני שווא נח",2,M4749="שני שוואים בסוף מילה",2,M4749="שני שוואים ברצף",1),"0")</f>
        <v>0</v>
      </c>
      <c r="J4749" s="9">
        <f t="shared" si="303"/>
        <v>2</v>
      </c>
      <c r="K4749" t="s">
        <v>6698</v>
      </c>
      <c r="L4749" t="s">
        <v>6695</v>
      </c>
      <c r="N4749" t="s">
        <v>6706</v>
      </c>
      <c r="O4749" t="s">
        <v>6694</v>
      </c>
      <c r="Q4749" t="s">
        <v>6694</v>
      </c>
      <c r="W4749" t="s">
        <v>6720</v>
      </c>
    </row>
    <row r="4750" spans="1:23" ht="15.6" x14ac:dyDescent="0.4">
      <c r="A4750" s="2" t="s">
        <v>4910</v>
      </c>
      <c r="B4750" s="5" t="s">
        <v>10910</v>
      </c>
      <c r="C4750" s="7" t="s">
        <v>12556</v>
      </c>
      <c r="D4750" s="8">
        <f t="shared" si="300"/>
        <v>0</v>
      </c>
      <c r="E4750" s="7" t="s">
        <v>12557</v>
      </c>
      <c r="F4750" s="7">
        <f t="shared" si="301"/>
        <v>0</v>
      </c>
      <c r="G4750" s="7" t="s">
        <v>12558</v>
      </c>
      <c r="H4750" s="7">
        <f t="shared" si="302"/>
        <v>0</v>
      </c>
      <c r="I4750" s="7" t="str" cm="1">
        <f t="array" ref="I4750">IFERROR(_xlfn.IFS(M4750="נח",1,M4750="נע ונח",1,M4750="שני שווא נח",2,M4750="שני שוואים בסוף מילה",2,M4750="שני שוואים ברצף",1),"0")</f>
        <v>0</v>
      </c>
      <c r="J4750" s="9">
        <f t="shared" si="303"/>
        <v>3</v>
      </c>
      <c r="K4750" t="s">
        <v>6698</v>
      </c>
      <c r="L4750" t="s">
        <v>6695</v>
      </c>
      <c r="O4750" t="s">
        <v>6694</v>
      </c>
      <c r="Q4750" t="s">
        <v>6694</v>
      </c>
      <c r="R4750" t="s">
        <v>6694</v>
      </c>
      <c r="W4750" t="s">
        <v>6720</v>
      </c>
    </row>
    <row r="4751" spans="1:23" ht="15.6" x14ac:dyDescent="0.4">
      <c r="A4751" s="2" t="s">
        <v>3951</v>
      </c>
      <c r="B4751" s="5" t="s">
        <v>10911</v>
      </c>
      <c r="C4751" s="7" t="s">
        <v>12556</v>
      </c>
      <c r="D4751" s="8">
        <f t="shared" si="300"/>
        <v>0</v>
      </c>
      <c r="E4751" s="7" t="s">
        <v>12557</v>
      </c>
      <c r="F4751" s="7">
        <f t="shared" si="301"/>
        <v>0</v>
      </c>
      <c r="G4751" s="7" t="s">
        <v>12558</v>
      </c>
      <c r="H4751" s="7">
        <f t="shared" si="302"/>
        <v>0</v>
      </c>
      <c r="I4751" s="7" t="str" cm="1">
        <f t="array" ref="I4751">IFERROR(_xlfn.IFS(M4751="נח",1,M4751="נע ונח",1,M4751="שני שווא נח",2,M4751="שני שוואים בסוף מילה",2,M4751="שני שוואים ברצף",1),"0")</f>
        <v>0</v>
      </c>
      <c r="J4751" s="9">
        <f t="shared" si="303"/>
        <v>3</v>
      </c>
      <c r="K4751" t="s">
        <v>6698</v>
      </c>
      <c r="L4751" t="s">
        <v>6695</v>
      </c>
      <c r="Q4751" t="s">
        <v>6694</v>
      </c>
      <c r="R4751" t="s">
        <v>6694</v>
      </c>
      <c r="V4751" t="s">
        <v>6694</v>
      </c>
      <c r="W4751" t="s">
        <v>6720</v>
      </c>
    </row>
    <row r="4752" spans="1:23" ht="15.6" x14ac:dyDescent="0.4">
      <c r="A4752" s="2" t="s">
        <v>1971</v>
      </c>
      <c r="B4752" s="5" t="s">
        <v>10912</v>
      </c>
      <c r="C4752" s="7" t="s">
        <v>12556</v>
      </c>
      <c r="D4752" s="8">
        <f t="shared" si="300"/>
        <v>0</v>
      </c>
      <c r="E4752" s="7" t="s">
        <v>12557</v>
      </c>
      <c r="F4752" s="7">
        <f t="shared" si="301"/>
        <v>0</v>
      </c>
      <c r="G4752" s="7" t="s">
        <v>12558</v>
      </c>
      <c r="H4752" s="7">
        <f t="shared" si="302"/>
        <v>0</v>
      </c>
      <c r="I4752" s="7" cm="1">
        <f t="array" ref="I4752">IFERROR(_xlfn.IFS(M4752="נח",1,M4752="נע ונח",1,M4752="שני שווא נח",2,M4752="שני שוואים בסוף מילה",2,M4752="שני שוואים ברצף",1),"0")</f>
        <v>1</v>
      </c>
      <c r="J4752" s="9">
        <f t="shared" si="303"/>
        <v>3</v>
      </c>
      <c r="K4752" t="s">
        <v>6697</v>
      </c>
      <c r="L4752" t="s">
        <v>6694</v>
      </c>
      <c r="M4752" t="s">
        <v>6705</v>
      </c>
      <c r="Q4752" t="s">
        <v>6694</v>
      </c>
      <c r="S4752" t="s">
        <v>6694</v>
      </c>
      <c r="V4752" t="s">
        <v>6694</v>
      </c>
      <c r="W4752" t="s">
        <v>6720</v>
      </c>
    </row>
    <row r="4753" spans="1:23" ht="15.6" x14ac:dyDescent="0.4">
      <c r="A4753" s="2" t="s">
        <v>4559</v>
      </c>
      <c r="B4753" s="5" t="s">
        <v>10913</v>
      </c>
      <c r="C4753" s="7" t="s">
        <v>12556</v>
      </c>
      <c r="D4753" s="8">
        <f t="shared" si="300"/>
        <v>0</v>
      </c>
      <c r="E4753" s="7" t="s">
        <v>12557</v>
      </c>
      <c r="F4753" s="7">
        <f t="shared" si="301"/>
        <v>0</v>
      </c>
      <c r="G4753" s="7" t="s">
        <v>12558</v>
      </c>
      <c r="H4753" s="7">
        <f t="shared" si="302"/>
        <v>0</v>
      </c>
      <c r="I4753" s="7" cm="1">
        <f t="array" ref="I4753">IFERROR(_xlfn.IFS(M4753="נח",1,M4753="נע ונח",1,M4753="שני שווא נח",2,M4753="שני שוואים בסוף מילה",2,M4753="שני שוואים ברצף",1),"0")</f>
        <v>1</v>
      </c>
      <c r="J4753" s="9">
        <f t="shared" si="303"/>
        <v>3</v>
      </c>
      <c r="K4753" t="s">
        <v>6698</v>
      </c>
      <c r="L4753" t="s">
        <v>6694</v>
      </c>
      <c r="M4753" t="s">
        <v>6705</v>
      </c>
      <c r="Q4753" t="s">
        <v>6694</v>
      </c>
      <c r="S4753" t="s">
        <v>6694</v>
      </c>
      <c r="V4753" t="s">
        <v>6694</v>
      </c>
      <c r="W4753" t="s">
        <v>6720</v>
      </c>
    </row>
    <row r="4754" spans="1:23" ht="15.6" x14ac:dyDescent="0.4">
      <c r="A4754" s="2" t="s">
        <v>4173</v>
      </c>
      <c r="B4754" s="5" t="s">
        <v>10912</v>
      </c>
      <c r="C4754" s="7" t="s">
        <v>12556</v>
      </c>
      <c r="D4754" s="8">
        <f t="shared" si="300"/>
        <v>0</v>
      </c>
      <c r="E4754" s="7" t="s">
        <v>12557</v>
      </c>
      <c r="F4754" s="7">
        <f t="shared" si="301"/>
        <v>0</v>
      </c>
      <c r="G4754" s="7" t="s">
        <v>12558</v>
      </c>
      <c r="H4754" s="7">
        <f t="shared" si="302"/>
        <v>0</v>
      </c>
      <c r="I4754" s="7" cm="1">
        <f t="array" ref="I4754">IFERROR(_xlfn.IFS(M4754="נח",1,M4754="נע ונח",1,M4754="שני שווא נח",2,M4754="שני שוואים בסוף מילה",2,M4754="שני שוואים ברצף",1),"0")</f>
        <v>1</v>
      </c>
      <c r="J4754" s="9">
        <f t="shared" si="303"/>
        <v>3</v>
      </c>
      <c r="K4754" t="s">
        <v>6698</v>
      </c>
      <c r="L4754" t="s">
        <v>6694</v>
      </c>
      <c r="M4754" t="s">
        <v>6705</v>
      </c>
      <c r="P4754" t="s">
        <v>6694</v>
      </c>
      <c r="Q4754" t="s">
        <v>6694</v>
      </c>
      <c r="V4754" t="s">
        <v>6694</v>
      </c>
      <c r="W4754" t="s">
        <v>6720</v>
      </c>
    </row>
    <row r="4755" spans="1:23" ht="15.6" x14ac:dyDescent="0.4">
      <c r="A4755" s="2" t="s">
        <v>1871</v>
      </c>
      <c r="B4755" s="5" t="s">
        <v>10912</v>
      </c>
      <c r="C4755" s="7" t="s">
        <v>12556</v>
      </c>
      <c r="D4755" s="8">
        <f t="shared" si="300"/>
        <v>0</v>
      </c>
      <c r="E4755" s="7" t="s">
        <v>12557</v>
      </c>
      <c r="F4755" s="7">
        <f t="shared" si="301"/>
        <v>0</v>
      </c>
      <c r="G4755" s="7" t="s">
        <v>12558</v>
      </c>
      <c r="H4755" s="7">
        <f t="shared" si="302"/>
        <v>0</v>
      </c>
      <c r="I4755" s="7" cm="1">
        <f t="array" ref="I4755">IFERROR(_xlfn.IFS(M4755="נח",1,M4755="נע ונח",1,M4755="שני שווא נח",2,M4755="שני שוואים בסוף מילה",2,M4755="שני שוואים ברצף",1),"0")</f>
        <v>1</v>
      </c>
      <c r="J4755" s="9">
        <f t="shared" si="303"/>
        <v>3</v>
      </c>
      <c r="K4755" t="s">
        <v>6698</v>
      </c>
      <c r="L4755" t="s">
        <v>6694</v>
      </c>
      <c r="M4755" t="s">
        <v>6705</v>
      </c>
      <c r="N4755" t="s">
        <v>6706</v>
      </c>
      <c r="O4755" t="s">
        <v>6694</v>
      </c>
      <c r="Q4755" t="s">
        <v>6694</v>
      </c>
      <c r="V4755" t="s">
        <v>6694</v>
      </c>
      <c r="W4755" t="s">
        <v>6720</v>
      </c>
    </row>
    <row r="4756" spans="1:23" ht="15.6" x14ac:dyDescent="0.4">
      <c r="A4756" s="2" t="s">
        <v>6092</v>
      </c>
      <c r="B4756" s="5" t="s">
        <v>10914</v>
      </c>
      <c r="C4756" s="7" t="s">
        <v>12556</v>
      </c>
      <c r="D4756" s="8">
        <f t="shared" si="300"/>
        <v>0</v>
      </c>
      <c r="E4756" s="7" t="s">
        <v>12557</v>
      </c>
      <c r="F4756" s="7">
        <f t="shared" si="301"/>
        <v>0</v>
      </c>
      <c r="G4756" s="7" t="s">
        <v>12558</v>
      </c>
      <c r="H4756" s="7">
        <f t="shared" si="302"/>
        <v>0</v>
      </c>
      <c r="I4756" s="7" cm="1">
        <f t="array" ref="I4756">IFERROR(_xlfn.IFS(M4756="נח",1,M4756="נע ונח",1,M4756="שני שווא נח",2,M4756="שני שוואים בסוף מילה",2,M4756="שני שוואים ברצף",1),"0")</f>
        <v>1</v>
      </c>
      <c r="J4756" s="9">
        <f t="shared" si="303"/>
        <v>4</v>
      </c>
      <c r="K4756" t="s">
        <v>6698</v>
      </c>
      <c r="L4756" t="s">
        <v>6694</v>
      </c>
      <c r="M4756" t="s">
        <v>6705</v>
      </c>
      <c r="N4756" t="s">
        <v>6706</v>
      </c>
      <c r="O4756" t="s">
        <v>6694</v>
      </c>
      <c r="Q4756" t="s">
        <v>6694</v>
      </c>
      <c r="V4756" t="s">
        <v>6694</v>
      </c>
      <c r="W4756" t="s">
        <v>6720</v>
      </c>
    </row>
    <row r="4757" spans="1:23" ht="15.6" x14ac:dyDescent="0.4">
      <c r="A4757" s="2" t="s">
        <v>4383</v>
      </c>
      <c r="B4757" s="5" t="s">
        <v>10915</v>
      </c>
      <c r="C4757" s="7" t="s">
        <v>12556</v>
      </c>
      <c r="D4757" s="8">
        <f t="shared" si="300"/>
        <v>0</v>
      </c>
      <c r="E4757" s="7" t="s">
        <v>12557</v>
      </c>
      <c r="F4757" s="7">
        <f t="shared" si="301"/>
        <v>0</v>
      </c>
      <c r="G4757" s="7" t="s">
        <v>12558</v>
      </c>
      <c r="H4757" s="7">
        <f t="shared" si="302"/>
        <v>0</v>
      </c>
      <c r="I4757" s="7" t="str" cm="1">
        <f t="array" ref="I4757">IFERROR(_xlfn.IFS(M4757="נח",1,M4757="נע ונח",1,M4757="שני שווא נח",2,M4757="שני שוואים בסוף מילה",2,M4757="שני שוואים ברצף",1),"0")</f>
        <v>0</v>
      </c>
      <c r="J4757" s="9">
        <f t="shared" si="303"/>
        <v>5</v>
      </c>
      <c r="K4757" t="s">
        <v>6697</v>
      </c>
      <c r="L4757" t="s">
        <v>6695</v>
      </c>
      <c r="O4757" t="s">
        <v>6694</v>
      </c>
      <c r="Q4757" t="s">
        <v>6694</v>
      </c>
      <c r="R4757" t="s">
        <v>6694</v>
      </c>
      <c r="V4757" t="s">
        <v>6694</v>
      </c>
      <c r="W4757" t="s">
        <v>6720</v>
      </c>
    </row>
    <row r="4758" spans="1:23" ht="15.6" x14ac:dyDescent="0.4">
      <c r="A4758" s="2" t="s">
        <v>2516</v>
      </c>
      <c r="B4758" s="5" t="s">
        <v>10916</v>
      </c>
      <c r="C4758" s="7" t="s">
        <v>12556</v>
      </c>
      <c r="D4758" s="8">
        <f t="shared" si="300"/>
        <v>0</v>
      </c>
      <c r="E4758" s="7" t="s">
        <v>12557</v>
      </c>
      <c r="F4758" s="7">
        <f t="shared" si="301"/>
        <v>0</v>
      </c>
      <c r="G4758" s="7" t="s">
        <v>12558</v>
      </c>
      <c r="H4758" s="7">
        <f t="shared" si="302"/>
        <v>0</v>
      </c>
      <c r="I4758" s="7" t="str" cm="1">
        <f t="array" ref="I4758">IFERROR(_xlfn.IFS(M4758="נח",1,M4758="נע ונח",1,M4758="שני שווא נח",2,M4758="שני שוואים בסוף מילה",2,M4758="שני שוואים ברצף",1),"0")</f>
        <v>0</v>
      </c>
      <c r="J4758" s="9">
        <f t="shared" si="303"/>
        <v>3</v>
      </c>
      <c r="K4758" t="s">
        <v>6698</v>
      </c>
      <c r="L4758" t="s">
        <v>6695</v>
      </c>
      <c r="P4758" t="s">
        <v>6694</v>
      </c>
      <c r="Q4758" t="s">
        <v>6694</v>
      </c>
      <c r="V4758" t="s">
        <v>6694</v>
      </c>
      <c r="W4758" t="s">
        <v>6720</v>
      </c>
    </row>
    <row r="4759" spans="1:23" ht="15.6" x14ac:dyDescent="0.4">
      <c r="A4759" s="2" t="s">
        <v>3246</v>
      </c>
      <c r="B4759" s="5" t="s">
        <v>10917</v>
      </c>
      <c r="C4759" s="7" t="s">
        <v>12556</v>
      </c>
      <c r="D4759" s="8">
        <f t="shared" si="300"/>
        <v>0</v>
      </c>
      <c r="E4759" s="7" t="s">
        <v>12557</v>
      </c>
      <c r="F4759" s="7">
        <f t="shared" si="301"/>
        <v>0</v>
      </c>
      <c r="G4759" s="7" t="s">
        <v>12558</v>
      </c>
      <c r="H4759" s="7">
        <f t="shared" si="302"/>
        <v>0</v>
      </c>
      <c r="I4759" s="7" t="str" cm="1">
        <f t="array" ref="I4759">IFERROR(_xlfn.IFS(M4759="נח",1,M4759="נע ונח",1,M4759="שני שווא נח",2,M4759="שני שוואים בסוף מילה",2,M4759="שני שוואים ברצף",1),"0")</f>
        <v>0</v>
      </c>
      <c r="J4759" s="9">
        <f t="shared" si="303"/>
        <v>4</v>
      </c>
      <c r="K4759" t="s">
        <v>6697</v>
      </c>
      <c r="L4759" t="s">
        <v>6695</v>
      </c>
      <c r="O4759" t="s">
        <v>6694</v>
      </c>
      <c r="Q4759" t="s">
        <v>6694</v>
      </c>
      <c r="V4759" t="s">
        <v>6694</v>
      </c>
      <c r="W4759" t="s">
        <v>6720</v>
      </c>
    </row>
    <row r="4760" spans="1:23" ht="15.6" x14ac:dyDescent="0.4">
      <c r="A4760" s="2" t="s">
        <v>4312</v>
      </c>
      <c r="B4760" s="5" t="s">
        <v>10918</v>
      </c>
      <c r="C4760" s="7" t="s">
        <v>12556</v>
      </c>
      <c r="D4760" s="8">
        <f t="shared" si="300"/>
        <v>0</v>
      </c>
      <c r="E4760" s="7" t="s">
        <v>12557</v>
      </c>
      <c r="F4760" s="7">
        <f t="shared" si="301"/>
        <v>0</v>
      </c>
      <c r="G4760" s="7" t="s">
        <v>12558</v>
      </c>
      <c r="H4760" s="7">
        <f t="shared" si="302"/>
        <v>0</v>
      </c>
      <c r="I4760" s="7" t="str" cm="1">
        <f t="array" ref="I4760">IFERROR(_xlfn.IFS(M4760="נח",1,M4760="נע ונח",1,M4760="שני שווא נח",2,M4760="שני שוואים בסוף מילה",2,M4760="שני שוואים ברצף",1),"0")</f>
        <v>0</v>
      </c>
      <c r="J4760" s="9">
        <f t="shared" si="303"/>
        <v>3</v>
      </c>
      <c r="K4760" t="s">
        <v>6698</v>
      </c>
      <c r="L4760" t="s">
        <v>6695</v>
      </c>
      <c r="Q4760" t="s">
        <v>6694</v>
      </c>
      <c r="R4760" t="s">
        <v>6694</v>
      </c>
      <c r="W4760" t="s">
        <v>6720</v>
      </c>
    </row>
    <row r="4761" spans="1:23" ht="15.6" x14ac:dyDescent="0.4">
      <c r="A4761" s="2" t="s">
        <v>1057</v>
      </c>
      <c r="B4761" s="5" t="s">
        <v>10919</v>
      </c>
      <c r="C4761" s="7" t="s">
        <v>12556</v>
      </c>
      <c r="D4761" s="8">
        <f t="shared" si="300"/>
        <v>0</v>
      </c>
      <c r="E4761" s="7" t="s">
        <v>12557</v>
      </c>
      <c r="F4761" s="7">
        <f t="shared" si="301"/>
        <v>0</v>
      </c>
      <c r="G4761" s="7" t="s">
        <v>12558</v>
      </c>
      <c r="H4761" s="7">
        <f t="shared" si="302"/>
        <v>0</v>
      </c>
      <c r="I4761" s="7" t="str" cm="1">
        <f t="array" ref="I4761">IFERROR(_xlfn.IFS(M4761="נח",1,M4761="נע ונח",1,M4761="שני שווא נח",2,M4761="שני שוואים בסוף מילה",2,M4761="שני שוואים ברצף",1),"0")</f>
        <v>0</v>
      </c>
      <c r="J4761" s="9">
        <f t="shared" si="303"/>
        <v>2</v>
      </c>
      <c r="K4761" t="s">
        <v>6698</v>
      </c>
      <c r="L4761" t="s">
        <v>6695</v>
      </c>
      <c r="Q4761" t="s">
        <v>6694</v>
      </c>
      <c r="R4761" t="s">
        <v>6694</v>
      </c>
      <c r="W4761" t="s">
        <v>6720</v>
      </c>
    </row>
    <row r="4762" spans="1:23" ht="15.6" x14ac:dyDescent="0.4">
      <c r="A4762" s="2" t="s">
        <v>3575</v>
      </c>
      <c r="B4762" s="5" t="s">
        <v>10920</v>
      </c>
      <c r="C4762" s="7" t="s">
        <v>12556</v>
      </c>
      <c r="D4762" s="8">
        <f t="shared" si="300"/>
        <v>0</v>
      </c>
      <c r="E4762" s="7" t="s">
        <v>12557</v>
      </c>
      <c r="F4762" s="7">
        <f t="shared" si="301"/>
        <v>0</v>
      </c>
      <c r="G4762" s="7" t="s">
        <v>12558</v>
      </c>
      <c r="H4762" s="7">
        <f t="shared" si="302"/>
        <v>0</v>
      </c>
      <c r="I4762" s="7" t="str" cm="1">
        <f t="array" ref="I4762">IFERROR(_xlfn.IFS(M4762="נח",1,M4762="נע ונח",1,M4762="שני שווא נח",2,M4762="שני שוואים בסוף מילה",2,M4762="שני שוואים ברצף",1),"0")</f>
        <v>0</v>
      </c>
      <c r="J4762" s="9">
        <f t="shared" si="303"/>
        <v>2</v>
      </c>
      <c r="K4762" t="s">
        <v>6698</v>
      </c>
      <c r="L4762" t="s">
        <v>6695</v>
      </c>
      <c r="P4762" t="s">
        <v>6694</v>
      </c>
      <c r="Q4762" t="s">
        <v>6694</v>
      </c>
      <c r="W4762" t="s">
        <v>6720</v>
      </c>
    </row>
    <row r="4763" spans="1:23" ht="15.6" x14ac:dyDescent="0.4">
      <c r="A4763" s="2" t="s">
        <v>4696</v>
      </c>
      <c r="B4763" s="5" t="s">
        <v>10921</v>
      </c>
      <c r="C4763" s="7" t="s">
        <v>12556</v>
      </c>
      <c r="D4763" s="8">
        <f t="shared" si="300"/>
        <v>0</v>
      </c>
      <c r="E4763" s="7" t="s">
        <v>12557</v>
      </c>
      <c r="F4763" s="7">
        <f t="shared" si="301"/>
        <v>0</v>
      </c>
      <c r="G4763" s="7" t="s">
        <v>12558</v>
      </c>
      <c r="H4763" s="7">
        <f t="shared" si="302"/>
        <v>0</v>
      </c>
      <c r="I4763" s="7" t="str" cm="1">
        <f t="array" ref="I4763">IFERROR(_xlfn.IFS(M4763="נח",1,M4763="נע ונח",1,M4763="שני שווא נח",2,M4763="שני שוואים בסוף מילה",2,M4763="שני שוואים ברצף",1),"0")</f>
        <v>0</v>
      </c>
      <c r="J4763" s="9">
        <f t="shared" si="303"/>
        <v>4</v>
      </c>
      <c r="K4763" t="s">
        <v>6698</v>
      </c>
      <c r="L4763" t="s">
        <v>6694</v>
      </c>
      <c r="M4763" t="s">
        <v>6703</v>
      </c>
      <c r="P4763" t="s">
        <v>6694</v>
      </c>
      <c r="Q4763" t="s">
        <v>6694</v>
      </c>
      <c r="W4763" t="s">
        <v>6720</v>
      </c>
    </row>
    <row r="4764" spans="1:23" ht="15.6" x14ac:dyDescent="0.4">
      <c r="A4764" s="2" t="s">
        <v>6076</v>
      </c>
      <c r="B4764" s="5" t="s">
        <v>10922</v>
      </c>
      <c r="C4764" s="7" t="s">
        <v>12556</v>
      </c>
      <c r="D4764" s="8">
        <f t="shared" si="300"/>
        <v>1</v>
      </c>
      <c r="E4764" s="7" t="s">
        <v>12557</v>
      </c>
      <c r="F4764" s="7">
        <f t="shared" si="301"/>
        <v>0</v>
      </c>
      <c r="G4764" s="7" t="s">
        <v>12558</v>
      </c>
      <c r="H4764" s="7">
        <f t="shared" si="302"/>
        <v>0</v>
      </c>
      <c r="I4764" s="7" cm="1">
        <f t="array" ref="I4764">IFERROR(_xlfn.IFS(M4764="נח",1,M4764="נע ונח",1,M4764="שני שווא נח",2,M4764="שני שוואים בסוף מילה",2,M4764="שני שוואים ברצף",1),"0")</f>
        <v>1</v>
      </c>
      <c r="J4764" s="9">
        <f t="shared" si="303"/>
        <v>3</v>
      </c>
      <c r="K4764" t="s">
        <v>6698</v>
      </c>
      <c r="L4764" t="s">
        <v>6694</v>
      </c>
      <c r="M4764" t="s">
        <v>6705</v>
      </c>
      <c r="P4764" t="s">
        <v>6694</v>
      </c>
      <c r="Q4764" t="s">
        <v>6694</v>
      </c>
      <c r="S4764" t="s">
        <v>6694</v>
      </c>
      <c r="W4764" t="s">
        <v>6720</v>
      </c>
    </row>
    <row r="4765" spans="1:23" ht="15.6" x14ac:dyDescent="0.4">
      <c r="A4765" s="2" t="s">
        <v>820</v>
      </c>
      <c r="B4765" s="5" t="s">
        <v>10923</v>
      </c>
      <c r="C4765" s="7" t="s">
        <v>12556</v>
      </c>
      <c r="D4765" s="8">
        <f t="shared" si="300"/>
        <v>0</v>
      </c>
      <c r="E4765" s="7" t="s">
        <v>12557</v>
      </c>
      <c r="F4765" s="7">
        <f t="shared" si="301"/>
        <v>0</v>
      </c>
      <c r="G4765" s="7" t="s">
        <v>12558</v>
      </c>
      <c r="H4765" s="7">
        <f t="shared" si="302"/>
        <v>0</v>
      </c>
      <c r="I4765" s="7" t="str" cm="1">
        <f t="array" ref="I4765">IFERROR(_xlfn.IFS(M4765="נח",1,M4765="נע ונח",1,M4765="שני שווא נח",2,M4765="שני שוואים בסוף מילה",2,M4765="שני שוואים ברצף",1),"0")</f>
        <v>0</v>
      </c>
      <c r="J4765" s="9">
        <f t="shared" si="303"/>
        <v>4</v>
      </c>
      <c r="K4765" t="s">
        <v>6698</v>
      </c>
      <c r="L4765" t="s">
        <v>6695</v>
      </c>
      <c r="N4765" t="s">
        <v>6706</v>
      </c>
      <c r="O4765" t="s">
        <v>6694</v>
      </c>
      <c r="Q4765" t="s">
        <v>6694</v>
      </c>
      <c r="V4765" t="s">
        <v>6694</v>
      </c>
      <c r="W4765" t="s">
        <v>6720</v>
      </c>
    </row>
    <row r="4766" spans="1:23" ht="15.6" x14ac:dyDescent="0.4">
      <c r="A4766" s="2" t="s">
        <v>5431</v>
      </c>
      <c r="B4766" s="5" t="s">
        <v>10924</v>
      </c>
      <c r="C4766" s="7" t="s">
        <v>12556</v>
      </c>
      <c r="D4766" s="8">
        <f t="shared" si="300"/>
        <v>0</v>
      </c>
      <c r="E4766" s="7" t="s">
        <v>12557</v>
      </c>
      <c r="F4766" s="7">
        <f t="shared" si="301"/>
        <v>0</v>
      </c>
      <c r="G4766" s="7" t="s">
        <v>12558</v>
      </c>
      <c r="H4766" s="7">
        <f t="shared" si="302"/>
        <v>0</v>
      </c>
      <c r="I4766" s="7" t="str" cm="1">
        <f t="array" ref="I4766">IFERROR(_xlfn.IFS(M4766="נח",1,M4766="נע ונח",1,M4766="שני שווא נח",2,M4766="שני שוואים בסוף מילה",2,M4766="שני שוואים ברצף",1),"0")</f>
        <v>0</v>
      </c>
      <c r="J4766" s="9">
        <f t="shared" si="303"/>
        <v>3</v>
      </c>
      <c r="K4766" t="s">
        <v>6698</v>
      </c>
      <c r="L4766" t="s">
        <v>6695</v>
      </c>
      <c r="O4766" t="s">
        <v>6694</v>
      </c>
      <c r="Q4766" t="s">
        <v>6694</v>
      </c>
      <c r="S4766" t="s">
        <v>6694</v>
      </c>
      <c r="W4766" t="s">
        <v>6720</v>
      </c>
    </row>
    <row r="4767" spans="1:23" ht="15.6" x14ac:dyDescent="0.4">
      <c r="A4767" s="2" t="s">
        <v>6392</v>
      </c>
      <c r="B4767" s="5" t="s">
        <v>10925</v>
      </c>
      <c r="C4767" s="7" t="s">
        <v>12556</v>
      </c>
      <c r="D4767" s="8">
        <f t="shared" si="300"/>
        <v>0</v>
      </c>
      <c r="E4767" s="7" t="s">
        <v>12557</v>
      </c>
      <c r="F4767" s="7">
        <f t="shared" si="301"/>
        <v>0</v>
      </c>
      <c r="G4767" s="7" t="s">
        <v>12558</v>
      </c>
      <c r="H4767" s="7">
        <f t="shared" si="302"/>
        <v>0</v>
      </c>
      <c r="I4767" s="7" t="str" cm="1">
        <f t="array" ref="I4767">IFERROR(_xlfn.IFS(M4767="נח",1,M4767="נע ונח",1,M4767="שני שווא נח",2,M4767="שני שוואים בסוף מילה",2,M4767="שני שוואים ברצף",1),"0")</f>
        <v>0</v>
      </c>
      <c r="J4767" s="9">
        <f t="shared" si="303"/>
        <v>5</v>
      </c>
      <c r="K4767" t="s">
        <v>6697</v>
      </c>
      <c r="L4767" t="s">
        <v>6695</v>
      </c>
      <c r="O4767" t="s">
        <v>6694</v>
      </c>
      <c r="P4767" t="s">
        <v>6694</v>
      </c>
      <c r="Q4767" t="s">
        <v>6694</v>
      </c>
      <c r="R4767" t="s">
        <v>6694</v>
      </c>
      <c r="W4767" t="s">
        <v>6720</v>
      </c>
    </row>
    <row r="4768" spans="1:23" ht="15.6" x14ac:dyDescent="0.4">
      <c r="A4768" s="2" t="s">
        <v>3907</v>
      </c>
      <c r="B4768" s="5" t="s">
        <v>10926</v>
      </c>
      <c r="C4768" s="7" t="s">
        <v>12556</v>
      </c>
      <c r="D4768" s="8">
        <f t="shared" si="300"/>
        <v>0</v>
      </c>
      <c r="E4768" s="7" t="s">
        <v>12557</v>
      </c>
      <c r="F4768" s="7">
        <f t="shared" si="301"/>
        <v>0</v>
      </c>
      <c r="G4768" s="7" t="s">
        <v>12558</v>
      </c>
      <c r="H4768" s="7">
        <f t="shared" si="302"/>
        <v>0</v>
      </c>
      <c r="I4768" s="7" t="str" cm="1">
        <f t="array" ref="I4768">IFERROR(_xlfn.IFS(M4768="נח",1,M4768="נע ונח",1,M4768="שני שווא נח",2,M4768="שני שוואים בסוף מילה",2,M4768="שני שוואים ברצף",1),"0")</f>
        <v>0</v>
      </c>
      <c r="J4768" s="9">
        <f t="shared" si="303"/>
        <v>4</v>
      </c>
      <c r="K4768" t="s">
        <v>6698</v>
      </c>
      <c r="L4768" t="s">
        <v>6695</v>
      </c>
      <c r="N4768" t="s">
        <v>6706</v>
      </c>
      <c r="O4768" t="s">
        <v>6694</v>
      </c>
      <c r="P4768" t="s">
        <v>6694</v>
      </c>
      <c r="Q4768" t="s">
        <v>6694</v>
      </c>
      <c r="W4768" t="s">
        <v>6720</v>
      </c>
    </row>
    <row r="4769" spans="1:23" ht="15.6" x14ac:dyDescent="0.4">
      <c r="A4769" s="2" t="s">
        <v>3436</v>
      </c>
      <c r="B4769" s="5" t="s">
        <v>10927</v>
      </c>
      <c r="C4769" s="7" t="s">
        <v>12556</v>
      </c>
      <c r="D4769" s="8">
        <f t="shared" si="300"/>
        <v>0</v>
      </c>
      <c r="E4769" s="7" t="s">
        <v>12557</v>
      </c>
      <c r="F4769" s="7">
        <f t="shared" si="301"/>
        <v>0</v>
      </c>
      <c r="G4769" s="7" t="s">
        <v>12558</v>
      </c>
      <c r="H4769" s="7">
        <f t="shared" si="302"/>
        <v>0</v>
      </c>
      <c r="I4769" s="7" t="str" cm="1">
        <f t="array" ref="I4769">IFERROR(_xlfn.IFS(M4769="נח",1,M4769="נע ונח",1,M4769="שני שווא נח",2,M4769="שני שוואים בסוף מילה",2,M4769="שני שוואים ברצף",1),"0")</f>
        <v>0</v>
      </c>
      <c r="J4769" s="9">
        <f t="shared" si="303"/>
        <v>3</v>
      </c>
      <c r="K4769" t="s">
        <v>6697</v>
      </c>
      <c r="L4769" t="s">
        <v>6695</v>
      </c>
      <c r="P4769" t="s">
        <v>6694</v>
      </c>
      <c r="Q4769" t="s">
        <v>6694</v>
      </c>
      <c r="V4769" t="s">
        <v>6694</v>
      </c>
      <c r="W4769" t="s">
        <v>6720</v>
      </c>
    </row>
    <row r="4770" spans="1:23" ht="15.6" x14ac:dyDescent="0.4">
      <c r="A4770" s="2" t="s">
        <v>4926</v>
      </c>
      <c r="B4770" s="5" t="s">
        <v>10928</v>
      </c>
      <c r="C4770" s="7" t="s">
        <v>12556</v>
      </c>
      <c r="D4770" s="8">
        <f t="shared" si="300"/>
        <v>0</v>
      </c>
      <c r="E4770" s="7" t="s">
        <v>12557</v>
      </c>
      <c r="F4770" s="7">
        <f t="shared" si="301"/>
        <v>0</v>
      </c>
      <c r="G4770" s="7" t="s">
        <v>12558</v>
      </c>
      <c r="H4770" s="7">
        <f t="shared" si="302"/>
        <v>0</v>
      </c>
      <c r="I4770" s="7" t="str" cm="1">
        <f t="array" ref="I4770">IFERROR(_xlfn.IFS(M4770="נח",1,M4770="נע ונח",1,M4770="שני שווא נח",2,M4770="שני שוואים בסוף מילה",2,M4770="שני שוואים ברצף",1),"0")</f>
        <v>0</v>
      </c>
      <c r="J4770" s="9">
        <f t="shared" si="303"/>
        <v>3</v>
      </c>
      <c r="K4770" t="s">
        <v>6698</v>
      </c>
      <c r="L4770" t="s">
        <v>6695</v>
      </c>
      <c r="P4770" t="s">
        <v>6694</v>
      </c>
      <c r="Q4770" t="s">
        <v>6694</v>
      </c>
      <c r="V4770" t="s">
        <v>6694</v>
      </c>
      <c r="W4770" t="s">
        <v>6720</v>
      </c>
    </row>
    <row r="4771" spans="1:23" ht="15.6" x14ac:dyDescent="0.4">
      <c r="A4771" s="2" t="s">
        <v>4452</v>
      </c>
      <c r="B4771" s="5" t="s">
        <v>10929</v>
      </c>
      <c r="C4771" s="7" t="s">
        <v>12556</v>
      </c>
      <c r="D4771" s="8">
        <f t="shared" si="300"/>
        <v>0</v>
      </c>
      <c r="E4771" s="7" t="s">
        <v>12557</v>
      </c>
      <c r="F4771" s="7">
        <f t="shared" si="301"/>
        <v>0</v>
      </c>
      <c r="G4771" s="7" t="s">
        <v>12558</v>
      </c>
      <c r="H4771" s="7">
        <f t="shared" si="302"/>
        <v>0</v>
      </c>
      <c r="I4771" s="7" t="str" cm="1">
        <f t="array" ref="I4771">IFERROR(_xlfn.IFS(M4771="נח",1,M4771="נע ונח",1,M4771="שני שווא נח",2,M4771="שני שוואים בסוף מילה",2,M4771="שני שוואים ברצף",1),"0")</f>
        <v>0</v>
      </c>
      <c r="J4771" s="9">
        <f t="shared" si="303"/>
        <v>2</v>
      </c>
      <c r="K4771" t="s">
        <v>6698</v>
      </c>
      <c r="L4771" t="s">
        <v>6695</v>
      </c>
      <c r="Q4771" t="s">
        <v>6694</v>
      </c>
      <c r="S4771" t="s">
        <v>6694</v>
      </c>
      <c r="W4771" t="s">
        <v>6720</v>
      </c>
    </row>
    <row r="4772" spans="1:23" ht="15.6" x14ac:dyDescent="0.4">
      <c r="A4772" s="2" t="s">
        <v>4877</v>
      </c>
      <c r="B4772" s="5" t="s">
        <v>10930</v>
      </c>
      <c r="C4772" s="7" t="s">
        <v>12556</v>
      </c>
      <c r="D4772" s="8">
        <f t="shared" si="300"/>
        <v>0</v>
      </c>
      <c r="E4772" s="7" t="s">
        <v>12557</v>
      </c>
      <c r="F4772" s="7">
        <f t="shared" si="301"/>
        <v>0</v>
      </c>
      <c r="G4772" s="7" t="s">
        <v>12558</v>
      </c>
      <c r="H4772" s="7">
        <f t="shared" si="302"/>
        <v>0</v>
      </c>
      <c r="I4772" s="7" t="str" cm="1">
        <f t="array" ref="I4772">IFERROR(_xlfn.IFS(M4772="נח",1,M4772="נע ונח",1,M4772="שני שווא נח",2,M4772="שני שוואים בסוף מילה",2,M4772="שני שוואים ברצף",1),"0")</f>
        <v>0</v>
      </c>
      <c r="J4772" s="9">
        <f t="shared" si="303"/>
        <v>3</v>
      </c>
      <c r="K4772" t="s">
        <v>6698</v>
      </c>
      <c r="L4772" t="s">
        <v>6695</v>
      </c>
      <c r="Q4772" t="s">
        <v>6694</v>
      </c>
      <c r="R4772" t="s">
        <v>6694</v>
      </c>
      <c r="W4772" t="s">
        <v>6720</v>
      </c>
    </row>
    <row r="4773" spans="1:23" ht="15.6" x14ac:dyDescent="0.4">
      <c r="A4773" s="2" t="s">
        <v>2316</v>
      </c>
      <c r="B4773" s="5" t="s">
        <v>10931</v>
      </c>
      <c r="C4773" s="7" t="s">
        <v>12556</v>
      </c>
      <c r="D4773" s="8">
        <f t="shared" si="300"/>
        <v>0</v>
      </c>
      <c r="E4773" s="7" t="s">
        <v>12557</v>
      </c>
      <c r="F4773" s="7">
        <f t="shared" si="301"/>
        <v>0</v>
      </c>
      <c r="G4773" s="7" t="s">
        <v>12558</v>
      </c>
      <c r="H4773" s="7">
        <f t="shared" si="302"/>
        <v>0</v>
      </c>
      <c r="I4773" s="7" t="str" cm="1">
        <f t="array" ref="I4773">IFERROR(_xlfn.IFS(M4773="נח",1,M4773="נע ונח",1,M4773="שני שווא נח",2,M4773="שני שוואים בסוף מילה",2,M4773="שני שוואים ברצף",1),"0")</f>
        <v>0</v>
      </c>
      <c r="J4773" s="9">
        <f t="shared" si="303"/>
        <v>2</v>
      </c>
      <c r="K4773" t="s">
        <v>6698</v>
      </c>
      <c r="L4773" t="s">
        <v>6695</v>
      </c>
      <c r="Q4773" t="s">
        <v>6694</v>
      </c>
      <c r="W4773" t="s">
        <v>6720</v>
      </c>
    </row>
    <row r="4774" spans="1:23" ht="15.6" x14ac:dyDescent="0.4">
      <c r="A4774" s="2" t="s">
        <v>2939</v>
      </c>
      <c r="B4774" s="5" t="s">
        <v>10932</v>
      </c>
      <c r="C4774" s="7" t="s">
        <v>12556</v>
      </c>
      <c r="D4774" s="8">
        <f t="shared" si="300"/>
        <v>0</v>
      </c>
      <c r="E4774" s="7" t="s">
        <v>12557</v>
      </c>
      <c r="F4774" s="7">
        <f t="shared" si="301"/>
        <v>0</v>
      </c>
      <c r="G4774" s="7" t="s">
        <v>12558</v>
      </c>
      <c r="H4774" s="7">
        <f t="shared" si="302"/>
        <v>0</v>
      </c>
      <c r="I4774" s="7" t="str" cm="1">
        <f t="array" ref="I4774">IFERROR(_xlfn.IFS(M4774="נח",1,M4774="נע ונח",1,M4774="שני שווא נח",2,M4774="שני שוואים בסוף מילה",2,M4774="שני שוואים ברצף",1),"0")</f>
        <v>0</v>
      </c>
      <c r="J4774" s="9">
        <f t="shared" si="303"/>
        <v>3</v>
      </c>
      <c r="K4774" t="s">
        <v>6698</v>
      </c>
      <c r="L4774" t="s">
        <v>6695</v>
      </c>
      <c r="Q4774" t="s">
        <v>6694</v>
      </c>
      <c r="R4774" t="s">
        <v>6694</v>
      </c>
      <c r="W4774" t="s">
        <v>6720</v>
      </c>
    </row>
    <row r="4775" spans="1:23" ht="15.6" x14ac:dyDescent="0.4">
      <c r="A4775" s="2" t="s">
        <v>6181</v>
      </c>
      <c r="B4775" s="5" t="s">
        <v>10933</v>
      </c>
      <c r="C4775" s="7" t="s">
        <v>12556</v>
      </c>
      <c r="D4775" s="8">
        <f t="shared" si="300"/>
        <v>0</v>
      </c>
      <c r="E4775" s="7" t="s">
        <v>12557</v>
      </c>
      <c r="F4775" s="7">
        <f t="shared" si="301"/>
        <v>1</v>
      </c>
      <c r="G4775" s="7" t="s">
        <v>12558</v>
      </c>
      <c r="H4775" s="7">
        <f t="shared" si="302"/>
        <v>0</v>
      </c>
      <c r="I4775" s="7" t="str" cm="1">
        <f t="array" ref="I4775">IFERROR(_xlfn.IFS(M4775="נח",1,M4775="נע ונח",1,M4775="שני שווא נח",2,M4775="שני שוואים בסוף מילה",2,M4775="שני שוואים ברצף",1),"0")</f>
        <v>0</v>
      </c>
      <c r="J4775" s="9">
        <f t="shared" si="303"/>
        <v>4</v>
      </c>
      <c r="K4775" t="s">
        <v>6697</v>
      </c>
      <c r="L4775" t="s">
        <v>6695</v>
      </c>
      <c r="O4775" t="s">
        <v>6694</v>
      </c>
      <c r="P4775" t="s">
        <v>6694</v>
      </c>
      <c r="Q4775" t="s">
        <v>6694</v>
      </c>
      <c r="S4775" t="s">
        <v>6694</v>
      </c>
      <c r="W4775" t="s">
        <v>6720</v>
      </c>
    </row>
    <row r="4776" spans="1:23" ht="15.6" x14ac:dyDescent="0.4">
      <c r="A4776" s="2" t="s">
        <v>4906</v>
      </c>
      <c r="B4776" s="5" t="s">
        <v>10934</v>
      </c>
      <c r="C4776" s="7" t="s">
        <v>12556</v>
      </c>
      <c r="D4776" s="8">
        <f t="shared" si="300"/>
        <v>0</v>
      </c>
      <c r="E4776" s="7" t="s">
        <v>12557</v>
      </c>
      <c r="F4776" s="7">
        <f t="shared" si="301"/>
        <v>0</v>
      </c>
      <c r="G4776" s="7" t="s">
        <v>12558</v>
      </c>
      <c r="H4776" s="7">
        <f t="shared" si="302"/>
        <v>0</v>
      </c>
      <c r="I4776" s="7" t="str" cm="1">
        <f t="array" ref="I4776">IFERROR(_xlfn.IFS(M4776="נח",1,M4776="נע ונח",1,M4776="שני שווא נח",2,M4776="שני שוואים בסוף מילה",2,M4776="שני שוואים ברצף",1),"0")</f>
        <v>0</v>
      </c>
      <c r="J4776" s="9">
        <f t="shared" si="303"/>
        <v>3</v>
      </c>
      <c r="K4776" t="s">
        <v>6698</v>
      </c>
      <c r="L4776" t="s">
        <v>6695</v>
      </c>
      <c r="P4776" t="s">
        <v>6694</v>
      </c>
      <c r="Q4776" t="s">
        <v>6694</v>
      </c>
      <c r="S4776" t="s">
        <v>6694</v>
      </c>
      <c r="W4776" t="s">
        <v>6720</v>
      </c>
    </row>
    <row r="4777" spans="1:23" ht="15.6" x14ac:dyDescent="0.4">
      <c r="A4777" s="2" t="s">
        <v>5358</v>
      </c>
      <c r="B4777" s="5" t="s">
        <v>10935</v>
      </c>
      <c r="C4777" s="7" t="s">
        <v>12556</v>
      </c>
      <c r="D4777" s="8">
        <f t="shared" si="300"/>
        <v>0</v>
      </c>
      <c r="E4777" s="7" t="s">
        <v>12557</v>
      </c>
      <c r="F4777" s="7">
        <f t="shared" si="301"/>
        <v>1</v>
      </c>
      <c r="G4777" s="7" t="s">
        <v>12558</v>
      </c>
      <c r="H4777" s="7">
        <f t="shared" si="302"/>
        <v>0</v>
      </c>
      <c r="I4777" s="7" t="str" cm="1">
        <f t="array" ref="I4777">IFERROR(_xlfn.IFS(M4777="נח",1,M4777="נע ונח",1,M4777="שני שווא נח",2,M4777="שני שוואים בסוף מילה",2,M4777="שני שוואים ברצף",1),"0")</f>
        <v>0</v>
      </c>
      <c r="J4777" s="9">
        <f t="shared" si="303"/>
        <v>3</v>
      </c>
      <c r="K4777" t="s">
        <v>6698</v>
      </c>
      <c r="L4777" t="s">
        <v>6695</v>
      </c>
      <c r="P4777" t="s">
        <v>6694</v>
      </c>
      <c r="Q4777" t="s">
        <v>6694</v>
      </c>
      <c r="S4777" t="s">
        <v>6694</v>
      </c>
      <c r="W4777" t="s">
        <v>6720</v>
      </c>
    </row>
    <row r="4778" spans="1:23" ht="15.6" x14ac:dyDescent="0.4">
      <c r="A4778" s="2" t="s">
        <v>6332</v>
      </c>
      <c r="B4778" s="5" t="s">
        <v>10936</v>
      </c>
      <c r="C4778" s="7" t="s">
        <v>12556</v>
      </c>
      <c r="D4778" s="8">
        <f t="shared" si="300"/>
        <v>0</v>
      </c>
      <c r="E4778" s="7" t="s">
        <v>12557</v>
      </c>
      <c r="F4778" s="7">
        <f t="shared" si="301"/>
        <v>1</v>
      </c>
      <c r="G4778" s="7" t="s">
        <v>12558</v>
      </c>
      <c r="H4778" s="7">
        <f t="shared" si="302"/>
        <v>0</v>
      </c>
      <c r="I4778" s="7" t="str" cm="1">
        <f t="array" ref="I4778">IFERROR(_xlfn.IFS(M4778="נח",1,M4778="נע ונח",1,M4778="שני שווא נח",2,M4778="שני שוואים בסוף מילה",2,M4778="שני שוואים ברצף",1),"0")</f>
        <v>0</v>
      </c>
      <c r="J4778" s="9">
        <f t="shared" si="303"/>
        <v>4</v>
      </c>
      <c r="K4778" t="s">
        <v>6697</v>
      </c>
      <c r="L4778" t="s">
        <v>6695</v>
      </c>
      <c r="O4778" t="s">
        <v>6694</v>
      </c>
      <c r="P4778" t="s">
        <v>6694</v>
      </c>
      <c r="Q4778" t="s">
        <v>6694</v>
      </c>
      <c r="V4778" t="s">
        <v>6694</v>
      </c>
      <c r="W4778" t="s">
        <v>6720</v>
      </c>
    </row>
    <row r="4779" spans="1:23" ht="15.6" x14ac:dyDescent="0.4">
      <c r="A4779" s="2" t="s">
        <v>987</v>
      </c>
      <c r="B4779" s="5" t="s">
        <v>10937</v>
      </c>
      <c r="C4779" s="7" t="s">
        <v>12556</v>
      </c>
      <c r="D4779" s="8">
        <f t="shared" si="300"/>
        <v>0</v>
      </c>
      <c r="E4779" s="7" t="s">
        <v>12557</v>
      </c>
      <c r="F4779" s="7">
        <f t="shared" si="301"/>
        <v>0</v>
      </c>
      <c r="G4779" s="7" t="s">
        <v>12558</v>
      </c>
      <c r="H4779" s="7">
        <f t="shared" si="302"/>
        <v>0</v>
      </c>
      <c r="I4779" s="7" t="str" cm="1">
        <f t="array" ref="I4779">IFERROR(_xlfn.IFS(M4779="נח",1,M4779="נע ונח",1,M4779="שני שווא נח",2,M4779="שני שוואים בסוף מילה",2,M4779="שני שוואים ברצף",1),"0")</f>
        <v>0</v>
      </c>
      <c r="J4779" s="9">
        <f t="shared" si="303"/>
        <v>3</v>
      </c>
      <c r="K4779" t="s">
        <v>6698</v>
      </c>
      <c r="L4779" t="s">
        <v>6695</v>
      </c>
      <c r="N4779" t="s">
        <v>6706</v>
      </c>
      <c r="O4779" t="s">
        <v>6694</v>
      </c>
      <c r="Q4779" t="s">
        <v>6694</v>
      </c>
      <c r="W4779" t="s">
        <v>6720</v>
      </c>
    </row>
    <row r="4780" spans="1:23" ht="15.6" x14ac:dyDescent="0.4">
      <c r="A4780" s="2" t="s">
        <v>6538</v>
      </c>
      <c r="B4780" s="5" t="s">
        <v>10938</v>
      </c>
      <c r="C4780" s="7" t="s">
        <v>12556</v>
      </c>
      <c r="D4780" s="8">
        <f t="shared" si="300"/>
        <v>0</v>
      </c>
      <c r="E4780" s="7" t="s">
        <v>12557</v>
      </c>
      <c r="F4780" s="7">
        <f t="shared" si="301"/>
        <v>0</v>
      </c>
      <c r="G4780" s="7" t="s">
        <v>12558</v>
      </c>
      <c r="H4780" s="7">
        <f t="shared" si="302"/>
        <v>0</v>
      </c>
      <c r="I4780" s="7" cm="1">
        <f t="array" ref="I4780">IFERROR(_xlfn.IFS(M4780="נח",1,M4780="נע ונח",1,M4780="שני שווא נח",2,M4780="שני שוואים בסוף מילה",2,M4780="שני שוואים ברצף",1),"0")</f>
        <v>1</v>
      </c>
      <c r="J4780" s="9">
        <f t="shared" si="303"/>
        <v>5</v>
      </c>
      <c r="K4780" t="s">
        <v>6698</v>
      </c>
      <c r="L4780" t="s">
        <v>6694</v>
      </c>
      <c r="M4780" t="s">
        <v>6705</v>
      </c>
      <c r="N4780" t="s">
        <v>6706</v>
      </c>
      <c r="O4780" t="s">
        <v>6694</v>
      </c>
      <c r="Q4780" t="s">
        <v>6694</v>
      </c>
      <c r="R4780" t="s">
        <v>6694</v>
      </c>
      <c r="V4780" t="s">
        <v>6694</v>
      </c>
      <c r="W4780" t="s">
        <v>6720</v>
      </c>
    </row>
    <row r="4781" spans="1:23" ht="15.6" x14ac:dyDescent="0.4">
      <c r="A4781" s="2" t="s">
        <v>1553</v>
      </c>
      <c r="B4781" s="5" t="s">
        <v>10939</v>
      </c>
      <c r="C4781" s="7" t="s">
        <v>12556</v>
      </c>
      <c r="D4781" s="8">
        <f t="shared" si="300"/>
        <v>1</v>
      </c>
      <c r="E4781" s="7" t="s">
        <v>12557</v>
      </c>
      <c r="F4781" s="7">
        <f t="shared" si="301"/>
        <v>0</v>
      </c>
      <c r="G4781" s="7" t="s">
        <v>12558</v>
      </c>
      <c r="H4781" s="7">
        <f t="shared" si="302"/>
        <v>0</v>
      </c>
      <c r="I4781" s="7" cm="1">
        <f t="array" ref="I4781">IFERROR(_xlfn.IFS(M4781="נח",1,M4781="נע ונח",1,M4781="שני שווא נח",2,M4781="שני שוואים בסוף מילה",2,M4781="שני שוואים ברצף",1),"0")</f>
        <v>1</v>
      </c>
      <c r="J4781" s="9">
        <f t="shared" si="303"/>
        <v>3</v>
      </c>
      <c r="K4781" t="s">
        <v>6698</v>
      </c>
      <c r="L4781" t="s">
        <v>6694</v>
      </c>
      <c r="M4781" t="s">
        <v>6705</v>
      </c>
      <c r="Q4781" t="s">
        <v>6694</v>
      </c>
      <c r="R4781" t="s">
        <v>6694</v>
      </c>
      <c r="V4781" t="s">
        <v>6694</v>
      </c>
      <c r="W4781" t="s">
        <v>6720</v>
      </c>
    </row>
    <row r="4782" spans="1:23" ht="15.6" x14ac:dyDescent="0.4">
      <c r="A4782" s="2" t="s">
        <v>3268</v>
      </c>
      <c r="B4782" s="5" t="s">
        <v>10940</v>
      </c>
      <c r="C4782" s="7" t="s">
        <v>12556</v>
      </c>
      <c r="D4782" s="8">
        <f t="shared" si="300"/>
        <v>0</v>
      </c>
      <c r="E4782" s="7" t="s">
        <v>12557</v>
      </c>
      <c r="F4782" s="7">
        <f t="shared" si="301"/>
        <v>1</v>
      </c>
      <c r="G4782" s="7" t="s">
        <v>12558</v>
      </c>
      <c r="H4782" s="7">
        <f t="shared" si="302"/>
        <v>0</v>
      </c>
      <c r="I4782" s="7" t="str" cm="1">
        <f t="array" ref="I4782">IFERROR(_xlfn.IFS(M4782="נח",1,M4782="נע ונח",1,M4782="שני שווא נח",2,M4782="שני שוואים בסוף מילה",2,M4782="שני שוואים ברצף",1),"0")</f>
        <v>0</v>
      </c>
      <c r="J4782" s="9">
        <f t="shared" si="303"/>
        <v>4</v>
      </c>
      <c r="K4782" t="s">
        <v>6697</v>
      </c>
      <c r="L4782" t="s">
        <v>6695</v>
      </c>
      <c r="O4782" t="s">
        <v>6694</v>
      </c>
      <c r="Q4782" t="s">
        <v>6694</v>
      </c>
      <c r="T4782" t="s">
        <v>6694</v>
      </c>
      <c r="V4782" t="s">
        <v>6694</v>
      </c>
      <c r="W4782" t="s">
        <v>6720</v>
      </c>
    </row>
    <row r="4783" spans="1:23" ht="15.6" x14ac:dyDescent="0.4">
      <c r="A4783" s="2" t="s">
        <v>5076</v>
      </c>
      <c r="B4783" s="5" t="s">
        <v>10941</v>
      </c>
      <c r="C4783" s="7" t="s">
        <v>12556</v>
      </c>
      <c r="D4783" s="8">
        <f t="shared" si="300"/>
        <v>0</v>
      </c>
      <c r="E4783" s="7" t="s">
        <v>12557</v>
      </c>
      <c r="F4783" s="7">
        <f t="shared" si="301"/>
        <v>0</v>
      </c>
      <c r="G4783" s="7" t="s">
        <v>12558</v>
      </c>
      <c r="H4783" s="7">
        <f t="shared" si="302"/>
        <v>0</v>
      </c>
      <c r="I4783" s="7" t="str" cm="1">
        <f t="array" ref="I4783">IFERROR(_xlfn.IFS(M4783="נח",1,M4783="נע ונח",1,M4783="שני שווא נח",2,M4783="שני שוואים בסוף מילה",2,M4783="שני שוואים ברצף",1),"0")</f>
        <v>0</v>
      </c>
      <c r="J4783" s="9">
        <f t="shared" si="303"/>
        <v>2</v>
      </c>
      <c r="K4783" t="s">
        <v>6698</v>
      </c>
      <c r="L4783" t="s">
        <v>6695</v>
      </c>
      <c r="Q4783" t="s">
        <v>6694</v>
      </c>
      <c r="V4783" t="s">
        <v>6694</v>
      </c>
      <c r="W4783" t="s">
        <v>6720</v>
      </c>
    </row>
    <row r="4784" spans="1:23" ht="15.6" x14ac:dyDescent="0.4">
      <c r="A4784" s="2" t="s">
        <v>410</v>
      </c>
      <c r="B4784" s="5" t="s">
        <v>10743</v>
      </c>
      <c r="C4784" s="7" t="s">
        <v>12556</v>
      </c>
      <c r="D4784" s="8">
        <f t="shared" si="300"/>
        <v>0</v>
      </c>
      <c r="E4784" s="7" t="s">
        <v>12557</v>
      </c>
      <c r="F4784" s="7">
        <f t="shared" si="301"/>
        <v>0</v>
      </c>
      <c r="G4784" s="7" t="s">
        <v>12558</v>
      </c>
      <c r="H4784" s="7">
        <f t="shared" si="302"/>
        <v>0</v>
      </c>
      <c r="I4784" s="7" t="str" cm="1">
        <f t="array" ref="I4784">IFERROR(_xlfn.IFS(M4784="נח",1,M4784="נע ונח",1,M4784="שני שווא נח",2,M4784="שני שוואים בסוף מילה",2,M4784="שני שוואים ברצף",1),"0")</f>
        <v>0</v>
      </c>
      <c r="J4784" s="9">
        <f t="shared" si="303"/>
        <v>1</v>
      </c>
      <c r="K4784" t="s">
        <v>6698</v>
      </c>
      <c r="L4784" t="s">
        <v>6695</v>
      </c>
      <c r="Q4784" t="s">
        <v>6694</v>
      </c>
      <c r="W4784" t="s">
        <v>6720</v>
      </c>
    </row>
    <row r="4785" spans="1:23" ht="15.6" x14ac:dyDescent="0.4">
      <c r="A4785" s="2" t="s">
        <v>1684</v>
      </c>
      <c r="B4785" s="5" t="s">
        <v>10942</v>
      </c>
      <c r="C4785" s="7" t="s">
        <v>12556</v>
      </c>
      <c r="D4785" s="8">
        <f t="shared" si="300"/>
        <v>0</v>
      </c>
      <c r="E4785" s="7" t="s">
        <v>12557</v>
      </c>
      <c r="F4785" s="7">
        <f t="shared" si="301"/>
        <v>0</v>
      </c>
      <c r="G4785" s="7" t="s">
        <v>12558</v>
      </c>
      <c r="H4785" s="7">
        <f t="shared" si="302"/>
        <v>0</v>
      </c>
      <c r="I4785" s="7" t="str" cm="1">
        <f t="array" ref="I4785">IFERROR(_xlfn.IFS(M4785="נח",1,M4785="נע ונח",1,M4785="שני שווא נח",2,M4785="שני שוואים בסוף מילה",2,M4785="שני שוואים ברצף",1),"0")</f>
        <v>0</v>
      </c>
      <c r="J4785" s="9">
        <f t="shared" si="303"/>
        <v>3</v>
      </c>
      <c r="K4785" t="s">
        <v>6698</v>
      </c>
      <c r="L4785" t="s">
        <v>6695</v>
      </c>
      <c r="Q4785" t="s">
        <v>6694</v>
      </c>
      <c r="R4785" t="s">
        <v>6694</v>
      </c>
      <c r="W4785" t="s">
        <v>6720</v>
      </c>
    </row>
    <row r="4786" spans="1:23" ht="15.6" x14ac:dyDescent="0.4">
      <c r="A4786" s="2" t="s">
        <v>3768</v>
      </c>
      <c r="B4786" s="5" t="s">
        <v>10943</v>
      </c>
      <c r="C4786" s="7" t="s">
        <v>12556</v>
      </c>
      <c r="D4786" s="8">
        <f t="shared" si="300"/>
        <v>0</v>
      </c>
      <c r="E4786" s="7" t="s">
        <v>12557</v>
      </c>
      <c r="F4786" s="7">
        <f t="shared" si="301"/>
        <v>0</v>
      </c>
      <c r="G4786" s="7" t="s">
        <v>12558</v>
      </c>
      <c r="H4786" s="7">
        <f t="shared" si="302"/>
        <v>0</v>
      </c>
      <c r="I4786" s="7" t="str" cm="1">
        <f t="array" ref="I4786">IFERROR(_xlfn.IFS(M4786="נח",1,M4786="נע ונח",1,M4786="שני שווא נח",2,M4786="שני שוואים בסוף מילה",2,M4786="שני שוואים ברצף",1),"0")</f>
        <v>0</v>
      </c>
      <c r="J4786" s="9">
        <f t="shared" si="303"/>
        <v>2</v>
      </c>
      <c r="K4786" t="s">
        <v>6698</v>
      </c>
      <c r="L4786" t="s">
        <v>6695</v>
      </c>
      <c r="N4786" t="s">
        <v>6706</v>
      </c>
      <c r="O4786" t="s">
        <v>6694</v>
      </c>
      <c r="Q4786" t="s">
        <v>6694</v>
      </c>
      <c r="W4786" t="s">
        <v>6720</v>
      </c>
    </row>
    <row r="4787" spans="1:23" ht="15.6" x14ac:dyDescent="0.4">
      <c r="A4787" s="2" t="s">
        <v>2235</v>
      </c>
      <c r="B4787" s="5" t="s">
        <v>10944</v>
      </c>
      <c r="C4787" s="7" t="s">
        <v>12556</v>
      </c>
      <c r="D4787" s="8">
        <f t="shared" si="300"/>
        <v>1</v>
      </c>
      <c r="E4787" s="7" t="s">
        <v>12557</v>
      </c>
      <c r="F4787" s="7">
        <f t="shared" si="301"/>
        <v>0</v>
      </c>
      <c r="G4787" s="7" t="s">
        <v>12558</v>
      </c>
      <c r="H4787" s="7">
        <f t="shared" si="302"/>
        <v>0</v>
      </c>
      <c r="I4787" s="7" t="str" cm="1">
        <f t="array" ref="I4787">IFERROR(_xlfn.IFS(M4787="נח",1,M4787="נע ונח",1,M4787="שני שווא נח",2,M4787="שני שוואים בסוף מילה",2,M4787="שני שוואים ברצף",1),"0")</f>
        <v>0</v>
      </c>
      <c r="J4787" s="9">
        <f t="shared" si="303"/>
        <v>3</v>
      </c>
      <c r="K4787" t="s">
        <v>6698</v>
      </c>
      <c r="L4787" t="s">
        <v>6695</v>
      </c>
      <c r="O4787" t="s">
        <v>6694</v>
      </c>
      <c r="Q4787" t="s">
        <v>6694</v>
      </c>
      <c r="S4787" t="s">
        <v>6694</v>
      </c>
      <c r="W4787" t="s">
        <v>6720</v>
      </c>
    </row>
    <row r="4788" spans="1:23" ht="15.6" x14ac:dyDescent="0.4">
      <c r="A4788" s="2" t="s">
        <v>4375</v>
      </c>
      <c r="B4788" s="5" t="s">
        <v>10945</v>
      </c>
      <c r="C4788" s="7" t="s">
        <v>12556</v>
      </c>
      <c r="D4788" s="8">
        <f t="shared" si="300"/>
        <v>0</v>
      </c>
      <c r="E4788" s="7" t="s">
        <v>12557</v>
      </c>
      <c r="F4788" s="7">
        <f t="shared" si="301"/>
        <v>0</v>
      </c>
      <c r="G4788" s="7" t="s">
        <v>12558</v>
      </c>
      <c r="H4788" s="7">
        <f t="shared" si="302"/>
        <v>0</v>
      </c>
      <c r="I4788" s="7" t="str" cm="1">
        <f t="array" ref="I4788">IFERROR(_xlfn.IFS(M4788="נח",1,M4788="נע ונח",1,M4788="שני שווא נח",2,M4788="שני שוואים בסוף מילה",2,M4788="שני שוואים ברצף",1),"0")</f>
        <v>0</v>
      </c>
      <c r="J4788" s="9">
        <f t="shared" si="303"/>
        <v>2</v>
      </c>
      <c r="K4788" t="s">
        <v>6698</v>
      </c>
      <c r="L4788" t="s">
        <v>6695</v>
      </c>
      <c r="Q4788" t="s">
        <v>6694</v>
      </c>
      <c r="S4788" t="s">
        <v>6694</v>
      </c>
      <c r="W4788" t="s">
        <v>6720</v>
      </c>
    </row>
    <row r="4789" spans="1:23" ht="15.6" x14ac:dyDescent="0.4">
      <c r="A4789" s="2" t="s">
        <v>3880</v>
      </c>
      <c r="B4789" s="5" t="s">
        <v>10946</v>
      </c>
      <c r="C4789" s="7" t="s">
        <v>12556</v>
      </c>
      <c r="D4789" s="8">
        <f t="shared" si="300"/>
        <v>0</v>
      </c>
      <c r="E4789" s="7" t="s">
        <v>12557</v>
      </c>
      <c r="F4789" s="7">
        <f t="shared" si="301"/>
        <v>0</v>
      </c>
      <c r="G4789" s="7" t="s">
        <v>12558</v>
      </c>
      <c r="H4789" s="7">
        <f t="shared" si="302"/>
        <v>0</v>
      </c>
      <c r="I4789" s="7" t="str" cm="1">
        <f t="array" ref="I4789">IFERROR(_xlfn.IFS(M4789="נח",1,M4789="נע ונח",1,M4789="שני שווא נח",2,M4789="שני שוואים בסוף מילה",2,M4789="שני שוואים ברצף",1),"0")</f>
        <v>0</v>
      </c>
      <c r="J4789" s="9">
        <f t="shared" si="303"/>
        <v>4</v>
      </c>
      <c r="K4789" t="s">
        <v>6697</v>
      </c>
      <c r="L4789" t="s">
        <v>6695</v>
      </c>
      <c r="P4789" t="s">
        <v>6694</v>
      </c>
      <c r="Q4789" t="s">
        <v>6694</v>
      </c>
      <c r="S4789" t="s">
        <v>6694</v>
      </c>
      <c r="V4789" t="s">
        <v>6694</v>
      </c>
      <c r="W4789" t="s">
        <v>6720</v>
      </c>
    </row>
    <row r="4790" spans="1:23" ht="15.6" x14ac:dyDescent="0.4">
      <c r="A4790" s="2" t="s">
        <v>675</v>
      </c>
      <c r="B4790" s="5" t="s">
        <v>10947</v>
      </c>
      <c r="C4790" s="7" t="s">
        <v>12556</v>
      </c>
      <c r="D4790" s="8">
        <f t="shared" si="300"/>
        <v>0</v>
      </c>
      <c r="E4790" s="7" t="s">
        <v>12557</v>
      </c>
      <c r="F4790" s="7">
        <f t="shared" si="301"/>
        <v>1</v>
      </c>
      <c r="G4790" s="7" t="s">
        <v>12558</v>
      </c>
      <c r="H4790" s="7">
        <f t="shared" si="302"/>
        <v>0</v>
      </c>
      <c r="I4790" s="7" t="str" cm="1">
        <f t="array" ref="I4790">IFERROR(_xlfn.IFS(M4790="נח",1,M4790="נע ונח",1,M4790="שני שווא נח",2,M4790="שני שוואים בסוף מילה",2,M4790="שני שוואים ברצף",1),"0")</f>
        <v>0</v>
      </c>
      <c r="J4790" s="9">
        <f t="shared" si="303"/>
        <v>5</v>
      </c>
      <c r="K4790" t="s">
        <v>6698</v>
      </c>
      <c r="L4790" t="s">
        <v>6695</v>
      </c>
      <c r="N4790" t="s">
        <v>6706</v>
      </c>
      <c r="O4790" t="s">
        <v>6694</v>
      </c>
      <c r="P4790" t="s">
        <v>6694</v>
      </c>
      <c r="Q4790" t="s">
        <v>6694</v>
      </c>
      <c r="S4790" t="s">
        <v>6694</v>
      </c>
      <c r="V4790" t="s">
        <v>6694</v>
      </c>
      <c r="W4790" t="s">
        <v>6720</v>
      </c>
    </row>
    <row r="4791" spans="1:23" ht="15.6" x14ac:dyDescent="0.4">
      <c r="A4791" s="2" t="s">
        <v>2810</v>
      </c>
      <c r="B4791" s="5" t="s">
        <v>10948</v>
      </c>
      <c r="C4791" s="7" t="s">
        <v>12556</v>
      </c>
      <c r="D4791" s="8">
        <f t="shared" si="300"/>
        <v>0</v>
      </c>
      <c r="E4791" s="7" t="s">
        <v>12557</v>
      </c>
      <c r="F4791" s="7">
        <f t="shared" si="301"/>
        <v>0</v>
      </c>
      <c r="G4791" s="7" t="s">
        <v>12558</v>
      </c>
      <c r="H4791" s="7">
        <f t="shared" si="302"/>
        <v>0</v>
      </c>
      <c r="I4791" s="7" t="str" cm="1">
        <f t="array" ref="I4791">IFERROR(_xlfn.IFS(M4791="נח",1,M4791="נע ונח",1,M4791="שני שווא נח",2,M4791="שני שוואים בסוף מילה",2,M4791="שני שוואים ברצף",1),"0")</f>
        <v>0</v>
      </c>
      <c r="J4791" s="9">
        <f t="shared" si="303"/>
        <v>2</v>
      </c>
      <c r="K4791" t="s">
        <v>6698</v>
      </c>
      <c r="L4791" t="s">
        <v>6695</v>
      </c>
      <c r="Q4791" t="s">
        <v>6694</v>
      </c>
      <c r="S4791" t="s">
        <v>6694</v>
      </c>
      <c r="W4791" t="s">
        <v>6720</v>
      </c>
    </row>
    <row r="4792" spans="1:23" ht="15.6" x14ac:dyDescent="0.4">
      <c r="A4792" s="2" t="s">
        <v>4615</v>
      </c>
      <c r="B4792" s="5" t="s">
        <v>10949</v>
      </c>
      <c r="C4792" s="7" t="s">
        <v>12556</v>
      </c>
      <c r="D4792" s="8">
        <f t="shared" si="300"/>
        <v>0</v>
      </c>
      <c r="E4792" s="7" t="s">
        <v>12557</v>
      </c>
      <c r="F4792" s="7">
        <f t="shared" si="301"/>
        <v>1</v>
      </c>
      <c r="G4792" s="7" t="s">
        <v>12558</v>
      </c>
      <c r="H4792" s="7">
        <f t="shared" si="302"/>
        <v>0</v>
      </c>
      <c r="I4792" s="7" cm="1">
        <f t="array" ref="I4792">IFERROR(_xlfn.IFS(M4792="נח",1,M4792="נע ונח",1,M4792="שני שווא נח",2,M4792="שני שוואים בסוף מילה",2,M4792="שני שוואים ברצף",1),"0")</f>
        <v>1</v>
      </c>
      <c r="J4792" s="9">
        <f t="shared" si="303"/>
        <v>4</v>
      </c>
      <c r="K4792" t="s">
        <v>6697</v>
      </c>
      <c r="L4792" t="s">
        <v>6694</v>
      </c>
      <c r="M4792" t="s">
        <v>6705</v>
      </c>
      <c r="O4792" t="s">
        <v>6694</v>
      </c>
      <c r="P4792" t="s">
        <v>6694</v>
      </c>
      <c r="Q4792" t="s">
        <v>6694</v>
      </c>
      <c r="R4792" t="s">
        <v>6694</v>
      </c>
      <c r="W4792" t="s">
        <v>6720</v>
      </c>
    </row>
    <row r="4793" spans="1:23" ht="15.6" x14ac:dyDescent="0.4">
      <c r="A4793" s="2" t="s">
        <v>1413</v>
      </c>
      <c r="B4793" s="5" t="s">
        <v>10950</v>
      </c>
      <c r="C4793" s="7" t="s">
        <v>12556</v>
      </c>
      <c r="D4793" s="8">
        <f t="shared" si="300"/>
        <v>0</v>
      </c>
      <c r="E4793" s="7" t="s">
        <v>12557</v>
      </c>
      <c r="F4793" s="7">
        <f t="shared" si="301"/>
        <v>0</v>
      </c>
      <c r="G4793" s="7" t="s">
        <v>12558</v>
      </c>
      <c r="H4793" s="7">
        <f t="shared" si="302"/>
        <v>0</v>
      </c>
      <c r="I4793" s="7" t="str" cm="1">
        <f t="array" ref="I4793">IFERROR(_xlfn.IFS(M4793="נח",1,M4793="נע ונח",1,M4793="שני שווא נח",2,M4793="שני שוואים בסוף מילה",2,M4793="שני שוואים ברצף",1),"0")</f>
        <v>0</v>
      </c>
      <c r="J4793" s="9">
        <f t="shared" si="303"/>
        <v>2</v>
      </c>
      <c r="K4793" t="s">
        <v>6698</v>
      </c>
      <c r="L4793" t="s">
        <v>6695</v>
      </c>
      <c r="P4793" t="s">
        <v>6694</v>
      </c>
      <c r="Q4793" t="s">
        <v>6694</v>
      </c>
      <c r="W4793" t="s">
        <v>6720</v>
      </c>
    </row>
    <row r="4794" spans="1:23" ht="15.6" x14ac:dyDescent="0.4">
      <c r="A4794" s="2" t="s">
        <v>562</v>
      </c>
      <c r="B4794" s="5" t="s">
        <v>10951</v>
      </c>
      <c r="C4794" s="7" t="s">
        <v>12556</v>
      </c>
      <c r="D4794" s="8">
        <f t="shared" si="300"/>
        <v>0</v>
      </c>
      <c r="E4794" s="7" t="s">
        <v>12557</v>
      </c>
      <c r="F4794" s="7">
        <f t="shared" si="301"/>
        <v>0</v>
      </c>
      <c r="G4794" s="7" t="s">
        <v>12558</v>
      </c>
      <c r="H4794" s="7">
        <f t="shared" si="302"/>
        <v>0</v>
      </c>
      <c r="I4794" s="7" t="str" cm="1">
        <f t="array" ref="I4794">IFERROR(_xlfn.IFS(M4794="נח",1,M4794="נע ונח",1,M4794="שני שווא נח",2,M4794="שני שוואים בסוף מילה",2,M4794="שני שוואים ברצף",1),"0")</f>
        <v>0</v>
      </c>
      <c r="J4794" s="9">
        <f t="shared" si="303"/>
        <v>2</v>
      </c>
      <c r="K4794" t="s">
        <v>6698</v>
      </c>
      <c r="L4794" t="s">
        <v>6695</v>
      </c>
      <c r="P4794" t="s">
        <v>6694</v>
      </c>
      <c r="Q4794" t="s">
        <v>6694</v>
      </c>
      <c r="W4794" t="s">
        <v>6720</v>
      </c>
    </row>
    <row r="4795" spans="1:23" ht="15.6" x14ac:dyDescent="0.4">
      <c r="A4795" s="2" t="s">
        <v>1218</v>
      </c>
      <c r="B4795" s="5" t="s">
        <v>10952</v>
      </c>
      <c r="C4795" s="7" t="s">
        <v>12556</v>
      </c>
      <c r="D4795" s="8">
        <f t="shared" si="300"/>
        <v>0</v>
      </c>
      <c r="E4795" s="7" t="s">
        <v>12557</v>
      </c>
      <c r="F4795" s="7">
        <f t="shared" si="301"/>
        <v>1</v>
      </c>
      <c r="G4795" s="7" t="s">
        <v>12558</v>
      </c>
      <c r="H4795" s="7">
        <f t="shared" si="302"/>
        <v>0</v>
      </c>
      <c r="I4795" s="7" t="str" cm="1">
        <f t="array" ref="I4795">IFERROR(_xlfn.IFS(M4795="נח",1,M4795="נע ונח",1,M4795="שני שווא נח",2,M4795="שני שוואים בסוף מילה",2,M4795="שני שוואים ברצף",1),"0")</f>
        <v>0</v>
      </c>
      <c r="J4795" s="9">
        <f t="shared" si="303"/>
        <v>3</v>
      </c>
      <c r="K4795" t="s">
        <v>6697</v>
      </c>
      <c r="L4795" t="s">
        <v>6695</v>
      </c>
      <c r="O4795" t="s">
        <v>6694</v>
      </c>
      <c r="P4795" t="s">
        <v>6694</v>
      </c>
      <c r="Q4795" t="s">
        <v>6694</v>
      </c>
      <c r="W4795" t="s">
        <v>6720</v>
      </c>
    </row>
    <row r="4796" spans="1:23" ht="15.6" x14ac:dyDescent="0.4">
      <c r="A4796" s="2" t="s">
        <v>6365</v>
      </c>
      <c r="B4796" s="5" t="s">
        <v>10953</v>
      </c>
      <c r="C4796" s="7" t="s">
        <v>12556</v>
      </c>
      <c r="D4796" s="8">
        <f t="shared" si="300"/>
        <v>0</v>
      </c>
      <c r="E4796" s="7" t="s">
        <v>12557</v>
      </c>
      <c r="F4796" s="7">
        <f t="shared" si="301"/>
        <v>0</v>
      </c>
      <c r="G4796" s="7" t="s">
        <v>12558</v>
      </c>
      <c r="H4796" s="7">
        <f t="shared" si="302"/>
        <v>0</v>
      </c>
      <c r="I4796" s="7" t="str" cm="1">
        <f t="array" ref="I4796">IFERROR(_xlfn.IFS(M4796="נח",1,M4796="נע ונח",1,M4796="שני שווא נח",2,M4796="שני שוואים בסוף מילה",2,M4796="שני שוואים ברצף",1),"0")</f>
        <v>0</v>
      </c>
      <c r="J4796" s="9">
        <f t="shared" si="303"/>
        <v>2</v>
      </c>
      <c r="K4796" t="s">
        <v>6698</v>
      </c>
      <c r="L4796" t="s">
        <v>6695</v>
      </c>
      <c r="N4796" t="s">
        <v>6706</v>
      </c>
      <c r="O4796" t="s">
        <v>6694</v>
      </c>
      <c r="Q4796" t="s">
        <v>6694</v>
      </c>
      <c r="W4796" t="s">
        <v>6720</v>
      </c>
    </row>
    <row r="4797" spans="1:23" ht="15.6" x14ac:dyDescent="0.4">
      <c r="A4797" s="2" t="s">
        <v>5297</v>
      </c>
      <c r="B4797" s="5" t="s">
        <v>10950</v>
      </c>
      <c r="C4797" s="7" t="s">
        <v>12556</v>
      </c>
      <c r="D4797" s="8">
        <f t="shared" si="300"/>
        <v>0</v>
      </c>
      <c r="E4797" s="7" t="s">
        <v>12557</v>
      </c>
      <c r="F4797" s="7">
        <f t="shared" si="301"/>
        <v>0</v>
      </c>
      <c r="G4797" s="7" t="s">
        <v>12558</v>
      </c>
      <c r="H4797" s="7">
        <f t="shared" si="302"/>
        <v>0</v>
      </c>
      <c r="I4797" s="7" t="str" cm="1">
        <f t="array" ref="I4797">IFERROR(_xlfn.IFS(M4797="נח",1,M4797="נע ונח",1,M4797="שני שווא נח",2,M4797="שני שוואים בסוף מילה",2,M4797="שני שוואים ברצף",1),"0")</f>
        <v>0</v>
      </c>
      <c r="J4797" s="9">
        <f t="shared" si="303"/>
        <v>2</v>
      </c>
      <c r="K4797" t="s">
        <v>6698</v>
      </c>
      <c r="L4797" t="s">
        <v>6695</v>
      </c>
      <c r="N4797" t="s">
        <v>6706</v>
      </c>
      <c r="O4797" t="s">
        <v>6694</v>
      </c>
      <c r="Q4797" t="s">
        <v>6694</v>
      </c>
      <c r="W4797" t="s">
        <v>6720</v>
      </c>
    </row>
    <row r="4798" spans="1:23" ht="15.6" x14ac:dyDescent="0.4">
      <c r="A4798" s="2" t="s">
        <v>275</v>
      </c>
      <c r="B4798" s="5" t="s">
        <v>10954</v>
      </c>
      <c r="C4798" s="7" t="s">
        <v>12556</v>
      </c>
      <c r="D4798" s="8">
        <f t="shared" si="300"/>
        <v>0</v>
      </c>
      <c r="E4798" s="7" t="s">
        <v>12557</v>
      </c>
      <c r="F4798" s="7">
        <f t="shared" si="301"/>
        <v>0</v>
      </c>
      <c r="G4798" s="7" t="s">
        <v>12558</v>
      </c>
      <c r="H4798" s="7">
        <f t="shared" si="302"/>
        <v>0</v>
      </c>
      <c r="I4798" s="7" t="str" cm="1">
        <f t="array" ref="I4798">IFERROR(_xlfn.IFS(M4798="נח",1,M4798="נע ונח",1,M4798="שני שווא נח",2,M4798="שני שוואים בסוף מילה",2,M4798="שני שוואים ברצף",1),"0")</f>
        <v>0</v>
      </c>
      <c r="J4798" s="9">
        <f t="shared" si="303"/>
        <v>3</v>
      </c>
      <c r="K4798" t="s">
        <v>6698</v>
      </c>
      <c r="L4798" t="s">
        <v>6695</v>
      </c>
      <c r="O4798" t="s">
        <v>6694</v>
      </c>
      <c r="P4798" t="s">
        <v>6694</v>
      </c>
      <c r="Q4798" t="s">
        <v>6694</v>
      </c>
      <c r="W4798" t="s">
        <v>6720</v>
      </c>
    </row>
    <row r="4799" spans="1:23" ht="15.6" x14ac:dyDescent="0.4">
      <c r="A4799" s="2" t="s">
        <v>6675</v>
      </c>
      <c r="B4799" s="5" t="s">
        <v>10951</v>
      </c>
      <c r="C4799" s="7" t="s">
        <v>12556</v>
      </c>
      <c r="D4799" s="8">
        <f t="shared" si="300"/>
        <v>0</v>
      </c>
      <c r="E4799" s="7" t="s">
        <v>12557</v>
      </c>
      <c r="F4799" s="7">
        <f t="shared" si="301"/>
        <v>0</v>
      </c>
      <c r="G4799" s="7" t="s">
        <v>12558</v>
      </c>
      <c r="H4799" s="7">
        <f t="shared" si="302"/>
        <v>0</v>
      </c>
      <c r="I4799" s="7" t="str" cm="1">
        <f t="array" ref="I4799">IFERROR(_xlfn.IFS(M4799="נח",1,M4799="נע ונח",1,M4799="שני שווא נח",2,M4799="שני שוואים בסוף מילה",2,M4799="שני שוואים ברצף",1),"0")</f>
        <v>0</v>
      </c>
      <c r="J4799" s="9">
        <f t="shared" si="303"/>
        <v>2</v>
      </c>
      <c r="K4799" t="s">
        <v>6698</v>
      </c>
      <c r="L4799" t="s">
        <v>6695</v>
      </c>
      <c r="N4799" t="s">
        <v>6706</v>
      </c>
      <c r="O4799" t="s">
        <v>6694</v>
      </c>
      <c r="Q4799" t="s">
        <v>6694</v>
      </c>
      <c r="W4799" t="s">
        <v>6720</v>
      </c>
    </row>
    <row r="4800" spans="1:23" ht="15.6" x14ac:dyDescent="0.4">
      <c r="A4800" s="2" t="s">
        <v>1227</v>
      </c>
      <c r="B4800" s="5" t="s">
        <v>10955</v>
      </c>
      <c r="C4800" s="7" t="s">
        <v>12556</v>
      </c>
      <c r="D4800" s="8">
        <f t="shared" si="300"/>
        <v>0</v>
      </c>
      <c r="E4800" s="7" t="s">
        <v>12557</v>
      </c>
      <c r="F4800" s="7">
        <f t="shared" si="301"/>
        <v>0</v>
      </c>
      <c r="G4800" s="7" t="s">
        <v>12558</v>
      </c>
      <c r="H4800" s="7">
        <f t="shared" si="302"/>
        <v>0</v>
      </c>
      <c r="I4800" s="7" t="str" cm="1">
        <f t="array" ref="I4800">IFERROR(_xlfn.IFS(M4800="נח",1,M4800="נע ונח",1,M4800="שני שווא נח",2,M4800="שני שוואים בסוף מילה",2,M4800="שני שוואים ברצף",1),"0")</f>
        <v>0</v>
      </c>
      <c r="J4800" s="9">
        <f t="shared" si="303"/>
        <v>3</v>
      </c>
      <c r="K4800" t="s">
        <v>6698</v>
      </c>
      <c r="L4800" t="s">
        <v>6695</v>
      </c>
      <c r="N4800" t="s">
        <v>6706</v>
      </c>
      <c r="O4800" t="s">
        <v>6694</v>
      </c>
      <c r="Q4800" t="s">
        <v>6694</v>
      </c>
      <c r="W4800" t="s">
        <v>6720</v>
      </c>
    </row>
    <row r="4801" spans="1:23" ht="15.6" x14ac:dyDescent="0.4">
      <c r="A4801" s="2" t="s">
        <v>890</v>
      </c>
      <c r="B4801" s="5" t="s">
        <v>10956</v>
      </c>
      <c r="C4801" s="7" t="s">
        <v>12556</v>
      </c>
      <c r="D4801" s="8">
        <f t="shared" si="300"/>
        <v>0</v>
      </c>
      <c r="E4801" s="7" t="s">
        <v>12557</v>
      </c>
      <c r="F4801" s="7">
        <f t="shared" si="301"/>
        <v>0</v>
      </c>
      <c r="G4801" s="7" t="s">
        <v>12558</v>
      </c>
      <c r="H4801" s="7">
        <f t="shared" si="302"/>
        <v>0</v>
      </c>
      <c r="I4801" s="7" t="str" cm="1">
        <f t="array" ref="I4801">IFERROR(_xlfn.IFS(M4801="נח",1,M4801="נע ונח",1,M4801="שני שווא נח",2,M4801="שני שוואים בסוף מילה",2,M4801="שני שוואים ברצף",1),"0")</f>
        <v>0</v>
      </c>
      <c r="J4801" s="9">
        <f t="shared" si="303"/>
        <v>3</v>
      </c>
      <c r="K4801" t="s">
        <v>6698</v>
      </c>
      <c r="L4801" t="s">
        <v>6695</v>
      </c>
      <c r="N4801" t="s">
        <v>6706</v>
      </c>
      <c r="O4801" t="s">
        <v>6694</v>
      </c>
      <c r="Q4801" t="s">
        <v>6694</v>
      </c>
      <c r="V4801" t="s">
        <v>6694</v>
      </c>
      <c r="W4801" t="s">
        <v>6720</v>
      </c>
    </row>
    <row r="4802" spans="1:23" ht="15.6" x14ac:dyDescent="0.4">
      <c r="A4802" s="2" t="s">
        <v>319</v>
      </c>
      <c r="B4802" s="5" t="s">
        <v>10957</v>
      </c>
      <c r="C4802" s="7" t="s">
        <v>12556</v>
      </c>
      <c r="D4802" s="8">
        <f t="shared" si="300"/>
        <v>0</v>
      </c>
      <c r="E4802" s="7" t="s">
        <v>12557</v>
      </c>
      <c r="F4802" s="7">
        <f t="shared" si="301"/>
        <v>0</v>
      </c>
      <c r="G4802" s="7" t="s">
        <v>12558</v>
      </c>
      <c r="H4802" s="7">
        <f t="shared" si="302"/>
        <v>0</v>
      </c>
      <c r="I4802" s="7" cm="1">
        <f t="array" ref="I4802">IFERROR(_xlfn.IFS(M4802="נח",1,M4802="נע ונח",1,M4802="שני שווא נח",2,M4802="שני שוואים בסוף מילה",2,M4802="שני שוואים ברצף",1),"0")</f>
        <v>1</v>
      </c>
      <c r="J4802" s="9">
        <f t="shared" si="303"/>
        <v>2</v>
      </c>
      <c r="K4802" t="s">
        <v>6698</v>
      </c>
      <c r="L4802" t="s">
        <v>6694</v>
      </c>
      <c r="M4802" t="s">
        <v>6705</v>
      </c>
      <c r="Q4802" t="s">
        <v>6694</v>
      </c>
      <c r="V4802" t="s">
        <v>6694</v>
      </c>
      <c r="W4802" t="s">
        <v>6720</v>
      </c>
    </row>
    <row r="4803" spans="1:23" ht="15.6" x14ac:dyDescent="0.4">
      <c r="A4803" s="2" t="s">
        <v>4021</v>
      </c>
      <c r="B4803" s="5" t="s">
        <v>10958</v>
      </c>
      <c r="C4803" s="7" t="s">
        <v>12556</v>
      </c>
      <c r="D4803" s="8">
        <f t="shared" ref="D4803:D4866" si="304">(LEN(B4803)-LEN(SUBSTITUTE(B4803,C4803,"")))</f>
        <v>0</v>
      </c>
      <c r="E4803" s="7" t="s">
        <v>12557</v>
      </c>
      <c r="F4803" s="7">
        <f t="shared" ref="F4803:F4866" si="305">(LEN(A4803)-LEN(SUBSTITUTE(A4803,E4803,"")))</f>
        <v>1</v>
      </c>
      <c r="G4803" s="7" t="s">
        <v>12558</v>
      </c>
      <c r="H4803" s="7">
        <f t="shared" ref="H4803:H4866" si="306">(LEN(A4803)-LEN(SUBSTITUTE(A4803,G4803,"")))/2</f>
        <v>0</v>
      </c>
      <c r="I4803" s="7" cm="1">
        <f t="array" ref="I4803">IFERROR(_xlfn.IFS(M4803="נח",1,M4803="נע ונח",1,M4803="שני שווא נח",2,M4803="שני שוואים בסוף מילה",2,M4803="שני שוואים ברצף",1),"0")</f>
        <v>1</v>
      </c>
      <c r="J4803" s="9">
        <f t="shared" ref="J4803:J4866" si="307">LEN(A4803)-(LEN(B4803))-D4803-F4803+H4803-I4803</f>
        <v>3</v>
      </c>
      <c r="K4803" t="s">
        <v>6697</v>
      </c>
      <c r="L4803" t="s">
        <v>6694</v>
      </c>
      <c r="M4803" t="s">
        <v>6705</v>
      </c>
      <c r="N4803" t="s">
        <v>6706</v>
      </c>
      <c r="O4803" t="s">
        <v>6694</v>
      </c>
      <c r="Q4803" t="s">
        <v>6694</v>
      </c>
      <c r="V4803" t="s">
        <v>6694</v>
      </c>
      <c r="W4803" t="s">
        <v>6720</v>
      </c>
    </row>
    <row r="4804" spans="1:23" ht="15.6" x14ac:dyDescent="0.4">
      <c r="A4804" s="2" t="s">
        <v>5209</v>
      </c>
      <c r="B4804" s="5" t="s">
        <v>10688</v>
      </c>
      <c r="C4804" s="7" t="s">
        <v>12556</v>
      </c>
      <c r="D4804" s="8">
        <f t="shared" si="304"/>
        <v>0</v>
      </c>
      <c r="E4804" s="7" t="s">
        <v>12557</v>
      </c>
      <c r="F4804" s="7">
        <f t="shared" si="305"/>
        <v>0</v>
      </c>
      <c r="G4804" s="7" t="s">
        <v>12558</v>
      </c>
      <c r="H4804" s="7">
        <f t="shared" si="306"/>
        <v>0</v>
      </c>
      <c r="I4804" s="7" t="str" cm="1">
        <f t="array" ref="I4804">IFERROR(_xlfn.IFS(M4804="נח",1,M4804="נע ונח",1,M4804="שני שווא נח",2,M4804="שני שוואים בסוף מילה",2,M4804="שני שוואים ברצף",1),"0")</f>
        <v>0</v>
      </c>
      <c r="J4804" s="9">
        <f t="shared" si="307"/>
        <v>4</v>
      </c>
      <c r="K4804" t="s">
        <v>6698</v>
      </c>
      <c r="L4804" t="s">
        <v>6694</v>
      </c>
      <c r="M4804" t="s">
        <v>6703</v>
      </c>
      <c r="Q4804" t="s">
        <v>6694</v>
      </c>
      <c r="S4804" t="s">
        <v>6694</v>
      </c>
      <c r="V4804" t="s">
        <v>6694</v>
      </c>
      <c r="W4804" t="s">
        <v>6720</v>
      </c>
    </row>
    <row r="4805" spans="1:23" ht="15.6" x14ac:dyDescent="0.4">
      <c r="A4805" s="2" t="s">
        <v>4329</v>
      </c>
      <c r="B4805" s="5" t="s">
        <v>10959</v>
      </c>
      <c r="C4805" s="7" t="s">
        <v>12556</v>
      </c>
      <c r="D4805" s="8">
        <f t="shared" si="304"/>
        <v>1</v>
      </c>
      <c r="E4805" s="7" t="s">
        <v>12557</v>
      </c>
      <c r="F4805" s="7">
        <f t="shared" si="305"/>
        <v>0</v>
      </c>
      <c r="G4805" s="7" t="s">
        <v>12558</v>
      </c>
      <c r="H4805" s="7">
        <f t="shared" si="306"/>
        <v>0</v>
      </c>
      <c r="I4805" s="7" cm="1">
        <f t="array" ref="I4805">IFERROR(_xlfn.IFS(M4805="נח",1,M4805="נע ונח",1,M4805="שני שווא נח",2,M4805="שני שוואים בסוף מילה",2,M4805="שני שוואים ברצף",1),"0")</f>
        <v>1</v>
      </c>
      <c r="J4805" s="9">
        <f t="shared" si="307"/>
        <v>3</v>
      </c>
      <c r="K4805" t="s">
        <v>6698</v>
      </c>
      <c r="L4805" t="s">
        <v>6694</v>
      </c>
      <c r="M4805" t="s">
        <v>6705</v>
      </c>
      <c r="P4805" t="s">
        <v>6694</v>
      </c>
      <c r="Q4805" t="s">
        <v>6694</v>
      </c>
      <c r="S4805" t="s">
        <v>6694</v>
      </c>
      <c r="W4805" t="s">
        <v>6720</v>
      </c>
    </row>
    <row r="4806" spans="1:23" ht="15.6" x14ac:dyDescent="0.4">
      <c r="A4806" s="2" t="s">
        <v>3418</v>
      </c>
      <c r="B4806" s="5" t="s">
        <v>10960</v>
      </c>
      <c r="C4806" s="7" t="s">
        <v>12556</v>
      </c>
      <c r="D4806" s="8">
        <f t="shared" si="304"/>
        <v>0</v>
      </c>
      <c r="E4806" s="7" t="s">
        <v>12557</v>
      </c>
      <c r="F4806" s="7">
        <f t="shared" si="305"/>
        <v>0</v>
      </c>
      <c r="G4806" s="7" t="s">
        <v>12558</v>
      </c>
      <c r="H4806" s="7">
        <f t="shared" si="306"/>
        <v>0</v>
      </c>
      <c r="I4806" s="7" t="str" cm="1">
        <f t="array" ref="I4806">IFERROR(_xlfn.IFS(M4806="נח",1,M4806="נע ונח",1,M4806="שני שווא נח",2,M4806="שני שוואים בסוף מילה",2,M4806="שני שוואים ברצף",1),"0")</f>
        <v>0</v>
      </c>
      <c r="J4806" s="9">
        <f t="shared" si="307"/>
        <v>2</v>
      </c>
      <c r="K4806" t="s">
        <v>6698</v>
      </c>
      <c r="L4806" t="s">
        <v>6695</v>
      </c>
      <c r="Q4806" t="s">
        <v>6694</v>
      </c>
      <c r="S4806" t="s">
        <v>6694</v>
      </c>
      <c r="W4806" t="s">
        <v>6720</v>
      </c>
    </row>
    <row r="4807" spans="1:23" ht="15.6" x14ac:dyDescent="0.4">
      <c r="A4807" s="2" t="s">
        <v>1856</v>
      </c>
      <c r="B4807" s="5" t="s">
        <v>10961</v>
      </c>
      <c r="C4807" s="7" t="s">
        <v>12556</v>
      </c>
      <c r="D4807" s="8">
        <f t="shared" si="304"/>
        <v>0</v>
      </c>
      <c r="E4807" s="7" t="s">
        <v>12557</v>
      </c>
      <c r="F4807" s="7">
        <f t="shared" si="305"/>
        <v>0</v>
      </c>
      <c r="G4807" s="7" t="s">
        <v>12558</v>
      </c>
      <c r="H4807" s="7">
        <f t="shared" si="306"/>
        <v>0</v>
      </c>
      <c r="I4807" s="7" t="str" cm="1">
        <f t="array" ref="I4807">IFERROR(_xlfn.IFS(M4807="נח",1,M4807="נע ונח",1,M4807="שני שווא נח",2,M4807="שני שוואים בסוף מילה",2,M4807="שני שוואים ברצף",1),"0")</f>
        <v>0</v>
      </c>
      <c r="J4807" s="9">
        <f t="shared" si="307"/>
        <v>3</v>
      </c>
      <c r="K4807" t="s">
        <v>6697</v>
      </c>
      <c r="L4807" t="s">
        <v>6695</v>
      </c>
      <c r="Q4807" t="s">
        <v>6694</v>
      </c>
      <c r="S4807" t="s">
        <v>6694</v>
      </c>
      <c r="W4807" t="s">
        <v>6720</v>
      </c>
    </row>
    <row r="4808" spans="1:23" ht="15.6" x14ac:dyDescent="0.4">
      <c r="A4808" s="2" t="s">
        <v>2876</v>
      </c>
      <c r="B4808" s="5" t="s">
        <v>10687</v>
      </c>
      <c r="C4808" s="7" t="s">
        <v>12556</v>
      </c>
      <c r="D4808" s="8">
        <f t="shared" si="304"/>
        <v>0</v>
      </c>
      <c r="E4808" s="7" t="s">
        <v>12557</v>
      </c>
      <c r="F4808" s="7">
        <f t="shared" si="305"/>
        <v>0</v>
      </c>
      <c r="G4808" s="7" t="s">
        <v>12558</v>
      </c>
      <c r="H4808" s="7">
        <f t="shared" si="306"/>
        <v>0</v>
      </c>
      <c r="I4808" s="7" t="str" cm="1">
        <f t="array" ref="I4808">IFERROR(_xlfn.IFS(M4808="נח",1,M4808="נע ונח",1,M4808="שני שווא נח",2,M4808="שני שוואים בסוף מילה",2,M4808="שני שוואים ברצף",1),"0")</f>
        <v>0</v>
      </c>
      <c r="J4808" s="9">
        <f t="shared" si="307"/>
        <v>3</v>
      </c>
      <c r="K4808" t="s">
        <v>6698</v>
      </c>
      <c r="L4808" t="s">
        <v>6695</v>
      </c>
      <c r="Q4808" t="s">
        <v>6694</v>
      </c>
      <c r="R4808" t="s">
        <v>6694</v>
      </c>
      <c r="W4808" t="s">
        <v>6720</v>
      </c>
    </row>
    <row r="4809" spans="1:23" ht="15.6" x14ac:dyDescent="0.4">
      <c r="A4809" s="2" t="s">
        <v>922</v>
      </c>
      <c r="B4809" s="5" t="s">
        <v>10962</v>
      </c>
      <c r="C4809" s="7" t="s">
        <v>12556</v>
      </c>
      <c r="D4809" s="8">
        <f t="shared" si="304"/>
        <v>1</v>
      </c>
      <c r="E4809" s="7" t="s">
        <v>12557</v>
      </c>
      <c r="F4809" s="7">
        <f t="shared" si="305"/>
        <v>0</v>
      </c>
      <c r="G4809" s="7" t="s">
        <v>12558</v>
      </c>
      <c r="H4809" s="7">
        <f t="shared" si="306"/>
        <v>0</v>
      </c>
      <c r="I4809" s="7" t="str" cm="1">
        <f t="array" ref="I4809">IFERROR(_xlfn.IFS(M4809="נח",1,M4809="נע ונח",1,M4809="שני שווא נח",2,M4809="שני שוואים בסוף מילה",2,M4809="שני שוואים ברצף",1),"0")</f>
        <v>0</v>
      </c>
      <c r="J4809" s="9">
        <f t="shared" si="307"/>
        <v>3</v>
      </c>
      <c r="K4809" t="s">
        <v>6698</v>
      </c>
      <c r="L4809" t="s">
        <v>6695</v>
      </c>
      <c r="Q4809" t="s">
        <v>6694</v>
      </c>
      <c r="R4809" t="s">
        <v>6694</v>
      </c>
      <c r="W4809" t="s">
        <v>6720</v>
      </c>
    </row>
    <row r="4810" spans="1:23" ht="15.6" x14ac:dyDescent="0.4">
      <c r="A4810" s="2" t="s">
        <v>4135</v>
      </c>
      <c r="B4810" s="5" t="s">
        <v>10687</v>
      </c>
      <c r="C4810" s="7" t="s">
        <v>12556</v>
      </c>
      <c r="D4810" s="8">
        <f t="shared" si="304"/>
        <v>0</v>
      </c>
      <c r="E4810" s="7" t="s">
        <v>12557</v>
      </c>
      <c r="F4810" s="7">
        <f t="shared" si="305"/>
        <v>0</v>
      </c>
      <c r="G4810" s="7" t="s">
        <v>12558</v>
      </c>
      <c r="H4810" s="7">
        <f t="shared" si="306"/>
        <v>0</v>
      </c>
      <c r="I4810" s="7" t="str" cm="1">
        <f t="array" ref="I4810">IFERROR(_xlfn.IFS(M4810="נח",1,M4810="נע ונח",1,M4810="שני שווא נח",2,M4810="שני שוואים בסוף מילה",2,M4810="שני שוואים ברצף",1),"0")</f>
        <v>0</v>
      </c>
      <c r="J4810" s="9">
        <f t="shared" si="307"/>
        <v>3</v>
      </c>
      <c r="K4810" t="s">
        <v>6698</v>
      </c>
      <c r="L4810" t="s">
        <v>6695</v>
      </c>
      <c r="O4810" t="s">
        <v>6694</v>
      </c>
      <c r="Q4810" t="s">
        <v>6694</v>
      </c>
      <c r="R4810" t="s">
        <v>6694</v>
      </c>
      <c r="W4810" t="s">
        <v>6720</v>
      </c>
    </row>
    <row r="4811" spans="1:23" ht="15.6" x14ac:dyDescent="0.4">
      <c r="A4811" s="2" t="s">
        <v>398</v>
      </c>
      <c r="B4811" s="5" t="s">
        <v>10963</v>
      </c>
      <c r="C4811" s="7" t="s">
        <v>12556</v>
      </c>
      <c r="D4811" s="8">
        <f t="shared" si="304"/>
        <v>0</v>
      </c>
      <c r="E4811" s="7" t="s">
        <v>12557</v>
      </c>
      <c r="F4811" s="7">
        <f t="shared" si="305"/>
        <v>0</v>
      </c>
      <c r="G4811" s="7" t="s">
        <v>12558</v>
      </c>
      <c r="H4811" s="7">
        <f t="shared" si="306"/>
        <v>0</v>
      </c>
      <c r="I4811" s="7" t="str" cm="1">
        <f t="array" ref="I4811">IFERROR(_xlfn.IFS(M4811="נח",1,M4811="נע ונח",1,M4811="שני שווא נח",2,M4811="שני שוואים בסוף מילה",2,M4811="שני שוואים ברצף",1),"0")</f>
        <v>0</v>
      </c>
      <c r="J4811" s="9">
        <f t="shared" si="307"/>
        <v>3</v>
      </c>
      <c r="K4811" t="s">
        <v>6698</v>
      </c>
      <c r="L4811" t="s">
        <v>6695</v>
      </c>
      <c r="O4811" t="s">
        <v>6694</v>
      </c>
      <c r="Q4811" t="s">
        <v>6694</v>
      </c>
      <c r="V4811" t="s">
        <v>6694</v>
      </c>
      <c r="W4811" t="s">
        <v>6720</v>
      </c>
    </row>
    <row r="4812" spans="1:23" ht="15.6" x14ac:dyDescent="0.4">
      <c r="A4812" s="2" t="s">
        <v>6552</v>
      </c>
      <c r="B4812" s="5" t="s">
        <v>10964</v>
      </c>
      <c r="C4812" s="7" t="s">
        <v>12556</v>
      </c>
      <c r="D4812" s="8">
        <f t="shared" si="304"/>
        <v>0</v>
      </c>
      <c r="E4812" s="7" t="s">
        <v>12557</v>
      </c>
      <c r="F4812" s="7">
        <f t="shared" si="305"/>
        <v>0</v>
      </c>
      <c r="G4812" s="7" t="s">
        <v>12558</v>
      </c>
      <c r="H4812" s="7">
        <f t="shared" si="306"/>
        <v>0</v>
      </c>
      <c r="I4812" s="7" t="str" cm="1">
        <f t="array" ref="I4812">IFERROR(_xlfn.IFS(M4812="נח",1,M4812="נע ונח",1,M4812="שני שווא נח",2,M4812="שני שוואים בסוף מילה",2,M4812="שני שוואים ברצף",1),"0")</f>
        <v>0</v>
      </c>
      <c r="J4812" s="9">
        <f t="shared" si="307"/>
        <v>3</v>
      </c>
      <c r="K4812" t="s">
        <v>6698</v>
      </c>
      <c r="L4812" t="s">
        <v>6695</v>
      </c>
      <c r="O4812" t="s">
        <v>6694</v>
      </c>
      <c r="Q4812" t="s">
        <v>6694</v>
      </c>
      <c r="V4812" t="s">
        <v>6694</v>
      </c>
      <c r="W4812" t="s">
        <v>6720</v>
      </c>
    </row>
    <row r="4813" spans="1:23" ht="15.6" x14ac:dyDescent="0.4">
      <c r="A4813" s="2" t="s">
        <v>2547</v>
      </c>
      <c r="B4813" s="5" t="s">
        <v>10965</v>
      </c>
      <c r="C4813" s="7" t="s">
        <v>12556</v>
      </c>
      <c r="D4813" s="8">
        <f t="shared" si="304"/>
        <v>0</v>
      </c>
      <c r="E4813" s="7" t="s">
        <v>12557</v>
      </c>
      <c r="F4813" s="7">
        <f t="shared" si="305"/>
        <v>0</v>
      </c>
      <c r="G4813" s="7" t="s">
        <v>12558</v>
      </c>
      <c r="H4813" s="7">
        <f t="shared" si="306"/>
        <v>0</v>
      </c>
      <c r="I4813" s="7" t="str" cm="1">
        <f t="array" ref="I4813">IFERROR(_xlfn.IFS(M4813="נח",1,M4813="נע ונח",1,M4813="שני שווא נח",2,M4813="שני שוואים בסוף מילה",2,M4813="שני שוואים ברצף",1),"0")</f>
        <v>0</v>
      </c>
      <c r="J4813" s="9">
        <f t="shared" si="307"/>
        <v>2</v>
      </c>
      <c r="K4813" t="s">
        <v>6697</v>
      </c>
      <c r="L4813" t="s">
        <v>6695</v>
      </c>
      <c r="O4813" t="s">
        <v>6694</v>
      </c>
      <c r="Q4813" t="s">
        <v>6694</v>
      </c>
      <c r="W4813" t="s">
        <v>6720</v>
      </c>
    </row>
    <row r="4814" spans="1:23" ht="15.6" x14ac:dyDescent="0.4">
      <c r="A4814" s="2" t="s">
        <v>1602</v>
      </c>
      <c r="B4814" s="5" t="s">
        <v>10966</v>
      </c>
      <c r="C4814" s="7" t="s">
        <v>12556</v>
      </c>
      <c r="D4814" s="8">
        <f t="shared" si="304"/>
        <v>0</v>
      </c>
      <c r="E4814" s="7" t="s">
        <v>12557</v>
      </c>
      <c r="F4814" s="7">
        <f t="shared" si="305"/>
        <v>0</v>
      </c>
      <c r="G4814" s="7" t="s">
        <v>12558</v>
      </c>
      <c r="H4814" s="7">
        <f t="shared" si="306"/>
        <v>0</v>
      </c>
      <c r="I4814" s="7" t="str" cm="1">
        <f t="array" ref="I4814">IFERROR(_xlfn.IFS(M4814="נח",1,M4814="נע ונח",1,M4814="שני שווא נח",2,M4814="שני שוואים בסוף מילה",2,M4814="שני שוואים ברצף",1),"0")</f>
        <v>0</v>
      </c>
      <c r="J4814" s="9">
        <f t="shared" si="307"/>
        <v>3</v>
      </c>
      <c r="K4814" t="s">
        <v>6698</v>
      </c>
      <c r="L4814" t="s">
        <v>6695</v>
      </c>
      <c r="O4814" t="s">
        <v>6694</v>
      </c>
      <c r="P4814" t="s">
        <v>6694</v>
      </c>
      <c r="Q4814" t="s">
        <v>6694</v>
      </c>
      <c r="W4814" t="s">
        <v>6720</v>
      </c>
    </row>
    <row r="4815" spans="1:23" ht="15.6" x14ac:dyDescent="0.4">
      <c r="A4815" s="2" t="s">
        <v>5868</v>
      </c>
      <c r="B4815" s="5" t="s">
        <v>10967</v>
      </c>
      <c r="C4815" s="7" t="s">
        <v>12556</v>
      </c>
      <c r="D4815" s="8">
        <f t="shared" si="304"/>
        <v>0</v>
      </c>
      <c r="E4815" s="7" t="s">
        <v>12557</v>
      </c>
      <c r="F4815" s="7">
        <f t="shared" si="305"/>
        <v>0</v>
      </c>
      <c r="G4815" s="7" t="s">
        <v>12558</v>
      </c>
      <c r="H4815" s="7">
        <f t="shared" si="306"/>
        <v>0</v>
      </c>
      <c r="I4815" s="7" cm="1">
        <f t="array" ref="I4815">IFERROR(_xlfn.IFS(M4815="נח",1,M4815="נע ונח",1,M4815="שני שווא נח",2,M4815="שני שוואים בסוף מילה",2,M4815="שני שוואים ברצף",1),"0")</f>
        <v>1</v>
      </c>
      <c r="J4815" s="9">
        <f t="shared" si="307"/>
        <v>3</v>
      </c>
      <c r="K4815" t="s">
        <v>6698</v>
      </c>
      <c r="L4815" t="s">
        <v>6694</v>
      </c>
      <c r="M4815" t="s">
        <v>6705</v>
      </c>
      <c r="P4815" t="s">
        <v>6694</v>
      </c>
      <c r="Q4815" t="s">
        <v>6694</v>
      </c>
      <c r="V4815" t="s">
        <v>6694</v>
      </c>
      <c r="W4815" t="s">
        <v>6720</v>
      </c>
    </row>
    <row r="4816" spans="1:23" ht="15.6" x14ac:dyDescent="0.4">
      <c r="A4816" s="2" t="s">
        <v>3415</v>
      </c>
      <c r="B4816" s="5" t="s">
        <v>10968</v>
      </c>
      <c r="C4816" s="7" t="s">
        <v>12556</v>
      </c>
      <c r="D4816" s="8">
        <f t="shared" si="304"/>
        <v>0</v>
      </c>
      <c r="E4816" s="7" t="s">
        <v>12557</v>
      </c>
      <c r="F4816" s="7">
        <f t="shared" si="305"/>
        <v>0</v>
      </c>
      <c r="G4816" s="7" t="s">
        <v>12558</v>
      </c>
      <c r="H4816" s="7">
        <f t="shared" si="306"/>
        <v>0</v>
      </c>
      <c r="I4816" s="7" cm="1">
        <f t="array" ref="I4816">IFERROR(_xlfn.IFS(M4816="נח",1,M4816="נע ונח",1,M4816="שני שווא נח",2,M4816="שני שוואים בסוף מילה",2,M4816="שני שוואים ברצף",1),"0")</f>
        <v>1</v>
      </c>
      <c r="J4816" s="9">
        <f t="shared" si="307"/>
        <v>3</v>
      </c>
      <c r="K4816" t="s">
        <v>6698</v>
      </c>
      <c r="L4816" t="s">
        <v>6694</v>
      </c>
      <c r="M4816" t="s">
        <v>6705</v>
      </c>
      <c r="Q4816" t="s">
        <v>6694</v>
      </c>
      <c r="T4816" t="s">
        <v>6694</v>
      </c>
      <c r="W4816" t="s">
        <v>6720</v>
      </c>
    </row>
    <row r="4817" spans="1:23" ht="15.6" x14ac:dyDescent="0.4">
      <c r="A4817" s="2" t="s">
        <v>5039</v>
      </c>
      <c r="B4817" s="5" t="s">
        <v>10969</v>
      </c>
      <c r="C4817" s="7" t="s">
        <v>12556</v>
      </c>
      <c r="D4817" s="8">
        <f t="shared" si="304"/>
        <v>0</v>
      </c>
      <c r="E4817" s="7" t="s">
        <v>12557</v>
      </c>
      <c r="F4817" s="7">
        <f t="shared" si="305"/>
        <v>1</v>
      </c>
      <c r="G4817" s="7" t="s">
        <v>12558</v>
      </c>
      <c r="H4817" s="7">
        <f t="shared" si="306"/>
        <v>1</v>
      </c>
      <c r="I4817" s="7" t="str" cm="1">
        <f t="array" ref="I4817">IFERROR(_xlfn.IFS(M4817="נח",1,M4817="נע ונח",1,M4817="שני שווא נח",2,M4817="שני שוואים בסוף מילה",2,M4817="שני שוואים ברצף",1),"0")</f>
        <v>0</v>
      </c>
      <c r="J4817" s="9">
        <f t="shared" si="307"/>
        <v>4</v>
      </c>
      <c r="K4817" t="s">
        <v>6697</v>
      </c>
      <c r="L4817" t="s">
        <v>6695</v>
      </c>
      <c r="O4817" t="s">
        <v>6694</v>
      </c>
      <c r="Q4817" t="s">
        <v>6694</v>
      </c>
      <c r="R4817" t="s">
        <v>6694</v>
      </c>
      <c r="U4817" t="s">
        <v>6694</v>
      </c>
      <c r="W4817" t="s">
        <v>6720</v>
      </c>
    </row>
    <row r="4818" spans="1:23" ht="15.6" x14ac:dyDescent="0.4">
      <c r="A4818" s="2" t="s">
        <v>4011</v>
      </c>
      <c r="B4818" s="5" t="s">
        <v>10970</v>
      </c>
      <c r="C4818" s="7" t="s">
        <v>12556</v>
      </c>
      <c r="D4818" s="8">
        <f t="shared" si="304"/>
        <v>0</v>
      </c>
      <c r="E4818" s="7" t="s">
        <v>12557</v>
      </c>
      <c r="F4818" s="7">
        <f t="shared" si="305"/>
        <v>1</v>
      </c>
      <c r="G4818" s="7" t="s">
        <v>12558</v>
      </c>
      <c r="H4818" s="7">
        <f t="shared" si="306"/>
        <v>1</v>
      </c>
      <c r="I4818" s="7" t="str" cm="1">
        <f t="array" ref="I4818">IFERROR(_xlfn.IFS(M4818="נח",1,M4818="נע ונח",1,M4818="שני שווא נח",2,M4818="שני שוואים בסוף מילה",2,M4818="שני שוואים ברצף",1),"0")</f>
        <v>0</v>
      </c>
      <c r="J4818" s="9">
        <f t="shared" si="307"/>
        <v>3</v>
      </c>
      <c r="K4818" t="s">
        <v>6697</v>
      </c>
      <c r="L4818" t="s">
        <v>6695</v>
      </c>
      <c r="N4818" t="s">
        <v>6707</v>
      </c>
      <c r="P4818" t="s">
        <v>6694</v>
      </c>
      <c r="Q4818" t="s">
        <v>6694</v>
      </c>
      <c r="U4818" t="s">
        <v>6694</v>
      </c>
      <c r="W4818" t="s">
        <v>6720</v>
      </c>
    </row>
    <row r="4819" spans="1:23" ht="15.6" x14ac:dyDescent="0.4">
      <c r="A4819" s="2" t="s">
        <v>6079</v>
      </c>
      <c r="B4819" s="5" t="s">
        <v>10971</v>
      </c>
      <c r="C4819" s="7" t="s">
        <v>12556</v>
      </c>
      <c r="D4819" s="8">
        <f t="shared" si="304"/>
        <v>0</v>
      </c>
      <c r="E4819" s="7" t="s">
        <v>12557</v>
      </c>
      <c r="F4819" s="7">
        <f t="shared" si="305"/>
        <v>0</v>
      </c>
      <c r="G4819" s="7" t="s">
        <v>12558</v>
      </c>
      <c r="H4819" s="7">
        <f t="shared" si="306"/>
        <v>0</v>
      </c>
      <c r="I4819" s="7" t="str" cm="1">
        <f t="array" ref="I4819">IFERROR(_xlfn.IFS(M4819="נח",1,M4819="נע ונח",1,M4819="שני שווא נח",2,M4819="שני שוואים בסוף מילה",2,M4819="שני שוואים ברצף",1),"0")</f>
        <v>0</v>
      </c>
      <c r="J4819" s="9">
        <f t="shared" si="307"/>
        <v>2</v>
      </c>
      <c r="K4819" t="s">
        <v>6698</v>
      </c>
      <c r="L4819" t="s">
        <v>6695</v>
      </c>
      <c r="Q4819" t="s">
        <v>6694</v>
      </c>
      <c r="S4819" t="s">
        <v>6694</v>
      </c>
      <c r="W4819" t="s">
        <v>6720</v>
      </c>
    </row>
    <row r="4820" spans="1:23" ht="15.6" x14ac:dyDescent="0.4">
      <c r="A4820" s="2" t="s">
        <v>595</v>
      </c>
      <c r="B4820" s="5" t="s">
        <v>10972</v>
      </c>
      <c r="C4820" s="7" t="s">
        <v>12556</v>
      </c>
      <c r="D4820" s="8">
        <f t="shared" si="304"/>
        <v>0</v>
      </c>
      <c r="E4820" s="7" t="s">
        <v>12557</v>
      </c>
      <c r="F4820" s="7">
        <f t="shared" si="305"/>
        <v>0</v>
      </c>
      <c r="G4820" s="7" t="s">
        <v>12558</v>
      </c>
      <c r="H4820" s="7">
        <f t="shared" si="306"/>
        <v>0</v>
      </c>
      <c r="I4820" s="7" t="str" cm="1">
        <f t="array" ref="I4820">IFERROR(_xlfn.IFS(M4820="נח",1,M4820="נע ונח",1,M4820="שני שווא נח",2,M4820="שני שוואים בסוף מילה",2,M4820="שני שוואים ברצף",1),"0")</f>
        <v>0</v>
      </c>
      <c r="J4820" s="9">
        <f t="shared" si="307"/>
        <v>1</v>
      </c>
      <c r="K4820" t="s">
        <v>6697</v>
      </c>
      <c r="L4820" t="s">
        <v>6695</v>
      </c>
      <c r="R4820" t="s">
        <v>6694</v>
      </c>
      <c r="W4820" t="s">
        <v>6720</v>
      </c>
    </row>
    <row r="4821" spans="1:23" ht="15.6" x14ac:dyDescent="0.4">
      <c r="A4821" s="2" t="s">
        <v>2970</v>
      </c>
      <c r="B4821" s="5" t="s">
        <v>10973</v>
      </c>
      <c r="C4821" s="7" t="s">
        <v>12556</v>
      </c>
      <c r="D4821" s="8">
        <f t="shared" si="304"/>
        <v>0</v>
      </c>
      <c r="E4821" s="7" t="s">
        <v>12557</v>
      </c>
      <c r="F4821" s="7">
        <f t="shared" si="305"/>
        <v>0</v>
      </c>
      <c r="G4821" s="7" t="s">
        <v>12558</v>
      </c>
      <c r="H4821" s="7">
        <f t="shared" si="306"/>
        <v>0</v>
      </c>
      <c r="I4821" s="7" cm="1">
        <f t="array" ref="I4821">IFERROR(_xlfn.IFS(M4821="נח",1,M4821="נע ונח",1,M4821="שני שווא נח",2,M4821="שני שוואים בסוף מילה",2,M4821="שני שוואים ברצף",1),"0")</f>
        <v>1</v>
      </c>
      <c r="J4821" s="9">
        <f t="shared" si="307"/>
        <v>3</v>
      </c>
      <c r="K4821" t="s">
        <v>6698</v>
      </c>
      <c r="L4821" t="s">
        <v>6694</v>
      </c>
      <c r="M4821" t="s">
        <v>6702</v>
      </c>
      <c r="Q4821" t="s">
        <v>6694</v>
      </c>
      <c r="R4821" t="s">
        <v>6694</v>
      </c>
      <c r="W4821" t="s">
        <v>6720</v>
      </c>
    </row>
    <row r="4822" spans="1:23" ht="15.6" x14ac:dyDescent="0.4">
      <c r="A4822" s="2" t="s">
        <v>1267</v>
      </c>
      <c r="B4822" s="5" t="s">
        <v>10974</v>
      </c>
      <c r="C4822" s="7" t="s">
        <v>12556</v>
      </c>
      <c r="D4822" s="8">
        <f t="shared" si="304"/>
        <v>0</v>
      </c>
      <c r="E4822" s="7" t="s">
        <v>12557</v>
      </c>
      <c r="F4822" s="7">
        <f t="shared" si="305"/>
        <v>0</v>
      </c>
      <c r="G4822" s="7" t="s">
        <v>12558</v>
      </c>
      <c r="H4822" s="7">
        <f t="shared" si="306"/>
        <v>0</v>
      </c>
      <c r="I4822" s="7" cm="1">
        <f t="array" ref="I4822">IFERROR(_xlfn.IFS(M4822="נח",1,M4822="נע ונח",1,M4822="שני שווא נח",2,M4822="שני שוואים בסוף מילה",2,M4822="שני שוואים ברצף",1),"0")</f>
        <v>1</v>
      </c>
      <c r="J4822" s="9">
        <f t="shared" si="307"/>
        <v>2</v>
      </c>
      <c r="K4822" t="s">
        <v>6698</v>
      </c>
      <c r="L4822" t="s">
        <v>6694</v>
      </c>
      <c r="M4822" t="s">
        <v>6705</v>
      </c>
      <c r="R4822" t="s">
        <v>6694</v>
      </c>
      <c r="W4822" t="s">
        <v>6720</v>
      </c>
    </row>
    <row r="4823" spans="1:23" ht="15.6" x14ac:dyDescent="0.4">
      <c r="A4823" s="2" t="s">
        <v>4230</v>
      </c>
      <c r="B4823" s="5" t="s">
        <v>10975</v>
      </c>
      <c r="C4823" s="7" t="s">
        <v>12556</v>
      </c>
      <c r="D4823" s="8">
        <f t="shared" si="304"/>
        <v>0</v>
      </c>
      <c r="E4823" s="7" t="s">
        <v>12557</v>
      </c>
      <c r="F4823" s="7">
        <f t="shared" si="305"/>
        <v>0</v>
      </c>
      <c r="G4823" s="7" t="s">
        <v>12558</v>
      </c>
      <c r="H4823" s="7">
        <f t="shared" si="306"/>
        <v>0</v>
      </c>
      <c r="I4823" s="7" t="str" cm="1">
        <f t="array" ref="I4823">IFERROR(_xlfn.IFS(M4823="נח",1,M4823="נע ונח",1,M4823="שני שווא נח",2,M4823="שני שוואים בסוף מילה",2,M4823="שני שוואים ברצף",1),"0")</f>
        <v>0</v>
      </c>
      <c r="J4823" s="9">
        <f t="shared" si="307"/>
        <v>2</v>
      </c>
      <c r="K4823" t="s">
        <v>6698</v>
      </c>
      <c r="L4823" t="s">
        <v>6695</v>
      </c>
      <c r="P4823" t="s">
        <v>6694</v>
      </c>
      <c r="R4823" t="s">
        <v>6694</v>
      </c>
      <c r="W4823" t="s">
        <v>6720</v>
      </c>
    </row>
    <row r="4824" spans="1:23" ht="15.6" x14ac:dyDescent="0.4">
      <c r="A4824" s="2" t="s">
        <v>2864</v>
      </c>
      <c r="B4824" s="5" t="s">
        <v>10976</v>
      </c>
      <c r="C4824" s="7" t="s">
        <v>12556</v>
      </c>
      <c r="D4824" s="8">
        <f t="shared" si="304"/>
        <v>1</v>
      </c>
      <c r="E4824" s="7" t="s">
        <v>12557</v>
      </c>
      <c r="F4824" s="7">
        <f t="shared" si="305"/>
        <v>1</v>
      </c>
      <c r="G4824" s="7" t="s">
        <v>12558</v>
      </c>
      <c r="H4824" s="7">
        <f t="shared" si="306"/>
        <v>0</v>
      </c>
      <c r="I4824" s="7" cm="1">
        <f t="array" ref="I4824">IFERROR(_xlfn.IFS(M4824="נח",1,M4824="נע ונח",1,M4824="שני שווא נח",2,M4824="שני שוואים בסוף מילה",2,M4824="שני שוואים ברצף",1),"0")</f>
        <v>2</v>
      </c>
      <c r="J4824" s="9">
        <f t="shared" si="307"/>
        <v>3</v>
      </c>
      <c r="K4824" t="s">
        <v>6697</v>
      </c>
      <c r="L4824" t="s">
        <v>6694</v>
      </c>
      <c r="M4824" t="s">
        <v>6704</v>
      </c>
      <c r="P4824" t="s">
        <v>6694</v>
      </c>
      <c r="R4824" t="s">
        <v>6694</v>
      </c>
      <c r="V4824" t="s">
        <v>6694</v>
      </c>
      <c r="W4824" t="s">
        <v>6720</v>
      </c>
    </row>
    <row r="4825" spans="1:23" ht="15.6" x14ac:dyDescent="0.4">
      <c r="A4825" s="2" t="s">
        <v>4364</v>
      </c>
      <c r="B4825" s="5" t="s">
        <v>10802</v>
      </c>
      <c r="C4825" s="7" t="s">
        <v>12556</v>
      </c>
      <c r="D4825" s="8">
        <f t="shared" si="304"/>
        <v>0</v>
      </c>
      <c r="E4825" s="7" t="s">
        <v>12557</v>
      </c>
      <c r="F4825" s="7">
        <f t="shared" si="305"/>
        <v>1</v>
      </c>
      <c r="G4825" s="7" t="s">
        <v>12558</v>
      </c>
      <c r="H4825" s="7">
        <f t="shared" si="306"/>
        <v>0</v>
      </c>
      <c r="I4825" s="7" t="str" cm="1">
        <f t="array" ref="I4825">IFERROR(_xlfn.IFS(M4825="נח",1,M4825="נע ונח",1,M4825="שני שווא נח",2,M4825="שני שוואים בסוף מילה",2,M4825="שני שוואים ברצף",1),"0")</f>
        <v>0</v>
      </c>
      <c r="J4825" s="9">
        <f t="shared" si="307"/>
        <v>2</v>
      </c>
      <c r="K4825" t="s">
        <v>6697</v>
      </c>
      <c r="L4825" t="s">
        <v>6695</v>
      </c>
      <c r="R4825" t="s">
        <v>6694</v>
      </c>
      <c r="S4825" t="s">
        <v>6694</v>
      </c>
      <c r="W4825" t="s">
        <v>6720</v>
      </c>
    </row>
    <row r="4826" spans="1:23" ht="15.6" x14ac:dyDescent="0.4">
      <c r="A4826" s="2" t="s">
        <v>4676</v>
      </c>
      <c r="B4826" s="5" t="s">
        <v>10977</v>
      </c>
      <c r="C4826" s="7" t="s">
        <v>12556</v>
      </c>
      <c r="D4826" s="8">
        <f t="shared" si="304"/>
        <v>0</v>
      </c>
      <c r="E4826" s="7" t="s">
        <v>12557</v>
      </c>
      <c r="F4826" s="7">
        <f t="shared" si="305"/>
        <v>0</v>
      </c>
      <c r="G4826" s="7" t="s">
        <v>12558</v>
      </c>
      <c r="H4826" s="7">
        <f t="shared" si="306"/>
        <v>0</v>
      </c>
      <c r="I4826" s="7" cm="1">
        <f t="array" ref="I4826">IFERROR(_xlfn.IFS(M4826="נח",1,M4826="נע ונח",1,M4826="שני שווא נח",2,M4826="שני שוואים בסוף מילה",2,M4826="שני שוואים ברצף",1),"0")</f>
        <v>1</v>
      </c>
      <c r="J4826" s="9">
        <f t="shared" si="307"/>
        <v>2</v>
      </c>
      <c r="K4826" t="s">
        <v>6698</v>
      </c>
      <c r="L4826" t="s">
        <v>6694</v>
      </c>
      <c r="M4826" t="s">
        <v>6705</v>
      </c>
      <c r="R4826" t="s">
        <v>6694</v>
      </c>
      <c r="W4826" t="s">
        <v>6720</v>
      </c>
    </row>
    <row r="4827" spans="1:23" ht="15.6" x14ac:dyDescent="0.4">
      <c r="A4827" s="2" t="s">
        <v>5114</v>
      </c>
      <c r="B4827" s="5" t="s">
        <v>10978</v>
      </c>
      <c r="C4827" s="7" t="s">
        <v>12556</v>
      </c>
      <c r="D4827" s="8">
        <f t="shared" si="304"/>
        <v>0</v>
      </c>
      <c r="E4827" s="7" t="s">
        <v>12557</v>
      </c>
      <c r="F4827" s="7">
        <f t="shared" si="305"/>
        <v>1</v>
      </c>
      <c r="G4827" s="7" t="s">
        <v>12558</v>
      </c>
      <c r="H4827" s="7">
        <f t="shared" si="306"/>
        <v>0</v>
      </c>
      <c r="I4827" s="7" t="str" cm="1">
        <f t="array" ref="I4827">IFERROR(_xlfn.IFS(M4827="נח",1,M4827="נע ונח",1,M4827="שני שווא נח",2,M4827="שני שוואים בסוף מילה",2,M4827="שני שוואים ברצף",1),"0")</f>
        <v>0</v>
      </c>
      <c r="J4827" s="9">
        <f t="shared" si="307"/>
        <v>4</v>
      </c>
      <c r="K4827" t="s">
        <v>6697</v>
      </c>
      <c r="L4827" t="s">
        <v>6695</v>
      </c>
      <c r="P4827" t="s">
        <v>6694</v>
      </c>
      <c r="Q4827" t="s">
        <v>6694</v>
      </c>
      <c r="W4827" t="s">
        <v>6720</v>
      </c>
    </row>
    <row r="4828" spans="1:23" ht="15.6" x14ac:dyDescent="0.4">
      <c r="A4828" s="2" t="s">
        <v>3634</v>
      </c>
      <c r="B4828" s="5" t="s">
        <v>10979</v>
      </c>
      <c r="C4828" s="7" t="s">
        <v>12556</v>
      </c>
      <c r="D4828" s="8">
        <f t="shared" si="304"/>
        <v>0</v>
      </c>
      <c r="E4828" s="7" t="s">
        <v>12557</v>
      </c>
      <c r="F4828" s="7">
        <f t="shared" si="305"/>
        <v>0</v>
      </c>
      <c r="G4828" s="7" t="s">
        <v>12558</v>
      </c>
      <c r="H4828" s="7">
        <f t="shared" si="306"/>
        <v>0</v>
      </c>
      <c r="I4828" s="7" t="str" cm="1">
        <f t="array" ref="I4828">IFERROR(_xlfn.IFS(M4828="נח",1,M4828="נע ונח",1,M4828="שני שווא נח",2,M4828="שני שוואים בסוף מילה",2,M4828="שני שוואים ברצף",1),"0")</f>
        <v>0</v>
      </c>
      <c r="J4828" s="9">
        <f t="shared" si="307"/>
        <v>3</v>
      </c>
      <c r="K4828" t="s">
        <v>6698</v>
      </c>
      <c r="L4828" t="s">
        <v>6695</v>
      </c>
      <c r="N4828" t="s">
        <v>6706</v>
      </c>
      <c r="O4828" t="s">
        <v>6694</v>
      </c>
      <c r="P4828" t="s">
        <v>6694</v>
      </c>
      <c r="W4828" t="s">
        <v>6720</v>
      </c>
    </row>
    <row r="4829" spans="1:23" ht="15.6" x14ac:dyDescent="0.4">
      <c r="A4829" s="2" t="s">
        <v>2954</v>
      </c>
      <c r="B4829" s="5" t="s">
        <v>10980</v>
      </c>
      <c r="C4829" s="7" t="s">
        <v>12556</v>
      </c>
      <c r="D4829" s="8">
        <f t="shared" si="304"/>
        <v>0</v>
      </c>
      <c r="E4829" s="7" t="s">
        <v>12557</v>
      </c>
      <c r="F4829" s="7">
        <f t="shared" si="305"/>
        <v>0</v>
      </c>
      <c r="G4829" s="7" t="s">
        <v>12558</v>
      </c>
      <c r="H4829" s="7">
        <f t="shared" si="306"/>
        <v>0</v>
      </c>
      <c r="I4829" s="7" t="str" cm="1">
        <f t="array" ref="I4829">IFERROR(_xlfn.IFS(M4829="נח",1,M4829="נע ונח",1,M4829="שני שווא נח",2,M4829="שני שוואים בסוף מילה",2,M4829="שני שוואים ברצף",1),"0")</f>
        <v>0</v>
      </c>
      <c r="J4829" s="9">
        <f t="shared" si="307"/>
        <v>4</v>
      </c>
      <c r="K4829" t="s">
        <v>6698</v>
      </c>
      <c r="L4829" t="s">
        <v>6695</v>
      </c>
      <c r="P4829" t="s">
        <v>6694</v>
      </c>
      <c r="S4829" t="s">
        <v>6694</v>
      </c>
      <c r="V4829" t="s">
        <v>6694</v>
      </c>
      <c r="W4829" t="s">
        <v>6720</v>
      </c>
    </row>
    <row r="4830" spans="1:23" ht="15.6" x14ac:dyDescent="0.4">
      <c r="A4830" s="2" t="s">
        <v>39</v>
      </c>
      <c r="B4830" s="5" t="s">
        <v>10981</v>
      </c>
      <c r="C4830" s="7" t="s">
        <v>12556</v>
      </c>
      <c r="D4830" s="8">
        <f t="shared" si="304"/>
        <v>0</v>
      </c>
      <c r="E4830" s="7" t="s">
        <v>12557</v>
      </c>
      <c r="F4830" s="7">
        <f t="shared" si="305"/>
        <v>0</v>
      </c>
      <c r="G4830" s="7" t="s">
        <v>12558</v>
      </c>
      <c r="H4830" s="7">
        <f t="shared" si="306"/>
        <v>0</v>
      </c>
      <c r="I4830" s="7" cm="1">
        <f t="array" ref="I4830">IFERROR(_xlfn.IFS(M4830="נח",1,M4830="נע ונח",1,M4830="שני שווא נח",2,M4830="שני שוואים בסוף מילה",2,M4830="שני שוואים ברצף",1),"0")</f>
        <v>1</v>
      </c>
      <c r="J4830" s="9">
        <f t="shared" si="307"/>
        <v>3</v>
      </c>
      <c r="K4830" t="s">
        <v>6697</v>
      </c>
      <c r="L4830" t="s">
        <v>6694</v>
      </c>
      <c r="M4830" t="s">
        <v>6705</v>
      </c>
      <c r="P4830" t="s">
        <v>6694</v>
      </c>
      <c r="S4830" t="s">
        <v>6694</v>
      </c>
      <c r="W4830" t="s">
        <v>6720</v>
      </c>
    </row>
    <row r="4831" spans="1:23" ht="15.6" x14ac:dyDescent="0.4">
      <c r="A4831" s="2" t="s">
        <v>1877</v>
      </c>
      <c r="B4831" s="5" t="s">
        <v>10982</v>
      </c>
      <c r="C4831" s="7" t="s">
        <v>12556</v>
      </c>
      <c r="D4831" s="8">
        <f t="shared" si="304"/>
        <v>0</v>
      </c>
      <c r="E4831" s="7" t="s">
        <v>12557</v>
      </c>
      <c r="F4831" s="7">
        <f t="shared" si="305"/>
        <v>1</v>
      </c>
      <c r="G4831" s="7" t="s">
        <v>12558</v>
      </c>
      <c r="H4831" s="7">
        <f t="shared" si="306"/>
        <v>0</v>
      </c>
      <c r="I4831" s="7" cm="1">
        <f t="array" ref="I4831">IFERROR(_xlfn.IFS(M4831="נח",1,M4831="נע ונח",1,M4831="שני שווא נח",2,M4831="שני שוואים בסוף מילה",2,M4831="שני שוואים ברצף",1),"0")</f>
        <v>1</v>
      </c>
      <c r="J4831" s="9">
        <f t="shared" si="307"/>
        <v>2</v>
      </c>
      <c r="K4831" t="s">
        <v>6698</v>
      </c>
      <c r="L4831" t="s">
        <v>6694</v>
      </c>
      <c r="M4831" t="s">
        <v>6705</v>
      </c>
      <c r="P4831" t="s">
        <v>6694</v>
      </c>
      <c r="S4831" t="s">
        <v>6694</v>
      </c>
      <c r="W4831" t="s">
        <v>6720</v>
      </c>
    </row>
    <row r="4832" spans="1:23" ht="15.6" x14ac:dyDescent="0.4">
      <c r="A4832" s="2" t="s">
        <v>1400</v>
      </c>
      <c r="B4832" s="5" t="s">
        <v>10983</v>
      </c>
      <c r="C4832" s="7" t="s">
        <v>12556</v>
      </c>
      <c r="D4832" s="8">
        <f t="shared" si="304"/>
        <v>0</v>
      </c>
      <c r="E4832" s="7" t="s">
        <v>12557</v>
      </c>
      <c r="F4832" s="7">
        <f t="shared" si="305"/>
        <v>1</v>
      </c>
      <c r="G4832" s="7" t="s">
        <v>12558</v>
      </c>
      <c r="H4832" s="7">
        <f t="shared" si="306"/>
        <v>0</v>
      </c>
      <c r="I4832" s="7" t="str" cm="1">
        <f t="array" ref="I4832">IFERROR(_xlfn.IFS(M4832="נח",1,M4832="נע ונח",1,M4832="שני שווא נח",2,M4832="שני שוואים בסוף מילה",2,M4832="שני שוואים ברצף",1),"0")</f>
        <v>0</v>
      </c>
      <c r="J4832" s="9">
        <f t="shared" si="307"/>
        <v>2</v>
      </c>
      <c r="K4832" t="s">
        <v>6698</v>
      </c>
      <c r="L4832" t="s">
        <v>6695</v>
      </c>
      <c r="P4832" t="s">
        <v>6694</v>
      </c>
      <c r="S4832" t="s">
        <v>6694</v>
      </c>
      <c r="W4832" t="s">
        <v>6720</v>
      </c>
    </row>
    <row r="4833" spans="1:23" ht="15.6" x14ac:dyDescent="0.4">
      <c r="A4833" s="2" t="s">
        <v>6080</v>
      </c>
      <c r="B4833" s="5" t="s">
        <v>10984</v>
      </c>
      <c r="C4833" s="7" t="s">
        <v>12556</v>
      </c>
      <c r="D4833" s="8">
        <f t="shared" si="304"/>
        <v>0</v>
      </c>
      <c r="E4833" s="7" t="s">
        <v>12557</v>
      </c>
      <c r="F4833" s="7">
        <f t="shared" si="305"/>
        <v>1</v>
      </c>
      <c r="G4833" s="7" t="s">
        <v>12558</v>
      </c>
      <c r="H4833" s="7">
        <f t="shared" si="306"/>
        <v>0</v>
      </c>
      <c r="I4833" s="7" t="str" cm="1">
        <f t="array" ref="I4833">IFERROR(_xlfn.IFS(M4833="נח",1,M4833="נע ונח",1,M4833="שני שווא נח",2,M4833="שני שוואים בסוף מילה",2,M4833="שני שוואים ברצף",1),"0")</f>
        <v>0</v>
      </c>
      <c r="J4833" s="9">
        <f t="shared" si="307"/>
        <v>3</v>
      </c>
      <c r="K4833" t="s">
        <v>6697</v>
      </c>
      <c r="L4833" t="s">
        <v>6695</v>
      </c>
      <c r="O4833" t="s">
        <v>6694</v>
      </c>
      <c r="P4833" t="s">
        <v>6694</v>
      </c>
      <c r="Q4833" t="s">
        <v>6694</v>
      </c>
      <c r="W4833" t="s">
        <v>6720</v>
      </c>
    </row>
    <row r="4834" spans="1:23" ht="15.6" x14ac:dyDescent="0.4">
      <c r="A4834" s="2" t="s">
        <v>574</v>
      </c>
      <c r="B4834" s="5" t="s">
        <v>10972</v>
      </c>
      <c r="C4834" s="7" t="s">
        <v>12556</v>
      </c>
      <c r="D4834" s="8">
        <f t="shared" si="304"/>
        <v>0</v>
      </c>
      <c r="E4834" s="7" t="s">
        <v>12557</v>
      </c>
      <c r="F4834" s="7">
        <f t="shared" si="305"/>
        <v>0</v>
      </c>
      <c r="G4834" s="7" t="s">
        <v>12558</v>
      </c>
      <c r="H4834" s="7">
        <f t="shared" si="306"/>
        <v>0</v>
      </c>
      <c r="I4834" s="7" t="str" cm="1">
        <f t="array" ref="I4834">IFERROR(_xlfn.IFS(M4834="נח",1,M4834="נע ונח",1,M4834="שני שווא נח",2,M4834="שני שוואים בסוף מילה",2,M4834="שני שוואים ברצף",1),"0")</f>
        <v>0</v>
      </c>
      <c r="J4834" s="9">
        <f t="shared" si="307"/>
        <v>1</v>
      </c>
      <c r="K4834" t="s">
        <v>6697</v>
      </c>
      <c r="L4834" t="s">
        <v>6695</v>
      </c>
      <c r="P4834" t="s">
        <v>6694</v>
      </c>
      <c r="W4834" t="s">
        <v>6720</v>
      </c>
    </row>
    <row r="4835" spans="1:23" ht="15.6" x14ac:dyDescent="0.4">
      <c r="A4835" s="2" t="s">
        <v>4616</v>
      </c>
      <c r="B4835" s="5" t="s">
        <v>10920</v>
      </c>
      <c r="C4835" s="7" t="s">
        <v>12556</v>
      </c>
      <c r="D4835" s="8">
        <f t="shared" si="304"/>
        <v>0</v>
      </c>
      <c r="E4835" s="7" t="s">
        <v>12557</v>
      </c>
      <c r="F4835" s="7">
        <f t="shared" si="305"/>
        <v>0</v>
      </c>
      <c r="G4835" s="7" t="s">
        <v>12558</v>
      </c>
      <c r="H4835" s="7">
        <f t="shared" si="306"/>
        <v>0</v>
      </c>
      <c r="I4835" s="7" t="str" cm="1">
        <f t="array" ref="I4835">IFERROR(_xlfn.IFS(M4835="נח",1,M4835="נע ונח",1,M4835="שני שווא נח",2,M4835="שני שוואים בסוף מילה",2,M4835="שני שוואים ברצף",1),"0")</f>
        <v>0</v>
      </c>
      <c r="J4835" s="9">
        <f t="shared" si="307"/>
        <v>2</v>
      </c>
      <c r="K4835" t="s">
        <v>6698</v>
      </c>
      <c r="L4835" t="s">
        <v>6695</v>
      </c>
      <c r="P4835" t="s">
        <v>6694</v>
      </c>
      <c r="Q4835" t="s">
        <v>6694</v>
      </c>
      <c r="W4835" t="s">
        <v>6720</v>
      </c>
    </row>
    <row r="4836" spans="1:23" ht="15.6" x14ac:dyDescent="0.4">
      <c r="A4836" s="2" t="s">
        <v>3281</v>
      </c>
      <c r="B4836" s="5" t="s">
        <v>10985</v>
      </c>
      <c r="C4836" s="7" t="s">
        <v>12556</v>
      </c>
      <c r="D4836" s="8">
        <f t="shared" si="304"/>
        <v>0</v>
      </c>
      <c r="E4836" s="7" t="s">
        <v>12557</v>
      </c>
      <c r="F4836" s="7">
        <f t="shared" si="305"/>
        <v>1</v>
      </c>
      <c r="G4836" s="7" t="s">
        <v>12558</v>
      </c>
      <c r="H4836" s="7">
        <f t="shared" si="306"/>
        <v>0</v>
      </c>
      <c r="I4836" s="7" cm="1">
        <f t="array" ref="I4836">IFERROR(_xlfn.IFS(M4836="נח",1,M4836="נע ונח",1,M4836="שני שווא נח",2,M4836="שני שוואים בסוף מילה",2,M4836="שני שוואים ברצף",1),"0")</f>
        <v>1</v>
      </c>
      <c r="J4836" s="9">
        <f t="shared" si="307"/>
        <v>3</v>
      </c>
      <c r="K4836" t="s">
        <v>6698</v>
      </c>
      <c r="L4836" t="s">
        <v>6694</v>
      </c>
      <c r="M4836" t="s">
        <v>6705</v>
      </c>
      <c r="P4836" t="s">
        <v>6694</v>
      </c>
      <c r="S4836" t="s">
        <v>6694</v>
      </c>
      <c r="W4836" t="s">
        <v>6720</v>
      </c>
    </row>
    <row r="4837" spans="1:23" ht="15.6" x14ac:dyDescent="0.4">
      <c r="A4837" s="2" t="s">
        <v>4051</v>
      </c>
      <c r="B4837" s="5" t="s">
        <v>10986</v>
      </c>
      <c r="C4837" s="7" t="s">
        <v>12556</v>
      </c>
      <c r="D4837" s="8">
        <f t="shared" si="304"/>
        <v>0</v>
      </c>
      <c r="E4837" s="7" t="s">
        <v>12557</v>
      </c>
      <c r="F4837" s="7">
        <f t="shared" si="305"/>
        <v>0</v>
      </c>
      <c r="G4837" s="7" t="s">
        <v>12558</v>
      </c>
      <c r="H4837" s="7">
        <f t="shared" si="306"/>
        <v>0</v>
      </c>
      <c r="I4837" s="7" cm="1">
        <f t="array" ref="I4837">IFERROR(_xlfn.IFS(M4837="נח",1,M4837="נע ונח",1,M4837="שני שווא נח",2,M4837="שני שוואים בסוף מילה",2,M4837="שני שוואים ברצף",1),"0")</f>
        <v>1</v>
      </c>
      <c r="J4837" s="9">
        <f t="shared" si="307"/>
        <v>3</v>
      </c>
      <c r="K4837" t="s">
        <v>6698</v>
      </c>
      <c r="L4837" t="s">
        <v>6694</v>
      </c>
      <c r="M4837" t="s">
        <v>6705</v>
      </c>
      <c r="O4837" t="s">
        <v>6694</v>
      </c>
      <c r="P4837" t="s">
        <v>6694</v>
      </c>
      <c r="V4837" t="s">
        <v>6694</v>
      </c>
      <c r="W4837" t="s">
        <v>6720</v>
      </c>
    </row>
    <row r="4838" spans="1:23" ht="15.6" x14ac:dyDescent="0.4">
      <c r="A4838" s="2" t="s">
        <v>2300</v>
      </c>
      <c r="B4838" s="5" t="s">
        <v>10987</v>
      </c>
      <c r="C4838" s="7" t="s">
        <v>12556</v>
      </c>
      <c r="D4838" s="8">
        <f t="shared" si="304"/>
        <v>0</v>
      </c>
      <c r="E4838" s="7" t="s">
        <v>12557</v>
      </c>
      <c r="F4838" s="7">
        <f t="shared" si="305"/>
        <v>0</v>
      </c>
      <c r="G4838" s="7" t="s">
        <v>12558</v>
      </c>
      <c r="H4838" s="7">
        <f t="shared" si="306"/>
        <v>0</v>
      </c>
      <c r="I4838" s="7" cm="1">
        <f t="array" ref="I4838">IFERROR(_xlfn.IFS(M4838="נח",1,M4838="נע ונח",1,M4838="שני שווא נח",2,M4838="שני שוואים בסוף מילה",2,M4838="שני שוואים ברצף",1),"0")</f>
        <v>1</v>
      </c>
      <c r="J4838" s="9">
        <f t="shared" si="307"/>
        <v>2</v>
      </c>
      <c r="K4838" t="s">
        <v>6697</v>
      </c>
      <c r="L4838" t="s">
        <v>6694</v>
      </c>
      <c r="M4838" t="s">
        <v>6705</v>
      </c>
      <c r="P4838" t="s">
        <v>6694</v>
      </c>
      <c r="S4838" t="s">
        <v>6694</v>
      </c>
      <c r="W4838" t="s">
        <v>6720</v>
      </c>
    </row>
    <row r="4839" spans="1:23" ht="15.6" x14ac:dyDescent="0.4">
      <c r="A4839" s="2" t="s">
        <v>6326</v>
      </c>
      <c r="B4839" s="5" t="s">
        <v>10988</v>
      </c>
      <c r="C4839" s="7" t="s">
        <v>12556</v>
      </c>
      <c r="D4839" s="8">
        <f t="shared" si="304"/>
        <v>0</v>
      </c>
      <c r="E4839" s="7" t="s">
        <v>12557</v>
      </c>
      <c r="F4839" s="7">
        <f t="shared" si="305"/>
        <v>1</v>
      </c>
      <c r="G4839" s="7" t="s">
        <v>12558</v>
      </c>
      <c r="H4839" s="7">
        <f t="shared" si="306"/>
        <v>1</v>
      </c>
      <c r="I4839" s="7" cm="1">
        <f t="array" ref="I4839">IFERROR(_xlfn.IFS(M4839="נח",1,M4839="נע ונח",1,M4839="שני שווא נח",2,M4839="שני שוואים בסוף מילה",2,M4839="שני שוואים ברצף",1),"0")</f>
        <v>1</v>
      </c>
      <c r="J4839" s="9">
        <f t="shared" si="307"/>
        <v>3</v>
      </c>
      <c r="K4839" t="s">
        <v>6697</v>
      </c>
      <c r="L4839" t="s">
        <v>6694</v>
      </c>
      <c r="M4839" t="s">
        <v>6705</v>
      </c>
      <c r="P4839" t="s">
        <v>6694</v>
      </c>
      <c r="Q4839" t="s">
        <v>6694</v>
      </c>
      <c r="U4839" t="s">
        <v>6694</v>
      </c>
      <c r="W4839" t="s">
        <v>6720</v>
      </c>
    </row>
    <row r="4840" spans="1:23" ht="15.6" x14ac:dyDescent="0.4">
      <c r="A4840" s="2" t="s">
        <v>706</v>
      </c>
      <c r="B4840" s="5" t="s">
        <v>10989</v>
      </c>
      <c r="C4840" s="7" t="s">
        <v>12556</v>
      </c>
      <c r="D4840" s="8">
        <f t="shared" si="304"/>
        <v>0</v>
      </c>
      <c r="E4840" s="7" t="s">
        <v>12557</v>
      </c>
      <c r="F4840" s="7">
        <f t="shared" si="305"/>
        <v>0</v>
      </c>
      <c r="G4840" s="7" t="s">
        <v>12558</v>
      </c>
      <c r="H4840" s="7">
        <f t="shared" si="306"/>
        <v>0</v>
      </c>
      <c r="I4840" s="7" cm="1">
        <f t="array" ref="I4840">IFERROR(_xlfn.IFS(M4840="נח",1,M4840="נע ונח",1,M4840="שני שווא נח",2,M4840="שני שוואים בסוף מילה",2,M4840="שני שוואים ברצף",1),"0")</f>
        <v>1</v>
      </c>
      <c r="J4840" s="9">
        <f t="shared" si="307"/>
        <v>2</v>
      </c>
      <c r="K4840" t="s">
        <v>6697</v>
      </c>
      <c r="L4840" t="s">
        <v>6694</v>
      </c>
      <c r="M4840" t="s">
        <v>6705</v>
      </c>
      <c r="P4840" t="s">
        <v>6694</v>
      </c>
      <c r="R4840" t="s">
        <v>6694</v>
      </c>
      <c r="W4840" t="s">
        <v>6720</v>
      </c>
    </row>
    <row r="4841" spans="1:23" ht="15.6" x14ac:dyDescent="0.4">
      <c r="A4841" s="2" t="s">
        <v>3439</v>
      </c>
      <c r="B4841" s="5" t="s">
        <v>10990</v>
      </c>
      <c r="C4841" s="7" t="s">
        <v>12556</v>
      </c>
      <c r="D4841" s="8">
        <f t="shared" si="304"/>
        <v>0</v>
      </c>
      <c r="E4841" s="7" t="s">
        <v>12557</v>
      </c>
      <c r="F4841" s="7">
        <f t="shared" si="305"/>
        <v>0</v>
      </c>
      <c r="G4841" s="7" t="s">
        <v>12558</v>
      </c>
      <c r="H4841" s="7">
        <f t="shared" si="306"/>
        <v>0</v>
      </c>
      <c r="I4841" s="7" cm="1">
        <f t="array" ref="I4841">IFERROR(_xlfn.IFS(M4841="נח",1,M4841="נע ונח",1,M4841="שני שווא נח",2,M4841="שני שוואים בסוף מילה",2,M4841="שני שוואים ברצף",1),"0")</f>
        <v>1</v>
      </c>
      <c r="J4841" s="9">
        <f t="shared" si="307"/>
        <v>2</v>
      </c>
      <c r="K4841" t="s">
        <v>6698</v>
      </c>
      <c r="L4841" t="s">
        <v>6694</v>
      </c>
      <c r="M4841" t="s">
        <v>6705</v>
      </c>
      <c r="P4841" t="s">
        <v>6694</v>
      </c>
      <c r="V4841" t="s">
        <v>6694</v>
      </c>
      <c r="W4841" t="s">
        <v>6720</v>
      </c>
    </row>
    <row r="4842" spans="1:23" ht="15.6" x14ac:dyDescent="0.4">
      <c r="A4842" s="2" t="s">
        <v>2761</v>
      </c>
      <c r="B4842" s="5" t="s">
        <v>10991</v>
      </c>
      <c r="C4842" s="7" t="s">
        <v>12556</v>
      </c>
      <c r="D4842" s="8">
        <f t="shared" si="304"/>
        <v>0</v>
      </c>
      <c r="E4842" s="7" t="s">
        <v>12557</v>
      </c>
      <c r="F4842" s="7">
        <f t="shared" si="305"/>
        <v>0</v>
      </c>
      <c r="G4842" s="7" t="s">
        <v>12558</v>
      </c>
      <c r="H4842" s="7">
        <f t="shared" si="306"/>
        <v>0</v>
      </c>
      <c r="I4842" s="7" cm="1">
        <f t="array" ref="I4842">IFERROR(_xlfn.IFS(M4842="נח",1,M4842="נע ונח",1,M4842="שני שווא נח",2,M4842="שני שוואים בסוף מילה",2,M4842="שני שוואים ברצף",1),"0")</f>
        <v>1</v>
      </c>
      <c r="J4842" s="9">
        <f t="shared" si="307"/>
        <v>2</v>
      </c>
      <c r="K4842" t="s">
        <v>6698</v>
      </c>
      <c r="L4842" t="s">
        <v>6694</v>
      </c>
      <c r="M4842" t="s">
        <v>6705</v>
      </c>
      <c r="P4842" t="s">
        <v>6694</v>
      </c>
      <c r="V4842" t="s">
        <v>6694</v>
      </c>
      <c r="W4842" t="s">
        <v>6720</v>
      </c>
    </row>
    <row r="4843" spans="1:23" ht="15.6" x14ac:dyDescent="0.4">
      <c r="A4843" s="2" t="s">
        <v>6634</v>
      </c>
      <c r="B4843" s="5" t="s">
        <v>10992</v>
      </c>
      <c r="C4843" s="7" t="s">
        <v>12556</v>
      </c>
      <c r="D4843" s="8">
        <f t="shared" si="304"/>
        <v>1</v>
      </c>
      <c r="E4843" s="7" t="s">
        <v>12557</v>
      </c>
      <c r="F4843" s="7">
        <f t="shared" si="305"/>
        <v>0</v>
      </c>
      <c r="G4843" s="7" t="s">
        <v>12558</v>
      </c>
      <c r="H4843" s="7">
        <f t="shared" si="306"/>
        <v>0</v>
      </c>
      <c r="I4843" s="7" cm="1">
        <f t="array" ref="I4843">IFERROR(_xlfn.IFS(M4843="נח",1,M4843="נע ונח",1,M4843="שני שווא נח",2,M4843="שני שוואים בסוף מילה",2,M4843="שני שוואים ברצף",1),"0")</f>
        <v>1</v>
      </c>
      <c r="J4843" s="9">
        <f t="shared" si="307"/>
        <v>5</v>
      </c>
      <c r="K4843" t="s">
        <v>6697</v>
      </c>
      <c r="L4843" t="s">
        <v>6694</v>
      </c>
      <c r="M4843" t="s">
        <v>6702</v>
      </c>
      <c r="O4843" t="s">
        <v>6694</v>
      </c>
      <c r="P4843" t="s">
        <v>6694</v>
      </c>
      <c r="R4843" t="s">
        <v>6694</v>
      </c>
      <c r="V4843" t="s">
        <v>6694</v>
      </c>
      <c r="W4843" t="s">
        <v>6720</v>
      </c>
    </row>
    <row r="4844" spans="1:23" ht="15.6" x14ac:dyDescent="0.4">
      <c r="A4844" s="2" t="s">
        <v>4081</v>
      </c>
      <c r="B4844" s="5" t="s">
        <v>10993</v>
      </c>
      <c r="C4844" s="7" t="s">
        <v>12556</v>
      </c>
      <c r="D4844" s="8">
        <f t="shared" si="304"/>
        <v>1</v>
      </c>
      <c r="E4844" s="7" t="s">
        <v>12557</v>
      </c>
      <c r="F4844" s="7">
        <f t="shared" si="305"/>
        <v>0</v>
      </c>
      <c r="G4844" s="7" t="s">
        <v>12558</v>
      </c>
      <c r="H4844" s="7">
        <f t="shared" si="306"/>
        <v>0</v>
      </c>
      <c r="I4844" s="7" cm="1">
        <f t="array" ref="I4844">IFERROR(_xlfn.IFS(M4844="נח",1,M4844="נע ונח",1,M4844="שני שווא נח",2,M4844="שני שוואים בסוף מילה",2,M4844="שני שוואים ברצף",1),"0")</f>
        <v>1</v>
      </c>
      <c r="J4844" s="9">
        <f t="shared" si="307"/>
        <v>4</v>
      </c>
      <c r="K4844" t="s">
        <v>6698</v>
      </c>
      <c r="L4844" t="s">
        <v>6694</v>
      </c>
      <c r="M4844" t="s">
        <v>6702</v>
      </c>
      <c r="N4844" t="s">
        <v>6706</v>
      </c>
      <c r="O4844" t="s">
        <v>6694</v>
      </c>
      <c r="P4844" t="s">
        <v>6694</v>
      </c>
      <c r="V4844" t="s">
        <v>6694</v>
      </c>
      <c r="W4844" t="s">
        <v>6720</v>
      </c>
    </row>
    <row r="4845" spans="1:23" ht="15.6" x14ac:dyDescent="0.4">
      <c r="A4845" s="2" t="s">
        <v>99</v>
      </c>
      <c r="B4845" s="5" t="s">
        <v>10994</v>
      </c>
      <c r="C4845" s="7" t="s">
        <v>12556</v>
      </c>
      <c r="D4845" s="8">
        <f t="shared" si="304"/>
        <v>1</v>
      </c>
      <c r="E4845" s="7" t="s">
        <v>12557</v>
      </c>
      <c r="F4845" s="7">
        <f t="shared" si="305"/>
        <v>0</v>
      </c>
      <c r="G4845" s="7" t="s">
        <v>12558</v>
      </c>
      <c r="H4845" s="7">
        <f t="shared" si="306"/>
        <v>0</v>
      </c>
      <c r="I4845" s="7" cm="1">
        <f t="array" ref="I4845">IFERROR(_xlfn.IFS(M4845="נח",1,M4845="נע ונח",1,M4845="שני שווא נח",2,M4845="שני שוואים בסוף מילה",2,M4845="שני שוואים ברצף",1),"0")</f>
        <v>1</v>
      </c>
      <c r="J4845" s="9">
        <f t="shared" si="307"/>
        <v>3</v>
      </c>
      <c r="K4845" t="s">
        <v>6698</v>
      </c>
      <c r="L4845" t="s">
        <v>6694</v>
      </c>
      <c r="M4845" t="s">
        <v>6702</v>
      </c>
      <c r="P4845" t="s">
        <v>6694</v>
      </c>
      <c r="V4845" t="s">
        <v>6694</v>
      </c>
      <c r="W4845" t="s">
        <v>6720</v>
      </c>
    </row>
    <row r="4846" spans="1:23" ht="15.6" x14ac:dyDescent="0.4">
      <c r="A4846" s="2" t="s">
        <v>5779</v>
      </c>
      <c r="B4846" s="5" t="s">
        <v>10995</v>
      </c>
      <c r="C4846" s="7" t="s">
        <v>12556</v>
      </c>
      <c r="D4846" s="8">
        <f t="shared" si="304"/>
        <v>0</v>
      </c>
      <c r="E4846" s="7" t="s">
        <v>12557</v>
      </c>
      <c r="F4846" s="7">
        <f t="shared" si="305"/>
        <v>1</v>
      </c>
      <c r="G4846" s="7" t="s">
        <v>12558</v>
      </c>
      <c r="H4846" s="7">
        <f t="shared" si="306"/>
        <v>1</v>
      </c>
      <c r="I4846" s="7" t="str" cm="1">
        <f t="array" ref="I4846">IFERROR(_xlfn.IFS(M4846="נח",1,M4846="נע ונח",1,M4846="שני שווא נח",2,M4846="שני שוואים בסוף מילה",2,M4846="שני שוואים ברצף",1),"0")</f>
        <v>0</v>
      </c>
      <c r="J4846" s="9">
        <f t="shared" si="307"/>
        <v>4</v>
      </c>
      <c r="K4846" t="s">
        <v>6697</v>
      </c>
      <c r="L4846" t="s">
        <v>6695</v>
      </c>
      <c r="P4846" t="s">
        <v>6694</v>
      </c>
      <c r="Q4846" t="s">
        <v>6694</v>
      </c>
      <c r="U4846" t="s">
        <v>6694</v>
      </c>
      <c r="W4846" t="s">
        <v>6720</v>
      </c>
    </row>
    <row r="4847" spans="1:23" ht="15.6" x14ac:dyDescent="0.4">
      <c r="A4847" s="2" t="s">
        <v>2615</v>
      </c>
      <c r="B4847" s="5" t="s">
        <v>10996</v>
      </c>
      <c r="C4847" s="7" t="s">
        <v>12556</v>
      </c>
      <c r="D4847" s="8">
        <f t="shared" si="304"/>
        <v>0</v>
      </c>
      <c r="E4847" s="7" t="s">
        <v>12557</v>
      </c>
      <c r="F4847" s="7">
        <f t="shared" si="305"/>
        <v>0</v>
      </c>
      <c r="G4847" s="7" t="s">
        <v>12558</v>
      </c>
      <c r="H4847" s="7">
        <f t="shared" si="306"/>
        <v>0</v>
      </c>
      <c r="I4847" s="7" t="str" cm="1">
        <f t="array" ref="I4847">IFERROR(_xlfn.IFS(M4847="נח",1,M4847="נע ונח",1,M4847="שני שווא נח",2,M4847="שני שוואים בסוף מילה",2,M4847="שני שוואים ברצף",1),"0")</f>
        <v>0</v>
      </c>
      <c r="J4847" s="9">
        <f t="shared" si="307"/>
        <v>3</v>
      </c>
      <c r="K4847" t="s">
        <v>6697</v>
      </c>
      <c r="L4847" t="s">
        <v>6695</v>
      </c>
      <c r="P4847" t="s">
        <v>6694</v>
      </c>
      <c r="R4847" t="s">
        <v>6694</v>
      </c>
      <c r="W4847" t="s">
        <v>6720</v>
      </c>
    </row>
    <row r="4848" spans="1:23" ht="15.6" x14ac:dyDescent="0.4">
      <c r="A4848" s="2" t="s">
        <v>483</v>
      </c>
      <c r="B4848" s="5" t="s">
        <v>10987</v>
      </c>
      <c r="C4848" s="7" t="s">
        <v>12556</v>
      </c>
      <c r="D4848" s="8">
        <f t="shared" si="304"/>
        <v>0</v>
      </c>
      <c r="E4848" s="7" t="s">
        <v>12557</v>
      </c>
      <c r="F4848" s="7">
        <f t="shared" si="305"/>
        <v>0</v>
      </c>
      <c r="G4848" s="7" t="s">
        <v>12558</v>
      </c>
      <c r="H4848" s="7">
        <f t="shared" si="306"/>
        <v>0</v>
      </c>
      <c r="I4848" s="7" t="str" cm="1">
        <f t="array" ref="I4848">IFERROR(_xlfn.IFS(M4848="נח",1,M4848="נע ונח",1,M4848="שני שווא נח",2,M4848="שני שוואים בסוף מילה",2,M4848="שני שוואים ברצף",1),"0")</f>
        <v>0</v>
      </c>
      <c r="J4848" s="9">
        <f t="shared" si="307"/>
        <v>3</v>
      </c>
      <c r="K4848" t="s">
        <v>6697</v>
      </c>
      <c r="L4848" t="s">
        <v>6695</v>
      </c>
      <c r="P4848" t="s">
        <v>6694</v>
      </c>
      <c r="S4848" t="s">
        <v>6694</v>
      </c>
      <c r="W4848" t="s">
        <v>6720</v>
      </c>
    </row>
    <row r="4849" spans="1:23" ht="15.6" x14ac:dyDescent="0.4">
      <c r="A4849" s="2" t="s">
        <v>3758</v>
      </c>
      <c r="B4849" s="5" t="s">
        <v>10989</v>
      </c>
      <c r="C4849" s="7" t="s">
        <v>12556</v>
      </c>
      <c r="D4849" s="8">
        <f t="shared" si="304"/>
        <v>0</v>
      </c>
      <c r="E4849" s="7" t="s">
        <v>12557</v>
      </c>
      <c r="F4849" s="7">
        <f t="shared" si="305"/>
        <v>0</v>
      </c>
      <c r="G4849" s="7" t="s">
        <v>12558</v>
      </c>
      <c r="H4849" s="7">
        <f t="shared" si="306"/>
        <v>0</v>
      </c>
      <c r="I4849" s="7" t="str" cm="1">
        <f t="array" ref="I4849">IFERROR(_xlfn.IFS(M4849="נח",1,M4849="נע ונח",1,M4849="שני שווא נח",2,M4849="שני שוואים בסוף מילה",2,M4849="שני שוואים ברצף",1),"0")</f>
        <v>0</v>
      </c>
      <c r="J4849" s="9">
        <f t="shared" si="307"/>
        <v>3</v>
      </c>
      <c r="K4849" t="s">
        <v>6697</v>
      </c>
      <c r="L4849" t="s">
        <v>6695</v>
      </c>
      <c r="P4849" t="s">
        <v>6694</v>
      </c>
      <c r="R4849" t="s">
        <v>6694</v>
      </c>
      <c r="W4849" t="s">
        <v>6720</v>
      </c>
    </row>
    <row r="4850" spans="1:23" ht="15.6" x14ac:dyDescent="0.4">
      <c r="A4850" s="2" t="s">
        <v>5691</v>
      </c>
      <c r="B4850" s="5" t="s">
        <v>10997</v>
      </c>
      <c r="C4850" s="7" t="s">
        <v>12556</v>
      </c>
      <c r="D4850" s="8">
        <f t="shared" si="304"/>
        <v>1</v>
      </c>
      <c r="E4850" s="7" t="s">
        <v>12557</v>
      </c>
      <c r="F4850" s="7">
        <f t="shared" si="305"/>
        <v>1</v>
      </c>
      <c r="G4850" s="7" t="s">
        <v>12558</v>
      </c>
      <c r="H4850" s="7">
        <f t="shared" si="306"/>
        <v>0</v>
      </c>
      <c r="I4850" s="7" t="str" cm="1">
        <f t="array" ref="I4850">IFERROR(_xlfn.IFS(M4850="נח",1,M4850="נע ונח",1,M4850="שני שווא נח",2,M4850="שני שוואים בסוף מילה",2,M4850="שני שוואים ברצף",1),"0")</f>
        <v>0</v>
      </c>
      <c r="J4850" s="9">
        <f t="shared" si="307"/>
        <v>4</v>
      </c>
      <c r="K4850" t="s">
        <v>6698</v>
      </c>
      <c r="L4850" t="s">
        <v>6695</v>
      </c>
      <c r="P4850" t="s">
        <v>6694</v>
      </c>
      <c r="Q4850" t="s">
        <v>6694</v>
      </c>
      <c r="W4850" t="s">
        <v>6720</v>
      </c>
    </row>
    <row r="4851" spans="1:23" ht="15.6" x14ac:dyDescent="0.4">
      <c r="A4851" s="2" t="s">
        <v>1649</v>
      </c>
      <c r="B4851" s="5" t="s">
        <v>10998</v>
      </c>
      <c r="C4851" s="7" t="s">
        <v>12556</v>
      </c>
      <c r="D4851" s="8">
        <f t="shared" si="304"/>
        <v>0</v>
      </c>
      <c r="E4851" s="7" t="s">
        <v>12557</v>
      </c>
      <c r="F4851" s="7">
        <f t="shared" si="305"/>
        <v>1</v>
      </c>
      <c r="G4851" s="7" t="s">
        <v>12558</v>
      </c>
      <c r="H4851" s="7">
        <f t="shared" si="306"/>
        <v>0</v>
      </c>
      <c r="I4851" s="7" t="str" cm="1">
        <f t="array" ref="I4851">IFERROR(_xlfn.IFS(M4851="נח",1,M4851="נע ונח",1,M4851="שני שווא נח",2,M4851="שני שוואים בסוף מילה",2,M4851="שני שוואים ברצף",1),"0")</f>
        <v>0</v>
      </c>
      <c r="J4851" s="9">
        <f t="shared" si="307"/>
        <v>2</v>
      </c>
      <c r="K4851" t="s">
        <v>6697</v>
      </c>
      <c r="L4851" t="s">
        <v>6695</v>
      </c>
      <c r="P4851" t="s">
        <v>6694</v>
      </c>
      <c r="Q4851" t="s">
        <v>6694</v>
      </c>
      <c r="W4851" t="s">
        <v>6720</v>
      </c>
    </row>
    <row r="4852" spans="1:23" ht="15.6" x14ac:dyDescent="0.4">
      <c r="A4852" s="2" t="s">
        <v>1054</v>
      </c>
      <c r="B4852" s="5" t="s">
        <v>10745</v>
      </c>
      <c r="C4852" s="7" t="s">
        <v>12556</v>
      </c>
      <c r="D4852" s="8">
        <f t="shared" si="304"/>
        <v>0</v>
      </c>
      <c r="E4852" s="7" t="s">
        <v>12557</v>
      </c>
      <c r="F4852" s="7">
        <f t="shared" si="305"/>
        <v>0</v>
      </c>
      <c r="G4852" s="7" t="s">
        <v>12558</v>
      </c>
      <c r="H4852" s="7">
        <f t="shared" si="306"/>
        <v>0</v>
      </c>
      <c r="I4852" s="7" t="str" cm="1">
        <f t="array" ref="I4852">IFERROR(_xlfn.IFS(M4852="נח",1,M4852="נע ונח",1,M4852="שני שווא נח",2,M4852="שני שוואים בסוף מילה",2,M4852="שני שוואים ברצף",1),"0")</f>
        <v>0</v>
      </c>
      <c r="J4852" s="9">
        <f t="shared" si="307"/>
        <v>2</v>
      </c>
      <c r="K4852" t="s">
        <v>6698</v>
      </c>
      <c r="L4852" t="s">
        <v>6695</v>
      </c>
      <c r="P4852" t="s">
        <v>6694</v>
      </c>
      <c r="S4852" t="s">
        <v>6694</v>
      </c>
      <c r="W4852" t="s">
        <v>6720</v>
      </c>
    </row>
    <row r="4853" spans="1:23" ht="15.6" x14ac:dyDescent="0.4">
      <c r="A4853" s="2" t="s">
        <v>4648</v>
      </c>
      <c r="B4853" s="5" t="s">
        <v>10999</v>
      </c>
      <c r="C4853" s="7" t="s">
        <v>12556</v>
      </c>
      <c r="D4853" s="8">
        <f t="shared" si="304"/>
        <v>0</v>
      </c>
      <c r="E4853" s="7" t="s">
        <v>12557</v>
      </c>
      <c r="F4853" s="7">
        <f t="shared" si="305"/>
        <v>0</v>
      </c>
      <c r="G4853" s="7" t="s">
        <v>12558</v>
      </c>
      <c r="H4853" s="7">
        <f t="shared" si="306"/>
        <v>0</v>
      </c>
      <c r="I4853" s="7" cm="1">
        <f t="array" ref="I4853">IFERROR(_xlfn.IFS(M4853="נח",1,M4853="נע ונח",1,M4853="שני שווא נח",2,M4853="שני שוואים בסוף מילה",2,M4853="שני שוואים ברצף",1),"0")</f>
        <v>1</v>
      </c>
      <c r="J4853" s="9">
        <f t="shared" si="307"/>
        <v>2</v>
      </c>
      <c r="K4853" t="s">
        <v>6698</v>
      </c>
      <c r="L4853" t="s">
        <v>6694</v>
      </c>
      <c r="M4853" t="s">
        <v>6705</v>
      </c>
      <c r="P4853" t="s">
        <v>6694</v>
      </c>
      <c r="V4853" t="s">
        <v>6694</v>
      </c>
      <c r="W4853" t="s">
        <v>6720</v>
      </c>
    </row>
    <row r="4854" spans="1:23" ht="15.6" x14ac:dyDescent="0.4">
      <c r="A4854" s="2" t="s">
        <v>2730</v>
      </c>
      <c r="B4854" s="5" t="s">
        <v>11000</v>
      </c>
      <c r="C4854" s="7" t="s">
        <v>12556</v>
      </c>
      <c r="D4854" s="8">
        <f t="shared" si="304"/>
        <v>0</v>
      </c>
      <c r="E4854" s="7" t="s">
        <v>12557</v>
      </c>
      <c r="F4854" s="7">
        <f t="shared" si="305"/>
        <v>0</v>
      </c>
      <c r="G4854" s="7" t="s">
        <v>12558</v>
      </c>
      <c r="H4854" s="7">
        <f t="shared" si="306"/>
        <v>0</v>
      </c>
      <c r="I4854" s="7" cm="1">
        <f t="array" ref="I4854">IFERROR(_xlfn.IFS(M4854="נח",1,M4854="נע ונח",1,M4854="שני שווא נח",2,M4854="שני שוואים בסוף מילה",2,M4854="שני שוואים ברצף",1),"0")</f>
        <v>1</v>
      </c>
      <c r="J4854" s="9">
        <f t="shared" si="307"/>
        <v>3</v>
      </c>
      <c r="K4854" t="s">
        <v>6698</v>
      </c>
      <c r="L4854" t="s">
        <v>6694</v>
      </c>
      <c r="M4854" t="s">
        <v>6705</v>
      </c>
      <c r="P4854" t="s">
        <v>6694</v>
      </c>
      <c r="S4854" t="s">
        <v>6694</v>
      </c>
      <c r="V4854" t="s">
        <v>6694</v>
      </c>
      <c r="W4854" t="s">
        <v>6720</v>
      </c>
    </row>
    <row r="4855" spans="1:23" ht="15.6" x14ac:dyDescent="0.4">
      <c r="A4855" s="2" t="s">
        <v>5863</v>
      </c>
      <c r="B4855" s="5" t="s">
        <v>11001</v>
      </c>
      <c r="C4855" s="7" t="s">
        <v>12556</v>
      </c>
      <c r="D4855" s="8">
        <f t="shared" si="304"/>
        <v>0</v>
      </c>
      <c r="E4855" s="7" t="s">
        <v>12557</v>
      </c>
      <c r="F4855" s="7">
        <f t="shared" si="305"/>
        <v>1</v>
      </c>
      <c r="G4855" s="7" t="s">
        <v>12558</v>
      </c>
      <c r="H4855" s="7">
        <f t="shared" si="306"/>
        <v>0</v>
      </c>
      <c r="I4855" s="7" t="str" cm="1">
        <f t="array" ref="I4855">IFERROR(_xlfn.IFS(M4855="נח",1,M4855="נע ונח",1,M4855="שני שווא נח",2,M4855="שני שוואים בסוף מילה",2,M4855="שני שוואים ברצף",1),"0")</f>
        <v>0</v>
      </c>
      <c r="J4855" s="9">
        <f t="shared" si="307"/>
        <v>2</v>
      </c>
      <c r="K4855" t="s">
        <v>6698</v>
      </c>
      <c r="L4855" t="s">
        <v>6695</v>
      </c>
      <c r="P4855" t="s">
        <v>6694</v>
      </c>
      <c r="S4855" t="s">
        <v>6694</v>
      </c>
      <c r="W4855" t="s">
        <v>6720</v>
      </c>
    </row>
    <row r="4856" spans="1:23" ht="15.6" x14ac:dyDescent="0.4">
      <c r="A4856" s="2" t="s">
        <v>6470</v>
      </c>
      <c r="B4856" s="5" t="s">
        <v>11002</v>
      </c>
      <c r="C4856" s="7" t="s">
        <v>12556</v>
      </c>
      <c r="D4856" s="8">
        <f t="shared" si="304"/>
        <v>0</v>
      </c>
      <c r="E4856" s="7" t="s">
        <v>12557</v>
      </c>
      <c r="F4856" s="7">
        <f t="shared" si="305"/>
        <v>1</v>
      </c>
      <c r="G4856" s="7" t="s">
        <v>12558</v>
      </c>
      <c r="H4856" s="7">
        <f t="shared" si="306"/>
        <v>0</v>
      </c>
      <c r="I4856" s="7" t="str" cm="1">
        <f t="array" ref="I4856">IFERROR(_xlfn.IFS(M4856="נח",1,M4856="נע ונח",1,M4856="שני שווא נח",2,M4856="שני שוואים בסוף מילה",2,M4856="שני שוואים ברצף",1),"0")</f>
        <v>0</v>
      </c>
      <c r="J4856" s="9">
        <f t="shared" si="307"/>
        <v>3</v>
      </c>
      <c r="K4856" t="s">
        <v>6698</v>
      </c>
      <c r="L4856" t="s">
        <v>6695</v>
      </c>
      <c r="N4856" t="s">
        <v>6706</v>
      </c>
      <c r="O4856" t="s">
        <v>6694</v>
      </c>
      <c r="P4856" t="s">
        <v>6694</v>
      </c>
      <c r="V4856" t="s">
        <v>6694</v>
      </c>
      <c r="W4856" t="s">
        <v>6720</v>
      </c>
    </row>
    <row r="4857" spans="1:23" ht="15.6" x14ac:dyDescent="0.4">
      <c r="A4857" s="2" t="s">
        <v>6621</v>
      </c>
      <c r="B4857" s="5" t="s">
        <v>11003</v>
      </c>
      <c r="C4857" s="7" t="s">
        <v>12556</v>
      </c>
      <c r="D4857" s="8">
        <f t="shared" si="304"/>
        <v>0</v>
      </c>
      <c r="E4857" s="7" t="s">
        <v>12557</v>
      </c>
      <c r="F4857" s="7">
        <f t="shared" si="305"/>
        <v>0</v>
      </c>
      <c r="G4857" s="7" t="s">
        <v>12558</v>
      </c>
      <c r="H4857" s="7">
        <f t="shared" si="306"/>
        <v>0</v>
      </c>
      <c r="I4857" s="7" cm="1">
        <f t="array" ref="I4857">IFERROR(_xlfn.IFS(M4857="נח",1,M4857="נע ונח",1,M4857="שני שווא נח",2,M4857="שני שוואים בסוף מילה",2,M4857="שני שוואים ברצף",1),"0")</f>
        <v>1</v>
      </c>
      <c r="J4857" s="9">
        <f t="shared" si="307"/>
        <v>5</v>
      </c>
      <c r="K4857" t="s">
        <v>6697</v>
      </c>
      <c r="L4857" t="s">
        <v>6694</v>
      </c>
      <c r="M4857" t="s">
        <v>6705</v>
      </c>
      <c r="O4857" t="s">
        <v>6694</v>
      </c>
      <c r="P4857" t="s">
        <v>6694</v>
      </c>
      <c r="R4857" t="s">
        <v>6694</v>
      </c>
      <c r="V4857" t="s">
        <v>6694</v>
      </c>
      <c r="W4857" t="s">
        <v>6720</v>
      </c>
    </row>
    <row r="4858" spans="1:23" ht="15.6" x14ac:dyDescent="0.4">
      <c r="A4858" s="2" t="s">
        <v>2755</v>
      </c>
      <c r="B4858" s="5" t="s">
        <v>11004</v>
      </c>
      <c r="C4858" s="7" t="s">
        <v>12556</v>
      </c>
      <c r="D4858" s="8">
        <f t="shared" si="304"/>
        <v>0</v>
      </c>
      <c r="E4858" s="7" t="s">
        <v>12557</v>
      </c>
      <c r="F4858" s="7">
        <f t="shared" si="305"/>
        <v>0</v>
      </c>
      <c r="G4858" s="7" t="s">
        <v>12558</v>
      </c>
      <c r="H4858" s="7">
        <f t="shared" si="306"/>
        <v>0</v>
      </c>
      <c r="I4858" s="7" cm="1">
        <f t="array" ref="I4858">IFERROR(_xlfn.IFS(M4858="נח",1,M4858="נע ונח",1,M4858="שני שווא נח",2,M4858="שני שוואים בסוף מילה",2,M4858="שני שוואים ברצף",1),"0")</f>
        <v>2</v>
      </c>
      <c r="J4858" s="9">
        <f t="shared" si="307"/>
        <v>2</v>
      </c>
      <c r="K4858" t="s">
        <v>6698</v>
      </c>
      <c r="L4858" t="s">
        <v>6694</v>
      </c>
      <c r="M4858" t="s">
        <v>6704</v>
      </c>
      <c r="P4858" t="s">
        <v>6694</v>
      </c>
      <c r="W4858" t="s">
        <v>6720</v>
      </c>
    </row>
    <row r="4859" spans="1:23" ht="15.6" x14ac:dyDescent="0.4">
      <c r="A4859" s="2" t="s">
        <v>630</v>
      </c>
      <c r="B4859" s="5" t="s">
        <v>11005</v>
      </c>
      <c r="C4859" s="7" t="s">
        <v>12556</v>
      </c>
      <c r="D4859" s="8">
        <f t="shared" si="304"/>
        <v>0</v>
      </c>
      <c r="E4859" s="7" t="s">
        <v>12557</v>
      </c>
      <c r="F4859" s="7">
        <f t="shared" si="305"/>
        <v>0</v>
      </c>
      <c r="G4859" s="7" t="s">
        <v>12558</v>
      </c>
      <c r="H4859" s="7">
        <f t="shared" si="306"/>
        <v>0</v>
      </c>
      <c r="I4859" s="7" cm="1">
        <f t="array" ref="I4859">IFERROR(_xlfn.IFS(M4859="נח",1,M4859="נע ונח",1,M4859="שני שווא נח",2,M4859="שני שוואים בסוף מילה",2,M4859="שני שוואים ברצף",1),"0")</f>
        <v>1</v>
      </c>
      <c r="J4859" s="9">
        <f t="shared" si="307"/>
        <v>3</v>
      </c>
      <c r="K4859" t="s">
        <v>6698</v>
      </c>
      <c r="L4859" t="s">
        <v>6694</v>
      </c>
      <c r="M4859" t="s">
        <v>6705</v>
      </c>
      <c r="N4859" t="s">
        <v>6706</v>
      </c>
      <c r="O4859" t="s">
        <v>6694</v>
      </c>
      <c r="P4859" t="s">
        <v>6694</v>
      </c>
      <c r="W4859" t="s">
        <v>6720</v>
      </c>
    </row>
    <row r="4860" spans="1:23" ht="15.6" x14ac:dyDescent="0.4">
      <c r="A4860" s="2" t="s">
        <v>1427</v>
      </c>
      <c r="B4860" s="5" t="s">
        <v>11006</v>
      </c>
      <c r="C4860" s="7" t="s">
        <v>12556</v>
      </c>
      <c r="D4860" s="8">
        <f t="shared" si="304"/>
        <v>0</v>
      </c>
      <c r="E4860" s="7" t="s">
        <v>12557</v>
      </c>
      <c r="F4860" s="7">
        <f t="shared" si="305"/>
        <v>0</v>
      </c>
      <c r="G4860" s="7" t="s">
        <v>12558</v>
      </c>
      <c r="H4860" s="7">
        <f t="shared" si="306"/>
        <v>0</v>
      </c>
      <c r="I4860" s="7" cm="1">
        <f t="array" ref="I4860">IFERROR(_xlfn.IFS(M4860="נח",1,M4860="נע ונח",1,M4860="שני שווא נח",2,M4860="שני שוואים בסוף מילה",2,M4860="שני שוואים ברצף",1),"0")</f>
        <v>1</v>
      </c>
      <c r="J4860" s="9">
        <f t="shared" si="307"/>
        <v>2</v>
      </c>
      <c r="K4860" t="s">
        <v>6698</v>
      </c>
      <c r="L4860" t="s">
        <v>6694</v>
      </c>
      <c r="M4860" t="s">
        <v>6705</v>
      </c>
      <c r="P4860" t="s">
        <v>6694</v>
      </c>
      <c r="Q4860" t="s">
        <v>6694</v>
      </c>
      <c r="W4860" t="s">
        <v>6720</v>
      </c>
    </row>
    <row r="4861" spans="1:23" ht="15.6" x14ac:dyDescent="0.4">
      <c r="A4861" s="2" t="s">
        <v>1467</v>
      </c>
      <c r="B4861" s="5" t="s">
        <v>11007</v>
      </c>
      <c r="C4861" s="7" t="s">
        <v>12556</v>
      </c>
      <c r="D4861" s="8">
        <f t="shared" si="304"/>
        <v>0</v>
      </c>
      <c r="E4861" s="7" t="s">
        <v>12557</v>
      </c>
      <c r="F4861" s="7">
        <f t="shared" si="305"/>
        <v>0</v>
      </c>
      <c r="G4861" s="7" t="s">
        <v>12558</v>
      </c>
      <c r="H4861" s="7">
        <f t="shared" si="306"/>
        <v>0</v>
      </c>
      <c r="I4861" s="7" cm="1">
        <f t="array" ref="I4861">IFERROR(_xlfn.IFS(M4861="נח",1,M4861="נע ונח",1,M4861="שני שווא נח",2,M4861="שני שוואים בסוף מילה",2,M4861="שני שוואים ברצף",1),"0")</f>
        <v>1</v>
      </c>
      <c r="J4861" s="9">
        <f t="shared" si="307"/>
        <v>3</v>
      </c>
      <c r="K4861" t="s">
        <v>6698</v>
      </c>
      <c r="L4861" t="s">
        <v>6694</v>
      </c>
      <c r="M4861" t="s">
        <v>6705</v>
      </c>
      <c r="P4861" t="s">
        <v>6694</v>
      </c>
      <c r="Q4861" t="s">
        <v>6694</v>
      </c>
      <c r="R4861" t="s">
        <v>6694</v>
      </c>
      <c r="W4861" t="s">
        <v>6720</v>
      </c>
    </row>
    <row r="4862" spans="1:23" ht="15.6" x14ac:dyDescent="0.4">
      <c r="A4862" s="2" t="s">
        <v>2270</v>
      </c>
      <c r="B4862" s="5" t="s">
        <v>11006</v>
      </c>
      <c r="C4862" s="7" t="s">
        <v>12556</v>
      </c>
      <c r="D4862" s="8">
        <f t="shared" si="304"/>
        <v>0</v>
      </c>
      <c r="E4862" s="7" t="s">
        <v>12557</v>
      </c>
      <c r="F4862" s="7">
        <f t="shared" si="305"/>
        <v>1</v>
      </c>
      <c r="G4862" s="7" t="s">
        <v>12558</v>
      </c>
      <c r="H4862" s="7">
        <f t="shared" si="306"/>
        <v>0</v>
      </c>
      <c r="I4862" s="7" cm="1">
        <f t="array" ref="I4862">IFERROR(_xlfn.IFS(M4862="נח",1,M4862="נע ונח",1,M4862="שני שווא נח",2,M4862="שני שוואים בסוף מילה",2,M4862="שני שוואים ברצף",1),"0")</f>
        <v>1</v>
      </c>
      <c r="J4862" s="9">
        <f t="shared" si="307"/>
        <v>2</v>
      </c>
      <c r="K4862" t="s">
        <v>6697</v>
      </c>
      <c r="L4862" t="s">
        <v>6694</v>
      </c>
      <c r="M4862" t="s">
        <v>6705</v>
      </c>
      <c r="P4862" t="s">
        <v>6694</v>
      </c>
      <c r="S4862" t="s">
        <v>6694</v>
      </c>
      <c r="W4862" t="s">
        <v>6720</v>
      </c>
    </row>
    <row r="4863" spans="1:23" ht="15.6" x14ac:dyDescent="0.4">
      <c r="A4863" s="2" t="s">
        <v>6674</v>
      </c>
      <c r="B4863" s="5" t="s">
        <v>11008</v>
      </c>
      <c r="C4863" s="7" t="s">
        <v>12556</v>
      </c>
      <c r="D4863" s="8">
        <f t="shared" si="304"/>
        <v>0</v>
      </c>
      <c r="E4863" s="7" t="s">
        <v>12557</v>
      </c>
      <c r="F4863" s="7">
        <f t="shared" si="305"/>
        <v>2</v>
      </c>
      <c r="G4863" s="7" t="s">
        <v>12558</v>
      </c>
      <c r="H4863" s="7">
        <f t="shared" si="306"/>
        <v>1</v>
      </c>
      <c r="I4863" s="7" cm="1">
        <f t="array" ref="I4863">IFERROR(_xlfn.IFS(M4863="נח",1,M4863="נע ונח",1,M4863="שני שווא נח",2,M4863="שני שוואים בסוף מילה",2,M4863="שני שוואים ברצף",1),"0")</f>
        <v>1</v>
      </c>
      <c r="J4863" s="9">
        <f t="shared" si="307"/>
        <v>3</v>
      </c>
      <c r="K4863" t="s">
        <v>6697</v>
      </c>
      <c r="L4863" t="s">
        <v>6694</v>
      </c>
      <c r="M4863" t="s">
        <v>6705</v>
      </c>
      <c r="P4863" t="s">
        <v>6694</v>
      </c>
      <c r="Q4863" t="s">
        <v>6694</v>
      </c>
      <c r="U4863" t="s">
        <v>6694</v>
      </c>
      <c r="W4863" t="s">
        <v>6720</v>
      </c>
    </row>
    <row r="4864" spans="1:23" ht="15.6" x14ac:dyDescent="0.4">
      <c r="A4864" s="2" t="s">
        <v>1878</v>
      </c>
      <c r="B4864" s="5" t="s">
        <v>11009</v>
      </c>
      <c r="C4864" s="7" t="s">
        <v>12556</v>
      </c>
      <c r="D4864" s="8">
        <f t="shared" si="304"/>
        <v>0</v>
      </c>
      <c r="E4864" s="7" t="s">
        <v>12557</v>
      </c>
      <c r="F4864" s="7">
        <f t="shared" si="305"/>
        <v>1</v>
      </c>
      <c r="G4864" s="7" t="s">
        <v>12558</v>
      </c>
      <c r="H4864" s="7">
        <f t="shared" si="306"/>
        <v>0</v>
      </c>
      <c r="I4864" s="7" cm="1">
        <f t="array" ref="I4864">IFERROR(_xlfn.IFS(M4864="נח",1,M4864="נע ונח",1,M4864="שני שווא נח",2,M4864="שני שוואים בסוף מילה",2,M4864="שני שוואים ברצף",1),"0")</f>
        <v>1</v>
      </c>
      <c r="J4864" s="9">
        <f t="shared" si="307"/>
        <v>2</v>
      </c>
      <c r="K4864" t="s">
        <v>6697</v>
      </c>
      <c r="L4864" t="s">
        <v>6694</v>
      </c>
      <c r="M4864" t="s">
        <v>6705</v>
      </c>
      <c r="P4864" t="s">
        <v>6694</v>
      </c>
      <c r="V4864" t="s">
        <v>6694</v>
      </c>
      <c r="W4864" t="s">
        <v>6720</v>
      </c>
    </row>
    <row r="4865" spans="1:23" ht="15.6" x14ac:dyDescent="0.4">
      <c r="A4865" s="2" t="s">
        <v>6391</v>
      </c>
      <c r="B4865" s="5" t="s">
        <v>11010</v>
      </c>
      <c r="C4865" s="7" t="s">
        <v>12556</v>
      </c>
      <c r="D4865" s="8">
        <f t="shared" si="304"/>
        <v>0</v>
      </c>
      <c r="E4865" s="7" t="s">
        <v>12557</v>
      </c>
      <c r="F4865" s="7">
        <f t="shared" si="305"/>
        <v>1</v>
      </c>
      <c r="G4865" s="7" t="s">
        <v>12558</v>
      </c>
      <c r="H4865" s="7">
        <f t="shared" si="306"/>
        <v>1</v>
      </c>
      <c r="I4865" s="7" cm="1">
        <f t="array" ref="I4865">IFERROR(_xlfn.IFS(M4865="נח",1,M4865="נע ונח",1,M4865="שני שווא נח",2,M4865="שני שוואים בסוף מילה",2,M4865="שני שוואים ברצף",1),"0")</f>
        <v>1</v>
      </c>
      <c r="J4865" s="9">
        <f t="shared" si="307"/>
        <v>4</v>
      </c>
      <c r="K4865" t="s">
        <v>6697</v>
      </c>
      <c r="L4865" t="s">
        <v>6694</v>
      </c>
      <c r="M4865" t="s">
        <v>6705</v>
      </c>
      <c r="O4865" t="s">
        <v>6694</v>
      </c>
      <c r="P4865" t="s">
        <v>6694</v>
      </c>
      <c r="R4865" t="s">
        <v>6694</v>
      </c>
      <c r="U4865" t="s">
        <v>6694</v>
      </c>
      <c r="W4865" t="s">
        <v>6720</v>
      </c>
    </row>
    <row r="4866" spans="1:23" ht="15.6" x14ac:dyDescent="0.4">
      <c r="A4866" s="2" t="s">
        <v>5886</v>
      </c>
      <c r="B4866" s="5" t="s">
        <v>11011</v>
      </c>
      <c r="C4866" s="7" t="s">
        <v>12556</v>
      </c>
      <c r="D4866" s="8">
        <f t="shared" si="304"/>
        <v>0</v>
      </c>
      <c r="E4866" s="7" t="s">
        <v>12557</v>
      </c>
      <c r="F4866" s="7">
        <f t="shared" si="305"/>
        <v>0</v>
      </c>
      <c r="G4866" s="7" t="s">
        <v>12558</v>
      </c>
      <c r="H4866" s="7">
        <f t="shared" si="306"/>
        <v>0</v>
      </c>
      <c r="I4866" s="7" cm="1">
        <f t="array" ref="I4866">IFERROR(_xlfn.IFS(M4866="נח",1,M4866="נע ונח",1,M4866="שני שווא נח",2,M4866="שני שוואים בסוף מילה",2,M4866="שני שוואים ברצף",1),"0")</f>
        <v>1</v>
      </c>
      <c r="J4866" s="9">
        <f t="shared" si="307"/>
        <v>3</v>
      </c>
      <c r="K4866" t="s">
        <v>6698</v>
      </c>
      <c r="L4866" t="s">
        <v>6694</v>
      </c>
      <c r="M4866" t="s">
        <v>6705</v>
      </c>
      <c r="N4866" t="s">
        <v>6706</v>
      </c>
      <c r="O4866" t="s">
        <v>6694</v>
      </c>
      <c r="P4866" t="s">
        <v>6694</v>
      </c>
      <c r="V4866" t="s">
        <v>6694</v>
      </c>
      <c r="W4866" t="s">
        <v>6720</v>
      </c>
    </row>
    <row r="4867" spans="1:23" ht="15.6" x14ac:dyDescent="0.4">
      <c r="A4867" s="2" t="s">
        <v>4149</v>
      </c>
      <c r="B4867" s="5" t="s">
        <v>11012</v>
      </c>
      <c r="C4867" s="7" t="s">
        <v>12556</v>
      </c>
      <c r="D4867" s="8">
        <f t="shared" ref="D4867:D4930" si="308">(LEN(B4867)-LEN(SUBSTITUTE(B4867,C4867,"")))</f>
        <v>0</v>
      </c>
      <c r="E4867" s="7" t="s">
        <v>12557</v>
      </c>
      <c r="F4867" s="7">
        <f t="shared" ref="F4867:F4930" si="309">(LEN(A4867)-LEN(SUBSTITUTE(A4867,E4867,"")))</f>
        <v>1</v>
      </c>
      <c r="G4867" s="7" t="s">
        <v>12558</v>
      </c>
      <c r="H4867" s="7">
        <f t="shared" ref="H4867:H4930" si="310">(LEN(A4867)-LEN(SUBSTITUTE(A4867,G4867,"")))/2</f>
        <v>0</v>
      </c>
      <c r="I4867" s="7" cm="1">
        <f t="array" ref="I4867">IFERROR(_xlfn.IFS(M4867="נח",1,M4867="נע ונח",1,M4867="שני שווא נח",2,M4867="שני שוואים בסוף מילה",2,M4867="שני שוואים ברצף",1),"0")</f>
        <v>1</v>
      </c>
      <c r="J4867" s="9">
        <f t="shared" ref="J4867:J4930" si="311">LEN(A4867)-(LEN(B4867))-D4867-F4867+H4867-I4867</f>
        <v>3</v>
      </c>
      <c r="K4867" t="s">
        <v>6698</v>
      </c>
      <c r="L4867" t="s">
        <v>6694</v>
      </c>
      <c r="M4867" t="s">
        <v>6702</v>
      </c>
      <c r="P4867" t="s">
        <v>6694</v>
      </c>
      <c r="V4867" t="s">
        <v>6694</v>
      </c>
      <c r="W4867" t="s">
        <v>6720</v>
      </c>
    </row>
    <row r="4868" spans="1:23" ht="15.6" x14ac:dyDescent="0.4">
      <c r="A4868" s="2" t="s">
        <v>337</v>
      </c>
      <c r="B4868" s="5" t="s">
        <v>11013</v>
      </c>
      <c r="C4868" s="7" t="s">
        <v>12556</v>
      </c>
      <c r="D4868" s="8">
        <f t="shared" si="308"/>
        <v>0</v>
      </c>
      <c r="E4868" s="7" t="s">
        <v>12557</v>
      </c>
      <c r="F4868" s="7">
        <f t="shared" si="309"/>
        <v>1</v>
      </c>
      <c r="G4868" s="7" t="s">
        <v>12558</v>
      </c>
      <c r="H4868" s="7">
        <f t="shared" si="310"/>
        <v>0</v>
      </c>
      <c r="I4868" s="7" cm="1">
        <f t="array" ref="I4868">IFERROR(_xlfn.IFS(M4868="נח",1,M4868="נע ונח",1,M4868="שני שווא נח",2,M4868="שני שוואים בסוף מילה",2,M4868="שני שוואים ברצף",1),"0")</f>
        <v>1</v>
      </c>
      <c r="J4868" s="9">
        <f t="shared" si="311"/>
        <v>2</v>
      </c>
      <c r="K4868" t="s">
        <v>6697</v>
      </c>
      <c r="L4868" t="s">
        <v>6694</v>
      </c>
      <c r="M4868" t="s">
        <v>6705</v>
      </c>
      <c r="O4868" t="s">
        <v>6694</v>
      </c>
      <c r="P4868" t="s">
        <v>6694</v>
      </c>
      <c r="W4868" t="s">
        <v>6720</v>
      </c>
    </row>
    <row r="4869" spans="1:23" ht="15.6" x14ac:dyDescent="0.4">
      <c r="A4869" s="2" t="s">
        <v>1272</v>
      </c>
      <c r="B4869" s="5" t="s">
        <v>11014</v>
      </c>
      <c r="C4869" s="7" t="s">
        <v>12556</v>
      </c>
      <c r="D4869" s="8">
        <f t="shared" si="308"/>
        <v>0</v>
      </c>
      <c r="E4869" s="7" t="s">
        <v>12557</v>
      </c>
      <c r="F4869" s="7">
        <f t="shared" si="309"/>
        <v>0</v>
      </c>
      <c r="G4869" s="7" t="s">
        <v>12558</v>
      </c>
      <c r="H4869" s="7">
        <f t="shared" si="310"/>
        <v>0</v>
      </c>
      <c r="I4869" s="7" cm="1">
        <f t="array" ref="I4869">IFERROR(_xlfn.IFS(M4869="נח",1,M4869="נע ונח",1,M4869="שני שווא נח",2,M4869="שני שוואים בסוף מילה",2,M4869="שני שוואים ברצף",1),"0")</f>
        <v>1</v>
      </c>
      <c r="J4869" s="9">
        <f t="shared" si="311"/>
        <v>3</v>
      </c>
      <c r="K4869" t="s">
        <v>6698</v>
      </c>
      <c r="L4869" t="s">
        <v>6694</v>
      </c>
      <c r="M4869" t="s">
        <v>6702</v>
      </c>
      <c r="P4869" t="s">
        <v>6694</v>
      </c>
      <c r="V4869" t="s">
        <v>6694</v>
      </c>
      <c r="W4869" t="s">
        <v>6720</v>
      </c>
    </row>
    <row r="4870" spans="1:23" ht="15.6" x14ac:dyDescent="0.4">
      <c r="A4870" s="2" t="s">
        <v>3781</v>
      </c>
      <c r="B4870" s="5" t="s">
        <v>11014</v>
      </c>
      <c r="C4870" s="7" t="s">
        <v>12556</v>
      </c>
      <c r="D4870" s="8">
        <f t="shared" si="308"/>
        <v>0</v>
      </c>
      <c r="E4870" s="7" t="s">
        <v>12557</v>
      </c>
      <c r="F4870" s="7">
        <f t="shared" si="309"/>
        <v>0</v>
      </c>
      <c r="G4870" s="7" t="s">
        <v>12558</v>
      </c>
      <c r="H4870" s="7">
        <f t="shared" si="310"/>
        <v>0</v>
      </c>
      <c r="I4870" s="7" cm="1">
        <f t="array" ref="I4870">IFERROR(_xlfn.IFS(M4870="נח",1,M4870="נע ונח",1,M4870="שני שווא נח",2,M4870="שני שוואים בסוף מילה",2,M4870="שני שוואים ברצף",1),"0")</f>
        <v>1</v>
      </c>
      <c r="J4870" s="9">
        <f t="shared" si="311"/>
        <v>3</v>
      </c>
      <c r="K4870" t="s">
        <v>6698</v>
      </c>
      <c r="L4870" t="s">
        <v>6694</v>
      </c>
      <c r="M4870" t="s">
        <v>6705</v>
      </c>
      <c r="O4870" t="s">
        <v>6694</v>
      </c>
      <c r="P4870" t="s">
        <v>6694</v>
      </c>
      <c r="V4870" t="s">
        <v>6694</v>
      </c>
      <c r="W4870" t="s">
        <v>6720</v>
      </c>
    </row>
    <row r="4871" spans="1:23" ht="15.6" x14ac:dyDescent="0.4">
      <c r="A4871" s="2" t="s">
        <v>6023</v>
      </c>
      <c r="B4871" s="5" t="s">
        <v>11015</v>
      </c>
      <c r="C4871" s="7" t="s">
        <v>12556</v>
      </c>
      <c r="D4871" s="8">
        <f t="shared" si="308"/>
        <v>1</v>
      </c>
      <c r="E4871" s="7" t="s">
        <v>12557</v>
      </c>
      <c r="F4871" s="7">
        <f t="shared" si="309"/>
        <v>0</v>
      </c>
      <c r="G4871" s="7" t="s">
        <v>12558</v>
      </c>
      <c r="H4871" s="7">
        <f t="shared" si="310"/>
        <v>0</v>
      </c>
      <c r="I4871" s="7" cm="1">
        <f t="array" ref="I4871">IFERROR(_xlfn.IFS(M4871="נח",1,M4871="נע ונח",1,M4871="שני שווא נח",2,M4871="שני שוואים בסוף מילה",2,M4871="שני שוואים ברצף",1),"0")</f>
        <v>1</v>
      </c>
      <c r="J4871" s="9">
        <f t="shared" si="311"/>
        <v>4</v>
      </c>
      <c r="K4871" t="s">
        <v>6698</v>
      </c>
      <c r="L4871" t="s">
        <v>6694</v>
      </c>
      <c r="M4871" t="s">
        <v>6702</v>
      </c>
      <c r="N4871" t="s">
        <v>6706</v>
      </c>
      <c r="O4871" t="s">
        <v>6694</v>
      </c>
      <c r="P4871" t="s">
        <v>6694</v>
      </c>
      <c r="V4871" t="s">
        <v>6694</v>
      </c>
      <c r="W4871" t="s">
        <v>6720</v>
      </c>
    </row>
    <row r="4872" spans="1:23" ht="15.6" x14ac:dyDescent="0.4">
      <c r="A4872" s="2" t="s">
        <v>4288</v>
      </c>
      <c r="B4872" s="5" t="s">
        <v>10797</v>
      </c>
      <c r="C4872" s="7" t="s">
        <v>12556</v>
      </c>
      <c r="D4872" s="8">
        <f t="shared" si="308"/>
        <v>0</v>
      </c>
      <c r="E4872" s="7" t="s">
        <v>12557</v>
      </c>
      <c r="F4872" s="7">
        <f t="shared" si="309"/>
        <v>0</v>
      </c>
      <c r="G4872" s="7" t="s">
        <v>12558</v>
      </c>
      <c r="H4872" s="7">
        <f t="shared" si="310"/>
        <v>0</v>
      </c>
      <c r="I4872" s="7" t="str" cm="1">
        <f t="array" ref="I4872">IFERROR(_xlfn.IFS(M4872="נח",1,M4872="נע ונח",1,M4872="שני שווא נח",2,M4872="שני שוואים בסוף מילה",2,M4872="שני שוואים ברצף",1),"0")</f>
        <v>0</v>
      </c>
      <c r="J4872" s="9">
        <f t="shared" si="311"/>
        <v>1</v>
      </c>
      <c r="K4872" t="s">
        <v>6698</v>
      </c>
      <c r="L4872" t="s">
        <v>6695</v>
      </c>
      <c r="P4872" t="s">
        <v>6694</v>
      </c>
      <c r="W4872" t="s">
        <v>6720</v>
      </c>
    </row>
    <row r="4873" spans="1:23" ht="15.6" x14ac:dyDescent="0.4">
      <c r="A4873" s="2" t="s">
        <v>2986</v>
      </c>
      <c r="B4873" s="5" t="s">
        <v>11016</v>
      </c>
      <c r="C4873" s="7" t="s">
        <v>12556</v>
      </c>
      <c r="D4873" s="8">
        <f t="shared" si="308"/>
        <v>0</v>
      </c>
      <c r="E4873" s="7" t="s">
        <v>12557</v>
      </c>
      <c r="F4873" s="7">
        <f t="shared" si="309"/>
        <v>1</v>
      </c>
      <c r="G4873" s="7" t="s">
        <v>12558</v>
      </c>
      <c r="H4873" s="7">
        <f t="shared" si="310"/>
        <v>0</v>
      </c>
      <c r="I4873" s="7" t="str" cm="1">
        <f t="array" ref="I4873">IFERROR(_xlfn.IFS(M4873="נח",1,M4873="נע ונח",1,M4873="שני שווא נח",2,M4873="שני שוואים בסוף מילה",2,M4873="שני שוואים ברצף",1),"0")</f>
        <v>0</v>
      </c>
      <c r="J4873" s="9">
        <f t="shared" si="311"/>
        <v>2</v>
      </c>
      <c r="K4873" t="s">
        <v>6697</v>
      </c>
      <c r="L4873" t="s">
        <v>6695</v>
      </c>
      <c r="O4873" t="s">
        <v>6694</v>
      </c>
      <c r="P4873" t="s">
        <v>6694</v>
      </c>
      <c r="W4873" t="s">
        <v>6720</v>
      </c>
    </row>
    <row r="4874" spans="1:23" ht="15.6" x14ac:dyDescent="0.4">
      <c r="A4874" s="2" t="s">
        <v>5108</v>
      </c>
      <c r="B4874" s="5" t="s">
        <v>11017</v>
      </c>
      <c r="C4874" s="7" t="s">
        <v>12556</v>
      </c>
      <c r="D4874" s="8">
        <f t="shared" si="308"/>
        <v>0</v>
      </c>
      <c r="E4874" s="7" t="s">
        <v>12557</v>
      </c>
      <c r="F4874" s="7">
        <f t="shared" si="309"/>
        <v>1</v>
      </c>
      <c r="G4874" s="7" t="s">
        <v>12558</v>
      </c>
      <c r="H4874" s="7">
        <f t="shared" si="310"/>
        <v>0</v>
      </c>
      <c r="I4874" s="7" cm="1">
        <f t="array" ref="I4874">IFERROR(_xlfn.IFS(M4874="נח",1,M4874="נע ונח",1,M4874="שני שווא נח",2,M4874="שני שוואים בסוף מילה",2,M4874="שני שוואים ברצף",1),"0")</f>
        <v>1</v>
      </c>
      <c r="J4874" s="9">
        <f t="shared" si="311"/>
        <v>2</v>
      </c>
      <c r="K4874" t="s">
        <v>6698</v>
      </c>
      <c r="L4874" t="s">
        <v>6694</v>
      </c>
      <c r="M4874" t="s">
        <v>6705</v>
      </c>
      <c r="N4874" t="s">
        <v>6706</v>
      </c>
      <c r="O4874" t="s">
        <v>6694</v>
      </c>
      <c r="P4874" t="s">
        <v>6694</v>
      </c>
      <c r="W4874" t="s">
        <v>6720</v>
      </c>
    </row>
    <row r="4875" spans="1:23" ht="15.6" x14ac:dyDescent="0.4">
      <c r="A4875" s="2" t="s">
        <v>4902</v>
      </c>
      <c r="B4875" s="5" t="s">
        <v>11018</v>
      </c>
      <c r="C4875" s="7" t="s">
        <v>12556</v>
      </c>
      <c r="D4875" s="8">
        <f t="shared" si="308"/>
        <v>0</v>
      </c>
      <c r="E4875" s="7" t="s">
        <v>12557</v>
      </c>
      <c r="F4875" s="7">
        <f t="shared" si="309"/>
        <v>0</v>
      </c>
      <c r="G4875" s="7" t="s">
        <v>12558</v>
      </c>
      <c r="H4875" s="7">
        <f t="shared" si="310"/>
        <v>0</v>
      </c>
      <c r="I4875" s="7" cm="1">
        <f t="array" ref="I4875">IFERROR(_xlfn.IFS(M4875="נח",1,M4875="נע ונח",1,M4875="שני שווא נח",2,M4875="שני שוואים בסוף מילה",2,M4875="שני שוואים ברצף",1),"0")</f>
        <v>1</v>
      </c>
      <c r="J4875" s="9">
        <f t="shared" si="311"/>
        <v>2</v>
      </c>
      <c r="K4875" t="s">
        <v>6698</v>
      </c>
      <c r="L4875" t="s">
        <v>6694</v>
      </c>
      <c r="M4875" t="s">
        <v>6705</v>
      </c>
      <c r="N4875" t="s">
        <v>6706</v>
      </c>
      <c r="O4875" t="s">
        <v>6694</v>
      </c>
      <c r="P4875" t="s">
        <v>6694</v>
      </c>
      <c r="W4875" t="s">
        <v>6720</v>
      </c>
    </row>
    <row r="4876" spans="1:23" ht="15.6" x14ac:dyDescent="0.4">
      <c r="A4876" s="2" t="s">
        <v>660</v>
      </c>
      <c r="B4876" s="5" t="s">
        <v>11019</v>
      </c>
      <c r="C4876" s="7" t="s">
        <v>12556</v>
      </c>
      <c r="D4876" s="8">
        <f t="shared" si="308"/>
        <v>0</v>
      </c>
      <c r="E4876" s="7" t="s">
        <v>12557</v>
      </c>
      <c r="F4876" s="7">
        <f t="shared" si="309"/>
        <v>0</v>
      </c>
      <c r="G4876" s="7" t="s">
        <v>12558</v>
      </c>
      <c r="H4876" s="7">
        <f t="shared" si="310"/>
        <v>0</v>
      </c>
      <c r="I4876" s="7" cm="1">
        <f t="array" ref="I4876">IFERROR(_xlfn.IFS(M4876="נח",1,M4876="נע ונח",1,M4876="שני שווא נח",2,M4876="שני שוואים בסוף מילה",2,M4876="שני שוואים ברצף",1),"0")</f>
        <v>1</v>
      </c>
      <c r="J4876" s="9">
        <f t="shared" si="311"/>
        <v>3</v>
      </c>
      <c r="K4876" t="s">
        <v>6698</v>
      </c>
      <c r="L4876" t="s">
        <v>6694</v>
      </c>
      <c r="M4876" t="s">
        <v>6705</v>
      </c>
      <c r="O4876" t="s">
        <v>6694</v>
      </c>
      <c r="P4876" t="s">
        <v>6694</v>
      </c>
      <c r="S4876" t="s">
        <v>6694</v>
      </c>
      <c r="W4876" t="s">
        <v>6720</v>
      </c>
    </row>
    <row r="4877" spans="1:23" ht="15.6" x14ac:dyDescent="0.4">
      <c r="A4877" s="2" t="s">
        <v>3025</v>
      </c>
      <c r="B4877" s="5" t="s">
        <v>11020</v>
      </c>
      <c r="C4877" s="7" t="s">
        <v>12556</v>
      </c>
      <c r="D4877" s="8">
        <f t="shared" si="308"/>
        <v>0</v>
      </c>
      <c r="E4877" s="7" t="s">
        <v>12557</v>
      </c>
      <c r="F4877" s="7">
        <f t="shared" si="309"/>
        <v>0</v>
      </c>
      <c r="G4877" s="7" t="s">
        <v>12558</v>
      </c>
      <c r="H4877" s="7">
        <f t="shared" si="310"/>
        <v>0</v>
      </c>
      <c r="I4877" s="7" cm="1">
        <f t="array" ref="I4877">IFERROR(_xlfn.IFS(M4877="נח",1,M4877="נע ונח",1,M4877="שני שווא נח",2,M4877="שני שוואים בסוף מילה",2,M4877="שני שוואים ברצף",1),"0")</f>
        <v>1</v>
      </c>
      <c r="J4877" s="9">
        <f t="shared" si="311"/>
        <v>3</v>
      </c>
      <c r="K4877" t="s">
        <v>6698</v>
      </c>
      <c r="L4877" t="s">
        <v>6694</v>
      </c>
      <c r="M4877" t="s">
        <v>6705</v>
      </c>
      <c r="O4877" t="s">
        <v>6694</v>
      </c>
      <c r="P4877" t="s">
        <v>6694</v>
      </c>
      <c r="W4877" t="s">
        <v>6720</v>
      </c>
    </row>
    <row r="4878" spans="1:23" ht="15.6" x14ac:dyDescent="0.4">
      <c r="A4878" s="2" t="s">
        <v>1249</v>
      </c>
      <c r="B4878" s="5" t="s">
        <v>11021</v>
      </c>
      <c r="C4878" s="7" t="s">
        <v>12556</v>
      </c>
      <c r="D4878" s="8">
        <f t="shared" si="308"/>
        <v>0</v>
      </c>
      <c r="E4878" s="7" t="s">
        <v>12557</v>
      </c>
      <c r="F4878" s="7">
        <f t="shared" si="309"/>
        <v>0</v>
      </c>
      <c r="G4878" s="7" t="s">
        <v>12558</v>
      </c>
      <c r="H4878" s="7">
        <f t="shared" si="310"/>
        <v>0</v>
      </c>
      <c r="I4878" s="7" t="str" cm="1">
        <f t="array" ref="I4878">IFERROR(_xlfn.IFS(M4878="נח",1,M4878="נע ונח",1,M4878="שני שווא נח",2,M4878="שני שוואים בסוף מילה",2,M4878="שני שוואים ברצף",1),"0")</f>
        <v>0</v>
      </c>
      <c r="J4878" s="9">
        <f t="shared" si="311"/>
        <v>3</v>
      </c>
      <c r="K4878" t="s">
        <v>6697</v>
      </c>
      <c r="L4878" t="s">
        <v>6695</v>
      </c>
      <c r="P4878" t="s">
        <v>6694</v>
      </c>
      <c r="R4878" t="s">
        <v>6694</v>
      </c>
      <c r="W4878" t="s">
        <v>6720</v>
      </c>
    </row>
    <row r="4879" spans="1:23" ht="15.6" x14ac:dyDescent="0.4">
      <c r="A4879" s="2" t="s">
        <v>1285</v>
      </c>
      <c r="B4879" s="5" t="s">
        <v>11022</v>
      </c>
      <c r="C4879" s="7" t="s">
        <v>12556</v>
      </c>
      <c r="D4879" s="8">
        <f t="shared" si="308"/>
        <v>1</v>
      </c>
      <c r="E4879" s="7" t="s">
        <v>12557</v>
      </c>
      <c r="F4879" s="7">
        <f t="shared" si="309"/>
        <v>0</v>
      </c>
      <c r="G4879" s="7" t="s">
        <v>12558</v>
      </c>
      <c r="H4879" s="7">
        <f t="shared" si="310"/>
        <v>0</v>
      </c>
      <c r="I4879" s="7" t="str" cm="1">
        <f t="array" ref="I4879">IFERROR(_xlfn.IFS(M4879="נח",1,M4879="נע ונח",1,M4879="שני שווא נח",2,M4879="שני שוואים בסוף מילה",2,M4879="שני שוואים ברצף",1),"0")</f>
        <v>0</v>
      </c>
      <c r="J4879" s="9">
        <f t="shared" si="311"/>
        <v>3</v>
      </c>
      <c r="K4879" t="s">
        <v>6697</v>
      </c>
      <c r="L4879" t="s">
        <v>6695</v>
      </c>
      <c r="P4879" t="s">
        <v>6694</v>
      </c>
      <c r="Q4879" t="s">
        <v>6694</v>
      </c>
      <c r="W4879" t="s">
        <v>6720</v>
      </c>
    </row>
    <row r="4880" spans="1:23" ht="15.6" x14ac:dyDescent="0.4">
      <c r="A4880" s="2" t="s">
        <v>1150</v>
      </c>
      <c r="B4880" s="5" t="s">
        <v>11023</v>
      </c>
      <c r="C4880" s="7" t="s">
        <v>12556</v>
      </c>
      <c r="D4880" s="8">
        <f t="shared" si="308"/>
        <v>1</v>
      </c>
      <c r="E4880" s="7" t="s">
        <v>12557</v>
      </c>
      <c r="F4880" s="7">
        <f t="shared" si="309"/>
        <v>0</v>
      </c>
      <c r="G4880" s="7" t="s">
        <v>12558</v>
      </c>
      <c r="H4880" s="7">
        <f t="shared" si="310"/>
        <v>0</v>
      </c>
      <c r="I4880" s="7" t="str" cm="1">
        <f t="array" ref="I4880">IFERROR(_xlfn.IFS(M4880="נח",1,M4880="נע ונח",1,M4880="שני שווא נח",2,M4880="שני שוואים בסוף מילה",2,M4880="שני שוואים ברצף",1),"0")</f>
        <v>0</v>
      </c>
      <c r="J4880" s="9">
        <f t="shared" si="311"/>
        <v>3</v>
      </c>
      <c r="K4880" t="s">
        <v>6698</v>
      </c>
      <c r="L4880" t="s">
        <v>6695</v>
      </c>
      <c r="P4880" t="s">
        <v>6694</v>
      </c>
      <c r="Q4880" t="s">
        <v>6694</v>
      </c>
      <c r="W4880" t="s">
        <v>6720</v>
      </c>
    </row>
    <row r="4881" spans="1:23" ht="15.6" x14ac:dyDescent="0.4">
      <c r="A4881" s="2" t="s">
        <v>6013</v>
      </c>
      <c r="B4881" s="5" t="s">
        <v>11024</v>
      </c>
      <c r="C4881" s="7" t="s">
        <v>12556</v>
      </c>
      <c r="D4881" s="8">
        <f t="shared" si="308"/>
        <v>1</v>
      </c>
      <c r="E4881" s="7" t="s">
        <v>12557</v>
      </c>
      <c r="F4881" s="7">
        <f t="shared" si="309"/>
        <v>0</v>
      </c>
      <c r="G4881" s="7" t="s">
        <v>12558</v>
      </c>
      <c r="H4881" s="7">
        <f t="shared" si="310"/>
        <v>0</v>
      </c>
      <c r="I4881" s="7" t="str" cm="1">
        <f t="array" ref="I4881">IFERROR(_xlfn.IFS(M4881="נח",1,M4881="נע ונח",1,M4881="שני שווא נח",2,M4881="שני שוואים בסוף מילה",2,M4881="שני שוואים ברצף",1),"0")</f>
        <v>0</v>
      </c>
      <c r="J4881" s="9">
        <f t="shared" si="311"/>
        <v>4</v>
      </c>
      <c r="K4881" t="s">
        <v>6698</v>
      </c>
      <c r="L4881" t="s">
        <v>6695</v>
      </c>
      <c r="P4881" t="s">
        <v>6694</v>
      </c>
      <c r="Q4881" t="s">
        <v>6694</v>
      </c>
      <c r="R4881" t="s">
        <v>6694</v>
      </c>
      <c r="W4881" t="s">
        <v>6720</v>
      </c>
    </row>
    <row r="4882" spans="1:23" ht="15.6" x14ac:dyDescent="0.4">
      <c r="A4882" s="2" t="s">
        <v>677</v>
      </c>
      <c r="B4882" s="5" t="s">
        <v>11025</v>
      </c>
      <c r="C4882" s="7" t="s">
        <v>12556</v>
      </c>
      <c r="D4882" s="8">
        <f t="shared" si="308"/>
        <v>1</v>
      </c>
      <c r="E4882" s="7" t="s">
        <v>12557</v>
      </c>
      <c r="F4882" s="7">
        <f t="shared" si="309"/>
        <v>0</v>
      </c>
      <c r="G4882" s="7" t="s">
        <v>12558</v>
      </c>
      <c r="H4882" s="7">
        <f t="shared" si="310"/>
        <v>0</v>
      </c>
      <c r="I4882" s="7" t="str" cm="1">
        <f t="array" ref="I4882">IFERROR(_xlfn.IFS(M4882="נח",1,M4882="נע ונח",1,M4882="שני שווא נח",2,M4882="שני שוואים בסוף מילה",2,M4882="שני שוואים ברצף",1),"0")</f>
        <v>0</v>
      </c>
      <c r="J4882" s="9">
        <f t="shared" si="311"/>
        <v>4</v>
      </c>
      <c r="K4882" t="s">
        <v>6697</v>
      </c>
      <c r="L4882" t="s">
        <v>6695</v>
      </c>
      <c r="O4882" t="s">
        <v>6694</v>
      </c>
      <c r="P4882" t="s">
        <v>6694</v>
      </c>
      <c r="R4882" t="s">
        <v>6694</v>
      </c>
      <c r="W4882" t="s">
        <v>6720</v>
      </c>
    </row>
    <row r="4883" spans="1:23" ht="15.6" x14ac:dyDescent="0.4">
      <c r="A4883" s="2" t="s">
        <v>3680</v>
      </c>
      <c r="B4883" s="5" t="s">
        <v>11023</v>
      </c>
      <c r="C4883" s="7" t="s">
        <v>12556</v>
      </c>
      <c r="D4883" s="8">
        <f t="shared" si="308"/>
        <v>1</v>
      </c>
      <c r="E4883" s="7" t="s">
        <v>12557</v>
      </c>
      <c r="F4883" s="7">
        <f t="shared" si="309"/>
        <v>0</v>
      </c>
      <c r="G4883" s="7" t="s">
        <v>12558</v>
      </c>
      <c r="H4883" s="7">
        <f t="shared" si="310"/>
        <v>0</v>
      </c>
      <c r="I4883" s="7" t="str" cm="1">
        <f t="array" ref="I4883">IFERROR(_xlfn.IFS(M4883="נח",1,M4883="נע ונח",1,M4883="שני שווא נח",2,M4883="שני שוואים בסוף מילה",2,M4883="שני שוואים ברצף",1),"0")</f>
        <v>0</v>
      </c>
      <c r="J4883" s="9">
        <f t="shared" si="311"/>
        <v>3</v>
      </c>
      <c r="K4883" t="s">
        <v>6698</v>
      </c>
      <c r="L4883" t="s">
        <v>6695</v>
      </c>
      <c r="P4883" t="s">
        <v>6694</v>
      </c>
      <c r="W4883" t="s">
        <v>6720</v>
      </c>
    </row>
    <row r="4884" spans="1:23" ht="15.6" x14ac:dyDescent="0.4">
      <c r="A4884" s="2" t="s">
        <v>1063</v>
      </c>
      <c r="B4884" s="5" t="s">
        <v>11026</v>
      </c>
      <c r="C4884" s="7" t="s">
        <v>12556</v>
      </c>
      <c r="D4884" s="8">
        <f t="shared" si="308"/>
        <v>1</v>
      </c>
      <c r="E4884" s="7" t="s">
        <v>12557</v>
      </c>
      <c r="F4884" s="7">
        <f t="shared" si="309"/>
        <v>0</v>
      </c>
      <c r="G4884" s="7" t="s">
        <v>12558</v>
      </c>
      <c r="H4884" s="7">
        <f t="shared" si="310"/>
        <v>0</v>
      </c>
      <c r="I4884" s="7" t="str" cm="1">
        <f t="array" ref="I4884">IFERROR(_xlfn.IFS(M4884="נח",1,M4884="נע ונח",1,M4884="שני שווא נח",2,M4884="שני שוואים בסוף מילה",2,M4884="שני שוואים ברצף",1),"0")</f>
        <v>0</v>
      </c>
      <c r="J4884" s="9">
        <f t="shared" si="311"/>
        <v>3</v>
      </c>
      <c r="K4884" t="s">
        <v>6698</v>
      </c>
      <c r="L4884" t="s">
        <v>6695</v>
      </c>
      <c r="N4884" t="s">
        <v>6706</v>
      </c>
      <c r="O4884" t="s">
        <v>6694</v>
      </c>
      <c r="P4884" t="s">
        <v>6694</v>
      </c>
      <c r="W4884" t="s">
        <v>6720</v>
      </c>
    </row>
    <row r="4885" spans="1:23" ht="15.6" x14ac:dyDescent="0.4">
      <c r="A4885" s="2" t="s">
        <v>4752</v>
      </c>
      <c r="B4885" s="5" t="s">
        <v>11027</v>
      </c>
      <c r="C4885" s="7" t="s">
        <v>12556</v>
      </c>
      <c r="D4885" s="8">
        <f t="shared" si="308"/>
        <v>0</v>
      </c>
      <c r="E4885" s="7" t="s">
        <v>12557</v>
      </c>
      <c r="F4885" s="7">
        <f t="shared" si="309"/>
        <v>0</v>
      </c>
      <c r="G4885" s="7" t="s">
        <v>12558</v>
      </c>
      <c r="H4885" s="7">
        <f t="shared" si="310"/>
        <v>0</v>
      </c>
      <c r="I4885" s="7" t="str" cm="1">
        <f t="array" ref="I4885">IFERROR(_xlfn.IFS(M4885="נח",1,M4885="נע ונח",1,M4885="שני שווא נח",2,M4885="שני שוואים בסוף מילה",2,M4885="שני שוואים ברצף",1),"0")</f>
        <v>0</v>
      </c>
      <c r="J4885" s="9">
        <f t="shared" si="311"/>
        <v>4</v>
      </c>
      <c r="K4885" t="s">
        <v>6698</v>
      </c>
      <c r="L4885" t="s">
        <v>6694</v>
      </c>
      <c r="M4885" t="s">
        <v>6703</v>
      </c>
      <c r="P4885" t="s">
        <v>6694</v>
      </c>
      <c r="Q4885" t="s">
        <v>6694</v>
      </c>
      <c r="W4885" t="s">
        <v>6720</v>
      </c>
    </row>
    <row r="4886" spans="1:23" ht="15.6" x14ac:dyDescent="0.4">
      <c r="A4886" s="2" t="s">
        <v>2674</v>
      </c>
      <c r="B4886" s="5" t="s">
        <v>11028</v>
      </c>
      <c r="C4886" s="7" t="s">
        <v>12556</v>
      </c>
      <c r="D4886" s="8">
        <f t="shared" si="308"/>
        <v>0</v>
      </c>
      <c r="E4886" s="7" t="s">
        <v>12557</v>
      </c>
      <c r="F4886" s="7">
        <f t="shared" si="309"/>
        <v>0</v>
      </c>
      <c r="G4886" s="7" t="s">
        <v>12558</v>
      </c>
      <c r="H4886" s="7">
        <f t="shared" si="310"/>
        <v>0</v>
      </c>
      <c r="I4886" s="7" t="str" cm="1">
        <f t="array" ref="I4886">IFERROR(_xlfn.IFS(M4886="נח",1,M4886="נע ונח",1,M4886="שני שווא נח",2,M4886="שני שוואים בסוף מילה",2,M4886="שני שוואים ברצף",1),"0")</f>
        <v>0</v>
      </c>
      <c r="J4886" s="9">
        <f t="shared" si="311"/>
        <v>5</v>
      </c>
      <c r="K4886" t="s">
        <v>6698</v>
      </c>
      <c r="L4886" t="s">
        <v>6694</v>
      </c>
      <c r="M4886" t="s">
        <v>6703</v>
      </c>
      <c r="P4886" t="s">
        <v>6694</v>
      </c>
      <c r="Q4886" t="s">
        <v>6694</v>
      </c>
      <c r="R4886" t="s">
        <v>6694</v>
      </c>
      <c r="W4886" t="s">
        <v>6720</v>
      </c>
    </row>
    <row r="4887" spans="1:23" ht="15.6" x14ac:dyDescent="0.4">
      <c r="A4887" s="2" t="s">
        <v>679</v>
      </c>
      <c r="B4887" s="5" t="s">
        <v>11029</v>
      </c>
      <c r="C4887" s="7" t="s">
        <v>12556</v>
      </c>
      <c r="D4887" s="8">
        <f t="shared" si="308"/>
        <v>0</v>
      </c>
      <c r="E4887" s="7" t="s">
        <v>12557</v>
      </c>
      <c r="F4887" s="7">
        <f t="shared" si="309"/>
        <v>0</v>
      </c>
      <c r="G4887" s="7" t="s">
        <v>12558</v>
      </c>
      <c r="H4887" s="7">
        <f t="shared" si="310"/>
        <v>0</v>
      </c>
      <c r="I4887" s="7" cm="1">
        <f t="array" ref="I4887">IFERROR(_xlfn.IFS(M4887="נח",1,M4887="נע ונח",1,M4887="שני שווא נח",2,M4887="שני שוואים בסוף מילה",2,M4887="שני שוואים ברצף",1),"0")</f>
        <v>1</v>
      </c>
      <c r="J4887" s="9">
        <f t="shared" si="311"/>
        <v>3</v>
      </c>
      <c r="K4887" t="s">
        <v>6697</v>
      </c>
      <c r="L4887" t="s">
        <v>6694</v>
      </c>
      <c r="M4887" t="s">
        <v>6705</v>
      </c>
      <c r="N4887" t="s">
        <v>6707</v>
      </c>
      <c r="P4887" t="s">
        <v>6694</v>
      </c>
      <c r="S4887" t="s">
        <v>6694</v>
      </c>
      <c r="W4887" t="s">
        <v>6720</v>
      </c>
    </row>
    <row r="4888" spans="1:23" ht="15.6" x14ac:dyDescent="0.4">
      <c r="A4888" s="2" t="s">
        <v>4583</v>
      </c>
      <c r="B4888" s="5" t="s">
        <v>11030</v>
      </c>
      <c r="C4888" s="7" t="s">
        <v>12556</v>
      </c>
      <c r="D4888" s="8">
        <f t="shared" si="308"/>
        <v>0</v>
      </c>
      <c r="E4888" s="7" t="s">
        <v>12557</v>
      </c>
      <c r="F4888" s="7">
        <f t="shared" si="309"/>
        <v>0</v>
      </c>
      <c r="G4888" s="7" t="s">
        <v>12558</v>
      </c>
      <c r="H4888" s="7">
        <f t="shared" si="310"/>
        <v>0</v>
      </c>
      <c r="I4888" s="7" cm="1">
        <f t="array" ref="I4888">IFERROR(_xlfn.IFS(M4888="נח",1,M4888="נע ונח",1,M4888="שני שווא נח",2,M4888="שני שוואים בסוף מילה",2,M4888="שני שוואים ברצף",1),"0")</f>
        <v>1</v>
      </c>
      <c r="J4888" s="9">
        <f t="shared" si="311"/>
        <v>3</v>
      </c>
      <c r="K4888" t="s">
        <v>6698</v>
      </c>
      <c r="L4888" t="s">
        <v>6694</v>
      </c>
      <c r="M4888" t="s">
        <v>6705</v>
      </c>
      <c r="P4888" t="s">
        <v>6694</v>
      </c>
      <c r="S4888" t="s">
        <v>6694</v>
      </c>
      <c r="W4888" t="s">
        <v>6720</v>
      </c>
    </row>
    <row r="4889" spans="1:23" ht="15.6" x14ac:dyDescent="0.4">
      <c r="A4889" s="2" t="s">
        <v>985</v>
      </c>
      <c r="B4889" s="5" t="s">
        <v>11031</v>
      </c>
      <c r="C4889" s="7" t="s">
        <v>12556</v>
      </c>
      <c r="D4889" s="8">
        <f t="shared" si="308"/>
        <v>0</v>
      </c>
      <c r="E4889" s="7" t="s">
        <v>12557</v>
      </c>
      <c r="F4889" s="7">
        <f t="shared" si="309"/>
        <v>1</v>
      </c>
      <c r="G4889" s="7" t="s">
        <v>12558</v>
      </c>
      <c r="H4889" s="7">
        <f t="shared" si="310"/>
        <v>0</v>
      </c>
      <c r="I4889" s="7" t="str" cm="1">
        <f t="array" ref="I4889">IFERROR(_xlfn.IFS(M4889="נח",1,M4889="נע ונח",1,M4889="שני שווא נח",2,M4889="שני שוואים בסוף מילה",2,M4889="שני שוואים ברצף",1),"0")</f>
        <v>0</v>
      </c>
      <c r="J4889" s="9">
        <f t="shared" si="311"/>
        <v>2</v>
      </c>
      <c r="K4889" t="s">
        <v>6698</v>
      </c>
      <c r="L4889" t="s">
        <v>6695</v>
      </c>
      <c r="P4889" t="s">
        <v>6694</v>
      </c>
      <c r="S4889" t="s">
        <v>6694</v>
      </c>
      <c r="W4889" t="s">
        <v>6720</v>
      </c>
    </row>
    <row r="4890" spans="1:23" ht="15.6" x14ac:dyDescent="0.4">
      <c r="A4890" s="2" t="s">
        <v>5490</v>
      </c>
      <c r="B4890" s="5" t="s">
        <v>11032</v>
      </c>
      <c r="C4890" s="7" t="s">
        <v>12556</v>
      </c>
      <c r="D4890" s="8">
        <f t="shared" si="308"/>
        <v>0</v>
      </c>
      <c r="E4890" s="7" t="s">
        <v>12557</v>
      </c>
      <c r="F4890" s="7">
        <f t="shared" si="309"/>
        <v>0</v>
      </c>
      <c r="G4890" s="7" t="s">
        <v>12558</v>
      </c>
      <c r="H4890" s="7">
        <f t="shared" si="310"/>
        <v>0</v>
      </c>
      <c r="I4890" s="7" cm="1">
        <f t="array" ref="I4890">IFERROR(_xlfn.IFS(M4890="נח",1,M4890="נע ונח",1,M4890="שני שווא נח",2,M4890="שני שוואים בסוף מילה",2,M4890="שני שוואים ברצף",1),"0")</f>
        <v>1</v>
      </c>
      <c r="J4890" s="9">
        <f t="shared" si="311"/>
        <v>4</v>
      </c>
      <c r="K4890" t="s">
        <v>6697</v>
      </c>
      <c r="L4890" t="s">
        <v>6694</v>
      </c>
      <c r="M4890" t="s">
        <v>6705</v>
      </c>
      <c r="O4890" t="s">
        <v>6694</v>
      </c>
      <c r="P4890" t="s">
        <v>6694</v>
      </c>
      <c r="R4890" t="s">
        <v>6694</v>
      </c>
      <c r="S4890" t="s">
        <v>6694</v>
      </c>
      <c r="W4890" t="s">
        <v>6720</v>
      </c>
    </row>
    <row r="4891" spans="1:23" ht="15.6" x14ac:dyDescent="0.4">
      <c r="A4891" s="2" t="s">
        <v>2979</v>
      </c>
      <c r="B4891" s="5" t="s">
        <v>11033</v>
      </c>
      <c r="C4891" s="7" t="s">
        <v>12556</v>
      </c>
      <c r="D4891" s="8">
        <f t="shared" si="308"/>
        <v>0</v>
      </c>
      <c r="E4891" s="7" t="s">
        <v>12557</v>
      </c>
      <c r="F4891" s="7">
        <f t="shared" si="309"/>
        <v>0</v>
      </c>
      <c r="G4891" s="7" t="s">
        <v>12558</v>
      </c>
      <c r="H4891" s="7">
        <f t="shared" si="310"/>
        <v>0</v>
      </c>
      <c r="I4891" s="7" cm="1">
        <f t="array" ref="I4891">IFERROR(_xlfn.IFS(M4891="נח",1,M4891="נע ונח",1,M4891="שני שווא נח",2,M4891="שני שוואים בסוף מילה",2,M4891="שני שוואים ברצף",1),"0")</f>
        <v>1</v>
      </c>
      <c r="J4891" s="9">
        <f t="shared" si="311"/>
        <v>3</v>
      </c>
      <c r="K4891" t="s">
        <v>6697</v>
      </c>
      <c r="L4891" t="s">
        <v>6694</v>
      </c>
      <c r="M4891" t="s">
        <v>6705</v>
      </c>
      <c r="P4891" t="s">
        <v>6694</v>
      </c>
      <c r="S4891" t="s">
        <v>6694</v>
      </c>
      <c r="V4891" t="s">
        <v>6694</v>
      </c>
      <c r="W4891" t="s">
        <v>6720</v>
      </c>
    </row>
    <row r="4892" spans="1:23" ht="15.6" x14ac:dyDescent="0.4">
      <c r="A4892" s="2" t="s">
        <v>4378</v>
      </c>
      <c r="B4892" s="5" t="s">
        <v>11034</v>
      </c>
      <c r="C4892" s="7" t="s">
        <v>12556</v>
      </c>
      <c r="D4892" s="8">
        <f t="shared" si="308"/>
        <v>1</v>
      </c>
      <c r="E4892" s="7" t="s">
        <v>12557</v>
      </c>
      <c r="F4892" s="7">
        <f t="shared" si="309"/>
        <v>1</v>
      </c>
      <c r="G4892" s="7" t="s">
        <v>12558</v>
      </c>
      <c r="H4892" s="7">
        <f t="shared" si="310"/>
        <v>0</v>
      </c>
      <c r="I4892" s="7" cm="1">
        <f t="array" ref="I4892">IFERROR(_xlfn.IFS(M4892="נח",1,M4892="נע ונח",1,M4892="שני שווא נח",2,M4892="שני שוואים בסוף מילה",2,M4892="שני שוואים ברצף",1),"0")</f>
        <v>1</v>
      </c>
      <c r="J4892" s="9">
        <f t="shared" si="311"/>
        <v>3</v>
      </c>
      <c r="K4892" t="s">
        <v>6697</v>
      </c>
      <c r="L4892" t="s">
        <v>6694</v>
      </c>
      <c r="M4892" t="s">
        <v>6705</v>
      </c>
      <c r="N4892" t="s">
        <v>6707</v>
      </c>
      <c r="P4892" t="s">
        <v>6694</v>
      </c>
      <c r="S4892" t="s">
        <v>6694</v>
      </c>
      <c r="W4892" t="s">
        <v>6720</v>
      </c>
    </row>
    <row r="4893" spans="1:23" ht="15.6" x14ac:dyDescent="0.4">
      <c r="A4893" s="2" t="s">
        <v>3788</v>
      </c>
      <c r="B4893" s="5" t="s">
        <v>11035</v>
      </c>
      <c r="C4893" s="7" t="s">
        <v>12556</v>
      </c>
      <c r="D4893" s="8">
        <f t="shared" si="308"/>
        <v>1</v>
      </c>
      <c r="E4893" s="7" t="s">
        <v>12557</v>
      </c>
      <c r="F4893" s="7">
        <f t="shared" si="309"/>
        <v>1</v>
      </c>
      <c r="G4893" s="7" t="s">
        <v>12558</v>
      </c>
      <c r="H4893" s="7">
        <f t="shared" si="310"/>
        <v>0</v>
      </c>
      <c r="I4893" s="7" cm="1">
        <f t="array" ref="I4893">IFERROR(_xlfn.IFS(M4893="נח",1,M4893="נע ונח",1,M4893="שני שווא נח",2,M4893="שני שוואים בסוף מילה",2,M4893="שני שוואים ברצף",1),"0")</f>
        <v>1</v>
      </c>
      <c r="J4893" s="9">
        <f t="shared" si="311"/>
        <v>2</v>
      </c>
      <c r="K4893" t="s">
        <v>6698</v>
      </c>
      <c r="L4893" t="s">
        <v>6694</v>
      </c>
      <c r="M4893" t="s">
        <v>6705</v>
      </c>
      <c r="P4893" t="s">
        <v>6694</v>
      </c>
      <c r="S4893" t="s">
        <v>6694</v>
      </c>
      <c r="W4893" t="s">
        <v>6720</v>
      </c>
    </row>
    <row r="4894" spans="1:23" ht="15.6" x14ac:dyDescent="0.4">
      <c r="A4894" s="2" t="s">
        <v>1391</v>
      </c>
      <c r="B4894" s="5" t="s">
        <v>11036</v>
      </c>
      <c r="C4894" s="7" t="s">
        <v>12556</v>
      </c>
      <c r="D4894" s="8">
        <f t="shared" si="308"/>
        <v>1</v>
      </c>
      <c r="E4894" s="7" t="s">
        <v>12557</v>
      </c>
      <c r="F4894" s="7">
        <f t="shared" si="309"/>
        <v>0</v>
      </c>
      <c r="G4894" s="7" t="s">
        <v>12558</v>
      </c>
      <c r="H4894" s="7">
        <f t="shared" si="310"/>
        <v>0</v>
      </c>
      <c r="I4894" s="7" cm="1">
        <f t="array" ref="I4894">IFERROR(_xlfn.IFS(M4894="נח",1,M4894="נע ונח",1,M4894="שני שווא נח",2,M4894="שני שוואים בסוף מילה",2,M4894="שני שוואים ברצף",1),"0")</f>
        <v>2</v>
      </c>
      <c r="J4894" s="9">
        <f t="shared" si="311"/>
        <v>2</v>
      </c>
      <c r="K4894" t="s">
        <v>6698</v>
      </c>
      <c r="L4894" t="s">
        <v>6694</v>
      </c>
      <c r="M4894" t="s">
        <v>6704</v>
      </c>
      <c r="P4894" t="s">
        <v>6694</v>
      </c>
      <c r="S4894" t="s">
        <v>6694</v>
      </c>
      <c r="W4894" t="s">
        <v>6720</v>
      </c>
    </row>
    <row r="4895" spans="1:23" ht="15.6" x14ac:dyDescent="0.4">
      <c r="A4895" s="2" t="s">
        <v>1350</v>
      </c>
      <c r="B4895" s="5" t="s">
        <v>11037</v>
      </c>
      <c r="C4895" s="7" t="s">
        <v>12556</v>
      </c>
      <c r="D4895" s="8">
        <f t="shared" si="308"/>
        <v>1</v>
      </c>
      <c r="E4895" s="7" t="s">
        <v>12557</v>
      </c>
      <c r="F4895" s="7">
        <f t="shared" si="309"/>
        <v>1</v>
      </c>
      <c r="G4895" s="7" t="s">
        <v>12558</v>
      </c>
      <c r="H4895" s="7">
        <f t="shared" si="310"/>
        <v>0</v>
      </c>
      <c r="I4895" s="7" cm="1">
        <f t="array" ref="I4895">IFERROR(_xlfn.IFS(M4895="נח",1,M4895="נע ונח",1,M4895="שני שווא נח",2,M4895="שני שוואים בסוף מילה",2,M4895="שני שוואים ברצף",1),"0")</f>
        <v>1</v>
      </c>
      <c r="J4895" s="9">
        <f t="shared" si="311"/>
        <v>2</v>
      </c>
      <c r="K4895" t="s">
        <v>6698</v>
      </c>
      <c r="L4895" t="s">
        <v>6694</v>
      </c>
      <c r="M4895" t="s">
        <v>6705</v>
      </c>
      <c r="P4895" t="s">
        <v>6694</v>
      </c>
      <c r="S4895" t="s">
        <v>6694</v>
      </c>
      <c r="W4895" t="s">
        <v>6720</v>
      </c>
    </row>
    <row r="4896" spans="1:23" ht="15.6" x14ac:dyDescent="0.4">
      <c r="A4896" s="2" t="s">
        <v>674</v>
      </c>
      <c r="B4896" s="5" t="s">
        <v>11038</v>
      </c>
      <c r="C4896" s="7" t="s">
        <v>12556</v>
      </c>
      <c r="D4896" s="8">
        <f t="shared" si="308"/>
        <v>1</v>
      </c>
      <c r="E4896" s="7" t="s">
        <v>12557</v>
      </c>
      <c r="F4896" s="7">
        <f t="shared" si="309"/>
        <v>0</v>
      </c>
      <c r="G4896" s="7" t="s">
        <v>12558</v>
      </c>
      <c r="H4896" s="7">
        <f t="shared" si="310"/>
        <v>0</v>
      </c>
      <c r="I4896" s="7" cm="1">
        <f t="array" ref="I4896">IFERROR(_xlfn.IFS(M4896="נח",1,M4896="נע ונח",1,M4896="שני שווא נח",2,M4896="שני שוואים בסוף מילה",2,M4896="שני שוואים ברצף",1),"0")</f>
        <v>1</v>
      </c>
      <c r="J4896" s="9">
        <f t="shared" si="311"/>
        <v>2</v>
      </c>
      <c r="K4896" t="s">
        <v>6697</v>
      </c>
      <c r="L4896" t="s">
        <v>6694</v>
      </c>
      <c r="M4896" t="s">
        <v>6705</v>
      </c>
      <c r="P4896" t="s">
        <v>6694</v>
      </c>
      <c r="R4896" t="s">
        <v>6694</v>
      </c>
      <c r="W4896" t="s">
        <v>6720</v>
      </c>
    </row>
    <row r="4897" spans="1:23" ht="15.6" x14ac:dyDescent="0.4">
      <c r="A4897" s="2" t="s">
        <v>5571</v>
      </c>
      <c r="B4897" s="5" t="s">
        <v>11039</v>
      </c>
      <c r="C4897" s="7" t="s">
        <v>12556</v>
      </c>
      <c r="D4897" s="8">
        <f t="shared" si="308"/>
        <v>1</v>
      </c>
      <c r="E4897" s="7" t="s">
        <v>12557</v>
      </c>
      <c r="F4897" s="7">
        <f t="shared" si="309"/>
        <v>0</v>
      </c>
      <c r="G4897" s="7" t="s">
        <v>12558</v>
      </c>
      <c r="H4897" s="7">
        <f t="shared" si="310"/>
        <v>0</v>
      </c>
      <c r="I4897" s="7" cm="1">
        <f t="array" ref="I4897">IFERROR(_xlfn.IFS(M4897="נח",1,M4897="נע ונח",1,M4897="שני שווא נח",2,M4897="שני שוואים בסוף מילה",2,M4897="שני שוואים ברצף",1),"0")</f>
        <v>1</v>
      </c>
      <c r="J4897" s="9">
        <f t="shared" si="311"/>
        <v>2</v>
      </c>
      <c r="K4897" t="s">
        <v>6698</v>
      </c>
      <c r="L4897" t="s">
        <v>6694</v>
      </c>
      <c r="M4897" t="s">
        <v>6705</v>
      </c>
      <c r="P4897" t="s">
        <v>6694</v>
      </c>
      <c r="W4897" t="s">
        <v>6720</v>
      </c>
    </row>
    <row r="4898" spans="1:23" ht="15.6" x14ac:dyDescent="0.4">
      <c r="A4898" s="2" t="s">
        <v>5398</v>
      </c>
      <c r="B4898" s="5" t="s">
        <v>11040</v>
      </c>
      <c r="C4898" s="7" t="s">
        <v>12556</v>
      </c>
      <c r="D4898" s="8">
        <f t="shared" si="308"/>
        <v>1</v>
      </c>
      <c r="E4898" s="7" t="s">
        <v>12557</v>
      </c>
      <c r="F4898" s="7">
        <f t="shared" si="309"/>
        <v>2</v>
      </c>
      <c r="G4898" s="7" t="s">
        <v>12558</v>
      </c>
      <c r="H4898" s="7">
        <f t="shared" si="310"/>
        <v>0</v>
      </c>
      <c r="I4898" s="7" cm="1">
        <f t="array" ref="I4898">IFERROR(_xlfn.IFS(M4898="נח",1,M4898="נע ונח",1,M4898="שני שווא נח",2,M4898="שני שוואים בסוף מילה",2,M4898="שני שוואים ברצף",1),"0")</f>
        <v>1</v>
      </c>
      <c r="J4898" s="9">
        <f t="shared" si="311"/>
        <v>3</v>
      </c>
      <c r="K4898" t="s">
        <v>6698</v>
      </c>
      <c r="L4898" t="s">
        <v>6694</v>
      </c>
      <c r="M4898" t="s">
        <v>6705</v>
      </c>
      <c r="P4898" t="s">
        <v>6694</v>
      </c>
      <c r="S4898" t="s">
        <v>6694</v>
      </c>
      <c r="V4898" t="s">
        <v>6694</v>
      </c>
      <c r="W4898" t="s">
        <v>6720</v>
      </c>
    </row>
    <row r="4899" spans="1:23" ht="15.6" x14ac:dyDescent="0.4">
      <c r="A4899" s="2" t="s">
        <v>2682</v>
      </c>
      <c r="B4899" s="5" t="s">
        <v>11041</v>
      </c>
      <c r="C4899" s="7" t="s">
        <v>12556</v>
      </c>
      <c r="D4899" s="8">
        <f t="shared" si="308"/>
        <v>1</v>
      </c>
      <c r="E4899" s="7" t="s">
        <v>12557</v>
      </c>
      <c r="F4899" s="7">
        <f t="shared" si="309"/>
        <v>1</v>
      </c>
      <c r="G4899" s="7" t="s">
        <v>12558</v>
      </c>
      <c r="H4899" s="7">
        <f t="shared" si="310"/>
        <v>0</v>
      </c>
      <c r="I4899" s="7" cm="1">
        <f t="array" ref="I4899">IFERROR(_xlfn.IFS(M4899="נח",1,M4899="נע ונח",1,M4899="שני שווא נח",2,M4899="שני שוואים בסוף מילה",2,M4899="שני שוואים ברצף",1),"0")</f>
        <v>1</v>
      </c>
      <c r="J4899" s="9">
        <f t="shared" si="311"/>
        <v>2</v>
      </c>
      <c r="K4899" t="s">
        <v>6698</v>
      </c>
      <c r="L4899" t="s">
        <v>6694</v>
      </c>
      <c r="M4899" t="s">
        <v>6705</v>
      </c>
      <c r="P4899" t="s">
        <v>6694</v>
      </c>
      <c r="S4899" t="s">
        <v>6694</v>
      </c>
      <c r="W4899" t="s">
        <v>6720</v>
      </c>
    </row>
    <row r="4900" spans="1:23" ht="15.6" x14ac:dyDescent="0.4">
      <c r="A4900" s="2" t="s">
        <v>1322</v>
      </c>
      <c r="B4900" s="5" t="s">
        <v>11042</v>
      </c>
      <c r="C4900" s="7" t="s">
        <v>12556</v>
      </c>
      <c r="D4900" s="8">
        <f t="shared" si="308"/>
        <v>0</v>
      </c>
      <c r="E4900" s="7" t="s">
        <v>12557</v>
      </c>
      <c r="F4900" s="7">
        <f t="shared" si="309"/>
        <v>1</v>
      </c>
      <c r="G4900" s="7" t="s">
        <v>12558</v>
      </c>
      <c r="H4900" s="7">
        <f t="shared" si="310"/>
        <v>0</v>
      </c>
      <c r="I4900" s="7" t="str" cm="1">
        <f t="array" ref="I4900">IFERROR(_xlfn.IFS(M4900="נח",1,M4900="נע ונח",1,M4900="שני שווא נח",2,M4900="שני שוואים בסוף מילה",2,M4900="שני שוואים ברצף",1),"0")</f>
        <v>0</v>
      </c>
      <c r="J4900" s="9">
        <f t="shared" si="311"/>
        <v>2</v>
      </c>
      <c r="K4900" t="s">
        <v>6698</v>
      </c>
      <c r="L4900" t="s">
        <v>6695</v>
      </c>
      <c r="P4900" t="s">
        <v>6694</v>
      </c>
      <c r="S4900" t="s">
        <v>6694</v>
      </c>
      <c r="W4900" t="s">
        <v>6720</v>
      </c>
    </row>
    <row r="4901" spans="1:23" ht="15.6" x14ac:dyDescent="0.4">
      <c r="A4901" s="2" t="s">
        <v>4539</v>
      </c>
      <c r="B4901" s="5" t="s">
        <v>11043</v>
      </c>
      <c r="C4901" s="7" t="s">
        <v>12556</v>
      </c>
      <c r="D4901" s="8">
        <f t="shared" si="308"/>
        <v>0</v>
      </c>
      <c r="E4901" s="7" t="s">
        <v>12557</v>
      </c>
      <c r="F4901" s="7">
        <f t="shared" si="309"/>
        <v>1</v>
      </c>
      <c r="G4901" s="7" t="s">
        <v>12558</v>
      </c>
      <c r="H4901" s="7">
        <f t="shared" si="310"/>
        <v>0</v>
      </c>
      <c r="I4901" s="7" t="str" cm="1">
        <f t="array" ref="I4901">IFERROR(_xlfn.IFS(M4901="נח",1,M4901="נע ונח",1,M4901="שני שווא נח",2,M4901="שני שוואים בסוף מילה",2,M4901="שני שוואים ברצף",1),"0")</f>
        <v>0</v>
      </c>
      <c r="J4901" s="9">
        <f t="shared" si="311"/>
        <v>3</v>
      </c>
      <c r="K4901" t="s">
        <v>6698</v>
      </c>
      <c r="L4901" t="s">
        <v>6695</v>
      </c>
      <c r="O4901" t="s">
        <v>6694</v>
      </c>
      <c r="P4901" t="s">
        <v>6694</v>
      </c>
      <c r="V4901" t="s">
        <v>6694</v>
      </c>
      <c r="W4901" t="s">
        <v>6720</v>
      </c>
    </row>
    <row r="4902" spans="1:23" ht="15.6" x14ac:dyDescent="0.4">
      <c r="A4902" s="2" t="s">
        <v>1742</v>
      </c>
      <c r="B4902" s="5" t="s">
        <v>11044</v>
      </c>
      <c r="C4902" s="7" t="s">
        <v>12556</v>
      </c>
      <c r="D4902" s="8">
        <f t="shared" si="308"/>
        <v>0</v>
      </c>
      <c r="E4902" s="7" t="s">
        <v>12557</v>
      </c>
      <c r="F4902" s="7">
        <f t="shared" si="309"/>
        <v>1</v>
      </c>
      <c r="G4902" s="7" t="s">
        <v>12558</v>
      </c>
      <c r="H4902" s="7">
        <f t="shared" si="310"/>
        <v>1</v>
      </c>
      <c r="I4902" s="7" t="str" cm="1">
        <f t="array" ref="I4902">IFERROR(_xlfn.IFS(M4902="נח",1,M4902="נע ונח",1,M4902="שני שווא נח",2,M4902="שני שוואים בסוף מילה",2,M4902="שני שוואים ברצף",1),"0")</f>
        <v>0</v>
      </c>
      <c r="J4902" s="9">
        <f t="shared" si="311"/>
        <v>3</v>
      </c>
      <c r="K4902" t="s">
        <v>6697</v>
      </c>
      <c r="L4902" t="s">
        <v>6695</v>
      </c>
      <c r="O4902" t="s">
        <v>6694</v>
      </c>
      <c r="P4902" t="s">
        <v>6694</v>
      </c>
      <c r="U4902" t="s">
        <v>6694</v>
      </c>
      <c r="W4902" t="s">
        <v>6720</v>
      </c>
    </row>
    <row r="4903" spans="1:23" ht="15.6" x14ac:dyDescent="0.4">
      <c r="A4903" s="2" t="s">
        <v>5680</v>
      </c>
      <c r="B4903" s="5" t="s">
        <v>11045</v>
      </c>
      <c r="C4903" s="7" t="s">
        <v>12556</v>
      </c>
      <c r="D4903" s="8">
        <f t="shared" si="308"/>
        <v>0</v>
      </c>
      <c r="E4903" s="7" t="s">
        <v>12557</v>
      </c>
      <c r="F4903" s="7">
        <f t="shared" si="309"/>
        <v>0</v>
      </c>
      <c r="G4903" s="7" t="s">
        <v>12558</v>
      </c>
      <c r="H4903" s="7">
        <f t="shared" si="310"/>
        <v>0</v>
      </c>
      <c r="I4903" s="7" t="str" cm="1">
        <f t="array" ref="I4903">IFERROR(_xlfn.IFS(M4903="נח",1,M4903="נע ונח",1,M4903="שני שווא נח",2,M4903="שני שוואים בסוף מילה",2,M4903="שני שוואים ברצף",1),"0")</f>
        <v>0</v>
      </c>
      <c r="J4903" s="9">
        <f t="shared" si="311"/>
        <v>2</v>
      </c>
      <c r="K4903" t="s">
        <v>6698</v>
      </c>
      <c r="L4903" t="s">
        <v>6695</v>
      </c>
      <c r="O4903" t="s">
        <v>6694</v>
      </c>
      <c r="V4903" t="s">
        <v>6694</v>
      </c>
      <c r="W4903" t="s">
        <v>6720</v>
      </c>
    </row>
    <row r="4904" spans="1:23" ht="15.6" x14ac:dyDescent="0.4">
      <c r="A4904" s="2" t="s">
        <v>2916</v>
      </c>
      <c r="B4904" s="5" t="s">
        <v>11046</v>
      </c>
      <c r="C4904" s="7" t="s">
        <v>12556</v>
      </c>
      <c r="D4904" s="8">
        <f t="shared" si="308"/>
        <v>0</v>
      </c>
      <c r="E4904" s="7" t="s">
        <v>12557</v>
      </c>
      <c r="F4904" s="7">
        <f t="shared" si="309"/>
        <v>1</v>
      </c>
      <c r="G4904" s="7" t="s">
        <v>12558</v>
      </c>
      <c r="H4904" s="7">
        <f t="shared" si="310"/>
        <v>0</v>
      </c>
      <c r="I4904" s="7" t="str" cm="1">
        <f t="array" ref="I4904">IFERROR(_xlfn.IFS(M4904="נח",1,M4904="נע ונח",1,M4904="שני שווא נח",2,M4904="שני שוואים בסוף מילה",2,M4904="שני שוואים ברצף",1),"0")</f>
        <v>0</v>
      </c>
      <c r="J4904" s="9">
        <f t="shared" si="311"/>
        <v>3</v>
      </c>
      <c r="K4904" t="s">
        <v>6697</v>
      </c>
      <c r="L4904" t="s">
        <v>6695</v>
      </c>
      <c r="O4904" t="s">
        <v>6694</v>
      </c>
      <c r="S4904" t="s">
        <v>6694</v>
      </c>
      <c r="W4904" t="s">
        <v>6720</v>
      </c>
    </row>
    <row r="4905" spans="1:23" ht="15.6" x14ac:dyDescent="0.4">
      <c r="A4905" s="2" t="s">
        <v>3812</v>
      </c>
      <c r="B4905" s="5" t="s">
        <v>11046</v>
      </c>
      <c r="C4905" s="7" t="s">
        <v>12556</v>
      </c>
      <c r="D4905" s="8">
        <f t="shared" si="308"/>
        <v>0</v>
      </c>
      <c r="E4905" s="7" t="s">
        <v>12557</v>
      </c>
      <c r="F4905" s="7">
        <f t="shared" si="309"/>
        <v>1</v>
      </c>
      <c r="G4905" s="7" t="s">
        <v>12558</v>
      </c>
      <c r="H4905" s="7">
        <f t="shared" si="310"/>
        <v>0</v>
      </c>
      <c r="I4905" s="7" t="str" cm="1">
        <f t="array" ref="I4905">IFERROR(_xlfn.IFS(M4905="נח",1,M4905="נע ונח",1,M4905="שני שווא נח",2,M4905="שני שוואים בסוף מילה",2,M4905="שני שוואים ברצף",1),"0")</f>
        <v>0</v>
      </c>
      <c r="J4905" s="9">
        <f t="shared" si="311"/>
        <v>3</v>
      </c>
      <c r="K4905" t="s">
        <v>6698</v>
      </c>
      <c r="L4905" t="s">
        <v>6695</v>
      </c>
      <c r="O4905" t="s">
        <v>6694</v>
      </c>
      <c r="Q4905" t="s">
        <v>6694</v>
      </c>
      <c r="S4905" t="s">
        <v>6694</v>
      </c>
      <c r="W4905" t="s">
        <v>6720</v>
      </c>
    </row>
    <row r="4906" spans="1:23" ht="15.6" x14ac:dyDescent="0.4">
      <c r="A4906" s="2" t="s">
        <v>4203</v>
      </c>
      <c r="B4906" s="5" t="s">
        <v>11047</v>
      </c>
      <c r="C4906" s="7" t="s">
        <v>12556</v>
      </c>
      <c r="D4906" s="8">
        <f t="shared" si="308"/>
        <v>0</v>
      </c>
      <c r="E4906" s="7" t="s">
        <v>12557</v>
      </c>
      <c r="F4906" s="7">
        <f t="shared" si="309"/>
        <v>2</v>
      </c>
      <c r="G4906" s="7" t="s">
        <v>12558</v>
      </c>
      <c r="H4906" s="7">
        <f t="shared" si="310"/>
        <v>1</v>
      </c>
      <c r="I4906" s="7" t="str" cm="1">
        <f t="array" ref="I4906">IFERROR(_xlfn.IFS(M4906="נח",1,M4906="נע ונח",1,M4906="שני שווא נח",2,M4906="שני שוואים בסוף מילה",2,M4906="שני שוואים ברצף",1),"0")</f>
        <v>0</v>
      </c>
      <c r="J4906" s="9">
        <f t="shared" si="311"/>
        <v>4</v>
      </c>
      <c r="K4906" t="s">
        <v>6697</v>
      </c>
      <c r="L4906" t="s">
        <v>6695</v>
      </c>
      <c r="O4906" t="s">
        <v>6694</v>
      </c>
      <c r="Q4906" t="s">
        <v>6694</v>
      </c>
      <c r="S4906" t="s">
        <v>6694</v>
      </c>
      <c r="U4906" t="s">
        <v>6694</v>
      </c>
      <c r="W4906" t="s">
        <v>6720</v>
      </c>
    </row>
    <row r="4907" spans="1:23" ht="15.6" x14ac:dyDescent="0.4">
      <c r="A4907" s="2" t="s">
        <v>945</v>
      </c>
      <c r="B4907" s="5" t="s">
        <v>11048</v>
      </c>
      <c r="C4907" s="7" t="s">
        <v>12556</v>
      </c>
      <c r="D4907" s="8">
        <f t="shared" si="308"/>
        <v>0</v>
      </c>
      <c r="E4907" s="7" t="s">
        <v>12557</v>
      </c>
      <c r="F4907" s="7">
        <f t="shared" si="309"/>
        <v>0</v>
      </c>
      <c r="G4907" s="7" t="s">
        <v>12558</v>
      </c>
      <c r="H4907" s="7">
        <f t="shared" si="310"/>
        <v>0</v>
      </c>
      <c r="I4907" s="7" t="str" cm="1">
        <f t="array" ref="I4907">IFERROR(_xlfn.IFS(M4907="נח",1,M4907="נע ונח",1,M4907="שני שווא נח",2,M4907="שני שוואים בסוף מילה",2,M4907="שני שוואים ברצף",1),"0")</f>
        <v>0</v>
      </c>
      <c r="J4907" s="9">
        <f t="shared" si="311"/>
        <v>2</v>
      </c>
      <c r="K4907" t="s">
        <v>6698</v>
      </c>
      <c r="L4907" t="s">
        <v>6695</v>
      </c>
      <c r="O4907" t="s">
        <v>6694</v>
      </c>
      <c r="Q4907" t="s">
        <v>6694</v>
      </c>
      <c r="W4907" t="s">
        <v>6720</v>
      </c>
    </row>
    <row r="4908" spans="1:23" ht="15.6" x14ac:dyDescent="0.4">
      <c r="A4908" s="2" t="s">
        <v>3399</v>
      </c>
      <c r="B4908" s="5" t="s">
        <v>11049</v>
      </c>
      <c r="C4908" s="7" t="s">
        <v>12556</v>
      </c>
      <c r="D4908" s="8">
        <f t="shared" si="308"/>
        <v>0</v>
      </c>
      <c r="E4908" s="7" t="s">
        <v>12557</v>
      </c>
      <c r="F4908" s="7">
        <f t="shared" si="309"/>
        <v>0</v>
      </c>
      <c r="G4908" s="7" t="s">
        <v>12558</v>
      </c>
      <c r="H4908" s="7">
        <f t="shared" si="310"/>
        <v>0</v>
      </c>
      <c r="I4908" s="7" t="str" cm="1">
        <f t="array" ref="I4908">IFERROR(_xlfn.IFS(M4908="נח",1,M4908="נע ונח",1,M4908="שני שווא נח",2,M4908="שני שוואים בסוף מילה",2,M4908="שני שוואים ברצף",1),"0")</f>
        <v>0</v>
      </c>
      <c r="J4908" s="9">
        <f t="shared" si="311"/>
        <v>2</v>
      </c>
      <c r="K4908" t="s">
        <v>6698</v>
      </c>
      <c r="L4908" t="s">
        <v>6695</v>
      </c>
      <c r="O4908" t="s">
        <v>6694</v>
      </c>
      <c r="V4908" t="s">
        <v>6694</v>
      </c>
      <c r="W4908" t="s">
        <v>6720</v>
      </c>
    </row>
    <row r="4909" spans="1:23" ht="15.6" x14ac:dyDescent="0.4">
      <c r="A4909" s="2" t="s">
        <v>4795</v>
      </c>
      <c r="B4909" s="5" t="s">
        <v>11050</v>
      </c>
      <c r="C4909" s="7" t="s">
        <v>12556</v>
      </c>
      <c r="D4909" s="8">
        <f t="shared" si="308"/>
        <v>0</v>
      </c>
      <c r="E4909" s="7" t="s">
        <v>12557</v>
      </c>
      <c r="F4909" s="7">
        <f t="shared" si="309"/>
        <v>0</v>
      </c>
      <c r="G4909" s="7" t="s">
        <v>12558</v>
      </c>
      <c r="H4909" s="7">
        <f t="shared" si="310"/>
        <v>0</v>
      </c>
      <c r="I4909" s="7" t="str" cm="1">
        <f t="array" ref="I4909">IFERROR(_xlfn.IFS(M4909="נח",1,M4909="נע ונח",1,M4909="שני שווא נח",2,M4909="שני שוואים בסוף מילה",2,M4909="שני שוואים ברצף",1),"0")</f>
        <v>0</v>
      </c>
      <c r="J4909" s="9">
        <f t="shared" si="311"/>
        <v>2</v>
      </c>
      <c r="K4909" t="s">
        <v>6698</v>
      </c>
      <c r="L4909" t="s">
        <v>6695</v>
      </c>
      <c r="O4909" t="s">
        <v>6694</v>
      </c>
      <c r="V4909" t="s">
        <v>6694</v>
      </c>
      <c r="W4909" t="s">
        <v>6720</v>
      </c>
    </row>
    <row r="4910" spans="1:23" ht="15.6" x14ac:dyDescent="0.4">
      <c r="A4910" s="2" t="s">
        <v>362</v>
      </c>
      <c r="B4910" s="5" t="s">
        <v>10972</v>
      </c>
      <c r="C4910" s="7" t="s">
        <v>12556</v>
      </c>
      <c r="D4910" s="8">
        <f t="shared" si="308"/>
        <v>0</v>
      </c>
      <c r="E4910" s="7" t="s">
        <v>12557</v>
      </c>
      <c r="F4910" s="7">
        <f t="shared" si="309"/>
        <v>0</v>
      </c>
      <c r="G4910" s="7" t="s">
        <v>12558</v>
      </c>
      <c r="H4910" s="7">
        <f t="shared" si="310"/>
        <v>0</v>
      </c>
      <c r="I4910" s="7" t="str" cm="1">
        <f t="array" ref="I4910">IFERROR(_xlfn.IFS(M4910="נח",1,M4910="נע ונח",1,M4910="שני שווא נח",2,M4910="שני שוואים בסוף מילה",2,M4910="שני שוואים ברצף",1),"0")</f>
        <v>0</v>
      </c>
      <c r="J4910" s="9">
        <f t="shared" si="311"/>
        <v>1</v>
      </c>
      <c r="K4910" t="s">
        <v>6697</v>
      </c>
      <c r="L4910" t="s">
        <v>6695</v>
      </c>
      <c r="O4910" t="s">
        <v>6694</v>
      </c>
      <c r="W4910" t="s">
        <v>6720</v>
      </c>
    </row>
    <row r="4911" spans="1:23" ht="15.6" x14ac:dyDescent="0.4">
      <c r="A4911" s="2" t="s">
        <v>6389</v>
      </c>
      <c r="B4911" s="5" t="s">
        <v>11051</v>
      </c>
      <c r="C4911" s="7" t="s">
        <v>12556</v>
      </c>
      <c r="D4911" s="8">
        <f t="shared" si="308"/>
        <v>0</v>
      </c>
      <c r="E4911" s="7" t="s">
        <v>12557</v>
      </c>
      <c r="F4911" s="7">
        <f t="shared" si="309"/>
        <v>0</v>
      </c>
      <c r="G4911" s="7" t="s">
        <v>12558</v>
      </c>
      <c r="H4911" s="7">
        <f t="shared" si="310"/>
        <v>0</v>
      </c>
      <c r="I4911" s="7" t="str" cm="1">
        <f t="array" ref="I4911">IFERROR(_xlfn.IFS(M4911="נח",1,M4911="נע ונח",1,M4911="שני שווא נח",2,M4911="שני שוואים בסוף מילה",2,M4911="שני שוואים ברצף",1),"0")</f>
        <v>0</v>
      </c>
      <c r="J4911" s="9">
        <f t="shared" si="311"/>
        <v>2</v>
      </c>
      <c r="K4911" t="s">
        <v>6698</v>
      </c>
      <c r="L4911" t="s">
        <v>6695</v>
      </c>
      <c r="O4911" t="s">
        <v>6694</v>
      </c>
      <c r="S4911" t="s">
        <v>6694</v>
      </c>
      <c r="W4911" t="s">
        <v>6720</v>
      </c>
    </row>
    <row r="4912" spans="1:23" ht="15.6" x14ac:dyDescent="0.4">
      <c r="A4912" s="2" t="s">
        <v>3036</v>
      </c>
      <c r="B4912" s="5" t="s">
        <v>10730</v>
      </c>
      <c r="C4912" s="7" t="s">
        <v>12556</v>
      </c>
      <c r="D4912" s="8">
        <f t="shared" si="308"/>
        <v>0</v>
      </c>
      <c r="E4912" s="7" t="s">
        <v>12557</v>
      </c>
      <c r="F4912" s="7">
        <f t="shared" si="309"/>
        <v>1</v>
      </c>
      <c r="G4912" s="7" t="s">
        <v>12558</v>
      </c>
      <c r="H4912" s="7">
        <f t="shared" si="310"/>
        <v>1</v>
      </c>
      <c r="I4912" s="7" t="str" cm="1">
        <f t="array" ref="I4912">IFERROR(_xlfn.IFS(M4912="נח",1,M4912="נע ונח",1,M4912="שני שווא נח",2,M4912="שני שוואים בסוף מילה",2,M4912="שני שוואים ברצף",1),"0")</f>
        <v>0</v>
      </c>
      <c r="J4912" s="9">
        <f t="shared" si="311"/>
        <v>3</v>
      </c>
      <c r="K4912" t="s">
        <v>6697</v>
      </c>
      <c r="L4912" t="s">
        <v>6695</v>
      </c>
      <c r="O4912" t="s">
        <v>6694</v>
      </c>
      <c r="U4912" t="s">
        <v>6694</v>
      </c>
      <c r="W4912" t="s">
        <v>6720</v>
      </c>
    </row>
    <row r="4913" spans="1:23" ht="15.6" x14ac:dyDescent="0.4">
      <c r="A4913" s="2" t="s">
        <v>330</v>
      </c>
      <c r="B4913" s="5" t="s">
        <v>11052</v>
      </c>
      <c r="C4913" s="7" t="s">
        <v>12556</v>
      </c>
      <c r="D4913" s="8">
        <f t="shared" si="308"/>
        <v>0</v>
      </c>
      <c r="E4913" s="7" t="s">
        <v>12557</v>
      </c>
      <c r="F4913" s="7">
        <f t="shared" si="309"/>
        <v>0</v>
      </c>
      <c r="G4913" s="7" t="s">
        <v>12558</v>
      </c>
      <c r="H4913" s="7">
        <f t="shared" si="310"/>
        <v>0</v>
      </c>
      <c r="I4913" s="7" t="str" cm="1">
        <f t="array" ref="I4913">IFERROR(_xlfn.IFS(M4913="נח",1,M4913="נע ונח",1,M4913="שני שווא נח",2,M4913="שני שוואים בסוף מילה",2,M4913="שני שוואים ברצף",1),"0")</f>
        <v>0</v>
      </c>
      <c r="J4913" s="9">
        <f t="shared" si="311"/>
        <v>2</v>
      </c>
      <c r="K4913" t="s">
        <v>6698</v>
      </c>
      <c r="L4913" t="s">
        <v>6695</v>
      </c>
      <c r="O4913" t="s">
        <v>6694</v>
      </c>
      <c r="R4913" t="s">
        <v>6694</v>
      </c>
      <c r="W4913" t="s">
        <v>6720</v>
      </c>
    </row>
    <row r="4914" spans="1:23" ht="15.6" x14ac:dyDescent="0.4">
      <c r="A4914" s="2" t="s">
        <v>3963</v>
      </c>
      <c r="B4914" s="5" t="s">
        <v>11053</v>
      </c>
      <c r="C4914" s="7" t="s">
        <v>12556</v>
      </c>
      <c r="D4914" s="8">
        <f t="shared" si="308"/>
        <v>0</v>
      </c>
      <c r="E4914" s="7" t="s">
        <v>12557</v>
      </c>
      <c r="F4914" s="7">
        <f t="shared" si="309"/>
        <v>0</v>
      </c>
      <c r="G4914" s="7" t="s">
        <v>12558</v>
      </c>
      <c r="H4914" s="7">
        <f t="shared" si="310"/>
        <v>0</v>
      </c>
      <c r="I4914" s="7" t="str" cm="1">
        <f t="array" ref="I4914">IFERROR(_xlfn.IFS(M4914="נח",1,M4914="נע ונח",1,M4914="שני שווא נח",2,M4914="שני שוואים בסוף מילה",2,M4914="שני שוואים ברצף",1),"0")</f>
        <v>0</v>
      </c>
      <c r="J4914" s="9">
        <f t="shared" si="311"/>
        <v>3</v>
      </c>
      <c r="K4914" t="s">
        <v>6698</v>
      </c>
      <c r="L4914" t="s">
        <v>6695</v>
      </c>
      <c r="O4914" t="s">
        <v>6694</v>
      </c>
      <c r="P4914" t="s">
        <v>6694</v>
      </c>
      <c r="W4914" t="s">
        <v>6720</v>
      </c>
    </row>
    <row r="4915" spans="1:23" ht="15.6" x14ac:dyDescent="0.4">
      <c r="A4915" s="2" t="s">
        <v>2383</v>
      </c>
      <c r="B4915" s="5" t="s">
        <v>11054</v>
      </c>
      <c r="C4915" s="7" t="s">
        <v>12556</v>
      </c>
      <c r="D4915" s="8">
        <f t="shared" si="308"/>
        <v>0</v>
      </c>
      <c r="E4915" s="7" t="s">
        <v>12557</v>
      </c>
      <c r="F4915" s="7">
        <f t="shared" si="309"/>
        <v>0</v>
      </c>
      <c r="G4915" s="7" t="s">
        <v>12558</v>
      </c>
      <c r="H4915" s="7">
        <f t="shared" si="310"/>
        <v>0</v>
      </c>
      <c r="I4915" s="7" t="str" cm="1">
        <f t="array" ref="I4915">IFERROR(_xlfn.IFS(M4915="נח",1,M4915="נע ונח",1,M4915="שני שווא נח",2,M4915="שני שוואים בסוף מילה",2,M4915="שני שוואים ברצף",1),"0")</f>
        <v>0</v>
      </c>
      <c r="J4915" s="9">
        <f t="shared" si="311"/>
        <v>3</v>
      </c>
      <c r="K4915" t="s">
        <v>6698</v>
      </c>
      <c r="L4915" t="s">
        <v>6695</v>
      </c>
      <c r="O4915" t="s">
        <v>6694</v>
      </c>
      <c r="S4915" t="s">
        <v>6694</v>
      </c>
      <c r="W4915" t="s">
        <v>6720</v>
      </c>
    </row>
    <row r="4916" spans="1:23" ht="15.6" x14ac:dyDescent="0.4">
      <c r="A4916" s="2" t="s">
        <v>2883</v>
      </c>
      <c r="B4916" s="5" t="s">
        <v>10931</v>
      </c>
      <c r="C4916" s="7" t="s">
        <v>12556</v>
      </c>
      <c r="D4916" s="8">
        <f t="shared" si="308"/>
        <v>0</v>
      </c>
      <c r="E4916" s="7" t="s">
        <v>12557</v>
      </c>
      <c r="F4916" s="7">
        <f t="shared" si="309"/>
        <v>0</v>
      </c>
      <c r="G4916" s="7" t="s">
        <v>12558</v>
      </c>
      <c r="H4916" s="7">
        <f t="shared" si="310"/>
        <v>0</v>
      </c>
      <c r="I4916" s="7" t="str" cm="1">
        <f t="array" ref="I4916">IFERROR(_xlfn.IFS(M4916="נח",1,M4916="נע ונח",1,M4916="שני שווא נח",2,M4916="שני שוואים בסוף מילה",2,M4916="שני שוואים ברצף",1),"0")</f>
        <v>0</v>
      </c>
      <c r="J4916" s="9">
        <f t="shared" si="311"/>
        <v>2</v>
      </c>
      <c r="K4916" t="s">
        <v>6698</v>
      </c>
      <c r="L4916" t="s">
        <v>6695</v>
      </c>
      <c r="O4916" t="s">
        <v>6694</v>
      </c>
      <c r="P4916" t="s">
        <v>6694</v>
      </c>
      <c r="W4916" t="s">
        <v>6720</v>
      </c>
    </row>
    <row r="4917" spans="1:23" ht="15.6" x14ac:dyDescent="0.4">
      <c r="A4917" s="2" t="s">
        <v>131</v>
      </c>
      <c r="B4917" s="5" t="s">
        <v>10998</v>
      </c>
      <c r="C4917" s="7" t="s">
        <v>12556</v>
      </c>
      <c r="D4917" s="8">
        <f t="shared" si="308"/>
        <v>0</v>
      </c>
      <c r="E4917" s="7" t="s">
        <v>12557</v>
      </c>
      <c r="F4917" s="7">
        <f t="shared" si="309"/>
        <v>0</v>
      </c>
      <c r="G4917" s="7" t="s">
        <v>12558</v>
      </c>
      <c r="H4917" s="7">
        <f t="shared" si="310"/>
        <v>0</v>
      </c>
      <c r="I4917" s="7" t="str" cm="1">
        <f t="array" ref="I4917">IFERROR(_xlfn.IFS(M4917="נח",1,M4917="נע ונח",1,M4917="שני שווא נח",2,M4917="שני שוואים בסוף מילה",2,M4917="שני שוואים ברצף",1),"0")</f>
        <v>0</v>
      </c>
      <c r="J4917" s="9">
        <f t="shared" si="311"/>
        <v>2</v>
      </c>
      <c r="K4917" t="s">
        <v>6697</v>
      </c>
      <c r="L4917" t="s">
        <v>6695</v>
      </c>
      <c r="O4917" t="s">
        <v>6694</v>
      </c>
      <c r="W4917" t="s">
        <v>6720</v>
      </c>
    </row>
    <row r="4918" spans="1:23" ht="15.6" x14ac:dyDescent="0.4">
      <c r="A4918" s="2" t="s">
        <v>1358</v>
      </c>
      <c r="B4918" s="5" t="s">
        <v>11055</v>
      </c>
      <c r="C4918" s="7" t="s">
        <v>12556</v>
      </c>
      <c r="D4918" s="8">
        <f t="shared" si="308"/>
        <v>0</v>
      </c>
      <c r="E4918" s="7" t="s">
        <v>12557</v>
      </c>
      <c r="F4918" s="7">
        <f t="shared" si="309"/>
        <v>0</v>
      </c>
      <c r="G4918" s="7" t="s">
        <v>12558</v>
      </c>
      <c r="H4918" s="7">
        <f t="shared" si="310"/>
        <v>0</v>
      </c>
      <c r="I4918" s="7" t="str" cm="1">
        <f t="array" ref="I4918">IFERROR(_xlfn.IFS(M4918="נח",1,M4918="נע ונח",1,M4918="שני שווא נח",2,M4918="שני שוואים בסוף מילה",2,M4918="שני שוואים ברצף",1),"0")</f>
        <v>0</v>
      </c>
      <c r="J4918" s="9">
        <f t="shared" si="311"/>
        <v>2</v>
      </c>
      <c r="K4918" t="s">
        <v>6698</v>
      </c>
      <c r="L4918" t="s">
        <v>6695</v>
      </c>
      <c r="N4918" t="s">
        <v>6706</v>
      </c>
      <c r="O4918" t="s">
        <v>6694</v>
      </c>
      <c r="W4918" t="s">
        <v>6720</v>
      </c>
    </row>
    <row r="4919" spans="1:23" ht="15.6" x14ac:dyDescent="0.4">
      <c r="A4919" s="2" t="s">
        <v>3780</v>
      </c>
      <c r="B4919" s="5" t="s">
        <v>11056</v>
      </c>
      <c r="C4919" s="7" t="s">
        <v>12556</v>
      </c>
      <c r="D4919" s="8">
        <f t="shared" si="308"/>
        <v>0</v>
      </c>
      <c r="E4919" s="7" t="s">
        <v>12557</v>
      </c>
      <c r="F4919" s="7">
        <f t="shared" si="309"/>
        <v>1</v>
      </c>
      <c r="G4919" s="7" t="s">
        <v>12558</v>
      </c>
      <c r="H4919" s="7">
        <f t="shared" si="310"/>
        <v>1</v>
      </c>
      <c r="I4919" s="7" t="str" cm="1">
        <f t="array" ref="I4919">IFERROR(_xlfn.IFS(M4919="נח",1,M4919="נע ונח",1,M4919="שני שווא נח",2,M4919="שני שוואים בסוף מילה",2,M4919="שני שוואים ברצף",1),"0")</f>
        <v>0</v>
      </c>
      <c r="J4919" s="9">
        <f t="shared" si="311"/>
        <v>2</v>
      </c>
      <c r="K4919" t="s">
        <v>6697</v>
      </c>
      <c r="L4919" t="s">
        <v>6695</v>
      </c>
      <c r="O4919" t="s">
        <v>6694</v>
      </c>
      <c r="U4919" t="s">
        <v>6694</v>
      </c>
      <c r="W4919" t="s">
        <v>6720</v>
      </c>
    </row>
    <row r="4920" spans="1:23" ht="15.6" x14ac:dyDescent="0.4">
      <c r="A4920" s="2" t="s">
        <v>179</v>
      </c>
      <c r="B4920" s="5" t="s">
        <v>10745</v>
      </c>
      <c r="C4920" s="7" t="s">
        <v>12556</v>
      </c>
      <c r="D4920" s="8">
        <f t="shared" si="308"/>
        <v>0</v>
      </c>
      <c r="E4920" s="7" t="s">
        <v>12557</v>
      </c>
      <c r="F4920" s="7">
        <f t="shared" si="309"/>
        <v>0</v>
      </c>
      <c r="G4920" s="7" t="s">
        <v>12558</v>
      </c>
      <c r="H4920" s="7">
        <f t="shared" si="310"/>
        <v>0</v>
      </c>
      <c r="I4920" s="7" t="str" cm="1">
        <f t="array" ref="I4920">IFERROR(_xlfn.IFS(M4920="נח",1,M4920="נע ונח",1,M4920="שני שווא נח",2,M4920="שני שוואים בסוף מילה",2,M4920="שני שוואים ברצף",1),"0")</f>
        <v>0</v>
      </c>
      <c r="J4920" s="9">
        <f t="shared" si="311"/>
        <v>2</v>
      </c>
      <c r="K4920" t="s">
        <v>6698</v>
      </c>
      <c r="L4920" t="s">
        <v>6695</v>
      </c>
      <c r="N4920" t="s">
        <v>6706</v>
      </c>
      <c r="O4920" t="s">
        <v>6694</v>
      </c>
      <c r="S4920" t="s">
        <v>6694</v>
      </c>
      <c r="W4920" t="s">
        <v>6720</v>
      </c>
    </row>
    <row r="4921" spans="1:23" ht="15.6" x14ac:dyDescent="0.4">
      <c r="A4921" s="2" t="s">
        <v>46</v>
      </c>
      <c r="B4921" s="5" t="s">
        <v>11057</v>
      </c>
      <c r="C4921" s="7" t="s">
        <v>12556</v>
      </c>
      <c r="D4921" s="8">
        <f t="shared" si="308"/>
        <v>0</v>
      </c>
      <c r="E4921" s="7" t="s">
        <v>12557</v>
      </c>
      <c r="F4921" s="7">
        <f t="shared" si="309"/>
        <v>0</v>
      </c>
      <c r="G4921" s="7" t="s">
        <v>12558</v>
      </c>
      <c r="H4921" s="7">
        <f t="shared" si="310"/>
        <v>0</v>
      </c>
      <c r="I4921" s="7" cm="1">
        <f t="array" ref="I4921">IFERROR(_xlfn.IFS(M4921="נח",1,M4921="נע ונח",1,M4921="שני שווא נח",2,M4921="שני שוואים בסוף מילה",2,M4921="שני שוואים ברצף",1),"0")</f>
        <v>1</v>
      </c>
      <c r="J4921" s="9">
        <f t="shared" si="311"/>
        <v>2</v>
      </c>
      <c r="K4921" t="s">
        <v>6697</v>
      </c>
      <c r="L4921" t="s">
        <v>6694</v>
      </c>
      <c r="M4921" t="s">
        <v>6705</v>
      </c>
      <c r="N4921" t="s">
        <v>6706</v>
      </c>
      <c r="O4921" t="s">
        <v>6694</v>
      </c>
      <c r="W4921" t="s">
        <v>6720</v>
      </c>
    </row>
    <row r="4922" spans="1:23" ht="15.6" x14ac:dyDescent="0.4">
      <c r="A4922" s="2" t="s">
        <v>5283</v>
      </c>
      <c r="B4922" s="5" t="s">
        <v>11058</v>
      </c>
      <c r="C4922" s="7" t="s">
        <v>12556</v>
      </c>
      <c r="D4922" s="8">
        <f t="shared" si="308"/>
        <v>0</v>
      </c>
      <c r="E4922" s="7" t="s">
        <v>12557</v>
      </c>
      <c r="F4922" s="7">
        <f t="shared" si="309"/>
        <v>1</v>
      </c>
      <c r="G4922" s="7" t="s">
        <v>12558</v>
      </c>
      <c r="H4922" s="7">
        <f t="shared" si="310"/>
        <v>1</v>
      </c>
      <c r="I4922" s="7" cm="1">
        <f t="array" ref="I4922">IFERROR(_xlfn.IFS(M4922="נח",1,M4922="נע ונח",1,M4922="שני שווא נח",2,M4922="שני שוואים בסוף מילה",2,M4922="שני שוואים ברצף",1),"0")</f>
        <v>1</v>
      </c>
      <c r="J4922" s="9">
        <f t="shared" si="311"/>
        <v>2</v>
      </c>
      <c r="K4922" t="s">
        <v>6697</v>
      </c>
      <c r="L4922" t="s">
        <v>6694</v>
      </c>
      <c r="M4922" t="s">
        <v>6705</v>
      </c>
      <c r="N4922" t="s">
        <v>6706</v>
      </c>
      <c r="O4922" t="s">
        <v>6694</v>
      </c>
      <c r="U4922" t="s">
        <v>6694</v>
      </c>
      <c r="W4922" t="s">
        <v>6720</v>
      </c>
    </row>
    <row r="4923" spans="1:23" ht="15.6" x14ac:dyDescent="0.4">
      <c r="A4923" s="2" t="s">
        <v>2884</v>
      </c>
      <c r="B4923" s="5" t="s">
        <v>10765</v>
      </c>
      <c r="C4923" s="7" t="s">
        <v>12556</v>
      </c>
      <c r="D4923" s="8">
        <f t="shared" si="308"/>
        <v>0</v>
      </c>
      <c r="E4923" s="7" t="s">
        <v>12557</v>
      </c>
      <c r="F4923" s="7">
        <f t="shared" si="309"/>
        <v>0</v>
      </c>
      <c r="G4923" s="7" t="s">
        <v>12558</v>
      </c>
      <c r="H4923" s="7">
        <f t="shared" si="310"/>
        <v>0</v>
      </c>
      <c r="I4923" s="7" t="str" cm="1">
        <f t="array" ref="I4923">IFERROR(_xlfn.IFS(M4923="נח",1,M4923="נע ונח",1,M4923="שני שווא נח",2,M4923="שני שוואים בסוף מילה",2,M4923="שני שוואים ברצף",1),"0")</f>
        <v>0</v>
      </c>
      <c r="J4923" s="9">
        <f t="shared" si="311"/>
        <v>2</v>
      </c>
      <c r="K4923" t="s">
        <v>6697</v>
      </c>
      <c r="L4923" t="s">
        <v>6695</v>
      </c>
      <c r="O4923" t="s">
        <v>6694</v>
      </c>
      <c r="Q4923" t="s">
        <v>6694</v>
      </c>
      <c r="W4923" t="s">
        <v>6720</v>
      </c>
    </row>
    <row r="4924" spans="1:23" ht="15.6" x14ac:dyDescent="0.4">
      <c r="A4924" s="2" t="s">
        <v>3809</v>
      </c>
      <c r="B4924" s="5" t="s">
        <v>10974</v>
      </c>
      <c r="C4924" s="7" t="s">
        <v>12556</v>
      </c>
      <c r="D4924" s="8">
        <f t="shared" si="308"/>
        <v>0</v>
      </c>
      <c r="E4924" s="7" t="s">
        <v>12557</v>
      </c>
      <c r="F4924" s="7">
        <f t="shared" si="309"/>
        <v>0</v>
      </c>
      <c r="G4924" s="7" t="s">
        <v>12558</v>
      </c>
      <c r="H4924" s="7">
        <f t="shared" si="310"/>
        <v>0</v>
      </c>
      <c r="I4924" s="7" cm="1">
        <f t="array" ref="I4924">IFERROR(_xlfn.IFS(M4924="נח",1,M4924="נע ונח",1,M4924="שני שווא נח",2,M4924="שני שוואים בסוף מילה",2,M4924="שני שוואים ברצף",1),"0")</f>
        <v>1</v>
      </c>
      <c r="J4924" s="9">
        <f t="shared" si="311"/>
        <v>2</v>
      </c>
      <c r="K4924" t="s">
        <v>6698</v>
      </c>
      <c r="L4924" t="s">
        <v>6694</v>
      </c>
      <c r="M4924" t="s">
        <v>6705</v>
      </c>
      <c r="O4924" t="s">
        <v>6694</v>
      </c>
      <c r="P4924" t="s">
        <v>6694</v>
      </c>
      <c r="W4924" t="s">
        <v>6720</v>
      </c>
    </row>
    <row r="4925" spans="1:23" ht="15.6" x14ac:dyDescent="0.4">
      <c r="A4925" s="2" t="s">
        <v>2176</v>
      </c>
      <c r="B4925" s="5" t="s">
        <v>10974</v>
      </c>
      <c r="C4925" s="7" t="s">
        <v>12556</v>
      </c>
      <c r="D4925" s="8">
        <f t="shared" si="308"/>
        <v>0</v>
      </c>
      <c r="E4925" s="7" t="s">
        <v>12557</v>
      </c>
      <c r="F4925" s="7">
        <f t="shared" si="309"/>
        <v>0</v>
      </c>
      <c r="G4925" s="7" t="s">
        <v>12558</v>
      </c>
      <c r="H4925" s="7">
        <f t="shared" si="310"/>
        <v>0</v>
      </c>
      <c r="I4925" s="7" cm="1">
        <f t="array" ref="I4925">IFERROR(_xlfn.IFS(M4925="נח",1,M4925="נע ונח",1,M4925="שני שווא נח",2,M4925="שני שוואים בסוף מילה",2,M4925="שני שוואים ברצף",1),"0")</f>
        <v>1</v>
      </c>
      <c r="J4925" s="9">
        <f t="shared" si="311"/>
        <v>2</v>
      </c>
      <c r="K4925" t="s">
        <v>6698</v>
      </c>
      <c r="L4925" t="s">
        <v>6694</v>
      </c>
      <c r="M4925" t="s">
        <v>6705</v>
      </c>
      <c r="N4925" t="s">
        <v>6706</v>
      </c>
      <c r="O4925" t="s">
        <v>6694</v>
      </c>
      <c r="W4925" t="s">
        <v>6720</v>
      </c>
    </row>
    <row r="4926" spans="1:23" ht="15.6" x14ac:dyDescent="0.4">
      <c r="A4926" s="2" t="s">
        <v>5768</v>
      </c>
      <c r="B4926" s="5" t="s">
        <v>10797</v>
      </c>
      <c r="C4926" s="7" t="s">
        <v>12556</v>
      </c>
      <c r="D4926" s="8">
        <f t="shared" si="308"/>
        <v>0</v>
      </c>
      <c r="E4926" s="7" t="s">
        <v>12557</v>
      </c>
      <c r="F4926" s="7">
        <f t="shared" si="309"/>
        <v>0</v>
      </c>
      <c r="G4926" s="7" t="s">
        <v>12558</v>
      </c>
      <c r="H4926" s="7">
        <f t="shared" si="310"/>
        <v>0</v>
      </c>
      <c r="I4926" s="7" t="str" cm="1">
        <f t="array" ref="I4926">IFERROR(_xlfn.IFS(M4926="נח",1,M4926="נע ונח",1,M4926="שני שווא נח",2,M4926="שני שוואים בסוף מילה",2,M4926="שני שוואים ברצף",1),"0")</f>
        <v>0</v>
      </c>
      <c r="J4926" s="9">
        <f t="shared" si="311"/>
        <v>1</v>
      </c>
      <c r="K4926" t="s">
        <v>6698</v>
      </c>
      <c r="L4926" t="s">
        <v>6695</v>
      </c>
      <c r="N4926" t="s">
        <v>6706</v>
      </c>
      <c r="O4926" t="s">
        <v>6694</v>
      </c>
      <c r="W4926" t="s">
        <v>6720</v>
      </c>
    </row>
    <row r="4927" spans="1:23" ht="15.6" x14ac:dyDescent="0.4">
      <c r="A4927" s="2" t="s">
        <v>3321</v>
      </c>
      <c r="B4927" s="5" t="s">
        <v>11059</v>
      </c>
      <c r="C4927" s="7" t="s">
        <v>12556</v>
      </c>
      <c r="D4927" s="8">
        <f t="shared" si="308"/>
        <v>0</v>
      </c>
      <c r="E4927" s="7" t="s">
        <v>12557</v>
      </c>
      <c r="F4927" s="7">
        <f t="shared" si="309"/>
        <v>1</v>
      </c>
      <c r="G4927" s="7" t="s">
        <v>12558</v>
      </c>
      <c r="H4927" s="7">
        <f t="shared" si="310"/>
        <v>0</v>
      </c>
      <c r="I4927" s="7" cm="1">
        <f t="array" ref="I4927">IFERROR(_xlfn.IFS(M4927="נח",1,M4927="נע ונח",1,M4927="שני שווא נח",2,M4927="שני שוואים בסוף מילה",2,M4927="שני שוואים ברצף",1),"0")</f>
        <v>1</v>
      </c>
      <c r="J4927" s="9">
        <f t="shared" si="311"/>
        <v>3</v>
      </c>
      <c r="K4927" t="s">
        <v>6698</v>
      </c>
      <c r="L4927" t="s">
        <v>6694</v>
      </c>
      <c r="M4927" t="s">
        <v>6705</v>
      </c>
      <c r="O4927" t="s">
        <v>6694</v>
      </c>
      <c r="P4927" t="s">
        <v>6694</v>
      </c>
      <c r="W4927" t="s">
        <v>6720</v>
      </c>
    </row>
    <row r="4928" spans="1:23" ht="15.6" x14ac:dyDescent="0.4">
      <c r="A4928" s="2" t="s">
        <v>5864</v>
      </c>
      <c r="B4928" s="5" t="s">
        <v>11060</v>
      </c>
      <c r="C4928" s="7" t="s">
        <v>12556</v>
      </c>
      <c r="D4928" s="8">
        <f t="shared" si="308"/>
        <v>0</v>
      </c>
      <c r="E4928" s="7" t="s">
        <v>12557</v>
      </c>
      <c r="F4928" s="7">
        <f t="shared" si="309"/>
        <v>0</v>
      </c>
      <c r="G4928" s="7" t="s">
        <v>12558</v>
      </c>
      <c r="H4928" s="7">
        <f t="shared" si="310"/>
        <v>0</v>
      </c>
      <c r="I4928" s="7" t="str" cm="1">
        <f t="array" ref="I4928">IFERROR(_xlfn.IFS(M4928="נח",1,M4928="נע ונח",1,M4928="שני שווא נח",2,M4928="שני שוואים בסוף מילה",2,M4928="שני שוואים ברצף",1),"0")</f>
        <v>0</v>
      </c>
      <c r="J4928" s="9">
        <f t="shared" si="311"/>
        <v>2</v>
      </c>
      <c r="K4928" t="s">
        <v>6698</v>
      </c>
      <c r="L4928" t="s">
        <v>6695</v>
      </c>
      <c r="O4928" t="s">
        <v>6694</v>
      </c>
      <c r="V4928" t="s">
        <v>6694</v>
      </c>
      <c r="W4928" t="s">
        <v>6720</v>
      </c>
    </row>
    <row r="4929" spans="1:23" ht="15.6" x14ac:dyDescent="0.4">
      <c r="A4929" s="2" t="s">
        <v>4575</v>
      </c>
      <c r="B4929" s="5" t="s">
        <v>11061</v>
      </c>
      <c r="C4929" s="7" t="s">
        <v>12556</v>
      </c>
      <c r="D4929" s="8">
        <f t="shared" si="308"/>
        <v>0</v>
      </c>
      <c r="E4929" s="7" t="s">
        <v>12557</v>
      </c>
      <c r="F4929" s="7">
        <f t="shared" si="309"/>
        <v>0</v>
      </c>
      <c r="G4929" s="7" t="s">
        <v>12558</v>
      </c>
      <c r="H4929" s="7">
        <f t="shared" si="310"/>
        <v>0</v>
      </c>
      <c r="I4929" s="7" t="str" cm="1">
        <f t="array" ref="I4929">IFERROR(_xlfn.IFS(M4929="נח",1,M4929="נע ונח",1,M4929="שני שווא נח",2,M4929="שני שוואים בסוף מילה",2,M4929="שני שוואים ברצף",1),"0")</f>
        <v>0</v>
      </c>
      <c r="J4929" s="9">
        <f t="shared" si="311"/>
        <v>3</v>
      </c>
      <c r="K4929" t="s">
        <v>6698</v>
      </c>
      <c r="L4929" t="s">
        <v>6695</v>
      </c>
      <c r="N4929" t="s">
        <v>6706</v>
      </c>
      <c r="O4929" t="s">
        <v>6694</v>
      </c>
      <c r="W4929" t="s">
        <v>6720</v>
      </c>
    </row>
    <row r="4930" spans="1:23" ht="15.6" x14ac:dyDescent="0.4">
      <c r="A4930" s="2" t="s">
        <v>2080</v>
      </c>
      <c r="B4930" s="5" t="s">
        <v>11062</v>
      </c>
      <c r="C4930" s="7" t="s">
        <v>12556</v>
      </c>
      <c r="D4930" s="8">
        <f t="shared" si="308"/>
        <v>0</v>
      </c>
      <c r="E4930" s="7" t="s">
        <v>12557</v>
      </c>
      <c r="F4930" s="7">
        <f t="shared" si="309"/>
        <v>0</v>
      </c>
      <c r="G4930" s="7" t="s">
        <v>12558</v>
      </c>
      <c r="H4930" s="7">
        <f t="shared" si="310"/>
        <v>0</v>
      </c>
      <c r="I4930" s="7" t="str" cm="1">
        <f t="array" ref="I4930">IFERROR(_xlfn.IFS(M4930="נח",1,M4930="נע ונח",1,M4930="שני שווא נח",2,M4930="שני שוואים בסוף מילה",2,M4930="שני שוואים ברצף",1),"0")</f>
        <v>0</v>
      </c>
      <c r="J4930" s="9">
        <f t="shared" si="311"/>
        <v>2</v>
      </c>
      <c r="K4930" t="s">
        <v>6698</v>
      </c>
      <c r="L4930" t="s">
        <v>6695</v>
      </c>
      <c r="O4930" t="s">
        <v>6694</v>
      </c>
      <c r="V4930" t="s">
        <v>6694</v>
      </c>
      <c r="W4930" t="s">
        <v>6720</v>
      </c>
    </row>
    <row r="4931" spans="1:23" ht="15.6" x14ac:dyDescent="0.4">
      <c r="A4931" s="2" t="s">
        <v>2607</v>
      </c>
      <c r="B4931" s="5" t="s">
        <v>11063</v>
      </c>
      <c r="C4931" s="7" t="s">
        <v>12556</v>
      </c>
      <c r="D4931" s="8">
        <f t="shared" ref="D4931:D4994" si="312">(LEN(B4931)-LEN(SUBSTITUTE(B4931,C4931,"")))</f>
        <v>0</v>
      </c>
      <c r="E4931" s="7" t="s">
        <v>12557</v>
      </c>
      <c r="F4931" s="7">
        <f t="shared" ref="F4931:F4994" si="313">(LEN(A4931)-LEN(SUBSTITUTE(A4931,E4931,"")))</f>
        <v>0</v>
      </c>
      <c r="G4931" s="7" t="s">
        <v>12558</v>
      </c>
      <c r="H4931" s="7">
        <f t="shared" ref="H4931:H4994" si="314">(LEN(A4931)-LEN(SUBSTITUTE(A4931,G4931,"")))/2</f>
        <v>0</v>
      </c>
      <c r="I4931" s="7" t="str" cm="1">
        <f t="array" ref="I4931">IFERROR(_xlfn.IFS(M4931="נח",1,M4931="נע ונח",1,M4931="שני שווא נח",2,M4931="שני שוואים בסוף מילה",2,M4931="שני שוואים ברצף",1),"0")</f>
        <v>0</v>
      </c>
      <c r="J4931" s="9">
        <f t="shared" ref="J4931:J4994" si="315">LEN(A4931)-(LEN(B4931))-D4931-F4931+H4931-I4931</f>
        <v>2</v>
      </c>
      <c r="K4931" t="s">
        <v>6698</v>
      </c>
      <c r="L4931" t="s">
        <v>6695</v>
      </c>
      <c r="O4931" t="s">
        <v>6694</v>
      </c>
      <c r="V4931" t="s">
        <v>6694</v>
      </c>
      <c r="W4931" t="s">
        <v>6720</v>
      </c>
    </row>
    <row r="4932" spans="1:23" ht="15.6" x14ac:dyDescent="0.4">
      <c r="A4932" s="2" t="s">
        <v>459</v>
      </c>
      <c r="B4932" s="5" t="s">
        <v>11064</v>
      </c>
      <c r="C4932" s="7" t="s">
        <v>12556</v>
      </c>
      <c r="D4932" s="8">
        <f t="shared" si="312"/>
        <v>0</v>
      </c>
      <c r="E4932" s="7" t="s">
        <v>12557</v>
      </c>
      <c r="F4932" s="7">
        <f t="shared" si="313"/>
        <v>0</v>
      </c>
      <c r="G4932" s="7" t="s">
        <v>12558</v>
      </c>
      <c r="H4932" s="7">
        <f t="shared" si="314"/>
        <v>0</v>
      </c>
      <c r="I4932" s="7" t="str" cm="1">
        <f t="array" ref="I4932">IFERROR(_xlfn.IFS(M4932="נח",1,M4932="נע ונח",1,M4932="שני שווא נח",2,M4932="שני שוואים בסוף מילה",2,M4932="שני שוואים ברצף",1),"0")</f>
        <v>0</v>
      </c>
      <c r="J4932" s="9">
        <f t="shared" si="315"/>
        <v>2</v>
      </c>
      <c r="K4932" t="s">
        <v>6698</v>
      </c>
      <c r="L4932" t="s">
        <v>6695</v>
      </c>
      <c r="O4932" t="s">
        <v>6694</v>
      </c>
      <c r="V4932" t="s">
        <v>6694</v>
      </c>
      <c r="W4932" t="s">
        <v>6720</v>
      </c>
    </row>
    <row r="4933" spans="1:23" ht="15.6" x14ac:dyDescent="0.4">
      <c r="A4933" s="2" t="s">
        <v>6347</v>
      </c>
      <c r="B4933" s="5" t="s">
        <v>11065</v>
      </c>
      <c r="C4933" s="7" t="s">
        <v>12556</v>
      </c>
      <c r="D4933" s="8">
        <f t="shared" si="312"/>
        <v>0</v>
      </c>
      <c r="E4933" s="7" t="s">
        <v>12557</v>
      </c>
      <c r="F4933" s="7">
        <f t="shared" si="313"/>
        <v>2</v>
      </c>
      <c r="G4933" s="7" t="s">
        <v>12558</v>
      </c>
      <c r="H4933" s="7">
        <f t="shared" si="314"/>
        <v>1</v>
      </c>
      <c r="I4933" s="7" t="str" cm="1">
        <f t="array" ref="I4933">IFERROR(_xlfn.IFS(M4933="נח",1,M4933="נע ונח",1,M4933="שני שווא נח",2,M4933="שני שוואים בסוף מילה",2,M4933="שני שוואים ברצף",1),"0")</f>
        <v>0</v>
      </c>
      <c r="J4933" s="9">
        <f t="shared" si="315"/>
        <v>3</v>
      </c>
      <c r="K4933" t="s">
        <v>6697</v>
      </c>
      <c r="L4933" t="s">
        <v>6695</v>
      </c>
      <c r="O4933" t="s">
        <v>6694</v>
      </c>
      <c r="S4933" t="s">
        <v>6694</v>
      </c>
      <c r="U4933" t="s">
        <v>6694</v>
      </c>
      <c r="W4933" t="s">
        <v>6720</v>
      </c>
    </row>
    <row r="4934" spans="1:23" ht="15.6" x14ac:dyDescent="0.4">
      <c r="A4934" s="2" t="s">
        <v>3956</v>
      </c>
      <c r="B4934" s="5" t="s">
        <v>11066</v>
      </c>
      <c r="C4934" s="7" t="s">
        <v>12556</v>
      </c>
      <c r="D4934" s="8">
        <f t="shared" si="312"/>
        <v>0</v>
      </c>
      <c r="E4934" s="7" t="s">
        <v>12557</v>
      </c>
      <c r="F4934" s="7">
        <f t="shared" si="313"/>
        <v>2</v>
      </c>
      <c r="G4934" s="7" t="s">
        <v>12558</v>
      </c>
      <c r="H4934" s="7">
        <f t="shared" si="314"/>
        <v>1</v>
      </c>
      <c r="I4934" s="7" t="str" cm="1">
        <f t="array" ref="I4934">IFERROR(_xlfn.IFS(M4934="נח",1,M4934="נע ונח",1,M4934="שני שווא נח",2,M4934="שני שוואים בסוף מילה",2,M4934="שני שוואים ברצף",1),"0")</f>
        <v>0</v>
      </c>
      <c r="J4934" s="9">
        <f t="shared" si="315"/>
        <v>3</v>
      </c>
      <c r="K4934" t="s">
        <v>6697</v>
      </c>
      <c r="L4934" t="s">
        <v>6695</v>
      </c>
      <c r="O4934" t="s">
        <v>6694</v>
      </c>
      <c r="U4934" t="s">
        <v>6694</v>
      </c>
      <c r="V4934" t="s">
        <v>6694</v>
      </c>
      <c r="W4934" t="s">
        <v>6720</v>
      </c>
    </row>
    <row r="4935" spans="1:23" ht="15.6" x14ac:dyDescent="0.4">
      <c r="A4935" s="2" t="s">
        <v>4888</v>
      </c>
      <c r="B4935" s="5" t="s">
        <v>11067</v>
      </c>
      <c r="C4935" s="7" t="s">
        <v>12556</v>
      </c>
      <c r="D4935" s="8">
        <f t="shared" si="312"/>
        <v>0</v>
      </c>
      <c r="E4935" s="7" t="s">
        <v>12557</v>
      </c>
      <c r="F4935" s="7">
        <f t="shared" si="313"/>
        <v>0</v>
      </c>
      <c r="G4935" s="7" t="s">
        <v>12558</v>
      </c>
      <c r="H4935" s="7">
        <f t="shared" si="314"/>
        <v>0</v>
      </c>
      <c r="I4935" s="7" cm="1">
        <f t="array" ref="I4935">IFERROR(_xlfn.IFS(M4935="נח",1,M4935="נע ונח",1,M4935="שני שווא נח",2,M4935="שני שוואים בסוף מילה",2,M4935="שני שוואים ברצף",1),"0")</f>
        <v>1</v>
      </c>
      <c r="J4935" s="9">
        <f t="shared" si="315"/>
        <v>2</v>
      </c>
      <c r="K4935" t="s">
        <v>6697</v>
      </c>
      <c r="L4935" t="s">
        <v>6694</v>
      </c>
      <c r="M4935" t="s">
        <v>6705</v>
      </c>
      <c r="N4935" t="s">
        <v>6706</v>
      </c>
      <c r="O4935" t="s">
        <v>6694</v>
      </c>
      <c r="W4935" t="s">
        <v>6720</v>
      </c>
    </row>
    <row r="4936" spans="1:23" ht="15.6" x14ac:dyDescent="0.4">
      <c r="A4936" s="2" t="s">
        <v>4701</v>
      </c>
      <c r="B4936" s="5" t="s">
        <v>11068</v>
      </c>
      <c r="C4936" s="7" t="s">
        <v>12556</v>
      </c>
      <c r="D4936" s="8">
        <f t="shared" si="312"/>
        <v>0</v>
      </c>
      <c r="E4936" s="7" t="s">
        <v>12557</v>
      </c>
      <c r="F4936" s="7">
        <f t="shared" si="313"/>
        <v>1</v>
      </c>
      <c r="G4936" s="7" t="s">
        <v>12558</v>
      </c>
      <c r="H4936" s="7">
        <f t="shared" si="314"/>
        <v>1</v>
      </c>
      <c r="I4936" s="7" cm="1">
        <f t="array" ref="I4936">IFERROR(_xlfn.IFS(M4936="נח",1,M4936="נע ונח",1,M4936="שני שווא נח",2,M4936="שני שוואים בסוף מילה",2,M4936="שני שוואים ברצף",1),"0")</f>
        <v>1</v>
      </c>
      <c r="J4936" s="9">
        <f t="shared" si="315"/>
        <v>2</v>
      </c>
      <c r="K4936" t="s">
        <v>6697</v>
      </c>
      <c r="L4936" t="s">
        <v>6694</v>
      </c>
      <c r="M4936" t="s">
        <v>6705</v>
      </c>
      <c r="N4936" t="s">
        <v>6706</v>
      </c>
      <c r="O4936" t="s">
        <v>6694</v>
      </c>
      <c r="U4936" t="s">
        <v>6694</v>
      </c>
      <c r="W4936" t="s">
        <v>6720</v>
      </c>
    </row>
    <row r="4937" spans="1:23" ht="15.6" x14ac:dyDescent="0.4">
      <c r="A4937" s="2" t="s">
        <v>6126</v>
      </c>
      <c r="B4937" s="5" t="s">
        <v>11068</v>
      </c>
      <c r="C4937" s="7" t="s">
        <v>12556</v>
      </c>
      <c r="D4937" s="8">
        <f t="shared" si="312"/>
        <v>0</v>
      </c>
      <c r="E4937" s="7" t="s">
        <v>12557</v>
      </c>
      <c r="F4937" s="7">
        <f t="shared" si="313"/>
        <v>1</v>
      </c>
      <c r="G4937" s="7" t="s">
        <v>12558</v>
      </c>
      <c r="H4937" s="7">
        <f t="shared" si="314"/>
        <v>1</v>
      </c>
      <c r="I4937" s="7" t="str" cm="1">
        <f t="array" ref="I4937">IFERROR(_xlfn.IFS(M4937="נח",1,M4937="נע ונח",1,M4937="שני שווא נח",2,M4937="שני שוואים בסוף מילה",2,M4937="שני שוואים ברצף",1),"0")</f>
        <v>0</v>
      </c>
      <c r="J4937" s="9">
        <f t="shared" si="315"/>
        <v>3</v>
      </c>
      <c r="K4937" t="s">
        <v>6697</v>
      </c>
      <c r="L4937" t="s">
        <v>6695</v>
      </c>
      <c r="O4937" t="s">
        <v>6694</v>
      </c>
      <c r="U4937" t="s">
        <v>6694</v>
      </c>
      <c r="W4937" t="s">
        <v>6720</v>
      </c>
    </row>
    <row r="4938" spans="1:23" ht="15.6" x14ac:dyDescent="0.4">
      <c r="A4938" s="2" t="s">
        <v>5832</v>
      </c>
      <c r="B4938" s="5" t="s">
        <v>11069</v>
      </c>
      <c r="C4938" s="7" t="s">
        <v>12556</v>
      </c>
      <c r="D4938" s="8">
        <f t="shared" si="312"/>
        <v>0</v>
      </c>
      <c r="E4938" s="7" t="s">
        <v>12557</v>
      </c>
      <c r="F4938" s="7">
        <f t="shared" si="313"/>
        <v>0</v>
      </c>
      <c r="G4938" s="7" t="s">
        <v>12558</v>
      </c>
      <c r="H4938" s="7">
        <f t="shared" si="314"/>
        <v>0</v>
      </c>
      <c r="I4938" s="7" t="str" cm="1">
        <f t="array" ref="I4938">IFERROR(_xlfn.IFS(M4938="נח",1,M4938="נע ונח",1,M4938="שני שווא נח",2,M4938="שני שוואים בסוף מילה",2,M4938="שני שוואים ברצף",1),"0")</f>
        <v>0</v>
      </c>
      <c r="J4938" s="9">
        <f t="shared" si="315"/>
        <v>3</v>
      </c>
      <c r="K4938" t="s">
        <v>6697</v>
      </c>
      <c r="L4938" t="s">
        <v>6695</v>
      </c>
      <c r="O4938" t="s">
        <v>6694</v>
      </c>
      <c r="S4938" t="s">
        <v>6694</v>
      </c>
      <c r="W4938" t="s">
        <v>6720</v>
      </c>
    </row>
    <row r="4939" spans="1:23" ht="15.6" x14ac:dyDescent="0.4">
      <c r="A4939" s="2" t="s">
        <v>4265</v>
      </c>
      <c r="B4939" s="5" t="s">
        <v>11070</v>
      </c>
      <c r="C4939" s="7" t="s">
        <v>12556</v>
      </c>
      <c r="D4939" s="8">
        <f t="shared" si="312"/>
        <v>0</v>
      </c>
      <c r="E4939" s="7" t="s">
        <v>12557</v>
      </c>
      <c r="F4939" s="7">
        <f t="shared" si="313"/>
        <v>0</v>
      </c>
      <c r="G4939" s="7" t="s">
        <v>12558</v>
      </c>
      <c r="H4939" s="7">
        <f t="shared" si="314"/>
        <v>0</v>
      </c>
      <c r="I4939" s="7" t="str" cm="1">
        <f t="array" ref="I4939">IFERROR(_xlfn.IFS(M4939="נח",1,M4939="נע ונח",1,M4939="שני שווא נח",2,M4939="שני שוואים בסוף מילה",2,M4939="שני שוואים ברצף",1),"0")</f>
        <v>0</v>
      </c>
      <c r="J4939" s="9">
        <f t="shared" si="315"/>
        <v>2</v>
      </c>
      <c r="K4939" t="s">
        <v>6698</v>
      </c>
      <c r="L4939" t="s">
        <v>6695</v>
      </c>
      <c r="O4939" t="s">
        <v>6694</v>
      </c>
      <c r="V4939" t="s">
        <v>6694</v>
      </c>
      <c r="W4939" t="s">
        <v>6720</v>
      </c>
    </row>
    <row r="4940" spans="1:23" ht="15.6" x14ac:dyDescent="0.4">
      <c r="A4940" s="2" t="s">
        <v>6467</v>
      </c>
      <c r="B4940" s="5" t="s">
        <v>11071</v>
      </c>
      <c r="C4940" s="7" t="s">
        <v>12556</v>
      </c>
      <c r="D4940" s="8">
        <f t="shared" si="312"/>
        <v>0</v>
      </c>
      <c r="E4940" s="7" t="s">
        <v>12557</v>
      </c>
      <c r="F4940" s="7">
        <f t="shared" si="313"/>
        <v>0</v>
      </c>
      <c r="G4940" s="7" t="s">
        <v>12558</v>
      </c>
      <c r="H4940" s="7">
        <f t="shared" si="314"/>
        <v>0</v>
      </c>
      <c r="I4940" s="7" t="str" cm="1">
        <f t="array" ref="I4940">IFERROR(_xlfn.IFS(M4940="נח",1,M4940="נע ונח",1,M4940="שני שווא נח",2,M4940="שני שוואים בסוף מילה",2,M4940="שני שוואים ברצף",1),"0")</f>
        <v>0</v>
      </c>
      <c r="J4940" s="9">
        <f t="shared" si="315"/>
        <v>1</v>
      </c>
      <c r="K4940" t="s">
        <v>6698</v>
      </c>
      <c r="L4940" t="s">
        <v>6695</v>
      </c>
      <c r="N4940" t="s">
        <v>6706</v>
      </c>
      <c r="O4940" t="s">
        <v>6694</v>
      </c>
      <c r="W4940" t="s">
        <v>6720</v>
      </c>
    </row>
    <row r="4941" spans="1:23" ht="15.6" x14ac:dyDescent="0.4">
      <c r="A4941" s="2" t="s">
        <v>530</v>
      </c>
      <c r="B4941" s="5" t="s">
        <v>11072</v>
      </c>
      <c r="C4941" s="7" t="s">
        <v>12556</v>
      </c>
      <c r="D4941" s="8">
        <f t="shared" si="312"/>
        <v>0</v>
      </c>
      <c r="E4941" s="7" t="s">
        <v>12557</v>
      </c>
      <c r="F4941" s="7">
        <f t="shared" si="313"/>
        <v>0</v>
      </c>
      <c r="G4941" s="7" t="s">
        <v>12558</v>
      </c>
      <c r="H4941" s="7">
        <f t="shared" si="314"/>
        <v>0</v>
      </c>
      <c r="I4941" s="7" t="str" cm="1">
        <f t="array" ref="I4941">IFERROR(_xlfn.IFS(M4941="נח",1,M4941="נע ונח",1,M4941="שני שווא נח",2,M4941="שני שוואים בסוף מילה",2,M4941="שני שוואים ברצף",1),"0")</f>
        <v>0</v>
      </c>
      <c r="J4941" s="9">
        <f t="shared" si="315"/>
        <v>2</v>
      </c>
      <c r="K4941" t="s">
        <v>6698</v>
      </c>
      <c r="L4941" t="s">
        <v>6695</v>
      </c>
      <c r="O4941" t="s">
        <v>6694</v>
      </c>
      <c r="V4941" t="s">
        <v>6694</v>
      </c>
      <c r="W4941" t="s">
        <v>6720</v>
      </c>
    </row>
    <row r="4942" spans="1:23" ht="15.6" x14ac:dyDescent="0.4">
      <c r="A4942" s="2" t="s">
        <v>868</v>
      </c>
      <c r="B4942" s="5" t="s">
        <v>11073</v>
      </c>
      <c r="C4942" s="7" t="s">
        <v>12556</v>
      </c>
      <c r="D4942" s="8">
        <f t="shared" si="312"/>
        <v>0</v>
      </c>
      <c r="E4942" s="7" t="s">
        <v>12557</v>
      </c>
      <c r="F4942" s="7">
        <f t="shared" si="313"/>
        <v>1</v>
      </c>
      <c r="G4942" s="7" t="s">
        <v>12558</v>
      </c>
      <c r="H4942" s="7">
        <f t="shared" si="314"/>
        <v>1</v>
      </c>
      <c r="I4942" s="7" t="str" cm="1">
        <f t="array" ref="I4942">IFERROR(_xlfn.IFS(M4942="נח",1,M4942="נע ונח",1,M4942="שני שווא נח",2,M4942="שני שוואים בסוף מילה",2,M4942="שני שוואים ברצף",1),"0")</f>
        <v>0</v>
      </c>
      <c r="J4942" s="9">
        <f t="shared" si="315"/>
        <v>2</v>
      </c>
      <c r="K4942" t="s">
        <v>6697</v>
      </c>
      <c r="L4942" t="s">
        <v>6695</v>
      </c>
      <c r="O4942" t="s">
        <v>6694</v>
      </c>
      <c r="U4942" t="s">
        <v>6694</v>
      </c>
      <c r="W4942" t="s">
        <v>6720</v>
      </c>
    </row>
    <row r="4943" spans="1:23" ht="15.6" x14ac:dyDescent="0.4">
      <c r="A4943" s="2" t="s">
        <v>3643</v>
      </c>
      <c r="B4943" s="5" t="s">
        <v>11074</v>
      </c>
      <c r="C4943" s="7" t="s">
        <v>12556</v>
      </c>
      <c r="D4943" s="8">
        <f t="shared" si="312"/>
        <v>1</v>
      </c>
      <c r="E4943" s="7" t="s">
        <v>12557</v>
      </c>
      <c r="F4943" s="7">
        <f t="shared" si="313"/>
        <v>0</v>
      </c>
      <c r="G4943" s="7" t="s">
        <v>12558</v>
      </c>
      <c r="H4943" s="7">
        <f t="shared" si="314"/>
        <v>0</v>
      </c>
      <c r="I4943" s="7" t="str" cm="1">
        <f t="array" ref="I4943">IFERROR(_xlfn.IFS(M4943="נח",1,M4943="נע ונח",1,M4943="שני שווא נח",2,M4943="שני שוואים בסוף מילה",2,M4943="שני שוואים ברצף",1),"0")</f>
        <v>0</v>
      </c>
      <c r="J4943" s="9">
        <f t="shared" si="315"/>
        <v>2</v>
      </c>
      <c r="K4943" t="s">
        <v>6698</v>
      </c>
      <c r="L4943" t="s">
        <v>6695</v>
      </c>
      <c r="N4943" t="s">
        <v>6706</v>
      </c>
      <c r="O4943" t="s">
        <v>6694</v>
      </c>
      <c r="W4943" t="s">
        <v>6720</v>
      </c>
    </row>
    <row r="4944" spans="1:23" ht="15.6" x14ac:dyDescent="0.4">
      <c r="A4944" s="2" t="s">
        <v>6284</v>
      </c>
      <c r="B4944" s="5" t="s">
        <v>11075</v>
      </c>
      <c r="C4944" s="7" t="s">
        <v>12556</v>
      </c>
      <c r="D4944" s="8">
        <f t="shared" si="312"/>
        <v>1</v>
      </c>
      <c r="E4944" s="7" t="s">
        <v>12557</v>
      </c>
      <c r="F4944" s="7">
        <f t="shared" si="313"/>
        <v>0</v>
      </c>
      <c r="G4944" s="7" t="s">
        <v>12558</v>
      </c>
      <c r="H4944" s="7">
        <f t="shared" si="314"/>
        <v>0</v>
      </c>
      <c r="I4944" s="7" t="str" cm="1">
        <f t="array" ref="I4944">IFERROR(_xlfn.IFS(M4944="נח",1,M4944="נע ונח",1,M4944="שני שווא נח",2,M4944="שני שוואים בסוף מילה",2,M4944="שני שוואים ברצף",1),"0")</f>
        <v>0</v>
      </c>
      <c r="J4944" s="9">
        <f t="shared" si="315"/>
        <v>3</v>
      </c>
      <c r="K4944" t="s">
        <v>6697</v>
      </c>
      <c r="L4944" t="s">
        <v>6695</v>
      </c>
      <c r="O4944" t="s">
        <v>6694</v>
      </c>
      <c r="W4944" t="s">
        <v>6720</v>
      </c>
    </row>
    <row r="4945" spans="1:23" ht="15.6" x14ac:dyDescent="0.4">
      <c r="A4945" s="2" t="s">
        <v>64</v>
      </c>
      <c r="B4945" s="5" t="s">
        <v>10703</v>
      </c>
      <c r="C4945" s="7" t="s">
        <v>12556</v>
      </c>
      <c r="D4945" s="8">
        <f t="shared" si="312"/>
        <v>0</v>
      </c>
      <c r="E4945" s="7" t="s">
        <v>12557</v>
      </c>
      <c r="F4945" s="7">
        <f t="shared" si="313"/>
        <v>0</v>
      </c>
      <c r="G4945" s="7" t="s">
        <v>12558</v>
      </c>
      <c r="H4945" s="7">
        <f t="shared" si="314"/>
        <v>0</v>
      </c>
      <c r="I4945" s="7" t="str" cm="1">
        <f t="array" ref="I4945">IFERROR(_xlfn.IFS(M4945="נח",1,M4945="נע ונח",1,M4945="שני שווא נח",2,M4945="שני שוואים בסוף מילה",2,M4945="שני שוואים ברצף",1),"0")</f>
        <v>0</v>
      </c>
      <c r="J4945" s="9">
        <f t="shared" si="315"/>
        <v>2</v>
      </c>
      <c r="K4945" t="s">
        <v>6698</v>
      </c>
      <c r="L4945" t="s">
        <v>6695</v>
      </c>
      <c r="O4945" t="s">
        <v>6694</v>
      </c>
      <c r="P4945" t="s">
        <v>6694</v>
      </c>
      <c r="W4945" t="s">
        <v>6720</v>
      </c>
    </row>
    <row r="4946" spans="1:23" ht="15.6" x14ac:dyDescent="0.4">
      <c r="A4946" s="2" t="s">
        <v>6323</v>
      </c>
      <c r="B4946" s="5" t="s">
        <v>10703</v>
      </c>
      <c r="C4946" s="7" t="s">
        <v>12556</v>
      </c>
      <c r="D4946" s="8">
        <f t="shared" si="312"/>
        <v>0</v>
      </c>
      <c r="E4946" s="7" t="s">
        <v>12557</v>
      </c>
      <c r="F4946" s="7">
        <f t="shared" si="313"/>
        <v>0</v>
      </c>
      <c r="G4946" s="7" t="s">
        <v>12558</v>
      </c>
      <c r="H4946" s="7">
        <f t="shared" si="314"/>
        <v>0</v>
      </c>
      <c r="I4946" s="7" t="str" cm="1">
        <f t="array" ref="I4946">IFERROR(_xlfn.IFS(M4946="נח",1,M4946="נע ונח",1,M4946="שני שווא נח",2,M4946="שני שוואים בסוף מילה",2,M4946="שני שוואים ברצף",1),"0")</f>
        <v>0</v>
      </c>
      <c r="J4946" s="9">
        <f t="shared" si="315"/>
        <v>2</v>
      </c>
      <c r="K4946" t="s">
        <v>6698</v>
      </c>
      <c r="L4946" t="s">
        <v>6695</v>
      </c>
      <c r="N4946" t="s">
        <v>6706</v>
      </c>
      <c r="O4946" t="s">
        <v>6694</v>
      </c>
      <c r="W4946" t="s">
        <v>6720</v>
      </c>
    </row>
    <row r="4947" spans="1:23" ht="15.6" x14ac:dyDescent="0.4">
      <c r="A4947" s="2" t="s">
        <v>1619</v>
      </c>
      <c r="B4947" s="5" t="s">
        <v>11076</v>
      </c>
      <c r="C4947" s="7" t="s">
        <v>12556</v>
      </c>
      <c r="D4947" s="8">
        <f t="shared" si="312"/>
        <v>0</v>
      </c>
      <c r="E4947" s="7" t="s">
        <v>12557</v>
      </c>
      <c r="F4947" s="7">
        <f t="shared" si="313"/>
        <v>0</v>
      </c>
      <c r="G4947" s="7" t="s">
        <v>12558</v>
      </c>
      <c r="H4947" s="7">
        <f t="shared" si="314"/>
        <v>0</v>
      </c>
      <c r="I4947" s="7" cm="1">
        <f t="array" ref="I4947">IFERROR(_xlfn.IFS(M4947="נח",1,M4947="נע ונח",1,M4947="שני שווא נח",2,M4947="שני שוואים בסוף מילה",2,M4947="שני שוואים ברצף",1),"0")</f>
        <v>1</v>
      </c>
      <c r="J4947" s="9">
        <f t="shared" si="315"/>
        <v>2</v>
      </c>
      <c r="K4947" t="s">
        <v>6698</v>
      </c>
      <c r="L4947" t="s">
        <v>6694</v>
      </c>
      <c r="M4947" t="s">
        <v>6705</v>
      </c>
      <c r="N4947" t="s">
        <v>6706</v>
      </c>
      <c r="O4947" t="s">
        <v>6694</v>
      </c>
      <c r="V4947" t="s">
        <v>6694</v>
      </c>
      <c r="W4947" t="s">
        <v>6720</v>
      </c>
    </row>
    <row r="4948" spans="1:23" ht="15.6" x14ac:dyDescent="0.4">
      <c r="A4948" s="2" t="s">
        <v>5109</v>
      </c>
      <c r="B4948" s="5" t="s">
        <v>11077</v>
      </c>
      <c r="C4948" s="7" t="s">
        <v>12556</v>
      </c>
      <c r="D4948" s="8">
        <f t="shared" si="312"/>
        <v>1</v>
      </c>
      <c r="E4948" s="7" t="s">
        <v>12557</v>
      </c>
      <c r="F4948" s="7">
        <f t="shared" si="313"/>
        <v>0</v>
      </c>
      <c r="G4948" s="7" t="s">
        <v>12558</v>
      </c>
      <c r="H4948" s="7">
        <f t="shared" si="314"/>
        <v>0</v>
      </c>
      <c r="I4948" s="7" cm="1">
        <f t="array" ref="I4948">IFERROR(_xlfn.IFS(M4948="נח",1,M4948="נע ונח",1,M4948="שני שווא נח",2,M4948="שני שוואים בסוף מילה",2,M4948="שני שוואים ברצף",1),"0")</f>
        <v>1</v>
      </c>
      <c r="J4948" s="9">
        <f t="shared" si="315"/>
        <v>2</v>
      </c>
      <c r="K4948" t="s">
        <v>6698</v>
      </c>
      <c r="L4948" t="s">
        <v>6694</v>
      </c>
      <c r="M4948" t="s">
        <v>6705</v>
      </c>
      <c r="S4948" t="s">
        <v>6694</v>
      </c>
      <c r="V4948" t="s">
        <v>6694</v>
      </c>
      <c r="W4948" t="s">
        <v>6720</v>
      </c>
    </row>
    <row r="4949" spans="1:23" ht="15.6" x14ac:dyDescent="0.4">
      <c r="A4949" s="2" t="s">
        <v>3708</v>
      </c>
      <c r="B4949" s="5" t="s">
        <v>11071</v>
      </c>
      <c r="C4949" s="7" t="s">
        <v>12556</v>
      </c>
      <c r="D4949" s="8">
        <f t="shared" si="312"/>
        <v>0</v>
      </c>
      <c r="E4949" s="7" t="s">
        <v>12557</v>
      </c>
      <c r="F4949" s="7">
        <f t="shared" si="313"/>
        <v>0</v>
      </c>
      <c r="G4949" s="7" t="s">
        <v>12558</v>
      </c>
      <c r="H4949" s="7">
        <f t="shared" si="314"/>
        <v>0</v>
      </c>
      <c r="I4949" s="7" t="str" cm="1">
        <f t="array" ref="I4949">IFERROR(_xlfn.IFS(M4949="נח",1,M4949="נע ונח",1,M4949="שני שווא נח",2,M4949="שני שוואים בסוף מילה",2,M4949="שני שוואים ברצף",1),"0")</f>
        <v>0</v>
      </c>
      <c r="J4949" s="9">
        <f t="shared" si="315"/>
        <v>1</v>
      </c>
      <c r="K4949" t="s">
        <v>6698</v>
      </c>
      <c r="L4949" t="s">
        <v>6695</v>
      </c>
      <c r="V4949" t="s">
        <v>6694</v>
      </c>
      <c r="W4949" t="s">
        <v>6720</v>
      </c>
    </row>
    <row r="4950" spans="1:23" ht="15.6" x14ac:dyDescent="0.4">
      <c r="A4950" s="2" t="s">
        <v>4975</v>
      </c>
      <c r="B4950" s="5" t="s">
        <v>10698</v>
      </c>
      <c r="C4950" s="7" t="s">
        <v>12556</v>
      </c>
      <c r="D4950" s="8">
        <f t="shared" si="312"/>
        <v>1</v>
      </c>
      <c r="E4950" s="7" t="s">
        <v>12557</v>
      </c>
      <c r="F4950" s="7">
        <f t="shared" si="313"/>
        <v>0</v>
      </c>
      <c r="G4950" s="7" t="s">
        <v>12558</v>
      </c>
      <c r="H4950" s="7">
        <f t="shared" si="314"/>
        <v>0</v>
      </c>
      <c r="I4950" s="7" cm="1">
        <f t="array" ref="I4950">IFERROR(_xlfn.IFS(M4950="נח",1,M4950="נע ונח",1,M4950="שני שווא נח",2,M4950="שני שוואים בסוף מילה",2,M4950="שני שוואים ברצף",1),"0")</f>
        <v>1</v>
      </c>
      <c r="J4950" s="9">
        <f t="shared" si="315"/>
        <v>2</v>
      </c>
      <c r="K4950" t="s">
        <v>6698</v>
      </c>
      <c r="L4950" t="s">
        <v>6694</v>
      </c>
      <c r="M4950" t="s">
        <v>6705</v>
      </c>
      <c r="Q4950" t="s">
        <v>6694</v>
      </c>
      <c r="V4950" t="s">
        <v>6694</v>
      </c>
      <c r="W4950" t="s">
        <v>6720</v>
      </c>
    </row>
    <row r="4951" spans="1:23" ht="15.6" x14ac:dyDescent="0.4">
      <c r="A4951" s="2" t="s">
        <v>1663</v>
      </c>
      <c r="B4951" s="5" t="s">
        <v>11074</v>
      </c>
      <c r="C4951" s="7" t="s">
        <v>12556</v>
      </c>
      <c r="D4951" s="8">
        <f t="shared" si="312"/>
        <v>1</v>
      </c>
      <c r="E4951" s="7" t="s">
        <v>12557</v>
      </c>
      <c r="F4951" s="7">
        <f t="shared" si="313"/>
        <v>0</v>
      </c>
      <c r="G4951" s="7" t="s">
        <v>12558</v>
      </c>
      <c r="H4951" s="7">
        <f t="shared" si="314"/>
        <v>0</v>
      </c>
      <c r="I4951" s="7" t="str" cm="1">
        <f t="array" ref="I4951">IFERROR(_xlfn.IFS(M4951="נח",1,M4951="נע ונח",1,M4951="שני שווא נח",2,M4951="שני שוואים בסוף מילה",2,M4951="שני שוואים ברצף",1),"0")</f>
        <v>0</v>
      </c>
      <c r="J4951" s="9">
        <f t="shared" si="315"/>
        <v>2</v>
      </c>
      <c r="K4951" t="s">
        <v>6698</v>
      </c>
      <c r="L4951" t="s">
        <v>6695</v>
      </c>
      <c r="Q4951" t="s">
        <v>6694</v>
      </c>
      <c r="V4951" t="s">
        <v>6694</v>
      </c>
      <c r="W4951" t="s">
        <v>6720</v>
      </c>
    </row>
    <row r="4952" spans="1:23" ht="15.6" x14ac:dyDescent="0.4">
      <c r="A4952" s="2" t="s">
        <v>1101</v>
      </c>
      <c r="B4952" s="5" t="s">
        <v>11078</v>
      </c>
      <c r="C4952" s="7" t="s">
        <v>12556</v>
      </c>
      <c r="D4952" s="8">
        <f t="shared" si="312"/>
        <v>1</v>
      </c>
      <c r="E4952" s="7" t="s">
        <v>12557</v>
      </c>
      <c r="F4952" s="7">
        <f t="shared" si="313"/>
        <v>0</v>
      </c>
      <c r="G4952" s="7" t="s">
        <v>12558</v>
      </c>
      <c r="H4952" s="7">
        <f t="shared" si="314"/>
        <v>0</v>
      </c>
      <c r="I4952" s="7" t="str" cm="1">
        <f t="array" ref="I4952">IFERROR(_xlfn.IFS(M4952="נח",1,M4952="נע ונח",1,M4952="שני שווא נח",2,M4952="שני שוואים בסוף מילה",2,M4952="שני שוואים ברצף",1),"0")</f>
        <v>0</v>
      </c>
      <c r="J4952" s="9">
        <f t="shared" si="315"/>
        <v>2</v>
      </c>
      <c r="K4952" t="s">
        <v>6697</v>
      </c>
      <c r="L4952" t="s">
        <v>6695</v>
      </c>
      <c r="R4952" t="s">
        <v>6694</v>
      </c>
      <c r="V4952" t="s">
        <v>6694</v>
      </c>
      <c r="W4952" t="s">
        <v>6720</v>
      </c>
    </row>
    <row r="4953" spans="1:23" ht="15.6" x14ac:dyDescent="0.4">
      <c r="A4953" s="2" t="s">
        <v>5885</v>
      </c>
      <c r="B4953" s="5" t="s">
        <v>11079</v>
      </c>
      <c r="C4953" s="7" t="s">
        <v>12556</v>
      </c>
      <c r="D4953" s="8">
        <f t="shared" si="312"/>
        <v>0</v>
      </c>
      <c r="E4953" s="7" t="s">
        <v>12557</v>
      </c>
      <c r="F4953" s="7">
        <f t="shared" si="313"/>
        <v>1</v>
      </c>
      <c r="G4953" s="7" t="s">
        <v>12558</v>
      </c>
      <c r="H4953" s="7">
        <f t="shared" si="314"/>
        <v>0</v>
      </c>
      <c r="I4953" s="7" cm="1">
        <f t="array" ref="I4953">IFERROR(_xlfn.IFS(M4953="נח",1,M4953="נע ונח",1,M4953="שני שווא נח",2,M4953="שני שוואים בסוף מילה",2,M4953="שני שוואים ברצף",1),"0")</f>
        <v>1</v>
      </c>
      <c r="J4953" s="9">
        <f t="shared" si="315"/>
        <v>2</v>
      </c>
      <c r="K4953" t="s">
        <v>6698</v>
      </c>
      <c r="L4953" t="s">
        <v>6694</v>
      </c>
      <c r="M4953" t="s">
        <v>6705</v>
      </c>
      <c r="N4953" t="s">
        <v>6706</v>
      </c>
      <c r="O4953" t="s">
        <v>6694</v>
      </c>
      <c r="T4953" t="s">
        <v>6694</v>
      </c>
      <c r="W4953" t="s">
        <v>6720</v>
      </c>
    </row>
    <row r="4954" spans="1:23" ht="15.6" x14ac:dyDescent="0.4">
      <c r="A4954" s="2" t="s">
        <v>614</v>
      </c>
      <c r="B4954" s="5" t="s">
        <v>10623</v>
      </c>
      <c r="C4954" s="7" t="s">
        <v>12556</v>
      </c>
      <c r="D4954" s="8">
        <f t="shared" si="312"/>
        <v>0</v>
      </c>
      <c r="E4954" s="7" t="s">
        <v>12557</v>
      </c>
      <c r="F4954" s="7">
        <f t="shared" si="313"/>
        <v>1</v>
      </c>
      <c r="G4954" s="7" t="s">
        <v>12558</v>
      </c>
      <c r="H4954" s="7">
        <f t="shared" si="314"/>
        <v>0</v>
      </c>
      <c r="I4954" s="7" t="str" cm="1">
        <f t="array" ref="I4954">IFERROR(_xlfn.IFS(M4954="נח",1,M4954="נע ונח",1,M4954="שני שווא נח",2,M4954="שני שוואים בסוף מילה",2,M4954="שני שוואים ברצף",1),"0")</f>
        <v>0</v>
      </c>
      <c r="J4954" s="9">
        <f t="shared" si="315"/>
        <v>2</v>
      </c>
      <c r="K4954" t="s">
        <v>6698</v>
      </c>
      <c r="L4954" t="s">
        <v>6694</v>
      </c>
      <c r="M4954" t="s">
        <v>6700</v>
      </c>
      <c r="V4954" t="s">
        <v>6694</v>
      </c>
      <c r="W4954" t="s">
        <v>6720</v>
      </c>
    </row>
    <row r="4955" spans="1:23" ht="15.6" x14ac:dyDescent="0.4">
      <c r="A4955" s="2" t="s">
        <v>2151</v>
      </c>
      <c r="B4955" s="5" t="s">
        <v>10670</v>
      </c>
      <c r="C4955" s="7" t="s">
        <v>12556</v>
      </c>
      <c r="D4955" s="8">
        <f t="shared" si="312"/>
        <v>0</v>
      </c>
      <c r="E4955" s="7" t="s">
        <v>12557</v>
      </c>
      <c r="F4955" s="7">
        <f t="shared" si="313"/>
        <v>1</v>
      </c>
      <c r="G4955" s="7" t="s">
        <v>12558</v>
      </c>
      <c r="H4955" s="7">
        <f t="shared" si="314"/>
        <v>0</v>
      </c>
      <c r="I4955" s="7" t="str" cm="1">
        <f t="array" ref="I4955">IFERROR(_xlfn.IFS(M4955="נח",1,M4955="נע ונח",1,M4955="שני שווא נח",2,M4955="שני שוואים בסוף מילה",2,M4955="שני שוואים ברצף",1),"0")</f>
        <v>0</v>
      </c>
      <c r="J4955" s="9">
        <f t="shared" si="315"/>
        <v>2</v>
      </c>
      <c r="K4955" t="s">
        <v>6698</v>
      </c>
      <c r="L4955" t="s">
        <v>6694</v>
      </c>
      <c r="M4955" t="s">
        <v>6700</v>
      </c>
      <c r="P4955" t="s">
        <v>6694</v>
      </c>
      <c r="W4955" t="s">
        <v>6720</v>
      </c>
    </row>
    <row r="4956" spans="1:23" ht="15.6" x14ac:dyDescent="0.4">
      <c r="A4956" s="2" t="s">
        <v>4174</v>
      </c>
      <c r="B4956" s="5" t="s">
        <v>11080</v>
      </c>
      <c r="C4956" s="7" t="s">
        <v>12556</v>
      </c>
      <c r="D4956" s="8">
        <f t="shared" si="312"/>
        <v>0</v>
      </c>
      <c r="E4956" s="7" t="s">
        <v>12557</v>
      </c>
      <c r="F4956" s="7">
        <f t="shared" si="313"/>
        <v>1</v>
      </c>
      <c r="G4956" s="7" t="s">
        <v>12558</v>
      </c>
      <c r="H4956" s="7">
        <f t="shared" si="314"/>
        <v>0</v>
      </c>
      <c r="I4956" s="7" t="str" cm="1">
        <f t="array" ref="I4956">IFERROR(_xlfn.IFS(M4956="נח",1,M4956="נע ונח",1,M4956="שני שווא נח",2,M4956="שני שוואים בסוף מילה",2,M4956="שני שוואים ברצף",1),"0")</f>
        <v>0</v>
      </c>
      <c r="J4956" s="9">
        <f t="shared" si="315"/>
        <v>6</v>
      </c>
      <c r="K4956" t="s">
        <v>6698</v>
      </c>
      <c r="L4956" t="s">
        <v>6694</v>
      </c>
      <c r="M4956" t="s">
        <v>6703</v>
      </c>
      <c r="P4956" t="s">
        <v>6694</v>
      </c>
      <c r="S4956" t="s">
        <v>6694</v>
      </c>
      <c r="V4956" t="s">
        <v>6694</v>
      </c>
      <c r="W4956" t="s">
        <v>6720</v>
      </c>
    </row>
    <row r="4957" spans="1:23" ht="15.6" x14ac:dyDescent="0.4">
      <c r="A4957" s="2" t="s">
        <v>4763</v>
      </c>
      <c r="B4957" s="5" t="s">
        <v>10745</v>
      </c>
      <c r="C4957" s="7" t="s">
        <v>12556</v>
      </c>
      <c r="D4957" s="8">
        <f t="shared" si="312"/>
        <v>0</v>
      </c>
      <c r="E4957" s="7" t="s">
        <v>12557</v>
      </c>
      <c r="F4957" s="7">
        <f t="shared" si="313"/>
        <v>1</v>
      </c>
      <c r="G4957" s="7" t="s">
        <v>12558</v>
      </c>
      <c r="H4957" s="7">
        <f t="shared" si="314"/>
        <v>0</v>
      </c>
      <c r="I4957" s="7" t="str" cm="1">
        <f t="array" ref="I4957">IFERROR(_xlfn.IFS(M4957="נח",1,M4957="נע ונח",1,M4957="שני שווא נח",2,M4957="שני שוואים בסוף מילה",2,M4957="שני שוואים ברצף",1),"0")</f>
        <v>0</v>
      </c>
      <c r="J4957" s="9">
        <f t="shared" si="315"/>
        <v>2</v>
      </c>
      <c r="K4957" t="s">
        <v>6698</v>
      </c>
      <c r="L4957" t="s">
        <v>6695</v>
      </c>
      <c r="P4957" t="s">
        <v>6694</v>
      </c>
      <c r="S4957" t="s">
        <v>6694</v>
      </c>
      <c r="W4957" t="s">
        <v>6720</v>
      </c>
    </row>
    <row r="4958" spans="1:23" ht="15.6" x14ac:dyDescent="0.4">
      <c r="A4958" s="2" t="s">
        <v>4258</v>
      </c>
      <c r="B4958" s="5" t="s">
        <v>11081</v>
      </c>
      <c r="C4958" s="7" t="s">
        <v>12556</v>
      </c>
      <c r="D4958" s="8">
        <f t="shared" si="312"/>
        <v>0</v>
      </c>
      <c r="E4958" s="7" t="s">
        <v>12557</v>
      </c>
      <c r="F4958" s="7">
        <f t="shared" si="313"/>
        <v>0</v>
      </c>
      <c r="G4958" s="7" t="s">
        <v>12558</v>
      </c>
      <c r="H4958" s="7">
        <f t="shared" si="314"/>
        <v>0</v>
      </c>
      <c r="I4958" s="7" t="str" cm="1">
        <f t="array" ref="I4958">IFERROR(_xlfn.IFS(M4958="נח",1,M4958="נע ונח",1,M4958="שני שווא נח",2,M4958="שני שוואים בסוף מילה",2,M4958="שני שוואים ברצף",1),"0")</f>
        <v>0</v>
      </c>
      <c r="J4958" s="9">
        <f t="shared" si="315"/>
        <v>2</v>
      </c>
      <c r="K4958" t="s">
        <v>6698</v>
      </c>
      <c r="L4958" t="s">
        <v>6695</v>
      </c>
      <c r="N4958" t="s">
        <v>6706</v>
      </c>
      <c r="O4958" t="s">
        <v>6694</v>
      </c>
      <c r="V4958" t="s">
        <v>6694</v>
      </c>
      <c r="W4958" t="s">
        <v>6720</v>
      </c>
    </row>
    <row r="4959" spans="1:23" ht="15.6" x14ac:dyDescent="0.4">
      <c r="A4959" s="2" t="s">
        <v>4060</v>
      </c>
      <c r="B4959" s="5" t="s">
        <v>11082</v>
      </c>
      <c r="C4959" s="7" t="s">
        <v>12556</v>
      </c>
      <c r="D4959" s="8">
        <f t="shared" si="312"/>
        <v>0</v>
      </c>
      <c r="E4959" s="7" t="s">
        <v>12557</v>
      </c>
      <c r="F4959" s="7">
        <f t="shared" si="313"/>
        <v>0</v>
      </c>
      <c r="G4959" s="7" t="s">
        <v>12558</v>
      </c>
      <c r="H4959" s="7">
        <f t="shared" si="314"/>
        <v>0</v>
      </c>
      <c r="I4959" s="7" t="str" cm="1">
        <f t="array" ref="I4959">IFERROR(_xlfn.IFS(M4959="נח",1,M4959="נע ונח",1,M4959="שני שווא נח",2,M4959="שני שוואים בסוף מילה",2,M4959="שני שוואים ברצף",1),"0")</f>
        <v>0</v>
      </c>
      <c r="J4959" s="9">
        <f t="shared" si="315"/>
        <v>1</v>
      </c>
      <c r="K4959" t="s">
        <v>6698</v>
      </c>
      <c r="L4959" t="s">
        <v>6695</v>
      </c>
      <c r="V4959" t="s">
        <v>6694</v>
      </c>
      <c r="W4959" t="s">
        <v>6720</v>
      </c>
    </row>
    <row r="4960" spans="1:23" ht="15.6" x14ac:dyDescent="0.4">
      <c r="A4960" s="2" t="s">
        <v>1342</v>
      </c>
      <c r="B4960" s="5" t="s">
        <v>11083</v>
      </c>
      <c r="C4960" s="7" t="s">
        <v>12556</v>
      </c>
      <c r="D4960" s="8">
        <f t="shared" si="312"/>
        <v>0</v>
      </c>
      <c r="E4960" s="7" t="s">
        <v>12557</v>
      </c>
      <c r="F4960" s="7">
        <f t="shared" si="313"/>
        <v>0</v>
      </c>
      <c r="G4960" s="7" t="s">
        <v>12558</v>
      </c>
      <c r="H4960" s="7">
        <f t="shared" si="314"/>
        <v>0</v>
      </c>
      <c r="I4960" s="7" t="str" cm="1">
        <f t="array" ref="I4960">IFERROR(_xlfn.IFS(M4960="נח",1,M4960="נע ונח",1,M4960="שני שווא נח",2,M4960="שני שוואים בסוף מילה",2,M4960="שני שוואים ברצף",1),"0")</f>
        <v>0</v>
      </c>
      <c r="J4960" s="9">
        <f t="shared" si="315"/>
        <v>2</v>
      </c>
      <c r="K4960" t="s">
        <v>6697</v>
      </c>
      <c r="L4960" t="s">
        <v>6695</v>
      </c>
      <c r="R4960" t="s">
        <v>6694</v>
      </c>
      <c r="V4960" t="s">
        <v>6694</v>
      </c>
      <c r="W4960" t="s">
        <v>6720</v>
      </c>
    </row>
    <row r="4961" spans="1:23" ht="15.6" x14ac:dyDescent="0.4">
      <c r="A4961" s="2" t="s">
        <v>5501</v>
      </c>
      <c r="B4961" s="5" t="s">
        <v>11084</v>
      </c>
      <c r="C4961" s="7" t="s">
        <v>12556</v>
      </c>
      <c r="D4961" s="8">
        <f t="shared" si="312"/>
        <v>0</v>
      </c>
      <c r="E4961" s="7" t="s">
        <v>12557</v>
      </c>
      <c r="F4961" s="7">
        <f t="shared" si="313"/>
        <v>0</v>
      </c>
      <c r="G4961" s="7" t="s">
        <v>12558</v>
      </c>
      <c r="H4961" s="7">
        <f t="shared" si="314"/>
        <v>0</v>
      </c>
      <c r="I4961" s="7" cm="1">
        <f t="array" ref="I4961">IFERROR(_xlfn.IFS(M4961="נח",1,M4961="נע ונח",1,M4961="שני שווא נח",2,M4961="שני שוואים בסוף מילה",2,M4961="שני שוואים ברצף",1),"0")</f>
        <v>1</v>
      </c>
      <c r="J4961" s="9">
        <f t="shared" si="315"/>
        <v>2</v>
      </c>
      <c r="K4961" t="s">
        <v>6698</v>
      </c>
      <c r="L4961" t="s">
        <v>6694</v>
      </c>
      <c r="M4961" t="s">
        <v>6705</v>
      </c>
      <c r="Q4961" t="s">
        <v>6694</v>
      </c>
      <c r="V4961" t="s">
        <v>6694</v>
      </c>
      <c r="W4961" t="s">
        <v>6720</v>
      </c>
    </row>
    <row r="4962" spans="1:23" ht="15.6" x14ac:dyDescent="0.4">
      <c r="A4962" s="2" t="s">
        <v>1962</v>
      </c>
      <c r="B4962" s="5" t="s">
        <v>11085</v>
      </c>
      <c r="C4962" s="7" t="s">
        <v>12556</v>
      </c>
      <c r="D4962" s="8">
        <f t="shared" si="312"/>
        <v>0</v>
      </c>
      <c r="E4962" s="7" t="s">
        <v>12557</v>
      </c>
      <c r="F4962" s="7">
        <f t="shared" si="313"/>
        <v>0</v>
      </c>
      <c r="G4962" s="7" t="s">
        <v>12558</v>
      </c>
      <c r="H4962" s="7">
        <f t="shared" si="314"/>
        <v>0</v>
      </c>
      <c r="I4962" s="7" cm="1">
        <f t="array" ref="I4962">IFERROR(_xlfn.IFS(M4962="נח",1,M4962="נע ונח",1,M4962="שני שווא נח",2,M4962="שני שוואים בסוף מילה",2,M4962="שני שוואים ברצף",1),"0")</f>
        <v>1</v>
      </c>
      <c r="J4962" s="9">
        <f t="shared" si="315"/>
        <v>2</v>
      </c>
      <c r="K4962" t="s">
        <v>6698</v>
      </c>
      <c r="L4962" t="s">
        <v>6694</v>
      </c>
      <c r="M4962" t="s">
        <v>6705</v>
      </c>
      <c r="V4962" t="s">
        <v>6694</v>
      </c>
      <c r="W4962" t="s">
        <v>6720</v>
      </c>
    </row>
    <row r="4963" spans="1:23" ht="15.6" x14ac:dyDescent="0.4">
      <c r="A4963" s="2" t="s">
        <v>2262</v>
      </c>
      <c r="B4963" s="5" t="s">
        <v>11086</v>
      </c>
      <c r="C4963" s="7" t="s">
        <v>12556</v>
      </c>
      <c r="D4963" s="8">
        <f t="shared" si="312"/>
        <v>0</v>
      </c>
      <c r="E4963" s="7" t="s">
        <v>12557</v>
      </c>
      <c r="F4963" s="7">
        <f t="shared" si="313"/>
        <v>0</v>
      </c>
      <c r="G4963" s="7" t="s">
        <v>12558</v>
      </c>
      <c r="H4963" s="7">
        <f t="shared" si="314"/>
        <v>0</v>
      </c>
      <c r="I4963" s="7" cm="1">
        <f t="array" ref="I4963">IFERROR(_xlfn.IFS(M4963="נח",1,M4963="נע ונח",1,M4963="שני שווא נח",2,M4963="שני שוואים בסוף מילה",2,M4963="שני שוואים ברצף",1),"0")</f>
        <v>1</v>
      </c>
      <c r="J4963" s="9">
        <f t="shared" si="315"/>
        <v>4</v>
      </c>
      <c r="K4963" t="s">
        <v>6697</v>
      </c>
      <c r="L4963" t="s">
        <v>6694</v>
      </c>
      <c r="M4963" t="s">
        <v>6705</v>
      </c>
      <c r="Q4963" t="s">
        <v>6694</v>
      </c>
      <c r="V4963" t="s">
        <v>6694</v>
      </c>
      <c r="W4963" t="s">
        <v>6720</v>
      </c>
    </row>
    <row r="4964" spans="1:23" ht="15.6" x14ac:dyDescent="0.4">
      <c r="A4964" s="2" t="s">
        <v>5655</v>
      </c>
      <c r="B4964" s="5" t="s">
        <v>11087</v>
      </c>
      <c r="C4964" s="7" t="s">
        <v>12556</v>
      </c>
      <c r="D4964" s="8">
        <f t="shared" si="312"/>
        <v>0</v>
      </c>
      <c r="E4964" s="7" t="s">
        <v>12557</v>
      </c>
      <c r="F4964" s="7">
        <f t="shared" si="313"/>
        <v>0</v>
      </c>
      <c r="G4964" s="7" t="s">
        <v>12558</v>
      </c>
      <c r="H4964" s="7">
        <f t="shared" si="314"/>
        <v>0</v>
      </c>
      <c r="I4964" s="7" t="str" cm="1">
        <f t="array" ref="I4964">IFERROR(_xlfn.IFS(M4964="נח",1,M4964="נע ונח",1,M4964="שני שווא נח",2,M4964="שני שוואים בסוף מילה",2,M4964="שני שוואים ברצף",1),"0")</f>
        <v>0</v>
      </c>
      <c r="J4964" s="9">
        <f t="shared" si="315"/>
        <v>3</v>
      </c>
      <c r="K4964" t="s">
        <v>6698</v>
      </c>
      <c r="L4964" t="s">
        <v>6695</v>
      </c>
      <c r="P4964" t="s">
        <v>6694</v>
      </c>
      <c r="Q4964" t="s">
        <v>6694</v>
      </c>
      <c r="V4964" t="s">
        <v>6694</v>
      </c>
      <c r="W4964" t="s">
        <v>6720</v>
      </c>
    </row>
    <row r="4965" spans="1:23" ht="15.6" x14ac:dyDescent="0.4">
      <c r="A4965" s="2" t="s">
        <v>5640</v>
      </c>
      <c r="B4965" s="5" t="s">
        <v>11088</v>
      </c>
      <c r="C4965" s="7" t="s">
        <v>12556</v>
      </c>
      <c r="D4965" s="8">
        <f t="shared" si="312"/>
        <v>0</v>
      </c>
      <c r="E4965" s="7" t="s">
        <v>12557</v>
      </c>
      <c r="F4965" s="7">
        <f t="shared" si="313"/>
        <v>0</v>
      </c>
      <c r="G4965" s="7" t="s">
        <v>12558</v>
      </c>
      <c r="H4965" s="7">
        <f t="shared" si="314"/>
        <v>0</v>
      </c>
      <c r="I4965" s="7" t="str" cm="1">
        <f t="array" ref="I4965">IFERROR(_xlfn.IFS(M4965="נח",1,M4965="נע ונח",1,M4965="שני שווא נח",2,M4965="שני שוואים בסוף מילה",2,M4965="שני שוואים ברצף",1),"0")</f>
        <v>0</v>
      </c>
      <c r="J4965" s="9">
        <f t="shared" si="315"/>
        <v>4</v>
      </c>
      <c r="K4965" t="s">
        <v>6697</v>
      </c>
      <c r="L4965" t="s">
        <v>6695</v>
      </c>
      <c r="O4965" t="s">
        <v>6694</v>
      </c>
      <c r="P4965" t="s">
        <v>6694</v>
      </c>
      <c r="R4965" t="s">
        <v>6694</v>
      </c>
      <c r="V4965" t="s">
        <v>6694</v>
      </c>
      <c r="W4965" t="s">
        <v>6720</v>
      </c>
    </row>
    <row r="4966" spans="1:23" ht="15.6" x14ac:dyDescent="0.4">
      <c r="A4966" s="2" t="s">
        <v>4658</v>
      </c>
      <c r="B4966" s="5" t="s">
        <v>11089</v>
      </c>
      <c r="C4966" s="7" t="s">
        <v>12556</v>
      </c>
      <c r="D4966" s="8">
        <f t="shared" si="312"/>
        <v>0</v>
      </c>
      <c r="E4966" s="7" t="s">
        <v>12557</v>
      </c>
      <c r="F4966" s="7">
        <f t="shared" si="313"/>
        <v>0</v>
      </c>
      <c r="G4966" s="7" t="s">
        <v>12558</v>
      </c>
      <c r="H4966" s="7">
        <f t="shared" si="314"/>
        <v>0</v>
      </c>
      <c r="I4966" s="7" t="str" cm="1">
        <f t="array" ref="I4966">IFERROR(_xlfn.IFS(M4966="נח",1,M4966="נע ונח",1,M4966="שני שווא נח",2,M4966="שני שוואים בסוף מילה",2,M4966="שני שוואים ברצף",1),"0")</f>
        <v>0</v>
      </c>
      <c r="J4966" s="9">
        <f t="shared" si="315"/>
        <v>2</v>
      </c>
      <c r="K4966" t="s">
        <v>6698</v>
      </c>
      <c r="L4966" t="s">
        <v>6695</v>
      </c>
      <c r="Q4966" t="s">
        <v>6694</v>
      </c>
      <c r="V4966" t="s">
        <v>6694</v>
      </c>
      <c r="W4966" t="s">
        <v>6720</v>
      </c>
    </row>
    <row r="4967" spans="1:23" ht="15.6" x14ac:dyDescent="0.4">
      <c r="A4967" s="2" t="s">
        <v>4489</v>
      </c>
      <c r="B4967" s="5" t="s">
        <v>11090</v>
      </c>
      <c r="C4967" s="7" t="s">
        <v>12556</v>
      </c>
      <c r="D4967" s="8">
        <f t="shared" si="312"/>
        <v>0</v>
      </c>
      <c r="E4967" s="7" t="s">
        <v>12557</v>
      </c>
      <c r="F4967" s="7">
        <f t="shared" si="313"/>
        <v>0</v>
      </c>
      <c r="G4967" s="7" t="s">
        <v>12558</v>
      </c>
      <c r="H4967" s="7">
        <f t="shared" si="314"/>
        <v>0</v>
      </c>
      <c r="I4967" s="7" t="str" cm="1">
        <f t="array" ref="I4967">IFERROR(_xlfn.IFS(M4967="נח",1,M4967="נע ונח",1,M4967="שני שווא נח",2,M4967="שני שוואים בסוף מילה",2,M4967="שני שוואים ברצף",1),"0")</f>
        <v>0</v>
      </c>
      <c r="J4967" s="9">
        <f t="shared" si="315"/>
        <v>2</v>
      </c>
      <c r="K4967" t="s">
        <v>6697</v>
      </c>
      <c r="L4967" t="s">
        <v>6695</v>
      </c>
      <c r="S4967" t="s">
        <v>6694</v>
      </c>
      <c r="V4967" t="s">
        <v>6694</v>
      </c>
      <c r="W4967" t="s">
        <v>6720</v>
      </c>
    </row>
    <row r="4968" spans="1:23" ht="15.6" x14ac:dyDescent="0.4">
      <c r="A4968" s="2" t="s">
        <v>1254</v>
      </c>
      <c r="B4968" s="5" t="s">
        <v>11091</v>
      </c>
      <c r="C4968" s="7" t="s">
        <v>12556</v>
      </c>
      <c r="D4968" s="8">
        <f t="shared" si="312"/>
        <v>0</v>
      </c>
      <c r="E4968" s="7" t="s">
        <v>12557</v>
      </c>
      <c r="F4968" s="7">
        <f t="shared" si="313"/>
        <v>0</v>
      </c>
      <c r="G4968" s="7" t="s">
        <v>12558</v>
      </c>
      <c r="H4968" s="7">
        <f t="shared" si="314"/>
        <v>0</v>
      </c>
      <c r="I4968" s="7" t="str" cm="1">
        <f t="array" ref="I4968">IFERROR(_xlfn.IFS(M4968="נח",1,M4968="נע ונח",1,M4968="שני שווא נח",2,M4968="שני שוואים בסוף מילה",2,M4968="שני שוואים ברצף",1),"0")</f>
        <v>0</v>
      </c>
      <c r="J4968" s="9">
        <f t="shared" si="315"/>
        <v>2</v>
      </c>
      <c r="K4968" t="s">
        <v>6697</v>
      </c>
      <c r="L4968" t="s">
        <v>6695</v>
      </c>
      <c r="Q4968" t="s">
        <v>6694</v>
      </c>
      <c r="V4968" t="s">
        <v>6694</v>
      </c>
      <c r="W4968" t="s">
        <v>6720</v>
      </c>
    </row>
    <row r="4969" spans="1:23" ht="15.6" x14ac:dyDescent="0.4">
      <c r="A4969" s="2" t="s">
        <v>4384</v>
      </c>
      <c r="B4969" s="5" t="s">
        <v>11092</v>
      </c>
      <c r="C4969" s="7" t="s">
        <v>12556</v>
      </c>
      <c r="D4969" s="8">
        <f t="shared" si="312"/>
        <v>0</v>
      </c>
      <c r="E4969" s="7" t="s">
        <v>12557</v>
      </c>
      <c r="F4969" s="7">
        <f t="shared" si="313"/>
        <v>0</v>
      </c>
      <c r="G4969" s="7" t="s">
        <v>12558</v>
      </c>
      <c r="H4969" s="7">
        <f t="shared" si="314"/>
        <v>0</v>
      </c>
      <c r="I4969" s="7" t="str" cm="1">
        <f t="array" ref="I4969">IFERROR(_xlfn.IFS(M4969="נח",1,M4969="נע ונח",1,M4969="שני שווא נח",2,M4969="שני שוואים בסוף מילה",2,M4969="שני שוואים ברצף",1),"0")</f>
        <v>0</v>
      </c>
      <c r="J4969" s="9">
        <f t="shared" si="315"/>
        <v>3</v>
      </c>
      <c r="K4969" t="s">
        <v>6698</v>
      </c>
      <c r="L4969" t="s">
        <v>6695</v>
      </c>
      <c r="O4969" t="s">
        <v>6694</v>
      </c>
      <c r="Q4969" t="s">
        <v>6694</v>
      </c>
      <c r="V4969" t="s">
        <v>6694</v>
      </c>
      <c r="W4969" t="s">
        <v>6720</v>
      </c>
    </row>
    <row r="4970" spans="1:23" ht="15.6" x14ac:dyDescent="0.4">
      <c r="A4970" s="2" t="s">
        <v>3272</v>
      </c>
      <c r="B4970" s="5" t="s">
        <v>11093</v>
      </c>
      <c r="C4970" s="7" t="s">
        <v>12556</v>
      </c>
      <c r="D4970" s="8">
        <f t="shared" si="312"/>
        <v>0</v>
      </c>
      <c r="E4970" s="7" t="s">
        <v>12557</v>
      </c>
      <c r="F4970" s="7">
        <f t="shared" si="313"/>
        <v>0</v>
      </c>
      <c r="G4970" s="7" t="s">
        <v>12558</v>
      </c>
      <c r="H4970" s="7">
        <f t="shared" si="314"/>
        <v>0</v>
      </c>
      <c r="I4970" s="7" t="str" cm="1">
        <f t="array" ref="I4970">IFERROR(_xlfn.IFS(M4970="נח",1,M4970="נע ונח",1,M4970="שני שווא נח",2,M4970="שני שוואים בסוף מילה",2,M4970="שני שוואים ברצף",1),"0")</f>
        <v>0</v>
      </c>
      <c r="J4970" s="9">
        <f t="shared" si="315"/>
        <v>3</v>
      </c>
      <c r="K4970" t="s">
        <v>6697</v>
      </c>
      <c r="L4970" t="s">
        <v>6695</v>
      </c>
      <c r="O4970" t="s">
        <v>6694</v>
      </c>
      <c r="V4970" t="s">
        <v>6694</v>
      </c>
      <c r="W4970" t="s">
        <v>6720</v>
      </c>
    </row>
    <row r="4971" spans="1:23" ht="15.6" x14ac:dyDescent="0.4">
      <c r="A4971" s="2" t="s">
        <v>4340</v>
      </c>
      <c r="B4971" s="5" t="s">
        <v>11094</v>
      </c>
      <c r="C4971" s="7" t="s">
        <v>12556</v>
      </c>
      <c r="D4971" s="8">
        <f t="shared" si="312"/>
        <v>1</v>
      </c>
      <c r="E4971" s="7" t="s">
        <v>12557</v>
      </c>
      <c r="F4971" s="7">
        <f t="shared" si="313"/>
        <v>0</v>
      </c>
      <c r="G4971" s="7" t="s">
        <v>12558</v>
      </c>
      <c r="H4971" s="7">
        <f t="shared" si="314"/>
        <v>0</v>
      </c>
      <c r="I4971" s="7" cm="1">
        <f t="array" ref="I4971">IFERROR(_xlfn.IFS(M4971="נח",1,M4971="נע ונח",1,M4971="שני שווא נח",2,M4971="שני שוואים בסוף מילה",2,M4971="שני שוואים ברצף",1),"0")</f>
        <v>1</v>
      </c>
      <c r="J4971" s="9">
        <f t="shared" si="315"/>
        <v>2</v>
      </c>
      <c r="K4971" t="s">
        <v>6698</v>
      </c>
      <c r="L4971" t="s">
        <v>6694</v>
      </c>
      <c r="M4971" t="s">
        <v>6705</v>
      </c>
      <c r="S4971" t="s">
        <v>6694</v>
      </c>
      <c r="V4971" t="s">
        <v>6694</v>
      </c>
      <c r="W4971" t="s">
        <v>6720</v>
      </c>
    </row>
    <row r="4972" spans="1:23" ht="15.6" x14ac:dyDescent="0.4">
      <c r="A4972" s="2" t="s">
        <v>3244</v>
      </c>
      <c r="B4972" s="5" t="s">
        <v>11095</v>
      </c>
      <c r="C4972" s="7" t="s">
        <v>12556</v>
      </c>
      <c r="D4972" s="8">
        <f t="shared" si="312"/>
        <v>1</v>
      </c>
      <c r="E4972" s="7" t="s">
        <v>12557</v>
      </c>
      <c r="F4972" s="7">
        <f t="shared" si="313"/>
        <v>0</v>
      </c>
      <c r="G4972" s="7" t="s">
        <v>12558</v>
      </c>
      <c r="H4972" s="7">
        <f t="shared" si="314"/>
        <v>0</v>
      </c>
      <c r="I4972" s="7" cm="1">
        <f t="array" ref="I4972">IFERROR(_xlfn.IFS(M4972="נח",1,M4972="נע ונח",1,M4972="שני שווא נח",2,M4972="שני שוואים בסוף מילה",2,M4972="שני שוואים ברצף",1),"0")</f>
        <v>1</v>
      </c>
      <c r="J4972" s="9">
        <f t="shared" si="315"/>
        <v>2</v>
      </c>
      <c r="K4972" t="s">
        <v>6698</v>
      </c>
      <c r="L4972" t="s">
        <v>6694</v>
      </c>
      <c r="M4972" t="s">
        <v>6705</v>
      </c>
      <c r="Q4972" t="s">
        <v>6694</v>
      </c>
      <c r="V4972" t="s">
        <v>6694</v>
      </c>
      <c r="W4972" t="s">
        <v>6720</v>
      </c>
    </row>
    <row r="4973" spans="1:23" ht="15.6" x14ac:dyDescent="0.4">
      <c r="A4973" s="2" t="s">
        <v>6529</v>
      </c>
      <c r="B4973" s="5" t="s">
        <v>11096</v>
      </c>
      <c r="C4973" s="7" t="s">
        <v>12556</v>
      </c>
      <c r="D4973" s="8">
        <f t="shared" si="312"/>
        <v>0</v>
      </c>
      <c r="E4973" s="7" t="s">
        <v>12557</v>
      </c>
      <c r="F4973" s="7">
        <f t="shared" si="313"/>
        <v>0</v>
      </c>
      <c r="G4973" s="7" t="s">
        <v>12558</v>
      </c>
      <c r="H4973" s="7">
        <f t="shared" si="314"/>
        <v>0</v>
      </c>
      <c r="I4973" s="7" t="str" cm="1">
        <f t="array" ref="I4973">IFERROR(_xlfn.IFS(M4973="נח",1,M4973="נע ונח",1,M4973="שני שווא נח",2,M4973="שני שוואים בסוף מילה",2,M4973="שני שוואים ברצף",1),"0")</f>
        <v>0</v>
      </c>
      <c r="J4973" s="9">
        <f t="shared" si="315"/>
        <v>2</v>
      </c>
      <c r="K4973" t="s">
        <v>6697</v>
      </c>
      <c r="L4973" t="s">
        <v>6695</v>
      </c>
      <c r="R4973" t="s">
        <v>6694</v>
      </c>
      <c r="V4973" t="s">
        <v>6694</v>
      </c>
      <c r="W4973" t="s">
        <v>6720</v>
      </c>
    </row>
    <row r="4974" spans="1:23" ht="15.6" x14ac:dyDescent="0.4">
      <c r="A4974" s="2" t="s">
        <v>2440</v>
      </c>
      <c r="B4974" s="5" t="s">
        <v>11096</v>
      </c>
      <c r="C4974" s="7" t="s">
        <v>12556</v>
      </c>
      <c r="D4974" s="8">
        <f t="shared" si="312"/>
        <v>0</v>
      </c>
      <c r="E4974" s="7" t="s">
        <v>12557</v>
      </c>
      <c r="F4974" s="7">
        <f t="shared" si="313"/>
        <v>0</v>
      </c>
      <c r="G4974" s="7" t="s">
        <v>12558</v>
      </c>
      <c r="H4974" s="7">
        <f t="shared" si="314"/>
        <v>0</v>
      </c>
      <c r="I4974" s="7" t="str" cm="1">
        <f t="array" ref="I4974">IFERROR(_xlfn.IFS(M4974="נח",1,M4974="נע ונח",1,M4974="שני שווא נח",2,M4974="שני שוואים בסוף מילה",2,M4974="שני שוואים ברצף",1),"0")</f>
        <v>0</v>
      </c>
      <c r="J4974" s="9">
        <f t="shared" si="315"/>
        <v>2</v>
      </c>
      <c r="K4974" t="s">
        <v>6697</v>
      </c>
      <c r="L4974" t="s">
        <v>6695</v>
      </c>
      <c r="O4974" t="s">
        <v>6694</v>
      </c>
      <c r="V4974" t="s">
        <v>6694</v>
      </c>
      <c r="W4974" t="s">
        <v>6720</v>
      </c>
    </row>
    <row r="4975" spans="1:23" ht="15.6" x14ac:dyDescent="0.4">
      <c r="A4975" s="2" t="s">
        <v>4486</v>
      </c>
      <c r="B4975" s="5" t="s">
        <v>11097</v>
      </c>
      <c r="C4975" s="7" t="s">
        <v>12556</v>
      </c>
      <c r="D4975" s="8">
        <f t="shared" si="312"/>
        <v>1</v>
      </c>
      <c r="E4975" s="7" t="s">
        <v>12557</v>
      </c>
      <c r="F4975" s="7">
        <f t="shared" si="313"/>
        <v>0</v>
      </c>
      <c r="G4975" s="7" t="s">
        <v>12558</v>
      </c>
      <c r="H4975" s="7">
        <f t="shared" si="314"/>
        <v>0</v>
      </c>
      <c r="I4975" s="7" t="str" cm="1">
        <f t="array" ref="I4975">IFERROR(_xlfn.IFS(M4975="נח",1,M4975="נע ונח",1,M4975="שני שווא נח",2,M4975="שני שוואים בסוף מילה",2,M4975="שני שוואים ברצף",1),"0")</f>
        <v>0</v>
      </c>
      <c r="J4975" s="9">
        <f t="shared" si="315"/>
        <v>2</v>
      </c>
      <c r="K4975" t="s">
        <v>6698</v>
      </c>
      <c r="L4975" t="s">
        <v>6695</v>
      </c>
      <c r="S4975" t="s">
        <v>6694</v>
      </c>
      <c r="V4975" t="s">
        <v>6694</v>
      </c>
      <c r="W4975" t="s">
        <v>6720</v>
      </c>
    </row>
    <row r="4976" spans="1:23" ht="15.6" x14ac:dyDescent="0.4">
      <c r="A4976" s="2" t="s">
        <v>1234</v>
      </c>
      <c r="B4976" s="5" t="s">
        <v>11098</v>
      </c>
      <c r="C4976" s="7" t="s">
        <v>12556</v>
      </c>
      <c r="D4976" s="8">
        <f t="shared" si="312"/>
        <v>1</v>
      </c>
      <c r="E4976" s="7" t="s">
        <v>12557</v>
      </c>
      <c r="F4976" s="7">
        <f t="shared" si="313"/>
        <v>0</v>
      </c>
      <c r="G4976" s="7" t="s">
        <v>12558</v>
      </c>
      <c r="H4976" s="7">
        <f t="shared" si="314"/>
        <v>0</v>
      </c>
      <c r="I4976" s="7" t="str" cm="1">
        <f t="array" ref="I4976">IFERROR(_xlfn.IFS(M4976="נח",1,M4976="נע ונח",1,M4976="שני שווא נח",2,M4976="שני שוואים בסוף מילה",2,M4976="שני שוואים ברצף",1),"0")</f>
        <v>0</v>
      </c>
      <c r="J4976" s="9">
        <f t="shared" si="315"/>
        <v>3</v>
      </c>
      <c r="K4976" t="s">
        <v>6697</v>
      </c>
      <c r="L4976" t="s">
        <v>6695</v>
      </c>
      <c r="S4976" t="s">
        <v>6694</v>
      </c>
      <c r="V4976" t="s">
        <v>6694</v>
      </c>
      <c r="W4976" t="s">
        <v>6720</v>
      </c>
    </row>
    <row r="4977" spans="1:23" ht="15.6" x14ac:dyDescent="0.4">
      <c r="A4977" s="2" t="s">
        <v>1849</v>
      </c>
      <c r="B4977" s="5" t="s">
        <v>11099</v>
      </c>
      <c r="C4977" s="7" t="s">
        <v>12556</v>
      </c>
      <c r="D4977" s="8">
        <f t="shared" si="312"/>
        <v>1</v>
      </c>
      <c r="E4977" s="7" t="s">
        <v>12557</v>
      </c>
      <c r="F4977" s="7">
        <f t="shared" si="313"/>
        <v>0</v>
      </c>
      <c r="G4977" s="7" t="s">
        <v>12558</v>
      </c>
      <c r="H4977" s="7">
        <f t="shared" si="314"/>
        <v>0</v>
      </c>
      <c r="I4977" s="7" t="str" cm="1">
        <f t="array" ref="I4977">IFERROR(_xlfn.IFS(M4977="נח",1,M4977="נע ונח",1,M4977="שני שווא נח",2,M4977="שני שוואים בסוף מילה",2,M4977="שני שוואים ברצף",1),"0")</f>
        <v>0</v>
      </c>
      <c r="J4977" s="9">
        <f t="shared" si="315"/>
        <v>3</v>
      </c>
      <c r="K4977" t="s">
        <v>6697</v>
      </c>
      <c r="L4977" t="s">
        <v>6695</v>
      </c>
      <c r="P4977" t="s">
        <v>6694</v>
      </c>
      <c r="S4977" t="s">
        <v>6694</v>
      </c>
      <c r="V4977" t="s">
        <v>6694</v>
      </c>
      <c r="W4977" t="s">
        <v>6720</v>
      </c>
    </row>
    <row r="4978" spans="1:23" ht="15.6" x14ac:dyDescent="0.4">
      <c r="A4978" s="2" t="s">
        <v>1094</v>
      </c>
      <c r="B4978" s="5" t="s">
        <v>11100</v>
      </c>
      <c r="C4978" s="7" t="s">
        <v>12556</v>
      </c>
      <c r="D4978" s="8">
        <f t="shared" si="312"/>
        <v>1</v>
      </c>
      <c r="E4978" s="7" t="s">
        <v>12557</v>
      </c>
      <c r="F4978" s="7">
        <f t="shared" si="313"/>
        <v>0</v>
      </c>
      <c r="G4978" s="7" t="s">
        <v>12558</v>
      </c>
      <c r="H4978" s="7">
        <f t="shared" si="314"/>
        <v>0</v>
      </c>
      <c r="I4978" s="7" t="str" cm="1">
        <f t="array" ref="I4978">IFERROR(_xlfn.IFS(M4978="נח",1,M4978="נע ונח",1,M4978="שני שווא נח",2,M4978="שני שוואים בסוף מילה",2,M4978="שני שוואים ברצף",1),"0")</f>
        <v>0</v>
      </c>
      <c r="J4978" s="9">
        <f t="shared" si="315"/>
        <v>3</v>
      </c>
      <c r="K4978" t="s">
        <v>6698</v>
      </c>
      <c r="L4978" t="s">
        <v>6695</v>
      </c>
      <c r="N4978" t="s">
        <v>6706</v>
      </c>
      <c r="O4978" t="s">
        <v>6694</v>
      </c>
      <c r="S4978" t="s">
        <v>6694</v>
      </c>
      <c r="V4978" t="s">
        <v>6694</v>
      </c>
      <c r="W4978" t="s">
        <v>6720</v>
      </c>
    </row>
    <row r="4979" spans="1:23" ht="15.6" x14ac:dyDescent="0.4">
      <c r="A4979" s="2" t="s">
        <v>5801</v>
      </c>
      <c r="B4979" s="5" t="s">
        <v>11101</v>
      </c>
      <c r="C4979" s="7" t="s">
        <v>12556</v>
      </c>
      <c r="D4979" s="8">
        <f t="shared" si="312"/>
        <v>1</v>
      </c>
      <c r="E4979" s="7" t="s">
        <v>12557</v>
      </c>
      <c r="F4979" s="7">
        <f t="shared" si="313"/>
        <v>0</v>
      </c>
      <c r="G4979" s="7" t="s">
        <v>12558</v>
      </c>
      <c r="H4979" s="7">
        <f t="shared" si="314"/>
        <v>0</v>
      </c>
      <c r="I4979" s="7" t="str" cm="1">
        <f t="array" ref="I4979">IFERROR(_xlfn.IFS(M4979="נח",1,M4979="נע ונח",1,M4979="שני שווא נח",2,M4979="שני שוואים בסוף מילה",2,M4979="שני שוואים ברצף",1),"0")</f>
        <v>0</v>
      </c>
      <c r="J4979" s="9">
        <f t="shared" si="315"/>
        <v>2</v>
      </c>
      <c r="K4979" t="s">
        <v>6698</v>
      </c>
      <c r="L4979" t="s">
        <v>6695</v>
      </c>
      <c r="Q4979" t="s">
        <v>6694</v>
      </c>
      <c r="V4979" t="s">
        <v>6694</v>
      </c>
      <c r="W4979" t="s">
        <v>6720</v>
      </c>
    </row>
    <row r="4980" spans="1:23" ht="15.6" x14ac:dyDescent="0.4">
      <c r="A4980" s="2" t="s">
        <v>1525</v>
      </c>
      <c r="B4980" s="5" t="s">
        <v>11102</v>
      </c>
      <c r="C4980" s="7" t="s">
        <v>12556</v>
      </c>
      <c r="D4980" s="8">
        <f t="shared" si="312"/>
        <v>1</v>
      </c>
      <c r="E4980" s="7" t="s">
        <v>12557</v>
      </c>
      <c r="F4980" s="7">
        <f t="shared" si="313"/>
        <v>0</v>
      </c>
      <c r="G4980" s="7" t="s">
        <v>12558</v>
      </c>
      <c r="H4980" s="7">
        <f t="shared" si="314"/>
        <v>0</v>
      </c>
      <c r="I4980" s="7" t="str" cm="1">
        <f t="array" ref="I4980">IFERROR(_xlfn.IFS(M4980="נח",1,M4980="נע ונח",1,M4980="שני שווא נח",2,M4980="שני שוואים בסוף מילה",2,M4980="שני שוואים ברצף",1),"0")</f>
        <v>0</v>
      </c>
      <c r="J4980" s="9">
        <f t="shared" si="315"/>
        <v>2</v>
      </c>
      <c r="K4980" t="s">
        <v>6698</v>
      </c>
      <c r="L4980" t="s">
        <v>6695</v>
      </c>
      <c r="N4980" t="s">
        <v>6706</v>
      </c>
      <c r="O4980" t="s">
        <v>6694</v>
      </c>
      <c r="V4980" t="s">
        <v>6694</v>
      </c>
      <c r="W4980" t="s">
        <v>6720</v>
      </c>
    </row>
    <row r="4981" spans="1:23" ht="15.6" x14ac:dyDescent="0.4">
      <c r="A4981" s="2" t="s">
        <v>3745</v>
      </c>
      <c r="B4981" s="5" t="s">
        <v>11103</v>
      </c>
      <c r="C4981" s="7" t="s">
        <v>12556</v>
      </c>
      <c r="D4981" s="8">
        <f t="shared" si="312"/>
        <v>0</v>
      </c>
      <c r="E4981" s="7" t="s">
        <v>12557</v>
      </c>
      <c r="F4981" s="7">
        <f t="shared" si="313"/>
        <v>1</v>
      </c>
      <c r="G4981" s="7" t="s">
        <v>12558</v>
      </c>
      <c r="H4981" s="7">
        <f t="shared" si="314"/>
        <v>1</v>
      </c>
      <c r="I4981" s="7" t="str" cm="1">
        <f t="array" ref="I4981">IFERROR(_xlfn.IFS(M4981="נח",1,M4981="נע ונח",1,M4981="שני שווא נח",2,M4981="שני שוואים בסוף מילה",2,M4981="שני שוואים ברצף",1),"0")</f>
        <v>0</v>
      </c>
      <c r="J4981" s="9">
        <f t="shared" si="315"/>
        <v>3</v>
      </c>
      <c r="K4981" t="s">
        <v>6698</v>
      </c>
      <c r="L4981" t="s">
        <v>6695</v>
      </c>
      <c r="O4981" t="s">
        <v>6694</v>
      </c>
      <c r="U4981" t="s">
        <v>6694</v>
      </c>
      <c r="V4981" t="s">
        <v>6694</v>
      </c>
      <c r="W4981" t="s">
        <v>6720</v>
      </c>
    </row>
    <row r="4982" spans="1:23" ht="15.6" x14ac:dyDescent="0.4">
      <c r="A4982" s="2" t="s">
        <v>4591</v>
      </c>
      <c r="B4982" s="5" t="s">
        <v>11104</v>
      </c>
      <c r="C4982" s="7" t="s">
        <v>12556</v>
      </c>
      <c r="D4982" s="8">
        <f t="shared" si="312"/>
        <v>0</v>
      </c>
      <c r="E4982" s="7" t="s">
        <v>12557</v>
      </c>
      <c r="F4982" s="7">
        <f t="shared" si="313"/>
        <v>1</v>
      </c>
      <c r="G4982" s="7" t="s">
        <v>12558</v>
      </c>
      <c r="H4982" s="7">
        <f t="shared" si="314"/>
        <v>1</v>
      </c>
      <c r="I4982" s="7" t="str" cm="1">
        <f t="array" ref="I4982">IFERROR(_xlfn.IFS(M4982="נח",1,M4982="נע ונח",1,M4982="שני שווא נח",2,M4982="שני שוואים בסוף מילה",2,M4982="שני שוואים ברצף",1),"0")</f>
        <v>0</v>
      </c>
      <c r="J4982" s="9">
        <f t="shared" si="315"/>
        <v>2</v>
      </c>
      <c r="K4982" t="s">
        <v>6698</v>
      </c>
      <c r="L4982" t="s">
        <v>6695</v>
      </c>
      <c r="N4982" t="s">
        <v>6706</v>
      </c>
      <c r="O4982" t="s">
        <v>6694</v>
      </c>
      <c r="U4982" t="s">
        <v>6694</v>
      </c>
      <c r="W4982" t="s">
        <v>6720</v>
      </c>
    </row>
    <row r="4983" spans="1:23" ht="15.6" x14ac:dyDescent="0.4">
      <c r="A4983" s="2" t="s">
        <v>5325</v>
      </c>
      <c r="B4983" s="5" t="s">
        <v>11105</v>
      </c>
      <c r="C4983" s="7" t="s">
        <v>12556</v>
      </c>
      <c r="D4983" s="8">
        <f t="shared" si="312"/>
        <v>0</v>
      </c>
      <c r="E4983" s="7" t="s">
        <v>12557</v>
      </c>
      <c r="F4983" s="7">
        <f t="shared" si="313"/>
        <v>1</v>
      </c>
      <c r="G4983" s="7" t="s">
        <v>12558</v>
      </c>
      <c r="H4983" s="7">
        <f t="shared" si="314"/>
        <v>1</v>
      </c>
      <c r="I4983" s="7" t="str" cm="1">
        <f t="array" ref="I4983">IFERROR(_xlfn.IFS(M4983="נח",1,M4983="נע ונח",1,M4983="שני שווא נח",2,M4983="שני שוואים בסוף מילה",2,M4983="שני שוואים ברצף",1),"0")</f>
        <v>0</v>
      </c>
      <c r="J4983" s="9">
        <f t="shared" si="315"/>
        <v>2</v>
      </c>
      <c r="K4983" t="s">
        <v>6698</v>
      </c>
      <c r="L4983" t="s">
        <v>6695</v>
      </c>
      <c r="N4983" t="s">
        <v>6706</v>
      </c>
      <c r="O4983" t="s">
        <v>6694</v>
      </c>
      <c r="U4983" t="s">
        <v>6694</v>
      </c>
      <c r="W4983" t="s">
        <v>6720</v>
      </c>
    </row>
    <row r="4984" spans="1:23" ht="15.6" x14ac:dyDescent="0.4">
      <c r="A4984" s="2" t="s">
        <v>4439</v>
      </c>
      <c r="B4984" s="5" t="s">
        <v>11106</v>
      </c>
      <c r="C4984" s="7" t="s">
        <v>12556</v>
      </c>
      <c r="D4984" s="8">
        <f t="shared" si="312"/>
        <v>0</v>
      </c>
      <c r="E4984" s="7" t="s">
        <v>12557</v>
      </c>
      <c r="F4984" s="7">
        <f t="shared" si="313"/>
        <v>1</v>
      </c>
      <c r="G4984" s="7" t="s">
        <v>12558</v>
      </c>
      <c r="H4984" s="7">
        <f t="shared" si="314"/>
        <v>1</v>
      </c>
      <c r="I4984" s="7" t="str" cm="1">
        <f t="array" ref="I4984">IFERROR(_xlfn.IFS(M4984="נח",1,M4984="נע ונח",1,M4984="שני שווא נח",2,M4984="שני שוואים בסוף מילה",2,M4984="שני שוואים ברצף",1),"0")</f>
        <v>0</v>
      </c>
      <c r="J4984" s="9">
        <f t="shared" si="315"/>
        <v>3</v>
      </c>
      <c r="K4984" t="s">
        <v>6697</v>
      </c>
      <c r="L4984" t="s">
        <v>6695</v>
      </c>
      <c r="O4984" t="s">
        <v>6694</v>
      </c>
      <c r="U4984" t="s">
        <v>6694</v>
      </c>
      <c r="W4984" t="s">
        <v>6720</v>
      </c>
    </row>
    <row r="4985" spans="1:23" ht="15.6" x14ac:dyDescent="0.4">
      <c r="A4985" s="2" t="s">
        <v>2865</v>
      </c>
      <c r="B4985" s="5" t="s">
        <v>11107</v>
      </c>
      <c r="C4985" s="7" t="s">
        <v>12556</v>
      </c>
      <c r="D4985" s="8">
        <f t="shared" si="312"/>
        <v>0</v>
      </c>
      <c r="E4985" s="7" t="s">
        <v>12557</v>
      </c>
      <c r="F4985" s="7">
        <f t="shared" si="313"/>
        <v>0</v>
      </c>
      <c r="G4985" s="7" t="s">
        <v>12558</v>
      </c>
      <c r="H4985" s="7">
        <f t="shared" si="314"/>
        <v>0</v>
      </c>
      <c r="I4985" s="7" t="str" cm="1">
        <f t="array" ref="I4985">IFERROR(_xlfn.IFS(M4985="נח",1,M4985="נע ונח",1,M4985="שני שווא נח",2,M4985="שני שוואים בסוף מילה",2,M4985="שני שוואים ברצף",1),"0")</f>
        <v>0</v>
      </c>
      <c r="J4985" s="9">
        <f t="shared" si="315"/>
        <v>2</v>
      </c>
      <c r="K4985" t="s">
        <v>6698</v>
      </c>
      <c r="L4985" t="s">
        <v>6694</v>
      </c>
      <c r="M4985" t="s">
        <v>6700</v>
      </c>
      <c r="T4985" t="s">
        <v>6694</v>
      </c>
      <c r="W4985" t="s">
        <v>6720</v>
      </c>
    </row>
    <row r="4986" spans="1:23" ht="15.6" x14ac:dyDescent="0.4">
      <c r="A4986" s="2" t="s">
        <v>4407</v>
      </c>
      <c r="B4986" s="5" t="s">
        <v>11108</v>
      </c>
      <c r="C4986" s="7" t="s">
        <v>12556</v>
      </c>
      <c r="D4986" s="8">
        <f t="shared" si="312"/>
        <v>0</v>
      </c>
      <c r="E4986" s="7" t="s">
        <v>12557</v>
      </c>
      <c r="F4986" s="7">
        <f t="shared" si="313"/>
        <v>0</v>
      </c>
      <c r="G4986" s="7" t="s">
        <v>12558</v>
      </c>
      <c r="H4986" s="7">
        <f t="shared" si="314"/>
        <v>0</v>
      </c>
      <c r="I4986" s="7" t="str" cm="1">
        <f t="array" ref="I4986">IFERROR(_xlfn.IFS(M4986="נח",1,M4986="נע ונח",1,M4986="שני שווא נח",2,M4986="שני שוואים בסוף מילה",2,M4986="שני שוואים ברצף",1),"0")</f>
        <v>0</v>
      </c>
      <c r="J4986" s="9">
        <f t="shared" si="315"/>
        <v>2</v>
      </c>
      <c r="K4986" t="s">
        <v>6698</v>
      </c>
      <c r="L4986" t="s">
        <v>6694</v>
      </c>
      <c r="M4986" t="s">
        <v>6700</v>
      </c>
      <c r="V4986" t="s">
        <v>6694</v>
      </c>
      <c r="W4986" t="s">
        <v>6720</v>
      </c>
    </row>
    <row r="4987" spans="1:23" ht="15.6" x14ac:dyDescent="0.4">
      <c r="A4987" s="2" t="s">
        <v>5198</v>
      </c>
      <c r="B4987" s="5" t="s">
        <v>11109</v>
      </c>
      <c r="C4987" s="7" t="s">
        <v>12556</v>
      </c>
      <c r="D4987" s="8">
        <f t="shared" si="312"/>
        <v>0</v>
      </c>
      <c r="E4987" s="7" t="s">
        <v>12557</v>
      </c>
      <c r="F4987" s="7">
        <f t="shared" si="313"/>
        <v>0</v>
      </c>
      <c r="G4987" s="7" t="s">
        <v>12558</v>
      </c>
      <c r="H4987" s="7">
        <f t="shared" si="314"/>
        <v>0</v>
      </c>
      <c r="I4987" s="7" cm="1">
        <f t="array" ref="I4987">IFERROR(_xlfn.IFS(M4987="נח",1,M4987="נע ונח",1,M4987="שני שווא נח",2,M4987="שני שוואים בסוף מילה",2,M4987="שני שוואים ברצף",1),"0")</f>
        <v>1</v>
      </c>
      <c r="J4987" s="9">
        <f t="shared" si="315"/>
        <v>3</v>
      </c>
      <c r="K4987" t="s">
        <v>6698</v>
      </c>
      <c r="L4987" t="s">
        <v>6694</v>
      </c>
      <c r="M4987" t="s">
        <v>6701</v>
      </c>
      <c r="O4987" t="s">
        <v>6694</v>
      </c>
      <c r="Q4987" t="s">
        <v>6694</v>
      </c>
      <c r="W4987" t="s">
        <v>6720</v>
      </c>
    </row>
    <row r="4988" spans="1:23" ht="15.6" x14ac:dyDescent="0.4">
      <c r="A4988" s="2" t="s">
        <v>4719</v>
      </c>
      <c r="B4988" s="5" t="s">
        <v>11110</v>
      </c>
      <c r="C4988" s="7" t="s">
        <v>12556</v>
      </c>
      <c r="D4988" s="8">
        <f t="shared" si="312"/>
        <v>0</v>
      </c>
      <c r="E4988" s="7" t="s">
        <v>12557</v>
      </c>
      <c r="F4988" s="7">
        <f t="shared" si="313"/>
        <v>0</v>
      </c>
      <c r="G4988" s="7" t="s">
        <v>12558</v>
      </c>
      <c r="H4988" s="7">
        <f t="shared" si="314"/>
        <v>0</v>
      </c>
      <c r="I4988" s="7" t="str" cm="1">
        <f t="array" ref="I4988">IFERROR(_xlfn.IFS(M4988="נח",1,M4988="נע ונח",1,M4988="שני שווא נח",2,M4988="שני שוואים בסוף מילה",2,M4988="שני שוואים ברצף",1),"0")</f>
        <v>0</v>
      </c>
      <c r="J4988" s="9">
        <f t="shared" si="315"/>
        <v>3</v>
      </c>
      <c r="K4988" t="s">
        <v>6698</v>
      </c>
      <c r="L4988" t="s">
        <v>6694</v>
      </c>
      <c r="M4988" t="s">
        <v>6700</v>
      </c>
      <c r="S4988" t="s">
        <v>6694</v>
      </c>
      <c r="W4988" t="s">
        <v>6720</v>
      </c>
    </row>
    <row r="4989" spans="1:23" ht="15.6" x14ac:dyDescent="0.4">
      <c r="A4989" s="2" t="s">
        <v>4274</v>
      </c>
      <c r="B4989" s="5" t="s">
        <v>11111</v>
      </c>
      <c r="C4989" s="7" t="s">
        <v>12556</v>
      </c>
      <c r="D4989" s="8">
        <f t="shared" si="312"/>
        <v>0</v>
      </c>
      <c r="E4989" s="7" t="s">
        <v>12557</v>
      </c>
      <c r="F4989" s="7">
        <f t="shared" si="313"/>
        <v>0</v>
      </c>
      <c r="G4989" s="7" t="s">
        <v>12558</v>
      </c>
      <c r="H4989" s="7">
        <f t="shared" si="314"/>
        <v>0</v>
      </c>
      <c r="I4989" s="7" t="str" cm="1">
        <f t="array" ref="I4989">IFERROR(_xlfn.IFS(M4989="נח",1,M4989="נע ונח",1,M4989="שני שווא נח",2,M4989="שני שוואים בסוף מילה",2,M4989="שני שוואים ברצף",1),"0")</f>
        <v>0</v>
      </c>
      <c r="J4989" s="9">
        <f t="shared" si="315"/>
        <v>3</v>
      </c>
      <c r="K4989" t="s">
        <v>6698</v>
      </c>
      <c r="L4989" t="s">
        <v>6694</v>
      </c>
      <c r="M4989" t="s">
        <v>6700</v>
      </c>
      <c r="P4989" t="s">
        <v>6694</v>
      </c>
      <c r="S4989" t="s">
        <v>6694</v>
      </c>
      <c r="W4989" t="s">
        <v>6720</v>
      </c>
    </row>
    <row r="4990" spans="1:23" ht="15.6" x14ac:dyDescent="0.4">
      <c r="A4990" s="2" t="s">
        <v>4738</v>
      </c>
      <c r="B4990" s="5" t="s">
        <v>11112</v>
      </c>
      <c r="C4990" s="7" t="s">
        <v>12556</v>
      </c>
      <c r="D4990" s="8">
        <f t="shared" si="312"/>
        <v>0</v>
      </c>
      <c r="E4990" s="7" t="s">
        <v>12557</v>
      </c>
      <c r="F4990" s="7">
        <f t="shared" si="313"/>
        <v>0</v>
      </c>
      <c r="G4990" s="7" t="s">
        <v>12558</v>
      </c>
      <c r="H4990" s="7">
        <f t="shared" si="314"/>
        <v>0</v>
      </c>
      <c r="I4990" s="7" t="str" cm="1">
        <f t="array" ref="I4990">IFERROR(_xlfn.IFS(M4990="נח",1,M4990="נע ונח",1,M4990="שני שווא נח",2,M4990="שני שוואים בסוף מילה",2,M4990="שני שוואים ברצף",1),"0")</f>
        <v>0</v>
      </c>
      <c r="J4990" s="9">
        <f t="shared" si="315"/>
        <v>4</v>
      </c>
      <c r="K4990" t="s">
        <v>6697</v>
      </c>
      <c r="L4990" t="s">
        <v>6694</v>
      </c>
      <c r="M4990" t="s">
        <v>6700</v>
      </c>
      <c r="O4990" t="s">
        <v>6694</v>
      </c>
      <c r="S4990" t="s">
        <v>6694</v>
      </c>
      <c r="W4990" t="s">
        <v>6720</v>
      </c>
    </row>
    <row r="4991" spans="1:23" ht="15.6" x14ac:dyDescent="0.4">
      <c r="A4991" s="2" t="s">
        <v>1232</v>
      </c>
      <c r="B4991" s="5" t="s">
        <v>11113</v>
      </c>
      <c r="C4991" s="7" t="s">
        <v>12556</v>
      </c>
      <c r="D4991" s="8">
        <f t="shared" si="312"/>
        <v>0</v>
      </c>
      <c r="E4991" s="7" t="s">
        <v>12557</v>
      </c>
      <c r="F4991" s="7">
        <f t="shared" si="313"/>
        <v>0</v>
      </c>
      <c r="G4991" s="7" t="s">
        <v>12558</v>
      </c>
      <c r="H4991" s="7">
        <f t="shared" si="314"/>
        <v>0</v>
      </c>
      <c r="I4991" s="7" t="str" cm="1">
        <f t="array" ref="I4991">IFERROR(_xlfn.IFS(M4991="נח",1,M4991="נע ונח",1,M4991="שני שווא נח",2,M4991="שני שוואים בסוף מילה",2,M4991="שני שוואים ברצף",1),"0")</f>
        <v>0</v>
      </c>
      <c r="J4991" s="9">
        <f t="shared" si="315"/>
        <v>3</v>
      </c>
      <c r="K4991" t="s">
        <v>6698</v>
      </c>
      <c r="L4991" t="s">
        <v>6694</v>
      </c>
      <c r="M4991" t="s">
        <v>6700</v>
      </c>
      <c r="S4991" t="s">
        <v>6694</v>
      </c>
      <c r="W4991" t="s">
        <v>6720</v>
      </c>
    </row>
    <row r="4992" spans="1:23" ht="15.6" x14ac:dyDescent="0.4">
      <c r="A4992" s="2" t="s">
        <v>1233</v>
      </c>
      <c r="B4992" s="5" t="s">
        <v>11114</v>
      </c>
      <c r="C4992" s="7" t="s">
        <v>12556</v>
      </c>
      <c r="D4992" s="8">
        <f t="shared" si="312"/>
        <v>0</v>
      </c>
      <c r="E4992" s="7" t="s">
        <v>12557</v>
      </c>
      <c r="F4992" s="7">
        <f t="shared" si="313"/>
        <v>0</v>
      </c>
      <c r="G4992" s="7" t="s">
        <v>12558</v>
      </c>
      <c r="H4992" s="7">
        <f t="shared" si="314"/>
        <v>0</v>
      </c>
      <c r="I4992" s="7" t="str" cm="1">
        <f t="array" ref="I4992">IFERROR(_xlfn.IFS(M4992="נח",1,M4992="נע ונח",1,M4992="שני שווא נח",2,M4992="שני שוואים בסוף מילה",2,M4992="שני שוואים ברצף",1),"0")</f>
        <v>0</v>
      </c>
      <c r="J4992" s="9">
        <f t="shared" si="315"/>
        <v>3</v>
      </c>
      <c r="K4992" t="s">
        <v>6697</v>
      </c>
      <c r="L4992" t="s">
        <v>6694</v>
      </c>
      <c r="M4992" t="s">
        <v>6700</v>
      </c>
      <c r="Q4992" t="s">
        <v>6694</v>
      </c>
      <c r="S4992" t="s">
        <v>6694</v>
      </c>
      <c r="W4992" t="s">
        <v>6720</v>
      </c>
    </row>
    <row r="4993" spans="1:23" ht="15.6" x14ac:dyDescent="0.4">
      <c r="A4993" s="2" t="s">
        <v>3914</v>
      </c>
      <c r="B4993" s="5" t="s">
        <v>11115</v>
      </c>
      <c r="C4993" s="7" t="s">
        <v>12556</v>
      </c>
      <c r="D4993" s="8">
        <f t="shared" si="312"/>
        <v>0</v>
      </c>
      <c r="E4993" s="7" t="s">
        <v>12557</v>
      </c>
      <c r="F4993" s="7">
        <f t="shared" si="313"/>
        <v>0</v>
      </c>
      <c r="G4993" s="7" t="s">
        <v>12558</v>
      </c>
      <c r="H4993" s="7">
        <f t="shared" si="314"/>
        <v>0</v>
      </c>
      <c r="I4993" s="7" t="str" cm="1">
        <f t="array" ref="I4993">IFERROR(_xlfn.IFS(M4993="נח",1,M4993="נע ונח",1,M4993="שני שווא נח",2,M4993="שני שוואים בסוף מילה",2,M4993="שני שוואים ברצף",1),"0")</f>
        <v>0</v>
      </c>
      <c r="J4993" s="9">
        <f t="shared" si="315"/>
        <v>3</v>
      </c>
      <c r="K4993" t="s">
        <v>6697</v>
      </c>
      <c r="L4993" t="s">
        <v>6694</v>
      </c>
      <c r="M4993" t="s">
        <v>6700</v>
      </c>
      <c r="O4993" t="s">
        <v>6694</v>
      </c>
      <c r="S4993" t="s">
        <v>6694</v>
      </c>
      <c r="W4993" t="s">
        <v>6720</v>
      </c>
    </row>
    <row r="4994" spans="1:23" ht="15.6" x14ac:dyDescent="0.4">
      <c r="A4994" s="2" t="s">
        <v>2873</v>
      </c>
      <c r="B4994" s="5" t="s">
        <v>11116</v>
      </c>
      <c r="C4994" s="7" t="s">
        <v>12556</v>
      </c>
      <c r="D4994" s="8">
        <f t="shared" si="312"/>
        <v>0</v>
      </c>
      <c r="E4994" s="7" t="s">
        <v>12557</v>
      </c>
      <c r="F4994" s="7">
        <f t="shared" si="313"/>
        <v>0</v>
      </c>
      <c r="G4994" s="7" t="s">
        <v>12558</v>
      </c>
      <c r="H4994" s="7">
        <f t="shared" si="314"/>
        <v>0</v>
      </c>
      <c r="I4994" s="7" t="str" cm="1">
        <f t="array" ref="I4994">IFERROR(_xlfn.IFS(M4994="נח",1,M4994="נע ונח",1,M4994="שני שווא נח",2,M4994="שני שוואים בסוף מילה",2,M4994="שני שוואים ברצף",1),"0")</f>
        <v>0</v>
      </c>
      <c r="J4994" s="9">
        <f t="shared" si="315"/>
        <v>3</v>
      </c>
      <c r="K4994" t="s">
        <v>6698</v>
      </c>
      <c r="L4994" t="s">
        <v>6694</v>
      </c>
      <c r="M4994" t="s">
        <v>6700</v>
      </c>
      <c r="O4994" t="s">
        <v>6694</v>
      </c>
      <c r="V4994" t="s">
        <v>6694</v>
      </c>
      <c r="W4994" t="s">
        <v>6720</v>
      </c>
    </row>
    <row r="4995" spans="1:23" ht="15.6" x14ac:dyDescent="0.4">
      <c r="A4995" s="2" t="s">
        <v>4501</v>
      </c>
      <c r="B4995" s="5" t="s">
        <v>11117</v>
      </c>
      <c r="C4995" s="7" t="s">
        <v>12556</v>
      </c>
      <c r="D4995" s="8">
        <f t="shared" ref="D4995:D5058" si="316">(LEN(B4995)-LEN(SUBSTITUTE(B4995,C4995,"")))</f>
        <v>0</v>
      </c>
      <c r="E4995" s="7" t="s">
        <v>12557</v>
      </c>
      <c r="F4995" s="7">
        <f t="shared" ref="F4995:F5058" si="317">(LEN(A4995)-LEN(SUBSTITUTE(A4995,E4995,"")))</f>
        <v>0</v>
      </c>
      <c r="G4995" s="7" t="s">
        <v>12558</v>
      </c>
      <c r="H4995" s="7">
        <f t="shared" ref="H4995:H5058" si="318">(LEN(A4995)-LEN(SUBSTITUTE(A4995,G4995,"")))/2</f>
        <v>0</v>
      </c>
      <c r="I4995" s="7" t="str" cm="1">
        <f t="array" ref="I4995">IFERROR(_xlfn.IFS(M4995="נח",1,M4995="נע ונח",1,M4995="שני שווא נח",2,M4995="שני שוואים בסוף מילה",2,M4995="שני שוואים ברצף",1),"0")</f>
        <v>0</v>
      </c>
      <c r="J4995" s="9">
        <f t="shared" ref="J4995:J5058" si="319">LEN(A4995)-(LEN(B4995))-D4995-F4995+H4995-I4995</f>
        <v>3</v>
      </c>
      <c r="K4995" t="s">
        <v>6698</v>
      </c>
      <c r="L4995" t="s">
        <v>6694</v>
      </c>
      <c r="M4995" t="s">
        <v>6700</v>
      </c>
      <c r="O4995" t="s">
        <v>6694</v>
      </c>
      <c r="V4995" t="s">
        <v>6694</v>
      </c>
      <c r="W4995" t="s">
        <v>6720</v>
      </c>
    </row>
    <row r="4996" spans="1:23" ht="15.6" x14ac:dyDescent="0.4">
      <c r="A4996" s="2" t="s">
        <v>4091</v>
      </c>
      <c r="B4996" s="5" t="s">
        <v>11118</v>
      </c>
      <c r="C4996" s="7" t="s">
        <v>12556</v>
      </c>
      <c r="D4996" s="8">
        <f t="shared" si="316"/>
        <v>0</v>
      </c>
      <c r="E4996" s="7" t="s">
        <v>12557</v>
      </c>
      <c r="F4996" s="7">
        <f t="shared" si="317"/>
        <v>0</v>
      </c>
      <c r="G4996" s="7" t="s">
        <v>12558</v>
      </c>
      <c r="H4996" s="7">
        <f t="shared" si="318"/>
        <v>0</v>
      </c>
      <c r="I4996" s="7" t="str" cm="1">
        <f t="array" ref="I4996">IFERROR(_xlfn.IFS(M4996="נח",1,M4996="נע ונח",1,M4996="שני שווא נח",2,M4996="שני שוואים בסוף מילה",2,M4996="שני שוואים ברצף",1),"0")</f>
        <v>0</v>
      </c>
      <c r="J4996" s="9">
        <f t="shared" si="319"/>
        <v>4</v>
      </c>
      <c r="K4996" t="s">
        <v>6697</v>
      </c>
      <c r="L4996" t="s">
        <v>6694</v>
      </c>
      <c r="M4996" t="s">
        <v>6700</v>
      </c>
      <c r="O4996" t="s">
        <v>6694</v>
      </c>
      <c r="R4996" t="s">
        <v>6694</v>
      </c>
      <c r="W4996" t="s">
        <v>6720</v>
      </c>
    </row>
    <row r="4997" spans="1:23" ht="15.6" x14ac:dyDescent="0.4">
      <c r="A4997" s="2" t="s">
        <v>368</v>
      </c>
      <c r="B4997" s="5" t="s">
        <v>11119</v>
      </c>
      <c r="C4997" s="7" t="s">
        <v>12556</v>
      </c>
      <c r="D4997" s="8">
        <f t="shared" si="316"/>
        <v>0</v>
      </c>
      <c r="E4997" s="7" t="s">
        <v>12557</v>
      </c>
      <c r="F4997" s="7">
        <f t="shared" si="317"/>
        <v>0</v>
      </c>
      <c r="G4997" s="7" t="s">
        <v>12558</v>
      </c>
      <c r="H4997" s="7">
        <f t="shared" si="318"/>
        <v>0</v>
      </c>
      <c r="I4997" s="7" t="str" cm="1">
        <f t="array" ref="I4997">IFERROR(_xlfn.IFS(M4997="נח",1,M4997="נע ונח",1,M4997="שני שווא נח",2,M4997="שני שוואים בסוף מילה",2,M4997="שני שוואים ברצף",1),"0")</f>
        <v>0</v>
      </c>
      <c r="J4997" s="9">
        <f t="shared" si="319"/>
        <v>3</v>
      </c>
      <c r="K4997" t="s">
        <v>6698</v>
      </c>
      <c r="L4997" t="s">
        <v>6694</v>
      </c>
      <c r="M4997" t="s">
        <v>6700</v>
      </c>
      <c r="O4997" t="s">
        <v>6694</v>
      </c>
      <c r="P4997" t="s">
        <v>6694</v>
      </c>
      <c r="W4997" t="s">
        <v>6720</v>
      </c>
    </row>
    <row r="4998" spans="1:23" ht="15.6" x14ac:dyDescent="0.4">
      <c r="A4998" s="2" t="s">
        <v>6483</v>
      </c>
      <c r="B4998" s="5" t="s">
        <v>11119</v>
      </c>
      <c r="C4998" s="7" t="s">
        <v>12556</v>
      </c>
      <c r="D4998" s="8">
        <f t="shared" si="316"/>
        <v>0</v>
      </c>
      <c r="E4998" s="7" t="s">
        <v>12557</v>
      </c>
      <c r="F4998" s="7">
        <f t="shared" si="317"/>
        <v>0</v>
      </c>
      <c r="G4998" s="7" t="s">
        <v>12558</v>
      </c>
      <c r="H4998" s="7">
        <f t="shared" si="318"/>
        <v>0</v>
      </c>
      <c r="I4998" s="7" t="str" cm="1">
        <f t="array" ref="I4998">IFERROR(_xlfn.IFS(M4998="נח",1,M4998="נע ונח",1,M4998="שני שווא נח",2,M4998="שני שוואים בסוף מילה",2,M4998="שני שוואים ברצף",1),"0")</f>
        <v>0</v>
      </c>
      <c r="J4998" s="9">
        <f t="shared" si="319"/>
        <v>3</v>
      </c>
      <c r="K4998" t="s">
        <v>6698</v>
      </c>
      <c r="L4998" t="s">
        <v>6694</v>
      </c>
      <c r="M4998" t="s">
        <v>6700</v>
      </c>
      <c r="N4998" t="s">
        <v>6706</v>
      </c>
      <c r="O4998" t="s">
        <v>6694</v>
      </c>
      <c r="W4998" t="s">
        <v>6720</v>
      </c>
    </row>
    <row r="4999" spans="1:23" ht="15.6" x14ac:dyDescent="0.4">
      <c r="A4999" s="2" t="s">
        <v>4007</v>
      </c>
      <c r="B4999" s="5" t="s">
        <v>11120</v>
      </c>
      <c r="C4999" s="7" t="s">
        <v>12556</v>
      </c>
      <c r="D4999" s="8">
        <f t="shared" si="316"/>
        <v>0</v>
      </c>
      <c r="E4999" s="7" t="s">
        <v>12557</v>
      </c>
      <c r="F4999" s="7">
        <f t="shared" si="317"/>
        <v>0</v>
      </c>
      <c r="G4999" s="7" t="s">
        <v>12558</v>
      </c>
      <c r="H4999" s="7">
        <f t="shared" si="318"/>
        <v>0</v>
      </c>
      <c r="I4999" s="7" t="str" cm="1">
        <f t="array" ref="I4999">IFERROR(_xlfn.IFS(M4999="נח",1,M4999="נע ונח",1,M4999="שני שווא נח",2,M4999="שני שוואים בסוף מילה",2,M4999="שני שוואים ברצף",1),"0")</f>
        <v>0</v>
      </c>
      <c r="J4999" s="9">
        <f t="shared" si="319"/>
        <v>2</v>
      </c>
      <c r="K4999" t="s">
        <v>6698</v>
      </c>
      <c r="L4999" t="s">
        <v>6694</v>
      </c>
      <c r="M4999" t="s">
        <v>6700</v>
      </c>
      <c r="V4999" t="s">
        <v>6694</v>
      </c>
      <c r="W4999" t="s">
        <v>6720</v>
      </c>
    </row>
    <row r="5000" spans="1:23" ht="15.6" x14ac:dyDescent="0.4">
      <c r="A5000" s="2" t="s">
        <v>4030</v>
      </c>
      <c r="B5000" s="5" t="s">
        <v>11121</v>
      </c>
      <c r="C5000" s="7" t="s">
        <v>12556</v>
      </c>
      <c r="D5000" s="8">
        <f t="shared" si="316"/>
        <v>0</v>
      </c>
      <c r="E5000" s="7" t="s">
        <v>12557</v>
      </c>
      <c r="F5000" s="7">
        <f t="shared" si="317"/>
        <v>1</v>
      </c>
      <c r="G5000" s="7" t="s">
        <v>12558</v>
      </c>
      <c r="H5000" s="7">
        <f t="shared" si="318"/>
        <v>0</v>
      </c>
      <c r="I5000" s="7" cm="1">
        <f t="array" ref="I5000">IFERROR(_xlfn.IFS(M5000="נח",1,M5000="נע ונח",1,M5000="שני שווא נח",2,M5000="שני שוואים בסוף מילה",2,M5000="שני שוואים ברצף",1),"0")</f>
        <v>1</v>
      </c>
      <c r="J5000" s="9">
        <f t="shared" si="319"/>
        <v>3</v>
      </c>
      <c r="K5000" t="s">
        <v>6698</v>
      </c>
      <c r="L5000" t="s">
        <v>6694</v>
      </c>
      <c r="M5000" t="s">
        <v>6701</v>
      </c>
      <c r="P5000" t="s">
        <v>6694</v>
      </c>
      <c r="Q5000" t="s">
        <v>6694</v>
      </c>
      <c r="W5000" t="s">
        <v>6720</v>
      </c>
    </row>
    <row r="5001" spans="1:23" ht="15.6" x14ac:dyDescent="0.4">
      <c r="A5001" s="2" t="s">
        <v>1598</v>
      </c>
      <c r="B5001" s="5" t="s">
        <v>11122</v>
      </c>
      <c r="C5001" s="7" t="s">
        <v>12556</v>
      </c>
      <c r="D5001" s="8">
        <f t="shared" si="316"/>
        <v>0</v>
      </c>
      <c r="E5001" s="7" t="s">
        <v>12557</v>
      </c>
      <c r="F5001" s="7">
        <f t="shared" si="317"/>
        <v>0</v>
      </c>
      <c r="G5001" s="7" t="s">
        <v>12558</v>
      </c>
      <c r="H5001" s="7">
        <f t="shared" si="318"/>
        <v>0</v>
      </c>
      <c r="I5001" s="7" t="str" cm="1">
        <f t="array" ref="I5001">IFERROR(_xlfn.IFS(M5001="נח",1,M5001="נע ונח",1,M5001="שני שווא נח",2,M5001="שני שוואים בסוף מילה",2,M5001="שני שוואים ברצף",1),"0")</f>
        <v>0</v>
      </c>
      <c r="J5001" s="9">
        <f t="shared" si="319"/>
        <v>3</v>
      </c>
      <c r="K5001" t="s">
        <v>6698</v>
      </c>
      <c r="L5001" t="s">
        <v>6694</v>
      </c>
      <c r="M5001" t="s">
        <v>6700</v>
      </c>
      <c r="O5001" t="s">
        <v>6694</v>
      </c>
      <c r="V5001" t="s">
        <v>6694</v>
      </c>
      <c r="W5001" t="s">
        <v>6720</v>
      </c>
    </row>
    <row r="5002" spans="1:23" ht="15.6" x14ac:dyDescent="0.4">
      <c r="A5002" s="2" t="s">
        <v>3168</v>
      </c>
      <c r="B5002" s="5" t="s">
        <v>11123</v>
      </c>
      <c r="C5002" s="7" t="s">
        <v>12556</v>
      </c>
      <c r="D5002" s="8">
        <f t="shared" si="316"/>
        <v>0</v>
      </c>
      <c r="E5002" s="7" t="s">
        <v>12557</v>
      </c>
      <c r="F5002" s="7">
        <f t="shared" si="317"/>
        <v>0</v>
      </c>
      <c r="G5002" s="7" t="s">
        <v>12558</v>
      </c>
      <c r="H5002" s="7">
        <f t="shared" si="318"/>
        <v>0</v>
      </c>
      <c r="I5002" s="7" t="str" cm="1">
        <f t="array" ref="I5002">IFERROR(_xlfn.IFS(M5002="נח",1,M5002="נע ונח",1,M5002="שני שווא נח",2,M5002="שני שוואים בסוף מילה",2,M5002="שני שוואים ברצף",1),"0")</f>
        <v>0</v>
      </c>
      <c r="J5002" s="9">
        <f t="shared" si="319"/>
        <v>3</v>
      </c>
      <c r="K5002" t="s">
        <v>6697</v>
      </c>
      <c r="L5002" t="s">
        <v>6694</v>
      </c>
      <c r="M5002" t="s">
        <v>6700</v>
      </c>
      <c r="Q5002" t="s">
        <v>6694</v>
      </c>
      <c r="S5002" t="s">
        <v>6694</v>
      </c>
      <c r="W5002" t="s">
        <v>6720</v>
      </c>
    </row>
    <row r="5003" spans="1:23" ht="15.6" x14ac:dyDescent="0.4">
      <c r="A5003" s="2" t="s">
        <v>1557</v>
      </c>
      <c r="B5003" s="5" t="s">
        <v>11124</v>
      </c>
      <c r="C5003" s="7" t="s">
        <v>12556</v>
      </c>
      <c r="D5003" s="8">
        <f t="shared" si="316"/>
        <v>1</v>
      </c>
      <c r="E5003" s="7" t="s">
        <v>12557</v>
      </c>
      <c r="F5003" s="7">
        <f t="shared" si="317"/>
        <v>0</v>
      </c>
      <c r="G5003" s="7" t="s">
        <v>12558</v>
      </c>
      <c r="H5003" s="7">
        <f t="shared" si="318"/>
        <v>0</v>
      </c>
      <c r="I5003" s="7" t="str" cm="1">
        <f t="array" ref="I5003">IFERROR(_xlfn.IFS(M5003="נח",1,M5003="נע ונח",1,M5003="שני שווא נח",2,M5003="שני שוואים בסוף מילה",2,M5003="שני שוואים ברצף",1),"0")</f>
        <v>0</v>
      </c>
      <c r="J5003" s="9">
        <f t="shared" si="319"/>
        <v>3</v>
      </c>
      <c r="K5003" t="s">
        <v>6698</v>
      </c>
      <c r="L5003" t="s">
        <v>6694</v>
      </c>
      <c r="M5003" t="s">
        <v>6700</v>
      </c>
      <c r="R5003" t="s">
        <v>6694</v>
      </c>
      <c r="V5003" t="s">
        <v>6694</v>
      </c>
      <c r="W5003" t="s">
        <v>6720</v>
      </c>
    </row>
    <row r="5004" spans="1:23" ht="15.6" x14ac:dyDescent="0.4">
      <c r="A5004" s="2" t="s">
        <v>2052</v>
      </c>
      <c r="B5004" s="5" t="s">
        <v>11125</v>
      </c>
      <c r="C5004" s="7" t="s">
        <v>12556</v>
      </c>
      <c r="D5004" s="8">
        <f t="shared" si="316"/>
        <v>1</v>
      </c>
      <c r="E5004" s="7" t="s">
        <v>12557</v>
      </c>
      <c r="F5004" s="7">
        <f t="shared" si="317"/>
        <v>1</v>
      </c>
      <c r="G5004" s="7" t="s">
        <v>12558</v>
      </c>
      <c r="H5004" s="7">
        <f t="shared" si="318"/>
        <v>1</v>
      </c>
      <c r="I5004" s="7" t="str" cm="1">
        <f t="array" ref="I5004">IFERROR(_xlfn.IFS(M5004="נח",1,M5004="נע ונח",1,M5004="שני שווא נח",2,M5004="שני שוואים בסוף מילה",2,M5004="שני שוואים ברצף",1),"0")</f>
        <v>0</v>
      </c>
      <c r="J5004" s="9">
        <f t="shared" si="319"/>
        <v>3</v>
      </c>
      <c r="K5004" t="s">
        <v>6697</v>
      </c>
      <c r="L5004" t="s">
        <v>6694</v>
      </c>
      <c r="M5004" t="s">
        <v>6700</v>
      </c>
      <c r="O5004" t="s">
        <v>6694</v>
      </c>
      <c r="U5004" t="s">
        <v>6694</v>
      </c>
      <c r="W5004" t="s">
        <v>6720</v>
      </c>
    </row>
    <row r="5005" spans="1:23" ht="15.6" x14ac:dyDescent="0.4">
      <c r="A5005" s="2" t="s">
        <v>1787</v>
      </c>
      <c r="B5005" s="5" t="s">
        <v>11126</v>
      </c>
      <c r="C5005" s="7" t="s">
        <v>12556</v>
      </c>
      <c r="D5005" s="8">
        <f t="shared" si="316"/>
        <v>0</v>
      </c>
      <c r="E5005" s="7" t="s">
        <v>12557</v>
      </c>
      <c r="F5005" s="7">
        <f t="shared" si="317"/>
        <v>1</v>
      </c>
      <c r="G5005" s="7" t="s">
        <v>12558</v>
      </c>
      <c r="H5005" s="7">
        <f t="shared" si="318"/>
        <v>1</v>
      </c>
      <c r="I5005" s="7" t="str" cm="1">
        <f t="array" ref="I5005">IFERROR(_xlfn.IFS(M5005="נח",1,M5005="נע ונח",1,M5005="שני שווא נח",2,M5005="שני שוואים בסוף מילה",2,M5005="שני שוואים ברצף",1),"0")</f>
        <v>0</v>
      </c>
      <c r="J5005" s="9">
        <f t="shared" si="319"/>
        <v>3</v>
      </c>
      <c r="K5005" t="s">
        <v>6697</v>
      </c>
      <c r="L5005" t="s">
        <v>6694</v>
      </c>
      <c r="M5005" t="s">
        <v>6700</v>
      </c>
      <c r="O5005" t="s">
        <v>6694</v>
      </c>
      <c r="U5005" t="s">
        <v>6694</v>
      </c>
      <c r="W5005" t="s">
        <v>6720</v>
      </c>
    </row>
    <row r="5006" spans="1:23" ht="15.6" x14ac:dyDescent="0.4">
      <c r="A5006" s="2" t="s">
        <v>5708</v>
      </c>
      <c r="B5006" s="5" t="s">
        <v>11127</v>
      </c>
      <c r="C5006" s="7" t="s">
        <v>12556</v>
      </c>
      <c r="D5006" s="8">
        <f t="shared" si="316"/>
        <v>0</v>
      </c>
      <c r="E5006" s="7" t="s">
        <v>12557</v>
      </c>
      <c r="F5006" s="7">
        <f t="shared" si="317"/>
        <v>0</v>
      </c>
      <c r="G5006" s="7" t="s">
        <v>12558</v>
      </c>
      <c r="H5006" s="7">
        <f t="shared" si="318"/>
        <v>0</v>
      </c>
      <c r="I5006" s="7" t="str" cm="1">
        <f t="array" ref="I5006">IFERROR(_xlfn.IFS(M5006="נח",1,M5006="נע ונח",1,M5006="שני שווא נח",2,M5006="שני שוואים בסוף מילה",2,M5006="שני שוואים ברצף",1),"0")</f>
        <v>0</v>
      </c>
      <c r="J5006" s="9">
        <f t="shared" si="319"/>
        <v>3</v>
      </c>
      <c r="K5006" t="s">
        <v>6698</v>
      </c>
      <c r="L5006" t="s">
        <v>6694</v>
      </c>
      <c r="M5006" t="s">
        <v>6700</v>
      </c>
      <c r="P5006" t="s">
        <v>6694</v>
      </c>
      <c r="Q5006" t="s">
        <v>6694</v>
      </c>
      <c r="W5006" t="s">
        <v>6720</v>
      </c>
    </row>
    <row r="5007" spans="1:23" ht="15.6" x14ac:dyDescent="0.4">
      <c r="A5007" s="2" t="s">
        <v>3173</v>
      </c>
      <c r="B5007" s="5" t="s">
        <v>11128</v>
      </c>
      <c r="C5007" s="7" t="s">
        <v>12556</v>
      </c>
      <c r="D5007" s="8">
        <f t="shared" si="316"/>
        <v>0</v>
      </c>
      <c r="E5007" s="7" t="s">
        <v>12557</v>
      </c>
      <c r="F5007" s="7">
        <f t="shared" si="317"/>
        <v>0</v>
      </c>
      <c r="G5007" s="7" t="s">
        <v>12558</v>
      </c>
      <c r="H5007" s="7">
        <f t="shared" si="318"/>
        <v>0</v>
      </c>
      <c r="I5007" s="7" t="str" cm="1">
        <f t="array" ref="I5007">IFERROR(_xlfn.IFS(M5007="נח",1,M5007="נע ונח",1,M5007="שני שווא נח",2,M5007="שני שוואים בסוף מילה",2,M5007="שני שוואים ברצף",1),"0")</f>
        <v>0</v>
      </c>
      <c r="J5007" s="9">
        <f t="shared" si="319"/>
        <v>3</v>
      </c>
      <c r="K5007" t="s">
        <v>6697</v>
      </c>
      <c r="L5007" t="s">
        <v>6694</v>
      </c>
      <c r="M5007" t="s">
        <v>6700</v>
      </c>
      <c r="O5007" t="s">
        <v>6694</v>
      </c>
      <c r="V5007" t="s">
        <v>6694</v>
      </c>
      <c r="W5007" t="s">
        <v>6720</v>
      </c>
    </row>
    <row r="5008" spans="1:23" ht="15.6" x14ac:dyDescent="0.4">
      <c r="A5008" s="2" t="s">
        <v>4659</v>
      </c>
      <c r="B5008" s="5" t="s">
        <v>11129</v>
      </c>
      <c r="C5008" s="7" t="s">
        <v>12556</v>
      </c>
      <c r="D5008" s="8">
        <f t="shared" si="316"/>
        <v>0</v>
      </c>
      <c r="E5008" s="7" t="s">
        <v>12557</v>
      </c>
      <c r="F5008" s="7">
        <f t="shared" si="317"/>
        <v>0</v>
      </c>
      <c r="G5008" s="7" t="s">
        <v>12558</v>
      </c>
      <c r="H5008" s="7">
        <f t="shared" si="318"/>
        <v>0</v>
      </c>
      <c r="I5008" s="7" t="str" cm="1">
        <f t="array" ref="I5008">IFERROR(_xlfn.IFS(M5008="נח",1,M5008="נע ונח",1,M5008="שני שווא נח",2,M5008="שני שוואים בסוף מילה",2,M5008="שני שוואים ברצף",1),"0")</f>
        <v>0</v>
      </c>
      <c r="J5008" s="9">
        <f t="shared" si="319"/>
        <v>3</v>
      </c>
      <c r="K5008" t="s">
        <v>6698</v>
      </c>
      <c r="L5008" t="s">
        <v>6694</v>
      </c>
      <c r="M5008" t="s">
        <v>6700</v>
      </c>
      <c r="S5008" t="s">
        <v>6694</v>
      </c>
      <c r="V5008" t="s">
        <v>6694</v>
      </c>
      <c r="W5008" t="s">
        <v>6720</v>
      </c>
    </row>
    <row r="5009" spans="1:23" ht="15.6" x14ac:dyDescent="0.4">
      <c r="A5009" s="2" t="s">
        <v>3613</v>
      </c>
      <c r="B5009" s="5" t="s">
        <v>11130</v>
      </c>
      <c r="C5009" s="7" t="s">
        <v>12556</v>
      </c>
      <c r="D5009" s="8">
        <f t="shared" si="316"/>
        <v>0</v>
      </c>
      <c r="E5009" s="7" t="s">
        <v>12557</v>
      </c>
      <c r="F5009" s="7">
        <f t="shared" si="317"/>
        <v>1</v>
      </c>
      <c r="G5009" s="7" t="s">
        <v>12558</v>
      </c>
      <c r="H5009" s="7">
        <f t="shared" si="318"/>
        <v>0</v>
      </c>
      <c r="I5009" s="7" t="str" cm="1">
        <f t="array" ref="I5009">IFERROR(_xlfn.IFS(M5009="נח",1,M5009="נע ונח",1,M5009="שני שווא נח",2,M5009="שני שוואים בסוף מילה",2,M5009="שני שוואים ברצף",1),"0")</f>
        <v>0</v>
      </c>
      <c r="J5009" s="9">
        <f t="shared" si="319"/>
        <v>4</v>
      </c>
      <c r="K5009" t="s">
        <v>6697</v>
      </c>
      <c r="L5009" t="s">
        <v>6694</v>
      </c>
      <c r="M5009" t="s">
        <v>6700</v>
      </c>
      <c r="N5009" t="s">
        <v>6707</v>
      </c>
      <c r="P5009" t="s">
        <v>6694</v>
      </c>
      <c r="Q5009" t="s">
        <v>6694</v>
      </c>
      <c r="W5009" t="s">
        <v>6720</v>
      </c>
    </row>
    <row r="5010" spans="1:23" ht="15.6" x14ac:dyDescent="0.4">
      <c r="A5010" s="2" t="s">
        <v>2261</v>
      </c>
      <c r="B5010" s="5" t="s">
        <v>11131</v>
      </c>
      <c r="C5010" s="7" t="s">
        <v>12556</v>
      </c>
      <c r="D5010" s="8">
        <f t="shared" si="316"/>
        <v>0</v>
      </c>
      <c r="E5010" s="7" t="s">
        <v>12557</v>
      </c>
      <c r="F5010" s="7">
        <f t="shared" si="317"/>
        <v>1</v>
      </c>
      <c r="G5010" s="7" t="s">
        <v>12558</v>
      </c>
      <c r="H5010" s="7">
        <f t="shared" si="318"/>
        <v>0</v>
      </c>
      <c r="I5010" s="7" t="str" cm="1">
        <f t="array" ref="I5010">IFERROR(_xlfn.IFS(M5010="נח",1,M5010="נע ונח",1,M5010="שני שווא נח",2,M5010="שני שוואים בסוף מילה",2,M5010="שני שוואים ברצף",1),"0")</f>
        <v>0</v>
      </c>
      <c r="J5010" s="9">
        <f t="shared" si="319"/>
        <v>4</v>
      </c>
      <c r="K5010" t="s">
        <v>6697</v>
      </c>
      <c r="L5010" t="s">
        <v>6694</v>
      </c>
      <c r="M5010" t="s">
        <v>6703</v>
      </c>
      <c r="O5010" t="s">
        <v>6694</v>
      </c>
      <c r="P5010" t="s">
        <v>6694</v>
      </c>
      <c r="W5010" t="s">
        <v>6720</v>
      </c>
    </row>
    <row r="5011" spans="1:23" ht="15.6" x14ac:dyDescent="0.4">
      <c r="A5011" s="2" t="s">
        <v>5491</v>
      </c>
      <c r="B5011" s="5" t="s">
        <v>11132</v>
      </c>
      <c r="C5011" s="7" t="s">
        <v>12556</v>
      </c>
      <c r="D5011" s="8">
        <f t="shared" si="316"/>
        <v>0</v>
      </c>
      <c r="E5011" s="7" t="s">
        <v>12557</v>
      </c>
      <c r="F5011" s="7">
        <f t="shared" si="317"/>
        <v>1</v>
      </c>
      <c r="G5011" s="7" t="s">
        <v>12558</v>
      </c>
      <c r="H5011" s="7">
        <f t="shared" si="318"/>
        <v>0</v>
      </c>
      <c r="I5011" s="7" t="str" cm="1">
        <f t="array" ref="I5011">IFERROR(_xlfn.IFS(M5011="נח",1,M5011="נע ונח",1,M5011="שני שווא נח",2,M5011="שני שוואים בסוף מילה",2,M5011="שני שוואים ברצף",1),"0")</f>
        <v>0</v>
      </c>
      <c r="J5011" s="9">
        <f t="shared" si="319"/>
        <v>3</v>
      </c>
      <c r="K5011" t="s">
        <v>6698</v>
      </c>
      <c r="L5011" t="s">
        <v>6694</v>
      </c>
      <c r="M5011" t="s">
        <v>6700</v>
      </c>
      <c r="P5011" t="s">
        <v>6694</v>
      </c>
      <c r="Q5011" t="s">
        <v>6694</v>
      </c>
      <c r="W5011" t="s">
        <v>6720</v>
      </c>
    </row>
    <row r="5012" spans="1:23" ht="15.6" x14ac:dyDescent="0.4">
      <c r="A5012" s="2" t="s">
        <v>3067</v>
      </c>
      <c r="B5012" s="5" t="s">
        <v>11133</v>
      </c>
      <c r="C5012" s="7" t="s">
        <v>12556</v>
      </c>
      <c r="D5012" s="8">
        <f t="shared" si="316"/>
        <v>0</v>
      </c>
      <c r="E5012" s="7" t="s">
        <v>12557</v>
      </c>
      <c r="F5012" s="7">
        <f t="shared" si="317"/>
        <v>0</v>
      </c>
      <c r="G5012" s="7" t="s">
        <v>12558</v>
      </c>
      <c r="H5012" s="7">
        <f t="shared" si="318"/>
        <v>0</v>
      </c>
      <c r="I5012" s="7" t="str" cm="1">
        <f t="array" ref="I5012">IFERROR(_xlfn.IFS(M5012="נח",1,M5012="נע ונח",1,M5012="שני שווא נח",2,M5012="שני שוואים בסוף מילה",2,M5012="שני שוואים ברצף",1),"0")</f>
        <v>0</v>
      </c>
      <c r="J5012" s="9">
        <f t="shared" si="319"/>
        <v>3</v>
      </c>
      <c r="K5012" t="s">
        <v>6698</v>
      </c>
      <c r="L5012" t="s">
        <v>6694</v>
      </c>
      <c r="M5012" t="s">
        <v>6700</v>
      </c>
      <c r="S5012" t="s">
        <v>6694</v>
      </c>
      <c r="V5012" t="s">
        <v>6694</v>
      </c>
      <c r="W5012" t="s">
        <v>6720</v>
      </c>
    </row>
    <row r="5013" spans="1:23" ht="15.6" x14ac:dyDescent="0.4">
      <c r="A5013" s="2" t="s">
        <v>6113</v>
      </c>
      <c r="B5013" s="5" t="s">
        <v>11134</v>
      </c>
      <c r="C5013" s="7" t="s">
        <v>12556</v>
      </c>
      <c r="D5013" s="8">
        <f t="shared" si="316"/>
        <v>0</v>
      </c>
      <c r="E5013" s="7" t="s">
        <v>12557</v>
      </c>
      <c r="F5013" s="7">
        <f t="shared" si="317"/>
        <v>0</v>
      </c>
      <c r="G5013" s="7" t="s">
        <v>12558</v>
      </c>
      <c r="H5013" s="7">
        <f t="shared" si="318"/>
        <v>0</v>
      </c>
      <c r="I5013" s="7" t="str" cm="1">
        <f t="array" ref="I5013">IFERROR(_xlfn.IFS(M5013="נח",1,M5013="נע ונח",1,M5013="שני שווא נח",2,M5013="שני שוואים בסוף מילה",2,M5013="שני שוואים ברצף",1),"0")</f>
        <v>0</v>
      </c>
      <c r="J5013" s="9">
        <f t="shared" si="319"/>
        <v>3</v>
      </c>
      <c r="K5013" t="s">
        <v>6698</v>
      </c>
      <c r="L5013" t="s">
        <v>6694</v>
      </c>
      <c r="M5013" t="s">
        <v>6700</v>
      </c>
      <c r="O5013" t="s">
        <v>6694</v>
      </c>
      <c r="S5013" t="s">
        <v>6694</v>
      </c>
      <c r="W5013" t="s">
        <v>6720</v>
      </c>
    </row>
    <row r="5014" spans="1:23" ht="15.6" x14ac:dyDescent="0.4">
      <c r="A5014" s="2" t="s">
        <v>892</v>
      </c>
      <c r="B5014" s="5" t="s">
        <v>11135</v>
      </c>
      <c r="C5014" s="7" t="s">
        <v>12556</v>
      </c>
      <c r="D5014" s="8">
        <f t="shared" si="316"/>
        <v>0</v>
      </c>
      <c r="E5014" s="7" t="s">
        <v>12557</v>
      </c>
      <c r="F5014" s="7">
        <f t="shared" si="317"/>
        <v>1</v>
      </c>
      <c r="G5014" s="7" t="s">
        <v>12558</v>
      </c>
      <c r="H5014" s="7">
        <f t="shared" si="318"/>
        <v>1</v>
      </c>
      <c r="I5014" s="7" t="str" cm="1">
        <f t="array" ref="I5014">IFERROR(_xlfn.IFS(M5014="נח",1,M5014="נע ונח",1,M5014="שני שווא נח",2,M5014="שני שוואים בסוף מילה",2,M5014="שני שוואים ברצף",1),"0")</f>
        <v>0</v>
      </c>
      <c r="J5014" s="9">
        <f t="shared" si="319"/>
        <v>3</v>
      </c>
      <c r="K5014" t="s">
        <v>6698</v>
      </c>
      <c r="L5014" t="s">
        <v>6694</v>
      </c>
      <c r="M5014" t="s">
        <v>6700</v>
      </c>
      <c r="P5014" t="s">
        <v>6694</v>
      </c>
      <c r="U5014" t="s">
        <v>6694</v>
      </c>
      <c r="W5014" t="s">
        <v>6720</v>
      </c>
    </row>
    <row r="5015" spans="1:23" ht="15.6" x14ac:dyDescent="0.4">
      <c r="A5015" s="2" t="s">
        <v>6278</v>
      </c>
      <c r="B5015" s="5" t="s">
        <v>11136</v>
      </c>
      <c r="C5015" s="7" t="s">
        <v>12556</v>
      </c>
      <c r="D5015" s="8">
        <f t="shared" si="316"/>
        <v>0</v>
      </c>
      <c r="E5015" s="7" t="s">
        <v>12557</v>
      </c>
      <c r="F5015" s="7">
        <f t="shared" si="317"/>
        <v>1</v>
      </c>
      <c r="G5015" s="7" t="s">
        <v>12558</v>
      </c>
      <c r="H5015" s="7">
        <f t="shared" si="318"/>
        <v>1</v>
      </c>
      <c r="I5015" s="7" cm="1">
        <f t="array" ref="I5015">IFERROR(_xlfn.IFS(M5015="נח",1,M5015="נע ונח",1,M5015="שני שווא נח",2,M5015="שני שוואים בסוף מילה",2,M5015="שני שוואים ברצף",1),"0")</f>
        <v>1</v>
      </c>
      <c r="J5015" s="9">
        <f t="shared" si="319"/>
        <v>4</v>
      </c>
      <c r="K5015" t="s">
        <v>6697</v>
      </c>
      <c r="L5015" t="s">
        <v>6694</v>
      </c>
      <c r="M5015" t="s">
        <v>6701</v>
      </c>
      <c r="N5015" t="s">
        <v>6706</v>
      </c>
      <c r="O5015" t="s">
        <v>6694</v>
      </c>
      <c r="S5015" t="s">
        <v>6694</v>
      </c>
      <c r="U5015" t="s">
        <v>6694</v>
      </c>
      <c r="W5015" t="s">
        <v>6720</v>
      </c>
    </row>
    <row r="5016" spans="1:23" ht="15.6" x14ac:dyDescent="0.4">
      <c r="A5016" s="2" t="s">
        <v>5285</v>
      </c>
      <c r="B5016" s="5" t="s">
        <v>11137</v>
      </c>
      <c r="C5016" s="7" t="s">
        <v>12556</v>
      </c>
      <c r="D5016" s="8">
        <f t="shared" si="316"/>
        <v>0</v>
      </c>
      <c r="E5016" s="7" t="s">
        <v>12557</v>
      </c>
      <c r="F5016" s="7">
        <f t="shared" si="317"/>
        <v>1</v>
      </c>
      <c r="G5016" s="7" t="s">
        <v>12558</v>
      </c>
      <c r="H5016" s="7">
        <f t="shared" si="318"/>
        <v>1</v>
      </c>
      <c r="I5016" s="7" t="str" cm="1">
        <f t="array" ref="I5016">IFERROR(_xlfn.IFS(M5016="נח",1,M5016="נע ונח",1,M5016="שני שווא נח",2,M5016="שני שוואים בסוף מילה",2,M5016="שני שוואים ברצף",1),"0")</f>
        <v>0</v>
      </c>
      <c r="J5016" s="9">
        <f t="shared" si="319"/>
        <v>4</v>
      </c>
      <c r="K5016" t="s">
        <v>6697</v>
      </c>
      <c r="L5016" t="s">
        <v>6694</v>
      </c>
      <c r="M5016" t="s">
        <v>6700</v>
      </c>
      <c r="S5016" t="s">
        <v>6694</v>
      </c>
      <c r="U5016" t="s">
        <v>6694</v>
      </c>
      <c r="V5016" t="s">
        <v>6694</v>
      </c>
      <c r="W5016" t="s">
        <v>6720</v>
      </c>
    </row>
    <row r="5017" spans="1:23" ht="15.6" x14ac:dyDescent="0.4">
      <c r="A5017" s="2" t="s">
        <v>2769</v>
      </c>
      <c r="B5017" s="5" t="s">
        <v>11138</v>
      </c>
      <c r="C5017" s="7" t="s">
        <v>12556</v>
      </c>
      <c r="D5017" s="8">
        <f t="shared" si="316"/>
        <v>0</v>
      </c>
      <c r="E5017" s="7" t="s">
        <v>12557</v>
      </c>
      <c r="F5017" s="7">
        <f t="shared" si="317"/>
        <v>0</v>
      </c>
      <c r="G5017" s="7" t="s">
        <v>12558</v>
      </c>
      <c r="H5017" s="7">
        <f t="shared" si="318"/>
        <v>0</v>
      </c>
      <c r="I5017" s="7" t="str" cm="1">
        <f t="array" ref="I5017">IFERROR(_xlfn.IFS(M5017="נח",1,M5017="נע ונח",1,M5017="שני שווא נח",2,M5017="שני שוואים בסוף מילה",2,M5017="שני שוואים ברצף",1),"0")</f>
        <v>0</v>
      </c>
      <c r="J5017" s="9">
        <f t="shared" si="319"/>
        <v>2</v>
      </c>
      <c r="K5017" t="s">
        <v>6698</v>
      </c>
      <c r="L5017" t="s">
        <v>6694</v>
      </c>
      <c r="M5017" t="s">
        <v>6700</v>
      </c>
      <c r="V5017" t="s">
        <v>6694</v>
      </c>
      <c r="W5017" t="s">
        <v>6720</v>
      </c>
    </row>
    <row r="5018" spans="1:23" ht="15.6" x14ac:dyDescent="0.4">
      <c r="A5018" s="2" t="s">
        <v>2566</v>
      </c>
      <c r="B5018" s="5" t="s">
        <v>11139</v>
      </c>
      <c r="C5018" s="7" t="s">
        <v>12556</v>
      </c>
      <c r="D5018" s="8">
        <f t="shared" si="316"/>
        <v>0</v>
      </c>
      <c r="E5018" s="7" t="s">
        <v>12557</v>
      </c>
      <c r="F5018" s="7">
        <f t="shared" si="317"/>
        <v>0</v>
      </c>
      <c r="G5018" s="7" t="s">
        <v>12558</v>
      </c>
      <c r="H5018" s="7">
        <f t="shared" si="318"/>
        <v>0</v>
      </c>
      <c r="I5018" s="7" t="str" cm="1">
        <f t="array" ref="I5018">IFERROR(_xlfn.IFS(M5018="נח",1,M5018="נע ונח",1,M5018="שני שווא נח",2,M5018="שני שוואים בסוף מילה",2,M5018="שני שוואים ברצף",1),"0")</f>
        <v>0</v>
      </c>
      <c r="J5018" s="9">
        <f t="shared" si="319"/>
        <v>2</v>
      </c>
      <c r="K5018" t="s">
        <v>6697</v>
      </c>
      <c r="L5018" t="s">
        <v>6694</v>
      </c>
      <c r="M5018" t="s">
        <v>6700</v>
      </c>
      <c r="S5018" t="s">
        <v>6694</v>
      </c>
      <c r="W5018" t="s">
        <v>6720</v>
      </c>
    </row>
    <row r="5019" spans="1:23" ht="15.6" x14ac:dyDescent="0.4">
      <c r="A5019" s="2" t="s">
        <v>2965</v>
      </c>
      <c r="B5019" s="5" t="s">
        <v>11140</v>
      </c>
      <c r="C5019" s="7" t="s">
        <v>12556</v>
      </c>
      <c r="D5019" s="8">
        <f t="shared" si="316"/>
        <v>0</v>
      </c>
      <c r="E5019" s="7" t="s">
        <v>12557</v>
      </c>
      <c r="F5019" s="7">
        <f t="shared" si="317"/>
        <v>1</v>
      </c>
      <c r="G5019" s="7" t="s">
        <v>12558</v>
      </c>
      <c r="H5019" s="7">
        <f t="shared" si="318"/>
        <v>0</v>
      </c>
      <c r="I5019" s="7" cm="1">
        <f t="array" ref="I5019">IFERROR(_xlfn.IFS(M5019="נח",1,M5019="נע ונח",1,M5019="שני שווא נח",2,M5019="שני שוואים בסוף מילה",2,M5019="שני שוואים ברצף",1),"0")</f>
        <v>1</v>
      </c>
      <c r="J5019" s="9">
        <f t="shared" si="319"/>
        <v>3</v>
      </c>
      <c r="K5019" t="s">
        <v>6697</v>
      </c>
      <c r="L5019" t="s">
        <v>6694</v>
      </c>
      <c r="M5019" t="s">
        <v>6701</v>
      </c>
      <c r="O5019" t="s">
        <v>6694</v>
      </c>
      <c r="P5019" t="s">
        <v>6694</v>
      </c>
      <c r="W5019" t="s">
        <v>6720</v>
      </c>
    </row>
    <row r="5020" spans="1:23" ht="15.6" x14ac:dyDescent="0.4">
      <c r="A5020" s="2" t="s">
        <v>1464</v>
      </c>
      <c r="B5020" s="5" t="s">
        <v>11141</v>
      </c>
      <c r="C5020" s="7" t="s">
        <v>12556</v>
      </c>
      <c r="D5020" s="8">
        <f t="shared" si="316"/>
        <v>0</v>
      </c>
      <c r="E5020" s="7" t="s">
        <v>12557</v>
      </c>
      <c r="F5020" s="7">
        <f t="shared" si="317"/>
        <v>0</v>
      </c>
      <c r="G5020" s="7" t="s">
        <v>12558</v>
      </c>
      <c r="H5020" s="7">
        <f t="shared" si="318"/>
        <v>0</v>
      </c>
      <c r="I5020" s="7" t="str" cm="1">
        <f t="array" ref="I5020">IFERROR(_xlfn.IFS(M5020="נח",1,M5020="נע ונח",1,M5020="שני שווא נח",2,M5020="שני שוואים בסוף מילה",2,M5020="שני שוואים ברצף",1),"0")</f>
        <v>0</v>
      </c>
      <c r="J5020" s="9">
        <f t="shared" si="319"/>
        <v>3</v>
      </c>
      <c r="K5020" t="s">
        <v>6697</v>
      </c>
      <c r="L5020" t="s">
        <v>6694</v>
      </c>
      <c r="M5020" t="s">
        <v>6700</v>
      </c>
      <c r="O5020" t="s">
        <v>6694</v>
      </c>
      <c r="W5020" t="s">
        <v>6720</v>
      </c>
    </row>
    <row r="5021" spans="1:23" ht="15.6" x14ac:dyDescent="0.4">
      <c r="A5021" s="2" t="s">
        <v>57</v>
      </c>
      <c r="B5021" s="5" t="s">
        <v>11142</v>
      </c>
      <c r="C5021" s="7" t="s">
        <v>12556</v>
      </c>
      <c r="D5021" s="8">
        <f t="shared" si="316"/>
        <v>0</v>
      </c>
      <c r="E5021" s="7" t="s">
        <v>12557</v>
      </c>
      <c r="F5021" s="7">
        <f t="shared" si="317"/>
        <v>0</v>
      </c>
      <c r="G5021" s="7" t="s">
        <v>12558</v>
      </c>
      <c r="H5021" s="7">
        <f t="shared" si="318"/>
        <v>0</v>
      </c>
      <c r="I5021" s="7" t="str" cm="1">
        <f t="array" ref="I5021">IFERROR(_xlfn.IFS(M5021="נח",1,M5021="נע ונח",1,M5021="שני שווא נח",2,M5021="שני שוואים בסוף מילה",2,M5021="שני שוואים ברצף",1),"0")</f>
        <v>0</v>
      </c>
      <c r="J5021" s="9">
        <f t="shared" si="319"/>
        <v>3</v>
      </c>
      <c r="K5021" t="s">
        <v>6698</v>
      </c>
      <c r="L5021" t="s">
        <v>6694</v>
      </c>
      <c r="M5021" t="s">
        <v>6700</v>
      </c>
      <c r="O5021" t="s">
        <v>6694</v>
      </c>
      <c r="V5021" t="s">
        <v>6694</v>
      </c>
      <c r="W5021" t="s">
        <v>6720</v>
      </c>
    </row>
    <row r="5022" spans="1:23" ht="15.6" x14ac:dyDescent="0.4">
      <c r="A5022" s="2" t="s">
        <v>2963</v>
      </c>
      <c r="B5022" s="5" t="s">
        <v>11143</v>
      </c>
      <c r="C5022" s="7" t="s">
        <v>12556</v>
      </c>
      <c r="D5022" s="8">
        <f t="shared" si="316"/>
        <v>0</v>
      </c>
      <c r="E5022" s="7" t="s">
        <v>12557</v>
      </c>
      <c r="F5022" s="7">
        <f t="shared" si="317"/>
        <v>1</v>
      </c>
      <c r="G5022" s="7" t="s">
        <v>12558</v>
      </c>
      <c r="H5022" s="7">
        <f t="shared" si="318"/>
        <v>0</v>
      </c>
      <c r="I5022" s="7" cm="1">
        <f t="array" ref="I5022">IFERROR(_xlfn.IFS(M5022="נח",1,M5022="נע ונח",1,M5022="שני שווא נח",2,M5022="שני שוואים בסוף מילה",2,M5022="שני שוואים ברצף",1),"0")</f>
        <v>1</v>
      </c>
      <c r="J5022" s="9">
        <f t="shared" si="319"/>
        <v>3</v>
      </c>
      <c r="K5022" t="s">
        <v>6697</v>
      </c>
      <c r="L5022" t="s">
        <v>6694</v>
      </c>
      <c r="M5022" t="s">
        <v>6701</v>
      </c>
      <c r="O5022" t="s">
        <v>6694</v>
      </c>
      <c r="P5022" t="s">
        <v>6694</v>
      </c>
      <c r="W5022" t="s">
        <v>6720</v>
      </c>
    </row>
    <row r="5023" spans="1:23" ht="15.6" x14ac:dyDescent="0.4">
      <c r="A5023" s="2" t="s">
        <v>4644</v>
      </c>
      <c r="B5023" s="5" t="s">
        <v>11144</v>
      </c>
      <c r="C5023" s="7" t="s">
        <v>12556</v>
      </c>
      <c r="D5023" s="8">
        <f t="shared" si="316"/>
        <v>1</v>
      </c>
      <c r="E5023" s="7" t="s">
        <v>12557</v>
      </c>
      <c r="F5023" s="7">
        <f t="shared" si="317"/>
        <v>1</v>
      </c>
      <c r="G5023" s="7" t="s">
        <v>12558</v>
      </c>
      <c r="H5023" s="7">
        <f t="shared" si="318"/>
        <v>0</v>
      </c>
      <c r="I5023" s="7" t="str" cm="1">
        <f t="array" ref="I5023">IFERROR(_xlfn.IFS(M5023="נח",1,M5023="נע ונח",1,M5023="שני שווא נח",2,M5023="שני שוואים בסוף מילה",2,M5023="שני שוואים ברצף",1),"0")</f>
        <v>0</v>
      </c>
      <c r="J5023" s="9">
        <f t="shared" si="319"/>
        <v>3</v>
      </c>
      <c r="K5023" t="s">
        <v>6697</v>
      </c>
      <c r="L5023" t="s">
        <v>6694</v>
      </c>
      <c r="M5023" t="s">
        <v>6700</v>
      </c>
      <c r="O5023" t="s">
        <v>6694</v>
      </c>
      <c r="P5023" t="s">
        <v>6694</v>
      </c>
      <c r="W5023" t="s">
        <v>6720</v>
      </c>
    </row>
    <row r="5024" spans="1:23" ht="15.6" x14ac:dyDescent="0.4">
      <c r="A5024" s="2" t="s">
        <v>1250</v>
      </c>
      <c r="B5024" s="5" t="s">
        <v>11145</v>
      </c>
      <c r="C5024" s="7" t="s">
        <v>12556</v>
      </c>
      <c r="D5024" s="8">
        <f t="shared" si="316"/>
        <v>1</v>
      </c>
      <c r="E5024" s="7" t="s">
        <v>12557</v>
      </c>
      <c r="F5024" s="7">
        <f t="shared" si="317"/>
        <v>0</v>
      </c>
      <c r="G5024" s="7" t="s">
        <v>12558</v>
      </c>
      <c r="H5024" s="7">
        <f t="shared" si="318"/>
        <v>0</v>
      </c>
      <c r="I5024" s="7" t="str" cm="1">
        <f t="array" ref="I5024">IFERROR(_xlfn.IFS(M5024="נח",1,M5024="נע ונח",1,M5024="שני שווא נח",2,M5024="שני שוואים בסוף מילה",2,M5024="שני שוואים ברצף",1),"0")</f>
        <v>0</v>
      </c>
      <c r="J5024" s="9">
        <f t="shared" si="319"/>
        <v>3</v>
      </c>
      <c r="K5024" t="s">
        <v>6698</v>
      </c>
      <c r="L5024" t="s">
        <v>6694</v>
      </c>
      <c r="M5024" t="s">
        <v>6700</v>
      </c>
      <c r="S5024" t="s">
        <v>6694</v>
      </c>
      <c r="W5024" t="s">
        <v>6720</v>
      </c>
    </row>
    <row r="5025" spans="1:23" ht="15.6" x14ac:dyDescent="0.4">
      <c r="A5025" s="2" t="s">
        <v>5162</v>
      </c>
      <c r="B5025" s="5" t="s">
        <v>11146</v>
      </c>
      <c r="C5025" s="7" t="s">
        <v>12556</v>
      </c>
      <c r="D5025" s="8">
        <f t="shared" si="316"/>
        <v>1</v>
      </c>
      <c r="E5025" s="7" t="s">
        <v>12557</v>
      </c>
      <c r="F5025" s="7">
        <f t="shared" si="317"/>
        <v>0</v>
      </c>
      <c r="G5025" s="7" t="s">
        <v>12558</v>
      </c>
      <c r="H5025" s="7">
        <f t="shared" si="318"/>
        <v>0</v>
      </c>
      <c r="I5025" s="7" t="str" cm="1">
        <f t="array" ref="I5025">IFERROR(_xlfn.IFS(M5025="נח",1,M5025="נע ונח",1,M5025="שני שווא נח",2,M5025="שני שוואים בסוף מילה",2,M5025="שני שוואים ברצף",1),"0")</f>
        <v>0</v>
      </c>
      <c r="J5025" s="9">
        <f t="shared" si="319"/>
        <v>2</v>
      </c>
      <c r="K5025" t="s">
        <v>6697</v>
      </c>
      <c r="L5025" t="s">
        <v>6694</v>
      </c>
      <c r="M5025" t="s">
        <v>6700</v>
      </c>
      <c r="O5025" t="s">
        <v>6694</v>
      </c>
      <c r="W5025" t="s">
        <v>6720</v>
      </c>
    </row>
    <row r="5026" spans="1:23" ht="15.6" x14ac:dyDescent="0.4">
      <c r="A5026" s="2" t="s">
        <v>2683</v>
      </c>
      <c r="B5026" s="5" t="s">
        <v>11147</v>
      </c>
      <c r="C5026" s="7" t="s">
        <v>12556</v>
      </c>
      <c r="D5026" s="8">
        <f t="shared" si="316"/>
        <v>1</v>
      </c>
      <c r="E5026" s="7" t="s">
        <v>12557</v>
      </c>
      <c r="F5026" s="7">
        <f t="shared" si="317"/>
        <v>1</v>
      </c>
      <c r="G5026" s="7" t="s">
        <v>12558</v>
      </c>
      <c r="H5026" s="7">
        <f t="shared" si="318"/>
        <v>1</v>
      </c>
      <c r="I5026" s="7" t="str" cm="1">
        <f t="array" ref="I5026">IFERROR(_xlfn.IFS(M5026="נח",1,M5026="נע ונח",1,M5026="שני שווא נח",2,M5026="שני שוואים בסוף מילה",2,M5026="שני שוואים ברצף",1),"0")</f>
        <v>0</v>
      </c>
      <c r="J5026" s="9">
        <f t="shared" si="319"/>
        <v>2</v>
      </c>
      <c r="K5026" t="s">
        <v>6698</v>
      </c>
      <c r="L5026" t="s">
        <v>6694</v>
      </c>
      <c r="M5026" t="s">
        <v>6700</v>
      </c>
      <c r="U5026" t="s">
        <v>6694</v>
      </c>
      <c r="W5026" t="s">
        <v>6720</v>
      </c>
    </row>
    <row r="5027" spans="1:23" ht="15.6" x14ac:dyDescent="0.4">
      <c r="A5027" s="2" t="s">
        <v>5859</v>
      </c>
      <c r="B5027" s="5" t="s">
        <v>11148</v>
      </c>
      <c r="C5027" s="7" t="s">
        <v>12556</v>
      </c>
      <c r="D5027" s="8">
        <f t="shared" si="316"/>
        <v>0</v>
      </c>
      <c r="E5027" s="7" t="s">
        <v>12557</v>
      </c>
      <c r="F5027" s="7">
        <f t="shared" si="317"/>
        <v>0</v>
      </c>
      <c r="G5027" s="7" t="s">
        <v>12558</v>
      </c>
      <c r="H5027" s="7">
        <f t="shared" si="318"/>
        <v>0</v>
      </c>
      <c r="I5027" s="7" t="str" cm="1">
        <f t="array" ref="I5027">IFERROR(_xlfn.IFS(M5027="נח",1,M5027="נע ונח",1,M5027="שני שווא נח",2,M5027="שני שוואים בסוף מילה",2,M5027="שני שוואים ברצף",1),"0")</f>
        <v>0</v>
      </c>
      <c r="J5027" s="9">
        <f t="shared" si="319"/>
        <v>4</v>
      </c>
      <c r="K5027" t="s">
        <v>6697</v>
      </c>
      <c r="L5027" t="s">
        <v>6694</v>
      </c>
      <c r="M5027" t="s">
        <v>6700</v>
      </c>
      <c r="O5027" t="s">
        <v>6694</v>
      </c>
      <c r="S5027" t="s">
        <v>6694</v>
      </c>
      <c r="W5027" t="s">
        <v>6720</v>
      </c>
    </row>
    <row r="5028" spans="1:23" ht="15.6" x14ac:dyDescent="0.4">
      <c r="A5028" s="2" t="s">
        <v>6163</v>
      </c>
      <c r="B5028" s="5" t="s">
        <v>11149</v>
      </c>
      <c r="C5028" s="7" t="s">
        <v>12556</v>
      </c>
      <c r="D5028" s="8">
        <f t="shared" si="316"/>
        <v>0</v>
      </c>
      <c r="E5028" s="7" t="s">
        <v>12557</v>
      </c>
      <c r="F5028" s="7">
        <f t="shared" si="317"/>
        <v>0</v>
      </c>
      <c r="G5028" s="7" t="s">
        <v>12558</v>
      </c>
      <c r="H5028" s="7">
        <f t="shared" si="318"/>
        <v>0</v>
      </c>
      <c r="I5028" s="7" t="str" cm="1">
        <f t="array" ref="I5028">IFERROR(_xlfn.IFS(M5028="נח",1,M5028="נע ונח",1,M5028="שני שווא נח",2,M5028="שני שוואים בסוף מילה",2,M5028="שני שוואים ברצף",1),"0")</f>
        <v>0</v>
      </c>
      <c r="J5028" s="9">
        <f t="shared" si="319"/>
        <v>4</v>
      </c>
      <c r="K5028" t="s">
        <v>6697</v>
      </c>
      <c r="L5028" t="s">
        <v>6694</v>
      </c>
      <c r="M5028" t="s">
        <v>6700</v>
      </c>
      <c r="O5028" t="s">
        <v>6694</v>
      </c>
      <c r="S5028" t="s">
        <v>6694</v>
      </c>
      <c r="W5028" t="s">
        <v>6720</v>
      </c>
    </row>
    <row r="5029" spans="1:23" ht="15.6" x14ac:dyDescent="0.4">
      <c r="A5029" s="2" t="s">
        <v>4150</v>
      </c>
      <c r="B5029" s="5" t="s">
        <v>11150</v>
      </c>
      <c r="C5029" s="7" t="s">
        <v>12556</v>
      </c>
      <c r="D5029" s="8">
        <f t="shared" si="316"/>
        <v>0</v>
      </c>
      <c r="E5029" s="7" t="s">
        <v>12557</v>
      </c>
      <c r="F5029" s="7">
        <f t="shared" si="317"/>
        <v>0</v>
      </c>
      <c r="G5029" s="7" t="s">
        <v>12558</v>
      </c>
      <c r="H5029" s="7">
        <f t="shared" si="318"/>
        <v>0</v>
      </c>
      <c r="I5029" s="7" t="str" cm="1">
        <f t="array" ref="I5029">IFERROR(_xlfn.IFS(M5029="נח",1,M5029="נע ונח",1,M5029="שני שווא נח",2,M5029="שני שוואים בסוף מילה",2,M5029="שני שוואים ברצף",1),"0")</f>
        <v>0</v>
      </c>
      <c r="J5029" s="9">
        <f t="shared" si="319"/>
        <v>2</v>
      </c>
      <c r="K5029" t="s">
        <v>6698</v>
      </c>
      <c r="L5029" t="s">
        <v>6694</v>
      </c>
      <c r="M5029" t="s">
        <v>6700</v>
      </c>
      <c r="V5029" t="s">
        <v>6694</v>
      </c>
      <c r="W5029" t="s">
        <v>6720</v>
      </c>
    </row>
    <row r="5030" spans="1:23" ht="15.6" x14ac:dyDescent="0.4">
      <c r="A5030" s="2" t="s">
        <v>5685</v>
      </c>
      <c r="B5030" s="5" t="s">
        <v>11151</v>
      </c>
      <c r="C5030" s="7" t="s">
        <v>12556</v>
      </c>
      <c r="D5030" s="8">
        <f t="shared" si="316"/>
        <v>0</v>
      </c>
      <c r="E5030" s="7" t="s">
        <v>12557</v>
      </c>
      <c r="F5030" s="7">
        <f t="shared" si="317"/>
        <v>1</v>
      </c>
      <c r="G5030" s="7" t="s">
        <v>12558</v>
      </c>
      <c r="H5030" s="7">
        <f t="shared" si="318"/>
        <v>1</v>
      </c>
      <c r="I5030" s="7" t="str" cm="1">
        <f t="array" ref="I5030">IFERROR(_xlfn.IFS(M5030="נח",1,M5030="נע ונח",1,M5030="שני שווא נח",2,M5030="שני שוואים בסוף מילה",2,M5030="שני שוואים ברצף",1),"0")</f>
        <v>0</v>
      </c>
      <c r="J5030" s="9">
        <f t="shared" si="319"/>
        <v>3</v>
      </c>
      <c r="K5030" t="s">
        <v>6697</v>
      </c>
      <c r="L5030" t="s">
        <v>6695</v>
      </c>
      <c r="P5030" t="s">
        <v>6694</v>
      </c>
      <c r="S5030" t="s">
        <v>6694</v>
      </c>
      <c r="U5030" t="s">
        <v>6694</v>
      </c>
      <c r="W5030" t="s">
        <v>6720</v>
      </c>
    </row>
    <row r="5031" spans="1:23" ht="15.6" x14ac:dyDescent="0.4">
      <c r="A5031" s="2" t="s">
        <v>5136</v>
      </c>
      <c r="B5031" s="5" t="s">
        <v>11152</v>
      </c>
      <c r="C5031" s="7" t="s">
        <v>12556</v>
      </c>
      <c r="D5031" s="8">
        <f t="shared" si="316"/>
        <v>0</v>
      </c>
      <c r="E5031" s="7" t="s">
        <v>12557</v>
      </c>
      <c r="F5031" s="7">
        <f t="shared" si="317"/>
        <v>0</v>
      </c>
      <c r="G5031" s="7" t="s">
        <v>12558</v>
      </c>
      <c r="H5031" s="7">
        <f t="shared" si="318"/>
        <v>0</v>
      </c>
      <c r="I5031" s="7" t="str" cm="1">
        <f t="array" ref="I5031">IFERROR(_xlfn.IFS(M5031="נח",1,M5031="נע ונח",1,M5031="שני שווא נח",2,M5031="שני שוואים בסוף מילה",2,M5031="שני שוואים ברצף",1),"0")</f>
        <v>0</v>
      </c>
      <c r="J5031" s="9">
        <f t="shared" si="319"/>
        <v>2</v>
      </c>
      <c r="K5031" t="s">
        <v>6698</v>
      </c>
      <c r="L5031" t="s">
        <v>6695</v>
      </c>
      <c r="Q5031" t="s">
        <v>6694</v>
      </c>
      <c r="S5031" t="s">
        <v>6694</v>
      </c>
      <c r="W5031" t="s">
        <v>6720</v>
      </c>
    </row>
    <row r="5032" spans="1:23" ht="15.6" x14ac:dyDescent="0.4">
      <c r="A5032" s="2" t="s">
        <v>3187</v>
      </c>
      <c r="B5032" s="5" t="s">
        <v>11153</v>
      </c>
      <c r="C5032" s="7" t="s">
        <v>12556</v>
      </c>
      <c r="D5032" s="8">
        <f t="shared" si="316"/>
        <v>0</v>
      </c>
      <c r="E5032" s="7" t="s">
        <v>12557</v>
      </c>
      <c r="F5032" s="7">
        <f t="shared" si="317"/>
        <v>0</v>
      </c>
      <c r="G5032" s="7" t="s">
        <v>12558</v>
      </c>
      <c r="H5032" s="7">
        <f t="shared" si="318"/>
        <v>0</v>
      </c>
      <c r="I5032" s="7" cm="1">
        <f t="array" ref="I5032">IFERROR(_xlfn.IFS(M5032="נח",1,M5032="נע ונח",1,M5032="שני שווא נח",2,M5032="שני שוואים בסוף מילה",2,M5032="שני שוואים ברצף",1),"0")</f>
        <v>1</v>
      </c>
      <c r="J5032" s="9">
        <f t="shared" si="319"/>
        <v>3</v>
      </c>
      <c r="K5032" t="s">
        <v>6697</v>
      </c>
      <c r="L5032" t="s">
        <v>6694</v>
      </c>
      <c r="M5032" t="s">
        <v>6705</v>
      </c>
      <c r="O5032" t="s">
        <v>6694</v>
      </c>
      <c r="P5032" t="s">
        <v>6694</v>
      </c>
      <c r="S5032" t="s">
        <v>6694</v>
      </c>
      <c r="W5032" t="s">
        <v>6720</v>
      </c>
    </row>
    <row r="5033" spans="1:23" ht="15.6" x14ac:dyDescent="0.4">
      <c r="A5033" s="2" t="s">
        <v>3186</v>
      </c>
      <c r="B5033" s="5" t="s">
        <v>11154</v>
      </c>
      <c r="C5033" s="7" t="s">
        <v>12556</v>
      </c>
      <c r="D5033" s="8">
        <f t="shared" si="316"/>
        <v>0</v>
      </c>
      <c r="E5033" s="7" t="s">
        <v>12557</v>
      </c>
      <c r="F5033" s="7">
        <f t="shared" si="317"/>
        <v>1</v>
      </c>
      <c r="G5033" s="7" t="s">
        <v>12558</v>
      </c>
      <c r="H5033" s="7">
        <f t="shared" si="318"/>
        <v>1</v>
      </c>
      <c r="I5033" s="7" cm="1">
        <f t="array" ref="I5033">IFERROR(_xlfn.IFS(M5033="נח",1,M5033="נע ונח",1,M5033="שני שווא נח",2,M5033="שני שוואים בסוף מילה",2,M5033="שני שוואים ברצף",1),"0")</f>
        <v>1</v>
      </c>
      <c r="J5033" s="9">
        <f t="shared" si="319"/>
        <v>3</v>
      </c>
      <c r="K5033" t="s">
        <v>6697</v>
      </c>
      <c r="L5033" t="s">
        <v>6694</v>
      </c>
      <c r="M5033" t="s">
        <v>6705</v>
      </c>
      <c r="P5033" t="s">
        <v>6694</v>
      </c>
      <c r="S5033" t="s">
        <v>6694</v>
      </c>
      <c r="U5033" t="s">
        <v>6694</v>
      </c>
      <c r="W5033" t="s">
        <v>6720</v>
      </c>
    </row>
    <row r="5034" spans="1:23" ht="15.6" x14ac:dyDescent="0.4">
      <c r="A5034" s="2" t="s">
        <v>6176</v>
      </c>
      <c r="B5034" s="5" t="s">
        <v>11155</v>
      </c>
      <c r="C5034" s="7" t="s">
        <v>12556</v>
      </c>
      <c r="D5034" s="8">
        <f t="shared" si="316"/>
        <v>0</v>
      </c>
      <c r="E5034" s="7" t="s">
        <v>12557</v>
      </c>
      <c r="F5034" s="7">
        <f t="shared" si="317"/>
        <v>0</v>
      </c>
      <c r="G5034" s="7" t="s">
        <v>12558</v>
      </c>
      <c r="H5034" s="7">
        <f t="shared" si="318"/>
        <v>0</v>
      </c>
      <c r="I5034" s="7" cm="1">
        <f t="array" ref="I5034">IFERROR(_xlfn.IFS(M5034="נח",1,M5034="נע ונח",1,M5034="שני שווא נח",2,M5034="שני שוואים בסוף מילה",2,M5034="שני שוואים ברצף",1),"0")</f>
        <v>1</v>
      </c>
      <c r="J5034" s="9">
        <f t="shared" si="319"/>
        <v>2</v>
      </c>
      <c r="K5034" t="s">
        <v>6698</v>
      </c>
      <c r="L5034" t="s">
        <v>6694</v>
      </c>
      <c r="M5034" t="s">
        <v>6705</v>
      </c>
      <c r="N5034" t="s">
        <v>6706</v>
      </c>
      <c r="O5034" t="s">
        <v>6694</v>
      </c>
      <c r="S5034" t="s">
        <v>6694</v>
      </c>
      <c r="W5034" t="s">
        <v>6720</v>
      </c>
    </row>
    <row r="5035" spans="1:23" ht="15.6" x14ac:dyDescent="0.4">
      <c r="A5035" s="2" t="s">
        <v>5224</v>
      </c>
      <c r="B5035" s="5" t="s">
        <v>11156</v>
      </c>
      <c r="C5035" s="7" t="s">
        <v>12556</v>
      </c>
      <c r="D5035" s="8">
        <f t="shared" si="316"/>
        <v>0</v>
      </c>
      <c r="E5035" s="7" t="s">
        <v>12557</v>
      </c>
      <c r="F5035" s="7">
        <f t="shared" si="317"/>
        <v>0</v>
      </c>
      <c r="G5035" s="7" t="s">
        <v>12558</v>
      </c>
      <c r="H5035" s="7">
        <f t="shared" si="318"/>
        <v>0</v>
      </c>
      <c r="I5035" s="7" cm="1">
        <f t="array" ref="I5035">IFERROR(_xlfn.IFS(M5035="נח",1,M5035="נע ונח",1,M5035="שני שווא נח",2,M5035="שני שוואים בסוף מילה",2,M5035="שני שוואים ברצף",1),"0")</f>
        <v>1</v>
      </c>
      <c r="J5035" s="9">
        <f t="shared" si="319"/>
        <v>2</v>
      </c>
      <c r="K5035" t="s">
        <v>6697</v>
      </c>
      <c r="L5035" t="s">
        <v>6694</v>
      </c>
      <c r="M5035" t="s">
        <v>6705</v>
      </c>
      <c r="R5035" t="s">
        <v>6694</v>
      </c>
      <c r="S5035" t="s">
        <v>6694</v>
      </c>
      <c r="W5035" t="s">
        <v>6720</v>
      </c>
    </row>
    <row r="5036" spans="1:23" ht="15.6" x14ac:dyDescent="0.4">
      <c r="A5036" s="2" t="s">
        <v>5454</v>
      </c>
      <c r="B5036" s="5" t="s">
        <v>11157</v>
      </c>
      <c r="C5036" s="7" t="s">
        <v>12556</v>
      </c>
      <c r="D5036" s="8">
        <f t="shared" si="316"/>
        <v>0</v>
      </c>
      <c r="E5036" s="7" t="s">
        <v>12557</v>
      </c>
      <c r="F5036" s="7">
        <f t="shared" si="317"/>
        <v>0</v>
      </c>
      <c r="G5036" s="7" t="s">
        <v>12558</v>
      </c>
      <c r="H5036" s="7">
        <f t="shared" si="318"/>
        <v>0</v>
      </c>
      <c r="I5036" s="7" cm="1">
        <f t="array" ref="I5036">IFERROR(_xlfn.IFS(M5036="נח",1,M5036="נע ונח",1,M5036="שני שווא נח",2,M5036="שני שוואים בסוף מילה",2,M5036="שני שוואים ברצף",1),"0")</f>
        <v>1</v>
      </c>
      <c r="J5036" s="9">
        <f t="shared" si="319"/>
        <v>2</v>
      </c>
      <c r="K5036" t="s">
        <v>6698</v>
      </c>
      <c r="L5036" t="s">
        <v>6694</v>
      </c>
      <c r="M5036" t="s">
        <v>6705</v>
      </c>
      <c r="P5036" t="s">
        <v>6694</v>
      </c>
      <c r="S5036" t="s">
        <v>6694</v>
      </c>
      <c r="W5036" t="s">
        <v>6720</v>
      </c>
    </row>
    <row r="5037" spans="1:23" ht="15.6" x14ac:dyDescent="0.4">
      <c r="A5037" s="2" t="s">
        <v>2977</v>
      </c>
      <c r="B5037" s="5" t="s">
        <v>11158</v>
      </c>
      <c r="C5037" s="7" t="s">
        <v>12556</v>
      </c>
      <c r="D5037" s="8">
        <f t="shared" si="316"/>
        <v>0</v>
      </c>
      <c r="E5037" s="7" t="s">
        <v>12557</v>
      </c>
      <c r="F5037" s="7">
        <f t="shared" si="317"/>
        <v>0</v>
      </c>
      <c r="G5037" s="7" t="s">
        <v>12558</v>
      </c>
      <c r="H5037" s="7">
        <f t="shared" si="318"/>
        <v>0</v>
      </c>
      <c r="I5037" s="7" cm="1">
        <f t="array" ref="I5037">IFERROR(_xlfn.IFS(M5037="נח",1,M5037="נע ונח",1,M5037="שני שווא נח",2,M5037="שני שוואים בסוף מילה",2,M5037="שני שוואים ברצף",1),"0")</f>
        <v>1</v>
      </c>
      <c r="J5037" s="9">
        <f t="shared" si="319"/>
        <v>3</v>
      </c>
      <c r="K5037" t="s">
        <v>6697</v>
      </c>
      <c r="L5037" t="s">
        <v>6694</v>
      </c>
      <c r="M5037" t="s">
        <v>6702</v>
      </c>
      <c r="O5037" t="s">
        <v>6694</v>
      </c>
      <c r="S5037" t="s">
        <v>6694</v>
      </c>
      <c r="W5037" t="s">
        <v>6720</v>
      </c>
    </row>
    <row r="5038" spans="1:23" ht="15.6" x14ac:dyDescent="0.4">
      <c r="A5038" s="2" t="s">
        <v>395</v>
      </c>
      <c r="B5038" s="5" t="s">
        <v>11159</v>
      </c>
      <c r="C5038" s="7" t="s">
        <v>12556</v>
      </c>
      <c r="D5038" s="8">
        <f t="shared" si="316"/>
        <v>0</v>
      </c>
      <c r="E5038" s="7" t="s">
        <v>12557</v>
      </c>
      <c r="F5038" s="7">
        <f t="shared" si="317"/>
        <v>0</v>
      </c>
      <c r="G5038" s="7" t="s">
        <v>12558</v>
      </c>
      <c r="H5038" s="7">
        <f t="shared" si="318"/>
        <v>0</v>
      </c>
      <c r="I5038" s="7" cm="1">
        <f t="array" ref="I5038">IFERROR(_xlfn.IFS(M5038="נח",1,M5038="נע ונח",1,M5038="שני שווא נח",2,M5038="שני שוואים בסוף מילה",2,M5038="שני שוואים ברצף",1),"0")</f>
        <v>1</v>
      </c>
      <c r="J5038" s="9">
        <f t="shared" si="319"/>
        <v>2</v>
      </c>
      <c r="K5038" t="s">
        <v>6697</v>
      </c>
      <c r="L5038" t="s">
        <v>6694</v>
      </c>
      <c r="M5038" t="s">
        <v>6705</v>
      </c>
      <c r="S5038" t="s">
        <v>6694</v>
      </c>
      <c r="W5038" t="s">
        <v>6720</v>
      </c>
    </row>
    <row r="5039" spans="1:23" ht="15.6" x14ac:dyDescent="0.4">
      <c r="A5039" s="2" t="s">
        <v>3469</v>
      </c>
      <c r="B5039" s="5" t="s">
        <v>11160</v>
      </c>
      <c r="C5039" s="7" t="s">
        <v>12556</v>
      </c>
      <c r="D5039" s="8">
        <f t="shared" si="316"/>
        <v>0</v>
      </c>
      <c r="E5039" s="7" t="s">
        <v>12557</v>
      </c>
      <c r="F5039" s="7">
        <f t="shared" si="317"/>
        <v>0</v>
      </c>
      <c r="G5039" s="7" t="s">
        <v>12558</v>
      </c>
      <c r="H5039" s="7">
        <f t="shared" si="318"/>
        <v>0</v>
      </c>
      <c r="I5039" s="7" cm="1">
        <f t="array" ref="I5039">IFERROR(_xlfn.IFS(M5039="נח",1,M5039="נע ונח",1,M5039="שני שווא נח",2,M5039="שני שוואים בסוף מילה",2,M5039="שני שוואים ברצף",1),"0")</f>
        <v>1</v>
      </c>
      <c r="J5039" s="9">
        <f t="shared" si="319"/>
        <v>3</v>
      </c>
      <c r="K5039" t="s">
        <v>6697</v>
      </c>
      <c r="L5039" t="s">
        <v>6694</v>
      </c>
      <c r="M5039" t="s">
        <v>6705</v>
      </c>
      <c r="O5039" t="s">
        <v>6694</v>
      </c>
      <c r="R5039" t="s">
        <v>6694</v>
      </c>
      <c r="S5039" t="s">
        <v>6694</v>
      </c>
      <c r="W5039" t="s">
        <v>6720</v>
      </c>
    </row>
    <row r="5040" spans="1:23" ht="15.6" x14ac:dyDescent="0.4">
      <c r="A5040" s="2" t="s">
        <v>3421</v>
      </c>
      <c r="B5040" s="5" t="s">
        <v>11161</v>
      </c>
      <c r="C5040" s="7" t="s">
        <v>12556</v>
      </c>
      <c r="D5040" s="8">
        <f t="shared" si="316"/>
        <v>0</v>
      </c>
      <c r="E5040" s="7" t="s">
        <v>12557</v>
      </c>
      <c r="F5040" s="7">
        <f t="shared" si="317"/>
        <v>1</v>
      </c>
      <c r="G5040" s="7" t="s">
        <v>12558</v>
      </c>
      <c r="H5040" s="7">
        <f t="shared" si="318"/>
        <v>0</v>
      </c>
      <c r="I5040" s="7" cm="1">
        <f t="array" ref="I5040">IFERROR(_xlfn.IFS(M5040="נח",1,M5040="נע ונח",1,M5040="שני שווא נח",2,M5040="שני שוואים בסוף מילה",2,M5040="שני שוואים ברצף",1),"0")</f>
        <v>2</v>
      </c>
      <c r="J5040" s="9">
        <f t="shared" si="319"/>
        <v>3</v>
      </c>
      <c r="K5040" t="s">
        <v>6697</v>
      </c>
      <c r="L5040" t="s">
        <v>6694</v>
      </c>
      <c r="M5040" t="s">
        <v>6704</v>
      </c>
      <c r="P5040" t="s">
        <v>6694</v>
      </c>
      <c r="S5040" t="s">
        <v>6694</v>
      </c>
      <c r="W5040" t="s">
        <v>6720</v>
      </c>
    </row>
    <row r="5041" spans="1:23" ht="15.6" x14ac:dyDescent="0.4">
      <c r="A5041" s="2" t="s">
        <v>4726</v>
      </c>
      <c r="B5041" s="5" t="s">
        <v>11162</v>
      </c>
      <c r="C5041" s="7" t="s">
        <v>12556</v>
      </c>
      <c r="D5041" s="8">
        <f t="shared" si="316"/>
        <v>0</v>
      </c>
      <c r="E5041" s="7" t="s">
        <v>12557</v>
      </c>
      <c r="F5041" s="7">
        <f t="shared" si="317"/>
        <v>1</v>
      </c>
      <c r="G5041" s="7" t="s">
        <v>12558</v>
      </c>
      <c r="H5041" s="7">
        <f t="shared" si="318"/>
        <v>0</v>
      </c>
      <c r="I5041" s="7" cm="1">
        <f t="array" ref="I5041">IFERROR(_xlfn.IFS(M5041="נח",1,M5041="נע ונח",1,M5041="שני שווא נח",2,M5041="שני שוואים בסוף מילה",2,M5041="שני שוואים ברצף",1),"0")</f>
        <v>1</v>
      </c>
      <c r="J5041" s="9">
        <f t="shared" si="319"/>
        <v>2</v>
      </c>
      <c r="K5041" t="s">
        <v>6697</v>
      </c>
      <c r="L5041" t="s">
        <v>6694</v>
      </c>
      <c r="M5041" t="s">
        <v>6705</v>
      </c>
      <c r="O5041" t="s">
        <v>6694</v>
      </c>
      <c r="S5041" t="s">
        <v>6694</v>
      </c>
      <c r="W5041" t="s">
        <v>6720</v>
      </c>
    </row>
    <row r="5042" spans="1:23" ht="15.6" x14ac:dyDescent="0.4">
      <c r="A5042" s="2" t="s">
        <v>283</v>
      </c>
      <c r="B5042" s="5" t="s">
        <v>11163</v>
      </c>
      <c r="C5042" s="7" t="s">
        <v>12556</v>
      </c>
      <c r="D5042" s="8">
        <f t="shared" si="316"/>
        <v>0</v>
      </c>
      <c r="E5042" s="7" t="s">
        <v>12557</v>
      </c>
      <c r="F5042" s="7">
        <f t="shared" si="317"/>
        <v>2</v>
      </c>
      <c r="G5042" s="7" t="s">
        <v>12558</v>
      </c>
      <c r="H5042" s="7">
        <f t="shared" si="318"/>
        <v>1</v>
      </c>
      <c r="I5042" s="7" cm="1">
        <f t="array" ref="I5042">IFERROR(_xlfn.IFS(M5042="נח",1,M5042="נע ונח",1,M5042="שני שווא נח",2,M5042="שני שוואים בסוף מילה",2,M5042="שני שוואים ברצף",1),"0")</f>
        <v>1</v>
      </c>
      <c r="J5042" s="9">
        <f t="shared" si="319"/>
        <v>3</v>
      </c>
      <c r="K5042" t="s">
        <v>6697</v>
      </c>
      <c r="L5042" t="s">
        <v>6694</v>
      </c>
      <c r="M5042" t="s">
        <v>6705</v>
      </c>
      <c r="O5042" t="s">
        <v>6694</v>
      </c>
      <c r="S5042" t="s">
        <v>6694</v>
      </c>
      <c r="U5042" t="s">
        <v>6694</v>
      </c>
      <c r="W5042" t="s">
        <v>6720</v>
      </c>
    </row>
    <row r="5043" spans="1:23" ht="15.6" x14ac:dyDescent="0.4">
      <c r="A5043" s="2" t="s">
        <v>3302</v>
      </c>
      <c r="B5043" s="5" t="s">
        <v>11164</v>
      </c>
      <c r="C5043" s="7" t="s">
        <v>12556</v>
      </c>
      <c r="D5043" s="8">
        <f t="shared" si="316"/>
        <v>0</v>
      </c>
      <c r="E5043" s="7" t="s">
        <v>12557</v>
      </c>
      <c r="F5043" s="7">
        <f t="shared" si="317"/>
        <v>1</v>
      </c>
      <c r="G5043" s="7" t="s">
        <v>12558</v>
      </c>
      <c r="H5043" s="7">
        <f t="shared" si="318"/>
        <v>0</v>
      </c>
      <c r="I5043" s="7" cm="1">
        <f t="array" ref="I5043">IFERROR(_xlfn.IFS(M5043="נח",1,M5043="נע ונח",1,M5043="שני שווא נח",2,M5043="שני שוואים בסוף מילה",2,M5043="שני שוואים ברצף",1),"0")</f>
        <v>1</v>
      </c>
      <c r="J5043" s="9">
        <f t="shared" si="319"/>
        <v>2</v>
      </c>
      <c r="K5043" t="s">
        <v>6698</v>
      </c>
      <c r="L5043" t="s">
        <v>6694</v>
      </c>
      <c r="M5043" t="s">
        <v>6705</v>
      </c>
      <c r="S5043" t="s">
        <v>6694</v>
      </c>
      <c r="V5043" t="s">
        <v>6694</v>
      </c>
      <c r="W5043" t="s">
        <v>6720</v>
      </c>
    </row>
    <row r="5044" spans="1:23" ht="15.6" x14ac:dyDescent="0.4">
      <c r="A5044" s="2" t="s">
        <v>1338</v>
      </c>
      <c r="B5044" s="5" t="s">
        <v>11165</v>
      </c>
      <c r="C5044" s="7" t="s">
        <v>12556</v>
      </c>
      <c r="D5044" s="8">
        <f t="shared" si="316"/>
        <v>0</v>
      </c>
      <c r="E5044" s="7" t="s">
        <v>12557</v>
      </c>
      <c r="F5044" s="7">
        <f t="shared" si="317"/>
        <v>0</v>
      </c>
      <c r="G5044" s="7" t="s">
        <v>12558</v>
      </c>
      <c r="H5044" s="7">
        <f t="shared" si="318"/>
        <v>0</v>
      </c>
      <c r="I5044" s="7" cm="1">
        <f t="array" ref="I5044">IFERROR(_xlfn.IFS(M5044="נח",1,M5044="נע ונח",1,M5044="שני שווא נח",2,M5044="שני שוואים בסוף מילה",2,M5044="שני שוואים ברצף",1),"0")</f>
        <v>1</v>
      </c>
      <c r="J5044" s="9">
        <f t="shared" si="319"/>
        <v>2</v>
      </c>
      <c r="K5044" t="s">
        <v>6698</v>
      </c>
      <c r="L5044" t="s">
        <v>6694</v>
      </c>
      <c r="M5044" t="s">
        <v>6705</v>
      </c>
      <c r="Q5044" t="s">
        <v>6694</v>
      </c>
      <c r="S5044" t="s">
        <v>6694</v>
      </c>
      <c r="W5044" t="s">
        <v>6720</v>
      </c>
    </row>
    <row r="5045" spans="1:23" ht="15.6" x14ac:dyDescent="0.4">
      <c r="A5045" s="2" t="s">
        <v>6407</v>
      </c>
      <c r="B5045" s="5" t="s">
        <v>11166</v>
      </c>
      <c r="C5045" s="7" t="s">
        <v>12556</v>
      </c>
      <c r="D5045" s="8">
        <f t="shared" si="316"/>
        <v>0</v>
      </c>
      <c r="E5045" s="7" t="s">
        <v>12557</v>
      </c>
      <c r="F5045" s="7">
        <f t="shared" si="317"/>
        <v>1</v>
      </c>
      <c r="G5045" s="7" t="s">
        <v>12558</v>
      </c>
      <c r="H5045" s="7">
        <f t="shared" si="318"/>
        <v>1</v>
      </c>
      <c r="I5045" s="7" cm="1">
        <f t="array" ref="I5045">IFERROR(_xlfn.IFS(M5045="נח",1,M5045="נע ונח",1,M5045="שני שווא נח",2,M5045="שני שוואים בסוף מילה",2,M5045="שני שוואים ברצף",1),"0")</f>
        <v>1</v>
      </c>
      <c r="J5045" s="9">
        <f t="shared" si="319"/>
        <v>2</v>
      </c>
      <c r="K5045" t="s">
        <v>6697</v>
      </c>
      <c r="L5045" t="s">
        <v>6694</v>
      </c>
      <c r="M5045" t="s">
        <v>6705</v>
      </c>
      <c r="S5045" t="s">
        <v>6694</v>
      </c>
      <c r="U5045" t="s">
        <v>6694</v>
      </c>
      <c r="W5045" t="s">
        <v>6720</v>
      </c>
    </row>
    <row r="5046" spans="1:23" ht="15.6" x14ac:dyDescent="0.4">
      <c r="A5046" s="2" t="s">
        <v>4714</v>
      </c>
      <c r="B5046" s="5" t="s">
        <v>11167</v>
      </c>
      <c r="C5046" s="7" t="s">
        <v>12556</v>
      </c>
      <c r="D5046" s="8">
        <f t="shared" si="316"/>
        <v>0</v>
      </c>
      <c r="E5046" s="7" t="s">
        <v>12557</v>
      </c>
      <c r="F5046" s="7">
        <f t="shared" si="317"/>
        <v>1</v>
      </c>
      <c r="G5046" s="7" t="s">
        <v>12558</v>
      </c>
      <c r="H5046" s="7">
        <f t="shared" si="318"/>
        <v>1</v>
      </c>
      <c r="I5046" s="7" t="str" cm="1">
        <f t="array" ref="I5046">IFERROR(_xlfn.IFS(M5046="נח",1,M5046="נע ונח",1,M5046="שני שווא נח",2,M5046="שני שוואים בסוף מילה",2,M5046="שני שוואים ברצף",1),"0")</f>
        <v>0</v>
      </c>
      <c r="J5046" s="9">
        <f t="shared" si="319"/>
        <v>3</v>
      </c>
      <c r="K5046" t="s">
        <v>6697</v>
      </c>
      <c r="L5046" t="s">
        <v>6695</v>
      </c>
      <c r="P5046" t="s">
        <v>6694</v>
      </c>
      <c r="S5046" t="s">
        <v>6694</v>
      </c>
      <c r="U5046" t="s">
        <v>6694</v>
      </c>
      <c r="W5046" t="s">
        <v>6720</v>
      </c>
    </row>
    <row r="5047" spans="1:23" ht="15.6" x14ac:dyDescent="0.4">
      <c r="A5047" s="2" t="s">
        <v>1495</v>
      </c>
      <c r="B5047" s="5" t="s">
        <v>11168</v>
      </c>
      <c r="C5047" s="7" t="s">
        <v>12556</v>
      </c>
      <c r="D5047" s="8">
        <f t="shared" si="316"/>
        <v>0</v>
      </c>
      <c r="E5047" s="7" t="s">
        <v>12557</v>
      </c>
      <c r="F5047" s="7">
        <f t="shared" si="317"/>
        <v>0</v>
      </c>
      <c r="G5047" s="7" t="s">
        <v>12558</v>
      </c>
      <c r="H5047" s="7">
        <f t="shared" si="318"/>
        <v>0</v>
      </c>
      <c r="I5047" s="7" cm="1">
        <f t="array" ref="I5047">IFERROR(_xlfn.IFS(M5047="נח",1,M5047="נע ונח",1,M5047="שני שווא נח",2,M5047="שני שוואים בסוף מילה",2,M5047="שני שוואים ברצף",1),"0")</f>
        <v>1</v>
      </c>
      <c r="J5047" s="9">
        <f t="shared" si="319"/>
        <v>2</v>
      </c>
      <c r="K5047" t="s">
        <v>6698</v>
      </c>
      <c r="L5047" t="s">
        <v>6694</v>
      </c>
      <c r="M5047" t="s">
        <v>6705</v>
      </c>
      <c r="N5047" t="s">
        <v>6706</v>
      </c>
      <c r="O5047" t="s">
        <v>6694</v>
      </c>
      <c r="S5047" t="s">
        <v>6694</v>
      </c>
      <c r="W5047" t="s">
        <v>6720</v>
      </c>
    </row>
    <row r="5048" spans="1:23" ht="15.6" x14ac:dyDescent="0.4">
      <c r="A5048" s="2" t="s">
        <v>5269</v>
      </c>
      <c r="B5048" s="5" t="s">
        <v>11169</v>
      </c>
      <c r="C5048" s="7" t="s">
        <v>12556</v>
      </c>
      <c r="D5048" s="8">
        <f t="shared" si="316"/>
        <v>0</v>
      </c>
      <c r="E5048" s="7" t="s">
        <v>12557</v>
      </c>
      <c r="F5048" s="7">
        <f t="shared" si="317"/>
        <v>1</v>
      </c>
      <c r="G5048" s="7" t="s">
        <v>12558</v>
      </c>
      <c r="H5048" s="7">
        <f t="shared" si="318"/>
        <v>1</v>
      </c>
      <c r="I5048" s="7" t="str" cm="1">
        <f t="array" ref="I5048">IFERROR(_xlfn.IFS(M5048="נח",1,M5048="נע ונח",1,M5048="שני שווא נח",2,M5048="שני שוואים בסוף מילה",2,M5048="שני שוואים ברצף",1),"0")</f>
        <v>0</v>
      </c>
      <c r="J5048" s="9">
        <f t="shared" si="319"/>
        <v>3</v>
      </c>
      <c r="K5048" t="s">
        <v>6697</v>
      </c>
      <c r="L5048" t="s">
        <v>6695</v>
      </c>
      <c r="P5048" t="s">
        <v>6694</v>
      </c>
      <c r="S5048" t="s">
        <v>6694</v>
      </c>
      <c r="U5048" t="s">
        <v>6694</v>
      </c>
      <c r="W5048" t="s">
        <v>6720</v>
      </c>
    </row>
    <row r="5049" spans="1:23" ht="15.6" x14ac:dyDescent="0.4">
      <c r="A5049" s="2" t="s">
        <v>4580</v>
      </c>
      <c r="B5049" s="5" t="s">
        <v>11170</v>
      </c>
      <c r="C5049" s="7" t="s">
        <v>12556</v>
      </c>
      <c r="D5049" s="8">
        <f t="shared" si="316"/>
        <v>0</v>
      </c>
      <c r="E5049" s="7" t="s">
        <v>12557</v>
      </c>
      <c r="F5049" s="7">
        <f t="shared" si="317"/>
        <v>0</v>
      </c>
      <c r="G5049" s="7" t="s">
        <v>12558</v>
      </c>
      <c r="H5049" s="7">
        <f t="shared" si="318"/>
        <v>0</v>
      </c>
      <c r="I5049" s="7" t="str" cm="1">
        <f t="array" ref="I5049">IFERROR(_xlfn.IFS(M5049="נח",1,M5049="נע ונח",1,M5049="שני שווא נח",2,M5049="שני שוואים בסוף מילה",2,M5049="שני שוואים ברצף",1),"0")</f>
        <v>0</v>
      </c>
      <c r="J5049" s="9">
        <f t="shared" si="319"/>
        <v>2</v>
      </c>
      <c r="K5049" t="s">
        <v>6698</v>
      </c>
      <c r="L5049" t="s">
        <v>6695</v>
      </c>
      <c r="P5049" t="s">
        <v>6694</v>
      </c>
      <c r="S5049" t="s">
        <v>6694</v>
      </c>
      <c r="W5049" t="s">
        <v>6720</v>
      </c>
    </row>
    <row r="5050" spans="1:23" ht="15.6" x14ac:dyDescent="0.4">
      <c r="A5050" s="2" t="s">
        <v>5653</v>
      </c>
      <c r="B5050" s="5" t="s">
        <v>11171</v>
      </c>
      <c r="C5050" s="7" t="s">
        <v>12556</v>
      </c>
      <c r="D5050" s="8">
        <f t="shared" si="316"/>
        <v>0</v>
      </c>
      <c r="E5050" s="7" t="s">
        <v>12557</v>
      </c>
      <c r="F5050" s="7">
        <f t="shared" si="317"/>
        <v>0</v>
      </c>
      <c r="G5050" s="7" t="s">
        <v>12558</v>
      </c>
      <c r="H5050" s="7">
        <f t="shared" si="318"/>
        <v>0</v>
      </c>
      <c r="I5050" s="7" t="str" cm="1">
        <f t="array" ref="I5050">IFERROR(_xlfn.IFS(M5050="נח",1,M5050="נע ונח",1,M5050="שני שווא נח",2,M5050="שני שוואים בסוף מילה",2,M5050="שני שוואים ברצף",1),"0")</f>
        <v>0</v>
      </c>
      <c r="J5050" s="9">
        <f t="shared" si="319"/>
        <v>2</v>
      </c>
      <c r="K5050" t="s">
        <v>6698</v>
      </c>
      <c r="L5050" t="s">
        <v>6695</v>
      </c>
      <c r="N5050" t="s">
        <v>6706</v>
      </c>
      <c r="O5050" t="s">
        <v>6694</v>
      </c>
      <c r="S5050" t="s">
        <v>6694</v>
      </c>
      <c r="W5050" t="s">
        <v>6720</v>
      </c>
    </row>
    <row r="5051" spans="1:23" ht="15.6" x14ac:dyDescent="0.4">
      <c r="A5051" s="2" t="s">
        <v>3763</v>
      </c>
      <c r="B5051" s="5" t="s">
        <v>11172</v>
      </c>
      <c r="C5051" s="7" t="s">
        <v>12556</v>
      </c>
      <c r="D5051" s="8">
        <f t="shared" si="316"/>
        <v>0</v>
      </c>
      <c r="E5051" s="7" t="s">
        <v>12557</v>
      </c>
      <c r="F5051" s="7">
        <f t="shared" si="317"/>
        <v>0</v>
      </c>
      <c r="G5051" s="7" t="s">
        <v>12558</v>
      </c>
      <c r="H5051" s="7">
        <f t="shared" si="318"/>
        <v>0</v>
      </c>
      <c r="I5051" s="7" t="str" cm="1">
        <f t="array" ref="I5051">IFERROR(_xlfn.IFS(M5051="נח",1,M5051="נע ונח",1,M5051="שני שווא נח",2,M5051="שני שוואים בסוף מילה",2,M5051="שני שוואים ברצף",1),"0")</f>
        <v>0</v>
      </c>
      <c r="J5051" s="9">
        <f t="shared" si="319"/>
        <v>2</v>
      </c>
      <c r="K5051" t="s">
        <v>6697</v>
      </c>
      <c r="L5051" t="s">
        <v>6695</v>
      </c>
      <c r="O5051" t="s">
        <v>6694</v>
      </c>
      <c r="S5051" t="s">
        <v>6694</v>
      </c>
      <c r="W5051" t="s">
        <v>6720</v>
      </c>
    </row>
    <row r="5052" spans="1:23" ht="15.6" x14ac:dyDescent="0.4">
      <c r="A5052" s="2" t="s">
        <v>3006</v>
      </c>
      <c r="B5052" s="5" t="s">
        <v>11173</v>
      </c>
      <c r="C5052" s="7" t="s">
        <v>12556</v>
      </c>
      <c r="D5052" s="8">
        <f t="shared" si="316"/>
        <v>0</v>
      </c>
      <c r="E5052" s="7" t="s">
        <v>12557</v>
      </c>
      <c r="F5052" s="7">
        <f t="shared" si="317"/>
        <v>1</v>
      </c>
      <c r="G5052" s="7" t="s">
        <v>12558</v>
      </c>
      <c r="H5052" s="7">
        <f t="shared" si="318"/>
        <v>0</v>
      </c>
      <c r="I5052" s="7" cm="1">
        <f t="array" ref="I5052">IFERROR(_xlfn.IFS(M5052="נח",1,M5052="נע ונח",1,M5052="שני שווא נח",2,M5052="שני שוואים בסוף מילה",2,M5052="שני שוואים ברצף",1),"0")</f>
        <v>1</v>
      </c>
      <c r="J5052" s="9">
        <f t="shared" si="319"/>
        <v>3</v>
      </c>
      <c r="K5052" t="s">
        <v>6698</v>
      </c>
      <c r="L5052" t="s">
        <v>6694</v>
      </c>
      <c r="M5052" t="s">
        <v>6705</v>
      </c>
      <c r="O5052" t="s">
        <v>6694</v>
      </c>
      <c r="S5052" t="s">
        <v>6694</v>
      </c>
      <c r="V5052" t="s">
        <v>6694</v>
      </c>
      <c r="W5052" t="s">
        <v>6720</v>
      </c>
    </row>
    <row r="5053" spans="1:23" ht="15.6" x14ac:dyDescent="0.4">
      <c r="A5053" s="2" t="s">
        <v>5064</v>
      </c>
      <c r="B5053" s="5" t="s">
        <v>11127</v>
      </c>
      <c r="C5053" s="7" t="s">
        <v>12556</v>
      </c>
      <c r="D5053" s="8">
        <f t="shared" si="316"/>
        <v>0</v>
      </c>
      <c r="E5053" s="7" t="s">
        <v>12557</v>
      </c>
      <c r="F5053" s="7">
        <f t="shared" si="317"/>
        <v>0</v>
      </c>
      <c r="G5053" s="7" t="s">
        <v>12558</v>
      </c>
      <c r="H5053" s="7">
        <f t="shared" si="318"/>
        <v>0</v>
      </c>
      <c r="I5053" s="7" cm="1">
        <f t="array" ref="I5053">IFERROR(_xlfn.IFS(M5053="נח",1,M5053="נע ונח",1,M5053="שני שווא נח",2,M5053="שני שוואים בסוף מילה",2,M5053="שני שוואים ברצף",1),"0")</f>
        <v>1</v>
      </c>
      <c r="J5053" s="9">
        <f t="shared" si="319"/>
        <v>2</v>
      </c>
      <c r="K5053" t="s">
        <v>6698</v>
      </c>
      <c r="L5053" t="s">
        <v>6694</v>
      </c>
      <c r="M5053" t="s">
        <v>6705</v>
      </c>
      <c r="P5053" t="s">
        <v>6694</v>
      </c>
      <c r="S5053" t="s">
        <v>6694</v>
      </c>
      <c r="W5053" t="s">
        <v>6720</v>
      </c>
    </row>
    <row r="5054" spans="1:23" ht="15.6" x14ac:dyDescent="0.4">
      <c r="A5054" s="2" t="s">
        <v>6496</v>
      </c>
      <c r="B5054" s="5" t="s">
        <v>11174</v>
      </c>
      <c r="C5054" s="7" t="s">
        <v>12556</v>
      </c>
      <c r="D5054" s="8">
        <f t="shared" si="316"/>
        <v>0</v>
      </c>
      <c r="E5054" s="7" t="s">
        <v>12557</v>
      </c>
      <c r="F5054" s="7">
        <f t="shared" si="317"/>
        <v>1</v>
      </c>
      <c r="G5054" s="7" t="s">
        <v>12558</v>
      </c>
      <c r="H5054" s="7">
        <f t="shared" si="318"/>
        <v>1</v>
      </c>
      <c r="I5054" s="7" cm="1">
        <f t="array" ref="I5054">IFERROR(_xlfn.IFS(M5054="נח",1,M5054="נע ונח",1,M5054="שני שווא נח",2,M5054="שני שוואים בסוף מילה",2,M5054="שני שוואים ברצף",1),"0")</f>
        <v>1</v>
      </c>
      <c r="J5054" s="9">
        <f t="shared" si="319"/>
        <v>3</v>
      </c>
      <c r="K5054" t="s">
        <v>6697</v>
      </c>
      <c r="L5054" t="s">
        <v>6694</v>
      </c>
      <c r="M5054" t="s">
        <v>6705</v>
      </c>
      <c r="O5054" t="s">
        <v>6694</v>
      </c>
      <c r="S5054" t="s">
        <v>6694</v>
      </c>
      <c r="U5054" t="s">
        <v>6694</v>
      </c>
      <c r="W5054" t="s">
        <v>6720</v>
      </c>
    </row>
    <row r="5055" spans="1:23" ht="15.6" x14ac:dyDescent="0.4">
      <c r="A5055" s="2" t="s">
        <v>5694</v>
      </c>
      <c r="B5055" s="5" t="s">
        <v>11175</v>
      </c>
      <c r="C5055" s="7" t="s">
        <v>12556</v>
      </c>
      <c r="D5055" s="8">
        <f t="shared" si="316"/>
        <v>0</v>
      </c>
      <c r="E5055" s="7" t="s">
        <v>12557</v>
      </c>
      <c r="F5055" s="7">
        <f t="shared" si="317"/>
        <v>0</v>
      </c>
      <c r="G5055" s="7" t="s">
        <v>12558</v>
      </c>
      <c r="H5055" s="7">
        <f t="shared" si="318"/>
        <v>0</v>
      </c>
      <c r="I5055" s="7" cm="1">
        <f t="array" ref="I5055">IFERROR(_xlfn.IFS(M5055="נח",1,M5055="נע ונח",1,M5055="שני שווא נח",2,M5055="שני שוואים בסוף מילה",2,M5055="שני שוואים ברצף",1),"0")</f>
        <v>1</v>
      </c>
      <c r="J5055" s="9">
        <f t="shared" si="319"/>
        <v>2</v>
      </c>
      <c r="K5055" t="s">
        <v>6698</v>
      </c>
      <c r="L5055" t="s">
        <v>6694</v>
      </c>
      <c r="M5055" t="s">
        <v>6705</v>
      </c>
      <c r="N5055" t="s">
        <v>6706</v>
      </c>
      <c r="O5055" t="s">
        <v>6694</v>
      </c>
      <c r="S5055" t="s">
        <v>6694</v>
      </c>
      <c r="W5055" t="s">
        <v>6720</v>
      </c>
    </row>
    <row r="5056" spans="1:23" ht="15.6" x14ac:dyDescent="0.4">
      <c r="A5056" s="2" t="s">
        <v>4883</v>
      </c>
      <c r="B5056" s="5" t="s">
        <v>11176</v>
      </c>
      <c r="C5056" s="7" t="s">
        <v>12556</v>
      </c>
      <c r="D5056" s="8">
        <f t="shared" si="316"/>
        <v>0</v>
      </c>
      <c r="E5056" s="7" t="s">
        <v>12557</v>
      </c>
      <c r="F5056" s="7">
        <f t="shared" si="317"/>
        <v>0</v>
      </c>
      <c r="G5056" s="7" t="s">
        <v>12558</v>
      </c>
      <c r="H5056" s="7">
        <f t="shared" si="318"/>
        <v>0</v>
      </c>
      <c r="I5056" s="7" cm="1">
        <f t="array" ref="I5056">IFERROR(_xlfn.IFS(M5056="נח",1,M5056="נע ונח",1,M5056="שני שווא נח",2,M5056="שני שוואים בסוף מילה",2,M5056="שני שוואים ברצף",1),"0")</f>
        <v>1</v>
      </c>
      <c r="J5056" s="9">
        <f t="shared" si="319"/>
        <v>3</v>
      </c>
      <c r="K5056" t="s">
        <v>6697</v>
      </c>
      <c r="L5056" t="s">
        <v>6694</v>
      </c>
      <c r="M5056" t="s">
        <v>6702</v>
      </c>
      <c r="O5056" t="s">
        <v>6694</v>
      </c>
      <c r="S5056" t="s">
        <v>6694</v>
      </c>
      <c r="W5056" t="s">
        <v>6720</v>
      </c>
    </row>
    <row r="5057" spans="1:23" ht="15.6" x14ac:dyDescent="0.4">
      <c r="A5057" s="2" t="s">
        <v>6247</v>
      </c>
      <c r="B5057" s="5" t="s">
        <v>11177</v>
      </c>
      <c r="C5057" s="7" t="s">
        <v>12556</v>
      </c>
      <c r="D5057" s="8">
        <f t="shared" si="316"/>
        <v>0</v>
      </c>
      <c r="E5057" s="7" t="s">
        <v>12557</v>
      </c>
      <c r="F5057" s="7">
        <f t="shared" si="317"/>
        <v>0</v>
      </c>
      <c r="G5057" s="7" t="s">
        <v>12558</v>
      </c>
      <c r="H5057" s="7">
        <f t="shared" si="318"/>
        <v>0</v>
      </c>
      <c r="I5057" s="7" cm="1">
        <f t="array" ref="I5057">IFERROR(_xlfn.IFS(M5057="נח",1,M5057="נע ונח",1,M5057="שני שווא נח",2,M5057="שני שוואים בסוף מילה",2,M5057="שני שוואים ברצף",1),"0")</f>
        <v>1</v>
      </c>
      <c r="J5057" s="9">
        <f t="shared" si="319"/>
        <v>2</v>
      </c>
      <c r="K5057" t="s">
        <v>6698</v>
      </c>
      <c r="L5057" t="s">
        <v>6694</v>
      </c>
      <c r="M5057" t="s">
        <v>6705</v>
      </c>
      <c r="N5057" t="s">
        <v>6706</v>
      </c>
      <c r="O5057" t="s">
        <v>6694</v>
      </c>
      <c r="S5057" t="s">
        <v>6694</v>
      </c>
      <c r="W5057" t="s">
        <v>6720</v>
      </c>
    </row>
    <row r="5058" spans="1:23" ht="15.6" x14ac:dyDescent="0.4">
      <c r="A5058" s="2" t="s">
        <v>2423</v>
      </c>
      <c r="B5058" s="5" t="s">
        <v>11178</v>
      </c>
      <c r="C5058" s="7" t="s">
        <v>12556</v>
      </c>
      <c r="D5058" s="8">
        <f t="shared" si="316"/>
        <v>0</v>
      </c>
      <c r="E5058" s="7" t="s">
        <v>12557</v>
      </c>
      <c r="F5058" s="7">
        <f t="shared" si="317"/>
        <v>1</v>
      </c>
      <c r="G5058" s="7" t="s">
        <v>12558</v>
      </c>
      <c r="H5058" s="7">
        <f t="shared" si="318"/>
        <v>0</v>
      </c>
      <c r="I5058" s="7" cm="1">
        <f t="array" ref="I5058">IFERROR(_xlfn.IFS(M5058="נח",1,M5058="נע ונח",1,M5058="שני שווא נח",2,M5058="שני שוואים בסוף מילה",2,M5058="שני שוואים ברצף",1),"0")</f>
        <v>1</v>
      </c>
      <c r="J5058" s="9">
        <f t="shared" si="319"/>
        <v>3</v>
      </c>
      <c r="K5058" t="s">
        <v>6697</v>
      </c>
      <c r="L5058" t="s">
        <v>6694</v>
      </c>
      <c r="M5058" t="s">
        <v>6702</v>
      </c>
      <c r="O5058" t="s">
        <v>6694</v>
      </c>
      <c r="S5058" t="s">
        <v>6694</v>
      </c>
      <c r="W5058" t="s">
        <v>6720</v>
      </c>
    </row>
    <row r="5059" spans="1:23" ht="15.6" x14ac:dyDescent="0.4">
      <c r="A5059" s="2" t="s">
        <v>5225</v>
      </c>
      <c r="B5059" s="5" t="s">
        <v>11179</v>
      </c>
      <c r="C5059" s="7" t="s">
        <v>12556</v>
      </c>
      <c r="D5059" s="8">
        <f t="shared" ref="D5059:D5122" si="320">(LEN(B5059)-LEN(SUBSTITUTE(B5059,C5059,"")))</f>
        <v>0</v>
      </c>
      <c r="E5059" s="7" t="s">
        <v>12557</v>
      </c>
      <c r="F5059" s="7">
        <f t="shared" ref="F5059:F5122" si="321">(LEN(A5059)-LEN(SUBSTITUTE(A5059,E5059,"")))</f>
        <v>0</v>
      </c>
      <c r="G5059" s="7" t="s">
        <v>12558</v>
      </c>
      <c r="H5059" s="7">
        <f t="shared" ref="H5059:H5122" si="322">(LEN(A5059)-LEN(SUBSTITUTE(A5059,G5059,"")))/2</f>
        <v>0</v>
      </c>
      <c r="I5059" s="7" cm="1">
        <f t="array" ref="I5059">IFERROR(_xlfn.IFS(M5059="נח",1,M5059="נע ונח",1,M5059="שני שווא נח",2,M5059="שני שוואים בסוף מילה",2,M5059="שני שוואים ברצף",1),"0")</f>
        <v>1</v>
      </c>
      <c r="J5059" s="9">
        <f t="shared" ref="J5059:J5122" si="323">LEN(A5059)-(LEN(B5059))-D5059-F5059+H5059-I5059</f>
        <v>2</v>
      </c>
      <c r="K5059" t="s">
        <v>6698</v>
      </c>
      <c r="L5059" t="s">
        <v>6694</v>
      </c>
      <c r="M5059" t="s">
        <v>6705</v>
      </c>
      <c r="N5059" t="s">
        <v>6706</v>
      </c>
      <c r="O5059" t="s">
        <v>6694</v>
      </c>
      <c r="S5059" t="s">
        <v>6694</v>
      </c>
      <c r="W5059" t="s">
        <v>6720</v>
      </c>
    </row>
    <row r="5060" spans="1:23" ht="15.6" x14ac:dyDescent="0.4">
      <c r="A5060" s="2" t="s">
        <v>1652</v>
      </c>
      <c r="B5060" s="5" t="s">
        <v>11180</v>
      </c>
      <c r="C5060" s="7" t="s">
        <v>12556</v>
      </c>
      <c r="D5060" s="8">
        <f t="shared" si="320"/>
        <v>0</v>
      </c>
      <c r="E5060" s="7" t="s">
        <v>12557</v>
      </c>
      <c r="F5060" s="7">
        <f t="shared" si="321"/>
        <v>1</v>
      </c>
      <c r="G5060" s="7" t="s">
        <v>12558</v>
      </c>
      <c r="H5060" s="7">
        <f t="shared" si="322"/>
        <v>0</v>
      </c>
      <c r="I5060" s="7" cm="1">
        <f t="array" ref="I5060">IFERROR(_xlfn.IFS(M5060="נח",1,M5060="נע ונח",1,M5060="שני שווא נח",2,M5060="שני שוואים בסוף מילה",2,M5060="שני שוואים ברצף",1),"0")</f>
        <v>1</v>
      </c>
      <c r="J5060" s="9">
        <f t="shared" si="323"/>
        <v>2</v>
      </c>
      <c r="K5060" t="s">
        <v>6698</v>
      </c>
      <c r="L5060" t="s">
        <v>6694</v>
      </c>
      <c r="M5060" t="s">
        <v>6705</v>
      </c>
      <c r="P5060" t="s">
        <v>6694</v>
      </c>
      <c r="S5060" t="s">
        <v>6694</v>
      </c>
      <c r="W5060" t="s">
        <v>6720</v>
      </c>
    </row>
    <row r="5061" spans="1:23" ht="15.6" x14ac:dyDescent="0.4">
      <c r="A5061" s="2" t="s">
        <v>3762</v>
      </c>
      <c r="B5061" s="5" t="s">
        <v>11181</v>
      </c>
      <c r="C5061" s="7" t="s">
        <v>12556</v>
      </c>
      <c r="D5061" s="8">
        <f t="shared" si="320"/>
        <v>0</v>
      </c>
      <c r="E5061" s="7" t="s">
        <v>12557</v>
      </c>
      <c r="F5061" s="7">
        <f t="shared" si="321"/>
        <v>0</v>
      </c>
      <c r="G5061" s="7" t="s">
        <v>12558</v>
      </c>
      <c r="H5061" s="7">
        <f t="shared" si="322"/>
        <v>0</v>
      </c>
      <c r="I5061" s="7" cm="1">
        <f t="array" ref="I5061">IFERROR(_xlfn.IFS(M5061="נח",1,M5061="נע ונח",1,M5061="שני שווא נח",2,M5061="שני שוואים בסוף מילה",2,M5061="שני שוואים ברצף",1),"0")</f>
        <v>1</v>
      </c>
      <c r="J5061" s="9">
        <f t="shared" si="323"/>
        <v>2</v>
      </c>
      <c r="K5061" t="s">
        <v>6697</v>
      </c>
      <c r="L5061" t="s">
        <v>6694</v>
      </c>
      <c r="M5061" t="s">
        <v>6705</v>
      </c>
      <c r="O5061" t="s">
        <v>6694</v>
      </c>
      <c r="S5061" t="s">
        <v>6694</v>
      </c>
      <c r="W5061" t="s">
        <v>6720</v>
      </c>
    </row>
    <row r="5062" spans="1:23" ht="15.6" x14ac:dyDescent="0.4">
      <c r="A5062" s="2" t="s">
        <v>3845</v>
      </c>
      <c r="B5062" s="5" t="s">
        <v>11182</v>
      </c>
      <c r="C5062" s="7" t="s">
        <v>12556</v>
      </c>
      <c r="D5062" s="8">
        <f t="shared" si="320"/>
        <v>1</v>
      </c>
      <c r="E5062" s="7" t="s">
        <v>12557</v>
      </c>
      <c r="F5062" s="7">
        <f t="shared" si="321"/>
        <v>0</v>
      </c>
      <c r="G5062" s="7" t="s">
        <v>12558</v>
      </c>
      <c r="H5062" s="7">
        <f t="shared" si="322"/>
        <v>0</v>
      </c>
      <c r="I5062" s="7" cm="1">
        <f t="array" ref="I5062">IFERROR(_xlfn.IFS(M5062="נח",1,M5062="נע ונח",1,M5062="שני שווא נח",2,M5062="שני שוואים בסוף מילה",2,M5062="שני שוואים ברצף",1),"0")</f>
        <v>1</v>
      </c>
      <c r="J5062" s="9">
        <f t="shared" si="323"/>
        <v>2</v>
      </c>
      <c r="K5062" t="s">
        <v>6698</v>
      </c>
      <c r="L5062" t="s">
        <v>6694</v>
      </c>
      <c r="M5062" t="s">
        <v>6705</v>
      </c>
      <c r="P5062" t="s">
        <v>6694</v>
      </c>
      <c r="S5062" t="s">
        <v>6694</v>
      </c>
      <c r="W5062" t="s">
        <v>6720</v>
      </c>
    </row>
    <row r="5063" spans="1:23" ht="15.6" x14ac:dyDescent="0.4">
      <c r="A5063" s="2" t="s">
        <v>5007</v>
      </c>
      <c r="B5063" s="5" t="s">
        <v>11183</v>
      </c>
      <c r="C5063" s="7" t="s">
        <v>12556</v>
      </c>
      <c r="D5063" s="8">
        <f t="shared" si="320"/>
        <v>0</v>
      </c>
      <c r="E5063" s="7" t="s">
        <v>12557</v>
      </c>
      <c r="F5063" s="7">
        <f t="shared" si="321"/>
        <v>1</v>
      </c>
      <c r="G5063" s="7" t="s">
        <v>12558</v>
      </c>
      <c r="H5063" s="7">
        <f t="shared" si="322"/>
        <v>0</v>
      </c>
      <c r="I5063" s="7" cm="1">
        <f t="array" ref="I5063">IFERROR(_xlfn.IFS(M5063="נח",1,M5063="נע ונח",1,M5063="שני שווא נח",2,M5063="שני שוואים בסוף מילה",2,M5063="שני שוואים ברצף",1),"0")</f>
        <v>2</v>
      </c>
      <c r="J5063" s="9">
        <f t="shared" si="323"/>
        <v>3</v>
      </c>
      <c r="K5063" t="s">
        <v>6697</v>
      </c>
      <c r="L5063" t="s">
        <v>6694</v>
      </c>
      <c r="M5063" t="s">
        <v>6704</v>
      </c>
      <c r="P5063" t="s">
        <v>6694</v>
      </c>
      <c r="S5063" t="s">
        <v>6694</v>
      </c>
      <c r="W5063" t="s">
        <v>6720</v>
      </c>
    </row>
    <row r="5064" spans="1:23" ht="15.6" x14ac:dyDescent="0.4">
      <c r="A5064" s="2" t="s">
        <v>3038</v>
      </c>
      <c r="B5064" s="5" t="s">
        <v>11184</v>
      </c>
      <c r="C5064" s="7" t="s">
        <v>12556</v>
      </c>
      <c r="D5064" s="8">
        <f t="shared" si="320"/>
        <v>0</v>
      </c>
      <c r="E5064" s="7" t="s">
        <v>12557</v>
      </c>
      <c r="F5064" s="7">
        <f t="shared" si="321"/>
        <v>1</v>
      </c>
      <c r="G5064" s="7" t="s">
        <v>12558</v>
      </c>
      <c r="H5064" s="7">
        <f t="shared" si="322"/>
        <v>0</v>
      </c>
      <c r="I5064" s="7" cm="1">
        <f t="array" ref="I5064">IFERROR(_xlfn.IFS(M5064="נח",1,M5064="נע ונח",1,M5064="שני שווא נח",2,M5064="שני שוואים בסוף מילה",2,M5064="שני שוואים ברצף",1),"0")</f>
        <v>1</v>
      </c>
      <c r="J5064" s="9">
        <f t="shared" si="323"/>
        <v>3</v>
      </c>
      <c r="K5064" t="s">
        <v>6698</v>
      </c>
      <c r="L5064" t="s">
        <v>6694</v>
      </c>
      <c r="M5064" t="s">
        <v>6705</v>
      </c>
      <c r="Q5064" t="s">
        <v>6694</v>
      </c>
      <c r="R5064" t="s">
        <v>6694</v>
      </c>
      <c r="S5064" t="s">
        <v>6694</v>
      </c>
      <c r="W5064" t="s">
        <v>6720</v>
      </c>
    </row>
    <row r="5065" spans="1:23" ht="15.6" x14ac:dyDescent="0.4">
      <c r="A5065" s="2" t="s">
        <v>474</v>
      </c>
      <c r="B5065" s="5" t="s">
        <v>11185</v>
      </c>
      <c r="C5065" s="7" t="s">
        <v>12556</v>
      </c>
      <c r="D5065" s="8">
        <f t="shared" si="320"/>
        <v>0</v>
      </c>
      <c r="E5065" s="7" t="s">
        <v>12557</v>
      </c>
      <c r="F5065" s="7">
        <f t="shared" si="321"/>
        <v>1</v>
      </c>
      <c r="G5065" s="7" t="s">
        <v>12558</v>
      </c>
      <c r="H5065" s="7">
        <f t="shared" si="322"/>
        <v>0</v>
      </c>
      <c r="I5065" s="7" cm="1">
        <f t="array" ref="I5065">IFERROR(_xlfn.IFS(M5065="נח",1,M5065="נע ונח",1,M5065="שני שווא נח",2,M5065="שני שוואים בסוף מילה",2,M5065="שני שוואים ברצף",1),"0")</f>
        <v>2</v>
      </c>
      <c r="J5065" s="9">
        <f t="shared" si="323"/>
        <v>3</v>
      </c>
      <c r="K5065" t="s">
        <v>6697</v>
      </c>
      <c r="L5065" t="s">
        <v>6694</v>
      </c>
      <c r="M5065" t="s">
        <v>6704</v>
      </c>
      <c r="P5065" t="s">
        <v>6694</v>
      </c>
      <c r="S5065" t="s">
        <v>6694</v>
      </c>
      <c r="W5065" t="s">
        <v>6720</v>
      </c>
    </row>
    <row r="5066" spans="1:23" ht="15.6" x14ac:dyDescent="0.4">
      <c r="A5066" s="2" t="s">
        <v>3275</v>
      </c>
      <c r="B5066" s="5" t="s">
        <v>11186</v>
      </c>
      <c r="C5066" s="7" t="s">
        <v>12556</v>
      </c>
      <c r="D5066" s="8">
        <f t="shared" si="320"/>
        <v>0</v>
      </c>
      <c r="E5066" s="7" t="s">
        <v>12557</v>
      </c>
      <c r="F5066" s="7">
        <f t="shared" si="321"/>
        <v>1</v>
      </c>
      <c r="G5066" s="7" t="s">
        <v>12558</v>
      </c>
      <c r="H5066" s="7">
        <f t="shared" si="322"/>
        <v>0</v>
      </c>
      <c r="I5066" s="7" cm="1">
        <f t="array" ref="I5066">IFERROR(_xlfn.IFS(M5066="נח",1,M5066="נע ונח",1,M5066="שני שווא נח",2,M5066="שני שוואים בסוף מילה",2,M5066="שני שוואים ברצף",1),"0")</f>
        <v>1</v>
      </c>
      <c r="J5066" s="9">
        <f t="shared" si="323"/>
        <v>2</v>
      </c>
      <c r="K5066" t="s">
        <v>6698</v>
      </c>
      <c r="L5066" t="s">
        <v>6694</v>
      </c>
      <c r="M5066" t="s">
        <v>6705</v>
      </c>
      <c r="N5066" t="s">
        <v>6706</v>
      </c>
      <c r="O5066" t="s">
        <v>6694</v>
      </c>
      <c r="S5066" t="s">
        <v>6694</v>
      </c>
      <c r="W5066" t="s">
        <v>6720</v>
      </c>
    </row>
    <row r="5067" spans="1:23" ht="15.6" x14ac:dyDescent="0.4">
      <c r="A5067" s="2" t="s">
        <v>6595</v>
      </c>
      <c r="B5067" s="5" t="s">
        <v>11187</v>
      </c>
      <c r="C5067" s="7" t="s">
        <v>12556</v>
      </c>
      <c r="D5067" s="8">
        <f t="shared" si="320"/>
        <v>0</v>
      </c>
      <c r="E5067" s="7" t="s">
        <v>12557</v>
      </c>
      <c r="F5067" s="7">
        <f t="shared" si="321"/>
        <v>1</v>
      </c>
      <c r="G5067" s="7" t="s">
        <v>12558</v>
      </c>
      <c r="H5067" s="7">
        <f t="shared" si="322"/>
        <v>0</v>
      </c>
      <c r="I5067" s="7" cm="1">
        <f t="array" ref="I5067">IFERROR(_xlfn.IFS(M5067="נח",1,M5067="נע ונח",1,M5067="שני שווא נח",2,M5067="שני שוואים בסוף מילה",2,M5067="שני שוואים ברצף",1),"0")</f>
        <v>1</v>
      </c>
      <c r="J5067" s="9">
        <f t="shared" si="323"/>
        <v>3</v>
      </c>
      <c r="K5067" t="s">
        <v>6697</v>
      </c>
      <c r="L5067" t="s">
        <v>6694</v>
      </c>
      <c r="M5067" t="s">
        <v>6705</v>
      </c>
      <c r="O5067" t="s">
        <v>6694</v>
      </c>
      <c r="S5067" t="s">
        <v>6694</v>
      </c>
      <c r="W5067" t="s">
        <v>6720</v>
      </c>
    </row>
    <row r="5068" spans="1:23" ht="15.6" x14ac:dyDescent="0.4">
      <c r="A5068" s="2" t="s">
        <v>2987</v>
      </c>
      <c r="B5068" s="5" t="s">
        <v>11188</v>
      </c>
      <c r="C5068" s="7" t="s">
        <v>12556</v>
      </c>
      <c r="D5068" s="8">
        <f t="shared" si="320"/>
        <v>0</v>
      </c>
      <c r="E5068" s="7" t="s">
        <v>12557</v>
      </c>
      <c r="F5068" s="7">
        <f t="shared" si="321"/>
        <v>2</v>
      </c>
      <c r="G5068" s="7" t="s">
        <v>12558</v>
      </c>
      <c r="H5068" s="7">
        <f t="shared" si="322"/>
        <v>1</v>
      </c>
      <c r="I5068" s="7" t="str" cm="1">
        <f t="array" ref="I5068">IFERROR(_xlfn.IFS(M5068="נח",1,M5068="נע ונח",1,M5068="שני שווא נח",2,M5068="שני שוואים בסוף מילה",2,M5068="שני שוואים ברצף",1),"0")</f>
        <v>0</v>
      </c>
      <c r="J5068" s="9">
        <f t="shared" si="323"/>
        <v>3</v>
      </c>
      <c r="K5068" t="s">
        <v>6697</v>
      </c>
      <c r="L5068" t="s">
        <v>6695</v>
      </c>
      <c r="S5068" t="s">
        <v>6694</v>
      </c>
      <c r="U5068" t="s">
        <v>6694</v>
      </c>
      <c r="W5068" t="s">
        <v>6720</v>
      </c>
    </row>
    <row r="5069" spans="1:23" ht="15.6" x14ac:dyDescent="0.4">
      <c r="A5069" s="2" t="s">
        <v>4942</v>
      </c>
      <c r="B5069" s="5" t="s">
        <v>11189</v>
      </c>
      <c r="C5069" s="7" t="s">
        <v>12556</v>
      </c>
      <c r="D5069" s="8">
        <f t="shared" si="320"/>
        <v>1</v>
      </c>
      <c r="E5069" s="7" t="s">
        <v>12557</v>
      </c>
      <c r="F5069" s="7">
        <f t="shared" si="321"/>
        <v>2</v>
      </c>
      <c r="G5069" s="7" t="s">
        <v>12558</v>
      </c>
      <c r="H5069" s="7">
        <f t="shared" si="322"/>
        <v>1</v>
      </c>
      <c r="I5069" s="7" cm="1">
        <f t="array" ref="I5069">IFERROR(_xlfn.IFS(M5069="נח",1,M5069="נע ונח",1,M5069="שני שווא נח",2,M5069="שני שוואים בסוף מילה",2,M5069="שני שוואים ברצף",1),"0")</f>
        <v>1</v>
      </c>
      <c r="J5069" s="9">
        <f t="shared" si="323"/>
        <v>3</v>
      </c>
      <c r="K5069" t="s">
        <v>6697</v>
      </c>
      <c r="L5069" t="s">
        <v>6694</v>
      </c>
      <c r="M5069" t="s">
        <v>6705</v>
      </c>
      <c r="O5069" t="s">
        <v>6694</v>
      </c>
      <c r="S5069" t="s">
        <v>6694</v>
      </c>
      <c r="U5069" t="s">
        <v>6694</v>
      </c>
      <c r="W5069" t="s">
        <v>6720</v>
      </c>
    </row>
    <row r="5070" spans="1:23" ht="15.6" x14ac:dyDescent="0.4">
      <c r="A5070" s="2" t="s">
        <v>5590</v>
      </c>
      <c r="B5070" s="5" t="s">
        <v>11190</v>
      </c>
      <c r="C5070" s="7" t="s">
        <v>12556</v>
      </c>
      <c r="D5070" s="8">
        <f t="shared" si="320"/>
        <v>0</v>
      </c>
      <c r="E5070" s="7" t="s">
        <v>12557</v>
      </c>
      <c r="F5070" s="7">
        <f t="shared" si="321"/>
        <v>1</v>
      </c>
      <c r="G5070" s="7" t="s">
        <v>12558</v>
      </c>
      <c r="H5070" s="7">
        <f t="shared" si="322"/>
        <v>1</v>
      </c>
      <c r="I5070" s="7" cm="1">
        <f t="array" ref="I5070">IFERROR(_xlfn.IFS(M5070="נח",1,M5070="נע ונח",1,M5070="שני שווא נח",2,M5070="שני שוואים בסוף מילה",2,M5070="שני שוואים ברצף",1),"0")</f>
        <v>1</v>
      </c>
      <c r="J5070" s="9">
        <f t="shared" si="323"/>
        <v>3</v>
      </c>
      <c r="K5070" t="s">
        <v>6697</v>
      </c>
      <c r="L5070" t="s">
        <v>6694</v>
      </c>
      <c r="M5070" t="s">
        <v>6702</v>
      </c>
      <c r="S5070" t="s">
        <v>6694</v>
      </c>
      <c r="U5070" t="s">
        <v>6694</v>
      </c>
      <c r="W5070" t="s">
        <v>6720</v>
      </c>
    </row>
    <row r="5071" spans="1:23" ht="15.6" x14ac:dyDescent="0.4">
      <c r="A5071" s="2" t="s">
        <v>3502</v>
      </c>
      <c r="B5071" s="5" t="s">
        <v>11191</v>
      </c>
      <c r="C5071" s="7" t="s">
        <v>12556</v>
      </c>
      <c r="D5071" s="8">
        <f t="shared" si="320"/>
        <v>0</v>
      </c>
      <c r="E5071" s="7" t="s">
        <v>12557</v>
      </c>
      <c r="F5071" s="7">
        <f t="shared" si="321"/>
        <v>0</v>
      </c>
      <c r="G5071" s="7" t="s">
        <v>12558</v>
      </c>
      <c r="H5071" s="7">
        <f t="shared" si="322"/>
        <v>0</v>
      </c>
      <c r="I5071" s="7" cm="1">
        <f t="array" ref="I5071">IFERROR(_xlfn.IFS(M5071="נח",1,M5071="נע ונח",1,M5071="שני שווא נח",2,M5071="שני שוואים בסוף מילה",2,M5071="שני שוואים ברצף",1),"0")</f>
        <v>1</v>
      </c>
      <c r="J5071" s="9">
        <f t="shared" si="323"/>
        <v>5</v>
      </c>
      <c r="K5071" t="s">
        <v>6697</v>
      </c>
      <c r="L5071" t="s">
        <v>6694</v>
      </c>
      <c r="M5071" t="s">
        <v>6702</v>
      </c>
      <c r="O5071" t="s">
        <v>6694</v>
      </c>
      <c r="R5071" t="s">
        <v>6694</v>
      </c>
      <c r="S5071" t="s">
        <v>6694</v>
      </c>
      <c r="V5071" t="s">
        <v>6694</v>
      </c>
      <c r="W5071" t="s">
        <v>6720</v>
      </c>
    </row>
    <row r="5072" spans="1:23" ht="15.6" x14ac:dyDescent="0.4">
      <c r="A5072" s="2" t="s">
        <v>1036</v>
      </c>
      <c r="B5072" s="5" t="s">
        <v>11192</v>
      </c>
      <c r="C5072" s="7" t="s">
        <v>12556</v>
      </c>
      <c r="D5072" s="8">
        <f t="shared" si="320"/>
        <v>0</v>
      </c>
      <c r="E5072" s="7" t="s">
        <v>12557</v>
      </c>
      <c r="F5072" s="7">
        <f t="shared" si="321"/>
        <v>0</v>
      </c>
      <c r="G5072" s="7" t="s">
        <v>12558</v>
      </c>
      <c r="H5072" s="7">
        <f t="shared" si="322"/>
        <v>0</v>
      </c>
      <c r="I5072" s="7" cm="1">
        <f t="array" ref="I5072">IFERROR(_xlfn.IFS(M5072="נח",1,M5072="נע ונח",1,M5072="שני שווא נח",2,M5072="שני שוואים בסוף מילה",2,M5072="שני שוואים ברצף",1),"0")</f>
        <v>1</v>
      </c>
      <c r="J5072" s="9">
        <f t="shared" si="323"/>
        <v>5</v>
      </c>
      <c r="K5072" t="s">
        <v>6697</v>
      </c>
      <c r="L5072" t="s">
        <v>6694</v>
      </c>
      <c r="M5072" t="s">
        <v>6702</v>
      </c>
      <c r="O5072" t="s">
        <v>6694</v>
      </c>
      <c r="R5072" t="s">
        <v>6694</v>
      </c>
      <c r="S5072" t="s">
        <v>6694</v>
      </c>
      <c r="V5072" t="s">
        <v>6694</v>
      </c>
      <c r="W5072" t="s">
        <v>6720</v>
      </c>
    </row>
    <row r="5073" spans="1:23" ht="15.6" x14ac:dyDescent="0.4">
      <c r="A5073" s="2" t="s">
        <v>1618</v>
      </c>
      <c r="B5073" s="5" t="s">
        <v>11193</v>
      </c>
      <c r="C5073" s="7" t="s">
        <v>12556</v>
      </c>
      <c r="D5073" s="8">
        <f t="shared" si="320"/>
        <v>0</v>
      </c>
      <c r="E5073" s="7" t="s">
        <v>12557</v>
      </c>
      <c r="F5073" s="7">
        <f t="shared" si="321"/>
        <v>0</v>
      </c>
      <c r="G5073" s="7" t="s">
        <v>12558</v>
      </c>
      <c r="H5073" s="7">
        <f t="shared" si="322"/>
        <v>0</v>
      </c>
      <c r="I5073" s="7" cm="1">
        <f t="array" ref="I5073">IFERROR(_xlfn.IFS(M5073="נח",1,M5073="נע ונח",1,M5073="שני שווא נח",2,M5073="שני שוואים בסוף מילה",2,M5073="שני שוואים ברצף",1),"0")</f>
        <v>1</v>
      </c>
      <c r="J5073" s="9">
        <f t="shared" si="323"/>
        <v>4</v>
      </c>
      <c r="K5073" t="s">
        <v>6698</v>
      </c>
      <c r="L5073" t="s">
        <v>6694</v>
      </c>
      <c r="M5073" t="s">
        <v>6702</v>
      </c>
      <c r="N5073" t="s">
        <v>6706</v>
      </c>
      <c r="O5073" t="s">
        <v>6694</v>
      </c>
      <c r="S5073" t="s">
        <v>6694</v>
      </c>
      <c r="V5073" t="s">
        <v>6694</v>
      </c>
      <c r="W5073" t="s">
        <v>6720</v>
      </c>
    </row>
    <row r="5074" spans="1:23" ht="15.6" x14ac:dyDescent="0.4">
      <c r="A5074" s="2" t="s">
        <v>5061</v>
      </c>
      <c r="B5074" s="5" t="s">
        <v>11194</v>
      </c>
      <c r="C5074" s="7" t="s">
        <v>12556</v>
      </c>
      <c r="D5074" s="8">
        <f t="shared" si="320"/>
        <v>0</v>
      </c>
      <c r="E5074" s="7" t="s">
        <v>12557</v>
      </c>
      <c r="F5074" s="7">
        <f t="shared" si="321"/>
        <v>0</v>
      </c>
      <c r="G5074" s="7" t="s">
        <v>12558</v>
      </c>
      <c r="H5074" s="7">
        <f t="shared" si="322"/>
        <v>0</v>
      </c>
      <c r="I5074" s="7" cm="1">
        <f t="array" ref="I5074">IFERROR(_xlfn.IFS(M5074="נח",1,M5074="נע ונח",1,M5074="שני שווא נח",2,M5074="שני שוואים בסוף מילה",2,M5074="שני שוואים ברצף",1),"0")</f>
        <v>1</v>
      </c>
      <c r="J5074" s="9">
        <f t="shared" si="323"/>
        <v>3</v>
      </c>
      <c r="K5074" t="s">
        <v>6697</v>
      </c>
      <c r="L5074" t="s">
        <v>6694</v>
      </c>
      <c r="M5074" t="s">
        <v>6705</v>
      </c>
      <c r="Q5074" t="s">
        <v>6694</v>
      </c>
      <c r="S5074" t="s">
        <v>6694</v>
      </c>
      <c r="W5074" t="s">
        <v>6720</v>
      </c>
    </row>
    <row r="5075" spans="1:23" ht="15.6" x14ac:dyDescent="0.4">
      <c r="A5075" s="2" t="s">
        <v>5062</v>
      </c>
      <c r="B5075" s="5" t="s">
        <v>11195</v>
      </c>
      <c r="C5075" s="7" t="s">
        <v>12556</v>
      </c>
      <c r="D5075" s="8">
        <f t="shared" si="320"/>
        <v>0</v>
      </c>
      <c r="E5075" s="7" t="s">
        <v>12557</v>
      </c>
      <c r="F5075" s="7">
        <f t="shared" si="321"/>
        <v>0</v>
      </c>
      <c r="G5075" s="7" t="s">
        <v>12558</v>
      </c>
      <c r="H5075" s="7">
        <f t="shared" si="322"/>
        <v>0</v>
      </c>
      <c r="I5075" s="7" cm="1">
        <f t="array" ref="I5075">IFERROR(_xlfn.IFS(M5075="נח",1,M5075="נע ונח",1,M5075="שני שווא נח",2,M5075="שני שוואים בסוף מילה",2,M5075="שני שוואים ברצף",1),"0")</f>
        <v>1</v>
      </c>
      <c r="J5075" s="9">
        <f t="shared" si="323"/>
        <v>3</v>
      </c>
      <c r="K5075" t="s">
        <v>6698</v>
      </c>
      <c r="L5075" t="s">
        <v>6694</v>
      </c>
      <c r="M5075" t="s">
        <v>6705</v>
      </c>
      <c r="O5075" t="s">
        <v>6694</v>
      </c>
      <c r="S5075" t="s">
        <v>6694</v>
      </c>
      <c r="W5075" t="s">
        <v>6720</v>
      </c>
    </row>
    <row r="5076" spans="1:23" ht="15.6" x14ac:dyDescent="0.4">
      <c r="A5076" s="2" t="s">
        <v>261</v>
      </c>
      <c r="B5076" s="5" t="s">
        <v>11196</v>
      </c>
      <c r="C5076" s="7" t="s">
        <v>12556</v>
      </c>
      <c r="D5076" s="8">
        <f t="shared" si="320"/>
        <v>0</v>
      </c>
      <c r="E5076" s="7" t="s">
        <v>12557</v>
      </c>
      <c r="F5076" s="7">
        <f t="shared" si="321"/>
        <v>0</v>
      </c>
      <c r="G5076" s="7" t="s">
        <v>12558</v>
      </c>
      <c r="H5076" s="7">
        <f t="shared" si="322"/>
        <v>0</v>
      </c>
      <c r="I5076" s="7" cm="1">
        <f t="array" ref="I5076">IFERROR(_xlfn.IFS(M5076="נח",1,M5076="נע ונח",1,M5076="שני שווא נח",2,M5076="שני שוואים בסוף מילה",2,M5076="שני שוואים ברצף",1),"0")</f>
        <v>1</v>
      </c>
      <c r="J5076" s="9">
        <f t="shared" si="323"/>
        <v>3</v>
      </c>
      <c r="K5076" t="s">
        <v>6698</v>
      </c>
      <c r="L5076" t="s">
        <v>6694</v>
      </c>
      <c r="M5076" t="s">
        <v>6705</v>
      </c>
      <c r="O5076" t="s">
        <v>6694</v>
      </c>
      <c r="S5076" t="s">
        <v>6694</v>
      </c>
      <c r="V5076" t="s">
        <v>6694</v>
      </c>
      <c r="W5076" t="s">
        <v>6720</v>
      </c>
    </row>
    <row r="5077" spans="1:23" ht="15.6" x14ac:dyDescent="0.4">
      <c r="A5077" s="2" t="s">
        <v>1748</v>
      </c>
      <c r="B5077" s="5" t="s">
        <v>11197</v>
      </c>
      <c r="C5077" s="7" t="s">
        <v>12556</v>
      </c>
      <c r="D5077" s="8">
        <f t="shared" si="320"/>
        <v>0</v>
      </c>
      <c r="E5077" s="7" t="s">
        <v>12557</v>
      </c>
      <c r="F5077" s="7">
        <f t="shared" si="321"/>
        <v>0</v>
      </c>
      <c r="G5077" s="7" t="s">
        <v>12558</v>
      </c>
      <c r="H5077" s="7">
        <f t="shared" si="322"/>
        <v>0</v>
      </c>
      <c r="I5077" s="7" cm="1">
        <f t="array" ref="I5077">IFERROR(_xlfn.IFS(M5077="נח",1,M5077="נע ונח",1,M5077="שני שווא נח",2,M5077="שני שוואים בסוף מילה",2,M5077="שני שוואים ברצף",1),"0")</f>
        <v>1</v>
      </c>
      <c r="J5077" s="9">
        <f t="shared" si="323"/>
        <v>2</v>
      </c>
      <c r="K5077" t="s">
        <v>6698</v>
      </c>
      <c r="L5077" t="s">
        <v>6694</v>
      </c>
      <c r="M5077" t="s">
        <v>6705</v>
      </c>
      <c r="O5077" t="s">
        <v>6694</v>
      </c>
      <c r="S5077" t="s">
        <v>6694</v>
      </c>
      <c r="W5077" t="s">
        <v>6720</v>
      </c>
    </row>
    <row r="5078" spans="1:23" ht="15.6" x14ac:dyDescent="0.4">
      <c r="A5078" s="2" t="s">
        <v>4734</v>
      </c>
      <c r="B5078" s="5" t="s">
        <v>11198</v>
      </c>
      <c r="C5078" s="7" t="s">
        <v>12556</v>
      </c>
      <c r="D5078" s="8">
        <f t="shared" si="320"/>
        <v>0</v>
      </c>
      <c r="E5078" s="7" t="s">
        <v>12557</v>
      </c>
      <c r="F5078" s="7">
        <f t="shared" si="321"/>
        <v>1</v>
      </c>
      <c r="G5078" s="7" t="s">
        <v>12558</v>
      </c>
      <c r="H5078" s="7">
        <f t="shared" si="322"/>
        <v>0</v>
      </c>
      <c r="I5078" s="7" cm="1">
        <f t="array" ref="I5078">IFERROR(_xlfn.IFS(M5078="נח",1,M5078="נע ונח",1,M5078="שני שווא נח",2,M5078="שני שוואים בסוף מילה",2,M5078="שני שוואים ברצף",1),"0")</f>
        <v>2</v>
      </c>
      <c r="J5078" s="9">
        <f t="shared" si="323"/>
        <v>3</v>
      </c>
      <c r="K5078" t="s">
        <v>6697</v>
      </c>
      <c r="L5078" t="s">
        <v>6694</v>
      </c>
      <c r="M5078" t="s">
        <v>6704</v>
      </c>
      <c r="P5078" t="s">
        <v>6694</v>
      </c>
      <c r="S5078" t="s">
        <v>6694</v>
      </c>
      <c r="W5078" t="s">
        <v>6720</v>
      </c>
    </row>
    <row r="5079" spans="1:23" ht="15.6" x14ac:dyDescent="0.4">
      <c r="A5079" s="2" t="s">
        <v>3715</v>
      </c>
      <c r="B5079" s="5" t="s">
        <v>11199</v>
      </c>
      <c r="C5079" s="7" t="s">
        <v>12556</v>
      </c>
      <c r="D5079" s="8">
        <f t="shared" si="320"/>
        <v>0</v>
      </c>
      <c r="E5079" s="7" t="s">
        <v>12557</v>
      </c>
      <c r="F5079" s="7">
        <f t="shared" si="321"/>
        <v>1</v>
      </c>
      <c r="G5079" s="7" t="s">
        <v>12558</v>
      </c>
      <c r="H5079" s="7">
        <f t="shared" si="322"/>
        <v>0</v>
      </c>
      <c r="I5079" s="7" cm="1">
        <f t="array" ref="I5079">IFERROR(_xlfn.IFS(M5079="נח",1,M5079="נע ונח",1,M5079="שני שווא נח",2,M5079="שני שוואים בסוף מילה",2,M5079="שני שוואים ברצף",1),"0")</f>
        <v>1</v>
      </c>
      <c r="J5079" s="9">
        <f t="shared" si="323"/>
        <v>2</v>
      </c>
      <c r="K5079" t="s">
        <v>6697</v>
      </c>
      <c r="L5079" t="s">
        <v>6694</v>
      </c>
      <c r="M5079" t="s">
        <v>6705</v>
      </c>
      <c r="O5079" t="s">
        <v>6694</v>
      </c>
      <c r="S5079" t="s">
        <v>6694</v>
      </c>
      <c r="W5079" t="s">
        <v>6720</v>
      </c>
    </row>
    <row r="5080" spans="1:23" ht="15.6" x14ac:dyDescent="0.4">
      <c r="A5080" s="2" t="s">
        <v>5574</v>
      </c>
      <c r="B5080" s="5" t="s">
        <v>11200</v>
      </c>
      <c r="C5080" s="7" t="s">
        <v>12556</v>
      </c>
      <c r="D5080" s="8">
        <f t="shared" si="320"/>
        <v>0</v>
      </c>
      <c r="E5080" s="7" t="s">
        <v>12557</v>
      </c>
      <c r="F5080" s="7">
        <f t="shared" si="321"/>
        <v>1</v>
      </c>
      <c r="G5080" s="7" t="s">
        <v>12558</v>
      </c>
      <c r="H5080" s="7">
        <f t="shared" si="322"/>
        <v>0</v>
      </c>
      <c r="I5080" s="7" cm="1">
        <f t="array" ref="I5080">IFERROR(_xlfn.IFS(M5080="נח",1,M5080="נע ונח",1,M5080="שני שווא נח",2,M5080="שני שוואים בסוף מילה",2,M5080="שני שוואים ברצף",1),"0")</f>
        <v>1</v>
      </c>
      <c r="J5080" s="9">
        <f t="shared" si="323"/>
        <v>2</v>
      </c>
      <c r="K5080" t="s">
        <v>6697</v>
      </c>
      <c r="L5080" t="s">
        <v>6694</v>
      </c>
      <c r="M5080" t="s">
        <v>6705</v>
      </c>
      <c r="O5080" t="s">
        <v>6694</v>
      </c>
      <c r="S5080" t="s">
        <v>6694</v>
      </c>
      <c r="W5080" t="s">
        <v>6720</v>
      </c>
    </row>
    <row r="5081" spans="1:23" ht="15.6" x14ac:dyDescent="0.4">
      <c r="A5081" s="2" t="s">
        <v>3459</v>
      </c>
      <c r="B5081" s="5" t="s">
        <v>11201</v>
      </c>
      <c r="C5081" s="7" t="s">
        <v>12556</v>
      </c>
      <c r="D5081" s="8">
        <f t="shared" si="320"/>
        <v>0</v>
      </c>
      <c r="E5081" s="7" t="s">
        <v>12557</v>
      </c>
      <c r="F5081" s="7">
        <f t="shared" si="321"/>
        <v>1</v>
      </c>
      <c r="G5081" s="7" t="s">
        <v>12558</v>
      </c>
      <c r="H5081" s="7">
        <f t="shared" si="322"/>
        <v>0</v>
      </c>
      <c r="I5081" s="7" t="str" cm="1">
        <f t="array" ref="I5081">IFERROR(_xlfn.IFS(M5081="נח",1,M5081="נע ונח",1,M5081="שני שווא נח",2,M5081="שני שוואים בסוף מילה",2,M5081="שני שוואים ברצף",1),"0")</f>
        <v>0</v>
      </c>
      <c r="J5081" s="9">
        <f t="shared" si="323"/>
        <v>2</v>
      </c>
      <c r="K5081" t="s">
        <v>6698</v>
      </c>
      <c r="L5081" t="s">
        <v>6695</v>
      </c>
      <c r="N5081" t="s">
        <v>6706</v>
      </c>
      <c r="O5081" t="s">
        <v>6694</v>
      </c>
      <c r="S5081" t="s">
        <v>6694</v>
      </c>
      <c r="W5081" t="s">
        <v>6720</v>
      </c>
    </row>
    <row r="5082" spans="1:23" ht="15.6" x14ac:dyDescent="0.4">
      <c r="A5082" s="2" t="s">
        <v>5284</v>
      </c>
      <c r="B5082" s="5" t="s">
        <v>11202</v>
      </c>
      <c r="C5082" s="7" t="s">
        <v>12556</v>
      </c>
      <c r="D5082" s="8">
        <f t="shared" si="320"/>
        <v>0</v>
      </c>
      <c r="E5082" s="7" t="s">
        <v>12557</v>
      </c>
      <c r="F5082" s="7">
        <f t="shared" si="321"/>
        <v>0</v>
      </c>
      <c r="G5082" s="7" t="s">
        <v>12558</v>
      </c>
      <c r="H5082" s="7">
        <f t="shared" si="322"/>
        <v>0</v>
      </c>
      <c r="I5082" s="7" cm="1">
        <f t="array" ref="I5082">IFERROR(_xlfn.IFS(M5082="נח",1,M5082="נע ונח",1,M5082="שני שווא נח",2,M5082="שני שוואים בסוף מילה",2,M5082="שני שוואים ברצף",1),"0")</f>
        <v>1</v>
      </c>
      <c r="J5082" s="9">
        <f t="shared" si="323"/>
        <v>2</v>
      </c>
      <c r="K5082" t="s">
        <v>6697</v>
      </c>
      <c r="L5082" t="s">
        <v>6694</v>
      </c>
      <c r="M5082" t="s">
        <v>6705</v>
      </c>
      <c r="R5082" t="s">
        <v>6694</v>
      </c>
      <c r="S5082" t="s">
        <v>6694</v>
      </c>
      <c r="W5082" t="s">
        <v>6720</v>
      </c>
    </row>
    <row r="5083" spans="1:23" ht="15.6" x14ac:dyDescent="0.4">
      <c r="A5083" s="2" t="s">
        <v>5480</v>
      </c>
      <c r="B5083" s="5" t="s">
        <v>11203</v>
      </c>
      <c r="C5083" s="7" t="s">
        <v>12556</v>
      </c>
      <c r="D5083" s="8">
        <f t="shared" si="320"/>
        <v>0</v>
      </c>
      <c r="E5083" s="7" t="s">
        <v>12557</v>
      </c>
      <c r="F5083" s="7">
        <f t="shared" si="321"/>
        <v>0</v>
      </c>
      <c r="G5083" s="7" t="s">
        <v>12558</v>
      </c>
      <c r="H5083" s="7">
        <f t="shared" si="322"/>
        <v>0</v>
      </c>
      <c r="I5083" s="7" cm="1">
        <f t="array" ref="I5083">IFERROR(_xlfn.IFS(M5083="נח",1,M5083="נע ונח",1,M5083="שני שווא נח",2,M5083="שני שוואים בסוף מילה",2,M5083="שני שוואים ברצף",1),"0")</f>
        <v>1</v>
      </c>
      <c r="J5083" s="9">
        <f t="shared" si="323"/>
        <v>2</v>
      </c>
      <c r="K5083" t="s">
        <v>6698</v>
      </c>
      <c r="L5083" t="s">
        <v>6694</v>
      </c>
      <c r="M5083" t="s">
        <v>6705</v>
      </c>
      <c r="P5083" t="s">
        <v>6694</v>
      </c>
      <c r="S5083" t="s">
        <v>6694</v>
      </c>
      <c r="W5083" t="s">
        <v>6720</v>
      </c>
    </row>
    <row r="5084" spans="1:23" ht="15.6" x14ac:dyDescent="0.4">
      <c r="A5084" s="2" t="s">
        <v>6523</v>
      </c>
      <c r="B5084" s="5" t="s">
        <v>11204</v>
      </c>
      <c r="C5084" s="7" t="s">
        <v>12556</v>
      </c>
      <c r="D5084" s="8">
        <f t="shared" si="320"/>
        <v>0</v>
      </c>
      <c r="E5084" s="7" t="s">
        <v>12557</v>
      </c>
      <c r="F5084" s="7">
        <f t="shared" si="321"/>
        <v>0</v>
      </c>
      <c r="G5084" s="7" t="s">
        <v>12558</v>
      </c>
      <c r="H5084" s="7">
        <f t="shared" si="322"/>
        <v>0</v>
      </c>
      <c r="I5084" s="7" cm="1">
        <f t="array" ref="I5084">IFERROR(_xlfn.IFS(M5084="נח",1,M5084="נע ונח",1,M5084="שני שווא נח",2,M5084="שני שוואים בסוף מילה",2,M5084="שני שוואים ברצף",1),"0")</f>
        <v>1</v>
      </c>
      <c r="J5084" s="9">
        <f t="shared" si="323"/>
        <v>2</v>
      </c>
      <c r="K5084" t="s">
        <v>6697</v>
      </c>
      <c r="L5084" t="s">
        <v>6694</v>
      </c>
      <c r="M5084" t="s">
        <v>6705</v>
      </c>
      <c r="O5084" t="s">
        <v>6694</v>
      </c>
      <c r="S5084" t="s">
        <v>6694</v>
      </c>
      <c r="W5084" t="s">
        <v>6720</v>
      </c>
    </row>
    <row r="5085" spans="1:23" ht="15.6" x14ac:dyDescent="0.4">
      <c r="A5085" s="2" t="s">
        <v>852</v>
      </c>
      <c r="B5085" s="5" t="s">
        <v>11205</v>
      </c>
      <c r="C5085" s="7" t="s">
        <v>12556</v>
      </c>
      <c r="D5085" s="8">
        <f t="shared" si="320"/>
        <v>0</v>
      </c>
      <c r="E5085" s="7" t="s">
        <v>12557</v>
      </c>
      <c r="F5085" s="7">
        <f t="shared" si="321"/>
        <v>0</v>
      </c>
      <c r="G5085" s="7" t="s">
        <v>12558</v>
      </c>
      <c r="H5085" s="7">
        <f t="shared" si="322"/>
        <v>0</v>
      </c>
      <c r="I5085" s="7" cm="1">
        <f t="array" ref="I5085">IFERROR(_xlfn.IFS(M5085="נח",1,M5085="נע ונח",1,M5085="שני שווא נח",2,M5085="שני שוואים בסוף מילה",2,M5085="שני שוואים ברצף",1),"0")</f>
        <v>1</v>
      </c>
      <c r="J5085" s="9">
        <f t="shared" si="323"/>
        <v>2</v>
      </c>
      <c r="K5085" t="s">
        <v>6697</v>
      </c>
      <c r="L5085" t="s">
        <v>6694</v>
      </c>
      <c r="M5085" t="s">
        <v>6705</v>
      </c>
      <c r="R5085" t="s">
        <v>6694</v>
      </c>
      <c r="S5085" t="s">
        <v>6694</v>
      </c>
      <c r="W5085" t="s">
        <v>6720</v>
      </c>
    </row>
    <row r="5086" spans="1:23" ht="15.6" x14ac:dyDescent="0.4">
      <c r="A5086" s="2" t="s">
        <v>4702</v>
      </c>
      <c r="B5086" s="5" t="s">
        <v>11206</v>
      </c>
      <c r="C5086" s="7" t="s">
        <v>12556</v>
      </c>
      <c r="D5086" s="8">
        <f t="shared" si="320"/>
        <v>0</v>
      </c>
      <c r="E5086" s="7" t="s">
        <v>12557</v>
      </c>
      <c r="F5086" s="7">
        <f t="shared" si="321"/>
        <v>1</v>
      </c>
      <c r="G5086" s="7" t="s">
        <v>12558</v>
      </c>
      <c r="H5086" s="7">
        <f t="shared" si="322"/>
        <v>0</v>
      </c>
      <c r="I5086" s="7" cm="1">
        <f t="array" ref="I5086">IFERROR(_xlfn.IFS(M5086="נח",1,M5086="נע ונח",1,M5086="שני שווא נח",2,M5086="שני שוואים בסוף מילה",2,M5086="שני שוואים ברצף",1),"0")</f>
        <v>1</v>
      </c>
      <c r="J5086" s="9">
        <f t="shared" si="323"/>
        <v>2</v>
      </c>
      <c r="K5086" t="s">
        <v>6698</v>
      </c>
      <c r="L5086" t="s">
        <v>6694</v>
      </c>
      <c r="M5086" t="s">
        <v>6705</v>
      </c>
      <c r="N5086" t="s">
        <v>6706</v>
      </c>
      <c r="O5086" t="s">
        <v>6694</v>
      </c>
      <c r="S5086" t="s">
        <v>6694</v>
      </c>
      <c r="W5086" t="s">
        <v>6720</v>
      </c>
    </row>
    <row r="5087" spans="1:23" ht="15.6" x14ac:dyDescent="0.4">
      <c r="A5087" s="2" t="s">
        <v>2571</v>
      </c>
      <c r="B5087" s="5" t="s">
        <v>11207</v>
      </c>
      <c r="C5087" s="7" t="s">
        <v>12556</v>
      </c>
      <c r="D5087" s="8">
        <f t="shared" si="320"/>
        <v>1</v>
      </c>
      <c r="E5087" s="7" t="s">
        <v>12557</v>
      </c>
      <c r="F5087" s="7">
        <f t="shared" si="321"/>
        <v>1</v>
      </c>
      <c r="G5087" s="7" t="s">
        <v>12558</v>
      </c>
      <c r="H5087" s="7">
        <f t="shared" si="322"/>
        <v>0</v>
      </c>
      <c r="I5087" s="7" cm="1">
        <f t="array" ref="I5087">IFERROR(_xlfn.IFS(M5087="נח",1,M5087="נע ונח",1,M5087="שני שווא נח",2,M5087="שני שוואים בסוף מילה",2,M5087="שני שוואים ברצף",1),"0")</f>
        <v>1</v>
      </c>
      <c r="J5087" s="9">
        <f t="shared" si="323"/>
        <v>2</v>
      </c>
      <c r="K5087" t="s">
        <v>6697</v>
      </c>
      <c r="L5087" t="s">
        <v>6694</v>
      </c>
      <c r="M5087" t="s">
        <v>6705</v>
      </c>
      <c r="P5087" t="s">
        <v>6694</v>
      </c>
      <c r="S5087" t="s">
        <v>6694</v>
      </c>
      <c r="W5087" t="s">
        <v>6720</v>
      </c>
    </row>
    <row r="5088" spans="1:23" ht="15.6" x14ac:dyDescent="0.4">
      <c r="A5088" s="2" t="s">
        <v>2999</v>
      </c>
      <c r="B5088" s="5" t="s">
        <v>11208</v>
      </c>
      <c r="C5088" s="7" t="s">
        <v>12556</v>
      </c>
      <c r="D5088" s="8">
        <f t="shared" si="320"/>
        <v>1</v>
      </c>
      <c r="E5088" s="7" t="s">
        <v>12557</v>
      </c>
      <c r="F5088" s="7">
        <f t="shared" si="321"/>
        <v>2</v>
      </c>
      <c r="G5088" s="7" t="s">
        <v>12558</v>
      </c>
      <c r="H5088" s="7">
        <f t="shared" si="322"/>
        <v>0</v>
      </c>
      <c r="I5088" s="7" cm="1">
        <f t="array" ref="I5088">IFERROR(_xlfn.IFS(M5088="נח",1,M5088="נע ונח",1,M5088="שני שווא נח",2,M5088="שני שוואים בסוף מילה",2,M5088="שני שוואים ברצף",1),"0")</f>
        <v>2</v>
      </c>
      <c r="J5088" s="9">
        <f t="shared" si="323"/>
        <v>3</v>
      </c>
      <c r="K5088" t="s">
        <v>6697</v>
      </c>
      <c r="L5088" t="s">
        <v>6694</v>
      </c>
      <c r="M5088" t="s">
        <v>6704</v>
      </c>
      <c r="P5088" t="s">
        <v>6694</v>
      </c>
      <c r="S5088" t="s">
        <v>6694</v>
      </c>
      <c r="W5088" t="s">
        <v>6720</v>
      </c>
    </row>
    <row r="5089" spans="1:23" ht="15.6" x14ac:dyDescent="0.4">
      <c r="A5089" s="2" t="s">
        <v>3926</v>
      </c>
      <c r="B5089" s="5" t="s">
        <v>11209</v>
      </c>
      <c r="C5089" s="7" t="s">
        <v>12556</v>
      </c>
      <c r="D5089" s="8">
        <f t="shared" si="320"/>
        <v>1</v>
      </c>
      <c r="E5089" s="7" t="s">
        <v>12557</v>
      </c>
      <c r="F5089" s="7">
        <f t="shared" si="321"/>
        <v>1</v>
      </c>
      <c r="G5089" s="7" t="s">
        <v>12558</v>
      </c>
      <c r="H5089" s="7">
        <f t="shared" si="322"/>
        <v>0</v>
      </c>
      <c r="I5089" s="7" cm="1">
        <f t="array" ref="I5089">IFERROR(_xlfn.IFS(M5089="נח",1,M5089="נע ונח",1,M5089="שני שווא נח",2,M5089="שני שוואים בסוף מילה",2,M5089="שני שוואים ברצף",1),"0")</f>
        <v>1</v>
      </c>
      <c r="J5089" s="9">
        <f t="shared" si="323"/>
        <v>2</v>
      </c>
      <c r="K5089" t="s">
        <v>6698</v>
      </c>
      <c r="L5089" t="s">
        <v>6694</v>
      </c>
      <c r="M5089" t="s">
        <v>6705</v>
      </c>
      <c r="N5089" t="s">
        <v>6706</v>
      </c>
      <c r="O5089" t="s">
        <v>6694</v>
      </c>
      <c r="S5089" t="s">
        <v>6694</v>
      </c>
      <c r="W5089" t="s">
        <v>6720</v>
      </c>
    </row>
    <row r="5090" spans="1:23" ht="15.6" x14ac:dyDescent="0.4">
      <c r="A5090" s="2" t="s">
        <v>3925</v>
      </c>
      <c r="B5090" s="5" t="s">
        <v>11210</v>
      </c>
      <c r="C5090" s="7" t="s">
        <v>12556</v>
      </c>
      <c r="D5090" s="8">
        <f t="shared" si="320"/>
        <v>1</v>
      </c>
      <c r="E5090" s="7" t="s">
        <v>12557</v>
      </c>
      <c r="F5090" s="7">
        <f t="shared" si="321"/>
        <v>1</v>
      </c>
      <c r="G5090" s="7" t="s">
        <v>12558</v>
      </c>
      <c r="H5090" s="7">
        <f t="shared" si="322"/>
        <v>0</v>
      </c>
      <c r="I5090" s="7" cm="1">
        <f t="array" ref="I5090">IFERROR(_xlfn.IFS(M5090="נח",1,M5090="נע ונח",1,M5090="שני שווא נח",2,M5090="שני שוואים בסוף מילה",2,M5090="שני שוואים ברצף",1),"0")</f>
        <v>1</v>
      </c>
      <c r="J5090" s="9">
        <f t="shared" si="323"/>
        <v>3</v>
      </c>
      <c r="K5090" t="s">
        <v>6697</v>
      </c>
      <c r="L5090" t="s">
        <v>6694</v>
      </c>
      <c r="M5090" t="s">
        <v>6705</v>
      </c>
      <c r="O5090" t="s">
        <v>6694</v>
      </c>
      <c r="S5090" t="s">
        <v>6694</v>
      </c>
      <c r="W5090" t="s">
        <v>6720</v>
      </c>
    </row>
    <row r="5091" spans="1:23" ht="15.6" x14ac:dyDescent="0.4">
      <c r="A5091" s="2" t="s">
        <v>3394</v>
      </c>
      <c r="B5091" s="5" t="s">
        <v>11211</v>
      </c>
      <c r="C5091" s="7" t="s">
        <v>12556</v>
      </c>
      <c r="D5091" s="8">
        <f t="shared" si="320"/>
        <v>1</v>
      </c>
      <c r="E5091" s="7" t="s">
        <v>12557</v>
      </c>
      <c r="F5091" s="7">
        <f t="shared" si="321"/>
        <v>2</v>
      </c>
      <c r="G5091" s="7" t="s">
        <v>12558</v>
      </c>
      <c r="H5091" s="7">
        <f t="shared" si="322"/>
        <v>0</v>
      </c>
      <c r="I5091" s="7" cm="1">
        <f t="array" ref="I5091">IFERROR(_xlfn.IFS(M5091="נח",1,M5091="נע ונח",1,M5091="שני שווא נח",2,M5091="שני שוואים בסוף מילה",2,M5091="שני שוואים ברצף",1),"0")</f>
        <v>2</v>
      </c>
      <c r="J5091" s="9">
        <f t="shared" si="323"/>
        <v>3</v>
      </c>
      <c r="K5091" t="s">
        <v>6697</v>
      </c>
      <c r="L5091" t="s">
        <v>6694</v>
      </c>
      <c r="M5091" t="s">
        <v>6704</v>
      </c>
      <c r="P5091" t="s">
        <v>6694</v>
      </c>
      <c r="S5091" t="s">
        <v>6694</v>
      </c>
      <c r="W5091" t="s">
        <v>6720</v>
      </c>
    </row>
    <row r="5092" spans="1:23" ht="15.6" x14ac:dyDescent="0.4">
      <c r="A5092" s="2" t="s">
        <v>5584</v>
      </c>
      <c r="B5092" s="5" t="s">
        <v>11212</v>
      </c>
      <c r="C5092" s="7" t="s">
        <v>12556</v>
      </c>
      <c r="D5092" s="8">
        <f t="shared" si="320"/>
        <v>1</v>
      </c>
      <c r="E5092" s="7" t="s">
        <v>12557</v>
      </c>
      <c r="F5092" s="7">
        <f t="shared" si="321"/>
        <v>1</v>
      </c>
      <c r="G5092" s="7" t="s">
        <v>12558</v>
      </c>
      <c r="H5092" s="7">
        <f t="shared" si="322"/>
        <v>1</v>
      </c>
      <c r="I5092" s="7" cm="1">
        <f t="array" ref="I5092">IFERROR(_xlfn.IFS(M5092="נח",1,M5092="נע ונח",1,M5092="שני שווא נח",2,M5092="שני שוואים בסוף מילה",2,M5092="שני שוואים ברצף",1),"0")</f>
        <v>1</v>
      </c>
      <c r="J5092" s="9">
        <f t="shared" si="323"/>
        <v>3</v>
      </c>
      <c r="K5092" t="s">
        <v>6697</v>
      </c>
      <c r="L5092" t="s">
        <v>6694</v>
      </c>
      <c r="M5092" t="s">
        <v>6702</v>
      </c>
      <c r="S5092" t="s">
        <v>6694</v>
      </c>
      <c r="U5092" t="s">
        <v>6694</v>
      </c>
      <c r="W5092" t="s">
        <v>6720</v>
      </c>
    </row>
    <row r="5093" spans="1:23" ht="15.6" x14ac:dyDescent="0.4">
      <c r="A5093" s="2" t="s">
        <v>3257</v>
      </c>
      <c r="B5093" s="5" t="s">
        <v>11213</v>
      </c>
      <c r="C5093" s="7" t="s">
        <v>12556</v>
      </c>
      <c r="D5093" s="8">
        <f t="shared" si="320"/>
        <v>1</v>
      </c>
      <c r="E5093" s="7" t="s">
        <v>12557</v>
      </c>
      <c r="F5093" s="7">
        <f t="shared" si="321"/>
        <v>0</v>
      </c>
      <c r="G5093" s="7" t="s">
        <v>12558</v>
      </c>
      <c r="H5093" s="7">
        <f t="shared" si="322"/>
        <v>0</v>
      </c>
      <c r="I5093" s="7" cm="1">
        <f t="array" ref="I5093">IFERROR(_xlfn.IFS(M5093="נח",1,M5093="נע ונח",1,M5093="שני שווא נח",2,M5093="שני שוואים בסוף מילה",2,M5093="שני שוואים ברצף",1),"0")</f>
        <v>1</v>
      </c>
      <c r="J5093" s="9">
        <f t="shared" si="323"/>
        <v>2</v>
      </c>
      <c r="K5093" t="s">
        <v>6697</v>
      </c>
      <c r="L5093" t="s">
        <v>6694</v>
      </c>
      <c r="M5093" t="s">
        <v>6705</v>
      </c>
      <c r="O5093" t="s">
        <v>6694</v>
      </c>
      <c r="S5093" t="s">
        <v>6694</v>
      </c>
      <c r="W5093" t="s">
        <v>6720</v>
      </c>
    </row>
    <row r="5094" spans="1:23" ht="15.6" x14ac:dyDescent="0.4">
      <c r="A5094" s="2" t="s">
        <v>2550</v>
      </c>
      <c r="B5094" s="5" t="s">
        <v>11214</v>
      </c>
      <c r="C5094" s="7" t="s">
        <v>12556</v>
      </c>
      <c r="D5094" s="8">
        <f t="shared" si="320"/>
        <v>1</v>
      </c>
      <c r="E5094" s="7" t="s">
        <v>12557</v>
      </c>
      <c r="F5094" s="7">
        <f t="shared" si="321"/>
        <v>1</v>
      </c>
      <c r="G5094" s="7" t="s">
        <v>12558</v>
      </c>
      <c r="H5094" s="7">
        <f t="shared" si="322"/>
        <v>1</v>
      </c>
      <c r="I5094" s="7" cm="1">
        <f t="array" ref="I5094">IFERROR(_xlfn.IFS(M5094="נח",1,M5094="נע ונח",1,M5094="שני שווא נח",2,M5094="שני שוואים בסוף מילה",2,M5094="שני שוואים ברצף",1),"0")</f>
        <v>1</v>
      </c>
      <c r="J5094" s="9">
        <f t="shared" si="323"/>
        <v>3</v>
      </c>
      <c r="K5094" t="s">
        <v>6697</v>
      </c>
      <c r="L5094" t="s">
        <v>6694</v>
      </c>
      <c r="M5094" t="s">
        <v>6705</v>
      </c>
      <c r="O5094" t="s">
        <v>6694</v>
      </c>
      <c r="S5094" t="s">
        <v>6694</v>
      </c>
      <c r="U5094" t="s">
        <v>6694</v>
      </c>
      <c r="W5094" t="s">
        <v>6720</v>
      </c>
    </row>
    <row r="5095" spans="1:23" ht="15.6" x14ac:dyDescent="0.4">
      <c r="A5095" s="2" t="s">
        <v>5878</v>
      </c>
      <c r="B5095" s="5" t="s">
        <v>11215</v>
      </c>
      <c r="C5095" s="7" t="s">
        <v>12556</v>
      </c>
      <c r="D5095" s="8">
        <f t="shared" si="320"/>
        <v>1</v>
      </c>
      <c r="E5095" s="7" t="s">
        <v>12557</v>
      </c>
      <c r="F5095" s="7">
        <f t="shared" si="321"/>
        <v>2</v>
      </c>
      <c r="G5095" s="7" t="s">
        <v>12558</v>
      </c>
      <c r="H5095" s="7">
        <f t="shared" si="322"/>
        <v>0</v>
      </c>
      <c r="I5095" s="7" cm="1">
        <f t="array" ref="I5095">IFERROR(_xlfn.IFS(M5095="נח",1,M5095="נע ונח",1,M5095="שני שווא נח",2,M5095="שני שוואים בסוף מילה",2,M5095="שני שוואים ברצף",1),"0")</f>
        <v>2</v>
      </c>
      <c r="J5095" s="9">
        <f t="shared" si="323"/>
        <v>3</v>
      </c>
      <c r="K5095" t="s">
        <v>6697</v>
      </c>
      <c r="L5095" t="s">
        <v>6694</v>
      </c>
      <c r="M5095" t="s">
        <v>6704</v>
      </c>
      <c r="P5095" t="s">
        <v>6694</v>
      </c>
      <c r="S5095" t="s">
        <v>6694</v>
      </c>
      <c r="W5095" t="s">
        <v>6720</v>
      </c>
    </row>
    <row r="5096" spans="1:23" ht="15.6" x14ac:dyDescent="0.4">
      <c r="A5096" s="2" t="s">
        <v>6535</v>
      </c>
      <c r="B5096" s="5" t="s">
        <v>11216</v>
      </c>
      <c r="C5096" s="7" t="s">
        <v>12556</v>
      </c>
      <c r="D5096" s="8">
        <f t="shared" si="320"/>
        <v>1</v>
      </c>
      <c r="E5096" s="7" t="s">
        <v>12557</v>
      </c>
      <c r="F5096" s="7">
        <f t="shared" si="321"/>
        <v>0</v>
      </c>
      <c r="G5096" s="7" t="s">
        <v>12558</v>
      </c>
      <c r="H5096" s="7">
        <f t="shared" si="322"/>
        <v>0</v>
      </c>
      <c r="I5096" s="7" cm="1">
        <f t="array" ref="I5096">IFERROR(_xlfn.IFS(M5096="נח",1,M5096="נע ונח",1,M5096="שני שווא נח",2,M5096="שני שוואים בסוף מילה",2,M5096="שני שוואים ברצף",1),"0")</f>
        <v>1</v>
      </c>
      <c r="J5096" s="9">
        <f t="shared" si="323"/>
        <v>2</v>
      </c>
      <c r="K5096" t="s">
        <v>6698</v>
      </c>
      <c r="L5096" t="s">
        <v>6694</v>
      </c>
      <c r="M5096" t="s">
        <v>6705</v>
      </c>
      <c r="N5096" t="s">
        <v>6706</v>
      </c>
      <c r="O5096" t="s">
        <v>6694</v>
      </c>
      <c r="S5096" t="s">
        <v>6694</v>
      </c>
      <c r="W5096" t="s">
        <v>6720</v>
      </c>
    </row>
    <row r="5097" spans="1:23" ht="15.6" x14ac:dyDescent="0.4">
      <c r="A5097" s="2" t="s">
        <v>2975</v>
      </c>
      <c r="B5097" s="5" t="s">
        <v>11217</v>
      </c>
      <c r="C5097" s="7" t="s">
        <v>12556</v>
      </c>
      <c r="D5097" s="8">
        <f t="shared" si="320"/>
        <v>1</v>
      </c>
      <c r="E5097" s="7" t="s">
        <v>12557</v>
      </c>
      <c r="F5097" s="7">
        <f t="shared" si="321"/>
        <v>1</v>
      </c>
      <c r="G5097" s="7" t="s">
        <v>12558</v>
      </c>
      <c r="H5097" s="7">
        <f t="shared" si="322"/>
        <v>0</v>
      </c>
      <c r="I5097" s="7" cm="1">
        <f t="array" ref="I5097">IFERROR(_xlfn.IFS(M5097="נח",1,M5097="נע ונח",1,M5097="שני שווא נח",2,M5097="שני שוואים בסוף מילה",2,M5097="שני שוואים ברצף",1),"0")</f>
        <v>1</v>
      </c>
      <c r="J5097" s="9">
        <f t="shared" si="323"/>
        <v>4</v>
      </c>
      <c r="K5097" t="s">
        <v>6697</v>
      </c>
      <c r="L5097" t="s">
        <v>6694</v>
      </c>
      <c r="M5097" t="s">
        <v>6705</v>
      </c>
      <c r="P5097" t="s">
        <v>6694</v>
      </c>
      <c r="R5097" t="s">
        <v>6694</v>
      </c>
      <c r="S5097" t="s">
        <v>6694</v>
      </c>
      <c r="W5097" t="s">
        <v>6720</v>
      </c>
    </row>
    <row r="5098" spans="1:23" ht="15.6" x14ac:dyDescent="0.4">
      <c r="A5098" s="2" t="s">
        <v>4369</v>
      </c>
      <c r="B5098" s="5" t="s">
        <v>11218</v>
      </c>
      <c r="C5098" s="7" t="s">
        <v>12556</v>
      </c>
      <c r="D5098" s="8">
        <f t="shared" si="320"/>
        <v>1</v>
      </c>
      <c r="E5098" s="7" t="s">
        <v>12557</v>
      </c>
      <c r="F5098" s="7">
        <f t="shared" si="321"/>
        <v>1</v>
      </c>
      <c r="G5098" s="7" t="s">
        <v>12558</v>
      </c>
      <c r="H5098" s="7">
        <f t="shared" si="322"/>
        <v>0</v>
      </c>
      <c r="I5098" s="7" cm="1">
        <f t="array" ref="I5098">IFERROR(_xlfn.IFS(M5098="נח",1,M5098="נע ונח",1,M5098="שני שווא נח",2,M5098="שני שוואים בסוף מילה",2,M5098="שני שוואים ברצף",1),"0")</f>
        <v>1</v>
      </c>
      <c r="J5098" s="9">
        <f t="shared" si="323"/>
        <v>3</v>
      </c>
      <c r="K5098" t="s">
        <v>6697</v>
      </c>
      <c r="L5098" t="s">
        <v>6694</v>
      </c>
      <c r="M5098" t="s">
        <v>6702</v>
      </c>
      <c r="O5098" t="s">
        <v>6694</v>
      </c>
      <c r="S5098" t="s">
        <v>6694</v>
      </c>
      <c r="W5098" t="s">
        <v>6720</v>
      </c>
    </row>
    <row r="5099" spans="1:23" ht="15.6" x14ac:dyDescent="0.4">
      <c r="A5099" s="2" t="s">
        <v>5037</v>
      </c>
      <c r="B5099" s="5" t="s">
        <v>11219</v>
      </c>
      <c r="C5099" s="7" t="s">
        <v>12556</v>
      </c>
      <c r="D5099" s="8">
        <f t="shared" si="320"/>
        <v>1</v>
      </c>
      <c r="E5099" s="7" t="s">
        <v>12557</v>
      </c>
      <c r="F5099" s="7">
        <f t="shared" si="321"/>
        <v>1</v>
      </c>
      <c r="G5099" s="7" t="s">
        <v>12558</v>
      </c>
      <c r="H5099" s="7">
        <f t="shared" si="322"/>
        <v>0</v>
      </c>
      <c r="I5099" s="7" cm="1">
        <f t="array" ref="I5099">IFERROR(_xlfn.IFS(M5099="נח",1,M5099="נע ונח",1,M5099="שני שווא נח",2,M5099="שני שוואים בסוף מילה",2,M5099="שני שוואים ברצף",1),"0")</f>
        <v>1</v>
      </c>
      <c r="J5099" s="9">
        <f t="shared" si="323"/>
        <v>3</v>
      </c>
      <c r="K5099" t="s">
        <v>6697</v>
      </c>
      <c r="L5099" t="s">
        <v>6694</v>
      </c>
      <c r="M5099" t="s">
        <v>6702</v>
      </c>
      <c r="O5099" t="s">
        <v>6694</v>
      </c>
      <c r="S5099" t="s">
        <v>6694</v>
      </c>
      <c r="W5099" t="s">
        <v>6720</v>
      </c>
    </row>
    <row r="5100" spans="1:23" ht="15.6" x14ac:dyDescent="0.4">
      <c r="A5100" s="2" t="s">
        <v>1433</v>
      </c>
      <c r="B5100" s="5" t="s">
        <v>11220</v>
      </c>
      <c r="C5100" s="7" t="s">
        <v>12556</v>
      </c>
      <c r="D5100" s="8">
        <f t="shared" si="320"/>
        <v>1</v>
      </c>
      <c r="E5100" s="7" t="s">
        <v>12557</v>
      </c>
      <c r="F5100" s="7">
        <f t="shared" si="321"/>
        <v>1</v>
      </c>
      <c r="G5100" s="7" t="s">
        <v>12558</v>
      </c>
      <c r="H5100" s="7">
        <f t="shared" si="322"/>
        <v>0</v>
      </c>
      <c r="I5100" s="7" cm="1">
        <f t="array" ref="I5100">IFERROR(_xlfn.IFS(M5100="נח",1,M5100="נע ונח",1,M5100="שני שווא נח",2,M5100="שני שוואים בסוף מילה",2,M5100="שני שוואים ברצף",1),"0")</f>
        <v>1</v>
      </c>
      <c r="J5100" s="9">
        <f t="shared" si="323"/>
        <v>2</v>
      </c>
      <c r="K5100" t="s">
        <v>6698</v>
      </c>
      <c r="L5100" t="s">
        <v>6694</v>
      </c>
      <c r="M5100" t="s">
        <v>6705</v>
      </c>
      <c r="N5100" t="s">
        <v>6706</v>
      </c>
      <c r="O5100" t="s">
        <v>6694</v>
      </c>
      <c r="S5100" t="s">
        <v>6694</v>
      </c>
      <c r="W5100" t="s">
        <v>6720</v>
      </c>
    </row>
    <row r="5101" spans="1:23" ht="15.6" x14ac:dyDescent="0.4">
      <c r="A5101" s="2" t="s">
        <v>4426</v>
      </c>
      <c r="B5101" s="5" t="s">
        <v>11221</v>
      </c>
      <c r="C5101" s="7" t="s">
        <v>12556</v>
      </c>
      <c r="D5101" s="8">
        <f t="shared" si="320"/>
        <v>1</v>
      </c>
      <c r="E5101" s="7" t="s">
        <v>12557</v>
      </c>
      <c r="F5101" s="7">
        <f t="shared" si="321"/>
        <v>0</v>
      </c>
      <c r="G5101" s="7" t="s">
        <v>12558</v>
      </c>
      <c r="H5101" s="7">
        <f t="shared" si="322"/>
        <v>0</v>
      </c>
      <c r="I5101" s="7" cm="1">
        <f t="array" ref="I5101">IFERROR(_xlfn.IFS(M5101="נח",1,M5101="נע ונח",1,M5101="שני שווא נח",2,M5101="שני שוואים בסוף מילה",2,M5101="שני שוואים ברצף",1),"0")</f>
        <v>1</v>
      </c>
      <c r="J5101" s="9">
        <f t="shared" si="323"/>
        <v>3</v>
      </c>
      <c r="K5101" t="s">
        <v>6697</v>
      </c>
      <c r="L5101" t="s">
        <v>6694</v>
      </c>
      <c r="M5101" t="s">
        <v>6702</v>
      </c>
      <c r="O5101" t="s">
        <v>6694</v>
      </c>
      <c r="S5101" t="s">
        <v>6694</v>
      </c>
      <c r="W5101" t="s">
        <v>6720</v>
      </c>
    </row>
    <row r="5102" spans="1:23" ht="15.6" x14ac:dyDescent="0.4">
      <c r="A5102" s="2" t="s">
        <v>5295</v>
      </c>
      <c r="B5102" s="5" t="s">
        <v>11222</v>
      </c>
      <c r="C5102" s="7" t="s">
        <v>12556</v>
      </c>
      <c r="D5102" s="8">
        <f t="shared" si="320"/>
        <v>1</v>
      </c>
      <c r="E5102" s="7" t="s">
        <v>12557</v>
      </c>
      <c r="F5102" s="7">
        <f t="shared" si="321"/>
        <v>0</v>
      </c>
      <c r="G5102" s="7" t="s">
        <v>12558</v>
      </c>
      <c r="H5102" s="7">
        <f t="shared" si="322"/>
        <v>0</v>
      </c>
      <c r="I5102" s="7" cm="1">
        <f t="array" ref="I5102">IFERROR(_xlfn.IFS(M5102="נח",1,M5102="נע ונח",1,M5102="שני שווא נח",2,M5102="שני שוואים בסוף מילה",2,M5102="שני שוואים ברצף",1),"0")</f>
        <v>1</v>
      </c>
      <c r="J5102" s="9">
        <f t="shared" si="323"/>
        <v>3</v>
      </c>
      <c r="K5102" t="s">
        <v>6697</v>
      </c>
      <c r="L5102" t="s">
        <v>6694</v>
      </c>
      <c r="M5102" t="s">
        <v>6705</v>
      </c>
      <c r="O5102" t="s">
        <v>6694</v>
      </c>
      <c r="P5102" t="s">
        <v>6694</v>
      </c>
      <c r="S5102" t="s">
        <v>6694</v>
      </c>
      <c r="W5102" t="s">
        <v>6720</v>
      </c>
    </row>
    <row r="5103" spans="1:23" ht="15.6" x14ac:dyDescent="0.4">
      <c r="A5103" s="2" t="s">
        <v>5762</v>
      </c>
      <c r="B5103" s="5" t="s">
        <v>11223</v>
      </c>
      <c r="C5103" s="7" t="s">
        <v>12556</v>
      </c>
      <c r="D5103" s="8">
        <f t="shared" si="320"/>
        <v>1</v>
      </c>
      <c r="E5103" s="7" t="s">
        <v>12557</v>
      </c>
      <c r="F5103" s="7">
        <f t="shared" si="321"/>
        <v>1</v>
      </c>
      <c r="G5103" s="7" t="s">
        <v>12558</v>
      </c>
      <c r="H5103" s="7">
        <f t="shared" si="322"/>
        <v>0</v>
      </c>
      <c r="I5103" s="7" cm="1">
        <f t="array" ref="I5103">IFERROR(_xlfn.IFS(M5103="נח",1,M5103="נע ונח",1,M5103="שני שווא נח",2,M5103="שני שוואים בסוף מילה",2,M5103="שני שוואים ברצף",1),"0")</f>
        <v>1</v>
      </c>
      <c r="J5103" s="9">
        <f t="shared" si="323"/>
        <v>2</v>
      </c>
      <c r="K5103" t="s">
        <v>6697</v>
      </c>
      <c r="L5103" t="s">
        <v>6694</v>
      </c>
      <c r="M5103" t="s">
        <v>6705</v>
      </c>
      <c r="O5103" t="s">
        <v>6694</v>
      </c>
      <c r="S5103" t="s">
        <v>6694</v>
      </c>
      <c r="W5103" t="s">
        <v>6720</v>
      </c>
    </row>
    <row r="5104" spans="1:23" ht="15.6" x14ac:dyDescent="0.4">
      <c r="A5104" s="2" t="s">
        <v>6659</v>
      </c>
      <c r="B5104" s="5" t="s">
        <v>11224</v>
      </c>
      <c r="C5104" s="7" t="s">
        <v>12556</v>
      </c>
      <c r="D5104" s="8">
        <f t="shared" si="320"/>
        <v>0</v>
      </c>
      <c r="E5104" s="7" t="s">
        <v>12557</v>
      </c>
      <c r="F5104" s="7">
        <f t="shared" si="321"/>
        <v>0</v>
      </c>
      <c r="G5104" s="7" t="s">
        <v>12558</v>
      </c>
      <c r="H5104" s="7">
        <f t="shared" si="322"/>
        <v>0</v>
      </c>
      <c r="I5104" s="7" t="str" cm="1">
        <f t="array" ref="I5104">IFERROR(_xlfn.IFS(M5104="נח",1,M5104="נע ונח",1,M5104="שני שווא נח",2,M5104="שני שוואים בסוף מילה",2,M5104="שני שוואים ברצף",1),"0")</f>
        <v>0</v>
      </c>
      <c r="J5104" s="9">
        <f t="shared" si="323"/>
        <v>1</v>
      </c>
      <c r="K5104" t="s">
        <v>6698</v>
      </c>
      <c r="L5104" t="s">
        <v>6695</v>
      </c>
      <c r="Q5104" t="s">
        <v>6694</v>
      </c>
      <c r="W5104" t="s">
        <v>6720</v>
      </c>
    </row>
    <row r="5105" spans="1:23" ht="15.6" x14ac:dyDescent="0.4">
      <c r="A5105" s="2" t="s">
        <v>2076</v>
      </c>
      <c r="B5105" s="5" t="s">
        <v>11225</v>
      </c>
      <c r="C5105" s="7" t="s">
        <v>12556</v>
      </c>
      <c r="D5105" s="8">
        <f t="shared" si="320"/>
        <v>0</v>
      </c>
      <c r="E5105" s="7" t="s">
        <v>12557</v>
      </c>
      <c r="F5105" s="7">
        <f t="shared" si="321"/>
        <v>0</v>
      </c>
      <c r="G5105" s="7" t="s">
        <v>12558</v>
      </c>
      <c r="H5105" s="7">
        <f t="shared" si="322"/>
        <v>0</v>
      </c>
      <c r="I5105" s="7" t="str" cm="1">
        <f t="array" ref="I5105">IFERROR(_xlfn.IFS(M5105="נח",1,M5105="נע ונח",1,M5105="שני שווא נח",2,M5105="שני שוואים בסוף מילה",2,M5105="שני שוואים ברצף",1),"0")</f>
        <v>0</v>
      </c>
      <c r="J5105" s="9">
        <f t="shared" si="323"/>
        <v>2</v>
      </c>
      <c r="K5105" t="s">
        <v>6698</v>
      </c>
      <c r="L5105" t="s">
        <v>6695</v>
      </c>
      <c r="Q5105" t="s">
        <v>6694</v>
      </c>
      <c r="S5105" t="s">
        <v>6694</v>
      </c>
      <c r="W5105" t="s">
        <v>6720</v>
      </c>
    </row>
    <row r="5106" spans="1:23" ht="15.6" x14ac:dyDescent="0.4">
      <c r="A5106" s="2" t="s">
        <v>1860</v>
      </c>
      <c r="B5106" s="5" t="s">
        <v>11226</v>
      </c>
      <c r="C5106" s="7" t="s">
        <v>12556</v>
      </c>
      <c r="D5106" s="8">
        <f t="shared" si="320"/>
        <v>0</v>
      </c>
      <c r="E5106" s="7" t="s">
        <v>12557</v>
      </c>
      <c r="F5106" s="7">
        <f t="shared" si="321"/>
        <v>0</v>
      </c>
      <c r="G5106" s="7" t="s">
        <v>12558</v>
      </c>
      <c r="H5106" s="7">
        <f t="shared" si="322"/>
        <v>0</v>
      </c>
      <c r="I5106" s="7" t="str" cm="1">
        <f t="array" ref="I5106">IFERROR(_xlfn.IFS(M5106="נח",1,M5106="נע ונח",1,M5106="שני שווא נח",2,M5106="שני שוואים בסוף מילה",2,M5106="שני שוואים ברצף",1),"0")</f>
        <v>0</v>
      </c>
      <c r="J5106" s="9">
        <f t="shared" si="323"/>
        <v>2</v>
      </c>
      <c r="K5106" t="s">
        <v>6698</v>
      </c>
      <c r="L5106" t="s">
        <v>6695</v>
      </c>
      <c r="N5106" t="s">
        <v>6706</v>
      </c>
      <c r="O5106" t="s">
        <v>6694</v>
      </c>
      <c r="Q5106" t="s">
        <v>6694</v>
      </c>
      <c r="W5106" t="s">
        <v>6720</v>
      </c>
    </row>
    <row r="5107" spans="1:23" ht="15.6" x14ac:dyDescent="0.4">
      <c r="A5107" s="2" t="s">
        <v>4157</v>
      </c>
      <c r="B5107" s="5" t="s">
        <v>11227</v>
      </c>
      <c r="C5107" s="7" t="s">
        <v>12556</v>
      </c>
      <c r="D5107" s="8">
        <f t="shared" si="320"/>
        <v>0</v>
      </c>
      <c r="E5107" s="7" t="s">
        <v>12557</v>
      </c>
      <c r="F5107" s="7">
        <f t="shared" si="321"/>
        <v>0</v>
      </c>
      <c r="G5107" s="7" t="s">
        <v>12558</v>
      </c>
      <c r="H5107" s="7">
        <f t="shared" si="322"/>
        <v>0</v>
      </c>
      <c r="I5107" s="7" t="str" cm="1">
        <f t="array" ref="I5107">IFERROR(_xlfn.IFS(M5107="נח",1,M5107="נע ונח",1,M5107="שני שווא נח",2,M5107="שני שוואים בסוף מילה",2,M5107="שני שוואים ברצף",1),"0")</f>
        <v>0</v>
      </c>
      <c r="J5107" s="9">
        <f t="shared" si="323"/>
        <v>2</v>
      </c>
      <c r="K5107" t="s">
        <v>6698</v>
      </c>
      <c r="L5107" t="s">
        <v>6695</v>
      </c>
      <c r="Q5107" t="s">
        <v>6694</v>
      </c>
      <c r="R5107" t="s">
        <v>6694</v>
      </c>
      <c r="W5107" t="s">
        <v>6720</v>
      </c>
    </row>
    <row r="5108" spans="1:23" ht="15.6" x14ac:dyDescent="0.4">
      <c r="A5108" s="2" t="s">
        <v>3870</v>
      </c>
      <c r="B5108" s="5" t="s">
        <v>11228</v>
      </c>
      <c r="C5108" s="7" t="s">
        <v>12556</v>
      </c>
      <c r="D5108" s="8">
        <f t="shared" si="320"/>
        <v>0</v>
      </c>
      <c r="E5108" s="7" t="s">
        <v>12557</v>
      </c>
      <c r="F5108" s="7">
        <f t="shared" si="321"/>
        <v>0</v>
      </c>
      <c r="G5108" s="7" t="s">
        <v>12558</v>
      </c>
      <c r="H5108" s="7">
        <f t="shared" si="322"/>
        <v>0</v>
      </c>
      <c r="I5108" s="7" t="str" cm="1">
        <f t="array" ref="I5108">IFERROR(_xlfn.IFS(M5108="נח",1,M5108="נע ונח",1,M5108="שני שווא נח",2,M5108="שני שוואים בסוף מילה",2,M5108="שני שוואים ברצף",1),"0")</f>
        <v>0</v>
      </c>
      <c r="J5108" s="9">
        <f t="shared" si="323"/>
        <v>2</v>
      </c>
      <c r="K5108" t="s">
        <v>6698</v>
      </c>
      <c r="L5108" t="s">
        <v>6695</v>
      </c>
      <c r="P5108" t="s">
        <v>6694</v>
      </c>
      <c r="Q5108" t="s">
        <v>6694</v>
      </c>
      <c r="W5108" t="s">
        <v>6720</v>
      </c>
    </row>
    <row r="5109" spans="1:23" ht="15.6" x14ac:dyDescent="0.4">
      <c r="A5109" s="2" t="s">
        <v>2030</v>
      </c>
      <c r="B5109" s="5" t="s">
        <v>11229</v>
      </c>
      <c r="C5109" s="7" t="s">
        <v>12556</v>
      </c>
      <c r="D5109" s="8">
        <f t="shared" si="320"/>
        <v>0</v>
      </c>
      <c r="E5109" s="7" t="s">
        <v>12557</v>
      </c>
      <c r="F5109" s="7">
        <f t="shared" si="321"/>
        <v>0</v>
      </c>
      <c r="G5109" s="7" t="s">
        <v>12558</v>
      </c>
      <c r="H5109" s="7">
        <f t="shared" si="322"/>
        <v>0</v>
      </c>
      <c r="I5109" s="7" t="str" cm="1">
        <f t="array" ref="I5109">IFERROR(_xlfn.IFS(M5109="נח",1,M5109="נע ונח",1,M5109="שני שווא נח",2,M5109="שני שוואים בסוף מילה",2,M5109="שני שוואים ברצף",1),"0")</f>
        <v>0</v>
      </c>
      <c r="J5109" s="9">
        <f t="shared" si="323"/>
        <v>2</v>
      </c>
      <c r="K5109" t="s">
        <v>6697</v>
      </c>
      <c r="L5109" t="s">
        <v>6695</v>
      </c>
      <c r="Q5109" t="s">
        <v>6694</v>
      </c>
      <c r="S5109" t="s">
        <v>6694</v>
      </c>
      <c r="W5109" t="s">
        <v>6720</v>
      </c>
    </row>
    <row r="5110" spans="1:23" ht="15.6" x14ac:dyDescent="0.4">
      <c r="A5110" s="2" t="s">
        <v>4377</v>
      </c>
      <c r="B5110" s="5" t="s">
        <v>11230</v>
      </c>
      <c r="C5110" s="7" t="s">
        <v>12556</v>
      </c>
      <c r="D5110" s="8">
        <f t="shared" si="320"/>
        <v>0</v>
      </c>
      <c r="E5110" s="7" t="s">
        <v>12557</v>
      </c>
      <c r="F5110" s="7">
        <f t="shared" si="321"/>
        <v>0</v>
      </c>
      <c r="G5110" s="7" t="s">
        <v>12558</v>
      </c>
      <c r="H5110" s="7">
        <f t="shared" si="322"/>
        <v>0</v>
      </c>
      <c r="I5110" s="7" cm="1">
        <f t="array" ref="I5110">IFERROR(_xlfn.IFS(M5110="נח",1,M5110="נע ונח",1,M5110="שני שווא נח",2,M5110="שני שוואים בסוף מילה",2,M5110="שני שוואים ברצף",1),"0")</f>
        <v>1</v>
      </c>
      <c r="J5110" s="9">
        <f t="shared" si="323"/>
        <v>2</v>
      </c>
      <c r="K5110" t="s">
        <v>6698</v>
      </c>
      <c r="L5110" t="s">
        <v>6694</v>
      </c>
      <c r="M5110" t="s">
        <v>6705</v>
      </c>
      <c r="N5110" t="s">
        <v>6706</v>
      </c>
      <c r="O5110" t="s">
        <v>6694</v>
      </c>
      <c r="R5110" t="s">
        <v>6694</v>
      </c>
      <c r="W5110" t="s">
        <v>6720</v>
      </c>
    </row>
    <row r="5111" spans="1:23" ht="15.6" x14ac:dyDescent="0.4">
      <c r="A5111" s="2" t="s">
        <v>3441</v>
      </c>
      <c r="B5111" s="5" t="s">
        <v>11231</v>
      </c>
      <c r="C5111" s="7" t="s">
        <v>12556</v>
      </c>
      <c r="D5111" s="8">
        <f t="shared" si="320"/>
        <v>0</v>
      </c>
      <c r="E5111" s="7" t="s">
        <v>12557</v>
      </c>
      <c r="F5111" s="7">
        <f t="shared" si="321"/>
        <v>1</v>
      </c>
      <c r="G5111" s="7" t="s">
        <v>12558</v>
      </c>
      <c r="H5111" s="7">
        <f t="shared" si="322"/>
        <v>0</v>
      </c>
      <c r="I5111" s="7" cm="1">
        <f t="array" ref="I5111">IFERROR(_xlfn.IFS(M5111="נח",1,M5111="נע ונח",1,M5111="שני שווא נח",2,M5111="שני שוואים בסוף מילה",2,M5111="שני שוואים ברצף",1),"0")</f>
        <v>1</v>
      </c>
      <c r="J5111" s="9">
        <f t="shared" si="323"/>
        <v>4</v>
      </c>
      <c r="K5111" t="s">
        <v>6697</v>
      </c>
      <c r="L5111" t="s">
        <v>6694</v>
      </c>
      <c r="M5111" t="s">
        <v>6705</v>
      </c>
      <c r="P5111" t="s">
        <v>6694</v>
      </c>
      <c r="R5111" t="s">
        <v>6694</v>
      </c>
      <c r="S5111" t="s">
        <v>6694</v>
      </c>
      <c r="W5111" t="s">
        <v>6720</v>
      </c>
    </row>
    <row r="5112" spans="1:23" ht="15.6" x14ac:dyDescent="0.4">
      <c r="A5112" s="2" t="s">
        <v>3222</v>
      </c>
      <c r="B5112" s="5" t="s">
        <v>11232</v>
      </c>
      <c r="C5112" s="7" t="s">
        <v>12556</v>
      </c>
      <c r="D5112" s="8">
        <f t="shared" si="320"/>
        <v>0</v>
      </c>
      <c r="E5112" s="7" t="s">
        <v>12557</v>
      </c>
      <c r="F5112" s="7">
        <f t="shared" si="321"/>
        <v>1</v>
      </c>
      <c r="G5112" s="7" t="s">
        <v>12558</v>
      </c>
      <c r="H5112" s="7">
        <f t="shared" si="322"/>
        <v>1</v>
      </c>
      <c r="I5112" s="7" t="str" cm="1">
        <f t="array" ref="I5112">IFERROR(_xlfn.IFS(M5112="נח",1,M5112="נע ונח",1,M5112="שני שווא נח",2,M5112="שני שוואים בסוף מילה",2,M5112="שני שוואים ברצף",1),"0")</f>
        <v>0</v>
      </c>
      <c r="J5112" s="9">
        <f t="shared" si="323"/>
        <v>4</v>
      </c>
      <c r="K5112" t="s">
        <v>6697</v>
      </c>
      <c r="L5112" t="s">
        <v>6695</v>
      </c>
      <c r="O5112" t="s">
        <v>6694</v>
      </c>
      <c r="R5112" t="s">
        <v>6694</v>
      </c>
      <c r="U5112" t="s">
        <v>6694</v>
      </c>
      <c r="W5112" t="s">
        <v>6720</v>
      </c>
    </row>
    <row r="5113" spans="1:23" ht="15.6" x14ac:dyDescent="0.4">
      <c r="A5113" s="2" t="s">
        <v>5851</v>
      </c>
      <c r="B5113" s="5" t="s">
        <v>11233</v>
      </c>
      <c r="C5113" s="7" t="s">
        <v>12556</v>
      </c>
      <c r="D5113" s="8">
        <f t="shared" si="320"/>
        <v>0</v>
      </c>
      <c r="E5113" s="7" t="s">
        <v>12557</v>
      </c>
      <c r="F5113" s="7">
        <f t="shared" si="321"/>
        <v>0</v>
      </c>
      <c r="G5113" s="7" t="s">
        <v>12558</v>
      </c>
      <c r="H5113" s="7">
        <f t="shared" si="322"/>
        <v>0</v>
      </c>
      <c r="I5113" s="7" t="str" cm="1">
        <f t="array" ref="I5113">IFERROR(_xlfn.IFS(M5113="נח",1,M5113="נע ונח",1,M5113="שני שווא נח",2,M5113="שני שוואים בסוף מילה",2,M5113="שני שוואים ברצף",1),"0")</f>
        <v>0</v>
      </c>
      <c r="J5113" s="9">
        <f t="shared" si="323"/>
        <v>4</v>
      </c>
      <c r="K5113" t="s">
        <v>6698</v>
      </c>
      <c r="L5113" t="s">
        <v>6695</v>
      </c>
      <c r="R5113" t="s">
        <v>6694</v>
      </c>
      <c r="W5113" t="s">
        <v>6720</v>
      </c>
    </row>
    <row r="5114" spans="1:23" ht="15.6" x14ac:dyDescent="0.4">
      <c r="A5114" s="2" t="s">
        <v>1167</v>
      </c>
      <c r="B5114" s="5" t="s">
        <v>11234</v>
      </c>
      <c r="C5114" s="7" t="s">
        <v>12556</v>
      </c>
      <c r="D5114" s="8">
        <f t="shared" si="320"/>
        <v>0</v>
      </c>
      <c r="E5114" s="7" t="s">
        <v>12557</v>
      </c>
      <c r="F5114" s="7">
        <f t="shared" si="321"/>
        <v>0</v>
      </c>
      <c r="G5114" s="7" t="s">
        <v>12558</v>
      </c>
      <c r="H5114" s="7">
        <f t="shared" si="322"/>
        <v>0</v>
      </c>
      <c r="I5114" s="7" t="str" cm="1">
        <f t="array" ref="I5114">IFERROR(_xlfn.IFS(M5114="נח",1,M5114="נע ונח",1,M5114="שני שווא נח",2,M5114="שני שוואים בסוף מילה",2,M5114="שני שוואים ברצף",1),"0")</f>
        <v>0</v>
      </c>
      <c r="J5114" s="9">
        <f t="shared" si="323"/>
        <v>4</v>
      </c>
      <c r="K5114" t="s">
        <v>6698</v>
      </c>
      <c r="L5114" t="s">
        <v>6695</v>
      </c>
      <c r="O5114" t="s">
        <v>6694</v>
      </c>
      <c r="R5114" t="s">
        <v>6694</v>
      </c>
      <c r="S5114" t="s">
        <v>6694</v>
      </c>
      <c r="W5114" t="s">
        <v>6720</v>
      </c>
    </row>
    <row r="5115" spans="1:23" ht="15.6" x14ac:dyDescent="0.4">
      <c r="A5115" s="2" t="s">
        <v>3280</v>
      </c>
      <c r="B5115" s="5" t="s">
        <v>11235</v>
      </c>
      <c r="C5115" s="7" t="s">
        <v>12556</v>
      </c>
      <c r="D5115" s="8">
        <f t="shared" si="320"/>
        <v>0</v>
      </c>
      <c r="E5115" s="7" t="s">
        <v>12557</v>
      </c>
      <c r="F5115" s="7">
        <f t="shared" si="321"/>
        <v>0</v>
      </c>
      <c r="G5115" s="7" t="s">
        <v>12558</v>
      </c>
      <c r="H5115" s="7">
        <f t="shared" si="322"/>
        <v>0</v>
      </c>
      <c r="I5115" s="7" t="str" cm="1">
        <f t="array" ref="I5115">IFERROR(_xlfn.IFS(M5115="נח",1,M5115="נע ונח",1,M5115="שני שווא נח",2,M5115="שני שוואים בסוף מילה",2,M5115="שני שוואים ברצף",1),"0")</f>
        <v>0</v>
      </c>
      <c r="J5115" s="9">
        <f t="shared" si="323"/>
        <v>4</v>
      </c>
      <c r="K5115" t="s">
        <v>6697</v>
      </c>
      <c r="L5115" t="s">
        <v>6695</v>
      </c>
      <c r="O5115" t="s">
        <v>6694</v>
      </c>
      <c r="R5115" t="s">
        <v>6694</v>
      </c>
      <c r="W5115" t="s">
        <v>6720</v>
      </c>
    </row>
    <row r="5116" spans="1:23" ht="15.6" x14ac:dyDescent="0.4">
      <c r="A5116" s="2" t="s">
        <v>3811</v>
      </c>
      <c r="B5116" s="5" t="s">
        <v>11236</v>
      </c>
      <c r="C5116" s="7" t="s">
        <v>12556</v>
      </c>
      <c r="D5116" s="8">
        <f t="shared" si="320"/>
        <v>0</v>
      </c>
      <c r="E5116" s="7" t="s">
        <v>12557</v>
      </c>
      <c r="F5116" s="7">
        <f t="shared" si="321"/>
        <v>1</v>
      </c>
      <c r="G5116" s="7" t="s">
        <v>12558</v>
      </c>
      <c r="H5116" s="7">
        <f t="shared" si="322"/>
        <v>1</v>
      </c>
      <c r="I5116" s="7" t="str" cm="1">
        <f t="array" ref="I5116">IFERROR(_xlfn.IFS(M5116="נח",1,M5116="נע ונח",1,M5116="שני שווא נח",2,M5116="שני שוואים בסוף מילה",2,M5116="שני שוואים ברצף",1),"0")</f>
        <v>0</v>
      </c>
      <c r="J5116" s="9">
        <f t="shared" si="323"/>
        <v>4</v>
      </c>
      <c r="K5116" t="s">
        <v>6697</v>
      </c>
      <c r="L5116" t="s">
        <v>6695</v>
      </c>
      <c r="O5116" t="s">
        <v>6694</v>
      </c>
      <c r="R5116" t="s">
        <v>6694</v>
      </c>
      <c r="U5116" t="s">
        <v>6694</v>
      </c>
      <c r="W5116" t="s">
        <v>6720</v>
      </c>
    </row>
    <row r="5117" spans="1:23" ht="15.6" x14ac:dyDescent="0.4">
      <c r="A5117" s="2" t="s">
        <v>5721</v>
      </c>
      <c r="B5117" s="5" t="s">
        <v>11235</v>
      </c>
      <c r="C5117" s="7" t="s">
        <v>12556</v>
      </c>
      <c r="D5117" s="8">
        <f t="shared" si="320"/>
        <v>0</v>
      </c>
      <c r="E5117" s="7" t="s">
        <v>12557</v>
      </c>
      <c r="F5117" s="7">
        <f t="shared" si="321"/>
        <v>0</v>
      </c>
      <c r="G5117" s="7" t="s">
        <v>12558</v>
      </c>
      <c r="H5117" s="7">
        <f t="shared" si="322"/>
        <v>0</v>
      </c>
      <c r="I5117" s="7" cm="1">
        <f t="array" ref="I5117">IFERROR(_xlfn.IFS(M5117="נח",1,M5117="נע ונח",1,M5117="שני שווא נח",2,M5117="שני שוואים בסוף מילה",2,M5117="שני שוואים ברצף",1),"0")</f>
        <v>1</v>
      </c>
      <c r="J5117" s="9">
        <f t="shared" si="323"/>
        <v>3</v>
      </c>
      <c r="K5117" t="s">
        <v>6697</v>
      </c>
      <c r="L5117" t="s">
        <v>6694</v>
      </c>
      <c r="M5117" t="s">
        <v>6705</v>
      </c>
      <c r="O5117" t="s">
        <v>6694</v>
      </c>
      <c r="R5117" t="s">
        <v>6694</v>
      </c>
      <c r="W5117" t="s">
        <v>6720</v>
      </c>
    </row>
    <row r="5118" spans="1:23" ht="15.6" x14ac:dyDescent="0.4">
      <c r="A5118" s="2" t="s">
        <v>2189</v>
      </c>
      <c r="B5118" s="5" t="s">
        <v>11237</v>
      </c>
      <c r="C5118" s="7" t="s">
        <v>12556</v>
      </c>
      <c r="D5118" s="8">
        <f t="shared" si="320"/>
        <v>0</v>
      </c>
      <c r="E5118" s="7" t="s">
        <v>12557</v>
      </c>
      <c r="F5118" s="7">
        <f t="shared" si="321"/>
        <v>1</v>
      </c>
      <c r="G5118" s="7" t="s">
        <v>12558</v>
      </c>
      <c r="H5118" s="7">
        <f t="shared" si="322"/>
        <v>1</v>
      </c>
      <c r="I5118" s="7" cm="1">
        <f t="array" ref="I5118">IFERROR(_xlfn.IFS(M5118="נח",1,M5118="נע ונח",1,M5118="שני שווא נח",2,M5118="שני שוואים בסוף מילה",2,M5118="שני שוואים ברצף",1),"0")</f>
        <v>1</v>
      </c>
      <c r="J5118" s="9">
        <f t="shared" si="323"/>
        <v>3</v>
      </c>
      <c r="K5118" t="s">
        <v>6697</v>
      </c>
      <c r="L5118" t="s">
        <v>6694</v>
      </c>
      <c r="M5118" t="s">
        <v>6705</v>
      </c>
      <c r="R5118" t="s">
        <v>6694</v>
      </c>
      <c r="U5118" t="s">
        <v>6694</v>
      </c>
      <c r="W5118" t="s">
        <v>6720</v>
      </c>
    </row>
    <row r="5119" spans="1:23" ht="15.6" x14ac:dyDescent="0.4">
      <c r="A5119" s="2" t="s">
        <v>2075</v>
      </c>
      <c r="B5119" s="5" t="s">
        <v>11236</v>
      </c>
      <c r="C5119" s="7" t="s">
        <v>12556</v>
      </c>
      <c r="D5119" s="8">
        <f t="shared" si="320"/>
        <v>0</v>
      </c>
      <c r="E5119" s="7" t="s">
        <v>12557</v>
      </c>
      <c r="F5119" s="7">
        <f t="shared" si="321"/>
        <v>1</v>
      </c>
      <c r="G5119" s="7" t="s">
        <v>12558</v>
      </c>
      <c r="H5119" s="7">
        <f t="shared" si="322"/>
        <v>1</v>
      </c>
      <c r="I5119" s="7" cm="1">
        <f t="array" ref="I5119">IFERROR(_xlfn.IFS(M5119="נח",1,M5119="נע ונח",1,M5119="שני שווא נח",2,M5119="שני שוואים בסוף מילה",2,M5119="שני שוואים ברצף",1),"0")</f>
        <v>1</v>
      </c>
      <c r="J5119" s="9">
        <f t="shared" si="323"/>
        <v>3</v>
      </c>
      <c r="K5119" t="s">
        <v>6697</v>
      </c>
      <c r="L5119" t="s">
        <v>6694</v>
      </c>
      <c r="M5119" t="s">
        <v>6705</v>
      </c>
      <c r="R5119" t="s">
        <v>6694</v>
      </c>
      <c r="U5119" t="s">
        <v>6694</v>
      </c>
      <c r="W5119" t="s">
        <v>6720</v>
      </c>
    </row>
    <row r="5120" spans="1:23" ht="15.6" x14ac:dyDescent="0.4">
      <c r="A5120" s="2" t="s">
        <v>544</v>
      </c>
      <c r="B5120" s="5" t="s">
        <v>11238</v>
      </c>
      <c r="C5120" s="7" t="s">
        <v>12556</v>
      </c>
      <c r="D5120" s="8">
        <f t="shared" si="320"/>
        <v>0</v>
      </c>
      <c r="E5120" s="7" t="s">
        <v>12557</v>
      </c>
      <c r="F5120" s="7">
        <f t="shared" si="321"/>
        <v>0</v>
      </c>
      <c r="G5120" s="7" t="s">
        <v>12558</v>
      </c>
      <c r="H5120" s="7">
        <f t="shared" si="322"/>
        <v>0</v>
      </c>
      <c r="I5120" s="7" t="str" cm="1">
        <f t="array" ref="I5120">IFERROR(_xlfn.IFS(M5120="נח",1,M5120="נע ונח",1,M5120="שני שווא נח",2,M5120="שני שוואים בסוף מילה",2,M5120="שני שוואים ברצף",1),"0")</f>
        <v>0</v>
      </c>
      <c r="J5120" s="9">
        <f t="shared" si="323"/>
        <v>2</v>
      </c>
      <c r="K5120" t="s">
        <v>6698</v>
      </c>
      <c r="L5120" t="s">
        <v>6695</v>
      </c>
      <c r="R5120" t="s">
        <v>6694</v>
      </c>
      <c r="W5120" t="s">
        <v>6720</v>
      </c>
    </row>
    <row r="5121" spans="1:23" ht="15.6" x14ac:dyDescent="0.4">
      <c r="A5121" s="2" t="s">
        <v>370</v>
      </c>
      <c r="B5121" s="5" t="s">
        <v>11239</v>
      </c>
      <c r="C5121" s="7" t="s">
        <v>12556</v>
      </c>
      <c r="D5121" s="8">
        <f t="shared" si="320"/>
        <v>0</v>
      </c>
      <c r="E5121" s="7" t="s">
        <v>12557</v>
      </c>
      <c r="F5121" s="7">
        <f t="shared" si="321"/>
        <v>0</v>
      </c>
      <c r="G5121" s="7" t="s">
        <v>12558</v>
      </c>
      <c r="H5121" s="7">
        <f t="shared" si="322"/>
        <v>0</v>
      </c>
      <c r="I5121" s="7" cm="1">
        <f t="array" ref="I5121">IFERROR(_xlfn.IFS(M5121="נח",1,M5121="נע ונח",1,M5121="שני שווא נח",2,M5121="שני שוואים בסוף מילה",2,M5121="שני שוואים ברצף",1),"0")</f>
        <v>1</v>
      </c>
      <c r="J5121" s="9">
        <f t="shared" si="323"/>
        <v>2</v>
      </c>
      <c r="K5121" t="s">
        <v>6697</v>
      </c>
      <c r="L5121" t="s">
        <v>6694</v>
      </c>
      <c r="M5121" t="s">
        <v>6705</v>
      </c>
      <c r="O5121" t="s">
        <v>6694</v>
      </c>
      <c r="R5121" t="s">
        <v>6694</v>
      </c>
      <c r="W5121" t="s">
        <v>6720</v>
      </c>
    </row>
    <row r="5122" spans="1:23" ht="15.6" x14ac:dyDescent="0.4">
      <c r="A5122" s="2" t="s">
        <v>4622</v>
      </c>
      <c r="B5122" s="5" t="s">
        <v>11240</v>
      </c>
      <c r="C5122" s="7" t="s">
        <v>12556</v>
      </c>
      <c r="D5122" s="8">
        <f t="shared" si="320"/>
        <v>0</v>
      </c>
      <c r="E5122" s="7" t="s">
        <v>12557</v>
      </c>
      <c r="F5122" s="7">
        <f t="shared" si="321"/>
        <v>1</v>
      </c>
      <c r="G5122" s="7" t="s">
        <v>12558</v>
      </c>
      <c r="H5122" s="7">
        <f t="shared" si="322"/>
        <v>0</v>
      </c>
      <c r="I5122" s="7" cm="1">
        <f t="array" ref="I5122">IFERROR(_xlfn.IFS(M5122="נח",1,M5122="נע ונח",1,M5122="שני שווא נח",2,M5122="שני שוואים בסוף מילה",2,M5122="שני שוואים ברצף",1),"0")</f>
        <v>1</v>
      </c>
      <c r="J5122" s="9">
        <f t="shared" si="323"/>
        <v>3</v>
      </c>
      <c r="K5122" t="s">
        <v>6697</v>
      </c>
      <c r="L5122" t="s">
        <v>6694</v>
      </c>
      <c r="M5122" t="s">
        <v>6702</v>
      </c>
      <c r="O5122" t="s">
        <v>6694</v>
      </c>
      <c r="R5122" t="s">
        <v>6694</v>
      </c>
      <c r="W5122" t="s">
        <v>6720</v>
      </c>
    </row>
    <row r="5123" spans="1:23" ht="15.6" x14ac:dyDescent="0.4">
      <c r="A5123" s="2" t="s">
        <v>1953</v>
      </c>
      <c r="B5123" s="5" t="s">
        <v>11241</v>
      </c>
      <c r="C5123" s="7" t="s">
        <v>12556</v>
      </c>
      <c r="D5123" s="8">
        <f t="shared" ref="D5123:D5186" si="324">(LEN(B5123)-LEN(SUBSTITUTE(B5123,C5123,"")))</f>
        <v>0</v>
      </c>
      <c r="E5123" s="7" t="s">
        <v>12557</v>
      </c>
      <c r="F5123" s="7">
        <f t="shared" ref="F5123:F5186" si="325">(LEN(A5123)-LEN(SUBSTITUTE(A5123,E5123,"")))</f>
        <v>1</v>
      </c>
      <c r="G5123" s="7" t="s">
        <v>12558</v>
      </c>
      <c r="H5123" s="7">
        <f t="shared" ref="H5123:H5186" si="326">(LEN(A5123)-LEN(SUBSTITUTE(A5123,G5123,"")))/2</f>
        <v>0</v>
      </c>
      <c r="I5123" s="7" cm="1">
        <f t="array" ref="I5123">IFERROR(_xlfn.IFS(M5123="נח",1,M5123="נע ונח",1,M5123="שני שווא נח",2,M5123="שני שוואים בסוף מילה",2,M5123="שני שוואים ברצף",1),"0")</f>
        <v>1</v>
      </c>
      <c r="J5123" s="9">
        <f t="shared" ref="J5123:J5186" si="327">LEN(A5123)-(LEN(B5123))-D5123-F5123+H5123-I5123</f>
        <v>2</v>
      </c>
      <c r="K5123" t="s">
        <v>6697</v>
      </c>
      <c r="L5123" t="s">
        <v>6694</v>
      </c>
      <c r="M5123" t="s">
        <v>6705</v>
      </c>
      <c r="R5123" t="s">
        <v>6694</v>
      </c>
      <c r="S5123" t="s">
        <v>6694</v>
      </c>
      <c r="W5123" t="s">
        <v>6720</v>
      </c>
    </row>
    <row r="5124" spans="1:23" ht="15.6" x14ac:dyDescent="0.4">
      <c r="A5124" s="2" t="s">
        <v>3457</v>
      </c>
      <c r="B5124" s="5" t="s">
        <v>11240</v>
      </c>
      <c r="C5124" s="7" t="s">
        <v>12556</v>
      </c>
      <c r="D5124" s="8">
        <f t="shared" si="324"/>
        <v>0</v>
      </c>
      <c r="E5124" s="7" t="s">
        <v>12557</v>
      </c>
      <c r="F5124" s="7">
        <f t="shared" si="325"/>
        <v>1</v>
      </c>
      <c r="G5124" s="7" t="s">
        <v>12558</v>
      </c>
      <c r="H5124" s="7">
        <f t="shared" si="326"/>
        <v>0</v>
      </c>
      <c r="I5124" s="7" cm="1">
        <f t="array" ref="I5124">IFERROR(_xlfn.IFS(M5124="נח",1,M5124="נע ונח",1,M5124="שני שווא נח",2,M5124="שני שוואים בסוף מילה",2,M5124="שני שוואים ברצף",1),"0")</f>
        <v>1</v>
      </c>
      <c r="J5124" s="9">
        <f t="shared" si="327"/>
        <v>3</v>
      </c>
      <c r="K5124" t="s">
        <v>6697</v>
      </c>
      <c r="L5124" t="s">
        <v>6694</v>
      </c>
      <c r="M5124" t="s">
        <v>6705</v>
      </c>
      <c r="O5124" t="s">
        <v>6694</v>
      </c>
      <c r="R5124" t="s">
        <v>6694</v>
      </c>
      <c r="W5124" t="s">
        <v>6720</v>
      </c>
    </row>
    <row r="5125" spans="1:23" ht="15.6" x14ac:dyDescent="0.4">
      <c r="A5125" s="2" t="s">
        <v>1993</v>
      </c>
      <c r="B5125" s="5" t="s">
        <v>11242</v>
      </c>
      <c r="C5125" s="7" t="s">
        <v>12556</v>
      </c>
      <c r="D5125" s="8">
        <f t="shared" si="324"/>
        <v>0</v>
      </c>
      <c r="E5125" s="7" t="s">
        <v>12557</v>
      </c>
      <c r="F5125" s="7">
        <f t="shared" si="325"/>
        <v>1</v>
      </c>
      <c r="G5125" s="7" t="s">
        <v>12558</v>
      </c>
      <c r="H5125" s="7">
        <f t="shared" si="326"/>
        <v>0</v>
      </c>
      <c r="I5125" s="7" cm="1">
        <f t="array" ref="I5125">IFERROR(_xlfn.IFS(M5125="נח",1,M5125="נע ונח",1,M5125="שני שווא נח",2,M5125="שני שוואים בסוף מילה",2,M5125="שני שוואים ברצף",1),"0")</f>
        <v>1</v>
      </c>
      <c r="J5125" s="9">
        <f t="shared" si="327"/>
        <v>2</v>
      </c>
      <c r="K5125" t="s">
        <v>6697</v>
      </c>
      <c r="L5125" t="s">
        <v>6694</v>
      </c>
      <c r="M5125" t="s">
        <v>6705</v>
      </c>
      <c r="R5125" t="s">
        <v>6694</v>
      </c>
      <c r="V5125" t="s">
        <v>6694</v>
      </c>
      <c r="W5125" t="s">
        <v>6720</v>
      </c>
    </row>
    <row r="5126" spans="1:23" ht="15.6" x14ac:dyDescent="0.4">
      <c r="A5126" s="2" t="s">
        <v>790</v>
      </c>
      <c r="B5126" s="5" t="s">
        <v>11243</v>
      </c>
      <c r="C5126" s="7" t="s">
        <v>12556</v>
      </c>
      <c r="D5126" s="8">
        <f t="shared" si="324"/>
        <v>0</v>
      </c>
      <c r="E5126" s="7" t="s">
        <v>12557</v>
      </c>
      <c r="F5126" s="7">
        <f t="shared" si="325"/>
        <v>0</v>
      </c>
      <c r="G5126" s="7" t="s">
        <v>12558</v>
      </c>
      <c r="H5126" s="7">
        <f t="shared" si="326"/>
        <v>0</v>
      </c>
      <c r="I5126" s="7" t="str" cm="1">
        <f t="array" ref="I5126">IFERROR(_xlfn.IFS(M5126="נח",1,M5126="נע ונח",1,M5126="שני שווא נח",2,M5126="שני שוואים בסוף מילה",2,M5126="שני שוואים ברצף",1),"0")</f>
        <v>0</v>
      </c>
      <c r="J5126" s="9">
        <f t="shared" si="327"/>
        <v>2</v>
      </c>
      <c r="K5126" t="s">
        <v>6698</v>
      </c>
      <c r="L5126" t="s">
        <v>6695</v>
      </c>
      <c r="R5126" t="s">
        <v>6694</v>
      </c>
      <c r="W5126" t="s">
        <v>6720</v>
      </c>
    </row>
    <row r="5127" spans="1:23" ht="15.6" x14ac:dyDescent="0.4">
      <c r="A5127" s="2" t="s">
        <v>6471</v>
      </c>
      <c r="B5127" s="5" t="s">
        <v>11244</v>
      </c>
      <c r="C5127" s="7" t="s">
        <v>12556</v>
      </c>
      <c r="D5127" s="8">
        <f t="shared" si="324"/>
        <v>0</v>
      </c>
      <c r="E5127" s="7" t="s">
        <v>12557</v>
      </c>
      <c r="F5127" s="7">
        <f t="shared" si="325"/>
        <v>0</v>
      </c>
      <c r="G5127" s="7" t="s">
        <v>12558</v>
      </c>
      <c r="H5127" s="7">
        <f t="shared" si="326"/>
        <v>0</v>
      </c>
      <c r="I5127" s="7" t="str" cm="1">
        <f t="array" ref="I5127">IFERROR(_xlfn.IFS(M5127="נח",1,M5127="נע ונח",1,M5127="שני שווא נח",2,M5127="שני שוואים בסוף מילה",2,M5127="שני שוואים ברצף",1),"0")</f>
        <v>0</v>
      </c>
      <c r="J5127" s="9">
        <f t="shared" si="327"/>
        <v>2</v>
      </c>
      <c r="K5127" t="s">
        <v>6698</v>
      </c>
      <c r="L5127" t="s">
        <v>6695</v>
      </c>
      <c r="R5127" t="s">
        <v>6694</v>
      </c>
      <c r="W5127" t="s">
        <v>6720</v>
      </c>
    </row>
    <row r="5128" spans="1:23" ht="15.6" x14ac:dyDescent="0.4">
      <c r="A5128" s="2" t="s">
        <v>2695</v>
      </c>
      <c r="B5128" s="5" t="s">
        <v>11245</v>
      </c>
      <c r="C5128" s="7" t="s">
        <v>12556</v>
      </c>
      <c r="D5128" s="8">
        <f t="shared" si="324"/>
        <v>0</v>
      </c>
      <c r="E5128" s="7" t="s">
        <v>12557</v>
      </c>
      <c r="F5128" s="7">
        <f t="shared" si="325"/>
        <v>1</v>
      </c>
      <c r="G5128" s="7" t="s">
        <v>12558</v>
      </c>
      <c r="H5128" s="7">
        <f t="shared" si="326"/>
        <v>0</v>
      </c>
      <c r="I5128" s="7" cm="1">
        <f t="array" ref="I5128">IFERROR(_xlfn.IFS(M5128="נח",1,M5128="נע ונח",1,M5128="שני שווא נח",2,M5128="שני שוואים בסוף מילה",2,M5128="שני שוואים ברצף",1),"0")</f>
        <v>2</v>
      </c>
      <c r="J5128" s="9">
        <f t="shared" si="327"/>
        <v>2</v>
      </c>
      <c r="K5128" t="s">
        <v>6698</v>
      </c>
      <c r="L5128" t="s">
        <v>6694</v>
      </c>
      <c r="M5128" t="s">
        <v>6704</v>
      </c>
      <c r="P5128" t="s">
        <v>6694</v>
      </c>
      <c r="R5128" t="s">
        <v>6694</v>
      </c>
      <c r="W5128" t="s">
        <v>6720</v>
      </c>
    </row>
    <row r="5129" spans="1:23" ht="15.6" x14ac:dyDescent="0.4">
      <c r="A5129" s="2" t="s">
        <v>5006</v>
      </c>
      <c r="B5129" s="5" t="s">
        <v>11246</v>
      </c>
      <c r="C5129" s="7" t="s">
        <v>12556</v>
      </c>
      <c r="D5129" s="8">
        <f t="shared" si="324"/>
        <v>0</v>
      </c>
      <c r="E5129" s="7" t="s">
        <v>12557</v>
      </c>
      <c r="F5129" s="7">
        <f t="shared" si="325"/>
        <v>1</v>
      </c>
      <c r="G5129" s="7" t="s">
        <v>12558</v>
      </c>
      <c r="H5129" s="7">
        <f t="shared" si="326"/>
        <v>0</v>
      </c>
      <c r="I5129" s="7" cm="1">
        <f t="array" ref="I5129">IFERROR(_xlfn.IFS(M5129="נח",1,M5129="נע ונח",1,M5129="שני שווא נח",2,M5129="שני שוואים בסוף מילה",2,M5129="שני שוואים ברצף",1),"0")</f>
        <v>1</v>
      </c>
      <c r="J5129" s="9">
        <f t="shared" si="327"/>
        <v>4</v>
      </c>
      <c r="K5129" t="s">
        <v>6697</v>
      </c>
      <c r="L5129" t="s">
        <v>6694</v>
      </c>
      <c r="M5129" t="s">
        <v>6705</v>
      </c>
      <c r="N5129" t="s">
        <v>6706</v>
      </c>
      <c r="O5129" t="s">
        <v>6694</v>
      </c>
      <c r="R5129" t="s">
        <v>6694</v>
      </c>
      <c r="S5129" t="s">
        <v>6694</v>
      </c>
      <c r="W5129" t="s">
        <v>6720</v>
      </c>
    </row>
    <row r="5130" spans="1:23" ht="15.6" x14ac:dyDescent="0.4">
      <c r="A5130" s="2" t="s">
        <v>4518</v>
      </c>
      <c r="B5130" s="5" t="s">
        <v>11247</v>
      </c>
      <c r="C5130" s="7" t="s">
        <v>12556</v>
      </c>
      <c r="D5130" s="8">
        <f t="shared" si="324"/>
        <v>0</v>
      </c>
      <c r="E5130" s="7" t="s">
        <v>12557</v>
      </c>
      <c r="F5130" s="7">
        <f t="shared" si="325"/>
        <v>1</v>
      </c>
      <c r="G5130" s="7" t="s">
        <v>12558</v>
      </c>
      <c r="H5130" s="7">
        <f t="shared" si="326"/>
        <v>0</v>
      </c>
      <c r="I5130" s="7" cm="1">
        <f t="array" ref="I5130">IFERROR(_xlfn.IFS(M5130="נח",1,M5130="נע ונח",1,M5130="שני שווא נח",2,M5130="שני שוואים בסוף מילה",2,M5130="שני שוואים ברצף",1),"0")</f>
        <v>1</v>
      </c>
      <c r="J5130" s="9">
        <f t="shared" si="327"/>
        <v>2</v>
      </c>
      <c r="K5130" t="s">
        <v>6697</v>
      </c>
      <c r="L5130" t="s">
        <v>6694</v>
      </c>
      <c r="M5130" t="s">
        <v>6705</v>
      </c>
      <c r="O5130" t="s">
        <v>6694</v>
      </c>
      <c r="R5130" t="s">
        <v>6694</v>
      </c>
      <c r="W5130" t="s">
        <v>6720</v>
      </c>
    </row>
    <row r="5131" spans="1:23" ht="15.6" x14ac:dyDescent="0.4">
      <c r="A5131" s="2" t="s">
        <v>3666</v>
      </c>
      <c r="B5131" s="5" t="s">
        <v>11248</v>
      </c>
      <c r="C5131" s="7" t="s">
        <v>12556</v>
      </c>
      <c r="D5131" s="8">
        <f t="shared" si="324"/>
        <v>1</v>
      </c>
      <c r="E5131" s="7" t="s">
        <v>12557</v>
      </c>
      <c r="F5131" s="7">
        <f t="shared" si="325"/>
        <v>1</v>
      </c>
      <c r="G5131" s="7" t="s">
        <v>12558</v>
      </c>
      <c r="H5131" s="7">
        <f t="shared" si="326"/>
        <v>1</v>
      </c>
      <c r="I5131" s="7" cm="1">
        <f t="array" ref="I5131">IFERROR(_xlfn.IFS(M5131="נח",1,M5131="נע ונח",1,M5131="שני שווא נח",2,M5131="שני שוואים בסוף מילה",2,M5131="שני שוואים ברצף",1),"0")</f>
        <v>2</v>
      </c>
      <c r="J5131" s="9">
        <f t="shared" si="327"/>
        <v>3</v>
      </c>
      <c r="K5131" t="s">
        <v>6697</v>
      </c>
      <c r="L5131" t="s">
        <v>6694</v>
      </c>
      <c r="M5131" t="s">
        <v>6704</v>
      </c>
      <c r="P5131" t="s">
        <v>6694</v>
      </c>
      <c r="R5131" t="s">
        <v>6694</v>
      </c>
      <c r="U5131" t="s">
        <v>6694</v>
      </c>
      <c r="W5131" t="s">
        <v>6720</v>
      </c>
    </row>
    <row r="5132" spans="1:23" ht="15.6" x14ac:dyDescent="0.4">
      <c r="A5132" s="2" t="s">
        <v>6356</v>
      </c>
      <c r="B5132" s="5" t="s">
        <v>11249</v>
      </c>
      <c r="C5132" s="7" t="s">
        <v>12556</v>
      </c>
      <c r="D5132" s="8">
        <f t="shared" si="324"/>
        <v>0</v>
      </c>
      <c r="E5132" s="7" t="s">
        <v>12557</v>
      </c>
      <c r="F5132" s="7">
        <f t="shared" si="325"/>
        <v>1</v>
      </c>
      <c r="G5132" s="7" t="s">
        <v>12558</v>
      </c>
      <c r="H5132" s="7">
        <f t="shared" si="326"/>
        <v>0</v>
      </c>
      <c r="I5132" s="7" cm="1">
        <f t="array" ref="I5132">IFERROR(_xlfn.IFS(M5132="נח",1,M5132="נע ונח",1,M5132="שני שווא נח",2,M5132="שני שוואים בסוף מילה",2,M5132="שני שוואים ברצף",1),"0")</f>
        <v>1</v>
      </c>
      <c r="J5132" s="9">
        <f t="shared" si="327"/>
        <v>2</v>
      </c>
      <c r="K5132" t="s">
        <v>6698</v>
      </c>
      <c r="L5132" t="s">
        <v>6694</v>
      </c>
      <c r="M5132" t="s">
        <v>6705</v>
      </c>
      <c r="N5132" t="s">
        <v>6706</v>
      </c>
      <c r="O5132" t="s">
        <v>6694</v>
      </c>
      <c r="R5132" t="s">
        <v>6694</v>
      </c>
      <c r="W5132" t="s">
        <v>6720</v>
      </c>
    </row>
    <row r="5133" spans="1:23" ht="15.6" x14ac:dyDescent="0.4">
      <c r="A5133" s="2" t="s">
        <v>2544</v>
      </c>
      <c r="B5133" s="5" t="s">
        <v>11250</v>
      </c>
      <c r="C5133" s="7" t="s">
        <v>12556</v>
      </c>
      <c r="D5133" s="8">
        <f t="shared" si="324"/>
        <v>0</v>
      </c>
      <c r="E5133" s="7" t="s">
        <v>12557</v>
      </c>
      <c r="F5133" s="7">
        <f t="shared" si="325"/>
        <v>0</v>
      </c>
      <c r="G5133" s="7" t="s">
        <v>12558</v>
      </c>
      <c r="H5133" s="7">
        <f t="shared" si="326"/>
        <v>0</v>
      </c>
      <c r="I5133" s="7" t="str" cm="1">
        <f t="array" ref="I5133">IFERROR(_xlfn.IFS(M5133="נח",1,M5133="נע ונח",1,M5133="שני שווא נח",2,M5133="שני שוואים בסוף מילה",2,M5133="שני שוואים ברצף",1),"0")</f>
        <v>0</v>
      </c>
      <c r="J5133" s="9">
        <f t="shared" si="327"/>
        <v>3</v>
      </c>
      <c r="K5133" t="s">
        <v>6698</v>
      </c>
      <c r="L5133" t="s">
        <v>6695</v>
      </c>
      <c r="N5133" t="s">
        <v>6706</v>
      </c>
      <c r="O5133" t="s">
        <v>6694</v>
      </c>
      <c r="R5133" t="s">
        <v>6694</v>
      </c>
      <c r="W5133" t="s">
        <v>6720</v>
      </c>
    </row>
    <row r="5134" spans="1:23" ht="15.6" x14ac:dyDescent="0.4">
      <c r="A5134" s="2" t="s">
        <v>144</v>
      </c>
      <c r="B5134" s="5" t="s">
        <v>11251</v>
      </c>
      <c r="C5134" s="7" t="s">
        <v>12556</v>
      </c>
      <c r="D5134" s="8">
        <f t="shared" si="324"/>
        <v>1</v>
      </c>
      <c r="E5134" s="7" t="s">
        <v>12557</v>
      </c>
      <c r="F5134" s="7">
        <f t="shared" si="325"/>
        <v>0</v>
      </c>
      <c r="G5134" s="7" t="s">
        <v>12558</v>
      </c>
      <c r="H5134" s="7">
        <f t="shared" si="326"/>
        <v>0</v>
      </c>
      <c r="I5134" s="7" t="str" cm="1">
        <f t="array" ref="I5134">IFERROR(_xlfn.IFS(M5134="נח",1,M5134="נע ונח",1,M5134="שני שווא נח",2,M5134="שני שוואים בסוף מילה",2,M5134="שני שוואים ברצף",1),"0")</f>
        <v>0</v>
      </c>
      <c r="J5134" s="9">
        <f t="shared" si="327"/>
        <v>2</v>
      </c>
      <c r="K5134" t="s">
        <v>6698</v>
      </c>
      <c r="L5134" t="s">
        <v>6695</v>
      </c>
      <c r="R5134" t="s">
        <v>6694</v>
      </c>
      <c r="W5134" t="s">
        <v>6720</v>
      </c>
    </row>
    <row r="5135" spans="1:23" ht="15.6" x14ac:dyDescent="0.4">
      <c r="A5135" s="2" t="s">
        <v>3205</v>
      </c>
      <c r="B5135" s="5" t="s">
        <v>11228</v>
      </c>
      <c r="C5135" s="7" t="s">
        <v>12556</v>
      </c>
      <c r="D5135" s="8">
        <f t="shared" si="324"/>
        <v>0</v>
      </c>
      <c r="E5135" s="7" t="s">
        <v>12557</v>
      </c>
      <c r="F5135" s="7">
        <f t="shared" si="325"/>
        <v>0</v>
      </c>
      <c r="G5135" s="7" t="s">
        <v>12558</v>
      </c>
      <c r="H5135" s="7">
        <f t="shared" si="326"/>
        <v>0</v>
      </c>
      <c r="I5135" s="7" t="str" cm="1">
        <f t="array" ref="I5135">IFERROR(_xlfn.IFS(M5135="נח",1,M5135="נע ונח",1,M5135="שני שווא נח",2,M5135="שני שוואים בסוף מילה",2,M5135="שני שוואים ברצף",1),"0")</f>
        <v>0</v>
      </c>
      <c r="J5135" s="9">
        <f t="shared" si="327"/>
        <v>2</v>
      </c>
      <c r="K5135" t="s">
        <v>6698</v>
      </c>
      <c r="L5135" t="s">
        <v>6695</v>
      </c>
      <c r="P5135" t="s">
        <v>6694</v>
      </c>
      <c r="R5135" t="s">
        <v>6694</v>
      </c>
      <c r="W5135" t="s">
        <v>6720</v>
      </c>
    </row>
    <row r="5136" spans="1:23" ht="15.6" x14ac:dyDescent="0.4">
      <c r="A5136" s="2" t="s">
        <v>2191</v>
      </c>
      <c r="B5136" s="5" t="s">
        <v>11252</v>
      </c>
      <c r="C5136" s="7" t="s">
        <v>12556</v>
      </c>
      <c r="D5136" s="8">
        <f t="shared" si="324"/>
        <v>0</v>
      </c>
      <c r="E5136" s="7" t="s">
        <v>12557</v>
      </c>
      <c r="F5136" s="7">
        <f t="shared" si="325"/>
        <v>0</v>
      </c>
      <c r="G5136" s="7" t="s">
        <v>12558</v>
      </c>
      <c r="H5136" s="7">
        <f t="shared" si="326"/>
        <v>0</v>
      </c>
      <c r="I5136" s="7" t="str" cm="1">
        <f t="array" ref="I5136">IFERROR(_xlfn.IFS(M5136="נח",1,M5136="נע ונח",1,M5136="שני שווא נח",2,M5136="שני שוואים בסוף מילה",2,M5136="שני שוואים ברצף",1),"0")</f>
        <v>0</v>
      </c>
      <c r="J5136" s="9">
        <f t="shared" si="327"/>
        <v>3</v>
      </c>
      <c r="K5136" t="s">
        <v>6697</v>
      </c>
      <c r="L5136" t="s">
        <v>6695</v>
      </c>
      <c r="O5136" t="s">
        <v>6694</v>
      </c>
      <c r="P5136" t="s">
        <v>6694</v>
      </c>
      <c r="W5136" t="s">
        <v>6720</v>
      </c>
    </row>
    <row r="5137" spans="1:23" ht="15.6" x14ac:dyDescent="0.4">
      <c r="A5137" s="2" t="s">
        <v>1818</v>
      </c>
      <c r="B5137" s="5" t="s">
        <v>11253</v>
      </c>
      <c r="C5137" s="7" t="s">
        <v>12556</v>
      </c>
      <c r="D5137" s="8">
        <f t="shared" si="324"/>
        <v>0</v>
      </c>
      <c r="E5137" s="7" t="s">
        <v>12557</v>
      </c>
      <c r="F5137" s="7">
        <f t="shared" si="325"/>
        <v>1</v>
      </c>
      <c r="G5137" s="7" t="s">
        <v>12558</v>
      </c>
      <c r="H5137" s="7">
        <f t="shared" si="326"/>
        <v>0</v>
      </c>
      <c r="I5137" s="7" cm="1">
        <f t="array" ref="I5137">IFERROR(_xlfn.IFS(M5137="נח",1,M5137="נע ונח",1,M5137="שני שווא נח",2,M5137="שני שוואים בסוף מילה",2,M5137="שני שוואים ברצף",1),"0")</f>
        <v>1</v>
      </c>
      <c r="J5137" s="9">
        <f t="shared" si="327"/>
        <v>2</v>
      </c>
      <c r="K5137" t="s">
        <v>6698</v>
      </c>
      <c r="L5137" t="s">
        <v>6694</v>
      </c>
      <c r="M5137" t="s">
        <v>6705</v>
      </c>
      <c r="P5137" t="s">
        <v>6694</v>
      </c>
      <c r="S5137" t="s">
        <v>6694</v>
      </c>
      <c r="W5137" t="s">
        <v>6720</v>
      </c>
    </row>
    <row r="5138" spans="1:23" ht="15.6" x14ac:dyDescent="0.4">
      <c r="A5138" s="2" t="s">
        <v>4225</v>
      </c>
      <c r="B5138" s="5" t="s">
        <v>11254</v>
      </c>
      <c r="C5138" s="7" t="s">
        <v>12556</v>
      </c>
      <c r="D5138" s="8">
        <f t="shared" si="324"/>
        <v>0</v>
      </c>
      <c r="E5138" s="7" t="s">
        <v>12557</v>
      </c>
      <c r="F5138" s="7">
        <f t="shared" si="325"/>
        <v>0</v>
      </c>
      <c r="G5138" s="7" t="s">
        <v>12558</v>
      </c>
      <c r="H5138" s="7">
        <f t="shared" si="326"/>
        <v>0</v>
      </c>
      <c r="I5138" s="7" t="str" cm="1">
        <f t="array" ref="I5138">IFERROR(_xlfn.IFS(M5138="נח",1,M5138="נע ונח",1,M5138="שני שווא נח",2,M5138="שני שוואים בסוף מילה",2,M5138="שני שוואים ברצף",1),"0")</f>
        <v>0</v>
      </c>
      <c r="J5138" s="9">
        <f t="shared" si="327"/>
        <v>4</v>
      </c>
      <c r="K5138" t="s">
        <v>6698</v>
      </c>
      <c r="L5138" t="s">
        <v>6695</v>
      </c>
      <c r="P5138" t="s">
        <v>6694</v>
      </c>
      <c r="S5138" t="s">
        <v>6694</v>
      </c>
      <c r="W5138" t="s">
        <v>6720</v>
      </c>
    </row>
    <row r="5139" spans="1:23" ht="15.6" x14ac:dyDescent="0.4">
      <c r="A5139" s="2" t="s">
        <v>5678</v>
      </c>
      <c r="B5139" s="5" t="s">
        <v>11122</v>
      </c>
      <c r="C5139" s="7" t="s">
        <v>12556</v>
      </c>
      <c r="D5139" s="8">
        <f t="shared" si="324"/>
        <v>0</v>
      </c>
      <c r="E5139" s="7" t="s">
        <v>12557</v>
      </c>
      <c r="F5139" s="7">
        <f t="shared" si="325"/>
        <v>0</v>
      </c>
      <c r="G5139" s="7" t="s">
        <v>12558</v>
      </c>
      <c r="H5139" s="7">
        <f t="shared" si="326"/>
        <v>0</v>
      </c>
      <c r="I5139" s="7" t="str" cm="1">
        <f t="array" ref="I5139">IFERROR(_xlfn.IFS(M5139="נח",1,M5139="נע ונח",1,M5139="שני שווא נח",2,M5139="שני שוואים בסוף מילה",2,M5139="שני שוואים ברצף",1),"0")</f>
        <v>0</v>
      </c>
      <c r="J5139" s="9">
        <f t="shared" si="327"/>
        <v>3</v>
      </c>
      <c r="K5139" t="s">
        <v>6698</v>
      </c>
      <c r="L5139" t="s">
        <v>6695</v>
      </c>
      <c r="P5139" t="s">
        <v>6694</v>
      </c>
      <c r="V5139" t="s">
        <v>6694</v>
      </c>
      <c r="W5139" t="s">
        <v>6720</v>
      </c>
    </row>
    <row r="5140" spans="1:23" ht="15.6" x14ac:dyDescent="0.4">
      <c r="A5140" s="2" t="s">
        <v>6337</v>
      </c>
      <c r="B5140" s="5" t="s">
        <v>11255</v>
      </c>
      <c r="C5140" s="7" t="s">
        <v>12556</v>
      </c>
      <c r="D5140" s="8">
        <f t="shared" si="324"/>
        <v>0</v>
      </c>
      <c r="E5140" s="7" t="s">
        <v>12557</v>
      </c>
      <c r="F5140" s="7">
        <f t="shared" si="325"/>
        <v>1</v>
      </c>
      <c r="G5140" s="7" t="s">
        <v>12558</v>
      </c>
      <c r="H5140" s="7">
        <f t="shared" si="326"/>
        <v>0</v>
      </c>
      <c r="I5140" s="7" cm="1">
        <f t="array" ref="I5140">IFERROR(_xlfn.IFS(M5140="נח",1,M5140="נע ונח",1,M5140="שני שווא נח",2,M5140="שני שוואים בסוף מילה",2,M5140="שני שוואים ברצף",1),"0")</f>
        <v>1</v>
      </c>
      <c r="J5140" s="9">
        <f t="shared" si="327"/>
        <v>2</v>
      </c>
      <c r="K5140" t="s">
        <v>6698</v>
      </c>
      <c r="L5140" t="s">
        <v>6694</v>
      </c>
      <c r="M5140" t="s">
        <v>6705</v>
      </c>
      <c r="P5140" t="s">
        <v>6694</v>
      </c>
      <c r="S5140" t="s">
        <v>6694</v>
      </c>
      <c r="W5140" t="s">
        <v>6720</v>
      </c>
    </row>
    <row r="5141" spans="1:23" ht="15.6" x14ac:dyDescent="0.4">
      <c r="A5141" s="2" t="s">
        <v>1164</v>
      </c>
      <c r="B5141" s="5" t="s">
        <v>11256</v>
      </c>
      <c r="C5141" s="7" t="s">
        <v>12556</v>
      </c>
      <c r="D5141" s="8">
        <f t="shared" si="324"/>
        <v>0</v>
      </c>
      <c r="E5141" s="7" t="s">
        <v>12557</v>
      </c>
      <c r="F5141" s="7">
        <f t="shared" si="325"/>
        <v>0</v>
      </c>
      <c r="G5141" s="7" t="s">
        <v>12558</v>
      </c>
      <c r="H5141" s="7">
        <f t="shared" si="326"/>
        <v>0</v>
      </c>
      <c r="I5141" s="7" t="str" cm="1">
        <f t="array" ref="I5141">IFERROR(_xlfn.IFS(M5141="נח",1,M5141="נע ונח",1,M5141="שני שווא נח",2,M5141="שני שוואים בסוף מילה",2,M5141="שני שוואים ברצף",1),"0")</f>
        <v>0</v>
      </c>
      <c r="J5141" s="9">
        <f t="shared" si="327"/>
        <v>3</v>
      </c>
      <c r="K5141" t="s">
        <v>6698</v>
      </c>
      <c r="L5141" t="s">
        <v>6695</v>
      </c>
      <c r="P5141" t="s">
        <v>6694</v>
      </c>
      <c r="W5141" t="s">
        <v>6720</v>
      </c>
    </row>
    <row r="5142" spans="1:23" ht="15.6" x14ac:dyDescent="0.4">
      <c r="A5142" s="2" t="s">
        <v>6146</v>
      </c>
      <c r="B5142" s="5" t="s">
        <v>11257</v>
      </c>
      <c r="C5142" s="7" t="s">
        <v>12556</v>
      </c>
      <c r="D5142" s="8">
        <f t="shared" si="324"/>
        <v>0</v>
      </c>
      <c r="E5142" s="7" t="s">
        <v>12557</v>
      </c>
      <c r="F5142" s="7">
        <f t="shared" si="325"/>
        <v>0</v>
      </c>
      <c r="G5142" s="7" t="s">
        <v>12558</v>
      </c>
      <c r="H5142" s="7">
        <f t="shared" si="326"/>
        <v>0</v>
      </c>
      <c r="I5142" s="7" cm="1">
        <f t="array" ref="I5142">IFERROR(_xlfn.IFS(M5142="נח",1,M5142="נע ונח",1,M5142="שני שווא נח",2,M5142="שני שוואים בסוף מילה",2,M5142="שני שוואים ברצף",1),"0")</f>
        <v>1</v>
      </c>
      <c r="J5142" s="9">
        <f t="shared" si="327"/>
        <v>4</v>
      </c>
      <c r="K5142" t="s">
        <v>6698</v>
      </c>
      <c r="L5142" t="s">
        <v>6694</v>
      </c>
      <c r="M5142" t="s">
        <v>6705</v>
      </c>
      <c r="P5142" t="s">
        <v>6694</v>
      </c>
      <c r="R5142" t="s">
        <v>6694</v>
      </c>
      <c r="W5142" t="s">
        <v>6720</v>
      </c>
    </row>
    <row r="5143" spans="1:23" ht="15.6" x14ac:dyDescent="0.4">
      <c r="A5143" s="2" t="s">
        <v>1275</v>
      </c>
      <c r="B5143" s="5" t="s">
        <v>11258</v>
      </c>
      <c r="C5143" s="7" t="s">
        <v>12556</v>
      </c>
      <c r="D5143" s="8">
        <f t="shared" si="324"/>
        <v>0</v>
      </c>
      <c r="E5143" s="7" t="s">
        <v>12557</v>
      </c>
      <c r="F5143" s="7">
        <f t="shared" si="325"/>
        <v>0</v>
      </c>
      <c r="G5143" s="7" t="s">
        <v>12558</v>
      </c>
      <c r="H5143" s="7">
        <f t="shared" si="326"/>
        <v>0</v>
      </c>
      <c r="I5143" s="7" t="str" cm="1">
        <f t="array" ref="I5143">IFERROR(_xlfn.IFS(M5143="נח",1,M5143="נע ונח",1,M5143="שני שווא נח",2,M5143="שני שוואים בסוף מילה",2,M5143="שני שוואים ברצף",1),"0")</f>
        <v>0</v>
      </c>
      <c r="J5143" s="9">
        <f t="shared" si="327"/>
        <v>3</v>
      </c>
      <c r="K5143" t="s">
        <v>6697</v>
      </c>
      <c r="L5143" t="s">
        <v>6695</v>
      </c>
      <c r="O5143" t="s">
        <v>6694</v>
      </c>
      <c r="P5143" t="s">
        <v>6694</v>
      </c>
      <c r="W5143" t="s">
        <v>6720</v>
      </c>
    </row>
    <row r="5144" spans="1:23" ht="15.6" x14ac:dyDescent="0.4">
      <c r="A5144" s="2" t="s">
        <v>3047</v>
      </c>
      <c r="B5144" s="5" t="s">
        <v>11256</v>
      </c>
      <c r="C5144" s="7" t="s">
        <v>12556</v>
      </c>
      <c r="D5144" s="8">
        <f t="shared" si="324"/>
        <v>0</v>
      </c>
      <c r="E5144" s="7" t="s">
        <v>12557</v>
      </c>
      <c r="F5144" s="7">
        <f t="shared" si="325"/>
        <v>0</v>
      </c>
      <c r="G5144" s="7" t="s">
        <v>12558</v>
      </c>
      <c r="H5144" s="7">
        <f t="shared" si="326"/>
        <v>0</v>
      </c>
      <c r="I5144" s="7" t="str" cm="1">
        <f t="array" ref="I5144">IFERROR(_xlfn.IFS(M5144="נח",1,M5144="נע ונח",1,M5144="שני שווא נח",2,M5144="שני שוואים בסוף מילה",2,M5144="שני שוואים ברצף",1),"0")</f>
        <v>0</v>
      </c>
      <c r="J5144" s="9">
        <f t="shared" si="327"/>
        <v>3</v>
      </c>
      <c r="K5144" t="s">
        <v>6698</v>
      </c>
      <c r="L5144" t="s">
        <v>6695</v>
      </c>
      <c r="N5144" t="s">
        <v>6706</v>
      </c>
      <c r="O5144" t="s">
        <v>6694</v>
      </c>
      <c r="P5144" t="s">
        <v>6694</v>
      </c>
      <c r="W5144" t="s">
        <v>6720</v>
      </c>
    </row>
    <row r="5145" spans="1:23" ht="15.6" x14ac:dyDescent="0.4">
      <c r="A5145" s="2" t="s">
        <v>4503</v>
      </c>
      <c r="B5145" s="5" t="s">
        <v>11259</v>
      </c>
      <c r="C5145" s="7" t="s">
        <v>12556</v>
      </c>
      <c r="D5145" s="8">
        <f t="shared" si="324"/>
        <v>0</v>
      </c>
      <c r="E5145" s="7" t="s">
        <v>12557</v>
      </c>
      <c r="F5145" s="7">
        <f t="shared" si="325"/>
        <v>0</v>
      </c>
      <c r="G5145" s="7" t="s">
        <v>12558</v>
      </c>
      <c r="H5145" s="7">
        <f t="shared" si="326"/>
        <v>0</v>
      </c>
      <c r="I5145" s="7" cm="1">
        <f t="array" ref="I5145">IFERROR(_xlfn.IFS(M5145="נח",1,M5145="נע ונח",1,M5145="שני שווא נח",2,M5145="שני שוואים בסוף מילה",2,M5145="שני שוואים ברצף",1),"0")</f>
        <v>1</v>
      </c>
      <c r="J5145" s="9">
        <f t="shared" si="327"/>
        <v>4</v>
      </c>
      <c r="K5145" t="s">
        <v>6697</v>
      </c>
      <c r="L5145" t="s">
        <v>6694</v>
      </c>
      <c r="M5145" t="s">
        <v>6705</v>
      </c>
      <c r="N5145" t="s">
        <v>6706</v>
      </c>
      <c r="O5145" t="s">
        <v>6694</v>
      </c>
      <c r="P5145" t="s">
        <v>6694</v>
      </c>
      <c r="W5145" t="s">
        <v>6720</v>
      </c>
    </row>
    <row r="5146" spans="1:23" ht="15.6" x14ac:dyDescent="0.4">
      <c r="A5146" s="2" t="s">
        <v>3804</v>
      </c>
      <c r="B5146" s="5" t="s">
        <v>11260</v>
      </c>
      <c r="C5146" s="7" t="s">
        <v>12556</v>
      </c>
      <c r="D5146" s="8">
        <f t="shared" si="324"/>
        <v>0</v>
      </c>
      <c r="E5146" s="7" t="s">
        <v>12557</v>
      </c>
      <c r="F5146" s="7">
        <f t="shared" si="325"/>
        <v>1</v>
      </c>
      <c r="G5146" s="7" t="s">
        <v>12558</v>
      </c>
      <c r="H5146" s="7">
        <f t="shared" si="326"/>
        <v>1</v>
      </c>
      <c r="I5146" s="7" t="str" cm="1">
        <f t="array" ref="I5146">IFERROR(_xlfn.IFS(M5146="נח",1,M5146="נע ונח",1,M5146="שני שווא נח",2,M5146="שני שוואים בסוף מילה",2,M5146="שני שוואים ברצף",1),"0")</f>
        <v>0</v>
      </c>
      <c r="J5146" s="9">
        <f t="shared" si="327"/>
        <v>5</v>
      </c>
      <c r="K5146" t="s">
        <v>6697</v>
      </c>
      <c r="L5146" t="s">
        <v>6695</v>
      </c>
      <c r="O5146" t="s">
        <v>6694</v>
      </c>
      <c r="P5146" t="s">
        <v>6694</v>
      </c>
      <c r="Q5146" t="s">
        <v>6694</v>
      </c>
      <c r="U5146" t="s">
        <v>6694</v>
      </c>
      <c r="W5146" t="s">
        <v>6720</v>
      </c>
    </row>
    <row r="5147" spans="1:23" ht="15.6" x14ac:dyDescent="0.4">
      <c r="A5147" s="2" t="s">
        <v>778</v>
      </c>
      <c r="B5147" s="5" t="s">
        <v>11259</v>
      </c>
      <c r="C5147" s="7" t="s">
        <v>12556</v>
      </c>
      <c r="D5147" s="8">
        <f t="shared" si="324"/>
        <v>0</v>
      </c>
      <c r="E5147" s="7" t="s">
        <v>12557</v>
      </c>
      <c r="F5147" s="7">
        <f t="shared" si="325"/>
        <v>0</v>
      </c>
      <c r="G5147" s="7" t="s">
        <v>12558</v>
      </c>
      <c r="H5147" s="7">
        <f t="shared" si="326"/>
        <v>0</v>
      </c>
      <c r="I5147" s="7" t="str" cm="1">
        <f t="array" ref="I5147">IFERROR(_xlfn.IFS(M5147="נח",1,M5147="נע ונח",1,M5147="שני שווא נח",2,M5147="שני שוואים בסוף מילה",2,M5147="שני שוואים ברצף",1),"0")</f>
        <v>0</v>
      </c>
      <c r="J5147" s="9">
        <f t="shared" si="327"/>
        <v>5</v>
      </c>
      <c r="K5147" t="s">
        <v>6697</v>
      </c>
      <c r="L5147" t="s">
        <v>6695</v>
      </c>
      <c r="O5147" t="s">
        <v>6694</v>
      </c>
      <c r="P5147" t="s">
        <v>6694</v>
      </c>
      <c r="R5147" t="s">
        <v>6694</v>
      </c>
      <c r="W5147" t="s">
        <v>6720</v>
      </c>
    </row>
    <row r="5148" spans="1:23" ht="15.6" x14ac:dyDescent="0.4">
      <c r="A5148" s="2" t="s">
        <v>4396</v>
      </c>
      <c r="B5148" s="5" t="s">
        <v>11261</v>
      </c>
      <c r="C5148" s="7" t="s">
        <v>12556</v>
      </c>
      <c r="D5148" s="8">
        <f t="shared" si="324"/>
        <v>0</v>
      </c>
      <c r="E5148" s="7" t="s">
        <v>12557</v>
      </c>
      <c r="F5148" s="7">
        <f t="shared" si="325"/>
        <v>0</v>
      </c>
      <c r="G5148" s="7" t="s">
        <v>12558</v>
      </c>
      <c r="H5148" s="7">
        <f t="shared" si="326"/>
        <v>0</v>
      </c>
      <c r="I5148" s="7" t="str" cm="1">
        <f t="array" ref="I5148">IFERROR(_xlfn.IFS(M5148="נח",1,M5148="נע ונח",1,M5148="שני שווא נח",2,M5148="שני שוואים בסוף מילה",2,M5148="שני שוואים ברצף",1),"0")</f>
        <v>0</v>
      </c>
      <c r="J5148" s="9">
        <f t="shared" si="327"/>
        <v>2</v>
      </c>
      <c r="K5148" t="s">
        <v>6698</v>
      </c>
      <c r="L5148" t="s">
        <v>6695</v>
      </c>
      <c r="P5148" t="s">
        <v>6694</v>
      </c>
      <c r="Q5148" t="s">
        <v>6694</v>
      </c>
      <c r="W5148" t="s">
        <v>6720</v>
      </c>
    </row>
    <row r="5149" spans="1:23" ht="15.6" x14ac:dyDescent="0.4">
      <c r="A5149" s="2" t="s">
        <v>4029</v>
      </c>
      <c r="B5149" s="5" t="s">
        <v>11262</v>
      </c>
      <c r="C5149" s="7" t="s">
        <v>12556</v>
      </c>
      <c r="D5149" s="8">
        <f t="shared" si="324"/>
        <v>0</v>
      </c>
      <c r="E5149" s="7" t="s">
        <v>12557</v>
      </c>
      <c r="F5149" s="7">
        <f t="shared" si="325"/>
        <v>1</v>
      </c>
      <c r="G5149" s="7" t="s">
        <v>12558</v>
      </c>
      <c r="H5149" s="7">
        <f t="shared" si="326"/>
        <v>0</v>
      </c>
      <c r="I5149" s="7" cm="1">
        <f t="array" ref="I5149">IFERROR(_xlfn.IFS(M5149="נח",1,M5149="נע ונח",1,M5149="שני שווא נח",2,M5149="שני שוואים בסוף מילה",2,M5149="שני שוואים ברצף",1),"0")</f>
        <v>1</v>
      </c>
      <c r="J5149" s="9">
        <f t="shared" si="327"/>
        <v>2</v>
      </c>
      <c r="K5149" t="s">
        <v>6698</v>
      </c>
      <c r="L5149" t="s">
        <v>6694</v>
      </c>
      <c r="M5149" t="s">
        <v>6705</v>
      </c>
      <c r="P5149" t="s">
        <v>6694</v>
      </c>
      <c r="S5149" t="s">
        <v>6694</v>
      </c>
      <c r="W5149" t="s">
        <v>6720</v>
      </c>
    </row>
    <row r="5150" spans="1:23" ht="15.6" x14ac:dyDescent="0.4">
      <c r="A5150" s="2" t="s">
        <v>5280</v>
      </c>
      <c r="B5150" s="5" t="s">
        <v>11263</v>
      </c>
      <c r="C5150" s="7" t="s">
        <v>12556</v>
      </c>
      <c r="D5150" s="8">
        <f t="shared" si="324"/>
        <v>0</v>
      </c>
      <c r="E5150" s="7" t="s">
        <v>12557</v>
      </c>
      <c r="F5150" s="7">
        <f t="shared" si="325"/>
        <v>0</v>
      </c>
      <c r="G5150" s="7" t="s">
        <v>12558</v>
      </c>
      <c r="H5150" s="7">
        <f t="shared" si="326"/>
        <v>0</v>
      </c>
      <c r="I5150" s="7" t="str" cm="1">
        <f t="array" ref="I5150">IFERROR(_xlfn.IFS(M5150="נח",1,M5150="נע ונח",1,M5150="שני שווא נח",2,M5150="שני שוואים בסוף מילה",2,M5150="שני שוואים ברצף",1),"0")</f>
        <v>0</v>
      </c>
      <c r="J5150" s="9">
        <f t="shared" si="327"/>
        <v>4</v>
      </c>
      <c r="K5150" t="s">
        <v>6697</v>
      </c>
      <c r="L5150" t="s">
        <v>6695</v>
      </c>
      <c r="P5150" t="s">
        <v>6694</v>
      </c>
      <c r="Q5150" t="s">
        <v>6694</v>
      </c>
      <c r="S5150" t="s">
        <v>6694</v>
      </c>
      <c r="W5150" t="s">
        <v>6720</v>
      </c>
    </row>
    <row r="5151" spans="1:23" ht="15.6" x14ac:dyDescent="0.4">
      <c r="A5151" s="2" t="s">
        <v>4262</v>
      </c>
      <c r="B5151" s="5" t="s">
        <v>11264</v>
      </c>
      <c r="C5151" s="7" t="s">
        <v>12556</v>
      </c>
      <c r="D5151" s="8">
        <f t="shared" si="324"/>
        <v>0</v>
      </c>
      <c r="E5151" s="7" t="s">
        <v>12557</v>
      </c>
      <c r="F5151" s="7">
        <f t="shared" si="325"/>
        <v>0</v>
      </c>
      <c r="G5151" s="7" t="s">
        <v>12558</v>
      </c>
      <c r="H5151" s="7">
        <f t="shared" si="326"/>
        <v>0</v>
      </c>
      <c r="I5151" s="7" t="str" cm="1">
        <f t="array" ref="I5151">IFERROR(_xlfn.IFS(M5151="נח",1,M5151="נע ונח",1,M5151="שני שווא נח",2,M5151="שני שוואים בסוף מילה",2,M5151="שני שוואים ברצף",1),"0")</f>
        <v>0</v>
      </c>
      <c r="J5151" s="9">
        <f t="shared" si="327"/>
        <v>3</v>
      </c>
      <c r="K5151" t="s">
        <v>6697</v>
      </c>
      <c r="L5151" t="s">
        <v>6695</v>
      </c>
      <c r="P5151" t="s">
        <v>6694</v>
      </c>
      <c r="S5151" t="s">
        <v>6694</v>
      </c>
      <c r="W5151" t="s">
        <v>6720</v>
      </c>
    </row>
    <row r="5152" spans="1:23" ht="15.6" x14ac:dyDescent="0.4">
      <c r="A5152" s="2" t="s">
        <v>2219</v>
      </c>
      <c r="B5152" s="5" t="s">
        <v>11265</v>
      </c>
      <c r="C5152" s="7" t="s">
        <v>12556</v>
      </c>
      <c r="D5152" s="8">
        <f t="shared" si="324"/>
        <v>0</v>
      </c>
      <c r="E5152" s="7" t="s">
        <v>12557</v>
      </c>
      <c r="F5152" s="7">
        <f t="shared" si="325"/>
        <v>0</v>
      </c>
      <c r="G5152" s="7" t="s">
        <v>12558</v>
      </c>
      <c r="H5152" s="7">
        <f t="shared" si="326"/>
        <v>0</v>
      </c>
      <c r="I5152" s="7" t="str" cm="1">
        <f t="array" ref="I5152">IFERROR(_xlfn.IFS(M5152="נח",1,M5152="נע ונח",1,M5152="שני שווא נח",2,M5152="שני שוואים בסוף מילה",2,M5152="שני שוואים ברצף",1),"0")</f>
        <v>0</v>
      </c>
      <c r="J5152" s="9">
        <f t="shared" si="327"/>
        <v>4</v>
      </c>
      <c r="K5152" t="s">
        <v>6698</v>
      </c>
      <c r="L5152" t="s">
        <v>6695</v>
      </c>
      <c r="O5152" t="s">
        <v>6694</v>
      </c>
      <c r="P5152" t="s">
        <v>6694</v>
      </c>
      <c r="Q5152" t="s">
        <v>6694</v>
      </c>
      <c r="W5152" t="s">
        <v>6720</v>
      </c>
    </row>
    <row r="5153" spans="1:23" ht="15.6" x14ac:dyDescent="0.4">
      <c r="A5153" s="2" t="s">
        <v>6398</v>
      </c>
      <c r="B5153" s="5" t="s">
        <v>11266</v>
      </c>
      <c r="C5153" s="7" t="s">
        <v>12556</v>
      </c>
      <c r="D5153" s="8">
        <f t="shared" si="324"/>
        <v>0</v>
      </c>
      <c r="E5153" s="7" t="s">
        <v>12557</v>
      </c>
      <c r="F5153" s="7">
        <f t="shared" si="325"/>
        <v>0</v>
      </c>
      <c r="G5153" s="7" t="s">
        <v>12558</v>
      </c>
      <c r="H5153" s="7">
        <f t="shared" si="326"/>
        <v>0</v>
      </c>
      <c r="I5153" s="7" t="str" cm="1">
        <f t="array" ref="I5153">IFERROR(_xlfn.IFS(M5153="נח",1,M5153="נע ונח",1,M5153="שני שווא נח",2,M5153="שני שוואים בסוף מילה",2,M5153="שני שוואים ברצף",1),"0")</f>
        <v>0</v>
      </c>
      <c r="J5153" s="9">
        <f t="shared" si="327"/>
        <v>3</v>
      </c>
      <c r="K5153" t="s">
        <v>6697</v>
      </c>
      <c r="L5153" t="s">
        <v>6695</v>
      </c>
      <c r="O5153" t="s">
        <v>6694</v>
      </c>
      <c r="P5153" t="s">
        <v>6694</v>
      </c>
      <c r="W5153" t="s">
        <v>6720</v>
      </c>
    </row>
    <row r="5154" spans="1:23" ht="15.6" x14ac:dyDescent="0.4">
      <c r="A5154" s="2" t="s">
        <v>2603</v>
      </c>
      <c r="B5154" s="5" t="s">
        <v>11267</v>
      </c>
      <c r="C5154" s="7" t="s">
        <v>12556</v>
      </c>
      <c r="D5154" s="8">
        <f t="shared" si="324"/>
        <v>0</v>
      </c>
      <c r="E5154" s="7" t="s">
        <v>12557</v>
      </c>
      <c r="F5154" s="7">
        <f t="shared" si="325"/>
        <v>0</v>
      </c>
      <c r="G5154" s="7" t="s">
        <v>12558</v>
      </c>
      <c r="H5154" s="7">
        <f t="shared" si="326"/>
        <v>0</v>
      </c>
      <c r="I5154" s="7" t="str" cm="1">
        <f t="array" ref="I5154">IFERROR(_xlfn.IFS(M5154="נח",1,M5154="נע ונח",1,M5154="שני שווא נח",2,M5154="שני שוואים בסוף מילה",2,M5154="שני שוואים ברצף",1),"0")</f>
        <v>0</v>
      </c>
      <c r="J5154" s="9">
        <f t="shared" si="327"/>
        <v>4</v>
      </c>
      <c r="K5154" t="s">
        <v>6698</v>
      </c>
      <c r="L5154" t="s">
        <v>6695</v>
      </c>
      <c r="O5154" t="s">
        <v>6694</v>
      </c>
      <c r="P5154" t="s">
        <v>6694</v>
      </c>
      <c r="S5154" t="s">
        <v>6694</v>
      </c>
      <c r="W5154" t="s">
        <v>6720</v>
      </c>
    </row>
    <row r="5155" spans="1:23" ht="15.6" x14ac:dyDescent="0.4">
      <c r="A5155" s="2" t="s">
        <v>5798</v>
      </c>
      <c r="B5155" s="5" t="s">
        <v>11268</v>
      </c>
      <c r="C5155" s="7" t="s">
        <v>12556</v>
      </c>
      <c r="D5155" s="8">
        <f t="shared" si="324"/>
        <v>0</v>
      </c>
      <c r="E5155" s="7" t="s">
        <v>12557</v>
      </c>
      <c r="F5155" s="7">
        <f t="shared" si="325"/>
        <v>0</v>
      </c>
      <c r="G5155" s="7" t="s">
        <v>12558</v>
      </c>
      <c r="H5155" s="7">
        <f t="shared" si="326"/>
        <v>0</v>
      </c>
      <c r="I5155" s="7" t="str" cm="1">
        <f t="array" ref="I5155">IFERROR(_xlfn.IFS(M5155="נח",1,M5155="נע ונח",1,M5155="שני שווא נח",2,M5155="שני שוואים בסוף מילה",2,M5155="שני שוואים ברצף",1),"0")</f>
        <v>0</v>
      </c>
      <c r="J5155" s="9">
        <f t="shared" si="327"/>
        <v>3</v>
      </c>
      <c r="K5155" t="s">
        <v>6698</v>
      </c>
      <c r="L5155" t="s">
        <v>6695</v>
      </c>
      <c r="N5155" t="s">
        <v>6706</v>
      </c>
      <c r="O5155" t="s">
        <v>6694</v>
      </c>
      <c r="P5155" t="s">
        <v>6694</v>
      </c>
      <c r="W5155" t="s">
        <v>6720</v>
      </c>
    </row>
    <row r="5156" spans="1:23" ht="15.6" x14ac:dyDescent="0.4">
      <c r="A5156" s="2" t="s">
        <v>4272</v>
      </c>
      <c r="B5156" s="5" t="s">
        <v>11269</v>
      </c>
      <c r="C5156" s="7" t="s">
        <v>12556</v>
      </c>
      <c r="D5156" s="8">
        <f t="shared" si="324"/>
        <v>1</v>
      </c>
      <c r="E5156" s="7" t="s">
        <v>12557</v>
      </c>
      <c r="F5156" s="7">
        <f t="shared" si="325"/>
        <v>0</v>
      </c>
      <c r="G5156" s="7" t="s">
        <v>12558</v>
      </c>
      <c r="H5156" s="7">
        <f t="shared" si="326"/>
        <v>0</v>
      </c>
      <c r="I5156" s="7" t="str" cm="1">
        <f t="array" ref="I5156">IFERROR(_xlfn.IFS(M5156="נח",1,M5156="נע ונח",1,M5156="שני שווא נח",2,M5156="שני שוואים בסוף מילה",2,M5156="שני שוואים ברצף",1),"0")</f>
        <v>0</v>
      </c>
      <c r="J5156" s="9">
        <f t="shared" si="327"/>
        <v>3</v>
      </c>
      <c r="K5156" t="s">
        <v>6697</v>
      </c>
      <c r="L5156" t="s">
        <v>6695</v>
      </c>
      <c r="P5156" t="s">
        <v>6694</v>
      </c>
      <c r="R5156" t="s">
        <v>6694</v>
      </c>
      <c r="W5156" t="s">
        <v>6720</v>
      </c>
    </row>
    <row r="5157" spans="1:23" ht="15.6" x14ac:dyDescent="0.4">
      <c r="A5157" s="2" t="s">
        <v>405</v>
      </c>
      <c r="B5157" s="5" t="s">
        <v>11270</v>
      </c>
      <c r="C5157" s="7" t="s">
        <v>12556</v>
      </c>
      <c r="D5157" s="8">
        <f t="shared" si="324"/>
        <v>1</v>
      </c>
      <c r="E5157" s="7" t="s">
        <v>12557</v>
      </c>
      <c r="F5157" s="7">
        <f t="shared" si="325"/>
        <v>1</v>
      </c>
      <c r="G5157" s="7" t="s">
        <v>12558</v>
      </c>
      <c r="H5157" s="7">
        <f t="shared" si="326"/>
        <v>1</v>
      </c>
      <c r="I5157" s="7" t="str" cm="1">
        <f t="array" ref="I5157">IFERROR(_xlfn.IFS(M5157="נח",1,M5157="נע ונח",1,M5157="שני שווא נח",2,M5157="שני שוואים בסוף מילה",2,M5157="שני שוואים ברצף",1),"0")</f>
        <v>0</v>
      </c>
      <c r="J5157" s="9">
        <f t="shared" si="327"/>
        <v>3</v>
      </c>
      <c r="K5157" t="s">
        <v>6697</v>
      </c>
      <c r="L5157" t="s">
        <v>6695</v>
      </c>
      <c r="P5157" t="s">
        <v>6694</v>
      </c>
      <c r="U5157" t="s">
        <v>6694</v>
      </c>
      <c r="W5157" t="s">
        <v>6720</v>
      </c>
    </row>
    <row r="5158" spans="1:23" ht="15.6" x14ac:dyDescent="0.4">
      <c r="A5158" s="2" t="s">
        <v>2541</v>
      </c>
      <c r="B5158" s="5" t="s">
        <v>11271</v>
      </c>
      <c r="C5158" s="7" t="s">
        <v>12556</v>
      </c>
      <c r="D5158" s="8">
        <f t="shared" si="324"/>
        <v>0</v>
      </c>
      <c r="E5158" s="7" t="s">
        <v>12557</v>
      </c>
      <c r="F5158" s="7">
        <f t="shared" si="325"/>
        <v>0</v>
      </c>
      <c r="G5158" s="7" t="s">
        <v>12558</v>
      </c>
      <c r="H5158" s="7">
        <f t="shared" si="326"/>
        <v>0</v>
      </c>
      <c r="I5158" s="7" t="str" cm="1">
        <f t="array" ref="I5158">IFERROR(_xlfn.IFS(M5158="נח",1,M5158="נע ונח",1,M5158="שני שווא נח",2,M5158="שני שוואים בסוף מילה",2,M5158="שני שוואים ברצף",1),"0")</f>
        <v>0</v>
      </c>
      <c r="J5158" s="9">
        <f t="shared" si="327"/>
        <v>2</v>
      </c>
      <c r="K5158" t="s">
        <v>6698</v>
      </c>
      <c r="L5158" t="s">
        <v>6695</v>
      </c>
      <c r="P5158" t="s">
        <v>6694</v>
      </c>
      <c r="W5158" t="s">
        <v>6720</v>
      </c>
    </row>
    <row r="5159" spans="1:23" ht="15.6" x14ac:dyDescent="0.4">
      <c r="A5159" s="2" t="s">
        <v>267</v>
      </c>
      <c r="B5159" s="5" t="s">
        <v>11272</v>
      </c>
      <c r="C5159" s="7" t="s">
        <v>12556</v>
      </c>
      <c r="D5159" s="8">
        <f t="shared" si="324"/>
        <v>1</v>
      </c>
      <c r="E5159" s="7" t="s">
        <v>12557</v>
      </c>
      <c r="F5159" s="7">
        <f t="shared" si="325"/>
        <v>0</v>
      </c>
      <c r="G5159" s="7" t="s">
        <v>12558</v>
      </c>
      <c r="H5159" s="7">
        <f t="shared" si="326"/>
        <v>0</v>
      </c>
      <c r="I5159" s="7" cm="1">
        <f t="array" ref="I5159">IFERROR(_xlfn.IFS(M5159="נח",1,M5159="נע ונח",1,M5159="שני שווא נח",2,M5159="שני שוואים בסוף מילה",2,M5159="שני שוואים ברצף",1),"0")</f>
        <v>1</v>
      </c>
      <c r="J5159" s="9">
        <f t="shared" si="327"/>
        <v>2</v>
      </c>
      <c r="K5159" t="s">
        <v>6697</v>
      </c>
      <c r="L5159" t="s">
        <v>6694</v>
      </c>
      <c r="M5159" t="s">
        <v>6705</v>
      </c>
      <c r="P5159" t="s">
        <v>6694</v>
      </c>
      <c r="S5159" t="s">
        <v>6694</v>
      </c>
      <c r="W5159" t="s">
        <v>6720</v>
      </c>
    </row>
    <row r="5160" spans="1:23" ht="15.6" x14ac:dyDescent="0.4">
      <c r="A5160" s="2" t="s">
        <v>2106</v>
      </c>
      <c r="B5160" s="5" t="s">
        <v>11273</v>
      </c>
      <c r="C5160" s="7" t="s">
        <v>12556</v>
      </c>
      <c r="D5160" s="8">
        <f t="shared" si="324"/>
        <v>1</v>
      </c>
      <c r="E5160" s="7" t="s">
        <v>12557</v>
      </c>
      <c r="F5160" s="7">
        <f t="shared" si="325"/>
        <v>1</v>
      </c>
      <c r="G5160" s="7" t="s">
        <v>12558</v>
      </c>
      <c r="H5160" s="7">
        <f t="shared" si="326"/>
        <v>1</v>
      </c>
      <c r="I5160" s="7" cm="1">
        <f t="array" ref="I5160">IFERROR(_xlfn.IFS(M5160="נח",1,M5160="נע ונח",1,M5160="שני שווא נח",2,M5160="שני שוואים בסוף מילה",2,M5160="שני שוואים ברצף",1),"0")</f>
        <v>1</v>
      </c>
      <c r="J5160" s="9">
        <f t="shared" si="327"/>
        <v>3</v>
      </c>
      <c r="K5160" t="s">
        <v>6697</v>
      </c>
      <c r="L5160" t="s">
        <v>6694</v>
      </c>
      <c r="M5160" t="s">
        <v>6705</v>
      </c>
      <c r="P5160" t="s">
        <v>6694</v>
      </c>
      <c r="Q5160" t="s">
        <v>6694</v>
      </c>
      <c r="U5160" t="s">
        <v>6694</v>
      </c>
      <c r="W5160" t="s">
        <v>6720</v>
      </c>
    </row>
    <row r="5161" spans="1:23" ht="15.6" x14ac:dyDescent="0.4">
      <c r="A5161" s="2" t="s">
        <v>1528</v>
      </c>
      <c r="B5161" s="5" t="s">
        <v>11274</v>
      </c>
      <c r="C5161" s="7" t="s">
        <v>12556</v>
      </c>
      <c r="D5161" s="8">
        <f t="shared" si="324"/>
        <v>1</v>
      </c>
      <c r="E5161" s="7" t="s">
        <v>12557</v>
      </c>
      <c r="F5161" s="7">
        <f t="shared" si="325"/>
        <v>0</v>
      </c>
      <c r="G5161" s="7" t="s">
        <v>12558</v>
      </c>
      <c r="H5161" s="7">
        <f t="shared" si="326"/>
        <v>0</v>
      </c>
      <c r="I5161" s="7" cm="1">
        <f t="array" ref="I5161">IFERROR(_xlfn.IFS(M5161="נח",1,M5161="נע ונח",1,M5161="שני שווא נח",2,M5161="שני שוואים בסוף מילה",2,M5161="שני שוואים ברצף",1),"0")</f>
        <v>1</v>
      </c>
      <c r="J5161" s="9">
        <f t="shared" si="327"/>
        <v>2</v>
      </c>
      <c r="K5161" t="s">
        <v>6698</v>
      </c>
      <c r="L5161" t="s">
        <v>6694</v>
      </c>
      <c r="M5161" t="s">
        <v>6705</v>
      </c>
      <c r="N5161" t="s">
        <v>6706</v>
      </c>
      <c r="O5161" t="s">
        <v>6694</v>
      </c>
      <c r="P5161" t="s">
        <v>6694</v>
      </c>
      <c r="W5161" t="s">
        <v>6720</v>
      </c>
    </row>
    <row r="5162" spans="1:23" ht="15.6" x14ac:dyDescent="0.4">
      <c r="A5162" s="2" t="s">
        <v>913</v>
      </c>
      <c r="B5162" s="5" t="s">
        <v>11275</v>
      </c>
      <c r="C5162" s="7" t="s">
        <v>12556</v>
      </c>
      <c r="D5162" s="8">
        <f t="shared" si="324"/>
        <v>1</v>
      </c>
      <c r="E5162" s="7" t="s">
        <v>12557</v>
      </c>
      <c r="F5162" s="7">
        <f t="shared" si="325"/>
        <v>0</v>
      </c>
      <c r="G5162" s="7" t="s">
        <v>12558</v>
      </c>
      <c r="H5162" s="7">
        <f t="shared" si="326"/>
        <v>0</v>
      </c>
      <c r="I5162" s="7" cm="1">
        <f t="array" ref="I5162">IFERROR(_xlfn.IFS(M5162="נח",1,M5162="נע ונח",1,M5162="שני שווא נח",2,M5162="שני שוואים בסוף מילה",2,M5162="שני שוואים ברצף",1),"0")</f>
        <v>1</v>
      </c>
      <c r="J5162" s="9">
        <f t="shared" si="327"/>
        <v>2</v>
      </c>
      <c r="K5162" t="s">
        <v>6697</v>
      </c>
      <c r="L5162" t="s">
        <v>6694</v>
      </c>
      <c r="M5162" t="s">
        <v>6705</v>
      </c>
      <c r="P5162" t="s">
        <v>6694</v>
      </c>
      <c r="V5162" t="s">
        <v>6694</v>
      </c>
      <c r="W5162" t="s">
        <v>6720</v>
      </c>
    </row>
    <row r="5163" spans="1:23" ht="15.6" x14ac:dyDescent="0.4">
      <c r="A5163" s="2" t="s">
        <v>2221</v>
      </c>
      <c r="B5163" s="5" t="s">
        <v>11276</v>
      </c>
      <c r="C5163" s="7" t="s">
        <v>12556</v>
      </c>
      <c r="D5163" s="8">
        <f t="shared" si="324"/>
        <v>1</v>
      </c>
      <c r="E5163" s="7" t="s">
        <v>12557</v>
      </c>
      <c r="F5163" s="7">
        <f t="shared" si="325"/>
        <v>0</v>
      </c>
      <c r="G5163" s="7" t="s">
        <v>12558</v>
      </c>
      <c r="H5163" s="7">
        <f t="shared" si="326"/>
        <v>0</v>
      </c>
      <c r="I5163" s="7" cm="1">
        <f t="array" ref="I5163">IFERROR(_xlfn.IFS(M5163="נח",1,M5163="נע ונח",1,M5163="שני שווא נח",2,M5163="שני שוואים בסוף מילה",2,M5163="שני שוואים ברצף",1),"0")</f>
        <v>1</v>
      </c>
      <c r="J5163" s="9">
        <f t="shared" si="327"/>
        <v>2</v>
      </c>
      <c r="K5163" t="s">
        <v>6698</v>
      </c>
      <c r="L5163" t="s">
        <v>6694</v>
      </c>
      <c r="M5163" t="s">
        <v>6705</v>
      </c>
      <c r="P5163" t="s">
        <v>6694</v>
      </c>
      <c r="V5163" t="s">
        <v>6694</v>
      </c>
      <c r="W5163" t="s">
        <v>6720</v>
      </c>
    </row>
    <row r="5164" spans="1:23" ht="15.6" x14ac:dyDescent="0.4">
      <c r="A5164" s="2" t="s">
        <v>6123</v>
      </c>
      <c r="B5164" s="5" t="s">
        <v>11277</v>
      </c>
      <c r="C5164" s="7" t="s">
        <v>12556</v>
      </c>
      <c r="D5164" s="8">
        <f t="shared" si="324"/>
        <v>0</v>
      </c>
      <c r="E5164" s="7" t="s">
        <v>12557</v>
      </c>
      <c r="F5164" s="7">
        <f t="shared" si="325"/>
        <v>1</v>
      </c>
      <c r="G5164" s="7" t="s">
        <v>12558</v>
      </c>
      <c r="H5164" s="7">
        <f t="shared" si="326"/>
        <v>0</v>
      </c>
      <c r="I5164" s="7" t="str" cm="1">
        <f t="array" ref="I5164">IFERROR(_xlfn.IFS(M5164="נח",1,M5164="נע ונח",1,M5164="שני שווא נח",2,M5164="שני שוואים בסוף מילה",2,M5164="שני שוואים ברצף",1),"0")</f>
        <v>0</v>
      </c>
      <c r="J5164" s="9">
        <f t="shared" si="327"/>
        <v>3</v>
      </c>
      <c r="K5164" t="s">
        <v>6697</v>
      </c>
      <c r="L5164" t="s">
        <v>6695</v>
      </c>
      <c r="P5164" t="s">
        <v>6694</v>
      </c>
      <c r="Q5164" t="s">
        <v>6694</v>
      </c>
      <c r="S5164" t="s">
        <v>6694</v>
      </c>
      <c r="W5164" t="s">
        <v>6720</v>
      </c>
    </row>
    <row r="5165" spans="1:23" ht="15.6" x14ac:dyDescent="0.4">
      <c r="A5165" s="2" t="s">
        <v>2290</v>
      </c>
      <c r="B5165" s="5" t="s">
        <v>11278</v>
      </c>
      <c r="C5165" s="7" t="s">
        <v>12556</v>
      </c>
      <c r="D5165" s="8">
        <f t="shared" si="324"/>
        <v>1</v>
      </c>
      <c r="E5165" s="7" t="s">
        <v>12557</v>
      </c>
      <c r="F5165" s="7">
        <f t="shared" si="325"/>
        <v>2</v>
      </c>
      <c r="G5165" s="7" t="s">
        <v>12558</v>
      </c>
      <c r="H5165" s="7">
        <f t="shared" si="326"/>
        <v>1</v>
      </c>
      <c r="I5165" s="7" cm="1">
        <f t="array" ref="I5165">IFERROR(_xlfn.IFS(M5165="נח",1,M5165="נע ונח",1,M5165="שני שווא נח",2,M5165="שני שוואים בסוף מילה",2,M5165="שני שוואים ברצף",1),"0")</f>
        <v>1</v>
      </c>
      <c r="J5165" s="9">
        <f t="shared" si="327"/>
        <v>2</v>
      </c>
      <c r="K5165" t="s">
        <v>6697</v>
      </c>
      <c r="L5165" t="s">
        <v>6694</v>
      </c>
      <c r="M5165" t="s">
        <v>6705</v>
      </c>
      <c r="P5165" t="s">
        <v>6694</v>
      </c>
      <c r="U5165" t="s">
        <v>6694</v>
      </c>
      <c r="W5165" t="s">
        <v>6720</v>
      </c>
    </row>
    <row r="5166" spans="1:23" ht="15.6" x14ac:dyDescent="0.4">
      <c r="A5166" s="2" t="s">
        <v>1702</v>
      </c>
      <c r="B5166" s="5" t="s">
        <v>11279</v>
      </c>
      <c r="C5166" s="7" t="s">
        <v>12556</v>
      </c>
      <c r="D5166" s="8">
        <f t="shared" si="324"/>
        <v>0</v>
      </c>
      <c r="E5166" s="7" t="s">
        <v>12557</v>
      </c>
      <c r="F5166" s="7">
        <f t="shared" si="325"/>
        <v>0</v>
      </c>
      <c r="G5166" s="7" t="s">
        <v>12558</v>
      </c>
      <c r="H5166" s="7">
        <f t="shared" si="326"/>
        <v>0</v>
      </c>
      <c r="I5166" s="7" t="str" cm="1">
        <f t="array" ref="I5166">IFERROR(_xlfn.IFS(M5166="נח",1,M5166="נע ונח",1,M5166="שני שווא נח",2,M5166="שני שוואים בסוף מילה",2,M5166="שני שוואים ברצף",1),"0")</f>
        <v>0</v>
      </c>
      <c r="J5166" s="9">
        <f t="shared" si="327"/>
        <v>1</v>
      </c>
      <c r="K5166" t="s">
        <v>6697</v>
      </c>
      <c r="L5166" t="s">
        <v>6695</v>
      </c>
      <c r="O5166" t="s">
        <v>6694</v>
      </c>
      <c r="W5166" t="s">
        <v>6720</v>
      </c>
    </row>
    <row r="5167" spans="1:23" ht="15.6" x14ac:dyDescent="0.4">
      <c r="A5167" s="2" t="s">
        <v>6130</v>
      </c>
      <c r="B5167" s="5" t="s">
        <v>11151</v>
      </c>
      <c r="C5167" s="7" t="s">
        <v>12556</v>
      </c>
      <c r="D5167" s="8">
        <f t="shared" si="324"/>
        <v>0</v>
      </c>
      <c r="E5167" s="7" t="s">
        <v>12557</v>
      </c>
      <c r="F5167" s="7">
        <f t="shared" si="325"/>
        <v>1</v>
      </c>
      <c r="G5167" s="7" t="s">
        <v>12558</v>
      </c>
      <c r="H5167" s="7">
        <f t="shared" si="326"/>
        <v>1</v>
      </c>
      <c r="I5167" s="7" t="str" cm="1">
        <f t="array" ref="I5167">IFERROR(_xlfn.IFS(M5167="נח",1,M5167="נע ונח",1,M5167="שני שווא נח",2,M5167="שני שוואים בסוף מילה",2,M5167="שני שוואים ברצף",1),"0")</f>
        <v>0</v>
      </c>
      <c r="J5167" s="9">
        <f t="shared" si="327"/>
        <v>3</v>
      </c>
      <c r="K5167" t="s">
        <v>6697</v>
      </c>
      <c r="L5167" t="s">
        <v>6695</v>
      </c>
      <c r="O5167" t="s">
        <v>6694</v>
      </c>
      <c r="U5167" t="s">
        <v>6694</v>
      </c>
      <c r="W5167" t="s">
        <v>6720</v>
      </c>
    </row>
    <row r="5168" spans="1:23" ht="15.6" x14ac:dyDescent="0.4">
      <c r="A5168" s="2" t="s">
        <v>1335</v>
      </c>
      <c r="B5168" s="5" t="s">
        <v>11252</v>
      </c>
      <c r="C5168" s="7" t="s">
        <v>12556</v>
      </c>
      <c r="D5168" s="8">
        <f t="shared" si="324"/>
        <v>0</v>
      </c>
      <c r="E5168" s="7" t="s">
        <v>12557</v>
      </c>
      <c r="F5168" s="7">
        <f t="shared" si="325"/>
        <v>0</v>
      </c>
      <c r="G5168" s="7" t="s">
        <v>12558</v>
      </c>
      <c r="H5168" s="7">
        <f t="shared" si="326"/>
        <v>0</v>
      </c>
      <c r="I5168" s="7" t="str" cm="1">
        <f t="array" ref="I5168">IFERROR(_xlfn.IFS(M5168="נח",1,M5168="נע ונח",1,M5168="שני שווא נח",2,M5168="שני שוואים בסוף מילה",2,M5168="שני שוואים ברצף",1),"0")</f>
        <v>0</v>
      </c>
      <c r="J5168" s="9">
        <f t="shared" si="327"/>
        <v>2</v>
      </c>
      <c r="K5168" t="s">
        <v>6697</v>
      </c>
      <c r="L5168" t="s">
        <v>6695</v>
      </c>
      <c r="O5168" t="s">
        <v>6694</v>
      </c>
      <c r="W5168" t="s">
        <v>6720</v>
      </c>
    </row>
    <row r="5169" spans="1:23" ht="15.6" x14ac:dyDescent="0.4">
      <c r="A5169" s="2" t="s">
        <v>4695</v>
      </c>
      <c r="B5169" s="5" t="s">
        <v>11280</v>
      </c>
      <c r="C5169" s="7" t="s">
        <v>12556</v>
      </c>
      <c r="D5169" s="8">
        <f t="shared" si="324"/>
        <v>0</v>
      </c>
      <c r="E5169" s="7" t="s">
        <v>12557</v>
      </c>
      <c r="F5169" s="7">
        <f t="shared" si="325"/>
        <v>0</v>
      </c>
      <c r="G5169" s="7" t="s">
        <v>12558</v>
      </c>
      <c r="H5169" s="7">
        <f t="shared" si="326"/>
        <v>0</v>
      </c>
      <c r="I5169" s="7" t="str" cm="1">
        <f t="array" ref="I5169">IFERROR(_xlfn.IFS(M5169="נח",1,M5169="נע ונח",1,M5169="שני שווא נח",2,M5169="שני שוואים בסוף מילה",2,M5169="שני שוואים ברצף",1),"0")</f>
        <v>0</v>
      </c>
      <c r="J5169" s="9">
        <f t="shared" si="327"/>
        <v>2</v>
      </c>
      <c r="K5169" t="s">
        <v>6698</v>
      </c>
      <c r="L5169" t="s">
        <v>6695</v>
      </c>
      <c r="O5169" t="s">
        <v>6694</v>
      </c>
      <c r="V5169" t="s">
        <v>6694</v>
      </c>
      <c r="W5169" t="s">
        <v>6720</v>
      </c>
    </row>
    <row r="5170" spans="1:23" ht="15.6" x14ac:dyDescent="0.4">
      <c r="A5170" s="2" t="s">
        <v>5658</v>
      </c>
      <c r="B5170" s="5" t="s">
        <v>11281</v>
      </c>
      <c r="C5170" s="7" t="s">
        <v>12556</v>
      </c>
      <c r="D5170" s="8">
        <f t="shared" si="324"/>
        <v>0</v>
      </c>
      <c r="E5170" s="7" t="s">
        <v>12557</v>
      </c>
      <c r="F5170" s="7">
        <f t="shared" si="325"/>
        <v>0</v>
      </c>
      <c r="G5170" s="7" t="s">
        <v>12558</v>
      </c>
      <c r="H5170" s="7">
        <f t="shared" si="326"/>
        <v>0</v>
      </c>
      <c r="I5170" s="7" t="str" cm="1">
        <f t="array" ref="I5170">IFERROR(_xlfn.IFS(M5170="נח",1,M5170="נע ונח",1,M5170="שני שווא נח",2,M5170="שני שוואים בסוף מילה",2,M5170="שני שוואים ברצף",1),"0")</f>
        <v>0</v>
      </c>
      <c r="J5170" s="9">
        <f t="shared" si="327"/>
        <v>2</v>
      </c>
      <c r="K5170" t="s">
        <v>6697</v>
      </c>
      <c r="L5170" t="s">
        <v>6695</v>
      </c>
      <c r="O5170" t="s">
        <v>6694</v>
      </c>
      <c r="S5170" t="s">
        <v>6694</v>
      </c>
      <c r="W5170" t="s">
        <v>6720</v>
      </c>
    </row>
    <row r="5171" spans="1:23" ht="15.6" x14ac:dyDescent="0.4">
      <c r="A5171" s="2" t="s">
        <v>5514</v>
      </c>
      <c r="B5171" s="5" t="s">
        <v>11238</v>
      </c>
      <c r="C5171" s="7" t="s">
        <v>12556</v>
      </c>
      <c r="D5171" s="8">
        <f t="shared" si="324"/>
        <v>0</v>
      </c>
      <c r="E5171" s="7" t="s">
        <v>12557</v>
      </c>
      <c r="F5171" s="7">
        <f t="shared" si="325"/>
        <v>0</v>
      </c>
      <c r="G5171" s="7" t="s">
        <v>12558</v>
      </c>
      <c r="H5171" s="7">
        <f t="shared" si="326"/>
        <v>0</v>
      </c>
      <c r="I5171" s="7" t="str" cm="1">
        <f t="array" ref="I5171">IFERROR(_xlfn.IFS(M5171="נח",1,M5171="נע ונח",1,M5171="שני שווא נח",2,M5171="שני שוואים בסוף מילה",2,M5171="שני שוואים ברצף",1),"0")</f>
        <v>0</v>
      </c>
      <c r="J5171" s="9">
        <f t="shared" si="327"/>
        <v>2</v>
      </c>
      <c r="K5171" t="s">
        <v>6698</v>
      </c>
      <c r="L5171" t="s">
        <v>6695</v>
      </c>
      <c r="O5171" t="s">
        <v>6694</v>
      </c>
      <c r="R5171" t="s">
        <v>6694</v>
      </c>
      <c r="W5171" t="s">
        <v>6720</v>
      </c>
    </row>
    <row r="5172" spans="1:23" ht="15.6" x14ac:dyDescent="0.4">
      <c r="A5172" s="2" t="s">
        <v>3213</v>
      </c>
      <c r="B5172" s="5" t="s">
        <v>11238</v>
      </c>
      <c r="C5172" s="7" t="s">
        <v>12556</v>
      </c>
      <c r="D5172" s="8">
        <f t="shared" si="324"/>
        <v>0</v>
      </c>
      <c r="E5172" s="7" t="s">
        <v>12557</v>
      </c>
      <c r="F5172" s="7">
        <f t="shared" si="325"/>
        <v>0</v>
      </c>
      <c r="G5172" s="7" t="s">
        <v>12558</v>
      </c>
      <c r="H5172" s="7">
        <f t="shared" si="326"/>
        <v>0</v>
      </c>
      <c r="I5172" s="7" t="str" cm="1">
        <f t="array" ref="I5172">IFERROR(_xlfn.IFS(M5172="נח",1,M5172="נע ונח",1,M5172="שני שווא נח",2,M5172="שני שוואים בסוף מילה",2,M5172="שני שוואים ברצף",1),"0")</f>
        <v>0</v>
      </c>
      <c r="J5172" s="9">
        <f t="shared" si="327"/>
        <v>2</v>
      </c>
      <c r="K5172" t="s">
        <v>6698</v>
      </c>
      <c r="L5172" t="s">
        <v>6695</v>
      </c>
      <c r="N5172" t="s">
        <v>6706</v>
      </c>
      <c r="O5172" t="s">
        <v>6694</v>
      </c>
      <c r="W5172" t="s">
        <v>6720</v>
      </c>
    </row>
    <row r="5173" spans="1:23" ht="15.6" x14ac:dyDescent="0.4">
      <c r="A5173" s="2" t="s">
        <v>2023</v>
      </c>
      <c r="B5173" s="5" t="s">
        <v>11282</v>
      </c>
      <c r="C5173" s="7" t="s">
        <v>12556</v>
      </c>
      <c r="D5173" s="8">
        <f t="shared" si="324"/>
        <v>0</v>
      </c>
      <c r="E5173" s="7" t="s">
        <v>12557</v>
      </c>
      <c r="F5173" s="7">
        <f t="shared" si="325"/>
        <v>0</v>
      </c>
      <c r="G5173" s="7" t="s">
        <v>12558</v>
      </c>
      <c r="H5173" s="7">
        <f t="shared" si="326"/>
        <v>0</v>
      </c>
      <c r="I5173" s="7" t="str" cm="1">
        <f t="array" ref="I5173">IFERROR(_xlfn.IFS(M5173="נח",1,M5173="נע ונח",1,M5173="שני שווא נח",2,M5173="שני שוואים בסוף מילה",2,M5173="שני שוואים ברצף",1),"0")</f>
        <v>0</v>
      </c>
      <c r="J5173" s="9">
        <f t="shared" si="327"/>
        <v>2</v>
      </c>
      <c r="K5173" t="s">
        <v>6698</v>
      </c>
      <c r="L5173" t="s">
        <v>6695</v>
      </c>
      <c r="N5173" t="s">
        <v>6706</v>
      </c>
      <c r="O5173" t="s">
        <v>6694</v>
      </c>
      <c r="W5173" t="s">
        <v>6720</v>
      </c>
    </row>
    <row r="5174" spans="1:23" ht="15.6" x14ac:dyDescent="0.4">
      <c r="A5174" s="2" t="s">
        <v>3615</v>
      </c>
      <c r="B5174" s="5" t="s">
        <v>11283</v>
      </c>
      <c r="C5174" s="7" t="s">
        <v>12556</v>
      </c>
      <c r="D5174" s="8">
        <f t="shared" si="324"/>
        <v>0</v>
      </c>
      <c r="E5174" s="7" t="s">
        <v>12557</v>
      </c>
      <c r="F5174" s="7">
        <f t="shared" si="325"/>
        <v>1</v>
      </c>
      <c r="G5174" s="7" t="s">
        <v>12558</v>
      </c>
      <c r="H5174" s="7">
        <f t="shared" si="326"/>
        <v>1</v>
      </c>
      <c r="I5174" s="7" t="str" cm="1">
        <f t="array" ref="I5174">IFERROR(_xlfn.IFS(M5174="נח",1,M5174="נע ונח",1,M5174="שני שווא נח",2,M5174="שני שוואים בסוף מילה",2,M5174="שני שוואים ברצף",1),"0")</f>
        <v>0</v>
      </c>
      <c r="J5174" s="9">
        <f t="shared" si="327"/>
        <v>2</v>
      </c>
      <c r="K5174" t="s">
        <v>6698</v>
      </c>
      <c r="L5174" t="s">
        <v>6695</v>
      </c>
      <c r="O5174" t="s">
        <v>6694</v>
      </c>
      <c r="U5174" t="s">
        <v>6694</v>
      </c>
      <c r="W5174" t="s">
        <v>6720</v>
      </c>
    </row>
    <row r="5175" spans="1:23" ht="15.6" x14ac:dyDescent="0.4">
      <c r="A5175" s="2" t="s">
        <v>1749</v>
      </c>
      <c r="B5175" s="5" t="s">
        <v>11284</v>
      </c>
      <c r="C5175" s="7" t="s">
        <v>12556</v>
      </c>
      <c r="D5175" s="8">
        <f t="shared" si="324"/>
        <v>0</v>
      </c>
      <c r="E5175" s="7" t="s">
        <v>12557</v>
      </c>
      <c r="F5175" s="7">
        <f t="shared" si="325"/>
        <v>0</v>
      </c>
      <c r="G5175" s="7" t="s">
        <v>12558</v>
      </c>
      <c r="H5175" s="7">
        <f t="shared" si="326"/>
        <v>0</v>
      </c>
      <c r="I5175" s="7" t="str" cm="1">
        <f t="array" ref="I5175">IFERROR(_xlfn.IFS(M5175="נח",1,M5175="נע ונח",1,M5175="שני שווא נח",2,M5175="שני שוואים בסוף מילה",2,M5175="שני שוואים ברצף",1),"0")</f>
        <v>0</v>
      </c>
      <c r="J5175" s="9">
        <f t="shared" si="327"/>
        <v>3</v>
      </c>
      <c r="K5175" t="s">
        <v>6697</v>
      </c>
      <c r="L5175" t="s">
        <v>6695</v>
      </c>
      <c r="O5175" t="s">
        <v>6694</v>
      </c>
      <c r="S5175" t="s">
        <v>6694</v>
      </c>
      <c r="W5175" t="s">
        <v>6720</v>
      </c>
    </row>
    <row r="5176" spans="1:23" ht="15.6" x14ac:dyDescent="0.4">
      <c r="A5176" s="2" t="s">
        <v>5417</v>
      </c>
      <c r="B5176" s="5" t="s">
        <v>11285</v>
      </c>
      <c r="C5176" s="7" t="s">
        <v>12556</v>
      </c>
      <c r="D5176" s="8">
        <f t="shared" si="324"/>
        <v>0</v>
      </c>
      <c r="E5176" s="7" t="s">
        <v>12557</v>
      </c>
      <c r="F5176" s="7">
        <f t="shared" si="325"/>
        <v>1</v>
      </c>
      <c r="G5176" s="7" t="s">
        <v>12558</v>
      </c>
      <c r="H5176" s="7">
        <f t="shared" si="326"/>
        <v>1</v>
      </c>
      <c r="I5176" s="7" t="str" cm="1">
        <f t="array" ref="I5176">IFERROR(_xlfn.IFS(M5176="נח",1,M5176="נע ונח",1,M5176="שני שווא נח",2,M5176="שני שוואים בסוף מילה",2,M5176="שני שוואים ברצף",1),"0")</f>
        <v>0</v>
      </c>
      <c r="J5176" s="9">
        <f t="shared" si="327"/>
        <v>3</v>
      </c>
      <c r="K5176" t="s">
        <v>6697</v>
      </c>
      <c r="L5176" t="s">
        <v>6695</v>
      </c>
      <c r="O5176" t="s">
        <v>6694</v>
      </c>
      <c r="P5176" t="s">
        <v>6694</v>
      </c>
      <c r="U5176" t="s">
        <v>6694</v>
      </c>
      <c r="W5176" t="s">
        <v>6720</v>
      </c>
    </row>
    <row r="5177" spans="1:23" ht="15.6" x14ac:dyDescent="0.4">
      <c r="A5177" s="2" t="s">
        <v>3393</v>
      </c>
      <c r="B5177" s="5" t="s">
        <v>11286</v>
      </c>
      <c r="C5177" s="7" t="s">
        <v>12556</v>
      </c>
      <c r="D5177" s="8">
        <f t="shared" si="324"/>
        <v>0</v>
      </c>
      <c r="E5177" s="7" t="s">
        <v>12557</v>
      </c>
      <c r="F5177" s="7">
        <f t="shared" si="325"/>
        <v>1</v>
      </c>
      <c r="G5177" s="7" t="s">
        <v>12558</v>
      </c>
      <c r="H5177" s="7">
        <f t="shared" si="326"/>
        <v>1</v>
      </c>
      <c r="I5177" s="7" t="str" cm="1">
        <f t="array" ref="I5177">IFERROR(_xlfn.IFS(M5177="נח",1,M5177="נע ונח",1,M5177="שני שווא נח",2,M5177="שני שוואים בסוף מילה",2,M5177="שני שוואים ברצף",1),"0")</f>
        <v>0</v>
      </c>
      <c r="J5177" s="9">
        <f t="shared" si="327"/>
        <v>3</v>
      </c>
      <c r="K5177" t="s">
        <v>6697</v>
      </c>
      <c r="L5177" t="s">
        <v>6694</v>
      </c>
      <c r="M5177" t="s">
        <v>6703</v>
      </c>
      <c r="N5177" t="s">
        <v>6706</v>
      </c>
      <c r="O5177" t="s">
        <v>6694</v>
      </c>
      <c r="U5177" t="s">
        <v>6694</v>
      </c>
      <c r="W5177" t="s">
        <v>6720</v>
      </c>
    </row>
    <row r="5178" spans="1:23" ht="15.6" x14ac:dyDescent="0.4">
      <c r="A5178" s="2" t="s">
        <v>3771</v>
      </c>
      <c r="B5178" s="5" t="s">
        <v>11287</v>
      </c>
      <c r="C5178" s="7" t="s">
        <v>12556</v>
      </c>
      <c r="D5178" s="8">
        <f t="shared" si="324"/>
        <v>0</v>
      </c>
      <c r="E5178" s="7" t="s">
        <v>12557</v>
      </c>
      <c r="F5178" s="7">
        <f t="shared" si="325"/>
        <v>0</v>
      </c>
      <c r="G5178" s="7" t="s">
        <v>12558</v>
      </c>
      <c r="H5178" s="7">
        <f t="shared" si="326"/>
        <v>0</v>
      </c>
      <c r="I5178" s="7" t="str" cm="1">
        <f t="array" ref="I5178">IFERROR(_xlfn.IFS(M5178="נח",1,M5178="נע ונח",1,M5178="שני שווא נח",2,M5178="שני שוואים בסוף מילה",2,M5178="שני שוואים ברצף",1),"0")</f>
        <v>0</v>
      </c>
      <c r="J5178" s="9">
        <f t="shared" si="327"/>
        <v>2</v>
      </c>
      <c r="K5178" t="s">
        <v>6698</v>
      </c>
      <c r="L5178" t="s">
        <v>6695</v>
      </c>
      <c r="N5178" t="s">
        <v>6706</v>
      </c>
      <c r="O5178" t="s">
        <v>6694</v>
      </c>
      <c r="W5178" t="s">
        <v>6720</v>
      </c>
    </row>
    <row r="5179" spans="1:23" ht="15.6" x14ac:dyDescent="0.4">
      <c r="A5179" s="2" t="s">
        <v>5469</v>
      </c>
      <c r="B5179" s="5" t="s">
        <v>11288</v>
      </c>
      <c r="C5179" s="7" t="s">
        <v>12556</v>
      </c>
      <c r="D5179" s="8">
        <f t="shared" si="324"/>
        <v>0</v>
      </c>
      <c r="E5179" s="7" t="s">
        <v>12557</v>
      </c>
      <c r="F5179" s="7">
        <f t="shared" si="325"/>
        <v>1</v>
      </c>
      <c r="G5179" s="7" t="s">
        <v>12558</v>
      </c>
      <c r="H5179" s="7">
        <f t="shared" si="326"/>
        <v>1</v>
      </c>
      <c r="I5179" s="7" t="str" cm="1">
        <f t="array" ref="I5179">IFERROR(_xlfn.IFS(M5179="נח",1,M5179="נע ונח",1,M5179="שני שווא נח",2,M5179="שני שוואים בסוף מילה",2,M5179="שני שוואים ברצף",1),"0")</f>
        <v>0</v>
      </c>
      <c r="J5179" s="9">
        <f t="shared" si="327"/>
        <v>3</v>
      </c>
      <c r="K5179" t="s">
        <v>6697</v>
      </c>
      <c r="L5179" t="s">
        <v>6695</v>
      </c>
      <c r="O5179" t="s">
        <v>6694</v>
      </c>
      <c r="Q5179" t="s">
        <v>6694</v>
      </c>
      <c r="U5179" t="s">
        <v>6694</v>
      </c>
      <c r="W5179" t="s">
        <v>6720</v>
      </c>
    </row>
    <row r="5180" spans="1:23" ht="15.6" x14ac:dyDescent="0.4">
      <c r="A5180" s="2" t="s">
        <v>4775</v>
      </c>
      <c r="B5180" s="5" t="s">
        <v>11289</v>
      </c>
      <c r="C5180" s="7" t="s">
        <v>12556</v>
      </c>
      <c r="D5180" s="8">
        <f t="shared" si="324"/>
        <v>0</v>
      </c>
      <c r="E5180" s="7" t="s">
        <v>12557</v>
      </c>
      <c r="F5180" s="7">
        <f t="shared" si="325"/>
        <v>0</v>
      </c>
      <c r="G5180" s="7" t="s">
        <v>12558</v>
      </c>
      <c r="H5180" s="7">
        <f t="shared" si="326"/>
        <v>0</v>
      </c>
      <c r="I5180" s="7" t="str" cm="1">
        <f t="array" ref="I5180">IFERROR(_xlfn.IFS(M5180="נח",1,M5180="נע ונח",1,M5180="שני שווא נח",2,M5180="שני שוואים בסוף מילה",2,M5180="שני שוואים ברצף",1),"0")</f>
        <v>0</v>
      </c>
      <c r="J5180" s="9">
        <f t="shared" si="327"/>
        <v>3</v>
      </c>
      <c r="K5180" t="s">
        <v>6698</v>
      </c>
      <c r="L5180" t="s">
        <v>6695</v>
      </c>
      <c r="O5180" t="s">
        <v>6694</v>
      </c>
      <c r="S5180" t="s">
        <v>6694</v>
      </c>
      <c r="W5180" t="s">
        <v>6720</v>
      </c>
    </row>
    <row r="5181" spans="1:23" ht="15.6" x14ac:dyDescent="0.4">
      <c r="A5181" s="2" t="s">
        <v>4266</v>
      </c>
      <c r="B5181" s="5" t="s">
        <v>11123</v>
      </c>
      <c r="C5181" s="7" t="s">
        <v>12556</v>
      </c>
      <c r="D5181" s="8">
        <f t="shared" si="324"/>
        <v>0</v>
      </c>
      <c r="E5181" s="7" t="s">
        <v>12557</v>
      </c>
      <c r="F5181" s="7">
        <f t="shared" si="325"/>
        <v>0</v>
      </c>
      <c r="G5181" s="7" t="s">
        <v>12558</v>
      </c>
      <c r="H5181" s="7">
        <f t="shared" si="326"/>
        <v>0</v>
      </c>
      <c r="I5181" s="7" t="str" cm="1">
        <f t="array" ref="I5181">IFERROR(_xlfn.IFS(M5181="נח",1,M5181="נע ונח",1,M5181="שני שווא נח",2,M5181="שני שוואים בסוף מילה",2,M5181="שני שוואים ברצף",1),"0")</f>
        <v>0</v>
      </c>
      <c r="J5181" s="9">
        <f t="shared" si="327"/>
        <v>3</v>
      </c>
      <c r="K5181" t="s">
        <v>6697</v>
      </c>
      <c r="L5181" t="s">
        <v>6695</v>
      </c>
      <c r="O5181" t="s">
        <v>6694</v>
      </c>
      <c r="P5181" t="s">
        <v>6694</v>
      </c>
      <c r="S5181" t="s">
        <v>6694</v>
      </c>
      <c r="W5181" t="s">
        <v>6720</v>
      </c>
    </row>
    <row r="5182" spans="1:23" ht="15.6" x14ac:dyDescent="0.4">
      <c r="A5182" s="2" t="s">
        <v>4138</v>
      </c>
      <c r="B5182" s="5" t="s">
        <v>11290</v>
      </c>
      <c r="C5182" s="7" t="s">
        <v>12556</v>
      </c>
      <c r="D5182" s="8">
        <f t="shared" si="324"/>
        <v>1</v>
      </c>
      <c r="E5182" s="7" t="s">
        <v>12557</v>
      </c>
      <c r="F5182" s="7">
        <f t="shared" si="325"/>
        <v>0</v>
      </c>
      <c r="G5182" s="7" t="s">
        <v>12558</v>
      </c>
      <c r="H5182" s="7">
        <f t="shared" si="326"/>
        <v>0</v>
      </c>
      <c r="I5182" s="7" t="str" cm="1">
        <f t="array" ref="I5182">IFERROR(_xlfn.IFS(M5182="נח",1,M5182="נע ונח",1,M5182="שני שווא נח",2,M5182="שני שוואים בסוף מילה",2,M5182="שני שוואים ברצף",1),"0")</f>
        <v>0</v>
      </c>
      <c r="J5182" s="9">
        <f t="shared" si="327"/>
        <v>2</v>
      </c>
      <c r="K5182" t="s">
        <v>6698</v>
      </c>
      <c r="L5182" t="s">
        <v>6695</v>
      </c>
      <c r="O5182" t="s">
        <v>6694</v>
      </c>
      <c r="W5182" t="s">
        <v>6720</v>
      </c>
    </row>
    <row r="5183" spans="1:23" ht="15.6" x14ac:dyDescent="0.4">
      <c r="A5183" s="2" t="s">
        <v>4826</v>
      </c>
      <c r="B5183" s="5" t="s">
        <v>11291</v>
      </c>
      <c r="C5183" s="7" t="s">
        <v>12556</v>
      </c>
      <c r="D5183" s="8">
        <f t="shared" si="324"/>
        <v>0</v>
      </c>
      <c r="E5183" s="7" t="s">
        <v>12557</v>
      </c>
      <c r="F5183" s="7">
        <f t="shared" si="325"/>
        <v>0</v>
      </c>
      <c r="G5183" s="7" t="s">
        <v>12558</v>
      </c>
      <c r="H5183" s="7">
        <f t="shared" si="326"/>
        <v>0</v>
      </c>
      <c r="I5183" s="7" cm="1">
        <f t="array" ref="I5183">IFERROR(_xlfn.IFS(M5183="נח",1,M5183="נע ונח",1,M5183="שני שווא נח",2,M5183="שני שוואים בסוף מילה",2,M5183="שני שוואים ברצף",1),"0")</f>
        <v>1</v>
      </c>
      <c r="J5183" s="9">
        <f t="shared" si="327"/>
        <v>2</v>
      </c>
      <c r="K5183" t="s">
        <v>6697</v>
      </c>
      <c r="L5183" t="s">
        <v>6694</v>
      </c>
      <c r="M5183" t="s">
        <v>6705</v>
      </c>
      <c r="N5183" t="s">
        <v>6706</v>
      </c>
      <c r="O5183" t="s">
        <v>6694</v>
      </c>
      <c r="W5183" t="s">
        <v>6720</v>
      </c>
    </row>
    <row r="5184" spans="1:23" ht="15.6" x14ac:dyDescent="0.4">
      <c r="A5184" s="2" t="s">
        <v>4498</v>
      </c>
      <c r="B5184" s="5" t="s">
        <v>11292</v>
      </c>
      <c r="C5184" s="7" t="s">
        <v>12556</v>
      </c>
      <c r="D5184" s="8">
        <f t="shared" si="324"/>
        <v>0</v>
      </c>
      <c r="E5184" s="7" t="s">
        <v>12557</v>
      </c>
      <c r="F5184" s="7">
        <f t="shared" si="325"/>
        <v>1</v>
      </c>
      <c r="G5184" s="7" t="s">
        <v>12558</v>
      </c>
      <c r="H5184" s="7">
        <f t="shared" si="326"/>
        <v>1</v>
      </c>
      <c r="I5184" s="7" cm="1">
        <f t="array" ref="I5184">IFERROR(_xlfn.IFS(M5184="נח",1,M5184="נע ונח",1,M5184="שני שווא נח",2,M5184="שני שוואים בסוף מילה",2,M5184="שני שוואים ברצף",1),"0")</f>
        <v>1</v>
      </c>
      <c r="J5184" s="9">
        <f t="shared" si="327"/>
        <v>2</v>
      </c>
      <c r="K5184" t="s">
        <v>6697</v>
      </c>
      <c r="L5184" t="s">
        <v>6694</v>
      </c>
      <c r="M5184" t="s">
        <v>6705</v>
      </c>
      <c r="N5184" t="s">
        <v>6706</v>
      </c>
      <c r="O5184" t="s">
        <v>6694</v>
      </c>
      <c r="U5184" t="s">
        <v>6694</v>
      </c>
      <c r="W5184" t="s">
        <v>6720</v>
      </c>
    </row>
    <row r="5185" spans="1:23" ht="15.6" x14ac:dyDescent="0.4">
      <c r="A5185" s="2" t="s">
        <v>5382</v>
      </c>
      <c r="B5185" s="5" t="s">
        <v>11293</v>
      </c>
      <c r="C5185" s="7" t="s">
        <v>12556</v>
      </c>
      <c r="D5185" s="8">
        <f t="shared" si="324"/>
        <v>0</v>
      </c>
      <c r="E5185" s="7" t="s">
        <v>12557</v>
      </c>
      <c r="F5185" s="7">
        <f t="shared" si="325"/>
        <v>1</v>
      </c>
      <c r="G5185" s="7" t="s">
        <v>12558</v>
      </c>
      <c r="H5185" s="7">
        <f t="shared" si="326"/>
        <v>1</v>
      </c>
      <c r="I5185" s="7" t="str" cm="1">
        <f t="array" ref="I5185">IFERROR(_xlfn.IFS(M5185="נח",1,M5185="נע ונח",1,M5185="שני שווא נח",2,M5185="שני שוואים בסוף מילה",2,M5185="שני שוואים ברצף",1),"0")</f>
        <v>0</v>
      </c>
      <c r="J5185" s="9">
        <f t="shared" si="327"/>
        <v>3</v>
      </c>
      <c r="K5185" t="s">
        <v>6697</v>
      </c>
      <c r="L5185" t="s">
        <v>6695</v>
      </c>
      <c r="N5185" t="s">
        <v>6706</v>
      </c>
      <c r="O5185" t="s">
        <v>6694</v>
      </c>
      <c r="U5185" t="s">
        <v>6694</v>
      </c>
      <c r="W5185" t="s">
        <v>6720</v>
      </c>
    </row>
    <row r="5186" spans="1:23" ht="15.6" x14ac:dyDescent="0.4">
      <c r="A5186" s="2" t="s">
        <v>6033</v>
      </c>
      <c r="B5186" s="5" t="s">
        <v>11294</v>
      </c>
      <c r="C5186" s="7" t="s">
        <v>12556</v>
      </c>
      <c r="D5186" s="8">
        <f t="shared" si="324"/>
        <v>0</v>
      </c>
      <c r="E5186" s="7" t="s">
        <v>12557</v>
      </c>
      <c r="F5186" s="7">
        <f t="shared" si="325"/>
        <v>0</v>
      </c>
      <c r="G5186" s="7" t="s">
        <v>12558</v>
      </c>
      <c r="H5186" s="7">
        <f t="shared" si="326"/>
        <v>0</v>
      </c>
      <c r="I5186" s="7" t="str" cm="1">
        <f t="array" ref="I5186">IFERROR(_xlfn.IFS(M5186="נח",1,M5186="נע ונח",1,M5186="שני שווא נח",2,M5186="שני שוואים בסוף מילה",2,M5186="שני שוואים ברצף",1),"0")</f>
        <v>0</v>
      </c>
      <c r="J5186" s="9">
        <f t="shared" si="327"/>
        <v>2</v>
      </c>
      <c r="K5186" t="s">
        <v>6697</v>
      </c>
      <c r="L5186" t="s">
        <v>6695</v>
      </c>
      <c r="O5186" t="s">
        <v>6694</v>
      </c>
      <c r="W5186" t="s">
        <v>6720</v>
      </c>
    </row>
    <row r="5187" spans="1:23" ht="15.6" x14ac:dyDescent="0.4">
      <c r="A5187" s="2" t="s">
        <v>3342</v>
      </c>
      <c r="B5187" s="5" t="s">
        <v>11295</v>
      </c>
      <c r="C5187" s="7" t="s">
        <v>12556</v>
      </c>
      <c r="D5187" s="8">
        <f t="shared" ref="D5187:D5250" si="328">(LEN(B5187)-LEN(SUBSTITUTE(B5187,C5187,"")))</f>
        <v>0</v>
      </c>
      <c r="E5187" s="7" t="s">
        <v>12557</v>
      </c>
      <c r="F5187" s="7">
        <f t="shared" ref="F5187:F5250" si="329">(LEN(A5187)-LEN(SUBSTITUTE(A5187,E5187,"")))</f>
        <v>1</v>
      </c>
      <c r="G5187" s="7" t="s">
        <v>12558</v>
      </c>
      <c r="H5187" s="7">
        <f t="shared" ref="H5187:H5250" si="330">(LEN(A5187)-LEN(SUBSTITUTE(A5187,G5187,"")))/2</f>
        <v>1</v>
      </c>
      <c r="I5187" s="7" t="str" cm="1">
        <f t="array" ref="I5187">IFERROR(_xlfn.IFS(M5187="נח",1,M5187="נע ונח",1,M5187="שני שווא נח",2,M5187="שני שוואים בסוף מילה",2,M5187="שני שוואים ברצף",1),"0")</f>
        <v>0</v>
      </c>
      <c r="J5187" s="9">
        <f t="shared" ref="J5187:J5250" si="331">LEN(A5187)-(LEN(B5187))-D5187-F5187+H5187-I5187</f>
        <v>2</v>
      </c>
      <c r="K5187" t="s">
        <v>6697</v>
      </c>
      <c r="L5187" t="s">
        <v>6695</v>
      </c>
      <c r="O5187" t="s">
        <v>6694</v>
      </c>
      <c r="U5187" t="s">
        <v>6694</v>
      </c>
      <c r="W5187" t="s">
        <v>6720</v>
      </c>
    </row>
    <row r="5188" spans="1:23" ht="15.6" x14ac:dyDescent="0.4">
      <c r="A5188" s="2" t="s">
        <v>4297</v>
      </c>
      <c r="B5188" s="5" t="s">
        <v>11296</v>
      </c>
      <c r="C5188" s="7" t="s">
        <v>12556</v>
      </c>
      <c r="D5188" s="8">
        <f t="shared" si="328"/>
        <v>0</v>
      </c>
      <c r="E5188" s="7" t="s">
        <v>12557</v>
      </c>
      <c r="F5188" s="7">
        <f t="shared" si="329"/>
        <v>1</v>
      </c>
      <c r="G5188" s="7" t="s">
        <v>12558</v>
      </c>
      <c r="H5188" s="7">
        <f t="shared" si="330"/>
        <v>1</v>
      </c>
      <c r="I5188" s="7" t="str" cm="1">
        <f t="array" ref="I5188">IFERROR(_xlfn.IFS(M5188="נח",1,M5188="נע ונח",1,M5188="שני שווא נח",2,M5188="שני שוואים בסוף מילה",2,M5188="שני שוואים ברצף",1),"0")</f>
        <v>0</v>
      </c>
      <c r="J5188" s="9">
        <f t="shared" si="331"/>
        <v>2</v>
      </c>
      <c r="K5188" t="s">
        <v>6698</v>
      </c>
      <c r="L5188" t="s">
        <v>6695</v>
      </c>
      <c r="O5188" t="s">
        <v>6694</v>
      </c>
      <c r="U5188" t="s">
        <v>6694</v>
      </c>
      <c r="W5188" t="s">
        <v>6720</v>
      </c>
    </row>
    <row r="5189" spans="1:23" ht="15.6" x14ac:dyDescent="0.4">
      <c r="A5189" s="2" t="s">
        <v>1202</v>
      </c>
      <c r="B5189" s="5" t="s">
        <v>11297</v>
      </c>
      <c r="C5189" s="7" t="s">
        <v>12556</v>
      </c>
      <c r="D5189" s="8">
        <f t="shared" si="328"/>
        <v>0</v>
      </c>
      <c r="E5189" s="7" t="s">
        <v>12557</v>
      </c>
      <c r="F5189" s="7">
        <f t="shared" si="329"/>
        <v>0</v>
      </c>
      <c r="G5189" s="7" t="s">
        <v>12558</v>
      </c>
      <c r="H5189" s="7">
        <f t="shared" si="330"/>
        <v>0</v>
      </c>
      <c r="I5189" s="7" t="str" cm="1">
        <f t="array" ref="I5189">IFERROR(_xlfn.IFS(M5189="נח",1,M5189="נע ונח",1,M5189="שני שווא נח",2,M5189="שני שוואים בסוף מילה",2,M5189="שני שוואים ברצף",1),"0")</f>
        <v>0</v>
      </c>
      <c r="J5189" s="9">
        <f t="shared" si="331"/>
        <v>2</v>
      </c>
      <c r="K5189" t="s">
        <v>6698</v>
      </c>
      <c r="L5189" t="s">
        <v>6695</v>
      </c>
      <c r="O5189" t="s">
        <v>6694</v>
      </c>
      <c r="V5189" t="s">
        <v>6694</v>
      </c>
      <c r="W5189" t="s">
        <v>6720</v>
      </c>
    </row>
    <row r="5190" spans="1:23" ht="15.6" x14ac:dyDescent="0.4">
      <c r="A5190" s="2" t="s">
        <v>5882</v>
      </c>
      <c r="B5190" s="5" t="s">
        <v>11298</v>
      </c>
      <c r="C5190" s="7" t="s">
        <v>12556</v>
      </c>
      <c r="D5190" s="8">
        <f t="shared" si="328"/>
        <v>0</v>
      </c>
      <c r="E5190" s="7" t="s">
        <v>12557</v>
      </c>
      <c r="F5190" s="7">
        <f t="shared" si="329"/>
        <v>0</v>
      </c>
      <c r="G5190" s="7" t="s">
        <v>12558</v>
      </c>
      <c r="H5190" s="7">
        <f t="shared" si="330"/>
        <v>0</v>
      </c>
      <c r="I5190" s="7" t="str" cm="1">
        <f t="array" ref="I5190">IFERROR(_xlfn.IFS(M5190="נח",1,M5190="נע ונח",1,M5190="שני שווא נח",2,M5190="שני שוואים בסוף מילה",2,M5190="שני שוואים ברצף",1),"0")</f>
        <v>0</v>
      </c>
      <c r="J5190" s="9">
        <f t="shared" si="331"/>
        <v>2</v>
      </c>
      <c r="K5190" t="s">
        <v>6698</v>
      </c>
      <c r="L5190" t="s">
        <v>6695</v>
      </c>
      <c r="O5190" t="s">
        <v>6694</v>
      </c>
      <c r="Q5190" t="s">
        <v>6694</v>
      </c>
      <c r="W5190" t="s">
        <v>6720</v>
      </c>
    </row>
    <row r="5191" spans="1:23" ht="15.6" x14ac:dyDescent="0.4">
      <c r="A5191" s="2" t="s">
        <v>2204</v>
      </c>
      <c r="B5191" s="5" t="s">
        <v>11299</v>
      </c>
      <c r="C5191" s="7" t="s">
        <v>12556</v>
      </c>
      <c r="D5191" s="8">
        <f t="shared" si="328"/>
        <v>0</v>
      </c>
      <c r="E5191" s="7" t="s">
        <v>12557</v>
      </c>
      <c r="F5191" s="7">
        <f t="shared" si="329"/>
        <v>2</v>
      </c>
      <c r="G5191" s="7" t="s">
        <v>12558</v>
      </c>
      <c r="H5191" s="7">
        <f t="shared" si="330"/>
        <v>1</v>
      </c>
      <c r="I5191" s="7" t="str" cm="1">
        <f t="array" ref="I5191">IFERROR(_xlfn.IFS(M5191="נח",1,M5191="נע ונח",1,M5191="שני שווא נח",2,M5191="שני שוואים בסוף מילה",2,M5191="שני שוואים ברצף",1),"0")</f>
        <v>0</v>
      </c>
      <c r="J5191" s="9">
        <f t="shared" si="331"/>
        <v>3</v>
      </c>
      <c r="K5191" t="s">
        <v>6697</v>
      </c>
      <c r="L5191" t="s">
        <v>6695</v>
      </c>
      <c r="O5191" t="s">
        <v>6694</v>
      </c>
      <c r="P5191" t="s">
        <v>6694</v>
      </c>
      <c r="U5191" t="s">
        <v>6694</v>
      </c>
      <c r="W5191" t="s">
        <v>6720</v>
      </c>
    </row>
    <row r="5192" spans="1:23" ht="15.6" x14ac:dyDescent="0.4">
      <c r="A5192" s="2" t="s">
        <v>5278</v>
      </c>
      <c r="B5192" s="5" t="s">
        <v>11300</v>
      </c>
      <c r="C5192" s="7" t="s">
        <v>12556</v>
      </c>
      <c r="D5192" s="8">
        <f t="shared" si="328"/>
        <v>0</v>
      </c>
      <c r="E5192" s="7" t="s">
        <v>12557</v>
      </c>
      <c r="F5192" s="7">
        <f t="shared" si="329"/>
        <v>2</v>
      </c>
      <c r="G5192" s="7" t="s">
        <v>12558</v>
      </c>
      <c r="H5192" s="7">
        <f t="shared" si="330"/>
        <v>1</v>
      </c>
      <c r="I5192" s="7" t="str" cm="1">
        <f t="array" ref="I5192">IFERROR(_xlfn.IFS(M5192="נח",1,M5192="נע ונח",1,M5192="שני שווא נח",2,M5192="שני שוואים בסוף מילה",2,M5192="שני שוואים ברצף",1),"0")</f>
        <v>0</v>
      </c>
      <c r="J5192" s="9">
        <f t="shared" si="331"/>
        <v>3</v>
      </c>
      <c r="K5192" t="s">
        <v>6697</v>
      </c>
      <c r="L5192" t="s">
        <v>6695</v>
      </c>
      <c r="O5192" t="s">
        <v>6694</v>
      </c>
      <c r="P5192" t="s">
        <v>6694</v>
      </c>
      <c r="U5192" t="s">
        <v>6694</v>
      </c>
      <c r="W5192" t="s">
        <v>6720</v>
      </c>
    </row>
    <row r="5193" spans="1:23" ht="15.6" x14ac:dyDescent="0.4">
      <c r="A5193" s="2" t="s">
        <v>4699</v>
      </c>
      <c r="B5193" s="5" t="s">
        <v>11301</v>
      </c>
      <c r="C5193" s="7" t="s">
        <v>12556</v>
      </c>
      <c r="D5193" s="8">
        <f t="shared" si="328"/>
        <v>0</v>
      </c>
      <c r="E5193" s="7" t="s">
        <v>12557</v>
      </c>
      <c r="F5193" s="7">
        <f t="shared" si="329"/>
        <v>1</v>
      </c>
      <c r="G5193" s="7" t="s">
        <v>12558</v>
      </c>
      <c r="H5193" s="7">
        <f t="shared" si="330"/>
        <v>1</v>
      </c>
      <c r="I5193" s="7" t="str" cm="1">
        <f t="array" ref="I5193">IFERROR(_xlfn.IFS(M5193="נח",1,M5193="נע ונח",1,M5193="שני שווא נח",2,M5193="שני שוואים בסוף מילה",2,M5193="שני שוואים ברצף",1),"0")</f>
        <v>0</v>
      </c>
      <c r="J5193" s="9">
        <f t="shared" si="331"/>
        <v>2</v>
      </c>
      <c r="K5193" t="s">
        <v>6697</v>
      </c>
      <c r="L5193" t="s">
        <v>6695</v>
      </c>
      <c r="O5193" t="s">
        <v>6694</v>
      </c>
      <c r="U5193" t="s">
        <v>6694</v>
      </c>
      <c r="W5193" t="s">
        <v>6720</v>
      </c>
    </row>
    <row r="5194" spans="1:23" ht="15.6" x14ac:dyDescent="0.4">
      <c r="A5194" s="2" t="s">
        <v>2269</v>
      </c>
      <c r="B5194" s="5" t="s">
        <v>11302</v>
      </c>
      <c r="C5194" s="7" t="s">
        <v>12556</v>
      </c>
      <c r="D5194" s="8">
        <f t="shared" si="328"/>
        <v>0</v>
      </c>
      <c r="E5194" s="7" t="s">
        <v>12557</v>
      </c>
      <c r="F5194" s="7">
        <f t="shared" si="329"/>
        <v>1</v>
      </c>
      <c r="G5194" s="7" t="s">
        <v>12558</v>
      </c>
      <c r="H5194" s="7">
        <f t="shared" si="330"/>
        <v>0</v>
      </c>
      <c r="I5194" s="7" cm="1">
        <f t="array" ref="I5194">IFERROR(_xlfn.IFS(M5194="נח",1,M5194="נע ונח",1,M5194="שני שווא נח",2,M5194="שני שוואים בסוף מילה",2,M5194="שני שוואים ברצף",1),"0")</f>
        <v>1</v>
      </c>
      <c r="J5194" s="9">
        <f t="shared" si="331"/>
        <v>3</v>
      </c>
      <c r="K5194" t="s">
        <v>6697</v>
      </c>
      <c r="L5194" t="s">
        <v>6694</v>
      </c>
      <c r="M5194" t="s">
        <v>6705</v>
      </c>
      <c r="O5194" t="s">
        <v>6694</v>
      </c>
      <c r="P5194" t="s">
        <v>6694</v>
      </c>
      <c r="S5194" t="s">
        <v>6694</v>
      </c>
      <c r="W5194" t="s">
        <v>6720</v>
      </c>
    </row>
    <row r="5195" spans="1:23" ht="15.6" x14ac:dyDescent="0.4">
      <c r="A5195" s="2" t="s">
        <v>3654</v>
      </c>
      <c r="B5195" s="5" t="s">
        <v>11303</v>
      </c>
      <c r="C5195" s="7" t="s">
        <v>12556</v>
      </c>
      <c r="D5195" s="8">
        <f t="shared" si="328"/>
        <v>0</v>
      </c>
      <c r="E5195" s="7" t="s">
        <v>12557</v>
      </c>
      <c r="F5195" s="7">
        <f t="shared" si="329"/>
        <v>0</v>
      </c>
      <c r="G5195" s="7" t="s">
        <v>12558</v>
      </c>
      <c r="H5195" s="7">
        <f t="shared" si="330"/>
        <v>0</v>
      </c>
      <c r="I5195" s="7" t="str" cm="1">
        <f t="array" ref="I5195">IFERROR(_xlfn.IFS(M5195="נח",1,M5195="נע ונח",1,M5195="שני שווא נח",2,M5195="שני שוואים בסוף מילה",2,M5195="שני שוואים ברצף",1),"0")</f>
        <v>0</v>
      </c>
      <c r="J5195" s="9">
        <f t="shared" si="331"/>
        <v>2</v>
      </c>
      <c r="K5195" t="s">
        <v>6698</v>
      </c>
      <c r="L5195" t="s">
        <v>6695</v>
      </c>
      <c r="O5195" t="s">
        <v>6694</v>
      </c>
      <c r="V5195" t="s">
        <v>6694</v>
      </c>
      <c r="W5195" t="s">
        <v>6720</v>
      </c>
    </row>
    <row r="5196" spans="1:23" ht="15.6" x14ac:dyDescent="0.4">
      <c r="A5196" s="2" t="s">
        <v>1334</v>
      </c>
      <c r="B5196" s="5" t="s">
        <v>11304</v>
      </c>
      <c r="C5196" s="7" t="s">
        <v>12556</v>
      </c>
      <c r="D5196" s="8">
        <f t="shared" si="328"/>
        <v>0</v>
      </c>
      <c r="E5196" s="7" t="s">
        <v>12557</v>
      </c>
      <c r="F5196" s="7">
        <f t="shared" si="329"/>
        <v>0</v>
      </c>
      <c r="G5196" s="7" t="s">
        <v>12558</v>
      </c>
      <c r="H5196" s="7">
        <f t="shared" si="330"/>
        <v>0</v>
      </c>
      <c r="I5196" s="7" t="str" cm="1">
        <f t="array" ref="I5196">IFERROR(_xlfn.IFS(M5196="נח",1,M5196="נע ונח",1,M5196="שני שווא נח",2,M5196="שני שוואים בסוף מילה",2,M5196="שני שוואים ברצף",1),"0")</f>
        <v>0</v>
      </c>
      <c r="J5196" s="9">
        <f t="shared" si="331"/>
        <v>2</v>
      </c>
      <c r="K5196" t="s">
        <v>6698</v>
      </c>
      <c r="L5196" t="s">
        <v>6695</v>
      </c>
      <c r="O5196" t="s">
        <v>6694</v>
      </c>
      <c r="S5196" t="s">
        <v>6694</v>
      </c>
      <c r="W5196" t="s">
        <v>6720</v>
      </c>
    </row>
    <row r="5197" spans="1:23" ht="15.6" x14ac:dyDescent="0.4">
      <c r="A5197" s="2" t="s">
        <v>6643</v>
      </c>
      <c r="B5197" s="5" t="s">
        <v>11305</v>
      </c>
      <c r="C5197" s="7" t="s">
        <v>12556</v>
      </c>
      <c r="D5197" s="8">
        <f t="shared" si="328"/>
        <v>0</v>
      </c>
      <c r="E5197" s="7" t="s">
        <v>12557</v>
      </c>
      <c r="F5197" s="7">
        <f t="shared" si="329"/>
        <v>1</v>
      </c>
      <c r="G5197" s="7" t="s">
        <v>12558</v>
      </c>
      <c r="H5197" s="7">
        <f t="shared" si="330"/>
        <v>1</v>
      </c>
      <c r="I5197" s="7" t="str" cm="1">
        <f t="array" ref="I5197">IFERROR(_xlfn.IFS(M5197="נח",1,M5197="נע ונח",1,M5197="שני שווא נח",2,M5197="שני שוואים בסוף מילה",2,M5197="שני שוואים ברצף",1),"0")</f>
        <v>0</v>
      </c>
      <c r="J5197" s="9">
        <f t="shared" si="331"/>
        <v>3</v>
      </c>
      <c r="K5197" t="s">
        <v>6697</v>
      </c>
      <c r="L5197" t="s">
        <v>6695</v>
      </c>
      <c r="O5197" t="s">
        <v>6694</v>
      </c>
      <c r="Q5197" t="s">
        <v>6694</v>
      </c>
      <c r="U5197" t="s">
        <v>6694</v>
      </c>
      <c r="W5197" t="s">
        <v>6720</v>
      </c>
    </row>
    <row r="5198" spans="1:23" ht="15.6" x14ac:dyDescent="0.4">
      <c r="A5198" s="2" t="s">
        <v>860</v>
      </c>
      <c r="B5198" s="5" t="s">
        <v>11306</v>
      </c>
      <c r="C5198" s="7" t="s">
        <v>12556</v>
      </c>
      <c r="D5198" s="8">
        <f t="shared" si="328"/>
        <v>0</v>
      </c>
      <c r="E5198" s="7" t="s">
        <v>12557</v>
      </c>
      <c r="F5198" s="7">
        <f t="shared" si="329"/>
        <v>1</v>
      </c>
      <c r="G5198" s="7" t="s">
        <v>12558</v>
      </c>
      <c r="H5198" s="7">
        <f t="shared" si="330"/>
        <v>1</v>
      </c>
      <c r="I5198" s="7" cm="1">
        <f t="array" ref="I5198">IFERROR(_xlfn.IFS(M5198="נח",1,M5198="נע ונח",1,M5198="שני שווא נח",2,M5198="שני שוואים בסוף מילה",2,M5198="שני שוואים ברצף",1),"0")</f>
        <v>1</v>
      </c>
      <c r="J5198" s="9">
        <f t="shared" si="331"/>
        <v>2</v>
      </c>
      <c r="K5198" t="s">
        <v>6697</v>
      </c>
      <c r="L5198" t="s">
        <v>6694</v>
      </c>
      <c r="M5198" t="s">
        <v>6705</v>
      </c>
      <c r="N5198" t="s">
        <v>6706</v>
      </c>
      <c r="O5198" t="s">
        <v>6694</v>
      </c>
      <c r="U5198" t="s">
        <v>6694</v>
      </c>
      <c r="W5198" t="s">
        <v>6720</v>
      </c>
    </row>
    <row r="5199" spans="1:23" ht="15.6" x14ac:dyDescent="0.4">
      <c r="A5199" s="2" t="s">
        <v>3278</v>
      </c>
      <c r="B5199" s="5" t="s">
        <v>11251</v>
      </c>
      <c r="C5199" s="7" t="s">
        <v>12556</v>
      </c>
      <c r="D5199" s="8">
        <f t="shared" si="328"/>
        <v>1</v>
      </c>
      <c r="E5199" s="7" t="s">
        <v>12557</v>
      </c>
      <c r="F5199" s="7">
        <f t="shared" si="329"/>
        <v>0</v>
      </c>
      <c r="G5199" s="7" t="s">
        <v>12558</v>
      </c>
      <c r="H5199" s="7">
        <f t="shared" si="330"/>
        <v>0</v>
      </c>
      <c r="I5199" s="7" t="str" cm="1">
        <f t="array" ref="I5199">IFERROR(_xlfn.IFS(M5199="נח",1,M5199="נע ונח",1,M5199="שני שווא נח",2,M5199="שני שוואים בסוף מילה",2,M5199="שני שוואים ברצף",1),"0")</f>
        <v>0</v>
      </c>
      <c r="J5199" s="9">
        <f t="shared" si="331"/>
        <v>2</v>
      </c>
      <c r="K5199" t="s">
        <v>6698</v>
      </c>
      <c r="L5199" t="s">
        <v>6695</v>
      </c>
      <c r="O5199" t="s">
        <v>6694</v>
      </c>
      <c r="R5199" t="s">
        <v>6694</v>
      </c>
      <c r="W5199" t="s">
        <v>6720</v>
      </c>
    </row>
    <row r="5200" spans="1:23" ht="15.6" x14ac:dyDescent="0.4">
      <c r="A5200" s="2" t="s">
        <v>5995</v>
      </c>
      <c r="B5200" s="5" t="s">
        <v>11307</v>
      </c>
      <c r="C5200" s="7" t="s">
        <v>12556</v>
      </c>
      <c r="D5200" s="8">
        <f t="shared" si="328"/>
        <v>0</v>
      </c>
      <c r="E5200" s="7" t="s">
        <v>12557</v>
      </c>
      <c r="F5200" s="7">
        <f t="shared" si="329"/>
        <v>1</v>
      </c>
      <c r="G5200" s="7" t="s">
        <v>12558</v>
      </c>
      <c r="H5200" s="7">
        <f t="shared" si="330"/>
        <v>0</v>
      </c>
      <c r="I5200" s="7" cm="1">
        <f t="array" ref="I5200">IFERROR(_xlfn.IFS(M5200="נח",1,M5200="נע ונח",1,M5200="שני שווא נח",2,M5200="שני שוואים בסוף מילה",2,M5200="שני שוואים ברצף",1),"0")</f>
        <v>1</v>
      </c>
      <c r="J5200" s="9">
        <f t="shared" si="331"/>
        <v>3</v>
      </c>
      <c r="K5200" t="s">
        <v>6697</v>
      </c>
      <c r="L5200" t="s">
        <v>6694</v>
      </c>
      <c r="M5200" t="s">
        <v>6705</v>
      </c>
      <c r="N5200" t="s">
        <v>6706</v>
      </c>
      <c r="O5200" t="s">
        <v>6694</v>
      </c>
      <c r="S5200" t="s">
        <v>6694</v>
      </c>
      <c r="W5200" t="s">
        <v>6720</v>
      </c>
    </row>
    <row r="5201" spans="1:23" ht="15.6" x14ac:dyDescent="0.4">
      <c r="A5201" s="2" t="s">
        <v>147</v>
      </c>
      <c r="B5201" s="5" t="s">
        <v>11139</v>
      </c>
      <c r="C5201" s="7" t="s">
        <v>12556</v>
      </c>
      <c r="D5201" s="8">
        <f t="shared" si="328"/>
        <v>0</v>
      </c>
      <c r="E5201" s="7" t="s">
        <v>12557</v>
      </c>
      <c r="F5201" s="7">
        <f t="shared" si="329"/>
        <v>0</v>
      </c>
      <c r="G5201" s="7" t="s">
        <v>12558</v>
      </c>
      <c r="H5201" s="7">
        <f t="shared" si="330"/>
        <v>0</v>
      </c>
      <c r="I5201" s="7" t="str" cm="1">
        <f t="array" ref="I5201">IFERROR(_xlfn.IFS(M5201="נח",1,M5201="נע ונח",1,M5201="שני שווא נח",2,M5201="שני שוואים בסוף מילה",2,M5201="שני שוואים ברצף",1),"0")</f>
        <v>0</v>
      </c>
      <c r="J5201" s="9">
        <f t="shared" si="331"/>
        <v>2</v>
      </c>
      <c r="K5201" t="s">
        <v>6697</v>
      </c>
      <c r="L5201" t="s">
        <v>6695</v>
      </c>
      <c r="O5201" t="s">
        <v>6694</v>
      </c>
      <c r="S5201" t="s">
        <v>6694</v>
      </c>
      <c r="W5201" t="s">
        <v>6720</v>
      </c>
    </row>
    <row r="5202" spans="1:23" ht="15.6" x14ac:dyDescent="0.4">
      <c r="A5202" s="2" t="s">
        <v>4164</v>
      </c>
      <c r="B5202" s="5" t="s">
        <v>11308</v>
      </c>
      <c r="C5202" s="7" t="s">
        <v>12556</v>
      </c>
      <c r="D5202" s="8">
        <f t="shared" si="328"/>
        <v>0</v>
      </c>
      <c r="E5202" s="7" t="s">
        <v>12557</v>
      </c>
      <c r="F5202" s="7">
        <f t="shared" si="329"/>
        <v>0</v>
      </c>
      <c r="G5202" s="7" t="s">
        <v>12558</v>
      </c>
      <c r="H5202" s="7">
        <f t="shared" si="330"/>
        <v>0</v>
      </c>
      <c r="I5202" s="7" t="str" cm="1">
        <f t="array" ref="I5202">IFERROR(_xlfn.IFS(M5202="נח",1,M5202="נע ונח",1,M5202="שני שווא נח",2,M5202="שני שוואים בסוף מילה",2,M5202="שני שוואים ברצף",1),"0")</f>
        <v>0</v>
      </c>
      <c r="J5202" s="9">
        <f t="shared" si="331"/>
        <v>2</v>
      </c>
      <c r="K5202" t="s">
        <v>6698</v>
      </c>
      <c r="L5202" t="s">
        <v>6695</v>
      </c>
      <c r="N5202" t="s">
        <v>6706</v>
      </c>
      <c r="O5202" t="s">
        <v>6694</v>
      </c>
      <c r="W5202" t="s">
        <v>6720</v>
      </c>
    </row>
    <row r="5203" spans="1:23" ht="15.6" x14ac:dyDescent="0.4">
      <c r="A5203" s="2" t="s">
        <v>2967</v>
      </c>
      <c r="B5203" s="5" t="s">
        <v>11309</v>
      </c>
      <c r="C5203" s="7" t="s">
        <v>12556</v>
      </c>
      <c r="D5203" s="8">
        <f t="shared" si="328"/>
        <v>0</v>
      </c>
      <c r="E5203" s="7" t="s">
        <v>12557</v>
      </c>
      <c r="F5203" s="7">
        <f t="shared" si="329"/>
        <v>0</v>
      </c>
      <c r="G5203" s="7" t="s">
        <v>12558</v>
      </c>
      <c r="H5203" s="7">
        <f t="shared" si="330"/>
        <v>0</v>
      </c>
      <c r="I5203" s="7" t="str" cm="1">
        <f t="array" ref="I5203">IFERROR(_xlfn.IFS(M5203="נח",1,M5203="נע ונח",1,M5203="שני שווא נח",2,M5203="שני שוואים בסוף מילה",2,M5203="שני שוואים ברצף",1),"0")</f>
        <v>0</v>
      </c>
      <c r="J5203" s="9">
        <f t="shared" si="331"/>
        <v>3</v>
      </c>
      <c r="K5203" t="s">
        <v>6697</v>
      </c>
      <c r="L5203" t="s">
        <v>6695</v>
      </c>
      <c r="O5203" t="s">
        <v>6694</v>
      </c>
      <c r="P5203" t="s">
        <v>6694</v>
      </c>
      <c r="S5203" t="s">
        <v>6694</v>
      </c>
      <c r="W5203" t="s">
        <v>6720</v>
      </c>
    </row>
    <row r="5204" spans="1:23" ht="15.6" x14ac:dyDescent="0.4">
      <c r="A5204" s="2" t="s">
        <v>2964</v>
      </c>
      <c r="B5204" s="5" t="s">
        <v>11310</v>
      </c>
      <c r="C5204" s="7" t="s">
        <v>12556</v>
      </c>
      <c r="D5204" s="8">
        <f t="shared" si="328"/>
        <v>0</v>
      </c>
      <c r="E5204" s="7" t="s">
        <v>12557</v>
      </c>
      <c r="F5204" s="7">
        <f t="shared" si="329"/>
        <v>0</v>
      </c>
      <c r="G5204" s="7" t="s">
        <v>12558</v>
      </c>
      <c r="H5204" s="7">
        <f t="shared" si="330"/>
        <v>0</v>
      </c>
      <c r="I5204" s="7" t="str" cm="1">
        <f t="array" ref="I5204">IFERROR(_xlfn.IFS(M5204="נח",1,M5204="נע ונח",1,M5204="שני שווא נח",2,M5204="שני שוואים בסוף מילה",2,M5204="שני שוואים ברצף",1),"0")</f>
        <v>0</v>
      </c>
      <c r="J5204" s="9">
        <f t="shared" si="331"/>
        <v>3</v>
      </c>
      <c r="K5204" t="s">
        <v>6697</v>
      </c>
      <c r="L5204" t="s">
        <v>6695</v>
      </c>
      <c r="O5204" t="s">
        <v>6694</v>
      </c>
      <c r="S5204" t="s">
        <v>6694</v>
      </c>
      <c r="W5204" t="s">
        <v>6720</v>
      </c>
    </row>
    <row r="5205" spans="1:23" ht="15.6" x14ac:dyDescent="0.4">
      <c r="A5205" s="2" t="s">
        <v>5937</v>
      </c>
      <c r="B5205" s="5" t="s">
        <v>11311</v>
      </c>
      <c r="C5205" s="7" t="s">
        <v>12556</v>
      </c>
      <c r="D5205" s="8">
        <f t="shared" si="328"/>
        <v>1</v>
      </c>
      <c r="E5205" s="7" t="s">
        <v>12557</v>
      </c>
      <c r="F5205" s="7">
        <f t="shared" si="329"/>
        <v>0</v>
      </c>
      <c r="G5205" s="7" t="s">
        <v>12558</v>
      </c>
      <c r="H5205" s="7">
        <f t="shared" si="330"/>
        <v>0</v>
      </c>
      <c r="I5205" s="7" t="str" cm="1">
        <f t="array" ref="I5205">IFERROR(_xlfn.IFS(M5205="נח",1,M5205="נע ונח",1,M5205="שני שווא נח",2,M5205="שני שוואים בסוף מילה",2,M5205="שני שוואים ברצף",1),"0")</f>
        <v>0</v>
      </c>
      <c r="J5205" s="9">
        <f t="shared" si="331"/>
        <v>2</v>
      </c>
      <c r="K5205" t="s">
        <v>6698</v>
      </c>
      <c r="L5205" t="s">
        <v>6695</v>
      </c>
      <c r="O5205" t="s">
        <v>6694</v>
      </c>
      <c r="S5205" t="s">
        <v>6694</v>
      </c>
      <c r="W5205" t="s">
        <v>6720</v>
      </c>
    </row>
    <row r="5206" spans="1:23" ht="15.6" x14ac:dyDescent="0.4">
      <c r="A5206" s="2" t="s">
        <v>3350</v>
      </c>
      <c r="B5206" s="5" t="s">
        <v>11312</v>
      </c>
      <c r="C5206" s="7" t="s">
        <v>12556</v>
      </c>
      <c r="D5206" s="8">
        <f t="shared" si="328"/>
        <v>1</v>
      </c>
      <c r="E5206" s="7" t="s">
        <v>12557</v>
      </c>
      <c r="F5206" s="7">
        <f t="shared" si="329"/>
        <v>0</v>
      </c>
      <c r="G5206" s="7" t="s">
        <v>12558</v>
      </c>
      <c r="H5206" s="7">
        <f t="shared" si="330"/>
        <v>0</v>
      </c>
      <c r="I5206" s="7" t="str" cm="1">
        <f t="array" ref="I5206">IFERROR(_xlfn.IFS(M5206="נח",1,M5206="נע ונח",1,M5206="שני שווא נח",2,M5206="שני שוואים בסוף מילה",2,M5206="שני שוואים ברצף",1),"0")</f>
        <v>0</v>
      </c>
      <c r="J5206" s="9">
        <f t="shared" si="331"/>
        <v>3</v>
      </c>
      <c r="K5206" t="s">
        <v>6697</v>
      </c>
      <c r="L5206" t="s">
        <v>6695</v>
      </c>
      <c r="O5206" t="s">
        <v>6694</v>
      </c>
      <c r="S5206" t="s">
        <v>6694</v>
      </c>
      <c r="W5206" t="s">
        <v>6720</v>
      </c>
    </row>
    <row r="5207" spans="1:23" ht="15.6" x14ac:dyDescent="0.4">
      <c r="A5207" s="2" t="s">
        <v>6565</v>
      </c>
      <c r="B5207" s="5" t="s">
        <v>11313</v>
      </c>
      <c r="C5207" s="7" t="s">
        <v>12556</v>
      </c>
      <c r="D5207" s="8">
        <f t="shared" si="328"/>
        <v>1</v>
      </c>
      <c r="E5207" s="7" t="s">
        <v>12557</v>
      </c>
      <c r="F5207" s="7">
        <f t="shared" si="329"/>
        <v>0</v>
      </c>
      <c r="G5207" s="7" t="s">
        <v>12558</v>
      </c>
      <c r="H5207" s="7">
        <f t="shared" si="330"/>
        <v>0</v>
      </c>
      <c r="I5207" s="7" t="str" cm="1">
        <f t="array" ref="I5207">IFERROR(_xlfn.IFS(M5207="נח",1,M5207="נע ונח",1,M5207="שני שווא נח",2,M5207="שני שוואים בסוף מילה",2,M5207="שני שוואים ברצף",1),"0")</f>
        <v>0</v>
      </c>
      <c r="J5207" s="9">
        <f t="shared" si="331"/>
        <v>2</v>
      </c>
      <c r="K5207" t="s">
        <v>6698</v>
      </c>
      <c r="L5207" t="s">
        <v>6695</v>
      </c>
      <c r="O5207" t="s">
        <v>6694</v>
      </c>
      <c r="R5207" t="s">
        <v>6694</v>
      </c>
      <c r="W5207" t="s">
        <v>6720</v>
      </c>
    </row>
    <row r="5208" spans="1:23" ht="15.6" x14ac:dyDescent="0.4">
      <c r="A5208" s="2" t="s">
        <v>6534</v>
      </c>
      <c r="B5208" s="5" t="s">
        <v>11278</v>
      </c>
      <c r="C5208" s="7" t="s">
        <v>12556</v>
      </c>
      <c r="D5208" s="8">
        <f t="shared" si="328"/>
        <v>1</v>
      </c>
      <c r="E5208" s="7" t="s">
        <v>12557</v>
      </c>
      <c r="F5208" s="7">
        <f t="shared" si="329"/>
        <v>1</v>
      </c>
      <c r="G5208" s="7" t="s">
        <v>12558</v>
      </c>
      <c r="H5208" s="7">
        <f t="shared" si="330"/>
        <v>1</v>
      </c>
      <c r="I5208" s="7" t="str" cm="1">
        <f t="array" ref="I5208">IFERROR(_xlfn.IFS(M5208="נח",1,M5208="נע ונח",1,M5208="שני שווא נח",2,M5208="שני שוואים בסוף מילה",2,M5208="שני שוואים ברצף",1),"0")</f>
        <v>0</v>
      </c>
      <c r="J5208" s="9">
        <f t="shared" si="331"/>
        <v>3</v>
      </c>
      <c r="K5208" t="s">
        <v>6697</v>
      </c>
      <c r="L5208" t="s">
        <v>6695</v>
      </c>
      <c r="O5208" t="s">
        <v>6694</v>
      </c>
      <c r="U5208" t="s">
        <v>6694</v>
      </c>
      <c r="W5208" t="s">
        <v>6720</v>
      </c>
    </row>
    <row r="5209" spans="1:23" ht="15.6" x14ac:dyDescent="0.4">
      <c r="A5209" s="2" t="s">
        <v>2183</v>
      </c>
      <c r="B5209" s="5" t="s">
        <v>11314</v>
      </c>
      <c r="C5209" s="7" t="s">
        <v>12556</v>
      </c>
      <c r="D5209" s="8">
        <f t="shared" si="328"/>
        <v>1</v>
      </c>
      <c r="E5209" s="7" t="s">
        <v>12557</v>
      </c>
      <c r="F5209" s="7">
        <f t="shared" si="329"/>
        <v>1</v>
      </c>
      <c r="G5209" s="7" t="s">
        <v>12558</v>
      </c>
      <c r="H5209" s="7">
        <f t="shared" si="330"/>
        <v>1</v>
      </c>
      <c r="I5209" s="7" cm="1">
        <f t="array" ref="I5209">IFERROR(_xlfn.IFS(M5209="נח",1,M5209="נע ונח",1,M5209="שני שווא נח",2,M5209="שני שוואים בסוף מילה",2,M5209="שני שוואים ברצף",1),"0")</f>
        <v>1</v>
      </c>
      <c r="J5209" s="9">
        <f t="shared" si="331"/>
        <v>2</v>
      </c>
      <c r="K5209" t="s">
        <v>6697</v>
      </c>
      <c r="L5209" t="s">
        <v>6694</v>
      </c>
      <c r="M5209" t="s">
        <v>6705</v>
      </c>
      <c r="O5209" t="s">
        <v>6694</v>
      </c>
      <c r="U5209" t="s">
        <v>6694</v>
      </c>
      <c r="W5209" t="s">
        <v>6720</v>
      </c>
    </row>
    <row r="5210" spans="1:23" ht="15.6" x14ac:dyDescent="0.4">
      <c r="A5210" s="2" t="s">
        <v>2569</v>
      </c>
      <c r="B5210" s="5" t="s">
        <v>11146</v>
      </c>
      <c r="C5210" s="7" t="s">
        <v>12556</v>
      </c>
      <c r="D5210" s="8">
        <f t="shared" si="328"/>
        <v>1</v>
      </c>
      <c r="E5210" s="7" t="s">
        <v>12557</v>
      </c>
      <c r="F5210" s="7">
        <f t="shared" si="329"/>
        <v>0</v>
      </c>
      <c r="G5210" s="7" t="s">
        <v>12558</v>
      </c>
      <c r="H5210" s="7">
        <f t="shared" si="330"/>
        <v>0</v>
      </c>
      <c r="I5210" s="7" t="str" cm="1">
        <f t="array" ref="I5210">IFERROR(_xlfn.IFS(M5210="נח",1,M5210="נע ונח",1,M5210="שני שווא נח",2,M5210="שני שוואים בסוף מילה",2,M5210="שני שוואים ברצף",1),"0")</f>
        <v>0</v>
      </c>
      <c r="J5210" s="9">
        <f t="shared" si="331"/>
        <v>2</v>
      </c>
      <c r="K5210" t="s">
        <v>6697</v>
      </c>
      <c r="L5210" t="s">
        <v>6695</v>
      </c>
      <c r="O5210" t="s">
        <v>6694</v>
      </c>
      <c r="W5210" t="s">
        <v>6720</v>
      </c>
    </row>
    <row r="5211" spans="1:23" ht="15.6" x14ac:dyDescent="0.4">
      <c r="A5211" s="2" t="s">
        <v>4588</v>
      </c>
      <c r="B5211" s="5" t="s">
        <v>11315</v>
      </c>
      <c r="C5211" s="7" t="s">
        <v>12556</v>
      </c>
      <c r="D5211" s="8">
        <f t="shared" si="328"/>
        <v>1</v>
      </c>
      <c r="E5211" s="7" t="s">
        <v>12557</v>
      </c>
      <c r="F5211" s="7">
        <f t="shared" si="329"/>
        <v>0</v>
      </c>
      <c r="G5211" s="7" t="s">
        <v>12558</v>
      </c>
      <c r="H5211" s="7">
        <f t="shared" si="330"/>
        <v>0</v>
      </c>
      <c r="I5211" s="7" t="str" cm="1">
        <f t="array" ref="I5211">IFERROR(_xlfn.IFS(M5211="נח",1,M5211="נע ונח",1,M5211="שני שווא נח",2,M5211="שני שוואים בסוף מילה",2,M5211="שני שוואים ברצף",1),"0")</f>
        <v>0</v>
      </c>
      <c r="J5211" s="9">
        <f t="shared" si="331"/>
        <v>3</v>
      </c>
      <c r="K5211" t="s">
        <v>6697</v>
      </c>
      <c r="L5211" t="s">
        <v>6695</v>
      </c>
      <c r="O5211" t="s">
        <v>6694</v>
      </c>
      <c r="S5211" t="s">
        <v>6694</v>
      </c>
      <c r="W5211" t="s">
        <v>6720</v>
      </c>
    </row>
    <row r="5212" spans="1:23" ht="15.6" x14ac:dyDescent="0.4">
      <c r="A5212" s="2" t="s">
        <v>2704</v>
      </c>
      <c r="B5212" s="5" t="s">
        <v>11316</v>
      </c>
      <c r="C5212" s="7" t="s">
        <v>12556</v>
      </c>
      <c r="D5212" s="8">
        <f t="shared" si="328"/>
        <v>1</v>
      </c>
      <c r="E5212" s="7" t="s">
        <v>12557</v>
      </c>
      <c r="F5212" s="7">
        <f t="shared" si="329"/>
        <v>0</v>
      </c>
      <c r="G5212" s="7" t="s">
        <v>12558</v>
      </c>
      <c r="H5212" s="7">
        <f t="shared" si="330"/>
        <v>0</v>
      </c>
      <c r="I5212" s="7" t="str" cm="1">
        <f t="array" ref="I5212">IFERROR(_xlfn.IFS(M5212="נח",1,M5212="נע ונח",1,M5212="שני שווא נח",2,M5212="שני שוואים בסוף מילה",2,M5212="שני שוואים ברצף",1),"0")</f>
        <v>0</v>
      </c>
      <c r="J5212" s="9">
        <f t="shared" si="331"/>
        <v>3</v>
      </c>
      <c r="K5212" t="s">
        <v>6698</v>
      </c>
      <c r="L5212" t="s">
        <v>6695</v>
      </c>
      <c r="O5212" t="s">
        <v>6694</v>
      </c>
      <c r="W5212" t="s">
        <v>6720</v>
      </c>
    </row>
    <row r="5213" spans="1:23" ht="15.6" x14ac:dyDescent="0.4">
      <c r="A5213" s="2" t="s">
        <v>5084</v>
      </c>
      <c r="B5213" s="5" t="s">
        <v>11146</v>
      </c>
      <c r="C5213" s="7" t="s">
        <v>12556</v>
      </c>
      <c r="D5213" s="8">
        <f t="shared" si="328"/>
        <v>1</v>
      </c>
      <c r="E5213" s="7" t="s">
        <v>12557</v>
      </c>
      <c r="F5213" s="7">
        <f t="shared" si="329"/>
        <v>0</v>
      </c>
      <c r="G5213" s="7" t="s">
        <v>12558</v>
      </c>
      <c r="H5213" s="7">
        <f t="shared" si="330"/>
        <v>0</v>
      </c>
      <c r="I5213" s="7" t="str" cm="1">
        <f t="array" ref="I5213">IFERROR(_xlfn.IFS(M5213="נח",1,M5213="נע ונח",1,M5213="שני שווא נח",2,M5213="שני שוואים בסוף מילה",2,M5213="שני שוואים ברצף",1),"0")</f>
        <v>0</v>
      </c>
      <c r="J5213" s="9">
        <f t="shared" si="331"/>
        <v>2</v>
      </c>
      <c r="K5213" t="s">
        <v>6697</v>
      </c>
      <c r="L5213" t="s">
        <v>6695</v>
      </c>
      <c r="O5213" t="s">
        <v>6694</v>
      </c>
      <c r="T5213" t="s">
        <v>6694</v>
      </c>
      <c r="W5213" t="s">
        <v>6720</v>
      </c>
    </row>
    <row r="5214" spans="1:23" ht="15.6" x14ac:dyDescent="0.4">
      <c r="A5214" s="2" t="s">
        <v>3144</v>
      </c>
      <c r="B5214" s="5" t="s">
        <v>11317</v>
      </c>
      <c r="C5214" s="7" t="s">
        <v>12556</v>
      </c>
      <c r="D5214" s="8">
        <f t="shared" si="328"/>
        <v>0</v>
      </c>
      <c r="E5214" s="7" t="s">
        <v>12557</v>
      </c>
      <c r="F5214" s="7">
        <f t="shared" si="329"/>
        <v>0</v>
      </c>
      <c r="G5214" s="7" t="s">
        <v>12558</v>
      </c>
      <c r="H5214" s="7">
        <f t="shared" si="330"/>
        <v>0</v>
      </c>
      <c r="I5214" s="7" cm="1">
        <f t="array" ref="I5214">IFERROR(_xlfn.IFS(M5214="נח",1,M5214="נע ונח",1,M5214="שני שווא נח",2,M5214="שני שוואים בסוף מילה",2,M5214="שני שוואים ברצף",1),"0")</f>
        <v>1</v>
      </c>
      <c r="J5214" s="9">
        <f t="shared" si="331"/>
        <v>2</v>
      </c>
      <c r="K5214" t="s">
        <v>6697</v>
      </c>
      <c r="L5214" t="s">
        <v>6694</v>
      </c>
      <c r="M5214" t="s">
        <v>6705</v>
      </c>
      <c r="N5214" t="s">
        <v>6706</v>
      </c>
      <c r="O5214" t="s">
        <v>6694</v>
      </c>
      <c r="W5214" t="s">
        <v>6720</v>
      </c>
    </row>
    <row r="5215" spans="1:23" ht="15.6" x14ac:dyDescent="0.4">
      <c r="A5215" s="2" t="s">
        <v>4767</v>
      </c>
      <c r="B5215" s="5" t="s">
        <v>11318</v>
      </c>
      <c r="C5215" s="7" t="s">
        <v>12556</v>
      </c>
      <c r="D5215" s="8">
        <f t="shared" si="328"/>
        <v>0</v>
      </c>
      <c r="E5215" s="7" t="s">
        <v>12557</v>
      </c>
      <c r="F5215" s="7">
        <f t="shared" si="329"/>
        <v>1</v>
      </c>
      <c r="G5215" s="7" t="s">
        <v>12558</v>
      </c>
      <c r="H5215" s="7">
        <f t="shared" si="330"/>
        <v>1</v>
      </c>
      <c r="I5215" s="7" cm="1">
        <f t="array" ref="I5215">IFERROR(_xlfn.IFS(M5215="נח",1,M5215="נע ונח",1,M5215="שני שווא נח",2,M5215="שני שוואים בסוף מילה",2,M5215="שני שוואים ברצף",1),"0")</f>
        <v>1</v>
      </c>
      <c r="J5215" s="9">
        <f t="shared" si="331"/>
        <v>2</v>
      </c>
      <c r="K5215" t="s">
        <v>6697</v>
      </c>
      <c r="L5215" t="s">
        <v>6694</v>
      </c>
      <c r="M5215" t="s">
        <v>6705</v>
      </c>
      <c r="N5215" t="s">
        <v>6706</v>
      </c>
      <c r="O5215" t="s">
        <v>6694</v>
      </c>
      <c r="U5215" t="s">
        <v>6694</v>
      </c>
      <c r="W5215" t="s">
        <v>6720</v>
      </c>
    </row>
    <row r="5216" spans="1:23" ht="15.6" x14ac:dyDescent="0.4">
      <c r="A5216" s="2" t="s">
        <v>1159</v>
      </c>
      <c r="B5216" s="5" t="s">
        <v>11319</v>
      </c>
      <c r="C5216" s="7" t="s">
        <v>12556</v>
      </c>
      <c r="D5216" s="8">
        <f t="shared" si="328"/>
        <v>0</v>
      </c>
      <c r="E5216" s="7" t="s">
        <v>12557</v>
      </c>
      <c r="F5216" s="7">
        <f t="shared" si="329"/>
        <v>0</v>
      </c>
      <c r="G5216" s="7" t="s">
        <v>12558</v>
      </c>
      <c r="H5216" s="7">
        <f t="shared" si="330"/>
        <v>0</v>
      </c>
      <c r="I5216" s="7" t="str" cm="1">
        <f t="array" ref="I5216">IFERROR(_xlfn.IFS(M5216="נח",1,M5216="נע ונח",1,M5216="שני שווא נח",2,M5216="שני שוואים בסוף מילה",2,M5216="שני שוואים ברצף",1),"0")</f>
        <v>0</v>
      </c>
      <c r="J5216" s="9">
        <f t="shared" si="331"/>
        <v>2</v>
      </c>
      <c r="K5216" t="s">
        <v>6698</v>
      </c>
      <c r="L5216" t="s">
        <v>6695</v>
      </c>
      <c r="O5216" t="s">
        <v>6694</v>
      </c>
      <c r="P5216" t="s">
        <v>6694</v>
      </c>
      <c r="W5216" t="s">
        <v>6720</v>
      </c>
    </row>
    <row r="5217" spans="1:23" ht="15.6" x14ac:dyDescent="0.4">
      <c r="A5217" s="2" t="s">
        <v>2389</v>
      </c>
      <c r="B5217" s="5" t="s">
        <v>11320</v>
      </c>
      <c r="C5217" s="7" t="s">
        <v>12556</v>
      </c>
      <c r="D5217" s="8">
        <f t="shared" si="328"/>
        <v>1</v>
      </c>
      <c r="E5217" s="7" t="s">
        <v>12557</v>
      </c>
      <c r="F5217" s="7">
        <f t="shared" si="329"/>
        <v>1</v>
      </c>
      <c r="G5217" s="7" t="s">
        <v>12558</v>
      </c>
      <c r="H5217" s="7">
        <f t="shared" si="330"/>
        <v>0</v>
      </c>
      <c r="I5217" s="7" cm="1">
        <f t="array" ref="I5217">IFERROR(_xlfn.IFS(M5217="נח",1,M5217="נע ונח",1,M5217="שני שווא נח",2,M5217="שני שוואים בסוף מילה",2,M5217="שני שוואים ברצף",1),"0")</f>
        <v>1</v>
      </c>
      <c r="J5217" s="9">
        <f t="shared" si="331"/>
        <v>3</v>
      </c>
      <c r="K5217" t="s">
        <v>6698</v>
      </c>
      <c r="L5217" t="s">
        <v>6694</v>
      </c>
      <c r="M5217" t="s">
        <v>6705</v>
      </c>
      <c r="O5217" t="s">
        <v>6694</v>
      </c>
      <c r="P5217" t="s">
        <v>6694</v>
      </c>
      <c r="W5217" t="s">
        <v>6720</v>
      </c>
    </row>
    <row r="5218" spans="1:23" ht="15.6" x14ac:dyDescent="0.4">
      <c r="A5218" s="2" t="s">
        <v>4283</v>
      </c>
      <c r="B5218" s="5" t="s">
        <v>11321</v>
      </c>
      <c r="C5218" s="7" t="s">
        <v>12556</v>
      </c>
      <c r="D5218" s="8">
        <f t="shared" si="328"/>
        <v>0</v>
      </c>
      <c r="E5218" s="7" t="s">
        <v>12557</v>
      </c>
      <c r="F5218" s="7">
        <f t="shared" si="329"/>
        <v>1</v>
      </c>
      <c r="G5218" s="7" t="s">
        <v>12558</v>
      </c>
      <c r="H5218" s="7">
        <f t="shared" si="330"/>
        <v>0</v>
      </c>
      <c r="I5218" s="7" t="str" cm="1">
        <f t="array" ref="I5218">IFERROR(_xlfn.IFS(M5218="נח",1,M5218="נע ונח",1,M5218="שני שווא נח",2,M5218="שני שוואים בסוף מילה",2,M5218="שני שוואים ברצף",1),"0")</f>
        <v>0</v>
      </c>
      <c r="J5218" s="9">
        <f t="shared" si="331"/>
        <v>3</v>
      </c>
      <c r="K5218" t="s">
        <v>6698</v>
      </c>
      <c r="L5218" t="s">
        <v>6695</v>
      </c>
      <c r="O5218" t="s">
        <v>6694</v>
      </c>
      <c r="P5218" t="s">
        <v>6694</v>
      </c>
      <c r="W5218" t="s">
        <v>6720</v>
      </c>
    </row>
    <row r="5219" spans="1:23" ht="15.6" x14ac:dyDescent="0.4">
      <c r="A5219" s="2" t="s">
        <v>1845</v>
      </c>
      <c r="B5219" s="5" t="s">
        <v>11322</v>
      </c>
      <c r="C5219" s="7" t="s">
        <v>12556</v>
      </c>
      <c r="D5219" s="8">
        <f t="shared" si="328"/>
        <v>0</v>
      </c>
      <c r="E5219" s="7" t="s">
        <v>12557</v>
      </c>
      <c r="F5219" s="7">
        <f t="shared" si="329"/>
        <v>1</v>
      </c>
      <c r="G5219" s="7" t="s">
        <v>12558</v>
      </c>
      <c r="H5219" s="7">
        <f t="shared" si="330"/>
        <v>0</v>
      </c>
      <c r="I5219" s="7" t="str" cm="1">
        <f t="array" ref="I5219">IFERROR(_xlfn.IFS(M5219="נח",1,M5219="נע ונח",1,M5219="שני שווא נח",2,M5219="שני שוואים בסוף מילה",2,M5219="שני שוואים ברצף",1),"0")</f>
        <v>0</v>
      </c>
      <c r="J5219" s="9">
        <f t="shared" si="331"/>
        <v>3</v>
      </c>
      <c r="K5219" t="s">
        <v>6697</v>
      </c>
      <c r="L5219" t="s">
        <v>6695</v>
      </c>
      <c r="O5219" t="s">
        <v>6694</v>
      </c>
      <c r="P5219" t="s">
        <v>6694</v>
      </c>
      <c r="W5219" t="s">
        <v>6720</v>
      </c>
    </row>
    <row r="5220" spans="1:23" ht="15.6" x14ac:dyDescent="0.4">
      <c r="A5220" s="2" t="s">
        <v>3872</v>
      </c>
      <c r="B5220" s="5" t="s">
        <v>11319</v>
      </c>
      <c r="C5220" s="7" t="s">
        <v>12556</v>
      </c>
      <c r="D5220" s="8">
        <f t="shared" si="328"/>
        <v>0</v>
      </c>
      <c r="E5220" s="7" t="s">
        <v>12557</v>
      </c>
      <c r="F5220" s="7">
        <f t="shared" si="329"/>
        <v>0</v>
      </c>
      <c r="G5220" s="7" t="s">
        <v>12558</v>
      </c>
      <c r="H5220" s="7">
        <f t="shared" si="330"/>
        <v>0</v>
      </c>
      <c r="I5220" s="7" t="str" cm="1">
        <f t="array" ref="I5220">IFERROR(_xlfn.IFS(M5220="נח",1,M5220="נע ונח",1,M5220="שני שווא נח",2,M5220="שני שוואים בסוף מילה",2,M5220="שני שוואים ברצף",1),"0")</f>
        <v>0</v>
      </c>
      <c r="J5220" s="9">
        <f t="shared" si="331"/>
        <v>2</v>
      </c>
      <c r="K5220" t="s">
        <v>6698</v>
      </c>
      <c r="L5220" t="s">
        <v>6695</v>
      </c>
      <c r="N5220" t="s">
        <v>6706</v>
      </c>
      <c r="O5220" t="s">
        <v>6694</v>
      </c>
      <c r="W5220" t="s">
        <v>6720</v>
      </c>
    </row>
    <row r="5221" spans="1:23" ht="15.6" x14ac:dyDescent="0.4">
      <c r="A5221" s="2" t="s">
        <v>4565</v>
      </c>
      <c r="B5221" s="5" t="s">
        <v>11323</v>
      </c>
      <c r="C5221" s="7" t="s">
        <v>12556</v>
      </c>
      <c r="D5221" s="8">
        <f t="shared" si="328"/>
        <v>0</v>
      </c>
      <c r="E5221" s="7" t="s">
        <v>12557</v>
      </c>
      <c r="F5221" s="7">
        <f t="shared" si="329"/>
        <v>0</v>
      </c>
      <c r="G5221" s="7" t="s">
        <v>12558</v>
      </c>
      <c r="H5221" s="7">
        <f t="shared" si="330"/>
        <v>0</v>
      </c>
      <c r="I5221" s="7" cm="1">
        <f t="array" ref="I5221">IFERROR(_xlfn.IFS(M5221="נח",1,M5221="נע ונח",1,M5221="שני שווא נח",2,M5221="שני שוואים בסוף מילה",2,M5221="שני שוואים ברצף",1),"0")</f>
        <v>1</v>
      </c>
      <c r="J5221" s="9">
        <f t="shared" si="331"/>
        <v>2</v>
      </c>
      <c r="K5221" t="s">
        <v>6698</v>
      </c>
      <c r="L5221" t="s">
        <v>6694</v>
      </c>
      <c r="M5221" t="s">
        <v>6705</v>
      </c>
      <c r="S5221" t="s">
        <v>6694</v>
      </c>
      <c r="V5221" t="s">
        <v>6694</v>
      </c>
      <c r="W5221" t="s">
        <v>6720</v>
      </c>
    </row>
    <row r="5222" spans="1:23" ht="15.6" x14ac:dyDescent="0.4">
      <c r="A5222" s="2" t="s">
        <v>4087</v>
      </c>
      <c r="B5222" s="5" t="s">
        <v>11324</v>
      </c>
      <c r="C5222" s="7" t="s">
        <v>12556</v>
      </c>
      <c r="D5222" s="8">
        <f t="shared" si="328"/>
        <v>0</v>
      </c>
      <c r="E5222" s="7" t="s">
        <v>12557</v>
      </c>
      <c r="F5222" s="7">
        <f t="shared" si="329"/>
        <v>0</v>
      </c>
      <c r="G5222" s="7" t="s">
        <v>12558</v>
      </c>
      <c r="H5222" s="7">
        <f t="shared" si="330"/>
        <v>0</v>
      </c>
      <c r="I5222" s="7" t="str" cm="1">
        <f t="array" ref="I5222">IFERROR(_xlfn.IFS(M5222="נח",1,M5222="נע ונח",1,M5222="שני שווא נח",2,M5222="שני שוואים בסוף מילה",2,M5222="שני שוואים ברצף",1),"0")</f>
        <v>0</v>
      </c>
      <c r="J5222" s="9">
        <f t="shared" si="331"/>
        <v>2</v>
      </c>
      <c r="K5222" t="s">
        <v>6697</v>
      </c>
      <c r="L5222" t="s">
        <v>6695</v>
      </c>
      <c r="S5222" t="s">
        <v>6694</v>
      </c>
      <c r="V5222" t="s">
        <v>6694</v>
      </c>
      <c r="W5222" t="s">
        <v>6720</v>
      </c>
    </row>
    <row r="5223" spans="1:23" ht="15.6" x14ac:dyDescent="0.4">
      <c r="A5223" s="2" t="s">
        <v>6516</v>
      </c>
      <c r="B5223" s="5" t="s">
        <v>11325</v>
      </c>
      <c r="C5223" s="7" t="s">
        <v>12556</v>
      </c>
      <c r="D5223" s="8">
        <f t="shared" si="328"/>
        <v>0</v>
      </c>
      <c r="E5223" s="7" t="s">
        <v>12557</v>
      </c>
      <c r="F5223" s="7">
        <f t="shared" si="329"/>
        <v>1</v>
      </c>
      <c r="G5223" s="7" t="s">
        <v>12558</v>
      </c>
      <c r="H5223" s="7">
        <f t="shared" si="330"/>
        <v>1</v>
      </c>
      <c r="I5223" s="7" t="str" cm="1">
        <f t="array" ref="I5223">IFERROR(_xlfn.IFS(M5223="נח",1,M5223="נע ונח",1,M5223="שני שווא נח",2,M5223="שני שוואים בסוף מילה",2,M5223="שני שוואים ברצף",1),"0")</f>
        <v>0</v>
      </c>
      <c r="J5223" s="9">
        <f t="shared" si="331"/>
        <v>3</v>
      </c>
      <c r="K5223" t="s">
        <v>6697</v>
      </c>
      <c r="L5223" t="s">
        <v>6695</v>
      </c>
      <c r="O5223" t="s">
        <v>6694</v>
      </c>
      <c r="U5223" t="s">
        <v>6694</v>
      </c>
      <c r="V5223" t="s">
        <v>6694</v>
      </c>
      <c r="W5223" t="s">
        <v>6720</v>
      </c>
    </row>
    <row r="5224" spans="1:23" ht="15.6" x14ac:dyDescent="0.4">
      <c r="A5224" s="2" t="s">
        <v>4778</v>
      </c>
      <c r="B5224" s="5" t="s">
        <v>11326</v>
      </c>
      <c r="C5224" s="7" t="s">
        <v>12556</v>
      </c>
      <c r="D5224" s="8">
        <f t="shared" si="328"/>
        <v>0</v>
      </c>
      <c r="E5224" s="7" t="s">
        <v>12557</v>
      </c>
      <c r="F5224" s="7">
        <f t="shared" si="329"/>
        <v>0</v>
      </c>
      <c r="G5224" s="7" t="s">
        <v>12558</v>
      </c>
      <c r="H5224" s="7">
        <f t="shared" si="330"/>
        <v>0</v>
      </c>
      <c r="I5224" s="7" t="str" cm="1">
        <f t="array" ref="I5224">IFERROR(_xlfn.IFS(M5224="נח",1,M5224="נע ונח",1,M5224="שני שווא נח",2,M5224="שני שוואים בסוף מילה",2,M5224="שני שוואים ברצף",1),"0")</f>
        <v>0</v>
      </c>
      <c r="J5224" s="9">
        <f t="shared" si="331"/>
        <v>2</v>
      </c>
      <c r="K5224" t="s">
        <v>6698</v>
      </c>
      <c r="L5224" t="s">
        <v>6695</v>
      </c>
      <c r="Q5224" t="s">
        <v>6694</v>
      </c>
      <c r="V5224" t="s">
        <v>6694</v>
      </c>
      <c r="W5224" t="s">
        <v>6720</v>
      </c>
    </row>
    <row r="5225" spans="1:23" ht="15.6" x14ac:dyDescent="0.4">
      <c r="A5225" s="2" t="s">
        <v>203</v>
      </c>
      <c r="B5225" s="5" t="s">
        <v>11327</v>
      </c>
      <c r="C5225" s="7" t="s">
        <v>12556</v>
      </c>
      <c r="D5225" s="8">
        <f t="shared" si="328"/>
        <v>0</v>
      </c>
      <c r="E5225" s="7" t="s">
        <v>12557</v>
      </c>
      <c r="F5225" s="7">
        <f t="shared" si="329"/>
        <v>0</v>
      </c>
      <c r="G5225" s="7" t="s">
        <v>12558</v>
      </c>
      <c r="H5225" s="7">
        <f t="shared" si="330"/>
        <v>0</v>
      </c>
      <c r="I5225" s="7" cm="1">
        <f t="array" ref="I5225">IFERROR(_xlfn.IFS(M5225="נח",1,M5225="נע ונח",1,M5225="שני שווא נח",2,M5225="שני שוואים בסוף מילה",2,M5225="שני שוואים ברצף",1),"0")</f>
        <v>1</v>
      </c>
      <c r="J5225" s="9">
        <f t="shared" si="331"/>
        <v>2</v>
      </c>
      <c r="K5225" t="s">
        <v>6698</v>
      </c>
      <c r="L5225" t="s">
        <v>6694</v>
      </c>
      <c r="M5225" t="s">
        <v>6705</v>
      </c>
      <c r="Q5225" t="s">
        <v>6694</v>
      </c>
      <c r="V5225" t="s">
        <v>6694</v>
      </c>
      <c r="W5225" t="s">
        <v>6720</v>
      </c>
    </row>
    <row r="5226" spans="1:23" ht="15.6" x14ac:dyDescent="0.4">
      <c r="A5226" s="2" t="s">
        <v>3425</v>
      </c>
      <c r="B5226" s="5" t="s">
        <v>11138</v>
      </c>
      <c r="C5226" s="7" t="s">
        <v>12556</v>
      </c>
      <c r="D5226" s="8">
        <f t="shared" si="328"/>
        <v>0</v>
      </c>
      <c r="E5226" s="7" t="s">
        <v>12557</v>
      </c>
      <c r="F5226" s="7">
        <f t="shared" si="329"/>
        <v>0</v>
      </c>
      <c r="G5226" s="7" t="s">
        <v>12558</v>
      </c>
      <c r="H5226" s="7">
        <f t="shared" si="330"/>
        <v>0</v>
      </c>
      <c r="I5226" s="7" t="str" cm="1">
        <f t="array" ref="I5226">IFERROR(_xlfn.IFS(M5226="נח",1,M5226="נע ונח",1,M5226="שני שווא נח",2,M5226="שני שוואים בסוף מילה",2,M5226="שני שוואים ברצף",1),"0")</f>
        <v>0</v>
      </c>
      <c r="J5226" s="9">
        <f t="shared" si="331"/>
        <v>2</v>
      </c>
      <c r="K5226" t="s">
        <v>6698</v>
      </c>
      <c r="L5226" t="s">
        <v>6695</v>
      </c>
      <c r="Q5226" t="s">
        <v>6694</v>
      </c>
      <c r="V5226" t="s">
        <v>6694</v>
      </c>
      <c r="W5226" t="s">
        <v>6720</v>
      </c>
    </row>
    <row r="5227" spans="1:23" ht="15.6" x14ac:dyDescent="0.4">
      <c r="A5227" s="2" t="s">
        <v>2253</v>
      </c>
      <c r="B5227" s="5" t="s">
        <v>11146</v>
      </c>
      <c r="C5227" s="7" t="s">
        <v>12556</v>
      </c>
      <c r="D5227" s="8">
        <f t="shared" si="328"/>
        <v>1</v>
      </c>
      <c r="E5227" s="7" t="s">
        <v>12557</v>
      </c>
      <c r="F5227" s="7">
        <f t="shared" si="329"/>
        <v>0</v>
      </c>
      <c r="G5227" s="7" t="s">
        <v>12558</v>
      </c>
      <c r="H5227" s="7">
        <f t="shared" si="330"/>
        <v>0</v>
      </c>
      <c r="I5227" s="7" t="str" cm="1">
        <f t="array" ref="I5227">IFERROR(_xlfn.IFS(M5227="נח",1,M5227="נע ונח",1,M5227="שני שווא נח",2,M5227="שני שוואים בסוף מילה",2,M5227="שני שוואים ברצף",1),"0")</f>
        <v>0</v>
      </c>
      <c r="J5227" s="9">
        <f t="shared" si="331"/>
        <v>2</v>
      </c>
      <c r="K5227" t="s">
        <v>6697</v>
      </c>
      <c r="L5227" t="s">
        <v>6695</v>
      </c>
      <c r="Q5227" t="s">
        <v>6694</v>
      </c>
      <c r="V5227" t="s">
        <v>6694</v>
      </c>
      <c r="W5227" t="s">
        <v>6720</v>
      </c>
    </row>
    <row r="5228" spans="1:23" ht="15.6" x14ac:dyDescent="0.4">
      <c r="A5228" s="2" t="s">
        <v>412</v>
      </c>
      <c r="B5228" s="5" t="s">
        <v>11319</v>
      </c>
      <c r="C5228" s="7" t="s">
        <v>12556</v>
      </c>
      <c r="D5228" s="8">
        <f t="shared" si="328"/>
        <v>0</v>
      </c>
      <c r="E5228" s="7" t="s">
        <v>12557</v>
      </c>
      <c r="F5228" s="7">
        <f t="shared" si="329"/>
        <v>0</v>
      </c>
      <c r="G5228" s="7" t="s">
        <v>12558</v>
      </c>
      <c r="H5228" s="7">
        <f t="shared" si="330"/>
        <v>0</v>
      </c>
      <c r="I5228" s="7" t="str" cm="1">
        <f t="array" ref="I5228">IFERROR(_xlfn.IFS(M5228="נח",1,M5228="נע ונח",1,M5228="שני שווא נח",2,M5228="שני שוואים בסוף מילה",2,M5228="שני שוואים ברצף",1),"0")</f>
        <v>0</v>
      </c>
      <c r="J5228" s="9">
        <f t="shared" si="331"/>
        <v>2</v>
      </c>
      <c r="K5228" t="s">
        <v>6698</v>
      </c>
      <c r="L5228" t="s">
        <v>6695</v>
      </c>
      <c r="Q5228" t="s">
        <v>6694</v>
      </c>
      <c r="V5228" t="s">
        <v>6694</v>
      </c>
      <c r="W5228" t="s">
        <v>6720</v>
      </c>
    </row>
    <row r="5229" spans="1:23" ht="15.6" x14ac:dyDescent="0.4">
      <c r="A5229" s="2" t="s">
        <v>4245</v>
      </c>
      <c r="B5229" s="5" t="s">
        <v>11328</v>
      </c>
      <c r="C5229" s="7" t="s">
        <v>12556</v>
      </c>
      <c r="D5229" s="8">
        <f t="shared" si="328"/>
        <v>0</v>
      </c>
      <c r="E5229" s="7" t="s">
        <v>12557</v>
      </c>
      <c r="F5229" s="7">
        <f t="shared" si="329"/>
        <v>1</v>
      </c>
      <c r="G5229" s="7" t="s">
        <v>12558</v>
      </c>
      <c r="H5229" s="7">
        <f t="shared" si="330"/>
        <v>0</v>
      </c>
      <c r="I5229" s="7" t="str" cm="1">
        <f t="array" ref="I5229">IFERROR(_xlfn.IFS(M5229="נח",1,M5229="נע ונח",1,M5229="שני שווא נח",2,M5229="שני שוואים בסוף מילה",2,M5229="שני שוואים ברצף",1),"0")</f>
        <v>0</v>
      </c>
      <c r="J5229" s="9">
        <f t="shared" si="331"/>
        <v>1</v>
      </c>
      <c r="K5229" t="s">
        <v>6698</v>
      </c>
      <c r="L5229" t="s">
        <v>6695</v>
      </c>
      <c r="Q5229" t="s">
        <v>6694</v>
      </c>
      <c r="W5229" t="s">
        <v>6720</v>
      </c>
    </row>
    <row r="5230" spans="1:23" ht="15.6" x14ac:dyDescent="0.4">
      <c r="A5230" s="2" t="s">
        <v>230</v>
      </c>
      <c r="B5230" s="5" t="s">
        <v>11271</v>
      </c>
      <c r="C5230" s="7" t="s">
        <v>12556</v>
      </c>
      <c r="D5230" s="8">
        <f t="shared" si="328"/>
        <v>0</v>
      </c>
      <c r="E5230" s="7" t="s">
        <v>12557</v>
      </c>
      <c r="F5230" s="7">
        <f t="shared" si="329"/>
        <v>1</v>
      </c>
      <c r="G5230" s="7" t="s">
        <v>12558</v>
      </c>
      <c r="H5230" s="7">
        <f t="shared" si="330"/>
        <v>0</v>
      </c>
      <c r="I5230" s="7" t="str" cm="1">
        <f t="array" ref="I5230">IFERROR(_xlfn.IFS(M5230="נח",1,M5230="נע ונח",1,M5230="שני שווא נח",2,M5230="שני שוואים בסוף מילה",2,M5230="שני שוואים ברצף",1),"0")</f>
        <v>0</v>
      </c>
      <c r="J5230" s="9">
        <f t="shared" si="331"/>
        <v>2</v>
      </c>
      <c r="K5230" t="s">
        <v>6698</v>
      </c>
      <c r="L5230" t="s">
        <v>6695</v>
      </c>
      <c r="P5230" t="s">
        <v>6694</v>
      </c>
      <c r="W5230" t="s">
        <v>6720</v>
      </c>
    </row>
    <row r="5231" spans="1:23" ht="15.6" x14ac:dyDescent="0.4">
      <c r="A5231" s="2" t="s">
        <v>371</v>
      </c>
      <c r="B5231" s="5" t="s">
        <v>11279</v>
      </c>
      <c r="C5231" s="7" t="s">
        <v>12556</v>
      </c>
      <c r="D5231" s="8">
        <f t="shared" si="328"/>
        <v>0</v>
      </c>
      <c r="E5231" s="7" t="s">
        <v>12557</v>
      </c>
      <c r="F5231" s="7">
        <f t="shared" si="329"/>
        <v>1</v>
      </c>
      <c r="G5231" s="7" t="s">
        <v>12558</v>
      </c>
      <c r="H5231" s="7">
        <f t="shared" si="330"/>
        <v>0</v>
      </c>
      <c r="I5231" s="7" t="str" cm="1">
        <f t="array" ref="I5231">IFERROR(_xlfn.IFS(M5231="נח",1,M5231="נע ונח",1,M5231="שני שווא נח",2,M5231="שני שוואים בסוף מילה",2,M5231="שני שוואים ברצף",1),"0")</f>
        <v>0</v>
      </c>
      <c r="J5231" s="9">
        <f t="shared" si="331"/>
        <v>1</v>
      </c>
      <c r="K5231" t="s">
        <v>6697</v>
      </c>
      <c r="L5231" t="s">
        <v>6695</v>
      </c>
      <c r="O5231" t="s">
        <v>6694</v>
      </c>
      <c r="W5231" t="s">
        <v>6720</v>
      </c>
    </row>
    <row r="5232" spans="1:23" ht="15.6" x14ac:dyDescent="0.4">
      <c r="A5232" s="2" t="s">
        <v>4419</v>
      </c>
      <c r="B5232" s="5" t="s">
        <v>11329</v>
      </c>
      <c r="C5232" s="7" t="s">
        <v>12556</v>
      </c>
      <c r="D5232" s="8">
        <f t="shared" si="328"/>
        <v>0</v>
      </c>
      <c r="E5232" s="7" t="s">
        <v>12557</v>
      </c>
      <c r="F5232" s="7">
        <f t="shared" si="329"/>
        <v>1</v>
      </c>
      <c r="G5232" s="7" t="s">
        <v>12558</v>
      </c>
      <c r="H5232" s="7">
        <f t="shared" si="330"/>
        <v>0</v>
      </c>
      <c r="I5232" s="7" t="str" cm="1">
        <f t="array" ref="I5232">IFERROR(_xlfn.IFS(M5232="נח",1,M5232="נע ונח",1,M5232="שני שווא נח",2,M5232="שני שוואים בסוף מילה",2,M5232="שני שוואים ברצף",1),"0")</f>
        <v>0</v>
      </c>
      <c r="J5232" s="9">
        <f t="shared" si="331"/>
        <v>2</v>
      </c>
      <c r="K5232" t="s">
        <v>6697</v>
      </c>
      <c r="L5232" t="s">
        <v>6695</v>
      </c>
      <c r="O5232" t="s">
        <v>6694</v>
      </c>
      <c r="V5232" t="s">
        <v>6694</v>
      </c>
      <c r="W5232" t="s">
        <v>6720</v>
      </c>
    </row>
    <row r="5233" spans="1:23" ht="15.6" x14ac:dyDescent="0.4">
      <c r="A5233" s="2" t="s">
        <v>3624</v>
      </c>
      <c r="B5233" s="5" t="s">
        <v>11330</v>
      </c>
      <c r="C5233" s="7" t="s">
        <v>12556</v>
      </c>
      <c r="D5233" s="8">
        <f t="shared" si="328"/>
        <v>0</v>
      </c>
      <c r="E5233" s="7" t="s">
        <v>12557</v>
      </c>
      <c r="F5233" s="7">
        <f t="shared" si="329"/>
        <v>0</v>
      </c>
      <c r="G5233" s="7" t="s">
        <v>12558</v>
      </c>
      <c r="H5233" s="7">
        <f t="shared" si="330"/>
        <v>0</v>
      </c>
      <c r="I5233" s="7" t="str" cm="1">
        <f t="array" ref="I5233">IFERROR(_xlfn.IFS(M5233="נח",1,M5233="נע ונח",1,M5233="שני שווא נח",2,M5233="שני שוואים בסוף מילה",2,M5233="שני שוואים ברצף",1),"0")</f>
        <v>0</v>
      </c>
      <c r="J5233" s="9">
        <f t="shared" si="331"/>
        <v>2</v>
      </c>
      <c r="K5233" t="s">
        <v>6697</v>
      </c>
      <c r="L5233" t="s">
        <v>6695</v>
      </c>
      <c r="R5233" t="s">
        <v>6694</v>
      </c>
      <c r="V5233" t="s">
        <v>6694</v>
      </c>
      <c r="W5233" t="s">
        <v>6720</v>
      </c>
    </row>
    <row r="5234" spans="1:23" ht="15.6" x14ac:dyDescent="0.4">
      <c r="A5234" s="2" t="s">
        <v>2424</v>
      </c>
      <c r="B5234" s="5" t="s">
        <v>11331</v>
      </c>
      <c r="C5234" s="7" t="s">
        <v>12556</v>
      </c>
      <c r="D5234" s="8">
        <f t="shared" si="328"/>
        <v>0</v>
      </c>
      <c r="E5234" s="7" t="s">
        <v>12557</v>
      </c>
      <c r="F5234" s="7">
        <f t="shared" si="329"/>
        <v>0</v>
      </c>
      <c r="G5234" s="7" t="s">
        <v>12558</v>
      </c>
      <c r="H5234" s="7">
        <f t="shared" si="330"/>
        <v>0</v>
      </c>
      <c r="I5234" s="7" t="str" cm="1">
        <f t="array" ref="I5234">IFERROR(_xlfn.IFS(M5234="נח",1,M5234="נע ונח",1,M5234="שני שווא נח",2,M5234="שני שוואים בסוף מילה",2,M5234="שני שוואים ברצף",1),"0")</f>
        <v>0</v>
      </c>
      <c r="J5234" s="9">
        <f t="shared" si="331"/>
        <v>2</v>
      </c>
      <c r="K5234" t="s">
        <v>6697</v>
      </c>
      <c r="L5234" t="s">
        <v>6695</v>
      </c>
      <c r="P5234" t="s">
        <v>6694</v>
      </c>
      <c r="V5234" t="s">
        <v>6694</v>
      </c>
      <c r="W5234" t="s">
        <v>6720</v>
      </c>
    </row>
    <row r="5235" spans="1:23" ht="15.6" x14ac:dyDescent="0.4">
      <c r="A5235" s="2" t="s">
        <v>4685</v>
      </c>
      <c r="B5235" s="5" t="s">
        <v>11331</v>
      </c>
      <c r="C5235" s="7" t="s">
        <v>12556</v>
      </c>
      <c r="D5235" s="8">
        <f t="shared" si="328"/>
        <v>0</v>
      </c>
      <c r="E5235" s="7" t="s">
        <v>12557</v>
      </c>
      <c r="F5235" s="7">
        <f t="shared" si="329"/>
        <v>0</v>
      </c>
      <c r="G5235" s="7" t="s">
        <v>12558</v>
      </c>
      <c r="H5235" s="7">
        <f t="shared" si="330"/>
        <v>0</v>
      </c>
      <c r="I5235" s="7" t="str" cm="1">
        <f t="array" ref="I5235">IFERROR(_xlfn.IFS(M5235="נח",1,M5235="נע ונח",1,M5235="שני שווא נח",2,M5235="שני שוואים בסוף מילה",2,M5235="שני שוואים ברצף",1),"0")</f>
        <v>0</v>
      </c>
      <c r="J5235" s="9">
        <f t="shared" si="331"/>
        <v>2</v>
      </c>
      <c r="K5235" t="s">
        <v>6697</v>
      </c>
      <c r="L5235" t="s">
        <v>6695</v>
      </c>
      <c r="O5235" t="s">
        <v>6694</v>
      </c>
      <c r="V5235" t="s">
        <v>6694</v>
      </c>
      <c r="W5235" t="s">
        <v>6720</v>
      </c>
    </row>
    <row r="5236" spans="1:23" ht="15.6" x14ac:dyDescent="0.4">
      <c r="A5236" s="2" t="s">
        <v>5740</v>
      </c>
      <c r="B5236" s="5" t="s">
        <v>11332</v>
      </c>
      <c r="C5236" s="7" t="s">
        <v>12556</v>
      </c>
      <c r="D5236" s="8">
        <f t="shared" si="328"/>
        <v>0</v>
      </c>
      <c r="E5236" s="7" t="s">
        <v>12557</v>
      </c>
      <c r="F5236" s="7">
        <f t="shared" si="329"/>
        <v>0</v>
      </c>
      <c r="G5236" s="7" t="s">
        <v>12558</v>
      </c>
      <c r="H5236" s="7">
        <f t="shared" si="330"/>
        <v>0</v>
      </c>
      <c r="I5236" s="7" cm="1">
        <f t="array" ref="I5236">IFERROR(_xlfn.IFS(M5236="נח",1,M5236="נע ונח",1,M5236="שני שווא נח",2,M5236="שני שוואים בסוף מילה",2,M5236="שני שוואים ברצף",1),"0")</f>
        <v>1</v>
      </c>
      <c r="J5236" s="9">
        <f t="shared" si="331"/>
        <v>2</v>
      </c>
      <c r="K5236" t="s">
        <v>6698</v>
      </c>
      <c r="L5236" t="s">
        <v>6694</v>
      </c>
      <c r="M5236" t="s">
        <v>6705</v>
      </c>
      <c r="S5236" t="s">
        <v>6694</v>
      </c>
      <c r="V5236" t="s">
        <v>6694</v>
      </c>
      <c r="W5236" t="s">
        <v>6720</v>
      </c>
    </row>
    <row r="5237" spans="1:23" ht="15.6" x14ac:dyDescent="0.4">
      <c r="A5237" s="2" t="s">
        <v>620</v>
      </c>
      <c r="B5237" s="5" t="s">
        <v>11333</v>
      </c>
      <c r="C5237" s="7" t="s">
        <v>12556</v>
      </c>
      <c r="D5237" s="8">
        <f t="shared" si="328"/>
        <v>0</v>
      </c>
      <c r="E5237" s="7" t="s">
        <v>12557</v>
      </c>
      <c r="F5237" s="7">
        <f t="shared" si="329"/>
        <v>0</v>
      </c>
      <c r="G5237" s="7" t="s">
        <v>12558</v>
      </c>
      <c r="H5237" s="7">
        <f t="shared" si="330"/>
        <v>0</v>
      </c>
      <c r="I5237" s="7" t="str" cm="1">
        <f t="array" ref="I5237">IFERROR(_xlfn.IFS(M5237="נח",1,M5237="נע ונח",1,M5237="שני שווא נח",2,M5237="שני שוואים בסוף מילה",2,M5237="שני שוואים ברצף",1),"0")</f>
        <v>0</v>
      </c>
      <c r="J5237" s="9">
        <f t="shared" si="331"/>
        <v>2</v>
      </c>
      <c r="K5237" t="s">
        <v>6697</v>
      </c>
      <c r="L5237" t="s">
        <v>6695</v>
      </c>
      <c r="R5237" t="s">
        <v>6694</v>
      </c>
      <c r="V5237" t="s">
        <v>6694</v>
      </c>
      <c r="W5237" t="s">
        <v>6720</v>
      </c>
    </row>
    <row r="5238" spans="1:23" ht="15.6" x14ac:dyDescent="0.4">
      <c r="A5238" s="2" t="s">
        <v>5924</v>
      </c>
      <c r="B5238" s="5" t="s">
        <v>11334</v>
      </c>
      <c r="C5238" s="7" t="s">
        <v>12556</v>
      </c>
      <c r="D5238" s="8">
        <f t="shared" si="328"/>
        <v>0</v>
      </c>
      <c r="E5238" s="7" t="s">
        <v>12557</v>
      </c>
      <c r="F5238" s="7">
        <f t="shared" si="329"/>
        <v>0</v>
      </c>
      <c r="G5238" s="7" t="s">
        <v>12558</v>
      </c>
      <c r="H5238" s="7">
        <f t="shared" si="330"/>
        <v>0</v>
      </c>
      <c r="I5238" s="7" t="str" cm="1">
        <f t="array" ref="I5238">IFERROR(_xlfn.IFS(M5238="נח",1,M5238="נע ונח",1,M5238="שני שווא נח",2,M5238="שני שוואים בסוף מילה",2,M5238="שני שוואים ברצף",1),"0")</f>
        <v>0</v>
      </c>
      <c r="J5238" s="9">
        <f t="shared" si="331"/>
        <v>2</v>
      </c>
      <c r="K5238" t="s">
        <v>6698</v>
      </c>
      <c r="L5238" t="s">
        <v>6695</v>
      </c>
      <c r="N5238" t="s">
        <v>6706</v>
      </c>
      <c r="O5238" t="s">
        <v>6694</v>
      </c>
      <c r="V5238" t="s">
        <v>6694</v>
      </c>
      <c r="W5238" t="s">
        <v>6720</v>
      </c>
    </row>
    <row r="5239" spans="1:23" ht="15.6" x14ac:dyDescent="0.4">
      <c r="A5239" s="2" t="s">
        <v>2259</v>
      </c>
      <c r="B5239" s="5" t="s">
        <v>11335</v>
      </c>
      <c r="C5239" s="7" t="s">
        <v>12556</v>
      </c>
      <c r="D5239" s="8">
        <f t="shared" si="328"/>
        <v>0</v>
      </c>
      <c r="E5239" s="7" t="s">
        <v>12557</v>
      </c>
      <c r="F5239" s="7">
        <f t="shared" si="329"/>
        <v>1</v>
      </c>
      <c r="G5239" s="7" t="s">
        <v>12558</v>
      </c>
      <c r="H5239" s="7">
        <f t="shared" si="330"/>
        <v>1</v>
      </c>
      <c r="I5239" s="7" cm="1">
        <f t="array" ref="I5239">IFERROR(_xlfn.IFS(M5239="נח",1,M5239="נע ונח",1,M5239="שני שווא נח",2,M5239="שני שוואים בסוף מילה",2,M5239="שני שוואים ברצף",1),"0")</f>
        <v>1</v>
      </c>
      <c r="J5239" s="9">
        <f t="shared" si="331"/>
        <v>2</v>
      </c>
      <c r="K5239" t="s">
        <v>6697</v>
      </c>
      <c r="L5239" t="s">
        <v>6694</v>
      </c>
      <c r="M5239" t="s">
        <v>6705</v>
      </c>
      <c r="U5239" t="s">
        <v>6694</v>
      </c>
      <c r="V5239" t="s">
        <v>6694</v>
      </c>
      <c r="W5239" t="s">
        <v>6720</v>
      </c>
    </row>
    <row r="5240" spans="1:23" ht="15.6" x14ac:dyDescent="0.4">
      <c r="A5240" s="2" t="s">
        <v>496</v>
      </c>
      <c r="B5240" s="5" t="s">
        <v>11336</v>
      </c>
      <c r="C5240" s="7" t="s">
        <v>12556</v>
      </c>
      <c r="D5240" s="8">
        <f t="shared" si="328"/>
        <v>0</v>
      </c>
      <c r="E5240" s="7" t="s">
        <v>12557</v>
      </c>
      <c r="F5240" s="7">
        <f t="shared" si="329"/>
        <v>1</v>
      </c>
      <c r="G5240" s="7" t="s">
        <v>12558</v>
      </c>
      <c r="H5240" s="7">
        <f t="shared" si="330"/>
        <v>1</v>
      </c>
      <c r="I5240" s="7" t="str" cm="1">
        <f t="array" ref="I5240">IFERROR(_xlfn.IFS(M5240="נח",1,M5240="נע ונח",1,M5240="שני שווא נח",2,M5240="שני שוואים בסוף מילה",2,M5240="שני שוואים ברצף",1),"0")</f>
        <v>0</v>
      </c>
      <c r="J5240" s="9">
        <f t="shared" si="331"/>
        <v>3</v>
      </c>
      <c r="K5240" t="s">
        <v>6697</v>
      </c>
      <c r="L5240" t="s">
        <v>6695</v>
      </c>
      <c r="P5240" t="s">
        <v>6694</v>
      </c>
      <c r="U5240" t="s">
        <v>6694</v>
      </c>
      <c r="V5240" t="s">
        <v>6694</v>
      </c>
      <c r="W5240" t="s">
        <v>6720</v>
      </c>
    </row>
    <row r="5241" spans="1:23" ht="15.6" x14ac:dyDescent="0.4">
      <c r="A5241" s="2" t="s">
        <v>2427</v>
      </c>
      <c r="B5241" s="5" t="s">
        <v>11337</v>
      </c>
      <c r="C5241" s="7" t="s">
        <v>12556</v>
      </c>
      <c r="D5241" s="8">
        <f t="shared" si="328"/>
        <v>1</v>
      </c>
      <c r="E5241" s="7" t="s">
        <v>12557</v>
      </c>
      <c r="F5241" s="7">
        <f t="shared" si="329"/>
        <v>0</v>
      </c>
      <c r="G5241" s="7" t="s">
        <v>12558</v>
      </c>
      <c r="H5241" s="7">
        <f t="shared" si="330"/>
        <v>0</v>
      </c>
      <c r="I5241" s="7" t="str" cm="1">
        <f t="array" ref="I5241">IFERROR(_xlfn.IFS(M5241="נח",1,M5241="נע ונח",1,M5241="שני שווא נח",2,M5241="שני שוואים בסוף מילה",2,M5241="שני שוואים ברצף",1),"0")</f>
        <v>0</v>
      </c>
      <c r="J5241" s="9">
        <f t="shared" si="331"/>
        <v>2</v>
      </c>
      <c r="K5241" t="s">
        <v>6698</v>
      </c>
      <c r="L5241" t="s">
        <v>6695</v>
      </c>
      <c r="Q5241" t="s">
        <v>6694</v>
      </c>
      <c r="V5241" t="s">
        <v>6694</v>
      </c>
      <c r="W5241" t="s">
        <v>6720</v>
      </c>
    </row>
    <row r="5242" spans="1:23" ht="15.6" x14ac:dyDescent="0.4">
      <c r="A5242" s="2" t="s">
        <v>3800</v>
      </c>
      <c r="B5242" s="5" t="s">
        <v>11329</v>
      </c>
      <c r="C5242" s="7" t="s">
        <v>12556</v>
      </c>
      <c r="D5242" s="8">
        <f t="shared" si="328"/>
        <v>0</v>
      </c>
      <c r="E5242" s="7" t="s">
        <v>12557</v>
      </c>
      <c r="F5242" s="7">
        <f t="shared" si="329"/>
        <v>0</v>
      </c>
      <c r="G5242" s="7" t="s">
        <v>12558</v>
      </c>
      <c r="H5242" s="7">
        <f t="shared" si="330"/>
        <v>0</v>
      </c>
      <c r="I5242" s="7" t="str" cm="1">
        <f t="array" ref="I5242">IFERROR(_xlfn.IFS(M5242="נח",1,M5242="נע ונח",1,M5242="שני שווא נח",2,M5242="שני שוואים בסוף מילה",2,M5242="שני שוואים ברצף",1),"0")</f>
        <v>0</v>
      </c>
      <c r="J5242" s="9">
        <f t="shared" si="331"/>
        <v>2</v>
      </c>
      <c r="K5242" t="s">
        <v>6697</v>
      </c>
      <c r="L5242" t="s">
        <v>6695</v>
      </c>
      <c r="O5242" t="s">
        <v>6694</v>
      </c>
      <c r="V5242" t="s">
        <v>6694</v>
      </c>
      <c r="W5242" t="s">
        <v>6720</v>
      </c>
    </row>
    <row r="5243" spans="1:23" ht="15.6" x14ac:dyDescent="0.4">
      <c r="A5243" s="2" t="s">
        <v>1097</v>
      </c>
      <c r="B5243" s="5" t="s">
        <v>11338</v>
      </c>
      <c r="C5243" s="7" t="s">
        <v>12556</v>
      </c>
      <c r="D5243" s="8">
        <f t="shared" si="328"/>
        <v>0</v>
      </c>
      <c r="E5243" s="7" t="s">
        <v>12557</v>
      </c>
      <c r="F5243" s="7">
        <f t="shared" si="329"/>
        <v>0</v>
      </c>
      <c r="G5243" s="7" t="s">
        <v>12558</v>
      </c>
      <c r="H5243" s="7">
        <f t="shared" si="330"/>
        <v>0</v>
      </c>
      <c r="I5243" s="7" t="str" cm="1">
        <f t="array" ref="I5243">IFERROR(_xlfn.IFS(M5243="נח",1,M5243="נע ונח",1,M5243="שני שווא נח",2,M5243="שני שוואים בסוף מילה",2,M5243="שני שוואים ברצף",1),"0")</f>
        <v>0</v>
      </c>
      <c r="J5243" s="9">
        <f t="shared" si="331"/>
        <v>3</v>
      </c>
      <c r="K5243" t="s">
        <v>6698</v>
      </c>
      <c r="L5243" t="s">
        <v>6695</v>
      </c>
      <c r="O5243" t="s">
        <v>6694</v>
      </c>
      <c r="V5243" t="s">
        <v>6694</v>
      </c>
      <c r="W5243" t="s">
        <v>6720</v>
      </c>
    </row>
    <row r="5244" spans="1:23" ht="15.6" x14ac:dyDescent="0.4">
      <c r="A5244" s="2" t="s">
        <v>5722</v>
      </c>
      <c r="B5244" s="5" t="s">
        <v>11339</v>
      </c>
      <c r="C5244" s="7" t="s">
        <v>12556</v>
      </c>
      <c r="D5244" s="8">
        <f t="shared" si="328"/>
        <v>1</v>
      </c>
      <c r="E5244" s="7" t="s">
        <v>12557</v>
      </c>
      <c r="F5244" s="7">
        <f t="shared" si="329"/>
        <v>0</v>
      </c>
      <c r="G5244" s="7" t="s">
        <v>12558</v>
      </c>
      <c r="H5244" s="7">
        <f t="shared" si="330"/>
        <v>0</v>
      </c>
      <c r="I5244" s="7" cm="1">
        <f t="array" ref="I5244">IFERROR(_xlfn.IFS(M5244="נח",1,M5244="נע ונח",1,M5244="שני שווא נח",2,M5244="שני שוואים בסוף מילה",2,M5244="שני שוואים ברצף",1),"0")</f>
        <v>1</v>
      </c>
      <c r="J5244" s="9">
        <f t="shared" si="331"/>
        <v>2</v>
      </c>
      <c r="K5244" t="s">
        <v>6698</v>
      </c>
      <c r="L5244" t="s">
        <v>6694</v>
      </c>
      <c r="M5244" t="s">
        <v>6705</v>
      </c>
      <c r="Q5244" t="s">
        <v>6694</v>
      </c>
      <c r="V5244" t="s">
        <v>6694</v>
      </c>
      <c r="W5244" t="s">
        <v>6720</v>
      </c>
    </row>
    <row r="5245" spans="1:23" ht="15.6" x14ac:dyDescent="0.4">
      <c r="A5245" s="2" t="s">
        <v>4973</v>
      </c>
      <c r="B5245" s="5" t="s">
        <v>11340</v>
      </c>
      <c r="C5245" s="7" t="s">
        <v>12556</v>
      </c>
      <c r="D5245" s="8">
        <f t="shared" si="328"/>
        <v>1</v>
      </c>
      <c r="E5245" s="7" t="s">
        <v>12557</v>
      </c>
      <c r="F5245" s="7">
        <f t="shared" si="329"/>
        <v>0</v>
      </c>
      <c r="G5245" s="7" t="s">
        <v>12558</v>
      </c>
      <c r="H5245" s="7">
        <f t="shared" si="330"/>
        <v>0</v>
      </c>
      <c r="I5245" s="7" t="str" cm="1">
        <f t="array" ref="I5245">IFERROR(_xlfn.IFS(M5245="נח",1,M5245="נע ונח",1,M5245="שני שווא נח",2,M5245="שני שוואים בסוף מילה",2,M5245="שני שוואים ברצף",1),"0")</f>
        <v>0</v>
      </c>
      <c r="J5245" s="9">
        <f t="shared" si="331"/>
        <v>2</v>
      </c>
      <c r="K5245" t="s">
        <v>6697</v>
      </c>
      <c r="L5245" t="s">
        <v>6695</v>
      </c>
      <c r="R5245" t="s">
        <v>6694</v>
      </c>
      <c r="V5245" t="s">
        <v>6694</v>
      </c>
      <c r="W5245" t="s">
        <v>6720</v>
      </c>
    </row>
    <row r="5246" spans="1:23" ht="15.6" x14ac:dyDescent="0.4">
      <c r="A5246" s="2" t="s">
        <v>445</v>
      </c>
      <c r="B5246" s="5" t="s">
        <v>11341</v>
      </c>
      <c r="C5246" s="7" t="s">
        <v>12556</v>
      </c>
      <c r="D5246" s="8">
        <f t="shared" si="328"/>
        <v>1</v>
      </c>
      <c r="E5246" s="7" t="s">
        <v>12557</v>
      </c>
      <c r="F5246" s="7">
        <f t="shared" si="329"/>
        <v>0</v>
      </c>
      <c r="G5246" s="7" t="s">
        <v>12558</v>
      </c>
      <c r="H5246" s="7">
        <f t="shared" si="330"/>
        <v>0</v>
      </c>
      <c r="I5246" s="7" t="str" cm="1">
        <f t="array" ref="I5246">IFERROR(_xlfn.IFS(M5246="נח",1,M5246="נע ונח",1,M5246="שני שווא נח",2,M5246="שני שוואים בסוף מילה",2,M5246="שני שוואים ברצף",1),"0")</f>
        <v>0</v>
      </c>
      <c r="J5246" s="9">
        <f t="shared" si="331"/>
        <v>2</v>
      </c>
      <c r="K5246" t="s">
        <v>6697</v>
      </c>
      <c r="L5246" t="s">
        <v>6695</v>
      </c>
      <c r="O5246" t="s">
        <v>6694</v>
      </c>
      <c r="V5246" t="s">
        <v>6694</v>
      </c>
      <c r="W5246" t="s">
        <v>6720</v>
      </c>
    </row>
    <row r="5247" spans="1:23" ht="15.6" x14ac:dyDescent="0.4">
      <c r="A5247" s="2" t="s">
        <v>1360</v>
      </c>
      <c r="B5247" s="5" t="s">
        <v>11342</v>
      </c>
      <c r="C5247" s="7" t="s">
        <v>12556</v>
      </c>
      <c r="D5247" s="8">
        <f t="shared" si="328"/>
        <v>0</v>
      </c>
      <c r="E5247" s="7" t="s">
        <v>12557</v>
      </c>
      <c r="F5247" s="7">
        <f t="shared" si="329"/>
        <v>0</v>
      </c>
      <c r="G5247" s="7" t="s">
        <v>12558</v>
      </c>
      <c r="H5247" s="7">
        <f t="shared" si="330"/>
        <v>0</v>
      </c>
      <c r="I5247" s="7" t="str" cm="1">
        <f t="array" ref="I5247">IFERROR(_xlfn.IFS(M5247="נח",1,M5247="נע ונח",1,M5247="שני שווא נח",2,M5247="שני שוואים בסוף מילה",2,M5247="שני שוואים ברצף",1),"0")</f>
        <v>0</v>
      </c>
      <c r="J5247" s="9">
        <f t="shared" si="331"/>
        <v>2</v>
      </c>
      <c r="K5247" t="s">
        <v>6698</v>
      </c>
      <c r="L5247" t="s">
        <v>6695</v>
      </c>
      <c r="Q5247" t="s">
        <v>6694</v>
      </c>
      <c r="V5247" t="s">
        <v>6694</v>
      </c>
      <c r="W5247" t="s">
        <v>6720</v>
      </c>
    </row>
    <row r="5248" spans="1:23" ht="15.6" x14ac:dyDescent="0.4">
      <c r="A5248" s="2" t="s">
        <v>6070</v>
      </c>
      <c r="B5248" s="5" t="s">
        <v>11343</v>
      </c>
      <c r="C5248" s="7" t="s">
        <v>12556</v>
      </c>
      <c r="D5248" s="8">
        <f t="shared" si="328"/>
        <v>0</v>
      </c>
      <c r="E5248" s="7" t="s">
        <v>12557</v>
      </c>
      <c r="F5248" s="7">
        <f t="shared" si="329"/>
        <v>0</v>
      </c>
      <c r="G5248" s="7" t="s">
        <v>12558</v>
      </c>
      <c r="H5248" s="7">
        <f t="shared" si="330"/>
        <v>0</v>
      </c>
      <c r="I5248" s="7" t="str" cm="1">
        <f t="array" ref="I5248">IFERROR(_xlfn.IFS(M5248="נח",1,M5248="נע ונח",1,M5248="שני שווא נח",2,M5248="שני שוואים בסוף מילה",2,M5248="שני שוואים ברצף",1),"0")</f>
        <v>0</v>
      </c>
      <c r="J5248" s="9">
        <f t="shared" si="331"/>
        <v>2</v>
      </c>
      <c r="K5248" t="s">
        <v>6698</v>
      </c>
      <c r="L5248" t="s">
        <v>6695</v>
      </c>
      <c r="N5248" t="s">
        <v>6706</v>
      </c>
      <c r="O5248" t="s">
        <v>6694</v>
      </c>
      <c r="V5248" t="s">
        <v>6694</v>
      </c>
      <c r="W5248" t="s">
        <v>6720</v>
      </c>
    </row>
    <row r="5249" spans="1:23" ht="15.6" x14ac:dyDescent="0.4">
      <c r="A5249" s="2" t="s">
        <v>3201</v>
      </c>
      <c r="B5249" s="5" t="s">
        <v>11344</v>
      </c>
      <c r="C5249" s="7" t="s">
        <v>12556</v>
      </c>
      <c r="D5249" s="8">
        <f t="shared" si="328"/>
        <v>0</v>
      </c>
      <c r="E5249" s="7" t="s">
        <v>12557</v>
      </c>
      <c r="F5249" s="7">
        <f t="shared" si="329"/>
        <v>1</v>
      </c>
      <c r="G5249" s="7" t="s">
        <v>12558</v>
      </c>
      <c r="H5249" s="7">
        <f t="shared" si="330"/>
        <v>1</v>
      </c>
      <c r="I5249" s="7" t="str" cm="1">
        <f t="array" ref="I5249">IFERROR(_xlfn.IFS(M5249="נח",1,M5249="נע ונח",1,M5249="שני שווא נח",2,M5249="שני שוואים בסוף מילה",2,M5249="שני שוואים ברצף",1),"0")</f>
        <v>0</v>
      </c>
      <c r="J5249" s="9">
        <f t="shared" si="331"/>
        <v>2</v>
      </c>
      <c r="K5249" t="s">
        <v>6697</v>
      </c>
      <c r="L5249" t="s">
        <v>6695</v>
      </c>
      <c r="S5249" t="s">
        <v>6694</v>
      </c>
      <c r="U5249" t="s">
        <v>6694</v>
      </c>
      <c r="W5249" t="s">
        <v>6720</v>
      </c>
    </row>
    <row r="5250" spans="1:23" ht="15.6" x14ac:dyDescent="0.4">
      <c r="A5250" s="2" t="s">
        <v>2196</v>
      </c>
      <c r="B5250" s="5" t="s">
        <v>11345</v>
      </c>
      <c r="C5250" s="7" t="s">
        <v>12556</v>
      </c>
      <c r="D5250" s="8">
        <f t="shared" si="328"/>
        <v>0</v>
      </c>
      <c r="E5250" s="7" t="s">
        <v>12557</v>
      </c>
      <c r="F5250" s="7">
        <f t="shared" si="329"/>
        <v>0</v>
      </c>
      <c r="G5250" s="7" t="s">
        <v>12558</v>
      </c>
      <c r="H5250" s="7">
        <f t="shared" si="330"/>
        <v>0</v>
      </c>
      <c r="I5250" s="7" t="str" cm="1">
        <f t="array" ref="I5250">IFERROR(_xlfn.IFS(M5250="נח",1,M5250="נע ונח",1,M5250="שני שווא נח",2,M5250="שני שוואים בסוף מילה",2,M5250="שני שוואים ברצף",1),"0")</f>
        <v>0</v>
      </c>
      <c r="J5250" s="9">
        <f t="shared" si="331"/>
        <v>3</v>
      </c>
      <c r="K5250" t="s">
        <v>6698</v>
      </c>
      <c r="L5250" t="s">
        <v>6694</v>
      </c>
      <c r="M5250" t="s">
        <v>6700</v>
      </c>
      <c r="N5250" t="s">
        <v>6706</v>
      </c>
      <c r="O5250" t="s">
        <v>6694</v>
      </c>
      <c r="S5250" t="s">
        <v>6694</v>
      </c>
      <c r="W5250" t="s">
        <v>6720</v>
      </c>
    </row>
    <row r="5251" spans="1:23" ht="15.6" x14ac:dyDescent="0.4">
      <c r="A5251" s="2" t="s">
        <v>5462</v>
      </c>
      <c r="B5251" s="5" t="s">
        <v>11346</v>
      </c>
      <c r="C5251" s="7" t="s">
        <v>12556</v>
      </c>
      <c r="D5251" s="8">
        <f t="shared" ref="D5251:D5314" si="332">(LEN(B5251)-LEN(SUBSTITUTE(B5251,C5251,"")))</f>
        <v>0</v>
      </c>
      <c r="E5251" s="7" t="s">
        <v>12557</v>
      </c>
      <c r="F5251" s="7">
        <f t="shared" ref="F5251:F5314" si="333">(LEN(A5251)-LEN(SUBSTITUTE(A5251,E5251,"")))</f>
        <v>0</v>
      </c>
      <c r="G5251" s="7" t="s">
        <v>12558</v>
      </c>
      <c r="H5251" s="7">
        <f t="shared" ref="H5251:H5314" si="334">(LEN(A5251)-LEN(SUBSTITUTE(A5251,G5251,"")))/2</f>
        <v>0</v>
      </c>
      <c r="I5251" s="7" t="str" cm="1">
        <f t="array" ref="I5251">IFERROR(_xlfn.IFS(M5251="נח",1,M5251="נע ונח",1,M5251="שני שווא נח",2,M5251="שני שוואים בסוף מילה",2,M5251="שני שוואים ברצף",1),"0")</f>
        <v>0</v>
      </c>
      <c r="J5251" s="9">
        <f t="shared" ref="J5251:J5314" si="335">LEN(A5251)-(LEN(B5251))-D5251-F5251+H5251-I5251</f>
        <v>3</v>
      </c>
      <c r="K5251" t="s">
        <v>6698</v>
      </c>
      <c r="L5251" t="s">
        <v>6694</v>
      </c>
      <c r="M5251" t="s">
        <v>6700</v>
      </c>
      <c r="S5251" t="s">
        <v>6694</v>
      </c>
      <c r="V5251" t="s">
        <v>6694</v>
      </c>
      <c r="W5251" t="s">
        <v>6720</v>
      </c>
    </row>
    <row r="5252" spans="1:23" ht="15.6" x14ac:dyDescent="0.4">
      <c r="A5252" s="2" t="s">
        <v>6669</v>
      </c>
      <c r="B5252" s="5" t="s">
        <v>11347</v>
      </c>
      <c r="C5252" s="7" t="s">
        <v>12556</v>
      </c>
      <c r="D5252" s="8">
        <f t="shared" si="332"/>
        <v>0</v>
      </c>
      <c r="E5252" s="7" t="s">
        <v>12557</v>
      </c>
      <c r="F5252" s="7">
        <f t="shared" si="333"/>
        <v>0</v>
      </c>
      <c r="G5252" s="7" t="s">
        <v>12558</v>
      </c>
      <c r="H5252" s="7">
        <f t="shared" si="334"/>
        <v>0</v>
      </c>
      <c r="I5252" s="7" t="str" cm="1">
        <f t="array" ref="I5252">IFERROR(_xlfn.IFS(M5252="נח",1,M5252="נע ונח",1,M5252="שני שווא נח",2,M5252="שני שוואים בסוף מילה",2,M5252="שני שוואים ברצף",1),"0")</f>
        <v>0</v>
      </c>
      <c r="J5252" s="9">
        <f t="shared" si="335"/>
        <v>5</v>
      </c>
      <c r="K5252" t="s">
        <v>6697</v>
      </c>
      <c r="L5252" t="s">
        <v>6694</v>
      </c>
      <c r="M5252" t="s">
        <v>6700</v>
      </c>
      <c r="O5252" t="s">
        <v>6694</v>
      </c>
      <c r="R5252" t="s">
        <v>6694</v>
      </c>
      <c r="S5252" t="s">
        <v>6694</v>
      </c>
      <c r="V5252" t="s">
        <v>6694</v>
      </c>
      <c r="W5252" t="s">
        <v>6720</v>
      </c>
    </row>
    <row r="5253" spans="1:23" ht="15.6" x14ac:dyDescent="0.4">
      <c r="A5253" s="2" t="s">
        <v>2633</v>
      </c>
      <c r="B5253" s="5" t="s">
        <v>11348</v>
      </c>
      <c r="C5253" s="7" t="s">
        <v>12556</v>
      </c>
      <c r="D5253" s="8">
        <f t="shared" si="332"/>
        <v>0</v>
      </c>
      <c r="E5253" s="7" t="s">
        <v>12557</v>
      </c>
      <c r="F5253" s="7">
        <f t="shared" si="333"/>
        <v>0</v>
      </c>
      <c r="G5253" s="7" t="s">
        <v>12558</v>
      </c>
      <c r="H5253" s="7">
        <f t="shared" si="334"/>
        <v>0</v>
      </c>
      <c r="I5253" s="7" t="str" cm="1">
        <f t="array" ref="I5253">IFERROR(_xlfn.IFS(M5253="נח",1,M5253="נע ונח",1,M5253="שני שווא נח",2,M5253="שני שוואים בסוף מילה",2,M5253="שני שוואים ברצף",1),"0")</f>
        <v>0</v>
      </c>
      <c r="J5253" s="9">
        <f t="shared" si="335"/>
        <v>4</v>
      </c>
      <c r="K5253" t="s">
        <v>6698</v>
      </c>
      <c r="L5253" t="s">
        <v>6694</v>
      </c>
      <c r="M5253" t="s">
        <v>6700</v>
      </c>
      <c r="P5253" t="s">
        <v>6694</v>
      </c>
      <c r="S5253" t="s">
        <v>6694</v>
      </c>
      <c r="V5253" t="s">
        <v>6694</v>
      </c>
      <c r="W5253" t="s">
        <v>6720</v>
      </c>
    </row>
    <row r="5254" spans="1:23" ht="15.6" x14ac:dyDescent="0.4">
      <c r="A5254" s="2" t="s">
        <v>1988</v>
      </c>
      <c r="B5254" s="5" t="s">
        <v>11349</v>
      </c>
      <c r="C5254" s="7" t="s">
        <v>12556</v>
      </c>
      <c r="D5254" s="8">
        <f t="shared" si="332"/>
        <v>0</v>
      </c>
      <c r="E5254" s="7" t="s">
        <v>12557</v>
      </c>
      <c r="F5254" s="7">
        <f t="shared" si="333"/>
        <v>0</v>
      </c>
      <c r="G5254" s="7" t="s">
        <v>12558</v>
      </c>
      <c r="H5254" s="7">
        <f t="shared" si="334"/>
        <v>0</v>
      </c>
      <c r="I5254" s="7" t="str" cm="1">
        <f t="array" ref="I5254">IFERROR(_xlfn.IFS(M5254="נח",1,M5254="נע ונח",1,M5254="שני שווא נח",2,M5254="שני שוואים בסוף מילה",2,M5254="שני שוואים ברצף",1),"0")</f>
        <v>0</v>
      </c>
      <c r="J5254" s="9">
        <f t="shared" si="335"/>
        <v>4</v>
      </c>
      <c r="K5254" t="s">
        <v>6698</v>
      </c>
      <c r="L5254" t="s">
        <v>6694</v>
      </c>
      <c r="M5254" t="s">
        <v>6700</v>
      </c>
      <c r="N5254" t="s">
        <v>6706</v>
      </c>
      <c r="O5254" t="s">
        <v>6694</v>
      </c>
      <c r="S5254" t="s">
        <v>6694</v>
      </c>
      <c r="V5254" t="s">
        <v>6694</v>
      </c>
      <c r="W5254" t="s">
        <v>6720</v>
      </c>
    </row>
    <row r="5255" spans="1:23" ht="15.6" x14ac:dyDescent="0.4">
      <c r="A5255" s="2" t="s">
        <v>1713</v>
      </c>
      <c r="B5255" s="5" t="s">
        <v>11350</v>
      </c>
      <c r="C5255" s="7" t="s">
        <v>12556</v>
      </c>
      <c r="D5255" s="8">
        <f t="shared" si="332"/>
        <v>0</v>
      </c>
      <c r="E5255" s="7" t="s">
        <v>12557</v>
      </c>
      <c r="F5255" s="7">
        <f t="shared" si="333"/>
        <v>1</v>
      </c>
      <c r="G5255" s="7" t="s">
        <v>12558</v>
      </c>
      <c r="H5255" s="7">
        <f t="shared" si="334"/>
        <v>1</v>
      </c>
      <c r="I5255" s="7" t="str" cm="1">
        <f t="array" ref="I5255">IFERROR(_xlfn.IFS(M5255="נח",1,M5255="נע ונח",1,M5255="שני שווא נח",2,M5255="שני שוואים בסוף מילה",2,M5255="שני שוואים ברצף",1),"0")</f>
        <v>0</v>
      </c>
      <c r="J5255" s="9">
        <f t="shared" si="335"/>
        <v>4</v>
      </c>
      <c r="K5255" t="s">
        <v>6697</v>
      </c>
      <c r="L5255" t="s">
        <v>6694</v>
      </c>
      <c r="M5255" t="s">
        <v>6700</v>
      </c>
      <c r="O5255" t="s">
        <v>6694</v>
      </c>
      <c r="S5255" t="s">
        <v>6694</v>
      </c>
      <c r="U5255" t="s">
        <v>6694</v>
      </c>
      <c r="W5255" t="s">
        <v>6720</v>
      </c>
    </row>
    <row r="5256" spans="1:23" ht="15.6" x14ac:dyDescent="0.4">
      <c r="A5256" s="2" t="s">
        <v>2125</v>
      </c>
      <c r="B5256" s="5" t="s">
        <v>11351</v>
      </c>
      <c r="C5256" s="7" t="s">
        <v>12556</v>
      </c>
      <c r="D5256" s="8">
        <f t="shared" si="332"/>
        <v>0</v>
      </c>
      <c r="E5256" s="7" t="s">
        <v>12557</v>
      </c>
      <c r="F5256" s="7">
        <f t="shared" si="333"/>
        <v>2</v>
      </c>
      <c r="G5256" s="7" t="s">
        <v>12558</v>
      </c>
      <c r="H5256" s="7">
        <f t="shared" si="334"/>
        <v>2</v>
      </c>
      <c r="I5256" s="7" t="str" cm="1">
        <f t="array" ref="I5256">IFERROR(_xlfn.IFS(M5256="נח",1,M5256="נע ונח",1,M5256="שני שווא נח",2,M5256="שני שוואים בסוף מילה",2,M5256="שני שוואים ברצף",1),"0")</f>
        <v>0</v>
      </c>
      <c r="J5256" s="9">
        <f t="shared" si="335"/>
        <v>4</v>
      </c>
      <c r="K5256" t="s">
        <v>6697</v>
      </c>
      <c r="L5256" t="s">
        <v>6694</v>
      </c>
      <c r="M5256" t="s">
        <v>6700</v>
      </c>
      <c r="O5256" t="s">
        <v>6694</v>
      </c>
      <c r="U5256" t="s">
        <v>6694</v>
      </c>
      <c r="W5256" t="s">
        <v>6720</v>
      </c>
    </row>
    <row r="5257" spans="1:23" ht="15.6" x14ac:dyDescent="0.4">
      <c r="A5257" s="2" t="s">
        <v>3026</v>
      </c>
      <c r="B5257" s="5" t="s">
        <v>11352</v>
      </c>
      <c r="C5257" s="7" t="s">
        <v>12556</v>
      </c>
      <c r="D5257" s="8">
        <f t="shared" si="332"/>
        <v>0</v>
      </c>
      <c r="E5257" s="7" t="s">
        <v>12557</v>
      </c>
      <c r="F5257" s="7">
        <f t="shared" si="333"/>
        <v>0</v>
      </c>
      <c r="G5257" s="7" t="s">
        <v>12558</v>
      </c>
      <c r="H5257" s="7">
        <f t="shared" si="334"/>
        <v>0</v>
      </c>
      <c r="I5257" s="7" cm="1">
        <f t="array" ref="I5257">IFERROR(_xlfn.IFS(M5257="נח",1,M5257="נע ונח",1,M5257="שני שווא נח",2,M5257="שני שוואים בסוף מילה",2,M5257="שני שוואים ברצף",1),"0")</f>
        <v>1</v>
      </c>
      <c r="J5257" s="9">
        <f t="shared" si="335"/>
        <v>3</v>
      </c>
      <c r="K5257" t="s">
        <v>6698</v>
      </c>
      <c r="L5257" t="s">
        <v>6694</v>
      </c>
      <c r="M5257" t="s">
        <v>6701</v>
      </c>
      <c r="P5257" t="s">
        <v>6694</v>
      </c>
      <c r="W5257" t="s">
        <v>6720</v>
      </c>
    </row>
    <row r="5258" spans="1:23" ht="15.6" x14ac:dyDescent="0.4">
      <c r="A5258" s="2" t="s">
        <v>705</v>
      </c>
      <c r="B5258" s="5" t="s">
        <v>11353</v>
      </c>
      <c r="C5258" s="7" t="s">
        <v>12556</v>
      </c>
      <c r="D5258" s="8">
        <f t="shared" si="332"/>
        <v>0</v>
      </c>
      <c r="E5258" s="7" t="s">
        <v>12557</v>
      </c>
      <c r="F5258" s="7">
        <f t="shared" si="333"/>
        <v>0</v>
      </c>
      <c r="G5258" s="7" t="s">
        <v>12558</v>
      </c>
      <c r="H5258" s="7">
        <f t="shared" si="334"/>
        <v>0</v>
      </c>
      <c r="I5258" s="7" t="str" cm="1">
        <f t="array" ref="I5258">IFERROR(_xlfn.IFS(M5258="נח",1,M5258="נע ונח",1,M5258="שני שווא נח",2,M5258="שני שוואים בסוף מילה",2,M5258="שני שוואים ברצף",1),"0")</f>
        <v>0</v>
      </c>
      <c r="J5258" s="9">
        <f t="shared" si="335"/>
        <v>3</v>
      </c>
      <c r="K5258" t="s">
        <v>6698</v>
      </c>
      <c r="L5258" t="s">
        <v>6694</v>
      </c>
      <c r="M5258" t="s">
        <v>6700</v>
      </c>
      <c r="O5258" t="s">
        <v>6694</v>
      </c>
      <c r="S5258" t="s">
        <v>6694</v>
      </c>
      <c r="W5258" t="s">
        <v>6720</v>
      </c>
    </row>
    <row r="5259" spans="1:23" ht="15.6" x14ac:dyDescent="0.4">
      <c r="A5259" s="2" t="s">
        <v>1168</v>
      </c>
      <c r="B5259" s="5" t="s">
        <v>11354</v>
      </c>
      <c r="C5259" s="7" t="s">
        <v>12556</v>
      </c>
      <c r="D5259" s="8">
        <f t="shared" si="332"/>
        <v>0</v>
      </c>
      <c r="E5259" s="7" t="s">
        <v>12557</v>
      </c>
      <c r="F5259" s="7">
        <f t="shared" si="333"/>
        <v>1</v>
      </c>
      <c r="G5259" s="7" t="s">
        <v>12558</v>
      </c>
      <c r="H5259" s="7">
        <f t="shared" si="334"/>
        <v>1</v>
      </c>
      <c r="I5259" s="7" t="str" cm="1">
        <f t="array" ref="I5259">IFERROR(_xlfn.IFS(M5259="נח",1,M5259="נע ונח",1,M5259="שני שווא נח",2,M5259="שני שוואים בסוף מילה",2,M5259="שני שוואים ברצף",1),"0")</f>
        <v>0</v>
      </c>
      <c r="J5259" s="9">
        <f t="shared" si="335"/>
        <v>3</v>
      </c>
      <c r="K5259" t="s">
        <v>6698</v>
      </c>
      <c r="L5259" t="s">
        <v>6694</v>
      </c>
      <c r="M5259" t="s">
        <v>6700</v>
      </c>
      <c r="S5259" t="s">
        <v>6694</v>
      </c>
      <c r="U5259" t="s">
        <v>6694</v>
      </c>
      <c r="W5259" t="s">
        <v>6720</v>
      </c>
    </row>
    <row r="5260" spans="1:23" ht="15.6" x14ac:dyDescent="0.4">
      <c r="A5260" s="2" t="s">
        <v>1420</v>
      </c>
      <c r="B5260" s="5" t="s">
        <v>11355</v>
      </c>
      <c r="C5260" s="7" t="s">
        <v>12556</v>
      </c>
      <c r="D5260" s="8">
        <f t="shared" si="332"/>
        <v>0</v>
      </c>
      <c r="E5260" s="7" t="s">
        <v>12557</v>
      </c>
      <c r="F5260" s="7">
        <f t="shared" si="333"/>
        <v>0</v>
      </c>
      <c r="G5260" s="7" t="s">
        <v>12558</v>
      </c>
      <c r="H5260" s="7">
        <f t="shared" si="334"/>
        <v>0</v>
      </c>
      <c r="I5260" s="7" t="str" cm="1">
        <f t="array" ref="I5260">IFERROR(_xlfn.IFS(M5260="נח",1,M5260="נע ונח",1,M5260="שני שווא נח",2,M5260="שני שוואים בסוף מילה",2,M5260="שני שוואים ברצף",1),"0")</f>
        <v>0</v>
      </c>
      <c r="J5260" s="9">
        <f t="shared" si="335"/>
        <v>3</v>
      </c>
      <c r="K5260" t="s">
        <v>6697</v>
      </c>
      <c r="L5260" t="s">
        <v>6694</v>
      </c>
      <c r="M5260" t="s">
        <v>6700</v>
      </c>
      <c r="O5260" t="s">
        <v>6694</v>
      </c>
      <c r="W5260" t="s">
        <v>6720</v>
      </c>
    </row>
    <row r="5261" spans="1:23" ht="15.6" x14ac:dyDescent="0.4">
      <c r="A5261" s="2" t="s">
        <v>6017</v>
      </c>
      <c r="B5261" s="5" t="s">
        <v>11356</v>
      </c>
      <c r="C5261" s="7" t="s">
        <v>12556</v>
      </c>
      <c r="D5261" s="8">
        <f t="shared" si="332"/>
        <v>0</v>
      </c>
      <c r="E5261" s="7" t="s">
        <v>12557</v>
      </c>
      <c r="F5261" s="7">
        <f t="shared" si="333"/>
        <v>0</v>
      </c>
      <c r="G5261" s="7" t="s">
        <v>12558</v>
      </c>
      <c r="H5261" s="7">
        <f t="shared" si="334"/>
        <v>0</v>
      </c>
      <c r="I5261" s="7" t="str" cm="1">
        <f t="array" ref="I5261">IFERROR(_xlfn.IFS(M5261="נח",1,M5261="נע ונח",1,M5261="שני שווא נח",2,M5261="שני שוואים בסוף מילה",2,M5261="שני שוואים ברצף",1),"0")</f>
        <v>0</v>
      </c>
      <c r="J5261" s="9">
        <f t="shared" si="335"/>
        <v>3</v>
      </c>
      <c r="K5261" t="s">
        <v>6698</v>
      </c>
      <c r="L5261" t="s">
        <v>6694</v>
      </c>
      <c r="M5261" t="s">
        <v>6700</v>
      </c>
      <c r="V5261" t="s">
        <v>6694</v>
      </c>
      <c r="W5261" t="s">
        <v>6720</v>
      </c>
    </row>
    <row r="5262" spans="1:23" ht="15.6" x14ac:dyDescent="0.4">
      <c r="A5262" s="2" t="s">
        <v>4499</v>
      </c>
      <c r="B5262" s="5" t="s">
        <v>11357</v>
      </c>
      <c r="C5262" s="7" t="s">
        <v>12556</v>
      </c>
      <c r="D5262" s="8">
        <f t="shared" si="332"/>
        <v>0</v>
      </c>
      <c r="E5262" s="7" t="s">
        <v>12557</v>
      </c>
      <c r="F5262" s="7">
        <f t="shared" si="333"/>
        <v>0</v>
      </c>
      <c r="G5262" s="7" t="s">
        <v>12558</v>
      </c>
      <c r="H5262" s="7">
        <f t="shared" si="334"/>
        <v>0</v>
      </c>
      <c r="I5262" s="7" t="str" cm="1">
        <f t="array" ref="I5262">IFERROR(_xlfn.IFS(M5262="נח",1,M5262="נע ונח",1,M5262="שני שווא נח",2,M5262="שני שוואים בסוף מילה",2,M5262="שני שוואים ברצף",1),"0")</f>
        <v>0</v>
      </c>
      <c r="J5262" s="9">
        <f t="shared" si="335"/>
        <v>2</v>
      </c>
      <c r="K5262" t="s">
        <v>6698</v>
      </c>
      <c r="L5262" t="s">
        <v>6695</v>
      </c>
      <c r="P5262" t="s">
        <v>6694</v>
      </c>
      <c r="S5262" t="s">
        <v>6694</v>
      </c>
      <c r="W5262" t="s">
        <v>6720</v>
      </c>
    </row>
    <row r="5263" spans="1:23" ht="15.6" x14ac:dyDescent="0.4">
      <c r="A5263" s="2" t="s">
        <v>4259</v>
      </c>
      <c r="B5263" s="5" t="s">
        <v>11358</v>
      </c>
      <c r="C5263" s="7" t="s">
        <v>12556</v>
      </c>
      <c r="D5263" s="8">
        <f t="shared" si="332"/>
        <v>0</v>
      </c>
      <c r="E5263" s="7" t="s">
        <v>12557</v>
      </c>
      <c r="F5263" s="7">
        <f t="shared" si="333"/>
        <v>0</v>
      </c>
      <c r="G5263" s="7" t="s">
        <v>12558</v>
      </c>
      <c r="H5263" s="7">
        <f t="shared" si="334"/>
        <v>0</v>
      </c>
      <c r="I5263" s="7" t="str" cm="1">
        <f t="array" ref="I5263">IFERROR(_xlfn.IFS(M5263="נח",1,M5263="נע ונח",1,M5263="שני שווא נח",2,M5263="שני שוואים בסוף מילה",2,M5263="שני שוואים ברצף",1),"0")</f>
        <v>0</v>
      </c>
      <c r="J5263" s="9">
        <f t="shared" si="335"/>
        <v>1</v>
      </c>
      <c r="K5263" t="s">
        <v>6698</v>
      </c>
      <c r="L5263" t="s">
        <v>6695</v>
      </c>
      <c r="S5263" t="s">
        <v>6694</v>
      </c>
      <c r="W5263" t="s">
        <v>6720</v>
      </c>
    </row>
    <row r="5264" spans="1:23" ht="15.6" x14ac:dyDescent="0.4">
      <c r="A5264" s="2" t="s">
        <v>5070</v>
      </c>
      <c r="B5264" s="5" t="s">
        <v>11359</v>
      </c>
      <c r="C5264" s="7" t="s">
        <v>12556</v>
      </c>
      <c r="D5264" s="8">
        <f t="shared" si="332"/>
        <v>0</v>
      </c>
      <c r="E5264" s="7" t="s">
        <v>12557</v>
      </c>
      <c r="F5264" s="7">
        <f t="shared" si="333"/>
        <v>0</v>
      </c>
      <c r="G5264" s="7" t="s">
        <v>12558</v>
      </c>
      <c r="H5264" s="7">
        <f t="shared" si="334"/>
        <v>0</v>
      </c>
      <c r="I5264" s="7" cm="1">
        <f t="array" ref="I5264">IFERROR(_xlfn.IFS(M5264="נח",1,M5264="נע ונח",1,M5264="שני שווא נח",2,M5264="שני שוואים בסוף מילה",2,M5264="שני שוואים ברצף",1),"0")</f>
        <v>1</v>
      </c>
      <c r="J5264" s="9">
        <f t="shared" si="335"/>
        <v>3</v>
      </c>
      <c r="K5264" t="s">
        <v>6697</v>
      </c>
      <c r="L5264" t="s">
        <v>6694</v>
      </c>
      <c r="M5264" t="s">
        <v>6702</v>
      </c>
      <c r="O5264" t="s">
        <v>6694</v>
      </c>
      <c r="S5264" t="s">
        <v>6694</v>
      </c>
      <c r="W5264" t="s">
        <v>6720</v>
      </c>
    </row>
    <row r="5265" spans="1:23" ht="15.6" x14ac:dyDescent="0.4">
      <c r="A5265" s="2" t="s">
        <v>3599</v>
      </c>
      <c r="B5265" s="5" t="s">
        <v>11360</v>
      </c>
      <c r="C5265" s="7" t="s">
        <v>12556</v>
      </c>
      <c r="D5265" s="8">
        <f t="shared" si="332"/>
        <v>0</v>
      </c>
      <c r="E5265" s="7" t="s">
        <v>12557</v>
      </c>
      <c r="F5265" s="7">
        <f t="shared" si="333"/>
        <v>2</v>
      </c>
      <c r="G5265" s="7" t="s">
        <v>12558</v>
      </c>
      <c r="H5265" s="7">
        <f t="shared" si="334"/>
        <v>1</v>
      </c>
      <c r="I5265" s="7" cm="1">
        <f t="array" ref="I5265">IFERROR(_xlfn.IFS(M5265="נח",1,M5265="נע ונח",1,M5265="שני שווא נח",2,M5265="שני שוואים בסוף מילה",2,M5265="שני שוואים ברצף",1),"0")</f>
        <v>1</v>
      </c>
      <c r="J5265" s="9">
        <f t="shared" si="335"/>
        <v>2</v>
      </c>
      <c r="K5265" t="s">
        <v>6697</v>
      </c>
      <c r="L5265" t="s">
        <v>6694</v>
      </c>
      <c r="M5265" t="s">
        <v>6705</v>
      </c>
      <c r="S5265" t="s">
        <v>6694</v>
      </c>
      <c r="U5265" t="s">
        <v>6694</v>
      </c>
      <c r="W5265" t="s">
        <v>6720</v>
      </c>
    </row>
    <row r="5266" spans="1:23" ht="15.6" x14ac:dyDescent="0.4">
      <c r="A5266" s="2" t="s">
        <v>243</v>
      </c>
      <c r="B5266" s="5" t="s">
        <v>11361</v>
      </c>
      <c r="C5266" s="7" t="s">
        <v>12556</v>
      </c>
      <c r="D5266" s="8">
        <f t="shared" si="332"/>
        <v>0</v>
      </c>
      <c r="E5266" s="7" t="s">
        <v>12557</v>
      </c>
      <c r="F5266" s="7">
        <f t="shared" si="333"/>
        <v>2</v>
      </c>
      <c r="G5266" s="7" t="s">
        <v>12558</v>
      </c>
      <c r="H5266" s="7">
        <f t="shared" si="334"/>
        <v>0</v>
      </c>
      <c r="I5266" s="7" cm="1">
        <f t="array" ref="I5266">IFERROR(_xlfn.IFS(M5266="נח",1,M5266="נע ונח",1,M5266="שני שווא נח",2,M5266="שני שוואים בסוף מילה",2,M5266="שני שוואים ברצף",1),"0")</f>
        <v>1</v>
      </c>
      <c r="J5266" s="9">
        <f t="shared" si="335"/>
        <v>3</v>
      </c>
      <c r="K5266" t="s">
        <v>6697</v>
      </c>
      <c r="L5266" t="s">
        <v>6694</v>
      </c>
      <c r="M5266" t="s">
        <v>6705</v>
      </c>
      <c r="P5266" t="s">
        <v>6694</v>
      </c>
      <c r="S5266" t="s">
        <v>6694</v>
      </c>
      <c r="W5266" t="s">
        <v>6720</v>
      </c>
    </row>
    <row r="5267" spans="1:23" ht="15.6" x14ac:dyDescent="0.4">
      <c r="A5267" s="2" t="s">
        <v>1987</v>
      </c>
      <c r="B5267" s="5" t="s">
        <v>11362</v>
      </c>
      <c r="C5267" s="7" t="s">
        <v>12556</v>
      </c>
      <c r="D5267" s="8">
        <f t="shared" si="332"/>
        <v>0</v>
      </c>
      <c r="E5267" s="7" t="s">
        <v>12557</v>
      </c>
      <c r="F5267" s="7">
        <f t="shared" si="333"/>
        <v>0</v>
      </c>
      <c r="G5267" s="7" t="s">
        <v>12558</v>
      </c>
      <c r="H5267" s="7">
        <f t="shared" si="334"/>
        <v>0</v>
      </c>
      <c r="I5267" s="7" cm="1">
        <f t="array" ref="I5267">IFERROR(_xlfn.IFS(M5267="נח",1,M5267="נע ונח",1,M5267="שני שווא נח",2,M5267="שני שוואים בסוף מילה",2,M5267="שני שוואים ברצף",1),"0")</f>
        <v>1</v>
      </c>
      <c r="J5267" s="9">
        <f t="shared" si="335"/>
        <v>2</v>
      </c>
      <c r="K5267" t="s">
        <v>6697</v>
      </c>
      <c r="L5267" t="s">
        <v>6694</v>
      </c>
      <c r="M5267" t="s">
        <v>6705</v>
      </c>
      <c r="S5267" t="s">
        <v>6694</v>
      </c>
      <c r="V5267" t="s">
        <v>6694</v>
      </c>
      <c r="W5267" t="s">
        <v>6720</v>
      </c>
    </row>
    <row r="5268" spans="1:23" ht="15.6" x14ac:dyDescent="0.4">
      <c r="A5268" s="2" t="s">
        <v>2790</v>
      </c>
      <c r="B5268" s="5" t="s">
        <v>11363</v>
      </c>
      <c r="C5268" s="7" t="s">
        <v>12556</v>
      </c>
      <c r="D5268" s="8">
        <f t="shared" si="332"/>
        <v>0</v>
      </c>
      <c r="E5268" s="7" t="s">
        <v>12557</v>
      </c>
      <c r="F5268" s="7">
        <f t="shared" si="333"/>
        <v>0</v>
      </c>
      <c r="G5268" s="7" t="s">
        <v>12558</v>
      </c>
      <c r="H5268" s="7">
        <f t="shared" si="334"/>
        <v>0</v>
      </c>
      <c r="I5268" s="7" t="str" cm="1">
        <f t="array" ref="I5268">IFERROR(_xlfn.IFS(M5268="נח",1,M5268="נע ונח",1,M5268="שני שווא נח",2,M5268="שני שוואים בסוף מילה",2,M5268="שני שוואים ברצף",1),"0")</f>
        <v>0</v>
      </c>
      <c r="J5268" s="9">
        <f t="shared" si="335"/>
        <v>2</v>
      </c>
      <c r="K5268" t="s">
        <v>6698</v>
      </c>
      <c r="L5268" t="s">
        <v>6695</v>
      </c>
      <c r="Q5268" t="s">
        <v>6694</v>
      </c>
      <c r="S5268" t="s">
        <v>6694</v>
      </c>
      <c r="W5268" t="s">
        <v>6720</v>
      </c>
    </row>
    <row r="5269" spans="1:23" ht="15.6" x14ac:dyDescent="0.4">
      <c r="A5269" s="2" t="s">
        <v>3515</v>
      </c>
      <c r="B5269" s="5" t="s">
        <v>11364</v>
      </c>
      <c r="C5269" s="7" t="s">
        <v>12556</v>
      </c>
      <c r="D5269" s="8">
        <f t="shared" si="332"/>
        <v>0</v>
      </c>
      <c r="E5269" s="7" t="s">
        <v>12557</v>
      </c>
      <c r="F5269" s="7">
        <f t="shared" si="333"/>
        <v>0</v>
      </c>
      <c r="G5269" s="7" t="s">
        <v>12558</v>
      </c>
      <c r="H5269" s="7">
        <f t="shared" si="334"/>
        <v>0</v>
      </c>
      <c r="I5269" s="7" t="str" cm="1">
        <f t="array" ref="I5269">IFERROR(_xlfn.IFS(M5269="נח",1,M5269="נע ונח",1,M5269="שני שווא נח",2,M5269="שני שוואים בסוף מילה",2,M5269="שני שוואים ברצף",1),"0")</f>
        <v>0</v>
      </c>
      <c r="J5269" s="9">
        <f t="shared" si="335"/>
        <v>2</v>
      </c>
      <c r="K5269" t="s">
        <v>6698</v>
      </c>
      <c r="L5269" t="s">
        <v>6695</v>
      </c>
      <c r="Q5269" t="s">
        <v>6694</v>
      </c>
      <c r="R5269" t="s">
        <v>6694</v>
      </c>
      <c r="W5269" t="s">
        <v>6720</v>
      </c>
    </row>
    <row r="5270" spans="1:23" ht="15.6" x14ac:dyDescent="0.4">
      <c r="A5270" s="2" t="s">
        <v>2711</v>
      </c>
      <c r="B5270" s="5" t="s">
        <v>11365</v>
      </c>
      <c r="C5270" s="7" t="s">
        <v>12556</v>
      </c>
      <c r="D5270" s="8">
        <f t="shared" si="332"/>
        <v>0</v>
      </c>
      <c r="E5270" s="7" t="s">
        <v>12557</v>
      </c>
      <c r="F5270" s="7">
        <f t="shared" si="333"/>
        <v>0</v>
      </c>
      <c r="G5270" s="7" t="s">
        <v>12558</v>
      </c>
      <c r="H5270" s="7">
        <f t="shared" si="334"/>
        <v>0</v>
      </c>
      <c r="I5270" s="7" t="str" cm="1">
        <f t="array" ref="I5270">IFERROR(_xlfn.IFS(M5270="נח",1,M5270="נע ונח",1,M5270="שני שווא נח",2,M5270="שני שוואים בסוף מילה",2,M5270="שני שוואים ברצף",1),"0")</f>
        <v>0</v>
      </c>
      <c r="J5270" s="9">
        <f t="shared" si="335"/>
        <v>2</v>
      </c>
      <c r="K5270" t="s">
        <v>6698</v>
      </c>
      <c r="L5270" t="s">
        <v>6695</v>
      </c>
      <c r="Q5270" t="s">
        <v>6694</v>
      </c>
      <c r="R5270" t="s">
        <v>6694</v>
      </c>
      <c r="W5270" t="s">
        <v>6720</v>
      </c>
    </row>
    <row r="5271" spans="1:23" ht="15.6" x14ac:dyDescent="0.4">
      <c r="A5271" s="2" t="s">
        <v>3494</v>
      </c>
      <c r="B5271" s="5" t="s">
        <v>11366</v>
      </c>
      <c r="C5271" s="7" t="s">
        <v>12556</v>
      </c>
      <c r="D5271" s="8">
        <f t="shared" si="332"/>
        <v>0</v>
      </c>
      <c r="E5271" s="7" t="s">
        <v>12557</v>
      </c>
      <c r="F5271" s="7">
        <f t="shared" si="333"/>
        <v>0</v>
      </c>
      <c r="G5271" s="7" t="s">
        <v>12558</v>
      </c>
      <c r="H5271" s="7">
        <f t="shared" si="334"/>
        <v>0</v>
      </c>
      <c r="I5271" s="7" t="str" cm="1">
        <f t="array" ref="I5271">IFERROR(_xlfn.IFS(M5271="נח",1,M5271="נע ונח",1,M5271="שני שווא נח",2,M5271="שני שוואים בסוף מילה",2,M5271="שני שוואים ברצף",1),"0")</f>
        <v>0</v>
      </c>
      <c r="J5271" s="9">
        <f t="shared" si="335"/>
        <v>2</v>
      </c>
      <c r="K5271" t="s">
        <v>6697</v>
      </c>
      <c r="L5271" t="s">
        <v>6695</v>
      </c>
      <c r="P5271" t="s">
        <v>6694</v>
      </c>
      <c r="R5271" t="s">
        <v>6694</v>
      </c>
      <c r="W5271" t="s">
        <v>6720</v>
      </c>
    </row>
    <row r="5272" spans="1:23" ht="15.6" x14ac:dyDescent="0.4">
      <c r="A5272" s="2" t="s">
        <v>4045</v>
      </c>
      <c r="B5272" s="5" t="s">
        <v>11367</v>
      </c>
      <c r="C5272" s="7" t="s">
        <v>12556</v>
      </c>
      <c r="D5272" s="8">
        <f t="shared" si="332"/>
        <v>0</v>
      </c>
      <c r="E5272" s="7" t="s">
        <v>12557</v>
      </c>
      <c r="F5272" s="7">
        <f t="shared" si="333"/>
        <v>0</v>
      </c>
      <c r="G5272" s="7" t="s">
        <v>12558</v>
      </c>
      <c r="H5272" s="7">
        <f t="shared" si="334"/>
        <v>0</v>
      </c>
      <c r="I5272" s="7" t="str" cm="1">
        <f t="array" ref="I5272">IFERROR(_xlfn.IFS(M5272="נח",1,M5272="נע ונח",1,M5272="שני שווא נח",2,M5272="שני שוואים בסוף מילה",2,M5272="שני שוואים ברצף",1),"0")</f>
        <v>0</v>
      </c>
      <c r="J5272" s="9">
        <f t="shared" si="335"/>
        <v>2</v>
      </c>
      <c r="K5272" t="s">
        <v>6697</v>
      </c>
      <c r="L5272" t="s">
        <v>6695</v>
      </c>
      <c r="O5272" t="s">
        <v>6694</v>
      </c>
      <c r="R5272" t="s">
        <v>6694</v>
      </c>
      <c r="W5272" t="s">
        <v>6720</v>
      </c>
    </row>
    <row r="5273" spans="1:23" ht="15.6" x14ac:dyDescent="0.4">
      <c r="A5273" s="2" t="s">
        <v>1714</v>
      </c>
      <c r="B5273" s="5" t="s">
        <v>11368</v>
      </c>
      <c r="C5273" s="7" t="s">
        <v>12556</v>
      </c>
      <c r="D5273" s="8">
        <f t="shared" si="332"/>
        <v>0</v>
      </c>
      <c r="E5273" s="7" t="s">
        <v>12557</v>
      </c>
      <c r="F5273" s="7">
        <f t="shared" si="333"/>
        <v>2</v>
      </c>
      <c r="G5273" s="7" t="s">
        <v>12558</v>
      </c>
      <c r="H5273" s="7">
        <f t="shared" si="334"/>
        <v>1</v>
      </c>
      <c r="I5273" s="7" t="str" cm="1">
        <f t="array" ref="I5273">IFERROR(_xlfn.IFS(M5273="נח",1,M5273="נע ונח",1,M5273="שני שווא נח",2,M5273="שני שוואים בסוף מילה",2,M5273="שני שוואים ברצף",1),"0")</f>
        <v>0</v>
      </c>
      <c r="J5273" s="9">
        <f t="shared" si="335"/>
        <v>3</v>
      </c>
      <c r="K5273" t="s">
        <v>6697</v>
      </c>
      <c r="L5273" t="s">
        <v>6695</v>
      </c>
      <c r="P5273" t="s">
        <v>6694</v>
      </c>
      <c r="S5273" t="s">
        <v>6694</v>
      </c>
      <c r="U5273" t="s">
        <v>6694</v>
      </c>
      <c r="W5273" t="s">
        <v>6720</v>
      </c>
    </row>
    <row r="5274" spans="1:23" ht="15.6" x14ac:dyDescent="0.4">
      <c r="A5274" s="2" t="s">
        <v>5112</v>
      </c>
      <c r="B5274" s="5" t="s">
        <v>11369</v>
      </c>
      <c r="C5274" s="7" t="s">
        <v>12556</v>
      </c>
      <c r="D5274" s="8">
        <f t="shared" si="332"/>
        <v>0</v>
      </c>
      <c r="E5274" s="7" t="s">
        <v>12557</v>
      </c>
      <c r="F5274" s="7">
        <f t="shared" si="333"/>
        <v>1</v>
      </c>
      <c r="G5274" s="7" t="s">
        <v>12558</v>
      </c>
      <c r="H5274" s="7">
        <f t="shared" si="334"/>
        <v>0</v>
      </c>
      <c r="I5274" s="7" t="str" cm="1">
        <f t="array" ref="I5274">IFERROR(_xlfn.IFS(M5274="נח",1,M5274="נע ונח",1,M5274="שני שווא נח",2,M5274="שני שוואים בסוף מילה",2,M5274="שני שוואים ברצף",1),"0")</f>
        <v>0</v>
      </c>
      <c r="J5274" s="9">
        <f t="shared" si="335"/>
        <v>3</v>
      </c>
      <c r="K5274" t="s">
        <v>6697</v>
      </c>
      <c r="L5274" t="s">
        <v>6695</v>
      </c>
      <c r="O5274" t="s">
        <v>6694</v>
      </c>
      <c r="P5274" t="s">
        <v>6694</v>
      </c>
      <c r="V5274" t="s">
        <v>6694</v>
      </c>
      <c r="W5274" t="s">
        <v>6720</v>
      </c>
    </row>
    <row r="5275" spans="1:23" ht="15.6" x14ac:dyDescent="0.4">
      <c r="A5275" s="2" t="s">
        <v>464</v>
      </c>
      <c r="B5275" s="5" t="s">
        <v>11370</v>
      </c>
      <c r="C5275" s="7" t="s">
        <v>12556</v>
      </c>
      <c r="D5275" s="8">
        <f t="shared" si="332"/>
        <v>0</v>
      </c>
      <c r="E5275" s="7" t="s">
        <v>12557</v>
      </c>
      <c r="F5275" s="7">
        <f t="shared" si="333"/>
        <v>0</v>
      </c>
      <c r="G5275" s="7" t="s">
        <v>12558</v>
      </c>
      <c r="H5275" s="7">
        <f t="shared" si="334"/>
        <v>0</v>
      </c>
      <c r="I5275" s="7" cm="1">
        <f t="array" ref="I5275">IFERROR(_xlfn.IFS(M5275="נח",1,M5275="נע ונח",1,M5275="שני שווא נח",2,M5275="שני שוואים בסוף מילה",2,M5275="שני שוואים ברצף",1),"0")</f>
        <v>1</v>
      </c>
      <c r="J5275" s="9">
        <f t="shared" si="335"/>
        <v>2</v>
      </c>
      <c r="K5275" t="s">
        <v>6697</v>
      </c>
      <c r="L5275" t="s">
        <v>6694</v>
      </c>
      <c r="M5275" t="s">
        <v>6705</v>
      </c>
      <c r="P5275" t="s">
        <v>6694</v>
      </c>
      <c r="S5275" t="s">
        <v>6694</v>
      </c>
      <c r="W5275" t="s">
        <v>6720</v>
      </c>
    </row>
    <row r="5276" spans="1:23" ht="15.6" x14ac:dyDescent="0.4">
      <c r="A5276" s="2" t="s">
        <v>1840</v>
      </c>
      <c r="B5276" s="5" t="s">
        <v>11371</v>
      </c>
      <c r="C5276" s="7" t="s">
        <v>12556</v>
      </c>
      <c r="D5276" s="8">
        <f t="shared" si="332"/>
        <v>0</v>
      </c>
      <c r="E5276" s="7" t="s">
        <v>12557</v>
      </c>
      <c r="F5276" s="7">
        <f t="shared" si="333"/>
        <v>0</v>
      </c>
      <c r="G5276" s="7" t="s">
        <v>12558</v>
      </c>
      <c r="H5276" s="7">
        <f t="shared" si="334"/>
        <v>0</v>
      </c>
      <c r="I5276" s="7" t="str" cm="1">
        <f t="array" ref="I5276">IFERROR(_xlfn.IFS(M5276="נח",1,M5276="נע ונח",1,M5276="שני שווא נח",2,M5276="שני שוואים בסוף מילה",2,M5276="שני שוואים ברצף",1),"0")</f>
        <v>0</v>
      </c>
      <c r="J5276" s="9">
        <f t="shared" si="335"/>
        <v>2</v>
      </c>
      <c r="K5276" t="s">
        <v>6698</v>
      </c>
      <c r="L5276" t="s">
        <v>6695</v>
      </c>
      <c r="O5276" t="s">
        <v>6694</v>
      </c>
      <c r="S5276" t="s">
        <v>6694</v>
      </c>
      <c r="W5276" t="s">
        <v>6720</v>
      </c>
    </row>
    <row r="5277" spans="1:23" ht="15.6" x14ac:dyDescent="0.4">
      <c r="A5277" s="2" t="s">
        <v>3967</v>
      </c>
      <c r="B5277" s="5" t="s">
        <v>11372</v>
      </c>
      <c r="C5277" s="7" t="s">
        <v>12556</v>
      </c>
      <c r="D5277" s="8">
        <f t="shared" si="332"/>
        <v>0</v>
      </c>
      <c r="E5277" s="7" t="s">
        <v>12557</v>
      </c>
      <c r="F5277" s="7">
        <f t="shared" si="333"/>
        <v>0</v>
      </c>
      <c r="G5277" s="7" t="s">
        <v>12558</v>
      </c>
      <c r="H5277" s="7">
        <f t="shared" si="334"/>
        <v>0</v>
      </c>
      <c r="I5277" s="7" t="str" cm="1">
        <f t="array" ref="I5277">IFERROR(_xlfn.IFS(M5277="נח",1,M5277="נע ונח",1,M5277="שני שווא נח",2,M5277="שני שוואים בסוף מילה",2,M5277="שני שוואים ברצף",1),"0")</f>
        <v>0</v>
      </c>
      <c r="J5277" s="9">
        <f t="shared" si="335"/>
        <v>1</v>
      </c>
      <c r="K5277" t="s">
        <v>6698</v>
      </c>
      <c r="L5277" t="s">
        <v>6695</v>
      </c>
      <c r="N5277" t="s">
        <v>6706</v>
      </c>
      <c r="O5277" t="s">
        <v>6694</v>
      </c>
      <c r="W5277" t="s">
        <v>6720</v>
      </c>
    </row>
    <row r="5278" spans="1:23" ht="15.6" x14ac:dyDescent="0.4">
      <c r="A5278" s="2" t="s">
        <v>1204</v>
      </c>
      <c r="B5278" s="5" t="s">
        <v>11373</v>
      </c>
      <c r="C5278" s="7" t="s">
        <v>12556</v>
      </c>
      <c r="D5278" s="8">
        <f t="shared" si="332"/>
        <v>0</v>
      </c>
      <c r="E5278" s="7" t="s">
        <v>12557</v>
      </c>
      <c r="F5278" s="7">
        <f t="shared" si="333"/>
        <v>1</v>
      </c>
      <c r="G5278" s="7" t="s">
        <v>12558</v>
      </c>
      <c r="H5278" s="7">
        <f t="shared" si="334"/>
        <v>1</v>
      </c>
      <c r="I5278" s="7" cm="1">
        <f t="array" ref="I5278">IFERROR(_xlfn.IFS(M5278="נח",1,M5278="נע ונח",1,M5278="שני שווא נח",2,M5278="שני שוואים בסוף מילה",2,M5278="שני שוואים ברצף",1),"0")</f>
        <v>1</v>
      </c>
      <c r="J5278" s="9">
        <f t="shared" si="335"/>
        <v>2</v>
      </c>
      <c r="K5278" t="s">
        <v>6698</v>
      </c>
      <c r="L5278" t="s">
        <v>6694</v>
      </c>
      <c r="M5278" t="s">
        <v>6705</v>
      </c>
      <c r="O5278" t="s">
        <v>6694</v>
      </c>
      <c r="U5278" t="s">
        <v>6694</v>
      </c>
      <c r="W5278" t="s">
        <v>6720</v>
      </c>
    </row>
    <row r="5279" spans="1:23" ht="15.6" x14ac:dyDescent="0.4">
      <c r="A5279" s="2" t="s">
        <v>4088</v>
      </c>
      <c r="B5279" s="5" t="s">
        <v>11374</v>
      </c>
      <c r="C5279" s="7" t="s">
        <v>12556</v>
      </c>
      <c r="D5279" s="8">
        <f t="shared" si="332"/>
        <v>0</v>
      </c>
      <c r="E5279" s="7" t="s">
        <v>12557</v>
      </c>
      <c r="F5279" s="7">
        <f t="shared" si="333"/>
        <v>1</v>
      </c>
      <c r="G5279" s="7" t="s">
        <v>12558</v>
      </c>
      <c r="H5279" s="7">
        <f t="shared" si="334"/>
        <v>0</v>
      </c>
      <c r="I5279" s="7" cm="1">
        <f t="array" ref="I5279">IFERROR(_xlfn.IFS(M5279="נח",1,M5279="נע ונח",1,M5279="שני שווא נח",2,M5279="שני שוואים בסוף מילה",2,M5279="שני שוואים ברצף",1),"0")</f>
        <v>1</v>
      </c>
      <c r="J5279" s="9">
        <f t="shared" si="335"/>
        <v>3</v>
      </c>
      <c r="K5279" t="s">
        <v>6697</v>
      </c>
      <c r="L5279" t="s">
        <v>6694</v>
      </c>
      <c r="M5279" t="s">
        <v>6705</v>
      </c>
      <c r="O5279" t="s">
        <v>6694</v>
      </c>
      <c r="P5279" t="s">
        <v>6694</v>
      </c>
      <c r="W5279" t="s">
        <v>6720</v>
      </c>
    </row>
    <row r="5280" spans="1:23" ht="15.6" x14ac:dyDescent="0.4">
      <c r="A5280" s="2" t="s">
        <v>5428</v>
      </c>
      <c r="B5280" s="5" t="s">
        <v>11375</v>
      </c>
      <c r="C5280" s="7" t="s">
        <v>12556</v>
      </c>
      <c r="D5280" s="8">
        <f t="shared" si="332"/>
        <v>0</v>
      </c>
      <c r="E5280" s="7" t="s">
        <v>12557</v>
      </c>
      <c r="F5280" s="7">
        <f t="shared" si="333"/>
        <v>1</v>
      </c>
      <c r="G5280" s="7" t="s">
        <v>12558</v>
      </c>
      <c r="H5280" s="7">
        <f t="shared" si="334"/>
        <v>1</v>
      </c>
      <c r="I5280" s="7" t="str" cm="1">
        <f t="array" ref="I5280">IFERROR(_xlfn.IFS(M5280="נח",1,M5280="נע ונח",1,M5280="שני שווא נח",2,M5280="שני שוואים בסוף מילה",2,M5280="שני שוואים ברצף",1),"0")</f>
        <v>0</v>
      </c>
      <c r="J5280" s="9">
        <f t="shared" si="335"/>
        <v>2</v>
      </c>
      <c r="K5280" t="s">
        <v>6697</v>
      </c>
      <c r="L5280" t="s">
        <v>6695</v>
      </c>
      <c r="O5280" t="s">
        <v>6694</v>
      </c>
      <c r="U5280" t="s">
        <v>6694</v>
      </c>
      <c r="W5280" t="s">
        <v>6720</v>
      </c>
    </row>
    <row r="5281" spans="1:23" ht="15.6" x14ac:dyDescent="0.4">
      <c r="A5281" s="2" t="s">
        <v>3221</v>
      </c>
      <c r="B5281" s="5" t="s">
        <v>11376</v>
      </c>
      <c r="C5281" s="7" t="s">
        <v>12556</v>
      </c>
      <c r="D5281" s="8">
        <f t="shared" si="332"/>
        <v>0</v>
      </c>
      <c r="E5281" s="7" t="s">
        <v>12557</v>
      </c>
      <c r="F5281" s="7">
        <f t="shared" si="333"/>
        <v>0</v>
      </c>
      <c r="G5281" s="7" t="s">
        <v>12558</v>
      </c>
      <c r="H5281" s="7">
        <f t="shared" si="334"/>
        <v>0</v>
      </c>
      <c r="I5281" s="7" t="str" cm="1">
        <f t="array" ref="I5281">IFERROR(_xlfn.IFS(M5281="נח",1,M5281="נע ונח",1,M5281="שני שווא נח",2,M5281="שני שוואים בסוף מילה",2,M5281="שני שוואים ברצף",1),"0")</f>
        <v>0</v>
      </c>
      <c r="J5281" s="9">
        <f t="shared" si="335"/>
        <v>1</v>
      </c>
      <c r="K5281" t="s">
        <v>6698</v>
      </c>
      <c r="L5281" t="s">
        <v>6695</v>
      </c>
      <c r="N5281" t="s">
        <v>6706</v>
      </c>
      <c r="O5281" t="s">
        <v>6694</v>
      </c>
      <c r="W5281" t="s">
        <v>6720</v>
      </c>
    </row>
    <row r="5282" spans="1:23" ht="15.6" x14ac:dyDescent="0.4">
      <c r="A5282" s="2" t="s">
        <v>4476</v>
      </c>
      <c r="B5282" s="5" t="s">
        <v>11377</v>
      </c>
      <c r="C5282" s="7" t="s">
        <v>12556</v>
      </c>
      <c r="D5282" s="8">
        <f t="shared" si="332"/>
        <v>0</v>
      </c>
      <c r="E5282" s="7" t="s">
        <v>12557</v>
      </c>
      <c r="F5282" s="7">
        <f t="shared" si="333"/>
        <v>2</v>
      </c>
      <c r="G5282" s="7" t="s">
        <v>12558</v>
      </c>
      <c r="H5282" s="7">
        <f t="shared" si="334"/>
        <v>1</v>
      </c>
      <c r="I5282" s="7" t="str" cm="1">
        <f t="array" ref="I5282">IFERROR(_xlfn.IFS(M5282="נח",1,M5282="נע ונח",1,M5282="שני שווא נח",2,M5282="שני שוואים בסוף מילה",2,M5282="שני שוואים ברצף",1),"0")</f>
        <v>0</v>
      </c>
      <c r="J5282" s="9">
        <f t="shared" si="335"/>
        <v>2</v>
      </c>
      <c r="K5282" t="s">
        <v>6697</v>
      </c>
      <c r="L5282" t="s">
        <v>6695</v>
      </c>
      <c r="U5282" t="s">
        <v>6694</v>
      </c>
      <c r="V5282" t="s">
        <v>6694</v>
      </c>
      <c r="W5282" t="s">
        <v>6720</v>
      </c>
    </row>
    <row r="5283" spans="1:23" ht="15.6" x14ac:dyDescent="0.4">
      <c r="A5283" s="2" t="s">
        <v>4012</v>
      </c>
      <c r="B5283" s="5" t="s">
        <v>11378</v>
      </c>
      <c r="C5283" s="7" t="s">
        <v>12556</v>
      </c>
      <c r="D5283" s="8">
        <f t="shared" si="332"/>
        <v>0</v>
      </c>
      <c r="E5283" s="7" t="s">
        <v>12557</v>
      </c>
      <c r="F5283" s="7">
        <f t="shared" si="333"/>
        <v>0</v>
      </c>
      <c r="G5283" s="7" t="s">
        <v>12558</v>
      </c>
      <c r="H5283" s="7">
        <f t="shared" si="334"/>
        <v>0</v>
      </c>
      <c r="I5283" s="7" t="str" cm="1">
        <f t="array" ref="I5283">IFERROR(_xlfn.IFS(M5283="נח",1,M5283="נע ונח",1,M5283="שני שווא נח",2,M5283="שני שוואים בסוף מילה",2,M5283="שני שוואים ברצף",1),"0")</f>
        <v>0</v>
      </c>
      <c r="J5283" s="9">
        <f t="shared" si="335"/>
        <v>2</v>
      </c>
      <c r="K5283" t="s">
        <v>6697</v>
      </c>
      <c r="L5283" t="s">
        <v>6695</v>
      </c>
      <c r="O5283" t="s">
        <v>6694</v>
      </c>
      <c r="V5283" t="s">
        <v>6694</v>
      </c>
      <c r="W5283" t="s">
        <v>6720</v>
      </c>
    </row>
    <row r="5284" spans="1:23" ht="15.6" x14ac:dyDescent="0.4">
      <c r="A5284" s="2" t="s">
        <v>1989</v>
      </c>
      <c r="B5284" s="5" t="s">
        <v>11379</v>
      </c>
      <c r="C5284" s="7" t="s">
        <v>12556</v>
      </c>
      <c r="D5284" s="8">
        <f t="shared" si="332"/>
        <v>0</v>
      </c>
      <c r="E5284" s="7" t="s">
        <v>12557</v>
      </c>
      <c r="F5284" s="7">
        <f t="shared" si="333"/>
        <v>1</v>
      </c>
      <c r="G5284" s="7" t="s">
        <v>12558</v>
      </c>
      <c r="H5284" s="7">
        <f t="shared" si="334"/>
        <v>0</v>
      </c>
      <c r="I5284" s="7" t="str" cm="1">
        <f t="array" ref="I5284">IFERROR(_xlfn.IFS(M5284="נח",1,M5284="נע ונח",1,M5284="שני שווא נח",2,M5284="שני שוואים בסוף מילה",2,M5284="שני שוואים ברצף",1),"0")</f>
        <v>0</v>
      </c>
      <c r="J5284" s="9">
        <f t="shared" si="335"/>
        <v>3</v>
      </c>
      <c r="K5284" t="s">
        <v>6697</v>
      </c>
      <c r="L5284" t="s">
        <v>6695</v>
      </c>
      <c r="O5284" t="s">
        <v>6694</v>
      </c>
      <c r="T5284" t="s">
        <v>6694</v>
      </c>
      <c r="V5284" t="s">
        <v>6694</v>
      </c>
      <c r="W5284" t="s">
        <v>6720</v>
      </c>
    </row>
    <row r="5285" spans="1:23" ht="15.6" x14ac:dyDescent="0.4">
      <c r="A5285" s="2" t="s">
        <v>4689</v>
      </c>
      <c r="B5285" s="5" t="s">
        <v>11380</v>
      </c>
      <c r="C5285" s="7" t="s">
        <v>12556</v>
      </c>
      <c r="D5285" s="8">
        <f t="shared" si="332"/>
        <v>0</v>
      </c>
      <c r="E5285" s="7" t="s">
        <v>12557</v>
      </c>
      <c r="F5285" s="7">
        <f t="shared" si="333"/>
        <v>1</v>
      </c>
      <c r="G5285" s="7" t="s">
        <v>12558</v>
      </c>
      <c r="H5285" s="7">
        <f t="shared" si="334"/>
        <v>0</v>
      </c>
      <c r="I5285" s="7" t="str" cm="1">
        <f t="array" ref="I5285">IFERROR(_xlfn.IFS(M5285="נח",1,M5285="נע ונח",1,M5285="שני שווא נח",2,M5285="שני שוואים בסוף מילה",2,M5285="שני שוואים ברצף",1),"0")</f>
        <v>0</v>
      </c>
      <c r="J5285" s="9">
        <f t="shared" si="335"/>
        <v>2</v>
      </c>
      <c r="K5285" t="s">
        <v>6697</v>
      </c>
      <c r="L5285" t="s">
        <v>6695</v>
      </c>
      <c r="T5285" t="s">
        <v>6694</v>
      </c>
      <c r="V5285" t="s">
        <v>6694</v>
      </c>
      <c r="W5285" t="s">
        <v>6720</v>
      </c>
    </row>
    <row r="5286" spans="1:23" ht="15.6" x14ac:dyDescent="0.4">
      <c r="A5286" s="2" t="s">
        <v>4254</v>
      </c>
      <c r="B5286" s="5" t="s">
        <v>11381</v>
      </c>
      <c r="C5286" s="7" t="s">
        <v>12556</v>
      </c>
      <c r="D5286" s="8">
        <f t="shared" si="332"/>
        <v>0</v>
      </c>
      <c r="E5286" s="7" t="s">
        <v>12557</v>
      </c>
      <c r="F5286" s="7">
        <f t="shared" si="333"/>
        <v>1</v>
      </c>
      <c r="G5286" s="7" t="s">
        <v>12558</v>
      </c>
      <c r="H5286" s="7">
        <f t="shared" si="334"/>
        <v>0</v>
      </c>
      <c r="I5286" s="7" t="str" cm="1">
        <f t="array" ref="I5286">IFERROR(_xlfn.IFS(M5286="נח",1,M5286="נע ונח",1,M5286="שני שווא נח",2,M5286="שני שוואים בסוף מילה",2,M5286="שני שוואים ברצף",1),"0")</f>
        <v>0</v>
      </c>
      <c r="J5286" s="9">
        <f t="shared" si="335"/>
        <v>2</v>
      </c>
      <c r="K5286" t="s">
        <v>6698</v>
      </c>
      <c r="L5286" t="s">
        <v>6695</v>
      </c>
      <c r="T5286" t="s">
        <v>6694</v>
      </c>
      <c r="V5286" t="s">
        <v>6694</v>
      </c>
      <c r="W5286" t="s">
        <v>6720</v>
      </c>
    </row>
    <row r="5287" spans="1:23" ht="15.6" x14ac:dyDescent="0.4">
      <c r="A5287" s="2" t="s">
        <v>4160</v>
      </c>
      <c r="B5287" s="5" t="s">
        <v>11382</v>
      </c>
      <c r="C5287" s="7" t="s">
        <v>12556</v>
      </c>
      <c r="D5287" s="8">
        <f t="shared" si="332"/>
        <v>0</v>
      </c>
      <c r="E5287" s="7" t="s">
        <v>12557</v>
      </c>
      <c r="F5287" s="7">
        <f t="shared" si="333"/>
        <v>1</v>
      </c>
      <c r="G5287" s="7" t="s">
        <v>12558</v>
      </c>
      <c r="H5287" s="7">
        <f t="shared" si="334"/>
        <v>0</v>
      </c>
      <c r="I5287" s="7" t="str" cm="1">
        <f t="array" ref="I5287">IFERROR(_xlfn.IFS(M5287="נח",1,M5287="נע ונח",1,M5287="שני שווא נח",2,M5287="שני שוואים בסוף מילה",2,M5287="שני שוואים ברצף",1),"0")</f>
        <v>0</v>
      </c>
      <c r="J5287" s="9">
        <f t="shared" si="335"/>
        <v>4</v>
      </c>
      <c r="K5287" t="s">
        <v>6698</v>
      </c>
      <c r="L5287" t="s">
        <v>6695</v>
      </c>
      <c r="Q5287" t="s">
        <v>6694</v>
      </c>
      <c r="R5287" t="s">
        <v>6694</v>
      </c>
      <c r="S5287" t="s">
        <v>6694</v>
      </c>
      <c r="V5287" t="s">
        <v>6694</v>
      </c>
      <c r="W5287" t="s">
        <v>6720</v>
      </c>
    </row>
    <row r="5288" spans="1:23" ht="15.6" x14ac:dyDescent="0.4">
      <c r="A5288" s="2" t="s">
        <v>6233</v>
      </c>
      <c r="B5288" s="5" t="s">
        <v>11367</v>
      </c>
      <c r="C5288" s="7" t="s">
        <v>12556</v>
      </c>
      <c r="D5288" s="8">
        <f t="shared" si="332"/>
        <v>0</v>
      </c>
      <c r="E5288" s="7" t="s">
        <v>12557</v>
      </c>
      <c r="F5288" s="7">
        <f t="shared" si="333"/>
        <v>1</v>
      </c>
      <c r="G5288" s="7" t="s">
        <v>12558</v>
      </c>
      <c r="H5288" s="7">
        <f t="shared" si="334"/>
        <v>0</v>
      </c>
      <c r="I5288" s="7" t="str" cm="1">
        <f t="array" ref="I5288">IFERROR(_xlfn.IFS(M5288="נח",1,M5288="נע ונח",1,M5288="שני שווא נח",2,M5288="שני שוואים בסוף מילה",2,M5288="שני שוואים ברצף",1),"0")</f>
        <v>0</v>
      </c>
      <c r="J5288" s="9">
        <f t="shared" si="335"/>
        <v>2</v>
      </c>
      <c r="K5288" t="s">
        <v>6697</v>
      </c>
      <c r="L5288" t="s">
        <v>6695</v>
      </c>
      <c r="O5288" t="s">
        <v>6694</v>
      </c>
      <c r="R5288" t="s">
        <v>6694</v>
      </c>
      <c r="W5288" t="s">
        <v>6720</v>
      </c>
    </row>
    <row r="5289" spans="1:23" ht="15.6" x14ac:dyDescent="0.4">
      <c r="A5289" s="2" t="s">
        <v>2122</v>
      </c>
      <c r="B5289" s="5" t="s">
        <v>11383</v>
      </c>
      <c r="C5289" s="7" t="s">
        <v>12556</v>
      </c>
      <c r="D5289" s="8">
        <f t="shared" si="332"/>
        <v>0</v>
      </c>
      <c r="E5289" s="7" t="s">
        <v>12557</v>
      </c>
      <c r="F5289" s="7">
        <f t="shared" si="333"/>
        <v>2</v>
      </c>
      <c r="G5289" s="7" t="s">
        <v>12558</v>
      </c>
      <c r="H5289" s="7">
        <f t="shared" si="334"/>
        <v>1</v>
      </c>
      <c r="I5289" s="7" cm="1">
        <f t="array" ref="I5289">IFERROR(_xlfn.IFS(M5289="נח",1,M5289="נע ונח",1,M5289="שני שווא נח",2,M5289="שני שוואים בסוף מילה",2,M5289="שני שוואים ברצף",1),"0")</f>
        <v>1</v>
      </c>
      <c r="J5289" s="9">
        <f t="shared" si="335"/>
        <v>2</v>
      </c>
      <c r="K5289" t="s">
        <v>6697</v>
      </c>
      <c r="L5289" t="s">
        <v>6694</v>
      </c>
      <c r="M5289" t="s">
        <v>6705</v>
      </c>
      <c r="N5289" t="s">
        <v>6706</v>
      </c>
      <c r="O5289" t="s">
        <v>6694</v>
      </c>
      <c r="U5289" t="s">
        <v>6694</v>
      </c>
      <c r="W5289" t="s">
        <v>6720</v>
      </c>
    </row>
    <row r="5290" spans="1:23" ht="15.6" x14ac:dyDescent="0.4">
      <c r="A5290" s="2" t="s">
        <v>918</v>
      </c>
      <c r="B5290" s="5" t="s">
        <v>11384</v>
      </c>
      <c r="C5290" s="7" t="s">
        <v>12556</v>
      </c>
      <c r="D5290" s="8">
        <f t="shared" si="332"/>
        <v>0</v>
      </c>
      <c r="E5290" s="7" t="s">
        <v>12557</v>
      </c>
      <c r="F5290" s="7">
        <f t="shared" si="333"/>
        <v>0</v>
      </c>
      <c r="G5290" s="7" t="s">
        <v>12558</v>
      </c>
      <c r="H5290" s="7">
        <f t="shared" si="334"/>
        <v>0</v>
      </c>
      <c r="I5290" s="7" t="str" cm="1">
        <f t="array" ref="I5290">IFERROR(_xlfn.IFS(M5290="נח",1,M5290="נע ונח",1,M5290="שני שווא נח",2,M5290="שני שוואים בסוף מילה",2,M5290="שני שוואים ברצף",1),"0")</f>
        <v>0</v>
      </c>
      <c r="J5290" s="9">
        <f t="shared" si="335"/>
        <v>1</v>
      </c>
      <c r="K5290" t="s">
        <v>6698</v>
      </c>
      <c r="L5290" t="s">
        <v>6695</v>
      </c>
      <c r="V5290" t="s">
        <v>6694</v>
      </c>
      <c r="W5290" t="s">
        <v>6720</v>
      </c>
    </row>
    <row r="5291" spans="1:23" ht="15.6" x14ac:dyDescent="0.4">
      <c r="A5291" s="2" t="s">
        <v>2540</v>
      </c>
      <c r="B5291" s="5" t="s">
        <v>11385</v>
      </c>
      <c r="C5291" s="7" t="s">
        <v>12556</v>
      </c>
      <c r="D5291" s="8">
        <f t="shared" si="332"/>
        <v>0</v>
      </c>
      <c r="E5291" s="7" t="s">
        <v>12557</v>
      </c>
      <c r="F5291" s="7">
        <f t="shared" si="333"/>
        <v>0</v>
      </c>
      <c r="G5291" s="7" t="s">
        <v>12558</v>
      </c>
      <c r="H5291" s="7">
        <f t="shared" si="334"/>
        <v>0</v>
      </c>
      <c r="I5291" s="7" cm="1">
        <f t="array" ref="I5291">IFERROR(_xlfn.IFS(M5291="נח",1,M5291="נע ונח",1,M5291="שני שווא נח",2,M5291="שני שוואים בסוף מילה",2,M5291="שני שוואים ברצף",1),"0")</f>
        <v>1</v>
      </c>
      <c r="J5291" s="9">
        <f t="shared" si="335"/>
        <v>2</v>
      </c>
      <c r="K5291" t="s">
        <v>6698</v>
      </c>
      <c r="L5291" t="s">
        <v>6694</v>
      </c>
      <c r="M5291" t="s">
        <v>6705</v>
      </c>
      <c r="Q5291" t="s">
        <v>6694</v>
      </c>
      <c r="V5291" t="s">
        <v>6694</v>
      </c>
      <c r="W5291" t="s">
        <v>6720</v>
      </c>
    </row>
    <row r="5292" spans="1:23" ht="15.6" x14ac:dyDescent="0.4">
      <c r="A5292" s="2" t="s">
        <v>3682</v>
      </c>
      <c r="B5292" s="5" t="s">
        <v>11386</v>
      </c>
      <c r="C5292" s="7" t="s">
        <v>12556</v>
      </c>
      <c r="D5292" s="8">
        <f t="shared" si="332"/>
        <v>0</v>
      </c>
      <c r="E5292" s="7" t="s">
        <v>12557</v>
      </c>
      <c r="F5292" s="7">
        <f t="shared" si="333"/>
        <v>0</v>
      </c>
      <c r="G5292" s="7" t="s">
        <v>12558</v>
      </c>
      <c r="H5292" s="7">
        <f t="shared" si="334"/>
        <v>0</v>
      </c>
      <c r="I5292" s="7" t="str" cm="1">
        <f t="array" ref="I5292">IFERROR(_xlfn.IFS(M5292="נח",1,M5292="נע ונח",1,M5292="שני שווא נח",2,M5292="שני שוואים בסוף מילה",2,M5292="שני שוואים ברצף",1),"0")</f>
        <v>0</v>
      </c>
      <c r="J5292" s="9">
        <f t="shared" si="335"/>
        <v>2</v>
      </c>
      <c r="K5292" t="s">
        <v>6698</v>
      </c>
      <c r="L5292" t="s">
        <v>6695</v>
      </c>
      <c r="Q5292" t="s">
        <v>6694</v>
      </c>
      <c r="V5292" t="s">
        <v>6694</v>
      </c>
      <c r="W5292" t="s">
        <v>6720</v>
      </c>
    </row>
    <row r="5293" spans="1:23" ht="15.6" x14ac:dyDescent="0.4">
      <c r="A5293" s="2" t="s">
        <v>4542</v>
      </c>
      <c r="B5293" s="5" t="s">
        <v>11387</v>
      </c>
      <c r="C5293" s="7" t="s">
        <v>12556</v>
      </c>
      <c r="D5293" s="8">
        <f t="shared" si="332"/>
        <v>0</v>
      </c>
      <c r="E5293" s="7" t="s">
        <v>12557</v>
      </c>
      <c r="F5293" s="7">
        <f t="shared" si="333"/>
        <v>0</v>
      </c>
      <c r="G5293" s="7" t="s">
        <v>12558</v>
      </c>
      <c r="H5293" s="7">
        <f t="shared" si="334"/>
        <v>0</v>
      </c>
      <c r="I5293" s="7" t="str" cm="1">
        <f t="array" ref="I5293">IFERROR(_xlfn.IFS(M5293="נח",1,M5293="נע ונח",1,M5293="שני שווא נח",2,M5293="שני שוואים בסוף מילה",2,M5293="שני שוואים ברצף",1),"0")</f>
        <v>0</v>
      </c>
      <c r="J5293" s="9">
        <f t="shared" si="335"/>
        <v>3</v>
      </c>
      <c r="K5293" t="s">
        <v>6698</v>
      </c>
      <c r="L5293" t="s">
        <v>6694</v>
      </c>
      <c r="M5293" t="s">
        <v>6703</v>
      </c>
      <c r="S5293" t="s">
        <v>6694</v>
      </c>
      <c r="V5293" t="s">
        <v>6694</v>
      </c>
      <c r="W5293" t="s">
        <v>6720</v>
      </c>
    </row>
    <row r="5294" spans="1:23" ht="15.6" x14ac:dyDescent="0.4">
      <c r="A5294" s="2" t="s">
        <v>4492</v>
      </c>
      <c r="B5294" s="5" t="s">
        <v>11387</v>
      </c>
      <c r="C5294" s="7" t="s">
        <v>12556</v>
      </c>
      <c r="D5294" s="8">
        <f t="shared" si="332"/>
        <v>0</v>
      </c>
      <c r="E5294" s="7" t="s">
        <v>12557</v>
      </c>
      <c r="F5294" s="7">
        <f t="shared" si="333"/>
        <v>0</v>
      </c>
      <c r="G5294" s="7" t="s">
        <v>12558</v>
      </c>
      <c r="H5294" s="7">
        <f t="shared" si="334"/>
        <v>0</v>
      </c>
      <c r="I5294" s="7" t="str" cm="1">
        <f t="array" ref="I5294">IFERROR(_xlfn.IFS(M5294="נח",1,M5294="נע ונח",1,M5294="שני שווא נח",2,M5294="שני שוואים בסוף מילה",2,M5294="שני שוואים ברצף",1),"0")</f>
        <v>0</v>
      </c>
      <c r="J5294" s="9">
        <f t="shared" si="335"/>
        <v>3</v>
      </c>
      <c r="K5294" t="s">
        <v>6698</v>
      </c>
      <c r="L5294" t="s">
        <v>6695</v>
      </c>
      <c r="P5294" t="s">
        <v>6694</v>
      </c>
      <c r="S5294" t="s">
        <v>6694</v>
      </c>
      <c r="V5294" t="s">
        <v>6694</v>
      </c>
      <c r="W5294" t="s">
        <v>6720</v>
      </c>
    </row>
    <row r="5295" spans="1:23" ht="15.6" x14ac:dyDescent="0.4">
      <c r="A5295" s="2" t="s">
        <v>5719</v>
      </c>
      <c r="B5295" s="5" t="s">
        <v>11388</v>
      </c>
      <c r="C5295" s="7" t="s">
        <v>12556</v>
      </c>
      <c r="D5295" s="8">
        <f t="shared" si="332"/>
        <v>0</v>
      </c>
      <c r="E5295" s="7" t="s">
        <v>12557</v>
      </c>
      <c r="F5295" s="7">
        <f t="shared" si="333"/>
        <v>0</v>
      </c>
      <c r="G5295" s="7" t="s">
        <v>12558</v>
      </c>
      <c r="H5295" s="7">
        <f t="shared" si="334"/>
        <v>0</v>
      </c>
      <c r="I5295" s="7" t="str" cm="1">
        <f t="array" ref="I5295">IFERROR(_xlfn.IFS(M5295="נח",1,M5295="נע ונח",1,M5295="שני שווא נח",2,M5295="שני שוואים בסוף מילה",2,M5295="שני שוואים ברצף",1),"0")</f>
        <v>0</v>
      </c>
      <c r="J5295" s="9">
        <f t="shared" si="335"/>
        <v>2</v>
      </c>
      <c r="K5295" t="s">
        <v>6698</v>
      </c>
      <c r="L5295" t="s">
        <v>6695</v>
      </c>
      <c r="Q5295" t="s">
        <v>6694</v>
      </c>
      <c r="V5295" t="s">
        <v>6694</v>
      </c>
      <c r="W5295" t="s">
        <v>6720</v>
      </c>
    </row>
    <row r="5296" spans="1:23" ht="15.6" x14ac:dyDescent="0.4">
      <c r="A5296" s="2" t="s">
        <v>1047</v>
      </c>
      <c r="B5296" s="5" t="s">
        <v>11389</v>
      </c>
      <c r="C5296" s="7" t="s">
        <v>12556</v>
      </c>
      <c r="D5296" s="8">
        <f t="shared" si="332"/>
        <v>0</v>
      </c>
      <c r="E5296" s="7" t="s">
        <v>12557</v>
      </c>
      <c r="F5296" s="7">
        <f t="shared" si="333"/>
        <v>1</v>
      </c>
      <c r="G5296" s="7" t="s">
        <v>12558</v>
      </c>
      <c r="H5296" s="7">
        <f t="shared" si="334"/>
        <v>1</v>
      </c>
      <c r="I5296" s="7" t="str" cm="1">
        <f t="array" ref="I5296">IFERROR(_xlfn.IFS(M5296="נח",1,M5296="נע ונח",1,M5296="שני שווא נח",2,M5296="שני שוואים בסוף מילה",2,M5296="שני שוואים ברצף",1),"0")</f>
        <v>0</v>
      </c>
      <c r="J5296" s="9">
        <f t="shared" si="335"/>
        <v>1</v>
      </c>
      <c r="K5296" t="s">
        <v>6698</v>
      </c>
      <c r="L5296" t="s">
        <v>6695</v>
      </c>
      <c r="U5296" t="s">
        <v>6694</v>
      </c>
      <c r="W5296" t="s">
        <v>6720</v>
      </c>
    </row>
    <row r="5297" spans="1:23" ht="15.6" x14ac:dyDescent="0.4">
      <c r="A5297" s="2" t="s">
        <v>2546</v>
      </c>
      <c r="B5297" s="5" t="s">
        <v>11390</v>
      </c>
      <c r="C5297" s="7" t="s">
        <v>12556</v>
      </c>
      <c r="D5297" s="8">
        <f t="shared" si="332"/>
        <v>0</v>
      </c>
      <c r="E5297" s="7" t="s">
        <v>12557</v>
      </c>
      <c r="F5297" s="7">
        <f t="shared" si="333"/>
        <v>1</v>
      </c>
      <c r="G5297" s="7" t="s">
        <v>12558</v>
      </c>
      <c r="H5297" s="7">
        <f t="shared" si="334"/>
        <v>1</v>
      </c>
      <c r="I5297" s="7" t="str" cm="1">
        <f t="array" ref="I5297">IFERROR(_xlfn.IFS(M5297="נח",1,M5297="נע ונח",1,M5297="שני שווא נח",2,M5297="שני שוואים בסוף מילה",2,M5297="שני שוואים ברצף",1),"0")</f>
        <v>0</v>
      </c>
      <c r="J5297" s="9">
        <f t="shared" si="335"/>
        <v>1</v>
      </c>
      <c r="K5297" t="s">
        <v>6698</v>
      </c>
      <c r="L5297" t="s">
        <v>6695</v>
      </c>
      <c r="U5297" t="s">
        <v>6694</v>
      </c>
      <c r="W5297" t="s">
        <v>6720</v>
      </c>
    </row>
    <row r="5298" spans="1:23" ht="15.6" x14ac:dyDescent="0.4">
      <c r="A5298" s="2" t="s">
        <v>2370</v>
      </c>
      <c r="B5298" s="5" t="s">
        <v>11391</v>
      </c>
      <c r="C5298" s="7" t="s">
        <v>12556</v>
      </c>
      <c r="D5298" s="8">
        <f t="shared" si="332"/>
        <v>0</v>
      </c>
      <c r="E5298" s="7" t="s">
        <v>12557</v>
      </c>
      <c r="F5298" s="7">
        <f t="shared" si="333"/>
        <v>2</v>
      </c>
      <c r="G5298" s="7" t="s">
        <v>12558</v>
      </c>
      <c r="H5298" s="7">
        <f t="shared" si="334"/>
        <v>2</v>
      </c>
      <c r="I5298" s="7" t="str" cm="1">
        <f t="array" ref="I5298">IFERROR(_xlfn.IFS(M5298="נח",1,M5298="נע ונח",1,M5298="שני שווא נח",2,M5298="שני שוואים בסוף מילה",2,M5298="שני שוואים ברצף",1),"0")</f>
        <v>0</v>
      </c>
      <c r="J5298" s="9">
        <f t="shared" si="335"/>
        <v>2</v>
      </c>
      <c r="K5298" t="s">
        <v>6697</v>
      </c>
      <c r="L5298" t="s">
        <v>6695</v>
      </c>
      <c r="U5298" t="s">
        <v>6694</v>
      </c>
      <c r="W5298" t="s">
        <v>6720</v>
      </c>
    </row>
    <row r="5299" spans="1:23" ht="15.6" x14ac:dyDescent="0.4">
      <c r="A5299" s="2" t="s">
        <v>1351</v>
      </c>
      <c r="B5299" s="5" t="s">
        <v>11392</v>
      </c>
      <c r="C5299" s="7" t="s">
        <v>12556</v>
      </c>
      <c r="D5299" s="8">
        <f t="shared" si="332"/>
        <v>0</v>
      </c>
      <c r="E5299" s="7" t="s">
        <v>12557</v>
      </c>
      <c r="F5299" s="7">
        <f t="shared" si="333"/>
        <v>1</v>
      </c>
      <c r="G5299" s="7" t="s">
        <v>12558</v>
      </c>
      <c r="H5299" s="7">
        <f t="shared" si="334"/>
        <v>1</v>
      </c>
      <c r="I5299" s="7" t="str" cm="1">
        <f t="array" ref="I5299">IFERROR(_xlfn.IFS(M5299="נח",1,M5299="נע ונח",1,M5299="שני שווא נח",2,M5299="שני שוואים בסוף מילה",2,M5299="שני שוואים ברצף",1),"0")</f>
        <v>0</v>
      </c>
      <c r="J5299" s="9">
        <f t="shared" si="335"/>
        <v>2</v>
      </c>
      <c r="K5299" t="s">
        <v>6697</v>
      </c>
      <c r="L5299" t="s">
        <v>6695</v>
      </c>
      <c r="R5299" t="s">
        <v>6694</v>
      </c>
      <c r="U5299" t="s">
        <v>6694</v>
      </c>
      <c r="W5299" t="s">
        <v>6720</v>
      </c>
    </row>
    <row r="5300" spans="1:23" ht="15.6" x14ac:dyDescent="0.4">
      <c r="A5300" s="2" t="s">
        <v>5907</v>
      </c>
      <c r="B5300" s="5" t="s">
        <v>11393</v>
      </c>
      <c r="C5300" s="7" t="s">
        <v>12556</v>
      </c>
      <c r="D5300" s="8">
        <f t="shared" si="332"/>
        <v>0</v>
      </c>
      <c r="E5300" s="7" t="s">
        <v>12557</v>
      </c>
      <c r="F5300" s="7">
        <f t="shared" si="333"/>
        <v>1</v>
      </c>
      <c r="G5300" s="7" t="s">
        <v>12558</v>
      </c>
      <c r="H5300" s="7">
        <f t="shared" si="334"/>
        <v>1</v>
      </c>
      <c r="I5300" s="7" t="str" cm="1">
        <f t="array" ref="I5300">IFERROR(_xlfn.IFS(M5300="נח",1,M5300="נע ונח",1,M5300="שני שווא נח",2,M5300="שני שוואים בסוף מילה",2,M5300="שני שוואים ברצף",1),"0")</f>
        <v>0</v>
      </c>
      <c r="J5300" s="9">
        <f t="shared" si="335"/>
        <v>2</v>
      </c>
      <c r="K5300" t="s">
        <v>6698</v>
      </c>
      <c r="L5300" t="s">
        <v>6695</v>
      </c>
      <c r="R5300" t="s">
        <v>6694</v>
      </c>
      <c r="U5300" t="s">
        <v>6694</v>
      </c>
      <c r="W5300" t="s">
        <v>6720</v>
      </c>
    </row>
    <row r="5301" spans="1:23" ht="15.6" x14ac:dyDescent="0.4">
      <c r="A5301" s="2" t="s">
        <v>5455</v>
      </c>
      <c r="B5301" s="5" t="s">
        <v>11394</v>
      </c>
      <c r="C5301" s="7" t="s">
        <v>12556</v>
      </c>
      <c r="D5301" s="8">
        <f t="shared" si="332"/>
        <v>0</v>
      </c>
      <c r="E5301" s="7" t="s">
        <v>12557</v>
      </c>
      <c r="F5301" s="7">
        <f t="shared" si="333"/>
        <v>0</v>
      </c>
      <c r="G5301" s="7" t="s">
        <v>12558</v>
      </c>
      <c r="H5301" s="7">
        <f t="shared" si="334"/>
        <v>0</v>
      </c>
      <c r="I5301" s="7" t="str" cm="1">
        <f t="array" ref="I5301">IFERROR(_xlfn.IFS(M5301="נח",1,M5301="נע ונח",1,M5301="שני שווא נח",2,M5301="שני שוואים בסוף מילה",2,M5301="שני שוואים ברצף",1),"0")</f>
        <v>0</v>
      </c>
      <c r="J5301" s="9">
        <f t="shared" si="335"/>
        <v>4</v>
      </c>
      <c r="K5301" t="s">
        <v>6697</v>
      </c>
      <c r="L5301" t="s">
        <v>6695</v>
      </c>
      <c r="O5301" t="s">
        <v>6694</v>
      </c>
      <c r="P5301" t="s">
        <v>6694</v>
      </c>
      <c r="R5301" t="s">
        <v>6694</v>
      </c>
      <c r="W5301" t="s">
        <v>6720</v>
      </c>
    </row>
    <row r="5302" spans="1:23" ht="15.6" x14ac:dyDescent="0.4">
      <c r="A5302" s="2" t="s">
        <v>1280</v>
      </c>
      <c r="B5302" s="5" t="s">
        <v>11395</v>
      </c>
      <c r="C5302" s="7" t="s">
        <v>12556</v>
      </c>
      <c r="D5302" s="8">
        <f t="shared" si="332"/>
        <v>0</v>
      </c>
      <c r="E5302" s="7" t="s">
        <v>12557</v>
      </c>
      <c r="F5302" s="7">
        <f t="shared" si="333"/>
        <v>0</v>
      </c>
      <c r="G5302" s="7" t="s">
        <v>12558</v>
      </c>
      <c r="H5302" s="7">
        <f t="shared" si="334"/>
        <v>0</v>
      </c>
      <c r="I5302" s="7" t="str" cm="1">
        <f t="array" ref="I5302">IFERROR(_xlfn.IFS(M5302="נח",1,M5302="נע ונח",1,M5302="שני שווא נח",2,M5302="שני שוואים בסוף מילה",2,M5302="שני שוואים ברצף",1),"0")</f>
        <v>0</v>
      </c>
      <c r="J5302" s="9">
        <f t="shared" si="335"/>
        <v>3</v>
      </c>
      <c r="K5302" t="s">
        <v>6698</v>
      </c>
      <c r="L5302" t="s">
        <v>6695</v>
      </c>
      <c r="N5302" t="s">
        <v>6706</v>
      </c>
      <c r="O5302" t="s">
        <v>6694</v>
      </c>
      <c r="P5302" t="s">
        <v>6694</v>
      </c>
      <c r="W5302" t="s">
        <v>6720</v>
      </c>
    </row>
    <row r="5303" spans="1:23" ht="15.6" x14ac:dyDescent="0.4">
      <c r="A5303" s="2" t="s">
        <v>6212</v>
      </c>
      <c r="B5303" s="5" t="s">
        <v>11396</v>
      </c>
      <c r="C5303" s="7" t="s">
        <v>12556</v>
      </c>
      <c r="D5303" s="8">
        <f t="shared" si="332"/>
        <v>0</v>
      </c>
      <c r="E5303" s="7" t="s">
        <v>12557</v>
      </c>
      <c r="F5303" s="7">
        <f t="shared" si="333"/>
        <v>0</v>
      </c>
      <c r="G5303" s="7" t="s">
        <v>12558</v>
      </c>
      <c r="H5303" s="7">
        <f t="shared" si="334"/>
        <v>0</v>
      </c>
      <c r="I5303" s="7" t="str" cm="1">
        <f t="array" ref="I5303">IFERROR(_xlfn.IFS(M5303="נח",1,M5303="נע ונח",1,M5303="שני שווא נח",2,M5303="שני שוואים בסוף מילה",2,M5303="שני שוואים ברצף",1),"0")</f>
        <v>0</v>
      </c>
      <c r="J5303" s="9">
        <f t="shared" si="335"/>
        <v>4</v>
      </c>
      <c r="K5303" t="s">
        <v>6697</v>
      </c>
      <c r="L5303" t="s">
        <v>6695</v>
      </c>
      <c r="P5303" t="s">
        <v>6694</v>
      </c>
      <c r="Q5303" t="s">
        <v>6694</v>
      </c>
      <c r="V5303" t="s">
        <v>6694</v>
      </c>
      <c r="W5303" t="s">
        <v>6720</v>
      </c>
    </row>
    <row r="5304" spans="1:23" ht="15.6" x14ac:dyDescent="0.4">
      <c r="A5304" s="2" t="s">
        <v>3793</v>
      </c>
      <c r="B5304" s="5" t="s">
        <v>11397</v>
      </c>
      <c r="C5304" s="7" t="s">
        <v>12556</v>
      </c>
      <c r="D5304" s="8">
        <f t="shared" si="332"/>
        <v>0</v>
      </c>
      <c r="E5304" s="7" t="s">
        <v>12557</v>
      </c>
      <c r="F5304" s="7">
        <f t="shared" si="333"/>
        <v>0</v>
      </c>
      <c r="G5304" s="7" t="s">
        <v>12558</v>
      </c>
      <c r="H5304" s="7">
        <f t="shared" si="334"/>
        <v>0</v>
      </c>
      <c r="I5304" s="7" t="str" cm="1">
        <f t="array" ref="I5304">IFERROR(_xlfn.IFS(M5304="נח",1,M5304="נע ונח",1,M5304="שני שווא נח",2,M5304="שני שוואים בסוף מילה",2,M5304="שני שוואים ברצף",1),"0")</f>
        <v>0</v>
      </c>
      <c r="J5304" s="9">
        <f t="shared" si="335"/>
        <v>3</v>
      </c>
      <c r="K5304" t="s">
        <v>6698</v>
      </c>
      <c r="L5304" t="s">
        <v>6695</v>
      </c>
      <c r="O5304" t="s">
        <v>6694</v>
      </c>
      <c r="P5304" t="s">
        <v>6694</v>
      </c>
      <c r="V5304" t="s">
        <v>6694</v>
      </c>
      <c r="W5304" t="s">
        <v>6720</v>
      </c>
    </row>
    <row r="5305" spans="1:23" ht="15.6" x14ac:dyDescent="0.4">
      <c r="A5305" s="2" t="s">
        <v>731</v>
      </c>
      <c r="B5305" s="5" t="s">
        <v>11398</v>
      </c>
      <c r="C5305" s="7" t="s">
        <v>12556</v>
      </c>
      <c r="D5305" s="8">
        <f t="shared" si="332"/>
        <v>0</v>
      </c>
      <c r="E5305" s="7" t="s">
        <v>12557</v>
      </c>
      <c r="F5305" s="7">
        <f t="shared" si="333"/>
        <v>0</v>
      </c>
      <c r="G5305" s="7" t="s">
        <v>12558</v>
      </c>
      <c r="H5305" s="7">
        <f t="shared" si="334"/>
        <v>0</v>
      </c>
      <c r="I5305" s="7" t="str" cm="1">
        <f t="array" ref="I5305">IFERROR(_xlfn.IFS(M5305="נח",1,M5305="נע ונח",1,M5305="שני שווא נח",2,M5305="שני שוואים בסוף מילה",2,M5305="שני שוואים ברצף",1),"0")</f>
        <v>0</v>
      </c>
      <c r="J5305" s="9">
        <f t="shared" si="335"/>
        <v>2</v>
      </c>
      <c r="K5305" t="s">
        <v>6698</v>
      </c>
      <c r="L5305" t="s">
        <v>6695</v>
      </c>
      <c r="P5305" t="s">
        <v>6694</v>
      </c>
      <c r="Q5305" t="s">
        <v>6694</v>
      </c>
      <c r="W5305" t="s">
        <v>6720</v>
      </c>
    </row>
    <row r="5306" spans="1:23" ht="15.6" x14ac:dyDescent="0.4">
      <c r="A5306" s="2" t="s">
        <v>1080</v>
      </c>
      <c r="B5306" s="5" t="s">
        <v>11399</v>
      </c>
      <c r="C5306" s="7" t="s">
        <v>12556</v>
      </c>
      <c r="D5306" s="8">
        <f t="shared" si="332"/>
        <v>0</v>
      </c>
      <c r="E5306" s="7" t="s">
        <v>12557</v>
      </c>
      <c r="F5306" s="7">
        <f t="shared" si="333"/>
        <v>0</v>
      </c>
      <c r="G5306" s="7" t="s">
        <v>12558</v>
      </c>
      <c r="H5306" s="7">
        <f t="shared" si="334"/>
        <v>0</v>
      </c>
      <c r="I5306" s="7" t="str" cm="1">
        <f t="array" ref="I5306">IFERROR(_xlfn.IFS(M5306="נח",1,M5306="נע ונח",1,M5306="שני שווא נח",2,M5306="שני שוואים בסוף מילה",2,M5306="שני שוואים ברצף",1),"0")</f>
        <v>0</v>
      </c>
      <c r="J5306" s="9">
        <f t="shared" si="335"/>
        <v>2</v>
      </c>
      <c r="K5306" t="s">
        <v>6698</v>
      </c>
      <c r="L5306" t="s">
        <v>6695</v>
      </c>
      <c r="P5306" t="s">
        <v>6694</v>
      </c>
      <c r="W5306" t="s">
        <v>6720</v>
      </c>
    </row>
    <row r="5307" spans="1:23" ht="15.6" x14ac:dyDescent="0.4">
      <c r="A5307" s="2" t="s">
        <v>847</v>
      </c>
      <c r="B5307" s="5" t="s">
        <v>11400</v>
      </c>
      <c r="C5307" s="7" t="s">
        <v>12556</v>
      </c>
      <c r="D5307" s="8">
        <f t="shared" si="332"/>
        <v>0</v>
      </c>
      <c r="E5307" s="7" t="s">
        <v>12557</v>
      </c>
      <c r="F5307" s="7">
        <f t="shared" si="333"/>
        <v>0</v>
      </c>
      <c r="G5307" s="7" t="s">
        <v>12558</v>
      </c>
      <c r="H5307" s="7">
        <f t="shared" si="334"/>
        <v>0</v>
      </c>
      <c r="I5307" s="7" t="str" cm="1">
        <f t="array" ref="I5307">IFERROR(_xlfn.IFS(M5307="נח",1,M5307="נע ונח",1,M5307="שני שווא נח",2,M5307="שני שוואים בסוף מילה",2,M5307="שני שוואים ברצף",1),"0")</f>
        <v>0</v>
      </c>
      <c r="J5307" s="9">
        <f t="shared" si="335"/>
        <v>4</v>
      </c>
      <c r="K5307" t="s">
        <v>6697</v>
      </c>
      <c r="L5307" t="s">
        <v>6695</v>
      </c>
      <c r="O5307" t="s">
        <v>6694</v>
      </c>
      <c r="P5307" t="s">
        <v>6694</v>
      </c>
      <c r="R5307" t="s">
        <v>6694</v>
      </c>
      <c r="W5307" t="s">
        <v>6720</v>
      </c>
    </row>
    <row r="5308" spans="1:23" ht="15.6" x14ac:dyDescent="0.4">
      <c r="A5308" s="2" t="s">
        <v>5631</v>
      </c>
      <c r="B5308" s="5" t="s">
        <v>11401</v>
      </c>
      <c r="C5308" s="7" t="s">
        <v>12556</v>
      </c>
      <c r="D5308" s="8">
        <f t="shared" si="332"/>
        <v>0</v>
      </c>
      <c r="E5308" s="7" t="s">
        <v>12557</v>
      </c>
      <c r="F5308" s="7">
        <f t="shared" si="333"/>
        <v>0</v>
      </c>
      <c r="G5308" s="7" t="s">
        <v>12558</v>
      </c>
      <c r="H5308" s="7">
        <f t="shared" si="334"/>
        <v>0</v>
      </c>
      <c r="I5308" s="7" cm="1">
        <f t="array" ref="I5308">IFERROR(_xlfn.IFS(M5308="נח",1,M5308="נע ונח",1,M5308="שני שווא נח",2,M5308="שני שוואים בסוף מילה",2,M5308="שני שוואים ברצף",1),"0")</f>
        <v>1</v>
      </c>
      <c r="J5308" s="9">
        <f t="shared" si="335"/>
        <v>3</v>
      </c>
      <c r="K5308" t="s">
        <v>6697</v>
      </c>
      <c r="L5308" t="s">
        <v>6694</v>
      </c>
      <c r="M5308" t="s">
        <v>6705</v>
      </c>
      <c r="N5308" t="s">
        <v>6706</v>
      </c>
      <c r="O5308" t="s">
        <v>6694</v>
      </c>
      <c r="P5308" t="s">
        <v>6694</v>
      </c>
      <c r="W5308" t="s">
        <v>6720</v>
      </c>
    </row>
    <row r="5309" spans="1:23" ht="15.6" x14ac:dyDescent="0.4">
      <c r="A5309" s="2" t="s">
        <v>2705</v>
      </c>
      <c r="B5309" s="5" t="s">
        <v>11402</v>
      </c>
      <c r="C5309" s="7" t="s">
        <v>12556</v>
      </c>
      <c r="D5309" s="8">
        <f t="shared" si="332"/>
        <v>0</v>
      </c>
      <c r="E5309" s="7" t="s">
        <v>12557</v>
      </c>
      <c r="F5309" s="7">
        <f t="shared" si="333"/>
        <v>0</v>
      </c>
      <c r="G5309" s="7" t="s">
        <v>12558</v>
      </c>
      <c r="H5309" s="7">
        <f t="shared" si="334"/>
        <v>0</v>
      </c>
      <c r="I5309" s="7" t="str" cm="1">
        <f t="array" ref="I5309">IFERROR(_xlfn.IFS(M5309="נח",1,M5309="נע ונח",1,M5309="שני שווא נח",2,M5309="שני שוואים בסוף מילה",2,M5309="שני שוואים ברצף",1),"0")</f>
        <v>0</v>
      </c>
      <c r="J5309" s="9">
        <f t="shared" si="335"/>
        <v>2</v>
      </c>
      <c r="K5309" t="s">
        <v>6698</v>
      </c>
      <c r="L5309" t="s">
        <v>6695</v>
      </c>
      <c r="P5309" t="s">
        <v>6694</v>
      </c>
      <c r="V5309" t="s">
        <v>6694</v>
      </c>
      <c r="W5309" t="s">
        <v>6720</v>
      </c>
    </row>
    <row r="5310" spans="1:23" ht="15.6" x14ac:dyDescent="0.4">
      <c r="A5310" s="2" t="s">
        <v>1954</v>
      </c>
      <c r="B5310" s="5" t="s">
        <v>11403</v>
      </c>
      <c r="C5310" s="7" t="s">
        <v>12556</v>
      </c>
      <c r="D5310" s="8">
        <f t="shared" si="332"/>
        <v>0</v>
      </c>
      <c r="E5310" s="7" t="s">
        <v>12557</v>
      </c>
      <c r="F5310" s="7">
        <f t="shared" si="333"/>
        <v>0</v>
      </c>
      <c r="G5310" s="7" t="s">
        <v>12558</v>
      </c>
      <c r="H5310" s="7">
        <f t="shared" si="334"/>
        <v>0</v>
      </c>
      <c r="I5310" s="7" t="str" cm="1">
        <f t="array" ref="I5310">IFERROR(_xlfn.IFS(M5310="נח",1,M5310="נע ונח",1,M5310="שני שווא נח",2,M5310="שני שוואים בסוף מילה",2,M5310="שני שוואים ברצף",1),"0")</f>
        <v>0</v>
      </c>
      <c r="J5310" s="9">
        <f t="shared" si="335"/>
        <v>3</v>
      </c>
      <c r="K5310" t="s">
        <v>6697</v>
      </c>
      <c r="L5310" t="s">
        <v>6695</v>
      </c>
      <c r="P5310" t="s">
        <v>6694</v>
      </c>
      <c r="S5310" t="s">
        <v>6694</v>
      </c>
      <c r="V5310" t="s">
        <v>6694</v>
      </c>
      <c r="W5310" t="s">
        <v>6720</v>
      </c>
    </row>
    <row r="5311" spans="1:23" ht="15.6" x14ac:dyDescent="0.4">
      <c r="A5311" s="2" t="s">
        <v>2814</v>
      </c>
      <c r="B5311" s="5" t="s">
        <v>11404</v>
      </c>
      <c r="C5311" s="7" t="s">
        <v>12556</v>
      </c>
      <c r="D5311" s="8">
        <f t="shared" si="332"/>
        <v>0</v>
      </c>
      <c r="E5311" s="7" t="s">
        <v>12557</v>
      </c>
      <c r="F5311" s="7">
        <f t="shared" si="333"/>
        <v>0</v>
      </c>
      <c r="G5311" s="7" t="s">
        <v>12558</v>
      </c>
      <c r="H5311" s="7">
        <f t="shared" si="334"/>
        <v>0</v>
      </c>
      <c r="I5311" s="7" t="str" cm="1">
        <f t="array" ref="I5311">IFERROR(_xlfn.IFS(M5311="נח",1,M5311="נע ונח",1,M5311="שני שווא נח",2,M5311="שני שוואים בסוף מילה",2,M5311="שני שוואים ברצף",1),"0")</f>
        <v>0</v>
      </c>
      <c r="J5311" s="9">
        <f t="shared" si="335"/>
        <v>4</v>
      </c>
      <c r="K5311" t="s">
        <v>6697</v>
      </c>
      <c r="L5311" t="s">
        <v>6695</v>
      </c>
      <c r="P5311" t="s">
        <v>6694</v>
      </c>
      <c r="Q5311" t="s">
        <v>6694</v>
      </c>
      <c r="S5311" t="s">
        <v>6694</v>
      </c>
      <c r="V5311" t="s">
        <v>6694</v>
      </c>
      <c r="W5311" t="s">
        <v>6720</v>
      </c>
    </row>
    <row r="5312" spans="1:23" ht="15.6" x14ac:dyDescent="0.4">
      <c r="A5312" s="2" t="s">
        <v>4650</v>
      </c>
      <c r="B5312" s="5" t="s">
        <v>11405</v>
      </c>
      <c r="C5312" s="7" t="s">
        <v>12556</v>
      </c>
      <c r="D5312" s="8">
        <f t="shared" si="332"/>
        <v>0</v>
      </c>
      <c r="E5312" s="7" t="s">
        <v>12557</v>
      </c>
      <c r="F5312" s="7">
        <f t="shared" si="333"/>
        <v>0</v>
      </c>
      <c r="G5312" s="7" t="s">
        <v>12558</v>
      </c>
      <c r="H5312" s="7">
        <f t="shared" si="334"/>
        <v>0</v>
      </c>
      <c r="I5312" s="7" t="str" cm="1">
        <f t="array" ref="I5312">IFERROR(_xlfn.IFS(M5312="נח",1,M5312="נע ונח",1,M5312="שני שווא נח",2,M5312="שני שוואים בסוף מילה",2,M5312="שני שוואים ברצף",1),"0")</f>
        <v>0</v>
      </c>
      <c r="J5312" s="9">
        <f t="shared" si="335"/>
        <v>3</v>
      </c>
      <c r="K5312" t="s">
        <v>6698</v>
      </c>
      <c r="L5312" t="s">
        <v>6695</v>
      </c>
      <c r="N5312" t="s">
        <v>6706</v>
      </c>
      <c r="O5312" t="s">
        <v>6694</v>
      </c>
      <c r="P5312" t="s">
        <v>6694</v>
      </c>
      <c r="V5312" t="s">
        <v>6694</v>
      </c>
      <c r="W5312" t="s">
        <v>6720</v>
      </c>
    </row>
    <row r="5313" spans="1:23" ht="15.6" x14ac:dyDescent="0.4">
      <c r="A5313" s="2" t="s">
        <v>4362</v>
      </c>
      <c r="B5313" s="5" t="s">
        <v>11406</v>
      </c>
      <c r="C5313" s="7" t="s">
        <v>12556</v>
      </c>
      <c r="D5313" s="8">
        <f t="shared" si="332"/>
        <v>0</v>
      </c>
      <c r="E5313" s="7" t="s">
        <v>12557</v>
      </c>
      <c r="F5313" s="7">
        <f t="shared" si="333"/>
        <v>0</v>
      </c>
      <c r="G5313" s="7" t="s">
        <v>12558</v>
      </c>
      <c r="H5313" s="7">
        <f t="shared" si="334"/>
        <v>0</v>
      </c>
      <c r="I5313" s="7" t="str" cm="1">
        <f t="array" ref="I5313">IFERROR(_xlfn.IFS(M5313="נח",1,M5313="נע ונח",1,M5313="שני שווא נח",2,M5313="שני שוואים בסוף מילה",2,M5313="שני שוואים ברצף",1),"0")</f>
        <v>0</v>
      </c>
      <c r="J5313" s="9">
        <f t="shared" si="335"/>
        <v>3</v>
      </c>
      <c r="K5313" t="s">
        <v>6698</v>
      </c>
      <c r="L5313" t="s">
        <v>6695</v>
      </c>
      <c r="P5313" t="s">
        <v>6694</v>
      </c>
      <c r="V5313" t="s">
        <v>6694</v>
      </c>
      <c r="W5313" t="s">
        <v>6720</v>
      </c>
    </row>
    <row r="5314" spans="1:23" ht="15.6" x14ac:dyDescent="0.4">
      <c r="A5314" s="2" t="s">
        <v>3530</v>
      </c>
      <c r="B5314" s="5" t="s">
        <v>11407</v>
      </c>
      <c r="C5314" s="7" t="s">
        <v>12556</v>
      </c>
      <c r="D5314" s="8">
        <f t="shared" si="332"/>
        <v>0</v>
      </c>
      <c r="E5314" s="7" t="s">
        <v>12557</v>
      </c>
      <c r="F5314" s="7">
        <f t="shared" si="333"/>
        <v>0</v>
      </c>
      <c r="G5314" s="7" t="s">
        <v>12558</v>
      </c>
      <c r="H5314" s="7">
        <f t="shared" si="334"/>
        <v>0</v>
      </c>
      <c r="I5314" s="7" t="str" cm="1">
        <f t="array" ref="I5314">IFERROR(_xlfn.IFS(M5314="נח",1,M5314="נע ונח",1,M5314="שני שווא נח",2,M5314="שני שוואים בסוף מילה",2,M5314="שני שוואים ברצף",1),"0")</f>
        <v>0</v>
      </c>
      <c r="J5314" s="9">
        <f t="shared" si="335"/>
        <v>4</v>
      </c>
      <c r="K5314" t="s">
        <v>6698</v>
      </c>
      <c r="L5314" t="s">
        <v>6695</v>
      </c>
      <c r="P5314" t="s">
        <v>6694</v>
      </c>
      <c r="V5314" t="s">
        <v>6694</v>
      </c>
      <c r="W5314" t="s">
        <v>6720</v>
      </c>
    </row>
    <row r="5315" spans="1:23" ht="15.6" x14ac:dyDescent="0.4">
      <c r="A5315" s="2" t="s">
        <v>3432</v>
      </c>
      <c r="B5315" s="5" t="s">
        <v>11408</v>
      </c>
      <c r="C5315" s="7" t="s">
        <v>12556</v>
      </c>
      <c r="D5315" s="8">
        <f t="shared" ref="D5315:D5378" si="336">(LEN(B5315)-LEN(SUBSTITUTE(B5315,C5315,"")))</f>
        <v>0</v>
      </c>
      <c r="E5315" s="7" t="s">
        <v>12557</v>
      </c>
      <c r="F5315" s="7">
        <f t="shared" ref="F5315:F5378" si="337">(LEN(A5315)-LEN(SUBSTITUTE(A5315,E5315,"")))</f>
        <v>0</v>
      </c>
      <c r="G5315" s="7" t="s">
        <v>12558</v>
      </c>
      <c r="H5315" s="7">
        <f t="shared" ref="H5315:H5378" si="338">(LEN(A5315)-LEN(SUBSTITUTE(A5315,G5315,"")))/2</f>
        <v>0</v>
      </c>
      <c r="I5315" s="7" t="str" cm="1">
        <f t="array" ref="I5315">IFERROR(_xlfn.IFS(M5315="נח",1,M5315="נע ונח",1,M5315="שני שווא נח",2,M5315="שני שוואים בסוף מילה",2,M5315="שני שוואים ברצף",1),"0")</f>
        <v>0</v>
      </c>
      <c r="J5315" s="9">
        <f t="shared" ref="J5315:J5378" si="339">LEN(A5315)-(LEN(B5315))-D5315-F5315+H5315-I5315</f>
        <v>3</v>
      </c>
      <c r="K5315" t="s">
        <v>6697</v>
      </c>
      <c r="L5315" t="s">
        <v>6695</v>
      </c>
      <c r="P5315" t="s">
        <v>6694</v>
      </c>
      <c r="V5315" t="s">
        <v>6694</v>
      </c>
      <c r="W5315" t="s">
        <v>6720</v>
      </c>
    </row>
    <row r="5316" spans="1:23" ht="15.6" x14ac:dyDescent="0.4">
      <c r="A5316" s="2" t="s">
        <v>3355</v>
      </c>
      <c r="B5316" s="5" t="s">
        <v>11409</v>
      </c>
      <c r="C5316" s="7" t="s">
        <v>12556</v>
      </c>
      <c r="D5316" s="8">
        <f t="shared" si="336"/>
        <v>0</v>
      </c>
      <c r="E5316" s="7" t="s">
        <v>12557</v>
      </c>
      <c r="F5316" s="7">
        <f t="shared" si="337"/>
        <v>1</v>
      </c>
      <c r="G5316" s="7" t="s">
        <v>12558</v>
      </c>
      <c r="H5316" s="7">
        <f t="shared" si="338"/>
        <v>0</v>
      </c>
      <c r="I5316" s="7" cm="1">
        <f t="array" ref="I5316">IFERROR(_xlfn.IFS(M5316="נח",1,M5316="נע ונח",1,M5316="שני שווא נח",2,M5316="שני שוואים בסוף מילה",2,M5316="שני שוואים ברצף",1),"0")</f>
        <v>1</v>
      </c>
      <c r="J5316" s="9">
        <f t="shared" si="339"/>
        <v>4</v>
      </c>
      <c r="K5316" t="s">
        <v>6697</v>
      </c>
      <c r="L5316" t="s">
        <v>6694</v>
      </c>
      <c r="M5316" t="s">
        <v>6705</v>
      </c>
      <c r="O5316" t="s">
        <v>6694</v>
      </c>
      <c r="P5316" t="s">
        <v>6694</v>
      </c>
      <c r="S5316" t="s">
        <v>6694</v>
      </c>
      <c r="W5316" t="s">
        <v>6720</v>
      </c>
    </row>
    <row r="5317" spans="1:23" ht="15.6" x14ac:dyDescent="0.4">
      <c r="A5317" s="2" t="s">
        <v>3027</v>
      </c>
      <c r="B5317" s="5" t="s">
        <v>11410</v>
      </c>
      <c r="C5317" s="7" t="s">
        <v>12556</v>
      </c>
      <c r="D5317" s="8">
        <f t="shared" si="336"/>
        <v>0</v>
      </c>
      <c r="E5317" s="7" t="s">
        <v>12557</v>
      </c>
      <c r="F5317" s="7">
        <f t="shared" si="337"/>
        <v>0</v>
      </c>
      <c r="G5317" s="7" t="s">
        <v>12558</v>
      </c>
      <c r="H5317" s="7">
        <f t="shared" si="338"/>
        <v>0</v>
      </c>
      <c r="I5317" s="7" t="str" cm="1">
        <f t="array" ref="I5317">IFERROR(_xlfn.IFS(M5317="נח",1,M5317="נע ונח",1,M5317="שני שווא נח",2,M5317="שני שוואים בסוף מילה",2,M5317="שני שוואים ברצף",1),"0")</f>
        <v>0</v>
      </c>
      <c r="J5317" s="9">
        <f t="shared" si="339"/>
        <v>4</v>
      </c>
      <c r="K5317" t="s">
        <v>6697</v>
      </c>
      <c r="L5317" t="s">
        <v>6695</v>
      </c>
      <c r="O5317" t="s">
        <v>6694</v>
      </c>
      <c r="P5317" t="s">
        <v>6694</v>
      </c>
      <c r="S5317" t="s">
        <v>6694</v>
      </c>
      <c r="W5317" t="s">
        <v>6720</v>
      </c>
    </row>
    <row r="5318" spans="1:23" ht="15.6" x14ac:dyDescent="0.4">
      <c r="A5318" s="2" t="s">
        <v>6367</v>
      </c>
      <c r="B5318" s="5" t="s">
        <v>11410</v>
      </c>
      <c r="C5318" s="7" t="s">
        <v>12556</v>
      </c>
      <c r="D5318" s="8">
        <f t="shared" si="336"/>
        <v>0</v>
      </c>
      <c r="E5318" s="7" t="s">
        <v>12557</v>
      </c>
      <c r="F5318" s="7">
        <f t="shared" si="337"/>
        <v>0</v>
      </c>
      <c r="G5318" s="7" t="s">
        <v>12558</v>
      </c>
      <c r="H5318" s="7">
        <f t="shared" si="338"/>
        <v>0</v>
      </c>
      <c r="I5318" s="7" t="str" cm="1">
        <f t="array" ref="I5318">IFERROR(_xlfn.IFS(M5318="נח",1,M5318="נע ונח",1,M5318="שני שווא נח",2,M5318="שני שוואים בסוף מילה",2,M5318="שני שוואים ברצף",1),"0")</f>
        <v>0</v>
      </c>
      <c r="J5318" s="9">
        <f t="shared" si="339"/>
        <v>4</v>
      </c>
      <c r="K5318" t="s">
        <v>6697</v>
      </c>
      <c r="L5318" t="s">
        <v>6695</v>
      </c>
      <c r="O5318" t="s">
        <v>6694</v>
      </c>
      <c r="P5318" t="s">
        <v>6694</v>
      </c>
      <c r="S5318" t="s">
        <v>6694</v>
      </c>
      <c r="W5318" t="s">
        <v>6720</v>
      </c>
    </row>
    <row r="5319" spans="1:23" ht="15.6" x14ac:dyDescent="0.4">
      <c r="A5319" s="2" t="s">
        <v>498</v>
      </c>
      <c r="B5319" s="5" t="s">
        <v>11411</v>
      </c>
      <c r="C5319" s="7" t="s">
        <v>12556</v>
      </c>
      <c r="D5319" s="8">
        <f t="shared" si="336"/>
        <v>0</v>
      </c>
      <c r="E5319" s="7" t="s">
        <v>12557</v>
      </c>
      <c r="F5319" s="7">
        <f t="shared" si="337"/>
        <v>0</v>
      </c>
      <c r="G5319" s="7" t="s">
        <v>12558</v>
      </c>
      <c r="H5319" s="7">
        <f t="shared" si="338"/>
        <v>0</v>
      </c>
      <c r="I5319" s="7" t="str" cm="1">
        <f t="array" ref="I5319">IFERROR(_xlfn.IFS(M5319="נח",1,M5319="נע ונח",1,M5319="שני שווא נח",2,M5319="שני שוואים בסוף מילה",2,M5319="שני שוואים ברצף",1),"0")</f>
        <v>0</v>
      </c>
      <c r="J5319" s="9">
        <f t="shared" si="339"/>
        <v>3</v>
      </c>
      <c r="K5319" t="s">
        <v>6697</v>
      </c>
      <c r="L5319" t="s">
        <v>6695</v>
      </c>
      <c r="O5319" t="s">
        <v>6694</v>
      </c>
      <c r="P5319" t="s">
        <v>6694</v>
      </c>
      <c r="V5319" t="s">
        <v>6694</v>
      </c>
      <c r="W5319" t="s">
        <v>6720</v>
      </c>
    </row>
    <row r="5320" spans="1:23" ht="15.6" x14ac:dyDescent="0.4">
      <c r="A5320" s="2" t="s">
        <v>2645</v>
      </c>
      <c r="B5320" s="5" t="s">
        <v>11412</v>
      </c>
      <c r="C5320" s="7" t="s">
        <v>12556</v>
      </c>
      <c r="D5320" s="8">
        <f t="shared" si="336"/>
        <v>0</v>
      </c>
      <c r="E5320" s="7" t="s">
        <v>12557</v>
      </c>
      <c r="F5320" s="7">
        <f t="shared" si="337"/>
        <v>1</v>
      </c>
      <c r="G5320" s="7" t="s">
        <v>12558</v>
      </c>
      <c r="H5320" s="7">
        <f t="shared" si="338"/>
        <v>1</v>
      </c>
      <c r="I5320" s="7" t="str" cm="1">
        <f t="array" ref="I5320">IFERROR(_xlfn.IFS(M5320="נח",1,M5320="נע ונח",1,M5320="שני שווא נח",2,M5320="שני שוואים בסוף מילה",2,M5320="שני שוואים ברצף",1),"0")</f>
        <v>0</v>
      </c>
      <c r="J5320" s="9">
        <f t="shared" si="339"/>
        <v>4</v>
      </c>
      <c r="K5320" t="s">
        <v>6697</v>
      </c>
      <c r="L5320" t="s">
        <v>6695</v>
      </c>
      <c r="O5320" t="s">
        <v>6694</v>
      </c>
      <c r="P5320" t="s">
        <v>6694</v>
      </c>
      <c r="S5320" t="s">
        <v>6694</v>
      </c>
      <c r="U5320" t="s">
        <v>6694</v>
      </c>
      <c r="W5320" t="s">
        <v>6720</v>
      </c>
    </row>
    <row r="5321" spans="1:23" ht="15.6" x14ac:dyDescent="0.4">
      <c r="A5321" s="2" t="s">
        <v>6161</v>
      </c>
      <c r="B5321" s="5" t="s">
        <v>11413</v>
      </c>
      <c r="C5321" s="7" t="s">
        <v>12556</v>
      </c>
      <c r="D5321" s="8">
        <f t="shared" si="336"/>
        <v>0</v>
      </c>
      <c r="E5321" s="7" t="s">
        <v>12557</v>
      </c>
      <c r="F5321" s="7">
        <f t="shared" si="337"/>
        <v>0</v>
      </c>
      <c r="G5321" s="7" t="s">
        <v>12558</v>
      </c>
      <c r="H5321" s="7">
        <f t="shared" si="338"/>
        <v>0</v>
      </c>
      <c r="I5321" s="7" t="str" cm="1">
        <f t="array" ref="I5321">IFERROR(_xlfn.IFS(M5321="נח",1,M5321="נע ונח",1,M5321="שני שווא נח",2,M5321="שני שוואים בסוף מילה",2,M5321="שני שוואים ברצף",1),"0")</f>
        <v>0</v>
      </c>
      <c r="J5321" s="9">
        <f t="shared" si="339"/>
        <v>4</v>
      </c>
      <c r="K5321" t="s">
        <v>6697</v>
      </c>
      <c r="L5321" t="s">
        <v>6695</v>
      </c>
      <c r="O5321" t="s">
        <v>6694</v>
      </c>
      <c r="P5321" t="s">
        <v>6694</v>
      </c>
      <c r="S5321" t="s">
        <v>6694</v>
      </c>
      <c r="W5321" t="s">
        <v>6720</v>
      </c>
    </row>
    <row r="5322" spans="1:23" ht="15.6" x14ac:dyDescent="0.4">
      <c r="A5322" s="2" t="s">
        <v>3326</v>
      </c>
      <c r="B5322" s="5" t="s">
        <v>11414</v>
      </c>
      <c r="C5322" s="7" t="s">
        <v>12556</v>
      </c>
      <c r="D5322" s="8">
        <f t="shared" si="336"/>
        <v>0</v>
      </c>
      <c r="E5322" s="7" t="s">
        <v>12557</v>
      </c>
      <c r="F5322" s="7">
        <f t="shared" si="337"/>
        <v>0</v>
      </c>
      <c r="G5322" s="7" t="s">
        <v>12558</v>
      </c>
      <c r="H5322" s="7">
        <f t="shared" si="338"/>
        <v>0</v>
      </c>
      <c r="I5322" s="7" t="str" cm="1">
        <f t="array" ref="I5322">IFERROR(_xlfn.IFS(M5322="נח",1,M5322="נע ונח",1,M5322="שני שווא נח",2,M5322="שני שוואים בסוף מילה",2,M5322="שני שוואים ברצף",1),"0")</f>
        <v>0</v>
      </c>
      <c r="J5322" s="9">
        <f t="shared" si="339"/>
        <v>3</v>
      </c>
      <c r="K5322" t="s">
        <v>6698</v>
      </c>
      <c r="L5322" t="s">
        <v>6695</v>
      </c>
      <c r="P5322" t="s">
        <v>6694</v>
      </c>
      <c r="R5322" t="s">
        <v>6694</v>
      </c>
      <c r="W5322" t="s">
        <v>6720</v>
      </c>
    </row>
    <row r="5323" spans="1:23" ht="15.6" x14ac:dyDescent="0.4">
      <c r="A5323" s="2" t="s">
        <v>5615</v>
      </c>
      <c r="B5323" s="5" t="s">
        <v>11415</v>
      </c>
      <c r="C5323" s="7" t="s">
        <v>12556</v>
      </c>
      <c r="D5323" s="8">
        <f t="shared" si="336"/>
        <v>0</v>
      </c>
      <c r="E5323" s="7" t="s">
        <v>12557</v>
      </c>
      <c r="F5323" s="7">
        <f t="shared" si="337"/>
        <v>0</v>
      </c>
      <c r="G5323" s="7" t="s">
        <v>12558</v>
      </c>
      <c r="H5323" s="7">
        <f t="shared" si="338"/>
        <v>0</v>
      </c>
      <c r="I5323" s="7" t="str" cm="1">
        <f t="array" ref="I5323">IFERROR(_xlfn.IFS(M5323="נח",1,M5323="נע ונח",1,M5323="שני שווא נח",2,M5323="שני שוואים בסוף מילה",2,M5323="שני שוואים ברצף",1),"0")</f>
        <v>0</v>
      </c>
      <c r="J5323" s="9">
        <f t="shared" si="339"/>
        <v>3</v>
      </c>
      <c r="K5323" t="s">
        <v>6697</v>
      </c>
      <c r="L5323" t="s">
        <v>6695</v>
      </c>
      <c r="O5323" t="s">
        <v>6694</v>
      </c>
      <c r="P5323" t="s">
        <v>6694</v>
      </c>
      <c r="Q5323" t="s">
        <v>6694</v>
      </c>
      <c r="W5323" t="s">
        <v>6720</v>
      </c>
    </row>
    <row r="5324" spans="1:23" ht="15.6" x14ac:dyDescent="0.4">
      <c r="A5324" s="2" t="s">
        <v>623</v>
      </c>
      <c r="B5324" s="5" t="s">
        <v>11416</v>
      </c>
      <c r="C5324" s="7" t="s">
        <v>12556</v>
      </c>
      <c r="D5324" s="8">
        <f t="shared" si="336"/>
        <v>0</v>
      </c>
      <c r="E5324" s="7" t="s">
        <v>12557</v>
      </c>
      <c r="F5324" s="7">
        <f t="shared" si="337"/>
        <v>1</v>
      </c>
      <c r="G5324" s="7" t="s">
        <v>12558</v>
      </c>
      <c r="H5324" s="7">
        <f t="shared" si="338"/>
        <v>0</v>
      </c>
      <c r="I5324" s="7" t="str" cm="1">
        <f t="array" ref="I5324">IFERROR(_xlfn.IFS(M5324="נח",1,M5324="נע ונח",1,M5324="שני שווא נח",2,M5324="שני שוואים בסוף מילה",2,M5324="שני שוואים ברצף",1),"0")</f>
        <v>0</v>
      </c>
      <c r="J5324" s="9">
        <f t="shared" si="339"/>
        <v>4</v>
      </c>
      <c r="K5324" t="s">
        <v>6698</v>
      </c>
      <c r="L5324" t="s">
        <v>6695</v>
      </c>
      <c r="N5324" t="s">
        <v>6706</v>
      </c>
      <c r="O5324" t="s">
        <v>6694</v>
      </c>
      <c r="P5324" t="s">
        <v>6694</v>
      </c>
      <c r="S5324" t="s">
        <v>6694</v>
      </c>
      <c r="V5324" t="s">
        <v>6694</v>
      </c>
      <c r="W5324" t="s">
        <v>6720</v>
      </c>
    </row>
    <row r="5325" spans="1:23" ht="15.6" x14ac:dyDescent="0.4">
      <c r="A5325" s="2" t="s">
        <v>3216</v>
      </c>
      <c r="B5325" s="5" t="s">
        <v>11417</v>
      </c>
      <c r="C5325" s="7" t="s">
        <v>12556</v>
      </c>
      <c r="D5325" s="8">
        <f t="shared" si="336"/>
        <v>0</v>
      </c>
      <c r="E5325" s="7" t="s">
        <v>12557</v>
      </c>
      <c r="F5325" s="7">
        <f t="shared" si="337"/>
        <v>0</v>
      </c>
      <c r="G5325" s="7" t="s">
        <v>12558</v>
      </c>
      <c r="H5325" s="7">
        <f t="shared" si="338"/>
        <v>0</v>
      </c>
      <c r="I5325" s="7" t="str" cm="1">
        <f t="array" ref="I5325">IFERROR(_xlfn.IFS(M5325="נח",1,M5325="נע ונח",1,M5325="שני שווא נח",2,M5325="שני שוואים בסוף מילה",2,M5325="שני שוואים ברצף",1),"0")</f>
        <v>0</v>
      </c>
      <c r="J5325" s="9">
        <f t="shared" si="339"/>
        <v>3</v>
      </c>
      <c r="K5325" t="s">
        <v>6697</v>
      </c>
      <c r="L5325" t="s">
        <v>6695</v>
      </c>
      <c r="O5325" t="s">
        <v>6694</v>
      </c>
      <c r="P5325" t="s">
        <v>6694</v>
      </c>
      <c r="S5325" t="s">
        <v>6694</v>
      </c>
      <c r="W5325" t="s">
        <v>6720</v>
      </c>
    </row>
    <row r="5326" spans="1:23" ht="15.6" x14ac:dyDescent="0.4">
      <c r="A5326" s="2" t="s">
        <v>5727</v>
      </c>
      <c r="B5326" s="5" t="s">
        <v>11418</v>
      </c>
      <c r="C5326" s="7" t="s">
        <v>12556</v>
      </c>
      <c r="D5326" s="8">
        <f t="shared" si="336"/>
        <v>0</v>
      </c>
      <c r="E5326" s="7" t="s">
        <v>12557</v>
      </c>
      <c r="F5326" s="7">
        <f t="shared" si="337"/>
        <v>0</v>
      </c>
      <c r="G5326" s="7" t="s">
        <v>12558</v>
      </c>
      <c r="H5326" s="7">
        <f t="shared" si="338"/>
        <v>0</v>
      </c>
      <c r="I5326" s="7" t="str" cm="1">
        <f t="array" ref="I5326">IFERROR(_xlfn.IFS(M5326="נח",1,M5326="נע ונח",1,M5326="שני שווא נח",2,M5326="שני שוואים בסוף מילה",2,M5326="שני שוואים ברצף",1),"0")</f>
        <v>0</v>
      </c>
      <c r="J5326" s="9">
        <f t="shared" si="339"/>
        <v>4</v>
      </c>
      <c r="K5326" t="s">
        <v>6698</v>
      </c>
      <c r="L5326" t="s">
        <v>6695</v>
      </c>
      <c r="N5326" t="s">
        <v>6706</v>
      </c>
      <c r="O5326" t="s">
        <v>6694</v>
      </c>
      <c r="P5326" t="s">
        <v>6694</v>
      </c>
      <c r="S5326" t="s">
        <v>6694</v>
      </c>
      <c r="V5326" t="s">
        <v>6694</v>
      </c>
      <c r="W5326" t="s">
        <v>6720</v>
      </c>
    </row>
    <row r="5327" spans="1:23" ht="15.6" x14ac:dyDescent="0.4">
      <c r="A5327" s="2" t="s">
        <v>6211</v>
      </c>
      <c r="B5327" s="5" t="s">
        <v>11419</v>
      </c>
      <c r="C5327" s="7" t="s">
        <v>12556</v>
      </c>
      <c r="D5327" s="8">
        <f t="shared" si="336"/>
        <v>0</v>
      </c>
      <c r="E5327" s="7" t="s">
        <v>12557</v>
      </c>
      <c r="F5327" s="7">
        <f t="shared" si="337"/>
        <v>0</v>
      </c>
      <c r="G5327" s="7" t="s">
        <v>12558</v>
      </c>
      <c r="H5327" s="7">
        <f t="shared" si="338"/>
        <v>0</v>
      </c>
      <c r="I5327" s="7" t="str" cm="1">
        <f t="array" ref="I5327">IFERROR(_xlfn.IFS(M5327="נח",1,M5327="נע ונח",1,M5327="שני שווא נח",2,M5327="שני שוואים בסוף מילה",2,M5327="שני שוואים ברצף",1),"0")</f>
        <v>0</v>
      </c>
      <c r="J5327" s="9">
        <f t="shared" si="339"/>
        <v>4</v>
      </c>
      <c r="K5327" t="s">
        <v>6698</v>
      </c>
      <c r="L5327" t="s">
        <v>6695</v>
      </c>
      <c r="N5327" t="s">
        <v>6706</v>
      </c>
      <c r="O5327" t="s">
        <v>6694</v>
      </c>
      <c r="P5327" t="s">
        <v>6694</v>
      </c>
      <c r="S5327" t="s">
        <v>6694</v>
      </c>
      <c r="V5327" t="s">
        <v>6694</v>
      </c>
      <c r="W5327" t="s">
        <v>6720</v>
      </c>
    </row>
    <row r="5328" spans="1:23" ht="15.6" x14ac:dyDescent="0.4">
      <c r="A5328" s="2" t="s">
        <v>5577</v>
      </c>
      <c r="B5328" s="5" t="s">
        <v>11420</v>
      </c>
      <c r="C5328" s="7" t="s">
        <v>12556</v>
      </c>
      <c r="D5328" s="8">
        <f t="shared" si="336"/>
        <v>0</v>
      </c>
      <c r="E5328" s="7" t="s">
        <v>12557</v>
      </c>
      <c r="F5328" s="7">
        <f t="shared" si="337"/>
        <v>0</v>
      </c>
      <c r="G5328" s="7" t="s">
        <v>12558</v>
      </c>
      <c r="H5328" s="7">
        <f t="shared" si="338"/>
        <v>0</v>
      </c>
      <c r="I5328" s="7" t="str" cm="1">
        <f t="array" ref="I5328">IFERROR(_xlfn.IFS(M5328="נח",1,M5328="נע ונח",1,M5328="שני שווא נח",2,M5328="שני שוואים בסוף מילה",2,M5328="שני שוואים ברצף",1),"0")</f>
        <v>0</v>
      </c>
      <c r="J5328" s="9">
        <f t="shared" si="339"/>
        <v>3</v>
      </c>
      <c r="K5328" t="s">
        <v>6698</v>
      </c>
      <c r="L5328" t="s">
        <v>6695</v>
      </c>
      <c r="P5328" t="s">
        <v>6694</v>
      </c>
      <c r="S5328" t="s">
        <v>6694</v>
      </c>
      <c r="V5328" t="s">
        <v>6694</v>
      </c>
      <c r="W5328" t="s">
        <v>6720</v>
      </c>
    </row>
    <row r="5329" spans="1:23" ht="15.6" x14ac:dyDescent="0.4">
      <c r="A5329" s="2" t="s">
        <v>142</v>
      </c>
      <c r="B5329" s="5" t="s">
        <v>11421</v>
      </c>
      <c r="C5329" s="7" t="s">
        <v>12556</v>
      </c>
      <c r="D5329" s="8">
        <f t="shared" si="336"/>
        <v>0</v>
      </c>
      <c r="E5329" s="7" t="s">
        <v>12557</v>
      </c>
      <c r="F5329" s="7">
        <f t="shared" si="337"/>
        <v>0</v>
      </c>
      <c r="G5329" s="7" t="s">
        <v>12558</v>
      </c>
      <c r="H5329" s="7">
        <f t="shared" si="338"/>
        <v>0</v>
      </c>
      <c r="I5329" s="7" t="str" cm="1">
        <f t="array" ref="I5329">IFERROR(_xlfn.IFS(M5329="נח",1,M5329="נע ונח",1,M5329="שני שווא נח",2,M5329="שני שוואים בסוף מילה",2,M5329="שני שוואים ברצף",1),"0")</f>
        <v>0</v>
      </c>
      <c r="J5329" s="9">
        <f t="shared" si="339"/>
        <v>2</v>
      </c>
      <c r="K5329" t="s">
        <v>6698</v>
      </c>
      <c r="L5329" t="s">
        <v>6695</v>
      </c>
      <c r="P5329" t="s">
        <v>6694</v>
      </c>
      <c r="Q5329" t="s">
        <v>6694</v>
      </c>
      <c r="W5329" t="s">
        <v>6720</v>
      </c>
    </row>
    <row r="5330" spans="1:23" ht="15.6" x14ac:dyDescent="0.4">
      <c r="A5330" s="2" t="s">
        <v>152</v>
      </c>
      <c r="B5330" s="5" t="s">
        <v>11422</v>
      </c>
      <c r="C5330" s="7" t="s">
        <v>12556</v>
      </c>
      <c r="D5330" s="8">
        <f t="shared" si="336"/>
        <v>0</v>
      </c>
      <c r="E5330" s="7" t="s">
        <v>12557</v>
      </c>
      <c r="F5330" s="7">
        <f t="shared" si="337"/>
        <v>0</v>
      </c>
      <c r="G5330" s="7" t="s">
        <v>12558</v>
      </c>
      <c r="H5330" s="7">
        <f t="shared" si="338"/>
        <v>0</v>
      </c>
      <c r="I5330" s="7" t="str" cm="1">
        <f t="array" ref="I5330">IFERROR(_xlfn.IFS(M5330="נח",1,M5330="נע ונח",1,M5330="שני שווא נח",2,M5330="שני שוואים בסוף מילה",2,M5330="שני שוואים ברצף",1),"0")</f>
        <v>0</v>
      </c>
      <c r="J5330" s="9">
        <f t="shared" si="339"/>
        <v>3</v>
      </c>
      <c r="K5330" t="s">
        <v>6698</v>
      </c>
      <c r="L5330" t="s">
        <v>6695</v>
      </c>
      <c r="P5330" t="s">
        <v>6694</v>
      </c>
      <c r="Q5330" t="s">
        <v>6694</v>
      </c>
      <c r="R5330" t="s">
        <v>6694</v>
      </c>
      <c r="W5330" t="s">
        <v>6720</v>
      </c>
    </row>
    <row r="5331" spans="1:23" ht="15.6" x14ac:dyDescent="0.4">
      <c r="A5331" s="2" t="s">
        <v>5192</v>
      </c>
      <c r="B5331" s="5" t="s">
        <v>11423</v>
      </c>
      <c r="C5331" s="7" t="s">
        <v>12556</v>
      </c>
      <c r="D5331" s="8">
        <f t="shared" si="336"/>
        <v>0</v>
      </c>
      <c r="E5331" s="7" t="s">
        <v>12557</v>
      </c>
      <c r="F5331" s="7">
        <f t="shared" si="337"/>
        <v>0</v>
      </c>
      <c r="G5331" s="7" t="s">
        <v>12558</v>
      </c>
      <c r="H5331" s="7">
        <f t="shared" si="338"/>
        <v>0</v>
      </c>
      <c r="I5331" s="7" t="str" cm="1">
        <f t="array" ref="I5331">IFERROR(_xlfn.IFS(M5331="נח",1,M5331="נע ונח",1,M5331="שני שווא נח",2,M5331="שני שוואים בסוף מילה",2,M5331="שני שוואים ברצף",1),"0")</f>
        <v>0</v>
      </c>
      <c r="J5331" s="9">
        <f t="shared" si="339"/>
        <v>3</v>
      </c>
      <c r="K5331" t="s">
        <v>6698</v>
      </c>
      <c r="L5331" t="s">
        <v>6695</v>
      </c>
      <c r="P5331" t="s">
        <v>6694</v>
      </c>
      <c r="Q5331" t="s">
        <v>6694</v>
      </c>
      <c r="R5331" t="s">
        <v>6694</v>
      </c>
      <c r="W5331" t="s">
        <v>6720</v>
      </c>
    </row>
    <row r="5332" spans="1:23" ht="15.6" x14ac:dyDescent="0.4">
      <c r="A5332" s="2" t="s">
        <v>3757</v>
      </c>
      <c r="B5332" s="5" t="s">
        <v>11424</v>
      </c>
      <c r="C5332" s="7" t="s">
        <v>12556</v>
      </c>
      <c r="D5332" s="8">
        <f t="shared" si="336"/>
        <v>0</v>
      </c>
      <c r="E5332" s="7" t="s">
        <v>12557</v>
      </c>
      <c r="F5332" s="7">
        <f t="shared" si="337"/>
        <v>0</v>
      </c>
      <c r="G5332" s="7" t="s">
        <v>12558</v>
      </c>
      <c r="H5332" s="7">
        <f t="shared" si="338"/>
        <v>0</v>
      </c>
      <c r="I5332" s="7" t="str" cm="1">
        <f t="array" ref="I5332">IFERROR(_xlfn.IFS(M5332="נח",1,M5332="נע ונח",1,M5332="שני שווא נח",2,M5332="שני שוואים בסוף מילה",2,M5332="שני שוואים ברצף",1),"0")</f>
        <v>0</v>
      </c>
      <c r="J5332" s="9">
        <f t="shared" si="339"/>
        <v>3</v>
      </c>
      <c r="K5332" t="s">
        <v>6698</v>
      </c>
      <c r="L5332" t="s">
        <v>6695</v>
      </c>
      <c r="O5332" t="s">
        <v>6694</v>
      </c>
      <c r="P5332" t="s">
        <v>6694</v>
      </c>
      <c r="V5332" t="s">
        <v>6694</v>
      </c>
      <c r="W5332" t="s">
        <v>6720</v>
      </c>
    </row>
    <row r="5333" spans="1:23" ht="15.6" x14ac:dyDescent="0.4">
      <c r="A5333" s="2" t="s">
        <v>5118</v>
      </c>
      <c r="B5333" s="5" t="s">
        <v>11425</v>
      </c>
      <c r="C5333" s="7" t="s">
        <v>12556</v>
      </c>
      <c r="D5333" s="8">
        <f t="shared" si="336"/>
        <v>0</v>
      </c>
      <c r="E5333" s="7" t="s">
        <v>12557</v>
      </c>
      <c r="F5333" s="7">
        <f t="shared" si="337"/>
        <v>0</v>
      </c>
      <c r="G5333" s="7" t="s">
        <v>12558</v>
      </c>
      <c r="H5333" s="7">
        <f t="shared" si="338"/>
        <v>0</v>
      </c>
      <c r="I5333" s="7" t="str" cm="1">
        <f t="array" ref="I5333">IFERROR(_xlfn.IFS(M5333="נח",1,M5333="נע ונח",1,M5333="שני שווא נח",2,M5333="שני שוואים בסוף מילה",2,M5333="שני שוואים ברצף",1),"0")</f>
        <v>0</v>
      </c>
      <c r="J5333" s="9">
        <f t="shared" si="339"/>
        <v>2</v>
      </c>
      <c r="K5333" t="s">
        <v>6698</v>
      </c>
      <c r="L5333" t="s">
        <v>6695</v>
      </c>
      <c r="P5333" t="s">
        <v>6694</v>
      </c>
      <c r="W5333" t="s">
        <v>6720</v>
      </c>
    </row>
    <row r="5334" spans="1:23" ht="15.6" x14ac:dyDescent="0.4">
      <c r="A5334" s="2" t="s">
        <v>1904</v>
      </c>
      <c r="B5334" s="5" t="s">
        <v>11426</v>
      </c>
      <c r="C5334" s="7" t="s">
        <v>12556</v>
      </c>
      <c r="D5334" s="8">
        <f t="shared" si="336"/>
        <v>0</v>
      </c>
      <c r="E5334" s="7" t="s">
        <v>12557</v>
      </c>
      <c r="F5334" s="7">
        <f t="shared" si="337"/>
        <v>0</v>
      </c>
      <c r="G5334" s="7" t="s">
        <v>12558</v>
      </c>
      <c r="H5334" s="7">
        <f t="shared" si="338"/>
        <v>0</v>
      </c>
      <c r="I5334" s="7" t="str" cm="1">
        <f t="array" ref="I5334">IFERROR(_xlfn.IFS(M5334="נח",1,M5334="נע ונח",1,M5334="שני שווא נח",2,M5334="שני שוואים בסוף מילה",2,M5334="שני שוואים ברצף",1),"0")</f>
        <v>0</v>
      </c>
      <c r="J5334" s="9">
        <f t="shared" si="339"/>
        <v>3</v>
      </c>
      <c r="K5334" t="s">
        <v>6697</v>
      </c>
      <c r="L5334" t="s">
        <v>6695</v>
      </c>
      <c r="O5334" t="s">
        <v>6694</v>
      </c>
      <c r="P5334" t="s">
        <v>6694</v>
      </c>
      <c r="V5334" t="s">
        <v>6694</v>
      </c>
      <c r="W5334" t="s">
        <v>6720</v>
      </c>
    </row>
    <row r="5335" spans="1:23" ht="15.6" x14ac:dyDescent="0.4">
      <c r="A5335" s="2" t="s">
        <v>1822</v>
      </c>
      <c r="B5335" s="5" t="s">
        <v>11427</v>
      </c>
      <c r="C5335" s="7" t="s">
        <v>12556</v>
      </c>
      <c r="D5335" s="8">
        <f t="shared" si="336"/>
        <v>0</v>
      </c>
      <c r="E5335" s="7" t="s">
        <v>12557</v>
      </c>
      <c r="F5335" s="7">
        <f t="shared" si="337"/>
        <v>1</v>
      </c>
      <c r="G5335" s="7" t="s">
        <v>12558</v>
      </c>
      <c r="H5335" s="7">
        <f t="shared" si="338"/>
        <v>0</v>
      </c>
      <c r="I5335" s="7" t="str" cm="1">
        <f t="array" ref="I5335">IFERROR(_xlfn.IFS(M5335="נח",1,M5335="נע ונח",1,M5335="שני שווא נח",2,M5335="שני שוואים בסוף מילה",2,M5335="שני שוואים ברצף",1),"0")</f>
        <v>0</v>
      </c>
      <c r="J5335" s="9">
        <f t="shared" si="339"/>
        <v>3</v>
      </c>
      <c r="K5335" t="s">
        <v>6698</v>
      </c>
      <c r="L5335" t="s">
        <v>6695</v>
      </c>
      <c r="P5335" t="s">
        <v>6694</v>
      </c>
      <c r="S5335" t="s">
        <v>6694</v>
      </c>
      <c r="W5335" t="s">
        <v>6720</v>
      </c>
    </row>
    <row r="5336" spans="1:23" ht="15.6" x14ac:dyDescent="0.4">
      <c r="A5336" s="2" t="s">
        <v>3076</v>
      </c>
      <c r="B5336" s="5" t="s">
        <v>11428</v>
      </c>
      <c r="C5336" s="7" t="s">
        <v>12556</v>
      </c>
      <c r="D5336" s="8">
        <f t="shared" si="336"/>
        <v>0</v>
      </c>
      <c r="E5336" s="7" t="s">
        <v>12557</v>
      </c>
      <c r="F5336" s="7">
        <f t="shared" si="337"/>
        <v>1</v>
      </c>
      <c r="G5336" s="7" t="s">
        <v>12558</v>
      </c>
      <c r="H5336" s="7">
        <f t="shared" si="338"/>
        <v>0</v>
      </c>
      <c r="I5336" s="7" t="str" cm="1">
        <f t="array" ref="I5336">IFERROR(_xlfn.IFS(M5336="נח",1,M5336="נע ונח",1,M5336="שני שווא נח",2,M5336="שני שוואים בסוף מילה",2,M5336="שני שוואים ברצף",1),"0")</f>
        <v>0</v>
      </c>
      <c r="J5336" s="9">
        <f t="shared" si="339"/>
        <v>3</v>
      </c>
      <c r="K5336" t="s">
        <v>6697</v>
      </c>
      <c r="L5336" t="s">
        <v>6695</v>
      </c>
      <c r="P5336" t="s">
        <v>6694</v>
      </c>
      <c r="Q5336" t="s">
        <v>6694</v>
      </c>
      <c r="S5336" t="s">
        <v>6694</v>
      </c>
      <c r="W5336" t="s">
        <v>6720</v>
      </c>
    </row>
    <row r="5337" spans="1:23" ht="15.6" x14ac:dyDescent="0.4">
      <c r="A5337" s="2" t="s">
        <v>5689</v>
      </c>
      <c r="B5337" s="5" t="s">
        <v>11429</v>
      </c>
      <c r="C5337" s="7" t="s">
        <v>12556</v>
      </c>
      <c r="D5337" s="8">
        <f t="shared" si="336"/>
        <v>0</v>
      </c>
      <c r="E5337" s="7" t="s">
        <v>12557</v>
      </c>
      <c r="F5337" s="7">
        <f t="shared" si="337"/>
        <v>1</v>
      </c>
      <c r="G5337" s="7" t="s">
        <v>12558</v>
      </c>
      <c r="H5337" s="7">
        <f t="shared" si="338"/>
        <v>0</v>
      </c>
      <c r="I5337" s="7" t="str" cm="1">
        <f t="array" ref="I5337">IFERROR(_xlfn.IFS(M5337="נח",1,M5337="נע ונח",1,M5337="שני שווא נח",2,M5337="שני שוואים בסוף מילה",2,M5337="שני שוואים ברצף",1),"0")</f>
        <v>0</v>
      </c>
      <c r="J5337" s="9">
        <f t="shared" si="339"/>
        <v>4</v>
      </c>
      <c r="K5337" t="s">
        <v>6697</v>
      </c>
      <c r="L5337" t="s">
        <v>6695</v>
      </c>
      <c r="O5337" t="s">
        <v>6694</v>
      </c>
      <c r="P5337" t="s">
        <v>6694</v>
      </c>
      <c r="R5337" t="s">
        <v>6694</v>
      </c>
      <c r="S5337" t="s">
        <v>6694</v>
      </c>
      <c r="W5337" t="s">
        <v>6720</v>
      </c>
    </row>
    <row r="5338" spans="1:23" ht="15.6" x14ac:dyDescent="0.4">
      <c r="A5338" s="2" t="s">
        <v>2252</v>
      </c>
      <c r="B5338" s="5" t="s">
        <v>11430</v>
      </c>
      <c r="C5338" s="7" t="s">
        <v>12556</v>
      </c>
      <c r="D5338" s="8">
        <f t="shared" si="336"/>
        <v>0</v>
      </c>
      <c r="E5338" s="7" t="s">
        <v>12557</v>
      </c>
      <c r="F5338" s="7">
        <f t="shared" si="337"/>
        <v>0</v>
      </c>
      <c r="G5338" s="7" t="s">
        <v>12558</v>
      </c>
      <c r="H5338" s="7">
        <f t="shared" si="338"/>
        <v>0</v>
      </c>
      <c r="I5338" s="7" t="str" cm="1">
        <f t="array" ref="I5338">IFERROR(_xlfn.IFS(M5338="נח",1,M5338="נע ונח",1,M5338="שני שווא נח",2,M5338="שני שוואים בסוף מילה",2,M5338="שני שוואים ברצף",1),"0")</f>
        <v>0</v>
      </c>
      <c r="J5338" s="9">
        <f t="shared" si="339"/>
        <v>3</v>
      </c>
      <c r="K5338" t="s">
        <v>6698</v>
      </c>
      <c r="L5338" t="s">
        <v>6695</v>
      </c>
      <c r="N5338" t="s">
        <v>6706</v>
      </c>
      <c r="O5338" t="s">
        <v>6694</v>
      </c>
      <c r="P5338" t="s">
        <v>6694</v>
      </c>
      <c r="S5338" t="s">
        <v>6694</v>
      </c>
      <c r="W5338" t="s">
        <v>6720</v>
      </c>
    </row>
    <row r="5339" spans="1:23" ht="15.6" x14ac:dyDescent="0.4">
      <c r="A5339" s="2" t="s">
        <v>1739</v>
      </c>
      <c r="B5339" s="5" t="s">
        <v>11431</v>
      </c>
      <c r="C5339" s="7" t="s">
        <v>12556</v>
      </c>
      <c r="D5339" s="8">
        <f t="shared" si="336"/>
        <v>0</v>
      </c>
      <c r="E5339" s="7" t="s">
        <v>12557</v>
      </c>
      <c r="F5339" s="7">
        <f t="shared" si="337"/>
        <v>0</v>
      </c>
      <c r="G5339" s="7" t="s">
        <v>12558</v>
      </c>
      <c r="H5339" s="7">
        <f t="shared" si="338"/>
        <v>0</v>
      </c>
      <c r="I5339" s="7" t="str" cm="1">
        <f t="array" ref="I5339">IFERROR(_xlfn.IFS(M5339="נח",1,M5339="נע ונח",1,M5339="שני שווא נח",2,M5339="שני שוואים בסוף מילה",2,M5339="שני שוואים ברצף",1),"0")</f>
        <v>0</v>
      </c>
      <c r="J5339" s="9">
        <f t="shared" si="339"/>
        <v>4</v>
      </c>
      <c r="K5339" t="s">
        <v>6697</v>
      </c>
      <c r="L5339" t="s">
        <v>6695</v>
      </c>
      <c r="O5339" t="s">
        <v>6694</v>
      </c>
      <c r="P5339" t="s">
        <v>6694</v>
      </c>
      <c r="S5339" t="s">
        <v>6694</v>
      </c>
      <c r="W5339" t="s">
        <v>6720</v>
      </c>
    </row>
    <row r="5340" spans="1:23" ht="15.6" x14ac:dyDescent="0.4">
      <c r="A5340" s="2" t="s">
        <v>589</v>
      </c>
      <c r="B5340" s="5" t="s">
        <v>11432</v>
      </c>
      <c r="C5340" s="7" t="s">
        <v>12556</v>
      </c>
      <c r="D5340" s="8">
        <f t="shared" si="336"/>
        <v>0</v>
      </c>
      <c r="E5340" s="7" t="s">
        <v>12557</v>
      </c>
      <c r="F5340" s="7">
        <f t="shared" si="337"/>
        <v>0</v>
      </c>
      <c r="G5340" s="7" t="s">
        <v>12558</v>
      </c>
      <c r="H5340" s="7">
        <f t="shared" si="338"/>
        <v>0</v>
      </c>
      <c r="I5340" s="7" t="str" cm="1">
        <f t="array" ref="I5340">IFERROR(_xlfn.IFS(M5340="נח",1,M5340="נע ונח",1,M5340="שני שווא נח",2,M5340="שני שוואים בסוף מילה",2,M5340="שני שוואים ברצף",1),"0")</f>
        <v>0</v>
      </c>
      <c r="J5340" s="9">
        <f t="shared" si="339"/>
        <v>3</v>
      </c>
      <c r="K5340" t="s">
        <v>6697</v>
      </c>
      <c r="L5340" t="s">
        <v>6695</v>
      </c>
      <c r="P5340" t="s">
        <v>6694</v>
      </c>
      <c r="Q5340" t="s">
        <v>6694</v>
      </c>
      <c r="S5340" t="s">
        <v>6694</v>
      </c>
      <c r="W5340" t="s">
        <v>6720</v>
      </c>
    </row>
    <row r="5341" spans="1:23" ht="15.6" x14ac:dyDescent="0.4">
      <c r="A5341" s="2" t="s">
        <v>901</v>
      </c>
      <c r="B5341" s="5" t="s">
        <v>11433</v>
      </c>
      <c r="C5341" s="7" t="s">
        <v>12556</v>
      </c>
      <c r="D5341" s="8">
        <f t="shared" si="336"/>
        <v>0</v>
      </c>
      <c r="E5341" s="7" t="s">
        <v>12557</v>
      </c>
      <c r="F5341" s="7">
        <f t="shared" si="337"/>
        <v>0</v>
      </c>
      <c r="G5341" s="7" t="s">
        <v>12558</v>
      </c>
      <c r="H5341" s="7">
        <f t="shared" si="338"/>
        <v>0</v>
      </c>
      <c r="I5341" s="7" t="str" cm="1">
        <f t="array" ref="I5341">IFERROR(_xlfn.IFS(M5341="נח",1,M5341="נע ונח",1,M5341="שני שווא נח",2,M5341="שני שוואים בסוף מילה",2,M5341="שני שוואים ברצף",1),"0")</f>
        <v>0</v>
      </c>
      <c r="J5341" s="9">
        <f t="shared" si="339"/>
        <v>3</v>
      </c>
      <c r="K5341" t="s">
        <v>6698</v>
      </c>
      <c r="L5341" t="s">
        <v>6695</v>
      </c>
      <c r="O5341" t="s">
        <v>6694</v>
      </c>
      <c r="P5341" t="s">
        <v>6694</v>
      </c>
      <c r="S5341" t="s">
        <v>6694</v>
      </c>
      <c r="W5341" t="s">
        <v>6720</v>
      </c>
    </row>
    <row r="5342" spans="1:23" ht="15.6" x14ac:dyDescent="0.4">
      <c r="A5342" s="2" t="s">
        <v>5393</v>
      </c>
      <c r="B5342" s="5" t="s">
        <v>11434</v>
      </c>
      <c r="C5342" s="7" t="s">
        <v>12556</v>
      </c>
      <c r="D5342" s="8">
        <f t="shared" si="336"/>
        <v>0</v>
      </c>
      <c r="E5342" s="7" t="s">
        <v>12557</v>
      </c>
      <c r="F5342" s="7">
        <f t="shared" si="337"/>
        <v>0</v>
      </c>
      <c r="G5342" s="7" t="s">
        <v>12558</v>
      </c>
      <c r="H5342" s="7">
        <f t="shared" si="338"/>
        <v>0</v>
      </c>
      <c r="I5342" s="7" cm="1">
        <f t="array" ref="I5342">IFERROR(_xlfn.IFS(M5342="נח",1,M5342="נע ונח",1,M5342="שני שווא נח",2,M5342="שני שוואים בסוף מילה",2,M5342="שני שוואים ברצף",1),"0")</f>
        <v>1</v>
      </c>
      <c r="J5342" s="9">
        <f t="shared" si="339"/>
        <v>4</v>
      </c>
      <c r="K5342" t="s">
        <v>6697</v>
      </c>
      <c r="L5342" t="s">
        <v>6694</v>
      </c>
      <c r="M5342" t="s">
        <v>6705</v>
      </c>
      <c r="O5342" t="s">
        <v>6694</v>
      </c>
      <c r="P5342" t="s">
        <v>6694</v>
      </c>
      <c r="V5342" t="s">
        <v>6694</v>
      </c>
      <c r="W5342" t="s">
        <v>6720</v>
      </c>
    </row>
    <row r="5343" spans="1:23" ht="15.6" x14ac:dyDescent="0.4">
      <c r="A5343" s="2" t="s">
        <v>763</v>
      </c>
      <c r="B5343" s="5" t="s">
        <v>11435</v>
      </c>
      <c r="C5343" s="7" t="s">
        <v>12556</v>
      </c>
      <c r="D5343" s="8">
        <f t="shared" si="336"/>
        <v>0</v>
      </c>
      <c r="E5343" s="7" t="s">
        <v>12557</v>
      </c>
      <c r="F5343" s="7">
        <f t="shared" si="337"/>
        <v>0</v>
      </c>
      <c r="G5343" s="7" t="s">
        <v>12558</v>
      </c>
      <c r="H5343" s="7">
        <f t="shared" si="338"/>
        <v>0</v>
      </c>
      <c r="I5343" s="7" t="str" cm="1">
        <f t="array" ref="I5343">IFERROR(_xlfn.IFS(M5343="נח",1,M5343="נע ונח",1,M5343="שני שווא נח",2,M5343="שני שוואים בסוף מילה",2,M5343="שני שוואים ברצף",1),"0")</f>
        <v>0</v>
      </c>
      <c r="J5343" s="9">
        <f t="shared" si="339"/>
        <v>3</v>
      </c>
      <c r="K5343" t="s">
        <v>6698</v>
      </c>
      <c r="L5343" t="s">
        <v>6695</v>
      </c>
      <c r="N5343" t="s">
        <v>6706</v>
      </c>
      <c r="O5343" t="s">
        <v>6694</v>
      </c>
      <c r="P5343" t="s">
        <v>6694</v>
      </c>
      <c r="W5343" t="s">
        <v>6720</v>
      </c>
    </row>
    <row r="5344" spans="1:23" ht="15.6" x14ac:dyDescent="0.4">
      <c r="A5344" s="2" t="s">
        <v>695</v>
      </c>
      <c r="B5344" s="5" t="s">
        <v>11436</v>
      </c>
      <c r="C5344" s="7" t="s">
        <v>12556</v>
      </c>
      <c r="D5344" s="8">
        <f t="shared" si="336"/>
        <v>0</v>
      </c>
      <c r="E5344" s="7" t="s">
        <v>12557</v>
      </c>
      <c r="F5344" s="7">
        <f t="shared" si="337"/>
        <v>0</v>
      </c>
      <c r="G5344" s="7" t="s">
        <v>12558</v>
      </c>
      <c r="H5344" s="7">
        <f t="shared" si="338"/>
        <v>0</v>
      </c>
      <c r="I5344" s="7" t="str" cm="1">
        <f t="array" ref="I5344">IFERROR(_xlfn.IFS(M5344="נח",1,M5344="נע ונח",1,M5344="שני שווא נח",2,M5344="שני שוואים בסוף מילה",2,M5344="שני שוואים ברצף",1),"0")</f>
        <v>0</v>
      </c>
      <c r="J5344" s="9">
        <f t="shared" si="339"/>
        <v>2</v>
      </c>
      <c r="K5344" t="s">
        <v>6698</v>
      </c>
      <c r="L5344" t="s">
        <v>6695</v>
      </c>
      <c r="P5344" t="s">
        <v>6694</v>
      </c>
      <c r="Q5344" t="s">
        <v>6694</v>
      </c>
      <c r="W5344" t="s">
        <v>6720</v>
      </c>
    </row>
    <row r="5345" spans="1:23" ht="15.6" x14ac:dyDescent="0.4">
      <c r="A5345" s="2" t="s">
        <v>1281</v>
      </c>
      <c r="B5345" s="5" t="s">
        <v>11437</v>
      </c>
      <c r="C5345" s="7" t="s">
        <v>12556</v>
      </c>
      <c r="D5345" s="8">
        <f t="shared" si="336"/>
        <v>0</v>
      </c>
      <c r="E5345" s="7" t="s">
        <v>12557</v>
      </c>
      <c r="F5345" s="7">
        <f t="shared" si="337"/>
        <v>1</v>
      </c>
      <c r="G5345" s="7" t="s">
        <v>12558</v>
      </c>
      <c r="H5345" s="7">
        <f t="shared" si="338"/>
        <v>0</v>
      </c>
      <c r="I5345" s="7" t="str" cm="1">
        <f t="array" ref="I5345">IFERROR(_xlfn.IFS(M5345="נח",1,M5345="נע ונח",1,M5345="שני שווא נח",2,M5345="שני שוואים בסוף מילה",2,M5345="שני שוואים ברצף",1),"0")</f>
        <v>0</v>
      </c>
      <c r="J5345" s="9">
        <f t="shared" si="339"/>
        <v>3</v>
      </c>
      <c r="K5345" t="s">
        <v>6698</v>
      </c>
      <c r="L5345" t="s">
        <v>6695</v>
      </c>
      <c r="P5345" t="s">
        <v>6694</v>
      </c>
      <c r="Q5345" t="s">
        <v>6694</v>
      </c>
      <c r="W5345" t="s">
        <v>6720</v>
      </c>
    </row>
    <row r="5346" spans="1:23" ht="15.6" x14ac:dyDescent="0.4">
      <c r="A5346" s="2" t="s">
        <v>5182</v>
      </c>
      <c r="B5346" s="5" t="s">
        <v>11438</v>
      </c>
      <c r="C5346" s="7" t="s">
        <v>12556</v>
      </c>
      <c r="D5346" s="8">
        <f t="shared" si="336"/>
        <v>0</v>
      </c>
      <c r="E5346" s="7" t="s">
        <v>12557</v>
      </c>
      <c r="F5346" s="7">
        <f t="shared" si="337"/>
        <v>1</v>
      </c>
      <c r="G5346" s="7" t="s">
        <v>12558</v>
      </c>
      <c r="H5346" s="7">
        <f t="shared" si="338"/>
        <v>0</v>
      </c>
      <c r="I5346" s="7" t="str" cm="1">
        <f t="array" ref="I5346">IFERROR(_xlfn.IFS(M5346="נח",1,M5346="נע ונח",1,M5346="שני שווא נח",2,M5346="שני שוואים בסוף מילה",2,M5346="שני שוואים ברצף",1),"0")</f>
        <v>0</v>
      </c>
      <c r="J5346" s="9">
        <f t="shared" si="339"/>
        <v>4</v>
      </c>
      <c r="K5346" t="s">
        <v>6698</v>
      </c>
      <c r="L5346" t="s">
        <v>6695</v>
      </c>
      <c r="P5346" t="s">
        <v>6694</v>
      </c>
      <c r="Q5346" t="s">
        <v>6694</v>
      </c>
      <c r="R5346" t="s">
        <v>6694</v>
      </c>
      <c r="W5346" t="s">
        <v>6720</v>
      </c>
    </row>
    <row r="5347" spans="1:23" ht="15.6" x14ac:dyDescent="0.4">
      <c r="A5347" s="2" t="s">
        <v>423</v>
      </c>
      <c r="B5347" s="5" t="s">
        <v>11439</v>
      </c>
      <c r="C5347" s="7" t="s">
        <v>12556</v>
      </c>
      <c r="D5347" s="8">
        <f t="shared" si="336"/>
        <v>0</v>
      </c>
      <c r="E5347" s="7" t="s">
        <v>12557</v>
      </c>
      <c r="F5347" s="7">
        <f t="shared" si="337"/>
        <v>0</v>
      </c>
      <c r="G5347" s="7" t="s">
        <v>12558</v>
      </c>
      <c r="H5347" s="7">
        <f t="shared" si="338"/>
        <v>0</v>
      </c>
      <c r="I5347" s="7" t="str" cm="1">
        <f t="array" ref="I5347">IFERROR(_xlfn.IFS(M5347="נח",1,M5347="נע ונח",1,M5347="שני שווא נח",2,M5347="שני שוואים בסוף מילה",2,M5347="שני שוואים ברצף",1),"0")</f>
        <v>0</v>
      </c>
      <c r="J5347" s="9">
        <f t="shared" si="339"/>
        <v>2</v>
      </c>
      <c r="K5347" t="s">
        <v>6698</v>
      </c>
      <c r="L5347" t="s">
        <v>6695</v>
      </c>
      <c r="P5347" t="s">
        <v>6694</v>
      </c>
      <c r="W5347" t="s">
        <v>6720</v>
      </c>
    </row>
    <row r="5348" spans="1:23" ht="15.6" x14ac:dyDescent="0.4">
      <c r="A5348" s="2" t="s">
        <v>5591</v>
      </c>
      <c r="B5348" s="5" t="s">
        <v>11440</v>
      </c>
      <c r="C5348" s="7" t="s">
        <v>12556</v>
      </c>
      <c r="D5348" s="8">
        <f t="shared" si="336"/>
        <v>0</v>
      </c>
      <c r="E5348" s="7" t="s">
        <v>12557</v>
      </c>
      <c r="F5348" s="7">
        <f t="shared" si="337"/>
        <v>1</v>
      </c>
      <c r="G5348" s="7" t="s">
        <v>12558</v>
      </c>
      <c r="H5348" s="7">
        <f t="shared" si="338"/>
        <v>1</v>
      </c>
      <c r="I5348" s="7" t="str" cm="1">
        <f t="array" ref="I5348">IFERROR(_xlfn.IFS(M5348="נח",1,M5348="נע ונח",1,M5348="שני שווא נח",2,M5348="שני שוואים בסוף מילה",2,M5348="שני שוואים ברצף",1),"0")</f>
        <v>0</v>
      </c>
      <c r="J5348" s="9">
        <f t="shared" si="339"/>
        <v>4</v>
      </c>
      <c r="K5348" t="s">
        <v>6697</v>
      </c>
      <c r="L5348" t="s">
        <v>6695</v>
      </c>
      <c r="O5348" t="s">
        <v>6694</v>
      </c>
      <c r="P5348" t="s">
        <v>6694</v>
      </c>
      <c r="Q5348" t="s">
        <v>6694</v>
      </c>
      <c r="U5348" t="s">
        <v>6694</v>
      </c>
      <c r="W5348" t="s">
        <v>6720</v>
      </c>
    </row>
    <row r="5349" spans="1:23" ht="15.6" x14ac:dyDescent="0.4">
      <c r="A5349" s="2" t="s">
        <v>2690</v>
      </c>
      <c r="B5349" s="5" t="s">
        <v>11441</v>
      </c>
      <c r="C5349" s="7" t="s">
        <v>12556</v>
      </c>
      <c r="D5349" s="8">
        <f t="shared" si="336"/>
        <v>0</v>
      </c>
      <c r="E5349" s="7" t="s">
        <v>12557</v>
      </c>
      <c r="F5349" s="7">
        <f t="shared" si="337"/>
        <v>0</v>
      </c>
      <c r="G5349" s="7" t="s">
        <v>12558</v>
      </c>
      <c r="H5349" s="7">
        <f t="shared" si="338"/>
        <v>0</v>
      </c>
      <c r="I5349" s="7" t="str" cm="1">
        <f t="array" ref="I5349">IFERROR(_xlfn.IFS(M5349="נח",1,M5349="נע ונח",1,M5349="שני שווא נח",2,M5349="שני שוואים בסוף מילה",2,M5349="שני שוואים ברצף",1),"0")</f>
        <v>0</v>
      </c>
      <c r="J5349" s="9">
        <f t="shared" si="339"/>
        <v>3</v>
      </c>
      <c r="K5349" t="s">
        <v>6698</v>
      </c>
      <c r="L5349" t="s">
        <v>6695</v>
      </c>
      <c r="N5349" t="s">
        <v>6706</v>
      </c>
      <c r="O5349" t="s">
        <v>6694</v>
      </c>
      <c r="P5349" t="s">
        <v>6694</v>
      </c>
      <c r="W5349" t="s">
        <v>6720</v>
      </c>
    </row>
    <row r="5350" spans="1:23" ht="15.6" x14ac:dyDescent="0.4">
      <c r="A5350" s="2" t="s">
        <v>3905</v>
      </c>
      <c r="B5350" s="5" t="s">
        <v>11442</v>
      </c>
      <c r="C5350" s="7" t="s">
        <v>12556</v>
      </c>
      <c r="D5350" s="8">
        <f t="shared" si="336"/>
        <v>0</v>
      </c>
      <c r="E5350" s="7" t="s">
        <v>12557</v>
      </c>
      <c r="F5350" s="7">
        <f t="shared" si="337"/>
        <v>0</v>
      </c>
      <c r="G5350" s="7" t="s">
        <v>12558</v>
      </c>
      <c r="H5350" s="7">
        <f t="shared" si="338"/>
        <v>0</v>
      </c>
      <c r="I5350" s="7" t="str" cm="1">
        <f t="array" ref="I5350">IFERROR(_xlfn.IFS(M5350="נח",1,M5350="נע ונח",1,M5350="שני שווא נח",2,M5350="שני שוואים בסוף מילה",2,M5350="שני שוואים ברצף",1),"0")</f>
        <v>0</v>
      </c>
      <c r="J5350" s="9">
        <f t="shared" si="339"/>
        <v>3</v>
      </c>
      <c r="K5350" t="s">
        <v>6698</v>
      </c>
      <c r="L5350" t="s">
        <v>6695</v>
      </c>
      <c r="O5350" t="s">
        <v>6694</v>
      </c>
      <c r="P5350" t="s">
        <v>6694</v>
      </c>
      <c r="V5350" t="s">
        <v>6694</v>
      </c>
      <c r="W5350" t="s">
        <v>6720</v>
      </c>
    </row>
    <row r="5351" spans="1:23" ht="15.6" x14ac:dyDescent="0.4">
      <c r="A5351" s="2" t="s">
        <v>3300</v>
      </c>
      <c r="B5351" s="5" t="s">
        <v>11443</v>
      </c>
      <c r="C5351" s="7" t="s">
        <v>12556</v>
      </c>
      <c r="D5351" s="8">
        <f t="shared" si="336"/>
        <v>0</v>
      </c>
      <c r="E5351" s="7" t="s">
        <v>12557</v>
      </c>
      <c r="F5351" s="7">
        <f t="shared" si="337"/>
        <v>0</v>
      </c>
      <c r="G5351" s="7" t="s">
        <v>12558</v>
      </c>
      <c r="H5351" s="7">
        <f t="shared" si="338"/>
        <v>0</v>
      </c>
      <c r="I5351" s="7" cm="1">
        <f t="array" ref="I5351">IFERROR(_xlfn.IFS(M5351="נח",1,M5351="נע ונח",1,M5351="שני שווא נח",2,M5351="שני שוואים בסוף מילה",2,M5351="שני שוואים ברצף",1),"0")</f>
        <v>1</v>
      </c>
      <c r="J5351" s="9">
        <f t="shared" si="339"/>
        <v>3</v>
      </c>
      <c r="K5351" t="s">
        <v>6697</v>
      </c>
      <c r="L5351" t="s">
        <v>6694</v>
      </c>
      <c r="M5351" t="s">
        <v>6705</v>
      </c>
      <c r="N5351" t="s">
        <v>6706</v>
      </c>
      <c r="O5351" t="s">
        <v>6694</v>
      </c>
      <c r="P5351" t="s">
        <v>6694</v>
      </c>
      <c r="W5351" t="s">
        <v>6720</v>
      </c>
    </row>
    <row r="5352" spans="1:23" ht="15.6" x14ac:dyDescent="0.4">
      <c r="A5352" s="2" t="s">
        <v>5997</v>
      </c>
      <c r="B5352" s="5" t="s">
        <v>11444</v>
      </c>
      <c r="C5352" s="7" t="s">
        <v>12556</v>
      </c>
      <c r="D5352" s="8">
        <f t="shared" si="336"/>
        <v>0</v>
      </c>
      <c r="E5352" s="7" t="s">
        <v>12557</v>
      </c>
      <c r="F5352" s="7">
        <f t="shared" si="337"/>
        <v>0</v>
      </c>
      <c r="G5352" s="7" t="s">
        <v>12558</v>
      </c>
      <c r="H5352" s="7">
        <f t="shared" si="338"/>
        <v>0</v>
      </c>
      <c r="I5352" s="7" t="str" cm="1">
        <f t="array" ref="I5352">IFERROR(_xlfn.IFS(M5352="נח",1,M5352="נע ונח",1,M5352="שני שווא נח",2,M5352="שני שוואים בסוף מילה",2,M5352="שני שוואים ברצף",1),"0")</f>
        <v>0</v>
      </c>
      <c r="J5352" s="9">
        <f t="shared" si="339"/>
        <v>3</v>
      </c>
      <c r="K5352" t="s">
        <v>6697</v>
      </c>
      <c r="L5352" t="s">
        <v>6695</v>
      </c>
      <c r="O5352" t="s">
        <v>6694</v>
      </c>
      <c r="P5352" t="s">
        <v>6694</v>
      </c>
      <c r="S5352" t="s">
        <v>6694</v>
      </c>
      <c r="W5352" t="s">
        <v>6720</v>
      </c>
    </row>
    <row r="5353" spans="1:23" ht="15.6" x14ac:dyDescent="0.4">
      <c r="A5353" s="2" t="s">
        <v>6093</v>
      </c>
      <c r="B5353" s="5" t="s">
        <v>11445</v>
      </c>
      <c r="C5353" s="7" t="s">
        <v>12556</v>
      </c>
      <c r="D5353" s="8">
        <f t="shared" si="336"/>
        <v>0</v>
      </c>
      <c r="E5353" s="7" t="s">
        <v>12557</v>
      </c>
      <c r="F5353" s="7">
        <f t="shared" si="337"/>
        <v>1</v>
      </c>
      <c r="G5353" s="7" t="s">
        <v>12558</v>
      </c>
      <c r="H5353" s="7">
        <f t="shared" si="338"/>
        <v>1</v>
      </c>
      <c r="I5353" s="7" t="str" cm="1">
        <f t="array" ref="I5353">IFERROR(_xlfn.IFS(M5353="נח",1,M5353="נע ונח",1,M5353="שני שווא נח",2,M5353="שני שוואים בסוף מילה",2,M5353="שני שוואים ברצף",1),"0")</f>
        <v>0</v>
      </c>
      <c r="J5353" s="9">
        <f t="shared" si="339"/>
        <v>3</v>
      </c>
      <c r="K5353" t="s">
        <v>6698</v>
      </c>
      <c r="L5353" t="s">
        <v>6695</v>
      </c>
      <c r="P5353" t="s">
        <v>6694</v>
      </c>
      <c r="S5353" t="s">
        <v>6694</v>
      </c>
      <c r="U5353" t="s">
        <v>6694</v>
      </c>
      <c r="W5353" t="s">
        <v>6720</v>
      </c>
    </row>
    <row r="5354" spans="1:23" ht="15.6" x14ac:dyDescent="0.4">
      <c r="A5354" s="2" t="s">
        <v>3821</v>
      </c>
      <c r="B5354" s="5" t="s">
        <v>11446</v>
      </c>
      <c r="C5354" s="7" t="s">
        <v>12556</v>
      </c>
      <c r="D5354" s="8">
        <f t="shared" si="336"/>
        <v>0</v>
      </c>
      <c r="E5354" s="7" t="s">
        <v>12557</v>
      </c>
      <c r="F5354" s="7">
        <f t="shared" si="337"/>
        <v>0</v>
      </c>
      <c r="G5354" s="7" t="s">
        <v>12558</v>
      </c>
      <c r="H5354" s="7">
        <f t="shared" si="338"/>
        <v>0</v>
      </c>
      <c r="I5354" s="7" t="str" cm="1">
        <f t="array" ref="I5354">IFERROR(_xlfn.IFS(M5354="נח",1,M5354="נע ונח",1,M5354="שני שווא נח",2,M5354="שני שוואים בסוף מילה",2,M5354="שני שוואים ברצף",1),"0")</f>
        <v>0</v>
      </c>
      <c r="J5354" s="9">
        <f t="shared" si="339"/>
        <v>3</v>
      </c>
      <c r="K5354" t="s">
        <v>6698</v>
      </c>
      <c r="L5354" t="s">
        <v>6695</v>
      </c>
      <c r="P5354" t="s">
        <v>6694</v>
      </c>
      <c r="Q5354" t="s">
        <v>6694</v>
      </c>
      <c r="W5354" t="s">
        <v>6720</v>
      </c>
    </row>
    <row r="5355" spans="1:23" ht="15.6" x14ac:dyDescent="0.4">
      <c r="A5355" s="2" t="s">
        <v>1235</v>
      </c>
      <c r="B5355" s="5" t="s">
        <v>11447</v>
      </c>
      <c r="C5355" s="7" t="s">
        <v>12556</v>
      </c>
      <c r="D5355" s="8">
        <f t="shared" si="336"/>
        <v>0</v>
      </c>
      <c r="E5355" s="7" t="s">
        <v>12557</v>
      </c>
      <c r="F5355" s="7">
        <f t="shared" si="337"/>
        <v>0</v>
      </c>
      <c r="G5355" s="7" t="s">
        <v>12558</v>
      </c>
      <c r="H5355" s="7">
        <f t="shared" si="338"/>
        <v>0</v>
      </c>
      <c r="I5355" s="7" t="str" cm="1">
        <f t="array" ref="I5355">IFERROR(_xlfn.IFS(M5355="נח",1,M5355="נע ונח",1,M5355="שני שווא נח",2,M5355="שני שוואים בסוף מילה",2,M5355="שני שוואים ברצף",1),"0")</f>
        <v>0</v>
      </c>
      <c r="J5355" s="9">
        <f t="shared" si="339"/>
        <v>3</v>
      </c>
      <c r="K5355" t="s">
        <v>6698</v>
      </c>
      <c r="L5355" t="s">
        <v>6695</v>
      </c>
      <c r="P5355" t="s">
        <v>6694</v>
      </c>
      <c r="R5355" t="s">
        <v>6694</v>
      </c>
      <c r="W5355" t="s">
        <v>6720</v>
      </c>
    </row>
    <row r="5356" spans="1:23" ht="15.6" x14ac:dyDescent="0.4">
      <c r="A5356" s="2" t="s">
        <v>5929</v>
      </c>
      <c r="B5356" s="5" t="s">
        <v>11448</v>
      </c>
      <c r="C5356" s="7" t="s">
        <v>12556</v>
      </c>
      <c r="D5356" s="8">
        <f t="shared" si="336"/>
        <v>0</v>
      </c>
      <c r="E5356" s="7" t="s">
        <v>12557</v>
      </c>
      <c r="F5356" s="7">
        <f t="shared" si="337"/>
        <v>0</v>
      </c>
      <c r="G5356" s="7" t="s">
        <v>12558</v>
      </c>
      <c r="H5356" s="7">
        <f t="shared" si="338"/>
        <v>0</v>
      </c>
      <c r="I5356" s="7" t="str" cm="1">
        <f t="array" ref="I5356">IFERROR(_xlfn.IFS(M5356="נח",1,M5356="נע ונח",1,M5356="שני שווא נח",2,M5356="שני שוואים בסוף מילה",2,M5356="שני שוואים ברצף",1),"0")</f>
        <v>0</v>
      </c>
      <c r="J5356" s="9">
        <f t="shared" si="339"/>
        <v>3</v>
      </c>
      <c r="K5356" t="s">
        <v>6698</v>
      </c>
      <c r="L5356" t="s">
        <v>6695</v>
      </c>
      <c r="O5356" t="s">
        <v>6694</v>
      </c>
      <c r="P5356" t="s">
        <v>6694</v>
      </c>
      <c r="S5356" t="s">
        <v>6694</v>
      </c>
      <c r="W5356" t="s">
        <v>6720</v>
      </c>
    </row>
    <row r="5357" spans="1:23" ht="15.6" x14ac:dyDescent="0.4">
      <c r="A5357" s="2" t="s">
        <v>3505</v>
      </c>
      <c r="B5357" s="5" t="s">
        <v>11449</v>
      </c>
      <c r="C5357" s="7" t="s">
        <v>12556</v>
      </c>
      <c r="D5357" s="8">
        <f t="shared" si="336"/>
        <v>0</v>
      </c>
      <c r="E5357" s="7" t="s">
        <v>12557</v>
      </c>
      <c r="F5357" s="7">
        <f t="shared" si="337"/>
        <v>0</v>
      </c>
      <c r="G5357" s="7" t="s">
        <v>12558</v>
      </c>
      <c r="H5357" s="7">
        <f t="shared" si="338"/>
        <v>0</v>
      </c>
      <c r="I5357" s="7" cm="1">
        <f t="array" ref="I5357">IFERROR(_xlfn.IFS(M5357="נח",1,M5357="נע ונח",1,M5357="שני שווא נח",2,M5357="שני שוואים בסוף מילה",2,M5357="שני שוואים ברצף",1),"0")</f>
        <v>1</v>
      </c>
      <c r="J5357" s="9">
        <f t="shared" si="339"/>
        <v>2</v>
      </c>
      <c r="K5357" t="s">
        <v>6698</v>
      </c>
      <c r="L5357" t="s">
        <v>6694</v>
      </c>
      <c r="M5357" t="s">
        <v>6705</v>
      </c>
      <c r="P5357" t="s">
        <v>6694</v>
      </c>
      <c r="V5357" t="s">
        <v>6694</v>
      </c>
      <c r="W5357" t="s">
        <v>6720</v>
      </c>
    </row>
    <row r="5358" spans="1:23" ht="15.6" x14ac:dyDescent="0.4">
      <c r="A5358" s="2" t="s">
        <v>3735</v>
      </c>
      <c r="B5358" s="5" t="s">
        <v>11450</v>
      </c>
      <c r="C5358" s="7" t="s">
        <v>12556</v>
      </c>
      <c r="D5358" s="8">
        <f t="shared" si="336"/>
        <v>1</v>
      </c>
      <c r="E5358" s="7" t="s">
        <v>12557</v>
      </c>
      <c r="F5358" s="7">
        <f t="shared" si="337"/>
        <v>0</v>
      </c>
      <c r="G5358" s="7" t="s">
        <v>12558</v>
      </c>
      <c r="H5358" s="7">
        <f t="shared" si="338"/>
        <v>0</v>
      </c>
      <c r="I5358" s="7" t="str" cm="1">
        <f t="array" ref="I5358">IFERROR(_xlfn.IFS(M5358="נח",1,M5358="נע ונח",1,M5358="שני שווא נח",2,M5358="שני שוואים בסוף מילה",2,M5358="שני שוואים ברצף",1),"0")</f>
        <v>0</v>
      </c>
      <c r="J5358" s="9">
        <f t="shared" si="339"/>
        <v>3</v>
      </c>
      <c r="K5358" t="s">
        <v>6697</v>
      </c>
      <c r="L5358" t="s">
        <v>6695</v>
      </c>
      <c r="P5358" t="s">
        <v>6694</v>
      </c>
      <c r="Q5358" t="s">
        <v>6694</v>
      </c>
      <c r="S5358" t="s">
        <v>6694</v>
      </c>
      <c r="W5358" t="s">
        <v>6720</v>
      </c>
    </row>
    <row r="5359" spans="1:23" ht="15.6" x14ac:dyDescent="0.4">
      <c r="A5359" s="2" t="s">
        <v>6279</v>
      </c>
      <c r="B5359" s="5" t="s">
        <v>11451</v>
      </c>
      <c r="C5359" s="7" t="s">
        <v>12556</v>
      </c>
      <c r="D5359" s="8">
        <f t="shared" si="336"/>
        <v>1</v>
      </c>
      <c r="E5359" s="7" t="s">
        <v>12557</v>
      </c>
      <c r="F5359" s="7">
        <f t="shared" si="337"/>
        <v>1</v>
      </c>
      <c r="G5359" s="7" t="s">
        <v>12558</v>
      </c>
      <c r="H5359" s="7">
        <f t="shared" si="338"/>
        <v>1</v>
      </c>
      <c r="I5359" s="7" t="str" cm="1">
        <f t="array" ref="I5359">IFERROR(_xlfn.IFS(M5359="נח",1,M5359="נע ונח",1,M5359="שני שווא נח",2,M5359="שני שוואים בסוף מילה",2,M5359="שני שוואים ברצף",1),"0")</f>
        <v>0</v>
      </c>
      <c r="J5359" s="9">
        <f t="shared" si="339"/>
        <v>3</v>
      </c>
      <c r="K5359" t="s">
        <v>6698</v>
      </c>
      <c r="L5359" t="s">
        <v>6695</v>
      </c>
      <c r="P5359" t="s">
        <v>6694</v>
      </c>
      <c r="S5359" t="s">
        <v>6694</v>
      </c>
      <c r="U5359" t="s">
        <v>6694</v>
      </c>
      <c r="W5359" t="s">
        <v>6720</v>
      </c>
    </row>
    <row r="5360" spans="1:23" ht="15.6" x14ac:dyDescent="0.4">
      <c r="A5360" s="2" t="s">
        <v>6548</v>
      </c>
      <c r="B5360" s="5" t="s">
        <v>11452</v>
      </c>
      <c r="C5360" s="7" t="s">
        <v>12556</v>
      </c>
      <c r="D5360" s="8">
        <f t="shared" si="336"/>
        <v>1</v>
      </c>
      <c r="E5360" s="7" t="s">
        <v>12557</v>
      </c>
      <c r="F5360" s="7">
        <f t="shared" si="337"/>
        <v>1</v>
      </c>
      <c r="G5360" s="7" t="s">
        <v>12558</v>
      </c>
      <c r="H5360" s="7">
        <f t="shared" si="338"/>
        <v>0</v>
      </c>
      <c r="I5360" s="7" t="str" cm="1">
        <f t="array" ref="I5360">IFERROR(_xlfn.IFS(M5360="נח",1,M5360="נע ונח",1,M5360="שני שווא נח",2,M5360="שני שוואים בסוף מילה",2,M5360="שני שוואים ברצף",1),"0")</f>
        <v>0</v>
      </c>
      <c r="J5360" s="9">
        <f t="shared" si="339"/>
        <v>3</v>
      </c>
      <c r="K5360" t="s">
        <v>6697</v>
      </c>
      <c r="L5360" t="s">
        <v>6695</v>
      </c>
      <c r="N5360" t="s">
        <v>6706</v>
      </c>
      <c r="O5360" t="s">
        <v>6694</v>
      </c>
      <c r="P5360" t="s">
        <v>6694</v>
      </c>
      <c r="S5360" t="s">
        <v>6694</v>
      </c>
      <c r="W5360" t="s">
        <v>6720</v>
      </c>
    </row>
    <row r="5361" spans="1:23" ht="15.6" x14ac:dyDescent="0.4">
      <c r="A5361" s="2" t="s">
        <v>5003</v>
      </c>
      <c r="B5361" s="5" t="s">
        <v>11453</v>
      </c>
      <c r="C5361" s="7" t="s">
        <v>12556</v>
      </c>
      <c r="D5361" s="8">
        <f t="shared" si="336"/>
        <v>1</v>
      </c>
      <c r="E5361" s="7" t="s">
        <v>12557</v>
      </c>
      <c r="F5361" s="7">
        <f t="shared" si="337"/>
        <v>0</v>
      </c>
      <c r="G5361" s="7" t="s">
        <v>12558</v>
      </c>
      <c r="H5361" s="7">
        <f t="shared" si="338"/>
        <v>0</v>
      </c>
      <c r="I5361" s="7" t="str" cm="1">
        <f t="array" ref="I5361">IFERROR(_xlfn.IFS(M5361="נח",1,M5361="נע ונח",1,M5361="שני שווא נח",2,M5361="שני שוואים בסוף מילה",2,M5361="שני שוואים ברצף",1),"0")</f>
        <v>0</v>
      </c>
      <c r="J5361" s="9">
        <f t="shared" si="339"/>
        <v>2</v>
      </c>
      <c r="K5361" t="s">
        <v>6697</v>
      </c>
      <c r="L5361" t="s">
        <v>6695</v>
      </c>
      <c r="P5361" t="s">
        <v>6694</v>
      </c>
      <c r="Q5361" t="s">
        <v>6694</v>
      </c>
      <c r="W5361" t="s">
        <v>6720</v>
      </c>
    </row>
    <row r="5362" spans="1:23" ht="15.6" x14ac:dyDescent="0.4">
      <c r="A5362" s="2" t="s">
        <v>2789</v>
      </c>
      <c r="B5362" s="5" t="s">
        <v>11453</v>
      </c>
      <c r="C5362" s="7" t="s">
        <v>12556</v>
      </c>
      <c r="D5362" s="8">
        <f t="shared" si="336"/>
        <v>1</v>
      </c>
      <c r="E5362" s="7" t="s">
        <v>12557</v>
      </c>
      <c r="F5362" s="7">
        <f t="shared" si="337"/>
        <v>0</v>
      </c>
      <c r="G5362" s="7" t="s">
        <v>12558</v>
      </c>
      <c r="H5362" s="7">
        <f t="shared" si="338"/>
        <v>0</v>
      </c>
      <c r="I5362" s="7" t="str" cm="1">
        <f t="array" ref="I5362">IFERROR(_xlfn.IFS(M5362="נח",1,M5362="נע ונח",1,M5362="שני שווא נח",2,M5362="שני שוואים בסוף מילה",2,M5362="שני שוואים ברצף",1),"0")</f>
        <v>0</v>
      </c>
      <c r="J5362" s="9">
        <f t="shared" si="339"/>
        <v>2</v>
      </c>
      <c r="K5362" t="s">
        <v>6697</v>
      </c>
      <c r="L5362" t="s">
        <v>6695</v>
      </c>
      <c r="P5362" t="s">
        <v>6694</v>
      </c>
      <c r="V5362" t="s">
        <v>6694</v>
      </c>
      <c r="W5362" t="s">
        <v>6720</v>
      </c>
    </row>
    <row r="5363" spans="1:23" ht="15.6" x14ac:dyDescent="0.4">
      <c r="A5363" s="2" t="s">
        <v>4984</v>
      </c>
      <c r="B5363" s="5" t="s">
        <v>11454</v>
      </c>
      <c r="C5363" s="7" t="s">
        <v>12556</v>
      </c>
      <c r="D5363" s="8">
        <f t="shared" si="336"/>
        <v>1</v>
      </c>
      <c r="E5363" s="7" t="s">
        <v>12557</v>
      </c>
      <c r="F5363" s="7">
        <f t="shared" si="337"/>
        <v>0</v>
      </c>
      <c r="G5363" s="7" t="s">
        <v>12558</v>
      </c>
      <c r="H5363" s="7">
        <f t="shared" si="338"/>
        <v>0</v>
      </c>
      <c r="I5363" s="7" t="str" cm="1">
        <f t="array" ref="I5363">IFERROR(_xlfn.IFS(M5363="נח",1,M5363="נע ונח",1,M5363="שני שווא נח",2,M5363="שני שוואים בסוף מילה",2,M5363="שני שוואים ברצף",1),"0")</f>
        <v>0</v>
      </c>
      <c r="J5363" s="9">
        <f t="shared" si="339"/>
        <v>2</v>
      </c>
      <c r="K5363" t="s">
        <v>6698</v>
      </c>
      <c r="L5363" t="s">
        <v>6695</v>
      </c>
      <c r="P5363" t="s">
        <v>6694</v>
      </c>
      <c r="V5363" t="s">
        <v>6694</v>
      </c>
      <c r="W5363" t="s">
        <v>6720</v>
      </c>
    </row>
    <row r="5364" spans="1:23" ht="15.6" x14ac:dyDescent="0.4">
      <c r="A5364" s="2" t="s">
        <v>1170</v>
      </c>
      <c r="B5364" s="5" t="s">
        <v>11455</v>
      </c>
      <c r="C5364" s="7" t="s">
        <v>12556</v>
      </c>
      <c r="D5364" s="8">
        <f t="shared" si="336"/>
        <v>1</v>
      </c>
      <c r="E5364" s="7" t="s">
        <v>12557</v>
      </c>
      <c r="F5364" s="7">
        <f t="shared" si="337"/>
        <v>1</v>
      </c>
      <c r="G5364" s="7" t="s">
        <v>12558</v>
      </c>
      <c r="H5364" s="7">
        <f t="shared" si="338"/>
        <v>1</v>
      </c>
      <c r="I5364" s="7" t="str" cm="1">
        <f t="array" ref="I5364">IFERROR(_xlfn.IFS(M5364="נח",1,M5364="נע ונח",1,M5364="שני שווא נח",2,M5364="שני שוואים בסוף מילה",2,M5364="שני שוואים ברצף",1),"0")</f>
        <v>0</v>
      </c>
      <c r="J5364" s="9">
        <f t="shared" si="339"/>
        <v>3</v>
      </c>
      <c r="K5364" t="s">
        <v>6698</v>
      </c>
      <c r="L5364" t="s">
        <v>6695</v>
      </c>
      <c r="P5364" t="s">
        <v>6694</v>
      </c>
      <c r="S5364" t="s">
        <v>6694</v>
      </c>
      <c r="U5364" t="s">
        <v>6694</v>
      </c>
      <c r="W5364" t="s">
        <v>6720</v>
      </c>
    </row>
    <row r="5365" spans="1:23" ht="15.6" x14ac:dyDescent="0.4">
      <c r="A5365" s="2" t="s">
        <v>1544</v>
      </c>
      <c r="B5365" s="5" t="s">
        <v>11456</v>
      </c>
      <c r="C5365" s="7" t="s">
        <v>12556</v>
      </c>
      <c r="D5365" s="8">
        <f t="shared" si="336"/>
        <v>0</v>
      </c>
      <c r="E5365" s="7" t="s">
        <v>12557</v>
      </c>
      <c r="F5365" s="7">
        <f t="shared" si="337"/>
        <v>0</v>
      </c>
      <c r="G5365" s="7" t="s">
        <v>12558</v>
      </c>
      <c r="H5365" s="7">
        <f t="shared" si="338"/>
        <v>0</v>
      </c>
      <c r="I5365" s="7" t="str" cm="1">
        <f t="array" ref="I5365">IFERROR(_xlfn.IFS(M5365="נח",1,M5365="נע ונח",1,M5365="שני שווא נח",2,M5365="שני שוואים בסוף מילה",2,M5365="שני שוואים ברצף",1),"0")</f>
        <v>0</v>
      </c>
      <c r="J5365" s="9">
        <f t="shared" si="339"/>
        <v>2</v>
      </c>
      <c r="K5365" t="s">
        <v>6697</v>
      </c>
      <c r="L5365" t="s">
        <v>6695</v>
      </c>
      <c r="O5365" t="s">
        <v>6694</v>
      </c>
      <c r="S5365" t="s">
        <v>6694</v>
      </c>
      <c r="W5365" t="s">
        <v>6720</v>
      </c>
    </row>
    <row r="5366" spans="1:23" ht="15.6" x14ac:dyDescent="0.4">
      <c r="A5366" s="2" t="s">
        <v>672</v>
      </c>
      <c r="B5366" s="5" t="s">
        <v>11457</v>
      </c>
      <c r="C5366" s="7" t="s">
        <v>12556</v>
      </c>
      <c r="D5366" s="8">
        <f t="shared" si="336"/>
        <v>0</v>
      </c>
      <c r="E5366" s="7" t="s">
        <v>12557</v>
      </c>
      <c r="F5366" s="7">
        <f t="shared" si="337"/>
        <v>0</v>
      </c>
      <c r="G5366" s="7" t="s">
        <v>12558</v>
      </c>
      <c r="H5366" s="7">
        <f t="shared" si="338"/>
        <v>0</v>
      </c>
      <c r="I5366" s="7" t="str" cm="1">
        <f t="array" ref="I5366">IFERROR(_xlfn.IFS(M5366="נח",1,M5366="נע ונח",1,M5366="שני שווא נח",2,M5366="שני שוואים בסוף מילה",2,M5366="שני שוואים ברצף",1),"0")</f>
        <v>0</v>
      </c>
      <c r="J5366" s="9">
        <f t="shared" si="339"/>
        <v>3</v>
      </c>
      <c r="K5366" t="s">
        <v>6698</v>
      </c>
      <c r="L5366" t="s">
        <v>6695</v>
      </c>
      <c r="O5366" t="s">
        <v>6694</v>
      </c>
      <c r="S5366" t="s">
        <v>6694</v>
      </c>
      <c r="W5366" t="s">
        <v>6720</v>
      </c>
    </row>
    <row r="5367" spans="1:23" ht="15.6" x14ac:dyDescent="0.4">
      <c r="A5367" s="2" t="s">
        <v>2287</v>
      </c>
      <c r="B5367" s="5" t="s">
        <v>11458</v>
      </c>
      <c r="C5367" s="7" t="s">
        <v>12556</v>
      </c>
      <c r="D5367" s="8">
        <f t="shared" si="336"/>
        <v>0</v>
      </c>
      <c r="E5367" s="7" t="s">
        <v>12557</v>
      </c>
      <c r="F5367" s="7">
        <f t="shared" si="337"/>
        <v>1</v>
      </c>
      <c r="G5367" s="7" t="s">
        <v>12558</v>
      </c>
      <c r="H5367" s="7">
        <f t="shared" si="338"/>
        <v>1</v>
      </c>
      <c r="I5367" s="7" cm="1">
        <f t="array" ref="I5367">IFERROR(_xlfn.IFS(M5367="נח",1,M5367="נע ונח",1,M5367="שני שווא נח",2,M5367="שני שוואים בסוף מילה",2,M5367="שני שוואים ברצף",1),"0")</f>
        <v>1</v>
      </c>
      <c r="J5367" s="9">
        <f t="shared" si="339"/>
        <v>2</v>
      </c>
      <c r="K5367" t="s">
        <v>6697</v>
      </c>
      <c r="L5367" t="s">
        <v>6694</v>
      </c>
      <c r="M5367" t="s">
        <v>6705</v>
      </c>
      <c r="S5367" t="s">
        <v>6694</v>
      </c>
      <c r="U5367" t="s">
        <v>6694</v>
      </c>
      <c r="W5367" t="s">
        <v>6720</v>
      </c>
    </row>
    <row r="5368" spans="1:23" ht="15.6" x14ac:dyDescent="0.4">
      <c r="A5368" s="2" t="s">
        <v>1324</v>
      </c>
      <c r="B5368" s="5" t="s">
        <v>11459</v>
      </c>
      <c r="C5368" s="7" t="s">
        <v>12556</v>
      </c>
      <c r="D5368" s="8">
        <f t="shared" si="336"/>
        <v>0</v>
      </c>
      <c r="E5368" s="7" t="s">
        <v>12557</v>
      </c>
      <c r="F5368" s="7">
        <f t="shared" si="337"/>
        <v>0</v>
      </c>
      <c r="G5368" s="7" t="s">
        <v>12558</v>
      </c>
      <c r="H5368" s="7">
        <f t="shared" si="338"/>
        <v>0</v>
      </c>
      <c r="I5368" s="7" cm="1">
        <f t="array" ref="I5368">IFERROR(_xlfn.IFS(M5368="נח",1,M5368="נע ונח",1,M5368="שני שווא נח",2,M5368="שני שוואים בסוף מילה",2,M5368="שני שוואים ברצף",1),"0")</f>
        <v>1</v>
      </c>
      <c r="J5368" s="9">
        <f t="shared" si="339"/>
        <v>2</v>
      </c>
      <c r="K5368" t="s">
        <v>6698</v>
      </c>
      <c r="L5368" t="s">
        <v>6694</v>
      </c>
      <c r="M5368" t="s">
        <v>6705</v>
      </c>
      <c r="S5368" t="s">
        <v>6694</v>
      </c>
      <c r="W5368" t="s">
        <v>6720</v>
      </c>
    </row>
    <row r="5369" spans="1:23" ht="15.6" x14ac:dyDescent="0.4">
      <c r="A5369" s="2" t="s">
        <v>2583</v>
      </c>
      <c r="B5369" s="5" t="s">
        <v>11460</v>
      </c>
      <c r="C5369" s="7" t="s">
        <v>12556</v>
      </c>
      <c r="D5369" s="8">
        <f t="shared" si="336"/>
        <v>0</v>
      </c>
      <c r="E5369" s="7" t="s">
        <v>12557</v>
      </c>
      <c r="F5369" s="7">
        <f t="shared" si="337"/>
        <v>2</v>
      </c>
      <c r="G5369" s="7" t="s">
        <v>12558</v>
      </c>
      <c r="H5369" s="7">
        <f t="shared" si="338"/>
        <v>1</v>
      </c>
      <c r="I5369" s="7" t="str" cm="1">
        <f t="array" ref="I5369">IFERROR(_xlfn.IFS(M5369="נח",1,M5369="נע ונח",1,M5369="שני שווא נח",2,M5369="שני שוואים בסוף מילה",2,M5369="שני שוואים ברצף",1),"0")</f>
        <v>0</v>
      </c>
      <c r="J5369" s="9">
        <f t="shared" si="339"/>
        <v>2</v>
      </c>
      <c r="K5369" t="s">
        <v>6698</v>
      </c>
      <c r="L5369" t="s">
        <v>6695</v>
      </c>
      <c r="S5369" t="s">
        <v>6694</v>
      </c>
      <c r="U5369" t="s">
        <v>6694</v>
      </c>
      <c r="W5369" t="s">
        <v>6720</v>
      </c>
    </row>
    <row r="5370" spans="1:23" ht="15.6" x14ac:dyDescent="0.4">
      <c r="A5370" s="2" t="s">
        <v>4401</v>
      </c>
      <c r="B5370" s="5" t="s">
        <v>11414</v>
      </c>
      <c r="C5370" s="7" t="s">
        <v>12556</v>
      </c>
      <c r="D5370" s="8">
        <f t="shared" si="336"/>
        <v>0</v>
      </c>
      <c r="E5370" s="7" t="s">
        <v>12557</v>
      </c>
      <c r="F5370" s="7">
        <f t="shared" si="337"/>
        <v>2</v>
      </c>
      <c r="G5370" s="7" t="s">
        <v>12558</v>
      </c>
      <c r="H5370" s="7">
        <f t="shared" si="338"/>
        <v>0</v>
      </c>
      <c r="I5370" s="7" cm="1">
        <f t="array" ref="I5370">IFERROR(_xlfn.IFS(M5370="נח",1,M5370="נע ונח",1,M5370="שני שווא נח",2,M5370="שני שוואים בסוף מילה",2,M5370="שני שוואים ברצף",1),"0")</f>
        <v>1</v>
      </c>
      <c r="J5370" s="9">
        <f t="shared" si="339"/>
        <v>3</v>
      </c>
      <c r="K5370" t="s">
        <v>6698</v>
      </c>
      <c r="L5370" t="s">
        <v>6694</v>
      </c>
      <c r="M5370" t="s">
        <v>6705</v>
      </c>
      <c r="O5370" t="s">
        <v>6694</v>
      </c>
      <c r="P5370" t="s">
        <v>6694</v>
      </c>
      <c r="S5370" t="s">
        <v>6694</v>
      </c>
      <c r="W5370" t="s">
        <v>6720</v>
      </c>
    </row>
    <row r="5371" spans="1:23" ht="15.6" x14ac:dyDescent="0.4">
      <c r="A5371" s="2" t="s">
        <v>1524</v>
      </c>
      <c r="B5371" s="5" t="s">
        <v>11461</v>
      </c>
      <c r="C5371" s="7" t="s">
        <v>12556</v>
      </c>
      <c r="D5371" s="8">
        <f t="shared" si="336"/>
        <v>0</v>
      </c>
      <c r="E5371" s="7" t="s">
        <v>12557</v>
      </c>
      <c r="F5371" s="7">
        <f t="shared" si="337"/>
        <v>0</v>
      </c>
      <c r="G5371" s="7" t="s">
        <v>12558</v>
      </c>
      <c r="H5371" s="7">
        <f t="shared" si="338"/>
        <v>0</v>
      </c>
      <c r="I5371" s="7" t="str" cm="1">
        <f t="array" ref="I5371">IFERROR(_xlfn.IFS(M5371="נח",1,M5371="נע ונח",1,M5371="שני שווא נח",2,M5371="שני שוואים בסוף מילה",2,M5371="שני שוואים ברצף",1),"0")</f>
        <v>0</v>
      </c>
      <c r="J5371" s="9">
        <f t="shared" si="339"/>
        <v>1</v>
      </c>
      <c r="K5371" t="s">
        <v>6698</v>
      </c>
      <c r="L5371" t="s">
        <v>6695</v>
      </c>
      <c r="S5371" t="s">
        <v>6694</v>
      </c>
      <c r="W5371" t="s">
        <v>6720</v>
      </c>
    </row>
    <row r="5372" spans="1:23" ht="15.6" x14ac:dyDescent="0.4">
      <c r="A5372" s="2" t="s">
        <v>121</v>
      </c>
      <c r="B5372" s="5" t="s">
        <v>11462</v>
      </c>
      <c r="C5372" s="7" t="s">
        <v>12556</v>
      </c>
      <c r="D5372" s="8">
        <f t="shared" si="336"/>
        <v>0</v>
      </c>
      <c r="E5372" s="7" t="s">
        <v>12557</v>
      </c>
      <c r="F5372" s="7">
        <f t="shared" si="337"/>
        <v>0</v>
      </c>
      <c r="G5372" s="7" t="s">
        <v>12558</v>
      </c>
      <c r="H5372" s="7">
        <f t="shared" si="338"/>
        <v>0</v>
      </c>
      <c r="I5372" s="7" t="str" cm="1">
        <f t="array" ref="I5372">IFERROR(_xlfn.IFS(M5372="נח",1,M5372="נע ונח",1,M5372="שני שווא נח",2,M5372="שני שוואים בסוף מילה",2,M5372="שני שוואים ברצף",1),"0")</f>
        <v>0</v>
      </c>
      <c r="J5372" s="9">
        <f t="shared" si="339"/>
        <v>1</v>
      </c>
      <c r="K5372" t="s">
        <v>6698</v>
      </c>
      <c r="L5372" t="s">
        <v>6695</v>
      </c>
      <c r="S5372" t="s">
        <v>6694</v>
      </c>
      <c r="W5372" t="s">
        <v>6720</v>
      </c>
    </row>
    <row r="5373" spans="1:23" ht="15.6" x14ac:dyDescent="0.4">
      <c r="A5373" s="2" t="s">
        <v>848</v>
      </c>
      <c r="B5373" s="5" t="s">
        <v>11463</v>
      </c>
      <c r="C5373" s="7" t="s">
        <v>12556</v>
      </c>
      <c r="D5373" s="8">
        <f t="shared" si="336"/>
        <v>0</v>
      </c>
      <c r="E5373" s="7" t="s">
        <v>12557</v>
      </c>
      <c r="F5373" s="7">
        <f t="shared" si="337"/>
        <v>1</v>
      </c>
      <c r="G5373" s="7" t="s">
        <v>12558</v>
      </c>
      <c r="H5373" s="7">
        <f t="shared" si="338"/>
        <v>0</v>
      </c>
      <c r="I5373" s="7" cm="1">
        <f t="array" ref="I5373">IFERROR(_xlfn.IFS(M5373="נח",1,M5373="נע ונח",1,M5373="שני שווא נח",2,M5373="שני שוואים בסוף מילה",2,M5373="שני שוואים ברצף",1),"0")</f>
        <v>1</v>
      </c>
      <c r="J5373" s="9">
        <f t="shared" si="339"/>
        <v>2</v>
      </c>
      <c r="K5373" t="s">
        <v>6697</v>
      </c>
      <c r="L5373" t="s">
        <v>6694</v>
      </c>
      <c r="M5373" t="s">
        <v>6705</v>
      </c>
      <c r="O5373" t="s">
        <v>6694</v>
      </c>
      <c r="S5373" t="s">
        <v>6694</v>
      </c>
      <c r="W5373" t="s">
        <v>6720</v>
      </c>
    </row>
    <row r="5374" spans="1:23" ht="15.6" x14ac:dyDescent="0.4">
      <c r="A5374" s="2" t="s">
        <v>3582</v>
      </c>
      <c r="B5374" s="5" t="s">
        <v>11464</v>
      </c>
      <c r="C5374" s="7" t="s">
        <v>12556</v>
      </c>
      <c r="D5374" s="8">
        <f t="shared" si="336"/>
        <v>0</v>
      </c>
      <c r="E5374" s="7" t="s">
        <v>12557</v>
      </c>
      <c r="F5374" s="7">
        <f t="shared" si="337"/>
        <v>1</v>
      </c>
      <c r="G5374" s="7" t="s">
        <v>12558</v>
      </c>
      <c r="H5374" s="7">
        <f t="shared" si="338"/>
        <v>0</v>
      </c>
      <c r="I5374" s="7" t="str" cm="1">
        <f t="array" ref="I5374">IFERROR(_xlfn.IFS(M5374="נח",1,M5374="נע ונח",1,M5374="שני שווא נח",2,M5374="שני שוואים בסוף מילה",2,M5374="שני שוואים ברצף",1),"0")</f>
        <v>0</v>
      </c>
      <c r="J5374" s="9">
        <f t="shared" si="339"/>
        <v>2</v>
      </c>
      <c r="K5374" t="s">
        <v>6697</v>
      </c>
      <c r="L5374" t="s">
        <v>6695</v>
      </c>
      <c r="S5374" t="s">
        <v>6694</v>
      </c>
      <c r="W5374" t="s">
        <v>6720</v>
      </c>
    </row>
    <row r="5375" spans="1:23" ht="15.6" x14ac:dyDescent="0.4">
      <c r="A5375" s="2" t="s">
        <v>784</v>
      </c>
      <c r="B5375" s="5" t="s">
        <v>11465</v>
      </c>
      <c r="C5375" s="7" t="s">
        <v>12556</v>
      </c>
      <c r="D5375" s="8">
        <f t="shared" si="336"/>
        <v>0</v>
      </c>
      <c r="E5375" s="7" t="s">
        <v>12557</v>
      </c>
      <c r="F5375" s="7">
        <f t="shared" si="337"/>
        <v>1</v>
      </c>
      <c r="G5375" s="7" t="s">
        <v>12558</v>
      </c>
      <c r="H5375" s="7">
        <f t="shared" si="338"/>
        <v>0</v>
      </c>
      <c r="I5375" s="7" t="str" cm="1">
        <f t="array" ref="I5375">IFERROR(_xlfn.IFS(M5375="נח",1,M5375="נע ונח",1,M5375="שני שווא נח",2,M5375="שני שוואים בסוף מילה",2,M5375="שני שוואים ברצף",1),"0")</f>
        <v>0</v>
      </c>
      <c r="J5375" s="9">
        <f t="shared" si="339"/>
        <v>3</v>
      </c>
      <c r="K5375" t="s">
        <v>6697</v>
      </c>
      <c r="L5375" t="s">
        <v>6695</v>
      </c>
      <c r="O5375" t="s">
        <v>6694</v>
      </c>
      <c r="S5375" t="s">
        <v>6694</v>
      </c>
      <c r="W5375" t="s">
        <v>6720</v>
      </c>
    </row>
    <row r="5376" spans="1:23" ht="15.6" x14ac:dyDescent="0.4">
      <c r="A5376" s="2" t="s">
        <v>3480</v>
      </c>
      <c r="B5376" s="5" t="s">
        <v>11463</v>
      </c>
      <c r="C5376" s="7" t="s">
        <v>12556</v>
      </c>
      <c r="D5376" s="8">
        <f t="shared" si="336"/>
        <v>0</v>
      </c>
      <c r="E5376" s="7" t="s">
        <v>12557</v>
      </c>
      <c r="F5376" s="7">
        <f t="shared" si="337"/>
        <v>1</v>
      </c>
      <c r="G5376" s="7" t="s">
        <v>12558</v>
      </c>
      <c r="H5376" s="7">
        <f t="shared" si="338"/>
        <v>0</v>
      </c>
      <c r="I5376" s="7" cm="1">
        <f t="array" ref="I5376">IFERROR(_xlfn.IFS(M5376="נח",1,M5376="נע ונח",1,M5376="שני שווא נח",2,M5376="שני שוואים בסוף מילה",2,M5376="שני שוואים ברצף",1),"0")</f>
        <v>1</v>
      </c>
      <c r="J5376" s="9">
        <f t="shared" si="339"/>
        <v>2</v>
      </c>
      <c r="K5376" t="s">
        <v>6698</v>
      </c>
      <c r="L5376" t="s">
        <v>6694</v>
      </c>
      <c r="M5376" t="s">
        <v>6705</v>
      </c>
      <c r="N5376" t="s">
        <v>6706</v>
      </c>
      <c r="O5376" t="s">
        <v>6694</v>
      </c>
      <c r="S5376" t="s">
        <v>6694</v>
      </c>
      <c r="W5376" t="s">
        <v>6720</v>
      </c>
    </row>
    <row r="5377" spans="1:23" ht="15.6" x14ac:dyDescent="0.4">
      <c r="A5377" s="2" t="s">
        <v>3784</v>
      </c>
      <c r="B5377" s="5" t="s">
        <v>11466</v>
      </c>
      <c r="C5377" s="7" t="s">
        <v>12556</v>
      </c>
      <c r="D5377" s="8">
        <f t="shared" si="336"/>
        <v>0</v>
      </c>
      <c r="E5377" s="7" t="s">
        <v>12557</v>
      </c>
      <c r="F5377" s="7">
        <f t="shared" si="337"/>
        <v>2</v>
      </c>
      <c r="G5377" s="7" t="s">
        <v>12558</v>
      </c>
      <c r="H5377" s="7">
        <f t="shared" si="338"/>
        <v>1</v>
      </c>
      <c r="I5377" s="7" t="str" cm="1">
        <f t="array" ref="I5377">IFERROR(_xlfn.IFS(M5377="נח",1,M5377="נע ונח",1,M5377="שני שווא נח",2,M5377="שני שוואים בסוף מילה",2,M5377="שני שוואים ברצף",1),"0")</f>
        <v>0</v>
      </c>
      <c r="J5377" s="9">
        <f t="shared" si="339"/>
        <v>3</v>
      </c>
      <c r="K5377" t="s">
        <v>6697</v>
      </c>
      <c r="L5377" t="s">
        <v>6695</v>
      </c>
      <c r="O5377" t="s">
        <v>6694</v>
      </c>
      <c r="S5377" t="s">
        <v>6694</v>
      </c>
      <c r="U5377" t="s">
        <v>6694</v>
      </c>
      <c r="W5377" t="s">
        <v>6720</v>
      </c>
    </row>
    <row r="5378" spans="1:23" ht="15.6" x14ac:dyDescent="0.4">
      <c r="A5378" s="2" t="s">
        <v>2016</v>
      </c>
      <c r="B5378" s="5" t="s">
        <v>11467</v>
      </c>
      <c r="C5378" s="7" t="s">
        <v>12556</v>
      </c>
      <c r="D5378" s="8">
        <f t="shared" si="336"/>
        <v>0</v>
      </c>
      <c r="E5378" s="7" t="s">
        <v>12557</v>
      </c>
      <c r="F5378" s="7">
        <f t="shared" si="337"/>
        <v>1</v>
      </c>
      <c r="G5378" s="7" t="s">
        <v>12558</v>
      </c>
      <c r="H5378" s="7">
        <f t="shared" si="338"/>
        <v>0</v>
      </c>
      <c r="I5378" s="7" t="str" cm="1">
        <f t="array" ref="I5378">IFERROR(_xlfn.IFS(M5378="נח",1,M5378="נע ונח",1,M5378="שני שווא נח",2,M5378="שני שוואים בסוף מילה",2,M5378="שני שוואים ברצף",1),"0")</f>
        <v>0</v>
      </c>
      <c r="J5378" s="9">
        <f t="shared" si="339"/>
        <v>2</v>
      </c>
      <c r="K5378" t="s">
        <v>6697</v>
      </c>
      <c r="L5378" t="s">
        <v>6695</v>
      </c>
      <c r="S5378" t="s">
        <v>6694</v>
      </c>
      <c r="V5378" t="s">
        <v>6694</v>
      </c>
      <c r="W5378" t="s">
        <v>6720</v>
      </c>
    </row>
    <row r="5379" spans="1:23" ht="15.6" x14ac:dyDescent="0.4">
      <c r="A5379" s="2" t="s">
        <v>999</v>
      </c>
      <c r="B5379" s="5" t="s">
        <v>11468</v>
      </c>
      <c r="C5379" s="7" t="s">
        <v>12556</v>
      </c>
      <c r="D5379" s="8">
        <f t="shared" ref="D5379:D5442" si="340">(LEN(B5379)-LEN(SUBSTITUTE(B5379,C5379,"")))</f>
        <v>0</v>
      </c>
      <c r="E5379" s="7" t="s">
        <v>12557</v>
      </c>
      <c r="F5379" s="7">
        <f t="shared" ref="F5379:F5442" si="341">(LEN(A5379)-LEN(SUBSTITUTE(A5379,E5379,"")))</f>
        <v>1</v>
      </c>
      <c r="G5379" s="7" t="s">
        <v>12558</v>
      </c>
      <c r="H5379" s="7">
        <f t="shared" ref="H5379:H5442" si="342">(LEN(A5379)-LEN(SUBSTITUTE(A5379,G5379,"")))/2</f>
        <v>0</v>
      </c>
      <c r="I5379" s="7" t="str" cm="1">
        <f t="array" ref="I5379">IFERROR(_xlfn.IFS(M5379="נח",1,M5379="נע ונח",1,M5379="שני שווא נח",2,M5379="שני שוואים בסוף מילה",2,M5379="שני שוואים ברצף",1),"0")</f>
        <v>0</v>
      </c>
      <c r="J5379" s="9">
        <f t="shared" ref="J5379:J5442" si="343">LEN(A5379)-(LEN(B5379))-D5379-F5379+H5379-I5379</f>
        <v>3</v>
      </c>
      <c r="K5379" t="s">
        <v>6697</v>
      </c>
      <c r="L5379" t="s">
        <v>6695</v>
      </c>
      <c r="Q5379" t="s">
        <v>6694</v>
      </c>
      <c r="S5379" t="s">
        <v>6694</v>
      </c>
      <c r="W5379" t="s">
        <v>6720</v>
      </c>
    </row>
    <row r="5380" spans="1:23" ht="15.6" x14ac:dyDescent="0.4">
      <c r="A5380" s="2" t="s">
        <v>1653</v>
      </c>
      <c r="B5380" s="5" t="s">
        <v>11392</v>
      </c>
      <c r="C5380" s="7" t="s">
        <v>12556</v>
      </c>
      <c r="D5380" s="8">
        <f t="shared" si="340"/>
        <v>0</v>
      </c>
      <c r="E5380" s="7" t="s">
        <v>12557</v>
      </c>
      <c r="F5380" s="7">
        <f t="shared" si="341"/>
        <v>2</v>
      </c>
      <c r="G5380" s="7" t="s">
        <v>12558</v>
      </c>
      <c r="H5380" s="7">
        <f t="shared" si="342"/>
        <v>1</v>
      </c>
      <c r="I5380" s="7" t="str" cm="1">
        <f t="array" ref="I5380">IFERROR(_xlfn.IFS(M5380="נח",1,M5380="נע ונח",1,M5380="שני שווא נח",2,M5380="שני שוואים בסוף מילה",2,M5380="שני שוואים ברצף",1),"0")</f>
        <v>0</v>
      </c>
      <c r="J5380" s="9">
        <f t="shared" si="343"/>
        <v>2</v>
      </c>
      <c r="K5380" t="s">
        <v>6697</v>
      </c>
      <c r="L5380" t="s">
        <v>6695</v>
      </c>
      <c r="S5380" t="s">
        <v>6694</v>
      </c>
      <c r="U5380" t="s">
        <v>6694</v>
      </c>
      <c r="W5380" t="s">
        <v>6720</v>
      </c>
    </row>
    <row r="5381" spans="1:23" ht="15.6" x14ac:dyDescent="0.4">
      <c r="A5381" s="2" t="s">
        <v>2026</v>
      </c>
      <c r="B5381" s="5" t="s">
        <v>11469</v>
      </c>
      <c r="C5381" s="7" t="s">
        <v>12556</v>
      </c>
      <c r="D5381" s="8">
        <f t="shared" si="340"/>
        <v>1</v>
      </c>
      <c r="E5381" s="7" t="s">
        <v>12557</v>
      </c>
      <c r="F5381" s="7">
        <f t="shared" si="341"/>
        <v>1</v>
      </c>
      <c r="G5381" s="7" t="s">
        <v>12558</v>
      </c>
      <c r="H5381" s="7">
        <f t="shared" si="342"/>
        <v>0</v>
      </c>
      <c r="I5381" s="7" t="str" cm="1">
        <f t="array" ref="I5381">IFERROR(_xlfn.IFS(M5381="נח",1,M5381="נע ונח",1,M5381="שני שווא נח",2,M5381="שני שוואים בסוף מילה",2,M5381="שני שוואים ברצף",1),"0")</f>
        <v>0</v>
      </c>
      <c r="J5381" s="9">
        <f t="shared" si="343"/>
        <v>2</v>
      </c>
      <c r="K5381" t="s">
        <v>6698</v>
      </c>
      <c r="L5381" t="s">
        <v>6695</v>
      </c>
      <c r="Q5381" t="s">
        <v>6694</v>
      </c>
      <c r="S5381" t="s">
        <v>6694</v>
      </c>
      <c r="W5381" t="s">
        <v>6720</v>
      </c>
    </row>
    <row r="5382" spans="1:23" ht="15.6" x14ac:dyDescent="0.4">
      <c r="A5382" s="2" t="s">
        <v>4875</v>
      </c>
      <c r="B5382" s="5" t="s">
        <v>11470</v>
      </c>
      <c r="C5382" s="7" t="s">
        <v>12556</v>
      </c>
      <c r="D5382" s="8">
        <f t="shared" si="340"/>
        <v>0</v>
      </c>
      <c r="E5382" s="7" t="s">
        <v>12557</v>
      </c>
      <c r="F5382" s="7">
        <f t="shared" si="341"/>
        <v>1</v>
      </c>
      <c r="G5382" s="7" t="s">
        <v>12558</v>
      </c>
      <c r="H5382" s="7">
        <f t="shared" si="342"/>
        <v>0</v>
      </c>
      <c r="I5382" s="7" t="str" cm="1">
        <f t="array" ref="I5382">IFERROR(_xlfn.IFS(M5382="נח",1,M5382="נע ונח",1,M5382="שני שווא נח",2,M5382="שני שוואים בסוף מילה",2,M5382="שני שוואים ברצף",1),"0")</f>
        <v>0</v>
      </c>
      <c r="J5382" s="9">
        <f t="shared" si="343"/>
        <v>2</v>
      </c>
      <c r="K5382" t="s">
        <v>6698</v>
      </c>
      <c r="L5382" t="s">
        <v>6695</v>
      </c>
      <c r="N5382" t="s">
        <v>6706</v>
      </c>
      <c r="O5382" t="s">
        <v>6694</v>
      </c>
      <c r="S5382" t="s">
        <v>6694</v>
      </c>
      <c r="W5382" t="s">
        <v>6720</v>
      </c>
    </row>
    <row r="5383" spans="1:23" ht="15.6" x14ac:dyDescent="0.4">
      <c r="A5383" s="2" t="s">
        <v>3403</v>
      </c>
      <c r="B5383" s="5" t="s">
        <v>11471</v>
      </c>
      <c r="C5383" s="7" t="s">
        <v>12556</v>
      </c>
      <c r="D5383" s="8">
        <f t="shared" si="340"/>
        <v>0</v>
      </c>
      <c r="E5383" s="7" t="s">
        <v>12557</v>
      </c>
      <c r="F5383" s="7">
        <f t="shared" si="341"/>
        <v>1</v>
      </c>
      <c r="G5383" s="7" t="s">
        <v>12558</v>
      </c>
      <c r="H5383" s="7">
        <f t="shared" si="342"/>
        <v>0</v>
      </c>
      <c r="I5383" s="7" t="str" cm="1">
        <f t="array" ref="I5383">IFERROR(_xlfn.IFS(M5383="נח",1,M5383="נע ונח",1,M5383="שני שווא נח",2,M5383="שני שוואים בסוף מילה",2,M5383="שני שוואים ברצף",1),"0")</f>
        <v>0</v>
      </c>
      <c r="J5383" s="9">
        <f t="shared" si="343"/>
        <v>3</v>
      </c>
      <c r="K5383" t="s">
        <v>6698</v>
      </c>
      <c r="L5383" t="s">
        <v>6695</v>
      </c>
      <c r="N5383" t="s">
        <v>6706</v>
      </c>
      <c r="O5383" t="s">
        <v>6694</v>
      </c>
      <c r="S5383" t="s">
        <v>6694</v>
      </c>
      <c r="V5383" t="s">
        <v>6694</v>
      </c>
      <c r="W5383" t="s">
        <v>6720</v>
      </c>
    </row>
    <row r="5384" spans="1:23" ht="15.6" x14ac:dyDescent="0.4">
      <c r="A5384" s="2" t="s">
        <v>1086</v>
      </c>
      <c r="B5384" s="5" t="s">
        <v>11472</v>
      </c>
      <c r="C5384" s="7" t="s">
        <v>12556</v>
      </c>
      <c r="D5384" s="8">
        <f t="shared" si="340"/>
        <v>0</v>
      </c>
      <c r="E5384" s="7" t="s">
        <v>12557</v>
      </c>
      <c r="F5384" s="7">
        <f t="shared" si="341"/>
        <v>0</v>
      </c>
      <c r="G5384" s="7" t="s">
        <v>12558</v>
      </c>
      <c r="H5384" s="7">
        <f t="shared" si="342"/>
        <v>0</v>
      </c>
      <c r="I5384" s="7" t="str" cm="1">
        <f t="array" ref="I5384">IFERROR(_xlfn.IFS(M5384="נח",1,M5384="נע ונח",1,M5384="שני שווא נח",2,M5384="שני שוואים בסוף מילה",2,M5384="שני שוואים ברצף",1),"0")</f>
        <v>0</v>
      </c>
      <c r="J5384" s="9">
        <f t="shared" si="343"/>
        <v>2</v>
      </c>
      <c r="K5384" t="s">
        <v>6698</v>
      </c>
      <c r="L5384" t="s">
        <v>6695</v>
      </c>
      <c r="Q5384" t="s">
        <v>6694</v>
      </c>
      <c r="R5384" t="s">
        <v>6694</v>
      </c>
      <c r="W5384" t="s">
        <v>6720</v>
      </c>
    </row>
    <row r="5385" spans="1:23" ht="15.6" x14ac:dyDescent="0.4">
      <c r="A5385" s="2" t="s">
        <v>246</v>
      </c>
      <c r="B5385" s="5" t="s">
        <v>11473</v>
      </c>
      <c r="C5385" s="7" t="s">
        <v>12556</v>
      </c>
      <c r="D5385" s="8">
        <f t="shared" si="340"/>
        <v>0</v>
      </c>
      <c r="E5385" s="7" t="s">
        <v>12557</v>
      </c>
      <c r="F5385" s="7">
        <f t="shared" si="341"/>
        <v>0</v>
      </c>
      <c r="G5385" s="7" t="s">
        <v>12558</v>
      </c>
      <c r="H5385" s="7">
        <f t="shared" si="342"/>
        <v>0</v>
      </c>
      <c r="I5385" s="7" cm="1">
        <f t="array" ref="I5385">IFERROR(_xlfn.IFS(M5385="נח",1,M5385="נע ונח",1,M5385="שני שווא נח",2,M5385="שני שוואים בסוף מילה",2,M5385="שני שוואים ברצף",1),"0")</f>
        <v>1</v>
      </c>
      <c r="J5385" s="9">
        <f t="shared" si="343"/>
        <v>4</v>
      </c>
      <c r="K5385" t="s">
        <v>6697</v>
      </c>
      <c r="L5385" t="s">
        <v>6694</v>
      </c>
      <c r="M5385" t="s">
        <v>6705</v>
      </c>
      <c r="O5385" t="s">
        <v>6694</v>
      </c>
      <c r="Q5385" t="s">
        <v>6694</v>
      </c>
      <c r="R5385" t="s">
        <v>6694</v>
      </c>
      <c r="V5385" t="s">
        <v>6694</v>
      </c>
      <c r="W5385" t="s">
        <v>6720</v>
      </c>
    </row>
    <row r="5386" spans="1:23" ht="15.6" x14ac:dyDescent="0.4">
      <c r="A5386" s="2" t="s">
        <v>990</v>
      </c>
      <c r="B5386" s="5" t="s">
        <v>11398</v>
      </c>
      <c r="C5386" s="7" t="s">
        <v>12556</v>
      </c>
      <c r="D5386" s="8">
        <f t="shared" si="340"/>
        <v>0</v>
      </c>
      <c r="E5386" s="7" t="s">
        <v>12557</v>
      </c>
      <c r="F5386" s="7">
        <f t="shared" si="341"/>
        <v>0</v>
      </c>
      <c r="G5386" s="7" t="s">
        <v>12558</v>
      </c>
      <c r="H5386" s="7">
        <f t="shared" si="342"/>
        <v>0</v>
      </c>
      <c r="I5386" s="7" t="str" cm="1">
        <f t="array" ref="I5386">IFERROR(_xlfn.IFS(M5386="נח",1,M5386="נע ונח",1,M5386="שני שווא נח",2,M5386="שני שוואים בסוף מילה",2,M5386="שני שוואים ברצף",1),"0")</f>
        <v>0</v>
      </c>
      <c r="J5386" s="9">
        <f t="shared" si="343"/>
        <v>2</v>
      </c>
      <c r="K5386" t="s">
        <v>6698</v>
      </c>
      <c r="L5386" t="s">
        <v>6695</v>
      </c>
      <c r="Q5386" t="s">
        <v>6694</v>
      </c>
      <c r="W5386" t="s">
        <v>6720</v>
      </c>
    </row>
    <row r="5387" spans="1:23" ht="15.6" x14ac:dyDescent="0.4">
      <c r="A5387" s="2" t="s">
        <v>278</v>
      </c>
      <c r="B5387" s="5" t="s">
        <v>11474</v>
      </c>
      <c r="C5387" s="7" t="s">
        <v>12556</v>
      </c>
      <c r="D5387" s="8">
        <f t="shared" si="340"/>
        <v>0</v>
      </c>
      <c r="E5387" s="7" t="s">
        <v>12557</v>
      </c>
      <c r="F5387" s="7">
        <f t="shared" si="341"/>
        <v>0</v>
      </c>
      <c r="G5387" s="7" t="s">
        <v>12558</v>
      </c>
      <c r="H5387" s="7">
        <f t="shared" si="342"/>
        <v>0</v>
      </c>
      <c r="I5387" s="7" t="str" cm="1">
        <f t="array" ref="I5387">IFERROR(_xlfn.IFS(M5387="נח",1,M5387="נע ונח",1,M5387="שני שווא נח",2,M5387="שני שוואים בסוף מילה",2,M5387="שני שוואים ברצף",1),"0")</f>
        <v>0</v>
      </c>
      <c r="J5387" s="9">
        <f t="shared" si="343"/>
        <v>4</v>
      </c>
      <c r="K5387" t="s">
        <v>6697</v>
      </c>
      <c r="L5387" t="s">
        <v>6695</v>
      </c>
      <c r="O5387" t="s">
        <v>6694</v>
      </c>
      <c r="Q5387" t="s">
        <v>6694</v>
      </c>
      <c r="R5387" t="s">
        <v>6694</v>
      </c>
      <c r="V5387" t="s">
        <v>6694</v>
      </c>
      <c r="W5387" t="s">
        <v>6720</v>
      </c>
    </row>
    <row r="5388" spans="1:23" ht="15.6" x14ac:dyDescent="0.4">
      <c r="A5388" s="2" t="s">
        <v>204</v>
      </c>
      <c r="B5388" s="5" t="s">
        <v>11475</v>
      </c>
      <c r="C5388" s="7" t="s">
        <v>12556</v>
      </c>
      <c r="D5388" s="8">
        <f t="shared" si="340"/>
        <v>0</v>
      </c>
      <c r="E5388" s="7" t="s">
        <v>12557</v>
      </c>
      <c r="F5388" s="7">
        <f t="shared" si="341"/>
        <v>0</v>
      </c>
      <c r="G5388" s="7" t="s">
        <v>12558</v>
      </c>
      <c r="H5388" s="7">
        <f t="shared" si="342"/>
        <v>0</v>
      </c>
      <c r="I5388" s="7" t="str" cm="1">
        <f t="array" ref="I5388">IFERROR(_xlfn.IFS(M5388="נח",1,M5388="נע ונח",1,M5388="שני שווא נח",2,M5388="שני שוואים בסוף מילה",2,M5388="שני שוואים ברצף",1),"0")</f>
        <v>0</v>
      </c>
      <c r="J5388" s="9">
        <f t="shared" si="343"/>
        <v>3</v>
      </c>
      <c r="K5388" t="s">
        <v>6698</v>
      </c>
      <c r="L5388" t="s">
        <v>6695</v>
      </c>
      <c r="N5388" t="s">
        <v>6706</v>
      </c>
      <c r="O5388" t="s">
        <v>6694</v>
      </c>
      <c r="Q5388" t="s">
        <v>6694</v>
      </c>
      <c r="V5388" t="s">
        <v>6694</v>
      </c>
      <c r="W5388" t="s">
        <v>6720</v>
      </c>
    </row>
    <row r="5389" spans="1:23" ht="15.6" x14ac:dyDescent="0.4">
      <c r="A5389" s="2" t="s">
        <v>3279</v>
      </c>
      <c r="B5389" s="5" t="s">
        <v>11476</v>
      </c>
      <c r="C5389" s="7" t="s">
        <v>12556</v>
      </c>
      <c r="D5389" s="8">
        <f t="shared" si="340"/>
        <v>0</v>
      </c>
      <c r="E5389" s="7" t="s">
        <v>12557</v>
      </c>
      <c r="F5389" s="7">
        <f t="shared" si="341"/>
        <v>1</v>
      </c>
      <c r="G5389" s="7" t="s">
        <v>12558</v>
      </c>
      <c r="H5389" s="7">
        <f t="shared" si="342"/>
        <v>1</v>
      </c>
      <c r="I5389" s="7" t="str" cm="1">
        <f t="array" ref="I5389">IFERROR(_xlfn.IFS(M5389="נח",1,M5389="נע ונח",1,M5389="שני שווא נח",2,M5389="שני שוואים בסוף מילה",2,M5389="שני שוואים ברצף",1),"0")</f>
        <v>0</v>
      </c>
      <c r="J5389" s="9">
        <f t="shared" si="343"/>
        <v>2</v>
      </c>
      <c r="K5389" t="s">
        <v>6698</v>
      </c>
      <c r="L5389" t="s">
        <v>6695</v>
      </c>
      <c r="Q5389" t="s">
        <v>6694</v>
      </c>
      <c r="U5389" t="s">
        <v>6694</v>
      </c>
      <c r="W5389" t="s">
        <v>6720</v>
      </c>
    </row>
    <row r="5390" spans="1:23" ht="15.6" x14ac:dyDescent="0.4">
      <c r="A5390" s="2" t="s">
        <v>5829</v>
      </c>
      <c r="B5390" s="5" t="s">
        <v>11477</v>
      </c>
      <c r="C5390" s="7" t="s">
        <v>12556</v>
      </c>
      <c r="D5390" s="8">
        <f t="shared" si="340"/>
        <v>0</v>
      </c>
      <c r="E5390" s="7" t="s">
        <v>12557</v>
      </c>
      <c r="F5390" s="7">
        <f t="shared" si="341"/>
        <v>0</v>
      </c>
      <c r="G5390" s="7" t="s">
        <v>12558</v>
      </c>
      <c r="H5390" s="7">
        <f t="shared" si="342"/>
        <v>0</v>
      </c>
      <c r="I5390" s="7" t="str" cm="1">
        <f t="array" ref="I5390">IFERROR(_xlfn.IFS(M5390="נח",1,M5390="נע ונח",1,M5390="שני שווא נח",2,M5390="שני שוואים בסוף מילה",2,M5390="שני שוואים ברצף",1),"0")</f>
        <v>0</v>
      </c>
      <c r="J5390" s="9">
        <f t="shared" si="343"/>
        <v>2</v>
      </c>
      <c r="K5390" t="s">
        <v>6698</v>
      </c>
      <c r="L5390" t="s">
        <v>6695</v>
      </c>
      <c r="Q5390" t="s">
        <v>6694</v>
      </c>
      <c r="R5390" t="s">
        <v>6694</v>
      </c>
      <c r="W5390" t="s">
        <v>6720</v>
      </c>
    </row>
    <row r="5391" spans="1:23" ht="15.6" x14ac:dyDescent="0.4">
      <c r="A5391" s="2" t="s">
        <v>3681</v>
      </c>
      <c r="B5391" s="5" t="s">
        <v>11478</v>
      </c>
      <c r="C5391" s="7" t="s">
        <v>12556</v>
      </c>
      <c r="D5391" s="8">
        <f t="shared" si="340"/>
        <v>0</v>
      </c>
      <c r="E5391" s="7" t="s">
        <v>12557</v>
      </c>
      <c r="F5391" s="7">
        <f t="shared" si="341"/>
        <v>0</v>
      </c>
      <c r="G5391" s="7" t="s">
        <v>12558</v>
      </c>
      <c r="H5391" s="7">
        <f t="shared" si="342"/>
        <v>0</v>
      </c>
      <c r="I5391" s="7" t="str" cm="1">
        <f t="array" ref="I5391">IFERROR(_xlfn.IFS(M5391="נח",1,M5391="נע ונח",1,M5391="שני שווא נח",2,M5391="שני שוואים בסוף מילה",2,M5391="שני שוואים ברצף",1),"0")</f>
        <v>0</v>
      </c>
      <c r="J5391" s="9">
        <f t="shared" si="343"/>
        <v>1</v>
      </c>
      <c r="K5391" t="s">
        <v>6698</v>
      </c>
      <c r="L5391" t="s">
        <v>6695</v>
      </c>
      <c r="Q5391" t="s">
        <v>6694</v>
      </c>
      <c r="W5391" t="s">
        <v>6720</v>
      </c>
    </row>
    <row r="5392" spans="1:23" ht="15.6" x14ac:dyDescent="0.4">
      <c r="A5392" s="2" t="s">
        <v>350</v>
      </c>
      <c r="B5392" s="5" t="s">
        <v>11479</v>
      </c>
      <c r="C5392" s="7" t="s">
        <v>12556</v>
      </c>
      <c r="D5392" s="8">
        <f t="shared" si="340"/>
        <v>0</v>
      </c>
      <c r="E5392" s="7" t="s">
        <v>12557</v>
      </c>
      <c r="F5392" s="7">
        <f t="shared" si="341"/>
        <v>0</v>
      </c>
      <c r="G5392" s="7" t="s">
        <v>12558</v>
      </c>
      <c r="H5392" s="7">
        <f t="shared" si="342"/>
        <v>0</v>
      </c>
      <c r="I5392" s="7" t="str" cm="1">
        <f t="array" ref="I5392">IFERROR(_xlfn.IFS(M5392="נח",1,M5392="נע ונח",1,M5392="שני שווא נח",2,M5392="שני שוואים בסוף מילה",2,M5392="שני שוואים ברצף",1),"0")</f>
        <v>0</v>
      </c>
      <c r="J5392" s="9">
        <f t="shared" si="343"/>
        <v>2</v>
      </c>
      <c r="K5392" t="s">
        <v>6697</v>
      </c>
      <c r="L5392" t="s">
        <v>6695</v>
      </c>
      <c r="Q5392" t="s">
        <v>6694</v>
      </c>
      <c r="S5392" t="s">
        <v>6694</v>
      </c>
      <c r="W5392" t="s">
        <v>6720</v>
      </c>
    </row>
    <row r="5393" spans="1:23" ht="15.6" x14ac:dyDescent="0.4">
      <c r="A5393" s="2" t="s">
        <v>2774</v>
      </c>
      <c r="B5393" s="5" t="s">
        <v>11479</v>
      </c>
      <c r="C5393" s="7" t="s">
        <v>12556</v>
      </c>
      <c r="D5393" s="8">
        <f t="shared" si="340"/>
        <v>0</v>
      </c>
      <c r="E5393" s="7" t="s">
        <v>12557</v>
      </c>
      <c r="F5393" s="7">
        <f t="shared" si="341"/>
        <v>0</v>
      </c>
      <c r="G5393" s="7" t="s">
        <v>12558</v>
      </c>
      <c r="H5393" s="7">
        <f t="shared" si="342"/>
        <v>0</v>
      </c>
      <c r="I5393" s="7" t="str" cm="1">
        <f t="array" ref="I5393">IFERROR(_xlfn.IFS(M5393="נח",1,M5393="נע ונח",1,M5393="שני שווא נח",2,M5393="שני שוואים בסוף מילה",2,M5393="שני שוואים ברצף",1),"0")</f>
        <v>0</v>
      </c>
      <c r="J5393" s="9">
        <f t="shared" si="343"/>
        <v>2</v>
      </c>
      <c r="K5393" t="s">
        <v>6698</v>
      </c>
      <c r="L5393" t="s">
        <v>6695</v>
      </c>
      <c r="Q5393" t="s">
        <v>6694</v>
      </c>
      <c r="W5393" t="s">
        <v>6720</v>
      </c>
    </row>
    <row r="5394" spans="1:23" ht="15.6" x14ac:dyDescent="0.4">
      <c r="A5394" s="2" t="s">
        <v>2126</v>
      </c>
      <c r="B5394" s="5" t="s">
        <v>11480</v>
      </c>
      <c r="C5394" s="7" t="s">
        <v>12556</v>
      </c>
      <c r="D5394" s="8">
        <f t="shared" si="340"/>
        <v>0</v>
      </c>
      <c r="E5394" s="7" t="s">
        <v>12557</v>
      </c>
      <c r="F5394" s="7">
        <f t="shared" si="341"/>
        <v>0</v>
      </c>
      <c r="G5394" s="7" t="s">
        <v>12558</v>
      </c>
      <c r="H5394" s="7">
        <f t="shared" si="342"/>
        <v>0</v>
      </c>
      <c r="I5394" s="7" t="str" cm="1">
        <f t="array" ref="I5394">IFERROR(_xlfn.IFS(M5394="נח",1,M5394="נע ונח",1,M5394="שני שווא נח",2,M5394="שני שוואים בסוף מילה",2,M5394="שני שוואים ברצף",1),"0")</f>
        <v>0</v>
      </c>
      <c r="J5394" s="9">
        <f t="shared" si="343"/>
        <v>3</v>
      </c>
      <c r="K5394" t="s">
        <v>6698</v>
      </c>
      <c r="L5394" t="s">
        <v>6695</v>
      </c>
      <c r="Q5394" t="s">
        <v>6694</v>
      </c>
      <c r="R5394" t="s">
        <v>6694</v>
      </c>
      <c r="W5394" t="s">
        <v>6720</v>
      </c>
    </row>
    <row r="5395" spans="1:23" ht="15.6" x14ac:dyDescent="0.4">
      <c r="A5395" s="2" t="s">
        <v>6198</v>
      </c>
      <c r="B5395" s="5" t="s">
        <v>11481</v>
      </c>
      <c r="C5395" s="7" t="s">
        <v>12556</v>
      </c>
      <c r="D5395" s="8">
        <f t="shared" si="340"/>
        <v>0</v>
      </c>
      <c r="E5395" s="7" t="s">
        <v>12557</v>
      </c>
      <c r="F5395" s="7">
        <f t="shared" si="341"/>
        <v>1</v>
      </c>
      <c r="G5395" s="7" t="s">
        <v>12558</v>
      </c>
      <c r="H5395" s="7">
        <f t="shared" si="342"/>
        <v>1</v>
      </c>
      <c r="I5395" s="7" t="str" cm="1">
        <f t="array" ref="I5395">IFERROR(_xlfn.IFS(M5395="נח",1,M5395="נע ונח",1,M5395="שני שווא נח",2,M5395="שני שוואים בסוף מילה",2,M5395="שני שוואים ברצף",1),"0")</f>
        <v>0</v>
      </c>
      <c r="J5395" s="9">
        <f t="shared" si="343"/>
        <v>3</v>
      </c>
      <c r="K5395" t="s">
        <v>6697</v>
      </c>
      <c r="L5395" t="s">
        <v>6695</v>
      </c>
      <c r="Q5395" t="s">
        <v>6694</v>
      </c>
      <c r="U5395" t="s">
        <v>6694</v>
      </c>
      <c r="W5395" t="s">
        <v>6720</v>
      </c>
    </row>
    <row r="5396" spans="1:23" ht="15.6" x14ac:dyDescent="0.4">
      <c r="A5396" s="2" t="s">
        <v>5397</v>
      </c>
      <c r="B5396" s="5" t="s">
        <v>11482</v>
      </c>
      <c r="C5396" s="7" t="s">
        <v>12556</v>
      </c>
      <c r="D5396" s="8">
        <f t="shared" si="340"/>
        <v>0</v>
      </c>
      <c r="E5396" s="7" t="s">
        <v>12557</v>
      </c>
      <c r="F5396" s="7">
        <f t="shared" si="341"/>
        <v>0</v>
      </c>
      <c r="G5396" s="7" t="s">
        <v>12558</v>
      </c>
      <c r="H5396" s="7">
        <f t="shared" si="342"/>
        <v>0</v>
      </c>
      <c r="I5396" s="7" t="str" cm="1">
        <f t="array" ref="I5396">IFERROR(_xlfn.IFS(M5396="נח",1,M5396="נע ונח",1,M5396="שני שווא נח",2,M5396="שני שוואים בסוף מילה",2,M5396="שני שוואים ברצף",1),"0")</f>
        <v>0</v>
      </c>
      <c r="J5396" s="9">
        <f t="shared" si="343"/>
        <v>3</v>
      </c>
      <c r="K5396" t="s">
        <v>6697</v>
      </c>
      <c r="L5396" t="s">
        <v>6695</v>
      </c>
      <c r="Q5396" t="s">
        <v>6694</v>
      </c>
      <c r="V5396" t="s">
        <v>6694</v>
      </c>
      <c r="W5396" t="s">
        <v>6720</v>
      </c>
    </row>
    <row r="5397" spans="1:23" ht="15.6" x14ac:dyDescent="0.4">
      <c r="A5397" s="2" t="s">
        <v>3163</v>
      </c>
      <c r="B5397" s="5" t="s">
        <v>11483</v>
      </c>
      <c r="C5397" s="7" t="s">
        <v>12556</v>
      </c>
      <c r="D5397" s="8">
        <f t="shared" si="340"/>
        <v>0</v>
      </c>
      <c r="E5397" s="7" t="s">
        <v>12557</v>
      </c>
      <c r="F5397" s="7">
        <f t="shared" si="341"/>
        <v>0</v>
      </c>
      <c r="G5397" s="7" t="s">
        <v>12558</v>
      </c>
      <c r="H5397" s="7">
        <f t="shared" si="342"/>
        <v>0</v>
      </c>
      <c r="I5397" s="7" t="str" cm="1">
        <f t="array" ref="I5397">IFERROR(_xlfn.IFS(M5397="נח",1,M5397="נע ונח",1,M5397="שני שווא נח",2,M5397="שני שוואים בסוף מילה",2,M5397="שני שוואים ברצף",1),"0")</f>
        <v>0</v>
      </c>
      <c r="J5397" s="9">
        <f t="shared" si="343"/>
        <v>3</v>
      </c>
      <c r="K5397" t="s">
        <v>6697</v>
      </c>
      <c r="L5397" t="s">
        <v>6695</v>
      </c>
      <c r="O5397" t="s">
        <v>6694</v>
      </c>
      <c r="Q5397" t="s">
        <v>6694</v>
      </c>
      <c r="R5397" t="s">
        <v>6694</v>
      </c>
      <c r="W5397" t="s">
        <v>6720</v>
      </c>
    </row>
    <row r="5398" spans="1:23" ht="15.6" x14ac:dyDescent="0.4">
      <c r="A5398" s="2" t="s">
        <v>260</v>
      </c>
      <c r="B5398" s="5" t="s">
        <v>11479</v>
      </c>
      <c r="C5398" s="7" t="s">
        <v>12556</v>
      </c>
      <c r="D5398" s="8">
        <f t="shared" si="340"/>
        <v>0</v>
      </c>
      <c r="E5398" s="7" t="s">
        <v>12557</v>
      </c>
      <c r="F5398" s="7">
        <f t="shared" si="341"/>
        <v>0</v>
      </c>
      <c r="G5398" s="7" t="s">
        <v>12558</v>
      </c>
      <c r="H5398" s="7">
        <f t="shared" si="342"/>
        <v>0</v>
      </c>
      <c r="I5398" s="7" t="str" cm="1">
        <f t="array" ref="I5398">IFERROR(_xlfn.IFS(M5398="נח",1,M5398="נע ונח",1,M5398="שני שווא נח",2,M5398="שני שוואים בסוף מילה",2,M5398="שני שוואים ברצף",1),"0")</f>
        <v>0</v>
      </c>
      <c r="J5398" s="9">
        <f t="shared" si="343"/>
        <v>2</v>
      </c>
      <c r="K5398" t="s">
        <v>6698</v>
      </c>
      <c r="L5398" t="s">
        <v>6695</v>
      </c>
      <c r="P5398" t="s">
        <v>6694</v>
      </c>
      <c r="Q5398" t="s">
        <v>6694</v>
      </c>
      <c r="W5398" t="s">
        <v>6720</v>
      </c>
    </row>
    <row r="5399" spans="1:23" ht="15.6" x14ac:dyDescent="0.4">
      <c r="A5399" s="2" t="s">
        <v>1289</v>
      </c>
      <c r="B5399" s="5" t="s">
        <v>11484</v>
      </c>
      <c r="C5399" s="7" t="s">
        <v>12556</v>
      </c>
      <c r="D5399" s="8">
        <f t="shared" si="340"/>
        <v>0</v>
      </c>
      <c r="E5399" s="7" t="s">
        <v>12557</v>
      </c>
      <c r="F5399" s="7">
        <f t="shared" si="341"/>
        <v>0</v>
      </c>
      <c r="G5399" s="7" t="s">
        <v>12558</v>
      </c>
      <c r="H5399" s="7">
        <f t="shared" si="342"/>
        <v>0</v>
      </c>
      <c r="I5399" s="7" t="str" cm="1">
        <f t="array" ref="I5399">IFERROR(_xlfn.IFS(M5399="נח",1,M5399="נע ונח",1,M5399="שני שווא נח",2,M5399="שני שוואים בסוף מילה",2,M5399="שני שוואים ברצף",1),"0")</f>
        <v>0</v>
      </c>
      <c r="J5399" s="9">
        <f t="shared" si="343"/>
        <v>3</v>
      </c>
      <c r="K5399" t="s">
        <v>6698</v>
      </c>
      <c r="L5399" t="s">
        <v>6695</v>
      </c>
      <c r="P5399" t="s">
        <v>6694</v>
      </c>
      <c r="Q5399" t="s">
        <v>6694</v>
      </c>
      <c r="S5399" t="s">
        <v>6694</v>
      </c>
      <c r="W5399" t="s">
        <v>6720</v>
      </c>
    </row>
    <row r="5400" spans="1:23" ht="15.6" x14ac:dyDescent="0.4">
      <c r="A5400" s="2" t="s">
        <v>2600</v>
      </c>
      <c r="B5400" s="5" t="s">
        <v>11479</v>
      </c>
      <c r="C5400" s="7" t="s">
        <v>12556</v>
      </c>
      <c r="D5400" s="8">
        <f t="shared" si="340"/>
        <v>0</v>
      </c>
      <c r="E5400" s="7" t="s">
        <v>12557</v>
      </c>
      <c r="F5400" s="7">
        <f t="shared" si="341"/>
        <v>0</v>
      </c>
      <c r="G5400" s="7" t="s">
        <v>12558</v>
      </c>
      <c r="H5400" s="7">
        <f t="shared" si="342"/>
        <v>0</v>
      </c>
      <c r="I5400" s="7" t="str" cm="1">
        <f t="array" ref="I5400">IFERROR(_xlfn.IFS(M5400="נח",1,M5400="נע ונח",1,M5400="שני שווא נח",2,M5400="שני שוואים בסוף מילה",2,M5400="שני שוואים ברצף",1),"0")</f>
        <v>0</v>
      </c>
      <c r="J5400" s="9">
        <f t="shared" si="343"/>
        <v>2</v>
      </c>
      <c r="K5400" t="s">
        <v>6698</v>
      </c>
      <c r="L5400" t="s">
        <v>6695</v>
      </c>
      <c r="N5400" t="s">
        <v>6706</v>
      </c>
      <c r="O5400" t="s">
        <v>6694</v>
      </c>
      <c r="Q5400" t="s">
        <v>6694</v>
      </c>
      <c r="W5400" t="s">
        <v>6720</v>
      </c>
    </row>
    <row r="5401" spans="1:23" ht="15.6" x14ac:dyDescent="0.4">
      <c r="A5401" s="2" t="s">
        <v>6334</v>
      </c>
      <c r="B5401" s="5" t="s">
        <v>11484</v>
      </c>
      <c r="C5401" s="7" t="s">
        <v>12556</v>
      </c>
      <c r="D5401" s="8">
        <f t="shared" si="340"/>
        <v>0</v>
      </c>
      <c r="E5401" s="7" t="s">
        <v>12557</v>
      </c>
      <c r="F5401" s="7">
        <f t="shared" si="341"/>
        <v>0</v>
      </c>
      <c r="G5401" s="7" t="s">
        <v>12558</v>
      </c>
      <c r="H5401" s="7">
        <f t="shared" si="342"/>
        <v>0</v>
      </c>
      <c r="I5401" s="7" t="str" cm="1">
        <f t="array" ref="I5401">IFERROR(_xlfn.IFS(M5401="נח",1,M5401="נע ונח",1,M5401="שני שווא נח",2,M5401="שני שוואים בסוף מילה",2,M5401="שני שוואים ברצף",1),"0")</f>
        <v>0</v>
      </c>
      <c r="J5401" s="9">
        <f t="shared" si="343"/>
        <v>3</v>
      </c>
      <c r="K5401" t="s">
        <v>6698</v>
      </c>
      <c r="L5401" t="s">
        <v>6695</v>
      </c>
      <c r="N5401" t="s">
        <v>6706</v>
      </c>
      <c r="O5401" t="s">
        <v>6694</v>
      </c>
      <c r="Q5401" t="s">
        <v>6694</v>
      </c>
      <c r="S5401" t="s">
        <v>6694</v>
      </c>
      <c r="W5401" t="s">
        <v>6720</v>
      </c>
    </row>
    <row r="5402" spans="1:23" ht="15.6" x14ac:dyDescent="0.4">
      <c r="A5402" s="2" t="s">
        <v>2453</v>
      </c>
      <c r="B5402" s="5" t="s">
        <v>11485</v>
      </c>
      <c r="C5402" s="7" t="s">
        <v>12556</v>
      </c>
      <c r="D5402" s="8">
        <f t="shared" si="340"/>
        <v>0</v>
      </c>
      <c r="E5402" s="7" t="s">
        <v>12557</v>
      </c>
      <c r="F5402" s="7">
        <f t="shared" si="341"/>
        <v>0</v>
      </c>
      <c r="G5402" s="7" t="s">
        <v>12558</v>
      </c>
      <c r="H5402" s="7">
        <f t="shared" si="342"/>
        <v>0</v>
      </c>
      <c r="I5402" s="7" t="str" cm="1">
        <f t="array" ref="I5402">IFERROR(_xlfn.IFS(M5402="נח",1,M5402="נע ונח",1,M5402="שני שווא נח",2,M5402="שני שוואים בסוף מילה",2,M5402="שני שוואים ברצף",1),"0")</f>
        <v>0</v>
      </c>
      <c r="J5402" s="9">
        <f t="shared" si="343"/>
        <v>2</v>
      </c>
      <c r="K5402" t="s">
        <v>6698</v>
      </c>
      <c r="L5402" t="s">
        <v>6695</v>
      </c>
      <c r="N5402" t="s">
        <v>6706</v>
      </c>
      <c r="O5402" t="s">
        <v>6694</v>
      </c>
      <c r="Q5402" t="s">
        <v>6694</v>
      </c>
      <c r="W5402" t="s">
        <v>6720</v>
      </c>
    </row>
    <row r="5403" spans="1:23" ht="15.6" x14ac:dyDescent="0.4">
      <c r="A5403" s="2" t="s">
        <v>1422</v>
      </c>
      <c r="B5403" s="5" t="s">
        <v>11486</v>
      </c>
      <c r="C5403" s="7" t="s">
        <v>12556</v>
      </c>
      <c r="D5403" s="8">
        <f t="shared" si="340"/>
        <v>0</v>
      </c>
      <c r="E5403" s="7" t="s">
        <v>12557</v>
      </c>
      <c r="F5403" s="7">
        <f t="shared" si="341"/>
        <v>0</v>
      </c>
      <c r="G5403" s="7" t="s">
        <v>12558</v>
      </c>
      <c r="H5403" s="7">
        <f t="shared" si="342"/>
        <v>0</v>
      </c>
      <c r="I5403" s="7" t="str" cm="1">
        <f t="array" ref="I5403">IFERROR(_xlfn.IFS(M5403="נח",1,M5403="נע ונח",1,M5403="שני שווא נח",2,M5403="שני שוואים בסוף מילה",2,M5403="שני שוואים ברצף",1),"0")</f>
        <v>0</v>
      </c>
      <c r="J5403" s="9">
        <f t="shared" si="343"/>
        <v>1</v>
      </c>
      <c r="K5403" t="s">
        <v>6698</v>
      </c>
      <c r="L5403" t="s">
        <v>6695</v>
      </c>
      <c r="Q5403" t="s">
        <v>6694</v>
      </c>
      <c r="W5403" t="s">
        <v>6720</v>
      </c>
    </row>
    <row r="5404" spans="1:23" ht="15.6" x14ac:dyDescent="0.4">
      <c r="A5404" s="2" t="s">
        <v>3206</v>
      </c>
      <c r="B5404" s="5" t="s">
        <v>11487</v>
      </c>
      <c r="C5404" s="7" t="s">
        <v>12556</v>
      </c>
      <c r="D5404" s="8">
        <f t="shared" si="340"/>
        <v>0</v>
      </c>
      <c r="E5404" s="7" t="s">
        <v>12557</v>
      </c>
      <c r="F5404" s="7">
        <f t="shared" si="341"/>
        <v>0</v>
      </c>
      <c r="G5404" s="7" t="s">
        <v>12558</v>
      </c>
      <c r="H5404" s="7">
        <f t="shared" si="342"/>
        <v>0</v>
      </c>
      <c r="I5404" s="7" t="str" cm="1">
        <f t="array" ref="I5404">IFERROR(_xlfn.IFS(M5404="נח",1,M5404="נע ונח",1,M5404="שני שווא נח",2,M5404="שני שוואים בסוף מילה",2,M5404="שני שוואים ברצף",1),"0")</f>
        <v>0</v>
      </c>
      <c r="J5404" s="9">
        <f t="shared" si="343"/>
        <v>2</v>
      </c>
      <c r="K5404" t="s">
        <v>6698</v>
      </c>
      <c r="L5404" t="s">
        <v>6695</v>
      </c>
      <c r="Q5404" t="s">
        <v>6694</v>
      </c>
      <c r="V5404" t="s">
        <v>6694</v>
      </c>
      <c r="W5404" t="s">
        <v>6720</v>
      </c>
    </row>
    <row r="5405" spans="1:23" ht="15.6" x14ac:dyDescent="0.4">
      <c r="A5405" s="2" t="s">
        <v>1497</v>
      </c>
      <c r="B5405" s="5" t="s">
        <v>11488</v>
      </c>
      <c r="C5405" s="7" t="s">
        <v>12556</v>
      </c>
      <c r="D5405" s="8">
        <f t="shared" si="340"/>
        <v>0</v>
      </c>
      <c r="E5405" s="7" t="s">
        <v>12557</v>
      </c>
      <c r="F5405" s="7">
        <f t="shared" si="341"/>
        <v>0</v>
      </c>
      <c r="G5405" s="7" t="s">
        <v>12558</v>
      </c>
      <c r="H5405" s="7">
        <f t="shared" si="342"/>
        <v>0</v>
      </c>
      <c r="I5405" s="7" t="str" cm="1">
        <f t="array" ref="I5405">IFERROR(_xlfn.IFS(M5405="נח",1,M5405="נע ונח",1,M5405="שני שווא נח",2,M5405="שני שוואים בסוף מילה",2,M5405="שני שוואים ברצף",1),"0")</f>
        <v>0</v>
      </c>
      <c r="J5405" s="9">
        <f t="shared" si="343"/>
        <v>2</v>
      </c>
      <c r="K5405" t="s">
        <v>6698</v>
      </c>
      <c r="L5405" t="s">
        <v>6695</v>
      </c>
      <c r="Q5405" t="s">
        <v>6694</v>
      </c>
      <c r="R5405" t="s">
        <v>6694</v>
      </c>
      <c r="W5405" t="s">
        <v>6720</v>
      </c>
    </row>
    <row r="5406" spans="1:23" ht="15.6" x14ac:dyDescent="0.4">
      <c r="A5406" s="2" t="s">
        <v>5523</v>
      </c>
      <c r="B5406" s="5" t="s">
        <v>11489</v>
      </c>
      <c r="C5406" s="7" t="s">
        <v>12556</v>
      </c>
      <c r="D5406" s="8">
        <f t="shared" si="340"/>
        <v>1</v>
      </c>
      <c r="E5406" s="7" t="s">
        <v>12557</v>
      </c>
      <c r="F5406" s="7">
        <f t="shared" si="341"/>
        <v>0</v>
      </c>
      <c r="G5406" s="7" t="s">
        <v>12558</v>
      </c>
      <c r="H5406" s="7">
        <f t="shared" si="342"/>
        <v>0</v>
      </c>
      <c r="I5406" s="7" t="str" cm="1">
        <f t="array" ref="I5406">IFERROR(_xlfn.IFS(M5406="נח",1,M5406="נע ונח",1,M5406="שני שווא נח",2,M5406="שני שוואים בסוף מילה",2,M5406="שני שוואים ברצף",1),"0")</f>
        <v>0</v>
      </c>
      <c r="J5406" s="9">
        <f t="shared" si="343"/>
        <v>2</v>
      </c>
      <c r="K5406" t="s">
        <v>6698</v>
      </c>
      <c r="L5406" t="s">
        <v>6695</v>
      </c>
      <c r="Q5406" t="s">
        <v>6694</v>
      </c>
      <c r="R5406" t="s">
        <v>6694</v>
      </c>
      <c r="W5406" t="s">
        <v>6720</v>
      </c>
    </row>
    <row r="5407" spans="1:23" ht="15.6" x14ac:dyDescent="0.4">
      <c r="A5407" s="2" t="s">
        <v>1658</v>
      </c>
      <c r="B5407" s="5" t="s">
        <v>11490</v>
      </c>
      <c r="C5407" s="7" t="s">
        <v>12556</v>
      </c>
      <c r="D5407" s="8">
        <f t="shared" si="340"/>
        <v>0</v>
      </c>
      <c r="E5407" s="7" t="s">
        <v>12557</v>
      </c>
      <c r="F5407" s="7">
        <f t="shared" si="341"/>
        <v>0</v>
      </c>
      <c r="G5407" s="7" t="s">
        <v>12558</v>
      </c>
      <c r="H5407" s="7">
        <f t="shared" si="342"/>
        <v>0</v>
      </c>
      <c r="I5407" s="7" t="str" cm="1">
        <f t="array" ref="I5407">IFERROR(_xlfn.IFS(M5407="נח",1,M5407="נע ונח",1,M5407="שני שווא נח",2,M5407="שני שוואים בסוף מילה",2,M5407="שני שוואים ברצף",1),"0")</f>
        <v>0</v>
      </c>
      <c r="J5407" s="9">
        <f t="shared" si="343"/>
        <v>1</v>
      </c>
      <c r="K5407" t="s">
        <v>6698</v>
      </c>
      <c r="L5407" t="s">
        <v>6695</v>
      </c>
      <c r="Q5407" t="s">
        <v>6694</v>
      </c>
      <c r="W5407" t="s">
        <v>6720</v>
      </c>
    </row>
    <row r="5408" spans="1:23" ht="15.6" x14ac:dyDescent="0.4">
      <c r="A5408" s="2" t="s">
        <v>4924</v>
      </c>
      <c r="B5408" s="5" t="s">
        <v>11491</v>
      </c>
      <c r="C5408" s="7" t="s">
        <v>12556</v>
      </c>
      <c r="D5408" s="8">
        <f t="shared" si="340"/>
        <v>0</v>
      </c>
      <c r="E5408" s="7" t="s">
        <v>12557</v>
      </c>
      <c r="F5408" s="7">
        <f t="shared" si="341"/>
        <v>0</v>
      </c>
      <c r="G5408" s="7" t="s">
        <v>12558</v>
      </c>
      <c r="H5408" s="7">
        <f t="shared" si="342"/>
        <v>0</v>
      </c>
      <c r="I5408" s="7" cm="1">
        <f t="array" ref="I5408">IFERROR(_xlfn.IFS(M5408="נח",1,M5408="נע ונח",1,M5408="שני שווא נח",2,M5408="שני שוואים בסוף מילה",2,M5408="שני שוואים ברצף",1),"0")</f>
        <v>1</v>
      </c>
      <c r="J5408" s="9">
        <f t="shared" si="343"/>
        <v>4</v>
      </c>
      <c r="K5408" t="s">
        <v>6697</v>
      </c>
      <c r="L5408" t="s">
        <v>6694</v>
      </c>
      <c r="M5408" t="s">
        <v>6705</v>
      </c>
      <c r="O5408" t="s">
        <v>6694</v>
      </c>
      <c r="R5408" t="s">
        <v>6694</v>
      </c>
      <c r="W5408" t="s">
        <v>6720</v>
      </c>
    </row>
    <row r="5409" spans="1:23" ht="15.6" x14ac:dyDescent="0.4">
      <c r="A5409" s="2" t="s">
        <v>2821</v>
      </c>
      <c r="B5409" s="5" t="s">
        <v>11492</v>
      </c>
      <c r="C5409" s="7" t="s">
        <v>12556</v>
      </c>
      <c r="D5409" s="8">
        <f t="shared" si="340"/>
        <v>0</v>
      </c>
      <c r="E5409" s="7" t="s">
        <v>12557</v>
      </c>
      <c r="F5409" s="7">
        <f t="shared" si="341"/>
        <v>0</v>
      </c>
      <c r="G5409" s="7" t="s">
        <v>12558</v>
      </c>
      <c r="H5409" s="7">
        <f t="shared" si="342"/>
        <v>0</v>
      </c>
      <c r="I5409" s="7" cm="1">
        <f t="array" ref="I5409">IFERROR(_xlfn.IFS(M5409="נח",1,M5409="נע ונח",1,M5409="שני שווא נח",2,M5409="שני שוואים בסוף מילה",2,M5409="שני שוואים ברצף",1),"0")</f>
        <v>2</v>
      </c>
      <c r="J5409" s="9">
        <f t="shared" si="343"/>
        <v>2</v>
      </c>
      <c r="K5409" t="s">
        <v>6698</v>
      </c>
      <c r="L5409" t="s">
        <v>6694</v>
      </c>
      <c r="M5409" t="s">
        <v>6704</v>
      </c>
      <c r="Q5409" t="s">
        <v>6694</v>
      </c>
      <c r="R5409" t="s">
        <v>6694</v>
      </c>
      <c r="W5409" t="s">
        <v>6720</v>
      </c>
    </row>
    <row r="5410" spans="1:23" ht="15.6" x14ac:dyDescent="0.4">
      <c r="A5410" s="2" t="s">
        <v>2727</v>
      </c>
      <c r="B5410" s="5" t="s">
        <v>11493</v>
      </c>
      <c r="C5410" s="7" t="s">
        <v>12556</v>
      </c>
      <c r="D5410" s="8">
        <f t="shared" si="340"/>
        <v>0</v>
      </c>
      <c r="E5410" s="7" t="s">
        <v>12557</v>
      </c>
      <c r="F5410" s="7">
        <f t="shared" si="341"/>
        <v>0</v>
      </c>
      <c r="G5410" s="7" t="s">
        <v>12558</v>
      </c>
      <c r="H5410" s="7">
        <f t="shared" si="342"/>
        <v>0</v>
      </c>
      <c r="I5410" s="7" cm="1">
        <f t="array" ref="I5410">IFERROR(_xlfn.IFS(M5410="נח",1,M5410="נע ונח",1,M5410="שני שווא נח",2,M5410="שני שוואים בסוף מילה",2,M5410="שני שוואים ברצף",1),"0")</f>
        <v>1</v>
      </c>
      <c r="J5410" s="9">
        <f t="shared" si="343"/>
        <v>2</v>
      </c>
      <c r="K5410" t="s">
        <v>6697</v>
      </c>
      <c r="L5410" t="s">
        <v>6694</v>
      </c>
      <c r="M5410" t="s">
        <v>6705</v>
      </c>
      <c r="R5410" t="s">
        <v>6694</v>
      </c>
      <c r="V5410" t="s">
        <v>6694</v>
      </c>
      <c r="W5410" t="s">
        <v>6720</v>
      </c>
    </row>
    <row r="5411" spans="1:23" ht="15.6" x14ac:dyDescent="0.4">
      <c r="A5411" s="2" t="s">
        <v>3292</v>
      </c>
      <c r="B5411" s="5" t="s">
        <v>11494</v>
      </c>
      <c r="C5411" s="7" t="s">
        <v>12556</v>
      </c>
      <c r="D5411" s="8">
        <f t="shared" si="340"/>
        <v>0</v>
      </c>
      <c r="E5411" s="7" t="s">
        <v>12557</v>
      </c>
      <c r="F5411" s="7">
        <f t="shared" si="341"/>
        <v>0</v>
      </c>
      <c r="G5411" s="7" t="s">
        <v>12558</v>
      </c>
      <c r="H5411" s="7">
        <f t="shared" si="342"/>
        <v>0</v>
      </c>
      <c r="I5411" s="7" cm="1">
        <f t="array" ref="I5411">IFERROR(_xlfn.IFS(M5411="נח",1,M5411="נע ונח",1,M5411="שני שווא נח",2,M5411="שני שוואים בסוף מילה",2,M5411="שני שוואים ברצף",1),"0")</f>
        <v>1</v>
      </c>
      <c r="J5411" s="9">
        <f t="shared" si="343"/>
        <v>3</v>
      </c>
      <c r="K5411" t="s">
        <v>6697</v>
      </c>
      <c r="L5411" t="s">
        <v>6694</v>
      </c>
      <c r="M5411" t="s">
        <v>6702</v>
      </c>
      <c r="O5411" t="s">
        <v>6694</v>
      </c>
      <c r="R5411" t="s">
        <v>6694</v>
      </c>
      <c r="W5411" t="s">
        <v>6720</v>
      </c>
    </row>
    <row r="5412" spans="1:23" ht="15.6" x14ac:dyDescent="0.4">
      <c r="A5412" s="2" t="s">
        <v>4653</v>
      </c>
      <c r="B5412" s="5" t="s">
        <v>11495</v>
      </c>
      <c r="C5412" s="7" t="s">
        <v>12556</v>
      </c>
      <c r="D5412" s="8">
        <f t="shared" si="340"/>
        <v>0</v>
      </c>
      <c r="E5412" s="7" t="s">
        <v>12557</v>
      </c>
      <c r="F5412" s="7">
        <f t="shared" si="341"/>
        <v>0</v>
      </c>
      <c r="G5412" s="7" t="s">
        <v>12558</v>
      </c>
      <c r="H5412" s="7">
        <f t="shared" si="342"/>
        <v>0</v>
      </c>
      <c r="I5412" s="7" cm="1">
        <f t="array" ref="I5412">IFERROR(_xlfn.IFS(M5412="נח",1,M5412="נע ונח",1,M5412="שני שווא נח",2,M5412="שני שוואים בסוף מילה",2,M5412="שני שוואים ברצף",1),"0")</f>
        <v>1</v>
      </c>
      <c r="J5412" s="9">
        <f t="shared" si="343"/>
        <v>2</v>
      </c>
      <c r="K5412" t="s">
        <v>6697</v>
      </c>
      <c r="L5412" t="s">
        <v>6694</v>
      </c>
      <c r="M5412" t="s">
        <v>6705</v>
      </c>
      <c r="R5412" t="s">
        <v>6694</v>
      </c>
      <c r="S5412" t="s">
        <v>6694</v>
      </c>
      <c r="W5412" t="s">
        <v>6720</v>
      </c>
    </row>
    <row r="5413" spans="1:23" ht="15.6" x14ac:dyDescent="0.4">
      <c r="A5413" s="2" t="s">
        <v>3760</v>
      </c>
      <c r="B5413" s="5" t="s">
        <v>11496</v>
      </c>
      <c r="C5413" s="7" t="s">
        <v>12556</v>
      </c>
      <c r="D5413" s="8">
        <f t="shared" si="340"/>
        <v>0</v>
      </c>
      <c r="E5413" s="7" t="s">
        <v>12557</v>
      </c>
      <c r="F5413" s="7">
        <f t="shared" si="341"/>
        <v>0</v>
      </c>
      <c r="G5413" s="7" t="s">
        <v>12558</v>
      </c>
      <c r="H5413" s="7">
        <f t="shared" si="342"/>
        <v>0</v>
      </c>
      <c r="I5413" s="7" cm="1">
        <f t="array" ref="I5413">IFERROR(_xlfn.IFS(M5413="נח",1,M5413="נע ונח",1,M5413="שני שווא נח",2,M5413="שני שוואים בסוף מילה",2,M5413="שני שוואים ברצף",1),"0")</f>
        <v>1</v>
      </c>
      <c r="J5413" s="9">
        <f t="shared" si="343"/>
        <v>2</v>
      </c>
      <c r="K5413" t="s">
        <v>6697</v>
      </c>
      <c r="L5413" t="s">
        <v>6694</v>
      </c>
      <c r="M5413" t="s">
        <v>6705</v>
      </c>
      <c r="O5413" t="s">
        <v>6694</v>
      </c>
      <c r="R5413" t="s">
        <v>6694</v>
      </c>
      <c r="W5413" t="s">
        <v>6720</v>
      </c>
    </row>
    <row r="5414" spans="1:23" ht="15.6" x14ac:dyDescent="0.4">
      <c r="A5414" s="2" t="s">
        <v>5187</v>
      </c>
      <c r="B5414" s="5" t="s">
        <v>11497</v>
      </c>
      <c r="C5414" s="7" t="s">
        <v>12556</v>
      </c>
      <c r="D5414" s="8">
        <f t="shared" si="340"/>
        <v>0</v>
      </c>
      <c r="E5414" s="7" t="s">
        <v>12557</v>
      </c>
      <c r="F5414" s="7">
        <f t="shared" si="341"/>
        <v>0</v>
      </c>
      <c r="G5414" s="7" t="s">
        <v>12558</v>
      </c>
      <c r="H5414" s="7">
        <f t="shared" si="342"/>
        <v>0</v>
      </c>
      <c r="I5414" s="7" cm="1">
        <f t="array" ref="I5414">IFERROR(_xlfn.IFS(M5414="נח",1,M5414="נע ונח",1,M5414="שני שווא נח",2,M5414="שני שוואים בסוף מילה",2,M5414="שני שוואים ברצף",1),"0")</f>
        <v>1</v>
      </c>
      <c r="J5414" s="9">
        <f t="shared" si="343"/>
        <v>2</v>
      </c>
      <c r="K5414" t="s">
        <v>6698</v>
      </c>
      <c r="L5414" t="s">
        <v>6694</v>
      </c>
      <c r="M5414" t="s">
        <v>6705</v>
      </c>
      <c r="N5414" t="s">
        <v>6706</v>
      </c>
      <c r="O5414" t="s">
        <v>6694</v>
      </c>
      <c r="R5414" t="s">
        <v>6694</v>
      </c>
      <c r="W5414" t="s">
        <v>6720</v>
      </c>
    </row>
    <row r="5415" spans="1:23" ht="15.6" x14ac:dyDescent="0.4">
      <c r="A5415" s="2" t="s">
        <v>4268</v>
      </c>
      <c r="B5415" s="5" t="s">
        <v>11498</v>
      </c>
      <c r="C5415" s="7" t="s">
        <v>12556</v>
      </c>
      <c r="D5415" s="8">
        <f t="shared" si="340"/>
        <v>0</v>
      </c>
      <c r="E5415" s="7" t="s">
        <v>12557</v>
      </c>
      <c r="F5415" s="7">
        <f t="shared" si="341"/>
        <v>0</v>
      </c>
      <c r="G5415" s="7" t="s">
        <v>12558</v>
      </c>
      <c r="H5415" s="7">
        <f t="shared" si="342"/>
        <v>0</v>
      </c>
      <c r="I5415" s="7" cm="1">
        <f t="array" ref="I5415">IFERROR(_xlfn.IFS(M5415="נח",1,M5415="נע ונח",1,M5415="שני שווא נח",2,M5415="שני שוואים בסוף מילה",2,M5415="שני שוואים ברצף",1),"0")</f>
        <v>1</v>
      </c>
      <c r="J5415" s="9">
        <f t="shared" si="343"/>
        <v>2</v>
      </c>
      <c r="K5415" t="s">
        <v>6698</v>
      </c>
      <c r="L5415" t="s">
        <v>6694</v>
      </c>
      <c r="M5415" t="s">
        <v>6705</v>
      </c>
      <c r="N5415" t="s">
        <v>6706</v>
      </c>
      <c r="O5415" t="s">
        <v>6694</v>
      </c>
      <c r="R5415" t="s">
        <v>6694</v>
      </c>
      <c r="W5415" t="s">
        <v>6720</v>
      </c>
    </row>
    <row r="5416" spans="1:23" ht="15.6" x14ac:dyDescent="0.4">
      <c r="A5416" s="2" t="s">
        <v>2641</v>
      </c>
      <c r="B5416" s="5" t="s">
        <v>11499</v>
      </c>
      <c r="C5416" s="7" t="s">
        <v>12556</v>
      </c>
      <c r="D5416" s="8">
        <f t="shared" si="340"/>
        <v>0</v>
      </c>
      <c r="E5416" s="7" t="s">
        <v>12557</v>
      </c>
      <c r="F5416" s="7">
        <f t="shared" si="341"/>
        <v>0</v>
      </c>
      <c r="G5416" s="7" t="s">
        <v>12558</v>
      </c>
      <c r="H5416" s="7">
        <f t="shared" si="342"/>
        <v>0</v>
      </c>
      <c r="I5416" s="7" cm="1">
        <f t="array" ref="I5416">IFERROR(_xlfn.IFS(M5416="נח",1,M5416="נע ונח",1,M5416="שני שווא נח",2,M5416="שני שוואים בסוף מילה",2,M5416="שני שוואים ברצף",1),"0")</f>
        <v>1</v>
      </c>
      <c r="J5416" s="9">
        <f t="shared" si="343"/>
        <v>3</v>
      </c>
      <c r="K5416" t="s">
        <v>6697</v>
      </c>
      <c r="L5416" t="s">
        <v>6694</v>
      </c>
      <c r="M5416" t="s">
        <v>6705</v>
      </c>
      <c r="O5416" t="s">
        <v>6694</v>
      </c>
      <c r="R5416" t="s">
        <v>6694</v>
      </c>
      <c r="S5416" t="s">
        <v>6694</v>
      </c>
      <c r="W5416" t="s">
        <v>6720</v>
      </c>
    </row>
    <row r="5417" spans="1:23" ht="15.6" x14ac:dyDescent="0.4">
      <c r="A5417" s="2" t="s">
        <v>125</v>
      </c>
      <c r="B5417" s="5" t="s">
        <v>11500</v>
      </c>
      <c r="C5417" s="7" t="s">
        <v>12556</v>
      </c>
      <c r="D5417" s="8">
        <f t="shared" si="340"/>
        <v>0</v>
      </c>
      <c r="E5417" s="7" t="s">
        <v>12557</v>
      </c>
      <c r="F5417" s="7">
        <f t="shared" si="341"/>
        <v>0</v>
      </c>
      <c r="G5417" s="7" t="s">
        <v>12558</v>
      </c>
      <c r="H5417" s="7">
        <f t="shared" si="342"/>
        <v>0</v>
      </c>
      <c r="I5417" s="7" cm="1">
        <f t="array" ref="I5417">IFERROR(_xlfn.IFS(M5417="נח",1,M5417="נע ונח",1,M5417="שני שווא נח",2,M5417="שני שוואים בסוף מילה",2,M5417="שני שוואים ברצף",1),"0")</f>
        <v>1</v>
      </c>
      <c r="J5417" s="9">
        <f t="shared" si="343"/>
        <v>3</v>
      </c>
      <c r="K5417" t="s">
        <v>6697</v>
      </c>
      <c r="L5417" t="s">
        <v>6694</v>
      </c>
      <c r="M5417" t="s">
        <v>6705</v>
      </c>
      <c r="O5417" t="s">
        <v>6694</v>
      </c>
      <c r="R5417" t="s">
        <v>6694</v>
      </c>
      <c r="W5417" t="s">
        <v>6720</v>
      </c>
    </row>
    <row r="5418" spans="1:23" ht="15.6" x14ac:dyDescent="0.4">
      <c r="A5418" s="2" t="s">
        <v>1546</v>
      </c>
      <c r="B5418" s="5" t="s">
        <v>11501</v>
      </c>
      <c r="C5418" s="7" t="s">
        <v>12556</v>
      </c>
      <c r="D5418" s="8">
        <f t="shared" si="340"/>
        <v>0</v>
      </c>
      <c r="E5418" s="7" t="s">
        <v>12557</v>
      </c>
      <c r="F5418" s="7">
        <f t="shared" si="341"/>
        <v>0</v>
      </c>
      <c r="G5418" s="7" t="s">
        <v>12558</v>
      </c>
      <c r="H5418" s="7">
        <f t="shared" si="342"/>
        <v>0</v>
      </c>
      <c r="I5418" s="7" cm="1">
        <f t="array" ref="I5418">IFERROR(_xlfn.IFS(M5418="נח",1,M5418="נע ונח",1,M5418="שני שווא נח",2,M5418="שני שוואים בסוף מילה",2,M5418="שני שוואים ברצף",1),"0")</f>
        <v>1</v>
      </c>
      <c r="J5418" s="9">
        <f t="shared" si="343"/>
        <v>2</v>
      </c>
      <c r="K5418" t="s">
        <v>6698</v>
      </c>
      <c r="L5418" t="s">
        <v>6694</v>
      </c>
      <c r="M5418" t="s">
        <v>6705</v>
      </c>
      <c r="R5418" t="s">
        <v>6694</v>
      </c>
      <c r="V5418" t="s">
        <v>6694</v>
      </c>
      <c r="W5418" t="s">
        <v>6720</v>
      </c>
    </row>
    <row r="5419" spans="1:23" ht="15.6" x14ac:dyDescent="0.4">
      <c r="A5419" s="2" t="s">
        <v>4033</v>
      </c>
      <c r="B5419" s="5" t="s">
        <v>11502</v>
      </c>
      <c r="C5419" s="7" t="s">
        <v>12556</v>
      </c>
      <c r="D5419" s="8">
        <f t="shared" si="340"/>
        <v>0</v>
      </c>
      <c r="E5419" s="7" t="s">
        <v>12557</v>
      </c>
      <c r="F5419" s="7">
        <f t="shared" si="341"/>
        <v>0</v>
      </c>
      <c r="G5419" s="7" t="s">
        <v>12558</v>
      </c>
      <c r="H5419" s="7">
        <f t="shared" si="342"/>
        <v>0</v>
      </c>
      <c r="I5419" s="7" t="str" cm="1">
        <f t="array" ref="I5419">IFERROR(_xlfn.IFS(M5419="נח",1,M5419="נע ונח",1,M5419="שני שווא נח",2,M5419="שני שוואים בסוף מילה",2,M5419="שני שוואים ברצף",1),"0")</f>
        <v>0</v>
      </c>
      <c r="J5419" s="9">
        <f t="shared" si="343"/>
        <v>2</v>
      </c>
      <c r="K5419" t="s">
        <v>6698</v>
      </c>
      <c r="L5419" t="s">
        <v>6695</v>
      </c>
      <c r="R5419" t="s">
        <v>6694</v>
      </c>
      <c r="W5419" t="s">
        <v>6720</v>
      </c>
    </row>
    <row r="5420" spans="1:23" ht="15.6" x14ac:dyDescent="0.4">
      <c r="A5420" s="2" t="s">
        <v>2155</v>
      </c>
      <c r="B5420" s="5" t="s">
        <v>11503</v>
      </c>
      <c r="C5420" s="7" t="s">
        <v>12556</v>
      </c>
      <c r="D5420" s="8">
        <f t="shared" si="340"/>
        <v>1</v>
      </c>
      <c r="E5420" s="7" t="s">
        <v>12557</v>
      </c>
      <c r="F5420" s="7">
        <f t="shared" si="341"/>
        <v>0</v>
      </c>
      <c r="G5420" s="7" t="s">
        <v>12558</v>
      </c>
      <c r="H5420" s="7">
        <f t="shared" si="342"/>
        <v>0</v>
      </c>
      <c r="I5420" s="7" t="str" cm="1">
        <f t="array" ref="I5420">IFERROR(_xlfn.IFS(M5420="נח",1,M5420="נע ונח",1,M5420="שני שווא נח",2,M5420="שני שוואים בסוף מילה",2,M5420="שני שוואים ברצף",1),"0")</f>
        <v>0</v>
      </c>
      <c r="J5420" s="9">
        <f t="shared" si="343"/>
        <v>2</v>
      </c>
      <c r="K5420" t="s">
        <v>6698</v>
      </c>
      <c r="L5420" t="s">
        <v>6695</v>
      </c>
      <c r="R5420" t="s">
        <v>6694</v>
      </c>
      <c r="W5420" t="s">
        <v>6720</v>
      </c>
    </row>
    <row r="5421" spans="1:23" ht="15.6" x14ac:dyDescent="0.4">
      <c r="A5421" s="2" t="s">
        <v>6097</v>
      </c>
      <c r="B5421" s="5" t="s">
        <v>11504</v>
      </c>
      <c r="C5421" s="7" t="s">
        <v>12556</v>
      </c>
      <c r="D5421" s="8">
        <f t="shared" si="340"/>
        <v>1</v>
      </c>
      <c r="E5421" s="7" t="s">
        <v>12557</v>
      </c>
      <c r="F5421" s="7">
        <f t="shared" si="341"/>
        <v>1</v>
      </c>
      <c r="G5421" s="7" t="s">
        <v>12558</v>
      </c>
      <c r="H5421" s="7">
        <f t="shared" si="342"/>
        <v>0</v>
      </c>
      <c r="I5421" s="7" cm="1">
        <f t="array" ref="I5421">IFERROR(_xlfn.IFS(M5421="נח",1,M5421="נע ונח",1,M5421="שני שווא נח",2,M5421="שני שוואים בסוף מילה",2,M5421="שני שוואים ברצף",1),"0")</f>
        <v>1</v>
      </c>
      <c r="J5421" s="9">
        <f t="shared" si="343"/>
        <v>4</v>
      </c>
      <c r="K5421" t="s">
        <v>6698</v>
      </c>
      <c r="L5421" t="s">
        <v>6694</v>
      </c>
      <c r="M5421" t="s">
        <v>6705</v>
      </c>
      <c r="N5421" t="s">
        <v>6706</v>
      </c>
      <c r="O5421" t="s">
        <v>6694</v>
      </c>
      <c r="R5421" t="s">
        <v>6694</v>
      </c>
      <c r="V5421" t="s">
        <v>6694</v>
      </c>
      <c r="W5421" t="s">
        <v>6720</v>
      </c>
    </row>
    <row r="5422" spans="1:23" ht="15.6" x14ac:dyDescent="0.4">
      <c r="A5422" s="2" t="s">
        <v>1215</v>
      </c>
      <c r="B5422" s="5" t="s">
        <v>11505</v>
      </c>
      <c r="C5422" s="7" t="s">
        <v>12556</v>
      </c>
      <c r="D5422" s="8">
        <f t="shared" si="340"/>
        <v>0</v>
      </c>
      <c r="E5422" s="7" t="s">
        <v>12557</v>
      </c>
      <c r="F5422" s="7">
        <f t="shared" si="341"/>
        <v>0</v>
      </c>
      <c r="G5422" s="7" t="s">
        <v>12558</v>
      </c>
      <c r="H5422" s="7">
        <f t="shared" si="342"/>
        <v>0</v>
      </c>
      <c r="I5422" s="7" cm="1">
        <f t="array" ref="I5422">IFERROR(_xlfn.IFS(M5422="נח",1,M5422="נע ונח",1,M5422="שני שווא נח",2,M5422="שני שוואים בסוף מילה",2,M5422="שני שוואים ברצף",1),"0")</f>
        <v>1</v>
      </c>
      <c r="J5422" s="9">
        <f t="shared" si="343"/>
        <v>2</v>
      </c>
      <c r="K5422" t="s">
        <v>6698</v>
      </c>
      <c r="L5422" t="s">
        <v>6694</v>
      </c>
      <c r="M5422" t="s">
        <v>6705</v>
      </c>
      <c r="P5422" t="s">
        <v>6694</v>
      </c>
      <c r="Q5422" t="s">
        <v>6694</v>
      </c>
      <c r="W5422" t="s">
        <v>6720</v>
      </c>
    </row>
    <row r="5423" spans="1:23" ht="15.6" x14ac:dyDescent="0.4">
      <c r="A5423" s="2" t="s">
        <v>256</v>
      </c>
      <c r="B5423" s="5" t="s">
        <v>11506</v>
      </c>
      <c r="C5423" s="7" t="s">
        <v>12556</v>
      </c>
      <c r="D5423" s="8">
        <f t="shared" si="340"/>
        <v>0</v>
      </c>
      <c r="E5423" s="7" t="s">
        <v>12557</v>
      </c>
      <c r="F5423" s="7">
        <f t="shared" si="341"/>
        <v>1</v>
      </c>
      <c r="G5423" s="7" t="s">
        <v>12558</v>
      </c>
      <c r="H5423" s="7">
        <f t="shared" si="342"/>
        <v>0</v>
      </c>
      <c r="I5423" s="7" cm="1">
        <f t="array" ref="I5423">IFERROR(_xlfn.IFS(M5423="נח",1,M5423="נע ונח",1,M5423="שני שווא נח",2,M5423="שני שוואים בסוף מילה",2,M5423="שני שוואים ברצף",1),"0")</f>
        <v>1</v>
      </c>
      <c r="J5423" s="9">
        <f t="shared" si="343"/>
        <v>3</v>
      </c>
      <c r="K5423" t="s">
        <v>6697</v>
      </c>
      <c r="L5423" t="s">
        <v>6694</v>
      </c>
      <c r="M5423" t="s">
        <v>6702</v>
      </c>
      <c r="O5423" t="s">
        <v>6694</v>
      </c>
      <c r="P5423" t="s">
        <v>6694</v>
      </c>
      <c r="W5423" t="s">
        <v>6720</v>
      </c>
    </row>
    <row r="5424" spans="1:23" ht="15.6" x14ac:dyDescent="0.4">
      <c r="A5424" s="2" t="s">
        <v>5833</v>
      </c>
      <c r="B5424" s="5" t="s">
        <v>11505</v>
      </c>
      <c r="C5424" s="7" t="s">
        <v>12556</v>
      </c>
      <c r="D5424" s="8">
        <f t="shared" si="340"/>
        <v>0</v>
      </c>
      <c r="E5424" s="7" t="s">
        <v>12557</v>
      </c>
      <c r="F5424" s="7">
        <f t="shared" si="341"/>
        <v>1</v>
      </c>
      <c r="G5424" s="7" t="s">
        <v>12558</v>
      </c>
      <c r="H5424" s="7">
        <f t="shared" si="342"/>
        <v>0</v>
      </c>
      <c r="I5424" s="7" cm="1">
        <f t="array" ref="I5424">IFERROR(_xlfn.IFS(M5424="נח",1,M5424="נע ונח",1,M5424="שני שווא נח",2,M5424="שני שוואים בסוף מילה",2,M5424="שני שוואים ברצף",1),"0")</f>
        <v>1</v>
      </c>
      <c r="J5424" s="9">
        <f t="shared" si="343"/>
        <v>2</v>
      </c>
      <c r="K5424" t="s">
        <v>6697</v>
      </c>
      <c r="L5424" t="s">
        <v>6694</v>
      </c>
      <c r="M5424" t="s">
        <v>6705</v>
      </c>
      <c r="P5424" t="s">
        <v>6694</v>
      </c>
      <c r="S5424" t="s">
        <v>6694</v>
      </c>
      <c r="W5424" t="s">
        <v>6720</v>
      </c>
    </row>
    <row r="5425" spans="1:23" ht="15.6" x14ac:dyDescent="0.4">
      <c r="A5425" s="2" t="s">
        <v>376</v>
      </c>
      <c r="B5425" s="5" t="s">
        <v>11506</v>
      </c>
      <c r="C5425" s="7" t="s">
        <v>12556</v>
      </c>
      <c r="D5425" s="8">
        <f t="shared" si="340"/>
        <v>0</v>
      </c>
      <c r="E5425" s="7" t="s">
        <v>12557</v>
      </c>
      <c r="F5425" s="7">
        <f t="shared" si="341"/>
        <v>1</v>
      </c>
      <c r="G5425" s="7" t="s">
        <v>12558</v>
      </c>
      <c r="H5425" s="7">
        <f t="shared" si="342"/>
        <v>0</v>
      </c>
      <c r="I5425" s="7" cm="1">
        <f t="array" ref="I5425">IFERROR(_xlfn.IFS(M5425="נח",1,M5425="נע ונח",1,M5425="שני שווא נח",2,M5425="שני שוואים בסוף מילה",2,M5425="שני שוואים ברצף",1),"0")</f>
        <v>1</v>
      </c>
      <c r="J5425" s="9">
        <f t="shared" si="343"/>
        <v>3</v>
      </c>
      <c r="K5425" t="s">
        <v>6697</v>
      </c>
      <c r="L5425" t="s">
        <v>6694</v>
      </c>
      <c r="M5425" t="s">
        <v>6705</v>
      </c>
      <c r="O5425" t="s">
        <v>6694</v>
      </c>
      <c r="P5425" t="s">
        <v>6694</v>
      </c>
      <c r="R5425" t="s">
        <v>6694</v>
      </c>
      <c r="W5425" t="s">
        <v>6720</v>
      </c>
    </row>
    <row r="5426" spans="1:23" ht="15.6" x14ac:dyDescent="0.4">
      <c r="A5426" s="2" t="s">
        <v>1623</v>
      </c>
      <c r="B5426" s="5" t="s">
        <v>11458</v>
      </c>
      <c r="C5426" s="7" t="s">
        <v>12556</v>
      </c>
      <c r="D5426" s="8">
        <f t="shared" si="340"/>
        <v>0</v>
      </c>
      <c r="E5426" s="7" t="s">
        <v>12557</v>
      </c>
      <c r="F5426" s="7">
        <f t="shared" si="341"/>
        <v>1</v>
      </c>
      <c r="G5426" s="7" t="s">
        <v>12558</v>
      </c>
      <c r="H5426" s="7">
        <f t="shared" si="342"/>
        <v>0</v>
      </c>
      <c r="I5426" s="7" cm="1">
        <f t="array" ref="I5426">IFERROR(_xlfn.IFS(M5426="נח",1,M5426="נע ונח",1,M5426="שני שווא נח",2,M5426="שני שוואים בסוף מילה",2,M5426="שני שוואים ברצף",1),"0")</f>
        <v>1</v>
      </c>
      <c r="J5426" s="9">
        <f t="shared" si="343"/>
        <v>2</v>
      </c>
      <c r="K5426" t="s">
        <v>6697</v>
      </c>
      <c r="L5426" t="s">
        <v>6694</v>
      </c>
      <c r="M5426" t="s">
        <v>6705</v>
      </c>
      <c r="P5426" t="s">
        <v>6694</v>
      </c>
      <c r="V5426" t="s">
        <v>6694</v>
      </c>
      <c r="W5426" t="s">
        <v>6720</v>
      </c>
    </row>
    <row r="5427" spans="1:23" ht="15.6" x14ac:dyDescent="0.4">
      <c r="A5427" s="2" t="s">
        <v>63</v>
      </c>
      <c r="B5427" s="5" t="s">
        <v>11507</v>
      </c>
      <c r="C5427" s="7" t="s">
        <v>12556</v>
      </c>
      <c r="D5427" s="8">
        <f t="shared" si="340"/>
        <v>0</v>
      </c>
      <c r="E5427" s="7" t="s">
        <v>12557</v>
      </c>
      <c r="F5427" s="7">
        <f t="shared" si="341"/>
        <v>0</v>
      </c>
      <c r="G5427" s="7" t="s">
        <v>12558</v>
      </c>
      <c r="H5427" s="7">
        <f t="shared" si="342"/>
        <v>0</v>
      </c>
      <c r="I5427" s="7" t="str" cm="1">
        <f t="array" ref="I5427">IFERROR(_xlfn.IFS(M5427="נח",1,M5427="נע ונח",1,M5427="שני שווא נח",2,M5427="שני שוואים בסוף מילה",2,M5427="שני שוואים ברצף",1),"0")</f>
        <v>0</v>
      </c>
      <c r="J5427" s="9">
        <f t="shared" si="343"/>
        <v>1</v>
      </c>
      <c r="K5427" t="s">
        <v>6698</v>
      </c>
      <c r="L5427" t="s">
        <v>6695</v>
      </c>
      <c r="P5427" t="s">
        <v>6694</v>
      </c>
      <c r="W5427" t="s">
        <v>6720</v>
      </c>
    </row>
    <row r="5428" spans="1:23" ht="15.6" x14ac:dyDescent="0.4">
      <c r="A5428" s="2" t="s">
        <v>209</v>
      </c>
      <c r="B5428" s="5" t="s">
        <v>11508</v>
      </c>
      <c r="C5428" s="7" t="s">
        <v>12556</v>
      </c>
      <c r="D5428" s="8">
        <f t="shared" si="340"/>
        <v>0</v>
      </c>
      <c r="E5428" s="7" t="s">
        <v>12557</v>
      </c>
      <c r="F5428" s="7">
        <f t="shared" si="341"/>
        <v>0</v>
      </c>
      <c r="G5428" s="7" t="s">
        <v>12558</v>
      </c>
      <c r="H5428" s="7">
        <f t="shared" si="342"/>
        <v>0</v>
      </c>
      <c r="I5428" s="7" cm="1">
        <f t="array" ref="I5428">IFERROR(_xlfn.IFS(M5428="נח",1,M5428="נע ונח",1,M5428="שני שווא נח",2,M5428="שני שוואים בסוף מילה",2,M5428="שני שוואים ברצף",1),"0")</f>
        <v>1</v>
      </c>
      <c r="J5428" s="9">
        <f t="shared" si="343"/>
        <v>2</v>
      </c>
      <c r="K5428" t="s">
        <v>6697</v>
      </c>
      <c r="L5428" t="s">
        <v>6694</v>
      </c>
      <c r="M5428" t="s">
        <v>6705</v>
      </c>
      <c r="O5428" t="s">
        <v>6694</v>
      </c>
      <c r="P5428" t="s">
        <v>6694</v>
      </c>
      <c r="W5428" t="s">
        <v>6720</v>
      </c>
    </row>
    <row r="5429" spans="1:23" ht="15.6" x14ac:dyDescent="0.4">
      <c r="A5429" s="2" t="s">
        <v>5545</v>
      </c>
      <c r="B5429" s="5" t="s">
        <v>11509</v>
      </c>
      <c r="C5429" s="7" t="s">
        <v>12556</v>
      </c>
      <c r="D5429" s="8">
        <f t="shared" si="340"/>
        <v>0</v>
      </c>
      <c r="E5429" s="7" t="s">
        <v>12557</v>
      </c>
      <c r="F5429" s="7">
        <f t="shared" si="341"/>
        <v>0</v>
      </c>
      <c r="G5429" s="7" t="s">
        <v>12558</v>
      </c>
      <c r="H5429" s="7">
        <f t="shared" si="342"/>
        <v>0</v>
      </c>
      <c r="I5429" s="7" cm="1">
        <f t="array" ref="I5429">IFERROR(_xlfn.IFS(M5429="נח",1,M5429="נע ונח",1,M5429="שני שווא נח",2,M5429="שני שוואים בסוף מילה",2,M5429="שני שוואים ברצף",1),"0")</f>
        <v>1</v>
      </c>
      <c r="J5429" s="9">
        <f t="shared" si="343"/>
        <v>3</v>
      </c>
      <c r="K5429" t="s">
        <v>6697</v>
      </c>
      <c r="L5429" t="s">
        <v>6694</v>
      </c>
      <c r="M5429" t="s">
        <v>6705</v>
      </c>
      <c r="O5429" t="s">
        <v>6694</v>
      </c>
      <c r="P5429" t="s">
        <v>6694</v>
      </c>
      <c r="W5429" t="s">
        <v>6720</v>
      </c>
    </row>
    <row r="5430" spans="1:23" ht="15.6" x14ac:dyDescent="0.4">
      <c r="A5430" s="2" t="s">
        <v>4178</v>
      </c>
      <c r="B5430" s="5" t="s">
        <v>11510</v>
      </c>
      <c r="C5430" s="7" t="s">
        <v>12556</v>
      </c>
      <c r="D5430" s="8">
        <f t="shared" si="340"/>
        <v>0</v>
      </c>
      <c r="E5430" s="7" t="s">
        <v>12557</v>
      </c>
      <c r="F5430" s="7">
        <f t="shared" si="341"/>
        <v>0</v>
      </c>
      <c r="G5430" s="7" t="s">
        <v>12558</v>
      </c>
      <c r="H5430" s="7">
        <f t="shared" si="342"/>
        <v>0</v>
      </c>
      <c r="I5430" s="7" t="str" cm="1">
        <f t="array" ref="I5430">IFERROR(_xlfn.IFS(M5430="נח",1,M5430="נע ונח",1,M5430="שני שווא נח",2,M5430="שני שוואים בסוף מילה",2,M5430="שני שוואים ברצף",1),"0")</f>
        <v>0</v>
      </c>
      <c r="J5430" s="9">
        <f t="shared" si="343"/>
        <v>2</v>
      </c>
      <c r="K5430" t="s">
        <v>6698</v>
      </c>
      <c r="L5430" t="s">
        <v>6695</v>
      </c>
      <c r="P5430" t="s">
        <v>6694</v>
      </c>
      <c r="S5430" t="s">
        <v>6694</v>
      </c>
      <c r="W5430" t="s">
        <v>6720</v>
      </c>
    </row>
    <row r="5431" spans="1:23" ht="15.6" x14ac:dyDescent="0.4">
      <c r="A5431" s="2" t="s">
        <v>93</v>
      </c>
      <c r="B5431" s="5" t="s">
        <v>11511</v>
      </c>
      <c r="C5431" s="7" t="s">
        <v>12556</v>
      </c>
      <c r="D5431" s="8">
        <f t="shared" si="340"/>
        <v>0</v>
      </c>
      <c r="E5431" s="7" t="s">
        <v>12557</v>
      </c>
      <c r="F5431" s="7">
        <f t="shared" si="341"/>
        <v>0</v>
      </c>
      <c r="G5431" s="7" t="s">
        <v>12558</v>
      </c>
      <c r="H5431" s="7">
        <f t="shared" si="342"/>
        <v>0</v>
      </c>
      <c r="I5431" s="7" t="str" cm="1">
        <f t="array" ref="I5431">IFERROR(_xlfn.IFS(M5431="נח",1,M5431="נע ונח",1,M5431="שני שווא נח",2,M5431="שני שוואים בסוף מילה",2,M5431="שני שוואים ברצף",1),"0")</f>
        <v>0</v>
      </c>
      <c r="J5431" s="9">
        <f t="shared" si="343"/>
        <v>2</v>
      </c>
      <c r="K5431" t="s">
        <v>6698</v>
      </c>
      <c r="L5431" t="s">
        <v>6695</v>
      </c>
      <c r="P5431" t="s">
        <v>6694</v>
      </c>
      <c r="S5431" t="s">
        <v>6694</v>
      </c>
      <c r="W5431" t="s">
        <v>6720</v>
      </c>
    </row>
    <row r="5432" spans="1:23" ht="15.6" x14ac:dyDescent="0.4">
      <c r="A5432" s="2" t="s">
        <v>5098</v>
      </c>
      <c r="B5432" s="5" t="s">
        <v>11512</v>
      </c>
      <c r="C5432" s="7" t="s">
        <v>12556</v>
      </c>
      <c r="D5432" s="8">
        <f t="shared" si="340"/>
        <v>1</v>
      </c>
      <c r="E5432" s="7" t="s">
        <v>12557</v>
      </c>
      <c r="F5432" s="7">
        <f t="shared" si="341"/>
        <v>1</v>
      </c>
      <c r="G5432" s="7" t="s">
        <v>12558</v>
      </c>
      <c r="H5432" s="7">
        <f t="shared" si="342"/>
        <v>1</v>
      </c>
      <c r="I5432" s="7" cm="1">
        <f t="array" ref="I5432">IFERROR(_xlfn.IFS(M5432="נח",1,M5432="נע ונח",1,M5432="שני שווא נח",2,M5432="שני שוואים בסוף מילה",2,M5432="שני שוואים ברצף",1),"0")</f>
        <v>1</v>
      </c>
      <c r="J5432" s="9">
        <f t="shared" si="343"/>
        <v>2</v>
      </c>
      <c r="K5432" t="s">
        <v>6698</v>
      </c>
      <c r="L5432" t="s">
        <v>6694</v>
      </c>
      <c r="M5432" t="s">
        <v>6705</v>
      </c>
      <c r="P5432" t="s">
        <v>6694</v>
      </c>
      <c r="U5432" t="s">
        <v>6694</v>
      </c>
      <c r="W5432" t="s">
        <v>6720</v>
      </c>
    </row>
    <row r="5433" spans="1:23" ht="15.6" x14ac:dyDescent="0.4">
      <c r="A5433" s="2" t="s">
        <v>40</v>
      </c>
      <c r="B5433" s="5" t="s">
        <v>11513</v>
      </c>
      <c r="C5433" s="7" t="s">
        <v>12556</v>
      </c>
      <c r="D5433" s="8">
        <f t="shared" si="340"/>
        <v>0</v>
      </c>
      <c r="E5433" s="7" t="s">
        <v>12557</v>
      </c>
      <c r="F5433" s="7">
        <f t="shared" si="341"/>
        <v>0</v>
      </c>
      <c r="G5433" s="7" t="s">
        <v>12558</v>
      </c>
      <c r="H5433" s="7">
        <f t="shared" si="342"/>
        <v>0</v>
      </c>
      <c r="I5433" s="7" t="str" cm="1">
        <f t="array" ref="I5433">IFERROR(_xlfn.IFS(M5433="נח",1,M5433="נע ונח",1,M5433="שני שווא נח",2,M5433="שני שוואים בסוף מילה",2,M5433="שני שוואים ברצף",1),"0")</f>
        <v>0</v>
      </c>
      <c r="J5433" s="9">
        <f t="shared" si="343"/>
        <v>1</v>
      </c>
      <c r="K5433" t="s">
        <v>6698</v>
      </c>
      <c r="L5433" t="s">
        <v>6695</v>
      </c>
      <c r="P5433" t="s">
        <v>6694</v>
      </c>
      <c r="W5433" t="s">
        <v>6720</v>
      </c>
    </row>
    <row r="5434" spans="1:23" ht="15.6" x14ac:dyDescent="0.4">
      <c r="A5434" s="2" t="s">
        <v>3192</v>
      </c>
      <c r="B5434" s="5" t="s">
        <v>11424</v>
      </c>
      <c r="C5434" s="7" t="s">
        <v>12556</v>
      </c>
      <c r="D5434" s="8">
        <f t="shared" si="340"/>
        <v>0</v>
      </c>
      <c r="E5434" s="7" t="s">
        <v>12557</v>
      </c>
      <c r="F5434" s="7">
        <f t="shared" si="341"/>
        <v>1</v>
      </c>
      <c r="G5434" s="7" t="s">
        <v>12558</v>
      </c>
      <c r="H5434" s="7">
        <f t="shared" si="342"/>
        <v>1</v>
      </c>
      <c r="I5434" s="7" cm="1">
        <f t="array" ref="I5434">IFERROR(_xlfn.IFS(M5434="נח",1,M5434="נע ונח",1,M5434="שני שווא נח",2,M5434="שני שוואים בסוף מילה",2,M5434="שני שוואים ברצף",1),"0")</f>
        <v>1</v>
      </c>
      <c r="J5434" s="9">
        <f t="shared" si="343"/>
        <v>2</v>
      </c>
      <c r="K5434" t="s">
        <v>6698</v>
      </c>
      <c r="L5434" t="s">
        <v>6694</v>
      </c>
      <c r="M5434" t="s">
        <v>6705</v>
      </c>
      <c r="P5434" t="s">
        <v>6694</v>
      </c>
      <c r="U5434" t="s">
        <v>6694</v>
      </c>
      <c r="W5434" t="s">
        <v>6720</v>
      </c>
    </row>
    <row r="5435" spans="1:23" ht="15.6" x14ac:dyDescent="0.4">
      <c r="A5435" s="2" t="s">
        <v>1440</v>
      </c>
      <c r="B5435" s="5" t="s">
        <v>11462</v>
      </c>
      <c r="C5435" s="7" t="s">
        <v>12556</v>
      </c>
      <c r="D5435" s="8">
        <f t="shared" si="340"/>
        <v>0</v>
      </c>
      <c r="E5435" s="7" t="s">
        <v>12557</v>
      </c>
      <c r="F5435" s="7">
        <f t="shared" si="341"/>
        <v>0</v>
      </c>
      <c r="G5435" s="7" t="s">
        <v>12558</v>
      </c>
      <c r="H5435" s="7">
        <f t="shared" si="342"/>
        <v>0</v>
      </c>
      <c r="I5435" s="7" t="str" cm="1">
        <f t="array" ref="I5435">IFERROR(_xlfn.IFS(M5435="נח",1,M5435="נע ונח",1,M5435="שני שווא נח",2,M5435="שני שוואים בסוף מילה",2,M5435="שני שוואים ברצף",1),"0")</f>
        <v>0</v>
      </c>
      <c r="J5435" s="9">
        <f t="shared" si="343"/>
        <v>1</v>
      </c>
      <c r="K5435" t="s">
        <v>6698</v>
      </c>
      <c r="L5435" t="s">
        <v>6695</v>
      </c>
      <c r="P5435" t="s">
        <v>6694</v>
      </c>
      <c r="W5435" t="s">
        <v>6720</v>
      </c>
    </row>
    <row r="5436" spans="1:23" ht="15.6" x14ac:dyDescent="0.4">
      <c r="A5436" s="2" t="s">
        <v>71</v>
      </c>
      <c r="B5436" s="5" t="s">
        <v>11463</v>
      </c>
      <c r="C5436" s="7" t="s">
        <v>12556</v>
      </c>
      <c r="D5436" s="8">
        <f t="shared" si="340"/>
        <v>0</v>
      </c>
      <c r="E5436" s="7" t="s">
        <v>12557</v>
      </c>
      <c r="F5436" s="7">
        <f t="shared" si="341"/>
        <v>1</v>
      </c>
      <c r="G5436" s="7" t="s">
        <v>12558</v>
      </c>
      <c r="H5436" s="7">
        <f t="shared" si="342"/>
        <v>0</v>
      </c>
      <c r="I5436" s="7" cm="1">
        <f t="array" ref="I5436">IFERROR(_xlfn.IFS(M5436="נח",1,M5436="נע ונח",1,M5436="שני שווא נח",2,M5436="שני שוואים בסוף מילה",2,M5436="שני שוואים ברצף",1),"0")</f>
        <v>1</v>
      </c>
      <c r="J5436" s="9">
        <f t="shared" si="343"/>
        <v>2</v>
      </c>
      <c r="K5436" t="s">
        <v>6697</v>
      </c>
      <c r="L5436" t="s">
        <v>6694</v>
      </c>
      <c r="M5436" t="s">
        <v>6705</v>
      </c>
      <c r="O5436" t="s">
        <v>6694</v>
      </c>
      <c r="P5436" t="s">
        <v>6694</v>
      </c>
      <c r="W5436" t="s">
        <v>6720</v>
      </c>
    </row>
    <row r="5437" spans="1:23" ht="15.6" x14ac:dyDescent="0.4">
      <c r="A5437" s="2" t="s">
        <v>2919</v>
      </c>
      <c r="B5437" s="5" t="s">
        <v>11464</v>
      </c>
      <c r="C5437" s="7" t="s">
        <v>12556</v>
      </c>
      <c r="D5437" s="8">
        <f t="shared" si="340"/>
        <v>0</v>
      </c>
      <c r="E5437" s="7" t="s">
        <v>12557</v>
      </c>
      <c r="F5437" s="7">
        <f t="shared" si="341"/>
        <v>1</v>
      </c>
      <c r="G5437" s="7" t="s">
        <v>12558</v>
      </c>
      <c r="H5437" s="7">
        <f t="shared" si="342"/>
        <v>0</v>
      </c>
      <c r="I5437" s="7" t="str" cm="1">
        <f t="array" ref="I5437">IFERROR(_xlfn.IFS(M5437="נח",1,M5437="נע ונח",1,M5437="שני שווא נח",2,M5437="שני שוואים בסוף מילה",2,M5437="שני שוואים ברצף",1),"0")</f>
        <v>0</v>
      </c>
      <c r="J5437" s="9">
        <f t="shared" si="343"/>
        <v>2</v>
      </c>
      <c r="K5437" t="s">
        <v>6697</v>
      </c>
      <c r="L5437" t="s">
        <v>6695</v>
      </c>
      <c r="P5437" t="s">
        <v>6694</v>
      </c>
      <c r="S5437" t="s">
        <v>6694</v>
      </c>
      <c r="W5437" t="s">
        <v>6720</v>
      </c>
    </row>
    <row r="5438" spans="1:23" ht="15.6" x14ac:dyDescent="0.4">
      <c r="A5438" s="2" t="s">
        <v>1664</v>
      </c>
      <c r="B5438" s="5" t="s">
        <v>11514</v>
      </c>
      <c r="C5438" s="7" t="s">
        <v>12556</v>
      </c>
      <c r="D5438" s="8">
        <f t="shared" si="340"/>
        <v>0</v>
      </c>
      <c r="E5438" s="7" t="s">
        <v>12557</v>
      </c>
      <c r="F5438" s="7">
        <f t="shared" si="341"/>
        <v>1</v>
      </c>
      <c r="G5438" s="7" t="s">
        <v>12558</v>
      </c>
      <c r="H5438" s="7">
        <f t="shared" si="342"/>
        <v>0</v>
      </c>
      <c r="I5438" s="7" t="str" cm="1">
        <f t="array" ref="I5438">IFERROR(_xlfn.IFS(M5438="נח",1,M5438="נע ונח",1,M5438="שני שווא נח",2,M5438="שני שוואים בסוף מילה",2,M5438="שני שוואים ברצף",1),"0")</f>
        <v>0</v>
      </c>
      <c r="J5438" s="9">
        <f t="shared" si="343"/>
        <v>2</v>
      </c>
      <c r="K5438" t="s">
        <v>6698</v>
      </c>
      <c r="L5438" t="s">
        <v>6695</v>
      </c>
      <c r="P5438" t="s">
        <v>6694</v>
      </c>
      <c r="S5438" t="s">
        <v>6694</v>
      </c>
      <c r="W5438" t="s">
        <v>6720</v>
      </c>
    </row>
    <row r="5439" spans="1:23" ht="15.6" x14ac:dyDescent="0.4">
      <c r="A5439" s="2" t="s">
        <v>3724</v>
      </c>
      <c r="B5439" s="5" t="s">
        <v>11463</v>
      </c>
      <c r="C5439" s="7" t="s">
        <v>12556</v>
      </c>
      <c r="D5439" s="8">
        <f t="shared" si="340"/>
        <v>0</v>
      </c>
      <c r="E5439" s="7" t="s">
        <v>12557</v>
      </c>
      <c r="F5439" s="7">
        <f t="shared" si="341"/>
        <v>1</v>
      </c>
      <c r="G5439" s="7" t="s">
        <v>12558</v>
      </c>
      <c r="H5439" s="7">
        <f t="shared" si="342"/>
        <v>0</v>
      </c>
      <c r="I5439" s="7" cm="1">
        <f t="array" ref="I5439">IFERROR(_xlfn.IFS(M5439="נח",1,M5439="נע ונח",1,M5439="שני שווא נח",2,M5439="שני שוואים בסוף מילה",2,M5439="שני שוואים ברצף",1),"0")</f>
        <v>1</v>
      </c>
      <c r="J5439" s="9">
        <f t="shared" si="343"/>
        <v>2</v>
      </c>
      <c r="K5439" t="s">
        <v>6698</v>
      </c>
      <c r="L5439" t="s">
        <v>6694</v>
      </c>
      <c r="M5439" t="s">
        <v>6705</v>
      </c>
      <c r="P5439" t="s">
        <v>6694</v>
      </c>
      <c r="Q5439" t="s">
        <v>6694</v>
      </c>
      <c r="W5439" t="s">
        <v>6720</v>
      </c>
    </row>
    <row r="5440" spans="1:23" ht="15.6" x14ac:dyDescent="0.4">
      <c r="A5440" s="2" t="s">
        <v>776</v>
      </c>
      <c r="B5440" s="5" t="s">
        <v>11463</v>
      </c>
      <c r="C5440" s="7" t="s">
        <v>12556</v>
      </c>
      <c r="D5440" s="8">
        <f t="shared" si="340"/>
        <v>0</v>
      </c>
      <c r="E5440" s="7" t="s">
        <v>12557</v>
      </c>
      <c r="F5440" s="7">
        <f t="shared" si="341"/>
        <v>1</v>
      </c>
      <c r="G5440" s="7" t="s">
        <v>12558</v>
      </c>
      <c r="H5440" s="7">
        <f t="shared" si="342"/>
        <v>0</v>
      </c>
      <c r="I5440" s="7" t="str" cm="1">
        <f t="array" ref="I5440">IFERROR(_xlfn.IFS(M5440="נח",1,M5440="נע ונח",1,M5440="שני שווא נח",2,M5440="שני שוואים בסוף מילה",2,M5440="שני שוואים ברצף",1),"0")</f>
        <v>0</v>
      </c>
      <c r="J5440" s="9">
        <f t="shared" si="343"/>
        <v>3</v>
      </c>
      <c r="K5440" t="s">
        <v>6697</v>
      </c>
      <c r="L5440" t="s">
        <v>6695</v>
      </c>
      <c r="O5440" t="s">
        <v>6694</v>
      </c>
      <c r="P5440" t="s">
        <v>6694</v>
      </c>
      <c r="R5440" t="s">
        <v>6694</v>
      </c>
      <c r="W5440" t="s">
        <v>6720</v>
      </c>
    </row>
    <row r="5441" spans="1:23" ht="15.6" x14ac:dyDescent="0.4">
      <c r="A5441" s="2" t="s">
        <v>112</v>
      </c>
      <c r="B5441" s="5" t="s">
        <v>11467</v>
      </c>
      <c r="C5441" s="7" t="s">
        <v>12556</v>
      </c>
      <c r="D5441" s="8">
        <f t="shared" si="340"/>
        <v>0</v>
      </c>
      <c r="E5441" s="7" t="s">
        <v>12557</v>
      </c>
      <c r="F5441" s="7">
        <f t="shared" si="341"/>
        <v>1</v>
      </c>
      <c r="G5441" s="7" t="s">
        <v>12558</v>
      </c>
      <c r="H5441" s="7">
        <f t="shared" si="342"/>
        <v>0</v>
      </c>
      <c r="I5441" s="7" t="str" cm="1">
        <f t="array" ref="I5441">IFERROR(_xlfn.IFS(M5441="נח",1,M5441="נע ונח",1,M5441="שני שווא נח",2,M5441="שני שוואים בסוף מילה",2,M5441="שני שוואים ברצף",1),"0")</f>
        <v>0</v>
      </c>
      <c r="J5441" s="9">
        <f t="shared" si="343"/>
        <v>2</v>
      </c>
      <c r="K5441" t="s">
        <v>6697</v>
      </c>
      <c r="L5441" t="s">
        <v>6695</v>
      </c>
      <c r="P5441" t="s">
        <v>6694</v>
      </c>
      <c r="V5441" t="s">
        <v>6694</v>
      </c>
      <c r="W5441" t="s">
        <v>6720</v>
      </c>
    </row>
    <row r="5442" spans="1:23" ht="15.6" x14ac:dyDescent="0.4">
      <c r="A5442" s="2" t="s">
        <v>4662</v>
      </c>
      <c r="B5442" s="5" t="s">
        <v>11515</v>
      </c>
      <c r="C5442" s="7" t="s">
        <v>12556</v>
      </c>
      <c r="D5442" s="8">
        <f t="shared" si="340"/>
        <v>0</v>
      </c>
      <c r="E5442" s="7" t="s">
        <v>12557</v>
      </c>
      <c r="F5442" s="7">
        <f t="shared" si="341"/>
        <v>2</v>
      </c>
      <c r="G5442" s="7" t="s">
        <v>12558</v>
      </c>
      <c r="H5442" s="7">
        <f t="shared" si="342"/>
        <v>1</v>
      </c>
      <c r="I5442" s="7" t="str" cm="1">
        <f t="array" ref="I5442">IFERROR(_xlfn.IFS(M5442="נח",1,M5442="נע ונח",1,M5442="שני שווא נח",2,M5442="שני שוואים בסוף מילה",2,M5442="שני שוואים ברצף",1),"0")</f>
        <v>0</v>
      </c>
      <c r="J5442" s="9">
        <f t="shared" si="343"/>
        <v>4</v>
      </c>
      <c r="K5442" t="s">
        <v>6698</v>
      </c>
      <c r="L5442" t="s">
        <v>6695</v>
      </c>
      <c r="O5442" t="s">
        <v>6694</v>
      </c>
      <c r="P5442" t="s">
        <v>6694</v>
      </c>
      <c r="R5442" t="s">
        <v>6694</v>
      </c>
      <c r="U5442" t="s">
        <v>6694</v>
      </c>
      <c r="W5442" t="s">
        <v>6720</v>
      </c>
    </row>
    <row r="5443" spans="1:23" ht="15.6" x14ac:dyDescent="0.4">
      <c r="A5443" s="2" t="s">
        <v>4710</v>
      </c>
      <c r="B5443" s="5" t="s">
        <v>11516</v>
      </c>
      <c r="C5443" s="7" t="s">
        <v>12556</v>
      </c>
      <c r="D5443" s="8">
        <f t="shared" ref="D5443:D5506" si="344">(LEN(B5443)-LEN(SUBSTITUTE(B5443,C5443,"")))</f>
        <v>0</v>
      </c>
      <c r="E5443" s="7" t="s">
        <v>12557</v>
      </c>
      <c r="F5443" s="7">
        <f t="shared" ref="F5443:F5506" si="345">(LEN(A5443)-LEN(SUBSTITUTE(A5443,E5443,"")))</f>
        <v>0</v>
      </c>
      <c r="G5443" s="7" t="s">
        <v>12558</v>
      </c>
      <c r="H5443" s="7">
        <f t="shared" ref="H5443:H5506" si="346">(LEN(A5443)-LEN(SUBSTITUTE(A5443,G5443,"")))/2</f>
        <v>0</v>
      </c>
      <c r="I5443" s="7" cm="1">
        <f t="array" ref="I5443">IFERROR(_xlfn.IFS(M5443="נח",1,M5443="נע ונח",1,M5443="שני שווא נח",2,M5443="שני שוואים בסוף מילה",2,M5443="שני שוואים ברצף",1),"0")</f>
        <v>1</v>
      </c>
      <c r="J5443" s="9">
        <f t="shared" ref="J5443:J5506" si="347">LEN(A5443)-(LEN(B5443))-D5443-F5443+H5443-I5443</f>
        <v>2</v>
      </c>
      <c r="K5443" t="s">
        <v>6698</v>
      </c>
      <c r="L5443" t="s">
        <v>6694</v>
      </c>
      <c r="M5443" t="s">
        <v>6705</v>
      </c>
      <c r="P5443" t="s">
        <v>6694</v>
      </c>
      <c r="Q5443" t="s">
        <v>6694</v>
      </c>
      <c r="W5443" t="s">
        <v>6720</v>
      </c>
    </row>
    <row r="5444" spans="1:23" ht="15.6" x14ac:dyDescent="0.4">
      <c r="A5444" s="2" t="s">
        <v>2455</v>
      </c>
      <c r="B5444" s="5" t="s">
        <v>11517</v>
      </c>
      <c r="C5444" s="7" t="s">
        <v>12556</v>
      </c>
      <c r="D5444" s="8">
        <f t="shared" si="344"/>
        <v>0</v>
      </c>
      <c r="E5444" s="7" t="s">
        <v>12557</v>
      </c>
      <c r="F5444" s="7">
        <f t="shared" si="345"/>
        <v>1</v>
      </c>
      <c r="G5444" s="7" t="s">
        <v>12558</v>
      </c>
      <c r="H5444" s="7">
        <f t="shared" si="346"/>
        <v>0</v>
      </c>
      <c r="I5444" s="7" cm="1">
        <f t="array" ref="I5444">IFERROR(_xlfn.IFS(M5444="נח",1,M5444="נע ונח",1,M5444="שני שווא נח",2,M5444="שני שוואים בסוף מילה",2,M5444="שני שוואים ברצף",1),"0")</f>
        <v>1</v>
      </c>
      <c r="J5444" s="9">
        <f t="shared" si="347"/>
        <v>3</v>
      </c>
      <c r="K5444" t="s">
        <v>6698</v>
      </c>
      <c r="L5444" t="s">
        <v>6694</v>
      </c>
      <c r="M5444" t="s">
        <v>6705</v>
      </c>
      <c r="N5444" t="s">
        <v>6706</v>
      </c>
      <c r="O5444" t="s">
        <v>6694</v>
      </c>
      <c r="P5444" t="s">
        <v>6694</v>
      </c>
      <c r="W5444" t="s">
        <v>6720</v>
      </c>
    </row>
    <row r="5445" spans="1:23" ht="15.6" x14ac:dyDescent="0.4">
      <c r="A5445" s="2" t="s">
        <v>3970</v>
      </c>
      <c r="B5445" s="5" t="s">
        <v>11442</v>
      </c>
      <c r="C5445" s="7" t="s">
        <v>12556</v>
      </c>
      <c r="D5445" s="8">
        <f t="shared" si="344"/>
        <v>0</v>
      </c>
      <c r="E5445" s="7" t="s">
        <v>12557</v>
      </c>
      <c r="F5445" s="7">
        <f t="shared" si="345"/>
        <v>0</v>
      </c>
      <c r="G5445" s="7" t="s">
        <v>12558</v>
      </c>
      <c r="H5445" s="7">
        <f t="shared" si="346"/>
        <v>0</v>
      </c>
      <c r="I5445" s="7" cm="1">
        <f t="array" ref="I5445">IFERROR(_xlfn.IFS(M5445="נח",1,M5445="נע ונח",1,M5445="שני שווא נח",2,M5445="שני שוואים בסוף מילה",2,M5445="שני שוואים ברצף",1),"0")</f>
        <v>1</v>
      </c>
      <c r="J5445" s="9">
        <f t="shared" si="347"/>
        <v>2</v>
      </c>
      <c r="K5445" t="s">
        <v>6698</v>
      </c>
      <c r="L5445" t="s">
        <v>6694</v>
      </c>
      <c r="M5445" t="s">
        <v>6705</v>
      </c>
      <c r="P5445" t="s">
        <v>6694</v>
      </c>
      <c r="V5445" t="s">
        <v>6694</v>
      </c>
      <c r="W5445" t="s">
        <v>6720</v>
      </c>
    </row>
    <row r="5446" spans="1:23" ht="15.6" x14ac:dyDescent="0.4">
      <c r="A5446" s="2" t="s">
        <v>982</v>
      </c>
      <c r="B5446" s="5" t="s">
        <v>11518</v>
      </c>
      <c r="C5446" s="7" t="s">
        <v>12556</v>
      </c>
      <c r="D5446" s="8">
        <f t="shared" si="344"/>
        <v>0</v>
      </c>
      <c r="E5446" s="7" t="s">
        <v>12557</v>
      </c>
      <c r="F5446" s="7">
        <f t="shared" si="345"/>
        <v>0</v>
      </c>
      <c r="G5446" s="7" t="s">
        <v>12558</v>
      </c>
      <c r="H5446" s="7">
        <f t="shared" si="346"/>
        <v>0</v>
      </c>
      <c r="I5446" s="7" cm="1">
        <f t="array" ref="I5446">IFERROR(_xlfn.IFS(M5446="נח",1,M5446="נע ונח",1,M5446="שני שווא נח",2,M5446="שני שוואים בסוף מילה",2,M5446="שני שוואים ברצף",1),"0")</f>
        <v>1</v>
      </c>
      <c r="J5446" s="9">
        <f t="shared" si="347"/>
        <v>3</v>
      </c>
      <c r="K5446" t="s">
        <v>6698</v>
      </c>
      <c r="L5446" t="s">
        <v>6694</v>
      </c>
      <c r="M5446" t="s">
        <v>6705</v>
      </c>
      <c r="P5446" t="s">
        <v>6694</v>
      </c>
      <c r="V5446" t="s">
        <v>6694</v>
      </c>
      <c r="W5446" t="s">
        <v>6720</v>
      </c>
    </row>
    <row r="5447" spans="1:23" ht="15.6" x14ac:dyDescent="0.4">
      <c r="A5447" s="2" t="s">
        <v>5880</v>
      </c>
      <c r="B5447" s="5" t="s">
        <v>11518</v>
      </c>
      <c r="C5447" s="7" t="s">
        <v>12556</v>
      </c>
      <c r="D5447" s="8">
        <f t="shared" si="344"/>
        <v>0</v>
      </c>
      <c r="E5447" s="7" t="s">
        <v>12557</v>
      </c>
      <c r="F5447" s="7">
        <f t="shared" si="345"/>
        <v>0</v>
      </c>
      <c r="G5447" s="7" t="s">
        <v>12558</v>
      </c>
      <c r="H5447" s="7">
        <f t="shared" si="346"/>
        <v>0</v>
      </c>
      <c r="I5447" s="7" cm="1">
        <f t="array" ref="I5447">IFERROR(_xlfn.IFS(M5447="נח",1,M5447="נע ונח",1,M5447="שני שווא נח",2,M5447="שני שוואים בסוף מילה",2,M5447="שני שוואים ברצף",1),"0")</f>
        <v>1</v>
      </c>
      <c r="J5447" s="9">
        <f t="shared" si="347"/>
        <v>3</v>
      </c>
      <c r="K5447" t="s">
        <v>6698</v>
      </c>
      <c r="L5447" t="s">
        <v>6694</v>
      </c>
      <c r="M5447" t="s">
        <v>6705</v>
      </c>
      <c r="N5447" t="s">
        <v>6706</v>
      </c>
      <c r="O5447" t="s">
        <v>6694</v>
      </c>
      <c r="P5447" t="s">
        <v>6694</v>
      </c>
      <c r="V5447" t="s">
        <v>6694</v>
      </c>
      <c r="W5447" t="s">
        <v>6720</v>
      </c>
    </row>
    <row r="5448" spans="1:23" ht="15.6" x14ac:dyDescent="0.4">
      <c r="A5448" s="2" t="s">
        <v>3034</v>
      </c>
      <c r="B5448" s="5" t="s">
        <v>11519</v>
      </c>
      <c r="C5448" s="7" t="s">
        <v>12556</v>
      </c>
      <c r="D5448" s="8">
        <f t="shared" si="344"/>
        <v>0</v>
      </c>
      <c r="E5448" s="7" t="s">
        <v>12557</v>
      </c>
      <c r="F5448" s="7">
        <f t="shared" si="345"/>
        <v>1</v>
      </c>
      <c r="G5448" s="7" t="s">
        <v>12558</v>
      </c>
      <c r="H5448" s="7">
        <f t="shared" si="346"/>
        <v>0</v>
      </c>
      <c r="I5448" s="7" cm="1">
        <f t="array" ref="I5448">IFERROR(_xlfn.IFS(M5448="נח",1,M5448="נע ונח",1,M5448="שני שווא נח",2,M5448="שני שוואים בסוף מילה",2,M5448="שני שוואים ברצף",1),"0")</f>
        <v>1</v>
      </c>
      <c r="J5448" s="9">
        <f t="shared" si="347"/>
        <v>3</v>
      </c>
      <c r="K5448" t="s">
        <v>6698</v>
      </c>
      <c r="L5448" t="s">
        <v>6694</v>
      </c>
      <c r="M5448" t="s">
        <v>6705</v>
      </c>
      <c r="N5448" t="s">
        <v>6706</v>
      </c>
      <c r="O5448" t="s">
        <v>6694</v>
      </c>
      <c r="P5448" t="s">
        <v>6694</v>
      </c>
      <c r="V5448" t="s">
        <v>6694</v>
      </c>
      <c r="W5448" t="s">
        <v>6720</v>
      </c>
    </row>
    <row r="5449" spans="1:23" ht="15.6" x14ac:dyDescent="0.4">
      <c r="A5449" s="2" t="s">
        <v>2366</v>
      </c>
      <c r="B5449" s="5" t="s">
        <v>11520</v>
      </c>
      <c r="C5449" s="7" t="s">
        <v>12556</v>
      </c>
      <c r="D5449" s="8">
        <f t="shared" si="344"/>
        <v>1</v>
      </c>
      <c r="E5449" s="7" t="s">
        <v>12557</v>
      </c>
      <c r="F5449" s="7">
        <f t="shared" si="345"/>
        <v>0</v>
      </c>
      <c r="G5449" s="7" t="s">
        <v>12558</v>
      </c>
      <c r="H5449" s="7">
        <f t="shared" si="346"/>
        <v>0</v>
      </c>
      <c r="I5449" s="7" cm="1">
        <f t="array" ref="I5449">IFERROR(_xlfn.IFS(M5449="נח",1,M5449="נע ונח",1,M5449="שני שווא נח",2,M5449="שני שוואים בסוף מילה",2,M5449="שני שוואים ברצף",1),"0")</f>
        <v>1</v>
      </c>
      <c r="J5449" s="9">
        <f t="shared" si="347"/>
        <v>2</v>
      </c>
      <c r="K5449" t="s">
        <v>6697</v>
      </c>
      <c r="L5449" t="s">
        <v>6694</v>
      </c>
      <c r="M5449" t="s">
        <v>6705</v>
      </c>
      <c r="P5449" t="s">
        <v>6694</v>
      </c>
      <c r="S5449" t="s">
        <v>6694</v>
      </c>
      <c r="W5449" t="s">
        <v>6720</v>
      </c>
    </row>
    <row r="5450" spans="1:23" ht="15.6" x14ac:dyDescent="0.4">
      <c r="A5450" s="2" t="s">
        <v>1825</v>
      </c>
      <c r="B5450" s="5" t="s">
        <v>11521</v>
      </c>
      <c r="C5450" s="7" t="s">
        <v>12556</v>
      </c>
      <c r="D5450" s="8">
        <f t="shared" si="344"/>
        <v>0</v>
      </c>
      <c r="E5450" s="7" t="s">
        <v>12557</v>
      </c>
      <c r="F5450" s="7">
        <f t="shared" si="345"/>
        <v>1</v>
      </c>
      <c r="G5450" s="7" t="s">
        <v>12558</v>
      </c>
      <c r="H5450" s="7">
        <f t="shared" si="346"/>
        <v>0</v>
      </c>
      <c r="I5450" s="7" t="str" cm="1">
        <f t="array" ref="I5450">IFERROR(_xlfn.IFS(M5450="נח",1,M5450="נע ונח",1,M5450="שני שווא נח",2,M5450="שני שוואים בסוף מילה",2,M5450="שני שוואים ברצף",1),"0")</f>
        <v>0</v>
      </c>
      <c r="J5450" s="9">
        <f t="shared" si="347"/>
        <v>2</v>
      </c>
      <c r="K5450" t="s">
        <v>6697</v>
      </c>
      <c r="L5450" t="s">
        <v>6695</v>
      </c>
      <c r="O5450" t="s">
        <v>6694</v>
      </c>
      <c r="P5450" t="s">
        <v>6694</v>
      </c>
      <c r="W5450" t="s">
        <v>6720</v>
      </c>
    </row>
    <row r="5451" spans="1:23" ht="15.6" x14ac:dyDescent="0.4">
      <c r="A5451" s="2" t="s">
        <v>4458</v>
      </c>
      <c r="B5451" s="5" t="s">
        <v>11522</v>
      </c>
      <c r="C5451" s="7" t="s">
        <v>12556</v>
      </c>
      <c r="D5451" s="8">
        <f t="shared" si="344"/>
        <v>0</v>
      </c>
      <c r="E5451" s="7" t="s">
        <v>12557</v>
      </c>
      <c r="F5451" s="7">
        <f t="shared" si="345"/>
        <v>2</v>
      </c>
      <c r="G5451" s="7" t="s">
        <v>12558</v>
      </c>
      <c r="H5451" s="7">
        <f t="shared" si="346"/>
        <v>1</v>
      </c>
      <c r="I5451" s="7" t="str" cm="1">
        <f t="array" ref="I5451">IFERROR(_xlfn.IFS(M5451="נח",1,M5451="נע ונח",1,M5451="שני שווא נח",2,M5451="שני שוואים בסוף מילה",2,M5451="שני שוואים ברצף",1),"0")</f>
        <v>0</v>
      </c>
      <c r="J5451" s="9">
        <f t="shared" si="347"/>
        <v>3</v>
      </c>
      <c r="K5451" t="s">
        <v>6698</v>
      </c>
      <c r="L5451" t="s">
        <v>6695</v>
      </c>
      <c r="P5451" t="s">
        <v>6694</v>
      </c>
      <c r="S5451" t="s">
        <v>6694</v>
      </c>
      <c r="U5451" t="s">
        <v>6694</v>
      </c>
      <c r="W5451" t="s">
        <v>6720</v>
      </c>
    </row>
    <row r="5452" spans="1:23" ht="15.6" x14ac:dyDescent="0.4">
      <c r="A5452" s="2" t="s">
        <v>2849</v>
      </c>
      <c r="B5452" s="5" t="s">
        <v>11523</v>
      </c>
      <c r="C5452" s="7" t="s">
        <v>12556</v>
      </c>
      <c r="D5452" s="8">
        <f t="shared" si="344"/>
        <v>0</v>
      </c>
      <c r="E5452" s="7" t="s">
        <v>12557</v>
      </c>
      <c r="F5452" s="7">
        <f t="shared" si="345"/>
        <v>0</v>
      </c>
      <c r="G5452" s="7" t="s">
        <v>12558</v>
      </c>
      <c r="H5452" s="7">
        <f t="shared" si="346"/>
        <v>0</v>
      </c>
      <c r="I5452" s="7" cm="1">
        <f t="array" ref="I5452">IFERROR(_xlfn.IFS(M5452="נח",1,M5452="נע ונח",1,M5452="שני שווא נח",2,M5452="שני שוואים בסוף מילה",2,M5452="שני שוואים ברצף",1),"0")</f>
        <v>1</v>
      </c>
      <c r="J5452" s="9">
        <f t="shared" si="347"/>
        <v>2</v>
      </c>
      <c r="K5452" t="s">
        <v>6697</v>
      </c>
      <c r="L5452" t="s">
        <v>6694</v>
      </c>
      <c r="M5452" t="s">
        <v>6705</v>
      </c>
      <c r="N5452" t="s">
        <v>6706</v>
      </c>
      <c r="O5452" t="s">
        <v>6694</v>
      </c>
      <c r="W5452" t="s">
        <v>6720</v>
      </c>
    </row>
    <row r="5453" spans="1:23" ht="15.6" x14ac:dyDescent="0.4">
      <c r="A5453" s="2" t="s">
        <v>1995</v>
      </c>
      <c r="B5453" s="5" t="s">
        <v>11524</v>
      </c>
      <c r="C5453" s="7" t="s">
        <v>12556</v>
      </c>
      <c r="D5453" s="8">
        <f t="shared" si="344"/>
        <v>0</v>
      </c>
      <c r="E5453" s="7" t="s">
        <v>12557</v>
      </c>
      <c r="F5453" s="7">
        <f t="shared" si="345"/>
        <v>1</v>
      </c>
      <c r="G5453" s="7" t="s">
        <v>12558</v>
      </c>
      <c r="H5453" s="7">
        <f t="shared" si="346"/>
        <v>1</v>
      </c>
      <c r="I5453" s="7" cm="1">
        <f t="array" ref="I5453">IFERROR(_xlfn.IFS(M5453="נח",1,M5453="נע ונח",1,M5453="שני שווא נח",2,M5453="שני שוואים בסוף מילה",2,M5453="שני שוואים ברצף",1),"0")</f>
        <v>1</v>
      </c>
      <c r="J5453" s="9">
        <f t="shared" si="347"/>
        <v>2</v>
      </c>
      <c r="K5453" t="s">
        <v>6697</v>
      </c>
      <c r="L5453" t="s">
        <v>6694</v>
      </c>
      <c r="M5453" t="s">
        <v>6705</v>
      </c>
      <c r="N5453" t="s">
        <v>6706</v>
      </c>
      <c r="O5453" t="s">
        <v>6694</v>
      </c>
      <c r="U5453" t="s">
        <v>6694</v>
      </c>
      <c r="W5453" t="s">
        <v>6720</v>
      </c>
    </row>
    <row r="5454" spans="1:23" ht="15.6" x14ac:dyDescent="0.4">
      <c r="A5454" s="2" t="s">
        <v>625</v>
      </c>
      <c r="B5454" s="5" t="s">
        <v>11525</v>
      </c>
      <c r="C5454" s="7" t="s">
        <v>12556</v>
      </c>
      <c r="D5454" s="8">
        <f t="shared" si="344"/>
        <v>0</v>
      </c>
      <c r="E5454" s="7" t="s">
        <v>12557</v>
      </c>
      <c r="F5454" s="7">
        <f t="shared" si="345"/>
        <v>0</v>
      </c>
      <c r="G5454" s="7" t="s">
        <v>12558</v>
      </c>
      <c r="H5454" s="7">
        <f t="shared" si="346"/>
        <v>0</v>
      </c>
      <c r="I5454" s="7" t="str" cm="1">
        <f t="array" ref="I5454">IFERROR(_xlfn.IFS(M5454="נח",1,M5454="נע ונח",1,M5454="שני שווא נח",2,M5454="שני שוואים בסוף מילה",2,M5454="שני שוואים ברצף",1),"0")</f>
        <v>0</v>
      </c>
      <c r="J5454" s="9">
        <f t="shared" si="347"/>
        <v>2</v>
      </c>
      <c r="K5454" t="s">
        <v>6698</v>
      </c>
      <c r="L5454" t="s">
        <v>6695</v>
      </c>
      <c r="O5454" t="s">
        <v>6694</v>
      </c>
      <c r="S5454" t="s">
        <v>6694</v>
      </c>
      <c r="W5454" t="s">
        <v>6720</v>
      </c>
    </row>
    <row r="5455" spans="1:23" ht="15.6" x14ac:dyDescent="0.4">
      <c r="A5455" s="2" t="s">
        <v>1991</v>
      </c>
      <c r="B5455" s="5" t="s">
        <v>11526</v>
      </c>
      <c r="C5455" s="7" t="s">
        <v>12556</v>
      </c>
      <c r="D5455" s="8">
        <f t="shared" si="344"/>
        <v>0</v>
      </c>
      <c r="E5455" s="7" t="s">
        <v>12557</v>
      </c>
      <c r="F5455" s="7">
        <f t="shared" si="345"/>
        <v>0</v>
      </c>
      <c r="G5455" s="7" t="s">
        <v>12558</v>
      </c>
      <c r="H5455" s="7">
        <f t="shared" si="346"/>
        <v>0</v>
      </c>
      <c r="I5455" s="7" t="str" cm="1">
        <f t="array" ref="I5455">IFERROR(_xlfn.IFS(M5455="נח",1,M5455="נע ונח",1,M5455="שני שווא נח",2,M5455="שני שוואים בסוף מילה",2,M5455="שני שוואים ברצף",1),"0")</f>
        <v>0</v>
      </c>
      <c r="J5455" s="9">
        <f t="shared" si="347"/>
        <v>2</v>
      </c>
      <c r="K5455" t="s">
        <v>6698</v>
      </c>
      <c r="L5455" t="s">
        <v>6695</v>
      </c>
      <c r="O5455" t="s">
        <v>6694</v>
      </c>
      <c r="Q5455" t="s">
        <v>6694</v>
      </c>
      <c r="W5455" t="s">
        <v>6720</v>
      </c>
    </row>
    <row r="5456" spans="1:23" ht="15.6" x14ac:dyDescent="0.4">
      <c r="A5456" s="2" t="s">
        <v>1994</v>
      </c>
      <c r="B5456" s="5" t="s">
        <v>11527</v>
      </c>
      <c r="C5456" s="7" t="s">
        <v>12556</v>
      </c>
      <c r="D5456" s="8">
        <f t="shared" si="344"/>
        <v>0</v>
      </c>
      <c r="E5456" s="7" t="s">
        <v>12557</v>
      </c>
      <c r="F5456" s="7">
        <f t="shared" si="345"/>
        <v>0</v>
      </c>
      <c r="G5456" s="7" t="s">
        <v>12558</v>
      </c>
      <c r="H5456" s="7">
        <f t="shared" si="346"/>
        <v>0</v>
      </c>
      <c r="I5456" s="7" t="str" cm="1">
        <f t="array" ref="I5456">IFERROR(_xlfn.IFS(M5456="נח",1,M5456="נע ונח",1,M5456="שני שווא נח",2,M5456="שני שוואים בסוף מילה",2,M5456="שני שוואים ברצף",1),"0")</f>
        <v>0</v>
      </c>
      <c r="J5456" s="9">
        <f t="shared" si="347"/>
        <v>2</v>
      </c>
      <c r="K5456" t="s">
        <v>6698</v>
      </c>
      <c r="L5456" t="s">
        <v>6695</v>
      </c>
      <c r="N5456" t="s">
        <v>6706</v>
      </c>
      <c r="O5456" t="s">
        <v>6694</v>
      </c>
      <c r="W5456" t="s">
        <v>6720</v>
      </c>
    </row>
    <row r="5457" spans="1:23" ht="15.6" x14ac:dyDescent="0.4">
      <c r="A5457" s="2" t="s">
        <v>6371</v>
      </c>
      <c r="B5457" s="5" t="s">
        <v>11524</v>
      </c>
      <c r="C5457" s="7" t="s">
        <v>12556</v>
      </c>
      <c r="D5457" s="8">
        <f t="shared" si="344"/>
        <v>0</v>
      </c>
      <c r="E5457" s="7" t="s">
        <v>12557</v>
      </c>
      <c r="F5457" s="7">
        <f t="shared" si="345"/>
        <v>1</v>
      </c>
      <c r="G5457" s="7" t="s">
        <v>12558</v>
      </c>
      <c r="H5457" s="7">
        <f t="shared" si="346"/>
        <v>1</v>
      </c>
      <c r="I5457" s="7" t="str" cm="1">
        <f t="array" ref="I5457">IFERROR(_xlfn.IFS(M5457="נח",1,M5457="נע ונח",1,M5457="שני שווא נח",2,M5457="שני שוואים בסוף מילה",2,M5457="שני שוואים ברצף",1),"0")</f>
        <v>0</v>
      </c>
      <c r="J5457" s="9">
        <f t="shared" si="347"/>
        <v>3</v>
      </c>
      <c r="K5457" t="s">
        <v>6697</v>
      </c>
      <c r="L5457" t="s">
        <v>6695</v>
      </c>
      <c r="O5457" t="s">
        <v>6694</v>
      </c>
      <c r="U5457" t="s">
        <v>6694</v>
      </c>
      <c r="W5457" t="s">
        <v>6720</v>
      </c>
    </row>
    <row r="5458" spans="1:23" ht="15.6" x14ac:dyDescent="0.4">
      <c r="A5458" s="2" t="s">
        <v>4766</v>
      </c>
      <c r="B5458" s="5" t="s">
        <v>11528</v>
      </c>
      <c r="C5458" s="7" t="s">
        <v>12556</v>
      </c>
      <c r="D5458" s="8">
        <f t="shared" si="344"/>
        <v>0</v>
      </c>
      <c r="E5458" s="7" t="s">
        <v>12557</v>
      </c>
      <c r="F5458" s="7">
        <f t="shared" si="345"/>
        <v>0</v>
      </c>
      <c r="G5458" s="7" t="s">
        <v>12558</v>
      </c>
      <c r="H5458" s="7">
        <f t="shared" si="346"/>
        <v>0</v>
      </c>
      <c r="I5458" s="7" t="str" cm="1">
        <f t="array" ref="I5458">IFERROR(_xlfn.IFS(M5458="נח",1,M5458="נע ונח",1,M5458="שני שווא נח",2,M5458="שני שוואים בסוף מילה",2,M5458="שני שוואים ברצף",1),"0")</f>
        <v>0</v>
      </c>
      <c r="J5458" s="9">
        <f t="shared" si="347"/>
        <v>2</v>
      </c>
      <c r="K5458" t="s">
        <v>6698</v>
      </c>
      <c r="L5458" t="s">
        <v>6695</v>
      </c>
      <c r="O5458" t="s">
        <v>6694</v>
      </c>
      <c r="V5458" t="s">
        <v>6694</v>
      </c>
      <c r="W5458" t="s">
        <v>6720</v>
      </c>
    </row>
    <row r="5459" spans="1:23" ht="15.6" x14ac:dyDescent="0.4">
      <c r="A5459" s="2" t="s">
        <v>4361</v>
      </c>
      <c r="B5459" s="5" t="s">
        <v>11492</v>
      </c>
      <c r="C5459" s="7" t="s">
        <v>12556</v>
      </c>
      <c r="D5459" s="8">
        <f t="shared" si="344"/>
        <v>0</v>
      </c>
      <c r="E5459" s="7" t="s">
        <v>12557</v>
      </c>
      <c r="F5459" s="7">
        <f t="shared" si="345"/>
        <v>0</v>
      </c>
      <c r="G5459" s="7" t="s">
        <v>12558</v>
      </c>
      <c r="H5459" s="7">
        <f t="shared" si="346"/>
        <v>0</v>
      </c>
      <c r="I5459" s="7" t="str" cm="1">
        <f t="array" ref="I5459">IFERROR(_xlfn.IFS(M5459="נח",1,M5459="נע ונח",1,M5459="שני שווא נח",2,M5459="שני שוואים בסוף מילה",2,M5459="שני שוואים ברצף",1),"0")</f>
        <v>0</v>
      </c>
      <c r="J5459" s="9">
        <f t="shared" si="347"/>
        <v>3</v>
      </c>
      <c r="K5459" t="s">
        <v>6697</v>
      </c>
      <c r="L5459" t="s">
        <v>6695</v>
      </c>
      <c r="O5459" t="s">
        <v>6694</v>
      </c>
      <c r="R5459" t="s">
        <v>6694</v>
      </c>
      <c r="W5459" t="s">
        <v>6720</v>
      </c>
    </row>
    <row r="5460" spans="1:23" ht="15.6" x14ac:dyDescent="0.4">
      <c r="A5460" s="2" t="s">
        <v>3965</v>
      </c>
      <c r="B5460" s="5" t="s">
        <v>11529</v>
      </c>
      <c r="C5460" s="7" t="s">
        <v>12556</v>
      </c>
      <c r="D5460" s="8">
        <f t="shared" si="344"/>
        <v>0</v>
      </c>
      <c r="E5460" s="7" t="s">
        <v>12557</v>
      </c>
      <c r="F5460" s="7">
        <f t="shared" si="345"/>
        <v>0</v>
      </c>
      <c r="G5460" s="7" t="s">
        <v>12558</v>
      </c>
      <c r="H5460" s="7">
        <f t="shared" si="346"/>
        <v>0</v>
      </c>
      <c r="I5460" s="7" t="str" cm="1">
        <f t="array" ref="I5460">IFERROR(_xlfn.IFS(M5460="נח",1,M5460="נע ונח",1,M5460="שני שווא נח",2,M5460="שני שוואים בסוף מילה",2,M5460="שני שוואים ברצף",1),"0")</f>
        <v>0</v>
      </c>
      <c r="J5460" s="9">
        <f t="shared" si="347"/>
        <v>2</v>
      </c>
      <c r="K5460" t="s">
        <v>6698</v>
      </c>
      <c r="L5460" t="s">
        <v>6695</v>
      </c>
      <c r="O5460" t="s">
        <v>6694</v>
      </c>
      <c r="R5460" t="s">
        <v>6694</v>
      </c>
      <c r="W5460" t="s">
        <v>6720</v>
      </c>
    </row>
    <row r="5461" spans="1:23" ht="15.6" x14ac:dyDescent="0.4">
      <c r="A5461" s="2" t="s">
        <v>2686</v>
      </c>
      <c r="B5461" s="5" t="s">
        <v>11402</v>
      </c>
      <c r="C5461" s="7" t="s">
        <v>12556</v>
      </c>
      <c r="D5461" s="8">
        <f t="shared" si="344"/>
        <v>0</v>
      </c>
      <c r="E5461" s="7" t="s">
        <v>12557</v>
      </c>
      <c r="F5461" s="7">
        <f t="shared" si="345"/>
        <v>0</v>
      </c>
      <c r="G5461" s="7" t="s">
        <v>12558</v>
      </c>
      <c r="H5461" s="7">
        <f t="shared" si="346"/>
        <v>0</v>
      </c>
      <c r="I5461" s="7" t="str" cm="1">
        <f t="array" ref="I5461">IFERROR(_xlfn.IFS(M5461="נח",1,M5461="נע ונח",1,M5461="שני שווא נח",2,M5461="שני שוואים בסוף מילה",2,M5461="שני שוואים ברצף",1),"0")</f>
        <v>0</v>
      </c>
      <c r="J5461" s="9">
        <f t="shared" si="347"/>
        <v>2</v>
      </c>
      <c r="K5461" t="s">
        <v>6698</v>
      </c>
      <c r="L5461" t="s">
        <v>6695</v>
      </c>
      <c r="O5461" t="s">
        <v>6694</v>
      </c>
      <c r="V5461" t="s">
        <v>6694</v>
      </c>
      <c r="W5461" t="s">
        <v>6720</v>
      </c>
    </row>
    <row r="5462" spans="1:23" ht="15.6" x14ac:dyDescent="0.4">
      <c r="A5462" s="2" t="s">
        <v>1972</v>
      </c>
      <c r="B5462" s="5" t="s">
        <v>11530</v>
      </c>
      <c r="C5462" s="7" t="s">
        <v>12556</v>
      </c>
      <c r="D5462" s="8">
        <f t="shared" si="344"/>
        <v>0</v>
      </c>
      <c r="E5462" s="7" t="s">
        <v>12557</v>
      </c>
      <c r="F5462" s="7">
        <f t="shared" si="345"/>
        <v>0</v>
      </c>
      <c r="G5462" s="7" t="s">
        <v>12558</v>
      </c>
      <c r="H5462" s="7">
        <f t="shared" si="346"/>
        <v>0</v>
      </c>
      <c r="I5462" s="7" t="str" cm="1">
        <f t="array" ref="I5462">IFERROR(_xlfn.IFS(M5462="נח",1,M5462="נע ונח",1,M5462="שני שווא נח",2,M5462="שני שוואים בסוף מילה",2,M5462="שני שוואים ברצף",1),"0")</f>
        <v>0</v>
      </c>
      <c r="J5462" s="9">
        <f t="shared" si="347"/>
        <v>1</v>
      </c>
      <c r="K5462" t="s">
        <v>6698</v>
      </c>
      <c r="L5462" t="s">
        <v>6695</v>
      </c>
      <c r="N5462" t="s">
        <v>6706</v>
      </c>
      <c r="O5462" t="s">
        <v>6694</v>
      </c>
      <c r="W5462" t="s">
        <v>6720</v>
      </c>
    </row>
    <row r="5463" spans="1:23" ht="15.6" x14ac:dyDescent="0.4">
      <c r="A5463" s="2" t="s">
        <v>5012</v>
      </c>
      <c r="B5463" s="5" t="s">
        <v>11413</v>
      </c>
      <c r="C5463" s="7" t="s">
        <v>12556</v>
      </c>
      <c r="D5463" s="8">
        <f t="shared" si="344"/>
        <v>0</v>
      </c>
      <c r="E5463" s="7" t="s">
        <v>12557</v>
      </c>
      <c r="F5463" s="7">
        <f t="shared" si="345"/>
        <v>0</v>
      </c>
      <c r="G5463" s="7" t="s">
        <v>12558</v>
      </c>
      <c r="H5463" s="7">
        <f t="shared" si="346"/>
        <v>0</v>
      </c>
      <c r="I5463" s="7" cm="1">
        <f t="array" ref="I5463">IFERROR(_xlfn.IFS(M5463="נח",1,M5463="נע ונח",1,M5463="שני שווא נח",2,M5463="שני שוואים בסוף מילה",2,M5463="שני שוואים ברצף",1),"0")</f>
        <v>1</v>
      </c>
      <c r="J5463" s="9">
        <f t="shared" si="347"/>
        <v>3</v>
      </c>
      <c r="K5463" t="s">
        <v>6697</v>
      </c>
      <c r="L5463" t="s">
        <v>6694</v>
      </c>
      <c r="M5463" t="s">
        <v>6705</v>
      </c>
      <c r="N5463" t="s">
        <v>6706</v>
      </c>
      <c r="O5463" t="s">
        <v>6694</v>
      </c>
      <c r="Q5463" t="s">
        <v>6694</v>
      </c>
      <c r="S5463" t="s">
        <v>6694</v>
      </c>
      <c r="W5463" t="s">
        <v>6720</v>
      </c>
    </row>
    <row r="5464" spans="1:23" ht="15.6" x14ac:dyDescent="0.4">
      <c r="A5464" s="2" t="s">
        <v>5474</v>
      </c>
      <c r="B5464" s="5" t="s">
        <v>11531</v>
      </c>
      <c r="C5464" s="7" t="s">
        <v>12556</v>
      </c>
      <c r="D5464" s="8">
        <f t="shared" si="344"/>
        <v>0</v>
      </c>
      <c r="E5464" s="7" t="s">
        <v>12557</v>
      </c>
      <c r="F5464" s="7">
        <f t="shared" si="345"/>
        <v>1</v>
      </c>
      <c r="G5464" s="7" t="s">
        <v>12558</v>
      </c>
      <c r="H5464" s="7">
        <f t="shared" si="346"/>
        <v>1</v>
      </c>
      <c r="I5464" s="7" cm="1">
        <f t="array" ref="I5464">IFERROR(_xlfn.IFS(M5464="נח",1,M5464="נע ונח",1,M5464="שני שווא נח",2,M5464="שני שוואים בסוף מילה",2,M5464="שני שוואים ברצף",1),"0")</f>
        <v>1</v>
      </c>
      <c r="J5464" s="9">
        <f t="shared" si="347"/>
        <v>3</v>
      </c>
      <c r="K5464" t="s">
        <v>6697</v>
      </c>
      <c r="L5464" t="s">
        <v>6694</v>
      </c>
      <c r="M5464" t="s">
        <v>6705</v>
      </c>
      <c r="N5464" t="s">
        <v>6706</v>
      </c>
      <c r="O5464" t="s">
        <v>6694</v>
      </c>
      <c r="Q5464" t="s">
        <v>6694</v>
      </c>
      <c r="U5464" t="s">
        <v>6694</v>
      </c>
      <c r="W5464" t="s">
        <v>6720</v>
      </c>
    </row>
    <row r="5465" spans="1:23" ht="15.6" x14ac:dyDescent="0.4">
      <c r="A5465" s="2" t="s">
        <v>2403</v>
      </c>
      <c r="B5465" s="5" t="s">
        <v>11532</v>
      </c>
      <c r="C5465" s="7" t="s">
        <v>12556</v>
      </c>
      <c r="D5465" s="8">
        <f t="shared" si="344"/>
        <v>0</v>
      </c>
      <c r="E5465" s="7" t="s">
        <v>12557</v>
      </c>
      <c r="F5465" s="7">
        <f t="shared" si="345"/>
        <v>1</v>
      </c>
      <c r="G5465" s="7" t="s">
        <v>12558</v>
      </c>
      <c r="H5465" s="7">
        <f t="shared" si="346"/>
        <v>0</v>
      </c>
      <c r="I5465" s="7" cm="1">
        <f t="array" ref="I5465">IFERROR(_xlfn.IFS(M5465="נח",1,M5465="נע ונח",1,M5465="שני שווא נח",2,M5465="שני שוואים בסוף מילה",2,M5465="שני שוואים ברצף",1),"0")</f>
        <v>1</v>
      </c>
      <c r="J5465" s="9">
        <f t="shared" si="347"/>
        <v>3</v>
      </c>
      <c r="K5465" t="s">
        <v>6698</v>
      </c>
      <c r="L5465" t="s">
        <v>6694</v>
      </c>
      <c r="M5465" t="s">
        <v>6705</v>
      </c>
      <c r="O5465" t="s">
        <v>6694</v>
      </c>
      <c r="P5465" t="s">
        <v>6694</v>
      </c>
      <c r="W5465" t="s">
        <v>6720</v>
      </c>
    </row>
    <row r="5466" spans="1:23" ht="15.6" x14ac:dyDescent="0.4">
      <c r="A5466" s="2" t="s">
        <v>1723</v>
      </c>
      <c r="B5466" s="5" t="s">
        <v>11533</v>
      </c>
      <c r="C5466" s="7" t="s">
        <v>12556</v>
      </c>
      <c r="D5466" s="8">
        <f t="shared" si="344"/>
        <v>0</v>
      </c>
      <c r="E5466" s="7" t="s">
        <v>12557</v>
      </c>
      <c r="F5466" s="7">
        <f t="shared" si="345"/>
        <v>1</v>
      </c>
      <c r="G5466" s="7" t="s">
        <v>12558</v>
      </c>
      <c r="H5466" s="7">
        <f t="shared" si="346"/>
        <v>0</v>
      </c>
      <c r="I5466" s="7" t="str" cm="1">
        <f t="array" ref="I5466">IFERROR(_xlfn.IFS(M5466="נח",1,M5466="נע ונח",1,M5466="שני שווא נח",2,M5466="שני שוואים בסוף מילה",2,M5466="שני שוואים ברצף",1),"0")</f>
        <v>0</v>
      </c>
      <c r="J5466" s="9">
        <f t="shared" si="347"/>
        <v>2</v>
      </c>
      <c r="K5466" t="s">
        <v>6697</v>
      </c>
      <c r="L5466" t="s">
        <v>6695</v>
      </c>
      <c r="O5466" t="s">
        <v>6694</v>
      </c>
      <c r="S5466" t="s">
        <v>6694</v>
      </c>
      <c r="W5466" t="s">
        <v>6720</v>
      </c>
    </row>
    <row r="5467" spans="1:23" ht="15.6" x14ac:dyDescent="0.4">
      <c r="A5467" s="2" t="s">
        <v>6196</v>
      </c>
      <c r="B5467" s="5" t="s">
        <v>11511</v>
      </c>
      <c r="C5467" s="7" t="s">
        <v>12556</v>
      </c>
      <c r="D5467" s="8">
        <f t="shared" si="344"/>
        <v>0</v>
      </c>
      <c r="E5467" s="7" t="s">
        <v>12557</v>
      </c>
      <c r="F5467" s="7">
        <f t="shared" si="345"/>
        <v>0</v>
      </c>
      <c r="G5467" s="7" t="s">
        <v>12558</v>
      </c>
      <c r="H5467" s="7">
        <f t="shared" si="346"/>
        <v>0</v>
      </c>
      <c r="I5467" s="7" t="str" cm="1">
        <f t="array" ref="I5467">IFERROR(_xlfn.IFS(M5467="נח",1,M5467="נע ונח",1,M5467="שני שווא נח",2,M5467="שני שוואים בסוף מילה",2,M5467="שני שוואים ברצף",1),"0")</f>
        <v>0</v>
      </c>
      <c r="J5467" s="9">
        <f t="shared" si="347"/>
        <v>2</v>
      </c>
      <c r="K5467" t="s">
        <v>6698</v>
      </c>
      <c r="L5467" t="s">
        <v>6695</v>
      </c>
      <c r="N5467" t="s">
        <v>6706</v>
      </c>
      <c r="O5467" t="s">
        <v>6694</v>
      </c>
      <c r="S5467" t="s">
        <v>6694</v>
      </c>
      <c r="W5467" t="s">
        <v>6720</v>
      </c>
    </row>
    <row r="5468" spans="1:23" ht="15.6" x14ac:dyDescent="0.4">
      <c r="A5468" s="2" t="s">
        <v>4534</v>
      </c>
      <c r="B5468" s="5" t="s">
        <v>11534</v>
      </c>
      <c r="C5468" s="7" t="s">
        <v>12556</v>
      </c>
      <c r="D5468" s="8">
        <f t="shared" si="344"/>
        <v>0</v>
      </c>
      <c r="E5468" s="7" t="s">
        <v>12557</v>
      </c>
      <c r="F5468" s="7">
        <f t="shared" si="345"/>
        <v>0</v>
      </c>
      <c r="G5468" s="7" t="s">
        <v>12558</v>
      </c>
      <c r="H5468" s="7">
        <f t="shared" si="346"/>
        <v>0</v>
      </c>
      <c r="I5468" s="7" t="str" cm="1">
        <f t="array" ref="I5468">IFERROR(_xlfn.IFS(M5468="נח",1,M5468="נע ונח",1,M5468="שני שווא נח",2,M5468="שני שוואים בסוף מילה",2,M5468="שני שוואים ברצף",1),"0")</f>
        <v>0</v>
      </c>
      <c r="J5468" s="9">
        <f t="shared" si="347"/>
        <v>3</v>
      </c>
      <c r="K5468" t="s">
        <v>6698</v>
      </c>
      <c r="L5468" t="s">
        <v>6695</v>
      </c>
      <c r="O5468" t="s">
        <v>6694</v>
      </c>
      <c r="S5468" t="s">
        <v>6694</v>
      </c>
      <c r="W5468" t="s">
        <v>6720</v>
      </c>
    </row>
    <row r="5469" spans="1:23" ht="15.6" x14ac:dyDescent="0.4">
      <c r="A5469" s="2" t="s">
        <v>875</v>
      </c>
      <c r="B5469" s="5" t="s">
        <v>11535</v>
      </c>
      <c r="C5469" s="7" t="s">
        <v>12556</v>
      </c>
      <c r="D5469" s="8">
        <f t="shared" si="344"/>
        <v>0</v>
      </c>
      <c r="E5469" s="7" t="s">
        <v>12557</v>
      </c>
      <c r="F5469" s="7">
        <f t="shared" si="345"/>
        <v>0</v>
      </c>
      <c r="G5469" s="7" t="s">
        <v>12558</v>
      </c>
      <c r="H5469" s="7">
        <f t="shared" si="346"/>
        <v>0</v>
      </c>
      <c r="I5469" s="7" t="str" cm="1">
        <f t="array" ref="I5469">IFERROR(_xlfn.IFS(M5469="נח",1,M5469="נע ונח",1,M5469="שני שווא נח",2,M5469="שני שוואים בסוף מילה",2,M5469="שני שוואים ברצף",1),"0")</f>
        <v>0</v>
      </c>
      <c r="J5469" s="9">
        <f t="shared" si="347"/>
        <v>3</v>
      </c>
      <c r="K5469" t="s">
        <v>6697</v>
      </c>
      <c r="L5469" t="s">
        <v>6695</v>
      </c>
      <c r="O5469" t="s">
        <v>6694</v>
      </c>
      <c r="Q5469" t="s">
        <v>6694</v>
      </c>
      <c r="V5469" t="s">
        <v>6694</v>
      </c>
      <c r="W5469" t="s">
        <v>6720</v>
      </c>
    </row>
    <row r="5470" spans="1:23" ht="15.6" x14ac:dyDescent="0.4">
      <c r="A5470" s="2" t="s">
        <v>1012</v>
      </c>
      <c r="B5470" s="5" t="s">
        <v>11536</v>
      </c>
      <c r="C5470" s="7" t="s">
        <v>12556</v>
      </c>
      <c r="D5470" s="8">
        <f t="shared" si="344"/>
        <v>0</v>
      </c>
      <c r="E5470" s="7" t="s">
        <v>12557</v>
      </c>
      <c r="F5470" s="7">
        <f t="shared" si="345"/>
        <v>1</v>
      </c>
      <c r="G5470" s="7" t="s">
        <v>12558</v>
      </c>
      <c r="H5470" s="7">
        <f t="shared" si="346"/>
        <v>1</v>
      </c>
      <c r="I5470" s="7" t="str" cm="1">
        <f t="array" ref="I5470">IFERROR(_xlfn.IFS(M5470="נח",1,M5470="נע ונח",1,M5470="שני שווא נח",2,M5470="שני שוואים בסוף מילה",2,M5470="שני שוואים ברצף",1),"0")</f>
        <v>0</v>
      </c>
      <c r="J5470" s="9">
        <f t="shared" si="347"/>
        <v>3</v>
      </c>
      <c r="K5470" t="s">
        <v>6697</v>
      </c>
      <c r="L5470" t="s">
        <v>6695</v>
      </c>
      <c r="O5470" t="s">
        <v>6694</v>
      </c>
      <c r="Q5470" t="s">
        <v>6694</v>
      </c>
      <c r="U5470" t="s">
        <v>6694</v>
      </c>
      <c r="W5470" t="s">
        <v>6720</v>
      </c>
    </row>
    <row r="5471" spans="1:23" ht="15.6" x14ac:dyDescent="0.4">
      <c r="A5471" s="2" t="s">
        <v>6248</v>
      </c>
      <c r="B5471" s="5" t="s">
        <v>11537</v>
      </c>
      <c r="C5471" s="7" t="s">
        <v>12556</v>
      </c>
      <c r="D5471" s="8">
        <f t="shared" si="344"/>
        <v>0</v>
      </c>
      <c r="E5471" s="7" t="s">
        <v>12557</v>
      </c>
      <c r="F5471" s="7">
        <f t="shared" si="345"/>
        <v>0</v>
      </c>
      <c r="G5471" s="7" t="s">
        <v>12558</v>
      </c>
      <c r="H5471" s="7">
        <f t="shared" si="346"/>
        <v>0</v>
      </c>
      <c r="I5471" s="7" t="str" cm="1">
        <f t="array" ref="I5471">IFERROR(_xlfn.IFS(M5471="נח",1,M5471="נע ונח",1,M5471="שני שווא נח",2,M5471="שני שוואים בסוף מילה",2,M5471="שני שוואים ברצף",1),"0")</f>
        <v>0</v>
      </c>
      <c r="J5471" s="9">
        <f t="shared" si="347"/>
        <v>3</v>
      </c>
      <c r="K5471" t="s">
        <v>6698</v>
      </c>
      <c r="L5471" t="s">
        <v>6695</v>
      </c>
      <c r="O5471" t="s">
        <v>6694</v>
      </c>
      <c r="R5471" t="s">
        <v>6694</v>
      </c>
      <c r="W5471" t="s">
        <v>6720</v>
      </c>
    </row>
    <row r="5472" spans="1:23" ht="15.6" x14ac:dyDescent="0.4">
      <c r="A5472" s="2" t="s">
        <v>473</v>
      </c>
      <c r="B5472" s="5" t="s">
        <v>11538</v>
      </c>
      <c r="C5472" s="7" t="s">
        <v>12556</v>
      </c>
      <c r="D5472" s="8">
        <f t="shared" si="344"/>
        <v>0</v>
      </c>
      <c r="E5472" s="7" t="s">
        <v>12557</v>
      </c>
      <c r="F5472" s="7">
        <f t="shared" si="345"/>
        <v>0</v>
      </c>
      <c r="G5472" s="7" t="s">
        <v>12558</v>
      </c>
      <c r="H5472" s="7">
        <f t="shared" si="346"/>
        <v>0</v>
      </c>
      <c r="I5472" s="7" t="str" cm="1">
        <f t="array" ref="I5472">IFERROR(_xlfn.IFS(M5472="נח",1,M5472="נע ונח",1,M5472="שני שווא נח",2,M5472="שני שוואים בסוף מילה",2,M5472="שני שוואים ברצף",1),"0")</f>
        <v>0</v>
      </c>
      <c r="J5472" s="9">
        <f t="shared" si="347"/>
        <v>3</v>
      </c>
      <c r="K5472" t="s">
        <v>6697</v>
      </c>
      <c r="L5472" t="s">
        <v>6695</v>
      </c>
      <c r="O5472" t="s">
        <v>6694</v>
      </c>
      <c r="R5472" t="s">
        <v>6694</v>
      </c>
      <c r="W5472" t="s">
        <v>6720</v>
      </c>
    </row>
    <row r="5473" spans="1:23" ht="15.6" x14ac:dyDescent="0.4">
      <c r="A5473" s="2" t="s">
        <v>810</v>
      </c>
      <c r="B5473" s="5" t="s">
        <v>11421</v>
      </c>
      <c r="C5473" s="7" t="s">
        <v>12556</v>
      </c>
      <c r="D5473" s="8">
        <f t="shared" si="344"/>
        <v>0</v>
      </c>
      <c r="E5473" s="7" t="s">
        <v>12557</v>
      </c>
      <c r="F5473" s="7">
        <f t="shared" si="345"/>
        <v>0</v>
      </c>
      <c r="G5473" s="7" t="s">
        <v>12558</v>
      </c>
      <c r="H5473" s="7">
        <f t="shared" si="346"/>
        <v>0</v>
      </c>
      <c r="I5473" s="7" t="str" cm="1">
        <f t="array" ref="I5473">IFERROR(_xlfn.IFS(M5473="נח",1,M5473="נע ונח",1,M5473="שני שווא נח",2,M5473="שני שוואים בסוף מילה",2,M5473="שני שוואים ברצף",1),"0")</f>
        <v>0</v>
      </c>
      <c r="J5473" s="9">
        <f t="shared" si="347"/>
        <v>2</v>
      </c>
      <c r="K5473" t="s">
        <v>6698</v>
      </c>
      <c r="L5473" t="s">
        <v>6695</v>
      </c>
      <c r="O5473" t="s">
        <v>6694</v>
      </c>
      <c r="P5473" t="s">
        <v>6694</v>
      </c>
      <c r="W5473" t="s">
        <v>6720</v>
      </c>
    </row>
    <row r="5474" spans="1:23" ht="15.6" x14ac:dyDescent="0.4">
      <c r="A5474" s="2" t="s">
        <v>2064</v>
      </c>
      <c r="B5474" s="5" t="s">
        <v>11539</v>
      </c>
      <c r="C5474" s="7" t="s">
        <v>12556</v>
      </c>
      <c r="D5474" s="8">
        <f t="shared" si="344"/>
        <v>0</v>
      </c>
      <c r="E5474" s="7" t="s">
        <v>12557</v>
      </c>
      <c r="F5474" s="7">
        <f t="shared" si="345"/>
        <v>0</v>
      </c>
      <c r="G5474" s="7" t="s">
        <v>12558</v>
      </c>
      <c r="H5474" s="7">
        <f t="shared" si="346"/>
        <v>0</v>
      </c>
      <c r="I5474" s="7" t="str" cm="1">
        <f t="array" ref="I5474">IFERROR(_xlfn.IFS(M5474="נח",1,M5474="נע ונח",1,M5474="שני שווא נח",2,M5474="שני שוואים בסוף מילה",2,M5474="שני שוואים ברצף",1),"0")</f>
        <v>0</v>
      </c>
      <c r="J5474" s="9">
        <f t="shared" si="347"/>
        <v>2</v>
      </c>
      <c r="K5474" t="s">
        <v>6697</v>
      </c>
      <c r="L5474" t="s">
        <v>6695</v>
      </c>
      <c r="O5474" t="s">
        <v>6694</v>
      </c>
      <c r="W5474" t="s">
        <v>6720</v>
      </c>
    </row>
    <row r="5475" spans="1:23" ht="15.6" x14ac:dyDescent="0.4">
      <c r="A5475" s="2" t="s">
        <v>3568</v>
      </c>
      <c r="B5475" s="5" t="s">
        <v>11421</v>
      </c>
      <c r="C5475" s="7" t="s">
        <v>12556</v>
      </c>
      <c r="D5475" s="8">
        <f t="shared" si="344"/>
        <v>0</v>
      </c>
      <c r="E5475" s="7" t="s">
        <v>12557</v>
      </c>
      <c r="F5475" s="7">
        <f t="shared" si="345"/>
        <v>0</v>
      </c>
      <c r="G5475" s="7" t="s">
        <v>12558</v>
      </c>
      <c r="H5475" s="7">
        <f t="shared" si="346"/>
        <v>0</v>
      </c>
      <c r="I5475" s="7" t="str" cm="1">
        <f t="array" ref="I5475">IFERROR(_xlfn.IFS(M5475="נח",1,M5475="נע ונח",1,M5475="שני שווא נח",2,M5475="שני שוואים בסוף מילה",2,M5475="שני שוואים ברצף",1),"0")</f>
        <v>0</v>
      </c>
      <c r="J5475" s="9">
        <f t="shared" si="347"/>
        <v>2</v>
      </c>
      <c r="K5475" t="s">
        <v>6698</v>
      </c>
      <c r="L5475" t="s">
        <v>6695</v>
      </c>
      <c r="N5475" t="s">
        <v>6706</v>
      </c>
      <c r="O5475" t="s">
        <v>6694</v>
      </c>
      <c r="W5475" t="s">
        <v>6720</v>
      </c>
    </row>
    <row r="5476" spans="1:23" ht="15.6" x14ac:dyDescent="0.4">
      <c r="A5476" s="2" t="s">
        <v>6005</v>
      </c>
      <c r="B5476" s="5" t="s">
        <v>11540</v>
      </c>
      <c r="C5476" s="7" t="s">
        <v>12556</v>
      </c>
      <c r="D5476" s="8">
        <f t="shared" si="344"/>
        <v>0</v>
      </c>
      <c r="E5476" s="7" t="s">
        <v>12557</v>
      </c>
      <c r="F5476" s="7">
        <f t="shared" si="345"/>
        <v>0</v>
      </c>
      <c r="G5476" s="7" t="s">
        <v>12558</v>
      </c>
      <c r="H5476" s="7">
        <f t="shared" si="346"/>
        <v>0</v>
      </c>
      <c r="I5476" s="7" cm="1">
        <f t="array" ref="I5476">IFERROR(_xlfn.IFS(M5476="נח",1,M5476="נע ונח",1,M5476="שני שווא נח",2,M5476="שני שוואים בסוף מילה",2,M5476="שני שוואים ברצף",1),"0")</f>
        <v>1</v>
      </c>
      <c r="J5476" s="9">
        <f t="shared" si="347"/>
        <v>3</v>
      </c>
      <c r="K5476" t="s">
        <v>6697</v>
      </c>
      <c r="L5476" t="s">
        <v>6694</v>
      </c>
      <c r="M5476" t="s">
        <v>6705</v>
      </c>
      <c r="N5476" t="s">
        <v>6706</v>
      </c>
      <c r="O5476" t="s">
        <v>6694</v>
      </c>
      <c r="S5476" t="s">
        <v>6694</v>
      </c>
      <c r="W5476" t="s">
        <v>6720</v>
      </c>
    </row>
    <row r="5477" spans="1:23" ht="15.6" x14ac:dyDescent="0.4">
      <c r="A5477" s="2" t="s">
        <v>2482</v>
      </c>
      <c r="B5477" s="5" t="s">
        <v>11541</v>
      </c>
      <c r="C5477" s="7" t="s">
        <v>12556</v>
      </c>
      <c r="D5477" s="8">
        <f t="shared" si="344"/>
        <v>0</v>
      </c>
      <c r="E5477" s="7" t="s">
        <v>12557</v>
      </c>
      <c r="F5477" s="7">
        <f t="shared" si="345"/>
        <v>0</v>
      </c>
      <c r="G5477" s="7" t="s">
        <v>12558</v>
      </c>
      <c r="H5477" s="7">
        <f t="shared" si="346"/>
        <v>0</v>
      </c>
      <c r="I5477" s="7" t="str" cm="1">
        <f t="array" ref="I5477">IFERROR(_xlfn.IFS(M5477="נח",1,M5477="נע ונח",1,M5477="שני שווא נח",2,M5477="שני שוואים בסוף מילה",2,M5477="שני שוואים ברצף",1),"0")</f>
        <v>0</v>
      </c>
      <c r="J5477" s="9">
        <f t="shared" si="347"/>
        <v>2</v>
      </c>
      <c r="K5477" t="s">
        <v>6698</v>
      </c>
      <c r="L5477" t="s">
        <v>6695</v>
      </c>
      <c r="N5477" t="s">
        <v>6706</v>
      </c>
      <c r="O5477" t="s">
        <v>6694</v>
      </c>
      <c r="W5477" t="s">
        <v>6720</v>
      </c>
    </row>
    <row r="5478" spans="1:23" ht="15.6" x14ac:dyDescent="0.4">
      <c r="A5478" s="2" t="s">
        <v>1596</v>
      </c>
      <c r="B5478" s="5" t="s">
        <v>11462</v>
      </c>
      <c r="C5478" s="7" t="s">
        <v>12556</v>
      </c>
      <c r="D5478" s="8">
        <f t="shared" si="344"/>
        <v>0</v>
      </c>
      <c r="E5478" s="7" t="s">
        <v>12557</v>
      </c>
      <c r="F5478" s="7">
        <f t="shared" si="345"/>
        <v>0</v>
      </c>
      <c r="G5478" s="7" t="s">
        <v>12558</v>
      </c>
      <c r="H5478" s="7">
        <f t="shared" si="346"/>
        <v>0</v>
      </c>
      <c r="I5478" s="7" t="str" cm="1">
        <f t="array" ref="I5478">IFERROR(_xlfn.IFS(M5478="נח",1,M5478="נע ונח",1,M5478="שני שווא נח",2,M5478="שני שוואים בסוף מילה",2,M5478="שני שוואים ברצף",1),"0")</f>
        <v>0</v>
      </c>
      <c r="J5478" s="9">
        <f t="shared" si="347"/>
        <v>1</v>
      </c>
      <c r="K5478" t="s">
        <v>6698</v>
      </c>
      <c r="L5478" t="s">
        <v>6695</v>
      </c>
      <c r="N5478" t="s">
        <v>6706</v>
      </c>
      <c r="O5478" t="s">
        <v>6694</v>
      </c>
      <c r="W5478" t="s">
        <v>6720</v>
      </c>
    </row>
    <row r="5479" spans="1:23" ht="15.6" x14ac:dyDescent="0.4">
      <c r="A5479" s="2" t="s">
        <v>52</v>
      </c>
      <c r="B5479" s="5" t="s">
        <v>11542</v>
      </c>
      <c r="C5479" s="7" t="s">
        <v>12556</v>
      </c>
      <c r="D5479" s="8">
        <f t="shared" si="344"/>
        <v>0</v>
      </c>
      <c r="E5479" s="7" t="s">
        <v>12557</v>
      </c>
      <c r="F5479" s="7">
        <f t="shared" si="345"/>
        <v>0</v>
      </c>
      <c r="G5479" s="7" t="s">
        <v>12558</v>
      </c>
      <c r="H5479" s="7">
        <f t="shared" si="346"/>
        <v>0</v>
      </c>
      <c r="I5479" s="7" cm="1">
        <f t="array" ref="I5479">IFERROR(_xlfn.IFS(M5479="נח",1,M5479="נע ונח",1,M5479="שני שווא נח",2,M5479="שני שוואים בסוף מילה",2,M5479="שני שוואים ברצף",1),"0")</f>
        <v>1</v>
      </c>
      <c r="J5479" s="9">
        <f t="shared" si="347"/>
        <v>2</v>
      </c>
      <c r="K5479" t="s">
        <v>6697</v>
      </c>
      <c r="L5479" t="s">
        <v>6694</v>
      </c>
      <c r="M5479" t="s">
        <v>6705</v>
      </c>
      <c r="N5479" t="s">
        <v>6706</v>
      </c>
      <c r="O5479" t="s">
        <v>6694</v>
      </c>
      <c r="W5479" t="s">
        <v>6720</v>
      </c>
    </row>
    <row r="5480" spans="1:23" ht="15.6" x14ac:dyDescent="0.4">
      <c r="A5480" s="2" t="s">
        <v>5519</v>
      </c>
      <c r="B5480" s="5" t="s">
        <v>11543</v>
      </c>
      <c r="C5480" s="7" t="s">
        <v>12556</v>
      </c>
      <c r="D5480" s="8">
        <f t="shared" si="344"/>
        <v>0</v>
      </c>
      <c r="E5480" s="7" t="s">
        <v>12557</v>
      </c>
      <c r="F5480" s="7">
        <f t="shared" si="345"/>
        <v>1</v>
      </c>
      <c r="G5480" s="7" t="s">
        <v>12558</v>
      </c>
      <c r="H5480" s="7">
        <f t="shared" si="346"/>
        <v>1</v>
      </c>
      <c r="I5480" s="7" cm="1">
        <f t="array" ref="I5480">IFERROR(_xlfn.IFS(M5480="נח",1,M5480="נע ונח",1,M5480="שני שווא נח",2,M5480="שני שוואים בסוף מילה",2,M5480="שני שוואים ברצף",1),"0")</f>
        <v>1</v>
      </c>
      <c r="J5480" s="9">
        <f t="shared" si="347"/>
        <v>2</v>
      </c>
      <c r="K5480" t="s">
        <v>6697</v>
      </c>
      <c r="L5480" t="s">
        <v>6694</v>
      </c>
      <c r="M5480" t="s">
        <v>6705</v>
      </c>
      <c r="N5480" t="s">
        <v>6706</v>
      </c>
      <c r="O5480" t="s">
        <v>6694</v>
      </c>
      <c r="U5480" t="s">
        <v>6694</v>
      </c>
      <c r="W5480" t="s">
        <v>6720</v>
      </c>
    </row>
    <row r="5481" spans="1:23" ht="15.6" x14ac:dyDescent="0.4">
      <c r="A5481" s="2" t="s">
        <v>1103</v>
      </c>
      <c r="B5481" s="5" t="s">
        <v>11544</v>
      </c>
      <c r="C5481" s="7" t="s">
        <v>12556</v>
      </c>
      <c r="D5481" s="8">
        <f t="shared" si="344"/>
        <v>0</v>
      </c>
      <c r="E5481" s="7" t="s">
        <v>12557</v>
      </c>
      <c r="F5481" s="7">
        <f t="shared" si="345"/>
        <v>0</v>
      </c>
      <c r="G5481" s="7" t="s">
        <v>12558</v>
      </c>
      <c r="H5481" s="7">
        <f t="shared" si="346"/>
        <v>0</v>
      </c>
      <c r="I5481" s="7" t="str" cm="1">
        <f t="array" ref="I5481">IFERROR(_xlfn.IFS(M5481="נח",1,M5481="נע ונח",1,M5481="שני שווא נח",2,M5481="שני שוואים בסוף מילה",2,M5481="שני שוואים ברצף",1),"0")</f>
        <v>0</v>
      </c>
      <c r="J5481" s="9">
        <f t="shared" si="347"/>
        <v>2</v>
      </c>
      <c r="K5481" t="s">
        <v>6698</v>
      </c>
      <c r="L5481" t="s">
        <v>6695</v>
      </c>
      <c r="O5481" t="s">
        <v>6694</v>
      </c>
      <c r="P5481" t="s">
        <v>6694</v>
      </c>
      <c r="W5481" t="s">
        <v>6720</v>
      </c>
    </row>
    <row r="5482" spans="1:23" ht="15.6" x14ac:dyDescent="0.4">
      <c r="A5482" s="2" t="s">
        <v>168</v>
      </c>
      <c r="B5482" s="5" t="s">
        <v>11544</v>
      </c>
      <c r="C5482" s="7" t="s">
        <v>12556</v>
      </c>
      <c r="D5482" s="8">
        <f t="shared" si="344"/>
        <v>0</v>
      </c>
      <c r="E5482" s="7" t="s">
        <v>12557</v>
      </c>
      <c r="F5482" s="7">
        <f t="shared" si="345"/>
        <v>0</v>
      </c>
      <c r="G5482" s="7" t="s">
        <v>12558</v>
      </c>
      <c r="H5482" s="7">
        <f t="shared" si="346"/>
        <v>0</v>
      </c>
      <c r="I5482" s="7" t="str" cm="1">
        <f t="array" ref="I5482">IFERROR(_xlfn.IFS(M5482="נח",1,M5482="נע ונח",1,M5482="שני שווא נח",2,M5482="שני שוואים בסוף מילה",2,M5482="שני שוואים ברצף",1),"0")</f>
        <v>0</v>
      </c>
      <c r="J5482" s="9">
        <f t="shared" si="347"/>
        <v>2</v>
      </c>
      <c r="K5482" t="s">
        <v>6698</v>
      </c>
      <c r="L5482" t="s">
        <v>6695</v>
      </c>
      <c r="N5482" t="s">
        <v>6706</v>
      </c>
      <c r="O5482" t="s">
        <v>6694</v>
      </c>
      <c r="W5482" t="s">
        <v>6720</v>
      </c>
    </row>
    <row r="5483" spans="1:23" ht="15.6" x14ac:dyDescent="0.4">
      <c r="A5483" s="2" t="s">
        <v>6010</v>
      </c>
      <c r="B5483" s="5" t="s">
        <v>11545</v>
      </c>
      <c r="C5483" s="7" t="s">
        <v>12556</v>
      </c>
      <c r="D5483" s="8">
        <f t="shared" si="344"/>
        <v>0</v>
      </c>
      <c r="E5483" s="7" t="s">
        <v>12557</v>
      </c>
      <c r="F5483" s="7">
        <f t="shared" si="345"/>
        <v>1</v>
      </c>
      <c r="G5483" s="7" t="s">
        <v>12558</v>
      </c>
      <c r="H5483" s="7">
        <f t="shared" si="346"/>
        <v>1</v>
      </c>
      <c r="I5483" s="7" t="str" cm="1">
        <f t="array" ref="I5483">IFERROR(_xlfn.IFS(M5483="נח",1,M5483="נע ונח",1,M5483="שני שווא נח",2,M5483="שני שוואים בסוף מילה",2,M5483="שני שוואים ברצף",1),"0")</f>
        <v>0</v>
      </c>
      <c r="J5483" s="9">
        <f t="shared" si="347"/>
        <v>3</v>
      </c>
      <c r="K5483" t="s">
        <v>6697</v>
      </c>
      <c r="L5483" t="s">
        <v>6695</v>
      </c>
      <c r="O5483" t="s">
        <v>6694</v>
      </c>
      <c r="U5483" t="s">
        <v>6694</v>
      </c>
      <c r="W5483" t="s">
        <v>6720</v>
      </c>
    </row>
    <row r="5484" spans="1:23" ht="15.6" x14ac:dyDescent="0.4">
      <c r="A5484" s="2" t="s">
        <v>141</v>
      </c>
      <c r="B5484" s="5" t="s">
        <v>11425</v>
      </c>
      <c r="C5484" s="7" t="s">
        <v>12556</v>
      </c>
      <c r="D5484" s="8">
        <f t="shared" si="344"/>
        <v>0</v>
      </c>
      <c r="E5484" s="7" t="s">
        <v>12557</v>
      </c>
      <c r="F5484" s="7">
        <f t="shared" si="345"/>
        <v>0</v>
      </c>
      <c r="G5484" s="7" t="s">
        <v>12558</v>
      </c>
      <c r="H5484" s="7">
        <f t="shared" si="346"/>
        <v>0</v>
      </c>
      <c r="I5484" s="7" t="str" cm="1">
        <f t="array" ref="I5484">IFERROR(_xlfn.IFS(M5484="נח",1,M5484="נע ונח",1,M5484="שני שווא נח",2,M5484="שני שוואים בסוף מילה",2,M5484="שני שוואים ברצף",1),"0")</f>
        <v>0</v>
      </c>
      <c r="J5484" s="9">
        <f t="shared" si="347"/>
        <v>2</v>
      </c>
      <c r="K5484" t="s">
        <v>6698</v>
      </c>
      <c r="L5484" t="s">
        <v>6695</v>
      </c>
      <c r="N5484" t="s">
        <v>6706</v>
      </c>
      <c r="O5484" t="s">
        <v>6694</v>
      </c>
      <c r="W5484" t="s">
        <v>6720</v>
      </c>
    </row>
    <row r="5485" spans="1:23" ht="15.6" x14ac:dyDescent="0.4">
      <c r="A5485" s="2" t="s">
        <v>6469</v>
      </c>
      <c r="B5485" s="5" t="s">
        <v>11546</v>
      </c>
      <c r="C5485" s="7" t="s">
        <v>12556</v>
      </c>
      <c r="D5485" s="8">
        <f t="shared" si="344"/>
        <v>0</v>
      </c>
      <c r="E5485" s="7" t="s">
        <v>12557</v>
      </c>
      <c r="F5485" s="7">
        <f t="shared" si="345"/>
        <v>0</v>
      </c>
      <c r="G5485" s="7" t="s">
        <v>12558</v>
      </c>
      <c r="H5485" s="7">
        <f t="shared" si="346"/>
        <v>0</v>
      </c>
      <c r="I5485" s="7" t="str" cm="1">
        <f t="array" ref="I5485">IFERROR(_xlfn.IFS(M5485="נח",1,M5485="נע ונח",1,M5485="שני שווא נח",2,M5485="שני שוואים בסוף מילה",2,M5485="שני שוואים ברצף",1),"0")</f>
        <v>0</v>
      </c>
      <c r="J5485" s="9">
        <f t="shared" si="347"/>
        <v>2</v>
      </c>
      <c r="K5485" t="s">
        <v>6698</v>
      </c>
      <c r="L5485" t="s">
        <v>6695</v>
      </c>
      <c r="O5485" t="s">
        <v>6694</v>
      </c>
      <c r="V5485" t="s">
        <v>6694</v>
      </c>
      <c r="W5485" t="s">
        <v>6720</v>
      </c>
    </row>
    <row r="5486" spans="1:23" ht="15.6" x14ac:dyDescent="0.4">
      <c r="A5486" s="2" t="s">
        <v>931</v>
      </c>
      <c r="B5486" s="5" t="s">
        <v>11428</v>
      </c>
      <c r="C5486" s="7" t="s">
        <v>12556</v>
      </c>
      <c r="D5486" s="8">
        <f t="shared" si="344"/>
        <v>0</v>
      </c>
      <c r="E5486" s="7" t="s">
        <v>12557</v>
      </c>
      <c r="F5486" s="7">
        <f t="shared" si="345"/>
        <v>0</v>
      </c>
      <c r="G5486" s="7" t="s">
        <v>12558</v>
      </c>
      <c r="H5486" s="7">
        <f t="shared" si="346"/>
        <v>0</v>
      </c>
      <c r="I5486" s="7" cm="1">
        <f t="array" ref="I5486">IFERROR(_xlfn.IFS(M5486="נח",1,M5486="נע ונח",1,M5486="שני שווא נח",2,M5486="שני שוואים בסוף מילה",2,M5486="שני שוואים ברצף",1),"0")</f>
        <v>1</v>
      </c>
      <c r="J5486" s="9">
        <f t="shared" si="347"/>
        <v>2</v>
      </c>
      <c r="K5486" t="s">
        <v>6697</v>
      </c>
      <c r="L5486" t="s">
        <v>6694</v>
      </c>
      <c r="M5486" t="s">
        <v>6705</v>
      </c>
      <c r="N5486" t="s">
        <v>6706</v>
      </c>
      <c r="O5486" t="s">
        <v>6694</v>
      </c>
      <c r="S5486" t="s">
        <v>6694</v>
      </c>
      <c r="W5486" t="s">
        <v>6720</v>
      </c>
    </row>
    <row r="5487" spans="1:23" ht="15.6" x14ac:dyDescent="0.4">
      <c r="A5487" s="2" t="s">
        <v>3673</v>
      </c>
      <c r="B5487" s="5" t="s">
        <v>11547</v>
      </c>
      <c r="C5487" s="7" t="s">
        <v>12556</v>
      </c>
      <c r="D5487" s="8">
        <f t="shared" si="344"/>
        <v>0</v>
      </c>
      <c r="E5487" s="7" t="s">
        <v>12557</v>
      </c>
      <c r="F5487" s="7">
        <f t="shared" si="345"/>
        <v>1</v>
      </c>
      <c r="G5487" s="7" t="s">
        <v>12558</v>
      </c>
      <c r="H5487" s="7">
        <f t="shared" si="346"/>
        <v>1</v>
      </c>
      <c r="I5487" s="7" cm="1">
        <f t="array" ref="I5487">IFERROR(_xlfn.IFS(M5487="נח",1,M5487="נע ונח",1,M5487="שני שווא נח",2,M5487="שני שוואים בסוף מילה",2,M5487="שני שוואים ברצף",1),"0")</f>
        <v>1</v>
      </c>
      <c r="J5487" s="9">
        <f t="shared" si="347"/>
        <v>3</v>
      </c>
      <c r="K5487" t="s">
        <v>6697</v>
      </c>
      <c r="L5487" t="s">
        <v>6694</v>
      </c>
      <c r="M5487" t="s">
        <v>6705</v>
      </c>
      <c r="N5487" t="s">
        <v>6706</v>
      </c>
      <c r="O5487" t="s">
        <v>6694</v>
      </c>
      <c r="Q5487" t="s">
        <v>6694</v>
      </c>
      <c r="U5487" t="s">
        <v>6694</v>
      </c>
      <c r="W5487" t="s">
        <v>6720</v>
      </c>
    </row>
    <row r="5488" spans="1:23" ht="15.6" x14ac:dyDescent="0.4">
      <c r="A5488" s="2" t="s">
        <v>986</v>
      </c>
      <c r="B5488" s="5" t="s">
        <v>11456</v>
      </c>
      <c r="C5488" s="7" t="s">
        <v>12556</v>
      </c>
      <c r="D5488" s="8">
        <f t="shared" si="344"/>
        <v>0</v>
      </c>
      <c r="E5488" s="7" t="s">
        <v>12557</v>
      </c>
      <c r="F5488" s="7">
        <f t="shared" si="345"/>
        <v>0</v>
      </c>
      <c r="G5488" s="7" t="s">
        <v>12558</v>
      </c>
      <c r="H5488" s="7">
        <f t="shared" si="346"/>
        <v>0</v>
      </c>
      <c r="I5488" s="7" t="str" cm="1">
        <f t="array" ref="I5488">IFERROR(_xlfn.IFS(M5488="נח",1,M5488="נע ונח",1,M5488="שני שווא נח",2,M5488="שני שוואים בסוף מילה",2,M5488="שני שוואים ברצף",1),"0")</f>
        <v>0</v>
      </c>
      <c r="J5488" s="9">
        <f t="shared" si="347"/>
        <v>2</v>
      </c>
      <c r="K5488" t="s">
        <v>6697</v>
      </c>
      <c r="L5488" t="s">
        <v>6695</v>
      </c>
      <c r="O5488" t="s">
        <v>6694</v>
      </c>
      <c r="S5488" t="s">
        <v>6694</v>
      </c>
      <c r="W5488" t="s">
        <v>6720</v>
      </c>
    </row>
    <row r="5489" spans="1:23" ht="15.6" x14ac:dyDescent="0.4">
      <c r="A5489" s="2" t="s">
        <v>359</v>
      </c>
      <c r="B5489" s="5" t="s">
        <v>11468</v>
      </c>
      <c r="C5489" s="7" t="s">
        <v>12556</v>
      </c>
      <c r="D5489" s="8">
        <f t="shared" si="344"/>
        <v>0</v>
      </c>
      <c r="E5489" s="7" t="s">
        <v>12557</v>
      </c>
      <c r="F5489" s="7">
        <f t="shared" si="345"/>
        <v>0</v>
      </c>
      <c r="G5489" s="7" t="s">
        <v>12558</v>
      </c>
      <c r="H5489" s="7">
        <f t="shared" si="346"/>
        <v>0</v>
      </c>
      <c r="I5489" s="7" t="str" cm="1">
        <f t="array" ref="I5489">IFERROR(_xlfn.IFS(M5489="נח",1,M5489="נע ונח",1,M5489="שני שווא נח",2,M5489="שני שוואים בסוף מילה",2,M5489="שני שוואים ברצף",1),"0")</f>
        <v>0</v>
      </c>
      <c r="J5489" s="9">
        <f t="shared" si="347"/>
        <v>3</v>
      </c>
      <c r="K5489" t="s">
        <v>6697</v>
      </c>
      <c r="L5489" t="s">
        <v>6695</v>
      </c>
      <c r="O5489" t="s">
        <v>6694</v>
      </c>
      <c r="S5489" t="s">
        <v>6694</v>
      </c>
      <c r="W5489" t="s">
        <v>6720</v>
      </c>
    </row>
    <row r="5490" spans="1:23" ht="15.6" x14ac:dyDescent="0.4">
      <c r="A5490" s="2" t="s">
        <v>6170</v>
      </c>
      <c r="B5490" s="5" t="s">
        <v>11548</v>
      </c>
      <c r="C5490" s="7" t="s">
        <v>12556</v>
      </c>
      <c r="D5490" s="8">
        <f t="shared" si="344"/>
        <v>0</v>
      </c>
      <c r="E5490" s="7" t="s">
        <v>12557</v>
      </c>
      <c r="F5490" s="7">
        <f t="shared" si="345"/>
        <v>0</v>
      </c>
      <c r="G5490" s="7" t="s">
        <v>12558</v>
      </c>
      <c r="H5490" s="7">
        <f t="shared" si="346"/>
        <v>0</v>
      </c>
      <c r="I5490" s="7" t="str" cm="1">
        <f t="array" ref="I5490">IFERROR(_xlfn.IFS(M5490="נח",1,M5490="נע ונח",1,M5490="שני שווא נח",2,M5490="שני שוואים בסוף מילה",2,M5490="שני שוואים ברצף",1),"0")</f>
        <v>0</v>
      </c>
      <c r="J5490" s="9">
        <f t="shared" si="347"/>
        <v>2</v>
      </c>
      <c r="K5490" t="s">
        <v>6698</v>
      </c>
      <c r="L5490" t="s">
        <v>6695</v>
      </c>
      <c r="N5490" t="s">
        <v>6706</v>
      </c>
      <c r="O5490" t="s">
        <v>6694</v>
      </c>
      <c r="W5490" t="s">
        <v>6720</v>
      </c>
    </row>
    <row r="5491" spans="1:23" ht="15.6" x14ac:dyDescent="0.4">
      <c r="A5491" s="2" t="s">
        <v>2195</v>
      </c>
      <c r="B5491" s="5" t="s">
        <v>11549</v>
      </c>
      <c r="C5491" s="7" t="s">
        <v>12556</v>
      </c>
      <c r="D5491" s="8">
        <f t="shared" si="344"/>
        <v>0</v>
      </c>
      <c r="E5491" s="7" t="s">
        <v>12557</v>
      </c>
      <c r="F5491" s="7">
        <f t="shared" si="345"/>
        <v>0</v>
      </c>
      <c r="G5491" s="7" t="s">
        <v>12558</v>
      </c>
      <c r="H5491" s="7">
        <f t="shared" si="346"/>
        <v>0</v>
      </c>
      <c r="I5491" s="7" t="str" cm="1">
        <f t="array" ref="I5491">IFERROR(_xlfn.IFS(M5491="נח",1,M5491="נע ונח",1,M5491="שני שווא נח",2,M5491="שני שוואים בסוף מילה",2,M5491="שני שוואים ברצף",1),"0")</f>
        <v>0</v>
      </c>
      <c r="J5491" s="9">
        <f t="shared" si="347"/>
        <v>2</v>
      </c>
      <c r="K5491" t="s">
        <v>6698</v>
      </c>
      <c r="L5491" t="s">
        <v>6695</v>
      </c>
      <c r="N5491" t="s">
        <v>6706</v>
      </c>
      <c r="O5491" t="s">
        <v>6694</v>
      </c>
      <c r="W5491" t="s">
        <v>6720</v>
      </c>
    </row>
    <row r="5492" spans="1:23" ht="15.6" x14ac:dyDescent="0.4">
      <c r="A5492" s="2" t="s">
        <v>1706</v>
      </c>
      <c r="B5492" s="5" t="s">
        <v>11432</v>
      </c>
      <c r="C5492" s="7" t="s">
        <v>12556</v>
      </c>
      <c r="D5492" s="8">
        <f t="shared" si="344"/>
        <v>0</v>
      </c>
      <c r="E5492" s="7" t="s">
        <v>12557</v>
      </c>
      <c r="F5492" s="7">
        <f t="shared" si="345"/>
        <v>0</v>
      </c>
      <c r="G5492" s="7" t="s">
        <v>12558</v>
      </c>
      <c r="H5492" s="7">
        <f t="shared" si="346"/>
        <v>0</v>
      </c>
      <c r="I5492" s="7" t="str" cm="1">
        <f t="array" ref="I5492">IFERROR(_xlfn.IFS(M5492="נח",1,M5492="נע ונח",1,M5492="שני שווא נח",2,M5492="שני שוואים בסוף מילה",2,M5492="שני שוואים ברצף",1),"0")</f>
        <v>0</v>
      </c>
      <c r="J5492" s="9">
        <f t="shared" si="347"/>
        <v>3</v>
      </c>
      <c r="K5492" t="s">
        <v>6697</v>
      </c>
      <c r="L5492" t="s">
        <v>6695</v>
      </c>
      <c r="O5492" t="s">
        <v>6694</v>
      </c>
      <c r="S5492" t="s">
        <v>6694</v>
      </c>
      <c r="W5492" t="s">
        <v>6720</v>
      </c>
    </row>
    <row r="5493" spans="1:23" ht="15.6" x14ac:dyDescent="0.4">
      <c r="A5493" s="2" t="s">
        <v>1922</v>
      </c>
      <c r="B5493" s="5" t="s">
        <v>11550</v>
      </c>
      <c r="C5493" s="7" t="s">
        <v>12556</v>
      </c>
      <c r="D5493" s="8">
        <f t="shared" si="344"/>
        <v>0</v>
      </c>
      <c r="E5493" s="7" t="s">
        <v>12557</v>
      </c>
      <c r="F5493" s="7">
        <f t="shared" si="345"/>
        <v>0</v>
      </c>
      <c r="G5493" s="7" t="s">
        <v>12558</v>
      </c>
      <c r="H5493" s="7">
        <f t="shared" si="346"/>
        <v>0</v>
      </c>
      <c r="I5493" s="7" t="str" cm="1">
        <f t="array" ref="I5493">IFERROR(_xlfn.IFS(M5493="נח",1,M5493="נע ונח",1,M5493="שני שווא נח",2,M5493="שני שוואים בסוף מילה",2,M5493="שני שוואים ברצף",1),"0")</f>
        <v>0</v>
      </c>
      <c r="J5493" s="9">
        <f t="shared" si="347"/>
        <v>2</v>
      </c>
      <c r="K5493" t="s">
        <v>6698</v>
      </c>
      <c r="L5493" t="s">
        <v>6695</v>
      </c>
      <c r="N5493" t="s">
        <v>6706</v>
      </c>
      <c r="O5493" t="s">
        <v>6694</v>
      </c>
      <c r="W5493" t="s">
        <v>6720</v>
      </c>
    </row>
    <row r="5494" spans="1:23" ht="15.6" x14ac:dyDescent="0.4">
      <c r="A5494" s="2" t="s">
        <v>5065</v>
      </c>
      <c r="B5494" s="5" t="s">
        <v>11441</v>
      </c>
      <c r="C5494" s="7" t="s">
        <v>12556</v>
      </c>
      <c r="D5494" s="8">
        <f t="shared" si="344"/>
        <v>0</v>
      </c>
      <c r="E5494" s="7" t="s">
        <v>12557</v>
      </c>
      <c r="F5494" s="7">
        <f t="shared" si="345"/>
        <v>0</v>
      </c>
      <c r="G5494" s="7" t="s">
        <v>12558</v>
      </c>
      <c r="H5494" s="7">
        <f t="shared" si="346"/>
        <v>0</v>
      </c>
      <c r="I5494" s="7" cm="1">
        <f t="array" ref="I5494">IFERROR(_xlfn.IFS(M5494="נח",1,M5494="נע ונח",1,M5494="שני שווא נח",2,M5494="שני שוואים בסוף מילה",2,M5494="שני שוואים ברצף",1),"0")</f>
        <v>1</v>
      </c>
      <c r="J5494" s="9">
        <f t="shared" si="347"/>
        <v>2</v>
      </c>
      <c r="K5494" t="s">
        <v>6697</v>
      </c>
      <c r="L5494" t="s">
        <v>6694</v>
      </c>
      <c r="M5494" t="s">
        <v>6705</v>
      </c>
      <c r="N5494" t="s">
        <v>6706</v>
      </c>
      <c r="O5494" t="s">
        <v>6694</v>
      </c>
      <c r="S5494" t="s">
        <v>6694</v>
      </c>
      <c r="W5494" t="s">
        <v>6720</v>
      </c>
    </row>
    <row r="5495" spans="1:23" ht="15.6" x14ac:dyDescent="0.4">
      <c r="A5495" s="2" t="s">
        <v>3508</v>
      </c>
      <c r="B5495" s="5" t="s">
        <v>11551</v>
      </c>
      <c r="C5495" s="7" t="s">
        <v>12556</v>
      </c>
      <c r="D5495" s="8">
        <f t="shared" si="344"/>
        <v>0</v>
      </c>
      <c r="E5495" s="7" t="s">
        <v>12557</v>
      </c>
      <c r="F5495" s="7">
        <f t="shared" si="345"/>
        <v>1</v>
      </c>
      <c r="G5495" s="7" t="s">
        <v>12558</v>
      </c>
      <c r="H5495" s="7">
        <f t="shared" si="346"/>
        <v>1</v>
      </c>
      <c r="I5495" s="7" cm="1">
        <f t="array" ref="I5495">IFERROR(_xlfn.IFS(M5495="נח",1,M5495="נע ונח",1,M5495="שני שווא נח",2,M5495="שני שוואים בסוף מילה",2,M5495="שני שוואים ברצף",1),"0")</f>
        <v>1</v>
      </c>
      <c r="J5495" s="9">
        <f t="shared" si="347"/>
        <v>2</v>
      </c>
      <c r="K5495" t="s">
        <v>6697</v>
      </c>
      <c r="L5495" t="s">
        <v>6694</v>
      </c>
      <c r="M5495" t="s">
        <v>6705</v>
      </c>
      <c r="N5495" t="s">
        <v>6706</v>
      </c>
      <c r="O5495" t="s">
        <v>6694</v>
      </c>
      <c r="U5495" t="s">
        <v>6694</v>
      </c>
      <c r="W5495" t="s">
        <v>6720</v>
      </c>
    </row>
    <row r="5496" spans="1:23" ht="15.6" x14ac:dyDescent="0.4">
      <c r="A5496" s="2" t="s">
        <v>1883</v>
      </c>
      <c r="B5496" s="5" t="s">
        <v>11551</v>
      </c>
      <c r="C5496" s="7" t="s">
        <v>12556</v>
      </c>
      <c r="D5496" s="8">
        <f t="shared" si="344"/>
        <v>0</v>
      </c>
      <c r="E5496" s="7" t="s">
        <v>12557</v>
      </c>
      <c r="F5496" s="7">
        <f t="shared" si="345"/>
        <v>1</v>
      </c>
      <c r="G5496" s="7" t="s">
        <v>12558</v>
      </c>
      <c r="H5496" s="7">
        <f t="shared" si="346"/>
        <v>1</v>
      </c>
      <c r="I5496" s="7" t="str" cm="1">
        <f t="array" ref="I5496">IFERROR(_xlfn.IFS(M5496="נח",1,M5496="נע ונח",1,M5496="שני שווא נח",2,M5496="שני שוואים בסוף מילה",2,M5496="שני שוואים ברצף",1),"0")</f>
        <v>0</v>
      </c>
      <c r="J5496" s="9">
        <f t="shared" si="347"/>
        <v>3</v>
      </c>
      <c r="K5496" t="s">
        <v>6697</v>
      </c>
      <c r="L5496" t="s">
        <v>6695</v>
      </c>
      <c r="O5496" t="s">
        <v>6694</v>
      </c>
      <c r="Q5496" t="s">
        <v>6694</v>
      </c>
      <c r="U5496" t="s">
        <v>6694</v>
      </c>
      <c r="W5496" t="s">
        <v>6720</v>
      </c>
    </row>
    <row r="5497" spans="1:23" ht="15.6" x14ac:dyDescent="0.4">
      <c r="A5497" s="2" t="s">
        <v>2089</v>
      </c>
      <c r="B5497" s="5" t="s">
        <v>11552</v>
      </c>
      <c r="C5497" s="7" t="s">
        <v>12556</v>
      </c>
      <c r="D5497" s="8">
        <f t="shared" si="344"/>
        <v>0</v>
      </c>
      <c r="E5497" s="7" t="s">
        <v>12557</v>
      </c>
      <c r="F5497" s="7">
        <f t="shared" si="345"/>
        <v>1</v>
      </c>
      <c r="G5497" s="7" t="s">
        <v>12558</v>
      </c>
      <c r="H5497" s="7">
        <f t="shared" si="346"/>
        <v>1</v>
      </c>
      <c r="I5497" s="7" t="str" cm="1">
        <f t="array" ref="I5497">IFERROR(_xlfn.IFS(M5497="נח",1,M5497="נע ונח",1,M5497="שני שווא נח",2,M5497="שני שוואים בסוף מילה",2,M5497="שני שוואים ברצף",1),"0")</f>
        <v>0</v>
      </c>
      <c r="J5497" s="9">
        <f t="shared" si="347"/>
        <v>2</v>
      </c>
      <c r="K5497" t="s">
        <v>6698</v>
      </c>
      <c r="L5497" t="s">
        <v>6695</v>
      </c>
      <c r="O5497" t="s">
        <v>6694</v>
      </c>
      <c r="U5497" t="s">
        <v>6694</v>
      </c>
      <c r="W5497" t="s">
        <v>6720</v>
      </c>
    </row>
    <row r="5498" spans="1:23" ht="15.6" x14ac:dyDescent="0.4">
      <c r="A5498" s="2" t="s">
        <v>6042</v>
      </c>
      <c r="B5498" s="5" t="s">
        <v>11488</v>
      </c>
      <c r="C5498" s="7" t="s">
        <v>12556</v>
      </c>
      <c r="D5498" s="8">
        <f t="shared" si="344"/>
        <v>0</v>
      </c>
      <c r="E5498" s="7" t="s">
        <v>12557</v>
      </c>
      <c r="F5498" s="7">
        <f t="shared" si="345"/>
        <v>0</v>
      </c>
      <c r="G5498" s="7" t="s">
        <v>12558</v>
      </c>
      <c r="H5498" s="7">
        <f t="shared" si="346"/>
        <v>0</v>
      </c>
      <c r="I5498" s="7" t="str" cm="1">
        <f t="array" ref="I5498">IFERROR(_xlfn.IFS(M5498="נח",1,M5498="נע ונח",1,M5498="שני שווא נח",2,M5498="שני שוואים בסוף מילה",2,M5498="שני שוואים ברצף",1),"0")</f>
        <v>0</v>
      </c>
      <c r="J5498" s="9">
        <f t="shared" si="347"/>
        <v>2</v>
      </c>
      <c r="K5498" t="s">
        <v>6698</v>
      </c>
      <c r="L5498" t="s">
        <v>6695</v>
      </c>
      <c r="O5498" t="s">
        <v>6694</v>
      </c>
      <c r="Q5498" t="s">
        <v>6694</v>
      </c>
      <c r="W5498" t="s">
        <v>6720</v>
      </c>
    </row>
    <row r="5499" spans="1:23" ht="15.6" x14ac:dyDescent="0.4">
      <c r="A5499" s="2" t="s">
        <v>3995</v>
      </c>
      <c r="B5499" s="5" t="s">
        <v>11553</v>
      </c>
      <c r="C5499" s="7" t="s">
        <v>12556</v>
      </c>
      <c r="D5499" s="8">
        <f t="shared" si="344"/>
        <v>0</v>
      </c>
      <c r="E5499" s="7" t="s">
        <v>12557</v>
      </c>
      <c r="F5499" s="7">
        <f t="shared" si="345"/>
        <v>0</v>
      </c>
      <c r="G5499" s="7" t="s">
        <v>12558</v>
      </c>
      <c r="H5499" s="7">
        <f t="shared" si="346"/>
        <v>0</v>
      </c>
      <c r="I5499" s="7" t="str" cm="1">
        <f t="array" ref="I5499">IFERROR(_xlfn.IFS(M5499="נח",1,M5499="נע ונח",1,M5499="שני שווא נח",2,M5499="שני שוואים בסוף מילה",2,M5499="שני שוואים ברצף",1),"0")</f>
        <v>0</v>
      </c>
      <c r="J5499" s="9">
        <f t="shared" si="347"/>
        <v>2</v>
      </c>
      <c r="K5499" t="s">
        <v>6698</v>
      </c>
      <c r="L5499" t="s">
        <v>6695</v>
      </c>
      <c r="O5499" t="s">
        <v>6694</v>
      </c>
      <c r="P5499" t="s">
        <v>6694</v>
      </c>
      <c r="W5499" t="s">
        <v>6720</v>
      </c>
    </row>
    <row r="5500" spans="1:23" ht="15.6" x14ac:dyDescent="0.4">
      <c r="A5500" s="2" t="s">
        <v>6037</v>
      </c>
      <c r="B5500" s="5" t="s">
        <v>11502</v>
      </c>
      <c r="C5500" s="7" t="s">
        <v>12556</v>
      </c>
      <c r="D5500" s="8">
        <f t="shared" si="344"/>
        <v>0</v>
      </c>
      <c r="E5500" s="7" t="s">
        <v>12557</v>
      </c>
      <c r="F5500" s="7">
        <f t="shared" si="345"/>
        <v>0</v>
      </c>
      <c r="G5500" s="7" t="s">
        <v>12558</v>
      </c>
      <c r="H5500" s="7">
        <f t="shared" si="346"/>
        <v>0</v>
      </c>
      <c r="I5500" s="7" t="str" cm="1">
        <f t="array" ref="I5500">IFERROR(_xlfn.IFS(M5500="נח",1,M5500="נע ונח",1,M5500="שני שווא נח",2,M5500="שני שוואים בסוף מילה",2,M5500="שני שוואים ברצף",1),"0")</f>
        <v>0</v>
      </c>
      <c r="J5500" s="9">
        <f t="shared" si="347"/>
        <v>2</v>
      </c>
      <c r="K5500" t="s">
        <v>6698</v>
      </c>
      <c r="L5500" t="s">
        <v>6695</v>
      </c>
      <c r="O5500" t="s">
        <v>6694</v>
      </c>
      <c r="R5500" t="s">
        <v>6694</v>
      </c>
      <c r="W5500" t="s">
        <v>6720</v>
      </c>
    </row>
    <row r="5501" spans="1:23" ht="15.6" x14ac:dyDescent="0.4">
      <c r="A5501" s="2" t="s">
        <v>6561</v>
      </c>
      <c r="B5501" s="5" t="s">
        <v>11554</v>
      </c>
      <c r="C5501" s="7" t="s">
        <v>12556</v>
      </c>
      <c r="D5501" s="8">
        <f t="shared" si="344"/>
        <v>0</v>
      </c>
      <c r="E5501" s="7" t="s">
        <v>12557</v>
      </c>
      <c r="F5501" s="7">
        <f t="shared" si="345"/>
        <v>0</v>
      </c>
      <c r="G5501" s="7" t="s">
        <v>12558</v>
      </c>
      <c r="H5501" s="7">
        <f t="shared" si="346"/>
        <v>0</v>
      </c>
      <c r="I5501" s="7" t="str" cm="1">
        <f t="array" ref="I5501">IFERROR(_xlfn.IFS(M5501="נח",1,M5501="נע ונח",1,M5501="שני שווא נח",2,M5501="שני שוואים בסוף מילה",2,M5501="שני שוואים ברצף",1),"0")</f>
        <v>0</v>
      </c>
      <c r="J5501" s="9">
        <f t="shared" si="347"/>
        <v>3</v>
      </c>
      <c r="K5501" t="s">
        <v>6697</v>
      </c>
      <c r="L5501" t="s">
        <v>6695</v>
      </c>
      <c r="O5501" t="s">
        <v>6694</v>
      </c>
      <c r="R5501" t="s">
        <v>6694</v>
      </c>
      <c r="W5501" t="s">
        <v>6720</v>
      </c>
    </row>
    <row r="5502" spans="1:23" ht="15.6" x14ac:dyDescent="0.4">
      <c r="A5502" s="2" t="s">
        <v>1690</v>
      </c>
      <c r="B5502" s="5" t="s">
        <v>11502</v>
      </c>
      <c r="C5502" s="7" t="s">
        <v>12556</v>
      </c>
      <c r="D5502" s="8">
        <f t="shared" si="344"/>
        <v>0</v>
      </c>
      <c r="E5502" s="7" t="s">
        <v>12557</v>
      </c>
      <c r="F5502" s="7">
        <f t="shared" si="345"/>
        <v>0</v>
      </c>
      <c r="G5502" s="7" t="s">
        <v>12558</v>
      </c>
      <c r="H5502" s="7">
        <f t="shared" si="346"/>
        <v>0</v>
      </c>
      <c r="I5502" s="7" t="str" cm="1">
        <f t="array" ref="I5502">IFERROR(_xlfn.IFS(M5502="נח",1,M5502="נע ונח",1,M5502="שני שווא נח",2,M5502="שני שוואים בסוף מילה",2,M5502="שני שוואים ברצף",1),"0")</f>
        <v>0</v>
      </c>
      <c r="J5502" s="9">
        <f t="shared" si="347"/>
        <v>2</v>
      </c>
      <c r="K5502" t="s">
        <v>6698</v>
      </c>
      <c r="L5502" t="s">
        <v>6695</v>
      </c>
      <c r="O5502" t="s">
        <v>6694</v>
      </c>
      <c r="V5502" t="s">
        <v>6694</v>
      </c>
      <c r="W5502" t="s">
        <v>6720</v>
      </c>
    </row>
    <row r="5503" spans="1:23" ht="15.6" x14ac:dyDescent="0.4">
      <c r="A5503" s="2" t="s">
        <v>5943</v>
      </c>
      <c r="B5503" s="5" t="s">
        <v>11555</v>
      </c>
      <c r="C5503" s="7" t="s">
        <v>12556</v>
      </c>
      <c r="D5503" s="8">
        <f t="shared" si="344"/>
        <v>0</v>
      </c>
      <c r="E5503" s="7" t="s">
        <v>12557</v>
      </c>
      <c r="F5503" s="7">
        <f t="shared" si="345"/>
        <v>1</v>
      </c>
      <c r="G5503" s="7" t="s">
        <v>12558</v>
      </c>
      <c r="H5503" s="7">
        <f t="shared" si="346"/>
        <v>1</v>
      </c>
      <c r="I5503" s="7" t="str" cm="1">
        <f t="array" ref="I5503">IFERROR(_xlfn.IFS(M5503="נח",1,M5503="נע ונח",1,M5503="שני שווא נח",2,M5503="שני שוואים בסוף מילה",2,M5503="שני שוואים ברצף",1),"0")</f>
        <v>0</v>
      </c>
      <c r="J5503" s="9">
        <f t="shared" si="347"/>
        <v>2</v>
      </c>
      <c r="K5503" t="s">
        <v>6697</v>
      </c>
      <c r="L5503" t="s">
        <v>6695</v>
      </c>
      <c r="O5503" t="s">
        <v>6694</v>
      </c>
      <c r="U5503" t="s">
        <v>6694</v>
      </c>
      <c r="W5503" t="s">
        <v>6720</v>
      </c>
    </row>
    <row r="5504" spans="1:23" ht="15.6" x14ac:dyDescent="0.4">
      <c r="A5504" s="2" t="s">
        <v>3825</v>
      </c>
      <c r="B5504" s="5" t="s">
        <v>11556</v>
      </c>
      <c r="C5504" s="7" t="s">
        <v>12556</v>
      </c>
      <c r="D5504" s="8">
        <f t="shared" si="344"/>
        <v>1</v>
      </c>
      <c r="E5504" s="7" t="s">
        <v>12557</v>
      </c>
      <c r="F5504" s="7">
        <f t="shared" si="345"/>
        <v>0</v>
      </c>
      <c r="G5504" s="7" t="s">
        <v>12558</v>
      </c>
      <c r="H5504" s="7">
        <f t="shared" si="346"/>
        <v>0</v>
      </c>
      <c r="I5504" s="7" cm="1">
        <f t="array" ref="I5504">IFERROR(_xlfn.IFS(M5504="נח",1,M5504="נע ונח",1,M5504="שני שווא נח",2,M5504="שני שוואים בסוף מילה",2,M5504="שני שוואים ברצף",1),"0")</f>
        <v>1</v>
      </c>
      <c r="J5504" s="9">
        <f t="shared" si="347"/>
        <v>2</v>
      </c>
      <c r="K5504" t="s">
        <v>6698</v>
      </c>
      <c r="L5504" t="s">
        <v>6694</v>
      </c>
      <c r="M5504" t="s">
        <v>6705</v>
      </c>
      <c r="N5504" t="s">
        <v>6706</v>
      </c>
      <c r="O5504" t="s">
        <v>6694</v>
      </c>
      <c r="W5504" t="s">
        <v>6720</v>
      </c>
    </row>
    <row r="5505" spans="1:23" ht="15.6" x14ac:dyDescent="0.4">
      <c r="A5505" s="2" t="s">
        <v>3958</v>
      </c>
      <c r="B5505" s="5" t="s">
        <v>11557</v>
      </c>
      <c r="C5505" s="7" t="s">
        <v>12556</v>
      </c>
      <c r="D5505" s="8">
        <f t="shared" si="344"/>
        <v>1</v>
      </c>
      <c r="E5505" s="7" t="s">
        <v>12557</v>
      </c>
      <c r="F5505" s="7">
        <f t="shared" si="345"/>
        <v>0</v>
      </c>
      <c r="G5505" s="7" t="s">
        <v>12558</v>
      </c>
      <c r="H5505" s="7">
        <f t="shared" si="346"/>
        <v>0</v>
      </c>
      <c r="I5505" s="7" cm="1">
        <f t="array" ref="I5505">IFERROR(_xlfn.IFS(M5505="נח",1,M5505="נע ונח",1,M5505="שני שווא נח",2,M5505="שני שוואים בסוף מילה",2,M5505="שני שוואים ברצף",1),"0")</f>
        <v>1</v>
      </c>
      <c r="J5505" s="9">
        <f t="shared" si="347"/>
        <v>2</v>
      </c>
      <c r="K5505" t="s">
        <v>6697</v>
      </c>
      <c r="L5505" t="s">
        <v>6694</v>
      </c>
      <c r="M5505" t="s">
        <v>6705</v>
      </c>
      <c r="O5505" t="s">
        <v>6694</v>
      </c>
      <c r="V5505" t="s">
        <v>6694</v>
      </c>
      <c r="W5505" t="s">
        <v>6720</v>
      </c>
    </row>
    <row r="5506" spans="1:23" ht="15.6" x14ac:dyDescent="0.4">
      <c r="A5506" s="2" t="s">
        <v>2367</v>
      </c>
      <c r="B5506" s="5" t="s">
        <v>11558</v>
      </c>
      <c r="C5506" s="7" t="s">
        <v>12556</v>
      </c>
      <c r="D5506" s="8">
        <f t="shared" si="344"/>
        <v>2</v>
      </c>
      <c r="E5506" s="7" t="s">
        <v>12557</v>
      </c>
      <c r="F5506" s="7">
        <f t="shared" si="345"/>
        <v>0</v>
      </c>
      <c r="G5506" s="7" t="s">
        <v>12558</v>
      </c>
      <c r="H5506" s="7">
        <f t="shared" si="346"/>
        <v>0</v>
      </c>
      <c r="I5506" s="7" t="str" cm="1">
        <f t="array" ref="I5506">IFERROR(_xlfn.IFS(M5506="נח",1,M5506="נע ונח",1,M5506="שני שווא נח",2,M5506="שני שוואים בסוף מילה",2,M5506="שני שוואים ברצף",1),"0")</f>
        <v>0</v>
      </c>
      <c r="J5506" s="9">
        <f t="shared" si="347"/>
        <v>3</v>
      </c>
      <c r="K5506" t="s">
        <v>6697</v>
      </c>
      <c r="L5506" t="s">
        <v>6694</v>
      </c>
      <c r="M5506" t="s">
        <v>6703</v>
      </c>
      <c r="O5506" t="s">
        <v>6694</v>
      </c>
      <c r="W5506" t="s">
        <v>6720</v>
      </c>
    </row>
    <row r="5507" spans="1:23" ht="15.6" x14ac:dyDescent="0.4">
      <c r="A5507" s="2" t="s">
        <v>3814</v>
      </c>
      <c r="B5507" s="5" t="s">
        <v>11559</v>
      </c>
      <c r="C5507" s="7" t="s">
        <v>12556</v>
      </c>
      <c r="D5507" s="8">
        <f t="shared" ref="D5507:D5570" si="348">(LEN(B5507)-LEN(SUBSTITUTE(B5507,C5507,"")))</f>
        <v>1</v>
      </c>
      <c r="E5507" s="7" t="s">
        <v>12557</v>
      </c>
      <c r="F5507" s="7">
        <f t="shared" ref="F5507:F5570" si="349">(LEN(A5507)-LEN(SUBSTITUTE(A5507,E5507,"")))</f>
        <v>0</v>
      </c>
      <c r="G5507" s="7" t="s">
        <v>12558</v>
      </c>
      <c r="H5507" s="7">
        <f t="shared" ref="H5507:H5570" si="350">(LEN(A5507)-LEN(SUBSTITUTE(A5507,G5507,"")))/2</f>
        <v>0</v>
      </c>
      <c r="I5507" s="7" t="str" cm="1">
        <f t="array" ref="I5507">IFERROR(_xlfn.IFS(M5507="נח",1,M5507="נע ונח",1,M5507="שני שווא נח",2,M5507="שני שוואים בסוף מילה",2,M5507="שני שוואים ברצף",1),"0")</f>
        <v>0</v>
      </c>
      <c r="J5507" s="9">
        <f t="shared" ref="J5507:J5570" si="351">LEN(A5507)-(LEN(B5507))-D5507-F5507+H5507-I5507</f>
        <v>2</v>
      </c>
      <c r="K5507" t="s">
        <v>6698</v>
      </c>
      <c r="L5507" t="s">
        <v>6695</v>
      </c>
      <c r="O5507" t="s">
        <v>6694</v>
      </c>
      <c r="S5507" t="s">
        <v>6694</v>
      </c>
      <c r="W5507" t="s">
        <v>6720</v>
      </c>
    </row>
    <row r="5508" spans="1:23" ht="15.6" x14ac:dyDescent="0.4">
      <c r="A5508" s="2" t="s">
        <v>6350</v>
      </c>
      <c r="B5508" s="5" t="s">
        <v>11560</v>
      </c>
      <c r="C5508" s="7" t="s">
        <v>12556</v>
      </c>
      <c r="D5508" s="8">
        <f t="shared" si="348"/>
        <v>2</v>
      </c>
      <c r="E5508" s="7" t="s">
        <v>12557</v>
      </c>
      <c r="F5508" s="7">
        <f t="shared" si="349"/>
        <v>1</v>
      </c>
      <c r="G5508" s="7" t="s">
        <v>12558</v>
      </c>
      <c r="H5508" s="7">
        <f t="shared" si="350"/>
        <v>1</v>
      </c>
      <c r="I5508" s="7" t="str" cm="1">
        <f t="array" ref="I5508">IFERROR(_xlfn.IFS(M5508="נח",1,M5508="נע ונח",1,M5508="שני שווא נח",2,M5508="שני שוואים בסוף מילה",2,M5508="שני שוואים ברצף",1),"0")</f>
        <v>0</v>
      </c>
      <c r="J5508" s="9">
        <f t="shared" si="351"/>
        <v>3</v>
      </c>
      <c r="K5508" t="s">
        <v>6697</v>
      </c>
      <c r="L5508" t="s">
        <v>6695</v>
      </c>
      <c r="O5508" t="s">
        <v>6694</v>
      </c>
      <c r="Q5508" t="s">
        <v>6694</v>
      </c>
      <c r="U5508" t="s">
        <v>6694</v>
      </c>
      <c r="W5508" t="s">
        <v>6720</v>
      </c>
    </row>
    <row r="5509" spans="1:23" ht="15.6" x14ac:dyDescent="0.4">
      <c r="A5509" s="2" t="s">
        <v>4790</v>
      </c>
      <c r="B5509" s="5" t="s">
        <v>11561</v>
      </c>
      <c r="C5509" s="7" t="s">
        <v>12556</v>
      </c>
      <c r="D5509" s="8">
        <f t="shared" si="348"/>
        <v>1</v>
      </c>
      <c r="E5509" s="7" t="s">
        <v>12557</v>
      </c>
      <c r="F5509" s="7">
        <f t="shared" si="349"/>
        <v>1</v>
      </c>
      <c r="G5509" s="7" t="s">
        <v>12558</v>
      </c>
      <c r="H5509" s="7">
        <f t="shared" si="350"/>
        <v>0</v>
      </c>
      <c r="I5509" s="7" cm="1">
        <f t="array" ref="I5509">IFERROR(_xlfn.IFS(M5509="נח",1,M5509="נע ונח",1,M5509="שני שווא נח",2,M5509="שני שוואים בסוף מילה",2,M5509="שני שוואים ברצף",1),"0")</f>
        <v>1</v>
      </c>
      <c r="J5509" s="9">
        <f t="shared" si="351"/>
        <v>3</v>
      </c>
      <c r="K5509" t="s">
        <v>6698</v>
      </c>
      <c r="L5509" t="s">
        <v>6694</v>
      </c>
      <c r="M5509" t="s">
        <v>6705</v>
      </c>
      <c r="O5509" t="s">
        <v>6694</v>
      </c>
      <c r="P5509" t="s">
        <v>6694</v>
      </c>
      <c r="W5509" t="s">
        <v>6720</v>
      </c>
    </row>
    <row r="5510" spans="1:23" ht="15.6" x14ac:dyDescent="0.4">
      <c r="A5510" s="2" t="s">
        <v>2065</v>
      </c>
      <c r="B5510" s="5" t="s">
        <v>11562</v>
      </c>
      <c r="C5510" s="7" t="s">
        <v>12556</v>
      </c>
      <c r="D5510" s="8">
        <f t="shared" si="348"/>
        <v>1</v>
      </c>
      <c r="E5510" s="7" t="s">
        <v>12557</v>
      </c>
      <c r="F5510" s="7">
        <f t="shared" si="349"/>
        <v>0</v>
      </c>
      <c r="G5510" s="7" t="s">
        <v>12558</v>
      </c>
      <c r="H5510" s="7">
        <f t="shared" si="350"/>
        <v>0</v>
      </c>
      <c r="I5510" s="7" t="str" cm="1">
        <f t="array" ref="I5510">IFERROR(_xlfn.IFS(M5510="נח",1,M5510="נע ונח",1,M5510="שני שווא נח",2,M5510="שני שוואים בסוף מילה",2,M5510="שני שוואים ברצף",1),"0")</f>
        <v>0</v>
      </c>
      <c r="J5510" s="9">
        <f t="shared" si="351"/>
        <v>2</v>
      </c>
      <c r="K5510" t="s">
        <v>6698</v>
      </c>
      <c r="L5510" t="s">
        <v>6695</v>
      </c>
      <c r="N5510" t="s">
        <v>6706</v>
      </c>
      <c r="O5510" t="s">
        <v>6694</v>
      </c>
      <c r="W5510" t="s">
        <v>6720</v>
      </c>
    </row>
    <row r="5511" spans="1:23" ht="15.6" x14ac:dyDescent="0.4">
      <c r="A5511" s="2" t="s">
        <v>3886</v>
      </c>
      <c r="B5511" s="5" t="s">
        <v>11563</v>
      </c>
      <c r="C5511" s="7" t="s">
        <v>12556</v>
      </c>
      <c r="D5511" s="8">
        <f t="shared" si="348"/>
        <v>1</v>
      </c>
      <c r="E5511" s="7" t="s">
        <v>12557</v>
      </c>
      <c r="F5511" s="7">
        <f t="shared" si="349"/>
        <v>0</v>
      </c>
      <c r="G5511" s="7" t="s">
        <v>12558</v>
      </c>
      <c r="H5511" s="7">
        <f t="shared" si="350"/>
        <v>0</v>
      </c>
      <c r="I5511" s="7" t="str" cm="1">
        <f t="array" ref="I5511">IFERROR(_xlfn.IFS(M5511="נח",1,M5511="נע ונח",1,M5511="שני שווא נח",2,M5511="שני שוואים בסוף מילה",2,M5511="שני שוואים ברצף",1),"0")</f>
        <v>0</v>
      </c>
      <c r="J5511" s="9">
        <f t="shared" si="351"/>
        <v>3</v>
      </c>
      <c r="K5511" t="s">
        <v>6697</v>
      </c>
      <c r="L5511" t="s">
        <v>6695</v>
      </c>
      <c r="O5511" t="s">
        <v>6694</v>
      </c>
      <c r="S5511" t="s">
        <v>6694</v>
      </c>
      <c r="W5511" t="s">
        <v>6720</v>
      </c>
    </row>
    <row r="5512" spans="1:23" ht="15.6" x14ac:dyDescent="0.4">
      <c r="A5512" s="2" t="s">
        <v>531</v>
      </c>
      <c r="B5512" s="5" t="s">
        <v>11564</v>
      </c>
      <c r="C5512" s="7" t="s">
        <v>12556</v>
      </c>
      <c r="D5512" s="8">
        <f t="shared" si="348"/>
        <v>1</v>
      </c>
      <c r="E5512" s="7" t="s">
        <v>12557</v>
      </c>
      <c r="F5512" s="7">
        <f t="shared" si="349"/>
        <v>0</v>
      </c>
      <c r="G5512" s="7" t="s">
        <v>12558</v>
      </c>
      <c r="H5512" s="7">
        <f t="shared" si="350"/>
        <v>0</v>
      </c>
      <c r="I5512" s="7" t="str" cm="1">
        <f t="array" ref="I5512">IFERROR(_xlfn.IFS(M5512="נח",1,M5512="נע ונח",1,M5512="שני שווא נח",2,M5512="שני שוואים בסוף מילה",2,M5512="שני שוואים ברצף",1),"0")</f>
        <v>0</v>
      </c>
      <c r="J5512" s="9">
        <f t="shared" si="351"/>
        <v>3</v>
      </c>
      <c r="K5512" t="s">
        <v>6698</v>
      </c>
      <c r="L5512" t="s">
        <v>6695</v>
      </c>
      <c r="O5512" t="s">
        <v>6694</v>
      </c>
      <c r="S5512" t="s">
        <v>6694</v>
      </c>
      <c r="W5512" t="s">
        <v>6720</v>
      </c>
    </row>
    <row r="5513" spans="1:23" ht="15.6" x14ac:dyDescent="0.4">
      <c r="A5513" s="2" t="s">
        <v>707</v>
      </c>
      <c r="B5513" s="5" t="s">
        <v>11453</v>
      </c>
      <c r="C5513" s="7" t="s">
        <v>12556</v>
      </c>
      <c r="D5513" s="8">
        <f t="shared" si="348"/>
        <v>1</v>
      </c>
      <c r="E5513" s="7" t="s">
        <v>12557</v>
      </c>
      <c r="F5513" s="7">
        <f t="shared" si="349"/>
        <v>0</v>
      </c>
      <c r="G5513" s="7" t="s">
        <v>12558</v>
      </c>
      <c r="H5513" s="7">
        <f t="shared" si="350"/>
        <v>0</v>
      </c>
      <c r="I5513" s="7" t="str" cm="1">
        <f t="array" ref="I5513">IFERROR(_xlfn.IFS(M5513="נח",1,M5513="נע ונח",1,M5513="שני שווא נח",2,M5513="שני שוואים בסוף מילה",2,M5513="שני שוואים ברצף",1),"0")</f>
        <v>0</v>
      </c>
      <c r="J5513" s="9">
        <f t="shared" si="351"/>
        <v>2</v>
      </c>
      <c r="K5513" t="s">
        <v>6697</v>
      </c>
      <c r="L5513" t="s">
        <v>6695</v>
      </c>
      <c r="O5513" t="s">
        <v>6694</v>
      </c>
      <c r="W5513" t="s">
        <v>6720</v>
      </c>
    </row>
    <row r="5514" spans="1:23" ht="15.6" x14ac:dyDescent="0.4">
      <c r="A5514" s="2" t="s">
        <v>2972</v>
      </c>
      <c r="B5514" s="5" t="s">
        <v>11565</v>
      </c>
      <c r="C5514" s="7" t="s">
        <v>12556</v>
      </c>
      <c r="D5514" s="8">
        <f t="shared" si="348"/>
        <v>1</v>
      </c>
      <c r="E5514" s="7" t="s">
        <v>12557</v>
      </c>
      <c r="F5514" s="7">
        <f t="shared" si="349"/>
        <v>1</v>
      </c>
      <c r="G5514" s="7" t="s">
        <v>12558</v>
      </c>
      <c r="H5514" s="7">
        <f t="shared" si="350"/>
        <v>1</v>
      </c>
      <c r="I5514" s="7" t="str" cm="1">
        <f t="array" ref="I5514">IFERROR(_xlfn.IFS(M5514="נח",1,M5514="נע ונח",1,M5514="שני שווא נח",2,M5514="שני שוואים בסוף מילה",2,M5514="שני שוואים ברצף",1),"0")</f>
        <v>0</v>
      </c>
      <c r="J5514" s="9">
        <f t="shared" si="351"/>
        <v>3</v>
      </c>
      <c r="K5514" t="s">
        <v>6697</v>
      </c>
      <c r="L5514" t="s">
        <v>6695</v>
      </c>
      <c r="O5514" t="s">
        <v>6694</v>
      </c>
      <c r="U5514" t="s">
        <v>6694</v>
      </c>
      <c r="W5514" t="s">
        <v>6720</v>
      </c>
    </row>
    <row r="5515" spans="1:23" ht="15.6" x14ac:dyDescent="0.4">
      <c r="A5515" s="2" t="s">
        <v>5566</v>
      </c>
      <c r="B5515" s="5" t="s">
        <v>11566</v>
      </c>
      <c r="C5515" s="7" t="s">
        <v>12556</v>
      </c>
      <c r="D5515" s="8">
        <f t="shared" si="348"/>
        <v>1</v>
      </c>
      <c r="E5515" s="7" t="s">
        <v>12557</v>
      </c>
      <c r="F5515" s="7">
        <f t="shared" si="349"/>
        <v>1</v>
      </c>
      <c r="G5515" s="7" t="s">
        <v>12558</v>
      </c>
      <c r="H5515" s="7">
        <f t="shared" si="350"/>
        <v>1</v>
      </c>
      <c r="I5515" s="7" t="str" cm="1">
        <f t="array" ref="I5515">IFERROR(_xlfn.IFS(M5515="נח",1,M5515="נע ונח",1,M5515="שני שווא נח",2,M5515="שני שוואים בסוף מילה",2,M5515="שני שוואים ברצף",1),"0")</f>
        <v>0</v>
      </c>
      <c r="J5515" s="9">
        <f t="shared" si="351"/>
        <v>3</v>
      </c>
      <c r="K5515" t="s">
        <v>6697</v>
      </c>
      <c r="L5515" t="s">
        <v>6695</v>
      </c>
      <c r="O5515" t="s">
        <v>6694</v>
      </c>
      <c r="U5515" t="s">
        <v>6694</v>
      </c>
      <c r="W5515" t="s">
        <v>6720</v>
      </c>
    </row>
    <row r="5516" spans="1:23" ht="15.6" x14ac:dyDescent="0.4">
      <c r="A5516" s="2" t="s">
        <v>4232</v>
      </c>
      <c r="B5516" s="5" t="s">
        <v>11567</v>
      </c>
      <c r="C5516" s="7" t="s">
        <v>12556</v>
      </c>
      <c r="D5516" s="8">
        <f t="shared" si="348"/>
        <v>1</v>
      </c>
      <c r="E5516" s="7" t="s">
        <v>12557</v>
      </c>
      <c r="F5516" s="7">
        <f t="shared" si="349"/>
        <v>0</v>
      </c>
      <c r="G5516" s="7" t="s">
        <v>12558</v>
      </c>
      <c r="H5516" s="7">
        <f t="shared" si="350"/>
        <v>0</v>
      </c>
      <c r="I5516" s="7" t="str" cm="1">
        <f t="array" ref="I5516">IFERROR(_xlfn.IFS(M5516="נח",1,M5516="נע ונח",1,M5516="שני שווא נח",2,M5516="שני שוואים בסוף מילה",2,M5516="שני שוואים ברצף",1),"0")</f>
        <v>0</v>
      </c>
      <c r="J5516" s="9">
        <f t="shared" si="351"/>
        <v>2</v>
      </c>
      <c r="K5516" t="s">
        <v>6698</v>
      </c>
      <c r="L5516" t="s">
        <v>6695</v>
      </c>
      <c r="N5516" t="s">
        <v>6706</v>
      </c>
      <c r="O5516" t="s">
        <v>6694</v>
      </c>
      <c r="W5516" t="s">
        <v>6720</v>
      </c>
    </row>
    <row r="5517" spans="1:23" ht="15.6" x14ac:dyDescent="0.4">
      <c r="A5517" s="2" t="s">
        <v>2934</v>
      </c>
      <c r="B5517" s="5" t="s">
        <v>11568</v>
      </c>
      <c r="C5517" s="7" t="s">
        <v>12556</v>
      </c>
      <c r="D5517" s="8">
        <f t="shared" si="348"/>
        <v>1</v>
      </c>
      <c r="E5517" s="7" t="s">
        <v>12557</v>
      </c>
      <c r="F5517" s="7">
        <f t="shared" si="349"/>
        <v>0</v>
      </c>
      <c r="G5517" s="7" t="s">
        <v>12558</v>
      </c>
      <c r="H5517" s="7">
        <f t="shared" si="350"/>
        <v>0</v>
      </c>
      <c r="I5517" s="7" t="str" cm="1">
        <f t="array" ref="I5517">IFERROR(_xlfn.IFS(M5517="נח",1,M5517="נע ונח",1,M5517="שני שווא נח",2,M5517="שני שוואים בסוף מילה",2,M5517="שני שוואים ברצף",1),"0")</f>
        <v>0</v>
      </c>
      <c r="J5517" s="9">
        <f t="shared" si="351"/>
        <v>2</v>
      </c>
      <c r="K5517" t="s">
        <v>6698</v>
      </c>
      <c r="L5517" t="s">
        <v>6695</v>
      </c>
      <c r="O5517" t="s">
        <v>6694</v>
      </c>
      <c r="V5517" t="s">
        <v>6694</v>
      </c>
      <c r="W5517" t="s">
        <v>6720</v>
      </c>
    </row>
    <row r="5518" spans="1:23" ht="15.6" x14ac:dyDescent="0.4">
      <c r="A5518" s="2" t="s">
        <v>2420</v>
      </c>
      <c r="B5518" s="5" t="s">
        <v>11569</v>
      </c>
      <c r="C5518" s="7" t="s">
        <v>12556</v>
      </c>
      <c r="D5518" s="8">
        <f t="shared" si="348"/>
        <v>1</v>
      </c>
      <c r="E5518" s="7" t="s">
        <v>12557</v>
      </c>
      <c r="F5518" s="7">
        <f t="shared" si="349"/>
        <v>1</v>
      </c>
      <c r="G5518" s="7" t="s">
        <v>12558</v>
      </c>
      <c r="H5518" s="7">
        <f t="shared" si="350"/>
        <v>1</v>
      </c>
      <c r="I5518" s="7" t="str" cm="1">
        <f t="array" ref="I5518">IFERROR(_xlfn.IFS(M5518="נח",1,M5518="נע ונח",1,M5518="שני שווא נח",2,M5518="שני שוואים בסוף מילה",2,M5518="שני שוואים ברצף",1),"0")</f>
        <v>0</v>
      </c>
      <c r="J5518" s="9">
        <f t="shared" si="351"/>
        <v>2</v>
      </c>
      <c r="K5518" t="s">
        <v>6697</v>
      </c>
      <c r="L5518" t="s">
        <v>6695</v>
      </c>
      <c r="O5518" t="s">
        <v>6694</v>
      </c>
      <c r="U5518" t="s">
        <v>6694</v>
      </c>
      <c r="W5518" t="s">
        <v>6720</v>
      </c>
    </row>
    <row r="5519" spans="1:23" ht="15.6" x14ac:dyDescent="0.4">
      <c r="A5519" s="2" t="s">
        <v>2369</v>
      </c>
      <c r="B5519" s="5" t="s">
        <v>11570</v>
      </c>
      <c r="C5519" s="7" t="s">
        <v>12556</v>
      </c>
      <c r="D5519" s="8">
        <f t="shared" si="348"/>
        <v>0</v>
      </c>
      <c r="E5519" s="7" t="s">
        <v>12557</v>
      </c>
      <c r="F5519" s="7">
        <f t="shared" si="349"/>
        <v>0</v>
      </c>
      <c r="G5519" s="7" t="s">
        <v>12558</v>
      </c>
      <c r="H5519" s="7">
        <f t="shared" si="350"/>
        <v>0</v>
      </c>
      <c r="I5519" s="7" cm="1">
        <f t="array" ref="I5519">IFERROR(_xlfn.IFS(M5519="נח",1,M5519="נע ונח",1,M5519="שני שווא נח",2,M5519="שני שוואים בסוף מילה",2,M5519="שני שוואים ברצף",1),"0")</f>
        <v>1</v>
      </c>
      <c r="J5519" s="9">
        <f t="shared" si="351"/>
        <v>2</v>
      </c>
      <c r="K5519" t="s">
        <v>6697</v>
      </c>
      <c r="L5519" t="s">
        <v>6694</v>
      </c>
      <c r="M5519" t="s">
        <v>6705</v>
      </c>
      <c r="N5519" t="s">
        <v>6706</v>
      </c>
      <c r="O5519" t="s">
        <v>6694</v>
      </c>
      <c r="W5519" t="s">
        <v>6720</v>
      </c>
    </row>
    <row r="5520" spans="1:23" ht="15.6" x14ac:dyDescent="0.4">
      <c r="A5520" s="2" t="s">
        <v>68</v>
      </c>
      <c r="B5520" s="5" t="s">
        <v>11571</v>
      </c>
      <c r="C5520" s="7" t="s">
        <v>12556</v>
      </c>
      <c r="D5520" s="8">
        <f t="shared" si="348"/>
        <v>0</v>
      </c>
      <c r="E5520" s="7" t="s">
        <v>12557</v>
      </c>
      <c r="F5520" s="7">
        <f t="shared" si="349"/>
        <v>0</v>
      </c>
      <c r="G5520" s="7" t="s">
        <v>12558</v>
      </c>
      <c r="H5520" s="7">
        <f t="shared" si="350"/>
        <v>0</v>
      </c>
      <c r="I5520" s="7" t="str" cm="1">
        <f t="array" ref="I5520">IFERROR(_xlfn.IFS(M5520="נח",1,M5520="נע ונח",1,M5520="שני שווא נח",2,M5520="שני שוואים בסוף מילה",2,M5520="שני שוואים ברצף",1),"0")</f>
        <v>0</v>
      </c>
      <c r="J5520" s="9">
        <f t="shared" si="351"/>
        <v>2</v>
      </c>
      <c r="K5520" t="s">
        <v>6698</v>
      </c>
      <c r="L5520" t="s">
        <v>6695</v>
      </c>
      <c r="N5520" t="s">
        <v>6706</v>
      </c>
      <c r="O5520" t="s">
        <v>6694</v>
      </c>
      <c r="W5520" t="s">
        <v>6720</v>
      </c>
    </row>
    <row r="5521" spans="1:23" ht="15.6" x14ac:dyDescent="0.4">
      <c r="A5521" s="2" t="s">
        <v>2210</v>
      </c>
      <c r="B5521" s="5" t="s">
        <v>11505</v>
      </c>
      <c r="C5521" s="7" t="s">
        <v>12556</v>
      </c>
      <c r="D5521" s="8">
        <f t="shared" si="348"/>
        <v>0</v>
      </c>
      <c r="E5521" s="7" t="s">
        <v>12557</v>
      </c>
      <c r="F5521" s="7">
        <f t="shared" si="349"/>
        <v>0</v>
      </c>
      <c r="G5521" s="7" t="s">
        <v>12558</v>
      </c>
      <c r="H5521" s="7">
        <f t="shared" si="350"/>
        <v>0</v>
      </c>
      <c r="I5521" s="7" cm="1">
        <f t="array" ref="I5521">IFERROR(_xlfn.IFS(M5521="נח",1,M5521="נע ונח",1,M5521="שני שווא נח",2,M5521="שני שוואים בסוף מילה",2,M5521="שני שוואים ברצף",1),"0")</f>
        <v>1</v>
      </c>
      <c r="J5521" s="9">
        <f t="shared" si="351"/>
        <v>2</v>
      </c>
      <c r="K5521" t="s">
        <v>6698</v>
      </c>
      <c r="L5521" t="s">
        <v>6694</v>
      </c>
      <c r="M5521" t="s">
        <v>6705</v>
      </c>
      <c r="Q5521" t="s">
        <v>6694</v>
      </c>
      <c r="V5521" t="s">
        <v>6694</v>
      </c>
      <c r="W5521" t="s">
        <v>6720</v>
      </c>
    </row>
    <row r="5522" spans="1:23" ht="15.6" x14ac:dyDescent="0.4">
      <c r="A5522" s="2" t="s">
        <v>4815</v>
      </c>
      <c r="B5522" s="5" t="s">
        <v>11572</v>
      </c>
      <c r="C5522" s="7" t="s">
        <v>12556</v>
      </c>
      <c r="D5522" s="8">
        <f t="shared" si="348"/>
        <v>0</v>
      </c>
      <c r="E5522" s="7" t="s">
        <v>12557</v>
      </c>
      <c r="F5522" s="7">
        <f t="shared" si="349"/>
        <v>0</v>
      </c>
      <c r="G5522" s="7" t="s">
        <v>12558</v>
      </c>
      <c r="H5522" s="7">
        <f t="shared" si="350"/>
        <v>0</v>
      </c>
      <c r="I5522" s="7" cm="1">
        <f t="array" ref="I5522">IFERROR(_xlfn.IFS(M5522="נח",1,M5522="נע ונח",1,M5522="שני שווא נח",2,M5522="שני שוואים בסוף מילה",2,M5522="שני שוואים ברצף",1),"0")</f>
        <v>1</v>
      </c>
      <c r="J5522" s="9">
        <f t="shared" si="351"/>
        <v>2</v>
      </c>
      <c r="K5522" t="s">
        <v>6698</v>
      </c>
      <c r="L5522" t="s">
        <v>6694</v>
      </c>
      <c r="M5522" t="s">
        <v>6705</v>
      </c>
      <c r="Q5522" t="s">
        <v>6694</v>
      </c>
      <c r="V5522" t="s">
        <v>6694</v>
      </c>
      <c r="W5522" t="s">
        <v>6720</v>
      </c>
    </row>
    <row r="5523" spans="1:23" ht="15.6" x14ac:dyDescent="0.4">
      <c r="A5523" s="2" t="s">
        <v>771</v>
      </c>
      <c r="B5523" s="5" t="s">
        <v>11530</v>
      </c>
      <c r="C5523" s="7" t="s">
        <v>12556</v>
      </c>
      <c r="D5523" s="8">
        <f t="shared" si="348"/>
        <v>0</v>
      </c>
      <c r="E5523" s="7" t="s">
        <v>12557</v>
      </c>
      <c r="F5523" s="7">
        <f t="shared" si="349"/>
        <v>0</v>
      </c>
      <c r="G5523" s="7" t="s">
        <v>12558</v>
      </c>
      <c r="H5523" s="7">
        <f t="shared" si="350"/>
        <v>0</v>
      </c>
      <c r="I5523" s="7" t="str" cm="1">
        <f t="array" ref="I5523">IFERROR(_xlfn.IFS(M5523="נח",1,M5523="נע ונח",1,M5523="שני שווא נח",2,M5523="שני שוואים בסוף מילה",2,M5523="שני שוואים ברצף",1),"0")</f>
        <v>0</v>
      </c>
      <c r="J5523" s="9">
        <f t="shared" si="351"/>
        <v>1</v>
      </c>
      <c r="K5523" t="s">
        <v>6698</v>
      </c>
      <c r="L5523" t="s">
        <v>6695</v>
      </c>
      <c r="V5523" t="s">
        <v>6694</v>
      </c>
      <c r="W5523" t="s">
        <v>6720</v>
      </c>
    </row>
    <row r="5524" spans="1:23" ht="15.6" x14ac:dyDescent="0.4">
      <c r="A5524" s="2" t="s">
        <v>1925</v>
      </c>
      <c r="B5524" s="5" t="s">
        <v>11477</v>
      </c>
      <c r="C5524" s="7" t="s">
        <v>12556</v>
      </c>
      <c r="D5524" s="8">
        <f t="shared" si="348"/>
        <v>0</v>
      </c>
      <c r="E5524" s="7" t="s">
        <v>12557</v>
      </c>
      <c r="F5524" s="7">
        <f t="shared" si="349"/>
        <v>0</v>
      </c>
      <c r="G5524" s="7" t="s">
        <v>12558</v>
      </c>
      <c r="H5524" s="7">
        <f t="shared" si="350"/>
        <v>0</v>
      </c>
      <c r="I5524" s="7" t="str" cm="1">
        <f t="array" ref="I5524">IFERROR(_xlfn.IFS(M5524="נח",1,M5524="נע ונח",1,M5524="שני שווא נח",2,M5524="שני שוואים בסוף מילה",2,M5524="שני שוואים ברצף",1),"0")</f>
        <v>0</v>
      </c>
      <c r="J5524" s="9">
        <f t="shared" si="351"/>
        <v>2</v>
      </c>
      <c r="K5524" t="s">
        <v>6698</v>
      </c>
      <c r="L5524" t="s">
        <v>6695</v>
      </c>
      <c r="Q5524" t="s">
        <v>6694</v>
      </c>
      <c r="V5524" t="s">
        <v>6694</v>
      </c>
      <c r="W5524" t="s">
        <v>6720</v>
      </c>
    </row>
    <row r="5525" spans="1:23" ht="15.6" x14ac:dyDescent="0.4">
      <c r="A5525" s="2" t="s">
        <v>617</v>
      </c>
      <c r="B5525" s="5" t="s">
        <v>11573</v>
      </c>
      <c r="C5525" s="7" t="s">
        <v>12556</v>
      </c>
      <c r="D5525" s="8">
        <f t="shared" si="348"/>
        <v>0</v>
      </c>
      <c r="E5525" s="7" t="s">
        <v>12557</v>
      </c>
      <c r="F5525" s="7">
        <f t="shared" si="349"/>
        <v>0</v>
      </c>
      <c r="G5525" s="7" t="s">
        <v>12558</v>
      </c>
      <c r="H5525" s="7">
        <f t="shared" si="350"/>
        <v>0</v>
      </c>
      <c r="I5525" s="7" t="str" cm="1">
        <f t="array" ref="I5525">IFERROR(_xlfn.IFS(M5525="נח",1,M5525="נע ונח",1,M5525="שני שווא נח",2,M5525="שני שוואים בסוף מילה",2,M5525="שני שוואים ברצף",1),"0")</f>
        <v>0</v>
      </c>
      <c r="J5525" s="9">
        <f t="shared" si="351"/>
        <v>2</v>
      </c>
      <c r="K5525" t="s">
        <v>6697</v>
      </c>
      <c r="L5525" t="s">
        <v>6695</v>
      </c>
      <c r="R5525" t="s">
        <v>6694</v>
      </c>
      <c r="V5525" t="s">
        <v>6694</v>
      </c>
      <c r="W5525" t="s">
        <v>6720</v>
      </c>
    </row>
    <row r="5526" spans="1:23" ht="15.6" x14ac:dyDescent="0.4">
      <c r="A5526" s="2" t="s">
        <v>5698</v>
      </c>
      <c r="B5526" s="5" t="s">
        <v>11539</v>
      </c>
      <c r="C5526" s="7" t="s">
        <v>12556</v>
      </c>
      <c r="D5526" s="8">
        <f t="shared" si="348"/>
        <v>0</v>
      </c>
      <c r="E5526" s="7" t="s">
        <v>12557</v>
      </c>
      <c r="F5526" s="7">
        <f t="shared" si="349"/>
        <v>0</v>
      </c>
      <c r="G5526" s="7" t="s">
        <v>12558</v>
      </c>
      <c r="H5526" s="7">
        <f t="shared" si="350"/>
        <v>0</v>
      </c>
      <c r="I5526" s="7" t="str" cm="1">
        <f t="array" ref="I5526">IFERROR(_xlfn.IFS(M5526="נח",1,M5526="נע ונח",1,M5526="שני שווא נח",2,M5526="שני שוואים בסוף מילה",2,M5526="שני שוואים ברצף",1),"0")</f>
        <v>0</v>
      </c>
      <c r="J5526" s="9">
        <f t="shared" si="351"/>
        <v>2</v>
      </c>
      <c r="K5526" t="s">
        <v>6697</v>
      </c>
      <c r="L5526" t="s">
        <v>6695</v>
      </c>
      <c r="R5526" t="s">
        <v>6694</v>
      </c>
      <c r="V5526" t="s">
        <v>6694</v>
      </c>
      <c r="W5526" t="s">
        <v>6720</v>
      </c>
    </row>
    <row r="5527" spans="1:23" ht="15.6" x14ac:dyDescent="0.4">
      <c r="A5527" s="2" t="s">
        <v>5951</v>
      </c>
      <c r="B5527" s="5" t="s">
        <v>11574</v>
      </c>
      <c r="C5527" s="7" t="s">
        <v>12556</v>
      </c>
      <c r="D5527" s="8">
        <f t="shared" si="348"/>
        <v>0</v>
      </c>
      <c r="E5527" s="7" t="s">
        <v>12557</v>
      </c>
      <c r="F5527" s="7">
        <f t="shared" si="349"/>
        <v>0</v>
      </c>
      <c r="G5527" s="7" t="s">
        <v>12558</v>
      </c>
      <c r="H5527" s="7">
        <f t="shared" si="350"/>
        <v>0</v>
      </c>
      <c r="I5527" s="7" cm="1">
        <f t="array" ref="I5527">IFERROR(_xlfn.IFS(M5527="נח",1,M5527="נע ונח",1,M5527="שני שווא נח",2,M5527="שני שוואים בסוף מילה",2,M5527="שני שוואים ברצף",1),"0")</f>
        <v>1</v>
      </c>
      <c r="J5527" s="9">
        <f t="shared" si="351"/>
        <v>4</v>
      </c>
      <c r="K5527" t="s">
        <v>6698</v>
      </c>
      <c r="L5527" t="s">
        <v>6694</v>
      </c>
      <c r="M5527" t="s">
        <v>6705</v>
      </c>
      <c r="O5527" t="s">
        <v>6694</v>
      </c>
      <c r="P5527" t="s">
        <v>6694</v>
      </c>
      <c r="S5527" t="s">
        <v>6694</v>
      </c>
      <c r="V5527" t="s">
        <v>6694</v>
      </c>
      <c r="W5527" t="s">
        <v>6720</v>
      </c>
    </row>
    <row r="5528" spans="1:23" ht="15.6" x14ac:dyDescent="0.4">
      <c r="A5528" s="2" t="s">
        <v>4451</v>
      </c>
      <c r="B5528" s="5" t="s">
        <v>11575</v>
      </c>
      <c r="C5528" s="7" t="s">
        <v>12556</v>
      </c>
      <c r="D5528" s="8">
        <f t="shared" si="348"/>
        <v>0</v>
      </c>
      <c r="E5528" s="7" t="s">
        <v>12557</v>
      </c>
      <c r="F5528" s="7">
        <f t="shared" si="349"/>
        <v>0</v>
      </c>
      <c r="G5528" s="7" t="s">
        <v>12558</v>
      </c>
      <c r="H5528" s="7">
        <f t="shared" si="350"/>
        <v>0</v>
      </c>
      <c r="I5528" s="7" t="str" cm="1">
        <f t="array" ref="I5528">IFERROR(_xlfn.IFS(M5528="נח",1,M5528="נע ונח",1,M5528="שני שווא נח",2,M5528="שני שוואים בסוף מילה",2,M5528="שני שוואים ברצף",1),"0")</f>
        <v>0</v>
      </c>
      <c r="J5528" s="9">
        <f t="shared" si="351"/>
        <v>2</v>
      </c>
      <c r="K5528" t="s">
        <v>6698</v>
      </c>
      <c r="L5528" t="s">
        <v>6695</v>
      </c>
      <c r="V5528" t="s">
        <v>6694</v>
      </c>
      <c r="W5528" t="s">
        <v>6720</v>
      </c>
    </row>
    <row r="5529" spans="1:23" ht="15.6" x14ac:dyDescent="0.4">
      <c r="A5529" s="2" t="s">
        <v>1154</v>
      </c>
      <c r="B5529" s="5" t="s">
        <v>11576</v>
      </c>
      <c r="C5529" s="7" t="s">
        <v>12556</v>
      </c>
      <c r="D5529" s="8">
        <f t="shared" si="348"/>
        <v>0</v>
      </c>
      <c r="E5529" s="7" t="s">
        <v>12557</v>
      </c>
      <c r="F5529" s="7">
        <f t="shared" si="349"/>
        <v>0</v>
      </c>
      <c r="G5529" s="7" t="s">
        <v>12558</v>
      </c>
      <c r="H5529" s="7">
        <f t="shared" si="350"/>
        <v>0</v>
      </c>
      <c r="I5529" s="7" t="str" cm="1">
        <f t="array" ref="I5529">IFERROR(_xlfn.IFS(M5529="נח",1,M5529="נע ונח",1,M5529="שני שווא נח",2,M5529="שני שוואים בסוף מילה",2,M5529="שני שוואים ברצף",1),"0")</f>
        <v>0</v>
      </c>
      <c r="J5529" s="9">
        <f t="shared" si="351"/>
        <v>3</v>
      </c>
      <c r="K5529" t="s">
        <v>6698</v>
      </c>
      <c r="L5529" t="s">
        <v>6695</v>
      </c>
      <c r="R5529" t="s">
        <v>6694</v>
      </c>
      <c r="V5529" t="s">
        <v>6694</v>
      </c>
      <c r="W5529" t="s">
        <v>6720</v>
      </c>
    </row>
    <row r="5530" spans="1:23" ht="15.6" x14ac:dyDescent="0.4">
      <c r="A5530" s="2" t="s">
        <v>5094</v>
      </c>
      <c r="B5530" s="5" t="s">
        <v>11577</v>
      </c>
      <c r="C5530" s="7" t="s">
        <v>12556</v>
      </c>
      <c r="D5530" s="8">
        <f t="shared" si="348"/>
        <v>0</v>
      </c>
      <c r="E5530" s="7" t="s">
        <v>12557</v>
      </c>
      <c r="F5530" s="7">
        <f t="shared" si="349"/>
        <v>0</v>
      </c>
      <c r="G5530" s="7" t="s">
        <v>12558</v>
      </c>
      <c r="H5530" s="7">
        <f t="shared" si="350"/>
        <v>0</v>
      </c>
      <c r="I5530" s="7" t="str" cm="1">
        <f t="array" ref="I5530">IFERROR(_xlfn.IFS(M5530="נח",1,M5530="נע ונח",1,M5530="שני שווא נח",2,M5530="שני שוואים בסוף מילה",2,M5530="שני שוואים ברצף",1),"0")</f>
        <v>0</v>
      </c>
      <c r="J5530" s="9">
        <f t="shared" si="351"/>
        <v>2</v>
      </c>
      <c r="K5530" t="s">
        <v>6698</v>
      </c>
      <c r="L5530" t="s">
        <v>6695</v>
      </c>
      <c r="R5530" t="s">
        <v>6694</v>
      </c>
      <c r="V5530" t="s">
        <v>6694</v>
      </c>
      <c r="W5530" t="s">
        <v>6720</v>
      </c>
    </row>
    <row r="5531" spans="1:23" ht="15.6" x14ac:dyDescent="0.4">
      <c r="A5531" s="2" t="s">
        <v>1364</v>
      </c>
      <c r="B5531" s="5" t="s">
        <v>11502</v>
      </c>
      <c r="C5531" s="7" t="s">
        <v>12556</v>
      </c>
      <c r="D5531" s="8">
        <f t="shared" si="348"/>
        <v>0</v>
      </c>
      <c r="E5531" s="7" t="s">
        <v>12557</v>
      </c>
      <c r="F5531" s="7">
        <f t="shared" si="349"/>
        <v>0</v>
      </c>
      <c r="G5531" s="7" t="s">
        <v>12558</v>
      </c>
      <c r="H5531" s="7">
        <f t="shared" si="350"/>
        <v>0</v>
      </c>
      <c r="I5531" s="7" t="str" cm="1">
        <f t="array" ref="I5531">IFERROR(_xlfn.IFS(M5531="נח",1,M5531="נע ונח",1,M5531="שני שווא נח",2,M5531="שני שוואים בסוף מילה",2,M5531="שני שוואים ברצף",1),"0")</f>
        <v>0</v>
      </c>
      <c r="J5531" s="9">
        <f t="shared" si="351"/>
        <v>2</v>
      </c>
      <c r="K5531" t="s">
        <v>6698</v>
      </c>
      <c r="L5531" t="s">
        <v>6695</v>
      </c>
      <c r="Q5531" t="s">
        <v>6694</v>
      </c>
      <c r="V5531" t="s">
        <v>6694</v>
      </c>
      <c r="W5531" t="s">
        <v>6720</v>
      </c>
    </row>
    <row r="5532" spans="1:23" ht="15.6" x14ac:dyDescent="0.4">
      <c r="A5532" s="2" t="s">
        <v>1846</v>
      </c>
      <c r="B5532" s="5" t="s">
        <v>11578</v>
      </c>
      <c r="C5532" s="7" t="s">
        <v>12556</v>
      </c>
      <c r="D5532" s="8">
        <f t="shared" si="348"/>
        <v>0</v>
      </c>
      <c r="E5532" s="7" t="s">
        <v>12557</v>
      </c>
      <c r="F5532" s="7">
        <f t="shared" si="349"/>
        <v>0</v>
      </c>
      <c r="G5532" s="7" t="s">
        <v>12558</v>
      </c>
      <c r="H5532" s="7">
        <f t="shared" si="350"/>
        <v>0</v>
      </c>
      <c r="I5532" s="7" t="str" cm="1">
        <f t="array" ref="I5532">IFERROR(_xlfn.IFS(M5532="נח",1,M5532="נע ונח",1,M5532="שני שווא נח",2,M5532="שני שוואים בסוף מילה",2,M5532="שני שוואים ברצף",1),"0")</f>
        <v>0</v>
      </c>
      <c r="J5532" s="9">
        <f t="shared" si="351"/>
        <v>2</v>
      </c>
      <c r="K5532" t="s">
        <v>6698</v>
      </c>
      <c r="L5532" t="s">
        <v>6695</v>
      </c>
      <c r="R5532" t="s">
        <v>6694</v>
      </c>
      <c r="V5532" t="s">
        <v>6694</v>
      </c>
      <c r="W5532" t="s">
        <v>6720</v>
      </c>
    </row>
    <row r="5533" spans="1:23" ht="15.6" x14ac:dyDescent="0.4">
      <c r="A5533" s="2" t="s">
        <v>5402</v>
      </c>
      <c r="B5533" s="5" t="s">
        <v>11579</v>
      </c>
      <c r="C5533" s="7" t="s">
        <v>12556</v>
      </c>
      <c r="D5533" s="8">
        <f t="shared" si="348"/>
        <v>1</v>
      </c>
      <c r="E5533" s="7" t="s">
        <v>12557</v>
      </c>
      <c r="F5533" s="7">
        <f t="shared" si="349"/>
        <v>0</v>
      </c>
      <c r="G5533" s="7" t="s">
        <v>12558</v>
      </c>
      <c r="H5533" s="7">
        <f t="shared" si="350"/>
        <v>0</v>
      </c>
      <c r="I5533" s="7" t="str" cm="1">
        <f t="array" ref="I5533">IFERROR(_xlfn.IFS(M5533="נח",1,M5533="נע ונח",1,M5533="שני שווא נח",2,M5533="שני שוואים בסוף מילה",2,M5533="שני שוואים ברצף",1),"0")</f>
        <v>0</v>
      </c>
      <c r="J5533" s="9">
        <f t="shared" si="351"/>
        <v>2</v>
      </c>
      <c r="K5533" t="s">
        <v>6698</v>
      </c>
      <c r="L5533" t="s">
        <v>6695</v>
      </c>
      <c r="R5533" t="s">
        <v>6694</v>
      </c>
      <c r="V5533" t="s">
        <v>6694</v>
      </c>
      <c r="W5533" t="s">
        <v>6720</v>
      </c>
    </row>
    <row r="5534" spans="1:23" ht="15.6" x14ac:dyDescent="0.4">
      <c r="A5534" s="2" t="s">
        <v>1020</v>
      </c>
      <c r="B5534" s="5" t="s">
        <v>11453</v>
      </c>
      <c r="C5534" s="7" t="s">
        <v>12556</v>
      </c>
      <c r="D5534" s="8">
        <f t="shared" si="348"/>
        <v>1</v>
      </c>
      <c r="E5534" s="7" t="s">
        <v>12557</v>
      </c>
      <c r="F5534" s="7">
        <f t="shared" si="349"/>
        <v>0</v>
      </c>
      <c r="G5534" s="7" t="s">
        <v>12558</v>
      </c>
      <c r="H5534" s="7">
        <f t="shared" si="350"/>
        <v>0</v>
      </c>
      <c r="I5534" s="7" t="str" cm="1">
        <f t="array" ref="I5534">IFERROR(_xlfn.IFS(M5534="נח",1,M5534="נע ונח",1,M5534="שני שווא נח",2,M5534="שני שוואים בסוף מילה",2,M5534="שני שוואים ברצף",1),"0")</f>
        <v>0</v>
      </c>
      <c r="J5534" s="9">
        <f t="shared" si="351"/>
        <v>2</v>
      </c>
      <c r="K5534" t="s">
        <v>6697</v>
      </c>
      <c r="L5534" t="s">
        <v>6695</v>
      </c>
      <c r="Q5534" t="s">
        <v>6694</v>
      </c>
      <c r="V5534" t="s">
        <v>6694</v>
      </c>
      <c r="W5534" t="s">
        <v>6720</v>
      </c>
    </row>
    <row r="5535" spans="1:23" ht="15.6" x14ac:dyDescent="0.4">
      <c r="A5535" s="2" t="s">
        <v>1575</v>
      </c>
      <c r="B5535" s="5" t="s">
        <v>11580</v>
      </c>
      <c r="C5535" s="7" t="s">
        <v>12556</v>
      </c>
      <c r="D5535" s="8">
        <f t="shared" si="348"/>
        <v>1</v>
      </c>
      <c r="E5535" s="7" t="s">
        <v>12557</v>
      </c>
      <c r="F5535" s="7">
        <f t="shared" si="349"/>
        <v>0</v>
      </c>
      <c r="G5535" s="7" t="s">
        <v>12558</v>
      </c>
      <c r="H5535" s="7">
        <f t="shared" si="350"/>
        <v>0</v>
      </c>
      <c r="I5535" s="7" t="str" cm="1">
        <f t="array" ref="I5535">IFERROR(_xlfn.IFS(M5535="נח",1,M5535="נע ונח",1,M5535="שני שווא נח",2,M5535="שני שוואים בסוף מילה",2,M5535="שני שוואים ברצף",1),"0")</f>
        <v>0</v>
      </c>
      <c r="J5535" s="9">
        <f t="shared" si="351"/>
        <v>2</v>
      </c>
      <c r="K5535" t="s">
        <v>6698</v>
      </c>
      <c r="L5535" t="s">
        <v>6695</v>
      </c>
      <c r="Q5535" t="s">
        <v>6694</v>
      </c>
      <c r="V5535" t="s">
        <v>6694</v>
      </c>
      <c r="W5535" t="s">
        <v>6720</v>
      </c>
    </row>
    <row r="5536" spans="1:23" ht="15.6" x14ac:dyDescent="0.4">
      <c r="A5536" s="2" t="s">
        <v>1180</v>
      </c>
      <c r="B5536" s="5" t="s">
        <v>11581</v>
      </c>
      <c r="C5536" s="7" t="s">
        <v>12556</v>
      </c>
      <c r="D5536" s="8">
        <f t="shared" si="348"/>
        <v>1</v>
      </c>
      <c r="E5536" s="7" t="s">
        <v>12557</v>
      </c>
      <c r="F5536" s="7">
        <f t="shared" si="349"/>
        <v>0</v>
      </c>
      <c r="G5536" s="7" t="s">
        <v>12558</v>
      </c>
      <c r="H5536" s="7">
        <f t="shared" si="350"/>
        <v>0</v>
      </c>
      <c r="I5536" s="7" t="str" cm="1">
        <f t="array" ref="I5536">IFERROR(_xlfn.IFS(M5536="נח",1,M5536="נע ונח",1,M5536="שני שווא נח",2,M5536="שני שוואים בסוף מילה",2,M5536="שני שוואים ברצף",1),"0")</f>
        <v>0</v>
      </c>
      <c r="J5536" s="9">
        <f t="shared" si="351"/>
        <v>3</v>
      </c>
      <c r="K5536" t="s">
        <v>6698</v>
      </c>
      <c r="L5536" t="s">
        <v>6695</v>
      </c>
      <c r="Q5536" t="s">
        <v>6694</v>
      </c>
      <c r="R5536" t="s">
        <v>6694</v>
      </c>
      <c r="V5536" t="s">
        <v>6694</v>
      </c>
      <c r="W5536" t="s">
        <v>6720</v>
      </c>
    </row>
    <row r="5537" spans="1:23" ht="15.6" x14ac:dyDescent="0.4">
      <c r="A5537" s="2" t="s">
        <v>6300</v>
      </c>
      <c r="B5537" s="5" t="s">
        <v>11566</v>
      </c>
      <c r="C5537" s="7" t="s">
        <v>12556</v>
      </c>
      <c r="D5537" s="8">
        <f t="shared" si="348"/>
        <v>1</v>
      </c>
      <c r="E5537" s="7" t="s">
        <v>12557</v>
      </c>
      <c r="F5537" s="7">
        <f t="shared" si="349"/>
        <v>1</v>
      </c>
      <c r="G5537" s="7" t="s">
        <v>12558</v>
      </c>
      <c r="H5537" s="7">
        <f t="shared" si="350"/>
        <v>1</v>
      </c>
      <c r="I5537" s="7" t="str" cm="1">
        <f t="array" ref="I5537">IFERROR(_xlfn.IFS(M5537="נח",1,M5537="נע ונח",1,M5537="שני שווא נח",2,M5537="שני שוואים בסוף מילה",2,M5537="שני שוואים ברצף",1),"0")</f>
        <v>0</v>
      </c>
      <c r="J5537" s="9">
        <f t="shared" si="351"/>
        <v>3</v>
      </c>
      <c r="K5537" t="s">
        <v>6697</v>
      </c>
      <c r="L5537" t="s">
        <v>6695</v>
      </c>
      <c r="Q5537" t="s">
        <v>6694</v>
      </c>
      <c r="U5537" t="s">
        <v>6694</v>
      </c>
      <c r="V5537" t="s">
        <v>6694</v>
      </c>
      <c r="W5537" t="s">
        <v>6720</v>
      </c>
    </row>
    <row r="5538" spans="1:23" ht="15.6" x14ac:dyDescent="0.4">
      <c r="A5538" s="2" t="s">
        <v>629</v>
      </c>
      <c r="B5538" s="5" t="s">
        <v>11453</v>
      </c>
      <c r="C5538" s="7" t="s">
        <v>12556</v>
      </c>
      <c r="D5538" s="8">
        <f t="shared" si="348"/>
        <v>1</v>
      </c>
      <c r="E5538" s="7" t="s">
        <v>12557</v>
      </c>
      <c r="F5538" s="7">
        <f t="shared" si="349"/>
        <v>0</v>
      </c>
      <c r="G5538" s="7" t="s">
        <v>12558</v>
      </c>
      <c r="H5538" s="7">
        <f t="shared" si="350"/>
        <v>0</v>
      </c>
      <c r="I5538" s="7" t="str" cm="1">
        <f t="array" ref="I5538">IFERROR(_xlfn.IFS(M5538="נח",1,M5538="נע ונח",1,M5538="שני שווא נח",2,M5538="שני שוואים בסוף מילה",2,M5538="שני שוואים ברצף",1),"0")</f>
        <v>0</v>
      </c>
      <c r="J5538" s="9">
        <f t="shared" si="351"/>
        <v>2</v>
      </c>
      <c r="K5538" t="s">
        <v>6697</v>
      </c>
      <c r="L5538" t="s">
        <v>6695</v>
      </c>
      <c r="R5538" t="s">
        <v>6694</v>
      </c>
      <c r="V5538" t="s">
        <v>6694</v>
      </c>
      <c r="W5538" t="s">
        <v>6720</v>
      </c>
    </row>
    <row r="5539" spans="1:23" ht="15.6" x14ac:dyDescent="0.4">
      <c r="A5539" s="2" t="s">
        <v>1421</v>
      </c>
      <c r="B5539" s="5" t="s">
        <v>11453</v>
      </c>
      <c r="C5539" s="7" t="s">
        <v>12556</v>
      </c>
      <c r="D5539" s="8">
        <f t="shared" si="348"/>
        <v>1</v>
      </c>
      <c r="E5539" s="7" t="s">
        <v>12557</v>
      </c>
      <c r="F5539" s="7">
        <f t="shared" si="349"/>
        <v>0</v>
      </c>
      <c r="G5539" s="7" t="s">
        <v>12558</v>
      </c>
      <c r="H5539" s="7">
        <f t="shared" si="350"/>
        <v>0</v>
      </c>
      <c r="I5539" s="7" t="str" cm="1">
        <f t="array" ref="I5539">IFERROR(_xlfn.IFS(M5539="נח",1,M5539="נע ונח",1,M5539="שני שווא נח",2,M5539="שני שוואים בסוף מילה",2,M5539="שני שוואים ברצף",1),"0")</f>
        <v>0</v>
      </c>
      <c r="J5539" s="9">
        <f t="shared" si="351"/>
        <v>2</v>
      </c>
      <c r="K5539" t="s">
        <v>6697</v>
      </c>
      <c r="L5539" t="s">
        <v>6695</v>
      </c>
      <c r="O5539" t="s">
        <v>6694</v>
      </c>
      <c r="V5539" t="s">
        <v>6694</v>
      </c>
      <c r="W5539" t="s">
        <v>6720</v>
      </c>
    </row>
    <row r="5540" spans="1:23" ht="15.6" x14ac:dyDescent="0.4">
      <c r="A5540" s="2" t="s">
        <v>2871</v>
      </c>
      <c r="B5540" s="5" t="s">
        <v>11582</v>
      </c>
      <c r="C5540" s="7" t="s">
        <v>12556</v>
      </c>
      <c r="D5540" s="8">
        <f t="shared" si="348"/>
        <v>0</v>
      </c>
      <c r="E5540" s="7" t="s">
        <v>12557</v>
      </c>
      <c r="F5540" s="7">
        <f t="shared" si="349"/>
        <v>1</v>
      </c>
      <c r="G5540" s="7" t="s">
        <v>12558</v>
      </c>
      <c r="H5540" s="7">
        <f t="shared" si="350"/>
        <v>0</v>
      </c>
      <c r="I5540" s="7" cm="1">
        <f t="array" ref="I5540">IFERROR(_xlfn.IFS(M5540="נח",1,M5540="נע ונח",1,M5540="שני שווא נח",2,M5540="שני שוואים בסוף מילה",2,M5540="שני שוואים ברצף",1),"0")</f>
        <v>1</v>
      </c>
      <c r="J5540" s="9">
        <f t="shared" si="351"/>
        <v>2</v>
      </c>
      <c r="K5540" t="s">
        <v>6697</v>
      </c>
      <c r="L5540" t="s">
        <v>6694</v>
      </c>
      <c r="M5540" t="s">
        <v>6705</v>
      </c>
      <c r="O5540" t="s">
        <v>6694</v>
      </c>
      <c r="T5540" t="s">
        <v>6694</v>
      </c>
      <c r="W5540" t="s">
        <v>6720</v>
      </c>
    </row>
    <row r="5541" spans="1:23" ht="15.6" x14ac:dyDescent="0.4">
      <c r="A5541" s="2" t="s">
        <v>765</v>
      </c>
      <c r="B5541" s="5" t="s">
        <v>11533</v>
      </c>
      <c r="C5541" s="7" t="s">
        <v>12556</v>
      </c>
      <c r="D5541" s="8">
        <f t="shared" si="348"/>
        <v>0</v>
      </c>
      <c r="E5541" s="7" t="s">
        <v>12557</v>
      </c>
      <c r="F5541" s="7">
        <f t="shared" si="349"/>
        <v>1</v>
      </c>
      <c r="G5541" s="7" t="s">
        <v>12558</v>
      </c>
      <c r="H5541" s="7">
        <f t="shared" si="350"/>
        <v>0</v>
      </c>
      <c r="I5541" s="7" t="str" cm="1">
        <f t="array" ref="I5541">IFERROR(_xlfn.IFS(M5541="נח",1,M5541="נע ונח",1,M5541="שני שווא נח",2,M5541="שני שוואים בסוף מילה",2,M5541="שני שוואים ברצף",1),"0")</f>
        <v>0</v>
      </c>
      <c r="J5541" s="9">
        <f t="shared" si="351"/>
        <v>2</v>
      </c>
      <c r="K5541" t="s">
        <v>6697</v>
      </c>
      <c r="L5541" t="s">
        <v>6695</v>
      </c>
      <c r="S5541" t="s">
        <v>6694</v>
      </c>
      <c r="T5541" t="s">
        <v>6694</v>
      </c>
      <c r="W5541" t="s">
        <v>6720</v>
      </c>
    </row>
    <row r="5542" spans="1:23" ht="15.6" x14ac:dyDescent="0.4">
      <c r="A5542" s="2" t="s">
        <v>4218</v>
      </c>
      <c r="B5542" s="5" t="s">
        <v>11582</v>
      </c>
      <c r="C5542" s="7" t="s">
        <v>12556</v>
      </c>
      <c r="D5542" s="8">
        <f t="shared" si="348"/>
        <v>0</v>
      </c>
      <c r="E5542" s="7" t="s">
        <v>12557</v>
      </c>
      <c r="F5542" s="7">
        <f t="shared" si="349"/>
        <v>1</v>
      </c>
      <c r="G5542" s="7" t="s">
        <v>12558</v>
      </c>
      <c r="H5542" s="7">
        <f t="shared" si="350"/>
        <v>0</v>
      </c>
      <c r="I5542" s="7" t="str" cm="1">
        <f t="array" ref="I5542">IFERROR(_xlfn.IFS(M5542="נח",1,M5542="נע ונח",1,M5542="שני שווא נח",2,M5542="שני שוואים בסוף מילה",2,M5542="שני שוואים ברצף",1),"0")</f>
        <v>0</v>
      </c>
      <c r="J5542" s="9">
        <f t="shared" si="351"/>
        <v>3</v>
      </c>
      <c r="K5542" t="s">
        <v>6697</v>
      </c>
      <c r="L5542" t="s">
        <v>6695</v>
      </c>
      <c r="O5542" t="s">
        <v>6694</v>
      </c>
      <c r="R5542" t="s">
        <v>6694</v>
      </c>
      <c r="T5542" t="s">
        <v>6694</v>
      </c>
      <c r="W5542" t="s">
        <v>6720</v>
      </c>
    </row>
    <row r="5543" spans="1:23" ht="15.6" x14ac:dyDescent="0.4">
      <c r="A5543" s="2" t="s">
        <v>5822</v>
      </c>
      <c r="B5543" s="5" t="s">
        <v>11583</v>
      </c>
      <c r="C5543" s="7" t="s">
        <v>12556</v>
      </c>
      <c r="D5543" s="8">
        <f t="shared" si="348"/>
        <v>0</v>
      </c>
      <c r="E5543" s="7" t="s">
        <v>12557</v>
      </c>
      <c r="F5543" s="7">
        <f t="shared" si="349"/>
        <v>1</v>
      </c>
      <c r="G5543" s="7" t="s">
        <v>12558</v>
      </c>
      <c r="H5543" s="7">
        <f t="shared" si="350"/>
        <v>0</v>
      </c>
      <c r="I5543" s="7" t="str" cm="1">
        <f t="array" ref="I5543">IFERROR(_xlfn.IFS(M5543="נח",1,M5543="נע ונח",1,M5543="שני שווא נח",2,M5543="שני שוואים בסוף מילה",2,M5543="שני שוואים ברצף",1),"0")</f>
        <v>0</v>
      </c>
      <c r="J5543" s="9">
        <f t="shared" si="351"/>
        <v>3</v>
      </c>
      <c r="K5543" t="s">
        <v>6697</v>
      </c>
      <c r="L5543" t="s">
        <v>6695</v>
      </c>
      <c r="O5543" t="s">
        <v>6694</v>
      </c>
      <c r="T5543" t="s">
        <v>6694</v>
      </c>
      <c r="V5543" t="s">
        <v>6694</v>
      </c>
      <c r="W5543" t="s">
        <v>6720</v>
      </c>
    </row>
    <row r="5544" spans="1:23" ht="15.6" x14ac:dyDescent="0.4">
      <c r="A5544" s="2" t="s">
        <v>4194</v>
      </c>
      <c r="B5544" s="5" t="s">
        <v>11584</v>
      </c>
      <c r="C5544" s="7" t="s">
        <v>12556</v>
      </c>
      <c r="D5544" s="8">
        <f t="shared" si="348"/>
        <v>0</v>
      </c>
      <c r="E5544" s="7" t="s">
        <v>12557</v>
      </c>
      <c r="F5544" s="7">
        <f t="shared" si="349"/>
        <v>1</v>
      </c>
      <c r="G5544" s="7" t="s">
        <v>12558</v>
      </c>
      <c r="H5544" s="7">
        <f t="shared" si="350"/>
        <v>0</v>
      </c>
      <c r="I5544" s="7" t="str" cm="1">
        <f t="array" ref="I5544">IFERROR(_xlfn.IFS(M5544="נח",1,M5544="נע ונח",1,M5544="שני שווא נח",2,M5544="שני שוואים בסוף מילה",2,M5544="שני שוואים ברצף",1),"0")</f>
        <v>0</v>
      </c>
      <c r="J5544" s="9">
        <f t="shared" si="351"/>
        <v>2</v>
      </c>
      <c r="K5544" t="s">
        <v>6697</v>
      </c>
      <c r="L5544" t="s">
        <v>6695</v>
      </c>
      <c r="T5544" t="s">
        <v>6694</v>
      </c>
      <c r="V5544" t="s">
        <v>6694</v>
      </c>
      <c r="W5544" t="s">
        <v>6720</v>
      </c>
    </row>
    <row r="5545" spans="1:23" ht="15.6" x14ac:dyDescent="0.4">
      <c r="A5545" s="2" t="s">
        <v>5066</v>
      </c>
      <c r="B5545" s="5" t="s">
        <v>11563</v>
      </c>
      <c r="C5545" s="7" t="s">
        <v>12556</v>
      </c>
      <c r="D5545" s="8">
        <f t="shared" si="348"/>
        <v>1</v>
      </c>
      <c r="E5545" s="7" t="s">
        <v>12557</v>
      </c>
      <c r="F5545" s="7">
        <f t="shared" si="349"/>
        <v>1</v>
      </c>
      <c r="G5545" s="7" t="s">
        <v>12558</v>
      </c>
      <c r="H5545" s="7">
        <f t="shared" si="350"/>
        <v>0</v>
      </c>
      <c r="I5545" s="7" t="str" cm="1">
        <f t="array" ref="I5545">IFERROR(_xlfn.IFS(M5545="נח",1,M5545="נע ונח",1,M5545="שני שווא נח",2,M5545="שני שוואים בסוף מילה",2,M5545="שני שוואים ברצף",1),"0")</f>
        <v>0</v>
      </c>
      <c r="J5545" s="9">
        <f t="shared" si="351"/>
        <v>3</v>
      </c>
      <c r="K5545" t="s">
        <v>6697</v>
      </c>
      <c r="L5545" t="s">
        <v>6695</v>
      </c>
      <c r="Q5545" t="s">
        <v>6694</v>
      </c>
      <c r="S5545" t="s">
        <v>6694</v>
      </c>
      <c r="T5545" t="s">
        <v>6694</v>
      </c>
      <c r="W5545" t="s">
        <v>6720</v>
      </c>
    </row>
    <row r="5546" spans="1:23" ht="15.6" x14ac:dyDescent="0.4">
      <c r="A5546" s="2" t="s">
        <v>6293</v>
      </c>
      <c r="B5546" s="5" t="s">
        <v>11585</v>
      </c>
      <c r="C5546" s="7" t="s">
        <v>12556</v>
      </c>
      <c r="D5546" s="8">
        <f t="shared" si="348"/>
        <v>0</v>
      </c>
      <c r="E5546" s="7" t="s">
        <v>12557</v>
      </c>
      <c r="F5546" s="7">
        <f t="shared" si="349"/>
        <v>0</v>
      </c>
      <c r="G5546" s="7" t="s">
        <v>12558</v>
      </c>
      <c r="H5546" s="7">
        <f t="shared" si="350"/>
        <v>0</v>
      </c>
      <c r="I5546" s="7" t="str" cm="1">
        <f t="array" ref="I5546">IFERROR(_xlfn.IFS(M5546="נח",1,M5546="נע ונח",1,M5546="שני שווא נח",2,M5546="שני שוואים בסוף מילה",2,M5546="שני שוואים ברצף",1),"0")</f>
        <v>0</v>
      </c>
      <c r="J5546" s="9">
        <f t="shared" si="351"/>
        <v>2</v>
      </c>
      <c r="K5546" t="s">
        <v>6698</v>
      </c>
      <c r="L5546" t="s">
        <v>6695</v>
      </c>
      <c r="Q5546" t="s">
        <v>6694</v>
      </c>
      <c r="V5546" t="s">
        <v>6694</v>
      </c>
      <c r="W5546" t="s">
        <v>6720</v>
      </c>
    </row>
    <row r="5547" spans="1:23" ht="15.6" x14ac:dyDescent="0.4">
      <c r="A5547" s="2" t="s">
        <v>2852</v>
      </c>
      <c r="B5547" s="5" t="s">
        <v>11586</v>
      </c>
      <c r="C5547" s="7" t="s">
        <v>12556</v>
      </c>
      <c r="D5547" s="8">
        <f t="shared" si="348"/>
        <v>0</v>
      </c>
      <c r="E5547" s="7" t="s">
        <v>12557</v>
      </c>
      <c r="F5547" s="7">
        <f t="shared" si="349"/>
        <v>0</v>
      </c>
      <c r="G5547" s="7" t="s">
        <v>12558</v>
      </c>
      <c r="H5547" s="7">
        <f t="shared" si="350"/>
        <v>0</v>
      </c>
      <c r="I5547" s="7" t="str" cm="1">
        <f t="array" ref="I5547">IFERROR(_xlfn.IFS(M5547="נח",1,M5547="נע ונח",1,M5547="שני שווא נח",2,M5547="שני שוואים בסוף מילה",2,M5547="שני שוואים ברצף",1),"0")</f>
        <v>0</v>
      </c>
      <c r="J5547" s="9">
        <f t="shared" si="351"/>
        <v>1</v>
      </c>
      <c r="K5547" t="s">
        <v>6698</v>
      </c>
      <c r="L5547" t="s">
        <v>6695</v>
      </c>
      <c r="V5547" t="s">
        <v>6694</v>
      </c>
      <c r="W5547" t="s">
        <v>6720</v>
      </c>
    </row>
    <row r="5548" spans="1:23" ht="15.6" x14ac:dyDescent="0.4">
      <c r="A5548" s="2" t="s">
        <v>4898</v>
      </c>
      <c r="B5548" s="5" t="s">
        <v>11587</v>
      </c>
      <c r="C5548" s="7" t="s">
        <v>12556</v>
      </c>
      <c r="D5548" s="8">
        <f t="shared" si="348"/>
        <v>0</v>
      </c>
      <c r="E5548" s="7" t="s">
        <v>12557</v>
      </c>
      <c r="F5548" s="7">
        <f t="shared" si="349"/>
        <v>0</v>
      </c>
      <c r="G5548" s="7" t="s">
        <v>12558</v>
      </c>
      <c r="H5548" s="7">
        <f t="shared" si="350"/>
        <v>0</v>
      </c>
      <c r="I5548" s="7" t="str" cm="1">
        <f t="array" ref="I5548">IFERROR(_xlfn.IFS(M5548="נח",1,M5548="נע ונח",1,M5548="שני שווא נח",2,M5548="שני שוואים בסוף מילה",2,M5548="שני שוואים ברצף",1),"0")</f>
        <v>0</v>
      </c>
      <c r="J5548" s="9">
        <f t="shared" si="351"/>
        <v>1</v>
      </c>
      <c r="K5548" t="s">
        <v>6698</v>
      </c>
      <c r="L5548" t="s">
        <v>6695</v>
      </c>
      <c r="V5548" t="s">
        <v>6694</v>
      </c>
      <c r="W5548" t="s">
        <v>6720</v>
      </c>
    </row>
    <row r="5549" spans="1:23" ht="15.6" x14ac:dyDescent="0.4">
      <c r="A5549" s="2" t="s">
        <v>5983</v>
      </c>
      <c r="B5549" s="5" t="s">
        <v>11588</v>
      </c>
      <c r="C5549" s="7" t="s">
        <v>12556</v>
      </c>
      <c r="D5549" s="8">
        <f t="shared" si="348"/>
        <v>0</v>
      </c>
      <c r="E5549" s="7" t="s">
        <v>12557</v>
      </c>
      <c r="F5549" s="7">
        <f t="shared" si="349"/>
        <v>0</v>
      </c>
      <c r="G5549" s="7" t="s">
        <v>12558</v>
      </c>
      <c r="H5549" s="7">
        <f t="shared" si="350"/>
        <v>0</v>
      </c>
      <c r="I5549" s="7" t="str" cm="1">
        <f t="array" ref="I5549">IFERROR(_xlfn.IFS(M5549="נח",1,M5549="נע ונח",1,M5549="שני שווא נח",2,M5549="שני שוואים בסוף מילה",2,M5549="שני שוואים ברצף",1),"0")</f>
        <v>0</v>
      </c>
      <c r="J5549" s="9">
        <f t="shared" si="351"/>
        <v>2</v>
      </c>
      <c r="K5549" t="s">
        <v>6698</v>
      </c>
      <c r="L5549" t="s">
        <v>6695</v>
      </c>
      <c r="Q5549" t="s">
        <v>6694</v>
      </c>
      <c r="V5549" t="s">
        <v>6694</v>
      </c>
      <c r="W5549" t="s">
        <v>6720</v>
      </c>
    </row>
    <row r="5550" spans="1:23" ht="15.6" x14ac:dyDescent="0.4">
      <c r="A5550" s="2" t="s">
        <v>2140</v>
      </c>
      <c r="B5550" s="5" t="s">
        <v>11589</v>
      </c>
      <c r="C5550" s="7" t="s">
        <v>12556</v>
      </c>
      <c r="D5550" s="8">
        <f t="shared" si="348"/>
        <v>0</v>
      </c>
      <c r="E5550" s="7" t="s">
        <v>12557</v>
      </c>
      <c r="F5550" s="7">
        <f t="shared" si="349"/>
        <v>0</v>
      </c>
      <c r="G5550" s="7" t="s">
        <v>12558</v>
      </c>
      <c r="H5550" s="7">
        <f t="shared" si="350"/>
        <v>0</v>
      </c>
      <c r="I5550" s="7" t="str" cm="1">
        <f t="array" ref="I5550">IFERROR(_xlfn.IFS(M5550="נח",1,M5550="נע ונח",1,M5550="שני שווא נח",2,M5550="שני שוואים בסוף מילה",2,M5550="שני שוואים ברצף",1),"0")</f>
        <v>0</v>
      </c>
      <c r="J5550" s="9">
        <f t="shared" si="351"/>
        <v>3</v>
      </c>
      <c r="K5550" t="s">
        <v>6698</v>
      </c>
      <c r="L5550" t="s">
        <v>6694</v>
      </c>
      <c r="M5550" t="s">
        <v>6703</v>
      </c>
      <c r="S5550" t="s">
        <v>6694</v>
      </c>
      <c r="V5550" t="s">
        <v>6694</v>
      </c>
      <c r="W5550" t="s">
        <v>6720</v>
      </c>
    </row>
    <row r="5551" spans="1:23" ht="15.6" x14ac:dyDescent="0.4">
      <c r="A5551" s="2" t="s">
        <v>3511</v>
      </c>
      <c r="B5551" s="5" t="s">
        <v>11508</v>
      </c>
      <c r="C5551" s="7" t="s">
        <v>12556</v>
      </c>
      <c r="D5551" s="8">
        <f t="shared" si="348"/>
        <v>0</v>
      </c>
      <c r="E5551" s="7" t="s">
        <v>12557</v>
      </c>
      <c r="F5551" s="7">
        <f t="shared" si="349"/>
        <v>0</v>
      </c>
      <c r="G5551" s="7" t="s">
        <v>12558</v>
      </c>
      <c r="H5551" s="7">
        <f t="shared" si="350"/>
        <v>0</v>
      </c>
      <c r="I5551" s="7" t="str" cm="1">
        <f t="array" ref="I5551">IFERROR(_xlfn.IFS(M5551="נח",1,M5551="נע ונח",1,M5551="שני שווא נח",2,M5551="שני שוואים בסוף מילה",2,M5551="שני שוואים ברצף",1),"0")</f>
        <v>0</v>
      </c>
      <c r="J5551" s="9">
        <f t="shared" si="351"/>
        <v>2</v>
      </c>
      <c r="K5551" t="s">
        <v>6697</v>
      </c>
      <c r="L5551" t="s">
        <v>6695</v>
      </c>
      <c r="O5551" t="s">
        <v>6694</v>
      </c>
      <c r="V5551" t="s">
        <v>6694</v>
      </c>
      <c r="W5551" t="s">
        <v>6720</v>
      </c>
    </row>
    <row r="5552" spans="1:23" ht="15.6" x14ac:dyDescent="0.4">
      <c r="A5552" s="2" t="s">
        <v>638</v>
      </c>
      <c r="B5552" s="5" t="s">
        <v>11590</v>
      </c>
      <c r="C5552" s="7" t="s">
        <v>12556</v>
      </c>
      <c r="D5552" s="8">
        <f t="shared" si="348"/>
        <v>0</v>
      </c>
      <c r="E5552" s="7" t="s">
        <v>12557</v>
      </c>
      <c r="F5552" s="7">
        <f t="shared" si="349"/>
        <v>0</v>
      </c>
      <c r="G5552" s="7" t="s">
        <v>12558</v>
      </c>
      <c r="H5552" s="7">
        <f t="shared" si="350"/>
        <v>0</v>
      </c>
      <c r="I5552" s="7" t="str" cm="1">
        <f t="array" ref="I5552">IFERROR(_xlfn.IFS(M5552="נח",1,M5552="נע ונח",1,M5552="שני שווא נח",2,M5552="שני שוואים בסוף מילה",2,M5552="שני שוואים ברצף",1),"0")</f>
        <v>0</v>
      </c>
      <c r="J5552" s="9">
        <f t="shared" si="351"/>
        <v>2</v>
      </c>
      <c r="K5552" t="s">
        <v>6698</v>
      </c>
      <c r="L5552" t="s">
        <v>6695</v>
      </c>
      <c r="N5552" t="s">
        <v>6706</v>
      </c>
      <c r="O5552" t="s">
        <v>6694</v>
      </c>
      <c r="V5552" t="s">
        <v>6694</v>
      </c>
      <c r="W5552" t="s">
        <v>6720</v>
      </c>
    </row>
    <row r="5553" spans="1:23" ht="15.6" x14ac:dyDescent="0.4">
      <c r="A5553" s="2" t="s">
        <v>4280</v>
      </c>
      <c r="B5553" s="5" t="s">
        <v>11591</v>
      </c>
      <c r="C5553" s="7" t="s">
        <v>12556</v>
      </c>
      <c r="D5553" s="8">
        <f t="shared" si="348"/>
        <v>0</v>
      </c>
      <c r="E5553" s="7" t="s">
        <v>12557</v>
      </c>
      <c r="F5553" s="7">
        <f t="shared" si="349"/>
        <v>0</v>
      </c>
      <c r="G5553" s="7" t="s">
        <v>12558</v>
      </c>
      <c r="H5553" s="7">
        <f t="shared" si="350"/>
        <v>0</v>
      </c>
      <c r="I5553" s="7" t="str" cm="1">
        <f t="array" ref="I5553">IFERROR(_xlfn.IFS(M5553="נח",1,M5553="נע ונח",1,M5553="שני שווא נח",2,M5553="שני שוואים בסוף מילה",2,M5553="שני שוואים ברצף",1),"0")</f>
        <v>0</v>
      </c>
      <c r="J5553" s="9">
        <f t="shared" si="351"/>
        <v>3</v>
      </c>
      <c r="K5553" t="s">
        <v>6698</v>
      </c>
      <c r="L5553" t="s">
        <v>6695</v>
      </c>
      <c r="O5553" t="s">
        <v>6694</v>
      </c>
      <c r="S5553" t="s">
        <v>6694</v>
      </c>
      <c r="V5553" t="s">
        <v>6694</v>
      </c>
      <c r="W5553" t="s">
        <v>6720</v>
      </c>
    </row>
    <row r="5554" spans="1:23" ht="15.6" x14ac:dyDescent="0.4">
      <c r="A5554" s="2" t="s">
        <v>4130</v>
      </c>
      <c r="B5554" s="5" t="s">
        <v>11592</v>
      </c>
      <c r="C5554" s="7" t="s">
        <v>12556</v>
      </c>
      <c r="D5554" s="8">
        <f t="shared" si="348"/>
        <v>0</v>
      </c>
      <c r="E5554" s="7" t="s">
        <v>12557</v>
      </c>
      <c r="F5554" s="7">
        <f t="shared" si="349"/>
        <v>0</v>
      </c>
      <c r="G5554" s="7" t="s">
        <v>12558</v>
      </c>
      <c r="H5554" s="7">
        <f t="shared" si="350"/>
        <v>0</v>
      </c>
      <c r="I5554" s="7" t="str" cm="1">
        <f t="array" ref="I5554">IFERROR(_xlfn.IFS(M5554="נח",1,M5554="נע ונח",1,M5554="שני שווא נח",2,M5554="שני שוואים בסוף מילה",2,M5554="שני שוואים ברצף",1),"0")</f>
        <v>0</v>
      </c>
      <c r="J5554" s="9">
        <f t="shared" si="351"/>
        <v>2</v>
      </c>
      <c r="K5554" t="s">
        <v>6698</v>
      </c>
      <c r="L5554" t="s">
        <v>6695</v>
      </c>
      <c r="V5554" t="s">
        <v>6694</v>
      </c>
      <c r="W5554" t="s">
        <v>6720</v>
      </c>
    </row>
    <row r="5555" spans="1:23" ht="15.6" x14ac:dyDescent="0.4">
      <c r="A5555" s="2" t="s">
        <v>3288</v>
      </c>
      <c r="B5555" s="5" t="s">
        <v>11593</v>
      </c>
      <c r="C5555" s="7" t="s">
        <v>12556</v>
      </c>
      <c r="D5555" s="8">
        <f t="shared" si="348"/>
        <v>0</v>
      </c>
      <c r="E5555" s="7" t="s">
        <v>12557</v>
      </c>
      <c r="F5555" s="7">
        <f t="shared" si="349"/>
        <v>0</v>
      </c>
      <c r="G5555" s="7" t="s">
        <v>12558</v>
      </c>
      <c r="H5555" s="7">
        <f t="shared" si="350"/>
        <v>0</v>
      </c>
      <c r="I5555" s="7" t="str" cm="1">
        <f t="array" ref="I5555">IFERROR(_xlfn.IFS(M5555="נח",1,M5555="נע ונח",1,M5555="שני שווא נח",2,M5555="שני שוואים בסוף מילה",2,M5555="שני שוואים ברצף",1),"0")</f>
        <v>0</v>
      </c>
      <c r="J5555" s="9">
        <f t="shared" si="351"/>
        <v>3</v>
      </c>
      <c r="K5555" t="s">
        <v>6698</v>
      </c>
      <c r="L5555" t="s">
        <v>6695</v>
      </c>
      <c r="R5555" t="s">
        <v>6694</v>
      </c>
      <c r="V5555" t="s">
        <v>6694</v>
      </c>
      <c r="W5555" t="s">
        <v>6720</v>
      </c>
    </row>
    <row r="5556" spans="1:23" ht="15.6" x14ac:dyDescent="0.4">
      <c r="A5556" s="2" t="s">
        <v>668</v>
      </c>
      <c r="B5556" s="5" t="s">
        <v>11594</v>
      </c>
      <c r="C5556" s="7" t="s">
        <v>12556</v>
      </c>
      <c r="D5556" s="8">
        <f t="shared" si="348"/>
        <v>0</v>
      </c>
      <c r="E5556" s="7" t="s">
        <v>12557</v>
      </c>
      <c r="F5556" s="7">
        <f t="shared" si="349"/>
        <v>0</v>
      </c>
      <c r="G5556" s="7" t="s">
        <v>12558</v>
      </c>
      <c r="H5556" s="7">
        <f t="shared" si="350"/>
        <v>0</v>
      </c>
      <c r="I5556" s="7" t="str" cm="1">
        <f t="array" ref="I5556">IFERROR(_xlfn.IFS(M5556="נח",1,M5556="נע ונח",1,M5556="שני שווא נח",2,M5556="שני שוואים בסוף מילה",2,M5556="שני שוואים ברצף",1),"0")</f>
        <v>0</v>
      </c>
      <c r="J5556" s="9">
        <f t="shared" si="351"/>
        <v>1</v>
      </c>
      <c r="K5556" t="s">
        <v>6698</v>
      </c>
      <c r="L5556" t="s">
        <v>6695</v>
      </c>
      <c r="V5556" t="s">
        <v>6694</v>
      </c>
      <c r="W5556" t="s">
        <v>6720</v>
      </c>
    </row>
    <row r="5557" spans="1:23" ht="15.6" x14ac:dyDescent="0.4">
      <c r="A5557" s="2" t="s">
        <v>4784</v>
      </c>
      <c r="B5557" s="5" t="s">
        <v>11595</v>
      </c>
      <c r="C5557" s="7" t="s">
        <v>12556</v>
      </c>
      <c r="D5557" s="8">
        <f t="shared" si="348"/>
        <v>0</v>
      </c>
      <c r="E5557" s="7" t="s">
        <v>12557</v>
      </c>
      <c r="F5557" s="7">
        <f t="shared" si="349"/>
        <v>0</v>
      </c>
      <c r="G5557" s="7" t="s">
        <v>12558</v>
      </c>
      <c r="H5557" s="7">
        <f t="shared" si="350"/>
        <v>0</v>
      </c>
      <c r="I5557" s="7" t="str" cm="1">
        <f t="array" ref="I5557">IFERROR(_xlfn.IFS(M5557="נח",1,M5557="נע ונח",1,M5557="שני שווא נח",2,M5557="שני שוואים בסוף מילה",2,M5557="שני שוואים ברצף",1),"0")</f>
        <v>0</v>
      </c>
      <c r="J5557" s="9">
        <f t="shared" si="351"/>
        <v>3</v>
      </c>
      <c r="K5557" t="s">
        <v>6697</v>
      </c>
      <c r="L5557" t="s">
        <v>6694</v>
      </c>
      <c r="M5557" t="s">
        <v>6703</v>
      </c>
      <c r="O5557" t="s">
        <v>6694</v>
      </c>
      <c r="V5557" t="s">
        <v>6694</v>
      </c>
      <c r="W5557" t="s">
        <v>6720</v>
      </c>
    </row>
    <row r="5558" spans="1:23" ht="15.6" x14ac:dyDescent="0.4">
      <c r="A5558" s="2" t="s">
        <v>6308</v>
      </c>
      <c r="B5558" s="5" t="s">
        <v>11596</v>
      </c>
      <c r="C5558" s="7" t="s">
        <v>12556</v>
      </c>
      <c r="D5558" s="8">
        <f t="shared" si="348"/>
        <v>1</v>
      </c>
      <c r="E5558" s="7" t="s">
        <v>12557</v>
      </c>
      <c r="F5558" s="7">
        <f t="shared" si="349"/>
        <v>0</v>
      </c>
      <c r="G5558" s="7" t="s">
        <v>12558</v>
      </c>
      <c r="H5558" s="7">
        <f t="shared" si="350"/>
        <v>0</v>
      </c>
      <c r="I5558" s="7" t="str" cm="1">
        <f t="array" ref="I5558">IFERROR(_xlfn.IFS(M5558="נח",1,M5558="נע ונח",1,M5558="שני שווא נח",2,M5558="שני שוואים בסוף מילה",2,M5558="שני שוואים ברצף",1),"0")</f>
        <v>0</v>
      </c>
      <c r="J5558" s="9">
        <f t="shared" si="351"/>
        <v>2</v>
      </c>
      <c r="K5558" t="s">
        <v>6698</v>
      </c>
      <c r="L5558" t="s">
        <v>6695</v>
      </c>
      <c r="Q5558" t="s">
        <v>6694</v>
      </c>
      <c r="V5558" t="s">
        <v>6694</v>
      </c>
      <c r="W5558" t="s">
        <v>6720</v>
      </c>
    </row>
    <row r="5559" spans="1:23" ht="15.6" x14ac:dyDescent="0.4">
      <c r="A5559" s="2" t="s">
        <v>4839</v>
      </c>
      <c r="B5559" s="5" t="s">
        <v>11597</v>
      </c>
      <c r="C5559" s="7" t="s">
        <v>12556</v>
      </c>
      <c r="D5559" s="8">
        <f t="shared" si="348"/>
        <v>0</v>
      </c>
      <c r="E5559" s="7" t="s">
        <v>12557</v>
      </c>
      <c r="F5559" s="7">
        <f t="shared" si="349"/>
        <v>3</v>
      </c>
      <c r="G5559" s="7" t="s">
        <v>12558</v>
      </c>
      <c r="H5559" s="7">
        <f t="shared" si="350"/>
        <v>2</v>
      </c>
      <c r="I5559" s="7" t="str" cm="1">
        <f t="array" ref="I5559">IFERROR(_xlfn.IFS(M5559="נח",1,M5559="נע ונח",1,M5559="שני שווא נח",2,M5559="שני שוואים בסוף מילה",2,M5559="שני שוואים ברצף",1),"0")</f>
        <v>0</v>
      </c>
      <c r="J5559" s="9">
        <f t="shared" si="351"/>
        <v>3</v>
      </c>
      <c r="K5559" t="s">
        <v>6697</v>
      </c>
      <c r="L5559" t="s">
        <v>6695</v>
      </c>
      <c r="Q5559" t="s">
        <v>6694</v>
      </c>
      <c r="U5559" t="s">
        <v>6694</v>
      </c>
      <c r="W5559" t="s">
        <v>6720</v>
      </c>
    </row>
    <row r="5560" spans="1:23" ht="15.6" x14ac:dyDescent="0.4">
      <c r="A5560" s="2" t="s">
        <v>3667</v>
      </c>
      <c r="B5560" s="5" t="s">
        <v>11598</v>
      </c>
      <c r="C5560" s="7" t="s">
        <v>12556</v>
      </c>
      <c r="D5560" s="8">
        <f t="shared" si="348"/>
        <v>0</v>
      </c>
      <c r="E5560" s="7" t="s">
        <v>12557</v>
      </c>
      <c r="F5560" s="7">
        <f t="shared" si="349"/>
        <v>1</v>
      </c>
      <c r="G5560" s="7" t="s">
        <v>12558</v>
      </c>
      <c r="H5560" s="7">
        <f t="shared" si="350"/>
        <v>1</v>
      </c>
      <c r="I5560" s="7" t="str" cm="1">
        <f t="array" ref="I5560">IFERROR(_xlfn.IFS(M5560="נח",1,M5560="נע ונח",1,M5560="שני שווא נח",2,M5560="שני שוואים בסוף מילה",2,M5560="שני שוואים ברצף",1),"0")</f>
        <v>0</v>
      </c>
      <c r="J5560" s="9">
        <f t="shared" si="351"/>
        <v>2</v>
      </c>
      <c r="K5560" t="s">
        <v>6697</v>
      </c>
      <c r="L5560" t="s">
        <v>6695</v>
      </c>
      <c r="O5560" t="s">
        <v>6694</v>
      </c>
      <c r="U5560" t="s">
        <v>6694</v>
      </c>
      <c r="W5560" t="s">
        <v>6720</v>
      </c>
    </row>
    <row r="5561" spans="1:23" ht="15.6" x14ac:dyDescent="0.4">
      <c r="A5561" s="2" t="s">
        <v>4071</v>
      </c>
      <c r="B5561" s="5" t="s">
        <v>11599</v>
      </c>
      <c r="C5561" s="7" t="s">
        <v>12556</v>
      </c>
      <c r="D5561" s="8">
        <f t="shared" si="348"/>
        <v>1</v>
      </c>
      <c r="E5561" s="7" t="s">
        <v>12557</v>
      </c>
      <c r="F5561" s="7">
        <f t="shared" si="349"/>
        <v>1</v>
      </c>
      <c r="G5561" s="7" t="s">
        <v>12558</v>
      </c>
      <c r="H5561" s="7">
        <f t="shared" si="350"/>
        <v>0</v>
      </c>
      <c r="I5561" s="7" cm="1">
        <f t="array" ref="I5561">IFERROR(_xlfn.IFS(M5561="נח",1,M5561="נע ונח",1,M5561="שני שווא נח",2,M5561="שני שוואים בסוף מילה",2,M5561="שני שוואים ברצף",1),"0")</f>
        <v>1</v>
      </c>
      <c r="J5561" s="9">
        <f t="shared" si="351"/>
        <v>3</v>
      </c>
      <c r="K5561" t="s">
        <v>6698</v>
      </c>
      <c r="L5561" t="s">
        <v>6694</v>
      </c>
      <c r="M5561" t="s">
        <v>6701</v>
      </c>
      <c r="S5561" t="s">
        <v>6694</v>
      </c>
      <c r="W5561" t="s">
        <v>6720</v>
      </c>
    </row>
    <row r="5562" spans="1:23" ht="15.6" x14ac:dyDescent="0.4">
      <c r="A5562" s="2" t="s">
        <v>3012</v>
      </c>
      <c r="B5562" s="5" t="s">
        <v>11600</v>
      </c>
      <c r="C5562" s="7" t="s">
        <v>12556</v>
      </c>
      <c r="D5562" s="8">
        <f t="shared" si="348"/>
        <v>1</v>
      </c>
      <c r="E5562" s="7" t="s">
        <v>12557</v>
      </c>
      <c r="F5562" s="7">
        <f t="shared" si="349"/>
        <v>0</v>
      </c>
      <c r="G5562" s="7" t="s">
        <v>12558</v>
      </c>
      <c r="H5562" s="7">
        <f t="shared" si="350"/>
        <v>0</v>
      </c>
      <c r="I5562" s="7" t="str" cm="1">
        <f t="array" ref="I5562">IFERROR(_xlfn.IFS(M5562="נח",1,M5562="נע ונח",1,M5562="שני שווא נח",2,M5562="שני שוואים בסוף מילה",2,M5562="שני שוואים ברצף",1),"0")</f>
        <v>0</v>
      </c>
      <c r="J5562" s="9">
        <f t="shared" si="351"/>
        <v>3</v>
      </c>
      <c r="K5562" t="s">
        <v>6698</v>
      </c>
      <c r="L5562" t="s">
        <v>6694</v>
      </c>
      <c r="M5562" t="s">
        <v>6700</v>
      </c>
      <c r="R5562" t="s">
        <v>6694</v>
      </c>
      <c r="W5562" t="s">
        <v>6720</v>
      </c>
    </row>
    <row r="5563" spans="1:23" ht="15.6" x14ac:dyDescent="0.4">
      <c r="A5563" s="2" t="s">
        <v>5635</v>
      </c>
      <c r="B5563" s="5" t="s">
        <v>11601</v>
      </c>
      <c r="C5563" s="7" t="s">
        <v>12556</v>
      </c>
      <c r="D5563" s="8">
        <f t="shared" si="348"/>
        <v>0</v>
      </c>
      <c r="E5563" s="7" t="s">
        <v>12557</v>
      </c>
      <c r="F5563" s="7">
        <f t="shared" si="349"/>
        <v>0</v>
      </c>
      <c r="G5563" s="7" t="s">
        <v>12558</v>
      </c>
      <c r="H5563" s="7">
        <f t="shared" si="350"/>
        <v>0</v>
      </c>
      <c r="I5563" s="7" t="str" cm="1">
        <f t="array" ref="I5563">IFERROR(_xlfn.IFS(M5563="נח",1,M5563="נע ונח",1,M5563="שני שווא נח",2,M5563="שני שוואים בסוף מילה",2,M5563="שני שוואים ברצף",1),"0")</f>
        <v>0</v>
      </c>
      <c r="J5563" s="9">
        <f t="shared" si="351"/>
        <v>4</v>
      </c>
      <c r="K5563" t="s">
        <v>6697</v>
      </c>
      <c r="L5563" t="s">
        <v>6694</v>
      </c>
      <c r="M5563" t="s">
        <v>6700</v>
      </c>
      <c r="O5563" t="s">
        <v>6694</v>
      </c>
      <c r="R5563" t="s">
        <v>6694</v>
      </c>
      <c r="W5563" t="s">
        <v>6720</v>
      </c>
    </row>
    <row r="5564" spans="1:23" ht="15.6" x14ac:dyDescent="0.4">
      <c r="A5564" s="2" t="s">
        <v>4234</v>
      </c>
      <c r="B5564" s="5" t="s">
        <v>11602</v>
      </c>
      <c r="C5564" s="7" t="s">
        <v>12556</v>
      </c>
      <c r="D5564" s="8">
        <f t="shared" si="348"/>
        <v>0</v>
      </c>
      <c r="E5564" s="7" t="s">
        <v>12557</v>
      </c>
      <c r="F5564" s="7">
        <f t="shared" si="349"/>
        <v>2</v>
      </c>
      <c r="G5564" s="7" t="s">
        <v>12558</v>
      </c>
      <c r="H5564" s="7">
        <f t="shared" si="350"/>
        <v>1</v>
      </c>
      <c r="I5564" s="7" cm="1">
        <f t="array" ref="I5564">IFERROR(_xlfn.IFS(M5564="נח",1,M5564="נע ונח",1,M5564="שני שווא נח",2,M5564="שני שוואים בסוף מילה",2,M5564="שני שוואים ברצף",1),"0")</f>
        <v>1</v>
      </c>
      <c r="J5564" s="9">
        <f t="shared" si="351"/>
        <v>4</v>
      </c>
      <c r="K5564" t="s">
        <v>6697</v>
      </c>
      <c r="L5564" t="s">
        <v>6694</v>
      </c>
      <c r="M5564" t="s">
        <v>6701</v>
      </c>
      <c r="O5564" t="s">
        <v>6694</v>
      </c>
      <c r="P5564" t="s">
        <v>6694</v>
      </c>
      <c r="U5564" t="s">
        <v>6694</v>
      </c>
      <c r="W5564" t="s">
        <v>6720</v>
      </c>
    </row>
    <row r="5565" spans="1:23" ht="15.6" x14ac:dyDescent="0.4">
      <c r="A5565" s="2" t="s">
        <v>667</v>
      </c>
      <c r="B5565" s="5" t="s">
        <v>11603</v>
      </c>
      <c r="C5565" s="7" t="s">
        <v>12556</v>
      </c>
      <c r="D5565" s="8">
        <f t="shared" si="348"/>
        <v>0</v>
      </c>
      <c r="E5565" s="7" t="s">
        <v>12557</v>
      </c>
      <c r="F5565" s="7">
        <f t="shared" si="349"/>
        <v>0</v>
      </c>
      <c r="G5565" s="7" t="s">
        <v>12558</v>
      </c>
      <c r="H5565" s="7">
        <f t="shared" si="350"/>
        <v>0</v>
      </c>
      <c r="I5565" s="7" t="str" cm="1">
        <f t="array" ref="I5565">IFERROR(_xlfn.IFS(M5565="נח",1,M5565="נע ונח",1,M5565="שני שווא נח",2,M5565="שני שוואים בסוף מילה",2,M5565="שני שוואים ברצף",1),"0")</f>
        <v>0</v>
      </c>
      <c r="J5565" s="9">
        <f t="shared" si="351"/>
        <v>3</v>
      </c>
      <c r="K5565" t="s">
        <v>6698</v>
      </c>
      <c r="L5565" t="s">
        <v>6694</v>
      </c>
      <c r="M5565" t="s">
        <v>6700</v>
      </c>
      <c r="O5565" t="s">
        <v>6694</v>
      </c>
      <c r="S5565" t="s">
        <v>6694</v>
      </c>
      <c r="W5565" t="s">
        <v>6720</v>
      </c>
    </row>
    <row r="5566" spans="1:23" ht="15.6" x14ac:dyDescent="0.4">
      <c r="A5566" s="2" t="s">
        <v>2703</v>
      </c>
      <c r="B5566" s="5" t="s">
        <v>11604</v>
      </c>
      <c r="C5566" s="7" t="s">
        <v>12556</v>
      </c>
      <c r="D5566" s="8">
        <f t="shared" si="348"/>
        <v>1</v>
      </c>
      <c r="E5566" s="7" t="s">
        <v>12557</v>
      </c>
      <c r="F5566" s="7">
        <f t="shared" si="349"/>
        <v>0</v>
      </c>
      <c r="G5566" s="7" t="s">
        <v>12558</v>
      </c>
      <c r="H5566" s="7">
        <f t="shared" si="350"/>
        <v>0</v>
      </c>
      <c r="I5566" s="7" t="str" cm="1">
        <f t="array" ref="I5566">IFERROR(_xlfn.IFS(M5566="נח",1,M5566="נע ונח",1,M5566="שני שווא נח",2,M5566="שני שוואים בסוף מילה",2,M5566="שני שוואים ברצף",1),"0")</f>
        <v>0</v>
      </c>
      <c r="J5566" s="9">
        <f t="shared" si="351"/>
        <v>3</v>
      </c>
      <c r="K5566" t="s">
        <v>6698</v>
      </c>
      <c r="L5566" t="s">
        <v>6694</v>
      </c>
      <c r="M5566" t="s">
        <v>6700</v>
      </c>
      <c r="O5566" t="s">
        <v>6694</v>
      </c>
      <c r="P5566" t="s">
        <v>6694</v>
      </c>
      <c r="W5566" t="s">
        <v>6720</v>
      </c>
    </row>
    <row r="5567" spans="1:23" ht="15.6" x14ac:dyDescent="0.4">
      <c r="A5567" s="2" t="s">
        <v>6410</v>
      </c>
      <c r="B5567" s="5" t="s">
        <v>11604</v>
      </c>
      <c r="C5567" s="7" t="s">
        <v>12556</v>
      </c>
      <c r="D5567" s="8">
        <f t="shared" si="348"/>
        <v>1</v>
      </c>
      <c r="E5567" s="7" t="s">
        <v>12557</v>
      </c>
      <c r="F5567" s="7">
        <f t="shared" si="349"/>
        <v>0</v>
      </c>
      <c r="G5567" s="7" t="s">
        <v>12558</v>
      </c>
      <c r="H5567" s="7">
        <f t="shared" si="350"/>
        <v>0</v>
      </c>
      <c r="I5567" s="7" t="str" cm="1">
        <f t="array" ref="I5567">IFERROR(_xlfn.IFS(M5567="נח",1,M5567="נע ונח",1,M5567="שני שווא נח",2,M5567="שני שוואים בסוף מילה",2,M5567="שני שוואים ברצף",1),"0")</f>
        <v>0</v>
      </c>
      <c r="J5567" s="9">
        <f t="shared" si="351"/>
        <v>3</v>
      </c>
      <c r="K5567" t="s">
        <v>6698</v>
      </c>
      <c r="L5567" t="s">
        <v>6694</v>
      </c>
      <c r="M5567" t="s">
        <v>6700</v>
      </c>
      <c r="N5567" t="s">
        <v>6706</v>
      </c>
      <c r="O5567" t="s">
        <v>6694</v>
      </c>
      <c r="W5567" t="s">
        <v>6720</v>
      </c>
    </row>
    <row r="5568" spans="1:23" ht="15.6" x14ac:dyDescent="0.4">
      <c r="A5568" s="2" t="s">
        <v>6436</v>
      </c>
      <c r="B5568" s="5" t="s">
        <v>11605</v>
      </c>
      <c r="C5568" s="7" t="s">
        <v>12556</v>
      </c>
      <c r="D5568" s="8">
        <f t="shared" si="348"/>
        <v>0</v>
      </c>
      <c r="E5568" s="7" t="s">
        <v>12557</v>
      </c>
      <c r="F5568" s="7">
        <f t="shared" si="349"/>
        <v>0</v>
      </c>
      <c r="G5568" s="7" t="s">
        <v>12558</v>
      </c>
      <c r="H5568" s="7">
        <f t="shared" si="350"/>
        <v>0</v>
      </c>
      <c r="I5568" s="7" t="str" cm="1">
        <f t="array" ref="I5568">IFERROR(_xlfn.IFS(M5568="נח",1,M5568="נע ונח",1,M5568="שני שווא נח",2,M5568="שני שוואים בסוף מילה",2,M5568="שני שוואים ברצף",1),"0")</f>
        <v>0</v>
      </c>
      <c r="J5568" s="9">
        <f t="shared" si="351"/>
        <v>3</v>
      </c>
      <c r="K5568" t="s">
        <v>6698</v>
      </c>
      <c r="L5568" t="s">
        <v>6694</v>
      </c>
      <c r="M5568" t="s">
        <v>6700</v>
      </c>
      <c r="S5568" t="s">
        <v>6694</v>
      </c>
      <c r="V5568" t="s">
        <v>6694</v>
      </c>
      <c r="W5568" t="s">
        <v>6720</v>
      </c>
    </row>
    <row r="5569" spans="1:23" ht="15.6" x14ac:dyDescent="0.4">
      <c r="A5569" s="2" t="s">
        <v>485</v>
      </c>
      <c r="B5569" s="5" t="s">
        <v>11606</v>
      </c>
      <c r="C5569" s="7" t="s">
        <v>12556</v>
      </c>
      <c r="D5569" s="8">
        <f t="shared" si="348"/>
        <v>0</v>
      </c>
      <c r="E5569" s="7" t="s">
        <v>12557</v>
      </c>
      <c r="F5569" s="7">
        <f t="shared" si="349"/>
        <v>0</v>
      </c>
      <c r="G5569" s="7" t="s">
        <v>12558</v>
      </c>
      <c r="H5569" s="7">
        <f t="shared" si="350"/>
        <v>0</v>
      </c>
      <c r="I5569" s="7" t="str" cm="1">
        <f t="array" ref="I5569">IFERROR(_xlfn.IFS(M5569="נח",1,M5569="נע ונח",1,M5569="שני שווא נח",2,M5569="שני שוואים בסוף מילה",2,M5569="שני שוואים ברצף",1),"0")</f>
        <v>0</v>
      </c>
      <c r="J5569" s="9">
        <f t="shared" si="351"/>
        <v>1</v>
      </c>
      <c r="K5569" t="s">
        <v>6697</v>
      </c>
      <c r="L5569" t="s">
        <v>6695</v>
      </c>
      <c r="S5569" t="s">
        <v>6694</v>
      </c>
      <c r="W5569" t="s">
        <v>6720</v>
      </c>
    </row>
    <row r="5570" spans="1:23" ht="15.6" x14ac:dyDescent="0.4">
      <c r="A5570" s="2" t="s">
        <v>824</v>
      </c>
      <c r="B5570" s="5" t="s">
        <v>11607</v>
      </c>
      <c r="C5570" s="7" t="s">
        <v>12556</v>
      </c>
      <c r="D5570" s="8">
        <f t="shared" si="348"/>
        <v>0</v>
      </c>
      <c r="E5570" s="7" t="s">
        <v>12557</v>
      </c>
      <c r="F5570" s="7">
        <f t="shared" si="349"/>
        <v>0</v>
      </c>
      <c r="G5570" s="7" t="s">
        <v>12558</v>
      </c>
      <c r="H5570" s="7">
        <f t="shared" si="350"/>
        <v>0</v>
      </c>
      <c r="I5570" s="7" t="str" cm="1">
        <f t="array" ref="I5570">IFERROR(_xlfn.IFS(M5570="נח",1,M5570="נע ונח",1,M5570="שני שווא נח",2,M5570="שני שוואים בסוף מילה",2,M5570="שני שוואים ברצף",1),"0")</f>
        <v>0</v>
      </c>
      <c r="J5570" s="9">
        <f t="shared" si="351"/>
        <v>1</v>
      </c>
      <c r="K5570" t="s">
        <v>6698</v>
      </c>
      <c r="L5570" t="s">
        <v>6695</v>
      </c>
      <c r="S5570" t="s">
        <v>6694</v>
      </c>
      <c r="W5570" t="s">
        <v>6720</v>
      </c>
    </row>
    <row r="5571" spans="1:23" ht="15.6" x14ac:dyDescent="0.4">
      <c r="A5571" s="2" t="s">
        <v>5990</v>
      </c>
      <c r="B5571" s="5" t="s">
        <v>11608</v>
      </c>
      <c r="C5571" s="7" t="s">
        <v>12556</v>
      </c>
      <c r="D5571" s="8">
        <f t="shared" ref="D5571:D5634" si="352">(LEN(B5571)-LEN(SUBSTITUTE(B5571,C5571,"")))</f>
        <v>0</v>
      </c>
      <c r="E5571" s="7" t="s">
        <v>12557</v>
      </c>
      <c r="F5571" s="7">
        <f t="shared" ref="F5571:F5634" si="353">(LEN(A5571)-LEN(SUBSTITUTE(A5571,E5571,"")))</f>
        <v>0</v>
      </c>
      <c r="G5571" s="7" t="s">
        <v>12558</v>
      </c>
      <c r="H5571" s="7">
        <f t="shared" ref="H5571:H5634" si="354">(LEN(A5571)-LEN(SUBSTITUTE(A5571,G5571,"")))/2</f>
        <v>0</v>
      </c>
      <c r="I5571" s="7" t="str" cm="1">
        <f t="array" ref="I5571">IFERROR(_xlfn.IFS(M5571="נח",1,M5571="נע ונח",1,M5571="שני שווא נח",2,M5571="שני שוואים בסוף מילה",2,M5571="שני שוואים ברצף",1),"0")</f>
        <v>0</v>
      </c>
      <c r="J5571" s="9">
        <f t="shared" ref="J5571:J5634" si="355">LEN(A5571)-(LEN(B5571))-D5571-F5571+H5571-I5571</f>
        <v>2</v>
      </c>
      <c r="K5571" t="s">
        <v>6697</v>
      </c>
      <c r="L5571" t="s">
        <v>6695</v>
      </c>
      <c r="O5571" t="s">
        <v>6694</v>
      </c>
      <c r="S5571" t="s">
        <v>6694</v>
      </c>
      <c r="W5571" t="s">
        <v>6720</v>
      </c>
    </row>
    <row r="5572" spans="1:23" ht="15.6" x14ac:dyDescent="0.4">
      <c r="A5572" s="2" t="s">
        <v>3119</v>
      </c>
      <c r="B5572" s="5" t="s">
        <v>11609</v>
      </c>
      <c r="C5572" s="7" t="s">
        <v>12556</v>
      </c>
      <c r="D5572" s="8">
        <f t="shared" si="352"/>
        <v>0</v>
      </c>
      <c r="E5572" s="7" t="s">
        <v>12557</v>
      </c>
      <c r="F5572" s="7">
        <f t="shared" si="353"/>
        <v>1</v>
      </c>
      <c r="G5572" s="7" t="s">
        <v>12558</v>
      </c>
      <c r="H5572" s="7">
        <f t="shared" si="354"/>
        <v>0</v>
      </c>
      <c r="I5572" s="7" t="str" cm="1">
        <f t="array" ref="I5572">IFERROR(_xlfn.IFS(M5572="נח",1,M5572="נע ונח",1,M5572="שני שווא נח",2,M5572="שני שוואים בסוף מילה",2,M5572="שני שוואים ברצף",1),"0")</f>
        <v>0</v>
      </c>
      <c r="J5572" s="9">
        <f t="shared" si="355"/>
        <v>2</v>
      </c>
      <c r="K5572" t="s">
        <v>6698</v>
      </c>
      <c r="L5572" t="s">
        <v>6695</v>
      </c>
      <c r="P5572" t="s">
        <v>6694</v>
      </c>
      <c r="S5572" t="s">
        <v>6694</v>
      </c>
      <c r="W5572" t="s">
        <v>6720</v>
      </c>
    </row>
    <row r="5573" spans="1:23" ht="15.6" x14ac:dyDescent="0.4">
      <c r="A5573" s="2" t="s">
        <v>212</v>
      </c>
      <c r="B5573" s="5" t="s">
        <v>11610</v>
      </c>
      <c r="C5573" s="7" t="s">
        <v>12556</v>
      </c>
      <c r="D5573" s="8">
        <f t="shared" si="352"/>
        <v>0</v>
      </c>
      <c r="E5573" s="7" t="s">
        <v>12557</v>
      </c>
      <c r="F5573" s="7">
        <f t="shared" si="353"/>
        <v>1</v>
      </c>
      <c r="G5573" s="7" t="s">
        <v>12558</v>
      </c>
      <c r="H5573" s="7">
        <f t="shared" si="354"/>
        <v>0</v>
      </c>
      <c r="I5573" s="7" t="str" cm="1">
        <f t="array" ref="I5573">IFERROR(_xlfn.IFS(M5573="נח",1,M5573="נע ונח",1,M5573="שני שווא נח",2,M5573="שני שוואים בסוף מילה",2,M5573="שני שוואים ברצף",1),"0")</f>
        <v>0</v>
      </c>
      <c r="J5573" s="9">
        <f t="shared" si="355"/>
        <v>4</v>
      </c>
      <c r="K5573" t="s">
        <v>6697</v>
      </c>
      <c r="L5573" t="s">
        <v>6695</v>
      </c>
      <c r="O5573" t="s">
        <v>6694</v>
      </c>
      <c r="R5573" t="s">
        <v>6694</v>
      </c>
      <c r="S5573" t="s">
        <v>6694</v>
      </c>
      <c r="T5573" t="s">
        <v>6694</v>
      </c>
      <c r="W5573" t="s">
        <v>6720</v>
      </c>
    </row>
    <row r="5574" spans="1:23" ht="15.6" x14ac:dyDescent="0.4">
      <c r="A5574" s="2" t="s">
        <v>2856</v>
      </c>
      <c r="B5574" s="5" t="s">
        <v>11611</v>
      </c>
      <c r="C5574" s="7" t="s">
        <v>12556</v>
      </c>
      <c r="D5574" s="8">
        <f t="shared" si="352"/>
        <v>0</v>
      </c>
      <c r="E5574" s="7" t="s">
        <v>12557</v>
      </c>
      <c r="F5574" s="7">
        <f t="shared" si="353"/>
        <v>1</v>
      </c>
      <c r="G5574" s="7" t="s">
        <v>12558</v>
      </c>
      <c r="H5574" s="7">
        <f t="shared" si="354"/>
        <v>0</v>
      </c>
      <c r="I5574" s="7" t="str" cm="1">
        <f t="array" ref="I5574">IFERROR(_xlfn.IFS(M5574="נח",1,M5574="נע ונח",1,M5574="שני שווא נח",2,M5574="שני שוואים בסוף מילה",2,M5574="שני שוואים ברצף",1),"0")</f>
        <v>0</v>
      </c>
      <c r="J5574" s="9">
        <f t="shared" si="355"/>
        <v>3</v>
      </c>
      <c r="K5574" t="s">
        <v>6698</v>
      </c>
      <c r="L5574" t="s">
        <v>6695</v>
      </c>
      <c r="N5574" t="s">
        <v>6706</v>
      </c>
      <c r="O5574" t="s">
        <v>6694</v>
      </c>
      <c r="S5574" t="s">
        <v>6694</v>
      </c>
      <c r="T5574" t="s">
        <v>6694</v>
      </c>
      <c r="W5574" t="s">
        <v>6720</v>
      </c>
    </row>
    <row r="5575" spans="1:23" ht="15.6" x14ac:dyDescent="0.4">
      <c r="A5575" s="2" t="s">
        <v>4179</v>
      </c>
      <c r="B5575" s="5" t="s">
        <v>11604</v>
      </c>
      <c r="C5575" s="7" t="s">
        <v>12556</v>
      </c>
      <c r="D5575" s="8">
        <f t="shared" si="352"/>
        <v>1</v>
      </c>
      <c r="E5575" s="7" t="s">
        <v>12557</v>
      </c>
      <c r="F5575" s="7">
        <f t="shared" si="353"/>
        <v>0</v>
      </c>
      <c r="G5575" s="7" t="s">
        <v>12558</v>
      </c>
      <c r="H5575" s="7">
        <f t="shared" si="354"/>
        <v>0</v>
      </c>
      <c r="I5575" s="7" cm="1">
        <f t="array" ref="I5575">IFERROR(_xlfn.IFS(M5575="נח",1,M5575="נע ונח",1,M5575="שני שווא נח",2,M5575="שני שוואים בסוף מילה",2,M5575="שני שוואים ברצף",1),"0")</f>
        <v>1</v>
      </c>
      <c r="J5575" s="9">
        <f t="shared" si="355"/>
        <v>2</v>
      </c>
      <c r="K5575" t="s">
        <v>6697</v>
      </c>
      <c r="L5575" t="s">
        <v>6694</v>
      </c>
      <c r="M5575" t="s">
        <v>6705</v>
      </c>
      <c r="S5575" t="s">
        <v>6694</v>
      </c>
      <c r="W5575" t="s">
        <v>6720</v>
      </c>
    </row>
    <row r="5576" spans="1:23" ht="15.6" x14ac:dyDescent="0.4">
      <c r="A5576" s="2" t="s">
        <v>4757</v>
      </c>
      <c r="B5576" s="5" t="s">
        <v>11612</v>
      </c>
      <c r="C5576" s="7" t="s">
        <v>12556</v>
      </c>
      <c r="D5576" s="8">
        <f t="shared" si="352"/>
        <v>0</v>
      </c>
      <c r="E5576" s="7" t="s">
        <v>12557</v>
      </c>
      <c r="F5576" s="7">
        <f t="shared" si="353"/>
        <v>0</v>
      </c>
      <c r="G5576" s="7" t="s">
        <v>12558</v>
      </c>
      <c r="H5576" s="7">
        <f t="shared" si="354"/>
        <v>0</v>
      </c>
      <c r="I5576" s="7" t="str" cm="1">
        <f t="array" ref="I5576">IFERROR(_xlfn.IFS(M5576="נח",1,M5576="נע ונח",1,M5576="שני שווא נח",2,M5576="שני שוואים בסוף מילה",2,M5576="שני שוואים ברצף",1),"0")</f>
        <v>0</v>
      </c>
      <c r="J5576" s="9">
        <f t="shared" si="355"/>
        <v>2</v>
      </c>
      <c r="K5576" t="s">
        <v>6697</v>
      </c>
      <c r="L5576" t="s">
        <v>6695</v>
      </c>
      <c r="R5576" t="s">
        <v>6694</v>
      </c>
      <c r="W5576" t="s">
        <v>6720</v>
      </c>
    </row>
    <row r="5577" spans="1:23" ht="15.6" x14ac:dyDescent="0.4">
      <c r="A5577" s="2" t="s">
        <v>2211</v>
      </c>
      <c r="B5577" s="5" t="s">
        <v>11613</v>
      </c>
      <c r="C5577" s="7" t="s">
        <v>12556</v>
      </c>
      <c r="D5577" s="8">
        <f t="shared" si="352"/>
        <v>0</v>
      </c>
      <c r="E5577" s="7" t="s">
        <v>12557</v>
      </c>
      <c r="F5577" s="7">
        <f t="shared" si="353"/>
        <v>0</v>
      </c>
      <c r="G5577" s="7" t="s">
        <v>12558</v>
      </c>
      <c r="H5577" s="7">
        <f t="shared" si="354"/>
        <v>0</v>
      </c>
      <c r="I5577" s="7" t="str" cm="1">
        <f t="array" ref="I5577">IFERROR(_xlfn.IFS(M5577="נח",1,M5577="נע ונח",1,M5577="שני שווא נח",2,M5577="שני שוואים בסוף מילה",2,M5577="שני שוואים ברצף",1),"0")</f>
        <v>0</v>
      </c>
      <c r="J5577" s="9">
        <f t="shared" si="355"/>
        <v>2</v>
      </c>
      <c r="K5577" t="s">
        <v>6698</v>
      </c>
      <c r="L5577" t="s">
        <v>6695</v>
      </c>
      <c r="R5577" t="s">
        <v>6694</v>
      </c>
      <c r="W5577" t="s">
        <v>6720</v>
      </c>
    </row>
    <row r="5578" spans="1:23" ht="15.6" x14ac:dyDescent="0.4">
      <c r="A5578" s="2" t="s">
        <v>4140</v>
      </c>
      <c r="B5578" s="5" t="s">
        <v>11614</v>
      </c>
      <c r="C5578" s="7" t="s">
        <v>12556</v>
      </c>
      <c r="D5578" s="8">
        <f t="shared" si="352"/>
        <v>0</v>
      </c>
      <c r="E5578" s="7" t="s">
        <v>12557</v>
      </c>
      <c r="F5578" s="7">
        <f t="shared" si="353"/>
        <v>0</v>
      </c>
      <c r="G5578" s="7" t="s">
        <v>12558</v>
      </c>
      <c r="H5578" s="7">
        <f t="shared" si="354"/>
        <v>0</v>
      </c>
      <c r="I5578" s="7" t="str" cm="1">
        <f t="array" ref="I5578">IFERROR(_xlfn.IFS(M5578="נח",1,M5578="נע ונח",1,M5578="שני שווא נח",2,M5578="שני שוואים בסוף מילה",2,M5578="שני שוואים ברצף",1),"0")</f>
        <v>0</v>
      </c>
      <c r="J5578" s="9">
        <f t="shared" si="355"/>
        <v>2</v>
      </c>
      <c r="K5578" t="s">
        <v>6698</v>
      </c>
      <c r="L5578" t="s">
        <v>6695</v>
      </c>
      <c r="R5578" t="s">
        <v>6694</v>
      </c>
      <c r="W5578" t="s">
        <v>6720</v>
      </c>
    </row>
    <row r="5579" spans="1:23" ht="15.6" x14ac:dyDescent="0.4">
      <c r="A5579" s="2" t="s">
        <v>5594</v>
      </c>
      <c r="B5579" s="5" t="s">
        <v>11615</v>
      </c>
      <c r="C5579" s="7" t="s">
        <v>12556</v>
      </c>
      <c r="D5579" s="8">
        <f t="shared" si="352"/>
        <v>0</v>
      </c>
      <c r="E5579" s="7" t="s">
        <v>12557</v>
      </c>
      <c r="F5579" s="7">
        <f t="shared" si="353"/>
        <v>0</v>
      </c>
      <c r="G5579" s="7" t="s">
        <v>12558</v>
      </c>
      <c r="H5579" s="7">
        <f t="shared" si="354"/>
        <v>0</v>
      </c>
      <c r="I5579" s="7" t="str" cm="1">
        <f t="array" ref="I5579">IFERROR(_xlfn.IFS(M5579="נח",1,M5579="נע ונח",1,M5579="שני שווא נח",2,M5579="שני שוואים בסוף מילה",2,M5579="שני שוואים ברצף",1),"0")</f>
        <v>0</v>
      </c>
      <c r="J5579" s="9">
        <f t="shared" si="355"/>
        <v>1</v>
      </c>
      <c r="K5579" t="s">
        <v>6698</v>
      </c>
      <c r="L5579" t="s">
        <v>6695</v>
      </c>
      <c r="P5579" t="s">
        <v>6694</v>
      </c>
      <c r="W5579" t="s">
        <v>6720</v>
      </c>
    </row>
    <row r="5580" spans="1:23" ht="15.6" x14ac:dyDescent="0.4">
      <c r="A5580" s="2" t="s">
        <v>3968</v>
      </c>
      <c r="B5580" s="5" t="s">
        <v>11616</v>
      </c>
      <c r="C5580" s="7" t="s">
        <v>12556</v>
      </c>
      <c r="D5580" s="8">
        <f t="shared" si="352"/>
        <v>0</v>
      </c>
      <c r="E5580" s="7" t="s">
        <v>12557</v>
      </c>
      <c r="F5580" s="7">
        <f t="shared" si="353"/>
        <v>0</v>
      </c>
      <c r="G5580" s="7" t="s">
        <v>12558</v>
      </c>
      <c r="H5580" s="7">
        <f t="shared" si="354"/>
        <v>0</v>
      </c>
      <c r="I5580" s="7" t="str" cm="1">
        <f t="array" ref="I5580">IFERROR(_xlfn.IFS(M5580="נח",1,M5580="נע ונח",1,M5580="שני שווא נח",2,M5580="שני שוואים בסוף מילה",2,M5580="שני שוואים ברצף",1),"0")</f>
        <v>0</v>
      </c>
      <c r="J5580" s="9">
        <f t="shared" si="355"/>
        <v>2</v>
      </c>
      <c r="K5580" t="s">
        <v>6698</v>
      </c>
      <c r="L5580" t="s">
        <v>6695</v>
      </c>
      <c r="P5580" t="s">
        <v>6694</v>
      </c>
      <c r="W5580" t="s">
        <v>6720</v>
      </c>
    </row>
    <row r="5581" spans="1:23" ht="15.6" x14ac:dyDescent="0.4">
      <c r="A5581" s="2" t="s">
        <v>6345</v>
      </c>
      <c r="B5581" s="5" t="s">
        <v>11617</v>
      </c>
      <c r="C5581" s="7" t="s">
        <v>12556</v>
      </c>
      <c r="D5581" s="8">
        <f t="shared" si="352"/>
        <v>0</v>
      </c>
      <c r="E5581" s="7" t="s">
        <v>12557</v>
      </c>
      <c r="F5581" s="7">
        <f t="shared" si="353"/>
        <v>1</v>
      </c>
      <c r="G5581" s="7" t="s">
        <v>12558</v>
      </c>
      <c r="H5581" s="7">
        <f t="shared" si="354"/>
        <v>0</v>
      </c>
      <c r="I5581" s="7" cm="1">
        <f t="array" ref="I5581">IFERROR(_xlfn.IFS(M5581="נח",1,M5581="נע ונח",1,M5581="שני שווא נח",2,M5581="שני שוואים בסוף מילה",2,M5581="שני שוואים ברצף",1),"0")</f>
        <v>1</v>
      </c>
      <c r="J5581" s="9">
        <f t="shared" si="355"/>
        <v>3</v>
      </c>
      <c r="K5581" t="s">
        <v>6697</v>
      </c>
      <c r="L5581" t="s">
        <v>6694</v>
      </c>
      <c r="M5581" t="s">
        <v>6705</v>
      </c>
      <c r="P5581" t="s">
        <v>6694</v>
      </c>
      <c r="Q5581" t="s">
        <v>6694</v>
      </c>
      <c r="S5581" t="s">
        <v>6694</v>
      </c>
      <c r="W5581" t="s">
        <v>6720</v>
      </c>
    </row>
    <row r="5582" spans="1:23" ht="15.6" x14ac:dyDescent="0.4">
      <c r="A5582" s="2" t="s">
        <v>2715</v>
      </c>
      <c r="B5582" s="5" t="s">
        <v>11618</v>
      </c>
      <c r="C5582" s="7" t="s">
        <v>12556</v>
      </c>
      <c r="D5582" s="8">
        <f t="shared" si="352"/>
        <v>0</v>
      </c>
      <c r="E5582" s="7" t="s">
        <v>12557</v>
      </c>
      <c r="F5582" s="7">
        <f t="shared" si="353"/>
        <v>1</v>
      </c>
      <c r="G5582" s="7" t="s">
        <v>12558</v>
      </c>
      <c r="H5582" s="7">
        <f t="shared" si="354"/>
        <v>0</v>
      </c>
      <c r="I5582" s="7" t="str" cm="1">
        <f t="array" ref="I5582">IFERROR(_xlfn.IFS(M5582="נח",1,M5582="נע ונח",1,M5582="שני שווא נח",2,M5582="שני שוואים בסוף מילה",2,M5582="שני שוואים ברצף",1),"0")</f>
        <v>0</v>
      </c>
      <c r="J5582" s="9">
        <f t="shared" si="355"/>
        <v>2</v>
      </c>
      <c r="K5582" t="s">
        <v>6698</v>
      </c>
      <c r="L5582" t="s">
        <v>6695</v>
      </c>
      <c r="P5582" t="s">
        <v>6694</v>
      </c>
      <c r="Q5582" t="s">
        <v>6694</v>
      </c>
      <c r="W5582" t="s">
        <v>6720</v>
      </c>
    </row>
    <row r="5583" spans="1:23" ht="15.6" x14ac:dyDescent="0.4">
      <c r="A5583" s="2" t="s">
        <v>1805</v>
      </c>
      <c r="B5583" s="5" t="s">
        <v>11619</v>
      </c>
      <c r="C5583" s="7" t="s">
        <v>12556</v>
      </c>
      <c r="D5583" s="8">
        <f t="shared" si="352"/>
        <v>0</v>
      </c>
      <c r="E5583" s="7" t="s">
        <v>12557</v>
      </c>
      <c r="F5583" s="7">
        <f t="shared" si="353"/>
        <v>2</v>
      </c>
      <c r="G5583" s="7" t="s">
        <v>12558</v>
      </c>
      <c r="H5583" s="7">
        <f t="shared" si="354"/>
        <v>1</v>
      </c>
      <c r="I5583" s="7" t="str" cm="1">
        <f t="array" ref="I5583">IFERROR(_xlfn.IFS(M5583="נח",1,M5583="נע ונח",1,M5583="שני שווא נח",2,M5583="שני שוואים בסוף מילה",2,M5583="שני שוואים ברצף",1),"0")</f>
        <v>0</v>
      </c>
      <c r="J5583" s="9">
        <f t="shared" si="355"/>
        <v>2</v>
      </c>
      <c r="K5583" t="s">
        <v>6697</v>
      </c>
      <c r="L5583" t="s">
        <v>6695</v>
      </c>
      <c r="P5583" t="s">
        <v>6694</v>
      </c>
      <c r="U5583" t="s">
        <v>6694</v>
      </c>
      <c r="W5583" t="s">
        <v>6720</v>
      </c>
    </row>
    <row r="5584" spans="1:23" ht="15.6" x14ac:dyDescent="0.4">
      <c r="A5584" s="2" t="s">
        <v>3827</v>
      </c>
      <c r="B5584" s="5" t="s">
        <v>11620</v>
      </c>
      <c r="C5584" s="7" t="s">
        <v>12556</v>
      </c>
      <c r="D5584" s="8">
        <f t="shared" si="352"/>
        <v>0</v>
      </c>
      <c r="E5584" s="7" t="s">
        <v>12557</v>
      </c>
      <c r="F5584" s="7">
        <f t="shared" si="353"/>
        <v>0</v>
      </c>
      <c r="G5584" s="7" t="s">
        <v>12558</v>
      </c>
      <c r="H5584" s="7">
        <f t="shared" si="354"/>
        <v>0</v>
      </c>
      <c r="I5584" s="7" t="str" cm="1">
        <f t="array" ref="I5584">IFERROR(_xlfn.IFS(M5584="נח",1,M5584="נע ונח",1,M5584="שני שווא נח",2,M5584="שני שוואים בסוף מילה",2,M5584="שני שוואים ברצף",1),"0")</f>
        <v>0</v>
      </c>
      <c r="J5584" s="9">
        <f t="shared" si="355"/>
        <v>2</v>
      </c>
      <c r="K5584" t="s">
        <v>6697</v>
      </c>
      <c r="L5584" t="s">
        <v>6695</v>
      </c>
      <c r="O5584" t="s">
        <v>6694</v>
      </c>
      <c r="V5584" t="s">
        <v>6694</v>
      </c>
      <c r="W5584" t="s">
        <v>6720</v>
      </c>
    </row>
    <row r="5585" spans="1:23" ht="15.6" x14ac:dyDescent="0.4">
      <c r="A5585" s="2" t="s">
        <v>3226</v>
      </c>
      <c r="B5585" s="5" t="s">
        <v>11616</v>
      </c>
      <c r="C5585" s="7" t="s">
        <v>12556</v>
      </c>
      <c r="D5585" s="8">
        <f t="shared" si="352"/>
        <v>0</v>
      </c>
      <c r="E5585" s="7" t="s">
        <v>12557</v>
      </c>
      <c r="F5585" s="7">
        <f t="shared" si="353"/>
        <v>0</v>
      </c>
      <c r="G5585" s="7" t="s">
        <v>12558</v>
      </c>
      <c r="H5585" s="7">
        <f t="shared" si="354"/>
        <v>0</v>
      </c>
      <c r="I5585" s="7" t="str" cm="1">
        <f t="array" ref="I5585">IFERROR(_xlfn.IFS(M5585="נח",1,M5585="נע ונח",1,M5585="שני שווא נח",2,M5585="שני שוואים בסוף מילה",2,M5585="שני שוואים ברצף",1),"0")</f>
        <v>0</v>
      </c>
      <c r="J5585" s="9">
        <f t="shared" si="355"/>
        <v>2</v>
      </c>
      <c r="K5585" t="s">
        <v>6698</v>
      </c>
      <c r="L5585" t="s">
        <v>6695</v>
      </c>
      <c r="O5585" t="s">
        <v>6694</v>
      </c>
      <c r="P5585" t="s">
        <v>6694</v>
      </c>
      <c r="W5585" t="s">
        <v>6720</v>
      </c>
    </row>
    <row r="5586" spans="1:23" ht="15.6" x14ac:dyDescent="0.4">
      <c r="A5586" s="2" t="s">
        <v>6236</v>
      </c>
      <c r="B5586" s="5" t="s">
        <v>11621</v>
      </c>
      <c r="C5586" s="7" t="s">
        <v>12556</v>
      </c>
      <c r="D5586" s="8">
        <f t="shared" si="352"/>
        <v>0</v>
      </c>
      <c r="E5586" s="7" t="s">
        <v>12557</v>
      </c>
      <c r="F5586" s="7">
        <f t="shared" si="353"/>
        <v>0</v>
      </c>
      <c r="G5586" s="7" t="s">
        <v>12558</v>
      </c>
      <c r="H5586" s="7">
        <f t="shared" si="354"/>
        <v>0</v>
      </c>
      <c r="I5586" s="7" t="str" cm="1">
        <f t="array" ref="I5586">IFERROR(_xlfn.IFS(M5586="נח",1,M5586="נע ונח",1,M5586="שני שווא נח",2,M5586="שני שוואים בסוף מילה",2,M5586="שני שוואים ברצף",1),"0")</f>
        <v>0</v>
      </c>
      <c r="J5586" s="9">
        <f t="shared" si="355"/>
        <v>3</v>
      </c>
      <c r="K5586" t="s">
        <v>6697</v>
      </c>
      <c r="L5586" t="s">
        <v>6695</v>
      </c>
      <c r="O5586" t="s">
        <v>6694</v>
      </c>
      <c r="Q5586" t="s">
        <v>6694</v>
      </c>
      <c r="V5586" t="s">
        <v>6694</v>
      </c>
      <c r="W5586" t="s">
        <v>6720</v>
      </c>
    </row>
    <row r="5587" spans="1:23" ht="15.6" x14ac:dyDescent="0.4">
      <c r="A5587" s="2" t="s">
        <v>1916</v>
      </c>
      <c r="B5587" s="5" t="s">
        <v>11622</v>
      </c>
      <c r="C5587" s="7" t="s">
        <v>12556</v>
      </c>
      <c r="D5587" s="8">
        <f t="shared" si="352"/>
        <v>0</v>
      </c>
      <c r="E5587" s="7" t="s">
        <v>12557</v>
      </c>
      <c r="F5587" s="7">
        <f t="shared" si="353"/>
        <v>0</v>
      </c>
      <c r="G5587" s="7" t="s">
        <v>12558</v>
      </c>
      <c r="H5587" s="7">
        <f t="shared" si="354"/>
        <v>0</v>
      </c>
      <c r="I5587" s="7" t="str" cm="1">
        <f t="array" ref="I5587">IFERROR(_xlfn.IFS(M5587="נח",1,M5587="נע ונח",1,M5587="שני שווא נח",2,M5587="שני שוואים בסוף מילה",2,M5587="שני שוואים ברצף",1),"0")</f>
        <v>0</v>
      </c>
      <c r="J5587" s="9">
        <f t="shared" si="355"/>
        <v>3</v>
      </c>
      <c r="K5587" t="s">
        <v>6697</v>
      </c>
      <c r="L5587" t="s">
        <v>6695</v>
      </c>
      <c r="O5587" t="s">
        <v>6694</v>
      </c>
      <c r="R5587" t="s">
        <v>6694</v>
      </c>
      <c r="W5587" t="s">
        <v>6720</v>
      </c>
    </row>
    <row r="5588" spans="1:23" ht="15.6" x14ac:dyDescent="0.4">
      <c r="A5588" s="2" t="s">
        <v>3499</v>
      </c>
      <c r="B5588" s="5" t="s">
        <v>11623</v>
      </c>
      <c r="C5588" s="7" t="s">
        <v>12556</v>
      </c>
      <c r="D5588" s="8">
        <f t="shared" si="352"/>
        <v>0</v>
      </c>
      <c r="E5588" s="7" t="s">
        <v>12557</v>
      </c>
      <c r="F5588" s="7">
        <f t="shared" si="353"/>
        <v>0</v>
      </c>
      <c r="G5588" s="7" t="s">
        <v>12558</v>
      </c>
      <c r="H5588" s="7">
        <f t="shared" si="354"/>
        <v>0</v>
      </c>
      <c r="I5588" s="7" t="str" cm="1">
        <f t="array" ref="I5588">IFERROR(_xlfn.IFS(M5588="נח",1,M5588="נע ונח",1,M5588="שני שווא נח",2,M5588="שני שוואים בסוף מילה",2,M5588="שני שוואים ברצף",1),"0")</f>
        <v>0</v>
      </c>
      <c r="J5588" s="9">
        <f t="shared" si="355"/>
        <v>2</v>
      </c>
      <c r="K5588" t="s">
        <v>6697</v>
      </c>
      <c r="L5588" t="s">
        <v>6695</v>
      </c>
      <c r="O5588" t="s">
        <v>6694</v>
      </c>
      <c r="W5588" t="s">
        <v>6720</v>
      </c>
    </row>
    <row r="5589" spans="1:23" ht="15.6" x14ac:dyDescent="0.4">
      <c r="A5589" s="2" t="s">
        <v>2638</v>
      </c>
      <c r="B5589" s="5" t="s">
        <v>11624</v>
      </c>
      <c r="C5589" s="7" t="s">
        <v>12556</v>
      </c>
      <c r="D5589" s="8">
        <f t="shared" si="352"/>
        <v>0</v>
      </c>
      <c r="E5589" s="7" t="s">
        <v>12557</v>
      </c>
      <c r="F5589" s="7">
        <f t="shared" si="353"/>
        <v>0</v>
      </c>
      <c r="G5589" s="7" t="s">
        <v>12558</v>
      </c>
      <c r="H5589" s="7">
        <f t="shared" si="354"/>
        <v>0</v>
      </c>
      <c r="I5589" s="7" t="str" cm="1">
        <f t="array" ref="I5589">IFERROR(_xlfn.IFS(M5589="נח",1,M5589="נע ונח",1,M5589="שני שווא נח",2,M5589="שני שוואים בסוף מילה",2,M5589="שני שוואים ברצף",1),"0")</f>
        <v>0</v>
      </c>
      <c r="J5589" s="9">
        <f t="shared" si="355"/>
        <v>2</v>
      </c>
      <c r="K5589" t="s">
        <v>6698</v>
      </c>
      <c r="L5589" t="s">
        <v>6695</v>
      </c>
      <c r="N5589" t="s">
        <v>6706</v>
      </c>
      <c r="O5589" t="s">
        <v>6694</v>
      </c>
      <c r="W5589" t="s">
        <v>6720</v>
      </c>
    </row>
    <row r="5590" spans="1:23" ht="15.6" x14ac:dyDescent="0.4">
      <c r="A5590" s="2" t="s">
        <v>1616</v>
      </c>
      <c r="B5590" s="5" t="s">
        <v>11625</v>
      </c>
      <c r="C5590" s="7" t="s">
        <v>12556</v>
      </c>
      <c r="D5590" s="8">
        <f t="shared" si="352"/>
        <v>0</v>
      </c>
      <c r="E5590" s="7" t="s">
        <v>12557</v>
      </c>
      <c r="F5590" s="7">
        <f t="shared" si="353"/>
        <v>0</v>
      </c>
      <c r="G5590" s="7" t="s">
        <v>12558</v>
      </c>
      <c r="H5590" s="7">
        <f t="shared" si="354"/>
        <v>0</v>
      </c>
      <c r="I5590" s="7" t="str" cm="1">
        <f t="array" ref="I5590">IFERROR(_xlfn.IFS(M5590="נח",1,M5590="נע ונח",1,M5590="שני שווא נח",2,M5590="שני שוואים בסוף מילה",2,M5590="שני שוואים ברצף",1),"0")</f>
        <v>0</v>
      </c>
      <c r="J5590" s="9">
        <f t="shared" si="355"/>
        <v>2</v>
      </c>
      <c r="K5590" t="s">
        <v>6698</v>
      </c>
      <c r="L5590" t="s">
        <v>6695</v>
      </c>
      <c r="N5590" t="s">
        <v>6706</v>
      </c>
      <c r="O5590" t="s">
        <v>6694</v>
      </c>
      <c r="W5590" t="s">
        <v>6720</v>
      </c>
    </row>
    <row r="5591" spans="1:23" ht="15.6" x14ac:dyDescent="0.4">
      <c r="A5591" s="2" t="s">
        <v>208</v>
      </c>
      <c r="B5591" s="5" t="s">
        <v>11626</v>
      </c>
      <c r="C5591" s="7" t="s">
        <v>12556</v>
      </c>
      <c r="D5591" s="8">
        <f t="shared" si="352"/>
        <v>0</v>
      </c>
      <c r="E5591" s="7" t="s">
        <v>12557</v>
      </c>
      <c r="F5591" s="7">
        <f t="shared" si="353"/>
        <v>1</v>
      </c>
      <c r="G5591" s="7" t="s">
        <v>12558</v>
      </c>
      <c r="H5591" s="7">
        <f t="shared" si="354"/>
        <v>1</v>
      </c>
      <c r="I5591" s="7" t="str" cm="1">
        <f t="array" ref="I5591">IFERROR(_xlfn.IFS(M5591="נח",1,M5591="נע ונח",1,M5591="שני שווא נח",2,M5591="שני שוואים בסוף מילה",2,M5591="שני שוואים ברצף",1),"0")</f>
        <v>0</v>
      </c>
      <c r="J5591" s="9">
        <f t="shared" si="355"/>
        <v>3</v>
      </c>
      <c r="K5591" t="s">
        <v>6697</v>
      </c>
      <c r="L5591" t="s">
        <v>6695</v>
      </c>
      <c r="O5591" t="s">
        <v>6694</v>
      </c>
      <c r="P5591" t="s">
        <v>6694</v>
      </c>
      <c r="U5591" t="s">
        <v>6694</v>
      </c>
      <c r="W5591" t="s">
        <v>6720</v>
      </c>
    </row>
    <row r="5592" spans="1:23" ht="15.6" x14ac:dyDescent="0.4">
      <c r="A5592" s="2" t="s">
        <v>6302</v>
      </c>
      <c r="B5592" s="5" t="s">
        <v>11627</v>
      </c>
      <c r="C5592" s="7" t="s">
        <v>12556</v>
      </c>
      <c r="D5592" s="8">
        <f t="shared" si="352"/>
        <v>0</v>
      </c>
      <c r="E5592" s="7" t="s">
        <v>12557</v>
      </c>
      <c r="F5592" s="7">
        <f t="shared" si="353"/>
        <v>0</v>
      </c>
      <c r="G5592" s="7" t="s">
        <v>12558</v>
      </c>
      <c r="H5592" s="7">
        <f t="shared" si="354"/>
        <v>0</v>
      </c>
      <c r="I5592" s="7" t="str" cm="1">
        <f t="array" ref="I5592">IFERROR(_xlfn.IFS(M5592="נח",1,M5592="נע ונח",1,M5592="שני שווא נח",2,M5592="שני שוואים בסוף מילה",2,M5592="שני שוואים ברצף",1),"0")</f>
        <v>0</v>
      </c>
      <c r="J5592" s="9">
        <f t="shared" si="355"/>
        <v>3</v>
      </c>
      <c r="K5592" t="s">
        <v>6697</v>
      </c>
      <c r="L5592" t="s">
        <v>6695</v>
      </c>
      <c r="O5592" t="s">
        <v>6694</v>
      </c>
      <c r="S5592" t="s">
        <v>6694</v>
      </c>
      <c r="W5592" t="s">
        <v>6720</v>
      </c>
    </row>
    <row r="5593" spans="1:23" ht="15.6" x14ac:dyDescent="0.4">
      <c r="A5593" s="2" t="s">
        <v>5307</v>
      </c>
      <c r="B5593" s="5" t="s">
        <v>11628</v>
      </c>
      <c r="C5593" s="7" t="s">
        <v>12556</v>
      </c>
      <c r="D5593" s="8">
        <f t="shared" si="352"/>
        <v>0</v>
      </c>
      <c r="E5593" s="7" t="s">
        <v>12557</v>
      </c>
      <c r="F5593" s="7">
        <f t="shared" si="353"/>
        <v>0</v>
      </c>
      <c r="G5593" s="7" t="s">
        <v>12558</v>
      </c>
      <c r="H5593" s="7">
        <f t="shared" si="354"/>
        <v>0</v>
      </c>
      <c r="I5593" s="7" t="str" cm="1">
        <f t="array" ref="I5593">IFERROR(_xlfn.IFS(M5593="נח",1,M5593="נע ונח",1,M5593="שני שווא נח",2,M5593="שני שוואים בסוף מילה",2,M5593="שני שוואים ברצף",1),"0")</f>
        <v>0</v>
      </c>
      <c r="J5593" s="9">
        <f t="shared" si="355"/>
        <v>1</v>
      </c>
      <c r="K5593" t="s">
        <v>6698</v>
      </c>
      <c r="L5593" t="s">
        <v>6695</v>
      </c>
      <c r="N5593" t="s">
        <v>6706</v>
      </c>
      <c r="O5593" t="s">
        <v>6694</v>
      </c>
      <c r="W5593" t="s">
        <v>6720</v>
      </c>
    </row>
    <row r="5594" spans="1:23" ht="15.6" x14ac:dyDescent="0.4">
      <c r="A5594" s="2" t="s">
        <v>6419</v>
      </c>
      <c r="B5594" s="5" t="s">
        <v>11629</v>
      </c>
      <c r="C5594" s="7" t="s">
        <v>12556</v>
      </c>
      <c r="D5594" s="8">
        <f t="shared" si="352"/>
        <v>0</v>
      </c>
      <c r="E5594" s="7" t="s">
        <v>12557</v>
      </c>
      <c r="F5594" s="7">
        <f t="shared" si="353"/>
        <v>0</v>
      </c>
      <c r="G5594" s="7" t="s">
        <v>12558</v>
      </c>
      <c r="H5594" s="7">
        <f t="shared" si="354"/>
        <v>0</v>
      </c>
      <c r="I5594" s="7" t="str" cm="1">
        <f t="array" ref="I5594">IFERROR(_xlfn.IFS(M5594="נח",1,M5594="נע ונח",1,M5594="שני שווא נח",2,M5594="שני שוואים בסוף מילה",2,M5594="שני שוואים ברצף",1),"0")</f>
        <v>0</v>
      </c>
      <c r="J5594" s="9">
        <f t="shared" si="355"/>
        <v>2</v>
      </c>
      <c r="K5594" t="s">
        <v>6698</v>
      </c>
      <c r="L5594" t="s">
        <v>6695</v>
      </c>
      <c r="O5594" t="s">
        <v>6694</v>
      </c>
      <c r="S5594" t="s">
        <v>6694</v>
      </c>
      <c r="W5594" t="s">
        <v>6720</v>
      </c>
    </row>
    <row r="5595" spans="1:23" ht="15.6" x14ac:dyDescent="0.4">
      <c r="A5595" s="2" t="s">
        <v>5588</v>
      </c>
      <c r="B5595" s="5" t="s">
        <v>11630</v>
      </c>
      <c r="C5595" s="7" t="s">
        <v>12556</v>
      </c>
      <c r="D5595" s="8">
        <f t="shared" si="352"/>
        <v>0</v>
      </c>
      <c r="E5595" s="7" t="s">
        <v>12557</v>
      </c>
      <c r="F5595" s="7">
        <f t="shared" si="353"/>
        <v>0</v>
      </c>
      <c r="G5595" s="7" t="s">
        <v>12558</v>
      </c>
      <c r="H5595" s="7">
        <f t="shared" si="354"/>
        <v>0</v>
      </c>
      <c r="I5595" s="7" t="str" cm="1">
        <f t="array" ref="I5595">IFERROR(_xlfn.IFS(M5595="נח",1,M5595="נע ונח",1,M5595="שני שווא נח",2,M5595="שני שוואים בסוף מילה",2,M5595="שני שוואים ברצף",1),"0")</f>
        <v>0</v>
      </c>
      <c r="J5595" s="9">
        <f t="shared" si="355"/>
        <v>3</v>
      </c>
      <c r="K5595" t="s">
        <v>6697</v>
      </c>
      <c r="L5595" t="s">
        <v>6695</v>
      </c>
      <c r="N5595" t="s">
        <v>6707</v>
      </c>
      <c r="P5595" t="s">
        <v>6694</v>
      </c>
      <c r="Q5595" t="s">
        <v>6694</v>
      </c>
      <c r="V5595" t="s">
        <v>6694</v>
      </c>
      <c r="W5595" t="s">
        <v>6720</v>
      </c>
    </row>
    <row r="5596" spans="1:23" ht="15.6" x14ac:dyDescent="0.4">
      <c r="A5596" s="2" t="s">
        <v>3916</v>
      </c>
      <c r="B5596" s="5" t="s">
        <v>11631</v>
      </c>
      <c r="C5596" s="7" t="s">
        <v>12556</v>
      </c>
      <c r="D5596" s="8">
        <f t="shared" si="352"/>
        <v>1</v>
      </c>
      <c r="E5596" s="7" t="s">
        <v>12557</v>
      </c>
      <c r="F5596" s="7">
        <f t="shared" si="353"/>
        <v>0</v>
      </c>
      <c r="G5596" s="7" t="s">
        <v>12558</v>
      </c>
      <c r="H5596" s="7">
        <f t="shared" si="354"/>
        <v>0</v>
      </c>
      <c r="I5596" s="7" cm="1">
        <f t="array" ref="I5596">IFERROR(_xlfn.IFS(M5596="נח",1,M5596="נע ונח",1,M5596="שני שווא נח",2,M5596="שני שוואים בסוף מילה",2,M5596="שני שוואים ברצף",1),"0")</f>
        <v>1</v>
      </c>
      <c r="J5596" s="9">
        <f t="shared" si="355"/>
        <v>2</v>
      </c>
      <c r="K5596" t="s">
        <v>6698</v>
      </c>
      <c r="L5596" t="s">
        <v>6694</v>
      </c>
      <c r="M5596" t="s">
        <v>6705</v>
      </c>
      <c r="S5596" t="s">
        <v>6694</v>
      </c>
      <c r="V5596" t="s">
        <v>6694</v>
      </c>
      <c r="W5596" t="s">
        <v>6720</v>
      </c>
    </row>
    <row r="5597" spans="1:23" ht="15.6" x14ac:dyDescent="0.4">
      <c r="A5597" s="2" t="s">
        <v>942</v>
      </c>
      <c r="B5597" s="5" t="s">
        <v>11620</v>
      </c>
      <c r="C5597" s="7" t="s">
        <v>12556</v>
      </c>
      <c r="D5597" s="8">
        <f t="shared" si="352"/>
        <v>0</v>
      </c>
      <c r="E5597" s="7" t="s">
        <v>12557</v>
      </c>
      <c r="F5597" s="7">
        <f t="shared" si="353"/>
        <v>1</v>
      </c>
      <c r="G5597" s="7" t="s">
        <v>12558</v>
      </c>
      <c r="H5597" s="7">
        <f t="shared" si="354"/>
        <v>0</v>
      </c>
      <c r="I5597" s="7" t="str" cm="1">
        <f t="array" ref="I5597">IFERROR(_xlfn.IFS(M5597="נח",1,M5597="נע ונח",1,M5597="שני שווא נח",2,M5597="שני שוואים בסוף מילה",2,M5597="שני שוואים ברצף",1),"0")</f>
        <v>0</v>
      </c>
      <c r="J5597" s="9">
        <f t="shared" si="355"/>
        <v>2</v>
      </c>
      <c r="K5597" t="s">
        <v>6697</v>
      </c>
      <c r="L5597" t="s">
        <v>6694</v>
      </c>
      <c r="M5597" t="s">
        <v>6700</v>
      </c>
      <c r="Q5597" t="s">
        <v>6694</v>
      </c>
      <c r="W5597" t="s">
        <v>6720</v>
      </c>
    </row>
    <row r="5598" spans="1:23" ht="15.6" x14ac:dyDescent="0.4">
      <c r="A5598" s="2" t="s">
        <v>50</v>
      </c>
      <c r="B5598" s="5" t="s">
        <v>11632</v>
      </c>
      <c r="C5598" s="7" t="s">
        <v>12556</v>
      </c>
      <c r="D5598" s="8">
        <f t="shared" si="352"/>
        <v>0</v>
      </c>
      <c r="E5598" s="7" t="s">
        <v>12557</v>
      </c>
      <c r="F5598" s="7">
        <f t="shared" si="353"/>
        <v>1</v>
      </c>
      <c r="G5598" s="7" t="s">
        <v>12558</v>
      </c>
      <c r="H5598" s="7">
        <f t="shared" si="354"/>
        <v>0</v>
      </c>
      <c r="I5598" s="7" t="str" cm="1">
        <f t="array" ref="I5598">IFERROR(_xlfn.IFS(M5598="נח",1,M5598="נע ונח",1,M5598="שני שווא נח",2,M5598="שני שוואים בסוף מילה",2,M5598="שני שוואים ברצף",1),"0")</f>
        <v>0</v>
      </c>
      <c r="J5598" s="9">
        <f t="shared" si="355"/>
        <v>3</v>
      </c>
      <c r="K5598" t="s">
        <v>6697</v>
      </c>
      <c r="L5598" t="s">
        <v>6694</v>
      </c>
      <c r="M5598" t="s">
        <v>6700</v>
      </c>
      <c r="Q5598" t="s">
        <v>6694</v>
      </c>
      <c r="S5598" t="s">
        <v>6694</v>
      </c>
      <c r="W5598" t="s">
        <v>6720</v>
      </c>
    </row>
    <row r="5599" spans="1:23" ht="15.6" x14ac:dyDescent="0.4">
      <c r="A5599" s="2" t="s">
        <v>1172</v>
      </c>
      <c r="B5599" s="5" t="s">
        <v>11633</v>
      </c>
      <c r="C5599" s="7" t="s">
        <v>12556</v>
      </c>
      <c r="D5599" s="8">
        <f t="shared" si="352"/>
        <v>0</v>
      </c>
      <c r="E5599" s="7" t="s">
        <v>12557</v>
      </c>
      <c r="F5599" s="7">
        <f t="shared" si="353"/>
        <v>2</v>
      </c>
      <c r="G5599" s="7" t="s">
        <v>12558</v>
      </c>
      <c r="H5599" s="7">
        <f t="shared" si="354"/>
        <v>1</v>
      </c>
      <c r="I5599" s="7" t="str" cm="1">
        <f t="array" ref="I5599">IFERROR(_xlfn.IFS(M5599="נח",1,M5599="נע ונח",1,M5599="שני שווא נח",2,M5599="שני שוואים בסוף מילה",2,M5599="שני שוואים ברצף",1),"0")</f>
        <v>0</v>
      </c>
      <c r="J5599" s="9">
        <f t="shared" si="355"/>
        <v>2</v>
      </c>
      <c r="K5599" t="s">
        <v>6698</v>
      </c>
      <c r="L5599" t="s">
        <v>6694</v>
      </c>
      <c r="M5599" t="s">
        <v>6700</v>
      </c>
      <c r="U5599" t="s">
        <v>6694</v>
      </c>
      <c r="W5599" t="s">
        <v>6720</v>
      </c>
    </row>
    <row r="5600" spans="1:23" ht="15.6" x14ac:dyDescent="0.4">
      <c r="A5600" s="2" t="s">
        <v>5035</v>
      </c>
      <c r="B5600" s="5" t="s">
        <v>11634</v>
      </c>
      <c r="C5600" s="7" t="s">
        <v>12556</v>
      </c>
      <c r="D5600" s="8">
        <f t="shared" si="352"/>
        <v>0</v>
      </c>
      <c r="E5600" s="7" t="s">
        <v>12557</v>
      </c>
      <c r="F5600" s="7">
        <f t="shared" si="353"/>
        <v>1</v>
      </c>
      <c r="G5600" s="7" t="s">
        <v>12558</v>
      </c>
      <c r="H5600" s="7">
        <f t="shared" si="354"/>
        <v>0</v>
      </c>
      <c r="I5600" s="7" t="str" cm="1">
        <f t="array" ref="I5600">IFERROR(_xlfn.IFS(M5600="נח",1,M5600="נע ונח",1,M5600="שני שווא נח",2,M5600="שני שוואים בסוף מילה",2,M5600="שני שוואים ברצף",1),"0")</f>
        <v>0</v>
      </c>
      <c r="J5600" s="9">
        <f t="shared" si="355"/>
        <v>3</v>
      </c>
      <c r="K5600" t="s">
        <v>6697</v>
      </c>
      <c r="L5600" t="s">
        <v>6694</v>
      </c>
      <c r="M5600" t="s">
        <v>6700</v>
      </c>
      <c r="O5600" t="s">
        <v>6694</v>
      </c>
      <c r="S5600" t="s">
        <v>6694</v>
      </c>
      <c r="W5600" t="s">
        <v>6720</v>
      </c>
    </row>
    <row r="5601" spans="1:23" ht="15.6" x14ac:dyDescent="0.4">
      <c r="A5601" s="2" t="s">
        <v>4263</v>
      </c>
      <c r="B5601" s="5" t="s">
        <v>11600</v>
      </c>
      <c r="C5601" s="7" t="s">
        <v>12556</v>
      </c>
      <c r="D5601" s="8">
        <f t="shared" si="352"/>
        <v>1</v>
      </c>
      <c r="E5601" s="7" t="s">
        <v>12557</v>
      </c>
      <c r="F5601" s="7">
        <f t="shared" si="353"/>
        <v>1</v>
      </c>
      <c r="G5601" s="7" t="s">
        <v>12558</v>
      </c>
      <c r="H5601" s="7">
        <f t="shared" si="354"/>
        <v>0</v>
      </c>
      <c r="I5601" s="7" t="str" cm="1">
        <f t="array" ref="I5601">IFERROR(_xlfn.IFS(M5601="נח",1,M5601="נע ונח",1,M5601="שני שווא נח",2,M5601="שני שוואים בסוף מילה",2,M5601="שני שוואים ברצף",1),"0")</f>
        <v>0</v>
      </c>
      <c r="J5601" s="9">
        <f t="shared" si="355"/>
        <v>3</v>
      </c>
      <c r="K5601" t="s">
        <v>6698</v>
      </c>
      <c r="L5601" t="s">
        <v>6694</v>
      </c>
      <c r="M5601" t="s">
        <v>6700</v>
      </c>
      <c r="R5601" t="s">
        <v>6694</v>
      </c>
      <c r="W5601" t="s">
        <v>6720</v>
      </c>
    </row>
    <row r="5602" spans="1:23" ht="15.6" x14ac:dyDescent="0.4">
      <c r="A5602" s="2" t="s">
        <v>3772</v>
      </c>
      <c r="B5602" s="5" t="s">
        <v>11635</v>
      </c>
      <c r="C5602" s="7" t="s">
        <v>12556</v>
      </c>
      <c r="D5602" s="8">
        <f t="shared" si="352"/>
        <v>0</v>
      </c>
      <c r="E5602" s="7" t="s">
        <v>12557</v>
      </c>
      <c r="F5602" s="7">
        <f t="shared" si="353"/>
        <v>1</v>
      </c>
      <c r="G5602" s="7" t="s">
        <v>12558</v>
      </c>
      <c r="H5602" s="7">
        <f t="shared" si="354"/>
        <v>0</v>
      </c>
      <c r="I5602" s="7" t="str" cm="1">
        <f t="array" ref="I5602">IFERROR(_xlfn.IFS(M5602="נח",1,M5602="נע ונח",1,M5602="שני שווא נח",2,M5602="שני שוואים בסוף מילה",2,M5602="שני שוואים ברצף",1),"0")</f>
        <v>0</v>
      </c>
      <c r="J5602" s="9">
        <f t="shared" si="355"/>
        <v>3</v>
      </c>
      <c r="K5602" t="s">
        <v>6698</v>
      </c>
      <c r="L5602" t="s">
        <v>6694</v>
      </c>
      <c r="M5602" t="s">
        <v>6700</v>
      </c>
      <c r="N5602" t="s">
        <v>6706</v>
      </c>
      <c r="O5602" t="s">
        <v>6694</v>
      </c>
      <c r="W5602" t="s">
        <v>6720</v>
      </c>
    </row>
    <row r="5603" spans="1:23" ht="15.6" x14ac:dyDescent="0.4">
      <c r="A5603" s="2" t="s">
        <v>3737</v>
      </c>
      <c r="B5603" s="5" t="s">
        <v>11636</v>
      </c>
      <c r="C5603" s="7" t="s">
        <v>12556</v>
      </c>
      <c r="D5603" s="8">
        <f t="shared" si="352"/>
        <v>0</v>
      </c>
      <c r="E5603" s="7" t="s">
        <v>12557</v>
      </c>
      <c r="F5603" s="7">
        <f t="shared" si="353"/>
        <v>1</v>
      </c>
      <c r="G5603" s="7" t="s">
        <v>12558</v>
      </c>
      <c r="H5603" s="7">
        <f t="shared" si="354"/>
        <v>0</v>
      </c>
      <c r="I5603" s="7" t="str" cm="1">
        <f t="array" ref="I5603">IFERROR(_xlfn.IFS(M5603="נח",1,M5603="נע ונח",1,M5603="שני שווא נח",2,M5603="שני שוואים בסוף מילה",2,M5603="שני שוואים ברצף",1),"0")</f>
        <v>0</v>
      </c>
      <c r="J5603" s="9">
        <f t="shared" si="355"/>
        <v>3</v>
      </c>
      <c r="K5603" t="s">
        <v>6697</v>
      </c>
      <c r="L5603" t="s">
        <v>6694</v>
      </c>
      <c r="M5603" t="s">
        <v>6700</v>
      </c>
      <c r="O5603" t="s">
        <v>6694</v>
      </c>
      <c r="S5603" t="s">
        <v>6694</v>
      </c>
      <c r="W5603" t="s">
        <v>6720</v>
      </c>
    </row>
    <row r="5604" spans="1:23" ht="15.6" x14ac:dyDescent="0.4">
      <c r="A5604" s="2" t="s">
        <v>923</v>
      </c>
      <c r="B5604" s="5" t="s">
        <v>11623</v>
      </c>
      <c r="C5604" s="7" t="s">
        <v>12556</v>
      </c>
      <c r="D5604" s="8">
        <f t="shared" si="352"/>
        <v>0</v>
      </c>
      <c r="E5604" s="7" t="s">
        <v>12557</v>
      </c>
      <c r="F5604" s="7">
        <f t="shared" si="353"/>
        <v>1</v>
      </c>
      <c r="G5604" s="7" t="s">
        <v>12558</v>
      </c>
      <c r="H5604" s="7">
        <f t="shared" si="354"/>
        <v>0</v>
      </c>
      <c r="I5604" s="7" t="str" cm="1">
        <f t="array" ref="I5604">IFERROR(_xlfn.IFS(M5604="נח",1,M5604="נע ונח",1,M5604="שני שווא נח",2,M5604="שני שוואים בסוף מילה",2,M5604="שני שוואים ברצף",1),"0")</f>
        <v>0</v>
      </c>
      <c r="J5604" s="9">
        <f t="shared" si="355"/>
        <v>2</v>
      </c>
      <c r="K5604" t="s">
        <v>6697</v>
      </c>
      <c r="L5604" t="s">
        <v>6694</v>
      </c>
      <c r="M5604" t="s">
        <v>6700</v>
      </c>
      <c r="Q5604" t="s">
        <v>6694</v>
      </c>
      <c r="W5604" t="s">
        <v>6720</v>
      </c>
    </row>
    <row r="5605" spans="1:23" ht="15.6" x14ac:dyDescent="0.4">
      <c r="A5605" s="2" t="s">
        <v>1852</v>
      </c>
      <c r="B5605" s="5" t="s">
        <v>11624</v>
      </c>
      <c r="C5605" s="7" t="s">
        <v>12556</v>
      </c>
      <c r="D5605" s="8">
        <f t="shared" si="352"/>
        <v>0</v>
      </c>
      <c r="E5605" s="7" t="s">
        <v>12557</v>
      </c>
      <c r="F5605" s="7">
        <f t="shared" si="353"/>
        <v>1</v>
      </c>
      <c r="G5605" s="7" t="s">
        <v>12558</v>
      </c>
      <c r="H5605" s="7">
        <f t="shared" si="354"/>
        <v>0</v>
      </c>
      <c r="I5605" s="7" t="str" cm="1">
        <f t="array" ref="I5605">IFERROR(_xlfn.IFS(M5605="נח",1,M5605="נע ונח",1,M5605="שני שווא נח",2,M5605="שני שוואים בסוף מילה",2,M5605="שני שוואים ברצף",1),"0")</f>
        <v>0</v>
      </c>
      <c r="J5605" s="9">
        <f t="shared" si="355"/>
        <v>2</v>
      </c>
      <c r="K5605" t="s">
        <v>6698</v>
      </c>
      <c r="L5605" t="s">
        <v>6694</v>
      </c>
      <c r="M5605" t="s">
        <v>6700</v>
      </c>
      <c r="Q5605" t="s">
        <v>6694</v>
      </c>
      <c r="W5605" t="s">
        <v>6720</v>
      </c>
    </row>
    <row r="5606" spans="1:23" ht="15.6" x14ac:dyDescent="0.4">
      <c r="A5606" s="2" t="s">
        <v>6343</v>
      </c>
      <c r="B5606" s="5" t="s">
        <v>11637</v>
      </c>
      <c r="C5606" s="7" t="s">
        <v>12556</v>
      </c>
      <c r="D5606" s="8">
        <f t="shared" si="352"/>
        <v>0</v>
      </c>
      <c r="E5606" s="7" t="s">
        <v>12557</v>
      </c>
      <c r="F5606" s="7">
        <f t="shared" si="353"/>
        <v>1</v>
      </c>
      <c r="G5606" s="7" t="s">
        <v>12558</v>
      </c>
      <c r="H5606" s="7">
        <f t="shared" si="354"/>
        <v>0</v>
      </c>
      <c r="I5606" s="7" t="str" cm="1">
        <f t="array" ref="I5606">IFERROR(_xlfn.IFS(M5606="נח",1,M5606="נע ונח",1,M5606="שני שווא נח",2,M5606="שני שוואים בסוף מילה",2,M5606="שני שוואים ברצף",1),"0")</f>
        <v>0</v>
      </c>
      <c r="J5606" s="9">
        <f t="shared" si="355"/>
        <v>3</v>
      </c>
      <c r="K5606" t="s">
        <v>6698</v>
      </c>
      <c r="L5606" t="s">
        <v>6694</v>
      </c>
      <c r="M5606" t="s">
        <v>6700</v>
      </c>
      <c r="Q5606" t="s">
        <v>6694</v>
      </c>
      <c r="R5606" t="s">
        <v>6694</v>
      </c>
      <c r="W5606" t="s">
        <v>6720</v>
      </c>
    </row>
    <row r="5607" spans="1:23" ht="15.6" x14ac:dyDescent="0.4">
      <c r="A5607" s="2" t="s">
        <v>6564</v>
      </c>
      <c r="B5607" s="5" t="s">
        <v>11638</v>
      </c>
      <c r="C5607" s="7" t="s">
        <v>12556</v>
      </c>
      <c r="D5607" s="8">
        <f t="shared" si="352"/>
        <v>0</v>
      </c>
      <c r="E5607" s="7" t="s">
        <v>12557</v>
      </c>
      <c r="F5607" s="7">
        <f t="shared" si="353"/>
        <v>1</v>
      </c>
      <c r="G5607" s="7" t="s">
        <v>12558</v>
      </c>
      <c r="H5607" s="7">
        <f t="shared" si="354"/>
        <v>0</v>
      </c>
      <c r="I5607" s="7" t="str" cm="1">
        <f t="array" ref="I5607">IFERROR(_xlfn.IFS(M5607="נח",1,M5607="נע ונח",1,M5607="שני שווא נח",2,M5607="שני שוואים בסוף מילה",2,M5607="שני שוואים ברצף",1),"0")</f>
        <v>0</v>
      </c>
      <c r="J5607" s="9">
        <f t="shared" si="355"/>
        <v>3</v>
      </c>
      <c r="K5607" t="s">
        <v>6698</v>
      </c>
      <c r="L5607" t="s">
        <v>6694</v>
      </c>
      <c r="M5607" t="s">
        <v>6700</v>
      </c>
      <c r="N5607" t="s">
        <v>6706</v>
      </c>
      <c r="O5607" t="s">
        <v>6694</v>
      </c>
      <c r="W5607" t="s">
        <v>6720</v>
      </c>
    </row>
    <row r="5608" spans="1:23" ht="15.6" x14ac:dyDescent="0.4">
      <c r="A5608" s="2" t="s">
        <v>4165</v>
      </c>
      <c r="B5608" s="5" t="s">
        <v>11639</v>
      </c>
      <c r="C5608" s="7" t="s">
        <v>12556</v>
      </c>
      <c r="D5608" s="8">
        <f t="shared" si="352"/>
        <v>0</v>
      </c>
      <c r="E5608" s="7" t="s">
        <v>12557</v>
      </c>
      <c r="F5608" s="7">
        <f t="shared" si="353"/>
        <v>1</v>
      </c>
      <c r="G5608" s="7" t="s">
        <v>12558</v>
      </c>
      <c r="H5608" s="7">
        <f t="shared" si="354"/>
        <v>0</v>
      </c>
      <c r="I5608" s="7" t="str" cm="1">
        <f t="array" ref="I5608">IFERROR(_xlfn.IFS(M5608="נח",1,M5608="נע ונח",1,M5608="שני שווא נח",2,M5608="שני שוואים בסוף מילה",2,M5608="שני שוואים ברצף",1),"0")</f>
        <v>0</v>
      </c>
      <c r="J5608" s="9">
        <f t="shared" si="355"/>
        <v>3</v>
      </c>
      <c r="K5608" t="s">
        <v>6698</v>
      </c>
      <c r="L5608" t="s">
        <v>6694</v>
      </c>
      <c r="M5608" t="s">
        <v>6700</v>
      </c>
      <c r="N5608" t="s">
        <v>6706</v>
      </c>
      <c r="O5608" t="s">
        <v>6694</v>
      </c>
      <c r="W5608" t="s">
        <v>6720</v>
      </c>
    </row>
    <row r="5609" spans="1:23" ht="15.6" x14ac:dyDescent="0.4">
      <c r="A5609" s="2" t="s">
        <v>5000</v>
      </c>
      <c r="B5609" s="5" t="s">
        <v>11640</v>
      </c>
      <c r="C5609" s="7" t="s">
        <v>12556</v>
      </c>
      <c r="D5609" s="8">
        <f t="shared" si="352"/>
        <v>0</v>
      </c>
      <c r="E5609" s="7" t="s">
        <v>12557</v>
      </c>
      <c r="F5609" s="7">
        <f t="shared" si="353"/>
        <v>2</v>
      </c>
      <c r="G5609" s="7" t="s">
        <v>12558</v>
      </c>
      <c r="H5609" s="7">
        <f t="shared" si="354"/>
        <v>0</v>
      </c>
      <c r="I5609" s="7" t="str" cm="1">
        <f t="array" ref="I5609">IFERROR(_xlfn.IFS(M5609="נח",1,M5609="נע ונח",1,M5609="שני שווא נח",2,M5609="שני שוואים בסוף מילה",2,M5609="שני שוואים ברצף",1),"0")</f>
        <v>0</v>
      </c>
      <c r="J5609" s="9">
        <f t="shared" si="355"/>
        <v>3</v>
      </c>
      <c r="K5609" t="s">
        <v>6698</v>
      </c>
      <c r="L5609" t="s">
        <v>6694</v>
      </c>
      <c r="M5609" t="s">
        <v>6700</v>
      </c>
      <c r="P5609" t="s">
        <v>6694</v>
      </c>
      <c r="T5609" t="s">
        <v>6694</v>
      </c>
      <c r="W5609" t="s">
        <v>6720</v>
      </c>
    </row>
    <row r="5610" spans="1:23" ht="15.6" x14ac:dyDescent="0.4">
      <c r="A5610" s="2" t="s">
        <v>2680</v>
      </c>
      <c r="B5610" s="5" t="s">
        <v>11640</v>
      </c>
      <c r="C5610" s="7" t="s">
        <v>12556</v>
      </c>
      <c r="D5610" s="8">
        <f t="shared" si="352"/>
        <v>0</v>
      </c>
      <c r="E5610" s="7" t="s">
        <v>12557</v>
      </c>
      <c r="F5610" s="7">
        <f t="shared" si="353"/>
        <v>2</v>
      </c>
      <c r="G5610" s="7" t="s">
        <v>12558</v>
      </c>
      <c r="H5610" s="7">
        <f t="shared" si="354"/>
        <v>0</v>
      </c>
      <c r="I5610" s="7" t="str" cm="1">
        <f t="array" ref="I5610">IFERROR(_xlfn.IFS(M5610="נח",1,M5610="נע ונח",1,M5610="שני שווא נח",2,M5610="שני שוואים בסוף מילה",2,M5610="שני שוואים ברצף",1),"0")</f>
        <v>0</v>
      </c>
      <c r="J5610" s="9">
        <f t="shared" si="355"/>
        <v>3</v>
      </c>
      <c r="K5610" t="s">
        <v>6698</v>
      </c>
      <c r="L5610" t="s">
        <v>6694</v>
      </c>
      <c r="M5610" t="s">
        <v>6700</v>
      </c>
      <c r="T5610" t="s">
        <v>6694</v>
      </c>
      <c r="V5610" t="s">
        <v>6694</v>
      </c>
      <c r="W5610" t="s">
        <v>6720</v>
      </c>
    </row>
    <row r="5611" spans="1:23" ht="15.6" x14ac:dyDescent="0.4">
      <c r="A5611" s="2" t="s">
        <v>1125</v>
      </c>
      <c r="B5611" s="5" t="s">
        <v>11641</v>
      </c>
      <c r="C5611" s="7" t="s">
        <v>12556</v>
      </c>
      <c r="D5611" s="8">
        <f t="shared" si="352"/>
        <v>0</v>
      </c>
      <c r="E5611" s="7" t="s">
        <v>12557</v>
      </c>
      <c r="F5611" s="7">
        <f t="shared" si="353"/>
        <v>1</v>
      </c>
      <c r="G5611" s="7" t="s">
        <v>12558</v>
      </c>
      <c r="H5611" s="7">
        <f t="shared" si="354"/>
        <v>0</v>
      </c>
      <c r="I5611" s="7" t="str" cm="1">
        <f t="array" ref="I5611">IFERROR(_xlfn.IFS(M5611="נח",1,M5611="נע ונח",1,M5611="שני שווא נח",2,M5611="שני שוואים בסוף מילה",2,M5611="שני שוואים ברצף",1),"0")</f>
        <v>0</v>
      </c>
      <c r="J5611" s="9">
        <f t="shared" si="355"/>
        <v>2</v>
      </c>
      <c r="K5611" t="s">
        <v>6698</v>
      </c>
      <c r="L5611" t="s">
        <v>6694</v>
      </c>
      <c r="M5611" t="s">
        <v>6700</v>
      </c>
      <c r="V5611" t="s">
        <v>6694</v>
      </c>
      <c r="W5611" t="s">
        <v>6720</v>
      </c>
    </row>
    <row r="5612" spans="1:23" ht="15.6" x14ac:dyDescent="0.4">
      <c r="A5612" s="2" t="s">
        <v>2932</v>
      </c>
      <c r="B5612" s="5" t="s">
        <v>11642</v>
      </c>
      <c r="C5612" s="7" t="s">
        <v>12556</v>
      </c>
      <c r="D5612" s="8">
        <f t="shared" si="352"/>
        <v>0</v>
      </c>
      <c r="E5612" s="7" t="s">
        <v>12557</v>
      </c>
      <c r="F5612" s="7">
        <f t="shared" si="353"/>
        <v>1</v>
      </c>
      <c r="G5612" s="7" t="s">
        <v>12558</v>
      </c>
      <c r="H5612" s="7">
        <f t="shared" si="354"/>
        <v>0</v>
      </c>
      <c r="I5612" s="7" t="str" cm="1">
        <f t="array" ref="I5612">IFERROR(_xlfn.IFS(M5612="נח",1,M5612="נע ונח",1,M5612="שני שווא נח",2,M5612="שני שוואים בסוף מילה",2,M5612="שני שוואים ברצף",1),"0")</f>
        <v>0</v>
      </c>
      <c r="J5612" s="9">
        <f t="shared" si="355"/>
        <v>3</v>
      </c>
      <c r="K5612" t="s">
        <v>6697</v>
      </c>
      <c r="L5612" t="s">
        <v>6694</v>
      </c>
      <c r="M5612" t="s">
        <v>6700</v>
      </c>
      <c r="Q5612" t="s">
        <v>6694</v>
      </c>
      <c r="S5612" t="s">
        <v>6694</v>
      </c>
      <c r="W5612" t="s">
        <v>6720</v>
      </c>
    </row>
    <row r="5613" spans="1:23" ht="15.6" x14ac:dyDescent="0.4">
      <c r="A5613" s="2" t="s">
        <v>4238</v>
      </c>
      <c r="B5613" s="5" t="s">
        <v>11643</v>
      </c>
      <c r="C5613" s="7" t="s">
        <v>12556</v>
      </c>
      <c r="D5613" s="8">
        <f t="shared" si="352"/>
        <v>0</v>
      </c>
      <c r="E5613" s="7" t="s">
        <v>12557</v>
      </c>
      <c r="F5613" s="7">
        <f t="shared" si="353"/>
        <v>3</v>
      </c>
      <c r="G5613" s="7" t="s">
        <v>12558</v>
      </c>
      <c r="H5613" s="7">
        <f t="shared" si="354"/>
        <v>0</v>
      </c>
      <c r="I5613" s="7" cm="1">
        <f t="array" ref="I5613">IFERROR(_xlfn.IFS(M5613="נח",1,M5613="נע ונח",1,M5613="שני שווא נח",2,M5613="שני שוואים בסוף מילה",2,M5613="שני שוואים ברצף",1),"0")</f>
        <v>1</v>
      </c>
      <c r="J5613" s="9">
        <f t="shared" si="355"/>
        <v>3</v>
      </c>
      <c r="K5613" t="s">
        <v>6697</v>
      </c>
      <c r="L5613" t="s">
        <v>6694</v>
      </c>
      <c r="M5613" t="s">
        <v>6701</v>
      </c>
      <c r="N5613" t="s">
        <v>6706</v>
      </c>
      <c r="O5613" t="s">
        <v>6694</v>
      </c>
      <c r="P5613" t="s">
        <v>6694</v>
      </c>
      <c r="W5613" t="s">
        <v>6720</v>
      </c>
    </row>
    <row r="5614" spans="1:23" ht="15.6" x14ac:dyDescent="0.4">
      <c r="A5614" s="2" t="s">
        <v>4965</v>
      </c>
      <c r="B5614" s="5" t="s">
        <v>11644</v>
      </c>
      <c r="C5614" s="7" t="s">
        <v>12556</v>
      </c>
      <c r="D5614" s="8">
        <f t="shared" si="352"/>
        <v>0</v>
      </c>
      <c r="E5614" s="7" t="s">
        <v>12557</v>
      </c>
      <c r="F5614" s="7">
        <f t="shared" si="353"/>
        <v>2</v>
      </c>
      <c r="G5614" s="7" t="s">
        <v>12558</v>
      </c>
      <c r="H5614" s="7">
        <f t="shared" si="354"/>
        <v>0</v>
      </c>
      <c r="I5614" s="7" t="str" cm="1">
        <f t="array" ref="I5614">IFERROR(_xlfn.IFS(M5614="נח",1,M5614="נע ונח",1,M5614="שני שווא נח",2,M5614="שני שוואים בסוף מילה",2,M5614="שני שוואים ברצף",1),"0")</f>
        <v>0</v>
      </c>
      <c r="J5614" s="9">
        <f t="shared" si="355"/>
        <v>4</v>
      </c>
      <c r="K5614" t="s">
        <v>6697</v>
      </c>
      <c r="L5614" t="s">
        <v>6694</v>
      </c>
      <c r="M5614" t="s">
        <v>6700</v>
      </c>
      <c r="O5614" t="s">
        <v>6694</v>
      </c>
      <c r="T5614" t="s">
        <v>6694</v>
      </c>
      <c r="V5614" t="s">
        <v>6694</v>
      </c>
      <c r="W5614" t="s">
        <v>6720</v>
      </c>
    </row>
    <row r="5615" spans="1:23" ht="15.6" x14ac:dyDescent="0.4">
      <c r="A5615" s="2" t="s">
        <v>1423</v>
      </c>
      <c r="B5615" s="5" t="s">
        <v>11645</v>
      </c>
      <c r="C5615" s="7" t="s">
        <v>12556</v>
      </c>
      <c r="D5615" s="8">
        <f t="shared" si="352"/>
        <v>0</v>
      </c>
      <c r="E5615" s="7" t="s">
        <v>12557</v>
      </c>
      <c r="F5615" s="7">
        <f t="shared" si="353"/>
        <v>1</v>
      </c>
      <c r="G5615" s="7" t="s">
        <v>12558</v>
      </c>
      <c r="H5615" s="7">
        <f t="shared" si="354"/>
        <v>0</v>
      </c>
      <c r="I5615" s="7" t="str" cm="1">
        <f t="array" ref="I5615">IFERROR(_xlfn.IFS(M5615="נח",1,M5615="נע ונח",1,M5615="שני שווא נח",2,M5615="שני שוואים בסוף מילה",2,M5615="שני שוואים ברצף",1),"0")</f>
        <v>0</v>
      </c>
      <c r="J5615" s="9">
        <f t="shared" si="355"/>
        <v>2</v>
      </c>
      <c r="K5615" t="s">
        <v>6697</v>
      </c>
      <c r="L5615" t="s">
        <v>6694</v>
      </c>
      <c r="M5615" t="s">
        <v>6700</v>
      </c>
      <c r="S5615" t="s">
        <v>6694</v>
      </c>
      <c r="W5615" t="s">
        <v>6720</v>
      </c>
    </row>
    <row r="5616" spans="1:23" ht="15.6" x14ac:dyDescent="0.4">
      <c r="A5616" s="2" t="s">
        <v>4365</v>
      </c>
      <c r="B5616" s="5" t="s">
        <v>11646</v>
      </c>
      <c r="C5616" s="7" t="s">
        <v>12556</v>
      </c>
      <c r="D5616" s="8">
        <f t="shared" si="352"/>
        <v>1</v>
      </c>
      <c r="E5616" s="7" t="s">
        <v>12557</v>
      </c>
      <c r="F5616" s="7">
        <f t="shared" si="353"/>
        <v>2</v>
      </c>
      <c r="G5616" s="7" t="s">
        <v>12558</v>
      </c>
      <c r="H5616" s="7">
        <f t="shared" si="354"/>
        <v>1</v>
      </c>
      <c r="I5616" s="7" t="str" cm="1">
        <f t="array" ref="I5616">IFERROR(_xlfn.IFS(M5616="נח",1,M5616="נע ונח",1,M5616="שני שווא נח",2,M5616="שני שוואים בסוף מילה",2,M5616="שני שוואים ברצף",1),"0")</f>
        <v>0</v>
      </c>
      <c r="J5616" s="9">
        <f t="shared" si="355"/>
        <v>4</v>
      </c>
      <c r="K5616" t="s">
        <v>6697</v>
      </c>
      <c r="L5616" t="s">
        <v>6694</v>
      </c>
      <c r="M5616" t="s">
        <v>6700</v>
      </c>
      <c r="O5616" t="s">
        <v>6694</v>
      </c>
      <c r="Q5616" t="s">
        <v>6694</v>
      </c>
      <c r="U5616" t="s">
        <v>6694</v>
      </c>
      <c r="W5616" t="s">
        <v>6720</v>
      </c>
    </row>
    <row r="5617" spans="1:23" ht="15.6" x14ac:dyDescent="0.4">
      <c r="A5617" s="2" t="s">
        <v>3467</v>
      </c>
      <c r="B5617" s="5" t="s">
        <v>11604</v>
      </c>
      <c r="C5617" s="7" t="s">
        <v>12556</v>
      </c>
      <c r="D5617" s="8">
        <f t="shared" si="352"/>
        <v>1</v>
      </c>
      <c r="E5617" s="7" t="s">
        <v>12557</v>
      </c>
      <c r="F5617" s="7">
        <f t="shared" si="353"/>
        <v>1</v>
      </c>
      <c r="G5617" s="7" t="s">
        <v>12558</v>
      </c>
      <c r="H5617" s="7">
        <f t="shared" si="354"/>
        <v>0</v>
      </c>
      <c r="I5617" s="7" t="str" cm="1">
        <f t="array" ref="I5617">IFERROR(_xlfn.IFS(M5617="נח",1,M5617="נע ונח",1,M5617="שני שווא נח",2,M5617="שני שוואים בסוף מילה",2,M5617="שני שוואים ברצף",1),"0")</f>
        <v>0</v>
      </c>
      <c r="J5617" s="9">
        <f t="shared" si="355"/>
        <v>3</v>
      </c>
      <c r="K5617" t="s">
        <v>6698</v>
      </c>
      <c r="L5617" t="s">
        <v>6694</v>
      </c>
      <c r="M5617" t="s">
        <v>6700</v>
      </c>
      <c r="O5617" t="s">
        <v>6694</v>
      </c>
      <c r="P5617" t="s">
        <v>6694</v>
      </c>
      <c r="W5617" t="s">
        <v>6720</v>
      </c>
    </row>
    <row r="5618" spans="1:23" ht="15.6" x14ac:dyDescent="0.4">
      <c r="A5618" s="2" t="s">
        <v>342</v>
      </c>
      <c r="B5618" s="5" t="s">
        <v>11647</v>
      </c>
      <c r="C5618" s="7" t="s">
        <v>12556</v>
      </c>
      <c r="D5618" s="8">
        <f t="shared" si="352"/>
        <v>0</v>
      </c>
      <c r="E5618" s="7" t="s">
        <v>12557</v>
      </c>
      <c r="F5618" s="7">
        <f t="shared" si="353"/>
        <v>1</v>
      </c>
      <c r="G5618" s="7" t="s">
        <v>12558</v>
      </c>
      <c r="H5618" s="7">
        <f t="shared" si="354"/>
        <v>0</v>
      </c>
      <c r="I5618" s="7" t="str" cm="1">
        <f t="array" ref="I5618">IFERROR(_xlfn.IFS(M5618="נח",1,M5618="נע ונח",1,M5618="שני שווא נח",2,M5618="שני שוואים בסוף מילה",2,M5618="שני שוואים ברצף",1),"0")</f>
        <v>0</v>
      </c>
      <c r="J5618" s="9">
        <f t="shared" si="355"/>
        <v>3</v>
      </c>
      <c r="K5618" t="s">
        <v>6698</v>
      </c>
      <c r="L5618" t="s">
        <v>6694</v>
      </c>
      <c r="M5618" t="s">
        <v>6700</v>
      </c>
      <c r="O5618" t="s">
        <v>6694</v>
      </c>
      <c r="S5618" t="s">
        <v>6694</v>
      </c>
      <c r="W5618" t="s">
        <v>6720</v>
      </c>
    </row>
    <row r="5619" spans="1:23" ht="15.6" x14ac:dyDescent="0.4">
      <c r="A5619" s="2" t="s">
        <v>3830</v>
      </c>
      <c r="B5619" s="5" t="s">
        <v>11648</v>
      </c>
      <c r="C5619" s="7" t="s">
        <v>12556</v>
      </c>
      <c r="D5619" s="8">
        <f t="shared" si="352"/>
        <v>0</v>
      </c>
      <c r="E5619" s="7" t="s">
        <v>12557</v>
      </c>
      <c r="F5619" s="7">
        <f t="shared" si="353"/>
        <v>1</v>
      </c>
      <c r="G5619" s="7" t="s">
        <v>12558</v>
      </c>
      <c r="H5619" s="7">
        <f t="shared" si="354"/>
        <v>0</v>
      </c>
      <c r="I5619" s="7" cm="1">
        <f t="array" ref="I5619">IFERROR(_xlfn.IFS(M5619="נח",1,M5619="נע ונח",1,M5619="שני שווא נח",2,M5619="שני שוואים בסוף מילה",2,M5619="שני שוואים ברצף",1),"0")</f>
        <v>1</v>
      </c>
      <c r="J5619" s="9">
        <f t="shared" si="355"/>
        <v>2</v>
      </c>
      <c r="K5619" t="s">
        <v>6698</v>
      </c>
      <c r="L5619" t="s">
        <v>6694</v>
      </c>
      <c r="M5619" t="s">
        <v>6705</v>
      </c>
      <c r="S5619" t="s">
        <v>6694</v>
      </c>
      <c r="V5619" t="s">
        <v>6694</v>
      </c>
      <c r="W5619" t="s">
        <v>6720</v>
      </c>
    </row>
    <row r="5620" spans="1:23" ht="15.6" x14ac:dyDescent="0.4">
      <c r="A5620" s="2" t="s">
        <v>1205</v>
      </c>
      <c r="B5620" s="5" t="s">
        <v>11649</v>
      </c>
      <c r="C5620" s="7" t="s">
        <v>12556</v>
      </c>
      <c r="D5620" s="8">
        <f t="shared" si="352"/>
        <v>0</v>
      </c>
      <c r="E5620" s="7" t="s">
        <v>12557</v>
      </c>
      <c r="F5620" s="7">
        <f t="shared" si="353"/>
        <v>2</v>
      </c>
      <c r="G5620" s="7" t="s">
        <v>12558</v>
      </c>
      <c r="H5620" s="7">
        <f t="shared" si="354"/>
        <v>0</v>
      </c>
      <c r="I5620" s="7" t="str" cm="1">
        <f t="array" ref="I5620">IFERROR(_xlfn.IFS(M5620="נח",1,M5620="נע ונח",1,M5620="שני שווא נח",2,M5620="שני שוואים בסוף מילה",2,M5620="שני שוואים ברצף",1),"0")</f>
        <v>0</v>
      </c>
      <c r="J5620" s="9">
        <f t="shared" si="355"/>
        <v>2</v>
      </c>
      <c r="K5620" t="s">
        <v>6698</v>
      </c>
      <c r="L5620" t="s">
        <v>6695</v>
      </c>
      <c r="P5620" t="s">
        <v>6694</v>
      </c>
      <c r="S5620" t="s">
        <v>6694</v>
      </c>
      <c r="W5620" t="s">
        <v>6720</v>
      </c>
    </row>
    <row r="5621" spans="1:23" ht="15.6" x14ac:dyDescent="0.4">
      <c r="A5621" s="2" t="s">
        <v>5808</v>
      </c>
      <c r="B5621" s="5" t="s">
        <v>11650</v>
      </c>
      <c r="C5621" s="7" t="s">
        <v>12556</v>
      </c>
      <c r="D5621" s="8">
        <f t="shared" si="352"/>
        <v>0</v>
      </c>
      <c r="E5621" s="7" t="s">
        <v>12557</v>
      </c>
      <c r="F5621" s="7">
        <f t="shared" si="353"/>
        <v>3</v>
      </c>
      <c r="G5621" s="7" t="s">
        <v>12558</v>
      </c>
      <c r="H5621" s="7">
        <f t="shared" si="354"/>
        <v>0</v>
      </c>
      <c r="I5621" s="7" cm="1">
        <f t="array" ref="I5621">IFERROR(_xlfn.IFS(M5621="נח",1,M5621="נע ונח",1,M5621="שני שווא נח",2,M5621="שני שוואים בסוף מילה",2,M5621="שני שוואים ברצף",1),"0")</f>
        <v>1</v>
      </c>
      <c r="J5621" s="9">
        <f t="shared" si="355"/>
        <v>3</v>
      </c>
      <c r="K5621" t="s">
        <v>6698</v>
      </c>
      <c r="L5621" t="s">
        <v>6694</v>
      </c>
      <c r="M5621" t="s">
        <v>6705</v>
      </c>
      <c r="O5621" t="s">
        <v>6694</v>
      </c>
      <c r="P5621" t="s">
        <v>6694</v>
      </c>
      <c r="S5621" t="s">
        <v>6694</v>
      </c>
      <c r="W5621" t="s">
        <v>6720</v>
      </c>
    </row>
    <row r="5622" spans="1:23" ht="15.6" x14ac:dyDescent="0.4">
      <c r="A5622" s="2" t="s">
        <v>510</v>
      </c>
      <c r="B5622" s="5" t="s">
        <v>11606</v>
      </c>
      <c r="C5622" s="7" t="s">
        <v>12556</v>
      </c>
      <c r="D5622" s="8">
        <f t="shared" si="352"/>
        <v>0</v>
      </c>
      <c r="E5622" s="7" t="s">
        <v>12557</v>
      </c>
      <c r="F5622" s="7">
        <f t="shared" si="353"/>
        <v>1</v>
      </c>
      <c r="G5622" s="7" t="s">
        <v>12558</v>
      </c>
      <c r="H5622" s="7">
        <f t="shared" si="354"/>
        <v>0</v>
      </c>
      <c r="I5622" s="7" t="str" cm="1">
        <f t="array" ref="I5622">IFERROR(_xlfn.IFS(M5622="נח",1,M5622="נע ונח",1,M5622="שני שווא נח",2,M5622="שני שוואים בסוף מילה",2,M5622="שני שוואים ברצף",1),"0")</f>
        <v>0</v>
      </c>
      <c r="J5622" s="9">
        <f t="shared" si="355"/>
        <v>1</v>
      </c>
      <c r="K5622" t="s">
        <v>6697</v>
      </c>
      <c r="L5622" t="s">
        <v>6695</v>
      </c>
      <c r="S5622" t="s">
        <v>6694</v>
      </c>
      <c r="W5622" t="s">
        <v>6720</v>
      </c>
    </row>
    <row r="5623" spans="1:23" ht="15.6" x14ac:dyDescent="0.4">
      <c r="A5623" s="2" t="s">
        <v>2095</v>
      </c>
      <c r="B5623" s="5" t="s">
        <v>11651</v>
      </c>
      <c r="C5623" s="7" t="s">
        <v>12556</v>
      </c>
      <c r="D5623" s="8">
        <f t="shared" si="352"/>
        <v>0</v>
      </c>
      <c r="E5623" s="7" t="s">
        <v>12557</v>
      </c>
      <c r="F5623" s="7">
        <f t="shared" si="353"/>
        <v>1</v>
      </c>
      <c r="G5623" s="7" t="s">
        <v>12558</v>
      </c>
      <c r="H5623" s="7">
        <f t="shared" si="354"/>
        <v>0</v>
      </c>
      <c r="I5623" s="7" t="str" cm="1">
        <f t="array" ref="I5623">IFERROR(_xlfn.IFS(M5623="נח",1,M5623="נע ונח",1,M5623="שני שווא נח",2,M5623="שני שוואים בסוף מילה",2,M5623="שני שוואים ברצף",1),"0")</f>
        <v>0</v>
      </c>
      <c r="J5623" s="9">
        <f t="shared" si="355"/>
        <v>2</v>
      </c>
      <c r="K5623" t="s">
        <v>6698</v>
      </c>
      <c r="L5623" t="s">
        <v>6695</v>
      </c>
      <c r="R5623" t="s">
        <v>6694</v>
      </c>
      <c r="S5623" t="s">
        <v>6694</v>
      </c>
      <c r="W5623" t="s">
        <v>6720</v>
      </c>
    </row>
    <row r="5624" spans="1:23" ht="15.6" x14ac:dyDescent="0.4">
      <c r="A5624" s="2" t="s">
        <v>6498</v>
      </c>
      <c r="B5624" s="5" t="s">
        <v>11652</v>
      </c>
      <c r="C5624" s="7" t="s">
        <v>12556</v>
      </c>
      <c r="D5624" s="8">
        <f t="shared" si="352"/>
        <v>0</v>
      </c>
      <c r="E5624" s="7" t="s">
        <v>12557</v>
      </c>
      <c r="F5624" s="7">
        <f t="shared" si="353"/>
        <v>1</v>
      </c>
      <c r="G5624" s="7" t="s">
        <v>12558</v>
      </c>
      <c r="H5624" s="7">
        <f t="shared" si="354"/>
        <v>0</v>
      </c>
      <c r="I5624" s="7" t="str" cm="1">
        <f t="array" ref="I5624">IFERROR(_xlfn.IFS(M5624="נח",1,M5624="נע ונח",1,M5624="שני שווא נח",2,M5624="שני שוואים בסוף מילה",2,M5624="שני שוואים ברצף",1),"0")</f>
        <v>0</v>
      </c>
      <c r="J5624" s="9">
        <f t="shared" si="355"/>
        <v>2</v>
      </c>
      <c r="K5624" t="s">
        <v>6698</v>
      </c>
      <c r="L5624" t="s">
        <v>6695</v>
      </c>
      <c r="O5624" t="s">
        <v>6694</v>
      </c>
      <c r="S5624" t="s">
        <v>6694</v>
      </c>
      <c r="W5624" t="s">
        <v>6720</v>
      </c>
    </row>
    <row r="5625" spans="1:23" ht="15.6" x14ac:dyDescent="0.4">
      <c r="A5625" s="2" t="s">
        <v>5143</v>
      </c>
      <c r="B5625" s="5" t="s">
        <v>11653</v>
      </c>
      <c r="C5625" s="7" t="s">
        <v>12556</v>
      </c>
      <c r="D5625" s="8">
        <f t="shared" si="352"/>
        <v>0</v>
      </c>
      <c r="E5625" s="7" t="s">
        <v>12557</v>
      </c>
      <c r="F5625" s="7">
        <f t="shared" si="353"/>
        <v>2</v>
      </c>
      <c r="G5625" s="7" t="s">
        <v>12558</v>
      </c>
      <c r="H5625" s="7">
        <f t="shared" si="354"/>
        <v>1</v>
      </c>
      <c r="I5625" s="7" t="str" cm="1">
        <f t="array" ref="I5625">IFERROR(_xlfn.IFS(M5625="נח",1,M5625="נע ונח",1,M5625="שני שווא נח",2,M5625="שני שוואים בסוף מילה",2,M5625="שני שוואים ברצף",1),"0")</f>
        <v>0</v>
      </c>
      <c r="J5625" s="9">
        <f t="shared" si="355"/>
        <v>2</v>
      </c>
      <c r="K5625" t="s">
        <v>6697</v>
      </c>
      <c r="L5625" t="s">
        <v>6695</v>
      </c>
      <c r="S5625" t="s">
        <v>6694</v>
      </c>
      <c r="U5625" t="s">
        <v>6694</v>
      </c>
      <c r="W5625" t="s">
        <v>6720</v>
      </c>
    </row>
    <row r="5626" spans="1:23" ht="15.6" x14ac:dyDescent="0.4">
      <c r="A5626" s="2" t="s">
        <v>407</v>
      </c>
      <c r="B5626" s="5" t="s">
        <v>11607</v>
      </c>
      <c r="C5626" s="7" t="s">
        <v>12556</v>
      </c>
      <c r="D5626" s="8">
        <f t="shared" si="352"/>
        <v>0</v>
      </c>
      <c r="E5626" s="7" t="s">
        <v>12557</v>
      </c>
      <c r="F5626" s="7">
        <f t="shared" si="353"/>
        <v>1</v>
      </c>
      <c r="G5626" s="7" t="s">
        <v>12558</v>
      </c>
      <c r="H5626" s="7">
        <f t="shared" si="354"/>
        <v>0</v>
      </c>
      <c r="I5626" s="7" t="str" cm="1">
        <f t="array" ref="I5626">IFERROR(_xlfn.IFS(M5626="נח",1,M5626="נע ונח",1,M5626="שני שווא נח",2,M5626="שני שוואים בסוף מילה",2,M5626="שני שוואים ברצף",1),"0")</f>
        <v>0</v>
      </c>
      <c r="J5626" s="9">
        <f t="shared" si="355"/>
        <v>1</v>
      </c>
      <c r="K5626" t="s">
        <v>6698</v>
      </c>
      <c r="L5626" t="s">
        <v>6695</v>
      </c>
      <c r="S5626" t="s">
        <v>6694</v>
      </c>
      <c r="W5626" t="s">
        <v>6720</v>
      </c>
    </row>
    <row r="5627" spans="1:23" ht="15.6" x14ac:dyDescent="0.4">
      <c r="A5627" s="2" t="s">
        <v>4863</v>
      </c>
      <c r="B5627" s="5" t="s">
        <v>11608</v>
      </c>
      <c r="C5627" s="7" t="s">
        <v>12556</v>
      </c>
      <c r="D5627" s="8">
        <f t="shared" si="352"/>
        <v>0</v>
      </c>
      <c r="E5627" s="7" t="s">
        <v>12557</v>
      </c>
      <c r="F5627" s="7">
        <f t="shared" si="353"/>
        <v>1</v>
      </c>
      <c r="G5627" s="7" t="s">
        <v>12558</v>
      </c>
      <c r="H5627" s="7">
        <f t="shared" si="354"/>
        <v>0</v>
      </c>
      <c r="I5627" s="7" t="str" cm="1">
        <f t="array" ref="I5627">IFERROR(_xlfn.IFS(M5627="נח",1,M5627="נע ונח",1,M5627="שני שווא נח",2,M5627="שני שוואים בסוף מילה",2,M5627="שני שוואים ברצף",1),"0")</f>
        <v>0</v>
      </c>
      <c r="J5627" s="9">
        <f t="shared" si="355"/>
        <v>2</v>
      </c>
      <c r="K5627" t="s">
        <v>6697</v>
      </c>
      <c r="L5627" t="s">
        <v>6695</v>
      </c>
      <c r="O5627" t="s">
        <v>6694</v>
      </c>
      <c r="S5627" t="s">
        <v>6694</v>
      </c>
      <c r="W5627" t="s">
        <v>6720</v>
      </c>
    </row>
    <row r="5628" spans="1:23" ht="15.6" x14ac:dyDescent="0.4">
      <c r="A5628" s="2" t="s">
        <v>2123</v>
      </c>
      <c r="B5628" s="5" t="s">
        <v>11654</v>
      </c>
      <c r="C5628" s="7" t="s">
        <v>12556</v>
      </c>
      <c r="D5628" s="8">
        <f t="shared" si="352"/>
        <v>0</v>
      </c>
      <c r="E5628" s="7" t="s">
        <v>12557</v>
      </c>
      <c r="F5628" s="7">
        <f t="shared" si="353"/>
        <v>1</v>
      </c>
      <c r="G5628" s="7" t="s">
        <v>12558</v>
      </c>
      <c r="H5628" s="7">
        <f t="shared" si="354"/>
        <v>0</v>
      </c>
      <c r="I5628" s="7" t="str" cm="1">
        <f t="array" ref="I5628">IFERROR(_xlfn.IFS(M5628="נח",1,M5628="נע ונח",1,M5628="שני שווא נח",2,M5628="שני שוואים בסוף מילה",2,M5628="שני שוואים ברצף",1),"0")</f>
        <v>0</v>
      </c>
      <c r="J5628" s="9">
        <f t="shared" si="355"/>
        <v>2</v>
      </c>
      <c r="K5628" t="s">
        <v>6697</v>
      </c>
      <c r="L5628" t="s">
        <v>6695</v>
      </c>
      <c r="S5628" t="s">
        <v>6694</v>
      </c>
      <c r="V5628" t="s">
        <v>6694</v>
      </c>
      <c r="W5628" t="s">
        <v>6720</v>
      </c>
    </row>
    <row r="5629" spans="1:23" ht="15.6" x14ac:dyDescent="0.4">
      <c r="A5629" s="2" t="s">
        <v>1133</v>
      </c>
      <c r="B5629" s="5" t="s">
        <v>11655</v>
      </c>
      <c r="C5629" s="7" t="s">
        <v>12556</v>
      </c>
      <c r="D5629" s="8">
        <f t="shared" si="352"/>
        <v>0</v>
      </c>
      <c r="E5629" s="7" t="s">
        <v>12557</v>
      </c>
      <c r="F5629" s="7">
        <f t="shared" si="353"/>
        <v>1</v>
      </c>
      <c r="G5629" s="7" t="s">
        <v>12558</v>
      </c>
      <c r="H5629" s="7">
        <f t="shared" si="354"/>
        <v>0</v>
      </c>
      <c r="I5629" s="7" cm="1">
        <f t="array" ref="I5629">IFERROR(_xlfn.IFS(M5629="נח",1,M5629="נע ונח",1,M5629="שני שווא נח",2,M5629="שני שוואים בסוף מילה",2,M5629="שני שוואים ברצף",1),"0")</f>
        <v>1</v>
      </c>
      <c r="J5629" s="9">
        <f t="shared" si="355"/>
        <v>2</v>
      </c>
      <c r="K5629" t="s">
        <v>6698</v>
      </c>
      <c r="L5629" t="s">
        <v>6694</v>
      </c>
      <c r="M5629" t="s">
        <v>6705</v>
      </c>
      <c r="N5629" t="s">
        <v>6706</v>
      </c>
      <c r="O5629" t="s">
        <v>6694</v>
      </c>
      <c r="S5629" t="s">
        <v>6694</v>
      </c>
      <c r="W5629" t="s">
        <v>6720</v>
      </c>
    </row>
    <row r="5630" spans="1:23" ht="15.6" x14ac:dyDescent="0.4">
      <c r="A5630" s="2" t="s">
        <v>1462</v>
      </c>
      <c r="B5630" s="5" t="s">
        <v>11656</v>
      </c>
      <c r="C5630" s="7" t="s">
        <v>12556</v>
      </c>
      <c r="D5630" s="8">
        <f t="shared" si="352"/>
        <v>0</v>
      </c>
      <c r="E5630" s="7" t="s">
        <v>12557</v>
      </c>
      <c r="F5630" s="7">
        <f t="shared" si="353"/>
        <v>2</v>
      </c>
      <c r="G5630" s="7" t="s">
        <v>12558</v>
      </c>
      <c r="H5630" s="7">
        <f t="shared" si="354"/>
        <v>0</v>
      </c>
      <c r="I5630" s="7" t="str" cm="1">
        <f t="array" ref="I5630">IFERROR(_xlfn.IFS(M5630="נח",1,M5630="נע ונח",1,M5630="שני שווא נח",2,M5630="שני שוואים בסוף מילה",2,M5630="שני שוואים ברצף",1),"0")</f>
        <v>0</v>
      </c>
      <c r="J5630" s="9">
        <f t="shared" si="355"/>
        <v>3</v>
      </c>
      <c r="K5630" t="s">
        <v>6698</v>
      </c>
      <c r="L5630" t="s">
        <v>6695</v>
      </c>
      <c r="S5630" t="s">
        <v>6694</v>
      </c>
      <c r="V5630" t="s">
        <v>6694</v>
      </c>
      <c r="W5630" t="s">
        <v>6720</v>
      </c>
    </row>
    <row r="5631" spans="1:23" ht="15.6" x14ac:dyDescent="0.4">
      <c r="A5631" s="2" t="s">
        <v>5793</v>
      </c>
      <c r="B5631" s="5" t="s">
        <v>11657</v>
      </c>
      <c r="C5631" s="7" t="s">
        <v>12556</v>
      </c>
      <c r="D5631" s="8">
        <f t="shared" si="352"/>
        <v>0</v>
      </c>
      <c r="E5631" s="7" t="s">
        <v>12557</v>
      </c>
      <c r="F5631" s="7">
        <f t="shared" si="353"/>
        <v>1</v>
      </c>
      <c r="G5631" s="7" t="s">
        <v>12558</v>
      </c>
      <c r="H5631" s="7">
        <f t="shared" si="354"/>
        <v>0</v>
      </c>
      <c r="I5631" s="7" cm="1">
        <f t="array" ref="I5631">IFERROR(_xlfn.IFS(M5631="נח",1,M5631="נע ונח",1,M5631="שני שווא נח",2,M5631="שני שוואים בסוף מילה",2,M5631="שני שוואים ברצף",1),"0")</f>
        <v>1</v>
      </c>
      <c r="J5631" s="9">
        <f t="shared" si="355"/>
        <v>3</v>
      </c>
      <c r="K5631" t="s">
        <v>6697</v>
      </c>
      <c r="L5631" t="s">
        <v>6694</v>
      </c>
      <c r="M5631" t="s">
        <v>6705</v>
      </c>
      <c r="O5631" t="s">
        <v>6694</v>
      </c>
      <c r="P5631" t="s">
        <v>6694</v>
      </c>
      <c r="S5631" t="s">
        <v>6694</v>
      </c>
      <c r="W5631" t="s">
        <v>6720</v>
      </c>
    </row>
    <row r="5632" spans="1:23" ht="15.6" x14ac:dyDescent="0.4">
      <c r="A5632" s="2" t="s">
        <v>6513</v>
      </c>
      <c r="B5632" s="5" t="s">
        <v>11657</v>
      </c>
      <c r="C5632" s="7" t="s">
        <v>12556</v>
      </c>
      <c r="D5632" s="8">
        <f t="shared" si="352"/>
        <v>0</v>
      </c>
      <c r="E5632" s="7" t="s">
        <v>12557</v>
      </c>
      <c r="F5632" s="7">
        <f t="shared" si="353"/>
        <v>1</v>
      </c>
      <c r="G5632" s="7" t="s">
        <v>12558</v>
      </c>
      <c r="H5632" s="7">
        <f t="shared" si="354"/>
        <v>0</v>
      </c>
      <c r="I5632" s="7" cm="1">
        <f t="array" ref="I5632">IFERROR(_xlfn.IFS(M5632="נח",1,M5632="נע ונח",1,M5632="שני שווא נח",2,M5632="שני שוואים בסוף מילה",2,M5632="שני שוואים ברצף",1),"0")</f>
        <v>1</v>
      </c>
      <c r="J5632" s="9">
        <f t="shared" si="355"/>
        <v>3</v>
      </c>
      <c r="K5632" t="s">
        <v>6697</v>
      </c>
      <c r="L5632" t="s">
        <v>6694</v>
      </c>
      <c r="M5632" t="s">
        <v>6705</v>
      </c>
      <c r="O5632" t="s">
        <v>6694</v>
      </c>
      <c r="R5632" t="s">
        <v>6694</v>
      </c>
      <c r="S5632" t="s">
        <v>6694</v>
      </c>
      <c r="W5632" t="s">
        <v>6720</v>
      </c>
    </row>
    <row r="5633" spans="1:23" ht="15.6" x14ac:dyDescent="0.4">
      <c r="A5633" s="2" t="s">
        <v>4802</v>
      </c>
      <c r="B5633" s="5" t="s">
        <v>11658</v>
      </c>
      <c r="C5633" s="7" t="s">
        <v>12556</v>
      </c>
      <c r="D5633" s="8">
        <f t="shared" si="352"/>
        <v>0</v>
      </c>
      <c r="E5633" s="7" t="s">
        <v>12557</v>
      </c>
      <c r="F5633" s="7">
        <f t="shared" si="353"/>
        <v>2</v>
      </c>
      <c r="G5633" s="7" t="s">
        <v>12558</v>
      </c>
      <c r="H5633" s="7">
        <f t="shared" si="354"/>
        <v>0</v>
      </c>
      <c r="I5633" s="7" t="str" cm="1">
        <f t="array" ref="I5633">IFERROR(_xlfn.IFS(M5633="נח",1,M5633="נע ונח",1,M5633="שני שווא נח",2,M5633="שני שוואים בסוף מילה",2,M5633="שני שוואים ברצף",1),"0")</f>
        <v>0</v>
      </c>
      <c r="J5633" s="9">
        <f t="shared" si="355"/>
        <v>3</v>
      </c>
      <c r="K5633" t="s">
        <v>6698</v>
      </c>
      <c r="L5633" t="s">
        <v>6695</v>
      </c>
      <c r="O5633" t="s">
        <v>6694</v>
      </c>
      <c r="S5633" t="s">
        <v>6694</v>
      </c>
      <c r="W5633" t="s">
        <v>6720</v>
      </c>
    </row>
    <row r="5634" spans="1:23" ht="15.6" x14ac:dyDescent="0.4">
      <c r="A5634" s="2" t="s">
        <v>6164</v>
      </c>
      <c r="B5634" s="5" t="s">
        <v>11623</v>
      </c>
      <c r="C5634" s="7" t="s">
        <v>12556</v>
      </c>
      <c r="D5634" s="8">
        <f t="shared" si="352"/>
        <v>0</v>
      </c>
      <c r="E5634" s="7" t="s">
        <v>12557</v>
      </c>
      <c r="F5634" s="7">
        <f t="shared" si="353"/>
        <v>2</v>
      </c>
      <c r="G5634" s="7" t="s">
        <v>12558</v>
      </c>
      <c r="H5634" s="7">
        <f t="shared" si="354"/>
        <v>0</v>
      </c>
      <c r="I5634" s="7" t="str" cm="1">
        <f t="array" ref="I5634">IFERROR(_xlfn.IFS(M5634="נח",1,M5634="נע ונח",1,M5634="שני שווא נח",2,M5634="שני שוואים בסוף מילה",2,M5634="שני שוואים ברצף",1),"0")</f>
        <v>0</v>
      </c>
      <c r="J5634" s="9">
        <f t="shared" si="355"/>
        <v>2</v>
      </c>
      <c r="K5634" t="s">
        <v>6697</v>
      </c>
      <c r="L5634" t="s">
        <v>6695</v>
      </c>
      <c r="O5634" t="s">
        <v>6694</v>
      </c>
      <c r="S5634" t="s">
        <v>6694</v>
      </c>
      <c r="W5634" t="s">
        <v>6720</v>
      </c>
    </row>
    <row r="5635" spans="1:23" ht="15.6" x14ac:dyDescent="0.4">
      <c r="A5635" s="2" t="s">
        <v>5554</v>
      </c>
      <c r="B5635" s="5" t="s">
        <v>11659</v>
      </c>
      <c r="C5635" s="7" t="s">
        <v>12556</v>
      </c>
      <c r="D5635" s="8">
        <f t="shared" ref="D5635:D5698" si="356">(LEN(B5635)-LEN(SUBSTITUTE(B5635,C5635,"")))</f>
        <v>0</v>
      </c>
      <c r="E5635" s="7" t="s">
        <v>12557</v>
      </c>
      <c r="F5635" s="7">
        <f t="shared" ref="F5635:F5698" si="357">(LEN(A5635)-LEN(SUBSTITUTE(A5635,E5635,"")))</f>
        <v>2</v>
      </c>
      <c r="G5635" s="7" t="s">
        <v>12558</v>
      </c>
      <c r="H5635" s="7">
        <f t="shared" ref="H5635:H5698" si="358">(LEN(A5635)-LEN(SUBSTITUTE(A5635,G5635,"")))/2</f>
        <v>1</v>
      </c>
      <c r="I5635" s="7" cm="1">
        <f t="array" ref="I5635">IFERROR(_xlfn.IFS(M5635="נח",1,M5635="נע ונח",1,M5635="שני שווא נח",2,M5635="שני שוואים בסוף מילה",2,M5635="שני שוואים ברצף",1),"0")</f>
        <v>1</v>
      </c>
      <c r="J5635" s="9">
        <f t="shared" ref="J5635:J5698" si="359">LEN(A5635)-(LEN(B5635))-D5635-F5635+H5635-I5635</f>
        <v>2</v>
      </c>
      <c r="K5635" t="s">
        <v>6697</v>
      </c>
      <c r="L5635" t="s">
        <v>6694</v>
      </c>
      <c r="M5635" t="s">
        <v>6705</v>
      </c>
      <c r="S5635" t="s">
        <v>6694</v>
      </c>
      <c r="U5635" t="s">
        <v>6694</v>
      </c>
      <c r="W5635" t="s">
        <v>6720</v>
      </c>
    </row>
    <row r="5636" spans="1:23" ht="15.6" x14ac:dyDescent="0.4">
      <c r="A5636" s="2" t="s">
        <v>3282</v>
      </c>
      <c r="B5636" s="5" t="s">
        <v>11660</v>
      </c>
      <c r="C5636" s="7" t="s">
        <v>12556</v>
      </c>
      <c r="D5636" s="8">
        <f t="shared" si="356"/>
        <v>0</v>
      </c>
      <c r="E5636" s="7" t="s">
        <v>12557</v>
      </c>
      <c r="F5636" s="7">
        <f t="shared" si="357"/>
        <v>3</v>
      </c>
      <c r="G5636" s="7" t="s">
        <v>12558</v>
      </c>
      <c r="H5636" s="7">
        <f t="shared" si="358"/>
        <v>1</v>
      </c>
      <c r="I5636" s="7" t="str" cm="1">
        <f t="array" ref="I5636">IFERROR(_xlfn.IFS(M5636="נח",1,M5636="נע ונח",1,M5636="שני שווא נח",2,M5636="שני שוואים בסוף מילה",2,M5636="שני שוואים ברצף",1),"0")</f>
        <v>0</v>
      </c>
      <c r="J5636" s="9">
        <f t="shared" si="359"/>
        <v>3</v>
      </c>
      <c r="K5636" t="s">
        <v>6698</v>
      </c>
      <c r="L5636" t="s">
        <v>6695</v>
      </c>
      <c r="Q5636" t="s">
        <v>6694</v>
      </c>
      <c r="S5636" t="s">
        <v>6694</v>
      </c>
      <c r="U5636" t="s">
        <v>6694</v>
      </c>
      <c r="W5636" t="s">
        <v>6720</v>
      </c>
    </row>
    <row r="5637" spans="1:23" ht="15.6" x14ac:dyDescent="0.4">
      <c r="A5637" s="2" t="s">
        <v>292</v>
      </c>
      <c r="B5637" s="5" t="s">
        <v>11661</v>
      </c>
      <c r="C5637" s="7" t="s">
        <v>12556</v>
      </c>
      <c r="D5637" s="8">
        <f t="shared" si="356"/>
        <v>0</v>
      </c>
      <c r="E5637" s="7" t="s">
        <v>12557</v>
      </c>
      <c r="F5637" s="7">
        <f t="shared" si="357"/>
        <v>3</v>
      </c>
      <c r="G5637" s="7" t="s">
        <v>12558</v>
      </c>
      <c r="H5637" s="7">
        <f t="shared" si="358"/>
        <v>1</v>
      </c>
      <c r="I5637" s="7" t="str" cm="1">
        <f t="array" ref="I5637">IFERROR(_xlfn.IFS(M5637="נח",1,M5637="נע ונח",1,M5637="שני שווא נח",2,M5637="שני שוואים בסוף מילה",2,M5637="שני שוואים ברצף",1),"0")</f>
        <v>0</v>
      </c>
      <c r="J5637" s="9">
        <f t="shared" si="359"/>
        <v>4</v>
      </c>
      <c r="K5637" t="s">
        <v>6697</v>
      </c>
      <c r="L5637" t="s">
        <v>6695</v>
      </c>
      <c r="O5637" t="s">
        <v>6694</v>
      </c>
      <c r="R5637" t="s">
        <v>6694</v>
      </c>
      <c r="S5637" t="s">
        <v>6694</v>
      </c>
      <c r="U5637" t="s">
        <v>6694</v>
      </c>
      <c r="W5637" t="s">
        <v>6720</v>
      </c>
    </row>
    <row r="5638" spans="1:23" ht="15.6" x14ac:dyDescent="0.4">
      <c r="A5638" s="2" t="s">
        <v>6086</v>
      </c>
      <c r="B5638" s="5" t="s">
        <v>11662</v>
      </c>
      <c r="C5638" s="7" t="s">
        <v>12556</v>
      </c>
      <c r="D5638" s="8">
        <f t="shared" si="356"/>
        <v>0</v>
      </c>
      <c r="E5638" s="7" t="s">
        <v>12557</v>
      </c>
      <c r="F5638" s="7">
        <f t="shared" si="357"/>
        <v>3</v>
      </c>
      <c r="G5638" s="7" t="s">
        <v>12558</v>
      </c>
      <c r="H5638" s="7">
        <f t="shared" si="358"/>
        <v>1</v>
      </c>
      <c r="I5638" s="7" t="str" cm="1">
        <f t="array" ref="I5638">IFERROR(_xlfn.IFS(M5638="נח",1,M5638="נע ונח",1,M5638="שני שווא נח",2,M5638="שני שוואים בסוף מילה",2,M5638="שני שוואים ברצף",1),"0")</f>
        <v>0</v>
      </c>
      <c r="J5638" s="9">
        <f t="shared" si="359"/>
        <v>3</v>
      </c>
      <c r="K5638" t="s">
        <v>6698</v>
      </c>
      <c r="L5638" t="s">
        <v>6695</v>
      </c>
      <c r="N5638" t="s">
        <v>6706</v>
      </c>
      <c r="O5638" t="s">
        <v>6694</v>
      </c>
      <c r="S5638" t="s">
        <v>6694</v>
      </c>
      <c r="U5638" t="s">
        <v>6694</v>
      </c>
      <c r="W5638" t="s">
        <v>6720</v>
      </c>
    </row>
    <row r="5639" spans="1:23" ht="15.6" x14ac:dyDescent="0.4">
      <c r="A5639" s="2" t="s">
        <v>3340</v>
      </c>
      <c r="B5639" s="5" t="s">
        <v>11663</v>
      </c>
      <c r="C5639" s="7" t="s">
        <v>12556</v>
      </c>
      <c r="D5639" s="8">
        <f t="shared" si="356"/>
        <v>0</v>
      </c>
      <c r="E5639" s="7" t="s">
        <v>12557</v>
      </c>
      <c r="F5639" s="7">
        <f t="shared" si="357"/>
        <v>1</v>
      </c>
      <c r="G5639" s="7" t="s">
        <v>12558</v>
      </c>
      <c r="H5639" s="7">
        <f t="shared" si="358"/>
        <v>0</v>
      </c>
      <c r="I5639" s="7" cm="1">
        <f t="array" ref="I5639">IFERROR(_xlfn.IFS(M5639="נח",1,M5639="נע ונח",1,M5639="שני שווא נח",2,M5639="שני שוואים בסוף מילה",2,M5639="שני שוואים ברצף",1),"0")</f>
        <v>1</v>
      </c>
      <c r="J5639" s="9">
        <f t="shared" si="359"/>
        <v>3</v>
      </c>
      <c r="K5639" t="s">
        <v>6697</v>
      </c>
      <c r="L5639" t="s">
        <v>6694</v>
      </c>
      <c r="M5639" t="s">
        <v>6705</v>
      </c>
      <c r="O5639" t="s">
        <v>6694</v>
      </c>
      <c r="S5639" t="s">
        <v>6694</v>
      </c>
      <c r="V5639" t="s">
        <v>6694</v>
      </c>
      <c r="W5639" t="s">
        <v>6720</v>
      </c>
    </row>
    <row r="5640" spans="1:23" ht="15.6" x14ac:dyDescent="0.4">
      <c r="A5640" s="2" t="s">
        <v>180</v>
      </c>
      <c r="B5640" s="5" t="s">
        <v>11664</v>
      </c>
      <c r="C5640" s="7" t="s">
        <v>12556</v>
      </c>
      <c r="D5640" s="8">
        <f t="shared" si="356"/>
        <v>0</v>
      </c>
      <c r="E5640" s="7" t="s">
        <v>12557</v>
      </c>
      <c r="F5640" s="7">
        <f t="shared" si="357"/>
        <v>1</v>
      </c>
      <c r="G5640" s="7" t="s">
        <v>12558</v>
      </c>
      <c r="H5640" s="7">
        <f t="shared" si="358"/>
        <v>0</v>
      </c>
      <c r="I5640" s="7" cm="1">
        <f t="array" ref="I5640">IFERROR(_xlfn.IFS(M5640="נח",1,M5640="נע ונח",1,M5640="שני שווא נח",2,M5640="שני שוואים בסוף מילה",2,M5640="שני שוואים ברצף",1),"0")</f>
        <v>1</v>
      </c>
      <c r="J5640" s="9">
        <f t="shared" si="359"/>
        <v>2</v>
      </c>
      <c r="K5640" t="s">
        <v>6697</v>
      </c>
      <c r="L5640" t="s">
        <v>6694</v>
      </c>
      <c r="M5640" t="s">
        <v>6705</v>
      </c>
      <c r="S5640" t="s">
        <v>6694</v>
      </c>
      <c r="V5640" t="s">
        <v>6694</v>
      </c>
      <c r="W5640" t="s">
        <v>6720</v>
      </c>
    </row>
    <row r="5641" spans="1:23" ht="15.6" x14ac:dyDescent="0.4">
      <c r="A5641" s="2" t="s">
        <v>866</v>
      </c>
      <c r="B5641" s="5" t="s">
        <v>11665</v>
      </c>
      <c r="C5641" s="7" t="s">
        <v>12556</v>
      </c>
      <c r="D5641" s="8">
        <f t="shared" si="356"/>
        <v>1</v>
      </c>
      <c r="E5641" s="7" t="s">
        <v>12557</v>
      </c>
      <c r="F5641" s="7">
        <f t="shared" si="357"/>
        <v>1</v>
      </c>
      <c r="G5641" s="7" t="s">
        <v>12558</v>
      </c>
      <c r="H5641" s="7">
        <f t="shared" si="358"/>
        <v>0</v>
      </c>
      <c r="I5641" s="7" cm="1">
        <f t="array" ref="I5641">IFERROR(_xlfn.IFS(M5641="נח",1,M5641="נע ונח",1,M5641="שני שווא נח",2,M5641="שני שוואים בסוף מילה",2,M5641="שני שוואים ברצף",1),"0")</f>
        <v>1</v>
      </c>
      <c r="J5641" s="9">
        <f t="shared" si="359"/>
        <v>3</v>
      </c>
      <c r="K5641" t="s">
        <v>6698</v>
      </c>
      <c r="L5641" t="s">
        <v>6694</v>
      </c>
      <c r="M5641" t="s">
        <v>6705</v>
      </c>
      <c r="Q5641" t="s">
        <v>6694</v>
      </c>
      <c r="R5641" t="s">
        <v>6694</v>
      </c>
      <c r="S5641" t="s">
        <v>6694</v>
      </c>
      <c r="W5641" t="s">
        <v>6720</v>
      </c>
    </row>
    <row r="5642" spans="1:23" ht="15.6" x14ac:dyDescent="0.4">
      <c r="A5642" s="2" t="s">
        <v>1562</v>
      </c>
      <c r="B5642" s="5" t="s">
        <v>11666</v>
      </c>
      <c r="C5642" s="7" t="s">
        <v>12556</v>
      </c>
      <c r="D5642" s="8">
        <f t="shared" si="356"/>
        <v>1</v>
      </c>
      <c r="E5642" s="7" t="s">
        <v>12557</v>
      </c>
      <c r="F5642" s="7">
        <f t="shared" si="357"/>
        <v>1</v>
      </c>
      <c r="G5642" s="7" t="s">
        <v>12558</v>
      </c>
      <c r="H5642" s="7">
        <f t="shared" si="358"/>
        <v>0</v>
      </c>
      <c r="I5642" s="7" cm="1">
        <f t="array" ref="I5642">IFERROR(_xlfn.IFS(M5642="נח",1,M5642="נע ונח",1,M5642="שני שווא נח",2,M5642="שני שוואים בסוף מילה",2,M5642="שני שוואים ברצף",1),"0")</f>
        <v>1</v>
      </c>
      <c r="J5642" s="9">
        <f t="shared" si="359"/>
        <v>2</v>
      </c>
      <c r="K5642" t="s">
        <v>6698</v>
      </c>
      <c r="L5642" t="s">
        <v>6694</v>
      </c>
      <c r="M5642" t="s">
        <v>6705</v>
      </c>
      <c r="N5642" t="s">
        <v>6706</v>
      </c>
      <c r="O5642" t="s">
        <v>6694</v>
      </c>
      <c r="S5642" t="s">
        <v>6694</v>
      </c>
      <c r="W5642" t="s">
        <v>6720</v>
      </c>
    </row>
    <row r="5643" spans="1:23" ht="15.6" x14ac:dyDescent="0.4">
      <c r="A5643" s="2" t="s">
        <v>4335</v>
      </c>
      <c r="B5643" s="5" t="s">
        <v>11667</v>
      </c>
      <c r="C5643" s="7" t="s">
        <v>12556</v>
      </c>
      <c r="D5643" s="8">
        <f t="shared" si="356"/>
        <v>0</v>
      </c>
      <c r="E5643" s="7" t="s">
        <v>12557</v>
      </c>
      <c r="F5643" s="7">
        <f t="shared" si="357"/>
        <v>1</v>
      </c>
      <c r="G5643" s="7" t="s">
        <v>12558</v>
      </c>
      <c r="H5643" s="7">
        <f t="shared" si="358"/>
        <v>0</v>
      </c>
      <c r="I5643" s="7" cm="1">
        <f t="array" ref="I5643">IFERROR(_xlfn.IFS(M5643="נח",1,M5643="נע ונח",1,M5643="שני שווא נח",2,M5643="שני שוואים בסוף מילה",2,M5643="שני שוואים ברצף",1),"0")</f>
        <v>1</v>
      </c>
      <c r="J5643" s="9">
        <f t="shared" si="359"/>
        <v>2</v>
      </c>
      <c r="K5643" t="s">
        <v>6698</v>
      </c>
      <c r="L5643" t="s">
        <v>6694</v>
      </c>
      <c r="M5643" t="s">
        <v>6705</v>
      </c>
      <c r="S5643" t="s">
        <v>6694</v>
      </c>
      <c r="V5643" t="s">
        <v>6694</v>
      </c>
      <c r="W5643" t="s">
        <v>6720</v>
      </c>
    </row>
    <row r="5644" spans="1:23" ht="15.6" x14ac:dyDescent="0.4">
      <c r="A5644" s="2" t="s">
        <v>4349</v>
      </c>
      <c r="B5644" s="5" t="s">
        <v>11668</v>
      </c>
      <c r="C5644" s="7" t="s">
        <v>12556</v>
      </c>
      <c r="D5644" s="8">
        <f t="shared" si="356"/>
        <v>0</v>
      </c>
      <c r="E5644" s="7" t="s">
        <v>12557</v>
      </c>
      <c r="F5644" s="7">
        <f t="shared" si="357"/>
        <v>1</v>
      </c>
      <c r="G5644" s="7" t="s">
        <v>12558</v>
      </c>
      <c r="H5644" s="7">
        <f t="shared" si="358"/>
        <v>0</v>
      </c>
      <c r="I5644" s="7" cm="1">
        <f t="array" ref="I5644">IFERROR(_xlfn.IFS(M5644="נח",1,M5644="נע ונח",1,M5644="שני שווא נח",2,M5644="שני שוואים בסוף מילה",2,M5644="שני שוואים ברצף",1),"0")</f>
        <v>1</v>
      </c>
      <c r="J5644" s="9">
        <f t="shared" si="359"/>
        <v>2</v>
      </c>
      <c r="K5644" t="s">
        <v>6698</v>
      </c>
      <c r="L5644" t="s">
        <v>6694</v>
      </c>
      <c r="M5644" t="s">
        <v>6705</v>
      </c>
      <c r="S5644" t="s">
        <v>6694</v>
      </c>
      <c r="V5644" t="s">
        <v>6694</v>
      </c>
      <c r="W5644" t="s">
        <v>6720</v>
      </c>
    </row>
    <row r="5645" spans="1:23" ht="15.6" x14ac:dyDescent="0.4">
      <c r="A5645" s="2" t="s">
        <v>2580</v>
      </c>
      <c r="B5645" s="5" t="s">
        <v>11669</v>
      </c>
      <c r="C5645" s="7" t="s">
        <v>12556</v>
      </c>
      <c r="D5645" s="8">
        <f t="shared" si="356"/>
        <v>0</v>
      </c>
      <c r="E5645" s="7" t="s">
        <v>12557</v>
      </c>
      <c r="F5645" s="7">
        <f t="shared" si="357"/>
        <v>1</v>
      </c>
      <c r="G5645" s="7" t="s">
        <v>12558</v>
      </c>
      <c r="H5645" s="7">
        <f t="shared" si="358"/>
        <v>0</v>
      </c>
      <c r="I5645" s="7" cm="1">
        <f t="array" ref="I5645">IFERROR(_xlfn.IFS(M5645="נח",1,M5645="נע ונח",1,M5645="שני שווא נח",2,M5645="שני שוואים בסוף מילה",2,M5645="שני שוואים ברצף",1),"0")</f>
        <v>1</v>
      </c>
      <c r="J5645" s="9">
        <f t="shared" si="359"/>
        <v>2</v>
      </c>
      <c r="K5645" t="s">
        <v>6698</v>
      </c>
      <c r="L5645" t="s">
        <v>6694</v>
      </c>
      <c r="M5645" t="s">
        <v>6705</v>
      </c>
      <c r="Q5645" t="s">
        <v>6694</v>
      </c>
      <c r="S5645" t="s">
        <v>6694</v>
      </c>
      <c r="W5645" t="s">
        <v>6720</v>
      </c>
    </row>
    <row r="5646" spans="1:23" ht="15.6" x14ac:dyDescent="0.4">
      <c r="A5646" s="2" t="s">
        <v>1735</v>
      </c>
      <c r="B5646" s="5" t="s">
        <v>11670</v>
      </c>
      <c r="C5646" s="7" t="s">
        <v>12556</v>
      </c>
      <c r="D5646" s="8">
        <f t="shared" si="356"/>
        <v>0</v>
      </c>
      <c r="E5646" s="7" t="s">
        <v>12557</v>
      </c>
      <c r="F5646" s="7">
        <f t="shared" si="357"/>
        <v>2</v>
      </c>
      <c r="G5646" s="7" t="s">
        <v>12558</v>
      </c>
      <c r="H5646" s="7">
        <f t="shared" si="358"/>
        <v>1</v>
      </c>
      <c r="I5646" s="7" cm="1">
        <f t="array" ref="I5646">IFERROR(_xlfn.IFS(M5646="נח",1,M5646="נע ונח",1,M5646="שני שווא נח",2,M5646="שני שוואים בסוף מילה",2,M5646="שני שוואים ברצף",1),"0")</f>
        <v>1</v>
      </c>
      <c r="J5646" s="9">
        <f t="shared" si="359"/>
        <v>2</v>
      </c>
      <c r="K5646" t="s">
        <v>6697</v>
      </c>
      <c r="L5646" t="s">
        <v>6694</v>
      </c>
      <c r="M5646" t="s">
        <v>6705</v>
      </c>
      <c r="S5646" t="s">
        <v>6694</v>
      </c>
      <c r="U5646" t="s">
        <v>6694</v>
      </c>
      <c r="W5646" t="s">
        <v>6720</v>
      </c>
    </row>
    <row r="5647" spans="1:23" ht="15.6" x14ac:dyDescent="0.4">
      <c r="A5647" s="2" t="s">
        <v>379</v>
      </c>
      <c r="B5647" s="5" t="s">
        <v>11671</v>
      </c>
      <c r="C5647" s="7" t="s">
        <v>12556</v>
      </c>
      <c r="D5647" s="8">
        <f t="shared" si="356"/>
        <v>0</v>
      </c>
      <c r="E5647" s="7" t="s">
        <v>12557</v>
      </c>
      <c r="F5647" s="7">
        <f t="shared" si="357"/>
        <v>3</v>
      </c>
      <c r="G5647" s="7" t="s">
        <v>12558</v>
      </c>
      <c r="H5647" s="7">
        <f t="shared" si="358"/>
        <v>0</v>
      </c>
      <c r="I5647" s="7" cm="1">
        <f t="array" ref="I5647">IFERROR(_xlfn.IFS(M5647="נח",1,M5647="נע ונח",1,M5647="שני שווא נח",2,M5647="שני שוואים בסוף מילה",2,M5647="שני שוואים ברצף",1),"0")</f>
        <v>1</v>
      </c>
      <c r="J5647" s="9">
        <f t="shared" si="359"/>
        <v>3</v>
      </c>
      <c r="K5647" t="s">
        <v>6698</v>
      </c>
      <c r="L5647" t="s">
        <v>6694</v>
      </c>
      <c r="M5647" t="s">
        <v>6705</v>
      </c>
      <c r="O5647" t="s">
        <v>6694</v>
      </c>
      <c r="P5647" t="s">
        <v>6694</v>
      </c>
      <c r="S5647" t="s">
        <v>6694</v>
      </c>
      <c r="W5647" t="s">
        <v>6720</v>
      </c>
    </row>
    <row r="5648" spans="1:23" ht="15.6" x14ac:dyDescent="0.4">
      <c r="A5648" s="2" t="s">
        <v>5645</v>
      </c>
      <c r="B5648" s="5" t="s">
        <v>11672</v>
      </c>
      <c r="C5648" s="7" t="s">
        <v>12556</v>
      </c>
      <c r="D5648" s="8">
        <f t="shared" si="356"/>
        <v>0</v>
      </c>
      <c r="E5648" s="7" t="s">
        <v>12557</v>
      </c>
      <c r="F5648" s="7">
        <f t="shared" si="357"/>
        <v>3</v>
      </c>
      <c r="G5648" s="7" t="s">
        <v>12558</v>
      </c>
      <c r="H5648" s="7">
        <f t="shared" si="358"/>
        <v>1</v>
      </c>
      <c r="I5648" s="7" t="str" cm="1">
        <f t="array" ref="I5648">IFERROR(_xlfn.IFS(M5648="נח",1,M5648="נע ונח",1,M5648="שני שווא נח",2,M5648="שני שוואים בסוף מילה",2,M5648="שני שוואים ברצף",1),"0")</f>
        <v>0</v>
      </c>
      <c r="J5648" s="9">
        <f t="shared" si="359"/>
        <v>4</v>
      </c>
      <c r="K5648" t="s">
        <v>6698</v>
      </c>
      <c r="L5648" t="s">
        <v>6695</v>
      </c>
      <c r="O5648" t="s">
        <v>6694</v>
      </c>
      <c r="R5648" t="s">
        <v>6694</v>
      </c>
      <c r="S5648" t="s">
        <v>6694</v>
      </c>
      <c r="U5648" t="s">
        <v>6694</v>
      </c>
      <c r="W5648" t="s">
        <v>6720</v>
      </c>
    </row>
    <row r="5649" spans="1:23" ht="15.6" x14ac:dyDescent="0.4">
      <c r="A5649" s="2" t="s">
        <v>5613</v>
      </c>
      <c r="B5649" s="5" t="s">
        <v>11673</v>
      </c>
      <c r="C5649" s="7" t="s">
        <v>12556</v>
      </c>
      <c r="D5649" s="8">
        <f t="shared" si="356"/>
        <v>1</v>
      </c>
      <c r="E5649" s="7" t="s">
        <v>12557</v>
      </c>
      <c r="F5649" s="7">
        <f t="shared" si="357"/>
        <v>2</v>
      </c>
      <c r="G5649" s="7" t="s">
        <v>12558</v>
      </c>
      <c r="H5649" s="7">
        <f t="shared" si="358"/>
        <v>0</v>
      </c>
      <c r="I5649" s="7" cm="1">
        <f t="array" ref="I5649">IFERROR(_xlfn.IFS(M5649="נח",1,M5649="נע ונח",1,M5649="שני שווא נח",2,M5649="שני שוואים בסוף מילה",2,M5649="שני שוואים ברצף",1),"0")</f>
        <v>1</v>
      </c>
      <c r="J5649" s="9">
        <f t="shared" si="359"/>
        <v>3</v>
      </c>
      <c r="K5649" t="s">
        <v>6697</v>
      </c>
      <c r="L5649" t="s">
        <v>6694</v>
      </c>
      <c r="M5649" t="s">
        <v>6705</v>
      </c>
      <c r="P5649" t="s">
        <v>6694</v>
      </c>
      <c r="Q5649" t="s">
        <v>6694</v>
      </c>
      <c r="S5649" t="s">
        <v>6694</v>
      </c>
      <c r="W5649" t="s">
        <v>6720</v>
      </c>
    </row>
    <row r="5650" spans="1:23" ht="15.6" x14ac:dyDescent="0.4">
      <c r="A5650" s="2" t="s">
        <v>1287</v>
      </c>
      <c r="B5650" s="5" t="s">
        <v>11674</v>
      </c>
      <c r="C5650" s="7" t="s">
        <v>12556</v>
      </c>
      <c r="D5650" s="8">
        <f t="shared" si="356"/>
        <v>0</v>
      </c>
      <c r="E5650" s="7" t="s">
        <v>12557</v>
      </c>
      <c r="F5650" s="7">
        <f t="shared" si="357"/>
        <v>1</v>
      </c>
      <c r="G5650" s="7" t="s">
        <v>12558</v>
      </c>
      <c r="H5650" s="7">
        <f t="shared" si="358"/>
        <v>0</v>
      </c>
      <c r="I5650" s="7" t="str" cm="1">
        <f t="array" ref="I5650">IFERROR(_xlfn.IFS(M5650="נח",1,M5650="נע ונח",1,M5650="שני שווא נח",2,M5650="שני שוואים בסוף מילה",2,M5650="שני שוואים ברצף",1),"0")</f>
        <v>0</v>
      </c>
      <c r="J5650" s="9">
        <f t="shared" si="359"/>
        <v>1</v>
      </c>
      <c r="K5650" t="s">
        <v>6697</v>
      </c>
      <c r="L5650" t="s">
        <v>6695</v>
      </c>
      <c r="R5650" t="s">
        <v>6694</v>
      </c>
      <c r="W5650" t="s">
        <v>6720</v>
      </c>
    </row>
    <row r="5651" spans="1:23" ht="15.6" x14ac:dyDescent="0.4">
      <c r="A5651" s="2" t="s">
        <v>4391</v>
      </c>
      <c r="B5651" s="5" t="s">
        <v>11675</v>
      </c>
      <c r="C5651" s="7" t="s">
        <v>12556</v>
      </c>
      <c r="D5651" s="8">
        <f t="shared" si="356"/>
        <v>0</v>
      </c>
      <c r="E5651" s="7" t="s">
        <v>12557</v>
      </c>
      <c r="F5651" s="7">
        <f t="shared" si="357"/>
        <v>1</v>
      </c>
      <c r="G5651" s="7" t="s">
        <v>12558</v>
      </c>
      <c r="H5651" s="7">
        <f t="shared" si="358"/>
        <v>0</v>
      </c>
      <c r="I5651" s="7" t="str" cm="1">
        <f t="array" ref="I5651">IFERROR(_xlfn.IFS(M5651="נח",1,M5651="נע ונח",1,M5651="שני שווא נח",2,M5651="שני שוואים בסוף מילה",2,M5651="שני שוואים ברצף",1),"0")</f>
        <v>0</v>
      </c>
      <c r="J5651" s="9">
        <f t="shared" si="359"/>
        <v>2</v>
      </c>
      <c r="K5651" t="s">
        <v>6698</v>
      </c>
      <c r="L5651" t="s">
        <v>6695</v>
      </c>
      <c r="R5651" t="s">
        <v>6694</v>
      </c>
      <c r="W5651" t="s">
        <v>6720</v>
      </c>
    </row>
    <row r="5652" spans="1:23" ht="15.6" x14ac:dyDescent="0.4">
      <c r="A5652" s="2" t="s">
        <v>1948</v>
      </c>
      <c r="B5652" s="5" t="s">
        <v>11676</v>
      </c>
      <c r="C5652" s="7" t="s">
        <v>12556</v>
      </c>
      <c r="D5652" s="8">
        <f t="shared" si="356"/>
        <v>0</v>
      </c>
      <c r="E5652" s="7" t="s">
        <v>12557</v>
      </c>
      <c r="F5652" s="7">
        <f t="shared" si="357"/>
        <v>1</v>
      </c>
      <c r="G5652" s="7" t="s">
        <v>12558</v>
      </c>
      <c r="H5652" s="7">
        <f t="shared" si="358"/>
        <v>0</v>
      </c>
      <c r="I5652" s="7" t="str" cm="1">
        <f t="array" ref="I5652">IFERROR(_xlfn.IFS(M5652="נח",1,M5652="נע ונח",1,M5652="שני שווא נח",2,M5652="שני שוואים בסוף מילה",2,M5652="שני שוואים ברצף",1),"0")</f>
        <v>0</v>
      </c>
      <c r="J5652" s="9">
        <f t="shared" si="359"/>
        <v>1</v>
      </c>
      <c r="K5652" t="s">
        <v>6698</v>
      </c>
      <c r="L5652" t="s">
        <v>6695</v>
      </c>
      <c r="R5652" t="s">
        <v>6694</v>
      </c>
      <c r="W5652" t="s">
        <v>6720</v>
      </c>
    </row>
    <row r="5653" spans="1:23" ht="15.6" x14ac:dyDescent="0.4">
      <c r="A5653" s="2" t="s">
        <v>2958</v>
      </c>
      <c r="B5653" s="5" t="s">
        <v>11677</v>
      </c>
      <c r="C5653" s="7" t="s">
        <v>12556</v>
      </c>
      <c r="D5653" s="8">
        <f t="shared" si="356"/>
        <v>0</v>
      </c>
      <c r="E5653" s="7" t="s">
        <v>12557</v>
      </c>
      <c r="F5653" s="7">
        <f t="shared" si="357"/>
        <v>1</v>
      </c>
      <c r="G5653" s="7" t="s">
        <v>12558</v>
      </c>
      <c r="H5653" s="7">
        <f t="shared" si="358"/>
        <v>0</v>
      </c>
      <c r="I5653" s="7" t="str" cm="1">
        <f t="array" ref="I5653">IFERROR(_xlfn.IFS(M5653="נח",1,M5653="נע ונח",1,M5653="שני שווא נח",2,M5653="שני שוואים בסוף מילה",2,M5653="שני שוואים ברצף",1),"0")</f>
        <v>0</v>
      </c>
      <c r="J5653" s="9">
        <f t="shared" si="359"/>
        <v>2</v>
      </c>
      <c r="K5653" t="s">
        <v>6698</v>
      </c>
      <c r="L5653" t="s">
        <v>6695</v>
      </c>
      <c r="R5653" t="s">
        <v>6694</v>
      </c>
      <c r="W5653" t="s">
        <v>6720</v>
      </c>
    </row>
    <row r="5654" spans="1:23" ht="15.6" x14ac:dyDescent="0.4">
      <c r="A5654" s="2" t="s">
        <v>2684</v>
      </c>
      <c r="B5654" s="5" t="s">
        <v>11678</v>
      </c>
      <c r="C5654" s="7" t="s">
        <v>12556</v>
      </c>
      <c r="D5654" s="8">
        <f t="shared" si="356"/>
        <v>1</v>
      </c>
      <c r="E5654" s="7" t="s">
        <v>12557</v>
      </c>
      <c r="F5654" s="7">
        <f t="shared" si="357"/>
        <v>1</v>
      </c>
      <c r="G5654" s="7" t="s">
        <v>12558</v>
      </c>
      <c r="H5654" s="7">
        <f t="shared" si="358"/>
        <v>0</v>
      </c>
      <c r="I5654" s="7" t="str" cm="1">
        <f t="array" ref="I5654">IFERROR(_xlfn.IFS(M5654="נח",1,M5654="נע ונח",1,M5654="שני שווא נח",2,M5654="שני שוואים בסוף מילה",2,M5654="שני שוואים ברצף",1),"0")</f>
        <v>0</v>
      </c>
      <c r="J5654" s="9">
        <f t="shared" si="359"/>
        <v>2</v>
      </c>
      <c r="K5654" t="s">
        <v>6697</v>
      </c>
      <c r="L5654" t="s">
        <v>6695</v>
      </c>
      <c r="P5654" t="s">
        <v>6694</v>
      </c>
      <c r="R5654" t="s">
        <v>6694</v>
      </c>
      <c r="W5654" t="s">
        <v>6720</v>
      </c>
    </row>
    <row r="5655" spans="1:23" ht="15.6" x14ac:dyDescent="0.4">
      <c r="A5655" s="2" t="s">
        <v>6333</v>
      </c>
      <c r="B5655" s="5" t="s">
        <v>11679</v>
      </c>
      <c r="C5655" s="7" t="s">
        <v>12556</v>
      </c>
      <c r="D5655" s="8">
        <f t="shared" si="356"/>
        <v>0</v>
      </c>
      <c r="E5655" s="7" t="s">
        <v>12557</v>
      </c>
      <c r="F5655" s="7">
        <f t="shared" si="357"/>
        <v>1</v>
      </c>
      <c r="G5655" s="7" t="s">
        <v>12558</v>
      </c>
      <c r="H5655" s="7">
        <f t="shared" si="358"/>
        <v>0</v>
      </c>
      <c r="I5655" s="7" t="str" cm="1">
        <f t="array" ref="I5655">IFERROR(_xlfn.IFS(M5655="נח",1,M5655="נע ונח",1,M5655="שני שווא נח",2,M5655="שני שוואים בסוף מילה",2,M5655="שני שוואים ברצף",1),"0")</f>
        <v>0</v>
      </c>
      <c r="J5655" s="9">
        <f t="shared" si="359"/>
        <v>2</v>
      </c>
      <c r="K5655" t="s">
        <v>6697</v>
      </c>
      <c r="L5655" t="s">
        <v>6695</v>
      </c>
      <c r="R5655" t="s">
        <v>6694</v>
      </c>
      <c r="S5655" t="s">
        <v>6694</v>
      </c>
      <c r="W5655" t="s">
        <v>6720</v>
      </c>
    </row>
    <row r="5656" spans="1:23" ht="15.6" x14ac:dyDescent="0.4">
      <c r="A5656" s="2" t="s">
        <v>5104</v>
      </c>
      <c r="B5656" s="5" t="s">
        <v>11615</v>
      </c>
      <c r="C5656" s="7" t="s">
        <v>12556</v>
      </c>
      <c r="D5656" s="8">
        <f t="shared" si="356"/>
        <v>0</v>
      </c>
      <c r="E5656" s="7" t="s">
        <v>12557</v>
      </c>
      <c r="F5656" s="7">
        <f t="shared" si="357"/>
        <v>1</v>
      </c>
      <c r="G5656" s="7" t="s">
        <v>12558</v>
      </c>
      <c r="H5656" s="7">
        <f t="shared" si="358"/>
        <v>0</v>
      </c>
      <c r="I5656" s="7" t="str" cm="1">
        <f t="array" ref="I5656">IFERROR(_xlfn.IFS(M5656="נח",1,M5656="נע ונח",1,M5656="שני שווא נח",2,M5656="שני שוואים בסוף מילה",2,M5656="שני שוואים ברצף",1),"0")</f>
        <v>0</v>
      </c>
      <c r="J5656" s="9">
        <f t="shared" si="359"/>
        <v>1</v>
      </c>
      <c r="K5656" t="s">
        <v>6698</v>
      </c>
      <c r="L5656" t="s">
        <v>6695</v>
      </c>
      <c r="P5656" t="s">
        <v>6694</v>
      </c>
      <c r="W5656" t="s">
        <v>6720</v>
      </c>
    </row>
    <row r="5657" spans="1:23" ht="15.6" x14ac:dyDescent="0.4">
      <c r="A5657" s="2" t="s">
        <v>2462</v>
      </c>
      <c r="B5657" s="5" t="s">
        <v>11680</v>
      </c>
      <c r="C5657" s="7" t="s">
        <v>12556</v>
      </c>
      <c r="D5657" s="8">
        <f t="shared" si="356"/>
        <v>0</v>
      </c>
      <c r="E5657" s="7" t="s">
        <v>12557</v>
      </c>
      <c r="F5657" s="7">
        <f t="shared" si="357"/>
        <v>1</v>
      </c>
      <c r="G5657" s="7" t="s">
        <v>12558</v>
      </c>
      <c r="H5657" s="7">
        <f t="shared" si="358"/>
        <v>0</v>
      </c>
      <c r="I5657" s="7" t="str" cm="1">
        <f t="array" ref="I5657">IFERROR(_xlfn.IFS(M5657="נח",1,M5657="נע ונח",1,M5657="שני שווא נח",2,M5657="שני שוואים בסוף מילה",2,M5657="שני שוואים ברצף",1),"0")</f>
        <v>0</v>
      </c>
      <c r="J5657" s="9">
        <f t="shared" si="359"/>
        <v>2</v>
      </c>
      <c r="K5657" t="s">
        <v>6698</v>
      </c>
      <c r="L5657" t="s">
        <v>6695</v>
      </c>
      <c r="P5657" t="s">
        <v>6694</v>
      </c>
      <c r="S5657" t="s">
        <v>6694</v>
      </c>
      <c r="W5657" t="s">
        <v>6720</v>
      </c>
    </row>
    <row r="5658" spans="1:23" ht="15.6" x14ac:dyDescent="0.4">
      <c r="A5658" s="2" t="s">
        <v>3428</v>
      </c>
      <c r="B5658" s="5" t="s">
        <v>11616</v>
      </c>
      <c r="C5658" s="7" t="s">
        <v>12556</v>
      </c>
      <c r="D5658" s="8">
        <f t="shared" si="356"/>
        <v>0</v>
      </c>
      <c r="E5658" s="7" t="s">
        <v>12557</v>
      </c>
      <c r="F5658" s="7">
        <f t="shared" si="357"/>
        <v>1</v>
      </c>
      <c r="G5658" s="7" t="s">
        <v>12558</v>
      </c>
      <c r="H5658" s="7">
        <f t="shared" si="358"/>
        <v>0</v>
      </c>
      <c r="I5658" s="7" t="str" cm="1">
        <f t="array" ref="I5658">IFERROR(_xlfn.IFS(M5658="נח",1,M5658="נע ונח",1,M5658="שני שווא נח",2,M5658="שני שוואים בסוף מילה",2,M5658="שני שוואים ברצף",1),"0")</f>
        <v>0</v>
      </c>
      <c r="J5658" s="9">
        <f t="shared" si="359"/>
        <v>2</v>
      </c>
      <c r="K5658" t="s">
        <v>6698</v>
      </c>
      <c r="L5658" t="s">
        <v>6695</v>
      </c>
      <c r="P5658" t="s">
        <v>6694</v>
      </c>
      <c r="W5658" t="s">
        <v>6720</v>
      </c>
    </row>
    <row r="5659" spans="1:23" ht="15.6" x14ac:dyDescent="0.4">
      <c r="A5659" s="2" t="s">
        <v>178</v>
      </c>
      <c r="B5659" s="5" t="s">
        <v>11681</v>
      </c>
      <c r="C5659" s="7" t="s">
        <v>12556</v>
      </c>
      <c r="D5659" s="8">
        <f t="shared" si="356"/>
        <v>0</v>
      </c>
      <c r="E5659" s="7" t="s">
        <v>12557</v>
      </c>
      <c r="F5659" s="7">
        <f t="shared" si="357"/>
        <v>1</v>
      </c>
      <c r="G5659" s="7" t="s">
        <v>12558</v>
      </c>
      <c r="H5659" s="7">
        <f t="shared" si="358"/>
        <v>0</v>
      </c>
      <c r="I5659" s="7" cm="1">
        <f t="array" ref="I5659">IFERROR(_xlfn.IFS(M5659="נח",1,M5659="נע ונח",1,M5659="שני שווא נח",2,M5659="שני שוואים בסוף מילה",2,M5659="שני שוואים ברצף",1),"0")</f>
        <v>1</v>
      </c>
      <c r="J5659" s="9">
        <f t="shared" si="359"/>
        <v>2</v>
      </c>
      <c r="K5659" t="s">
        <v>6698</v>
      </c>
      <c r="L5659" t="s">
        <v>6694</v>
      </c>
      <c r="M5659" t="s">
        <v>6705</v>
      </c>
      <c r="P5659" t="s">
        <v>6694</v>
      </c>
      <c r="Q5659" t="s">
        <v>6694</v>
      </c>
      <c r="W5659" t="s">
        <v>6720</v>
      </c>
    </row>
    <row r="5660" spans="1:23" ht="15.6" x14ac:dyDescent="0.4">
      <c r="A5660" s="2" t="s">
        <v>466</v>
      </c>
      <c r="B5660" s="5" t="s">
        <v>11617</v>
      </c>
      <c r="C5660" s="7" t="s">
        <v>12556</v>
      </c>
      <c r="D5660" s="8">
        <f t="shared" si="356"/>
        <v>0</v>
      </c>
      <c r="E5660" s="7" t="s">
        <v>12557</v>
      </c>
      <c r="F5660" s="7">
        <f t="shared" si="357"/>
        <v>2</v>
      </c>
      <c r="G5660" s="7" t="s">
        <v>12558</v>
      </c>
      <c r="H5660" s="7">
        <f t="shared" si="358"/>
        <v>0</v>
      </c>
      <c r="I5660" s="7" cm="1">
        <f t="array" ref="I5660">IFERROR(_xlfn.IFS(M5660="נח",1,M5660="נע ונח",1,M5660="שני שווא נח",2,M5660="שני שוואים בסוף מילה",2,M5660="שני שוואים ברצף",1),"0")</f>
        <v>1</v>
      </c>
      <c r="J5660" s="9">
        <f t="shared" si="359"/>
        <v>3</v>
      </c>
      <c r="K5660" t="s">
        <v>6697</v>
      </c>
      <c r="L5660" t="s">
        <v>6694</v>
      </c>
      <c r="M5660" t="s">
        <v>6705</v>
      </c>
      <c r="P5660" t="s">
        <v>6694</v>
      </c>
      <c r="Q5660" t="s">
        <v>6694</v>
      </c>
      <c r="S5660" t="s">
        <v>6694</v>
      </c>
      <c r="W5660" t="s">
        <v>6720</v>
      </c>
    </row>
    <row r="5661" spans="1:23" ht="15.6" x14ac:dyDescent="0.4">
      <c r="A5661" s="2" t="s">
        <v>5498</v>
      </c>
      <c r="B5661" s="5" t="s">
        <v>11682</v>
      </c>
      <c r="C5661" s="7" t="s">
        <v>12556</v>
      </c>
      <c r="D5661" s="8">
        <f t="shared" si="356"/>
        <v>0</v>
      </c>
      <c r="E5661" s="7" t="s">
        <v>12557</v>
      </c>
      <c r="F5661" s="7">
        <f t="shared" si="357"/>
        <v>3</v>
      </c>
      <c r="G5661" s="7" t="s">
        <v>12558</v>
      </c>
      <c r="H5661" s="7">
        <f t="shared" si="358"/>
        <v>1</v>
      </c>
      <c r="I5661" s="7" cm="1">
        <f t="array" ref="I5661">IFERROR(_xlfn.IFS(M5661="נח",1,M5661="נע ונח",1,M5661="שני שווא נח",2,M5661="שני שוואים בסוף מילה",2,M5661="שני שוואים ברצף",1),"0")</f>
        <v>1</v>
      </c>
      <c r="J5661" s="9">
        <f t="shared" si="359"/>
        <v>2</v>
      </c>
      <c r="K5661" t="s">
        <v>6697</v>
      </c>
      <c r="L5661" t="s">
        <v>6694</v>
      </c>
      <c r="M5661" t="s">
        <v>6705</v>
      </c>
      <c r="P5661" t="s">
        <v>6694</v>
      </c>
      <c r="U5661" t="s">
        <v>6694</v>
      </c>
      <c r="W5661" t="s">
        <v>6720</v>
      </c>
    </row>
    <row r="5662" spans="1:23" ht="15.6" x14ac:dyDescent="0.4">
      <c r="A5662" s="2" t="s">
        <v>4085</v>
      </c>
      <c r="B5662" s="5" t="s">
        <v>11618</v>
      </c>
      <c r="C5662" s="7" t="s">
        <v>12556</v>
      </c>
      <c r="D5662" s="8">
        <f t="shared" si="356"/>
        <v>0</v>
      </c>
      <c r="E5662" s="7" t="s">
        <v>12557</v>
      </c>
      <c r="F5662" s="7">
        <f t="shared" si="357"/>
        <v>2</v>
      </c>
      <c r="G5662" s="7" t="s">
        <v>12558</v>
      </c>
      <c r="H5662" s="7">
        <f t="shared" si="358"/>
        <v>0</v>
      </c>
      <c r="I5662" s="7" t="str" cm="1">
        <f t="array" ref="I5662">IFERROR(_xlfn.IFS(M5662="נח",1,M5662="נע ונח",1,M5662="שני שווא נח",2,M5662="שני שוואים בסוף מילה",2,M5662="שני שוואים ברצף",1),"0")</f>
        <v>0</v>
      </c>
      <c r="J5662" s="9">
        <f t="shared" si="359"/>
        <v>2</v>
      </c>
      <c r="K5662" t="s">
        <v>6698</v>
      </c>
      <c r="L5662" t="s">
        <v>6695</v>
      </c>
      <c r="P5662" t="s">
        <v>6694</v>
      </c>
      <c r="R5662" t="s">
        <v>6694</v>
      </c>
      <c r="W5662" t="s">
        <v>6720</v>
      </c>
    </row>
    <row r="5663" spans="1:23" ht="15.6" x14ac:dyDescent="0.4">
      <c r="A5663" s="2" t="s">
        <v>4014</v>
      </c>
      <c r="B5663" s="5" t="s">
        <v>11675</v>
      </c>
      <c r="C5663" s="7" t="s">
        <v>12556</v>
      </c>
      <c r="D5663" s="8">
        <f t="shared" si="356"/>
        <v>0</v>
      </c>
      <c r="E5663" s="7" t="s">
        <v>12557</v>
      </c>
      <c r="F5663" s="7">
        <f t="shared" si="357"/>
        <v>2</v>
      </c>
      <c r="G5663" s="7" t="s">
        <v>12558</v>
      </c>
      <c r="H5663" s="7">
        <f t="shared" si="358"/>
        <v>0</v>
      </c>
      <c r="I5663" s="7" t="str" cm="1">
        <f t="array" ref="I5663">IFERROR(_xlfn.IFS(M5663="נח",1,M5663="נע ונח",1,M5663="שני שווא נח",2,M5663="שני שוואים בסוף מילה",2,M5663="שני שוואים ברצף",1),"0")</f>
        <v>0</v>
      </c>
      <c r="J5663" s="9">
        <f t="shared" si="359"/>
        <v>2</v>
      </c>
      <c r="K5663" t="s">
        <v>6698</v>
      </c>
      <c r="L5663" t="s">
        <v>6695</v>
      </c>
      <c r="P5663" t="s">
        <v>6694</v>
      </c>
      <c r="W5663" t="s">
        <v>6720</v>
      </c>
    </row>
    <row r="5664" spans="1:23" ht="15.6" x14ac:dyDescent="0.4">
      <c r="A5664" s="2" t="s">
        <v>6429</v>
      </c>
      <c r="B5664" s="5" t="s">
        <v>11683</v>
      </c>
      <c r="C5664" s="7" t="s">
        <v>12556</v>
      </c>
      <c r="D5664" s="8">
        <f t="shared" si="356"/>
        <v>0</v>
      </c>
      <c r="E5664" s="7" t="s">
        <v>12557</v>
      </c>
      <c r="F5664" s="7">
        <f t="shared" si="357"/>
        <v>3</v>
      </c>
      <c r="G5664" s="7" t="s">
        <v>12558</v>
      </c>
      <c r="H5664" s="7">
        <f t="shared" si="358"/>
        <v>1</v>
      </c>
      <c r="I5664" s="7" t="str" cm="1">
        <f t="array" ref="I5664">IFERROR(_xlfn.IFS(M5664="נח",1,M5664="נע ונח",1,M5664="שני שווא נח",2,M5664="שני שוואים בסוף מילה",2,M5664="שני שוואים ברצף",1),"0")</f>
        <v>0</v>
      </c>
      <c r="J5664" s="9">
        <f t="shared" si="359"/>
        <v>3</v>
      </c>
      <c r="K5664" t="s">
        <v>6698</v>
      </c>
      <c r="L5664" t="s">
        <v>6695</v>
      </c>
      <c r="O5664" t="s">
        <v>6694</v>
      </c>
      <c r="P5664" t="s">
        <v>6694</v>
      </c>
      <c r="U5664" t="s">
        <v>6694</v>
      </c>
      <c r="W5664" t="s">
        <v>6720</v>
      </c>
    </row>
    <row r="5665" spans="1:23" ht="15.6" x14ac:dyDescent="0.4">
      <c r="A5665" s="2" t="s">
        <v>1793</v>
      </c>
      <c r="B5665" s="5" t="s">
        <v>11684</v>
      </c>
      <c r="C5665" s="7" t="s">
        <v>12556</v>
      </c>
      <c r="D5665" s="8">
        <f t="shared" si="356"/>
        <v>0</v>
      </c>
      <c r="E5665" s="7" t="s">
        <v>12557</v>
      </c>
      <c r="F5665" s="7">
        <f t="shared" si="357"/>
        <v>1</v>
      </c>
      <c r="G5665" s="7" t="s">
        <v>12558</v>
      </c>
      <c r="H5665" s="7">
        <f t="shared" si="358"/>
        <v>0</v>
      </c>
      <c r="I5665" s="7" cm="1">
        <f t="array" ref="I5665">IFERROR(_xlfn.IFS(M5665="נח",1,M5665="נע ונח",1,M5665="שני שווא נח",2,M5665="שני שוואים בסוף מילה",2,M5665="שני שוואים ברצף",1),"0")</f>
        <v>1</v>
      </c>
      <c r="J5665" s="9">
        <f t="shared" si="359"/>
        <v>2</v>
      </c>
      <c r="K5665" t="s">
        <v>6697</v>
      </c>
      <c r="L5665" t="s">
        <v>6694</v>
      </c>
      <c r="M5665" t="s">
        <v>6705</v>
      </c>
      <c r="P5665" t="s">
        <v>6694</v>
      </c>
      <c r="V5665" t="s">
        <v>6694</v>
      </c>
      <c r="W5665" t="s">
        <v>6720</v>
      </c>
    </row>
    <row r="5666" spans="1:23" ht="15.6" x14ac:dyDescent="0.4">
      <c r="A5666" s="2" t="s">
        <v>6021</v>
      </c>
      <c r="B5666" s="5" t="s">
        <v>11685</v>
      </c>
      <c r="C5666" s="7" t="s">
        <v>12556</v>
      </c>
      <c r="D5666" s="8">
        <f t="shared" si="356"/>
        <v>0</v>
      </c>
      <c r="E5666" s="7" t="s">
        <v>12557</v>
      </c>
      <c r="F5666" s="7">
        <f t="shared" si="357"/>
        <v>1</v>
      </c>
      <c r="G5666" s="7" t="s">
        <v>12558</v>
      </c>
      <c r="H5666" s="7">
        <f t="shared" si="358"/>
        <v>0</v>
      </c>
      <c r="I5666" s="7" t="str" cm="1">
        <f t="array" ref="I5666">IFERROR(_xlfn.IFS(M5666="נח",1,M5666="נע ונח",1,M5666="שני שווא נח",2,M5666="שני שוואים בסוף מילה",2,M5666="שני שוואים ברצף",1),"0")</f>
        <v>0</v>
      </c>
      <c r="J5666" s="9">
        <f t="shared" si="359"/>
        <v>3</v>
      </c>
      <c r="K5666" t="s">
        <v>6698</v>
      </c>
      <c r="L5666" t="s">
        <v>6695</v>
      </c>
      <c r="O5666" t="s">
        <v>6694</v>
      </c>
      <c r="S5666" t="s">
        <v>6694</v>
      </c>
      <c r="W5666" t="s">
        <v>6720</v>
      </c>
    </row>
    <row r="5667" spans="1:23" ht="15.6" x14ac:dyDescent="0.4">
      <c r="A5667" s="2" t="s">
        <v>3367</v>
      </c>
      <c r="B5667" s="5" t="s">
        <v>11686</v>
      </c>
      <c r="C5667" s="7" t="s">
        <v>12556</v>
      </c>
      <c r="D5667" s="8">
        <f t="shared" si="356"/>
        <v>0</v>
      </c>
      <c r="E5667" s="7" t="s">
        <v>12557</v>
      </c>
      <c r="F5667" s="7">
        <f t="shared" si="357"/>
        <v>1</v>
      </c>
      <c r="G5667" s="7" t="s">
        <v>12558</v>
      </c>
      <c r="H5667" s="7">
        <f t="shared" si="358"/>
        <v>0</v>
      </c>
      <c r="I5667" s="7" t="str" cm="1">
        <f t="array" ref="I5667">IFERROR(_xlfn.IFS(M5667="נח",1,M5667="נע ונח",1,M5667="שני שווא נח",2,M5667="שני שוואים בסוף מילה",2,M5667="שני שוואים ברצף",1),"0")</f>
        <v>0</v>
      </c>
      <c r="J5667" s="9">
        <f t="shared" si="359"/>
        <v>3</v>
      </c>
      <c r="K5667" t="s">
        <v>6697</v>
      </c>
      <c r="L5667" t="s">
        <v>6695</v>
      </c>
      <c r="O5667" t="s">
        <v>6694</v>
      </c>
      <c r="S5667" t="s">
        <v>6694</v>
      </c>
      <c r="W5667" t="s">
        <v>6720</v>
      </c>
    </row>
    <row r="5668" spans="1:23" ht="15.6" x14ac:dyDescent="0.4">
      <c r="A5668" s="2" t="s">
        <v>4037</v>
      </c>
      <c r="B5668" s="5" t="s">
        <v>11620</v>
      </c>
      <c r="C5668" s="7" t="s">
        <v>12556</v>
      </c>
      <c r="D5668" s="8">
        <f t="shared" si="356"/>
        <v>0</v>
      </c>
      <c r="E5668" s="7" t="s">
        <v>12557</v>
      </c>
      <c r="F5668" s="7">
        <f t="shared" si="357"/>
        <v>1</v>
      </c>
      <c r="G5668" s="7" t="s">
        <v>12558</v>
      </c>
      <c r="H5668" s="7">
        <f t="shared" si="358"/>
        <v>0</v>
      </c>
      <c r="I5668" s="7" t="str" cm="1">
        <f t="array" ref="I5668">IFERROR(_xlfn.IFS(M5668="נח",1,M5668="נע ונח",1,M5668="שני שווא נח",2,M5668="שני שוואים בסוף מילה",2,M5668="שני שוואים ברצף",1),"0")</f>
        <v>0</v>
      </c>
      <c r="J5668" s="9">
        <f t="shared" si="359"/>
        <v>2</v>
      </c>
      <c r="K5668" t="s">
        <v>6697</v>
      </c>
      <c r="L5668" t="s">
        <v>6695</v>
      </c>
      <c r="O5668" t="s">
        <v>6694</v>
      </c>
      <c r="W5668" t="s">
        <v>6720</v>
      </c>
    </row>
    <row r="5669" spans="1:23" ht="15.6" x14ac:dyDescent="0.4">
      <c r="A5669" s="2" t="s">
        <v>6340</v>
      </c>
      <c r="B5669" s="5" t="s">
        <v>11687</v>
      </c>
      <c r="C5669" s="7" t="s">
        <v>12556</v>
      </c>
      <c r="D5669" s="8">
        <f t="shared" si="356"/>
        <v>0</v>
      </c>
      <c r="E5669" s="7" t="s">
        <v>12557</v>
      </c>
      <c r="F5669" s="7">
        <f t="shared" si="357"/>
        <v>1</v>
      </c>
      <c r="G5669" s="7" t="s">
        <v>12558</v>
      </c>
      <c r="H5669" s="7">
        <f t="shared" si="358"/>
        <v>0</v>
      </c>
      <c r="I5669" s="7" t="str" cm="1">
        <f t="array" ref="I5669">IFERROR(_xlfn.IFS(M5669="נח",1,M5669="נע ונח",1,M5669="שני שווא נח",2,M5669="שני שוואים בסוף מילה",2,M5669="שני שוואים ברצף",1),"0")</f>
        <v>0</v>
      </c>
      <c r="J5669" s="9">
        <f t="shared" si="359"/>
        <v>1</v>
      </c>
      <c r="K5669" t="s">
        <v>6698</v>
      </c>
      <c r="L5669" t="s">
        <v>6695</v>
      </c>
      <c r="N5669" t="s">
        <v>6706</v>
      </c>
      <c r="O5669" t="s">
        <v>6694</v>
      </c>
      <c r="W5669" t="s">
        <v>6720</v>
      </c>
    </row>
    <row r="5670" spans="1:23" ht="15.6" x14ac:dyDescent="0.4">
      <c r="A5670" s="2" t="s">
        <v>3225</v>
      </c>
      <c r="B5670" s="5" t="s">
        <v>11688</v>
      </c>
      <c r="C5670" s="7" t="s">
        <v>12556</v>
      </c>
      <c r="D5670" s="8">
        <f t="shared" si="356"/>
        <v>0</v>
      </c>
      <c r="E5670" s="7" t="s">
        <v>12557</v>
      </c>
      <c r="F5670" s="7">
        <f t="shared" si="357"/>
        <v>2</v>
      </c>
      <c r="G5670" s="7" t="s">
        <v>12558</v>
      </c>
      <c r="H5670" s="7">
        <f t="shared" si="358"/>
        <v>1</v>
      </c>
      <c r="I5670" s="7" t="str" cm="1">
        <f t="array" ref="I5670">IFERROR(_xlfn.IFS(M5670="נח",1,M5670="נע ונח",1,M5670="שני שווא נח",2,M5670="שני שוואים בסוף מילה",2,M5670="שני שוואים ברצף",1),"0")</f>
        <v>0</v>
      </c>
      <c r="J5670" s="9">
        <f t="shared" si="359"/>
        <v>3</v>
      </c>
      <c r="K5670" t="s">
        <v>6697</v>
      </c>
      <c r="L5670" t="s">
        <v>6695</v>
      </c>
      <c r="O5670" t="s">
        <v>6694</v>
      </c>
      <c r="P5670" t="s">
        <v>6694</v>
      </c>
      <c r="U5670" t="s">
        <v>6694</v>
      </c>
      <c r="W5670" t="s">
        <v>6720</v>
      </c>
    </row>
    <row r="5671" spans="1:23" ht="15.6" x14ac:dyDescent="0.4">
      <c r="A5671" s="2" t="s">
        <v>691</v>
      </c>
      <c r="B5671" s="5" t="s">
        <v>11689</v>
      </c>
      <c r="C5671" s="7" t="s">
        <v>12556</v>
      </c>
      <c r="D5671" s="8">
        <f t="shared" si="356"/>
        <v>0</v>
      </c>
      <c r="E5671" s="7" t="s">
        <v>12557</v>
      </c>
      <c r="F5671" s="7">
        <f t="shared" si="357"/>
        <v>1</v>
      </c>
      <c r="G5671" s="7" t="s">
        <v>12558</v>
      </c>
      <c r="H5671" s="7">
        <f t="shared" si="358"/>
        <v>0</v>
      </c>
      <c r="I5671" s="7" t="str" cm="1">
        <f t="array" ref="I5671">IFERROR(_xlfn.IFS(M5671="נח",1,M5671="נע ונח",1,M5671="שני שווא נח",2,M5671="שני שוואים בסוף מילה",2,M5671="שני שוואים ברצף",1),"0")</f>
        <v>0</v>
      </c>
      <c r="J5671" s="9">
        <f t="shared" si="359"/>
        <v>2</v>
      </c>
      <c r="K5671" t="s">
        <v>6698</v>
      </c>
      <c r="L5671" t="s">
        <v>6695</v>
      </c>
      <c r="O5671" t="s">
        <v>6694</v>
      </c>
      <c r="S5671" t="s">
        <v>6694</v>
      </c>
      <c r="W5671" t="s">
        <v>6720</v>
      </c>
    </row>
    <row r="5672" spans="1:23" ht="15.6" x14ac:dyDescent="0.4">
      <c r="A5672" s="2" t="s">
        <v>758</v>
      </c>
      <c r="B5672" s="5" t="s">
        <v>11622</v>
      </c>
      <c r="C5672" s="7" t="s">
        <v>12556</v>
      </c>
      <c r="D5672" s="8">
        <f t="shared" si="356"/>
        <v>0</v>
      </c>
      <c r="E5672" s="7" t="s">
        <v>12557</v>
      </c>
      <c r="F5672" s="7">
        <f t="shared" si="357"/>
        <v>1</v>
      </c>
      <c r="G5672" s="7" t="s">
        <v>12558</v>
      </c>
      <c r="H5672" s="7">
        <f t="shared" si="358"/>
        <v>0</v>
      </c>
      <c r="I5672" s="7" t="str" cm="1">
        <f t="array" ref="I5672">IFERROR(_xlfn.IFS(M5672="נח",1,M5672="נע ונח",1,M5672="שני שווא נח",2,M5672="שני שוואים בסוף מילה",2,M5672="שני שוואים ברצף",1),"0")</f>
        <v>0</v>
      </c>
      <c r="J5672" s="9">
        <f t="shared" si="359"/>
        <v>3</v>
      </c>
      <c r="K5672" t="s">
        <v>6697</v>
      </c>
      <c r="L5672" t="s">
        <v>6695</v>
      </c>
      <c r="O5672" t="s">
        <v>6694</v>
      </c>
      <c r="R5672" t="s">
        <v>6694</v>
      </c>
      <c r="W5672" t="s">
        <v>6720</v>
      </c>
    </row>
    <row r="5673" spans="1:23" ht="15.6" x14ac:dyDescent="0.4">
      <c r="A5673" s="2" t="s">
        <v>3596</v>
      </c>
      <c r="B5673" s="5" t="s">
        <v>11624</v>
      </c>
      <c r="C5673" s="7" t="s">
        <v>12556</v>
      </c>
      <c r="D5673" s="8">
        <f t="shared" si="356"/>
        <v>0</v>
      </c>
      <c r="E5673" s="7" t="s">
        <v>12557</v>
      </c>
      <c r="F5673" s="7">
        <f t="shared" si="357"/>
        <v>1</v>
      </c>
      <c r="G5673" s="7" t="s">
        <v>12558</v>
      </c>
      <c r="H5673" s="7">
        <f t="shared" si="358"/>
        <v>0</v>
      </c>
      <c r="I5673" s="7" t="str" cm="1">
        <f t="array" ref="I5673">IFERROR(_xlfn.IFS(M5673="נח",1,M5673="נע ונח",1,M5673="שני שווא נח",2,M5673="שני שוואים בסוף מילה",2,M5673="שני שוואים ברצף",1),"0")</f>
        <v>0</v>
      </c>
      <c r="J5673" s="9">
        <f t="shared" si="359"/>
        <v>2</v>
      </c>
      <c r="K5673" t="s">
        <v>6698</v>
      </c>
      <c r="L5673" t="s">
        <v>6695</v>
      </c>
      <c r="O5673" t="s">
        <v>6694</v>
      </c>
      <c r="P5673" t="s">
        <v>6694</v>
      </c>
      <c r="W5673" t="s">
        <v>6720</v>
      </c>
    </row>
    <row r="5674" spans="1:23" ht="15.6" x14ac:dyDescent="0.4">
      <c r="A5674" s="2" t="s">
        <v>3733</v>
      </c>
      <c r="B5674" s="5" t="s">
        <v>11622</v>
      </c>
      <c r="C5674" s="7" t="s">
        <v>12556</v>
      </c>
      <c r="D5674" s="8">
        <f t="shared" si="356"/>
        <v>0</v>
      </c>
      <c r="E5674" s="7" t="s">
        <v>12557</v>
      </c>
      <c r="F5674" s="7">
        <f t="shared" si="357"/>
        <v>1</v>
      </c>
      <c r="G5674" s="7" t="s">
        <v>12558</v>
      </c>
      <c r="H5674" s="7">
        <f t="shared" si="358"/>
        <v>0</v>
      </c>
      <c r="I5674" s="7" cm="1">
        <f t="array" ref="I5674">IFERROR(_xlfn.IFS(M5674="נח",1,M5674="נע ונח",1,M5674="שני שווא נח",2,M5674="שני שוואים בסוף מילה",2,M5674="שני שוואים ברצף",1),"0")</f>
        <v>1</v>
      </c>
      <c r="J5674" s="9">
        <f t="shared" si="359"/>
        <v>3</v>
      </c>
      <c r="K5674" t="s">
        <v>6698</v>
      </c>
      <c r="L5674" t="s">
        <v>6694</v>
      </c>
      <c r="M5674" t="s">
        <v>6705</v>
      </c>
      <c r="O5674" t="s">
        <v>6694</v>
      </c>
      <c r="P5674" t="s">
        <v>6694</v>
      </c>
      <c r="S5674" t="s">
        <v>6694</v>
      </c>
      <c r="W5674" t="s">
        <v>6720</v>
      </c>
    </row>
    <row r="5675" spans="1:23" ht="15.6" x14ac:dyDescent="0.4">
      <c r="A5675" s="2" t="s">
        <v>3138</v>
      </c>
      <c r="B5675" s="5" t="s">
        <v>11625</v>
      </c>
      <c r="C5675" s="7" t="s">
        <v>12556</v>
      </c>
      <c r="D5675" s="8">
        <f t="shared" si="356"/>
        <v>0</v>
      </c>
      <c r="E5675" s="7" t="s">
        <v>12557</v>
      </c>
      <c r="F5675" s="7">
        <f t="shared" si="357"/>
        <v>1</v>
      </c>
      <c r="G5675" s="7" t="s">
        <v>12558</v>
      </c>
      <c r="H5675" s="7">
        <f t="shared" si="358"/>
        <v>0</v>
      </c>
      <c r="I5675" s="7" t="str" cm="1">
        <f t="array" ref="I5675">IFERROR(_xlfn.IFS(M5675="נח",1,M5675="נע ונח",1,M5675="שני שווא נח",2,M5675="שני שוואים בסוף מילה",2,M5675="שני שוואים ברצף",1),"0")</f>
        <v>0</v>
      </c>
      <c r="J5675" s="9">
        <f t="shared" si="359"/>
        <v>2</v>
      </c>
      <c r="K5675" t="s">
        <v>6698</v>
      </c>
      <c r="L5675" t="s">
        <v>6695</v>
      </c>
      <c r="N5675" t="s">
        <v>6706</v>
      </c>
      <c r="O5675" t="s">
        <v>6694</v>
      </c>
      <c r="W5675" t="s">
        <v>6720</v>
      </c>
    </row>
    <row r="5676" spans="1:23" ht="15.6" x14ac:dyDescent="0.4">
      <c r="A5676" s="2" t="s">
        <v>4754</v>
      </c>
      <c r="B5676" s="5" t="s">
        <v>11690</v>
      </c>
      <c r="C5676" s="7" t="s">
        <v>12556</v>
      </c>
      <c r="D5676" s="8">
        <f t="shared" si="356"/>
        <v>0</v>
      </c>
      <c r="E5676" s="7" t="s">
        <v>12557</v>
      </c>
      <c r="F5676" s="7">
        <f t="shared" si="357"/>
        <v>1</v>
      </c>
      <c r="G5676" s="7" t="s">
        <v>12558</v>
      </c>
      <c r="H5676" s="7">
        <f t="shared" si="358"/>
        <v>0</v>
      </c>
      <c r="I5676" s="7" t="str" cm="1">
        <f t="array" ref="I5676">IFERROR(_xlfn.IFS(M5676="נח",1,M5676="נע ונח",1,M5676="שני שווא נח",2,M5676="שני שוואים בסוף מילה",2,M5676="שני שוואים ברצף",1),"0")</f>
        <v>0</v>
      </c>
      <c r="J5676" s="9">
        <f t="shared" si="359"/>
        <v>4</v>
      </c>
      <c r="K5676" t="s">
        <v>6697</v>
      </c>
      <c r="L5676" t="s">
        <v>6695</v>
      </c>
      <c r="O5676" t="s">
        <v>6694</v>
      </c>
      <c r="R5676" t="s">
        <v>6694</v>
      </c>
      <c r="W5676" t="s">
        <v>6720</v>
      </c>
    </row>
    <row r="5677" spans="1:23" ht="15.6" x14ac:dyDescent="0.4">
      <c r="A5677" s="2" t="s">
        <v>1152</v>
      </c>
      <c r="B5677" s="5" t="s">
        <v>11626</v>
      </c>
      <c r="C5677" s="7" t="s">
        <v>12556</v>
      </c>
      <c r="D5677" s="8">
        <f t="shared" si="356"/>
        <v>0</v>
      </c>
      <c r="E5677" s="7" t="s">
        <v>12557</v>
      </c>
      <c r="F5677" s="7">
        <f t="shared" si="357"/>
        <v>1</v>
      </c>
      <c r="G5677" s="7" t="s">
        <v>12558</v>
      </c>
      <c r="H5677" s="7">
        <f t="shared" si="358"/>
        <v>0</v>
      </c>
      <c r="I5677" s="7" t="str" cm="1">
        <f t="array" ref="I5677">IFERROR(_xlfn.IFS(M5677="נח",1,M5677="נע ונח",1,M5677="שני שווא נח",2,M5677="שני שוואים בסוף מילה",2,M5677="שני שוואים ברצף",1),"0")</f>
        <v>0</v>
      </c>
      <c r="J5677" s="9">
        <f t="shared" si="359"/>
        <v>3</v>
      </c>
      <c r="K5677" t="s">
        <v>6697</v>
      </c>
      <c r="L5677" t="s">
        <v>6695</v>
      </c>
      <c r="O5677" t="s">
        <v>6694</v>
      </c>
      <c r="V5677" t="s">
        <v>6694</v>
      </c>
      <c r="W5677" t="s">
        <v>6720</v>
      </c>
    </row>
    <row r="5678" spans="1:23" ht="15.6" x14ac:dyDescent="0.4">
      <c r="A5678" s="2" t="s">
        <v>3412</v>
      </c>
      <c r="B5678" s="5" t="s">
        <v>11640</v>
      </c>
      <c r="C5678" s="7" t="s">
        <v>12556</v>
      </c>
      <c r="D5678" s="8">
        <f t="shared" si="356"/>
        <v>0</v>
      </c>
      <c r="E5678" s="7" t="s">
        <v>12557</v>
      </c>
      <c r="F5678" s="7">
        <f t="shared" si="357"/>
        <v>2</v>
      </c>
      <c r="G5678" s="7" t="s">
        <v>12558</v>
      </c>
      <c r="H5678" s="7">
        <f t="shared" si="358"/>
        <v>0</v>
      </c>
      <c r="I5678" s="7" cm="1">
        <f t="array" ref="I5678">IFERROR(_xlfn.IFS(M5678="נח",1,M5678="נע ונח",1,M5678="שני שווא נח",2,M5678="שני שוואים בסוף מילה",2,M5678="שני שוואים ברצף",1),"0")</f>
        <v>1</v>
      </c>
      <c r="J5678" s="9">
        <f t="shared" si="359"/>
        <v>3</v>
      </c>
      <c r="K5678" t="s">
        <v>6698</v>
      </c>
      <c r="L5678" t="s">
        <v>6694</v>
      </c>
      <c r="M5678" t="s">
        <v>6705</v>
      </c>
      <c r="O5678" t="s">
        <v>6694</v>
      </c>
      <c r="P5678" t="s">
        <v>6694</v>
      </c>
      <c r="W5678" t="s">
        <v>6720</v>
      </c>
    </row>
    <row r="5679" spans="1:23" ht="15.6" x14ac:dyDescent="0.4">
      <c r="A5679" s="2" t="s">
        <v>6234</v>
      </c>
      <c r="B5679" s="5" t="s">
        <v>11691</v>
      </c>
      <c r="C5679" s="7" t="s">
        <v>12556</v>
      </c>
      <c r="D5679" s="8">
        <f t="shared" si="356"/>
        <v>0</v>
      </c>
      <c r="E5679" s="7" t="s">
        <v>12557</v>
      </c>
      <c r="F5679" s="7">
        <f t="shared" si="357"/>
        <v>1</v>
      </c>
      <c r="G5679" s="7" t="s">
        <v>12558</v>
      </c>
      <c r="H5679" s="7">
        <f t="shared" si="358"/>
        <v>0</v>
      </c>
      <c r="I5679" s="7" t="str" cm="1">
        <f t="array" ref="I5679">IFERROR(_xlfn.IFS(M5679="נח",1,M5679="נע ונח",1,M5679="שני שווא נח",2,M5679="שני שוואים בסוף מילה",2,M5679="שני שוואים ברצף",1),"0")</f>
        <v>0</v>
      </c>
      <c r="J5679" s="9">
        <f t="shared" si="359"/>
        <v>2</v>
      </c>
      <c r="K5679" t="s">
        <v>6698</v>
      </c>
      <c r="L5679" t="s">
        <v>6695</v>
      </c>
      <c r="N5679" t="s">
        <v>6706</v>
      </c>
      <c r="O5679" t="s">
        <v>6694</v>
      </c>
      <c r="W5679" t="s">
        <v>6720</v>
      </c>
    </row>
    <row r="5680" spans="1:23" ht="15.6" x14ac:dyDescent="0.4">
      <c r="A5680" s="2" t="s">
        <v>4448</v>
      </c>
      <c r="B5680" s="5" t="s">
        <v>11692</v>
      </c>
      <c r="C5680" s="7" t="s">
        <v>12556</v>
      </c>
      <c r="D5680" s="8">
        <f t="shared" si="356"/>
        <v>0</v>
      </c>
      <c r="E5680" s="7" t="s">
        <v>12557</v>
      </c>
      <c r="F5680" s="7">
        <f t="shared" si="357"/>
        <v>2</v>
      </c>
      <c r="G5680" s="7" t="s">
        <v>12558</v>
      </c>
      <c r="H5680" s="7">
        <f t="shared" si="358"/>
        <v>1</v>
      </c>
      <c r="I5680" s="7" t="str" cm="1">
        <f t="array" ref="I5680">IFERROR(_xlfn.IFS(M5680="נח",1,M5680="נע ונח",1,M5680="שני שווא נח",2,M5680="שני שוואים בסוף מילה",2,M5680="שני שוואים ברצף",1),"0")</f>
        <v>0</v>
      </c>
      <c r="J5680" s="9">
        <f t="shared" si="359"/>
        <v>2</v>
      </c>
      <c r="K5680" t="s">
        <v>6697</v>
      </c>
      <c r="L5680" t="s">
        <v>6695</v>
      </c>
      <c r="O5680" t="s">
        <v>6694</v>
      </c>
      <c r="U5680" t="s">
        <v>6694</v>
      </c>
      <c r="W5680" t="s">
        <v>6720</v>
      </c>
    </row>
    <row r="5681" spans="1:23" ht="15.6" x14ac:dyDescent="0.4">
      <c r="A5681" s="2" t="s">
        <v>1023</v>
      </c>
      <c r="B5681" s="5" t="s">
        <v>11693</v>
      </c>
      <c r="C5681" s="7" t="s">
        <v>12556</v>
      </c>
      <c r="D5681" s="8">
        <f t="shared" si="356"/>
        <v>0</v>
      </c>
      <c r="E5681" s="7" t="s">
        <v>12557</v>
      </c>
      <c r="F5681" s="7">
        <f t="shared" si="357"/>
        <v>1</v>
      </c>
      <c r="G5681" s="7" t="s">
        <v>12558</v>
      </c>
      <c r="H5681" s="7">
        <f t="shared" si="358"/>
        <v>0</v>
      </c>
      <c r="I5681" s="7" cm="1">
        <f t="array" ref="I5681">IFERROR(_xlfn.IFS(M5681="נח",1,M5681="נע ונח",1,M5681="שני שווא נח",2,M5681="שני שוואים בסוף מילה",2,M5681="שני שוואים ברצף",1),"0")</f>
        <v>1</v>
      </c>
      <c r="J5681" s="9">
        <f t="shared" si="359"/>
        <v>3</v>
      </c>
      <c r="K5681" t="s">
        <v>6697</v>
      </c>
      <c r="L5681" t="s">
        <v>6694</v>
      </c>
      <c r="M5681" t="s">
        <v>6705</v>
      </c>
      <c r="N5681" t="s">
        <v>6706</v>
      </c>
      <c r="O5681" t="s">
        <v>6694</v>
      </c>
      <c r="Q5681" t="s">
        <v>6694</v>
      </c>
      <c r="S5681" t="s">
        <v>6694</v>
      </c>
      <c r="W5681" t="s">
        <v>6720</v>
      </c>
    </row>
    <row r="5682" spans="1:23" ht="15.6" x14ac:dyDescent="0.4">
      <c r="A5682" s="2" t="s">
        <v>4387</v>
      </c>
      <c r="B5682" s="5" t="s">
        <v>11694</v>
      </c>
      <c r="C5682" s="7" t="s">
        <v>12556</v>
      </c>
      <c r="D5682" s="8">
        <f t="shared" si="356"/>
        <v>0</v>
      </c>
      <c r="E5682" s="7" t="s">
        <v>12557</v>
      </c>
      <c r="F5682" s="7">
        <f t="shared" si="357"/>
        <v>2</v>
      </c>
      <c r="G5682" s="7" t="s">
        <v>12558</v>
      </c>
      <c r="H5682" s="7">
        <f t="shared" si="358"/>
        <v>0</v>
      </c>
      <c r="I5682" s="7" cm="1">
        <f t="array" ref="I5682">IFERROR(_xlfn.IFS(M5682="נח",1,M5682="נע ונח",1,M5682="שני שווא נח",2,M5682="שני שוואים בסוף מילה",2,M5682="שני שוואים ברצף",1),"0")</f>
        <v>1</v>
      </c>
      <c r="J5682" s="9">
        <f t="shared" si="359"/>
        <v>3</v>
      </c>
      <c r="K5682" t="s">
        <v>6698</v>
      </c>
      <c r="L5682" t="s">
        <v>6694</v>
      </c>
      <c r="M5682" t="s">
        <v>6705</v>
      </c>
      <c r="O5682" t="s">
        <v>6694</v>
      </c>
      <c r="P5682" t="s">
        <v>6694</v>
      </c>
      <c r="W5682" t="s">
        <v>6720</v>
      </c>
    </row>
    <row r="5683" spans="1:23" ht="15.6" x14ac:dyDescent="0.4">
      <c r="A5683" s="2" t="s">
        <v>5106</v>
      </c>
      <c r="B5683" s="5" t="s">
        <v>11695</v>
      </c>
      <c r="C5683" s="7" t="s">
        <v>12556</v>
      </c>
      <c r="D5683" s="8">
        <f t="shared" si="356"/>
        <v>1</v>
      </c>
      <c r="E5683" s="7" t="s">
        <v>12557</v>
      </c>
      <c r="F5683" s="7">
        <f t="shared" si="357"/>
        <v>2</v>
      </c>
      <c r="G5683" s="7" t="s">
        <v>12558</v>
      </c>
      <c r="H5683" s="7">
        <f t="shared" si="358"/>
        <v>1</v>
      </c>
      <c r="I5683" s="7" cm="1">
        <f t="array" ref="I5683">IFERROR(_xlfn.IFS(M5683="נח",1,M5683="נע ונח",1,M5683="שני שווא נח",2,M5683="שני שוואים בסוף מילה",2,M5683="שני שוואים ברצף",1),"0")</f>
        <v>1</v>
      </c>
      <c r="J5683" s="9">
        <f t="shared" si="359"/>
        <v>2</v>
      </c>
      <c r="K5683" t="s">
        <v>6697</v>
      </c>
      <c r="L5683" t="s">
        <v>6694</v>
      </c>
      <c r="M5683" t="s">
        <v>6705</v>
      </c>
      <c r="N5683" t="s">
        <v>6706</v>
      </c>
      <c r="O5683" t="s">
        <v>6694</v>
      </c>
      <c r="U5683" t="s">
        <v>6694</v>
      </c>
      <c r="W5683" t="s">
        <v>6720</v>
      </c>
    </row>
    <row r="5684" spans="1:23" ht="15.6" x14ac:dyDescent="0.4">
      <c r="A5684" s="2" t="s">
        <v>5874</v>
      </c>
      <c r="B5684" s="5" t="s">
        <v>11629</v>
      </c>
      <c r="C5684" s="7" t="s">
        <v>12556</v>
      </c>
      <c r="D5684" s="8">
        <f t="shared" si="356"/>
        <v>0</v>
      </c>
      <c r="E5684" s="7" t="s">
        <v>12557</v>
      </c>
      <c r="F5684" s="7">
        <f t="shared" si="357"/>
        <v>1</v>
      </c>
      <c r="G5684" s="7" t="s">
        <v>12558</v>
      </c>
      <c r="H5684" s="7">
        <f t="shared" si="358"/>
        <v>0</v>
      </c>
      <c r="I5684" s="7" t="str" cm="1">
        <f t="array" ref="I5684">IFERROR(_xlfn.IFS(M5684="נח",1,M5684="נע ונח",1,M5684="שני שווא נח",2,M5684="שני שוואים בסוף מילה",2,M5684="שני שוואים ברצף",1),"0")</f>
        <v>0</v>
      </c>
      <c r="J5684" s="9">
        <f t="shared" si="359"/>
        <v>2</v>
      </c>
      <c r="K5684" t="s">
        <v>6698</v>
      </c>
      <c r="L5684" t="s">
        <v>6695</v>
      </c>
      <c r="O5684" t="s">
        <v>6694</v>
      </c>
      <c r="S5684" t="s">
        <v>6694</v>
      </c>
      <c r="W5684" t="s">
        <v>6720</v>
      </c>
    </row>
    <row r="5685" spans="1:23" ht="15.6" x14ac:dyDescent="0.4">
      <c r="A5685" s="2" t="s">
        <v>4812</v>
      </c>
      <c r="B5685" s="5" t="s">
        <v>11696</v>
      </c>
      <c r="C5685" s="7" t="s">
        <v>12556</v>
      </c>
      <c r="D5685" s="8">
        <f t="shared" si="356"/>
        <v>0</v>
      </c>
      <c r="E5685" s="7" t="s">
        <v>12557</v>
      </c>
      <c r="F5685" s="7">
        <f t="shared" si="357"/>
        <v>2</v>
      </c>
      <c r="G5685" s="7" t="s">
        <v>12558</v>
      </c>
      <c r="H5685" s="7">
        <f t="shared" si="358"/>
        <v>0</v>
      </c>
      <c r="I5685" s="7" cm="1">
        <f t="array" ref="I5685">IFERROR(_xlfn.IFS(M5685="נח",1,M5685="נע ונח",1,M5685="שני שווא נח",2,M5685="שני שוואים בסוף מילה",2,M5685="שני שוואים ברצף",1),"0")</f>
        <v>1</v>
      </c>
      <c r="J5685" s="9">
        <f t="shared" si="359"/>
        <v>3</v>
      </c>
      <c r="K5685" t="s">
        <v>6698</v>
      </c>
      <c r="L5685" t="s">
        <v>6694</v>
      </c>
      <c r="M5685" t="s">
        <v>6705</v>
      </c>
      <c r="O5685" t="s">
        <v>6694</v>
      </c>
      <c r="P5685" t="s">
        <v>6694</v>
      </c>
      <c r="W5685" t="s">
        <v>6720</v>
      </c>
    </row>
    <row r="5686" spans="1:23" ht="15.6" x14ac:dyDescent="0.4">
      <c r="A5686" s="2" t="s">
        <v>2509</v>
      </c>
      <c r="B5686" s="5" t="s">
        <v>11670</v>
      </c>
      <c r="C5686" s="7" t="s">
        <v>12556</v>
      </c>
      <c r="D5686" s="8">
        <f t="shared" si="356"/>
        <v>0</v>
      </c>
      <c r="E5686" s="7" t="s">
        <v>12557</v>
      </c>
      <c r="F5686" s="7">
        <f t="shared" si="357"/>
        <v>2</v>
      </c>
      <c r="G5686" s="7" t="s">
        <v>12558</v>
      </c>
      <c r="H5686" s="7">
        <f t="shared" si="358"/>
        <v>1</v>
      </c>
      <c r="I5686" s="7" cm="1">
        <f t="array" ref="I5686">IFERROR(_xlfn.IFS(M5686="נח",1,M5686="נע ונח",1,M5686="שני שווא נח",2,M5686="שני שוואים בסוף מילה",2,M5686="שני שוואים ברצף",1),"0")</f>
        <v>1</v>
      </c>
      <c r="J5686" s="9">
        <f t="shared" si="359"/>
        <v>2</v>
      </c>
      <c r="K5686" t="s">
        <v>6697</v>
      </c>
      <c r="L5686" t="s">
        <v>6694</v>
      </c>
      <c r="M5686" t="s">
        <v>6705</v>
      </c>
      <c r="N5686" t="s">
        <v>6706</v>
      </c>
      <c r="O5686" t="s">
        <v>6694</v>
      </c>
      <c r="U5686" t="s">
        <v>6694</v>
      </c>
      <c r="W5686" t="s">
        <v>6720</v>
      </c>
    </row>
    <row r="5687" spans="1:23" ht="15.6" x14ac:dyDescent="0.4">
      <c r="A5687" s="2" t="s">
        <v>6663</v>
      </c>
      <c r="B5687" s="5" t="s">
        <v>6709</v>
      </c>
      <c r="C5687" s="7" t="s">
        <v>12556</v>
      </c>
      <c r="D5687" s="8">
        <f t="shared" si="356"/>
        <v>0</v>
      </c>
      <c r="E5687" s="7" t="s">
        <v>12557</v>
      </c>
      <c r="F5687" s="7">
        <f t="shared" si="357"/>
        <v>1</v>
      </c>
      <c r="G5687" s="7" t="s">
        <v>12558</v>
      </c>
      <c r="H5687" s="7">
        <f t="shared" si="358"/>
        <v>0</v>
      </c>
      <c r="I5687" s="7" t="str" cm="1">
        <f t="array" ref="I5687">IFERROR(_xlfn.IFS(M5687="נח",1,M5687="נע ונח",1,M5687="שני שווא נח",2,M5687="שני שוואים בסוף מילה",2,M5687="שני שוואים ברצף",1),"0")</f>
        <v>0</v>
      </c>
      <c r="J5687" s="9">
        <f t="shared" si="359"/>
        <v>2</v>
      </c>
      <c r="K5687" t="s">
        <v>6698</v>
      </c>
      <c r="L5687" t="s">
        <v>6695</v>
      </c>
      <c r="N5687" t="s">
        <v>6706</v>
      </c>
      <c r="O5687" t="s">
        <v>6694</v>
      </c>
      <c r="W5687" t="s">
        <v>6720</v>
      </c>
    </row>
    <row r="5688" spans="1:23" ht="15.6" x14ac:dyDescent="0.4">
      <c r="A5688" s="2" t="s">
        <v>4952</v>
      </c>
      <c r="B5688" s="5" t="s">
        <v>11670</v>
      </c>
      <c r="C5688" s="7" t="s">
        <v>12556</v>
      </c>
      <c r="D5688" s="8">
        <f t="shared" si="356"/>
        <v>0</v>
      </c>
      <c r="E5688" s="7" t="s">
        <v>12557</v>
      </c>
      <c r="F5688" s="7">
        <f t="shared" si="357"/>
        <v>2</v>
      </c>
      <c r="G5688" s="7" t="s">
        <v>12558</v>
      </c>
      <c r="H5688" s="7">
        <f t="shared" si="358"/>
        <v>1</v>
      </c>
      <c r="I5688" s="7" t="str" cm="1">
        <f t="array" ref="I5688">IFERROR(_xlfn.IFS(M5688="נח",1,M5688="נע ונח",1,M5688="שני שווא נח",2,M5688="שני שוואים בסוף מילה",2,M5688="שני שוואים ברצף",1),"0")</f>
        <v>0</v>
      </c>
      <c r="J5688" s="9">
        <f t="shared" si="359"/>
        <v>3</v>
      </c>
      <c r="K5688" t="s">
        <v>6697</v>
      </c>
      <c r="L5688" t="s">
        <v>6695</v>
      </c>
      <c r="O5688" t="s">
        <v>6694</v>
      </c>
      <c r="U5688" t="s">
        <v>6694</v>
      </c>
      <c r="W5688" t="s">
        <v>6720</v>
      </c>
    </row>
    <row r="5689" spans="1:23" ht="15.6" x14ac:dyDescent="0.4">
      <c r="A5689" s="2" t="s">
        <v>3176</v>
      </c>
      <c r="B5689" s="5" t="s">
        <v>11697</v>
      </c>
      <c r="C5689" s="7" t="s">
        <v>12556</v>
      </c>
      <c r="D5689" s="8">
        <f t="shared" si="356"/>
        <v>0</v>
      </c>
      <c r="E5689" s="7" t="s">
        <v>12557</v>
      </c>
      <c r="F5689" s="7">
        <f t="shared" si="357"/>
        <v>2</v>
      </c>
      <c r="G5689" s="7" t="s">
        <v>12558</v>
      </c>
      <c r="H5689" s="7">
        <f t="shared" si="358"/>
        <v>1</v>
      </c>
      <c r="I5689" s="7" t="str" cm="1">
        <f t="array" ref="I5689">IFERROR(_xlfn.IFS(M5689="נח",1,M5689="נע ונח",1,M5689="שני שווא נח",2,M5689="שני שוואים בסוף מילה",2,M5689="שני שוואים ברצף",1),"0")</f>
        <v>0</v>
      </c>
      <c r="J5689" s="9">
        <f t="shared" si="359"/>
        <v>3</v>
      </c>
      <c r="K5689" t="s">
        <v>6697</v>
      </c>
      <c r="L5689" t="s">
        <v>6695</v>
      </c>
      <c r="N5689" t="s">
        <v>6707</v>
      </c>
      <c r="O5689" t="s">
        <v>6694</v>
      </c>
      <c r="P5689" t="s">
        <v>6694</v>
      </c>
      <c r="U5689" t="s">
        <v>6694</v>
      </c>
      <c r="W5689" t="s">
        <v>6720</v>
      </c>
    </row>
    <row r="5690" spans="1:23" ht="15.6" x14ac:dyDescent="0.4">
      <c r="A5690" s="2" t="s">
        <v>70</v>
      </c>
      <c r="B5690" s="5" t="s">
        <v>11627</v>
      </c>
      <c r="C5690" s="7" t="s">
        <v>12556</v>
      </c>
      <c r="D5690" s="8">
        <f t="shared" si="356"/>
        <v>0</v>
      </c>
      <c r="E5690" s="7" t="s">
        <v>12557</v>
      </c>
      <c r="F5690" s="7">
        <f t="shared" si="357"/>
        <v>1</v>
      </c>
      <c r="G5690" s="7" t="s">
        <v>12558</v>
      </c>
      <c r="H5690" s="7">
        <f t="shared" si="358"/>
        <v>0</v>
      </c>
      <c r="I5690" s="7" t="str" cm="1">
        <f t="array" ref="I5690">IFERROR(_xlfn.IFS(M5690="נח",1,M5690="נע ונח",1,M5690="שני שווא נח",2,M5690="שני שוואים בסוף מילה",2,M5690="שני שוואים ברצף",1),"0")</f>
        <v>0</v>
      </c>
      <c r="J5690" s="9">
        <f t="shared" si="359"/>
        <v>3</v>
      </c>
      <c r="K5690" t="s">
        <v>6698</v>
      </c>
      <c r="L5690" t="s">
        <v>6695</v>
      </c>
      <c r="P5690" t="s">
        <v>6694</v>
      </c>
      <c r="Q5690" t="s">
        <v>6694</v>
      </c>
      <c r="V5690" t="s">
        <v>6694</v>
      </c>
      <c r="W5690" t="s">
        <v>6720</v>
      </c>
    </row>
    <row r="5691" spans="1:23" ht="15.6" x14ac:dyDescent="0.4">
      <c r="A5691" s="2" t="s">
        <v>5666</v>
      </c>
      <c r="B5691" s="5" t="s">
        <v>11691</v>
      </c>
      <c r="C5691" s="7" t="s">
        <v>12556</v>
      </c>
      <c r="D5691" s="8">
        <f t="shared" si="356"/>
        <v>0</v>
      </c>
      <c r="E5691" s="7" t="s">
        <v>12557</v>
      </c>
      <c r="F5691" s="7">
        <f t="shared" si="357"/>
        <v>1</v>
      </c>
      <c r="G5691" s="7" t="s">
        <v>12558</v>
      </c>
      <c r="H5691" s="7">
        <f t="shared" si="358"/>
        <v>0</v>
      </c>
      <c r="I5691" s="7" t="str" cm="1">
        <f t="array" ref="I5691">IFERROR(_xlfn.IFS(M5691="נח",1,M5691="נע ונח",1,M5691="שני שווא נח",2,M5691="שני שוואים בסוף מילה",2,M5691="שני שוואים ברצף",1),"0")</f>
        <v>0</v>
      </c>
      <c r="J5691" s="9">
        <f t="shared" si="359"/>
        <v>2</v>
      </c>
      <c r="K5691" t="s">
        <v>6698</v>
      </c>
      <c r="L5691" t="s">
        <v>6695</v>
      </c>
      <c r="Q5691" t="s">
        <v>6694</v>
      </c>
      <c r="V5691" t="s">
        <v>6694</v>
      </c>
      <c r="W5691" t="s">
        <v>6720</v>
      </c>
    </row>
    <row r="5692" spans="1:23" ht="15.6" x14ac:dyDescent="0.4">
      <c r="A5692" s="2" t="s">
        <v>3600</v>
      </c>
      <c r="B5692" s="5" t="s">
        <v>11691</v>
      </c>
      <c r="C5692" s="7" t="s">
        <v>12556</v>
      </c>
      <c r="D5692" s="8">
        <f t="shared" si="356"/>
        <v>0</v>
      </c>
      <c r="E5692" s="7" t="s">
        <v>12557</v>
      </c>
      <c r="F5692" s="7">
        <f t="shared" si="357"/>
        <v>1</v>
      </c>
      <c r="G5692" s="7" t="s">
        <v>12558</v>
      </c>
      <c r="H5692" s="7">
        <f t="shared" si="358"/>
        <v>0</v>
      </c>
      <c r="I5692" s="7" t="str" cm="1">
        <f t="array" ref="I5692">IFERROR(_xlfn.IFS(M5692="נח",1,M5692="נע ונח",1,M5692="שני שווא נח",2,M5692="שני שוואים בסוף מילה",2,M5692="שני שוואים ברצף",1),"0")</f>
        <v>0</v>
      </c>
      <c r="J5692" s="9">
        <f t="shared" si="359"/>
        <v>2</v>
      </c>
      <c r="K5692" t="s">
        <v>6698</v>
      </c>
      <c r="L5692" t="s">
        <v>6695</v>
      </c>
      <c r="P5692" t="s">
        <v>6694</v>
      </c>
      <c r="V5692" t="s">
        <v>6694</v>
      </c>
      <c r="W5692" t="s">
        <v>6720</v>
      </c>
    </row>
    <row r="5693" spans="1:23" ht="15.6" x14ac:dyDescent="0.4">
      <c r="A5693" s="2" t="s">
        <v>1323</v>
      </c>
      <c r="B5693" s="5" t="s">
        <v>11698</v>
      </c>
      <c r="C5693" s="7" t="s">
        <v>12556</v>
      </c>
      <c r="D5693" s="8">
        <f t="shared" si="356"/>
        <v>0</v>
      </c>
      <c r="E5693" s="7" t="s">
        <v>12557</v>
      </c>
      <c r="F5693" s="7">
        <f t="shared" si="357"/>
        <v>1</v>
      </c>
      <c r="G5693" s="7" t="s">
        <v>12558</v>
      </c>
      <c r="H5693" s="7">
        <f t="shared" si="358"/>
        <v>0</v>
      </c>
      <c r="I5693" s="7" t="str" cm="1">
        <f t="array" ref="I5693">IFERROR(_xlfn.IFS(M5693="נח",1,M5693="נע ונח",1,M5693="שני שווא נח",2,M5693="שני שוואים בסוף מילה",2,M5693="שני שוואים ברצף",1),"0")</f>
        <v>0</v>
      </c>
      <c r="J5693" s="9">
        <f t="shared" si="359"/>
        <v>3</v>
      </c>
      <c r="K5693" t="s">
        <v>6697</v>
      </c>
      <c r="L5693" t="s">
        <v>6695</v>
      </c>
      <c r="N5693" t="s">
        <v>6707</v>
      </c>
      <c r="P5693" t="s">
        <v>6694</v>
      </c>
      <c r="Q5693" t="s">
        <v>6694</v>
      </c>
      <c r="V5693" t="s">
        <v>6694</v>
      </c>
      <c r="W5693" t="s">
        <v>6720</v>
      </c>
    </row>
    <row r="5694" spans="1:23" ht="15.6" x14ac:dyDescent="0.4">
      <c r="A5694" s="2" t="s">
        <v>5954</v>
      </c>
      <c r="B5694" s="5" t="s">
        <v>11699</v>
      </c>
      <c r="C5694" s="7" t="s">
        <v>12556</v>
      </c>
      <c r="D5694" s="8">
        <f t="shared" si="356"/>
        <v>0</v>
      </c>
      <c r="E5694" s="7" t="s">
        <v>12557</v>
      </c>
      <c r="F5694" s="7">
        <f t="shared" si="357"/>
        <v>1</v>
      </c>
      <c r="G5694" s="7" t="s">
        <v>12558</v>
      </c>
      <c r="H5694" s="7">
        <f t="shared" si="358"/>
        <v>0</v>
      </c>
      <c r="I5694" s="7" t="str" cm="1">
        <f t="array" ref="I5694">IFERROR(_xlfn.IFS(M5694="נח",1,M5694="נע ונח",1,M5694="שני שווא נח",2,M5694="שני שוואים בסוף מילה",2,M5694="שני שוואים ברצף",1),"0")</f>
        <v>0</v>
      </c>
      <c r="J5694" s="9">
        <f t="shared" si="359"/>
        <v>2</v>
      </c>
      <c r="K5694" t="s">
        <v>6698</v>
      </c>
      <c r="L5694" t="s">
        <v>6695</v>
      </c>
      <c r="Q5694" t="s">
        <v>6694</v>
      </c>
      <c r="V5694" t="s">
        <v>6694</v>
      </c>
      <c r="W5694" t="s">
        <v>6720</v>
      </c>
    </row>
    <row r="5695" spans="1:23" ht="15.6" x14ac:dyDescent="0.4">
      <c r="A5695" s="2" t="s">
        <v>5966</v>
      </c>
      <c r="B5695" s="5" t="s">
        <v>11700</v>
      </c>
      <c r="C5695" s="7" t="s">
        <v>12556</v>
      </c>
      <c r="D5695" s="8">
        <f t="shared" si="356"/>
        <v>0</v>
      </c>
      <c r="E5695" s="7" t="s">
        <v>12557</v>
      </c>
      <c r="F5695" s="7">
        <f t="shared" si="357"/>
        <v>1</v>
      </c>
      <c r="G5695" s="7" t="s">
        <v>12558</v>
      </c>
      <c r="H5695" s="7">
        <f t="shared" si="358"/>
        <v>0</v>
      </c>
      <c r="I5695" s="7" t="str" cm="1">
        <f t="array" ref="I5695">IFERROR(_xlfn.IFS(M5695="נח",1,M5695="נע ונח",1,M5695="שני שווא נח",2,M5695="שני שוואים בסוף מילה",2,M5695="שני שוואים ברצף",1),"0")</f>
        <v>0</v>
      </c>
      <c r="J5695" s="9">
        <f t="shared" si="359"/>
        <v>2</v>
      </c>
      <c r="K5695" t="s">
        <v>6697</v>
      </c>
      <c r="L5695" t="s">
        <v>6695</v>
      </c>
      <c r="R5695" t="s">
        <v>6694</v>
      </c>
      <c r="V5695" t="s">
        <v>6694</v>
      </c>
      <c r="W5695" t="s">
        <v>6720</v>
      </c>
    </row>
    <row r="5696" spans="1:23" ht="15.6" x14ac:dyDescent="0.4">
      <c r="A5696" s="2" t="s">
        <v>5667</v>
      </c>
      <c r="B5696" s="5" t="s">
        <v>11701</v>
      </c>
      <c r="C5696" s="7" t="s">
        <v>12556</v>
      </c>
      <c r="D5696" s="8">
        <f t="shared" si="356"/>
        <v>0</v>
      </c>
      <c r="E5696" s="7" t="s">
        <v>12557</v>
      </c>
      <c r="F5696" s="7">
        <f t="shared" si="357"/>
        <v>1</v>
      </c>
      <c r="G5696" s="7" t="s">
        <v>12558</v>
      </c>
      <c r="H5696" s="7">
        <f t="shared" si="358"/>
        <v>0</v>
      </c>
      <c r="I5696" s="7" t="str" cm="1">
        <f t="array" ref="I5696">IFERROR(_xlfn.IFS(M5696="נח",1,M5696="נע ונח",1,M5696="שני שווא נח",2,M5696="שני שוואים בסוף מילה",2,M5696="שני שוואים ברצף",1),"0")</f>
        <v>0</v>
      </c>
      <c r="J5696" s="9">
        <f t="shared" si="359"/>
        <v>4</v>
      </c>
      <c r="K5696" t="s">
        <v>6698</v>
      </c>
      <c r="L5696" t="s">
        <v>6694</v>
      </c>
      <c r="M5696" t="s">
        <v>6703</v>
      </c>
      <c r="O5696" t="s">
        <v>6694</v>
      </c>
      <c r="P5696" t="s">
        <v>6694</v>
      </c>
      <c r="V5696" t="s">
        <v>6694</v>
      </c>
      <c r="W5696" t="s">
        <v>6720</v>
      </c>
    </row>
    <row r="5697" spans="1:23" ht="15.6" x14ac:dyDescent="0.4">
      <c r="A5697" s="2" t="s">
        <v>2862</v>
      </c>
      <c r="B5697" s="5" t="s">
        <v>11702</v>
      </c>
      <c r="C5697" s="7" t="s">
        <v>12556</v>
      </c>
      <c r="D5697" s="8">
        <f t="shared" si="356"/>
        <v>0</v>
      </c>
      <c r="E5697" s="7" t="s">
        <v>12557</v>
      </c>
      <c r="F5697" s="7">
        <f t="shared" si="357"/>
        <v>0</v>
      </c>
      <c r="G5697" s="7" t="s">
        <v>12558</v>
      </c>
      <c r="H5697" s="7">
        <f t="shared" si="358"/>
        <v>0</v>
      </c>
      <c r="I5697" s="7" t="str" cm="1">
        <f t="array" ref="I5697">IFERROR(_xlfn.IFS(M5697="נח",1,M5697="נע ונח",1,M5697="שני שווא נח",2,M5697="שני שוואים בסוף מילה",2,M5697="שני שוואים ברצף",1),"0")</f>
        <v>0</v>
      </c>
      <c r="J5697" s="9">
        <f t="shared" si="359"/>
        <v>3</v>
      </c>
      <c r="K5697" t="s">
        <v>6698</v>
      </c>
      <c r="L5697" t="s">
        <v>6694</v>
      </c>
      <c r="M5697" t="s">
        <v>6700</v>
      </c>
      <c r="N5697" t="s">
        <v>6706</v>
      </c>
      <c r="O5697" t="s">
        <v>6694</v>
      </c>
      <c r="W5697" t="s">
        <v>6720</v>
      </c>
    </row>
    <row r="5698" spans="1:23" ht="15.6" x14ac:dyDescent="0.4">
      <c r="A5698" s="2" t="s">
        <v>6011</v>
      </c>
      <c r="B5698" s="5" t="s">
        <v>11703</v>
      </c>
      <c r="C5698" s="7" t="s">
        <v>12556</v>
      </c>
      <c r="D5698" s="8">
        <f t="shared" si="356"/>
        <v>0</v>
      </c>
      <c r="E5698" s="7" t="s">
        <v>12557</v>
      </c>
      <c r="F5698" s="7">
        <f t="shared" si="357"/>
        <v>0</v>
      </c>
      <c r="G5698" s="7" t="s">
        <v>12558</v>
      </c>
      <c r="H5698" s="7">
        <f t="shared" si="358"/>
        <v>0</v>
      </c>
      <c r="I5698" s="7" t="str" cm="1">
        <f t="array" ref="I5698">IFERROR(_xlfn.IFS(M5698="נח",1,M5698="נע ונח",1,M5698="שני שווא נח",2,M5698="שני שוואים בסוף מילה",2,M5698="שני שוואים ברצף",1),"0")</f>
        <v>0</v>
      </c>
      <c r="J5698" s="9">
        <f t="shared" si="359"/>
        <v>3</v>
      </c>
      <c r="K5698" t="s">
        <v>6698</v>
      </c>
      <c r="L5698" t="s">
        <v>6694</v>
      </c>
      <c r="M5698" t="s">
        <v>6700</v>
      </c>
      <c r="N5698" t="s">
        <v>6706</v>
      </c>
      <c r="O5698" t="s">
        <v>6694</v>
      </c>
      <c r="W5698" t="s">
        <v>6720</v>
      </c>
    </row>
    <row r="5699" spans="1:23" ht="15.6" x14ac:dyDescent="0.4">
      <c r="A5699" s="2" t="s">
        <v>2587</v>
      </c>
      <c r="B5699" s="5" t="s">
        <v>11704</v>
      </c>
      <c r="C5699" s="7" t="s">
        <v>12556</v>
      </c>
      <c r="D5699" s="8">
        <f t="shared" ref="D5699:D5762" si="360">(LEN(B5699)-LEN(SUBSTITUTE(B5699,C5699,"")))</f>
        <v>0</v>
      </c>
      <c r="E5699" s="7" t="s">
        <v>12557</v>
      </c>
      <c r="F5699" s="7">
        <f t="shared" ref="F5699:F5762" si="361">(LEN(A5699)-LEN(SUBSTITUTE(A5699,E5699,"")))</f>
        <v>0</v>
      </c>
      <c r="G5699" s="7" t="s">
        <v>12558</v>
      </c>
      <c r="H5699" s="7">
        <f t="shared" ref="H5699:H5762" si="362">(LEN(A5699)-LEN(SUBSTITUTE(A5699,G5699,"")))/2</f>
        <v>0</v>
      </c>
      <c r="I5699" s="7" t="str" cm="1">
        <f t="array" ref="I5699">IFERROR(_xlfn.IFS(M5699="נח",1,M5699="נע ונח",1,M5699="שני שווא נח",2,M5699="שני שוואים בסוף מילה",2,M5699="שני שוואים ברצף",1),"0")</f>
        <v>0</v>
      </c>
      <c r="J5699" s="9">
        <f t="shared" ref="J5699:J5762" si="363">LEN(A5699)-(LEN(B5699))-D5699-F5699+H5699-I5699</f>
        <v>3</v>
      </c>
      <c r="K5699" t="s">
        <v>6698</v>
      </c>
      <c r="L5699" t="s">
        <v>6694</v>
      </c>
      <c r="M5699" t="s">
        <v>6700</v>
      </c>
      <c r="O5699" t="s">
        <v>6694</v>
      </c>
      <c r="V5699" t="s">
        <v>6694</v>
      </c>
      <c r="W5699" t="s">
        <v>6720</v>
      </c>
    </row>
    <row r="5700" spans="1:23" ht="15.6" x14ac:dyDescent="0.4">
      <c r="A5700" s="2" t="s">
        <v>400</v>
      </c>
      <c r="B5700" s="5" t="s">
        <v>11705</v>
      </c>
      <c r="C5700" s="7" t="s">
        <v>12556</v>
      </c>
      <c r="D5700" s="8">
        <f t="shared" si="360"/>
        <v>0</v>
      </c>
      <c r="E5700" s="7" t="s">
        <v>12557</v>
      </c>
      <c r="F5700" s="7">
        <f t="shared" si="361"/>
        <v>0</v>
      </c>
      <c r="G5700" s="7" t="s">
        <v>12558</v>
      </c>
      <c r="H5700" s="7">
        <f t="shared" si="362"/>
        <v>0</v>
      </c>
      <c r="I5700" s="7" t="str" cm="1">
        <f t="array" ref="I5700">IFERROR(_xlfn.IFS(M5700="נח",1,M5700="נע ונח",1,M5700="שני שווא נח",2,M5700="שני שוואים בסוף מילה",2,M5700="שני שוואים ברצף",1),"0")</f>
        <v>0</v>
      </c>
      <c r="J5700" s="9">
        <f t="shared" si="363"/>
        <v>3</v>
      </c>
      <c r="K5700" t="s">
        <v>6697</v>
      </c>
      <c r="L5700" t="s">
        <v>6694</v>
      </c>
      <c r="M5700" t="s">
        <v>6700</v>
      </c>
      <c r="O5700" t="s">
        <v>6694</v>
      </c>
      <c r="W5700" t="s">
        <v>6720</v>
      </c>
    </row>
    <row r="5701" spans="1:23" ht="15.6" x14ac:dyDescent="0.4">
      <c r="A5701" s="2" t="s">
        <v>2467</v>
      </c>
      <c r="B5701" s="5" t="s">
        <v>11706</v>
      </c>
      <c r="C5701" s="7" t="s">
        <v>12556</v>
      </c>
      <c r="D5701" s="8">
        <f t="shared" si="360"/>
        <v>0</v>
      </c>
      <c r="E5701" s="7" t="s">
        <v>12557</v>
      </c>
      <c r="F5701" s="7">
        <f t="shared" si="361"/>
        <v>0</v>
      </c>
      <c r="G5701" s="7" t="s">
        <v>12558</v>
      </c>
      <c r="H5701" s="7">
        <f t="shared" si="362"/>
        <v>0</v>
      </c>
      <c r="I5701" s="7" t="str" cm="1">
        <f t="array" ref="I5701">IFERROR(_xlfn.IFS(M5701="נח",1,M5701="נע ונח",1,M5701="שני שווא נח",2,M5701="שני שוואים בסוף מילה",2,M5701="שני שוואים ברצף",1),"0")</f>
        <v>0</v>
      </c>
      <c r="J5701" s="9">
        <f t="shared" si="363"/>
        <v>3</v>
      </c>
      <c r="K5701" t="s">
        <v>6698</v>
      </c>
      <c r="L5701" t="s">
        <v>6694</v>
      </c>
      <c r="M5701" t="s">
        <v>6700</v>
      </c>
      <c r="O5701" t="s">
        <v>6694</v>
      </c>
      <c r="V5701" t="s">
        <v>6694</v>
      </c>
      <c r="W5701" t="s">
        <v>6720</v>
      </c>
    </row>
    <row r="5702" spans="1:23" ht="15.6" x14ac:dyDescent="0.4">
      <c r="A5702" s="2" t="s">
        <v>2960</v>
      </c>
      <c r="B5702" s="5" t="s">
        <v>11707</v>
      </c>
      <c r="C5702" s="7" t="s">
        <v>12556</v>
      </c>
      <c r="D5702" s="8">
        <f t="shared" si="360"/>
        <v>0</v>
      </c>
      <c r="E5702" s="7" t="s">
        <v>12557</v>
      </c>
      <c r="F5702" s="7">
        <f t="shared" si="361"/>
        <v>0</v>
      </c>
      <c r="G5702" s="7" t="s">
        <v>12558</v>
      </c>
      <c r="H5702" s="7">
        <f t="shared" si="362"/>
        <v>0</v>
      </c>
      <c r="I5702" s="7" t="str" cm="1">
        <f t="array" ref="I5702">IFERROR(_xlfn.IFS(M5702="נח",1,M5702="נע ונח",1,M5702="שני שווא נח",2,M5702="שני שוואים בסוף מילה",2,M5702="שני שוואים ברצף",1),"0")</f>
        <v>0</v>
      </c>
      <c r="J5702" s="9">
        <f t="shared" si="363"/>
        <v>3</v>
      </c>
      <c r="K5702" t="s">
        <v>6697</v>
      </c>
      <c r="L5702" t="s">
        <v>6694</v>
      </c>
      <c r="M5702" t="s">
        <v>6700</v>
      </c>
      <c r="O5702" t="s">
        <v>6694</v>
      </c>
      <c r="W5702" t="s">
        <v>6720</v>
      </c>
    </row>
    <row r="5703" spans="1:23" ht="15.6" x14ac:dyDescent="0.4">
      <c r="A5703" s="2" t="s">
        <v>6485</v>
      </c>
      <c r="B5703" s="5" t="s">
        <v>11708</v>
      </c>
      <c r="C5703" s="7" t="s">
        <v>12556</v>
      </c>
      <c r="D5703" s="8">
        <f t="shared" si="360"/>
        <v>0</v>
      </c>
      <c r="E5703" s="7" t="s">
        <v>12557</v>
      </c>
      <c r="F5703" s="7">
        <f t="shared" si="361"/>
        <v>0</v>
      </c>
      <c r="G5703" s="7" t="s">
        <v>12558</v>
      </c>
      <c r="H5703" s="7">
        <f t="shared" si="362"/>
        <v>0</v>
      </c>
      <c r="I5703" s="7" t="str" cm="1">
        <f t="array" ref="I5703">IFERROR(_xlfn.IFS(M5703="נח",1,M5703="נע ונח",1,M5703="שני שווא נח",2,M5703="שני שוואים בסוף מילה",2,M5703="שני שוואים ברצף",1),"0")</f>
        <v>0</v>
      </c>
      <c r="J5703" s="9">
        <f t="shared" si="363"/>
        <v>3</v>
      </c>
      <c r="K5703" t="s">
        <v>6697</v>
      </c>
      <c r="L5703" t="s">
        <v>6694</v>
      </c>
      <c r="M5703" t="s">
        <v>6700</v>
      </c>
      <c r="O5703" t="s">
        <v>6694</v>
      </c>
      <c r="S5703" t="s">
        <v>6694</v>
      </c>
      <c r="W5703" t="s">
        <v>6720</v>
      </c>
    </row>
    <row r="5704" spans="1:23" ht="15.6" x14ac:dyDescent="0.4">
      <c r="A5704" s="2" t="s">
        <v>3692</v>
      </c>
      <c r="B5704" s="5" t="s">
        <v>11709</v>
      </c>
      <c r="C5704" s="7" t="s">
        <v>12556</v>
      </c>
      <c r="D5704" s="8">
        <f t="shared" si="360"/>
        <v>0</v>
      </c>
      <c r="E5704" s="7" t="s">
        <v>12557</v>
      </c>
      <c r="F5704" s="7">
        <f t="shared" si="361"/>
        <v>0</v>
      </c>
      <c r="G5704" s="7" t="s">
        <v>12558</v>
      </c>
      <c r="H5704" s="7">
        <f t="shared" si="362"/>
        <v>0</v>
      </c>
      <c r="I5704" s="7" t="str" cm="1">
        <f t="array" ref="I5704">IFERROR(_xlfn.IFS(M5704="נח",1,M5704="נע ונח",1,M5704="שני שווא נח",2,M5704="שני שוואים בסוף מילה",2,M5704="שני שוואים ברצף",1),"0")</f>
        <v>0</v>
      </c>
      <c r="J5704" s="9">
        <f t="shared" si="363"/>
        <v>2</v>
      </c>
      <c r="K5704" t="s">
        <v>6698</v>
      </c>
      <c r="L5704" t="s">
        <v>6694</v>
      </c>
      <c r="M5704" t="s">
        <v>6700</v>
      </c>
      <c r="P5704" t="s">
        <v>6694</v>
      </c>
      <c r="W5704" t="s">
        <v>6720</v>
      </c>
    </row>
    <row r="5705" spans="1:23" ht="15.6" x14ac:dyDescent="0.4">
      <c r="A5705" s="2" t="s">
        <v>1527</v>
      </c>
      <c r="B5705" s="5" t="s">
        <v>11710</v>
      </c>
      <c r="C5705" s="7" t="s">
        <v>12556</v>
      </c>
      <c r="D5705" s="8">
        <f t="shared" si="360"/>
        <v>0</v>
      </c>
      <c r="E5705" s="7" t="s">
        <v>12557</v>
      </c>
      <c r="F5705" s="7">
        <f t="shared" si="361"/>
        <v>0</v>
      </c>
      <c r="G5705" s="7" t="s">
        <v>12558</v>
      </c>
      <c r="H5705" s="7">
        <f t="shared" si="362"/>
        <v>0</v>
      </c>
      <c r="I5705" s="7" t="str" cm="1">
        <f t="array" ref="I5705">IFERROR(_xlfn.IFS(M5705="נח",1,M5705="נע ונח",1,M5705="שני שווא נח",2,M5705="שני שוואים בסוף מילה",2,M5705="שני שוואים ברצף",1),"0")</f>
        <v>0</v>
      </c>
      <c r="J5705" s="9">
        <f t="shared" si="363"/>
        <v>3</v>
      </c>
      <c r="K5705" t="s">
        <v>6698</v>
      </c>
      <c r="L5705" t="s">
        <v>6694</v>
      </c>
      <c r="M5705" t="s">
        <v>6700</v>
      </c>
      <c r="Q5705" t="s">
        <v>6694</v>
      </c>
      <c r="S5705" t="s">
        <v>6694</v>
      </c>
      <c r="W5705" t="s">
        <v>6720</v>
      </c>
    </row>
    <row r="5706" spans="1:23" ht="15.6" x14ac:dyDescent="0.4">
      <c r="A5706" s="2" t="s">
        <v>6031</v>
      </c>
      <c r="B5706" s="5" t="s">
        <v>11711</v>
      </c>
      <c r="C5706" s="7" t="s">
        <v>12556</v>
      </c>
      <c r="D5706" s="8">
        <f t="shared" si="360"/>
        <v>0</v>
      </c>
      <c r="E5706" s="7" t="s">
        <v>12557</v>
      </c>
      <c r="F5706" s="7">
        <f t="shared" si="361"/>
        <v>0</v>
      </c>
      <c r="G5706" s="7" t="s">
        <v>12558</v>
      </c>
      <c r="H5706" s="7">
        <f t="shared" si="362"/>
        <v>0</v>
      </c>
      <c r="I5706" s="7" t="str" cm="1">
        <f t="array" ref="I5706">IFERROR(_xlfn.IFS(M5706="נח",1,M5706="נע ונח",1,M5706="שני שווא נח",2,M5706="שני שוואים בסוף מילה",2,M5706="שני שוואים ברצף",1),"0")</f>
        <v>0</v>
      </c>
      <c r="J5706" s="9">
        <f t="shared" si="363"/>
        <v>3</v>
      </c>
      <c r="K5706" t="s">
        <v>6698</v>
      </c>
      <c r="L5706" t="s">
        <v>6694</v>
      </c>
      <c r="M5706" t="s">
        <v>6700</v>
      </c>
      <c r="N5706" t="s">
        <v>6706</v>
      </c>
      <c r="O5706" t="s">
        <v>6694</v>
      </c>
      <c r="W5706" t="s">
        <v>6720</v>
      </c>
    </row>
    <row r="5707" spans="1:23" ht="15.6" x14ac:dyDescent="0.4">
      <c r="A5707" s="2" t="s">
        <v>1688</v>
      </c>
      <c r="B5707" s="5" t="s">
        <v>11712</v>
      </c>
      <c r="C5707" s="7" t="s">
        <v>12556</v>
      </c>
      <c r="D5707" s="8">
        <f t="shared" si="360"/>
        <v>0</v>
      </c>
      <c r="E5707" s="7" t="s">
        <v>12557</v>
      </c>
      <c r="F5707" s="7">
        <f t="shared" si="361"/>
        <v>1</v>
      </c>
      <c r="G5707" s="7" t="s">
        <v>12558</v>
      </c>
      <c r="H5707" s="7">
        <f t="shared" si="362"/>
        <v>0</v>
      </c>
      <c r="I5707" s="7" cm="1">
        <f t="array" ref="I5707">IFERROR(_xlfn.IFS(M5707="נח",1,M5707="נע ונח",1,M5707="שני שווא נח",2,M5707="שני שוואים בסוף מילה",2,M5707="שני שוואים ברצף",1),"0")</f>
        <v>1</v>
      </c>
      <c r="J5707" s="9">
        <f t="shared" si="363"/>
        <v>4</v>
      </c>
      <c r="K5707" t="s">
        <v>6698</v>
      </c>
      <c r="L5707" t="s">
        <v>6694</v>
      </c>
      <c r="M5707" t="s">
        <v>6701</v>
      </c>
      <c r="P5707" t="s">
        <v>6694</v>
      </c>
      <c r="S5707" t="s">
        <v>6694</v>
      </c>
      <c r="W5707" t="s">
        <v>6720</v>
      </c>
    </row>
    <row r="5708" spans="1:23" ht="15.6" x14ac:dyDescent="0.4">
      <c r="A5708" s="2" t="s">
        <v>4435</v>
      </c>
      <c r="B5708" s="5" t="s">
        <v>11713</v>
      </c>
      <c r="C5708" s="7" t="s">
        <v>12556</v>
      </c>
      <c r="D5708" s="8">
        <f t="shared" si="360"/>
        <v>0</v>
      </c>
      <c r="E5708" s="7" t="s">
        <v>12557</v>
      </c>
      <c r="F5708" s="7">
        <f t="shared" si="361"/>
        <v>2</v>
      </c>
      <c r="G5708" s="7" t="s">
        <v>12558</v>
      </c>
      <c r="H5708" s="7">
        <f t="shared" si="362"/>
        <v>1</v>
      </c>
      <c r="I5708" s="7" cm="1">
        <f t="array" ref="I5708">IFERROR(_xlfn.IFS(M5708="נח",1,M5708="נע ונח",1,M5708="שני שווא נח",2,M5708="שני שוואים בסוף מילה",2,M5708="שני שוואים ברצף",1),"0")</f>
        <v>1</v>
      </c>
      <c r="J5708" s="9">
        <f t="shared" si="363"/>
        <v>4</v>
      </c>
      <c r="K5708" t="s">
        <v>6697</v>
      </c>
      <c r="L5708" t="s">
        <v>6694</v>
      </c>
      <c r="M5708" t="s">
        <v>6701</v>
      </c>
      <c r="O5708" t="s">
        <v>6694</v>
      </c>
      <c r="P5708" t="s">
        <v>6694</v>
      </c>
      <c r="U5708" t="s">
        <v>6694</v>
      </c>
      <c r="W5708" t="s">
        <v>6720</v>
      </c>
    </row>
    <row r="5709" spans="1:23" ht="15.6" x14ac:dyDescent="0.4">
      <c r="A5709" s="2" t="s">
        <v>6149</v>
      </c>
      <c r="B5709" s="5" t="s">
        <v>11714</v>
      </c>
      <c r="C5709" s="7" t="s">
        <v>12556</v>
      </c>
      <c r="D5709" s="8">
        <f t="shared" si="360"/>
        <v>0</v>
      </c>
      <c r="E5709" s="7" t="s">
        <v>12557</v>
      </c>
      <c r="F5709" s="7">
        <f t="shared" si="361"/>
        <v>1</v>
      </c>
      <c r="G5709" s="7" t="s">
        <v>12558</v>
      </c>
      <c r="H5709" s="7">
        <f t="shared" si="362"/>
        <v>1</v>
      </c>
      <c r="I5709" s="7" cm="1">
        <f t="array" ref="I5709">IFERROR(_xlfn.IFS(M5709="נח",1,M5709="נע ונח",1,M5709="שני שווא נח",2,M5709="שני שוואים בסוף מילה",2,M5709="שני שוואים ברצף",1),"0")</f>
        <v>1</v>
      </c>
      <c r="J5709" s="9">
        <f t="shared" si="363"/>
        <v>4</v>
      </c>
      <c r="K5709" t="s">
        <v>6697</v>
      </c>
      <c r="L5709" t="s">
        <v>6694</v>
      </c>
      <c r="M5709" t="s">
        <v>6701</v>
      </c>
      <c r="N5709" t="s">
        <v>6706</v>
      </c>
      <c r="O5709" t="s">
        <v>6694</v>
      </c>
      <c r="U5709" t="s">
        <v>6694</v>
      </c>
      <c r="W5709" t="s">
        <v>6720</v>
      </c>
    </row>
    <row r="5710" spans="1:23" ht="15.6" x14ac:dyDescent="0.4">
      <c r="A5710" s="2" t="s">
        <v>2036</v>
      </c>
      <c r="B5710" s="5" t="s">
        <v>11715</v>
      </c>
      <c r="C5710" s="7" t="s">
        <v>12556</v>
      </c>
      <c r="D5710" s="8">
        <f t="shared" si="360"/>
        <v>0</v>
      </c>
      <c r="E5710" s="7" t="s">
        <v>12557</v>
      </c>
      <c r="F5710" s="7">
        <f t="shared" si="361"/>
        <v>1</v>
      </c>
      <c r="G5710" s="7" t="s">
        <v>12558</v>
      </c>
      <c r="H5710" s="7">
        <f t="shared" si="362"/>
        <v>1</v>
      </c>
      <c r="I5710" s="7" t="str" cm="1">
        <f t="array" ref="I5710">IFERROR(_xlfn.IFS(M5710="נח",1,M5710="נע ונח",1,M5710="שני שווא נח",2,M5710="שני שוואים בסוף מילה",2,M5710="שני שוואים ברצף",1),"0")</f>
        <v>0</v>
      </c>
      <c r="J5710" s="9">
        <f t="shared" si="363"/>
        <v>3</v>
      </c>
      <c r="K5710" t="s">
        <v>6697</v>
      </c>
      <c r="L5710" t="s">
        <v>6694</v>
      </c>
      <c r="M5710" t="s">
        <v>6700</v>
      </c>
      <c r="O5710" t="s">
        <v>6694</v>
      </c>
      <c r="U5710" t="s">
        <v>6694</v>
      </c>
      <c r="W5710" t="s">
        <v>6720</v>
      </c>
    </row>
    <row r="5711" spans="1:23" ht="15.6" x14ac:dyDescent="0.4">
      <c r="A5711" s="2" t="s">
        <v>590</v>
      </c>
      <c r="B5711" s="5" t="s">
        <v>11716</v>
      </c>
      <c r="C5711" s="7" t="s">
        <v>12556</v>
      </c>
      <c r="D5711" s="8">
        <f t="shared" si="360"/>
        <v>0</v>
      </c>
      <c r="E5711" s="7" t="s">
        <v>12557</v>
      </c>
      <c r="F5711" s="7">
        <f t="shared" si="361"/>
        <v>0</v>
      </c>
      <c r="G5711" s="7" t="s">
        <v>12558</v>
      </c>
      <c r="H5711" s="7">
        <f t="shared" si="362"/>
        <v>0</v>
      </c>
      <c r="I5711" s="7" cm="1">
        <f t="array" ref="I5711">IFERROR(_xlfn.IFS(M5711="נח",1,M5711="נע ונח",1,M5711="שני שווא נח",2,M5711="שני שוואים בסוף מילה",2,M5711="שני שוואים ברצף",1),"0")</f>
        <v>1</v>
      </c>
      <c r="J5711" s="9">
        <f t="shared" si="363"/>
        <v>2</v>
      </c>
      <c r="K5711" t="s">
        <v>6697</v>
      </c>
      <c r="L5711" t="s">
        <v>6694</v>
      </c>
      <c r="M5711" t="s">
        <v>6705</v>
      </c>
      <c r="S5711" t="s">
        <v>6694</v>
      </c>
      <c r="W5711" t="s">
        <v>6720</v>
      </c>
    </row>
    <row r="5712" spans="1:23" ht="15.6" x14ac:dyDescent="0.4">
      <c r="A5712" s="2" t="s">
        <v>2120</v>
      </c>
      <c r="B5712" s="5" t="s">
        <v>11717</v>
      </c>
      <c r="C5712" s="7" t="s">
        <v>12556</v>
      </c>
      <c r="D5712" s="8">
        <f t="shared" si="360"/>
        <v>0</v>
      </c>
      <c r="E5712" s="7" t="s">
        <v>12557</v>
      </c>
      <c r="F5712" s="7">
        <f t="shared" si="361"/>
        <v>0</v>
      </c>
      <c r="G5712" s="7" t="s">
        <v>12558</v>
      </c>
      <c r="H5712" s="7">
        <f t="shared" si="362"/>
        <v>0</v>
      </c>
      <c r="I5712" s="7" cm="1">
        <f t="array" ref="I5712">IFERROR(_xlfn.IFS(M5712="נח",1,M5712="נע ונח",1,M5712="שני שווא נח",2,M5712="שני שוואים בסוף מילה",2,M5712="שני שוואים ברצף",1),"0")</f>
        <v>1</v>
      </c>
      <c r="J5712" s="9">
        <f t="shared" si="363"/>
        <v>3</v>
      </c>
      <c r="K5712" t="s">
        <v>6697</v>
      </c>
      <c r="L5712" t="s">
        <v>6694</v>
      </c>
      <c r="M5712" t="s">
        <v>6705</v>
      </c>
      <c r="O5712" t="s">
        <v>6694</v>
      </c>
      <c r="R5712" t="s">
        <v>6694</v>
      </c>
      <c r="S5712" t="s">
        <v>6694</v>
      </c>
      <c r="W5712" t="s">
        <v>6720</v>
      </c>
    </row>
    <row r="5713" spans="1:23" ht="15.6" x14ac:dyDescent="0.4">
      <c r="A5713" s="2" t="s">
        <v>518</v>
      </c>
      <c r="B5713" s="5" t="s">
        <v>11718</v>
      </c>
      <c r="C5713" s="7" t="s">
        <v>12556</v>
      </c>
      <c r="D5713" s="8">
        <f t="shared" si="360"/>
        <v>0</v>
      </c>
      <c r="E5713" s="7" t="s">
        <v>12557</v>
      </c>
      <c r="F5713" s="7">
        <f t="shared" si="361"/>
        <v>0</v>
      </c>
      <c r="G5713" s="7" t="s">
        <v>12558</v>
      </c>
      <c r="H5713" s="7">
        <f t="shared" si="362"/>
        <v>0</v>
      </c>
      <c r="I5713" s="7" cm="1">
        <f t="array" ref="I5713">IFERROR(_xlfn.IFS(M5713="נח",1,M5713="נע ונח",1,M5713="שני שווא נח",2,M5713="שני שוואים בסוף מילה",2,M5713="שני שוואים ברצף",1),"0")</f>
        <v>2</v>
      </c>
      <c r="J5713" s="9">
        <f t="shared" si="363"/>
        <v>3</v>
      </c>
      <c r="K5713" t="s">
        <v>6697</v>
      </c>
      <c r="L5713" t="s">
        <v>6694</v>
      </c>
      <c r="M5713" t="s">
        <v>6704</v>
      </c>
      <c r="N5713" t="s">
        <v>6706</v>
      </c>
      <c r="O5713" t="s">
        <v>6694</v>
      </c>
      <c r="S5713" t="s">
        <v>6694</v>
      </c>
      <c r="W5713" t="s">
        <v>6720</v>
      </c>
    </row>
    <row r="5714" spans="1:23" ht="15.6" x14ac:dyDescent="0.4">
      <c r="A5714" s="2" t="s">
        <v>512</v>
      </c>
      <c r="B5714" s="5" t="s">
        <v>11718</v>
      </c>
      <c r="C5714" s="7" t="s">
        <v>12556</v>
      </c>
      <c r="D5714" s="8">
        <f t="shared" si="360"/>
        <v>0</v>
      </c>
      <c r="E5714" s="7" t="s">
        <v>12557</v>
      </c>
      <c r="F5714" s="7">
        <f t="shared" si="361"/>
        <v>0</v>
      </c>
      <c r="G5714" s="7" t="s">
        <v>12558</v>
      </c>
      <c r="H5714" s="7">
        <f t="shared" si="362"/>
        <v>0</v>
      </c>
      <c r="I5714" s="7" cm="1">
        <f t="array" ref="I5714">IFERROR(_xlfn.IFS(M5714="נח",1,M5714="נע ונח",1,M5714="שני שווא נח",2,M5714="שני שוואים בסוף מילה",2,M5714="שני שוואים ברצף",1),"0")</f>
        <v>1</v>
      </c>
      <c r="J5714" s="9">
        <f t="shared" si="363"/>
        <v>4</v>
      </c>
      <c r="K5714" t="s">
        <v>6697</v>
      </c>
      <c r="L5714" t="s">
        <v>6694</v>
      </c>
      <c r="M5714" t="s">
        <v>6705</v>
      </c>
      <c r="O5714" t="s">
        <v>6694</v>
      </c>
      <c r="R5714" t="s">
        <v>6694</v>
      </c>
      <c r="S5714" t="s">
        <v>6694</v>
      </c>
      <c r="W5714" t="s">
        <v>6720</v>
      </c>
    </row>
    <row r="5715" spans="1:23" ht="15.6" x14ac:dyDescent="0.4">
      <c r="A5715" s="2" t="s">
        <v>1207</v>
      </c>
      <c r="B5715" s="5" t="s">
        <v>11719</v>
      </c>
      <c r="C5715" s="7" t="s">
        <v>12556</v>
      </c>
      <c r="D5715" s="8">
        <f t="shared" si="360"/>
        <v>0</v>
      </c>
      <c r="E5715" s="7" t="s">
        <v>12557</v>
      </c>
      <c r="F5715" s="7">
        <f t="shared" si="361"/>
        <v>0</v>
      </c>
      <c r="G5715" s="7" t="s">
        <v>12558</v>
      </c>
      <c r="H5715" s="7">
        <f t="shared" si="362"/>
        <v>0</v>
      </c>
      <c r="I5715" s="7" cm="1">
        <f t="array" ref="I5715">IFERROR(_xlfn.IFS(M5715="נח",1,M5715="נע ונח",1,M5715="שני שווא נח",2,M5715="שני שוואים בסוף מילה",2,M5715="שני שוואים ברצף",1),"0")</f>
        <v>1</v>
      </c>
      <c r="J5715" s="9">
        <f t="shared" si="363"/>
        <v>3</v>
      </c>
      <c r="K5715" t="s">
        <v>6697</v>
      </c>
      <c r="L5715" t="s">
        <v>6694</v>
      </c>
      <c r="M5715" t="s">
        <v>6705</v>
      </c>
      <c r="O5715" t="s">
        <v>6694</v>
      </c>
      <c r="S5715" t="s">
        <v>6694</v>
      </c>
      <c r="V5715" t="s">
        <v>6694</v>
      </c>
      <c r="W5715" t="s">
        <v>6720</v>
      </c>
    </row>
    <row r="5716" spans="1:23" ht="15.6" x14ac:dyDescent="0.4">
      <c r="A5716" s="2" t="s">
        <v>2207</v>
      </c>
      <c r="B5716" s="5" t="s">
        <v>11720</v>
      </c>
      <c r="C5716" s="7" t="s">
        <v>12556</v>
      </c>
      <c r="D5716" s="8">
        <f t="shared" si="360"/>
        <v>0</v>
      </c>
      <c r="E5716" s="7" t="s">
        <v>12557</v>
      </c>
      <c r="F5716" s="7">
        <f t="shared" si="361"/>
        <v>0</v>
      </c>
      <c r="G5716" s="7" t="s">
        <v>12558</v>
      </c>
      <c r="H5716" s="7">
        <f t="shared" si="362"/>
        <v>0</v>
      </c>
      <c r="I5716" s="7" cm="1">
        <f t="array" ref="I5716">IFERROR(_xlfn.IFS(M5716="נח",1,M5716="נע ונח",1,M5716="שני שווא נח",2,M5716="שני שוואים בסוף מילה",2,M5716="שני שוואים ברצף",1),"0")</f>
        <v>1</v>
      </c>
      <c r="J5716" s="9">
        <f t="shared" si="363"/>
        <v>2</v>
      </c>
      <c r="K5716" t="s">
        <v>6697</v>
      </c>
      <c r="L5716" t="s">
        <v>6694</v>
      </c>
      <c r="M5716" t="s">
        <v>6705</v>
      </c>
      <c r="S5716" t="s">
        <v>6694</v>
      </c>
      <c r="V5716" t="s">
        <v>6694</v>
      </c>
      <c r="W5716" t="s">
        <v>6720</v>
      </c>
    </row>
    <row r="5717" spans="1:23" ht="15.6" x14ac:dyDescent="0.4">
      <c r="A5717" s="2" t="s">
        <v>462</v>
      </c>
      <c r="B5717" s="5" t="s">
        <v>11721</v>
      </c>
      <c r="C5717" s="7" t="s">
        <v>12556</v>
      </c>
      <c r="D5717" s="8">
        <f t="shared" si="360"/>
        <v>0</v>
      </c>
      <c r="E5717" s="7" t="s">
        <v>12557</v>
      </c>
      <c r="F5717" s="7">
        <f t="shared" si="361"/>
        <v>1</v>
      </c>
      <c r="G5717" s="7" t="s">
        <v>12558</v>
      </c>
      <c r="H5717" s="7">
        <f t="shared" si="362"/>
        <v>1</v>
      </c>
      <c r="I5717" s="7" t="str" cm="1">
        <f t="array" ref="I5717">IFERROR(_xlfn.IFS(M5717="נח",1,M5717="נע ונח",1,M5717="שני שווא נח",2,M5717="שני שוואים בסוף מילה",2,M5717="שני שוואים ברצף",1),"0")</f>
        <v>0</v>
      </c>
      <c r="J5717" s="9">
        <f t="shared" si="363"/>
        <v>4</v>
      </c>
      <c r="K5717" t="s">
        <v>6698</v>
      </c>
      <c r="L5717" t="s">
        <v>6695</v>
      </c>
      <c r="O5717" t="s">
        <v>6694</v>
      </c>
      <c r="S5717" t="s">
        <v>6694</v>
      </c>
      <c r="U5717" t="s">
        <v>6694</v>
      </c>
      <c r="W5717" t="s">
        <v>6720</v>
      </c>
    </row>
    <row r="5718" spans="1:23" ht="15.6" x14ac:dyDescent="0.4">
      <c r="A5718" s="2" t="s">
        <v>211</v>
      </c>
      <c r="B5718" s="5" t="s">
        <v>11722</v>
      </c>
      <c r="C5718" s="7" t="s">
        <v>12556</v>
      </c>
      <c r="D5718" s="8">
        <f t="shared" si="360"/>
        <v>0</v>
      </c>
      <c r="E5718" s="7" t="s">
        <v>12557</v>
      </c>
      <c r="F5718" s="7">
        <f t="shared" si="361"/>
        <v>1</v>
      </c>
      <c r="G5718" s="7" t="s">
        <v>12558</v>
      </c>
      <c r="H5718" s="7">
        <f t="shared" si="362"/>
        <v>1</v>
      </c>
      <c r="I5718" s="7" t="str" cm="1">
        <f t="array" ref="I5718">IFERROR(_xlfn.IFS(M5718="נח",1,M5718="נע ונח",1,M5718="שני שווא נח",2,M5718="שני שוואים בסוף מילה",2,M5718="שני שוואים ברצף",1),"0")</f>
        <v>0</v>
      </c>
      <c r="J5718" s="9">
        <f t="shared" si="363"/>
        <v>4</v>
      </c>
      <c r="K5718" t="s">
        <v>6697</v>
      </c>
      <c r="L5718" t="s">
        <v>6695</v>
      </c>
      <c r="O5718" t="s">
        <v>6694</v>
      </c>
      <c r="S5718" t="s">
        <v>6694</v>
      </c>
      <c r="U5718" t="s">
        <v>6694</v>
      </c>
      <c r="W5718" t="s">
        <v>6720</v>
      </c>
    </row>
    <row r="5719" spans="1:23" ht="15.6" x14ac:dyDescent="0.4">
      <c r="A5719" s="2" t="s">
        <v>421</v>
      </c>
      <c r="B5719" s="5" t="s">
        <v>11723</v>
      </c>
      <c r="C5719" s="7" t="s">
        <v>12556</v>
      </c>
      <c r="D5719" s="8">
        <f t="shared" si="360"/>
        <v>0</v>
      </c>
      <c r="E5719" s="7" t="s">
        <v>12557</v>
      </c>
      <c r="F5719" s="7">
        <f t="shared" si="361"/>
        <v>1</v>
      </c>
      <c r="G5719" s="7" t="s">
        <v>12558</v>
      </c>
      <c r="H5719" s="7">
        <f t="shared" si="362"/>
        <v>1</v>
      </c>
      <c r="I5719" s="7" t="str" cm="1">
        <f t="array" ref="I5719">IFERROR(_xlfn.IFS(M5719="נח",1,M5719="נע ונח",1,M5719="שני שווא נח",2,M5719="שני שוואים בסוף מילה",2,M5719="שני שוואים ברצף",1),"0")</f>
        <v>0</v>
      </c>
      <c r="J5719" s="9">
        <f t="shared" si="363"/>
        <v>3</v>
      </c>
      <c r="K5719" t="s">
        <v>6697</v>
      </c>
      <c r="L5719" t="s">
        <v>6695</v>
      </c>
      <c r="O5719" t="s">
        <v>6694</v>
      </c>
      <c r="S5719" t="s">
        <v>6694</v>
      </c>
      <c r="U5719" t="s">
        <v>6694</v>
      </c>
      <c r="W5719" t="s">
        <v>6720</v>
      </c>
    </row>
    <row r="5720" spans="1:23" ht="15.6" x14ac:dyDescent="0.4">
      <c r="A5720" s="2" t="s">
        <v>3095</v>
      </c>
      <c r="B5720" s="5" t="s">
        <v>11724</v>
      </c>
      <c r="C5720" s="7" t="s">
        <v>12556</v>
      </c>
      <c r="D5720" s="8">
        <f t="shared" si="360"/>
        <v>0</v>
      </c>
      <c r="E5720" s="7" t="s">
        <v>12557</v>
      </c>
      <c r="F5720" s="7">
        <f t="shared" si="361"/>
        <v>1</v>
      </c>
      <c r="G5720" s="7" t="s">
        <v>12558</v>
      </c>
      <c r="H5720" s="7">
        <f t="shared" si="362"/>
        <v>0</v>
      </c>
      <c r="I5720" s="7" t="str" cm="1">
        <f t="array" ref="I5720">IFERROR(_xlfn.IFS(M5720="נח",1,M5720="נע ונח",1,M5720="שני שווא נח",2,M5720="שני שוואים בסוף מילה",2,M5720="שני שוואים ברצף",1),"0")</f>
        <v>0</v>
      </c>
      <c r="J5720" s="9">
        <f t="shared" si="363"/>
        <v>2</v>
      </c>
      <c r="K5720" t="s">
        <v>6698</v>
      </c>
      <c r="L5720" t="s">
        <v>6695</v>
      </c>
      <c r="S5720" t="s">
        <v>6694</v>
      </c>
      <c r="W5720" t="s">
        <v>6720</v>
      </c>
    </row>
    <row r="5721" spans="1:23" ht="15.6" x14ac:dyDescent="0.4">
      <c r="A5721" s="2" t="s">
        <v>5355</v>
      </c>
      <c r="B5721" s="5" t="s">
        <v>11725</v>
      </c>
      <c r="C5721" s="7" t="s">
        <v>12556</v>
      </c>
      <c r="D5721" s="8">
        <f t="shared" si="360"/>
        <v>0</v>
      </c>
      <c r="E5721" s="7" t="s">
        <v>12557</v>
      </c>
      <c r="F5721" s="7">
        <f t="shared" si="361"/>
        <v>1</v>
      </c>
      <c r="G5721" s="7" t="s">
        <v>12558</v>
      </c>
      <c r="H5721" s="7">
        <f t="shared" si="362"/>
        <v>0</v>
      </c>
      <c r="I5721" s="7" t="str" cm="1">
        <f t="array" ref="I5721">IFERROR(_xlfn.IFS(M5721="נח",1,M5721="נע ונח",1,M5721="שני שווא נח",2,M5721="שני שוואים בסוף מילה",2,M5721="שני שוואים ברצף",1),"0")</f>
        <v>0</v>
      </c>
      <c r="J5721" s="9">
        <f t="shared" si="363"/>
        <v>2</v>
      </c>
      <c r="K5721" t="s">
        <v>6697</v>
      </c>
      <c r="L5721" t="s">
        <v>6695</v>
      </c>
      <c r="O5721" t="s">
        <v>6694</v>
      </c>
      <c r="S5721" t="s">
        <v>6694</v>
      </c>
      <c r="W5721" t="s">
        <v>6720</v>
      </c>
    </row>
    <row r="5722" spans="1:23" ht="15.6" x14ac:dyDescent="0.4">
      <c r="A5722" s="2" t="s">
        <v>1332</v>
      </c>
      <c r="B5722" s="5" t="s">
        <v>11726</v>
      </c>
      <c r="C5722" s="7" t="s">
        <v>12556</v>
      </c>
      <c r="D5722" s="8">
        <f t="shared" si="360"/>
        <v>0</v>
      </c>
      <c r="E5722" s="7" t="s">
        <v>12557</v>
      </c>
      <c r="F5722" s="7">
        <f t="shared" si="361"/>
        <v>1</v>
      </c>
      <c r="G5722" s="7" t="s">
        <v>12558</v>
      </c>
      <c r="H5722" s="7">
        <f t="shared" si="362"/>
        <v>0</v>
      </c>
      <c r="I5722" s="7" t="str" cm="1">
        <f t="array" ref="I5722">IFERROR(_xlfn.IFS(M5722="נח",1,M5722="נע ונח",1,M5722="שני שווא נח",2,M5722="שני שוואים בסוף מילה",2,M5722="שני שוואים ברצף",1),"0")</f>
        <v>0</v>
      </c>
      <c r="J5722" s="9">
        <f t="shared" si="363"/>
        <v>2</v>
      </c>
      <c r="K5722" t="s">
        <v>6698</v>
      </c>
      <c r="L5722" t="s">
        <v>6695</v>
      </c>
      <c r="S5722" t="s">
        <v>6694</v>
      </c>
      <c r="V5722" t="s">
        <v>6694</v>
      </c>
      <c r="W5722" t="s">
        <v>6720</v>
      </c>
    </row>
    <row r="5723" spans="1:23" ht="15.6" x14ac:dyDescent="0.4">
      <c r="A5723" s="2" t="s">
        <v>4808</v>
      </c>
      <c r="B5723" s="5" t="s">
        <v>11727</v>
      </c>
      <c r="C5723" s="7" t="s">
        <v>12556</v>
      </c>
      <c r="D5723" s="8">
        <f t="shared" si="360"/>
        <v>0</v>
      </c>
      <c r="E5723" s="7" t="s">
        <v>12557</v>
      </c>
      <c r="F5723" s="7">
        <f t="shared" si="361"/>
        <v>2</v>
      </c>
      <c r="G5723" s="7" t="s">
        <v>12558</v>
      </c>
      <c r="H5723" s="7">
        <f t="shared" si="362"/>
        <v>0</v>
      </c>
      <c r="I5723" s="7" t="str" cm="1">
        <f t="array" ref="I5723">IFERROR(_xlfn.IFS(M5723="נח",1,M5723="נע ונח",1,M5723="שני שווא נח",2,M5723="שני שוואים בסוף מילה",2,M5723="שני שוואים ברצף",1),"0")</f>
        <v>0</v>
      </c>
      <c r="J5723" s="9">
        <f t="shared" si="363"/>
        <v>2</v>
      </c>
      <c r="K5723" t="s">
        <v>6697</v>
      </c>
      <c r="L5723" t="s">
        <v>6695</v>
      </c>
      <c r="N5723" t="s">
        <v>6706</v>
      </c>
      <c r="O5723" t="s">
        <v>6694</v>
      </c>
      <c r="S5723" t="s">
        <v>6694</v>
      </c>
      <c r="W5723" t="s">
        <v>6720</v>
      </c>
    </row>
    <row r="5724" spans="1:23" ht="15.6" x14ac:dyDescent="0.4">
      <c r="A5724" s="2" t="s">
        <v>4400</v>
      </c>
      <c r="B5724" s="5" t="s">
        <v>11728</v>
      </c>
      <c r="C5724" s="7" t="s">
        <v>12556</v>
      </c>
      <c r="D5724" s="8">
        <f t="shared" si="360"/>
        <v>0</v>
      </c>
      <c r="E5724" s="7" t="s">
        <v>12557</v>
      </c>
      <c r="F5724" s="7">
        <f t="shared" si="361"/>
        <v>1</v>
      </c>
      <c r="G5724" s="7" t="s">
        <v>12558</v>
      </c>
      <c r="H5724" s="7">
        <f t="shared" si="362"/>
        <v>0</v>
      </c>
      <c r="I5724" s="7" cm="1">
        <f t="array" ref="I5724">IFERROR(_xlfn.IFS(M5724="נח",1,M5724="נע ונח",1,M5724="שני שווא נח",2,M5724="שני שוואים בסוף מילה",2,M5724="שני שוואים ברצף",1),"0")</f>
        <v>1</v>
      </c>
      <c r="J5724" s="9">
        <f t="shared" si="363"/>
        <v>2</v>
      </c>
      <c r="K5724" t="s">
        <v>6697</v>
      </c>
      <c r="L5724" t="s">
        <v>6694</v>
      </c>
      <c r="M5724" t="s">
        <v>6705</v>
      </c>
      <c r="N5724" t="s">
        <v>6706</v>
      </c>
      <c r="O5724" t="s">
        <v>6694</v>
      </c>
      <c r="S5724" t="s">
        <v>6694</v>
      </c>
      <c r="W5724" t="s">
        <v>6720</v>
      </c>
    </row>
    <row r="5725" spans="1:23" ht="15.6" x14ac:dyDescent="0.4">
      <c r="A5725" s="2" t="s">
        <v>2312</v>
      </c>
      <c r="B5725" s="5" t="s">
        <v>11729</v>
      </c>
      <c r="C5725" s="7" t="s">
        <v>12556</v>
      </c>
      <c r="D5725" s="8">
        <f t="shared" si="360"/>
        <v>0</v>
      </c>
      <c r="E5725" s="7" t="s">
        <v>12557</v>
      </c>
      <c r="F5725" s="7">
        <f t="shared" si="361"/>
        <v>1</v>
      </c>
      <c r="G5725" s="7" t="s">
        <v>12558</v>
      </c>
      <c r="H5725" s="7">
        <f t="shared" si="362"/>
        <v>0</v>
      </c>
      <c r="I5725" s="7" t="str" cm="1">
        <f t="array" ref="I5725">IFERROR(_xlfn.IFS(M5725="נח",1,M5725="נע ונח",1,M5725="שני שווא נח",2,M5725="שני שוואים בסוף מילה",2,M5725="שני שוואים ברצף",1),"0")</f>
        <v>0</v>
      </c>
      <c r="J5725" s="9">
        <f t="shared" si="363"/>
        <v>2</v>
      </c>
      <c r="K5725" t="s">
        <v>6697</v>
      </c>
      <c r="L5725" t="s">
        <v>6695</v>
      </c>
      <c r="O5725" t="s">
        <v>6694</v>
      </c>
      <c r="S5725" t="s">
        <v>6694</v>
      </c>
      <c r="W5725" t="s">
        <v>6720</v>
      </c>
    </row>
    <row r="5726" spans="1:23" ht="15.6" x14ac:dyDescent="0.4">
      <c r="A5726" s="2" t="s">
        <v>3577</v>
      </c>
      <c r="B5726" s="5" t="s">
        <v>11730</v>
      </c>
      <c r="C5726" s="7" t="s">
        <v>12556</v>
      </c>
      <c r="D5726" s="8">
        <f t="shared" si="360"/>
        <v>0</v>
      </c>
      <c r="E5726" s="7" t="s">
        <v>12557</v>
      </c>
      <c r="F5726" s="7">
        <f t="shared" si="361"/>
        <v>1</v>
      </c>
      <c r="G5726" s="7" t="s">
        <v>12558</v>
      </c>
      <c r="H5726" s="7">
        <f t="shared" si="362"/>
        <v>0</v>
      </c>
      <c r="I5726" s="7" t="str" cm="1">
        <f t="array" ref="I5726">IFERROR(_xlfn.IFS(M5726="נח",1,M5726="נע ונח",1,M5726="שני שווא נח",2,M5726="שני שוואים בסוף מילה",2,M5726="שני שוואים ברצף",1),"0")</f>
        <v>0</v>
      </c>
      <c r="J5726" s="9">
        <f t="shared" si="363"/>
        <v>4</v>
      </c>
      <c r="K5726" t="s">
        <v>6697</v>
      </c>
      <c r="L5726" t="s">
        <v>6695</v>
      </c>
      <c r="O5726" t="s">
        <v>6694</v>
      </c>
      <c r="R5726" t="s">
        <v>6694</v>
      </c>
      <c r="S5726" t="s">
        <v>6694</v>
      </c>
      <c r="V5726" t="s">
        <v>6694</v>
      </c>
      <c r="W5726" t="s">
        <v>6720</v>
      </c>
    </row>
    <row r="5727" spans="1:23" ht="15.6" x14ac:dyDescent="0.4">
      <c r="A5727" s="2" t="s">
        <v>699</v>
      </c>
      <c r="B5727" s="5" t="s">
        <v>11731</v>
      </c>
      <c r="C5727" s="7" t="s">
        <v>12556</v>
      </c>
      <c r="D5727" s="8">
        <f t="shared" si="360"/>
        <v>0</v>
      </c>
      <c r="E5727" s="7" t="s">
        <v>12557</v>
      </c>
      <c r="F5727" s="7">
        <f t="shared" si="361"/>
        <v>1</v>
      </c>
      <c r="G5727" s="7" t="s">
        <v>12558</v>
      </c>
      <c r="H5727" s="7">
        <f t="shared" si="362"/>
        <v>0</v>
      </c>
      <c r="I5727" s="7" t="str" cm="1">
        <f t="array" ref="I5727">IFERROR(_xlfn.IFS(M5727="נח",1,M5727="נע ונח",1,M5727="שני שווא נח",2,M5727="שני שוואים בסוף מילה",2,M5727="שני שוואים ברצף",1),"0")</f>
        <v>0</v>
      </c>
      <c r="J5727" s="9">
        <f t="shared" si="363"/>
        <v>3</v>
      </c>
      <c r="K5727" t="s">
        <v>6698</v>
      </c>
      <c r="L5727" t="s">
        <v>6695</v>
      </c>
      <c r="O5727" t="s">
        <v>6694</v>
      </c>
      <c r="S5727" t="s">
        <v>6694</v>
      </c>
      <c r="W5727" t="s">
        <v>6720</v>
      </c>
    </row>
    <row r="5728" spans="1:23" ht="15.6" x14ac:dyDescent="0.4">
      <c r="A5728" s="2" t="s">
        <v>4887</v>
      </c>
      <c r="B5728" s="5" t="s">
        <v>11732</v>
      </c>
      <c r="C5728" s="7" t="s">
        <v>12556</v>
      </c>
      <c r="D5728" s="8">
        <f t="shared" si="360"/>
        <v>0</v>
      </c>
      <c r="E5728" s="7" t="s">
        <v>12557</v>
      </c>
      <c r="F5728" s="7">
        <f t="shared" si="361"/>
        <v>1</v>
      </c>
      <c r="G5728" s="7" t="s">
        <v>12558</v>
      </c>
      <c r="H5728" s="7">
        <f t="shared" si="362"/>
        <v>0</v>
      </c>
      <c r="I5728" s="7" t="str" cm="1">
        <f t="array" ref="I5728">IFERROR(_xlfn.IFS(M5728="נח",1,M5728="נע ונח",1,M5728="שני שווא נח",2,M5728="שני שוואים בסוף מילה",2,M5728="שני שוואים ברצף",1),"0")</f>
        <v>0</v>
      </c>
      <c r="J5728" s="9">
        <f t="shared" si="363"/>
        <v>2</v>
      </c>
      <c r="K5728" t="s">
        <v>6698</v>
      </c>
      <c r="L5728" t="s">
        <v>6695</v>
      </c>
      <c r="S5728" t="s">
        <v>6694</v>
      </c>
      <c r="V5728" t="s">
        <v>6694</v>
      </c>
      <c r="W5728" t="s">
        <v>6720</v>
      </c>
    </row>
    <row r="5729" spans="1:23" ht="15.6" x14ac:dyDescent="0.4">
      <c r="A5729" s="2" t="s">
        <v>5770</v>
      </c>
      <c r="B5729" s="5" t="s">
        <v>11733</v>
      </c>
      <c r="C5729" s="7" t="s">
        <v>12556</v>
      </c>
      <c r="D5729" s="8">
        <f t="shared" si="360"/>
        <v>0</v>
      </c>
      <c r="E5729" s="7" t="s">
        <v>12557</v>
      </c>
      <c r="F5729" s="7">
        <f t="shared" si="361"/>
        <v>0</v>
      </c>
      <c r="G5729" s="7" t="s">
        <v>12558</v>
      </c>
      <c r="H5729" s="7">
        <f t="shared" si="362"/>
        <v>0</v>
      </c>
      <c r="I5729" s="7" t="str" cm="1">
        <f t="array" ref="I5729">IFERROR(_xlfn.IFS(M5729="נח",1,M5729="נע ונח",1,M5729="שני שווא נח",2,M5729="שני שוואים בסוף מילה",2,M5729="שני שוואים ברצף",1),"0")</f>
        <v>0</v>
      </c>
      <c r="J5729" s="9">
        <f t="shared" si="363"/>
        <v>2</v>
      </c>
      <c r="K5729" t="s">
        <v>6697</v>
      </c>
      <c r="L5729" t="s">
        <v>6695</v>
      </c>
      <c r="O5729" t="s">
        <v>6694</v>
      </c>
      <c r="Q5729" t="s">
        <v>6694</v>
      </c>
      <c r="W5729" t="s">
        <v>6720</v>
      </c>
    </row>
    <row r="5730" spans="1:23" ht="15.6" x14ac:dyDescent="0.4">
      <c r="A5730" s="2" t="s">
        <v>114</v>
      </c>
      <c r="B5730" s="5" t="s">
        <v>11734</v>
      </c>
      <c r="C5730" s="7" t="s">
        <v>12556</v>
      </c>
      <c r="D5730" s="8">
        <f t="shared" si="360"/>
        <v>0</v>
      </c>
      <c r="E5730" s="7" t="s">
        <v>12557</v>
      </c>
      <c r="F5730" s="7">
        <f t="shared" si="361"/>
        <v>0</v>
      </c>
      <c r="G5730" s="7" t="s">
        <v>12558</v>
      </c>
      <c r="H5730" s="7">
        <f t="shared" si="362"/>
        <v>0</v>
      </c>
      <c r="I5730" s="7" t="str" cm="1">
        <f t="array" ref="I5730">IFERROR(_xlfn.IFS(M5730="נח",1,M5730="נע ונח",1,M5730="שני שווא נח",2,M5730="שני שוואים בסוף מילה",2,M5730="שני שוואים ברצף",1),"0")</f>
        <v>0</v>
      </c>
      <c r="J5730" s="9">
        <f t="shared" si="363"/>
        <v>2</v>
      </c>
      <c r="K5730" t="s">
        <v>6698</v>
      </c>
      <c r="L5730" t="s">
        <v>6695</v>
      </c>
      <c r="R5730" t="s">
        <v>6694</v>
      </c>
      <c r="W5730" t="s">
        <v>6720</v>
      </c>
    </row>
    <row r="5731" spans="1:23" ht="15.6" x14ac:dyDescent="0.4">
      <c r="A5731" s="2" t="s">
        <v>145</v>
      </c>
      <c r="B5731" s="5" t="s">
        <v>11735</v>
      </c>
      <c r="C5731" s="7" t="s">
        <v>12556</v>
      </c>
      <c r="D5731" s="8">
        <f t="shared" si="360"/>
        <v>0</v>
      </c>
      <c r="E5731" s="7" t="s">
        <v>12557</v>
      </c>
      <c r="F5731" s="7">
        <f t="shared" si="361"/>
        <v>1</v>
      </c>
      <c r="G5731" s="7" t="s">
        <v>12558</v>
      </c>
      <c r="H5731" s="7">
        <f t="shared" si="362"/>
        <v>0</v>
      </c>
      <c r="I5731" s="7" t="str" cm="1">
        <f t="array" ref="I5731">IFERROR(_xlfn.IFS(M5731="נח",1,M5731="נע ונח",1,M5731="שני שווא נח",2,M5731="שני שוואים בסוף מילה",2,M5731="שני שוואים ברצף",1),"0")</f>
        <v>0</v>
      </c>
      <c r="J5731" s="9">
        <f t="shared" si="363"/>
        <v>2</v>
      </c>
      <c r="K5731" t="s">
        <v>6698</v>
      </c>
      <c r="L5731" t="s">
        <v>6695</v>
      </c>
      <c r="P5731" t="s">
        <v>6694</v>
      </c>
      <c r="S5731" t="s">
        <v>6694</v>
      </c>
      <c r="W5731" t="s">
        <v>6720</v>
      </c>
    </row>
    <row r="5732" spans="1:23" ht="15.6" x14ac:dyDescent="0.4">
      <c r="A5732" s="2" t="s">
        <v>198</v>
      </c>
      <c r="B5732" s="5" t="s">
        <v>11736</v>
      </c>
      <c r="C5732" s="7" t="s">
        <v>12556</v>
      </c>
      <c r="D5732" s="8">
        <f t="shared" si="360"/>
        <v>0</v>
      </c>
      <c r="E5732" s="7" t="s">
        <v>12557</v>
      </c>
      <c r="F5732" s="7">
        <f t="shared" si="361"/>
        <v>1</v>
      </c>
      <c r="G5732" s="7" t="s">
        <v>12558</v>
      </c>
      <c r="H5732" s="7">
        <f t="shared" si="362"/>
        <v>0</v>
      </c>
      <c r="I5732" s="7" t="str" cm="1">
        <f t="array" ref="I5732">IFERROR(_xlfn.IFS(M5732="נח",1,M5732="נע ונח",1,M5732="שני שווא נח",2,M5732="שני שוואים בסוף מילה",2,M5732="שני שוואים ברצף",1),"0")</f>
        <v>0</v>
      </c>
      <c r="J5732" s="9">
        <f t="shared" si="363"/>
        <v>3</v>
      </c>
      <c r="K5732" t="s">
        <v>6698</v>
      </c>
      <c r="L5732" t="s">
        <v>6695</v>
      </c>
      <c r="P5732" t="s">
        <v>6694</v>
      </c>
      <c r="S5732" t="s">
        <v>6694</v>
      </c>
      <c r="W5732" t="s">
        <v>6720</v>
      </c>
    </row>
    <row r="5733" spans="1:23" ht="15.6" x14ac:dyDescent="0.4">
      <c r="A5733" s="2" t="s">
        <v>3611</v>
      </c>
      <c r="B5733" s="5" t="s">
        <v>11723</v>
      </c>
      <c r="C5733" s="7" t="s">
        <v>12556</v>
      </c>
      <c r="D5733" s="8">
        <f t="shared" si="360"/>
        <v>0</v>
      </c>
      <c r="E5733" s="7" t="s">
        <v>12557</v>
      </c>
      <c r="F5733" s="7">
        <f t="shared" si="361"/>
        <v>1</v>
      </c>
      <c r="G5733" s="7" t="s">
        <v>12558</v>
      </c>
      <c r="H5733" s="7">
        <f t="shared" si="362"/>
        <v>1</v>
      </c>
      <c r="I5733" s="7" t="str" cm="1">
        <f t="array" ref="I5733">IFERROR(_xlfn.IFS(M5733="נח",1,M5733="נע ונח",1,M5733="שני שווא נח",2,M5733="שני שוואים בסוף מילה",2,M5733="שני שוואים ברצף",1),"0")</f>
        <v>0</v>
      </c>
      <c r="J5733" s="9">
        <f t="shared" si="363"/>
        <v>3</v>
      </c>
      <c r="K5733" t="s">
        <v>6697</v>
      </c>
      <c r="L5733" t="s">
        <v>6695</v>
      </c>
      <c r="P5733" t="s">
        <v>6694</v>
      </c>
      <c r="Q5733" t="s">
        <v>6694</v>
      </c>
      <c r="U5733" t="s">
        <v>6694</v>
      </c>
      <c r="W5733" t="s">
        <v>6720</v>
      </c>
    </row>
    <row r="5734" spans="1:23" ht="15.6" x14ac:dyDescent="0.4">
      <c r="A5734" s="2" t="s">
        <v>782</v>
      </c>
      <c r="B5734" s="5" t="s">
        <v>11737</v>
      </c>
      <c r="C5734" s="7" t="s">
        <v>12556</v>
      </c>
      <c r="D5734" s="8">
        <f t="shared" si="360"/>
        <v>0</v>
      </c>
      <c r="E5734" s="7" t="s">
        <v>12557</v>
      </c>
      <c r="F5734" s="7">
        <f t="shared" si="361"/>
        <v>0</v>
      </c>
      <c r="G5734" s="7" t="s">
        <v>12558</v>
      </c>
      <c r="H5734" s="7">
        <f t="shared" si="362"/>
        <v>0</v>
      </c>
      <c r="I5734" s="7" cm="1">
        <f t="array" ref="I5734">IFERROR(_xlfn.IFS(M5734="נח",1,M5734="נע ונח",1,M5734="שני שווא נח",2,M5734="שני שוואים בסוף מילה",2,M5734="שני שוואים ברצף",1),"0")</f>
        <v>1</v>
      </c>
      <c r="J5734" s="9">
        <f t="shared" si="363"/>
        <v>3</v>
      </c>
      <c r="K5734" t="s">
        <v>6698</v>
      </c>
      <c r="L5734" t="s">
        <v>6694</v>
      </c>
      <c r="M5734" t="s">
        <v>6705</v>
      </c>
      <c r="O5734" t="s">
        <v>6694</v>
      </c>
      <c r="P5734" t="s">
        <v>6694</v>
      </c>
      <c r="R5734" t="s">
        <v>6694</v>
      </c>
      <c r="W5734" t="s">
        <v>6720</v>
      </c>
    </row>
    <row r="5735" spans="1:23" ht="15.6" x14ac:dyDescent="0.4">
      <c r="A5735" s="2" t="s">
        <v>5433</v>
      </c>
      <c r="B5735" s="5" t="s">
        <v>11738</v>
      </c>
      <c r="C5735" s="7" t="s">
        <v>12556</v>
      </c>
      <c r="D5735" s="8">
        <f t="shared" si="360"/>
        <v>0</v>
      </c>
      <c r="E5735" s="7" t="s">
        <v>12557</v>
      </c>
      <c r="F5735" s="7">
        <f t="shared" si="361"/>
        <v>0</v>
      </c>
      <c r="G5735" s="7" t="s">
        <v>12558</v>
      </c>
      <c r="H5735" s="7">
        <f t="shared" si="362"/>
        <v>0</v>
      </c>
      <c r="I5735" s="7" cm="1">
        <f t="array" ref="I5735">IFERROR(_xlfn.IFS(M5735="נח",1,M5735="נע ונח",1,M5735="שני שווא נח",2,M5735="שני שוואים בסוף מילה",2,M5735="שני שוואים ברצף",1),"0")</f>
        <v>1</v>
      </c>
      <c r="J5735" s="9">
        <f t="shared" si="363"/>
        <v>2</v>
      </c>
      <c r="K5735" t="s">
        <v>6698</v>
      </c>
      <c r="L5735" t="s">
        <v>6694</v>
      </c>
      <c r="M5735" t="s">
        <v>6705</v>
      </c>
      <c r="N5735" t="s">
        <v>6706</v>
      </c>
      <c r="O5735" t="s">
        <v>6694</v>
      </c>
      <c r="P5735" t="s">
        <v>6694</v>
      </c>
      <c r="W5735" t="s">
        <v>6720</v>
      </c>
    </row>
    <row r="5736" spans="1:23" ht="15.6" x14ac:dyDescent="0.4">
      <c r="A5736" s="2" t="s">
        <v>2410</v>
      </c>
      <c r="B5736" s="5" t="s">
        <v>11739</v>
      </c>
      <c r="C5736" s="7" t="s">
        <v>12556</v>
      </c>
      <c r="D5736" s="8">
        <f t="shared" si="360"/>
        <v>0</v>
      </c>
      <c r="E5736" s="7" t="s">
        <v>12557</v>
      </c>
      <c r="F5736" s="7">
        <f t="shared" si="361"/>
        <v>0</v>
      </c>
      <c r="G5736" s="7" t="s">
        <v>12558</v>
      </c>
      <c r="H5736" s="7">
        <f t="shared" si="362"/>
        <v>0</v>
      </c>
      <c r="I5736" s="7" t="str" cm="1">
        <f t="array" ref="I5736">IFERROR(_xlfn.IFS(M5736="נח",1,M5736="נע ונח",1,M5736="שני שווא נח",2,M5736="שני שוואים בסוף מילה",2,M5736="שני שוואים ברצף",1),"0")</f>
        <v>0</v>
      </c>
      <c r="J5736" s="9">
        <f t="shared" si="363"/>
        <v>3</v>
      </c>
      <c r="K5736" t="s">
        <v>6698</v>
      </c>
      <c r="L5736" t="s">
        <v>6695</v>
      </c>
      <c r="P5736" t="s">
        <v>6694</v>
      </c>
      <c r="W5736" t="s">
        <v>6720</v>
      </c>
    </row>
    <row r="5737" spans="1:23" ht="15.6" x14ac:dyDescent="0.4">
      <c r="A5737" s="2" t="s">
        <v>3379</v>
      </c>
      <c r="B5737" s="5" t="s">
        <v>11740</v>
      </c>
      <c r="C5737" s="7" t="s">
        <v>12556</v>
      </c>
      <c r="D5737" s="8">
        <f t="shared" si="360"/>
        <v>0</v>
      </c>
      <c r="E5737" s="7" t="s">
        <v>12557</v>
      </c>
      <c r="F5737" s="7">
        <f t="shared" si="361"/>
        <v>0</v>
      </c>
      <c r="G5737" s="7" t="s">
        <v>12558</v>
      </c>
      <c r="H5737" s="7">
        <f t="shared" si="362"/>
        <v>0</v>
      </c>
      <c r="I5737" s="7" t="str" cm="1">
        <f t="array" ref="I5737">IFERROR(_xlfn.IFS(M5737="נח",1,M5737="נע ונח",1,M5737="שני שווא נח",2,M5737="שני שוואים בסוף מילה",2,M5737="שני שוואים ברצף",1),"0")</f>
        <v>0</v>
      </c>
      <c r="J5737" s="9">
        <f t="shared" si="363"/>
        <v>1</v>
      </c>
      <c r="K5737" t="s">
        <v>6698</v>
      </c>
      <c r="L5737" t="s">
        <v>6695</v>
      </c>
      <c r="P5737" t="s">
        <v>6694</v>
      </c>
      <c r="W5737" t="s">
        <v>6720</v>
      </c>
    </row>
    <row r="5738" spans="1:23" ht="15.6" x14ac:dyDescent="0.4">
      <c r="A5738" s="2" t="s">
        <v>5033</v>
      </c>
      <c r="B5738" s="5" t="s">
        <v>11741</v>
      </c>
      <c r="C5738" s="7" t="s">
        <v>12556</v>
      </c>
      <c r="D5738" s="8">
        <f t="shared" si="360"/>
        <v>0</v>
      </c>
      <c r="E5738" s="7" t="s">
        <v>12557</v>
      </c>
      <c r="F5738" s="7">
        <f t="shared" si="361"/>
        <v>1</v>
      </c>
      <c r="G5738" s="7" t="s">
        <v>12558</v>
      </c>
      <c r="H5738" s="7">
        <f t="shared" si="362"/>
        <v>0</v>
      </c>
      <c r="I5738" s="7" cm="1">
        <f t="array" ref="I5738">IFERROR(_xlfn.IFS(M5738="נח",1,M5738="נע ונח",1,M5738="שני שווא נח",2,M5738="שני שוואים בסוף מילה",2,M5738="שני שוואים ברצף",1),"0")</f>
        <v>1</v>
      </c>
      <c r="J5738" s="9">
        <f t="shared" si="363"/>
        <v>3</v>
      </c>
      <c r="K5738" t="s">
        <v>6697</v>
      </c>
      <c r="L5738" t="s">
        <v>6694</v>
      </c>
      <c r="M5738" t="s">
        <v>6705</v>
      </c>
      <c r="O5738" t="s">
        <v>6694</v>
      </c>
      <c r="P5738" t="s">
        <v>6694</v>
      </c>
      <c r="S5738" t="s">
        <v>6694</v>
      </c>
      <c r="W5738" t="s">
        <v>6720</v>
      </c>
    </row>
    <row r="5739" spans="1:23" ht="15.6" x14ac:dyDescent="0.4">
      <c r="A5739" s="2" t="s">
        <v>4510</v>
      </c>
      <c r="B5739" s="5" t="s">
        <v>11742</v>
      </c>
      <c r="C5739" s="7" t="s">
        <v>12556</v>
      </c>
      <c r="D5739" s="8">
        <f t="shared" si="360"/>
        <v>0</v>
      </c>
      <c r="E5739" s="7" t="s">
        <v>12557</v>
      </c>
      <c r="F5739" s="7">
        <f t="shared" si="361"/>
        <v>0</v>
      </c>
      <c r="G5739" s="7" t="s">
        <v>12558</v>
      </c>
      <c r="H5739" s="7">
        <f t="shared" si="362"/>
        <v>0</v>
      </c>
      <c r="I5739" s="7" t="str" cm="1">
        <f t="array" ref="I5739">IFERROR(_xlfn.IFS(M5739="נח",1,M5739="נע ונח",1,M5739="שני שווא נח",2,M5739="שני שוואים בסוף מילה",2,M5739="שני שוואים ברצף",1),"0")</f>
        <v>0</v>
      </c>
      <c r="J5739" s="9">
        <f t="shared" si="363"/>
        <v>2</v>
      </c>
      <c r="K5739" t="s">
        <v>6697</v>
      </c>
      <c r="L5739" t="s">
        <v>6695</v>
      </c>
      <c r="O5739" t="s">
        <v>6694</v>
      </c>
      <c r="W5739" t="s">
        <v>6720</v>
      </c>
    </row>
    <row r="5740" spans="1:23" ht="15.6" x14ac:dyDescent="0.4">
      <c r="A5740" s="2" t="s">
        <v>3289</v>
      </c>
      <c r="B5740" s="5" t="s">
        <v>11720</v>
      </c>
      <c r="C5740" s="7" t="s">
        <v>12556</v>
      </c>
      <c r="D5740" s="8">
        <f t="shared" si="360"/>
        <v>0</v>
      </c>
      <c r="E5740" s="7" t="s">
        <v>12557</v>
      </c>
      <c r="F5740" s="7">
        <f t="shared" si="361"/>
        <v>1</v>
      </c>
      <c r="G5740" s="7" t="s">
        <v>12558</v>
      </c>
      <c r="H5740" s="7">
        <f t="shared" si="362"/>
        <v>1</v>
      </c>
      <c r="I5740" s="7" cm="1">
        <f t="array" ref="I5740">IFERROR(_xlfn.IFS(M5740="נח",1,M5740="נע ונח",1,M5740="שני שווא נח",2,M5740="שני שוואים בסוף מילה",2,M5740="שני שוואים ברצף",1),"0")</f>
        <v>1</v>
      </c>
      <c r="J5740" s="9">
        <f t="shared" si="363"/>
        <v>2</v>
      </c>
      <c r="K5740" t="s">
        <v>6697</v>
      </c>
      <c r="L5740" t="s">
        <v>6694</v>
      </c>
      <c r="M5740" t="s">
        <v>6705</v>
      </c>
      <c r="N5740" t="s">
        <v>6706</v>
      </c>
      <c r="O5740" t="s">
        <v>6694</v>
      </c>
      <c r="U5740" t="s">
        <v>6694</v>
      </c>
      <c r="W5740" t="s">
        <v>6720</v>
      </c>
    </row>
    <row r="5741" spans="1:23" ht="15.6" x14ac:dyDescent="0.4">
      <c r="A5741" s="2" t="s">
        <v>6219</v>
      </c>
      <c r="B5741" s="5" t="s">
        <v>11743</v>
      </c>
      <c r="C5741" s="7" t="s">
        <v>12556</v>
      </c>
      <c r="D5741" s="8">
        <f t="shared" si="360"/>
        <v>0</v>
      </c>
      <c r="E5741" s="7" t="s">
        <v>12557</v>
      </c>
      <c r="F5741" s="7">
        <f t="shared" si="361"/>
        <v>0</v>
      </c>
      <c r="G5741" s="7" t="s">
        <v>12558</v>
      </c>
      <c r="H5741" s="7">
        <f t="shared" si="362"/>
        <v>0</v>
      </c>
      <c r="I5741" s="7" t="str" cm="1">
        <f t="array" ref="I5741">IFERROR(_xlfn.IFS(M5741="נח",1,M5741="נע ונח",1,M5741="שני שווא נח",2,M5741="שני שוואים בסוף מילה",2,M5741="שני שוואים ברצף",1),"0")</f>
        <v>0</v>
      </c>
      <c r="J5741" s="9">
        <f t="shared" si="363"/>
        <v>4</v>
      </c>
      <c r="K5741" t="s">
        <v>6698</v>
      </c>
      <c r="L5741" t="s">
        <v>6695</v>
      </c>
      <c r="N5741" t="s">
        <v>6706</v>
      </c>
      <c r="O5741" t="s">
        <v>6694</v>
      </c>
      <c r="S5741" t="s">
        <v>6694</v>
      </c>
      <c r="W5741" t="s">
        <v>6720</v>
      </c>
    </row>
    <row r="5742" spans="1:23" ht="15.6" x14ac:dyDescent="0.4">
      <c r="A5742" s="2" t="s">
        <v>3551</v>
      </c>
      <c r="B5742" s="5" t="s">
        <v>11744</v>
      </c>
      <c r="C5742" s="7" t="s">
        <v>12556</v>
      </c>
      <c r="D5742" s="8">
        <f t="shared" si="360"/>
        <v>0</v>
      </c>
      <c r="E5742" s="7" t="s">
        <v>12557</v>
      </c>
      <c r="F5742" s="7">
        <f t="shared" si="361"/>
        <v>0</v>
      </c>
      <c r="G5742" s="7" t="s">
        <v>12558</v>
      </c>
      <c r="H5742" s="7">
        <f t="shared" si="362"/>
        <v>0</v>
      </c>
      <c r="I5742" s="7" cm="1">
        <f t="array" ref="I5742">IFERROR(_xlfn.IFS(M5742="נח",1,M5742="נע ונח",1,M5742="שני שווא נח",2,M5742="שני שוואים בסוף מילה",2,M5742="שני שוואים ברצף",1),"0")</f>
        <v>1</v>
      </c>
      <c r="J5742" s="9">
        <f t="shared" si="363"/>
        <v>2</v>
      </c>
      <c r="K5742" t="s">
        <v>6697</v>
      </c>
      <c r="L5742" t="s">
        <v>6694</v>
      </c>
      <c r="M5742" t="s">
        <v>6705</v>
      </c>
      <c r="N5742" t="s">
        <v>6706</v>
      </c>
      <c r="O5742" t="s">
        <v>6694</v>
      </c>
      <c r="W5742" t="s">
        <v>6720</v>
      </c>
    </row>
    <row r="5743" spans="1:23" ht="15.6" x14ac:dyDescent="0.4">
      <c r="A5743" s="2" t="s">
        <v>4569</v>
      </c>
      <c r="B5743" s="5" t="s">
        <v>11745</v>
      </c>
      <c r="C5743" s="7" t="s">
        <v>12556</v>
      </c>
      <c r="D5743" s="8">
        <f t="shared" si="360"/>
        <v>0</v>
      </c>
      <c r="E5743" s="7" t="s">
        <v>12557</v>
      </c>
      <c r="F5743" s="7">
        <f t="shared" si="361"/>
        <v>0</v>
      </c>
      <c r="G5743" s="7" t="s">
        <v>12558</v>
      </c>
      <c r="H5743" s="7">
        <f t="shared" si="362"/>
        <v>0</v>
      </c>
      <c r="I5743" s="7" t="str" cm="1">
        <f t="array" ref="I5743">IFERROR(_xlfn.IFS(M5743="נח",1,M5743="נע ונח",1,M5743="שני שווא נח",2,M5743="שני שוואים בסוף מילה",2,M5743="שני שוואים ברצף",1),"0")</f>
        <v>0</v>
      </c>
      <c r="J5743" s="9">
        <f t="shared" si="363"/>
        <v>2</v>
      </c>
      <c r="K5743" t="s">
        <v>6698</v>
      </c>
      <c r="L5743" t="s">
        <v>6695</v>
      </c>
      <c r="O5743" t="s">
        <v>6694</v>
      </c>
      <c r="S5743" t="s">
        <v>6694</v>
      </c>
      <c r="W5743" t="s">
        <v>6720</v>
      </c>
    </row>
    <row r="5744" spans="1:23" ht="15.6" x14ac:dyDescent="0.4">
      <c r="A5744" s="2" t="s">
        <v>236</v>
      </c>
      <c r="B5744" s="5" t="s">
        <v>11746</v>
      </c>
      <c r="C5744" s="7" t="s">
        <v>12556</v>
      </c>
      <c r="D5744" s="8">
        <f t="shared" si="360"/>
        <v>0</v>
      </c>
      <c r="E5744" s="7" t="s">
        <v>12557</v>
      </c>
      <c r="F5744" s="7">
        <f t="shared" si="361"/>
        <v>1</v>
      </c>
      <c r="G5744" s="7" t="s">
        <v>12558</v>
      </c>
      <c r="H5744" s="7">
        <f t="shared" si="362"/>
        <v>0</v>
      </c>
      <c r="I5744" s="7" cm="1">
        <f t="array" ref="I5744">IFERROR(_xlfn.IFS(M5744="נח",1,M5744="נע ונח",1,M5744="שני שווא נח",2,M5744="שני שוואים בסוף מילה",2,M5744="שני שוואים ברצף",1),"0")</f>
        <v>1</v>
      </c>
      <c r="J5744" s="9">
        <f t="shared" si="363"/>
        <v>3</v>
      </c>
      <c r="K5744" t="s">
        <v>6697</v>
      </c>
      <c r="L5744" t="s">
        <v>6694</v>
      </c>
      <c r="M5744" t="s">
        <v>6705</v>
      </c>
      <c r="O5744" t="s">
        <v>6694</v>
      </c>
      <c r="P5744" t="s">
        <v>6694</v>
      </c>
      <c r="S5744" t="s">
        <v>6694</v>
      </c>
      <c r="W5744" t="s">
        <v>6720</v>
      </c>
    </row>
    <row r="5745" spans="1:23" ht="15.6" x14ac:dyDescent="0.4">
      <c r="A5745" s="2" t="s">
        <v>3410</v>
      </c>
      <c r="B5745" s="5" t="s">
        <v>11747</v>
      </c>
      <c r="C5745" s="7" t="s">
        <v>12556</v>
      </c>
      <c r="D5745" s="8">
        <f t="shared" si="360"/>
        <v>0</v>
      </c>
      <c r="E5745" s="7" t="s">
        <v>12557</v>
      </c>
      <c r="F5745" s="7">
        <f t="shared" si="361"/>
        <v>1</v>
      </c>
      <c r="G5745" s="7" t="s">
        <v>12558</v>
      </c>
      <c r="H5745" s="7">
        <f t="shared" si="362"/>
        <v>0</v>
      </c>
      <c r="I5745" s="7" cm="1">
        <f t="array" ref="I5745">IFERROR(_xlfn.IFS(M5745="נח",1,M5745="נע ונח",1,M5745="שני שווא נח",2,M5745="שני שוואים בסוף מילה",2,M5745="שני שוואים ברצף",1),"0")</f>
        <v>1</v>
      </c>
      <c r="J5745" s="9">
        <f t="shared" si="363"/>
        <v>3</v>
      </c>
      <c r="K5745" t="s">
        <v>6698</v>
      </c>
      <c r="L5745" t="s">
        <v>6694</v>
      </c>
      <c r="M5745" t="s">
        <v>6705</v>
      </c>
      <c r="O5745" t="s">
        <v>6694</v>
      </c>
      <c r="P5745" t="s">
        <v>6694</v>
      </c>
      <c r="W5745" t="s">
        <v>6720</v>
      </c>
    </row>
    <row r="5746" spans="1:23" ht="15.6" x14ac:dyDescent="0.4">
      <c r="A5746" s="2" t="s">
        <v>5810</v>
      </c>
      <c r="B5746" s="5" t="s">
        <v>11748</v>
      </c>
      <c r="C5746" s="7" t="s">
        <v>12556</v>
      </c>
      <c r="D5746" s="8">
        <f t="shared" si="360"/>
        <v>0</v>
      </c>
      <c r="E5746" s="7" t="s">
        <v>12557</v>
      </c>
      <c r="F5746" s="7">
        <f t="shared" si="361"/>
        <v>0</v>
      </c>
      <c r="G5746" s="7" t="s">
        <v>12558</v>
      </c>
      <c r="H5746" s="7">
        <f t="shared" si="362"/>
        <v>0</v>
      </c>
      <c r="I5746" s="7" t="str" cm="1">
        <f t="array" ref="I5746">IFERROR(_xlfn.IFS(M5746="נח",1,M5746="נע ונח",1,M5746="שני שווא נח",2,M5746="שני שוואים בסוף מילה",2,M5746="שני שוואים ברצף",1),"0")</f>
        <v>0</v>
      </c>
      <c r="J5746" s="9">
        <f t="shared" si="363"/>
        <v>2</v>
      </c>
      <c r="K5746" t="s">
        <v>6698</v>
      </c>
      <c r="L5746" t="s">
        <v>6695</v>
      </c>
      <c r="O5746" t="s">
        <v>6694</v>
      </c>
      <c r="V5746" t="s">
        <v>6694</v>
      </c>
      <c r="W5746" t="s">
        <v>6720</v>
      </c>
    </row>
    <row r="5747" spans="1:23" ht="15.6" x14ac:dyDescent="0.4">
      <c r="A5747" s="2" t="s">
        <v>3630</v>
      </c>
      <c r="B5747" s="5" t="s">
        <v>11740</v>
      </c>
      <c r="C5747" s="7" t="s">
        <v>12556</v>
      </c>
      <c r="D5747" s="8">
        <f t="shared" si="360"/>
        <v>0</v>
      </c>
      <c r="E5747" s="7" t="s">
        <v>12557</v>
      </c>
      <c r="F5747" s="7">
        <f t="shared" si="361"/>
        <v>0</v>
      </c>
      <c r="G5747" s="7" t="s">
        <v>12558</v>
      </c>
      <c r="H5747" s="7">
        <f t="shared" si="362"/>
        <v>0</v>
      </c>
      <c r="I5747" s="7" t="str" cm="1">
        <f t="array" ref="I5747">IFERROR(_xlfn.IFS(M5747="נח",1,M5747="נע ונח",1,M5747="שני שווא נח",2,M5747="שני שוואים בסוף מילה",2,M5747="שני שוואים ברצף",1),"0")</f>
        <v>0</v>
      </c>
      <c r="J5747" s="9">
        <f t="shared" si="363"/>
        <v>1</v>
      </c>
      <c r="K5747" t="s">
        <v>6698</v>
      </c>
      <c r="L5747" t="s">
        <v>6695</v>
      </c>
      <c r="N5747" t="s">
        <v>6706</v>
      </c>
      <c r="O5747" t="s">
        <v>6694</v>
      </c>
      <c r="W5747" t="s">
        <v>6720</v>
      </c>
    </row>
    <row r="5748" spans="1:23" ht="15.6" x14ac:dyDescent="0.4">
      <c r="A5748" s="2" t="s">
        <v>2598</v>
      </c>
      <c r="B5748" s="5" t="s">
        <v>11749</v>
      </c>
      <c r="C5748" s="7" t="s">
        <v>12556</v>
      </c>
      <c r="D5748" s="8">
        <f t="shared" si="360"/>
        <v>0</v>
      </c>
      <c r="E5748" s="7" t="s">
        <v>12557</v>
      </c>
      <c r="F5748" s="7">
        <f t="shared" si="361"/>
        <v>0</v>
      </c>
      <c r="G5748" s="7" t="s">
        <v>12558</v>
      </c>
      <c r="H5748" s="7">
        <f t="shared" si="362"/>
        <v>0</v>
      </c>
      <c r="I5748" s="7" cm="1">
        <f t="array" ref="I5748">IFERROR(_xlfn.IFS(M5748="נח",1,M5748="נע ונח",1,M5748="שני שווא נח",2,M5748="שני שוואים בסוף מילה",2,M5748="שני שוואים ברצף",1),"0")</f>
        <v>1</v>
      </c>
      <c r="J5748" s="9">
        <f t="shared" si="363"/>
        <v>2</v>
      </c>
      <c r="K5748" t="s">
        <v>6697</v>
      </c>
      <c r="L5748" t="s">
        <v>6694</v>
      </c>
      <c r="M5748" t="s">
        <v>6705</v>
      </c>
      <c r="N5748" t="s">
        <v>6706</v>
      </c>
      <c r="O5748" t="s">
        <v>6694</v>
      </c>
      <c r="W5748" t="s">
        <v>6720</v>
      </c>
    </row>
    <row r="5749" spans="1:23" ht="15.6" x14ac:dyDescent="0.4">
      <c r="A5749" s="2" t="s">
        <v>1055</v>
      </c>
      <c r="B5749" s="5" t="s">
        <v>11750</v>
      </c>
      <c r="C5749" s="7" t="s">
        <v>12556</v>
      </c>
      <c r="D5749" s="8">
        <f t="shared" si="360"/>
        <v>0</v>
      </c>
      <c r="E5749" s="7" t="s">
        <v>12557</v>
      </c>
      <c r="F5749" s="7">
        <f t="shared" si="361"/>
        <v>0</v>
      </c>
      <c r="G5749" s="7" t="s">
        <v>12558</v>
      </c>
      <c r="H5749" s="7">
        <f t="shared" si="362"/>
        <v>0</v>
      </c>
      <c r="I5749" s="7" t="str" cm="1">
        <f t="array" ref="I5749">IFERROR(_xlfn.IFS(M5749="נח",1,M5749="נע ונח",1,M5749="שני שווא נח",2,M5749="שני שוואים בסוף מילה",2,M5749="שני שוואים ברצף",1),"0")</f>
        <v>0</v>
      </c>
      <c r="J5749" s="9">
        <f t="shared" si="363"/>
        <v>3</v>
      </c>
      <c r="K5749" t="s">
        <v>6698</v>
      </c>
      <c r="L5749" t="s">
        <v>6695</v>
      </c>
      <c r="O5749" t="s">
        <v>6694</v>
      </c>
      <c r="Q5749" t="s">
        <v>6694</v>
      </c>
      <c r="R5749" t="s">
        <v>6694</v>
      </c>
      <c r="W5749" t="s">
        <v>6720</v>
      </c>
    </row>
    <row r="5750" spans="1:23" ht="15.6" x14ac:dyDescent="0.4">
      <c r="A5750" s="2" t="s">
        <v>3612</v>
      </c>
      <c r="B5750" s="5" t="s">
        <v>11751</v>
      </c>
      <c r="C5750" s="7" t="s">
        <v>12556</v>
      </c>
      <c r="D5750" s="8">
        <f t="shared" si="360"/>
        <v>0</v>
      </c>
      <c r="E5750" s="7" t="s">
        <v>12557</v>
      </c>
      <c r="F5750" s="7">
        <f t="shared" si="361"/>
        <v>1</v>
      </c>
      <c r="G5750" s="7" t="s">
        <v>12558</v>
      </c>
      <c r="H5750" s="7">
        <f t="shared" si="362"/>
        <v>1</v>
      </c>
      <c r="I5750" s="7" t="str" cm="1">
        <f t="array" ref="I5750">IFERROR(_xlfn.IFS(M5750="נח",1,M5750="נע ונח",1,M5750="שני שווא נח",2,M5750="שני שוואים בסוף מילה",2,M5750="שני שוואים ברצף",1),"0")</f>
        <v>0</v>
      </c>
      <c r="J5750" s="9">
        <f t="shared" si="363"/>
        <v>3</v>
      </c>
      <c r="K5750" t="s">
        <v>6697</v>
      </c>
      <c r="L5750" t="s">
        <v>6695</v>
      </c>
      <c r="O5750" t="s">
        <v>6694</v>
      </c>
      <c r="Q5750" t="s">
        <v>6694</v>
      </c>
      <c r="U5750" t="s">
        <v>6694</v>
      </c>
      <c r="W5750" t="s">
        <v>6720</v>
      </c>
    </row>
    <row r="5751" spans="1:23" ht="15.6" x14ac:dyDescent="0.4">
      <c r="A5751" s="2" t="s">
        <v>2612</v>
      </c>
      <c r="B5751" s="5" t="s">
        <v>11752</v>
      </c>
      <c r="C5751" s="7" t="s">
        <v>12556</v>
      </c>
      <c r="D5751" s="8">
        <f t="shared" si="360"/>
        <v>0</v>
      </c>
      <c r="E5751" s="7" t="s">
        <v>12557</v>
      </c>
      <c r="F5751" s="7">
        <f t="shared" si="361"/>
        <v>0</v>
      </c>
      <c r="G5751" s="7" t="s">
        <v>12558</v>
      </c>
      <c r="H5751" s="7">
        <f t="shared" si="362"/>
        <v>0</v>
      </c>
      <c r="I5751" s="7" t="str" cm="1">
        <f t="array" ref="I5751">IFERROR(_xlfn.IFS(M5751="נח",1,M5751="נע ונח",1,M5751="שני שווא נח",2,M5751="שני שוואים בסוף מילה",2,M5751="שני שוואים ברצף",1),"0")</f>
        <v>0</v>
      </c>
      <c r="J5751" s="9">
        <f t="shared" si="363"/>
        <v>2</v>
      </c>
      <c r="K5751" t="s">
        <v>6698</v>
      </c>
      <c r="L5751" t="s">
        <v>6695</v>
      </c>
      <c r="O5751" t="s">
        <v>6694</v>
      </c>
      <c r="P5751" t="s">
        <v>6694</v>
      </c>
      <c r="W5751" t="s">
        <v>6720</v>
      </c>
    </row>
    <row r="5752" spans="1:23" ht="15.6" x14ac:dyDescent="0.4">
      <c r="A5752" s="2" t="s">
        <v>160</v>
      </c>
      <c r="B5752" s="5" t="s">
        <v>11753</v>
      </c>
      <c r="C5752" s="7" t="s">
        <v>12556</v>
      </c>
      <c r="D5752" s="8">
        <f t="shared" si="360"/>
        <v>0</v>
      </c>
      <c r="E5752" s="7" t="s">
        <v>12557</v>
      </c>
      <c r="F5752" s="7">
        <f t="shared" si="361"/>
        <v>0</v>
      </c>
      <c r="G5752" s="7" t="s">
        <v>12558</v>
      </c>
      <c r="H5752" s="7">
        <f t="shared" si="362"/>
        <v>0</v>
      </c>
      <c r="I5752" s="7" t="str" cm="1">
        <f t="array" ref="I5752">IFERROR(_xlfn.IFS(M5752="נח",1,M5752="נע ונח",1,M5752="שני שווא נח",2,M5752="שני שוואים בסוף מילה",2,M5752="שני שוואים ברצף",1),"0")</f>
        <v>0</v>
      </c>
      <c r="J5752" s="9">
        <f t="shared" si="363"/>
        <v>2</v>
      </c>
      <c r="K5752" t="s">
        <v>6697</v>
      </c>
      <c r="L5752" t="s">
        <v>6695</v>
      </c>
      <c r="O5752" t="s">
        <v>6694</v>
      </c>
      <c r="W5752" t="s">
        <v>6720</v>
      </c>
    </row>
    <row r="5753" spans="1:23" ht="15.6" x14ac:dyDescent="0.4">
      <c r="A5753" s="2" t="s">
        <v>2651</v>
      </c>
      <c r="B5753" s="5" t="s">
        <v>11752</v>
      </c>
      <c r="C5753" s="7" t="s">
        <v>12556</v>
      </c>
      <c r="D5753" s="8">
        <f t="shared" si="360"/>
        <v>0</v>
      </c>
      <c r="E5753" s="7" t="s">
        <v>12557</v>
      </c>
      <c r="F5753" s="7">
        <f t="shared" si="361"/>
        <v>0</v>
      </c>
      <c r="G5753" s="7" t="s">
        <v>12558</v>
      </c>
      <c r="H5753" s="7">
        <f t="shared" si="362"/>
        <v>0</v>
      </c>
      <c r="I5753" s="7" t="str" cm="1">
        <f t="array" ref="I5753">IFERROR(_xlfn.IFS(M5753="נח",1,M5753="נע ונח",1,M5753="שני שווא נח",2,M5753="שני שוואים בסוף מילה",2,M5753="שני שוואים ברצף",1),"0")</f>
        <v>0</v>
      </c>
      <c r="J5753" s="9">
        <f t="shared" si="363"/>
        <v>2</v>
      </c>
      <c r="K5753" t="s">
        <v>6698</v>
      </c>
      <c r="L5753" t="s">
        <v>6695</v>
      </c>
      <c r="N5753" t="s">
        <v>6706</v>
      </c>
      <c r="O5753" t="s">
        <v>6694</v>
      </c>
      <c r="W5753" t="s">
        <v>6720</v>
      </c>
    </row>
    <row r="5754" spans="1:23" ht="15.6" x14ac:dyDescent="0.4">
      <c r="A5754" s="2" t="s">
        <v>5838</v>
      </c>
      <c r="B5754" s="5" t="s">
        <v>11754</v>
      </c>
      <c r="C5754" s="7" t="s">
        <v>12556</v>
      </c>
      <c r="D5754" s="8">
        <f t="shared" si="360"/>
        <v>0</v>
      </c>
      <c r="E5754" s="7" t="s">
        <v>12557</v>
      </c>
      <c r="F5754" s="7">
        <f t="shared" si="361"/>
        <v>0</v>
      </c>
      <c r="G5754" s="7" t="s">
        <v>12558</v>
      </c>
      <c r="H5754" s="7">
        <f t="shared" si="362"/>
        <v>0</v>
      </c>
      <c r="I5754" s="7" t="str" cm="1">
        <f t="array" ref="I5754">IFERROR(_xlfn.IFS(M5754="נח",1,M5754="נע ונח",1,M5754="שני שווא נח",2,M5754="שני שוואים בסוף מילה",2,M5754="שני שוואים ברצף",1),"0")</f>
        <v>0</v>
      </c>
      <c r="J5754" s="9">
        <f t="shared" si="363"/>
        <v>2</v>
      </c>
      <c r="K5754" t="s">
        <v>6698</v>
      </c>
      <c r="L5754" t="s">
        <v>6695</v>
      </c>
      <c r="N5754" t="s">
        <v>6706</v>
      </c>
      <c r="O5754" t="s">
        <v>6694</v>
      </c>
      <c r="W5754" t="s">
        <v>6720</v>
      </c>
    </row>
    <row r="5755" spans="1:23" ht="15.6" x14ac:dyDescent="0.4">
      <c r="A5755" s="2" t="s">
        <v>4723</v>
      </c>
      <c r="B5755" s="5" t="s">
        <v>11755</v>
      </c>
      <c r="C5755" s="7" t="s">
        <v>12556</v>
      </c>
      <c r="D5755" s="8">
        <f t="shared" si="360"/>
        <v>0</v>
      </c>
      <c r="E5755" s="7" t="s">
        <v>12557</v>
      </c>
      <c r="F5755" s="7">
        <f t="shared" si="361"/>
        <v>0</v>
      </c>
      <c r="G5755" s="7" t="s">
        <v>12558</v>
      </c>
      <c r="H5755" s="7">
        <f t="shared" si="362"/>
        <v>0</v>
      </c>
      <c r="I5755" s="7" t="str" cm="1">
        <f t="array" ref="I5755">IFERROR(_xlfn.IFS(M5755="נח",1,M5755="נע ונח",1,M5755="שני שווא נח",2,M5755="שני שוואים בסוף מילה",2,M5755="שני שוואים ברצף",1),"0")</f>
        <v>0</v>
      </c>
      <c r="J5755" s="9">
        <f t="shared" si="363"/>
        <v>3</v>
      </c>
      <c r="K5755" t="s">
        <v>6697</v>
      </c>
      <c r="L5755" t="s">
        <v>6695</v>
      </c>
      <c r="O5755" t="s">
        <v>6694</v>
      </c>
      <c r="S5755" t="s">
        <v>6694</v>
      </c>
      <c r="W5755" t="s">
        <v>6720</v>
      </c>
    </row>
    <row r="5756" spans="1:23" ht="15.6" x14ac:dyDescent="0.4">
      <c r="A5756" s="2" t="s">
        <v>534</v>
      </c>
      <c r="B5756" s="5" t="s">
        <v>11756</v>
      </c>
      <c r="C5756" s="7" t="s">
        <v>12556</v>
      </c>
      <c r="D5756" s="8">
        <f t="shared" si="360"/>
        <v>0</v>
      </c>
      <c r="E5756" s="7" t="s">
        <v>12557</v>
      </c>
      <c r="F5756" s="7">
        <f t="shared" si="361"/>
        <v>0</v>
      </c>
      <c r="G5756" s="7" t="s">
        <v>12558</v>
      </c>
      <c r="H5756" s="7">
        <f t="shared" si="362"/>
        <v>0</v>
      </c>
      <c r="I5756" s="7" t="str" cm="1">
        <f t="array" ref="I5756">IFERROR(_xlfn.IFS(M5756="נח",1,M5756="נע ונח",1,M5756="שני שווא נח",2,M5756="שני שוואים בסוף מילה",2,M5756="שני שוואים ברצף",1),"0")</f>
        <v>0</v>
      </c>
      <c r="J5756" s="9">
        <f t="shared" si="363"/>
        <v>2</v>
      </c>
      <c r="K5756" t="s">
        <v>6698</v>
      </c>
      <c r="L5756" t="s">
        <v>6695</v>
      </c>
      <c r="O5756" t="s">
        <v>6694</v>
      </c>
      <c r="V5756" t="s">
        <v>6694</v>
      </c>
      <c r="W5756" t="s">
        <v>6720</v>
      </c>
    </row>
    <row r="5757" spans="1:23" ht="15.6" x14ac:dyDescent="0.4">
      <c r="A5757" s="2" t="s">
        <v>2753</v>
      </c>
      <c r="B5757" s="5" t="s">
        <v>11757</v>
      </c>
      <c r="C5757" s="7" t="s">
        <v>12556</v>
      </c>
      <c r="D5757" s="8">
        <f t="shared" si="360"/>
        <v>0</v>
      </c>
      <c r="E5757" s="7" t="s">
        <v>12557</v>
      </c>
      <c r="F5757" s="7">
        <f t="shared" si="361"/>
        <v>0</v>
      </c>
      <c r="G5757" s="7" t="s">
        <v>12558</v>
      </c>
      <c r="H5757" s="7">
        <f t="shared" si="362"/>
        <v>0</v>
      </c>
      <c r="I5757" s="7" t="str" cm="1">
        <f t="array" ref="I5757">IFERROR(_xlfn.IFS(M5757="נח",1,M5757="נע ונח",1,M5757="שני שווא נח",2,M5757="שני שוואים בסוף מילה",2,M5757="שני שוואים ברצף",1),"0")</f>
        <v>0</v>
      </c>
      <c r="J5757" s="9">
        <f t="shared" si="363"/>
        <v>3</v>
      </c>
      <c r="K5757" t="s">
        <v>6698</v>
      </c>
      <c r="L5757" t="s">
        <v>6695</v>
      </c>
      <c r="N5757" t="s">
        <v>6706</v>
      </c>
      <c r="O5757" t="s">
        <v>6694</v>
      </c>
      <c r="V5757" t="s">
        <v>6694</v>
      </c>
      <c r="W5757" t="s">
        <v>6720</v>
      </c>
    </row>
    <row r="5758" spans="1:23" ht="15.6" x14ac:dyDescent="0.4">
      <c r="A5758" s="2" t="s">
        <v>1833</v>
      </c>
      <c r="B5758" s="5" t="s">
        <v>11758</v>
      </c>
      <c r="C5758" s="7" t="s">
        <v>12556</v>
      </c>
      <c r="D5758" s="8">
        <f t="shared" si="360"/>
        <v>0</v>
      </c>
      <c r="E5758" s="7" t="s">
        <v>12557</v>
      </c>
      <c r="F5758" s="7">
        <f t="shared" si="361"/>
        <v>1</v>
      </c>
      <c r="G5758" s="7" t="s">
        <v>12558</v>
      </c>
      <c r="H5758" s="7">
        <f t="shared" si="362"/>
        <v>1</v>
      </c>
      <c r="I5758" s="7" t="str" cm="1">
        <f t="array" ref="I5758">IFERROR(_xlfn.IFS(M5758="נח",1,M5758="נע ונח",1,M5758="שני שווא נח",2,M5758="שני שוואים בסוף מילה",2,M5758="שני שוואים ברצף",1),"0")</f>
        <v>0</v>
      </c>
      <c r="J5758" s="9">
        <f t="shared" si="363"/>
        <v>2</v>
      </c>
      <c r="K5758" t="s">
        <v>6698</v>
      </c>
      <c r="L5758" t="s">
        <v>6695</v>
      </c>
      <c r="O5758" t="s">
        <v>6694</v>
      </c>
      <c r="U5758" t="s">
        <v>6694</v>
      </c>
      <c r="W5758" t="s">
        <v>6720</v>
      </c>
    </row>
    <row r="5759" spans="1:23" ht="15.6" x14ac:dyDescent="0.4">
      <c r="A5759" s="2" t="s">
        <v>2953</v>
      </c>
      <c r="B5759" s="5" t="s">
        <v>11759</v>
      </c>
      <c r="C5759" s="7" t="s">
        <v>12556</v>
      </c>
      <c r="D5759" s="8">
        <f t="shared" si="360"/>
        <v>0</v>
      </c>
      <c r="E5759" s="7" t="s">
        <v>12557</v>
      </c>
      <c r="F5759" s="7">
        <f t="shared" si="361"/>
        <v>1</v>
      </c>
      <c r="G5759" s="7" t="s">
        <v>12558</v>
      </c>
      <c r="H5759" s="7">
        <f t="shared" si="362"/>
        <v>1</v>
      </c>
      <c r="I5759" s="7" t="str" cm="1">
        <f t="array" ref="I5759">IFERROR(_xlfn.IFS(M5759="נח",1,M5759="נע ונח",1,M5759="שני שווא נח",2,M5759="שני שוואים בסוף מילה",2,M5759="שני שוואים ברצף",1),"0")</f>
        <v>0</v>
      </c>
      <c r="J5759" s="9">
        <f t="shared" si="363"/>
        <v>3</v>
      </c>
      <c r="K5759" t="s">
        <v>6697</v>
      </c>
      <c r="L5759" t="s">
        <v>6695</v>
      </c>
      <c r="Q5759" t="s">
        <v>6694</v>
      </c>
      <c r="U5759" t="s">
        <v>6694</v>
      </c>
      <c r="V5759" t="s">
        <v>6694</v>
      </c>
      <c r="W5759" t="s">
        <v>6720</v>
      </c>
    </row>
    <row r="5760" spans="1:23" ht="15.6" x14ac:dyDescent="0.4">
      <c r="A5760" s="2" t="s">
        <v>6025</v>
      </c>
      <c r="B5760" s="5" t="s">
        <v>11760</v>
      </c>
      <c r="C5760" s="7" t="s">
        <v>12556</v>
      </c>
      <c r="D5760" s="8">
        <f t="shared" si="360"/>
        <v>0</v>
      </c>
      <c r="E5760" s="7" t="s">
        <v>12557</v>
      </c>
      <c r="F5760" s="7">
        <f t="shared" si="361"/>
        <v>0</v>
      </c>
      <c r="G5760" s="7" t="s">
        <v>12558</v>
      </c>
      <c r="H5760" s="7">
        <f t="shared" si="362"/>
        <v>0</v>
      </c>
      <c r="I5760" s="7" t="str" cm="1">
        <f t="array" ref="I5760">IFERROR(_xlfn.IFS(M5760="נח",1,M5760="נע ונח",1,M5760="שני שווא נח",2,M5760="שני שוואים בסוף מילה",2,M5760="שני שוואים ברצף",1),"0")</f>
        <v>0</v>
      </c>
      <c r="J5760" s="9">
        <f t="shared" si="363"/>
        <v>1</v>
      </c>
      <c r="K5760" t="s">
        <v>6698</v>
      </c>
      <c r="L5760" t="s">
        <v>6695</v>
      </c>
      <c r="V5760" t="s">
        <v>6694</v>
      </c>
      <c r="W5760" t="s">
        <v>6720</v>
      </c>
    </row>
    <row r="5761" spans="1:23" ht="15.6" x14ac:dyDescent="0.4">
      <c r="A5761" s="2" t="s">
        <v>6658</v>
      </c>
      <c r="B5761" s="5" t="s">
        <v>11761</v>
      </c>
      <c r="C5761" s="7" t="s">
        <v>12556</v>
      </c>
      <c r="D5761" s="8">
        <f t="shared" si="360"/>
        <v>0</v>
      </c>
      <c r="E5761" s="7" t="s">
        <v>12557</v>
      </c>
      <c r="F5761" s="7">
        <f t="shared" si="361"/>
        <v>0</v>
      </c>
      <c r="G5761" s="7" t="s">
        <v>12558</v>
      </c>
      <c r="H5761" s="7">
        <f t="shared" si="362"/>
        <v>0</v>
      </c>
      <c r="I5761" s="7" t="str" cm="1">
        <f t="array" ref="I5761">IFERROR(_xlfn.IFS(M5761="נח",1,M5761="נע ונח",1,M5761="שני שווא נח",2,M5761="שני שוואים בסוף מילה",2,M5761="שני שוואים ברצף",1),"0")</f>
        <v>0</v>
      </c>
      <c r="J5761" s="9">
        <f t="shared" si="363"/>
        <v>2</v>
      </c>
      <c r="K5761" t="s">
        <v>6698</v>
      </c>
      <c r="L5761" t="s">
        <v>6695</v>
      </c>
      <c r="P5761" t="s">
        <v>6694</v>
      </c>
      <c r="V5761" t="s">
        <v>6694</v>
      </c>
      <c r="W5761" t="s">
        <v>6720</v>
      </c>
    </row>
    <row r="5762" spans="1:23" ht="15.6" x14ac:dyDescent="0.4">
      <c r="A5762" s="2" t="s">
        <v>3731</v>
      </c>
      <c r="B5762" s="5" t="s">
        <v>11740</v>
      </c>
      <c r="C5762" s="7" t="s">
        <v>12556</v>
      </c>
      <c r="D5762" s="8">
        <f t="shared" si="360"/>
        <v>0</v>
      </c>
      <c r="E5762" s="7" t="s">
        <v>12557</v>
      </c>
      <c r="F5762" s="7">
        <f t="shared" si="361"/>
        <v>0</v>
      </c>
      <c r="G5762" s="7" t="s">
        <v>12558</v>
      </c>
      <c r="H5762" s="7">
        <f t="shared" si="362"/>
        <v>0</v>
      </c>
      <c r="I5762" s="7" t="str" cm="1">
        <f t="array" ref="I5762">IFERROR(_xlfn.IFS(M5762="נח",1,M5762="נע ונח",1,M5762="שני שווא נח",2,M5762="שני שוואים בסוף מילה",2,M5762="שני שוואים ברצף",1),"0")</f>
        <v>0</v>
      </c>
      <c r="J5762" s="9">
        <f t="shared" si="363"/>
        <v>1</v>
      </c>
      <c r="K5762" t="s">
        <v>6698</v>
      </c>
      <c r="L5762" t="s">
        <v>6695</v>
      </c>
      <c r="V5762" t="s">
        <v>6694</v>
      </c>
      <c r="W5762" t="s">
        <v>6720</v>
      </c>
    </row>
    <row r="5763" spans="1:23" ht="15.6" x14ac:dyDescent="0.4">
      <c r="A5763" s="2" t="s">
        <v>5639</v>
      </c>
      <c r="B5763" s="5" t="s">
        <v>11762</v>
      </c>
      <c r="C5763" s="7" t="s">
        <v>12556</v>
      </c>
      <c r="D5763" s="8">
        <f t="shared" ref="D5763:D5826" si="364">(LEN(B5763)-LEN(SUBSTITUTE(B5763,C5763,"")))</f>
        <v>0</v>
      </c>
      <c r="E5763" s="7" t="s">
        <v>12557</v>
      </c>
      <c r="F5763" s="7">
        <f t="shared" ref="F5763:F5826" si="365">(LEN(A5763)-LEN(SUBSTITUTE(A5763,E5763,"")))</f>
        <v>0</v>
      </c>
      <c r="G5763" s="7" t="s">
        <v>12558</v>
      </c>
      <c r="H5763" s="7">
        <f t="shared" ref="H5763:H5826" si="366">(LEN(A5763)-LEN(SUBSTITUTE(A5763,G5763,"")))/2</f>
        <v>0</v>
      </c>
      <c r="I5763" s="7" t="str" cm="1">
        <f t="array" ref="I5763">IFERROR(_xlfn.IFS(M5763="נח",1,M5763="נע ונח",1,M5763="שני שווא נח",2,M5763="שני שוואים בסוף מילה",2,M5763="שני שוואים ברצף",1),"0")</f>
        <v>0</v>
      </c>
      <c r="J5763" s="9">
        <f t="shared" ref="J5763:J5826" si="367">LEN(A5763)-(LEN(B5763))-D5763-F5763+H5763-I5763</f>
        <v>4</v>
      </c>
      <c r="K5763" t="s">
        <v>6697</v>
      </c>
      <c r="L5763" t="s">
        <v>6694</v>
      </c>
      <c r="M5763" t="s">
        <v>6703</v>
      </c>
      <c r="O5763" t="s">
        <v>6694</v>
      </c>
      <c r="R5763" t="s">
        <v>6694</v>
      </c>
      <c r="V5763" t="s">
        <v>6694</v>
      </c>
      <c r="W5763" t="s">
        <v>6720</v>
      </c>
    </row>
    <row r="5764" spans="1:23" ht="15.6" x14ac:dyDescent="0.4">
      <c r="A5764" s="2" t="s">
        <v>3388</v>
      </c>
      <c r="B5764" s="5" t="s">
        <v>11763</v>
      </c>
      <c r="C5764" s="7" t="s">
        <v>12556</v>
      </c>
      <c r="D5764" s="8">
        <f t="shared" si="364"/>
        <v>0</v>
      </c>
      <c r="E5764" s="7" t="s">
        <v>12557</v>
      </c>
      <c r="F5764" s="7">
        <f t="shared" si="365"/>
        <v>0</v>
      </c>
      <c r="G5764" s="7" t="s">
        <v>12558</v>
      </c>
      <c r="H5764" s="7">
        <f t="shared" si="366"/>
        <v>0</v>
      </c>
      <c r="I5764" s="7" t="str" cm="1">
        <f t="array" ref="I5764">IFERROR(_xlfn.IFS(M5764="נח",1,M5764="נע ונח",1,M5764="שני שווא נח",2,M5764="שני שוואים בסוף מילה",2,M5764="שני שוואים ברצף",1),"0")</f>
        <v>0</v>
      </c>
      <c r="J5764" s="9">
        <f t="shared" si="367"/>
        <v>3</v>
      </c>
      <c r="K5764" t="s">
        <v>6698</v>
      </c>
      <c r="L5764" t="s">
        <v>6694</v>
      </c>
      <c r="M5764" t="s">
        <v>6703</v>
      </c>
      <c r="P5764" t="s">
        <v>6694</v>
      </c>
      <c r="V5764" t="s">
        <v>6694</v>
      </c>
      <c r="W5764" t="s">
        <v>6720</v>
      </c>
    </row>
    <row r="5765" spans="1:23" ht="15.6" x14ac:dyDescent="0.4">
      <c r="A5765" s="2" t="s">
        <v>791</v>
      </c>
      <c r="B5765" s="5" t="s">
        <v>11763</v>
      </c>
      <c r="C5765" s="7" t="s">
        <v>12556</v>
      </c>
      <c r="D5765" s="8">
        <f t="shared" si="364"/>
        <v>0</v>
      </c>
      <c r="E5765" s="7" t="s">
        <v>12557</v>
      </c>
      <c r="F5765" s="7">
        <f t="shared" si="365"/>
        <v>0</v>
      </c>
      <c r="G5765" s="7" t="s">
        <v>12558</v>
      </c>
      <c r="H5765" s="7">
        <f t="shared" si="366"/>
        <v>0</v>
      </c>
      <c r="I5765" s="7" t="str" cm="1">
        <f t="array" ref="I5765">IFERROR(_xlfn.IFS(M5765="נח",1,M5765="נע ונח",1,M5765="שני שווא נח",2,M5765="שני שוואים בסוף מילה",2,M5765="שני שוואים ברצף",1),"0")</f>
        <v>0</v>
      </c>
      <c r="J5765" s="9">
        <f t="shared" si="367"/>
        <v>3</v>
      </c>
      <c r="K5765" t="s">
        <v>6698</v>
      </c>
      <c r="L5765" t="s">
        <v>6694</v>
      </c>
      <c r="M5765" t="s">
        <v>6703</v>
      </c>
      <c r="N5765" t="s">
        <v>6706</v>
      </c>
      <c r="O5765" t="s">
        <v>6694</v>
      </c>
      <c r="V5765" t="s">
        <v>6694</v>
      </c>
      <c r="W5765" t="s">
        <v>6720</v>
      </c>
    </row>
    <row r="5766" spans="1:23" ht="15.6" x14ac:dyDescent="0.4">
      <c r="A5766" s="2" t="s">
        <v>5626</v>
      </c>
      <c r="B5766" s="5" t="s">
        <v>11763</v>
      </c>
      <c r="C5766" s="7" t="s">
        <v>12556</v>
      </c>
      <c r="D5766" s="8">
        <f t="shared" si="364"/>
        <v>0</v>
      </c>
      <c r="E5766" s="7" t="s">
        <v>12557</v>
      </c>
      <c r="F5766" s="7">
        <f t="shared" si="365"/>
        <v>0</v>
      </c>
      <c r="G5766" s="7" t="s">
        <v>12558</v>
      </c>
      <c r="H5766" s="7">
        <f t="shared" si="366"/>
        <v>0</v>
      </c>
      <c r="I5766" s="7" t="str" cm="1">
        <f t="array" ref="I5766">IFERROR(_xlfn.IFS(M5766="נח",1,M5766="נע ונח",1,M5766="שני שווא נח",2,M5766="שני שוואים בסוף מילה",2,M5766="שני שוואים ברצף",1),"0")</f>
        <v>0</v>
      </c>
      <c r="J5766" s="9">
        <f t="shared" si="367"/>
        <v>3</v>
      </c>
      <c r="K5766" t="s">
        <v>6698</v>
      </c>
      <c r="L5766" t="s">
        <v>6695</v>
      </c>
      <c r="P5766" t="s">
        <v>6694</v>
      </c>
      <c r="Q5766" t="s">
        <v>6694</v>
      </c>
      <c r="V5766" t="s">
        <v>6694</v>
      </c>
      <c r="W5766" t="s">
        <v>6720</v>
      </c>
    </row>
    <row r="5767" spans="1:23" ht="15.6" x14ac:dyDescent="0.4">
      <c r="A5767" s="2" t="s">
        <v>5736</v>
      </c>
      <c r="B5767" s="5" t="s">
        <v>11764</v>
      </c>
      <c r="C5767" s="7" t="s">
        <v>12556</v>
      </c>
      <c r="D5767" s="8">
        <f t="shared" si="364"/>
        <v>0</v>
      </c>
      <c r="E5767" s="7" t="s">
        <v>12557</v>
      </c>
      <c r="F5767" s="7">
        <f t="shared" si="365"/>
        <v>0</v>
      </c>
      <c r="G5767" s="7" t="s">
        <v>12558</v>
      </c>
      <c r="H5767" s="7">
        <f t="shared" si="366"/>
        <v>0</v>
      </c>
      <c r="I5767" s="7" t="str" cm="1">
        <f t="array" ref="I5767">IFERROR(_xlfn.IFS(M5767="נח",1,M5767="נע ונח",1,M5767="שני שווא נח",2,M5767="שני שוואים בסוף מילה",2,M5767="שני שוואים ברצף",1),"0")</f>
        <v>0</v>
      </c>
      <c r="J5767" s="9">
        <f t="shared" si="367"/>
        <v>2</v>
      </c>
      <c r="K5767" t="s">
        <v>6698</v>
      </c>
      <c r="L5767" t="s">
        <v>6695</v>
      </c>
      <c r="S5767" t="s">
        <v>6694</v>
      </c>
      <c r="T5767" t="s">
        <v>6694</v>
      </c>
      <c r="W5767" t="s">
        <v>6720</v>
      </c>
    </row>
    <row r="5768" spans="1:23" ht="15.6" x14ac:dyDescent="0.4">
      <c r="A5768" s="2" t="s">
        <v>3703</v>
      </c>
      <c r="B5768" s="5" t="s">
        <v>11734</v>
      </c>
      <c r="C5768" s="7" t="s">
        <v>12556</v>
      </c>
      <c r="D5768" s="8">
        <f t="shared" si="364"/>
        <v>0</v>
      </c>
      <c r="E5768" s="7" t="s">
        <v>12557</v>
      </c>
      <c r="F5768" s="7">
        <f t="shared" si="365"/>
        <v>1</v>
      </c>
      <c r="G5768" s="7" t="s">
        <v>12558</v>
      </c>
      <c r="H5768" s="7">
        <f t="shared" si="366"/>
        <v>0</v>
      </c>
      <c r="I5768" s="7" t="str" cm="1">
        <f t="array" ref="I5768">IFERROR(_xlfn.IFS(M5768="נח",1,M5768="נע ונח",1,M5768="שני שווא נח",2,M5768="שני שוואים בסוף מילה",2,M5768="שני שוואים ברצף",1),"0")</f>
        <v>0</v>
      </c>
      <c r="J5768" s="9">
        <f t="shared" si="367"/>
        <v>2</v>
      </c>
      <c r="K5768" t="s">
        <v>6698</v>
      </c>
      <c r="L5768" t="s">
        <v>6695</v>
      </c>
      <c r="R5768" t="s">
        <v>6694</v>
      </c>
      <c r="W5768" t="s">
        <v>6720</v>
      </c>
    </row>
    <row r="5769" spans="1:23" ht="15.6" x14ac:dyDescent="0.4">
      <c r="A5769" s="2" t="s">
        <v>4226</v>
      </c>
      <c r="B5769" s="5" t="s">
        <v>11765</v>
      </c>
      <c r="C5769" s="7" t="s">
        <v>12556</v>
      </c>
      <c r="D5769" s="8">
        <f t="shared" si="364"/>
        <v>0</v>
      </c>
      <c r="E5769" s="7" t="s">
        <v>12557</v>
      </c>
      <c r="F5769" s="7">
        <f t="shared" si="365"/>
        <v>0</v>
      </c>
      <c r="G5769" s="7" t="s">
        <v>12558</v>
      </c>
      <c r="H5769" s="7">
        <f t="shared" si="366"/>
        <v>0</v>
      </c>
      <c r="I5769" s="7" t="str" cm="1">
        <f t="array" ref="I5769">IFERROR(_xlfn.IFS(M5769="נח",1,M5769="נע ונח",1,M5769="שני שווא נח",2,M5769="שני שוואים בסוף מילה",2,M5769="שני שוואים ברצף",1),"0")</f>
        <v>0</v>
      </c>
      <c r="J5769" s="9">
        <f t="shared" si="367"/>
        <v>2</v>
      </c>
      <c r="K5769" t="s">
        <v>6697</v>
      </c>
      <c r="L5769" t="s">
        <v>6695</v>
      </c>
      <c r="O5769" t="s">
        <v>6694</v>
      </c>
      <c r="V5769" t="s">
        <v>6694</v>
      </c>
      <c r="W5769" t="s">
        <v>6720</v>
      </c>
    </row>
    <row r="5770" spans="1:23" ht="15.6" x14ac:dyDescent="0.4">
      <c r="A5770" s="2" t="s">
        <v>5958</v>
      </c>
      <c r="B5770" s="5" t="s">
        <v>11766</v>
      </c>
      <c r="C5770" s="7" t="s">
        <v>12556</v>
      </c>
      <c r="D5770" s="8">
        <f t="shared" si="364"/>
        <v>0</v>
      </c>
      <c r="E5770" s="7" t="s">
        <v>12557</v>
      </c>
      <c r="F5770" s="7">
        <f t="shared" si="365"/>
        <v>0</v>
      </c>
      <c r="G5770" s="7" t="s">
        <v>12558</v>
      </c>
      <c r="H5770" s="7">
        <f t="shared" si="366"/>
        <v>0</v>
      </c>
      <c r="I5770" s="7" t="str" cm="1">
        <f t="array" ref="I5770">IFERROR(_xlfn.IFS(M5770="נח",1,M5770="נע ונח",1,M5770="שני שווא נח",2,M5770="שני שוואים בסוף מילה",2,M5770="שני שוואים ברצף",1),"0")</f>
        <v>0</v>
      </c>
      <c r="J5770" s="9">
        <f t="shared" si="367"/>
        <v>3</v>
      </c>
      <c r="K5770" t="s">
        <v>6697</v>
      </c>
      <c r="L5770" t="s">
        <v>6694</v>
      </c>
      <c r="M5770" t="s">
        <v>6703</v>
      </c>
      <c r="S5770" t="s">
        <v>6694</v>
      </c>
      <c r="V5770" t="s">
        <v>6694</v>
      </c>
      <c r="W5770" t="s">
        <v>6720</v>
      </c>
    </row>
    <row r="5771" spans="1:23" ht="15.6" x14ac:dyDescent="0.4">
      <c r="A5771" s="2" t="s">
        <v>2143</v>
      </c>
      <c r="B5771" s="5" t="s">
        <v>11767</v>
      </c>
      <c r="C5771" s="7" t="s">
        <v>12556</v>
      </c>
      <c r="D5771" s="8">
        <f t="shared" si="364"/>
        <v>0</v>
      </c>
      <c r="E5771" s="7" t="s">
        <v>12557</v>
      </c>
      <c r="F5771" s="7">
        <f t="shared" si="365"/>
        <v>0</v>
      </c>
      <c r="G5771" s="7" t="s">
        <v>12558</v>
      </c>
      <c r="H5771" s="7">
        <f t="shared" si="366"/>
        <v>0</v>
      </c>
      <c r="I5771" s="7" t="str" cm="1">
        <f t="array" ref="I5771">IFERROR(_xlfn.IFS(M5771="נח",1,M5771="נע ונח",1,M5771="שני שווא נח",2,M5771="שני שוואים בסוף מילה",2,M5771="שני שוואים ברצף",1),"0")</f>
        <v>0</v>
      </c>
      <c r="J5771" s="9">
        <f t="shared" si="367"/>
        <v>4</v>
      </c>
      <c r="K5771" t="s">
        <v>6697</v>
      </c>
      <c r="L5771" t="s">
        <v>6694</v>
      </c>
      <c r="M5771" t="s">
        <v>6703</v>
      </c>
      <c r="O5771" t="s">
        <v>6694</v>
      </c>
      <c r="R5771" t="s">
        <v>6694</v>
      </c>
      <c r="V5771" t="s">
        <v>6694</v>
      </c>
      <c r="W5771" t="s">
        <v>6720</v>
      </c>
    </row>
    <row r="5772" spans="1:23" ht="15.6" x14ac:dyDescent="0.4">
      <c r="A5772" s="2" t="s">
        <v>3591</v>
      </c>
      <c r="B5772" s="5" t="s">
        <v>11766</v>
      </c>
      <c r="C5772" s="7" t="s">
        <v>12556</v>
      </c>
      <c r="D5772" s="8">
        <f t="shared" si="364"/>
        <v>0</v>
      </c>
      <c r="E5772" s="7" t="s">
        <v>12557</v>
      </c>
      <c r="F5772" s="7">
        <f t="shared" si="365"/>
        <v>0</v>
      </c>
      <c r="G5772" s="7" t="s">
        <v>12558</v>
      </c>
      <c r="H5772" s="7">
        <f t="shared" si="366"/>
        <v>0</v>
      </c>
      <c r="I5772" s="7" t="str" cm="1">
        <f t="array" ref="I5772">IFERROR(_xlfn.IFS(M5772="נח",1,M5772="נע ונח",1,M5772="שני שווא נח",2,M5772="שני שוואים בסוף מילה",2,M5772="שני שוואים ברצף",1),"0")</f>
        <v>0</v>
      </c>
      <c r="J5772" s="9">
        <f t="shared" si="367"/>
        <v>3</v>
      </c>
      <c r="K5772" t="s">
        <v>6698</v>
      </c>
      <c r="L5772" t="s">
        <v>6694</v>
      </c>
      <c r="M5772" t="s">
        <v>6703</v>
      </c>
      <c r="N5772" t="s">
        <v>6706</v>
      </c>
      <c r="O5772" t="s">
        <v>6694</v>
      </c>
      <c r="V5772" t="s">
        <v>6694</v>
      </c>
      <c r="W5772" t="s">
        <v>6720</v>
      </c>
    </row>
    <row r="5773" spans="1:23" ht="15.6" x14ac:dyDescent="0.4">
      <c r="A5773" s="2" t="s">
        <v>5141</v>
      </c>
      <c r="B5773" s="5" t="s">
        <v>11768</v>
      </c>
      <c r="C5773" s="7" t="s">
        <v>12556</v>
      </c>
      <c r="D5773" s="8">
        <f t="shared" si="364"/>
        <v>0</v>
      </c>
      <c r="E5773" s="7" t="s">
        <v>12557</v>
      </c>
      <c r="F5773" s="7">
        <f t="shared" si="365"/>
        <v>0</v>
      </c>
      <c r="G5773" s="7" t="s">
        <v>12558</v>
      </c>
      <c r="H5773" s="7">
        <f t="shared" si="366"/>
        <v>0</v>
      </c>
      <c r="I5773" s="7" t="str" cm="1">
        <f t="array" ref="I5773">IFERROR(_xlfn.IFS(M5773="נח",1,M5773="נע ונח",1,M5773="שני שווא נח",2,M5773="שני שוואים בסוף מילה",2,M5773="שני שוואים ברצף",1),"0")</f>
        <v>0</v>
      </c>
      <c r="J5773" s="9">
        <f t="shared" si="367"/>
        <v>3</v>
      </c>
      <c r="K5773" t="s">
        <v>6698</v>
      </c>
      <c r="L5773" t="s">
        <v>6694</v>
      </c>
      <c r="M5773" t="s">
        <v>6703</v>
      </c>
      <c r="N5773" t="s">
        <v>6706</v>
      </c>
      <c r="O5773" t="s">
        <v>6694</v>
      </c>
      <c r="V5773" t="s">
        <v>6694</v>
      </c>
      <c r="W5773" t="s">
        <v>6720</v>
      </c>
    </row>
    <row r="5774" spans="1:23" ht="15.6" x14ac:dyDescent="0.4">
      <c r="A5774" s="2" t="s">
        <v>6122</v>
      </c>
      <c r="B5774" s="5" t="s">
        <v>11769</v>
      </c>
      <c r="C5774" s="7" t="s">
        <v>12556</v>
      </c>
      <c r="D5774" s="8">
        <f t="shared" si="364"/>
        <v>0</v>
      </c>
      <c r="E5774" s="7" t="s">
        <v>12557</v>
      </c>
      <c r="F5774" s="7">
        <f t="shared" si="365"/>
        <v>1</v>
      </c>
      <c r="G5774" s="7" t="s">
        <v>12558</v>
      </c>
      <c r="H5774" s="7">
        <f t="shared" si="366"/>
        <v>1</v>
      </c>
      <c r="I5774" s="7" t="str" cm="1">
        <f t="array" ref="I5774">IFERROR(_xlfn.IFS(M5774="נח",1,M5774="נע ונח",1,M5774="שני שווא נח",2,M5774="שני שוואים בסוף מילה",2,M5774="שני שוואים ברצף",1),"0")</f>
        <v>0</v>
      </c>
      <c r="J5774" s="9">
        <f t="shared" si="367"/>
        <v>2</v>
      </c>
      <c r="K5774" t="s">
        <v>6698</v>
      </c>
      <c r="L5774" t="s">
        <v>6695</v>
      </c>
      <c r="S5774" t="s">
        <v>6694</v>
      </c>
      <c r="U5774" t="s">
        <v>6694</v>
      </c>
      <c r="W5774" t="s">
        <v>6720</v>
      </c>
    </row>
    <row r="5775" spans="1:23" ht="15.6" x14ac:dyDescent="0.4">
      <c r="A5775" s="2" t="s">
        <v>2041</v>
      </c>
      <c r="B5775" s="5" t="s">
        <v>11770</v>
      </c>
      <c r="C5775" s="7" t="s">
        <v>12556</v>
      </c>
      <c r="D5775" s="8">
        <f t="shared" si="364"/>
        <v>0</v>
      </c>
      <c r="E5775" s="7" t="s">
        <v>12557</v>
      </c>
      <c r="F5775" s="7">
        <f t="shared" si="365"/>
        <v>1</v>
      </c>
      <c r="G5775" s="7" t="s">
        <v>12558</v>
      </c>
      <c r="H5775" s="7">
        <f t="shared" si="366"/>
        <v>1</v>
      </c>
      <c r="I5775" s="7" t="str" cm="1">
        <f t="array" ref="I5775">IFERROR(_xlfn.IFS(M5775="נח",1,M5775="נע ונח",1,M5775="שני שווא נח",2,M5775="שני שוואים בסוף מילה",2,M5775="שני שוואים ברצף",1),"0")</f>
        <v>0</v>
      </c>
      <c r="J5775" s="9">
        <f t="shared" si="367"/>
        <v>1</v>
      </c>
      <c r="K5775" t="s">
        <v>6698</v>
      </c>
      <c r="L5775" t="s">
        <v>6695</v>
      </c>
      <c r="U5775" t="s">
        <v>6694</v>
      </c>
      <c r="W5775" t="s">
        <v>6720</v>
      </c>
    </row>
    <row r="5776" spans="1:23" ht="15.6" x14ac:dyDescent="0.4">
      <c r="A5776" s="2" t="s">
        <v>1510</v>
      </c>
      <c r="B5776" s="5" t="s">
        <v>11771</v>
      </c>
      <c r="C5776" s="7" t="s">
        <v>12556</v>
      </c>
      <c r="D5776" s="8">
        <f t="shared" si="364"/>
        <v>0</v>
      </c>
      <c r="E5776" s="7" t="s">
        <v>12557</v>
      </c>
      <c r="F5776" s="7">
        <f t="shared" si="365"/>
        <v>1</v>
      </c>
      <c r="G5776" s="7" t="s">
        <v>12558</v>
      </c>
      <c r="H5776" s="7">
        <f t="shared" si="366"/>
        <v>1</v>
      </c>
      <c r="I5776" s="7" t="str" cm="1">
        <f t="array" ref="I5776">IFERROR(_xlfn.IFS(M5776="נח",1,M5776="נע ונח",1,M5776="שני שווא נח",2,M5776="שני שוואים בסוף מילה",2,M5776="שני שוואים ברצף",1),"0")</f>
        <v>0</v>
      </c>
      <c r="J5776" s="9">
        <f t="shared" si="367"/>
        <v>2</v>
      </c>
      <c r="K5776" t="s">
        <v>6697</v>
      </c>
      <c r="L5776" t="s">
        <v>6695</v>
      </c>
      <c r="S5776" t="s">
        <v>6694</v>
      </c>
      <c r="U5776" t="s">
        <v>6694</v>
      </c>
      <c r="W5776" t="s">
        <v>6720</v>
      </c>
    </row>
    <row r="5777" spans="1:23" ht="15.6" x14ac:dyDescent="0.4">
      <c r="A5777" s="2" t="s">
        <v>3774</v>
      </c>
      <c r="B5777" s="5" t="s">
        <v>11772</v>
      </c>
      <c r="C5777" s="7" t="s">
        <v>12556</v>
      </c>
      <c r="D5777" s="8">
        <f t="shared" si="364"/>
        <v>1</v>
      </c>
      <c r="E5777" s="7" t="s">
        <v>12557</v>
      </c>
      <c r="F5777" s="7">
        <f t="shared" si="365"/>
        <v>0</v>
      </c>
      <c r="G5777" s="7" t="s">
        <v>12558</v>
      </c>
      <c r="H5777" s="7">
        <f t="shared" si="366"/>
        <v>0</v>
      </c>
      <c r="I5777" s="7" t="str" cm="1">
        <f t="array" ref="I5777">IFERROR(_xlfn.IFS(M5777="נח",1,M5777="נע ונח",1,M5777="שני שווא נח",2,M5777="שני שוואים בסוף מילה",2,M5777="שני שוואים ברצף",1),"0")</f>
        <v>0</v>
      </c>
      <c r="J5777" s="9">
        <f t="shared" si="367"/>
        <v>2</v>
      </c>
      <c r="K5777" t="s">
        <v>6698</v>
      </c>
      <c r="L5777" t="s">
        <v>6694</v>
      </c>
      <c r="M5777" t="s">
        <v>6700</v>
      </c>
      <c r="V5777" t="s">
        <v>6694</v>
      </c>
      <c r="W5777" t="s">
        <v>6720</v>
      </c>
    </row>
    <row r="5778" spans="1:23" ht="15.6" x14ac:dyDescent="0.4">
      <c r="A5778" s="2" t="s">
        <v>5799</v>
      </c>
      <c r="B5778" s="5" t="s">
        <v>11773</v>
      </c>
      <c r="C5778" s="7" t="s">
        <v>12556</v>
      </c>
      <c r="D5778" s="8">
        <f t="shared" si="364"/>
        <v>1</v>
      </c>
      <c r="E5778" s="7" t="s">
        <v>12557</v>
      </c>
      <c r="F5778" s="7">
        <f t="shared" si="365"/>
        <v>0</v>
      </c>
      <c r="G5778" s="7" t="s">
        <v>12558</v>
      </c>
      <c r="H5778" s="7">
        <f t="shared" si="366"/>
        <v>0</v>
      </c>
      <c r="I5778" s="7" t="str" cm="1">
        <f t="array" ref="I5778">IFERROR(_xlfn.IFS(M5778="נח",1,M5778="נע ונח",1,M5778="שני שווא נח",2,M5778="שני שוואים בסוף מילה",2,M5778="שני שוואים ברצף",1),"0")</f>
        <v>0</v>
      </c>
      <c r="J5778" s="9">
        <f t="shared" si="367"/>
        <v>3</v>
      </c>
      <c r="K5778" t="s">
        <v>6698</v>
      </c>
      <c r="L5778" t="s">
        <v>6694</v>
      </c>
      <c r="M5778" t="s">
        <v>6700</v>
      </c>
      <c r="S5778" t="s">
        <v>6694</v>
      </c>
      <c r="V5778" t="s">
        <v>6694</v>
      </c>
      <c r="W5778" t="s">
        <v>6720</v>
      </c>
    </row>
    <row r="5779" spans="1:23" ht="15.6" x14ac:dyDescent="0.4">
      <c r="A5779" s="2" t="s">
        <v>2760</v>
      </c>
      <c r="B5779" s="5" t="s">
        <v>11774</v>
      </c>
      <c r="C5779" s="7" t="s">
        <v>12556</v>
      </c>
      <c r="D5779" s="8">
        <f t="shared" si="364"/>
        <v>1</v>
      </c>
      <c r="E5779" s="7" t="s">
        <v>12557</v>
      </c>
      <c r="F5779" s="7">
        <f t="shared" si="365"/>
        <v>0</v>
      </c>
      <c r="G5779" s="7" t="s">
        <v>12558</v>
      </c>
      <c r="H5779" s="7">
        <f t="shared" si="366"/>
        <v>0</v>
      </c>
      <c r="I5779" s="7" t="str" cm="1">
        <f t="array" ref="I5779">IFERROR(_xlfn.IFS(M5779="נח",1,M5779="נע ונח",1,M5779="שני שווא נח",2,M5779="שני שוואים בסוף מילה",2,M5779="שני שוואים ברצף",1),"0")</f>
        <v>0</v>
      </c>
      <c r="J5779" s="9">
        <f t="shared" si="367"/>
        <v>3</v>
      </c>
      <c r="K5779" t="s">
        <v>6698</v>
      </c>
      <c r="L5779" t="s">
        <v>6694</v>
      </c>
      <c r="M5779" t="s">
        <v>6700</v>
      </c>
      <c r="N5779" t="s">
        <v>6706</v>
      </c>
      <c r="O5779" t="s">
        <v>6694</v>
      </c>
      <c r="V5779" t="s">
        <v>6694</v>
      </c>
      <c r="W5779" t="s">
        <v>6720</v>
      </c>
    </row>
    <row r="5780" spans="1:23" ht="15.6" x14ac:dyDescent="0.4">
      <c r="A5780" s="2" t="s">
        <v>548</v>
      </c>
      <c r="B5780" s="5" t="s">
        <v>11775</v>
      </c>
      <c r="C5780" s="7" t="s">
        <v>12556</v>
      </c>
      <c r="D5780" s="8">
        <f t="shared" si="364"/>
        <v>1</v>
      </c>
      <c r="E5780" s="7" t="s">
        <v>12557</v>
      </c>
      <c r="F5780" s="7">
        <f t="shared" si="365"/>
        <v>0</v>
      </c>
      <c r="G5780" s="7" t="s">
        <v>12558</v>
      </c>
      <c r="H5780" s="7">
        <f t="shared" si="366"/>
        <v>0</v>
      </c>
      <c r="I5780" s="7" t="str" cm="1">
        <f t="array" ref="I5780">IFERROR(_xlfn.IFS(M5780="נח",1,M5780="נע ונח",1,M5780="שני שווא נח",2,M5780="שני שוואים בסוף מילה",2,M5780="שני שוואים ברצף",1),"0")</f>
        <v>0</v>
      </c>
      <c r="J5780" s="9">
        <f t="shared" si="367"/>
        <v>2</v>
      </c>
      <c r="K5780" t="s">
        <v>6698</v>
      </c>
      <c r="L5780" t="s">
        <v>6694</v>
      </c>
      <c r="M5780" t="s">
        <v>6700</v>
      </c>
      <c r="V5780" t="s">
        <v>6694</v>
      </c>
      <c r="W5780" t="s">
        <v>6720</v>
      </c>
    </row>
    <row r="5781" spans="1:23" ht="15.6" x14ac:dyDescent="0.4">
      <c r="A5781" s="2" t="s">
        <v>742</v>
      </c>
      <c r="B5781" s="5" t="s">
        <v>11776</v>
      </c>
      <c r="C5781" s="7" t="s">
        <v>12556</v>
      </c>
      <c r="D5781" s="8">
        <f t="shared" si="364"/>
        <v>0</v>
      </c>
      <c r="E5781" s="7" t="s">
        <v>12557</v>
      </c>
      <c r="F5781" s="7">
        <f t="shared" si="365"/>
        <v>1</v>
      </c>
      <c r="G5781" s="7" t="s">
        <v>12558</v>
      </c>
      <c r="H5781" s="7">
        <f t="shared" si="366"/>
        <v>0</v>
      </c>
      <c r="I5781" s="7" t="str" cm="1">
        <f t="array" ref="I5781">IFERROR(_xlfn.IFS(M5781="נח",1,M5781="נע ונח",1,M5781="שני שווא נח",2,M5781="שני שוואים בסוף מילה",2,M5781="שני שוואים ברצף",1),"0")</f>
        <v>0</v>
      </c>
      <c r="J5781" s="9">
        <f t="shared" si="367"/>
        <v>3</v>
      </c>
      <c r="K5781" t="s">
        <v>6698</v>
      </c>
      <c r="L5781" t="s">
        <v>6694</v>
      </c>
      <c r="M5781" t="s">
        <v>6700</v>
      </c>
      <c r="P5781" t="s">
        <v>6694</v>
      </c>
      <c r="V5781" t="s">
        <v>6694</v>
      </c>
      <c r="W5781" t="s">
        <v>6720</v>
      </c>
    </row>
    <row r="5782" spans="1:23" ht="15.6" x14ac:dyDescent="0.4">
      <c r="A5782" s="2" t="s">
        <v>4454</v>
      </c>
      <c r="B5782" s="5" t="s">
        <v>11777</v>
      </c>
      <c r="C5782" s="7" t="s">
        <v>12556</v>
      </c>
      <c r="D5782" s="8">
        <f t="shared" si="364"/>
        <v>0</v>
      </c>
      <c r="E5782" s="7" t="s">
        <v>12557</v>
      </c>
      <c r="F5782" s="7">
        <f t="shared" si="365"/>
        <v>0</v>
      </c>
      <c r="G5782" s="7" t="s">
        <v>12558</v>
      </c>
      <c r="H5782" s="7">
        <f t="shared" si="366"/>
        <v>0</v>
      </c>
      <c r="I5782" s="7" t="str" cm="1">
        <f t="array" ref="I5782">IFERROR(_xlfn.IFS(M5782="נח",1,M5782="נע ונח",1,M5782="שני שווא נח",2,M5782="שני שוואים בסוף מילה",2,M5782="שני שוואים ברצף",1),"0")</f>
        <v>0</v>
      </c>
      <c r="J5782" s="9">
        <f t="shared" si="367"/>
        <v>3</v>
      </c>
      <c r="K5782" t="s">
        <v>6698</v>
      </c>
      <c r="L5782" t="s">
        <v>6694</v>
      </c>
      <c r="M5782" t="s">
        <v>6700</v>
      </c>
      <c r="R5782" t="s">
        <v>6694</v>
      </c>
      <c r="V5782" t="s">
        <v>6694</v>
      </c>
      <c r="W5782" t="s">
        <v>6720</v>
      </c>
    </row>
    <row r="5783" spans="1:23" ht="15.6" x14ac:dyDescent="0.4">
      <c r="A5783" s="2" t="s">
        <v>4988</v>
      </c>
      <c r="B5783" s="5" t="s">
        <v>11778</v>
      </c>
      <c r="C5783" s="7" t="s">
        <v>12556</v>
      </c>
      <c r="D5783" s="8">
        <f t="shared" si="364"/>
        <v>0</v>
      </c>
      <c r="E5783" s="7" t="s">
        <v>12557</v>
      </c>
      <c r="F5783" s="7">
        <f t="shared" si="365"/>
        <v>0</v>
      </c>
      <c r="G5783" s="7" t="s">
        <v>12558</v>
      </c>
      <c r="H5783" s="7">
        <f t="shared" si="366"/>
        <v>0</v>
      </c>
      <c r="I5783" s="7" t="str" cm="1">
        <f t="array" ref="I5783">IFERROR(_xlfn.IFS(M5783="נח",1,M5783="נע ונח",1,M5783="שני שווא נח",2,M5783="שני שוואים בסוף מילה",2,M5783="שני שוואים ברצף",1),"0")</f>
        <v>0</v>
      </c>
      <c r="J5783" s="9">
        <f t="shared" si="367"/>
        <v>3</v>
      </c>
      <c r="K5783" t="s">
        <v>6697</v>
      </c>
      <c r="L5783" t="s">
        <v>6694</v>
      </c>
      <c r="M5783" t="s">
        <v>6700</v>
      </c>
      <c r="O5783" t="s">
        <v>6694</v>
      </c>
      <c r="W5783" t="s">
        <v>6720</v>
      </c>
    </row>
    <row r="5784" spans="1:23" ht="15.6" x14ac:dyDescent="0.4">
      <c r="A5784" s="2" t="s">
        <v>3710</v>
      </c>
      <c r="B5784" s="5" t="s">
        <v>11779</v>
      </c>
      <c r="C5784" s="7" t="s">
        <v>12556</v>
      </c>
      <c r="D5784" s="8">
        <f t="shared" si="364"/>
        <v>0</v>
      </c>
      <c r="E5784" s="7" t="s">
        <v>12557</v>
      </c>
      <c r="F5784" s="7">
        <f t="shared" si="365"/>
        <v>0</v>
      </c>
      <c r="G5784" s="7" t="s">
        <v>12558</v>
      </c>
      <c r="H5784" s="7">
        <f t="shared" si="366"/>
        <v>0</v>
      </c>
      <c r="I5784" s="7" t="str" cm="1">
        <f t="array" ref="I5784">IFERROR(_xlfn.IFS(M5784="נח",1,M5784="נע ונח",1,M5784="שני שווא נח",2,M5784="שני שוואים בסוף מילה",2,M5784="שני שוואים ברצף",1),"0")</f>
        <v>0</v>
      </c>
      <c r="J5784" s="9">
        <f t="shared" si="367"/>
        <v>3</v>
      </c>
      <c r="K5784" t="s">
        <v>6698</v>
      </c>
      <c r="L5784" t="s">
        <v>6694</v>
      </c>
      <c r="M5784" t="s">
        <v>6700</v>
      </c>
      <c r="S5784" t="s">
        <v>6694</v>
      </c>
      <c r="V5784" t="s">
        <v>6694</v>
      </c>
      <c r="W5784" t="s">
        <v>6720</v>
      </c>
    </row>
    <row r="5785" spans="1:23" ht="15.6" x14ac:dyDescent="0.4">
      <c r="A5785" s="2" t="s">
        <v>4811</v>
      </c>
      <c r="B5785" s="5" t="s">
        <v>11780</v>
      </c>
      <c r="C5785" s="7" t="s">
        <v>12556</v>
      </c>
      <c r="D5785" s="8">
        <f t="shared" si="364"/>
        <v>0</v>
      </c>
      <c r="E5785" s="7" t="s">
        <v>12557</v>
      </c>
      <c r="F5785" s="7">
        <f t="shared" si="365"/>
        <v>0</v>
      </c>
      <c r="G5785" s="7" t="s">
        <v>12558</v>
      </c>
      <c r="H5785" s="7">
        <f t="shared" si="366"/>
        <v>0</v>
      </c>
      <c r="I5785" s="7" t="str" cm="1">
        <f t="array" ref="I5785">IFERROR(_xlfn.IFS(M5785="נח",1,M5785="נע ונח",1,M5785="שני שווא נח",2,M5785="שני שוואים בסוף מילה",2,M5785="שני שוואים ברצף",1),"0")</f>
        <v>0</v>
      </c>
      <c r="J5785" s="9">
        <f t="shared" si="367"/>
        <v>4</v>
      </c>
      <c r="K5785" t="s">
        <v>6698</v>
      </c>
      <c r="L5785" t="s">
        <v>6694</v>
      </c>
      <c r="M5785" t="s">
        <v>6700</v>
      </c>
      <c r="O5785" t="s">
        <v>6694</v>
      </c>
      <c r="R5785" t="s">
        <v>6694</v>
      </c>
      <c r="S5785" t="s">
        <v>6694</v>
      </c>
      <c r="W5785" t="s">
        <v>6720</v>
      </c>
    </row>
    <row r="5786" spans="1:23" ht="15.6" x14ac:dyDescent="0.4">
      <c r="A5786" s="2" t="s">
        <v>3790</v>
      </c>
      <c r="B5786" s="5" t="s">
        <v>11781</v>
      </c>
      <c r="C5786" s="7" t="s">
        <v>12556</v>
      </c>
      <c r="D5786" s="8">
        <f t="shared" si="364"/>
        <v>0</v>
      </c>
      <c r="E5786" s="7" t="s">
        <v>12557</v>
      </c>
      <c r="F5786" s="7">
        <f t="shared" si="365"/>
        <v>0</v>
      </c>
      <c r="G5786" s="7" t="s">
        <v>12558</v>
      </c>
      <c r="H5786" s="7">
        <f t="shared" si="366"/>
        <v>0</v>
      </c>
      <c r="I5786" s="7" t="str" cm="1">
        <f t="array" ref="I5786">IFERROR(_xlfn.IFS(M5786="נח",1,M5786="נע ונח",1,M5786="שני שווא נח",2,M5786="שני שוואים בסוף מילה",2,M5786="שני שוואים ברצף",1),"0")</f>
        <v>0</v>
      </c>
      <c r="J5786" s="9">
        <f t="shared" si="367"/>
        <v>2</v>
      </c>
      <c r="K5786" t="s">
        <v>6697</v>
      </c>
      <c r="L5786" t="s">
        <v>6694</v>
      </c>
      <c r="M5786" t="s">
        <v>6700</v>
      </c>
      <c r="Q5786" t="s">
        <v>6694</v>
      </c>
      <c r="W5786" t="s">
        <v>6720</v>
      </c>
    </row>
    <row r="5787" spans="1:23" ht="15.6" x14ac:dyDescent="0.4">
      <c r="A5787" s="2" t="s">
        <v>4382</v>
      </c>
      <c r="B5787" s="5" t="s">
        <v>11782</v>
      </c>
      <c r="C5787" s="7" t="s">
        <v>12556</v>
      </c>
      <c r="D5787" s="8">
        <f t="shared" si="364"/>
        <v>0</v>
      </c>
      <c r="E5787" s="7" t="s">
        <v>12557</v>
      </c>
      <c r="F5787" s="7">
        <f t="shared" si="365"/>
        <v>0</v>
      </c>
      <c r="G5787" s="7" t="s">
        <v>12558</v>
      </c>
      <c r="H5787" s="7">
        <f t="shared" si="366"/>
        <v>0</v>
      </c>
      <c r="I5787" s="7" t="str" cm="1">
        <f t="array" ref="I5787">IFERROR(_xlfn.IFS(M5787="נח",1,M5787="נע ונח",1,M5787="שני שווא נח",2,M5787="שני שוואים בסוף מילה",2,M5787="שני שוואים ברצף",1),"0")</f>
        <v>0</v>
      </c>
      <c r="J5787" s="9">
        <f t="shared" si="367"/>
        <v>3</v>
      </c>
      <c r="K5787" t="s">
        <v>6698</v>
      </c>
      <c r="L5787" t="s">
        <v>6694</v>
      </c>
      <c r="M5787" t="s">
        <v>6700</v>
      </c>
      <c r="O5787" t="s">
        <v>6694</v>
      </c>
      <c r="V5787" t="s">
        <v>6694</v>
      </c>
      <c r="W5787" t="s">
        <v>6720</v>
      </c>
    </row>
    <row r="5788" spans="1:23" ht="15.6" x14ac:dyDescent="0.4">
      <c r="A5788" s="2" t="s">
        <v>3274</v>
      </c>
      <c r="B5788" s="5" t="s">
        <v>11783</v>
      </c>
      <c r="C5788" s="7" t="s">
        <v>12556</v>
      </c>
      <c r="D5788" s="8">
        <f t="shared" si="364"/>
        <v>0</v>
      </c>
      <c r="E5788" s="7" t="s">
        <v>12557</v>
      </c>
      <c r="F5788" s="7">
        <f t="shared" si="365"/>
        <v>0</v>
      </c>
      <c r="G5788" s="7" t="s">
        <v>12558</v>
      </c>
      <c r="H5788" s="7">
        <f t="shared" si="366"/>
        <v>0</v>
      </c>
      <c r="I5788" s="7" t="str" cm="1">
        <f t="array" ref="I5788">IFERROR(_xlfn.IFS(M5788="נח",1,M5788="נע ונח",1,M5788="שני שווא נח",2,M5788="שני שוואים בסוף מילה",2,M5788="שני שוואים ברצף",1),"0")</f>
        <v>0</v>
      </c>
      <c r="J5788" s="9">
        <f t="shared" si="367"/>
        <v>3</v>
      </c>
      <c r="K5788" t="s">
        <v>6698</v>
      </c>
      <c r="L5788" t="s">
        <v>6694</v>
      </c>
      <c r="M5788" t="s">
        <v>6700</v>
      </c>
      <c r="N5788" t="s">
        <v>6706</v>
      </c>
      <c r="O5788" t="s">
        <v>6694</v>
      </c>
      <c r="V5788" t="s">
        <v>6694</v>
      </c>
      <c r="W5788" t="s">
        <v>6720</v>
      </c>
    </row>
    <row r="5789" spans="1:23" ht="15.6" x14ac:dyDescent="0.4">
      <c r="A5789" s="2" t="s">
        <v>3404</v>
      </c>
      <c r="B5789" s="5" t="s">
        <v>11784</v>
      </c>
      <c r="C5789" s="7" t="s">
        <v>12556</v>
      </c>
      <c r="D5789" s="8">
        <f t="shared" si="364"/>
        <v>0</v>
      </c>
      <c r="E5789" s="7" t="s">
        <v>12557</v>
      </c>
      <c r="F5789" s="7">
        <f t="shared" si="365"/>
        <v>0</v>
      </c>
      <c r="G5789" s="7" t="s">
        <v>12558</v>
      </c>
      <c r="H5789" s="7">
        <f t="shared" si="366"/>
        <v>0</v>
      </c>
      <c r="I5789" s="7" t="str" cm="1">
        <f t="array" ref="I5789">IFERROR(_xlfn.IFS(M5789="נח",1,M5789="נע ונח",1,M5789="שני שווא נח",2,M5789="שני שוואים בסוף מילה",2,M5789="שני שוואים ברצף",1),"0")</f>
        <v>0</v>
      </c>
      <c r="J5789" s="9">
        <f t="shared" si="367"/>
        <v>4</v>
      </c>
      <c r="K5789" t="s">
        <v>6697</v>
      </c>
      <c r="L5789" t="s">
        <v>6694</v>
      </c>
      <c r="M5789" t="s">
        <v>6700</v>
      </c>
      <c r="O5789" t="s">
        <v>6694</v>
      </c>
      <c r="S5789" t="s">
        <v>6694</v>
      </c>
      <c r="W5789" t="s">
        <v>6720</v>
      </c>
    </row>
    <row r="5790" spans="1:23" ht="15.6" x14ac:dyDescent="0.4">
      <c r="A5790" s="2" t="s">
        <v>6656</v>
      </c>
      <c r="B5790" s="5" t="s">
        <v>11785</v>
      </c>
      <c r="C5790" s="7" t="s">
        <v>12556</v>
      </c>
      <c r="D5790" s="8">
        <f t="shared" si="364"/>
        <v>0</v>
      </c>
      <c r="E5790" s="7" t="s">
        <v>12557</v>
      </c>
      <c r="F5790" s="7">
        <f t="shared" si="365"/>
        <v>0</v>
      </c>
      <c r="G5790" s="7" t="s">
        <v>12558</v>
      </c>
      <c r="H5790" s="7">
        <f t="shared" si="366"/>
        <v>0</v>
      </c>
      <c r="I5790" s="7" t="str" cm="1">
        <f t="array" ref="I5790">IFERROR(_xlfn.IFS(M5790="נח",1,M5790="נע ונח",1,M5790="שני שווא נח",2,M5790="שני שוואים בסוף מילה",2,M5790="שני שוואים ברצף",1),"0")</f>
        <v>0</v>
      </c>
      <c r="J5790" s="9">
        <f t="shared" si="367"/>
        <v>2</v>
      </c>
      <c r="K5790" t="s">
        <v>6698</v>
      </c>
      <c r="L5790" t="s">
        <v>6694</v>
      </c>
      <c r="M5790" t="s">
        <v>6700</v>
      </c>
      <c r="N5790" t="s">
        <v>6706</v>
      </c>
      <c r="O5790" t="s">
        <v>6694</v>
      </c>
      <c r="W5790" t="s">
        <v>6720</v>
      </c>
    </row>
    <row r="5791" spans="1:23" ht="15.6" x14ac:dyDescent="0.4">
      <c r="A5791" s="2" t="s">
        <v>2811</v>
      </c>
      <c r="B5791" s="5" t="s">
        <v>11786</v>
      </c>
      <c r="C5791" s="7" t="s">
        <v>12556</v>
      </c>
      <c r="D5791" s="8">
        <f t="shared" si="364"/>
        <v>0</v>
      </c>
      <c r="E5791" s="7" t="s">
        <v>12557</v>
      </c>
      <c r="F5791" s="7">
        <f t="shared" si="365"/>
        <v>0</v>
      </c>
      <c r="G5791" s="7" t="s">
        <v>12558</v>
      </c>
      <c r="H5791" s="7">
        <f t="shared" si="366"/>
        <v>0</v>
      </c>
      <c r="I5791" s="7" t="str" cm="1">
        <f t="array" ref="I5791">IFERROR(_xlfn.IFS(M5791="נח",1,M5791="נע ונח",1,M5791="שני שווא נח",2,M5791="שני שוואים בסוף מילה",2,M5791="שני שוואים ברצף",1),"0")</f>
        <v>0</v>
      </c>
      <c r="J5791" s="9">
        <f t="shared" si="367"/>
        <v>3</v>
      </c>
      <c r="K5791" t="s">
        <v>6698</v>
      </c>
      <c r="L5791" t="s">
        <v>6694</v>
      </c>
      <c r="M5791" t="s">
        <v>6700</v>
      </c>
      <c r="O5791" t="s">
        <v>6694</v>
      </c>
      <c r="P5791" t="s">
        <v>6694</v>
      </c>
      <c r="W5791" t="s">
        <v>6720</v>
      </c>
    </row>
    <row r="5792" spans="1:23" ht="15.6" x14ac:dyDescent="0.4">
      <c r="A5792" s="2" t="s">
        <v>2729</v>
      </c>
      <c r="B5792" s="5" t="s">
        <v>11785</v>
      </c>
      <c r="C5792" s="7" t="s">
        <v>12556</v>
      </c>
      <c r="D5792" s="8">
        <f t="shared" si="364"/>
        <v>0</v>
      </c>
      <c r="E5792" s="7" t="s">
        <v>12557</v>
      </c>
      <c r="F5792" s="7">
        <f t="shared" si="365"/>
        <v>0</v>
      </c>
      <c r="G5792" s="7" t="s">
        <v>12558</v>
      </c>
      <c r="H5792" s="7">
        <f t="shared" si="366"/>
        <v>0</v>
      </c>
      <c r="I5792" s="7" t="str" cm="1">
        <f t="array" ref="I5792">IFERROR(_xlfn.IFS(M5792="נח",1,M5792="נע ונח",1,M5792="שני שווא נח",2,M5792="שני שוואים בסוף מילה",2,M5792="שני שוואים ברצף",1),"0")</f>
        <v>0</v>
      </c>
      <c r="J5792" s="9">
        <f t="shared" si="367"/>
        <v>2</v>
      </c>
      <c r="K5792" t="s">
        <v>6698</v>
      </c>
      <c r="L5792" t="s">
        <v>6694</v>
      </c>
      <c r="M5792" t="s">
        <v>6700</v>
      </c>
      <c r="V5792" t="s">
        <v>6694</v>
      </c>
      <c r="W5792" t="s">
        <v>6720</v>
      </c>
    </row>
    <row r="5793" spans="1:23" ht="15.6" x14ac:dyDescent="0.4">
      <c r="A5793" s="2" t="s">
        <v>1441</v>
      </c>
      <c r="B5793" s="5" t="s">
        <v>11787</v>
      </c>
      <c r="C5793" s="7" t="s">
        <v>12556</v>
      </c>
      <c r="D5793" s="8">
        <f t="shared" si="364"/>
        <v>0</v>
      </c>
      <c r="E5793" s="7" t="s">
        <v>12557</v>
      </c>
      <c r="F5793" s="7">
        <f t="shared" si="365"/>
        <v>0</v>
      </c>
      <c r="G5793" s="7" t="s">
        <v>12558</v>
      </c>
      <c r="H5793" s="7">
        <f t="shared" si="366"/>
        <v>0</v>
      </c>
      <c r="I5793" s="7" t="str" cm="1">
        <f t="array" ref="I5793">IFERROR(_xlfn.IFS(M5793="נח",1,M5793="נע ונח",1,M5793="שני שווא נח",2,M5793="שני שוואים בסוף מילה",2,M5793="שני שוואים ברצף",1),"0")</f>
        <v>0</v>
      </c>
      <c r="J5793" s="9">
        <f t="shared" si="367"/>
        <v>3</v>
      </c>
      <c r="K5793" t="s">
        <v>6697</v>
      </c>
      <c r="L5793" t="s">
        <v>6694</v>
      </c>
      <c r="M5793" t="s">
        <v>6700</v>
      </c>
      <c r="V5793" t="s">
        <v>6694</v>
      </c>
      <c r="W5793" t="s">
        <v>6720</v>
      </c>
    </row>
    <row r="5794" spans="1:23" ht="15.6" x14ac:dyDescent="0.4">
      <c r="A5794" s="2" t="s">
        <v>161</v>
      </c>
      <c r="B5794" s="5" t="s">
        <v>11788</v>
      </c>
      <c r="C5794" s="7" t="s">
        <v>12556</v>
      </c>
      <c r="D5794" s="8">
        <f t="shared" si="364"/>
        <v>0</v>
      </c>
      <c r="E5794" s="7" t="s">
        <v>12557</v>
      </c>
      <c r="F5794" s="7">
        <f t="shared" si="365"/>
        <v>0</v>
      </c>
      <c r="G5794" s="7" t="s">
        <v>12558</v>
      </c>
      <c r="H5794" s="7">
        <f t="shared" si="366"/>
        <v>0</v>
      </c>
      <c r="I5794" s="7" t="str" cm="1">
        <f t="array" ref="I5794">IFERROR(_xlfn.IFS(M5794="נח",1,M5794="נע ונח",1,M5794="שני שווא נח",2,M5794="שני שוואים בסוף מילה",2,M5794="שני שוואים ברצף",1),"0")</f>
        <v>0</v>
      </c>
      <c r="J5794" s="9">
        <f t="shared" si="367"/>
        <v>3</v>
      </c>
      <c r="K5794" t="s">
        <v>6697</v>
      </c>
      <c r="L5794" t="s">
        <v>6694</v>
      </c>
      <c r="M5794" t="s">
        <v>6700</v>
      </c>
      <c r="O5794" t="s">
        <v>6694</v>
      </c>
      <c r="V5794" t="s">
        <v>6694</v>
      </c>
      <c r="W5794" t="s">
        <v>6720</v>
      </c>
    </row>
    <row r="5795" spans="1:23" ht="15.6" x14ac:dyDescent="0.4">
      <c r="A5795" s="2" t="s">
        <v>1516</v>
      </c>
      <c r="B5795" s="5" t="s">
        <v>11789</v>
      </c>
      <c r="C5795" s="7" t="s">
        <v>12556</v>
      </c>
      <c r="D5795" s="8">
        <f t="shared" si="364"/>
        <v>0</v>
      </c>
      <c r="E5795" s="7" t="s">
        <v>12557</v>
      </c>
      <c r="F5795" s="7">
        <f t="shared" si="365"/>
        <v>1</v>
      </c>
      <c r="G5795" s="7" t="s">
        <v>12558</v>
      </c>
      <c r="H5795" s="7">
        <f t="shared" si="366"/>
        <v>0</v>
      </c>
      <c r="I5795" s="7" cm="1">
        <f t="array" ref="I5795">IFERROR(_xlfn.IFS(M5795="נח",1,M5795="נע ונח",1,M5795="שני שווא נח",2,M5795="שני שוואים בסוף מילה",2,M5795="שני שוואים ברצף",1),"0")</f>
        <v>1</v>
      </c>
      <c r="J5795" s="9">
        <f t="shared" si="367"/>
        <v>2</v>
      </c>
      <c r="K5795" t="s">
        <v>6698</v>
      </c>
      <c r="L5795" t="s">
        <v>6694</v>
      </c>
      <c r="M5795" t="s">
        <v>6705</v>
      </c>
      <c r="N5795" t="s">
        <v>6706</v>
      </c>
      <c r="O5795" t="s">
        <v>6694</v>
      </c>
      <c r="S5795" t="s">
        <v>6694</v>
      </c>
      <c r="W5795" t="s">
        <v>6720</v>
      </c>
    </row>
    <row r="5796" spans="1:23" ht="15.6" x14ac:dyDescent="0.4">
      <c r="A5796" s="2" t="s">
        <v>4562</v>
      </c>
      <c r="B5796" s="5" t="s">
        <v>11790</v>
      </c>
      <c r="C5796" s="7" t="s">
        <v>12556</v>
      </c>
      <c r="D5796" s="8">
        <f t="shared" si="364"/>
        <v>0</v>
      </c>
      <c r="E5796" s="7" t="s">
        <v>12557</v>
      </c>
      <c r="F5796" s="7">
        <f t="shared" si="365"/>
        <v>2</v>
      </c>
      <c r="G5796" s="7" t="s">
        <v>12558</v>
      </c>
      <c r="H5796" s="7">
        <f t="shared" si="366"/>
        <v>1</v>
      </c>
      <c r="I5796" s="7" cm="1">
        <f t="array" ref="I5796">IFERROR(_xlfn.IFS(M5796="נח",1,M5796="נע ונח",1,M5796="שני שווא נח",2,M5796="שני שוואים בסוף מילה",2,M5796="שני שוואים ברצף",1),"0")</f>
        <v>1</v>
      </c>
      <c r="J5796" s="9">
        <f t="shared" si="367"/>
        <v>2</v>
      </c>
      <c r="K5796" t="s">
        <v>6697</v>
      </c>
      <c r="L5796" t="s">
        <v>6694</v>
      </c>
      <c r="M5796" t="s">
        <v>6705</v>
      </c>
      <c r="S5796" t="s">
        <v>6694</v>
      </c>
      <c r="U5796" t="s">
        <v>6694</v>
      </c>
      <c r="W5796" t="s">
        <v>6720</v>
      </c>
    </row>
    <row r="5797" spans="1:23" ht="15.6" x14ac:dyDescent="0.4">
      <c r="A5797" s="2" t="s">
        <v>3243</v>
      </c>
      <c r="B5797" s="5" t="s">
        <v>11791</v>
      </c>
      <c r="C5797" s="7" t="s">
        <v>12556</v>
      </c>
      <c r="D5797" s="8">
        <f t="shared" si="364"/>
        <v>0</v>
      </c>
      <c r="E5797" s="7" t="s">
        <v>12557</v>
      </c>
      <c r="F5797" s="7">
        <f t="shared" si="365"/>
        <v>2</v>
      </c>
      <c r="G5797" s="7" t="s">
        <v>12558</v>
      </c>
      <c r="H5797" s="7">
        <f t="shared" si="366"/>
        <v>1</v>
      </c>
      <c r="I5797" s="7" cm="1">
        <f t="array" ref="I5797">IFERROR(_xlfn.IFS(M5797="נח",1,M5797="נע ונח",1,M5797="שני שווא נח",2,M5797="שני שוואים בסוף מילה",2,M5797="שני שוואים ברצף",1),"0")</f>
        <v>1</v>
      </c>
      <c r="J5797" s="9">
        <f t="shared" si="367"/>
        <v>3</v>
      </c>
      <c r="K5797" t="s">
        <v>6697</v>
      </c>
      <c r="L5797" t="s">
        <v>6694</v>
      </c>
      <c r="M5797" t="s">
        <v>6705</v>
      </c>
      <c r="S5797" t="s">
        <v>6694</v>
      </c>
      <c r="U5797" t="s">
        <v>6694</v>
      </c>
      <c r="W5797" t="s">
        <v>6720</v>
      </c>
    </row>
    <row r="5798" spans="1:23" ht="15.6" x14ac:dyDescent="0.4">
      <c r="A5798" s="2" t="s">
        <v>886</v>
      </c>
      <c r="B5798" s="5" t="s">
        <v>11792</v>
      </c>
      <c r="C5798" s="7" t="s">
        <v>12556</v>
      </c>
      <c r="D5798" s="8">
        <f t="shared" si="364"/>
        <v>0</v>
      </c>
      <c r="E5798" s="7" t="s">
        <v>12557</v>
      </c>
      <c r="F5798" s="7">
        <f t="shared" si="365"/>
        <v>1</v>
      </c>
      <c r="G5798" s="7" t="s">
        <v>12558</v>
      </c>
      <c r="H5798" s="7">
        <f t="shared" si="366"/>
        <v>1</v>
      </c>
      <c r="I5798" s="7" t="str" cm="1">
        <f t="array" ref="I5798">IFERROR(_xlfn.IFS(M5798="נח",1,M5798="נע ונח",1,M5798="שני שווא נח",2,M5798="שני שוואים בסוף מילה",2,M5798="שני שוואים ברצף",1),"0")</f>
        <v>0</v>
      </c>
      <c r="J5798" s="9">
        <f t="shared" si="367"/>
        <v>4</v>
      </c>
      <c r="K5798" t="s">
        <v>6697</v>
      </c>
      <c r="L5798" t="s">
        <v>6695</v>
      </c>
      <c r="S5798" t="s">
        <v>6694</v>
      </c>
      <c r="U5798" t="s">
        <v>6694</v>
      </c>
      <c r="W5798" t="s">
        <v>6720</v>
      </c>
    </row>
    <row r="5799" spans="1:23" ht="15.6" x14ac:dyDescent="0.4">
      <c r="A5799" s="2" t="s">
        <v>6057</v>
      </c>
      <c r="B5799" s="5" t="s">
        <v>11793</v>
      </c>
      <c r="C5799" s="7" t="s">
        <v>12556</v>
      </c>
      <c r="D5799" s="8">
        <f t="shared" si="364"/>
        <v>0</v>
      </c>
      <c r="E5799" s="7" t="s">
        <v>12557</v>
      </c>
      <c r="F5799" s="7">
        <f t="shared" si="365"/>
        <v>1</v>
      </c>
      <c r="G5799" s="7" t="s">
        <v>12558</v>
      </c>
      <c r="H5799" s="7">
        <f t="shared" si="366"/>
        <v>1</v>
      </c>
      <c r="I5799" s="7" t="str" cm="1">
        <f t="array" ref="I5799">IFERROR(_xlfn.IFS(M5799="נח",1,M5799="נע ונח",1,M5799="שני שווא נח",2,M5799="שני שוואים בסוף מילה",2,M5799="שני שוואים ברצף",1),"0")</f>
        <v>0</v>
      </c>
      <c r="J5799" s="9">
        <f t="shared" si="367"/>
        <v>5</v>
      </c>
      <c r="K5799" t="s">
        <v>6697</v>
      </c>
      <c r="L5799" t="s">
        <v>6695</v>
      </c>
      <c r="O5799" t="s">
        <v>6694</v>
      </c>
      <c r="S5799" t="s">
        <v>6694</v>
      </c>
      <c r="U5799" t="s">
        <v>6694</v>
      </c>
      <c r="W5799" t="s">
        <v>6720</v>
      </c>
    </row>
    <row r="5800" spans="1:23" ht="15.6" x14ac:dyDescent="0.4">
      <c r="A5800" s="2" t="s">
        <v>4084</v>
      </c>
      <c r="B5800" s="5" t="s">
        <v>11794</v>
      </c>
      <c r="C5800" s="7" t="s">
        <v>12556</v>
      </c>
      <c r="D5800" s="8">
        <f t="shared" si="364"/>
        <v>0</v>
      </c>
      <c r="E5800" s="7" t="s">
        <v>12557</v>
      </c>
      <c r="F5800" s="7">
        <f t="shared" si="365"/>
        <v>2</v>
      </c>
      <c r="G5800" s="7" t="s">
        <v>12558</v>
      </c>
      <c r="H5800" s="7">
        <f t="shared" si="366"/>
        <v>2</v>
      </c>
      <c r="I5800" s="7" t="str" cm="1">
        <f t="array" ref="I5800">IFERROR(_xlfn.IFS(M5800="נח",1,M5800="נע ונח",1,M5800="שני שווא נח",2,M5800="שני שוואים בסוף מילה",2,M5800="שני שוואים ברצף",1),"0")</f>
        <v>0</v>
      </c>
      <c r="J5800" s="9">
        <f t="shared" si="367"/>
        <v>3</v>
      </c>
      <c r="K5800" t="s">
        <v>6697</v>
      </c>
      <c r="L5800" t="s">
        <v>6695</v>
      </c>
      <c r="S5800" t="s">
        <v>6694</v>
      </c>
      <c r="U5800" t="s">
        <v>6694</v>
      </c>
      <c r="W5800" t="s">
        <v>6720</v>
      </c>
    </row>
    <row r="5801" spans="1:23" ht="15.6" x14ac:dyDescent="0.4">
      <c r="A5801" s="2" t="s">
        <v>4594</v>
      </c>
      <c r="B5801" s="5" t="s">
        <v>11795</v>
      </c>
      <c r="C5801" s="7" t="s">
        <v>12556</v>
      </c>
      <c r="D5801" s="8">
        <f t="shared" si="364"/>
        <v>0</v>
      </c>
      <c r="E5801" s="7" t="s">
        <v>12557</v>
      </c>
      <c r="F5801" s="7">
        <f t="shared" si="365"/>
        <v>0</v>
      </c>
      <c r="G5801" s="7" t="s">
        <v>12558</v>
      </c>
      <c r="H5801" s="7">
        <f t="shared" si="366"/>
        <v>0</v>
      </c>
      <c r="I5801" s="7" cm="1">
        <f t="array" ref="I5801">IFERROR(_xlfn.IFS(M5801="נח",1,M5801="נע ונח",1,M5801="שני שווא נח",2,M5801="שני שוואים בסוף מילה",2,M5801="שני שוואים ברצף",1),"0")</f>
        <v>1</v>
      </c>
      <c r="J5801" s="9">
        <f t="shared" si="367"/>
        <v>2</v>
      </c>
      <c r="K5801" t="s">
        <v>6698</v>
      </c>
      <c r="L5801" t="s">
        <v>6694</v>
      </c>
      <c r="M5801" t="s">
        <v>6705</v>
      </c>
      <c r="P5801" t="s">
        <v>6694</v>
      </c>
      <c r="S5801" t="s">
        <v>6694</v>
      </c>
      <c r="W5801" t="s">
        <v>6720</v>
      </c>
    </row>
    <row r="5802" spans="1:23" ht="15.6" x14ac:dyDescent="0.4">
      <c r="A5802" s="2" t="s">
        <v>6624</v>
      </c>
      <c r="B5802" s="5" t="s">
        <v>11796</v>
      </c>
      <c r="C5802" s="7" t="s">
        <v>12556</v>
      </c>
      <c r="D5802" s="8">
        <f t="shared" si="364"/>
        <v>0</v>
      </c>
      <c r="E5802" s="7" t="s">
        <v>12557</v>
      </c>
      <c r="F5802" s="7">
        <f t="shared" si="365"/>
        <v>0</v>
      </c>
      <c r="G5802" s="7" t="s">
        <v>12558</v>
      </c>
      <c r="H5802" s="7">
        <f t="shared" si="366"/>
        <v>0</v>
      </c>
      <c r="I5802" s="7" cm="1">
        <f t="array" ref="I5802">IFERROR(_xlfn.IFS(M5802="נח",1,M5802="נע ונח",1,M5802="שני שווא נח",2,M5802="שני שוואים בסוף מילה",2,M5802="שני שוואים ברצף",1),"0")</f>
        <v>1</v>
      </c>
      <c r="J5802" s="9">
        <f t="shared" si="367"/>
        <v>4</v>
      </c>
      <c r="K5802" t="s">
        <v>6697</v>
      </c>
      <c r="L5802" t="s">
        <v>6694</v>
      </c>
      <c r="M5802" t="s">
        <v>6705</v>
      </c>
      <c r="O5802" t="s">
        <v>6694</v>
      </c>
      <c r="R5802" t="s">
        <v>6694</v>
      </c>
      <c r="S5802" t="s">
        <v>6694</v>
      </c>
      <c r="W5802" t="s">
        <v>6720</v>
      </c>
    </row>
    <row r="5803" spans="1:23" ht="15.6" x14ac:dyDescent="0.4">
      <c r="A5803" s="2" t="s">
        <v>6038</v>
      </c>
      <c r="B5803" s="5" t="s">
        <v>11797</v>
      </c>
      <c r="C5803" s="7" t="s">
        <v>12556</v>
      </c>
      <c r="D5803" s="8">
        <f t="shared" si="364"/>
        <v>0</v>
      </c>
      <c r="E5803" s="7" t="s">
        <v>12557</v>
      </c>
      <c r="F5803" s="7">
        <f t="shared" si="365"/>
        <v>0</v>
      </c>
      <c r="G5803" s="7" t="s">
        <v>12558</v>
      </c>
      <c r="H5803" s="7">
        <f t="shared" si="366"/>
        <v>0</v>
      </c>
      <c r="I5803" s="7" cm="1">
        <f t="array" ref="I5803">IFERROR(_xlfn.IFS(M5803="נח",1,M5803="נע ונח",1,M5803="שני שווא נח",2,M5803="שני שוואים בסוף מילה",2,M5803="שני שוואים ברצף",1),"0")</f>
        <v>1</v>
      </c>
      <c r="J5803" s="9">
        <f t="shared" si="367"/>
        <v>4</v>
      </c>
      <c r="K5803" t="s">
        <v>6697</v>
      </c>
      <c r="L5803" t="s">
        <v>6694</v>
      </c>
      <c r="M5803" t="s">
        <v>6705</v>
      </c>
      <c r="O5803" t="s">
        <v>6694</v>
      </c>
      <c r="R5803" t="s">
        <v>6694</v>
      </c>
      <c r="S5803" t="s">
        <v>6694</v>
      </c>
      <c r="W5803" t="s">
        <v>6720</v>
      </c>
    </row>
    <row r="5804" spans="1:23" ht="15.6" x14ac:dyDescent="0.4">
      <c r="A5804" s="2" t="s">
        <v>6151</v>
      </c>
      <c r="B5804" s="5" t="s">
        <v>11798</v>
      </c>
      <c r="C5804" s="7" t="s">
        <v>12556</v>
      </c>
      <c r="D5804" s="8">
        <f t="shared" si="364"/>
        <v>0</v>
      </c>
      <c r="E5804" s="7" t="s">
        <v>12557</v>
      </c>
      <c r="F5804" s="7">
        <f t="shared" si="365"/>
        <v>0</v>
      </c>
      <c r="G5804" s="7" t="s">
        <v>12558</v>
      </c>
      <c r="H5804" s="7">
        <f t="shared" si="366"/>
        <v>0</v>
      </c>
      <c r="I5804" s="7" cm="1">
        <f t="array" ref="I5804">IFERROR(_xlfn.IFS(M5804="נח",1,M5804="נע ונח",1,M5804="שני שווא נח",2,M5804="שני שוואים בסוף מילה",2,M5804="שני שוואים ברצף",1),"0")</f>
        <v>1</v>
      </c>
      <c r="J5804" s="9">
        <f t="shared" si="367"/>
        <v>3</v>
      </c>
      <c r="K5804" t="s">
        <v>6697</v>
      </c>
      <c r="L5804" t="s">
        <v>6694</v>
      </c>
      <c r="M5804" t="s">
        <v>6705</v>
      </c>
      <c r="O5804" t="s">
        <v>6694</v>
      </c>
      <c r="S5804" t="s">
        <v>6694</v>
      </c>
      <c r="V5804" t="s">
        <v>6694</v>
      </c>
      <c r="W5804" t="s">
        <v>6720</v>
      </c>
    </row>
    <row r="5805" spans="1:23" ht="15.6" x14ac:dyDescent="0.4">
      <c r="A5805" s="2" t="s">
        <v>5386</v>
      </c>
      <c r="B5805" s="5" t="s">
        <v>11799</v>
      </c>
      <c r="C5805" s="7" t="s">
        <v>12556</v>
      </c>
      <c r="D5805" s="8">
        <f t="shared" si="364"/>
        <v>0</v>
      </c>
      <c r="E5805" s="7" t="s">
        <v>12557</v>
      </c>
      <c r="F5805" s="7">
        <f t="shared" si="365"/>
        <v>1</v>
      </c>
      <c r="G5805" s="7" t="s">
        <v>12558</v>
      </c>
      <c r="H5805" s="7">
        <f t="shared" si="366"/>
        <v>0</v>
      </c>
      <c r="I5805" s="7" t="str" cm="1">
        <f t="array" ref="I5805">IFERROR(_xlfn.IFS(M5805="נח",1,M5805="נע ונח",1,M5805="שני שווא נח",2,M5805="שני שוואים בסוף מילה",2,M5805="שני שוואים ברצף",1),"0")</f>
        <v>0</v>
      </c>
      <c r="J5805" s="9">
        <f t="shared" si="367"/>
        <v>3</v>
      </c>
      <c r="K5805" t="s">
        <v>6697</v>
      </c>
      <c r="L5805" t="s">
        <v>6695</v>
      </c>
      <c r="Q5805" t="s">
        <v>6694</v>
      </c>
      <c r="S5805" t="s">
        <v>6694</v>
      </c>
      <c r="W5805" t="s">
        <v>6720</v>
      </c>
    </row>
    <row r="5806" spans="1:23" ht="15.6" x14ac:dyDescent="0.4">
      <c r="A5806" s="2" t="s">
        <v>3449</v>
      </c>
      <c r="B5806" s="5" t="s">
        <v>11800</v>
      </c>
      <c r="C5806" s="7" t="s">
        <v>12556</v>
      </c>
      <c r="D5806" s="8">
        <f t="shared" si="364"/>
        <v>0</v>
      </c>
      <c r="E5806" s="7" t="s">
        <v>12557</v>
      </c>
      <c r="F5806" s="7">
        <f t="shared" si="365"/>
        <v>1</v>
      </c>
      <c r="G5806" s="7" t="s">
        <v>12558</v>
      </c>
      <c r="H5806" s="7">
        <f t="shared" si="366"/>
        <v>0</v>
      </c>
      <c r="I5806" s="7" t="str" cm="1">
        <f t="array" ref="I5806">IFERROR(_xlfn.IFS(M5806="נח",1,M5806="נע ונח",1,M5806="שני שווא נח",2,M5806="שני שוואים בסוף מילה",2,M5806="שני שוואים ברצף",1),"0")</f>
        <v>0</v>
      </c>
      <c r="J5806" s="9">
        <f t="shared" si="367"/>
        <v>2</v>
      </c>
      <c r="K5806" t="s">
        <v>6697</v>
      </c>
      <c r="L5806" t="s">
        <v>6695</v>
      </c>
      <c r="S5806" t="s">
        <v>6694</v>
      </c>
      <c r="W5806" t="s">
        <v>6720</v>
      </c>
    </row>
    <row r="5807" spans="1:23" ht="15.6" x14ac:dyDescent="0.4">
      <c r="A5807" s="2" t="s">
        <v>1605</v>
      </c>
      <c r="B5807" s="5" t="s">
        <v>11801</v>
      </c>
      <c r="C5807" s="7" t="s">
        <v>12556</v>
      </c>
      <c r="D5807" s="8">
        <f t="shared" si="364"/>
        <v>0</v>
      </c>
      <c r="E5807" s="7" t="s">
        <v>12557</v>
      </c>
      <c r="F5807" s="7">
        <f t="shared" si="365"/>
        <v>1</v>
      </c>
      <c r="G5807" s="7" t="s">
        <v>12558</v>
      </c>
      <c r="H5807" s="7">
        <f t="shared" si="366"/>
        <v>1</v>
      </c>
      <c r="I5807" s="7" cm="1">
        <f t="array" ref="I5807">IFERROR(_xlfn.IFS(M5807="נח",1,M5807="נע ונח",1,M5807="שני שווא נח",2,M5807="שני שוואים בסוף מילה",2,M5807="שני שוואים ברצף",1),"0")</f>
        <v>1</v>
      </c>
      <c r="J5807" s="9">
        <f t="shared" si="367"/>
        <v>2</v>
      </c>
      <c r="K5807" t="s">
        <v>6697</v>
      </c>
      <c r="L5807" t="s">
        <v>6694</v>
      </c>
      <c r="M5807" t="s">
        <v>6705</v>
      </c>
      <c r="S5807" t="s">
        <v>6694</v>
      </c>
      <c r="U5807" t="s">
        <v>6694</v>
      </c>
      <c r="W5807" t="s">
        <v>6720</v>
      </c>
    </row>
    <row r="5808" spans="1:23" ht="15.6" x14ac:dyDescent="0.4">
      <c r="A5808" s="2" t="s">
        <v>3174</v>
      </c>
      <c r="B5808" s="5" t="s">
        <v>11802</v>
      </c>
      <c r="C5808" s="7" t="s">
        <v>12556</v>
      </c>
      <c r="D5808" s="8">
        <f t="shared" si="364"/>
        <v>0</v>
      </c>
      <c r="E5808" s="7" t="s">
        <v>12557</v>
      </c>
      <c r="F5808" s="7">
        <f t="shared" si="365"/>
        <v>1</v>
      </c>
      <c r="G5808" s="7" t="s">
        <v>12558</v>
      </c>
      <c r="H5808" s="7">
        <f t="shared" si="366"/>
        <v>0</v>
      </c>
      <c r="I5808" s="7" cm="1">
        <f t="array" ref="I5808">IFERROR(_xlfn.IFS(M5808="נח",1,M5808="נע ונח",1,M5808="שני שווא נח",2,M5808="שני שוואים בסוף מילה",2,M5808="שני שוואים ברצף",1),"0")</f>
        <v>1</v>
      </c>
      <c r="J5808" s="9">
        <f t="shared" si="367"/>
        <v>2</v>
      </c>
      <c r="K5808" t="s">
        <v>6698</v>
      </c>
      <c r="L5808" t="s">
        <v>6694</v>
      </c>
      <c r="M5808" t="s">
        <v>6705</v>
      </c>
      <c r="N5808" t="s">
        <v>6706</v>
      </c>
      <c r="O5808" t="s">
        <v>6694</v>
      </c>
      <c r="S5808" t="s">
        <v>6694</v>
      </c>
      <c r="W5808" t="s">
        <v>6720</v>
      </c>
    </row>
    <row r="5809" spans="1:23" ht="15.6" x14ac:dyDescent="0.4">
      <c r="A5809" s="2" t="s">
        <v>5448</v>
      </c>
      <c r="B5809" s="5" t="s">
        <v>11803</v>
      </c>
      <c r="C5809" s="7" t="s">
        <v>12556</v>
      </c>
      <c r="D5809" s="8">
        <f t="shared" si="364"/>
        <v>0</v>
      </c>
      <c r="E5809" s="7" t="s">
        <v>12557</v>
      </c>
      <c r="F5809" s="7">
        <f t="shared" si="365"/>
        <v>0</v>
      </c>
      <c r="G5809" s="7" t="s">
        <v>12558</v>
      </c>
      <c r="H5809" s="7">
        <f t="shared" si="366"/>
        <v>0</v>
      </c>
      <c r="I5809" s="7" t="str" cm="1">
        <f t="array" ref="I5809">IFERROR(_xlfn.IFS(M5809="נח",1,M5809="נע ונח",1,M5809="שני שווא נח",2,M5809="שני שוואים בסוף מילה",2,M5809="שני שוואים ברצף",1),"0")</f>
        <v>0</v>
      </c>
      <c r="J5809" s="9">
        <f t="shared" si="367"/>
        <v>3</v>
      </c>
      <c r="K5809" t="s">
        <v>6698</v>
      </c>
      <c r="L5809" t="s">
        <v>6695</v>
      </c>
      <c r="P5809" t="s">
        <v>6694</v>
      </c>
      <c r="S5809" t="s">
        <v>6694</v>
      </c>
      <c r="W5809" t="s">
        <v>6720</v>
      </c>
    </row>
    <row r="5810" spans="1:23" ht="15.6" x14ac:dyDescent="0.4">
      <c r="A5810" s="2" t="s">
        <v>4891</v>
      </c>
      <c r="B5810" s="5" t="s">
        <v>11804</v>
      </c>
      <c r="C5810" s="7" t="s">
        <v>12556</v>
      </c>
      <c r="D5810" s="8">
        <f t="shared" si="364"/>
        <v>0</v>
      </c>
      <c r="E5810" s="7" t="s">
        <v>12557</v>
      </c>
      <c r="F5810" s="7">
        <f t="shared" si="365"/>
        <v>0</v>
      </c>
      <c r="G5810" s="7" t="s">
        <v>12558</v>
      </c>
      <c r="H5810" s="7">
        <f t="shared" si="366"/>
        <v>0</v>
      </c>
      <c r="I5810" s="7" t="str" cm="1">
        <f t="array" ref="I5810">IFERROR(_xlfn.IFS(M5810="נח",1,M5810="נע ונח",1,M5810="שני שווא נח",2,M5810="שני שוואים בסוף מילה",2,M5810="שני שוואים ברצף",1),"0")</f>
        <v>0</v>
      </c>
      <c r="J5810" s="9">
        <f t="shared" si="367"/>
        <v>1</v>
      </c>
      <c r="K5810" t="s">
        <v>6698</v>
      </c>
      <c r="L5810" t="s">
        <v>6695</v>
      </c>
      <c r="Q5810" t="s">
        <v>6694</v>
      </c>
      <c r="W5810" t="s">
        <v>6720</v>
      </c>
    </row>
    <row r="5811" spans="1:23" ht="15.6" x14ac:dyDescent="0.4">
      <c r="A5811" s="2" t="s">
        <v>3175</v>
      </c>
      <c r="B5811" s="5" t="s">
        <v>11805</v>
      </c>
      <c r="C5811" s="7" t="s">
        <v>12556</v>
      </c>
      <c r="D5811" s="8">
        <f t="shared" si="364"/>
        <v>0</v>
      </c>
      <c r="E5811" s="7" t="s">
        <v>12557</v>
      </c>
      <c r="F5811" s="7">
        <f t="shared" si="365"/>
        <v>0</v>
      </c>
      <c r="G5811" s="7" t="s">
        <v>12558</v>
      </c>
      <c r="H5811" s="7">
        <f t="shared" si="366"/>
        <v>0</v>
      </c>
      <c r="I5811" s="7" t="str" cm="1">
        <f t="array" ref="I5811">IFERROR(_xlfn.IFS(M5811="נח",1,M5811="נע ונח",1,M5811="שני שווא נח",2,M5811="שני שוואים בסוף מילה",2,M5811="שני שוואים ברצף",1),"0")</f>
        <v>0</v>
      </c>
      <c r="J5811" s="9">
        <f t="shared" si="367"/>
        <v>2</v>
      </c>
      <c r="K5811" t="s">
        <v>6698</v>
      </c>
      <c r="L5811" t="s">
        <v>6695</v>
      </c>
      <c r="R5811" t="s">
        <v>6694</v>
      </c>
      <c r="W5811" t="s">
        <v>6720</v>
      </c>
    </row>
    <row r="5812" spans="1:23" ht="15.6" x14ac:dyDescent="0.4">
      <c r="A5812" s="2" t="s">
        <v>4044</v>
      </c>
      <c r="B5812" s="5" t="s">
        <v>11806</v>
      </c>
      <c r="C5812" s="7" t="s">
        <v>12556</v>
      </c>
      <c r="D5812" s="8">
        <f t="shared" si="364"/>
        <v>0</v>
      </c>
      <c r="E5812" s="7" t="s">
        <v>12557</v>
      </c>
      <c r="F5812" s="7">
        <f t="shared" si="365"/>
        <v>0</v>
      </c>
      <c r="G5812" s="7" t="s">
        <v>12558</v>
      </c>
      <c r="H5812" s="7">
        <f t="shared" si="366"/>
        <v>0</v>
      </c>
      <c r="I5812" s="7" t="str" cm="1">
        <f t="array" ref="I5812">IFERROR(_xlfn.IFS(M5812="נח",1,M5812="נע ונח",1,M5812="שני שווא נח",2,M5812="שני שוואים בסוף מילה",2,M5812="שני שוואים ברצף",1),"0")</f>
        <v>0</v>
      </c>
      <c r="J5812" s="9">
        <f t="shared" si="367"/>
        <v>2</v>
      </c>
      <c r="K5812" t="s">
        <v>6698</v>
      </c>
      <c r="L5812" t="s">
        <v>6695</v>
      </c>
      <c r="R5812" t="s">
        <v>6694</v>
      </c>
      <c r="W5812" t="s">
        <v>6720</v>
      </c>
    </row>
    <row r="5813" spans="1:23" ht="15.6" x14ac:dyDescent="0.4">
      <c r="A5813" s="2" t="s">
        <v>1437</v>
      </c>
      <c r="B5813" s="5" t="s">
        <v>11807</v>
      </c>
      <c r="C5813" s="7" t="s">
        <v>12556</v>
      </c>
      <c r="D5813" s="8">
        <f t="shared" si="364"/>
        <v>0</v>
      </c>
      <c r="E5813" s="7" t="s">
        <v>12557</v>
      </c>
      <c r="F5813" s="7">
        <f t="shared" si="365"/>
        <v>0</v>
      </c>
      <c r="G5813" s="7" t="s">
        <v>12558</v>
      </c>
      <c r="H5813" s="7">
        <f t="shared" si="366"/>
        <v>0</v>
      </c>
      <c r="I5813" s="7" t="str" cm="1">
        <f t="array" ref="I5813">IFERROR(_xlfn.IFS(M5813="נח",1,M5813="נע ונח",1,M5813="שני שווא נח",2,M5813="שני שוואים בסוף מילה",2,M5813="שני שוואים ברצף",1),"0")</f>
        <v>0</v>
      </c>
      <c r="J5813" s="9">
        <f t="shared" si="367"/>
        <v>2</v>
      </c>
      <c r="K5813" t="s">
        <v>6698</v>
      </c>
      <c r="L5813" t="s">
        <v>6695</v>
      </c>
      <c r="R5813" t="s">
        <v>6694</v>
      </c>
      <c r="W5813" t="s">
        <v>6720</v>
      </c>
    </row>
    <row r="5814" spans="1:23" ht="15.6" x14ac:dyDescent="0.4">
      <c r="A5814" s="2" t="s">
        <v>2051</v>
      </c>
      <c r="B5814" s="5" t="s">
        <v>11808</v>
      </c>
      <c r="C5814" s="7" t="s">
        <v>12556</v>
      </c>
      <c r="D5814" s="8">
        <f t="shared" si="364"/>
        <v>1</v>
      </c>
      <c r="E5814" s="7" t="s">
        <v>12557</v>
      </c>
      <c r="F5814" s="7">
        <f t="shared" si="365"/>
        <v>0</v>
      </c>
      <c r="G5814" s="7" t="s">
        <v>12558</v>
      </c>
      <c r="H5814" s="7">
        <f t="shared" si="366"/>
        <v>0</v>
      </c>
      <c r="I5814" s="7" t="str" cm="1">
        <f t="array" ref="I5814">IFERROR(_xlfn.IFS(M5814="נח",1,M5814="נע ונח",1,M5814="שני שווא נח",2,M5814="שני שוואים בסוף מילה",2,M5814="שני שוואים ברצף",1),"0")</f>
        <v>0</v>
      </c>
      <c r="J5814" s="9">
        <f t="shared" si="367"/>
        <v>2</v>
      </c>
      <c r="K5814" t="s">
        <v>6698</v>
      </c>
      <c r="L5814" t="s">
        <v>6695</v>
      </c>
      <c r="R5814" t="s">
        <v>6694</v>
      </c>
      <c r="W5814" t="s">
        <v>6720</v>
      </c>
    </row>
    <row r="5815" spans="1:23" ht="15.6" x14ac:dyDescent="0.4">
      <c r="A5815" s="2" t="s">
        <v>2656</v>
      </c>
      <c r="B5815" s="5" t="s">
        <v>11809</v>
      </c>
      <c r="C5815" s="7" t="s">
        <v>12556</v>
      </c>
      <c r="D5815" s="8">
        <f t="shared" si="364"/>
        <v>0</v>
      </c>
      <c r="E5815" s="7" t="s">
        <v>12557</v>
      </c>
      <c r="F5815" s="7">
        <f t="shared" si="365"/>
        <v>1</v>
      </c>
      <c r="G5815" s="7" t="s">
        <v>12558</v>
      </c>
      <c r="H5815" s="7">
        <f t="shared" si="366"/>
        <v>1</v>
      </c>
      <c r="I5815" s="7" t="str" cm="1">
        <f t="array" ref="I5815">IFERROR(_xlfn.IFS(M5815="נח",1,M5815="נע ונח",1,M5815="שני שווא נח",2,M5815="שני שוואים בסוף מילה",2,M5815="שני שוואים ברצף",1),"0")</f>
        <v>0</v>
      </c>
      <c r="J5815" s="9">
        <f t="shared" si="367"/>
        <v>3</v>
      </c>
      <c r="K5815" t="s">
        <v>6697</v>
      </c>
      <c r="L5815" t="s">
        <v>6695</v>
      </c>
      <c r="P5815" t="s">
        <v>6694</v>
      </c>
      <c r="Q5815" t="s">
        <v>6694</v>
      </c>
      <c r="U5815" t="s">
        <v>6694</v>
      </c>
      <c r="W5815" t="s">
        <v>6720</v>
      </c>
    </row>
    <row r="5816" spans="1:23" ht="15.6" x14ac:dyDescent="0.4">
      <c r="A5816" s="2" t="s">
        <v>3259</v>
      </c>
      <c r="B5816" s="5" t="s">
        <v>11810</v>
      </c>
      <c r="C5816" s="7" t="s">
        <v>12556</v>
      </c>
      <c r="D5816" s="8">
        <f t="shared" si="364"/>
        <v>0</v>
      </c>
      <c r="E5816" s="7" t="s">
        <v>12557</v>
      </c>
      <c r="F5816" s="7">
        <f t="shared" si="365"/>
        <v>1</v>
      </c>
      <c r="G5816" s="7" t="s">
        <v>12558</v>
      </c>
      <c r="H5816" s="7">
        <f t="shared" si="366"/>
        <v>1</v>
      </c>
      <c r="I5816" s="7" t="str" cm="1">
        <f t="array" ref="I5816">IFERROR(_xlfn.IFS(M5816="נח",1,M5816="נע ונח",1,M5816="שני שווא נח",2,M5816="שני שוואים בסוף מילה",2,M5816="שני שוואים ברצף",1),"0")</f>
        <v>0</v>
      </c>
      <c r="J5816" s="9">
        <f t="shared" si="367"/>
        <v>3</v>
      </c>
      <c r="K5816" t="s">
        <v>6698</v>
      </c>
      <c r="L5816" t="s">
        <v>6695</v>
      </c>
      <c r="N5816" t="s">
        <v>6706</v>
      </c>
      <c r="O5816" t="s">
        <v>6694</v>
      </c>
      <c r="P5816" t="s">
        <v>6694</v>
      </c>
      <c r="U5816" t="s">
        <v>6694</v>
      </c>
      <c r="W5816" t="s">
        <v>6720</v>
      </c>
    </row>
    <row r="5817" spans="1:23" ht="15.6" x14ac:dyDescent="0.4">
      <c r="A5817" s="2" t="s">
        <v>3486</v>
      </c>
      <c r="B5817" s="5" t="s">
        <v>11809</v>
      </c>
      <c r="C5817" s="7" t="s">
        <v>12556</v>
      </c>
      <c r="D5817" s="8">
        <f t="shared" si="364"/>
        <v>0</v>
      </c>
      <c r="E5817" s="7" t="s">
        <v>12557</v>
      </c>
      <c r="F5817" s="7">
        <f t="shared" si="365"/>
        <v>1</v>
      </c>
      <c r="G5817" s="7" t="s">
        <v>12558</v>
      </c>
      <c r="H5817" s="7">
        <f t="shared" si="366"/>
        <v>1</v>
      </c>
      <c r="I5817" s="7" t="str" cm="1">
        <f t="array" ref="I5817">IFERROR(_xlfn.IFS(M5817="נח",1,M5817="נע ונח",1,M5817="שני שווא נח",2,M5817="שני שוואים בסוף מילה",2,M5817="שני שוואים ברצף",1),"0")</f>
        <v>0</v>
      </c>
      <c r="J5817" s="9">
        <f t="shared" si="367"/>
        <v>3</v>
      </c>
      <c r="K5817" t="s">
        <v>6697</v>
      </c>
      <c r="L5817" t="s">
        <v>6695</v>
      </c>
      <c r="P5817" t="s">
        <v>6694</v>
      </c>
      <c r="U5817" t="s">
        <v>6694</v>
      </c>
      <c r="V5817" t="s">
        <v>6694</v>
      </c>
      <c r="W5817" t="s">
        <v>6720</v>
      </c>
    </row>
    <row r="5818" spans="1:23" ht="15.6" x14ac:dyDescent="0.4">
      <c r="A5818" s="2" t="s">
        <v>2698</v>
      </c>
      <c r="B5818" s="5" t="s">
        <v>11811</v>
      </c>
      <c r="C5818" s="7" t="s">
        <v>12556</v>
      </c>
      <c r="D5818" s="8">
        <f t="shared" si="364"/>
        <v>0</v>
      </c>
      <c r="E5818" s="7" t="s">
        <v>12557</v>
      </c>
      <c r="F5818" s="7">
        <f t="shared" si="365"/>
        <v>0</v>
      </c>
      <c r="G5818" s="7" t="s">
        <v>12558</v>
      </c>
      <c r="H5818" s="7">
        <f t="shared" si="366"/>
        <v>0</v>
      </c>
      <c r="I5818" s="7" t="str" cm="1">
        <f t="array" ref="I5818">IFERROR(_xlfn.IFS(M5818="נח",1,M5818="נע ונח",1,M5818="שני שווא נח",2,M5818="שני שוואים בסוף מילה",2,M5818="שני שוואים ברצף",1),"0")</f>
        <v>0</v>
      </c>
      <c r="J5818" s="9">
        <f t="shared" si="367"/>
        <v>2</v>
      </c>
      <c r="K5818" t="s">
        <v>6698</v>
      </c>
      <c r="L5818" t="s">
        <v>6695</v>
      </c>
      <c r="P5818" t="s">
        <v>6694</v>
      </c>
      <c r="S5818" t="s">
        <v>6694</v>
      </c>
      <c r="W5818" t="s">
        <v>6720</v>
      </c>
    </row>
    <row r="5819" spans="1:23" ht="15.6" x14ac:dyDescent="0.4">
      <c r="A5819" s="2" t="s">
        <v>297</v>
      </c>
      <c r="B5819" s="5" t="s">
        <v>11812</v>
      </c>
      <c r="C5819" s="7" t="s">
        <v>12556</v>
      </c>
      <c r="D5819" s="8">
        <f t="shared" si="364"/>
        <v>0</v>
      </c>
      <c r="E5819" s="7" t="s">
        <v>12557</v>
      </c>
      <c r="F5819" s="7">
        <f t="shared" si="365"/>
        <v>1</v>
      </c>
      <c r="G5819" s="7" t="s">
        <v>12558</v>
      </c>
      <c r="H5819" s="7">
        <f t="shared" si="366"/>
        <v>0</v>
      </c>
      <c r="I5819" s="7" cm="1">
        <f t="array" ref="I5819">IFERROR(_xlfn.IFS(M5819="נח",1,M5819="נע ונח",1,M5819="שני שווא נח",2,M5819="שני שוואים בסוף מילה",2,M5819="שני שוואים ברצף",1),"0")</f>
        <v>1</v>
      </c>
      <c r="J5819" s="9">
        <f t="shared" si="367"/>
        <v>3</v>
      </c>
      <c r="K5819" t="s">
        <v>6697</v>
      </c>
      <c r="L5819" t="s">
        <v>6694</v>
      </c>
      <c r="M5819" t="s">
        <v>6705</v>
      </c>
      <c r="P5819" t="s">
        <v>6694</v>
      </c>
      <c r="Q5819" t="s">
        <v>6694</v>
      </c>
      <c r="S5819" t="s">
        <v>6694</v>
      </c>
      <c r="W5819" t="s">
        <v>6720</v>
      </c>
    </row>
    <row r="5820" spans="1:23" ht="15.6" x14ac:dyDescent="0.4">
      <c r="A5820" s="2" t="s">
        <v>4373</v>
      </c>
      <c r="B5820" s="5" t="s">
        <v>11813</v>
      </c>
      <c r="C5820" s="7" t="s">
        <v>12556</v>
      </c>
      <c r="D5820" s="8">
        <f t="shared" si="364"/>
        <v>0</v>
      </c>
      <c r="E5820" s="7" t="s">
        <v>12557</v>
      </c>
      <c r="F5820" s="7">
        <f t="shared" si="365"/>
        <v>0</v>
      </c>
      <c r="G5820" s="7" t="s">
        <v>12558</v>
      </c>
      <c r="H5820" s="7">
        <f t="shared" si="366"/>
        <v>0</v>
      </c>
      <c r="I5820" s="7" cm="1">
        <f t="array" ref="I5820">IFERROR(_xlfn.IFS(M5820="נח",1,M5820="נע ונח",1,M5820="שני שווא נח",2,M5820="שני שוואים בסוף מילה",2,M5820="שני שוואים ברצף",1),"0")</f>
        <v>1</v>
      </c>
      <c r="J5820" s="9">
        <f t="shared" si="367"/>
        <v>2</v>
      </c>
      <c r="K5820" t="s">
        <v>6698</v>
      </c>
      <c r="L5820" t="s">
        <v>6694</v>
      </c>
      <c r="M5820" t="s">
        <v>6705</v>
      </c>
      <c r="P5820" t="s">
        <v>6694</v>
      </c>
      <c r="Q5820" t="s">
        <v>6694</v>
      </c>
      <c r="W5820" t="s">
        <v>6720</v>
      </c>
    </row>
    <row r="5821" spans="1:23" ht="15.6" x14ac:dyDescent="0.4">
      <c r="A5821" s="2" t="s">
        <v>6647</v>
      </c>
      <c r="B5821" s="5" t="s">
        <v>11814</v>
      </c>
      <c r="C5821" s="7" t="s">
        <v>12556</v>
      </c>
      <c r="D5821" s="8">
        <f t="shared" si="364"/>
        <v>0</v>
      </c>
      <c r="E5821" s="7" t="s">
        <v>12557</v>
      </c>
      <c r="F5821" s="7">
        <f t="shared" si="365"/>
        <v>2</v>
      </c>
      <c r="G5821" s="7" t="s">
        <v>12558</v>
      </c>
      <c r="H5821" s="7">
        <f t="shared" si="366"/>
        <v>0</v>
      </c>
      <c r="I5821" s="7" cm="1">
        <f t="array" ref="I5821">IFERROR(_xlfn.IFS(M5821="נח",1,M5821="נע ונח",1,M5821="שני שווא נח",2,M5821="שני שוואים בסוף מילה",2,M5821="שני שוואים ברצף",1),"0")</f>
        <v>1</v>
      </c>
      <c r="J5821" s="9">
        <f t="shared" si="367"/>
        <v>3</v>
      </c>
      <c r="K5821" t="s">
        <v>6698</v>
      </c>
      <c r="L5821" t="s">
        <v>6694</v>
      </c>
      <c r="M5821" t="s">
        <v>6705</v>
      </c>
      <c r="P5821" t="s">
        <v>6694</v>
      </c>
      <c r="T5821" t="s">
        <v>6694</v>
      </c>
      <c r="V5821" t="s">
        <v>6694</v>
      </c>
      <c r="W5821" t="s">
        <v>6720</v>
      </c>
    </row>
    <row r="5822" spans="1:23" ht="15.6" x14ac:dyDescent="0.4">
      <c r="A5822" s="2" t="s">
        <v>1392</v>
      </c>
      <c r="B5822" s="5" t="s">
        <v>11815</v>
      </c>
      <c r="C5822" s="7" t="s">
        <v>12556</v>
      </c>
      <c r="D5822" s="8">
        <f t="shared" si="364"/>
        <v>0</v>
      </c>
      <c r="E5822" s="7" t="s">
        <v>12557</v>
      </c>
      <c r="F5822" s="7">
        <f t="shared" si="365"/>
        <v>0</v>
      </c>
      <c r="G5822" s="7" t="s">
        <v>12558</v>
      </c>
      <c r="H5822" s="7">
        <f t="shared" si="366"/>
        <v>0</v>
      </c>
      <c r="I5822" s="7" cm="1">
        <f t="array" ref="I5822">IFERROR(_xlfn.IFS(M5822="נח",1,M5822="נע ונח",1,M5822="שני שווא נח",2,M5822="שני שוואים בסוף מילה",2,M5822="שני שוואים ברצף",1),"0")</f>
        <v>1</v>
      </c>
      <c r="J5822" s="9">
        <f t="shared" si="367"/>
        <v>2</v>
      </c>
      <c r="K5822" t="s">
        <v>6697</v>
      </c>
      <c r="L5822" t="s">
        <v>6694</v>
      </c>
      <c r="M5822" t="s">
        <v>6705</v>
      </c>
      <c r="P5822" t="s">
        <v>6694</v>
      </c>
      <c r="V5822" t="s">
        <v>6694</v>
      </c>
      <c r="W5822" t="s">
        <v>6720</v>
      </c>
    </row>
    <row r="5823" spans="1:23" ht="15.6" x14ac:dyDescent="0.4">
      <c r="A5823" s="2" t="s">
        <v>4667</v>
      </c>
      <c r="B5823" s="5" t="s">
        <v>11816</v>
      </c>
      <c r="C5823" s="7" t="s">
        <v>12556</v>
      </c>
      <c r="D5823" s="8">
        <f t="shared" si="364"/>
        <v>0</v>
      </c>
      <c r="E5823" s="7" t="s">
        <v>12557</v>
      </c>
      <c r="F5823" s="7">
        <f t="shared" si="365"/>
        <v>0</v>
      </c>
      <c r="G5823" s="7" t="s">
        <v>12558</v>
      </c>
      <c r="H5823" s="7">
        <f t="shared" si="366"/>
        <v>0</v>
      </c>
      <c r="I5823" s="7" cm="1">
        <f t="array" ref="I5823">IFERROR(_xlfn.IFS(M5823="נח",1,M5823="נע ונח",1,M5823="שני שווא נח",2,M5823="שני שוואים בסוף מילה",2,M5823="שני שוואים ברצף",1),"0")</f>
        <v>1</v>
      </c>
      <c r="J5823" s="9">
        <f t="shared" si="367"/>
        <v>3</v>
      </c>
      <c r="K5823" t="s">
        <v>6698</v>
      </c>
      <c r="L5823" t="s">
        <v>6694</v>
      </c>
      <c r="M5823" t="s">
        <v>6702</v>
      </c>
      <c r="P5823" t="s">
        <v>6694</v>
      </c>
      <c r="R5823" t="s">
        <v>6694</v>
      </c>
      <c r="W5823" t="s">
        <v>6720</v>
      </c>
    </row>
    <row r="5824" spans="1:23" ht="15.6" x14ac:dyDescent="0.4">
      <c r="A5824" s="2" t="s">
        <v>5529</v>
      </c>
      <c r="B5824" s="5" t="s">
        <v>11817</v>
      </c>
      <c r="C5824" s="7" t="s">
        <v>12556</v>
      </c>
      <c r="D5824" s="8">
        <f t="shared" si="364"/>
        <v>0</v>
      </c>
      <c r="E5824" s="7" t="s">
        <v>12557</v>
      </c>
      <c r="F5824" s="7">
        <f t="shared" si="365"/>
        <v>0</v>
      </c>
      <c r="G5824" s="7" t="s">
        <v>12558</v>
      </c>
      <c r="H5824" s="7">
        <f t="shared" si="366"/>
        <v>0</v>
      </c>
      <c r="I5824" s="7" cm="1">
        <f t="array" ref="I5824">IFERROR(_xlfn.IFS(M5824="נח",1,M5824="נע ונח",1,M5824="שני שווא נח",2,M5824="שני שוואים בסוף מילה",2,M5824="שני שוואים ברצף",1),"0")</f>
        <v>1</v>
      </c>
      <c r="J5824" s="9">
        <f t="shared" si="367"/>
        <v>2</v>
      </c>
      <c r="K5824" t="s">
        <v>6697</v>
      </c>
      <c r="L5824" t="s">
        <v>6694</v>
      </c>
      <c r="M5824" t="s">
        <v>6705</v>
      </c>
      <c r="P5824" t="s">
        <v>6694</v>
      </c>
      <c r="S5824" t="s">
        <v>6694</v>
      </c>
      <c r="W5824" t="s">
        <v>6720</v>
      </c>
    </row>
    <row r="5825" spans="1:23" ht="15.6" x14ac:dyDescent="0.4">
      <c r="A5825" s="2" t="s">
        <v>4682</v>
      </c>
      <c r="B5825" s="5" t="s">
        <v>11817</v>
      </c>
      <c r="C5825" s="7" t="s">
        <v>12556</v>
      </c>
      <c r="D5825" s="8">
        <f t="shared" si="364"/>
        <v>0</v>
      </c>
      <c r="E5825" s="7" t="s">
        <v>12557</v>
      </c>
      <c r="F5825" s="7">
        <f t="shared" si="365"/>
        <v>0</v>
      </c>
      <c r="G5825" s="7" t="s">
        <v>12558</v>
      </c>
      <c r="H5825" s="7">
        <f t="shared" si="366"/>
        <v>0</v>
      </c>
      <c r="I5825" s="7" cm="1">
        <f t="array" ref="I5825">IFERROR(_xlfn.IFS(M5825="נח",1,M5825="נע ונח",1,M5825="שני שווא נח",2,M5825="שני שוואים בסוף מילה",2,M5825="שני שוואים ברצף",1),"0")</f>
        <v>1</v>
      </c>
      <c r="J5825" s="9">
        <f t="shared" si="367"/>
        <v>2</v>
      </c>
      <c r="K5825" t="s">
        <v>6698</v>
      </c>
      <c r="L5825" t="s">
        <v>6694</v>
      </c>
      <c r="M5825" t="s">
        <v>6705</v>
      </c>
      <c r="P5825" t="s">
        <v>6694</v>
      </c>
      <c r="Q5825" t="s">
        <v>6694</v>
      </c>
      <c r="W5825" t="s">
        <v>6720</v>
      </c>
    </row>
    <row r="5826" spans="1:23" ht="15.6" x14ac:dyDescent="0.4">
      <c r="A5826" s="2" t="s">
        <v>6673</v>
      </c>
      <c r="B5826" s="5" t="s">
        <v>11818</v>
      </c>
      <c r="C5826" s="7" t="s">
        <v>12556</v>
      </c>
      <c r="D5826" s="8">
        <f t="shared" si="364"/>
        <v>0</v>
      </c>
      <c r="E5826" s="7" t="s">
        <v>12557</v>
      </c>
      <c r="F5826" s="7">
        <f t="shared" si="365"/>
        <v>1</v>
      </c>
      <c r="G5826" s="7" t="s">
        <v>12558</v>
      </c>
      <c r="H5826" s="7">
        <f t="shared" si="366"/>
        <v>1</v>
      </c>
      <c r="I5826" s="7" cm="1">
        <f t="array" ref="I5826">IFERROR(_xlfn.IFS(M5826="נח",1,M5826="נע ונח",1,M5826="שני שווא נח",2,M5826="שני שוואים בסוף מילה",2,M5826="שני שוואים ברצף",1),"0")</f>
        <v>1</v>
      </c>
      <c r="J5826" s="9">
        <f t="shared" si="367"/>
        <v>3</v>
      </c>
      <c r="K5826" t="s">
        <v>6697</v>
      </c>
      <c r="L5826" t="s">
        <v>6694</v>
      </c>
      <c r="M5826" t="s">
        <v>6705</v>
      </c>
      <c r="P5826" t="s">
        <v>6694</v>
      </c>
      <c r="Q5826" t="s">
        <v>6694</v>
      </c>
      <c r="U5826" t="s">
        <v>6694</v>
      </c>
      <c r="W5826" t="s">
        <v>6720</v>
      </c>
    </row>
    <row r="5827" spans="1:23" ht="15.6" x14ac:dyDescent="0.4">
      <c r="A5827" s="2" t="s">
        <v>1208</v>
      </c>
      <c r="B5827" s="5" t="s">
        <v>11819</v>
      </c>
      <c r="C5827" s="7" t="s">
        <v>12556</v>
      </c>
      <c r="D5827" s="8">
        <f t="shared" ref="D5827:D5890" si="368">(LEN(B5827)-LEN(SUBSTITUTE(B5827,C5827,"")))</f>
        <v>0</v>
      </c>
      <c r="E5827" s="7" t="s">
        <v>12557</v>
      </c>
      <c r="F5827" s="7">
        <f t="shared" ref="F5827:F5890" si="369">(LEN(A5827)-LEN(SUBSTITUTE(A5827,E5827,"")))</f>
        <v>0</v>
      </c>
      <c r="G5827" s="7" t="s">
        <v>12558</v>
      </c>
      <c r="H5827" s="7">
        <f t="shared" ref="H5827:H5890" si="370">(LEN(A5827)-LEN(SUBSTITUTE(A5827,G5827,"")))/2</f>
        <v>0</v>
      </c>
      <c r="I5827" s="7" cm="1">
        <f t="array" ref="I5827">IFERROR(_xlfn.IFS(M5827="נח",1,M5827="נע ונח",1,M5827="שני שווא נח",2,M5827="שני שוואים בסוף מילה",2,M5827="שני שוואים ברצף",1),"0")</f>
        <v>1</v>
      </c>
      <c r="J5827" s="9">
        <f t="shared" ref="J5827:J5890" si="371">LEN(A5827)-(LEN(B5827))-D5827-F5827+H5827-I5827</f>
        <v>2</v>
      </c>
      <c r="K5827" t="s">
        <v>6697</v>
      </c>
      <c r="L5827" t="s">
        <v>6694</v>
      </c>
      <c r="M5827" t="s">
        <v>6705</v>
      </c>
      <c r="P5827" t="s">
        <v>6694</v>
      </c>
      <c r="V5827" t="s">
        <v>6694</v>
      </c>
      <c r="W5827" t="s">
        <v>6720</v>
      </c>
    </row>
    <row r="5828" spans="1:23" ht="15.6" x14ac:dyDescent="0.4">
      <c r="A5828" s="2" t="s">
        <v>1761</v>
      </c>
      <c r="B5828" s="5" t="s">
        <v>11820</v>
      </c>
      <c r="C5828" s="7" t="s">
        <v>12556</v>
      </c>
      <c r="D5828" s="8">
        <f t="shared" si="368"/>
        <v>0</v>
      </c>
      <c r="E5828" s="7" t="s">
        <v>12557</v>
      </c>
      <c r="F5828" s="7">
        <f t="shared" si="369"/>
        <v>0</v>
      </c>
      <c r="G5828" s="7" t="s">
        <v>12558</v>
      </c>
      <c r="H5828" s="7">
        <f t="shared" si="370"/>
        <v>0</v>
      </c>
      <c r="I5828" s="7" cm="1">
        <f t="array" ref="I5828">IFERROR(_xlfn.IFS(M5828="נח",1,M5828="נע ונח",1,M5828="שני שווא נח",2,M5828="שני שוואים בסוף מילה",2,M5828="שני שוואים ברצף",1),"0")</f>
        <v>1</v>
      </c>
      <c r="J5828" s="9">
        <f t="shared" si="371"/>
        <v>2</v>
      </c>
      <c r="K5828" t="s">
        <v>6698</v>
      </c>
      <c r="L5828" t="s">
        <v>6694</v>
      </c>
      <c r="M5828" t="s">
        <v>6705</v>
      </c>
      <c r="P5828" t="s">
        <v>6694</v>
      </c>
      <c r="V5828" t="s">
        <v>6694</v>
      </c>
      <c r="W5828" t="s">
        <v>6720</v>
      </c>
    </row>
    <row r="5829" spans="1:23" ht="15.6" x14ac:dyDescent="0.4">
      <c r="A5829" s="2" t="s">
        <v>2511</v>
      </c>
      <c r="B5829" s="5" t="s">
        <v>11821</v>
      </c>
      <c r="C5829" s="7" t="s">
        <v>12556</v>
      </c>
      <c r="D5829" s="8">
        <f t="shared" si="368"/>
        <v>1</v>
      </c>
      <c r="E5829" s="7" t="s">
        <v>12557</v>
      </c>
      <c r="F5829" s="7">
        <f t="shared" si="369"/>
        <v>1</v>
      </c>
      <c r="G5829" s="7" t="s">
        <v>12558</v>
      </c>
      <c r="H5829" s="7">
        <f t="shared" si="370"/>
        <v>0</v>
      </c>
      <c r="I5829" s="7" cm="1">
        <f t="array" ref="I5829">IFERROR(_xlfn.IFS(M5829="נח",1,M5829="נע ונח",1,M5829="שני שווא נח",2,M5829="שני שוואים בסוף מילה",2,M5829="שני שוואים ברצף",1),"0")</f>
        <v>1</v>
      </c>
      <c r="J5829" s="9">
        <f t="shared" si="371"/>
        <v>2</v>
      </c>
      <c r="K5829" t="s">
        <v>6698</v>
      </c>
      <c r="L5829" t="s">
        <v>6694</v>
      </c>
      <c r="M5829" t="s">
        <v>6705</v>
      </c>
      <c r="N5829" t="s">
        <v>6706</v>
      </c>
      <c r="O5829" t="s">
        <v>6694</v>
      </c>
      <c r="P5829" t="s">
        <v>6694</v>
      </c>
      <c r="W5829" t="s">
        <v>6720</v>
      </c>
    </row>
    <row r="5830" spans="1:23" ht="15.6" x14ac:dyDescent="0.4">
      <c r="A5830" s="2" t="s">
        <v>1906</v>
      </c>
      <c r="B5830" s="5" t="s">
        <v>11822</v>
      </c>
      <c r="C5830" s="7" t="s">
        <v>12556</v>
      </c>
      <c r="D5830" s="8">
        <f t="shared" si="368"/>
        <v>0</v>
      </c>
      <c r="E5830" s="7" t="s">
        <v>12557</v>
      </c>
      <c r="F5830" s="7">
        <f t="shared" si="369"/>
        <v>0</v>
      </c>
      <c r="G5830" s="7" t="s">
        <v>12558</v>
      </c>
      <c r="H5830" s="7">
        <f t="shared" si="370"/>
        <v>0</v>
      </c>
      <c r="I5830" s="7" cm="1">
        <f t="array" ref="I5830">IFERROR(_xlfn.IFS(M5830="נח",1,M5830="נע ונח",1,M5830="שני שווא נח",2,M5830="שני שוואים בסוף מילה",2,M5830="שני שוואים ברצף",1),"0")</f>
        <v>1</v>
      </c>
      <c r="J5830" s="9">
        <f t="shared" si="371"/>
        <v>3</v>
      </c>
      <c r="K5830" t="s">
        <v>6697</v>
      </c>
      <c r="L5830" t="s">
        <v>6694</v>
      </c>
      <c r="M5830" t="s">
        <v>6705</v>
      </c>
      <c r="N5830" t="s">
        <v>6706</v>
      </c>
      <c r="O5830" t="s">
        <v>6694</v>
      </c>
      <c r="V5830" t="s">
        <v>6694</v>
      </c>
      <c r="W5830" t="s">
        <v>6720</v>
      </c>
    </row>
    <row r="5831" spans="1:23" ht="15.6" x14ac:dyDescent="0.4">
      <c r="A5831" s="2" t="s">
        <v>4550</v>
      </c>
      <c r="B5831" s="5" t="s">
        <v>11823</v>
      </c>
      <c r="C5831" s="7" t="s">
        <v>12556</v>
      </c>
      <c r="D5831" s="8">
        <f t="shared" si="368"/>
        <v>0</v>
      </c>
      <c r="E5831" s="7" t="s">
        <v>12557</v>
      </c>
      <c r="F5831" s="7">
        <f t="shared" si="369"/>
        <v>0</v>
      </c>
      <c r="G5831" s="7" t="s">
        <v>12558</v>
      </c>
      <c r="H5831" s="7">
        <f t="shared" si="370"/>
        <v>0</v>
      </c>
      <c r="I5831" s="7" cm="1">
        <f t="array" ref="I5831">IFERROR(_xlfn.IFS(M5831="נח",1,M5831="נע ונח",1,M5831="שני שווא נח",2,M5831="שני שוואים בסוף מילה",2,M5831="שני שוואים ברצף",1),"0")</f>
        <v>1</v>
      </c>
      <c r="J5831" s="9">
        <f t="shared" si="371"/>
        <v>2</v>
      </c>
      <c r="K5831" t="s">
        <v>6698</v>
      </c>
      <c r="L5831" t="s">
        <v>6694</v>
      </c>
      <c r="M5831" t="s">
        <v>6705</v>
      </c>
      <c r="N5831" t="s">
        <v>6706</v>
      </c>
      <c r="O5831" t="s">
        <v>6694</v>
      </c>
      <c r="V5831" t="s">
        <v>6694</v>
      </c>
      <c r="W5831" t="s">
        <v>6720</v>
      </c>
    </row>
    <row r="5832" spans="1:23" ht="15.6" x14ac:dyDescent="0.4">
      <c r="A5832" s="2" t="s">
        <v>2892</v>
      </c>
      <c r="B5832" s="5" t="s">
        <v>11824</v>
      </c>
      <c r="C5832" s="7" t="s">
        <v>12556</v>
      </c>
      <c r="D5832" s="8">
        <f t="shared" si="368"/>
        <v>1</v>
      </c>
      <c r="E5832" s="7" t="s">
        <v>12557</v>
      </c>
      <c r="F5832" s="7">
        <f t="shared" si="369"/>
        <v>0</v>
      </c>
      <c r="G5832" s="7" t="s">
        <v>12558</v>
      </c>
      <c r="H5832" s="7">
        <f t="shared" si="370"/>
        <v>0</v>
      </c>
      <c r="I5832" s="7" cm="1">
        <f t="array" ref="I5832">IFERROR(_xlfn.IFS(M5832="נח",1,M5832="נע ונח",1,M5832="שני שווא נח",2,M5832="שני שוואים בסוף מילה",2,M5832="שני שוואים ברצף",1),"0")</f>
        <v>1</v>
      </c>
      <c r="J5832" s="9">
        <f t="shared" si="371"/>
        <v>3</v>
      </c>
      <c r="K5832" t="s">
        <v>6697</v>
      </c>
      <c r="L5832" t="s">
        <v>6694</v>
      </c>
      <c r="M5832" t="s">
        <v>6702</v>
      </c>
      <c r="N5832" t="s">
        <v>6706</v>
      </c>
      <c r="O5832" t="s">
        <v>6694</v>
      </c>
      <c r="W5832" t="s">
        <v>6720</v>
      </c>
    </row>
    <row r="5833" spans="1:23" ht="15.6" x14ac:dyDescent="0.4">
      <c r="A5833" s="2" t="s">
        <v>5834</v>
      </c>
      <c r="B5833" s="5" t="s">
        <v>11825</v>
      </c>
      <c r="C5833" s="7" t="s">
        <v>12556</v>
      </c>
      <c r="D5833" s="8">
        <f t="shared" si="368"/>
        <v>1</v>
      </c>
      <c r="E5833" s="7" t="s">
        <v>12557</v>
      </c>
      <c r="F5833" s="7">
        <f t="shared" si="369"/>
        <v>0</v>
      </c>
      <c r="G5833" s="7" t="s">
        <v>12558</v>
      </c>
      <c r="H5833" s="7">
        <f t="shared" si="370"/>
        <v>0</v>
      </c>
      <c r="I5833" s="7" cm="1">
        <f t="array" ref="I5833">IFERROR(_xlfn.IFS(M5833="נח",1,M5833="נע ונח",1,M5833="שני שווא נח",2,M5833="שני שוואים בסוף מילה",2,M5833="שני שוואים ברצף",1),"0")</f>
        <v>1</v>
      </c>
      <c r="J5833" s="9">
        <f t="shared" si="371"/>
        <v>2</v>
      </c>
      <c r="K5833" t="s">
        <v>6697</v>
      </c>
      <c r="L5833" t="s">
        <v>6694</v>
      </c>
      <c r="M5833" t="s">
        <v>6705</v>
      </c>
      <c r="N5833" t="s">
        <v>6706</v>
      </c>
      <c r="O5833" t="s">
        <v>6694</v>
      </c>
      <c r="S5833" t="s">
        <v>6694</v>
      </c>
      <c r="W5833" t="s">
        <v>6720</v>
      </c>
    </row>
    <row r="5834" spans="1:23" ht="15.6" x14ac:dyDescent="0.4">
      <c r="A5834" s="2" t="s">
        <v>5453</v>
      </c>
      <c r="B5834" s="5" t="s">
        <v>11824</v>
      </c>
      <c r="C5834" s="7" t="s">
        <v>12556</v>
      </c>
      <c r="D5834" s="8">
        <f t="shared" si="368"/>
        <v>1</v>
      </c>
      <c r="E5834" s="7" t="s">
        <v>12557</v>
      </c>
      <c r="F5834" s="7">
        <f t="shared" si="369"/>
        <v>0</v>
      </c>
      <c r="G5834" s="7" t="s">
        <v>12558</v>
      </c>
      <c r="H5834" s="7">
        <f t="shared" si="370"/>
        <v>0</v>
      </c>
      <c r="I5834" s="7" cm="1">
        <f t="array" ref="I5834">IFERROR(_xlfn.IFS(M5834="נח",1,M5834="נע ונח",1,M5834="שני שווא נח",2,M5834="שני שוואים בסוף מילה",2,M5834="שני שוואים ברצף",1),"0")</f>
        <v>1</v>
      </c>
      <c r="J5834" s="9">
        <f t="shared" si="371"/>
        <v>3</v>
      </c>
      <c r="K5834" t="s">
        <v>6697</v>
      </c>
      <c r="L5834" t="s">
        <v>6694</v>
      </c>
      <c r="M5834" t="s">
        <v>6705</v>
      </c>
      <c r="N5834" t="s">
        <v>6706</v>
      </c>
      <c r="O5834" t="s">
        <v>6694</v>
      </c>
      <c r="R5834" t="s">
        <v>6694</v>
      </c>
      <c r="W5834" t="s">
        <v>6720</v>
      </c>
    </row>
    <row r="5835" spans="1:23" ht="15.6" x14ac:dyDescent="0.4">
      <c r="A5835" s="2" t="s">
        <v>1612</v>
      </c>
      <c r="B5835" s="5" t="s">
        <v>11826</v>
      </c>
      <c r="C5835" s="7" t="s">
        <v>12556</v>
      </c>
      <c r="D5835" s="8">
        <f t="shared" si="368"/>
        <v>1</v>
      </c>
      <c r="E5835" s="7" t="s">
        <v>12557</v>
      </c>
      <c r="F5835" s="7">
        <f t="shared" si="369"/>
        <v>0</v>
      </c>
      <c r="G5835" s="7" t="s">
        <v>12558</v>
      </c>
      <c r="H5835" s="7">
        <f t="shared" si="370"/>
        <v>0</v>
      </c>
      <c r="I5835" s="7" cm="1">
        <f t="array" ref="I5835">IFERROR(_xlfn.IFS(M5835="נח",1,M5835="נע ונח",1,M5835="שני שווא נח",2,M5835="שני שוואים בסוף מילה",2,M5835="שני שוואים ברצף",1),"0")</f>
        <v>1</v>
      </c>
      <c r="J5835" s="9">
        <f t="shared" si="371"/>
        <v>2</v>
      </c>
      <c r="K5835" t="s">
        <v>6697</v>
      </c>
      <c r="L5835" t="s">
        <v>6694</v>
      </c>
      <c r="M5835" t="s">
        <v>6705</v>
      </c>
      <c r="N5835" t="s">
        <v>6706</v>
      </c>
      <c r="O5835" t="s">
        <v>6694</v>
      </c>
      <c r="V5835" t="s">
        <v>6694</v>
      </c>
      <c r="W5835" t="s">
        <v>6720</v>
      </c>
    </row>
    <row r="5836" spans="1:23" ht="15.6" x14ac:dyDescent="0.4">
      <c r="A5836" s="2" t="s">
        <v>5772</v>
      </c>
      <c r="B5836" s="5" t="s">
        <v>11827</v>
      </c>
      <c r="C5836" s="7" t="s">
        <v>12556</v>
      </c>
      <c r="D5836" s="8">
        <f t="shared" si="368"/>
        <v>0</v>
      </c>
      <c r="E5836" s="7" t="s">
        <v>12557</v>
      </c>
      <c r="F5836" s="7">
        <f t="shared" si="369"/>
        <v>0</v>
      </c>
      <c r="G5836" s="7" t="s">
        <v>12558</v>
      </c>
      <c r="H5836" s="7">
        <f t="shared" si="370"/>
        <v>0</v>
      </c>
      <c r="I5836" s="7" t="str" cm="1">
        <f t="array" ref="I5836">IFERROR(_xlfn.IFS(M5836="נח",1,M5836="נע ונח",1,M5836="שני שווא נח",2,M5836="שני שוואים בסוף מילה",2,M5836="שני שוואים ברצף",1),"0")</f>
        <v>0</v>
      </c>
      <c r="J5836" s="9">
        <f t="shared" si="371"/>
        <v>2</v>
      </c>
      <c r="K5836" t="s">
        <v>6698</v>
      </c>
      <c r="L5836" t="s">
        <v>6695</v>
      </c>
      <c r="O5836" t="s">
        <v>6694</v>
      </c>
      <c r="S5836" t="s">
        <v>6694</v>
      </c>
      <c r="W5836" t="s">
        <v>6720</v>
      </c>
    </row>
    <row r="5837" spans="1:23" ht="15.6" x14ac:dyDescent="0.4">
      <c r="A5837" s="2" t="s">
        <v>6590</v>
      </c>
      <c r="B5837" s="5" t="s">
        <v>11772</v>
      </c>
      <c r="C5837" s="7" t="s">
        <v>12556</v>
      </c>
      <c r="D5837" s="8">
        <f t="shared" si="368"/>
        <v>1</v>
      </c>
      <c r="E5837" s="7" t="s">
        <v>12557</v>
      </c>
      <c r="F5837" s="7">
        <f t="shared" si="369"/>
        <v>0</v>
      </c>
      <c r="G5837" s="7" t="s">
        <v>12558</v>
      </c>
      <c r="H5837" s="7">
        <f t="shared" si="370"/>
        <v>0</v>
      </c>
      <c r="I5837" s="7" t="str" cm="1">
        <f t="array" ref="I5837">IFERROR(_xlfn.IFS(M5837="נח",1,M5837="נע ונח",1,M5837="שני שווא נח",2,M5837="שני שוואים בסוף מילה",2,M5837="שני שוואים ברצף",1),"0")</f>
        <v>0</v>
      </c>
      <c r="J5837" s="9">
        <f t="shared" si="371"/>
        <v>2</v>
      </c>
      <c r="K5837" t="s">
        <v>6698</v>
      </c>
      <c r="L5837" t="s">
        <v>6695</v>
      </c>
      <c r="O5837" t="s">
        <v>6694</v>
      </c>
      <c r="Q5837" t="s">
        <v>6694</v>
      </c>
      <c r="W5837" t="s">
        <v>6720</v>
      </c>
    </row>
    <row r="5838" spans="1:23" ht="15.6" x14ac:dyDescent="0.4">
      <c r="A5838" s="2" t="s">
        <v>7</v>
      </c>
      <c r="B5838" s="5" t="s">
        <v>11775</v>
      </c>
      <c r="C5838" s="7" t="s">
        <v>12556</v>
      </c>
      <c r="D5838" s="8">
        <f t="shared" si="368"/>
        <v>1</v>
      </c>
      <c r="E5838" s="7" t="s">
        <v>12557</v>
      </c>
      <c r="F5838" s="7">
        <f t="shared" si="369"/>
        <v>0</v>
      </c>
      <c r="G5838" s="7" t="s">
        <v>12558</v>
      </c>
      <c r="H5838" s="7">
        <f t="shared" si="370"/>
        <v>0</v>
      </c>
      <c r="I5838" s="7" t="str" cm="1">
        <f t="array" ref="I5838">IFERROR(_xlfn.IFS(M5838="נח",1,M5838="נע ונח",1,M5838="שני שווא נח",2,M5838="שני שוואים בסוף מילה",2,M5838="שני שוואים ברצף",1),"0")</f>
        <v>0</v>
      </c>
      <c r="J5838" s="9">
        <f t="shared" si="371"/>
        <v>2</v>
      </c>
      <c r="K5838" t="s">
        <v>6698</v>
      </c>
      <c r="L5838" t="s">
        <v>6695</v>
      </c>
      <c r="O5838" t="s">
        <v>6694</v>
      </c>
      <c r="V5838" t="s">
        <v>6694</v>
      </c>
      <c r="W5838" t="s">
        <v>6720</v>
      </c>
    </row>
    <row r="5839" spans="1:23" ht="15.6" x14ac:dyDescent="0.4">
      <c r="A5839" s="2" t="s">
        <v>5902</v>
      </c>
      <c r="B5839" s="5" t="s">
        <v>11828</v>
      </c>
      <c r="C5839" s="7" t="s">
        <v>12556</v>
      </c>
      <c r="D5839" s="8">
        <f t="shared" si="368"/>
        <v>0</v>
      </c>
      <c r="E5839" s="7" t="s">
        <v>12557</v>
      </c>
      <c r="F5839" s="7">
        <f t="shared" si="369"/>
        <v>0</v>
      </c>
      <c r="G5839" s="7" t="s">
        <v>12558</v>
      </c>
      <c r="H5839" s="7">
        <f t="shared" si="370"/>
        <v>0</v>
      </c>
      <c r="I5839" s="7" t="str" cm="1">
        <f t="array" ref="I5839">IFERROR(_xlfn.IFS(M5839="נח",1,M5839="נע ונח",1,M5839="שני שווא נח",2,M5839="שני שוואים בסוף מילה",2,M5839="שני שוואים ברצף",1),"0")</f>
        <v>0</v>
      </c>
      <c r="J5839" s="9">
        <f t="shared" si="371"/>
        <v>2</v>
      </c>
      <c r="K5839" t="s">
        <v>6698</v>
      </c>
      <c r="L5839" t="s">
        <v>6695</v>
      </c>
      <c r="N5839" t="s">
        <v>6706</v>
      </c>
      <c r="O5839" t="s">
        <v>6694</v>
      </c>
      <c r="W5839" t="s">
        <v>6720</v>
      </c>
    </row>
    <row r="5840" spans="1:23" ht="15.6" x14ac:dyDescent="0.4">
      <c r="A5840" s="2" t="s">
        <v>5200</v>
      </c>
      <c r="B5840" s="5" t="s">
        <v>11829</v>
      </c>
      <c r="C5840" s="7" t="s">
        <v>12556</v>
      </c>
      <c r="D5840" s="8">
        <f t="shared" si="368"/>
        <v>0</v>
      </c>
      <c r="E5840" s="7" t="s">
        <v>12557</v>
      </c>
      <c r="F5840" s="7">
        <f t="shared" si="369"/>
        <v>0</v>
      </c>
      <c r="G5840" s="7" t="s">
        <v>12558</v>
      </c>
      <c r="H5840" s="7">
        <f t="shared" si="370"/>
        <v>0</v>
      </c>
      <c r="I5840" s="7" t="str" cm="1">
        <f t="array" ref="I5840">IFERROR(_xlfn.IFS(M5840="נח",1,M5840="נע ונח",1,M5840="שני שווא נח",2,M5840="שני שוואים בסוף מילה",2,M5840="שני שוואים ברצף",1),"0")</f>
        <v>0</v>
      </c>
      <c r="J5840" s="9">
        <f t="shared" si="371"/>
        <v>2</v>
      </c>
      <c r="K5840" t="s">
        <v>6698</v>
      </c>
      <c r="L5840" t="s">
        <v>6695</v>
      </c>
      <c r="O5840" t="s">
        <v>6694</v>
      </c>
      <c r="S5840" t="s">
        <v>6694</v>
      </c>
      <c r="W5840" t="s">
        <v>6720</v>
      </c>
    </row>
    <row r="5841" spans="1:23" ht="15.6" x14ac:dyDescent="0.4">
      <c r="A5841" s="2" t="s">
        <v>6374</v>
      </c>
      <c r="B5841" s="5" t="s">
        <v>11830</v>
      </c>
      <c r="C5841" s="7" t="s">
        <v>12556</v>
      </c>
      <c r="D5841" s="8">
        <f t="shared" si="368"/>
        <v>0</v>
      </c>
      <c r="E5841" s="7" t="s">
        <v>12557</v>
      </c>
      <c r="F5841" s="7">
        <f t="shared" si="369"/>
        <v>1</v>
      </c>
      <c r="G5841" s="7" t="s">
        <v>12558</v>
      </c>
      <c r="H5841" s="7">
        <f t="shared" si="370"/>
        <v>1</v>
      </c>
      <c r="I5841" s="7" t="str" cm="1">
        <f t="array" ref="I5841">IFERROR(_xlfn.IFS(M5841="נח",1,M5841="נע ונח",1,M5841="שני שווא נח",2,M5841="שני שוואים בסוף מילה",2,M5841="שני שוואים ברצף",1),"0")</f>
        <v>0</v>
      </c>
      <c r="J5841" s="9">
        <f t="shared" si="371"/>
        <v>3</v>
      </c>
      <c r="K5841" t="s">
        <v>6697</v>
      </c>
      <c r="L5841" t="s">
        <v>6695</v>
      </c>
      <c r="O5841" t="s">
        <v>6694</v>
      </c>
      <c r="Q5841" t="s">
        <v>6694</v>
      </c>
      <c r="U5841" t="s">
        <v>6694</v>
      </c>
      <c r="W5841" t="s">
        <v>6720</v>
      </c>
    </row>
    <row r="5842" spans="1:23" ht="15.6" x14ac:dyDescent="0.4">
      <c r="A5842" s="2" t="s">
        <v>5697</v>
      </c>
      <c r="B5842" s="5" t="s">
        <v>11831</v>
      </c>
      <c r="C5842" s="7" t="s">
        <v>12556</v>
      </c>
      <c r="D5842" s="8">
        <f t="shared" si="368"/>
        <v>0</v>
      </c>
      <c r="E5842" s="7" t="s">
        <v>12557</v>
      </c>
      <c r="F5842" s="7">
        <f t="shared" si="369"/>
        <v>0</v>
      </c>
      <c r="G5842" s="7" t="s">
        <v>12558</v>
      </c>
      <c r="H5842" s="7">
        <f t="shared" si="370"/>
        <v>0</v>
      </c>
      <c r="I5842" s="7" t="str" cm="1">
        <f t="array" ref="I5842">IFERROR(_xlfn.IFS(M5842="נח",1,M5842="נע ונח",1,M5842="שני שווא נח",2,M5842="שני שוואים בסוף מילה",2,M5842="שני שוואים ברצף",1),"0")</f>
        <v>0</v>
      </c>
      <c r="J5842" s="9">
        <f t="shared" si="371"/>
        <v>3</v>
      </c>
      <c r="K5842" t="s">
        <v>6697</v>
      </c>
      <c r="L5842" t="s">
        <v>6695</v>
      </c>
      <c r="O5842" t="s">
        <v>6694</v>
      </c>
      <c r="R5842" t="s">
        <v>6694</v>
      </c>
      <c r="W5842" t="s">
        <v>6720</v>
      </c>
    </row>
    <row r="5843" spans="1:23" ht="15.6" x14ac:dyDescent="0.4">
      <c r="A5843" s="2" t="s">
        <v>1872</v>
      </c>
      <c r="B5843" s="5" t="s">
        <v>11832</v>
      </c>
      <c r="C5843" s="7" t="s">
        <v>12556</v>
      </c>
      <c r="D5843" s="8">
        <f t="shared" si="368"/>
        <v>0</v>
      </c>
      <c r="E5843" s="7" t="s">
        <v>12557</v>
      </c>
      <c r="F5843" s="7">
        <f t="shared" si="369"/>
        <v>0</v>
      </c>
      <c r="G5843" s="7" t="s">
        <v>12558</v>
      </c>
      <c r="H5843" s="7">
        <f t="shared" si="370"/>
        <v>0</v>
      </c>
      <c r="I5843" s="7" t="str" cm="1">
        <f t="array" ref="I5843">IFERROR(_xlfn.IFS(M5843="נח",1,M5843="נע ונח",1,M5843="שני שווא נח",2,M5843="שני שוואים בסוף מילה",2,M5843="שני שוואים ברצף",1),"0")</f>
        <v>0</v>
      </c>
      <c r="J5843" s="9">
        <f t="shared" si="371"/>
        <v>2</v>
      </c>
      <c r="K5843" t="s">
        <v>6698</v>
      </c>
      <c r="L5843" t="s">
        <v>6695</v>
      </c>
      <c r="O5843" t="s">
        <v>6694</v>
      </c>
      <c r="P5843" t="s">
        <v>6694</v>
      </c>
      <c r="W5843" t="s">
        <v>6720</v>
      </c>
    </row>
    <row r="5844" spans="1:23" ht="15.6" x14ac:dyDescent="0.4">
      <c r="A5844" s="2" t="s">
        <v>2652</v>
      </c>
      <c r="B5844" s="5" t="s">
        <v>11833</v>
      </c>
      <c r="C5844" s="7" t="s">
        <v>12556</v>
      </c>
      <c r="D5844" s="8">
        <f t="shared" si="368"/>
        <v>0</v>
      </c>
      <c r="E5844" s="7" t="s">
        <v>12557</v>
      </c>
      <c r="F5844" s="7">
        <f t="shared" si="369"/>
        <v>1</v>
      </c>
      <c r="G5844" s="7" t="s">
        <v>12558</v>
      </c>
      <c r="H5844" s="7">
        <f t="shared" si="370"/>
        <v>1</v>
      </c>
      <c r="I5844" s="7" t="str" cm="1">
        <f t="array" ref="I5844">IFERROR(_xlfn.IFS(M5844="נח",1,M5844="נע ונח",1,M5844="שני שווא נח",2,M5844="שני שוואים בסוף מילה",2,M5844="שני שוואים ברצף",1),"0")</f>
        <v>0</v>
      </c>
      <c r="J5844" s="9">
        <f t="shared" si="371"/>
        <v>2</v>
      </c>
      <c r="K5844" t="s">
        <v>6697</v>
      </c>
      <c r="L5844" t="s">
        <v>6695</v>
      </c>
      <c r="O5844" t="s">
        <v>6694</v>
      </c>
      <c r="U5844" t="s">
        <v>6694</v>
      </c>
      <c r="W5844" t="s">
        <v>6720</v>
      </c>
    </row>
    <row r="5845" spans="1:23" ht="15.6" x14ac:dyDescent="0.4">
      <c r="A5845" s="2" t="s">
        <v>5057</v>
      </c>
      <c r="B5845" s="5" t="s">
        <v>11834</v>
      </c>
      <c r="C5845" s="7" t="s">
        <v>12556</v>
      </c>
      <c r="D5845" s="8">
        <f t="shared" si="368"/>
        <v>0</v>
      </c>
      <c r="E5845" s="7" t="s">
        <v>12557</v>
      </c>
      <c r="F5845" s="7">
        <f t="shared" si="369"/>
        <v>0</v>
      </c>
      <c r="G5845" s="7" t="s">
        <v>12558</v>
      </c>
      <c r="H5845" s="7">
        <f t="shared" si="370"/>
        <v>0</v>
      </c>
      <c r="I5845" s="7" t="str" cm="1">
        <f t="array" ref="I5845">IFERROR(_xlfn.IFS(M5845="נח",1,M5845="נע ונח",1,M5845="שני שווא נח",2,M5845="שני שוואים בסוף מילה",2,M5845="שני שוואים ברצף",1),"0")</f>
        <v>0</v>
      </c>
      <c r="J5845" s="9">
        <f t="shared" si="371"/>
        <v>3</v>
      </c>
      <c r="K5845" t="s">
        <v>6698</v>
      </c>
      <c r="L5845" t="s">
        <v>6695</v>
      </c>
      <c r="O5845" t="s">
        <v>6694</v>
      </c>
      <c r="S5845" t="s">
        <v>6694</v>
      </c>
      <c r="W5845" t="s">
        <v>6720</v>
      </c>
    </row>
    <row r="5846" spans="1:23" ht="15.6" x14ac:dyDescent="0.4">
      <c r="A5846" s="2" t="s">
        <v>4748</v>
      </c>
      <c r="B5846" s="5" t="s">
        <v>11835</v>
      </c>
      <c r="C5846" s="7" t="s">
        <v>12556</v>
      </c>
      <c r="D5846" s="8">
        <f t="shared" si="368"/>
        <v>0</v>
      </c>
      <c r="E5846" s="7" t="s">
        <v>12557</v>
      </c>
      <c r="F5846" s="7">
        <f t="shared" si="369"/>
        <v>0</v>
      </c>
      <c r="G5846" s="7" t="s">
        <v>12558</v>
      </c>
      <c r="H5846" s="7">
        <f t="shared" si="370"/>
        <v>0</v>
      </c>
      <c r="I5846" s="7" t="str" cm="1">
        <f t="array" ref="I5846">IFERROR(_xlfn.IFS(M5846="נח",1,M5846="נע ונח",1,M5846="שני שווא נח",2,M5846="שני שוואים בסוף מילה",2,M5846="שני שוואים ברצף",1),"0")</f>
        <v>0</v>
      </c>
      <c r="J5846" s="9">
        <f t="shared" si="371"/>
        <v>2</v>
      </c>
      <c r="K5846" t="s">
        <v>6698</v>
      </c>
      <c r="L5846" t="s">
        <v>6695</v>
      </c>
      <c r="O5846" t="s">
        <v>6694</v>
      </c>
      <c r="P5846" t="s">
        <v>6694</v>
      </c>
      <c r="W5846" t="s">
        <v>6720</v>
      </c>
    </row>
    <row r="5847" spans="1:23" ht="15.6" x14ac:dyDescent="0.4">
      <c r="A5847" s="2" t="s">
        <v>6339</v>
      </c>
      <c r="B5847" s="5" t="s">
        <v>11836</v>
      </c>
      <c r="C5847" s="7" t="s">
        <v>12556</v>
      </c>
      <c r="D5847" s="8">
        <f t="shared" si="368"/>
        <v>0</v>
      </c>
      <c r="E5847" s="7" t="s">
        <v>12557</v>
      </c>
      <c r="F5847" s="7">
        <f t="shared" si="369"/>
        <v>1</v>
      </c>
      <c r="G5847" s="7" t="s">
        <v>12558</v>
      </c>
      <c r="H5847" s="7">
        <f t="shared" si="370"/>
        <v>1</v>
      </c>
      <c r="I5847" s="7" cm="1">
        <f t="array" ref="I5847">IFERROR(_xlfn.IFS(M5847="נח",1,M5847="נע ונח",1,M5847="שני שווא נח",2,M5847="שני שוואים בסוף מילה",2,M5847="שני שוואים ברצף",1),"0")</f>
        <v>1</v>
      </c>
      <c r="J5847" s="9">
        <f t="shared" si="371"/>
        <v>3</v>
      </c>
      <c r="K5847" t="s">
        <v>6697</v>
      </c>
      <c r="L5847" t="s">
        <v>6694</v>
      </c>
      <c r="M5847" t="s">
        <v>6705</v>
      </c>
      <c r="N5847" t="s">
        <v>6706</v>
      </c>
      <c r="O5847" t="s">
        <v>6694</v>
      </c>
      <c r="Q5847" t="s">
        <v>6694</v>
      </c>
      <c r="U5847" t="s">
        <v>6694</v>
      </c>
      <c r="W5847" t="s">
        <v>6720</v>
      </c>
    </row>
    <row r="5848" spans="1:23" ht="15.6" x14ac:dyDescent="0.4">
      <c r="A5848" s="2" t="s">
        <v>3840</v>
      </c>
      <c r="B5848" s="5" t="s">
        <v>11801</v>
      </c>
      <c r="C5848" s="7" t="s">
        <v>12556</v>
      </c>
      <c r="D5848" s="8">
        <f t="shared" si="368"/>
        <v>0</v>
      </c>
      <c r="E5848" s="7" t="s">
        <v>12557</v>
      </c>
      <c r="F5848" s="7">
        <f t="shared" si="369"/>
        <v>1</v>
      </c>
      <c r="G5848" s="7" t="s">
        <v>12558</v>
      </c>
      <c r="H5848" s="7">
        <f t="shared" si="370"/>
        <v>1</v>
      </c>
      <c r="I5848" s="7" cm="1">
        <f t="array" ref="I5848">IFERROR(_xlfn.IFS(M5848="נח",1,M5848="נע ונח",1,M5848="שני שווא נח",2,M5848="שני שוואים בסוף מילה",2,M5848="שני שוואים ברצף",1),"0")</f>
        <v>1</v>
      </c>
      <c r="J5848" s="9">
        <f t="shared" si="371"/>
        <v>2</v>
      </c>
      <c r="K5848" t="s">
        <v>6697</v>
      </c>
      <c r="L5848" t="s">
        <v>6694</v>
      </c>
      <c r="M5848" t="s">
        <v>6705</v>
      </c>
      <c r="N5848" t="s">
        <v>6706</v>
      </c>
      <c r="O5848" t="s">
        <v>6694</v>
      </c>
      <c r="U5848" t="s">
        <v>6694</v>
      </c>
      <c r="W5848" t="s">
        <v>6720</v>
      </c>
    </row>
    <row r="5849" spans="1:23" ht="15.6" x14ac:dyDescent="0.4">
      <c r="A5849" s="2" t="s">
        <v>4617</v>
      </c>
      <c r="B5849" s="5" t="s">
        <v>11837</v>
      </c>
      <c r="C5849" s="7" t="s">
        <v>12556</v>
      </c>
      <c r="D5849" s="8">
        <f t="shared" si="368"/>
        <v>0</v>
      </c>
      <c r="E5849" s="7" t="s">
        <v>12557</v>
      </c>
      <c r="F5849" s="7">
        <f t="shared" si="369"/>
        <v>0</v>
      </c>
      <c r="G5849" s="7" t="s">
        <v>12558</v>
      </c>
      <c r="H5849" s="7">
        <f t="shared" si="370"/>
        <v>0</v>
      </c>
      <c r="I5849" s="7" cm="1">
        <f t="array" ref="I5849">IFERROR(_xlfn.IFS(M5849="נח",1,M5849="נע ונח",1,M5849="שני שווא נח",2,M5849="שני שוואים בסוף מילה",2,M5849="שני שוואים ברצף",1),"0")</f>
        <v>1</v>
      </c>
      <c r="J5849" s="9">
        <f t="shared" si="371"/>
        <v>2</v>
      </c>
      <c r="K5849" t="s">
        <v>6697</v>
      </c>
      <c r="L5849" t="s">
        <v>6694</v>
      </c>
      <c r="M5849" t="s">
        <v>6705</v>
      </c>
      <c r="N5849" t="s">
        <v>6706</v>
      </c>
      <c r="O5849" t="s">
        <v>6694</v>
      </c>
      <c r="W5849" t="s">
        <v>6720</v>
      </c>
    </row>
    <row r="5850" spans="1:23" ht="15.6" x14ac:dyDescent="0.4">
      <c r="A5850" s="2" t="s">
        <v>2077</v>
      </c>
      <c r="B5850" s="5" t="s">
        <v>11838</v>
      </c>
      <c r="C5850" s="7" t="s">
        <v>12556</v>
      </c>
      <c r="D5850" s="8">
        <f t="shared" si="368"/>
        <v>0</v>
      </c>
      <c r="E5850" s="7" t="s">
        <v>12557</v>
      </c>
      <c r="F5850" s="7">
        <f t="shared" si="369"/>
        <v>1</v>
      </c>
      <c r="G5850" s="7" t="s">
        <v>12558</v>
      </c>
      <c r="H5850" s="7">
        <f t="shared" si="370"/>
        <v>1</v>
      </c>
      <c r="I5850" s="7" cm="1">
        <f t="array" ref="I5850">IFERROR(_xlfn.IFS(M5850="נח",1,M5850="נע ונח",1,M5850="שני שווא נח",2,M5850="שני שוואים בסוף מילה",2,M5850="שני שוואים ברצף",1),"0")</f>
        <v>1</v>
      </c>
      <c r="J5850" s="9">
        <f t="shared" si="371"/>
        <v>2</v>
      </c>
      <c r="K5850" t="s">
        <v>6697</v>
      </c>
      <c r="L5850" t="s">
        <v>6694</v>
      </c>
      <c r="M5850" t="s">
        <v>6705</v>
      </c>
      <c r="N5850" t="s">
        <v>6706</v>
      </c>
      <c r="O5850" t="s">
        <v>6694</v>
      </c>
      <c r="U5850" t="s">
        <v>6694</v>
      </c>
      <c r="W5850" t="s">
        <v>6720</v>
      </c>
    </row>
    <row r="5851" spans="1:23" ht="15.6" x14ac:dyDescent="0.4">
      <c r="A5851" s="2" t="s">
        <v>6506</v>
      </c>
      <c r="B5851" s="5" t="s">
        <v>11807</v>
      </c>
      <c r="C5851" s="7" t="s">
        <v>12556</v>
      </c>
      <c r="D5851" s="8">
        <f t="shared" si="368"/>
        <v>0</v>
      </c>
      <c r="E5851" s="7" t="s">
        <v>12557</v>
      </c>
      <c r="F5851" s="7">
        <f t="shared" si="369"/>
        <v>0</v>
      </c>
      <c r="G5851" s="7" t="s">
        <v>12558</v>
      </c>
      <c r="H5851" s="7">
        <f t="shared" si="370"/>
        <v>0</v>
      </c>
      <c r="I5851" s="7" t="str" cm="1">
        <f t="array" ref="I5851">IFERROR(_xlfn.IFS(M5851="נח",1,M5851="נע ונח",1,M5851="שני שווא נח",2,M5851="שני שוואים בסוף מילה",2,M5851="שני שוואים ברצף",1),"0")</f>
        <v>0</v>
      </c>
      <c r="J5851" s="9">
        <f t="shared" si="371"/>
        <v>2</v>
      </c>
      <c r="K5851" t="s">
        <v>6698</v>
      </c>
      <c r="L5851" t="s">
        <v>6695</v>
      </c>
      <c r="O5851" t="s">
        <v>6694</v>
      </c>
      <c r="R5851" t="s">
        <v>6694</v>
      </c>
      <c r="W5851" t="s">
        <v>6720</v>
      </c>
    </row>
    <row r="5852" spans="1:23" ht="15.6" x14ac:dyDescent="0.4">
      <c r="A5852" s="2" t="s">
        <v>2751</v>
      </c>
      <c r="B5852" s="5" t="s">
        <v>11839</v>
      </c>
      <c r="C5852" s="7" t="s">
        <v>12556</v>
      </c>
      <c r="D5852" s="8">
        <f t="shared" si="368"/>
        <v>0</v>
      </c>
      <c r="E5852" s="7" t="s">
        <v>12557</v>
      </c>
      <c r="F5852" s="7">
        <f t="shared" si="369"/>
        <v>0</v>
      </c>
      <c r="G5852" s="7" t="s">
        <v>12558</v>
      </c>
      <c r="H5852" s="7">
        <f t="shared" si="370"/>
        <v>0</v>
      </c>
      <c r="I5852" s="7" t="str" cm="1">
        <f t="array" ref="I5852">IFERROR(_xlfn.IFS(M5852="נח",1,M5852="נע ונח",1,M5852="שני שווא נח",2,M5852="שני שוואים בסוף מילה",2,M5852="שני שוואים ברצף",1),"0")</f>
        <v>0</v>
      </c>
      <c r="J5852" s="9">
        <f t="shared" si="371"/>
        <v>2</v>
      </c>
      <c r="K5852" t="s">
        <v>6697</v>
      </c>
      <c r="L5852" t="s">
        <v>6695</v>
      </c>
      <c r="O5852" t="s">
        <v>6694</v>
      </c>
      <c r="W5852" t="s">
        <v>6720</v>
      </c>
    </row>
    <row r="5853" spans="1:23" ht="15.6" x14ac:dyDescent="0.4">
      <c r="A5853" s="2" t="s">
        <v>6325</v>
      </c>
      <c r="B5853" s="5" t="s">
        <v>11801</v>
      </c>
      <c r="C5853" s="7" t="s">
        <v>12556</v>
      </c>
      <c r="D5853" s="8">
        <f t="shared" si="368"/>
        <v>0</v>
      </c>
      <c r="E5853" s="7" t="s">
        <v>12557</v>
      </c>
      <c r="F5853" s="7">
        <f t="shared" si="369"/>
        <v>1</v>
      </c>
      <c r="G5853" s="7" t="s">
        <v>12558</v>
      </c>
      <c r="H5853" s="7">
        <f t="shared" si="370"/>
        <v>1</v>
      </c>
      <c r="I5853" s="7" t="str" cm="1">
        <f t="array" ref="I5853">IFERROR(_xlfn.IFS(M5853="נח",1,M5853="נע ונח",1,M5853="שני שווא נח",2,M5853="שני שוואים בסוף מילה",2,M5853="שני שוואים ברצף",1),"0")</f>
        <v>0</v>
      </c>
      <c r="J5853" s="9">
        <f t="shared" si="371"/>
        <v>3</v>
      </c>
      <c r="K5853" t="s">
        <v>6697</v>
      </c>
      <c r="L5853" t="s">
        <v>6695</v>
      </c>
      <c r="O5853" t="s">
        <v>6694</v>
      </c>
      <c r="U5853" t="s">
        <v>6694</v>
      </c>
      <c r="W5853" t="s">
        <v>6720</v>
      </c>
    </row>
    <row r="5854" spans="1:23" ht="15.6" x14ac:dyDescent="0.4">
      <c r="A5854" s="2" t="s">
        <v>1705</v>
      </c>
      <c r="B5854" s="5" t="s">
        <v>11840</v>
      </c>
      <c r="C5854" s="7" t="s">
        <v>12556</v>
      </c>
      <c r="D5854" s="8">
        <f t="shared" si="368"/>
        <v>0</v>
      </c>
      <c r="E5854" s="7" t="s">
        <v>12557</v>
      </c>
      <c r="F5854" s="7">
        <f t="shared" si="369"/>
        <v>0</v>
      </c>
      <c r="G5854" s="7" t="s">
        <v>12558</v>
      </c>
      <c r="H5854" s="7">
        <f t="shared" si="370"/>
        <v>0</v>
      </c>
      <c r="I5854" s="7" t="str" cm="1">
        <f t="array" ref="I5854">IFERROR(_xlfn.IFS(M5854="נח",1,M5854="נע ונח",1,M5854="שני שווא נח",2,M5854="שני שוואים בסוף מילה",2,M5854="שני שוואים ברצף",1),"0")</f>
        <v>0</v>
      </c>
      <c r="J5854" s="9">
        <f t="shared" si="371"/>
        <v>3</v>
      </c>
      <c r="K5854" t="s">
        <v>6697</v>
      </c>
      <c r="L5854" t="s">
        <v>6695</v>
      </c>
      <c r="O5854" t="s">
        <v>6694</v>
      </c>
      <c r="S5854" t="s">
        <v>6694</v>
      </c>
      <c r="W5854" t="s">
        <v>6720</v>
      </c>
    </row>
    <row r="5855" spans="1:23" ht="15.6" x14ac:dyDescent="0.4">
      <c r="A5855" s="2" t="s">
        <v>4853</v>
      </c>
      <c r="B5855" s="5" t="s">
        <v>11841</v>
      </c>
      <c r="C5855" s="7" t="s">
        <v>12556</v>
      </c>
      <c r="D5855" s="8">
        <f t="shared" si="368"/>
        <v>0</v>
      </c>
      <c r="E5855" s="7" t="s">
        <v>12557</v>
      </c>
      <c r="F5855" s="7">
        <f t="shared" si="369"/>
        <v>0</v>
      </c>
      <c r="G5855" s="7" t="s">
        <v>12558</v>
      </c>
      <c r="H5855" s="7">
        <f t="shared" si="370"/>
        <v>0</v>
      </c>
      <c r="I5855" s="7" t="str" cm="1">
        <f t="array" ref="I5855">IFERROR(_xlfn.IFS(M5855="נח",1,M5855="נע ונח",1,M5855="שני שווא נח",2,M5855="שני שוואים בסוף מילה",2,M5855="שני שוואים ברצף",1),"0")</f>
        <v>0</v>
      </c>
      <c r="J5855" s="9">
        <f t="shared" si="371"/>
        <v>3</v>
      </c>
      <c r="K5855" t="s">
        <v>6698</v>
      </c>
      <c r="L5855" t="s">
        <v>6695</v>
      </c>
      <c r="O5855" t="s">
        <v>6694</v>
      </c>
      <c r="W5855" t="s">
        <v>6720</v>
      </c>
    </row>
    <row r="5856" spans="1:23" ht="15.6" x14ac:dyDescent="0.4">
      <c r="A5856" s="2" t="s">
        <v>1394</v>
      </c>
      <c r="B5856" s="5" t="s">
        <v>11842</v>
      </c>
      <c r="C5856" s="7" t="s">
        <v>12556</v>
      </c>
      <c r="D5856" s="8">
        <f t="shared" si="368"/>
        <v>0</v>
      </c>
      <c r="E5856" s="7" t="s">
        <v>12557</v>
      </c>
      <c r="F5856" s="7">
        <f t="shared" si="369"/>
        <v>0</v>
      </c>
      <c r="G5856" s="7" t="s">
        <v>12558</v>
      </c>
      <c r="H5856" s="7">
        <f t="shared" si="370"/>
        <v>0</v>
      </c>
      <c r="I5856" s="7" t="str" cm="1">
        <f t="array" ref="I5856">IFERROR(_xlfn.IFS(M5856="נח",1,M5856="נע ונח",1,M5856="שני שווא נח",2,M5856="שני שוואים בסוף מילה",2,M5856="שני שוואים ברצף",1),"0")</f>
        <v>0</v>
      </c>
      <c r="J5856" s="9">
        <f t="shared" si="371"/>
        <v>3</v>
      </c>
      <c r="K5856" t="s">
        <v>6697</v>
      </c>
      <c r="L5856" t="s">
        <v>6695</v>
      </c>
      <c r="O5856" t="s">
        <v>6694</v>
      </c>
      <c r="V5856" t="s">
        <v>6694</v>
      </c>
      <c r="W5856" t="s">
        <v>6720</v>
      </c>
    </row>
    <row r="5857" spans="1:23" ht="15.6" x14ac:dyDescent="0.4">
      <c r="A5857" s="2" t="s">
        <v>4939</v>
      </c>
      <c r="B5857" s="5" t="s">
        <v>11843</v>
      </c>
      <c r="C5857" s="7" t="s">
        <v>12556</v>
      </c>
      <c r="D5857" s="8">
        <f t="shared" si="368"/>
        <v>0</v>
      </c>
      <c r="E5857" s="7" t="s">
        <v>12557</v>
      </c>
      <c r="F5857" s="7">
        <f t="shared" si="369"/>
        <v>0</v>
      </c>
      <c r="G5857" s="7" t="s">
        <v>12558</v>
      </c>
      <c r="H5857" s="7">
        <f t="shared" si="370"/>
        <v>0</v>
      </c>
      <c r="I5857" s="7" t="str" cm="1">
        <f t="array" ref="I5857">IFERROR(_xlfn.IFS(M5857="נח",1,M5857="נע ונח",1,M5857="שני שווא נח",2,M5857="שני שוואים בסוף מילה",2,M5857="שני שוואים ברצף",1),"0")</f>
        <v>0</v>
      </c>
      <c r="J5857" s="9">
        <f t="shared" si="371"/>
        <v>2</v>
      </c>
      <c r="K5857" t="s">
        <v>6698</v>
      </c>
      <c r="L5857" t="s">
        <v>6695</v>
      </c>
      <c r="O5857" t="s">
        <v>6694</v>
      </c>
      <c r="V5857" t="s">
        <v>6694</v>
      </c>
      <c r="W5857" t="s">
        <v>6720</v>
      </c>
    </row>
    <row r="5858" spans="1:23" ht="15.6" x14ac:dyDescent="0.4">
      <c r="A5858" s="2" t="s">
        <v>4693</v>
      </c>
      <c r="B5858" s="5" t="s">
        <v>11808</v>
      </c>
      <c r="C5858" s="7" t="s">
        <v>12556</v>
      </c>
      <c r="D5858" s="8">
        <f t="shared" si="368"/>
        <v>1</v>
      </c>
      <c r="E5858" s="7" t="s">
        <v>12557</v>
      </c>
      <c r="F5858" s="7">
        <f t="shared" si="369"/>
        <v>0</v>
      </c>
      <c r="G5858" s="7" t="s">
        <v>12558</v>
      </c>
      <c r="H5858" s="7">
        <f t="shared" si="370"/>
        <v>0</v>
      </c>
      <c r="I5858" s="7" t="str" cm="1">
        <f t="array" ref="I5858">IFERROR(_xlfn.IFS(M5858="נח",1,M5858="נע ונח",1,M5858="שני שווא נח",2,M5858="שני שוואים בסוף מילה",2,M5858="שני שוואים ברצף",1),"0")</f>
        <v>0</v>
      </c>
      <c r="J5858" s="9">
        <f t="shared" si="371"/>
        <v>2</v>
      </c>
      <c r="K5858" t="s">
        <v>6698</v>
      </c>
      <c r="L5858" t="s">
        <v>6695</v>
      </c>
      <c r="O5858" t="s">
        <v>6694</v>
      </c>
      <c r="R5858" t="s">
        <v>6694</v>
      </c>
      <c r="W5858" t="s">
        <v>6720</v>
      </c>
    </row>
    <row r="5859" spans="1:23" ht="15.6" x14ac:dyDescent="0.4">
      <c r="A5859" s="2" t="s">
        <v>4242</v>
      </c>
      <c r="B5859" s="5" t="s">
        <v>11844</v>
      </c>
      <c r="C5859" s="7" t="s">
        <v>12556</v>
      </c>
      <c r="D5859" s="8">
        <f t="shared" si="368"/>
        <v>1</v>
      </c>
      <c r="E5859" s="7" t="s">
        <v>12557</v>
      </c>
      <c r="F5859" s="7">
        <f t="shared" si="369"/>
        <v>0</v>
      </c>
      <c r="G5859" s="7" t="s">
        <v>12558</v>
      </c>
      <c r="H5859" s="7">
        <f t="shared" si="370"/>
        <v>0</v>
      </c>
      <c r="I5859" s="7" t="str" cm="1">
        <f t="array" ref="I5859">IFERROR(_xlfn.IFS(M5859="נח",1,M5859="נע ונח",1,M5859="שני שווא נח",2,M5859="שני שוואים בסוף מילה",2,M5859="שני שוואים ברצף",1),"0")</f>
        <v>0</v>
      </c>
      <c r="J5859" s="9">
        <f t="shared" si="371"/>
        <v>2</v>
      </c>
      <c r="K5859" t="s">
        <v>6697</v>
      </c>
      <c r="L5859" t="s">
        <v>6695</v>
      </c>
      <c r="O5859" t="s">
        <v>6694</v>
      </c>
      <c r="W5859" t="s">
        <v>6720</v>
      </c>
    </row>
    <row r="5860" spans="1:23" ht="15.6" x14ac:dyDescent="0.4">
      <c r="A5860" s="2" t="s">
        <v>1008</v>
      </c>
      <c r="B5860" s="5" t="s">
        <v>11845</v>
      </c>
      <c r="C5860" s="7" t="s">
        <v>12556</v>
      </c>
      <c r="D5860" s="8">
        <f t="shared" si="368"/>
        <v>0</v>
      </c>
      <c r="E5860" s="7" t="s">
        <v>12557</v>
      </c>
      <c r="F5860" s="7">
        <f t="shared" si="369"/>
        <v>0</v>
      </c>
      <c r="G5860" s="7" t="s">
        <v>12558</v>
      </c>
      <c r="H5860" s="7">
        <f t="shared" si="370"/>
        <v>0</v>
      </c>
      <c r="I5860" s="7" t="str" cm="1">
        <f t="array" ref="I5860">IFERROR(_xlfn.IFS(M5860="נח",1,M5860="נע ונח",1,M5860="שני שווא נח",2,M5860="שני שוואים בסוף מילה",2,M5860="שני שוואים ברצף",1),"0")</f>
        <v>0</v>
      </c>
      <c r="J5860" s="9">
        <f t="shared" si="371"/>
        <v>2</v>
      </c>
      <c r="K5860" t="s">
        <v>6698</v>
      </c>
      <c r="L5860" t="s">
        <v>6695</v>
      </c>
      <c r="Q5860" t="s">
        <v>6694</v>
      </c>
      <c r="V5860" t="s">
        <v>6694</v>
      </c>
      <c r="W5860" t="s">
        <v>6720</v>
      </c>
    </row>
    <row r="5861" spans="1:23" ht="15.6" x14ac:dyDescent="0.4">
      <c r="A5861" s="2" t="s">
        <v>2192</v>
      </c>
      <c r="B5861" s="5" t="s">
        <v>11772</v>
      </c>
      <c r="C5861" s="7" t="s">
        <v>12556</v>
      </c>
      <c r="D5861" s="8">
        <f t="shared" si="368"/>
        <v>1</v>
      </c>
      <c r="E5861" s="7" t="s">
        <v>12557</v>
      </c>
      <c r="F5861" s="7">
        <f t="shared" si="369"/>
        <v>0</v>
      </c>
      <c r="G5861" s="7" t="s">
        <v>12558</v>
      </c>
      <c r="H5861" s="7">
        <f t="shared" si="370"/>
        <v>0</v>
      </c>
      <c r="I5861" s="7" t="str" cm="1">
        <f t="array" ref="I5861">IFERROR(_xlfn.IFS(M5861="נח",1,M5861="נע ונח",1,M5861="שני שווא נח",2,M5861="שני שוואים בסוף מילה",2,M5861="שני שוואים ברצף",1),"0")</f>
        <v>0</v>
      </c>
      <c r="J5861" s="9">
        <f t="shared" si="371"/>
        <v>2</v>
      </c>
      <c r="K5861" t="s">
        <v>6698</v>
      </c>
      <c r="L5861" t="s">
        <v>6695</v>
      </c>
      <c r="R5861" t="s">
        <v>6694</v>
      </c>
      <c r="V5861" t="s">
        <v>6694</v>
      </c>
      <c r="W5861" t="s">
        <v>6720</v>
      </c>
    </row>
    <row r="5862" spans="1:23" ht="15.6" x14ac:dyDescent="0.4">
      <c r="A5862" s="2" t="s">
        <v>1999</v>
      </c>
      <c r="B5862" s="5" t="s">
        <v>11846</v>
      </c>
      <c r="C5862" s="7" t="s">
        <v>12556</v>
      </c>
      <c r="D5862" s="8">
        <f t="shared" si="368"/>
        <v>0</v>
      </c>
      <c r="E5862" s="7" t="s">
        <v>12557</v>
      </c>
      <c r="F5862" s="7">
        <f t="shared" si="369"/>
        <v>0</v>
      </c>
      <c r="G5862" s="7" t="s">
        <v>12558</v>
      </c>
      <c r="H5862" s="7">
        <f t="shared" si="370"/>
        <v>0</v>
      </c>
      <c r="I5862" s="7" t="str" cm="1">
        <f t="array" ref="I5862">IFERROR(_xlfn.IFS(M5862="נח",1,M5862="נע ונח",1,M5862="שני שווא נח",2,M5862="שני שוואים בסוף מילה",2,M5862="שני שוואים ברצף",1),"0")</f>
        <v>0</v>
      </c>
      <c r="J5862" s="9">
        <f t="shared" si="371"/>
        <v>2</v>
      </c>
      <c r="K5862" t="s">
        <v>6697</v>
      </c>
      <c r="L5862" t="s">
        <v>6695</v>
      </c>
      <c r="V5862" t="s">
        <v>6694</v>
      </c>
      <c r="W5862" t="s">
        <v>6720</v>
      </c>
    </row>
    <row r="5863" spans="1:23" ht="15.6" x14ac:dyDescent="0.4">
      <c r="A5863" s="2" t="s">
        <v>2246</v>
      </c>
      <c r="B5863" s="5" t="s">
        <v>11847</v>
      </c>
      <c r="C5863" s="7" t="s">
        <v>12556</v>
      </c>
      <c r="D5863" s="8">
        <f t="shared" si="368"/>
        <v>0</v>
      </c>
      <c r="E5863" s="7" t="s">
        <v>12557</v>
      </c>
      <c r="F5863" s="7">
        <f t="shared" si="369"/>
        <v>0</v>
      </c>
      <c r="G5863" s="7" t="s">
        <v>12558</v>
      </c>
      <c r="H5863" s="7">
        <f t="shared" si="370"/>
        <v>0</v>
      </c>
      <c r="I5863" s="7" t="str" cm="1">
        <f t="array" ref="I5863">IFERROR(_xlfn.IFS(M5863="נח",1,M5863="נע ונח",1,M5863="שני שווא נח",2,M5863="שני שוואים בסוף מילה",2,M5863="שני שוואים ברצף",1),"0")</f>
        <v>0</v>
      </c>
      <c r="J5863" s="9">
        <f t="shared" si="371"/>
        <v>2</v>
      </c>
      <c r="K5863" t="s">
        <v>6698</v>
      </c>
      <c r="L5863" t="s">
        <v>6695</v>
      </c>
      <c r="S5863" t="s">
        <v>6694</v>
      </c>
      <c r="V5863" t="s">
        <v>6694</v>
      </c>
      <c r="W5863" t="s">
        <v>6720</v>
      </c>
    </row>
    <row r="5864" spans="1:23" ht="15.6" x14ac:dyDescent="0.4">
      <c r="A5864" s="2" t="s">
        <v>3002</v>
      </c>
      <c r="B5864" s="5" t="s">
        <v>11848</v>
      </c>
      <c r="C5864" s="7" t="s">
        <v>12556</v>
      </c>
      <c r="D5864" s="8">
        <f t="shared" si="368"/>
        <v>0</v>
      </c>
      <c r="E5864" s="7" t="s">
        <v>12557</v>
      </c>
      <c r="F5864" s="7">
        <f t="shared" si="369"/>
        <v>0</v>
      </c>
      <c r="G5864" s="7" t="s">
        <v>12558</v>
      </c>
      <c r="H5864" s="7">
        <f t="shared" si="370"/>
        <v>0</v>
      </c>
      <c r="I5864" s="7" t="str" cm="1">
        <f t="array" ref="I5864">IFERROR(_xlfn.IFS(M5864="נח",1,M5864="נע ונח",1,M5864="שני שווא נח",2,M5864="שני שוואים בסוף מילה",2,M5864="שני שוואים ברצף",1),"0")</f>
        <v>0</v>
      </c>
      <c r="J5864" s="9">
        <f t="shared" si="371"/>
        <v>2</v>
      </c>
      <c r="K5864" t="s">
        <v>6698</v>
      </c>
      <c r="L5864" t="s">
        <v>6695</v>
      </c>
      <c r="P5864" t="s">
        <v>6694</v>
      </c>
      <c r="V5864" t="s">
        <v>6694</v>
      </c>
      <c r="W5864" t="s">
        <v>6720</v>
      </c>
    </row>
    <row r="5865" spans="1:23" ht="15.6" x14ac:dyDescent="0.4">
      <c r="A5865" s="2" t="s">
        <v>4247</v>
      </c>
      <c r="B5865" s="5" t="s">
        <v>11849</v>
      </c>
      <c r="C5865" s="7" t="s">
        <v>12556</v>
      </c>
      <c r="D5865" s="8">
        <f t="shared" si="368"/>
        <v>1</v>
      </c>
      <c r="E5865" s="7" t="s">
        <v>12557</v>
      </c>
      <c r="F5865" s="7">
        <f t="shared" si="369"/>
        <v>0</v>
      </c>
      <c r="G5865" s="7" t="s">
        <v>12558</v>
      </c>
      <c r="H5865" s="7">
        <f t="shared" si="370"/>
        <v>0</v>
      </c>
      <c r="I5865" s="7" t="str" cm="1">
        <f t="array" ref="I5865">IFERROR(_xlfn.IFS(M5865="נח",1,M5865="נע ונח",1,M5865="שני שווא נח",2,M5865="שני שוואים בסוף מילה",2,M5865="שני שוואים ברצף",1),"0")</f>
        <v>0</v>
      </c>
      <c r="J5865" s="9">
        <f t="shared" si="371"/>
        <v>2</v>
      </c>
      <c r="K5865" t="s">
        <v>6698</v>
      </c>
      <c r="L5865" t="s">
        <v>6695</v>
      </c>
      <c r="R5865" t="s">
        <v>6694</v>
      </c>
      <c r="V5865" t="s">
        <v>6694</v>
      </c>
      <c r="W5865" t="s">
        <v>6720</v>
      </c>
    </row>
    <row r="5866" spans="1:23" ht="15.6" x14ac:dyDescent="0.4">
      <c r="A5866" s="2" t="s">
        <v>3465</v>
      </c>
      <c r="B5866" s="5" t="s">
        <v>11792</v>
      </c>
      <c r="C5866" s="7" t="s">
        <v>12556</v>
      </c>
      <c r="D5866" s="8">
        <f t="shared" si="368"/>
        <v>0</v>
      </c>
      <c r="E5866" s="7" t="s">
        <v>12557</v>
      </c>
      <c r="F5866" s="7">
        <f t="shared" si="369"/>
        <v>2</v>
      </c>
      <c r="G5866" s="7" t="s">
        <v>12558</v>
      </c>
      <c r="H5866" s="7">
        <f t="shared" si="370"/>
        <v>1</v>
      </c>
      <c r="I5866" s="7" t="str" cm="1">
        <f t="array" ref="I5866">IFERROR(_xlfn.IFS(M5866="נח",1,M5866="נע ונח",1,M5866="שני שווא נח",2,M5866="שני שוואים בסוף מילה",2,M5866="שני שוואים ברצף",1),"0")</f>
        <v>0</v>
      </c>
      <c r="J5866" s="9">
        <f t="shared" si="371"/>
        <v>4</v>
      </c>
      <c r="K5866" t="s">
        <v>6697</v>
      </c>
      <c r="L5866" t="s">
        <v>6695</v>
      </c>
      <c r="S5866" t="s">
        <v>6694</v>
      </c>
      <c r="U5866" t="s">
        <v>6694</v>
      </c>
      <c r="W5866" t="s">
        <v>6720</v>
      </c>
    </row>
    <row r="5867" spans="1:23" ht="15.6" x14ac:dyDescent="0.4">
      <c r="A5867" s="2" t="s">
        <v>5632</v>
      </c>
      <c r="B5867" s="5" t="s">
        <v>11806</v>
      </c>
      <c r="C5867" s="7" t="s">
        <v>12556</v>
      </c>
      <c r="D5867" s="8">
        <f t="shared" si="368"/>
        <v>0</v>
      </c>
      <c r="E5867" s="7" t="s">
        <v>12557</v>
      </c>
      <c r="F5867" s="7">
        <f t="shared" si="369"/>
        <v>1</v>
      </c>
      <c r="G5867" s="7" t="s">
        <v>12558</v>
      </c>
      <c r="H5867" s="7">
        <f t="shared" si="370"/>
        <v>0</v>
      </c>
      <c r="I5867" s="7" t="str" cm="1">
        <f t="array" ref="I5867">IFERROR(_xlfn.IFS(M5867="נח",1,M5867="נע ונח",1,M5867="שני שווא נח",2,M5867="שני שוואים בסוף מילה",2,M5867="שני שוואים ברצף",1),"0")</f>
        <v>0</v>
      </c>
      <c r="J5867" s="9">
        <f t="shared" si="371"/>
        <v>2</v>
      </c>
      <c r="K5867" t="s">
        <v>6698</v>
      </c>
      <c r="L5867" t="s">
        <v>6695</v>
      </c>
      <c r="R5867" t="s">
        <v>6694</v>
      </c>
      <c r="W5867" t="s">
        <v>6720</v>
      </c>
    </row>
    <row r="5868" spans="1:23" ht="15.6" x14ac:dyDescent="0.4">
      <c r="A5868" s="2" t="s">
        <v>3314</v>
      </c>
      <c r="B5868" s="5" t="s">
        <v>11850</v>
      </c>
      <c r="C5868" s="7" t="s">
        <v>12556</v>
      </c>
      <c r="D5868" s="8">
        <f t="shared" si="368"/>
        <v>0</v>
      </c>
      <c r="E5868" s="7" t="s">
        <v>12557</v>
      </c>
      <c r="F5868" s="7">
        <f t="shared" si="369"/>
        <v>2</v>
      </c>
      <c r="G5868" s="7" t="s">
        <v>12558</v>
      </c>
      <c r="H5868" s="7">
        <f t="shared" si="370"/>
        <v>1</v>
      </c>
      <c r="I5868" s="7" cm="1">
        <f t="array" ref="I5868">IFERROR(_xlfn.IFS(M5868="נח",1,M5868="נע ונח",1,M5868="שני שווא נח",2,M5868="שני שוואים בסוף מילה",2,M5868="שני שוואים ברצף",1),"0")</f>
        <v>1</v>
      </c>
      <c r="J5868" s="9">
        <f t="shared" si="371"/>
        <v>2</v>
      </c>
      <c r="K5868" t="s">
        <v>6697</v>
      </c>
      <c r="L5868" t="s">
        <v>6694</v>
      </c>
      <c r="M5868" t="s">
        <v>6705</v>
      </c>
      <c r="P5868" t="s">
        <v>6694</v>
      </c>
      <c r="U5868" t="s">
        <v>6694</v>
      </c>
      <c r="W5868" t="s">
        <v>6720</v>
      </c>
    </row>
    <row r="5869" spans="1:23" ht="15.6" x14ac:dyDescent="0.4">
      <c r="A5869" s="2" t="s">
        <v>2590</v>
      </c>
      <c r="B5869" s="5" t="s">
        <v>11851</v>
      </c>
      <c r="C5869" s="7" t="s">
        <v>12556</v>
      </c>
      <c r="D5869" s="8">
        <f t="shared" si="368"/>
        <v>0</v>
      </c>
      <c r="E5869" s="7" t="s">
        <v>12557</v>
      </c>
      <c r="F5869" s="7">
        <f t="shared" si="369"/>
        <v>0</v>
      </c>
      <c r="G5869" s="7" t="s">
        <v>12558</v>
      </c>
      <c r="H5869" s="7">
        <f t="shared" si="370"/>
        <v>0</v>
      </c>
      <c r="I5869" s="7" t="str" cm="1">
        <f t="array" ref="I5869">IFERROR(_xlfn.IFS(M5869="נח",1,M5869="נע ונח",1,M5869="שני שווא נח",2,M5869="שני שוואים בסוף מילה",2,M5869="שני שוואים ברצף",1),"0")</f>
        <v>0</v>
      </c>
      <c r="J5869" s="9">
        <f t="shared" si="371"/>
        <v>3</v>
      </c>
      <c r="K5869" t="s">
        <v>6697</v>
      </c>
      <c r="L5869" t="s">
        <v>6695</v>
      </c>
      <c r="O5869" t="s">
        <v>6694</v>
      </c>
      <c r="R5869" t="s">
        <v>6694</v>
      </c>
      <c r="V5869" t="s">
        <v>6694</v>
      </c>
      <c r="W5869" t="s">
        <v>6720</v>
      </c>
    </row>
    <row r="5870" spans="1:23" ht="15.6" x14ac:dyDescent="0.4">
      <c r="A5870" s="2" t="s">
        <v>6623</v>
      </c>
      <c r="B5870" s="5" t="s">
        <v>11852</v>
      </c>
      <c r="C5870" s="7" t="s">
        <v>12556</v>
      </c>
      <c r="D5870" s="8">
        <f t="shared" si="368"/>
        <v>0</v>
      </c>
      <c r="E5870" s="7" t="s">
        <v>12557</v>
      </c>
      <c r="F5870" s="7">
        <f t="shared" si="369"/>
        <v>0</v>
      </c>
      <c r="G5870" s="7" t="s">
        <v>12558</v>
      </c>
      <c r="H5870" s="7">
        <f t="shared" si="370"/>
        <v>0</v>
      </c>
      <c r="I5870" s="7" t="str" cm="1">
        <f t="array" ref="I5870">IFERROR(_xlfn.IFS(M5870="נח",1,M5870="נע ונח",1,M5870="שני שווא נח",2,M5870="שני שוואים בסוף מילה",2,M5870="שני שוואים ברצף",1),"0")</f>
        <v>0</v>
      </c>
      <c r="J5870" s="9">
        <f t="shared" si="371"/>
        <v>2</v>
      </c>
      <c r="K5870" t="s">
        <v>6698</v>
      </c>
      <c r="L5870" t="s">
        <v>6695</v>
      </c>
      <c r="Q5870" t="s">
        <v>6694</v>
      </c>
      <c r="V5870" t="s">
        <v>6694</v>
      </c>
      <c r="W5870" t="s">
        <v>6720</v>
      </c>
    </row>
    <row r="5871" spans="1:23" ht="15.6" x14ac:dyDescent="0.4">
      <c r="A5871" s="2" t="s">
        <v>646</v>
      </c>
      <c r="B5871" s="5" t="s">
        <v>11853</v>
      </c>
      <c r="C5871" s="7" t="s">
        <v>12556</v>
      </c>
      <c r="D5871" s="8">
        <f t="shared" si="368"/>
        <v>0</v>
      </c>
      <c r="E5871" s="7" t="s">
        <v>12557</v>
      </c>
      <c r="F5871" s="7">
        <f t="shared" si="369"/>
        <v>0</v>
      </c>
      <c r="G5871" s="7" t="s">
        <v>12558</v>
      </c>
      <c r="H5871" s="7">
        <f t="shared" si="370"/>
        <v>0</v>
      </c>
      <c r="I5871" s="7" t="str" cm="1">
        <f t="array" ref="I5871">IFERROR(_xlfn.IFS(M5871="נח",1,M5871="נע ונח",1,M5871="שני שווא נח",2,M5871="שני שוואים בסוף מילה",2,M5871="שני שוואים ברצף",1),"0")</f>
        <v>0</v>
      </c>
      <c r="J5871" s="9">
        <f t="shared" si="371"/>
        <v>1</v>
      </c>
      <c r="K5871" t="s">
        <v>6698</v>
      </c>
      <c r="L5871" t="s">
        <v>6695</v>
      </c>
      <c r="V5871" t="s">
        <v>6694</v>
      </c>
      <c r="W5871" t="s">
        <v>6720</v>
      </c>
    </row>
    <row r="5872" spans="1:23" ht="15.6" x14ac:dyDescent="0.4">
      <c r="A5872" s="2" t="s">
        <v>324</v>
      </c>
      <c r="B5872" s="5" t="s">
        <v>11854</v>
      </c>
      <c r="C5872" s="7" t="s">
        <v>12556</v>
      </c>
      <c r="D5872" s="8">
        <f t="shared" si="368"/>
        <v>0</v>
      </c>
      <c r="E5872" s="7" t="s">
        <v>12557</v>
      </c>
      <c r="F5872" s="7">
        <f t="shared" si="369"/>
        <v>0</v>
      </c>
      <c r="G5872" s="7" t="s">
        <v>12558</v>
      </c>
      <c r="H5872" s="7">
        <f t="shared" si="370"/>
        <v>0</v>
      </c>
      <c r="I5872" s="7" t="str" cm="1">
        <f t="array" ref="I5872">IFERROR(_xlfn.IFS(M5872="נח",1,M5872="נע ונח",1,M5872="שני שווא נח",2,M5872="שני שוואים בסוף מילה",2,M5872="שני שוואים ברצף",1),"0")</f>
        <v>0</v>
      </c>
      <c r="J5872" s="9">
        <f t="shared" si="371"/>
        <v>2</v>
      </c>
      <c r="K5872" t="s">
        <v>6697</v>
      </c>
      <c r="L5872" t="s">
        <v>6695</v>
      </c>
      <c r="S5872" t="s">
        <v>6694</v>
      </c>
      <c r="V5872" t="s">
        <v>6694</v>
      </c>
      <c r="W5872" t="s">
        <v>6720</v>
      </c>
    </row>
    <row r="5873" spans="1:23" ht="15.6" x14ac:dyDescent="0.4">
      <c r="A5873" s="2" t="s">
        <v>2184</v>
      </c>
      <c r="B5873" s="5" t="s">
        <v>11855</v>
      </c>
      <c r="C5873" s="7" t="s">
        <v>12556</v>
      </c>
      <c r="D5873" s="8">
        <f t="shared" si="368"/>
        <v>0</v>
      </c>
      <c r="E5873" s="7" t="s">
        <v>12557</v>
      </c>
      <c r="F5873" s="7">
        <f t="shared" si="369"/>
        <v>0</v>
      </c>
      <c r="G5873" s="7" t="s">
        <v>12558</v>
      </c>
      <c r="H5873" s="7">
        <f t="shared" si="370"/>
        <v>0</v>
      </c>
      <c r="I5873" s="7" t="str" cm="1">
        <f t="array" ref="I5873">IFERROR(_xlfn.IFS(M5873="נח",1,M5873="נע ונח",1,M5873="שני שווא נח",2,M5873="שני שוואים בסוף מילה",2,M5873="שני שוואים ברצף",1),"0")</f>
        <v>0</v>
      </c>
      <c r="J5873" s="9">
        <f t="shared" si="371"/>
        <v>2</v>
      </c>
      <c r="K5873" t="s">
        <v>6698</v>
      </c>
      <c r="L5873" t="s">
        <v>6695</v>
      </c>
      <c r="N5873" t="s">
        <v>6706</v>
      </c>
      <c r="O5873" t="s">
        <v>6694</v>
      </c>
      <c r="V5873" t="s">
        <v>6694</v>
      </c>
      <c r="W5873" t="s">
        <v>6720</v>
      </c>
    </row>
    <row r="5874" spans="1:23" ht="15.6" x14ac:dyDescent="0.4">
      <c r="A5874" s="2" t="s">
        <v>1719</v>
      </c>
      <c r="B5874" s="5" t="s">
        <v>11856</v>
      </c>
      <c r="C5874" s="7" t="s">
        <v>12556</v>
      </c>
      <c r="D5874" s="8">
        <f t="shared" si="368"/>
        <v>0</v>
      </c>
      <c r="E5874" s="7" t="s">
        <v>12557</v>
      </c>
      <c r="F5874" s="7">
        <f t="shared" si="369"/>
        <v>0</v>
      </c>
      <c r="G5874" s="7" t="s">
        <v>12558</v>
      </c>
      <c r="H5874" s="7">
        <f t="shared" si="370"/>
        <v>0</v>
      </c>
      <c r="I5874" s="7" t="str" cm="1">
        <f t="array" ref="I5874">IFERROR(_xlfn.IFS(M5874="נח",1,M5874="נע ונח",1,M5874="שני שווא נח",2,M5874="שני שוואים בסוף מילה",2,M5874="שני שוואים ברצף",1),"0")</f>
        <v>0</v>
      </c>
      <c r="J5874" s="9">
        <f t="shared" si="371"/>
        <v>2</v>
      </c>
      <c r="K5874" t="s">
        <v>6698</v>
      </c>
      <c r="L5874" t="s">
        <v>6695</v>
      </c>
      <c r="S5874" t="s">
        <v>6694</v>
      </c>
      <c r="V5874" t="s">
        <v>6694</v>
      </c>
      <c r="W5874" t="s">
        <v>6720</v>
      </c>
    </row>
    <row r="5875" spans="1:23" ht="15.6" x14ac:dyDescent="0.4">
      <c r="A5875" s="2" t="s">
        <v>3576</v>
      </c>
      <c r="B5875" s="5" t="s">
        <v>11857</v>
      </c>
      <c r="C5875" s="7" t="s">
        <v>12556</v>
      </c>
      <c r="D5875" s="8">
        <f t="shared" si="368"/>
        <v>0</v>
      </c>
      <c r="E5875" s="7" t="s">
        <v>12557</v>
      </c>
      <c r="F5875" s="7">
        <f t="shared" si="369"/>
        <v>0</v>
      </c>
      <c r="G5875" s="7" t="s">
        <v>12558</v>
      </c>
      <c r="H5875" s="7">
        <f t="shared" si="370"/>
        <v>0</v>
      </c>
      <c r="I5875" s="7" t="str" cm="1">
        <f t="array" ref="I5875">IFERROR(_xlfn.IFS(M5875="נח",1,M5875="נע ונח",1,M5875="שני שווא נח",2,M5875="שני שוואים בסוף מילה",2,M5875="שני שוואים ברצף",1),"0")</f>
        <v>0</v>
      </c>
      <c r="J5875" s="9">
        <f t="shared" si="371"/>
        <v>2</v>
      </c>
      <c r="K5875" t="s">
        <v>6697</v>
      </c>
      <c r="L5875" t="s">
        <v>6695</v>
      </c>
      <c r="Q5875" t="s">
        <v>6694</v>
      </c>
      <c r="V5875" t="s">
        <v>6694</v>
      </c>
      <c r="W5875" t="s">
        <v>6720</v>
      </c>
    </row>
    <row r="5876" spans="1:23" ht="15.6" x14ac:dyDescent="0.4">
      <c r="A5876" s="2" t="s">
        <v>6049</v>
      </c>
      <c r="B5876" s="5" t="s">
        <v>11810</v>
      </c>
      <c r="C5876" s="7" t="s">
        <v>12556</v>
      </c>
      <c r="D5876" s="8">
        <f t="shared" si="368"/>
        <v>0</v>
      </c>
      <c r="E5876" s="7" t="s">
        <v>12557</v>
      </c>
      <c r="F5876" s="7">
        <f t="shared" si="369"/>
        <v>1</v>
      </c>
      <c r="G5876" s="7" t="s">
        <v>12558</v>
      </c>
      <c r="H5876" s="7">
        <f t="shared" si="370"/>
        <v>1</v>
      </c>
      <c r="I5876" s="7" t="str" cm="1">
        <f t="array" ref="I5876">IFERROR(_xlfn.IFS(M5876="נח",1,M5876="נע ונח",1,M5876="שני שווא נח",2,M5876="שני שוואים בסוף מילה",2,M5876="שני שוואים ברצף",1),"0")</f>
        <v>0</v>
      </c>
      <c r="J5876" s="9">
        <f t="shared" si="371"/>
        <v>1</v>
      </c>
      <c r="K5876" t="s">
        <v>6698</v>
      </c>
      <c r="L5876" t="s">
        <v>6695</v>
      </c>
      <c r="U5876" t="s">
        <v>6694</v>
      </c>
      <c r="W5876" t="s">
        <v>6720</v>
      </c>
    </row>
    <row r="5877" spans="1:23" ht="15.6" x14ac:dyDescent="0.4">
      <c r="A5877" s="2" t="s">
        <v>2436</v>
      </c>
      <c r="B5877" s="5" t="s">
        <v>11858</v>
      </c>
      <c r="C5877" s="7" t="s">
        <v>12556</v>
      </c>
      <c r="D5877" s="8">
        <f t="shared" si="368"/>
        <v>0</v>
      </c>
      <c r="E5877" s="7" t="s">
        <v>12557</v>
      </c>
      <c r="F5877" s="7">
        <f t="shared" si="369"/>
        <v>1</v>
      </c>
      <c r="G5877" s="7" t="s">
        <v>12558</v>
      </c>
      <c r="H5877" s="7">
        <f t="shared" si="370"/>
        <v>1</v>
      </c>
      <c r="I5877" s="7" t="str" cm="1">
        <f t="array" ref="I5877">IFERROR(_xlfn.IFS(M5877="נח",1,M5877="נע ונח",1,M5877="שני שווא נח",2,M5877="שני שוואים בסוף מילה",2,M5877="שני שוואים ברצף",1),"0")</f>
        <v>0</v>
      </c>
      <c r="J5877" s="9">
        <f t="shared" si="371"/>
        <v>2</v>
      </c>
      <c r="K5877" t="s">
        <v>6697</v>
      </c>
      <c r="L5877" t="s">
        <v>6695</v>
      </c>
      <c r="O5877" t="s">
        <v>6694</v>
      </c>
      <c r="U5877" t="s">
        <v>6694</v>
      </c>
      <c r="W5877" t="s">
        <v>6720</v>
      </c>
    </row>
    <row r="5878" spans="1:23" ht="15.6" x14ac:dyDescent="0.4">
      <c r="A5878" s="2" t="s">
        <v>930</v>
      </c>
      <c r="B5878" s="5" t="s">
        <v>11859</v>
      </c>
      <c r="C5878" s="7" t="s">
        <v>12556</v>
      </c>
      <c r="D5878" s="8">
        <f t="shared" si="368"/>
        <v>0</v>
      </c>
      <c r="E5878" s="7" t="s">
        <v>12557</v>
      </c>
      <c r="F5878" s="7">
        <f t="shared" si="369"/>
        <v>0</v>
      </c>
      <c r="G5878" s="7" t="s">
        <v>12558</v>
      </c>
      <c r="H5878" s="7">
        <f t="shared" si="370"/>
        <v>0</v>
      </c>
      <c r="I5878" s="7" t="str" cm="1">
        <f t="array" ref="I5878">IFERROR(_xlfn.IFS(M5878="נח",1,M5878="נע ונח",1,M5878="שני שווא נח",2,M5878="שני שוואים בסוף מילה",2,M5878="שני שוואים ברצף",1),"0")</f>
        <v>0</v>
      </c>
      <c r="J5878" s="9">
        <f t="shared" si="371"/>
        <v>2</v>
      </c>
      <c r="K5878" t="s">
        <v>6697</v>
      </c>
      <c r="L5878" t="s">
        <v>6694</v>
      </c>
      <c r="M5878" t="s">
        <v>6700</v>
      </c>
      <c r="Q5878" t="s">
        <v>6694</v>
      </c>
      <c r="W5878" t="s">
        <v>6720</v>
      </c>
    </row>
    <row r="5879" spans="1:23" ht="15.6" x14ac:dyDescent="0.4">
      <c r="A5879" s="2" t="s">
        <v>6589</v>
      </c>
      <c r="B5879" s="5" t="s">
        <v>11860</v>
      </c>
      <c r="C5879" s="7" t="s">
        <v>12556</v>
      </c>
      <c r="D5879" s="8">
        <f t="shared" si="368"/>
        <v>0</v>
      </c>
      <c r="E5879" s="7" t="s">
        <v>12557</v>
      </c>
      <c r="F5879" s="7">
        <f t="shared" si="369"/>
        <v>0</v>
      </c>
      <c r="G5879" s="7" t="s">
        <v>12558</v>
      </c>
      <c r="H5879" s="7">
        <f t="shared" si="370"/>
        <v>0</v>
      </c>
      <c r="I5879" s="7" t="str" cm="1">
        <f t="array" ref="I5879">IFERROR(_xlfn.IFS(M5879="נח",1,M5879="נע ונח",1,M5879="שני שווא נח",2,M5879="שני שוואים בסוף מילה",2,M5879="שני שוואים ברצף",1),"0")</f>
        <v>0</v>
      </c>
      <c r="J5879" s="9">
        <f t="shared" si="371"/>
        <v>3</v>
      </c>
      <c r="K5879" t="s">
        <v>6698</v>
      </c>
      <c r="L5879" t="s">
        <v>6694</v>
      </c>
      <c r="M5879" t="s">
        <v>6700</v>
      </c>
      <c r="Q5879" t="s">
        <v>6694</v>
      </c>
      <c r="S5879" t="s">
        <v>6694</v>
      </c>
      <c r="W5879" t="s">
        <v>6720</v>
      </c>
    </row>
    <row r="5880" spans="1:23" ht="15.6" x14ac:dyDescent="0.4">
      <c r="A5880" s="2" t="s">
        <v>2872</v>
      </c>
      <c r="B5880" s="5" t="s">
        <v>11861</v>
      </c>
      <c r="C5880" s="7" t="s">
        <v>12556</v>
      </c>
      <c r="D5880" s="8">
        <f t="shared" si="368"/>
        <v>0</v>
      </c>
      <c r="E5880" s="7" t="s">
        <v>12557</v>
      </c>
      <c r="F5880" s="7">
        <f t="shared" si="369"/>
        <v>0</v>
      </c>
      <c r="G5880" s="7" t="s">
        <v>12558</v>
      </c>
      <c r="H5880" s="7">
        <f t="shared" si="370"/>
        <v>0</v>
      </c>
      <c r="I5880" s="7" t="str" cm="1">
        <f t="array" ref="I5880">IFERROR(_xlfn.IFS(M5880="נח",1,M5880="נע ונח",1,M5880="שני שווא נח",2,M5880="שני שוואים בסוף מילה",2,M5880="שני שוואים ברצף",1),"0")</f>
        <v>0</v>
      </c>
      <c r="J5880" s="9">
        <f t="shared" si="371"/>
        <v>2</v>
      </c>
      <c r="K5880" t="s">
        <v>6697</v>
      </c>
      <c r="L5880" t="s">
        <v>6694</v>
      </c>
      <c r="M5880" t="s">
        <v>6700</v>
      </c>
      <c r="Q5880" t="s">
        <v>6694</v>
      </c>
      <c r="W5880" t="s">
        <v>6720</v>
      </c>
    </row>
    <row r="5881" spans="1:23" ht="15.6" x14ac:dyDescent="0.4">
      <c r="A5881" s="2" t="s">
        <v>3500</v>
      </c>
      <c r="B5881" s="5" t="s">
        <v>11862</v>
      </c>
      <c r="C5881" s="7" t="s">
        <v>12556</v>
      </c>
      <c r="D5881" s="8">
        <f t="shared" si="368"/>
        <v>0</v>
      </c>
      <c r="E5881" s="7" t="s">
        <v>12557</v>
      </c>
      <c r="F5881" s="7">
        <f t="shared" si="369"/>
        <v>0</v>
      </c>
      <c r="G5881" s="7" t="s">
        <v>12558</v>
      </c>
      <c r="H5881" s="7">
        <f t="shared" si="370"/>
        <v>0</v>
      </c>
      <c r="I5881" s="7" t="str" cm="1">
        <f t="array" ref="I5881">IFERROR(_xlfn.IFS(M5881="נח",1,M5881="נע ונח",1,M5881="שני שווא נח",2,M5881="שני שוואים בסוף מילה",2,M5881="שני שוואים ברצף",1),"0")</f>
        <v>0</v>
      </c>
      <c r="J5881" s="9">
        <f t="shared" si="371"/>
        <v>3</v>
      </c>
      <c r="K5881" t="s">
        <v>6698</v>
      </c>
      <c r="L5881" t="s">
        <v>6694</v>
      </c>
      <c r="M5881" t="s">
        <v>6700</v>
      </c>
      <c r="O5881" t="s">
        <v>6694</v>
      </c>
      <c r="S5881" t="s">
        <v>6694</v>
      </c>
      <c r="W5881" t="s">
        <v>6720</v>
      </c>
    </row>
    <row r="5882" spans="1:23" ht="15.6" x14ac:dyDescent="0.4">
      <c r="A5882" s="2" t="s">
        <v>6041</v>
      </c>
      <c r="B5882" s="5" t="s">
        <v>11863</v>
      </c>
      <c r="C5882" s="7" t="s">
        <v>12556</v>
      </c>
      <c r="D5882" s="8">
        <f t="shared" si="368"/>
        <v>0</v>
      </c>
      <c r="E5882" s="7" t="s">
        <v>12557</v>
      </c>
      <c r="F5882" s="7">
        <f t="shared" si="369"/>
        <v>0</v>
      </c>
      <c r="G5882" s="7" t="s">
        <v>12558</v>
      </c>
      <c r="H5882" s="7">
        <f t="shared" si="370"/>
        <v>0</v>
      </c>
      <c r="I5882" s="7" t="str" cm="1">
        <f t="array" ref="I5882">IFERROR(_xlfn.IFS(M5882="נח",1,M5882="נע ונח",1,M5882="שני שווא נח",2,M5882="שני שוואים בסוף מילה",2,M5882="שני שוואים ברצף",1),"0")</f>
        <v>0</v>
      </c>
      <c r="J5882" s="9">
        <f t="shared" si="371"/>
        <v>3</v>
      </c>
      <c r="K5882" t="s">
        <v>6697</v>
      </c>
      <c r="L5882" t="s">
        <v>6694</v>
      </c>
      <c r="M5882" t="s">
        <v>6700</v>
      </c>
      <c r="N5882" t="s">
        <v>6706</v>
      </c>
      <c r="O5882" t="s">
        <v>6694</v>
      </c>
      <c r="W5882" t="s">
        <v>6720</v>
      </c>
    </row>
    <row r="5883" spans="1:23" ht="15.6" x14ac:dyDescent="0.4">
      <c r="A5883" s="2" t="s">
        <v>5445</v>
      </c>
      <c r="B5883" s="5" t="s">
        <v>11864</v>
      </c>
      <c r="C5883" s="7" t="s">
        <v>12556</v>
      </c>
      <c r="D5883" s="8">
        <f t="shared" si="368"/>
        <v>0</v>
      </c>
      <c r="E5883" s="7" t="s">
        <v>12557</v>
      </c>
      <c r="F5883" s="7">
        <f t="shared" si="369"/>
        <v>0</v>
      </c>
      <c r="G5883" s="7" t="s">
        <v>12558</v>
      </c>
      <c r="H5883" s="7">
        <f t="shared" si="370"/>
        <v>0</v>
      </c>
      <c r="I5883" s="7" t="str" cm="1">
        <f t="array" ref="I5883">IFERROR(_xlfn.IFS(M5883="נח",1,M5883="נע ונח",1,M5883="שני שווא נח",2,M5883="שני שוואים בסוף מילה",2,M5883="שני שוואים ברצף",1),"0")</f>
        <v>0</v>
      </c>
      <c r="J5883" s="9">
        <f t="shared" si="371"/>
        <v>4</v>
      </c>
      <c r="K5883" t="s">
        <v>6697</v>
      </c>
      <c r="L5883" t="s">
        <v>6694</v>
      </c>
      <c r="M5883" t="s">
        <v>6700</v>
      </c>
      <c r="O5883" t="s">
        <v>6694</v>
      </c>
      <c r="Q5883" t="s">
        <v>6694</v>
      </c>
      <c r="R5883" t="s">
        <v>6694</v>
      </c>
      <c r="W5883" t="s">
        <v>6720</v>
      </c>
    </row>
    <row r="5884" spans="1:23" ht="15.6" x14ac:dyDescent="0.4">
      <c r="A5884" s="2" t="s">
        <v>4068</v>
      </c>
      <c r="B5884" s="5" t="s">
        <v>11865</v>
      </c>
      <c r="C5884" s="7" t="s">
        <v>12556</v>
      </c>
      <c r="D5884" s="8">
        <f t="shared" si="368"/>
        <v>0</v>
      </c>
      <c r="E5884" s="7" t="s">
        <v>12557</v>
      </c>
      <c r="F5884" s="7">
        <f t="shared" si="369"/>
        <v>0</v>
      </c>
      <c r="G5884" s="7" t="s">
        <v>12558</v>
      </c>
      <c r="H5884" s="7">
        <f t="shared" si="370"/>
        <v>0</v>
      </c>
      <c r="I5884" s="7" t="str" cm="1">
        <f t="array" ref="I5884">IFERROR(_xlfn.IFS(M5884="נח",1,M5884="נע ונח",1,M5884="שני שווא נח",2,M5884="שני שוואים בסוף מילה",2,M5884="שני שוואים ברצף",1),"0")</f>
        <v>0</v>
      </c>
      <c r="J5884" s="9">
        <f t="shared" si="371"/>
        <v>3</v>
      </c>
      <c r="K5884" t="s">
        <v>6698</v>
      </c>
      <c r="L5884" t="s">
        <v>6694</v>
      </c>
      <c r="M5884" t="s">
        <v>6700</v>
      </c>
      <c r="S5884" t="s">
        <v>6694</v>
      </c>
      <c r="V5884" t="s">
        <v>6694</v>
      </c>
      <c r="W5884" t="s">
        <v>6720</v>
      </c>
    </row>
    <row r="5885" spans="1:23" ht="15.6" x14ac:dyDescent="0.4">
      <c r="A5885" s="2" t="s">
        <v>3693</v>
      </c>
      <c r="B5885" s="5" t="s">
        <v>11866</v>
      </c>
      <c r="C5885" s="7" t="s">
        <v>12556</v>
      </c>
      <c r="D5885" s="8">
        <f t="shared" si="368"/>
        <v>0</v>
      </c>
      <c r="E5885" s="7" t="s">
        <v>12557</v>
      </c>
      <c r="F5885" s="7">
        <f t="shared" si="369"/>
        <v>0</v>
      </c>
      <c r="G5885" s="7" t="s">
        <v>12558</v>
      </c>
      <c r="H5885" s="7">
        <f t="shared" si="370"/>
        <v>0</v>
      </c>
      <c r="I5885" s="7" t="str" cm="1">
        <f t="array" ref="I5885">IFERROR(_xlfn.IFS(M5885="נח",1,M5885="נע ונח",1,M5885="שני שווא נח",2,M5885="שני שוואים בסוף מילה",2,M5885="שני שוואים ברצף",1),"0")</f>
        <v>0</v>
      </c>
      <c r="J5885" s="9">
        <f t="shared" si="371"/>
        <v>2</v>
      </c>
      <c r="K5885" t="s">
        <v>6698</v>
      </c>
      <c r="L5885" t="s">
        <v>6694</v>
      </c>
      <c r="M5885" t="s">
        <v>6700</v>
      </c>
      <c r="P5885" t="s">
        <v>6694</v>
      </c>
      <c r="W5885" t="s">
        <v>6720</v>
      </c>
    </row>
    <row r="5886" spans="1:23" ht="15.6" x14ac:dyDescent="0.4">
      <c r="A5886" s="2" t="s">
        <v>626</v>
      </c>
      <c r="B5886" s="5" t="s">
        <v>11867</v>
      </c>
      <c r="C5886" s="7" t="s">
        <v>12556</v>
      </c>
      <c r="D5886" s="8">
        <f t="shared" si="368"/>
        <v>0</v>
      </c>
      <c r="E5886" s="7" t="s">
        <v>12557</v>
      </c>
      <c r="F5886" s="7">
        <f t="shared" si="369"/>
        <v>1</v>
      </c>
      <c r="G5886" s="7" t="s">
        <v>12558</v>
      </c>
      <c r="H5886" s="7">
        <f t="shared" si="370"/>
        <v>1</v>
      </c>
      <c r="I5886" s="7" t="str" cm="1">
        <f t="array" ref="I5886">IFERROR(_xlfn.IFS(M5886="נח",1,M5886="נע ונח",1,M5886="שני שווא נח",2,M5886="שני שוואים בסוף מילה",2,M5886="שני שוואים ברצף",1),"0")</f>
        <v>0</v>
      </c>
      <c r="J5886" s="9">
        <f t="shared" si="371"/>
        <v>3</v>
      </c>
      <c r="K5886" t="s">
        <v>6697</v>
      </c>
      <c r="L5886" t="s">
        <v>6694</v>
      </c>
      <c r="M5886" t="s">
        <v>6700</v>
      </c>
      <c r="U5886" t="s">
        <v>6694</v>
      </c>
      <c r="V5886" t="s">
        <v>6694</v>
      </c>
      <c r="W5886" t="s">
        <v>6720</v>
      </c>
    </row>
    <row r="5887" spans="1:23" ht="15.6" x14ac:dyDescent="0.4">
      <c r="A5887" s="2" t="s">
        <v>2804</v>
      </c>
      <c r="B5887" s="5" t="s">
        <v>11868</v>
      </c>
      <c r="C5887" s="7" t="s">
        <v>12556</v>
      </c>
      <c r="D5887" s="8">
        <f t="shared" si="368"/>
        <v>0</v>
      </c>
      <c r="E5887" s="7" t="s">
        <v>12557</v>
      </c>
      <c r="F5887" s="7">
        <f t="shared" si="369"/>
        <v>1</v>
      </c>
      <c r="G5887" s="7" t="s">
        <v>12558</v>
      </c>
      <c r="H5887" s="7">
        <f t="shared" si="370"/>
        <v>0</v>
      </c>
      <c r="I5887" s="7" t="str" cm="1">
        <f t="array" ref="I5887">IFERROR(_xlfn.IFS(M5887="נח",1,M5887="נע ונח",1,M5887="שני שווא נח",2,M5887="שני שוואים בסוף מילה",2,M5887="שני שוואים ברצף",1),"0")</f>
        <v>0</v>
      </c>
      <c r="J5887" s="9">
        <f t="shared" si="371"/>
        <v>3</v>
      </c>
      <c r="K5887" t="s">
        <v>6697</v>
      </c>
      <c r="L5887" t="s">
        <v>6694</v>
      </c>
      <c r="M5887" t="s">
        <v>6700</v>
      </c>
      <c r="O5887" t="s">
        <v>6694</v>
      </c>
      <c r="S5887" t="s">
        <v>6694</v>
      </c>
      <c r="W5887" t="s">
        <v>6720</v>
      </c>
    </row>
    <row r="5888" spans="1:23" ht="15.6" x14ac:dyDescent="0.4">
      <c r="A5888" s="2" t="s">
        <v>5363</v>
      </c>
      <c r="B5888" s="5" t="s">
        <v>11869</v>
      </c>
      <c r="C5888" s="7" t="s">
        <v>12556</v>
      </c>
      <c r="D5888" s="8">
        <f t="shared" si="368"/>
        <v>0</v>
      </c>
      <c r="E5888" s="7" t="s">
        <v>12557</v>
      </c>
      <c r="F5888" s="7">
        <f t="shared" si="369"/>
        <v>0</v>
      </c>
      <c r="G5888" s="7" t="s">
        <v>12558</v>
      </c>
      <c r="H5888" s="7">
        <f t="shared" si="370"/>
        <v>0</v>
      </c>
      <c r="I5888" s="7" t="str" cm="1">
        <f t="array" ref="I5888">IFERROR(_xlfn.IFS(M5888="נח",1,M5888="נע ונח",1,M5888="שני שווא נח",2,M5888="שני שוואים בסוף מילה",2,M5888="שני שוואים ברצף",1),"0")</f>
        <v>0</v>
      </c>
      <c r="J5888" s="9">
        <f t="shared" si="371"/>
        <v>3</v>
      </c>
      <c r="K5888" t="s">
        <v>6698</v>
      </c>
      <c r="L5888" t="s">
        <v>6694</v>
      </c>
      <c r="M5888" t="s">
        <v>6700</v>
      </c>
      <c r="O5888" t="s">
        <v>6694</v>
      </c>
      <c r="V5888" t="s">
        <v>6694</v>
      </c>
      <c r="W5888" t="s">
        <v>6720</v>
      </c>
    </row>
    <row r="5889" spans="1:23" ht="15.6" x14ac:dyDescent="0.4">
      <c r="A5889" s="2" t="s">
        <v>1526</v>
      </c>
      <c r="B5889" s="5" t="s">
        <v>11870</v>
      </c>
      <c r="C5889" s="7" t="s">
        <v>12556</v>
      </c>
      <c r="D5889" s="8">
        <f t="shared" si="368"/>
        <v>0</v>
      </c>
      <c r="E5889" s="7" t="s">
        <v>12557</v>
      </c>
      <c r="F5889" s="7">
        <f t="shared" si="369"/>
        <v>0</v>
      </c>
      <c r="G5889" s="7" t="s">
        <v>12558</v>
      </c>
      <c r="H5889" s="7">
        <f t="shared" si="370"/>
        <v>0</v>
      </c>
      <c r="I5889" s="7" t="str" cm="1">
        <f t="array" ref="I5889">IFERROR(_xlfn.IFS(M5889="נח",1,M5889="נע ונח",1,M5889="שני שווא נח",2,M5889="שני שוואים בסוף מילה",2,M5889="שני שוואים ברצף",1),"0")</f>
        <v>0</v>
      </c>
      <c r="J5889" s="9">
        <f t="shared" si="371"/>
        <v>3</v>
      </c>
      <c r="K5889" t="s">
        <v>6698</v>
      </c>
      <c r="L5889" t="s">
        <v>6694</v>
      </c>
      <c r="M5889" t="s">
        <v>6700</v>
      </c>
      <c r="Q5889" t="s">
        <v>6694</v>
      </c>
      <c r="S5889" t="s">
        <v>6694</v>
      </c>
      <c r="W5889" t="s">
        <v>6720</v>
      </c>
    </row>
    <row r="5890" spans="1:23" ht="15.6" x14ac:dyDescent="0.4">
      <c r="A5890" s="2" t="s">
        <v>1540</v>
      </c>
      <c r="B5890" s="5" t="s">
        <v>11871</v>
      </c>
      <c r="C5890" s="7" t="s">
        <v>12556</v>
      </c>
      <c r="D5890" s="8">
        <f t="shared" si="368"/>
        <v>0</v>
      </c>
      <c r="E5890" s="7" t="s">
        <v>12557</v>
      </c>
      <c r="F5890" s="7">
        <f t="shared" si="369"/>
        <v>0</v>
      </c>
      <c r="G5890" s="7" t="s">
        <v>12558</v>
      </c>
      <c r="H5890" s="7">
        <f t="shared" si="370"/>
        <v>0</v>
      </c>
      <c r="I5890" s="7" t="str" cm="1">
        <f t="array" ref="I5890">IFERROR(_xlfn.IFS(M5890="נח",1,M5890="נע ונח",1,M5890="שני שווא נח",2,M5890="שני שוואים בסוף מילה",2,M5890="שני שוואים ברצף",1),"0")</f>
        <v>0</v>
      </c>
      <c r="J5890" s="9">
        <f t="shared" si="371"/>
        <v>3</v>
      </c>
      <c r="K5890" t="s">
        <v>6697</v>
      </c>
      <c r="L5890" t="s">
        <v>6694</v>
      </c>
      <c r="M5890" t="s">
        <v>6700</v>
      </c>
      <c r="O5890" t="s">
        <v>6694</v>
      </c>
      <c r="Q5890" t="s">
        <v>6694</v>
      </c>
      <c r="W5890" t="s">
        <v>6720</v>
      </c>
    </row>
    <row r="5891" spans="1:23" ht="15.6" x14ac:dyDescent="0.4">
      <c r="A5891" s="2" t="s">
        <v>2524</v>
      </c>
      <c r="B5891" s="5" t="s">
        <v>11872</v>
      </c>
      <c r="C5891" s="7" t="s">
        <v>12556</v>
      </c>
      <c r="D5891" s="8">
        <f t="shared" ref="D5891:D5954" si="372">(LEN(B5891)-LEN(SUBSTITUTE(B5891,C5891,"")))</f>
        <v>0</v>
      </c>
      <c r="E5891" s="7" t="s">
        <v>12557</v>
      </c>
      <c r="F5891" s="7">
        <f t="shared" ref="F5891:F5954" si="373">(LEN(A5891)-LEN(SUBSTITUTE(A5891,E5891,"")))</f>
        <v>0</v>
      </c>
      <c r="G5891" s="7" t="s">
        <v>12558</v>
      </c>
      <c r="H5891" s="7">
        <f t="shared" ref="H5891:H5954" si="374">(LEN(A5891)-LEN(SUBSTITUTE(A5891,G5891,"")))/2</f>
        <v>0</v>
      </c>
      <c r="I5891" s="7" t="str" cm="1">
        <f t="array" ref="I5891">IFERROR(_xlfn.IFS(M5891="נח",1,M5891="נע ונח",1,M5891="שני שווא נח",2,M5891="שני שוואים בסוף מילה",2,M5891="שני שוואים ברצף",1),"0")</f>
        <v>0</v>
      </c>
      <c r="J5891" s="9">
        <f t="shared" ref="J5891:J5954" si="375">LEN(A5891)-(LEN(B5891))-D5891-F5891+H5891-I5891</f>
        <v>3</v>
      </c>
      <c r="K5891" t="s">
        <v>6698</v>
      </c>
      <c r="L5891" t="s">
        <v>6694</v>
      </c>
      <c r="M5891" t="s">
        <v>6700</v>
      </c>
      <c r="O5891" t="s">
        <v>6694</v>
      </c>
      <c r="V5891" t="s">
        <v>6694</v>
      </c>
      <c r="W5891" t="s">
        <v>6720</v>
      </c>
    </row>
    <row r="5892" spans="1:23" ht="15.6" x14ac:dyDescent="0.4">
      <c r="A5892" s="2" t="s">
        <v>3185</v>
      </c>
      <c r="B5892" s="5" t="s">
        <v>11873</v>
      </c>
      <c r="C5892" s="7" t="s">
        <v>12556</v>
      </c>
      <c r="D5892" s="8">
        <f t="shared" si="372"/>
        <v>0</v>
      </c>
      <c r="E5892" s="7" t="s">
        <v>12557</v>
      </c>
      <c r="F5892" s="7">
        <f t="shared" si="373"/>
        <v>0</v>
      </c>
      <c r="G5892" s="7" t="s">
        <v>12558</v>
      </c>
      <c r="H5892" s="7">
        <f t="shared" si="374"/>
        <v>0</v>
      </c>
      <c r="I5892" s="7" t="str" cm="1">
        <f t="array" ref="I5892">IFERROR(_xlfn.IFS(M5892="נח",1,M5892="נע ונח",1,M5892="שני שווא נח",2,M5892="שני שוואים בסוף מילה",2,M5892="שני שוואים ברצף",1),"0")</f>
        <v>0</v>
      </c>
      <c r="J5892" s="9">
        <f t="shared" si="375"/>
        <v>4</v>
      </c>
      <c r="K5892" t="s">
        <v>6697</v>
      </c>
      <c r="L5892" t="s">
        <v>6694</v>
      </c>
      <c r="M5892" t="s">
        <v>6700</v>
      </c>
      <c r="O5892" t="s">
        <v>6694</v>
      </c>
      <c r="Q5892" t="s">
        <v>6694</v>
      </c>
      <c r="S5892" t="s">
        <v>6694</v>
      </c>
      <c r="W5892" t="s">
        <v>6720</v>
      </c>
    </row>
    <row r="5893" spans="1:23" ht="15.6" x14ac:dyDescent="0.4">
      <c r="A5893" s="2" t="s">
        <v>2157</v>
      </c>
      <c r="B5893" s="5" t="s">
        <v>11874</v>
      </c>
      <c r="C5893" s="7" t="s">
        <v>12556</v>
      </c>
      <c r="D5893" s="8">
        <f t="shared" si="372"/>
        <v>0</v>
      </c>
      <c r="E5893" s="7" t="s">
        <v>12557</v>
      </c>
      <c r="F5893" s="7">
        <f t="shared" si="373"/>
        <v>0</v>
      </c>
      <c r="G5893" s="7" t="s">
        <v>12558</v>
      </c>
      <c r="H5893" s="7">
        <f t="shared" si="374"/>
        <v>0</v>
      </c>
      <c r="I5893" s="7" t="str" cm="1">
        <f t="array" ref="I5893">IFERROR(_xlfn.IFS(M5893="נח",1,M5893="נע ונח",1,M5893="שני שווא נח",2,M5893="שני שוואים בסוף מילה",2,M5893="שני שוואים ברצף",1),"0")</f>
        <v>0</v>
      </c>
      <c r="J5893" s="9">
        <f t="shared" si="375"/>
        <v>3</v>
      </c>
      <c r="K5893" t="s">
        <v>6697</v>
      </c>
      <c r="L5893" t="s">
        <v>6694</v>
      </c>
      <c r="M5893" t="s">
        <v>6700</v>
      </c>
      <c r="O5893" t="s">
        <v>6694</v>
      </c>
      <c r="W5893" t="s">
        <v>6720</v>
      </c>
    </row>
    <row r="5894" spans="1:23" ht="15.6" x14ac:dyDescent="0.4">
      <c r="A5894" s="2" t="s">
        <v>4239</v>
      </c>
      <c r="B5894" s="5" t="s">
        <v>11875</v>
      </c>
      <c r="C5894" s="7" t="s">
        <v>12556</v>
      </c>
      <c r="D5894" s="8">
        <f t="shared" si="372"/>
        <v>0</v>
      </c>
      <c r="E5894" s="7" t="s">
        <v>12557</v>
      </c>
      <c r="F5894" s="7">
        <f t="shared" si="373"/>
        <v>0</v>
      </c>
      <c r="G5894" s="7" t="s">
        <v>12558</v>
      </c>
      <c r="H5894" s="7">
        <f t="shared" si="374"/>
        <v>0</v>
      </c>
      <c r="I5894" s="7" t="str" cm="1">
        <f t="array" ref="I5894">IFERROR(_xlfn.IFS(M5894="נח",1,M5894="נע ונח",1,M5894="שני שווא נח",2,M5894="שני שוואים בסוף מילה",2,M5894="שני שוואים ברצף",1),"0")</f>
        <v>0</v>
      </c>
      <c r="J5894" s="9">
        <f t="shared" si="375"/>
        <v>2</v>
      </c>
      <c r="K5894" t="s">
        <v>6697</v>
      </c>
      <c r="L5894" t="s">
        <v>6694</v>
      </c>
      <c r="M5894" t="s">
        <v>6700</v>
      </c>
      <c r="O5894" t="s">
        <v>6694</v>
      </c>
      <c r="W5894" t="s">
        <v>6720</v>
      </c>
    </row>
    <row r="5895" spans="1:23" ht="15.6" x14ac:dyDescent="0.4">
      <c r="A5895" s="2" t="s">
        <v>6373</v>
      </c>
      <c r="B5895" s="5" t="s">
        <v>11876</v>
      </c>
      <c r="C5895" s="7" t="s">
        <v>12556</v>
      </c>
      <c r="D5895" s="8">
        <f t="shared" si="372"/>
        <v>0</v>
      </c>
      <c r="E5895" s="7" t="s">
        <v>12557</v>
      </c>
      <c r="F5895" s="7">
        <f t="shared" si="373"/>
        <v>0</v>
      </c>
      <c r="G5895" s="7" t="s">
        <v>12558</v>
      </c>
      <c r="H5895" s="7">
        <f t="shared" si="374"/>
        <v>0</v>
      </c>
      <c r="I5895" s="7" t="str" cm="1">
        <f t="array" ref="I5895">IFERROR(_xlfn.IFS(M5895="נח",1,M5895="נע ונח",1,M5895="שני שווא נח",2,M5895="שני שוואים בסוף מילה",2,M5895="שני שוואים ברצף",1),"0")</f>
        <v>0</v>
      </c>
      <c r="J5895" s="9">
        <f t="shared" si="375"/>
        <v>3</v>
      </c>
      <c r="K5895" t="s">
        <v>6698</v>
      </c>
      <c r="L5895" t="s">
        <v>6694</v>
      </c>
      <c r="M5895" t="s">
        <v>6700</v>
      </c>
      <c r="N5895" t="s">
        <v>6706</v>
      </c>
      <c r="O5895" t="s">
        <v>6694</v>
      </c>
      <c r="S5895" t="s">
        <v>6694</v>
      </c>
      <c r="W5895" t="s">
        <v>6720</v>
      </c>
    </row>
    <row r="5896" spans="1:23" ht="15.6" x14ac:dyDescent="0.4">
      <c r="A5896" s="2" t="s">
        <v>3534</v>
      </c>
      <c r="B5896" s="5" t="s">
        <v>11877</v>
      </c>
      <c r="C5896" s="7" t="s">
        <v>12556</v>
      </c>
      <c r="D5896" s="8">
        <f t="shared" si="372"/>
        <v>0</v>
      </c>
      <c r="E5896" s="7" t="s">
        <v>12557</v>
      </c>
      <c r="F5896" s="7">
        <f t="shared" si="373"/>
        <v>0</v>
      </c>
      <c r="G5896" s="7" t="s">
        <v>12558</v>
      </c>
      <c r="H5896" s="7">
        <f t="shared" si="374"/>
        <v>0</v>
      </c>
      <c r="I5896" s="7" t="str" cm="1">
        <f t="array" ref="I5896">IFERROR(_xlfn.IFS(M5896="נח",1,M5896="נע ונח",1,M5896="שני שווא נח",2,M5896="שני שוואים בסוף מילה",2,M5896="שני שוואים ברצף",1),"0")</f>
        <v>0</v>
      </c>
      <c r="J5896" s="9">
        <f t="shared" si="375"/>
        <v>2</v>
      </c>
      <c r="K5896" t="s">
        <v>6697</v>
      </c>
      <c r="L5896" t="s">
        <v>6694</v>
      </c>
      <c r="M5896" t="s">
        <v>6700</v>
      </c>
      <c r="Q5896" t="s">
        <v>6694</v>
      </c>
      <c r="W5896" t="s">
        <v>6720</v>
      </c>
    </row>
    <row r="5897" spans="1:23" ht="15.6" x14ac:dyDescent="0.4">
      <c r="A5897" s="2" t="s">
        <v>3516</v>
      </c>
      <c r="B5897" s="5" t="s">
        <v>11878</v>
      </c>
      <c r="C5897" s="7" t="s">
        <v>12556</v>
      </c>
      <c r="D5897" s="8">
        <f t="shared" si="372"/>
        <v>0</v>
      </c>
      <c r="E5897" s="7" t="s">
        <v>12557</v>
      </c>
      <c r="F5897" s="7">
        <f t="shared" si="373"/>
        <v>0</v>
      </c>
      <c r="G5897" s="7" t="s">
        <v>12558</v>
      </c>
      <c r="H5897" s="7">
        <f t="shared" si="374"/>
        <v>0</v>
      </c>
      <c r="I5897" s="7" cm="1">
        <f t="array" ref="I5897">IFERROR(_xlfn.IFS(M5897="נח",1,M5897="נע ונח",1,M5897="שני שווא נח",2,M5897="שני שוואים בסוף מילה",2,M5897="שני שוואים ברצף",1),"0")</f>
        <v>1</v>
      </c>
      <c r="J5897" s="9">
        <f t="shared" si="375"/>
        <v>3</v>
      </c>
      <c r="K5897" t="s">
        <v>6697</v>
      </c>
      <c r="L5897" t="s">
        <v>6694</v>
      </c>
      <c r="M5897" t="s">
        <v>6701</v>
      </c>
      <c r="O5897" t="s">
        <v>6694</v>
      </c>
      <c r="V5897" t="s">
        <v>6694</v>
      </c>
      <c r="W5897" t="s">
        <v>6720</v>
      </c>
    </row>
    <row r="5898" spans="1:23" ht="15.6" x14ac:dyDescent="0.4">
      <c r="A5898" s="2" t="s">
        <v>5619</v>
      </c>
      <c r="B5898" s="5" t="s">
        <v>11878</v>
      </c>
      <c r="C5898" s="7" t="s">
        <v>12556</v>
      </c>
      <c r="D5898" s="8">
        <f t="shared" si="372"/>
        <v>0</v>
      </c>
      <c r="E5898" s="7" t="s">
        <v>12557</v>
      </c>
      <c r="F5898" s="7">
        <f t="shared" si="373"/>
        <v>0</v>
      </c>
      <c r="G5898" s="7" t="s">
        <v>12558</v>
      </c>
      <c r="H5898" s="7">
        <f t="shared" si="374"/>
        <v>0</v>
      </c>
      <c r="I5898" s="7" t="str" cm="1">
        <f t="array" ref="I5898">IFERROR(_xlfn.IFS(M5898="נח",1,M5898="נע ונח",1,M5898="שני שווא נח",2,M5898="שני שוואים בסוף מילה",2,M5898="שני שוואים ברצף",1),"0")</f>
        <v>0</v>
      </c>
      <c r="J5898" s="9">
        <f t="shared" si="375"/>
        <v>4</v>
      </c>
      <c r="K5898" t="s">
        <v>6697</v>
      </c>
      <c r="L5898" t="s">
        <v>6694</v>
      </c>
      <c r="M5898" t="s">
        <v>6700</v>
      </c>
      <c r="O5898" t="s">
        <v>6694</v>
      </c>
      <c r="R5898" t="s">
        <v>6694</v>
      </c>
      <c r="V5898" t="s">
        <v>6694</v>
      </c>
      <c r="W5898" t="s">
        <v>6720</v>
      </c>
    </row>
    <row r="5899" spans="1:23" ht="15.6" x14ac:dyDescent="0.4">
      <c r="A5899" s="2" t="s">
        <v>6285</v>
      </c>
      <c r="B5899" s="5" t="s">
        <v>11879</v>
      </c>
      <c r="C5899" s="7" t="s">
        <v>12556</v>
      </c>
      <c r="D5899" s="8">
        <f t="shared" si="372"/>
        <v>0</v>
      </c>
      <c r="E5899" s="7" t="s">
        <v>12557</v>
      </c>
      <c r="F5899" s="7">
        <f t="shared" si="373"/>
        <v>0</v>
      </c>
      <c r="G5899" s="7" t="s">
        <v>12558</v>
      </c>
      <c r="H5899" s="7">
        <f t="shared" si="374"/>
        <v>0</v>
      </c>
      <c r="I5899" s="7" t="str" cm="1">
        <f t="array" ref="I5899">IFERROR(_xlfn.IFS(M5899="נח",1,M5899="נע ונח",1,M5899="שני שווא נח",2,M5899="שני שוואים בסוף מילה",2,M5899="שני שוואים ברצף",1),"0")</f>
        <v>0</v>
      </c>
      <c r="J5899" s="9">
        <f t="shared" si="375"/>
        <v>3</v>
      </c>
      <c r="K5899" t="s">
        <v>6697</v>
      </c>
      <c r="L5899" t="s">
        <v>6694</v>
      </c>
      <c r="M5899" t="s">
        <v>6700</v>
      </c>
      <c r="V5899" t="s">
        <v>6694</v>
      </c>
      <c r="W5899" t="s">
        <v>6720</v>
      </c>
    </row>
    <row r="5900" spans="1:23" ht="15.6" x14ac:dyDescent="0.4">
      <c r="A5900" s="2" t="s">
        <v>65</v>
      </c>
      <c r="B5900" s="5" t="s">
        <v>11880</v>
      </c>
      <c r="C5900" s="7" t="s">
        <v>12556</v>
      </c>
      <c r="D5900" s="8">
        <f t="shared" si="372"/>
        <v>1</v>
      </c>
      <c r="E5900" s="7" t="s">
        <v>12557</v>
      </c>
      <c r="F5900" s="7">
        <f t="shared" si="373"/>
        <v>0</v>
      </c>
      <c r="G5900" s="7" t="s">
        <v>12558</v>
      </c>
      <c r="H5900" s="7">
        <f t="shared" si="374"/>
        <v>0</v>
      </c>
      <c r="I5900" s="7" t="str" cm="1">
        <f t="array" ref="I5900">IFERROR(_xlfn.IFS(M5900="נח",1,M5900="נע ונח",1,M5900="שני שווא נח",2,M5900="שני שוואים בסוף מילה",2,M5900="שני שוואים ברצף",1),"0")</f>
        <v>0</v>
      </c>
      <c r="J5900" s="9">
        <f t="shared" si="375"/>
        <v>3</v>
      </c>
      <c r="K5900" t="s">
        <v>6698</v>
      </c>
      <c r="L5900" t="s">
        <v>6694</v>
      </c>
      <c r="M5900" t="s">
        <v>6700</v>
      </c>
      <c r="O5900" t="s">
        <v>6694</v>
      </c>
      <c r="S5900" t="s">
        <v>6694</v>
      </c>
      <c r="W5900" t="s">
        <v>6720</v>
      </c>
    </row>
    <row r="5901" spans="1:23" ht="15.6" x14ac:dyDescent="0.4">
      <c r="A5901" s="2" t="s">
        <v>5471</v>
      </c>
      <c r="B5901" s="5" t="s">
        <v>11881</v>
      </c>
      <c r="C5901" s="7" t="s">
        <v>12556</v>
      </c>
      <c r="D5901" s="8">
        <f t="shared" si="372"/>
        <v>1</v>
      </c>
      <c r="E5901" s="7" t="s">
        <v>12557</v>
      </c>
      <c r="F5901" s="7">
        <f t="shared" si="373"/>
        <v>0</v>
      </c>
      <c r="G5901" s="7" t="s">
        <v>12558</v>
      </c>
      <c r="H5901" s="7">
        <f t="shared" si="374"/>
        <v>0</v>
      </c>
      <c r="I5901" s="7" t="str" cm="1">
        <f t="array" ref="I5901">IFERROR(_xlfn.IFS(M5901="נח",1,M5901="נע ונח",1,M5901="שני שווא נח",2,M5901="שני שוואים בסוף מילה",2,M5901="שני שוואים ברצף",1),"0")</f>
        <v>0</v>
      </c>
      <c r="J5901" s="9">
        <f t="shared" si="375"/>
        <v>3</v>
      </c>
      <c r="K5901" t="s">
        <v>6698</v>
      </c>
      <c r="L5901" t="s">
        <v>6695</v>
      </c>
      <c r="S5901" t="s">
        <v>6694</v>
      </c>
      <c r="V5901" t="s">
        <v>6694</v>
      </c>
      <c r="W5901" t="s">
        <v>6720</v>
      </c>
    </row>
    <row r="5902" spans="1:23" ht="15.6" x14ac:dyDescent="0.4">
      <c r="A5902" s="2" t="s">
        <v>3638</v>
      </c>
      <c r="B5902" s="5" t="s">
        <v>11882</v>
      </c>
      <c r="C5902" s="7" t="s">
        <v>12556</v>
      </c>
      <c r="D5902" s="8">
        <f t="shared" si="372"/>
        <v>0</v>
      </c>
      <c r="E5902" s="7" t="s">
        <v>12557</v>
      </c>
      <c r="F5902" s="7">
        <f t="shared" si="373"/>
        <v>1</v>
      </c>
      <c r="G5902" s="7" t="s">
        <v>12558</v>
      </c>
      <c r="H5902" s="7">
        <f t="shared" si="374"/>
        <v>0</v>
      </c>
      <c r="I5902" s="7" t="str" cm="1">
        <f t="array" ref="I5902">IFERROR(_xlfn.IFS(M5902="נח",1,M5902="נע ונח",1,M5902="שני שווא נח",2,M5902="שני שוואים בסוף מילה",2,M5902="שני שוואים ברצף",1),"0")</f>
        <v>0</v>
      </c>
      <c r="J5902" s="9">
        <f t="shared" si="375"/>
        <v>3</v>
      </c>
      <c r="K5902" t="s">
        <v>6698</v>
      </c>
      <c r="L5902" t="s">
        <v>6695</v>
      </c>
      <c r="O5902" t="s">
        <v>6694</v>
      </c>
      <c r="S5902" t="s">
        <v>6694</v>
      </c>
      <c r="W5902" t="s">
        <v>6720</v>
      </c>
    </row>
    <row r="5903" spans="1:23" ht="15.6" x14ac:dyDescent="0.4">
      <c r="A5903" s="2" t="s">
        <v>4531</v>
      </c>
      <c r="B5903" s="5" t="s">
        <v>11883</v>
      </c>
      <c r="C5903" s="7" t="s">
        <v>12556</v>
      </c>
      <c r="D5903" s="8">
        <f t="shared" si="372"/>
        <v>0</v>
      </c>
      <c r="E5903" s="7" t="s">
        <v>12557</v>
      </c>
      <c r="F5903" s="7">
        <f t="shared" si="373"/>
        <v>1</v>
      </c>
      <c r="G5903" s="7" t="s">
        <v>12558</v>
      </c>
      <c r="H5903" s="7">
        <f t="shared" si="374"/>
        <v>0</v>
      </c>
      <c r="I5903" s="7" t="str" cm="1">
        <f t="array" ref="I5903">IFERROR(_xlfn.IFS(M5903="נח",1,M5903="נע ונח",1,M5903="שני שווא נח",2,M5903="שני שוואים בסוף מילה",2,M5903="שני שוואים ברצף",1),"0")</f>
        <v>0</v>
      </c>
      <c r="J5903" s="9">
        <f t="shared" si="375"/>
        <v>4</v>
      </c>
      <c r="K5903" t="s">
        <v>6698</v>
      </c>
      <c r="L5903" t="s">
        <v>6695</v>
      </c>
      <c r="P5903" t="s">
        <v>6694</v>
      </c>
      <c r="S5903" t="s">
        <v>6694</v>
      </c>
      <c r="V5903" t="s">
        <v>6694</v>
      </c>
      <c r="W5903" t="s">
        <v>6720</v>
      </c>
    </row>
    <row r="5904" spans="1:23" ht="15.6" x14ac:dyDescent="0.4">
      <c r="A5904" s="2" t="s">
        <v>2092</v>
      </c>
      <c r="B5904" s="5" t="s">
        <v>11884</v>
      </c>
      <c r="C5904" s="7" t="s">
        <v>12556</v>
      </c>
      <c r="D5904" s="8">
        <f t="shared" si="372"/>
        <v>0</v>
      </c>
      <c r="E5904" s="7" t="s">
        <v>12557</v>
      </c>
      <c r="F5904" s="7">
        <f t="shared" si="373"/>
        <v>0</v>
      </c>
      <c r="G5904" s="7" t="s">
        <v>12558</v>
      </c>
      <c r="H5904" s="7">
        <f t="shared" si="374"/>
        <v>0</v>
      </c>
      <c r="I5904" s="7" cm="1">
        <f t="array" ref="I5904">IFERROR(_xlfn.IFS(M5904="נח",1,M5904="נע ונח",1,M5904="שני שווא נח",2,M5904="שני שוואים בסוף מילה",2,M5904="שני שוואים ברצף",1),"0")</f>
        <v>1</v>
      </c>
      <c r="J5904" s="9">
        <f t="shared" si="375"/>
        <v>2</v>
      </c>
      <c r="K5904" t="s">
        <v>6698</v>
      </c>
      <c r="L5904" t="s">
        <v>6694</v>
      </c>
      <c r="M5904" t="s">
        <v>6705</v>
      </c>
      <c r="Q5904" t="s">
        <v>6694</v>
      </c>
      <c r="S5904" t="s">
        <v>6694</v>
      </c>
      <c r="W5904" t="s">
        <v>6720</v>
      </c>
    </row>
    <row r="5905" spans="1:23" ht="15.6" x14ac:dyDescent="0.4">
      <c r="A5905" s="2" t="s">
        <v>499</v>
      </c>
      <c r="B5905" s="5" t="s">
        <v>11885</v>
      </c>
      <c r="C5905" s="7" t="s">
        <v>12556</v>
      </c>
      <c r="D5905" s="8">
        <f t="shared" si="372"/>
        <v>0</v>
      </c>
      <c r="E5905" s="7" t="s">
        <v>12557</v>
      </c>
      <c r="F5905" s="7">
        <f t="shared" si="373"/>
        <v>1</v>
      </c>
      <c r="G5905" s="7" t="s">
        <v>12558</v>
      </c>
      <c r="H5905" s="7">
        <f t="shared" si="374"/>
        <v>1</v>
      </c>
      <c r="I5905" s="7" cm="1">
        <f t="array" ref="I5905">IFERROR(_xlfn.IFS(M5905="נח",1,M5905="נע ונח",1,M5905="שני שווא נח",2,M5905="שני שוואים בסוף מילה",2,M5905="שני שוואים ברצף",1),"0")</f>
        <v>1</v>
      </c>
      <c r="J5905" s="9">
        <f t="shared" si="375"/>
        <v>2</v>
      </c>
      <c r="K5905" t="s">
        <v>6697</v>
      </c>
      <c r="L5905" t="s">
        <v>6694</v>
      </c>
      <c r="M5905" t="s">
        <v>6705</v>
      </c>
      <c r="S5905" t="s">
        <v>6694</v>
      </c>
      <c r="U5905" t="s">
        <v>6694</v>
      </c>
      <c r="W5905" t="s">
        <v>6720</v>
      </c>
    </row>
    <row r="5906" spans="1:23" ht="15.6" x14ac:dyDescent="0.4">
      <c r="A5906" s="2" t="s">
        <v>2842</v>
      </c>
      <c r="B5906" s="5" t="s">
        <v>11886</v>
      </c>
      <c r="C5906" s="7" t="s">
        <v>12556</v>
      </c>
      <c r="D5906" s="8">
        <f t="shared" si="372"/>
        <v>0</v>
      </c>
      <c r="E5906" s="7" t="s">
        <v>12557</v>
      </c>
      <c r="F5906" s="7">
        <f t="shared" si="373"/>
        <v>0</v>
      </c>
      <c r="G5906" s="7" t="s">
        <v>12558</v>
      </c>
      <c r="H5906" s="7">
        <f t="shared" si="374"/>
        <v>0</v>
      </c>
      <c r="I5906" s="7" t="str" cm="1">
        <f t="array" ref="I5906">IFERROR(_xlfn.IFS(M5906="נח",1,M5906="נע ונח",1,M5906="שני שווא נח",2,M5906="שני שוואים בסוף מילה",2,M5906="שני שוואים ברצף",1),"0")</f>
        <v>0</v>
      </c>
      <c r="J5906" s="9">
        <f t="shared" si="375"/>
        <v>2</v>
      </c>
      <c r="K5906" t="s">
        <v>6698</v>
      </c>
      <c r="L5906" t="s">
        <v>6695</v>
      </c>
      <c r="P5906" t="s">
        <v>6694</v>
      </c>
      <c r="S5906" t="s">
        <v>6694</v>
      </c>
      <c r="W5906" t="s">
        <v>6720</v>
      </c>
    </row>
    <row r="5907" spans="1:23" ht="15.6" x14ac:dyDescent="0.4">
      <c r="A5907" s="2" t="s">
        <v>5695</v>
      </c>
      <c r="B5907" s="5" t="s">
        <v>11887</v>
      </c>
      <c r="C5907" s="7" t="s">
        <v>12556</v>
      </c>
      <c r="D5907" s="8">
        <f t="shared" si="372"/>
        <v>0</v>
      </c>
      <c r="E5907" s="7" t="s">
        <v>12557</v>
      </c>
      <c r="F5907" s="7">
        <f t="shared" si="373"/>
        <v>0</v>
      </c>
      <c r="G5907" s="7" t="s">
        <v>12558</v>
      </c>
      <c r="H5907" s="7">
        <f t="shared" si="374"/>
        <v>0</v>
      </c>
      <c r="I5907" s="7" t="str" cm="1">
        <f t="array" ref="I5907">IFERROR(_xlfn.IFS(M5907="נח",1,M5907="נע ונח",1,M5907="שני שווא נח",2,M5907="שני שוואים בסוף מילה",2,M5907="שני שוואים ברצף",1),"0")</f>
        <v>0</v>
      </c>
      <c r="J5907" s="9">
        <f t="shared" si="375"/>
        <v>3</v>
      </c>
      <c r="K5907" t="s">
        <v>6697</v>
      </c>
      <c r="L5907" t="s">
        <v>6695</v>
      </c>
      <c r="O5907" t="s">
        <v>6694</v>
      </c>
      <c r="R5907" t="s">
        <v>6694</v>
      </c>
      <c r="S5907" t="s">
        <v>6694</v>
      </c>
      <c r="W5907" t="s">
        <v>6720</v>
      </c>
    </row>
    <row r="5908" spans="1:23" ht="15.6" x14ac:dyDescent="0.4">
      <c r="A5908" s="2" t="s">
        <v>2779</v>
      </c>
      <c r="B5908" s="5" t="s">
        <v>11888</v>
      </c>
      <c r="C5908" s="7" t="s">
        <v>12556</v>
      </c>
      <c r="D5908" s="8">
        <f t="shared" si="372"/>
        <v>0</v>
      </c>
      <c r="E5908" s="7" t="s">
        <v>12557</v>
      </c>
      <c r="F5908" s="7">
        <f t="shared" si="373"/>
        <v>0</v>
      </c>
      <c r="G5908" s="7" t="s">
        <v>12558</v>
      </c>
      <c r="H5908" s="7">
        <f t="shared" si="374"/>
        <v>0</v>
      </c>
      <c r="I5908" s="7" t="str" cm="1">
        <f t="array" ref="I5908">IFERROR(_xlfn.IFS(M5908="נח",1,M5908="נע ונח",1,M5908="שני שווא נח",2,M5908="שני שוואים בסוף מילה",2,M5908="שני שוואים ברצף",1),"0")</f>
        <v>0</v>
      </c>
      <c r="J5908" s="9">
        <f t="shared" si="375"/>
        <v>2</v>
      </c>
      <c r="K5908" t="s">
        <v>6697</v>
      </c>
      <c r="L5908" t="s">
        <v>6695</v>
      </c>
      <c r="O5908" t="s">
        <v>6694</v>
      </c>
      <c r="S5908" t="s">
        <v>6694</v>
      </c>
      <c r="W5908" t="s">
        <v>6720</v>
      </c>
    </row>
    <row r="5909" spans="1:23" ht="15.6" x14ac:dyDescent="0.4">
      <c r="A5909" s="2" t="s">
        <v>599</v>
      </c>
      <c r="B5909" s="5" t="s">
        <v>11889</v>
      </c>
      <c r="C5909" s="7" t="s">
        <v>12556</v>
      </c>
      <c r="D5909" s="8">
        <f t="shared" si="372"/>
        <v>0</v>
      </c>
      <c r="E5909" s="7" t="s">
        <v>12557</v>
      </c>
      <c r="F5909" s="7">
        <f t="shared" si="373"/>
        <v>0</v>
      </c>
      <c r="G5909" s="7" t="s">
        <v>12558</v>
      </c>
      <c r="H5909" s="7">
        <f t="shared" si="374"/>
        <v>0</v>
      </c>
      <c r="I5909" s="7" t="str" cm="1">
        <f t="array" ref="I5909">IFERROR(_xlfn.IFS(M5909="נח",1,M5909="נע ונח",1,M5909="שני שווא נח",2,M5909="שני שוואים בסוף מילה",2,M5909="שני שוואים ברצף",1),"0")</f>
        <v>0</v>
      </c>
      <c r="J5909" s="9">
        <f t="shared" si="375"/>
        <v>1</v>
      </c>
      <c r="K5909" t="s">
        <v>6698</v>
      </c>
      <c r="L5909" t="s">
        <v>6695</v>
      </c>
      <c r="S5909" t="s">
        <v>6694</v>
      </c>
      <c r="W5909" t="s">
        <v>6720</v>
      </c>
    </row>
    <row r="5910" spans="1:23" ht="15.6" x14ac:dyDescent="0.4">
      <c r="A5910" s="2" t="s">
        <v>1725</v>
      </c>
      <c r="B5910" s="5" t="s">
        <v>11890</v>
      </c>
      <c r="C5910" s="7" t="s">
        <v>12556</v>
      </c>
      <c r="D5910" s="8">
        <f t="shared" si="372"/>
        <v>0</v>
      </c>
      <c r="E5910" s="7" t="s">
        <v>12557</v>
      </c>
      <c r="F5910" s="7">
        <f t="shared" si="373"/>
        <v>1</v>
      </c>
      <c r="G5910" s="7" t="s">
        <v>12558</v>
      </c>
      <c r="H5910" s="7">
        <f t="shared" si="374"/>
        <v>0</v>
      </c>
      <c r="I5910" s="7" t="str" cm="1">
        <f t="array" ref="I5910">IFERROR(_xlfn.IFS(M5910="נח",1,M5910="נע ונח",1,M5910="שני שווא נח",2,M5910="שני שוואים בסוף מילה",2,M5910="שני שוואים ברצף",1),"0")</f>
        <v>0</v>
      </c>
      <c r="J5910" s="9">
        <f t="shared" si="375"/>
        <v>2</v>
      </c>
      <c r="K5910" t="s">
        <v>6697</v>
      </c>
      <c r="L5910" t="s">
        <v>6695</v>
      </c>
      <c r="O5910" t="s">
        <v>6694</v>
      </c>
      <c r="S5910" t="s">
        <v>6694</v>
      </c>
      <c r="W5910" t="s">
        <v>6720</v>
      </c>
    </row>
    <row r="5911" spans="1:23" ht="15.6" x14ac:dyDescent="0.4">
      <c r="A5911" s="2" t="s">
        <v>4275</v>
      </c>
      <c r="B5911" s="5" t="s">
        <v>11891</v>
      </c>
      <c r="C5911" s="7" t="s">
        <v>12556</v>
      </c>
      <c r="D5911" s="8">
        <f t="shared" si="372"/>
        <v>0</v>
      </c>
      <c r="E5911" s="7" t="s">
        <v>12557</v>
      </c>
      <c r="F5911" s="7">
        <f t="shared" si="373"/>
        <v>1</v>
      </c>
      <c r="G5911" s="7" t="s">
        <v>12558</v>
      </c>
      <c r="H5911" s="7">
        <f t="shared" si="374"/>
        <v>0</v>
      </c>
      <c r="I5911" s="7" t="str" cm="1">
        <f t="array" ref="I5911">IFERROR(_xlfn.IFS(M5911="נח",1,M5911="נע ונח",1,M5911="שני שווא נח",2,M5911="שני שוואים בסוף מילה",2,M5911="שני שוואים ברצף",1),"0")</f>
        <v>0</v>
      </c>
      <c r="J5911" s="9">
        <f t="shared" si="375"/>
        <v>3</v>
      </c>
      <c r="K5911" t="s">
        <v>6697</v>
      </c>
      <c r="L5911" t="s">
        <v>6695</v>
      </c>
      <c r="O5911" t="s">
        <v>6694</v>
      </c>
      <c r="S5911" t="s">
        <v>6694</v>
      </c>
      <c r="W5911" t="s">
        <v>6720</v>
      </c>
    </row>
    <row r="5912" spans="1:23" ht="15.6" x14ac:dyDescent="0.4">
      <c r="A5912" s="2" t="s">
        <v>5672</v>
      </c>
      <c r="B5912" s="5" t="s">
        <v>11892</v>
      </c>
      <c r="C5912" s="7" t="s">
        <v>12556</v>
      </c>
      <c r="D5912" s="8">
        <f t="shared" si="372"/>
        <v>0</v>
      </c>
      <c r="E5912" s="7" t="s">
        <v>12557</v>
      </c>
      <c r="F5912" s="7">
        <f t="shared" si="373"/>
        <v>2</v>
      </c>
      <c r="G5912" s="7" t="s">
        <v>12558</v>
      </c>
      <c r="H5912" s="7">
        <f t="shared" si="374"/>
        <v>0</v>
      </c>
      <c r="I5912" s="7" cm="1">
        <f t="array" ref="I5912">IFERROR(_xlfn.IFS(M5912="נח",1,M5912="נע ונח",1,M5912="שני שווא נח",2,M5912="שני שוואים בסוף מילה",2,M5912="שני שוואים ברצף",1),"0")</f>
        <v>1</v>
      </c>
      <c r="J5912" s="9">
        <f t="shared" si="375"/>
        <v>3</v>
      </c>
      <c r="K5912" t="s">
        <v>6698</v>
      </c>
      <c r="L5912" t="s">
        <v>6694</v>
      </c>
      <c r="M5912" t="s">
        <v>6705</v>
      </c>
      <c r="O5912" t="s">
        <v>6694</v>
      </c>
      <c r="P5912" t="s">
        <v>6694</v>
      </c>
      <c r="S5912" t="s">
        <v>6694</v>
      </c>
      <c r="W5912" t="s">
        <v>6720</v>
      </c>
    </row>
    <row r="5913" spans="1:23" ht="15.6" x14ac:dyDescent="0.4">
      <c r="A5913" s="2" t="s">
        <v>2809</v>
      </c>
      <c r="B5913" s="5" t="s">
        <v>11893</v>
      </c>
      <c r="C5913" s="7" t="s">
        <v>12556</v>
      </c>
      <c r="D5913" s="8">
        <f t="shared" si="372"/>
        <v>1</v>
      </c>
      <c r="E5913" s="7" t="s">
        <v>12557</v>
      </c>
      <c r="F5913" s="7">
        <f t="shared" si="373"/>
        <v>0</v>
      </c>
      <c r="G5913" s="7" t="s">
        <v>12558</v>
      </c>
      <c r="H5913" s="7">
        <f t="shared" si="374"/>
        <v>0</v>
      </c>
      <c r="I5913" s="7" cm="1">
        <f t="array" ref="I5913">IFERROR(_xlfn.IFS(M5913="נח",1,M5913="נע ונח",1,M5913="שני שווא נח",2,M5913="שני שוואים בסוף מילה",2,M5913="שני שוואים ברצף",1),"0")</f>
        <v>1</v>
      </c>
      <c r="J5913" s="9">
        <f t="shared" si="375"/>
        <v>2</v>
      </c>
      <c r="K5913" t="s">
        <v>6698</v>
      </c>
      <c r="L5913" t="s">
        <v>6694</v>
      </c>
      <c r="M5913" t="s">
        <v>6705</v>
      </c>
      <c r="Q5913" t="s">
        <v>6694</v>
      </c>
      <c r="S5913" t="s">
        <v>6694</v>
      </c>
      <c r="W5913" t="s">
        <v>6720</v>
      </c>
    </row>
    <row r="5914" spans="1:23" ht="15.6" x14ac:dyDescent="0.4">
      <c r="A5914" s="2" t="s">
        <v>5172</v>
      </c>
      <c r="B5914" s="5" t="s">
        <v>11894</v>
      </c>
      <c r="C5914" s="7" t="s">
        <v>12556</v>
      </c>
      <c r="D5914" s="8">
        <f t="shared" si="372"/>
        <v>1</v>
      </c>
      <c r="E5914" s="7" t="s">
        <v>12557</v>
      </c>
      <c r="F5914" s="7">
        <f t="shared" si="373"/>
        <v>0</v>
      </c>
      <c r="G5914" s="7" t="s">
        <v>12558</v>
      </c>
      <c r="H5914" s="7">
        <f t="shared" si="374"/>
        <v>0</v>
      </c>
      <c r="I5914" s="7" cm="1">
        <f t="array" ref="I5914">IFERROR(_xlfn.IFS(M5914="נח",1,M5914="נע ונח",1,M5914="שני שווא נח",2,M5914="שני שוואים בסוף מילה",2,M5914="שני שוואים ברצף",1),"0")</f>
        <v>1</v>
      </c>
      <c r="J5914" s="9">
        <f t="shared" si="375"/>
        <v>2</v>
      </c>
      <c r="K5914" t="s">
        <v>6697</v>
      </c>
      <c r="L5914" t="s">
        <v>6694</v>
      </c>
      <c r="M5914" t="s">
        <v>6705</v>
      </c>
      <c r="S5914" t="s">
        <v>6694</v>
      </c>
      <c r="V5914" t="s">
        <v>6694</v>
      </c>
      <c r="W5914" t="s">
        <v>6720</v>
      </c>
    </row>
    <row r="5915" spans="1:23" ht="15.6" x14ac:dyDescent="0.4">
      <c r="A5915" s="2" t="s">
        <v>4692</v>
      </c>
      <c r="B5915" s="5" t="s">
        <v>11895</v>
      </c>
      <c r="C5915" s="7" t="s">
        <v>12556</v>
      </c>
      <c r="D5915" s="8">
        <f t="shared" si="372"/>
        <v>1</v>
      </c>
      <c r="E5915" s="7" t="s">
        <v>12557</v>
      </c>
      <c r="F5915" s="7">
        <f t="shared" si="373"/>
        <v>0</v>
      </c>
      <c r="G5915" s="7" t="s">
        <v>12558</v>
      </c>
      <c r="H5915" s="7">
        <f t="shared" si="374"/>
        <v>0</v>
      </c>
      <c r="I5915" s="7" cm="1">
        <f t="array" ref="I5915">IFERROR(_xlfn.IFS(M5915="נח",1,M5915="נע ונח",1,M5915="שני שווא נח",2,M5915="שני שוואים בסוף מילה",2,M5915="שני שוואים ברצף",1),"0")</f>
        <v>1</v>
      </c>
      <c r="J5915" s="9">
        <f t="shared" si="375"/>
        <v>2</v>
      </c>
      <c r="K5915" t="s">
        <v>6698</v>
      </c>
      <c r="L5915" t="s">
        <v>6694</v>
      </c>
      <c r="M5915" t="s">
        <v>6705</v>
      </c>
      <c r="Q5915" t="s">
        <v>6694</v>
      </c>
      <c r="S5915" t="s">
        <v>6694</v>
      </c>
      <c r="W5915" t="s">
        <v>6720</v>
      </c>
    </row>
    <row r="5916" spans="1:23" ht="15.6" x14ac:dyDescent="0.4">
      <c r="A5916" s="2" t="s">
        <v>971</v>
      </c>
      <c r="B5916" s="5" t="s">
        <v>11896</v>
      </c>
      <c r="C5916" s="7" t="s">
        <v>12556</v>
      </c>
      <c r="D5916" s="8">
        <f t="shared" si="372"/>
        <v>1</v>
      </c>
      <c r="E5916" s="7" t="s">
        <v>12557</v>
      </c>
      <c r="F5916" s="7">
        <f t="shared" si="373"/>
        <v>1</v>
      </c>
      <c r="G5916" s="7" t="s">
        <v>12558</v>
      </c>
      <c r="H5916" s="7">
        <f t="shared" si="374"/>
        <v>0</v>
      </c>
      <c r="I5916" s="7" cm="1">
        <f t="array" ref="I5916">IFERROR(_xlfn.IFS(M5916="נח",1,M5916="נע ונח",1,M5916="שני שווא נח",2,M5916="שני שוואים בסוף מילה",2,M5916="שני שוואים ברצף",1),"0")</f>
        <v>1</v>
      </c>
      <c r="J5916" s="9">
        <f t="shared" si="375"/>
        <v>2</v>
      </c>
      <c r="K5916" t="s">
        <v>6698</v>
      </c>
      <c r="L5916" t="s">
        <v>6694</v>
      </c>
      <c r="M5916" t="s">
        <v>6705</v>
      </c>
      <c r="N5916" t="s">
        <v>6706</v>
      </c>
      <c r="O5916" t="s">
        <v>6694</v>
      </c>
      <c r="S5916" t="s">
        <v>6694</v>
      </c>
      <c r="W5916" t="s">
        <v>6720</v>
      </c>
    </row>
    <row r="5917" spans="1:23" ht="15.6" x14ac:dyDescent="0.4">
      <c r="A5917" s="2" t="s">
        <v>1176</v>
      </c>
      <c r="B5917" s="5" t="s">
        <v>11897</v>
      </c>
      <c r="C5917" s="7" t="s">
        <v>12556</v>
      </c>
      <c r="D5917" s="8">
        <f t="shared" si="372"/>
        <v>1</v>
      </c>
      <c r="E5917" s="7" t="s">
        <v>12557</v>
      </c>
      <c r="F5917" s="7">
        <f t="shared" si="373"/>
        <v>0</v>
      </c>
      <c r="G5917" s="7" t="s">
        <v>12558</v>
      </c>
      <c r="H5917" s="7">
        <f t="shared" si="374"/>
        <v>0</v>
      </c>
      <c r="I5917" s="7" t="str" cm="1">
        <f t="array" ref="I5917">IFERROR(_xlfn.IFS(M5917="נח",1,M5917="נע ונח",1,M5917="שני שווא נח",2,M5917="שני שוואים בסוף מילה",2,M5917="שני שוואים ברצף",1),"0")</f>
        <v>0</v>
      </c>
      <c r="J5917" s="9">
        <f t="shared" si="375"/>
        <v>2</v>
      </c>
      <c r="K5917" t="s">
        <v>6698</v>
      </c>
      <c r="L5917" t="s">
        <v>6695</v>
      </c>
      <c r="Q5917" t="s">
        <v>6694</v>
      </c>
      <c r="S5917" t="s">
        <v>6694</v>
      </c>
      <c r="W5917" t="s">
        <v>6720</v>
      </c>
    </row>
    <row r="5918" spans="1:23" ht="15.6" x14ac:dyDescent="0.4">
      <c r="A5918" s="2" t="s">
        <v>6251</v>
      </c>
      <c r="B5918" s="5" t="s">
        <v>11898</v>
      </c>
      <c r="C5918" s="7" t="s">
        <v>12556</v>
      </c>
      <c r="D5918" s="8">
        <f t="shared" si="372"/>
        <v>0</v>
      </c>
      <c r="E5918" s="7" t="s">
        <v>12557</v>
      </c>
      <c r="F5918" s="7">
        <f t="shared" si="373"/>
        <v>0</v>
      </c>
      <c r="G5918" s="7" t="s">
        <v>12558</v>
      </c>
      <c r="H5918" s="7">
        <f t="shared" si="374"/>
        <v>0</v>
      </c>
      <c r="I5918" s="7" t="str" cm="1">
        <f t="array" ref="I5918">IFERROR(_xlfn.IFS(M5918="נח",1,M5918="נע ונח",1,M5918="שני שווא נח",2,M5918="שני שוואים בסוף מילה",2,M5918="שני שוואים ברצף",1),"0")</f>
        <v>0</v>
      </c>
      <c r="J5918" s="9">
        <f t="shared" si="375"/>
        <v>2</v>
      </c>
      <c r="K5918" t="s">
        <v>6698</v>
      </c>
      <c r="L5918" t="s">
        <v>6695</v>
      </c>
      <c r="N5918" t="s">
        <v>6706</v>
      </c>
      <c r="O5918" t="s">
        <v>6694</v>
      </c>
      <c r="Q5918" t="s">
        <v>6694</v>
      </c>
      <c r="W5918" t="s">
        <v>6720</v>
      </c>
    </row>
    <row r="5919" spans="1:23" ht="15.6" x14ac:dyDescent="0.4">
      <c r="A5919" s="2" t="s">
        <v>5901</v>
      </c>
      <c r="B5919" s="5" t="s">
        <v>11899</v>
      </c>
      <c r="C5919" s="7" t="s">
        <v>12556</v>
      </c>
      <c r="D5919" s="8">
        <f t="shared" si="372"/>
        <v>0</v>
      </c>
      <c r="E5919" s="7" t="s">
        <v>12557</v>
      </c>
      <c r="F5919" s="7">
        <f t="shared" si="373"/>
        <v>0</v>
      </c>
      <c r="G5919" s="7" t="s">
        <v>12558</v>
      </c>
      <c r="H5919" s="7">
        <f t="shared" si="374"/>
        <v>0</v>
      </c>
      <c r="I5919" s="7" t="str" cm="1">
        <f t="array" ref="I5919">IFERROR(_xlfn.IFS(M5919="נח",1,M5919="נע ונח",1,M5919="שני שווא נח",2,M5919="שני שוואים בסוף מילה",2,M5919="שני שוואים ברצף",1),"0")</f>
        <v>0</v>
      </c>
      <c r="J5919" s="9">
        <f t="shared" si="375"/>
        <v>2</v>
      </c>
      <c r="K5919" t="s">
        <v>6698</v>
      </c>
      <c r="L5919" t="s">
        <v>6695</v>
      </c>
      <c r="Q5919" t="s">
        <v>6694</v>
      </c>
      <c r="S5919" t="s">
        <v>6694</v>
      </c>
      <c r="W5919" t="s">
        <v>6720</v>
      </c>
    </row>
    <row r="5920" spans="1:23" ht="15.6" x14ac:dyDescent="0.4">
      <c r="A5920" s="2" t="s">
        <v>1808</v>
      </c>
      <c r="B5920" s="5" t="s">
        <v>11900</v>
      </c>
      <c r="C5920" s="7" t="s">
        <v>12556</v>
      </c>
      <c r="D5920" s="8">
        <f t="shared" si="372"/>
        <v>0</v>
      </c>
      <c r="E5920" s="7" t="s">
        <v>12557</v>
      </c>
      <c r="F5920" s="7">
        <f t="shared" si="373"/>
        <v>1</v>
      </c>
      <c r="G5920" s="7" t="s">
        <v>12558</v>
      </c>
      <c r="H5920" s="7">
        <f t="shared" si="374"/>
        <v>1</v>
      </c>
      <c r="I5920" s="7" t="str" cm="1">
        <f t="array" ref="I5920">IFERROR(_xlfn.IFS(M5920="נח",1,M5920="נע ונח",1,M5920="שני שווא נח",2,M5920="שני שוואים בסוף מילה",2,M5920="שני שוואים ברצף",1),"0")</f>
        <v>0</v>
      </c>
      <c r="J5920" s="9">
        <f t="shared" si="375"/>
        <v>3</v>
      </c>
      <c r="K5920" t="s">
        <v>6697</v>
      </c>
      <c r="L5920" t="s">
        <v>6695</v>
      </c>
      <c r="Q5920" t="s">
        <v>6694</v>
      </c>
      <c r="U5920" t="s">
        <v>6694</v>
      </c>
      <c r="W5920" t="s">
        <v>6720</v>
      </c>
    </row>
    <row r="5921" spans="1:23" ht="15.6" x14ac:dyDescent="0.4">
      <c r="A5921" s="2" t="s">
        <v>2669</v>
      </c>
      <c r="B5921" s="5" t="s">
        <v>11901</v>
      </c>
      <c r="C5921" s="7" t="s">
        <v>12556</v>
      </c>
      <c r="D5921" s="8">
        <f t="shared" si="372"/>
        <v>0</v>
      </c>
      <c r="E5921" s="7" t="s">
        <v>12557</v>
      </c>
      <c r="F5921" s="7">
        <f t="shared" si="373"/>
        <v>0</v>
      </c>
      <c r="G5921" s="7" t="s">
        <v>12558</v>
      </c>
      <c r="H5921" s="7">
        <f t="shared" si="374"/>
        <v>0</v>
      </c>
      <c r="I5921" s="7" t="str" cm="1">
        <f t="array" ref="I5921">IFERROR(_xlfn.IFS(M5921="נח",1,M5921="נע ונח",1,M5921="שני שווא נח",2,M5921="שני שוואים בסוף מילה",2,M5921="שני שוואים ברצף",1),"0")</f>
        <v>0</v>
      </c>
      <c r="J5921" s="9">
        <f t="shared" si="375"/>
        <v>3</v>
      </c>
      <c r="K5921" t="s">
        <v>6698</v>
      </c>
      <c r="L5921" t="s">
        <v>6695</v>
      </c>
      <c r="Q5921" t="s">
        <v>6694</v>
      </c>
      <c r="R5921" t="s">
        <v>6694</v>
      </c>
      <c r="W5921" t="s">
        <v>6720</v>
      </c>
    </row>
    <row r="5922" spans="1:23" ht="15.6" x14ac:dyDescent="0.4">
      <c r="A5922" s="2" t="s">
        <v>5074</v>
      </c>
      <c r="B5922" s="5" t="s">
        <v>11902</v>
      </c>
      <c r="C5922" s="7" t="s">
        <v>12556</v>
      </c>
      <c r="D5922" s="8">
        <f t="shared" si="372"/>
        <v>0</v>
      </c>
      <c r="E5922" s="7" t="s">
        <v>12557</v>
      </c>
      <c r="F5922" s="7">
        <f t="shared" si="373"/>
        <v>0</v>
      </c>
      <c r="G5922" s="7" t="s">
        <v>12558</v>
      </c>
      <c r="H5922" s="7">
        <f t="shared" si="374"/>
        <v>0</v>
      </c>
      <c r="I5922" s="7" t="str" cm="1">
        <f t="array" ref="I5922">IFERROR(_xlfn.IFS(M5922="נח",1,M5922="נע ונח",1,M5922="שני שווא נח",2,M5922="שני שוואים בסוף מילה",2,M5922="שני שוואים ברצף",1),"0")</f>
        <v>0</v>
      </c>
      <c r="J5922" s="9">
        <f t="shared" si="375"/>
        <v>3</v>
      </c>
      <c r="K5922" t="s">
        <v>6697</v>
      </c>
      <c r="L5922" t="s">
        <v>6695</v>
      </c>
      <c r="O5922" t="s">
        <v>6694</v>
      </c>
      <c r="Q5922" t="s">
        <v>6694</v>
      </c>
      <c r="R5922" t="s">
        <v>6694</v>
      </c>
      <c r="W5922" t="s">
        <v>6720</v>
      </c>
    </row>
    <row r="5923" spans="1:23" ht="15.6" x14ac:dyDescent="0.4">
      <c r="A5923" s="2" t="s">
        <v>3744</v>
      </c>
      <c r="B5923" s="5" t="s">
        <v>11903</v>
      </c>
      <c r="C5923" s="7" t="s">
        <v>12556</v>
      </c>
      <c r="D5923" s="8">
        <f t="shared" si="372"/>
        <v>0</v>
      </c>
      <c r="E5923" s="7" t="s">
        <v>12557</v>
      </c>
      <c r="F5923" s="7">
        <f t="shared" si="373"/>
        <v>0</v>
      </c>
      <c r="G5923" s="7" t="s">
        <v>12558</v>
      </c>
      <c r="H5923" s="7">
        <f t="shared" si="374"/>
        <v>0</v>
      </c>
      <c r="I5923" s="7" t="str" cm="1">
        <f t="array" ref="I5923">IFERROR(_xlfn.IFS(M5923="נח",1,M5923="נע ונח",1,M5923="שני שווא נח",2,M5923="שני שוואים בסוף מילה",2,M5923="שני שוואים ברצף",1),"0")</f>
        <v>0</v>
      </c>
      <c r="J5923" s="9">
        <f t="shared" si="375"/>
        <v>4</v>
      </c>
      <c r="K5923" t="s">
        <v>6698</v>
      </c>
      <c r="L5923" t="s">
        <v>6695</v>
      </c>
      <c r="O5923" t="s">
        <v>6694</v>
      </c>
      <c r="Q5923" t="s">
        <v>6694</v>
      </c>
      <c r="R5923" t="s">
        <v>6694</v>
      </c>
      <c r="V5923" t="s">
        <v>6694</v>
      </c>
      <c r="W5923" t="s">
        <v>6720</v>
      </c>
    </row>
    <row r="5924" spans="1:23" ht="15.6" x14ac:dyDescent="0.4">
      <c r="A5924" s="2" t="s">
        <v>857</v>
      </c>
      <c r="B5924" s="5" t="s">
        <v>11904</v>
      </c>
      <c r="C5924" s="7" t="s">
        <v>12556</v>
      </c>
      <c r="D5924" s="8">
        <f t="shared" si="372"/>
        <v>0</v>
      </c>
      <c r="E5924" s="7" t="s">
        <v>12557</v>
      </c>
      <c r="F5924" s="7">
        <f t="shared" si="373"/>
        <v>0</v>
      </c>
      <c r="G5924" s="7" t="s">
        <v>12558</v>
      </c>
      <c r="H5924" s="7">
        <f t="shared" si="374"/>
        <v>0</v>
      </c>
      <c r="I5924" s="7" t="str" cm="1">
        <f t="array" ref="I5924">IFERROR(_xlfn.IFS(M5924="נח",1,M5924="נע ונח",1,M5924="שני שווא נח",2,M5924="שני שוואים בסוף מילה",2,M5924="שני שוואים ברצף",1),"0")</f>
        <v>0</v>
      </c>
      <c r="J5924" s="9">
        <f t="shared" si="375"/>
        <v>2</v>
      </c>
      <c r="K5924" t="s">
        <v>6698</v>
      </c>
      <c r="L5924" t="s">
        <v>6695</v>
      </c>
      <c r="R5924" t="s">
        <v>6694</v>
      </c>
      <c r="W5924" t="s">
        <v>6720</v>
      </c>
    </row>
    <row r="5925" spans="1:23" ht="15.6" x14ac:dyDescent="0.4">
      <c r="A5925" s="2" t="s">
        <v>5262</v>
      </c>
      <c r="B5925" s="5" t="s">
        <v>11905</v>
      </c>
      <c r="C5925" s="7" t="s">
        <v>12556</v>
      </c>
      <c r="D5925" s="8">
        <f t="shared" si="372"/>
        <v>0</v>
      </c>
      <c r="E5925" s="7" t="s">
        <v>12557</v>
      </c>
      <c r="F5925" s="7">
        <f t="shared" si="373"/>
        <v>0</v>
      </c>
      <c r="G5925" s="7" t="s">
        <v>12558</v>
      </c>
      <c r="H5925" s="7">
        <f t="shared" si="374"/>
        <v>0</v>
      </c>
      <c r="I5925" s="7" t="str" cm="1">
        <f t="array" ref="I5925">IFERROR(_xlfn.IFS(M5925="נח",1,M5925="נע ונח",1,M5925="שני שווא נח",2,M5925="שני שוואים בסוף מילה",2,M5925="שני שוואים ברצף",1),"0")</f>
        <v>0</v>
      </c>
      <c r="J5925" s="9">
        <f t="shared" si="375"/>
        <v>2</v>
      </c>
      <c r="K5925" t="s">
        <v>6697</v>
      </c>
      <c r="L5925" t="s">
        <v>6695</v>
      </c>
      <c r="P5925" t="s">
        <v>6694</v>
      </c>
      <c r="R5925" t="s">
        <v>6694</v>
      </c>
      <c r="W5925" t="s">
        <v>6720</v>
      </c>
    </row>
    <row r="5926" spans="1:23" ht="15.6" x14ac:dyDescent="0.4">
      <c r="A5926" s="2" t="s">
        <v>4530</v>
      </c>
      <c r="B5926" s="5" t="s">
        <v>11866</v>
      </c>
      <c r="C5926" s="7" t="s">
        <v>12556</v>
      </c>
      <c r="D5926" s="8">
        <f t="shared" si="372"/>
        <v>0</v>
      </c>
      <c r="E5926" s="7" t="s">
        <v>12557</v>
      </c>
      <c r="F5926" s="7">
        <f t="shared" si="373"/>
        <v>0</v>
      </c>
      <c r="G5926" s="7" t="s">
        <v>12558</v>
      </c>
      <c r="H5926" s="7">
        <f t="shared" si="374"/>
        <v>0</v>
      </c>
      <c r="I5926" s="7" t="str" cm="1">
        <f t="array" ref="I5926">IFERROR(_xlfn.IFS(M5926="נח",1,M5926="נע ונח",1,M5926="שני שווא נח",2,M5926="שני שוואים בסוף מילה",2,M5926="שני שוואים ברצף",1),"0")</f>
        <v>0</v>
      </c>
      <c r="J5926" s="9">
        <f t="shared" si="375"/>
        <v>2</v>
      </c>
      <c r="K5926" t="s">
        <v>6698</v>
      </c>
      <c r="L5926" t="s">
        <v>6695</v>
      </c>
      <c r="R5926" t="s">
        <v>6694</v>
      </c>
      <c r="W5926" t="s">
        <v>6720</v>
      </c>
    </row>
    <row r="5927" spans="1:23" ht="15.6" x14ac:dyDescent="0.4">
      <c r="A5927" s="2" t="s">
        <v>738</v>
      </c>
      <c r="B5927" s="5" t="s">
        <v>11906</v>
      </c>
      <c r="C5927" s="7" t="s">
        <v>12556</v>
      </c>
      <c r="D5927" s="8">
        <f t="shared" si="372"/>
        <v>1</v>
      </c>
      <c r="E5927" s="7" t="s">
        <v>12557</v>
      </c>
      <c r="F5927" s="7">
        <f t="shared" si="373"/>
        <v>0</v>
      </c>
      <c r="G5927" s="7" t="s">
        <v>12558</v>
      </c>
      <c r="H5927" s="7">
        <f t="shared" si="374"/>
        <v>0</v>
      </c>
      <c r="I5927" s="7" t="str" cm="1">
        <f t="array" ref="I5927">IFERROR(_xlfn.IFS(M5927="נח",1,M5927="נע ונח",1,M5927="שני שווא נח",2,M5927="שני שוואים בסוף מילה",2,M5927="שני שוואים ברצף",1),"0")</f>
        <v>0</v>
      </c>
      <c r="J5927" s="9">
        <f t="shared" si="375"/>
        <v>2</v>
      </c>
      <c r="K5927" t="s">
        <v>6698</v>
      </c>
      <c r="L5927" t="s">
        <v>6695</v>
      </c>
      <c r="R5927" t="s">
        <v>6694</v>
      </c>
      <c r="W5927" t="s">
        <v>6720</v>
      </c>
    </row>
    <row r="5928" spans="1:23" ht="15.6" x14ac:dyDescent="0.4">
      <c r="A5928" s="2" t="s">
        <v>4115</v>
      </c>
      <c r="B5928" s="5" t="s">
        <v>11907</v>
      </c>
      <c r="C5928" s="7" t="s">
        <v>12556</v>
      </c>
      <c r="D5928" s="8">
        <f t="shared" si="372"/>
        <v>1</v>
      </c>
      <c r="E5928" s="7" t="s">
        <v>12557</v>
      </c>
      <c r="F5928" s="7">
        <f t="shared" si="373"/>
        <v>0</v>
      </c>
      <c r="G5928" s="7" t="s">
        <v>12558</v>
      </c>
      <c r="H5928" s="7">
        <f t="shared" si="374"/>
        <v>0</v>
      </c>
      <c r="I5928" s="7" t="str" cm="1">
        <f t="array" ref="I5928">IFERROR(_xlfn.IFS(M5928="נח",1,M5928="נע ונח",1,M5928="שני שווא נח",2,M5928="שני שוואים בסוף מילה",2,M5928="שני שוואים ברצף",1),"0")</f>
        <v>0</v>
      </c>
      <c r="J5928" s="9">
        <f t="shared" si="375"/>
        <v>2</v>
      </c>
      <c r="K5928" t="s">
        <v>6698</v>
      </c>
      <c r="L5928" t="s">
        <v>6695</v>
      </c>
      <c r="R5928" t="s">
        <v>6694</v>
      </c>
      <c r="W5928" t="s">
        <v>6720</v>
      </c>
    </row>
    <row r="5929" spans="1:23" ht="15.6" x14ac:dyDescent="0.4">
      <c r="A5929" s="2" t="s">
        <v>3160</v>
      </c>
      <c r="B5929" s="5" t="s">
        <v>11908</v>
      </c>
      <c r="C5929" s="7" t="s">
        <v>12556</v>
      </c>
      <c r="D5929" s="8">
        <f t="shared" si="372"/>
        <v>1</v>
      </c>
      <c r="E5929" s="7" t="s">
        <v>12557</v>
      </c>
      <c r="F5929" s="7">
        <f t="shared" si="373"/>
        <v>0</v>
      </c>
      <c r="G5929" s="7" t="s">
        <v>12558</v>
      </c>
      <c r="H5929" s="7">
        <f t="shared" si="374"/>
        <v>0</v>
      </c>
      <c r="I5929" s="7" t="str" cm="1">
        <f t="array" ref="I5929">IFERROR(_xlfn.IFS(M5929="נח",1,M5929="נע ונח",1,M5929="שני שווא נח",2,M5929="שני שוואים בסוף מילה",2,M5929="שני שוואים ברצף",1),"0")</f>
        <v>0</v>
      </c>
      <c r="J5929" s="9">
        <f t="shared" si="375"/>
        <v>2</v>
      </c>
      <c r="K5929" t="s">
        <v>6697</v>
      </c>
      <c r="L5929" t="s">
        <v>6695</v>
      </c>
      <c r="P5929" t="s">
        <v>6694</v>
      </c>
      <c r="R5929" t="s">
        <v>6694</v>
      </c>
      <c r="W5929" t="s">
        <v>6720</v>
      </c>
    </row>
    <row r="5930" spans="1:23" ht="15.6" x14ac:dyDescent="0.4">
      <c r="A5930" s="2" t="s">
        <v>910</v>
      </c>
      <c r="B5930" s="5" t="s">
        <v>11909</v>
      </c>
      <c r="C5930" s="7" t="s">
        <v>12556</v>
      </c>
      <c r="D5930" s="8">
        <f t="shared" si="372"/>
        <v>0</v>
      </c>
      <c r="E5930" s="7" t="s">
        <v>12557</v>
      </c>
      <c r="F5930" s="7">
        <f t="shared" si="373"/>
        <v>0</v>
      </c>
      <c r="G5930" s="7" t="s">
        <v>12558</v>
      </c>
      <c r="H5930" s="7">
        <f t="shared" si="374"/>
        <v>0</v>
      </c>
      <c r="I5930" s="7" t="str" cm="1">
        <f t="array" ref="I5930">IFERROR(_xlfn.IFS(M5930="נח",1,M5930="נע ונח",1,M5930="שני שווא נח",2,M5930="שני שוואים בסוף מילה",2,M5930="שני שוואים ברצף",1),"0")</f>
        <v>0</v>
      </c>
      <c r="J5930" s="9">
        <f t="shared" si="375"/>
        <v>1</v>
      </c>
      <c r="K5930" t="s">
        <v>6698</v>
      </c>
      <c r="L5930" t="s">
        <v>6695</v>
      </c>
      <c r="P5930" t="s">
        <v>6694</v>
      </c>
      <c r="W5930" t="s">
        <v>6720</v>
      </c>
    </row>
    <row r="5931" spans="1:23" ht="15.6" x14ac:dyDescent="0.4">
      <c r="A5931" s="2" t="s">
        <v>1263</v>
      </c>
      <c r="B5931" s="5" t="s">
        <v>11910</v>
      </c>
      <c r="C5931" s="7" t="s">
        <v>12556</v>
      </c>
      <c r="D5931" s="8">
        <f t="shared" si="372"/>
        <v>0</v>
      </c>
      <c r="E5931" s="7" t="s">
        <v>12557</v>
      </c>
      <c r="F5931" s="7">
        <f t="shared" si="373"/>
        <v>1</v>
      </c>
      <c r="G5931" s="7" t="s">
        <v>12558</v>
      </c>
      <c r="H5931" s="7">
        <f t="shared" si="374"/>
        <v>0</v>
      </c>
      <c r="I5931" s="7" t="str" cm="1">
        <f t="array" ref="I5931">IFERROR(_xlfn.IFS(M5931="נח",1,M5931="נע ונח",1,M5931="שני שווא נח",2,M5931="שני שוואים בסוף מילה",2,M5931="שני שוואים ברצף",1),"0")</f>
        <v>0</v>
      </c>
      <c r="J5931" s="9">
        <f t="shared" si="375"/>
        <v>2</v>
      </c>
      <c r="K5931" t="s">
        <v>6698</v>
      </c>
      <c r="L5931" t="s">
        <v>6695</v>
      </c>
      <c r="P5931" t="s">
        <v>6694</v>
      </c>
      <c r="S5931" t="s">
        <v>6694</v>
      </c>
      <c r="W5931" t="s">
        <v>6720</v>
      </c>
    </row>
    <row r="5932" spans="1:23" ht="15.6" x14ac:dyDescent="0.4">
      <c r="A5932" s="2" t="s">
        <v>4389</v>
      </c>
      <c r="B5932" s="5" t="s">
        <v>11911</v>
      </c>
      <c r="C5932" s="7" t="s">
        <v>12556</v>
      </c>
      <c r="D5932" s="8">
        <f t="shared" si="372"/>
        <v>0</v>
      </c>
      <c r="E5932" s="7" t="s">
        <v>12557</v>
      </c>
      <c r="F5932" s="7">
        <f t="shared" si="373"/>
        <v>1</v>
      </c>
      <c r="G5932" s="7" t="s">
        <v>12558</v>
      </c>
      <c r="H5932" s="7">
        <f t="shared" si="374"/>
        <v>0</v>
      </c>
      <c r="I5932" s="7" t="str" cm="1">
        <f t="array" ref="I5932">IFERROR(_xlfn.IFS(M5932="נח",1,M5932="נע ונח",1,M5932="שני שווא נח",2,M5932="שני שוואים בסוף מילה",2,M5932="שני שוואים ברצף",1),"0")</f>
        <v>0</v>
      </c>
      <c r="J5932" s="9">
        <f t="shared" si="375"/>
        <v>2</v>
      </c>
      <c r="K5932" t="s">
        <v>6698</v>
      </c>
      <c r="L5932" t="s">
        <v>6695</v>
      </c>
      <c r="P5932" t="s">
        <v>6694</v>
      </c>
      <c r="W5932" t="s">
        <v>6720</v>
      </c>
    </row>
    <row r="5933" spans="1:23" ht="15.6" x14ac:dyDescent="0.4">
      <c r="A5933" s="2" t="s">
        <v>836</v>
      </c>
      <c r="B5933" s="5" t="s">
        <v>11912</v>
      </c>
      <c r="C5933" s="7" t="s">
        <v>12556</v>
      </c>
      <c r="D5933" s="8">
        <f t="shared" si="372"/>
        <v>0</v>
      </c>
      <c r="E5933" s="7" t="s">
        <v>12557</v>
      </c>
      <c r="F5933" s="7">
        <f t="shared" si="373"/>
        <v>1</v>
      </c>
      <c r="G5933" s="7" t="s">
        <v>12558</v>
      </c>
      <c r="H5933" s="7">
        <f t="shared" si="374"/>
        <v>0</v>
      </c>
      <c r="I5933" s="7" t="str" cm="1">
        <f t="array" ref="I5933">IFERROR(_xlfn.IFS(M5933="נח",1,M5933="נע ונח",1,M5933="שני שווא נח",2,M5933="שני שוואים בסוף מילה",2,M5933="שני שוואים ברצף",1),"0")</f>
        <v>0</v>
      </c>
      <c r="J5933" s="9">
        <f t="shared" si="375"/>
        <v>2</v>
      </c>
      <c r="K5933" t="s">
        <v>6697</v>
      </c>
      <c r="L5933" t="s">
        <v>6695</v>
      </c>
      <c r="O5933" t="s">
        <v>6694</v>
      </c>
      <c r="P5933" t="s">
        <v>6694</v>
      </c>
      <c r="W5933" t="s">
        <v>6720</v>
      </c>
    </row>
    <row r="5934" spans="1:23" ht="15.6" x14ac:dyDescent="0.4">
      <c r="A5934" s="2" t="s">
        <v>535</v>
      </c>
      <c r="B5934" s="5" t="s">
        <v>11913</v>
      </c>
      <c r="C5934" s="7" t="s">
        <v>12556</v>
      </c>
      <c r="D5934" s="8">
        <f t="shared" si="372"/>
        <v>0</v>
      </c>
      <c r="E5934" s="7" t="s">
        <v>12557</v>
      </c>
      <c r="F5934" s="7">
        <f t="shared" si="373"/>
        <v>1</v>
      </c>
      <c r="G5934" s="7" t="s">
        <v>12558</v>
      </c>
      <c r="H5934" s="7">
        <f t="shared" si="374"/>
        <v>0</v>
      </c>
      <c r="I5934" s="7" t="str" cm="1">
        <f t="array" ref="I5934">IFERROR(_xlfn.IFS(M5934="נח",1,M5934="נע ונח",1,M5934="שני שווא נח",2,M5934="שני שוואים בסוף מילה",2,M5934="שני שוואים ברצף",1),"0")</f>
        <v>0</v>
      </c>
      <c r="J5934" s="9">
        <f t="shared" si="375"/>
        <v>2</v>
      </c>
      <c r="K5934" t="s">
        <v>6698</v>
      </c>
      <c r="L5934" t="s">
        <v>6695</v>
      </c>
      <c r="P5934" t="s">
        <v>6694</v>
      </c>
      <c r="V5934" t="s">
        <v>6694</v>
      </c>
      <c r="W5934" t="s">
        <v>6720</v>
      </c>
    </row>
    <row r="5935" spans="1:23" ht="15.6" x14ac:dyDescent="0.4">
      <c r="A5935" s="2" t="s">
        <v>732</v>
      </c>
      <c r="B5935" s="5" t="s">
        <v>11914</v>
      </c>
      <c r="C5935" s="7" t="s">
        <v>12556</v>
      </c>
      <c r="D5935" s="8">
        <f t="shared" si="372"/>
        <v>0</v>
      </c>
      <c r="E5935" s="7" t="s">
        <v>12557</v>
      </c>
      <c r="F5935" s="7">
        <f t="shared" si="373"/>
        <v>2</v>
      </c>
      <c r="G5935" s="7" t="s">
        <v>12558</v>
      </c>
      <c r="H5935" s="7">
        <f t="shared" si="374"/>
        <v>1</v>
      </c>
      <c r="I5935" s="7" t="str" cm="1">
        <f t="array" ref="I5935">IFERROR(_xlfn.IFS(M5935="נח",1,M5935="נע ונח",1,M5935="שני שווא נח",2,M5935="שני שוואים בסוף מילה",2,M5935="שני שוואים ברצף",1),"0")</f>
        <v>0</v>
      </c>
      <c r="J5935" s="9">
        <f t="shared" si="375"/>
        <v>2</v>
      </c>
      <c r="K5935" t="s">
        <v>6697</v>
      </c>
      <c r="L5935" t="s">
        <v>6695</v>
      </c>
      <c r="P5935" t="s">
        <v>6694</v>
      </c>
      <c r="U5935" t="s">
        <v>6694</v>
      </c>
      <c r="W5935" t="s">
        <v>6720</v>
      </c>
    </row>
    <row r="5936" spans="1:23" ht="15.6" x14ac:dyDescent="0.4">
      <c r="A5936" s="2" t="s">
        <v>4556</v>
      </c>
      <c r="B5936" s="5" t="s">
        <v>11915</v>
      </c>
      <c r="C5936" s="7" t="s">
        <v>12556</v>
      </c>
      <c r="D5936" s="8">
        <f t="shared" si="372"/>
        <v>0</v>
      </c>
      <c r="E5936" s="7" t="s">
        <v>12557</v>
      </c>
      <c r="F5936" s="7">
        <f t="shared" si="373"/>
        <v>0</v>
      </c>
      <c r="G5936" s="7" t="s">
        <v>12558</v>
      </c>
      <c r="H5936" s="7">
        <f t="shared" si="374"/>
        <v>0</v>
      </c>
      <c r="I5936" s="7" cm="1">
        <f t="array" ref="I5936">IFERROR(_xlfn.IFS(M5936="נח",1,M5936="נע ונח",1,M5936="שני שווא נח",2,M5936="שני שוואים בסוף מילה",2,M5936="שני שוואים ברצף",1),"0")</f>
        <v>1</v>
      </c>
      <c r="J5936" s="9">
        <f t="shared" si="375"/>
        <v>3</v>
      </c>
      <c r="K5936" t="s">
        <v>6697</v>
      </c>
      <c r="L5936" t="s">
        <v>6694</v>
      </c>
      <c r="M5936" t="s">
        <v>6702</v>
      </c>
      <c r="O5936" t="s">
        <v>6694</v>
      </c>
      <c r="P5936" t="s">
        <v>6694</v>
      </c>
      <c r="W5936" t="s">
        <v>6720</v>
      </c>
    </row>
    <row r="5937" spans="1:23" ht="15.6" x14ac:dyDescent="0.4">
      <c r="A5937" s="2" t="s">
        <v>51</v>
      </c>
      <c r="B5937" s="5" t="s">
        <v>11916</v>
      </c>
      <c r="C5937" s="7" t="s">
        <v>12556</v>
      </c>
      <c r="D5937" s="8">
        <f t="shared" si="372"/>
        <v>0</v>
      </c>
      <c r="E5937" s="7" t="s">
        <v>12557</v>
      </c>
      <c r="F5937" s="7">
        <f t="shared" si="373"/>
        <v>0</v>
      </c>
      <c r="G5937" s="7" t="s">
        <v>12558</v>
      </c>
      <c r="H5937" s="7">
        <f t="shared" si="374"/>
        <v>0</v>
      </c>
      <c r="I5937" s="7" cm="1">
        <f t="array" ref="I5937">IFERROR(_xlfn.IFS(M5937="נח",1,M5937="נע ונח",1,M5937="שני שווא נח",2,M5937="שני שוואים בסוף מילה",2,M5937="שני שוואים ברצף",1),"0")</f>
        <v>1</v>
      </c>
      <c r="J5937" s="9">
        <f t="shared" si="375"/>
        <v>2</v>
      </c>
      <c r="K5937" t="s">
        <v>6697</v>
      </c>
      <c r="L5937" t="s">
        <v>6694</v>
      </c>
      <c r="M5937" t="s">
        <v>6705</v>
      </c>
      <c r="P5937" t="s">
        <v>6694</v>
      </c>
      <c r="S5937" t="s">
        <v>6694</v>
      </c>
      <c r="W5937" t="s">
        <v>6720</v>
      </c>
    </row>
    <row r="5938" spans="1:23" ht="15.6" x14ac:dyDescent="0.4">
      <c r="A5938" s="2" t="s">
        <v>5185</v>
      </c>
      <c r="B5938" s="5" t="s">
        <v>11917</v>
      </c>
      <c r="C5938" s="7" t="s">
        <v>12556</v>
      </c>
      <c r="D5938" s="8">
        <f t="shared" si="372"/>
        <v>0</v>
      </c>
      <c r="E5938" s="7" t="s">
        <v>12557</v>
      </c>
      <c r="F5938" s="7">
        <f t="shared" si="373"/>
        <v>0</v>
      </c>
      <c r="G5938" s="7" t="s">
        <v>12558</v>
      </c>
      <c r="H5938" s="7">
        <f t="shared" si="374"/>
        <v>0</v>
      </c>
      <c r="I5938" s="7" cm="1">
        <f t="array" ref="I5938">IFERROR(_xlfn.IFS(M5938="נח",1,M5938="נע ונח",1,M5938="שני שווא נח",2,M5938="שני שוואים בסוף מילה",2,M5938="שני שוואים ברצף",1),"0")</f>
        <v>1</v>
      </c>
      <c r="J5938" s="9">
        <f t="shared" si="375"/>
        <v>3</v>
      </c>
      <c r="K5938" t="s">
        <v>6698</v>
      </c>
      <c r="L5938" t="s">
        <v>6694</v>
      </c>
      <c r="M5938" t="s">
        <v>6705</v>
      </c>
      <c r="P5938" t="s">
        <v>6694</v>
      </c>
      <c r="Q5938" t="s">
        <v>6694</v>
      </c>
      <c r="R5938" t="s">
        <v>6694</v>
      </c>
      <c r="W5938" t="s">
        <v>6720</v>
      </c>
    </row>
    <row r="5939" spans="1:23" ht="15.6" x14ac:dyDescent="0.4">
      <c r="A5939" s="2" t="s">
        <v>6397</v>
      </c>
      <c r="B5939" s="5" t="s">
        <v>11918</v>
      </c>
      <c r="C5939" s="7" t="s">
        <v>12556</v>
      </c>
      <c r="D5939" s="8">
        <f t="shared" si="372"/>
        <v>0</v>
      </c>
      <c r="E5939" s="7" t="s">
        <v>12557</v>
      </c>
      <c r="F5939" s="7">
        <f t="shared" si="373"/>
        <v>1</v>
      </c>
      <c r="G5939" s="7" t="s">
        <v>12558</v>
      </c>
      <c r="H5939" s="7">
        <f t="shared" si="374"/>
        <v>1</v>
      </c>
      <c r="I5939" s="7" cm="1">
        <f t="array" ref="I5939">IFERROR(_xlfn.IFS(M5939="נח",1,M5939="נע ונח",1,M5939="שני שווא נח",2,M5939="שני שוואים בסוף מילה",2,M5939="שני שוואים ברצף",1),"0")</f>
        <v>1</v>
      </c>
      <c r="J5939" s="9">
        <f t="shared" si="375"/>
        <v>3</v>
      </c>
      <c r="K5939" t="s">
        <v>6697</v>
      </c>
      <c r="L5939" t="s">
        <v>6694</v>
      </c>
      <c r="M5939" t="s">
        <v>6705</v>
      </c>
      <c r="P5939" t="s">
        <v>6694</v>
      </c>
      <c r="Q5939" t="s">
        <v>6694</v>
      </c>
      <c r="U5939" t="s">
        <v>6694</v>
      </c>
      <c r="W5939" t="s">
        <v>6720</v>
      </c>
    </row>
    <row r="5940" spans="1:23" ht="15.6" x14ac:dyDescent="0.4">
      <c r="A5940" s="2" t="s">
        <v>6479</v>
      </c>
      <c r="B5940" s="5" t="s">
        <v>11919</v>
      </c>
      <c r="C5940" s="7" t="s">
        <v>12556</v>
      </c>
      <c r="D5940" s="8">
        <f t="shared" si="372"/>
        <v>0</v>
      </c>
      <c r="E5940" s="7" t="s">
        <v>12557</v>
      </c>
      <c r="F5940" s="7">
        <f t="shared" si="373"/>
        <v>1</v>
      </c>
      <c r="G5940" s="7" t="s">
        <v>12558</v>
      </c>
      <c r="H5940" s="7">
        <f t="shared" si="374"/>
        <v>1</v>
      </c>
      <c r="I5940" s="7" cm="1">
        <f t="array" ref="I5940">IFERROR(_xlfn.IFS(M5940="נח",1,M5940="נע ונח",1,M5940="שני שווא נח",2,M5940="שני שוואים בסוף מילה",2,M5940="שני שוואים ברצף",1),"0")</f>
        <v>1</v>
      </c>
      <c r="J5940" s="9">
        <f t="shared" si="375"/>
        <v>3</v>
      </c>
      <c r="K5940" t="s">
        <v>6697</v>
      </c>
      <c r="L5940" t="s">
        <v>6694</v>
      </c>
      <c r="M5940" t="s">
        <v>6705</v>
      </c>
      <c r="P5940" t="s">
        <v>6694</v>
      </c>
      <c r="Q5940" t="s">
        <v>6694</v>
      </c>
      <c r="U5940" t="s">
        <v>6694</v>
      </c>
      <c r="W5940" t="s">
        <v>6720</v>
      </c>
    </row>
    <row r="5941" spans="1:23" ht="15.6" x14ac:dyDescent="0.4">
      <c r="A5941" s="2" t="s">
        <v>6222</v>
      </c>
      <c r="B5941" s="5" t="s">
        <v>11915</v>
      </c>
      <c r="C5941" s="7" t="s">
        <v>12556</v>
      </c>
      <c r="D5941" s="8">
        <f t="shared" si="372"/>
        <v>0</v>
      </c>
      <c r="E5941" s="7" t="s">
        <v>12557</v>
      </c>
      <c r="F5941" s="7">
        <f t="shared" si="373"/>
        <v>0</v>
      </c>
      <c r="G5941" s="7" t="s">
        <v>12558</v>
      </c>
      <c r="H5941" s="7">
        <f t="shared" si="374"/>
        <v>0</v>
      </c>
      <c r="I5941" s="7" cm="1">
        <f t="array" ref="I5941">IFERROR(_xlfn.IFS(M5941="נח",1,M5941="נע ונח",1,M5941="שני שווא נח",2,M5941="שני שוואים בסוף מילה",2,M5941="שני שוואים ברצף",1),"0")</f>
        <v>1</v>
      </c>
      <c r="J5941" s="9">
        <f t="shared" si="375"/>
        <v>3</v>
      </c>
      <c r="K5941" t="s">
        <v>6697</v>
      </c>
      <c r="L5941" t="s">
        <v>6694</v>
      </c>
      <c r="M5941" t="s">
        <v>6705</v>
      </c>
      <c r="O5941" t="s">
        <v>6694</v>
      </c>
      <c r="P5941" t="s">
        <v>6694</v>
      </c>
      <c r="R5941" t="s">
        <v>6694</v>
      </c>
      <c r="W5941" t="s">
        <v>6720</v>
      </c>
    </row>
    <row r="5942" spans="1:23" ht="15.6" x14ac:dyDescent="0.4">
      <c r="A5942" s="2" t="s">
        <v>2045</v>
      </c>
      <c r="B5942" s="5" t="s">
        <v>11916</v>
      </c>
      <c r="C5942" s="7" t="s">
        <v>12556</v>
      </c>
      <c r="D5942" s="8">
        <f t="shared" si="372"/>
        <v>0</v>
      </c>
      <c r="E5942" s="7" t="s">
        <v>12557</v>
      </c>
      <c r="F5942" s="7">
        <f t="shared" si="373"/>
        <v>0</v>
      </c>
      <c r="G5942" s="7" t="s">
        <v>12558</v>
      </c>
      <c r="H5942" s="7">
        <f t="shared" si="374"/>
        <v>0</v>
      </c>
      <c r="I5942" s="7" cm="1">
        <f t="array" ref="I5942">IFERROR(_xlfn.IFS(M5942="נח",1,M5942="נע ונח",1,M5942="שני שווא נח",2,M5942="שני שוואים בסוף מילה",2,M5942="שני שוואים ברצף",1),"0")</f>
        <v>1</v>
      </c>
      <c r="J5942" s="9">
        <f t="shared" si="375"/>
        <v>2</v>
      </c>
      <c r="K5942" t="s">
        <v>6698</v>
      </c>
      <c r="L5942" t="s">
        <v>6694</v>
      </c>
      <c r="M5942" t="s">
        <v>6705</v>
      </c>
      <c r="P5942" t="s">
        <v>6694</v>
      </c>
      <c r="W5942" t="s">
        <v>6720</v>
      </c>
    </row>
    <row r="5943" spans="1:23" ht="15.6" x14ac:dyDescent="0.4">
      <c r="A5943" s="2" t="s">
        <v>5383</v>
      </c>
      <c r="B5943" s="5" t="s">
        <v>11916</v>
      </c>
      <c r="C5943" s="7" t="s">
        <v>12556</v>
      </c>
      <c r="D5943" s="8">
        <f t="shared" si="372"/>
        <v>0</v>
      </c>
      <c r="E5943" s="7" t="s">
        <v>12557</v>
      </c>
      <c r="F5943" s="7">
        <f t="shared" si="373"/>
        <v>0</v>
      </c>
      <c r="G5943" s="7" t="s">
        <v>12558</v>
      </c>
      <c r="H5943" s="7">
        <f t="shared" si="374"/>
        <v>0</v>
      </c>
      <c r="I5943" s="7" cm="1">
        <f t="array" ref="I5943">IFERROR(_xlfn.IFS(M5943="נח",1,M5943="נע ונח",1,M5943="שני שווא נח",2,M5943="שני שוואים בסוף מילה",2,M5943="שני שוואים ברצף",1),"0")</f>
        <v>1</v>
      </c>
      <c r="J5943" s="9">
        <f t="shared" si="375"/>
        <v>2</v>
      </c>
      <c r="K5943" t="s">
        <v>6698</v>
      </c>
      <c r="L5943" t="s">
        <v>6694</v>
      </c>
      <c r="M5943" t="s">
        <v>6705</v>
      </c>
      <c r="N5943" t="s">
        <v>6706</v>
      </c>
      <c r="O5943" t="s">
        <v>6694</v>
      </c>
      <c r="P5943" t="s">
        <v>6694</v>
      </c>
      <c r="W5943" t="s">
        <v>6720</v>
      </c>
    </row>
    <row r="5944" spans="1:23" ht="15.6" x14ac:dyDescent="0.4">
      <c r="A5944" s="2" t="s">
        <v>2241</v>
      </c>
      <c r="B5944" s="5" t="s">
        <v>11920</v>
      </c>
      <c r="C5944" s="7" t="s">
        <v>12556</v>
      </c>
      <c r="D5944" s="8">
        <f t="shared" si="372"/>
        <v>0</v>
      </c>
      <c r="E5944" s="7" t="s">
        <v>12557</v>
      </c>
      <c r="F5944" s="7">
        <f t="shared" si="373"/>
        <v>0</v>
      </c>
      <c r="G5944" s="7" t="s">
        <v>12558</v>
      </c>
      <c r="H5944" s="7">
        <f t="shared" si="374"/>
        <v>0</v>
      </c>
      <c r="I5944" s="7" cm="1">
        <f t="array" ref="I5944">IFERROR(_xlfn.IFS(M5944="נח",1,M5944="נע ונח",1,M5944="שני שווא נח",2,M5944="שני שוואים בסוף מילה",2,M5944="שני שוואים ברצף",1),"0")</f>
        <v>1</v>
      </c>
      <c r="J5944" s="9">
        <f t="shared" si="375"/>
        <v>2</v>
      </c>
      <c r="K5944" t="s">
        <v>6698</v>
      </c>
      <c r="L5944" t="s">
        <v>6694</v>
      </c>
      <c r="M5944" t="s">
        <v>6705</v>
      </c>
      <c r="N5944" t="s">
        <v>6706</v>
      </c>
      <c r="O5944" t="s">
        <v>6694</v>
      </c>
      <c r="P5944" t="s">
        <v>6694</v>
      </c>
      <c r="W5944" t="s">
        <v>6720</v>
      </c>
    </row>
    <row r="5945" spans="1:23" ht="15.6" x14ac:dyDescent="0.4">
      <c r="A5945" s="2" t="s">
        <v>6232</v>
      </c>
      <c r="B5945" s="5" t="s">
        <v>11921</v>
      </c>
      <c r="C5945" s="7" t="s">
        <v>12556</v>
      </c>
      <c r="D5945" s="8">
        <f t="shared" si="372"/>
        <v>0</v>
      </c>
      <c r="E5945" s="7" t="s">
        <v>12557</v>
      </c>
      <c r="F5945" s="7">
        <f t="shared" si="373"/>
        <v>0</v>
      </c>
      <c r="G5945" s="7" t="s">
        <v>12558</v>
      </c>
      <c r="H5945" s="7">
        <f t="shared" si="374"/>
        <v>0</v>
      </c>
      <c r="I5945" s="7" cm="1">
        <f t="array" ref="I5945">IFERROR(_xlfn.IFS(M5945="נח",1,M5945="נע ונח",1,M5945="שני שווא נח",2,M5945="שני שוואים בסוף מילה",2,M5945="שני שוואים ברצף",1),"0")</f>
        <v>1</v>
      </c>
      <c r="J5945" s="9">
        <f t="shared" si="375"/>
        <v>2</v>
      </c>
      <c r="K5945" t="s">
        <v>6698</v>
      </c>
      <c r="L5945" t="s">
        <v>6694</v>
      </c>
      <c r="M5945" t="s">
        <v>6705</v>
      </c>
      <c r="N5945" t="s">
        <v>6706</v>
      </c>
      <c r="O5945" t="s">
        <v>6694</v>
      </c>
      <c r="P5945" t="s">
        <v>6694</v>
      </c>
      <c r="W5945" t="s">
        <v>6720</v>
      </c>
    </row>
    <row r="5946" spans="1:23" ht="15.6" x14ac:dyDescent="0.4">
      <c r="A5946" s="2" t="s">
        <v>1655</v>
      </c>
      <c r="B5946" s="5" t="s">
        <v>11922</v>
      </c>
      <c r="C5946" s="7" t="s">
        <v>12556</v>
      </c>
      <c r="D5946" s="8">
        <f t="shared" si="372"/>
        <v>0</v>
      </c>
      <c r="E5946" s="7" t="s">
        <v>12557</v>
      </c>
      <c r="F5946" s="7">
        <f t="shared" si="373"/>
        <v>0</v>
      </c>
      <c r="G5946" s="7" t="s">
        <v>12558</v>
      </c>
      <c r="H5946" s="7">
        <f t="shared" si="374"/>
        <v>0</v>
      </c>
      <c r="I5946" s="7" cm="1">
        <f t="array" ref="I5946">IFERROR(_xlfn.IFS(M5946="נח",1,M5946="נע ונח",1,M5946="שני שווא נח",2,M5946="שני שוואים בסוף מילה",2,M5946="שני שוואים ברצף",1),"0")</f>
        <v>1</v>
      </c>
      <c r="J5946" s="9">
        <f t="shared" si="375"/>
        <v>2</v>
      </c>
      <c r="K5946" t="s">
        <v>6697</v>
      </c>
      <c r="L5946" t="s">
        <v>6694</v>
      </c>
      <c r="M5946" t="s">
        <v>6705</v>
      </c>
      <c r="P5946" t="s">
        <v>6694</v>
      </c>
      <c r="V5946" t="s">
        <v>6694</v>
      </c>
      <c r="W5946" t="s">
        <v>6720</v>
      </c>
    </row>
    <row r="5947" spans="1:23" ht="15.6" x14ac:dyDescent="0.4">
      <c r="A5947" s="2" t="s">
        <v>3009</v>
      </c>
      <c r="B5947" s="5" t="s">
        <v>11923</v>
      </c>
      <c r="C5947" s="7" t="s">
        <v>12556</v>
      </c>
      <c r="D5947" s="8">
        <f t="shared" si="372"/>
        <v>0</v>
      </c>
      <c r="E5947" s="7" t="s">
        <v>12557</v>
      </c>
      <c r="F5947" s="7">
        <f t="shared" si="373"/>
        <v>0</v>
      </c>
      <c r="G5947" s="7" t="s">
        <v>12558</v>
      </c>
      <c r="H5947" s="7">
        <f t="shared" si="374"/>
        <v>0</v>
      </c>
      <c r="I5947" s="7" t="str" cm="1">
        <f t="array" ref="I5947">IFERROR(_xlfn.IFS(M5947="נח",1,M5947="נע ונח",1,M5947="שני שווא נח",2,M5947="שני שוואים בסוף מילה",2,M5947="שני שוואים ברצף",1),"0")</f>
        <v>0</v>
      </c>
      <c r="J5947" s="9">
        <f t="shared" si="375"/>
        <v>2</v>
      </c>
      <c r="K5947" t="s">
        <v>6698</v>
      </c>
      <c r="L5947" t="s">
        <v>6695</v>
      </c>
      <c r="P5947" t="s">
        <v>6694</v>
      </c>
      <c r="W5947" t="s">
        <v>6720</v>
      </c>
    </row>
    <row r="5948" spans="1:23" ht="15.6" x14ac:dyDescent="0.4">
      <c r="A5948" s="2" t="s">
        <v>4395</v>
      </c>
      <c r="B5948" s="5" t="s">
        <v>11924</v>
      </c>
      <c r="C5948" s="7" t="s">
        <v>12556</v>
      </c>
      <c r="D5948" s="8">
        <f t="shared" si="372"/>
        <v>0</v>
      </c>
      <c r="E5948" s="7" t="s">
        <v>12557</v>
      </c>
      <c r="F5948" s="7">
        <f t="shared" si="373"/>
        <v>1</v>
      </c>
      <c r="G5948" s="7" t="s">
        <v>12558</v>
      </c>
      <c r="H5948" s="7">
        <f t="shared" si="374"/>
        <v>1</v>
      </c>
      <c r="I5948" s="7" t="str" cm="1">
        <f t="array" ref="I5948">IFERROR(_xlfn.IFS(M5948="נח",1,M5948="נע ונח",1,M5948="שני שווא נח",2,M5948="שני שוואים בסוף מילה",2,M5948="שני שוואים ברצף",1),"0")</f>
        <v>0</v>
      </c>
      <c r="J5948" s="9">
        <f t="shared" si="375"/>
        <v>3</v>
      </c>
      <c r="K5948" t="s">
        <v>6697</v>
      </c>
      <c r="L5948" t="s">
        <v>6695</v>
      </c>
      <c r="P5948" t="s">
        <v>6694</v>
      </c>
      <c r="Q5948" t="s">
        <v>6694</v>
      </c>
      <c r="U5948" t="s">
        <v>6694</v>
      </c>
      <c r="W5948" t="s">
        <v>6720</v>
      </c>
    </row>
    <row r="5949" spans="1:23" ht="15.6" x14ac:dyDescent="0.4">
      <c r="A5949" s="2" t="s">
        <v>4260</v>
      </c>
      <c r="B5949" s="5" t="s">
        <v>11925</v>
      </c>
      <c r="C5949" s="7" t="s">
        <v>12556</v>
      </c>
      <c r="D5949" s="8">
        <f t="shared" si="372"/>
        <v>0</v>
      </c>
      <c r="E5949" s="7" t="s">
        <v>12557</v>
      </c>
      <c r="F5949" s="7">
        <f t="shared" si="373"/>
        <v>0</v>
      </c>
      <c r="G5949" s="7" t="s">
        <v>12558</v>
      </c>
      <c r="H5949" s="7">
        <f t="shared" si="374"/>
        <v>0</v>
      </c>
      <c r="I5949" s="7" cm="1">
        <f t="array" ref="I5949">IFERROR(_xlfn.IFS(M5949="נח",1,M5949="נע ונח",1,M5949="שני שווא נח",2,M5949="שני שוואים בסוף מילה",2,M5949="שני שוואים ברצף",1),"0")</f>
        <v>1</v>
      </c>
      <c r="J5949" s="9">
        <f t="shared" si="375"/>
        <v>2</v>
      </c>
      <c r="K5949" t="s">
        <v>6697</v>
      </c>
      <c r="L5949" t="s">
        <v>6694</v>
      </c>
      <c r="M5949" t="s">
        <v>6705</v>
      </c>
      <c r="P5949" t="s">
        <v>6694</v>
      </c>
      <c r="S5949" t="s">
        <v>6694</v>
      </c>
      <c r="W5949" t="s">
        <v>6720</v>
      </c>
    </row>
    <row r="5950" spans="1:23" ht="15.6" x14ac:dyDescent="0.4">
      <c r="A5950" s="2" t="s">
        <v>888</v>
      </c>
      <c r="B5950" s="5" t="s">
        <v>11926</v>
      </c>
      <c r="C5950" s="7" t="s">
        <v>12556</v>
      </c>
      <c r="D5950" s="8">
        <f t="shared" si="372"/>
        <v>0</v>
      </c>
      <c r="E5950" s="7" t="s">
        <v>12557</v>
      </c>
      <c r="F5950" s="7">
        <f t="shared" si="373"/>
        <v>0</v>
      </c>
      <c r="G5950" s="7" t="s">
        <v>12558</v>
      </c>
      <c r="H5950" s="7">
        <f t="shared" si="374"/>
        <v>0</v>
      </c>
      <c r="I5950" s="7" t="str" cm="1">
        <f t="array" ref="I5950">IFERROR(_xlfn.IFS(M5950="נח",1,M5950="נע ונח",1,M5950="שני שווא נח",2,M5950="שני שוואים בסוף מילה",2,M5950="שני שוואים ברצף",1),"0")</f>
        <v>0</v>
      </c>
      <c r="J5950" s="9">
        <f t="shared" si="375"/>
        <v>4</v>
      </c>
      <c r="K5950" t="s">
        <v>6697</v>
      </c>
      <c r="L5950" t="s">
        <v>6695</v>
      </c>
      <c r="O5950" t="s">
        <v>6694</v>
      </c>
      <c r="P5950" t="s">
        <v>6694</v>
      </c>
      <c r="R5950" t="s">
        <v>6694</v>
      </c>
      <c r="W5950" t="s">
        <v>6720</v>
      </c>
    </row>
    <row r="5951" spans="1:23" ht="15.6" x14ac:dyDescent="0.4">
      <c r="A5951" s="2" t="s">
        <v>4749</v>
      </c>
      <c r="B5951" s="5" t="s">
        <v>11927</v>
      </c>
      <c r="C5951" s="7" t="s">
        <v>12556</v>
      </c>
      <c r="D5951" s="8">
        <f t="shared" si="372"/>
        <v>0</v>
      </c>
      <c r="E5951" s="7" t="s">
        <v>12557</v>
      </c>
      <c r="F5951" s="7">
        <f t="shared" si="373"/>
        <v>0</v>
      </c>
      <c r="G5951" s="7" t="s">
        <v>12558</v>
      </c>
      <c r="H5951" s="7">
        <f t="shared" si="374"/>
        <v>0</v>
      </c>
      <c r="I5951" s="7" t="str" cm="1">
        <f t="array" ref="I5951">IFERROR(_xlfn.IFS(M5951="נח",1,M5951="נע ונח",1,M5951="שני שווא נח",2,M5951="שני שוואים בסוף מילה",2,M5951="שני שוואים ברצף",1),"0")</f>
        <v>0</v>
      </c>
      <c r="J5951" s="9">
        <f t="shared" si="375"/>
        <v>3</v>
      </c>
      <c r="K5951" t="s">
        <v>6698</v>
      </c>
      <c r="L5951" t="s">
        <v>6695</v>
      </c>
      <c r="N5951" t="s">
        <v>6706</v>
      </c>
      <c r="O5951" t="s">
        <v>6694</v>
      </c>
      <c r="P5951" t="s">
        <v>6694</v>
      </c>
      <c r="W5951" t="s">
        <v>6720</v>
      </c>
    </row>
    <row r="5952" spans="1:23" ht="15.6" x14ac:dyDescent="0.4">
      <c r="A5952" s="2" t="s">
        <v>2826</v>
      </c>
      <c r="B5952" s="5" t="s">
        <v>11928</v>
      </c>
      <c r="C5952" s="7" t="s">
        <v>12556</v>
      </c>
      <c r="D5952" s="8">
        <f t="shared" si="372"/>
        <v>0</v>
      </c>
      <c r="E5952" s="7" t="s">
        <v>12557</v>
      </c>
      <c r="F5952" s="7">
        <f t="shared" si="373"/>
        <v>1</v>
      </c>
      <c r="G5952" s="7" t="s">
        <v>12558</v>
      </c>
      <c r="H5952" s="7">
        <f t="shared" si="374"/>
        <v>1</v>
      </c>
      <c r="I5952" s="7" t="str" cm="1">
        <f t="array" ref="I5952">IFERROR(_xlfn.IFS(M5952="נח",1,M5952="נע ונח",1,M5952="שני שווא נח",2,M5952="שני שוואים בסוף מילה",2,M5952="שני שוואים ברצף",1),"0")</f>
        <v>0</v>
      </c>
      <c r="J5952" s="9">
        <f t="shared" si="375"/>
        <v>2</v>
      </c>
      <c r="K5952" t="s">
        <v>6698</v>
      </c>
      <c r="L5952" t="s">
        <v>6695</v>
      </c>
      <c r="P5952" t="s">
        <v>6694</v>
      </c>
      <c r="U5952" t="s">
        <v>6694</v>
      </c>
      <c r="W5952" t="s">
        <v>6720</v>
      </c>
    </row>
    <row r="5953" spans="1:23" ht="15.6" x14ac:dyDescent="0.4">
      <c r="A5953" s="2" t="s">
        <v>4053</v>
      </c>
      <c r="B5953" s="5" t="s">
        <v>11929</v>
      </c>
      <c r="C5953" s="7" t="s">
        <v>12556</v>
      </c>
      <c r="D5953" s="8">
        <f t="shared" si="372"/>
        <v>0</v>
      </c>
      <c r="E5953" s="7" t="s">
        <v>12557</v>
      </c>
      <c r="F5953" s="7">
        <f t="shared" si="373"/>
        <v>2</v>
      </c>
      <c r="G5953" s="7" t="s">
        <v>12558</v>
      </c>
      <c r="H5953" s="7">
        <f t="shared" si="374"/>
        <v>1</v>
      </c>
      <c r="I5953" s="7" t="str" cm="1">
        <f t="array" ref="I5953">IFERROR(_xlfn.IFS(M5953="נח",1,M5953="נע ונח",1,M5953="שני שווא נח",2,M5953="שני שוואים בסוף מילה",2,M5953="שני שוואים ברצף",1),"0")</f>
        <v>0</v>
      </c>
      <c r="J5953" s="9">
        <f t="shared" si="375"/>
        <v>2</v>
      </c>
      <c r="K5953" t="s">
        <v>6697</v>
      </c>
      <c r="L5953" t="s">
        <v>6695</v>
      </c>
      <c r="P5953" t="s">
        <v>6694</v>
      </c>
      <c r="U5953" t="s">
        <v>6694</v>
      </c>
      <c r="W5953" t="s">
        <v>6720</v>
      </c>
    </row>
    <row r="5954" spans="1:23" ht="15.6" x14ac:dyDescent="0.4">
      <c r="A5954" s="2" t="s">
        <v>2159</v>
      </c>
      <c r="B5954" s="5" t="s">
        <v>11930</v>
      </c>
      <c r="C5954" s="7" t="s">
        <v>12556</v>
      </c>
      <c r="D5954" s="8">
        <f t="shared" si="372"/>
        <v>0</v>
      </c>
      <c r="E5954" s="7" t="s">
        <v>12557</v>
      </c>
      <c r="F5954" s="7">
        <f t="shared" si="373"/>
        <v>0</v>
      </c>
      <c r="G5954" s="7" t="s">
        <v>12558</v>
      </c>
      <c r="H5954" s="7">
        <f t="shared" si="374"/>
        <v>0</v>
      </c>
      <c r="I5954" s="7" t="str" cm="1">
        <f t="array" ref="I5954">IFERROR(_xlfn.IFS(M5954="נח",1,M5954="נע ונח",1,M5954="שני שווא נח",2,M5954="שני שוואים בסוף מילה",2,M5954="שני שוואים ברצף",1),"0")</f>
        <v>0</v>
      </c>
      <c r="J5954" s="9">
        <f t="shared" si="375"/>
        <v>1</v>
      </c>
      <c r="K5954" t="s">
        <v>6697</v>
      </c>
      <c r="L5954" t="s">
        <v>6695</v>
      </c>
      <c r="P5954" t="s">
        <v>6694</v>
      </c>
      <c r="W5954" t="s">
        <v>6720</v>
      </c>
    </row>
    <row r="5955" spans="1:23" ht="15.6" x14ac:dyDescent="0.4">
      <c r="A5955" s="2" t="s">
        <v>3960</v>
      </c>
      <c r="B5955" s="5" t="s">
        <v>11931</v>
      </c>
      <c r="C5955" s="7" t="s">
        <v>12556</v>
      </c>
      <c r="D5955" s="8">
        <f t="shared" ref="D5955:D6018" si="376">(LEN(B5955)-LEN(SUBSTITUTE(B5955,C5955,"")))</f>
        <v>0</v>
      </c>
      <c r="E5955" s="7" t="s">
        <v>12557</v>
      </c>
      <c r="F5955" s="7">
        <f t="shared" ref="F5955:F6018" si="377">(LEN(A5955)-LEN(SUBSTITUTE(A5955,E5955,"")))</f>
        <v>0</v>
      </c>
      <c r="G5955" s="7" t="s">
        <v>12558</v>
      </c>
      <c r="H5955" s="7">
        <f t="shared" ref="H5955:H6018" si="378">(LEN(A5955)-LEN(SUBSTITUTE(A5955,G5955,"")))/2</f>
        <v>0</v>
      </c>
      <c r="I5955" s="7" t="str" cm="1">
        <f t="array" ref="I5955">IFERROR(_xlfn.IFS(M5955="נח",1,M5955="נע ונח",1,M5955="שני שווא נח",2,M5955="שני שוואים בסוף מילה",2,M5955="שני שוואים ברצף",1),"0")</f>
        <v>0</v>
      </c>
      <c r="J5955" s="9">
        <f t="shared" ref="J5955:J6018" si="379">LEN(A5955)-(LEN(B5955))-D5955-F5955+H5955-I5955</f>
        <v>3</v>
      </c>
      <c r="K5955" t="s">
        <v>6698</v>
      </c>
      <c r="L5955" t="s">
        <v>6695</v>
      </c>
      <c r="N5955" t="s">
        <v>6706</v>
      </c>
      <c r="O5955" t="s">
        <v>6694</v>
      </c>
      <c r="P5955" t="s">
        <v>6694</v>
      </c>
      <c r="W5955" t="s">
        <v>6720</v>
      </c>
    </row>
    <row r="5956" spans="1:23" ht="15.6" x14ac:dyDescent="0.4">
      <c r="A5956" s="2" t="s">
        <v>4856</v>
      </c>
      <c r="B5956" s="5" t="s">
        <v>11932</v>
      </c>
      <c r="C5956" s="7" t="s">
        <v>12556</v>
      </c>
      <c r="D5956" s="8">
        <f t="shared" si="376"/>
        <v>0</v>
      </c>
      <c r="E5956" s="7" t="s">
        <v>12557</v>
      </c>
      <c r="F5956" s="7">
        <f t="shared" si="377"/>
        <v>0</v>
      </c>
      <c r="G5956" s="7" t="s">
        <v>12558</v>
      </c>
      <c r="H5956" s="7">
        <f t="shared" si="378"/>
        <v>0</v>
      </c>
      <c r="I5956" s="7" t="str" cm="1">
        <f t="array" ref="I5956">IFERROR(_xlfn.IFS(M5956="נח",1,M5956="נע ונח",1,M5956="שני שווא נח",2,M5956="שני שוואים בסוף מילה",2,M5956="שני שוואים ברצף",1),"0")</f>
        <v>0</v>
      </c>
      <c r="J5956" s="9">
        <f t="shared" si="379"/>
        <v>2</v>
      </c>
      <c r="K5956" t="s">
        <v>6698</v>
      </c>
      <c r="L5956" t="s">
        <v>6695</v>
      </c>
      <c r="P5956" t="s">
        <v>6694</v>
      </c>
      <c r="W5956" t="s">
        <v>6720</v>
      </c>
    </row>
    <row r="5957" spans="1:23" ht="15.6" x14ac:dyDescent="0.4">
      <c r="A5957" s="2" t="s">
        <v>647</v>
      </c>
      <c r="B5957" s="5" t="s">
        <v>11933</v>
      </c>
      <c r="C5957" s="7" t="s">
        <v>12556</v>
      </c>
      <c r="D5957" s="8">
        <f t="shared" si="376"/>
        <v>0</v>
      </c>
      <c r="E5957" s="7" t="s">
        <v>12557</v>
      </c>
      <c r="F5957" s="7">
        <f t="shared" si="377"/>
        <v>0</v>
      </c>
      <c r="G5957" s="7" t="s">
        <v>12558</v>
      </c>
      <c r="H5957" s="7">
        <f t="shared" si="378"/>
        <v>0</v>
      </c>
      <c r="I5957" s="7" cm="1">
        <f t="array" ref="I5957">IFERROR(_xlfn.IFS(M5957="נח",1,M5957="נע ונח",1,M5957="שני שווא נח",2,M5957="שני שוואים בסוף מילה",2,M5957="שני שוואים ברצף",1),"0")</f>
        <v>1</v>
      </c>
      <c r="J5957" s="9">
        <f t="shared" si="379"/>
        <v>3</v>
      </c>
      <c r="K5957" t="s">
        <v>6697</v>
      </c>
      <c r="L5957" t="s">
        <v>6694</v>
      </c>
      <c r="M5957" t="s">
        <v>6705</v>
      </c>
      <c r="O5957" t="s">
        <v>6694</v>
      </c>
      <c r="P5957" t="s">
        <v>6694</v>
      </c>
      <c r="W5957" t="s">
        <v>6720</v>
      </c>
    </row>
    <row r="5958" spans="1:23" ht="15.6" x14ac:dyDescent="0.4">
      <c r="A5958" s="2" t="s">
        <v>2327</v>
      </c>
      <c r="B5958" s="5" t="s">
        <v>11934</v>
      </c>
      <c r="C5958" s="7" t="s">
        <v>12556</v>
      </c>
      <c r="D5958" s="8">
        <f t="shared" si="376"/>
        <v>0</v>
      </c>
      <c r="E5958" s="7" t="s">
        <v>12557</v>
      </c>
      <c r="F5958" s="7">
        <f t="shared" si="377"/>
        <v>0</v>
      </c>
      <c r="G5958" s="7" t="s">
        <v>12558</v>
      </c>
      <c r="H5958" s="7">
        <f t="shared" si="378"/>
        <v>0</v>
      </c>
      <c r="I5958" s="7" t="str" cm="1">
        <f t="array" ref="I5958">IFERROR(_xlfn.IFS(M5958="נח",1,M5958="נע ונח",1,M5958="שני שווא נח",2,M5958="שני שוואים בסוף מילה",2,M5958="שני שוואים ברצף",1),"0")</f>
        <v>0</v>
      </c>
      <c r="J5958" s="9">
        <f t="shared" si="379"/>
        <v>1</v>
      </c>
      <c r="K5958" t="s">
        <v>6698</v>
      </c>
      <c r="L5958" t="s">
        <v>6695</v>
      </c>
      <c r="P5958" t="s">
        <v>6694</v>
      </c>
      <c r="W5958" t="s">
        <v>6720</v>
      </c>
    </row>
    <row r="5959" spans="1:23" ht="15.6" x14ac:dyDescent="0.4">
      <c r="A5959" s="2" t="s">
        <v>2097</v>
      </c>
      <c r="B5959" s="5" t="s">
        <v>11935</v>
      </c>
      <c r="C5959" s="7" t="s">
        <v>12556</v>
      </c>
      <c r="D5959" s="8">
        <f t="shared" si="376"/>
        <v>0</v>
      </c>
      <c r="E5959" s="7" t="s">
        <v>12557</v>
      </c>
      <c r="F5959" s="7">
        <f t="shared" si="377"/>
        <v>0</v>
      </c>
      <c r="G5959" s="7" t="s">
        <v>12558</v>
      </c>
      <c r="H5959" s="7">
        <f t="shared" si="378"/>
        <v>0</v>
      </c>
      <c r="I5959" s="7" t="str" cm="1">
        <f t="array" ref="I5959">IFERROR(_xlfn.IFS(M5959="נח",1,M5959="נע ונח",1,M5959="שני שווא נח",2,M5959="שני שוואים בסוף מילה",2,M5959="שני שוואים ברצף",1),"0")</f>
        <v>0</v>
      </c>
      <c r="J5959" s="9">
        <f t="shared" si="379"/>
        <v>3</v>
      </c>
      <c r="K5959" t="s">
        <v>6697</v>
      </c>
      <c r="L5959" t="s">
        <v>6695</v>
      </c>
      <c r="O5959" t="s">
        <v>6694</v>
      </c>
      <c r="P5959" t="s">
        <v>6694</v>
      </c>
      <c r="W5959" t="s">
        <v>6720</v>
      </c>
    </row>
    <row r="5960" spans="1:23" ht="15.6" x14ac:dyDescent="0.4">
      <c r="A5960" s="2" t="s">
        <v>5657</v>
      </c>
      <c r="B5960" s="5" t="s">
        <v>11936</v>
      </c>
      <c r="C5960" s="7" t="s">
        <v>12556</v>
      </c>
      <c r="D5960" s="8">
        <f t="shared" si="376"/>
        <v>0</v>
      </c>
      <c r="E5960" s="7" t="s">
        <v>12557</v>
      </c>
      <c r="F5960" s="7">
        <f t="shared" si="377"/>
        <v>1</v>
      </c>
      <c r="G5960" s="7" t="s">
        <v>12558</v>
      </c>
      <c r="H5960" s="7">
        <f t="shared" si="378"/>
        <v>1</v>
      </c>
      <c r="I5960" s="7" t="str" cm="1">
        <f t="array" ref="I5960">IFERROR(_xlfn.IFS(M5960="נח",1,M5960="נע ונח",1,M5960="שני שווא נח",2,M5960="שני שוואים בסוף מילה",2,M5960="שני שוואים ברצף",1),"0")</f>
        <v>0</v>
      </c>
      <c r="J5960" s="9">
        <f t="shared" si="379"/>
        <v>3</v>
      </c>
      <c r="K5960" t="s">
        <v>6697</v>
      </c>
      <c r="L5960" t="s">
        <v>6695</v>
      </c>
      <c r="O5960" t="s">
        <v>6694</v>
      </c>
      <c r="S5960" t="s">
        <v>6694</v>
      </c>
      <c r="U5960" t="s">
        <v>6694</v>
      </c>
      <c r="W5960" t="s">
        <v>6720</v>
      </c>
    </row>
    <row r="5961" spans="1:23" ht="15.6" x14ac:dyDescent="0.4">
      <c r="A5961" s="2" t="s">
        <v>2543</v>
      </c>
      <c r="B5961" s="5" t="s">
        <v>11937</v>
      </c>
      <c r="C5961" s="7" t="s">
        <v>12556</v>
      </c>
      <c r="D5961" s="8">
        <f t="shared" si="376"/>
        <v>0</v>
      </c>
      <c r="E5961" s="7" t="s">
        <v>12557</v>
      </c>
      <c r="F5961" s="7">
        <f t="shared" si="377"/>
        <v>0</v>
      </c>
      <c r="G5961" s="7" t="s">
        <v>12558</v>
      </c>
      <c r="H5961" s="7">
        <f t="shared" si="378"/>
        <v>0</v>
      </c>
      <c r="I5961" s="7" t="str" cm="1">
        <f t="array" ref="I5961">IFERROR(_xlfn.IFS(M5961="נח",1,M5961="נע ונח",1,M5961="שני שווא נח",2,M5961="שני שוואים בסוף מילה",2,M5961="שני שוואים ברצף",1),"0")</f>
        <v>0</v>
      </c>
      <c r="J5961" s="9">
        <f t="shared" si="379"/>
        <v>3</v>
      </c>
      <c r="K5961" t="s">
        <v>6697</v>
      </c>
      <c r="L5961" t="s">
        <v>6695</v>
      </c>
      <c r="O5961" t="s">
        <v>6694</v>
      </c>
      <c r="S5961" t="s">
        <v>6694</v>
      </c>
      <c r="W5961" t="s">
        <v>6720</v>
      </c>
    </row>
    <row r="5962" spans="1:23" ht="15.6" x14ac:dyDescent="0.4">
      <c r="A5962" s="2" t="s">
        <v>3373</v>
      </c>
      <c r="B5962" s="5" t="s">
        <v>11938</v>
      </c>
      <c r="C5962" s="7" t="s">
        <v>12556</v>
      </c>
      <c r="D5962" s="8">
        <f t="shared" si="376"/>
        <v>0</v>
      </c>
      <c r="E5962" s="7" t="s">
        <v>12557</v>
      </c>
      <c r="F5962" s="7">
        <f t="shared" si="377"/>
        <v>0</v>
      </c>
      <c r="G5962" s="7" t="s">
        <v>12558</v>
      </c>
      <c r="H5962" s="7">
        <f t="shared" si="378"/>
        <v>0</v>
      </c>
      <c r="I5962" s="7" t="str" cm="1">
        <f t="array" ref="I5962">IFERROR(_xlfn.IFS(M5962="נח",1,M5962="נע ונח",1,M5962="שני שווא נח",2,M5962="שני שוואים בסוף מילה",2,M5962="שני שוואים ברצף",1),"0")</f>
        <v>0</v>
      </c>
      <c r="J5962" s="9">
        <f t="shared" si="379"/>
        <v>3</v>
      </c>
      <c r="K5962" t="s">
        <v>6698</v>
      </c>
      <c r="L5962" t="s">
        <v>6695</v>
      </c>
      <c r="O5962" t="s">
        <v>6694</v>
      </c>
      <c r="S5962" t="s">
        <v>6694</v>
      </c>
      <c r="W5962" t="s">
        <v>6720</v>
      </c>
    </row>
    <row r="5963" spans="1:23" ht="15.6" x14ac:dyDescent="0.4">
      <c r="A5963" s="2" t="s">
        <v>2098</v>
      </c>
      <c r="B5963" s="5" t="s">
        <v>11939</v>
      </c>
      <c r="C5963" s="7" t="s">
        <v>12556</v>
      </c>
      <c r="D5963" s="8">
        <f t="shared" si="376"/>
        <v>0</v>
      </c>
      <c r="E5963" s="7" t="s">
        <v>12557</v>
      </c>
      <c r="F5963" s="7">
        <f t="shared" si="377"/>
        <v>0</v>
      </c>
      <c r="G5963" s="7" t="s">
        <v>12558</v>
      </c>
      <c r="H5963" s="7">
        <f t="shared" si="378"/>
        <v>0</v>
      </c>
      <c r="I5963" s="7" t="str" cm="1">
        <f t="array" ref="I5963">IFERROR(_xlfn.IFS(M5963="נח",1,M5963="נע ונח",1,M5963="שני שווא נח",2,M5963="שני שוואים בסוף מילה",2,M5963="שני שוואים ברצף",1),"0")</f>
        <v>0</v>
      </c>
      <c r="J5963" s="9">
        <f t="shared" si="379"/>
        <v>3</v>
      </c>
      <c r="K5963" t="s">
        <v>6697</v>
      </c>
      <c r="L5963" t="s">
        <v>6695</v>
      </c>
      <c r="O5963" t="s">
        <v>6694</v>
      </c>
      <c r="S5963" t="s">
        <v>6694</v>
      </c>
      <c r="W5963" t="s">
        <v>6720</v>
      </c>
    </row>
    <row r="5964" spans="1:23" ht="15.6" x14ac:dyDescent="0.4">
      <c r="A5964" s="2" t="s">
        <v>5163</v>
      </c>
      <c r="B5964" s="5" t="s">
        <v>11935</v>
      </c>
      <c r="C5964" s="7" t="s">
        <v>12556</v>
      </c>
      <c r="D5964" s="8">
        <f t="shared" si="376"/>
        <v>0</v>
      </c>
      <c r="E5964" s="7" t="s">
        <v>12557</v>
      </c>
      <c r="F5964" s="7">
        <f t="shared" si="377"/>
        <v>0</v>
      </c>
      <c r="G5964" s="7" t="s">
        <v>12558</v>
      </c>
      <c r="H5964" s="7">
        <f t="shared" si="378"/>
        <v>0</v>
      </c>
      <c r="I5964" s="7" t="str" cm="1">
        <f t="array" ref="I5964">IFERROR(_xlfn.IFS(M5964="נח",1,M5964="נע ונח",1,M5964="שני שווא נח",2,M5964="שני שוואים בסוף מילה",2,M5964="שני שוואים ברצף",1),"0")</f>
        <v>0</v>
      </c>
      <c r="J5964" s="9">
        <f t="shared" si="379"/>
        <v>3</v>
      </c>
      <c r="K5964" t="s">
        <v>6697</v>
      </c>
      <c r="L5964" t="s">
        <v>6695</v>
      </c>
      <c r="O5964" t="s">
        <v>6694</v>
      </c>
      <c r="S5964" t="s">
        <v>6694</v>
      </c>
      <c r="W5964" t="s">
        <v>6720</v>
      </c>
    </row>
    <row r="5965" spans="1:23" ht="15.6" x14ac:dyDescent="0.4">
      <c r="A5965" s="2" t="s">
        <v>435</v>
      </c>
      <c r="B5965" s="5" t="s">
        <v>11859</v>
      </c>
      <c r="C5965" s="7" t="s">
        <v>12556</v>
      </c>
      <c r="D5965" s="8">
        <f t="shared" si="376"/>
        <v>0</v>
      </c>
      <c r="E5965" s="7" t="s">
        <v>12557</v>
      </c>
      <c r="F5965" s="7">
        <f t="shared" si="377"/>
        <v>0</v>
      </c>
      <c r="G5965" s="7" t="s">
        <v>12558</v>
      </c>
      <c r="H5965" s="7">
        <f t="shared" si="378"/>
        <v>0</v>
      </c>
      <c r="I5965" s="7" t="str" cm="1">
        <f t="array" ref="I5965">IFERROR(_xlfn.IFS(M5965="נח",1,M5965="נע ונח",1,M5965="שני שווא נח",2,M5965="שני שוואים בסוף מילה",2,M5965="שני שוואים ברצף",1),"0")</f>
        <v>0</v>
      </c>
      <c r="J5965" s="9">
        <f t="shared" si="379"/>
        <v>2</v>
      </c>
      <c r="K5965" t="s">
        <v>6697</v>
      </c>
      <c r="L5965" t="s">
        <v>6695</v>
      </c>
      <c r="O5965" t="s">
        <v>6694</v>
      </c>
      <c r="W5965" t="s">
        <v>6720</v>
      </c>
    </row>
    <row r="5966" spans="1:23" ht="15.6" x14ac:dyDescent="0.4">
      <c r="A5966" s="2" t="s">
        <v>1578</v>
      </c>
      <c r="B5966" s="5" t="s">
        <v>11940</v>
      </c>
      <c r="C5966" s="7" t="s">
        <v>12556</v>
      </c>
      <c r="D5966" s="8">
        <f t="shared" si="376"/>
        <v>0</v>
      </c>
      <c r="E5966" s="7" t="s">
        <v>12557</v>
      </c>
      <c r="F5966" s="7">
        <f t="shared" si="377"/>
        <v>1</v>
      </c>
      <c r="G5966" s="7" t="s">
        <v>12558</v>
      </c>
      <c r="H5966" s="7">
        <f t="shared" si="378"/>
        <v>1</v>
      </c>
      <c r="I5966" s="7" t="str" cm="1">
        <f t="array" ref="I5966">IFERROR(_xlfn.IFS(M5966="נח",1,M5966="נע ונח",1,M5966="שני שווא נח",2,M5966="שני שוואים בסוף מילה",2,M5966="שני שוואים ברצף",1),"0")</f>
        <v>0</v>
      </c>
      <c r="J5966" s="9">
        <f t="shared" si="379"/>
        <v>2</v>
      </c>
      <c r="K5966" t="s">
        <v>6697</v>
      </c>
      <c r="L5966" t="s">
        <v>6695</v>
      </c>
      <c r="O5966" t="s">
        <v>6694</v>
      </c>
      <c r="U5966" t="s">
        <v>6694</v>
      </c>
      <c r="W5966" t="s">
        <v>6720</v>
      </c>
    </row>
    <row r="5967" spans="1:23" ht="15.6" x14ac:dyDescent="0.4">
      <c r="A5967" s="2" t="s">
        <v>4762</v>
      </c>
      <c r="B5967" s="5" t="s">
        <v>11941</v>
      </c>
      <c r="C5967" s="7" t="s">
        <v>12556</v>
      </c>
      <c r="D5967" s="8">
        <f t="shared" si="376"/>
        <v>0</v>
      </c>
      <c r="E5967" s="7" t="s">
        <v>12557</v>
      </c>
      <c r="F5967" s="7">
        <f t="shared" si="377"/>
        <v>1</v>
      </c>
      <c r="G5967" s="7" t="s">
        <v>12558</v>
      </c>
      <c r="H5967" s="7">
        <f t="shared" si="378"/>
        <v>1</v>
      </c>
      <c r="I5967" s="7" t="str" cm="1">
        <f t="array" ref="I5967">IFERROR(_xlfn.IFS(M5967="נח",1,M5967="נע ונח",1,M5967="שני שווא נח",2,M5967="שני שוואים בסוף מילה",2,M5967="שני שוואים ברצף",1),"0")</f>
        <v>0</v>
      </c>
      <c r="J5967" s="9">
        <f t="shared" si="379"/>
        <v>3</v>
      </c>
      <c r="K5967" t="s">
        <v>6697</v>
      </c>
      <c r="L5967" t="s">
        <v>6695</v>
      </c>
      <c r="O5967" t="s">
        <v>6694</v>
      </c>
      <c r="U5967" t="s">
        <v>6694</v>
      </c>
      <c r="W5967" t="s">
        <v>6720</v>
      </c>
    </row>
    <row r="5968" spans="1:23" ht="15.6" x14ac:dyDescent="0.4">
      <c r="A5968" s="2" t="s">
        <v>5670</v>
      </c>
      <c r="B5968" s="5" t="s">
        <v>11942</v>
      </c>
      <c r="C5968" s="7" t="s">
        <v>12556</v>
      </c>
      <c r="D5968" s="8">
        <f t="shared" si="376"/>
        <v>1</v>
      </c>
      <c r="E5968" s="7" t="s">
        <v>12557</v>
      </c>
      <c r="F5968" s="7">
        <f t="shared" si="377"/>
        <v>0</v>
      </c>
      <c r="G5968" s="7" t="s">
        <v>12558</v>
      </c>
      <c r="H5968" s="7">
        <f t="shared" si="378"/>
        <v>0</v>
      </c>
      <c r="I5968" s="7" t="str" cm="1">
        <f t="array" ref="I5968">IFERROR(_xlfn.IFS(M5968="נח",1,M5968="נע ונח",1,M5968="שני שווא נח",2,M5968="שני שוואים בסוף מילה",2,M5968="שני שוואים ברצף",1),"0")</f>
        <v>0</v>
      </c>
      <c r="J5968" s="9">
        <f t="shared" si="379"/>
        <v>2</v>
      </c>
      <c r="K5968" t="s">
        <v>6698</v>
      </c>
      <c r="L5968" t="s">
        <v>6695</v>
      </c>
      <c r="O5968" t="s">
        <v>6694</v>
      </c>
      <c r="Q5968" t="s">
        <v>6694</v>
      </c>
      <c r="W5968" t="s">
        <v>6720</v>
      </c>
    </row>
    <row r="5969" spans="1:23" ht="15.6" x14ac:dyDescent="0.4">
      <c r="A5969" s="2" t="s">
        <v>6560</v>
      </c>
      <c r="B5969" s="5" t="s">
        <v>11943</v>
      </c>
      <c r="C5969" s="7" t="s">
        <v>12556</v>
      </c>
      <c r="D5969" s="8">
        <f t="shared" si="376"/>
        <v>1</v>
      </c>
      <c r="E5969" s="7" t="s">
        <v>12557</v>
      </c>
      <c r="F5969" s="7">
        <f t="shared" si="377"/>
        <v>0</v>
      </c>
      <c r="G5969" s="7" t="s">
        <v>12558</v>
      </c>
      <c r="H5969" s="7">
        <f t="shared" si="378"/>
        <v>0</v>
      </c>
      <c r="I5969" s="7" t="str" cm="1">
        <f t="array" ref="I5969">IFERROR(_xlfn.IFS(M5969="נח",1,M5969="נע ונח",1,M5969="שני שווא נח",2,M5969="שני שוואים בסוף מילה",2,M5969="שני שוואים ברצף",1),"0")</f>
        <v>0</v>
      </c>
      <c r="J5969" s="9">
        <f t="shared" si="379"/>
        <v>3</v>
      </c>
      <c r="K5969" t="s">
        <v>6698</v>
      </c>
      <c r="L5969" t="s">
        <v>6695</v>
      </c>
      <c r="O5969" t="s">
        <v>6694</v>
      </c>
      <c r="Q5969" t="s">
        <v>6694</v>
      </c>
      <c r="R5969" t="s">
        <v>6694</v>
      </c>
      <c r="W5969" t="s">
        <v>6720</v>
      </c>
    </row>
    <row r="5970" spans="1:23" ht="15.6" x14ac:dyDescent="0.4">
      <c r="A5970" s="2" t="s">
        <v>2578</v>
      </c>
      <c r="B5970" s="5" t="s">
        <v>11944</v>
      </c>
      <c r="C5970" s="7" t="s">
        <v>12556</v>
      </c>
      <c r="D5970" s="8">
        <f t="shared" si="376"/>
        <v>1</v>
      </c>
      <c r="E5970" s="7" t="s">
        <v>12557</v>
      </c>
      <c r="F5970" s="7">
        <f t="shared" si="377"/>
        <v>0</v>
      </c>
      <c r="G5970" s="7" t="s">
        <v>12558</v>
      </c>
      <c r="H5970" s="7">
        <f t="shared" si="378"/>
        <v>0</v>
      </c>
      <c r="I5970" s="7" t="str" cm="1">
        <f t="array" ref="I5970">IFERROR(_xlfn.IFS(M5970="נח",1,M5970="נע ונח",1,M5970="שני שווא נח",2,M5970="שני שוואים בסוף מילה",2,M5970="שני שוואים ברצף",1),"0")</f>
        <v>0</v>
      </c>
      <c r="J5970" s="9">
        <f t="shared" si="379"/>
        <v>3</v>
      </c>
      <c r="K5970" t="s">
        <v>6698</v>
      </c>
      <c r="L5970" t="s">
        <v>6695</v>
      </c>
      <c r="O5970" t="s">
        <v>6694</v>
      </c>
      <c r="Q5970" t="s">
        <v>6694</v>
      </c>
      <c r="R5970" t="s">
        <v>6694</v>
      </c>
      <c r="W5970" t="s">
        <v>6720</v>
      </c>
    </row>
    <row r="5971" spans="1:23" ht="15.6" x14ac:dyDescent="0.4">
      <c r="A5971" s="2" t="s">
        <v>1491</v>
      </c>
      <c r="B5971" s="5" t="s">
        <v>11909</v>
      </c>
      <c r="C5971" s="7" t="s">
        <v>12556</v>
      </c>
      <c r="D5971" s="8">
        <f t="shared" si="376"/>
        <v>0</v>
      </c>
      <c r="E5971" s="7" t="s">
        <v>12557</v>
      </c>
      <c r="F5971" s="7">
        <f t="shared" si="377"/>
        <v>0</v>
      </c>
      <c r="G5971" s="7" t="s">
        <v>12558</v>
      </c>
      <c r="H5971" s="7">
        <f t="shared" si="378"/>
        <v>0</v>
      </c>
      <c r="I5971" s="7" t="str" cm="1">
        <f t="array" ref="I5971">IFERROR(_xlfn.IFS(M5971="נח",1,M5971="נע ונח",1,M5971="שני שווא נח",2,M5971="שני שוואים בסוף מילה",2,M5971="שני שוואים ברצף",1),"0")</f>
        <v>0</v>
      </c>
      <c r="J5971" s="9">
        <f t="shared" si="379"/>
        <v>1</v>
      </c>
      <c r="K5971" t="s">
        <v>6698</v>
      </c>
      <c r="L5971" t="s">
        <v>6695</v>
      </c>
      <c r="N5971" t="s">
        <v>6706</v>
      </c>
      <c r="O5971" t="s">
        <v>6694</v>
      </c>
      <c r="W5971" t="s">
        <v>6720</v>
      </c>
    </row>
    <row r="5972" spans="1:23" ht="15.6" x14ac:dyDescent="0.4">
      <c r="A5972" s="2" t="s">
        <v>934</v>
      </c>
      <c r="B5972" s="5" t="s">
        <v>11914</v>
      </c>
      <c r="C5972" s="7" t="s">
        <v>12556</v>
      </c>
      <c r="D5972" s="8">
        <f t="shared" si="376"/>
        <v>0</v>
      </c>
      <c r="E5972" s="7" t="s">
        <v>12557</v>
      </c>
      <c r="F5972" s="7">
        <f t="shared" si="377"/>
        <v>2</v>
      </c>
      <c r="G5972" s="7" t="s">
        <v>12558</v>
      </c>
      <c r="H5972" s="7">
        <f t="shared" si="378"/>
        <v>1</v>
      </c>
      <c r="I5972" s="7" t="str" cm="1">
        <f t="array" ref="I5972">IFERROR(_xlfn.IFS(M5972="נח",1,M5972="נע ונח",1,M5972="שני שווא נח",2,M5972="שני שוואים בסוף מילה",2,M5972="שני שוואים ברצף",1),"0")</f>
        <v>0</v>
      </c>
      <c r="J5972" s="9">
        <f t="shared" si="379"/>
        <v>2</v>
      </c>
      <c r="K5972" t="s">
        <v>6697</v>
      </c>
      <c r="L5972" t="s">
        <v>6695</v>
      </c>
      <c r="O5972" t="s">
        <v>6694</v>
      </c>
      <c r="U5972" t="s">
        <v>6694</v>
      </c>
      <c r="W5972" t="s">
        <v>6720</v>
      </c>
    </row>
    <row r="5973" spans="1:23" ht="15.6" x14ac:dyDescent="0.4">
      <c r="A5973" s="2" t="s">
        <v>4771</v>
      </c>
      <c r="B5973" s="5" t="s">
        <v>11945</v>
      </c>
      <c r="C5973" s="7" t="s">
        <v>12556</v>
      </c>
      <c r="D5973" s="8">
        <f t="shared" si="376"/>
        <v>0</v>
      </c>
      <c r="E5973" s="7" t="s">
        <v>12557</v>
      </c>
      <c r="F5973" s="7">
        <f t="shared" si="377"/>
        <v>0</v>
      </c>
      <c r="G5973" s="7" t="s">
        <v>12558</v>
      </c>
      <c r="H5973" s="7">
        <f t="shared" si="378"/>
        <v>0</v>
      </c>
      <c r="I5973" s="7" cm="1">
        <f t="array" ref="I5973">IFERROR(_xlfn.IFS(M5973="נח",1,M5973="נע ונח",1,M5973="שני שווא נח",2,M5973="שני שוואים בסוף מילה",2,M5973="שני שוואים ברצף",1),"0")</f>
        <v>1</v>
      </c>
      <c r="J5973" s="9">
        <f t="shared" si="379"/>
        <v>2</v>
      </c>
      <c r="K5973" t="s">
        <v>6697</v>
      </c>
      <c r="L5973" t="s">
        <v>6694</v>
      </c>
      <c r="M5973" t="s">
        <v>6705</v>
      </c>
      <c r="N5973" t="s">
        <v>6706</v>
      </c>
      <c r="O5973" t="s">
        <v>6694</v>
      </c>
      <c r="W5973" t="s">
        <v>6720</v>
      </c>
    </row>
    <row r="5974" spans="1:23" ht="15.6" x14ac:dyDescent="0.4">
      <c r="A5974" s="2" t="s">
        <v>5178</v>
      </c>
      <c r="B5974" s="5" t="s">
        <v>11946</v>
      </c>
      <c r="C5974" s="7" t="s">
        <v>12556</v>
      </c>
      <c r="D5974" s="8">
        <f t="shared" si="376"/>
        <v>1</v>
      </c>
      <c r="E5974" s="7" t="s">
        <v>12557</v>
      </c>
      <c r="F5974" s="7">
        <f t="shared" si="377"/>
        <v>1</v>
      </c>
      <c r="G5974" s="7" t="s">
        <v>12558</v>
      </c>
      <c r="H5974" s="7">
        <f t="shared" si="378"/>
        <v>1</v>
      </c>
      <c r="I5974" s="7" cm="1">
        <f t="array" ref="I5974">IFERROR(_xlfn.IFS(M5974="נח",1,M5974="נע ונח",1,M5974="שני שווא נח",2,M5974="שני שוואים בסוף מילה",2,M5974="שני שוואים ברצף",1),"0")</f>
        <v>1</v>
      </c>
      <c r="J5974" s="9">
        <f t="shared" si="379"/>
        <v>2</v>
      </c>
      <c r="K5974" t="s">
        <v>6697</v>
      </c>
      <c r="L5974" t="s">
        <v>6694</v>
      </c>
      <c r="M5974" t="s">
        <v>6705</v>
      </c>
      <c r="N5974" t="s">
        <v>6706</v>
      </c>
      <c r="O5974" t="s">
        <v>6694</v>
      </c>
      <c r="U5974" t="s">
        <v>6694</v>
      </c>
      <c r="W5974" t="s">
        <v>6720</v>
      </c>
    </row>
    <row r="5975" spans="1:23" ht="15.6" x14ac:dyDescent="0.4">
      <c r="A5975" s="2" t="s">
        <v>5220</v>
      </c>
      <c r="B5975" s="5" t="s">
        <v>11904</v>
      </c>
      <c r="C5975" s="7" t="s">
        <v>12556</v>
      </c>
      <c r="D5975" s="8">
        <f t="shared" si="376"/>
        <v>0</v>
      </c>
      <c r="E5975" s="7" t="s">
        <v>12557</v>
      </c>
      <c r="F5975" s="7">
        <f t="shared" si="377"/>
        <v>0</v>
      </c>
      <c r="G5975" s="7" t="s">
        <v>12558</v>
      </c>
      <c r="H5975" s="7">
        <f t="shared" si="378"/>
        <v>0</v>
      </c>
      <c r="I5975" s="7" t="str" cm="1">
        <f t="array" ref="I5975">IFERROR(_xlfn.IFS(M5975="נח",1,M5975="נע ונח",1,M5975="שני שווא נח",2,M5975="שני שוואים בסוף מילה",2,M5975="שני שוואים ברצף",1),"0")</f>
        <v>0</v>
      </c>
      <c r="J5975" s="9">
        <f t="shared" si="379"/>
        <v>2</v>
      </c>
      <c r="K5975" t="s">
        <v>6698</v>
      </c>
      <c r="L5975" t="s">
        <v>6695</v>
      </c>
      <c r="O5975" t="s">
        <v>6694</v>
      </c>
      <c r="P5975" t="s">
        <v>6694</v>
      </c>
      <c r="W5975" t="s">
        <v>6720</v>
      </c>
    </row>
    <row r="5976" spans="1:23" ht="15.6" x14ac:dyDescent="0.4">
      <c r="A5976" s="2" t="s">
        <v>6230</v>
      </c>
      <c r="B5976" s="5" t="s">
        <v>11905</v>
      </c>
      <c r="C5976" s="7" t="s">
        <v>12556</v>
      </c>
      <c r="D5976" s="8">
        <f t="shared" si="376"/>
        <v>0</v>
      </c>
      <c r="E5976" s="7" t="s">
        <v>12557</v>
      </c>
      <c r="F5976" s="7">
        <f t="shared" si="377"/>
        <v>0</v>
      </c>
      <c r="G5976" s="7" t="s">
        <v>12558</v>
      </c>
      <c r="H5976" s="7">
        <f t="shared" si="378"/>
        <v>0</v>
      </c>
      <c r="I5976" s="7" t="str" cm="1">
        <f t="array" ref="I5976">IFERROR(_xlfn.IFS(M5976="נח",1,M5976="נע ונח",1,M5976="שני שווא נח",2,M5976="שני שוואים בסוף מילה",2,M5976="שני שוואים ברצף",1),"0")</f>
        <v>0</v>
      </c>
      <c r="J5976" s="9">
        <f t="shared" si="379"/>
        <v>2</v>
      </c>
      <c r="K5976" t="s">
        <v>6697</v>
      </c>
      <c r="L5976" t="s">
        <v>6695</v>
      </c>
      <c r="O5976" t="s">
        <v>6694</v>
      </c>
      <c r="P5976" t="s">
        <v>6694</v>
      </c>
      <c r="W5976" t="s">
        <v>6720</v>
      </c>
    </row>
    <row r="5977" spans="1:23" ht="15.6" x14ac:dyDescent="0.4">
      <c r="A5977" s="2" t="s">
        <v>1888</v>
      </c>
      <c r="B5977" s="5" t="s">
        <v>11947</v>
      </c>
      <c r="C5977" s="7" t="s">
        <v>12556</v>
      </c>
      <c r="D5977" s="8">
        <f t="shared" si="376"/>
        <v>0</v>
      </c>
      <c r="E5977" s="7" t="s">
        <v>12557</v>
      </c>
      <c r="F5977" s="7">
        <f t="shared" si="377"/>
        <v>0</v>
      </c>
      <c r="G5977" s="7" t="s">
        <v>12558</v>
      </c>
      <c r="H5977" s="7">
        <f t="shared" si="378"/>
        <v>0</v>
      </c>
      <c r="I5977" s="7" cm="1">
        <f t="array" ref="I5977">IFERROR(_xlfn.IFS(M5977="נח",1,M5977="נע ונח",1,M5977="שני שווא נח",2,M5977="שני שוואים בסוף מילה",2,M5977="שני שוואים ברצף",1),"0")</f>
        <v>1</v>
      </c>
      <c r="J5977" s="9">
        <f t="shared" si="379"/>
        <v>2</v>
      </c>
      <c r="K5977" t="s">
        <v>6697</v>
      </c>
      <c r="L5977" t="s">
        <v>6694</v>
      </c>
      <c r="M5977" t="s">
        <v>6705</v>
      </c>
      <c r="N5977" t="s">
        <v>6706</v>
      </c>
      <c r="O5977" t="s">
        <v>6694</v>
      </c>
      <c r="S5977" t="s">
        <v>6694</v>
      </c>
      <c r="W5977" t="s">
        <v>6720</v>
      </c>
    </row>
    <row r="5978" spans="1:23" ht="15.6" x14ac:dyDescent="0.4">
      <c r="A5978" s="2" t="s">
        <v>5601</v>
      </c>
      <c r="B5978" s="5" t="s">
        <v>11948</v>
      </c>
      <c r="C5978" s="7" t="s">
        <v>12556</v>
      </c>
      <c r="D5978" s="8">
        <f t="shared" si="376"/>
        <v>0</v>
      </c>
      <c r="E5978" s="7" t="s">
        <v>12557</v>
      </c>
      <c r="F5978" s="7">
        <f t="shared" si="377"/>
        <v>0</v>
      </c>
      <c r="G5978" s="7" t="s">
        <v>12558</v>
      </c>
      <c r="H5978" s="7">
        <f t="shared" si="378"/>
        <v>0</v>
      </c>
      <c r="I5978" s="7" t="str" cm="1">
        <f t="array" ref="I5978">IFERROR(_xlfn.IFS(M5978="נח",1,M5978="נע ונח",1,M5978="שני שווא נח",2,M5978="שני שוואים בסוף מילה",2,M5978="שני שוואים ברצף",1),"0")</f>
        <v>0</v>
      </c>
      <c r="J5978" s="9">
        <f t="shared" si="379"/>
        <v>2</v>
      </c>
      <c r="K5978" t="s">
        <v>6698</v>
      </c>
      <c r="L5978" t="s">
        <v>6695</v>
      </c>
      <c r="O5978" t="s">
        <v>6694</v>
      </c>
      <c r="P5978" t="s">
        <v>6694</v>
      </c>
      <c r="W5978" t="s">
        <v>6720</v>
      </c>
    </row>
    <row r="5979" spans="1:23" ht="15.6" x14ac:dyDescent="0.4">
      <c r="A5979" s="2" t="s">
        <v>4647</v>
      </c>
      <c r="B5979" s="5" t="s">
        <v>11885</v>
      </c>
      <c r="C5979" s="7" t="s">
        <v>12556</v>
      </c>
      <c r="D5979" s="8">
        <f t="shared" si="376"/>
        <v>0</v>
      </c>
      <c r="E5979" s="7" t="s">
        <v>12557</v>
      </c>
      <c r="F5979" s="7">
        <f t="shared" si="377"/>
        <v>1</v>
      </c>
      <c r="G5979" s="7" t="s">
        <v>12558</v>
      </c>
      <c r="H5979" s="7">
        <f t="shared" si="378"/>
        <v>1</v>
      </c>
      <c r="I5979" s="7" t="str" cm="1">
        <f t="array" ref="I5979">IFERROR(_xlfn.IFS(M5979="נח",1,M5979="נע ונח",1,M5979="שני שווא נח",2,M5979="שני שוואים בסוף מילה",2,M5979="שני שוואים ברצף",1),"0")</f>
        <v>0</v>
      </c>
      <c r="J5979" s="9">
        <f t="shared" si="379"/>
        <v>3</v>
      </c>
      <c r="K5979" t="s">
        <v>6697</v>
      </c>
      <c r="L5979" t="s">
        <v>6695</v>
      </c>
      <c r="O5979" t="s">
        <v>6694</v>
      </c>
      <c r="U5979" t="s">
        <v>6694</v>
      </c>
      <c r="W5979" t="s">
        <v>6720</v>
      </c>
    </row>
    <row r="5980" spans="1:23" ht="15.6" x14ac:dyDescent="0.4">
      <c r="A5980" s="2" t="s">
        <v>5807</v>
      </c>
      <c r="B5980" s="5" t="s">
        <v>11923</v>
      </c>
      <c r="C5980" s="7" t="s">
        <v>12556</v>
      </c>
      <c r="D5980" s="8">
        <f t="shared" si="376"/>
        <v>0</v>
      </c>
      <c r="E5980" s="7" t="s">
        <v>12557</v>
      </c>
      <c r="F5980" s="7">
        <f t="shared" si="377"/>
        <v>0</v>
      </c>
      <c r="G5980" s="7" t="s">
        <v>12558</v>
      </c>
      <c r="H5980" s="7">
        <f t="shared" si="378"/>
        <v>0</v>
      </c>
      <c r="I5980" s="7" t="str" cm="1">
        <f t="array" ref="I5980">IFERROR(_xlfn.IFS(M5980="נח",1,M5980="נע ונח",1,M5980="שני שווא נח",2,M5980="שני שוואים בסוף מילה",2,M5980="שני שוואים ברצף",1),"0")</f>
        <v>0</v>
      </c>
      <c r="J5980" s="9">
        <f t="shared" si="379"/>
        <v>2</v>
      </c>
      <c r="K5980" t="s">
        <v>6698</v>
      </c>
      <c r="L5980" t="s">
        <v>6695</v>
      </c>
      <c r="O5980" t="s">
        <v>6694</v>
      </c>
      <c r="P5980" t="s">
        <v>6694</v>
      </c>
      <c r="W5980" t="s">
        <v>6720</v>
      </c>
    </row>
    <row r="5981" spans="1:23" ht="15.6" x14ac:dyDescent="0.4">
      <c r="A5981" s="2" t="s">
        <v>1072</v>
      </c>
      <c r="B5981" s="5" t="s">
        <v>11949</v>
      </c>
      <c r="C5981" s="7" t="s">
        <v>12556</v>
      </c>
      <c r="D5981" s="8">
        <f t="shared" si="376"/>
        <v>0</v>
      </c>
      <c r="E5981" s="7" t="s">
        <v>12557</v>
      </c>
      <c r="F5981" s="7">
        <f t="shared" si="377"/>
        <v>0</v>
      </c>
      <c r="G5981" s="7" t="s">
        <v>12558</v>
      </c>
      <c r="H5981" s="7">
        <f t="shared" si="378"/>
        <v>0</v>
      </c>
      <c r="I5981" s="7" t="str" cm="1">
        <f t="array" ref="I5981">IFERROR(_xlfn.IFS(M5981="נח",1,M5981="נע ונח",1,M5981="שני שווא נח",2,M5981="שני שוואים בסוף מילה",2,M5981="שני שוואים ברצף",1),"0")</f>
        <v>0</v>
      </c>
      <c r="J5981" s="9">
        <f t="shared" si="379"/>
        <v>2</v>
      </c>
      <c r="K5981" t="s">
        <v>6698</v>
      </c>
      <c r="L5981" t="s">
        <v>6695</v>
      </c>
      <c r="O5981" t="s">
        <v>6694</v>
      </c>
      <c r="V5981" t="s">
        <v>6694</v>
      </c>
      <c r="W5981" t="s">
        <v>6720</v>
      </c>
    </row>
    <row r="5982" spans="1:23" ht="15.6" x14ac:dyDescent="0.4">
      <c r="A5982" s="2" t="s">
        <v>3678</v>
      </c>
      <c r="B5982" s="5" t="s">
        <v>11950</v>
      </c>
      <c r="C5982" s="7" t="s">
        <v>12556</v>
      </c>
      <c r="D5982" s="8">
        <f t="shared" si="376"/>
        <v>1</v>
      </c>
      <c r="E5982" s="7" t="s">
        <v>12557</v>
      </c>
      <c r="F5982" s="7">
        <f t="shared" si="377"/>
        <v>0</v>
      </c>
      <c r="G5982" s="7" t="s">
        <v>12558</v>
      </c>
      <c r="H5982" s="7">
        <f t="shared" si="378"/>
        <v>0</v>
      </c>
      <c r="I5982" s="7" t="str" cm="1">
        <f t="array" ref="I5982">IFERROR(_xlfn.IFS(M5982="נח",1,M5982="נע ונח",1,M5982="שני שווא נח",2,M5982="שני שוואים בסוף מילה",2,M5982="שני שוואים ברצף",1),"0")</f>
        <v>0</v>
      </c>
      <c r="J5982" s="9">
        <f t="shared" si="379"/>
        <v>2</v>
      </c>
      <c r="K5982" t="s">
        <v>6698</v>
      </c>
      <c r="L5982" t="s">
        <v>6695</v>
      </c>
      <c r="O5982" t="s">
        <v>6694</v>
      </c>
      <c r="P5982" t="s">
        <v>6694</v>
      </c>
      <c r="W5982" t="s">
        <v>6720</v>
      </c>
    </row>
    <row r="5983" spans="1:23" ht="15.6" x14ac:dyDescent="0.4">
      <c r="A5983" s="2" t="s">
        <v>3356</v>
      </c>
      <c r="B5983" s="5" t="s">
        <v>11951</v>
      </c>
      <c r="C5983" s="7" t="s">
        <v>12556</v>
      </c>
      <c r="D5983" s="8">
        <f t="shared" si="376"/>
        <v>0</v>
      </c>
      <c r="E5983" s="7" t="s">
        <v>12557</v>
      </c>
      <c r="F5983" s="7">
        <f t="shared" si="377"/>
        <v>0</v>
      </c>
      <c r="G5983" s="7" t="s">
        <v>12558</v>
      </c>
      <c r="H5983" s="7">
        <f t="shared" si="378"/>
        <v>0</v>
      </c>
      <c r="I5983" s="7" t="str" cm="1">
        <f t="array" ref="I5983">IFERROR(_xlfn.IFS(M5983="נח",1,M5983="נע ונח",1,M5983="שני שווא נח",2,M5983="שני שוואים בסוף מילה",2,M5983="שני שוואים ברצף",1),"0")</f>
        <v>0</v>
      </c>
      <c r="J5983" s="9">
        <f t="shared" si="379"/>
        <v>2</v>
      </c>
      <c r="K5983" t="s">
        <v>6698</v>
      </c>
      <c r="L5983" t="s">
        <v>6695</v>
      </c>
      <c r="O5983" t="s">
        <v>6694</v>
      </c>
      <c r="V5983" t="s">
        <v>6694</v>
      </c>
      <c r="W5983" t="s">
        <v>6720</v>
      </c>
    </row>
    <row r="5984" spans="1:23" ht="15.6" x14ac:dyDescent="0.4">
      <c r="A5984" s="2" t="s">
        <v>1222</v>
      </c>
      <c r="B5984" s="5" t="s">
        <v>11952</v>
      </c>
      <c r="C5984" s="7" t="s">
        <v>12556</v>
      </c>
      <c r="D5984" s="8">
        <f t="shared" si="376"/>
        <v>0</v>
      </c>
      <c r="E5984" s="7" t="s">
        <v>12557</v>
      </c>
      <c r="F5984" s="7">
        <f t="shared" si="377"/>
        <v>0</v>
      </c>
      <c r="G5984" s="7" t="s">
        <v>12558</v>
      </c>
      <c r="H5984" s="7">
        <f t="shared" si="378"/>
        <v>0</v>
      </c>
      <c r="I5984" s="7" t="str" cm="1">
        <f t="array" ref="I5984">IFERROR(_xlfn.IFS(M5984="נח",1,M5984="נע ונח",1,M5984="שני שווא נח",2,M5984="שני שוואים בסוף מילה",2,M5984="שני שוואים ברצף",1),"0")</f>
        <v>0</v>
      </c>
      <c r="J5984" s="9">
        <f t="shared" si="379"/>
        <v>1</v>
      </c>
      <c r="K5984" t="s">
        <v>6698</v>
      </c>
      <c r="L5984" t="s">
        <v>6695</v>
      </c>
      <c r="N5984" t="s">
        <v>6706</v>
      </c>
      <c r="O5984" t="s">
        <v>6694</v>
      </c>
      <c r="W5984" t="s">
        <v>6720</v>
      </c>
    </row>
    <row r="5985" spans="1:23" ht="15.6" x14ac:dyDescent="0.4">
      <c r="A5985" s="2" t="s">
        <v>2028</v>
      </c>
      <c r="B5985" s="5" t="s">
        <v>11953</v>
      </c>
      <c r="C5985" s="7" t="s">
        <v>12556</v>
      </c>
      <c r="D5985" s="8">
        <f t="shared" si="376"/>
        <v>0</v>
      </c>
      <c r="E5985" s="7" t="s">
        <v>12557</v>
      </c>
      <c r="F5985" s="7">
        <f t="shared" si="377"/>
        <v>0</v>
      </c>
      <c r="G5985" s="7" t="s">
        <v>12558</v>
      </c>
      <c r="H5985" s="7">
        <f t="shared" si="378"/>
        <v>0</v>
      </c>
      <c r="I5985" s="7" t="str" cm="1">
        <f t="array" ref="I5985">IFERROR(_xlfn.IFS(M5985="נח",1,M5985="נע ונח",1,M5985="שני שווא נח",2,M5985="שני שוואים בסוף מילה",2,M5985="שני שוואים ברצף",1),"0")</f>
        <v>0</v>
      </c>
      <c r="J5985" s="9">
        <f t="shared" si="379"/>
        <v>2</v>
      </c>
      <c r="K5985" t="s">
        <v>6698</v>
      </c>
      <c r="L5985" t="s">
        <v>6695</v>
      </c>
      <c r="O5985" t="s">
        <v>6694</v>
      </c>
      <c r="V5985" t="s">
        <v>6694</v>
      </c>
      <c r="W5985" t="s">
        <v>6720</v>
      </c>
    </row>
    <row r="5986" spans="1:23" ht="15.6" x14ac:dyDescent="0.4">
      <c r="A5986" s="2" t="s">
        <v>2714</v>
      </c>
      <c r="B5986" s="5" t="s">
        <v>11954</v>
      </c>
      <c r="C5986" s="7" t="s">
        <v>12556</v>
      </c>
      <c r="D5986" s="8">
        <f t="shared" si="376"/>
        <v>0</v>
      </c>
      <c r="E5986" s="7" t="s">
        <v>12557</v>
      </c>
      <c r="F5986" s="7">
        <f t="shared" si="377"/>
        <v>1</v>
      </c>
      <c r="G5986" s="7" t="s">
        <v>12558</v>
      </c>
      <c r="H5986" s="7">
        <f t="shared" si="378"/>
        <v>0</v>
      </c>
      <c r="I5986" s="7" t="str" cm="1">
        <f t="array" ref="I5986">IFERROR(_xlfn.IFS(M5986="נח",1,M5986="נע ונח",1,M5986="שני שווא נח",2,M5986="שני שוואים בסוף מילה",2,M5986="שני שוואים ברצף",1),"0")</f>
        <v>0</v>
      </c>
      <c r="J5986" s="9">
        <f t="shared" si="379"/>
        <v>2</v>
      </c>
      <c r="K5986" t="s">
        <v>6698</v>
      </c>
      <c r="L5986" t="s">
        <v>6695</v>
      </c>
      <c r="O5986" t="s">
        <v>6694</v>
      </c>
      <c r="Q5986" t="s">
        <v>6694</v>
      </c>
      <c r="W5986" t="s">
        <v>6720</v>
      </c>
    </row>
    <row r="5987" spans="1:23" ht="15.6" x14ac:dyDescent="0.4">
      <c r="A5987" s="2" t="s">
        <v>108</v>
      </c>
      <c r="B5987" s="5" t="s">
        <v>11930</v>
      </c>
      <c r="C5987" s="7" t="s">
        <v>12556</v>
      </c>
      <c r="D5987" s="8">
        <f t="shared" si="376"/>
        <v>0</v>
      </c>
      <c r="E5987" s="7" t="s">
        <v>12557</v>
      </c>
      <c r="F5987" s="7">
        <f t="shared" si="377"/>
        <v>0</v>
      </c>
      <c r="G5987" s="7" t="s">
        <v>12558</v>
      </c>
      <c r="H5987" s="7">
        <f t="shared" si="378"/>
        <v>0</v>
      </c>
      <c r="I5987" s="7" t="str" cm="1">
        <f t="array" ref="I5987">IFERROR(_xlfn.IFS(M5987="נח",1,M5987="נע ונח",1,M5987="שני שווא נח",2,M5987="שני שוואים בסוף מילה",2,M5987="שני שוואים ברצף",1),"0")</f>
        <v>0</v>
      </c>
      <c r="J5987" s="9">
        <f t="shared" si="379"/>
        <v>1</v>
      </c>
      <c r="K5987" t="s">
        <v>6697</v>
      </c>
      <c r="L5987" t="s">
        <v>6695</v>
      </c>
      <c r="O5987" t="s">
        <v>6694</v>
      </c>
      <c r="W5987" t="s">
        <v>6720</v>
      </c>
    </row>
    <row r="5988" spans="1:23" ht="15.6" x14ac:dyDescent="0.4">
      <c r="A5988" s="2" t="s">
        <v>1648</v>
      </c>
      <c r="B5988" s="5" t="s">
        <v>11955</v>
      </c>
      <c r="C5988" s="7" t="s">
        <v>12556</v>
      </c>
      <c r="D5988" s="8">
        <f t="shared" si="376"/>
        <v>0</v>
      </c>
      <c r="E5988" s="7" t="s">
        <v>12557</v>
      </c>
      <c r="F5988" s="7">
        <f t="shared" si="377"/>
        <v>0</v>
      </c>
      <c r="G5988" s="7" t="s">
        <v>12558</v>
      </c>
      <c r="H5988" s="7">
        <f t="shared" si="378"/>
        <v>0</v>
      </c>
      <c r="I5988" s="7" t="str" cm="1">
        <f t="array" ref="I5988">IFERROR(_xlfn.IFS(M5988="נח",1,M5988="נע ונח",1,M5988="שני שווא נח",2,M5988="שני שוואים בסוף מילה",2,M5988="שני שוואים ברצף",1),"0")</f>
        <v>0</v>
      </c>
      <c r="J5988" s="9">
        <f t="shared" si="379"/>
        <v>2</v>
      </c>
      <c r="K5988" t="s">
        <v>6698</v>
      </c>
      <c r="L5988" t="s">
        <v>6695</v>
      </c>
      <c r="N5988" t="s">
        <v>6706</v>
      </c>
      <c r="O5988" t="s">
        <v>6694</v>
      </c>
      <c r="W5988" t="s">
        <v>6720</v>
      </c>
    </row>
    <row r="5989" spans="1:23" ht="15.6" x14ac:dyDescent="0.4">
      <c r="A5989" s="2" t="s">
        <v>992</v>
      </c>
      <c r="B5989" s="5" t="s">
        <v>11956</v>
      </c>
      <c r="C5989" s="7" t="s">
        <v>12556</v>
      </c>
      <c r="D5989" s="8">
        <f t="shared" si="376"/>
        <v>0</v>
      </c>
      <c r="E5989" s="7" t="s">
        <v>12557</v>
      </c>
      <c r="F5989" s="7">
        <f t="shared" si="377"/>
        <v>0</v>
      </c>
      <c r="G5989" s="7" t="s">
        <v>12558</v>
      </c>
      <c r="H5989" s="7">
        <f t="shared" si="378"/>
        <v>0</v>
      </c>
      <c r="I5989" s="7" t="str" cm="1">
        <f t="array" ref="I5989">IFERROR(_xlfn.IFS(M5989="נח",1,M5989="נע ונח",1,M5989="שני שווא נח",2,M5989="שני שוואים בסוף מילה",2,M5989="שני שוואים ברצף",1),"0")</f>
        <v>0</v>
      </c>
      <c r="J5989" s="9">
        <f t="shared" si="379"/>
        <v>2</v>
      </c>
      <c r="K5989" t="s">
        <v>6697</v>
      </c>
      <c r="L5989" t="s">
        <v>6695</v>
      </c>
      <c r="O5989" t="s">
        <v>6694</v>
      </c>
      <c r="W5989" t="s">
        <v>6720</v>
      </c>
    </row>
    <row r="5990" spans="1:23" ht="15.6" x14ac:dyDescent="0.4">
      <c r="A5990" s="2" t="s">
        <v>4497</v>
      </c>
      <c r="B5990" s="5" t="s">
        <v>11957</v>
      </c>
      <c r="C5990" s="7" t="s">
        <v>12556</v>
      </c>
      <c r="D5990" s="8">
        <f t="shared" si="376"/>
        <v>1</v>
      </c>
      <c r="E5990" s="7" t="s">
        <v>12557</v>
      </c>
      <c r="F5990" s="7">
        <f t="shared" si="377"/>
        <v>0</v>
      </c>
      <c r="G5990" s="7" t="s">
        <v>12558</v>
      </c>
      <c r="H5990" s="7">
        <f t="shared" si="378"/>
        <v>0</v>
      </c>
      <c r="I5990" s="7" t="str" cm="1">
        <f t="array" ref="I5990">IFERROR(_xlfn.IFS(M5990="נח",1,M5990="נע ונח",1,M5990="שני שווא נח",2,M5990="שני שוואים בסוף מילה",2,M5990="שני שוואים ברצף",1),"0")</f>
        <v>0</v>
      </c>
      <c r="J5990" s="9">
        <f t="shared" si="379"/>
        <v>3</v>
      </c>
      <c r="K5990" t="s">
        <v>6697</v>
      </c>
      <c r="L5990" t="s">
        <v>6695</v>
      </c>
      <c r="O5990" t="s">
        <v>6694</v>
      </c>
      <c r="W5990" t="s">
        <v>6720</v>
      </c>
    </row>
    <row r="5991" spans="1:23" ht="15.6" x14ac:dyDescent="0.4">
      <c r="A5991" s="2" t="s">
        <v>1936</v>
      </c>
      <c r="B5991" s="5" t="s">
        <v>11958</v>
      </c>
      <c r="C5991" s="7" t="s">
        <v>12556</v>
      </c>
      <c r="D5991" s="8">
        <f t="shared" si="376"/>
        <v>0</v>
      </c>
      <c r="E5991" s="7" t="s">
        <v>12557</v>
      </c>
      <c r="F5991" s="7">
        <f t="shared" si="377"/>
        <v>0</v>
      </c>
      <c r="G5991" s="7" t="s">
        <v>12558</v>
      </c>
      <c r="H5991" s="7">
        <f t="shared" si="378"/>
        <v>0</v>
      </c>
      <c r="I5991" s="7" t="str" cm="1">
        <f t="array" ref="I5991">IFERROR(_xlfn.IFS(M5991="נח",1,M5991="נע ונח",1,M5991="שני שווא נח",2,M5991="שני שוואים בסוף מילה",2,M5991="שני שוואים ברצף",1),"0")</f>
        <v>0</v>
      </c>
      <c r="J5991" s="9">
        <f t="shared" si="379"/>
        <v>3</v>
      </c>
      <c r="K5991" t="s">
        <v>6697</v>
      </c>
      <c r="L5991" t="s">
        <v>6695</v>
      </c>
      <c r="O5991" t="s">
        <v>6694</v>
      </c>
      <c r="S5991" t="s">
        <v>6694</v>
      </c>
      <c r="W5991" t="s">
        <v>6720</v>
      </c>
    </row>
    <row r="5992" spans="1:23" ht="15.6" x14ac:dyDescent="0.4">
      <c r="A5992" s="2" t="s">
        <v>3528</v>
      </c>
      <c r="B5992" s="5" t="s">
        <v>11959</v>
      </c>
      <c r="C5992" s="7" t="s">
        <v>12556</v>
      </c>
      <c r="D5992" s="8">
        <f t="shared" si="376"/>
        <v>0</v>
      </c>
      <c r="E5992" s="7" t="s">
        <v>12557</v>
      </c>
      <c r="F5992" s="7">
        <f t="shared" si="377"/>
        <v>0</v>
      </c>
      <c r="G5992" s="7" t="s">
        <v>12558</v>
      </c>
      <c r="H5992" s="7">
        <f t="shared" si="378"/>
        <v>0</v>
      </c>
      <c r="I5992" s="7" t="str" cm="1">
        <f t="array" ref="I5992">IFERROR(_xlfn.IFS(M5992="נח",1,M5992="נע ונח",1,M5992="שני שווא נח",2,M5992="שני שוואים בסוף מילה",2,M5992="שני שוואים ברצף",1),"0")</f>
        <v>0</v>
      </c>
      <c r="J5992" s="9">
        <f t="shared" si="379"/>
        <v>2</v>
      </c>
      <c r="K5992" t="s">
        <v>6698</v>
      </c>
      <c r="L5992" t="s">
        <v>6695</v>
      </c>
      <c r="O5992" t="s">
        <v>6694</v>
      </c>
      <c r="V5992" t="s">
        <v>6694</v>
      </c>
      <c r="W5992" t="s">
        <v>6720</v>
      </c>
    </row>
    <row r="5993" spans="1:23" ht="15.6" x14ac:dyDescent="0.4">
      <c r="A5993" s="2" t="s">
        <v>4917</v>
      </c>
      <c r="B5993" s="5" t="s">
        <v>11960</v>
      </c>
      <c r="C5993" s="7" t="s">
        <v>12556</v>
      </c>
      <c r="D5993" s="8">
        <f t="shared" si="376"/>
        <v>0</v>
      </c>
      <c r="E5993" s="7" t="s">
        <v>12557</v>
      </c>
      <c r="F5993" s="7">
        <f t="shared" si="377"/>
        <v>0</v>
      </c>
      <c r="G5993" s="7" t="s">
        <v>12558</v>
      </c>
      <c r="H5993" s="7">
        <f t="shared" si="378"/>
        <v>0</v>
      </c>
      <c r="I5993" s="7" t="str" cm="1">
        <f t="array" ref="I5993">IFERROR(_xlfn.IFS(M5993="נח",1,M5993="נע ונח",1,M5993="שני שווא נח",2,M5993="שני שוואים בסוף מילה",2,M5993="שני שוואים ברצף",1),"0")</f>
        <v>0</v>
      </c>
      <c r="J5993" s="9">
        <f t="shared" si="379"/>
        <v>3</v>
      </c>
      <c r="K5993" t="s">
        <v>6698</v>
      </c>
      <c r="L5993" t="s">
        <v>6695</v>
      </c>
      <c r="O5993" t="s">
        <v>6694</v>
      </c>
      <c r="S5993" t="s">
        <v>6694</v>
      </c>
      <c r="W5993" t="s">
        <v>6720</v>
      </c>
    </row>
    <row r="5994" spans="1:23" ht="15.6" x14ac:dyDescent="0.4">
      <c r="A5994" s="2" t="s">
        <v>881</v>
      </c>
      <c r="B5994" s="5" t="s">
        <v>11961</v>
      </c>
      <c r="C5994" s="7" t="s">
        <v>12556</v>
      </c>
      <c r="D5994" s="8">
        <f t="shared" si="376"/>
        <v>0</v>
      </c>
      <c r="E5994" s="7" t="s">
        <v>12557</v>
      </c>
      <c r="F5994" s="7">
        <f t="shared" si="377"/>
        <v>0</v>
      </c>
      <c r="G5994" s="7" t="s">
        <v>12558</v>
      </c>
      <c r="H5994" s="7">
        <f t="shared" si="378"/>
        <v>0</v>
      </c>
      <c r="I5994" s="7" t="str" cm="1">
        <f t="array" ref="I5994">IFERROR(_xlfn.IFS(M5994="נח",1,M5994="נע ונח",1,M5994="שני שווא נח",2,M5994="שני שוואים בסוף מילה",2,M5994="שני שוואים ברצף",1),"0")</f>
        <v>0</v>
      </c>
      <c r="J5994" s="9">
        <f t="shared" si="379"/>
        <v>2</v>
      </c>
      <c r="K5994" t="s">
        <v>6698</v>
      </c>
      <c r="L5994" t="s">
        <v>6695</v>
      </c>
      <c r="O5994" t="s">
        <v>6694</v>
      </c>
      <c r="V5994" t="s">
        <v>6694</v>
      </c>
      <c r="W5994" t="s">
        <v>6720</v>
      </c>
    </row>
    <row r="5995" spans="1:23" ht="15.6" x14ac:dyDescent="0.4">
      <c r="A5995" s="2" t="s">
        <v>570</v>
      </c>
      <c r="B5995" s="5" t="s">
        <v>11962</v>
      </c>
      <c r="C5995" s="7" t="s">
        <v>12556</v>
      </c>
      <c r="D5995" s="8">
        <f t="shared" si="376"/>
        <v>0</v>
      </c>
      <c r="E5995" s="7" t="s">
        <v>12557</v>
      </c>
      <c r="F5995" s="7">
        <f t="shared" si="377"/>
        <v>1</v>
      </c>
      <c r="G5995" s="7" t="s">
        <v>12558</v>
      </c>
      <c r="H5995" s="7">
        <f t="shared" si="378"/>
        <v>1</v>
      </c>
      <c r="I5995" s="7" cm="1">
        <f t="array" ref="I5995">IFERROR(_xlfn.IFS(M5995="נח",1,M5995="נע ונח",1,M5995="שני שווא נח",2,M5995="שני שוואים בסוף מילה",2,M5995="שני שוואים ברצף",1),"0")</f>
        <v>1</v>
      </c>
      <c r="J5995" s="9">
        <f t="shared" si="379"/>
        <v>2</v>
      </c>
      <c r="K5995" t="s">
        <v>6697</v>
      </c>
      <c r="L5995" t="s">
        <v>6694</v>
      </c>
      <c r="M5995" t="s">
        <v>6705</v>
      </c>
      <c r="N5995" t="s">
        <v>6706</v>
      </c>
      <c r="O5995" t="s">
        <v>6694</v>
      </c>
      <c r="U5995" t="s">
        <v>6694</v>
      </c>
      <c r="W5995" t="s">
        <v>6720</v>
      </c>
    </row>
    <row r="5996" spans="1:23" ht="15.6" x14ac:dyDescent="0.4">
      <c r="A5996" s="2" t="s">
        <v>2010</v>
      </c>
      <c r="B5996" s="5" t="s">
        <v>11963</v>
      </c>
      <c r="C5996" s="7" t="s">
        <v>12556</v>
      </c>
      <c r="D5996" s="8">
        <f t="shared" si="376"/>
        <v>1</v>
      </c>
      <c r="E5996" s="7" t="s">
        <v>12557</v>
      </c>
      <c r="F5996" s="7">
        <f t="shared" si="377"/>
        <v>1</v>
      </c>
      <c r="G5996" s="7" t="s">
        <v>12558</v>
      </c>
      <c r="H5996" s="7">
        <f t="shared" si="378"/>
        <v>0</v>
      </c>
      <c r="I5996" s="7" cm="1">
        <f t="array" ref="I5996">IFERROR(_xlfn.IFS(M5996="נח",1,M5996="נע ונח",1,M5996="שני שווא נח",2,M5996="שני שוואים בסוף מילה",2,M5996="שני שוואים ברצף",1),"0")</f>
        <v>1</v>
      </c>
      <c r="J5996" s="9">
        <f t="shared" si="379"/>
        <v>3</v>
      </c>
      <c r="K5996" t="s">
        <v>6697</v>
      </c>
      <c r="L5996" t="s">
        <v>6694</v>
      </c>
      <c r="M5996" t="s">
        <v>6705</v>
      </c>
      <c r="O5996" t="s">
        <v>6694</v>
      </c>
      <c r="P5996" t="s">
        <v>6694</v>
      </c>
      <c r="S5996" t="s">
        <v>6694</v>
      </c>
      <c r="W5996" t="s">
        <v>6720</v>
      </c>
    </row>
    <row r="5997" spans="1:23" ht="15.6" x14ac:dyDescent="0.4">
      <c r="A5997" s="2" t="s">
        <v>468</v>
      </c>
      <c r="B5997" s="5" t="s">
        <v>11908</v>
      </c>
      <c r="C5997" s="7" t="s">
        <v>12556</v>
      </c>
      <c r="D5997" s="8">
        <f t="shared" si="376"/>
        <v>1</v>
      </c>
      <c r="E5997" s="7" t="s">
        <v>12557</v>
      </c>
      <c r="F5997" s="7">
        <f t="shared" si="377"/>
        <v>0</v>
      </c>
      <c r="G5997" s="7" t="s">
        <v>12558</v>
      </c>
      <c r="H5997" s="7">
        <f t="shared" si="378"/>
        <v>0</v>
      </c>
      <c r="I5997" s="7" t="str" cm="1">
        <f t="array" ref="I5997">IFERROR(_xlfn.IFS(M5997="נח",1,M5997="נע ונח",1,M5997="שני שווא נח",2,M5997="שני שוואים בסוף מילה",2,M5997="שני שוואים ברצף",1),"0")</f>
        <v>0</v>
      </c>
      <c r="J5997" s="9">
        <f t="shared" si="379"/>
        <v>2</v>
      </c>
      <c r="K5997" t="s">
        <v>6697</v>
      </c>
      <c r="L5997" t="s">
        <v>6695</v>
      </c>
      <c r="O5997" t="s">
        <v>6694</v>
      </c>
      <c r="W5997" t="s">
        <v>6720</v>
      </c>
    </row>
    <row r="5998" spans="1:23" ht="15.6" x14ac:dyDescent="0.4">
      <c r="A5998" s="2" t="s">
        <v>2763</v>
      </c>
      <c r="B5998" s="5" t="s">
        <v>11964</v>
      </c>
      <c r="C5998" s="7" t="s">
        <v>12556</v>
      </c>
      <c r="D5998" s="8">
        <f t="shared" si="376"/>
        <v>1</v>
      </c>
      <c r="E5998" s="7" t="s">
        <v>12557</v>
      </c>
      <c r="F5998" s="7">
        <f t="shared" si="377"/>
        <v>1</v>
      </c>
      <c r="G5998" s="7" t="s">
        <v>12558</v>
      </c>
      <c r="H5998" s="7">
        <f t="shared" si="378"/>
        <v>1</v>
      </c>
      <c r="I5998" s="7" t="str" cm="1">
        <f t="array" ref="I5998">IFERROR(_xlfn.IFS(M5998="נח",1,M5998="נע ונח",1,M5998="שני שווא נח",2,M5998="שני שוואים בסוף מילה",2,M5998="שני שוואים ברצף",1),"0")</f>
        <v>0</v>
      </c>
      <c r="J5998" s="9">
        <f t="shared" si="379"/>
        <v>2</v>
      </c>
      <c r="K5998" t="s">
        <v>6697</v>
      </c>
      <c r="L5998" t="s">
        <v>6695</v>
      </c>
      <c r="O5998" t="s">
        <v>6694</v>
      </c>
      <c r="U5998" t="s">
        <v>6694</v>
      </c>
      <c r="W5998" t="s">
        <v>6720</v>
      </c>
    </row>
    <row r="5999" spans="1:23" ht="15.6" x14ac:dyDescent="0.4">
      <c r="A5999" s="2" t="s">
        <v>4352</v>
      </c>
      <c r="B5999" s="5" t="s">
        <v>11859</v>
      </c>
      <c r="C5999" s="7" t="s">
        <v>12556</v>
      </c>
      <c r="D5999" s="8">
        <f t="shared" si="376"/>
        <v>0</v>
      </c>
      <c r="E5999" s="7" t="s">
        <v>12557</v>
      </c>
      <c r="F5999" s="7">
        <f t="shared" si="377"/>
        <v>0</v>
      </c>
      <c r="G5999" s="7" t="s">
        <v>12558</v>
      </c>
      <c r="H5999" s="7">
        <f t="shared" si="378"/>
        <v>0</v>
      </c>
      <c r="I5999" s="7" t="str" cm="1">
        <f t="array" ref="I5999">IFERROR(_xlfn.IFS(M5999="נח",1,M5999="נע ונח",1,M5999="שני שווא נח",2,M5999="שני שוואים בסוף מילה",2,M5999="שני שוואים ברצף",1),"0")</f>
        <v>0</v>
      </c>
      <c r="J5999" s="9">
        <f t="shared" si="379"/>
        <v>2</v>
      </c>
      <c r="K5999" t="s">
        <v>6697</v>
      </c>
      <c r="L5999" t="s">
        <v>6695</v>
      </c>
      <c r="Q5999" t="s">
        <v>6694</v>
      </c>
      <c r="V5999" t="s">
        <v>6694</v>
      </c>
      <c r="W5999" t="s">
        <v>6720</v>
      </c>
    </row>
    <row r="6000" spans="1:23" ht="15.6" x14ac:dyDescent="0.4">
      <c r="A6000" s="2" t="s">
        <v>24</v>
      </c>
      <c r="B6000" s="5" t="s">
        <v>11965</v>
      </c>
      <c r="C6000" s="7" t="s">
        <v>12556</v>
      </c>
      <c r="D6000" s="8">
        <f t="shared" si="376"/>
        <v>0</v>
      </c>
      <c r="E6000" s="7" t="s">
        <v>12557</v>
      </c>
      <c r="F6000" s="7">
        <f t="shared" si="377"/>
        <v>0</v>
      </c>
      <c r="G6000" s="7" t="s">
        <v>12558</v>
      </c>
      <c r="H6000" s="7">
        <f t="shared" si="378"/>
        <v>0</v>
      </c>
      <c r="I6000" s="7" t="str" cm="1">
        <f t="array" ref="I6000">IFERROR(_xlfn.IFS(M6000="נח",1,M6000="נע ונח",1,M6000="שני שווא נח",2,M6000="שני שוואים בסוף מילה",2,M6000="שני שוואים ברצף",1),"0")</f>
        <v>0</v>
      </c>
      <c r="J6000" s="9">
        <f t="shared" si="379"/>
        <v>2</v>
      </c>
      <c r="K6000" t="s">
        <v>6698</v>
      </c>
      <c r="L6000" t="s">
        <v>6695</v>
      </c>
      <c r="P6000" t="s">
        <v>6694</v>
      </c>
      <c r="V6000" t="s">
        <v>6694</v>
      </c>
      <c r="W6000" t="s">
        <v>6720</v>
      </c>
    </row>
    <row r="6001" spans="1:23" ht="15.6" x14ac:dyDescent="0.4">
      <c r="A6001" s="2" t="s">
        <v>2886</v>
      </c>
      <c r="B6001" s="5" t="s">
        <v>11966</v>
      </c>
      <c r="C6001" s="7" t="s">
        <v>12556</v>
      </c>
      <c r="D6001" s="8">
        <f t="shared" si="376"/>
        <v>1</v>
      </c>
      <c r="E6001" s="7" t="s">
        <v>12557</v>
      </c>
      <c r="F6001" s="7">
        <f t="shared" si="377"/>
        <v>0</v>
      </c>
      <c r="G6001" s="7" t="s">
        <v>12558</v>
      </c>
      <c r="H6001" s="7">
        <f t="shared" si="378"/>
        <v>0</v>
      </c>
      <c r="I6001" s="7" t="str" cm="1">
        <f t="array" ref="I6001">IFERROR(_xlfn.IFS(M6001="נח",1,M6001="נע ונח",1,M6001="שני שווא נח",2,M6001="שני שוואים בסוף מילה",2,M6001="שני שוואים ברצף",1),"0")</f>
        <v>0</v>
      </c>
      <c r="J6001" s="9">
        <f t="shared" si="379"/>
        <v>1</v>
      </c>
      <c r="K6001" t="s">
        <v>6698</v>
      </c>
      <c r="L6001" t="s">
        <v>6695</v>
      </c>
      <c r="V6001" t="s">
        <v>6694</v>
      </c>
      <c r="W6001" t="s">
        <v>6720</v>
      </c>
    </row>
    <row r="6002" spans="1:23" ht="15.6" x14ac:dyDescent="0.4">
      <c r="A6002" s="2" t="s">
        <v>794</v>
      </c>
      <c r="B6002" s="5" t="s">
        <v>11942</v>
      </c>
      <c r="C6002" s="7" t="s">
        <v>12556</v>
      </c>
      <c r="D6002" s="8">
        <f t="shared" si="376"/>
        <v>1</v>
      </c>
      <c r="E6002" s="7" t="s">
        <v>12557</v>
      </c>
      <c r="F6002" s="7">
        <f t="shared" si="377"/>
        <v>0</v>
      </c>
      <c r="G6002" s="7" t="s">
        <v>12558</v>
      </c>
      <c r="H6002" s="7">
        <f t="shared" si="378"/>
        <v>0</v>
      </c>
      <c r="I6002" s="7" t="str" cm="1">
        <f t="array" ref="I6002">IFERROR(_xlfn.IFS(M6002="נח",1,M6002="נע ונח",1,M6002="שני שווא נח",2,M6002="שני שוואים בסוף מילה",2,M6002="שני שוואים ברצף",1),"0")</f>
        <v>0</v>
      </c>
      <c r="J6002" s="9">
        <f t="shared" si="379"/>
        <v>2</v>
      </c>
      <c r="K6002" t="s">
        <v>6697</v>
      </c>
      <c r="L6002" t="s">
        <v>6695</v>
      </c>
      <c r="S6002" t="s">
        <v>6694</v>
      </c>
      <c r="V6002" t="s">
        <v>6694</v>
      </c>
      <c r="W6002" t="s">
        <v>6720</v>
      </c>
    </row>
    <row r="6003" spans="1:23" ht="15.6" x14ac:dyDescent="0.4">
      <c r="A6003" s="2" t="s">
        <v>6546</v>
      </c>
      <c r="B6003" s="5" t="s">
        <v>11967</v>
      </c>
      <c r="C6003" s="7" t="s">
        <v>12556</v>
      </c>
      <c r="D6003" s="8">
        <f t="shared" si="376"/>
        <v>1</v>
      </c>
      <c r="E6003" s="7" t="s">
        <v>12557</v>
      </c>
      <c r="F6003" s="7">
        <f t="shared" si="377"/>
        <v>0</v>
      </c>
      <c r="G6003" s="7" t="s">
        <v>12558</v>
      </c>
      <c r="H6003" s="7">
        <f t="shared" si="378"/>
        <v>0</v>
      </c>
      <c r="I6003" s="7" t="str" cm="1">
        <f t="array" ref="I6003">IFERROR(_xlfn.IFS(M6003="נח",1,M6003="נע ונח",1,M6003="שני שווא נח",2,M6003="שני שוואים בסוף מילה",2,M6003="שני שוואים ברצף",1),"0")</f>
        <v>0</v>
      </c>
      <c r="J6003" s="9">
        <f t="shared" si="379"/>
        <v>2</v>
      </c>
      <c r="K6003" t="s">
        <v>6698</v>
      </c>
      <c r="L6003" t="s">
        <v>6695</v>
      </c>
      <c r="N6003" t="s">
        <v>6706</v>
      </c>
      <c r="O6003" t="s">
        <v>6694</v>
      </c>
      <c r="V6003" t="s">
        <v>6694</v>
      </c>
      <c r="W6003" t="s">
        <v>6720</v>
      </c>
    </row>
    <row r="6004" spans="1:23" ht="15.6" x14ac:dyDescent="0.4">
      <c r="A6004" s="2" t="s">
        <v>1038</v>
      </c>
      <c r="B6004" s="5" t="s">
        <v>11909</v>
      </c>
      <c r="C6004" s="7" t="s">
        <v>12556</v>
      </c>
      <c r="D6004" s="8">
        <f t="shared" si="376"/>
        <v>0</v>
      </c>
      <c r="E6004" s="7" t="s">
        <v>12557</v>
      </c>
      <c r="F6004" s="7">
        <f t="shared" si="377"/>
        <v>0</v>
      </c>
      <c r="G6004" s="7" t="s">
        <v>12558</v>
      </c>
      <c r="H6004" s="7">
        <f t="shared" si="378"/>
        <v>0</v>
      </c>
      <c r="I6004" s="7" t="str" cm="1">
        <f t="array" ref="I6004">IFERROR(_xlfn.IFS(M6004="נח",1,M6004="נע ונח",1,M6004="שני שווא נח",2,M6004="שני שוואים בסוף מילה",2,M6004="שני שוואים ברצף",1),"0")</f>
        <v>0</v>
      </c>
      <c r="J6004" s="9">
        <f t="shared" si="379"/>
        <v>1</v>
      </c>
      <c r="K6004" t="s">
        <v>6698</v>
      </c>
      <c r="L6004" t="s">
        <v>6695</v>
      </c>
      <c r="V6004" t="s">
        <v>6694</v>
      </c>
      <c r="W6004" t="s">
        <v>6720</v>
      </c>
    </row>
    <row r="6005" spans="1:23" ht="15.6" x14ac:dyDescent="0.4">
      <c r="A6005" s="2" t="s">
        <v>952</v>
      </c>
      <c r="B6005" s="5" t="s">
        <v>11947</v>
      </c>
      <c r="C6005" s="7" t="s">
        <v>12556</v>
      </c>
      <c r="D6005" s="8">
        <f t="shared" si="376"/>
        <v>0</v>
      </c>
      <c r="E6005" s="7" t="s">
        <v>12557</v>
      </c>
      <c r="F6005" s="7">
        <f t="shared" si="377"/>
        <v>0</v>
      </c>
      <c r="G6005" s="7" t="s">
        <v>12558</v>
      </c>
      <c r="H6005" s="7">
        <f t="shared" si="378"/>
        <v>0</v>
      </c>
      <c r="I6005" s="7" cm="1">
        <f t="array" ref="I6005">IFERROR(_xlfn.IFS(M6005="נח",1,M6005="נע ונח",1,M6005="שני שווא נח",2,M6005="שני שוואים בסוף מילה",2,M6005="שני שוואים ברצף",1),"0")</f>
        <v>1</v>
      </c>
      <c r="J6005" s="9">
        <f t="shared" si="379"/>
        <v>2</v>
      </c>
      <c r="K6005" t="s">
        <v>6698</v>
      </c>
      <c r="L6005" t="s">
        <v>6694</v>
      </c>
      <c r="M6005" t="s">
        <v>6705</v>
      </c>
      <c r="N6005" t="s">
        <v>6706</v>
      </c>
      <c r="O6005" t="s">
        <v>6694</v>
      </c>
      <c r="V6005" t="s">
        <v>6694</v>
      </c>
      <c r="W6005" t="s">
        <v>6720</v>
      </c>
    </row>
    <row r="6006" spans="1:23" ht="15.6" x14ac:dyDescent="0.4">
      <c r="A6006" s="2" t="s">
        <v>6060</v>
      </c>
      <c r="B6006" s="5" t="s">
        <v>11968</v>
      </c>
      <c r="C6006" s="7" t="s">
        <v>12556</v>
      </c>
      <c r="D6006" s="8">
        <f t="shared" si="376"/>
        <v>0</v>
      </c>
      <c r="E6006" s="7" t="s">
        <v>12557</v>
      </c>
      <c r="F6006" s="7">
        <f t="shared" si="377"/>
        <v>0</v>
      </c>
      <c r="G6006" s="7" t="s">
        <v>12558</v>
      </c>
      <c r="H6006" s="7">
        <f t="shared" si="378"/>
        <v>0</v>
      </c>
      <c r="I6006" s="7" cm="1">
        <f t="array" ref="I6006">IFERROR(_xlfn.IFS(M6006="נח",1,M6006="נע ונח",1,M6006="שני שווא נח",2,M6006="שני שוואים בסוף מילה",2,M6006="שני שוואים ברצף",1),"0")</f>
        <v>1</v>
      </c>
      <c r="J6006" s="9">
        <f t="shared" si="379"/>
        <v>2</v>
      </c>
      <c r="K6006" t="s">
        <v>6698</v>
      </c>
      <c r="L6006" t="s">
        <v>6694</v>
      </c>
      <c r="M6006" t="s">
        <v>6705</v>
      </c>
      <c r="N6006" t="s">
        <v>6706</v>
      </c>
      <c r="O6006" t="s">
        <v>6694</v>
      </c>
      <c r="V6006" t="s">
        <v>6694</v>
      </c>
      <c r="W6006" t="s">
        <v>6720</v>
      </c>
    </row>
    <row r="6007" spans="1:23" ht="15.6" x14ac:dyDescent="0.4">
      <c r="A6007" s="2" t="s">
        <v>5232</v>
      </c>
      <c r="B6007" s="5" t="s">
        <v>11969</v>
      </c>
      <c r="C6007" s="7" t="s">
        <v>12556</v>
      </c>
      <c r="D6007" s="8">
        <f t="shared" si="376"/>
        <v>0</v>
      </c>
      <c r="E6007" s="7" t="s">
        <v>12557</v>
      </c>
      <c r="F6007" s="7">
        <f t="shared" si="377"/>
        <v>0</v>
      </c>
      <c r="G6007" s="7" t="s">
        <v>12558</v>
      </c>
      <c r="H6007" s="7">
        <f t="shared" si="378"/>
        <v>0</v>
      </c>
      <c r="I6007" s="7" t="str" cm="1">
        <f t="array" ref="I6007">IFERROR(_xlfn.IFS(M6007="נח",1,M6007="נע ונח",1,M6007="שני שווא נח",2,M6007="שני שוואים בסוף מילה",2,M6007="שני שוואים ברצף",1),"0")</f>
        <v>0</v>
      </c>
      <c r="J6007" s="9">
        <f t="shared" si="379"/>
        <v>2</v>
      </c>
      <c r="K6007" t="s">
        <v>6697</v>
      </c>
      <c r="L6007" t="s">
        <v>6695</v>
      </c>
      <c r="S6007" t="s">
        <v>6694</v>
      </c>
      <c r="V6007" t="s">
        <v>6694</v>
      </c>
      <c r="W6007" t="s">
        <v>6720</v>
      </c>
    </row>
    <row r="6008" spans="1:23" ht="15.6" x14ac:dyDescent="0.4">
      <c r="A6008" s="2" t="s">
        <v>4777</v>
      </c>
      <c r="B6008" s="5" t="s">
        <v>11956</v>
      </c>
      <c r="C6008" s="7" t="s">
        <v>12556</v>
      </c>
      <c r="D6008" s="8">
        <f t="shared" si="376"/>
        <v>0</v>
      </c>
      <c r="E6008" s="7" t="s">
        <v>12557</v>
      </c>
      <c r="F6008" s="7">
        <f t="shared" si="377"/>
        <v>0</v>
      </c>
      <c r="G6008" s="7" t="s">
        <v>12558</v>
      </c>
      <c r="H6008" s="7">
        <f t="shared" si="378"/>
        <v>0</v>
      </c>
      <c r="I6008" s="7" t="str" cm="1">
        <f t="array" ref="I6008">IFERROR(_xlfn.IFS(M6008="נח",1,M6008="נע ונח",1,M6008="שני שווא נח",2,M6008="שני שוואים בסוף מילה",2,M6008="שני שוואים ברצף",1),"0")</f>
        <v>0</v>
      </c>
      <c r="J6008" s="9">
        <f t="shared" si="379"/>
        <v>2</v>
      </c>
      <c r="K6008" t="s">
        <v>6697</v>
      </c>
      <c r="L6008" t="s">
        <v>6695</v>
      </c>
      <c r="Q6008" t="s">
        <v>6694</v>
      </c>
      <c r="V6008" t="s">
        <v>6694</v>
      </c>
      <c r="W6008" t="s">
        <v>6720</v>
      </c>
    </row>
    <row r="6009" spans="1:23" ht="15.6" x14ac:dyDescent="0.4">
      <c r="A6009" s="2" t="s">
        <v>5067</v>
      </c>
      <c r="B6009" s="5" t="s">
        <v>11970</v>
      </c>
      <c r="C6009" s="7" t="s">
        <v>12556</v>
      </c>
      <c r="D6009" s="8">
        <f t="shared" si="376"/>
        <v>0</v>
      </c>
      <c r="E6009" s="7" t="s">
        <v>12557</v>
      </c>
      <c r="F6009" s="7">
        <f t="shared" si="377"/>
        <v>2</v>
      </c>
      <c r="G6009" s="7" t="s">
        <v>12558</v>
      </c>
      <c r="H6009" s="7">
        <f t="shared" si="378"/>
        <v>0</v>
      </c>
      <c r="I6009" s="7" cm="1">
        <f t="array" ref="I6009">IFERROR(_xlfn.IFS(M6009="נח",1,M6009="נע ונח",1,M6009="שני שווא נח",2,M6009="שני שוואים בסוף מילה",2,M6009="שני שוואים ברצף",1),"0")</f>
        <v>1</v>
      </c>
      <c r="J6009" s="9">
        <f t="shared" si="379"/>
        <v>3</v>
      </c>
      <c r="K6009" t="s">
        <v>6697</v>
      </c>
      <c r="L6009" t="s">
        <v>6694</v>
      </c>
      <c r="M6009" t="s">
        <v>6705</v>
      </c>
      <c r="P6009" t="s">
        <v>6694</v>
      </c>
      <c r="S6009" t="s">
        <v>6694</v>
      </c>
      <c r="T6009" t="s">
        <v>6694</v>
      </c>
      <c r="W6009" t="s">
        <v>6720</v>
      </c>
    </row>
    <row r="6010" spans="1:23" ht="15.6" x14ac:dyDescent="0.4">
      <c r="A6010" s="2" t="s">
        <v>3945</v>
      </c>
      <c r="B6010" s="5" t="s">
        <v>11930</v>
      </c>
      <c r="C6010" s="7" t="s">
        <v>12556</v>
      </c>
      <c r="D6010" s="8">
        <f t="shared" si="376"/>
        <v>0</v>
      </c>
      <c r="E6010" s="7" t="s">
        <v>12557</v>
      </c>
      <c r="F6010" s="7">
        <f t="shared" si="377"/>
        <v>1</v>
      </c>
      <c r="G6010" s="7" t="s">
        <v>12558</v>
      </c>
      <c r="H6010" s="7">
        <f t="shared" si="378"/>
        <v>0</v>
      </c>
      <c r="I6010" s="7" t="str" cm="1">
        <f t="array" ref="I6010">IFERROR(_xlfn.IFS(M6010="נח",1,M6010="נע ונח",1,M6010="שני שווא נח",2,M6010="שני שוואים בסוף מילה",2,M6010="שני שוואים ברצף",1),"0")</f>
        <v>0</v>
      </c>
      <c r="J6010" s="9">
        <f t="shared" si="379"/>
        <v>1</v>
      </c>
      <c r="K6010" t="s">
        <v>6697</v>
      </c>
      <c r="L6010" t="s">
        <v>6695</v>
      </c>
      <c r="O6010" t="s">
        <v>6694</v>
      </c>
      <c r="W6010" t="s">
        <v>6720</v>
      </c>
    </row>
    <row r="6011" spans="1:23" ht="15.6" x14ac:dyDescent="0.4">
      <c r="A6011" s="2" t="s">
        <v>1459</v>
      </c>
      <c r="B6011" s="5" t="s">
        <v>11971</v>
      </c>
      <c r="C6011" s="7" t="s">
        <v>12556</v>
      </c>
      <c r="D6011" s="8">
        <f t="shared" si="376"/>
        <v>0</v>
      </c>
      <c r="E6011" s="7" t="s">
        <v>12557</v>
      </c>
      <c r="F6011" s="7">
        <f t="shared" si="377"/>
        <v>0</v>
      </c>
      <c r="G6011" s="7" t="s">
        <v>12558</v>
      </c>
      <c r="H6011" s="7">
        <f t="shared" si="378"/>
        <v>0</v>
      </c>
      <c r="I6011" s="7" t="str" cm="1">
        <f t="array" ref="I6011">IFERROR(_xlfn.IFS(M6011="נח",1,M6011="נע ונח",1,M6011="שני שווא נח",2,M6011="שני שוואים בסוף מילה",2,M6011="שני שוואים ברצף",1),"0")</f>
        <v>0</v>
      </c>
      <c r="J6011" s="9">
        <f t="shared" si="379"/>
        <v>3</v>
      </c>
      <c r="K6011" t="s">
        <v>6698</v>
      </c>
      <c r="L6011" t="s">
        <v>6694</v>
      </c>
      <c r="M6011" t="s">
        <v>6703</v>
      </c>
      <c r="V6011" t="s">
        <v>6694</v>
      </c>
      <c r="W6011" t="s">
        <v>6720</v>
      </c>
    </row>
    <row r="6012" spans="1:23" ht="15.6" x14ac:dyDescent="0.4">
      <c r="A6012" s="2" t="s">
        <v>2238</v>
      </c>
      <c r="B6012" s="5" t="s">
        <v>11972</v>
      </c>
      <c r="C6012" s="7" t="s">
        <v>12556</v>
      </c>
      <c r="D6012" s="8">
        <f t="shared" si="376"/>
        <v>0</v>
      </c>
      <c r="E6012" s="7" t="s">
        <v>12557</v>
      </c>
      <c r="F6012" s="7">
        <f t="shared" si="377"/>
        <v>1</v>
      </c>
      <c r="G6012" s="7" t="s">
        <v>12558</v>
      </c>
      <c r="H6012" s="7">
        <f t="shared" si="378"/>
        <v>1</v>
      </c>
      <c r="I6012" s="7" t="str" cm="1">
        <f t="array" ref="I6012">IFERROR(_xlfn.IFS(M6012="נח",1,M6012="נע ונח",1,M6012="שני שווא נח",2,M6012="שני שוואים בסוף מילה",2,M6012="שני שוואים ברצף",1),"0")</f>
        <v>0</v>
      </c>
      <c r="J6012" s="9">
        <f t="shared" si="379"/>
        <v>3</v>
      </c>
      <c r="K6012" t="s">
        <v>6697</v>
      </c>
      <c r="L6012" t="s">
        <v>6694</v>
      </c>
      <c r="M6012" t="s">
        <v>6703</v>
      </c>
      <c r="U6012" t="s">
        <v>6694</v>
      </c>
      <c r="V6012" t="s">
        <v>6694</v>
      </c>
      <c r="W6012" t="s">
        <v>6720</v>
      </c>
    </row>
    <row r="6013" spans="1:23" ht="15.6" x14ac:dyDescent="0.4">
      <c r="A6013" s="2" t="s">
        <v>5723</v>
      </c>
      <c r="B6013" s="5" t="s">
        <v>11973</v>
      </c>
      <c r="C6013" s="7" t="s">
        <v>12556</v>
      </c>
      <c r="D6013" s="8">
        <f t="shared" si="376"/>
        <v>0</v>
      </c>
      <c r="E6013" s="7" t="s">
        <v>12557</v>
      </c>
      <c r="F6013" s="7">
        <f t="shared" si="377"/>
        <v>0</v>
      </c>
      <c r="G6013" s="7" t="s">
        <v>12558</v>
      </c>
      <c r="H6013" s="7">
        <f t="shared" si="378"/>
        <v>0</v>
      </c>
      <c r="I6013" s="7" t="str" cm="1">
        <f t="array" ref="I6013">IFERROR(_xlfn.IFS(M6013="נח",1,M6013="נע ונח",1,M6013="שני שווא נח",2,M6013="שני שוואים בסוף מילה",2,M6013="שני שוואים ברצף",1),"0")</f>
        <v>0</v>
      </c>
      <c r="J6013" s="9">
        <f t="shared" si="379"/>
        <v>2</v>
      </c>
      <c r="K6013" t="s">
        <v>6698</v>
      </c>
      <c r="L6013" t="s">
        <v>6695</v>
      </c>
      <c r="Q6013" t="s">
        <v>6694</v>
      </c>
      <c r="V6013" t="s">
        <v>6694</v>
      </c>
      <c r="W6013" t="s">
        <v>6720</v>
      </c>
    </row>
    <row r="6014" spans="1:23" ht="15.6" x14ac:dyDescent="0.4">
      <c r="A6014" s="2" t="s">
        <v>1729</v>
      </c>
      <c r="B6014" s="5" t="s">
        <v>11974</v>
      </c>
      <c r="C6014" s="7" t="s">
        <v>12556</v>
      </c>
      <c r="D6014" s="8">
        <f t="shared" si="376"/>
        <v>0</v>
      </c>
      <c r="E6014" s="7" t="s">
        <v>12557</v>
      </c>
      <c r="F6014" s="7">
        <f t="shared" si="377"/>
        <v>0</v>
      </c>
      <c r="G6014" s="7" t="s">
        <v>12558</v>
      </c>
      <c r="H6014" s="7">
        <f t="shared" si="378"/>
        <v>0</v>
      </c>
      <c r="I6014" s="7" t="str" cm="1">
        <f t="array" ref="I6014">IFERROR(_xlfn.IFS(M6014="נח",1,M6014="נע ונח",1,M6014="שני שווא נח",2,M6014="שני שוואים בסוף מילה",2,M6014="שני שוואים ברצף",1),"0")</f>
        <v>0</v>
      </c>
      <c r="J6014" s="9">
        <f t="shared" si="379"/>
        <v>3</v>
      </c>
      <c r="K6014" t="s">
        <v>6697</v>
      </c>
      <c r="L6014" t="s">
        <v>6695</v>
      </c>
      <c r="O6014" t="s">
        <v>6694</v>
      </c>
      <c r="Q6014" t="s">
        <v>6694</v>
      </c>
      <c r="V6014" t="s">
        <v>6694</v>
      </c>
      <c r="W6014" t="s">
        <v>6720</v>
      </c>
    </row>
    <row r="6015" spans="1:23" ht="15.6" x14ac:dyDescent="0.4">
      <c r="A6015" s="2" t="s">
        <v>1369</v>
      </c>
      <c r="B6015" s="5" t="s">
        <v>11975</v>
      </c>
      <c r="C6015" s="7" t="s">
        <v>12556</v>
      </c>
      <c r="D6015" s="8">
        <f t="shared" si="376"/>
        <v>0</v>
      </c>
      <c r="E6015" s="7" t="s">
        <v>12557</v>
      </c>
      <c r="F6015" s="7">
        <f t="shared" si="377"/>
        <v>0</v>
      </c>
      <c r="G6015" s="7" t="s">
        <v>12558</v>
      </c>
      <c r="H6015" s="7">
        <f t="shared" si="378"/>
        <v>0</v>
      </c>
      <c r="I6015" s="7" t="str" cm="1">
        <f t="array" ref="I6015">IFERROR(_xlfn.IFS(M6015="נח",1,M6015="נע ונח",1,M6015="שני שווא נח",2,M6015="שני שוואים בסוף מילה",2,M6015="שני שוואים ברצף",1),"0")</f>
        <v>0</v>
      </c>
      <c r="J6015" s="9">
        <f t="shared" si="379"/>
        <v>2</v>
      </c>
      <c r="K6015" t="s">
        <v>6697</v>
      </c>
      <c r="L6015" t="s">
        <v>6695</v>
      </c>
      <c r="R6015" t="s">
        <v>6694</v>
      </c>
      <c r="V6015" t="s">
        <v>6694</v>
      </c>
      <c r="W6015" t="s">
        <v>6720</v>
      </c>
    </row>
    <row r="6016" spans="1:23" ht="15.6" x14ac:dyDescent="0.4">
      <c r="A6016" s="2" t="s">
        <v>5620</v>
      </c>
      <c r="B6016" s="5" t="s">
        <v>11976</v>
      </c>
      <c r="C6016" s="7" t="s">
        <v>12556</v>
      </c>
      <c r="D6016" s="8">
        <f t="shared" si="376"/>
        <v>0</v>
      </c>
      <c r="E6016" s="7" t="s">
        <v>12557</v>
      </c>
      <c r="F6016" s="7">
        <f t="shared" si="377"/>
        <v>1</v>
      </c>
      <c r="G6016" s="7" t="s">
        <v>12558</v>
      </c>
      <c r="H6016" s="7">
        <f t="shared" si="378"/>
        <v>1</v>
      </c>
      <c r="I6016" s="7" t="str" cm="1">
        <f t="array" ref="I6016">IFERROR(_xlfn.IFS(M6016="נח",1,M6016="נע ונח",1,M6016="שני שווא נח",2,M6016="שני שוואים בסוף מילה",2,M6016="שני שוואים ברצף",1),"0")</f>
        <v>0</v>
      </c>
      <c r="J6016" s="9">
        <f t="shared" si="379"/>
        <v>3</v>
      </c>
      <c r="K6016" t="s">
        <v>6697</v>
      </c>
      <c r="L6016" t="s">
        <v>6695</v>
      </c>
      <c r="O6016" t="s">
        <v>6694</v>
      </c>
      <c r="P6016" t="s">
        <v>6694</v>
      </c>
      <c r="U6016" t="s">
        <v>6694</v>
      </c>
      <c r="W6016" t="s">
        <v>6720</v>
      </c>
    </row>
    <row r="6017" spans="1:23" ht="15.6" x14ac:dyDescent="0.4">
      <c r="A6017" s="2" t="s">
        <v>3366</v>
      </c>
      <c r="B6017" s="5" t="s">
        <v>11977</v>
      </c>
      <c r="C6017" s="7" t="s">
        <v>12556</v>
      </c>
      <c r="D6017" s="8">
        <f t="shared" si="376"/>
        <v>0</v>
      </c>
      <c r="E6017" s="7" t="s">
        <v>12557</v>
      </c>
      <c r="F6017" s="7">
        <f t="shared" si="377"/>
        <v>1</v>
      </c>
      <c r="G6017" s="7" t="s">
        <v>12558</v>
      </c>
      <c r="H6017" s="7">
        <f t="shared" si="378"/>
        <v>1</v>
      </c>
      <c r="I6017" s="7" t="str" cm="1">
        <f t="array" ref="I6017">IFERROR(_xlfn.IFS(M6017="נח",1,M6017="נע ונח",1,M6017="שני שווא נח",2,M6017="שני שוואים בסוף מילה",2,M6017="שני שוואים ברצף",1),"0")</f>
        <v>0</v>
      </c>
      <c r="J6017" s="9">
        <f t="shared" si="379"/>
        <v>2</v>
      </c>
      <c r="K6017" t="s">
        <v>6697</v>
      </c>
      <c r="L6017" t="s">
        <v>6695</v>
      </c>
      <c r="S6017" t="s">
        <v>6694</v>
      </c>
      <c r="U6017" t="s">
        <v>6694</v>
      </c>
      <c r="W6017" t="s">
        <v>6720</v>
      </c>
    </row>
    <row r="6018" spans="1:23" ht="15.6" x14ac:dyDescent="0.4">
      <c r="A6018" s="2" t="s">
        <v>963</v>
      </c>
      <c r="B6018" s="5" t="s">
        <v>11978</v>
      </c>
      <c r="C6018" s="7" t="s">
        <v>12556</v>
      </c>
      <c r="D6018" s="8">
        <f t="shared" si="376"/>
        <v>0</v>
      </c>
      <c r="E6018" s="7" t="s">
        <v>12557</v>
      </c>
      <c r="F6018" s="7">
        <f t="shared" si="377"/>
        <v>1</v>
      </c>
      <c r="G6018" s="7" t="s">
        <v>12558</v>
      </c>
      <c r="H6018" s="7">
        <f t="shared" si="378"/>
        <v>1</v>
      </c>
      <c r="I6018" s="7" t="str" cm="1">
        <f t="array" ref="I6018">IFERROR(_xlfn.IFS(M6018="נח",1,M6018="נע ונח",1,M6018="שני שווא נח",2,M6018="שני שוואים בסוף מילה",2,M6018="שני שוואים ברצף",1),"0")</f>
        <v>0</v>
      </c>
      <c r="J6018" s="9">
        <f t="shared" si="379"/>
        <v>2</v>
      </c>
      <c r="K6018" t="s">
        <v>6697</v>
      </c>
      <c r="L6018" t="s">
        <v>6695</v>
      </c>
      <c r="N6018" t="s">
        <v>6707</v>
      </c>
      <c r="P6018" t="s">
        <v>6694</v>
      </c>
      <c r="U6018" t="s">
        <v>6694</v>
      </c>
      <c r="W6018" t="s">
        <v>6720</v>
      </c>
    </row>
    <row r="6019" spans="1:23" ht="15.6" x14ac:dyDescent="0.4">
      <c r="A6019" s="2" t="s">
        <v>761</v>
      </c>
      <c r="B6019" s="5" t="s">
        <v>11979</v>
      </c>
      <c r="C6019" s="7" t="s">
        <v>12556</v>
      </c>
      <c r="D6019" s="8">
        <f t="shared" ref="D6019:D6082" si="380">(LEN(B6019)-LEN(SUBSTITUTE(B6019,C6019,"")))</f>
        <v>0</v>
      </c>
      <c r="E6019" s="7" t="s">
        <v>12557</v>
      </c>
      <c r="F6019" s="7">
        <f t="shared" ref="F6019:F6082" si="381">(LEN(A6019)-LEN(SUBSTITUTE(A6019,E6019,"")))</f>
        <v>1</v>
      </c>
      <c r="G6019" s="7" t="s">
        <v>12558</v>
      </c>
      <c r="H6019" s="7">
        <f t="shared" ref="H6019:H6082" si="382">(LEN(A6019)-LEN(SUBSTITUTE(A6019,G6019,"")))/2</f>
        <v>1</v>
      </c>
      <c r="I6019" s="7" t="str" cm="1">
        <f t="array" ref="I6019">IFERROR(_xlfn.IFS(M6019="נח",1,M6019="נע ונח",1,M6019="שני שווא נח",2,M6019="שני שוואים בסוף מילה",2,M6019="שני שוואים ברצף",1),"0")</f>
        <v>0</v>
      </c>
      <c r="J6019" s="9">
        <f t="shared" ref="J6019:J6082" si="383">LEN(A6019)-(LEN(B6019))-D6019-F6019+H6019-I6019</f>
        <v>2</v>
      </c>
      <c r="K6019" t="s">
        <v>6698</v>
      </c>
      <c r="L6019" t="s">
        <v>6695</v>
      </c>
      <c r="N6019" t="s">
        <v>6706</v>
      </c>
      <c r="O6019" t="s">
        <v>6694</v>
      </c>
      <c r="U6019" t="s">
        <v>6694</v>
      </c>
      <c r="W6019" t="s">
        <v>6720</v>
      </c>
    </row>
    <row r="6020" spans="1:23" ht="15.6" x14ac:dyDescent="0.4">
      <c r="A6020" s="2" t="s">
        <v>1143</v>
      </c>
      <c r="B6020" s="5" t="s">
        <v>11980</v>
      </c>
      <c r="C6020" s="7" t="s">
        <v>12556</v>
      </c>
      <c r="D6020" s="8">
        <f t="shared" si="380"/>
        <v>0</v>
      </c>
      <c r="E6020" s="7" t="s">
        <v>12557</v>
      </c>
      <c r="F6020" s="7">
        <f t="shared" si="381"/>
        <v>1</v>
      </c>
      <c r="G6020" s="7" t="s">
        <v>12558</v>
      </c>
      <c r="H6020" s="7">
        <f t="shared" si="382"/>
        <v>1</v>
      </c>
      <c r="I6020" s="7" t="str" cm="1">
        <f t="array" ref="I6020">IFERROR(_xlfn.IFS(M6020="נח",1,M6020="נע ונח",1,M6020="שני שווא נח",2,M6020="שני שוואים בסוף מילה",2,M6020="שני שוואים ברצף",1),"0")</f>
        <v>0</v>
      </c>
      <c r="J6020" s="9">
        <f t="shared" si="383"/>
        <v>2</v>
      </c>
      <c r="K6020" t="s">
        <v>6697</v>
      </c>
      <c r="L6020" t="s">
        <v>6695</v>
      </c>
      <c r="U6020" t="s">
        <v>6694</v>
      </c>
      <c r="V6020" t="s">
        <v>6694</v>
      </c>
      <c r="W6020" t="s">
        <v>6720</v>
      </c>
    </row>
    <row r="6021" spans="1:23" ht="15.6" x14ac:dyDescent="0.4">
      <c r="A6021" s="2" t="s">
        <v>631</v>
      </c>
      <c r="B6021" s="5" t="s">
        <v>11981</v>
      </c>
      <c r="C6021" s="7" t="s">
        <v>12556</v>
      </c>
      <c r="D6021" s="8">
        <f t="shared" si="380"/>
        <v>0</v>
      </c>
      <c r="E6021" s="7" t="s">
        <v>12557</v>
      </c>
      <c r="F6021" s="7">
        <f t="shared" si="381"/>
        <v>1</v>
      </c>
      <c r="G6021" s="7" t="s">
        <v>12558</v>
      </c>
      <c r="H6021" s="7">
        <f t="shared" si="382"/>
        <v>1</v>
      </c>
      <c r="I6021" s="7" t="str" cm="1">
        <f t="array" ref="I6021">IFERROR(_xlfn.IFS(M6021="נח",1,M6021="נע ונח",1,M6021="שני שווא נח",2,M6021="שני שוואים בסוף מילה",2,M6021="שני שוואים ברצף",1),"0")</f>
        <v>0</v>
      </c>
      <c r="J6021" s="9">
        <f t="shared" si="383"/>
        <v>2</v>
      </c>
      <c r="K6021" t="s">
        <v>6698</v>
      </c>
      <c r="L6021" t="s">
        <v>6695</v>
      </c>
      <c r="U6021" t="s">
        <v>6694</v>
      </c>
      <c r="V6021" t="s">
        <v>6694</v>
      </c>
      <c r="W6021" t="s">
        <v>6720</v>
      </c>
    </row>
    <row r="6022" spans="1:23" ht="15.6" x14ac:dyDescent="0.4">
      <c r="A6022" s="2" t="s">
        <v>3348</v>
      </c>
      <c r="B6022" s="5" t="s">
        <v>11982</v>
      </c>
      <c r="C6022" s="7" t="s">
        <v>12556</v>
      </c>
      <c r="D6022" s="8">
        <f t="shared" si="380"/>
        <v>0</v>
      </c>
      <c r="E6022" s="7" t="s">
        <v>12557</v>
      </c>
      <c r="F6022" s="7">
        <f t="shared" si="381"/>
        <v>1</v>
      </c>
      <c r="G6022" s="7" t="s">
        <v>12558</v>
      </c>
      <c r="H6022" s="7">
        <f t="shared" si="382"/>
        <v>1</v>
      </c>
      <c r="I6022" s="7" t="str" cm="1">
        <f t="array" ref="I6022">IFERROR(_xlfn.IFS(M6022="נח",1,M6022="נע ונח",1,M6022="שני שווא נח",2,M6022="שני שוואים בסוף מילה",2,M6022="שני שוואים ברצף",1),"0")</f>
        <v>0</v>
      </c>
      <c r="J6022" s="9">
        <f t="shared" si="383"/>
        <v>2</v>
      </c>
      <c r="K6022" t="s">
        <v>6697</v>
      </c>
      <c r="L6022" t="s">
        <v>6695</v>
      </c>
      <c r="O6022" t="s">
        <v>6694</v>
      </c>
      <c r="U6022" t="s">
        <v>6694</v>
      </c>
      <c r="W6022" t="s">
        <v>6720</v>
      </c>
    </row>
    <row r="6023" spans="1:23" ht="15.6" x14ac:dyDescent="0.4">
      <c r="A6023" s="2" t="s">
        <v>5932</v>
      </c>
      <c r="B6023" s="5" t="s">
        <v>11983</v>
      </c>
      <c r="C6023" s="7" t="s">
        <v>12556</v>
      </c>
      <c r="D6023" s="8">
        <f t="shared" si="380"/>
        <v>1</v>
      </c>
      <c r="E6023" s="7" t="s">
        <v>12557</v>
      </c>
      <c r="F6023" s="7">
        <f t="shared" si="381"/>
        <v>2</v>
      </c>
      <c r="G6023" s="7" t="s">
        <v>12558</v>
      </c>
      <c r="H6023" s="7">
        <f t="shared" si="382"/>
        <v>2</v>
      </c>
      <c r="I6023" s="7" t="str" cm="1">
        <f t="array" ref="I6023">IFERROR(_xlfn.IFS(M6023="נח",1,M6023="נע ונח",1,M6023="שני שווא נח",2,M6023="שני שוואים בסוף מילה",2,M6023="שני שוואים ברצף",1),"0")</f>
        <v>0</v>
      </c>
      <c r="J6023" s="9">
        <f t="shared" si="383"/>
        <v>4</v>
      </c>
      <c r="K6023" t="s">
        <v>6697</v>
      </c>
      <c r="L6023" t="s">
        <v>6694</v>
      </c>
      <c r="M6023" t="s">
        <v>6700</v>
      </c>
      <c r="Q6023" t="s">
        <v>6694</v>
      </c>
      <c r="U6023" t="s">
        <v>6694</v>
      </c>
      <c r="W6023" t="s">
        <v>6720</v>
      </c>
    </row>
    <row r="6024" spans="1:23" ht="15.6" x14ac:dyDescent="0.4">
      <c r="A6024" s="2" t="s">
        <v>5760</v>
      </c>
      <c r="B6024" s="5" t="s">
        <v>11984</v>
      </c>
      <c r="C6024" s="7" t="s">
        <v>12556</v>
      </c>
      <c r="D6024" s="8">
        <f t="shared" si="380"/>
        <v>1</v>
      </c>
      <c r="E6024" s="7" t="s">
        <v>12557</v>
      </c>
      <c r="F6024" s="7">
        <f t="shared" si="381"/>
        <v>0</v>
      </c>
      <c r="G6024" s="7" t="s">
        <v>12558</v>
      </c>
      <c r="H6024" s="7">
        <f t="shared" si="382"/>
        <v>0</v>
      </c>
      <c r="I6024" s="7" t="str" cm="1">
        <f t="array" ref="I6024">IFERROR(_xlfn.IFS(M6024="נח",1,M6024="נע ונח",1,M6024="שני שווא נח",2,M6024="שני שוואים בסוף מילה",2,M6024="שני שוואים ברצף",1),"0")</f>
        <v>0</v>
      </c>
      <c r="J6024" s="9">
        <f t="shared" si="383"/>
        <v>2</v>
      </c>
      <c r="K6024" t="s">
        <v>6698</v>
      </c>
      <c r="L6024" t="s">
        <v>6694</v>
      </c>
      <c r="M6024" t="s">
        <v>6700</v>
      </c>
      <c r="Q6024" t="s">
        <v>6694</v>
      </c>
      <c r="W6024" t="s">
        <v>6720</v>
      </c>
    </row>
    <row r="6025" spans="1:23" ht="15.6" x14ac:dyDescent="0.4">
      <c r="A6025" s="2" t="s">
        <v>5442</v>
      </c>
      <c r="B6025" s="5" t="s">
        <v>11985</v>
      </c>
      <c r="C6025" s="7" t="s">
        <v>12556</v>
      </c>
      <c r="D6025" s="8">
        <f t="shared" si="380"/>
        <v>1</v>
      </c>
      <c r="E6025" s="7" t="s">
        <v>12557</v>
      </c>
      <c r="F6025" s="7">
        <f t="shared" si="381"/>
        <v>0</v>
      </c>
      <c r="G6025" s="7" t="s">
        <v>12558</v>
      </c>
      <c r="H6025" s="7">
        <f t="shared" si="382"/>
        <v>0</v>
      </c>
      <c r="I6025" s="7" t="str" cm="1">
        <f t="array" ref="I6025">IFERROR(_xlfn.IFS(M6025="נח",1,M6025="נע ונח",1,M6025="שני שווא נח",2,M6025="שני שוואים בסוף מילה",2,M6025="שני שוואים ברצף",1),"0")</f>
        <v>0</v>
      </c>
      <c r="J6025" s="9">
        <f t="shared" si="383"/>
        <v>3</v>
      </c>
      <c r="K6025" t="s">
        <v>6697</v>
      </c>
      <c r="L6025" t="s">
        <v>6694</v>
      </c>
      <c r="M6025" t="s">
        <v>6700</v>
      </c>
      <c r="Q6025" t="s">
        <v>6694</v>
      </c>
      <c r="S6025" t="s">
        <v>6694</v>
      </c>
      <c r="W6025" t="s">
        <v>6720</v>
      </c>
    </row>
    <row r="6026" spans="1:23" ht="15.6" x14ac:dyDescent="0.4">
      <c r="A6026" s="2" t="s">
        <v>4712</v>
      </c>
      <c r="B6026" s="5" t="s">
        <v>11986</v>
      </c>
      <c r="C6026" s="7" t="s">
        <v>12556</v>
      </c>
      <c r="D6026" s="8">
        <f t="shared" si="380"/>
        <v>1</v>
      </c>
      <c r="E6026" s="7" t="s">
        <v>12557</v>
      </c>
      <c r="F6026" s="7">
        <f t="shared" si="381"/>
        <v>0</v>
      </c>
      <c r="G6026" s="7" t="s">
        <v>12558</v>
      </c>
      <c r="H6026" s="7">
        <f t="shared" si="382"/>
        <v>0</v>
      </c>
      <c r="I6026" s="7" t="str" cm="1">
        <f t="array" ref="I6026">IFERROR(_xlfn.IFS(M6026="נח",1,M6026="נע ונח",1,M6026="שני שווא נח",2,M6026="שני שוואים בסוף מילה",2,M6026="שני שוואים ברצף",1),"0")</f>
        <v>0</v>
      </c>
      <c r="J6026" s="9">
        <f t="shared" si="383"/>
        <v>3</v>
      </c>
      <c r="K6026" t="s">
        <v>6698</v>
      </c>
      <c r="L6026" t="s">
        <v>6694</v>
      </c>
      <c r="M6026" t="s">
        <v>6700</v>
      </c>
      <c r="Q6026" t="s">
        <v>6694</v>
      </c>
      <c r="S6026" t="s">
        <v>6694</v>
      </c>
      <c r="W6026" t="s">
        <v>6720</v>
      </c>
    </row>
    <row r="6027" spans="1:23" ht="15.6" x14ac:dyDescent="0.4">
      <c r="A6027" s="2" t="s">
        <v>2275</v>
      </c>
      <c r="B6027" s="5" t="s">
        <v>11987</v>
      </c>
      <c r="C6027" s="7" t="s">
        <v>12556</v>
      </c>
      <c r="D6027" s="8">
        <f t="shared" si="380"/>
        <v>1</v>
      </c>
      <c r="E6027" s="7" t="s">
        <v>12557</v>
      </c>
      <c r="F6027" s="7">
        <f t="shared" si="381"/>
        <v>0</v>
      </c>
      <c r="G6027" s="7" t="s">
        <v>12558</v>
      </c>
      <c r="H6027" s="7">
        <f t="shared" si="382"/>
        <v>0</v>
      </c>
      <c r="I6027" s="7" t="str" cm="1">
        <f t="array" ref="I6027">IFERROR(_xlfn.IFS(M6027="נח",1,M6027="נע ונח",1,M6027="שני שווא נח",2,M6027="שני שוואים בסוף מילה",2,M6027="שני שוואים ברצף",1),"0")</f>
        <v>0</v>
      </c>
      <c r="J6027" s="9">
        <f t="shared" si="383"/>
        <v>2</v>
      </c>
      <c r="K6027" t="s">
        <v>6698</v>
      </c>
      <c r="L6027" t="s">
        <v>6694</v>
      </c>
      <c r="M6027" t="s">
        <v>6700</v>
      </c>
      <c r="P6027" t="s">
        <v>6694</v>
      </c>
      <c r="W6027" t="s">
        <v>6720</v>
      </c>
    </row>
    <row r="6028" spans="1:23" ht="15.6" x14ac:dyDescent="0.4">
      <c r="A6028" s="2" t="s">
        <v>4072</v>
      </c>
      <c r="B6028" s="5" t="s">
        <v>11988</v>
      </c>
      <c r="C6028" s="7" t="s">
        <v>12556</v>
      </c>
      <c r="D6028" s="8">
        <f t="shared" si="380"/>
        <v>1</v>
      </c>
      <c r="E6028" s="7" t="s">
        <v>12557</v>
      </c>
      <c r="F6028" s="7">
        <f t="shared" si="381"/>
        <v>0</v>
      </c>
      <c r="G6028" s="7" t="s">
        <v>12558</v>
      </c>
      <c r="H6028" s="7">
        <f t="shared" si="382"/>
        <v>0</v>
      </c>
      <c r="I6028" s="7" t="str" cm="1">
        <f t="array" ref="I6028">IFERROR(_xlfn.IFS(M6028="נח",1,M6028="נע ונח",1,M6028="שני שווא נח",2,M6028="שני שוואים בסוף מילה",2,M6028="שני שוואים ברצף",1),"0")</f>
        <v>0</v>
      </c>
      <c r="J6028" s="9">
        <f t="shared" si="383"/>
        <v>4</v>
      </c>
      <c r="K6028" t="s">
        <v>6697</v>
      </c>
      <c r="L6028" t="s">
        <v>6694</v>
      </c>
      <c r="M6028" t="s">
        <v>6700</v>
      </c>
      <c r="O6028" t="s">
        <v>6694</v>
      </c>
      <c r="P6028" t="s">
        <v>6694</v>
      </c>
      <c r="S6028" t="s">
        <v>6694</v>
      </c>
      <c r="W6028" t="s">
        <v>6720</v>
      </c>
    </row>
    <row r="6029" spans="1:23" ht="15.6" x14ac:dyDescent="0.4">
      <c r="A6029" s="2" t="s">
        <v>332</v>
      </c>
      <c r="B6029" s="5" t="s">
        <v>11989</v>
      </c>
      <c r="C6029" s="7" t="s">
        <v>12556</v>
      </c>
      <c r="D6029" s="8">
        <f t="shared" si="380"/>
        <v>1</v>
      </c>
      <c r="E6029" s="7" t="s">
        <v>12557</v>
      </c>
      <c r="F6029" s="7">
        <f t="shared" si="381"/>
        <v>0</v>
      </c>
      <c r="G6029" s="7" t="s">
        <v>12558</v>
      </c>
      <c r="H6029" s="7">
        <f t="shared" si="382"/>
        <v>0</v>
      </c>
      <c r="I6029" s="7" t="str" cm="1">
        <f t="array" ref="I6029">IFERROR(_xlfn.IFS(M6029="נח",1,M6029="נע ונח",1,M6029="שני שווא נח",2,M6029="שני שוואים בסוף מילה",2,M6029="שני שוואים ברצף",1),"0")</f>
        <v>0</v>
      </c>
      <c r="J6029" s="9">
        <f t="shared" si="383"/>
        <v>2</v>
      </c>
      <c r="K6029" t="s">
        <v>6698</v>
      </c>
      <c r="L6029" t="s">
        <v>6694</v>
      </c>
      <c r="M6029" t="s">
        <v>6700</v>
      </c>
      <c r="V6029" t="s">
        <v>6694</v>
      </c>
      <c r="W6029" t="s">
        <v>6720</v>
      </c>
    </row>
    <row r="6030" spans="1:23" ht="15.6" x14ac:dyDescent="0.4">
      <c r="A6030" s="2" t="s">
        <v>4379</v>
      </c>
      <c r="B6030" s="5" t="s">
        <v>11990</v>
      </c>
      <c r="C6030" s="7" t="s">
        <v>12556</v>
      </c>
      <c r="D6030" s="8">
        <f t="shared" si="380"/>
        <v>1</v>
      </c>
      <c r="E6030" s="7" t="s">
        <v>12557</v>
      </c>
      <c r="F6030" s="7">
        <f t="shared" si="381"/>
        <v>0</v>
      </c>
      <c r="G6030" s="7" t="s">
        <v>12558</v>
      </c>
      <c r="H6030" s="7">
        <f t="shared" si="382"/>
        <v>0</v>
      </c>
      <c r="I6030" s="7" t="str" cm="1">
        <f t="array" ref="I6030">IFERROR(_xlfn.IFS(M6030="נח",1,M6030="נע ונח",1,M6030="שני שווא נח",2,M6030="שני שוואים בסוף מילה",2,M6030="שני שוואים ברצף",1),"0")</f>
        <v>0</v>
      </c>
      <c r="J6030" s="9">
        <f t="shared" si="383"/>
        <v>2</v>
      </c>
      <c r="K6030" t="s">
        <v>6698</v>
      </c>
      <c r="L6030" t="s">
        <v>6694</v>
      </c>
      <c r="M6030" t="s">
        <v>6700</v>
      </c>
      <c r="V6030" t="s">
        <v>6694</v>
      </c>
      <c r="W6030" t="s">
        <v>6720</v>
      </c>
    </row>
    <row r="6031" spans="1:23" ht="15.6" x14ac:dyDescent="0.4">
      <c r="A6031" s="2" t="s">
        <v>4920</v>
      </c>
      <c r="B6031" s="5" t="s">
        <v>11991</v>
      </c>
      <c r="C6031" s="7" t="s">
        <v>12556</v>
      </c>
      <c r="D6031" s="8">
        <f t="shared" si="380"/>
        <v>1</v>
      </c>
      <c r="E6031" s="7" t="s">
        <v>12557</v>
      </c>
      <c r="F6031" s="7">
        <f t="shared" si="381"/>
        <v>0</v>
      </c>
      <c r="G6031" s="7" t="s">
        <v>12558</v>
      </c>
      <c r="H6031" s="7">
        <f t="shared" si="382"/>
        <v>0</v>
      </c>
      <c r="I6031" s="7" t="str" cm="1">
        <f t="array" ref="I6031">IFERROR(_xlfn.IFS(M6031="נח",1,M6031="נע ונח",1,M6031="שני שווא נח",2,M6031="שני שוואים בסוף מילה",2,M6031="שני שוואים ברצף",1),"0")</f>
        <v>0</v>
      </c>
      <c r="J6031" s="9">
        <f t="shared" si="383"/>
        <v>2</v>
      </c>
      <c r="K6031" t="s">
        <v>6698</v>
      </c>
      <c r="L6031" t="s">
        <v>6694</v>
      </c>
      <c r="M6031" t="s">
        <v>6700</v>
      </c>
      <c r="S6031" t="s">
        <v>6694</v>
      </c>
      <c r="W6031" t="s">
        <v>6720</v>
      </c>
    </row>
    <row r="6032" spans="1:23" ht="15.6" x14ac:dyDescent="0.4">
      <c r="A6032" s="2" t="s">
        <v>3101</v>
      </c>
      <c r="B6032" s="5" t="s">
        <v>11992</v>
      </c>
      <c r="C6032" s="7" t="s">
        <v>12556</v>
      </c>
      <c r="D6032" s="8">
        <f t="shared" si="380"/>
        <v>1</v>
      </c>
      <c r="E6032" s="7" t="s">
        <v>12557</v>
      </c>
      <c r="F6032" s="7">
        <f t="shared" si="381"/>
        <v>0</v>
      </c>
      <c r="G6032" s="7" t="s">
        <v>12558</v>
      </c>
      <c r="H6032" s="7">
        <f t="shared" si="382"/>
        <v>0</v>
      </c>
      <c r="I6032" s="7" t="str" cm="1">
        <f t="array" ref="I6032">IFERROR(_xlfn.IFS(M6032="נח",1,M6032="נע ונח",1,M6032="שני שווא נח",2,M6032="שני שוואים בסוף מילה",2,M6032="שני שוואים ברצף",1),"0")</f>
        <v>0</v>
      </c>
      <c r="J6032" s="9">
        <f t="shared" si="383"/>
        <v>2</v>
      </c>
      <c r="K6032" t="s">
        <v>6697</v>
      </c>
      <c r="L6032" t="s">
        <v>6694</v>
      </c>
      <c r="M6032" t="s">
        <v>6700</v>
      </c>
      <c r="O6032" t="s">
        <v>6694</v>
      </c>
      <c r="W6032" t="s">
        <v>6720</v>
      </c>
    </row>
    <row r="6033" spans="1:23" ht="15.6" x14ac:dyDescent="0.4">
      <c r="A6033" s="2" t="s">
        <v>4240</v>
      </c>
      <c r="B6033" s="5" t="s">
        <v>11993</v>
      </c>
      <c r="C6033" s="7" t="s">
        <v>12556</v>
      </c>
      <c r="D6033" s="8">
        <f t="shared" si="380"/>
        <v>1</v>
      </c>
      <c r="E6033" s="7" t="s">
        <v>12557</v>
      </c>
      <c r="F6033" s="7">
        <f t="shared" si="381"/>
        <v>0</v>
      </c>
      <c r="G6033" s="7" t="s">
        <v>12558</v>
      </c>
      <c r="H6033" s="7">
        <f t="shared" si="382"/>
        <v>0</v>
      </c>
      <c r="I6033" s="7" t="str" cm="1">
        <f t="array" ref="I6033">IFERROR(_xlfn.IFS(M6033="נח",1,M6033="נע ונח",1,M6033="שני שווא נח",2,M6033="שני שוואים בסוף מילה",2,M6033="שני שוואים ברצף",1),"0")</f>
        <v>0</v>
      </c>
      <c r="J6033" s="9">
        <f t="shared" si="383"/>
        <v>4</v>
      </c>
      <c r="K6033" t="s">
        <v>6698</v>
      </c>
      <c r="L6033" t="s">
        <v>6694</v>
      </c>
      <c r="M6033" t="s">
        <v>6700</v>
      </c>
      <c r="O6033" t="s">
        <v>6694</v>
      </c>
      <c r="R6033" t="s">
        <v>6694</v>
      </c>
      <c r="W6033" t="s">
        <v>6720</v>
      </c>
    </row>
    <row r="6034" spans="1:23" ht="15.6" x14ac:dyDescent="0.4">
      <c r="A6034" s="2" t="s">
        <v>5168</v>
      </c>
      <c r="B6034" s="5" t="s">
        <v>11994</v>
      </c>
      <c r="C6034" s="7" t="s">
        <v>12556</v>
      </c>
      <c r="D6034" s="8">
        <f t="shared" si="380"/>
        <v>1</v>
      </c>
      <c r="E6034" s="7" t="s">
        <v>12557</v>
      </c>
      <c r="F6034" s="7">
        <f t="shared" si="381"/>
        <v>0</v>
      </c>
      <c r="G6034" s="7" t="s">
        <v>12558</v>
      </c>
      <c r="H6034" s="7">
        <f t="shared" si="382"/>
        <v>0</v>
      </c>
      <c r="I6034" s="7" t="str" cm="1">
        <f t="array" ref="I6034">IFERROR(_xlfn.IFS(M6034="נח",1,M6034="נע ונח",1,M6034="שני שווא נח",2,M6034="שני שוואים בסוף מילה",2,M6034="שני שוואים ברצף",1),"0")</f>
        <v>0</v>
      </c>
      <c r="J6034" s="9">
        <f t="shared" si="383"/>
        <v>2</v>
      </c>
      <c r="K6034" t="s">
        <v>6698</v>
      </c>
      <c r="L6034" t="s">
        <v>6694</v>
      </c>
      <c r="M6034" t="s">
        <v>6700</v>
      </c>
      <c r="V6034" t="s">
        <v>6694</v>
      </c>
      <c r="W6034" t="s">
        <v>6720</v>
      </c>
    </row>
    <row r="6035" spans="1:23" ht="15.6" x14ac:dyDescent="0.4">
      <c r="A6035" s="2" t="s">
        <v>3229</v>
      </c>
      <c r="B6035" s="5" t="s">
        <v>11995</v>
      </c>
      <c r="C6035" s="7" t="s">
        <v>12556</v>
      </c>
      <c r="D6035" s="8">
        <f t="shared" si="380"/>
        <v>1</v>
      </c>
      <c r="E6035" s="7" t="s">
        <v>12557</v>
      </c>
      <c r="F6035" s="7">
        <f t="shared" si="381"/>
        <v>1</v>
      </c>
      <c r="G6035" s="7" t="s">
        <v>12558</v>
      </c>
      <c r="H6035" s="7">
        <f t="shared" si="382"/>
        <v>1</v>
      </c>
      <c r="I6035" s="7" t="str" cm="1">
        <f t="array" ref="I6035">IFERROR(_xlfn.IFS(M6035="נח",1,M6035="נע ונח",1,M6035="שני שווא נח",2,M6035="שני שוואים בסוף מילה",2,M6035="שני שוואים ברצף",1),"0")</f>
        <v>0</v>
      </c>
      <c r="J6035" s="9">
        <f t="shared" si="383"/>
        <v>2</v>
      </c>
      <c r="K6035" t="s">
        <v>6698</v>
      </c>
      <c r="L6035" t="s">
        <v>6694</v>
      </c>
      <c r="M6035" t="s">
        <v>6700</v>
      </c>
      <c r="U6035" t="s">
        <v>6694</v>
      </c>
      <c r="W6035" t="s">
        <v>6720</v>
      </c>
    </row>
    <row r="6036" spans="1:23" ht="15.6" x14ac:dyDescent="0.4">
      <c r="A6036" s="2" t="s">
        <v>1498</v>
      </c>
      <c r="B6036" s="5" t="s">
        <v>11996</v>
      </c>
      <c r="C6036" s="7" t="s">
        <v>12556</v>
      </c>
      <c r="D6036" s="8">
        <f t="shared" si="380"/>
        <v>1</v>
      </c>
      <c r="E6036" s="7" t="s">
        <v>12557</v>
      </c>
      <c r="F6036" s="7">
        <f t="shared" si="381"/>
        <v>0</v>
      </c>
      <c r="G6036" s="7" t="s">
        <v>12558</v>
      </c>
      <c r="H6036" s="7">
        <f t="shared" si="382"/>
        <v>0</v>
      </c>
      <c r="I6036" s="7" t="str" cm="1">
        <f t="array" ref="I6036">IFERROR(_xlfn.IFS(M6036="נח",1,M6036="נע ונח",1,M6036="שני שווא נח",2,M6036="שני שוואים בסוף מילה",2,M6036="שני שוואים ברצף",1),"0")</f>
        <v>0</v>
      </c>
      <c r="J6036" s="9">
        <f t="shared" si="383"/>
        <v>3</v>
      </c>
      <c r="K6036" t="s">
        <v>6698</v>
      </c>
      <c r="L6036" t="s">
        <v>6694</v>
      </c>
      <c r="M6036" t="s">
        <v>6700</v>
      </c>
      <c r="S6036" t="s">
        <v>6694</v>
      </c>
      <c r="V6036" t="s">
        <v>6694</v>
      </c>
      <c r="W6036" t="s">
        <v>6720</v>
      </c>
    </row>
    <row r="6037" spans="1:23" ht="15.6" x14ac:dyDescent="0.4">
      <c r="A6037" s="2" t="s">
        <v>41</v>
      </c>
      <c r="B6037" s="5" t="s">
        <v>11997</v>
      </c>
      <c r="C6037" s="7" t="s">
        <v>12556</v>
      </c>
      <c r="D6037" s="8">
        <f t="shared" si="380"/>
        <v>1</v>
      </c>
      <c r="E6037" s="7" t="s">
        <v>12557</v>
      </c>
      <c r="F6037" s="7">
        <f t="shared" si="381"/>
        <v>0</v>
      </c>
      <c r="G6037" s="7" t="s">
        <v>12558</v>
      </c>
      <c r="H6037" s="7">
        <f t="shared" si="382"/>
        <v>0</v>
      </c>
      <c r="I6037" s="7" t="str" cm="1">
        <f t="array" ref="I6037">IFERROR(_xlfn.IFS(M6037="נח",1,M6037="נע ונח",1,M6037="שני שווא נח",2,M6037="שני שוואים בסוף מילה",2,M6037="שני שוואים ברצף",1),"0")</f>
        <v>0</v>
      </c>
      <c r="J6037" s="9">
        <f t="shared" si="383"/>
        <v>2</v>
      </c>
      <c r="K6037" t="s">
        <v>6698</v>
      </c>
      <c r="L6037" t="s">
        <v>6694</v>
      </c>
      <c r="M6037" t="s">
        <v>6700</v>
      </c>
      <c r="Q6037" t="s">
        <v>6694</v>
      </c>
      <c r="W6037" t="s">
        <v>6720</v>
      </c>
    </row>
    <row r="6038" spans="1:23" ht="15.6" x14ac:dyDescent="0.4">
      <c r="A6038" s="2" t="s">
        <v>4126</v>
      </c>
      <c r="B6038" s="5" t="s">
        <v>11998</v>
      </c>
      <c r="C6038" s="7" t="s">
        <v>12556</v>
      </c>
      <c r="D6038" s="8">
        <f t="shared" si="380"/>
        <v>1</v>
      </c>
      <c r="E6038" s="7" t="s">
        <v>12557</v>
      </c>
      <c r="F6038" s="7">
        <f t="shared" si="381"/>
        <v>0</v>
      </c>
      <c r="G6038" s="7" t="s">
        <v>12558</v>
      </c>
      <c r="H6038" s="7">
        <f t="shared" si="382"/>
        <v>0</v>
      </c>
      <c r="I6038" s="7" t="str" cm="1">
        <f t="array" ref="I6038">IFERROR(_xlfn.IFS(M6038="נח",1,M6038="נע ונח",1,M6038="שני שווא נח",2,M6038="שני שוואים בסוף מילה",2,M6038="שני שוואים ברצף",1),"0")</f>
        <v>0</v>
      </c>
      <c r="J6038" s="9">
        <f t="shared" si="383"/>
        <v>3</v>
      </c>
      <c r="K6038" t="s">
        <v>6698</v>
      </c>
      <c r="L6038" t="s">
        <v>6694</v>
      </c>
      <c r="M6038" t="s">
        <v>6700</v>
      </c>
      <c r="O6038" t="s">
        <v>6694</v>
      </c>
      <c r="S6038" t="s">
        <v>6694</v>
      </c>
      <c r="W6038" t="s">
        <v>6720</v>
      </c>
    </row>
    <row r="6039" spans="1:23" ht="15.6" x14ac:dyDescent="0.4">
      <c r="A6039" s="2" t="s">
        <v>6495</v>
      </c>
      <c r="B6039" s="5" t="s">
        <v>11999</v>
      </c>
      <c r="C6039" s="7" t="s">
        <v>12556</v>
      </c>
      <c r="D6039" s="8">
        <f t="shared" si="380"/>
        <v>1</v>
      </c>
      <c r="E6039" s="7" t="s">
        <v>12557</v>
      </c>
      <c r="F6039" s="7">
        <f t="shared" si="381"/>
        <v>0</v>
      </c>
      <c r="G6039" s="7" t="s">
        <v>12558</v>
      </c>
      <c r="H6039" s="7">
        <f t="shared" si="382"/>
        <v>0</v>
      </c>
      <c r="I6039" s="7" cm="1">
        <f t="array" ref="I6039">IFERROR(_xlfn.IFS(M6039="נח",1,M6039="נע ונח",1,M6039="שני שווא נח",2,M6039="שני שוואים בסוף מילה",2,M6039="שני שוואים ברצף",1),"0")</f>
        <v>1</v>
      </c>
      <c r="J6039" s="9">
        <f t="shared" si="383"/>
        <v>4</v>
      </c>
      <c r="K6039" t="s">
        <v>6697</v>
      </c>
      <c r="L6039" t="s">
        <v>6694</v>
      </c>
      <c r="M6039" t="s">
        <v>6701</v>
      </c>
      <c r="N6039" t="s">
        <v>6706</v>
      </c>
      <c r="O6039" t="s">
        <v>6694</v>
      </c>
      <c r="S6039" t="s">
        <v>6694</v>
      </c>
      <c r="W6039" t="s">
        <v>6720</v>
      </c>
    </row>
    <row r="6040" spans="1:23" ht="15.6" x14ac:dyDescent="0.4">
      <c r="A6040" s="2" t="s">
        <v>2431</v>
      </c>
      <c r="B6040" s="5" t="s">
        <v>12000</v>
      </c>
      <c r="C6040" s="7" t="s">
        <v>12556</v>
      </c>
      <c r="D6040" s="8">
        <f t="shared" si="380"/>
        <v>1</v>
      </c>
      <c r="E6040" s="7" t="s">
        <v>12557</v>
      </c>
      <c r="F6040" s="7">
        <f t="shared" si="381"/>
        <v>0</v>
      </c>
      <c r="G6040" s="7" t="s">
        <v>12558</v>
      </c>
      <c r="H6040" s="7">
        <f t="shared" si="382"/>
        <v>0</v>
      </c>
      <c r="I6040" s="7" t="str" cm="1">
        <f t="array" ref="I6040">IFERROR(_xlfn.IFS(M6040="נח",1,M6040="נע ונח",1,M6040="שני שווא נח",2,M6040="שני שוואים בסוף מילה",2,M6040="שני שוואים ברצף",1),"0")</f>
        <v>0</v>
      </c>
      <c r="J6040" s="9">
        <f t="shared" si="383"/>
        <v>3</v>
      </c>
      <c r="K6040" t="s">
        <v>6698</v>
      </c>
      <c r="L6040" t="s">
        <v>6694</v>
      </c>
      <c r="M6040" t="s">
        <v>6700</v>
      </c>
      <c r="Q6040" t="s">
        <v>6694</v>
      </c>
      <c r="W6040" t="s">
        <v>6720</v>
      </c>
    </row>
    <row r="6041" spans="1:23" ht="15.6" x14ac:dyDescent="0.4">
      <c r="A6041" s="2" t="s">
        <v>4252</v>
      </c>
      <c r="B6041" s="5" t="s">
        <v>12001</v>
      </c>
      <c r="C6041" s="7" t="s">
        <v>12556</v>
      </c>
      <c r="D6041" s="8">
        <f t="shared" si="380"/>
        <v>1</v>
      </c>
      <c r="E6041" s="7" t="s">
        <v>12557</v>
      </c>
      <c r="F6041" s="7">
        <f t="shared" si="381"/>
        <v>0</v>
      </c>
      <c r="G6041" s="7" t="s">
        <v>12558</v>
      </c>
      <c r="H6041" s="7">
        <f t="shared" si="382"/>
        <v>0</v>
      </c>
      <c r="I6041" s="7" t="str" cm="1">
        <f t="array" ref="I6041">IFERROR(_xlfn.IFS(M6041="נח",1,M6041="נע ונח",1,M6041="שני שווא נח",2,M6041="שני שוואים בסוף מילה",2,M6041="שני שוואים ברצף",1),"0")</f>
        <v>0</v>
      </c>
      <c r="J6041" s="9">
        <f t="shared" si="383"/>
        <v>2</v>
      </c>
      <c r="K6041" t="s">
        <v>6698</v>
      </c>
      <c r="L6041" t="s">
        <v>6694</v>
      </c>
      <c r="M6041" t="s">
        <v>6700</v>
      </c>
      <c r="R6041" t="s">
        <v>6694</v>
      </c>
      <c r="W6041" t="s">
        <v>6720</v>
      </c>
    </row>
    <row r="6042" spans="1:23" ht="15.6" x14ac:dyDescent="0.4">
      <c r="A6042" s="2" t="s">
        <v>3585</v>
      </c>
      <c r="B6042" s="5" t="s">
        <v>12002</v>
      </c>
      <c r="C6042" s="7" t="s">
        <v>12556</v>
      </c>
      <c r="D6042" s="8">
        <f t="shared" si="380"/>
        <v>1</v>
      </c>
      <c r="E6042" s="7" t="s">
        <v>12557</v>
      </c>
      <c r="F6042" s="7">
        <f t="shared" si="381"/>
        <v>1</v>
      </c>
      <c r="G6042" s="7" t="s">
        <v>12558</v>
      </c>
      <c r="H6042" s="7">
        <f t="shared" si="382"/>
        <v>0</v>
      </c>
      <c r="I6042" s="7" cm="1">
        <f t="array" ref="I6042">IFERROR(_xlfn.IFS(M6042="נח",1,M6042="נע ונח",1,M6042="שני שווא נח",2,M6042="שני שוואים בסוף מילה",2,M6042="שני שוואים ברצף",1),"0")</f>
        <v>1</v>
      </c>
      <c r="J6042" s="9">
        <f t="shared" si="383"/>
        <v>4</v>
      </c>
      <c r="K6042" t="s">
        <v>6697</v>
      </c>
      <c r="L6042" t="s">
        <v>6694</v>
      </c>
      <c r="M6042" t="s">
        <v>6701</v>
      </c>
      <c r="O6042" t="s">
        <v>6694</v>
      </c>
      <c r="P6042" t="s">
        <v>6694</v>
      </c>
      <c r="S6042" t="s">
        <v>6694</v>
      </c>
      <c r="W6042" t="s">
        <v>6720</v>
      </c>
    </row>
    <row r="6043" spans="1:23" ht="15.6" x14ac:dyDescent="0.4">
      <c r="A6043" s="2" t="s">
        <v>3652</v>
      </c>
      <c r="B6043" s="5" t="s">
        <v>12003</v>
      </c>
      <c r="C6043" s="7" t="s">
        <v>12556</v>
      </c>
      <c r="D6043" s="8">
        <f t="shared" si="380"/>
        <v>1</v>
      </c>
      <c r="E6043" s="7" t="s">
        <v>12557</v>
      </c>
      <c r="F6043" s="7">
        <f t="shared" si="381"/>
        <v>1</v>
      </c>
      <c r="G6043" s="7" t="s">
        <v>12558</v>
      </c>
      <c r="H6043" s="7">
        <f t="shared" si="382"/>
        <v>1</v>
      </c>
      <c r="I6043" s="7" t="str" cm="1">
        <f t="array" ref="I6043">IFERROR(_xlfn.IFS(M6043="נח",1,M6043="נע ונח",1,M6043="שני שווא נח",2,M6043="שני שוואים בסוף מילה",2,M6043="שני שוואים ברצף",1),"0")</f>
        <v>0</v>
      </c>
      <c r="J6043" s="9">
        <f t="shared" si="383"/>
        <v>5</v>
      </c>
      <c r="K6043" t="s">
        <v>6697</v>
      </c>
      <c r="L6043" t="s">
        <v>6694</v>
      </c>
      <c r="M6043" t="s">
        <v>6700</v>
      </c>
      <c r="O6043" t="s">
        <v>6694</v>
      </c>
      <c r="P6043" t="s">
        <v>6694</v>
      </c>
      <c r="U6043" t="s">
        <v>6694</v>
      </c>
      <c r="W6043" t="s">
        <v>6720</v>
      </c>
    </row>
    <row r="6044" spans="1:23" ht="15.6" x14ac:dyDescent="0.4">
      <c r="A6044" s="2" t="s">
        <v>2474</v>
      </c>
      <c r="B6044" s="5" t="s">
        <v>12004</v>
      </c>
      <c r="C6044" s="7" t="s">
        <v>12556</v>
      </c>
      <c r="D6044" s="8">
        <f t="shared" si="380"/>
        <v>1</v>
      </c>
      <c r="E6044" s="7" t="s">
        <v>12557</v>
      </c>
      <c r="F6044" s="7">
        <f t="shared" si="381"/>
        <v>0</v>
      </c>
      <c r="G6044" s="7" t="s">
        <v>12558</v>
      </c>
      <c r="H6044" s="7">
        <f t="shared" si="382"/>
        <v>0</v>
      </c>
      <c r="I6044" s="7" t="str" cm="1">
        <f t="array" ref="I6044">IFERROR(_xlfn.IFS(M6044="נח",1,M6044="נע ונח",1,M6044="שני שווא נח",2,M6044="שני שוואים בסוף מילה",2,M6044="שני שוואים ברצף",1),"0")</f>
        <v>0</v>
      </c>
      <c r="J6044" s="9">
        <f t="shared" si="383"/>
        <v>2</v>
      </c>
      <c r="K6044" t="s">
        <v>6698</v>
      </c>
      <c r="L6044" t="s">
        <v>6694</v>
      </c>
      <c r="M6044" t="s">
        <v>6700</v>
      </c>
      <c r="N6044" t="s">
        <v>6706</v>
      </c>
      <c r="O6044" t="s">
        <v>6694</v>
      </c>
      <c r="W6044" t="s">
        <v>6720</v>
      </c>
    </row>
    <row r="6045" spans="1:23" ht="15.6" x14ac:dyDescent="0.4">
      <c r="A6045" s="2" t="s">
        <v>995</v>
      </c>
      <c r="B6045" s="5" t="s">
        <v>12005</v>
      </c>
      <c r="C6045" s="7" t="s">
        <v>12556</v>
      </c>
      <c r="D6045" s="8">
        <f t="shared" si="380"/>
        <v>1</v>
      </c>
      <c r="E6045" s="7" t="s">
        <v>12557</v>
      </c>
      <c r="F6045" s="7">
        <f t="shared" si="381"/>
        <v>0</v>
      </c>
      <c r="G6045" s="7" t="s">
        <v>12558</v>
      </c>
      <c r="H6045" s="7">
        <f t="shared" si="382"/>
        <v>0</v>
      </c>
      <c r="I6045" s="7" t="str" cm="1">
        <f t="array" ref="I6045">IFERROR(_xlfn.IFS(M6045="נח",1,M6045="נע ונח",1,M6045="שני שווא נח",2,M6045="שני שוואים בסוף מילה",2,M6045="שני שוואים ברצף",1),"0")</f>
        <v>0</v>
      </c>
      <c r="J6045" s="9">
        <f t="shared" si="383"/>
        <v>2</v>
      </c>
      <c r="K6045" t="s">
        <v>6698</v>
      </c>
      <c r="L6045" t="s">
        <v>6694</v>
      </c>
      <c r="M6045" t="s">
        <v>6700</v>
      </c>
      <c r="V6045" t="s">
        <v>6694</v>
      </c>
      <c r="W6045" t="s">
        <v>6720</v>
      </c>
    </row>
    <row r="6046" spans="1:23" ht="15.6" x14ac:dyDescent="0.4">
      <c r="A6046" s="2" t="s">
        <v>2930</v>
      </c>
      <c r="B6046" s="5" t="s">
        <v>12006</v>
      </c>
      <c r="C6046" s="7" t="s">
        <v>12556</v>
      </c>
      <c r="D6046" s="8">
        <f t="shared" si="380"/>
        <v>1</v>
      </c>
      <c r="E6046" s="7" t="s">
        <v>12557</v>
      </c>
      <c r="F6046" s="7">
        <f t="shared" si="381"/>
        <v>0</v>
      </c>
      <c r="G6046" s="7" t="s">
        <v>12558</v>
      </c>
      <c r="H6046" s="7">
        <f t="shared" si="382"/>
        <v>0</v>
      </c>
      <c r="I6046" s="7" t="str" cm="1">
        <f t="array" ref="I6046">IFERROR(_xlfn.IFS(M6046="נח",1,M6046="נע ונח",1,M6046="שני שווא נח",2,M6046="שני שוואים בסוף מילה",2,M6046="שני שוואים ברצף",1),"0")</f>
        <v>0</v>
      </c>
      <c r="J6046" s="9">
        <f t="shared" si="383"/>
        <v>2</v>
      </c>
      <c r="K6046" t="s">
        <v>6698</v>
      </c>
      <c r="L6046" t="s">
        <v>6694</v>
      </c>
      <c r="M6046" t="s">
        <v>6700</v>
      </c>
      <c r="P6046" t="s">
        <v>6694</v>
      </c>
      <c r="W6046" t="s">
        <v>6720</v>
      </c>
    </row>
    <row r="6047" spans="1:23" ht="15.6" x14ac:dyDescent="0.4">
      <c r="A6047" s="2" t="s">
        <v>2118</v>
      </c>
      <c r="B6047" s="5" t="s">
        <v>12007</v>
      </c>
      <c r="C6047" s="7" t="s">
        <v>12556</v>
      </c>
      <c r="D6047" s="8">
        <f t="shared" si="380"/>
        <v>1</v>
      </c>
      <c r="E6047" s="7" t="s">
        <v>12557</v>
      </c>
      <c r="F6047" s="7">
        <f t="shared" si="381"/>
        <v>0</v>
      </c>
      <c r="G6047" s="7" t="s">
        <v>12558</v>
      </c>
      <c r="H6047" s="7">
        <f t="shared" si="382"/>
        <v>0</v>
      </c>
      <c r="I6047" s="7" t="str" cm="1">
        <f t="array" ref="I6047">IFERROR(_xlfn.IFS(M6047="נח",1,M6047="נע ונח",1,M6047="שני שווא נח",2,M6047="שני שוואים בסוף מילה",2,M6047="שני שוואים ברצף",1),"0")</f>
        <v>0</v>
      </c>
      <c r="J6047" s="9">
        <f t="shared" si="383"/>
        <v>2</v>
      </c>
      <c r="K6047" t="s">
        <v>6698</v>
      </c>
      <c r="L6047" t="s">
        <v>6694</v>
      </c>
      <c r="M6047" t="s">
        <v>6700</v>
      </c>
      <c r="V6047" t="s">
        <v>6694</v>
      </c>
      <c r="W6047" t="s">
        <v>6720</v>
      </c>
    </row>
    <row r="6048" spans="1:23" ht="15.6" x14ac:dyDescent="0.4">
      <c r="A6048" s="2" t="s">
        <v>805</v>
      </c>
      <c r="B6048" s="5" t="s">
        <v>12008</v>
      </c>
      <c r="C6048" s="7" t="s">
        <v>12556</v>
      </c>
      <c r="D6048" s="8">
        <f t="shared" si="380"/>
        <v>1</v>
      </c>
      <c r="E6048" s="7" t="s">
        <v>12557</v>
      </c>
      <c r="F6048" s="7">
        <f t="shared" si="381"/>
        <v>0</v>
      </c>
      <c r="G6048" s="7" t="s">
        <v>12558</v>
      </c>
      <c r="H6048" s="7">
        <f t="shared" si="382"/>
        <v>0</v>
      </c>
      <c r="I6048" s="7" t="str" cm="1">
        <f t="array" ref="I6048">IFERROR(_xlfn.IFS(M6048="נח",1,M6048="נע ונח",1,M6048="שני שווא נח",2,M6048="שני שוואים בסוף מילה",2,M6048="שני שוואים ברצף",1),"0")</f>
        <v>0</v>
      </c>
      <c r="J6048" s="9">
        <f t="shared" si="383"/>
        <v>3</v>
      </c>
      <c r="K6048" t="s">
        <v>6697</v>
      </c>
      <c r="L6048" t="s">
        <v>6694</v>
      </c>
      <c r="M6048" t="s">
        <v>6700</v>
      </c>
      <c r="S6048" t="s">
        <v>6694</v>
      </c>
      <c r="V6048" t="s">
        <v>6694</v>
      </c>
      <c r="W6048" t="s">
        <v>6720</v>
      </c>
    </row>
    <row r="6049" spans="1:23" ht="15.6" x14ac:dyDescent="0.4">
      <c r="A6049" s="2" t="s">
        <v>6224</v>
      </c>
      <c r="B6049" s="5" t="s">
        <v>12009</v>
      </c>
      <c r="C6049" s="7" t="s">
        <v>12556</v>
      </c>
      <c r="D6049" s="8">
        <f t="shared" si="380"/>
        <v>1</v>
      </c>
      <c r="E6049" s="7" t="s">
        <v>12557</v>
      </c>
      <c r="F6049" s="7">
        <f t="shared" si="381"/>
        <v>0</v>
      </c>
      <c r="G6049" s="7" t="s">
        <v>12558</v>
      </c>
      <c r="H6049" s="7">
        <f t="shared" si="382"/>
        <v>0</v>
      </c>
      <c r="I6049" s="7" t="str" cm="1">
        <f t="array" ref="I6049">IFERROR(_xlfn.IFS(M6049="נח",1,M6049="נע ונח",1,M6049="שני שווא נח",2,M6049="שני שוואים בסוף מילה",2,M6049="שני שוואים ברצף",1),"0")</f>
        <v>0</v>
      </c>
      <c r="J6049" s="9">
        <f t="shared" si="383"/>
        <v>2</v>
      </c>
      <c r="K6049" t="s">
        <v>6697</v>
      </c>
      <c r="L6049" t="s">
        <v>6694</v>
      </c>
      <c r="M6049" t="s">
        <v>6700</v>
      </c>
      <c r="S6049" t="s">
        <v>6694</v>
      </c>
      <c r="W6049" t="s">
        <v>6720</v>
      </c>
    </row>
    <row r="6050" spans="1:23" ht="15.6" x14ac:dyDescent="0.4">
      <c r="A6050" s="2" t="s">
        <v>1410</v>
      </c>
      <c r="B6050" s="5" t="s">
        <v>12009</v>
      </c>
      <c r="C6050" s="7" t="s">
        <v>12556</v>
      </c>
      <c r="D6050" s="8">
        <f t="shared" si="380"/>
        <v>1</v>
      </c>
      <c r="E6050" s="7" t="s">
        <v>12557</v>
      </c>
      <c r="F6050" s="7">
        <f t="shared" si="381"/>
        <v>0</v>
      </c>
      <c r="G6050" s="7" t="s">
        <v>12558</v>
      </c>
      <c r="H6050" s="7">
        <f t="shared" si="382"/>
        <v>0</v>
      </c>
      <c r="I6050" s="7" t="str" cm="1">
        <f t="array" ref="I6050">IFERROR(_xlfn.IFS(M6050="נח",1,M6050="נע ונח",1,M6050="שני שווא נח",2,M6050="שני שוואים בסוף מילה",2,M6050="שני שוואים ברצף",1),"0")</f>
        <v>0</v>
      </c>
      <c r="J6050" s="9">
        <f t="shared" si="383"/>
        <v>2</v>
      </c>
      <c r="K6050" t="s">
        <v>6698</v>
      </c>
      <c r="L6050" t="s">
        <v>6694</v>
      </c>
      <c r="M6050" t="s">
        <v>6700</v>
      </c>
      <c r="Q6050" t="s">
        <v>6694</v>
      </c>
      <c r="W6050" t="s">
        <v>6720</v>
      </c>
    </row>
    <row r="6051" spans="1:23" ht="15.6" x14ac:dyDescent="0.4">
      <c r="A6051" s="2" t="s">
        <v>2402</v>
      </c>
      <c r="B6051" s="5" t="s">
        <v>12010</v>
      </c>
      <c r="C6051" s="7" t="s">
        <v>12556</v>
      </c>
      <c r="D6051" s="8">
        <f t="shared" si="380"/>
        <v>1</v>
      </c>
      <c r="E6051" s="7" t="s">
        <v>12557</v>
      </c>
      <c r="F6051" s="7">
        <f t="shared" si="381"/>
        <v>0</v>
      </c>
      <c r="G6051" s="7" t="s">
        <v>12558</v>
      </c>
      <c r="H6051" s="7">
        <f t="shared" si="382"/>
        <v>0</v>
      </c>
      <c r="I6051" s="7" t="str" cm="1">
        <f t="array" ref="I6051">IFERROR(_xlfn.IFS(M6051="נח",1,M6051="נע ונח",1,M6051="שני שווא נח",2,M6051="שני שוואים בסוף מילה",2,M6051="שני שוואים ברצף",1),"0")</f>
        <v>0</v>
      </c>
      <c r="J6051" s="9">
        <f t="shared" si="383"/>
        <v>3</v>
      </c>
      <c r="K6051" t="s">
        <v>6697</v>
      </c>
      <c r="L6051" t="s">
        <v>6694</v>
      </c>
      <c r="M6051" t="s">
        <v>6700</v>
      </c>
      <c r="O6051" t="s">
        <v>6694</v>
      </c>
      <c r="R6051" t="s">
        <v>6694</v>
      </c>
      <c r="W6051" t="s">
        <v>6720</v>
      </c>
    </row>
    <row r="6052" spans="1:23" ht="15.6" x14ac:dyDescent="0.4">
      <c r="A6052" s="2" t="s">
        <v>1924</v>
      </c>
      <c r="B6052" s="5" t="s">
        <v>12011</v>
      </c>
      <c r="C6052" s="7" t="s">
        <v>12556</v>
      </c>
      <c r="D6052" s="8">
        <f t="shared" si="380"/>
        <v>1</v>
      </c>
      <c r="E6052" s="7" t="s">
        <v>12557</v>
      </c>
      <c r="F6052" s="7">
        <f t="shared" si="381"/>
        <v>0</v>
      </c>
      <c r="G6052" s="7" t="s">
        <v>12558</v>
      </c>
      <c r="H6052" s="7">
        <f t="shared" si="382"/>
        <v>0</v>
      </c>
      <c r="I6052" s="7" t="str" cm="1">
        <f t="array" ref="I6052">IFERROR(_xlfn.IFS(M6052="נח",1,M6052="נע ונח",1,M6052="שני שווא נח",2,M6052="שני שוואים בסוף מילה",2,M6052="שני שוואים ברצף",1),"0")</f>
        <v>0</v>
      </c>
      <c r="J6052" s="9">
        <f t="shared" si="383"/>
        <v>2</v>
      </c>
      <c r="K6052" t="s">
        <v>6697</v>
      </c>
      <c r="L6052" t="s">
        <v>6694</v>
      </c>
      <c r="M6052" t="s">
        <v>6700</v>
      </c>
      <c r="P6052" t="s">
        <v>6694</v>
      </c>
      <c r="W6052" t="s">
        <v>6720</v>
      </c>
    </row>
    <row r="6053" spans="1:23" ht="15.6" x14ac:dyDescent="0.4">
      <c r="A6053" s="2" t="s">
        <v>2382</v>
      </c>
      <c r="B6053" s="5" t="s">
        <v>12012</v>
      </c>
      <c r="C6053" s="7" t="s">
        <v>12556</v>
      </c>
      <c r="D6053" s="8">
        <f t="shared" si="380"/>
        <v>1</v>
      </c>
      <c r="E6053" s="7" t="s">
        <v>12557</v>
      </c>
      <c r="F6053" s="7">
        <f t="shared" si="381"/>
        <v>0</v>
      </c>
      <c r="G6053" s="7" t="s">
        <v>12558</v>
      </c>
      <c r="H6053" s="7">
        <f t="shared" si="382"/>
        <v>0</v>
      </c>
      <c r="I6053" s="7" t="str" cm="1">
        <f t="array" ref="I6053">IFERROR(_xlfn.IFS(M6053="נח",1,M6053="נע ונח",1,M6053="שני שווא נח",2,M6053="שני שוואים בסוף מילה",2,M6053="שני שוואים ברצף",1),"0")</f>
        <v>0</v>
      </c>
      <c r="J6053" s="9">
        <f t="shared" si="383"/>
        <v>2</v>
      </c>
      <c r="K6053" t="s">
        <v>6698</v>
      </c>
      <c r="L6053" t="s">
        <v>6694</v>
      </c>
      <c r="M6053" t="s">
        <v>6700</v>
      </c>
      <c r="N6053" t="s">
        <v>6706</v>
      </c>
      <c r="O6053" t="s">
        <v>6694</v>
      </c>
      <c r="W6053" t="s">
        <v>6720</v>
      </c>
    </row>
    <row r="6054" spans="1:23" ht="15.6" x14ac:dyDescent="0.4">
      <c r="A6054" s="2" t="s">
        <v>4679</v>
      </c>
      <c r="B6054" s="5" t="s">
        <v>12013</v>
      </c>
      <c r="C6054" s="7" t="s">
        <v>12556</v>
      </c>
      <c r="D6054" s="8">
        <f t="shared" si="380"/>
        <v>1</v>
      </c>
      <c r="E6054" s="7" t="s">
        <v>12557</v>
      </c>
      <c r="F6054" s="7">
        <f t="shared" si="381"/>
        <v>0</v>
      </c>
      <c r="G6054" s="7" t="s">
        <v>12558</v>
      </c>
      <c r="H6054" s="7">
        <f t="shared" si="382"/>
        <v>0</v>
      </c>
      <c r="I6054" s="7" t="str" cm="1">
        <f t="array" ref="I6054">IFERROR(_xlfn.IFS(M6054="נח",1,M6054="נע ונח",1,M6054="שני שווא נח",2,M6054="שני שוואים בסוף מילה",2,M6054="שני שוואים ברצף",1),"0")</f>
        <v>0</v>
      </c>
      <c r="J6054" s="9">
        <f t="shared" si="383"/>
        <v>4</v>
      </c>
      <c r="K6054" t="s">
        <v>6698</v>
      </c>
      <c r="L6054" t="s">
        <v>6694</v>
      </c>
      <c r="M6054" t="s">
        <v>6700</v>
      </c>
      <c r="O6054" t="s">
        <v>6694</v>
      </c>
      <c r="R6054" t="s">
        <v>6694</v>
      </c>
      <c r="W6054" t="s">
        <v>6720</v>
      </c>
    </row>
    <row r="6055" spans="1:23" ht="15.6" x14ac:dyDescent="0.4">
      <c r="A6055" s="2" t="s">
        <v>4733</v>
      </c>
      <c r="B6055" s="5" t="s">
        <v>12014</v>
      </c>
      <c r="C6055" s="7" t="s">
        <v>12556</v>
      </c>
      <c r="D6055" s="8">
        <f t="shared" si="380"/>
        <v>1</v>
      </c>
      <c r="E6055" s="7" t="s">
        <v>12557</v>
      </c>
      <c r="F6055" s="7">
        <f t="shared" si="381"/>
        <v>0</v>
      </c>
      <c r="G6055" s="7" t="s">
        <v>12558</v>
      </c>
      <c r="H6055" s="7">
        <f t="shared" si="382"/>
        <v>0</v>
      </c>
      <c r="I6055" s="7" t="str" cm="1">
        <f t="array" ref="I6055">IFERROR(_xlfn.IFS(M6055="נח",1,M6055="נע ונח",1,M6055="שני שווא נח",2,M6055="שני שוואים בסוף מילה",2,M6055="שני שוואים ברצף",1),"0")</f>
        <v>0</v>
      </c>
      <c r="J6055" s="9">
        <f t="shared" si="383"/>
        <v>3</v>
      </c>
      <c r="K6055" t="s">
        <v>6698</v>
      </c>
      <c r="L6055" t="s">
        <v>6694</v>
      </c>
      <c r="M6055" t="s">
        <v>6700</v>
      </c>
      <c r="T6055" t="s">
        <v>6694</v>
      </c>
      <c r="V6055" t="s">
        <v>6694</v>
      </c>
      <c r="W6055" t="s">
        <v>6720</v>
      </c>
    </row>
    <row r="6056" spans="1:23" ht="15.6" x14ac:dyDescent="0.4">
      <c r="A6056" s="2" t="s">
        <v>1044</v>
      </c>
      <c r="B6056" s="5" t="s">
        <v>12015</v>
      </c>
      <c r="C6056" s="7" t="s">
        <v>12556</v>
      </c>
      <c r="D6056" s="8">
        <f t="shared" si="380"/>
        <v>1</v>
      </c>
      <c r="E6056" s="7" t="s">
        <v>12557</v>
      </c>
      <c r="F6056" s="7">
        <f t="shared" si="381"/>
        <v>0</v>
      </c>
      <c r="G6056" s="7" t="s">
        <v>12558</v>
      </c>
      <c r="H6056" s="7">
        <f t="shared" si="382"/>
        <v>0</v>
      </c>
      <c r="I6056" s="7" t="str" cm="1">
        <f t="array" ref="I6056">IFERROR(_xlfn.IFS(M6056="נח",1,M6056="נע ונח",1,M6056="שני שווא נח",2,M6056="שני שוואים בסוף מילה",2,M6056="שני שוואים ברצף",1),"0")</f>
        <v>0</v>
      </c>
      <c r="J6056" s="9">
        <f t="shared" si="383"/>
        <v>2</v>
      </c>
      <c r="K6056" t="s">
        <v>6697</v>
      </c>
      <c r="L6056" t="s">
        <v>6694</v>
      </c>
      <c r="M6056" t="s">
        <v>6700</v>
      </c>
      <c r="V6056" t="s">
        <v>6694</v>
      </c>
      <c r="W6056" t="s">
        <v>6720</v>
      </c>
    </row>
    <row r="6057" spans="1:23" ht="15.6" x14ac:dyDescent="0.4">
      <c r="A6057" s="2" t="s">
        <v>3041</v>
      </c>
      <c r="B6057" s="5" t="s">
        <v>12016</v>
      </c>
      <c r="C6057" s="7" t="s">
        <v>12556</v>
      </c>
      <c r="D6057" s="8">
        <f t="shared" si="380"/>
        <v>1</v>
      </c>
      <c r="E6057" s="7" t="s">
        <v>12557</v>
      </c>
      <c r="F6057" s="7">
        <f t="shared" si="381"/>
        <v>0</v>
      </c>
      <c r="G6057" s="7" t="s">
        <v>12558</v>
      </c>
      <c r="H6057" s="7">
        <f t="shared" si="382"/>
        <v>0</v>
      </c>
      <c r="I6057" s="7" t="str" cm="1">
        <f t="array" ref="I6057">IFERROR(_xlfn.IFS(M6057="נח",1,M6057="נע ונח",1,M6057="שני שווא נח",2,M6057="שני שוואים בסוף מילה",2,M6057="שני שוואים ברצף",1),"0")</f>
        <v>0</v>
      </c>
      <c r="J6057" s="9">
        <f t="shared" si="383"/>
        <v>3</v>
      </c>
      <c r="K6057" t="s">
        <v>6698</v>
      </c>
      <c r="L6057" t="s">
        <v>6694</v>
      </c>
      <c r="M6057" t="s">
        <v>6700</v>
      </c>
      <c r="N6057" t="s">
        <v>6706</v>
      </c>
      <c r="O6057" t="s">
        <v>6694</v>
      </c>
      <c r="V6057" t="s">
        <v>6694</v>
      </c>
      <c r="W6057" t="s">
        <v>6720</v>
      </c>
    </row>
    <row r="6058" spans="1:23" ht="15.6" x14ac:dyDescent="0.4">
      <c r="A6058" s="2" t="s">
        <v>4231</v>
      </c>
      <c r="B6058" s="5" t="s">
        <v>12017</v>
      </c>
      <c r="C6058" s="7" t="s">
        <v>12556</v>
      </c>
      <c r="D6058" s="8">
        <f t="shared" si="380"/>
        <v>1</v>
      </c>
      <c r="E6058" s="7" t="s">
        <v>12557</v>
      </c>
      <c r="F6058" s="7">
        <f t="shared" si="381"/>
        <v>0</v>
      </c>
      <c r="G6058" s="7" t="s">
        <v>12558</v>
      </c>
      <c r="H6058" s="7">
        <f t="shared" si="382"/>
        <v>0</v>
      </c>
      <c r="I6058" s="7" t="str" cm="1">
        <f t="array" ref="I6058">IFERROR(_xlfn.IFS(M6058="נח",1,M6058="נע ונח",1,M6058="שני שווא נח",2,M6058="שני שוואים בסוף מילה",2,M6058="שני שוואים ברצף",1),"0")</f>
        <v>0</v>
      </c>
      <c r="J6058" s="9">
        <f t="shared" si="383"/>
        <v>2</v>
      </c>
      <c r="K6058" t="s">
        <v>6698</v>
      </c>
      <c r="L6058" t="s">
        <v>6694</v>
      </c>
      <c r="M6058" t="s">
        <v>6700</v>
      </c>
      <c r="Q6058" t="s">
        <v>6694</v>
      </c>
      <c r="W6058" t="s">
        <v>6720</v>
      </c>
    </row>
    <row r="6059" spans="1:23" ht="15.6" x14ac:dyDescent="0.4">
      <c r="A6059" s="2" t="s">
        <v>4402</v>
      </c>
      <c r="B6059" s="5" t="s">
        <v>12018</v>
      </c>
      <c r="C6059" s="7" t="s">
        <v>12556</v>
      </c>
      <c r="D6059" s="8">
        <f t="shared" si="380"/>
        <v>1</v>
      </c>
      <c r="E6059" s="7" t="s">
        <v>12557</v>
      </c>
      <c r="F6059" s="7">
        <f t="shared" si="381"/>
        <v>0</v>
      </c>
      <c r="G6059" s="7" t="s">
        <v>12558</v>
      </c>
      <c r="H6059" s="7">
        <f t="shared" si="382"/>
        <v>0</v>
      </c>
      <c r="I6059" s="7" t="str" cm="1">
        <f t="array" ref="I6059">IFERROR(_xlfn.IFS(M6059="נח",1,M6059="נע ונח",1,M6059="שני שווא נח",2,M6059="שני שוואים בסוף מילה",2,M6059="שני שוואים ברצף",1),"0")</f>
        <v>0</v>
      </c>
      <c r="J6059" s="9">
        <f t="shared" si="383"/>
        <v>2</v>
      </c>
      <c r="K6059" t="s">
        <v>6698</v>
      </c>
      <c r="L6059" t="s">
        <v>6694</v>
      </c>
      <c r="M6059" t="s">
        <v>6700</v>
      </c>
      <c r="P6059" t="s">
        <v>6694</v>
      </c>
      <c r="W6059" t="s">
        <v>6720</v>
      </c>
    </row>
    <row r="6060" spans="1:23" ht="15.6" x14ac:dyDescent="0.4">
      <c r="A6060" s="2" t="s">
        <v>4700</v>
      </c>
      <c r="B6060" s="5" t="s">
        <v>12019</v>
      </c>
      <c r="C6060" s="7" t="s">
        <v>12556</v>
      </c>
      <c r="D6060" s="8">
        <f t="shared" si="380"/>
        <v>1</v>
      </c>
      <c r="E6060" s="7" t="s">
        <v>12557</v>
      </c>
      <c r="F6060" s="7">
        <f t="shared" si="381"/>
        <v>0</v>
      </c>
      <c r="G6060" s="7" t="s">
        <v>12558</v>
      </c>
      <c r="H6060" s="7">
        <f t="shared" si="382"/>
        <v>0</v>
      </c>
      <c r="I6060" s="7" t="str" cm="1">
        <f t="array" ref="I6060">IFERROR(_xlfn.IFS(M6060="נח",1,M6060="נע ונח",1,M6060="שני שווא נח",2,M6060="שני שוואים בסוף מילה",2,M6060="שני שוואים ברצף",1),"0")</f>
        <v>0</v>
      </c>
      <c r="J6060" s="9">
        <f t="shared" si="383"/>
        <v>3</v>
      </c>
      <c r="K6060" t="s">
        <v>6698</v>
      </c>
      <c r="L6060" t="s">
        <v>6694</v>
      </c>
      <c r="M6060" t="s">
        <v>6700</v>
      </c>
      <c r="N6060" t="s">
        <v>6706</v>
      </c>
      <c r="O6060" t="s">
        <v>6694</v>
      </c>
      <c r="W6060" t="s">
        <v>6720</v>
      </c>
    </row>
    <row r="6061" spans="1:23" ht="15.6" x14ac:dyDescent="0.4">
      <c r="A6061" s="2" t="s">
        <v>4737</v>
      </c>
      <c r="B6061" s="5" t="s">
        <v>12020</v>
      </c>
      <c r="C6061" s="7" t="s">
        <v>12556</v>
      </c>
      <c r="D6061" s="8">
        <f t="shared" si="380"/>
        <v>1</v>
      </c>
      <c r="E6061" s="7" t="s">
        <v>12557</v>
      </c>
      <c r="F6061" s="7">
        <f t="shared" si="381"/>
        <v>0</v>
      </c>
      <c r="G6061" s="7" t="s">
        <v>12558</v>
      </c>
      <c r="H6061" s="7">
        <f t="shared" si="382"/>
        <v>0</v>
      </c>
      <c r="I6061" s="7" t="str" cm="1">
        <f t="array" ref="I6061">IFERROR(_xlfn.IFS(M6061="נח",1,M6061="נע ונח",1,M6061="שני שווא נח",2,M6061="שני שוואים בסוף מילה",2,M6061="שני שוואים ברצף",1),"0")</f>
        <v>0</v>
      </c>
      <c r="J6061" s="9">
        <f t="shared" si="383"/>
        <v>2</v>
      </c>
      <c r="K6061" t="s">
        <v>6698</v>
      </c>
      <c r="L6061" t="s">
        <v>6694</v>
      </c>
      <c r="M6061" t="s">
        <v>6700</v>
      </c>
      <c r="V6061" t="s">
        <v>6694</v>
      </c>
      <c r="W6061" t="s">
        <v>6720</v>
      </c>
    </row>
    <row r="6062" spans="1:23" ht="15.6" x14ac:dyDescent="0.4">
      <c r="A6062" s="2" t="s">
        <v>4286</v>
      </c>
      <c r="B6062" s="5" t="s">
        <v>12021</v>
      </c>
      <c r="C6062" s="7" t="s">
        <v>12556</v>
      </c>
      <c r="D6062" s="8">
        <f t="shared" si="380"/>
        <v>1</v>
      </c>
      <c r="E6062" s="7" t="s">
        <v>12557</v>
      </c>
      <c r="F6062" s="7">
        <f t="shared" si="381"/>
        <v>0</v>
      </c>
      <c r="G6062" s="7" t="s">
        <v>12558</v>
      </c>
      <c r="H6062" s="7">
        <f t="shared" si="382"/>
        <v>0</v>
      </c>
      <c r="I6062" s="7" t="str" cm="1">
        <f t="array" ref="I6062">IFERROR(_xlfn.IFS(M6062="נח",1,M6062="נע ונח",1,M6062="שני שווא נח",2,M6062="שני שוואים בסוף מילה",2,M6062="שני שוואים ברצף",1),"0")</f>
        <v>0</v>
      </c>
      <c r="J6062" s="9">
        <f t="shared" si="383"/>
        <v>3</v>
      </c>
      <c r="K6062" t="s">
        <v>6698</v>
      </c>
      <c r="L6062" t="s">
        <v>6694</v>
      </c>
      <c r="M6062" t="s">
        <v>6700</v>
      </c>
      <c r="N6062" t="s">
        <v>6706</v>
      </c>
      <c r="O6062" t="s">
        <v>6694</v>
      </c>
      <c r="V6062" t="s">
        <v>6694</v>
      </c>
      <c r="W6062" t="s">
        <v>6720</v>
      </c>
    </row>
    <row r="6063" spans="1:23" ht="15.6" x14ac:dyDescent="0.4">
      <c r="A6063" s="2" t="s">
        <v>3696</v>
      </c>
      <c r="B6063" s="5" t="s">
        <v>12022</v>
      </c>
      <c r="C6063" s="7" t="s">
        <v>12556</v>
      </c>
      <c r="D6063" s="8">
        <f t="shared" si="380"/>
        <v>1</v>
      </c>
      <c r="E6063" s="7" t="s">
        <v>12557</v>
      </c>
      <c r="F6063" s="7">
        <f t="shared" si="381"/>
        <v>1</v>
      </c>
      <c r="G6063" s="7" t="s">
        <v>12558</v>
      </c>
      <c r="H6063" s="7">
        <f t="shared" si="382"/>
        <v>1</v>
      </c>
      <c r="I6063" s="7" t="str" cm="1">
        <f t="array" ref="I6063">IFERROR(_xlfn.IFS(M6063="נח",1,M6063="נע ונח",1,M6063="שני שווא נח",2,M6063="שני שוואים בסוף מילה",2,M6063="שני שוואים ברצף",1),"0")</f>
        <v>0</v>
      </c>
      <c r="J6063" s="9">
        <f t="shared" si="383"/>
        <v>3</v>
      </c>
      <c r="K6063" t="s">
        <v>6698</v>
      </c>
      <c r="L6063" t="s">
        <v>6694</v>
      </c>
      <c r="M6063" t="s">
        <v>6700</v>
      </c>
      <c r="S6063" t="s">
        <v>6694</v>
      </c>
      <c r="U6063" t="s">
        <v>6694</v>
      </c>
      <c r="W6063" t="s">
        <v>6720</v>
      </c>
    </row>
    <row r="6064" spans="1:23" ht="15.6" x14ac:dyDescent="0.4">
      <c r="A6064" s="2" t="s">
        <v>2577</v>
      </c>
      <c r="B6064" s="5" t="s">
        <v>12023</v>
      </c>
      <c r="C6064" s="7" t="s">
        <v>12556</v>
      </c>
      <c r="D6064" s="8">
        <f t="shared" si="380"/>
        <v>1</v>
      </c>
      <c r="E6064" s="7" t="s">
        <v>12557</v>
      </c>
      <c r="F6064" s="7">
        <f t="shared" si="381"/>
        <v>0</v>
      </c>
      <c r="G6064" s="7" t="s">
        <v>12558</v>
      </c>
      <c r="H6064" s="7">
        <f t="shared" si="382"/>
        <v>0</v>
      </c>
      <c r="I6064" s="7" t="str" cm="1">
        <f t="array" ref="I6064">IFERROR(_xlfn.IFS(M6064="נח",1,M6064="נע ונח",1,M6064="שני שווא נח",2,M6064="שני שוואים בסוף מילה",2,M6064="שני שוואים ברצף",1),"0")</f>
        <v>0</v>
      </c>
      <c r="J6064" s="9">
        <f t="shared" si="383"/>
        <v>3</v>
      </c>
      <c r="K6064" t="s">
        <v>6698</v>
      </c>
      <c r="L6064" t="s">
        <v>6694</v>
      </c>
      <c r="M6064" t="s">
        <v>6700</v>
      </c>
      <c r="O6064" t="s">
        <v>6694</v>
      </c>
      <c r="S6064" t="s">
        <v>6694</v>
      </c>
      <c r="W6064" t="s">
        <v>6720</v>
      </c>
    </row>
    <row r="6065" spans="1:23" ht="15.6" x14ac:dyDescent="0.4">
      <c r="A6065" s="2" t="s">
        <v>1375</v>
      </c>
      <c r="B6065" s="5" t="s">
        <v>12024</v>
      </c>
      <c r="C6065" s="7" t="s">
        <v>12556</v>
      </c>
      <c r="D6065" s="8">
        <f t="shared" si="380"/>
        <v>1</v>
      </c>
      <c r="E6065" s="7" t="s">
        <v>12557</v>
      </c>
      <c r="F6065" s="7">
        <f t="shared" si="381"/>
        <v>0</v>
      </c>
      <c r="G6065" s="7" t="s">
        <v>12558</v>
      </c>
      <c r="H6065" s="7">
        <f t="shared" si="382"/>
        <v>0</v>
      </c>
      <c r="I6065" s="7" cm="1">
        <f t="array" ref="I6065">IFERROR(_xlfn.IFS(M6065="נח",1,M6065="נע ונח",1,M6065="שני שווא נח",2,M6065="שני שוואים בסוף מילה",2,M6065="שני שוואים ברצף",1),"0")</f>
        <v>1</v>
      </c>
      <c r="J6065" s="9">
        <f t="shared" si="383"/>
        <v>4</v>
      </c>
      <c r="K6065" t="s">
        <v>6698</v>
      </c>
      <c r="L6065" t="s">
        <v>6694</v>
      </c>
      <c r="M6065" t="s">
        <v>6701</v>
      </c>
      <c r="N6065" t="s">
        <v>6706</v>
      </c>
      <c r="O6065" t="s">
        <v>6694</v>
      </c>
      <c r="S6065" t="s">
        <v>6694</v>
      </c>
      <c r="W6065" t="s">
        <v>6720</v>
      </c>
    </row>
    <row r="6066" spans="1:23" ht="15.6" x14ac:dyDescent="0.4">
      <c r="A6066" s="2" t="s">
        <v>5568</v>
      </c>
      <c r="B6066" s="5" t="s">
        <v>12025</v>
      </c>
      <c r="C6066" s="7" t="s">
        <v>12556</v>
      </c>
      <c r="D6066" s="8">
        <f t="shared" si="380"/>
        <v>1</v>
      </c>
      <c r="E6066" s="7" t="s">
        <v>12557</v>
      </c>
      <c r="F6066" s="7">
        <f t="shared" si="381"/>
        <v>0</v>
      </c>
      <c r="G6066" s="7" t="s">
        <v>12558</v>
      </c>
      <c r="H6066" s="7">
        <f t="shared" si="382"/>
        <v>0</v>
      </c>
      <c r="I6066" s="7" t="str" cm="1">
        <f t="array" ref="I6066">IFERROR(_xlfn.IFS(M6066="נח",1,M6066="נע ונח",1,M6066="שני שווא נח",2,M6066="שני שוואים בסוף מילה",2,M6066="שני שוואים ברצף",1),"0")</f>
        <v>0</v>
      </c>
      <c r="J6066" s="9">
        <f t="shared" si="383"/>
        <v>3</v>
      </c>
      <c r="K6066" t="s">
        <v>6698</v>
      </c>
      <c r="L6066" t="s">
        <v>6694</v>
      </c>
      <c r="M6066" t="s">
        <v>6700</v>
      </c>
      <c r="N6066" t="s">
        <v>6706</v>
      </c>
      <c r="O6066" t="s">
        <v>6694</v>
      </c>
      <c r="W6066" t="s">
        <v>6720</v>
      </c>
    </row>
    <row r="6067" spans="1:23" ht="15.6" x14ac:dyDescent="0.4">
      <c r="A6067" s="2" t="s">
        <v>4516</v>
      </c>
      <c r="B6067" s="5" t="s">
        <v>12026</v>
      </c>
      <c r="C6067" s="7" t="s">
        <v>12556</v>
      </c>
      <c r="D6067" s="8">
        <f t="shared" si="380"/>
        <v>1</v>
      </c>
      <c r="E6067" s="7" t="s">
        <v>12557</v>
      </c>
      <c r="F6067" s="7">
        <f t="shared" si="381"/>
        <v>1</v>
      </c>
      <c r="G6067" s="7" t="s">
        <v>12558</v>
      </c>
      <c r="H6067" s="7">
        <f t="shared" si="382"/>
        <v>0</v>
      </c>
      <c r="I6067" s="7" t="str" cm="1">
        <f t="array" ref="I6067">IFERROR(_xlfn.IFS(M6067="נח",1,M6067="נע ונח",1,M6067="שני שווא נח",2,M6067="שני שוואים בסוף מילה",2,M6067="שני שוואים ברצף",1),"0")</f>
        <v>0</v>
      </c>
      <c r="J6067" s="9">
        <f t="shared" si="383"/>
        <v>4</v>
      </c>
      <c r="K6067" t="s">
        <v>6698</v>
      </c>
      <c r="L6067" t="s">
        <v>6694</v>
      </c>
      <c r="M6067" t="s">
        <v>6700</v>
      </c>
      <c r="N6067" t="s">
        <v>6706</v>
      </c>
      <c r="O6067" t="s">
        <v>6694</v>
      </c>
      <c r="P6067" t="s">
        <v>6694</v>
      </c>
      <c r="S6067" t="s">
        <v>6694</v>
      </c>
      <c r="W6067" t="s">
        <v>6720</v>
      </c>
    </row>
    <row r="6068" spans="1:23" ht="15.6" x14ac:dyDescent="0.4">
      <c r="A6068" s="2" t="s">
        <v>4638</v>
      </c>
      <c r="B6068" s="5" t="s">
        <v>12027</v>
      </c>
      <c r="C6068" s="7" t="s">
        <v>12556</v>
      </c>
      <c r="D6068" s="8">
        <f t="shared" si="380"/>
        <v>1</v>
      </c>
      <c r="E6068" s="7" t="s">
        <v>12557</v>
      </c>
      <c r="F6068" s="7">
        <f t="shared" si="381"/>
        <v>0</v>
      </c>
      <c r="G6068" s="7" t="s">
        <v>12558</v>
      </c>
      <c r="H6068" s="7">
        <f t="shared" si="382"/>
        <v>0</v>
      </c>
      <c r="I6068" s="7" cm="1">
        <f t="array" ref="I6068">IFERROR(_xlfn.IFS(M6068="נח",1,M6068="נע ונח",1,M6068="שני שווא נח",2,M6068="שני שוואים בסוף מילה",2,M6068="שני שוואים ברצף",1),"0")</f>
        <v>1</v>
      </c>
      <c r="J6068" s="9">
        <f t="shared" si="383"/>
        <v>2</v>
      </c>
      <c r="K6068" t="s">
        <v>6698</v>
      </c>
      <c r="L6068" t="s">
        <v>6694</v>
      </c>
      <c r="M6068" t="s">
        <v>6701</v>
      </c>
      <c r="N6068" t="s">
        <v>6706</v>
      </c>
      <c r="O6068" t="s">
        <v>6694</v>
      </c>
      <c r="W6068" t="s">
        <v>6720</v>
      </c>
    </row>
    <row r="6069" spans="1:23" ht="15.6" x14ac:dyDescent="0.4">
      <c r="A6069" s="2" t="s">
        <v>5465</v>
      </c>
      <c r="B6069" s="5" t="s">
        <v>12027</v>
      </c>
      <c r="C6069" s="7" t="s">
        <v>12556</v>
      </c>
      <c r="D6069" s="8">
        <f t="shared" si="380"/>
        <v>1</v>
      </c>
      <c r="E6069" s="7" t="s">
        <v>12557</v>
      </c>
      <c r="F6069" s="7">
        <f t="shared" si="381"/>
        <v>0</v>
      </c>
      <c r="G6069" s="7" t="s">
        <v>12558</v>
      </c>
      <c r="H6069" s="7">
        <f t="shared" si="382"/>
        <v>0</v>
      </c>
      <c r="I6069" s="7" cm="1">
        <f t="array" ref="I6069">IFERROR(_xlfn.IFS(M6069="נח",1,M6069="נע ונח",1,M6069="שני שווא נח",2,M6069="שני שוואים בסוף מילה",2,M6069="שני שוואים ברצף",1),"0")</f>
        <v>1</v>
      </c>
      <c r="J6069" s="9">
        <f t="shared" si="383"/>
        <v>2</v>
      </c>
      <c r="K6069" t="s">
        <v>6698</v>
      </c>
      <c r="L6069" t="s">
        <v>6694</v>
      </c>
      <c r="M6069" t="s">
        <v>6701</v>
      </c>
      <c r="V6069" t="s">
        <v>6694</v>
      </c>
      <c r="W6069" t="s">
        <v>6720</v>
      </c>
    </row>
    <row r="6070" spans="1:23" ht="15.6" x14ac:dyDescent="0.4">
      <c r="A6070" s="2" t="s">
        <v>2806</v>
      </c>
      <c r="B6070" s="5" t="s">
        <v>12028</v>
      </c>
      <c r="C6070" s="7" t="s">
        <v>12556</v>
      </c>
      <c r="D6070" s="8">
        <f t="shared" si="380"/>
        <v>1</v>
      </c>
      <c r="E6070" s="7" t="s">
        <v>12557</v>
      </c>
      <c r="F6070" s="7">
        <f t="shared" si="381"/>
        <v>0</v>
      </c>
      <c r="G6070" s="7" t="s">
        <v>12558</v>
      </c>
      <c r="H6070" s="7">
        <f t="shared" si="382"/>
        <v>0</v>
      </c>
      <c r="I6070" s="7" t="str" cm="1">
        <f t="array" ref="I6070">IFERROR(_xlfn.IFS(M6070="נח",1,M6070="נע ונח",1,M6070="שני שווא נח",2,M6070="שני שוואים בסוף מילה",2,M6070="שני שוואים ברצף",1),"0")</f>
        <v>0</v>
      </c>
      <c r="J6070" s="9">
        <f t="shared" si="383"/>
        <v>3</v>
      </c>
      <c r="K6070" t="s">
        <v>6698</v>
      </c>
      <c r="L6070" t="s">
        <v>6694</v>
      </c>
      <c r="M6070" t="s">
        <v>6700</v>
      </c>
      <c r="O6070" t="s">
        <v>6694</v>
      </c>
      <c r="S6070" t="s">
        <v>6694</v>
      </c>
      <c r="W6070" t="s">
        <v>6720</v>
      </c>
    </row>
    <row r="6071" spans="1:23" ht="15.6" x14ac:dyDescent="0.4">
      <c r="A6071" s="2" t="s">
        <v>4319</v>
      </c>
      <c r="B6071" s="5" t="s">
        <v>12029</v>
      </c>
      <c r="C6071" s="7" t="s">
        <v>12556</v>
      </c>
      <c r="D6071" s="8">
        <f t="shared" si="380"/>
        <v>1</v>
      </c>
      <c r="E6071" s="7" t="s">
        <v>12557</v>
      </c>
      <c r="F6071" s="7">
        <f t="shared" si="381"/>
        <v>1</v>
      </c>
      <c r="G6071" s="7" t="s">
        <v>12558</v>
      </c>
      <c r="H6071" s="7">
        <f t="shared" si="382"/>
        <v>0</v>
      </c>
      <c r="I6071" s="7" t="str" cm="1">
        <f t="array" ref="I6071">IFERROR(_xlfn.IFS(M6071="נח",1,M6071="נע ונח",1,M6071="שני שווא נח",2,M6071="שני שוואים בסוף מילה",2,M6071="שני שוואים ברצף",1),"0")</f>
        <v>0</v>
      </c>
      <c r="J6071" s="9">
        <f t="shared" si="383"/>
        <v>3</v>
      </c>
      <c r="K6071" t="s">
        <v>6698</v>
      </c>
      <c r="L6071" t="s">
        <v>6694</v>
      </c>
      <c r="M6071" t="s">
        <v>6700</v>
      </c>
      <c r="P6071" t="s">
        <v>6694</v>
      </c>
      <c r="S6071" t="s">
        <v>6694</v>
      </c>
      <c r="W6071" t="s">
        <v>6720</v>
      </c>
    </row>
    <row r="6072" spans="1:23" ht="15.6" x14ac:dyDescent="0.4">
      <c r="A6072" s="2" t="s">
        <v>5540</v>
      </c>
      <c r="B6072" s="5" t="s">
        <v>12030</v>
      </c>
      <c r="C6072" s="7" t="s">
        <v>12556</v>
      </c>
      <c r="D6072" s="8">
        <f t="shared" si="380"/>
        <v>1</v>
      </c>
      <c r="E6072" s="7" t="s">
        <v>12557</v>
      </c>
      <c r="F6072" s="7">
        <f t="shared" si="381"/>
        <v>1</v>
      </c>
      <c r="G6072" s="7" t="s">
        <v>12558</v>
      </c>
      <c r="H6072" s="7">
        <f t="shared" si="382"/>
        <v>1</v>
      </c>
      <c r="I6072" s="7" t="str" cm="1">
        <f t="array" ref="I6072">IFERROR(_xlfn.IFS(M6072="נח",1,M6072="נע ונח",1,M6072="שני שווא נח",2,M6072="שני שוואים בסוף מילה",2,M6072="שני שוואים ברצף",1),"0")</f>
        <v>0</v>
      </c>
      <c r="J6072" s="9">
        <f t="shared" si="383"/>
        <v>3</v>
      </c>
      <c r="K6072" t="s">
        <v>6698</v>
      </c>
      <c r="L6072" t="s">
        <v>6694</v>
      </c>
      <c r="M6072" t="s">
        <v>6700</v>
      </c>
      <c r="S6072" t="s">
        <v>6694</v>
      </c>
      <c r="U6072" t="s">
        <v>6694</v>
      </c>
      <c r="W6072" t="s">
        <v>6720</v>
      </c>
    </row>
    <row r="6073" spans="1:23" ht="15.6" x14ac:dyDescent="0.4">
      <c r="A6073" s="2" t="s">
        <v>785</v>
      </c>
      <c r="B6073" s="5" t="s">
        <v>12031</v>
      </c>
      <c r="C6073" s="7" t="s">
        <v>12556</v>
      </c>
      <c r="D6073" s="8">
        <f t="shared" si="380"/>
        <v>1</v>
      </c>
      <c r="E6073" s="7" t="s">
        <v>12557</v>
      </c>
      <c r="F6073" s="7">
        <f t="shared" si="381"/>
        <v>0</v>
      </c>
      <c r="G6073" s="7" t="s">
        <v>12558</v>
      </c>
      <c r="H6073" s="7">
        <f t="shared" si="382"/>
        <v>0</v>
      </c>
      <c r="I6073" s="7" cm="1">
        <f t="array" ref="I6073">IFERROR(_xlfn.IFS(M6073="נח",1,M6073="נע ונח",1,M6073="שני שווא נח",2,M6073="שני שוואים בסוף מילה",2,M6073="שני שוואים ברצף",1),"0")</f>
        <v>1</v>
      </c>
      <c r="J6073" s="9">
        <f t="shared" si="383"/>
        <v>3</v>
      </c>
      <c r="K6073" t="s">
        <v>6697</v>
      </c>
      <c r="L6073" t="s">
        <v>6694</v>
      </c>
      <c r="M6073" t="s">
        <v>6702</v>
      </c>
      <c r="O6073" t="s">
        <v>6694</v>
      </c>
      <c r="S6073" t="s">
        <v>6694</v>
      </c>
      <c r="W6073" t="s">
        <v>6720</v>
      </c>
    </row>
    <row r="6074" spans="1:23" ht="15.6" x14ac:dyDescent="0.4">
      <c r="A6074" s="2" t="s">
        <v>5486</v>
      </c>
      <c r="B6074" s="5" t="s">
        <v>12032</v>
      </c>
      <c r="C6074" s="7" t="s">
        <v>12556</v>
      </c>
      <c r="D6074" s="8">
        <f t="shared" si="380"/>
        <v>1</v>
      </c>
      <c r="E6074" s="7" t="s">
        <v>12557</v>
      </c>
      <c r="F6074" s="7">
        <f t="shared" si="381"/>
        <v>0</v>
      </c>
      <c r="G6074" s="7" t="s">
        <v>12558</v>
      </c>
      <c r="H6074" s="7">
        <f t="shared" si="382"/>
        <v>0</v>
      </c>
      <c r="I6074" s="7" cm="1">
        <f t="array" ref="I6074">IFERROR(_xlfn.IFS(M6074="נח",1,M6074="נע ונח",1,M6074="שני שווא נח",2,M6074="שני שוואים בסוף מילה",2,M6074="שני שוואים ברצף",1),"0")</f>
        <v>1</v>
      </c>
      <c r="J6074" s="9">
        <f t="shared" si="383"/>
        <v>4</v>
      </c>
      <c r="K6074" t="s">
        <v>6698</v>
      </c>
      <c r="L6074" t="s">
        <v>6694</v>
      </c>
      <c r="M6074" t="s">
        <v>6705</v>
      </c>
      <c r="O6074" t="s">
        <v>6694</v>
      </c>
      <c r="P6074" t="s">
        <v>6694</v>
      </c>
      <c r="S6074" t="s">
        <v>6694</v>
      </c>
      <c r="W6074" t="s">
        <v>6720</v>
      </c>
    </row>
    <row r="6075" spans="1:23" ht="15.6" x14ac:dyDescent="0.4">
      <c r="A6075" s="2" t="s">
        <v>6168</v>
      </c>
      <c r="B6075" s="5" t="s">
        <v>12032</v>
      </c>
      <c r="C6075" s="7" t="s">
        <v>12556</v>
      </c>
      <c r="D6075" s="8">
        <f t="shared" si="380"/>
        <v>1</v>
      </c>
      <c r="E6075" s="7" t="s">
        <v>12557</v>
      </c>
      <c r="F6075" s="7">
        <f t="shared" si="381"/>
        <v>0</v>
      </c>
      <c r="G6075" s="7" t="s">
        <v>12558</v>
      </c>
      <c r="H6075" s="7">
        <f t="shared" si="382"/>
        <v>0</v>
      </c>
      <c r="I6075" s="7" cm="1">
        <f t="array" ref="I6075">IFERROR(_xlfn.IFS(M6075="נח",1,M6075="נע ונח",1,M6075="שני שווא נח",2,M6075="שני שוואים בסוף מילה",2,M6075="שני שוואים ברצף",1),"0")</f>
        <v>1</v>
      </c>
      <c r="J6075" s="9">
        <f t="shared" si="383"/>
        <v>4</v>
      </c>
      <c r="K6075" t="s">
        <v>6698</v>
      </c>
      <c r="L6075" t="s">
        <v>6694</v>
      </c>
      <c r="M6075" t="s">
        <v>6705</v>
      </c>
      <c r="N6075" t="s">
        <v>6706</v>
      </c>
      <c r="O6075" t="s">
        <v>6694</v>
      </c>
      <c r="S6075" t="s">
        <v>6694</v>
      </c>
      <c r="W6075" t="s">
        <v>6720</v>
      </c>
    </row>
    <row r="6076" spans="1:23" ht="15.6" x14ac:dyDescent="0.4">
      <c r="A6076" s="2" t="s">
        <v>2622</v>
      </c>
      <c r="B6076" s="5" t="s">
        <v>12033</v>
      </c>
      <c r="C6076" s="7" t="s">
        <v>12556</v>
      </c>
      <c r="D6076" s="8">
        <f t="shared" si="380"/>
        <v>1</v>
      </c>
      <c r="E6076" s="7" t="s">
        <v>12557</v>
      </c>
      <c r="F6076" s="7">
        <f t="shared" si="381"/>
        <v>1</v>
      </c>
      <c r="G6076" s="7" t="s">
        <v>12558</v>
      </c>
      <c r="H6076" s="7">
        <f t="shared" si="382"/>
        <v>0</v>
      </c>
      <c r="I6076" s="7" cm="1">
        <f t="array" ref="I6076">IFERROR(_xlfn.IFS(M6076="נח",1,M6076="נע ונח",1,M6076="שני שווא נח",2,M6076="שני שוואים בסוף מילה",2,M6076="שני שוואים ברצף",1),"0")</f>
        <v>1</v>
      </c>
      <c r="J6076" s="9">
        <f t="shared" si="383"/>
        <v>2</v>
      </c>
      <c r="K6076" t="s">
        <v>6697</v>
      </c>
      <c r="L6076" t="s">
        <v>6694</v>
      </c>
      <c r="M6076" t="s">
        <v>6705</v>
      </c>
      <c r="S6076" t="s">
        <v>6694</v>
      </c>
      <c r="W6076" t="s">
        <v>6720</v>
      </c>
    </row>
    <row r="6077" spans="1:23" ht="15.6" x14ac:dyDescent="0.4">
      <c r="A6077" s="2" t="s">
        <v>438</v>
      </c>
      <c r="B6077" s="5" t="s">
        <v>12034</v>
      </c>
      <c r="C6077" s="7" t="s">
        <v>12556</v>
      </c>
      <c r="D6077" s="8">
        <f t="shared" si="380"/>
        <v>1</v>
      </c>
      <c r="E6077" s="7" t="s">
        <v>12557</v>
      </c>
      <c r="F6077" s="7">
        <f t="shared" si="381"/>
        <v>1</v>
      </c>
      <c r="G6077" s="7" t="s">
        <v>12558</v>
      </c>
      <c r="H6077" s="7">
        <f t="shared" si="382"/>
        <v>0</v>
      </c>
      <c r="I6077" s="7" cm="1">
        <f t="array" ref="I6077">IFERROR(_xlfn.IFS(M6077="נח",1,M6077="נע ונח",1,M6077="שני שווא נח",2,M6077="שני שוואים בסוף מילה",2,M6077="שני שוואים ברצף",1),"0")</f>
        <v>1</v>
      </c>
      <c r="J6077" s="9">
        <f t="shared" si="383"/>
        <v>2</v>
      </c>
      <c r="K6077" t="s">
        <v>6697</v>
      </c>
      <c r="L6077" t="s">
        <v>6694</v>
      </c>
      <c r="M6077" t="s">
        <v>6705</v>
      </c>
      <c r="S6077" t="s">
        <v>6694</v>
      </c>
      <c r="V6077" t="s">
        <v>6694</v>
      </c>
      <c r="W6077" t="s">
        <v>6720</v>
      </c>
    </row>
    <row r="6078" spans="1:23" ht="15.6" x14ac:dyDescent="0.4">
      <c r="A6078" s="2" t="s">
        <v>1555</v>
      </c>
      <c r="B6078" s="5" t="s">
        <v>11994</v>
      </c>
      <c r="C6078" s="7" t="s">
        <v>12556</v>
      </c>
      <c r="D6078" s="8">
        <f t="shared" si="380"/>
        <v>1</v>
      </c>
      <c r="E6078" s="7" t="s">
        <v>12557</v>
      </c>
      <c r="F6078" s="7">
        <f t="shared" si="381"/>
        <v>1</v>
      </c>
      <c r="G6078" s="7" t="s">
        <v>12558</v>
      </c>
      <c r="H6078" s="7">
        <f t="shared" si="382"/>
        <v>0</v>
      </c>
      <c r="I6078" s="7" t="str" cm="1">
        <f t="array" ref="I6078">IFERROR(_xlfn.IFS(M6078="נח",1,M6078="נע ונח",1,M6078="שני שווא נח",2,M6078="שני שוואים בסוף מילה",2,M6078="שני שוואים ברצף",1),"0")</f>
        <v>0</v>
      </c>
      <c r="J6078" s="9">
        <f t="shared" si="383"/>
        <v>2</v>
      </c>
      <c r="K6078" t="s">
        <v>6698</v>
      </c>
      <c r="L6078" t="s">
        <v>6695</v>
      </c>
      <c r="P6078" t="s">
        <v>6694</v>
      </c>
      <c r="S6078" t="s">
        <v>6694</v>
      </c>
      <c r="W6078" t="s">
        <v>6720</v>
      </c>
    </row>
    <row r="6079" spans="1:23" ht="15.6" x14ac:dyDescent="0.4">
      <c r="A6079" s="2" t="s">
        <v>5669</v>
      </c>
      <c r="B6079" s="5" t="s">
        <v>12035</v>
      </c>
      <c r="C6079" s="7" t="s">
        <v>12556</v>
      </c>
      <c r="D6079" s="8">
        <f t="shared" si="380"/>
        <v>1</v>
      </c>
      <c r="E6079" s="7" t="s">
        <v>12557</v>
      </c>
      <c r="F6079" s="7">
        <f t="shared" si="381"/>
        <v>2</v>
      </c>
      <c r="G6079" s="7" t="s">
        <v>12558</v>
      </c>
      <c r="H6079" s="7">
        <f t="shared" si="382"/>
        <v>0</v>
      </c>
      <c r="I6079" s="7" cm="1">
        <f t="array" ref="I6079">IFERROR(_xlfn.IFS(M6079="נח",1,M6079="נע ונח",1,M6079="שני שווא נח",2,M6079="שני שוואים בסוף מילה",2,M6079="שני שוואים ברצף",1),"0")</f>
        <v>1</v>
      </c>
      <c r="J6079" s="9">
        <f t="shared" si="383"/>
        <v>3</v>
      </c>
      <c r="K6079" t="s">
        <v>6698</v>
      </c>
      <c r="L6079" t="s">
        <v>6694</v>
      </c>
      <c r="M6079" t="s">
        <v>6705</v>
      </c>
      <c r="O6079" t="s">
        <v>6694</v>
      </c>
      <c r="P6079" t="s">
        <v>6694</v>
      </c>
      <c r="S6079" t="s">
        <v>6694</v>
      </c>
      <c r="W6079" t="s">
        <v>6720</v>
      </c>
    </row>
    <row r="6080" spans="1:23" ht="15.6" x14ac:dyDescent="0.4">
      <c r="A6080" s="2" t="s">
        <v>4611</v>
      </c>
      <c r="B6080" s="5" t="s">
        <v>12036</v>
      </c>
      <c r="C6080" s="7" t="s">
        <v>12556</v>
      </c>
      <c r="D6080" s="8">
        <f t="shared" si="380"/>
        <v>1</v>
      </c>
      <c r="E6080" s="7" t="s">
        <v>12557</v>
      </c>
      <c r="F6080" s="7">
        <f t="shared" si="381"/>
        <v>1</v>
      </c>
      <c r="G6080" s="7" t="s">
        <v>12558</v>
      </c>
      <c r="H6080" s="7">
        <f t="shared" si="382"/>
        <v>0</v>
      </c>
      <c r="I6080" s="7" t="str" cm="1">
        <f t="array" ref="I6080">IFERROR(_xlfn.IFS(M6080="נח",1,M6080="נע ונח",1,M6080="שני שווא נח",2,M6080="שני שוואים בסוף מילה",2,M6080="שני שוואים ברצף",1),"0")</f>
        <v>0</v>
      </c>
      <c r="J6080" s="9">
        <f t="shared" si="383"/>
        <v>3</v>
      </c>
      <c r="K6080" t="s">
        <v>6698</v>
      </c>
      <c r="L6080" t="s">
        <v>6695</v>
      </c>
      <c r="R6080" t="s">
        <v>6694</v>
      </c>
      <c r="S6080" t="s">
        <v>6694</v>
      </c>
      <c r="V6080" t="s">
        <v>6694</v>
      </c>
      <c r="W6080" t="s">
        <v>6720</v>
      </c>
    </row>
    <row r="6081" spans="1:23" ht="15.6" x14ac:dyDescent="0.4">
      <c r="A6081" s="2" t="s">
        <v>3052</v>
      </c>
      <c r="B6081" s="5" t="s">
        <v>12037</v>
      </c>
      <c r="C6081" s="7" t="s">
        <v>12556</v>
      </c>
      <c r="D6081" s="8">
        <f t="shared" si="380"/>
        <v>1</v>
      </c>
      <c r="E6081" s="7" t="s">
        <v>12557</v>
      </c>
      <c r="F6081" s="7">
        <f t="shared" si="381"/>
        <v>1</v>
      </c>
      <c r="G6081" s="7" t="s">
        <v>12558</v>
      </c>
      <c r="H6081" s="7">
        <f t="shared" si="382"/>
        <v>1</v>
      </c>
      <c r="I6081" s="7" t="str" cm="1">
        <f t="array" ref="I6081">IFERROR(_xlfn.IFS(M6081="נח",1,M6081="נע ונח",1,M6081="שני שווא נח",2,M6081="שני שוואים בסוף מילה",2,M6081="שני שוואים ברצף",1),"0")</f>
        <v>0</v>
      </c>
      <c r="J6081" s="9">
        <f t="shared" si="383"/>
        <v>4</v>
      </c>
      <c r="K6081" t="s">
        <v>6697</v>
      </c>
      <c r="L6081" t="s">
        <v>6695</v>
      </c>
      <c r="S6081" t="s">
        <v>6694</v>
      </c>
      <c r="U6081" t="s">
        <v>6694</v>
      </c>
      <c r="W6081" t="s">
        <v>6720</v>
      </c>
    </row>
    <row r="6082" spans="1:23" ht="15.6" x14ac:dyDescent="0.4">
      <c r="A6082" s="2" t="s">
        <v>5258</v>
      </c>
      <c r="B6082" s="5" t="s">
        <v>12038</v>
      </c>
      <c r="C6082" s="7" t="s">
        <v>12556</v>
      </c>
      <c r="D6082" s="8">
        <f t="shared" si="380"/>
        <v>1</v>
      </c>
      <c r="E6082" s="7" t="s">
        <v>12557</v>
      </c>
      <c r="F6082" s="7">
        <f t="shared" si="381"/>
        <v>2</v>
      </c>
      <c r="G6082" s="7" t="s">
        <v>12558</v>
      </c>
      <c r="H6082" s="7">
        <f t="shared" si="382"/>
        <v>1</v>
      </c>
      <c r="I6082" s="7" cm="1">
        <f t="array" ref="I6082">IFERROR(_xlfn.IFS(M6082="נח",1,M6082="נע ונח",1,M6082="שני שווא נח",2,M6082="שני שוואים בסוף מילה",2,M6082="שני שוואים ברצף",1),"0")</f>
        <v>1</v>
      </c>
      <c r="J6082" s="9">
        <f t="shared" si="383"/>
        <v>4</v>
      </c>
      <c r="K6082" t="s">
        <v>6697</v>
      </c>
      <c r="L6082" t="s">
        <v>6694</v>
      </c>
      <c r="M6082" t="s">
        <v>6705</v>
      </c>
      <c r="P6082" t="s">
        <v>6694</v>
      </c>
      <c r="S6082" t="s">
        <v>6694</v>
      </c>
      <c r="U6082" t="s">
        <v>6694</v>
      </c>
      <c r="W6082" t="s">
        <v>6720</v>
      </c>
    </row>
    <row r="6083" spans="1:23" ht="15.6" x14ac:dyDescent="0.4">
      <c r="A6083" s="2" t="s">
        <v>4120</v>
      </c>
      <c r="B6083" s="5" t="s">
        <v>12039</v>
      </c>
      <c r="C6083" s="7" t="s">
        <v>12556</v>
      </c>
      <c r="D6083" s="8">
        <f t="shared" ref="D6083:D6146" si="384">(LEN(B6083)-LEN(SUBSTITUTE(B6083,C6083,"")))</f>
        <v>1</v>
      </c>
      <c r="E6083" s="7" t="s">
        <v>12557</v>
      </c>
      <c r="F6083" s="7">
        <f t="shared" ref="F6083:F6146" si="385">(LEN(A6083)-LEN(SUBSTITUTE(A6083,E6083,"")))</f>
        <v>0</v>
      </c>
      <c r="G6083" s="7" t="s">
        <v>12558</v>
      </c>
      <c r="H6083" s="7">
        <f t="shared" ref="H6083:H6146" si="386">(LEN(A6083)-LEN(SUBSTITUTE(A6083,G6083,"")))/2</f>
        <v>0</v>
      </c>
      <c r="I6083" s="7" t="str" cm="1">
        <f t="array" ref="I6083">IFERROR(_xlfn.IFS(M6083="נח",1,M6083="נע ונח",1,M6083="שני שווא נח",2,M6083="שני שוואים בסוף מילה",2,M6083="שני שוואים ברצף",1),"0")</f>
        <v>0</v>
      </c>
      <c r="J6083" s="9">
        <f t="shared" ref="J6083:J6146" si="387">LEN(A6083)-(LEN(B6083))-D6083-F6083+H6083-I6083</f>
        <v>2</v>
      </c>
      <c r="K6083" t="s">
        <v>6697</v>
      </c>
      <c r="L6083" t="s">
        <v>6695</v>
      </c>
      <c r="O6083" t="s">
        <v>6694</v>
      </c>
      <c r="S6083" t="s">
        <v>6694</v>
      </c>
      <c r="W6083" t="s">
        <v>6720</v>
      </c>
    </row>
    <row r="6084" spans="1:23" ht="15.6" x14ac:dyDescent="0.4">
      <c r="A6084" s="2" t="s">
        <v>1443</v>
      </c>
      <c r="B6084" s="5" t="s">
        <v>12040</v>
      </c>
      <c r="C6084" s="7" t="s">
        <v>12556</v>
      </c>
      <c r="D6084" s="8">
        <f t="shared" si="384"/>
        <v>1</v>
      </c>
      <c r="E6084" s="7" t="s">
        <v>12557</v>
      </c>
      <c r="F6084" s="7">
        <f t="shared" si="385"/>
        <v>0</v>
      </c>
      <c r="G6084" s="7" t="s">
        <v>12558</v>
      </c>
      <c r="H6084" s="7">
        <f t="shared" si="386"/>
        <v>0</v>
      </c>
      <c r="I6084" s="7" t="str" cm="1">
        <f t="array" ref="I6084">IFERROR(_xlfn.IFS(M6084="נח",1,M6084="נע ונח",1,M6084="שני שווא נח",2,M6084="שני שוואים בסוף מילה",2,M6084="שני שוואים ברצף",1),"0")</f>
        <v>0</v>
      </c>
      <c r="J6084" s="9">
        <f t="shared" si="387"/>
        <v>1</v>
      </c>
      <c r="K6084" t="s">
        <v>6698</v>
      </c>
      <c r="L6084" t="s">
        <v>6695</v>
      </c>
      <c r="S6084" t="s">
        <v>6694</v>
      </c>
      <c r="W6084" t="s">
        <v>6720</v>
      </c>
    </row>
    <row r="6085" spans="1:23" ht="15.6" x14ac:dyDescent="0.4">
      <c r="A6085" s="2" t="s">
        <v>3581</v>
      </c>
      <c r="B6085" s="5" t="s">
        <v>12041</v>
      </c>
      <c r="C6085" s="7" t="s">
        <v>12556</v>
      </c>
      <c r="D6085" s="8">
        <f t="shared" si="384"/>
        <v>1</v>
      </c>
      <c r="E6085" s="7" t="s">
        <v>12557</v>
      </c>
      <c r="F6085" s="7">
        <f t="shared" si="385"/>
        <v>0</v>
      </c>
      <c r="G6085" s="7" t="s">
        <v>12558</v>
      </c>
      <c r="H6085" s="7">
        <f t="shared" si="386"/>
        <v>0</v>
      </c>
      <c r="I6085" s="7" t="str" cm="1">
        <f t="array" ref="I6085">IFERROR(_xlfn.IFS(M6085="נח",1,M6085="נע ונח",1,M6085="שני שווא נח",2,M6085="שני שוואים בסוף מילה",2,M6085="שני שוואים ברצף",1),"0")</f>
        <v>0</v>
      </c>
      <c r="J6085" s="9">
        <f t="shared" si="387"/>
        <v>2</v>
      </c>
      <c r="K6085" t="s">
        <v>6697</v>
      </c>
      <c r="L6085" t="s">
        <v>6695</v>
      </c>
      <c r="S6085" t="s">
        <v>6694</v>
      </c>
      <c r="V6085" t="s">
        <v>6694</v>
      </c>
      <c r="W6085" t="s">
        <v>6720</v>
      </c>
    </row>
    <row r="6086" spans="1:23" ht="15.6" x14ac:dyDescent="0.4">
      <c r="A6086" s="2" t="s">
        <v>1442</v>
      </c>
      <c r="B6086" s="5" t="s">
        <v>12041</v>
      </c>
      <c r="C6086" s="7" t="s">
        <v>12556</v>
      </c>
      <c r="D6086" s="8">
        <f t="shared" si="384"/>
        <v>1</v>
      </c>
      <c r="E6086" s="7" t="s">
        <v>12557</v>
      </c>
      <c r="F6086" s="7">
        <f t="shared" si="385"/>
        <v>1</v>
      </c>
      <c r="G6086" s="7" t="s">
        <v>12558</v>
      </c>
      <c r="H6086" s="7">
        <f t="shared" si="386"/>
        <v>1</v>
      </c>
      <c r="I6086" s="7" t="str" cm="1">
        <f t="array" ref="I6086">IFERROR(_xlfn.IFS(M6086="נח",1,M6086="נע ונח",1,M6086="שני שווא נח",2,M6086="שני שוואים בסוף מילה",2,M6086="שני שוואים ברצף",1),"0")</f>
        <v>0</v>
      </c>
      <c r="J6086" s="9">
        <f t="shared" si="387"/>
        <v>2</v>
      </c>
      <c r="K6086" t="s">
        <v>6697</v>
      </c>
      <c r="L6086" t="s">
        <v>6695</v>
      </c>
      <c r="S6086" t="s">
        <v>6694</v>
      </c>
      <c r="U6086" t="s">
        <v>6694</v>
      </c>
      <c r="W6086" t="s">
        <v>6720</v>
      </c>
    </row>
    <row r="6087" spans="1:23" ht="15.6" x14ac:dyDescent="0.4">
      <c r="A6087" s="2" t="s">
        <v>5396</v>
      </c>
      <c r="B6087" s="5" t="s">
        <v>12042</v>
      </c>
      <c r="C6087" s="7" t="s">
        <v>12556</v>
      </c>
      <c r="D6087" s="8">
        <f t="shared" si="384"/>
        <v>1</v>
      </c>
      <c r="E6087" s="7" t="s">
        <v>12557</v>
      </c>
      <c r="F6087" s="7">
        <f t="shared" si="385"/>
        <v>0</v>
      </c>
      <c r="G6087" s="7" t="s">
        <v>12558</v>
      </c>
      <c r="H6087" s="7">
        <f t="shared" si="386"/>
        <v>0</v>
      </c>
      <c r="I6087" s="7" t="str" cm="1">
        <f t="array" ref="I6087">IFERROR(_xlfn.IFS(M6087="נח",1,M6087="נע ונח",1,M6087="שני שווא נח",2,M6087="שני שוואים בסוף מילה",2,M6087="שני שוואים ברצף",1),"0")</f>
        <v>0</v>
      </c>
      <c r="J6087" s="9">
        <f t="shared" si="387"/>
        <v>1</v>
      </c>
      <c r="K6087" t="s">
        <v>6698</v>
      </c>
      <c r="L6087" t="s">
        <v>6695</v>
      </c>
      <c r="S6087" t="s">
        <v>6694</v>
      </c>
      <c r="W6087" t="s">
        <v>6720</v>
      </c>
    </row>
    <row r="6088" spans="1:23" ht="15.6" x14ac:dyDescent="0.4">
      <c r="A6088" s="2" t="s">
        <v>2439</v>
      </c>
      <c r="B6088" s="5" t="s">
        <v>12043</v>
      </c>
      <c r="C6088" s="7" t="s">
        <v>12556</v>
      </c>
      <c r="D6088" s="8">
        <f t="shared" si="384"/>
        <v>1</v>
      </c>
      <c r="E6088" s="7" t="s">
        <v>12557</v>
      </c>
      <c r="F6088" s="7">
        <f t="shared" si="385"/>
        <v>0</v>
      </c>
      <c r="G6088" s="7" t="s">
        <v>12558</v>
      </c>
      <c r="H6088" s="7">
        <f t="shared" si="386"/>
        <v>0</v>
      </c>
      <c r="I6088" s="7" t="str" cm="1">
        <f t="array" ref="I6088">IFERROR(_xlfn.IFS(M6088="נח",1,M6088="נע ונח",1,M6088="שני שווא נח",2,M6088="שני שוואים בסוף מילה",2,M6088="שני שוואים ברצף",1),"0")</f>
        <v>0</v>
      </c>
      <c r="J6088" s="9">
        <f t="shared" si="387"/>
        <v>2</v>
      </c>
      <c r="K6088" t="s">
        <v>6697</v>
      </c>
      <c r="L6088" t="s">
        <v>6695</v>
      </c>
      <c r="O6088" t="s">
        <v>6694</v>
      </c>
      <c r="S6088" t="s">
        <v>6694</v>
      </c>
      <c r="W6088" t="s">
        <v>6720</v>
      </c>
    </row>
    <row r="6089" spans="1:23" ht="15.6" x14ac:dyDescent="0.4">
      <c r="A6089" s="2" t="s">
        <v>4850</v>
      </c>
      <c r="B6089" s="5" t="s">
        <v>12044</v>
      </c>
      <c r="C6089" s="7" t="s">
        <v>12556</v>
      </c>
      <c r="D6089" s="8">
        <f t="shared" si="384"/>
        <v>1</v>
      </c>
      <c r="E6089" s="7" t="s">
        <v>12557</v>
      </c>
      <c r="F6089" s="7">
        <f t="shared" si="385"/>
        <v>0</v>
      </c>
      <c r="G6089" s="7" t="s">
        <v>12558</v>
      </c>
      <c r="H6089" s="7">
        <f t="shared" si="386"/>
        <v>0</v>
      </c>
      <c r="I6089" s="7" cm="1">
        <f t="array" ref="I6089">IFERROR(_xlfn.IFS(M6089="נח",1,M6089="נע ונח",1,M6089="שני שווא נח",2,M6089="שני שוואים בסוף מילה",2,M6089="שני שוואים ברצף",1),"0")</f>
        <v>1</v>
      </c>
      <c r="J6089" s="9">
        <f t="shared" si="387"/>
        <v>2</v>
      </c>
      <c r="K6089" t="s">
        <v>6697</v>
      </c>
      <c r="L6089" t="s">
        <v>6694</v>
      </c>
      <c r="M6089" t="s">
        <v>6705</v>
      </c>
      <c r="S6089" t="s">
        <v>6694</v>
      </c>
      <c r="V6089" t="s">
        <v>6694</v>
      </c>
      <c r="W6089" t="s">
        <v>6720</v>
      </c>
    </row>
    <row r="6090" spans="1:23" ht="15.6" x14ac:dyDescent="0.4">
      <c r="A6090" s="2" t="s">
        <v>5649</v>
      </c>
      <c r="B6090" s="5" t="s">
        <v>12045</v>
      </c>
      <c r="C6090" s="7" t="s">
        <v>12556</v>
      </c>
      <c r="D6090" s="8">
        <f t="shared" si="384"/>
        <v>1</v>
      </c>
      <c r="E6090" s="7" t="s">
        <v>12557</v>
      </c>
      <c r="F6090" s="7">
        <f t="shared" si="385"/>
        <v>1</v>
      </c>
      <c r="G6090" s="7" t="s">
        <v>12558</v>
      </c>
      <c r="H6090" s="7">
        <f t="shared" si="386"/>
        <v>1</v>
      </c>
      <c r="I6090" s="7" cm="1">
        <f t="array" ref="I6090">IFERROR(_xlfn.IFS(M6090="נח",1,M6090="נע ונח",1,M6090="שני שווא נח",2,M6090="שני שוואים בסוף מילה",2,M6090="שני שוואים ברצף",1),"0")</f>
        <v>1</v>
      </c>
      <c r="J6090" s="9">
        <f t="shared" si="387"/>
        <v>2</v>
      </c>
      <c r="K6090" t="s">
        <v>6697</v>
      </c>
      <c r="L6090" t="s">
        <v>6694</v>
      </c>
      <c r="M6090" t="s">
        <v>6705</v>
      </c>
      <c r="S6090" t="s">
        <v>6694</v>
      </c>
      <c r="U6090" t="s">
        <v>6694</v>
      </c>
      <c r="W6090" t="s">
        <v>6720</v>
      </c>
    </row>
    <row r="6091" spans="1:23" ht="15.6" x14ac:dyDescent="0.4">
      <c r="A6091" s="2" t="s">
        <v>907</v>
      </c>
      <c r="B6091" s="5" t="s">
        <v>12010</v>
      </c>
      <c r="C6091" s="7" t="s">
        <v>12556</v>
      </c>
      <c r="D6091" s="8">
        <f t="shared" si="384"/>
        <v>1</v>
      </c>
      <c r="E6091" s="7" t="s">
        <v>12557</v>
      </c>
      <c r="F6091" s="7">
        <f t="shared" si="385"/>
        <v>0</v>
      </c>
      <c r="G6091" s="7" t="s">
        <v>12558</v>
      </c>
      <c r="H6091" s="7">
        <f t="shared" si="386"/>
        <v>0</v>
      </c>
      <c r="I6091" s="7" cm="1">
        <f t="array" ref="I6091">IFERROR(_xlfn.IFS(M6091="נח",1,M6091="נע ונח",1,M6091="שני שווא נח",2,M6091="שני שוואים בסוף מילה",2,M6091="שני שוואים ברצף",1),"0")</f>
        <v>1</v>
      </c>
      <c r="J6091" s="9">
        <f t="shared" si="387"/>
        <v>2</v>
      </c>
      <c r="K6091" t="s">
        <v>6697</v>
      </c>
      <c r="L6091" t="s">
        <v>6694</v>
      </c>
      <c r="M6091" t="s">
        <v>6705</v>
      </c>
      <c r="O6091" t="s">
        <v>6694</v>
      </c>
      <c r="S6091" t="s">
        <v>6694</v>
      </c>
      <c r="W6091" t="s">
        <v>6720</v>
      </c>
    </row>
    <row r="6092" spans="1:23" ht="15.6" x14ac:dyDescent="0.4">
      <c r="A6092" s="2" t="s">
        <v>3719</v>
      </c>
      <c r="B6092" s="5" t="s">
        <v>12046</v>
      </c>
      <c r="C6092" s="7" t="s">
        <v>12556</v>
      </c>
      <c r="D6092" s="8">
        <f t="shared" si="384"/>
        <v>1</v>
      </c>
      <c r="E6092" s="7" t="s">
        <v>12557</v>
      </c>
      <c r="F6092" s="7">
        <f t="shared" si="385"/>
        <v>0</v>
      </c>
      <c r="G6092" s="7" t="s">
        <v>12558</v>
      </c>
      <c r="H6092" s="7">
        <f t="shared" si="386"/>
        <v>0</v>
      </c>
      <c r="I6092" s="7" cm="1">
        <f t="array" ref="I6092">IFERROR(_xlfn.IFS(M6092="נח",1,M6092="נע ונח",1,M6092="שני שווא נח",2,M6092="שני שוואים בסוף מילה",2,M6092="שני שוואים ברצף",1),"0")</f>
        <v>1</v>
      </c>
      <c r="J6092" s="9">
        <f t="shared" si="387"/>
        <v>2</v>
      </c>
      <c r="K6092" t="s">
        <v>6697</v>
      </c>
      <c r="L6092" t="s">
        <v>6694</v>
      </c>
      <c r="M6092" t="s">
        <v>6705</v>
      </c>
      <c r="S6092" t="s">
        <v>6694</v>
      </c>
      <c r="W6092" t="s">
        <v>6720</v>
      </c>
    </row>
    <row r="6093" spans="1:23" ht="15.6" x14ac:dyDescent="0.4">
      <c r="A6093" s="2" t="s">
        <v>3476</v>
      </c>
      <c r="B6093" s="5" t="s">
        <v>12047</v>
      </c>
      <c r="C6093" s="7" t="s">
        <v>12556</v>
      </c>
      <c r="D6093" s="8">
        <f t="shared" si="384"/>
        <v>1</v>
      </c>
      <c r="E6093" s="7" t="s">
        <v>12557</v>
      </c>
      <c r="F6093" s="7">
        <f t="shared" si="385"/>
        <v>0</v>
      </c>
      <c r="G6093" s="7" t="s">
        <v>12558</v>
      </c>
      <c r="H6093" s="7">
        <f t="shared" si="386"/>
        <v>0</v>
      </c>
      <c r="I6093" s="7" cm="1">
        <f t="array" ref="I6093">IFERROR(_xlfn.IFS(M6093="נח",1,M6093="נע ונח",1,M6093="שני שווא נח",2,M6093="שני שוואים בסוף מילה",2,M6093="שני שוואים ברצף",1),"0")</f>
        <v>1</v>
      </c>
      <c r="J6093" s="9">
        <f t="shared" si="387"/>
        <v>2</v>
      </c>
      <c r="K6093" t="s">
        <v>6697</v>
      </c>
      <c r="L6093" t="s">
        <v>6694</v>
      </c>
      <c r="M6093" t="s">
        <v>6705</v>
      </c>
      <c r="O6093" t="s">
        <v>6694</v>
      </c>
      <c r="S6093" t="s">
        <v>6694</v>
      </c>
      <c r="W6093" t="s">
        <v>6720</v>
      </c>
    </row>
    <row r="6094" spans="1:23" ht="15.6" x14ac:dyDescent="0.4">
      <c r="A6094" s="2" t="s">
        <v>2768</v>
      </c>
      <c r="B6094" s="5" t="s">
        <v>12048</v>
      </c>
      <c r="C6094" s="7" t="s">
        <v>12556</v>
      </c>
      <c r="D6094" s="8">
        <f t="shared" si="384"/>
        <v>1</v>
      </c>
      <c r="E6094" s="7" t="s">
        <v>12557</v>
      </c>
      <c r="F6094" s="7">
        <f t="shared" si="385"/>
        <v>1</v>
      </c>
      <c r="G6094" s="7" t="s">
        <v>12558</v>
      </c>
      <c r="H6094" s="7">
        <f t="shared" si="386"/>
        <v>1</v>
      </c>
      <c r="I6094" s="7" cm="1">
        <f t="array" ref="I6094">IFERROR(_xlfn.IFS(M6094="נח",1,M6094="נע ונח",1,M6094="שני שווא נח",2,M6094="שני שוואים בסוף מילה",2,M6094="שני שוואים ברצף",1),"0")</f>
        <v>1</v>
      </c>
      <c r="J6094" s="9">
        <f t="shared" si="387"/>
        <v>2</v>
      </c>
      <c r="K6094" t="s">
        <v>6697</v>
      </c>
      <c r="L6094" t="s">
        <v>6694</v>
      </c>
      <c r="M6094" t="s">
        <v>6705</v>
      </c>
      <c r="S6094" t="s">
        <v>6694</v>
      </c>
      <c r="U6094" t="s">
        <v>6694</v>
      </c>
      <c r="W6094" t="s">
        <v>6720</v>
      </c>
    </row>
    <row r="6095" spans="1:23" ht="15.6" x14ac:dyDescent="0.4">
      <c r="A6095" s="2" t="s">
        <v>4533</v>
      </c>
      <c r="B6095" s="5" t="s">
        <v>12049</v>
      </c>
      <c r="C6095" s="7" t="s">
        <v>12556</v>
      </c>
      <c r="D6095" s="8">
        <f t="shared" si="384"/>
        <v>1</v>
      </c>
      <c r="E6095" s="7" t="s">
        <v>12557</v>
      </c>
      <c r="F6095" s="7">
        <f t="shared" si="385"/>
        <v>0</v>
      </c>
      <c r="G6095" s="7" t="s">
        <v>12558</v>
      </c>
      <c r="H6095" s="7">
        <f t="shared" si="386"/>
        <v>0</v>
      </c>
      <c r="I6095" s="7" cm="1">
        <f t="array" ref="I6095">IFERROR(_xlfn.IFS(M6095="נח",1,M6095="נע ונח",1,M6095="שני שווא נח",2,M6095="שני שוואים בסוף מילה",2,M6095="שני שוואים ברצף",1),"0")</f>
        <v>1</v>
      </c>
      <c r="J6095" s="9">
        <f t="shared" si="387"/>
        <v>2</v>
      </c>
      <c r="K6095" t="s">
        <v>6698</v>
      </c>
      <c r="L6095" t="s">
        <v>6694</v>
      </c>
      <c r="M6095" t="s">
        <v>6705</v>
      </c>
      <c r="N6095" t="s">
        <v>6706</v>
      </c>
      <c r="O6095" t="s">
        <v>6694</v>
      </c>
      <c r="S6095" t="s">
        <v>6694</v>
      </c>
      <c r="W6095" t="s">
        <v>6720</v>
      </c>
    </row>
    <row r="6096" spans="1:23" ht="15.6" x14ac:dyDescent="0.4">
      <c r="A6096" s="2" t="s">
        <v>5211</v>
      </c>
      <c r="B6096" s="5" t="s">
        <v>12050</v>
      </c>
      <c r="C6096" s="7" t="s">
        <v>12556</v>
      </c>
      <c r="D6096" s="8">
        <f t="shared" si="384"/>
        <v>1</v>
      </c>
      <c r="E6096" s="7" t="s">
        <v>12557</v>
      </c>
      <c r="F6096" s="7">
        <f t="shared" si="385"/>
        <v>1</v>
      </c>
      <c r="G6096" s="7" t="s">
        <v>12558</v>
      </c>
      <c r="H6096" s="7">
        <f t="shared" si="386"/>
        <v>0</v>
      </c>
      <c r="I6096" s="7" t="str" cm="1">
        <f t="array" ref="I6096">IFERROR(_xlfn.IFS(M6096="נח",1,M6096="נע ונח",1,M6096="שני שווא נח",2,M6096="שני שוואים בסוף מילה",2,M6096="שני שוואים ברצף",1),"0")</f>
        <v>0</v>
      </c>
      <c r="J6096" s="9">
        <f t="shared" si="387"/>
        <v>2</v>
      </c>
      <c r="K6096" t="s">
        <v>6698</v>
      </c>
      <c r="L6096" t="s">
        <v>6695</v>
      </c>
      <c r="Q6096" t="s">
        <v>6694</v>
      </c>
      <c r="S6096" t="s">
        <v>6694</v>
      </c>
      <c r="W6096" t="s">
        <v>6720</v>
      </c>
    </row>
    <row r="6097" spans="1:23" ht="15.6" x14ac:dyDescent="0.4">
      <c r="A6097" s="2" t="s">
        <v>4112</v>
      </c>
      <c r="B6097" s="5" t="s">
        <v>12051</v>
      </c>
      <c r="C6097" s="7" t="s">
        <v>12556</v>
      </c>
      <c r="D6097" s="8">
        <f t="shared" si="384"/>
        <v>1</v>
      </c>
      <c r="E6097" s="7" t="s">
        <v>12557</v>
      </c>
      <c r="F6097" s="7">
        <f t="shared" si="385"/>
        <v>1</v>
      </c>
      <c r="G6097" s="7" t="s">
        <v>12558</v>
      </c>
      <c r="H6097" s="7">
        <f t="shared" si="386"/>
        <v>0</v>
      </c>
      <c r="I6097" s="7" t="str" cm="1">
        <f t="array" ref="I6097">IFERROR(_xlfn.IFS(M6097="נח",1,M6097="נע ונח",1,M6097="שני שווא נח",2,M6097="שני שוואים בסוף מילה",2,M6097="שני שוואים ברצף",1),"0")</f>
        <v>0</v>
      </c>
      <c r="J6097" s="9">
        <f t="shared" si="387"/>
        <v>3</v>
      </c>
      <c r="K6097" t="s">
        <v>6698</v>
      </c>
      <c r="L6097" t="s">
        <v>6695</v>
      </c>
      <c r="Q6097" t="s">
        <v>6694</v>
      </c>
      <c r="R6097" t="s">
        <v>6694</v>
      </c>
      <c r="S6097" t="s">
        <v>6694</v>
      </c>
      <c r="W6097" t="s">
        <v>6720</v>
      </c>
    </row>
    <row r="6098" spans="1:23" ht="15.6" x14ac:dyDescent="0.4">
      <c r="A6098" s="2" t="s">
        <v>4147</v>
      </c>
      <c r="B6098" s="5" t="s">
        <v>12052</v>
      </c>
      <c r="C6098" s="7" t="s">
        <v>12556</v>
      </c>
      <c r="D6098" s="8">
        <f t="shared" si="384"/>
        <v>1</v>
      </c>
      <c r="E6098" s="7" t="s">
        <v>12557</v>
      </c>
      <c r="F6098" s="7">
        <f t="shared" si="385"/>
        <v>1</v>
      </c>
      <c r="G6098" s="7" t="s">
        <v>12558</v>
      </c>
      <c r="H6098" s="7">
        <f t="shared" si="386"/>
        <v>0</v>
      </c>
      <c r="I6098" s="7" t="str" cm="1">
        <f t="array" ref="I6098">IFERROR(_xlfn.IFS(M6098="נח",1,M6098="נע ונח",1,M6098="שני שווא נח",2,M6098="שני שוואים בסוף מילה",2,M6098="שני שוואים ברצף",1),"0")</f>
        <v>0</v>
      </c>
      <c r="J6098" s="9">
        <f t="shared" si="387"/>
        <v>3</v>
      </c>
      <c r="K6098" t="s">
        <v>6697</v>
      </c>
      <c r="L6098" t="s">
        <v>6695</v>
      </c>
      <c r="Q6098" t="s">
        <v>6694</v>
      </c>
      <c r="S6098" t="s">
        <v>6694</v>
      </c>
      <c r="V6098" t="s">
        <v>6694</v>
      </c>
      <c r="W6098" t="s">
        <v>6720</v>
      </c>
    </row>
    <row r="6099" spans="1:23" ht="15.6" x14ac:dyDescent="0.4">
      <c r="A6099" s="2" t="s">
        <v>1211</v>
      </c>
      <c r="B6099" s="5" t="s">
        <v>12053</v>
      </c>
      <c r="C6099" s="7" t="s">
        <v>12556</v>
      </c>
      <c r="D6099" s="8">
        <f t="shared" si="384"/>
        <v>1</v>
      </c>
      <c r="E6099" s="7" t="s">
        <v>12557</v>
      </c>
      <c r="F6099" s="7">
        <f t="shared" si="385"/>
        <v>1</v>
      </c>
      <c r="G6099" s="7" t="s">
        <v>12558</v>
      </c>
      <c r="H6099" s="7">
        <f t="shared" si="386"/>
        <v>0</v>
      </c>
      <c r="I6099" s="7" t="str" cm="1">
        <f t="array" ref="I6099">IFERROR(_xlfn.IFS(M6099="נח",1,M6099="נע ונח",1,M6099="שני שווא נח",2,M6099="שני שוואים בסוף מילה",2,M6099="שני שוואים ברצף",1),"0")</f>
        <v>0</v>
      </c>
      <c r="J6099" s="9">
        <f t="shared" si="387"/>
        <v>2</v>
      </c>
      <c r="K6099" t="s">
        <v>6698</v>
      </c>
      <c r="L6099" t="s">
        <v>6695</v>
      </c>
      <c r="N6099" t="s">
        <v>6706</v>
      </c>
      <c r="O6099" t="s">
        <v>6694</v>
      </c>
      <c r="S6099" t="s">
        <v>6694</v>
      </c>
      <c r="W6099" t="s">
        <v>6720</v>
      </c>
    </row>
    <row r="6100" spans="1:23" ht="15.6" x14ac:dyDescent="0.4">
      <c r="A6100" s="2" t="s">
        <v>5494</v>
      </c>
      <c r="B6100" s="5" t="s">
        <v>12054</v>
      </c>
      <c r="C6100" s="7" t="s">
        <v>12556</v>
      </c>
      <c r="D6100" s="8">
        <f t="shared" si="384"/>
        <v>1</v>
      </c>
      <c r="E6100" s="7" t="s">
        <v>12557</v>
      </c>
      <c r="F6100" s="7">
        <f t="shared" si="385"/>
        <v>1</v>
      </c>
      <c r="G6100" s="7" t="s">
        <v>12558</v>
      </c>
      <c r="H6100" s="7">
        <f t="shared" si="386"/>
        <v>1</v>
      </c>
      <c r="I6100" s="7" cm="1">
        <f t="array" ref="I6100">IFERROR(_xlfn.IFS(M6100="נח",1,M6100="נע ונח",1,M6100="שני שווא נח",2,M6100="שני שוואים בסוף מילה",2,M6100="שני שוואים ברצף",1),"0")</f>
        <v>1</v>
      </c>
      <c r="J6100" s="9">
        <f t="shared" si="387"/>
        <v>2</v>
      </c>
      <c r="K6100" t="s">
        <v>6697</v>
      </c>
      <c r="L6100" t="s">
        <v>6694</v>
      </c>
      <c r="M6100" t="s">
        <v>6705</v>
      </c>
      <c r="S6100" t="s">
        <v>6694</v>
      </c>
      <c r="U6100" t="s">
        <v>6694</v>
      </c>
      <c r="W6100" t="s">
        <v>6720</v>
      </c>
    </row>
    <row r="6101" spans="1:23" ht="15.6" x14ac:dyDescent="0.4">
      <c r="A6101" s="2" t="s">
        <v>4308</v>
      </c>
      <c r="B6101" s="5" t="s">
        <v>12055</v>
      </c>
      <c r="C6101" s="7" t="s">
        <v>12556</v>
      </c>
      <c r="D6101" s="8">
        <f t="shared" si="384"/>
        <v>1</v>
      </c>
      <c r="E6101" s="7" t="s">
        <v>12557</v>
      </c>
      <c r="F6101" s="7">
        <f t="shared" si="385"/>
        <v>1</v>
      </c>
      <c r="G6101" s="7" t="s">
        <v>12558</v>
      </c>
      <c r="H6101" s="7">
        <f t="shared" si="386"/>
        <v>1</v>
      </c>
      <c r="I6101" s="7" cm="1">
        <f t="array" ref="I6101">IFERROR(_xlfn.IFS(M6101="נח",1,M6101="נע ונח",1,M6101="שני שווא נח",2,M6101="שני שוואים בסוף מילה",2,M6101="שני שוואים ברצף",1),"0")</f>
        <v>1</v>
      </c>
      <c r="J6101" s="9">
        <f t="shared" si="387"/>
        <v>2</v>
      </c>
      <c r="K6101" t="s">
        <v>6697</v>
      </c>
      <c r="L6101" t="s">
        <v>6694</v>
      </c>
      <c r="M6101" t="s">
        <v>6705</v>
      </c>
      <c r="S6101" t="s">
        <v>6694</v>
      </c>
      <c r="U6101" t="s">
        <v>6694</v>
      </c>
      <c r="W6101" t="s">
        <v>6720</v>
      </c>
    </row>
    <row r="6102" spans="1:23" ht="15.6" x14ac:dyDescent="0.4">
      <c r="A6102" s="2" t="s">
        <v>5906</v>
      </c>
      <c r="B6102" s="5" t="s">
        <v>12056</v>
      </c>
      <c r="C6102" s="7" t="s">
        <v>12556</v>
      </c>
      <c r="D6102" s="8">
        <f t="shared" si="384"/>
        <v>1</v>
      </c>
      <c r="E6102" s="7" t="s">
        <v>12557</v>
      </c>
      <c r="F6102" s="7">
        <f t="shared" si="385"/>
        <v>1</v>
      </c>
      <c r="G6102" s="7" t="s">
        <v>12558</v>
      </c>
      <c r="H6102" s="7">
        <f t="shared" si="386"/>
        <v>0</v>
      </c>
      <c r="I6102" s="7" t="str" cm="1">
        <f t="array" ref="I6102">IFERROR(_xlfn.IFS(M6102="נח",1,M6102="נע ונח",1,M6102="שני שווא נח",2,M6102="שני שוואים בסוף מילה",2,M6102="שני שוואים ברצף",1),"0")</f>
        <v>0</v>
      </c>
      <c r="J6102" s="9">
        <f t="shared" si="387"/>
        <v>2</v>
      </c>
      <c r="K6102" t="s">
        <v>6698</v>
      </c>
      <c r="L6102" t="s">
        <v>6695</v>
      </c>
      <c r="P6102" t="s">
        <v>6694</v>
      </c>
      <c r="S6102" t="s">
        <v>6694</v>
      </c>
      <c r="W6102" t="s">
        <v>6720</v>
      </c>
    </row>
    <row r="6103" spans="1:23" ht="15.6" x14ac:dyDescent="0.4">
      <c r="A6103" s="2" t="s">
        <v>3653</v>
      </c>
      <c r="B6103" s="5" t="s">
        <v>12057</v>
      </c>
      <c r="C6103" s="7" t="s">
        <v>12556</v>
      </c>
      <c r="D6103" s="8">
        <f t="shared" si="384"/>
        <v>1</v>
      </c>
      <c r="E6103" s="7" t="s">
        <v>12557</v>
      </c>
      <c r="F6103" s="7">
        <f t="shared" si="385"/>
        <v>2</v>
      </c>
      <c r="G6103" s="7" t="s">
        <v>12558</v>
      </c>
      <c r="H6103" s="7">
        <f t="shared" si="386"/>
        <v>1</v>
      </c>
      <c r="I6103" s="7" cm="1">
        <f t="array" ref="I6103">IFERROR(_xlfn.IFS(M6103="נח",1,M6103="נע ונח",1,M6103="שני שווא נח",2,M6103="שני שוואים בסוף מילה",2,M6103="שני שוואים ברצף",1),"0")</f>
        <v>1</v>
      </c>
      <c r="J6103" s="9">
        <f t="shared" si="387"/>
        <v>3</v>
      </c>
      <c r="K6103" t="s">
        <v>6697</v>
      </c>
      <c r="L6103" t="s">
        <v>6694</v>
      </c>
      <c r="M6103" t="s">
        <v>6705</v>
      </c>
      <c r="P6103" t="s">
        <v>6694</v>
      </c>
      <c r="S6103" t="s">
        <v>6694</v>
      </c>
      <c r="U6103" t="s">
        <v>6694</v>
      </c>
      <c r="W6103" t="s">
        <v>6720</v>
      </c>
    </row>
    <row r="6104" spans="1:23" ht="15.6" x14ac:dyDescent="0.4">
      <c r="A6104" s="2" t="s">
        <v>2867</v>
      </c>
      <c r="B6104" s="5" t="s">
        <v>12058</v>
      </c>
      <c r="C6104" s="7" t="s">
        <v>12556</v>
      </c>
      <c r="D6104" s="8">
        <f t="shared" si="384"/>
        <v>1</v>
      </c>
      <c r="E6104" s="7" t="s">
        <v>12557</v>
      </c>
      <c r="F6104" s="7">
        <f t="shared" si="385"/>
        <v>0</v>
      </c>
      <c r="G6104" s="7" t="s">
        <v>12558</v>
      </c>
      <c r="H6104" s="7">
        <f t="shared" si="386"/>
        <v>0</v>
      </c>
      <c r="I6104" s="7" t="str" cm="1">
        <f t="array" ref="I6104">IFERROR(_xlfn.IFS(M6104="נח",1,M6104="נע ונח",1,M6104="שני שווא נח",2,M6104="שני שוואים בסוף מילה",2,M6104="שני שוואים ברצף",1),"0")</f>
        <v>0</v>
      </c>
      <c r="J6104" s="9">
        <f t="shared" si="387"/>
        <v>1</v>
      </c>
      <c r="K6104" t="s">
        <v>6698</v>
      </c>
      <c r="L6104" t="s">
        <v>6695</v>
      </c>
      <c r="Q6104" t="s">
        <v>6694</v>
      </c>
      <c r="W6104" t="s">
        <v>6720</v>
      </c>
    </row>
    <row r="6105" spans="1:23" ht="15.6" x14ac:dyDescent="0.4">
      <c r="A6105" s="2" t="s">
        <v>3700</v>
      </c>
      <c r="B6105" s="5" t="s">
        <v>12059</v>
      </c>
      <c r="C6105" s="7" t="s">
        <v>12556</v>
      </c>
      <c r="D6105" s="8">
        <f t="shared" si="384"/>
        <v>1</v>
      </c>
      <c r="E6105" s="7" t="s">
        <v>12557</v>
      </c>
      <c r="F6105" s="7">
        <f t="shared" si="385"/>
        <v>0</v>
      </c>
      <c r="G6105" s="7" t="s">
        <v>12558</v>
      </c>
      <c r="H6105" s="7">
        <f t="shared" si="386"/>
        <v>0</v>
      </c>
      <c r="I6105" s="7" t="str" cm="1">
        <f t="array" ref="I6105">IFERROR(_xlfn.IFS(M6105="נח",1,M6105="נע ונח",1,M6105="שני שווא נח",2,M6105="שני שוואים בסוף מילה",2,M6105="שני שוואים ברצף",1),"0")</f>
        <v>0</v>
      </c>
      <c r="J6105" s="9">
        <f t="shared" si="387"/>
        <v>2</v>
      </c>
      <c r="K6105" t="s">
        <v>6698</v>
      </c>
      <c r="L6105" t="s">
        <v>6695</v>
      </c>
      <c r="Q6105" t="s">
        <v>6694</v>
      </c>
      <c r="R6105" t="s">
        <v>6694</v>
      </c>
      <c r="W6105" t="s">
        <v>6720</v>
      </c>
    </row>
    <row r="6106" spans="1:23" ht="15.6" x14ac:dyDescent="0.4">
      <c r="A6106" s="2" t="s">
        <v>3716</v>
      </c>
      <c r="B6106" s="5" t="s">
        <v>12060</v>
      </c>
      <c r="C6106" s="7" t="s">
        <v>12556</v>
      </c>
      <c r="D6106" s="8">
        <f t="shared" si="384"/>
        <v>1</v>
      </c>
      <c r="E6106" s="7" t="s">
        <v>12557</v>
      </c>
      <c r="F6106" s="7">
        <f t="shared" si="385"/>
        <v>0</v>
      </c>
      <c r="G6106" s="7" t="s">
        <v>12558</v>
      </c>
      <c r="H6106" s="7">
        <f t="shared" si="386"/>
        <v>0</v>
      </c>
      <c r="I6106" s="7" t="str" cm="1">
        <f t="array" ref="I6106">IFERROR(_xlfn.IFS(M6106="נח",1,M6106="נע ונח",1,M6106="שני שווא נח",2,M6106="שני שוואים בסוף מילה",2,M6106="שני שוואים ברצף",1),"0")</f>
        <v>0</v>
      </c>
      <c r="J6106" s="9">
        <f t="shared" si="387"/>
        <v>2</v>
      </c>
      <c r="K6106" t="s">
        <v>6698</v>
      </c>
      <c r="L6106" t="s">
        <v>6695</v>
      </c>
      <c r="P6106" t="s">
        <v>6694</v>
      </c>
      <c r="Q6106" t="s">
        <v>6694</v>
      </c>
      <c r="W6106" t="s">
        <v>6720</v>
      </c>
    </row>
    <row r="6107" spans="1:23" ht="15.6" x14ac:dyDescent="0.4">
      <c r="A6107" s="2" t="s">
        <v>6497</v>
      </c>
      <c r="B6107" s="5" t="s">
        <v>12061</v>
      </c>
      <c r="C6107" s="7" t="s">
        <v>12556</v>
      </c>
      <c r="D6107" s="8">
        <f t="shared" si="384"/>
        <v>1</v>
      </c>
      <c r="E6107" s="7" t="s">
        <v>12557</v>
      </c>
      <c r="F6107" s="7">
        <f t="shared" si="385"/>
        <v>0</v>
      </c>
      <c r="G6107" s="7" t="s">
        <v>12558</v>
      </c>
      <c r="H6107" s="7">
        <f t="shared" si="386"/>
        <v>0</v>
      </c>
      <c r="I6107" s="7" t="str" cm="1">
        <f t="array" ref="I6107">IFERROR(_xlfn.IFS(M6107="נח",1,M6107="נע ונח",1,M6107="שני שווא נח",2,M6107="שני שוואים בסוף מילה",2,M6107="שני שוואים ברצף",1),"0")</f>
        <v>0</v>
      </c>
      <c r="J6107" s="9">
        <f t="shared" si="387"/>
        <v>2</v>
      </c>
      <c r="K6107" t="s">
        <v>6698</v>
      </c>
      <c r="L6107" t="s">
        <v>6695</v>
      </c>
      <c r="N6107" t="s">
        <v>6706</v>
      </c>
      <c r="O6107" t="s">
        <v>6694</v>
      </c>
      <c r="Q6107" t="s">
        <v>6694</v>
      </c>
      <c r="W6107" t="s">
        <v>6720</v>
      </c>
    </row>
    <row r="6108" spans="1:23" ht="15.6" x14ac:dyDescent="0.4">
      <c r="A6108" s="2" t="s">
        <v>1216</v>
      </c>
      <c r="B6108" s="5" t="s">
        <v>12062</v>
      </c>
      <c r="C6108" s="7" t="s">
        <v>12556</v>
      </c>
      <c r="D6108" s="8">
        <f t="shared" si="384"/>
        <v>1</v>
      </c>
      <c r="E6108" s="7" t="s">
        <v>12557</v>
      </c>
      <c r="F6108" s="7">
        <f t="shared" si="385"/>
        <v>0</v>
      </c>
      <c r="G6108" s="7" t="s">
        <v>12558</v>
      </c>
      <c r="H6108" s="7">
        <f t="shared" si="386"/>
        <v>0</v>
      </c>
      <c r="I6108" s="7" t="str" cm="1">
        <f t="array" ref="I6108">IFERROR(_xlfn.IFS(M6108="נח",1,M6108="נע ונח",1,M6108="שני שווא נח",2,M6108="שני שוואים בסוף מילה",2,M6108="שני שוואים ברצף",1),"0")</f>
        <v>0</v>
      </c>
      <c r="J6108" s="9">
        <f t="shared" si="387"/>
        <v>1</v>
      </c>
      <c r="K6108" t="s">
        <v>6698</v>
      </c>
      <c r="L6108" t="s">
        <v>6695</v>
      </c>
      <c r="Q6108" t="s">
        <v>6694</v>
      </c>
      <c r="W6108" t="s">
        <v>6720</v>
      </c>
    </row>
    <row r="6109" spans="1:23" ht="15.6" x14ac:dyDescent="0.4">
      <c r="A6109" s="2" t="s">
        <v>1345</v>
      </c>
      <c r="B6109" s="5" t="s">
        <v>12063</v>
      </c>
      <c r="C6109" s="7" t="s">
        <v>12556</v>
      </c>
      <c r="D6109" s="8">
        <f t="shared" si="384"/>
        <v>1</v>
      </c>
      <c r="E6109" s="7" t="s">
        <v>12557</v>
      </c>
      <c r="F6109" s="7">
        <f t="shared" si="385"/>
        <v>0</v>
      </c>
      <c r="G6109" s="7" t="s">
        <v>12558</v>
      </c>
      <c r="H6109" s="7">
        <f t="shared" si="386"/>
        <v>0</v>
      </c>
      <c r="I6109" s="7" t="str" cm="1">
        <f t="array" ref="I6109">IFERROR(_xlfn.IFS(M6109="נח",1,M6109="נע ונח",1,M6109="שני שווא נח",2,M6109="שני שוואים בסוף מילה",2,M6109="שני שוואים ברצף",1),"0")</f>
        <v>0</v>
      </c>
      <c r="J6109" s="9">
        <f t="shared" si="387"/>
        <v>2</v>
      </c>
      <c r="K6109" t="s">
        <v>6698</v>
      </c>
      <c r="L6109" t="s">
        <v>6695</v>
      </c>
      <c r="Q6109" t="s">
        <v>6694</v>
      </c>
      <c r="V6109" t="s">
        <v>6694</v>
      </c>
      <c r="W6109" t="s">
        <v>6720</v>
      </c>
    </row>
    <row r="6110" spans="1:23" ht="15.6" x14ac:dyDescent="0.4">
      <c r="A6110" s="2" t="s">
        <v>3713</v>
      </c>
      <c r="B6110" s="5" t="s">
        <v>12064</v>
      </c>
      <c r="C6110" s="7" t="s">
        <v>12556</v>
      </c>
      <c r="D6110" s="8">
        <f t="shared" si="384"/>
        <v>1</v>
      </c>
      <c r="E6110" s="7" t="s">
        <v>12557</v>
      </c>
      <c r="F6110" s="7">
        <f t="shared" si="385"/>
        <v>0</v>
      </c>
      <c r="G6110" s="7" t="s">
        <v>12558</v>
      </c>
      <c r="H6110" s="7">
        <f t="shared" si="386"/>
        <v>0</v>
      </c>
      <c r="I6110" s="7" t="str" cm="1">
        <f t="array" ref="I6110">IFERROR(_xlfn.IFS(M6110="נח",1,M6110="נע ונח",1,M6110="שני שווא נח",2,M6110="שני שוואים בסוף מילה",2,M6110="שני שוואים ברצף",1),"0")</f>
        <v>0</v>
      </c>
      <c r="J6110" s="9">
        <f t="shared" si="387"/>
        <v>1</v>
      </c>
      <c r="K6110" t="s">
        <v>6698</v>
      </c>
      <c r="L6110" t="s">
        <v>6695</v>
      </c>
      <c r="Q6110" t="s">
        <v>6694</v>
      </c>
      <c r="W6110" t="s">
        <v>6720</v>
      </c>
    </row>
    <row r="6111" spans="1:23" ht="15.6" x14ac:dyDescent="0.4">
      <c r="A6111" s="2" t="s">
        <v>1070</v>
      </c>
      <c r="B6111" s="5" t="s">
        <v>12065</v>
      </c>
      <c r="C6111" s="7" t="s">
        <v>12556</v>
      </c>
      <c r="D6111" s="8">
        <f t="shared" si="384"/>
        <v>1</v>
      </c>
      <c r="E6111" s="7" t="s">
        <v>12557</v>
      </c>
      <c r="F6111" s="7">
        <f t="shared" si="385"/>
        <v>0</v>
      </c>
      <c r="G6111" s="7" t="s">
        <v>12558</v>
      </c>
      <c r="H6111" s="7">
        <f t="shared" si="386"/>
        <v>0</v>
      </c>
      <c r="I6111" s="7" t="str" cm="1">
        <f t="array" ref="I6111">IFERROR(_xlfn.IFS(M6111="נח",1,M6111="נע ונח",1,M6111="שני שווא נח",2,M6111="שני שוואים בסוף מילה",2,M6111="שני שוואים ברצף",1),"0")</f>
        <v>0</v>
      </c>
      <c r="J6111" s="9">
        <f t="shared" si="387"/>
        <v>4</v>
      </c>
      <c r="K6111" t="s">
        <v>6698</v>
      </c>
      <c r="L6111" t="s">
        <v>6695</v>
      </c>
      <c r="N6111" t="s">
        <v>6706</v>
      </c>
      <c r="O6111" t="s">
        <v>6694</v>
      </c>
      <c r="R6111" t="s">
        <v>6694</v>
      </c>
      <c r="W6111" t="s">
        <v>6720</v>
      </c>
    </row>
    <row r="6112" spans="1:23" ht="15.6" x14ac:dyDescent="0.4">
      <c r="A6112" s="2" t="s">
        <v>1307</v>
      </c>
      <c r="B6112" s="5" t="s">
        <v>12066</v>
      </c>
      <c r="C6112" s="7" t="s">
        <v>12556</v>
      </c>
      <c r="D6112" s="8">
        <f t="shared" si="384"/>
        <v>1</v>
      </c>
      <c r="E6112" s="7" t="s">
        <v>12557</v>
      </c>
      <c r="F6112" s="7">
        <f t="shared" si="385"/>
        <v>0</v>
      </c>
      <c r="G6112" s="7" t="s">
        <v>12558</v>
      </c>
      <c r="H6112" s="7">
        <f t="shared" si="386"/>
        <v>0</v>
      </c>
      <c r="I6112" s="7" t="str" cm="1">
        <f t="array" ref="I6112">IFERROR(_xlfn.IFS(M6112="נח",1,M6112="נע ונח",1,M6112="שני שווא נח",2,M6112="שני שוואים בסוף מילה",2,M6112="שני שוואים ברצף",1),"0")</f>
        <v>0</v>
      </c>
      <c r="J6112" s="9">
        <f t="shared" si="387"/>
        <v>2</v>
      </c>
      <c r="K6112" t="s">
        <v>6698</v>
      </c>
      <c r="L6112" t="s">
        <v>6695</v>
      </c>
      <c r="Q6112" t="s">
        <v>6694</v>
      </c>
      <c r="R6112" t="s">
        <v>6694</v>
      </c>
      <c r="W6112" t="s">
        <v>6720</v>
      </c>
    </row>
    <row r="6113" spans="1:23" ht="15.6" x14ac:dyDescent="0.4">
      <c r="A6113" s="2" t="s">
        <v>1314</v>
      </c>
      <c r="B6113" s="5" t="s">
        <v>11987</v>
      </c>
      <c r="C6113" s="7" t="s">
        <v>12556</v>
      </c>
      <c r="D6113" s="8">
        <f t="shared" si="384"/>
        <v>1</v>
      </c>
      <c r="E6113" s="7" t="s">
        <v>12557</v>
      </c>
      <c r="F6113" s="7">
        <f t="shared" si="385"/>
        <v>0</v>
      </c>
      <c r="G6113" s="7" t="s">
        <v>12558</v>
      </c>
      <c r="H6113" s="7">
        <f t="shared" si="386"/>
        <v>0</v>
      </c>
      <c r="I6113" s="7" t="str" cm="1">
        <f t="array" ref="I6113">IFERROR(_xlfn.IFS(M6113="נח",1,M6113="נע ונח",1,M6113="שני שווא נח",2,M6113="שני שוואים בסוף מילה",2,M6113="שני שוואים ברצף",1),"0")</f>
        <v>0</v>
      </c>
      <c r="J6113" s="9">
        <f t="shared" si="387"/>
        <v>2</v>
      </c>
      <c r="K6113" t="s">
        <v>6698</v>
      </c>
      <c r="L6113" t="s">
        <v>6695</v>
      </c>
      <c r="Q6113" t="s">
        <v>6694</v>
      </c>
      <c r="R6113" t="s">
        <v>6694</v>
      </c>
      <c r="W6113" t="s">
        <v>6720</v>
      </c>
    </row>
    <row r="6114" spans="1:23" ht="15.6" x14ac:dyDescent="0.4">
      <c r="A6114" s="2" t="s">
        <v>1799</v>
      </c>
      <c r="B6114" s="5" t="s">
        <v>12067</v>
      </c>
      <c r="C6114" s="7" t="s">
        <v>12556</v>
      </c>
      <c r="D6114" s="8">
        <f t="shared" si="384"/>
        <v>2</v>
      </c>
      <c r="E6114" s="7" t="s">
        <v>12557</v>
      </c>
      <c r="F6114" s="7">
        <f t="shared" si="385"/>
        <v>2</v>
      </c>
      <c r="G6114" s="7" t="s">
        <v>12558</v>
      </c>
      <c r="H6114" s="7">
        <f t="shared" si="386"/>
        <v>1</v>
      </c>
      <c r="I6114" s="7" cm="1">
        <f t="array" ref="I6114">IFERROR(_xlfn.IFS(M6114="נח",1,M6114="נע ונח",1,M6114="שני שווא נח",2,M6114="שני שוואים בסוף מילה",2,M6114="שני שוואים ברצף",1),"0")</f>
        <v>2</v>
      </c>
      <c r="J6114" s="9">
        <f t="shared" si="387"/>
        <v>4</v>
      </c>
      <c r="K6114" t="s">
        <v>6697</v>
      </c>
      <c r="L6114" t="s">
        <v>6694</v>
      </c>
      <c r="M6114" t="s">
        <v>6704</v>
      </c>
      <c r="Q6114" t="s">
        <v>6694</v>
      </c>
      <c r="R6114" t="s">
        <v>6694</v>
      </c>
      <c r="S6114" t="s">
        <v>6694</v>
      </c>
      <c r="U6114" t="s">
        <v>6694</v>
      </c>
      <c r="W6114" t="s">
        <v>6720</v>
      </c>
    </row>
    <row r="6115" spans="1:23" ht="15.6" x14ac:dyDescent="0.4">
      <c r="A6115" s="2" t="s">
        <v>5948</v>
      </c>
      <c r="B6115" s="5" t="s">
        <v>12068</v>
      </c>
      <c r="C6115" s="7" t="s">
        <v>12556</v>
      </c>
      <c r="D6115" s="8">
        <f t="shared" si="384"/>
        <v>1</v>
      </c>
      <c r="E6115" s="7" t="s">
        <v>12557</v>
      </c>
      <c r="F6115" s="7">
        <f t="shared" si="385"/>
        <v>2</v>
      </c>
      <c r="G6115" s="7" t="s">
        <v>12558</v>
      </c>
      <c r="H6115" s="7">
        <f t="shared" si="386"/>
        <v>0</v>
      </c>
      <c r="I6115" s="7" cm="1">
        <f t="array" ref="I6115">IFERROR(_xlfn.IFS(M6115="נח",1,M6115="נע ונח",1,M6115="שני שווא נח",2,M6115="שני שוואים בסוף מילה",2,M6115="שני שוואים ברצף",1),"0")</f>
        <v>2</v>
      </c>
      <c r="J6115" s="9">
        <f t="shared" si="387"/>
        <v>3</v>
      </c>
      <c r="K6115" t="s">
        <v>6698</v>
      </c>
      <c r="L6115" t="s">
        <v>6694</v>
      </c>
      <c r="M6115" t="s">
        <v>6717</v>
      </c>
      <c r="O6115" t="s">
        <v>6694</v>
      </c>
      <c r="P6115" t="s">
        <v>6694</v>
      </c>
      <c r="R6115" t="s">
        <v>6694</v>
      </c>
      <c r="W6115" t="s">
        <v>6720</v>
      </c>
    </row>
    <row r="6116" spans="1:23" ht="15.6" x14ac:dyDescent="0.4">
      <c r="A6116" s="2" t="s">
        <v>1255</v>
      </c>
      <c r="B6116" s="5" t="s">
        <v>12069</v>
      </c>
      <c r="C6116" s="7" t="s">
        <v>12556</v>
      </c>
      <c r="D6116" s="8">
        <f t="shared" si="384"/>
        <v>1</v>
      </c>
      <c r="E6116" s="7" t="s">
        <v>12557</v>
      </c>
      <c r="F6116" s="7">
        <f t="shared" si="385"/>
        <v>1</v>
      </c>
      <c r="G6116" s="7" t="s">
        <v>12558</v>
      </c>
      <c r="H6116" s="7">
        <f t="shared" si="386"/>
        <v>0</v>
      </c>
      <c r="I6116" s="7" t="str" cm="1">
        <f t="array" ref="I6116">IFERROR(_xlfn.IFS(M6116="נח",1,M6116="נע ונח",1,M6116="שני שווא נח",2,M6116="שני שוואים בסוף מילה",2,M6116="שני שוואים ברצף",1),"0")</f>
        <v>0</v>
      </c>
      <c r="J6116" s="9">
        <f t="shared" si="387"/>
        <v>3</v>
      </c>
      <c r="K6116" t="s">
        <v>6697</v>
      </c>
      <c r="L6116" t="s">
        <v>6695</v>
      </c>
      <c r="O6116" t="s">
        <v>6694</v>
      </c>
      <c r="R6116" t="s">
        <v>6694</v>
      </c>
      <c r="S6116" t="s">
        <v>6694</v>
      </c>
      <c r="W6116" t="s">
        <v>6720</v>
      </c>
    </row>
    <row r="6117" spans="1:23" ht="15.6" x14ac:dyDescent="0.4">
      <c r="A6117" s="2" t="s">
        <v>5946</v>
      </c>
      <c r="B6117" s="5" t="s">
        <v>12070</v>
      </c>
      <c r="C6117" s="7" t="s">
        <v>12556</v>
      </c>
      <c r="D6117" s="8">
        <f t="shared" si="384"/>
        <v>2</v>
      </c>
      <c r="E6117" s="7" t="s">
        <v>12557</v>
      </c>
      <c r="F6117" s="7">
        <f t="shared" si="385"/>
        <v>1</v>
      </c>
      <c r="G6117" s="7" t="s">
        <v>12558</v>
      </c>
      <c r="H6117" s="7">
        <f t="shared" si="386"/>
        <v>0</v>
      </c>
      <c r="I6117" s="7" cm="1">
        <f t="array" ref="I6117">IFERROR(_xlfn.IFS(M6117="נח",1,M6117="נע ונח",1,M6117="שני שווא נח",2,M6117="שני שוואים בסוף מילה",2,M6117="שני שוואים ברצף",1),"0")</f>
        <v>1</v>
      </c>
      <c r="J6117" s="9">
        <f t="shared" si="387"/>
        <v>3</v>
      </c>
      <c r="K6117" t="s">
        <v>6698</v>
      </c>
      <c r="L6117" t="s">
        <v>6694</v>
      </c>
      <c r="M6117" t="s">
        <v>6705</v>
      </c>
      <c r="P6117" t="s">
        <v>6694</v>
      </c>
      <c r="R6117" t="s">
        <v>6694</v>
      </c>
      <c r="W6117" t="s">
        <v>6720</v>
      </c>
    </row>
    <row r="6118" spans="1:23" ht="15.6" x14ac:dyDescent="0.4">
      <c r="A6118" s="2" t="s">
        <v>5949</v>
      </c>
      <c r="B6118" s="5" t="s">
        <v>12071</v>
      </c>
      <c r="C6118" s="7" t="s">
        <v>12556</v>
      </c>
      <c r="D6118" s="8">
        <f t="shared" si="384"/>
        <v>1</v>
      </c>
      <c r="E6118" s="7" t="s">
        <v>12557</v>
      </c>
      <c r="F6118" s="7">
        <f t="shared" si="385"/>
        <v>1</v>
      </c>
      <c r="G6118" s="7" t="s">
        <v>12558</v>
      </c>
      <c r="H6118" s="7">
        <f t="shared" si="386"/>
        <v>0</v>
      </c>
      <c r="I6118" s="7" t="str" cm="1">
        <f t="array" ref="I6118">IFERROR(_xlfn.IFS(M6118="נח",1,M6118="נע ונח",1,M6118="שני שווא נח",2,M6118="שני שוואים בסוף מילה",2,M6118="שני שוואים ברצף",1),"0")</f>
        <v>0</v>
      </c>
      <c r="J6118" s="9">
        <f t="shared" si="387"/>
        <v>3</v>
      </c>
      <c r="K6118" t="s">
        <v>6698</v>
      </c>
      <c r="L6118" t="s">
        <v>6695</v>
      </c>
      <c r="Q6118" t="s">
        <v>6694</v>
      </c>
      <c r="R6118" t="s">
        <v>6694</v>
      </c>
      <c r="V6118" t="s">
        <v>6694</v>
      </c>
      <c r="W6118" t="s">
        <v>6720</v>
      </c>
    </row>
    <row r="6119" spans="1:23" ht="15.6" x14ac:dyDescent="0.4">
      <c r="A6119" s="2" t="s">
        <v>3345</v>
      </c>
      <c r="B6119" s="5" t="s">
        <v>12001</v>
      </c>
      <c r="C6119" s="7" t="s">
        <v>12556</v>
      </c>
      <c r="D6119" s="8">
        <f t="shared" si="384"/>
        <v>1</v>
      </c>
      <c r="E6119" s="7" t="s">
        <v>12557</v>
      </c>
      <c r="F6119" s="7">
        <f t="shared" si="385"/>
        <v>0</v>
      </c>
      <c r="G6119" s="7" t="s">
        <v>12558</v>
      </c>
      <c r="H6119" s="7">
        <f t="shared" si="386"/>
        <v>0</v>
      </c>
      <c r="I6119" s="7" t="str" cm="1">
        <f t="array" ref="I6119">IFERROR(_xlfn.IFS(M6119="נח",1,M6119="נע ונח",1,M6119="שני שווא נח",2,M6119="שני שוואים בסוף מילה",2,M6119="שני שוואים ברצף",1),"0")</f>
        <v>0</v>
      </c>
      <c r="J6119" s="9">
        <f t="shared" si="387"/>
        <v>2</v>
      </c>
      <c r="K6119" t="s">
        <v>6698</v>
      </c>
      <c r="L6119" t="s">
        <v>6695</v>
      </c>
      <c r="R6119" t="s">
        <v>6694</v>
      </c>
      <c r="W6119" t="s">
        <v>6720</v>
      </c>
    </row>
    <row r="6120" spans="1:23" ht="15.6" x14ac:dyDescent="0.4">
      <c r="A6120" s="2" t="s">
        <v>2961</v>
      </c>
      <c r="B6120" s="5" t="s">
        <v>12072</v>
      </c>
      <c r="C6120" s="7" t="s">
        <v>12556</v>
      </c>
      <c r="D6120" s="8">
        <f t="shared" si="384"/>
        <v>1</v>
      </c>
      <c r="E6120" s="7" t="s">
        <v>12557</v>
      </c>
      <c r="F6120" s="7">
        <f t="shared" si="385"/>
        <v>1</v>
      </c>
      <c r="G6120" s="7" t="s">
        <v>12558</v>
      </c>
      <c r="H6120" s="7">
        <f t="shared" si="386"/>
        <v>0</v>
      </c>
      <c r="I6120" s="7" t="str" cm="1">
        <f t="array" ref="I6120">IFERROR(_xlfn.IFS(M6120="נח",1,M6120="נע ונח",1,M6120="שני שווא נח",2,M6120="שני שוואים בסוף מילה",2,M6120="שני שוואים ברצף",1),"0")</f>
        <v>0</v>
      </c>
      <c r="J6120" s="9">
        <f t="shared" si="387"/>
        <v>3</v>
      </c>
      <c r="K6120" t="s">
        <v>6697</v>
      </c>
      <c r="L6120" t="s">
        <v>6695</v>
      </c>
      <c r="O6120" t="s">
        <v>6694</v>
      </c>
      <c r="R6120" t="s">
        <v>6694</v>
      </c>
      <c r="W6120" t="s">
        <v>6720</v>
      </c>
    </row>
    <row r="6121" spans="1:23" ht="15.6" x14ac:dyDescent="0.4">
      <c r="A6121" s="2" t="s">
        <v>1387</v>
      </c>
      <c r="B6121" s="5" t="s">
        <v>12073</v>
      </c>
      <c r="C6121" s="7" t="s">
        <v>12556</v>
      </c>
      <c r="D6121" s="8">
        <f t="shared" si="384"/>
        <v>1</v>
      </c>
      <c r="E6121" s="7" t="s">
        <v>12557</v>
      </c>
      <c r="F6121" s="7">
        <f t="shared" si="385"/>
        <v>0</v>
      </c>
      <c r="G6121" s="7" t="s">
        <v>12558</v>
      </c>
      <c r="H6121" s="7">
        <f t="shared" si="386"/>
        <v>0</v>
      </c>
      <c r="I6121" s="7" t="str" cm="1">
        <f t="array" ref="I6121">IFERROR(_xlfn.IFS(M6121="נח",1,M6121="נע ונח",1,M6121="שני שווא נח",2,M6121="שני שוואים בסוף מילה",2,M6121="שני שוואים ברצף",1),"0")</f>
        <v>0</v>
      </c>
      <c r="J6121" s="9">
        <f t="shared" si="387"/>
        <v>2</v>
      </c>
      <c r="K6121" t="s">
        <v>6698</v>
      </c>
      <c r="L6121" t="s">
        <v>6695</v>
      </c>
      <c r="R6121" t="s">
        <v>6694</v>
      </c>
      <c r="W6121" t="s">
        <v>6720</v>
      </c>
    </row>
    <row r="6122" spans="1:23" ht="15.6" x14ac:dyDescent="0.4">
      <c r="A6122" s="2" t="s">
        <v>3706</v>
      </c>
      <c r="B6122" s="5" t="s">
        <v>12074</v>
      </c>
      <c r="C6122" s="7" t="s">
        <v>12556</v>
      </c>
      <c r="D6122" s="8">
        <f t="shared" si="384"/>
        <v>1</v>
      </c>
      <c r="E6122" s="7" t="s">
        <v>12557</v>
      </c>
      <c r="F6122" s="7">
        <f t="shared" si="385"/>
        <v>0</v>
      </c>
      <c r="G6122" s="7" t="s">
        <v>12558</v>
      </c>
      <c r="H6122" s="7">
        <f t="shared" si="386"/>
        <v>0</v>
      </c>
      <c r="I6122" s="7" t="str" cm="1">
        <f t="array" ref="I6122">IFERROR(_xlfn.IFS(M6122="נח",1,M6122="נע ונח",1,M6122="שני שווא נח",2,M6122="שני שוואים בסוף מילה",2,M6122="שני שוואים ברצף",1),"0")</f>
        <v>0</v>
      </c>
      <c r="J6122" s="9">
        <f t="shared" si="387"/>
        <v>2</v>
      </c>
      <c r="K6122" t="s">
        <v>6698</v>
      </c>
      <c r="L6122" t="s">
        <v>6695</v>
      </c>
      <c r="R6122" t="s">
        <v>6694</v>
      </c>
      <c r="W6122" t="s">
        <v>6720</v>
      </c>
    </row>
    <row r="6123" spans="1:23" ht="15.6" x14ac:dyDescent="0.4">
      <c r="A6123" s="2" t="s">
        <v>710</v>
      </c>
      <c r="B6123" s="5" t="s">
        <v>12075</v>
      </c>
      <c r="C6123" s="7" t="s">
        <v>12556</v>
      </c>
      <c r="D6123" s="8">
        <f t="shared" si="384"/>
        <v>2</v>
      </c>
      <c r="E6123" s="7" t="s">
        <v>12557</v>
      </c>
      <c r="F6123" s="7">
        <f t="shared" si="385"/>
        <v>0</v>
      </c>
      <c r="G6123" s="7" t="s">
        <v>12558</v>
      </c>
      <c r="H6123" s="7">
        <f t="shared" si="386"/>
        <v>0</v>
      </c>
      <c r="I6123" s="7" t="str" cm="1">
        <f t="array" ref="I6123">IFERROR(_xlfn.IFS(M6123="נח",1,M6123="נע ונח",1,M6123="שני שווא נח",2,M6123="שני שוואים בסוף מילה",2,M6123="שני שוואים ברצף",1),"0")</f>
        <v>0</v>
      </c>
      <c r="J6123" s="9">
        <f t="shared" si="387"/>
        <v>2</v>
      </c>
      <c r="K6123" t="s">
        <v>6698</v>
      </c>
      <c r="L6123" t="s">
        <v>6695</v>
      </c>
      <c r="R6123" t="s">
        <v>6694</v>
      </c>
      <c r="W6123" t="s">
        <v>6720</v>
      </c>
    </row>
    <row r="6124" spans="1:23" ht="15.6" x14ac:dyDescent="0.4">
      <c r="A6124" s="2" t="s">
        <v>1239</v>
      </c>
      <c r="B6124" s="5" t="s">
        <v>12076</v>
      </c>
      <c r="C6124" s="7" t="s">
        <v>12556</v>
      </c>
      <c r="D6124" s="8">
        <f t="shared" si="384"/>
        <v>1</v>
      </c>
      <c r="E6124" s="7" t="s">
        <v>12557</v>
      </c>
      <c r="F6124" s="7">
        <f t="shared" si="385"/>
        <v>0</v>
      </c>
      <c r="G6124" s="7" t="s">
        <v>12558</v>
      </c>
      <c r="H6124" s="7">
        <f t="shared" si="386"/>
        <v>0</v>
      </c>
      <c r="I6124" s="7" cm="1">
        <f t="array" ref="I6124">IFERROR(_xlfn.IFS(M6124="נח",1,M6124="נע ונח",1,M6124="שני שווא נח",2,M6124="שני שוואים בסוף מילה",2,M6124="שני שוואים ברצף",1),"0")</f>
        <v>1</v>
      </c>
      <c r="J6124" s="9">
        <f t="shared" si="387"/>
        <v>3</v>
      </c>
      <c r="K6124" t="s">
        <v>6698</v>
      </c>
      <c r="L6124" t="s">
        <v>6694</v>
      </c>
      <c r="M6124" t="s">
        <v>6705</v>
      </c>
      <c r="R6124" t="s">
        <v>6694</v>
      </c>
      <c r="S6124" t="s">
        <v>6694</v>
      </c>
      <c r="V6124" t="s">
        <v>6694</v>
      </c>
      <c r="W6124" t="s">
        <v>6720</v>
      </c>
    </row>
    <row r="6125" spans="1:23" ht="15.6" x14ac:dyDescent="0.4">
      <c r="A6125" s="2" t="s">
        <v>298</v>
      </c>
      <c r="B6125" s="5" t="s">
        <v>12077</v>
      </c>
      <c r="C6125" s="7" t="s">
        <v>12556</v>
      </c>
      <c r="D6125" s="8">
        <f t="shared" si="384"/>
        <v>1</v>
      </c>
      <c r="E6125" s="7" t="s">
        <v>12557</v>
      </c>
      <c r="F6125" s="7">
        <f t="shared" si="385"/>
        <v>0</v>
      </c>
      <c r="G6125" s="7" t="s">
        <v>12558</v>
      </c>
      <c r="H6125" s="7">
        <f t="shared" si="386"/>
        <v>0</v>
      </c>
      <c r="I6125" s="7" t="str" cm="1">
        <f t="array" ref="I6125">IFERROR(_xlfn.IFS(M6125="נח",1,M6125="נע ונח",1,M6125="שני שווא נח",2,M6125="שני שוואים בסוף מילה",2,M6125="שני שוואים ברצף",1),"0")</f>
        <v>0</v>
      </c>
      <c r="J6125" s="9">
        <f t="shared" si="387"/>
        <v>2</v>
      </c>
      <c r="K6125" t="s">
        <v>6698</v>
      </c>
      <c r="L6125" t="s">
        <v>6695</v>
      </c>
      <c r="R6125" t="s">
        <v>6694</v>
      </c>
      <c r="W6125" t="s">
        <v>6720</v>
      </c>
    </row>
    <row r="6126" spans="1:23" ht="15.6" x14ac:dyDescent="0.4">
      <c r="A6126" s="2" t="s">
        <v>6344</v>
      </c>
      <c r="B6126" s="5" t="s">
        <v>12078</v>
      </c>
      <c r="C6126" s="7" t="s">
        <v>12556</v>
      </c>
      <c r="D6126" s="8">
        <f t="shared" si="384"/>
        <v>1</v>
      </c>
      <c r="E6126" s="7" t="s">
        <v>12557</v>
      </c>
      <c r="F6126" s="7">
        <f t="shared" si="385"/>
        <v>0</v>
      </c>
      <c r="G6126" s="7" t="s">
        <v>12558</v>
      </c>
      <c r="H6126" s="7">
        <f t="shared" si="386"/>
        <v>0</v>
      </c>
      <c r="I6126" s="7" t="str" cm="1">
        <f t="array" ref="I6126">IFERROR(_xlfn.IFS(M6126="נח",1,M6126="נע ונח",1,M6126="שני שווא נח",2,M6126="שני שוואים בסוף מילה",2,M6126="שני שוואים ברצף",1),"0")</f>
        <v>0</v>
      </c>
      <c r="J6126" s="9">
        <f t="shared" si="387"/>
        <v>4</v>
      </c>
      <c r="K6126" t="s">
        <v>6697</v>
      </c>
      <c r="L6126" t="s">
        <v>6695</v>
      </c>
      <c r="O6126" t="s">
        <v>6694</v>
      </c>
      <c r="P6126" t="s">
        <v>6694</v>
      </c>
      <c r="S6126" t="s">
        <v>6694</v>
      </c>
      <c r="W6126" t="s">
        <v>6720</v>
      </c>
    </row>
    <row r="6127" spans="1:23" ht="15.6" x14ac:dyDescent="0.4">
      <c r="A6127" s="2" t="s">
        <v>4919</v>
      </c>
      <c r="B6127" s="5" t="s">
        <v>12079</v>
      </c>
      <c r="C6127" s="7" t="s">
        <v>12556</v>
      </c>
      <c r="D6127" s="8">
        <f t="shared" si="384"/>
        <v>1</v>
      </c>
      <c r="E6127" s="7" t="s">
        <v>12557</v>
      </c>
      <c r="F6127" s="7">
        <f t="shared" si="385"/>
        <v>1</v>
      </c>
      <c r="G6127" s="7" t="s">
        <v>12558</v>
      </c>
      <c r="H6127" s="7">
        <f t="shared" si="386"/>
        <v>0</v>
      </c>
      <c r="I6127" s="7" cm="1">
        <f t="array" ref="I6127">IFERROR(_xlfn.IFS(M6127="נח",1,M6127="נע ונח",1,M6127="שני שווא נח",2,M6127="שני שוואים בסוף מילה",2,M6127="שני שוואים ברצף",1),"0")</f>
        <v>1</v>
      </c>
      <c r="J6127" s="9">
        <f t="shared" si="387"/>
        <v>2</v>
      </c>
      <c r="K6127" t="s">
        <v>6698</v>
      </c>
      <c r="L6127" t="s">
        <v>6694</v>
      </c>
      <c r="M6127" t="s">
        <v>6705</v>
      </c>
      <c r="O6127" t="s">
        <v>6694</v>
      </c>
      <c r="P6127" t="s">
        <v>6694</v>
      </c>
      <c r="W6127" t="s">
        <v>6720</v>
      </c>
    </row>
    <row r="6128" spans="1:23" ht="15.6" x14ac:dyDescent="0.4">
      <c r="A6128" s="2" t="s">
        <v>1372</v>
      </c>
      <c r="B6128" s="5" t="s">
        <v>12080</v>
      </c>
      <c r="C6128" s="7" t="s">
        <v>12556</v>
      </c>
      <c r="D6128" s="8">
        <f t="shared" si="384"/>
        <v>1</v>
      </c>
      <c r="E6128" s="7" t="s">
        <v>12557</v>
      </c>
      <c r="F6128" s="7">
        <f t="shared" si="385"/>
        <v>1</v>
      </c>
      <c r="G6128" s="7" t="s">
        <v>12558</v>
      </c>
      <c r="H6128" s="7">
        <f t="shared" si="386"/>
        <v>0</v>
      </c>
      <c r="I6128" s="7" cm="1">
        <f t="array" ref="I6128">IFERROR(_xlfn.IFS(M6128="נח",1,M6128="נע ונח",1,M6128="שני שווא נח",2,M6128="שני שוואים בסוף מילה",2,M6128="שני שוואים ברצף",1),"0")</f>
        <v>1</v>
      </c>
      <c r="J6128" s="9">
        <f t="shared" si="387"/>
        <v>2</v>
      </c>
      <c r="K6128" t="s">
        <v>6697</v>
      </c>
      <c r="L6128" t="s">
        <v>6694</v>
      </c>
      <c r="M6128" t="s">
        <v>6705</v>
      </c>
      <c r="P6128" t="s">
        <v>6694</v>
      </c>
      <c r="S6128" t="s">
        <v>6694</v>
      </c>
      <c r="W6128" t="s">
        <v>6720</v>
      </c>
    </row>
    <row r="6129" spans="1:23" ht="15.6" x14ac:dyDescent="0.4">
      <c r="A6129" s="2" t="s">
        <v>1010</v>
      </c>
      <c r="B6129" s="5" t="s">
        <v>12081</v>
      </c>
      <c r="C6129" s="7" t="s">
        <v>12556</v>
      </c>
      <c r="D6129" s="8">
        <f t="shared" si="384"/>
        <v>1</v>
      </c>
      <c r="E6129" s="7" t="s">
        <v>12557</v>
      </c>
      <c r="F6129" s="7">
        <f t="shared" si="385"/>
        <v>3</v>
      </c>
      <c r="G6129" s="7" t="s">
        <v>12558</v>
      </c>
      <c r="H6129" s="7">
        <f t="shared" si="386"/>
        <v>2</v>
      </c>
      <c r="I6129" s="7" cm="1">
        <f t="array" ref="I6129">IFERROR(_xlfn.IFS(M6129="נח",1,M6129="נע ונח",1,M6129="שני שווא נח",2,M6129="שני שוואים בסוף מילה",2,M6129="שני שוואים ברצף",1),"0")</f>
        <v>1</v>
      </c>
      <c r="J6129" s="9">
        <f t="shared" si="387"/>
        <v>3</v>
      </c>
      <c r="K6129" t="s">
        <v>6697</v>
      </c>
      <c r="L6129" t="s">
        <v>6694</v>
      </c>
      <c r="M6129" t="s">
        <v>6705</v>
      </c>
      <c r="P6129" t="s">
        <v>6694</v>
      </c>
      <c r="U6129" t="s">
        <v>6694</v>
      </c>
      <c r="W6129" t="s">
        <v>6720</v>
      </c>
    </row>
    <row r="6130" spans="1:23" ht="15.6" x14ac:dyDescent="0.4">
      <c r="A6130" s="2" t="s">
        <v>4155</v>
      </c>
      <c r="B6130" s="5" t="s">
        <v>12082</v>
      </c>
      <c r="C6130" s="7" t="s">
        <v>12556</v>
      </c>
      <c r="D6130" s="8">
        <f t="shared" si="384"/>
        <v>1</v>
      </c>
      <c r="E6130" s="7" t="s">
        <v>12557</v>
      </c>
      <c r="F6130" s="7">
        <f t="shared" si="385"/>
        <v>2</v>
      </c>
      <c r="G6130" s="7" t="s">
        <v>12558</v>
      </c>
      <c r="H6130" s="7">
        <f t="shared" si="386"/>
        <v>1</v>
      </c>
      <c r="I6130" s="7" cm="1">
        <f t="array" ref="I6130">IFERROR(_xlfn.IFS(M6130="נח",1,M6130="נע ונח",1,M6130="שני שווא נח",2,M6130="שני שוואים בסוף מילה",2,M6130="שני שוואים ברצף",1),"0")</f>
        <v>1</v>
      </c>
      <c r="J6130" s="9">
        <f t="shared" si="387"/>
        <v>2</v>
      </c>
      <c r="K6130" t="s">
        <v>6698</v>
      </c>
      <c r="L6130" t="s">
        <v>6694</v>
      </c>
      <c r="M6130" t="s">
        <v>6705</v>
      </c>
      <c r="P6130" t="s">
        <v>6694</v>
      </c>
      <c r="U6130" t="s">
        <v>6694</v>
      </c>
      <c r="W6130" t="s">
        <v>6720</v>
      </c>
    </row>
    <row r="6131" spans="1:23" ht="15.6" x14ac:dyDescent="0.4">
      <c r="A6131" s="2" t="s">
        <v>2298</v>
      </c>
      <c r="B6131" s="5" t="s">
        <v>11997</v>
      </c>
      <c r="C6131" s="7" t="s">
        <v>12556</v>
      </c>
      <c r="D6131" s="8">
        <f t="shared" si="384"/>
        <v>1</v>
      </c>
      <c r="E6131" s="7" t="s">
        <v>12557</v>
      </c>
      <c r="F6131" s="7">
        <f t="shared" si="385"/>
        <v>1</v>
      </c>
      <c r="G6131" s="7" t="s">
        <v>12558</v>
      </c>
      <c r="H6131" s="7">
        <f t="shared" si="386"/>
        <v>0</v>
      </c>
      <c r="I6131" s="7" t="str" cm="1">
        <f t="array" ref="I6131">IFERROR(_xlfn.IFS(M6131="נח",1,M6131="נע ונח",1,M6131="שני שווא נח",2,M6131="שני שוואים בסוף מילה",2,M6131="שני שוואים ברצף",1),"0")</f>
        <v>0</v>
      </c>
      <c r="J6131" s="9">
        <f t="shared" si="387"/>
        <v>2</v>
      </c>
      <c r="K6131" t="s">
        <v>6698</v>
      </c>
      <c r="L6131" t="s">
        <v>6695</v>
      </c>
      <c r="P6131" t="s">
        <v>6694</v>
      </c>
      <c r="W6131" t="s">
        <v>6720</v>
      </c>
    </row>
    <row r="6132" spans="1:23" ht="15.6" x14ac:dyDescent="0.4">
      <c r="A6132" s="2" t="s">
        <v>5627</v>
      </c>
      <c r="B6132" s="5" t="s">
        <v>12083</v>
      </c>
      <c r="C6132" s="7" t="s">
        <v>12556</v>
      </c>
      <c r="D6132" s="8">
        <f t="shared" si="384"/>
        <v>1</v>
      </c>
      <c r="E6132" s="7" t="s">
        <v>12557</v>
      </c>
      <c r="F6132" s="7">
        <f t="shared" si="385"/>
        <v>2</v>
      </c>
      <c r="G6132" s="7" t="s">
        <v>12558</v>
      </c>
      <c r="H6132" s="7">
        <f t="shared" si="386"/>
        <v>1</v>
      </c>
      <c r="I6132" s="7" t="str" cm="1">
        <f t="array" ref="I6132">IFERROR(_xlfn.IFS(M6132="נח",1,M6132="נע ונח",1,M6132="שני שווא נח",2,M6132="שני שוואים בסוף מילה",2,M6132="שני שוואים ברצף",1),"0")</f>
        <v>0</v>
      </c>
      <c r="J6132" s="9">
        <f t="shared" si="387"/>
        <v>3</v>
      </c>
      <c r="K6132" t="s">
        <v>6697</v>
      </c>
      <c r="L6132" t="s">
        <v>6695</v>
      </c>
      <c r="P6132" t="s">
        <v>6694</v>
      </c>
      <c r="S6132" t="s">
        <v>6694</v>
      </c>
      <c r="U6132" t="s">
        <v>6694</v>
      </c>
      <c r="W6132" t="s">
        <v>6720</v>
      </c>
    </row>
    <row r="6133" spans="1:23" ht="15.6" x14ac:dyDescent="0.4">
      <c r="A6133" s="2" t="s">
        <v>3156</v>
      </c>
      <c r="B6133" s="5" t="s">
        <v>12084</v>
      </c>
      <c r="C6133" s="7" t="s">
        <v>12556</v>
      </c>
      <c r="D6133" s="8">
        <f t="shared" si="384"/>
        <v>1</v>
      </c>
      <c r="E6133" s="7" t="s">
        <v>12557</v>
      </c>
      <c r="F6133" s="7">
        <f t="shared" si="385"/>
        <v>0</v>
      </c>
      <c r="G6133" s="7" t="s">
        <v>12558</v>
      </c>
      <c r="H6133" s="7">
        <f t="shared" si="386"/>
        <v>0</v>
      </c>
      <c r="I6133" s="7" cm="1">
        <f t="array" ref="I6133">IFERROR(_xlfn.IFS(M6133="נח",1,M6133="נע ונח",1,M6133="שני שווא נח",2,M6133="שני שוואים בסוף מילה",2,M6133="שני שוואים ברצף",1),"0")</f>
        <v>1</v>
      </c>
      <c r="J6133" s="9">
        <f t="shared" si="387"/>
        <v>2</v>
      </c>
      <c r="K6133" t="s">
        <v>6697</v>
      </c>
      <c r="L6133" t="s">
        <v>6694</v>
      </c>
      <c r="M6133" t="s">
        <v>6705</v>
      </c>
      <c r="P6133" t="s">
        <v>6694</v>
      </c>
      <c r="S6133" t="s">
        <v>6694</v>
      </c>
      <c r="W6133" t="s">
        <v>6720</v>
      </c>
    </row>
    <row r="6134" spans="1:23" ht="15.6" x14ac:dyDescent="0.4">
      <c r="A6134" s="2" t="s">
        <v>6361</v>
      </c>
      <c r="B6134" s="5" t="s">
        <v>12038</v>
      </c>
      <c r="C6134" s="7" t="s">
        <v>12556</v>
      </c>
      <c r="D6134" s="8">
        <f t="shared" si="384"/>
        <v>1</v>
      </c>
      <c r="E6134" s="7" t="s">
        <v>12557</v>
      </c>
      <c r="F6134" s="7">
        <f t="shared" si="385"/>
        <v>0</v>
      </c>
      <c r="G6134" s="7" t="s">
        <v>12558</v>
      </c>
      <c r="H6134" s="7">
        <f t="shared" si="386"/>
        <v>0</v>
      </c>
      <c r="I6134" s="7" cm="1">
        <f t="array" ref="I6134">IFERROR(_xlfn.IFS(M6134="נח",1,M6134="נע ונח",1,M6134="שני שווא נח",2,M6134="שני שוואים בסוף מילה",2,M6134="שני שוואים ברצף",1),"0")</f>
        <v>1</v>
      </c>
      <c r="J6134" s="9">
        <f t="shared" si="387"/>
        <v>3</v>
      </c>
      <c r="K6134" t="s">
        <v>6697</v>
      </c>
      <c r="L6134" t="s">
        <v>6694</v>
      </c>
      <c r="M6134" t="s">
        <v>6705</v>
      </c>
      <c r="O6134" t="s">
        <v>6694</v>
      </c>
      <c r="P6134" t="s">
        <v>6694</v>
      </c>
      <c r="S6134" t="s">
        <v>6694</v>
      </c>
      <c r="W6134" t="s">
        <v>6720</v>
      </c>
    </row>
    <row r="6135" spans="1:23" ht="15.6" x14ac:dyDescent="0.4">
      <c r="A6135" s="2" t="s">
        <v>6271</v>
      </c>
      <c r="B6135" s="5" t="s">
        <v>12085</v>
      </c>
      <c r="C6135" s="7" t="s">
        <v>12556</v>
      </c>
      <c r="D6135" s="8">
        <f t="shared" si="384"/>
        <v>1</v>
      </c>
      <c r="E6135" s="7" t="s">
        <v>12557</v>
      </c>
      <c r="F6135" s="7">
        <f t="shared" si="385"/>
        <v>0</v>
      </c>
      <c r="G6135" s="7" t="s">
        <v>12558</v>
      </c>
      <c r="H6135" s="7">
        <f t="shared" si="386"/>
        <v>0</v>
      </c>
      <c r="I6135" s="7" cm="1">
        <f t="array" ref="I6135">IFERROR(_xlfn.IFS(M6135="נח",1,M6135="נע ונח",1,M6135="שני שווא נח",2,M6135="שני שוואים בסוף מילה",2,M6135="שני שוואים ברצף",1),"0")</f>
        <v>1</v>
      </c>
      <c r="J6135" s="9">
        <f t="shared" si="387"/>
        <v>3</v>
      </c>
      <c r="K6135" t="s">
        <v>6698</v>
      </c>
      <c r="L6135" t="s">
        <v>6694</v>
      </c>
      <c r="M6135" t="s">
        <v>6705</v>
      </c>
      <c r="N6135" t="s">
        <v>6706</v>
      </c>
      <c r="O6135" t="s">
        <v>6694</v>
      </c>
      <c r="P6135" t="s">
        <v>6694</v>
      </c>
      <c r="W6135" t="s">
        <v>6720</v>
      </c>
    </row>
    <row r="6136" spans="1:23" ht="15.6" x14ac:dyDescent="0.4">
      <c r="A6136" s="2" t="s">
        <v>2340</v>
      </c>
      <c r="B6136" s="5" t="s">
        <v>12086</v>
      </c>
      <c r="C6136" s="7" t="s">
        <v>12556</v>
      </c>
      <c r="D6136" s="8">
        <f t="shared" si="384"/>
        <v>1</v>
      </c>
      <c r="E6136" s="7" t="s">
        <v>12557</v>
      </c>
      <c r="F6136" s="7">
        <f t="shared" si="385"/>
        <v>0</v>
      </c>
      <c r="G6136" s="7" t="s">
        <v>12558</v>
      </c>
      <c r="H6136" s="7">
        <f t="shared" si="386"/>
        <v>0</v>
      </c>
      <c r="I6136" s="7" t="str" cm="1">
        <f t="array" ref="I6136">IFERROR(_xlfn.IFS(M6136="נח",1,M6136="נע ונח",1,M6136="שני שווא נח",2,M6136="שני שוואים בסוף מילה",2,M6136="שני שוואים ברצף",1),"0")</f>
        <v>0</v>
      </c>
      <c r="J6136" s="9">
        <f t="shared" si="387"/>
        <v>2</v>
      </c>
      <c r="K6136" t="s">
        <v>6698</v>
      </c>
      <c r="L6136" t="s">
        <v>6695</v>
      </c>
      <c r="P6136" t="s">
        <v>6694</v>
      </c>
      <c r="W6136" t="s">
        <v>6720</v>
      </c>
    </row>
    <row r="6137" spans="1:23" ht="15.6" x14ac:dyDescent="0.4">
      <c r="A6137" s="2" t="s">
        <v>970</v>
      </c>
      <c r="B6137" s="5" t="s">
        <v>12087</v>
      </c>
      <c r="C6137" s="7" t="s">
        <v>12556</v>
      </c>
      <c r="D6137" s="8">
        <f t="shared" si="384"/>
        <v>1</v>
      </c>
      <c r="E6137" s="7" t="s">
        <v>12557</v>
      </c>
      <c r="F6137" s="7">
        <f t="shared" si="385"/>
        <v>0</v>
      </c>
      <c r="G6137" s="7" t="s">
        <v>12558</v>
      </c>
      <c r="H6137" s="7">
        <f t="shared" si="386"/>
        <v>0</v>
      </c>
      <c r="I6137" s="7" t="str" cm="1">
        <f t="array" ref="I6137">IFERROR(_xlfn.IFS(M6137="נח",1,M6137="נע ונח",1,M6137="שני שווא נח",2,M6137="שני שוואים בסוף מילה",2,M6137="שני שוואים ברצף",1),"0")</f>
        <v>0</v>
      </c>
      <c r="J6137" s="9">
        <f t="shared" si="387"/>
        <v>2</v>
      </c>
      <c r="K6137" t="s">
        <v>6698</v>
      </c>
      <c r="L6137" t="s">
        <v>6695</v>
      </c>
      <c r="P6137" t="s">
        <v>6694</v>
      </c>
      <c r="W6137" t="s">
        <v>6720</v>
      </c>
    </row>
    <row r="6138" spans="1:23" ht="15.6" x14ac:dyDescent="0.4">
      <c r="A6138" s="2" t="s">
        <v>5281</v>
      </c>
      <c r="B6138" s="5" t="s">
        <v>12088</v>
      </c>
      <c r="C6138" s="7" t="s">
        <v>12556</v>
      </c>
      <c r="D6138" s="8">
        <f t="shared" si="384"/>
        <v>1</v>
      </c>
      <c r="E6138" s="7" t="s">
        <v>12557</v>
      </c>
      <c r="F6138" s="7">
        <f t="shared" si="385"/>
        <v>0</v>
      </c>
      <c r="G6138" s="7" t="s">
        <v>12558</v>
      </c>
      <c r="H6138" s="7">
        <f t="shared" si="386"/>
        <v>0</v>
      </c>
      <c r="I6138" s="7" t="str" cm="1">
        <f t="array" ref="I6138">IFERROR(_xlfn.IFS(M6138="נח",1,M6138="נע ונח",1,M6138="שני שווא נח",2,M6138="שני שוואים בסוף מילה",2,M6138="שני שוואים ברצף",1),"0")</f>
        <v>0</v>
      </c>
      <c r="J6138" s="9">
        <f t="shared" si="387"/>
        <v>3</v>
      </c>
      <c r="K6138" t="s">
        <v>6697</v>
      </c>
      <c r="L6138" t="s">
        <v>6695</v>
      </c>
      <c r="P6138" t="s">
        <v>6694</v>
      </c>
      <c r="S6138" t="s">
        <v>6694</v>
      </c>
      <c r="V6138" t="s">
        <v>6694</v>
      </c>
      <c r="W6138" t="s">
        <v>6720</v>
      </c>
    </row>
    <row r="6139" spans="1:23" ht="15.6" x14ac:dyDescent="0.4">
      <c r="A6139" s="2" t="s">
        <v>6065</v>
      </c>
      <c r="B6139" s="5" t="s">
        <v>12089</v>
      </c>
      <c r="C6139" s="7" t="s">
        <v>12556</v>
      </c>
      <c r="D6139" s="8">
        <f t="shared" si="384"/>
        <v>1</v>
      </c>
      <c r="E6139" s="7" t="s">
        <v>12557</v>
      </c>
      <c r="F6139" s="7">
        <f t="shared" si="385"/>
        <v>0</v>
      </c>
      <c r="G6139" s="7" t="s">
        <v>12558</v>
      </c>
      <c r="H6139" s="7">
        <f t="shared" si="386"/>
        <v>0</v>
      </c>
      <c r="I6139" s="7" t="str" cm="1">
        <f t="array" ref="I6139">IFERROR(_xlfn.IFS(M6139="נח",1,M6139="נע ונח",1,M6139="שני שווא נח",2,M6139="שני שוואים בסוף מילה",2,M6139="שני שוואים ברצף",1),"0")</f>
        <v>0</v>
      </c>
      <c r="J6139" s="9">
        <f t="shared" si="387"/>
        <v>3</v>
      </c>
      <c r="K6139" t="s">
        <v>6697</v>
      </c>
      <c r="L6139" t="s">
        <v>6695</v>
      </c>
      <c r="P6139" t="s">
        <v>6694</v>
      </c>
      <c r="S6139" t="s">
        <v>6694</v>
      </c>
      <c r="V6139" t="s">
        <v>6694</v>
      </c>
      <c r="W6139" t="s">
        <v>6720</v>
      </c>
    </row>
    <row r="6140" spans="1:23" ht="15.6" x14ac:dyDescent="0.4">
      <c r="A6140" s="2" t="s">
        <v>4717</v>
      </c>
      <c r="B6140" s="5" t="s">
        <v>12090</v>
      </c>
      <c r="C6140" s="7" t="s">
        <v>12556</v>
      </c>
      <c r="D6140" s="8">
        <f t="shared" si="384"/>
        <v>1</v>
      </c>
      <c r="E6140" s="7" t="s">
        <v>12557</v>
      </c>
      <c r="F6140" s="7">
        <f t="shared" si="385"/>
        <v>0</v>
      </c>
      <c r="G6140" s="7" t="s">
        <v>12558</v>
      </c>
      <c r="H6140" s="7">
        <f t="shared" si="386"/>
        <v>0</v>
      </c>
      <c r="I6140" s="7" t="str" cm="1">
        <f t="array" ref="I6140">IFERROR(_xlfn.IFS(M6140="נח",1,M6140="נע ונח",1,M6140="שני שווא נח",2,M6140="שני שוואים בסוף מילה",2,M6140="שני שוואים ברצף",1),"0")</f>
        <v>0</v>
      </c>
      <c r="J6140" s="9">
        <f t="shared" si="387"/>
        <v>1</v>
      </c>
      <c r="K6140" t="s">
        <v>6698</v>
      </c>
      <c r="L6140" t="s">
        <v>6695</v>
      </c>
      <c r="P6140" t="s">
        <v>6694</v>
      </c>
      <c r="W6140" t="s">
        <v>6720</v>
      </c>
    </row>
    <row r="6141" spans="1:23" ht="15.6" x14ac:dyDescent="0.4">
      <c r="A6141" s="2" t="s">
        <v>3787</v>
      </c>
      <c r="B6141" s="5" t="s">
        <v>12063</v>
      </c>
      <c r="C6141" s="7" t="s">
        <v>12556</v>
      </c>
      <c r="D6141" s="8">
        <f t="shared" si="384"/>
        <v>1</v>
      </c>
      <c r="E6141" s="7" t="s">
        <v>12557</v>
      </c>
      <c r="F6141" s="7">
        <f t="shared" si="385"/>
        <v>1</v>
      </c>
      <c r="G6141" s="7" t="s">
        <v>12558</v>
      </c>
      <c r="H6141" s="7">
        <f t="shared" si="386"/>
        <v>0</v>
      </c>
      <c r="I6141" s="7" t="str" cm="1">
        <f t="array" ref="I6141">IFERROR(_xlfn.IFS(M6141="נח",1,M6141="נע ונח",1,M6141="שני שווא נח",2,M6141="שני שוואים בסוף מילה",2,M6141="שני שוואים ברצף",1),"0")</f>
        <v>0</v>
      </c>
      <c r="J6141" s="9">
        <f t="shared" si="387"/>
        <v>2</v>
      </c>
      <c r="K6141" t="s">
        <v>6698</v>
      </c>
      <c r="L6141" t="s">
        <v>6695</v>
      </c>
      <c r="P6141" t="s">
        <v>6694</v>
      </c>
      <c r="V6141" t="s">
        <v>6694</v>
      </c>
      <c r="W6141" t="s">
        <v>6720</v>
      </c>
    </row>
    <row r="6142" spans="1:23" ht="15.6" x14ac:dyDescent="0.4">
      <c r="A6142" s="2" t="s">
        <v>1567</v>
      </c>
      <c r="B6142" s="5" t="s">
        <v>12091</v>
      </c>
      <c r="C6142" s="7" t="s">
        <v>12556</v>
      </c>
      <c r="D6142" s="8">
        <f t="shared" si="384"/>
        <v>1</v>
      </c>
      <c r="E6142" s="7" t="s">
        <v>12557</v>
      </c>
      <c r="F6142" s="7">
        <f t="shared" si="385"/>
        <v>0</v>
      </c>
      <c r="G6142" s="7" t="s">
        <v>12558</v>
      </c>
      <c r="H6142" s="7">
        <f t="shared" si="386"/>
        <v>0</v>
      </c>
      <c r="I6142" s="7" t="str" cm="1">
        <f t="array" ref="I6142">IFERROR(_xlfn.IFS(M6142="נח",1,M6142="נע ונח",1,M6142="שני שווא נח",2,M6142="שני שוואים בסוף מילה",2,M6142="שני שוואים ברצף",1),"0")</f>
        <v>0</v>
      </c>
      <c r="J6142" s="9">
        <f t="shared" si="387"/>
        <v>3</v>
      </c>
      <c r="K6142" t="s">
        <v>6698</v>
      </c>
      <c r="L6142" t="s">
        <v>6695</v>
      </c>
      <c r="P6142" t="s">
        <v>6694</v>
      </c>
      <c r="Q6142" t="s">
        <v>6694</v>
      </c>
      <c r="W6142" t="s">
        <v>6720</v>
      </c>
    </row>
    <row r="6143" spans="1:23" ht="15.6" x14ac:dyDescent="0.4">
      <c r="A6143" s="2" t="s">
        <v>285</v>
      </c>
      <c r="B6143" s="5" t="s">
        <v>12092</v>
      </c>
      <c r="C6143" s="7" t="s">
        <v>12556</v>
      </c>
      <c r="D6143" s="8">
        <f t="shared" si="384"/>
        <v>2</v>
      </c>
      <c r="E6143" s="7" t="s">
        <v>12557</v>
      </c>
      <c r="F6143" s="7">
        <f t="shared" si="385"/>
        <v>0</v>
      </c>
      <c r="G6143" s="7" t="s">
        <v>12558</v>
      </c>
      <c r="H6143" s="7">
        <f t="shared" si="386"/>
        <v>0</v>
      </c>
      <c r="I6143" s="7" t="str" cm="1">
        <f t="array" ref="I6143">IFERROR(_xlfn.IFS(M6143="נח",1,M6143="נע ונח",1,M6143="שני שווא נח",2,M6143="שני שוואים בסוף מילה",2,M6143="שני שוואים ברצף",1),"0")</f>
        <v>0</v>
      </c>
      <c r="J6143" s="9">
        <f t="shared" si="387"/>
        <v>4</v>
      </c>
      <c r="K6143" t="s">
        <v>6698</v>
      </c>
      <c r="L6143" t="s">
        <v>6695</v>
      </c>
      <c r="N6143" t="s">
        <v>6706</v>
      </c>
      <c r="O6143" t="s">
        <v>6694</v>
      </c>
      <c r="P6143" t="s">
        <v>6694</v>
      </c>
      <c r="T6143" t="s">
        <v>6694</v>
      </c>
      <c r="W6143" t="s">
        <v>6720</v>
      </c>
    </row>
    <row r="6144" spans="1:23" ht="15.6" x14ac:dyDescent="0.4">
      <c r="A6144" s="2" t="s">
        <v>5449</v>
      </c>
      <c r="B6144" s="5" t="s">
        <v>12093</v>
      </c>
      <c r="C6144" s="7" t="s">
        <v>12556</v>
      </c>
      <c r="D6144" s="8">
        <f t="shared" si="384"/>
        <v>1</v>
      </c>
      <c r="E6144" s="7" t="s">
        <v>12557</v>
      </c>
      <c r="F6144" s="7">
        <f t="shared" si="385"/>
        <v>1</v>
      </c>
      <c r="G6144" s="7" t="s">
        <v>12558</v>
      </c>
      <c r="H6144" s="7">
        <f t="shared" si="386"/>
        <v>0</v>
      </c>
      <c r="I6144" s="7" t="str" cm="1">
        <f t="array" ref="I6144">IFERROR(_xlfn.IFS(M6144="נח",1,M6144="נע ונח",1,M6144="שני שווא נח",2,M6144="שני שוואים בסוף מילה",2,M6144="שני שוואים ברצף",1),"0")</f>
        <v>0</v>
      </c>
      <c r="J6144" s="9">
        <f t="shared" si="387"/>
        <v>2</v>
      </c>
      <c r="K6144" t="s">
        <v>6697</v>
      </c>
      <c r="L6144" t="s">
        <v>6695</v>
      </c>
      <c r="P6144" t="s">
        <v>6694</v>
      </c>
      <c r="S6144" t="s">
        <v>6694</v>
      </c>
      <c r="W6144" t="s">
        <v>6720</v>
      </c>
    </row>
    <row r="6145" spans="1:23" ht="15.6" x14ac:dyDescent="0.4">
      <c r="A6145" s="2" t="s">
        <v>3852</v>
      </c>
      <c r="B6145" s="5" t="s">
        <v>12094</v>
      </c>
      <c r="C6145" s="7" t="s">
        <v>12556</v>
      </c>
      <c r="D6145" s="8">
        <f t="shared" si="384"/>
        <v>1</v>
      </c>
      <c r="E6145" s="7" t="s">
        <v>12557</v>
      </c>
      <c r="F6145" s="7">
        <f t="shared" si="385"/>
        <v>2</v>
      </c>
      <c r="G6145" s="7" t="s">
        <v>12558</v>
      </c>
      <c r="H6145" s="7">
        <f t="shared" si="386"/>
        <v>1</v>
      </c>
      <c r="I6145" s="7" t="str" cm="1">
        <f t="array" ref="I6145">IFERROR(_xlfn.IFS(M6145="נח",1,M6145="נע ונח",1,M6145="שני שווא נח",2,M6145="שני שוואים בסוף מילה",2,M6145="שני שוואים ברצף",1),"0")</f>
        <v>0</v>
      </c>
      <c r="J6145" s="9">
        <f t="shared" si="387"/>
        <v>2</v>
      </c>
      <c r="K6145" t="s">
        <v>6697</v>
      </c>
      <c r="L6145" t="s">
        <v>6695</v>
      </c>
      <c r="P6145" t="s">
        <v>6694</v>
      </c>
      <c r="U6145" t="s">
        <v>6694</v>
      </c>
      <c r="W6145" t="s">
        <v>6720</v>
      </c>
    </row>
    <row r="6146" spans="1:23" ht="15.6" x14ac:dyDescent="0.4">
      <c r="A6146" s="2" t="s">
        <v>5638</v>
      </c>
      <c r="B6146" s="5" t="s">
        <v>12095</v>
      </c>
      <c r="C6146" s="7" t="s">
        <v>12556</v>
      </c>
      <c r="D6146" s="8">
        <f t="shared" si="384"/>
        <v>1</v>
      </c>
      <c r="E6146" s="7" t="s">
        <v>12557</v>
      </c>
      <c r="F6146" s="7">
        <f t="shared" si="385"/>
        <v>1</v>
      </c>
      <c r="G6146" s="7" t="s">
        <v>12558</v>
      </c>
      <c r="H6146" s="7">
        <f t="shared" si="386"/>
        <v>1</v>
      </c>
      <c r="I6146" s="7" t="str" cm="1">
        <f t="array" ref="I6146">IFERROR(_xlfn.IFS(M6146="נח",1,M6146="נע ונח",1,M6146="שני שווא נח",2,M6146="שני שוואים בסוף מילה",2,M6146="שני שוואים ברצף",1),"0")</f>
        <v>0</v>
      </c>
      <c r="J6146" s="9">
        <f t="shared" si="387"/>
        <v>3</v>
      </c>
      <c r="K6146" t="s">
        <v>6697</v>
      </c>
      <c r="L6146" t="s">
        <v>6695</v>
      </c>
      <c r="O6146" t="s">
        <v>6694</v>
      </c>
      <c r="P6146" t="s">
        <v>6694</v>
      </c>
      <c r="U6146" t="s">
        <v>6694</v>
      </c>
      <c r="W6146" t="s">
        <v>6720</v>
      </c>
    </row>
    <row r="6147" spans="1:23" ht="15.6" x14ac:dyDescent="0.4">
      <c r="A6147" s="2" t="s">
        <v>4074</v>
      </c>
      <c r="B6147" s="5" t="s">
        <v>12096</v>
      </c>
      <c r="C6147" s="7" t="s">
        <v>12556</v>
      </c>
      <c r="D6147" s="8">
        <f t="shared" ref="D6147:D6210" si="388">(LEN(B6147)-LEN(SUBSTITUTE(B6147,C6147,"")))</f>
        <v>1</v>
      </c>
      <c r="E6147" s="7" t="s">
        <v>12557</v>
      </c>
      <c r="F6147" s="7">
        <f t="shared" ref="F6147:F6210" si="389">(LEN(A6147)-LEN(SUBSTITUTE(A6147,E6147,"")))</f>
        <v>1</v>
      </c>
      <c r="G6147" s="7" t="s">
        <v>12558</v>
      </c>
      <c r="H6147" s="7">
        <f t="shared" ref="H6147:H6210" si="390">(LEN(A6147)-LEN(SUBSTITUTE(A6147,G6147,"")))/2</f>
        <v>1</v>
      </c>
      <c r="I6147" s="7" t="str" cm="1">
        <f t="array" ref="I6147">IFERROR(_xlfn.IFS(M6147="נח",1,M6147="נע ונח",1,M6147="שני שווא נח",2,M6147="שני שוואים בסוף מילה",2,M6147="שני שוואים ברצף",1),"0")</f>
        <v>0</v>
      </c>
      <c r="J6147" s="9">
        <f t="shared" ref="J6147:J6210" si="391">LEN(A6147)-(LEN(B6147))-D6147-F6147+H6147-I6147</f>
        <v>3</v>
      </c>
      <c r="K6147" t="s">
        <v>6697</v>
      </c>
      <c r="L6147" t="s">
        <v>6695</v>
      </c>
      <c r="O6147" t="s">
        <v>6694</v>
      </c>
      <c r="P6147" t="s">
        <v>6694</v>
      </c>
      <c r="U6147" t="s">
        <v>6694</v>
      </c>
      <c r="W6147" t="s">
        <v>6720</v>
      </c>
    </row>
    <row r="6148" spans="1:23" ht="15.6" x14ac:dyDescent="0.4">
      <c r="A6148" s="2" t="s">
        <v>5287</v>
      </c>
      <c r="B6148" s="5" t="s">
        <v>12078</v>
      </c>
      <c r="C6148" s="7" t="s">
        <v>12556</v>
      </c>
      <c r="D6148" s="8">
        <f t="shared" si="388"/>
        <v>1</v>
      </c>
      <c r="E6148" s="7" t="s">
        <v>12557</v>
      </c>
      <c r="F6148" s="7">
        <f t="shared" si="389"/>
        <v>1</v>
      </c>
      <c r="G6148" s="7" t="s">
        <v>12558</v>
      </c>
      <c r="H6148" s="7">
        <f t="shared" si="390"/>
        <v>0</v>
      </c>
      <c r="I6148" s="7" cm="1">
        <f t="array" ref="I6148">IFERROR(_xlfn.IFS(M6148="נח",1,M6148="נע ונח",1,M6148="שני שווא נח",2,M6148="שני שוואים בסוף מילה",2,M6148="שני שוואים ברצף",1),"0")</f>
        <v>1</v>
      </c>
      <c r="J6148" s="9">
        <f t="shared" si="391"/>
        <v>3</v>
      </c>
      <c r="K6148" t="s">
        <v>6697</v>
      </c>
      <c r="L6148" t="s">
        <v>6694</v>
      </c>
      <c r="M6148" t="s">
        <v>6705</v>
      </c>
      <c r="O6148" t="s">
        <v>6694</v>
      </c>
      <c r="P6148" t="s">
        <v>6694</v>
      </c>
      <c r="S6148" t="s">
        <v>6694</v>
      </c>
      <c r="W6148" t="s">
        <v>6720</v>
      </c>
    </row>
    <row r="6149" spans="1:23" ht="15.6" x14ac:dyDescent="0.4">
      <c r="A6149" s="2" t="s">
        <v>3327</v>
      </c>
      <c r="B6149" s="5" t="s">
        <v>11987</v>
      </c>
      <c r="C6149" s="7" t="s">
        <v>12556</v>
      </c>
      <c r="D6149" s="8">
        <f t="shared" si="388"/>
        <v>1</v>
      </c>
      <c r="E6149" s="7" t="s">
        <v>12557</v>
      </c>
      <c r="F6149" s="7">
        <f t="shared" si="389"/>
        <v>0</v>
      </c>
      <c r="G6149" s="7" t="s">
        <v>12558</v>
      </c>
      <c r="H6149" s="7">
        <f t="shared" si="390"/>
        <v>0</v>
      </c>
      <c r="I6149" s="7" t="str" cm="1">
        <f t="array" ref="I6149">IFERROR(_xlfn.IFS(M6149="נח",1,M6149="נע ונח",1,M6149="שני שווא נח",2,M6149="שני שוואים בסוף מילה",2,M6149="שני שוואים ברצף",1),"0")</f>
        <v>0</v>
      </c>
      <c r="J6149" s="9">
        <f t="shared" si="391"/>
        <v>2</v>
      </c>
      <c r="K6149" t="s">
        <v>6698</v>
      </c>
      <c r="L6149" t="s">
        <v>6695</v>
      </c>
      <c r="O6149" t="s">
        <v>6694</v>
      </c>
      <c r="P6149" t="s">
        <v>6694</v>
      </c>
      <c r="W6149" t="s">
        <v>6720</v>
      </c>
    </row>
    <row r="6150" spans="1:23" ht="15.6" x14ac:dyDescent="0.4">
      <c r="A6150" s="2" t="s">
        <v>2619</v>
      </c>
      <c r="B6150" s="5" t="s">
        <v>12097</v>
      </c>
      <c r="C6150" s="7" t="s">
        <v>12556</v>
      </c>
      <c r="D6150" s="8">
        <f t="shared" si="388"/>
        <v>1</v>
      </c>
      <c r="E6150" s="7" t="s">
        <v>12557</v>
      </c>
      <c r="F6150" s="7">
        <f t="shared" si="389"/>
        <v>1</v>
      </c>
      <c r="G6150" s="7" t="s">
        <v>12558</v>
      </c>
      <c r="H6150" s="7">
        <f t="shared" si="390"/>
        <v>0</v>
      </c>
      <c r="I6150" s="7" cm="1">
        <f t="array" ref="I6150">IFERROR(_xlfn.IFS(M6150="נח",1,M6150="נע ונח",1,M6150="שני שווא נח",2,M6150="שני שוואים בסוף מילה",2,M6150="שני שוואים ברצף",1),"0")</f>
        <v>1</v>
      </c>
      <c r="J6150" s="9">
        <f t="shared" si="391"/>
        <v>3</v>
      </c>
      <c r="K6150" t="s">
        <v>6697</v>
      </c>
      <c r="L6150" t="s">
        <v>6694</v>
      </c>
      <c r="M6150" t="s">
        <v>6705</v>
      </c>
      <c r="O6150" t="s">
        <v>6694</v>
      </c>
      <c r="P6150" t="s">
        <v>6694</v>
      </c>
      <c r="S6150" t="s">
        <v>6694</v>
      </c>
      <c r="W6150" t="s">
        <v>6720</v>
      </c>
    </row>
    <row r="6151" spans="1:23" ht="15.6" x14ac:dyDescent="0.4">
      <c r="A6151" s="2" t="s">
        <v>6364</v>
      </c>
      <c r="B6151" s="5" t="s">
        <v>12098</v>
      </c>
      <c r="C6151" s="7" t="s">
        <v>12556</v>
      </c>
      <c r="D6151" s="8">
        <f t="shared" si="388"/>
        <v>1</v>
      </c>
      <c r="E6151" s="7" t="s">
        <v>12557</v>
      </c>
      <c r="F6151" s="7">
        <f t="shared" si="389"/>
        <v>1</v>
      </c>
      <c r="G6151" s="7" t="s">
        <v>12558</v>
      </c>
      <c r="H6151" s="7">
        <f t="shared" si="390"/>
        <v>0</v>
      </c>
      <c r="I6151" s="7" cm="1">
        <f t="array" ref="I6151">IFERROR(_xlfn.IFS(M6151="נח",1,M6151="נע ונח",1,M6151="שני שווא נח",2,M6151="שני שוואים בסוף מילה",2,M6151="שני שוואים ברצף",1),"0")</f>
        <v>1</v>
      </c>
      <c r="J6151" s="9">
        <f t="shared" si="391"/>
        <v>3</v>
      </c>
      <c r="K6151" t="s">
        <v>6698</v>
      </c>
      <c r="L6151" t="s">
        <v>6694</v>
      </c>
      <c r="M6151" t="s">
        <v>6705</v>
      </c>
      <c r="N6151" t="s">
        <v>6706</v>
      </c>
      <c r="O6151" t="s">
        <v>6694</v>
      </c>
      <c r="W6151" t="s">
        <v>6720</v>
      </c>
    </row>
    <row r="6152" spans="1:23" ht="15.6" x14ac:dyDescent="0.4">
      <c r="A6152" s="2" t="s">
        <v>3490</v>
      </c>
      <c r="B6152" s="5" t="s">
        <v>11990</v>
      </c>
      <c r="C6152" s="7" t="s">
        <v>12556</v>
      </c>
      <c r="D6152" s="8">
        <f t="shared" si="388"/>
        <v>1</v>
      </c>
      <c r="E6152" s="7" t="s">
        <v>12557</v>
      </c>
      <c r="F6152" s="7">
        <f t="shared" si="389"/>
        <v>0</v>
      </c>
      <c r="G6152" s="7" t="s">
        <v>12558</v>
      </c>
      <c r="H6152" s="7">
        <f t="shared" si="390"/>
        <v>0</v>
      </c>
      <c r="I6152" s="7" t="str" cm="1">
        <f t="array" ref="I6152">IFERROR(_xlfn.IFS(M6152="נח",1,M6152="נע ונח",1,M6152="שני שווא נח",2,M6152="שני שוואים בסוף מילה",2,M6152="שני שוואים ברצף",1),"0")</f>
        <v>0</v>
      </c>
      <c r="J6152" s="9">
        <f t="shared" si="391"/>
        <v>2</v>
      </c>
      <c r="K6152" t="s">
        <v>6698</v>
      </c>
      <c r="L6152" t="s">
        <v>6695</v>
      </c>
      <c r="O6152" t="s">
        <v>6694</v>
      </c>
      <c r="V6152" t="s">
        <v>6694</v>
      </c>
      <c r="W6152" t="s">
        <v>6720</v>
      </c>
    </row>
    <row r="6153" spans="1:23" ht="15.6" x14ac:dyDescent="0.4">
      <c r="A6153" s="2" t="s">
        <v>4099</v>
      </c>
      <c r="B6153" s="5" t="s">
        <v>11989</v>
      </c>
      <c r="C6153" s="7" t="s">
        <v>12556</v>
      </c>
      <c r="D6153" s="8">
        <f t="shared" si="388"/>
        <v>1</v>
      </c>
      <c r="E6153" s="7" t="s">
        <v>12557</v>
      </c>
      <c r="F6153" s="7">
        <f t="shared" si="389"/>
        <v>1</v>
      </c>
      <c r="G6153" s="7" t="s">
        <v>12558</v>
      </c>
      <c r="H6153" s="7">
        <f t="shared" si="390"/>
        <v>1</v>
      </c>
      <c r="I6153" s="7" t="str" cm="1">
        <f t="array" ref="I6153">IFERROR(_xlfn.IFS(M6153="נח",1,M6153="נע ונח",1,M6153="שני שווא נח",2,M6153="שני שוואים בסוף מילה",2,M6153="שני שוואים ברצף",1),"0")</f>
        <v>0</v>
      </c>
      <c r="J6153" s="9">
        <f t="shared" si="391"/>
        <v>2</v>
      </c>
      <c r="K6153" t="s">
        <v>6698</v>
      </c>
      <c r="L6153" t="s">
        <v>6695</v>
      </c>
      <c r="O6153" t="s">
        <v>6694</v>
      </c>
      <c r="U6153" t="s">
        <v>6694</v>
      </c>
      <c r="W6153" t="s">
        <v>6720</v>
      </c>
    </row>
    <row r="6154" spans="1:23" ht="15.6" x14ac:dyDescent="0.4">
      <c r="A6154" s="2" t="s">
        <v>4623</v>
      </c>
      <c r="B6154" s="5" t="s">
        <v>12099</v>
      </c>
      <c r="C6154" s="7" t="s">
        <v>12556</v>
      </c>
      <c r="D6154" s="8">
        <f t="shared" si="388"/>
        <v>1</v>
      </c>
      <c r="E6154" s="7" t="s">
        <v>12557</v>
      </c>
      <c r="F6154" s="7">
        <f t="shared" si="389"/>
        <v>0</v>
      </c>
      <c r="G6154" s="7" t="s">
        <v>12558</v>
      </c>
      <c r="H6154" s="7">
        <f t="shared" si="390"/>
        <v>0</v>
      </c>
      <c r="I6154" s="7" cm="1">
        <f t="array" ref="I6154">IFERROR(_xlfn.IFS(M6154="נח",1,M6154="נע ונח",1,M6154="שני שווא נח",2,M6154="שני שוואים בסוף מילה",2,M6154="שני שוואים ברצף",1),"0")</f>
        <v>1</v>
      </c>
      <c r="J6154" s="9">
        <f t="shared" si="391"/>
        <v>2</v>
      </c>
      <c r="K6154" t="s">
        <v>6697</v>
      </c>
      <c r="L6154" t="s">
        <v>6694</v>
      </c>
      <c r="M6154" t="s">
        <v>6705</v>
      </c>
      <c r="N6154" t="s">
        <v>6706</v>
      </c>
      <c r="O6154" t="s">
        <v>6694</v>
      </c>
      <c r="W6154" t="s">
        <v>6720</v>
      </c>
    </row>
    <row r="6155" spans="1:23" ht="15.6" x14ac:dyDescent="0.4">
      <c r="A6155" s="2" t="s">
        <v>4536</v>
      </c>
      <c r="B6155" s="5" t="s">
        <v>11991</v>
      </c>
      <c r="C6155" s="7" t="s">
        <v>12556</v>
      </c>
      <c r="D6155" s="8">
        <f t="shared" si="388"/>
        <v>1</v>
      </c>
      <c r="E6155" s="7" t="s">
        <v>12557</v>
      </c>
      <c r="F6155" s="7">
        <f t="shared" si="389"/>
        <v>0</v>
      </c>
      <c r="G6155" s="7" t="s">
        <v>12558</v>
      </c>
      <c r="H6155" s="7">
        <f t="shared" si="390"/>
        <v>0</v>
      </c>
      <c r="I6155" s="7" t="str" cm="1">
        <f t="array" ref="I6155">IFERROR(_xlfn.IFS(M6155="נח",1,M6155="נע ונח",1,M6155="שני שווא נח",2,M6155="שני שוואים בסוף מילה",2,M6155="שני שוואים ברצף",1),"0")</f>
        <v>0</v>
      </c>
      <c r="J6155" s="9">
        <f t="shared" si="391"/>
        <v>3</v>
      </c>
      <c r="K6155" t="s">
        <v>6698</v>
      </c>
      <c r="L6155" t="s">
        <v>6695</v>
      </c>
      <c r="O6155" t="s">
        <v>6694</v>
      </c>
      <c r="S6155" t="s">
        <v>6694</v>
      </c>
      <c r="W6155" t="s">
        <v>6720</v>
      </c>
    </row>
    <row r="6156" spans="1:23" ht="15.6" x14ac:dyDescent="0.4">
      <c r="A6156" s="2" t="s">
        <v>6409</v>
      </c>
      <c r="B6156" s="5" t="s">
        <v>12100</v>
      </c>
      <c r="C6156" s="7" t="s">
        <v>12556</v>
      </c>
      <c r="D6156" s="8">
        <f t="shared" si="388"/>
        <v>1</v>
      </c>
      <c r="E6156" s="7" t="s">
        <v>12557</v>
      </c>
      <c r="F6156" s="7">
        <f t="shared" si="389"/>
        <v>0</v>
      </c>
      <c r="G6156" s="7" t="s">
        <v>12558</v>
      </c>
      <c r="H6156" s="7">
        <f t="shared" si="390"/>
        <v>0</v>
      </c>
      <c r="I6156" s="7" t="str" cm="1">
        <f t="array" ref="I6156">IFERROR(_xlfn.IFS(M6156="נח",1,M6156="נע ונח",1,M6156="שני שווא נח",2,M6156="שני שוואים בסוף מילה",2,M6156="שני שוואים ברצף",1),"0")</f>
        <v>0</v>
      </c>
      <c r="J6156" s="9">
        <f t="shared" si="391"/>
        <v>2</v>
      </c>
      <c r="K6156" t="s">
        <v>6697</v>
      </c>
      <c r="L6156" t="s">
        <v>6695</v>
      </c>
      <c r="O6156" t="s">
        <v>6694</v>
      </c>
      <c r="P6156" t="s">
        <v>6694</v>
      </c>
      <c r="W6156" t="s">
        <v>6720</v>
      </c>
    </row>
    <row r="6157" spans="1:23" ht="15.6" x14ac:dyDescent="0.4">
      <c r="A6157" s="2" t="s">
        <v>6148</v>
      </c>
      <c r="B6157" s="5" t="s">
        <v>11994</v>
      </c>
      <c r="C6157" s="7" t="s">
        <v>12556</v>
      </c>
      <c r="D6157" s="8">
        <f t="shared" si="388"/>
        <v>1</v>
      </c>
      <c r="E6157" s="7" t="s">
        <v>12557</v>
      </c>
      <c r="F6157" s="7">
        <f t="shared" si="389"/>
        <v>0</v>
      </c>
      <c r="G6157" s="7" t="s">
        <v>12558</v>
      </c>
      <c r="H6157" s="7">
        <f t="shared" si="390"/>
        <v>0</v>
      </c>
      <c r="I6157" s="7" t="str" cm="1">
        <f t="array" ref="I6157">IFERROR(_xlfn.IFS(M6157="נח",1,M6157="נע ונח",1,M6157="שני שווא נח",2,M6157="שני שוואים בסוף מילה",2,M6157="שני שוואים ברצף",1),"0")</f>
        <v>0</v>
      </c>
      <c r="J6157" s="9">
        <f t="shared" si="391"/>
        <v>2</v>
      </c>
      <c r="K6157" t="s">
        <v>6698</v>
      </c>
      <c r="L6157" t="s">
        <v>6695</v>
      </c>
      <c r="N6157" t="s">
        <v>6706</v>
      </c>
      <c r="O6157" t="s">
        <v>6694</v>
      </c>
      <c r="W6157" t="s">
        <v>6720</v>
      </c>
    </row>
    <row r="6158" spans="1:23" ht="15.6" x14ac:dyDescent="0.4">
      <c r="A6158" s="2" t="s">
        <v>320</v>
      </c>
      <c r="B6158" s="5" t="s">
        <v>12101</v>
      </c>
      <c r="C6158" s="7" t="s">
        <v>12556</v>
      </c>
      <c r="D6158" s="8">
        <f t="shared" si="388"/>
        <v>1</v>
      </c>
      <c r="E6158" s="7" t="s">
        <v>12557</v>
      </c>
      <c r="F6158" s="7">
        <f t="shared" si="389"/>
        <v>0</v>
      </c>
      <c r="G6158" s="7" t="s">
        <v>12558</v>
      </c>
      <c r="H6158" s="7">
        <f t="shared" si="390"/>
        <v>0</v>
      </c>
      <c r="I6158" s="7" cm="1">
        <f t="array" ref="I6158">IFERROR(_xlfn.IFS(M6158="נח",1,M6158="נע ונח",1,M6158="שני שווא נח",2,M6158="שני שוואים בסוף מילה",2,M6158="שני שוואים ברצף",1),"0")</f>
        <v>1</v>
      </c>
      <c r="J6158" s="9">
        <f t="shared" si="391"/>
        <v>1</v>
      </c>
      <c r="K6158" t="s">
        <v>6697</v>
      </c>
      <c r="L6158" t="s">
        <v>6694</v>
      </c>
      <c r="M6158" t="s">
        <v>6705</v>
      </c>
      <c r="N6158" t="s">
        <v>6706</v>
      </c>
      <c r="O6158" t="s">
        <v>6694</v>
      </c>
      <c r="W6158" t="s">
        <v>6720</v>
      </c>
    </row>
    <row r="6159" spans="1:23" ht="15.6" x14ac:dyDescent="0.4">
      <c r="A6159" s="2" t="s">
        <v>5046</v>
      </c>
      <c r="B6159" s="5" t="s">
        <v>12102</v>
      </c>
      <c r="C6159" s="7" t="s">
        <v>12556</v>
      </c>
      <c r="D6159" s="8">
        <f t="shared" si="388"/>
        <v>1</v>
      </c>
      <c r="E6159" s="7" t="s">
        <v>12557</v>
      </c>
      <c r="F6159" s="7">
        <f t="shared" si="389"/>
        <v>0</v>
      </c>
      <c r="G6159" s="7" t="s">
        <v>12558</v>
      </c>
      <c r="H6159" s="7">
        <f t="shared" si="390"/>
        <v>0</v>
      </c>
      <c r="I6159" s="7" t="str" cm="1">
        <f t="array" ref="I6159">IFERROR(_xlfn.IFS(M6159="נח",1,M6159="נע ונח",1,M6159="שני שווא נח",2,M6159="שני שוואים בסוף מילה",2,M6159="שני שוואים ברצף",1),"0")</f>
        <v>0</v>
      </c>
      <c r="J6159" s="9">
        <f t="shared" si="391"/>
        <v>2</v>
      </c>
      <c r="K6159" t="s">
        <v>6698</v>
      </c>
      <c r="L6159" t="s">
        <v>6695</v>
      </c>
      <c r="O6159" t="s">
        <v>6694</v>
      </c>
      <c r="P6159" t="s">
        <v>6694</v>
      </c>
      <c r="W6159" t="s">
        <v>6720</v>
      </c>
    </row>
    <row r="6160" spans="1:23" ht="15.6" x14ac:dyDescent="0.4">
      <c r="A6160" s="2" t="s">
        <v>1920</v>
      </c>
      <c r="B6160" s="5" t="s">
        <v>12087</v>
      </c>
      <c r="C6160" s="7" t="s">
        <v>12556</v>
      </c>
      <c r="D6160" s="8">
        <f t="shared" si="388"/>
        <v>1</v>
      </c>
      <c r="E6160" s="7" t="s">
        <v>12557</v>
      </c>
      <c r="F6160" s="7">
        <f t="shared" si="389"/>
        <v>0</v>
      </c>
      <c r="G6160" s="7" t="s">
        <v>12558</v>
      </c>
      <c r="H6160" s="7">
        <f t="shared" si="390"/>
        <v>0</v>
      </c>
      <c r="I6160" s="7" t="str" cm="1">
        <f t="array" ref="I6160">IFERROR(_xlfn.IFS(M6160="נח",1,M6160="נע ונח",1,M6160="שני שווא נח",2,M6160="שני שוואים בסוף מילה",2,M6160="שני שוואים ברצף",1),"0")</f>
        <v>0</v>
      </c>
      <c r="J6160" s="9">
        <f t="shared" si="391"/>
        <v>2</v>
      </c>
      <c r="K6160" t="s">
        <v>6698</v>
      </c>
      <c r="L6160" t="s">
        <v>6695</v>
      </c>
      <c r="O6160" t="s">
        <v>6694</v>
      </c>
      <c r="P6160" t="s">
        <v>6694</v>
      </c>
      <c r="W6160" t="s">
        <v>6720</v>
      </c>
    </row>
    <row r="6161" spans="1:23" ht="15.6" x14ac:dyDescent="0.4">
      <c r="A6161" s="2" t="s">
        <v>3674</v>
      </c>
      <c r="B6161" s="5" t="s">
        <v>12103</v>
      </c>
      <c r="C6161" s="7" t="s">
        <v>12556</v>
      </c>
      <c r="D6161" s="8">
        <f t="shared" si="388"/>
        <v>1</v>
      </c>
      <c r="E6161" s="7" t="s">
        <v>12557</v>
      </c>
      <c r="F6161" s="7">
        <f t="shared" si="389"/>
        <v>0</v>
      </c>
      <c r="G6161" s="7" t="s">
        <v>12558</v>
      </c>
      <c r="H6161" s="7">
        <f t="shared" si="390"/>
        <v>0</v>
      </c>
      <c r="I6161" s="7" t="str" cm="1">
        <f t="array" ref="I6161">IFERROR(_xlfn.IFS(M6161="נח",1,M6161="נע ונח",1,M6161="שני שווא נח",2,M6161="שני שוואים בסוף מילה",2,M6161="שני שוואים ברצף",1),"0")</f>
        <v>0</v>
      </c>
      <c r="J6161" s="9">
        <f t="shared" si="391"/>
        <v>2</v>
      </c>
      <c r="K6161" t="s">
        <v>6697</v>
      </c>
      <c r="L6161" t="s">
        <v>6695</v>
      </c>
      <c r="O6161" t="s">
        <v>6694</v>
      </c>
      <c r="W6161" t="s">
        <v>6720</v>
      </c>
    </row>
    <row r="6162" spans="1:23" ht="15.6" x14ac:dyDescent="0.4">
      <c r="A6162" s="2" t="s">
        <v>1062</v>
      </c>
      <c r="B6162" s="5" t="s">
        <v>12104</v>
      </c>
      <c r="C6162" s="7" t="s">
        <v>12556</v>
      </c>
      <c r="D6162" s="8">
        <f t="shared" si="388"/>
        <v>1</v>
      </c>
      <c r="E6162" s="7" t="s">
        <v>12557</v>
      </c>
      <c r="F6162" s="7">
        <f t="shared" si="389"/>
        <v>1</v>
      </c>
      <c r="G6162" s="7" t="s">
        <v>12558</v>
      </c>
      <c r="H6162" s="7">
        <f t="shared" si="390"/>
        <v>1</v>
      </c>
      <c r="I6162" s="7" cm="1">
        <f t="array" ref="I6162">IFERROR(_xlfn.IFS(M6162="נח",1,M6162="נע ונח",1,M6162="שני שווא נח",2,M6162="שני שוואים בסוף מילה",2,M6162="שני שוואים ברצף",1),"0")</f>
        <v>1</v>
      </c>
      <c r="J6162" s="9">
        <f t="shared" si="391"/>
        <v>2</v>
      </c>
      <c r="K6162" t="s">
        <v>6697</v>
      </c>
      <c r="L6162" t="s">
        <v>6694</v>
      </c>
      <c r="M6162" t="s">
        <v>6705</v>
      </c>
      <c r="N6162" t="s">
        <v>6706</v>
      </c>
      <c r="O6162" t="s">
        <v>6694</v>
      </c>
      <c r="U6162" t="s">
        <v>6694</v>
      </c>
      <c r="W6162" t="s">
        <v>6720</v>
      </c>
    </row>
    <row r="6163" spans="1:23" ht="15.6" x14ac:dyDescent="0.4">
      <c r="A6163" s="2" t="s">
        <v>128</v>
      </c>
      <c r="B6163" s="5" t="s">
        <v>12105</v>
      </c>
      <c r="C6163" s="7" t="s">
        <v>12556</v>
      </c>
      <c r="D6163" s="8">
        <f t="shared" si="388"/>
        <v>1</v>
      </c>
      <c r="E6163" s="7" t="s">
        <v>12557</v>
      </c>
      <c r="F6163" s="7">
        <f t="shared" si="389"/>
        <v>0</v>
      </c>
      <c r="G6163" s="7" t="s">
        <v>12558</v>
      </c>
      <c r="H6163" s="7">
        <f t="shared" si="390"/>
        <v>0</v>
      </c>
      <c r="I6163" s="7" cm="1">
        <f t="array" ref="I6163">IFERROR(_xlfn.IFS(M6163="נח",1,M6163="נע ונח",1,M6163="שני שווא נח",2,M6163="שני שוואים בסוף מילה",2,M6163="שני שוואים ברצף",1),"0")</f>
        <v>1</v>
      </c>
      <c r="J6163" s="9">
        <f t="shared" si="391"/>
        <v>2</v>
      </c>
      <c r="K6163" t="s">
        <v>6697</v>
      </c>
      <c r="L6163" t="s">
        <v>6694</v>
      </c>
      <c r="M6163" t="s">
        <v>6705</v>
      </c>
      <c r="N6163" t="s">
        <v>6706</v>
      </c>
      <c r="O6163" t="s">
        <v>6694</v>
      </c>
      <c r="W6163" t="s">
        <v>6720</v>
      </c>
    </row>
    <row r="6164" spans="1:23" ht="15.6" x14ac:dyDescent="0.4">
      <c r="A6164" s="2" t="s">
        <v>4493</v>
      </c>
      <c r="B6164" s="5" t="s">
        <v>12106</v>
      </c>
      <c r="C6164" s="7" t="s">
        <v>12556</v>
      </c>
      <c r="D6164" s="8">
        <f t="shared" si="388"/>
        <v>1</v>
      </c>
      <c r="E6164" s="7" t="s">
        <v>12557</v>
      </c>
      <c r="F6164" s="7">
        <f t="shared" si="389"/>
        <v>1</v>
      </c>
      <c r="G6164" s="7" t="s">
        <v>12558</v>
      </c>
      <c r="H6164" s="7">
        <f t="shared" si="390"/>
        <v>1</v>
      </c>
      <c r="I6164" s="7" cm="1">
        <f t="array" ref="I6164">IFERROR(_xlfn.IFS(M6164="נח",1,M6164="נע ונח",1,M6164="שני שווא נח",2,M6164="שני שוואים בסוף מילה",2,M6164="שני שוואים ברצף",1),"0")</f>
        <v>1</v>
      </c>
      <c r="J6164" s="9">
        <f t="shared" si="391"/>
        <v>2</v>
      </c>
      <c r="K6164" t="s">
        <v>6697</v>
      </c>
      <c r="L6164" t="s">
        <v>6694</v>
      </c>
      <c r="M6164" t="s">
        <v>6705</v>
      </c>
      <c r="N6164" t="s">
        <v>6706</v>
      </c>
      <c r="O6164" t="s">
        <v>6694</v>
      </c>
      <c r="U6164" t="s">
        <v>6694</v>
      </c>
      <c r="W6164" t="s">
        <v>6720</v>
      </c>
    </row>
    <row r="6165" spans="1:23" ht="15.6" x14ac:dyDescent="0.4">
      <c r="A6165" s="2" t="s">
        <v>2174</v>
      </c>
      <c r="B6165" s="5" t="s">
        <v>12107</v>
      </c>
      <c r="C6165" s="7" t="s">
        <v>12556</v>
      </c>
      <c r="D6165" s="8">
        <f t="shared" si="388"/>
        <v>1</v>
      </c>
      <c r="E6165" s="7" t="s">
        <v>12557</v>
      </c>
      <c r="F6165" s="7">
        <f t="shared" si="389"/>
        <v>0</v>
      </c>
      <c r="G6165" s="7" t="s">
        <v>12558</v>
      </c>
      <c r="H6165" s="7">
        <f t="shared" si="390"/>
        <v>0</v>
      </c>
      <c r="I6165" s="7" t="str" cm="1">
        <f t="array" ref="I6165">IFERROR(_xlfn.IFS(M6165="נח",1,M6165="נע ונח",1,M6165="שני שווא נח",2,M6165="שני שוואים בסוף מילה",2,M6165="שני שוואים ברצף",1),"0")</f>
        <v>0</v>
      </c>
      <c r="J6165" s="9">
        <f t="shared" si="391"/>
        <v>2</v>
      </c>
      <c r="K6165" t="s">
        <v>6698</v>
      </c>
      <c r="L6165" t="s">
        <v>6695</v>
      </c>
      <c r="O6165" t="s">
        <v>6694</v>
      </c>
      <c r="P6165" t="s">
        <v>6694</v>
      </c>
      <c r="W6165" t="s">
        <v>6720</v>
      </c>
    </row>
    <row r="6166" spans="1:23" ht="15.6" x14ac:dyDescent="0.4">
      <c r="A6166" s="2" t="s">
        <v>5206</v>
      </c>
      <c r="B6166" s="5" t="s">
        <v>12108</v>
      </c>
      <c r="C6166" s="7" t="s">
        <v>12556</v>
      </c>
      <c r="D6166" s="8">
        <f t="shared" si="388"/>
        <v>1</v>
      </c>
      <c r="E6166" s="7" t="s">
        <v>12557</v>
      </c>
      <c r="F6166" s="7">
        <f t="shared" si="389"/>
        <v>1</v>
      </c>
      <c r="G6166" s="7" t="s">
        <v>12558</v>
      </c>
      <c r="H6166" s="7">
        <f t="shared" si="390"/>
        <v>0</v>
      </c>
      <c r="I6166" s="7" cm="1">
        <f t="array" ref="I6166">IFERROR(_xlfn.IFS(M6166="נח",1,M6166="נע ונח",1,M6166="שני שווא נח",2,M6166="שני שוואים בסוף מילה",2,M6166="שני שוואים ברצף",1),"0")</f>
        <v>1</v>
      </c>
      <c r="J6166" s="9">
        <f t="shared" si="391"/>
        <v>3</v>
      </c>
      <c r="K6166" t="s">
        <v>6697</v>
      </c>
      <c r="L6166" t="s">
        <v>6694</v>
      </c>
      <c r="M6166" t="s">
        <v>6705</v>
      </c>
      <c r="O6166" t="s">
        <v>6694</v>
      </c>
      <c r="P6166" t="s">
        <v>6694</v>
      </c>
      <c r="S6166" t="s">
        <v>6694</v>
      </c>
      <c r="W6166" t="s">
        <v>6720</v>
      </c>
    </row>
    <row r="6167" spans="1:23" ht="15.6" x14ac:dyDescent="0.4">
      <c r="A6167" s="2" t="s">
        <v>2409</v>
      </c>
      <c r="B6167" s="5" t="s">
        <v>12109</v>
      </c>
      <c r="C6167" s="7" t="s">
        <v>12556</v>
      </c>
      <c r="D6167" s="8">
        <f t="shared" si="388"/>
        <v>1</v>
      </c>
      <c r="E6167" s="7" t="s">
        <v>12557</v>
      </c>
      <c r="F6167" s="7">
        <f t="shared" si="389"/>
        <v>0</v>
      </c>
      <c r="G6167" s="7" t="s">
        <v>12558</v>
      </c>
      <c r="H6167" s="7">
        <f t="shared" si="390"/>
        <v>0</v>
      </c>
      <c r="I6167" s="7" t="str" cm="1">
        <f t="array" ref="I6167">IFERROR(_xlfn.IFS(M6167="נח",1,M6167="נע ונח",1,M6167="שני שווא נח",2,M6167="שני שוואים בסוף מילה",2,M6167="שני שוואים ברצף",1),"0")</f>
        <v>0</v>
      </c>
      <c r="J6167" s="9">
        <f t="shared" si="391"/>
        <v>2</v>
      </c>
      <c r="K6167" t="s">
        <v>6698</v>
      </c>
      <c r="L6167" t="s">
        <v>6695</v>
      </c>
      <c r="O6167" t="s">
        <v>6694</v>
      </c>
      <c r="P6167" t="s">
        <v>6694</v>
      </c>
      <c r="W6167" t="s">
        <v>6720</v>
      </c>
    </row>
    <row r="6168" spans="1:23" ht="15.6" x14ac:dyDescent="0.4">
      <c r="A6168" s="2" t="s">
        <v>3660</v>
      </c>
      <c r="B6168" s="5" t="s">
        <v>12110</v>
      </c>
      <c r="C6168" s="7" t="s">
        <v>12556</v>
      </c>
      <c r="D6168" s="8">
        <f t="shared" si="388"/>
        <v>1</v>
      </c>
      <c r="E6168" s="7" t="s">
        <v>12557</v>
      </c>
      <c r="F6168" s="7">
        <f t="shared" si="389"/>
        <v>1</v>
      </c>
      <c r="G6168" s="7" t="s">
        <v>12558</v>
      </c>
      <c r="H6168" s="7">
        <f t="shared" si="390"/>
        <v>1</v>
      </c>
      <c r="I6168" s="7" cm="1">
        <f t="array" ref="I6168">IFERROR(_xlfn.IFS(M6168="נח",1,M6168="נע ונח",1,M6168="שני שווא נח",2,M6168="שני שוואים בסוף מילה",2,M6168="שני שוואים ברצף",1),"0")</f>
        <v>1</v>
      </c>
      <c r="J6168" s="9">
        <f t="shared" si="391"/>
        <v>3</v>
      </c>
      <c r="K6168" t="s">
        <v>6697</v>
      </c>
      <c r="L6168" t="s">
        <v>6694</v>
      </c>
      <c r="M6168" t="s">
        <v>6705</v>
      </c>
      <c r="O6168" t="s">
        <v>6694</v>
      </c>
      <c r="P6168" t="s">
        <v>6694</v>
      </c>
      <c r="U6168" t="s">
        <v>6694</v>
      </c>
      <c r="W6168" t="s">
        <v>6720</v>
      </c>
    </row>
    <row r="6169" spans="1:23" ht="15.6" x14ac:dyDescent="0.4">
      <c r="A6169" s="2" t="s">
        <v>5633</v>
      </c>
      <c r="B6169" s="5" t="s">
        <v>12111</v>
      </c>
      <c r="C6169" s="7" t="s">
        <v>12556</v>
      </c>
      <c r="D6169" s="8">
        <f t="shared" si="388"/>
        <v>1</v>
      </c>
      <c r="E6169" s="7" t="s">
        <v>12557</v>
      </c>
      <c r="F6169" s="7">
        <f t="shared" si="389"/>
        <v>1</v>
      </c>
      <c r="G6169" s="7" t="s">
        <v>12558</v>
      </c>
      <c r="H6169" s="7">
        <f t="shared" si="390"/>
        <v>0</v>
      </c>
      <c r="I6169" s="7" cm="1">
        <f t="array" ref="I6169">IFERROR(_xlfn.IFS(M6169="נח",1,M6169="נע ונח",1,M6169="שני שווא נח",2,M6169="שני שוואים בסוף מילה",2,M6169="שני שוואים ברצף",1),"0")</f>
        <v>1</v>
      </c>
      <c r="J6169" s="9">
        <f t="shared" si="391"/>
        <v>3</v>
      </c>
      <c r="K6169" t="s">
        <v>6698</v>
      </c>
      <c r="L6169" t="s">
        <v>6694</v>
      </c>
      <c r="M6169" t="s">
        <v>6705</v>
      </c>
      <c r="O6169" t="s">
        <v>6694</v>
      </c>
      <c r="P6169" t="s">
        <v>6694</v>
      </c>
      <c r="W6169" t="s">
        <v>6720</v>
      </c>
    </row>
    <row r="6170" spans="1:23" ht="15.6" x14ac:dyDescent="0.4">
      <c r="A6170" s="2" t="s">
        <v>6519</v>
      </c>
      <c r="B6170" s="5" t="s">
        <v>12112</v>
      </c>
      <c r="C6170" s="7" t="s">
        <v>12556</v>
      </c>
      <c r="D6170" s="8">
        <f t="shared" si="388"/>
        <v>2</v>
      </c>
      <c r="E6170" s="7" t="s">
        <v>12557</v>
      </c>
      <c r="F6170" s="7">
        <f t="shared" si="389"/>
        <v>0</v>
      </c>
      <c r="G6170" s="7" t="s">
        <v>12558</v>
      </c>
      <c r="H6170" s="7">
        <f t="shared" si="390"/>
        <v>0</v>
      </c>
      <c r="I6170" s="7" t="str" cm="1">
        <f t="array" ref="I6170">IFERROR(_xlfn.IFS(M6170="נח",1,M6170="נע ונח",1,M6170="שני שווא נח",2,M6170="שני שוואים בסוף מילה",2,M6170="שני שוואים ברצף",1),"0")</f>
        <v>0</v>
      </c>
      <c r="J6170" s="9">
        <f t="shared" si="391"/>
        <v>2</v>
      </c>
      <c r="K6170" t="s">
        <v>6698</v>
      </c>
      <c r="L6170" t="s">
        <v>6695</v>
      </c>
      <c r="O6170" t="s">
        <v>6694</v>
      </c>
      <c r="S6170" t="s">
        <v>6694</v>
      </c>
      <c r="W6170" t="s">
        <v>6720</v>
      </c>
    </row>
    <row r="6171" spans="1:23" ht="15.6" x14ac:dyDescent="0.4">
      <c r="A6171" s="2" t="s">
        <v>1173</v>
      </c>
      <c r="B6171" s="5" t="s">
        <v>12006</v>
      </c>
      <c r="C6171" s="7" t="s">
        <v>12556</v>
      </c>
      <c r="D6171" s="8">
        <f t="shared" si="388"/>
        <v>1</v>
      </c>
      <c r="E6171" s="7" t="s">
        <v>12557</v>
      </c>
      <c r="F6171" s="7">
        <f t="shared" si="389"/>
        <v>0</v>
      </c>
      <c r="G6171" s="7" t="s">
        <v>12558</v>
      </c>
      <c r="H6171" s="7">
        <f t="shared" si="390"/>
        <v>0</v>
      </c>
      <c r="I6171" s="7" t="str" cm="1">
        <f t="array" ref="I6171">IFERROR(_xlfn.IFS(M6171="נח",1,M6171="נע ונח",1,M6171="שני שווא נח",2,M6171="שני שוואים בסוף מילה",2,M6171="שני שוואים ברצף",1),"0")</f>
        <v>0</v>
      </c>
      <c r="J6171" s="9">
        <f t="shared" si="391"/>
        <v>2</v>
      </c>
      <c r="K6171" t="s">
        <v>6698</v>
      </c>
      <c r="L6171" t="s">
        <v>6695</v>
      </c>
      <c r="O6171" t="s">
        <v>6694</v>
      </c>
      <c r="P6171" t="s">
        <v>6694</v>
      </c>
      <c r="W6171" t="s">
        <v>6720</v>
      </c>
    </row>
    <row r="6172" spans="1:23" ht="15.6" x14ac:dyDescent="0.4">
      <c r="A6172" s="2" t="s">
        <v>5330</v>
      </c>
      <c r="B6172" s="5" t="s">
        <v>12113</v>
      </c>
      <c r="C6172" s="7" t="s">
        <v>12556</v>
      </c>
      <c r="D6172" s="8">
        <f t="shared" si="388"/>
        <v>1</v>
      </c>
      <c r="E6172" s="7" t="s">
        <v>12557</v>
      </c>
      <c r="F6172" s="7">
        <f t="shared" si="389"/>
        <v>1</v>
      </c>
      <c r="G6172" s="7" t="s">
        <v>12558</v>
      </c>
      <c r="H6172" s="7">
        <f t="shared" si="390"/>
        <v>0</v>
      </c>
      <c r="I6172" s="7" cm="1">
        <f t="array" ref="I6172">IFERROR(_xlfn.IFS(M6172="נח",1,M6172="נע ונח",1,M6172="שני שווא נח",2,M6172="שני שוואים בסוף מילה",2,M6172="שני שוואים ברצף",1),"0")</f>
        <v>1</v>
      </c>
      <c r="J6172" s="9">
        <f t="shared" si="391"/>
        <v>3</v>
      </c>
      <c r="K6172" t="s">
        <v>6698</v>
      </c>
      <c r="L6172" t="s">
        <v>6694</v>
      </c>
      <c r="M6172" t="s">
        <v>6705</v>
      </c>
      <c r="O6172" t="s">
        <v>6694</v>
      </c>
      <c r="P6172" t="s">
        <v>6694</v>
      </c>
      <c r="W6172" t="s">
        <v>6720</v>
      </c>
    </row>
    <row r="6173" spans="1:23" ht="15.6" x14ac:dyDescent="0.4">
      <c r="A6173" s="2" t="s">
        <v>6487</v>
      </c>
      <c r="B6173" s="5" t="s">
        <v>12114</v>
      </c>
      <c r="C6173" s="7" t="s">
        <v>12556</v>
      </c>
      <c r="D6173" s="8">
        <f t="shared" si="388"/>
        <v>1</v>
      </c>
      <c r="E6173" s="7" t="s">
        <v>12557</v>
      </c>
      <c r="F6173" s="7">
        <f t="shared" si="389"/>
        <v>0</v>
      </c>
      <c r="G6173" s="7" t="s">
        <v>12558</v>
      </c>
      <c r="H6173" s="7">
        <f t="shared" si="390"/>
        <v>0</v>
      </c>
      <c r="I6173" s="7" t="str" cm="1">
        <f t="array" ref="I6173">IFERROR(_xlfn.IFS(M6173="נח",1,M6173="נע ונח",1,M6173="שני שווא נח",2,M6173="שני שוואים בסוף מילה",2,M6173="שני שוואים ברצף",1),"0")</f>
        <v>0</v>
      </c>
      <c r="J6173" s="9">
        <f t="shared" si="391"/>
        <v>2</v>
      </c>
      <c r="K6173" t="s">
        <v>6698</v>
      </c>
      <c r="L6173" t="s">
        <v>6695</v>
      </c>
      <c r="N6173" t="s">
        <v>6706</v>
      </c>
      <c r="O6173" t="s">
        <v>6694</v>
      </c>
      <c r="W6173" t="s">
        <v>6720</v>
      </c>
    </row>
    <row r="6174" spans="1:23" ht="15.6" x14ac:dyDescent="0.4">
      <c r="A6174" s="2" t="s">
        <v>1379</v>
      </c>
      <c r="B6174" s="5" t="s">
        <v>12007</v>
      </c>
      <c r="C6174" s="7" t="s">
        <v>12556</v>
      </c>
      <c r="D6174" s="8">
        <f t="shared" si="388"/>
        <v>1</v>
      </c>
      <c r="E6174" s="7" t="s">
        <v>12557</v>
      </c>
      <c r="F6174" s="7">
        <f t="shared" si="389"/>
        <v>0</v>
      </c>
      <c r="G6174" s="7" t="s">
        <v>12558</v>
      </c>
      <c r="H6174" s="7">
        <f t="shared" si="390"/>
        <v>0</v>
      </c>
      <c r="I6174" s="7" t="str" cm="1">
        <f t="array" ref="I6174">IFERROR(_xlfn.IFS(M6174="נח",1,M6174="נע ונח",1,M6174="שני שווא נח",2,M6174="שני שוואים בסוף מילה",2,M6174="שני שוואים ברצף",1),"0")</f>
        <v>0</v>
      </c>
      <c r="J6174" s="9">
        <f t="shared" si="391"/>
        <v>2</v>
      </c>
      <c r="K6174" t="s">
        <v>6698</v>
      </c>
      <c r="L6174" t="s">
        <v>6695</v>
      </c>
      <c r="O6174" t="s">
        <v>6694</v>
      </c>
      <c r="V6174" t="s">
        <v>6694</v>
      </c>
      <c r="W6174" t="s">
        <v>6720</v>
      </c>
    </row>
    <row r="6175" spans="1:23" ht="15.6" x14ac:dyDescent="0.4">
      <c r="A6175" s="2" t="s">
        <v>698</v>
      </c>
      <c r="B6175" s="5" t="s">
        <v>12062</v>
      </c>
      <c r="C6175" s="7" t="s">
        <v>12556</v>
      </c>
      <c r="D6175" s="8">
        <f t="shared" si="388"/>
        <v>1</v>
      </c>
      <c r="E6175" s="7" t="s">
        <v>12557</v>
      </c>
      <c r="F6175" s="7">
        <f t="shared" si="389"/>
        <v>0</v>
      </c>
      <c r="G6175" s="7" t="s">
        <v>12558</v>
      </c>
      <c r="H6175" s="7">
        <f t="shared" si="390"/>
        <v>0</v>
      </c>
      <c r="I6175" s="7" t="str" cm="1">
        <f t="array" ref="I6175">IFERROR(_xlfn.IFS(M6175="נח",1,M6175="נע ונח",1,M6175="שני שווא נח",2,M6175="שני שוואים בסוף מילה",2,M6175="שני שוואים ברצף",1),"0")</f>
        <v>0</v>
      </c>
      <c r="J6175" s="9">
        <f t="shared" si="391"/>
        <v>1</v>
      </c>
      <c r="K6175" t="s">
        <v>6698</v>
      </c>
      <c r="L6175" t="s">
        <v>6695</v>
      </c>
      <c r="N6175" t="s">
        <v>6706</v>
      </c>
      <c r="O6175" t="s">
        <v>6694</v>
      </c>
      <c r="W6175" t="s">
        <v>6720</v>
      </c>
    </row>
    <row r="6176" spans="1:23" ht="15.6" x14ac:dyDescent="0.4">
      <c r="A6176" s="2" t="s">
        <v>2215</v>
      </c>
      <c r="B6176" s="5" t="s">
        <v>12047</v>
      </c>
      <c r="C6176" s="7" t="s">
        <v>12556</v>
      </c>
      <c r="D6176" s="8">
        <f t="shared" si="388"/>
        <v>1</v>
      </c>
      <c r="E6176" s="7" t="s">
        <v>12557</v>
      </c>
      <c r="F6176" s="7">
        <f t="shared" si="389"/>
        <v>0</v>
      </c>
      <c r="G6176" s="7" t="s">
        <v>12558</v>
      </c>
      <c r="H6176" s="7">
        <f t="shared" si="390"/>
        <v>0</v>
      </c>
      <c r="I6176" s="7" cm="1">
        <f t="array" ref="I6176">IFERROR(_xlfn.IFS(M6176="נח",1,M6176="נע ונח",1,M6176="שני שווא נח",2,M6176="שני שוואים בסוף מילה",2,M6176="שני שוואים ברצף",1),"0")</f>
        <v>1</v>
      </c>
      <c r="J6176" s="9">
        <f t="shared" si="391"/>
        <v>2</v>
      </c>
      <c r="K6176" t="s">
        <v>6697</v>
      </c>
      <c r="L6176" t="s">
        <v>6694</v>
      </c>
      <c r="M6176" t="s">
        <v>6705</v>
      </c>
      <c r="N6176" t="s">
        <v>6706</v>
      </c>
      <c r="O6176" t="s">
        <v>6694</v>
      </c>
      <c r="W6176" t="s">
        <v>6720</v>
      </c>
    </row>
    <row r="6177" spans="1:23" ht="15.6" x14ac:dyDescent="0.4">
      <c r="A6177" s="2" t="s">
        <v>1113</v>
      </c>
      <c r="B6177" s="5" t="s">
        <v>12048</v>
      </c>
      <c r="C6177" s="7" t="s">
        <v>12556</v>
      </c>
      <c r="D6177" s="8">
        <f t="shared" si="388"/>
        <v>1</v>
      </c>
      <c r="E6177" s="7" t="s">
        <v>12557</v>
      </c>
      <c r="F6177" s="7">
        <f t="shared" si="389"/>
        <v>1</v>
      </c>
      <c r="G6177" s="7" t="s">
        <v>12558</v>
      </c>
      <c r="H6177" s="7">
        <f t="shared" si="390"/>
        <v>1</v>
      </c>
      <c r="I6177" s="7" cm="1">
        <f t="array" ref="I6177">IFERROR(_xlfn.IFS(M6177="נח",1,M6177="נע ונח",1,M6177="שני שווא נח",2,M6177="שני שוואים בסוף מילה",2,M6177="שני שוואים ברצף",1),"0")</f>
        <v>1</v>
      </c>
      <c r="J6177" s="9">
        <f t="shared" si="391"/>
        <v>2</v>
      </c>
      <c r="K6177" t="s">
        <v>6697</v>
      </c>
      <c r="L6177" t="s">
        <v>6694</v>
      </c>
      <c r="M6177" t="s">
        <v>6705</v>
      </c>
      <c r="N6177" t="s">
        <v>6706</v>
      </c>
      <c r="O6177" t="s">
        <v>6694</v>
      </c>
      <c r="U6177" t="s">
        <v>6694</v>
      </c>
      <c r="W6177" t="s">
        <v>6720</v>
      </c>
    </row>
    <row r="6178" spans="1:23" ht="15.6" x14ac:dyDescent="0.4">
      <c r="A6178" s="2" t="s">
        <v>5099</v>
      </c>
      <c r="B6178" s="5" t="s">
        <v>12115</v>
      </c>
      <c r="C6178" s="7" t="s">
        <v>12556</v>
      </c>
      <c r="D6178" s="8">
        <f t="shared" si="388"/>
        <v>1</v>
      </c>
      <c r="E6178" s="7" t="s">
        <v>12557</v>
      </c>
      <c r="F6178" s="7">
        <f t="shared" si="389"/>
        <v>0</v>
      </c>
      <c r="G6178" s="7" t="s">
        <v>12558</v>
      </c>
      <c r="H6178" s="7">
        <f t="shared" si="390"/>
        <v>0</v>
      </c>
      <c r="I6178" s="7" cm="1">
        <f t="array" ref="I6178">IFERROR(_xlfn.IFS(M6178="נח",1,M6178="נע ונח",1,M6178="שני שווא נח",2,M6178="שני שוואים בסוף מילה",2,M6178="שני שוואים ברצף",1),"0")</f>
        <v>1</v>
      </c>
      <c r="J6178" s="9">
        <f t="shared" si="391"/>
        <v>3</v>
      </c>
      <c r="K6178" t="s">
        <v>6697</v>
      </c>
      <c r="L6178" t="s">
        <v>6694</v>
      </c>
      <c r="M6178" t="s">
        <v>6705</v>
      </c>
      <c r="N6178" t="s">
        <v>6706</v>
      </c>
      <c r="O6178" t="s">
        <v>6694</v>
      </c>
      <c r="Q6178" t="s">
        <v>6694</v>
      </c>
      <c r="S6178" t="s">
        <v>6694</v>
      </c>
      <c r="W6178" t="s">
        <v>6720</v>
      </c>
    </row>
    <row r="6179" spans="1:23" ht="15.6" x14ac:dyDescent="0.4">
      <c r="A6179" s="2" t="s">
        <v>937</v>
      </c>
      <c r="B6179" s="5" t="s">
        <v>12116</v>
      </c>
      <c r="C6179" s="7" t="s">
        <v>12556</v>
      </c>
      <c r="D6179" s="8">
        <f t="shared" si="388"/>
        <v>1</v>
      </c>
      <c r="E6179" s="7" t="s">
        <v>12557</v>
      </c>
      <c r="F6179" s="7">
        <f t="shared" si="389"/>
        <v>0</v>
      </c>
      <c r="G6179" s="7" t="s">
        <v>12558</v>
      </c>
      <c r="H6179" s="7">
        <f t="shared" si="390"/>
        <v>0</v>
      </c>
      <c r="I6179" s="7" cm="1">
        <f t="array" ref="I6179">IFERROR(_xlfn.IFS(M6179="נח",1,M6179="נע ונח",1,M6179="שני שווא נח",2,M6179="שני שוואים בסוף מילה",2,M6179="שני שוואים ברצף",1),"0")</f>
        <v>1</v>
      </c>
      <c r="J6179" s="9">
        <f t="shared" si="391"/>
        <v>2</v>
      </c>
      <c r="K6179" t="s">
        <v>6697</v>
      </c>
      <c r="L6179" t="s">
        <v>6694</v>
      </c>
      <c r="M6179" t="s">
        <v>6705</v>
      </c>
      <c r="N6179" t="s">
        <v>6706</v>
      </c>
      <c r="O6179" t="s">
        <v>6694</v>
      </c>
      <c r="W6179" t="s">
        <v>6720</v>
      </c>
    </row>
    <row r="6180" spans="1:23" ht="15.6" x14ac:dyDescent="0.4">
      <c r="A6180" s="2" t="s">
        <v>2250</v>
      </c>
      <c r="B6180" s="5" t="s">
        <v>12117</v>
      </c>
      <c r="C6180" s="7" t="s">
        <v>12556</v>
      </c>
      <c r="D6180" s="8">
        <f t="shared" si="388"/>
        <v>1</v>
      </c>
      <c r="E6180" s="7" t="s">
        <v>12557</v>
      </c>
      <c r="F6180" s="7">
        <f t="shared" si="389"/>
        <v>1</v>
      </c>
      <c r="G6180" s="7" t="s">
        <v>12558</v>
      </c>
      <c r="H6180" s="7">
        <f t="shared" si="390"/>
        <v>1</v>
      </c>
      <c r="I6180" s="7" cm="1">
        <f t="array" ref="I6180">IFERROR(_xlfn.IFS(M6180="נח",1,M6180="נע ונח",1,M6180="שני שווא נח",2,M6180="שני שוואים בסוף מילה",2,M6180="שני שוואים ברצף",1),"0")</f>
        <v>1</v>
      </c>
      <c r="J6180" s="9">
        <f t="shared" si="391"/>
        <v>2</v>
      </c>
      <c r="K6180" t="s">
        <v>6697</v>
      </c>
      <c r="L6180" t="s">
        <v>6694</v>
      </c>
      <c r="M6180" t="s">
        <v>6705</v>
      </c>
      <c r="N6180" t="s">
        <v>6706</v>
      </c>
      <c r="O6180" t="s">
        <v>6694</v>
      </c>
      <c r="U6180" t="s">
        <v>6694</v>
      </c>
      <c r="W6180" t="s">
        <v>6720</v>
      </c>
    </row>
    <row r="6181" spans="1:23" ht="15.6" x14ac:dyDescent="0.4">
      <c r="A6181" s="2" t="s">
        <v>2752</v>
      </c>
      <c r="B6181" s="5" t="s">
        <v>12011</v>
      </c>
      <c r="C6181" s="7" t="s">
        <v>12556</v>
      </c>
      <c r="D6181" s="8">
        <f t="shared" si="388"/>
        <v>1</v>
      </c>
      <c r="E6181" s="7" t="s">
        <v>12557</v>
      </c>
      <c r="F6181" s="7">
        <f t="shared" si="389"/>
        <v>0</v>
      </c>
      <c r="G6181" s="7" t="s">
        <v>12558</v>
      </c>
      <c r="H6181" s="7">
        <f t="shared" si="390"/>
        <v>0</v>
      </c>
      <c r="I6181" s="7" t="str" cm="1">
        <f t="array" ref="I6181">IFERROR(_xlfn.IFS(M6181="נח",1,M6181="נע ונח",1,M6181="שני שווא נח",2,M6181="שני שוואים בסוף מילה",2,M6181="שני שוואים ברצף",1),"0")</f>
        <v>0</v>
      </c>
      <c r="J6181" s="9">
        <f t="shared" si="391"/>
        <v>3</v>
      </c>
      <c r="K6181" t="s">
        <v>6697</v>
      </c>
      <c r="L6181" t="s">
        <v>6695</v>
      </c>
      <c r="O6181" t="s">
        <v>6694</v>
      </c>
      <c r="P6181" t="s">
        <v>6694</v>
      </c>
      <c r="Q6181" t="s">
        <v>6694</v>
      </c>
      <c r="W6181" t="s">
        <v>6720</v>
      </c>
    </row>
    <row r="6182" spans="1:23" ht="15.6" x14ac:dyDescent="0.4">
      <c r="A6182" s="2" t="s">
        <v>2146</v>
      </c>
      <c r="B6182" s="5" t="s">
        <v>12118</v>
      </c>
      <c r="C6182" s="7" t="s">
        <v>12556</v>
      </c>
      <c r="D6182" s="8">
        <f t="shared" si="388"/>
        <v>1</v>
      </c>
      <c r="E6182" s="7" t="s">
        <v>12557</v>
      </c>
      <c r="F6182" s="7">
        <f t="shared" si="389"/>
        <v>0</v>
      </c>
      <c r="G6182" s="7" t="s">
        <v>12558</v>
      </c>
      <c r="H6182" s="7">
        <f t="shared" si="390"/>
        <v>0</v>
      </c>
      <c r="I6182" s="7" t="str" cm="1">
        <f t="array" ref="I6182">IFERROR(_xlfn.IFS(M6182="נח",1,M6182="נע ונח",1,M6182="שני שווא נח",2,M6182="שני שוואים בסוף מילה",2,M6182="שני שוואים ברצף",1),"0")</f>
        <v>0</v>
      </c>
      <c r="J6182" s="9">
        <f t="shared" si="391"/>
        <v>3</v>
      </c>
      <c r="K6182" t="s">
        <v>6697</v>
      </c>
      <c r="L6182" t="s">
        <v>6695</v>
      </c>
      <c r="O6182" t="s">
        <v>6694</v>
      </c>
      <c r="R6182" t="s">
        <v>6694</v>
      </c>
      <c r="W6182" t="s">
        <v>6720</v>
      </c>
    </row>
    <row r="6183" spans="1:23" ht="15.6" x14ac:dyDescent="0.4">
      <c r="A6183" s="2" t="s">
        <v>3080</v>
      </c>
      <c r="B6183" s="5" t="s">
        <v>12075</v>
      </c>
      <c r="C6183" s="7" t="s">
        <v>12556</v>
      </c>
      <c r="D6183" s="8">
        <f t="shared" si="388"/>
        <v>2</v>
      </c>
      <c r="E6183" s="7" t="s">
        <v>12557</v>
      </c>
      <c r="F6183" s="7">
        <f t="shared" si="389"/>
        <v>0</v>
      </c>
      <c r="G6183" s="7" t="s">
        <v>12558</v>
      </c>
      <c r="H6183" s="7">
        <f t="shared" si="390"/>
        <v>0</v>
      </c>
      <c r="I6183" s="7" t="str" cm="1">
        <f t="array" ref="I6183">IFERROR(_xlfn.IFS(M6183="נח",1,M6183="נע ונח",1,M6183="שני שווא נח",2,M6183="שני שוואים בסוף מילה",2,M6183="שני שוואים ברצף",1),"0")</f>
        <v>0</v>
      </c>
      <c r="J6183" s="9">
        <f t="shared" si="391"/>
        <v>2</v>
      </c>
      <c r="K6183" t="s">
        <v>6698</v>
      </c>
      <c r="L6183" t="s">
        <v>6695</v>
      </c>
      <c r="O6183" t="s">
        <v>6694</v>
      </c>
      <c r="R6183" t="s">
        <v>6694</v>
      </c>
      <c r="W6183" t="s">
        <v>6720</v>
      </c>
    </row>
    <row r="6184" spans="1:23" ht="15.6" x14ac:dyDescent="0.4">
      <c r="A6184" s="2" t="s">
        <v>404</v>
      </c>
      <c r="B6184" s="5" t="s">
        <v>12119</v>
      </c>
      <c r="C6184" s="7" t="s">
        <v>12556</v>
      </c>
      <c r="D6184" s="8">
        <f t="shared" si="388"/>
        <v>1</v>
      </c>
      <c r="E6184" s="7" t="s">
        <v>12557</v>
      </c>
      <c r="F6184" s="7">
        <f t="shared" si="389"/>
        <v>0</v>
      </c>
      <c r="G6184" s="7" t="s">
        <v>12558</v>
      </c>
      <c r="H6184" s="7">
        <f t="shared" si="390"/>
        <v>0</v>
      </c>
      <c r="I6184" s="7" t="str" cm="1">
        <f t="array" ref="I6184">IFERROR(_xlfn.IFS(M6184="נח",1,M6184="נע ונח",1,M6184="שני שווא נח",2,M6184="שני שוואים בסוף מילה",2,M6184="שני שוואים ברצף",1),"0")</f>
        <v>0</v>
      </c>
      <c r="J6184" s="9">
        <f t="shared" si="391"/>
        <v>3</v>
      </c>
      <c r="K6184" t="s">
        <v>6698</v>
      </c>
      <c r="L6184" t="s">
        <v>6695</v>
      </c>
      <c r="O6184" t="s">
        <v>6694</v>
      </c>
      <c r="P6184" t="s">
        <v>6694</v>
      </c>
      <c r="S6184" t="s">
        <v>6694</v>
      </c>
      <c r="W6184" t="s">
        <v>6720</v>
      </c>
    </row>
    <row r="6185" spans="1:23" ht="15.6" x14ac:dyDescent="0.4">
      <c r="A6185" s="2" t="s">
        <v>764</v>
      </c>
      <c r="B6185" s="5" t="s">
        <v>12011</v>
      </c>
      <c r="C6185" s="7" t="s">
        <v>12556</v>
      </c>
      <c r="D6185" s="8">
        <f t="shared" si="388"/>
        <v>1</v>
      </c>
      <c r="E6185" s="7" t="s">
        <v>12557</v>
      </c>
      <c r="F6185" s="7">
        <f t="shared" si="389"/>
        <v>0</v>
      </c>
      <c r="G6185" s="7" t="s">
        <v>12558</v>
      </c>
      <c r="H6185" s="7">
        <f t="shared" si="390"/>
        <v>0</v>
      </c>
      <c r="I6185" s="7" t="str" cm="1">
        <f t="array" ref="I6185">IFERROR(_xlfn.IFS(M6185="נח",1,M6185="נע ונח",1,M6185="שני שווא נח",2,M6185="שני שוואים בסוף מילה",2,M6185="שני שוואים ברצף",1),"0")</f>
        <v>0</v>
      </c>
      <c r="J6185" s="9">
        <f t="shared" si="391"/>
        <v>2</v>
      </c>
      <c r="K6185" t="s">
        <v>6697</v>
      </c>
      <c r="L6185" t="s">
        <v>6695</v>
      </c>
      <c r="O6185" t="s">
        <v>6694</v>
      </c>
      <c r="P6185" t="s">
        <v>6694</v>
      </c>
      <c r="W6185" t="s">
        <v>6720</v>
      </c>
    </row>
    <row r="6186" spans="1:23" ht="15.6" x14ac:dyDescent="0.4">
      <c r="A6186" s="2" t="s">
        <v>3598</v>
      </c>
      <c r="B6186" s="5" t="s">
        <v>12120</v>
      </c>
      <c r="C6186" s="7" t="s">
        <v>12556</v>
      </c>
      <c r="D6186" s="8">
        <f t="shared" si="388"/>
        <v>1</v>
      </c>
      <c r="E6186" s="7" t="s">
        <v>12557</v>
      </c>
      <c r="F6186" s="7">
        <f t="shared" si="389"/>
        <v>1</v>
      </c>
      <c r="G6186" s="7" t="s">
        <v>12558</v>
      </c>
      <c r="H6186" s="7">
        <f t="shared" si="390"/>
        <v>1</v>
      </c>
      <c r="I6186" s="7" cm="1">
        <f t="array" ref="I6186">IFERROR(_xlfn.IFS(M6186="נח",1,M6186="נע ונח",1,M6186="שני שווא נח",2,M6186="שני שוואים בסוף מילה",2,M6186="שני שוואים ברצף",1),"0")</f>
        <v>1</v>
      </c>
      <c r="J6186" s="9">
        <f t="shared" si="391"/>
        <v>3</v>
      </c>
      <c r="K6186" t="s">
        <v>6697</v>
      </c>
      <c r="L6186" t="s">
        <v>6694</v>
      </c>
      <c r="M6186" t="s">
        <v>6705</v>
      </c>
      <c r="O6186" t="s">
        <v>6694</v>
      </c>
      <c r="P6186" t="s">
        <v>6694</v>
      </c>
      <c r="U6186" t="s">
        <v>6694</v>
      </c>
      <c r="W6186" t="s">
        <v>6720</v>
      </c>
    </row>
    <row r="6187" spans="1:23" ht="15.6" x14ac:dyDescent="0.4">
      <c r="A6187" s="2" t="s">
        <v>3397</v>
      </c>
      <c r="B6187" s="5" t="s">
        <v>12121</v>
      </c>
      <c r="C6187" s="7" t="s">
        <v>12556</v>
      </c>
      <c r="D6187" s="8">
        <f t="shared" si="388"/>
        <v>1</v>
      </c>
      <c r="E6187" s="7" t="s">
        <v>12557</v>
      </c>
      <c r="F6187" s="7">
        <f t="shared" si="389"/>
        <v>1</v>
      </c>
      <c r="G6187" s="7" t="s">
        <v>12558</v>
      </c>
      <c r="H6187" s="7">
        <f t="shared" si="390"/>
        <v>0</v>
      </c>
      <c r="I6187" s="7" cm="1">
        <f t="array" ref="I6187">IFERROR(_xlfn.IFS(M6187="נח",1,M6187="נע ונח",1,M6187="שני שווא נח",2,M6187="שני שוואים בסוף מילה",2,M6187="שני שוואים ברצף",1),"0")</f>
        <v>1</v>
      </c>
      <c r="J6187" s="9">
        <f t="shared" si="391"/>
        <v>3</v>
      </c>
      <c r="K6187" t="s">
        <v>6697</v>
      </c>
      <c r="L6187" t="s">
        <v>6694</v>
      </c>
      <c r="M6187" t="s">
        <v>6705</v>
      </c>
      <c r="O6187" t="s">
        <v>6694</v>
      </c>
      <c r="P6187" t="s">
        <v>6694</v>
      </c>
      <c r="S6187" t="s">
        <v>6694</v>
      </c>
      <c r="W6187" t="s">
        <v>6720</v>
      </c>
    </row>
    <row r="6188" spans="1:23" ht="15.6" x14ac:dyDescent="0.4">
      <c r="A6188" s="2" t="s">
        <v>3423</v>
      </c>
      <c r="B6188" s="5" t="s">
        <v>12122</v>
      </c>
      <c r="C6188" s="7" t="s">
        <v>12556</v>
      </c>
      <c r="D6188" s="8">
        <f t="shared" si="388"/>
        <v>1</v>
      </c>
      <c r="E6188" s="7" t="s">
        <v>12557</v>
      </c>
      <c r="F6188" s="7">
        <f t="shared" si="389"/>
        <v>1</v>
      </c>
      <c r="G6188" s="7" t="s">
        <v>12558</v>
      </c>
      <c r="H6188" s="7">
        <f t="shared" si="390"/>
        <v>0</v>
      </c>
      <c r="I6188" s="7" cm="1">
        <f t="array" ref="I6188">IFERROR(_xlfn.IFS(M6188="נח",1,M6188="נע ונח",1,M6188="שני שווא נח",2,M6188="שני שוואים בסוף מילה",2,M6188="שני שוואים ברצף",1),"0")</f>
        <v>1</v>
      </c>
      <c r="J6188" s="9">
        <f t="shared" si="391"/>
        <v>3</v>
      </c>
      <c r="K6188" t="s">
        <v>6698</v>
      </c>
      <c r="L6188" t="s">
        <v>6694</v>
      </c>
      <c r="M6188" t="s">
        <v>6705</v>
      </c>
      <c r="O6188" t="s">
        <v>6694</v>
      </c>
      <c r="P6188" t="s">
        <v>6694</v>
      </c>
      <c r="W6188" t="s">
        <v>6720</v>
      </c>
    </row>
    <row r="6189" spans="1:23" ht="15.6" x14ac:dyDescent="0.4">
      <c r="A6189" s="2" t="s">
        <v>2008</v>
      </c>
      <c r="B6189" s="5" t="s">
        <v>12123</v>
      </c>
      <c r="C6189" s="7" t="s">
        <v>12556</v>
      </c>
      <c r="D6189" s="8">
        <f t="shared" si="388"/>
        <v>1</v>
      </c>
      <c r="E6189" s="7" t="s">
        <v>12557</v>
      </c>
      <c r="F6189" s="7">
        <f t="shared" si="389"/>
        <v>1</v>
      </c>
      <c r="G6189" s="7" t="s">
        <v>12558</v>
      </c>
      <c r="H6189" s="7">
        <f t="shared" si="390"/>
        <v>0</v>
      </c>
      <c r="I6189" s="7" cm="1">
        <f t="array" ref="I6189">IFERROR(_xlfn.IFS(M6189="נח",1,M6189="נע ונח",1,M6189="שני שווא נח",2,M6189="שני שוואים בסוף מילה",2,M6189="שני שוואים ברצף",1),"0")</f>
        <v>1</v>
      </c>
      <c r="J6189" s="9">
        <f t="shared" si="391"/>
        <v>3</v>
      </c>
      <c r="K6189" t="s">
        <v>6697</v>
      </c>
      <c r="L6189" t="s">
        <v>6694</v>
      </c>
      <c r="M6189" t="s">
        <v>6705</v>
      </c>
      <c r="O6189" t="s">
        <v>6694</v>
      </c>
      <c r="P6189" t="s">
        <v>6694</v>
      </c>
      <c r="S6189" t="s">
        <v>6694</v>
      </c>
      <c r="W6189" t="s">
        <v>6720</v>
      </c>
    </row>
    <row r="6190" spans="1:23" ht="15.6" x14ac:dyDescent="0.4">
      <c r="A6190" s="2" t="s">
        <v>6680</v>
      </c>
      <c r="B6190" s="5" t="s">
        <v>12119</v>
      </c>
      <c r="C6190" s="7" t="s">
        <v>12556</v>
      </c>
      <c r="D6190" s="8">
        <f t="shared" si="388"/>
        <v>1</v>
      </c>
      <c r="E6190" s="7" t="s">
        <v>12557</v>
      </c>
      <c r="F6190" s="7">
        <f t="shared" si="389"/>
        <v>0</v>
      </c>
      <c r="G6190" s="7" t="s">
        <v>12558</v>
      </c>
      <c r="H6190" s="7">
        <f t="shared" si="390"/>
        <v>0</v>
      </c>
      <c r="I6190" s="7" t="str" cm="1">
        <f t="array" ref="I6190">IFERROR(_xlfn.IFS(M6190="נח",1,M6190="נע ונח",1,M6190="שני שווא נח",2,M6190="שני שוואים בסוף מילה",2,M6190="שני שוואים ברצף",1),"0")</f>
        <v>0</v>
      </c>
      <c r="J6190" s="9">
        <f t="shared" si="391"/>
        <v>3</v>
      </c>
      <c r="K6190" t="s">
        <v>6698</v>
      </c>
      <c r="L6190" t="s">
        <v>6695</v>
      </c>
      <c r="N6190" t="s">
        <v>6706</v>
      </c>
      <c r="O6190" t="s">
        <v>6694</v>
      </c>
      <c r="S6190" t="s">
        <v>6694</v>
      </c>
      <c r="W6190" t="s">
        <v>6720</v>
      </c>
    </row>
    <row r="6191" spans="1:23" ht="15.6" x14ac:dyDescent="0.4">
      <c r="A6191" s="2" t="s">
        <v>4320</v>
      </c>
      <c r="B6191" s="5" t="s">
        <v>12121</v>
      </c>
      <c r="C6191" s="7" t="s">
        <v>12556</v>
      </c>
      <c r="D6191" s="8">
        <f t="shared" si="388"/>
        <v>1</v>
      </c>
      <c r="E6191" s="7" t="s">
        <v>12557</v>
      </c>
      <c r="F6191" s="7">
        <f t="shared" si="389"/>
        <v>1</v>
      </c>
      <c r="G6191" s="7" t="s">
        <v>12558</v>
      </c>
      <c r="H6191" s="7">
        <f t="shared" si="390"/>
        <v>0</v>
      </c>
      <c r="I6191" s="7" cm="1">
        <f t="array" ref="I6191">IFERROR(_xlfn.IFS(M6191="נח",1,M6191="נע ונח",1,M6191="שני שווא נח",2,M6191="שני שוואים בסוף מילה",2,M6191="שני שוואים ברצף",1),"0")</f>
        <v>1</v>
      </c>
      <c r="J6191" s="9">
        <f t="shared" si="391"/>
        <v>3</v>
      </c>
      <c r="K6191" t="s">
        <v>6697</v>
      </c>
      <c r="L6191" t="s">
        <v>6694</v>
      </c>
      <c r="M6191" t="s">
        <v>6705</v>
      </c>
      <c r="N6191" t="s">
        <v>6706</v>
      </c>
      <c r="O6191" t="s">
        <v>6694</v>
      </c>
      <c r="S6191" t="s">
        <v>6694</v>
      </c>
      <c r="W6191" t="s">
        <v>6720</v>
      </c>
    </row>
    <row r="6192" spans="1:23" ht="15.6" x14ac:dyDescent="0.4">
      <c r="A6192" s="2" t="s">
        <v>4691</v>
      </c>
      <c r="B6192" s="5" t="s">
        <v>12124</v>
      </c>
      <c r="C6192" s="7" t="s">
        <v>12556</v>
      </c>
      <c r="D6192" s="8">
        <f t="shared" si="388"/>
        <v>1</v>
      </c>
      <c r="E6192" s="7" t="s">
        <v>12557</v>
      </c>
      <c r="F6192" s="7">
        <f t="shared" si="389"/>
        <v>1</v>
      </c>
      <c r="G6192" s="7" t="s">
        <v>12558</v>
      </c>
      <c r="H6192" s="7">
        <f t="shared" si="390"/>
        <v>0</v>
      </c>
      <c r="I6192" s="7" t="str" cm="1">
        <f t="array" ref="I6192">IFERROR(_xlfn.IFS(M6192="נח",1,M6192="נע ונח",1,M6192="שני שווא נח",2,M6192="שני שוואים בסוף מילה",2,M6192="שני שוואים ברצף",1),"0")</f>
        <v>0</v>
      </c>
      <c r="J6192" s="9">
        <f t="shared" si="391"/>
        <v>2</v>
      </c>
      <c r="K6192" t="s">
        <v>6697</v>
      </c>
      <c r="L6192" t="s">
        <v>6695</v>
      </c>
      <c r="O6192" t="s">
        <v>6694</v>
      </c>
      <c r="W6192" t="s">
        <v>6720</v>
      </c>
    </row>
    <row r="6193" spans="1:23" ht="15.6" x14ac:dyDescent="0.4">
      <c r="A6193" s="2" t="s">
        <v>4330</v>
      </c>
      <c r="B6193" s="5" t="s">
        <v>12125</v>
      </c>
      <c r="C6193" s="7" t="s">
        <v>12556</v>
      </c>
      <c r="D6193" s="8">
        <f t="shared" si="388"/>
        <v>1</v>
      </c>
      <c r="E6193" s="7" t="s">
        <v>12557</v>
      </c>
      <c r="F6193" s="7">
        <f t="shared" si="389"/>
        <v>1</v>
      </c>
      <c r="G6193" s="7" t="s">
        <v>12558</v>
      </c>
      <c r="H6193" s="7">
        <f t="shared" si="390"/>
        <v>1</v>
      </c>
      <c r="I6193" s="7" t="str" cm="1">
        <f t="array" ref="I6193">IFERROR(_xlfn.IFS(M6193="נח",1,M6193="נע ונח",1,M6193="שני שווא נח",2,M6193="שני שוואים בסוף מילה",2,M6193="שני שוואים ברצף",1),"0")</f>
        <v>0</v>
      </c>
      <c r="J6193" s="9">
        <f t="shared" si="391"/>
        <v>3</v>
      </c>
      <c r="K6193" t="s">
        <v>6697</v>
      </c>
      <c r="L6193" t="s">
        <v>6694</v>
      </c>
      <c r="M6193" t="s">
        <v>6703</v>
      </c>
      <c r="N6193" t="s">
        <v>6706</v>
      </c>
      <c r="O6193" t="s">
        <v>6694</v>
      </c>
      <c r="U6193" t="s">
        <v>6694</v>
      </c>
      <c r="W6193" t="s">
        <v>6720</v>
      </c>
    </row>
    <row r="6194" spans="1:23" ht="15.6" x14ac:dyDescent="0.4">
      <c r="A6194" s="2" t="s">
        <v>5097</v>
      </c>
      <c r="B6194" s="5" t="s">
        <v>12125</v>
      </c>
      <c r="C6194" s="7" t="s">
        <v>12556</v>
      </c>
      <c r="D6194" s="8">
        <f t="shared" si="388"/>
        <v>1</v>
      </c>
      <c r="E6194" s="7" t="s">
        <v>12557</v>
      </c>
      <c r="F6194" s="7">
        <f t="shared" si="389"/>
        <v>1</v>
      </c>
      <c r="G6194" s="7" t="s">
        <v>12558</v>
      </c>
      <c r="H6194" s="7">
        <f t="shared" si="390"/>
        <v>1</v>
      </c>
      <c r="I6194" s="7" t="str" cm="1">
        <f t="array" ref="I6194">IFERROR(_xlfn.IFS(M6194="נח",1,M6194="נע ונח",1,M6194="שני שווא נח",2,M6194="שני שוואים בסוף מילה",2,M6194="שני שוואים ברצף",1),"0")</f>
        <v>0</v>
      </c>
      <c r="J6194" s="9">
        <f t="shared" si="391"/>
        <v>3</v>
      </c>
      <c r="K6194" t="s">
        <v>6697</v>
      </c>
      <c r="L6194" t="s">
        <v>6695</v>
      </c>
      <c r="O6194" t="s">
        <v>6694</v>
      </c>
      <c r="P6194" t="s">
        <v>6694</v>
      </c>
      <c r="U6194" t="s">
        <v>6694</v>
      </c>
      <c r="W6194" t="s">
        <v>6720</v>
      </c>
    </row>
    <row r="6195" spans="1:23" ht="15.6" x14ac:dyDescent="0.4">
      <c r="A6195" s="2" t="s">
        <v>2991</v>
      </c>
      <c r="B6195" s="5" t="s">
        <v>12126</v>
      </c>
      <c r="C6195" s="7" t="s">
        <v>12556</v>
      </c>
      <c r="D6195" s="8">
        <f t="shared" si="388"/>
        <v>1</v>
      </c>
      <c r="E6195" s="7" t="s">
        <v>12557</v>
      </c>
      <c r="F6195" s="7">
        <f t="shared" si="389"/>
        <v>0</v>
      </c>
      <c r="G6195" s="7" t="s">
        <v>12558</v>
      </c>
      <c r="H6195" s="7">
        <f t="shared" si="390"/>
        <v>0</v>
      </c>
      <c r="I6195" s="7" t="str" cm="1">
        <f t="array" ref="I6195">IFERROR(_xlfn.IFS(M6195="נח",1,M6195="נע ונח",1,M6195="שני שווא נח",2,M6195="שני שוואים בסוף מילה",2,M6195="שני שוואים ברצף",1),"0")</f>
        <v>0</v>
      </c>
      <c r="J6195" s="9">
        <f t="shared" si="391"/>
        <v>2</v>
      </c>
      <c r="K6195" t="s">
        <v>6697</v>
      </c>
      <c r="L6195" t="s">
        <v>6695</v>
      </c>
      <c r="O6195" t="s">
        <v>6694</v>
      </c>
      <c r="W6195" t="s">
        <v>6720</v>
      </c>
    </row>
    <row r="6196" spans="1:23" ht="15.6" x14ac:dyDescent="0.4">
      <c r="A6196" s="2" t="s">
        <v>3631</v>
      </c>
      <c r="B6196" s="5" t="s">
        <v>12127</v>
      </c>
      <c r="C6196" s="7" t="s">
        <v>12556</v>
      </c>
      <c r="D6196" s="8">
        <f t="shared" si="388"/>
        <v>1</v>
      </c>
      <c r="E6196" s="7" t="s">
        <v>12557</v>
      </c>
      <c r="F6196" s="7">
        <f t="shared" si="389"/>
        <v>1</v>
      </c>
      <c r="G6196" s="7" t="s">
        <v>12558</v>
      </c>
      <c r="H6196" s="7">
        <f t="shared" si="390"/>
        <v>1</v>
      </c>
      <c r="I6196" s="7" t="str" cm="1">
        <f t="array" ref="I6196">IFERROR(_xlfn.IFS(M6196="נח",1,M6196="נע ונח",1,M6196="שני שווא נח",2,M6196="שני שוואים בסוף מילה",2,M6196="שני שוואים ברצף",1),"0")</f>
        <v>0</v>
      </c>
      <c r="J6196" s="9">
        <f t="shared" si="391"/>
        <v>2</v>
      </c>
      <c r="K6196" t="s">
        <v>6697</v>
      </c>
      <c r="L6196" t="s">
        <v>6695</v>
      </c>
      <c r="O6196" t="s">
        <v>6694</v>
      </c>
      <c r="U6196" t="s">
        <v>6694</v>
      </c>
      <c r="W6196" t="s">
        <v>6720</v>
      </c>
    </row>
    <row r="6197" spans="1:23" ht="15.6" x14ac:dyDescent="0.4">
      <c r="A6197" s="2" t="s">
        <v>4603</v>
      </c>
      <c r="B6197" s="5" t="s">
        <v>12128</v>
      </c>
      <c r="C6197" s="7" t="s">
        <v>12556</v>
      </c>
      <c r="D6197" s="8">
        <f t="shared" si="388"/>
        <v>1</v>
      </c>
      <c r="E6197" s="7" t="s">
        <v>12557</v>
      </c>
      <c r="F6197" s="7">
        <f t="shared" si="389"/>
        <v>0</v>
      </c>
      <c r="G6197" s="7" t="s">
        <v>12558</v>
      </c>
      <c r="H6197" s="7">
        <f t="shared" si="390"/>
        <v>0</v>
      </c>
      <c r="I6197" s="7" t="str" cm="1">
        <f t="array" ref="I6197">IFERROR(_xlfn.IFS(M6197="נח",1,M6197="נע ונח",1,M6197="שני שווא נח",2,M6197="שני שוואים בסוף מילה",2,M6197="שני שוואים ברצף",1),"0")</f>
        <v>0</v>
      </c>
      <c r="J6197" s="9">
        <f t="shared" si="391"/>
        <v>2</v>
      </c>
      <c r="K6197" t="s">
        <v>6698</v>
      </c>
      <c r="L6197" t="s">
        <v>6695</v>
      </c>
      <c r="O6197" t="s">
        <v>6694</v>
      </c>
      <c r="P6197" t="s">
        <v>6694</v>
      </c>
      <c r="W6197" t="s">
        <v>6720</v>
      </c>
    </row>
    <row r="6198" spans="1:23" ht="15.6" x14ac:dyDescent="0.4">
      <c r="A6198" s="2" t="s">
        <v>2103</v>
      </c>
      <c r="B6198" s="5" t="s">
        <v>12129</v>
      </c>
      <c r="C6198" s="7" t="s">
        <v>12556</v>
      </c>
      <c r="D6198" s="8">
        <f t="shared" si="388"/>
        <v>1</v>
      </c>
      <c r="E6198" s="7" t="s">
        <v>12557</v>
      </c>
      <c r="F6198" s="7">
        <f t="shared" si="389"/>
        <v>0</v>
      </c>
      <c r="G6198" s="7" t="s">
        <v>12558</v>
      </c>
      <c r="H6198" s="7">
        <f t="shared" si="390"/>
        <v>0</v>
      </c>
      <c r="I6198" s="7" cm="1">
        <f t="array" ref="I6198">IFERROR(_xlfn.IFS(M6198="נח",1,M6198="נע ונח",1,M6198="שני שווא נח",2,M6198="שני שוואים בסוף מילה",2,M6198="שני שוואים ברצף",1),"0")</f>
        <v>1</v>
      </c>
      <c r="J6198" s="9">
        <f t="shared" si="391"/>
        <v>3</v>
      </c>
      <c r="K6198" t="s">
        <v>6697</v>
      </c>
      <c r="L6198" t="s">
        <v>6694</v>
      </c>
      <c r="M6198" t="s">
        <v>6705</v>
      </c>
      <c r="N6198" t="s">
        <v>6706</v>
      </c>
      <c r="O6198" t="s">
        <v>6694</v>
      </c>
      <c r="Q6198" t="s">
        <v>6694</v>
      </c>
      <c r="S6198" t="s">
        <v>6694</v>
      </c>
      <c r="W6198" t="s">
        <v>6720</v>
      </c>
    </row>
    <row r="6199" spans="1:23" ht="15.6" x14ac:dyDescent="0.4">
      <c r="A6199" s="2" t="s">
        <v>5506</v>
      </c>
      <c r="B6199" s="5" t="s">
        <v>12130</v>
      </c>
      <c r="C6199" s="7" t="s">
        <v>12556</v>
      </c>
      <c r="D6199" s="8">
        <f t="shared" si="388"/>
        <v>1</v>
      </c>
      <c r="E6199" s="7" t="s">
        <v>12557</v>
      </c>
      <c r="F6199" s="7">
        <f t="shared" si="389"/>
        <v>0</v>
      </c>
      <c r="G6199" s="7" t="s">
        <v>12558</v>
      </c>
      <c r="H6199" s="7">
        <f t="shared" si="390"/>
        <v>0</v>
      </c>
      <c r="I6199" s="7" cm="1">
        <f t="array" ref="I6199">IFERROR(_xlfn.IFS(M6199="נח",1,M6199="נע ונח",1,M6199="שני שווא נח",2,M6199="שני שוואים בסוף מילה",2,M6199="שני שוואים ברצף",1),"0")</f>
        <v>1</v>
      </c>
      <c r="J6199" s="9">
        <f t="shared" si="391"/>
        <v>2</v>
      </c>
      <c r="K6199" t="s">
        <v>6697</v>
      </c>
      <c r="L6199" t="s">
        <v>6694</v>
      </c>
      <c r="M6199" t="s">
        <v>6705</v>
      </c>
      <c r="N6199" t="s">
        <v>6706</v>
      </c>
      <c r="O6199" t="s">
        <v>6694</v>
      </c>
      <c r="W6199" t="s">
        <v>6720</v>
      </c>
    </row>
    <row r="6200" spans="1:23" ht="15.6" x14ac:dyDescent="0.4">
      <c r="A6200" s="2" t="s">
        <v>5459</v>
      </c>
      <c r="B6200" s="5" t="s">
        <v>12055</v>
      </c>
      <c r="C6200" s="7" t="s">
        <v>12556</v>
      </c>
      <c r="D6200" s="8">
        <f t="shared" si="388"/>
        <v>1</v>
      </c>
      <c r="E6200" s="7" t="s">
        <v>12557</v>
      </c>
      <c r="F6200" s="7">
        <f t="shared" si="389"/>
        <v>1</v>
      </c>
      <c r="G6200" s="7" t="s">
        <v>12558</v>
      </c>
      <c r="H6200" s="7">
        <f t="shared" si="390"/>
        <v>1</v>
      </c>
      <c r="I6200" s="7" cm="1">
        <f t="array" ref="I6200">IFERROR(_xlfn.IFS(M6200="נח",1,M6200="נע ונח",1,M6200="שני שווא נח",2,M6200="שני שוואים בסוף מילה",2,M6200="שני שוואים ברצף",1),"0")</f>
        <v>1</v>
      </c>
      <c r="J6200" s="9">
        <f t="shared" si="391"/>
        <v>2</v>
      </c>
      <c r="K6200" t="s">
        <v>6697</v>
      </c>
      <c r="L6200" t="s">
        <v>6694</v>
      </c>
      <c r="M6200" t="s">
        <v>6705</v>
      </c>
      <c r="N6200" t="s">
        <v>6706</v>
      </c>
      <c r="O6200" t="s">
        <v>6694</v>
      </c>
      <c r="U6200" t="s">
        <v>6694</v>
      </c>
      <c r="W6200" t="s">
        <v>6720</v>
      </c>
    </row>
    <row r="6201" spans="1:23" ht="15.6" x14ac:dyDescent="0.4">
      <c r="A6201" s="2" t="s">
        <v>3048</v>
      </c>
      <c r="B6201" s="5" t="s">
        <v>12131</v>
      </c>
      <c r="C6201" s="7" t="s">
        <v>12556</v>
      </c>
      <c r="D6201" s="8">
        <f t="shared" si="388"/>
        <v>1</v>
      </c>
      <c r="E6201" s="7" t="s">
        <v>12557</v>
      </c>
      <c r="F6201" s="7">
        <f t="shared" si="389"/>
        <v>0</v>
      </c>
      <c r="G6201" s="7" t="s">
        <v>12558</v>
      </c>
      <c r="H6201" s="7">
        <f t="shared" si="390"/>
        <v>0</v>
      </c>
      <c r="I6201" s="7" cm="1">
        <f t="array" ref="I6201">IFERROR(_xlfn.IFS(M6201="נח",1,M6201="נע ונח",1,M6201="שני שווא נח",2,M6201="שני שוואים בסוף מילה",2,M6201="שני שוואים ברצף",1),"0")</f>
        <v>1</v>
      </c>
      <c r="J6201" s="9">
        <f t="shared" si="391"/>
        <v>2</v>
      </c>
      <c r="K6201" t="s">
        <v>6697</v>
      </c>
      <c r="L6201" t="s">
        <v>6694</v>
      </c>
      <c r="M6201" t="s">
        <v>6705</v>
      </c>
      <c r="N6201" t="s">
        <v>6706</v>
      </c>
      <c r="O6201" t="s">
        <v>6694</v>
      </c>
      <c r="W6201" t="s">
        <v>6720</v>
      </c>
    </row>
    <row r="6202" spans="1:23" ht="15.6" x14ac:dyDescent="0.4">
      <c r="A6202" s="2" t="s">
        <v>3407</v>
      </c>
      <c r="B6202" s="5" t="s">
        <v>12077</v>
      </c>
      <c r="C6202" s="7" t="s">
        <v>12556</v>
      </c>
      <c r="D6202" s="8">
        <f t="shared" si="388"/>
        <v>1</v>
      </c>
      <c r="E6202" s="7" t="s">
        <v>12557</v>
      </c>
      <c r="F6202" s="7">
        <f t="shared" si="389"/>
        <v>0</v>
      </c>
      <c r="G6202" s="7" t="s">
        <v>12558</v>
      </c>
      <c r="H6202" s="7">
        <f t="shared" si="390"/>
        <v>0</v>
      </c>
      <c r="I6202" s="7" t="str" cm="1">
        <f t="array" ref="I6202">IFERROR(_xlfn.IFS(M6202="נח",1,M6202="נע ונח",1,M6202="שני שווא נח",2,M6202="שני שוואים בסוף מילה",2,M6202="שני שוואים ברצף",1),"0")</f>
        <v>0</v>
      </c>
      <c r="J6202" s="9">
        <f t="shared" si="391"/>
        <v>2</v>
      </c>
      <c r="K6202" t="s">
        <v>6698</v>
      </c>
      <c r="L6202" t="s">
        <v>6695</v>
      </c>
      <c r="O6202" t="s">
        <v>6694</v>
      </c>
      <c r="R6202" t="s">
        <v>6694</v>
      </c>
      <c r="W6202" t="s">
        <v>6720</v>
      </c>
    </row>
    <row r="6203" spans="1:23" ht="15.6" x14ac:dyDescent="0.4">
      <c r="A6203" s="2" t="s">
        <v>4563</v>
      </c>
      <c r="B6203" s="5" t="s">
        <v>12132</v>
      </c>
      <c r="C6203" s="7" t="s">
        <v>12556</v>
      </c>
      <c r="D6203" s="8">
        <f t="shared" si="388"/>
        <v>1</v>
      </c>
      <c r="E6203" s="7" t="s">
        <v>12557</v>
      </c>
      <c r="F6203" s="7">
        <f t="shared" si="389"/>
        <v>0</v>
      </c>
      <c r="G6203" s="7" t="s">
        <v>12558</v>
      </c>
      <c r="H6203" s="7">
        <f t="shared" si="390"/>
        <v>0</v>
      </c>
      <c r="I6203" s="7" t="str" cm="1">
        <f t="array" ref="I6203">IFERROR(_xlfn.IFS(M6203="נח",1,M6203="נע ונח",1,M6203="שני שווא נח",2,M6203="שני שוואים בסוף מילה",2,M6203="שני שוואים ברצף",1),"0")</f>
        <v>0</v>
      </c>
      <c r="J6203" s="9">
        <f t="shared" si="391"/>
        <v>2</v>
      </c>
      <c r="K6203" t="s">
        <v>6698</v>
      </c>
      <c r="L6203" t="s">
        <v>6695</v>
      </c>
      <c r="O6203" t="s">
        <v>6694</v>
      </c>
      <c r="S6203" t="s">
        <v>6694</v>
      </c>
      <c r="W6203" t="s">
        <v>6720</v>
      </c>
    </row>
    <row r="6204" spans="1:23" ht="15.6" x14ac:dyDescent="0.4">
      <c r="A6204" s="2" t="s">
        <v>1687</v>
      </c>
      <c r="B6204" s="5" t="s">
        <v>12133</v>
      </c>
      <c r="C6204" s="7" t="s">
        <v>12556</v>
      </c>
      <c r="D6204" s="8">
        <f t="shared" si="388"/>
        <v>1</v>
      </c>
      <c r="E6204" s="7" t="s">
        <v>12557</v>
      </c>
      <c r="F6204" s="7">
        <f t="shared" si="389"/>
        <v>0</v>
      </c>
      <c r="G6204" s="7" t="s">
        <v>12558</v>
      </c>
      <c r="H6204" s="7">
        <f t="shared" si="390"/>
        <v>0</v>
      </c>
      <c r="I6204" s="7" t="str" cm="1">
        <f t="array" ref="I6204">IFERROR(_xlfn.IFS(M6204="נח",1,M6204="נע ונח",1,M6204="שני שווא נח",2,M6204="שני שוואים בסוף מילה",2,M6204="שני שוואים ברצף",1),"0")</f>
        <v>0</v>
      </c>
      <c r="J6204" s="9">
        <f t="shared" si="391"/>
        <v>2</v>
      </c>
      <c r="K6204" t="s">
        <v>6698</v>
      </c>
      <c r="L6204" t="s">
        <v>6695</v>
      </c>
      <c r="O6204" t="s">
        <v>6694</v>
      </c>
      <c r="P6204" t="s">
        <v>6694</v>
      </c>
      <c r="W6204" t="s">
        <v>6720</v>
      </c>
    </row>
    <row r="6205" spans="1:23" ht="15.6" x14ac:dyDescent="0.4">
      <c r="A6205" s="2" t="s">
        <v>4805</v>
      </c>
      <c r="B6205" s="5" t="s">
        <v>12134</v>
      </c>
      <c r="C6205" s="7" t="s">
        <v>12556</v>
      </c>
      <c r="D6205" s="8">
        <f t="shared" si="388"/>
        <v>2</v>
      </c>
      <c r="E6205" s="7" t="s">
        <v>12557</v>
      </c>
      <c r="F6205" s="7">
        <f t="shared" si="389"/>
        <v>0</v>
      </c>
      <c r="G6205" s="7" t="s">
        <v>12558</v>
      </c>
      <c r="H6205" s="7">
        <f t="shared" si="390"/>
        <v>0</v>
      </c>
      <c r="I6205" s="7" t="str" cm="1">
        <f t="array" ref="I6205">IFERROR(_xlfn.IFS(M6205="נח",1,M6205="נע ונח",1,M6205="שני שווא נח",2,M6205="שני שוואים בסוף מילה",2,M6205="שני שוואים ברצף",1),"0")</f>
        <v>0</v>
      </c>
      <c r="J6205" s="9">
        <f t="shared" si="391"/>
        <v>4</v>
      </c>
      <c r="K6205" t="s">
        <v>6698</v>
      </c>
      <c r="L6205" t="s">
        <v>6695</v>
      </c>
      <c r="O6205" t="s">
        <v>6694</v>
      </c>
      <c r="R6205" t="s">
        <v>6694</v>
      </c>
      <c r="W6205" t="s">
        <v>6720</v>
      </c>
    </row>
    <row r="6206" spans="1:23" ht="15.6" x14ac:dyDescent="0.4">
      <c r="A6206" s="2" t="s">
        <v>4893</v>
      </c>
      <c r="B6206" s="5" t="s">
        <v>12135</v>
      </c>
      <c r="C6206" s="7" t="s">
        <v>12556</v>
      </c>
      <c r="D6206" s="8">
        <f t="shared" si="388"/>
        <v>1</v>
      </c>
      <c r="E6206" s="7" t="s">
        <v>12557</v>
      </c>
      <c r="F6206" s="7">
        <f t="shared" si="389"/>
        <v>0</v>
      </c>
      <c r="G6206" s="7" t="s">
        <v>12558</v>
      </c>
      <c r="H6206" s="7">
        <f t="shared" si="390"/>
        <v>0</v>
      </c>
      <c r="I6206" s="7" t="str" cm="1">
        <f t="array" ref="I6206">IFERROR(_xlfn.IFS(M6206="נח",1,M6206="נע ונח",1,M6206="שני שווא נח",2,M6206="שני שוואים בסוף מילה",2,M6206="שני שוואים ברצף",1),"0")</f>
        <v>0</v>
      </c>
      <c r="J6206" s="9">
        <f t="shared" si="391"/>
        <v>2</v>
      </c>
      <c r="K6206" t="s">
        <v>6697</v>
      </c>
      <c r="L6206" t="s">
        <v>6695</v>
      </c>
      <c r="O6206" t="s">
        <v>6694</v>
      </c>
      <c r="W6206" t="s">
        <v>6720</v>
      </c>
    </row>
    <row r="6207" spans="1:23" ht="15.6" x14ac:dyDescent="0.4">
      <c r="A6207" s="2" t="s">
        <v>5110</v>
      </c>
      <c r="B6207" s="5" t="s">
        <v>12094</v>
      </c>
      <c r="C6207" s="7" t="s">
        <v>12556</v>
      </c>
      <c r="D6207" s="8">
        <f t="shared" si="388"/>
        <v>1</v>
      </c>
      <c r="E6207" s="7" t="s">
        <v>12557</v>
      </c>
      <c r="F6207" s="7">
        <f t="shared" si="389"/>
        <v>1</v>
      </c>
      <c r="G6207" s="7" t="s">
        <v>12558</v>
      </c>
      <c r="H6207" s="7">
        <f t="shared" si="390"/>
        <v>1</v>
      </c>
      <c r="I6207" s="7" t="str" cm="1">
        <f t="array" ref="I6207">IFERROR(_xlfn.IFS(M6207="נח",1,M6207="נע ונח",1,M6207="שני שווא נח",2,M6207="שני שוואים בסוף מילה",2,M6207="שני שוואים ברצף",1),"0")</f>
        <v>0</v>
      </c>
      <c r="J6207" s="9">
        <f t="shared" si="391"/>
        <v>2</v>
      </c>
      <c r="K6207" t="s">
        <v>6697</v>
      </c>
      <c r="L6207" t="s">
        <v>6695</v>
      </c>
      <c r="O6207" t="s">
        <v>6694</v>
      </c>
      <c r="U6207" t="s">
        <v>6694</v>
      </c>
      <c r="W6207" t="s">
        <v>6720</v>
      </c>
    </row>
    <row r="6208" spans="1:23" ht="15.6" x14ac:dyDescent="0.4">
      <c r="A6208" s="2" t="s">
        <v>177</v>
      </c>
      <c r="B6208" s="5" t="s">
        <v>12136</v>
      </c>
      <c r="C6208" s="7" t="s">
        <v>12556</v>
      </c>
      <c r="D6208" s="8">
        <f t="shared" si="388"/>
        <v>1</v>
      </c>
      <c r="E6208" s="7" t="s">
        <v>12557</v>
      </c>
      <c r="F6208" s="7">
        <f t="shared" si="389"/>
        <v>1</v>
      </c>
      <c r="G6208" s="7" t="s">
        <v>12558</v>
      </c>
      <c r="H6208" s="7">
        <f t="shared" si="390"/>
        <v>1</v>
      </c>
      <c r="I6208" s="7" t="str" cm="1">
        <f t="array" ref="I6208">IFERROR(_xlfn.IFS(M6208="נח",1,M6208="נע ונח",1,M6208="שני שווא נח",2,M6208="שני שוואים בסוף מילה",2,M6208="שני שוואים ברצף",1),"0")</f>
        <v>0</v>
      </c>
      <c r="J6208" s="9">
        <f t="shared" si="391"/>
        <v>2</v>
      </c>
      <c r="K6208" t="s">
        <v>6698</v>
      </c>
      <c r="L6208" t="s">
        <v>6695</v>
      </c>
      <c r="O6208" t="s">
        <v>6694</v>
      </c>
      <c r="U6208" t="s">
        <v>6694</v>
      </c>
      <c r="W6208" t="s">
        <v>6720</v>
      </c>
    </row>
    <row r="6209" spans="1:23" ht="15.6" x14ac:dyDescent="0.4">
      <c r="A6209" s="2" t="s">
        <v>719</v>
      </c>
      <c r="B6209" s="5" t="s">
        <v>12137</v>
      </c>
      <c r="C6209" s="7" t="s">
        <v>12556</v>
      </c>
      <c r="D6209" s="8">
        <f t="shared" si="388"/>
        <v>1</v>
      </c>
      <c r="E6209" s="7" t="s">
        <v>12557</v>
      </c>
      <c r="F6209" s="7">
        <f t="shared" si="389"/>
        <v>0</v>
      </c>
      <c r="G6209" s="7" t="s">
        <v>12558</v>
      </c>
      <c r="H6209" s="7">
        <f t="shared" si="390"/>
        <v>0</v>
      </c>
      <c r="I6209" s="7" t="str" cm="1">
        <f t="array" ref="I6209">IFERROR(_xlfn.IFS(M6209="נח",1,M6209="נע ונח",1,M6209="שני שווא נח",2,M6209="שני שוואים בסוף מילה",2,M6209="שני שוואים ברצף",1),"0")</f>
        <v>0</v>
      </c>
      <c r="J6209" s="9">
        <f t="shared" si="391"/>
        <v>3</v>
      </c>
      <c r="K6209" t="s">
        <v>6698</v>
      </c>
      <c r="L6209" t="s">
        <v>6695</v>
      </c>
      <c r="P6209" t="s">
        <v>6694</v>
      </c>
      <c r="S6209" t="s">
        <v>6694</v>
      </c>
      <c r="V6209" t="s">
        <v>6694</v>
      </c>
      <c r="W6209" t="s">
        <v>6720</v>
      </c>
    </row>
    <row r="6210" spans="1:23" ht="15.6" x14ac:dyDescent="0.4">
      <c r="A6210" s="2" t="s">
        <v>4108</v>
      </c>
      <c r="B6210" s="5" t="s">
        <v>12138</v>
      </c>
      <c r="C6210" s="7" t="s">
        <v>12556</v>
      </c>
      <c r="D6210" s="8">
        <f t="shared" si="388"/>
        <v>1</v>
      </c>
      <c r="E6210" s="7" t="s">
        <v>12557</v>
      </c>
      <c r="F6210" s="7">
        <f t="shared" si="389"/>
        <v>0</v>
      </c>
      <c r="G6210" s="7" t="s">
        <v>12558</v>
      </c>
      <c r="H6210" s="7">
        <f t="shared" si="390"/>
        <v>0</v>
      </c>
      <c r="I6210" s="7" t="str" cm="1">
        <f t="array" ref="I6210">IFERROR(_xlfn.IFS(M6210="נח",1,M6210="נע ונח",1,M6210="שני שווא נח",2,M6210="שני שוואים בסוף מילה",2,M6210="שני שוואים ברצף",1),"0")</f>
        <v>0</v>
      </c>
      <c r="J6210" s="9">
        <f t="shared" si="391"/>
        <v>3</v>
      </c>
      <c r="K6210" t="s">
        <v>6697</v>
      </c>
      <c r="L6210" t="s">
        <v>6695</v>
      </c>
      <c r="P6210" t="s">
        <v>6694</v>
      </c>
      <c r="S6210" t="s">
        <v>6694</v>
      </c>
      <c r="V6210" t="s">
        <v>6694</v>
      </c>
      <c r="W6210" t="s">
        <v>6720</v>
      </c>
    </row>
    <row r="6211" spans="1:23" ht="15.6" x14ac:dyDescent="0.4">
      <c r="A6211" s="2" t="s">
        <v>5238</v>
      </c>
      <c r="B6211" s="5" t="s">
        <v>11994</v>
      </c>
      <c r="C6211" s="7" t="s">
        <v>12556</v>
      </c>
      <c r="D6211" s="8">
        <f t="shared" ref="D6211:D6274" si="392">(LEN(B6211)-LEN(SUBSTITUTE(B6211,C6211,"")))</f>
        <v>1</v>
      </c>
      <c r="E6211" s="7" t="s">
        <v>12557</v>
      </c>
      <c r="F6211" s="7">
        <f t="shared" ref="F6211:F6274" si="393">(LEN(A6211)-LEN(SUBSTITUTE(A6211,E6211,"")))</f>
        <v>0</v>
      </c>
      <c r="G6211" s="7" t="s">
        <v>12558</v>
      </c>
      <c r="H6211" s="7">
        <f t="shared" ref="H6211:H6274" si="394">(LEN(A6211)-LEN(SUBSTITUTE(A6211,G6211,"")))/2</f>
        <v>0</v>
      </c>
      <c r="I6211" s="7" t="str" cm="1">
        <f t="array" ref="I6211">IFERROR(_xlfn.IFS(M6211="נח",1,M6211="נע ונח",1,M6211="שני שווא נח",2,M6211="שני שוואים בסוף מילה",2,M6211="שני שוואים ברצף",1),"0")</f>
        <v>0</v>
      </c>
      <c r="J6211" s="9">
        <f t="shared" ref="J6211:J6274" si="395">LEN(A6211)-(LEN(B6211))-D6211-F6211+H6211-I6211</f>
        <v>2</v>
      </c>
      <c r="K6211" t="s">
        <v>6698</v>
      </c>
      <c r="L6211" t="s">
        <v>6695</v>
      </c>
      <c r="Q6211" t="s">
        <v>6694</v>
      </c>
      <c r="V6211" t="s">
        <v>6694</v>
      </c>
      <c r="W6211" t="s">
        <v>6720</v>
      </c>
    </row>
    <row r="6212" spans="1:23" ht="15.6" x14ac:dyDescent="0.4">
      <c r="A6212" s="2" t="s">
        <v>5344</v>
      </c>
      <c r="B6212" s="5" t="s">
        <v>12000</v>
      </c>
      <c r="C6212" s="7" t="s">
        <v>12556</v>
      </c>
      <c r="D6212" s="8">
        <f t="shared" si="392"/>
        <v>1</v>
      </c>
      <c r="E6212" s="7" t="s">
        <v>12557</v>
      </c>
      <c r="F6212" s="7">
        <f t="shared" si="393"/>
        <v>0</v>
      </c>
      <c r="G6212" s="7" t="s">
        <v>12558</v>
      </c>
      <c r="H6212" s="7">
        <f t="shared" si="394"/>
        <v>0</v>
      </c>
      <c r="I6212" s="7" cm="1">
        <f t="array" ref="I6212">IFERROR(_xlfn.IFS(M6212="נח",1,M6212="נע ונח",1,M6212="שני שווא נח",2,M6212="שני שוואים בסוף מילה",2,M6212="שני שוואים ברצף",1),"0")</f>
        <v>1</v>
      </c>
      <c r="J6212" s="9">
        <f t="shared" si="395"/>
        <v>2</v>
      </c>
      <c r="K6212" t="s">
        <v>6698</v>
      </c>
      <c r="L6212" t="s">
        <v>6694</v>
      </c>
      <c r="M6212" t="s">
        <v>6705</v>
      </c>
      <c r="Q6212" t="s">
        <v>6694</v>
      </c>
      <c r="V6212" t="s">
        <v>6694</v>
      </c>
      <c r="W6212" t="s">
        <v>6720</v>
      </c>
    </row>
    <row r="6213" spans="1:23" ht="15.6" x14ac:dyDescent="0.4">
      <c r="A6213" s="2" t="s">
        <v>1300</v>
      </c>
      <c r="B6213" s="5" t="s">
        <v>12004</v>
      </c>
      <c r="C6213" s="7" t="s">
        <v>12556</v>
      </c>
      <c r="D6213" s="8">
        <f t="shared" si="392"/>
        <v>1</v>
      </c>
      <c r="E6213" s="7" t="s">
        <v>12557</v>
      </c>
      <c r="F6213" s="7">
        <f t="shared" si="393"/>
        <v>0</v>
      </c>
      <c r="G6213" s="7" t="s">
        <v>12558</v>
      </c>
      <c r="H6213" s="7">
        <f t="shared" si="394"/>
        <v>0</v>
      </c>
      <c r="I6213" s="7" t="str" cm="1">
        <f t="array" ref="I6213">IFERROR(_xlfn.IFS(M6213="נח",1,M6213="נע ונח",1,M6213="שני שווא נח",2,M6213="שני שוואים בסוף מילה",2,M6213="שני שוואים ברצף",1),"0")</f>
        <v>0</v>
      </c>
      <c r="J6213" s="9">
        <f t="shared" si="395"/>
        <v>2</v>
      </c>
      <c r="K6213" t="s">
        <v>6698</v>
      </c>
      <c r="L6213" t="s">
        <v>6695</v>
      </c>
      <c r="Q6213" t="s">
        <v>6694</v>
      </c>
      <c r="V6213" t="s">
        <v>6694</v>
      </c>
      <c r="W6213" t="s">
        <v>6720</v>
      </c>
    </row>
    <row r="6214" spans="1:23" ht="15.6" x14ac:dyDescent="0.4">
      <c r="A6214" s="2" t="s">
        <v>1019</v>
      </c>
      <c r="B6214" s="5" t="s">
        <v>12139</v>
      </c>
      <c r="C6214" s="7" t="s">
        <v>12556</v>
      </c>
      <c r="D6214" s="8">
        <f t="shared" si="392"/>
        <v>1</v>
      </c>
      <c r="E6214" s="7" t="s">
        <v>12557</v>
      </c>
      <c r="F6214" s="7">
        <f t="shared" si="393"/>
        <v>0</v>
      </c>
      <c r="G6214" s="7" t="s">
        <v>12558</v>
      </c>
      <c r="H6214" s="7">
        <f t="shared" si="394"/>
        <v>0</v>
      </c>
      <c r="I6214" s="7" cm="1">
        <f t="array" ref="I6214">IFERROR(_xlfn.IFS(M6214="נח",1,M6214="נע ונח",1,M6214="שני שווא נח",2,M6214="שני שוואים בסוף מילה",2,M6214="שני שוואים ברצף",1),"0")</f>
        <v>1</v>
      </c>
      <c r="J6214" s="9">
        <f t="shared" si="395"/>
        <v>2</v>
      </c>
      <c r="K6214" t="s">
        <v>6698</v>
      </c>
      <c r="L6214" t="s">
        <v>6694</v>
      </c>
      <c r="M6214" t="s">
        <v>6705</v>
      </c>
      <c r="Q6214" t="s">
        <v>6694</v>
      </c>
      <c r="V6214" t="s">
        <v>6694</v>
      </c>
      <c r="W6214" t="s">
        <v>6720</v>
      </c>
    </row>
    <row r="6215" spans="1:23" ht="15.6" x14ac:dyDescent="0.4">
      <c r="A6215" s="2" t="s">
        <v>1945</v>
      </c>
      <c r="B6215" s="5" t="s">
        <v>12011</v>
      </c>
      <c r="C6215" s="7" t="s">
        <v>12556</v>
      </c>
      <c r="D6215" s="8">
        <f t="shared" si="392"/>
        <v>1</v>
      </c>
      <c r="E6215" s="7" t="s">
        <v>12557</v>
      </c>
      <c r="F6215" s="7">
        <f t="shared" si="393"/>
        <v>0</v>
      </c>
      <c r="G6215" s="7" t="s">
        <v>12558</v>
      </c>
      <c r="H6215" s="7">
        <f t="shared" si="394"/>
        <v>0</v>
      </c>
      <c r="I6215" s="7" t="str" cm="1">
        <f t="array" ref="I6215">IFERROR(_xlfn.IFS(M6215="נח",1,M6215="נע ונח",1,M6215="שני שווא נח",2,M6215="שני שוואים בסוף מילה",2,M6215="שני שוואים ברצף",1),"0")</f>
        <v>0</v>
      </c>
      <c r="J6215" s="9">
        <f t="shared" si="395"/>
        <v>3</v>
      </c>
      <c r="K6215" t="s">
        <v>6697</v>
      </c>
      <c r="L6215" t="s">
        <v>6695</v>
      </c>
      <c r="P6215" t="s">
        <v>6694</v>
      </c>
      <c r="Q6215" t="s">
        <v>6694</v>
      </c>
      <c r="V6215" t="s">
        <v>6694</v>
      </c>
      <c r="W6215" t="s">
        <v>6720</v>
      </c>
    </row>
    <row r="6216" spans="1:23" ht="15.6" x14ac:dyDescent="0.4">
      <c r="A6216" s="2" t="s">
        <v>341</v>
      </c>
      <c r="B6216" s="5" t="s">
        <v>12140</v>
      </c>
      <c r="C6216" s="7" t="s">
        <v>12556</v>
      </c>
      <c r="D6216" s="8">
        <f t="shared" si="392"/>
        <v>1</v>
      </c>
      <c r="E6216" s="7" t="s">
        <v>12557</v>
      </c>
      <c r="F6216" s="7">
        <f t="shared" si="393"/>
        <v>0</v>
      </c>
      <c r="G6216" s="7" t="s">
        <v>12558</v>
      </c>
      <c r="H6216" s="7">
        <f t="shared" si="394"/>
        <v>0</v>
      </c>
      <c r="I6216" s="7" t="str" cm="1">
        <f t="array" ref="I6216">IFERROR(_xlfn.IFS(M6216="נח",1,M6216="נע ונח",1,M6216="שני שווא נח",2,M6216="שני שוואים בסוף מילה",2,M6216="שני שוואים ברצף",1),"0")</f>
        <v>0</v>
      </c>
      <c r="J6216" s="9">
        <f t="shared" si="395"/>
        <v>2</v>
      </c>
      <c r="K6216" t="s">
        <v>6698</v>
      </c>
      <c r="L6216" t="s">
        <v>6695</v>
      </c>
      <c r="Q6216" t="s">
        <v>6694</v>
      </c>
      <c r="V6216" t="s">
        <v>6694</v>
      </c>
      <c r="W6216" t="s">
        <v>6720</v>
      </c>
    </row>
    <row r="6217" spans="1:23" ht="15.6" x14ac:dyDescent="0.4">
      <c r="A6217" s="2" t="s">
        <v>4170</v>
      </c>
      <c r="B6217" s="5" t="s">
        <v>12141</v>
      </c>
      <c r="C6217" s="7" t="s">
        <v>12556</v>
      </c>
      <c r="D6217" s="8">
        <f t="shared" si="392"/>
        <v>1</v>
      </c>
      <c r="E6217" s="7" t="s">
        <v>12557</v>
      </c>
      <c r="F6217" s="7">
        <f t="shared" si="393"/>
        <v>0</v>
      </c>
      <c r="G6217" s="7" t="s">
        <v>12558</v>
      </c>
      <c r="H6217" s="7">
        <f t="shared" si="394"/>
        <v>0</v>
      </c>
      <c r="I6217" s="7" cm="1">
        <f t="array" ref="I6217">IFERROR(_xlfn.IFS(M6217="נח",1,M6217="נע ונח",1,M6217="שני שווא נח",2,M6217="שני שוואים בסוף מילה",2,M6217="שני שוואים ברצף",1),"0")</f>
        <v>1</v>
      </c>
      <c r="J6217" s="9">
        <f t="shared" si="395"/>
        <v>2</v>
      </c>
      <c r="K6217" t="s">
        <v>6698</v>
      </c>
      <c r="L6217" t="s">
        <v>6694</v>
      </c>
      <c r="M6217" t="s">
        <v>6705</v>
      </c>
      <c r="S6217" t="s">
        <v>6694</v>
      </c>
      <c r="V6217" t="s">
        <v>6694</v>
      </c>
      <c r="W6217" t="s">
        <v>6720</v>
      </c>
    </row>
    <row r="6218" spans="1:23" ht="15.6" x14ac:dyDescent="0.4">
      <c r="A6218" s="2" t="s">
        <v>1429</v>
      </c>
      <c r="B6218" s="5" t="s">
        <v>12142</v>
      </c>
      <c r="C6218" s="7" t="s">
        <v>12556</v>
      </c>
      <c r="D6218" s="8">
        <f t="shared" si="392"/>
        <v>1</v>
      </c>
      <c r="E6218" s="7" t="s">
        <v>12557</v>
      </c>
      <c r="F6218" s="7">
        <f t="shared" si="393"/>
        <v>0</v>
      </c>
      <c r="G6218" s="7" t="s">
        <v>12558</v>
      </c>
      <c r="H6218" s="7">
        <f t="shared" si="394"/>
        <v>0</v>
      </c>
      <c r="I6218" s="7" cm="1">
        <f t="array" ref="I6218">IFERROR(_xlfn.IFS(M6218="נח",1,M6218="נע ונח",1,M6218="שני שווא נח",2,M6218="שני שוואים בסוף מילה",2,M6218="שני שוואים ברצף",1),"0")</f>
        <v>1</v>
      </c>
      <c r="J6218" s="9">
        <f t="shared" si="395"/>
        <v>2</v>
      </c>
      <c r="K6218" t="s">
        <v>6698</v>
      </c>
      <c r="L6218" t="s">
        <v>6694</v>
      </c>
      <c r="M6218" t="s">
        <v>6705</v>
      </c>
      <c r="Q6218" t="s">
        <v>6694</v>
      </c>
      <c r="V6218" t="s">
        <v>6694</v>
      </c>
      <c r="W6218" t="s">
        <v>6720</v>
      </c>
    </row>
    <row r="6219" spans="1:23" ht="15.6" x14ac:dyDescent="0.4">
      <c r="A6219" s="2" t="s">
        <v>5586</v>
      </c>
      <c r="B6219" s="5" t="s">
        <v>12143</v>
      </c>
      <c r="C6219" s="7" t="s">
        <v>12556</v>
      </c>
      <c r="D6219" s="8">
        <f t="shared" si="392"/>
        <v>1</v>
      </c>
      <c r="E6219" s="7" t="s">
        <v>12557</v>
      </c>
      <c r="F6219" s="7">
        <f t="shared" si="393"/>
        <v>0</v>
      </c>
      <c r="G6219" s="7" t="s">
        <v>12558</v>
      </c>
      <c r="H6219" s="7">
        <f t="shared" si="394"/>
        <v>0</v>
      </c>
      <c r="I6219" s="7" cm="1">
        <f t="array" ref="I6219">IFERROR(_xlfn.IFS(M6219="נח",1,M6219="נע ונח",1,M6219="שני שווא נח",2,M6219="שני שוואים בסוף מילה",2,M6219="שני שוואים ברצף",1),"0")</f>
        <v>1</v>
      </c>
      <c r="J6219" s="9">
        <f t="shared" si="395"/>
        <v>3</v>
      </c>
      <c r="K6219" t="s">
        <v>6698</v>
      </c>
      <c r="L6219" t="s">
        <v>6694</v>
      </c>
      <c r="M6219" t="s">
        <v>6705</v>
      </c>
      <c r="Q6219" t="s">
        <v>6694</v>
      </c>
      <c r="R6219" t="s">
        <v>6694</v>
      </c>
      <c r="V6219" t="s">
        <v>6694</v>
      </c>
      <c r="W6219" t="s">
        <v>6720</v>
      </c>
    </row>
    <row r="6220" spans="1:23" ht="15.6" x14ac:dyDescent="0.4">
      <c r="A6220" s="2" t="s">
        <v>59</v>
      </c>
      <c r="B6220" s="5" t="s">
        <v>12144</v>
      </c>
      <c r="C6220" s="7" t="s">
        <v>12556</v>
      </c>
      <c r="D6220" s="8">
        <f t="shared" si="392"/>
        <v>1</v>
      </c>
      <c r="E6220" s="7" t="s">
        <v>12557</v>
      </c>
      <c r="F6220" s="7">
        <f t="shared" si="393"/>
        <v>0</v>
      </c>
      <c r="G6220" s="7" t="s">
        <v>12558</v>
      </c>
      <c r="H6220" s="7">
        <f t="shared" si="394"/>
        <v>0</v>
      </c>
      <c r="I6220" s="7" t="str" cm="1">
        <f t="array" ref="I6220">IFERROR(_xlfn.IFS(M6220="נח",1,M6220="נע ונח",1,M6220="שני שווא נח",2,M6220="שני שוואים בסוף מילה",2,M6220="שני שוואים ברצף",1),"0")</f>
        <v>0</v>
      </c>
      <c r="J6220" s="9">
        <f t="shared" si="395"/>
        <v>2</v>
      </c>
      <c r="K6220" t="s">
        <v>6698</v>
      </c>
      <c r="L6220" t="s">
        <v>6695</v>
      </c>
      <c r="Q6220" t="s">
        <v>6694</v>
      </c>
      <c r="V6220" t="s">
        <v>6694</v>
      </c>
      <c r="W6220" t="s">
        <v>6720</v>
      </c>
    </row>
    <row r="6221" spans="1:23" ht="15.6" x14ac:dyDescent="0.4">
      <c r="A6221" s="2" t="s">
        <v>1538</v>
      </c>
      <c r="B6221" s="5" t="s">
        <v>12145</v>
      </c>
      <c r="C6221" s="7" t="s">
        <v>12556</v>
      </c>
      <c r="D6221" s="8">
        <f t="shared" si="392"/>
        <v>1</v>
      </c>
      <c r="E6221" s="7" t="s">
        <v>12557</v>
      </c>
      <c r="F6221" s="7">
        <f t="shared" si="393"/>
        <v>0</v>
      </c>
      <c r="G6221" s="7" t="s">
        <v>12558</v>
      </c>
      <c r="H6221" s="7">
        <f t="shared" si="394"/>
        <v>0</v>
      </c>
      <c r="I6221" s="7" t="str" cm="1">
        <f t="array" ref="I6221">IFERROR(_xlfn.IFS(M6221="נח",1,M6221="נע ונח",1,M6221="שני שווא נח",2,M6221="שני שוואים בסוף מילה",2,M6221="שני שוואים ברצף",1),"0")</f>
        <v>0</v>
      </c>
      <c r="J6221" s="9">
        <f t="shared" si="395"/>
        <v>3</v>
      </c>
      <c r="K6221" t="s">
        <v>6697</v>
      </c>
      <c r="L6221" t="s">
        <v>6695</v>
      </c>
      <c r="O6221" t="s">
        <v>6694</v>
      </c>
      <c r="Q6221" t="s">
        <v>6694</v>
      </c>
      <c r="V6221" t="s">
        <v>6694</v>
      </c>
      <c r="W6221" t="s">
        <v>6720</v>
      </c>
    </row>
    <row r="6222" spans="1:23" ht="15.6" x14ac:dyDescent="0.4">
      <c r="A6222" s="2" t="s">
        <v>3677</v>
      </c>
      <c r="B6222" s="5" t="s">
        <v>12146</v>
      </c>
      <c r="C6222" s="7" t="s">
        <v>12556</v>
      </c>
      <c r="D6222" s="8">
        <f t="shared" si="392"/>
        <v>2</v>
      </c>
      <c r="E6222" s="7" t="s">
        <v>12557</v>
      </c>
      <c r="F6222" s="7">
        <f t="shared" si="393"/>
        <v>1</v>
      </c>
      <c r="G6222" s="7" t="s">
        <v>12558</v>
      </c>
      <c r="H6222" s="7">
        <f t="shared" si="394"/>
        <v>0</v>
      </c>
      <c r="I6222" s="7" t="str" cm="1">
        <f t="array" ref="I6222">IFERROR(_xlfn.IFS(M6222="נח",1,M6222="נע ונח",1,M6222="שני שווא נח",2,M6222="שני שוואים בסוף מילה",2,M6222="שני שוואים ברצף",1),"0")</f>
        <v>0</v>
      </c>
      <c r="J6222" s="9">
        <f t="shared" si="395"/>
        <v>3</v>
      </c>
      <c r="K6222" t="s">
        <v>6698</v>
      </c>
      <c r="L6222" t="s">
        <v>6695</v>
      </c>
      <c r="P6222" t="s">
        <v>6694</v>
      </c>
      <c r="S6222" t="s">
        <v>6694</v>
      </c>
      <c r="V6222" t="s">
        <v>6694</v>
      </c>
      <c r="W6222" t="s">
        <v>6720</v>
      </c>
    </row>
    <row r="6223" spans="1:23" ht="15.6" x14ac:dyDescent="0.4">
      <c r="A6223" s="2" t="s">
        <v>789</v>
      </c>
      <c r="B6223" s="5" t="s">
        <v>12147</v>
      </c>
      <c r="C6223" s="7" t="s">
        <v>12556</v>
      </c>
      <c r="D6223" s="8">
        <f t="shared" si="392"/>
        <v>1</v>
      </c>
      <c r="E6223" s="7" t="s">
        <v>12557</v>
      </c>
      <c r="F6223" s="7">
        <f t="shared" si="393"/>
        <v>0</v>
      </c>
      <c r="G6223" s="7" t="s">
        <v>12558</v>
      </c>
      <c r="H6223" s="7">
        <f t="shared" si="394"/>
        <v>0</v>
      </c>
      <c r="I6223" s="7" cm="1">
        <f t="array" ref="I6223">IFERROR(_xlfn.IFS(M6223="נח",1,M6223="נע ונח",1,M6223="שני שווא נח",2,M6223="שני שוואים בסוף מילה",2,M6223="שני שוואים ברצף",1),"0")</f>
        <v>1</v>
      </c>
      <c r="J6223" s="9">
        <f t="shared" si="395"/>
        <v>2</v>
      </c>
      <c r="K6223" t="s">
        <v>6698</v>
      </c>
      <c r="L6223" t="s">
        <v>6694</v>
      </c>
      <c r="M6223" t="s">
        <v>6705</v>
      </c>
      <c r="N6223" t="s">
        <v>6706</v>
      </c>
      <c r="O6223" t="s">
        <v>6694</v>
      </c>
      <c r="T6223" t="s">
        <v>6694</v>
      </c>
      <c r="W6223" t="s">
        <v>6720</v>
      </c>
    </row>
    <row r="6224" spans="1:23" ht="15.6" x14ac:dyDescent="0.4">
      <c r="A6224" s="2" t="s">
        <v>4633</v>
      </c>
      <c r="B6224" s="5" t="s">
        <v>12148</v>
      </c>
      <c r="C6224" s="7" t="s">
        <v>12556</v>
      </c>
      <c r="D6224" s="8">
        <f t="shared" si="392"/>
        <v>1</v>
      </c>
      <c r="E6224" s="7" t="s">
        <v>12557</v>
      </c>
      <c r="F6224" s="7">
        <f t="shared" si="393"/>
        <v>0</v>
      </c>
      <c r="G6224" s="7" t="s">
        <v>12558</v>
      </c>
      <c r="H6224" s="7">
        <f t="shared" si="394"/>
        <v>0</v>
      </c>
      <c r="I6224" s="7" cm="1">
        <f t="array" ref="I6224">IFERROR(_xlfn.IFS(M6224="נח",1,M6224="נע ונח",1,M6224="שני שווא נח",2,M6224="שני שוואים בסוף מילה",2,M6224="שני שוואים ברצף",1),"0")</f>
        <v>1</v>
      </c>
      <c r="J6224" s="9">
        <f t="shared" si="395"/>
        <v>3</v>
      </c>
      <c r="K6224" t="s">
        <v>6698</v>
      </c>
      <c r="L6224" t="s">
        <v>6694</v>
      </c>
      <c r="M6224" t="s">
        <v>6705</v>
      </c>
      <c r="N6224" t="s">
        <v>6706</v>
      </c>
      <c r="O6224" t="s">
        <v>6694</v>
      </c>
      <c r="T6224" t="s">
        <v>6694</v>
      </c>
      <c r="W6224" t="s">
        <v>6720</v>
      </c>
    </row>
    <row r="6225" spans="1:23" ht="15.6" x14ac:dyDescent="0.4">
      <c r="A6225" s="2" t="s">
        <v>5375</v>
      </c>
      <c r="B6225" s="5" t="s">
        <v>12149</v>
      </c>
      <c r="C6225" s="7" t="s">
        <v>12556</v>
      </c>
      <c r="D6225" s="8">
        <f t="shared" si="392"/>
        <v>1</v>
      </c>
      <c r="E6225" s="7" t="s">
        <v>12557</v>
      </c>
      <c r="F6225" s="7">
        <f t="shared" si="393"/>
        <v>0</v>
      </c>
      <c r="G6225" s="7" t="s">
        <v>12558</v>
      </c>
      <c r="H6225" s="7">
        <f t="shared" si="394"/>
        <v>0</v>
      </c>
      <c r="I6225" s="7" t="str" cm="1">
        <f t="array" ref="I6225">IFERROR(_xlfn.IFS(M6225="נח",1,M6225="נע ונח",1,M6225="שני שווא נח",2,M6225="שני שוואים בסוף מילה",2,M6225="שני שוואים ברצף",1),"0")</f>
        <v>0</v>
      </c>
      <c r="J6225" s="9">
        <f t="shared" si="395"/>
        <v>3</v>
      </c>
      <c r="K6225" t="s">
        <v>6698</v>
      </c>
      <c r="L6225" t="s">
        <v>6695</v>
      </c>
      <c r="O6225" t="s">
        <v>6694</v>
      </c>
      <c r="S6225" t="s">
        <v>6694</v>
      </c>
      <c r="T6225" t="s">
        <v>6694</v>
      </c>
      <c r="W6225" t="s">
        <v>6720</v>
      </c>
    </row>
    <row r="6226" spans="1:23" ht="15.6" x14ac:dyDescent="0.4">
      <c r="A6226" s="2" t="s">
        <v>5385</v>
      </c>
      <c r="B6226" s="5" t="s">
        <v>12055</v>
      </c>
      <c r="C6226" s="7" t="s">
        <v>12556</v>
      </c>
      <c r="D6226" s="8">
        <f t="shared" si="392"/>
        <v>1</v>
      </c>
      <c r="E6226" s="7" t="s">
        <v>12557</v>
      </c>
      <c r="F6226" s="7">
        <f t="shared" si="393"/>
        <v>2</v>
      </c>
      <c r="G6226" s="7" t="s">
        <v>12558</v>
      </c>
      <c r="H6226" s="7">
        <f t="shared" si="394"/>
        <v>1</v>
      </c>
      <c r="I6226" s="7" cm="1">
        <f t="array" ref="I6226">IFERROR(_xlfn.IFS(M6226="נח",1,M6226="נע ונח",1,M6226="שני שווא נח",2,M6226="שני שוואים בסוף מילה",2,M6226="שני שוואים ברצף",1),"0")</f>
        <v>1</v>
      </c>
      <c r="J6226" s="9">
        <f t="shared" si="395"/>
        <v>2</v>
      </c>
      <c r="K6226" t="s">
        <v>6697</v>
      </c>
      <c r="L6226" t="s">
        <v>6694</v>
      </c>
      <c r="M6226" t="s">
        <v>6705</v>
      </c>
      <c r="T6226" t="s">
        <v>6694</v>
      </c>
      <c r="U6226" t="s">
        <v>6694</v>
      </c>
      <c r="W6226" t="s">
        <v>6720</v>
      </c>
    </row>
    <row r="6227" spans="1:23" ht="15.6" x14ac:dyDescent="0.4">
      <c r="A6227" s="2" t="s">
        <v>5044</v>
      </c>
      <c r="B6227" s="5" t="s">
        <v>11989</v>
      </c>
      <c r="C6227" s="7" t="s">
        <v>12556</v>
      </c>
      <c r="D6227" s="8">
        <f t="shared" si="392"/>
        <v>1</v>
      </c>
      <c r="E6227" s="7" t="s">
        <v>12557</v>
      </c>
      <c r="F6227" s="7">
        <f t="shared" si="393"/>
        <v>1</v>
      </c>
      <c r="G6227" s="7" t="s">
        <v>12558</v>
      </c>
      <c r="H6227" s="7">
        <f t="shared" si="394"/>
        <v>0</v>
      </c>
      <c r="I6227" s="7" cm="1">
        <f t="array" ref="I6227">IFERROR(_xlfn.IFS(M6227="נח",1,M6227="נע ונח",1,M6227="שני שווא נח",2,M6227="שני שוואים בסוף מילה",2,M6227="שני שוואים ברצף",1),"0")</f>
        <v>1</v>
      </c>
      <c r="J6227" s="9">
        <f t="shared" si="395"/>
        <v>1</v>
      </c>
      <c r="K6227" t="s">
        <v>6698</v>
      </c>
      <c r="L6227" t="s">
        <v>6694</v>
      </c>
      <c r="M6227" t="s">
        <v>6705</v>
      </c>
      <c r="V6227" t="s">
        <v>6694</v>
      </c>
      <c r="W6227" t="s">
        <v>6720</v>
      </c>
    </row>
    <row r="6228" spans="1:23" ht="15.6" x14ac:dyDescent="0.4">
      <c r="A6228" s="2" t="s">
        <v>3988</v>
      </c>
      <c r="B6228" s="5" t="s">
        <v>12010</v>
      </c>
      <c r="C6228" s="7" t="s">
        <v>12556</v>
      </c>
      <c r="D6228" s="8">
        <f t="shared" si="392"/>
        <v>1</v>
      </c>
      <c r="E6228" s="7" t="s">
        <v>12557</v>
      </c>
      <c r="F6228" s="7">
        <f t="shared" si="393"/>
        <v>1</v>
      </c>
      <c r="G6228" s="7" t="s">
        <v>12558</v>
      </c>
      <c r="H6228" s="7">
        <f t="shared" si="394"/>
        <v>0</v>
      </c>
      <c r="I6228" s="7" cm="1">
        <f t="array" ref="I6228">IFERROR(_xlfn.IFS(M6228="נח",1,M6228="נע ונח",1,M6228="שני שווא נח",2,M6228="שני שוואים בסוף מילה",2,M6228="שני שוואים ברצף",1),"0")</f>
        <v>1</v>
      </c>
      <c r="J6228" s="9">
        <f t="shared" si="395"/>
        <v>2</v>
      </c>
      <c r="K6228" t="s">
        <v>6697</v>
      </c>
      <c r="L6228" t="s">
        <v>6694</v>
      </c>
      <c r="M6228" t="s">
        <v>6705</v>
      </c>
      <c r="O6228" t="s">
        <v>6694</v>
      </c>
      <c r="S6228" t="s">
        <v>6694</v>
      </c>
      <c r="W6228" t="s">
        <v>6720</v>
      </c>
    </row>
    <row r="6229" spans="1:23" ht="15.6" x14ac:dyDescent="0.4">
      <c r="A6229" s="2" t="s">
        <v>4537</v>
      </c>
      <c r="B6229" s="5" t="s">
        <v>12150</v>
      </c>
      <c r="C6229" s="7" t="s">
        <v>12556</v>
      </c>
      <c r="D6229" s="8">
        <f t="shared" si="392"/>
        <v>1</v>
      </c>
      <c r="E6229" s="7" t="s">
        <v>12557</v>
      </c>
      <c r="F6229" s="7">
        <f t="shared" si="393"/>
        <v>1</v>
      </c>
      <c r="G6229" s="7" t="s">
        <v>12558</v>
      </c>
      <c r="H6229" s="7">
        <f t="shared" si="394"/>
        <v>0</v>
      </c>
      <c r="I6229" s="7" t="str" cm="1">
        <f t="array" ref="I6229">IFERROR(_xlfn.IFS(M6229="נח",1,M6229="נע ונח",1,M6229="שני שווא נח",2,M6229="שני שוואים בסוף מילה",2,M6229="שני שוואים ברצף",1),"0")</f>
        <v>0</v>
      </c>
      <c r="J6229" s="9">
        <f t="shared" si="395"/>
        <v>2</v>
      </c>
      <c r="K6229" t="s">
        <v>6697</v>
      </c>
      <c r="L6229" t="s">
        <v>6695</v>
      </c>
      <c r="R6229" t="s">
        <v>6694</v>
      </c>
      <c r="S6229" t="s">
        <v>6694</v>
      </c>
      <c r="W6229" t="s">
        <v>6720</v>
      </c>
    </row>
    <row r="6230" spans="1:23" ht="15.6" x14ac:dyDescent="0.4">
      <c r="A6230" s="2" t="s">
        <v>6446</v>
      </c>
      <c r="B6230" s="5" t="s">
        <v>12102</v>
      </c>
      <c r="C6230" s="7" t="s">
        <v>12556</v>
      </c>
      <c r="D6230" s="8">
        <f t="shared" si="392"/>
        <v>1</v>
      </c>
      <c r="E6230" s="7" t="s">
        <v>12557</v>
      </c>
      <c r="F6230" s="7">
        <f t="shared" si="393"/>
        <v>1</v>
      </c>
      <c r="G6230" s="7" t="s">
        <v>12558</v>
      </c>
      <c r="H6230" s="7">
        <f t="shared" si="394"/>
        <v>0</v>
      </c>
      <c r="I6230" s="7" t="str" cm="1">
        <f t="array" ref="I6230">IFERROR(_xlfn.IFS(M6230="נח",1,M6230="נע ונח",1,M6230="שני שווא נח",2,M6230="שני שוואים בסוף מילה",2,M6230="שני שוואים ברצף",1),"0")</f>
        <v>0</v>
      </c>
      <c r="J6230" s="9">
        <f t="shared" si="395"/>
        <v>2</v>
      </c>
      <c r="K6230" t="s">
        <v>6698</v>
      </c>
      <c r="L6230" t="s">
        <v>6695</v>
      </c>
      <c r="O6230" t="s">
        <v>6694</v>
      </c>
      <c r="P6230" t="s">
        <v>6694</v>
      </c>
      <c r="W6230" t="s">
        <v>6720</v>
      </c>
    </row>
    <row r="6231" spans="1:23" ht="15.6" x14ac:dyDescent="0.4">
      <c r="A6231" s="2" t="s">
        <v>5970</v>
      </c>
      <c r="B6231" s="5" t="s">
        <v>12151</v>
      </c>
      <c r="C6231" s="7" t="s">
        <v>12556</v>
      </c>
      <c r="D6231" s="8">
        <f t="shared" si="392"/>
        <v>1</v>
      </c>
      <c r="E6231" s="7" t="s">
        <v>12557</v>
      </c>
      <c r="F6231" s="7">
        <f t="shared" si="393"/>
        <v>1</v>
      </c>
      <c r="G6231" s="7" t="s">
        <v>12558</v>
      </c>
      <c r="H6231" s="7">
        <f t="shared" si="394"/>
        <v>0</v>
      </c>
      <c r="I6231" s="7" t="str" cm="1">
        <f t="array" ref="I6231">IFERROR(_xlfn.IFS(M6231="נח",1,M6231="נע ונח",1,M6231="שני שווא נח",2,M6231="שני שוואים בסוף מילה",2,M6231="שני שוואים ברצף",1),"0")</f>
        <v>0</v>
      </c>
      <c r="J6231" s="9">
        <f t="shared" si="395"/>
        <v>2</v>
      </c>
      <c r="K6231" t="s">
        <v>6698</v>
      </c>
      <c r="L6231" t="s">
        <v>6695</v>
      </c>
      <c r="P6231" t="s">
        <v>6694</v>
      </c>
      <c r="V6231" t="s">
        <v>6694</v>
      </c>
      <c r="W6231" t="s">
        <v>6720</v>
      </c>
    </row>
    <row r="6232" spans="1:23" ht="15.6" x14ac:dyDescent="0.4">
      <c r="A6232" s="2" t="s">
        <v>973</v>
      </c>
      <c r="B6232" s="5" t="s">
        <v>12152</v>
      </c>
      <c r="C6232" s="7" t="s">
        <v>12556</v>
      </c>
      <c r="D6232" s="8">
        <f t="shared" si="392"/>
        <v>1</v>
      </c>
      <c r="E6232" s="7" t="s">
        <v>12557</v>
      </c>
      <c r="F6232" s="7">
        <f t="shared" si="393"/>
        <v>0</v>
      </c>
      <c r="G6232" s="7" t="s">
        <v>12558</v>
      </c>
      <c r="H6232" s="7">
        <f t="shared" si="394"/>
        <v>0</v>
      </c>
      <c r="I6232" s="7" t="str" cm="1">
        <f t="array" ref="I6232">IFERROR(_xlfn.IFS(M6232="נח",1,M6232="נע ונח",1,M6232="שני שווא נח",2,M6232="שני שוואים בסוף מילה",2,M6232="שני שוואים ברצף",1),"0")</f>
        <v>0</v>
      </c>
      <c r="J6232" s="9">
        <f t="shared" si="395"/>
        <v>2</v>
      </c>
      <c r="K6232" t="s">
        <v>6697</v>
      </c>
      <c r="L6232" t="s">
        <v>6695</v>
      </c>
      <c r="O6232" t="s">
        <v>6694</v>
      </c>
      <c r="V6232" t="s">
        <v>6694</v>
      </c>
      <c r="W6232" t="s">
        <v>6720</v>
      </c>
    </row>
    <row r="6233" spans="1:23" ht="15.6" x14ac:dyDescent="0.4">
      <c r="A6233" s="2" t="s">
        <v>5933</v>
      </c>
      <c r="B6233" s="5" t="s">
        <v>12153</v>
      </c>
      <c r="C6233" s="7" t="s">
        <v>12556</v>
      </c>
      <c r="D6233" s="8">
        <f t="shared" si="392"/>
        <v>1</v>
      </c>
      <c r="E6233" s="7" t="s">
        <v>12557</v>
      </c>
      <c r="F6233" s="7">
        <f t="shared" si="393"/>
        <v>1</v>
      </c>
      <c r="G6233" s="7" t="s">
        <v>12558</v>
      </c>
      <c r="H6233" s="7">
        <f t="shared" si="394"/>
        <v>1</v>
      </c>
      <c r="I6233" s="7" t="str" cm="1">
        <f t="array" ref="I6233">IFERROR(_xlfn.IFS(M6233="נח",1,M6233="נע ונח",1,M6233="שני שווא נח",2,M6233="שני שוואים בסוף מילה",2,M6233="שני שוואים ברצף",1),"0")</f>
        <v>0</v>
      </c>
      <c r="J6233" s="9">
        <f t="shared" si="395"/>
        <v>3</v>
      </c>
      <c r="K6233" t="s">
        <v>6697</v>
      </c>
      <c r="L6233" t="s">
        <v>6695</v>
      </c>
      <c r="Q6233" t="s">
        <v>6694</v>
      </c>
      <c r="U6233" t="s">
        <v>6694</v>
      </c>
      <c r="V6233" t="s">
        <v>6694</v>
      </c>
      <c r="W6233" t="s">
        <v>6720</v>
      </c>
    </row>
    <row r="6234" spans="1:23" ht="15.6" x14ac:dyDescent="0.4">
      <c r="A6234" s="2" t="s">
        <v>5956</v>
      </c>
      <c r="B6234" s="5" t="s">
        <v>12154</v>
      </c>
      <c r="C6234" s="7" t="s">
        <v>12556</v>
      </c>
      <c r="D6234" s="8">
        <f t="shared" si="392"/>
        <v>1</v>
      </c>
      <c r="E6234" s="7" t="s">
        <v>12557</v>
      </c>
      <c r="F6234" s="7">
        <f t="shared" si="393"/>
        <v>0</v>
      </c>
      <c r="G6234" s="7" t="s">
        <v>12558</v>
      </c>
      <c r="H6234" s="7">
        <f t="shared" si="394"/>
        <v>0</v>
      </c>
      <c r="I6234" s="7" cm="1">
        <f t="array" ref="I6234">IFERROR(_xlfn.IFS(M6234="נח",1,M6234="נע ונח",1,M6234="שני שווא נח",2,M6234="שני שוואים בסוף מילה",2,M6234="שני שוואים ברצף",1),"0")</f>
        <v>1</v>
      </c>
      <c r="J6234" s="9">
        <f t="shared" si="395"/>
        <v>2</v>
      </c>
      <c r="K6234" t="s">
        <v>6697</v>
      </c>
      <c r="L6234" t="s">
        <v>6694</v>
      </c>
      <c r="M6234" t="s">
        <v>6705</v>
      </c>
      <c r="S6234" t="s">
        <v>6694</v>
      </c>
      <c r="V6234" t="s">
        <v>6694</v>
      </c>
      <c r="W6234" t="s">
        <v>6720</v>
      </c>
    </row>
    <row r="6235" spans="1:23" ht="15.6" x14ac:dyDescent="0.4">
      <c r="A6235" s="2" t="s">
        <v>2380</v>
      </c>
      <c r="B6235" s="5" t="s">
        <v>12155</v>
      </c>
      <c r="C6235" s="7" t="s">
        <v>12556</v>
      </c>
      <c r="D6235" s="8">
        <f t="shared" si="392"/>
        <v>1</v>
      </c>
      <c r="E6235" s="7" t="s">
        <v>12557</v>
      </c>
      <c r="F6235" s="7">
        <f t="shared" si="393"/>
        <v>0</v>
      </c>
      <c r="G6235" s="7" t="s">
        <v>12558</v>
      </c>
      <c r="H6235" s="7">
        <f t="shared" si="394"/>
        <v>0</v>
      </c>
      <c r="I6235" s="7" t="str" cm="1">
        <f t="array" ref="I6235">IFERROR(_xlfn.IFS(M6235="נח",1,M6235="נע ונח",1,M6235="שני שווא נח",2,M6235="שני שוואים בסוף מילה",2,M6235="שני שוואים ברצף",1),"0")</f>
        <v>0</v>
      </c>
      <c r="J6235" s="9">
        <f t="shared" si="395"/>
        <v>2</v>
      </c>
      <c r="K6235" t="s">
        <v>6698</v>
      </c>
      <c r="L6235" t="s">
        <v>6695</v>
      </c>
      <c r="Q6235" t="s">
        <v>6694</v>
      </c>
      <c r="V6235" t="s">
        <v>6694</v>
      </c>
      <c r="W6235" t="s">
        <v>6720</v>
      </c>
    </row>
    <row r="6236" spans="1:23" ht="15.6" x14ac:dyDescent="0.4">
      <c r="A6236" s="2" t="s">
        <v>1479</v>
      </c>
      <c r="B6236" s="5" t="s">
        <v>12156</v>
      </c>
      <c r="C6236" s="7" t="s">
        <v>12556</v>
      </c>
      <c r="D6236" s="8">
        <f t="shared" si="392"/>
        <v>1</v>
      </c>
      <c r="E6236" s="7" t="s">
        <v>12557</v>
      </c>
      <c r="F6236" s="7">
        <f t="shared" si="393"/>
        <v>0</v>
      </c>
      <c r="G6236" s="7" t="s">
        <v>12558</v>
      </c>
      <c r="H6236" s="7">
        <f t="shared" si="394"/>
        <v>0</v>
      </c>
      <c r="I6236" s="7" t="str" cm="1">
        <f t="array" ref="I6236">IFERROR(_xlfn.IFS(M6236="נח",1,M6236="נע ונח",1,M6236="שני שווא נח",2,M6236="שני שוואים בסוף מילה",2,M6236="שני שוואים ברצף",1),"0")</f>
        <v>0</v>
      </c>
      <c r="J6236" s="9">
        <f t="shared" si="395"/>
        <v>2</v>
      </c>
      <c r="K6236" t="s">
        <v>6698</v>
      </c>
      <c r="L6236" t="s">
        <v>6695</v>
      </c>
      <c r="N6236" t="s">
        <v>6706</v>
      </c>
      <c r="O6236" t="s">
        <v>6694</v>
      </c>
      <c r="V6236" t="s">
        <v>6694</v>
      </c>
      <c r="W6236" t="s">
        <v>6720</v>
      </c>
    </row>
    <row r="6237" spans="1:23" ht="15.6" x14ac:dyDescent="0.4">
      <c r="A6237" s="2" t="s">
        <v>1092</v>
      </c>
      <c r="B6237" s="5" t="s">
        <v>12157</v>
      </c>
      <c r="C6237" s="7" t="s">
        <v>12556</v>
      </c>
      <c r="D6237" s="8">
        <f t="shared" si="392"/>
        <v>1</v>
      </c>
      <c r="E6237" s="7" t="s">
        <v>12557</v>
      </c>
      <c r="F6237" s="7">
        <f t="shared" si="393"/>
        <v>0</v>
      </c>
      <c r="G6237" s="7" t="s">
        <v>12558</v>
      </c>
      <c r="H6237" s="7">
        <f t="shared" si="394"/>
        <v>0</v>
      </c>
      <c r="I6237" s="7" t="str" cm="1">
        <f t="array" ref="I6237">IFERROR(_xlfn.IFS(M6237="נח",1,M6237="נע ונח",1,M6237="שני שווא נח",2,M6237="שני שוואים בסוף מילה",2,M6237="שני שוואים ברצף",1),"0")</f>
        <v>0</v>
      </c>
      <c r="J6237" s="9">
        <f t="shared" si="395"/>
        <v>1</v>
      </c>
      <c r="K6237" t="s">
        <v>6698</v>
      </c>
      <c r="L6237" t="s">
        <v>6695</v>
      </c>
      <c r="V6237" t="s">
        <v>6694</v>
      </c>
      <c r="W6237" t="s">
        <v>6720</v>
      </c>
    </row>
    <row r="6238" spans="1:23" ht="15.6" x14ac:dyDescent="0.4">
      <c r="A6238" s="2" t="s">
        <v>4075</v>
      </c>
      <c r="B6238" s="5" t="s">
        <v>12158</v>
      </c>
      <c r="C6238" s="7" t="s">
        <v>12556</v>
      </c>
      <c r="D6238" s="8">
        <f t="shared" si="392"/>
        <v>1</v>
      </c>
      <c r="E6238" s="7" t="s">
        <v>12557</v>
      </c>
      <c r="F6238" s="7">
        <f t="shared" si="393"/>
        <v>0</v>
      </c>
      <c r="G6238" s="7" t="s">
        <v>12558</v>
      </c>
      <c r="H6238" s="7">
        <f t="shared" si="394"/>
        <v>0</v>
      </c>
      <c r="I6238" s="7" t="str" cm="1">
        <f t="array" ref="I6238">IFERROR(_xlfn.IFS(M6238="נח",1,M6238="נע ונח",1,M6238="שני שווא נח",2,M6238="שני שוואים בסוף מילה",2,M6238="שני שוואים ברצף",1),"0")</f>
        <v>0</v>
      </c>
      <c r="J6238" s="9">
        <f t="shared" si="395"/>
        <v>3</v>
      </c>
      <c r="K6238" t="s">
        <v>6698</v>
      </c>
      <c r="L6238" t="s">
        <v>6694</v>
      </c>
      <c r="M6238" t="s">
        <v>6703</v>
      </c>
      <c r="P6238" t="s">
        <v>6694</v>
      </c>
      <c r="V6238" t="s">
        <v>6694</v>
      </c>
      <c r="W6238" t="s">
        <v>6720</v>
      </c>
    </row>
    <row r="6239" spans="1:23" ht="15.6" x14ac:dyDescent="0.4">
      <c r="A6239" s="2" t="s">
        <v>3170</v>
      </c>
      <c r="B6239" s="5" t="s">
        <v>12158</v>
      </c>
      <c r="C6239" s="7" t="s">
        <v>12556</v>
      </c>
      <c r="D6239" s="8">
        <f t="shared" si="392"/>
        <v>1</v>
      </c>
      <c r="E6239" s="7" t="s">
        <v>12557</v>
      </c>
      <c r="F6239" s="7">
        <f t="shared" si="393"/>
        <v>0</v>
      </c>
      <c r="G6239" s="7" t="s">
        <v>12558</v>
      </c>
      <c r="H6239" s="7">
        <f t="shared" si="394"/>
        <v>0</v>
      </c>
      <c r="I6239" s="7" t="str" cm="1">
        <f t="array" ref="I6239">IFERROR(_xlfn.IFS(M6239="נח",1,M6239="נע ונח",1,M6239="שני שווא נח",2,M6239="שני שוואים בסוף מילה",2,M6239="שני שוואים ברצף",1),"0")</f>
        <v>0</v>
      </c>
      <c r="J6239" s="9">
        <f t="shared" si="395"/>
        <v>3</v>
      </c>
      <c r="K6239" t="s">
        <v>6698</v>
      </c>
      <c r="L6239" t="s">
        <v>6694</v>
      </c>
      <c r="M6239" t="s">
        <v>6703</v>
      </c>
      <c r="N6239" t="s">
        <v>6706</v>
      </c>
      <c r="O6239" t="s">
        <v>6694</v>
      </c>
      <c r="V6239" t="s">
        <v>6694</v>
      </c>
      <c r="W6239" t="s">
        <v>6720</v>
      </c>
    </row>
    <row r="6240" spans="1:23" ht="15.6" x14ac:dyDescent="0.4">
      <c r="A6240" s="2" t="s">
        <v>4570</v>
      </c>
      <c r="B6240" s="5" t="s">
        <v>12159</v>
      </c>
      <c r="C6240" s="7" t="s">
        <v>12556</v>
      </c>
      <c r="D6240" s="8">
        <f t="shared" si="392"/>
        <v>2</v>
      </c>
      <c r="E6240" s="7" t="s">
        <v>12557</v>
      </c>
      <c r="F6240" s="7">
        <f t="shared" si="393"/>
        <v>1</v>
      </c>
      <c r="G6240" s="7" t="s">
        <v>12558</v>
      </c>
      <c r="H6240" s="7">
        <f t="shared" si="394"/>
        <v>0</v>
      </c>
      <c r="I6240" s="7" t="str" cm="1">
        <f t="array" ref="I6240">IFERROR(_xlfn.IFS(M6240="נח",1,M6240="נע ונח",1,M6240="שני שווא נח",2,M6240="שני שוואים בסוף מילה",2,M6240="שני שוואים ברצף",1),"0")</f>
        <v>0</v>
      </c>
      <c r="J6240" s="9">
        <f t="shared" si="395"/>
        <v>3</v>
      </c>
      <c r="K6240" t="s">
        <v>6698</v>
      </c>
      <c r="L6240" t="s">
        <v>6695</v>
      </c>
      <c r="P6240" t="s">
        <v>6694</v>
      </c>
      <c r="S6240" t="s">
        <v>6694</v>
      </c>
      <c r="V6240" t="s">
        <v>6694</v>
      </c>
      <c r="W6240" t="s">
        <v>6720</v>
      </c>
    </row>
    <row r="6241" spans="1:23" ht="15.6" x14ac:dyDescent="0.4">
      <c r="A6241" s="2" t="s">
        <v>4605</v>
      </c>
      <c r="B6241" s="5" t="s">
        <v>12160</v>
      </c>
      <c r="C6241" s="7" t="s">
        <v>12556</v>
      </c>
      <c r="D6241" s="8">
        <f t="shared" si="392"/>
        <v>1</v>
      </c>
      <c r="E6241" s="7" t="s">
        <v>12557</v>
      </c>
      <c r="F6241" s="7">
        <f t="shared" si="393"/>
        <v>0</v>
      </c>
      <c r="G6241" s="7" t="s">
        <v>12558</v>
      </c>
      <c r="H6241" s="7">
        <f t="shared" si="394"/>
        <v>0</v>
      </c>
      <c r="I6241" s="7" t="str" cm="1">
        <f t="array" ref="I6241">IFERROR(_xlfn.IFS(M6241="נח",1,M6241="נע ונח",1,M6241="שני שווא נח",2,M6241="שני שוואים בסוף מילה",2,M6241="שני שוואים ברצף",1),"0")</f>
        <v>0</v>
      </c>
      <c r="J6241" s="9">
        <f t="shared" si="395"/>
        <v>2</v>
      </c>
      <c r="K6241" t="s">
        <v>6698</v>
      </c>
      <c r="L6241" t="s">
        <v>6695</v>
      </c>
      <c r="Q6241" t="s">
        <v>6694</v>
      </c>
      <c r="V6241" t="s">
        <v>6694</v>
      </c>
      <c r="W6241" t="s">
        <v>6720</v>
      </c>
    </row>
    <row r="6242" spans="1:23" ht="15.6" x14ac:dyDescent="0.4">
      <c r="A6242" s="2" t="s">
        <v>4821</v>
      </c>
      <c r="B6242" s="5" t="s">
        <v>12161</v>
      </c>
      <c r="C6242" s="7" t="s">
        <v>12556</v>
      </c>
      <c r="D6242" s="8">
        <f t="shared" si="392"/>
        <v>1</v>
      </c>
      <c r="E6242" s="7" t="s">
        <v>12557</v>
      </c>
      <c r="F6242" s="7">
        <f t="shared" si="393"/>
        <v>1</v>
      </c>
      <c r="G6242" s="7" t="s">
        <v>12558</v>
      </c>
      <c r="H6242" s="7">
        <f t="shared" si="394"/>
        <v>1</v>
      </c>
      <c r="I6242" s="7" t="str" cm="1">
        <f t="array" ref="I6242">IFERROR(_xlfn.IFS(M6242="נח",1,M6242="נע ונח",1,M6242="שני שווא נח",2,M6242="שני שוואים בסוף מילה",2,M6242="שני שוואים ברצף",1),"0")</f>
        <v>0</v>
      </c>
      <c r="J6242" s="9">
        <f t="shared" si="395"/>
        <v>1</v>
      </c>
      <c r="K6242" t="s">
        <v>6698</v>
      </c>
      <c r="L6242" t="s">
        <v>6695</v>
      </c>
      <c r="U6242" t="s">
        <v>6694</v>
      </c>
      <c r="W6242" t="s">
        <v>6720</v>
      </c>
    </row>
    <row r="6243" spans="1:23" ht="15.6" x14ac:dyDescent="0.4">
      <c r="A6243" s="2" t="s">
        <v>345</v>
      </c>
      <c r="B6243" s="5" t="s">
        <v>12162</v>
      </c>
      <c r="C6243" s="7" t="s">
        <v>12556</v>
      </c>
      <c r="D6243" s="8">
        <f t="shared" si="392"/>
        <v>1</v>
      </c>
      <c r="E6243" s="7" t="s">
        <v>12557</v>
      </c>
      <c r="F6243" s="7">
        <f t="shared" si="393"/>
        <v>1</v>
      </c>
      <c r="G6243" s="7" t="s">
        <v>12558</v>
      </c>
      <c r="H6243" s="7">
        <f t="shared" si="394"/>
        <v>1</v>
      </c>
      <c r="I6243" s="7" t="str" cm="1">
        <f t="array" ref="I6243">IFERROR(_xlfn.IFS(M6243="נח",1,M6243="נע ונח",1,M6243="שני שווא נח",2,M6243="שני שוואים בסוף מילה",2,M6243="שני שוואים ברצף",1),"0")</f>
        <v>0</v>
      </c>
      <c r="J6243" s="9">
        <f t="shared" si="395"/>
        <v>2</v>
      </c>
      <c r="K6243" t="s">
        <v>6697</v>
      </c>
      <c r="L6243" t="s">
        <v>6695</v>
      </c>
      <c r="S6243" t="s">
        <v>6694</v>
      </c>
      <c r="U6243" t="s">
        <v>6694</v>
      </c>
      <c r="W6243" t="s">
        <v>6720</v>
      </c>
    </row>
    <row r="6244" spans="1:23" ht="15.6" x14ac:dyDescent="0.4">
      <c r="A6244" s="2" t="s">
        <v>4927</v>
      </c>
      <c r="B6244" s="5" t="s">
        <v>12163</v>
      </c>
      <c r="C6244" s="7" t="s">
        <v>12556</v>
      </c>
      <c r="D6244" s="8">
        <f t="shared" si="392"/>
        <v>1</v>
      </c>
      <c r="E6244" s="7" t="s">
        <v>12557</v>
      </c>
      <c r="F6244" s="7">
        <f t="shared" si="393"/>
        <v>2</v>
      </c>
      <c r="G6244" s="7" t="s">
        <v>12558</v>
      </c>
      <c r="H6244" s="7">
        <f t="shared" si="394"/>
        <v>2</v>
      </c>
      <c r="I6244" s="7" t="str" cm="1">
        <f t="array" ref="I6244">IFERROR(_xlfn.IFS(M6244="נח",1,M6244="נע ונח",1,M6244="שני שווא נח",2,M6244="שני שוואים בסוף מילה",2,M6244="שני שוואים ברצף",1),"0")</f>
        <v>0</v>
      </c>
      <c r="J6244" s="9">
        <f t="shared" si="395"/>
        <v>3</v>
      </c>
      <c r="K6244" t="s">
        <v>6697</v>
      </c>
      <c r="L6244" t="s">
        <v>6695</v>
      </c>
      <c r="Q6244" t="s">
        <v>6694</v>
      </c>
      <c r="U6244" t="s">
        <v>6694</v>
      </c>
      <c r="W6244" t="s">
        <v>6720</v>
      </c>
    </row>
    <row r="6245" spans="1:23" ht="15.6" x14ac:dyDescent="0.4">
      <c r="A6245" s="2" t="s">
        <v>3188</v>
      </c>
      <c r="B6245" s="5" t="s">
        <v>12164</v>
      </c>
      <c r="C6245" s="7" t="s">
        <v>12556</v>
      </c>
      <c r="D6245" s="8">
        <f t="shared" si="392"/>
        <v>1</v>
      </c>
      <c r="E6245" s="7" t="s">
        <v>12557</v>
      </c>
      <c r="F6245" s="7">
        <f t="shared" si="393"/>
        <v>1</v>
      </c>
      <c r="G6245" s="7" t="s">
        <v>12558</v>
      </c>
      <c r="H6245" s="7">
        <f t="shared" si="394"/>
        <v>1</v>
      </c>
      <c r="I6245" s="7" t="str" cm="1">
        <f t="array" ref="I6245">IFERROR(_xlfn.IFS(M6245="נח",1,M6245="נע ונח",1,M6245="שני שווא נח",2,M6245="שני שוואים בסוף מילה",2,M6245="שני שוואים ברצף",1),"0")</f>
        <v>0</v>
      </c>
      <c r="J6245" s="9">
        <f t="shared" si="395"/>
        <v>2</v>
      </c>
      <c r="K6245" t="s">
        <v>6697</v>
      </c>
      <c r="L6245" t="s">
        <v>6695</v>
      </c>
      <c r="O6245" t="s">
        <v>6694</v>
      </c>
      <c r="U6245" t="s">
        <v>6694</v>
      </c>
      <c r="W6245" t="s">
        <v>6720</v>
      </c>
    </row>
    <row r="6246" spans="1:23" ht="15.6" x14ac:dyDescent="0.4">
      <c r="A6246" s="2" t="s">
        <v>6188</v>
      </c>
      <c r="B6246" s="5" t="s">
        <v>12157</v>
      </c>
      <c r="C6246" s="7" t="s">
        <v>12556</v>
      </c>
      <c r="D6246" s="8">
        <f t="shared" si="392"/>
        <v>1</v>
      </c>
      <c r="E6246" s="7" t="s">
        <v>12557</v>
      </c>
      <c r="F6246" s="7">
        <f t="shared" si="393"/>
        <v>1</v>
      </c>
      <c r="G6246" s="7" t="s">
        <v>12558</v>
      </c>
      <c r="H6246" s="7">
        <f t="shared" si="394"/>
        <v>1</v>
      </c>
      <c r="I6246" s="7" t="str" cm="1">
        <f t="array" ref="I6246">IFERROR(_xlfn.IFS(M6246="נח",1,M6246="נע ונח",1,M6246="שני שווא נח",2,M6246="שני שוואים בסוף מילה",2,M6246="שני שוואים ברצף",1),"0")</f>
        <v>0</v>
      </c>
      <c r="J6246" s="9">
        <f t="shared" si="395"/>
        <v>1</v>
      </c>
      <c r="K6246" t="s">
        <v>6698</v>
      </c>
      <c r="L6246" t="s">
        <v>6695</v>
      </c>
      <c r="U6246" t="s">
        <v>6694</v>
      </c>
      <c r="W6246" t="s">
        <v>6720</v>
      </c>
    </row>
    <row r="6247" spans="1:23" ht="15.6" x14ac:dyDescent="0.4">
      <c r="A6247" s="2" t="s">
        <v>4222</v>
      </c>
      <c r="B6247" s="5" t="s">
        <v>12165</v>
      </c>
      <c r="C6247" s="7" t="s">
        <v>12556</v>
      </c>
      <c r="D6247" s="8">
        <f t="shared" si="392"/>
        <v>2</v>
      </c>
      <c r="E6247" s="7" t="s">
        <v>12557</v>
      </c>
      <c r="F6247" s="7">
        <f t="shared" si="393"/>
        <v>1</v>
      </c>
      <c r="G6247" s="7" t="s">
        <v>12558</v>
      </c>
      <c r="H6247" s="7">
        <f t="shared" si="394"/>
        <v>1</v>
      </c>
      <c r="I6247" s="7" t="str" cm="1">
        <f t="array" ref="I6247">IFERROR(_xlfn.IFS(M6247="נח",1,M6247="נע ונח",1,M6247="שני שווא נח",2,M6247="שני שוואים בסוף מילה",2,M6247="שני שוואים ברצף",1),"0")</f>
        <v>0</v>
      </c>
      <c r="J6247" s="9">
        <f t="shared" si="395"/>
        <v>2</v>
      </c>
      <c r="K6247" t="s">
        <v>6698</v>
      </c>
      <c r="L6247" t="s">
        <v>6695</v>
      </c>
      <c r="P6247" t="s">
        <v>6694</v>
      </c>
      <c r="U6247" t="s">
        <v>6694</v>
      </c>
      <c r="W6247" t="s">
        <v>6720</v>
      </c>
    </row>
    <row r="6248" spans="1:23" ht="15.6" x14ac:dyDescent="0.4">
      <c r="A6248" s="2" t="s">
        <v>2576</v>
      </c>
      <c r="B6248" s="5" t="s">
        <v>12166</v>
      </c>
      <c r="C6248" s="7" t="s">
        <v>12556</v>
      </c>
      <c r="D6248" s="8">
        <f t="shared" si="392"/>
        <v>1</v>
      </c>
      <c r="E6248" s="7" t="s">
        <v>12557</v>
      </c>
      <c r="F6248" s="7">
        <f t="shared" si="393"/>
        <v>1</v>
      </c>
      <c r="G6248" s="7" t="s">
        <v>12558</v>
      </c>
      <c r="H6248" s="7">
        <f t="shared" si="394"/>
        <v>1</v>
      </c>
      <c r="I6248" s="7" cm="1">
        <f t="array" ref="I6248">IFERROR(_xlfn.IFS(M6248="נח",1,M6248="נע ונח",1,M6248="שני שווא נח",2,M6248="שני שוואים בסוף מילה",2,M6248="שני שוואים ברצף",1),"0")</f>
        <v>1</v>
      </c>
      <c r="J6248" s="9">
        <f t="shared" si="395"/>
        <v>1</v>
      </c>
      <c r="K6248" t="s">
        <v>6697</v>
      </c>
      <c r="L6248" t="s">
        <v>6694</v>
      </c>
      <c r="M6248" t="s">
        <v>6705</v>
      </c>
      <c r="U6248" t="s">
        <v>6694</v>
      </c>
      <c r="W6248" t="s">
        <v>6720</v>
      </c>
    </row>
    <row r="6249" spans="1:23" ht="15.6" x14ac:dyDescent="0.4">
      <c r="A6249" s="2" t="s">
        <v>5729</v>
      </c>
      <c r="B6249" s="5" t="s">
        <v>12167</v>
      </c>
      <c r="C6249" s="7" t="s">
        <v>12556</v>
      </c>
      <c r="D6249" s="8">
        <f t="shared" si="392"/>
        <v>1</v>
      </c>
      <c r="E6249" s="7" t="s">
        <v>12557</v>
      </c>
      <c r="F6249" s="7">
        <f t="shared" si="393"/>
        <v>0</v>
      </c>
      <c r="G6249" s="7" t="s">
        <v>12558</v>
      </c>
      <c r="H6249" s="7">
        <f t="shared" si="394"/>
        <v>0</v>
      </c>
      <c r="I6249" s="7" cm="1">
        <f t="array" ref="I6249">IFERROR(_xlfn.IFS(M6249="נח",1,M6249="נע ונח",1,M6249="שני שווא נח",2,M6249="שני שוואים בסוף מילה",2,M6249="שני שוואים ברצף",1),"0")</f>
        <v>1</v>
      </c>
      <c r="J6249" s="9">
        <f t="shared" si="395"/>
        <v>1</v>
      </c>
      <c r="K6249" t="s">
        <v>6697</v>
      </c>
      <c r="L6249" t="s">
        <v>6694</v>
      </c>
      <c r="M6249" t="s">
        <v>6705</v>
      </c>
      <c r="Q6249" t="s">
        <v>6694</v>
      </c>
      <c r="W6249" t="s">
        <v>6720</v>
      </c>
    </row>
    <row r="6250" spans="1:23" ht="15.6" x14ac:dyDescent="0.4">
      <c r="A6250" s="2" t="s">
        <v>2108</v>
      </c>
      <c r="B6250" s="5" t="s">
        <v>12168</v>
      </c>
      <c r="C6250" s="7" t="s">
        <v>12556</v>
      </c>
      <c r="D6250" s="8">
        <f t="shared" si="392"/>
        <v>1</v>
      </c>
      <c r="E6250" s="7" t="s">
        <v>12557</v>
      </c>
      <c r="F6250" s="7">
        <f t="shared" si="393"/>
        <v>0</v>
      </c>
      <c r="G6250" s="7" t="s">
        <v>12558</v>
      </c>
      <c r="H6250" s="7">
        <f t="shared" si="394"/>
        <v>0</v>
      </c>
      <c r="I6250" s="7" cm="1">
        <f t="array" ref="I6250">IFERROR(_xlfn.IFS(M6250="נח",1,M6250="נע ונח",1,M6250="שני שווא נח",2,M6250="שני שוואים בסוף מילה",2,M6250="שני שוואים ברצף",1),"0")</f>
        <v>1</v>
      </c>
      <c r="J6250" s="9">
        <f t="shared" si="395"/>
        <v>2</v>
      </c>
      <c r="K6250" t="s">
        <v>6698</v>
      </c>
      <c r="L6250" t="s">
        <v>6694</v>
      </c>
      <c r="M6250" t="s">
        <v>6705</v>
      </c>
      <c r="Q6250" t="s">
        <v>6694</v>
      </c>
      <c r="W6250" t="s">
        <v>6720</v>
      </c>
    </row>
    <row r="6251" spans="1:23" ht="15.6" x14ac:dyDescent="0.4">
      <c r="A6251" s="2" t="s">
        <v>1238</v>
      </c>
      <c r="B6251" s="5" t="s">
        <v>12169</v>
      </c>
      <c r="C6251" s="7" t="s">
        <v>12556</v>
      </c>
      <c r="D6251" s="8">
        <f t="shared" si="392"/>
        <v>1</v>
      </c>
      <c r="E6251" s="7" t="s">
        <v>12557</v>
      </c>
      <c r="F6251" s="7">
        <f t="shared" si="393"/>
        <v>0</v>
      </c>
      <c r="G6251" s="7" t="s">
        <v>12558</v>
      </c>
      <c r="H6251" s="7">
        <f t="shared" si="394"/>
        <v>0</v>
      </c>
      <c r="I6251" s="7" cm="1">
        <f t="array" ref="I6251">IFERROR(_xlfn.IFS(M6251="נח",1,M6251="נע ונח",1,M6251="שני שווא נח",2,M6251="שני שוואים בסוף מילה",2,M6251="שני שוואים ברצף",1),"0")</f>
        <v>1</v>
      </c>
      <c r="J6251" s="9">
        <f t="shared" si="395"/>
        <v>2</v>
      </c>
      <c r="K6251" t="s">
        <v>6697</v>
      </c>
      <c r="L6251" t="s">
        <v>6694</v>
      </c>
      <c r="M6251" t="s">
        <v>6705</v>
      </c>
      <c r="O6251" t="s">
        <v>6694</v>
      </c>
      <c r="Q6251" t="s">
        <v>6694</v>
      </c>
      <c r="W6251" t="s">
        <v>6720</v>
      </c>
    </row>
    <row r="6252" spans="1:23" ht="15.6" x14ac:dyDescent="0.4">
      <c r="A6252" s="2" t="s">
        <v>3066</v>
      </c>
      <c r="B6252" s="5" t="s">
        <v>12170</v>
      </c>
      <c r="C6252" s="7" t="s">
        <v>12556</v>
      </c>
      <c r="D6252" s="8">
        <f t="shared" si="392"/>
        <v>1</v>
      </c>
      <c r="E6252" s="7" t="s">
        <v>12557</v>
      </c>
      <c r="F6252" s="7">
        <f t="shared" si="393"/>
        <v>0</v>
      </c>
      <c r="G6252" s="7" t="s">
        <v>12558</v>
      </c>
      <c r="H6252" s="7">
        <f t="shared" si="394"/>
        <v>0</v>
      </c>
      <c r="I6252" s="7" cm="1">
        <f t="array" ref="I6252">IFERROR(_xlfn.IFS(M6252="נח",1,M6252="נע ונח",1,M6252="שני שווא נח",2,M6252="שני שוואים בסוף מילה",2,M6252="שני שוואים ברצף",1),"0")</f>
        <v>1</v>
      </c>
      <c r="J6252" s="9">
        <f t="shared" si="395"/>
        <v>2</v>
      </c>
      <c r="K6252" t="s">
        <v>6698</v>
      </c>
      <c r="L6252" t="s">
        <v>6694</v>
      </c>
      <c r="M6252" t="s">
        <v>6705</v>
      </c>
      <c r="O6252" t="s">
        <v>6694</v>
      </c>
      <c r="V6252" t="s">
        <v>6694</v>
      </c>
      <c r="W6252" t="s">
        <v>6720</v>
      </c>
    </row>
    <row r="6253" spans="1:23" ht="15.6" x14ac:dyDescent="0.4">
      <c r="A6253" s="2" t="s">
        <v>6056</v>
      </c>
      <c r="B6253" s="5" t="s">
        <v>12171</v>
      </c>
      <c r="C6253" s="7" t="s">
        <v>12556</v>
      </c>
      <c r="D6253" s="8">
        <f t="shared" si="392"/>
        <v>1</v>
      </c>
      <c r="E6253" s="7" t="s">
        <v>12557</v>
      </c>
      <c r="F6253" s="7">
        <f t="shared" si="393"/>
        <v>1</v>
      </c>
      <c r="G6253" s="7" t="s">
        <v>12558</v>
      </c>
      <c r="H6253" s="7">
        <f t="shared" si="394"/>
        <v>1</v>
      </c>
      <c r="I6253" s="7" t="str" cm="1">
        <f t="array" ref="I6253">IFERROR(_xlfn.IFS(M6253="נח",1,M6253="נע ונח",1,M6253="שני שווא נח",2,M6253="שני שוואים בסוף מילה",2,M6253="שני שוואים ברצף",1),"0")</f>
        <v>0</v>
      </c>
      <c r="J6253" s="9">
        <f t="shared" si="395"/>
        <v>4</v>
      </c>
      <c r="K6253" t="s">
        <v>6697</v>
      </c>
      <c r="L6253" t="s">
        <v>6694</v>
      </c>
      <c r="M6253" t="s">
        <v>6700</v>
      </c>
      <c r="Q6253" t="s">
        <v>6694</v>
      </c>
      <c r="S6253" t="s">
        <v>6694</v>
      </c>
      <c r="U6253" t="s">
        <v>6694</v>
      </c>
      <c r="W6253" t="s">
        <v>6720</v>
      </c>
    </row>
    <row r="6254" spans="1:23" ht="15.6" x14ac:dyDescent="0.4">
      <c r="A6254" s="2" t="s">
        <v>5090</v>
      </c>
      <c r="B6254" s="5" t="s">
        <v>12172</v>
      </c>
      <c r="C6254" s="7" t="s">
        <v>12556</v>
      </c>
      <c r="D6254" s="8">
        <f t="shared" si="392"/>
        <v>1</v>
      </c>
      <c r="E6254" s="7" t="s">
        <v>12557</v>
      </c>
      <c r="F6254" s="7">
        <f t="shared" si="393"/>
        <v>0</v>
      </c>
      <c r="G6254" s="7" t="s">
        <v>12558</v>
      </c>
      <c r="H6254" s="7">
        <f t="shared" si="394"/>
        <v>0</v>
      </c>
      <c r="I6254" s="7" cm="1">
        <f t="array" ref="I6254">IFERROR(_xlfn.IFS(M6254="נח",1,M6254="נע ונח",1,M6254="שני שווא נח",2,M6254="שני שוואים בסוף מילה",2,M6254="שני שוואים ברצף",1),"0")</f>
        <v>1</v>
      </c>
      <c r="J6254" s="9">
        <f t="shared" si="395"/>
        <v>2</v>
      </c>
      <c r="K6254" t="s">
        <v>6698</v>
      </c>
      <c r="L6254" t="s">
        <v>6694</v>
      </c>
      <c r="M6254" t="s">
        <v>6705</v>
      </c>
      <c r="Q6254" t="s">
        <v>6694</v>
      </c>
      <c r="S6254" t="s">
        <v>6694</v>
      </c>
      <c r="W6254" t="s">
        <v>6720</v>
      </c>
    </row>
    <row r="6255" spans="1:23" ht="15.6" x14ac:dyDescent="0.4">
      <c r="A6255" s="2" t="s">
        <v>1809</v>
      </c>
      <c r="B6255" s="5" t="s">
        <v>12173</v>
      </c>
      <c r="C6255" s="7" t="s">
        <v>12556</v>
      </c>
      <c r="D6255" s="8">
        <f t="shared" si="392"/>
        <v>1</v>
      </c>
      <c r="E6255" s="7" t="s">
        <v>12557</v>
      </c>
      <c r="F6255" s="7">
        <f t="shared" si="393"/>
        <v>0</v>
      </c>
      <c r="G6255" s="7" t="s">
        <v>12558</v>
      </c>
      <c r="H6255" s="7">
        <f t="shared" si="394"/>
        <v>0</v>
      </c>
      <c r="I6255" s="7" cm="1">
        <f t="array" ref="I6255">IFERROR(_xlfn.IFS(M6255="נח",1,M6255="נע ונח",1,M6255="שני שווא נח",2,M6255="שני שוואים בסוף מילה",2,M6255="שני שוואים ברצף",1),"0")</f>
        <v>1</v>
      </c>
      <c r="J6255" s="9">
        <f t="shared" si="395"/>
        <v>1</v>
      </c>
      <c r="K6255" t="s">
        <v>6698</v>
      </c>
      <c r="L6255" t="s">
        <v>6694</v>
      </c>
      <c r="M6255" t="s">
        <v>6705</v>
      </c>
      <c r="P6255" t="s">
        <v>6694</v>
      </c>
      <c r="W6255" t="s">
        <v>6720</v>
      </c>
    </row>
    <row r="6256" spans="1:23" ht="15.6" x14ac:dyDescent="0.4">
      <c r="A6256" s="2" t="s">
        <v>4205</v>
      </c>
      <c r="B6256" s="5" t="s">
        <v>12174</v>
      </c>
      <c r="C6256" s="7" t="s">
        <v>12556</v>
      </c>
      <c r="D6256" s="8">
        <f t="shared" si="392"/>
        <v>1</v>
      </c>
      <c r="E6256" s="7" t="s">
        <v>12557</v>
      </c>
      <c r="F6256" s="7">
        <f t="shared" si="393"/>
        <v>0</v>
      </c>
      <c r="G6256" s="7" t="s">
        <v>12558</v>
      </c>
      <c r="H6256" s="7">
        <f t="shared" si="394"/>
        <v>0</v>
      </c>
      <c r="I6256" s="7" t="str" cm="1">
        <f t="array" ref="I6256">IFERROR(_xlfn.IFS(M6256="נח",1,M6256="נע ונח",1,M6256="שני שווא נח",2,M6256="שני שוואים בסוף מילה",2,M6256="שני שוואים ברצף",1),"0")</f>
        <v>0</v>
      </c>
      <c r="J6256" s="9">
        <f t="shared" si="395"/>
        <v>4</v>
      </c>
      <c r="K6256" t="s">
        <v>6697</v>
      </c>
      <c r="L6256" t="s">
        <v>6694</v>
      </c>
      <c r="M6256" t="s">
        <v>6700</v>
      </c>
      <c r="O6256" t="s">
        <v>6694</v>
      </c>
      <c r="Q6256" t="s">
        <v>6694</v>
      </c>
      <c r="V6256" t="s">
        <v>6694</v>
      </c>
      <c r="W6256" t="s">
        <v>6720</v>
      </c>
    </row>
    <row r="6257" spans="1:23" ht="15.6" x14ac:dyDescent="0.4">
      <c r="A6257" s="2" t="s">
        <v>1819</v>
      </c>
      <c r="B6257" s="5" t="s">
        <v>12175</v>
      </c>
      <c r="C6257" s="7" t="s">
        <v>12556</v>
      </c>
      <c r="D6257" s="8">
        <f t="shared" si="392"/>
        <v>1</v>
      </c>
      <c r="E6257" s="7" t="s">
        <v>12557</v>
      </c>
      <c r="F6257" s="7">
        <f t="shared" si="393"/>
        <v>1</v>
      </c>
      <c r="G6257" s="7" t="s">
        <v>12558</v>
      </c>
      <c r="H6257" s="7">
        <f t="shared" si="394"/>
        <v>1</v>
      </c>
      <c r="I6257" s="7" t="str" cm="1">
        <f t="array" ref="I6257">IFERROR(_xlfn.IFS(M6257="נח",1,M6257="נע ונח",1,M6257="שני שווא נח",2,M6257="שני שוואים בסוף מילה",2,M6257="שני שוואים ברצף",1),"0")</f>
        <v>0</v>
      </c>
      <c r="J6257" s="9">
        <f t="shared" si="395"/>
        <v>4</v>
      </c>
      <c r="K6257" t="s">
        <v>6697</v>
      </c>
      <c r="L6257" t="s">
        <v>6694</v>
      </c>
      <c r="M6257" t="s">
        <v>6700</v>
      </c>
      <c r="O6257" t="s">
        <v>6694</v>
      </c>
      <c r="Q6257" t="s">
        <v>6694</v>
      </c>
      <c r="U6257" t="s">
        <v>6694</v>
      </c>
      <c r="W6257" t="s">
        <v>6720</v>
      </c>
    </row>
    <row r="6258" spans="1:23" ht="15.6" x14ac:dyDescent="0.4">
      <c r="A6258" s="2" t="s">
        <v>550</v>
      </c>
      <c r="B6258" s="5" t="s">
        <v>12176</v>
      </c>
      <c r="C6258" s="7" t="s">
        <v>12556</v>
      </c>
      <c r="D6258" s="8">
        <f t="shared" si="392"/>
        <v>1</v>
      </c>
      <c r="E6258" s="7" t="s">
        <v>12557</v>
      </c>
      <c r="F6258" s="7">
        <f t="shared" si="393"/>
        <v>0</v>
      </c>
      <c r="G6258" s="7" t="s">
        <v>12558</v>
      </c>
      <c r="H6258" s="7">
        <f t="shared" si="394"/>
        <v>0</v>
      </c>
      <c r="I6258" s="7" cm="1">
        <f t="array" ref="I6258">IFERROR(_xlfn.IFS(M6258="נח",1,M6258="נע ונח",1,M6258="שני שווא נח",2,M6258="שני שוואים בסוף מילה",2,M6258="שני שוואים ברצף",1),"0")</f>
        <v>1</v>
      </c>
      <c r="J6258" s="9">
        <f t="shared" si="395"/>
        <v>2</v>
      </c>
      <c r="K6258" t="s">
        <v>6698</v>
      </c>
      <c r="L6258" t="s">
        <v>6694</v>
      </c>
      <c r="M6258" t="s">
        <v>6705</v>
      </c>
      <c r="O6258" t="s">
        <v>6694</v>
      </c>
      <c r="P6258" t="s">
        <v>6694</v>
      </c>
      <c r="W6258" t="s">
        <v>6720</v>
      </c>
    </row>
    <row r="6259" spans="1:23" ht="15.6" x14ac:dyDescent="0.4">
      <c r="A6259" s="2" t="s">
        <v>4449</v>
      </c>
      <c r="B6259" s="5" t="s">
        <v>12176</v>
      </c>
      <c r="C6259" s="7" t="s">
        <v>12556</v>
      </c>
      <c r="D6259" s="8">
        <f t="shared" si="392"/>
        <v>1</v>
      </c>
      <c r="E6259" s="7" t="s">
        <v>12557</v>
      </c>
      <c r="F6259" s="7">
        <f t="shared" si="393"/>
        <v>0</v>
      </c>
      <c r="G6259" s="7" t="s">
        <v>12558</v>
      </c>
      <c r="H6259" s="7">
        <f t="shared" si="394"/>
        <v>0</v>
      </c>
      <c r="I6259" s="7" cm="1">
        <f t="array" ref="I6259">IFERROR(_xlfn.IFS(M6259="נח",1,M6259="נע ונח",1,M6259="שני שווא נח",2,M6259="שני שוואים בסוף מילה",2,M6259="שני שוואים ברצף",1),"0")</f>
        <v>1</v>
      </c>
      <c r="J6259" s="9">
        <f t="shared" si="395"/>
        <v>2</v>
      </c>
      <c r="K6259" t="s">
        <v>6698</v>
      </c>
      <c r="L6259" t="s">
        <v>6694</v>
      </c>
      <c r="M6259" t="s">
        <v>6705</v>
      </c>
      <c r="N6259" t="s">
        <v>6706</v>
      </c>
      <c r="O6259" t="s">
        <v>6694</v>
      </c>
      <c r="W6259" t="s">
        <v>6720</v>
      </c>
    </row>
    <row r="6260" spans="1:23" ht="15.6" x14ac:dyDescent="0.4">
      <c r="A6260" s="2" t="s">
        <v>3320</v>
      </c>
      <c r="B6260" s="5" t="s">
        <v>12177</v>
      </c>
      <c r="C6260" s="7" t="s">
        <v>12556</v>
      </c>
      <c r="D6260" s="8">
        <f t="shared" si="392"/>
        <v>1</v>
      </c>
      <c r="E6260" s="7" t="s">
        <v>12557</v>
      </c>
      <c r="F6260" s="7">
        <f t="shared" si="393"/>
        <v>0</v>
      </c>
      <c r="G6260" s="7" t="s">
        <v>12558</v>
      </c>
      <c r="H6260" s="7">
        <f t="shared" si="394"/>
        <v>0</v>
      </c>
      <c r="I6260" s="7" cm="1">
        <f t="array" ref="I6260">IFERROR(_xlfn.IFS(M6260="נח",1,M6260="נע ונח",1,M6260="שני שווא נח",2,M6260="שני שוואים בסוף מילה",2,M6260="שני שוואים ברצף",1),"0")</f>
        <v>1</v>
      </c>
      <c r="J6260" s="9">
        <f t="shared" si="395"/>
        <v>2</v>
      </c>
      <c r="K6260" t="s">
        <v>6698</v>
      </c>
      <c r="L6260" t="s">
        <v>6694</v>
      </c>
      <c r="M6260" t="s">
        <v>6705</v>
      </c>
      <c r="N6260" t="s">
        <v>6706</v>
      </c>
      <c r="O6260" t="s">
        <v>6694</v>
      </c>
      <c r="W6260" t="s">
        <v>6720</v>
      </c>
    </row>
    <row r="6261" spans="1:23" ht="15.6" x14ac:dyDescent="0.4">
      <c r="A6261" s="2" t="s">
        <v>4830</v>
      </c>
      <c r="B6261" s="5" t="s">
        <v>12178</v>
      </c>
      <c r="C6261" s="7" t="s">
        <v>12556</v>
      </c>
      <c r="D6261" s="8">
        <f t="shared" si="392"/>
        <v>1</v>
      </c>
      <c r="E6261" s="7" t="s">
        <v>12557</v>
      </c>
      <c r="F6261" s="7">
        <f t="shared" si="393"/>
        <v>0</v>
      </c>
      <c r="G6261" s="7" t="s">
        <v>12558</v>
      </c>
      <c r="H6261" s="7">
        <f t="shared" si="394"/>
        <v>0</v>
      </c>
      <c r="I6261" s="7" cm="1">
        <f t="array" ref="I6261">IFERROR(_xlfn.IFS(M6261="נח",1,M6261="נע ונח",1,M6261="שני שווא נח",2,M6261="שני שוואים בסוף מילה",2,M6261="שני שוואים ברצף",1),"0")</f>
        <v>1</v>
      </c>
      <c r="J6261" s="9">
        <f t="shared" si="395"/>
        <v>2</v>
      </c>
      <c r="K6261" t="s">
        <v>6697</v>
      </c>
      <c r="L6261" t="s">
        <v>6694</v>
      </c>
      <c r="M6261" t="s">
        <v>6705</v>
      </c>
      <c r="O6261" t="s">
        <v>6694</v>
      </c>
      <c r="T6261" t="s">
        <v>6694</v>
      </c>
      <c r="W6261" t="s">
        <v>6720</v>
      </c>
    </row>
    <row r="6262" spans="1:23" ht="15.6" x14ac:dyDescent="0.4">
      <c r="A6262" s="2" t="s">
        <v>3913</v>
      </c>
      <c r="B6262" s="5" t="s">
        <v>12179</v>
      </c>
      <c r="C6262" s="7" t="s">
        <v>12556</v>
      </c>
      <c r="D6262" s="8">
        <f t="shared" si="392"/>
        <v>2</v>
      </c>
      <c r="E6262" s="7" t="s">
        <v>12557</v>
      </c>
      <c r="F6262" s="7">
        <f t="shared" si="393"/>
        <v>0</v>
      </c>
      <c r="G6262" s="7" t="s">
        <v>12558</v>
      </c>
      <c r="H6262" s="7">
        <f t="shared" si="394"/>
        <v>0</v>
      </c>
      <c r="I6262" s="7" t="str" cm="1">
        <f t="array" ref="I6262">IFERROR(_xlfn.IFS(M6262="נח",1,M6262="נע ונח",1,M6262="שני שווא נח",2,M6262="שני שוואים בסוף מילה",2,M6262="שני שוואים ברצף",1),"0")</f>
        <v>0</v>
      </c>
      <c r="J6262" s="9">
        <f t="shared" si="395"/>
        <v>2</v>
      </c>
      <c r="K6262" t="s">
        <v>6698</v>
      </c>
      <c r="L6262" t="s">
        <v>6694</v>
      </c>
      <c r="M6262" t="s">
        <v>6700</v>
      </c>
      <c r="V6262" t="s">
        <v>6694</v>
      </c>
      <c r="W6262" t="s">
        <v>6720</v>
      </c>
    </row>
    <row r="6263" spans="1:23" ht="15.6" x14ac:dyDescent="0.4">
      <c r="A6263" s="2" t="s">
        <v>1316</v>
      </c>
      <c r="B6263" s="5" t="s">
        <v>12180</v>
      </c>
      <c r="C6263" s="7" t="s">
        <v>12556</v>
      </c>
      <c r="D6263" s="8">
        <f t="shared" si="392"/>
        <v>1</v>
      </c>
      <c r="E6263" s="7" t="s">
        <v>12557</v>
      </c>
      <c r="F6263" s="7">
        <f t="shared" si="393"/>
        <v>0</v>
      </c>
      <c r="G6263" s="7" t="s">
        <v>12558</v>
      </c>
      <c r="H6263" s="7">
        <f t="shared" si="394"/>
        <v>0</v>
      </c>
      <c r="I6263" s="7" cm="1">
        <f t="array" ref="I6263">IFERROR(_xlfn.IFS(M6263="נח",1,M6263="נע ונח",1,M6263="שני שווא נח",2,M6263="שני שוואים בסוף מילה",2,M6263="שני שוואים ברצף",1),"0")</f>
        <v>1</v>
      </c>
      <c r="J6263" s="9">
        <f t="shared" si="395"/>
        <v>2</v>
      </c>
      <c r="K6263" t="s">
        <v>6697</v>
      </c>
      <c r="L6263" t="s">
        <v>6694</v>
      </c>
      <c r="M6263" t="s">
        <v>6705</v>
      </c>
      <c r="S6263" t="s">
        <v>6694</v>
      </c>
      <c r="V6263" t="s">
        <v>6694</v>
      </c>
      <c r="W6263" t="s">
        <v>6720</v>
      </c>
    </row>
    <row r="6264" spans="1:23" ht="15.6" x14ac:dyDescent="0.4">
      <c r="A6264" s="2" t="s">
        <v>5857</v>
      </c>
      <c r="B6264" s="5" t="s">
        <v>12181</v>
      </c>
      <c r="C6264" s="7" t="s">
        <v>12556</v>
      </c>
      <c r="D6264" s="8">
        <f t="shared" si="392"/>
        <v>1</v>
      </c>
      <c r="E6264" s="7" t="s">
        <v>12557</v>
      </c>
      <c r="F6264" s="7">
        <f t="shared" si="393"/>
        <v>0</v>
      </c>
      <c r="G6264" s="7" t="s">
        <v>12558</v>
      </c>
      <c r="H6264" s="7">
        <f t="shared" si="394"/>
        <v>0</v>
      </c>
      <c r="I6264" s="7" t="str" cm="1">
        <f t="array" ref="I6264">IFERROR(_xlfn.IFS(M6264="נח",1,M6264="נע ונח",1,M6264="שני שווא נח",2,M6264="שני שוואים בסוף מילה",2,M6264="שני שוואים ברצף",1),"0")</f>
        <v>0</v>
      </c>
      <c r="J6264" s="9">
        <f t="shared" si="395"/>
        <v>2</v>
      </c>
      <c r="K6264" t="s">
        <v>6697</v>
      </c>
      <c r="L6264" t="s">
        <v>6695</v>
      </c>
      <c r="S6264" t="s">
        <v>6694</v>
      </c>
      <c r="W6264" t="s">
        <v>6720</v>
      </c>
    </row>
    <row r="6265" spans="1:23" ht="15.6" x14ac:dyDescent="0.4">
      <c r="A6265" s="2" t="s">
        <v>1609</v>
      </c>
      <c r="B6265" s="5" t="s">
        <v>12182</v>
      </c>
      <c r="C6265" s="7" t="s">
        <v>12556</v>
      </c>
      <c r="D6265" s="8">
        <f t="shared" si="392"/>
        <v>1</v>
      </c>
      <c r="E6265" s="7" t="s">
        <v>12557</v>
      </c>
      <c r="F6265" s="7">
        <f t="shared" si="393"/>
        <v>1</v>
      </c>
      <c r="G6265" s="7" t="s">
        <v>12558</v>
      </c>
      <c r="H6265" s="7">
        <f t="shared" si="394"/>
        <v>1</v>
      </c>
      <c r="I6265" s="7" t="str" cm="1">
        <f t="array" ref="I6265">IFERROR(_xlfn.IFS(M6265="נח",1,M6265="נע ונח",1,M6265="שני שווא נח",2,M6265="שני שוואים בסוף מילה",2,M6265="שני שוואים ברצף",1),"0")</f>
        <v>0</v>
      </c>
      <c r="J6265" s="9">
        <f t="shared" si="395"/>
        <v>2</v>
      </c>
      <c r="K6265" t="s">
        <v>6697</v>
      </c>
      <c r="L6265" t="s">
        <v>6695</v>
      </c>
      <c r="S6265" t="s">
        <v>6694</v>
      </c>
      <c r="U6265" t="s">
        <v>6694</v>
      </c>
      <c r="W6265" t="s">
        <v>6720</v>
      </c>
    </row>
    <row r="6266" spans="1:23" ht="15.6" x14ac:dyDescent="0.4">
      <c r="A6266" s="2" t="s">
        <v>4089</v>
      </c>
      <c r="B6266" s="5" t="s">
        <v>12183</v>
      </c>
      <c r="C6266" s="7" t="s">
        <v>12556</v>
      </c>
      <c r="D6266" s="8">
        <f t="shared" si="392"/>
        <v>1</v>
      </c>
      <c r="E6266" s="7" t="s">
        <v>12557</v>
      </c>
      <c r="F6266" s="7">
        <f t="shared" si="393"/>
        <v>0</v>
      </c>
      <c r="G6266" s="7" t="s">
        <v>12558</v>
      </c>
      <c r="H6266" s="7">
        <f t="shared" si="394"/>
        <v>0</v>
      </c>
      <c r="I6266" s="7" t="str" cm="1">
        <f t="array" ref="I6266">IFERROR(_xlfn.IFS(M6266="נח",1,M6266="נע ונח",1,M6266="שני שווא נח",2,M6266="שני שוואים בסוף מילה",2,M6266="שני שוואים ברצף",1),"0")</f>
        <v>0</v>
      </c>
      <c r="J6266" s="9">
        <f t="shared" si="395"/>
        <v>2</v>
      </c>
      <c r="K6266" t="s">
        <v>6697</v>
      </c>
      <c r="L6266" t="s">
        <v>6695</v>
      </c>
      <c r="O6266" t="s">
        <v>6694</v>
      </c>
      <c r="S6266" t="s">
        <v>6694</v>
      </c>
      <c r="W6266" t="s">
        <v>6720</v>
      </c>
    </row>
    <row r="6267" spans="1:23" ht="15.6" x14ac:dyDescent="0.4">
      <c r="A6267" s="2" t="s">
        <v>4417</v>
      </c>
      <c r="B6267" s="5" t="s">
        <v>12184</v>
      </c>
      <c r="C6267" s="7" t="s">
        <v>12556</v>
      </c>
      <c r="D6267" s="8">
        <f t="shared" si="392"/>
        <v>1</v>
      </c>
      <c r="E6267" s="7" t="s">
        <v>12557</v>
      </c>
      <c r="F6267" s="7">
        <f t="shared" si="393"/>
        <v>1</v>
      </c>
      <c r="G6267" s="7" t="s">
        <v>12558</v>
      </c>
      <c r="H6267" s="7">
        <f t="shared" si="394"/>
        <v>1</v>
      </c>
      <c r="I6267" s="7" t="str" cm="1">
        <f t="array" ref="I6267">IFERROR(_xlfn.IFS(M6267="נח",1,M6267="נע ונח",1,M6267="שני שווא נח",2,M6267="שני שוואים בסוף מילה",2,M6267="שני שוואים ברצף",1),"0")</f>
        <v>0</v>
      </c>
      <c r="J6267" s="9">
        <f t="shared" si="395"/>
        <v>2</v>
      </c>
      <c r="K6267" t="s">
        <v>6697</v>
      </c>
      <c r="L6267" t="s">
        <v>6695</v>
      </c>
      <c r="S6267" t="s">
        <v>6694</v>
      </c>
      <c r="U6267" t="s">
        <v>6694</v>
      </c>
      <c r="W6267" t="s">
        <v>6720</v>
      </c>
    </row>
    <row r="6268" spans="1:23" ht="15.6" x14ac:dyDescent="0.4">
      <c r="A6268" s="2" t="s">
        <v>5935</v>
      </c>
      <c r="B6268" s="5" t="s">
        <v>12169</v>
      </c>
      <c r="C6268" s="7" t="s">
        <v>12556</v>
      </c>
      <c r="D6268" s="8">
        <f t="shared" si="392"/>
        <v>1</v>
      </c>
      <c r="E6268" s="7" t="s">
        <v>12557</v>
      </c>
      <c r="F6268" s="7">
        <f t="shared" si="393"/>
        <v>0</v>
      </c>
      <c r="G6268" s="7" t="s">
        <v>12558</v>
      </c>
      <c r="H6268" s="7">
        <f t="shared" si="394"/>
        <v>0</v>
      </c>
      <c r="I6268" s="7" cm="1">
        <f t="array" ref="I6268">IFERROR(_xlfn.IFS(M6268="נח",1,M6268="נע ונח",1,M6268="שני שווא נח",2,M6268="שני שוואים בסוף מילה",2,M6268="שני שוואים ברצף",1),"0")</f>
        <v>1</v>
      </c>
      <c r="J6268" s="9">
        <f t="shared" si="395"/>
        <v>2</v>
      </c>
      <c r="K6268" t="s">
        <v>6697</v>
      </c>
      <c r="L6268" t="s">
        <v>6694</v>
      </c>
      <c r="M6268" t="s">
        <v>6705</v>
      </c>
      <c r="O6268" t="s">
        <v>6694</v>
      </c>
      <c r="S6268" t="s">
        <v>6694</v>
      </c>
      <c r="W6268" t="s">
        <v>6720</v>
      </c>
    </row>
    <row r="6269" spans="1:23" ht="15.6" x14ac:dyDescent="0.4">
      <c r="A6269" s="2" t="s">
        <v>6689</v>
      </c>
      <c r="B6269" s="5" t="s">
        <v>12185</v>
      </c>
      <c r="C6269" s="7" t="s">
        <v>12556</v>
      </c>
      <c r="D6269" s="8">
        <f t="shared" si="392"/>
        <v>1</v>
      </c>
      <c r="E6269" s="7" t="s">
        <v>12557</v>
      </c>
      <c r="F6269" s="7">
        <f t="shared" si="393"/>
        <v>0</v>
      </c>
      <c r="G6269" s="7" t="s">
        <v>12558</v>
      </c>
      <c r="H6269" s="7">
        <f t="shared" si="394"/>
        <v>0</v>
      </c>
      <c r="I6269" s="7" cm="1">
        <f t="array" ref="I6269">IFERROR(_xlfn.IFS(M6269="נח",1,M6269="נע ונח",1,M6269="שני שווא נח",2,M6269="שני שוואים בסוף מילה",2,M6269="שני שוואים ברצף",1),"0")</f>
        <v>1</v>
      </c>
      <c r="J6269" s="9">
        <f t="shared" si="395"/>
        <v>3</v>
      </c>
      <c r="K6269" t="s">
        <v>6697</v>
      </c>
      <c r="L6269" t="s">
        <v>6694</v>
      </c>
      <c r="M6269" t="s">
        <v>6705</v>
      </c>
      <c r="O6269" t="s">
        <v>6694</v>
      </c>
      <c r="S6269" t="s">
        <v>6694</v>
      </c>
      <c r="W6269" t="s">
        <v>6720</v>
      </c>
    </row>
    <row r="6270" spans="1:23" ht="15.6" x14ac:dyDescent="0.4">
      <c r="A6270" s="2" t="s">
        <v>2225</v>
      </c>
      <c r="B6270" s="5" t="s">
        <v>12186</v>
      </c>
      <c r="C6270" s="7" t="s">
        <v>12556</v>
      </c>
      <c r="D6270" s="8">
        <f t="shared" si="392"/>
        <v>1</v>
      </c>
      <c r="E6270" s="7" t="s">
        <v>12557</v>
      </c>
      <c r="F6270" s="7">
        <f t="shared" si="393"/>
        <v>1</v>
      </c>
      <c r="G6270" s="7" t="s">
        <v>12558</v>
      </c>
      <c r="H6270" s="7">
        <f t="shared" si="394"/>
        <v>1</v>
      </c>
      <c r="I6270" s="7" cm="1">
        <f t="array" ref="I6270">IFERROR(_xlfn.IFS(M6270="נח",1,M6270="נע ונח",1,M6270="שני שווא נח",2,M6270="שני שוואים בסוף מילה",2,M6270="שני שוואים ברצף",1),"0")</f>
        <v>1</v>
      </c>
      <c r="J6270" s="9">
        <f t="shared" si="395"/>
        <v>2</v>
      </c>
      <c r="K6270" t="s">
        <v>6697</v>
      </c>
      <c r="L6270" t="s">
        <v>6694</v>
      </c>
      <c r="M6270" t="s">
        <v>6705</v>
      </c>
      <c r="S6270" t="s">
        <v>6694</v>
      </c>
      <c r="U6270" t="s">
        <v>6694</v>
      </c>
      <c r="W6270" t="s">
        <v>6720</v>
      </c>
    </row>
    <row r="6271" spans="1:23" ht="15.6" x14ac:dyDescent="0.4">
      <c r="A6271" s="2" t="s">
        <v>6393</v>
      </c>
      <c r="B6271" s="5" t="s">
        <v>12187</v>
      </c>
      <c r="C6271" s="7" t="s">
        <v>12556</v>
      </c>
      <c r="D6271" s="8">
        <f t="shared" si="392"/>
        <v>1</v>
      </c>
      <c r="E6271" s="7" t="s">
        <v>12557</v>
      </c>
      <c r="F6271" s="7">
        <f t="shared" si="393"/>
        <v>2</v>
      </c>
      <c r="G6271" s="7" t="s">
        <v>12558</v>
      </c>
      <c r="H6271" s="7">
        <f t="shared" si="394"/>
        <v>1</v>
      </c>
      <c r="I6271" s="7" cm="1">
        <f t="array" ref="I6271">IFERROR(_xlfn.IFS(M6271="נח",1,M6271="נע ונח",1,M6271="שני שווא נח",2,M6271="שני שוואים בסוף מילה",2,M6271="שני שוואים ברצף",1),"0")</f>
        <v>1</v>
      </c>
      <c r="J6271" s="9">
        <f t="shared" si="395"/>
        <v>3</v>
      </c>
      <c r="K6271" t="s">
        <v>6697</v>
      </c>
      <c r="L6271" t="s">
        <v>6694</v>
      </c>
      <c r="M6271" t="s">
        <v>6705</v>
      </c>
      <c r="O6271" t="s">
        <v>6694</v>
      </c>
      <c r="S6271" t="s">
        <v>6694</v>
      </c>
      <c r="U6271" t="s">
        <v>6694</v>
      </c>
      <c r="W6271" t="s">
        <v>6720</v>
      </c>
    </row>
    <row r="6272" spans="1:23" ht="15.6" x14ac:dyDescent="0.4">
      <c r="A6272" s="2" t="s">
        <v>5515</v>
      </c>
      <c r="B6272" s="5" t="s">
        <v>12188</v>
      </c>
      <c r="C6272" s="7" t="s">
        <v>12556</v>
      </c>
      <c r="D6272" s="8">
        <f t="shared" si="392"/>
        <v>1</v>
      </c>
      <c r="E6272" s="7" t="s">
        <v>12557</v>
      </c>
      <c r="F6272" s="7">
        <f t="shared" si="393"/>
        <v>2</v>
      </c>
      <c r="G6272" s="7" t="s">
        <v>12558</v>
      </c>
      <c r="H6272" s="7">
        <f t="shared" si="394"/>
        <v>0</v>
      </c>
      <c r="I6272" s="7" cm="1">
        <f t="array" ref="I6272">IFERROR(_xlfn.IFS(M6272="נח",1,M6272="נע ונח",1,M6272="שני שווא נח",2,M6272="שני שוואים בסוף מילה",2,M6272="שני שוואים ברצף",1),"0")</f>
        <v>1</v>
      </c>
      <c r="J6272" s="9">
        <f t="shared" si="395"/>
        <v>4</v>
      </c>
      <c r="K6272" t="s">
        <v>6697</v>
      </c>
      <c r="L6272" t="s">
        <v>6694</v>
      </c>
      <c r="M6272" t="s">
        <v>6705</v>
      </c>
      <c r="P6272" t="s">
        <v>6694</v>
      </c>
      <c r="S6272" t="s">
        <v>6694</v>
      </c>
      <c r="W6272" t="s">
        <v>6720</v>
      </c>
    </row>
    <row r="6273" spans="1:23" ht="15.6" x14ac:dyDescent="0.4">
      <c r="A6273" s="2" t="s">
        <v>5257</v>
      </c>
      <c r="B6273" s="5" t="s">
        <v>12189</v>
      </c>
      <c r="C6273" s="7" t="s">
        <v>12556</v>
      </c>
      <c r="D6273" s="8">
        <f t="shared" si="392"/>
        <v>1</v>
      </c>
      <c r="E6273" s="7" t="s">
        <v>12557</v>
      </c>
      <c r="F6273" s="7">
        <f t="shared" si="393"/>
        <v>2</v>
      </c>
      <c r="G6273" s="7" t="s">
        <v>12558</v>
      </c>
      <c r="H6273" s="7">
        <f t="shared" si="394"/>
        <v>0</v>
      </c>
      <c r="I6273" s="7" cm="1">
        <f t="array" ref="I6273">IFERROR(_xlfn.IFS(M6273="נח",1,M6273="נע ונח",1,M6273="שני שווא נח",2,M6273="שני שוואים בסוף מילה",2,M6273="שני שוואים ברצף",1),"0")</f>
        <v>1</v>
      </c>
      <c r="J6273" s="9">
        <f t="shared" si="395"/>
        <v>3</v>
      </c>
      <c r="K6273" t="s">
        <v>6698</v>
      </c>
      <c r="L6273" t="s">
        <v>6694</v>
      </c>
      <c r="M6273" t="s">
        <v>6705</v>
      </c>
      <c r="O6273" t="s">
        <v>6694</v>
      </c>
      <c r="P6273" t="s">
        <v>6694</v>
      </c>
      <c r="S6273" t="s">
        <v>6694</v>
      </c>
      <c r="W6273" t="s">
        <v>6720</v>
      </c>
    </row>
    <row r="6274" spans="1:23" ht="15.6" x14ac:dyDescent="0.4">
      <c r="A6274" s="2" t="s">
        <v>4954</v>
      </c>
      <c r="B6274" s="5" t="s">
        <v>12190</v>
      </c>
      <c r="C6274" s="7" t="s">
        <v>12556</v>
      </c>
      <c r="D6274" s="8">
        <f t="shared" si="392"/>
        <v>1</v>
      </c>
      <c r="E6274" s="7" t="s">
        <v>12557</v>
      </c>
      <c r="F6274" s="7">
        <f t="shared" si="393"/>
        <v>0</v>
      </c>
      <c r="G6274" s="7" t="s">
        <v>12558</v>
      </c>
      <c r="H6274" s="7">
        <f t="shared" si="394"/>
        <v>0</v>
      </c>
      <c r="I6274" s="7" cm="1">
        <f t="array" ref="I6274">IFERROR(_xlfn.IFS(M6274="נח",1,M6274="נע ונח",1,M6274="שני שווא נח",2,M6274="שני שוואים בסוף מילה",2,M6274="שני שוואים ברצף",1),"0")</f>
        <v>1</v>
      </c>
      <c r="J6274" s="9">
        <f t="shared" si="395"/>
        <v>2</v>
      </c>
      <c r="K6274" t="s">
        <v>6697</v>
      </c>
      <c r="L6274" t="s">
        <v>6694</v>
      </c>
      <c r="M6274" t="s">
        <v>6705</v>
      </c>
      <c r="O6274" t="s">
        <v>6694</v>
      </c>
      <c r="S6274" t="s">
        <v>6694</v>
      </c>
      <c r="W6274" t="s">
        <v>6720</v>
      </c>
    </row>
    <row r="6275" spans="1:23" ht="15.6" x14ac:dyDescent="0.4">
      <c r="A6275" s="2" t="s">
        <v>2220</v>
      </c>
      <c r="B6275" s="5" t="s">
        <v>12191</v>
      </c>
      <c r="C6275" s="7" t="s">
        <v>12556</v>
      </c>
      <c r="D6275" s="8">
        <f t="shared" ref="D6275:D6338" si="396">(LEN(B6275)-LEN(SUBSTITUTE(B6275,C6275,"")))</f>
        <v>1</v>
      </c>
      <c r="E6275" s="7" t="s">
        <v>12557</v>
      </c>
      <c r="F6275" s="7">
        <f t="shared" ref="F6275:F6338" si="397">(LEN(A6275)-LEN(SUBSTITUTE(A6275,E6275,"")))</f>
        <v>1</v>
      </c>
      <c r="G6275" s="7" t="s">
        <v>12558</v>
      </c>
      <c r="H6275" s="7">
        <f t="shared" ref="H6275:H6338" si="398">(LEN(A6275)-LEN(SUBSTITUTE(A6275,G6275,"")))/2</f>
        <v>1</v>
      </c>
      <c r="I6275" s="7" cm="1">
        <f t="array" ref="I6275">IFERROR(_xlfn.IFS(M6275="נח",1,M6275="נע ונח",1,M6275="שני שווא נח",2,M6275="שני שוואים בסוף מילה",2,M6275="שני שוואים ברצף",1),"0")</f>
        <v>1</v>
      </c>
      <c r="J6275" s="9">
        <f t="shared" ref="J6275:J6338" si="399">LEN(A6275)-(LEN(B6275))-D6275-F6275+H6275-I6275</f>
        <v>2</v>
      </c>
      <c r="K6275" t="s">
        <v>6697</v>
      </c>
      <c r="L6275" t="s">
        <v>6694</v>
      </c>
      <c r="M6275" t="s">
        <v>6705</v>
      </c>
      <c r="S6275" t="s">
        <v>6694</v>
      </c>
      <c r="U6275" t="s">
        <v>6694</v>
      </c>
      <c r="W6275" t="s">
        <v>6720</v>
      </c>
    </row>
    <row r="6276" spans="1:23" ht="15.6" x14ac:dyDescent="0.4">
      <c r="A6276" s="2" t="s">
        <v>1814</v>
      </c>
      <c r="B6276" s="5" t="s">
        <v>12176</v>
      </c>
      <c r="C6276" s="7" t="s">
        <v>12556</v>
      </c>
      <c r="D6276" s="8">
        <f t="shared" si="396"/>
        <v>1</v>
      </c>
      <c r="E6276" s="7" t="s">
        <v>12557</v>
      </c>
      <c r="F6276" s="7">
        <f t="shared" si="397"/>
        <v>0</v>
      </c>
      <c r="G6276" s="7" t="s">
        <v>12558</v>
      </c>
      <c r="H6276" s="7">
        <f t="shared" si="398"/>
        <v>0</v>
      </c>
      <c r="I6276" s="7" cm="1">
        <f t="array" ref="I6276">IFERROR(_xlfn.IFS(M6276="נח",1,M6276="נע ונח",1,M6276="שני שווא נח",2,M6276="שני שוואים בסוף מילה",2,M6276="שני שוואים ברצף",1),"0")</f>
        <v>1</v>
      </c>
      <c r="J6276" s="9">
        <f t="shared" si="399"/>
        <v>2</v>
      </c>
      <c r="K6276" t="s">
        <v>6698</v>
      </c>
      <c r="L6276" t="s">
        <v>6694</v>
      </c>
      <c r="M6276" t="s">
        <v>6705</v>
      </c>
      <c r="Q6276" t="s">
        <v>6694</v>
      </c>
      <c r="S6276" t="s">
        <v>6694</v>
      </c>
      <c r="W6276" t="s">
        <v>6720</v>
      </c>
    </row>
    <row r="6277" spans="1:23" ht="15.6" x14ac:dyDescent="0.4">
      <c r="A6277" s="2" t="s">
        <v>1179</v>
      </c>
      <c r="B6277" s="5" t="s">
        <v>12192</v>
      </c>
      <c r="C6277" s="7" t="s">
        <v>12556</v>
      </c>
      <c r="D6277" s="8">
        <f t="shared" si="396"/>
        <v>1</v>
      </c>
      <c r="E6277" s="7" t="s">
        <v>12557</v>
      </c>
      <c r="F6277" s="7">
        <f t="shared" si="397"/>
        <v>0</v>
      </c>
      <c r="G6277" s="7" t="s">
        <v>12558</v>
      </c>
      <c r="H6277" s="7">
        <f t="shared" si="398"/>
        <v>0</v>
      </c>
      <c r="I6277" s="7" t="str" cm="1">
        <f t="array" ref="I6277">IFERROR(_xlfn.IFS(M6277="נח",1,M6277="נע ונח",1,M6277="שני שווא נח",2,M6277="שני שוואים בסוף מילה",2,M6277="שני שוואים ברצף",1),"0")</f>
        <v>0</v>
      </c>
      <c r="J6277" s="9">
        <f t="shared" si="399"/>
        <v>2</v>
      </c>
      <c r="K6277" t="s">
        <v>6698</v>
      </c>
      <c r="L6277" t="s">
        <v>6695</v>
      </c>
      <c r="Q6277" t="s">
        <v>6694</v>
      </c>
      <c r="R6277" t="s">
        <v>6694</v>
      </c>
      <c r="W6277" t="s">
        <v>6720</v>
      </c>
    </row>
    <row r="6278" spans="1:23" ht="15.6" x14ac:dyDescent="0.4">
      <c r="A6278" s="2" t="s">
        <v>4551</v>
      </c>
      <c r="B6278" s="5" t="s">
        <v>12128</v>
      </c>
      <c r="C6278" s="7" t="s">
        <v>12556</v>
      </c>
      <c r="D6278" s="8">
        <f t="shared" si="396"/>
        <v>1</v>
      </c>
      <c r="E6278" s="7" t="s">
        <v>12557</v>
      </c>
      <c r="F6278" s="7">
        <f t="shared" si="397"/>
        <v>0</v>
      </c>
      <c r="G6278" s="7" t="s">
        <v>12558</v>
      </c>
      <c r="H6278" s="7">
        <f t="shared" si="398"/>
        <v>0</v>
      </c>
      <c r="I6278" s="7" t="str" cm="1">
        <f t="array" ref="I6278">IFERROR(_xlfn.IFS(M6278="נח",1,M6278="נע ונח",1,M6278="שני שווא נח",2,M6278="שני שוואים בסוף מילה",2,M6278="שני שוואים ברצף",1),"0")</f>
        <v>0</v>
      </c>
      <c r="J6278" s="9">
        <f t="shared" si="399"/>
        <v>2</v>
      </c>
      <c r="K6278" t="s">
        <v>6698</v>
      </c>
      <c r="L6278" t="s">
        <v>6695</v>
      </c>
      <c r="N6278" t="s">
        <v>6706</v>
      </c>
      <c r="O6278" t="s">
        <v>6694</v>
      </c>
      <c r="Q6278" t="s">
        <v>6694</v>
      </c>
      <c r="W6278" t="s">
        <v>6720</v>
      </c>
    </row>
    <row r="6279" spans="1:23" ht="15.6" x14ac:dyDescent="0.4">
      <c r="A6279" s="2" t="s">
        <v>655</v>
      </c>
      <c r="B6279" s="5" t="s">
        <v>12193</v>
      </c>
      <c r="C6279" s="7" t="s">
        <v>12556</v>
      </c>
      <c r="D6279" s="8">
        <f t="shared" si="396"/>
        <v>1</v>
      </c>
      <c r="E6279" s="7" t="s">
        <v>12557</v>
      </c>
      <c r="F6279" s="7">
        <f t="shared" si="397"/>
        <v>1</v>
      </c>
      <c r="G6279" s="7" t="s">
        <v>12558</v>
      </c>
      <c r="H6279" s="7">
        <f t="shared" si="398"/>
        <v>0</v>
      </c>
      <c r="I6279" s="7" cm="1">
        <f t="array" ref="I6279">IFERROR(_xlfn.IFS(M6279="נח",1,M6279="נע ונח",1,M6279="שני שווא נח",2,M6279="שני שוואים בסוף מילה",2,M6279="שני שוואים ברצף",1),"0")</f>
        <v>1</v>
      </c>
      <c r="J6279" s="9">
        <f t="shared" si="399"/>
        <v>2</v>
      </c>
      <c r="K6279" t="s">
        <v>6698</v>
      </c>
      <c r="L6279" t="s">
        <v>6694</v>
      </c>
      <c r="M6279" t="s">
        <v>6705</v>
      </c>
      <c r="O6279" t="s">
        <v>6694</v>
      </c>
      <c r="P6279" t="s">
        <v>6694</v>
      </c>
      <c r="W6279" t="s">
        <v>6720</v>
      </c>
    </row>
    <row r="6280" spans="1:23" ht="15.6" x14ac:dyDescent="0.4">
      <c r="A6280" s="2" t="s">
        <v>1929</v>
      </c>
      <c r="B6280" s="5" t="s">
        <v>12194</v>
      </c>
      <c r="C6280" s="7" t="s">
        <v>12556</v>
      </c>
      <c r="D6280" s="8">
        <f t="shared" si="396"/>
        <v>1</v>
      </c>
      <c r="E6280" s="7" t="s">
        <v>12557</v>
      </c>
      <c r="F6280" s="7">
        <f t="shared" si="397"/>
        <v>1</v>
      </c>
      <c r="G6280" s="7" t="s">
        <v>12558</v>
      </c>
      <c r="H6280" s="7">
        <f t="shared" si="398"/>
        <v>0</v>
      </c>
      <c r="I6280" s="7" t="str" cm="1">
        <f t="array" ref="I6280">IFERROR(_xlfn.IFS(M6280="נח",1,M6280="נע ונח",1,M6280="שני שווא נח",2,M6280="שני שוואים בסוף מילה",2,M6280="שני שוואים ברצף",1),"0")</f>
        <v>0</v>
      </c>
      <c r="J6280" s="9">
        <f t="shared" si="399"/>
        <v>2</v>
      </c>
      <c r="K6280" t="s">
        <v>6697</v>
      </c>
      <c r="L6280" t="s">
        <v>6695</v>
      </c>
      <c r="P6280" t="s">
        <v>6694</v>
      </c>
      <c r="S6280" t="s">
        <v>6694</v>
      </c>
      <c r="W6280" t="s">
        <v>6720</v>
      </c>
    </row>
    <row r="6281" spans="1:23" ht="15.6" x14ac:dyDescent="0.4">
      <c r="A6281" s="2" t="s">
        <v>134</v>
      </c>
      <c r="B6281" s="5" t="s">
        <v>12195</v>
      </c>
      <c r="C6281" s="7" t="s">
        <v>12556</v>
      </c>
      <c r="D6281" s="8">
        <f t="shared" si="396"/>
        <v>1</v>
      </c>
      <c r="E6281" s="7" t="s">
        <v>12557</v>
      </c>
      <c r="F6281" s="7">
        <f t="shared" si="397"/>
        <v>1</v>
      </c>
      <c r="G6281" s="7" t="s">
        <v>12558</v>
      </c>
      <c r="H6281" s="7">
        <f t="shared" si="398"/>
        <v>0</v>
      </c>
      <c r="I6281" s="7" cm="1">
        <f t="array" ref="I6281">IFERROR(_xlfn.IFS(M6281="נח",1,M6281="נע ונח",1,M6281="שני שווא נח",2,M6281="שני שוואים בסוף מילה",2,M6281="שני שוואים ברצף",1),"0")</f>
        <v>1</v>
      </c>
      <c r="J6281" s="9">
        <f t="shared" si="399"/>
        <v>3</v>
      </c>
      <c r="K6281" t="s">
        <v>6698</v>
      </c>
      <c r="L6281" t="s">
        <v>6694</v>
      </c>
      <c r="M6281" t="s">
        <v>6705</v>
      </c>
      <c r="P6281" t="s">
        <v>6694</v>
      </c>
      <c r="W6281" t="s">
        <v>6720</v>
      </c>
    </row>
    <row r="6282" spans="1:23" ht="15.6" x14ac:dyDescent="0.4">
      <c r="A6282" s="2" t="s">
        <v>6563</v>
      </c>
      <c r="B6282" s="5" t="s">
        <v>12195</v>
      </c>
      <c r="C6282" s="7" t="s">
        <v>12556</v>
      </c>
      <c r="D6282" s="8">
        <f t="shared" si="396"/>
        <v>1</v>
      </c>
      <c r="E6282" s="7" t="s">
        <v>12557</v>
      </c>
      <c r="F6282" s="7">
        <f t="shared" si="397"/>
        <v>1</v>
      </c>
      <c r="G6282" s="7" t="s">
        <v>12558</v>
      </c>
      <c r="H6282" s="7">
        <f t="shared" si="398"/>
        <v>0</v>
      </c>
      <c r="I6282" s="7" cm="1">
        <f t="array" ref="I6282">IFERROR(_xlfn.IFS(M6282="נח",1,M6282="נע ונח",1,M6282="שני שווא נח",2,M6282="שני שוואים בסוף מילה",2,M6282="שני שוואים ברצף",1),"0")</f>
        <v>1</v>
      </c>
      <c r="J6282" s="9">
        <f t="shared" si="399"/>
        <v>3</v>
      </c>
      <c r="K6282" t="s">
        <v>6698</v>
      </c>
      <c r="L6282" t="s">
        <v>6694</v>
      </c>
      <c r="M6282" t="s">
        <v>6705</v>
      </c>
      <c r="N6282" t="s">
        <v>6706</v>
      </c>
      <c r="O6282" t="s">
        <v>6694</v>
      </c>
      <c r="P6282" t="s">
        <v>6694</v>
      </c>
      <c r="W6282" t="s">
        <v>6720</v>
      </c>
    </row>
    <row r="6283" spans="1:23" ht="15.6" x14ac:dyDescent="0.4">
      <c r="A6283" s="2" t="s">
        <v>247</v>
      </c>
      <c r="B6283" s="5" t="s">
        <v>12196</v>
      </c>
      <c r="C6283" s="7" t="s">
        <v>12556</v>
      </c>
      <c r="D6283" s="8">
        <f t="shared" si="396"/>
        <v>2</v>
      </c>
      <c r="E6283" s="7" t="s">
        <v>12557</v>
      </c>
      <c r="F6283" s="7">
        <f t="shared" si="397"/>
        <v>1</v>
      </c>
      <c r="G6283" s="7" t="s">
        <v>12558</v>
      </c>
      <c r="H6283" s="7">
        <f t="shared" si="398"/>
        <v>0</v>
      </c>
      <c r="I6283" s="7" cm="1">
        <f t="array" ref="I6283">IFERROR(_xlfn.IFS(M6283="נח",1,M6283="נע ונח",1,M6283="שני שווא נח",2,M6283="שני שוואים בסוף מילה",2,M6283="שני שוואים ברצף",1),"0")</f>
        <v>1</v>
      </c>
      <c r="J6283" s="9">
        <f t="shared" si="399"/>
        <v>2</v>
      </c>
      <c r="K6283" t="s">
        <v>6697</v>
      </c>
      <c r="L6283" t="s">
        <v>6694</v>
      </c>
      <c r="M6283" t="s">
        <v>6705</v>
      </c>
      <c r="P6283" t="s">
        <v>6694</v>
      </c>
      <c r="S6283" t="s">
        <v>6694</v>
      </c>
      <c r="W6283" t="s">
        <v>6720</v>
      </c>
    </row>
    <row r="6284" spans="1:23" ht="15.6" x14ac:dyDescent="0.4">
      <c r="A6284" s="2" t="s">
        <v>4820</v>
      </c>
      <c r="B6284" s="5" t="s">
        <v>11997</v>
      </c>
      <c r="C6284" s="7" t="s">
        <v>12556</v>
      </c>
      <c r="D6284" s="8">
        <f t="shared" si="396"/>
        <v>1</v>
      </c>
      <c r="E6284" s="7" t="s">
        <v>12557</v>
      </c>
      <c r="F6284" s="7">
        <f t="shared" si="397"/>
        <v>0</v>
      </c>
      <c r="G6284" s="7" t="s">
        <v>12558</v>
      </c>
      <c r="H6284" s="7">
        <f t="shared" si="398"/>
        <v>0</v>
      </c>
      <c r="I6284" s="7" t="str" cm="1">
        <f t="array" ref="I6284">IFERROR(_xlfn.IFS(M6284="נח",1,M6284="נע ונח",1,M6284="שני שווא נח",2,M6284="שני שוואים בסוף מילה",2,M6284="שני שוואים ברצף",1),"0")</f>
        <v>0</v>
      </c>
      <c r="J6284" s="9">
        <f t="shared" si="399"/>
        <v>2</v>
      </c>
      <c r="K6284" t="s">
        <v>6698</v>
      </c>
      <c r="L6284" t="s">
        <v>6695</v>
      </c>
      <c r="O6284" t="s">
        <v>6694</v>
      </c>
      <c r="P6284" t="s">
        <v>6694</v>
      </c>
      <c r="W6284" t="s">
        <v>6720</v>
      </c>
    </row>
    <row r="6285" spans="1:23" ht="15.6" x14ac:dyDescent="0.4">
      <c r="A6285" s="2" t="s">
        <v>665</v>
      </c>
      <c r="B6285" s="5" t="s">
        <v>11997</v>
      </c>
      <c r="C6285" s="7" t="s">
        <v>12556</v>
      </c>
      <c r="D6285" s="8">
        <f t="shared" si="396"/>
        <v>1</v>
      </c>
      <c r="E6285" s="7" t="s">
        <v>12557</v>
      </c>
      <c r="F6285" s="7">
        <f t="shared" si="397"/>
        <v>0</v>
      </c>
      <c r="G6285" s="7" t="s">
        <v>12558</v>
      </c>
      <c r="H6285" s="7">
        <f t="shared" si="398"/>
        <v>0</v>
      </c>
      <c r="I6285" s="7" t="str" cm="1">
        <f t="array" ref="I6285">IFERROR(_xlfn.IFS(M6285="נח",1,M6285="נע ונח",1,M6285="שני שווא נח",2,M6285="שני שוואים בסוף מילה",2,M6285="שני שוואים ברצף",1),"0")</f>
        <v>0</v>
      </c>
      <c r="J6285" s="9">
        <f t="shared" si="399"/>
        <v>2</v>
      </c>
      <c r="K6285" t="s">
        <v>6698</v>
      </c>
      <c r="L6285" t="s">
        <v>6695</v>
      </c>
      <c r="N6285" t="s">
        <v>6706</v>
      </c>
      <c r="O6285" t="s">
        <v>6694</v>
      </c>
      <c r="W6285" t="s">
        <v>6720</v>
      </c>
    </row>
    <row r="6286" spans="1:23" ht="15.6" x14ac:dyDescent="0.4">
      <c r="A6286" s="2" t="s">
        <v>3264</v>
      </c>
      <c r="B6286" s="5" t="s">
        <v>12062</v>
      </c>
      <c r="C6286" s="7" t="s">
        <v>12556</v>
      </c>
      <c r="D6286" s="8">
        <f t="shared" si="396"/>
        <v>1</v>
      </c>
      <c r="E6286" s="7" t="s">
        <v>12557</v>
      </c>
      <c r="F6286" s="7">
        <f t="shared" si="397"/>
        <v>0</v>
      </c>
      <c r="G6286" s="7" t="s">
        <v>12558</v>
      </c>
      <c r="H6286" s="7">
        <f t="shared" si="398"/>
        <v>0</v>
      </c>
      <c r="I6286" s="7" t="str" cm="1">
        <f t="array" ref="I6286">IFERROR(_xlfn.IFS(M6286="נח",1,M6286="נע ונח",1,M6286="שני שווא נח",2,M6286="שני שוואים בסוף מילה",2,M6286="שני שוואים ברצף",1),"0")</f>
        <v>0</v>
      </c>
      <c r="J6286" s="9">
        <f t="shared" si="399"/>
        <v>1</v>
      </c>
      <c r="K6286" t="s">
        <v>6698</v>
      </c>
      <c r="L6286" t="s">
        <v>6695</v>
      </c>
      <c r="N6286" t="s">
        <v>6706</v>
      </c>
      <c r="O6286" t="s">
        <v>6694</v>
      </c>
      <c r="W6286" t="s">
        <v>6720</v>
      </c>
    </row>
    <row r="6287" spans="1:23" ht="15.6" x14ac:dyDescent="0.4">
      <c r="A6287" s="2" t="s">
        <v>2073</v>
      </c>
      <c r="B6287" s="5" t="s">
        <v>12186</v>
      </c>
      <c r="C6287" s="7" t="s">
        <v>12556</v>
      </c>
      <c r="D6287" s="8">
        <f t="shared" si="396"/>
        <v>1</v>
      </c>
      <c r="E6287" s="7" t="s">
        <v>12557</v>
      </c>
      <c r="F6287" s="7">
        <f t="shared" si="397"/>
        <v>1</v>
      </c>
      <c r="G6287" s="7" t="s">
        <v>12558</v>
      </c>
      <c r="H6287" s="7">
        <f t="shared" si="398"/>
        <v>1</v>
      </c>
      <c r="I6287" s="7" cm="1">
        <f t="array" ref="I6287">IFERROR(_xlfn.IFS(M6287="נח",1,M6287="נע ונח",1,M6287="שני שווא נח",2,M6287="שני שוואים בסוף מילה",2,M6287="שני שוואים ברצף",1),"0")</f>
        <v>1</v>
      </c>
      <c r="J6287" s="9">
        <f t="shared" si="399"/>
        <v>2</v>
      </c>
      <c r="K6287" t="s">
        <v>6697</v>
      </c>
      <c r="L6287" t="s">
        <v>6694</v>
      </c>
      <c r="M6287" t="s">
        <v>6705</v>
      </c>
      <c r="N6287" t="s">
        <v>6706</v>
      </c>
      <c r="O6287" t="s">
        <v>6694</v>
      </c>
      <c r="U6287" t="s">
        <v>6694</v>
      </c>
      <c r="W6287" t="s">
        <v>6720</v>
      </c>
    </row>
    <row r="6288" spans="1:23" ht="15.6" x14ac:dyDescent="0.4">
      <c r="A6288" s="2" t="s">
        <v>3055</v>
      </c>
      <c r="B6288" s="5" t="s">
        <v>12197</v>
      </c>
      <c r="C6288" s="7" t="s">
        <v>12556</v>
      </c>
      <c r="D6288" s="8">
        <f t="shared" si="396"/>
        <v>1</v>
      </c>
      <c r="E6288" s="7" t="s">
        <v>12557</v>
      </c>
      <c r="F6288" s="7">
        <f t="shared" si="397"/>
        <v>0</v>
      </c>
      <c r="G6288" s="7" t="s">
        <v>12558</v>
      </c>
      <c r="H6288" s="7">
        <f t="shared" si="398"/>
        <v>0</v>
      </c>
      <c r="I6288" s="7" t="str" cm="1">
        <f t="array" ref="I6288">IFERROR(_xlfn.IFS(M6288="נח",1,M6288="נע ונח",1,M6288="שני שווא נח",2,M6288="שני שוואים בסוף מילה",2,M6288="שני שוואים ברצף",1),"0")</f>
        <v>0</v>
      </c>
      <c r="J6288" s="9">
        <f t="shared" si="399"/>
        <v>2</v>
      </c>
      <c r="K6288" t="s">
        <v>6698</v>
      </c>
      <c r="L6288" t="s">
        <v>6695</v>
      </c>
      <c r="O6288" t="s">
        <v>6694</v>
      </c>
      <c r="P6288" t="s">
        <v>6694</v>
      </c>
      <c r="W6288" t="s">
        <v>6720</v>
      </c>
    </row>
    <row r="6289" spans="1:23" ht="15.6" x14ac:dyDescent="0.4">
      <c r="A6289" s="2" t="s">
        <v>1665</v>
      </c>
      <c r="B6289" s="5" t="s">
        <v>12015</v>
      </c>
      <c r="C6289" s="7" t="s">
        <v>12556</v>
      </c>
      <c r="D6289" s="8">
        <f t="shared" si="396"/>
        <v>1</v>
      </c>
      <c r="E6289" s="7" t="s">
        <v>12557</v>
      </c>
      <c r="F6289" s="7">
        <f t="shared" si="397"/>
        <v>0</v>
      </c>
      <c r="G6289" s="7" t="s">
        <v>12558</v>
      </c>
      <c r="H6289" s="7">
        <f t="shared" si="398"/>
        <v>0</v>
      </c>
      <c r="I6289" s="7" t="str" cm="1">
        <f t="array" ref="I6289">IFERROR(_xlfn.IFS(M6289="נח",1,M6289="נע ונח",1,M6289="שני שווא נח",2,M6289="שני שוואים בסוף מילה",2,M6289="שני שוואים ברצף",1),"0")</f>
        <v>0</v>
      </c>
      <c r="J6289" s="9">
        <f t="shared" si="399"/>
        <v>2</v>
      </c>
      <c r="K6289" t="s">
        <v>6697</v>
      </c>
      <c r="L6289" t="s">
        <v>6695</v>
      </c>
      <c r="O6289" t="s">
        <v>6694</v>
      </c>
      <c r="V6289" t="s">
        <v>6694</v>
      </c>
      <c r="W6289" t="s">
        <v>6720</v>
      </c>
    </row>
    <row r="6290" spans="1:23" ht="15.6" x14ac:dyDescent="0.4">
      <c r="A6290" s="2" t="s">
        <v>1680</v>
      </c>
      <c r="B6290" s="5" t="s">
        <v>12015</v>
      </c>
      <c r="C6290" s="7" t="s">
        <v>12556</v>
      </c>
      <c r="D6290" s="8">
        <f t="shared" si="396"/>
        <v>1</v>
      </c>
      <c r="E6290" s="7" t="s">
        <v>12557</v>
      </c>
      <c r="F6290" s="7">
        <f t="shared" si="397"/>
        <v>1</v>
      </c>
      <c r="G6290" s="7" t="s">
        <v>12558</v>
      </c>
      <c r="H6290" s="7">
        <f t="shared" si="398"/>
        <v>1</v>
      </c>
      <c r="I6290" s="7" t="str" cm="1">
        <f t="array" ref="I6290">IFERROR(_xlfn.IFS(M6290="נח",1,M6290="נע ונח",1,M6290="שני שווא נח",2,M6290="שני שוואים בסוף מילה",2,M6290="שני שוואים ברצף",1),"0")</f>
        <v>0</v>
      </c>
      <c r="J6290" s="9">
        <f t="shared" si="399"/>
        <v>2</v>
      </c>
      <c r="K6290" t="s">
        <v>6697</v>
      </c>
      <c r="L6290" t="s">
        <v>6695</v>
      </c>
      <c r="O6290" t="s">
        <v>6694</v>
      </c>
      <c r="U6290" t="s">
        <v>6694</v>
      </c>
      <c r="W6290" t="s">
        <v>6720</v>
      </c>
    </row>
    <row r="6291" spans="1:23" ht="15.6" x14ac:dyDescent="0.4">
      <c r="A6291" s="2" t="s">
        <v>2460</v>
      </c>
      <c r="B6291" s="5" t="s">
        <v>12190</v>
      </c>
      <c r="C6291" s="7" t="s">
        <v>12556</v>
      </c>
      <c r="D6291" s="8">
        <f t="shared" si="396"/>
        <v>1</v>
      </c>
      <c r="E6291" s="7" t="s">
        <v>12557</v>
      </c>
      <c r="F6291" s="7">
        <f t="shared" si="397"/>
        <v>0</v>
      </c>
      <c r="G6291" s="7" t="s">
        <v>12558</v>
      </c>
      <c r="H6291" s="7">
        <f t="shared" si="398"/>
        <v>0</v>
      </c>
      <c r="I6291" s="7" cm="1">
        <f t="array" ref="I6291">IFERROR(_xlfn.IFS(M6291="נח",1,M6291="נע ונח",1,M6291="שני שווא נח",2,M6291="שני שוואים בסוף מילה",2,M6291="שני שוואים ברצף",1),"0")</f>
        <v>1</v>
      </c>
      <c r="J6291" s="9">
        <f t="shared" si="399"/>
        <v>2</v>
      </c>
      <c r="K6291" t="s">
        <v>6697</v>
      </c>
      <c r="L6291" t="s">
        <v>6694</v>
      </c>
      <c r="M6291" t="s">
        <v>6705</v>
      </c>
      <c r="N6291" t="s">
        <v>6706</v>
      </c>
      <c r="O6291" t="s">
        <v>6694</v>
      </c>
      <c r="W6291" t="s">
        <v>6720</v>
      </c>
    </row>
    <row r="6292" spans="1:23" ht="15.6" x14ac:dyDescent="0.4">
      <c r="A6292" s="2" t="s">
        <v>2791</v>
      </c>
      <c r="B6292" s="5" t="s">
        <v>12198</v>
      </c>
      <c r="C6292" s="7" t="s">
        <v>12556</v>
      </c>
      <c r="D6292" s="8">
        <f t="shared" si="396"/>
        <v>1</v>
      </c>
      <c r="E6292" s="7" t="s">
        <v>12557</v>
      </c>
      <c r="F6292" s="7">
        <f t="shared" si="397"/>
        <v>0</v>
      </c>
      <c r="G6292" s="7" t="s">
        <v>12558</v>
      </c>
      <c r="H6292" s="7">
        <f t="shared" si="398"/>
        <v>0</v>
      </c>
      <c r="I6292" s="7" t="str" cm="1">
        <f t="array" ref="I6292">IFERROR(_xlfn.IFS(M6292="נח",1,M6292="נע ונח",1,M6292="שני שווא נח",2,M6292="שני שוואים בסוף מילה",2,M6292="שני שוואים ברצף",1),"0")</f>
        <v>0</v>
      </c>
      <c r="J6292" s="9">
        <f t="shared" si="399"/>
        <v>3</v>
      </c>
      <c r="K6292" t="s">
        <v>6697</v>
      </c>
      <c r="L6292" t="s">
        <v>6695</v>
      </c>
      <c r="O6292" t="s">
        <v>6694</v>
      </c>
      <c r="Q6292" t="s">
        <v>6694</v>
      </c>
      <c r="S6292" t="s">
        <v>6694</v>
      </c>
      <c r="W6292" t="s">
        <v>6720</v>
      </c>
    </row>
    <row r="6293" spans="1:23" ht="15.6" x14ac:dyDescent="0.4">
      <c r="A6293" s="2" t="s">
        <v>3164</v>
      </c>
      <c r="B6293" s="5" t="s">
        <v>12199</v>
      </c>
      <c r="C6293" s="7" t="s">
        <v>12556</v>
      </c>
      <c r="D6293" s="8">
        <f t="shared" si="396"/>
        <v>1</v>
      </c>
      <c r="E6293" s="7" t="s">
        <v>12557</v>
      </c>
      <c r="F6293" s="7">
        <f t="shared" si="397"/>
        <v>0</v>
      </c>
      <c r="G6293" s="7" t="s">
        <v>12558</v>
      </c>
      <c r="H6293" s="7">
        <f t="shared" si="398"/>
        <v>0</v>
      </c>
      <c r="I6293" s="7" t="str" cm="1">
        <f t="array" ref="I6293">IFERROR(_xlfn.IFS(M6293="נח",1,M6293="נע ונח",1,M6293="שני שווא נח",2,M6293="שני שוואים בסוף מילה",2,M6293="שני שוואים ברצף",1),"0")</f>
        <v>0</v>
      </c>
      <c r="J6293" s="9">
        <f t="shared" si="399"/>
        <v>3</v>
      </c>
      <c r="K6293" t="s">
        <v>6698</v>
      </c>
      <c r="L6293" t="s">
        <v>6695</v>
      </c>
      <c r="O6293" t="s">
        <v>6694</v>
      </c>
      <c r="Q6293" t="s">
        <v>6694</v>
      </c>
      <c r="W6293" t="s">
        <v>6720</v>
      </c>
    </row>
    <row r="6294" spans="1:23" ht="15.6" x14ac:dyDescent="0.4">
      <c r="A6294" s="2" t="s">
        <v>998</v>
      </c>
      <c r="B6294" s="5" t="s">
        <v>12200</v>
      </c>
      <c r="C6294" s="7" t="s">
        <v>12556</v>
      </c>
      <c r="D6294" s="8">
        <f t="shared" si="396"/>
        <v>1</v>
      </c>
      <c r="E6294" s="7" t="s">
        <v>12557</v>
      </c>
      <c r="F6294" s="7">
        <f t="shared" si="397"/>
        <v>0</v>
      </c>
      <c r="G6294" s="7" t="s">
        <v>12558</v>
      </c>
      <c r="H6294" s="7">
        <f t="shared" si="398"/>
        <v>0</v>
      </c>
      <c r="I6294" s="7" t="str" cm="1">
        <f t="array" ref="I6294">IFERROR(_xlfn.IFS(M6294="נח",1,M6294="נע ונח",1,M6294="שני שווא נח",2,M6294="שני שוואים בסוף מילה",2,M6294="שני שוואים ברצף",1),"0")</f>
        <v>0</v>
      </c>
      <c r="J6294" s="9">
        <f t="shared" si="399"/>
        <v>1</v>
      </c>
      <c r="K6294" t="s">
        <v>6698</v>
      </c>
      <c r="L6294" t="s">
        <v>6695</v>
      </c>
      <c r="N6294" t="s">
        <v>6706</v>
      </c>
      <c r="O6294" t="s">
        <v>6694</v>
      </c>
      <c r="W6294" t="s">
        <v>6720</v>
      </c>
    </row>
    <row r="6295" spans="1:23" ht="15.6" x14ac:dyDescent="0.4">
      <c r="A6295" s="2" t="s">
        <v>5654</v>
      </c>
      <c r="B6295" s="5" t="s">
        <v>12201</v>
      </c>
      <c r="C6295" s="7" t="s">
        <v>12556</v>
      </c>
      <c r="D6295" s="8">
        <f t="shared" si="396"/>
        <v>1</v>
      </c>
      <c r="E6295" s="7" t="s">
        <v>12557</v>
      </c>
      <c r="F6295" s="7">
        <f t="shared" si="397"/>
        <v>1</v>
      </c>
      <c r="G6295" s="7" t="s">
        <v>12558</v>
      </c>
      <c r="H6295" s="7">
        <f t="shared" si="398"/>
        <v>1</v>
      </c>
      <c r="I6295" s="7" cm="1">
        <f t="array" ref="I6295">IFERROR(_xlfn.IFS(M6295="נח",1,M6295="נע ונח",1,M6295="שני שווא נח",2,M6295="שני שוואים בסוף מילה",2,M6295="שני שוואים ברצף",1),"0")</f>
        <v>1</v>
      </c>
      <c r="J6295" s="9">
        <f t="shared" si="399"/>
        <v>2</v>
      </c>
      <c r="K6295" t="s">
        <v>6697</v>
      </c>
      <c r="L6295" t="s">
        <v>6694</v>
      </c>
      <c r="M6295" t="s">
        <v>6705</v>
      </c>
      <c r="N6295" t="s">
        <v>6706</v>
      </c>
      <c r="O6295" t="s">
        <v>6694</v>
      </c>
      <c r="U6295" t="s">
        <v>6694</v>
      </c>
      <c r="W6295" t="s">
        <v>6720</v>
      </c>
    </row>
    <row r="6296" spans="1:23" ht="15.6" x14ac:dyDescent="0.4">
      <c r="A6296" s="2" t="s">
        <v>281</v>
      </c>
      <c r="B6296" s="5" t="s">
        <v>12132</v>
      </c>
      <c r="C6296" s="7" t="s">
        <v>12556</v>
      </c>
      <c r="D6296" s="8">
        <f t="shared" si="396"/>
        <v>1</v>
      </c>
      <c r="E6296" s="7" t="s">
        <v>12557</v>
      </c>
      <c r="F6296" s="7">
        <f t="shared" si="397"/>
        <v>0</v>
      </c>
      <c r="G6296" s="7" t="s">
        <v>12558</v>
      </c>
      <c r="H6296" s="7">
        <f t="shared" si="398"/>
        <v>0</v>
      </c>
      <c r="I6296" s="7" t="str" cm="1">
        <f t="array" ref="I6296">IFERROR(_xlfn.IFS(M6296="נח",1,M6296="נע ונח",1,M6296="שני שווא נח",2,M6296="שני שוואים בסוף מילה",2,M6296="שני שוואים ברצף",1),"0")</f>
        <v>0</v>
      </c>
      <c r="J6296" s="9">
        <f t="shared" si="399"/>
        <v>2</v>
      </c>
      <c r="K6296" t="s">
        <v>6698</v>
      </c>
      <c r="L6296" t="s">
        <v>6695</v>
      </c>
      <c r="O6296" t="s">
        <v>6694</v>
      </c>
      <c r="S6296" t="s">
        <v>6694</v>
      </c>
      <c r="W6296" t="s">
        <v>6720</v>
      </c>
    </row>
    <row r="6297" spans="1:23" ht="15.6" x14ac:dyDescent="0.4">
      <c r="A6297" s="2" t="s">
        <v>1668</v>
      </c>
      <c r="B6297" s="5" t="s">
        <v>12202</v>
      </c>
      <c r="C6297" s="7" t="s">
        <v>12556</v>
      </c>
      <c r="D6297" s="8">
        <f t="shared" si="396"/>
        <v>1</v>
      </c>
      <c r="E6297" s="7" t="s">
        <v>12557</v>
      </c>
      <c r="F6297" s="7">
        <f t="shared" si="397"/>
        <v>0</v>
      </c>
      <c r="G6297" s="7" t="s">
        <v>12558</v>
      </c>
      <c r="H6297" s="7">
        <f t="shared" si="398"/>
        <v>0</v>
      </c>
      <c r="I6297" s="7" t="str" cm="1">
        <f t="array" ref="I6297">IFERROR(_xlfn.IFS(M6297="נח",1,M6297="נע ונח",1,M6297="שני שווא נח",2,M6297="שני שוואים בסוף מילה",2,M6297="שני שוואים ברצף",1),"0")</f>
        <v>0</v>
      </c>
      <c r="J6297" s="9">
        <f t="shared" si="399"/>
        <v>2</v>
      </c>
      <c r="K6297" t="s">
        <v>6698</v>
      </c>
      <c r="L6297" t="s">
        <v>6695</v>
      </c>
      <c r="N6297" t="s">
        <v>6706</v>
      </c>
      <c r="O6297" t="s">
        <v>6694</v>
      </c>
      <c r="W6297" t="s">
        <v>6720</v>
      </c>
    </row>
    <row r="6298" spans="1:23" ht="15.6" x14ac:dyDescent="0.4">
      <c r="A6298" s="2" t="s">
        <v>3707</v>
      </c>
      <c r="B6298" s="5" t="s">
        <v>12179</v>
      </c>
      <c r="C6298" s="7" t="s">
        <v>12556</v>
      </c>
      <c r="D6298" s="8">
        <f t="shared" si="396"/>
        <v>2</v>
      </c>
      <c r="E6298" s="7" t="s">
        <v>12557</v>
      </c>
      <c r="F6298" s="7">
        <f t="shared" si="397"/>
        <v>0</v>
      </c>
      <c r="G6298" s="7" t="s">
        <v>12558</v>
      </c>
      <c r="H6298" s="7">
        <f t="shared" si="398"/>
        <v>0</v>
      </c>
      <c r="I6298" s="7" t="str" cm="1">
        <f t="array" ref="I6298">IFERROR(_xlfn.IFS(M6298="נח",1,M6298="נע ונח",1,M6298="שני שווא נח",2,M6298="שני שוואים בסוף מילה",2,M6298="שני שוואים ברצף",1),"0")</f>
        <v>0</v>
      </c>
      <c r="J6298" s="9">
        <f t="shared" si="399"/>
        <v>2</v>
      </c>
      <c r="K6298" t="s">
        <v>6698</v>
      </c>
      <c r="L6298" t="s">
        <v>6695</v>
      </c>
      <c r="O6298" t="s">
        <v>6694</v>
      </c>
      <c r="V6298" t="s">
        <v>6694</v>
      </c>
      <c r="W6298" t="s">
        <v>6720</v>
      </c>
    </row>
    <row r="6299" spans="1:23" ht="15.6" x14ac:dyDescent="0.4">
      <c r="A6299" s="2" t="s">
        <v>3065</v>
      </c>
      <c r="B6299" s="5" t="s">
        <v>12100</v>
      </c>
      <c r="C6299" s="7" t="s">
        <v>12556</v>
      </c>
      <c r="D6299" s="8">
        <f t="shared" si="396"/>
        <v>1</v>
      </c>
      <c r="E6299" s="7" t="s">
        <v>12557</v>
      </c>
      <c r="F6299" s="7">
        <f t="shared" si="397"/>
        <v>0</v>
      </c>
      <c r="G6299" s="7" t="s">
        <v>12558</v>
      </c>
      <c r="H6299" s="7">
        <f t="shared" si="398"/>
        <v>0</v>
      </c>
      <c r="I6299" s="7" t="str" cm="1">
        <f t="array" ref="I6299">IFERROR(_xlfn.IFS(M6299="נח",1,M6299="נע ונח",1,M6299="שני שווא נח",2,M6299="שני שוואים בסוף מילה",2,M6299="שני שוואים ברצף",1),"0")</f>
        <v>0</v>
      </c>
      <c r="J6299" s="9">
        <f t="shared" si="399"/>
        <v>2</v>
      </c>
      <c r="K6299" t="s">
        <v>6697</v>
      </c>
      <c r="L6299" t="s">
        <v>6695</v>
      </c>
      <c r="P6299" t="s">
        <v>6694</v>
      </c>
      <c r="V6299" t="s">
        <v>6694</v>
      </c>
      <c r="W6299" t="s">
        <v>6720</v>
      </c>
    </row>
    <row r="6300" spans="1:23" ht="15.6" x14ac:dyDescent="0.4">
      <c r="A6300" s="2" t="s">
        <v>504</v>
      </c>
      <c r="B6300" s="5" t="s">
        <v>12203</v>
      </c>
      <c r="C6300" s="7" t="s">
        <v>12556</v>
      </c>
      <c r="D6300" s="8">
        <f t="shared" si="396"/>
        <v>1</v>
      </c>
      <c r="E6300" s="7" t="s">
        <v>12557</v>
      </c>
      <c r="F6300" s="7">
        <f t="shared" si="397"/>
        <v>0</v>
      </c>
      <c r="G6300" s="7" t="s">
        <v>12558</v>
      </c>
      <c r="H6300" s="7">
        <f t="shared" si="398"/>
        <v>0</v>
      </c>
      <c r="I6300" s="7" cm="1">
        <f t="array" ref="I6300">IFERROR(_xlfn.IFS(M6300="נח",1,M6300="נע ונח",1,M6300="שני שווא נח",2,M6300="שני שוואים בסוף מילה",2,M6300="שני שוואים ברצף",1),"0")</f>
        <v>1</v>
      </c>
      <c r="J6300" s="9">
        <f t="shared" si="399"/>
        <v>2</v>
      </c>
      <c r="K6300" t="s">
        <v>6698</v>
      </c>
      <c r="L6300" t="s">
        <v>6694</v>
      </c>
      <c r="M6300" t="s">
        <v>6705</v>
      </c>
      <c r="Q6300" t="s">
        <v>6694</v>
      </c>
      <c r="V6300" t="s">
        <v>6694</v>
      </c>
      <c r="W6300" t="s">
        <v>6720</v>
      </c>
    </row>
    <row r="6301" spans="1:23" ht="15.6" x14ac:dyDescent="0.4">
      <c r="A6301" s="2" t="s">
        <v>5001</v>
      </c>
      <c r="B6301" s="5" t="s">
        <v>12203</v>
      </c>
      <c r="C6301" s="7" t="s">
        <v>12556</v>
      </c>
      <c r="D6301" s="8">
        <f t="shared" si="396"/>
        <v>1</v>
      </c>
      <c r="E6301" s="7" t="s">
        <v>12557</v>
      </c>
      <c r="F6301" s="7">
        <f t="shared" si="397"/>
        <v>0</v>
      </c>
      <c r="G6301" s="7" t="s">
        <v>12558</v>
      </c>
      <c r="H6301" s="7">
        <f t="shared" si="398"/>
        <v>0</v>
      </c>
      <c r="I6301" s="7" cm="1">
        <f t="array" ref="I6301">IFERROR(_xlfn.IFS(M6301="נח",1,M6301="נע ונח",1,M6301="שני שווא נח",2,M6301="שני שוואים בסוף מילה",2,M6301="שני שוואים ברצף",1),"0")</f>
        <v>1</v>
      </c>
      <c r="J6301" s="9">
        <f t="shared" si="399"/>
        <v>2</v>
      </c>
      <c r="K6301" t="s">
        <v>6698</v>
      </c>
      <c r="L6301" t="s">
        <v>6694</v>
      </c>
      <c r="M6301" t="s">
        <v>6705</v>
      </c>
      <c r="P6301" t="s">
        <v>6694</v>
      </c>
      <c r="V6301" t="s">
        <v>6694</v>
      </c>
      <c r="W6301" t="s">
        <v>6720</v>
      </c>
    </row>
    <row r="6302" spans="1:23" ht="15.6" x14ac:dyDescent="0.4">
      <c r="A6302" s="2" t="s">
        <v>6341</v>
      </c>
      <c r="B6302" s="5" t="s">
        <v>12204</v>
      </c>
      <c r="C6302" s="7" t="s">
        <v>12556</v>
      </c>
      <c r="D6302" s="8">
        <f t="shared" si="396"/>
        <v>1</v>
      </c>
      <c r="E6302" s="7" t="s">
        <v>12557</v>
      </c>
      <c r="F6302" s="7">
        <f t="shared" si="397"/>
        <v>0</v>
      </c>
      <c r="G6302" s="7" t="s">
        <v>12558</v>
      </c>
      <c r="H6302" s="7">
        <f t="shared" si="398"/>
        <v>0</v>
      </c>
      <c r="I6302" s="7" cm="1">
        <f t="array" ref="I6302">IFERROR(_xlfn.IFS(M6302="נח",1,M6302="נע ונח",1,M6302="שני שווא נח",2,M6302="שני שוואים בסוף מילה",2,M6302="שני שוואים ברצף",1),"0")</f>
        <v>1</v>
      </c>
      <c r="J6302" s="9">
        <f t="shared" si="399"/>
        <v>3</v>
      </c>
      <c r="K6302" t="s">
        <v>6697</v>
      </c>
      <c r="L6302" t="s">
        <v>6694</v>
      </c>
      <c r="M6302" t="s">
        <v>6705</v>
      </c>
      <c r="O6302" t="s">
        <v>6694</v>
      </c>
      <c r="R6302" t="s">
        <v>6694</v>
      </c>
      <c r="V6302" t="s">
        <v>6694</v>
      </c>
      <c r="W6302" t="s">
        <v>6720</v>
      </c>
    </row>
    <row r="6303" spans="1:23" ht="15.6" x14ac:dyDescent="0.4">
      <c r="A6303" s="2" t="s">
        <v>1885</v>
      </c>
      <c r="B6303" s="5" t="s">
        <v>12205</v>
      </c>
      <c r="C6303" s="7" t="s">
        <v>12556</v>
      </c>
      <c r="D6303" s="8">
        <f t="shared" si="396"/>
        <v>1</v>
      </c>
      <c r="E6303" s="7" t="s">
        <v>12557</v>
      </c>
      <c r="F6303" s="7">
        <f t="shared" si="397"/>
        <v>0</v>
      </c>
      <c r="G6303" s="7" t="s">
        <v>12558</v>
      </c>
      <c r="H6303" s="7">
        <f t="shared" si="398"/>
        <v>0</v>
      </c>
      <c r="I6303" s="7" cm="1">
        <f t="array" ref="I6303">IFERROR(_xlfn.IFS(M6303="נח",1,M6303="נע ונח",1,M6303="שני שווא נח",2,M6303="שני שוואים בסוף מילה",2,M6303="שני שוואים ברצף",1),"0")</f>
        <v>1</v>
      </c>
      <c r="J6303" s="9">
        <f t="shared" si="399"/>
        <v>2</v>
      </c>
      <c r="K6303" t="s">
        <v>6698</v>
      </c>
      <c r="L6303" t="s">
        <v>6694</v>
      </c>
      <c r="M6303" t="s">
        <v>6705</v>
      </c>
      <c r="P6303" t="s">
        <v>6694</v>
      </c>
      <c r="V6303" t="s">
        <v>6694</v>
      </c>
      <c r="W6303" t="s">
        <v>6720</v>
      </c>
    </row>
    <row r="6304" spans="1:23" ht="15.6" x14ac:dyDescent="0.4">
      <c r="A6304" s="2" t="s">
        <v>2168</v>
      </c>
      <c r="B6304" s="5" t="s">
        <v>12205</v>
      </c>
      <c r="C6304" s="7" t="s">
        <v>12556</v>
      </c>
      <c r="D6304" s="8">
        <f t="shared" si="396"/>
        <v>1</v>
      </c>
      <c r="E6304" s="7" t="s">
        <v>12557</v>
      </c>
      <c r="F6304" s="7">
        <f t="shared" si="397"/>
        <v>0</v>
      </c>
      <c r="G6304" s="7" t="s">
        <v>12558</v>
      </c>
      <c r="H6304" s="7">
        <f t="shared" si="398"/>
        <v>0</v>
      </c>
      <c r="I6304" s="7" cm="1">
        <f t="array" ref="I6304">IFERROR(_xlfn.IFS(M6304="נח",1,M6304="נע ונח",1,M6304="שני שווא נח",2,M6304="שני שוואים בסוף מילה",2,M6304="שני שוואים ברצף",1),"0")</f>
        <v>1</v>
      </c>
      <c r="J6304" s="9">
        <f t="shared" si="399"/>
        <v>2</v>
      </c>
      <c r="K6304" t="s">
        <v>6698</v>
      </c>
      <c r="L6304" t="s">
        <v>6694</v>
      </c>
      <c r="M6304" t="s">
        <v>6705</v>
      </c>
      <c r="N6304" t="s">
        <v>6706</v>
      </c>
      <c r="O6304" t="s">
        <v>6694</v>
      </c>
      <c r="V6304" t="s">
        <v>6694</v>
      </c>
      <c r="W6304" t="s">
        <v>6720</v>
      </c>
    </row>
    <row r="6305" spans="1:23" ht="15.6" x14ac:dyDescent="0.4">
      <c r="A6305" s="2" t="s">
        <v>5016</v>
      </c>
      <c r="B6305" s="5" t="s">
        <v>12206</v>
      </c>
      <c r="C6305" s="7" t="s">
        <v>12556</v>
      </c>
      <c r="D6305" s="8">
        <f t="shared" si="396"/>
        <v>1</v>
      </c>
      <c r="E6305" s="7" t="s">
        <v>12557</v>
      </c>
      <c r="F6305" s="7">
        <f t="shared" si="397"/>
        <v>0</v>
      </c>
      <c r="G6305" s="7" t="s">
        <v>12558</v>
      </c>
      <c r="H6305" s="7">
        <f t="shared" si="398"/>
        <v>0</v>
      </c>
      <c r="I6305" s="7" cm="1">
        <f t="array" ref="I6305">IFERROR(_xlfn.IFS(M6305="נח",1,M6305="נע ונח",1,M6305="שני שווא נח",2,M6305="שני שוואים בסוף מילה",2,M6305="שני שוואים ברצף",1),"0")</f>
        <v>1</v>
      </c>
      <c r="J6305" s="9">
        <f t="shared" si="399"/>
        <v>2</v>
      </c>
      <c r="K6305" t="s">
        <v>6698</v>
      </c>
      <c r="L6305" t="s">
        <v>6694</v>
      </c>
      <c r="M6305" t="s">
        <v>6705</v>
      </c>
      <c r="P6305" t="s">
        <v>6694</v>
      </c>
      <c r="V6305" t="s">
        <v>6694</v>
      </c>
      <c r="W6305" t="s">
        <v>6720</v>
      </c>
    </row>
    <row r="6306" spans="1:23" ht="15.6" x14ac:dyDescent="0.4">
      <c r="A6306" s="2" t="s">
        <v>1051</v>
      </c>
      <c r="B6306" s="5" t="s">
        <v>12207</v>
      </c>
      <c r="C6306" s="7" t="s">
        <v>12556</v>
      </c>
      <c r="D6306" s="8">
        <f t="shared" si="396"/>
        <v>1</v>
      </c>
      <c r="E6306" s="7" t="s">
        <v>12557</v>
      </c>
      <c r="F6306" s="7">
        <f t="shared" si="397"/>
        <v>0</v>
      </c>
      <c r="G6306" s="7" t="s">
        <v>12558</v>
      </c>
      <c r="H6306" s="7">
        <f t="shared" si="398"/>
        <v>0</v>
      </c>
      <c r="I6306" s="7" t="str" cm="1">
        <f t="array" ref="I6306">IFERROR(_xlfn.IFS(M6306="נח",1,M6306="נע ונח",1,M6306="שני שווא נח",2,M6306="שני שוואים בסוף מילה",2,M6306="שני שוואים ברצף",1),"0")</f>
        <v>0</v>
      </c>
      <c r="J6306" s="9">
        <f t="shared" si="399"/>
        <v>2</v>
      </c>
      <c r="K6306" t="s">
        <v>6697</v>
      </c>
      <c r="L6306" t="s">
        <v>6695</v>
      </c>
      <c r="Q6306" t="s">
        <v>6694</v>
      </c>
      <c r="V6306" t="s">
        <v>6694</v>
      </c>
      <c r="W6306" t="s">
        <v>6720</v>
      </c>
    </row>
    <row r="6307" spans="1:23" ht="15.6" x14ac:dyDescent="0.4">
      <c r="A6307" s="2" t="s">
        <v>6677</v>
      </c>
      <c r="B6307" s="5" t="s">
        <v>12208</v>
      </c>
      <c r="C6307" s="7" t="s">
        <v>12556</v>
      </c>
      <c r="D6307" s="8">
        <f t="shared" si="396"/>
        <v>0</v>
      </c>
      <c r="E6307" s="7" t="s">
        <v>12557</v>
      </c>
      <c r="F6307" s="7">
        <f t="shared" si="397"/>
        <v>3</v>
      </c>
      <c r="G6307" s="7" t="s">
        <v>12558</v>
      </c>
      <c r="H6307" s="7">
        <f t="shared" si="398"/>
        <v>1</v>
      </c>
      <c r="I6307" s="7" cm="1">
        <f t="array" ref="I6307">IFERROR(_xlfn.IFS(M6307="נח",1,M6307="נע ונח",1,M6307="שני שווא נח",2,M6307="שני שוואים בסוף מילה",2,M6307="שני שוואים ברצף",1),"0")</f>
        <v>1</v>
      </c>
      <c r="J6307" s="9">
        <f t="shared" si="399"/>
        <v>4</v>
      </c>
      <c r="K6307" t="s">
        <v>6697</v>
      </c>
      <c r="L6307" t="s">
        <v>6694</v>
      </c>
      <c r="M6307" t="s">
        <v>6701</v>
      </c>
      <c r="P6307" t="s">
        <v>6694</v>
      </c>
      <c r="R6307" t="s">
        <v>6694</v>
      </c>
      <c r="U6307" t="s">
        <v>6694</v>
      </c>
      <c r="W6307" t="s">
        <v>6720</v>
      </c>
    </row>
    <row r="6308" spans="1:23" ht="15.6" x14ac:dyDescent="0.4">
      <c r="A6308" s="2" t="s">
        <v>2331</v>
      </c>
      <c r="B6308" s="5" t="s">
        <v>12209</v>
      </c>
      <c r="C6308" s="7" t="s">
        <v>12556</v>
      </c>
      <c r="D6308" s="8">
        <f t="shared" si="396"/>
        <v>0</v>
      </c>
      <c r="E6308" s="7" t="s">
        <v>12557</v>
      </c>
      <c r="F6308" s="7">
        <f t="shared" si="397"/>
        <v>1</v>
      </c>
      <c r="G6308" s="7" t="s">
        <v>12558</v>
      </c>
      <c r="H6308" s="7">
        <f t="shared" si="398"/>
        <v>0</v>
      </c>
      <c r="I6308" s="7" t="str" cm="1">
        <f t="array" ref="I6308">IFERROR(_xlfn.IFS(M6308="נח",1,M6308="נע ונח",1,M6308="שני שווא נח",2,M6308="שני שוואים בסוף מילה",2,M6308="שני שוואים ברצף",1),"0")</f>
        <v>0</v>
      </c>
      <c r="J6308" s="9">
        <f t="shared" si="399"/>
        <v>3</v>
      </c>
      <c r="K6308" t="s">
        <v>6697</v>
      </c>
      <c r="L6308" t="s">
        <v>6694</v>
      </c>
      <c r="M6308" t="s">
        <v>6700</v>
      </c>
      <c r="R6308" t="s">
        <v>6694</v>
      </c>
      <c r="T6308" t="s">
        <v>6694</v>
      </c>
      <c r="W6308" t="s">
        <v>6720</v>
      </c>
    </row>
    <row r="6309" spans="1:23" ht="15.6" x14ac:dyDescent="0.4">
      <c r="A6309" s="2" t="s">
        <v>5013</v>
      </c>
      <c r="B6309" s="5" t="s">
        <v>12210</v>
      </c>
      <c r="C6309" s="7" t="s">
        <v>12556</v>
      </c>
      <c r="D6309" s="8">
        <f t="shared" si="396"/>
        <v>0</v>
      </c>
      <c r="E6309" s="7" t="s">
        <v>12557</v>
      </c>
      <c r="F6309" s="7">
        <f t="shared" si="397"/>
        <v>0</v>
      </c>
      <c r="G6309" s="7" t="s">
        <v>12558</v>
      </c>
      <c r="H6309" s="7">
        <f t="shared" si="398"/>
        <v>0</v>
      </c>
      <c r="I6309" s="7" cm="1">
        <f t="array" ref="I6309">IFERROR(_xlfn.IFS(M6309="נח",1,M6309="נע ונח",1,M6309="שני שווא נח",2,M6309="שני שוואים בסוף מילה",2,M6309="שני שוואים ברצף",1),"0")</f>
        <v>1</v>
      </c>
      <c r="J6309" s="9">
        <f t="shared" si="399"/>
        <v>3</v>
      </c>
      <c r="K6309" t="s">
        <v>6698</v>
      </c>
      <c r="L6309" t="s">
        <v>6694</v>
      </c>
      <c r="M6309" t="s">
        <v>6701</v>
      </c>
      <c r="O6309" t="s">
        <v>6694</v>
      </c>
      <c r="Q6309" t="s">
        <v>6694</v>
      </c>
      <c r="W6309" t="s">
        <v>6720</v>
      </c>
    </row>
    <row r="6310" spans="1:23" ht="15.6" x14ac:dyDescent="0.4">
      <c r="A6310" s="2" t="s">
        <v>6400</v>
      </c>
      <c r="B6310" s="5" t="s">
        <v>12211</v>
      </c>
      <c r="C6310" s="7" t="s">
        <v>12556</v>
      </c>
      <c r="D6310" s="8">
        <f t="shared" si="396"/>
        <v>0</v>
      </c>
      <c r="E6310" s="7" t="s">
        <v>12557</v>
      </c>
      <c r="F6310" s="7">
        <f t="shared" si="397"/>
        <v>1</v>
      </c>
      <c r="G6310" s="7" t="s">
        <v>12558</v>
      </c>
      <c r="H6310" s="7">
        <f t="shared" si="398"/>
        <v>1</v>
      </c>
      <c r="I6310" s="7" t="str" cm="1">
        <f t="array" ref="I6310">IFERROR(_xlfn.IFS(M6310="נח",1,M6310="נע ונח",1,M6310="שני שווא נח",2,M6310="שני שוואים בסוף מילה",2,M6310="שני שוואים ברצף",1),"0")</f>
        <v>0</v>
      </c>
      <c r="J6310" s="9">
        <f t="shared" si="399"/>
        <v>3</v>
      </c>
      <c r="K6310" t="s">
        <v>6698</v>
      </c>
      <c r="L6310" t="s">
        <v>6694</v>
      </c>
      <c r="M6310" t="s">
        <v>6700</v>
      </c>
      <c r="U6310" t="s">
        <v>6694</v>
      </c>
      <c r="V6310" t="s">
        <v>6694</v>
      </c>
      <c r="W6310" t="s">
        <v>6720</v>
      </c>
    </row>
    <row r="6311" spans="1:23" ht="15.6" x14ac:dyDescent="0.4">
      <c r="A6311" s="2" t="s">
        <v>6424</v>
      </c>
      <c r="B6311" s="5" t="s">
        <v>12212</v>
      </c>
      <c r="C6311" s="7" t="s">
        <v>12556</v>
      </c>
      <c r="D6311" s="8">
        <f t="shared" si="396"/>
        <v>0</v>
      </c>
      <c r="E6311" s="7" t="s">
        <v>12557</v>
      </c>
      <c r="F6311" s="7">
        <f t="shared" si="397"/>
        <v>0</v>
      </c>
      <c r="G6311" s="7" t="s">
        <v>12558</v>
      </c>
      <c r="H6311" s="7">
        <f t="shared" si="398"/>
        <v>0</v>
      </c>
      <c r="I6311" s="7" t="str" cm="1">
        <f t="array" ref="I6311">IFERROR(_xlfn.IFS(M6311="נח",1,M6311="נע ונח",1,M6311="שני שווא נח",2,M6311="שני שוואים בסוף מילה",2,M6311="שני שוואים ברצף",1),"0")</f>
        <v>0</v>
      </c>
      <c r="J6311" s="9">
        <f t="shared" si="399"/>
        <v>4</v>
      </c>
      <c r="K6311" t="s">
        <v>6697</v>
      </c>
      <c r="L6311" t="s">
        <v>6694</v>
      </c>
      <c r="M6311" t="s">
        <v>6700</v>
      </c>
      <c r="Q6311" t="s">
        <v>6694</v>
      </c>
      <c r="S6311" t="s">
        <v>6694</v>
      </c>
      <c r="W6311" t="s">
        <v>6720</v>
      </c>
    </row>
    <row r="6312" spans="1:23" ht="15.6" x14ac:dyDescent="0.4">
      <c r="A6312" s="2" t="s">
        <v>5336</v>
      </c>
      <c r="B6312" s="5" t="s">
        <v>12213</v>
      </c>
      <c r="C6312" s="7" t="s">
        <v>12556</v>
      </c>
      <c r="D6312" s="8">
        <f t="shared" si="396"/>
        <v>0</v>
      </c>
      <c r="E6312" s="7" t="s">
        <v>12557</v>
      </c>
      <c r="F6312" s="7">
        <f t="shared" si="397"/>
        <v>1</v>
      </c>
      <c r="G6312" s="7" t="s">
        <v>12558</v>
      </c>
      <c r="H6312" s="7">
        <f t="shared" si="398"/>
        <v>0</v>
      </c>
      <c r="I6312" s="7" t="str" cm="1">
        <f t="array" ref="I6312">IFERROR(_xlfn.IFS(M6312="נח",1,M6312="נע ונח",1,M6312="שני שווא נח",2,M6312="שני שוואים בסוף מילה",2,M6312="שני שוואים ברצף",1),"0")</f>
        <v>0</v>
      </c>
      <c r="J6312" s="9">
        <f t="shared" si="399"/>
        <v>3</v>
      </c>
      <c r="K6312" t="s">
        <v>6698</v>
      </c>
      <c r="L6312" t="s">
        <v>6694</v>
      </c>
      <c r="M6312" t="s">
        <v>6700</v>
      </c>
      <c r="P6312" t="s">
        <v>6694</v>
      </c>
      <c r="Q6312" t="s">
        <v>6694</v>
      </c>
      <c r="W6312" t="s">
        <v>6720</v>
      </c>
    </row>
    <row r="6313" spans="1:23" ht="15.6" x14ac:dyDescent="0.4">
      <c r="A6313" s="2" t="s">
        <v>4359</v>
      </c>
      <c r="B6313" s="5" t="s">
        <v>12214</v>
      </c>
      <c r="C6313" s="7" t="s">
        <v>12556</v>
      </c>
      <c r="D6313" s="8">
        <f t="shared" si="396"/>
        <v>0</v>
      </c>
      <c r="E6313" s="7" t="s">
        <v>12557</v>
      </c>
      <c r="F6313" s="7">
        <f t="shared" si="397"/>
        <v>1</v>
      </c>
      <c r="G6313" s="7" t="s">
        <v>12558</v>
      </c>
      <c r="H6313" s="7">
        <f t="shared" si="398"/>
        <v>0</v>
      </c>
      <c r="I6313" s="7" t="str" cm="1">
        <f t="array" ref="I6313">IFERROR(_xlfn.IFS(M6313="נח",1,M6313="נע ונח",1,M6313="שני שווא נח",2,M6313="שני שוואים בסוף מילה",2,M6313="שני שוואים ברצף",1),"0")</f>
        <v>0</v>
      </c>
      <c r="J6313" s="9">
        <f t="shared" si="399"/>
        <v>3</v>
      </c>
      <c r="K6313" t="s">
        <v>6697</v>
      </c>
      <c r="L6313" t="s">
        <v>6694</v>
      </c>
      <c r="M6313" t="s">
        <v>6700</v>
      </c>
      <c r="O6313" t="s">
        <v>6694</v>
      </c>
      <c r="S6313" t="s">
        <v>6694</v>
      </c>
      <c r="W6313" t="s">
        <v>6720</v>
      </c>
    </row>
    <row r="6314" spans="1:23" ht="15.6" x14ac:dyDescent="0.4">
      <c r="A6314" s="2" t="s">
        <v>479</v>
      </c>
      <c r="B6314" s="5" t="s">
        <v>12215</v>
      </c>
      <c r="C6314" s="7" t="s">
        <v>12556</v>
      </c>
      <c r="D6314" s="8">
        <f t="shared" si="396"/>
        <v>0</v>
      </c>
      <c r="E6314" s="7" t="s">
        <v>12557</v>
      </c>
      <c r="F6314" s="7">
        <f t="shared" si="397"/>
        <v>1</v>
      </c>
      <c r="G6314" s="7" t="s">
        <v>12558</v>
      </c>
      <c r="H6314" s="7">
        <f t="shared" si="398"/>
        <v>0</v>
      </c>
      <c r="I6314" s="7" t="str" cm="1">
        <f t="array" ref="I6314">IFERROR(_xlfn.IFS(M6314="נח",1,M6314="נע ונח",1,M6314="שני שווא נח",2,M6314="שני שוואים בסוף מילה",2,M6314="שני שוואים ברצף",1),"0")</f>
        <v>0</v>
      </c>
      <c r="J6314" s="9">
        <f t="shared" si="399"/>
        <v>4</v>
      </c>
      <c r="K6314" t="s">
        <v>6697</v>
      </c>
      <c r="L6314" t="s">
        <v>6694</v>
      </c>
      <c r="M6314" t="s">
        <v>6700</v>
      </c>
      <c r="O6314" t="s">
        <v>6694</v>
      </c>
      <c r="S6314" t="s">
        <v>6694</v>
      </c>
      <c r="W6314" t="s">
        <v>6720</v>
      </c>
    </row>
    <row r="6315" spans="1:23" ht="15.6" x14ac:dyDescent="0.4">
      <c r="A6315" s="2" t="s">
        <v>6515</v>
      </c>
      <c r="B6315" s="5" t="s">
        <v>12216</v>
      </c>
      <c r="C6315" s="7" t="s">
        <v>12556</v>
      </c>
      <c r="D6315" s="8">
        <f t="shared" si="396"/>
        <v>0</v>
      </c>
      <c r="E6315" s="7" t="s">
        <v>12557</v>
      </c>
      <c r="F6315" s="7">
        <f t="shared" si="397"/>
        <v>0</v>
      </c>
      <c r="G6315" s="7" t="s">
        <v>12558</v>
      </c>
      <c r="H6315" s="7">
        <f t="shared" si="398"/>
        <v>0</v>
      </c>
      <c r="I6315" s="7" t="str" cm="1">
        <f t="array" ref="I6315">IFERROR(_xlfn.IFS(M6315="נח",1,M6315="נע ונח",1,M6315="שני שווא נח",2,M6315="שני שוואים בסוף מילה",2,M6315="שני שוואים ברצף",1),"0")</f>
        <v>0</v>
      </c>
      <c r="J6315" s="9">
        <f t="shared" si="399"/>
        <v>3</v>
      </c>
      <c r="K6315" t="s">
        <v>6698</v>
      </c>
      <c r="L6315" t="s">
        <v>6694</v>
      </c>
      <c r="M6315" t="s">
        <v>6700</v>
      </c>
      <c r="V6315" t="s">
        <v>6694</v>
      </c>
      <c r="W6315" t="s">
        <v>6720</v>
      </c>
    </row>
    <row r="6316" spans="1:23" ht="15.6" x14ac:dyDescent="0.4">
      <c r="A6316" s="2" t="s">
        <v>1581</v>
      </c>
      <c r="B6316" s="5" t="s">
        <v>12217</v>
      </c>
      <c r="C6316" s="7" t="s">
        <v>12556</v>
      </c>
      <c r="D6316" s="8">
        <f t="shared" si="396"/>
        <v>0</v>
      </c>
      <c r="E6316" s="7" t="s">
        <v>12557</v>
      </c>
      <c r="F6316" s="7">
        <f t="shared" si="397"/>
        <v>0</v>
      </c>
      <c r="G6316" s="7" t="s">
        <v>12558</v>
      </c>
      <c r="H6316" s="7">
        <f t="shared" si="398"/>
        <v>0</v>
      </c>
      <c r="I6316" s="7" t="str" cm="1">
        <f t="array" ref="I6316">IFERROR(_xlfn.IFS(M6316="נח",1,M6316="נע ונח",1,M6316="שני שווא נח",2,M6316="שני שוואים בסוף מילה",2,M6316="שני שוואים ברצף",1),"0")</f>
        <v>0</v>
      </c>
      <c r="J6316" s="9">
        <f t="shared" si="399"/>
        <v>3</v>
      </c>
      <c r="K6316" t="s">
        <v>6698</v>
      </c>
      <c r="L6316" t="s">
        <v>6694</v>
      </c>
      <c r="M6316" t="s">
        <v>6700</v>
      </c>
      <c r="V6316" t="s">
        <v>6694</v>
      </c>
      <c r="W6316" t="s">
        <v>6720</v>
      </c>
    </row>
    <row r="6317" spans="1:23" ht="15.6" x14ac:dyDescent="0.4">
      <c r="A6317" s="2" t="s">
        <v>6322</v>
      </c>
      <c r="B6317" s="5" t="s">
        <v>12218</v>
      </c>
      <c r="C6317" s="7" t="s">
        <v>12556</v>
      </c>
      <c r="D6317" s="8">
        <f t="shared" si="396"/>
        <v>0</v>
      </c>
      <c r="E6317" s="7" t="s">
        <v>12557</v>
      </c>
      <c r="F6317" s="7">
        <f t="shared" si="397"/>
        <v>1</v>
      </c>
      <c r="G6317" s="7" t="s">
        <v>12558</v>
      </c>
      <c r="H6317" s="7">
        <f t="shared" si="398"/>
        <v>0</v>
      </c>
      <c r="I6317" s="7" cm="1">
        <f t="array" ref="I6317">IFERROR(_xlfn.IFS(M6317="נח",1,M6317="נע ונח",1,M6317="שני שווא נח",2,M6317="שני שוואים בסוף מילה",2,M6317="שני שוואים ברצף",1),"0")</f>
        <v>1</v>
      </c>
      <c r="J6317" s="9">
        <f t="shared" si="399"/>
        <v>4</v>
      </c>
      <c r="K6317" t="s">
        <v>6697</v>
      </c>
      <c r="L6317" t="s">
        <v>6694</v>
      </c>
      <c r="M6317" t="s">
        <v>6701</v>
      </c>
      <c r="P6317" t="s">
        <v>6694</v>
      </c>
      <c r="Q6317" t="s">
        <v>6694</v>
      </c>
      <c r="S6317" t="s">
        <v>6694</v>
      </c>
      <c r="W6317" t="s">
        <v>6720</v>
      </c>
    </row>
    <row r="6318" spans="1:23" ht="15.6" x14ac:dyDescent="0.4">
      <c r="A6318" s="2" t="s">
        <v>6472</v>
      </c>
      <c r="B6318" s="5" t="s">
        <v>12219</v>
      </c>
      <c r="C6318" s="7" t="s">
        <v>12556</v>
      </c>
      <c r="D6318" s="8">
        <f t="shared" si="396"/>
        <v>0</v>
      </c>
      <c r="E6318" s="7" t="s">
        <v>12557</v>
      </c>
      <c r="F6318" s="7">
        <f t="shared" si="397"/>
        <v>1</v>
      </c>
      <c r="G6318" s="7" t="s">
        <v>12558</v>
      </c>
      <c r="H6318" s="7">
        <f t="shared" si="398"/>
        <v>0</v>
      </c>
      <c r="I6318" s="7" cm="1">
        <f t="array" ref="I6318">IFERROR(_xlfn.IFS(M6318="נח",1,M6318="נע ונח",1,M6318="שני שווא נח",2,M6318="שני שוואים בסוף מילה",2,M6318="שני שוואים ברצף",1),"0")</f>
        <v>1</v>
      </c>
      <c r="J6318" s="9">
        <f t="shared" si="399"/>
        <v>3</v>
      </c>
      <c r="K6318" t="s">
        <v>6698</v>
      </c>
      <c r="L6318" t="s">
        <v>6694</v>
      </c>
      <c r="M6318" t="s">
        <v>6701</v>
      </c>
      <c r="P6318" t="s">
        <v>6694</v>
      </c>
      <c r="Q6318" t="s">
        <v>6694</v>
      </c>
      <c r="W6318" t="s">
        <v>6720</v>
      </c>
    </row>
    <row r="6319" spans="1:23" ht="15.6" x14ac:dyDescent="0.4">
      <c r="A6319" s="2" t="s">
        <v>5980</v>
      </c>
      <c r="B6319" s="5" t="s">
        <v>12220</v>
      </c>
      <c r="C6319" s="7" t="s">
        <v>12556</v>
      </c>
      <c r="D6319" s="8">
        <f t="shared" si="396"/>
        <v>0</v>
      </c>
      <c r="E6319" s="7" t="s">
        <v>12557</v>
      </c>
      <c r="F6319" s="7">
        <f t="shared" si="397"/>
        <v>3</v>
      </c>
      <c r="G6319" s="7" t="s">
        <v>12558</v>
      </c>
      <c r="H6319" s="7">
        <f t="shared" si="398"/>
        <v>1</v>
      </c>
      <c r="I6319" s="7" cm="1">
        <f t="array" ref="I6319">IFERROR(_xlfn.IFS(M6319="נח",1,M6319="נע ונח",1,M6319="שני שווא נח",2,M6319="שני שוואים בסוף מילה",2,M6319="שני שוואים ברצף",1),"0")</f>
        <v>1</v>
      </c>
      <c r="J6319" s="9">
        <f t="shared" si="399"/>
        <v>4</v>
      </c>
      <c r="K6319" t="s">
        <v>6697</v>
      </c>
      <c r="L6319" t="s">
        <v>6694</v>
      </c>
      <c r="M6319" t="s">
        <v>6701</v>
      </c>
      <c r="P6319" t="s">
        <v>6694</v>
      </c>
      <c r="R6319" t="s">
        <v>6694</v>
      </c>
      <c r="U6319" t="s">
        <v>6694</v>
      </c>
      <c r="W6319" t="s">
        <v>6720</v>
      </c>
    </row>
    <row r="6320" spans="1:23" ht="15.6" x14ac:dyDescent="0.4">
      <c r="A6320" s="2" t="s">
        <v>2520</v>
      </c>
      <c r="B6320" s="5" t="s">
        <v>12221</v>
      </c>
      <c r="C6320" s="7" t="s">
        <v>12556</v>
      </c>
      <c r="D6320" s="8">
        <f t="shared" si="396"/>
        <v>0</v>
      </c>
      <c r="E6320" s="7" t="s">
        <v>12557</v>
      </c>
      <c r="F6320" s="7">
        <f t="shared" si="397"/>
        <v>0</v>
      </c>
      <c r="G6320" s="7" t="s">
        <v>12558</v>
      </c>
      <c r="H6320" s="7">
        <f t="shared" si="398"/>
        <v>0</v>
      </c>
      <c r="I6320" s="7" t="str" cm="1">
        <f t="array" ref="I6320">IFERROR(_xlfn.IFS(M6320="נח",1,M6320="נע ונח",1,M6320="שני שווא נח",2,M6320="שני שוואים בסוף מילה",2,M6320="שני שוואים ברצף",1),"0")</f>
        <v>0</v>
      </c>
      <c r="J6320" s="9">
        <f t="shared" si="399"/>
        <v>3</v>
      </c>
      <c r="K6320" t="s">
        <v>6698</v>
      </c>
      <c r="L6320" t="s">
        <v>6694</v>
      </c>
      <c r="M6320" t="s">
        <v>6700</v>
      </c>
      <c r="S6320" t="s">
        <v>6694</v>
      </c>
      <c r="W6320" t="s">
        <v>6720</v>
      </c>
    </row>
    <row r="6321" spans="1:23" ht="15.6" x14ac:dyDescent="0.4">
      <c r="A6321" s="2" t="s">
        <v>200</v>
      </c>
      <c r="B6321" s="5" t="s">
        <v>12222</v>
      </c>
      <c r="C6321" s="7" t="s">
        <v>12556</v>
      </c>
      <c r="D6321" s="8">
        <f t="shared" si="396"/>
        <v>0</v>
      </c>
      <c r="E6321" s="7" t="s">
        <v>12557</v>
      </c>
      <c r="F6321" s="7">
        <f t="shared" si="397"/>
        <v>0</v>
      </c>
      <c r="G6321" s="7" t="s">
        <v>12558</v>
      </c>
      <c r="H6321" s="7">
        <f t="shared" si="398"/>
        <v>0</v>
      </c>
      <c r="I6321" s="7" t="str" cm="1">
        <f t="array" ref="I6321">IFERROR(_xlfn.IFS(M6321="נח",1,M6321="נע ונח",1,M6321="שני שווא נח",2,M6321="שני שוואים בסוף מילה",2,M6321="שני שוואים ברצף",1),"0")</f>
        <v>0</v>
      </c>
      <c r="J6321" s="9">
        <f t="shared" si="399"/>
        <v>3</v>
      </c>
      <c r="K6321" t="s">
        <v>6697</v>
      </c>
      <c r="L6321" t="s">
        <v>6694</v>
      </c>
      <c r="M6321" t="s">
        <v>6700</v>
      </c>
      <c r="Q6321" t="s">
        <v>6694</v>
      </c>
      <c r="S6321" t="s">
        <v>6694</v>
      </c>
      <c r="W6321" t="s">
        <v>6720</v>
      </c>
    </row>
    <row r="6322" spans="1:23" ht="15.6" x14ac:dyDescent="0.4">
      <c r="A6322" s="2" t="s">
        <v>6627</v>
      </c>
      <c r="B6322" s="5" t="s">
        <v>12223</v>
      </c>
      <c r="C6322" s="7" t="s">
        <v>12556</v>
      </c>
      <c r="D6322" s="8">
        <f t="shared" si="396"/>
        <v>0</v>
      </c>
      <c r="E6322" s="7" t="s">
        <v>12557</v>
      </c>
      <c r="F6322" s="7">
        <f t="shared" si="397"/>
        <v>1</v>
      </c>
      <c r="G6322" s="7" t="s">
        <v>12558</v>
      </c>
      <c r="H6322" s="7">
        <f t="shared" si="398"/>
        <v>1</v>
      </c>
      <c r="I6322" s="7" t="str" cm="1">
        <f t="array" ref="I6322">IFERROR(_xlfn.IFS(M6322="נח",1,M6322="נע ונח",1,M6322="שני שווא נח",2,M6322="שני שוואים בסוף מילה",2,M6322="שני שוואים ברצף",1),"0")</f>
        <v>0</v>
      </c>
      <c r="J6322" s="9">
        <f t="shared" si="399"/>
        <v>3</v>
      </c>
      <c r="K6322" t="s">
        <v>6697</v>
      </c>
      <c r="L6322" t="s">
        <v>6694</v>
      </c>
      <c r="M6322" t="s">
        <v>6700</v>
      </c>
      <c r="O6322" t="s">
        <v>6694</v>
      </c>
      <c r="U6322" t="s">
        <v>6694</v>
      </c>
      <c r="W6322" t="s">
        <v>6720</v>
      </c>
    </row>
    <row r="6323" spans="1:23" ht="15.6" x14ac:dyDescent="0.4">
      <c r="A6323" s="2" t="s">
        <v>6536</v>
      </c>
      <c r="B6323" s="5" t="s">
        <v>12224</v>
      </c>
      <c r="C6323" s="7" t="s">
        <v>12556</v>
      </c>
      <c r="D6323" s="8">
        <f t="shared" si="396"/>
        <v>0</v>
      </c>
      <c r="E6323" s="7" t="s">
        <v>12557</v>
      </c>
      <c r="F6323" s="7">
        <f t="shared" si="397"/>
        <v>1</v>
      </c>
      <c r="G6323" s="7" t="s">
        <v>12558</v>
      </c>
      <c r="H6323" s="7">
        <f t="shared" si="398"/>
        <v>0</v>
      </c>
      <c r="I6323" s="7" t="str" cm="1">
        <f t="array" ref="I6323">IFERROR(_xlfn.IFS(M6323="נח",1,M6323="נע ונח",1,M6323="שני שווא נח",2,M6323="שני שוואים בסוף מילה",2,M6323="שני שוואים ברצף",1),"0")</f>
        <v>0</v>
      </c>
      <c r="J6323" s="9">
        <f t="shared" si="399"/>
        <v>3</v>
      </c>
      <c r="K6323" t="s">
        <v>6697</v>
      </c>
      <c r="L6323" t="s">
        <v>6694</v>
      </c>
      <c r="M6323" t="s">
        <v>6700</v>
      </c>
      <c r="O6323" t="s">
        <v>6694</v>
      </c>
      <c r="S6323" t="s">
        <v>6694</v>
      </c>
      <c r="W6323" t="s">
        <v>6720</v>
      </c>
    </row>
    <row r="6324" spans="1:23" ht="15.6" x14ac:dyDescent="0.4">
      <c r="A6324" s="2" t="s">
        <v>3477</v>
      </c>
      <c r="B6324" s="5" t="s">
        <v>12225</v>
      </c>
      <c r="C6324" s="7" t="s">
        <v>12556</v>
      </c>
      <c r="D6324" s="8">
        <f t="shared" si="396"/>
        <v>0</v>
      </c>
      <c r="E6324" s="7" t="s">
        <v>12557</v>
      </c>
      <c r="F6324" s="7">
        <f t="shared" si="397"/>
        <v>1</v>
      </c>
      <c r="G6324" s="7" t="s">
        <v>12558</v>
      </c>
      <c r="H6324" s="7">
        <f t="shared" si="398"/>
        <v>0</v>
      </c>
      <c r="I6324" s="7" t="str" cm="1">
        <f t="array" ref="I6324">IFERROR(_xlfn.IFS(M6324="נח",1,M6324="נע ונח",1,M6324="שני שווא נח",2,M6324="שני שוואים בסוף מילה",2,M6324="שני שוואים ברצף",1),"0")</f>
        <v>0</v>
      </c>
      <c r="J6324" s="9">
        <f t="shared" si="399"/>
        <v>4</v>
      </c>
      <c r="K6324" t="s">
        <v>6697</v>
      </c>
      <c r="L6324" t="s">
        <v>6694</v>
      </c>
      <c r="M6324" t="s">
        <v>6700</v>
      </c>
      <c r="O6324" t="s">
        <v>6694</v>
      </c>
      <c r="S6324" t="s">
        <v>6694</v>
      </c>
      <c r="W6324" t="s">
        <v>6720</v>
      </c>
    </row>
    <row r="6325" spans="1:23" ht="15.6" x14ac:dyDescent="0.4">
      <c r="A6325" s="2" t="s">
        <v>3132</v>
      </c>
      <c r="B6325" s="5" t="s">
        <v>12226</v>
      </c>
      <c r="C6325" s="7" t="s">
        <v>12556</v>
      </c>
      <c r="D6325" s="8">
        <f t="shared" si="396"/>
        <v>0</v>
      </c>
      <c r="E6325" s="7" t="s">
        <v>12557</v>
      </c>
      <c r="F6325" s="7">
        <f t="shared" si="397"/>
        <v>1</v>
      </c>
      <c r="G6325" s="7" t="s">
        <v>12558</v>
      </c>
      <c r="H6325" s="7">
        <f t="shared" si="398"/>
        <v>0</v>
      </c>
      <c r="I6325" s="7" t="str" cm="1">
        <f t="array" ref="I6325">IFERROR(_xlfn.IFS(M6325="נח",1,M6325="נע ונח",1,M6325="שני שווא נח",2,M6325="שני שוואים בסוף מילה",2,M6325="שני שוואים ברצף",1),"0")</f>
        <v>0</v>
      </c>
      <c r="J6325" s="9">
        <f t="shared" si="399"/>
        <v>3</v>
      </c>
      <c r="K6325" t="s">
        <v>6698</v>
      </c>
      <c r="L6325" t="s">
        <v>6694</v>
      </c>
      <c r="M6325" t="s">
        <v>6700</v>
      </c>
      <c r="S6325" t="s">
        <v>6694</v>
      </c>
      <c r="V6325" t="s">
        <v>6694</v>
      </c>
      <c r="W6325" t="s">
        <v>6720</v>
      </c>
    </row>
    <row r="6326" spans="1:23" ht="15.6" x14ac:dyDescent="0.4">
      <c r="A6326" s="2" t="s">
        <v>3322</v>
      </c>
      <c r="B6326" s="5" t="s">
        <v>12227</v>
      </c>
      <c r="C6326" s="7" t="s">
        <v>12556</v>
      </c>
      <c r="D6326" s="8">
        <f t="shared" si="396"/>
        <v>0</v>
      </c>
      <c r="E6326" s="7" t="s">
        <v>12557</v>
      </c>
      <c r="F6326" s="7">
        <f t="shared" si="397"/>
        <v>3</v>
      </c>
      <c r="G6326" s="7" t="s">
        <v>12558</v>
      </c>
      <c r="H6326" s="7">
        <f t="shared" si="398"/>
        <v>1</v>
      </c>
      <c r="I6326" s="7" cm="1">
        <f t="array" ref="I6326">IFERROR(_xlfn.IFS(M6326="נח",1,M6326="נע ונח",1,M6326="שני שווא נח",2,M6326="שני שוואים בסוף מילה",2,M6326="שני שוואים ברצף",1),"0")</f>
        <v>1</v>
      </c>
      <c r="J6326" s="9">
        <f t="shared" si="399"/>
        <v>4</v>
      </c>
      <c r="K6326" t="s">
        <v>6697</v>
      </c>
      <c r="L6326" t="s">
        <v>6694</v>
      </c>
      <c r="M6326" t="s">
        <v>6701</v>
      </c>
      <c r="P6326" t="s">
        <v>6694</v>
      </c>
      <c r="R6326" t="s">
        <v>6694</v>
      </c>
      <c r="U6326" t="s">
        <v>6694</v>
      </c>
      <c r="W6326" t="s">
        <v>6720</v>
      </c>
    </row>
    <row r="6327" spans="1:23" ht="15.6" x14ac:dyDescent="0.4">
      <c r="A6327" s="2" t="s">
        <v>2636</v>
      </c>
      <c r="B6327" s="5" t="s">
        <v>12228</v>
      </c>
      <c r="C6327" s="7" t="s">
        <v>12556</v>
      </c>
      <c r="D6327" s="8">
        <f t="shared" si="396"/>
        <v>0</v>
      </c>
      <c r="E6327" s="7" t="s">
        <v>12557</v>
      </c>
      <c r="F6327" s="7">
        <f t="shared" si="397"/>
        <v>1</v>
      </c>
      <c r="G6327" s="7" t="s">
        <v>12558</v>
      </c>
      <c r="H6327" s="7">
        <f t="shared" si="398"/>
        <v>1</v>
      </c>
      <c r="I6327" s="7" t="str" cm="1">
        <f t="array" ref="I6327">IFERROR(_xlfn.IFS(M6327="נח",1,M6327="נע ונח",1,M6327="שני שווא נח",2,M6327="שני שוואים בסוף מילה",2,M6327="שני שוואים ברצף",1),"0")</f>
        <v>0</v>
      </c>
      <c r="J6327" s="9">
        <f t="shared" si="399"/>
        <v>3</v>
      </c>
      <c r="K6327" t="s">
        <v>6697</v>
      </c>
      <c r="L6327" t="s">
        <v>6694</v>
      </c>
      <c r="M6327" t="s">
        <v>6700</v>
      </c>
      <c r="O6327" t="s">
        <v>6694</v>
      </c>
      <c r="U6327" t="s">
        <v>6694</v>
      </c>
      <c r="W6327" t="s">
        <v>6720</v>
      </c>
    </row>
    <row r="6328" spans="1:23" ht="15.6" x14ac:dyDescent="0.4">
      <c r="A6328" s="2" t="s">
        <v>3330</v>
      </c>
      <c r="B6328" s="5" t="s">
        <v>12229</v>
      </c>
      <c r="C6328" s="7" t="s">
        <v>12556</v>
      </c>
      <c r="D6328" s="8">
        <f t="shared" si="396"/>
        <v>1</v>
      </c>
      <c r="E6328" s="7" t="s">
        <v>12557</v>
      </c>
      <c r="F6328" s="7">
        <f t="shared" si="397"/>
        <v>1</v>
      </c>
      <c r="G6328" s="7" t="s">
        <v>12558</v>
      </c>
      <c r="H6328" s="7">
        <f t="shared" si="398"/>
        <v>1</v>
      </c>
      <c r="I6328" s="7" t="str" cm="1">
        <f t="array" ref="I6328">IFERROR(_xlfn.IFS(M6328="נח",1,M6328="נע ונח",1,M6328="שני שווא נח",2,M6328="שני שוואים בסוף מילה",2,M6328="שני שוואים ברצף",1),"0")</f>
        <v>0</v>
      </c>
      <c r="J6328" s="9">
        <f t="shared" si="399"/>
        <v>4</v>
      </c>
      <c r="K6328" t="s">
        <v>6697</v>
      </c>
      <c r="L6328" t="s">
        <v>6694</v>
      </c>
      <c r="M6328" t="s">
        <v>6700</v>
      </c>
      <c r="Q6328" t="s">
        <v>6694</v>
      </c>
      <c r="S6328" t="s">
        <v>6694</v>
      </c>
      <c r="U6328" t="s">
        <v>6694</v>
      </c>
      <c r="W6328" t="s">
        <v>6720</v>
      </c>
    </row>
    <row r="6329" spans="1:23" ht="15.6" x14ac:dyDescent="0.4">
      <c r="A6329" s="2" t="s">
        <v>6670</v>
      </c>
      <c r="B6329" s="5" t="s">
        <v>12230</v>
      </c>
      <c r="C6329" s="7" t="s">
        <v>12556</v>
      </c>
      <c r="D6329" s="8">
        <f t="shared" si="396"/>
        <v>1</v>
      </c>
      <c r="E6329" s="7" t="s">
        <v>12557</v>
      </c>
      <c r="F6329" s="7">
        <f t="shared" si="397"/>
        <v>1</v>
      </c>
      <c r="G6329" s="7" t="s">
        <v>12558</v>
      </c>
      <c r="H6329" s="7">
        <f t="shared" si="398"/>
        <v>0</v>
      </c>
      <c r="I6329" s="7" cm="1">
        <f t="array" ref="I6329">IFERROR(_xlfn.IFS(M6329="נח",1,M6329="נע ונח",1,M6329="שני שווא נח",2,M6329="שני שוואים בסוף מילה",2,M6329="שני שוואים ברצף",1),"0")</f>
        <v>1</v>
      </c>
      <c r="J6329" s="9">
        <f t="shared" si="399"/>
        <v>3</v>
      </c>
      <c r="K6329" t="s">
        <v>6698</v>
      </c>
      <c r="L6329" t="s">
        <v>6694</v>
      </c>
      <c r="M6329" t="s">
        <v>6701</v>
      </c>
      <c r="P6329" t="s">
        <v>6694</v>
      </c>
      <c r="Q6329" t="s">
        <v>6694</v>
      </c>
      <c r="W6329" t="s">
        <v>6720</v>
      </c>
    </row>
    <row r="6330" spans="1:23" ht="15.6" x14ac:dyDescent="0.4">
      <c r="A6330" s="2" t="s">
        <v>4323</v>
      </c>
      <c r="B6330" s="5" t="s">
        <v>12231</v>
      </c>
      <c r="C6330" s="7" t="s">
        <v>12556</v>
      </c>
      <c r="D6330" s="8">
        <f t="shared" si="396"/>
        <v>1</v>
      </c>
      <c r="E6330" s="7" t="s">
        <v>12557</v>
      </c>
      <c r="F6330" s="7">
        <f t="shared" si="397"/>
        <v>1</v>
      </c>
      <c r="G6330" s="7" t="s">
        <v>12558</v>
      </c>
      <c r="H6330" s="7">
        <f t="shared" si="398"/>
        <v>0</v>
      </c>
      <c r="I6330" s="7" t="str" cm="1">
        <f t="array" ref="I6330">IFERROR(_xlfn.IFS(M6330="נח",1,M6330="נע ונח",1,M6330="שני שווא נח",2,M6330="שני שוואים בסוף מילה",2,M6330="שני שוואים ברצף",1),"0")</f>
        <v>0</v>
      </c>
      <c r="J6330" s="9">
        <f t="shared" si="399"/>
        <v>3</v>
      </c>
      <c r="K6330" t="s">
        <v>6698</v>
      </c>
      <c r="L6330" t="s">
        <v>6694</v>
      </c>
      <c r="M6330" t="s">
        <v>6700</v>
      </c>
      <c r="P6330" t="s">
        <v>6694</v>
      </c>
      <c r="Q6330" t="s">
        <v>6694</v>
      </c>
      <c r="W6330" t="s">
        <v>6720</v>
      </c>
    </row>
    <row r="6331" spans="1:23" ht="15.6" x14ac:dyDescent="0.4">
      <c r="A6331" s="2" t="s">
        <v>6096</v>
      </c>
      <c r="B6331" s="5" t="s">
        <v>12232</v>
      </c>
      <c r="C6331" s="7" t="s">
        <v>12556</v>
      </c>
      <c r="D6331" s="8">
        <f t="shared" si="396"/>
        <v>1</v>
      </c>
      <c r="E6331" s="7" t="s">
        <v>12557</v>
      </c>
      <c r="F6331" s="7">
        <f t="shared" si="397"/>
        <v>1</v>
      </c>
      <c r="G6331" s="7" t="s">
        <v>12558</v>
      </c>
      <c r="H6331" s="7">
        <f t="shared" si="398"/>
        <v>1</v>
      </c>
      <c r="I6331" s="7" t="str" cm="1">
        <f t="array" ref="I6331">IFERROR(_xlfn.IFS(M6331="נח",1,M6331="נע ונח",1,M6331="שני שווא נח",2,M6331="שני שוואים בסוף מילה",2,M6331="שני שוואים ברצף",1),"0")</f>
        <v>0</v>
      </c>
      <c r="J6331" s="9">
        <f t="shared" si="399"/>
        <v>3</v>
      </c>
      <c r="K6331" t="s">
        <v>6697</v>
      </c>
      <c r="L6331" t="s">
        <v>6694</v>
      </c>
      <c r="M6331" t="s">
        <v>6700</v>
      </c>
      <c r="O6331" t="s">
        <v>6694</v>
      </c>
      <c r="U6331" t="s">
        <v>6694</v>
      </c>
      <c r="W6331" t="s">
        <v>6720</v>
      </c>
    </row>
    <row r="6332" spans="1:23" ht="15.6" x14ac:dyDescent="0.4">
      <c r="A6332" s="2" t="s">
        <v>6418</v>
      </c>
      <c r="B6332" s="5" t="s">
        <v>12233</v>
      </c>
      <c r="C6332" s="7" t="s">
        <v>12556</v>
      </c>
      <c r="D6332" s="8">
        <f t="shared" si="396"/>
        <v>0</v>
      </c>
      <c r="E6332" s="7" t="s">
        <v>12557</v>
      </c>
      <c r="F6332" s="7">
        <f t="shared" si="397"/>
        <v>0</v>
      </c>
      <c r="G6332" s="7" t="s">
        <v>12558</v>
      </c>
      <c r="H6332" s="7">
        <f t="shared" si="398"/>
        <v>0</v>
      </c>
      <c r="I6332" s="7" cm="1">
        <f t="array" ref="I6332">IFERROR(_xlfn.IFS(M6332="נח",1,M6332="נע ונח",1,M6332="שני שווא נח",2,M6332="שני שוואים בסוף מילה",2,M6332="שני שוואים ברצף",1),"0")</f>
        <v>1</v>
      </c>
      <c r="J6332" s="9">
        <f t="shared" si="399"/>
        <v>2</v>
      </c>
      <c r="K6332" t="s">
        <v>6697</v>
      </c>
      <c r="L6332" t="s">
        <v>6694</v>
      </c>
      <c r="M6332" t="s">
        <v>6705</v>
      </c>
      <c r="R6332" t="s">
        <v>6694</v>
      </c>
      <c r="S6332" t="s">
        <v>6694</v>
      </c>
      <c r="W6332" t="s">
        <v>6720</v>
      </c>
    </row>
    <row r="6333" spans="1:23" ht="15.6" x14ac:dyDescent="0.4">
      <c r="A6333" s="2" t="s">
        <v>3447</v>
      </c>
      <c r="B6333" s="5" t="s">
        <v>12234</v>
      </c>
      <c r="C6333" s="7" t="s">
        <v>12556</v>
      </c>
      <c r="D6333" s="8">
        <f t="shared" si="396"/>
        <v>0</v>
      </c>
      <c r="E6333" s="7" t="s">
        <v>12557</v>
      </c>
      <c r="F6333" s="7">
        <f t="shared" si="397"/>
        <v>0</v>
      </c>
      <c r="G6333" s="7" t="s">
        <v>12558</v>
      </c>
      <c r="H6333" s="7">
        <f t="shared" si="398"/>
        <v>0</v>
      </c>
      <c r="I6333" s="7" cm="1">
        <f t="array" ref="I6333">IFERROR(_xlfn.IFS(M6333="נח",1,M6333="נע ונח",1,M6333="שני שווא נח",2,M6333="שני שוואים בסוף מילה",2,M6333="שני שוואים ברצף",1),"0")</f>
        <v>1</v>
      </c>
      <c r="J6333" s="9">
        <f t="shared" si="399"/>
        <v>2</v>
      </c>
      <c r="K6333" t="s">
        <v>6698</v>
      </c>
      <c r="L6333" t="s">
        <v>6694</v>
      </c>
      <c r="M6333" t="s">
        <v>6705</v>
      </c>
      <c r="P6333" t="s">
        <v>6694</v>
      </c>
      <c r="S6333" t="s">
        <v>6694</v>
      </c>
      <c r="W6333" t="s">
        <v>6720</v>
      </c>
    </row>
    <row r="6334" spans="1:23" ht="15.6" x14ac:dyDescent="0.4">
      <c r="A6334" s="2" t="s">
        <v>5873</v>
      </c>
      <c r="B6334" s="5" t="s">
        <v>12235</v>
      </c>
      <c r="C6334" s="7" t="s">
        <v>12556</v>
      </c>
      <c r="D6334" s="8">
        <f t="shared" si="396"/>
        <v>0</v>
      </c>
      <c r="E6334" s="7" t="s">
        <v>12557</v>
      </c>
      <c r="F6334" s="7">
        <f t="shared" si="397"/>
        <v>0</v>
      </c>
      <c r="G6334" s="7" t="s">
        <v>12558</v>
      </c>
      <c r="H6334" s="7">
        <f t="shared" si="398"/>
        <v>0</v>
      </c>
      <c r="I6334" s="7" cm="1">
        <f t="array" ref="I6334">IFERROR(_xlfn.IFS(M6334="נח",1,M6334="נע ונח",1,M6334="שני שווא נח",2,M6334="שני שוואים בסוף מילה",2,M6334="שני שוואים ברצף",1),"0")</f>
        <v>1</v>
      </c>
      <c r="J6334" s="9">
        <f t="shared" si="399"/>
        <v>2</v>
      </c>
      <c r="K6334" t="s">
        <v>6698</v>
      </c>
      <c r="L6334" t="s">
        <v>6694</v>
      </c>
      <c r="M6334" t="s">
        <v>6705</v>
      </c>
      <c r="S6334" t="s">
        <v>6694</v>
      </c>
      <c r="V6334" t="s">
        <v>6694</v>
      </c>
      <c r="W6334" t="s">
        <v>6720</v>
      </c>
    </row>
    <row r="6335" spans="1:23" ht="15.6" x14ac:dyDescent="0.4">
      <c r="A6335" s="2" t="s">
        <v>2148</v>
      </c>
      <c r="B6335" s="5" t="s">
        <v>12236</v>
      </c>
      <c r="C6335" s="7" t="s">
        <v>12556</v>
      </c>
      <c r="D6335" s="8">
        <f t="shared" si="396"/>
        <v>0</v>
      </c>
      <c r="E6335" s="7" t="s">
        <v>12557</v>
      </c>
      <c r="F6335" s="7">
        <f t="shared" si="397"/>
        <v>3</v>
      </c>
      <c r="G6335" s="7" t="s">
        <v>12558</v>
      </c>
      <c r="H6335" s="7">
        <f t="shared" si="398"/>
        <v>1</v>
      </c>
      <c r="I6335" s="7" cm="1">
        <f t="array" ref="I6335">IFERROR(_xlfn.IFS(M6335="נח",1,M6335="נע ונח",1,M6335="שני שווא נח",2,M6335="שני שוואים בסוף מילה",2,M6335="שני שוואים ברצף",1),"0")</f>
        <v>1</v>
      </c>
      <c r="J6335" s="9">
        <f t="shared" si="399"/>
        <v>4</v>
      </c>
      <c r="K6335" t="s">
        <v>6697</v>
      </c>
      <c r="L6335" t="s">
        <v>6694</v>
      </c>
      <c r="M6335" t="s">
        <v>6702</v>
      </c>
      <c r="R6335" t="s">
        <v>6694</v>
      </c>
      <c r="S6335" t="s">
        <v>6694</v>
      </c>
      <c r="U6335" t="s">
        <v>6694</v>
      </c>
      <c r="W6335" t="s">
        <v>6720</v>
      </c>
    </row>
    <row r="6336" spans="1:23" ht="15.6" x14ac:dyDescent="0.4">
      <c r="A6336" s="2" t="s">
        <v>2314</v>
      </c>
      <c r="B6336" s="5" t="s">
        <v>12237</v>
      </c>
      <c r="C6336" s="7" t="s">
        <v>12556</v>
      </c>
      <c r="D6336" s="8">
        <f t="shared" si="396"/>
        <v>0</v>
      </c>
      <c r="E6336" s="7" t="s">
        <v>12557</v>
      </c>
      <c r="F6336" s="7">
        <f t="shared" si="397"/>
        <v>0</v>
      </c>
      <c r="G6336" s="7" t="s">
        <v>12558</v>
      </c>
      <c r="H6336" s="7">
        <f t="shared" si="398"/>
        <v>0</v>
      </c>
      <c r="I6336" s="7" t="str" cm="1">
        <f t="array" ref="I6336">IFERROR(_xlfn.IFS(M6336="נח",1,M6336="נע ונח",1,M6336="שני שווא נח",2,M6336="שני שוואים בסוף מילה",2,M6336="שני שוואים ברצף",1),"0")</f>
        <v>0</v>
      </c>
      <c r="J6336" s="9">
        <f t="shared" si="399"/>
        <v>2</v>
      </c>
      <c r="K6336" t="s">
        <v>6697</v>
      </c>
      <c r="L6336" t="s">
        <v>6695</v>
      </c>
      <c r="O6336" t="s">
        <v>6694</v>
      </c>
      <c r="S6336" t="s">
        <v>6694</v>
      </c>
      <c r="W6336" t="s">
        <v>6720</v>
      </c>
    </row>
    <row r="6337" spans="1:23" ht="15.6" x14ac:dyDescent="0.4">
      <c r="A6337" s="2" t="s">
        <v>3668</v>
      </c>
      <c r="B6337" s="5" t="s">
        <v>12238</v>
      </c>
      <c r="C6337" s="7" t="s">
        <v>12556</v>
      </c>
      <c r="D6337" s="8">
        <f t="shared" si="396"/>
        <v>1</v>
      </c>
      <c r="E6337" s="7" t="s">
        <v>12557</v>
      </c>
      <c r="F6337" s="7">
        <f t="shared" si="397"/>
        <v>0</v>
      </c>
      <c r="G6337" s="7" t="s">
        <v>12558</v>
      </c>
      <c r="H6337" s="7">
        <f t="shared" si="398"/>
        <v>0</v>
      </c>
      <c r="I6337" s="7" t="str" cm="1">
        <f t="array" ref="I6337">IFERROR(_xlfn.IFS(M6337="נח",1,M6337="נע ונח",1,M6337="שני שווא נח",2,M6337="שני שוואים בסוף מילה",2,M6337="שני שוואים ברצף",1),"0")</f>
        <v>0</v>
      </c>
      <c r="J6337" s="9">
        <f t="shared" si="399"/>
        <v>2</v>
      </c>
      <c r="K6337" t="s">
        <v>6698</v>
      </c>
      <c r="L6337" t="s">
        <v>6695</v>
      </c>
      <c r="P6337" t="s">
        <v>6694</v>
      </c>
      <c r="S6337" t="s">
        <v>6694</v>
      </c>
      <c r="W6337" t="s">
        <v>6720</v>
      </c>
    </row>
    <row r="6338" spans="1:23" ht="15.6" x14ac:dyDescent="0.4">
      <c r="A6338" s="2" t="s">
        <v>3526</v>
      </c>
      <c r="B6338" s="5" t="s">
        <v>12239</v>
      </c>
      <c r="C6338" s="7" t="s">
        <v>12556</v>
      </c>
      <c r="D6338" s="8">
        <f t="shared" si="396"/>
        <v>0</v>
      </c>
      <c r="E6338" s="7" t="s">
        <v>12557</v>
      </c>
      <c r="F6338" s="7">
        <f t="shared" si="397"/>
        <v>0</v>
      </c>
      <c r="G6338" s="7" t="s">
        <v>12558</v>
      </c>
      <c r="H6338" s="7">
        <f t="shared" si="398"/>
        <v>0</v>
      </c>
      <c r="I6338" s="7" cm="1">
        <f t="array" ref="I6338">IFERROR(_xlfn.IFS(M6338="נח",1,M6338="נע ונח",1,M6338="שני שווא נח",2,M6338="שני שוואים בסוף מילה",2,M6338="שני שוואים ברצף",1),"0")</f>
        <v>1</v>
      </c>
      <c r="J6338" s="9">
        <f t="shared" si="399"/>
        <v>2</v>
      </c>
      <c r="K6338" t="s">
        <v>6697</v>
      </c>
      <c r="L6338" t="s">
        <v>6694</v>
      </c>
      <c r="M6338" t="s">
        <v>6705</v>
      </c>
      <c r="O6338" t="s">
        <v>6694</v>
      </c>
      <c r="S6338" t="s">
        <v>6694</v>
      </c>
      <c r="W6338" t="s">
        <v>6720</v>
      </c>
    </row>
    <row r="6339" spans="1:23" ht="15.6" x14ac:dyDescent="0.4">
      <c r="A6339" s="2" t="s">
        <v>4661</v>
      </c>
      <c r="B6339" s="5" t="s">
        <v>12240</v>
      </c>
      <c r="C6339" s="7" t="s">
        <v>12556</v>
      </c>
      <c r="D6339" s="8">
        <f t="shared" ref="D6339:D6402" si="400">(LEN(B6339)-LEN(SUBSTITUTE(B6339,C6339,"")))</f>
        <v>0</v>
      </c>
      <c r="E6339" s="7" t="s">
        <v>12557</v>
      </c>
      <c r="F6339" s="7">
        <f t="shared" ref="F6339:F6402" si="401">(LEN(A6339)-LEN(SUBSTITUTE(A6339,E6339,"")))</f>
        <v>2</v>
      </c>
      <c r="G6339" s="7" t="s">
        <v>12558</v>
      </c>
      <c r="H6339" s="7">
        <f t="shared" ref="H6339:H6402" si="402">(LEN(A6339)-LEN(SUBSTITUTE(A6339,G6339,"")))/2</f>
        <v>0</v>
      </c>
      <c r="I6339" s="7" cm="1">
        <f t="array" ref="I6339">IFERROR(_xlfn.IFS(M6339="נח",1,M6339="נע ונח",1,M6339="שני שווא נח",2,M6339="שני שוואים בסוף מילה",2,M6339="שני שוואים ברצף",1),"0")</f>
        <v>1</v>
      </c>
      <c r="J6339" s="9">
        <f t="shared" ref="J6339:J6402" si="403">LEN(A6339)-(LEN(B6339))-D6339-F6339+H6339-I6339</f>
        <v>3</v>
      </c>
      <c r="K6339" t="s">
        <v>6697</v>
      </c>
      <c r="L6339" t="s">
        <v>6694</v>
      </c>
      <c r="M6339" t="s">
        <v>6705</v>
      </c>
      <c r="P6339" t="s">
        <v>6694</v>
      </c>
      <c r="S6339" t="s">
        <v>6694</v>
      </c>
      <c r="W6339" t="s">
        <v>6720</v>
      </c>
    </row>
    <row r="6340" spans="1:23" ht="15.6" x14ac:dyDescent="0.4">
      <c r="A6340" s="2" t="s">
        <v>2557</v>
      </c>
      <c r="B6340" s="5" t="s">
        <v>12241</v>
      </c>
      <c r="C6340" s="7" t="s">
        <v>12556</v>
      </c>
      <c r="D6340" s="8">
        <f t="shared" si="400"/>
        <v>0</v>
      </c>
      <c r="E6340" s="7" t="s">
        <v>12557</v>
      </c>
      <c r="F6340" s="7">
        <f t="shared" si="401"/>
        <v>0</v>
      </c>
      <c r="G6340" s="7" t="s">
        <v>12558</v>
      </c>
      <c r="H6340" s="7">
        <f t="shared" si="402"/>
        <v>0</v>
      </c>
      <c r="I6340" s="7" cm="1">
        <f t="array" ref="I6340">IFERROR(_xlfn.IFS(M6340="נח",1,M6340="נע ונח",1,M6340="שני שווא נח",2,M6340="שני שוואים בסוף מילה",2,M6340="שני שוואים ברצף",1),"0")</f>
        <v>1</v>
      </c>
      <c r="J6340" s="9">
        <f t="shared" si="403"/>
        <v>2</v>
      </c>
      <c r="K6340" t="s">
        <v>6698</v>
      </c>
      <c r="L6340" t="s">
        <v>6694</v>
      </c>
      <c r="M6340" t="s">
        <v>6705</v>
      </c>
      <c r="P6340" t="s">
        <v>6694</v>
      </c>
      <c r="S6340" t="s">
        <v>6694</v>
      </c>
      <c r="W6340" t="s">
        <v>6720</v>
      </c>
    </row>
    <row r="6341" spans="1:23" ht="15.6" x14ac:dyDescent="0.4">
      <c r="A6341" s="2" t="s">
        <v>5507</v>
      </c>
      <c r="B6341" s="5" t="s">
        <v>12242</v>
      </c>
      <c r="C6341" s="7" t="s">
        <v>12556</v>
      </c>
      <c r="D6341" s="8">
        <f t="shared" si="400"/>
        <v>0</v>
      </c>
      <c r="E6341" s="7" t="s">
        <v>12557</v>
      </c>
      <c r="F6341" s="7">
        <f t="shared" si="401"/>
        <v>0</v>
      </c>
      <c r="G6341" s="7" t="s">
        <v>12558</v>
      </c>
      <c r="H6341" s="7">
        <f t="shared" si="402"/>
        <v>0</v>
      </c>
      <c r="I6341" s="7" cm="1">
        <f t="array" ref="I6341">IFERROR(_xlfn.IFS(M6341="נח",1,M6341="נע ונח",1,M6341="שני שווא נח",2,M6341="שני שוואים בסוף מילה",2,M6341="שני שוואים ברצף",1),"0")</f>
        <v>1</v>
      </c>
      <c r="J6341" s="9">
        <f t="shared" si="403"/>
        <v>2</v>
      </c>
      <c r="K6341" t="s">
        <v>6698</v>
      </c>
      <c r="L6341" t="s">
        <v>6694</v>
      </c>
      <c r="M6341" t="s">
        <v>6705</v>
      </c>
      <c r="P6341" t="s">
        <v>6694</v>
      </c>
      <c r="S6341" t="s">
        <v>6694</v>
      </c>
      <c r="W6341" t="s">
        <v>6720</v>
      </c>
    </row>
    <row r="6342" spans="1:23" ht="15.6" x14ac:dyDescent="0.4">
      <c r="A6342" s="2" t="s">
        <v>6416</v>
      </c>
      <c r="B6342" s="5" t="s">
        <v>12243</v>
      </c>
      <c r="C6342" s="7" t="s">
        <v>12556</v>
      </c>
      <c r="D6342" s="8">
        <f t="shared" si="400"/>
        <v>0</v>
      </c>
      <c r="E6342" s="7" t="s">
        <v>12557</v>
      </c>
      <c r="F6342" s="7">
        <f t="shared" si="401"/>
        <v>0</v>
      </c>
      <c r="G6342" s="7" t="s">
        <v>12558</v>
      </c>
      <c r="H6342" s="7">
        <f t="shared" si="402"/>
        <v>0</v>
      </c>
      <c r="I6342" s="7" cm="1">
        <f t="array" ref="I6342">IFERROR(_xlfn.IFS(M6342="נח",1,M6342="נע ונח",1,M6342="שני שווא נח",2,M6342="שני שוואים בסוף מילה",2,M6342="שני שוואים ברצף",1),"0")</f>
        <v>1</v>
      </c>
      <c r="J6342" s="9">
        <f t="shared" si="403"/>
        <v>4</v>
      </c>
      <c r="K6342" t="s">
        <v>6697</v>
      </c>
      <c r="L6342" t="s">
        <v>6694</v>
      </c>
      <c r="M6342" t="s">
        <v>6702</v>
      </c>
      <c r="Q6342" t="s">
        <v>6694</v>
      </c>
      <c r="S6342" t="s">
        <v>6694</v>
      </c>
      <c r="W6342" t="s">
        <v>6720</v>
      </c>
    </row>
    <row r="6343" spans="1:23" ht="15.6" x14ac:dyDescent="0.4">
      <c r="A6343" s="2" t="s">
        <v>2056</v>
      </c>
      <c r="B6343" s="5" t="s">
        <v>12244</v>
      </c>
      <c r="C6343" s="7" t="s">
        <v>12556</v>
      </c>
      <c r="D6343" s="8">
        <f t="shared" si="400"/>
        <v>0</v>
      </c>
      <c r="E6343" s="7" t="s">
        <v>12557</v>
      </c>
      <c r="F6343" s="7">
        <f t="shared" si="401"/>
        <v>0</v>
      </c>
      <c r="G6343" s="7" t="s">
        <v>12558</v>
      </c>
      <c r="H6343" s="7">
        <f t="shared" si="402"/>
        <v>0</v>
      </c>
      <c r="I6343" s="7" cm="1">
        <f t="array" ref="I6343">IFERROR(_xlfn.IFS(M6343="נח",1,M6343="נע ונח",1,M6343="שני שווא נח",2,M6343="שני שוואים בסוף מילה",2,M6343="שני שוואים ברצף",1),"0")</f>
        <v>1</v>
      </c>
      <c r="J6343" s="9">
        <f t="shared" si="403"/>
        <v>4</v>
      </c>
      <c r="K6343" t="s">
        <v>6697</v>
      </c>
      <c r="L6343" t="s">
        <v>6694</v>
      </c>
      <c r="M6343" t="s">
        <v>6705</v>
      </c>
      <c r="O6343" t="s">
        <v>6694</v>
      </c>
      <c r="Q6343" t="s">
        <v>6694</v>
      </c>
      <c r="S6343" t="s">
        <v>6694</v>
      </c>
      <c r="W6343" t="s">
        <v>6720</v>
      </c>
    </row>
    <row r="6344" spans="1:23" ht="15.6" x14ac:dyDescent="0.4">
      <c r="A6344" s="2" t="s">
        <v>5821</v>
      </c>
      <c r="B6344" s="5" t="s">
        <v>12245</v>
      </c>
      <c r="C6344" s="7" t="s">
        <v>12556</v>
      </c>
      <c r="D6344" s="8">
        <f t="shared" si="400"/>
        <v>0</v>
      </c>
      <c r="E6344" s="7" t="s">
        <v>12557</v>
      </c>
      <c r="F6344" s="7">
        <f t="shared" si="401"/>
        <v>0</v>
      </c>
      <c r="G6344" s="7" t="s">
        <v>12558</v>
      </c>
      <c r="H6344" s="7">
        <f t="shared" si="402"/>
        <v>0</v>
      </c>
      <c r="I6344" s="7" cm="1">
        <f t="array" ref="I6344">IFERROR(_xlfn.IFS(M6344="נח",1,M6344="נע ונח",1,M6344="שני שווא נח",2,M6344="שני שוואים בסוף מילה",2,M6344="שני שוואים ברצף",1),"0")</f>
        <v>1</v>
      </c>
      <c r="J6344" s="9">
        <f t="shared" si="403"/>
        <v>3</v>
      </c>
      <c r="K6344" t="s">
        <v>6698</v>
      </c>
      <c r="L6344" t="s">
        <v>6694</v>
      </c>
      <c r="M6344" t="s">
        <v>6705</v>
      </c>
      <c r="R6344" t="s">
        <v>6694</v>
      </c>
      <c r="S6344" t="s">
        <v>6694</v>
      </c>
      <c r="W6344" t="s">
        <v>6720</v>
      </c>
    </row>
    <row r="6345" spans="1:23" ht="15.6" x14ac:dyDescent="0.4">
      <c r="A6345" s="2" t="s">
        <v>6205</v>
      </c>
      <c r="B6345" s="5" t="s">
        <v>12246</v>
      </c>
      <c r="C6345" s="7" t="s">
        <v>12556</v>
      </c>
      <c r="D6345" s="8">
        <f t="shared" si="400"/>
        <v>0</v>
      </c>
      <c r="E6345" s="7" t="s">
        <v>12557</v>
      </c>
      <c r="F6345" s="7">
        <f t="shared" si="401"/>
        <v>2</v>
      </c>
      <c r="G6345" s="7" t="s">
        <v>12558</v>
      </c>
      <c r="H6345" s="7">
        <f t="shared" si="402"/>
        <v>1</v>
      </c>
      <c r="I6345" s="7" cm="1">
        <f t="array" ref="I6345">IFERROR(_xlfn.IFS(M6345="נח",1,M6345="נע ונח",1,M6345="שני שווא נח",2,M6345="שני שוואים בסוף מילה",2,M6345="שני שוואים ברצף",1),"0")</f>
        <v>1</v>
      </c>
      <c r="J6345" s="9">
        <f t="shared" si="403"/>
        <v>4</v>
      </c>
      <c r="K6345" t="s">
        <v>6697</v>
      </c>
      <c r="L6345" t="s">
        <v>6694</v>
      </c>
      <c r="M6345" t="s">
        <v>6702</v>
      </c>
      <c r="R6345" t="s">
        <v>6694</v>
      </c>
      <c r="S6345" t="s">
        <v>6694</v>
      </c>
      <c r="U6345" t="s">
        <v>6694</v>
      </c>
      <c r="W6345" t="s">
        <v>6720</v>
      </c>
    </row>
    <row r="6346" spans="1:23" ht="15.6" x14ac:dyDescent="0.4">
      <c r="A6346" s="2" t="s">
        <v>471</v>
      </c>
      <c r="B6346" s="5" t="s">
        <v>12247</v>
      </c>
      <c r="C6346" s="7" t="s">
        <v>12556</v>
      </c>
      <c r="D6346" s="8">
        <f t="shared" si="400"/>
        <v>0</v>
      </c>
      <c r="E6346" s="7" t="s">
        <v>12557</v>
      </c>
      <c r="F6346" s="7">
        <f t="shared" si="401"/>
        <v>0</v>
      </c>
      <c r="G6346" s="7" t="s">
        <v>12558</v>
      </c>
      <c r="H6346" s="7">
        <f t="shared" si="402"/>
        <v>0</v>
      </c>
      <c r="I6346" s="7" cm="1">
        <f t="array" ref="I6346">IFERROR(_xlfn.IFS(M6346="נח",1,M6346="נע ונח",1,M6346="שני שווא נח",2,M6346="שני שוואים בסוף מילה",2,M6346="שני שוואים ברצף",1),"0")</f>
        <v>1</v>
      </c>
      <c r="J6346" s="9">
        <f t="shared" si="403"/>
        <v>3</v>
      </c>
      <c r="K6346" t="s">
        <v>6697</v>
      </c>
      <c r="L6346" t="s">
        <v>6694</v>
      </c>
      <c r="M6346" t="s">
        <v>6705</v>
      </c>
      <c r="O6346" t="s">
        <v>6694</v>
      </c>
      <c r="S6346" t="s">
        <v>6694</v>
      </c>
      <c r="W6346" t="s">
        <v>6720</v>
      </c>
    </row>
    <row r="6347" spans="1:23" ht="15.6" x14ac:dyDescent="0.4">
      <c r="A6347" s="2" t="s">
        <v>717</v>
      </c>
      <c r="B6347" s="5" t="s">
        <v>12248</v>
      </c>
      <c r="C6347" s="7" t="s">
        <v>12556</v>
      </c>
      <c r="D6347" s="8">
        <f t="shared" si="400"/>
        <v>1</v>
      </c>
      <c r="E6347" s="7" t="s">
        <v>12557</v>
      </c>
      <c r="F6347" s="7">
        <f t="shared" si="401"/>
        <v>0</v>
      </c>
      <c r="G6347" s="7" t="s">
        <v>12558</v>
      </c>
      <c r="H6347" s="7">
        <f t="shared" si="402"/>
        <v>0</v>
      </c>
      <c r="I6347" s="7" cm="1">
        <f t="array" ref="I6347">IFERROR(_xlfn.IFS(M6347="נח",1,M6347="נע ונח",1,M6347="שני שווא נח",2,M6347="שני שוואים בסוף מילה",2,M6347="שני שוואים ברצף",1),"0")</f>
        <v>1</v>
      </c>
      <c r="J6347" s="9">
        <f t="shared" si="403"/>
        <v>2</v>
      </c>
      <c r="K6347" t="s">
        <v>6698</v>
      </c>
      <c r="L6347" t="s">
        <v>6694</v>
      </c>
      <c r="M6347" t="s">
        <v>6705</v>
      </c>
      <c r="S6347" t="s">
        <v>6694</v>
      </c>
      <c r="V6347" t="s">
        <v>6694</v>
      </c>
      <c r="W6347" t="s">
        <v>6720</v>
      </c>
    </row>
    <row r="6348" spans="1:23" ht="15.6" x14ac:dyDescent="0.4">
      <c r="A6348" s="2" t="s">
        <v>6417</v>
      </c>
      <c r="B6348" s="5" t="s">
        <v>12249</v>
      </c>
      <c r="C6348" s="7" t="s">
        <v>12556</v>
      </c>
      <c r="D6348" s="8">
        <f t="shared" si="400"/>
        <v>0</v>
      </c>
      <c r="E6348" s="7" t="s">
        <v>12557</v>
      </c>
      <c r="F6348" s="7">
        <f t="shared" si="401"/>
        <v>0</v>
      </c>
      <c r="G6348" s="7" t="s">
        <v>12558</v>
      </c>
      <c r="H6348" s="7">
        <f t="shared" si="402"/>
        <v>0</v>
      </c>
      <c r="I6348" s="7" cm="1">
        <f t="array" ref="I6348">IFERROR(_xlfn.IFS(M6348="נח",1,M6348="נע ונח",1,M6348="שני שווא נח",2,M6348="שני שוואים בסוף מילה",2,M6348="שני שוואים ברצף",1),"0")</f>
        <v>1</v>
      </c>
      <c r="J6348" s="9">
        <f t="shared" si="403"/>
        <v>2</v>
      </c>
      <c r="K6348" t="s">
        <v>6697</v>
      </c>
      <c r="L6348" t="s">
        <v>6694</v>
      </c>
      <c r="M6348" t="s">
        <v>6705</v>
      </c>
      <c r="R6348" t="s">
        <v>6694</v>
      </c>
      <c r="S6348" t="s">
        <v>6694</v>
      </c>
      <c r="W6348" t="s">
        <v>6720</v>
      </c>
    </row>
    <row r="6349" spans="1:23" ht="15.6" x14ac:dyDescent="0.4">
      <c r="A6349" s="2" t="s">
        <v>6301</v>
      </c>
      <c r="B6349" s="5" t="s">
        <v>12250</v>
      </c>
      <c r="C6349" s="7" t="s">
        <v>12556</v>
      </c>
      <c r="D6349" s="8">
        <f t="shared" si="400"/>
        <v>1</v>
      </c>
      <c r="E6349" s="7" t="s">
        <v>12557</v>
      </c>
      <c r="F6349" s="7">
        <f t="shared" si="401"/>
        <v>1</v>
      </c>
      <c r="G6349" s="7" t="s">
        <v>12558</v>
      </c>
      <c r="H6349" s="7">
        <f t="shared" si="402"/>
        <v>1</v>
      </c>
      <c r="I6349" s="7" cm="1">
        <f t="array" ref="I6349">IFERROR(_xlfn.IFS(M6349="נח",1,M6349="נע ונח",1,M6349="שני שווא נח",2,M6349="שני שוואים בסוף מילה",2,M6349="שני שוואים ברצף",1),"0")</f>
        <v>1</v>
      </c>
      <c r="J6349" s="9">
        <f t="shared" si="403"/>
        <v>3</v>
      </c>
      <c r="K6349" t="s">
        <v>6697</v>
      </c>
      <c r="L6349" t="s">
        <v>6694</v>
      </c>
      <c r="M6349" t="s">
        <v>6705</v>
      </c>
      <c r="O6349" t="s">
        <v>6694</v>
      </c>
      <c r="S6349" t="s">
        <v>6694</v>
      </c>
      <c r="U6349" t="s">
        <v>6694</v>
      </c>
      <c r="W6349" t="s">
        <v>6720</v>
      </c>
    </row>
    <row r="6350" spans="1:23" ht="15.6" x14ac:dyDescent="0.4">
      <c r="A6350" s="2" t="s">
        <v>3141</v>
      </c>
      <c r="B6350" s="5" t="s">
        <v>12251</v>
      </c>
      <c r="C6350" s="7" t="s">
        <v>12556</v>
      </c>
      <c r="D6350" s="8">
        <f t="shared" si="400"/>
        <v>1</v>
      </c>
      <c r="E6350" s="7" t="s">
        <v>12557</v>
      </c>
      <c r="F6350" s="7">
        <f t="shared" si="401"/>
        <v>1</v>
      </c>
      <c r="G6350" s="7" t="s">
        <v>12558</v>
      </c>
      <c r="H6350" s="7">
        <f t="shared" si="402"/>
        <v>0</v>
      </c>
      <c r="I6350" s="7" cm="1">
        <f t="array" ref="I6350">IFERROR(_xlfn.IFS(M6350="נח",1,M6350="נע ונח",1,M6350="שני שווא נח",2,M6350="שני שוואים בסוף מילה",2,M6350="שני שוואים ברצף",1),"0")</f>
        <v>1</v>
      </c>
      <c r="J6350" s="9">
        <f t="shared" si="403"/>
        <v>2</v>
      </c>
      <c r="K6350" t="s">
        <v>6698</v>
      </c>
      <c r="L6350" t="s">
        <v>6694</v>
      </c>
      <c r="M6350" t="s">
        <v>6705</v>
      </c>
      <c r="S6350" t="s">
        <v>6694</v>
      </c>
      <c r="V6350" t="s">
        <v>6694</v>
      </c>
      <c r="W6350" t="s">
        <v>6720</v>
      </c>
    </row>
    <row r="6351" spans="1:23" ht="15.6" x14ac:dyDescent="0.4">
      <c r="A6351" s="2" t="s">
        <v>4860</v>
      </c>
      <c r="B6351" s="5" t="s">
        <v>12252</v>
      </c>
      <c r="C6351" s="7" t="s">
        <v>12556</v>
      </c>
      <c r="D6351" s="8">
        <f t="shared" si="400"/>
        <v>1</v>
      </c>
      <c r="E6351" s="7" t="s">
        <v>12557</v>
      </c>
      <c r="F6351" s="7">
        <f t="shared" si="401"/>
        <v>1</v>
      </c>
      <c r="G6351" s="7" t="s">
        <v>12558</v>
      </c>
      <c r="H6351" s="7">
        <f t="shared" si="402"/>
        <v>0</v>
      </c>
      <c r="I6351" s="7" cm="1">
        <f t="array" ref="I6351">IFERROR(_xlfn.IFS(M6351="נח",1,M6351="נע ונח",1,M6351="שני שווא נח",2,M6351="שני שוואים בסוף מילה",2,M6351="שני שוואים ברצף",1),"0")</f>
        <v>1</v>
      </c>
      <c r="J6351" s="9">
        <f t="shared" si="403"/>
        <v>4</v>
      </c>
      <c r="K6351" t="s">
        <v>6697</v>
      </c>
      <c r="L6351" t="s">
        <v>6694</v>
      </c>
      <c r="M6351" t="s">
        <v>6705</v>
      </c>
      <c r="P6351" t="s">
        <v>6694</v>
      </c>
      <c r="R6351" t="s">
        <v>6694</v>
      </c>
      <c r="S6351" t="s">
        <v>6694</v>
      </c>
      <c r="W6351" t="s">
        <v>6720</v>
      </c>
    </row>
    <row r="6352" spans="1:23" ht="15.6" x14ac:dyDescent="0.4">
      <c r="A6352" s="2" t="s">
        <v>3571</v>
      </c>
      <c r="B6352" s="5" t="s">
        <v>12253</v>
      </c>
      <c r="C6352" s="7" t="s">
        <v>12556</v>
      </c>
      <c r="D6352" s="8">
        <f t="shared" si="400"/>
        <v>1</v>
      </c>
      <c r="E6352" s="7" t="s">
        <v>12557</v>
      </c>
      <c r="F6352" s="7">
        <f t="shared" si="401"/>
        <v>1</v>
      </c>
      <c r="G6352" s="7" t="s">
        <v>12558</v>
      </c>
      <c r="H6352" s="7">
        <f t="shared" si="402"/>
        <v>0</v>
      </c>
      <c r="I6352" s="7" cm="1">
        <f t="array" ref="I6352">IFERROR(_xlfn.IFS(M6352="נח",1,M6352="נע ונח",1,M6352="שני שווא נח",2,M6352="שני שוואים בסוף מילה",2,M6352="שני שוואים ברצף",1),"0")</f>
        <v>1</v>
      </c>
      <c r="J6352" s="9">
        <f t="shared" si="403"/>
        <v>3</v>
      </c>
      <c r="K6352" t="s">
        <v>6698</v>
      </c>
      <c r="L6352" t="s">
        <v>6694</v>
      </c>
      <c r="M6352" t="s">
        <v>6705</v>
      </c>
      <c r="N6352" t="s">
        <v>6706</v>
      </c>
      <c r="O6352" t="s">
        <v>6694</v>
      </c>
      <c r="S6352" t="s">
        <v>6694</v>
      </c>
      <c r="V6352" t="s">
        <v>6694</v>
      </c>
      <c r="W6352" t="s">
        <v>6720</v>
      </c>
    </row>
    <row r="6353" spans="1:23" ht="15.6" x14ac:dyDescent="0.4">
      <c r="A6353" s="2" t="s">
        <v>6139</v>
      </c>
      <c r="B6353" s="5" t="s">
        <v>12254</v>
      </c>
      <c r="C6353" s="7" t="s">
        <v>12556</v>
      </c>
      <c r="D6353" s="8">
        <f t="shared" si="400"/>
        <v>0</v>
      </c>
      <c r="E6353" s="7" t="s">
        <v>12557</v>
      </c>
      <c r="F6353" s="7">
        <f t="shared" si="401"/>
        <v>0</v>
      </c>
      <c r="G6353" s="7" t="s">
        <v>12558</v>
      </c>
      <c r="H6353" s="7">
        <f t="shared" si="402"/>
        <v>0</v>
      </c>
      <c r="I6353" s="7" cm="1">
        <f t="array" ref="I6353">IFERROR(_xlfn.IFS(M6353="נח",1,M6353="נע ונח",1,M6353="שני שווא נח",2,M6353="שני שוואים בסוף מילה",2,M6353="שני שוואים ברצף",1),"0")</f>
        <v>1</v>
      </c>
      <c r="J6353" s="9">
        <f t="shared" si="403"/>
        <v>3</v>
      </c>
      <c r="K6353" t="s">
        <v>6698</v>
      </c>
      <c r="L6353" t="s">
        <v>6694</v>
      </c>
      <c r="M6353" t="s">
        <v>6705</v>
      </c>
      <c r="N6353" t="s">
        <v>6706</v>
      </c>
      <c r="O6353" t="s">
        <v>6694</v>
      </c>
      <c r="S6353" t="s">
        <v>6694</v>
      </c>
      <c r="V6353" t="s">
        <v>6694</v>
      </c>
      <c r="W6353" t="s">
        <v>6720</v>
      </c>
    </row>
    <row r="6354" spans="1:23" ht="15.6" x14ac:dyDescent="0.4">
      <c r="A6354" s="2" t="s">
        <v>3061</v>
      </c>
      <c r="B6354" s="5" t="s">
        <v>12255</v>
      </c>
      <c r="C6354" s="7" t="s">
        <v>12556</v>
      </c>
      <c r="D6354" s="8">
        <f t="shared" si="400"/>
        <v>0</v>
      </c>
      <c r="E6354" s="7" t="s">
        <v>12557</v>
      </c>
      <c r="F6354" s="7">
        <f t="shared" si="401"/>
        <v>1</v>
      </c>
      <c r="G6354" s="7" t="s">
        <v>12558</v>
      </c>
      <c r="H6354" s="7">
        <f t="shared" si="402"/>
        <v>0</v>
      </c>
      <c r="I6354" s="7" t="str" cm="1">
        <f t="array" ref="I6354">IFERROR(_xlfn.IFS(M6354="נח",1,M6354="נע ונח",1,M6354="שני שווא נח",2,M6354="שני שוואים בסוף מילה",2,M6354="שני שוואים ברצף",1),"0")</f>
        <v>0</v>
      </c>
      <c r="J6354" s="9">
        <f t="shared" si="403"/>
        <v>2</v>
      </c>
      <c r="K6354" t="s">
        <v>6698</v>
      </c>
      <c r="L6354" t="s">
        <v>6695</v>
      </c>
      <c r="Q6354" t="s">
        <v>6694</v>
      </c>
      <c r="S6354" t="s">
        <v>6694</v>
      </c>
      <c r="W6354" t="s">
        <v>6720</v>
      </c>
    </row>
    <row r="6355" spans="1:23" ht="15.6" x14ac:dyDescent="0.4">
      <c r="A6355" s="2" t="s">
        <v>3261</v>
      </c>
      <c r="B6355" s="5" t="s">
        <v>12256</v>
      </c>
      <c r="C6355" s="7" t="s">
        <v>12556</v>
      </c>
      <c r="D6355" s="8">
        <f t="shared" si="400"/>
        <v>0</v>
      </c>
      <c r="E6355" s="7" t="s">
        <v>12557</v>
      </c>
      <c r="F6355" s="7">
        <f t="shared" si="401"/>
        <v>0</v>
      </c>
      <c r="G6355" s="7" t="s">
        <v>12558</v>
      </c>
      <c r="H6355" s="7">
        <f t="shared" si="402"/>
        <v>0</v>
      </c>
      <c r="I6355" s="7" t="str" cm="1">
        <f t="array" ref="I6355">IFERROR(_xlfn.IFS(M6355="נח",1,M6355="נע ונח",1,M6355="שני שווא נח",2,M6355="שני שוואים בסוף מילה",2,M6355="שני שוואים ברצף",1),"0")</f>
        <v>0</v>
      </c>
      <c r="J6355" s="9">
        <f t="shared" si="403"/>
        <v>2</v>
      </c>
      <c r="K6355" t="s">
        <v>6698</v>
      </c>
      <c r="L6355" t="s">
        <v>6695</v>
      </c>
      <c r="Q6355" t="s">
        <v>6694</v>
      </c>
      <c r="W6355" t="s">
        <v>6720</v>
      </c>
    </row>
    <row r="6356" spans="1:23" ht="15.6" x14ac:dyDescent="0.4">
      <c r="A6356" s="2" t="s">
        <v>3868</v>
      </c>
      <c r="B6356" s="5" t="s">
        <v>12257</v>
      </c>
      <c r="C6356" s="7" t="s">
        <v>12556</v>
      </c>
      <c r="D6356" s="8">
        <f t="shared" si="400"/>
        <v>0</v>
      </c>
      <c r="E6356" s="7" t="s">
        <v>12557</v>
      </c>
      <c r="F6356" s="7">
        <f t="shared" si="401"/>
        <v>0</v>
      </c>
      <c r="G6356" s="7" t="s">
        <v>12558</v>
      </c>
      <c r="H6356" s="7">
        <f t="shared" si="402"/>
        <v>0</v>
      </c>
      <c r="I6356" s="7" t="str" cm="1">
        <f t="array" ref="I6356">IFERROR(_xlfn.IFS(M6356="נח",1,M6356="נע ונח",1,M6356="שני שווא נח",2,M6356="שני שוואים בסוף מילה",2,M6356="שני שוואים ברצף",1),"0")</f>
        <v>0</v>
      </c>
      <c r="J6356" s="9">
        <f t="shared" si="403"/>
        <v>2</v>
      </c>
      <c r="K6356" t="s">
        <v>6698</v>
      </c>
      <c r="L6356" t="s">
        <v>6695</v>
      </c>
      <c r="Q6356" t="s">
        <v>6694</v>
      </c>
      <c r="S6356" t="s">
        <v>6694</v>
      </c>
      <c r="W6356" t="s">
        <v>6720</v>
      </c>
    </row>
    <row r="6357" spans="1:23" ht="15.6" x14ac:dyDescent="0.4">
      <c r="A6357" s="2" t="s">
        <v>6665</v>
      </c>
      <c r="B6357" s="5" t="s">
        <v>12258</v>
      </c>
      <c r="C6357" s="7" t="s">
        <v>12556</v>
      </c>
      <c r="D6357" s="8">
        <f t="shared" si="400"/>
        <v>0</v>
      </c>
      <c r="E6357" s="7" t="s">
        <v>12557</v>
      </c>
      <c r="F6357" s="7">
        <f t="shared" si="401"/>
        <v>0</v>
      </c>
      <c r="G6357" s="7" t="s">
        <v>12558</v>
      </c>
      <c r="H6357" s="7">
        <f t="shared" si="402"/>
        <v>0</v>
      </c>
      <c r="I6357" s="7" t="str" cm="1">
        <f t="array" ref="I6357">IFERROR(_xlfn.IFS(M6357="נח",1,M6357="נע ונח",1,M6357="שני שווא נח",2,M6357="שני שוואים בסוף מילה",2,M6357="שני שוואים ברצף",1),"0")</f>
        <v>0</v>
      </c>
      <c r="J6357" s="9">
        <f t="shared" si="403"/>
        <v>2</v>
      </c>
      <c r="K6357" t="s">
        <v>6698</v>
      </c>
      <c r="L6357" t="s">
        <v>6695</v>
      </c>
      <c r="N6357" t="s">
        <v>6706</v>
      </c>
      <c r="O6357" t="s">
        <v>6694</v>
      </c>
      <c r="Q6357" t="s">
        <v>6694</v>
      </c>
      <c r="W6357" t="s">
        <v>6720</v>
      </c>
    </row>
    <row r="6358" spans="1:23" ht="15.6" x14ac:dyDescent="0.4">
      <c r="A6358" s="2" t="s">
        <v>2719</v>
      </c>
      <c r="B6358" s="5" t="s">
        <v>12259</v>
      </c>
      <c r="C6358" s="7" t="s">
        <v>12556</v>
      </c>
      <c r="D6358" s="8">
        <f t="shared" si="400"/>
        <v>0</v>
      </c>
      <c r="E6358" s="7" t="s">
        <v>12557</v>
      </c>
      <c r="F6358" s="7">
        <f t="shared" si="401"/>
        <v>0</v>
      </c>
      <c r="G6358" s="7" t="s">
        <v>12558</v>
      </c>
      <c r="H6358" s="7">
        <f t="shared" si="402"/>
        <v>0</v>
      </c>
      <c r="I6358" s="7" cm="1">
        <f t="array" ref="I6358">IFERROR(_xlfn.IFS(M6358="נח",1,M6358="נע ונח",1,M6358="שני שווא נח",2,M6358="שני שוואים בסוף מילה",2,M6358="שני שוואים ברצף",1),"0")</f>
        <v>1</v>
      </c>
      <c r="J6358" s="9">
        <f t="shared" si="403"/>
        <v>2</v>
      </c>
      <c r="K6358" t="s">
        <v>6698</v>
      </c>
      <c r="L6358" t="s">
        <v>6694</v>
      </c>
      <c r="M6358" t="s">
        <v>6705</v>
      </c>
      <c r="Q6358" t="s">
        <v>6694</v>
      </c>
      <c r="W6358" t="s">
        <v>6720</v>
      </c>
    </row>
    <row r="6359" spans="1:23" ht="15.6" x14ac:dyDescent="0.4">
      <c r="A6359" s="2" t="s">
        <v>3627</v>
      </c>
      <c r="B6359" s="5" t="s">
        <v>12260</v>
      </c>
      <c r="C6359" s="7" t="s">
        <v>12556</v>
      </c>
      <c r="D6359" s="8">
        <f t="shared" si="400"/>
        <v>0</v>
      </c>
      <c r="E6359" s="7" t="s">
        <v>12557</v>
      </c>
      <c r="F6359" s="7">
        <f t="shared" si="401"/>
        <v>0</v>
      </c>
      <c r="G6359" s="7" t="s">
        <v>12558</v>
      </c>
      <c r="H6359" s="7">
        <f t="shared" si="402"/>
        <v>0</v>
      </c>
      <c r="I6359" s="7" t="str" cm="1">
        <f t="array" ref="I6359">IFERROR(_xlfn.IFS(M6359="נח",1,M6359="נע ונח",1,M6359="שני שווא נח",2,M6359="שני שוואים בסוף מילה",2,M6359="שני שוואים ברצף",1),"0")</f>
        <v>0</v>
      </c>
      <c r="J6359" s="9">
        <f t="shared" si="403"/>
        <v>2</v>
      </c>
      <c r="K6359" t="s">
        <v>6697</v>
      </c>
      <c r="L6359" t="s">
        <v>6695</v>
      </c>
      <c r="Q6359" t="s">
        <v>6694</v>
      </c>
      <c r="W6359" t="s">
        <v>6720</v>
      </c>
    </row>
    <row r="6360" spans="1:23" ht="15.6" x14ac:dyDescent="0.4">
      <c r="A6360" s="2" t="s">
        <v>1066</v>
      </c>
      <c r="B6360" s="5" t="s">
        <v>12261</v>
      </c>
      <c r="C6360" s="7" t="s">
        <v>12556</v>
      </c>
      <c r="D6360" s="8">
        <f t="shared" si="400"/>
        <v>0</v>
      </c>
      <c r="E6360" s="7" t="s">
        <v>12557</v>
      </c>
      <c r="F6360" s="7">
        <f t="shared" si="401"/>
        <v>0</v>
      </c>
      <c r="G6360" s="7" t="s">
        <v>12558</v>
      </c>
      <c r="H6360" s="7">
        <f t="shared" si="402"/>
        <v>0</v>
      </c>
      <c r="I6360" s="7" t="str" cm="1">
        <f t="array" ref="I6360">IFERROR(_xlfn.IFS(M6360="נח",1,M6360="נע ונח",1,M6360="שני שווא נח",2,M6360="שני שוואים בסוף מילה",2,M6360="שני שוואים ברצף",1),"0")</f>
        <v>0</v>
      </c>
      <c r="J6360" s="9">
        <f t="shared" si="403"/>
        <v>3</v>
      </c>
      <c r="K6360" t="s">
        <v>6697</v>
      </c>
      <c r="L6360" t="s">
        <v>6695</v>
      </c>
      <c r="O6360" t="s">
        <v>6694</v>
      </c>
      <c r="P6360" t="s">
        <v>6694</v>
      </c>
      <c r="W6360" t="s">
        <v>6720</v>
      </c>
    </row>
    <row r="6361" spans="1:23" ht="15.6" x14ac:dyDescent="0.4">
      <c r="A6361" s="2" t="s">
        <v>2329</v>
      </c>
      <c r="B6361" s="5" t="s">
        <v>12262</v>
      </c>
      <c r="C6361" s="7" t="s">
        <v>12556</v>
      </c>
      <c r="D6361" s="8">
        <f t="shared" si="400"/>
        <v>0</v>
      </c>
      <c r="E6361" s="7" t="s">
        <v>12557</v>
      </c>
      <c r="F6361" s="7">
        <f t="shared" si="401"/>
        <v>1</v>
      </c>
      <c r="G6361" s="7" t="s">
        <v>12558</v>
      </c>
      <c r="H6361" s="7">
        <f t="shared" si="402"/>
        <v>0</v>
      </c>
      <c r="I6361" s="7" t="str" cm="1">
        <f t="array" ref="I6361">IFERROR(_xlfn.IFS(M6361="נח",1,M6361="נע ונח",1,M6361="שני שווא נח",2,M6361="שני שוואים בסוף מילה",2,M6361="שני שוואים ברצף",1),"0")</f>
        <v>0</v>
      </c>
      <c r="J6361" s="9">
        <f t="shared" si="403"/>
        <v>2</v>
      </c>
      <c r="K6361" t="s">
        <v>6698</v>
      </c>
      <c r="L6361" t="s">
        <v>6695</v>
      </c>
      <c r="P6361" t="s">
        <v>6694</v>
      </c>
      <c r="S6361" t="s">
        <v>6694</v>
      </c>
      <c r="W6361" t="s">
        <v>6720</v>
      </c>
    </row>
    <row r="6362" spans="1:23" ht="15.6" x14ac:dyDescent="0.4">
      <c r="A6362" s="2" t="s">
        <v>3923</v>
      </c>
      <c r="B6362" s="5" t="s">
        <v>12263</v>
      </c>
      <c r="C6362" s="7" t="s">
        <v>12556</v>
      </c>
      <c r="D6362" s="8">
        <f t="shared" si="400"/>
        <v>0</v>
      </c>
      <c r="E6362" s="7" t="s">
        <v>12557</v>
      </c>
      <c r="F6362" s="7">
        <f t="shared" si="401"/>
        <v>1</v>
      </c>
      <c r="G6362" s="7" t="s">
        <v>12558</v>
      </c>
      <c r="H6362" s="7">
        <f t="shared" si="402"/>
        <v>0</v>
      </c>
      <c r="I6362" s="7" cm="1">
        <f t="array" ref="I6362">IFERROR(_xlfn.IFS(M6362="נח",1,M6362="נע ונח",1,M6362="שני שווא נח",2,M6362="שני שוואים בסוף מילה",2,M6362="שני שוואים ברצף",1),"0")</f>
        <v>1</v>
      </c>
      <c r="J6362" s="9">
        <f t="shared" si="403"/>
        <v>2</v>
      </c>
      <c r="K6362" t="s">
        <v>6698</v>
      </c>
      <c r="L6362" t="s">
        <v>6694</v>
      </c>
      <c r="M6362" t="s">
        <v>6705</v>
      </c>
      <c r="P6362" t="s">
        <v>6694</v>
      </c>
      <c r="V6362" t="s">
        <v>6694</v>
      </c>
      <c r="W6362" t="s">
        <v>6720</v>
      </c>
    </row>
    <row r="6363" spans="1:23" ht="15.6" x14ac:dyDescent="0.4">
      <c r="A6363" s="2" t="s">
        <v>6291</v>
      </c>
      <c r="B6363" s="5" t="s">
        <v>12264</v>
      </c>
      <c r="C6363" s="7" t="s">
        <v>12556</v>
      </c>
      <c r="D6363" s="8">
        <f t="shared" si="400"/>
        <v>0</v>
      </c>
      <c r="E6363" s="7" t="s">
        <v>12557</v>
      </c>
      <c r="F6363" s="7">
        <f t="shared" si="401"/>
        <v>1</v>
      </c>
      <c r="G6363" s="7" t="s">
        <v>12558</v>
      </c>
      <c r="H6363" s="7">
        <f t="shared" si="402"/>
        <v>0</v>
      </c>
      <c r="I6363" s="7" cm="1">
        <f t="array" ref="I6363">IFERROR(_xlfn.IFS(M6363="נח",1,M6363="נע ונח",1,M6363="שני שווא נח",2,M6363="שני שוואים בסוף מילה",2,M6363="שני שוואים ברצף",1),"0")</f>
        <v>1</v>
      </c>
      <c r="J6363" s="9">
        <f t="shared" si="403"/>
        <v>2</v>
      </c>
      <c r="K6363" t="s">
        <v>6698</v>
      </c>
      <c r="L6363" t="s">
        <v>6694</v>
      </c>
      <c r="M6363" t="s">
        <v>6705</v>
      </c>
      <c r="N6363" t="s">
        <v>6706</v>
      </c>
      <c r="O6363" t="s">
        <v>6694</v>
      </c>
      <c r="P6363" t="s">
        <v>6694</v>
      </c>
      <c r="W6363" t="s">
        <v>6720</v>
      </c>
    </row>
    <row r="6364" spans="1:23" ht="15.6" x14ac:dyDescent="0.4">
      <c r="A6364" s="2" t="s">
        <v>5429</v>
      </c>
      <c r="B6364" s="5" t="s">
        <v>12265</v>
      </c>
      <c r="C6364" s="7" t="s">
        <v>12556</v>
      </c>
      <c r="D6364" s="8">
        <f t="shared" si="400"/>
        <v>0</v>
      </c>
      <c r="E6364" s="7" t="s">
        <v>12557</v>
      </c>
      <c r="F6364" s="7">
        <f t="shared" si="401"/>
        <v>2</v>
      </c>
      <c r="G6364" s="7" t="s">
        <v>12558</v>
      </c>
      <c r="H6364" s="7">
        <f t="shared" si="402"/>
        <v>1</v>
      </c>
      <c r="I6364" s="7" t="str" cm="1">
        <f t="array" ref="I6364">IFERROR(_xlfn.IFS(M6364="נח",1,M6364="נע ונח",1,M6364="שני שווא נח",2,M6364="שני שוואים בסוף מילה",2,M6364="שני שוואים ברצף",1),"0")</f>
        <v>0</v>
      </c>
      <c r="J6364" s="9">
        <f t="shared" si="403"/>
        <v>2</v>
      </c>
      <c r="K6364" t="s">
        <v>6697</v>
      </c>
      <c r="L6364" t="s">
        <v>6695</v>
      </c>
      <c r="P6364" t="s">
        <v>6694</v>
      </c>
      <c r="U6364" t="s">
        <v>6694</v>
      </c>
      <c r="W6364" t="s">
        <v>6720</v>
      </c>
    </row>
    <row r="6365" spans="1:23" ht="15.6" x14ac:dyDescent="0.4">
      <c r="A6365" s="2" t="s">
        <v>5049</v>
      </c>
      <c r="B6365" s="5" t="s">
        <v>12266</v>
      </c>
      <c r="C6365" s="7" t="s">
        <v>12556</v>
      </c>
      <c r="D6365" s="8">
        <f t="shared" si="400"/>
        <v>0</v>
      </c>
      <c r="E6365" s="7" t="s">
        <v>12557</v>
      </c>
      <c r="F6365" s="7">
        <f t="shared" si="401"/>
        <v>0</v>
      </c>
      <c r="G6365" s="7" t="s">
        <v>12558</v>
      </c>
      <c r="H6365" s="7">
        <f t="shared" si="402"/>
        <v>0</v>
      </c>
      <c r="I6365" s="7" cm="1">
        <f t="array" ref="I6365">IFERROR(_xlfn.IFS(M6365="נח",1,M6365="נע ונח",1,M6365="שני שווא נח",2,M6365="שני שוואים בסוף מילה",2,M6365="שני שוואים ברצף",1),"0")</f>
        <v>1</v>
      </c>
      <c r="J6365" s="9">
        <f t="shared" si="403"/>
        <v>3</v>
      </c>
      <c r="K6365" t="s">
        <v>6697</v>
      </c>
      <c r="L6365" t="s">
        <v>6694</v>
      </c>
      <c r="M6365" t="s">
        <v>6705</v>
      </c>
      <c r="P6365" t="s">
        <v>6694</v>
      </c>
      <c r="Q6365" t="s">
        <v>6694</v>
      </c>
      <c r="S6365" t="s">
        <v>6694</v>
      </c>
      <c r="W6365" t="s">
        <v>6720</v>
      </c>
    </row>
    <row r="6366" spans="1:23" ht="15.6" x14ac:dyDescent="0.4">
      <c r="A6366" s="2" t="s">
        <v>5671</v>
      </c>
      <c r="B6366" s="5" t="s">
        <v>12267</v>
      </c>
      <c r="C6366" s="7" t="s">
        <v>12556</v>
      </c>
      <c r="D6366" s="8">
        <f t="shared" si="400"/>
        <v>0</v>
      </c>
      <c r="E6366" s="7" t="s">
        <v>12557</v>
      </c>
      <c r="F6366" s="7">
        <f t="shared" si="401"/>
        <v>1</v>
      </c>
      <c r="G6366" s="7" t="s">
        <v>12558</v>
      </c>
      <c r="H6366" s="7">
        <f t="shared" si="402"/>
        <v>0</v>
      </c>
      <c r="I6366" s="7" t="str" cm="1">
        <f t="array" ref="I6366">IFERROR(_xlfn.IFS(M6366="נח",1,M6366="נע ונח",1,M6366="שני שווא נח",2,M6366="שני שוואים בסוף מילה",2,M6366="שני שוואים ברצף",1),"0")</f>
        <v>0</v>
      </c>
      <c r="J6366" s="9">
        <f t="shared" si="403"/>
        <v>3</v>
      </c>
      <c r="K6366" t="s">
        <v>6698</v>
      </c>
      <c r="L6366" t="s">
        <v>6695</v>
      </c>
      <c r="P6366" t="s">
        <v>6694</v>
      </c>
      <c r="S6366" t="s">
        <v>6694</v>
      </c>
      <c r="W6366" t="s">
        <v>6720</v>
      </c>
    </row>
    <row r="6367" spans="1:23" ht="15.6" x14ac:dyDescent="0.4">
      <c r="A6367" s="2" t="s">
        <v>3671</v>
      </c>
      <c r="B6367" s="5" t="s">
        <v>12268</v>
      </c>
      <c r="C6367" s="7" t="s">
        <v>12556</v>
      </c>
      <c r="D6367" s="8">
        <f t="shared" si="400"/>
        <v>0</v>
      </c>
      <c r="E6367" s="7" t="s">
        <v>12557</v>
      </c>
      <c r="F6367" s="7">
        <f t="shared" si="401"/>
        <v>1</v>
      </c>
      <c r="G6367" s="7" t="s">
        <v>12558</v>
      </c>
      <c r="H6367" s="7">
        <f t="shared" si="402"/>
        <v>0</v>
      </c>
      <c r="I6367" s="7" cm="1">
        <f t="array" ref="I6367">IFERROR(_xlfn.IFS(M6367="נח",1,M6367="נע ונח",1,M6367="שני שווא נח",2,M6367="שני שוואים בסוף מילה",2,M6367="שני שוואים ברצף",1),"0")</f>
        <v>1</v>
      </c>
      <c r="J6367" s="9">
        <f t="shared" si="403"/>
        <v>2</v>
      </c>
      <c r="K6367" t="s">
        <v>6698</v>
      </c>
      <c r="L6367" t="s">
        <v>6694</v>
      </c>
      <c r="M6367" t="s">
        <v>6705</v>
      </c>
      <c r="P6367" t="s">
        <v>6694</v>
      </c>
      <c r="S6367" t="s">
        <v>6694</v>
      </c>
      <c r="W6367" t="s">
        <v>6720</v>
      </c>
    </row>
    <row r="6368" spans="1:23" ht="15.6" x14ac:dyDescent="0.4">
      <c r="A6368" s="2" t="s">
        <v>3059</v>
      </c>
      <c r="B6368" s="5" t="s">
        <v>12269</v>
      </c>
      <c r="C6368" s="7" t="s">
        <v>12556</v>
      </c>
      <c r="D6368" s="8">
        <f t="shared" si="400"/>
        <v>0</v>
      </c>
      <c r="E6368" s="7" t="s">
        <v>12557</v>
      </c>
      <c r="F6368" s="7">
        <f t="shared" si="401"/>
        <v>0</v>
      </c>
      <c r="G6368" s="7" t="s">
        <v>12558</v>
      </c>
      <c r="H6368" s="7">
        <f t="shared" si="402"/>
        <v>0</v>
      </c>
      <c r="I6368" s="7" t="str" cm="1">
        <f t="array" ref="I6368">IFERROR(_xlfn.IFS(M6368="נח",1,M6368="נע ונח",1,M6368="שני שווא נח",2,M6368="שני שוואים בסוף מילה",2,M6368="שני שוואים ברצף",1),"0")</f>
        <v>0</v>
      </c>
      <c r="J6368" s="9">
        <f t="shared" si="403"/>
        <v>3</v>
      </c>
      <c r="K6368" t="s">
        <v>6698</v>
      </c>
      <c r="L6368" t="s">
        <v>6695</v>
      </c>
      <c r="P6368" t="s">
        <v>6694</v>
      </c>
      <c r="V6368" t="s">
        <v>6694</v>
      </c>
      <c r="W6368" t="s">
        <v>6720</v>
      </c>
    </row>
    <row r="6369" spans="1:23" ht="15.6" x14ac:dyDescent="0.4">
      <c r="A6369" s="2" t="s">
        <v>3</v>
      </c>
      <c r="B6369" s="5" t="s">
        <v>12270</v>
      </c>
      <c r="C6369" s="7" t="s">
        <v>12556</v>
      </c>
      <c r="D6369" s="8">
        <f t="shared" si="400"/>
        <v>0</v>
      </c>
      <c r="E6369" s="7" t="s">
        <v>12557</v>
      </c>
      <c r="F6369" s="7">
        <f t="shared" si="401"/>
        <v>0</v>
      </c>
      <c r="G6369" s="7" t="s">
        <v>12558</v>
      </c>
      <c r="H6369" s="7">
        <f t="shared" si="402"/>
        <v>0</v>
      </c>
      <c r="I6369" s="7" t="str" cm="1">
        <f t="array" ref="I6369">IFERROR(_xlfn.IFS(M6369="נח",1,M6369="נע ונח",1,M6369="שני שווא נח",2,M6369="שני שוואים בסוף מילה",2,M6369="שני שוואים ברצף",1),"0")</f>
        <v>0</v>
      </c>
      <c r="J6369" s="9">
        <f t="shared" si="403"/>
        <v>3</v>
      </c>
      <c r="K6369" t="s">
        <v>6697</v>
      </c>
      <c r="L6369" t="s">
        <v>6695</v>
      </c>
      <c r="P6369" t="s">
        <v>6694</v>
      </c>
      <c r="R6369" t="s">
        <v>6694</v>
      </c>
      <c r="W6369" t="s">
        <v>6720</v>
      </c>
    </row>
    <row r="6370" spans="1:23" ht="15.6" x14ac:dyDescent="0.4">
      <c r="A6370" s="2" t="s">
        <v>3550</v>
      </c>
      <c r="B6370" s="5" t="s">
        <v>12271</v>
      </c>
      <c r="C6370" s="7" t="s">
        <v>12556</v>
      </c>
      <c r="D6370" s="8">
        <f t="shared" si="400"/>
        <v>0</v>
      </c>
      <c r="E6370" s="7" t="s">
        <v>12557</v>
      </c>
      <c r="F6370" s="7">
        <f t="shared" si="401"/>
        <v>0</v>
      </c>
      <c r="G6370" s="7" t="s">
        <v>12558</v>
      </c>
      <c r="H6370" s="7">
        <f t="shared" si="402"/>
        <v>0</v>
      </c>
      <c r="I6370" s="7" t="str" cm="1">
        <f t="array" ref="I6370">IFERROR(_xlfn.IFS(M6370="נח",1,M6370="נע ונח",1,M6370="שני שווא נח",2,M6370="שני שוואים בסוף מילה",2,M6370="שני שוואים ברצף",1),"0")</f>
        <v>0</v>
      </c>
      <c r="J6370" s="9">
        <f t="shared" si="403"/>
        <v>3</v>
      </c>
      <c r="K6370" t="s">
        <v>6698</v>
      </c>
      <c r="L6370" t="s">
        <v>6695</v>
      </c>
      <c r="P6370" t="s">
        <v>6694</v>
      </c>
      <c r="V6370" t="s">
        <v>6694</v>
      </c>
      <c r="W6370" t="s">
        <v>6720</v>
      </c>
    </row>
    <row r="6371" spans="1:23" ht="15.6" x14ac:dyDescent="0.4">
      <c r="A6371" s="2" t="s">
        <v>6192</v>
      </c>
      <c r="B6371" s="5" t="s">
        <v>12272</v>
      </c>
      <c r="C6371" s="7" t="s">
        <v>12556</v>
      </c>
      <c r="D6371" s="8">
        <f t="shared" si="400"/>
        <v>0</v>
      </c>
      <c r="E6371" s="7" t="s">
        <v>12557</v>
      </c>
      <c r="F6371" s="7">
        <f t="shared" si="401"/>
        <v>1</v>
      </c>
      <c r="G6371" s="7" t="s">
        <v>12558</v>
      </c>
      <c r="H6371" s="7">
        <f t="shared" si="402"/>
        <v>0</v>
      </c>
      <c r="I6371" s="7" cm="1">
        <f t="array" ref="I6371">IFERROR(_xlfn.IFS(M6371="נח",1,M6371="נע ונח",1,M6371="שני שווא נח",2,M6371="שני שוואים בסוף מילה",2,M6371="שני שוואים ברצף",1),"0")</f>
        <v>1</v>
      </c>
      <c r="J6371" s="9">
        <f t="shared" si="403"/>
        <v>3</v>
      </c>
      <c r="K6371" t="s">
        <v>6697</v>
      </c>
      <c r="L6371" t="s">
        <v>6694</v>
      </c>
      <c r="M6371" t="s">
        <v>6705</v>
      </c>
      <c r="P6371" t="s">
        <v>6694</v>
      </c>
      <c r="Q6371" t="s">
        <v>6694</v>
      </c>
      <c r="S6371" t="s">
        <v>6694</v>
      </c>
      <c r="W6371" t="s">
        <v>6720</v>
      </c>
    </row>
    <row r="6372" spans="1:23" ht="15.6" x14ac:dyDescent="0.4">
      <c r="A6372" s="2" t="s">
        <v>307</v>
      </c>
      <c r="B6372" s="5" t="s">
        <v>12273</v>
      </c>
      <c r="C6372" s="7" t="s">
        <v>12556</v>
      </c>
      <c r="D6372" s="8">
        <f t="shared" si="400"/>
        <v>0</v>
      </c>
      <c r="E6372" s="7" t="s">
        <v>12557</v>
      </c>
      <c r="F6372" s="7">
        <f t="shared" si="401"/>
        <v>0</v>
      </c>
      <c r="G6372" s="7" t="s">
        <v>12558</v>
      </c>
      <c r="H6372" s="7">
        <f t="shared" si="402"/>
        <v>0</v>
      </c>
      <c r="I6372" s="7" cm="1">
        <f t="array" ref="I6372">IFERROR(_xlfn.IFS(M6372="נח",1,M6372="נע ונח",1,M6372="שני שווא נח",2,M6372="שני שוואים בסוף מילה",2,M6372="שני שוואים ברצף",1),"0")</f>
        <v>1</v>
      </c>
      <c r="J6372" s="9">
        <f t="shared" si="403"/>
        <v>2</v>
      </c>
      <c r="K6372" t="s">
        <v>6698</v>
      </c>
      <c r="L6372" t="s">
        <v>6694</v>
      </c>
      <c r="M6372" t="s">
        <v>6705</v>
      </c>
      <c r="P6372" t="s">
        <v>6694</v>
      </c>
      <c r="S6372" t="s">
        <v>6694</v>
      </c>
      <c r="W6372" t="s">
        <v>6720</v>
      </c>
    </row>
    <row r="6373" spans="1:23" ht="15.6" x14ac:dyDescent="0.4">
      <c r="A6373" s="2" t="s">
        <v>3097</v>
      </c>
      <c r="B6373" s="5" t="s">
        <v>12274</v>
      </c>
      <c r="C6373" s="7" t="s">
        <v>12556</v>
      </c>
      <c r="D6373" s="8">
        <f t="shared" si="400"/>
        <v>2</v>
      </c>
      <c r="E6373" s="7" t="s">
        <v>12557</v>
      </c>
      <c r="F6373" s="7">
        <f t="shared" si="401"/>
        <v>0</v>
      </c>
      <c r="G6373" s="7" t="s">
        <v>12558</v>
      </c>
      <c r="H6373" s="7">
        <f t="shared" si="402"/>
        <v>0</v>
      </c>
      <c r="I6373" s="7" cm="1">
        <f t="array" ref="I6373">IFERROR(_xlfn.IFS(M6373="נח",1,M6373="נע ונח",1,M6373="שני שווא נח",2,M6373="שני שוואים בסוף מילה",2,M6373="שני שוואים ברצף",1),"0")</f>
        <v>1</v>
      </c>
      <c r="J6373" s="9">
        <f t="shared" si="403"/>
        <v>2</v>
      </c>
      <c r="K6373" t="s">
        <v>6698</v>
      </c>
      <c r="L6373" t="s">
        <v>6694</v>
      </c>
      <c r="M6373" t="s">
        <v>6705</v>
      </c>
      <c r="P6373" t="s">
        <v>6694</v>
      </c>
      <c r="S6373" t="s">
        <v>6694</v>
      </c>
      <c r="W6373" t="s">
        <v>6720</v>
      </c>
    </row>
    <row r="6374" spans="1:23" ht="15.6" x14ac:dyDescent="0.4">
      <c r="A6374" s="2" t="s">
        <v>6047</v>
      </c>
      <c r="B6374" s="5" t="s">
        <v>12275</v>
      </c>
      <c r="C6374" s="7" t="s">
        <v>12556</v>
      </c>
      <c r="D6374" s="8">
        <f t="shared" si="400"/>
        <v>1</v>
      </c>
      <c r="E6374" s="7" t="s">
        <v>12557</v>
      </c>
      <c r="F6374" s="7">
        <f t="shared" si="401"/>
        <v>0</v>
      </c>
      <c r="G6374" s="7" t="s">
        <v>12558</v>
      </c>
      <c r="H6374" s="7">
        <f t="shared" si="402"/>
        <v>0</v>
      </c>
      <c r="I6374" s="7" cm="1">
        <f t="array" ref="I6374">IFERROR(_xlfn.IFS(M6374="נח",1,M6374="נע ונח",1,M6374="שני שווא נח",2,M6374="שני שוואים בסוף מילה",2,M6374="שני שוואים ברצף",1),"0")</f>
        <v>1</v>
      </c>
      <c r="J6374" s="9">
        <f t="shared" si="403"/>
        <v>2</v>
      </c>
      <c r="K6374" t="s">
        <v>6698</v>
      </c>
      <c r="L6374" t="s">
        <v>6694</v>
      </c>
      <c r="M6374" t="s">
        <v>6705</v>
      </c>
      <c r="P6374" t="s">
        <v>6694</v>
      </c>
      <c r="Q6374" t="s">
        <v>6694</v>
      </c>
      <c r="W6374" t="s">
        <v>6720</v>
      </c>
    </row>
    <row r="6375" spans="1:23" ht="15.6" x14ac:dyDescent="0.4">
      <c r="A6375" s="2" t="s">
        <v>3227</v>
      </c>
      <c r="B6375" s="5" t="s">
        <v>12276</v>
      </c>
      <c r="C6375" s="7" t="s">
        <v>12556</v>
      </c>
      <c r="D6375" s="8">
        <f t="shared" si="400"/>
        <v>1</v>
      </c>
      <c r="E6375" s="7" t="s">
        <v>12557</v>
      </c>
      <c r="F6375" s="7">
        <f t="shared" si="401"/>
        <v>1</v>
      </c>
      <c r="G6375" s="7" t="s">
        <v>12558</v>
      </c>
      <c r="H6375" s="7">
        <f t="shared" si="402"/>
        <v>1</v>
      </c>
      <c r="I6375" s="7" t="str" cm="1">
        <f t="array" ref="I6375">IFERROR(_xlfn.IFS(M6375="נח",1,M6375="נע ונח",1,M6375="שני שווא נח",2,M6375="שני שוואים בסוף מילה",2,M6375="שני שוואים ברצף",1),"0")</f>
        <v>0</v>
      </c>
      <c r="J6375" s="9">
        <f t="shared" si="403"/>
        <v>3</v>
      </c>
      <c r="K6375" t="s">
        <v>6697</v>
      </c>
      <c r="L6375" t="s">
        <v>6695</v>
      </c>
      <c r="O6375" t="s">
        <v>6694</v>
      </c>
      <c r="S6375" t="s">
        <v>6694</v>
      </c>
      <c r="U6375" t="s">
        <v>6694</v>
      </c>
      <c r="W6375" t="s">
        <v>6720</v>
      </c>
    </row>
    <row r="6376" spans="1:23" ht="15.6" x14ac:dyDescent="0.4">
      <c r="A6376" s="2" t="s">
        <v>2115</v>
      </c>
      <c r="B6376" s="5" t="s">
        <v>12277</v>
      </c>
      <c r="C6376" s="7" t="s">
        <v>12556</v>
      </c>
      <c r="D6376" s="8">
        <f t="shared" si="400"/>
        <v>0</v>
      </c>
      <c r="E6376" s="7" t="s">
        <v>12557</v>
      </c>
      <c r="F6376" s="7">
        <f t="shared" si="401"/>
        <v>0</v>
      </c>
      <c r="G6376" s="7" t="s">
        <v>12558</v>
      </c>
      <c r="H6376" s="7">
        <f t="shared" si="402"/>
        <v>0</v>
      </c>
      <c r="I6376" s="7" t="str" cm="1">
        <f t="array" ref="I6376">IFERROR(_xlfn.IFS(M6376="נח",1,M6376="נע ונח",1,M6376="שני שווא נח",2,M6376="שני שוואים בסוף מילה",2,M6376="שני שוואים ברצף",1),"0")</f>
        <v>0</v>
      </c>
      <c r="J6376" s="9">
        <f t="shared" si="403"/>
        <v>2</v>
      </c>
      <c r="K6376" t="s">
        <v>6698</v>
      </c>
      <c r="L6376" t="s">
        <v>6695</v>
      </c>
      <c r="O6376" t="s">
        <v>6694</v>
      </c>
      <c r="S6376" t="s">
        <v>6694</v>
      </c>
      <c r="W6376" t="s">
        <v>6720</v>
      </c>
    </row>
    <row r="6377" spans="1:23" ht="15.6" x14ac:dyDescent="0.4">
      <c r="A6377" s="2" t="s">
        <v>2015</v>
      </c>
      <c r="B6377" s="5" t="s">
        <v>12278</v>
      </c>
      <c r="C6377" s="7" t="s">
        <v>12556</v>
      </c>
      <c r="D6377" s="8">
        <f t="shared" si="400"/>
        <v>0</v>
      </c>
      <c r="E6377" s="7" t="s">
        <v>12557</v>
      </c>
      <c r="F6377" s="7">
        <f t="shared" si="401"/>
        <v>0</v>
      </c>
      <c r="G6377" s="7" t="s">
        <v>12558</v>
      </c>
      <c r="H6377" s="7">
        <f t="shared" si="402"/>
        <v>0</v>
      </c>
      <c r="I6377" s="7" t="str" cm="1">
        <f t="array" ref="I6377">IFERROR(_xlfn.IFS(M6377="נח",1,M6377="נע ונח",1,M6377="שני שווא נח",2,M6377="שני שוואים בסוף מילה",2,M6377="שני שוואים ברצף",1),"0")</f>
        <v>0</v>
      </c>
      <c r="J6377" s="9">
        <f t="shared" si="403"/>
        <v>2</v>
      </c>
      <c r="K6377" t="s">
        <v>6698</v>
      </c>
      <c r="L6377" t="s">
        <v>6695</v>
      </c>
      <c r="O6377" t="s">
        <v>6694</v>
      </c>
      <c r="S6377" t="s">
        <v>6694</v>
      </c>
      <c r="W6377" t="s">
        <v>6720</v>
      </c>
    </row>
    <row r="6378" spans="1:23" ht="15.6" x14ac:dyDescent="0.4">
      <c r="A6378" s="2" t="s">
        <v>576</v>
      </c>
      <c r="B6378" s="5" t="s">
        <v>12279</v>
      </c>
      <c r="C6378" s="7" t="s">
        <v>12556</v>
      </c>
      <c r="D6378" s="8">
        <f t="shared" si="400"/>
        <v>0</v>
      </c>
      <c r="E6378" s="7" t="s">
        <v>12557</v>
      </c>
      <c r="F6378" s="7">
        <f t="shared" si="401"/>
        <v>1</v>
      </c>
      <c r="G6378" s="7" t="s">
        <v>12558</v>
      </c>
      <c r="H6378" s="7">
        <f t="shared" si="402"/>
        <v>1</v>
      </c>
      <c r="I6378" s="7" t="str" cm="1">
        <f t="array" ref="I6378">IFERROR(_xlfn.IFS(M6378="נח",1,M6378="נע ונח",1,M6378="שני שווא נח",2,M6378="שני שוואים בסוף מילה",2,M6378="שני שוואים ברצף",1),"0")</f>
        <v>0</v>
      </c>
      <c r="J6378" s="9">
        <f t="shared" si="403"/>
        <v>2</v>
      </c>
      <c r="K6378" t="s">
        <v>6698</v>
      </c>
      <c r="L6378" t="s">
        <v>6695</v>
      </c>
      <c r="O6378" t="s">
        <v>6694</v>
      </c>
      <c r="U6378" t="s">
        <v>6694</v>
      </c>
      <c r="W6378" t="s">
        <v>6720</v>
      </c>
    </row>
    <row r="6379" spans="1:23" ht="15.6" x14ac:dyDescent="0.4">
      <c r="A6379" s="2" t="s">
        <v>4727</v>
      </c>
      <c r="B6379" s="5" t="s">
        <v>12280</v>
      </c>
      <c r="C6379" s="7" t="s">
        <v>12556</v>
      </c>
      <c r="D6379" s="8">
        <f t="shared" si="400"/>
        <v>0</v>
      </c>
      <c r="E6379" s="7" t="s">
        <v>12557</v>
      </c>
      <c r="F6379" s="7">
        <f t="shared" si="401"/>
        <v>1</v>
      </c>
      <c r="G6379" s="7" t="s">
        <v>12558</v>
      </c>
      <c r="H6379" s="7">
        <f t="shared" si="402"/>
        <v>1</v>
      </c>
      <c r="I6379" s="7" t="str" cm="1">
        <f t="array" ref="I6379">IFERROR(_xlfn.IFS(M6379="נח",1,M6379="נע ונח",1,M6379="שני שווא נח",2,M6379="שני שוואים בסוף מילה",2,M6379="שני שוואים ברצף",1),"0")</f>
        <v>0</v>
      </c>
      <c r="J6379" s="9">
        <f t="shared" si="403"/>
        <v>2</v>
      </c>
      <c r="K6379" t="s">
        <v>6698</v>
      </c>
      <c r="L6379" t="s">
        <v>6695</v>
      </c>
      <c r="O6379" t="s">
        <v>6694</v>
      </c>
      <c r="U6379" t="s">
        <v>6694</v>
      </c>
      <c r="W6379" t="s">
        <v>6720</v>
      </c>
    </row>
    <row r="6380" spans="1:23" ht="15.6" x14ac:dyDescent="0.4">
      <c r="A6380" s="2" t="s">
        <v>5661</v>
      </c>
      <c r="B6380" s="5" t="s">
        <v>12281</v>
      </c>
      <c r="C6380" s="7" t="s">
        <v>12556</v>
      </c>
      <c r="D6380" s="8">
        <f t="shared" si="400"/>
        <v>1</v>
      </c>
      <c r="E6380" s="7" t="s">
        <v>12557</v>
      </c>
      <c r="F6380" s="7">
        <f t="shared" si="401"/>
        <v>0</v>
      </c>
      <c r="G6380" s="7" t="s">
        <v>12558</v>
      </c>
      <c r="H6380" s="7">
        <f t="shared" si="402"/>
        <v>0</v>
      </c>
      <c r="I6380" s="7" t="str" cm="1">
        <f t="array" ref="I6380">IFERROR(_xlfn.IFS(M6380="נח",1,M6380="נע ונח",1,M6380="שני שווא נח",2,M6380="שני שוואים בסוף מילה",2,M6380="שני שוואים ברצף",1),"0")</f>
        <v>0</v>
      </c>
      <c r="J6380" s="9">
        <f t="shared" si="403"/>
        <v>2</v>
      </c>
      <c r="K6380" t="s">
        <v>6698</v>
      </c>
      <c r="L6380" t="s">
        <v>6695</v>
      </c>
      <c r="O6380" t="s">
        <v>6694</v>
      </c>
      <c r="S6380" t="s">
        <v>6694</v>
      </c>
      <c r="W6380" t="s">
        <v>6720</v>
      </c>
    </row>
    <row r="6381" spans="1:23" ht="15.6" x14ac:dyDescent="0.4">
      <c r="A6381" s="2" t="s">
        <v>6064</v>
      </c>
      <c r="B6381" s="5" t="s">
        <v>12282</v>
      </c>
      <c r="C6381" s="7" t="s">
        <v>12556</v>
      </c>
      <c r="D6381" s="8">
        <f t="shared" si="400"/>
        <v>1</v>
      </c>
      <c r="E6381" s="7" t="s">
        <v>12557</v>
      </c>
      <c r="F6381" s="7">
        <f t="shared" si="401"/>
        <v>1</v>
      </c>
      <c r="G6381" s="7" t="s">
        <v>12558</v>
      </c>
      <c r="H6381" s="7">
        <f t="shared" si="402"/>
        <v>1</v>
      </c>
      <c r="I6381" s="7" t="str" cm="1">
        <f t="array" ref="I6381">IFERROR(_xlfn.IFS(M6381="נח",1,M6381="נע ונח",1,M6381="שני שווא נח",2,M6381="שני שוואים בסוף מילה",2,M6381="שני שוואים ברצף",1),"0")</f>
        <v>0</v>
      </c>
      <c r="J6381" s="9">
        <f t="shared" si="403"/>
        <v>2</v>
      </c>
      <c r="K6381" t="s">
        <v>6698</v>
      </c>
      <c r="L6381" t="s">
        <v>6695</v>
      </c>
      <c r="O6381" t="s">
        <v>6694</v>
      </c>
      <c r="U6381" t="s">
        <v>6694</v>
      </c>
      <c r="W6381" t="s">
        <v>6720</v>
      </c>
    </row>
    <row r="6382" spans="1:23" ht="15.6" x14ac:dyDescent="0.4">
      <c r="A6382" s="2" t="s">
        <v>4842</v>
      </c>
      <c r="B6382" s="5" t="s">
        <v>12283</v>
      </c>
      <c r="C6382" s="7" t="s">
        <v>12556</v>
      </c>
      <c r="D6382" s="8">
        <f t="shared" si="400"/>
        <v>0</v>
      </c>
      <c r="E6382" s="7" t="s">
        <v>12557</v>
      </c>
      <c r="F6382" s="7">
        <f t="shared" si="401"/>
        <v>0</v>
      </c>
      <c r="G6382" s="7" t="s">
        <v>12558</v>
      </c>
      <c r="H6382" s="7">
        <f t="shared" si="402"/>
        <v>0</v>
      </c>
      <c r="I6382" s="7" t="str" cm="1">
        <f t="array" ref="I6382">IFERROR(_xlfn.IFS(M6382="נח",1,M6382="נע ונח",1,M6382="שני שווא נח",2,M6382="שני שוואים בסוף מילה",2,M6382="שני שוואים ברצף",1),"0")</f>
        <v>0</v>
      </c>
      <c r="J6382" s="9">
        <f t="shared" si="403"/>
        <v>1</v>
      </c>
      <c r="K6382" t="s">
        <v>6698</v>
      </c>
      <c r="L6382" t="s">
        <v>6695</v>
      </c>
      <c r="V6382" t="s">
        <v>6694</v>
      </c>
      <c r="W6382" t="s">
        <v>6720</v>
      </c>
    </row>
    <row r="6383" spans="1:23" ht="15.6" x14ac:dyDescent="0.4">
      <c r="A6383" s="2" t="s">
        <v>3165</v>
      </c>
      <c r="B6383" s="5" t="s">
        <v>12284</v>
      </c>
      <c r="C6383" s="7" t="s">
        <v>12556</v>
      </c>
      <c r="D6383" s="8">
        <f t="shared" si="400"/>
        <v>0</v>
      </c>
      <c r="E6383" s="7" t="s">
        <v>12557</v>
      </c>
      <c r="F6383" s="7">
        <f t="shared" si="401"/>
        <v>2</v>
      </c>
      <c r="G6383" s="7" t="s">
        <v>12558</v>
      </c>
      <c r="H6383" s="7">
        <f t="shared" si="402"/>
        <v>0</v>
      </c>
      <c r="I6383" s="7" t="str" cm="1">
        <f t="array" ref="I6383">IFERROR(_xlfn.IFS(M6383="נח",1,M6383="נע ונח",1,M6383="שני שווא נח",2,M6383="שני שוואים בסוף מילה",2,M6383="שני שוואים ברצף",1),"0")</f>
        <v>0</v>
      </c>
      <c r="J6383" s="9">
        <f t="shared" si="403"/>
        <v>3</v>
      </c>
      <c r="K6383" t="s">
        <v>6698</v>
      </c>
      <c r="L6383" t="s">
        <v>6694</v>
      </c>
      <c r="M6383" t="s">
        <v>6700</v>
      </c>
      <c r="P6383" t="s">
        <v>6694</v>
      </c>
      <c r="Q6383" t="s">
        <v>6694</v>
      </c>
      <c r="W6383" t="s">
        <v>6720</v>
      </c>
    </row>
    <row r="6384" spans="1:23" ht="15.6" x14ac:dyDescent="0.4">
      <c r="A6384" s="2" t="s">
        <v>6368</v>
      </c>
      <c r="B6384" s="5" t="s">
        <v>12285</v>
      </c>
      <c r="C6384" s="7" t="s">
        <v>12556</v>
      </c>
      <c r="D6384" s="8">
        <f t="shared" si="400"/>
        <v>0</v>
      </c>
      <c r="E6384" s="7" t="s">
        <v>12557</v>
      </c>
      <c r="F6384" s="7">
        <f t="shared" si="401"/>
        <v>1</v>
      </c>
      <c r="G6384" s="7" t="s">
        <v>12558</v>
      </c>
      <c r="H6384" s="7">
        <f t="shared" si="402"/>
        <v>0</v>
      </c>
      <c r="I6384" s="7" t="str" cm="1">
        <f t="array" ref="I6384">IFERROR(_xlfn.IFS(M6384="נח",1,M6384="נע ונח",1,M6384="שני שווא נח",2,M6384="שני שוואים בסוף מילה",2,M6384="שני שוואים ברצף",1),"0")</f>
        <v>0</v>
      </c>
      <c r="J6384" s="9">
        <f t="shared" si="403"/>
        <v>3</v>
      </c>
      <c r="K6384" t="s">
        <v>6698</v>
      </c>
      <c r="L6384" t="s">
        <v>6694</v>
      </c>
      <c r="M6384" t="s">
        <v>6700</v>
      </c>
      <c r="P6384" t="s">
        <v>6694</v>
      </c>
      <c r="W6384" t="s">
        <v>6720</v>
      </c>
    </row>
    <row r="6385" spans="1:23" ht="15.6" x14ac:dyDescent="0.4">
      <c r="A6385" s="2" t="s">
        <v>5999</v>
      </c>
      <c r="B6385" s="5" t="s">
        <v>12286</v>
      </c>
      <c r="C6385" s="7" t="s">
        <v>12556</v>
      </c>
      <c r="D6385" s="8">
        <f t="shared" si="400"/>
        <v>1</v>
      </c>
      <c r="E6385" s="7" t="s">
        <v>12557</v>
      </c>
      <c r="F6385" s="7">
        <f t="shared" si="401"/>
        <v>1</v>
      </c>
      <c r="G6385" s="7" t="s">
        <v>12558</v>
      </c>
      <c r="H6385" s="7">
        <f t="shared" si="402"/>
        <v>0</v>
      </c>
      <c r="I6385" s="7" t="str" cm="1">
        <f t="array" ref="I6385">IFERROR(_xlfn.IFS(M6385="נח",1,M6385="נע ונח",1,M6385="שני שווא נח",2,M6385="שני שוואים בסוף מילה",2,M6385="שני שוואים ברצף",1),"0")</f>
        <v>0</v>
      </c>
      <c r="J6385" s="9">
        <f t="shared" si="403"/>
        <v>4</v>
      </c>
      <c r="K6385" t="s">
        <v>6697</v>
      </c>
      <c r="L6385" t="s">
        <v>6694</v>
      </c>
      <c r="M6385" t="s">
        <v>6700</v>
      </c>
      <c r="Q6385" t="s">
        <v>6694</v>
      </c>
      <c r="S6385" t="s">
        <v>6694</v>
      </c>
      <c r="W6385" t="s">
        <v>6720</v>
      </c>
    </row>
    <row r="6386" spans="1:23" ht="15.6" x14ac:dyDescent="0.4">
      <c r="A6386" s="2" t="s">
        <v>600</v>
      </c>
      <c r="B6386" s="5" t="s">
        <v>12287</v>
      </c>
      <c r="C6386" s="7" t="s">
        <v>12556</v>
      </c>
      <c r="D6386" s="8">
        <f t="shared" si="400"/>
        <v>1</v>
      </c>
      <c r="E6386" s="7" t="s">
        <v>12557</v>
      </c>
      <c r="F6386" s="7">
        <f t="shared" si="401"/>
        <v>2</v>
      </c>
      <c r="G6386" s="7" t="s">
        <v>12558</v>
      </c>
      <c r="H6386" s="7">
        <f t="shared" si="402"/>
        <v>1</v>
      </c>
      <c r="I6386" s="7" cm="1">
        <f t="array" ref="I6386">IFERROR(_xlfn.IFS(M6386="נח",1,M6386="נע ונח",1,M6386="שני שווא נח",2,M6386="שני שוואים בסוף מילה",2,M6386="שני שוואים ברצף",1),"0")</f>
        <v>1</v>
      </c>
      <c r="J6386" s="9">
        <f t="shared" si="403"/>
        <v>3</v>
      </c>
      <c r="K6386" t="s">
        <v>6697</v>
      </c>
      <c r="L6386" t="s">
        <v>6694</v>
      </c>
      <c r="M6386" t="s">
        <v>6701</v>
      </c>
      <c r="P6386" t="s">
        <v>6694</v>
      </c>
      <c r="U6386" t="s">
        <v>6694</v>
      </c>
      <c r="W6386" t="s">
        <v>6720</v>
      </c>
    </row>
    <row r="6387" spans="1:23" ht="15.6" x14ac:dyDescent="0.4">
      <c r="A6387" s="2" t="s">
        <v>879</v>
      </c>
      <c r="B6387" s="5" t="s">
        <v>12210</v>
      </c>
      <c r="C6387" s="7" t="s">
        <v>12556</v>
      </c>
      <c r="D6387" s="8">
        <f t="shared" si="400"/>
        <v>0</v>
      </c>
      <c r="E6387" s="7" t="s">
        <v>12557</v>
      </c>
      <c r="F6387" s="7">
        <f t="shared" si="401"/>
        <v>1</v>
      </c>
      <c r="G6387" s="7" t="s">
        <v>12558</v>
      </c>
      <c r="H6387" s="7">
        <f t="shared" si="402"/>
        <v>0</v>
      </c>
      <c r="I6387" s="7" cm="1">
        <f t="array" ref="I6387">IFERROR(_xlfn.IFS(M6387="נח",1,M6387="נע ונח",1,M6387="שני שווא נח",2,M6387="שני שוואים בסוף מילה",2,M6387="שני שוואים ברצף",1),"0")</f>
        <v>1</v>
      </c>
      <c r="J6387" s="9">
        <f t="shared" si="403"/>
        <v>3</v>
      </c>
      <c r="K6387" t="s">
        <v>6698</v>
      </c>
      <c r="L6387" t="s">
        <v>6694</v>
      </c>
      <c r="M6387" t="s">
        <v>6701</v>
      </c>
      <c r="O6387" t="s">
        <v>6694</v>
      </c>
      <c r="Q6387" t="s">
        <v>6694</v>
      </c>
      <c r="W6387" t="s">
        <v>6720</v>
      </c>
    </row>
    <row r="6388" spans="1:23" ht="15.6" x14ac:dyDescent="0.4">
      <c r="A6388" s="2" t="s">
        <v>3749</v>
      </c>
      <c r="B6388" s="5" t="s">
        <v>12288</v>
      </c>
      <c r="C6388" s="7" t="s">
        <v>12556</v>
      </c>
      <c r="D6388" s="8">
        <f t="shared" si="400"/>
        <v>0</v>
      </c>
      <c r="E6388" s="7" t="s">
        <v>12557</v>
      </c>
      <c r="F6388" s="7">
        <f t="shared" si="401"/>
        <v>1</v>
      </c>
      <c r="G6388" s="7" t="s">
        <v>12558</v>
      </c>
      <c r="H6388" s="7">
        <f t="shared" si="402"/>
        <v>0</v>
      </c>
      <c r="I6388" s="7" t="str" cm="1">
        <f t="array" ref="I6388">IFERROR(_xlfn.IFS(M6388="נח",1,M6388="נע ונח",1,M6388="שני שווא נח",2,M6388="שני שוואים בסוף מילה",2,M6388="שני שוואים ברצף",1),"0")</f>
        <v>0</v>
      </c>
      <c r="J6388" s="9">
        <f t="shared" si="403"/>
        <v>4</v>
      </c>
      <c r="K6388" t="s">
        <v>6697</v>
      </c>
      <c r="L6388" t="s">
        <v>6694</v>
      </c>
      <c r="M6388" t="s">
        <v>6700</v>
      </c>
      <c r="O6388" t="s">
        <v>6694</v>
      </c>
      <c r="R6388" t="s">
        <v>6694</v>
      </c>
      <c r="V6388" t="s">
        <v>6694</v>
      </c>
      <c r="W6388" t="s">
        <v>6720</v>
      </c>
    </row>
    <row r="6389" spans="1:23" ht="15.6" x14ac:dyDescent="0.4">
      <c r="A6389" s="2" t="s">
        <v>972</v>
      </c>
      <c r="B6389" s="5" t="s">
        <v>12289</v>
      </c>
      <c r="C6389" s="7" t="s">
        <v>12556</v>
      </c>
      <c r="D6389" s="8">
        <f t="shared" si="400"/>
        <v>0</v>
      </c>
      <c r="E6389" s="7" t="s">
        <v>12557</v>
      </c>
      <c r="F6389" s="7">
        <f t="shared" si="401"/>
        <v>2</v>
      </c>
      <c r="G6389" s="7" t="s">
        <v>12558</v>
      </c>
      <c r="H6389" s="7">
        <f t="shared" si="402"/>
        <v>1</v>
      </c>
      <c r="I6389" s="7" t="str" cm="1">
        <f t="array" ref="I6389">IFERROR(_xlfn.IFS(M6389="נח",1,M6389="נע ונח",1,M6389="שני שווא נח",2,M6389="שני שוואים בסוף מילה",2,M6389="שני שוואים ברצף",1),"0")</f>
        <v>0</v>
      </c>
      <c r="J6389" s="9">
        <f t="shared" si="403"/>
        <v>4</v>
      </c>
      <c r="K6389" t="s">
        <v>6697</v>
      </c>
      <c r="L6389" t="s">
        <v>6694</v>
      </c>
      <c r="M6389" t="s">
        <v>6700</v>
      </c>
      <c r="Q6389" t="s">
        <v>6694</v>
      </c>
      <c r="U6389" t="s">
        <v>6694</v>
      </c>
      <c r="V6389" t="s">
        <v>6694</v>
      </c>
      <c r="W6389" t="s">
        <v>6720</v>
      </c>
    </row>
    <row r="6390" spans="1:23" ht="15.6" x14ac:dyDescent="0.4">
      <c r="A6390" s="2" t="s">
        <v>856</v>
      </c>
      <c r="B6390" s="5" t="s">
        <v>12290</v>
      </c>
      <c r="C6390" s="7" t="s">
        <v>12556</v>
      </c>
      <c r="D6390" s="8">
        <f t="shared" si="400"/>
        <v>0</v>
      </c>
      <c r="E6390" s="7" t="s">
        <v>12557</v>
      </c>
      <c r="F6390" s="7">
        <f t="shared" si="401"/>
        <v>1</v>
      </c>
      <c r="G6390" s="7" t="s">
        <v>12558</v>
      </c>
      <c r="H6390" s="7">
        <f t="shared" si="402"/>
        <v>0</v>
      </c>
      <c r="I6390" s="7" t="str" cm="1">
        <f t="array" ref="I6390">IFERROR(_xlfn.IFS(M6390="נח",1,M6390="נע ונח",1,M6390="שני שווא נח",2,M6390="שני שוואים בסוף מילה",2,M6390="שני שוואים ברצף",1),"0")</f>
        <v>0</v>
      </c>
      <c r="J6390" s="9">
        <f t="shared" si="403"/>
        <v>4</v>
      </c>
      <c r="K6390" t="s">
        <v>6697</v>
      </c>
      <c r="L6390" t="s">
        <v>6694</v>
      </c>
      <c r="M6390" t="s">
        <v>6700</v>
      </c>
      <c r="Q6390" t="s">
        <v>6694</v>
      </c>
      <c r="S6390" t="s">
        <v>6694</v>
      </c>
      <c r="V6390" t="s">
        <v>6694</v>
      </c>
      <c r="W6390" t="s">
        <v>6720</v>
      </c>
    </row>
    <row r="6391" spans="1:23" ht="15.6" x14ac:dyDescent="0.4">
      <c r="A6391" s="2" t="s">
        <v>4801</v>
      </c>
      <c r="B6391" s="5" t="s">
        <v>12291</v>
      </c>
      <c r="C6391" s="7" t="s">
        <v>12556</v>
      </c>
      <c r="D6391" s="8">
        <f t="shared" si="400"/>
        <v>1</v>
      </c>
      <c r="E6391" s="7" t="s">
        <v>12557</v>
      </c>
      <c r="F6391" s="7">
        <f t="shared" si="401"/>
        <v>1</v>
      </c>
      <c r="G6391" s="7" t="s">
        <v>12558</v>
      </c>
      <c r="H6391" s="7">
        <f t="shared" si="402"/>
        <v>0</v>
      </c>
      <c r="I6391" s="7" t="str" cm="1">
        <f t="array" ref="I6391">IFERROR(_xlfn.IFS(M6391="נח",1,M6391="נע ונח",1,M6391="שני שווא נח",2,M6391="שני שוואים בסוף מילה",2,M6391="שני שוואים ברצף",1),"0")</f>
        <v>0</v>
      </c>
      <c r="J6391" s="9">
        <f t="shared" si="403"/>
        <v>3</v>
      </c>
      <c r="K6391" t="s">
        <v>6698</v>
      </c>
      <c r="L6391" t="s">
        <v>6694</v>
      </c>
      <c r="M6391" t="s">
        <v>6700</v>
      </c>
      <c r="O6391" t="s">
        <v>6694</v>
      </c>
      <c r="Q6391" t="s">
        <v>6694</v>
      </c>
      <c r="W6391" t="s">
        <v>6720</v>
      </c>
    </row>
    <row r="6392" spans="1:23" ht="15.6" x14ac:dyDescent="0.4">
      <c r="A6392" s="2" t="s">
        <v>4668</v>
      </c>
      <c r="B6392" s="5" t="s">
        <v>12292</v>
      </c>
      <c r="C6392" s="7" t="s">
        <v>12556</v>
      </c>
      <c r="D6392" s="8">
        <f t="shared" si="400"/>
        <v>0</v>
      </c>
      <c r="E6392" s="7" t="s">
        <v>12557</v>
      </c>
      <c r="F6392" s="7">
        <f t="shared" si="401"/>
        <v>3</v>
      </c>
      <c r="G6392" s="7" t="s">
        <v>12558</v>
      </c>
      <c r="H6392" s="7">
        <f t="shared" si="402"/>
        <v>1</v>
      </c>
      <c r="I6392" s="7" cm="1">
        <f t="array" ref="I6392">IFERROR(_xlfn.IFS(M6392="נח",1,M6392="נע ונח",1,M6392="שני שווא נח",2,M6392="שני שוואים בסוף מילה",2,M6392="שני שוואים ברצף",1),"0")</f>
        <v>1</v>
      </c>
      <c r="J6392" s="9">
        <f t="shared" si="403"/>
        <v>3</v>
      </c>
      <c r="K6392" t="s">
        <v>6697</v>
      </c>
      <c r="L6392" t="s">
        <v>6694</v>
      </c>
      <c r="M6392" t="s">
        <v>6701</v>
      </c>
      <c r="P6392" t="s">
        <v>6694</v>
      </c>
      <c r="U6392" t="s">
        <v>6694</v>
      </c>
      <c r="W6392" t="s">
        <v>6720</v>
      </c>
    </row>
    <row r="6393" spans="1:23" ht="15.6" x14ac:dyDescent="0.4">
      <c r="A6393" s="2" t="s">
        <v>2554</v>
      </c>
      <c r="B6393" s="5" t="s">
        <v>12213</v>
      </c>
      <c r="C6393" s="7" t="s">
        <v>12556</v>
      </c>
      <c r="D6393" s="8">
        <f t="shared" si="400"/>
        <v>0</v>
      </c>
      <c r="E6393" s="7" t="s">
        <v>12557</v>
      </c>
      <c r="F6393" s="7">
        <f t="shared" si="401"/>
        <v>2</v>
      </c>
      <c r="G6393" s="7" t="s">
        <v>12558</v>
      </c>
      <c r="H6393" s="7">
        <f t="shared" si="402"/>
        <v>0</v>
      </c>
      <c r="I6393" s="7" t="str" cm="1">
        <f t="array" ref="I6393">IFERROR(_xlfn.IFS(M6393="נח",1,M6393="נע ונח",1,M6393="שני שווא נח",2,M6393="שני שוואים בסוף מילה",2,M6393="שני שוואים ברצף",1),"0")</f>
        <v>0</v>
      </c>
      <c r="J6393" s="9">
        <f t="shared" si="403"/>
        <v>3</v>
      </c>
      <c r="K6393" t="s">
        <v>6698</v>
      </c>
      <c r="L6393" t="s">
        <v>6694</v>
      </c>
      <c r="M6393" t="s">
        <v>6700</v>
      </c>
      <c r="P6393" t="s">
        <v>6694</v>
      </c>
      <c r="Q6393" t="s">
        <v>6694</v>
      </c>
      <c r="W6393" t="s">
        <v>6720</v>
      </c>
    </row>
    <row r="6394" spans="1:23" ht="15.6" x14ac:dyDescent="0.4">
      <c r="A6394" s="2" t="s">
        <v>4128</v>
      </c>
      <c r="B6394" s="5" t="s">
        <v>12293</v>
      </c>
      <c r="C6394" s="7" t="s">
        <v>12556</v>
      </c>
      <c r="D6394" s="8">
        <f t="shared" si="400"/>
        <v>0</v>
      </c>
      <c r="E6394" s="7" t="s">
        <v>12557</v>
      </c>
      <c r="F6394" s="7">
        <f t="shared" si="401"/>
        <v>3</v>
      </c>
      <c r="G6394" s="7" t="s">
        <v>12558</v>
      </c>
      <c r="H6394" s="7">
        <f t="shared" si="402"/>
        <v>1</v>
      </c>
      <c r="I6394" s="7" t="str" cm="1">
        <f t="array" ref="I6394">IFERROR(_xlfn.IFS(M6394="נח",1,M6394="נע ונח",1,M6394="שני שווא נח",2,M6394="שני שוואים בסוף מילה",2,M6394="שני שוואים ברצף",1),"0")</f>
        <v>0</v>
      </c>
      <c r="J6394" s="9">
        <f t="shared" si="403"/>
        <v>4</v>
      </c>
      <c r="K6394" t="s">
        <v>6698</v>
      </c>
      <c r="L6394" t="s">
        <v>6694</v>
      </c>
      <c r="M6394" t="s">
        <v>6700</v>
      </c>
      <c r="P6394" t="s">
        <v>6694</v>
      </c>
      <c r="Q6394" t="s">
        <v>6694</v>
      </c>
      <c r="U6394" t="s">
        <v>6694</v>
      </c>
      <c r="W6394" t="s">
        <v>6720</v>
      </c>
    </row>
    <row r="6395" spans="1:23" ht="15.6" x14ac:dyDescent="0.4">
      <c r="A6395" s="2" t="s">
        <v>4642</v>
      </c>
      <c r="B6395" s="5" t="s">
        <v>12294</v>
      </c>
      <c r="C6395" s="7" t="s">
        <v>12556</v>
      </c>
      <c r="D6395" s="8">
        <f t="shared" si="400"/>
        <v>0</v>
      </c>
      <c r="E6395" s="7" t="s">
        <v>12557</v>
      </c>
      <c r="F6395" s="7">
        <f t="shared" si="401"/>
        <v>1</v>
      </c>
      <c r="G6395" s="7" t="s">
        <v>12558</v>
      </c>
      <c r="H6395" s="7">
        <f t="shared" si="402"/>
        <v>0</v>
      </c>
      <c r="I6395" s="7" t="str" cm="1">
        <f t="array" ref="I6395">IFERROR(_xlfn.IFS(M6395="נח",1,M6395="נע ונח",1,M6395="שני שווא נח",2,M6395="שני שוואים בסוף מילה",2,M6395="שני שוואים ברצף",1),"0")</f>
        <v>0</v>
      </c>
      <c r="J6395" s="9">
        <f t="shared" si="403"/>
        <v>2</v>
      </c>
      <c r="K6395" t="s">
        <v>6697</v>
      </c>
      <c r="L6395" t="s">
        <v>6694</v>
      </c>
      <c r="M6395" t="s">
        <v>6700</v>
      </c>
      <c r="S6395" t="s">
        <v>6694</v>
      </c>
      <c r="W6395" t="s">
        <v>6720</v>
      </c>
    </row>
    <row r="6396" spans="1:23" ht="15.6" x14ac:dyDescent="0.4">
      <c r="A6396" s="2" t="s">
        <v>1438</v>
      </c>
      <c r="B6396" s="5" t="s">
        <v>12214</v>
      </c>
      <c r="C6396" s="7" t="s">
        <v>12556</v>
      </c>
      <c r="D6396" s="8">
        <f t="shared" si="400"/>
        <v>0</v>
      </c>
      <c r="E6396" s="7" t="s">
        <v>12557</v>
      </c>
      <c r="F6396" s="7">
        <f t="shared" si="401"/>
        <v>2</v>
      </c>
      <c r="G6396" s="7" t="s">
        <v>12558</v>
      </c>
      <c r="H6396" s="7">
        <f t="shared" si="402"/>
        <v>0</v>
      </c>
      <c r="I6396" s="7" t="str" cm="1">
        <f t="array" ref="I6396">IFERROR(_xlfn.IFS(M6396="נח",1,M6396="נע ונח",1,M6396="שני שווא נח",2,M6396="שני שוואים בסוף מילה",2,M6396="שני שוואים ברצף",1),"0")</f>
        <v>0</v>
      </c>
      <c r="J6396" s="9">
        <f t="shared" si="403"/>
        <v>3</v>
      </c>
      <c r="K6396" t="s">
        <v>6697</v>
      </c>
      <c r="L6396" t="s">
        <v>6694</v>
      </c>
      <c r="M6396" t="s">
        <v>6700</v>
      </c>
      <c r="O6396" t="s">
        <v>6694</v>
      </c>
      <c r="S6396" t="s">
        <v>6694</v>
      </c>
      <c r="W6396" t="s">
        <v>6720</v>
      </c>
    </row>
    <row r="6397" spans="1:23" ht="15.6" x14ac:dyDescent="0.4">
      <c r="A6397" s="2" t="s">
        <v>2415</v>
      </c>
      <c r="B6397" s="5" t="s">
        <v>12295</v>
      </c>
      <c r="C6397" s="7" t="s">
        <v>12556</v>
      </c>
      <c r="D6397" s="8">
        <f t="shared" si="400"/>
        <v>0</v>
      </c>
      <c r="E6397" s="7" t="s">
        <v>12557</v>
      </c>
      <c r="F6397" s="7">
        <f t="shared" si="401"/>
        <v>2</v>
      </c>
      <c r="G6397" s="7" t="s">
        <v>12558</v>
      </c>
      <c r="H6397" s="7">
        <f t="shared" si="402"/>
        <v>0</v>
      </c>
      <c r="I6397" s="7" t="str" cm="1">
        <f t="array" ref="I6397">IFERROR(_xlfn.IFS(M6397="נח",1,M6397="נע ונח",1,M6397="שני שווא נח",2,M6397="שני שוואים בסוף מילה",2,M6397="שני שוואים ברצף",1),"0")</f>
        <v>0</v>
      </c>
      <c r="J6397" s="9">
        <f t="shared" si="403"/>
        <v>5</v>
      </c>
      <c r="K6397" t="s">
        <v>6697</v>
      </c>
      <c r="L6397" t="s">
        <v>6694</v>
      </c>
      <c r="M6397" t="s">
        <v>6700</v>
      </c>
      <c r="O6397" t="s">
        <v>6694</v>
      </c>
      <c r="R6397" t="s">
        <v>6694</v>
      </c>
      <c r="S6397" t="s">
        <v>6694</v>
      </c>
      <c r="W6397" t="s">
        <v>6720</v>
      </c>
    </row>
    <row r="6398" spans="1:23" ht="15.6" x14ac:dyDescent="0.4">
      <c r="A6398" s="2" t="s">
        <v>486</v>
      </c>
      <c r="B6398" s="5" t="s">
        <v>12296</v>
      </c>
      <c r="C6398" s="7" t="s">
        <v>12556</v>
      </c>
      <c r="D6398" s="8">
        <f t="shared" si="400"/>
        <v>0</v>
      </c>
      <c r="E6398" s="7" t="s">
        <v>12557</v>
      </c>
      <c r="F6398" s="7">
        <f t="shared" si="401"/>
        <v>2</v>
      </c>
      <c r="G6398" s="7" t="s">
        <v>12558</v>
      </c>
      <c r="H6398" s="7">
        <f t="shared" si="402"/>
        <v>0</v>
      </c>
      <c r="I6398" s="7" t="str" cm="1">
        <f t="array" ref="I6398">IFERROR(_xlfn.IFS(M6398="נח",1,M6398="נע ונח",1,M6398="שני שווא נח",2,M6398="שני שוואים בסוף מילה",2,M6398="שני שוואים ברצף",1),"0")</f>
        <v>0</v>
      </c>
      <c r="J6398" s="9">
        <f t="shared" si="403"/>
        <v>5</v>
      </c>
      <c r="K6398" t="s">
        <v>6697</v>
      </c>
      <c r="L6398" t="s">
        <v>6694</v>
      </c>
      <c r="M6398" t="s">
        <v>6700</v>
      </c>
      <c r="O6398" t="s">
        <v>6694</v>
      </c>
      <c r="R6398" t="s">
        <v>6694</v>
      </c>
      <c r="S6398" t="s">
        <v>6694</v>
      </c>
      <c r="W6398" t="s">
        <v>6720</v>
      </c>
    </row>
    <row r="6399" spans="1:23" ht="15.6" x14ac:dyDescent="0.4">
      <c r="A6399" s="2" t="s">
        <v>1181</v>
      </c>
      <c r="B6399" s="5" t="s">
        <v>12297</v>
      </c>
      <c r="C6399" s="7" t="s">
        <v>12556</v>
      </c>
      <c r="D6399" s="8">
        <f t="shared" si="400"/>
        <v>0</v>
      </c>
      <c r="E6399" s="7" t="s">
        <v>12557</v>
      </c>
      <c r="F6399" s="7">
        <f t="shared" si="401"/>
        <v>2</v>
      </c>
      <c r="G6399" s="7" t="s">
        <v>12558</v>
      </c>
      <c r="H6399" s="7">
        <f t="shared" si="402"/>
        <v>0</v>
      </c>
      <c r="I6399" s="7" t="str" cm="1">
        <f t="array" ref="I6399">IFERROR(_xlfn.IFS(M6399="נח",1,M6399="נע ונח",1,M6399="שני שווא נח",2,M6399="שני שוואים בסוף מילה",2,M6399="שני שוואים ברצף",1),"0")</f>
        <v>0</v>
      </c>
      <c r="J6399" s="9">
        <f t="shared" si="403"/>
        <v>4</v>
      </c>
      <c r="K6399" t="s">
        <v>6697</v>
      </c>
      <c r="L6399" t="s">
        <v>6694</v>
      </c>
      <c r="M6399" t="s">
        <v>6700</v>
      </c>
      <c r="O6399" t="s">
        <v>6694</v>
      </c>
      <c r="S6399" t="s">
        <v>6694</v>
      </c>
      <c r="V6399" t="s">
        <v>6694</v>
      </c>
      <c r="W6399" t="s">
        <v>6720</v>
      </c>
    </row>
    <row r="6400" spans="1:23" ht="15.6" x14ac:dyDescent="0.4">
      <c r="A6400" s="2" t="s">
        <v>9</v>
      </c>
      <c r="B6400" s="5" t="s">
        <v>12298</v>
      </c>
      <c r="C6400" s="7" t="s">
        <v>12556</v>
      </c>
      <c r="D6400" s="8">
        <f t="shared" si="400"/>
        <v>0</v>
      </c>
      <c r="E6400" s="7" t="s">
        <v>12557</v>
      </c>
      <c r="F6400" s="7">
        <f t="shared" si="401"/>
        <v>2</v>
      </c>
      <c r="G6400" s="7" t="s">
        <v>12558</v>
      </c>
      <c r="H6400" s="7">
        <f t="shared" si="402"/>
        <v>0</v>
      </c>
      <c r="I6400" s="7" t="str" cm="1">
        <f t="array" ref="I6400">IFERROR(_xlfn.IFS(M6400="נח",1,M6400="נע ונח",1,M6400="שני שווא נח",2,M6400="שני שוואים בסוף מילה",2,M6400="שני שוואים ברצף",1),"0")</f>
        <v>0</v>
      </c>
      <c r="J6400" s="9">
        <f t="shared" si="403"/>
        <v>3</v>
      </c>
      <c r="K6400" t="s">
        <v>6698</v>
      </c>
      <c r="L6400" t="s">
        <v>6694</v>
      </c>
      <c r="M6400" t="s">
        <v>6700</v>
      </c>
      <c r="S6400" t="s">
        <v>6694</v>
      </c>
      <c r="V6400" t="s">
        <v>6694</v>
      </c>
      <c r="W6400" t="s">
        <v>6720</v>
      </c>
    </row>
    <row r="6401" spans="1:23" ht="15.6" x14ac:dyDescent="0.4">
      <c r="A6401" s="2" t="s">
        <v>1487</v>
      </c>
      <c r="B6401" s="5" t="s">
        <v>12299</v>
      </c>
      <c r="C6401" s="7" t="s">
        <v>12556</v>
      </c>
      <c r="D6401" s="8">
        <f t="shared" si="400"/>
        <v>0</v>
      </c>
      <c r="E6401" s="7" t="s">
        <v>12557</v>
      </c>
      <c r="F6401" s="7">
        <f t="shared" si="401"/>
        <v>2</v>
      </c>
      <c r="G6401" s="7" t="s">
        <v>12558</v>
      </c>
      <c r="H6401" s="7">
        <f t="shared" si="402"/>
        <v>0</v>
      </c>
      <c r="I6401" s="7" t="str" cm="1">
        <f t="array" ref="I6401">IFERROR(_xlfn.IFS(M6401="נח",1,M6401="נע ונח",1,M6401="שני שווא נח",2,M6401="שני שוואים בסוף מילה",2,M6401="שני שוואים ברצף",1),"0")</f>
        <v>0</v>
      </c>
      <c r="J6401" s="9">
        <f t="shared" si="403"/>
        <v>3</v>
      </c>
      <c r="K6401" t="s">
        <v>6698</v>
      </c>
      <c r="L6401" t="s">
        <v>6694</v>
      </c>
      <c r="M6401" t="s">
        <v>6700</v>
      </c>
      <c r="P6401" t="s">
        <v>6694</v>
      </c>
      <c r="Q6401" t="s">
        <v>6694</v>
      </c>
      <c r="W6401" t="s">
        <v>6720</v>
      </c>
    </row>
    <row r="6402" spans="1:23" ht="15.6" x14ac:dyDescent="0.4">
      <c r="A6402" s="2" t="s">
        <v>6111</v>
      </c>
      <c r="B6402" s="5" t="s">
        <v>12216</v>
      </c>
      <c r="C6402" s="7" t="s">
        <v>12556</v>
      </c>
      <c r="D6402" s="8">
        <f t="shared" si="400"/>
        <v>0</v>
      </c>
      <c r="E6402" s="7" t="s">
        <v>12557</v>
      </c>
      <c r="F6402" s="7">
        <f t="shared" si="401"/>
        <v>1</v>
      </c>
      <c r="G6402" s="7" t="s">
        <v>12558</v>
      </c>
      <c r="H6402" s="7">
        <f t="shared" si="402"/>
        <v>0</v>
      </c>
      <c r="I6402" s="7" t="str" cm="1">
        <f t="array" ref="I6402">IFERROR(_xlfn.IFS(M6402="נח",1,M6402="נע ונח",1,M6402="שני שווא נח",2,M6402="שני שוואים בסוף מילה",2,M6402="שני שוואים ברצף",1),"0")</f>
        <v>0</v>
      </c>
      <c r="J6402" s="9">
        <f t="shared" si="403"/>
        <v>3</v>
      </c>
      <c r="K6402" t="s">
        <v>6698</v>
      </c>
      <c r="L6402" t="s">
        <v>6694</v>
      </c>
      <c r="M6402" t="s">
        <v>6700</v>
      </c>
      <c r="V6402" t="s">
        <v>6694</v>
      </c>
      <c r="W6402" t="s">
        <v>6720</v>
      </c>
    </row>
    <row r="6403" spans="1:23" ht="15.6" x14ac:dyDescent="0.4">
      <c r="A6403" s="2" t="s">
        <v>639</v>
      </c>
      <c r="B6403" s="5" t="s">
        <v>12300</v>
      </c>
      <c r="C6403" s="7" t="s">
        <v>12556</v>
      </c>
      <c r="D6403" s="8">
        <f t="shared" ref="D6403:D6466" si="404">(LEN(B6403)-LEN(SUBSTITUTE(B6403,C6403,"")))</f>
        <v>0</v>
      </c>
      <c r="E6403" s="7" t="s">
        <v>12557</v>
      </c>
      <c r="F6403" s="7">
        <f t="shared" ref="F6403:F6466" si="405">(LEN(A6403)-LEN(SUBSTITUTE(A6403,E6403,"")))</f>
        <v>1</v>
      </c>
      <c r="G6403" s="7" t="s">
        <v>12558</v>
      </c>
      <c r="H6403" s="7">
        <f t="shared" ref="H6403:H6466" si="406">(LEN(A6403)-LEN(SUBSTITUTE(A6403,G6403,"")))/2</f>
        <v>0</v>
      </c>
      <c r="I6403" s="7" t="str" cm="1">
        <f t="array" ref="I6403">IFERROR(_xlfn.IFS(M6403="נח",1,M6403="נע ונח",1,M6403="שני שווא נח",2,M6403="שני שוואים בסוף מילה",2,M6403="שני שוואים ברצף",1),"0")</f>
        <v>0</v>
      </c>
      <c r="J6403" s="9">
        <f t="shared" ref="J6403:J6466" si="407">LEN(A6403)-(LEN(B6403))-D6403-F6403+H6403-I6403</f>
        <v>2</v>
      </c>
      <c r="K6403" t="s">
        <v>6698</v>
      </c>
      <c r="L6403" t="s">
        <v>6694</v>
      </c>
      <c r="M6403" t="s">
        <v>6700</v>
      </c>
      <c r="V6403" t="s">
        <v>6694</v>
      </c>
      <c r="W6403" t="s">
        <v>6720</v>
      </c>
    </row>
    <row r="6404" spans="1:23" ht="15.6" x14ac:dyDescent="0.4">
      <c r="A6404" s="2" t="s">
        <v>6012</v>
      </c>
      <c r="B6404" s="5" t="s">
        <v>12217</v>
      </c>
      <c r="C6404" s="7" t="s">
        <v>12556</v>
      </c>
      <c r="D6404" s="8">
        <f t="shared" si="404"/>
        <v>0</v>
      </c>
      <c r="E6404" s="7" t="s">
        <v>12557</v>
      </c>
      <c r="F6404" s="7">
        <f t="shared" si="405"/>
        <v>1</v>
      </c>
      <c r="G6404" s="7" t="s">
        <v>12558</v>
      </c>
      <c r="H6404" s="7">
        <f t="shared" si="406"/>
        <v>0</v>
      </c>
      <c r="I6404" s="7" t="str" cm="1">
        <f t="array" ref="I6404">IFERROR(_xlfn.IFS(M6404="נח",1,M6404="נע ונח",1,M6404="שני שווא נח",2,M6404="שני שוואים בסוף מילה",2,M6404="שני שוואים ברצף",1),"0")</f>
        <v>0</v>
      </c>
      <c r="J6404" s="9">
        <f t="shared" si="407"/>
        <v>3</v>
      </c>
      <c r="K6404" t="s">
        <v>6698</v>
      </c>
      <c r="L6404" t="s">
        <v>6694</v>
      </c>
      <c r="M6404" t="s">
        <v>6700</v>
      </c>
      <c r="V6404" t="s">
        <v>6694</v>
      </c>
      <c r="W6404" t="s">
        <v>6720</v>
      </c>
    </row>
    <row r="6405" spans="1:23" ht="15.6" x14ac:dyDescent="0.4">
      <c r="A6405" s="2" t="s">
        <v>4293</v>
      </c>
      <c r="B6405" s="5" t="s">
        <v>12301</v>
      </c>
      <c r="C6405" s="7" t="s">
        <v>12556</v>
      </c>
      <c r="D6405" s="8">
        <f t="shared" si="404"/>
        <v>0</v>
      </c>
      <c r="E6405" s="7" t="s">
        <v>12557</v>
      </c>
      <c r="F6405" s="7">
        <f t="shared" si="405"/>
        <v>2</v>
      </c>
      <c r="G6405" s="7" t="s">
        <v>12558</v>
      </c>
      <c r="H6405" s="7">
        <f t="shared" si="406"/>
        <v>1</v>
      </c>
      <c r="I6405" s="7" t="str" cm="1">
        <f t="array" ref="I6405">IFERROR(_xlfn.IFS(M6405="נח",1,M6405="נע ונח",1,M6405="שני שווא נח",2,M6405="שני שוואים בסוף מילה",2,M6405="שני שוואים ברצף",1),"0")</f>
        <v>0</v>
      </c>
      <c r="J6405" s="9">
        <f t="shared" si="407"/>
        <v>4</v>
      </c>
      <c r="K6405" t="s">
        <v>6697</v>
      </c>
      <c r="L6405" t="s">
        <v>6694</v>
      </c>
      <c r="M6405" t="s">
        <v>6703</v>
      </c>
      <c r="U6405" t="s">
        <v>6694</v>
      </c>
      <c r="V6405" t="s">
        <v>6694</v>
      </c>
      <c r="W6405" t="s">
        <v>6720</v>
      </c>
    </row>
    <row r="6406" spans="1:23" ht="15.6" x14ac:dyDescent="0.4">
      <c r="A6406" s="2" t="s">
        <v>2371</v>
      </c>
      <c r="B6406" s="5" t="s">
        <v>12302</v>
      </c>
      <c r="C6406" s="7" t="s">
        <v>12556</v>
      </c>
      <c r="D6406" s="8">
        <f t="shared" si="404"/>
        <v>0</v>
      </c>
      <c r="E6406" s="7" t="s">
        <v>12557</v>
      </c>
      <c r="F6406" s="7">
        <f t="shared" si="405"/>
        <v>2</v>
      </c>
      <c r="G6406" s="7" t="s">
        <v>12558</v>
      </c>
      <c r="H6406" s="7">
        <f t="shared" si="406"/>
        <v>0</v>
      </c>
      <c r="I6406" s="7" t="str" cm="1">
        <f t="array" ref="I6406">IFERROR(_xlfn.IFS(M6406="נח",1,M6406="נע ונח",1,M6406="שני שווא נח",2,M6406="שני שוואים בסוף מילה",2,M6406="שני שוואים ברצף",1),"0")</f>
        <v>0</v>
      </c>
      <c r="J6406" s="9">
        <f t="shared" si="407"/>
        <v>4</v>
      </c>
      <c r="K6406" t="s">
        <v>6697</v>
      </c>
      <c r="L6406" t="s">
        <v>6694</v>
      </c>
      <c r="M6406" t="s">
        <v>6700</v>
      </c>
      <c r="O6406" t="s">
        <v>6694</v>
      </c>
      <c r="S6406" t="s">
        <v>6694</v>
      </c>
      <c r="W6406" t="s">
        <v>6720</v>
      </c>
    </row>
    <row r="6407" spans="1:23" ht="15.6" x14ac:dyDescent="0.4">
      <c r="A6407" s="2" t="s">
        <v>3332</v>
      </c>
      <c r="B6407" s="5" t="s">
        <v>12303</v>
      </c>
      <c r="C6407" s="7" t="s">
        <v>12556</v>
      </c>
      <c r="D6407" s="8">
        <f t="shared" si="404"/>
        <v>0</v>
      </c>
      <c r="E6407" s="7" t="s">
        <v>12557</v>
      </c>
      <c r="F6407" s="7">
        <f t="shared" si="405"/>
        <v>3</v>
      </c>
      <c r="G6407" s="7" t="s">
        <v>12558</v>
      </c>
      <c r="H6407" s="7">
        <f t="shared" si="406"/>
        <v>1</v>
      </c>
      <c r="I6407" s="7" t="str" cm="1">
        <f t="array" ref="I6407">IFERROR(_xlfn.IFS(M6407="נח",1,M6407="נע ונח",1,M6407="שני שווא נח",2,M6407="שני שוואים בסוף מילה",2,M6407="שני שוואים ברצף",1),"0")</f>
        <v>0</v>
      </c>
      <c r="J6407" s="9">
        <f t="shared" si="407"/>
        <v>4</v>
      </c>
      <c r="K6407" t="s">
        <v>6697</v>
      </c>
      <c r="L6407" t="s">
        <v>6694</v>
      </c>
      <c r="M6407" t="s">
        <v>6700</v>
      </c>
      <c r="P6407" t="s">
        <v>6694</v>
      </c>
      <c r="Q6407" t="s">
        <v>6694</v>
      </c>
      <c r="U6407" t="s">
        <v>6694</v>
      </c>
      <c r="W6407" t="s">
        <v>6720</v>
      </c>
    </row>
    <row r="6408" spans="1:23" ht="15.6" x14ac:dyDescent="0.4">
      <c r="A6408" s="2" t="s">
        <v>3897</v>
      </c>
      <c r="B6408" s="5" t="s">
        <v>12304</v>
      </c>
      <c r="C6408" s="7" t="s">
        <v>12556</v>
      </c>
      <c r="D6408" s="8">
        <f t="shared" si="404"/>
        <v>0</v>
      </c>
      <c r="E6408" s="7" t="s">
        <v>12557</v>
      </c>
      <c r="F6408" s="7">
        <f t="shared" si="405"/>
        <v>2</v>
      </c>
      <c r="G6408" s="7" t="s">
        <v>12558</v>
      </c>
      <c r="H6408" s="7">
        <f t="shared" si="406"/>
        <v>0</v>
      </c>
      <c r="I6408" s="7" cm="1">
        <f t="array" ref="I6408">IFERROR(_xlfn.IFS(M6408="נח",1,M6408="נע ונח",1,M6408="שני שווא נח",2,M6408="שני שוואים בסוף מילה",2,M6408="שני שוואים ברצף",1),"0")</f>
        <v>1</v>
      </c>
      <c r="J6408" s="9">
        <f t="shared" si="407"/>
        <v>4</v>
      </c>
      <c r="K6408" t="s">
        <v>6697</v>
      </c>
      <c r="L6408" t="s">
        <v>6694</v>
      </c>
      <c r="M6408" t="s">
        <v>6701</v>
      </c>
      <c r="P6408" t="s">
        <v>6694</v>
      </c>
      <c r="Q6408" t="s">
        <v>6694</v>
      </c>
      <c r="S6408" t="s">
        <v>6694</v>
      </c>
      <c r="W6408" t="s">
        <v>6720</v>
      </c>
    </row>
    <row r="6409" spans="1:23" ht="15.6" x14ac:dyDescent="0.4">
      <c r="A6409" s="2" t="s">
        <v>538</v>
      </c>
      <c r="B6409" s="5" t="s">
        <v>12305</v>
      </c>
      <c r="C6409" s="7" t="s">
        <v>12556</v>
      </c>
      <c r="D6409" s="8">
        <f t="shared" si="404"/>
        <v>0</v>
      </c>
      <c r="E6409" s="7" t="s">
        <v>12557</v>
      </c>
      <c r="F6409" s="7">
        <f t="shared" si="405"/>
        <v>2</v>
      </c>
      <c r="G6409" s="7" t="s">
        <v>12558</v>
      </c>
      <c r="H6409" s="7">
        <f t="shared" si="406"/>
        <v>0</v>
      </c>
      <c r="I6409" s="7" t="str" cm="1">
        <f t="array" ref="I6409">IFERROR(_xlfn.IFS(M6409="נח",1,M6409="נע ונח",1,M6409="שני שווא נח",2,M6409="שני שוואים בסוף מילה",2,M6409="שני שוואים ברצף",1),"0")</f>
        <v>0</v>
      </c>
      <c r="J6409" s="9">
        <f t="shared" si="407"/>
        <v>4</v>
      </c>
      <c r="K6409" t="s">
        <v>6697</v>
      </c>
      <c r="L6409" t="s">
        <v>6694</v>
      </c>
      <c r="M6409" t="s">
        <v>6700</v>
      </c>
      <c r="P6409" t="s">
        <v>6694</v>
      </c>
      <c r="Q6409" t="s">
        <v>6694</v>
      </c>
      <c r="S6409" t="s">
        <v>6694</v>
      </c>
      <c r="W6409" t="s">
        <v>6720</v>
      </c>
    </row>
    <row r="6410" spans="1:23" ht="15.6" x14ac:dyDescent="0.4">
      <c r="A6410" s="2" t="s">
        <v>2905</v>
      </c>
      <c r="B6410" s="5" t="s">
        <v>12306</v>
      </c>
      <c r="C6410" s="7" t="s">
        <v>12556</v>
      </c>
      <c r="D6410" s="8">
        <f t="shared" si="404"/>
        <v>0</v>
      </c>
      <c r="E6410" s="7" t="s">
        <v>12557</v>
      </c>
      <c r="F6410" s="7">
        <f t="shared" si="405"/>
        <v>2</v>
      </c>
      <c r="G6410" s="7" t="s">
        <v>12558</v>
      </c>
      <c r="H6410" s="7">
        <f t="shared" si="406"/>
        <v>0</v>
      </c>
      <c r="I6410" s="7" t="str" cm="1">
        <f t="array" ref="I6410">IFERROR(_xlfn.IFS(M6410="נח",1,M6410="נע ונח",1,M6410="שני שווא נח",2,M6410="שני שוואים בסוף מילה",2,M6410="שני שוואים ברצף",1),"0")</f>
        <v>0</v>
      </c>
      <c r="J6410" s="9">
        <f t="shared" si="407"/>
        <v>4</v>
      </c>
      <c r="K6410" t="s">
        <v>6697</v>
      </c>
      <c r="L6410" t="s">
        <v>6694</v>
      </c>
      <c r="M6410" t="s">
        <v>6700</v>
      </c>
      <c r="P6410" t="s">
        <v>6694</v>
      </c>
      <c r="Q6410" t="s">
        <v>6694</v>
      </c>
      <c r="S6410" t="s">
        <v>6694</v>
      </c>
      <c r="W6410" t="s">
        <v>6720</v>
      </c>
    </row>
    <row r="6411" spans="1:23" ht="15.6" x14ac:dyDescent="0.4">
      <c r="A6411" s="2" t="s">
        <v>4835</v>
      </c>
      <c r="B6411" s="5" t="s">
        <v>12307</v>
      </c>
      <c r="C6411" s="7" t="s">
        <v>12556</v>
      </c>
      <c r="D6411" s="8">
        <f t="shared" si="404"/>
        <v>0</v>
      </c>
      <c r="E6411" s="7" t="s">
        <v>12557</v>
      </c>
      <c r="F6411" s="7">
        <f t="shared" si="405"/>
        <v>3</v>
      </c>
      <c r="G6411" s="7" t="s">
        <v>12558</v>
      </c>
      <c r="H6411" s="7">
        <f t="shared" si="406"/>
        <v>1</v>
      </c>
      <c r="I6411" s="7" t="str" cm="1">
        <f t="array" ref="I6411">IFERROR(_xlfn.IFS(M6411="נח",1,M6411="נע ונח",1,M6411="שני שווא נח",2,M6411="שני שוואים בסוף מילה",2,M6411="שני שוואים ברצף",1),"0")</f>
        <v>0</v>
      </c>
      <c r="J6411" s="9">
        <f t="shared" si="407"/>
        <v>4</v>
      </c>
      <c r="K6411" t="s">
        <v>6697</v>
      </c>
      <c r="L6411" t="s">
        <v>6694</v>
      </c>
      <c r="M6411" t="s">
        <v>6700</v>
      </c>
      <c r="P6411" t="s">
        <v>6694</v>
      </c>
      <c r="Q6411" t="s">
        <v>6694</v>
      </c>
      <c r="U6411" t="s">
        <v>6694</v>
      </c>
      <c r="W6411" t="s">
        <v>6720</v>
      </c>
    </row>
    <row r="6412" spans="1:23" ht="15.6" x14ac:dyDescent="0.4">
      <c r="A6412" s="2" t="s">
        <v>4514</v>
      </c>
      <c r="B6412" s="5" t="s">
        <v>12308</v>
      </c>
      <c r="C6412" s="7" t="s">
        <v>12556</v>
      </c>
      <c r="D6412" s="8">
        <f t="shared" si="404"/>
        <v>0</v>
      </c>
      <c r="E6412" s="7" t="s">
        <v>12557</v>
      </c>
      <c r="F6412" s="7">
        <f t="shared" si="405"/>
        <v>2</v>
      </c>
      <c r="G6412" s="7" t="s">
        <v>12558</v>
      </c>
      <c r="H6412" s="7">
        <f t="shared" si="406"/>
        <v>0</v>
      </c>
      <c r="I6412" s="7" t="str" cm="1">
        <f t="array" ref="I6412">IFERROR(_xlfn.IFS(M6412="נח",1,M6412="נע ונח",1,M6412="שני שווא נח",2,M6412="שני שוואים בסוף מילה",2,M6412="שני שוואים ברצף",1),"0")</f>
        <v>0</v>
      </c>
      <c r="J6412" s="9">
        <f t="shared" si="407"/>
        <v>3</v>
      </c>
      <c r="K6412" t="s">
        <v>6698</v>
      </c>
      <c r="L6412" t="s">
        <v>6694</v>
      </c>
      <c r="M6412" t="s">
        <v>6700</v>
      </c>
      <c r="P6412" t="s">
        <v>6694</v>
      </c>
      <c r="Q6412" t="s">
        <v>6694</v>
      </c>
      <c r="W6412" t="s">
        <v>6720</v>
      </c>
    </row>
    <row r="6413" spans="1:23" ht="15.6" x14ac:dyDescent="0.4">
      <c r="A6413" s="2" t="s">
        <v>103</v>
      </c>
      <c r="B6413" s="5" t="s">
        <v>12309</v>
      </c>
      <c r="C6413" s="7" t="s">
        <v>12556</v>
      </c>
      <c r="D6413" s="8">
        <f t="shared" si="404"/>
        <v>0</v>
      </c>
      <c r="E6413" s="7" t="s">
        <v>12557</v>
      </c>
      <c r="F6413" s="7">
        <f t="shared" si="405"/>
        <v>4</v>
      </c>
      <c r="G6413" s="7" t="s">
        <v>12558</v>
      </c>
      <c r="H6413" s="7">
        <f t="shared" si="406"/>
        <v>1</v>
      </c>
      <c r="I6413" s="7" cm="1">
        <f t="array" ref="I6413">IFERROR(_xlfn.IFS(M6413="נח",1,M6413="נע ונח",1,M6413="שני שווא נח",2,M6413="שני שוואים בסוף מילה",2,M6413="שני שוואים ברצף",1),"0")</f>
        <v>1</v>
      </c>
      <c r="J6413" s="9">
        <f t="shared" si="407"/>
        <v>4</v>
      </c>
      <c r="K6413" t="s">
        <v>6697</v>
      </c>
      <c r="L6413" t="s">
        <v>6694</v>
      </c>
      <c r="M6413" t="s">
        <v>6701</v>
      </c>
      <c r="P6413" t="s">
        <v>6694</v>
      </c>
      <c r="R6413" t="s">
        <v>6694</v>
      </c>
      <c r="U6413" t="s">
        <v>6694</v>
      </c>
      <c r="W6413" t="s">
        <v>6720</v>
      </c>
    </row>
    <row r="6414" spans="1:23" ht="15.6" x14ac:dyDescent="0.4">
      <c r="A6414" s="2" t="s">
        <v>6476</v>
      </c>
      <c r="B6414" s="5" t="s">
        <v>12310</v>
      </c>
      <c r="C6414" s="7" t="s">
        <v>12556</v>
      </c>
      <c r="D6414" s="8">
        <f t="shared" si="404"/>
        <v>0</v>
      </c>
      <c r="E6414" s="7" t="s">
        <v>12557</v>
      </c>
      <c r="F6414" s="7">
        <f t="shared" si="405"/>
        <v>1</v>
      </c>
      <c r="G6414" s="7" t="s">
        <v>12558</v>
      </c>
      <c r="H6414" s="7">
        <f t="shared" si="406"/>
        <v>0</v>
      </c>
      <c r="I6414" s="7" t="str" cm="1">
        <f t="array" ref="I6414">IFERROR(_xlfn.IFS(M6414="נח",1,M6414="נע ונח",1,M6414="שני שווא נח",2,M6414="שני שוואים בסוף מילה",2,M6414="שני שוואים ברצף",1),"0")</f>
        <v>0</v>
      </c>
      <c r="J6414" s="9">
        <f t="shared" si="407"/>
        <v>4</v>
      </c>
      <c r="K6414" t="s">
        <v>6698</v>
      </c>
      <c r="L6414" t="s">
        <v>6694</v>
      </c>
      <c r="M6414" t="s">
        <v>6700</v>
      </c>
      <c r="O6414" t="s">
        <v>6694</v>
      </c>
      <c r="R6414" t="s">
        <v>6694</v>
      </c>
      <c r="S6414" t="s">
        <v>6694</v>
      </c>
      <c r="W6414" t="s">
        <v>6720</v>
      </c>
    </row>
    <row r="6415" spans="1:23" ht="15.6" x14ac:dyDescent="0.4">
      <c r="A6415" s="2" t="s">
        <v>3900</v>
      </c>
      <c r="B6415" s="5" t="s">
        <v>12311</v>
      </c>
      <c r="C6415" s="7" t="s">
        <v>12556</v>
      </c>
      <c r="D6415" s="8">
        <f t="shared" si="404"/>
        <v>0</v>
      </c>
      <c r="E6415" s="7" t="s">
        <v>12557</v>
      </c>
      <c r="F6415" s="7">
        <f t="shared" si="405"/>
        <v>2</v>
      </c>
      <c r="G6415" s="7" t="s">
        <v>12558</v>
      </c>
      <c r="H6415" s="7">
        <f t="shared" si="406"/>
        <v>0</v>
      </c>
      <c r="I6415" s="7" cm="1">
        <f t="array" ref="I6415">IFERROR(_xlfn.IFS(M6415="נח",1,M6415="נע ונח",1,M6415="שני שווא נח",2,M6415="שני שוואים בסוף מילה",2,M6415="שני שוואים ברצף",1),"0")</f>
        <v>1</v>
      </c>
      <c r="J6415" s="9">
        <f t="shared" si="407"/>
        <v>4</v>
      </c>
      <c r="K6415" t="s">
        <v>6697</v>
      </c>
      <c r="L6415" t="s">
        <v>6694</v>
      </c>
      <c r="M6415" t="s">
        <v>6701</v>
      </c>
      <c r="P6415" t="s">
        <v>6694</v>
      </c>
      <c r="Q6415" t="s">
        <v>6694</v>
      </c>
      <c r="S6415" t="s">
        <v>6694</v>
      </c>
      <c r="W6415" t="s">
        <v>6720</v>
      </c>
    </row>
    <row r="6416" spans="1:23" ht="15.6" x14ac:dyDescent="0.4">
      <c r="A6416" s="2" t="s">
        <v>3347</v>
      </c>
      <c r="B6416" s="5" t="s">
        <v>12312</v>
      </c>
      <c r="C6416" s="7" t="s">
        <v>12556</v>
      </c>
      <c r="D6416" s="8">
        <f t="shared" si="404"/>
        <v>0</v>
      </c>
      <c r="E6416" s="7" t="s">
        <v>12557</v>
      </c>
      <c r="F6416" s="7">
        <f t="shared" si="405"/>
        <v>1</v>
      </c>
      <c r="G6416" s="7" t="s">
        <v>12558</v>
      </c>
      <c r="H6416" s="7">
        <f t="shared" si="406"/>
        <v>0</v>
      </c>
      <c r="I6416" s="7" t="str" cm="1">
        <f t="array" ref="I6416">IFERROR(_xlfn.IFS(M6416="נח",1,M6416="נע ונח",1,M6416="שני שווא נח",2,M6416="שני שוואים בסוף מילה",2,M6416="שני שוואים ברצף",1),"0")</f>
        <v>0</v>
      </c>
      <c r="J6416" s="9">
        <f t="shared" si="407"/>
        <v>3</v>
      </c>
      <c r="K6416" t="s">
        <v>6698</v>
      </c>
      <c r="L6416" t="s">
        <v>6694</v>
      </c>
      <c r="M6416" t="s">
        <v>6700</v>
      </c>
      <c r="Q6416" t="s">
        <v>6694</v>
      </c>
      <c r="V6416" t="s">
        <v>6694</v>
      </c>
      <c r="W6416" t="s">
        <v>6720</v>
      </c>
    </row>
    <row r="6417" spans="1:23" ht="15.6" x14ac:dyDescent="0.4">
      <c r="A6417" s="2" t="s">
        <v>1084</v>
      </c>
      <c r="B6417" s="5" t="s">
        <v>12313</v>
      </c>
      <c r="C6417" s="7" t="s">
        <v>12556</v>
      </c>
      <c r="D6417" s="8">
        <f t="shared" si="404"/>
        <v>0</v>
      </c>
      <c r="E6417" s="7" t="s">
        <v>12557</v>
      </c>
      <c r="F6417" s="7">
        <f t="shared" si="405"/>
        <v>1</v>
      </c>
      <c r="G6417" s="7" t="s">
        <v>12558</v>
      </c>
      <c r="H6417" s="7">
        <f t="shared" si="406"/>
        <v>0</v>
      </c>
      <c r="I6417" s="7" t="str" cm="1">
        <f t="array" ref="I6417">IFERROR(_xlfn.IFS(M6417="נח",1,M6417="נע ונח",1,M6417="שני שווא נח",2,M6417="שני שוואים בסוף מילה",2,M6417="שני שוואים ברצף",1),"0")</f>
        <v>0</v>
      </c>
      <c r="J6417" s="9">
        <f t="shared" si="407"/>
        <v>3</v>
      </c>
      <c r="K6417" t="s">
        <v>6698</v>
      </c>
      <c r="L6417" t="s">
        <v>6694</v>
      </c>
      <c r="M6417" t="s">
        <v>6700</v>
      </c>
      <c r="P6417" t="s">
        <v>6694</v>
      </c>
      <c r="Q6417" t="s">
        <v>6694</v>
      </c>
      <c r="W6417" t="s">
        <v>6720</v>
      </c>
    </row>
    <row r="6418" spans="1:23" ht="15.6" x14ac:dyDescent="0.4">
      <c r="A6418" s="2" t="s">
        <v>4394</v>
      </c>
      <c r="B6418" s="5" t="s">
        <v>12314</v>
      </c>
      <c r="C6418" s="7" t="s">
        <v>12556</v>
      </c>
      <c r="D6418" s="8">
        <f t="shared" si="404"/>
        <v>0</v>
      </c>
      <c r="E6418" s="7" t="s">
        <v>12557</v>
      </c>
      <c r="F6418" s="7">
        <f t="shared" si="405"/>
        <v>1</v>
      </c>
      <c r="G6418" s="7" t="s">
        <v>12558</v>
      </c>
      <c r="H6418" s="7">
        <f t="shared" si="406"/>
        <v>0</v>
      </c>
      <c r="I6418" s="7" t="str" cm="1">
        <f t="array" ref="I6418">IFERROR(_xlfn.IFS(M6418="נח",1,M6418="נע ונח",1,M6418="שני שווא נח",2,M6418="שני שוואים בסוף מילה",2,M6418="שני שוואים ברצף",1),"0")</f>
        <v>0</v>
      </c>
      <c r="J6418" s="9">
        <f t="shared" si="407"/>
        <v>4</v>
      </c>
      <c r="K6418" t="s">
        <v>6698</v>
      </c>
      <c r="L6418" t="s">
        <v>6694</v>
      </c>
      <c r="M6418" t="s">
        <v>6700</v>
      </c>
      <c r="O6418" t="s">
        <v>6694</v>
      </c>
      <c r="R6418" t="s">
        <v>6694</v>
      </c>
      <c r="W6418" t="s">
        <v>6720</v>
      </c>
    </row>
    <row r="6419" spans="1:23" ht="15.6" x14ac:dyDescent="0.4">
      <c r="A6419" s="2" t="s">
        <v>3276</v>
      </c>
      <c r="B6419" s="5" t="s">
        <v>12315</v>
      </c>
      <c r="C6419" s="7" t="s">
        <v>12556</v>
      </c>
      <c r="D6419" s="8">
        <f t="shared" si="404"/>
        <v>0</v>
      </c>
      <c r="E6419" s="7" t="s">
        <v>12557</v>
      </c>
      <c r="F6419" s="7">
        <f t="shared" si="405"/>
        <v>1</v>
      </c>
      <c r="G6419" s="7" t="s">
        <v>12558</v>
      </c>
      <c r="H6419" s="7">
        <f t="shared" si="406"/>
        <v>0</v>
      </c>
      <c r="I6419" s="7" t="str" cm="1">
        <f t="array" ref="I6419">IFERROR(_xlfn.IFS(M6419="נח",1,M6419="נע ונח",1,M6419="שני שווא נח",2,M6419="שני שוואים בסוף מילה",2,M6419="שני שוואים ברצף",1),"0")</f>
        <v>0</v>
      </c>
      <c r="J6419" s="9">
        <f t="shared" si="407"/>
        <v>3</v>
      </c>
      <c r="K6419" t="s">
        <v>6697</v>
      </c>
      <c r="L6419" t="s">
        <v>6694</v>
      </c>
      <c r="M6419" t="s">
        <v>6700</v>
      </c>
      <c r="O6419" t="s">
        <v>6694</v>
      </c>
      <c r="S6419" t="s">
        <v>6694</v>
      </c>
      <c r="W6419" t="s">
        <v>6720</v>
      </c>
    </row>
    <row r="6420" spans="1:23" ht="15.6" x14ac:dyDescent="0.4">
      <c r="A6420" s="2" t="s">
        <v>4399</v>
      </c>
      <c r="B6420" s="5" t="s">
        <v>12316</v>
      </c>
      <c r="C6420" s="7" t="s">
        <v>12556</v>
      </c>
      <c r="D6420" s="8">
        <f t="shared" si="404"/>
        <v>0</v>
      </c>
      <c r="E6420" s="7" t="s">
        <v>12557</v>
      </c>
      <c r="F6420" s="7">
        <f t="shared" si="405"/>
        <v>2</v>
      </c>
      <c r="G6420" s="7" t="s">
        <v>12558</v>
      </c>
      <c r="H6420" s="7">
        <f t="shared" si="406"/>
        <v>0</v>
      </c>
      <c r="I6420" s="7" t="str" cm="1">
        <f t="array" ref="I6420">IFERROR(_xlfn.IFS(M6420="נח",1,M6420="נע ונח",1,M6420="שני שווא נח",2,M6420="שני שוואים בסוף מילה",2,M6420="שני שוואים ברצף",1),"0")</f>
        <v>0</v>
      </c>
      <c r="J6420" s="9">
        <f t="shared" si="407"/>
        <v>5</v>
      </c>
      <c r="K6420" t="s">
        <v>6697</v>
      </c>
      <c r="L6420" t="s">
        <v>6694</v>
      </c>
      <c r="M6420" t="s">
        <v>6703</v>
      </c>
      <c r="O6420" t="s">
        <v>6694</v>
      </c>
      <c r="R6420" t="s">
        <v>6694</v>
      </c>
      <c r="V6420" t="s">
        <v>6694</v>
      </c>
      <c r="W6420" t="s">
        <v>6720</v>
      </c>
    </row>
    <row r="6421" spans="1:23" ht="15.6" x14ac:dyDescent="0.4">
      <c r="A6421" s="2" t="s">
        <v>5503</v>
      </c>
      <c r="B6421" s="5" t="s">
        <v>12317</v>
      </c>
      <c r="C6421" s="7" t="s">
        <v>12556</v>
      </c>
      <c r="D6421" s="8">
        <f t="shared" si="404"/>
        <v>0</v>
      </c>
      <c r="E6421" s="7" t="s">
        <v>12557</v>
      </c>
      <c r="F6421" s="7">
        <f t="shared" si="405"/>
        <v>3</v>
      </c>
      <c r="G6421" s="7" t="s">
        <v>12558</v>
      </c>
      <c r="H6421" s="7">
        <f t="shared" si="406"/>
        <v>2</v>
      </c>
      <c r="I6421" s="7" t="str" cm="1">
        <f t="array" ref="I6421">IFERROR(_xlfn.IFS(M6421="נח",1,M6421="נע ונח",1,M6421="שני שווא נח",2,M6421="שני שוואים בסוף מילה",2,M6421="שני שוואים ברצף",1),"0")</f>
        <v>0</v>
      </c>
      <c r="J6421" s="9">
        <f t="shared" si="407"/>
        <v>3</v>
      </c>
      <c r="K6421" t="s">
        <v>6698</v>
      </c>
      <c r="L6421" t="s">
        <v>6694</v>
      </c>
      <c r="M6421" t="s">
        <v>6700</v>
      </c>
      <c r="U6421" t="s">
        <v>6694</v>
      </c>
      <c r="W6421" t="s">
        <v>6720</v>
      </c>
    </row>
    <row r="6422" spans="1:23" ht="15.6" x14ac:dyDescent="0.4">
      <c r="A6422" s="2" t="s">
        <v>6048</v>
      </c>
      <c r="B6422" s="5" t="s">
        <v>12318</v>
      </c>
      <c r="C6422" s="7" t="s">
        <v>12556</v>
      </c>
      <c r="D6422" s="8">
        <f t="shared" si="404"/>
        <v>0</v>
      </c>
      <c r="E6422" s="7" t="s">
        <v>12557</v>
      </c>
      <c r="F6422" s="7">
        <f t="shared" si="405"/>
        <v>1</v>
      </c>
      <c r="G6422" s="7" t="s">
        <v>12558</v>
      </c>
      <c r="H6422" s="7">
        <f t="shared" si="406"/>
        <v>0</v>
      </c>
      <c r="I6422" s="7" t="str" cm="1">
        <f t="array" ref="I6422">IFERROR(_xlfn.IFS(M6422="נח",1,M6422="נע ונח",1,M6422="שני שווא נח",2,M6422="שני שוואים בסוף מילה",2,M6422="שני שוואים ברצף",1),"0")</f>
        <v>0</v>
      </c>
      <c r="J6422" s="9">
        <f t="shared" si="407"/>
        <v>4</v>
      </c>
      <c r="K6422" t="s">
        <v>6697</v>
      </c>
      <c r="L6422" t="s">
        <v>6694</v>
      </c>
      <c r="M6422" t="s">
        <v>6700</v>
      </c>
      <c r="Q6422" t="s">
        <v>6694</v>
      </c>
      <c r="S6422" t="s">
        <v>6694</v>
      </c>
      <c r="W6422" t="s">
        <v>6720</v>
      </c>
    </row>
    <row r="6423" spans="1:23" ht="15.6" x14ac:dyDescent="0.4">
      <c r="A6423" s="2" t="s">
        <v>6020</v>
      </c>
      <c r="B6423" s="5" t="s">
        <v>12319</v>
      </c>
      <c r="C6423" s="7" t="s">
        <v>12556</v>
      </c>
      <c r="D6423" s="8">
        <f t="shared" si="404"/>
        <v>0</v>
      </c>
      <c r="E6423" s="7" t="s">
        <v>12557</v>
      </c>
      <c r="F6423" s="7">
        <f t="shared" si="405"/>
        <v>1</v>
      </c>
      <c r="G6423" s="7" t="s">
        <v>12558</v>
      </c>
      <c r="H6423" s="7">
        <f t="shared" si="406"/>
        <v>0</v>
      </c>
      <c r="I6423" s="7" t="str" cm="1">
        <f t="array" ref="I6423">IFERROR(_xlfn.IFS(M6423="נח",1,M6423="נע ונח",1,M6423="שני שווא נח",2,M6423="שני שוואים בסוף מילה",2,M6423="שני שוואים ברצף",1),"0")</f>
        <v>0</v>
      </c>
      <c r="J6423" s="9">
        <f t="shared" si="407"/>
        <v>5</v>
      </c>
      <c r="K6423" t="s">
        <v>6697</v>
      </c>
      <c r="L6423" t="s">
        <v>6694</v>
      </c>
      <c r="M6423" t="s">
        <v>6700</v>
      </c>
      <c r="P6423" t="s">
        <v>6694</v>
      </c>
      <c r="Q6423" t="s">
        <v>6694</v>
      </c>
      <c r="S6423" t="s">
        <v>6694</v>
      </c>
      <c r="W6423" t="s">
        <v>6720</v>
      </c>
    </row>
    <row r="6424" spans="1:23" ht="15.6" x14ac:dyDescent="0.4">
      <c r="A6424" s="2" t="s">
        <v>6215</v>
      </c>
      <c r="B6424" s="5" t="s">
        <v>12320</v>
      </c>
      <c r="C6424" s="7" t="s">
        <v>12556</v>
      </c>
      <c r="D6424" s="8">
        <f t="shared" si="404"/>
        <v>0</v>
      </c>
      <c r="E6424" s="7" t="s">
        <v>12557</v>
      </c>
      <c r="F6424" s="7">
        <f t="shared" si="405"/>
        <v>2</v>
      </c>
      <c r="G6424" s="7" t="s">
        <v>12558</v>
      </c>
      <c r="H6424" s="7">
        <f t="shared" si="406"/>
        <v>0</v>
      </c>
      <c r="I6424" s="7" cm="1">
        <f t="array" ref="I6424">IFERROR(_xlfn.IFS(M6424="נח",1,M6424="נע ונח",1,M6424="שני שווא נח",2,M6424="שני שוואים בסוף מילה",2,M6424="שני שוואים ברצף",1),"0")</f>
        <v>1</v>
      </c>
      <c r="J6424" s="9">
        <f t="shared" si="407"/>
        <v>3</v>
      </c>
      <c r="K6424" t="s">
        <v>6698</v>
      </c>
      <c r="L6424" t="s">
        <v>6694</v>
      </c>
      <c r="M6424" t="s">
        <v>6701</v>
      </c>
      <c r="P6424" t="s">
        <v>6694</v>
      </c>
      <c r="Q6424" t="s">
        <v>6694</v>
      </c>
      <c r="W6424" t="s">
        <v>6720</v>
      </c>
    </row>
    <row r="6425" spans="1:23" ht="15.6" x14ac:dyDescent="0.4">
      <c r="A6425" s="2" t="s">
        <v>2137</v>
      </c>
      <c r="B6425" s="5" t="s">
        <v>12321</v>
      </c>
      <c r="C6425" s="7" t="s">
        <v>12556</v>
      </c>
      <c r="D6425" s="8">
        <f t="shared" si="404"/>
        <v>0</v>
      </c>
      <c r="E6425" s="7" t="s">
        <v>12557</v>
      </c>
      <c r="F6425" s="7">
        <f t="shared" si="405"/>
        <v>1</v>
      </c>
      <c r="G6425" s="7" t="s">
        <v>12558</v>
      </c>
      <c r="H6425" s="7">
        <f t="shared" si="406"/>
        <v>0</v>
      </c>
      <c r="I6425" s="7" t="str" cm="1">
        <f t="array" ref="I6425">IFERROR(_xlfn.IFS(M6425="נח",1,M6425="נע ונח",1,M6425="שני שווא נח",2,M6425="שני שוואים בסוף מילה",2,M6425="שני שוואים ברצף",1),"0")</f>
        <v>0</v>
      </c>
      <c r="J6425" s="9">
        <f t="shared" si="407"/>
        <v>2</v>
      </c>
      <c r="K6425" t="s">
        <v>6697</v>
      </c>
      <c r="L6425" t="s">
        <v>6694</v>
      </c>
      <c r="M6425" t="s">
        <v>6700</v>
      </c>
      <c r="O6425" t="s">
        <v>6694</v>
      </c>
      <c r="W6425" t="s">
        <v>6720</v>
      </c>
    </row>
    <row r="6426" spans="1:23" ht="15.6" x14ac:dyDescent="0.4">
      <c r="A6426" s="2" t="s">
        <v>5059</v>
      </c>
      <c r="B6426" s="5" t="s">
        <v>12322</v>
      </c>
      <c r="C6426" s="7" t="s">
        <v>12556</v>
      </c>
      <c r="D6426" s="8">
        <f t="shared" si="404"/>
        <v>0</v>
      </c>
      <c r="E6426" s="7" t="s">
        <v>12557</v>
      </c>
      <c r="F6426" s="7">
        <f t="shared" si="405"/>
        <v>2</v>
      </c>
      <c r="G6426" s="7" t="s">
        <v>12558</v>
      </c>
      <c r="H6426" s="7">
        <f t="shared" si="406"/>
        <v>0</v>
      </c>
      <c r="I6426" s="7" t="str" cm="1">
        <f t="array" ref="I6426">IFERROR(_xlfn.IFS(M6426="נח",1,M6426="נע ונח",1,M6426="שני שווא נח",2,M6426="שני שוואים בסוף מילה",2,M6426="שני שוואים ברצף",1),"0")</f>
        <v>0</v>
      </c>
      <c r="J6426" s="9">
        <f t="shared" si="407"/>
        <v>4</v>
      </c>
      <c r="K6426" t="s">
        <v>6697</v>
      </c>
      <c r="L6426" t="s">
        <v>6694</v>
      </c>
      <c r="M6426" t="s">
        <v>6700</v>
      </c>
      <c r="Q6426" t="s">
        <v>6694</v>
      </c>
      <c r="S6426" t="s">
        <v>6694</v>
      </c>
      <c r="T6426" t="s">
        <v>6694</v>
      </c>
      <c r="W6426" t="s">
        <v>6720</v>
      </c>
    </row>
    <row r="6427" spans="1:23" ht="15.6" x14ac:dyDescent="0.4">
      <c r="A6427" s="2" t="s">
        <v>2716</v>
      </c>
      <c r="B6427" s="5" t="s">
        <v>12323</v>
      </c>
      <c r="C6427" s="7" t="s">
        <v>12556</v>
      </c>
      <c r="D6427" s="8">
        <f t="shared" si="404"/>
        <v>0</v>
      </c>
      <c r="E6427" s="7" t="s">
        <v>12557</v>
      </c>
      <c r="F6427" s="7">
        <f t="shared" si="405"/>
        <v>1</v>
      </c>
      <c r="G6427" s="7" t="s">
        <v>12558</v>
      </c>
      <c r="H6427" s="7">
        <f t="shared" si="406"/>
        <v>0</v>
      </c>
      <c r="I6427" s="7" t="str" cm="1">
        <f t="array" ref="I6427">IFERROR(_xlfn.IFS(M6427="נח",1,M6427="נע ונח",1,M6427="שני שווא נח",2,M6427="שני שוואים בסוף מילה",2,M6427="שני שוואים ברצף",1),"0")</f>
        <v>0</v>
      </c>
      <c r="J6427" s="9">
        <f t="shared" si="407"/>
        <v>5</v>
      </c>
      <c r="K6427" t="s">
        <v>6697</v>
      </c>
      <c r="L6427" t="s">
        <v>6694</v>
      </c>
      <c r="M6427" t="s">
        <v>6703</v>
      </c>
      <c r="Q6427" t="s">
        <v>6694</v>
      </c>
      <c r="S6427" t="s">
        <v>6694</v>
      </c>
      <c r="V6427" t="s">
        <v>6694</v>
      </c>
      <c r="W6427" t="s">
        <v>6720</v>
      </c>
    </row>
    <row r="6428" spans="1:23" ht="15.6" x14ac:dyDescent="0.4">
      <c r="A6428" s="2" t="s">
        <v>6206</v>
      </c>
      <c r="B6428" s="5" t="s">
        <v>12324</v>
      </c>
      <c r="C6428" s="7" t="s">
        <v>12556</v>
      </c>
      <c r="D6428" s="8">
        <f t="shared" si="404"/>
        <v>0</v>
      </c>
      <c r="E6428" s="7" t="s">
        <v>12557</v>
      </c>
      <c r="F6428" s="7">
        <f t="shared" si="405"/>
        <v>3</v>
      </c>
      <c r="G6428" s="7" t="s">
        <v>12558</v>
      </c>
      <c r="H6428" s="7">
        <f t="shared" si="406"/>
        <v>1</v>
      </c>
      <c r="I6428" s="7" cm="1">
        <f t="array" ref="I6428">IFERROR(_xlfn.IFS(M6428="נח",1,M6428="נע ונח",1,M6428="שני שווא נח",2,M6428="שני שוואים בסוף מילה",2,M6428="שני שוואים ברצף",1),"0")</f>
        <v>1</v>
      </c>
      <c r="J6428" s="9">
        <f t="shared" si="407"/>
        <v>4</v>
      </c>
      <c r="K6428" t="s">
        <v>6697</v>
      </c>
      <c r="L6428" t="s">
        <v>6694</v>
      </c>
      <c r="M6428" t="s">
        <v>6701</v>
      </c>
      <c r="P6428" t="s">
        <v>6694</v>
      </c>
      <c r="Q6428" t="s">
        <v>6694</v>
      </c>
      <c r="U6428" t="s">
        <v>6694</v>
      </c>
      <c r="W6428" t="s">
        <v>6720</v>
      </c>
    </row>
    <row r="6429" spans="1:23" ht="15.6" x14ac:dyDescent="0.4">
      <c r="A6429" s="2" t="s">
        <v>5593</v>
      </c>
      <c r="B6429" s="5" t="s">
        <v>12325</v>
      </c>
      <c r="C6429" s="7" t="s">
        <v>12556</v>
      </c>
      <c r="D6429" s="8">
        <f t="shared" si="404"/>
        <v>0</v>
      </c>
      <c r="E6429" s="7" t="s">
        <v>12557</v>
      </c>
      <c r="F6429" s="7">
        <f t="shared" si="405"/>
        <v>1</v>
      </c>
      <c r="G6429" s="7" t="s">
        <v>12558</v>
      </c>
      <c r="H6429" s="7">
        <f t="shared" si="406"/>
        <v>0</v>
      </c>
      <c r="I6429" s="7" t="str" cm="1">
        <f t="array" ref="I6429">IFERROR(_xlfn.IFS(M6429="נח",1,M6429="נע ונח",1,M6429="שני שווא נח",2,M6429="שני שוואים בסוף מילה",2,M6429="שני שוואים ברצף",1),"0")</f>
        <v>0</v>
      </c>
      <c r="J6429" s="9">
        <f t="shared" si="407"/>
        <v>2</v>
      </c>
      <c r="K6429" t="s">
        <v>6698</v>
      </c>
      <c r="L6429" t="s">
        <v>6694</v>
      </c>
      <c r="M6429" t="s">
        <v>6700</v>
      </c>
      <c r="P6429" t="s">
        <v>6694</v>
      </c>
      <c r="W6429" t="s">
        <v>6720</v>
      </c>
    </row>
    <row r="6430" spans="1:23" ht="15.6" x14ac:dyDescent="0.4">
      <c r="A6430" s="2" t="s">
        <v>3583</v>
      </c>
      <c r="B6430" s="5" t="s">
        <v>12224</v>
      </c>
      <c r="C6430" s="7" t="s">
        <v>12556</v>
      </c>
      <c r="D6430" s="8">
        <f t="shared" si="404"/>
        <v>0</v>
      </c>
      <c r="E6430" s="7" t="s">
        <v>12557</v>
      </c>
      <c r="F6430" s="7">
        <f t="shared" si="405"/>
        <v>2</v>
      </c>
      <c r="G6430" s="7" t="s">
        <v>12558</v>
      </c>
      <c r="H6430" s="7">
        <f t="shared" si="406"/>
        <v>0</v>
      </c>
      <c r="I6430" s="7" t="str" cm="1">
        <f t="array" ref="I6430">IFERROR(_xlfn.IFS(M6430="נח",1,M6430="נע ונח",1,M6430="שני שווא נח",2,M6430="שני שוואים בסוף מילה",2,M6430="שני שוואים ברצף",1),"0")</f>
        <v>0</v>
      </c>
      <c r="J6430" s="9">
        <f t="shared" si="407"/>
        <v>3</v>
      </c>
      <c r="K6430" t="s">
        <v>6697</v>
      </c>
      <c r="L6430" t="s">
        <v>6694</v>
      </c>
      <c r="M6430" t="s">
        <v>6700</v>
      </c>
      <c r="O6430" t="s">
        <v>6694</v>
      </c>
      <c r="S6430" t="s">
        <v>6694</v>
      </c>
      <c r="W6430" t="s">
        <v>6720</v>
      </c>
    </row>
    <row r="6431" spans="1:23" ht="15.6" x14ac:dyDescent="0.4">
      <c r="A6431" s="2" t="s">
        <v>2372</v>
      </c>
      <c r="B6431" s="5" t="s">
        <v>12225</v>
      </c>
      <c r="C6431" s="7" t="s">
        <v>12556</v>
      </c>
      <c r="D6431" s="8">
        <f t="shared" si="404"/>
        <v>0</v>
      </c>
      <c r="E6431" s="7" t="s">
        <v>12557</v>
      </c>
      <c r="F6431" s="7">
        <f t="shared" si="405"/>
        <v>2</v>
      </c>
      <c r="G6431" s="7" t="s">
        <v>12558</v>
      </c>
      <c r="H6431" s="7">
        <f t="shared" si="406"/>
        <v>0</v>
      </c>
      <c r="I6431" s="7" t="str" cm="1">
        <f t="array" ref="I6431">IFERROR(_xlfn.IFS(M6431="נח",1,M6431="נע ונח",1,M6431="שני שווא נח",2,M6431="שני שוואים בסוף מילה",2,M6431="שני שוואים ברצף",1),"0")</f>
        <v>0</v>
      </c>
      <c r="J6431" s="9">
        <f t="shared" si="407"/>
        <v>4</v>
      </c>
      <c r="K6431" t="s">
        <v>6697</v>
      </c>
      <c r="L6431" t="s">
        <v>6694</v>
      </c>
      <c r="M6431" t="s">
        <v>6700</v>
      </c>
      <c r="O6431" t="s">
        <v>6694</v>
      </c>
      <c r="S6431" t="s">
        <v>6694</v>
      </c>
      <c r="W6431" t="s">
        <v>6720</v>
      </c>
    </row>
    <row r="6432" spans="1:23" ht="15.6" x14ac:dyDescent="0.4">
      <c r="A6432" s="2" t="s">
        <v>1855</v>
      </c>
      <c r="B6432" s="5" t="s">
        <v>12326</v>
      </c>
      <c r="C6432" s="7" t="s">
        <v>12556</v>
      </c>
      <c r="D6432" s="8">
        <f t="shared" si="404"/>
        <v>0</v>
      </c>
      <c r="E6432" s="7" t="s">
        <v>12557</v>
      </c>
      <c r="F6432" s="7">
        <f t="shared" si="405"/>
        <v>2</v>
      </c>
      <c r="G6432" s="7" t="s">
        <v>12558</v>
      </c>
      <c r="H6432" s="7">
        <f t="shared" si="406"/>
        <v>0</v>
      </c>
      <c r="I6432" s="7" cm="1">
        <f t="array" ref="I6432">IFERROR(_xlfn.IFS(M6432="נח",1,M6432="נע ונח",1,M6432="שני שווא נח",2,M6432="שני שוואים בסוף מילה",2,M6432="שני שוואים ברצף",1),"0")</f>
        <v>1</v>
      </c>
      <c r="J6432" s="9">
        <f t="shared" si="407"/>
        <v>4</v>
      </c>
      <c r="K6432" t="s">
        <v>6697</v>
      </c>
      <c r="L6432" t="s">
        <v>6694</v>
      </c>
      <c r="M6432" t="s">
        <v>6701</v>
      </c>
      <c r="P6432" t="s">
        <v>6694</v>
      </c>
      <c r="Q6432" t="s">
        <v>6694</v>
      </c>
      <c r="S6432" t="s">
        <v>6694</v>
      </c>
      <c r="W6432" t="s">
        <v>6720</v>
      </c>
    </row>
    <row r="6433" spans="1:23" ht="15.6" x14ac:dyDescent="0.4">
      <c r="A6433" s="2" t="s">
        <v>6447</v>
      </c>
      <c r="B6433" s="5" t="s">
        <v>12327</v>
      </c>
      <c r="C6433" s="7" t="s">
        <v>12556</v>
      </c>
      <c r="D6433" s="8">
        <f t="shared" si="404"/>
        <v>0</v>
      </c>
      <c r="E6433" s="7" t="s">
        <v>12557</v>
      </c>
      <c r="F6433" s="7">
        <f t="shared" si="405"/>
        <v>3</v>
      </c>
      <c r="G6433" s="7" t="s">
        <v>12558</v>
      </c>
      <c r="H6433" s="7">
        <f t="shared" si="406"/>
        <v>1</v>
      </c>
      <c r="I6433" s="7" t="str" cm="1">
        <f t="array" ref="I6433">IFERROR(_xlfn.IFS(M6433="נח",1,M6433="נע ונח",1,M6433="שני שווא נח",2,M6433="שני שוואים בסוף מילה",2,M6433="שני שוואים ברצף",1),"0")</f>
        <v>0</v>
      </c>
      <c r="J6433" s="9">
        <f t="shared" si="407"/>
        <v>4</v>
      </c>
      <c r="K6433" t="s">
        <v>6698</v>
      </c>
      <c r="L6433" t="s">
        <v>6694</v>
      </c>
      <c r="M6433" t="s">
        <v>6700</v>
      </c>
      <c r="P6433" t="s">
        <v>6694</v>
      </c>
      <c r="Q6433" t="s">
        <v>6694</v>
      </c>
      <c r="U6433" t="s">
        <v>6694</v>
      </c>
      <c r="W6433" t="s">
        <v>6720</v>
      </c>
    </row>
    <row r="6434" spans="1:23" ht="15.6" x14ac:dyDescent="0.4">
      <c r="A6434" s="2" t="s">
        <v>2783</v>
      </c>
      <c r="B6434" s="5" t="s">
        <v>12328</v>
      </c>
      <c r="C6434" s="7" t="s">
        <v>12556</v>
      </c>
      <c r="D6434" s="8">
        <f t="shared" si="404"/>
        <v>0</v>
      </c>
      <c r="E6434" s="7" t="s">
        <v>12557</v>
      </c>
      <c r="F6434" s="7">
        <f t="shared" si="405"/>
        <v>2</v>
      </c>
      <c r="G6434" s="7" t="s">
        <v>12558</v>
      </c>
      <c r="H6434" s="7">
        <f t="shared" si="406"/>
        <v>0</v>
      </c>
      <c r="I6434" s="7" t="str" cm="1">
        <f t="array" ref="I6434">IFERROR(_xlfn.IFS(M6434="נח",1,M6434="נע ונח",1,M6434="שני שווא נח",2,M6434="שני שוואים בסוף מילה",2,M6434="שני שוואים ברצף",1),"0")</f>
        <v>0</v>
      </c>
      <c r="J6434" s="9">
        <f t="shared" si="407"/>
        <v>3</v>
      </c>
      <c r="K6434" t="s">
        <v>6697</v>
      </c>
      <c r="L6434" t="s">
        <v>6694</v>
      </c>
      <c r="M6434" t="s">
        <v>6700</v>
      </c>
      <c r="P6434" t="s">
        <v>6694</v>
      </c>
      <c r="Q6434" t="s">
        <v>6694</v>
      </c>
      <c r="W6434" t="s">
        <v>6720</v>
      </c>
    </row>
    <row r="6435" spans="1:23" ht="15.6" x14ac:dyDescent="0.4">
      <c r="A6435" s="2" t="s">
        <v>3919</v>
      </c>
      <c r="B6435" s="5" t="s">
        <v>12329</v>
      </c>
      <c r="C6435" s="7" t="s">
        <v>12556</v>
      </c>
      <c r="D6435" s="8">
        <f t="shared" si="404"/>
        <v>0</v>
      </c>
      <c r="E6435" s="7" t="s">
        <v>12557</v>
      </c>
      <c r="F6435" s="7">
        <f t="shared" si="405"/>
        <v>2</v>
      </c>
      <c r="G6435" s="7" t="s">
        <v>12558</v>
      </c>
      <c r="H6435" s="7">
        <f t="shared" si="406"/>
        <v>0</v>
      </c>
      <c r="I6435" s="7" t="str" cm="1">
        <f t="array" ref="I6435">IFERROR(_xlfn.IFS(M6435="נח",1,M6435="נע ונח",1,M6435="שני שווא נח",2,M6435="שני שוואים בסוף מילה",2,M6435="שני שוואים ברצף",1),"0")</f>
        <v>0</v>
      </c>
      <c r="J6435" s="9">
        <f t="shared" si="407"/>
        <v>3</v>
      </c>
      <c r="K6435" t="s">
        <v>6698</v>
      </c>
      <c r="L6435" t="s">
        <v>6694</v>
      </c>
      <c r="M6435" t="s">
        <v>6700</v>
      </c>
      <c r="P6435" t="s">
        <v>6694</v>
      </c>
      <c r="Q6435" t="s">
        <v>6694</v>
      </c>
      <c r="W6435" t="s">
        <v>6720</v>
      </c>
    </row>
    <row r="6436" spans="1:23" ht="15.6" x14ac:dyDescent="0.4">
      <c r="A6436" s="2" t="s">
        <v>549</v>
      </c>
      <c r="B6436" s="5" t="s">
        <v>12330</v>
      </c>
      <c r="C6436" s="7" t="s">
        <v>12556</v>
      </c>
      <c r="D6436" s="8">
        <f t="shared" si="404"/>
        <v>0</v>
      </c>
      <c r="E6436" s="7" t="s">
        <v>12557</v>
      </c>
      <c r="F6436" s="7">
        <f t="shared" si="405"/>
        <v>3</v>
      </c>
      <c r="G6436" s="7" t="s">
        <v>12558</v>
      </c>
      <c r="H6436" s="7">
        <f t="shared" si="406"/>
        <v>0</v>
      </c>
      <c r="I6436" s="7" t="str" cm="1">
        <f t="array" ref="I6436">IFERROR(_xlfn.IFS(M6436="נח",1,M6436="נע ונח",1,M6436="שני שווא נח",2,M6436="שני שוואים בסוף מילה",2,M6436="שני שוואים ברצף",1),"0")</f>
        <v>0</v>
      </c>
      <c r="J6436" s="9">
        <f t="shared" si="407"/>
        <v>4</v>
      </c>
      <c r="K6436" t="s">
        <v>6697</v>
      </c>
      <c r="L6436" t="s">
        <v>6694</v>
      </c>
      <c r="M6436" t="s">
        <v>6700</v>
      </c>
      <c r="O6436" t="s">
        <v>6694</v>
      </c>
      <c r="P6436" t="s">
        <v>6694</v>
      </c>
      <c r="Q6436" t="s">
        <v>6694</v>
      </c>
      <c r="W6436" t="s">
        <v>6720</v>
      </c>
    </row>
    <row r="6437" spans="1:23" ht="15.6" x14ac:dyDescent="0.4">
      <c r="A6437" s="2" t="s">
        <v>4526</v>
      </c>
      <c r="B6437" s="5" t="s">
        <v>12331</v>
      </c>
      <c r="C6437" s="7" t="s">
        <v>12556</v>
      </c>
      <c r="D6437" s="8">
        <f t="shared" si="404"/>
        <v>0</v>
      </c>
      <c r="E6437" s="7" t="s">
        <v>12557</v>
      </c>
      <c r="F6437" s="7">
        <f t="shared" si="405"/>
        <v>3</v>
      </c>
      <c r="G6437" s="7" t="s">
        <v>12558</v>
      </c>
      <c r="H6437" s="7">
        <f t="shared" si="406"/>
        <v>1</v>
      </c>
      <c r="I6437" s="7" cm="1">
        <f t="array" ref="I6437">IFERROR(_xlfn.IFS(M6437="נח",1,M6437="נע ונח",1,M6437="שני שווא נח",2,M6437="שני שוואים בסוף מילה",2,M6437="שני שוואים ברצף",1),"0")</f>
        <v>1</v>
      </c>
      <c r="J6437" s="9">
        <f t="shared" si="407"/>
        <v>3</v>
      </c>
      <c r="K6437" t="s">
        <v>6698</v>
      </c>
      <c r="L6437" t="s">
        <v>6694</v>
      </c>
      <c r="M6437" t="s">
        <v>6701</v>
      </c>
      <c r="P6437" t="s">
        <v>6694</v>
      </c>
      <c r="U6437" t="s">
        <v>6694</v>
      </c>
      <c r="W6437" t="s">
        <v>6720</v>
      </c>
    </row>
    <row r="6438" spans="1:23" ht="15.6" x14ac:dyDescent="0.4">
      <c r="A6438" s="2" t="s">
        <v>4294</v>
      </c>
      <c r="B6438" s="5" t="s">
        <v>12332</v>
      </c>
      <c r="C6438" s="7" t="s">
        <v>12556</v>
      </c>
      <c r="D6438" s="8">
        <f t="shared" si="404"/>
        <v>0</v>
      </c>
      <c r="E6438" s="7" t="s">
        <v>12557</v>
      </c>
      <c r="F6438" s="7">
        <f t="shared" si="405"/>
        <v>3</v>
      </c>
      <c r="G6438" s="7" t="s">
        <v>12558</v>
      </c>
      <c r="H6438" s="7">
        <f t="shared" si="406"/>
        <v>1</v>
      </c>
      <c r="I6438" s="7" cm="1">
        <f t="array" ref="I6438">IFERROR(_xlfn.IFS(M6438="נח",1,M6438="נע ונח",1,M6438="שני שווא נח",2,M6438="שני שוואים בסוף מילה",2,M6438="שני שוואים ברצף",1),"0")</f>
        <v>1</v>
      </c>
      <c r="J6438" s="9">
        <f t="shared" si="407"/>
        <v>3</v>
      </c>
      <c r="K6438" t="s">
        <v>6697</v>
      </c>
      <c r="L6438" t="s">
        <v>6694</v>
      </c>
      <c r="M6438" t="s">
        <v>6701</v>
      </c>
      <c r="O6438" t="s">
        <v>6694</v>
      </c>
      <c r="U6438" t="s">
        <v>6694</v>
      </c>
      <c r="W6438" t="s">
        <v>6720</v>
      </c>
    </row>
    <row r="6439" spans="1:23" ht="15.6" x14ac:dyDescent="0.4">
      <c r="A6439" s="2" t="s">
        <v>2280</v>
      </c>
      <c r="B6439" s="5" t="s">
        <v>12333</v>
      </c>
      <c r="C6439" s="7" t="s">
        <v>12556</v>
      </c>
      <c r="D6439" s="8">
        <f t="shared" si="404"/>
        <v>0</v>
      </c>
      <c r="E6439" s="7" t="s">
        <v>12557</v>
      </c>
      <c r="F6439" s="7">
        <f t="shared" si="405"/>
        <v>1</v>
      </c>
      <c r="G6439" s="7" t="s">
        <v>12558</v>
      </c>
      <c r="H6439" s="7">
        <f t="shared" si="406"/>
        <v>0</v>
      </c>
      <c r="I6439" s="7" t="str" cm="1">
        <f t="array" ref="I6439">IFERROR(_xlfn.IFS(M6439="נח",1,M6439="נע ונח",1,M6439="שני שווא נח",2,M6439="שני שוואים בסוף מילה",2,M6439="שני שוואים ברצף",1),"0")</f>
        <v>0</v>
      </c>
      <c r="J6439" s="9">
        <f t="shared" si="407"/>
        <v>3</v>
      </c>
      <c r="K6439" t="s">
        <v>6698</v>
      </c>
      <c r="L6439" t="s">
        <v>6694</v>
      </c>
      <c r="M6439" t="s">
        <v>6700</v>
      </c>
      <c r="Q6439" t="s">
        <v>6694</v>
      </c>
      <c r="V6439" t="s">
        <v>6694</v>
      </c>
      <c r="W6439" t="s">
        <v>6720</v>
      </c>
    </row>
    <row r="6440" spans="1:23" ht="15.6" x14ac:dyDescent="0.4">
      <c r="A6440" s="2" t="s">
        <v>1873</v>
      </c>
      <c r="B6440" s="5" t="s">
        <v>12334</v>
      </c>
      <c r="C6440" s="7" t="s">
        <v>12556</v>
      </c>
      <c r="D6440" s="8">
        <f t="shared" si="404"/>
        <v>0</v>
      </c>
      <c r="E6440" s="7" t="s">
        <v>12557</v>
      </c>
      <c r="F6440" s="7">
        <f t="shared" si="405"/>
        <v>1</v>
      </c>
      <c r="G6440" s="7" t="s">
        <v>12558</v>
      </c>
      <c r="H6440" s="7">
        <f t="shared" si="406"/>
        <v>0</v>
      </c>
      <c r="I6440" s="7" t="str" cm="1">
        <f t="array" ref="I6440">IFERROR(_xlfn.IFS(M6440="נח",1,M6440="נע ונח",1,M6440="שני שווא נח",2,M6440="שני שוואים בסוף מילה",2,M6440="שני שוואים ברצף",1),"0")</f>
        <v>0</v>
      </c>
      <c r="J6440" s="9">
        <f t="shared" si="407"/>
        <v>5</v>
      </c>
      <c r="K6440" t="s">
        <v>6697</v>
      </c>
      <c r="L6440" t="s">
        <v>6694</v>
      </c>
      <c r="M6440" t="s">
        <v>6703</v>
      </c>
      <c r="Q6440" t="s">
        <v>6694</v>
      </c>
      <c r="S6440" t="s">
        <v>6694</v>
      </c>
      <c r="V6440" t="s">
        <v>6694</v>
      </c>
      <c r="W6440" t="s">
        <v>6720</v>
      </c>
    </row>
    <row r="6441" spans="1:23" ht="15.6" x14ac:dyDescent="0.4">
      <c r="A6441" s="2" t="s">
        <v>4684</v>
      </c>
      <c r="B6441" s="5" t="s">
        <v>12335</v>
      </c>
      <c r="C6441" s="7" t="s">
        <v>12556</v>
      </c>
      <c r="D6441" s="8">
        <f t="shared" si="404"/>
        <v>0</v>
      </c>
      <c r="E6441" s="7" t="s">
        <v>12557</v>
      </c>
      <c r="F6441" s="7">
        <f t="shared" si="405"/>
        <v>1</v>
      </c>
      <c r="G6441" s="7" t="s">
        <v>12558</v>
      </c>
      <c r="H6441" s="7">
        <f t="shared" si="406"/>
        <v>0</v>
      </c>
      <c r="I6441" s="7" cm="1">
        <f t="array" ref="I6441">IFERROR(_xlfn.IFS(M6441="נח",1,M6441="נע ונח",1,M6441="שני שווא נח",2,M6441="שני שוואים בסוף מילה",2,M6441="שני שוואים ברצף",1),"0")</f>
        <v>1</v>
      </c>
      <c r="J6441" s="9">
        <f t="shared" si="407"/>
        <v>4</v>
      </c>
      <c r="K6441" t="s">
        <v>6697</v>
      </c>
      <c r="L6441" t="s">
        <v>6694</v>
      </c>
      <c r="M6441" t="s">
        <v>6701</v>
      </c>
      <c r="O6441" t="s">
        <v>6694</v>
      </c>
      <c r="P6441" t="s">
        <v>6694</v>
      </c>
      <c r="V6441" t="s">
        <v>6694</v>
      </c>
      <c r="W6441" t="s">
        <v>6720</v>
      </c>
    </row>
    <row r="6442" spans="1:23" ht="15.6" x14ac:dyDescent="0.4">
      <c r="A6442" s="2" t="s">
        <v>3628</v>
      </c>
      <c r="B6442" s="5" t="s">
        <v>12336</v>
      </c>
      <c r="C6442" s="7" t="s">
        <v>12556</v>
      </c>
      <c r="D6442" s="8">
        <f t="shared" si="404"/>
        <v>1</v>
      </c>
      <c r="E6442" s="7" t="s">
        <v>12557</v>
      </c>
      <c r="F6442" s="7">
        <f t="shared" si="405"/>
        <v>2</v>
      </c>
      <c r="G6442" s="7" t="s">
        <v>12558</v>
      </c>
      <c r="H6442" s="7">
        <f t="shared" si="406"/>
        <v>1</v>
      </c>
      <c r="I6442" s="7" t="str" cm="1">
        <f t="array" ref="I6442">IFERROR(_xlfn.IFS(M6442="נח",1,M6442="נע ונח",1,M6442="שני שווא נח",2,M6442="שני שוואים בסוף מילה",2,M6442="שני שוואים ברצף",1),"0")</f>
        <v>0</v>
      </c>
      <c r="J6442" s="9">
        <f t="shared" si="407"/>
        <v>4</v>
      </c>
      <c r="K6442" t="s">
        <v>6697</v>
      </c>
      <c r="L6442" t="s">
        <v>6694</v>
      </c>
      <c r="M6442" t="s">
        <v>6700</v>
      </c>
      <c r="Q6442" t="s">
        <v>6694</v>
      </c>
      <c r="S6442" t="s">
        <v>6694</v>
      </c>
      <c r="U6442" t="s">
        <v>6694</v>
      </c>
      <c r="W6442" t="s">
        <v>6720</v>
      </c>
    </row>
    <row r="6443" spans="1:23" ht="15.6" x14ac:dyDescent="0.4">
      <c r="A6443" s="2" t="s">
        <v>3336</v>
      </c>
      <c r="B6443" s="5" t="s">
        <v>12337</v>
      </c>
      <c r="C6443" s="7" t="s">
        <v>12556</v>
      </c>
      <c r="D6443" s="8">
        <f t="shared" si="404"/>
        <v>1</v>
      </c>
      <c r="E6443" s="7" t="s">
        <v>12557</v>
      </c>
      <c r="F6443" s="7">
        <f t="shared" si="405"/>
        <v>1</v>
      </c>
      <c r="G6443" s="7" t="s">
        <v>12558</v>
      </c>
      <c r="H6443" s="7">
        <f t="shared" si="406"/>
        <v>0</v>
      </c>
      <c r="I6443" s="7" t="str" cm="1">
        <f t="array" ref="I6443">IFERROR(_xlfn.IFS(M6443="נח",1,M6443="נע ונח",1,M6443="שני שווא נח",2,M6443="שני שוואים בסוף מילה",2,M6443="שני שוואים ברצף",1),"0")</f>
        <v>0</v>
      </c>
      <c r="J6443" s="9">
        <f t="shared" si="407"/>
        <v>4</v>
      </c>
      <c r="K6443" t="s">
        <v>6697</v>
      </c>
      <c r="L6443" t="s">
        <v>6694</v>
      </c>
      <c r="M6443" t="s">
        <v>6700</v>
      </c>
      <c r="Q6443" t="s">
        <v>6694</v>
      </c>
      <c r="S6443" t="s">
        <v>6694</v>
      </c>
      <c r="V6443" t="s">
        <v>6694</v>
      </c>
      <c r="W6443" t="s">
        <v>6720</v>
      </c>
    </row>
    <row r="6444" spans="1:23" ht="15.6" x14ac:dyDescent="0.4">
      <c r="A6444" s="2" t="s">
        <v>3329</v>
      </c>
      <c r="B6444" s="5" t="s">
        <v>12338</v>
      </c>
      <c r="C6444" s="7" t="s">
        <v>12556</v>
      </c>
      <c r="D6444" s="8">
        <f t="shared" si="404"/>
        <v>1</v>
      </c>
      <c r="E6444" s="7" t="s">
        <v>12557</v>
      </c>
      <c r="F6444" s="7">
        <f t="shared" si="405"/>
        <v>2</v>
      </c>
      <c r="G6444" s="7" t="s">
        <v>12558</v>
      </c>
      <c r="H6444" s="7">
        <f t="shared" si="406"/>
        <v>1</v>
      </c>
      <c r="I6444" s="7" t="str" cm="1">
        <f t="array" ref="I6444">IFERROR(_xlfn.IFS(M6444="נח",1,M6444="נע ונח",1,M6444="שני שווא נח",2,M6444="שני שוואים בסוף מילה",2,M6444="שני שוואים ברצף",1),"0")</f>
        <v>0</v>
      </c>
      <c r="J6444" s="9">
        <f t="shared" si="407"/>
        <v>4</v>
      </c>
      <c r="K6444" t="s">
        <v>6697</v>
      </c>
      <c r="L6444" t="s">
        <v>6694</v>
      </c>
      <c r="M6444" t="s">
        <v>6700</v>
      </c>
      <c r="P6444" t="s">
        <v>6694</v>
      </c>
      <c r="R6444" t="s">
        <v>6694</v>
      </c>
      <c r="U6444" t="s">
        <v>6694</v>
      </c>
      <c r="W6444" t="s">
        <v>6720</v>
      </c>
    </row>
    <row r="6445" spans="1:23" ht="15.6" x14ac:dyDescent="0.4">
      <c r="A6445" s="2" t="s">
        <v>4810</v>
      </c>
      <c r="B6445" s="5" t="s">
        <v>12339</v>
      </c>
      <c r="C6445" s="7" t="s">
        <v>12556</v>
      </c>
      <c r="D6445" s="8">
        <f t="shared" si="404"/>
        <v>1</v>
      </c>
      <c r="E6445" s="7" t="s">
        <v>12557</v>
      </c>
      <c r="F6445" s="7">
        <f t="shared" si="405"/>
        <v>2</v>
      </c>
      <c r="G6445" s="7" t="s">
        <v>12558</v>
      </c>
      <c r="H6445" s="7">
        <f t="shared" si="406"/>
        <v>0</v>
      </c>
      <c r="I6445" s="7" t="str" cm="1">
        <f t="array" ref="I6445">IFERROR(_xlfn.IFS(M6445="נח",1,M6445="נע ונח",1,M6445="שני שווא נח",2,M6445="שני שוואים בסוף מילה",2,M6445="שני שוואים ברצף",1),"0")</f>
        <v>0</v>
      </c>
      <c r="J6445" s="9">
        <f t="shared" si="407"/>
        <v>3</v>
      </c>
      <c r="K6445" t="s">
        <v>6698</v>
      </c>
      <c r="L6445" t="s">
        <v>6694</v>
      </c>
      <c r="M6445" t="s">
        <v>6700</v>
      </c>
      <c r="P6445" t="s">
        <v>6694</v>
      </c>
      <c r="W6445" t="s">
        <v>6720</v>
      </c>
    </row>
    <row r="6446" spans="1:23" ht="15.6" x14ac:dyDescent="0.4">
      <c r="A6446" s="2" t="s">
        <v>4236</v>
      </c>
      <c r="B6446" s="5" t="s">
        <v>12340</v>
      </c>
      <c r="C6446" s="7" t="s">
        <v>12556</v>
      </c>
      <c r="D6446" s="8">
        <f t="shared" si="404"/>
        <v>1</v>
      </c>
      <c r="E6446" s="7" t="s">
        <v>12557</v>
      </c>
      <c r="F6446" s="7">
        <f t="shared" si="405"/>
        <v>1</v>
      </c>
      <c r="G6446" s="7" t="s">
        <v>12558</v>
      </c>
      <c r="H6446" s="7">
        <f t="shared" si="406"/>
        <v>0</v>
      </c>
      <c r="I6446" s="7" t="str" cm="1">
        <f t="array" ref="I6446">IFERROR(_xlfn.IFS(M6446="נח",1,M6446="נע ונח",1,M6446="שני שווא נח",2,M6446="שני שוואים בסוף מילה",2,M6446="שני שוואים ברצף",1),"0")</f>
        <v>0</v>
      </c>
      <c r="J6446" s="9">
        <f t="shared" si="407"/>
        <v>3</v>
      </c>
      <c r="K6446" t="s">
        <v>6698</v>
      </c>
      <c r="L6446" t="s">
        <v>6694</v>
      </c>
      <c r="M6446" t="s">
        <v>6700</v>
      </c>
      <c r="Q6446" t="s">
        <v>6694</v>
      </c>
      <c r="V6446" t="s">
        <v>6694</v>
      </c>
      <c r="W6446" t="s">
        <v>6720</v>
      </c>
    </row>
    <row r="6447" spans="1:23" ht="15.6" x14ac:dyDescent="0.4">
      <c r="A6447" s="2" t="s">
        <v>4271</v>
      </c>
      <c r="B6447" s="5" t="s">
        <v>12341</v>
      </c>
      <c r="C6447" s="7" t="s">
        <v>12556</v>
      </c>
      <c r="D6447" s="8">
        <f t="shared" si="404"/>
        <v>1</v>
      </c>
      <c r="E6447" s="7" t="s">
        <v>12557</v>
      </c>
      <c r="F6447" s="7">
        <f t="shared" si="405"/>
        <v>2</v>
      </c>
      <c r="G6447" s="7" t="s">
        <v>12558</v>
      </c>
      <c r="H6447" s="7">
        <f t="shared" si="406"/>
        <v>1</v>
      </c>
      <c r="I6447" s="7" t="str" cm="1">
        <f t="array" ref="I6447">IFERROR(_xlfn.IFS(M6447="נח",1,M6447="נע ונח",1,M6447="שני שווא נח",2,M6447="שני שוואים בסוף מילה",2,M6447="שני שוואים ברצף",1),"0")</f>
        <v>0</v>
      </c>
      <c r="J6447" s="9">
        <f t="shared" si="407"/>
        <v>3</v>
      </c>
      <c r="K6447" t="s">
        <v>6698</v>
      </c>
      <c r="L6447" t="s">
        <v>6694</v>
      </c>
      <c r="M6447" t="s">
        <v>6700</v>
      </c>
      <c r="P6447" t="s">
        <v>6694</v>
      </c>
      <c r="U6447" t="s">
        <v>6694</v>
      </c>
      <c r="W6447" t="s">
        <v>6720</v>
      </c>
    </row>
    <row r="6448" spans="1:23" ht="15.6" x14ac:dyDescent="0.4">
      <c r="A6448" s="2" t="s">
        <v>2935</v>
      </c>
      <c r="B6448" s="5" t="s">
        <v>12232</v>
      </c>
      <c r="C6448" s="7" t="s">
        <v>12556</v>
      </c>
      <c r="D6448" s="8">
        <f t="shared" si="404"/>
        <v>1</v>
      </c>
      <c r="E6448" s="7" t="s">
        <v>12557</v>
      </c>
      <c r="F6448" s="7">
        <f t="shared" si="405"/>
        <v>2</v>
      </c>
      <c r="G6448" s="7" t="s">
        <v>12558</v>
      </c>
      <c r="H6448" s="7">
        <f t="shared" si="406"/>
        <v>1</v>
      </c>
      <c r="I6448" s="7" t="str" cm="1">
        <f t="array" ref="I6448">IFERROR(_xlfn.IFS(M6448="נח",1,M6448="נע ונח",1,M6448="שני שווא נח",2,M6448="שני שוואים בסוף מילה",2,M6448="שני שוואים ברצף",1),"0")</f>
        <v>0</v>
      </c>
      <c r="J6448" s="9">
        <f t="shared" si="407"/>
        <v>3</v>
      </c>
      <c r="K6448" t="s">
        <v>6697</v>
      </c>
      <c r="L6448" t="s">
        <v>6694</v>
      </c>
      <c r="M6448" t="s">
        <v>6700</v>
      </c>
      <c r="O6448" t="s">
        <v>6694</v>
      </c>
      <c r="U6448" t="s">
        <v>6694</v>
      </c>
      <c r="W6448" t="s">
        <v>6720</v>
      </c>
    </row>
    <row r="6449" spans="1:23" ht="15.6" x14ac:dyDescent="0.4">
      <c r="A6449" s="2" t="s">
        <v>3918</v>
      </c>
      <c r="B6449" s="5" t="s">
        <v>12342</v>
      </c>
      <c r="C6449" s="7" t="s">
        <v>12556</v>
      </c>
      <c r="D6449" s="8">
        <f t="shared" si="404"/>
        <v>1</v>
      </c>
      <c r="E6449" s="7" t="s">
        <v>12557</v>
      </c>
      <c r="F6449" s="7">
        <f t="shared" si="405"/>
        <v>2</v>
      </c>
      <c r="G6449" s="7" t="s">
        <v>12558</v>
      </c>
      <c r="H6449" s="7">
        <f t="shared" si="406"/>
        <v>1</v>
      </c>
      <c r="I6449" s="7" t="str" cm="1">
        <f t="array" ref="I6449">IFERROR(_xlfn.IFS(M6449="נח",1,M6449="נע ונח",1,M6449="שני שווא נח",2,M6449="שני שוואים בסוף מילה",2,M6449="שני שוואים ברצף",1),"0")</f>
        <v>0</v>
      </c>
      <c r="J6449" s="9">
        <f t="shared" si="407"/>
        <v>4</v>
      </c>
      <c r="K6449" t="s">
        <v>6697</v>
      </c>
      <c r="L6449" t="s">
        <v>6694</v>
      </c>
      <c r="M6449" t="s">
        <v>6700</v>
      </c>
      <c r="O6449" t="s">
        <v>6694</v>
      </c>
      <c r="S6449" t="s">
        <v>6694</v>
      </c>
      <c r="U6449" t="s">
        <v>6694</v>
      </c>
      <c r="W6449" t="s">
        <v>6720</v>
      </c>
    </row>
    <row r="6450" spans="1:23" ht="15.6" x14ac:dyDescent="0.4">
      <c r="A6450" s="2" t="s">
        <v>513</v>
      </c>
      <c r="B6450" s="5" t="s">
        <v>12343</v>
      </c>
      <c r="C6450" s="7" t="s">
        <v>12556</v>
      </c>
      <c r="D6450" s="8">
        <f t="shared" si="404"/>
        <v>1</v>
      </c>
      <c r="E6450" s="7" t="s">
        <v>12557</v>
      </c>
      <c r="F6450" s="7">
        <f t="shared" si="405"/>
        <v>2</v>
      </c>
      <c r="G6450" s="7" t="s">
        <v>12558</v>
      </c>
      <c r="H6450" s="7">
        <f t="shared" si="406"/>
        <v>1</v>
      </c>
      <c r="I6450" s="7" t="str" cm="1">
        <f t="array" ref="I6450">IFERROR(_xlfn.IFS(M6450="נח",1,M6450="נע ונח",1,M6450="שני שווא נח",2,M6450="שני שוואים בסוף מילה",2,M6450="שני שוואים ברצף",1),"0")</f>
        <v>0</v>
      </c>
      <c r="J6450" s="9">
        <f t="shared" si="407"/>
        <v>5</v>
      </c>
      <c r="K6450" t="s">
        <v>6697</v>
      </c>
      <c r="L6450" t="s">
        <v>6694</v>
      </c>
      <c r="M6450" t="s">
        <v>6700</v>
      </c>
      <c r="O6450" t="s">
        <v>6694</v>
      </c>
      <c r="R6450" t="s">
        <v>6694</v>
      </c>
      <c r="U6450" t="s">
        <v>6694</v>
      </c>
      <c r="W6450" t="s">
        <v>6720</v>
      </c>
    </row>
    <row r="6451" spans="1:23" ht="15.6" x14ac:dyDescent="0.4">
      <c r="A6451" s="2" t="s">
        <v>1857</v>
      </c>
      <c r="B6451" s="5" t="s">
        <v>12344</v>
      </c>
      <c r="C6451" s="7" t="s">
        <v>12556</v>
      </c>
      <c r="D6451" s="8">
        <f t="shared" si="404"/>
        <v>1</v>
      </c>
      <c r="E6451" s="7" t="s">
        <v>12557</v>
      </c>
      <c r="F6451" s="7">
        <f t="shared" si="405"/>
        <v>1</v>
      </c>
      <c r="G6451" s="7" t="s">
        <v>12558</v>
      </c>
      <c r="H6451" s="7">
        <f t="shared" si="406"/>
        <v>0</v>
      </c>
      <c r="I6451" s="7" t="str" cm="1">
        <f t="array" ref="I6451">IFERROR(_xlfn.IFS(M6451="נח",1,M6451="נע ונח",1,M6451="שני שווא נח",2,M6451="שני שוואים בסוף מילה",2,M6451="שני שוואים ברצף",1),"0")</f>
        <v>0</v>
      </c>
      <c r="J6451" s="9">
        <f t="shared" si="407"/>
        <v>4</v>
      </c>
      <c r="K6451" t="s">
        <v>6697</v>
      </c>
      <c r="L6451" t="s">
        <v>6694</v>
      </c>
      <c r="M6451" t="s">
        <v>6700</v>
      </c>
      <c r="Q6451" t="s">
        <v>6694</v>
      </c>
      <c r="S6451" t="s">
        <v>6694</v>
      </c>
      <c r="W6451" t="s">
        <v>6720</v>
      </c>
    </row>
    <row r="6452" spans="1:23" ht="15.6" x14ac:dyDescent="0.4">
      <c r="A6452" s="2" t="s">
        <v>3639</v>
      </c>
      <c r="B6452" s="5" t="s">
        <v>12345</v>
      </c>
      <c r="C6452" s="7" t="s">
        <v>12556</v>
      </c>
      <c r="D6452" s="8">
        <f t="shared" si="404"/>
        <v>1</v>
      </c>
      <c r="E6452" s="7" t="s">
        <v>12557</v>
      </c>
      <c r="F6452" s="7">
        <f t="shared" si="405"/>
        <v>2</v>
      </c>
      <c r="G6452" s="7" t="s">
        <v>12558</v>
      </c>
      <c r="H6452" s="7">
        <f t="shared" si="406"/>
        <v>1</v>
      </c>
      <c r="I6452" s="7" t="str" cm="1">
        <f t="array" ref="I6452">IFERROR(_xlfn.IFS(M6452="נח",1,M6452="נע ונח",1,M6452="שני שווא נח",2,M6452="שני שוואים בסוף מילה",2,M6452="שני שוואים ברצף",1),"0")</f>
        <v>0</v>
      </c>
      <c r="J6452" s="9">
        <f t="shared" si="407"/>
        <v>4</v>
      </c>
      <c r="K6452" t="s">
        <v>6697</v>
      </c>
      <c r="L6452" t="s">
        <v>6694</v>
      </c>
      <c r="M6452" t="s">
        <v>6700</v>
      </c>
      <c r="Q6452" t="s">
        <v>6694</v>
      </c>
      <c r="S6452" t="s">
        <v>6694</v>
      </c>
      <c r="U6452" t="s">
        <v>6694</v>
      </c>
      <c r="W6452" t="s">
        <v>6720</v>
      </c>
    </row>
    <row r="6453" spans="1:23" ht="15.6" x14ac:dyDescent="0.4">
      <c r="A6453" s="2" t="s">
        <v>6453</v>
      </c>
      <c r="B6453" s="5" t="s">
        <v>12346</v>
      </c>
      <c r="C6453" s="7" t="s">
        <v>12556</v>
      </c>
      <c r="D6453" s="8">
        <f t="shared" si="404"/>
        <v>1</v>
      </c>
      <c r="E6453" s="7" t="s">
        <v>12557</v>
      </c>
      <c r="F6453" s="7">
        <f t="shared" si="405"/>
        <v>2</v>
      </c>
      <c r="G6453" s="7" t="s">
        <v>12558</v>
      </c>
      <c r="H6453" s="7">
        <f t="shared" si="406"/>
        <v>0</v>
      </c>
      <c r="I6453" s="7" cm="1">
        <f t="array" ref="I6453">IFERROR(_xlfn.IFS(M6453="נח",1,M6453="נע ונח",1,M6453="שני שווא נח",2,M6453="שני שוואים בסוף מילה",2,M6453="שני שוואים ברצף",1),"0")</f>
        <v>1</v>
      </c>
      <c r="J6453" s="9">
        <f t="shared" si="407"/>
        <v>4</v>
      </c>
      <c r="K6453" t="s">
        <v>6697</v>
      </c>
      <c r="L6453" t="s">
        <v>6694</v>
      </c>
      <c r="M6453" t="s">
        <v>6701</v>
      </c>
      <c r="P6453" t="s">
        <v>6694</v>
      </c>
      <c r="Q6453" t="s">
        <v>6694</v>
      </c>
      <c r="S6453" t="s">
        <v>6694</v>
      </c>
      <c r="W6453" t="s">
        <v>6720</v>
      </c>
    </row>
    <row r="6454" spans="1:23" ht="15.6" x14ac:dyDescent="0.4">
      <c r="A6454" s="2" t="s">
        <v>1565</v>
      </c>
      <c r="B6454" s="5" t="s">
        <v>12347</v>
      </c>
      <c r="C6454" s="7" t="s">
        <v>12556</v>
      </c>
      <c r="D6454" s="8">
        <f t="shared" si="404"/>
        <v>0</v>
      </c>
      <c r="E6454" s="7" t="s">
        <v>12557</v>
      </c>
      <c r="F6454" s="7">
        <f t="shared" si="405"/>
        <v>1</v>
      </c>
      <c r="G6454" s="7" t="s">
        <v>12558</v>
      </c>
      <c r="H6454" s="7">
        <f t="shared" si="406"/>
        <v>0</v>
      </c>
      <c r="I6454" s="7" t="str" cm="1">
        <f t="array" ref="I6454">IFERROR(_xlfn.IFS(M6454="נח",1,M6454="נע ונח",1,M6454="שני שווא נח",2,M6454="שני שוואים בסוף מילה",2,M6454="שני שוואים ברצף",1),"0")</f>
        <v>0</v>
      </c>
      <c r="J6454" s="9">
        <f t="shared" si="407"/>
        <v>3</v>
      </c>
      <c r="K6454" t="s">
        <v>6698</v>
      </c>
      <c r="L6454" t="s">
        <v>6694</v>
      </c>
      <c r="M6454" t="s">
        <v>6700</v>
      </c>
      <c r="P6454" t="s">
        <v>6694</v>
      </c>
      <c r="Q6454" t="s">
        <v>6694</v>
      </c>
      <c r="W6454" t="s">
        <v>6720</v>
      </c>
    </row>
    <row r="6455" spans="1:23" ht="15.6" x14ac:dyDescent="0.4">
      <c r="A6455" s="2" t="s">
        <v>6617</v>
      </c>
      <c r="B6455" s="5" t="s">
        <v>12233</v>
      </c>
      <c r="C6455" s="7" t="s">
        <v>12556</v>
      </c>
      <c r="D6455" s="8">
        <f t="shared" si="404"/>
        <v>0</v>
      </c>
      <c r="E6455" s="7" t="s">
        <v>12557</v>
      </c>
      <c r="F6455" s="7">
        <f t="shared" si="405"/>
        <v>1</v>
      </c>
      <c r="G6455" s="7" t="s">
        <v>12558</v>
      </c>
      <c r="H6455" s="7">
        <f t="shared" si="406"/>
        <v>0</v>
      </c>
      <c r="I6455" s="7" cm="1">
        <f t="array" ref="I6455">IFERROR(_xlfn.IFS(M6455="נח",1,M6455="נע ונח",1,M6455="שני שווא נח",2,M6455="שני שוואים בסוף מילה",2,M6455="שני שוואים ברצף",1),"0")</f>
        <v>1</v>
      </c>
      <c r="J6455" s="9">
        <f t="shared" si="407"/>
        <v>2</v>
      </c>
      <c r="K6455" t="s">
        <v>6697</v>
      </c>
      <c r="L6455" t="s">
        <v>6694</v>
      </c>
      <c r="M6455" t="s">
        <v>6705</v>
      </c>
      <c r="R6455" t="s">
        <v>6694</v>
      </c>
      <c r="S6455" t="s">
        <v>6694</v>
      </c>
      <c r="W6455" t="s">
        <v>6720</v>
      </c>
    </row>
    <row r="6456" spans="1:23" ht="15.6" x14ac:dyDescent="0.4">
      <c r="A6456" s="2" t="s">
        <v>4366</v>
      </c>
      <c r="B6456" s="5" t="s">
        <v>12348</v>
      </c>
      <c r="C6456" s="7" t="s">
        <v>12556</v>
      </c>
      <c r="D6456" s="8">
        <f t="shared" si="404"/>
        <v>0</v>
      </c>
      <c r="E6456" s="7" t="s">
        <v>12557</v>
      </c>
      <c r="F6456" s="7">
        <f t="shared" si="405"/>
        <v>1</v>
      </c>
      <c r="G6456" s="7" t="s">
        <v>12558</v>
      </c>
      <c r="H6456" s="7">
        <f t="shared" si="406"/>
        <v>0</v>
      </c>
      <c r="I6456" s="7" cm="1">
        <f t="array" ref="I6456">IFERROR(_xlfn.IFS(M6456="נח",1,M6456="נע ונח",1,M6456="שני שווא נח",2,M6456="שני שוואים בסוף מילה",2,M6456="שני שוואים ברצף",1),"0")</f>
        <v>1</v>
      </c>
      <c r="J6456" s="9">
        <f t="shared" si="407"/>
        <v>2</v>
      </c>
      <c r="K6456" t="s">
        <v>6698</v>
      </c>
      <c r="L6456" t="s">
        <v>6694</v>
      </c>
      <c r="M6456" t="s">
        <v>6705</v>
      </c>
      <c r="P6456" t="s">
        <v>6694</v>
      </c>
      <c r="S6456" t="s">
        <v>6694</v>
      </c>
      <c r="W6456" t="s">
        <v>6720</v>
      </c>
    </row>
    <row r="6457" spans="1:23" ht="15.6" x14ac:dyDescent="0.4">
      <c r="A6457" s="2" t="s">
        <v>1304</v>
      </c>
      <c r="B6457" s="5" t="s">
        <v>12349</v>
      </c>
      <c r="C6457" s="7" t="s">
        <v>12556</v>
      </c>
      <c r="D6457" s="8">
        <f t="shared" si="404"/>
        <v>0</v>
      </c>
      <c r="E6457" s="7" t="s">
        <v>12557</v>
      </c>
      <c r="F6457" s="7">
        <f t="shared" si="405"/>
        <v>2</v>
      </c>
      <c r="G6457" s="7" t="s">
        <v>12558</v>
      </c>
      <c r="H6457" s="7">
        <f t="shared" si="406"/>
        <v>1</v>
      </c>
      <c r="I6457" s="7" cm="1">
        <f t="array" ref="I6457">IFERROR(_xlfn.IFS(M6457="נח",1,M6457="נע ונח",1,M6457="שני שווא נח",2,M6457="שני שוואים בסוף מילה",2,M6457="שני שוואים ברצף",1),"0")</f>
        <v>1</v>
      </c>
      <c r="J6457" s="9">
        <f t="shared" si="407"/>
        <v>3</v>
      </c>
      <c r="K6457" t="s">
        <v>6697</v>
      </c>
      <c r="L6457" t="s">
        <v>6694</v>
      </c>
      <c r="M6457" t="s">
        <v>6702</v>
      </c>
      <c r="S6457" t="s">
        <v>6694</v>
      </c>
      <c r="U6457" t="s">
        <v>6694</v>
      </c>
      <c r="W6457" t="s">
        <v>6720</v>
      </c>
    </row>
    <row r="6458" spans="1:23" ht="15.6" x14ac:dyDescent="0.4">
      <c r="A6458" s="2" t="s">
        <v>4612</v>
      </c>
      <c r="B6458" s="5" t="s">
        <v>12350</v>
      </c>
      <c r="C6458" s="7" t="s">
        <v>12556</v>
      </c>
      <c r="D6458" s="8">
        <f t="shared" si="404"/>
        <v>0</v>
      </c>
      <c r="E6458" s="7" t="s">
        <v>12557</v>
      </c>
      <c r="F6458" s="7">
        <f t="shared" si="405"/>
        <v>1</v>
      </c>
      <c r="G6458" s="7" t="s">
        <v>12558</v>
      </c>
      <c r="H6458" s="7">
        <f t="shared" si="406"/>
        <v>0</v>
      </c>
      <c r="I6458" s="7" cm="1">
        <f t="array" ref="I6458">IFERROR(_xlfn.IFS(M6458="נח",1,M6458="נע ונח",1,M6458="שני שווא נח",2,M6458="שני שוואים בסוף מילה",2,M6458="שני שוואים ברצף",1),"0")</f>
        <v>1</v>
      </c>
      <c r="J6458" s="9">
        <f t="shared" si="407"/>
        <v>4</v>
      </c>
      <c r="K6458" t="s">
        <v>6697</v>
      </c>
      <c r="L6458" t="s">
        <v>6694</v>
      </c>
      <c r="M6458" t="s">
        <v>6705</v>
      </c>
      <c r="O6458" t="s">
        <v>6694</v>
      </c>
      <c r="Q6458" t="s">
        <v>6694</v>
      </c>
      <c r="S6458" t="s">
        <v>6694</v>
      </c>
      <c r="W6458" t="s">
        <v>6720</v>
      </c>
    </row>
    <row r="6459" spans="1:23" ht="15.6" x14ac:dyDescent="0.4">
      <c r="A6459" s="2" t="s">
        <v>3930</v>
      </c>
      <c r="B6459" s="5" t="s">
        <v>12351</v>
      </c>
      <c r="C6459" s="7" t="s">
        <v>12556</v>
      </c>
      <c r="D6459" s="8">
        <f t="shared" si="404"/>
        <v>0</v>
      </c>
      <c r="E6459" s="7" t="s">
        <v>12557</v>
      </c>
      <c r="F6459" s="7">
        <f t="shared" si="405"/>
        <v>1</v>
      </c>
      <c r="G6459" s="7" t="s">
        <v>12558</v>
      </c>
      <c r="H6459" s="7">
        <f t="shared" si="406"/>
        <v>0</v>
      </c>
      <c r="I6459" s="7" cm="1">
        <f t="array" ref="I6459">IFERROR(_xlfn.IFS(M6459="נח",1,M6459="נע ונח",1,M6459="שני שווא נח",2,M6459="שני שוואים בסוף מילה",2,M6459="שני שוואים ברצף",1),"0")</f>
        <v>1</v>
      </c>
      <c r="J6459" s="9">
        <f t="shared" si="407"/>
        <v>2</v>
      </c>
      <c r="K6459" t="s">
        <v>6697</v>
      </c>
      <c r="L6459" t="s">
        <v>6694</v>
      </c>
      <c r="M6459" t="s">
        <v>6705</v>
      </c>
      <c r="R6459" t="s">
        <v>6694</v>
      </c>
      <c r="S6459" t="s">
        <v>6694</v>
      </c>
      <c r="W6459" t="s">
        <v>6720</v>
      </c>
    </row>
    <row r="6460" spans="1:23" ht="15.6" x14ac:dyDescent="0.4">
      <c r="A6460" s="2" t="s">
        <v>5464</v>
      </c>
      <c r="B6460" s="5" t="s">
        <v>12234</v>
      </c>
      <c r="C6460" s="7" t="s">
        <v>12556</v>
      </c>
      <c r="D6460" s="8">
        <f t="shared" si="404"/>
        <v>0</v>
      </c>
      <c r="E6460" s="7" t="s">
        <v>12557</v>
      </c>
      <c r="F6460" s="7">
        <f t="shared" si="405"/>
        <v>1</v>
      </c>
      <c r="G6460" s="7" t="s">
        <v>12558</v>
      </c>
      <c r="H6460" s="7">
        <f t="shared" si="406"/>
        <v>0</v>
      </c>
      <c r="I6460" s="7" cm="1">
        <f t="array" ref="I6460">IFERROR(_xlfn.IFS(M6460="נח",1,M6460="נע ונח",1,M6460="שני שווא נח",2,M6460="שני שוואים בסוף מילה",2,M6460="שני שוואים ברצף",1),"0")</f>
        <v>1</v>
      </c>
      <c r="J6460" s="9">
        <f t="shared" si="407"/>
        <v>2</v>
      </c>
      <c r="K6460" t="s">
        <v>6698</v>
      </c>
      <c r="L6460" t="s">
        <v>6694</v>
      </c>
      <c r="M6460" t="s">
        <v>6705</v>
      </c>
      <c r="P6460" t="s">
        <v>6694</v>
      </c>
      <c r="S6460" t="s">
        <v>6694</v>
      </c>
      <c r="W6460" t="s">
        <v>6720</v>
      </c>
    </row>
    <row r="6461" spans="1:23" ht="15.6" x14ac:dyDescent="0.4">
      <c r="A6461" s="2" t="s">
        <v>1644</v>
      </c>
      <c r="B6461" s="5" t="s">
        <v>12352</v>
      </c>
      <c r="C6461" s="7" t="s">
        <v>12556</v>
      </c>
      <c r="D6461" s="8">
        <f t="shared" si="404"/>
        <v>0</v>
      </c>
      <c r="E6461" s="7" t="s">
        <v>12557</v>
      </c>
      <c r="F6461" s="7">
        <f t="shared" si="405"/>
        <v>3</v>
      </c>
      <c r="G6461" s="7" t="s">
        <v>12558</v>
      </c>
      <c r="H6461" s="7">
        <f t="shared" si="406"/>
        <v>1</v>
      </c>
      <c r="I6461" s="7" cm="1">
        <f t="array" ref="I6461">IFERROR(_xlfn.IFS(M6461="נח",1,M6461="נע ונח",1,M6461="שני שווא נח",2,M6461="שני שוואים בסוף מילה",2,M6461="שני שוואים ברצף",1),"0")</f>
        <v>1</v>
      </c>
      <c r="J6461" s="9">
        <f t="shared" si="407"/>
        <v>2</v>
      </c>
      <c r="K6461" t="s">
        <v>6697</v>
      </c>
      <c r="L6461" t="s">
        <v>6694</v>
      </c>
      <c r="M6461" t="s">
        <v>6705</v>
      </c>
      <c r="S6461" t="s">
        <v>6694</v>
      </c>
      <c r="U6461" t="s">
        <v>6694</v>
      </c>
      <c r="W6461" t="s">
        <v>6720</v>
      </c>
    </row>
    <row r="6462" spans="1:23" ht="15.6" x14ac:dyDescent="0.4">
      <c r="A6462" s="2" t="s">
        <v>2338</v>
      </c>
      <c r="B6462" s="5" t="s">
        <v>12353</v>
      </c>
      <c r="C6462" s="7" t="s">
        <v>12556</v>
      </c>
      <c r="D6462" s="8">
        <f t="shared" si="404"/>
        <v>0</v>
      </c>
      <c r="E6462" s="7" t="s">
        <v>12557</v>
      </c>
      <c r="F6462" s="7">
        <f t="shared" si="405"/>
        <v>2</v>
      </c>
      <c r="G6462" s="7" t="s">
        <v>12558</v>
      </c>
      <c r="H6462" s="7">
        <f t="shared" si="406"/>
        <v>0</v>
      </c>
      <c r="I6462" s="7" t="str" cm="1">
        <f t="array" ref="I6462">IFERROR(_xlfn.IFS(M6462="נח",1,M6462="נע ונח",1,M6462="שני שווא נח",2,M6462="שני שוואים בסוף מילה",2,M6462="שני שוואים ברצף",1),"0")</f>
        <v>0</v>
      </c>
      <c r="J6462" s="9">
        <f t="shared" si="407"/>
        <v>2</v>
      </c>
      <c r="K6462" t="s">
        <v>6698</v>
      </c>
      <c r="L6462" t="s">
        <v>6695</v>
      </c>
      <c r="S6462" t="s">
        <v>6694</v>
      </c>
      <c r="V6462" t="s">
        <v>6694</v>
      </c>
      <c r="W6462" t="s">
        <v>6720</v>
      </c>
    </row>
    <row r="6463" spans="1:23" ht="15.6" x14ac:dyDescent="0.4">
      <c r="A6463" s="2" t="s">
        <v>5940</v>
      </c>
      <c r="B6463" s="5" t="s">
        <v>12354</v>
      </c>
      <c r="C6463" s="7" t="s">
        <v>12556</v>
      </c>
      <c r="D6463" s="8">
        <f t="shared" si="404"/>
        <v>0</v>
      </c>
      <c r="E6463" s="7" t="s">
        <v>12557</v>
      </c>
      <c r="F6463" s="7">
        <f t="shared" si="405"/>
        <v>2</v>
      </c>
      <c r="G6463" s="7" t="s">
        <v>12558</v>
      </c>
      <c r="H6463" s="7">
        <f t="shared" si="406"/>
        <v>0</v>
      </c>
      <c r="I6463" s="7" cm="1">
        <f t="array" ref="I6463">IFERROR(_xlfn.IFS(M6463="נח",1,M6463="נע ונח",1,M6463="שני שווא נח",2,M6463="שני שוואים בסוף מילה",2,M6463="שני שוואים ברצף",1),"0")</f>
        <v>1</v>
      </c>
      <c r="J6463" s="9">
        <f t="shared" si="407"/>
        <v>2</v>
      </c>
      <c r="K6463" t="s">
        <v>6698</v>
      </c>
      <c r="L6463" t="s">
        <v>6694</v>
      </c>
      <c r="M6463" t="s">
        <v>6705</v>
      </c>
      <c r="P6463" t="s">
        <v>6694</v>
      </c>
      <c r="S6463" t="s">
        <v>6694</v>
      </c>
      <c r="W6463" t="s">
        <v>6720</v>
      </c>
    </row>
    <row r="6464" spans="1:23" ht="15.6" x14ac:dyDescent="0.4">
      <c r="A6464" s="2" t="s">
        <v>2342</v>
      </c>
      <c r="B6464" s="5" t="s">
        <v>12355</v>
      </c>
      <c r="C6464" s="7" t="s">
        <v>12556</v>
      </c>
      <c r="D6464" s="8">
        <f t="shared" si="404"/>
        <v>0</v>
      </c>
      <c r="E6464" s="7" t="s">
        <v>12557</v>
      </c>
      <c r="F6464" s="7">
        <f t="shared" si="405"/>
        <v>1</v>
      </c>
      <c r="G6464" s="7" t="s">
        <v>12558</v>
      </c>
      <c r="H6464" s="7">
        <f t="shared" si="406"/>
        <v>0</v>
      </c>
      <c r="I6464" s="7" cm="1">
        <f t="array" ref="I6464">IFERROR(_xlfn.IFS(M6464="נח",1,M6464="נע ונח",1,M6464="שני שווא נח",2,M6464="שני שוואים בסוף מילה",2,M6464="שני שוואים ברצף",1),"0")</f>
        <v>2</v>
      </c>
      <c r="J6464" s="9">
        <f t="shared" si="407"/>
        <v>2</v>
      </c>
      <c r="K6464" t="s">
        <v>6698</v>
      </c>
      <c r="L6464" t="s">
        <v>6694</v>
      </c>
      <c r="M6464" t="s">
        <v>6704</v>
      </c>
      <c r="S6464" t="s">
        <v>6694</v>
      </c>
      <c r="V6464" t="s">
        <v>6694</v>
      </c>
      <c r="W6464" t="s">
        <v>6720</v>
      </c>
    </row>
    <row r="6465" spans="1:23" ht="15.6" x14ac:dyDescent="0.4">
      <c r="A6465" s="2" t="s">
        <v>6576</v>
      </c>
      <c r="B6465" s="5" t="s">
        <v>12356</v>
      </c>
      <c r="C6465" s="7" t="s">
        <v>12556</v>
      </c>
      <c r="D6465" s="8">
        <f t="shared" si="404"/>
        <v>1</v>
      </c>
      <c r="E6465" s="7" t="s">
        <v>12557</v>
      </c>
      <c r="F6465" s="7">
        <f t="shared" si="405"/>
        <v>1</v>
      </c>
      <c r="G6465" s="7" t="s">
        <v>12558</v>
      </c>
      <c r="H6465" s="7">
        <f t="shared" si="406"/>
        <v>0</v>
      </c>
      <c r="I6465" s="7" cm="1">
        <f t="array" ref="I6465">IFERROR(_xlfn.IFS(M6465="נח",1,M6465="נע ונח",1,M6465="שני שווא נח",2,M6465="שני שוואים בסוף מילה",2,M6465="שני שוואים ברצף",1),"0")</f>
        <v>1</v>
      </c>
      <c r="J6465" s="9">
        <f t="shared" si="407"/>
        <v>2</v>
      </c>
      <c r="K6465" t="s">
        <v>6698</v>
      </c>
      <c r="L6465" t="s">
        <v>6694</v>
      </c>
      <c r="M6465" t="s">
        <v>6705</v>
      </c>
      <c r="S6465" t="s">
        <v>6694</v>
      </c>
      <c r="V6465" t="s">
        <v>6694</v>
      </c>
      <c r="W6465" t="s">
        <v>6720</v>
      </c>
    </row>
    <row r="6466" spans="1:23" ht="15.6" x14ac:dyDescent="0.4">
      <c r="A6466" s="2" t="s">
        <v>5171</v>
      </c>
      <c r="B6466" s="5" t="s">
        <v>12357</v>
      </c>
      <c r="C6466" s="7" t="s">
        <v>12556</v>
      </c>
      <c r="D6466" s="8">
        <f t="shared" si="404"/>
        <v>1</v>
      </c>
      <c r="E6466" s="7" t="s">
        <v>12557</v>
      </c>
      <c r="F6466" s="7">
        <f t="shared" si="405"/>
        <v>1</v>
      </c>
      <c r="G6466" s="7" t="s">
        <v>12558</v>
      </c>
      <c r="H6466" s="7">
        <f t="shared" si="406"/>
        <v>0</v>
      </c>
      <c r="I6466" s="7" cm="1">
        <f t="array" ref="I6466">IFERROR(_xlfn.IFS(M6466="נח",1,M6466="נע ונח",1,M6466="שני שווא נח",2,M6466="שני שוואים בסוף מילה",2,M6466="שני שוואים ברצף",1),"0")</f>
        <v>1</v>
      </c>
      <c r="J6466" s="9">
        <f t="shared" si="407"/>
        <v>2</v>
      </c>
      <c r="K6466" t="s">
        <v>6698</v>
      </c>
      <c r="L6466" t="s">
        <v>6694</v>
      </c>
      <c r="M6466" t="s">
        <v>6705</v>
      </c>
      <c r="S6466" t="s">
        <v>6694</v>
      </c>
      <c r="V6466" t="s">
        <v>6694</v>
      </c>
      <c r="W6466" t="s">
        <v>6720</v>
      </c>
    </row>
    <row r="6467" spans="1:23" ht="15.6" x14ac:dyDescent="0.4">
      <c r="A6467" s="2" t="s">
        <v>190</v>
      </c>
      <c r="B6467" s="5" t="s">
        <v>12358</v>
      </c>
      <c r="C6467" s="7" t="s">
        <v>12556</v>
      </c>
      <c r="D6467" s="8">
        <f t="shared" ref="D6467:D6530" si="408">(LEN(B6467)-LEN(SUBSTITUTE(B6467,C6467,"")))</f>
        <v>0</v>
      </c>
      <c r="E6467" s="7" t="s">
        <v>12557</v>
      </c>
      <c r="F6467" s="7">
        <f t="shared" ref="F6467:F6530" si="409">(LEN(A6467)-LEN(SUBSTITUTE(A6467,E6467,"")))</f>
        <v>4</v>
      </c>
      <c r="G6467" s="7" t="s">
        <v>12558</v>
      </c>
      <c r="H6467" s="7">
        <f t="shared" ref="H6467:H6530" si="410">(LEN(A6467)-LEN(SUBSTITUTE(A6467,G6467,"")))/2</f>
        <v>1</v>
      </c>
      <c r="I6467" s="7" cm="1">
        <f t="array" ref="I6467">IFERROR(_xlfn.IFS(M6467="נח",1,M6467="נע ונח",1,M6467="שני שווא נח",2,M6467="שני שוואים בסוף מילה",2,M6467="שני שוואים ברצף",1),"0")</f>
        <v>1</v>
      </c>
      <c r="J6467" s="9">
        <f t="shared" ref="J6467:J6530" si="411">LEN(A6467)-(LEN(B6467))-D6467-F6467+H6467-I6467</f>
        <v>3</v>
      </c>
      <c r="K6467" t="s">
        <v>6697</v>
      </c>
      <c r="L6467" t="s">
        <v>6694</v>
      </c>
      <c r="M6467" t="s">
        <v>6705</v>
      </c>
      <c r="R6467" t="s">
        <v>6694</v>
      </c>
      <c r="S6467" t="s">
        <v>6694</v>
      </c>
      <c r="U6467" t="s">
        <v>6694</v>
      </c>
      <c r="W6467" t="s">
        <v>6720</v>
      </c>
    </row>
    <row r="6468" spans="1:23" ht="15.6" x14ac:dyDescent="0.4">
      <c r="A6468" s="2" t="s">
        <v>4963</v>
      </c>
      <c r="B6468" s="5" t="s">
        <v>12359</v>
      </c>
      <c r="C6468" s="7" t="s">
        <v>12556</v>
      </c>
      <c r="D6468" s="8">
        <f t="shared" si="408"/>
        <v>0</v>
      </c>
      <c r="E6468" s="7" t="s">
        <v>12557</v>
      </c>
      <c r="F6468" s="7">
        <f t="shared" si="409"/>
        <v>1</v>
      </c>
      <c r="G6468" s="7" t="s">
        <v>12558</v>
      </c>
      <c r="H6468" s="7">
        <f t="shared" si="410"/>
        <v>0</v>
      </c>
      <c r="I6468" s="7" cm="1">
        <f t="array" ref="I6468">IFERROR(_xlfn.IFS(M6468="נח",1,M6468="נע ונח",1,M6468="שני שווא נח",2,M6468="שני שוואים בסוף מילה",2,M6468="שני שוואים ברצף",1),"0")</f>
        <v>1</v>
      </c>
      <c r="J6468" s="9">
        <f t="shared" si="411"/>
        <v>2</v>
      </c>
      <c r="K6468" t="s">
        <v>6697</v>
      </c>
      <c r="L6468" t="s">
        <v>6694</v>
      </c>
      <c r="M6468" t="s">
        <v>6705</v>
      </c>
      <c r="R6468" t="s">
        <v>6694</v>
      </c>
      <c r="S6468" t="s">
        <v>6694</v>
      </c>
      <c r="W6468" t="s">
        <v>6720</v>
      </c>
    </row>
    <row r="6469" spans="1:23" ht="15.6" x14ac:dyDescent="0.4">
      <c r="A6469" s="2" t="s">
        <v>2721</v>
      </c>
      <c r="B6469" s="5" t="s">
        <v>12360</v>
      </c>
      <c r="C6469" s="7" t="s">
        <v>12556</v>
      </c>
      <c r="D6469" s="8">
        <f t="shared" si="408"/>
        <v>0</v>
      </c>
      <c r="E6469" s="7" t="s">
        <v>12557</v>
      </c>
      <c r="F6469" s="7">
        <f t="shared" si="409"/>
        <v>2</v>
      </c>
      <c r="G6469" s="7" t="s">
        <v>12558</v>
      </c>
      <c r="H6469" s="7">
        <f t="shared" si="410"/>
        <v>1</v>
      </c>
      <c r="I6469" s="7" cm="1">
        <f t="array" ref="I6469">IFERROR(_xlfn.IFS(M6469="נח",1,M6469="נע ונח",1,M6469="שני שווא נח",2,M6469="שני שוואים בסוף מילה",2,M6469="שני שוואים ברצף",1),"0")</f>
        <v>1</v>
      </c>
      <c r="J6469" s="9">
        <f t="shared" si="411"/>
        <v>2</v>
      </c>
      <c r="K6469" t="s">
        <v>6697</v>
      </c>
      <c r="L6469" t="s">
        <v>6694</v>
      </c>
      <c r="M6469" t="s">
        <v>6705</v>
      </c>
      <c r="S6469" t="s">
        <v>6694</v>
      </c>
      <c r="U6469" t="s">
        <v>6694</v>
      </c>
      <c r="W6469" t="s">
        <v>6720</v>
      </c>
    </row>
    <row r="6470" spans="1:23" ht="15.6" x14ac:dyDescent="0.4">
      <c r="A6470" s="2" t="s">
        <v>5404</v>
      </c>
      <c r="B6470" s="5" t="s">
        <v>12361</v>
      </c>
      <c r="C6470" s="7" t="s">
        <v>12556</v>
      </c>
      <c r="D6470" s="8">
        <f t="shared" si="408"/>
        <v>0</v>
      </c>
      <c r="E6470" s="7" t="s">
        <v>12557</v>
      </c>
      <c r="F6470" s="7">
        <f t="shared" si="409"/>
        <v>1</v>
      </c>
      <c r="G6470" s="7" t="s">
        <v>12558</v>
      </c>
      <c r="H6470" s="7">
        <f t="shared" si="410"/>
        <v>0</v>
      </c>
      <c r="I6470" s="7" cm="1">
        <f t="array" ref="I6470">IFERROR(_xlfn.IFS(M6470="נח",1,M6470="נע ונח",1,M6470="שני שווא נח",2,M6470="שני שוואים בסוף מילה",2,M6470="שני שוואים ברצף",1),"0")</f>
        <v>1</v>
      </c>
      <c r="J6470" s="9">
        <f t="shared" si="411"/>
        <v>3</v>
      </c>
      <c r="K6470" t="s">
        <v>6698</v>
      </c>
      <c r="L6470" t="s">
        <v>6694</v>
      </c>
      <c r="M6470" t="s">
        <v>6705</v>
      </c>
      <c r="P6470" t="s">
        <v>6694</v>
      </c>
      <c r="S6470" t="s">
        <v>6694</v>
      </c>
      <c r="W6470" t="s">
        <v>6720</v>
      </c>
    </row>
    <row r="6471" spans="1:23" ht="15.6" x14ac:dyDescent="0.4">
      <c r="A6471" s="2" t="s">
        <v>3889</v>
      </c>
      <c r="B6471" s="5" t="s">
        <v>12362</v>
      </c>
      <c r="C6471" s="7" t="s">
        <v>12556</v>
      </c>
      <c r="D6471" s="8">
        <f t="shared" si="408"/>
        <v>0</v>
      </c>
      <c r="E6471" s="7" t="s">
        <v>12557</v>
      </c>
      <c r="F6471" s="7">
        <f t="shared" si="409"/>
        <v>2</v>
      </c>
      <c r="G6471" s="7" t="s">
        <v>12558</v>
      </c>
      <c r="H6471" s="7">
        <f t="shared" si="410"/>
        <v>0</v>
      </c>
      <c r="I6471" s="7" cm="1">
        <f t="array" ref="I6471">IFERROR(_xlfn.IFS(M6471="נח",1,M6471="נע ונח",1,M6471="שני שווא נח",2,M6471="שני שוואים בסוף מילה",2,M6471="שני שוואים ברצף",1),"0")</f>
        <v>1</v>
      </c>
      <c r="J6471" s="9">
        <f t="shared" si="411"/>
        <v>2</v>
      </c>
      <c r="K6471" t="s">
        <v>6697</v>
      </c>
      <c r="L6471" t="s">
        <v>6694</v>
      </c>
      <c r="M6471" t="s">
        <v>6705</v>
      </c>
      <c r="R6471" t="s">
        <v>6694</v>
      </c>
      <c r="S6471" t="s">
        <v>6694</v>
      </c>
      <c r="W6471" t="s">
        <v>6720</v>
      </c>
    </row>
    <row r="6472" spans="1:23" ht="15.6" x14ac:dyDescent="0.4">
      <c r="A6472" s="2" t="s">
        <v>5470</v>
      </c>
      <c r="B6472" s="5" t="s">
        <v>12363</v>
      </c>
      <c r="C6472" s="7" t="s">
        <v>12556</v>
      </c>
      <c r="D6472" s="8">
        <f t="shared" si="408"/>
        <v>0</v>
      </c>
      <c r="E6472" s="7" t="s">
        <v>12557</v>
      </c>
      <c r="F6472" s="7">
        <f t="shared" si="409"/>
        <v>2</v>
      </c>
      <c r="G6472" s="7" t="s">
        <v>12558</v>
      </c>
      <c r="H6472" s="7">
        <f t="shared" si="410"/>
        <v>0</v>
      </c>
      <c r="I6472" s="7" cm="1">
        <f t="array" ref="I6472">IFERROR(_xlfn.IFS(M6472="נח",1,M6472="נע ונח",1,M6472="שני שווא נח",2,M6472="שני שוואים בסוף מילה",2,M6472="שני שוואים ברצף",1),"0")</f>
        <v>1</v>
      </c>
      <c r="J6472" s="9">
        <f t="shared" si="411"/>
        <v>2</v>
      </c>
      <c r="K6472" t="s">
        <v>6698</v>
      </c>
      <c r="L6472" t="s">
        <v>6694</v>
      </c>
      <c r="M6472" t="s">
        <v>6705</v>
      </c>
      <c r="N6472" t="s">
        <v>6706</v>
      </c>
      <c r="O6472" t="s">
        <v>6694</v>
      </c>
      <c r="S6472" t="s">
        <v>6694</v>
      </c>
      <c r="W6472" t="s">
        <v>6720</v>
      </c>
    </row>
    <row r="6473" spans="1:23" ht="15.6" x14ac:dyDescent="0.4">
      <c r="A6473" s="2" t="s">
        <v>894</v>
      </c>
      <c r="B6473" s="5" t="s">
        <v>12363</v>
      </c>
      <c r="C6473" s="7" t="s">
        <v>12556</v>
      </c>
      <c r="D6473" s="8">
        <f t="shared" si="408"/>
        <v>0</v>
      </c>
      <c r="E6473" s="7" t="s">
        <v>12557</v>
      </c>
      <c r="F6473" s="7">
        <f t="shared" si="409"/>
        <v>2</v>
      </c>
      <c r="G6473" s="7" t="s">
        <v>12558</v>
      </c>
      <c r="H6473" s="7">
        <f t="shared" si="410"/>
        <v>0</v>
      </c>
      <c r="I6473" s="7" cm="1">
        <f t="array" ref="I6473">IFERROR(_xlfn.IFS(M6473="נח",1,M6473="נע ונח",1,M6473="שני שווא נח",2,M6473="שני שוואים בסוף מילה",2,M6473="שני שוואים ברצף",1),"0")</f>
        <v>1</v>
      </c>
      <c r="J6473" s="9">
        <f t="shared" si="411"/>
        <v>2</v>
      </c>
      <c r="K6473" t="s">
        <v>6698</v>
      </c>
      <c r="L6473" t="s">
        <v>6694</v>
      </c>
      <c r="M6473" t="s">
        <v>6705</v>
      </c>
      <c r="S6473" t="s">
        <v>6694</v>
      </c>
      <c r="V6473" t="s">
        <v>6694</v>
      </c>
      <c r="W6473" t="s">
        <v>6720</v>
      </c>
    </row>
    <row r="6474" spans="1:23" ht="15.6" x14ac:dyDescent="0.4">
      <c r="A6474" s="2" t="s">
        <v>3670</v>
      </c>
      <c r="B6474" s="5" t="s">
        <v>12364</v>
      </c>
      <c r="C6474" s="7" t="s">
        <v>12556</v>
      </c>
      <c r="D6474" s="8">
        <f t="shared" si="408"/>
        <v>0</v>
      </c>
      <c r="E6474" s="7" t="s">
        <v>12557</v>
      </c>
      <c r="F6474" s="7">
        <f t="shared" si="409"/>
        <v>1</v>
      </c>
      <c r="G6474" s="7" t="s">
        <v>12558</v>
      </c>
      <c r="H6474" s="7">
        <f t="shared" si="410"/>
        <v>0</v>
      </c>
      <c r="I6474" s="7" cm="1">
        <f t="array" ref="I6474">IFERROR(_xlfn.IFS(M6474="נח",1,M6474="נע ונח",1,M6474="שני שווא נח",2,M6474="שני שוואים בסוף מילה",2,M6474="שני שוואים ברצף",1),"0")</f>
        <v>1</v>
      </c>
      <c r="J6474" s="9">
        <f t="shared" si="411"/>
        <v>2</v>
      </c>
      <c r="K6474" t="s">
        <v>6698</v>
      </c>
      <c r="L6474" t="s">
        <v>6694</v>
      </c>
      <c r="M6474" t="s">
        <v>6705</v>
      </c>
      <c r="P6474" t="s">
        <v>6694</v>
      </c>
      <c r="S6474" t="s">
        <v>6694</v>
      </c>
      <c r="W6474" t="s">
        <v>6720</v>
      </c>
    </row>
    <row r="6475" spans="1:23" ht="15.6" x14ac:dyDescent="0.4">
      <c r="A6475" s="2" t="s">
        <v>723</v>
      </c>
      <c r="B6475" s="5" t="s">
        <v>12365</v>
      </c>
      <c r="C6475" s="7" t="s">
        <v>12556</v>
      </c>
      <c r="D6475" s="8">
        <f t="shared" si="408"/>
        <v>0</v>
      </c>
      <c r="E6475" s="7" t="s">
        <v>12557</v>
      </c>
      <c r="F6475" s="7">
        <f t="shared" si="409"/>
        <v>1</v>
      </c>
      <c r="G6475" s="7" t="s">
        <v>12558</v>
      </c>
      <c r="H6475" s="7">
        <f t="shared" si="410"/>
        <v>0</v>
      </c>
      <c r="I6475" s="7" cm="1">
        <f t="array" ref="I6475">IFERROR(_xlfn.IFS(M6475="נח",1,M6475="נע ונח",1,M6475="שני שווא נח",2,M6475="שני שוואים בסוף מילה",2,M6475="שני שוואים ברצף",1),"0")</f>
        <v>1</v>
      </c>
      <c r="J6475" s="9">
        <f t="shared" si="411"/>
        <v>2</v>
      </c>
      <c r="K6475" t="s">
        <v>6698</v>
      </c>
      <c r="L6475" t="s">
        <v>6694</v>
      </c>
      <c r="M6475" t="s">
        <v>6705</v>
      </c>
      <c r="P6475" t="s">
        <v>6694</v>
      </c>
      <c r="S6475" t="s">
        <v>6694</v>
      </c>
      <c r="W6475" t="s">
        <v>6720</v>
      </c>
    </row>
    <row r="6476" spans="1:23" ht="15.6" x14ac:dyDescent="0.4">
      <c r="A6476" s="2" t="s">
        <v>2642</v>
      </c>
      <c r="B6476" s="5" t="s">
        <v>12366</v>
      </c>
      <c r="C6476" s="7" t="s">
        <v>12556</v>
      </c>
      <c r="D6476" s="8">
        <f t="shared" si="408"/>
        <v>1</v>
      </c>
      <c r="E6476" s="7" t="s">
        <v>12557</v>
      </c>
      <c r="F6476" s="7">
        <f t="shared" si="409"/>
        <v>2</v>
      </c>
      <c r="G6476" s="7" t="s">
        <v>12558</v>
      </c>
      <c r="H6476" s="7">
        <f t="shared" si="410"/>
        <v>0</v>
      </c>
      <c r="I6476" s="7" cm="1">
        <f t="array" ref="I6476">IFERROR(_xlfn.IFS(M6476="נח",1,M6476="נע ונח",1,M6476="שני שווא נח",2,M6476="שני שוואים בסוף מילה",2,M6476="שני שוואים ברצף",1),"0")</f>
        <v>1</v>
      </c>
      <c r="J6476" s="9">
        <f t="shared" si="411"/>
        <v>3</v>
      </c>
      <c r="K6476" t="s">
        <v>6697</v>
      </c>
      <c r="L6476" t="s">
        <v>6694</v>
      </c>
      <c r="M6476" t="s">
        <v>6705</v>
      </c>
      <c r="Q6476" t="s">
        <v>6694</v>
      </c>
      <c r="S6476" t="s">
        <v>6694</v>
      </c>
      <c r="W6476" t="s">
        <v>6720</v>
      </c>
    </row>
    <row r="6477" spans="1:23" ht="15.6" x14ac:dyDescent="0.4">
      <c r="A6477" s="2" t="s">
        <v>3859</v>
      </c>
      <c r="B6477" s="5" t="s">
        <v>12237</v>
      </c>
      <c r="C6477" s="7" t="s">
        <v>12556</v>
      </c>
      <c r="D6477" s="8">
        <f t="shared" si="408"/>
        <v>0</v>
      </c>
      <c r="E6477" s="7" t="s">
        <v>12557</v>
      </c>
      <c r="F6477" s="7">
        <f t="shared" si="409"/>
        <v>1</v>
      </c>
      <c r="G6477" s="7" t="s">
        <v>12558</v>
      </c>
      <c r="H6477" s="7">
        <f t="shared" si="410"/>
        <v>0</v>
      </c>
      <c r="I6477" s="7" t="str" cm="1">
        <f t="array" ref="I6477">IFERROR(_xlfn.IFS(M6477="נח",1,M6477="נע ונח",1,M6477="שני שווא נח",2,M6477="שני שוואים בסוף מילה",2,M6477="שני שוואים ברצף",1),"0")</f>
        <v>0</v>
      </c>
      <c r="J6477" s="9">
        <f t="shared" si="411"/>
        <v>2</v>
      </c>
      <c r="K6477" t="s">
        <v>6697</v>
      </c>
      <c r="L6477" t="s">
        <v>6695</v>
      </c>
      <c r="O6477" t="s">
        <v>6694</v>
      </c>
      <c r="S6477" t="s">
        <v>6694</v>
      </c>
      <c r="W6477" t="s">
        <v>6720</v>
      </c>
    </row>
    <row r="6478" spans="1:23" ht="15.6" x14ac:dyDescent="0.4">
      <c r="A6478" s="2" t="s">
        <v>2693</v>
      </c>
      <c r="B6478" s="5" t="s">
        <v>12367</v>
      </c>
      <c r="C6478" s="7" t="s">
        <v>12556</v>
      </c>
      <c r="D6478" s="8">
        <f t="shared" si="408"/>
        <v>0</v>
      </c>
      <c r="E6478" s="7" t="s">
        <v>12557</v>
      </c>
      <c r="F6478" s="7">
        <f t="shared" si="409"/>
        <v>2</v>
      </c>
      <c r="G6478" s="7" t="s">
        <v>12558</v>
      </c>
      <c r="H6478" s="7">
        <f t="shared" si="410"/>
        <v>0</v>
      </c>
      <c r="I6478" s="7" cm="1">
        <f t="array" ref="I6478">IFERROR(_xlfn.IFS(M6478="נח",1,M6478="נע ונח",1,M6478="שני שווא נח",2,M6478="שני שוואים בסוף מילה",2,M6478="שני שוואים ברצף",1),"0")</f>
        <v>1</v>
      </c>
      <c r="J6478" s="9">
        <f t="shared" si="411"/>
        <v>2</v>
      </c>
      <c r="K6478" t="s">
        <v>6698</v>
      </c>
      <c r="L6478" t="s">
        <v>6694</v>
      </c>
      <c r="M6478" t="s">
        <v>6705</v>
      </c>
      <c r="P6478" t="s">
        <v>6694</v>
      </c>
      <c r="S6478" t="s">
        <v>6694</v>
      </c>
      <c r="W6478" t="s">
        <v>6720</v>
      </c>
    </row>
    <row r="6479" spans="1:23" ht="15.6" x14ac:dyDescent="0.4">
      <c r="A6479" s="2" t="s">
        <v>2180</v>
      </c>
      <c r="B6479" s="5" t="s">
        <v>12368</v>
      </c>
      <c r="C6479" s="7" t="s">
        <v>12556</v>
      </c>
      <c r="D6479" s="8">
        <f t="shared" si="408"/>
        <v>0</v>
      </c>
      <c r="E6479" s="7" t="s">
        <v>12557</v>
      </c>
      <c r="F6479" s="7">
        <f t="shared" si="409"/>
        <v>2</v>
      </c>
      <c r="G6479" s="7" t="s">
        <v>12558</v>
      </c>
      <c r="H6479" s="7">
        <f t="shared" si="410"/>
        <v>0</v>
      </c>
      <c r="I6479" s="7" t="str" cm="1">
        <f t="array" ref="I6479">IFERROR(_xlfn.IFS(M6479="נח",1,M6479="נע ונח",1,M6479="שני שווא נח",2,M6479="שני שוואים בסוף מילה",2,M6479="שני שוואים ברצף",1),"0")</f>
        <v>0</v>
      </c>
      <c r="J6479" s="9">
        <f t="shared" si="411"/>
        <v>2</v>
      </c>
      <c r="K6479" t="s">
        <v>6698</v>
      </c>
      <c r="L6479" t="s">
        <v>6695</v>
      </c>
      <c r="S6479" t="s">
        <v>6694</v>
      </c>
      <c r="V6479" t="s">
        <v>6694</v>
      </c>
      <c r="W6479" t="s">
        <v>6720</v>
      </c>
    </row>
    <row r="6480" spans="1:23" ht="15.6" x14ac:dyDescent="0.4">
      <c r="A6480" s="2" t="s">
        <v>977</v>
      </c>
      <c r="B6480" s="5" t="s">
        <v>12369</v>
      </c>
      <c r="C6480" s="7" t="s">
        <v>12556</v>
      </c>
      <c r="D6480" s="8">
        <f t="shared" si="408"/>
        <v>0</v>
      </c>
      <c r="E6480" s="7" t="s">
        <v>12557</v>
      </c>
      <c r="F6480" s="7">
        <f t="shared" si="409"/>
        <v>2</v>
      </c>
      <c r="G6480" s="7" t="s">
        <v>12558</v>
      </c>
      <c r="H6480" s="7">
        <f t="shared" si="410"/>
        <v>0</v>
      </c>
      <c r="I6480" s="7" cm="1">
        <f t="array" ref="I6480">IFERROR(_xlfn.IFS(M6480="נח",1,M6480="נע ונח",1,M6480="שני שווא נח",2,M6480="שני שוואים בסוף מילה",2,M6480="שני שוואים ברצף",1),"0")</f>
        <v>1</v>
      </c>
      <c r="J6480" s="9">
        <f t="shared" si="411"/>
        <v>3</v>
      </c>
      <c r="K6480" t="s">
        <v>6697</v>
      </c>
      <c r="L6480" t="s">
        <v>6694</v>
      </c>
      <c r="M6480" t="s">
        <v>6702</v>
      </c>
      <c r="S6480" t="s">
        <v>6694</v>
      </c>
      <c r="V6480" t="s">
        <v>6694</v>
      </c>
      <c r="W6480" t="s">
        <v>6720</v>
      </c>
    </row>
    <row r="6481" spans="1:23" ht="15.6" x14ac:dyDescent="0.4">
      <c r="A6481" s="2" t="s">
        <v>4193</v>
      </c>
      <c r="B6481" s="5" t="s">
        <v>12370</v>
      </c>
      <c r="C6481" s="7" t="s">
        <v>12556</v>
      </c>
      <c r="D6481" s="8">
        <f t="shared" si="408"/>
        <v>0</v>
      </c>
      <c r="E6481" s="7" t="s">
        <v>12557</v>
      </c>
      <c r="F6481" s="7">
        <f t="shared" si="409"/>
        <v>1</v>
      </c>
      <c r="G6481" s="7" t="s">
        <v>12558</v>
      </c>
      <c r="H6481" s="7">
        <f t="shared" si="410"/>
        <v>0</v>
      </c>
      <c r="I6481" s="7" cm="1">
        <f t="array" ref="I6481">IFERROR(_xlfn.IFS(M6481="נח",1,M6481="נע ונח",1,M6481="שני שווא נח",2,M6481="שני שוואים בסוף מילה",2,M6481="שני שוואים ברצף",1),"0")</f>
        <v>1</v>
      </c>
      <c r="J6481" s="9">
        <f t="shared" si="411"/>
        <v>2</v>
      </c>
      <c r="K6481" t="s">
        <v>6698</v>
      </c>
      <c r="L6481" t="s">
        <v>6694</v>
      </c>
      <c r="M6481" t="s">
        <v>6705</v>
      </c>
      <c r="P6481" t="s">
        <v>6694</v>
      </c>
      <c r="S6481" t="s">
        <v>6694</v>
      </c>
      <c r="W6481" t="s">
        <v>6720</v>
      </c>
    </row>
    <row r="6482" spans="1:23" ht="15.6" x14ac:dyDescent="0.4">
      <c r="A6482" s="2" t="s">
        <v>4555</v>
      </c>
      <c r="B6482" s="5" t="s">
        <v>12371</v>
      </c>
      <c r="C6482" s="7" t="s">
        <v>12556</v>
      </c>
      <c r="D6482" s="8">
        <f t="shared" si="408"/>
        <v>0</v>
      </c>
      <c r="E6482" s="7" t="s">
        <v>12557</v>
      </c>
      <c r="F6482" s="7">
        <f t="shared" si="409"/>
        <v>1</v>
      </c>
      <c r="G6482" s="7" t="s">
        <v>12558</v>
      </c>
      <c r="H6482" s="7">
        <f t="shared" si="410"/>
        <v>0</v>
      </c>
      <c r="I6482" s="7" cm="1">
        <f t="array" ref="I6482">IFERROR(_xlfn.IFS(M6482="נח",1,M6482="נע ונח",1,M6482="שני שווא נח",2,M6482="שני שוואים בסוף מילה",2,M6482="שני שוואים ברצף",1),"0")</f>
        <v>1</v>
      </c>
      <c r="J6482" s="9">
        <f t="shared" si="411"/>
        <v>2</v>
      </c>
      <c r="K6482" t="s">
        <v>6698</v>
      </c>
      <c r="L6482" t="s">
        <v>6694</v>
      </c>
      <c r="M6482" t="s">
        <v>6705</v>
      </c>
      <c r="P6482" t="s">
        <v>6694</v>
      </c>
      <c r="S6482" t="s">
        <v>6694</v>
      </c>
      <c r="W6482" t="s">
        <v>6720</v>
      </c>
    </row>
    <row r="6483" spans="1:23" ht="15.6" x14ac:dyDescent="0.4">
      <c r="A6483" s="2" t="s">
        <v>3636</v>
      </c>
      <c r="B6483" s="5" t="s">
        <v>12372</v>
      </c>
      <c r="C6483" s="7" t="s">
        <v>12556</v>
      </c>
      <c r="D6483" s="8">
        <f t="shared" si="408"/>
        <v>0</v>
      </c>
      <c r="E6483" s="7" t="s">
        <v>12557</v>
      </c>
      <c r="F6483" s="7">
        <f t="shared" si="409"/>
        <v>2</v>
      </c>
      <c r="G6483" s="7" t="s">
        <v>12558</v>
      </c>
      <c r="H6483" s="7">
        <f t="shared" si="410"/>
        <v>0</v>
      </c>
      <c r="I6483" s="7" cm="1">
        <f t="array" ref="I6483">IFERROR(_xlfn.IFS(M6483="נח",1,M6483="נע ונח",1,M6483="שני שווא נח",2,M6483="שני שוואים בסוף מילה",2,M6483="שני שוואים ברצף",1),"0")</f>
        <v>1</v>
      </c>
      <c r="J6483" s="9">
        <f t="shared" si="411"/>
        <v>2</v>
      </c>
      <c r="K6483" t="s">
        <v>6698</v>
      </c>
      <c r="L6483" t="s">
        <v>6694</v>
      </c>
      <c r="M6483" t="s">
        <v>6705</v>
      </c>
      <c r="S6483" t="s">
        <v>6694</v>
      </c>
      <c r="V6483" t="s">
        <v>6694</v>
      </c>
      <c r="W6483" t="s">
        <v>6720</v>
      </c>
    </row>
    <row r="6484" spans="1:23" ht="15.6" x14ac:dyDescent="0.4">
      <c r="A6484" s="2" t="s">
        <v>3335</v>
      </c>
      <c r="B6484" s="5" t="s">
        <v>12373</v>
      </c>
      <c r="C6484" s="7" t="s">
        <v>12556</v>
      </c>
      <c r="D6484" s="8">
        <f t="shared" si="408"/>
        <v>0</v>
      </c>
      <c r="E6484" s="7" t="s">
        <v>12557</v>
      </c>
      <c r="F6484" s="7">
        <f t="shared" si="409"/>
        <v>1</v>
      </c>
      <c r="G6484" s="7" t="s">
        <v>12558</v>
      </c>
      <c r="H6484" s="7">
        <f t="shared" si="410"/>
        <v>0</v>
      </c>
      <c r="I6484" s="7" cm="1">
        <f t="array" ref="I6484">IFERROR(_xlfn.IFS(M6484="נח",1,M6484="נע ונח",1,M6484="שני שווא נח",2,M6484="שני שוואים בסוף מילה",2,M6484="שני שוואים ברצף",1),"0")</f>
        <v>1</v>
      </c>
      <c r="J6484" s="9">
        <f t="shared" si="411"/>
        <v>2</v>
      </c>
      <c r="K6484" t="s">
        <v>6697</v>
      </c>
      <c r="L6484" t="s">
        <v>6694</v>
      </c>
      <c r="M6484" t="s">
        <v>6705</v>
      </c>
      <c r="O6484" t="s">
        <v>6694</v>
      </c>
      <c r="S6484" t="s">
        <v>6694</v>
      </c>
      <c r="W6484" t="s">
        <v>6720</v>
      </c>
    </row>
    <row r="6485" spans="1:23" ht="15.6" x14ac:dyDescent="0.4">
      <c r="A6485" s="2" t="s">
        <v>2667</v>
      </c>
      <c r="B6485" s="5" t="s">
        <v>12374</v>
      </c>
      <c r="C6485" s="7" t="s">
        <v>12556</v>
      </c>
      <c r="D6485" s="8">
        <f t="shared" si="408"/>
        <v>1</v>
      </c>
      <c r="E6485" s="7" t="s">
        <v>12557</v>
      </c>
      <c r="F6485" s="7">
        <f t="shared" si="409"/>
        <v>1</v>
      </c>
      <c r="G6485" s="7" t="s">
        <v>12558</v>
      </c>
      <c r="H6485" s="7">
        <f t="shared" si="410"/>
        <v>0</v>
      </c>
      <c r="I6485" s="7" cm="1">
        <f t="array" ref="I6485">IFERROR(_xlfn.IFS(M6485="נח",1,M6485="נע ונח",1,M6485="שני שווא נח",2,M6485="שני שוואים בסוף מילה",2,M6485="שני שוואים ברצף",1),"0")</f>
        <v>1</v>
      </c>
      <c r="J6485" s="9">
        <f t="shared" si="411"/>
        <v>4</v>
      </c>
      <c r="K6485" t="s">
        <v>6697</v>
      </c>
      <c r="L6485" t="s">
        <v>6694</v>
      </c>
      <c r="M6485" t="s">
        <v>6702</v>
      </c>
      <c r="Q6485" t="s">
        <v>6694</v>
      </c>
      <c r="S6485" t="s">
        <v>6694</v>
      </c>
      <c r="W6485" t="s">
        <v>6720</v>
      </c>
    </row>
    <row r="6486" spans="1:23" ht="15.6" x14ac:dyDescent="0.4">
      <c r="A6486" s="2" t="s">
        <v>4933</v>
      </c>
      <c r="B6486" s="5" t="s">
        <v>12375</v>
      </c>
      <c r="C6486" s="7" t="s">
        <v>12556</v>
      </c>
      <c r="D6486" s="8">
        <f t="shared" si="408"/>
        <v>1</v>
      </c>
      <c r="E6486" s="7" t="s">
        <v>12557</v>
      </c>
      <c r="F6486" s="7">
        <f t="shared" si="409"/>
        <v>1</v>
      </c>
      <c r="G6486" s="7" t="s">
        <v>12558</v>
      </c>
      <c r="H6486" s="7">
        <f t="shared" si="410"/>
        <v>0</v>
      </c>
      <c r="I6486" s="7" cm="1">
        <f t="array" ref="I6486">IFERROR(_xlfn.IFS(M6486="נח",1,M6486="נע ונח",1,M6486="שני שווא נח",2,M6486="שני שוואים בסוף מילה",2,M6486="שני שוואים ברצף",1),"0")</f>
        <v>2</v>
      </c>
      <c r="J6486" s="9">
        <f t="shared" si="411"/>
        <v>2</v>
      </c>
      <c r="K6486" t="s">
        <v>6698</v>
      </c>
      <c r="L6486" t="s">
        <v>6694</v>
      </c>
      <c r="M6486" t="s">
        <v>6704</v>
      </c>
      <c r="S6486" t="s">
        <v>6694</v>
      </c>
      <c r="V6486" t="s">
        <v>6694</v>
      </c>
      <c r="W6486" t="s">
        <v>6720</v>
      </c>
    </row>
    <row r="6487" spans="1:23" ht="15.6" x14ac:dyDescent="0.4">
      <c r="A6487" s="2" t="s">
        <v>6541</v>
      </c>
      <c r="B6487" s="5" t="s">
        <v>12376</v>
      </c>
      <c r="C6487" s="7" t="s">
        <v>12556</v>
      </c>
      <c r="D6487" s="8">
        <f t="shared" si="408"/>
        <v>0</v>
      </c>
      <c r="E6487" s="7" t="s">
        <v>12557</v>
      </c>
      <c r="F6487" s="7">
        <f t="shared" si="409"/>
        <v>2</v>
      </c>
      <c r="G6487" s="7" t="s">
        <v>12558</v>
      </c>
      <c r="H6487" s="7">
        <f t="shared" si="410"/>
        <v>0</v>
      </c>
      <c r="I6487" s="7" t="str" cm="1">
        <f t="array" ref="I6487">IFERROR(_xlfn.IFS(M6487="נח",1,M6487="נע ונח",1,M6487="שני שווא נח",2,M6487="שני שוואים בסוף מילה",2,M6487="שני שוואים ברצף",1),"0")</f>
        <v>0</v>
      </c>
      <c r="J6487" s="9">
        <f t="shared" si="411"/>
        <v>2</v>
      </c>
      <c r="K6487" t="s">
        <v>6698</v>
      </c>
      <c r="L6487" t="s">
        <v>6695</v>
      </c>
      <c r="N6487" t="s">
        <v>6706</v>
      </c>
      <c r="O6487" t="s">
        <v>6694</v>
      </c>
      <c r="S6487" t="s">
        <v>6694</v>
      </c>
      <c r="W6487" t="s">
        <v>6720</v>
      </c>
    </row>
    <row r="6488" spans="1:23" ht="15.6" x14ac:dyDescent="0.4">
      <c r="A6488" s="2" t="s">
        <v>637</v>
      </c>
      <c r="B6488" s="5" t="s">
        <v>12377</v>
      </c>
      <c r="C6488" s="7" t="s">
        <v>12556</v>
      </c>
      <c r="D6488" s="8">
        <f t="shared" si="408"/>
        <v>0</v>
      </c>
      <c r="E6488" s="7" t="s">
        <v>12557</v>
      </c>
      <c r="F6488" s="7">
        <f t="shared" si="409"/>
        <v>2</v>
      </c>
      <c r="G6488" s="7" t="s">
        <v>12558</v>
      </c>
      <c r="H6488" s="7">
        <f t="shared" si="410"/>
        <v>0</v>
      </c>
      <c r="I6488" s="7" t="str" cm="1">
        <f t="array" ref="I6488">IFERROR(_xlfn.IFS(M6488="נח",1,M6488="נע ונח",1,M6488="שני שווא נח",2,M6488="שני שוואים בסוף מילה",2,M6488="שני שוואים ברצף",1),"0")</f>
        <v>0</v>
      </c>
      <c r="J6488" s="9">
        <f t="shared" si="411"/>
        <v>2</v>
      </c>
      <c r="K6488" t="s">
        <v>6698</v>
      </c>
      <c r="L6488" t="s">
        <v>6695</v>
      </c>
      <c r="S6488" t="s">
        <v>6694</v>
      </c>
      <c r="V6488" t="s">
        <v>6694</v>
      </c>
      <c r="W6488" t="s">
        <v>6720</v>
      </c>
    </row>
    <row r="6489" spans="1:23" ht="15.6" x14ac:dyDescent="0.4">
      <c r="A6489" s="2" t="s">
        <v>4470</v>
      </c>
      <c r="B6489" s="5" t="s">
        <v>12378</v>
      </c>
      <c r="C6489" s="7" t="s">
        <v>12556</v>
      </c>
      <c r="D6489" s="8">
        <f t="shared" si="408"/>
        <v>0</v>
      </c>
      <c r="E6489" s="7" t="s">
        <v>12557</v>
      </c>
      <c r="F6489" s="7">
        <f t="shared" si="409"/>
        <v>2</v>
      </c>
      <c r="G6489" s="7" t="s">
        <v>12558</v>
      </c>
      <c r="H6489" s="7">
        <f t="shared" si="410"/>
        <v>0</v>
      </c>
      <c r="I6489" s="7" cm="1">
        <f t="array" ref="I6489">IFERROR(_xlfn.IFS(M6489="נח",1,M6489="נע ונח",1,M6489="שני שווא נח",2,M6489="שני שוואים בסוף מילה",2,M6489="שני שוואים ברצף",1),"0")</f>
        <v>1</v>
      </c>
      <c r="J6489" s="9">
        <f t="shared" si="411"/>
        <v>2</v>
      </c>
      <c r="K6489" t="s">
        <v>6698</v>
      </c>
      <c r="L6489" t="s">
        <v>6694</v>
      </c>
      <c r="M6489" t="s">
        <v>6705</v>
      </c>
      <c r="S6489" t="s">
        <v>6694</v>
      </c>
      <c r="V6489" t="s">
        <v>6694</v>
      </c>
      <c r="W6489" t="s">
        <v>6720</v>
      </c>
    </row>
    <row r="6490" spans="1:23" ht="15.6" x14ac:dyDescent="0.4">
      <c r="A6490" s="2" t="s">
        <v>5101</v>
      </c>
      <c r="B6490" s="5" t="s">
        <v>12379</v>
      </c>
      <c r="C6490" s="7" t="s">
        <v>12556</v>
      </c>
      <c r="D6490" s="8">
        <f t="shared" si="408"/>
        <v>0</v>
      </c>
      <c r="E6490" s="7" t="s">
        <v>12557</v>
      </c>
      <c r="F6490" s="7">
        <f t="shared" si="409"/>
        <v>1</v>
      </c>
      <c r="G6490" s="7" t="s">
        <v>12558</v>
      </c>
      <c r="H6490" s="7">
        <f t="shared" si="410"/>
        <v>0</v>
      </c>
      <c r="I6490" s="7" cm="1">
        <f t="array" ref="I6490">IFERROR(_xlfn.IFS(M6490="נח",1,M6490="נע ונח",1,M6490="שני שווא נח",2,M6490="שני שוואים בסוף מילה",2,M6490="שני שוואים ברצף",1),"0")</f>
        <v>1</v>
      </c>
      <c r="J6490" s="9">
        <f t="shared" si="411"/>
        <v>4</v>
      </c>
      <c r="K6490" t="s">
        <v>6697</v>
      </c>
      <c r="L6490" t="s">
        <v>6694</v>
      </c>
      <c r="M6490" t="s">
        <v>6702</v>
      </c>
      <c r="Q6490" t="s">
        <v>6694</v>
      </c>
      <c r="S6490" t="s">
        <v>6694</v>
      </c>
      <c r="W6490" t="s">
        <v>6720</v>
      </c>
    </row>
    <row r="6491" spans="1:23" ht="15.6" x14ac:dyDescent="0.4">
      <c r="A6491" s="2" t="s">
        <v>577</v>
      </c>
      <c r="B6491" s="5" t="s">
        <v>12380</v>
      </c>
      <c r="C6491" s="7" t="s">
        <v>12556</v>
      </c>
      <c r="D6491" s="8">
        <f t="shared" si="408"/>
        <v>0</v>
      </c>
      <c r="E6491" s="7" t="s">
        <v>12557</v>
      </c>
      <c r="F6491" s="7">
        <f t="shared" si="409"/>
        <v>2</v>
      </c>
      <c r="G6491" s="7" t="s">
        <v>12558</v>
      </c>
      <c r="H6491" s="7">
        <f t="shared" si="410"/>
        <v>0</v>
      </c>
      <c r="I6491" s="7" t="str" cm="1">
        <f t="array" ref="I6491">IFERROR(_xlfn.IFS(M6491="נח",1,M6491="נע ונח",1,M6491="שני שווא נח",2,M6491="שני שוואים בסוף מילה",2,M6491="שני שוואים ברצף",1),"0")</f>
        <v>0</v>
      </c>
      <c r="J6491" s="9">
        <f t="shared" si="411"/>
        <v>2</v>
      </c>
      <c r="K6491" t="s">
        <v>6698</v>
      </c>
      <c r="L6491" t="s">
        <v>6695</v>
      </c>
      <c r="S6491" t="s">
        <v>6694</v>
      </c>
      <c r="V6491" t="s">
        <v>6694</v>
      </c>
      <c r="W6491" t="s">
        <v>6720</v>
      </c>
    </row>
    <row r="6492" spans="1:23" ht="15.6" x14ac:dyDescent="0.4">
      <c r="A6492" s="2" t="s">
        <v>6016</v>
      </c>
      <c r="B6492" s="5" t="s">
        <v>12381</v>
      </c>
      <c r="C6492" s="7" t="s">
        <v>12556</v>
      </c>
      <c r="D6492" s="8">
        <f t="shared" si="408"/>
        <v>0</v>
      </c>
      <c r="E6492" s="7" t="s">
        <v>12557</v>
      </c>
      <c r="F6492" s="7">
        <f t="shared" si="409"/>
        <v>2</v>
      </c>
      <c r="G6492" s="7" t="s">
        <v>12558</v>
      </c>
      <c r="H6492" s="7">
        <f t="shared" si="410"/>
        <v>0</v>
      </c>
      <c r="I6492" s="7" cm="1">
        <f t="array" ref="I6492">IFERROR(_xlfn.IFS(M6492="נח",1,M6492="נע ונח",1,M6492="שני שווא נח",2,M6492="שני שוואים בסוף מילה",2,M6492="שני שוואים ברצף",1),"0")</f>
        <v>2</v>
      </c>
      <c r="J6492" s="9">
        <f t="shared" si="411"/>
        <v>4</v>
      </c>
      <c r="K6492" t="s">
        <v>6697</v>
      </c>
      <c r="L6492" t="s">
        <v>6694</v>
      </c>
      <c r="M6492" t="s">
        <v>6704</v>
      </c>
      <c r="O6492" t="s">
        <v>6694</v>
      </c>
      <c r="P6492" t="s">
        <v>6694</v>
      </c>
      <c r="R6492" t="s">
        <v>6694</v>
      </c>
      <c r="S6492" t="s">
        <v>6694</v>
      </c>
      <c r="W6492" t="s">
        <v>6720</v>
      </c>
    </row>
    <row r="6493" spans="1:23" ht="15.6" x14ac:dyDescent="0.4">
      <c r="A6493" s="2" t="s">
        <v>4131</v>
      </c>
      <c r="B6493" s="5" t="s">
        <v>12382</v>
      </c>
      <c r="C6493" s="7" t="s">
        <v>12556</v>
      </c>
      <c r="D6493" s="8">
        <f t="shared" si="408"/>
        <v>0</v>
      </c>
      <c r="E6493" s="7" t="s">
        <v>12557</v>
      </c>
      <c r="F6493" s="7">
        <f t="shared" si="409"/>
        <v>2</v>
      </c>
      <c r="G6493" s="7" t="s">
        <v>12558</v>
      </c>
      <c r="H6493" s="7">
        <f t="shared" si="410"/>
        <v>1</v>
      </c>
      <c r="I6493" s="7" cm="1">
        <f t="array" ref="I6493">IFERROR(_xlfn.IFS(M6493="נח",1,M6493="נע ונח",1,M6493="שני שווא נח",2,M6493="שני שוואים בסוף מילה",2,M6493="שני שוואים ברצף",1),"0")</f>
        <v>1</v>
      </c>
      <c r="J6493" s="9">
        <f t="shared" si="411"/>
        <v>3</v>
      </c>
      <c r="K6493" t="s">
        <v>6698</v>
      </c>
      <c r="L6493" t="s">
        <v>6694</v>
      </c>
      <c r="M6493" t="s">
        <v>6705</v>
      </c>
      <c r="O6493" t="s">
        <v>6694</v>
      </c>
      <c r="S6493" t="s">
        <v>6694</v>
      </c>
      <c r="U6493" t="s">
        <v>6694</v>
      </c>
      <c r="W6493" t="s">
        <v>6720</v>
      </c>
    </row>
    <row r="6494" spans="1:23" ht="15.6" x14ac:dyDescent="0.4">
      <c r="A6494" s="2" t="s">
        <v>754</v>
      </c>
      <c r="B6494" s="5" t="s">
        <v>12383</v>
      </c>
      <c r="C6494" s="7" t="s">
        <v>12556</v>
      </c>
      <c r="D6494" s="8">
        <f t="shared" si="408"/>
        <v>0</v>
      </c>
      <c r="E6494" s="7" t="s">
        <v>12557</v>
      </c>
      <c r="F6494" s="7">
        <f t="shared" si="409"/>
        <v>2</v>
      </c>
      <c r="G6494" s="7" t="s">
        <v>12558</v>
      </c>
      <c r="H6494" s="7">
        <f t="shared" si="410"/>
        <v>0</v>
      </c>
      <c r="I6494" s="7" cm="1">
        <f t="array" ref="I6494">IFERROR(_xlfn.IFS(M6494="נח",1,M6494="נע ונח",1,M6494="שני שווא נח",2,M6494="שני שוואים בסוף מילה",2,M6494="שני שוואים ברצף",1),"0")</f>
        <v>1</v>
      </c>
      <c r="J6494" s="9">
        <f t="shared" si="411"/>
        <v>2</v>
      </c>
      <c r="K6494" t="s">
        <v>6698</v>
      </c>
      <c r="L6494" t="s">
        <v>6694</v>
      </c>
      <c r="M6494" t="s">
        <v>6705</v>
      </c>
      <c r="P6494" t="s">
        <v>6694</v>
      </c>
      <c r="S6494" t="s">
        <v>6694</v>
      </c>
      <c r="W6494" t="s">
        <v>6720</v>
      </c>
    </row>
    <row r="6495" spans="1:23" ht="15.6" x14ac:dyDescent="0.4">
      <c r="A6495" s="2" t="s">
        <v>3920</v>
      </c>
      <c r="B6495" s="5" t="s">
        <v>12383</v>
      </c>
      <c r="C6495" s="7" t="s">
        <v>12556</v>
      </c>
      <c r="D6495" s="8">
        <f t="shared" si="408"/>
        <v>0</v>
      </c>
      <c r="E6495" s="7" t="s">
        <v>12557</v>
      </c>
      <c r="F6495" s="7">
        <f t="shared" si="409"/>
        <v>2</v>
      </c>
      <c r="G6495" s="7" t="s">
        <v>12558</v>
      </c>
      <c r="H6495" s="7">
        <f t="shared" si="410"/>
        <v>0</v>
      </c>
      <c r="I6495" s="7" cm="1">
        <f t="array" ref="I6495">IFERROR(_xlfn.IFS(M6495="נח",1,M6495="נע ונח",1,M6495="שני שווא נח",2,M6495="שני שוואים בסוף מילה",2,M6495="שני שוואים ברצף",1),"0")</f>
        <v>1</v>
      </c>
      <c r="J6495" s="9">
        <f t="shared" si="411"/>
        <v>2</v>
      </c>
      <c r="K6495" t="s">
        <v>6698</v>
      </c>
      <c r="L6495" t="s">
        <v>6694</v>
      </c>
      <c r="M6495" t="s">
        <v>6705</v>
      </c>
      <c r="N6495" t="s">
        <v>6706</v>
      </c>
      <c r="O6495" t="s">
        <v>6694</v>
      </c>
      <c r="S6495" t="s">
        <v>6694</v>
      </c>
      <c r="W6495" t="s">
        <v>6720</v>
      </c>
    </row>
    <row r="6496" spans="1:23" ht="15.6" x14ac:dyDescent="0.4">
      <c r="A6496" s="2" t="s">
        <v>6631</v>
      </c>
      <c r="B6496" s="5" t="s">
        <v>12384</v>
      </c>
      <c r="C6496" s="7" t="s">
        <v>12556</v>
      </c>
      <c r="D6496" s="8">
        <f t="shared" si="408"/>
        <v>0</v>
      </c>
      <c r="E6496" s="7" t="s">
        <v>12557</v>
      </c>
      <c r="F6496" s="7">
        <f t="shared" si="409"/>
        <v>3</v>
      </c>
      <c r="G6496" s="7" t="s">
        <v>12558</v>
      </c>
      <c r="H6496" s="7">
        <f t="shared" si="410"/>
        <v>1</v>
      </c>
      <c r="I6496" s="7" t="str" cm="1">
        <f t="array" ref="I6496">IFERROR(_xlfn.IFS(M6496="נח",1,M6496="נע ונח",1,M6496="שני שווא נח",2,M6496="שני שוואים בסוף מילה",2,M6496="שני שוואים ברצף",1),"0")</f>
        <v>0</v>
      </c>
      <c r="J6496" s="9">
        <f t="shared" si="411"/>
        <v>3</v>
      </c>
      <c r="K6496" t="s">
        <v>6697</v>
      </c>
      <c r="L6496" t="s">
        <v>6695</v>
      </c>
      <c r="S6496" t="s">
        <v>6694</v>
      </c>
      <c r="U6496" t="s">
        <v>6694</v>
      </c>
      <c r="V6496" t="s">
        <v>6694</v>
      </c>
      <c r="W6496" t="s">
        <v>6720</v>
      </c>
    </row>
    <row r="6497" spans="1:23" ht="15.6" x14ac:dyDescent="0.4">
      <c r="A6497" s="2" t="s">
        <v>3887</v>
      </c>
      <c r="B6497" s="5" t="s">
        <v>12385</v>
      </c>
      <c r="C6497" s="7" t="s">
        <v>12556</v>
      </c>
      <c r="D6497" s="8">
        <f t="shared" si="408"/>
        <v>0</v>
      </c>
      <c r="E6497" s="7" t="s">
        <v>12557</v>
      </c>
      <c r="F6497" s="7">
        <f t="shared" si="409"/>
        <v>2</v>
      </c>
      <c r="G6497" s="7" t="s">
        <v>12558</v>
      </c>
      <c r="H6497" s="7">
        <f t="shared" si="410"/>
        <v>0</v>
      </c>
      <c r="I6497" s="7" cm="1">
        <f t="array" ref="I6497">IFERROR(_xlfn.IFS(M6497="נח",1,M6497="נע ונח",1,M6497="שני שווא נח",2,M6497="שני שוואים בסוף מילה",2,M6497="שני שוואים ברצף",1),"0")</f>
        <v>1</v>
      </c>
      <c r="J6497" s="9">
        <f t="shared" si="411"/>
        <v>2</v>
      </c>
      <c r="K6497" t="s">
        <v>6698</v>
      </c>
      <c r="L6497" t="s">
        <v>6694</v>
      </c>
      <c r="M6497" t="s">
        <v>6705</v>
      </c>
      <c r="P6497" t="s">
        <v>6694</v>
      </c>
      <c r="S6497" t="s">
        <v>6694</v>
      </c>
      <c r="W6497" t="s">
        <v>6720</v>
      </c>
    </row>
    <row r="6498" spans="1:23" ht="15.6" x14ac:dyDescent="0.4">
      <c r="A6498" s="2" t="s">
        <v>4944</v>
      </c>
      <c r="B6498" s="5" t="s">
        <v>12386</v>
      </c>
      <c r="C6498" s="7" t="s">
        <v>12556</v>
      </c>
      <c r="D6498" s="8">
        <f t="shared" si="408"/>
        <v>0</v>
      </c>
      <c r="E6498" s="7" t="s">
        <v>12557</v>
      </c>
      <c r="F6498" s="7">
        <f t="shared" si="409"/>
        <v>1</v>
      </c>
      <c r="G6498" s="7" t="s">
        <v>12558</v>
      </c>
      <c r="H6498" s="7">
        <f t="shared" si="410"/>
        <v>0</v>
      </c>
      <c r="I6498" s="7" cm="1">
        <f t="array" ref="I6498">IFERROR(_xlfn.IFS(M6498="נח",1,M6498="נע ונח",1,M6498="שני שווא נח",2,M6498="שני שוואים בסוף מילה",2,M6498="שני שוואים ברצף",1),"0")</f>
        <v>1</v>
      </c>
      <c r="J6498" s="9">
        <f t="shared" si="411"/>
        <v>2</v>
      </c>
      <c r="K6498" t="s">
        <v>6698</v>
      </c>
      <c r="L6498" t="s">
        <v>6694</v>
      </c>
      <c r="M6498" t="s">
        <v>6705</v>
      </c>
      <c r="N6498" t="s">
        <v>6706</v>
      </c>
      <c r="O6498" t="s">
        <v>6694</v>
      </c>
      <c r="S6498" t="s">
        <v>6694</v>
      </c>
      <c r="W6498" t="s">
        <v>6720</v>
      </c>
    </row>
    <row r="6499" spans="1:23" ht="15.6" x14ac:dyDescent="0.4">
      <c r="A6499" s="2" t="s">
        <v>3416</v>
      </c>
      <c r="B6499" s="5" t="s">
        <v>12387</v>
      </c>
      <c r="C6499" s="7" t="s">
        <v>12556</v>
      </c>
      <c r="D6499" s="8">
        <f t="shared" si="408"/>
        <v>0</v>
      </c>
      <c r="E6499" s="7" t="s">
        <v>12557</v>
      </c>
      <c r="F6499" s="7">
        <f t="shared" si="409"/>
        <v>2</v>
      </c>
      <c r="G6499" s="7" t="s">
        <v>12558</v>
      </c>
      <c r="H6499" s="7">
        <f t="shared" si="410"/>
        <v>0</v>
      </c>
      <c r="I6499" s="7" cm="1">
        <f t="array" ref="I6499">IFERROR(_xlfn.IFS(M6499="נח",1,M6499="נע ונח",1,M6499="שני שווא נח",2,M6499="שני שוואים בסוף מילה",2,M6499="שני שוואים ברצף",1),"0")</f>
        <v>1</v>
      </c>
      <c r="J6499" s="9">
        <f t="shared" si="411"/>
        <v>3</v>
      </c>
      <c r="K6499" t="s">
        <v>6698</v>
      </c>
      <c r="L6499" t="s">
        <v>6694</v>
      </c>
      <c r="M6499" t="s">
        <v>6702</v>
      </c>
      <c r="Q6499" t="s">
        <v>6694</v>
      </c>
      <c r="S6499" t="s">
        <v>6694</v>
      </c>
      <c r="W6499" t="s">
        <v>6720</v>
      </c>
    </row>
    <row r="6500" spans="1:23" ht="15.6" x14ac:dyDescent="0.4">
      <c r="A6500" s="2" t="s">
        <v>4428</v>
      </c>
      <c r="B6500" s="5" t="s">
        <v>12388</v>
      </c>
      <c r="C6500" s="7" t="s">
        <v>12556</v>
      </c>
      <c r="D6500" s="8">
        <f t="shared" si="408"/>
        <v>0</v>
      </c>
      <c r="E6500" s="7" t="s">
        <v>12557</v>
      </c>
      <c r="F6500" s="7">
        <f t="shared" si="409"/>
        <v>2</v>
      </c>
      <c r="G6500" s="7" t="s">
        <v>12558</v>
      </c>
      <c r="H6500" s="7">
        <f t="shared" si="410"/>
        <v>0</v>
      </c>
      <c r="I6500" s="7" cm="1">
        <f t="array" ref="I6500">IFERROR(_xlfn.IFS(M6500="נח",1,M6500="נע ונח",1,M6500="שני שווא נח",2,M6500="שני שוואים בסוף מילה",2,M6500="שני שוואים ברצף",1),"0")</f>
        <v>1</v>
      </c>
      <c r="J6500" s="9">
        <f t="shared" si="411"/>
        <v>3</v>
      </c>
      <c r="K6500" t="s">
        <v>6697</v>
      </c>
      <c r="L6500" t="s">
        <v>6694</v>
      </c>
      <c r="M6500" t="s">
        <v>6705</v>
      </c>
      <c r="O6500" t="s">
        <v>6694</v>
      </c>
      <c r="R6500" t="s">
        <v>6694</v>
      </c>
      <c r="S6500" t="s">
        <v>6694</v>
      </c>
      <c r="W6500" t="s">
        <v>6720</v>
      </c>
    </row>
    <row r="6501" spans="1:23" ht="15.6" x14ac:dyDescent="0.4">
      <c r="A6501" s="2" t="s">
        <v>2713</v>
      </c>
      <c r="B6501" s="5" t="s">
        <v>12389</v>
      </c>
      <c r="C6501" s="7" t="s">
        <v>12556</v>
      </c>
      <c r="D6501" s="8">
        <f t="shared" si="408"/>
        <v>0</v>
      </c>
      <c r="E6501" s="7" t="s">
        <v>12557</v>
      </c>
      <c r="F6501" s="7">
        <f t="shared" si="409"/>
        <v>2</v>
      </c>
      <c r="G6501" s="7" t="s">
        <v>12558</v>
      </c>
      <c r="H6501" s="7">
        <f t="shared" si="410"/>
        <v>0</v>
      </c>
      <c r="I6501" s="7" cm="1">
        <f t="array" ref="I6501">IFERROR(_xlfn.IFS(M6501="נח",1,M6501="נע ונח",1,M6501="שני שווא נח",2,M6501="שני שוואים בסוף מילה",2,M6501="שני שוואים ברצף",1),"0")</f>
        <v>1</v>
      </c>
      <c r="J6501" s="9">
        <f t="shared" si="411"/>
        <v>3</v>
      </c>
      <c r="K6501" t="s">
        <v>6697</v>
      </c>
      <c r="L6501" t="s">
        <v>6694</v>
      </c>
      <c r="M6501" t="s">
        <v>6705</v>
      </c>
      <c r="Q6501" t="s">
        <v>6694</v>
      </c>
      <c r="S6501" t="s">
        <v>6694</v>
      </c>
      <c r="W6501" t="s">
        <v>6720</v>
      </c>
    </row>
    <row r="6502" spans="1:23" ht="15.6" x14ac:dyDescent="0.4">
      <c r="A6502" s="2" t="s">
        <v>1837</v>
      </c>
      <c r="B6502" s="5" t="s">
        <v>12390</v>
      </c>
      <c r="C6502" s="7" t="s">
        <v>12556</v>
      </c>
      <c r="D6502" s="8">
        <f t="shared" si="408"/>
        <v>0</v>
      </c>
      <c r="E6502" s="7" t="s">
        <v>12557</v>
      </c>
      <c r="F6502" s="7">
        <f t="shared" si="409"/>
        <v>4</v>
      </c>
      <c r="G6502" s="7" t="s">
        <v>12558</v>
      </c>
      <c r="H6502" s="7">
        <f t="shared" si="410"/>
        <v>1</v>
      </c>
      <c r="I6502" s="7" cm="1">
        <f t="array" ref="I6502">IFERROR(_xlfn.IFS(M6502="נח",1,M6502="נע ונח",1,M6502="שני שווא נח",2,M6502="שני שוואים בסוף מילה",2,M6502="שני שוואים ברצף",1),"0")</f>
        <v>1</v>
      </c>
      <c r="J6502" s="9">
        <f t="shared" si="411"/>
        <v>3</v>
      </c>
      <c r="K6502" t="s">
        <v>6697</v>
      </c>
      <c r="L6502" t="s">
        <v>6694</v>
      </c>
      <c r="M6502" t="s">
        <v>6705</v>
      </c>
      <c r="R6502" t="s">
        <v>6694</v>
      </c>
      <c r="S6502" t="s">
        <v>6694</v>
      </c>
      <c r="U6502" t="s">
        <v>6694</v>
      </c>
      <c r="W6502" t="s">
        <v>6720</v>
      </c>
    </row>
    <row r="6503" spans="1:23" ht="15.6" x14ac:dyDescent="0.4">
      <c r="A6503" s="2" t="s">
        <v>4326</v>
      </c>
      <c r="B6503" s="5" t="s">
        <v>12391</v>
      </c>
      <c r="C6503" s="7" t="s">
        <v>12556</v>
      </c>
      <c r="D6503" s="8">
        <f t="shared" si="408"/>
        <v>0</v>
      </c>
      <c r="E6503" s="7" t="s">
        <v>12557</v>
      </c>
      <c r="F6503" s="7">
        <f t="shared" si="409"/>
        <v>2</v>
      </c>
      <c r="G6503" s="7" t="s">
        <v>12558</v>
      </c>
      <c r="H6503" s="7">
        <f t="shared" si="410"/>
        <v>0</v>
      </c>
      <c r="I6503" s="7" t="str" cm="1">
        <f t="array" ref="I6503">IFERROR(_xlfn.IFS(M6503="נח",1,M6503="נע ונח",1,M6503="שני שווא נח",2,M6503="שני שוואים בסוף מילה",2,M6503="שני שוואים ברצף",1),"0")</f>
        <v>0</v>
      </c>
      <c r="J6503" s="9">
        <f t="shared" si="411"/>
        <v>2</v>
      </c>
      <c r="K6503" t="s">
        <v>6698</v>
      </c>
      <c r="L6503" t="s">
        <v>6695</v>
      </c>
      <c r="S6503" t="s">
        <v>6694</v>
      </c>
      <c r="V6503" t="s">
        <v>6694</v>
      </c>
      <c r="W6503" t="s">
        <v>6720</v>
      </c>
    </row>
    <row r="6504" spans="1:23" ht="15.6" x14ac:dyDescent="0.4">
      <c r="A6504" s="2" t="s">
        <v>2434</v>
      </c>
      <c r="B6504" s="5" t="s">
        <v>12392</v>
      </c>
      <c r="C6504" s="7" t="s">
        <v>12556</v>
      </c>
      <c r="D6504" s="8">
        <f t="shared" si="408"/>
        <v>0</v>
      </c>
      <c r="E6504" s="7" t="s">
        <v>12557</v>
      </c>
      <c r="F6504" s="7">
        <f t="shared" si="409"/>
        <v>1</v>
      </c>
      <c r="G6504" s="7" t="s">
        <v>12558</v>
      </c>
      <c r="H6504" s="7">
        <f t="shared" si="410"/>
        <v>0</v>
      </c>
      <c r="I6504" s="7" cm="1">
        <f t="array" ref="I6504">IFERROR(_xlfn.IFS(M6504="נח",1,M6504="נע ונח",1,M6504="שני שווא נח",2,M6504="שני שוואים בסוף מילה",2,M6504="שני שוואים ברצף",1),"0")</f>
        <v>1</v>
      </c>
      <c r="J6504" s="9">
        <f t="shared" si="411"/>
        <v>2</v>
      </c>
      <c r="K6504" t="s">
        <v>6698</v>
      </c>
      <c r="L6504" t="s">
        <v>6694</v>
      </c>
      <c r="M6504" t="s">
        <v>6705</v>
      </c>
      <c r="P6504" t="s">
        <v>6694</v>
      </c>
      <c r="S6504" t="s">
        <v>6694</v>
      </c>
      <c r="W6504" t="s">
        <v>6720</v>
      </c>
    </row>
    <row r="6505" spans="1:23" ht="15.6" x14ac:dyDescent="0.4">
      <c r="A6505" s="2" t="s">
        <v>6465</v>
      </c>
      <c r="B6505" s="5" t="s">
        <v>12247</v>
      </c>
      <c r="C6505" s="7" t="s">
        <v>12556</v>
      </c>
      <c r="D6505" s="8">
        <f t="shared" si="408"/>
        <v>0</v>
      </c>
      <c r="E6505" s="7" t="s">
        <v>12557</v>
      </c>
      <c r="F6505" s="7">
        <f t="shared" si="409"/>
        <v>1</v>
      </c>
      <c r="G6505" s="7" t="s">
        <v>12558</v>
      </c>
      <c r="H6505" s="7">
        <f t="shared" si="410"/>
        <v>0</v>
      </c>
      <c r="I6505" s="7" cm="1">
        <f t="array" ref="I6505">IFERROR(_xlfn.IFS(M6505="נח",1,M6505="נע ונח",1,M6505="שני שווא נח",2,M6505="שני שוואים בסוף מילה",2,M6505="שני שוואים ברצף",1),"0")</f>
        <v>1</v>
      </c>
      <c r="J6505" s="9">
        <f t="shared" si="411"/>
        <v>3</v>
      </c>
      <c r="K6505" t="s">
        <v>6697</v>
      </c>
      <c r="L6505" t="s">
        <v>6694</v>
      </c>
      <c r="M6505" t="s">
        <v>6705</v>
      </c>
      <c r="O6505" t="s">
        <v>6694</v>
      </c>
      <c r="S6505" t="s">
        <v>6694</v>
      </c>
      <c r="W6505" t="s">
        <v>6720</v>
      </c>
    </row>
    <row r="6506" spans="1:23" ht="15.6" x14ac:dyDescent="0.4">
      <c r="A6506" s="2" t="s">
        <v>5080</v>
      </c>
      <c r="B6506" s="5" t="s">
        <v>12393</v>
      </c>
      <c r="C6506" s="7" t="s">
        <v>12556</v>
      </c>
      <c r="D6506" s="8">
        <f t="shared" si="408"/>
        <v>0</v>
      </c>
      <c r="E6506" s="7" t="s">
        <v>12557</v>
      </c>
      <c r="F6506" s="7">
        <f t="shared" si="409"/>
        <v>1</v>
      </c>
      <c r="G6506" s="7" t="s">
        <v>12558</v>
      </c>
      <c r="H6506" s="7">
        <f t="shared" si="410"/>
        <v>0</v>
      </c>
      <c r="I6506" s="7" cm="1">
        <f t="array" ref="I6506">IFERROR(_xlfn.IFS(M6506="נח",1,M6506="נע ונח",1,M6506="שני שווא נח",2,M6506="שני שוואים בסוף מילה",2,M6506="שני שוואים ברצף",1),"0")</f>
        <v>1</v>
      </c>
      <c r="J6506" s="9">
        <f t="shared" si="411"/>
        <v>2</v>
      </c>
      <c r="K6506" t="s">
        <v>6698</v>
      </c>
      <c r="L6506" t="s">
        <v>6694</v>
      </c>
      <c r="M6506" t="s">
        <v>6705</v>
      </c>
      <c r="S6506" t="s">
        <v>6694</v>
      </c>
      <c r="V6506" t="s">
        <v>6694</v>
      </c>
      <c r="W6506" t="s">
        <v>6720</v>
      </c>
    </row>
    <row r="6507" spans="1:23" ht="15.6" x14ac:dyDescent="0.4">
      <c r="A6507" s="2" t="s">
        <v>3797</v>
      </c>
      <c r="B6507" s="5" t="s">
        <v>12394</v>
      </c>
      <c r="C6507" s="7" t="s">
        <v>12556</v>
      </c>
      <c r="D6507" s="8">
        <f t="shared" si="408"/>
        <v>0</v>
      </c>
      <c r="E6507" s="7" t="s">
        <v>12557</v>
      </c>
      <c r="F6507" s="7">
        <f t="shared" si="409"/>
        <v>2</v>
      </c>
      <c r="G6507" s="7" t="s">
        <v>12558</v>
      </c>
      <c r="H6507" s="7">
        <f t="shared" si="410"/>
        <v>1</v>
      </c>
      <c r="I6507" s="7" cm="1">
        <f t="array" ref="I6507">IFERROR(_xlfn.IFS(M6507="נח",1,M6507="נע ונח",1,M6507="שני שווא נח",2,M6507="שני שוואים בסוף מילה",2,M6507="שני שוואים ברצף",1),"0")</f>
        <v>1</v>
      </c>
      <c r="J6507" s="9">
        <f t="shared" si="411"/>
        <v>2</v>
      </c>
      <c r="K6507" t="s">
        <v>6697</v>
      </c>
      <c r="L6507" t="s">
        <v>6694</v>
      </c>
      <c r="M6507" t="s">
        <v>6705</v>
      </c>
      <c r="S6507" t="s">
        <v>6694</v>
      </c>
      <c r="U6507" t="s">
        <v>6694</v>
      </c>
      <c r="W6507" t="s">
        <v>6720</v>
      </c>
    </row>
    <row r="6508" spans="1:23" ht="15.6" x14ac:dyDescent="0.4">
      <c r="A6508" s="2" t="s">
        <v>3912</v>
      </c>
      <c r="B6508" s="5" t="s">
        <v>12395</v>
      </c>
      <c r="C6508" s="7" t="s">
        <v>12556</v>
      </c>
      <c r="D6508" s="8">
        <f t="shared" si="408"/>
        <v>0</v>
      </c>
      <c r="E6508" s="7" t="s">
        <v>12557</v>
      </c>
      <c r="F6508" s="7">
        <f t="shared" si="409"/>
        <v>2</v>
      </c>
      <c r="G6508" s="7" t="s">
        <v>12558</v>
      </c>
      <c r="H6508" s="7">
        <f t="shared" si="410"/>
        <v>0</v>
      </c>
      <c r="I6508" s="7" t="str" cm="1">
        <f t="array" ref="I6508">IFERROR(_xlfn.IFS(M6508="נח",1,M6508="נע ונח",1,M6508="שני שווא נח",2,M6508="שני שוואים בסוף מילה",2,M6508="שני שוואים ברצף",1),"0")</f>
        <v>0</v>
      </c>
      <c r="J6508" s="9">
        <f t="shared" si="411"/>
        <v>2</v>
      </c>
      <c r="K6508" t="s">
        <v>6698</v>
      </c>
      <c r="L6508" t="s">
        <v>6695</v>
      </c>
      <c r="P6508" t="s">
        <v>6694</v>
      </c>
      <c r="S6508" t="s">
        <v>6694</v>
      </c>
      <c r="W6508" t="s">
        <v>6720</v>
      </c>
    </row>
    <row r="6509" spans="1:23" ht="15.6" x14ac:dyDescent="0.4">
      <c r="A6509" s="2" t="s">
        <v>6620</v>
      </c>
      <c r="B6509" s="5" t="s">
        <v>12396</v>
      </c>
      <c r="C6509" s="7" t="s">
        <v>12556</v>
      </c>
      <c r="D6509" s="8">
        <f t="shared" si="408"/>
        <v>0</v>
      </c>
      <c r="E6509" s="7" t="s">
        <v>12557</v>
      </c>
      <c r="F6509" s="7">
        <f t="shared" si="409"/>
        <v>2</v>
      </c>
      <c r="G6509" s="7" t="s">
        <v>12558</v>
      </c>
      <c r="H6509" s="7">
        <f t="shared" si="410"/>
        <v>0</v>
      </c>
      <c r="I6509" s="7" t="str" cm="1">
        <f t="array" ref="I6509">IFERROR(_xlfn.IFS(M6509="נח",1,M6509="נע ונח",1,M6509="שני שווא נח",2,M6509="שני שוואים בסוף מילה",2,M6509="שני שוואים ברצף",1),"0")</f>
        <v>0</v>
      </c>
      <c r="J6509" s="9">
        <f t="shared" si="411"/>
        <v>4</v>
      </c>
      <c r="K6509" t="s">
        <v>6697</v>
      </c>
      <c r="L6509" t="s">
        <v>6695</v>
      </c>
      <c r="O6509" t="s">
        <v>6694</v>
      </c>
      <c r="Q6509" t="s">
        <v>6694</v>
      </c>
      <c r="S6509" t="s">
        <v>6694</v>
      </c>
      <c r="W6509" t="s">
        <v>6720</v>
      </c>
    </row>
    <row r="6510" spans="1:23" ht="15.6" x14ac:dyDescent="0.4">
      <c r="A6510" s="2" t="s">
        <v>2083</v>
      </c>
      <c r="B6510" s="5" t="s">
        <v>12397</v>
      </c>
      <c r="C6510" s="7" t="s">
        <v>12556</v>
      </c>
      <c r="D6510" s="8">
        <f t="shared" si="408"/>
        <v>0</v>
      </c>
      <c r="E6510" s="7" t="s">
        <v>12557</v>
      </c>
      <c r="F6510" s="7">
        <f t="shared" si="409"/>
        <v>1</v>
      </c>
      <c r="G6510" s="7" t="s">
        <v>12558</v>
      </c>
      <c r="H6510" s="7">
        <f t="shared" si="410"/>
        <v>0</v>
      </c>
      <c r="I6510" s="7" cm="1">
        <f t="array" ref="I6510">IFERROR(_xlfn.IFS(M6510="נח",1,M6510="נע ונח",1,M6510="שני שווא נח",2,M6510="שני שוואים בסוף מילה",2,M6510="שני שוואים ברצף",1),"0")</f>
        <v>1</v>
      </c>
      <c r="J6510" s="9">
        <f t="shared" si="411"/>
        <v>2</v>
      </c>
      <c r="K6510" t="s">
        <v>6697</v>
      </c>
      <c r="L6510" t="s">
        <v>6694</v>
      </c>
      <c r="M6510" t="s">
        <v>6705</v>
      </c>
      <c r="R6510" t="s">
        <v>6694</v>
      </c>
      <c r="S6510" t="s">
        <v>6694</v>
      </c>
      <c r="W6510" t="s">
        <v>6720</v>
      </c>
    </row>
    <row r="6511" spans="1:23" ht="15.6" x14ac:dyDescent="0.4">
      <c r="A6511" s="2" t="s">
        <v>158</v>
      </c>
      <c r="B6511" s="5" t="s">
        <v>12398</v>
      </c>
      <c r="C6511" s="7" t="s">
        <v>12556</v>
      </c>
      <c r="D6511" s="8">
        <f t="shared" si="408"/>
        <v>0</v>
      </c>
      <c r="E6511" s="7" t="s">
        <v>12557</v>
      </c>
      <c r="F6511" s="7">
        <f t="shared" si="409"/>
        <v>1</v>
      </c>
      <c r="G6511" s="7" t="s">
        <v>12558</v>
      </c>
      <c r="H6511" s="7">
        <f t="shared" si="410"/>
        <v>0</v>
      </c>
      <c r="I6511" s="7" cm="1">
        <f t="array" ref="I6511">IFERROR(_xlfn.IFS(M6511="נח",1,M6511="נע ונח",1,M6511="שני שווא נח",2,M6511="שני שוואים בסוף מילה",2,M6511="שני שוואים ברצף",1),"0")</f>
        <v>1</v>
      </c>
      <c r="J6511" s="9">
        <f t="shared" si="411"/>
        <v>2</v>
      </c>
      <c r="K6511" t="s">
        <v>6698</v>
      </c>
      <c r="L6511" t="s">
        <v>6694</v>
      </c>
      <c r="M6511" t="s">
        <v>6705</v>
      </c>
      <c r="P6511" t="s">
        <v>6694</v>
      </c>
      <c r="S6511" t="s">
        <v>6694</v>
      </c>
      <c r="W6511" t="s">
        <v>6720</v>
      </c>
    </row>
    <row r="6512" spans="1:23" ht="15.6" x14ac:dyDescent="0.4">
      <c r="A6512" s="2" t="s">
        <v>5896</v>
      </c>
      <c r="B6512" s="5" t="s">
        <v>12398</v>
      </c>
      <c r="C6512" s="7" t="s">
        <v>12556</v>
      </c>
      <c r="D6512" s="8">
        <f t="shared" si="408"/>
        <v>0</v>
      </c>
      <c r="E6512" s="7" t="s">
        <v>12557</v>
      </c>
      <c r="F6512" s="7">
        <f t="shared" si="409"/>
        <v>1</v>
      </c>
      <c r="G6512" s="7" t="s">
        <v>12558</v>
      </c>
      <c r="H6512" s="7">
        <f t="shared" si="410"/>
        <v>0</v>
      </c>
      <c r="I6512" s="7" cm="1">
        <f t="array" ref="I6512">IFERROR(_xlfn.IFS(M6512="נח",1,M6512="נע ונח",1,M6512="שני שווא נח",2,M6512="שני שוואים בסוף מילה",2,M6512="שני שוואים ברצף",1),"0")</f>
        <v>1</v>
      </c>
      <c r="J6512" s="9">
        <f t="shared" si="411"/>
        <v>2</v>
      </c>
      <c r="K6512" t="s">
        <v>6698</v>
      </c>
      <c r="L6512" t="s">
        <v>6694</v>
      </c>
      <c r="M6512" t="s">
        <v>6705</v>
      </c>
      <c r="N6512" t="s">
        <v>6706</v>
      </c>
      <c r="O6512" t="s">
        <v>6694</v>
      </c>
      <c r="S6512" t="s">
        <v>6694</v>
      </c>
      <c r="W6512" t="s">
        <v>6720</v>
      </c>
    </row>
    <row r="6513" spans="1:23" ht="15.6" x14ac:dyDescent="0.4">
      <c r="A6513" s="2" t="s">
        <v>2343</v>
      </c>
      <c r="B6513" s="5" t="s">
        <v>12399</v>
      </c>
      <c r="C6513" s="7" t="s">
        <v>12556</v>
      </c>
      <c r="D6513" s="8">
        <f t="shared" si="408"/>
        <v>0</v>
      </c>
      <c r="E6513" s="7" t="s">
        <v>12557</v>
      </c>
      <c r="F6513" s="7">
        <f t="shared" si="409"/>
        <v>1</v>
      </c>
      <c r="G6513" s="7" t="s">
        <v>12558</v>
      </c>
      <c r="H6513" s="7">
        <f t="shared" si="410"/>
        <v>0</v>
      </c>
      <c r="I6513" s="7" cm="1">
        <f t="array" ref="I6513">IFERROR(_xlfn.IFS(M6513="נח",1,M6513="נע ונח",1,M6513="שני שווא נח",2,M6513="שני שוואים בסוף מילה",2,M6513="שני שוואים ברצף",1),"0")</f>
        <v>1</v>
      </c>
      <c r="J6513" s="9">
        <f t="shared" si="411"/>
        <v>2</v>
      </c>
      <c r="K6513" t="s">
        <v>6698</v>
      </c>
      <c r="L6513" t="s">
        <v>6694</v>
      </c>
      <c r="M6513" t="s">
        <v>6705</v>
      </c>
      <c r="S6513" t="s">
        <v>6694</v>
      </c>
      <c r="V6513" t="s">
        <v>6694</v>
      </c>
      <c r="W6513" t="s">
        <v>6720</v>
      </c>
    </row>
    <row r="6514" spans="1:23" ht="15.6" x14ac:dyDescent="0.4">
      <c r="A6514" s="2" t="s">
        <v>578</v>
      </c>
      <c r="B6514" s="5" t="s">
        <v>12400</v>
      </c>
      <c r="C6514" s="7" t="s">
        <v>12556</v>
      </c>
      <c r="D6514" s="8">
        <f t="shared" si="408"/>
        <v>0</v>
      </c>
      <c r="E6514" s="7" t="s">
        <v>12557</v>
      </c>
      <c r="F6514" s="7">
        <f t="shared" si="409"/>
        <v>2</v>
      </c>
      <c r="G6514" s="7" t="s">
        <v>12558</v>
      </c>
      <c r="H6514" s="7">
        <f t="shared" si="410"/>
        <v>1</v>
      </c>
      <c r="I6514" s="7" cm="1">
        <f t="array" ref="I6514">IFERROR(_xlfn.IFS(M6514="נח",1,M6514="נע ונח",1,M6514="שני שווא נח",2,M6514="שני שוואים בסוף מילה",2,M6514="שני שוואים ברצף",1),"0")</f>
        <v>1</v>
      </c>
      <c r="J6514" s="9">
        <f t="shared" si="411"/>
        <v>3</v>
      </c>
      <c r="K6514" t="s">
        <v>6697</v>
      </c>
      <c r="L6514" t="s">
        <v>6694</v>
      </c>
      <c r="M6514" t="s">
        <v>6702</v>
      </c>
      <c r="S6514" t="s">
        <v>6694</v>
      </c>
      <c r="U6514" t="s">
        <v>6694</v>
      </c>
      <c r="W6514" t="s">
        <v>6720</v>
      </c>
    </row>
    <row r="6515" spans="1:23" ht="15.6" x14ac:dyDescent="0.4">
      <c r="A6515" s="2" t="s">
        <v>4610</v>
      </c>
      <c r="B6515" s="5" t="s">
        <v>12401</v>
      </c>
      <c r="C6515" s="7" t="s">
        <v>12556</v>
      </c>
      <c r="D6515" s="8">
        <f t="shared" si="408"/>
        <v>1</v>
      </c>
      <c r="E6515" s="7" t="s">
        <v>12557</v>
      </c>
      <c r="F6515" s="7">
        <f t="shared" si="409"/>
        <v>1</v>
      </c>
      <c r="G6515" s="7" t="s">
        <v>12558</v>
      </c>
      <c r="H6515" s="7">
        <f t="shared" si="410"/>
        <v>0</v>
      </c>
      <c r="I6515" s="7" cm="1">
        <f t="array" ref="I6515">IFERROR(_xlfn.IFS(M6515="נח",1,M6515="נע ונח",1,M6515="שני שווא נח",2,M6515="שני שוואים בסוף מילה",2,M6515="שני שוואים ברצף",1),"0")</f>
        <v>1</v>
      </c>
      <c r="J6515" s="9">
        <f t="shared" si="411"/>
        <v>4</v>
      </c>
      <c r="K6515" t="s">
        <v>6697</v>
      </c>
      <c r="L6515" t="s">
        <v>6694</v>
      </c>
      <c r="M6515" t="s">
        <v>6702</v>
      </c>
      <c r="Q6515" t="s">
        <v>6694</v>
      </c>
      <c r="S6515" t="s">
        <v>6694</v>
      </c>
      <c r="W6515" t="s">
        <v>6720</v>
      </c>
    </row>
    <row r="6516" spans="1:23" ht="15.6" x14ac:dyDescent="0.4">
      <c r="A6516" s="2" t="s">
        <v>4515</v>
      </c>
      <c r="B6516" s="5" t="s">
        <v>12402</v>
      </c>
      <c r="C6516" s="7" t="s">
        <v>12556</v>
      </c>
      <c r="D6516" s="8">
        <f t="shared" si="408"/>
        <v>1</v>
      </c>
      <c r="E6516" s="7" t="s">
        <v>12557</v>
      </c>
      <c r="F6516" s="7">
        <f t="shared" si="409"/>
        <v>3</v>
      </c>
      <c r="G6516" s="7" t="s">
        <v>12558</v>
      </c>
      <c r="H6516" s="7">
        <f t="shared" si="410"/>
        <v>1</v>
      </c>
      <c r="I6516" s="7" cm="1">
        <f t="array" ref="I6516">IFERROR(_xlfn.IFS(M6516="נח",1,M6516="נע ונח",1,M6516="שני שווא נח",2,M6516="שני שוואים בסוף מילה",2,M6516="שני שוואים ברצף",1),"0")</f>
        <v>1</v>
      </c>
      <c r="J6516" s="9">
        <f t="shared" si="411"/>
        <v>3</v>
      </c>
      <c r="K6516" t="s">
        <v>6698</v>
      </c>
      <c r="L6516" t="s">
        <v>6694</v>
      </c>
      <c r="M6516" t="s">
        <v>6702</v>
      </c>
      <c r="S6516" t="s">
        <v>6694</v>
      </c>
      <c r="U6516" t="s">
        <v>6694</v>
      </c>
      <c r="W6516" t="s">
        <v>6720</v>
      </c>
    </row>
    <row r="6517" spans="1:23" ht="15.6" x14ac:dyDescent="0.4">
      <c r="A6517" s="2" t="s">
        <v>2812</v>
      </c>
      <c r="B6517" s="5" t="s">
        <v>12403</v>
      </c>
      <c r="C6517" s="7" t="s">
        <v>12556</v>
      </c>
      <c r="D6517" s="8">
        <f t="shared" si="408"/>
        <v>1</v>
      </c>
      <c r="E6517" s="7" t="s">
        <v>12557</v>
      </c>
      <c r="F6517" s="7">
        <f t="shared" si="409"/>
        <v>2</v>
      </c>
      <c r="G6517" s="7" t="s">
        <v>12558</v>
      </c>
      <c r="H6517" s="7">
        <f t="shared" si="410"/>
        <v>0</v>
      </c>
      <c r="I6517" s="7" cm="1">
        <f t="array" ref="I6517">IFERROR(_xlfn.IFS(M6517="נח",1,M6517="נע ונח",1,M6517="שני שווא נח",2,M6517="שני שוואים בסוף מילה",2,M6517="שני שוואים ברצף",1),"0")</f>
        <v>1</v>
      </c>
      <c r="J6517" s="9">
        <f t="shared" si="411"/>
        <v>3</v>
      </c>
      <c r="K6517" t="s">
        <v>6697</v>
      </c>
      <c r="L6517" t="s">
        <v>6694</v>
      </c>
      <c r="M6517" t="s">
        <v>6702</v>
      </c>
      <c r="S6517" t="s">
        <v>6694</v>
      </c>
      <c r="W6517" t="s">
        <v>6720</v>
      </c>
    </row>
    <row r="6518" spans="1:23" ht="15.6" x14ac:dyDescent="0.4">
      <c r="A6518" s="2" t="s">
        <v>3672</v>
      </c>
      <c r="B6518" s="5" t="s">
        <v>12404</v>
      </c>
      <c r="C6518" s="7" t="s">
        <v>12556</v>
      </c>
      <c r="D6518" s="8">
        <f t="shared" si="408"/>
        <v>1</v>
      </c>
      <c r="E6518" s="7" t="s">
        <v>12557</v>
      </c>
      <c r="F6518" s="7">
        <f t="shared" si="409"/>
        <v>2</v>
      </c>
      <c r="G6518" s="7" t="s">
        <v>12558</v>
      </c>
      <c r="H6518" s="7">
        <f t="shared" si="410"/>
        <v>0</v>
      </c>
      <c r="I6518" s="7" cm="1">
        <f t="array" ref="I6518">IFERROR(_xlfn.IFS(M6518="נח",1,M6518="נע ונח",1,M6518="שני שווא נח",2,M6518="שני שוואים בסוף מילה",2,M6518="שני שוואים ברצף",1),"0")</f>
        <v>1</v>
      </c>
      <c r="J6518" s="9">
        <f t="shared" si="411"/>
        <v>2</v>
      </c>
      <c r="K6518" t="s">
        <v>6698</v>
      </c>
      <c r="L6518" t="s">
        <v>6694</v>
      </c>
      <c r="M6518" t="s">
        <v>6705</v>
      </c>
      <c r="P6518" t="s">
        <v>6694</v>
      </c>
      <c r="S6518" t="s">
        <v>6694</v>
      </c>
      <c r="W6518" t="s">
        <v>6720</v>
      </c>
    </row>
    <row r="6519" spans="1:23" ht="15.6" x14ac:dyDescent="0.4">
      <c r="A6519" s="2" t="s">
        <v>3204</v>
      </c>
      <c r="B6519" s="5" t="s">
        <v>12405</v>
      </c>
      <c r="C6519" s="7" t="s">
        <v>12556</v>
      </c>
      <c r="D6519" s="8">
        <f t="shared" si="408"/>
        <v>1</v>
      </c>
      <c r="E6519" s="7" t="s">
        <v>12557</v>
      </c>
      <c r="F6519" s="7">
        <f t="shared" si="409"/>
        <v>2</v>
      </c>
      <c r="G6519" s="7" t="s">
        <v>12558</v>
      </c>
      <c r="H6519" s="7">
        <f t="shared" si="410"/>
        <v>0</v>
      </c>
      <c r="I6519" s="7" cm="1">
        <f t="array" ref="I6519">IFERROR(_xlfn.IFS(M6519="נח",1,M6519="נע ונח",1,M6519="שני שווא נח",2,M6519="שני שוואים בסוף מילה",2,M6519="שני שוואים ברצף",1),"0")</f>
        <v>1</v>
      </c>
      <c r="J6519" s="9">
        <f t="shared" si="411"/>
        <v>4</v>
      </c>
      <c r="K6519" t="s">
        <v>6697</v>
      </c>
      <c r="L6519" t="s">
        <v>6694</v>
      </c>
      <c r="M6519" t="s">
        <v>6705</v>
      </c>
      <c r="O6519" t="s">
        <v>6694</v>
      </c>
      <c r="Q6519" t="s">
        <v>6694</v>
      </c>
      <c r="S6519" t="s">
        <v>6694</v>
      </c>
      <c r="W6519" t="s">
        <v>6720</v>
      </c>
    </row>
    <row r="6520" spans="1:23" ht="15.6" x14ac:dyDescent="0.4">
      <c r="A6520" s="2" t="s">
        <v>2906</v>
      </c>
      <c r="B6520" s="5" t="s">
        <v>12339</v>
      </c>
      <c r="C6520" s="7" t="s">
        <v>12556</v>
      </c>
      <c r="D6520" s="8">
        <f t="shared" si="408"/>
        <v>1</v>
      </c>
      <c r="E6520" s="7" t="s">
        <v>12557</v>
      </c>
      <c r="F6520" s="7">
        <f t="shared" si="409"/>
        <v>1</v>
      </c>
      <c r="G6520" s="7" t="s">
        <v>12558</v>
      </c>
      <c r="H6520" s="7">
        <f t="shared" si="410"/>
        <v>0</v>
      </c>
      <c r="I6520" s="7" cm="1">
        <f t="array" ref="I6520">IFERROR(_xlfn.IFS(M6520="נח",1,M6520="נע ונח",1,M6520="שני שווא נח",2,M6520="שני שוואים בסוף מילה",2,M6520="שני שוואים ברצף",1),"0")</f>
        <v>1</v>
      </c>
      <c r="J6520" s="9">
        <f t="shared" si="411"/>
        <v>2</v>
      </c>
      <c r="K6520" t="s">
        <v>6698</v>
      </c>
      <c r="L6520" t="s">
        <v>6694</v>
      </c>
      <c r="M6520" t="s">
        <v>6705</v>
      </c>
      <c r="P6520" t="s">
        <v>6694</v>
      </c>
      <c r="S6520" t="s">
        <v>6694</v>
      </c>
      <c r="W6520" t="s">
        <v>6720</v>
      </c>
    </row>
    <row r="6521" spans="1:23" ht="15.6" x14ac:dyDescent="0.4">
      <c r="A6521" s="2" t="s">
        <v>1836</v>
      </c>
      <c r="B6521" s="5" t="s">
        <v>12406</v>
      </c>
      <c r="C6521" s="7" t="s">
        <v>12556</v>
      </c>
      <c r="D6521" s="8">
        <f t="shared" si="408"/>
        <v>1</v>
      </c>
      <c r="E6521" s="7" t="s">
        <v>12557</v>
      </c>
      <c r="F6521" s="7">
        <f t="shared" si="409"/>
        <v>1</v>
      </c>
      <c r="G6521" s="7" t="s">
        <v>12558</v>
      </c>
      <c r="H6521" s="7">
        <f t="shared" si="410"/>
        <v>0</v>
      </c>
      <c r="I6521" s="7" cm="1">
        <f t="array" ref="I6521">IFERROR(_xlfn.IFS(M6521="נח",1,M6521="נע ונח",1,M6521="שני שווא נח",2,M6521="שני שוואים בסוף מילה",2,M6521="שני שוואים ברצף",1),"0")</f>
        <v>1</v>
      </c>
      <c r="J6521" s="9">
        <f t="shared" si="411"/>
        <v>3</v>
      </c>
      <c r="K6521" t="s">
        <v>6698</v>
      </c>
      <c r="L6521" t="s">
        <v>6694</v>
      </c>
      <c r="M6521" t="s">
        <v>6702</v>
      </c>
      <c r="Q6521" t="s">
        <v>6694</v>
      </c>
      <c r="S6521" t="s">
        <v>6694</v>
      </c>
      <c r="W6521" t="s">
        <v>6720</v>
      </c>
    </row>
    <row r="6522" spans="1:23" ht="15.6" x14ac:dyDescent="0.4">
      <c r="A6522" s="2" t="s">
        <v>3158</v>
      </c>
      <c r="B6522" s="5" t="s">
        <v>12407</v>
      </c>
      <c r="C6522" s="7" t="s">
        <v>12556</v>
      </c>
      <c r="D6522" s="8">
        <f t="shared" si="408"/>
        <v>1</v>
      </c>
      <c r="E6522" s="7" t="s">
        <v>12557</v>
      </c>
      <c r="F6522" s="7">
        <f t="shared" si="409"/>
        <v>1</v>
      </c>
      <c r="G6522" s="7" t="s">
        <v>12558</v>
      </c>
      <c r="H6522" s="7">
        <f t="shared" si="410"/>
        <v>0</v>
      </c>
      <c r="I6522" s="7" cm="1">
        <f t="array" ref="I6522">IFERROR(_xlfn.IFS(M6522="נח",1,M6522="נע ונח",1,M6522="שני שווא נח",2,M6522="שני שוואים בסוף מילה",2,M6522="שני שוואים ברצף",1),"0")</f>
        <v>1</v>
      </c>
      <c r="J6522" s="9">
        <f t="shared" si="411"/>
        <v>2</v>
      </c>
      <c r="K6522" t="s">
        <v>6697</v>
      </c>
      <c r="L6522" t="s">
        <v>6694</v>
      </c>
      <c r="M6522" t="s">
        <v>6705</v>
      </c>
      <c r="P6522" t="s">
        <v>6694</v>
      </c>
      <c r="S6522" t="s">
        <v>6694</v>
      </c>
      <c r="W6522" t="s">
        <v>6720</v>
      </c>
    </row>
    <row r="6523" spans="1:23" ht="15.6" x14ac:dyDescent="0.4">
      <c r="A6523" s="2" t="s">
        <v>5535</v>
      </c>
      <c r="B6523" s="5" t="s">
        <v>12408</v>
      </c>
      <c r="C6523" s="7" t="s">
        <v>12556</v>
      </c>
      <c r="D6523" s="8">
        <f t="shared" si="408"/>
        <v>1</v>
      </c>
      <c r="E6523" s="7" t="s">
        <v>12557</v>
      </c>
      <c r="F6523" s="7">
        <f t="shared" si="409"/>
        <v>1</v>
      </c>
      <c r="G6523" s="7" t="s">
        <v>12558</v>
      </c>
      <c r="H6523" s="7">
        <f t="shared" si="410"/>
        <v>0</v>
      </c>
      <c r="I6523" s="7" cm="1">
        <f t="array" ref="I6523">IFERROR(_xlfn.IFS(M6523="נח",1,M6523="נע ונח",1,M6523="שני שווא נח",2,M6523="שני שוואים בסוף מילה",2,M6523="שני שוואים ברצף",1),"0")</f>
        <v>2</v>
      </c>
      <c r="J6523" s="9">
        <f t="shared" si="411"/>
        <v>3</v>
      </c>
      <c r="K6523" t="s">
        <v>6697</v>
      </c>
      <c r="L6523" t="s">
        <v>6694</v>
      </c>
      <c r="M6523" t="s">
        <v>6704</v>
      </c>
      <c r="O6523" t="s">
        <v>6694</v>
      </c>
      <c r="P6523" t="s">
        <v>6694</v>
      </c>
      <c r="S6523" t="s">
        <v>6694</v>
      </c>
      <c r="W6523" t="s">
        <v>6720</v>
      </c>
    </row>
    <row r="6524" spans="1:23" ht="15.6" x14ac:dyDescent="0.4">
      <c r="A6524" s="2" t="s">
        <v>4129</v>
      </c>
      <c r="B6524" s="5" t="s">
        <v>12409</v>
      </c>
      <c r="C6524" s="7" t="s">
        <v>12556</v>
      </c>
      <c r="D6524" s="8">
        <f t="shared" si="408"/>
        <v>1</v>
      </c>
      <c r="E6524" s="7" t="s">
        <v>12557</v>
      </c>
      <c r="F6524" s="7">
        <f t="shared" si="409"/>
        <v>3</v>
      </c>
      <c r="G6524" s="7" t="s">
        <v>12558</v>
      </c>
      <c r="H6524" s="7">
        <f t="shared" si="410"/>
        <v>1</v>
      </c>
      <c r="I6524" s="7" cm="1">
        <f t="array" ref="I6524">IFERROR(_xlfn.IFS(M6524="נח",1,M6524="נע ונח",1,M6524="שני שווא נח",2,M6524="שני שוואים בסוף מילה",2,M6524="שני שוואים ברצף",1),"0")</f>
        <v>1</v>
      </c>
      <c r="J6524" s="9">
        <f t="shared" si="411"/>
        <v>3</v>
      </c>
      <c r="K6524" t="s">
        <v>6697</v>
      </c>
      <c r="L6524" t="s">
        <v>6694</v>
      </c>
      <c r="M6524" t="s">
        <v>6702</v>
      </c>
      <c r="S6524" t="s">
        <v>6694</v>
      </c>
      <c r="U6524" t="s">
        <v>6694</v>
      </c>
      <c r="W6524" t="s">
        <v>6720</v>
      </c>
    </row>
    <row r="6525" spans="1:23" ht="15.6" x14ac:dyDescent="0.4">
      <c r="A6525" s="2" t="s">
        <v>6683</v>
      </c>
      <c r="B6525" s="5" t="s">
        <v>12410</v>
      </c>
      <c r="C6525" s="7" t="s">
        <v>12556</v>
      </c>
      <c r="D6525" s="8">
        <f t="shared" si="408"/>
        <v>1</v>
      </c>
      <c r="E6525" s="7" t="s">
        <v>12557</v>
      </c>
      <c r="F6525" s="7">
        <f t="shared" si="409"/>
        <v>2</v>
      </c>
      <c r="G6525" s="7" t="s">
        <v>12558</v>
      </c>
      <c r="H6525" s="7">
        <f t="shared" si="410"/>
        <v>0</v>
      </c>
      <c r="I6525" s="7" cm="1">
        <f t="array" ref="I6525">IFERROR(_xlfn.IFS(M6525="נח",1,M6525="נע ונח",1,M6525="שני שווא נח",2,M6525="שני שוואים בסוף מילה",2,M6525="שני שוואים ברצף",1),"0")</f>
        <v>1</v>
      </c>
      <c r="J6525" s="9">
        <f t="shared" si="411"/>
        <v>4</v>
      </c>
      <c r="K6525" t="s">
        <v>6697</v>
      </c>
      <c r="L6525" t="s">
        <v>6694</v>
      </c>
      <c r="M6525" t="s">
        <v>6702</v>
      </c>
      <c r="Q6525" t="s">
        <v>6694</v>
      </c>
      <c r="S6525" t="s">
        <v>6694</v>
      </c>
      <c r="W6525" t="s">
        <v>6720</v>
      </c>
    </row>
    <row r="6526" spans="1:23" ht="15.6" x14ac:dyDescent="0.4">
      <c r="A6526" s="2" t="s">
        <v>3566</v>
      </c>
      <c r="B6526" s="5" t="s">
        <v>12411</v>
      </c>
      <c r="C6526" s="7" t="s">
        <v>12556</v>
      </c>
      <c r="D6526" s="8">
        <f t="shared" si="408"/>
        <v>1</v>
      </c>
      <c r="E6526" s="7" t="s">
        <v>12557</v>
      </c>
      <c r="F6526" s="7">
        <f t="shared" si="409"/>
        <v>2</v>
      </c>
      <c r="G6526" s="7" t="s">
        <v>12558</v>
      </c>
      <c r="H6526" s="7">
        <f t="shared" si="410"/>
        <v>0</v>
      </c>
      <c r="I6526" s="7" cm="1">
        <f t="array" ref="I6526">IFERROR(_xlfn.IFS(M6526="נח",1,M6526="נע ונח",1,M6526="שני שווא נח",2,M6526="שני שוואים בסוף מילה",2,M6526="שני שוואים ברצף",1),"0")</f>
        <v>1</v>
      </c>
      <c r="J6526" s="9">
        <f t="shared" si="411"/>
        <v>4</v>
      </c>
      <c r="K6526" t="s">
        <v>6697</v>
      </c>
      <c r="L6526" t="s">
        <v>6694</v>
      </c>
      <c r="M6526" t="s">
        <v>6705</v>
      </c>
      <c r="P6526" t="s">
        <v>6694</v>
      </c>
      <c r="S6526" t="s">
        <v>6694</v>
      </c>
      <c r="V6526" t="s">
        <v>6694</v>
      </c>
      <c r="W6526" t="s">
        <v>6720</v>
      </c>
    </row>
    <row r="6527" spans="1:23" ht="15.6" x14ac:dyDescent="0.4">
      <c r="A6527" s="2" t="s">
        <v>2518</v>
      </c>
      <c r="B6527" s="5" t="s">
        <v>12412</v>
      </c>
      <c r="C6527" s="7" t="s">
        <v>12556</v>
      </c>
      <c r="D6527" s="8">
        <f t="shared" si="408"/>
        <v>1</v>
      </c>
      <c r="E6527" s="7" t="s">
        <v>12557</v>
      </c>
      <c r="F6527" s="7">
        <f t="shared" si="409"/>
        <v>2</v>
      </c>
      <c r="G6527" s="7" t="s">
        <v>12558</v>
      </c>
      <c r="H6527" s="7">
        <f t="shared" si="410"/>
        <v>0</v>
      </c>
      <c r="I6527" s="7" cm="1">
        <f t="array" ref="I6527">IFERROR(_xlfn.IFS(M6527="נח",1,M6527="נע ונח",1,M6527="שני שווא נח",2,M6527="שני שוואים בסוף מילה",2,M6527="שני שוואים ברצף",1),"0")</f>
        <v>1</v>
      </c>
      <c r="J6527" s="9">
        <f t="shared" si="411"/>
        <v>4</v>
      </c>
      <c r="K6527" t="s">
        <v>6697</v>
      </c>
      <c r="L6527" t="s">
        <v>6694</v>
      </c>
      <c r="M6527" t="s">
        <v>6705</v>
      </c>
      <c r="O6527" t="s">
        <v>6694</v>
      </c>
      <c r="P6527" t="s">
        <v>6694</v>
      </c>
      <c r="S6527" t="s">
        <v>6694</v>
      </c>
      <c r="W6527" t="s">
        <v>6720</v>
      </c>
    </row>
    <row r="6528" spans="1:23" ht="15.6" x14ac:dyDescent="0.4">
      <c r="A6528" s="2" t="s">
        <v>5493</v>
      </c>
      <c r="B6528" s="5" t="s">
        <v>12413</v>
      </c>
      <c r="C6528" s="7" t="s">
        <v>12556</v>
      </c>
      <c r="D6528" s="8">
        <f t="shared" si="408"/>
        <v>1</v>
      </c>
      <c r="E6528" s="7" t="s">
        <v>12557</v>
      </c>
      <c r="F6528" s="7">
        <f t="shared" si="409"/>
        <v>2</v>
      </c>
      <c r="G6528" s="7" t="s">
        <v>12558</v>
      </c>
      <c r="H6528" s="7">
        <f t="shared" si="410"/>
        <v>1</v>
      </c>
      <c r="I6528" s="7" cm="1">
        <f t="array" ref="I6528">IFERROR(_xlfn.IFS(M6528="נח",1,M6528="נע ונח",1,M6528="שני שווא נח",2,M6528="שני שוואים בסוף מילה",2,M6528="שני שוואים ברצף",1),"0")</f>
        <v>1</v>
      </c>
      <c r="J6528" s="9">
        <f t="shared" si="411"/>
        <v>2</v>
      </c>
      <c r="K6528" t="s">
        <v>6697</v>
      </c>
      <c r="L6528" t="s">
        <v>6694</v>
      </c>
      <c r="M6528" t="s">
        <v>6705</v>
      </c>
      <c r="S6528" t="s">
        <v>6694</v>
      </c>
      <c r="U6528" t="s">
        <v>6694</v>
      </c>
      <c r="W6528" t="s">
        <v>6720</v>
      </c>
    </row>
    <row r="6529" spans="1:23" ht="15.6" x14ac:dyDescent="0.4">
      <c r="A6529" s="2" t="s">
        <v>678</v>
      </c>
      <c r="B6529" s="5" t="s">
        <v>12414</v>
      </c>
      <c r="C6529" s="7" t="s">
        <v>12556</v>
      </c>
      <c r="D6529" s="8">
        <f t="shared" si="408"/>
        <v>1</v>
      </c>
      <c r="E6529" s="7" t="s">
        <v>12557</v>
      </c>
      <c r="F6529" s="7">
        <f t="shared" si="409"/>
        <v>2</v>
      </c>
      <c r="G6529" s="7" t="s">
        <v>12558</v>
      </c>
      <c r="H6529" s="7">
        <f t="shared" si="410"/>
        <v>0</v>
      </c>
      <c r="I6529" s="7" cm="1">
        <f t="array" ref="I6529">IFERROR(_xlfn.IFS(M6529="נח",1,M6529="נע ונח",1,M6529="שני שווא נח",2,M6529="שני שוואים בסוף מילה",2,M6529="שני שוואים ברצף",1),"0")</f>
        <v>1</v>
      </c>
      <c r="J6529" s="9">
        <f t="shared" si="411"/>
        <v>2</v>
      </c>
      <c r="K6529" t="s">
        <v>6697</v>
      </c>
      <c r="L6529" t="s">
        <v>6694</v>
      </c>
      <c r="M6529" t="s">
        <v>6705</v>
      </c>
      <c r="P6529" t="s">
        <v>6694</v>
      </c>
      <c r="S6529" t="s">
        <v>6694</v>
      </c>
      <c r="W6529" t="s">
        <v>6720</v>
      </c>
    </row>
    <row r="6530" spans="1:23" ht="15.6" x14ac:dyDescent="0.4">
      <c r="A6530" s="2" t="s">
        <v>4192</v>
      </c>
      <c r="B6530" s="5" t="s">
        <v>12415</v>
      </c>
      <c r="C6530" s="7" t="s">
        <v>12556</v>
      </c>
      <c r="D6530" s="8">
        <f t="shared" si="408"/>
        <v>1</v>
      </c>
      <c r="E6530" s="7" t="s">
        <v>12557</v>
      </c>
      <c r="F6530" s="7">
        <f t="shared" si="409"/>
        <v>1</v>
      </c>
      <c r="G6530" s="7" t="s">
        <v>12558</v>
      </c>
      <c r="H6530" s="7">
        <f t="shared" si="410"/>
        <v>0</v>
      </c>
      <c r="I6530" s="7" cm="1">
        <f t="array" ref="I6530">IFERROR(_xlfn.IFS(M6530="נח",1,M6530="נע ונח",1,M6530="שני שווא נח",2,M6530="שני שוואים בסוף מילה",2,M6530="שני שוואים ברצף",1),"0")</f>
        <v>1</v>
      </c>
      <c r="J6530" s="9">
        <f t="shared" si="411"/>
        <v>2</v>
      </c>
      <c r="K6530" t="s">
        <v>6698</v>
      </c>
      <c r="L6530" t="s">
        <v>6694</v>
      </c>
      <c r="M6530" t="s">
        <v>6705</v>
      </c>
      <c r="P6530" t="s">
        <v>6694</v>
      </c>
      <c r="S6530" t="s">
        <v>6694</v>
      </c>
      <c r="W6530" t="s">
        <v>6720</v>
      </c>
    </row>
    <row r="6531" spans="1:23" ht="15.6" x14ac:dyDescent="0.4">
      <c r="A6531" s="2" t="s">
        <v>6140</v>
      </c>
      <c r="B6531" s="5" t="s">
        <v>12416</v>
      </c>
      <c r="C6531" s="7" t="s">
        <v>12556</v>
      </c>
      <c r="D6531" s="8">
        <f t="shared" ref="D6531:D6594" si="412">(LEN(B6531)-LEN(SUBSTITUTE(B6531,C6531,"")))</f>
        <v>0</v>
      </c>
      <c r="E6531" s="7" t="s">
        <v>12557</v>
      </c>
      <c r="F6531" s="7">
        <f t="shared" ref="F6531:F6594" si="413">(LEN(A6531)-LEN(SUBSTITUTE(A6531,E6531,"")))</f>
        <v>3</v>
      </c>
      <c r="G6531" s="7" t="s">
        <v>12558</v>
      </c>
      <c r="H6531" s="7">
        <f t="shared" ref="H6531:H6594" si="414">(LEN(A6531)-LEN(SUBSTITUTE(A6531,G6531,"")))/2</f>
        <v>0</v>
      </c>
      <c r="I6531" s="7" cm="1">
        <f t="array" ref="I6531">IFERROR(_xlfn.IFS(M6531="נח",1,M6531="נע ונח",1,M6531="שני שווא נח",2,M6531="שני שוואים בסוף מילה",2,M6531="שני שוואים ברצף",1),"0")</f>
        <v>1</v>
      </c>
      <c r="J6531" s="9">
        <f t="shared" ref="J6531:J6594" si="415">LEN(A6531)-(LEN(B6531))-D6531-F6531+H6531-I6531</f>
        <v>3</v>
      </c>
      <c r="K6531" t="s">
        <v>6697</v>
      </c>
      <c r="L6531" t="s">
        <v>6694</v>
      </c>
      <c r="M6531" t="s">
        <v>6705</v>
      </c>
      <c r="O6531" t="s">
        <v>6694</v>
      </c>
      <c r="P6531" t="s">
        <v>6694</v>
      </c>
      <c r="S6531" t="s">
        <v>6694</v>
      </c>
      <c r="W6531" t="s">
        <v>6720</v>
      </c>
    </row>
    <row r="6532" spans="1:23" ht="15.6" x14ac:dyDescent="0.4">
      <c r="A6532" s="2" t="s">
        <v>2024</v>
      </c>
      <c r="B6532" s="5" t="s">
        <v>12417</v>
      </c>
      <c r="C6532" s="7" t="s">
        <v>12556</v>
      </c>
      <c r="D6532" s="8">
        <f t="shared" si="412"/>
        <v>0</v>
      </c>
      <c r="E6532" s="7" t="s">
        <v>12557</v>
      </c>
      <c r="F6532" s="7">
        <f t="shared" si="413"/>
        <v>2</v>
      </c>
      <c r="G6532" s="7" t="s">
        <v>12558</v>
      </c>
      <c r="H6532" s="7">
        <f t="shared" si="414"/>
        <v>0</v>
      </c>
      <c r="I6532" s="7" cm="1">
        <f t="array" ref="I6532">IFERROR(_xlfn.IFS(M6532="נח",1,M6532="נע ונח",1,M6532="שני שווא נח",2,M6532="שני שוואים בסוף מילה",2,M6532="שני שוואים ברצף",1),"0")</f>
        <v>1</v>
      </c>
      <c r="J6532" s="9">
        <f t="shared" si="415"/>
        <v>3</v>
      </c>
      <c r="K6532" t="s">
        <v>6698</v>
      </c>
      <c r="L6532" t="s">
        <v>6694</v>
      </c>
      <c r="M6532" t="s">
        <v>6705</v>
      </c>
      <c r="N6532" t="s">
        <v>6706</v>
      </c>
      <c r="O6532" t="s">
        <v>6694</v>
      </c>
      <c r="S6532" t="s">
        <v>6694</v>
      </c>
      <c r="W6532" t="s">
        <v>6720</v>
      </c>
    </row>
    <row r="6533" spans="1:23" ht="15.6" x14ac:dyDescent="0.4">
      <c r="A6533" s="2" t="s">
        <v>2739</v>
      </c>
      <c r="B6533" s="5" t="s">
        <v>12418</v>
      </c>
      <c r="C6533" s="7" t="s">
        <v>12556</v>
      </c>
      <c r="D6533" s="8">
        <f t="shared" si="412"/>
        <v>0</v>
      </c>
      <c r="E6533" s="7" t="s">
        <v>12557</v>
      </c>
      <c r="F6533" s="7">
        <f t="shared" si="413"/>
        <v>2</v>
      </c>
      <c r="G6533" s="7" t="s">
        <v>12558</v>
      </c>
      <c r="H6533" s="7">
        <f t="shared" si="414"/>
        <v>0</v>
      </c>
      <c r="I6533" s="7" cm="1">
        <f t="array" ref="I6533">IFERROR(_xlfn.IFS(M6533="נח",1,M6533="נע ונח",1,M6533="שני שווא נח",2,M6533="שני שוואים בסוף מילה",2,M6533="שני שוואים ברצף",1),"0")</f>
        <v>1</v>
      </c>
      <c r="J6533" s="9">
        <f t="shared" si="415"/>
        <v>3</v>
      </c>
      <c r="K6533" t="s">
        <v>6698</v>
      </c>
      <c r="L6533" t="s">
        <v>6694</v>
      </c>
      <c r="M6533" t="s">
        <v>6705</v>
      </c>
      <c r="P6533" t="s">
        <v>6694</v>
      </c>
      <c r="Q6533" t="s">
        <v>6694</v>
      </c>
      <c r="S6533" t="s">
        <v>6694</v>
      </c>
      <c r="W6533" t="s">
        <v>6720</v>
      </c>
    </row>
    <row r="6534" spans="1:23" ht="15.6" x14ac:dyDescent="0.4">
      <c r="A6534" s="2" t="s">
        <v>2822</v>
      </c>
      <c r="B6534" s="5" t="s">
        <v>12419</v>
      </c>
      <c r="C6534" s="7" t="s">
        <v>12556</v>
      </c>
      <c r="D6534" s="8">
        <f t="shared" si="412"/>
        <v>1</v>
      </c>
      <c r="E6534" s="7" t="s">
        <v>12557</v>
      </c>
      <c r="F6534" s="7">
        <f t="shared" si="413"/>
        <v>2</v>
      </c>
      <c r="G6534" s="7" t="s">
        <v>12558</v>
      </c>
      <c r="H6534" s="7">
        <f t="shared" si="414"/>
        <v>0</v>
      </c>
      <c r="I6534" s="7" cm="1">
        <f t="array" ref="I6534">IFERROR(_xlfn.IFS(M6534="נח",1,M6534="נע ונח",1,M6534="שני שווא נח",2,M6534="שני שוואים בסוף מילה",2,M6534="שני שוואים ברצף",1),"0")</f>
        <v>1</v>
      </c>
      <c r="J6534" s="9">
        <f t="shared" si="415"/>
        <v>3</v>
      </c>
      <c r="K6534" t="s">
        <v>6698</v>
      </c>
      <c r="L6534" t="s">
        <v>6694</v>
      </c>
      <c r="M6534" t="s">
        <v>6705</v>
      </c>
      <c r="P6534" t="s">
        <v>6694</v>
      </c>
      <c r="Q6534" t="s">
        <v>6694</v>
      </c>
      <c r="S6534" t="s">
        <v>6694</v>
      </c>
      <c r="W6534" t="s">
        <v>6720</v>
      </c>
    </row>
    <row r="6535" spans="1:23" ht="15.6" x14ac:dyDescent="0.4">
      <c r="A6535" s="2" t="s">
        <v>2020</v>
      </c>
      <c r="B6535" s="5" t="s">
        <v>12420</v>
      </c>
      <c r="C6535" s="7" t="s">
        <v>12556</v>
      </c>
      <c r="D6535" s="8">
        <f t="shared" si="412"/>
        <v>0</v>
      </c>
      <c r="E6535" s="7" t="s">
        <v>12557</v>
      </c>
      <c r="F6535" s="7">
        <f t="shared" si="413"/>
        <v>2</v>
      </c>
      <c r="G6535" s="7" t="s">
        <v>12558</v>
      </c>
      <c r="H6535" s="7">
        <f t="shared" si="414"/>
        <v>0</v>
      </c>
      <c r="I6535" s="7" cm="1">
        <f t="array" ref="I6535">IFERROR(_xlfn.IFS(M6535="נח",1,M6535="נע ונח",1,M6535="שני שווא נח",2,M6535="שני שוואים בסוף מילה",2,M6535="שני שוואים ברצף",1),"0")</f>
        <v>1</v>
      </c>
      <c r="J6535" s="9">
        <f t="shared" si="415"/>
        <v>3</v>
      </c>
      <c r="K6535" t="s">
        <v>6698</v>
      </c>
      <c r="L6535" t="s">
        <v>6694</v>
      </c>
      <c r="M6535" t="s">
        <v>6705</v>
      </c>
      <c r="N6535" t="s">
        <v>6706</v>
      </c>
      <c r="O6535" t="s">
        <v>6694</v>
      </c>
      <c r="P6535" t="s">
        <v>6694</v>
      </c>
      <c r="S6535" t="s">
        <v>6694</v>
      </c>
      <c r="W6535" t="s">
        <v>6720</v>
      </c>
    </row>
    <row r="6536" spans="1:23" ht="15.6" x14ac:dyDescent="0.4">
      <c r="A6536" s="2" t="s">
        <v>2488</v>
      </c>
      <c r="B6536" s="5" t="s">
        <v>12421</v>
      </c>
      <c r="C6536" s="7" t="s">
        <v>12556</v>
      </c>
      <c r="D6536" s="8">
        <f t="shared" si="412"/>
        <v>0</v>
      </c>
      <c r="E6536" s="7" t="s">
        <v>12557</v>
      </c>
      <c r="F6536" s="7">
        <f t="shared" si="413"/>
        <v>1</v>
      </c>
      <c r="G6536" s="7" t="s">
        <v>12558</v>
      </c>
      <c r="H6536" s="7">
        <f t="shared" si="414"/>
        <v>0</v>
      </c>
      <c r="I6536" s="7" cm="1">
        <f t="array" ref="I6536">IFERROR(_xlfn.IFS(M6536="נח",1,M6536="נע ונח",1,M6536="שני שווא נח",2,M6536="שני שוואים בסוף מילה",2,M6536="שני שוואים ברצף",1),"0")</f>
        <v>1</v>
      </c>
      <c r="J6536" s="9">
        <f t="shared" si="415"/>
        <v>2</v>
      </c>
      <c r="K6536" t="s">
        <v>6698</v>
      </c>
      <c r="L6536" t="s">
        <v>6694</v>
      </c>
      <c r="M6536" t="s">
        <v>6705</v>
      </c>
      <c r="P6536" t="s">
        <v>6694</v>
      </c>
      <c r="S6536" t="s">
        <v>6694</v>
      </c>
      <c r="W6536" t="s">
        <v>6720</v>
      </c>
    </row>
    <row r="6537" spans="1:23" ht="15.6" x14ac:dyDescent="0.4">
      <c r="A6537" s="2" t="s">
        <v>6127</v>
      </c>
      <c r="B6537" s="5" t="s">
        <v>12422</v>
      </c>
      <c r="C6537" s="7" t="s">
        <v>12556</v>
      </c>
      <c r="D6537" s="8">
        <f t="shared" si="412"/>
        <v>0</v>
      </c>
      <c r="E6537" s="7" t="s">
        <v>12557</v>
      </c>
      <c r="F6537" s="7">
        <f t="shared" si="413"/>
        <v>2</v>
      </c>
      <c r="G6537" s="7" t="s">
        <v>12558</v>
      </c>
      <c r="H6537" s="7">
        <f t="shared" si="414"/>
        <v>0</v>
      </c>
      <c r="I6537" s="7" cm="1">
        <f t="array" ref="I6537">IFERROR(_xlfn.IFS(M6537="נח",1,M6537="נע ונח",1,M6537="שני שווא נח",2,M6537="שני שוואים בסוף מילה",2,M6537="שני שוואים ברצף",1),"0")</f>
        <v>1</v>
      </c>
      <c r="J6537" s="9">
        <f t="shared" si="415"/>
        <v>3</v>
      </c>
      <c r="K6537" t="s">
        <v>6698</v>
      </c>
      <c r="L6537" t="s">
        <v>6694</v>
      </c>
      <c r="M6537" t="s">
        <v>6705</v>
      </c>
      <c r="N6537" t="s">
        <v>6706</v>
      </c>
      <c r="O6537" t="s">
        <v>6694</v>
      </c>
      <c r="P6537" t="s">
        <v>6694</v>
      </c>
      <c r="S6537" t="s">
        <v>6694</v>
      </c>
      <c r="W6537" t="s">
        <v>6720</v>
      </c>
    </row>
    <row r="6538" spans="1:23" ht="15.6" x14ac:dyDescent="0.4">
      <c r="A6538" s="2" t="s">
        <v>3991</v>
      </c>
      <c r="B6538" s="5" t="s">
        <v>12423</v>
      </c>
      <c r="C6538" s="7" t="s">
        <v>12556</v>
      </c>
      <c r="D6538" s="8">
        <f t="shared" si="412"/>
        <v>0</v>
      </c>
      <c r="E6538" s="7" t="s">
        <v>12557</v>
      </c>
      <c r="F6538" s="7">
        <f t="shared" si="413"/>
        <v>2</v>
      </c>
      <c r="G6538" s="7" t="s">
        <v>12558</v>
      </c>
      <c r="H6538" s="7">
        <f t="shared" si="414"/>
        <v>0</v>
      </c>
      <c r="I6538" s="7" cm="1">
        <f t="array" ref="I6538">IFERROR(_xlfn.IFS(M6538="נח",1,M6538="נע ונח",1,M6538="שני שווא נח",2,M6538="שני שוואים בסוף מילה",2,M6538="שני שוואים ברצף",1),"0")</f>
        <v>1</v>
      </c>
      <c r="J6538" s="9">
        <f t="shared" si="415"/>
        <v>3</v>
      </c>
      <c r="K6538" t="s">
        <v>6698</v>
      </c>
      <c r="L6538" t="s">
        <v>6694</v>
      </c>
      <c r="M6538" t="s">
        <v>6705</v>
      </c>
      <c r="P6538" t="s">
        <v>6694</v>
      </c>
      <c r="S6538" t="s">
        <v>6694</v>
      </c>
      <c r="W6538" t="s">
        <v>6720</v>
      </c>
    </row>
    <row r="6539" spans="1:23" ht="15.6" x14ac:dyDescent="0.4">
      <c r="A6539" s="2" t="s">
        <v>6185</v>
      </c>
      <c r="B6539" s="5" t="s">
        <v>12424</v>
      </c>
      <c r="C6539" s="7" t="s">
        <v>12556</v>
      </c>
      <c r="D6539" s="8">
        <f t="shared" si="412"/>
        <v>0</v>
      </c>
      <c r="E6539" s="7" t="s">
        <v>12557</v>
      </c>
      <c r="F6539" s="7">
        <f t="shared" si="413"/>
        <v>3</v>
      </c>
      <c r="G6539" s="7" t="s">
        <v>12558</v>
      </c>
      <c r="H6539" s="7">
        <f t="shared" si="414"/>
        <v>0</v>
      </c>
      <c r="I6539" s="7" cm="1">
        <f t="array" ref="I6539">IFERROR(_xlfn.IFS(M6539="נח",1,M6539="נע ונח",1,M6539="שני שווא נח",2,M6539="שני שוואים בסוף מילה",2,M6539="שני שוואים ברצף",1),"0")</f>
        <v>1</v>
      </c>
      <c r="J6539" s="9">
        <f t="shared" si="415"/>
        <v>3</v>
      </c>
      <c r="K6539" t="s">
        <v>6698</v>
      </c>
      <c r="L6539" t="s">
        <v>6694</v>
      </c>
      <c r="M6539" t="s">
        <v>6705</v>
      </c>
      <c r="N6539" t="s">
        <v>6706</v>
      </c>
      <c r="O6539" t="s">
        <v>6694</v>
      </c>
      <c r="P6539" t="s">
        <v>6694</v>
      </c>
      <c r="S6539" t="s">
        <v>6694</v>
      </c>
      <c r="W6539" t="s">
        <v>6720</v>
      </c>
    </row>
    <row r="6540" spans="1:23" ht="15.6" x14ac:dyDescent="0.4">
      <c r="A6540" s="2" t="s">
        <v>3547</v>
      </c>
      <c r="B6540" s="5" t="s">
        <v>12425</v>
      </c>
      <c r="C6540" s="7" t="s">
        <v>12556</v>
      </c>
      <c r="D6540" s="8">
        <f t="shared" si="412"/>
        <v>0</v>
      </c>
      <c r="E6540" s="7" t="s">
        <v>12557</v>
      </c>
      <c r="F6540" s="7">
        <f t="shared" si="413"/>
        <v>3</v>
      </c>
      <c r="G6540" s="7" t="s">
        <v>12558</v>
      </c>
      <c r="H6540" s="7">
        <f t="shared" si="414"/>
        <v>1</v>
      </c>
      <c r="I6540" s="7" cm="1">
        <f t="array" ref="I6540">IFERROR(_xlfn.IFS(M6540="נח",1,M6540="נע ונח",1,M6540="שני שווא נח",2,M6540="שני שוואים בסוף מילה",2,M6540="שני שוואים ברצף",1),"0")</f>
        <v>1</v>
      </c>
      <c r="J6540" s="9">
        <f t="shared" si="415"/>
        <v>3</v>
      </c>
      <c r="K6540" t="s">
        <v>6697</v>
      </c>
      <c r="L6540" t="s">
        <v>6694</v>
      </c>
      <c r="M6540" t="s">
        <v>6705</v>
      </c>
      <c r="Q6540" t="s">
        <v>6694</v>
      </c>
      <c r="S6540" t="s">
        <v>6694</v>
      </c>
      <c r="U6540" t="s">
        <v>6694</v>
      </c>
      <c r="W6540" t="s">
        <v>6720</v>
      </c>
    </row>
    <row r="6541" spans="1:23" ht="15.6" x14ac:dyDescent="0.4">
      <c r="A6541" s="2" t="s">
        <v>2649</v>
      </c>
      <c r="B6541" s="5" t="s">
        <v>12426</v>
      </c>
      <c r="C6541" s="7" t="s">
        <v>12556</v>
      </c>
      <c r="D6541" s="8">
        <f t="shared" si="412"/>
        <v>0</v>
      </c>
      <c r="E6541" s="7" t="s">
        <v>12557</v>
      </c>
      <c r="F6541" s="7">
        <f t="shared" si="413"/>
        <v>2</v>
      </c>
      <c r="G6541" s="7" t="s">
        <v>12558</v>
      </c>
      <c r="H6541" s="7">
        <f t="shared" si="414"/>
        <v>0</v>
      </c>
      <c r="I6541" s="7" cm="1">
        <f t="array" ref="I6541">IFERROR(_xlfn.IFS(M6541="נח",1,M6541="נע ונח",1,M6541="שני שווא נח",2,M6541="שני שוואים בסוף מילה",2,M6541="שני שוואים ברצף",1),"0")</f>
        <v>1</v>
      </c>
      <c r="J6541" s="9">
        <f t="shared" si="415"/>
        <v>3</v>
      </c>
      <c r="K6541" t="s">
        <v>6697</v>
      </c>
      <c r="L6541" t="s">
        <v>6694</v>
      </c>
      <c r="M6541" t="s">
        <v>6705</v>
      </c>
      <c r="Q6541" t="s">
        <v>6694</v>
      </c>
      <c r="S6541" t="s">
        <v>6694</v>
      </c>
      <c r="W6541" t="s">
        <v>6720</v>
      </c>
    </row>
    <row r="6542" spans="1:23" ht="15.6" x14ac:dyDescent="0.4">
      <c r="A6542" s="2" t="s">
        <v>3632</v>
      </c>
      <c r="B6542" s="5" t="s">
        <v>12427</v>
      </c>
      <c r="C6542" s="7" t="s">
        <v>12556</v>
      </c>
      <c r="D6542" s="8">
        <f t="shared" si="412"/>
        <v>0</v>
      </c>
      <c r="E6542" s="7" t="s">
        <v>12557</v>
      </c>
      <c r="F6542" s="7">
        <f t="shared" si="413"/>
        <v>3</v>
      </c>
      <c r="G6542" s="7" t="s">
        <v>12558</v>
      </c>
      <c r="H6542" s="7">
        <f t="shared" si="414"/>
        <v>1</v>
      </c>
      <c r="I6542" s="7" cm="1">
        <f t="array" ref="I6542">IFERROR(_xlfn.IFS(M6542="נח",1,M6542="נע ונח",1,M6542="שני שווא נח",2,M6542="שני שוואים בסוף מילה",2,M6542="שני שוואים ברצף",1),"0")</f>
        <v>1</v>
      </c>
      <c r="J6542" s="9">
        <f t="shared" si="415"/>
        <v>3</v>
      </c>
      <c r="K6542" t="s">
        <v>6697</v>
      </c>
      <c r="L6542" t="s">
        <v>6694</v>
      </c>
      <c r="M6542" t="s">
        <v>6705</v>
      </c>
      <c r="Q6542" t="s">
        <v>6694</v>
      </c>
      <c r="S6542" t="s">
        <v>6694</v>
      </c>
      <c r="U6542" t="s">
        <v>6694</v>
      </c>
      <c r="W6542" t="s">
        <v>6720</v>
      </c>
    </row>
    <row r="6543" spans="1:23" ht="15.6" x14ac:dyDescent="0.4">
      <c r="A6543" s="2" t="s">
        <v>5673</v>
      </c>
      <c r="B6543" s="5" t="s">
        <v>12427</v>
      </c>
      <c r="C6543" s="7" t="s">
        <v>12556</v>
      </c>
      <c r="D6543" s="8">
        <f t="shared" si="412"/>
        <v>0</v>
      </c>
      <c r="E6543" s="7" t="s">
        <v>12557</v>
      </c>
      <c r="F6543" s="7">
        <f t="shared" si="413"/>
        <v>4</v>
      </c>
      <c r="G6543" s="7" t="s">
        <v>12558</v>
      </c>
      <c r="H6543" s="7">
        <f t="shared" si="414"/>
        <v>1</v>
      </c>
      <c r="I6543" s="7" cm="1">
        <f t="array" ref="I6543">IFERROR(_xlfn.IFS(M6543="נח",1,M6543="נע ונח",1,M6543="שני שווא נח",2,M6543="שני שוואים בסוף מילה",2,M6543="שני שוואים ברצף",1),"0")</f>
        <v>1</v>
      </c>
      <c r="J6543" s="9">
        <f t="shared" si="415"/>
        <v>3</v>
      </c>
      <c r="K6543" t="s">
        <v>6697</v>
      </c>
      <c r="L6543" t="s">
        <v>6694</v>
      </c>
      <c r="M6543" t="s">
        <v>6705</v>
      </c>
      <c r="R6543" t="s">
        <v>6694</v>
      </c>
      <c r="S6543" t="s">
        <v>6694</v>
      </c>
      <c r="U6543" t="s">
        <v>6694</v>
      </c>
      <c r="W6543" t="s">
        <v>6720</v>
      </c>
    </row>
    <row r="6544" spans="1:23" ht="15.6" x14ac:dyDescent="0.4">
      <c r="A6544" s="2" t="s">
        <v>751</v>
      </c>
      <c r="B6544" s="5" t="s">
        <v>12255</v>
      </c>
      <c r="C6544" s="7" t="s">
        <v>12556</v>
      </c>
      <c r="D6544" s="8">
        <f t="shared" si="412"/>
        <v>0</v>
      </c>
      <c r="E6544" s="7" t="s">
        <v>12557</v>
      </c>
      <c r="F6544" s="7">
        <f t="shared" si="413"/>
        <v>2</v>
      </c>
      <c r="G6544" s="7" t="s">
        <v>12558</v>
      </c>
      <c r="H6544" s="7">
        <f t="shared" si="414"/>
        <v>0</v>
      </c>
      <c r="I6544" s="7" t="str" cm="1">
        <f t="array" ref="I6544">IFERROR(_xlfn.IFS(M6544="נח",1,M6544="נע ונח",1,M6544="שני שווא נח",2,M6544="שני שוואים בסוף מילה",2,M6544="שני שוואים ברצף",1),"0")</f>
        <v>0</v>
      </c>
      <c r="J6544" s="9">
        <f t="shared" si="415"/>
        <v>2</v>
      </c>
      <c r="K6544" t="s">
        <v>6698</v>
      </c>
      <c r="L6544" t="s">
        <v>6695</v>
      </c>
      <c r="Q6544" t="s">
        <v>6694</v>
      </c>
      <c r="S6544" t="s">
        <v>6694</v>
      </c>
      <c r="W6544" t="s">
        <v>6720</v>
      </c>
    </row>
    <row r="6545" spans="1:23" ht="15.6" x14ac:dyDescent="0.4">
      <c r="A6545" s="2" t="s">
        <v>4937</v>
      </c>
      <c r="B6545" s="5" t="s">
        <v>12255</v>
      </c>
      <c r="C6545" s="7" t="s">
        <v>12556</v>
      </c>
      <c r="D6545" s="8">
        <f t="shared" si="412"/>
        <v>0</v>
      </c>
      <c r="E6545" s="7" t="s">
        <v>12557</v>
      </c>
      <c r="F6545" s="7">
        <f t="shared" si="413"/>
        <v>2</v>
      </c>
      <c r="G6545" s="7" t="s">
        <v>12558</v>
      </c>
      <c r="H6545" s="7">
        <f t="shared" si="414"/>
        <v>0</v>
      </c>
      <c r="I6545" s="7" t="str" cm="1">
        <f t="array" ref="I6545">IFERROR(_xlfn.IFS(M6545="נח",1,M6545="נע ונח",1,M6545="שני שווא נח",2,M6545="שני שוואים בסוף מילה",2,M6545="שני שוואים ברצף",1),"0")</f>
        <v>0</v>
      </c>
      <c r="J6545" s="9">
        <f t="shared" si="415"/>
        <v>2</v>
      </c>
      <c r="K6545" t="s">
        <v>6698</v>
      </c>
      <c r="L6545" t="s">
        <v>6695</v>
      </c>
      <c r="R6545" t="s">
        <v>6694</v>
      </c>
      <c r="S6545" t="s">
        <v>6694</v>
      </c>
      <c r="W6545" t="s">
        <v>6720</v>
      </c>
    </row>
    <row r="6546" spans="1:23" ht="15.6" x14ac:dyDescent="0.4">
      <c r="A6546" s="2" t="s">
        <v>6184</v>
      </c>
      <c r="B6546" s="5" t="s">
        <v>12428</v>
      </c>
      <c r="C6546" s="7" t="s">
        <v>12556</v>
      </c>
      <c r="D6546" s="8">
        <f t="shared" si="412"/>
        <v>0</v>
      </c>
      <c r="E6546" s="7" t="s">
        <v>12557</v>
      </c>
      <c r="F6546" s="7">
        <f t="shared" si="413"/>
        <v>3</v>
      </c>
      <c r="G6546" s="7" t="s">
        <v>12558</v>
      </c>
      <c r="H6546" s="7">
        <f t="shared" si="414"/>
        <v>0</v>
      </c>
      <c r="I6546" s="7" t="str" cm="1">
        <f t="array" ref="I6546">IFERROR(_xlfn.IFS(M6546="נח",1,M6546="נע ונח",1,M6546="שני שווא נח",2,M6546="שני שוואים בסוף מילה",2,M6546="שני שוואים ברצף",1),"0")</f>
        <v>0</v>
      </c>
      <c r="J6546" s="9">
        <f t="shared" si="415"/>
        <v>3</v>
      </c>
      <c r="K6546" t="s">
        <v>6698</v>
      </c>
      <c r="L6546" t="s">
        <v>6695</v>
      </c>
      <c r="N6546" t="s">
        <v>6706</v>
      </c>
      <c r="O6546" t="s">
        <v>6694</v>
      </c>
      <c r="P6546" t="s">
        <v>6694</v>
      </c>
      <c r="S6546" t="s">
        <v>6694</v>
      </c>
      <c r="W6546" t="s">
        <v>6720</v>
      </c>
    </row>
    <row r="6547" spans="1:23" ht="15.6" x14ac:dyDescent="0.4">
      <c r="A6547" s="2" t="s">
        <v>3406</v>
      </c>
      <c r="B6547" s="5" t="s">
        <v>12429</v>
      </c>
      <c r="C6547" s="7" t="s">
        <v>12556</v>
      </c>
      <c r="D6547" s="8">
        <f t="shared" si="412"/>
        <v>0</v>
      </c>
      <c r="E6547" s="7" t="s">
        <v>12557</v>
      </c>
      <c r="F6547" s="7">
        <f t="shared" si="413"/>
        <v>1</v>
      </c>
      <c r="G6547" s="7" t="s">
        <v>12558</v>
      </c>
      <c r="H6547" s="7">
        <f t="shared" si="414"/>
        <v>0</v>
      </c>
      <c r="I6547" s="7" cm="1">
        <f t="array" ref="I6547">IFERROR(_xlfn.IFS(M6547="נח",1,M6547="נע ונח",1,M6547="שני שווא נח",2,M6547="שני שוואים בסוף מילה",2,M6547="שני שוואים ברצף",1),"0")</f>
        <v>1</v>
      </c>
      <c r="J6547" s="9">
        <f t="shared" si="415"/>
        <v>4</v>
      </c>
      <c r="K6547" t="s">
        <v>6697</v>
      </c>
      <c r="L6547" t="s">
        <v>6694</v>
      </c>
      <c r="M6547" t="s">
        <v>6705</v>
      </c>
      <c r="O6547" t="s">
        <v>6694</v>
      </c>
      <c r="P6547" t="s">
        <v>6694</v>
      </c>
      <c r="Q6547" t="s">
        <v>6694</v>
      </c>
      <c r="W6547" t="s">
        <v>6720</v>
      </c>
    </row>
    <row r="6548" spans="1:23" ht="15.6" x14ac:dyDescent="0.4">
      <c r="A6548" s="2" t="s">
        <v>1963</v>
      </c>
      <c r="B6548" s="5" t="s">
        <v>12256</v>
      </c>
      <c r="C6548" s="7" t="s">
        <v>12556</v>
      </c>
      <c r="D6548" s="8">
        <f t="shared" si="412"/>
        <v>0</v>
      </c>
      <c r="E6548" s="7" t="s">
        <v>12557</v>
      </c>
      <c r="F6548" s="7">
        <f t="shared" si="413"/>
        <v>1</v>
      </c>
      <c r="G6548" s="7" t="s">
        <v>12558</v>
      </c>
      <c r="H6548" s="7">
        <f t="shared" si="414"/>
        <v>0</v>
      </c>
      <c r="I6548" s="7" t="str" cm="1">
        <f t="array" ref="I6548">IFERROR(_xlfn.IFS(M6548="נח",1,M6548="נע ונח",1,M6548="שני שווא נח",2,M6548="שני שוואים בסוף מילה",2,M6548="שני שוואים ברצף",1),"0")</f>
        <v>0</v>
      </c>
      <c r="J6548" s="9">
        <f t="shared" si="415"/>
        <v>2</v>
      </c>
      <c r="K6548" t="s">
        <v>6698</v>
      </c>
      <c r="L6548" t="s">
        <v>6695</v>
      </c>
      <c r="Q6548" t="s">
        <v>6694</v>
      </c>
      <c r="W6548" t="s">
        <v>6720</v>
      </c>
    </row>
    <row r="6549" spans="1:23" ht="15.6" x14ac:dyDescent="0.4">
      <c r="A6549" s="2" t="s">
        <v>2198</v>
      </c>
      <c r="B6549" s="5" t="s">
        <v>12259</v>
      </c>
      <c r="C6549" s="7" t="s">
        <v>12556</v>
      </c>
      <c r="D6549" s="8">
        <f t="shared" si="412"/>
        <v>0</v>
      </c>
      <c r="E6549" s="7" t="s">
        <v>12557</v>
      </c>
      <c r="F6549" s="7">
        <f t="shared" si="413"/>
        <v>1</v>
      </c>
      <c r="G6549" s="7" t="s">
        <v>12558</v>
      </c>
      <c r="H6549" s="7">
        <f t="shared" si="414"/>
        <v>0</v>
      </c>
      <c r="I6549" s="7" cm="1">
        <f t="array" ref="I6549">IFERROR(_xlfn.IFS(M6549="נח",1,M6549="נע ונח",1,M6549="שני שווא נח",2,M6549="שני שוואים בסוף מילה",2,M6549="שני שוואים ברצף",1),"0")</f>
        <v>1</v>
      </c>
      <c r="J6549" s="9">
        <f t="shared" si="415"/>
        <v>2</v>
      </c>
      <c r="K6549" t="s">
        <v>6698</v>
      </c>
      <c r="L6549" t="s">
        <v>6694</v>
      </c>
      <c r="M6549" t="s">
        <v>6705</v>
      </c>
      <c r="Q6549" t="s">
        <v>6694</v>
      </c>
      <c r="W6549" t="s">
        <v>6720</v>
      </c>
    </row>
    <row r="6550" spans="1:23" ht="15.6" x14ac:dyDescent="0.4">
      <c r="A6550" s="2" t="s">
        <v>2677</v>
      </c>
      <c r="B6550" s="5" t="s">
        <v>12430</v>
      </c>
      <c r="C6550" s="7" t="s">
        <v>12556</v>
      </c>
      <c r="D6550" s="8">
        <f t="shared" si="412"/>
        <v>0</v>
      </c>
      <c r="E6550" s="7" t="s">
        <v>12557</v>
      </c>
      <c r="F6550" s="7">
        <f t="shared" si="413"/>
        <v>1</v>
      </c>
      <c r="G6550" s="7" t="s">
        <v>12558</v>
      </c>
      <c r="H6550" s="7">
        <f t="shared" si="414"/>
        <v>0</v>
      </c>
      <c r="I6550" s="7" t="str" cm="1">
        <f t="array" ref="I6550">IFERROR(_xlfn.IFS(M6550="נח",1,M6550="נע ונח",1,M6550="שני שווא נח",2,M6550="שני שוואים בסוף מילה",2,M6550="שני שוואים ברצף",1),"0")</f>
        <v>0</v>
      </c>
      <c r="J6550" s="9">
        <f t="shared" si="415"/>
        <v>1</v>
      </c>
      <c r="K6550" t="s">
        <v>6698</v>
      </c>
      <c r="L6550" t="s">
        <v>6695</v>
      </c>
      <c r="Q6550" t="s">
        <v>6694</v>
      </c>
      <c r="W6550" t="s">
        <v>6720</v>
      </c>
    </row>
    <row r="6551" spans="1:23" ht="15.6" x14ac:dyDescent="0.4">
      <c r="A6551" s="2" t="s">
        <v>1308</v>
      </c>
      <c r="B6551" s="5" t="s">
        <v>12260</v>
      </c>
      <c r="C6551" s="7" t="s">
        <v>12556</v>
      </c>
      <c r="D6551" s="8">
        <f t="shared" si="412"/>
        <v>0</v>
      </c>
      <c r="E6551" s="7" t="s">
        <v>12557</v>
      </c>
      <c r="F6551" s="7">
        <f t="shared" si="413"/>
        <v>1</v>
      </c>
      <c r="G6551" s="7" t="s">
        <v>12558</v>
      </c>
      <c r="H6551" s="7">
        <f t="shared" si="414"/>
        <v>0</v>
      </c>
      <c r="I6551" s="7" t="str" cm="1">
        <f t="array" ref="I6551">IFERROR(_xlfn.IFS(M6551="נח",1,M6551="נע ונח",1,M6551="שני שווא נח",2,M6551="שני שוואים בסוף מילה",2,M6551="שני שוואים ברצף",1),"0")</f>
        <v>0</v>
      </c>
      <c r="J6551" s="9">
        <f t="shared" si="415"/>
        <v>2</v>
      </c>
      <c r="K6551" t="s">
        <v>6697</v>
      </c>
      <c r="L6551" t="s">
        <v>6695</v>
      </c>
      <c r="Q6551" t="s">
        <v>6694</v>
      </c>
      <c r="W6551" t="s">
        <v>6720</v>
      </c>
    </row>
    <row r="6552" spans="1:23" ht="15.6" x14ac:dyDescent="0.4">
      <c r="A6552" s="2" t="s">
        <v>5334</v>
      </c>
      <c r="B6552" s="5" t="s">
        <v>12431</v>
      </c>
      <c r="C6552" s="7" t="s">
        <v>12556</v>
      </c>
      <c r="D6552" s="8">
        <f t="shared" si="412"/>
        <v>1</v>
      </c>
      <c r="E6552" s="7" t="s">
        <v>12557</v>
      </c>
      <c r="F6552" s="7">
        <f t="shared" si="413"/>
        <v>1</v>
      </c>
      <c r="G6552" s="7" t="s">
        <v>12558</v>
      </c>
      <c r="H6552" s="7">
        <f t="shared" si="414"/>
        <v>0</v>
      </c>
      <c r="I6552" s="7" t="str" cm="1">
        <f t="array" ref="I6552">IFERROR(_xlfn.IFS(M6552="נח",1,M6552="נע ונח",1,M6552="שני שווא נח",2,M6552="שני שוואים בסוף מילה",2,M6552="שני שוואים ברצף",1),"0")</f>
        <v>0</v>
      </c>
      <c r="J6552" s="9">
        <f t="shared" si="415"/>
        <v>2</v>
      </c>
      <c r="K6552" t="s">
        <v>6698</v>
      </c>
      <c r="L6552" t="s">
        <v>6695</v>
      </c>
      <c r="Q6552" t="s">
        <v>6694</v>
      </c>
      <c r="W6552" t="s">
        <v>6720</v>
      </c>
    </row>
    <row r="6553" spans="1:23" ht="15.6" x14ac:dyDescent="0.4">
      <c r="A6553" s="2" t="s">
        <v>5758</v>
      </c>
      <c r="B6553" s="5" t="s">
        <v>12432</v>
      </c>
      <c r="C6553" s="7" t="s">
        <v>12556</v>
      </c>
      <c r="D6553" s="8">
        <f t="shared" si="412"/>
        <v>0</v>
      </c>
      <c r="E6553" s="7" t="s">
        <v>12557</v>
      </c>
      <c r="F6553" s="7">
        <f t="shared" si="413"/>
        <v>1</v>
      </c>
      <c r="G6553" s="7" t="s">
        <v>12558</v>
      </c>
      <c r="H6553" s="7">
        <f t="shared" si="414"/>
        <v>0</v>
      </c>
      <c r="I6553" s="7" t="str" cm="1">
        <f t="array" ref="I6553">IFERROR(_xlfn.IFS(M6553="נח",1,M6553="נע ונח",1,M6553="שני שווא נח",2,M6553="שני שוואים בסוף מילה",2,M6553="שני שוואים ברצף",1),"0")</f>
        <v>0</v>
      </c>
      <c r="J6553" s="9">
        <f t="shared" si="415"/>
        <v>1</v>
      </c>
      <c r="K6553" t="s">
        <v>6698</v>
      </c>
      <c r="L6553" t="s">
        <v>6695</v>
      </c>
      <c r="Q6553" t="s">
        <v>6694</v>
      </c>
      <c r="W6553" t="s">
        <v>6720</v>
      </c>
    </row>
    <row r="6554" spans="1:23" ht="15.6" x14ac:dyDescent="0.4">
      <c r="A6554" s="2" t="s">
        <v>4613</v>
      </c>
      <c r="B6554" s="5" t="s">
        <v>12433</v>
      </c>
      <c r="C6554" s="7" t="s">
        <v>12556</v>
      </c>
      <c r="D6554" s="8">
        <f t="shared" si="412"/>
        <v>0</v>
      </c>
      <c r="E6554" s="7" t="s">
        <v>12557</v>
      </c>
      <c r="F6554" s="7">
        <f t="shared" si="413"/>
        <v>1</v>
      </c>
      <c r="G6554" s="7" t="s">
        <v>12558</v>
      </c>
      <c r="H6554" s="7">
        <f t="shared" si="414"/>
        <v>0</v>
      </c>
      <c r="I6554" s="7" cm="1">
        <f t="array" ref="I6554">IFERROR(_xlfn.IFS(M6554="נח",1,M6554="נע ונח",1,M6554="שני שווא נח",2,M6554="שני שוואים בסוף מילה",2,M6554="שני שוואים ברצף",1),"0")</f>
        <v>1</v>
      </c>
      <c r="J6554" s="9">
        <f t="shared" si="415"/>
        <v>2</v>
      </c>
      <c r="K6554" t="s">
        <v>6698</v>
      </c>
      <c r="L6554" t="s">
        <v>6694</v>
      </c>
      <c r="M6554" t="s">
        <v>6705</v>
      </c>
      <c r="P6554" t="s">
        <v>6694</v>
      </c>
      <c r="R6554" t="s">
        <v>6694</v>
      </c>
      <c r="W6554" t="s">
        <v>6720</v>
      </c>
    </row>
    <row r="6555" spans="1:23" ht="15.6" x14ac:dyDescent="0.4">
      <c r="A6555" s="2" t="s">
        <v>598</v>
      </c>
      <c r="B6555" s="5" t="s">
        <v>12434</v>
      </c>
      <c r="C6555" s="7" t="s">
        <v>12556</v>
      </c>
      <c r="D6555" s="8">
        <f t="shared" si="412"/>
        <v>0</v>
      </c>
      <c r="E6555" s="7" t="s">
        <v>12557</v>
      </c>
      <c r="F6555" s="7">
        <f t="shared" si="413"/>
        <v>2</v>
      </c>
      <c r="G6555" s="7" t="s">
        <v>12558</v>
      </c>
      <c r="H6555" s="7">
        <f t="shared" si="414"/>
        <v>1</v>
      </c>
      <c r="I6555" s="7" t="str" cm="1">
        <f t="array" ref="I6555">IFERROR(_xlfn.IFS(M6555="נח",1,M6555="נע ונח",1,M6555="שני שווא נח",2,M6555="שני שוואים בסוף מילה",2,M6555="שני שוואים ברצף",1),"0")</f>
        <v>0</v>
      </c>
      <c r="J6555" s="9">
        <f t="shared" si="415"/>
        <v>4</v>
      </c>
      <c r="K6555" t="s">
        <v>6698</v>
      </c>
      <c r="L6555" t="s">
        <v>6695</v>
      </c>
      <c r="O6555" t="s">
        <v>6694</v>
      </c>
      <c r="R6555" t="s">
        <v>6694</v>
      </c>
      <c r="U6555" t="s">
        <v>6694</v>
      </c>
      <c r="W6555" t="s">
        <v>6720</v>
      </c>
    </row>
    <row r="6556" spans="1:23" ht="15.6" x14ac:dyDescent="0.4">
      <c r="A6556" s="2" t="s">
        <v>4931</v>
      </c>
      <c r="B6556" s="5" t="s">
        <v>12435</v>
      </c>
      <c r="C6556" s="7" t="s">
        <v>12556</v>
      </c>
      <c r="D6556" s="8">
        <f t="shared" si="412"/>
        <v>0</v>
      </c>
      <c r="E6556" s="7" t="s">
        <v>12557</v>
      </c>
      <c r="F6556" s="7">
        <f t="shared" si="413"/>
        <v>1</v>
      </c>
      <c r="G6556" s="7" t="s">
        <v>12558</v>
      </c>
      <c r="H6556" s="7">
        <f t="shared" si="414"/>
        <v>0</v>
      </c>
      <c r="I6556" s="7" t="str" cm="1">
        <f t="array" ref="I6556">IFERROR(_xlfn.IFS(M6556="נח",1,M6556="נע ונח",1,M6556="שני שווא נח",2,M6556="שני שוואים בסוף מילה",2,M6556="שני שוואים ברצף",1),"0")</f>
        <v>0</v>
      </c>
      <c r="J6556" s="9">
        <f t="shared" si="415"/>
        <v>3</v>
      </c>
      <c r="K6556" t="s">
        <v>6698</v>
      </c>
      <c r="L6556" t="s">
        <v>6695</v>
      </c>
      <c r="P6556" t="s">
        <v>6694</v>
      </c>
      <c r="R6556" t="s">
        <v>6694</v>
      </c>
      <c r="W6556" t="s">
        <v>6720</v>
      </c>
    </row>
    <row r="6557" spans="1:23" ht="15.6" x14ac:dyDescent="0.4">
      <c r="A6557" s="2" t="s">
        <v>4315</v>
      </c>
      <c r="B6557" s="5" t="s">
        <v>12436</v>
      </c>
      <c r="C6557" s="7" t="s">
        <v>12556</v>
      </c>
      <c r="D6557" s="8">
        <f t="shared" si="412"/>
        <v>0</v>
      </c>
      <c r="E6557" s="7" t="s">
        <v>12557</v>
      </c>
      <c r="F6557" s="7">
        <f t="shared" si="413"/>
        <v>3</v>
      </c>
      <c r="G6557" s="7" t="s">
        <v>12558</v>
      </c>
      <c r="H6557" s="7">
        <f t="shared" si="414"/>
        <v>1</v>
      </c>
      <c r="I6557" s="7" cm="1">
        <f t="array" ref="I6557">IFERROR(_xlfn.IFS(M6557="נח",1,M6557="נע ונח",1,M6557="שני שווא נח",2,M6557="שני שוואים בסוף מילה",2,M6557="שני שוואים ברצף",1),"0")</f>
        <v>1</v>
      </c>
      <c r="J6557" s="9">
        <f t="shared" si="415"/>
        <v>3</v>
      </c>
      <c r="K6557" t="s">
        <v>6697</v>
      </c>
      <c r="L6557" t="s">
        <v>6694</v>
      </c>
      <c r="M6557" t="s">
        <v>6705</v>
      </c>
      <c r="O6557" t="s">
        <v>6694</v>
      </c>
      <c r="R6557" t="s">
        <v>6694</v>
      </c>
      <c r="U6557" t="s">
        <v>6694</v>
      </c>
      <c r="W6557" t="s">
        <v>6720</v>
      </c>
    </row>
    <row r="6558" spans="1:23" ht="15.6" x14ac:dyDescent="0.4">
      <c r="A6558" s="2" t="s">
        <v>554</v>
      </c>
      <c r="B6558" s="5" t="s">
        <v>12437</v>
      </c>
      <c r="C6558" s="7" t="s">
        <v>12556</v>
      </c>
      <c r="D6558" s="8">
        <f t="shared" si="412"/>
        <v>0</v>
      </c>
      <c r="E6558" s="7" t="s">
        <v>12557</v>
      </c>
      <c r="F6558" s="7">
        <f t="shared" si="413"/>
        <v>2</v>
      </c>
      <c r="G6558" s="7" t="s">
        <v>12558</v>
      </c>
      <c r="H6558" s="7">
        <f t="shared" si="414"/>
        <v>0</v>
      </c>
      <c r="I6558" s="7" cm="1">
        <f t="array" ref="I6558">IFERROR(_xlfn.IFS(M6558="נח",1,M6558="נע ונח",1,M6558="שני שווא נח",2,M6558="שני שוואים בסוף מילה",2,M6558="שני שוואים ברצף",1),"0")</f>
        <v>1</v>
      </c>
      <c r="J6558" s="9">
        <f t="shared" si="415"/>
        <v>2</v>
      </c>
      <c r="K6558" t="s">
        <v>6697</v>
      </c>
      <c r="L6558" t="s">
        <v>6694</v>
      </c>
      <c r="M6558" t="s">
        <v>6705</v>
      </c>
      <c r="R6558" t="s">
        <v>6694</v>
      </c>
      <c r="W6558" t="s">
        <v>6720</v>
      </c>
    </row>
    <row r="6559" spans="1:23" ht="15.6" x14ac:dyDescent="0.4">
      <c r="A6559" s="2" t="s">
        <v>3594</v>
      </c>
      <c r="B6559" s="5" t="s">
        <v>12438</v>
      </c>
      <c r="C6559" s="7" t="s">
        <v>12556</v>
      </c>
      <c r="D6559" s="8">
        <f t="shared" si="412"/>
        <v>0</v>
      </c>
      <c r="E6559" s="7" t="s">
        <v>12557</v>
      </c>
      <c r="F6559" s="7">
        <f t="shared" si="413"/>
        <v>1</v>
      </c>
      <c r="G6559" s="7" t="s">
        <v>12558</v>
      </c>
      <c r="H6559" s="7">
        <f t="shared" si="414"/>
        <v>0</v>
      </c>
      <c r="I6559" s="7" t="str" cm="1">
        <f t="array" ref="I6559">IFERROR(_xlfn.IFS(M6559="נח",1,M6559="נע ונח",1,M6559="שני שווא נח",2,M6559="שני שוואים בסוף מילה",2,M6559="שני שוואים ברצף",1),"0")</f>
        <v>0</v>
      </c>
      <c r="J6559" s="9">
        <f t="shared" si="415"/>
        <v>3</v>
      </c>
      <c r="K6559" t="s">
        <v>6697</v>
      </c>
      <c r="L6559" t="s">
        <v>6695</v>
      </c>
      <c r="R6559" t="s">
        <v>6694</v>
      </c>
      <c r="S6559" t="s">
        <v>6694</v>
      </c>
      <c r="W6559" t="s">
        <v>6720</v>
      </c>
    </row>
    <row r="6560" spans="1:23" ht="15.6" x14ac:dyDescent="0.4">
      <c r="A6560" s="2" t="s">
        <v>2311</v>
      </c>
      <c r="B6560" s="5" t="s">
        <v>12439</v>
      </c>
      <c r="C6560" s="7" t="s">
        <v>12556</v>
      </c>
      <c r="D6560" s="8">
        <f t="shared" si="412"/>
        <v>0</v>
      </c>
      <c r="E6560" s="7" t="s">
        <v>12557</v>
      </c>
      <c r="F6560" s="7">
        <f t="shared" si="413"/>
        <v>1</v>
      </c>
      <c r="G6560" s="7" t="s">
        <v>12558</v>
      </c>
      <c r="H6560" s="7">
        <f t="shared" si="414"/>
        <v>0</v>
      </c>
      <c r="I6560" s="7" cm="1">
        <f t="array" ref="I6560">IFERROR(_xlfn.IFS(M6560="נח",1,M6560="נע ונח",1,M6560="שני שווא נח",2,M6560="שני שוואים בסוף מילה",2,M6560="שני שוואים ברצף",1),"0")</f>
        <v>1</v>
      </c>
      <c r="J6560" s="9">
        <f t="shared" si="415"/>
        <v>2</v>
      </c>
      <c r="K6560" t="s">
        <v>6697</v>
      </c>
      <c r="L6560" t="s">
        <v>6694</v>
      </c>
      <c r="M6560" t="s">
        <v>6705</v>
      </c>
      <c r="R6560" t="s">
        <v>6694</v>
      </c>
      <c r="W6560" t="s">
        <v>6720</v>
      </c>
    </row>
    <row r="6561" spans="1:23" ht="15.6" x14ac:dyDescent="0.4">
      <c r="A6561" s="2" t="s">
        <v>4636</v>
      </c>
      <c r="B6561" s="5" t="s">
        <v>12440</v>
      </c>
      <c r="C6561" s="7" t="s">
        <v>12556</v>
      </c>
      <c r="D6561" s="8">
        <f t="shared" si="412"/>
        <v>1</v>
      </c>
      <c r="E6561" s="7" t="s">
        <v>12557</v>
      </c>
      <c r="F6561" s="7">
        <f t="shared" si="413"/>
        <v>1</v>
      </c>
      <c r="G6561" s="7" t="s">
        <v>12558</v>
      </c>
      <c r="H6561" s="7">
        <f t="shared" si="414"/>
        <v>0</v>
      </c>
      <c r="I6561" s="7" cm="1">
        <f t="array" ref="I6561">IFERROR(_xlfn.IFS(M6561="נח",1,M6561="נע ונח",1,M6561="שני שווא נח",2,M6561="שני שוואים בסוף מילה",2,M6561="שני שוואים ברצף",1),"0")</f>
        <v>2</v>
      </c>
      <c r="J6561" s="9">
        <f t="shared" si="415"/>
        <v>3</v>
      </c>
      <c r="K6561" t="s">
        <v>6697</v>
      </c>
      <c r="L6561" t="s">
        <v>6694</v>
      </c>
      <c r="M6561" t="s">
        <v>6704</v>
      </c>
      <c r="O6561" t="s">
        <v>6694</v>
      </c>
      <c r="P6561" t="s">
        <v>6694</v>
      </c>
      <c r="R6561" t="s">
        <v>6694</v>
      </c>
      <c r="W6561" t="s">
        <v>6720</v>
      </c>
    </row>
    <row r="6562" spans="1:23" ht="15.6" x14ac:dyDescent="0.4">
      <c r="A6562" s="2" t="s">
        <v>2099</v>
      </c>
      <c r="B6562" s="5" t="s">
        <v>12441</v>
      </c>
      <c r="C6562" s="7" t="s">
        <v>12556</v>
      </c>
      <c r="D6562" s="8">
        <f t="shared" si="412"/>
        <v>1</v>
      </c>
      <c r="E6562" s="7" t="s">
        <v>12557</v>
      </c>
      <c r="F6562" s="7">
        <f t="shared" si="413"/>
        <v>1</v>
      </c>
      <c r="G6562" s="7" t="s">
        <v>12558</v>
      </c>
      <c r="H6562" s="7">
        <f t="shared" si="414"/>
        <v>0</v>
      </c>
      <c r="I6562" s="7" t="str" cm="1">
        <f t="array" ref="I6562">IFERROR(_xlfn.IFS(M6562="נח",1,M6562="נע ונח",1,M6562="שני שווא נח",2,M6562="שני שוואים בסוף מילה",2,M6562="שני שוואים ברצף",1),"0")</f>
        <v>0</v>
      </c>
      <c r="J6562" s="9">
        <f t="shared" si="415"/>
        <v>3</v>
      </c>
      <c r="K6562" t="s">
        <v>6698</v>
      </c>
      <c r="L6562" t="s">
        <v>6695</v>
      </c>
      <c r="P6562" t="s">
        <v>6694</v>
      </c>
      <c r="R6562" t="s">
        <v>6694</v>
      </c>
      <c r="W6562" t="s">
        <v>6720</v>
      </c>
    </row>
    <row r="6563" spans="1:23" ht="15.6" x14ac:dyDescent="0.4">
      <c r="A6563" s="2" t="s">
        <v>2661</v>
      </c>
      <c r="B6563" s="5" t="s">
        <v>12442</v>
      </c>
      <c r="C6563" s="7" t="s">
        <v>12556</v>
      </c>
      <c r="D6563" s="8">
        <f t="shared" si="412"/>
        <v>1</v>
      </c>
      <c r="E6563" s="7" t="s">
        <v>12557</v>
      </c>
      <c r="F6563" s="7">
        <f t="shared" si="413"/>
        <v>1</v>
      </c>
      <c r="G6563" s="7" t="s">
        <v>12558</v>
      </c>
      <c r="H6563" s="7">
        <f t="shared" si="414"/>
        <v>0</v>
      </c>
      <c r="I6563" s="7" t="str" cm="1">
        <f t="array" ref="I6563">IFERROR(_xlfn.IFS(M6563="נח",1,M6563="נע ונח",1,M6563="שני שווא נח",2,M6563="שני שוואים בסוף מילה",2,M6563="שני שוואים ברצף",1),"0")</f>
        <v>0</v>
      </c>
      <c r="J6563" s="9">
        <f t="shared" si="415"/>
        <v>3</v>
      </c>
      <c r="K6563" t="s">
        <v>6697</v>
      </c>
      <c r="L6563" t="s">
        <v>6695</v>
      </c>
      <c r="R6563" t="s">
        <v>6694</v>
      </c>
      <c r="W6563" t="s">
        <v>6720</v>
      </c>
    </row>
    <row r="6564" spans="1:23" ht="15.6" x14ac:dyDescent="0.4">
      <c r="A6564" s="2" t="s">
        <v>4156</v>
      </c>
      <c r="B6564" s="5" t="s">
        <v>12443</v>
      </c>
      <c r="C6564" s="7" t="s">
        <v>12556</v>
      </c>
      <c r="D6564" s="8">
        <f t="shared" si="412"/>
        <v>0</v>
      </c>
      <c r="E6564" s="7" t="s">
        <v>12557</v>
      </c>
      <c r="F6564" s="7">
        <f t="shared" si="413"/>
        <v>1</v>
      </c>
      <c r="G6564" s="7" t="s">
        <v>12558</v>
      </c>
      <c r="H6564" s="7">
        <f t="shared" si="414"/>
        <v>0</v>
      </c>
      <c r="I6564" s="7" t="str" cm="1">
        <f t="array" ref="I6564">IFERROR(_xlfn.IFS(M6564="נח",1,M6564="נע ונח",1,M6564="שני שווא נח",2,M6564="שני שוואים בסוף מילה",2,M6564="שני שוואים ברצף",1),"0")</f>
        <v>0</v>
      </c>
      <c r="J6564" s="9">
        <f t="shared" si="415"/>
        <v>2</v>
      </c>
      <c r="K6564" t="s">
        <v>6698</v>
      </c>
      <c r="L6564" t="s">
        <v>6695</v>
      </c>
      <c r="R6564" t="s">
        <v>6694</v>
      </c>
      <c r="W6564" t="s">
        <v>6720</v>
      </c>
    </row>
    <row r="6565" spans="1:23" ht="15.6" x14ac:dyDescent="0.4">
      <c r="A6565" s="2" t="s">
        <v>2671</v>
      </c>
      <c r="B6565" s="5" t="s">
        <v>12430</v>
      </c>
      <c r="C6565" s="7" t="s">
        <v>12556</v>
      </c>
      <c r="D6565" s="8">
        <f t="shared" si="412"/>
        <v>0</v>
      </c>
      <c r="E6565" s="7" t="s">
        <v>12557</v>
      </c>
      <c r="F6565" s="7">
        <f t="shared" si="413"/>
        <v>1</v>
      </c>
      <c r="G6565" s="7" t="s">
        <v>12558</v>
      </c>
      <c r="H6565" s="7">
        <f t="shared" si="414"/>
        <v>0</v>
      </c>
      <c r="I6565" s="7" t="str" cm="1">
        <f t="array" ref="I6565">IFERROR(_xlfn.IFS(M6565="נח",1,M6565="נע ונח",1,M6565="שני שווא נח",2,M6565="שני שוואים בסוף מילה",2,M6565="שני שוואים ברצף",1),"0")</f>
        <v>0</v>
      </c>
      <c r="J6565" s="9">
        <f t="shared" si="415"/>
        <v>1</v>
      </c>
      <c r="K6565" t="s">
        <v>6698</v>
      </c>
      <c r="L6565" t="s">
        <v>6695</v>
      </c>
      <c r="R6565" t="s">
        <v>6694</v>
      </c>
      <c r="W6565" t="s">
        <v>6720</v>
      </c>
    </row>
    <row r="6566" spans="1:23" ht="15.6" x14ac:dyDescent="0.4">
      <c r="A6566" s="2" t="s">
        <v>540</v>
      </c>
      <c r="B6566" s="5" t="s">
        <v>12444</v>
      </c>
      <c r="C6566" s="7" t="s">
        <v>12556</v>
      </c>
      <c r="D6566" s="8">
        <f t="shared" si="412"/>
        <v>0</v>
      </c>
      <c r="E6566" s="7" t="s">
        <v>12557</v>
      </c>
      <c r="F6566" s="7">
        <f t="shared" si="413"/>
        <v>1</v>
      </c>
      <c r="G6566" s="7" t="s">
        <v>12558</v>
      </c>
      <c r="H6566" s="7">
        <f t="shared" si="414"/>
        <v>0</v>
      </c>
      <c r="I6566" s="7" t="str" cm="1">
        <f t="array" ref="I6566">IFERROR(_xlfn.IFS(M6566="נח",1,M6566="נע ונח",1,M6566="שני שווא נח",2,M6566="שני שוואים בסוף מילה",2,M6566="שני שוואים ברצף",1),"0")</f>
        <v>0</v>
      </c>
      <c r="J6566" s="9">
        <f t="shared" si="415"/>
        <v>2</v>
      </c>
      <c r="K6566" t="s">
        <v>6698</v>
      </c>
      <c r="L6566" t="s">
        <v>6695</v>
      </c>
      <c r="R6566" t="s">
        <v>6694</v>
      </c>
      <c r="W6566" t="s">
        <v>6720</v>
      </c>
    </row>
    <row r="6567" spans="1:23" ht="15.6" x14ac:dyDescent="0.4">
      <c r="A6567" s="2" t="s">
        <v>6290</v>
      </c>
      <c r="B6567" s="5" t="s">
        <v>12445</v>
      </c>
      <c r="C6567" s="7" t="s">
        <v>12556</v>
      </c>
      <c r="D6567" s="8">
        <f t="shared" si="412"/>
        <v>0</v>
      </c>
      <c r="E6567" s="7" t="s">
        <v>12557</v>
      </c>
      <c r="F6567" s="7">
        <f t="shared" si="413"/>
        <v>1</v>
      </c>
      <c r="G6567" s="7" t="s">
        <v>12558</v>
      </c>
      <c r="H6567" s="7">
        <f t="shared" si="414"/>
        <v>0</v>
      </c>
      <c r="I6567" s="7" t="str" cm="1">
        <f t="array" ref="I6567">IFERROR(_xlfn.IFS(M6567="נח",1,M6567="נע ונח",1,M6567="שני שווא נח",2,M6567="שני שוואים בסוף מילה",2,M6567="שני שוואים ברצף",1),"0")</f>
        <v>0</v>
      </c>
      <c r="J6567" s="9">
        <f t="shared" si="415"/>
        <v>2</v>
      </c>
      <c r="K6567" t="s">
        <v>6698</v>
      </c>
      <c r="L6567" t="s">
        <v>6695</v>
      </c>
      <c r="R6567" t="s">
        <v>6694</v>
      </c>
      <c r="W6567" t="s">
        <v>6720</v>
      </c>
    </row>
    <row r="6568" spans="1:23" ht="15.6" x14ac:dyDescent="0.4">
      <c r="A6568" s="2" t="s">
        <v>1214</v>
      </c>
      <c r="B6568" s="5" t="s">
        <v>12446</v>
      </c>
      <c r="C6568" s="7" t="s">
        <v>12556</v>
      </c>
      <c r="D6568" s="8">
        <f t="shared" si="412"/>
        <v>0</v>
      </c>
      <c r="E6568" s="7" t="s">
        <v>12557</v>
      </c>
      <c r="F6568" s="7">
        <f t="shared" si="413"/>
        <v>1</v>
      </c>
      <c r="G6568" s="7" t="s">
        <v>12558</v>
      </c>
      <c r="H6568" s="7">
        <f t="shared" si="414"/>
        <v>0</v>
      </c>
      <c r="I6568" s="7" t="str" cm="1">
        <f t="array" ref="I6568">IFERROR(_xlfn.IFS(M6568="נח",1,M6568="נע ונח",1,M6568="שני שווא נח",2,M6568="שני שוואים בסוף מילה",2,M6568="שני שוואים ברצף",1),"0")</f>
        <v>0</v>
      </c>
      <c r="J6568" s="9">
        <f t="shared" si="415"/>
        <v>3</v>
      </c>
      <c r="K6568" t="s">
        <v>6698</v>
      </c>
      <c r="L6568" t="s">
        <v>6695</v>
      </c>
      <c r="P6568" t="s">
        <v>6694</v>
      </c>
      <c r="W6568" t="s">
        <v>6720</v>
      </c>
    </row>
    <row r="6569" spans="1:23" ht="15.6" x14ac:dyDescent="0.4">
      <c r="A6569" s="2" t="s">
        <v>5289</v>
      </c>
      <c r="B6569" s="5" t="s">
        <v>12447</v>
      </c>
      <c r="C6569" s="7" t="s">
        <v>12556</v>
      </c>
      <c r="D6569" s="8">
        <f t="shared" si="412"/>
        <v>0</v>
      </c>
      <c r="E6569" s="7" t="s">
        <v>12557</v>
      </c>
      <c r="F6569" s="7">
        <f t="shared" si="413"/>
        <v>1</v>
      </c>
      <c r="G6569" s="7" t="s">
        <v>12558</v>
      </c>
      <c r="H6569" s="7">
        <f t="shared" si="414"/>
        <v>0</v>
      </c>
      <c r="I6569" s="7" t="str" cm="1">
        <f t="array" ref="I6569">IFERROR(_xlfn.IFS(M6569="נח",1,M6569="נע ונח",1,M6569="שני שווא נח",2,M6569="שני שוואים בסוף מילה",2,M6569="שני שוואים ברצף",1),"0")</f>
        <v>0</v>
      </c>
      <c r="J6569" s="9">
        <f t="shared" si="415"/>
        <v>4</v>
      </c>
      <c r="K6569" t="s">
        <v>6697</v>
      </c>
      <c r="L6569" t="s">
        <v>6695</v>
      </c>
      <c r="O6569" t="s">
        <v>6694</v>
      </c>
      <c r="P6569" t="s">
        <v>6694</v>
      </c>
      <c r="S6569" t="s">
        <v>6694</v>
      </c>
      <c r="W6569" t="s">
        <v>6720</v>
      </c>
    </row>
    <row r="6570" spans="1:23" ht="15.6" x14ac:dyDescent="0.4">
      <c r="A6570" s="2" t="s">
        <v>2947</v>
      </c>
      <c r="B6570" s="5" t="s">
        <v>12448</v>
      </c>
      <c r="C6570" s="7" t="s">
        <v>12556</v>
      </c>
      <c r="D6570" s="8">
        <f t="shared" si="412"/>
        <v>0</v>
      </c>
      <c r="E6570" s="7" t="s">
        <v>12557</v>
      </c>
      <c r="F6570" s="7">
        <f t="shared" si="413"/>
        <v>1</v>
      </c>
      <c r="G6570" s="7" t="s">
        <v>12558</v>
      </c>
      <c r="H6570" s="7">
        <f t="shared" si="414"/>
        <v>0</v>
      </c>
      <c r="I6570" s="7" cm="1">
        <f t="array" ref="I6570">IFERROR(_xlfn.IFS(M6570="נח",1,M6570="נע ונח",1,M6570="שני שווא נח",2,M6570="שני שוואים בסוף מילה",2,M6570="שני שוואים ברצף",1),"0")</f>
        <v>1</v>
      </c>
      <c r="J6570" s="9">
        <f t="shared" si="415"/>
        <v>2</v>
      </c>
      <c r="K6570" t="s">
        <v>6698</v>
      </c>
      <c r="L6570" t="s">
        <v>6694</v>
      </c>
      <c r="M6570" t="s">
        <v>6705</v>
      </c>
      <c r="P6570" t="s">
        <v>6694</v>
      </c>
      <c r="S6570" t="s">
        <v>6694</v>
      </c>
      <c r="W6570" t="s">
        <v>6720</v>
      </c>
    </row>
    <row r="6571" spans="1:23" ht="15.6" x14ac:dyDescent="0.4">
      <c r="A6571" s="2" t="s">
        <v>5165</v>
      </c>
      <c r="B6571" s="5" t="s">
        <v>12262</v>
      </c>
      <c r="C6571" s="7" t="s">
        <v>12556</v>
      </c>
      <c r="D6571" s="8">
        <f t="shared" si="412"/>
        <v>0</v>
      </c>
      <c r="E6571" s="7" t="s">
        <v>12557</v>
      </c>
      <c r="F6571" s="7">
        <f t="shared" si="413"/>
        <v>2</v>
      </c>
      <c r="G6571" s="7" t="s">
        <v>12558</v>
      </c>
      <c r="H6571" s="7">
        <f t="shared" si="414"/>
        <v>0</v>
      </c>
      <c r="I6571" s="7" t="str" cm="1">
        <f t="array" ref="I6571">IFERROR(_xlfn.IFS(M6571="נח",1,M6571="נע ונח",1,M6571="שני שווא נח",2,M6571="שני שוואים בסוף מילה",2,M6571="שני שוואים ברצף",1),"0")</f>
        <v>0</v>
      </c>
      <c r="J6571" s="9">
        <f t="shared" si="415"/>
        <v>2</v>
      </c>
      <c r="K6571" t="s">
        <v>6698</v>
      </c>
      <c r="L6571" t="s">
        <v>6695</v>
      </c>
      <c r="P6571" t="s">
        <v>6694</v>
      </c>
      <c r="S6571" t="s">
        <v>6694</v>
      </c>
      <c r="W6571" t="s">
        <v>6720</v>
      </c>
    </row>
    <row r="6572" spans="1:23" ht="15.6" x14ac:dyDescent="0.4">
      <c r="A6572" s="2" t="s">
        <v>364</v>
      </c>
      <c r="B6572" s="5" t="s">
        <v>12449</v>
      </c>
      <c r="C6572" s="7" t="s">
        <v>12556</v>
      </c>
      <c r="D6572" s="8">
        <f t="shared" si="412"/>
        <v>0</v>
      </c>
      <c r="E6572" s="7" t="s">
        <v>12557</v>
      </c>
      <c r="F6572" s="7">
        <f t="shared" si="413"/>
        <v>2</v>
      </c>
      <c r="G6572" s="7" t="s">
        <v>12558</v>
      </c>
      <c r="H6572" s="7">
        <f t="shared" si="414"/>
        <v>1</v>
      </c>
      <c r="I6572" s="7" cm="1">
        <f t="array" ref="I6572">IFERROR(_xlfn.IFS(M6572="נח",1,M6572="נע ונח",1,M6572="שני שווא נח",2,M6572="שני שוואים בסוף מילה",2,M6572="שני שוואים ברצף",1),"0")</f>
        <v>1</v>
      </c>
      <c r="J6572" s="9">
        <f t="shared" si="415"/>
        <v>4</v>
      </c>
      <c r="K6572" t="s">
        <v>6697</v>
      </c>
      <c r="L6572" t="s">
        <v>6694</v>
      </c>
      <c r="M6572" t="s">
        <v>6705</v>
      </c>
      <c r="P6572" t="s">
        <v>6694</v>
      </c>
      <c r="S6572" t="s">
        <v>6694</v>
      </c>
      <c r="U6572" t="s">
        <v>6694</v>
      </c>
      <c r="V6572" t="s">
        <v>6694</v>
      </c>
      <c r="W6572" t="s">
        <v>6720</v>
      </c>
    </row>
    <row r="6573" spans="1:23" ht="15.6" x14ac:dyDescent="0.4">
      <c r="A6573" s="2" t="s">
        <v>4198</v>
      </c>
      <c r="B6573" s="5" t="s">
        <v>12450</v>
      </c>
      <c r="C6573" s="7" t="s">
        <v>12556</v>
      </c>
      <c r="D6573" s="8">
        <f t="shared" si="412"/>
        <v>0</v>
      </c>
      <c r="E6573" s="7" t="s">
        <v>12557</v>
      </c>
      <c r="F6573" s="7">
        <f t="shared" si="413"/>
        <v>1</v>
      </c>
      <c r="G6573" s="7" t="s">
        <v>12558</v>
      </c>
      <c r="H6573" s="7">
        <f t="shared" si="414"/>
        <v>0</v>
      </c>
      <c r="I6573" s="7" cm="1">
        <f t="array" ref="I6573">IFERROR(_xlfn.IFS(M6573="נח",1,M6573="נע ונח",1,M6573="שני שווא נח",2,M6573="שני שוואים בסוף מילה",2,M6573="שני שוואים ברצף",1),"0")</f>
        <v>1</v>
      </c>
      <c r="J6573" s="9">
        <f t="shared" si="415"/>
        <v>3</v>
      </c>
      <c r="K6573" t="s">
        <v>6698</v>
      </c>
      <c r="L6573" t="s">
        <v>6694</v>
      </c>
      <c r="M6573" t="s">
        <v>6705</v>
      </c>
      <c r="P6573" t="s">
        <v>6694</v>
      </c>
      <c r="Q6573" t="s">
        <v>6694</v>
      </c>
      <c r="W6573" t="s">
        <v>6720</v>
      </c>
    </row>
    <row r="6574" spans="1:23" ht="15.6" x14ac:dyDescent="0.4">
      <c r="A6574" s="2" t="s">
        <v>6511</v>
      </c>
      <c r="B6574" s="5" t="s">
        <v>12451</v>
      </c>
      <c r="C6574" s="7" t="s">
        <v>12556</v>
      </c>
      <c r="D6574" s="8">
        <f t="shared" si="412"/>
        <v>0</v>
      </c>
      <c r="E6574" s="7" t="s">
        <v>12557</v>
      </c>
      <c r="F6574" s="7">
        <f t="shared" si="413"/>
        <v>2</v>
      </c>
      <c r="G6574" s="7" t="s">
        <v>12558</v>
      </c>
      <c r="H6574" s="7">
        <f t="shared" si="414"/>
        <v>0</v>
      </c>
      <c r="I6574" s="7" cm="1">
        <f t="array" ref="I6574">IFERROR(_xlfn.IFS(M6574="נח",1,M6574="נע ונח",1,M6574="שני שווא נח",2,M6574="שני שוואים בסוף מילה",2,M6574="שני שוואים ברצף",1),"0")</f>
        <v>1</v>
      </c>
      <c r="J6574" s="9">
        <f t="shared" si="415"/>
        <v>2</v>
      </c>
      <c r="K6574" t="s">
        <v>6698</v>
      </c>
      <c r="L6574" t="s">
        <v>6694</v>
      </c>
      <c r="M6574" t="s">
        <v>6705</v>
      </c>
      <c r="P6574" t="s">
        <v>6694</v>
      </c>
      <c r="V6574" t="s">
        <v>6694</v>
      </c>
      <c r="W6574" t="s">
        <v>6720</v>
      </c>
    </row>
    <row r="6575" spans="1:23" ht="15.6" x14ac:dyDescent="0.4">
      <c r="A6575" s="2" t="s">
        <v>6478</v>
      </c>
      <c r="B6575" s="5" t="s">
        <v>12452</v>
      </c>
      <c r="C6575" s="7" t="s">
        <v>12556</v>
      </c>
      <c r="D6575" s="8">
        <f t="shared" si="412"/>
        <v>0</v>
      </c>
      <c r="E6575" s="7" t="s">
        <v>12557</v>
      </c>
      <c r="F6575" s="7">
        <f t="shared" si="413"/>
        <v>2</v>
      </c>
      <c r="G6575" s="7" t="s">
        <v>12558</v>
      </c>
      <c r="H6575" s="7">
        <f t="shared" si="414"/>
        <v>0</v>
      </c>
      <c r="I6575" s="7" cm="1">
        <f t="array" ref="I6575">IFERROR(_xlfn.IFS(M6575="נח",1,M6575="נע ונח",1,M6575="שני שווא נח",2,M6575="שני שוואים בסוף מילה",2,M6575="שני שוואים ברצף",1),"0")</f>
        <v>2</v>
      </c>
      <c r="J6575" s="9">
        <f t="shared" si="415"/>
        <v>3</v>
      </c>
      <c r="K6575" t="s">
        <v>6697</v>
      </c>
      <c r="L6575" t="s">
        <v>6694</v>
      </c>
      <c r="M6575" t="s">
        <v>6704</v>
      </c>
      <c r="O6575" t="s">
        <v>6694</v>
      </c>
      <c r="P6575" t="s">
        <v>6694</v>
      </c>
      <c r="V6575" t="s">
        <v>6694</v>
      </c>
      <c r="W6575" t="s">
        <v>6720</v>
      </c>
    </row>
    <row r="6576" spans="1:23" ht="15.6" x14ac:dyDescent="0.4">
      <c r="A6576" s="2" t="s">
        <v>3932</v>
      </c>
      <c r="B6576" s="5" t="s">
        <v>12263</v>
      </c>
      <c r="C6576" s="7" t="s">
        <v>12556</v>
      </c>
      <c r="D6576" s="8">
        <f t="shared" si="412"/>
        <v>0</v>
      </c>
      <c r="E6576" s="7" t="s">
        <v>12557</v>
      </c>
      <c r="F6576" s="7">
        <f t="shared" si="413"/>
        <v>2</v>
      </c>
      <c r="G6576" s="7" t="s">
        <v>12558</v>
      </c>
      <c r="H6576" s="7">
        <f t="shared" si="414"/>
        <v>0</v>
      </c>
      <c r="I6576" s="7" cm="1">
        <f t="array" ref="I6576">IFERROR(_xlfn.IFS(M6576="נח",1,M6576="נע ונח",1,M6576="שני שווא נח",2,M6576="שני שוואים בסוף מילה",2,M6576="שני שוואים ברצף",1),"0")</f>
        <v>1</v>
      </c>
      <c r="J6576" s="9">
        <f t="shared" si="415"/>
        <v>2</v>
      </c>
      <c r="K6576" t="s">
        <v>6698</v>
      </c>
      <c r="L6576" t="s">
        <v>6694</v>
      </c>
      <c r="M6576" t="s">
        <v>6705</v>
      </c>
      <c r="P6576" t="s">
        <v>6694</v>
      </c>
      <c r="V6576" t="s">
        <v>6694</v>
      </c>
      <c r="W6576" t="s">
        <v>6720</v>
      </c>
    </row>
    <row r="6577" spans="1:23" ht="15.6" x14ac:dyDescent="0.4">
      <c r="A6577" s="2" t="s">
        <v>3941</v>
      </c>
      <c r="B6577" s="5" t="s">
        <v>12453</v>
      </c>
      <c r="C6577" s="7" t="s">
        <v>12556</v>
      </c>
      <c r="D6577" s="8">
        <f t="shared" si="412"/>
        <v>1</v>
      </c>
      <c r="E6577" s="7" t="s">
        <v>12557</v>
      </c>
      <c r="F6577" s="7">
        <f t="shared" si="413"/>
        <v>1</v>
      </c>
      <c r="G6577" s="7" t="s">
        <v>12558</v>
      </c>
      <c r="H6577" s="7">
        <f t="shared" si="414"/>
        <v>0</v>
      </c>
      <c r="I6577" s="7" cm="1">
        <f t="array" ref="I6577">IFERROR(_xlfn.IFS(M6577="נח",1,M6577="נע ונח",1,M6577="שני שווא נח",2,M6577="שני שוואים בסוף מילה",2,M6577="שני שוואים ברצף",1),"0")</f>
        <v>1</v>
      </c>
      <c r="J6577" s="9">
        <f t="shared" si="415"/>
        <v>2</v>
      </c>
      <c r="K6577" t="s">
        <v>6698</v>
      </c>
      <c r="L6577" t="s">
        <v>6694</v>
      </c>
      <c r="M6577" t="s">
        <v>6705</v>
      </c>
      <c r="P6577" t="s">
        <v>6694</v>
      </c>
      <c r="V6577" t="s">
        <v>6694</v>
      </c>
      <c r="W6577" t="s">
        <v>6720</v>
      </c>
    </row>
    <row r="6578" spans="1:23" ht="15.6" x14ac:dyDescent="0.4">
      <c r="A6578" s="2" t="s">
        <v>3802</v>
      </c>
      <c r="B6578" s="5" t="s">
        <v>12454</v>
      </c>
      <c r="C6578" s="7" t="s">
        <v>12556</v>
      </c>
      <c r="D6578" s="8">
        <f t="shared" si="412"/>
        <v>0</v>
      </c>
      <c r="E6578" s="7" t="s">
        <v>12557</v>
      </c>
      <c r="F6578" s="7">
        <f t="shared" si="413"/>
        <v>3</v>
      </c>
      <c r="G6578" s="7" t="s">
        <v>12558</v>
      </c>
      <c r="H6578" s="7">
        <f t="shared" si="414"/>
        <v>1</v>
      </c>
      <c r="I6578" s="7" cm="1">
        <f t="array" ref="I6578">IFERROR(_xlfn.IFS(M6578="נח",1,M6578="נע ונח",1,M6578="שני שווא נח",2,M6578="שני שוואים בסוף מילה",2,M6578="שני שוואים ברצף",1),"0")</f>
        <v>1</v>
      </c>
      <c r="J6578" s="9">
        <f t="shared" si="415"/>
        <v>3</v>
      </c>
      <c r="K6578" t="s">
        <v>6697</v>
      </c>
      <c r="L6578" t="s">
        <v>6694</v>
      </c>
      <c r="M6578" t="s">
        <v>6705</v>
      </c>
      <c r="P6578" t="s">
        <v>6694</v>
      </c>
      <c r="Q6578" t="s">
        <v>6694</v>
      </c>
      <c r="U6578" t="s">
        <v>6694</v>
      </c>
      <c r="W6578" t="s">
        <v>6720</v>
      </c>
    </row>
    <row r="6579" spans="1:23" ht="15.6" x14ac:dyDescent="0.4">
      <c r="A6579" s="2" t="s">
        <v>3697</v>
      </c>
      <c r="B6579" s="5" t="s">
        <v>12455</v>
      </c>
      <c r="C6579" s="7" t="s">
        <v>12556</v>
      </c>
      <c r="D6579" s="8">
        <f t="shared" si="412"/>
        <v>0</v>
      </c>
      <c r="E6579" s="7" t="s">
        <v>12557</v>
      </c>
      <c r="F6579" s="7">
        <f t="shared" si="413"/>
        <v>2</v>
      </c>
      <c r="G6579" s="7" t="s">
        <v>12558</v>
      </c>
      <c r="H6579" s="7">
        <f t="shared" si="414"/>
        <v>0</v>
      </c>
      <c r="I6579" s="7" cm="1">
        <f t="array" ref="I6579">IFERROR(_xlfn.IFS(M6579="נח",1,M6579="נע ונח",1,M6579="שני שווא נח",2,M6579="שני שוואים בסוף מילה",2,M6579="שני שוואים ברצף",1),"0")</f>
        <v>1</v>
      </c>
      <c r="J6579" s="9">
        <f t="shared" si="415"/>
        <v>3</v>
      </c>
      <c r="K6579" t="s">
        <v>6697</v>
      </c>
      <c r="L6579" t="s">
        <v>6694</v>
      </c>
      <c r="M6579" t="s">
        <v>6705</v>
      </c>
      <c r="O6579" t="s">
        <v>6694</v>
      </c>
      <c r="P6579" t="s">
        <v>6694</v>
      </c>
      <c r="R6579" t="s">
        <v>6694</v>
      </c>
      <c r="W6579" t="s">
        <v>6720</v>
      </c>
    </row>
    <row r="6580" spans="1:23" ht="15.6" x14ac:dyDescent="0.4">
      <c r="A6580" s="2" t="s">
        <v>6174</v>
      </c>
      <c r="B6580" s="5" t="s">
        <v>12264</v>
      </c>
      <c r="C6580" s="7" t="s">
        <v>12556</v>
      </c>
      <c r="D6580" s="8">
        <f t="shared" si="412"/>
        <v>0</v>
      </c>
      <c r="E6580" s="7" t="s">
        <v>12557</v>
      </c>
      <c r="F6580" s="7">
        <f t="shared" si="413"/>
        <v>2</v>
      </c>
      <c r="G6580" s="7" t="s">
        <v>12558</v>
      </c>
      <c r="H6580" s="7">
        <f t="shared" si="414"/>
        <v>0</v>
      </c>
      <c r="I6580" s="7" cm="1">
        <f t="array" ref="I6580">IFERROR(_xlfn.IFS(M6580="נח",1,M6580="נע ונח",1,M6580="שני שווא נח",2,M6580="שני שוואים בסוף מילה",2,M6580="שני שוואים ברצף",1),"0")</f>
        <v>1</v>
      </c>
      <c r="J6580" s="9">
        <f t="shared" si="415"/>
        <v>2</v>
      </c>
      <c r="K6580" t="s">
        <v>6698</v>
      </c>
      <c r="L6580" t="s">
        <v>6694</v>
      </c>
      <c r="M6580" t="s">
        <v>6705</v>
      </c>
      <c r="N6580" t="s">
        <v>6706</v>
      </c>
      <c r="O6580" t="s">
        <v>6694</v>
      </c>
      <c r="P6580" t="s">
        <v>6694</v>
      </c>
      <c r="W6580" t="s">
        <v>6720</v>
      </c>
    </row>
    <row r="6581" spans="1:23" ht="15.6" x14ac:dyDescent="0.4">
      <c r="A6581" s="2" t="s">
        <v>6276</v>
      </c>
      <c r="B6581" s="5" t="s">
        <v>12456</v>
      </c>
      <c r="C6581" s="7" t="s">
        <v>12556</v>
      </c>
      <c r="D6581" s="8">
        <f t="shared" si="412"/>
        <v>0</v>
      </c>
      <c r="E6581" s="7" t="s">
        <v>12557</v>
      </c>
      <c r="F6581" s="7">
        <f t="shared" si="413"/>
        <v>1</v>
      </c>
      <c r="G6581" s="7" t="s">
        <v>12558</v>
      </c>
      <c r="H6581" s="7">
        <f t="shared" si="414"/>
        <v>0</v>
      </c>
      <c r="I6581" s="7" cm="1">
        <f t="array" ref="I6581">IFERROR(_xlfn.IFS(M6581="נח",1,M6581="נע ונח",1,M6581="שני שווא נח",2,M6581="שני שוואים בסוף מילה",2,M6581="שני שוואים ברצף",1),"0")</f>
        <v>1</v>
      </c>
      <c r="J6581" s="9">
        <f t="shared" si="415"/>
        <v>5</v>
      </c>
      <c r="K6581" t="s">
        <v>6697</v>
      </c>
      <c r="L6581" t="s">
        <v>6694</v>
      </c>
      <c r="M6581" t="s">
        <v>6705</v>
      </c>
      <c r="N6581" t="s">
        <v>6706</v>
      </c>
      <c r="O6581" t="s">
        <v>6694</v>
      </c>
      <c r="P6581" t="s">
        <v>6694</v>
      </c>
      <c r="S6581" t="s">
        <v>6694</v>
      </c>
      <c r="T6581" t="s">
        <v>6694</v>
      </c>
      <c r="W6581" t="s">
        <v>6720</v>
      </c>
    </row>
    <row r="6582" spans="1:23" ht="15.6" x14ac:dyDescent="0.4">
      <c r="A6582" s="2" t="s">
        <v>2614</v>
      </c>
      <c r="B6582" s="5" t="s">
        <v>12457</v>
      </c>
      <c r="C6582" s="7" t="s">
        <v>12556</v>
      </c>
      <c r="D6582" s="8">
        <f t="shared" si="412"/>
        <v>0</v>
      </c>
      <c r="E6582" s="7" t="s">
        <v>12557</v>
      </c>
      <c r="F6582" s="7">
        <f t="shared" si="413"/>
        <v>1</v>
      </c>
      <c r="G6582" s="7" t="s">
        <v>12558</v>
      </c>
      <c r="H6582" s="7">
        <f t="shared" si="414"/>
        <v>0</v>
      </c>
      <c r="I6582" s="7" t="str" cm="1">
        <f t="array" ref="I6582">IFERROR(_xlfn.IFS(M6582="נח",1,M6582="נע ונח",1,M6582="שני שווא נח",2,M6582="שני שוואים בסוף מילה",2,M6582="שני שוואים ברצף",1),"0")</f>
        <v>0</v>
      </c>
      <c r="J6582" s="9">
        <f t="shared" si="415"/>
        <v>3</v>
      </c>
      <c r="K6582" t="s">
        <v>6697</v>
      </c>
      <c r="L6582" t="s">
        <v>6695</v>
      </c>
      <c r="P6582" t="s">
        <v>6694</v>
      </c>
      <c r="R6582" t="s">
        <v>6694</v>
      </c>
      <c r="W6582" t="s">
        <v>6720</v>
      </c>
    </row>
    <row r="6583" spans="1:23" ht="15.6" x14ac:dyDescent="0.4">
      <c r="A6583" s="2" t="s">
        <v>2663</v>
      </c>
      <c r="B6583" s="5" t="s">
        <v>12458</v>
      </c>
      <c r="C6583" s="7" t="s">
        <v>12556</v>
      </c>
      <c r="D6583" s="8">
        <f t="shared" si="412"/>
        <v>0</v>
      </c>
      <c r="E6583" s="7" t="s">
        <v>12557</v>
      </c>
      <c r="F6583" s="7">
        <f t="shared" si="413"/>
        <v>2</v>
      </c>
      <c r="G6583" s="7" t="s">
        <v>12558</v>
      </c>
      <c r="H6583" s="7">
        <f t="shared" si="414"/>
        <v>1</v>
      </c>
      <c r="I6583" s="7" t="str" cm="1">
        <f t="array" ref="I6583">IFERROR(_xlfn.IFS(M6583="נח",1,M6583="נע ונח",1,M6583="שני שווא נח",2,M6583="שני שוואים בסוף מילה",2,M6583="שני שוואים ברצף",1),"0")</f>
        <v>0</v>
      </c>
      <c r="J6583" s="9">
        <f t="shared" si="415"/>
        <v>4</v>
      </c>
      <c r="K6583" t="s">
        <v>6698</v>
      </c>
      <c r="L6583" t="s">
        <v>6695</v>
      </c>
      <c r="P6583" t="s">
        <v>6694</v>
      </c>
      <c r="U6583" t="s">
        <v>6694</v>
      </c>
      <c r="W6583" t="s">
        <v>6720</v>
      </c>
    </row>
    <row r="6584" spans="1:23" ht="15.6" x14ac:dyDescent="0.4">
      <c r="A6584" s="2" t="s">
        <v>6001</v>
      </c>
      <c r="B6584" s="5" t="s">
        <v>12458</v>
      </c>
      <c r="C6584" s="7" t="s">
        <v>12556</v>
      </c>
      <c r="D6584" s="8">
        <f t="shared" si="412"/>
        <v>0</v>
      </c>
      <c r="E6584" s="7" t="s">
        <v>12557</v>
      </c>
      <c r="F6584" s="7">
        <f t="shared" si="413"/>
        <v>2</v>
      </c>
      <c r="G6584" s="7" t="s">
        <v>12558</v>
      </c>
      <c r="H6584" s="7">
        <f t="shared" si="414"/>
        <v>1</v>
      </c>
      <c r="I6584" s="7" t="str" cm="1">
        <f t="array" ref="I6584">IFERROR(_xlfn.IFS(M6584="נח",1,M6584="נע ונח",1,M6584="שני שווא נח",2,M6584="שני שוואים בסוף מילה",2,M6584="שני שוואים ברצף",1),"0")</f>
        <v>0</v>
      </c>
      <c r="J6584" s="9">
        <f t="shared" si="415"/>
        <v>4</v>
      </c>
      <c r="K6584" t="s">
        <v>6698</v>
      </c>
      <c r="L6584" t="s">
        <v>6695</v>
      </c>
      <c r="N6584" t="s">
        <v>6706</v>
      </c>
      <c r="O6584" t="s">
        <v>6694</v>
      </c>
      <c r="P6584" t="s">
        <v>6694</v>
      </c>
      <c r="U6584" t="s">
        <v>6694</v>
      </c>
      <c r="W6584" t="s">
        <v>6720</v>
      </c>
    </row>
    <row r="6585" spans="1:23" ht="15.6" x14ac:dyDescent="0.4">
      <c r="A6585" s="2" t="s">
        <v>993</v>
      </c>
      <c r="B6585" s="5" t="s">
        <v>12459</v>
      </c>
      <c r="C6585" s="7" t="s">
        <v>12556</v>
      </c>
      <c r="D6585" s="8">
        <f t="shared" si="412"/>
        <v>0</v>
      </c>
      <c r="E6585" s="7" t="s">
        <v>12557</v>
      </c>
      <c r="F6585" s="7">
        <f t="shared" si="413"/>
        <v>1</v>
      </c>
      <c r="G6585" s="7" t="s">
        <v>12558</v>
      </c>
      <c r="H6585" s="7">
        <f t="shared" si="414"/>
        <v>0</v>
      </c>
      <c r="I6585" s="7" t="str" cm="1">
        <f t="array" ref="I6585">IFERROR(_xlfn.IFS(M6585="נח",1,M6585="נע ונח",1,M6585="שני שווא נח",2,M6585="שני שוואים בסוף מילה",2,M6585="שני שוואים ברצף",1),"0")</f>
        <v>0</v>
      </c>
      <c r="J6585" s="9">
        <f t="shared" si="415"/>
        <v>2</v>
      </c>
      <c r="K6585" t="s">
        <v>6698</v>
      </c>
      <c r="L6585" t="s">
        <v>6695</v>
      </c>
      <c r="P6585" t="s">
        <v>6694</v>
      </c>
      <c r="W6585" t="s">
        <v>6720</v>
      </c>
    </row>
    <row r="6586" spans="1:23" ht="15.6" x14ac:dyDescent="0.4">
      <c r="A6586" s="2" t="s">
        <v>2639</v>
      </c>
      <c r="B6586" s="5" t="s">
        <v>12460</v>
      </c>
      <c r="C6586" s="7" t="s">
        <v>12556</v>
      </c>
      <c r="D6586" s="8">
        <f t="shared" si="412"/>
        <v>0</v>
      </c>
      <c r="E6586" s="7" t="s">
        <v>12557</v>
      </c>
      <c r="F6586" s="7">
        <f t="shared" si="413"/>
        <v>1</v>
      </c>
      <c r="G6586" s="7" t="s">
        <v>12558</v>
      </c>
      <c r="H6586" s="7">
        <f t="shared" si="414"/>
        <v>0</v>
      </c>
      <c r="I6586" s="7" t="str" cm="1">
        <f t="array" ref="I6586">IFERROR(_xlfn.IFS(M6586="נח",1,M6586="נע ונח",1,M6586="שני שווא נח",2,M6586="שני שוואים בסוף מילה",2,M6586="שני שוואים ברצף",1),"0")</f>
        <v>0</v>
      </c>
      <c r="J6586" s="9">
        <f t="shared" si="415"/>
        <v>1</v>
      </c>
      <c r="K6586" t="s">
        <v>6698</v>
      </c>
      <c r="L6586" t="s">
        <v>6695</v>
      </c>
      <c r="P6586" t="s">
        <v>6694</v>
      </c>
      <c r="W6586" t="s">
        <v>6720</v>
      </c>
    </row>
    <row r="6587" spans="1:23" ht="15.6" x14ac:dyDescent="0.4">
      <c r="A6587" s="2" t="s">
        <v>5089</v>
      </c>
      <c r="B6587" s="5" t="s">
        <v>12461</v>
      </c>
      <c r="C6587" s="7" t="s">
        <v>12556</v>
      </c>
      <c r="D6587" s="8">
        <f t="shared" si="412"/>
        <v>0</v>
      </c>
      <c r="E6587" s="7" t="s">
        <v>12557</v>
      </c>
      <c r="F6587" s="7">
        <f t="shared" si="413"/>
        <v>1</v>
      </c>
      <c r="G6587" s="7" t="s">
        <v>12558</v>
      </c>
      <c r="H6587" s="7">
        <f t="shared" si="414"/>
        <v>0</v>
      </c>
      <c r="I6587" s="7" cm="1">
        <f t="array" ref="I6587">IFERROR(_xlfn.IFS(M6587="נח",1,M6587="נע ונח",1,M6587="שני שווא נח",2,M6587="שני שוואים בסוף מילה",2,M6587="שני שוואים ברצף",1),"0")</f>
        <v>1</v>
      </c>
      <c r="J6587" s="9">
        <f t="shared" si="415"/>
        <v>2</v>
      </c>
      <c r="K6587" t="s">
        <v>6698</v>
      </c>
      <c r="L6587" t="s">
        <v>6694</v>
      </c>
      <c r="M6587" t="s">
        <v>6705</v>
      </c>
      <c r="P6587" t="s">
        <v>6694</v>
      </c>
      <c r="S6587" t="s">
        <v>6694</v>
      </c>
      <c r="W6587" t="s">
        <v>6720</v>
      </c>
    </row>
    <row r="6588" spans="1:23" ht="15.6" x14ac:dyDescent="0.4">
      <c r="A6588" s="2" t="s">
        <v>4342</v>
      </c>
      <c r="B6588" s="5" t="s">
        <v>12462</v>
      </c>
      <c r="C6588" s="7" t="s">
        <v>12556</v>
      </c>
      <c r="D6588" s="8">
        <f t="shared" si="412"/>
        <v>0</v>
      </c>
      <c r="E6588" s="7" t="s">
        <v>12557</v>
      </c>
      <c r="F6588" s="7">
        <f t="shared" si="413"/>
        <v>2</v>
      </c>
      <c r="G6588" s="7" t="s">
        <v>12558</v>
      </c>
      <c r="H6588" s="7">
        <f t="shared" si="414"/>
        <v>1</v>
      </c>
      <c r="I6588" s="7" cm="1">
        <f t="array" ref="I6588">IFERROR(_xlfn.IFS(M6588="נח",1,M6588="נע ונח",1,M6588="שני שווא נח",2,M6588="שני שוואים בסוף מילה",2,M6588="שני שוואים ברצף",1),"0")</f>
        <v>1</v>
      </c>
      <c r="J6588" s="9">
        <f t="shared" si="415"/>
        <v>2</v>
      </c>
      <c r="K6588" t="s">
        <v>6697</v>
      </c>
      <c r="L6588" t="s">
        <v>6694</v>
      </c>
      <c r="M6588" t="s">
        <v>6705</v>
      </c>
      <c r="P6588" t="s">
        <v>6694</v>
      </c>
      <c r="U6588" t="s">
        <v>6694</v>
      </c>
      <c r="W6588" t="s">
        <v>6720</v>
      </c>
    </row>
    <row r="6589" spans="1:23" ht="15.6" x14ac:dyDescent="0.4">
      <c r="A6589" s="2" t="s">
        <v>2385</v>
      </c>
      <c r="B6589" s="5" t="s">
        <v>12265</v>
      </c>
      <c r="C6589" s="7" t="s">
        <v>12556</v>
      </c>
      <c r="D6589" s="8">
        <f t="shared" si="412"/>
        <v>0</v>
      </c>
      <c r="E6589" s="7" t="s">
        <v>12557</v>
      </c>
      <c r="F6589" s="7">
        <f t="shared" si="413"/>
        <v>3</v>
      </c>
      <c r="G6589" s="7" t="s">
        <v>12558</v>
      </c>
      <c r="H6589" s="7">
        <f t="shared" si="414"/>
        <v>1</v>
      </c>
      <c r="I6589" s="7" t="str" cm="1">
        <f t="array" ref="I6589">IFERROR(_xlfn.IFS(M6589="נח",1,M6589="נע ונח",1,M6589="שני שווא נח",2,M6589="שני שוואים בסוף מילה",2,M6589="שני שוואים ברצף",1),"0")</f>
        <v>0</v>
      </c>
      <c r="J6589" s="9">
        <f t="shared" si="415"/>
        <v>2</v>
      </c>
      <c r="K6589" t="s">
        <v>6697</v>
      </c>
      <c r="L6589" t="s">
        <v>6695</v>
      </c>
      <c r="P6589" t="s">
        <v>6694</v>
      </c>
      <c r="U6589" t="s">
        <v>6694</v>
      </c>
      <c r="W6589" t="s">
        <v>6720</v>
      </c>
    </row>
    <row r="6590" spans="1:23" ht="15.6" x14ac:dyDescent="0.4">
      <c r="A6590" s="2" t="s">
        <v>3143</v>
      </c>
      <c r="B6590" s="5" t="s">
        <v>12463</v>
      </c>
      <c r="C6590" s="7" t="s">
        <v>12556</v>
      </c>
      <c r="D6590" s="8">
        <f t="shared" si="412"/>
        <v>0</v>
      </c>
      <c r="E6590" s="7" t="s">
        <v>12557</v>
      </c>
      <c r="F6590" s="7">
        <f t="shared" si="413"/>
        <v>1</v>
      </c>
      <c r="G6590" s="7" t="s">
        <v>12558</v>
      </c>
      <c r="H6590" s="7">
        <f t="shared" si="414"/>
        <v>0</v>
      </c>
      <c r="I6590" s="7" cm="1">
        <f t="array" ref="I6590">IFERROR(_xlfn.IFS(M6590="נח",1,M6590="נע ונח",1,M6590="שני שווא נח",2,M6590="שני שוואים בסוף מילה",2,M6590="שני שוואים ברצף",1),"0")</f>
        <v>1</v>
      </c>
      <c r="J6590" s="9">
        <f t="shared" si="415"/>
        <v>2</v>
      </c>
      <c r="K6590" t="s">
        <v>6698</v>
      </c>
      <c r="L6590" t="s">
        <v>6694</v>
      </c>
      <c r="M6590" t="s">
        <v>6705</v>
      </c>
      <c r="P6590" t="s">
        <v>6694</v>
      </c>
      <c r="Q6590" t="s">
        <v>6694</v>
      </c>
      <c r="W6590" t="s">
        <v>6720</v>
      </c>
    </row>
    <row r="6591" spans="1:23" ht="15.6" x14ac:dyDescent="0.4">
      <c r="A6591" s="2" t="s">
        <v>3362</v>
      </c>
      <c r="B6591" s="5" t="s">
        <v>12266</v>
      </c>
      <c r="C6591" s="7" t="s">
        <v>12556</v>
      </c>
      <c r="D6591" s="8">
        <f t="shared" si="412"/>
        <v>0</v>
      </c>
      <c r="E6591" s="7" t="s">
        <v>12557</v>
      </c>
      <c r="F6591" s="7">
        <f t="shared" si="413"/>
        <v>1</v>
      </c>
      <c r="G6591" s="7" t="s">
        <v>12558</v>
      </c>
      <c r="H6591" s="7">
        <f t="shared" si="414"/>
        <v>0</v>
      </c>
      <c r="I6591" s="7" cm="1">
        <f t="array" ref="I6591">IFERROR(_xlfn.IFS(M6591="נח",1,M6591="נע ונח",1,M6591="שני שווא נח",2,M6591="שני שוואים בסוף מילה",2,M6591="שני שוואים ברצף",1),"0")</f>
        <v>1</v>
      </c>
      <c r="J6591" s="9">
        <f t="shared" si="415"/>
        <v>3</v>
      </c>
      <c r="K6591" t="s">
        <v>6697</v>
      </c>
      <c r="L6591" t="s">
        <v>6694</v>
      </c>
      <c r="M6591" t="s">
        <v>6705</v>
      </c>
      <c r="P6591" t="s">
        <v>6694</v>
      </c>
      <c r="Q6591" t="s">
        <v>6694</v>
      </c>
      <c r="S6591" t="s">
        <v>6694</v>
      </c>
      <c r="W6591" t="s">
        <v>6720</v>
      </c>
    </row>
    <row r="6592" spans="1:23" ht="15.6" x14ac:dyDescent="0.4">
      <c r="A6592" s="2" t="s">
        <v>136</v>
      </c>
      <c r="B6592" s="5" t="s">
        <v>12464</v>
      </c>
      <c r="C6592" s="7" t="s">
        <v>12556</v>
      </c>
      <c r="D6592" s="8">
        <f t="shared" si="412"/>
        <v>0</v>
      </c>
      <c r="E6592" s="7" t="s">
        <v>12557</v>
      </c>
      <c r="F6592" s="7">
        <f t="shared" si="413"/>
        <v>2</v>
      </c>
      <c r="G6592" s="7" t="s">
        <v>12558</v>
      </c>
      <c r="H6592" s="7">
        <f t="shared" si="414"/>
        <v>1</v>
      </c>
      <c r="I6592" s="7" cm="1">
        <f t="array" ref="I6592">IFERROR(_xlfn.IFS(M6592="נח",1,M6592="נע ונח",1,M6592="שני שווא נח",2,M6592="שני שוואים בסוף מילה",2,M6592="שני שוואים ברצף",1),"0")</f>
        <v>1</v>
      </c>
      <c r="J6592" s="9">
        <f t="shared" si="415"/>
        <v>4</v>
      </c>
      <c r="K6592" t="s">
        <v>6697</v>
      </c>
      <c r="L6592" t="s">
        <v>6694</v>
      </c>
      <c r="M6592" t="s">
        <v>6705</v>
      </c>
      <c r="O6592" t="s">
        <v>6694</v>
      </c>
      <c r="P6592" t="s">
        <v>6694</v>
      </c>
      <c r="R6592" t="s">
        <v>6694</v>
      </c>
      <c r="U6592" t="s">
        <v>6694</v>
      </c>
      <c r="W6592" t="s">
        <v>6720</v>
      </c>
    </row>
    <row r="6593" spans="1:23" ht="15.6" x14ac:dyDescent="0.4">
      <c r="A6593" s="2" t="s">
        <v>3659</v>
      </c>
      <c r="B6593" s="5" t="s">
        <v>12465</v>
      </c>
      <c r="C6593" s="7" t="s">
        <v>12556</v>
      </c>
      <c r="D6593" s="8">
        <f t="shared" si="412"/>
        <v>0</v>
      </c>
      <c r="E6593" s="7" t="s">
        <v>12557</v>
      </c>
      <c r="F6593" s="7">
        <f t="shared" si="413"/>
        <v>2</v>
      </c>
      <c r="G6593" s="7" t="s">
        <v>12558</v>
      </c>
      <c r="H6593" s="7">
        <f t="shared" si="414"/>
        <v>0</v>
      </c>
      <c r="I6593" s="7" t="str" cm="1">
        <f t="array" ref="I6593">IFERROR(_xlfn.IFS(M6593="נח",1,M6593="נע ונח",1,M6593="שני שווא נח",2,M6593="שני שוואים בסוף מילה",2,M6593="שני שוואים ברצף",1),"0")</f>
        <v>0</v>
      </c>
      <c r="J6593" s="9">
        <f t="shared" si="415"/>
        <v>2</v>
      </c>
      <c r="K6593" t="s">
        <v>6698</v>
      </c>
      <c r="L6593" t="s">
        <v>6695</v>
      </c>
      <c r="P6593" t="s">
        <v>6694</v>
      </c>
      <c r="S6593" t="s">
        <v>6694</v>
      </c>
      <c r="W6593" t="s">
        <v>6720</v>
      </c>
    </row>
    <row r="6594" spans="1:23" ht="15.6" x14ac:dyDescent="0.4">
      <c r="A6594" s="2" t="s">
        <v>1417</v>
      </c>
      <c r="B6594" s="5" t="s">
        <v>12267</v>
      </c>
      <c r="C6594" s="7" t="s">
        <v>12556</v>
      </c>
      <c r="D6594" s="8">
        <f t="shared" si="412"/>
        <v>0</v>
      </c>
      <c r="E6594" s="7" t="s">
        <v>12557</v>
      </c>
      <c r="F6594" s="7">
        <f t="shared" si="413"/>
        <v>2</v>
      </c>
      <c r="G6594" s="7" t="s">
        <v>12558</v>
      </c>
      <c r="H6594" s="7">
        <f t="shared" si="414"/>
        <v>0</v>
      </c>
      <c r="I6594" s="7" t="str" cm="1">
        <f t="array" ref="I6594">IFERROR(_xlfn.IFS(M6594="נח",1,M6594="נע ונח",1,M6594="שני שווא נח",2,M6594="שני שוואים בסוף מילה",2,M6594="שני שוואים ברצף",1),"0")</f>
        <v>0</v>
      </c>
      <c r="J6594" s="9">
        <f t="shared" si="415"/>
        <v>3</v>
      </c>
      <c r="K6594" t="s">
        <v>6698</v>
      </c>
      <c r="L6594" t="s">
        <v>6695</v>
      </c>
      <c r="P6594" t="s">
        <v>6694</v>
      </c>
      <c r="S6594" t="s">
        <v>6694</v>
      </c>
      <c r="W6594" t="s">
        <v>6720</v>
      </c>
    </row>
    <row r="6595" spans="1:23" ht="15.6" x14ac:dyDescent="0.4">
      <c r="A6595" s="2" t="s">
        <v>757</v>
      </c>
      <c r="B6595" s="5" t="s">
        <v>12268</v>
      </c>
      <c r="C6595" s="7" t="s">
        <v>12556</v>
      </c>
      <c r="D6595" s="8">
        <f t="shared" ref="D6595:D6658" si="416">(LEN(B6595)-LEN(SUBSTITUTE(B6595,C6595,"")))</f>
        <v>0</v>
      </c>
      <c r="E6595" s="7" t="s">
        <v>12557</v>
      </c>
      <c r="F6595" s="7">
        <f t="shared" ref="F6595:F6658" si="417">(LEN(A6595)-LEN(SUBSTITUTE(A6595,E6595,"")))</f>
        <v>2</v>
      </c>
      <c r="G6595" s="7" t="s">
        <v>12558</v>
      </c>
      <c r="H6595" s="7">
        <f t="shared" ref="H6595:H6658" si="418">(LEN(A6595)-LEN(SUBSTITUTE(A6595,G6595,"")))/2</f>
        <v>0</v>
      </c>
      <c r="I6595" s="7" cm="1">
        <f t="array" ref="I6595">IFERROR(_xlfn.IFS(M6595="נח",1,M6595="נע ונח",1,M6595="שני שווא נח",2,M6595="שני שוואים בסוף מילה",2,M6595="שני שוואים ברצף",1),"0")</f>
        <v>1</v>
      </c>
      <c r="J6595" s="9">
        <f t="shared" ref="J6595:J6658" si="419">LEN(A6595)-(LEN(B6595))-D6595-F6595+H6595-I6595</f>
        <v>2</v>
      </c>
      <c r="K6595" t="s">
        <v>6698</v>
      </c>
      <c r="L6595" t="s">
        <v>6694</v>
      </c>
      <c r="M6595" t="s">
        <v>6705</v>
      </c>
      <c r="P6595" t="s">
        <v>6694</v>
      </c>
      <c r="S6595" t="s">
        <v>6694</v>
      </c>
      <c r="W6595" t="s">
        <v>6720</v>
      </c>
    </row>
    <row r="6596" spans="1:23" ht="15.6" x14ac:dyDescent="0.4">
      <c r="A6596" s="2" t="s">
        <v>3414</v>
      </c>
      <c r="B6596" s="5" t="s">
        <v>12466</v>
      </c>
      <c r="C6596" s="7" t="s">
        <v>12556</v>
      </c>
      <c r="D6596" s="8">
        <f t="shared" si="416"/>
        <v>0</v>
      </c>
      <c r="E6596" s="7" t="s">
        <v>12557</v>
      </c>
      <c r="F6596" s="7">
        <f t="shared" si="417"/>
        <v>2</v>
      </c>
      <c r="G6596" s="7" t="s">
        <v>12558</v>
      </c>
      <c r="H6596" s="7">
        <f t="shared" si="418"/>
        <v>0</v>
      </c>
      <c r="I6596" s="7" cm="1">
        <f t="array" ref="I6596">IFERROR(_xlfn.IFS(M6596="נח",1,M6596="נע ונח",1,M6596="שני שווא נח",2,M6596="שני שוואים בסוף מילה",2,M6596="שני שוואים ברצף",1),"0")</f>
        <v>1</v>
      </c>
      <c r="J6596" s="9">
        <f t="shared" si="419"/>
        <v>3</v>
      </c>
      <c r="K6596" t="s">
        <v>6698</v>
      </c>
      <c r="L6596" t="s">
        <v>6694</v>
      </c>
      <c r="M6596" t="s">
        <v>6705</v>
      </c>
      <c r="P6596" t="s">
        <v>6694</v>
      </c>
      <c r="Q6596" t="s">
        <v>6694</v>
      </c>
      <c r="S6596" t="s">
        <v>6694</v>
      </c>
      <c r="W6596" t="s">
        <v>6720</v>
      </c>
    </row>
    <row r="6597" spans="1:23" ht="15.6" x14ac:dyDescent="0.4">
      <c r="A6597" s="2" t="s">
        <v>4327</v>
      </c>
      <c r="B6597" s="5" t="s">
        <v>12467</v>
      </c>
      <c r="C6597" s="7" t="s">
        <v>12556</v>
      </c>
      <c r="D6597" s="8">
        <f t="shared" si="416"/>
        <v>0</v>
      </c>
      <c r="E6597" s="7" t="s">
        <v>12557</v>
      </c>
      <c r="F6597" s="7">
        <f t="shared" si="417"/>
        <v>2</v>
      </c>
      <c r="G6597" s="7" t="s">
        <v>12558</v>
      </c>
      <c r="H6597" s="7">
        <f t="shared" si="418"/>
        <v>0</v>
      </c>
      <c r="I6597" s="7" cm="1">
        <f t="array" ref="I6597">IFERROR(_xlfn.IFS(M6597="נח",1,M6597="נע ונח",1,M6597="שני שווא נח",2,M6597="שני שוואים בסוף מילה",2,M6597="שני שוואים ברצף",1),"0")</f>
        <v>1</v>
      </c>
      <c r="J6597" s="9">
        <f t="shared" si="419"/>
        <v>4</v>
      </c>
      <c r="K6597" t="s">
        <v>6697</v>
      </c>
      <c r="L6597" t="s">
        <v>6694</v>
      </c>
      <c r="M6597" t="s">
        <v>6705</v>
      </c>
      <c r="P6597" t="s">
        <v>6694</v>
      </c>
      <c r="Q6597" t="s">
        <v>6694</v>
      </c>
      <c r="S6597" t="s">
        <v>6694</v>
      </c>
      <c r="W6597" t="s">
        <v>6720</v>
      </c>
    </row>
    <row r="6598" spans="1:23" ht="15.6" x14ac:dyDescent="0.4">
      <c r="A6598" s="2" t="s">
        <v>265</v>
      </c>
      <c r="B6598" s="5" t="s">
        <v>12468</v>
      </c>
      <c r="C6598" s="7" t="s">
        <v>12556</v>
      </c>
      <c r="D6598" s="8">
        <f t="shared" si="416"/>
        <v>0</v>
      </c>
      <c r="E6598" s="7" t="s">
        <v>12557</v>
      </c>
      <c r="F6598" s="7">
        <f t="shared" si="417"/>
        <v>2</v>
      </c>
      <c r="G6598" s="7" t="s">
        <v>12558</v>
      </c>
      <c r="H6598" s="7">
        <f t="shared" si="418"/>
        <v>0</v>
      </c>
      <c r="I6598" s="7" cm="1">
        <f t="array" ref="I6598">IFERROR(_xlfn.IFS(M6598="נח",1,M6598="נע ונח",1,M6598="שני שווא נח",2,M6598="שני שוואים בסוף מילה",2,M6598="שני שוואים ברצף",1),"0")</f>
        <v>1</v>
      </c>
      <c r="J6598" s="9">
        <f t="shared" si="419"/>
        <v>2</v>
      </c>
      <c r="K6598" t="s">
        <v>6698</v>
      </c>
      <c r="L6598" t="s">
        <v>6694</v>
      </c>
      <c r="M6598" t="s">
        <v>6705</v>
      </c>
      <c r="P6598" t="s">
        <v>6694</v>
      </c>
      <c r="Q6598" t="s">
        <v>6694</v>
      </c>
      <c r="W6598" t="s">
        <v>6720</v>
      </c>
    </row>
    <row r="6599" spans="1:23" ht="15.6" x14ac:dyDescent="0.4">
      <c r="A6599" s="2" t="s">
        <v>4800</v>
      </c>
      <c r="B6599" s="5" t="s">
        <v>12469</v>
      </c>
      <c r="C6599" s="7" t="s">
        <v>12556</v>
      </c>
      <c r="D6599" s="8">
        <f t="shared" si="416"/>
        <v>0</v>
      </c>
      <c r="E6599" s="7" t="s">
        <v>12557</v>
      </c>
      <c r="F6599" s="7">
        <f t="shared" si="417"/>
        <v>2</v>
      </c>
      <c r="G6599" s="7" t="s">
        <v>12558</v>
      </c>
      <c r="H6599" s="7">
        <f t="shared" si="418"/>
        <v>0</v>
      </c>
      <c r="I6599" s="7" t="str" cm="1">
        <f t="array" ref="I6599">IFERROR(_xlfn.IFS(M6599="נח",1,M6599="נע ונח",1,M6599="שני שווא נח",2,M6599="שני שוואים בסוף מילה",2,M6599="שני שוואים ברצף",1),"0")</f>
        <v>0</v>
      </c>
      <c r="J6599" s="9">
        <f t="shared" si="419"/>
        <v>3</v>
      </c>
      <c r="K6599" t="s">
        <v>6697</v>
      </c>
      <c r="L6599" t="s">
        <v>6695</v>
      </c>
      <c r="P6599" t="s">
        <v>6694</v>
      </c>
      <c r="S6599" t="s">
        <v>6694</v>
      </c>
      <c r="W6599" t="s">
        <v>6720</v>
      </c>
    </row>
    <row r="6600" spans="1:23" ht="15.6" x14ac:dyDescent="0.4">
      <c r="A6600" s="2" t="s">
        <v>6050</v>
      </c>
      <c r="B6600" s="5" t="s">
        <v>12470</v>
      </c>
      <c r="C6600" s="7" t="s">
        <v>12556</v>
      </c>
      <c r="D6600" s="8">
        <f t="shared" si="416"/>
        <v>0</v>
      </c>
      <c r="E6600" s="7" t="s">
        <v>12557</v>
      </c>
      <c r="F6600" s="7">
        <f t="shared" si="417"/>
        <v>3</v>
      </c>
      <c r="G6600" s="7" t="s">
        <v>12558</v>
      </c>
      <c r="H6600" s="7">
        <f t="shared" si="418"/>
        <v>1</v>
      </c>
      <c r="I6600" s="7" cm="1">
        <f t="array" ref="I6600">IFERROR(_xlfn.IFS(M6600="נח",1,M6600="נע ונח",1,M6600="שני שווא נח",2,M6600="שני שוואים בסוף מילה",2,M6600="שני שוואים ברצף",1),"0")</f>
        <v>1</v>
      </c>
      <c r="J6600" s="9">
        <f t="shared" si="419"/>
        <v>4</v>
      </c>
      <c r="K6600" t="s">
        <v>6697</v>
      </c>
      <c r="L6600" t="s">
        <v>6694</v>
      </c>
      <c r="M6600" t="s">
        <v>6702</v>
      </c>
      <c r="P6600" t="s">
        <v>6694</v>
      </c>
      <c r="R6600" t="s">
        <v>6694</v>
      </c>
      <c r="U6600" t="s">
        <v>6694</v>
      </c>
      <c r="W6600" t="s">
        <v>6720</v>
      </c>
    </row>
    <row r="6601" spans="1:23" ht="15.6" x14ac:dyDescent="0.4">
      <c r="A6601" s="2" t="s">
        <v>5128</v>
      </c>
      <c r="B6601" s="5" t="s">
        <v>12471</v>
      </c>
      <c r="C6601" s="7" t="s">
        <v>12556</v>
      </c>
      <c r="D6601" s="8">
        <f t="shared" si="416"/>
        <v>0</v>
      </c>
      <c r="E6601" s="7" t="s">
        <v>12557</v>
      </c>
      <c r="F6601" s="7">
        <f t="shared" si="417"/>
        <v>1</v>
      </c>
      <c r="G6601" s="7" t="s">
        <v>12558</v>
      </c>
      <c r="H6601" s="7">
        <f t="shared" si="418"/>
        <v>0</v>
      </c>
      <c r="I6601" s="7" cm="1">
        <f t="array" ref="I6601">IFERROR(_xlfn.IFS(M6601="נח",1,M6601="נע ונח",1,M6601="שני שווא נח",2,M6601="שני שוואים בסוף מילה",2,M6601="שני שוואים ברצף",1),"0")</f>
        <v>1</v>
      </c>
      <c r="J6601" s="9">
        <f t="shared" si="419"/>
        <v>2</v>
      </c>
      <c r="K6601" t="s">
        <v>6698</v>
      </c>
      <c r="L6601" t="s">
        <v>6694</v>
      </c>
      <c r="M6601" t="s">
        <v>6705</v>
      </c>
      <c r="P6601" t="s">
        <v>6694</v>
      </c>
      <c r="S6601" t="s">
        <v>6694</v>
      </c>
      <c r="W6601" t="s">
        <v>6720</v>
      </c>
    </row>
    <row r="6602" spans="1:23" ht="15.6" x14ac:dyDescent="0.4">
      <c r="A6602" s="2" t="s">
        <v>4390</v>
      </c>
      <c r="B6602" s="5" t="s">
        <v>12472</v>
      </c>
      <c r="C6602" s="7" t="s">
        <v>12556</v>
      </c>
      <c r="D6602" s="8">
        <f t="shared" si="416"/>
        <v>1</v>
      </c>
      <c r="E6602" s="7" t="s">
        <v>12557</v>
      </c>
      <c r="F6602" s="7">
        <f t="shared" si="417"/>
        <v>2</v>
      </c>
      <c r="G6602" s="7" t="s">
        <v>12558</v>
      </c>
      <c r="H6602" s="7">
        <f t="shared" si="418"/>
        <v>0</v>
      </c>
      <c r="I6602" s="7" cm="1">
        <f t="array" ref="I6602">IFERROR(_xlfn.IFS(M6602="נח",1,M6602="נע ונח",1,M6602="שני שווא נח",2,M6602="שני שוואים בסוף מילה",2,M6602="שני שוואים ברצף",1),"0")</f>
        <v>1</v>
      </c>
      <c r="J6602" s="9">
        <f t="shared" si="419"/>
        <v>4</v>
      </c>
      <c r="K6602" t="s">
        <v>6697</v>
      </c>
      <c r="L6602" t="s">
        <v>6694</v>
      </c>
      <c r="M6602" t="s">
        <v>6702</v>
      </c>
      <c r="O6602" t="s">
        <v>6694</v>
      </c>
      <c r="P6602" t="s">
        <v>6694</v>
      </c>
      <c r="R6602" t="s">
        <v>6694</v>
      </c>
      <c r="W6602" t="s">
        <v>6720</v>
      </c>
    </row>
    <row r="6603" spans="1:23" ht="15.6" x14ac:dyDescent="0.4">
      <c r="A6603" s="2" t="s">
        <v>6525</v>
      </c>
      <c r="B6603" s="5" t="s">
        <v>12473</v>
      </c>
      <c r="C6603" s="7" t="s">
        <v>12556</v>
      </c>
      <c r="D6603" s="8">
        <f t="shared" si="416"/>
        <v>0</v>
      </c>
      <c r="E6603" s="7" t="s">
        <v>12557</v>
      </c>
      <c r="F6603" s="7">
        <f t="shared" si="417"/>
        <v>1</v>
      </c>
      <c r="G6603" s="7" t="s">
        <v>12558</v>
      </c>
      <c r="H6603" s="7">
        <f t="shared" si="418"/>
        <v>0</v>
      </c>
      <c r="I6603" s="7" cm="1">
        <f t="array" ref="I6603">IFERROR(_xlfn.IFS(M6603="נח",1,M6603="נע ונח",1,M6603="שני שווא נח",2,M6603="שני שוואים בסוף מילה",2,M6603="שני שוואים ברצף",1),"0")</f>
        <v>1</v>
      </c>
      <c r="J6603" s="9">
        <f t="shared" si="419"/>
        <v>4</v>
      </c>
      <c r="K6603" t="s">
        <v>6697</v>
      </c>
      <c r="L6603" t="s">
        <v>6694</v>
      </c>
      <c r="M6603" t="s">
        <v>6705</v>
      </c>
      <c r="O6603" t="s">
        <v>6694</v>
      </c>
      <c r="P6603" t="s">
        <v>6694</v>
      </c>
      <c r="V6603" t="s">
        <v>6694</v>
      </c>
      <c r="W6603" t="s">
        <v>6720</v>
      </c>
    </row>
    <row r="6604" spans="1:23" ht="15.6" x14ac:dyDescent="0.4">
      <c r="A6604" s="2" t="s">
        <v>6019</v>
      </c>
      <c r="B6604" s="5" t="s">
        <v>12474</v>
      </c>
      <c r="C6604" s="7" t="s">
        <v>12556</v>
      </c>
      <c r="D6604" s="8">
        <f t="shared" si="416"/>
        <v>0</v>
      </c>
      <c r="E6604" s="7" t="s">
        <v>12557</v>
      </c>
      <c r="F6604" s="7">
        <f t="shared" si="417"/>
        <v>1</v>
      </c>
      <c r="G6604" s="7" t="s">
        <v>12558</v>
      </c>
      <c r="H6604" s="7">
        <f t="shared" si="418"/>
        <v>0</v>
      </c>
      <c r="I6604" s="7" t="str" cm="1">
        <f t="array" ref="I6604">IFERROR(_xlfn.IFS(M6604="נח",1,M6604="נע ונח",1,M6604="שני שווא נח",2,M6604="שני שוואים בסוף מילה",2,M6604="שני שוואים ברצף",1),"0")</f>
        <v>0</v>
      </c>
      <c r="J6604" s="9">
        <f t="shared" si="419"/>
        <v>4</v>
      </c>
      <c r="K6604" t="s">
        <v>6697</v>
      </c>
      <c r="L6604" t="s">
        <v>6695</v>
      </c>
      <c r="P6604" t="s">
        <v>6694</v>
      </c>
      <c r="Q6604" t="s">
        <v>6694</v>
      </c>
      <c r="S6604" t="s">
        <v>6694</v>
      </c>
      <c r="W6604" t="s">
        <v>6720</v>
      </c>
    </row>
    <row r="6605" spans="1:23" ht="15.6" x14ac:dyDescent="0.4">
      <c r="A6605" s="2" t="s">
        <v>3664</v>
      </c>
      <c r="B6605" s="5" t="s">
        <v>12475</v>
      </c>
      <c r="C6605" s="7" t="s">
        <v>12556</v>
      </c>
      <c r="D6605" s="8">
        <f t="shared" si="416"/>
        <v>0</v>
      </c>
      <c r="E6605" s="7" t="s">
        <v>12557</v>
      </c>
      <c r="F6605" s="7">
        <f t="shared" si="417"/>
        <v>1</v>
      </c>
      <c r="G6605" s="7" t="s">
        <v>12558</v>
      </c>
      <c r="H6605" s="7">
        <f t="shared" si="418"/>
        <v>0</v>
      </c>
      <c r="I6605" s="7" t="str" cm="1">
        <f t="array" ref="I6605">IFERROR(_xlfn.IFS(M6605="נח",1,M6605="נע ונח",1,M6605="שני שווא נח",2,M6605="שני שוואים בסוף מילה",2,M6605="שני שוואים ברצף",1),"0")</f>
        <v>0</v>
      </c>
      <c r="J6605" s="9">
        <f t="shared" si="419"/>
        <v>4</v>
      </c>
      <c r="K6605" t="s">
        <v>6698</v>
      </c>
      <c r="L6605" t="s">
        <v>6695</v>
      </c>
      <c r="P6605" t="s">
        <v>6694</v>
      </c>
      <c r="T6605" t="s">
        <v>6694</v>
      </c>
      <c r="V6605" t="s">
        <v>6694</v>
      </c>
      <c r="W6605" t="s">
        <v>6720</v>
      </c>
    </row>
    <row r="6606" spans="1:23" ht="15.6" x14ac:dyDescent="0.4">
      <c r="A6606" s="2" t="s">
        <v>426</v>
      </c>
      <c r="B6606" s="5" t="s">
        <v>12476</v>
      </c>
      <c r="C6606" s="7" t="s">
        <v>12556</v>
      </c>
      <c r="D6606" s="8">
        <f t="shared" si="416"/>
        <v>0</v>
      </c>
      <c r="E6606" s="7" t="s">
        <v>12557</v>
      </c>
      <c r="F6606" s="7">
        <f t="shared" si="417"/>
        <v>1</v>
      </c>
      <c r="G6606" s="7" t="s">
        <v>12558</v>
      </c>
      <c r="H6606" s="7">
        <f t="shared" si="418"/>
        <v>0</v>
      </c>
      <c r="I6606" s="7" t="str" cm="1">
        <f t="array" ref="I6606">IFERROR(_xlfn.IFS(M6606="נח",1,M6606="נע ונח",1,M6606="שני שווא נח",2,M6606="שני שוואים בסוף מילה",2,M6606="שני שוואים ברצף",1),"0")</f>
        <v>0</v>
      </c>
      <c r="J6606" s="9">
        <f t="shared" si="419"/>
        <v>3</v>
      </c>
      <c r="K6606" t="s">
        <v>6698</v>
      </c>
      <c r="L6606" t="s">
        <v>6695</v>
      </c>
      <c r="P6606" t="s">
        <v>6694</v>
      </c>
      <c r="V6606" t="s">
        <v>6694</v>
      </c>
      <c r="W6606" t="s">
        <v>6720</v>
      </c>
    </row>
    <row r="6607" spans="1:23" ht="15.6" x14ac:dyDescent="0.4">
      <c r="A6607" s="2" t="s">
        <v>4370</v>
      </c>
      <c r="B6607" s="5" t="s">
        <v>12477</v>
      </c>
      <c r="C6607" s="7" t="s">
        <v>12556</v>
      </c>
      <c r="D6607" s="8">
        <f t="shared" si="416"/>
        <v>0</v>
      </c>
      <c r="E6607" s="7" t="s">
        <v>12557</v>
      </c>
      <c r="F6607" s="7">
        <f t="shared" si="417"/>
        <v>2</v>
      </c>
      <c r="G6607" s="7" t="s">
        <v>12558</v>
      </c>
      <c r="H6607" s="7">
        <f t="shared" si="418"/>
        <v>1</v>
      </c>
      <c r="I6607" s="7" t="str" cm="1">
        <f t="array" ref="I6607">IFERROR(_xlfn.IFS(M6607="נח",1,M6607="נע ונח",1,M6607="שני שווא נח",2,M6607="שני שוואים בסוף מילה",2,M6607="שני שוואים ברצף",1),"0")</f>
        <v>0</v>
      </c>
      <c r="J6607" s="9">
        <f t="shared" si="419"/>
        <v>4</v>
      </c>
      <c r="K6607" t="s">
        <v>6697</v>
      </c>
      <c r="L6607" t="s">
        <v>6695</v>
      </c>
      <c r="P6607" t="s">
        <v>6694</v>
      </c>
      <c r="Q6607" t="s">
        <v>6694</v>
      </c>
      <c r="U6607" t="s">
        <v>6694</v>
      </c>
      <c r="W6607" t="s">
        <v>6720</v>
      </c>
    </row>
    <row r="6608" spans="1:23" ht="15.6" x14ac:dyDescent="0.4">
      <c r="A6608" s="2" t="s">
        <v>3549</v>
      </c>
      <c r="B6608" s="5" t="s">
        <v>12271</v>
      </c>
      <c r="C6608" s="7" t="s">
        <v>12556</v>
      </c>
      <c r="D6608" s="8">
        <f t="shared" si="416"/>
        <v>0</v>
      </c>
      <c r="E6608" s="7" t="s">
        <v>12557</v>
      </c>
      <c r="F6608" s="7">
        <f t="shared" si="417"/>
        <v>1</v>
      </c>
      <c r="G6608" s="7" t="s">
        <v>12558</v>
      </c>
      <c r="H6608" s="7">
        <f t="shared" si="418"/>
        <v>0</v>
      </c>
      <c r="I6608" s="7" t="str" cm="1">
        <f t="array" ref="I6608">IFERROR(_xlfn.IFS(M6608="נח",1,M6608="נע ונח",1,M6608="שני שווא נח",2,M6608="שני שוואים בסוף מילה",2,M6608="שני שוואים ברצף",1),"0")</f>
        <v>0</v>
      </c>
      <c r="J6608" s="9">
        <f t="shared" si="419"/>
        <v>3</v>
      </c>
      <c r="K6608" t="s">
        <v>6698</v>
      </c>
      <c r="L6608" t="s">
        <v>6695</v>
      </c>
      <c r="P6608" t="s">
        <v>6694</v>
      </c>
      <c r="V6608" t="s">
        <v>6694</v>
      </c>
      <c r="W6608" t="s">
        <v>6720</v>
      </c>
    </row>
    <row r="6609" spans="1:23" ht="15.6" x14ac:dyDescent="0.4">
      <c r="A6609" s="2" t="s">
        <v>787</v>
      </c>
      <c r="B6609" s="5" t="s">
        <v>12478</v>
      </c>
      <c r="C6609" s="7" t="s">
        <v>12556</v>
      </c>
      <c r="D6609" s="8">
        <f t="shared" si="416"/>
        <v>0</v>
      </c>
      <c r="E6609" s="7" t="s">
        <v>12557</v>
      </c>
      <c r="F6609" s="7">
        <f t="shared" si="417"/>
        <v>1</v>
      </c>
      <c r="G6609" s="7" t="s">
        <v>12558</v>
      </c>
      <c r="H6609" s="7">
        <f t="shared" si="418"/>
        <v>0</v>
      </c>
      <c r="I6609" s="7" cm="1">
        <f t="array" ref="I6609">IFERROR(_xlfn.IFS(M6609="נח",1,M6609="נע ונח",1,M6609="שני שווא נח",2,M6609="שני שוואים בסוף מילה",2,M6609="שני שוואים ברצף",1),"0")</f>
        <v>1</v>
      </c>
      <c r="J6609" s="9">
        <f t="shared" si="419"/>
        <v>3</v>
      </c>
      <c r="K6609" t="s">
        <v>6698</v>
      </c>
      <c r="L6609" t="s">
        <v>6694</v>
      </c>
      <c r="M6609" t="s">
        <v>6705</v>
      </c>
      <c r="P6609" t="s">
        <v>6694</v>
      </c>
      <c r="V6609" t="s">
        <v>6694</v>
      </c>
      <c r="W6609" t="s">
        <v>6720</v>
      </c>
    </row>
    <row r="6610" spans="1:23" ht="15.6" x14ac:dyDescent="0.4">
      <c r="A6610" s="2" t="s">
        <v>227</v>
      </c>
      <c r="B6610" s="5" t="s">
        <v>12479</v>
      </c>
      <c r="C6610" s="7" t="s">
        <v>12556</v>
      </c>
      <c r="D6610" s="8">
        <f t="shared" si="416"/>
        <v>0</v>
      </c>
      <c r="E6610" s="7" t="s">
        <v>12557</v>
      </c>
      <c r="F6610" s="7">
        <f t="shared" si="417"/>
        <v>1</v>
      </c>
      <c r="G6610" s="7" t="s">
        <v>12558</v>
      </c>
      <c r="H6610" s="7">
        <f t="shared" si="418"/>
        <v>0</v>
      </c>
      <c r="I6610" s="7" cm="1">
        <f t="array" ref="I6610">IFERROR(_xlfn.IFS(M6610="נח",1,M6610="נע ונח",1,M6610="שני שווא נח",2,M6610="שני שוואים בסוף מילה",2,M6610="שני שוואים ברצף",1),"0")</f>
        <v>1</v>
      </c>
      <c r="J6610" s="9">
        <f t="shared" si="419"/>
        <v>4</v>
      </c>
      <c r="K6610" t="s">
        <v>6697</v>
      </c>
      <c r="L6610" t="s">
        <v>6694</v>
      </c>
      <c r="M6610" t="s">
        <v>6705</v>
      </c>
      <c r="P6610" t="s">
        <v>6694</v>
      </c>
      <c r="Q6610" t="s">
        <v>6694</v>
      </c>
      <c r="S6610" t="s">
        <v>6694</v>
      </c>
      <c r="W6610" t="s">
        <v>6720</v>
      </c>
    </row>
    <row r="6611" spans="1:23" ht="15.6" x14ac:dyDescent="0.4">
      <c r="A6611" s="2" t="s">
        <v>5333</v>
      </c>
      <c r="B6611" s="5" t="s">
        <v>12480</v>
      </c>
      <c r="C6611" s="7" t="s">
        <v>12556</v>
      </c>
      <c r="D6611" s="8">
        <f t="shared" si="416"/>
        <v>0</v>
      </c>
      <c r="E6611" s="7" t="s">
        <v>12557</v>
      </c>
      <c r="F6611" s="7">
        <f t="shared" si="417"/>
        <v>1</v>
      </c>
      <c r="G6611" s="7" t="s">
        <v>12558</v>
      </c>
      <c r="H6611" s="7">
        <f t="shared" si="418"/>
        <v>0</v>
      </c>
      <c r="I6611" s="7" cm="1">
        <f t="array" ref="I6611">IFERROR(_xlfn.IFS(M6611="נח",1,M6611="נע ונח",1,M6611="שני שווא נח",2,M6611="שני שוואים בסוף מילה",2,M6611="שני שוואים ברצף",1),"0")</f>
        <v>1</v>
      </c>
      <c r="J6611" s="9">
        <f t="shared" si="419"/>
        <v>2</v>
      </c>
      <c r="K6611" t="s">
        <v>6698</v>
      </c>
      <c r="L6611" t="s">
        <v>6694</v>
      </c>
      <c r="M6611" t="s">
        <v>6705</v>
      </c>
      <c r="P6611" t="s">
        <v>6694</v>
      </c>
      <c r="S6611" t="s">
        <v>6694</v>
      </c>
      <c r="W6611" t="s">
        <v>6720</v>
      </c>
    </row>
    <row r="6612" spans="1:23" ht="15.6" x14ac:dyDescent="0.4">
      <c r="A6612" s="2" t="s">
        <v>5624</v>
      </c>
      <c r="B6612" s="5" t="s">
        <v>12481</v>
      </c>
      <c r="C6612" s="7" t="s">
        <v>12556</v>
      </c>
      <c r="D6612" s="8">
        <f t="shared" si="416"/>
        <v>0</v>
      </c>
      <c r="E6612" s="7" t="s">
        <v>12557</v>
      </c>
      <c r="F6612" s="7">
        <f t="shared" si="417"/>
        <v>1</v>
      </c>
      <c r="G6612" s="7" t="s">
        <v>12558</v>
      </c>
      <c r="H6612" s="7">
        <f t="shared" si="418"/>
        <v>0</v>
      </c>
      <c r="I6612" s="7" cm="1">
        <f t="array" ref="I6612">IFERROR(_xlfn.IFS(M6612="נח",1,M6612="נע ונח",1,M6612="שני שווא נח",2,M6612="שני שוואים בסוף מילה",2,M6612="שני שוואים ברצף",1),"0")</f>
        <v>1</v>
      </c>
      <c r="J6612" s="9">
        <f t="shared" si="419"/>
        <v>2</v>
      </c>
      <c r="K6612" t="s">
        <v>6698</v>
      </c>
      <c r="L6612" t="s">
        <v>6694</v>
      </c>
      <c r="M6612" t="s">
        <v>6705</v>
      </c>
      <c r="P6612" t="s">
        <v>6694</v>
      </c>
      <c r="S6612" t="s">
        <v>6694</v>
      </c>
      <c r="W6612" t="s">
        <v>6720</v>
      </c>
    </row>
    <row r="6613" spans="1:23" ht="15.6" x14ac:dyDescent="0.4">
      <c r="A6613" s="2" t="s">
        <v>453</v>
      </c>
      <c r="B6613" s="5" t="s">
        <v>12482</v>
      </c>
      <c r="C6613" s="7" t="s">
        <v>12556</v>
      </c>
      <c r="D6613" s="8">
        <f t="shared" si="416"/>
        <v>0</v>
      </c>
      <c r="E6613" s="7" t="s">
        <v>12557</v>
      </c>
      <c r="F6613" s="7">
        <f t="shared" si="417"/>
        <v>2</v>
      </c>
      <c r="G6613" s="7" t="s">
        <v>12558</v>
      </c>
      <c r="H6613" s="7">
        <f t="shared" si="418"/>
        <v>0</v>
      </c>
      <c r="I6613" s="7" t="str" cm="1">
        <f t="array" ref="I6613">IFERROR(_xlfn.IFS(M6613="נח",1,M6613="נע ונח",1,M6613="שני שווא נח",2,M6613="שני שוואים בסוף מילה",2,M6613="שני שוואים ברצף",1),"0")</f>
        <v>0</v>
      </c>
      <c r="J6613" s="9">
        <f t="shared" si="419"/>
        <v>4</v>
      </c>
      <c r="K6613" t="s">
        <v>6697</v>
      </c>
      <c r="L6613" t="s">
        <v>6695</v>
      </c>
      <c r="P6613" t="s">
        <v>6694</v>
      </c>
      <c r="Q6613" t="s">
        <v>6694</v>
      </c>
      <c r="S6613" t="s">
        <v>6694</v>
      </c>
      <c r="W6613" t="s">
        <v>6720</v>
      </c>
    </row>
    <row r="6614" spans="1:23" ht="15.6" x14ac:dyDescent="0.4">
      <c r="A6614" s="2" t="s">
        <v>5174</v>
      </c>
      <c r="B6614" s="5" t="s">
        <v>12483</v>
      </c>
      <c r="C6614" s="7" t="s">
        <v>12556</v>
      </c>
      <c r="D6614" s="8">
        <f t="shared" si="416"/>
        <v>1</v>
      </c>
      <c r="E6614" s="7" t="s">
        <v>12557</v>
      </c>
      <c r="F6614" s="7">
        <f t="shared" si="417"/>
        <v>1</v>
      </c>
      <c r="G6614" s="7" t="s">
        <v>12558</v>
      </c>
      <c r="H6614" s="7">
        <f t="shared" si="418"/>
        <v>0</v>
      </c>
      <c r="I6614" s="7" cm="1">
        <f t="array" ref="I6614">IFERROR(_xlfn.IFS(M6614="נח",1,M6614="נע ונח",1,M6614="שני שווא נח",2,M6614="שני שוואים בסוף מילה",2,M6614="שני שוואים ברצף",1),"0")</f>
        <v>1</v>
      </c>
      <c r="J6614" s="9">
        <f t="shared" si="419"/>
        <v>2</v>
      </c>
      <c r="K6614" t="s">
        <v>6698</v>
      </c>
      <c r="L6614" t="s">
        <v>6694</v>
      </c>
      <c r="M6614" t="s">
        <v>6705</v>
      </c>
      <c r="P6614" t="s">
        <v>6694</v>
      </c>
      <c r="S6614" t="s">
        <v>6694</v>
      </c>
      <c r="W6614" t="s">
        <v>6720</v>
      </c>
    </row>
    <row r="6615" spans="1:23" ht="15.6" x14ac:dyDescent="0.4">
      <c r="A6615" s="2" t="s">
        <v>2982</v>
      </c>
      <c r="B6615" s="5" t="s">
        <v>12484</v>
      </c>
      <c r="C6615" s="7" t="s">
        <v>12556</v>
      </c>
      <c r="D6615" s="8">
        <f t="shared" si="416"/>
        <v>1</v>
      </c>
      <c r="E6615" s="7" t="s">
        <v>12557</v>
      </c>
      <c r="F6615" s="7">
        <f t="shared" si="417"/>
        <v>2</v>
      </c>
      <c r="G6615" s="7" t="s">
        <v>12558</v>
      </c>
      <c r="H6615" s="7">
        <f t="shared" si="418"/>
        <v>1</v>
      </c>
      <c r="I6615" s="7" cm="1">
        <f t="array" ref="I6615">IFERROR(_xlfn.IFS(M6615="נח",1,M6615="נע ונח",1,M6615="שני שווא נח",2,M6615="שני שוואים בסוף מילה",2,M6615="שני שוואים ברצף",1),"0")</f>
        <v>1</v>
      </c>
      <c r="J6615" s="9">
        <f t="shared" si="419"/>
        <v>2</v>
      </c>
      <c r="K6615" t="s">
        <v>6697</v>
      </c>
      <c r="L6615" t="s">
        <v>6694</v>
      </c>
      <c r="M6615" t="s">
        <v>6705</v>
      </c>
      <c r="P6615" t="s">
        <v>6694</v>
      </c>
      <c r="U6615" t="s">
        <v>6694</v>
      </c>
      <c r="W6615" t="s">
        <v>6720</v>
      </c>
    </row>
    <row r="6616" spans="1:23" ht="15.6" x14ac:dyDescent="0.4">
      <c r="A6616" s="2" t="s">
        <v>2896</v>
      </c>
      <c r="B6616" s="5" t="s">
        <v>12485</v>
      </c>
      <c r="C6616" s="7" t="s">
        <v>12556</v>
      </c>
      <c r="D6616" s="8">
        <f t="shared" si="416"/>
        <v>0</v>
      </c>
      <c r="E6616" s="7" t="s">
        <v>12557</v>
      </c>
      <c r="F6616" s="7">
        <f t="shared" si="417"/>
        <v>1</v>
      </c>
      <c r="G6616" s="7" t="s">
        <v>12558</v>
      </c>
      <c r="H6616" s="7">
        <f t="shared" si="418"/>
        <v>0</v>
      </c>
      <c r="I6616" s="7" cm="1">
        <f t="array" ref="I6616">IFERROR(_xlfn.IFS(M6616="נח",1,M6616="נע ונח",1,M6616="שני שווא נח",2,M6616="שני שוואים בסוף מילה",2,M6616="שני שוואים ברצף",1),"0")</f>
        <v>1</v>
      </c>
      <c r="J6616" s="9">
        <f t="shared" si="419"/>
        <v>4</v>
      </c>
      <c r="K6616" t="s">
        <v>6697</v>
      </c>
      <c r="L6616" t="s">
        <v>6694</v>
      </c>
      <c r="M6616" t="s">
        <v>6705</v>
      </c>
      <c r="P6616" t="s">
        <v>6694</v>
      </c>
      <c r="Q6616" t="s">
        <v>6694</v>
      </c>
      <c r="S6616" t="s">
        <v>6694</v>
      </c>
      <c r="W6616" t="s">
        <v>6720</v>
      </c>
    </row>
    <row r="6617" spans="1:23" ht="15.6" x14ac:dyDescent="0.4">
      <c r="A6617" s="2" t="s">
        <v>6475</v>
      </c>
      <c r="B6617" s="5" t="s">
        <v>12486</v>
      </c>
      <c r="C6617" s="7" t="s">
        <v>12556</v>
      </c>
      <c r="D6617" s="8">
        <f t="shared" si="416"/>
        <v>0</v>
      </c>
      <c r="E6617" s="7" t="s">
        <v>12557</v>
      </c>
      <c r="F6617" s="7">
        <f t="shared" si="417"/>
        <v>1</v>
      </c>
      <c r="G6617" s="7" t="s">
        <v>12558</v>
      </c>
      <c r="H6617" s="7">
        <f t="shared" si="418"/>
        <v>0</v>
      </c>
      <c r="I6617" s="7" cm="1">
        <f t="array" ref="I6617">IFERROR(_xlfn.IFS(M6617="נח",1,M6617="נע ונח",1,M6617="שני שווא נח",2,M6617="שני שוואים בסוף מילה",2,M6617="שני שוואים ברצף",1),"0")</f>
        <v>1</v>
      </c>
      <c r="J6617" s="9">
        <f t="shared" si="419"/>
        <v>2</v>
      </c>
      <c r="K6617" t="s">
        <v>6698</v>
      </c>
      <c r="L6617" t="s">
        <v>6694</v>
      </c>
      <c r="M6617" t="s">
        <v>6705</v>
      </c>
      <c r="P6617" t="s">
        <v>6694</v>
      </c>
      <c r="S6617" t="s">
        <v>6694</v>
      </c>
      <c r="W6617" t="s">
        <v>6720</v>
      </c>
    </row>
    <row r="6618" spans="1:23" ht="15.6" x14ac:dyDescent="0.4">
      <c r="A6618" s="2" t="s">
        <v>6459</v>
      </c>
      <c r="B6618" s="5" t="s">
        <v>12487</v>
      </c>
      <c r="C6618" s="7" t="s">
        <v>12556</v>
      </c>
      <c r="D6618" s="8">
        <f t="shared" si="416"/>
        <v>0</v>
      </c>
      <c r="E6618" s="7" t="s">
        <v>12557</v>
      </c>
      <c r="F6618" s="7">
        <f t="shared" si="417"/>
        <v>1</v>
      </c>
      <c r="G6618" s="7" t="s">
        <v>12558</v>
      </c>
      <c r="H6618" s="7">
        <f t="shared" si="418"/>
        <v>0</v>
      </c>
      <c r="I6618" s="7" cm="1">
        <f t="array" ref="I6618">IFERROR(_xlfn.IFS(M6618="נח",1,M6618="נע ונח",1,M6618="שני שווא נח",2,M6618="שני שוואים בסוף מילה",2,M6618="שני שוואים ברצף",1),"0")</f>
        <v>1</v>
      </c>
      <c r="J6618" s="9">
        <f t="shared" si="419"/>
        <v>3</v>
      </c>
      <c r="K6618" t="s">
        <v>6697</v>
      </c>
      <c r="L6618" t="s">
        <v>6694</v>
      </c>
      <c r="M6618" t="s">
        <v>6705</v>
      </c>
      <c r="O6618" t="s">
        <v>6694</v>
      </c>
      <c r="P6618" t="s">
        <v>6694</v>
      </c>
      <c r="Q6618" t="s">
        <v>6694</v>
      </c>
      <c r="W6618" t="s">
        <v>6720</v>
      </c>
    </row>
    <row r="6619" spans="1:23" ht="15.6" x14ac:dyDescent="0.4">
      <c r="A6619" s="2" t="s">
        <v>234</v>
      </c>
      <c r="B6619" s="5" t="s">
        <v>12488</v>
      </c>
      <c r="C6619" s="7" t="s">
        <v>12556</v>
      </c>
      <c r="D6619" s="8">
        <f t="shared" si="416"/>
        <v>1</v>
      </c>
      <c r="E6619" s="7" t="s">
        <v>12557</v>
      </c>
      <c r="F6619" s="7">
        <f t="shared" si="417"/>
        <v>2</v>
      </c>
      <c r="G6619" s="7" t="s">
        <v>12558</v>
      </c>
      <c r="H6619" s="7">
        <f t="shared" si="418"/>
        <v>0</v>
      </c>
      <c r="I6619" s="7" cm="1">
        <f t="array" ref="I6619">IFERROR(_xlfn.IFS(M6619="נח",1,M6619="נע ונח",1,M6619="שני שווא נח",2,M6619="שני שוואים בסוף מילה",2,M6619="שני שוואים ברצף",1),"0")</f>
        <v>1</v>
      </c>
      <c r="J6619" s="9">
        <f t="shared" si="419"/>
        <v>3</v>
      </c>
      <c r="K6619" t="s">
        <v>6697</v>
      </c>
      <c r="L6619" t="s">
        <v>6694</v>
      </c>
      <c r="M6619" t="s">
        <v>6705</v>
      </c>
      <c r="P6619" t="s">
        <v>6694</v>
      </c>
      <c r="Q6619" t="s">
        <v>6694</v>
      </c>
      <c r="S6619" t="s">
        <v>6694</v>
      </c>
      <c r="W6619" t="s">
        <v>6720</v>
      </c>
    </row>
    <row r="6620" spans="1:23" ht="15.6" x14ac:dyDescent="0.4">
      <c r="A6620" s="2" t="s">
        <v>4097</v>
      </c>
      <c r="B6620" s="5" t="s">
        <v>12489</v>
      </c>
      <c r="C6620" s="7" t="s">
        <v>12556</v>
      </c>
      <c r="D6620" s="8">
        <f t="shared" si="416"/>
        <v>1</v>
      </c>
      <c r="E6620" s="7" t="s">
        <v>12557</v>
      </c>
      <c r="F6620" s="7">
        <f t="shared" si="417"/>
        <v>1</v>
      </c>
      <c r="G6620" s="7" t="s">
        <v>12558</v>
      </c>
      <c r="H6620" s="7">
        <f t="shared" si="418"/>
        <v>0</v>
      </c>
      <c r="I6620" s="7" cm="1">
        <f t="array" ref="I6620">IFERROR(_xlfn.IFS(M6620="נח",1,M6620="נע ונח",1,M6620="שני שווא נח",2,M6620="שני שוואים בסוף מילה",2,M6620="שני שוואים ברצף",1),"0")</f>
        <v>1</v>
      </c>
      <c r="J6620" s="9">
        <f t="shared" si="419"/>
        <v>2</v>
      </c>
      <c r="K6620" t="s">
        <v>6698</v>
      </c>
      <c r="L6620" t="s">
        <v>6694</v>
      </c>
      <c r="M6620" t="s">
        <v>6705</v>
      </c>
      <c r="P6620" t="s">
        <v>6694</v>
      </c>
      <c r="Q6620" t="s">
        <v>6694</v>
      </c>
      <c r="W6620" t="s">
        <v>6720</v>
      </c>
    </row>
    <row r="6621" spans="1:23" ht="15.6" x14ac:dyDescent="0.4">
      <c r="A6621" s="2" t="s">
        <v>488</v>
      </c>
      <c r="B6621" s="5" t="s">
        <v>12490</v>
      </c>
      <c r="C6621" s="7" t="s">
        <v>12556</v>
      </c>
      <c r="D6621" s="8">
        <f t="shared" si="416"/>
        <v>1</v>
      </c>
      <c r="E6621" s="7" t="s">
        <v>12557</v>
      </c>
      <c r="F6621" s="7">
        <f t="shared" si="417"/>
        <v>1</v>
      </c>
      <c r="G6621" s="7" t="s">
        <v>12558</v>
      </c>
      <c r="H6621" s="7">
        <f t="shared" si="418"/>
        <v>0</v>
      </c>
      <c r="I6621" s="7" cm="1">
        <f t="array" ref="I6621">IFERROR(_xlfn.IFS(M6621="נח",1,M6621="נע ונח",1,M6621="שני שווא נח",2,M6621="שני שוואים בסוף מילה",2,M6621="שני שוואים ברצף",1),"0")</f>
        <v>1</v>
      </c>
      <c r="J6621" s="9">
        <f t="shared" si="419"/>
        <v>4</v>
      </c>
      <c r="K6621" t="s">
        <v>6697</v>
      </c>
      <c r="L6621" t="s">
        <v>6694</v>
      </c>
      <c r="M6621" t="s">
        <v>6705</v>
      </c>
      <c r="P6621" t="s">
        <v>6694</v>
      </c>
      <c r="Q6621" t="s">
        <v>6694</v>
      </c>
      <c r="S6621" t="s">
        <v>6694</v>
      </c>
      <c r="W6621" t="s">
        <v>6720</v>
      </c>
    </row>
    <row r="6622" spans="1:23" ht="15.6" x14ac:dyDescent="0.4">
      <c r="A6622" s="2" t="s">
        <v>4523</v>
      </c>
      <c r="B6622" s="5" t="s">
        <v>12491</v>
      </c>
      <c r="C6622" s="7" t="s">
        <v>12556</v>
      </c>
      <c r="D6622" s="8">
        <f t="shared" si="416"/>
        <v>1</v>
      </c>
      <c r="E6622" s="7" t="s">
        <v>12557</v>
      </c>
      <c r="F6622" s="7">
        <f t="shared" si="417"/>
        <v>1</v>
      </c>
      <c r="G6622" s="7" t="s">
        <v>12558</v>
      </c>
      <c r="H6622" s="7">
        <f t="shared" si="418"/>
        <v>0</v>
      </c>
      <c r="I6622" s="7" cm="1">
        <f t="array" ref="I6622">IFERROR(_xlfn.IFS(M6622="נח",1,M6622="נע ונח",1,M6622="שני שווא נח",2,M6622="שני שוואים בסוף מילה",2,M6622="שני שוואים ברצף",1),"0")</f>
        <v>1</v>
      </c>
      <c r="J6622" s="9">
        <f t="shared" si="419"/>
        <v>2</v>
      </c>
      <c r="K6622" t="s">
        <v>6698</v>
      </c>
      <c r="L6622" t="s">
        <v>6694</v>
      </c>
      <c r="M6622" t="s">
        <v>6705</v>
      </c>
      <c r="P6622" t="s">
        <v>6694</v>
      </c>
      <c r="Q6622" t="s">
        <v>6694</v>
      </c>
      <c r="W6622" t="s">
        <v>6720</v>
      </c>
    </row>
    <row r="6623" spans="1:23" ht="15.6" x14ac:dyDescent="0.4">
      <c r="A6623" s="2" t="s">
        <v>3902</v>
      </c>
      <c r="B6623" s="5" t="s">
        <v>12492</v>
      </c>
      <c r="C6623" s="7" t="s">
        <v>12556</v>
      </c>
      <c r="D6623" s="8">
        <f t="shared" si="416"/>
        <v>1</v>
      </c>
      <c r="E6623" s="7" t="s">
        <v>12557</v>
      </c>
      <c r="F6623" s="7">
        <f t="shared" si="417"/>
        <v>1</v>
      </c>
      <c r="G6623" s="7" t="s">
        <v>12558</v>
      </c>
      <c r="H6623" s="7">
        <f t="shared" si="418"/>
        <v>0</v>
      </c>
      <c r="I6623" s="7" cm="1">
        <f t="array" ref="I6623">IFERROR(_xlfn.IFS(M6623="נח",1,M6623="נע ונח",1,M6623="שני שווא נח",2,M6623="שני שוואים בסוף מילה",2,M6623="שני שוואים ברצף",1),"0")</f>
        <v>1</v>
      </c>
      <c r="J6623" s="9">
        <f t="shared" si="419"/>
        <v>4</v>
      </c>
      <c r="K6623" t="s">
        <v>6697</v>
      </c>
      <c r="L6623" t="s">
        <v>6694</v>
      </c>
      <c r="M6623" t="s">
        <v>6705</v>
      </c>
      <c r="P6623" t="s">
        <v>6694</v>
      </c>
      <c r="Q6623" t="s">
        <v>6694</v>
      </c>
      <c r="S6623" t="s">
        <v>6694</v>
      </c>
      <c r="W6623" t="s">
        <v>6720</v>
      </c>
    </row>
    <row r="6624" spans="1:23" ht="15.6" x14ac:dyDescent="0.4">
      <c r="A6624" s="2" t="s">
        <v>6186</v>
      </c>
      <c r="B6624" s="5" t="s">
        <v>12493</v>
      </c>
      <c r="C6624" s="7" t="s">
        <v>12556</v>
      </c>
      <c r="D6624" s="8">
        <f t="shared" si="416"/>
        <v>1</v>
      </c>
      <c r="E6624" s="7" t="s">
        <v>12557</v>
      </c>
      <c r="F6624" s="7">
        <f t="shared" si="417"/>
        <v>2</v>
      </c>
      <c r="G6624" s="7" t="s">
        <v>12558</v>
      </c>
      <c r="H6624" s="7">
        <f t="shared" si="418"/>
        <v>0</v>
      </c>
      <c r="I6624" s="7" cm="1">
        <f t="array" ref="I6624">IFERROR(_xlfn.IFS(M6624="נח",1,M6624="נע ונח",1,M6624="שני שווא נח",2,M6624="שני שוואים בסוף מילה",2,M6624="שני שוואים ברצף",1),"0")</f>
        <v>1</v>
      </c>
      <c r="J6624" s="9">
        <f t="shared" si="419"/>
        <v>2</v>
      </c>
      <c r="K6624" t="s">
        <v>6698</v>
      </c>
      <c r="L6624" t="s">
        <v>6694</v>
      </c>
      <c r="M6624" t="s">
        <v>6705</v>
      </c>
      <c r="P6624" t="s">
        <v>6694</v>
      </c>
      <c r="S6624" t="s">
        <v>6694</v>
      </c>
      <c r="W6624" t="s">
        <v>6720</v>
      </c>
    </row>
    <row r="6625" spans="1:23" ht="15.6" x14ac:dyDescent="0.4">
      <c r="A6625" s="2" t="s">
        <v>5976</v>
      </c>
      <c r="B6625" s="5" t="s">
        <v>12494</v>
      </c>
      <c r="C6625" s="7" t="s">
        <v>12556</v>
      </c>
      <c r="D6625" s="8">
        <f t="shared" si="416"/>
        <v>1</v>
      </c>
      <c r="E6625" s="7" t="s">
        <v>12557</v>
      </c>
      <c r="F6625" s="7">
        <f t="shared" si="417"/>
        <v>3</v>
      </c>
      <c r="G6625" s="7" t="s">
        <v>12558</v>
      </c>
      <c r="H6625" s="7">
        <f t="shared" si="418"/>
        <v>1</v>
      </c>
      <c r="I6625" s="7" cm="1">
        <f t="array" ref="I6625">IFERROR(_xlfn.IFS(M6625="נח",1,M6625="נע ונח",1,M6625="שני שווא נח",2,M6625="שני שוואים בסוף מילה",2,M6625="שני שוואים ברצף",1),"0")</f>
        <v>1</v>
      </c>
      <c r="J6625" s="9">
        <f t="shared" si="419"/>
        <v>3</v>
      </c>
      <c r="K6625" t="s">
        <v>6697</v>
      </c>
      <c r="L6625" t="s">
        <v>6694</v>
      </c>
      <c r="M6625" t="s">
        <v>6705</v>
      </c>
      <c r="P6625" t="s">
        <v>6694</v>
      </c>
      <c r="S6625" t="s">
        <v>6694</v>
      </c>
      <c r="U6625" t="s">
        <v>6694</v>
      </c>
      <c r="W6625" t="s">
        <v>6720</v>
      </c>
    </row>
    <row r="6626" spans="1:23" ht="15.6" x14ac:dyDescent="0.4">
      <c r="A6626" s="2" t="s">
        <v>2029</v>
      </c>
      <c r="B6626" s="5" t="s">
        <v>12495</v>
      </c>
      <c r="C6626" s="7" t="s">
        <v>12556</v>
      </c>
      <c r="D6626" s="8">
        <f t="shared" si="416"/>
        <v>0</v>
      </c>
      <c r="E6626" s="7" t="s">
        <v>12557</v>
      </c>
      <c r="F6626" s="7">
        <f t="shared" si="417"/>
        <v>1</v>
      </c>
      <c r="G6626" s="7" t="s">
        <v>12558</v>
      </c>
      <c r="H6626" s="7">
        <f t="shared" si="418"/>
        <v>0</v>
      </c>
      <c r="I6626" s="7" t="str" cm="1">
        <f t="array" ref="I6626">IFERROR(_xlfn.IFS(M6626="נח",1,M6626="נע ונח",1,M6626="שני שווא נח",2,M6626="שני שוואים בסוף מילה",2,M6626="שני שוואים ברצף",1),"0")</f>
        <v>0</v>
      </c>
      <c r="J6626" s="9">
        <f t="shared" si="419"/>
        <v>2</v>
      </c>
      <c r="K6626" t="s">
        <v>6698</v>
      </c>
      <c r="L6626" t="s">
        <v>6695</v>
      </c>
      <c r="O6626" t="s">
        <v>6694</v>
      </c>
      <c r="S6626" t="s">
        <v>6694</v>
      </c>
      <c r="W6626" t="s">
        <v>6720</v>
      </c>
    </row>
    <row r="6627" spans="1:23" ht="15.6" x14ac:dyDescent="0.4">
      <c r="A6627" s="2" t="s">
        <v>2514</v>
      </c>
      <c r="B6627" s="5" t="s">
        <v>12496</v>
      </c>
      <c r="C6627" s="7" t="s">
        <v>12556</v>
      </c>
      <c r="D6627" s="8">
        <f t="shared" si="416"/>
        <v>0</v>
      </c>
      <c r="E6627" s="7" t="s">
        <v>12557</v>
      </c>
      <c r="F6627" s="7">
        <f t="shared" si="417"/>
        <v>1</v>
      </c>
      <c r="G6627" s="7" t="s">
        <v>12558</v>
      </c>
      <c r="H6627" s="7">
        <f t="shared" si="418"/>
        <v>0</v>
      </c>
      <c r="I6627" s="7" t="str" cm="1">
        <f t="array" ref="I6627">IFERROR(_xlfn.IFS(M6627="נח",1,M6627="נע ונח",1,M6627="שני שווא נח",2,M6627="שני שוואים בסוף מילה",2,M6627="שני שוואים ברצף",1),"0")</f>
        <v>0</v>
      </c>
      <c r="J6627" s="9">
        <f t="shared" si="419"/>
        <v>2</v>
      </c>
      <c r="K6627" t="s">
        <v>6697</v>
      </c>
      <c r="L6627" t="s">
        <v>6695</v>
      </c>
      <c r="O6627" t="s">
        <v>6694</v>
      </c>
      <c r="V6627" t="s">
        <v>6694</v>
      </c>
      <c r="W6627" t="s">
        <v>6720</v>
      </c>
    </row>
    <row r="6628" spans="1:23" ht="15.6" x14ac:dyDescent="0.4">
      <c r="A6628" s="2" t="s">
        <v>5813</v>
      </c>
      <c r="B6628" s="5" t="s">
        <v>12497</v>
      </c>
      <c r="C6628" s="7" t="s">
        <v>12556</v>
      </c>
      <c r="D6628" s="8">
        <f t="shared" si="416"/>
        <v>0</v>
      </c>
      <c r="E6628" s="7" t="s">
        <v>12557</v>
      </c>
      <c r="F6628" s="7">
        <f t="shared" si="417"/>
        <v>1</v>
      </c>
      <c r="G6628" s="7" t="s">
        <v>12558</v>
      </c>
      <c r="H6628" s="7">
        <f t="shared" si="418"/>
        <v>0</v>
      </c>
      <c r="I6628" s="7" t="str" cm="1">
        <f t="array" ref="I6628">IFERROR(_xlfn.IFS(M6628="נח",1,M6628="נע ונח",1,M6628="שני שווא נח",2,M6628="שני שוואים בסוף מילה",2,M6628="שני שוואים ברצף",1),"0")</f>
        <v>0</v>
      </c>
      <c r="J6628" s="9">
        <f t="shared" si="419"/>
        <v>2</v>
      </c>
      <c r="K6628" t="s">
        <v>6698</v>
      </c>
      <c r="L6628" t="s">
        <v>6695</v>
      </c>
      <c r="O6628" t="s">
        <v>6694</v>
      </c>
      <c r="V6628" t="s">
        <v>6694</v>
      </c>
      <c r="W6628" t="s">
        <v>6720</v>
      </c>
    </row>
    <row r="6629" spans="1:23" ht="15.6" x14ac:dyDescent="0.4">
      <c r="A6629" s="2" t="s">
        <v>980</v>
      </c>
      <c r="B6629" s="5" t="s">
        <v>12498</v>
      </c>
      <c r="C6629" s="7" t="s">
        <v>12556</v>
      </c>
      <c r="D6629" s="8">
        <f t="shared" si="416"/>
        <v>0</v>
      </c>
      <c r="E6629" s="7" t="s">
        <v>12557</v>
      </c>
      <c r="F6629" s="7">
        <f t="shared" si="417"/>
        <v>1</v>
      </c>
      <c r="G6629" s="7" t="s">
        <v>12558</v>
      </c>
      <c r="H6629" s="7">
        <f t="shared" si="418"/>
        <v>0</v>
      </c>
      <c r="I6629" s="7" t="str" cm="1">
        <f t="array" ref="I6629">IFERROR(_xlfn.IFS(M6629="נח",1,M6629="נע ונח",1,M6629="שני שווא נח",2,M6629="שני שוואים בסוף מילה",2,M6629="שני שוואים ברצף",1),"0")</f>
        <v>0</v>
      </c>
      <c r="J6629" s="9">
        <f t="shared" si="419"/>
        <v>2</v>
      </c>
      <c r="K6629" t="s">
        <v>6698</v>
      </c>
      <c r="L6629" t="s">
        <v>6695</v>
      </c>
      <c r="O6629" t="s">
        <v>6694</v>
      </c>
      <c r="S6629" t="s">
        <v>6694</v>
      </c>
      <c r="W6629" t="s">
        <v>6720</v>
      </c>
    </row>
    <row r="6630" spans="1:23" ht="15.6" x14ac:dyDescent="0.4">
      <c r="A6630" s="2" t="s">
        <v>2193</v>
      </c>
      <c r="B6630" s="5" t="s">
        <v>12499</v>
      </c>
      <c r="C6630" s="7" t="s">
        <v>12556</v>
      </c>
      <c r="D6630" s="8">
        <f t="shared" si="416"/>
        <v>0</v>
      </c>
      <c r="E6630" s="7" t="s">
        <v>12557</v>
      </c>
      <c r="F6630" s="7">
        <f t="shared" si="417"/>
        <v>1</v>
      </c>
      <c r="G6630" s="7" t="s">
        <v>12558</v>
      </c>
      <c r="H6630" s="7">
        <f t="shared" si="418"/>
        <v>0</v>
      </c>
      <c r="I6630" s="7" t="str" cm="1">
        <f t="array" ref="I6630">IFERROR(_xlfn.IFS(M6630="נח",1,M6630="נע ונח",1,M6630="שני שווא נח",2,M6630="שני שוואים בסוף מילה",2,M6630="שני שוואים ברצף",1),"0")</f>
        <v>0</v>
      </c>
      <c r="J6630" s="9">
        <f t="shared" si="419"/>
        <v>2</v>
      </c>
      <c r="K6630" t="s">
        <v>6698</v>
      </c>
      <c r="L6630" t="s">
        <v>6695</v>
      </c>
      <c r="O6630" t="s">
        <v>6694</v>
      </c>
      <c r="Q6630" t="s">
        <v>6694</v>
      </c>
      <c r="W6630" t="s">
        <v>6720</v>
      </c>
    </row>
    <row r="6631" spans="1:23" ht="15.6" x14ac:dyDescent="0.4">
      <c r="A6631" s="2" t="s">
        <v>3904</v>
      </c>
      <c r="B6631" s="5" t="s">
        <v>12500</v>
      </c>
      <c r="C6631" s="7" t="s">
        <v>12556</v>
      </c>
      <c r="D6631" s="8">
        <f t="shared" si="416"/>
        <v>0</v>
      </c>
      <c r="E6631" s="7" t="s">
        <v>12557</v>
      </c>
      <c r="F6631" s="7">
        <f t="shared" si="417"/>
        <v>1</v>
      </c>
      <c r="G6631" s="7" t="s">
        <v>12558</v>
      </c>
      <c r="H6631" s="7">
        <f t="shared" si="418"/>
        <v>0</v>
      </c>
      <c r="I6631" s="7" cm="1">
        <f t="array" ref="I6631">IFERROR(_xlfn.IFS(M6631="נח",1,M6631="נע ונח",1,M6631="שני שווא נח",2,M6631="שני שוואים בסוף מילה",2,M6631="שני שוואים ברצף",1),"0")</f>
        <v>1</v>
      </c>
      <c r="J6631" s="9">
        <f t="shared" si="419"/>
        <v>3</v>
      </c>
      <c r="K6631" t="s">
        <v>6697</v>
      </c>
      <c r="L6631" t="s">
        <v>6694</v>
      </c>
      <c r="M6631" t="s">
        <v>6705</v>
      </c>
      <c r="O6631" t="s">
        <v>6694</v>
      </c>
      <c r="Q6631" t="s">
        <v>6694</v>
      </c>
      <c r="W6631" t="s">
        <v>6720</v>
      </c>
    </row>
    <row r="6632" spans="1:23" ht="15.6" x14ac:dyDescent="0.4">
      <c r="A6632" s="2" t="s">
        <v>4664</v>
      </c>
      <c r="B6632" s="5" t="s">
        <v>12501</v>
      </c>
      <c r="C6632" s="7" t="s">
        <v>12556</v>
      </c>
      <c r="D6632" s="8">
        <f t="shared" si="416"/>
        <v>0</v>
      </c>
      <c r="E6632" s="7" t="s">
        <v>12557</v>
      </c>
      <c r="F6632" s="7">
        <f t="shared" si="417"/>
        <v>3</v>
      </c>
      <c r="G6632" s="7" t="s">
        <v>12558</v>
      </c>
      <c r="H6632" s="7">
        <f t="shared" si="418"/>
        <v>1</v>
      </c>
      <c r="I6632" s="7" t="str" cm="1">
        <f t="array" ref="I6632">IFERROR(_xlfn.IFS(M6632="נח",1,M6632="נע ונח",1,M6632="שני שווא נח",2,M6632="שני שוואים בסוף מילה",2,M6632="שני שוואים ברצף",1),"0")</f>
        <v>0</v>
      </c>
      <c r="J6632" s="9">
        <f t="shared" si="419"/>
        <v>3</v>
      </c>
      <c r="K6632" t="s">
        <v>6697</v>
      </c>
      <c r="L6632" t="s">
        <v>6695</v>
      </c>
      <c r="O6632" t="s">
        <v>6694</v>
      </c>
      <c r="U6632" t="s">
        <v>6694</v>
      </c>
      <c r="V6632" t="s">
        <v>6694</v>
      </c>
      <c r="W6632" t="s">
        <v>6720</v>
      </c>
    </row>
    <row r="6633" spans="1:23" ht="15.6" x14ac:dyDescent="0.4">
      <c r="A6633" s="2" t="s">
        <v>4184</v>
      </c>
      <c r="B6633" s="5" t="s">
        <v>12502</v>
      </c>
      <c r="C6633" s="7" t="s">
        <v>12556</v>
      </c>
      <c r="D6633" s="8">
        <f t="shared" si="416"/>
        <v>0</v>
      </c>
      <c r="E6633" s="7" t="s">
        <v>12557</v>
      </c>
      <c r="F6633" s="7">
        <f t="shared" si="417"/>
        <v>1</v>
      </c>
      <c r="G6633" s="7" t="s">
        <v>12558</v>
      </c>
      <c r="H6633" s="7">
        <f t="shared" si="418"/>
        <v>0</v>
      </c>
      <c r="I6633" s="7" t="str" cm="1">
        <f t="array" ref="I6633">IFERROR(_xlfn.IFS(M6633="נח",1,M6633="נע ונח",1,M6633="שני שווא נח",2,M6633="שני שוואים בסוף מילה",2,M6633="שני שוואים ברצף",1),"0")</f>
        <v>0</v>
      </c>
      <c r="J6633" s="9">
        <f t="shared" si="419"/>
        <v>2</v>
      </c>
      <c r="K6633" t="s">
        <v>6698</v>
      </c>
      <c r="L6633" t="s">
        <v>6695</v>
      </c>
      <c r="O6633" t="s">
        <v>6694</v>
      </c>
      <c r="V6633" t="s">
        <v>6694</v>
      </c>
      <c r="W6633" t="s">
        <v>6720</v>
      </c>
    </row>
    <row r="6634" spans="1:23" ht="15.6" x14ac:dyDescent="0.4">
      <c r="A6634" s="2" t="s">
        <v>4392</v>
      </c>
      <c r="B6634" s="5" t="s">
        <v>12503</v>
      </c>
      <c r="C6634" s="7" t="s">
        <v>12556</v>
      </c>
      <c r="D6634" s="8">
        <f t="shared" si="416"/>
        <v>0</v>
      </c>
      <c r="E6634" s="7" t="s">
        <v>12557</v>
      </c>
      <c r="F6634" s="7">
        <f t="shared" si="417"/>
        <v>1</v>
      </c>
      <c r="G6634" s="7" t="s">
        <v>12558</v>
      </c>
      <c r="H6634" s="7">
        <f t="shared" si="418"/>
        <v>0</v>
      </c>
      <c r="I6634" s="7" t="str" cm="1">
        <f t="array" ref="I6634">IFERROR(_xlfn.IFS(M6634="נח",1,M6634="נע ונח",1,M6634="שני שווא נח",2,M6634="שני שוואים בסוף מילה",2,M6634="שני שוואים ברצף",1),"0")</f>
        <v>0</v>
      </c>
      <c r="J6634" s="9">
        <f t="shared" si="419"/>
        <v>2</v>
      </c>
      <c r="K6634" t="s">
        <v>6698</v>
      </c>
      <c r="L6634" t="s">
        <v>6695</v>
      </c>
      <c r="O6634" t="s">
        <v>6694</v>
      </c>
      <c r="S6634" t="s">
        <v>6694</v>
      </c>
      <c r="W6634" t="s">
        <v>6720</v>
      </c>
    </row>
    <row r="6635" spans="1:23" ht="15.6" x14ac:dyDescent="0.4">
      <c r="A6635" s="2" t="s">
        <v>5784</v>
      </c>
      <c r="B6635" s="5" t="s">
        <v>12504</v>
      </c>
      <c r="C6635" s="7" t="s">
        <v>12556</v>
      </c>
      <c r="D6635" s="8">
        <f t="shared" si="416"/>
        <v>0</v>
      </c>
      <c r="E6635" s="7" t="s">
        <v>12557</v>
      </c>
      <c r="F6635" s="7">
        <f t="shared" si="417"/>
        <v>1</v>
      </c>
      <c r="G6635" s="7" t="s">
        <v>12558</v>
      </c>
      <c r="H6635" s="7">
        <f t="shared" si="418"/>
        <v>0</v>
      </c>
      <c r="I6635" s="7" t="str" cm="1">
        <f t="array" ref="I6635">IFERROR(_xlfn.IFS(M6635="נח",1,M6635="נע ונח",1,M6635="שני שווא נח",2,M6635="שני שוואים בסוף מילה",2,M6635="שני שוואים ברצף",1),"0")</f>
        <v>0</v>
      </c>
      <c r="J6635" s="9">
        <f t="shared" si="419"/>
        <v>2</v>
      </c>
      <c r="K6635" t="s">
        <v>6698</v>
      </c>
      <c r="L6635" t="s">
        <v>6695</v>
      </c>
      <c r="O6635" t="s">
        <v>6694</v>
      </c>
      <c r="S6635" t="s">
        <v>6694</v>
      </c>
      <c r="W6635" t="s">
        <v>6720</v>
      </c>
    </row>
    <row r="6636" spans="1:23" ht="15.6" x14ac:dyDescent="0.4">
      <c r="A6636" s="2" t="s">
        <v>915</v>
      </c>
      <c r="B6636" s="5" t="s">
        <v>12505</v>
      </c>
      <c r="C6636" s="7" t="s">
        <v>12556</v>
      </c>
      <c r="D6636" s="8">
        <f t="shared" si="416"/>
        <v>0</v>
      </c>
      <c r="E6636" s="7" t="s">
        <v>12557</v>
      </c>
      <c r="F6636" s="7">
        <f t="shared" si="417"/>
        <v>1</v>
      </c>
      <c r="G6636" s="7" t="s">
        <v>12558</v>
      </c>
      <c r="H6636" s="7">
        <f t="shared" si="418"/>
        <v>0</v>
      </c>
      <c r="I6636" s="7" t="str" cm="1">
        <f t="array" ref="I6636">IFERROR(_xlfn.IFS(M6636="נח",1,M6636="נע ונח",1,M6636="שני שווא נח",2,M6636="שני שוואים בסוף מילה",2,M6636="שני שוואים ברצף",1),"0")</f>
        <v>0</v>
      </c>
      <c r="J6636" s="9">
        <f t="shared" si="419"/>
        <v>2</v>
      </c>
      <c r="K6636" t="s">
        <v>6698</v>
      </c>
      <c r="L6636" t="s">
        <v>6695</v>
      </c>
      <c r="O6636" t="s">
        <v>6694</v>
      </c>
      <c r="S6636" t="s">
        <v>6694</v>
      </c>
      <c r="W6636" t="s">
        <v>6720</v>
      </c>
    </row>
    <row r="6637" spans="1:23" ht="15.6" x14ac:dyDescent="0.4">
      <c r="A6637" s="2" t="s">
        <v>5931</v>
      </c>
      <c r="B6637" s="5" t="s">
        <v>12506</v>
      </c>
      <c r="C6637" s="7" t="s">
        <v>12556</v>
      </c>
      <c r="D6637" s="8">
        <f t="shared" si="416"/>
        <v>0</v>
      </c>
      <c r="E6637" s="7" t="s">
        <v>12557</v>
      </c>
      <c r="F6637" s="7">
        <f t="shared" si="417"/>
        <v>2</v>
      </c>
      <c r="G6637" s="7" t="s">
        <v>12558</v>
      </c>
      <c r="H6637" s="7">
        <f t="shared" si="418"/>
        <v>1</v>
      </c>
      <c r="I6637" s="7" t="str" cm="1">
        <f t="array" ref="I6637">IFERROR(_xlfn.IFS(M6637="נח",1,M6637="נע ונח",1,M6637="שני שווא נח",2,M6637="שני שוואים בסוף מילה",2,M6637="שני שוואים ברצף",1),"0")</f>
        <v>0</v>
      </c>
      <c r="J6637" s="9">
        <f t="shared" si="419"/>
        <v>3</v>
      </c>
      <c r="K6637" t="s">
        <v>6697</v>
      </c>
      <c r="L6637" t="s">
        <v>6695</v>
      </c>
      <c r="O6637" t="s">
        <v>6694</v>
      </c>
      <c r="S6637" t="s">
        <v>6694</v>
      </c>
      <c r="U6637" t="s">
        <v>6694</v>
      </c>
      <c r="W6637" t="s">
        <v>6720</v>
      </c>
    </row>
    <row r="6638" spans="1:23" ht="15.6" x14ac:dyDescent="0.4">
      <c r="A6638" s="2" t="s">
        <v>4334</v>
      </c>
      <c r="B6638" s="5" t="s">
        <v>12507</v>
      </c>
      <c r="C6638" s="7" t="s">
        <v>12556</v>
      </c>
      <c r="D6638" s="8">
        <f t="shared" si="416"/>
        <v>0</v>
      </c>
      <c r="E6638" s="7" t="s">
        <v>12557</v>
      </c>
      <c r="F6638" s="7">
        <f t="shared" si="417"/>
        <v>1</v>
      </c>
      <c r="G6638" s="7" t="s">
        <v>12558</v>
      </c>
      <c r="H6638" s="7">
        <f t="shared" si="418"/>
        <v>0</v>
      </c>
      <c r="I6638" s="7" t="str" cm="1">
        <f t="array" ref="I6638">IFERROR(_xlfn.IFS(M6638="נח",1,M6638="נע ונח",1,M6638="שני שווא נח",2,M6638="שני שוואים בסוף מילה",2,M6638="שני שוואים ברצף",1),"0")</f>
        <v>0</v>
      </c>
      <c r="J6638" s="9">
        <f t="shared" si="419"/>
        <v>1</v>
      </c>
      <c r="K6638" t="s">
        <v>6698</v>
      </c>
      <c r="L6638" t="s">
        <v>6695</v>
      </c>
      <c r="N6638" t="s">
        <v>6706</v>
      </c>
      <c r="O6638" t="s">
        <v>6694</v>
      </c>
      <c r="W6638" t="s">
        <v>6720</v>
      </c>
    </row>
    <row r="6639" spans="1:23" ht="15.6" x14ac:dyDescent="0.4">
      <c r="A6639" s="2" t="s">
        <v>5370</v>
      </c>
      <c r="B6639" s="5" t="s">
        <v>12508</v>
      </c>
      <c r="C6639" s="7" t="s">
        <v>12556</v>
      </c>
      <c r="D6639" s="8">
        <f t="shared" si="416"/>
        <v>0</v>
      </c>
      <c r="E6639" s="7" t="s">
        <v>12557</v>
      </c>
      <c r="F6639" s="7">
        <f t="shared" si="417"/>
        <v>1</v>
      </c>
      <c r="G6639" s="7" t="s">
        <v>12558</v>
      </c>
      <c r="H6639" s="7">
        <f t="shared" si="418"/>
        <v>0</v>
      </c>
      <c r="I6639" s="7" cm="1">
        <f t="array" ref="I6639">IFERROR(_xlfn.IFS(M6639="נח",1,M6639="נע ונח",1,M6639="שני שווא נח",2,M6639="שני שוואים בסוף מילה",2,M6639="שני שוואים ברצף",1),"0")</f>
        <v>1</v>
      </c>
      <c r="J6639" s="9">
        <f t="shared" si="419"/>
        <v>2</v>
      </c>
      <c r="K6639" t="s">
        <v>6697</v>
      </c>
      <c r="L6639" t="s">
        <v>6694</v>
      </c>
      <c r="M6639" t="s">
        <v>6705</v>
      </c>
      <c r="N6639" t="s">
        <v>6706</v>
      </c>
      <c r="O6639" t="s">
        <v>6694</v>
      </c>
      <c r="W6639" t="s">
        <v>6720</v>
      </c>
    </row>
    <row r="6640" spans="1:23" ht="15.6" x14ac:dyDescent="0.4">
      <c r="A6640" s="2" t="s">
        <v>461</v>
      </c>
      <c r="B6640" s="5" t="s">
        <v>12277</v>
      </c>
      <c r="C6640" s="7" t="s">
        <v>12556</v>
      </c>
      <c r="D6640" s="8">
        <f t="shared" si="416"/>
        <v>0</v>
      </c>
      <c r="E6640" s="7" t="s">
        <v>12557</v>
      </c>
      <c r="F6640" s="7">
        <f t="shared" si="417"/>
        <v>1</v>
      </c>
      <c r="G6640" s="7" t="s">
        <v>12558</v>
      </c>
      <c r="H6640" s="7">
        <f t="shared" si="418"/>
        <v>0</v>
      </c>
      <c r="I6640" s="7" t="str" cm="1">
        <f t="array" ref="I6640">IFERROR(_xlfn.IFS(M6640="נח",1,M6640="נע ונח",1,M6640="שני שווא נח",2,M6640="שני שוואים בסוף מילה",2,M6640="שני שוואים ברצף",1),"0")</f>
        <v>0</v>
      </c>
      <c r="J6640" s="9">
        <f t="shared" si="419"/>
        <v>2</v>
      </c>
      <c r="K6640" t="s">
        <v>6698</v>
      </c>
      <c r="L6640" t="s">
        <v>6695</v>
      </c>
      <c r="O6640" t="s">
        <v>6694</v>
      </c>
      <c r="S6640" t="s">
        <v>6694</v>
      </c>
      <c r="W6640" t="s">
        <v>6720</v>
      </c>
    </row>
    <row r="6641" spans="1:23" ht="15.6" x14ac:dyDescent="0.4">
      <c r="A6641" s="2" t="s">
        <v>2022</v>
      </c>
      <c r="B6641" s="5" t="s">
        <v>12278</v>
      </c>
      <c r="C6641" s="7" t="s">
        <v>12556</v>
      </c>
      <c r="D6641" s="8">
        <f t="shared" si="416"/>
        <v>0</v>
      </c>
      <c r="E6641" s="7" t="s">
        <v>12557</v>
      </c>
      <c r="F6641" s="7">
        <f t="shared" si="417"/>
        <v>1</v>
      </c>
      <c r="G6641" s="7" t="s">
        <v>12558</v>
      </c>
      <c r="H6641" s="7">
        <f t="shared" si="418"/>
        <v>0</v>
      </c>
      <c r="I6641" s="7" t="str" cm="1">
        <f t="array" ref="I6641">IFERROR(_xlfn.IFS(M6641="נח",1,M6641="נע ונח",1,M6641="שני שווא נח",2,M6641="שני שוואים בסוף מילה",2,M6641="שני שוואים ברצף",1),"0")</f>
        <v>0</v>
      </c>
      <c r="J6641" s="9">
        <f t="shared" si="419"/>
        <v>2</v>
      </c>
      <c r="K6641" t="s">
        <v>6698</v>
      </c>
      <c r="L6641" t="s">
        <v>6695</v>
      </c>
      <c r="O6641" t="s">
        <v>6694</v>
      </c>
      <c r="S6641" t="s">
        <v>6694</v>
      </c>
      <c r="W6641" t="s">
        <v>6720</v>
      </c>
    </row>
    <row r="6642" spans="1:23" ht="15.6" x14ac:dyDescent="0.4">
      <c r="A6642" s="2" t="s">
        <v>817</v>
      </c>
      <c r="B6642" s="5" t="s">
        <v>12509</v>
      </c>
      <c r="C6642" s="7" t="s">
        <v>12556</v>
      </c>
      <c r="D6642" s="8">
        <f t="shared" si="416"/>
        <v>0</v>
      </c>
      <c r="E6642" s="7" t="s">
        <v>12557</v>
      </c>
      <c r="F6642" s="7">
        <f t="shared" si="417"/>
        <v>2</v>
      </c>
      <c r="G6642" s="7" t="s">
        <v>12558</v>
      </c>
      <c r="H6642" s="7">
        <f t="shared" si="418"/>
        <v>0</v>
      </c>
      <c r="I6642" s="7" cm="1">
        <f t="array" ref="I6642">IFERROR(_xlfn.IFS(M6642="נח",1,M6642="נע ונח",1,M6642="שני שווא נח",2,M6642="שני שוואים בסוף מילה",2,M6642="שני שוואים ברצף",1),"0")</f>
        <v>1</v>
      </c>
      <c r="J6642" s="9">
        <f t="shared" si="419"/>
        <v>3</v>
      </c>
      <c r="K6642" t="s">
        <v>6698</v>
      </c>
      <c r="L6642" t="s">
        <v>6694</v>
      </c>
      <c r="M6642" t="s">
        <v>6705</v>
      </c>
      <c r="O6642" t="s">
        <v>6694</v>
      </c>
      <c r="P6642" t="s">
        <v>6694</v>
      </c>
      <c r="W6642" t="s">
        <v>6720</v>
      </c>
    </row>
    <row r="6643" spans="1:23" ht="15.6" x14ac:dyDescent="0.4">
      <c r="A6643" s="2" t="s">
        <v>3783</v>
      </c>
      <c r="B6643" s="5" t="s">
        <v>12510</v>
      </c>
      <c r="C6643" s="7" t="s">
        <v>12556</v>
      </c>
      <c r="D6643" s="8">
        <f t="shared" si="416"/>
        <v>0</v>
      </c>
      <c r="E6643" s="7" t="s">
        <v>12557</v>
      </c>
      <c r="F6643" s="7">
        <f t="shared" si="417"/>
        <v>2</v>
      </c>
      <c r="G6643" s="7" t="s">
        <v>12558</v>
      </c>
      <c r="H6643" s="7">
        <f t="shared" si="418"/>
        <v>1</v>
      </c>
      <c r="I6643" s="7" t="str" cm="1">
        <f t="array" ref="I6643">IFERROR(_xlfn.IFS(M6643="נח",1,M6643="נע ונח",1,M6643="שני שווא נח",2,M6643="שני שוואים בסוף מילה",2,M6643="שני שוואים ברצף",1),"0")</f>
        <v>0</v>
      </c>
      <c r="J6643" s="9">
        <f t="shared" si="419"/>
        <v>2</v>
      </c>
      <c r="K6643" t="s">
        <v>6698</v>
      </c>
      <c r="L6643" t="s">
        <v>6695</v>
      </c>
      <c r="O6643" t="s">
        <v>6694</v>
      </c>
      <c r="U6643" t="s">
        <v>6694</v>
      </c>
      <c r="W6643" t="s">
        <v>6720</v>
      </c>
    </row>
    <row r="6644" spans="1:23" ht="15.6" x14ac:dyDescent="0.4">
      <c r="A6644" s="2" t="s">
        <v>4502</v>
      </c>
      <c r="B6644" s="5" t="s">
        <v>12511</v>
      </c>
      <c r="C6644" s="7" t="s">
        <v>12556</v>
      </c>
      <c r="D6644" s="8">
        <f t="shared" si="416"/>
        <v>0</v>
      </c>
      <c r="E6644" s="7" t="s">
        <v>12557</v>
      </c>
      <c r="F6644" s="7">
        <f t="shared" si="417"/>
        <v>1</v>
      </c>
      <c r="G6644" s="7" t="s">
        <v>12558</v>
      </c>
      <c r="H6644" s="7">
        <f t="shared" si="418"/>
        <v>0</v>
      </c>
      <c r="I6644" s="7" t="str" cm="1">
        <f t="array" ref="I6644">IFERROR(_xlfn.IFS(M6644="נח",1,M6644="נע ונח",1,M6644="שני שווא נח",2,M6644="שני שוואים בסוף מילה",2,M6644="שני שוואים ברצף",1),"0")</f>
        <v>0</v>
      </c>
      <c r="J6644" s="9">
        <f t="shared" si="419"/>
        <v>2</v>
      </c>
      <c r="K6644" t="s">
        <v>6698</v>
      </c>
      <c r="L6644" t="s">
        <v>6695</v>
      </c>
      <c r="O6644" t="s">
        <v>6694</v>
      </c>
      <c r="S6644" t="s">
        <v>6694</v>
      </c>
      <c r="W6644" t="s">
        <v>6720</v>
      </c>
    </row>
    <row r="6645" spans="1:23" ht="15.6" x14ac:dyDescent="0.4">
      <c r="A6645" s="2" t="s">
        <v>2229</v>
      </c>
      <c r="B6645" s="5" t="s">
        <v>12512</v>
      </c>
      <c r="C6645" s="7" t="s">
        <v>12556</v>
      </c>
      <c r="D6645" s="8">
        <f t="shared" si="416"/>
        <v>0</v>
      </c>
      <c r="E6645" s="7" t="s">
        <v>12557</v>
      </c>
      <c r="F6645" s="7">
        <f t="shared" si="417"/>
        <v>2</v>
      </c>
      <c r="G6645" s="7" t="s">
        <v>12558</v>
      </c>
      <c r="H6645" s="7">
        <f t="shared" si="418"/>
        <v>1</v>
      </c>
      <c r="I6645" s="7" t="str" cm="1">
        <f t="array" ref="I6645">IFERROR(_xlfn.IFS(M6645="נח",1,M6645="נע ונח",1,M6645="שני שווא נח",2,M6645="שני שוואים בסוף מילה",2,M6645="שני שוואים ברצף",1),"0")</f>
        <v>0</v>
      </c>
      <c r="J6645" s="9">
        <f t="shared" si="419"/>
        <v>2</v>
      </c>
      <c r="K6645" t="s">
        <v>6698</v>
      </c>
      <c r="L6645" t="s">
        <v>6695</v>
      </c>
      <c r="O6645" t="s">
        <v>6694</v>
      </c>
      <c r="U6645" t="s">
        <v>6694</v>
      </c>
      <c r="W6645" t="s">
        <v>6720</v>
      </c>
    </row>
    <row r="6646" spans="1:23" ht="15.6" x14ac:dyDescent="0.4">
      <c r="A6646" s="2" t="s">
        <v>5816</v>
      </c>
      <c r="B6646" s="5" t="s">
        <v>12513</v>
      </c>
      <c r="C6646" s="7" t="s">
        <v>12556</v>
      </c>
      <c r="D6646" s="8">
        <f t="shared" si="416"/>
        <v>0</v>
      </c>
      <c r="E6646" s="7" t="s">
        <v>12557</v>
      </c>
      <c r="F6646" s="7">
        <f t="shared" si="417"/>
        <v>1</v>
      </c>
      <c r="G6646" s="7" t="s">
        <v>12558</v>
      </c>
      <c r="H6646" s="7">
        <f t="shared" si="418"/>
        <v>0</v>
      </c>
      <c r="I6646" s="7" t="str" cm="1">
        <f t="array" ref="I6646">IFERROR(_xlfn.IFS(M6646="נח",1,M6646="נע ונח",1,M6646="שני שווא נח",2,M6646="שני שוואים בסוף מילה",2,M6646="שני שוואים ברצף",1),"0")</f>
        <v>0</v>
      </c>
      <c r="J6646" s="9">
        <f t="shared" si="419"/>
        <v>2</v>
      </c>
      <c r="K6646" t="s">
        <v>6698</v>
      </c>
      <c r="L6646" t="s">
        <v>6695</v>
      </c>
      <c r="O6646" t="s">
        <v>6694</v>
      </c>
      <c r="V6646" t="s">
        <v>6694</v>
      </c>
      <c r="W6646" t="s">
        <v>6720</v>
      </c>
    </row>
    <row r="6647" spans="1:23" ht="15.6" x14ac:dyDescent="0.4">
      <c r="A6647" s="2" t="s">
        <v>1520</v>
      </c>
      <c r="B6647" s="5" t="s">
        <v>12514</v>
      </c>
      <c r="C6647" s="7" t="s">
        <v>12556</v>
      </c>
      <c r="D6647" s="8">
        <f t="shared" si="416"/>
        <v>0</v>
      </c>
      <c r="E6647" s="7" t="s">
        <v>12557</v>
      </c>
      <c r="F6647" s="7">
        <f t="shared" si="417"/>
        <v>2</v>
      </c>
      <c r="G6647" s="7" t="s">
        <v>12558</v>
      </c>
      <c r="H6647" s="7">
        <f t="shared" si="418"/>
        <v>1</v>
      </c>
      <c r="I6647" s="7" t="str" cm="1">
        <f t="array" ref="I6647">IFERROR(_xlfn.IFS(M6647="נח",1,M6647="נע ונח",1,M6647="שני שווא נח",2,M6647="שני שוואים בסוף מילה",2,M6647="שני שוואים ברצף",1),"0")</f>
        <v>0</v>
      </c>
      <c r="J6647" s="9">
        <f t="shared" si="419"/>
        <v>2</v>
      </c>
      <c r="K6647" t="s">
        <v>6697</v>
      </c>
      <c r="L6647" t="s">
        <v>6695</v>
      </c>
      <c r="O6647" t="s">
        <v>6694</v>
      </c>
      <c r="U6647" t="s">
        <v>6694</v>
      </c>
      <c r="W6647" t="s">
        <v>6720</v>
      </c>
    </row>
    <row r="6648" spans="1:23" ht="15.6" x14ac:dyDescent="0.4">
      <c r="A6648" s="2" t="s">
        <v>5116</v>
      </c>
      <c r="B6648" s="5" t="s">
        <v>12515</v>
      </c>
      <c r="C6648" s="7" t="s">
        <v>12556</v>
      </c>
      <c r="D6648" s="8">
        <f t="shared" si="416"/>
        <v>0</v>
      </c>
      <c r="E6648" s="7" t="s">
        <v>12557</v>
      </c>
      <c r="F6648" s="7">
        <f t="shared" si="417"/>
        <v>1</v>
      </c>
      <c r="G6648" s="7" t="s">
        <v>12558</v>
      </c>
      <c r="H6648" s="7">
        <f t="shared" si="418"/>
        <v>0</v>
      </c>
      <c r="I6648" s="7" t="str" cm="1">
        <f t="array" ref="I6648">IFERROR(_xlfn.IFS(M6648="נח",1,M6648="נע ונח",1,M6648="שני שווא נח",2,M6648="שני שוואים בסוף מילה",2,M6648="שני שוואים ברצף",1),"0")</f>
        <v>0</v>
      </c>
      <c r="J6648" s="9">
        <f t="shared" si="419"/>
        <v>2</v>
      </c>
      <c r="K6648" t="s">
        <v>6698</v>
      </c>
      <c r="L6648" t="s">
        <v>6695</v>
      </c>
      <c r="O6648" t="s">
        <v>6694</v>
      </c>
      <c r="Q6648" t="s">
        <v>6694</v>
      </c>
      <c r="W6648" t="s">
        <v>6720</v>
      </c>
    </row>
    <row r="6649" spans="1:23" ht="15.6" x14ac:dyDescent="0.4">
      <c r="A6649" s="2" t="s">
        <v>2616</v>
      </c>
      <c r="B6649" s="5" t="s">
        <v>12516</v>
      </c>
      <c r="C6649" s="7" t="s">
        <v>12556</v>
      </c>
      <c r="D6649" s="8">
        <f t="shared" si="416"/>
        <v>0</v>
      </c>
      <c r="E6649" s="7" t="s">
        <v>12557</v>
      </c>
      <c r="F6649" s="7">
        <f t="shared" si="417"/>
        <v>2</v>
      </c>
      <c r="G6649" s="7" t="s">
        <v>12558</v>
      </c>
      <c r="H6649" s="7">
        <f t="shared" si="418"/>
        <v>1</v>
      </c>
      <c r="I6649" s="7" t="str" cm="1">
        <f t="array" ref="I6649">IFERROR(_xlfn.IFS(M6649="נח",1,M6649="נע ונח",1,M6649="שני שווא נח",2,M6649="שני שוואים בסוף מילה",2,M6649="שני שוואים ברצף",1),"0")</f>
        <v>0</v>
      </c>
      <c r="J6649" s="9">
        <f t="shared" si="419"/>
        <v>2</v>
      </c>
      <c r="K6649" t="s">
        <v>6698</v>
      </c>
      <c r="L6649" t="s">
        <v>6695</v>
      </c>
      <c r="O6649" t="s">
        <v>6694</v>
      </c>
      <c r="U6649" t="s">
        <v>6694</v>
      </c>
      <c r="W6649" t="s">
        <v>6720</v>
      </c>
    </row>
    <row r="6650" spans="1:23" ht="15.6" x14ac:dyDescent="0.4">
      <c r="A6650" s="2" t="s">
        <v>4666</v>
      </c>
      <c r="B6650" s="5" t="s">
        <v>12517</v>
      </c>
      <c r="C6650" s="7" t="s">
        <v>12556</v>
      </c>
      <c r="D6650" s="8">
        <f t="shared" si="416"/>
        <v>0</v>
      </c>
      <c r="E6650" s="7" t="s">
        <v>12557</v>
      </c>
      <c r="F6650" s="7">
        <f t="shared" si="417"/>
        <v>2</v>
      </c>
      <c r="G6650" s="7" t="s">
        <v>12558</v>
      </c>
      <c r="H6650" s="7">
        <f t="shared" si="418"/>
        <v>1</v>
      </c>
      <c r="I6650" s="7" t="str" cm="1">
        <f t="array" ref="I6650">IFERROR(_xlfn.IFS(M6650="נח",1,M6650="נע ונח",1,M6650="שני שווא נח",2,M6650="שני שוואים בסוף מילה",2,M6650="שני שוואים ברצף",1),"0")</f>
        <v>0</v>
      </c>
      <c r="J6650" s="9">
        <f t="shared" si="419"/>
        <v>3</v>
      </c>
      <c r="K6650" t="s">
        <v>6697</v>
      </c>
      <c r="L6650" t="s">
        <v>6695</v>
      </c>
      <c r="O6650" t="s">
        <v>6694</v>
      </c>
      <c r="S6650" t="s">
        <v>6694</v>
      </c>
      <c r="U6650" t="s">
        <v>6694</v>
      </c>
      <c r="W6650" t="s">
        <v>6720</v>
      </c>
    </row>
    <row r="6651" spans="1:23" ht="15.6" x14ac:dyDescent="0.4">
      <c r="A6651" s="2" t="s">
        <v>6147</v>
      </c>
      <c r="B6651" s="5" t="s">
        <v>12518</v>
      </c>
      <c r="C6651" s="7" t="s">
        <v>12556</v>
      </c>
      <c r="D6651" s="8">
        <f t="shared" si="416"/>
        <v>0</v>
      </c>
      <c r="E6651" s="7" t="s">
        <v>12557</v>
      </c>
      <c r="F6651" s="7">
        <f t="shared" si="417"/>
        <v>2</v>
      </c>
      <c r="G6651" s="7" t="s">
        <v>12558</v>
      </c>
      <c r="H6651" s="7">
        <f t="shared" si="418"/>
        <v>1</v>
      </c>
      <c r="I6651" s="7" t="str" cm="1">
        <f t="array" ref="I6651">IFERROR(_xlfn.IFS(M6651="נח",1,M6651="נע ונח",1,M6651="שני שווא נח",2,M6651="שני שוואים בסוף מילה",2,M6651="שני שוואים ברצף",1),"0")</f>
        <v>0</v>
      </c>
      <c r="J6651" s="9">
        <f t="shared" si="419"/>
        <v>3</v>
      </c>
      <c r="K6651" t="s">
        <v>6697</v>
      </c>
      <c r="L6651" t="s">
        <v>6695</v>
      </c>
      <c r="O6651" t="s">
        <v>6694</v>
      </c>
      <c r="Q6651" t="s">
        <v>6694</v>
      </c>
      <c r="U6651" t="s">
        <v>6694</v>
      </c>
      <c r="W6651" t="s">
        <v>6720</v>
      </c>
    </row>
    <row r="6652" spans="1:23" ht="15.6" x14ac:dyDescent="0.4">
      <c r="A6652" s="2" t="s">
        <v>3605</v>
      </c>
      <c r="B6652" s="5" t="s">
        <v>12519</v>
      </c>
      <c r="C6652" s="7" t="s">
        <v>12556</v>
      </c>
      <c r="D6652" s="8">
        <f t="shared" si="416"/>
        <v>0</v>
      </c>
      <c r="E6652" s="7" t="s">
        <v>12557</v>
      </c>
      <c r="F6652" s="7">
        <f t="shared" si="417"/>
        <v>1</v>
      </c>
      <c r="G6652" s="7" t="s">
        <v>12558</v>
      </c>
      <c r="H6652" s="7">
        <f t="shared" si="418"/>
        <v>0</v>
      </c>
      <c r="I6652" s="7" t="str" cm="1">
        <f t="array" ref="I6652">IFERROR(_xlfn.IFS(M6652="נח",1,M6652="נע ונח",1,M6652="שני שווא נח",2,M6652="שני שוואים בסוף מילה",2,M6652="שני שוואים ברצף",1),"0")</f>
        <v>0</v>
      </c>
      <c r="J6652" s="9">
        <f t="shared" si="419"/>
        <v>2</v>
      </c>
      <c r="K6652" t="s">
        <v>6697</v>
      </c>
      <c r="L6652" t="s">
        <v>6695</v>
      </c>
      <c r="O6652" t="s">
        <v>6694</v>
      </c>
      <c r="P6652" t="s">
        <v>6694</v>
      </c>
      <c r="W6652" t="s">
        <v>6720</v>
      </c>
    </row>
    <row r="6653" spans="1:23" ht="15.6" x14ac:dyDescent="0.4">
      <c r="A6653" s="2" t="s">
        <v>1209</v>
      </c>
      <c r="B6653" s="5" t="s">
        <v>12520</v>
      </c>
      <c r="C6653" s="7" t="s">
        <v>12556</v>
      </c>
      <c r="D6653" s="8">
        <f t="shared" si="416"/>
        <v>0</v>
      </c>
      <c r="E6653" s="7" t="s">
        <v>12557</v>
      </c>
      <c r="F6653" s="7">
        <f t="shared" si="417"/>
        <v>2</v>
      </c>
      <c r="G6653" s="7" t="s">
        <v>12558</v>
      </c>
      <c r="H6653" s="7">
        <f t="shared" si="418"/>
        <v>1</v>
      </c>
      <c r="I6653" s="7" t="str" cm="1">
        <f t="array" ref="I6653">IFERROR(_xlfn.IFS(M6653="נח",1,M6653="נע ונח",1,M6653="שני שווא נח",2,M6653="שני שוואים בסוף מילה",2,M6653="שני שוואים ברצף",1),"0")</f>
        <v>0</v>
      </c>
      <c r="J6653" s="9">
        <f t="shared" si="419"/>
        <v>2</v>
      </c>
      <c r="K6653" t="s">
        <v>6698</v>
      </c>
      <c r="L6653" t="s">
        <v>6695</v>
      </c>
      <c r="O6653" t="s">
        <v>6694</v>
      </c>
      <c r="U6653" t="s">
        <v>6694</v>
      </c>
      <c r="W6653" t="s">
        <v>6720</v>
      </c>
    </row>
    <row r="6654" spans="1:23" ht="15.6" x14ac:dyDescent="0.4">
      <c r="A6654" s="2" t="s">
        <v>3324</v>
      </c>
      <c r="B6654" s="5" t="s">
        <v>12521</v>
      </c>
      <c r="C6654" s="7" t="s">
        <v>12556</v>
      </c>
      <c r="D6654" s="8">
        <f t="shared" si="416"/>
        <v>1</v>
      </c>
      <c r="E6654" s="7" t="s">
        <v>12557</v>
      </c>
      <c r="F6654" s="7">
        <f t="shared" si="417"/>
        <v>1</v>
      </c>
      <c r="G6654" s="7" t="s">
        <v>12558</v>
      </c>
      <c r="H6654" s="7">
        <f t="shared" si="418"/>
        <v>0</v>
      </c>
      <c r="I6654" s="7" t="str" cm="1">
        <f t="array" ref="I6654">IFERROR(_xlfn.IFS(M6654="נח",1,M6654="נע ונח",1,M6654="שני שווא נח",2,M6654="שני שוואים בסוף מילה",2,M6654="שני שוואים ברצף",1),"0")</f>
        <v>0</v>
      </c>
      <c r="J6654" s="9">
        <f t="shared" si="419"/>
        <v>2</v>
      </c>
      <c r="K6654" t="s">
        <v>6698</v>
      </c>
      <c r="L6654" t="s">
        <v>6695</v>
      </c>
      <c r="O6654" t="s">
        <v>6694</v>
      </c>
      <c r="S6654" t="s">
        <v>6694</v>
      </c>
      <c r="W6654" t="s">
        <v>6720</v>
      </c>
    </row>
    <row r="6655" spans="1:23" ht="15.6" x14ac:dyDescent="0.4">
      <c r="A6655" s="2" t="s">
        <v>4318</v>
      </c>
      <c r="B6655" s="5" t="s">
        <v>12522</v>
      </c>
      <c r="C6655" s="7" t="s">
        <v>12556</v>
      </c>
      <c r="D6655" s="8">
        <f t="shared" si="416"/>
        <v>1</v>
      </c>
      <c r="E6655" s="7" t="s">
        <v>12557</v>
      </c>
      <c r="F6655" s="7">
        <f t="shared" si="417"/>
        <v>2</v>
      </c>
      <c r="G6655" s="7" t="s">
        <v>12558</v>
      </c>
      <c r="H6655" s="7">
        <f t="shared" si="418"/>
        <v>1</v>
      </c>
      <c r="I6655" s="7" t="str" cm="1">
        <f t="array" ref="I6655">IFERROR(_xlfn.IFS(M6655="נח",1,M6655="נע ונח",1,M6655="שני שווא נח",2,M6655="שני שוואים בסוף מילה",2,M6655="שני שוואים ברצף",1),"0")</f>
        <v>0</v>
      </c>
      <c r="J6655" s="9">
        <f t="shared" si="419"/>
        <v>3</v>
      </c>
      <c r="K6655" t="s">
        <v>6697</v>
      </c>
      <c r="L6655" t="s">
        <v>6695</v>
      </c>
      <c r="O6655" t="s">
        <v>6694</v>
      </c>
      <c r="S6655" t="s">
        <v>6694</v>
      </c>
      <c r="U6655" t="s">
        <v>6694</v>
      </c>
      <c r="W6655" t="s">
        <v>6720</v>
      </c>
    </row>
    <row r="6656" spans="1:23" ht="15.6" x14ac:dyDescent="0.4">
      <c r="A6656" s="2" t="s">
        <v>712</v>
      </c>
      <c r="B6656" s="5" t="s">
        <v>12523</v>
      </c>
      <c r="C6656" s="7" t="s">
        <v>12556</v>
      </c>
      <c r="D6656" s="8">
        <f t="shared" si="416"/>
        <v>1</v>
      </c>
      <c r="E6656" s="7" t="s">
        <v>12557</v>
      </c>
      <c r="F6656" s="7">
        <f t="shared" si="417"/>
        <v>1</v>
      </c>
      <c r="G6656" s="7" t="s">
        <v>12558</v>
      </c>
      <c r="H6656" s="7">
        <f t="shared" si="418"/>
        <v>0</v>
      </c>
      <c r="I6656" s="7" t="str" cm="1">
        <f t="array" ref="I6656">IFERROR(_xlfn.IFS(M6656="נח",1,M6656="נע ונח",1,M6656="שני שווא נח",2,M6656="שני שוואים בסוף מילה",2,M6656="שני שוואים ברצף",1),"0")</f>
        <v>0</v>
      </c>
      <c r="J6656" s="9">
        <f t="shared" si="419"/>
        <v>2</v>
      </c>
      <c r="K6656" t="s">
        <v>6698</v>
      </c>
      <c r="L6656" t="s">
        <v>6695</v>
      </c>
      <c r="O6656" t="s">
        <v>6694</v>
      </c>
      <c r="R6656" t="s">
        <v>6694</v>
      </c>
      <c r="W6656" t="s">
        <v>6720</v>
      </c>
    </row>
    <row r="6657" spans="1:23" ht="15.6" x14ac:dyDescent="0.4">
      <c r="A6657" s="2" t="s">
        <v>537</v>
      </c>
      <c r="B6657" s="5" t="s">
        <v>12282</v>
      </c>
      <c r="C6657" s="7" t="s">
        <v>12556</v>
      </c>
      <c r="D6657" s="8">
        <f t="shared" si="416"/>
        <v>1</v>
      </c>
      <c r="E6657" s="7" t="s">
        <v>12557</v>
      </c>
      <c r="F6657" s="7">
        <f t="shared" si="417"/>
        <v>2</v>
      </c>
      <c r="G6657" s="7" t="s">
        <v>12558</v>
      </c>
      <c r="H6657" s="7">
        <f t="shared" si="418"/>
        <v>1</v>
      </c>
      <c r="I6657" s="7" t="str" cm="1">
        <f t="array" ref="I6657">IFERROR(_xlfn.IFS(M6657="נח",1,M6657="נע ונח",1,M6657="שני שווא נח",2,M6657="שני שוואים בסוף מילה",2,M6657="שני שוואים ברצף",1),"0")</f>
        <v>0</v>
      </c>
      <c r="J6657" s="9">
        <f t="shared" si="419"/>
        <v>2</v>
      </c>
      <c r="K6657" t="s">
        <v>6698</v>
      </c>
      <c r="L6657" t="s">
        <v>6695</v>
      </c>
      <c r="O6657" t="s">
        <v>6694</v>
      </c>
      <c r="U6657" t="s">
        <v>6694</v>
      </c>
      <c r="W6657" t="s">
        <v>6720</v>
      </c>
    </row>
    <row r="6658" spans="1:23" ht="15.6" x14ac:dyDescent="0.4">
      <c r="A6658" s="2" t="s">
        <v>981</v>
      </c>
      <c r="B6658" s="5" t="s">
        <v>12524</v>
      </c>
      <c r="C6658" s="7" t="s">
        <v>12556</v>
      </c>
      <c r="D6658" s="8">
        <f t="shared" si="416"/>
        <v>2</v>
      </c>
      <c r="E6658" s="7" t="s">
        <v>12557</v>
      </c>
      <c r="F6658" s="7">
        <f t="shared" si="417"/>
        <v>1</v>
      </c>
      <c r="G6658" s="7" t="s">
        <v>12558</v>
      </c>
      <c r="H6658" s="7">
        <f t="shared" si="418"/>
        <v>0</v>
      </c>
      <c r="I6658" s="7" t="str" cm="1">
        <f t="array" ref="I6658">IFERROR(_xlfn.IFS(M6658="נח",1,M6658="נע ונח",1,M6658="שני שווא נח",2,M6658="שני שוואים בסוף מילה",2,M6658="שני שוואים ברצף",1),"0")</f>
        <v>0</v>
      </c>
      <c r="J6658" s="9">
        <f t="shared" si="419"/>
        <v>2</v>
      </c>
      <c r="K6658" t="s">
        <v>6698</v>
      </c>
      <c r="L6658" t="s">
        <v>6695</v>
      </c>
      <c r="O6658" t="s">
        <v>6694</v>
      </c>
      <c r="S6658" t="s">
        <v>6694</v>
      </c>
      <c r="W6658" t="s">
        <v>6720</v>
      </c>
    </row>
    <row r="6659" spans="1:23" ht="15.6" x14ac:dyDescent="0.4">
      <c r="A6659" s="2" t="s">
        <v>5985</v>
      </c>
      <c r="B6659" s="5" t="s">
        <v>12284</v>
      </c>
      <c r="C6659" s="7" t="s">
        <v>12556</v>
      </c>
      <c r="D6659" s="8">
        <f t="shared" ref="D6659:D6694" si="420">(LEN(B6659)-LEN(SUBSTITUTE(B6659,C6659,"")))</f>
        <v>0</v>
      </c>
      <c r="E6659" s="7" t="s">
        <v>12557</v>
      </c>
      <c r="F6659" s="7">
        <f t="shared" ref="F6659:F6694" si="421">(LEN(A6659)-LEN(SUBSTITUTE(A6659,E6659,"")))</f>
        <v>1</v>
      </c>
      <c r="G6659" s="7" t="s">
        <v>12558</v>
      </c>
      <c r="H6659" s="7">
        <f t="shared" ref="H6659:H6694" si="422">(LEN(A6659)-LEN(SUBSTITUTE(A6659,G6659,"")))/2</f>
        <v>0</v>
      </c>
      <c r="I6659" s="7" t="str" cm="1">
        <f t="array" ref="I6659">IFERROR(_xlfn.IFS(M6659="נח",1,M6659="נע ונח",1,M6659="שני שווא נח",2,M6659="שני שוואים בסוף מילה",2,M6659="שני שוואים ברצף",1),"0")</f>
        <v>0</v>
      </c>
      <c r="J6659" s="9">
        <f t="shared" ref="J6659:J6694" si="423">LEN(A6659)-(LEN(B6659))-D6659-F6659+H6659-I6659</f>
        <v>2</v>
      </c>
      <c r="K6659" t="s">
        <v>6698</v>
      </c>
      <c r="L6659" t="s">
        <v>6695</v>
      </c>
      <c r="Q6659" t="s">
        <v>6694</v>
      </c>
      <c r="V6659" t="s">
        <v>6694</v>
      </c>
      <c r="W6659" t="s">
        <v>6720</v>
      </c>
    </row>
    <row r="6660" spans="1:23" ht="15.6" x14ac:dyDescent="0.4">
      <c r="A6660" s="2" t="s">
        <v>2435</v>
      </c>
      <c r="B6660" s="5" t="s">
        <v>12284</v>
      </c>
      <c r="C6660" s="7" t="s">
        <v>12556</v>
      </c>
      <c r="D6660" s="8">
        <f t="shared" si="420"/>
        <v>0</v>
      </c>
      <c r="E6660" s="7" t="s">
        <v>12557</v>
      </c>
      <c r="F6660" s="7">
        <f t="shared" si="421"/>
        <v>1</v>
      </c>
      <c r="G6660" s="7" t="s">
        <v>12558</v>
      </c>
      <c r="H6660" s="7">
        <f t="shared" si="422"/>
        <v>0</v>
      </c>
      <c r="I6660" s="7" t="str" cm="1">
        <f t="array" ref="I6660">IFERROR(_xlfn.IFS(M6660="נח",1,M6660="נע ונח",1,M6660="שני שווא נח",2,M6660="שני שוואים בסוף מילה",2,M6660="שני שוואים ברצף",1),"0")</f>
        <v>0</v>
      </c>
      <c r="J6660" s="9">
        <f t="shared" si="423"/>
        <v>2</v>
      </c>
      <c r="K6660" t="s">
        <v>6698</v>
      </c>
      <c r="L6660" t="s">
        <v>6695</v>
      </c>
      <c r="P6660" t="s">
        <v>6694</v>
      </c>
      <c r="V6660" t="s">
        <v>6694</v>
      </c>
      <c r="W6660" t="s">
        <v>6720</v>
      </c>
    </row>
    <row r="6661" spans="1:23" ht="15.6" x14ac:dyDescent="0.4">
      <c r="A6661" s="2" t="s">
        <v>2069</v>
      </c>
      <c r="B6661" s="5" t="s">
        <v>12525</v>
      </c>
      <c r="C6661" s="7" t="s">
        <v>12556</v>
      </c>
      <c r="D6661" s="8">
        <f t="shared" si="420"/>
        <v>0</v>
      </c>
      <c r="E6661" s="7" t="s">
        <v>12557</v>
      </c>
      <c r="F6661" s="7">
        <f t="shared" si="421"/>
        <v>1</v>
      </c>
      <c r="G6661" s="7" t="s">
        <v>12558</v>
      </c>
      <c r="H6661" s="7">
        <f t="shared" si="422"/>
        <v>0</v>
      </c>
      <c r="I6661" s="7" t="str" cm="1">
        <f t="array" ref="I6661">IFERROR(_xlfn.IFS(M6661="נח",1,M6661="נע ונח",1,M6661="שני שווא נח",2,M6661="שני שוואים בסוף מילה",2,M6661="שני שוואים ברצף",1),"0")</f>
        <v>0</v>
      </c>
      <c r="J6661" s="9">
        <f t="shared" si="423"/>
        <v>2</v>
      </c>
      <c r="K6661" t="s">
        <v>6698</v>
      </c>
      <c r="L6661" t="s">
        <v>6695</v>
      </c>
      <c r="Q6661" t="s">
        <v>6694</v>
      </c>
      <c r="V6661" t="s">
        <v>6694</v>
      </c>
      <c r="W6661" t="s">
        <v>6720</v>
      </c>
    </row>
    <row r="6662" spans="1:23" ht="15.6" x14ac:dyDescent="0.4">
      <c r="A6662" s="2" t="s">
        <v>3200</v>
      </c>
      <c r="B6662" s="5" t="s">
        <v>12526</v>
      </c>
      <c r="C6662" s="7" t="s">
        <v>12556</v>
      </c>
      <c r="D6662" s="8">
        <f t="shared" si="420"/>
        <v>0</v>
      </c>
      <c r="E6662" s="7" t="s">
        <v>12557</v>
      </c>
      <c r="F6662" s="7">
        <f t="shared" si="421"/>
        <v>2</v>
      </c>
      <c r="G6662" s="7" t="s">
        <v>12558</v>
      </c>
      <c r="H6662" s="7">
        <f t="shared" si="422"/>
        <v>1</v>
      </c>
      <c r="I6662" s="7" cm="1">
        <f t="array" ref="I6662">IFERROR(_xlfn.IFS(M6662="נח",1,M6662="נע ונח",1,M6662="שני שווא נח",2,M6662="שני שוואים בסוף מילה",2,M6662="שני שוואים ברצף",1),"0")</f>
        <v>1</v>
      </c>
      <c r="J6662" s="9">
        <f t="shared" si="423"/>
        <v>2</v>
      </c>
      <c r="K6662" t="s">
        <v>6697</v>
      </c>
      <c r="L6662" t="s">
        <v>6694</v>
      </c>
      <c r="M6662" t="s">
        <v>6705</v>
      </c>
      <c r="U6662" t="s">
        <v>6694</v>
      </c>
      <c r="V6662" t="s">
        <v>6694</v>
      </c>
      <c r="W6662" t="s">
        <v>6720</v>
      </c>
    </row>
    <row r="6663" spans="1:23" ht="15.6" x14ac:dyDescent="0.4">
      <c r="A6663" s="2" t="s">
        <v>983</v>
      </c>
      <c r="B6663" s="5" t="s">
        <v>12527</v>
      </c>
      <c r="C6663" s="7" t="s">
        <v>12556</v>
      </c>
      <c r="D6663" s="8">
        <f t="shared" si="420"/>
        <v>0</v>
      </c>
      <c r="E6663" s="7" t="s">
        <v>12557</v>
      </c>
      <c r="F6663" s="7">
        <f t="shared" si="421"/>
        <v>1</v>
      </c>
      <c r="G6663" s="7" t="s">
        <v>12558</v>
      </c>
      <c r="H6663" s="7">
        <f t="shared" si="422"/>
        <v>0</v>
      </c>
      <c r="I6663" s="7" cm="1">
        <f t="array" ref="I6663">IFERROR(_xlfn.IFS(M6663="נח",1,M6663="נע ונח",1,M6663="שני שווא נח",2,M6663="שני שוואים בסוף מילה",2,M6663="שני שוואים ברצף",1),"0")</f>
        <v>1</v>
      </c>
      <c r="J6663" s="9">
        <f t="shared" si="423"/>
        <v>3</v>
      </c>
      <c r="K6663" t="s">
        <v>6697</v>
      </c>
      <c r="L6663" t="s">
        <v>6694</v>
      </c>
      <c r="M6663" t="s">
        <v>6705</v>
      </c>
      <c r="O6663" t="s">
        <v>6694</v>
      </c>
      <c r="P6663" t="s">
        <v>6694</v>
      </c>
      <c r="V6663" t="s">
        <v>6694</v>
      </c>
      <c r="W6663" t="s">
        <v>6720</v>
      </c>
    </row>
    <row r="6664" spans="1:23" ht="15.6" x14ac:dyDescent="0.4">
      <c r="A6664" s="2" t="s">
        <v>4022</v>
      </c>
      <c r="B6664" s="5" t="s">
        <v>12528</v>
      </c>
      <c r="C6664" s="7" t="s">
        <v>12556</v>
      </c>
      <c r="D6664" s="8">
        <f t="shared" si="420"/>
        <v>0</v>
      </c>
      <c r="E6664" s="7" t="s">
        <v>12557</v>
      </c>
      <c r="F6664" s="7">
        <f t="shared" si="421"/>
        <v>1</v>
      </c>
      <c r="G6664" s="7" t="s">
        <v>12558</v>
      </c>
      <c r="H6664" s="7">
        <f t="shared" si="422"/>
        <v>0</v>
      </c>
      <c r="I6664" s="7" cm="1">
        <f t="array" ref="I6664">IFERROR(_xlfn.IFS(M6664="נח",1,M6664="נע ונח",1,M6664="שני שווא נח",2,M6664="שני שוואים בסוף מילה",2,M6664="שני שוואים ברצף",1),"0")</f>
        <v>1</v>
      </c>
      <c r="J6664" s="9">
        <f t="shared" si="423"/>
        <v>1</v>
      </c>
      <c r="K6664" t="s">
        <v>6698</v>
      </c>
      <c r="L6664" t="s">
        <v>6694</v>
      </c>
      <c r="M6664" t="s">
        <v>6705</v>
      </c>
      <c r="V6664" t="s">
        <v>6694</v>
      </c>
      <c r="W6664" t="s">
        <v>6720</v>
      </c>
    </row>
    <row r="6665" spans="1:23" ht="15.6" x14ac:dyDescent="0.4">
      <c r="A6665" s="2" t="s">
        <v>939</v>
      </c>
      <c r="B6665" s="5" t="s">
        <v>12507</v>
      </c>
      <c r="C6665" s="7" t="s">
        <v>12556</v>
      </c>
      <c r="D6665" s="8">
        <f t="shared" si="420"/>
        <v>0</v>
      </c>
      <c r="E6665" s="7" t="s">
        <v>12557</v>
      </c>
      <c r="F6665" s="7">
        <f t="shared" si="421"/>
        <v>1</v>
      </c>
      <c r="G6665" s="7" t="s">
        <v>12558</v>
      </c>
      <c r="H6665" s="7">
        <f t="shared" si="422"/>
        <v>0</v>
      </c>
      <c r="I6665" s="7" t="str" cm="1">
        <f t="array" ref="I6665">IFERROR(_xlfn.IFS(M6665="נח",1,M6665="נע ונח",1,M6665="שני שווא נח",2,M6665="שני שוואים בסוף מילה",2,M6665="שני שוואים ברצף",1),"0")</f>
        <v>0</v>
      </c>
      <c r="J6665" s="9">
        <f t="shared" si="423"/>
        <v>1</v>
      </c>
      <c r="K6665" t="s">
        <v>6698</v>
      </c>
      <c r="L6665" t="s">
        <v>6695</v>
      </c>
      <c r="V6665" t="s">
        <v>6694</v>
      </c>
      <c r="W6665" t="s">
        <v>6720</v>
      </c>
    </row>
    <row r="6666" spans="1:23" ht="15.6" x14ac:dyDescent="0.4">
      <c r="A6666" s="2" t="s">
        <v>760</v>
      </c>
      <c r="B6666" s="5" t="s">
        <v>12529</v>
      </c>
      <c r="C6666" s="7" t="s">
        <v>12556</v>
      </c>
      <c r="D6666" s="8">
        <f t="shared" si="420"/>
        <v>0</v>
      </c>
      <c r="E6666" s="7" t="s">
        <v>12557</v>
      </c>
      <c r="F6666" s="7">
        <f t="shared" si="421"/>
        <v>1</v>
      </c>
      <c r="G6666" s="7" t="s">
        <v>12558</v>
      </c>
      <c r="H6666" s="7">
        <f t="shared" si="422"/>
        <v>0</v>
      </c>
      <c r="I6666" s="7" t="str" cm="1">
        <f t="array" ref="I6666">IFERROR(_xlfn.IFS(M6666="נח",1,M6666="נע ונח",1,M6666="שני שווא נח",2,M6666="שני שוואים בסוף מילה",2,M6666="שני שוואים ברצף",1),"0")</f>
        <v>0</v>
      </c>
      <c r="J6666" s="9">
        <f t="shared" si="423"/>
        <v>2</v>
      </c>
      <c r="K6666" t="s">
        <v>6698</v>
      </c>
      <c r="L6666" t="s">
        <v>6695</v>
      </c>
      <c r="Q6666" t="s">
        <v>6694</v>
      </c>
      <c r="V6666" t="s">
        <v>6694</v>
      </c>
      <c r="W6666" t="s">
        <v>6720</v>
      </c>
    </row>
    <row r="6667" spans="1:23" ht="15.6" x14ac:dyDescent="0.4">
      <c r="A6667" s="2" t="s">
        <v>2995</v>
      </c>
      <c r="B6667" s="5" t="s">
        <v>12530</v>
      </c>
      <c r="C6667" s="7" t="s">
        <v>12556</v>
      </c>
      <c r="D6667" s="8">
        <f t="shared" si="420"/>
        <v>0</v>
      </c>
      <c r="E6667" s="7" t="s">
        <v>12557</v>
      </c>
      <c r="F6667" s="7">
        <f t="shared" si="421"/>
        <v>1</v>
      </c>
      <c r="G6667" s="7" t="s">
        <v>12558</v>
      </c>
      <c r="H6667" s="7">
        <f t="shared" si="422"/>
        <v>0</v>
      </c>
      <c r="I6667" s="7" t="str" cm="1">
        <f t="array" ref="I6667">IFERROR(_xlfn.IFS(M6667="נח",1,M6667="נע ונח",1,M6667="שני שווא נח",2,M6667="שני שוואים בסוף מילה",2,M6667="שני שוואים ברצף",1),"0")</f>
        <v>0</v>
      </c>
      <c r="J6667" s="9">
        <f t="shared" si="423"/>
        <v>2</v>
      </c>
      <c r="K6667" t="s">
        <v>6698</v>
      </c>
      <c r="L6667" t="s">
        <v>6695</v>
      </c>
      <c r="Q6667" t="s">
        <v>6694</v>
      </c>
      <c r="V6667" t="s">
        <v>6694</v>
      </c>
      <c r="W6667" t="s">
        <v>6720</v>
      </c>
    </row>
    <row r="6668" spans="1:23" ht="15.6" x14ac:dyDescent="0.4">
      <c r="A6668" s="2" t="s">
        <v>3063</v>
      </c>
      <c r="B6668" s="5" t="s">
        <v>12531</v>
      </c>
      <c r="C6668" s="7" t="s">
        <v>12556</v>
      </c>
      <c r="D6668" s="8">
        <f t="shared" si="420"/>
        <v>0</v>
      </c>
      <c r="E6668" s="7" t="s">
        <v>12557</v>
      </c>
      <c r="F6668" s="7">
        <f t="shared" si="421"/>
        <v>1</v>
      </c>
      <c r="G6668" s="7" t="s">
        <v>12558</v>
      </c>
      <c r="H6668" s="7">
        <f t="shared" si="422"/>
        <v>0</v>
      </c>
      <c r="I6668" s="7" t="str" cm="1">
        <f t="array" ref="I6668">IFERROR(_xlfn.IFS(M6668="נח",1,M6668="נע ונח",1,M6668="שני שווא נח",2,M6668="שני שוואים בסוף מילה",2,M6668="שני שוואים ברצף",1),"0")</f>
        <v>0</v>
      </c>
      <c r="J6668" s="9">
        <f t="shared" si="423"/>
        <v>4</v>
      </c>
      <c r="K6668" t="s">
        <v>6697</v>
      </c>
      <c r="L6668" t="s">
        <v>6695</v>
      </c>
      <c r="Q6668" t="s">
        <v>6694</v>
      </c>
      <c r="S6668" t="s">
        <v>6694</v>
      </c>
      <c r="V6668" t="s">
        <v>6694</v>
      </c>
      <c r="W6668" t="s">
        <v>6720</v>
      </c>
    </row>
    <row r="6669" spans="1:23" ht="15.6" x14ac:dyDescent="0.4">
      <c r="A6669" s="2" t="s">
        <v>4711</v>
      </c>
      <c r="B6669" s="5" t="s">
        <v>12532</v>
      </c>
      <c r="C6669" s="7" t="s">
        <v>12556</v>
      </c>
      <c r="D6669" s="8">
        <f t="shared" si="420"/>
        <v>0</v>
      </c>
      <c r="E6669" s="7" t="s">
        <v>12557</v>
      </c>
      <c r="F6669" s="7">
        <f t="shared" si="421"/>
        <v>2</v>
      </c>
      <c r="G6669" s="7" t="s">
        <v>12558</v>
      </c>
      <c r="H6669" s="7">
        <f t="shared" si="422"/>
        <v>0</v>
      </c>
      <c r="I6669" s="7" t="str" cm="1">
        <f t="array" ref="I6669">IFERROR(_xlfn.IFS(M6669="נח",1,M6669="נע ונח",1,M6669="שני שווא נח",2,M6669="שני שוואים בסוף מילה",2,M6669="שני שוואים ברצף",1),"0")</f>
        <v>0</v>
      </c>
      <c r="J6669" s="9">
        <f t="shared" si="423"/>
        <v>3</v>
      </c>
      <c r="K6669" t="s">
        <v>6697</v>
      </c>
      <c r="L6669" t="s">
        <v>6695</v>
      </c>
      <c r="O6669" t="s">
        <v>6694</v>
      </c>
      <c r="R6669" t="s">
        <v>6694</v>
      </c>
      <c r="V6669" t="s">
        <v>6694</v>
      </c>
      <c r="W6669" t="s">
        <v>6720</v>
      </c>
    </row>
    <row r="6670" spans="1:23" ht="15.6" x14ac:dyDescent="0.4">
      <c r="A6670" s="2" t="s">
        <v>383</v>
      </c>
      <c r="B6670" s="5" t="s">
        <v>12533</v>
      </c>
      <c r="C6670" s="7" t="s">
        <v>12556</v>
      </c>
      <c r="D6670" s="8">
        <f t="shared" si="420"/>
        <v>0</v>
      </c>
      <c r="E6670" s="7" t="s">
        <v>12557</v>
      </c>
      <c r="F6670" s="7">
        <f t="shared" si="421"/>
        <v>1</v>
      </c>
      <c r="G6670" s="7" t="s">
        <v>12558</v>
      </c>
      <c r="H6670" s="7">
        <f t="shared" si="422"/>
        <v>0</v>
      </c>
      <c r="I6670" s="7" t="str" cm="1">
        <f t="array" ref="I6670">IFERROR(_xlfn.IFS(M6670="נח",1,M6670="נע ונח",1,M6670="שני שווא נח",2,M6670="שני שוואים בסוף מילה",2,M6670="שני שוואים ברצף",1),"0")</f>
        <v>0</v>
      </c>
      <c r="J6670" s="9">
        <f t="shared" si="423"/>
        <v>2</v>
      </c>
      <c r="K6670" t="s">
        <v>6697</v>
      </c>
      <c r="L6670" t="s">
        <v>6695</v>
      </c>
      <c r="O6670" t="s">
        <v>6694</v>
      </c>
      <c r="V6670" t="s">
        <v>6694</v>
      </c>
      <c r="W6670" t="s">
        <v>6720</v>
      </c>
    </row>
    <row r="6671" spans="1:23" ht="15.6" x14ac:dyDescent="0.4">
      <c r="A6671" s="2" t="s">
        <v>4092</v>
      </c>
      <c r="B6671" s="5" t="s">
        <v>12534</v>
      </c>
      <c r="C6671" s="7" t="s">
        <v>12556</v>
      </c>
      <c r="D6671" s="8">
        <f t="shared" si="420"/>
        <v>0</v>
      </c>
      <c r="E6671" s="7" t="s">
        <v>12557</v>
      </c>
      <c r="F6671" s="7">
        <f t="shared" si="421"/>
        <v>1</v>
      </c>
      <c r="G6671" s="7" t="s">
        <v>12558</v>
      </c>
      <c r="H6671" s="7">
        <f t="shared" si="422"/>
        <v>0</v>
      </c>
      <c r="I6671" s="7" t="str" cm="1">
        <f t="array" ref="I6671">IFERROR(_xlfn.IFS(M6671="נח",1,M6671="נע ונח",1,M6671="שני שווא נח",2,M6671="שני שוואים בסוף מילה",2,M6671="שני שוואים ברצף",1),"0")</f>
        <v>0</v>
      </c>
      <c r="J6671" s="9">
        <f t="shared" si="423"/>
        <v>2</v>
      </c>
      <c r="K6671" t="s">
        <v>6698</v>
      </c>
      <c r="L6671" t="s">
        <v>6695</v>
      </c>
      <c r="V6671" t="s">
        <v>6694</v>
      </c>
      <c r="W6671" t="s">
        <v>6720</v>
      </c>
    </row>
    <row r="6672" spans="1:23" ht="15.6" x14ac:dyDescent="0.4">
      <c r="A6672" s="2" t="s">
        <v>3466</v>
      </c>
      <c r="B6672" s="5" t="s">
        <v>12535</v>
      </c>
      <c r="C6672" s="7" t="s">
        <v>12556</v>
      </c>
      <c r="D6672" s="8">
        <f t="shared" si="420"/>
        <v>0</v>
      </c>
      <c r="E6672" s="7" t="s">
        <v>12557</v>
      </c>
      <c r="F6672" s="7">
        <f t="shared" si="421"/>
        <v>2</v>
      </c>
      <c r="G6672" s="7" t="s">
        <v>12558</v>
      </c>
      <c r="H6672" s="7">
        <f t="shared" si="422"/>
        <v>0</v>
      </c>
      <c r="I6672" s="7" cm="1">
        <f t="array" ref="I6672">IFERROR(_xlfn.IFS(M6672="נח",1,M6672="נע ונח",1,M6672="שני שווא נח",2,M6672="שני שוואים בסוף מילה",2,M6672="שני שוואים ברצף",1),"0")</f>
        <v>1</v>
      </c>
      <c r="J6672" s="9">
        <f t="shared" si="423"/>
        <v>3</v>
      </c>
      <c r="K6672" t="s">
        <v>6697</v>
      </c>
      <c r="L6672" t="s">
        <v>6694</v>
      </c>
      <c r="M6672" t="s">
        <v>6705</v>
      </c>
      <c r="P6672" t="s">
        <v>6694</v>
      </c>
      <c r="S6672" t="s">
        <v>6694</v>
      </c>
      <c r="V6672" t="s">
        <v>6694</v>
      </c>
      <c r="W6672" t="s">
        <v>6720</v>
      </c>
    </row>
    <row r="6673" spans="1:23" ht="15.6" x14ac:dyDescent="0.4">
      <c r="A6673" s="2" t="s">
        <v>1465</v>
      </c>
      <c r="B6673" s="5" t="s">
        <v>12536</v>
      </c>
      <c r="C6673" s="7" t="s">
        <v>12556</v>
      </c>
      <c r="D6673" s="8">
        <f t="shared" si="420"/>
        <v>0</v>
      </c>
      <c r="E6673" s="7" t="s">
        <v>12557</v>
      </c>
      <c r="F6673" s="7">
        <f t="shared" si="421"/>
        <v>1</v>
      </c>
      <c r="G6673" s="7" t="s">
        <v>12558</v>
      </c>
      <c r="H6673" s="7">
        <f t="shared" si="422"/>
        <v>0</v>
      </c>
      <c r="I6673" s="7" t="str" cm="1">
        <f t="array" ref="I6673">IFERROR(_xlfn.IFS(M6673="נח",1,M6673="נע ונח",1,M6673="שני שווא נח",2,M6673="שני שוואים בסוף מילה",2,M6673="שני שוואים ברצף",1),"0")</f>
        <v>0</v>
      </c>
      <c r="J6673" s="9">
        <f t="shared" si="423"/>
        <v>3</v>
      </c>
      <c r="K6673" t="s">
        <v>6698</v>
      </c>
      <c r="L6673" t="s">
        <v>6695</v>
      </c>
      <c r="Q6673" t="s">
        <v>6694</v>
      </c>
      <c r="V6673" t="s">
        <v>6694</v>
      </c>
      <c r="W6673" t="s">
        <v>6720</v>
      </c>
    </row>
    <row r="6674" spans="1:23" ht="15.6" x14ac:dyDescent="0.4">
      <c r="A6674" s="2" t="s">
        <v>6179</v>
      </c>
      <c r="B6674" s="5" t="s">
        <v>12537</v>
      </c>
      <c r="C6674" s="7" t="s">
        <v>12556</v>
      </c>
      <c r="D6674" s="8">
        <f t="shared" si="420"/>
        <v>0</v>
      </c>
      <c r="E6674" s="7" t="s">
        <v>12557</v>
      </c>
      <c r="F6674" s="7">
        <f t="shared" si="421"/>
        <v>1</v>
      </c>
      <c r="G6674" s="7" t="s">
        <v>12558</v>
      </c>
      <c r="H6674" s="7">
        <f t="shared" si="422"/>
        <v>0</v>
      </c>
      <c r="I6674" s="7" t="str" cm="1">
        <f t="array" ref="I6674">IFERROR(_xlfn.IFS(M6674="נח",1,M6674="נע ונח",1,M6674="שני שווא נח",2,M6674="שני שוואים בסוף מילה",2,M6674="שני שוואים ברצף",1),"0")</f>
        <v>0</v>
      </c>
      <c r="J6674" s="9">
        <f t="shared" si="423"/>
        <v>3</v>
      </c>
      <c r="K6674" t="s">
        <v>6698</v>
      </c>
      <c r="L6674" t="s">
        <v>6695</v>
      </c>
      <c r="O6674" t="s">
        <v>6694</v>
      </c>
      <c r="V6674" t="s">
        <v>6694</v>
      </c>
      <c r="W6674" t="s">
        <v>6720</v>
      </c>
    </row>
    <row r="6675" spans="1:23" ht="15.6" x14ac:dyDescent="0.4">
      <c r="A6675" s="2" t="s">
        <v>3044</v>
      </c>
      <c r="B6675" s="5" t="s">
        <v>12538</v>
      </c>
      <c r="C6675" s="7" t="s">
        <v>12556</v>
      </c>
      <c r="D6675" s="8">
        <f t="shared" si="420"/>
        <v>0</v>
      </c>
      <c r="E6675" s="7" t="s">
        <v>12557</v>
      </c>
      <c r="F6675" s="7">
        <f t="shared" si="421"/>
        <v>1</v>
      </c>
      <c r="G6675" s="7" t="s">
        <v>12558</v>
      </c>
      <c r="H6675" s="7">
        <f t="shared" si="422"/>
        <v>0</v>
      </c>
      <c r="I6675" s="7" cm="1">
        <f t="array" ref="I6675">IFERROR(_xlfn.IFS(M6675="נח",1,M6675="נע ונח",1,M6675="שני שווא נח",2,M6675="שני שוואים בסוף מילה",2,M6675="שני שוואים ברצף",1),"0")</f>
        <v>1</v>
      </c>
      <c r="J6675" s="9">
        <f t="shared" si="423"/>
        <v>2</v>
      </c>
      <c r="K6675" t="s">
        <v>6698</v>
      </c>
      <c r="L6675" t="s">
        <v>6694</v>
      </c>
      <c r="M6675" t="s">
        <v>6705</v>
      </c>
      <c r="S6675" t="s">
        <v>6694</v>
      </c>
      <c r="V6675" t="s">
        <v>6694</v>
      </c>
      <c r="W6675" t="s">
        <v>6720</v>
      </c>
    </row>
    <row r="6676" spans="1:23" ht="15.6" x14ac:dyDescent="0.4">
      <c r="A6676" s="2" t="s">
        <v>4285</v>
      </c>
      <c r="B6676" s="5" t="s">
        <v>12539</v>
      </c>
      <c r="C6676" s="7" t="s">
        <v>12556</v>
      </c>
      <c r="D6676" s="8">
        <f t="shared" si="420"/>
        <v>0</v>
      </c>
      <c r="E6676" s="7" t="s">
        <v>12557</v>
      </c>
      <c r="F6676" s="7">
        <f t="shared" si="421"/>
        <v>1</v>
      </c>
      <c r="G6676" s="7" t="s">
        <v>12558</v>
      </c>
      <c r="H6676" s="7">
        <f t="shared" si="422"/>
        <v>0</v>
      </c>
      <c r="I6676" s="7" t="str" cm="1">
        <f t="array" ref="I6676">IFERROR(_xlfn.IFS(M6676="נח",1,M6676="נע ונח",1,M6676="שני שווא נח",2,M6676="שני שוואים בסוף מילה",2,M6676="שני שוואים ברצף",1),"0")</f>
        <v>0</v>
      </c>
      <c r="J6676" s="9">
        <f t="shared" si="423"/>
        <v>2</v>
      </c>
      <c r="K6676" t="s">
        <v>6698</v>
      </c>
      <c r="L6676" t="s">
        <v>6695</v>
      </c>
      <c r="S6676" t="s">
        <v>6694</v>
      </c>
      <c r="V6676" t="s">
        <v>6694</v>
      </c>
      <c r="W6676" t="s">
        <v>6720</v>
      </c>
    </row>
    <row r="6677" spans="1:23" ht="15.6" x14ac:dyDescent="0.4">
      <c r="A6677" s="2" t="s">
        <v>6494</v>
      </c>
      <c r="B6677" s="5" t="s">
        <v>12540</v>
      </c>
      <c r="C6677" s="7" t="s">
        <v>12556</v>
      </c>
      <c r="D6677" s="8">
        <f t="shared" si="420"/>
        <v>0</v>
      </c>
      <c r="E6677" s="7" t="s">
        <v>12557</v>
      </c>
      <c r="F6677" s="7">
        <f t="shared" si="421"/>
        <v>1</v>
      </c>
      <c r="G6677" s="7" t="s">
        <v>12558</v>
      </c>
      <c r="H6677" s="7">
        <f t="shared" si="422"/>
        <v>0</v>
      </c>
      <c r="I6677" s="7" t="str" cm="1">
        <f t="array" ref="I6677">IFERROR(_xlfn.IFS(M6677="נח",1,M6677="נע ונח",1,M6677="שני שווא נח",2,M6677="שני שוואים בסוף מילה",2,M6677="שני שוואים ברצף",1),"0")</f>
        <v>0</v>
      </c>
      <c r="J6677" s="9">
        <f t="shared" si="423"/>
        <v>3</v>
      </c>
      <c r="K6677" t="s">
        <v>6698</v>
      </c>
      <c r="L6677" t="s">
        <v>6695</v>
      </c>
      <c r="Q6677" t="s">
        <v>6694</v>
      </c>
      <c r="V6677" t="s">
        <v>6694</v>
      </c>
      <c r="W6677" t="s">
        <v>6720</v>
      </c>
    </row>
    <row r="6678" spans="1:23" ht="15.6" x14ac:dyDescent="0.4">
      <c r="A6678" s="2" t="s">
        <v>3363</v>
      </c>
      <c r="B6678" s="5" t="s">
        <v>12541</v>
      </c>
      <c r="C6678" s="7" t="s">
        <v>12556</v>
      </c>
      <c r="D6678" s="8">
        <f t="shared" si="420"/>
        <v>0</v>
      </c>
      <c r="E6678" s="7" t="s">
        <v>12557</v>
      </c>
      <c r="F6678" s="7">
        <f t="shared" si="421"/>
        <v>1</v>
      </c>
      <c r="G6678" s="7" t="s">
        <v>12558</v>
      </c>
      <c r="H6678" s="7">
        <f t="shared" si="422"/>
        <v>0</v>
      </c>
      <c r="I6678" s="7" t="str" cm="1">
        <f t="array" ref="I6678">IFERROR(_xlfn.IFS(M6678="נח",1,M6678="נע ונח",1,M6678="שני שווא נח",2,M6678="שני שוואים בסוף מילה",2,M6678="שני שוואים ברצף",1),"0")</f>
        <v>0</v>
      </c>
      <c r="J6678" s="9">
        <f t="shared" si="423"/>
        <v>4</v>
      </c>
      <c r="K6678" t="s">
        <v>6697</v>
      </c>
      <c r="L6678" t="s">
        <v>6695</v>
      </c>
      <c r="Q6678" t="s">
        <v>6694</v>
      </c>
      <c r="S6678" t="s">
        <v>6694</v>
      </c>
      <c r="V6678" t="s">
        <v>6694</v>
      </c>
      <c r="W6678" t="s">
        <v>6720</v>
      </c>
    </row>
    <row r="6679" spans="1:23" ht="15.6" x14ac:dyDescent="0.4">
      <c r="A6679" s="2" t="s">
        <v>6490</v>
      </c>
      <c r="B6679" s="5" t="s">
        <v>12542</v>
      </c>
      <c r="C6679" s="7" t="s">
        <v>12556</v>
      </c>
      <c r="D6679" s="8">
        <f t="shared" si="420"/>
        <v>0</v>
      </c>
      <c r="E6679" s="7" t="s">
        <v>12557</v>
      </c>
      <c r="F6679" s="7">
        <f t="shared" si="421"/>
        <v>1</v>
      </c>
      <c r="G6679" s="7" t="s">
        <v>12558</v>
      </c>
      <c r="H6679" s="7">
        <f t="shared" si="422"/>
        <v>0</v>
      </c>
      <c r="I6679" s="7" t="str" cm="1">
        <f t="array" ref="I6679">IFERROR(_xlfn.IFS(M6679="נח",1,M6679="נע ונח",1,M6679="שני שווא נח",2,M6679="שני שוואים בסוף מילה",2,M6679="שני שוואים ברצף",1),"0")</f>
        <v>0</v>
      </c>
      <c r="J6679" s="9">
        <f t="shared" si="423"/>
        <v>3</v>
      </c>
      <c r="K6679" t="s">
        <v>6698</v>
      </c>
      <c r="L6679" t="s">
        <v>6695</v>
      </c>
      <c r="O6679" t="s">
        <v>6694</v>
      </c>
      <c r="V6679" t="s">
        <v>6694</v>
      </c>
      <c r="W6679" t="s">
        <v>6720</v>
      </c>
    </row>
    <row r="6680" spans="1:23" ht="15.6" x14ac:dyDescent="0.4">
      <c r="A6680" s="2" t="s">
        <v>4061</v>
      </c>
      <c r="B6680" s="5" t="s">
        <v>12543</v>
      </c>
      <c r="C6680" s="7" t="s">
        <v>12556</v>
      </c>
      <c r="D6680" s="8">
        <f t="shared" si="420"/>
        <v>0</v>
      </c>
      <c r="E6680" s="7" t="s">
        <v>12557</v>
      </c>
      <c r="F6680" s="7">
        <f t="shared" si="421"/>
        <v>1</v>
      </c>
      <c r="G6680" s="7" t="s">
        <v>12558</v>
      </c>
      <c r="H6680" s="7">
        <f t="shared" si="422"/>
        <v>0</v>
      </c>
      <c r="I6680" s="7" t="str" cm="1">
        <f t="array" ref="I6680">IFERROR(_xlfn.IFS(M6680="נח",1,M6680="נע ונח",1,M6680="שני שווא נח",2,M6680="שני שוואים בסוף מילה",2,M6680="שני שוואים ברצף",1),"0")</f>
        <v>0</v>
      </c>
      <c r="J6680" s="9">
        <f t="shared" si="423"/>
        <v>3</v>
      </c>
      <c r="K6680" t="s">
        <v>6698</v>
      </c>
      <c r="L6680" t="s">
        <v>6695</v>
      </c>
      <c r="Q6680" t="s">
        <v>6694</v>
      </c>
      <c r="S6680" t="s">
        <v>6694</v>
      </c>
      <c r="V6680" t="s">
        <v>6694</v>
      </c>
      <c r="W6680" t="s">
        <v>6720</v>
      </c>
    </row>
    <row r="6681" spans="1:23" ht="15.6" x14ac:dyDescent="0.4">
      <c r="A6681" s="2" t="s">
        <v>5687</v>
      </c>
      <c r="B6681" s="5" t="s">
        <v>12544</v>
      </c>
      <c r="C6681" s="7" t="s">
        <v>12556</v>
      </c>
      <c r="D6681" s="8">
        <f t="shared" si="420"/>
        <v>0</v>
      </c>
      <c r="E6681" s="7" t="s">
        <v>12557</v>
      </c>
      <c r="F6681" s="7">
        <f t="shared" si="421"/>
        <v>1</v>
      </c>
      <c r="G6681" s="7" t="s">
        <v>12558</v>
      </c>
      <c r="H6681" s="7">
        <f t="shared" si="422"/>
        <v>0</v>
      </c>
      <c r="I6681" s="7" t="str" cm="1">
        <f t="array" ref="I6681">IFERROR(_xlfn.IFS(M6681="נח",1,M6681="נע ונח",1,M6681="שני שווא נח",2,M6681="שני שוואים בסוף מילה",2,M6681="שני שוואים ברצף",1),"0")</f>
        <v>0</v>
      </c>
      <c r="J6681" s="9">
        <f t="shared" si="423"/>
        <v>3</v>
      </c>
      <c r="K6681" t="s">
        <v>6697</v>
      </c>
      <c r="L6681" t="s">
        <v>6695</v>
      </c>
      <c r="O6681" t="s">
        <v>6694</v>
      </c>
      <c r="R6681" t="s">
        <v>6694</v>
      </c>
      <c r="V6681" t="s">
        <v>6694</v>
      </c>
      <c r="W6681" t="s">
        <v>6720</v>
      </c>
    </row>
    <row r="6682" spans="1:23" ht="15.6" x14ac:dyDescent="0.4">
      <c r="A6682" s="2" t="s">
        <v>2555</v>
      </c>
      <c r="B6682" s="5" t="s">
        <v>12545</v>
      </c>
      <c r="C6682" s="7" t="s">
        <v>12556</v>
      </c>
      <c r="D6682" s="8">
        <f t="shared" si="420"/>
        <v>0</v>
      </c>
      <c r="E6682" s="7" t="s">
        <v>12557</v>
      </c>
      <c r="F6682" s="7">
        <f t="shared" si="421"/>
        <v>1</v>
      </c>
      <c r="G6682" s="7" t="s">
        <v>12558</v>
      </c>
      <c r="H6682" s="7">
        <f t="shared" si="422"/>
        <v>0</v>
      </c>
      <c r="I6682" s="7" t="str" cm="1">
        <f t="array" ref="I6682">IFERROR(_xlfn.IFS(M6682="נח",1,M6682="נע ונח",1,M6682="שני שווא נח",2,M6682="שני שוואים בסוף מילה",2,M6682="שני שוואים ברצף",1),"0")</f>
        <v>0</v>
      </c>
      <c r="J6682" s="9">
        <f t="shared" si="423"/>
        <v>2</v>
      </c>
      <c r="K6682" t="s">
        <v>6698</v>
      </c>
      <c r="L6682" t="s">
        <v>6695</v>
      </c>
      <c r="P6682" t="s">
        <v>6694</v>
      </c>
      <c r="V6682" t="s">
        <v>6694</v>
      </c>
      <c r="W6682" t="s">
        <v>6720</v>
      </c>
    </row>
    <row r="6683" spans="1:23" ht="15.6" x14ac:dyDescent="0.4">
      <c r="A6683" s="2" t="s">
        <v>5699</v>
      </c>
      <c r="B6683" s="5" t="s">
        <v>12546</v>
      </c>
      <c r="C6683" s="7" t="s">
        <v>12556</v>
      </c>
      <c r="D6683" s="8">
        <f t="shared" si="420"/>
        <v>0</v>
      </c>
      <c r="E6683" s="7" t="s">
        <v>12557</v>
      </c>
      <c r="F6683" s="7">
        <f t="shared" si="421"/>
        <v>1</v>
      </c>
      <c r="G6683" s="7" t="s">
        <v>12558</v>
      </c>
      <c r="H6683" s="7">
        <f t="shared" si="422"/>
        <v>0</v>
      </c>
      <c r="I6683" s="7" t="str" cm="1">
        <f t="array" ref="I6683">IFERROR(_xlfn.IFS(M6683="נח",1,M6683="נע ונח",1,M6683="שני שווא נח",2,M6683="שני שוואים בסוף מילה",2,M6683="שני שוואים ברצף",1),"0")</f>
        <v>0</v>
      </c>
      <c r="J6683" s="9">
        <f t="shared" si="423"/>
        <v>3</v>
      </c>
      <c r="K6683" t="s">
        <v>6697</v>
      </c>
      <c r="L6683" t="s">
        <v>6695</v>
      </c>
      <c r="O6683" t="s">
        <v>6694</v>
      </c>
      <c r="S6683" t="s">
        <v>6694</v>
      </c>
      <c r="V6683" t="s">
        <v>6694</v>
      </c>
      <c r="W6683" t="s">
        <v>6720</v>
      </c>
    </row>
    <row r="6684" spans="1:23" ht="15.6" x14ac:dyDescent="0.4">
      <c r="A6684" s="2" t="s">
        <v>3481</v>
      </c>
      <c r="B6684" s="5" t="s">
        <v>12547</v>
      </c>
      <c r="C6684" s="7" t="s">
        <v>12556</v>
      </c>
      <c r="D6684" s="8">
        <f t="shared" si="420"/>
        <v>1</v>
      </c>
      <c r="E6684" s="7" t="s">
        <v>12557</v>
      </c>
      <c r="F6684" s="7">
        <f t="shared" si="421"/>
        <v>1</v>
      </c>
      <c r="G6684" s="7" t="s">
        <v>12558</v>
      </c>
      <c r="H6684" s="7">
        <f t="shared" si="422"/>
        <v>0</v>
      </c>
      <c r="I6684" s="7" t="str" cm="1">
        <f t="array" ref="I6684">IFERROR(_xlfn.IFS(M6684="נח",1,M6684="נע ונח",1,M6684="שני שווא נח",2,M6684="שני שוואים בסוף מילה",2,M6684="שני שוואים ברצף",1),"0")</f>
        <v>0</v>
      </c>
      <c r="J6684" s="9">
        <f t="shared" si="423"/>
        <v>2</v>
      </c>
      <c r="K6684" t="s">
        <v>6698</v>
      </c>
      <c r="L6684" t="s">
        <v>6695</v>
      </c>
      <c r="N6684" t="s">
        <v>6706</v>
      </c>
      <c r="O6684" t="s">
        <v>6694</v>
      </c>
      <c r="V6684" t="s">
        <v>6694</v>
      </c>
      <c r="W6684" t="s">
        <v>6720</v>
      </c>
    </row>
    <row r="6685" spans="1:23" ht="15.6" x14ac:dyDescent="0.4">
      <c r="A6685" s="2" t="s">
        <v>3741</v>
      </c>
      <c r="B6685" s="5" t="s">
        <v>12548</v>
      </c>
      <c r="C6685" s="7" t="s">
        <v>12556</v>
      </c>
      <c r="D6685" s="8">
        <f t="shared" si="420"/>
        <v>0</v>
      </c>
      <c r="E6685" s="7" t="s">
        <v>12557</v>
      </c>
      <c r="F6685" s="7">
        <f t="shared" si="421"/>
        <v>2</v>
      </c>
      <c r="G6685" s="7" t="s">
        <v>12558</v>
      </c>
      <c r="H6685" s="7">
        <f t="shared" si="422"/>
        <v>1</v>
      </c>
      <c r="I6685" s="7" t="str" cm="1">
        <f t="array" ref="I6685">IFERROR(_xlfn.IFS(M6685="נח",1,M6685="נע ונח",1,M6685="שני שווא נח",2,M6685="שני שוואים בסוף מילה",2,M6685="שני שוואים ברצף",1),"0")</f>
        <v>0</v>
      </c>
      <c r="J6685" s="9">
        <f t="shared" si="423"/>
        <v>2</v>
      </c>
      <c r="K6685" t="s">
        <v>6698</v>
      </c>
      <c r="L6685" t="s">
        <v>6695</v>
      </c>
      <c r="P6685" t="s">
        <v>6694</v>
      </c>
      <c r="U6685" t="s">
        <v>6694</v>
      </c>
      <c r="W6685" t="s">
        <v>6720</v>
      </c>
    </row>
    <row r="6686" spans="1:23" ht="15.6" x14ac:dyDescent="0.4">
      <c r="A6686" s="2" t="s">
        <v>3746</v>
      </c>
      <c r="B6686" s="5" t="s">
        <v>12549</v>
      </c>
      <c r="C6686" s="7" t="s">
        <v>12556</v>
      </c>
      <c r="D6686" s="8">
        <f t="shared" si="420"/>
        <v>0</v>
      </c>
      <c r="E6686" s="7" t="s">
        <v>12557</v>
      </c>
      <c r="F6686" s="7">
        <f t="shared" si="421"/>
        <v>2</v>
      </c>
      <c r="G6686" s="7" t="s">
        <v>12558</v>
      </c>
      <c r="H6686" s="7">
        <f t="shared" si="422"/>
        <v>1</v>
      </c>
      <c r="I6686" s="7" cm="1">
        <f t="array" ref="I6686">IFERROR(_xlfn.IFS(M6686="נח",1,M6686="נע ונח",1,M6686="שני שווא נח",2,M6686="שני שוואים בסוף מילה",2,M6686="שני שוואים ברצף",1),"0")</f>
        <v>1</v>
      </c>
      <c r="J6686" s="9">
        <f t="shared" si="423"/>
        <v>3</v>
      </c>
      <c r="K6686" t="s">
        <v>6697</v>
      </c>
      <c r="L6686" t="s">
        <v>6694</v>
      </c>
      <c r="M6686" t="s">
        <v>6705</v>
      </c>
      <c r="O6686" t="s">
        <v>6694</v>
      </c>
      <c r="P6686" t="s">
        <v>6694</v>
      </c>
      <c r="U6686" t="s">
        <v>6694</v>
      </c>
      <c r="W6686" t="s">
        <v>6720</v>
      </c>
    </row>
    <row r="6687" spans="1:23" ht="15.6" x14ac:dyDescent="0.4">
      <c r="A6687" s="2" t="s">
        <v>6413</v>
      </c>
      <c r="B6687" s="5" t="s">
        <v>12531</v>
      </c>
      <c r="C6687" s="7" t="s">
        <v>12556</v>
      </c>
      <c r="D6687" s="8">
        <f t="shared" si="420"/>
        <v>0</v>
      </c>
      <c r="E6687" s="7" t="s">
        <v>12557</v>
      </c>
      <c r="F6687" s="7">
        <f t="shared" si="421"/>
        <v>0</v>
      </c>
      <c r="G6687" s="7" t="s">
        <v>12558</v>
      </c>
      <c r="H6687" s="7">
        <f t="shared" si="422"/>
        <v>0</v>
      </c>
      <c r="I6687" s="7" t="str" cm="1">
        <f t="array" ref="I6687">IFERROR(_xlfn.IFS(M6687="נח",1,M6687="נע ונח",1,M6687="שני שווא נח",2,M6687="שני שוואים בסוף מילה",2,M6687="שני שוואים ברצף",1),"0")</f>
        <v>0</v>
      </c>
      <c r="J6687" s="9">
        <f t="shared" si="423"/>
        <v>4</v>
      </c>
      <c r="K6687" t="s">
        <v>6697</v>
      </c>
      <c r="L6687" t="s">
        <v>6695</v>
      </c>
      <c r="Q6687" t="s">
        <v>6694</v>
      </c>
      <c r="S6687" t="s">
        <v>6694</v>
      </c>
      <c r="V6687" t="s">
        <v>6694</v>
      </c>
      <c r="W6687" t="s">
        <v>6720</v>
      </c>
    </row>
    <row r="6688" spans="1:23" ht="15.6" x14ac:dyDescent="0.4">
      <c r="A6688" s="2" t="s">
        <v>1571</v>
      </c>
      <c r="B6688" s="5" t="s">
        <v>12533</v>
      </c>
      <c r="C6688" s="7" t="s">
        <v>12556</v>
      </c>
      <c r="D6688" s="8">
        <f t="shared" si="420"/>
        <v>0</v>
      </c>
      <c r="E6688" s="7" t="s">
        <v>12557</v>
      </c>
      <c r="F6688" s="7">
        <f t="shared" si="421"/>
        <v>0</v>
      </c>
      <c r="G6688" s="7" t="s">
        <v>12558</v>
      </c>
      <c r="H6688" s="7">
        <f t="shared" si="422"/>
        <v>0</v>
      </c>
      <c r="I6688" s="7" t="str" cm="1">
        <f t="array" ref="I6688">IFERROR(_xlfn.IFS(M6688="נח",1,M6688="נע ונח",1,M6688="שני שווא נח",2,M6688="שני שוואים בסוף מילה",2,M6688="שני שוואים ברצף",1),"0")</f>
        <v>0</v>
      </c>
      <c r="J6688" s="9">
        <f t="shared" si="423"/>
        <v>2</v>
      </c>
      <c r="K6688" t="s">
        <v>6697</v>
      </c>
      <c r="L6688" t="s">
        <v>6695</v>
      </c>
      <c r="O6688" t="s">
        <v>6694</v>
      </c>
      <c r="V6688" t="s">
        <v>6694</v>
      </c>
      <c r="W6688" t="s">
        <v>6720</v>
      </c>
    </row>
    <row r="6689" spans="1:23" ht="15.6" x14ac:dyDescent="0.4">
      <c r="A6689" s="2" t="s">
        <v>3181</v>
      </c>
      <c r="B6689" s="5" t="s">
        <v>12550</v>
      </c>
      <c r="C6689" s="7" t="s">
        <v>12556</v>
      </c>
      <c r="D6689" s="8">
        <f t="shared" si="420"/>
        <v>0</v>
      </c>
      <c r="E6689" s="7" t="s">
        <v>12557</v>
      </c>
      <c r="F6689" s="7">
        <f t="shared" si="421"/>
        <v>0</v>
      </c>
      <c r="G6689" s="7" t="s">
        <v>12558</v>
      </c>
      <c r="H6689" s="7">
        <f t="shared" si="422"/>
        <v>0</v>
      </c>
      <c r="I6689" s="7" t="str" cm="1">
        <f t="array" ref="I6689">IFERROR(_xlfn.IFS(M6689="נח",1,M6689="נע ונח",1,M6689="שני שווא נח",2,M6689="שני שוואים בסוף מילה",2,M6689="שני שוואים ברצף",1),"0")</f>
        <v>0</v>
      </c>
      <c r="J6689" s="9">
        <f t="shared" si="423"/>
        <v>4</v>
      </c>
      <c r="K6689" t="s">
        <v>6697</v>
      </c>
      <c r="L6689" t="s">
        <v>6695</v>
      </c>
      <c r="Q6689" t="s">
        <v>6694</v>
      </c>
      <c r="S6689" t="s">
        <v>6694</v>
      </c>
      <c r="V6689" t="s">
        <v>6694</v>
      </c>
      <c r="W6689" t="s">
        <v>6720</v>
      </c>
    </row>
    <row r="6690" spans="1:23" ht="15.6" x14ac:dyDescent="0.4">
      <c r="A6690" s="2" t="s">
        <v>18</v>
      </c>
      <c r="B6690" s="5" t="s">
        <v>12551</v>
      </c>
      <c r="C6690" s="7" t="s">
        <v>12556</v>
      </c>
      <c r="D6690" s="8">
        <f t="shared" si="420"/>
        <v>0</v>
      </c>
      <c r="E6690" s="7" t="s">
        <v>12557</v>
      </c>
      <c r="F6690" s="7">
        <f t="shared" si="421"/>
        <v>0</v>
      </c>
      <c r="G6690" s="7" t="s">
        <v>12558</v>
      </c>
      <c r="H6690" s="7">
        <f t="shared" si="422"/>
        <v>0</v>
      </c>
      <c r="I6690" s="7" t="str" cm="1">
        <f t="array" ref="I6690">IFERROR(_xlfn.IFS(M6690="נח",1,M6690="נע ונח",1,M6690="שני שווא נח",2,M6690="שני שוואים בסוף מילה",2,M6690="שני שוואים ברצף",1),"0")</f>
        <v>0</v>
      </c>
      <c r="J6690" s="9">
        <f t="shared" si="423"/>
        <v>3</v>
      </c>
      <c r="K6690" t="s">
        <v>6698</v>
      </c>
      <c r="L6690" t="s">
        <v>6695</v>
      </c>
      <c r="P6690" t="s">
        <v>6694</v>
      </c>
      <c r="V6690" t="s">
        <v>6694</v>
      </c>
      <c r="W6690" t="s">
        <v>6720</v>
      </c>
    </row>
    <row r="6691" spans="1:23" ht="15.6" x14ac:dyDescent="0.4">
      <c r="A6691" s="2" t="s">
        <v>5621</v>
      </c>
      <c r="B6691" s="5" t="s">
        <v>12552</v>
      </c>
      <c r="C6691" s="7" t="s">
        <v>12556</v>
      </c>
      <c r="D6691" s="8">
        <f t="shared" si="420"/>
        <v>0</v>
      </c>
      <c r="E6691" s="7" t="s">
        <v>12557</v>
      </c>
      <c r="F6691" s="7">
        <f t="shared" si="421"/>
        <v>0</v>
      </c>
      <c r="G6691" s="7" t="s">
        <v>12558</v>
      </c>
      <c r="H6691" s="7">
        <f t="shared" si="422"/>
        <v>0</v>
      </c>
      <c r="I6691" s="7" t="str" cm="1">
        <f t="array" ref="I6691">IFERROR(_xlfn.IFS(M6691="נח",1,M6691="נע ונח",1,M6691="שני שווא נח",2,M6691="שני שוואים בסוף מילה",2,M6691="שני שוואים ברצף",1),"0")</f>
        <v>0</v>
      </c>
      <c r="J6691" s="9">
        <f t="shared" si="423"/>
        <v>2</v>
      </c>
      <c r="K6691" t="s">
        <v>6697</v>
      </c>
      <c r="L6691" t="s">
        <v>6695</v>
      </c>
      <c r="S6691" t="s">
        <v>6694</v>
      </c>
      <c r="V6691" t="s">
        <v>6694</v>
      </c>
      <c r="W6691" t="s">
        <v>6720</v>
      </c>
    </row>
    <row r="6692" spans="1:23" ht="15.6" x14ac:dyDescent="0.4">
      <c r="A6692" s="2" t="s">
        <v>311</v>
      </c>
      <c r="B6692" s="5" t="s">
        <v>12553</v>
      </c>
      <c r="C6692" s="7" t="s">
        <v>12556</v>
      </c>
      <c r="D6692" s="8">
        <f t="shared" si="420"/>
        <v>0</v>
      </c>
      <c r="E6692" s="7" t="s">
        <v>12557</v>
      </c>
      <c r="F6692" s="7">
        <f t="shared" si="421"/>
        <v>0</v>
      </c>
      <c r="G6692" s="7" t="s">
        <v>12558</v>
      </c>
      <c r="H6692" s="7">
        <f t="shared" si="422"/>
        <v>0</v>
      </c>
      <c r="I6692" s="7" t="str" cm="1">
        <f t="array" ref="I6692">IFERROR(_xlfn.IFS(M6692="נח",1,M6692="נע ונח",1,M6692="שני שווא נח",2,M6692="שני שוואים בסוף מילה",2,M6692="שני שוואים ברצף",1),"0")</f>
        <v>0</v>
      </c>
      <c r="J6692" s="9">
        <f t="shared" si="423"/>
        <v>4</v>
      </c>
      <c r="K6692" t="s">
        <v>6697</v>
      </c>
      <c r="L6692" t="s">
        <v>6695</v>
      </c>
      <c r="O6692" t="s">
        <v>6694</v>
      </c>
      <c r="R6692" t="s">
        <v>6694</v>
      </c>
      <c r="V6692" t="s">
        <v>6694</v>
      </c>
      <c r="W6692" t="s">
        <v>6720</v>
      </c>
    </row>
    <row r="6693" spans="1:23" ht="15.6" x14ac:dyDescent="0.4">
      <c r="A6693" s="2" t="s">
        <v>6375</v>
      </c>
      <c r="B6693" s="5" t="s">
        <v>12554</v>
      </c>
      <c r="C6693" s="7" t="s">
        <v>12556</v>
      </c>
      <c r="D6693" s="8">
        <f t="shared" si="420"/>
        <v>1</v>
      </c>
      <c r="E6693" s="7" t="s">
        <v>12557</v>
      </c>
      <c r="F6693" s="7">
        <f t="shared" si="421"/>
        <v>0</v>
      </c>
      <c r="G6693" s="7" t="s">
        <v>12558</v>
      </c>
      <c r="H6693" s="7">
        <f t="shared" si="422"/>
        <v>0</v>
      </c>
      <c r="I6693" s="7" t="str" cm="1">
        <f t="array" ref="I6693">IFERROR(_xlfn.IFS(M6693="נח",1,M6693="נע ונח",1,M6693="שני שווא נח",2,M6693="שני שוואים בסוף מילה",2,M6693="שני שוואים ברצף",1),"0")</f>
        <v>0</v>
      </c>
      <c r="J6693" s="9">
        <f t="shared" si="423"/>
        <v>4</v>
      </c>
      <c r="K6693" t="s">
        <v>6697</v>
      </c>
      <c r="L6693" t="s">
        <v>6695</v>
      </c>
      <c r="Q6693" t="s">
        <v>6694</v>
      </c>
      <c r="S6693" t="s">
        <v>6694</v>
      </c>
      <c r="V6693" t="s">
        <v>6694</v>
      </c>
      <c r="W6693" t="s">
        <v>6720</v>
      </c>
    </row>
    <row r="6694" spans="1:23" ht="15.6" x14ac:dyDescent="0.4">
      <c r="A6694" s="2" t="s">
        <v>838</v>
      </c>
      <c r="B6694" s="5" t="s">
        <v>12555</v>
      </c>
      <c r="C6694" s="7" t="s">
        <v>12556</v>
      </c>
      <c r="D6694" s="8">
        <f t="shared" si="420"/>
        <v>1</v>
      </c>
      <c r="E6694" s="7" t="s">
        <v>12557</v>
      </c>
      <c r="F6694" s="7">
        <f t="shared" si="421"/>
        <v>0</v>
      </c>
      <c r="G6694" s="7" t="s">
        <v>12558</v>
      </c>
      <c r="H6694" s="7">
        <f t="shared" si="422"/>
        <v>0</v>
      </c>
      <c r="I6694" s="7" t="str" cm="1">
        <f t="array" ref="I6694">IFERROR(_xlfn.IFS(M6694="נח",1,M6694="נע ונח",1,M6694="שני שווא נח",2,M6694="שני שוואים בסוף מילה",2,M6694="שני שוואים ברצף",1),"0")</f>
        <v>0</v>
      </c>
      <c r="J6694" s="9">
        <f t="shared" si="423"/>
        <v>3</v>
      </c>
      <c r="K6694" t="s">
        <v>6697</v>
      </c>
      <c r="L6694" t="s">
        <v>6695</v>
      </c>
      <c r="P6694" t="s">
        <v>6694</v>
      </c>
      <c r="S6694" t="s">
        <v>6694</v>
      </c>
      <c r="V6694" t="s">
        <v>6694</v>
      </c>
      <c r="W6694" t="s">
        <v>6720</v>
      </c>
    </row>
    <row r="6695" spans="1:23" ht="14.4" x14ac:dyDescent="0.25">
      <c r="B6695" s="6"/>
    </row>
  </sheetData>
  <sortState xmlns:xlrd2="http://schemas.microsoft.com/office/spreadsheetml/2017/richdata2" ref="A2:W6694">
    <sortCondition ref="A2:A6694"/>
  </sortState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86C6E-5E16-4B1C-960F-AEC201C937F5}">
  <dimension ref="A1:O9"/>
  <sheetViews>
    <sheetView showZeros="0" rightToLeft="1" workbookViewId="0">
      <selection activeCell="F4" sqref="F4"/>
    </sheetView>
  </sheetViews>
  <sheetFormatPr defaultRowHeight="13.8" x14ac:dyDescent="0.25"/>
  <cols>
    <col min="1" max="1" width="10" customWidth="1"/>
    <col min="4" max="4" width="16.3984375" bestFit="1" customWidth="1"/>
    <col min="5" max="5" width="10.8984375" bestFit="1" customWidth="1"/>
    <col min="6" max="6" width="10.8984375" customWidth="1"/>
  </cols>
  <sheetData>
    <row r="1" spans="1:15" x14ac:dyDescent="0.25">
      <c r="A1" t="s">
        <v>6692</v>
      </c>
      <c r="B1" t="s">
        <v>6696</v>
      </c>
      <c r="C1" t="s">
        <v>6693</v>
      </c>
      <c r="D1" t="s">
        <v>6699</v>
      </c>
      <c r="E1" t="s">
        <v>6718</v>
      </c>
      <c r="F1" t="s">
        <v>6722</v>
      </c>
      <c r="G1" t="s">
        <v>6708</v>
      </c>
      <c r="H1" t="s">
        <v>6709</v>
      </c>
      <c r="I1" t="s">
        <v>6710</v>
      </c>
      <c r="J1" t="s">
        <v>6711</v>
      </c>
      <c r="K1" t="s">
        <v>6712</v>
      </c>
      <c r="L1" t="s">
        <v>6714</v>
      </c>
      <c r="M1" t="s">
        <v>6715</v>
      </c>
      <c r="N1" t="s">
        <v>6713</v>
      </c>
      <c r="O1" t="s">
        <v>6719</v>
      </c>
    </row>
    <row r="2" spans="1:15" x14ac:dyDescent="0.25">
      <c r="B2" t="str" cm="1">
        <f t="array" ref="B2:B4">_xlfn._xlws.SORT(_xlfn.UNIQUE(תהילים[פתוח/ סגור]))</f>
        <v>סגורה</v>
      </c>
      <c r="C2" t="str" cm="1">
        <f t="array" ref="C2:C4">_xlfn._xlws.SORT(_xlfn.UNIQUE(תהילים[שווא]))</f>
        <v>אין</v>
      </c>
      <c r="D2" t="str" cm="1">
        <f t="array" ref="D2:D9">_xlfn._xlws.SORT(_xlfn.UNIQUE(תהילים[סוג שווא]))</f>
        <v>באותיות הדומות</v>
      </c>
      <c r="E2" t="str" cm="1">
        <f t="array" ref="E2:E4">_xlfn._xlws.SORT(_xlfn.UNIQUE(תהילים[שונות 1]))</f>
        <v>פתח גנובה</v>
      </c>
      <c r="F2" t="s">
        <v>6723</v>
      </c>
      <c r="G2" t="str" cm="1">
        <f t="array" ref="G2:G3">_xlfn._xlws.SORT(_xlfn.UNIQUE(תהילים[קמץ]))</f>
        <v>יש</v>
      </c>
      <c r="H2" t="str" cm="1">
        <f t="array" ref="H2:H3">_xlfn._xlws.SORT(_xlfn.UNIQUE(תהילים[פתח]))</f>
        <v>יש</v>
      </c>
      <c r="I2" t="str" cm="1">
        <f t="array" ref="I2:I3">_xlfn._xlws.SORT(_xlfn.UNIQUE(תהילים[צירה]))</f>
        <v>יש</v>
      </c>
      <c r="J2" t="str" cm="1">
        <f t="array" ref="J2:J3">_xlfn._xlws.SORT(_xlfn.UNIQUE(תהילים[סגול]))</f>
        <v>יש</v>
      </c>
      <c r="K2" t="str" cm="1">
        <f t="array" ref="K2:K3">_xlfn._xlws.SORT(_xlfn.UNIQUE(תהילים[חיריק]))</f>
        <v>יש</v>
      </c>
      <c r="L2" t="str" cm="1">
        <f t="array" ref="L2:L3">_xlfn._xlws.SORT(_xlfn.UNIQUE(תהילים[שורוק]))</f>
        <v>יש</v>
      </c>
      <c r="M2" t="str" cm="1">
        <f t="array" ref="M2:M3">_xlfn._xlws.SORT(_xlfn.UNIQUE(תהילים[מלאופום]))</f>
        <v>יש</v>
      </c>
      <c r="N2" t="str" cm="1">
        <f t="array" ref="N2:N3">_xlfn._xlws.SORT(_xlfn.UNIQUE(תהילים[חולם]))</f>
        <v>יש</v>
      </c>
      <c r="O2" t="str" cm="1">
        <f t="array" ref="O2:O3">_xlfn._xlws.SORT(_xlfn.UNIQUE(תהילים[מקור]))</f>
        <v>תהילים</v>
      </c>
    </row>
    <row r="3" spans="1:15" x14ac:dyDescent="0.25">
      <c r="B3" t="str">
        <v>פתוחה</v>
      </c>
      <c r="C3" t="str">
        <v>יש</v>
      </c>
      <c r="D3" t="str">
        <v>נח</v>
      </c>
      <c r="E3" t="str">
        <v>קמץ המשתנה</v>
      </c>
      <c r="F3" t="s">
        <v>6725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25">
      <c r="B4">
        <v>0</v>
      </c>
      <c r="C4">
        <v>0</v>
      </c>
      <c r="D4" t="str">
        <v>נע</v>
      </c>
      <c r="E4">
        <v>0</v>
      </c>
      <c r="F4" t="s">
        <v>6724</v>
      </c>
    </row>
    <row r="5" spans="1:15" x14ac:dyDescent="0.25">
      <c r="D5" t="str">
        <v>נע ונח</v>
      </c>
    </row>
    <row r="6" spans="1:15" x14ac:dyDescent="0.25">
      <c r="D6" t="str">
        <v>שני שווא נח</v>
      </c>
    </row>
    <row r="7" spans="1:15" x14ac:dyDescent="0.25">
      <c r="D7" t="str">
        <v>שני שוואים בסוף מילה</v>
      </c>
    </row>
    <row r="8" spans="1:15" x14ac:dyDescent="0.25">
      <c r="D8" t="str">
        <v>שני שוואים ברצף</v>
      </c>
    </row>
    <row r="9" spans="1:15" x14ac:dyDescent="0.25">
      <c r="D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B1ADA-EA17-4D1E-8E0C-C23482C63AEB}">
  <dimension ref="A1:O9"/>
  <sheetViews>
    <sheetView showZeros="0" rightToLeft="1" workbookViewId="0">
      <selection activeCell="B2" sqref="B2"/>
    </sheetView>
  </sheetViews>
  <sheetFormatPr defaultRowHeight="15.6" x14ac:dyDescent="0.4"/>
  <cols>
    <col min="1" max="1" width="10.59765625" style="2" customWidth="1"/>
    <col min="2" max="2" width="11.19921875" customWidth="1"/>
    <col min="4" max="4" width="12.19921875" bestFit="1" customWidth="1"/>
    <col min="5" max="5" width="10.8984375" bestFit="1" customWidth="1"/>
    <col min="6" max="6" width="10.8984375" customWidth="1"/>
    <col min="13" max="13" width="9.09765625" customWidth="1"/>
  </cols>
  <sheetData>
    <row r="1" spans="1:15" ht="13.8" x14ac:dyDescent="0.25">
      <c r="A1" s="1" t="s">
        <v>6692</v>
      </c>
      <c r="B1" s="1" t="s">
        <v>6696</v>
      </c>
      <c r="C1" s="1" t="s">
        <v>6693</v>
      </c>
      <c r="D1" s="1" t="s">
        <v>6699</v>
      </c>
      <c r="E1" s="1" t="s">
        <v>6718</v>
      </c>
      <c r="F1" s="1" t="s">
        <v>6721</v>
      </c>
      <c r="G1" s="1" t="s">
        <v>6708</v>
      </c>
      <c r="H1" s="1" t="s">
        <v>6709</v>
      </c>
      <c r="I1" s="1" t="s">
        <v>6710</v>
      </c>
      <c r="J1" s="1" t="s">
        <v>6711</v>
      </c>
      <c r="K1" s="1" t="s">
        <v>6712</v>
      </c>
      <c r="L1" s="1" t="s">
        <v>6714</v>
      </c>
      <c r="M1" s="1" t="s">
        <v>6715</v>
      </c>
      <c r="N1" s="1" t="s">
        <v>6713</v>
      </c>
      <c r="O1" s="1" t="s">
        <v>6719</v>
      </c>
    </row>
    <row r="2" spans="1:15" x14ac:dyDescent="0.4">
      <c r="C2" t="s">
        <v>6695</v>
      </c>
      <c r="D2">
        <v>0</v>
      </c>
      <c r="E2">
        <v>0</v>
      </c>
      <c r="F2" t="s">
        <v>6724</v>
      </c>
      <c r="G2">
        <v>0</v>
      </c>
      <c r="H2" t="s">
        <v>6694</v>
      </c>
      <c r="I2" t="s">
        <v>6694</v>
      </c>
      <c r="J2" t="s">
        <v>6694</v>
      </c>
      <c r="K2" t="s">
        <v>6694</v>
      </c>
      <c r="L2" t="s">
        <v>6694</v>
      </c>
      <c r="M2" t="s">
        <v>6694</v>
      </c>
      <c r="N2" t="s">
        <v>6694</v>
      </c>
    </row>
    <row r="8" spans="1:15" ht="13.8" x14ac:dyDescent="0.25">
      <c r="A8" s="3" t="s">
        <v>6692</v>
      </c>
      <c r="B8" s="3" t="s">
        <v>6696</v>
      </c>
      <c r="C8" s="3" t="s">
        <v>6693</v>
      </c>
      <c r="D8" s="3" t="s">
        <v>6699</v>
      </c>
      <c r="E8" s="3" t="s">
        <v>6718</v>
      </c>
      <c r="F8" s="3" t="s">
        <v>6708</v>
      </c>
      <c r="G8" s="3" t="s">
        <v>6709</v>
      </c>
      <c r="H8" s="3" t="s">
        <v>6710</v>
      </c>
      <c r="I8" s="3" t="s">
        <v>6711</v>
      </c>
      <c r="J8" s="3" t="s">
        <v>6712</v>
      </c>
      <c r="K8" s="3" t="s">
        <v>6714</v>
      </c>
      <c r="L8" s="3" t="s">
        <v>6715</v>
      </c>
      <c r="M8" s="3" t="s">
        <v>6713</v>
      </c>
      <c r="N8" s="3" t="s">
        <v>6719</v>
      </c>
    </row>
    <row r="9" spans="1:15" x14ac:dyDescent="0.4">
      <c r="A9" s="2" t="e" cm="1" vm="1">
        <f t="array" ref="A9">IF(טבלת_סינון[[לפי ניקוד ]]="כל הניקוד",_xlfn._xlws.FILTER(תהילים[],(תהילים[פתוח/ סגור]=טבלת_סינון[פתוח/ סגור])*(תהילים[שווא]=טבלת_סינון[שווא])*(תהילים[סוג שווא]=טבלת_סינון[סוג שווא])*(תהילים[שונות 1]=טבלת_סינון[שונות 1])))</f>
        <v>#VALUE!</v>
      </c>
    </row>
  </sheetData>
  <phoneticPr fontId="3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InputMessage="1" showErrorMessage="1" xr:uid="{EBBAD1BD-800A-4A46-B849-C7AF0B8448DD}">
          <x14:formula1>
            <xm:f>'טבלת עזר'!$B$2:$B$4</xm:f>
          </x14:formula1>
          <xm:sqref>B2</xm:sqref>
        </x14:dataValidation>
        <x14:dataValidation type="list" allowBlank="1" showInputMessage="1" showErrorMessage="1" xr:uid="{FE90CA33-DE4B-427E-B35C-ECB5B3482CAB}">
          <x14:formula1>
            <xm:f>'טבלת עזר'!$C$2:$C$4</xm:f>
          </x14:formula1>
          <xm:sqref>C2</xm:sqref>
        </x14:dataValidation>
        <x14:dataValidation type="list" allowBlank="1" showInputMessage="1" showErrorMessage="1" xr:uid="{A28C60D8-04C4-44A7-9092-2D16D8B0A84D}">
          <x14:formula1>
            <xm:f>'טבלת עזר'!$D$2:$D$10</xm:f>
          </x14:formula1>
          <xm:sqref>D2</xm:sqref>
        </x14:dataValidation>
        <x14:dataValidation type="list" allowBlank="1" showInputMessage="1" showErrorMessage="1" xr:uid="{B1C40913-5E10-49A2-B92E-9B90ACB5305D}">
          <x14:formula1>
            <xm:f>'טבלת עזר'!$E$2:$E$4</xm:f>
          </x14:formula1>
          <xm:sqref>E2</xm:sqref>
        </x14:dataValidation>
        <x14:dataValidation type="list" allowBlank="1" showInputMessage="1" showErrorMessage="1" xr:uid="{8C35C586-474C-4CC4-8B24-528D194DE72D}">
          <x14:formula1>
            <xm:f>'טבלת עזר'!$G$2:$G$3</xm:f>
          </x14:formula1>
          <xm:sqref>G2</xm:sqref>
        </x14:dataValidation>
        <x14:dataValidation type="list" allowBlank="1" showInputMessage="1" showErrorMessage="1" xr:uid="{D136823C-C142-4F8B-A284-846850F2687C}">
          <x14:formula1>
            <xm:f>'טבלת עזר'!$H$2:$H$3</xm:f>
          </x14:formula1>
          <xm:sqref>H2</xm:sqref>
        </x14:dataValidation>
        <x14:dataValidation type="list" allowBlank="1" showInputMessage="1" showErrorMessage="1" xr:uid="{742E1C0C-19A9-441D-A816-F327944F5D3B}">
          <x14:formula1>
            <xm:f>'טבלת עזר'!$I$2:$I$3</xm:f>
          </x14:formula1>
          <xm:sqref>I2</xm:sqref>
        </x14:dataValidation>
        <x14:dataValidation type="list" allowBlank="1" showInputMessage="1" showErrorMessage="1" xr:uid="{C39A4B80-2793-47A9-BADD-38F2696ADE0D}">
          <x14:formula1>
            <xm:f>'טבלת עזר'!$J$2:$J$3</xm:f>
          </x14:formula1>
          <xm:sqref>J2</xm:sqref>
        </x14:dataValidation>
        <x14:dataValidation type="list" allowBlank="1" showInputMessage="1" showErrorMessage="1" xr:uid="{9DE47671-47A9-4D6E-994C-5EF44934A6C3}">
          <x14:formula1>
            <xm:f>'טבלת עזר'!$K$2:$K$3</xm:f>
          </x14:formula1>
          <xm:sqref>K2</xm:sqref>
        </x14:dataValidation>
        <x14:dataValidation type="list" allowBlank="1" showInputMessage="1" showErrorMessage="1" xr:uid="{86A042A0-F30D-49BD-AA3D-2A51C51A56D6}">
          <x14:formula1>
            <xm:f>'טבלת עזר'!$L$2:$L$3</xm:f>
          </x14:formula1>
          <xm:sqref>L2</xm:sqref>
        </x14:dataValidation>
        <x14:dataValidation type="list" allowBlank="1" showInputMessage="1" showErrorMessage="1" xr:uid="{79868EF8-0B3F-4DDA-A9DE-280FC143CF3C}">
          <x14:formula1>
            <xm:f>'טבלת עזר'!$M$2:$M$3</xm:f>
          </x14:formula1>
          <xm:sqref>M2</xm:sqref>
        </x14:dataValidation>
        <x14:dataValidation type="list" allowBlank="1" showInputMessage="1" showErrorMessage="1" xr:uid="{B703A580-6251-42B0-9469-C414FD21CF5B}">
          <x14:formula1>
            <xm:f>'טבלת עזר'!$N$2:$N$3</xm:f>
          </x14:formula1>
          <xm:sqref>N2</xm:sqref>
        </x14:dataValidation>
        <x14:dataValidation type="list" allowBlank="1" showInputMessage="1" showErrorMessage="1" xr:uid="{398B3B58-3EB5-4CE0-8453-617C5F6E5281}">
          <x14:formula1>
            <xm:f>'טבלת עזר'!$O$2:$O$3</xm:f>
          </x14:formula1>
          <xm:sqref>O2</xm:sqref>
        </x14:dataValidation>
        <x14:dataValidation type="list" allowBlank="1" showInputMessage="1" showErrorMessage="1" xr:uid="{98527F46-CFEE-498D-A3DE-D6EABA652896}">
          <x14:formula1>
            <xm:f>'טבלת עזר'!$F$2:$F$4</xm:f>
          </x14:formula1>
          <xm:sqref>F2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מאגר מילים</vt:lpstr>
      <vt:lpstr>טבלת עזר</vt:lpstr>
      <vt:lpstr>מיון וסינון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חיידר</dc:creator>
  <cp:lastModifiedBy>שלום פריד</cp:lastModifiedBy>
  <dcterms:created xsi:type="dcterms:W3CDTF">2023-01-09T09:06:52Z</dcterms:created>
  <dcterms:modified xsi:type="dcterms:W3CDTF">2025-10-19T22:57:23Z</dcterms:modified>
</cp:coreProperties>
</file>